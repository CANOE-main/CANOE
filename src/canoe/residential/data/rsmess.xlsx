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https://utoronto-my.sharepoint.com/personal/ian_elder_mail_utoronto_ca/Documents/Documents/temoa_projects/residential_sector/input_files/"/>
    </mc:Choice>
  </mc:AlternateContent>
  <xr:revisionPtr revIDLastSave="0" documentId="13_ncr:1_{6BF41C3C-101E-44D9-AE0B-FC0A42A9EFF6}" xr6:coauthVersionLast="47" xr6:coauthVersionMax="47" xr10:uidLastSave="{00000000-0000-0000-0000-000000000000}"/>
  <bookViews>
    <workbookView xWindow="28680" yWindow="720" windowWidth="29040" windowHeight="15720" activeTab="2" xr2:uid="{00000000-000D-0000-FFFF-FFFF00000000}"/>
  </bookViews>
  <sheets>
    <sheet name="READ_ME" sheetId="4" r:id="rId1"/>
    <sheet name="RSCLASS" sheetId="2" r:id="rId2"/>
    <sheet name="RSMEQP" sheetId="1" r:id="rId3"/>
    <sheet name="RSMSHL" sheetId="3" r:id="rId4"/>
    <sheet name="TaxCred&amp;Subs" sheetId="5" r:id="rId5"/>
  </sheets>
  <definedNames>
    <definedName name="_xlnm._FilterDatabase" localSheetId="2" hidden="1">RSMEQP!$B$24:$AD$890</definedName>
    <definedName name="_xlnm._FilterDatabase" localSheetId="3" hidden="1">RSMSHL!$B$24:$Y$2225</definedName>
    <definedName name="ClsRecords">RSCLASS!$B$17</definedName>
    <definedName name="EqpRecords">RSMEQP!$C$17</definedName>
    <definedName name="MNUMRTTY">RSMEQP!$C$19</definedName>
    <definedName name="nClDryClasses">RSCLASS!$H$58</definedName>
    <definedName name="nClDryTypes">RSMEQP!$I$896</definedName>
    <definedName name="nClWashClasses">RSCLASS!$D$58</definedName>
    <definedName name="nClWashTypes">RSMEQP!$E$896</definedName>
    <definedName name="nCookClasses">RSCLASS!$G$58</definedName>
    <definedName name="nCookTypes">RSMEQP!$H$896</definedName>
    <definedName name="nCoolClasses">RSCLASS!$C$58</definedName>
    <definedName name="nCoolTypes">RSMEQP!$D$896</definedName>
    <definedName name="nDishClasses">RSCLASS!$E$58</definedName>
    <definedName name="nDishTypes">RSMEQP!$F$896</definedName>
    <definedName name="nFrezClasses">RSCLASS!$J$58</definedName>
    <definedName name="nFrezTypes">RSMEQP!$K$896</definedName>
    <definedName name="nHeatClasses">RSCLASS!$B$58</definedName>
    <definedName name="nHeatTypes">RSMEQP!$C$896</definedName>
    <definedName name="nRefrClasses">RSCLASS!$I$58</definedName>
    <definedName name="nRefrTypes">RSMEQP!$J$896</definedName>
    <definedName name="nShellTypes">RSMSHL!$B$14</definedName>
    <definedName name="nWatHtClasses">RSCLASS!$F$58</definedName>
    <definedName name="nWatHtTypes">RSMEQP!$G$896</definedName>
    <definedName name="RSHLDOLLARYR">RSMSHL!$B$16</definedName>
    <definedName name="RTEKDOLLARYR">RSMEQP!$C$18</definedName>
    <definedName name="ShlRecords">RSMSHL!$B$15</definedName>
    <definedName name="xlCLSHBASE">RSMSHL!$O$25:$O$2214</definedName>
    <definedName name="xlCLSHEFF">RSMSHL!$M$25:$M$2214</definedName>
    <definedName name="xlCWMEF">RSMEQP!$K$25:$K$889</definedName>
    <definedName name="xlHTSHBASE">RSMSHL!$N$25:$N$2214</definedName>
    <definedName name="xlHTSHEFF">RSMSHL!$L$25:$L$2214</definedName>
    <definedName name="xlHVACPNTR">RSMEQP!$I$25:$I$889</definedName>
    <definedName name="xlHVCLEQCL">RSMSHL!$F$25:$F$2214</definedName>
    <definedName name="xlHVCLEQTY">RSMSHL!$G$25:$G$2214</definedName>
    <definedName name="xlHVCOOLFACTOR">RSMSHL!$K$25:$K$2214</definedName>
    <definedName name="xlHVFYEAR">RSMSHL!$H$25:$H$2214</definedName>
    <definedName name="xlHVHEATFACTOR">RSMSHL!$J$25:$J$2214</definedName>
    <definedName name="xlHVHTEQCL">RSMSHL!$D$25:$D$2214</definedName>
    <definedName name="xlHVHTEQTY">RSMSHL!$E$25:$E$2214</definedName>
    <definedName name="xlHVLYEAR">RSMSHL!$I$25:$I$2214</definedName>
    <definedName name="xlHVPACKG">RSMSHL!$S$25:$S$2214</definedName>
    <definedName name="xlHVPGNAME">RSMSHL!$T$25:$T$2214</definedName>
    <definedName name="xlLOADADJ">RSMEQP!$L$25:$L$889</definedName>
    <definedName name="xlRSBTYPE">RSMSHL!$C$25:$C$2214</definedName>
    <definedName name="xlRSCENDIV">RSMSHL!$B$25:$B$2214</definedName>
    <definedName name="xlRTALPHA">RSCLASS!$N$22:$N$51</definedName>
    <definedName name="xlRTBASEFF">RSCLASS!$J$22:$J$51</definedName>
    <definedName name="xlRTCENDIV">RSMEQP!$H$25:$H$889</definedName>
    <definedName name="xlRTCLENDU">RSCLASS!$C$22:$C$51</definedName>
    <definedName name="xlRTCLEQCL">RSCLASS!$D$22:$D$51</definedName>
    <definedName name="xlRTCLNAME">RSCLASS!$U$22:$U$51</definedName>
    <definedName name="xlRTCLPNTR">RSCLASS!$F$22:$F$51</definedName>
    <definedName name="xlRTCLREPL">RSCLASS!$G$22:$G$51</definedName>
    <definedName name="xlRTCLTYPT">RSCLASS!$E$22:$E$51</definedName>
    <definedName name="xlRTCOSTP1">RSMEQP!$W$25:$W$889</definedName>
    <definedName name="xlRTCOSTP2">RSMEQP!$X$25:$X$889</definedName>
    <definedName name="xlRTCOSTP3">RSMEQP!$Y$25:$Y$889</definedName>
    <definedName name="xlRTECBIAS">RSMEQP!$AC$25:$AC$889</definedName>
    <definedName name="xlRTECBTA1">RSMEQP!$Z$25:$Z$889</definedName>
    <definedName name="xlRTECBTA2">RSMEQP!$AA$25:$AA$889</definedName>
    <definedName name="xlRTECBTA3">RSMEQP!$AB$25:$AB$889</definedName>
    <definedName name="xlRTEQCOST">RSMEQP!$N$25:$N$889</definedName>
    <definedName name="xlRTEQEFF">RSMEQP!$M$25:$M$889</definedName>
    <definedName name="xlRTEQSUB">RSMEQP!$P$25:$P$889</definedName>
    <definedName name="xlRTEQSUB111D">RSMEQP!$T$25:$T$889</definedName>
    <definedName name="xlRTEQSUBN">RSMEQP!$R$25:$R$889</definedName>
    <definedName name="xlRTEQTYPE">RSMEQP!$E$25:$E$889</definedName>
    <definedName name="xlRTFCBETA">RSCLASS!$Q$22:$Q$51</definedName>
    <definedName name="xlRTFFAN">RSCLASS!$I$22:$I$51</definedName>
    <definedName name="xlRTFUEL">RSCLASS!$H$22:$H$51</definedName>
    <definedName name="xlRTINITYR">RSMEQP!$F$25:$F$889</definedName>
    <definedName name="xlRTK">RSCLASS!$M$22:$M$51</definedName>
    <definedName name="xlRTLAMBDA">RSCLASS!$L$22:$L$51</definedName>
    <definedName name="xlRTLASTYR">RSMEQP!$G$25:$G$889</definedName>
    <definedName name="xlRTMATURE">RSMEQP!$V$25:$V$889</definedName>
    <definedName name="xlRTRECOST">RSMEQP!$O$25:$O$889</definedName>
    <definedName name="xlRTRESUB">RSMEQP!$Q$25:$Q$889</definedName>
    <definedName name="xlRTRESUB111D">RSMEQP!$U$25:$U$889</definedName>
    <definedName name="xlRTRESUBN">RSMEQP!$S$25:$S$889</definedName>
    <definedName name="xlRTSWBETA">RSCLASS!$S$22:$S$51</definedName>
    <definedName name="xlRTSWBIAS">RSCLASS!$T$22:$T$51</definedName>
    <definedName name="xlRTSWFACT">RSCLASS!$R$22:$R$51</definedName>
    <definedName name="xlRTTYENDU">RSMEQP!$C$25:$C$889</definedName>
    <definedName name="xlRTTYEQCL">RSMEQP!$D$25:$D$889</definedName>
    <definedName name="xlRTTYNAME">RSMEQP!$AD$25:$AD$889</definedName>
    <definedName name="xlRTTYPNTR">RSMEQP!$J$25:$J$889</definedName>
    <definedName name="xlSHELCOST">RSMSHL!$P$25:$P$2214</definedName>
    <definedName name="xlSHELSUB">RSMSHL!$Q$25:$Q$2214</definedName>
    <definedName name="xlSHELSUB111D">RSMSHL!$R$25:$R$2214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B28" i="1" s="1"/>
  <c r="B29" i="1" s="1"/>
  <c r="B30" i="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Y1924" i="3" l="1" a="1"/>
  <c r="Y1924" i="3" s="1"/>
  <c r="X1924" i="3" a="1"/>
  <c r="X1924" i="3" s="1"/>
  <c r="W1924" i="3" a="1"/>
  <c r="W1924" i="3" s="1"/>
  <c r="V1924" i="3" a="1"/>
  <c r="V1924" i="3" s="1"/>
  <c r="Q1924" i="3" a="1"/>
  <c r="Q1924" i="3" s="1"/>
  <c r="Y1922" i="3" a="1"/>
  <c r="Y1922" i="3" s="1"/>
  <c r="X1922" i="3" a="1"/>
  <c r="X1922" i="3" s="1"/>
  <c r="W1922" i="3" a="1"/>
  <c r="W1922" i="3" s="1"/>
  <c r="V1922" i="3" a="1"/>
  <c r="V1922" i="3" s="1"/>
  <c r="Q1922" i="3" a="1"/>
  <c r="Q1922" i="3" s="1"/>
  <c r="Y1920" i="3" a="1"/>
  <c r="Y1920" i="3" s="1"/>
  <c r="X1920" i="3" a="1"/>
  <c r="X1920" i="3" s="1"/>
  <c r="W1920" i="3" a="1"/>
  <c r="W1920" i="3" s="1"/>
  <c r="V1920" i="3" a="1"/>
  <c r="V1920" i="3" s="1"/>
  <c r="Q1920" i="3" a="1"/>
  <c r="Q1920" i="3" s="1"/>
  <c r="Y1918" i="3" a="1"/>
  <c r="Y1918" i="3" s="1"/>
  <c r="X1918" i="3" a="1"/>
  <c r="X1918" i="3" s="1"/>
  <c r="W1918" i="3" a="1"/>
  <c r="W1918" i="3" s="1"/>
  <c r="V1918" i="3" a="1"/>
  <c r="V1918" i="3" s="1"/>
  <c r="Q1918" i="3" a="1"/>
  <c r="Q1918" i="3" s="1"/>
  <c r="Y1916" i="3" a="1"/>
  <c r="Y1916" i="3" s="1"/>
  <c r="X1916" i="3" a="1"/>
  <c r="X1916" i="3" s="1"/>
  <c r="W1916" i="3" a="1"/>
  <c r="W1916" i="3" s="1"/>
  <c r="V1916" i="3" a="1"/>
  <c r="V1916" i="3" s="1"/>
  <c r="Q1916" i="3" a="1"/>
  <c r="Q1916" i="3" s="1"/>
  <c r="Y1136" i="3" a="1"/>
  <c r="Y1136" i="3" s="1"/>
  <c r="X1136" i="3" a="1"/>
  <c r="X1136" i="3" s="1"/>
  <c r="W1136" i="3" a="1"/>
  <c r="W1136" i="3" s="1"/>
  <c r="V1136" i="3" a="1"/>
  <c r="V1136" i="3" s="1"/>
  <c r="Q1136" i="3" a="1"/>
  <c r="Q1136" i="3" s="1"/>
  <c r="Y1134" i="3" a="1"/>
  <c r="Y1134" i="3" s="1"/>
  <c r="X1134" i="3" a="1"/>
  <c r="X1134" i="3" s="1"/>
  <c r="W1134" i="3" a="1"/>
  <c r="W1134" i="3" s="1"/>
  <c r="V1134" i="3" a="1"/>
  <c r="V1134" i="3" s="1"/>
  <c r="Q1134" i="3" a="1"/>
  <c r="Q1134" i="3" s="1"/>
  <c r="Y1132" i="3" a="1"/>
  <c r="Y1132" i="3" s="1"/>
  <c r="X1132" i="3" a="1"/>
  <c r="X1132" i="3" s="1"/>
  <c r="W1132" i="3" a="1"/>
  <c r="W1132" i="3" s="1"/>
  <c r="V1132" i="3" a="1"/>
  <c r="V1132" i="3" s="1"/>
  <c r="Q1132" i="3" a="1"/>
  <c r="Q1132" i="3" s="1"/>
  <c r="Y1130" i="3" a="1"/>
  <c r="Y1130" i="3" s="1"/>
  <c r="X1130" i="3" a="1"/>
  <c r="X1130" i="3" s="1"/>
  <c r="W1130" i="3" a="1"/>
  <c r="W1130" i="3" s="1"/>
  <c r="V1130" i="3" a="1"/>
  <c r="V1130" i="3" s="1"/>
  <c r="Q1130" i="3" a="1"/>
  <c r="Q1130" i="3" s="1"/>
  <c r="Y1128" i="3" a="1"/>
  <c r="Y1128" i="3" s="1"/>
  <c r="X1128" i="3" a="1"/>
  <c r="X1128" i="3" s="1"/>
  <c r="W1128" i="3" a="1"/>
  <c r="W1128" i="3" s="1"/>
  <c r="V1128" i="3" a="1"/>
  <c r="V1128" i="3" s="1"/>
  <c r="Q1128" i="3" a="1"/>
  <c r="Q1128" i="3" s="1"/>
  <c r="Y1126" i="3" a="1"/>
  <c r="Y1126" i="3" s="1"/>
  <c r="X1126" i="3" a="1"/>
  <c r="X1126" i="3" s="1"/>
  <c r="W1126" i="3" a="1"/>
  <c r="W1126" i="3" s="1"/>
  <c r="V1126" i="3" a="1"/>
  <c r="V1126" i="3" s="1"/>
  <c r="Q1126" i="3" a="1"/>
  <c r="Q1126" i="3" s="1"/>
  <c r="Y1124" i="3" a="1"/>
  <c r="Y1124" i="3" s="1"/>
  <c r="X1124" i="3" a="1"/>
  <c r="X1124" i="3" s="1"/>
  <c r="W1124" i="3" a="1"/>
  <c r="W1124" i="3" s="1"/>
  <c r="V1124" i="3" a="1"/>
  <c r="V1124" i="3" s="1"/>
  <c r="Q1124" i="3" a="1"/>
  <c r="Q1124" i="3" s="1"/>
  <c r="Y1122" i="3" a="1"/>
  <c r="Y1122" i="3" s="1"/>
  <c r="X1122" i="3" a="1"/>
  <c r="X1122" i="3" s="1"/>
  <c r="W1122" i="3" a="1"/>
  <c r="W1122" i="3" s="1"/>
  <c r="V1122" i="3" a="1"/>
  <c r="V1122" i="3" s="1"/>
  <c r="Q1122" i="3" a="1"/>
  <c r="Q1122" i="3" s="1"/>
  <c r="Y1120" i="3" a="1"/>
  <c r="Y1120" i="3" s="1"/>
  <c r="X1120" i="3" a="1"/>
  <c r="X1120" i="3" s="1"/>
  <c r="W1120" i="3" a="1"/>
  <c r="W1120" i="3" s="1"/>
  <c r="V1120" i="3" a="1"/>
  <c r="V1120" i="3" s="1"/>
  <c r="Q1120" i="3" a="1"/>
  <c r="Q1120" i="3" s="1"/>
  <c r="Q1915" i="3" a="1"/>
  <c r="Q1915" i="3" s="1"/>
  <c r="V1915" i="3" a="1"/>
  <c r="V1915" i="3" s="1"/>
  <c r="W1915" i="3" a="1"/>
  <c r="W1915" i="3" s="1"/>
  <c r="X1915" i="3" a="1"/>
  <c r="X1915" i="3" s="1"/>
  <c r="Y1915" i="3" a="1"/>
  <c r="Y1915" i="3" s="1"/>
  <c r="Q1917" i="3" a="1"/>
  <c r="Q1917" i="3" s="1"/>
  <c r="V1917" i="3" a="1"/>
  <c r="V1917" i="3" s="1"/>
  <c r="W1917" i="3" a="1"/>
  <c r="W1917" i="3" s="1"/>
  <c r="X1917" i="3" a="1"/>
  <c r="X1917" i="3" s="1"/>
  <c r="Y1917" i="3" a="1"/>
  <c r="Y1917" i="3" s="1"/>
  <c r="Q1919" i="3" a="1"/>
  <c r="Q1919" i="3" s="1"/>
  <c r="V1919" i="3" a="1"/>
  <c r="V1919" i="3" s="1"/>
  <c r="W1919" i="3" a="1"/>
  <c r="W1919" i="3" s="1"/>
  <c r="X1919" i="3" a="1"/>
  <c r="X1919" i="3" s="1"/>
  <c r="Y1919" i="3" a="1"/>
  <c r="Y1919" i="3" s="1"/>
  <c r="Q1921" i="3" a="1"/>
  <c r="Q1921" i="3" s="1"/>
  <c r="V1921" i="3" a="1"/>
  <c r="V1921" i="3" s="1"/>
  <c r="W1921" i="3" a="1"/>
  <c r="W1921" i="3" s="1"/>
  <c r="X1921" i="3" a="1"/>
  <c r="X1921" i="3" s="1"/>
  <c r="Y1921" i="3" a="1"/>
  <c r="Y1921" i="3" s="1"/>
  <c r="Y294" i="3" a="1"/>
  <c r="Y294" i="3" s="1"/>
  <c r="X294" i="3" a="1"/>
  <c r="X294" i="3" s="1"/>
  <c r="W294" i="3" a="1"/>
  <c r="W294" i="3" s="1"/>
  <c r="V294" i="3" a="1"/>
  <c r="V294" i="3" s="1"/>
  <c r="Q294" i="3" a="1"/>
  <c r="Q294" i="3" s="1"/>
  <c r="Y292" i="3" a="1"/>
  <c r="Y292" i="3" s="1"/>
  <c r="X292" i="3" a="1"/>
  <c r="X292" i="3" s="1"/>
  <c r="W292" i="3" a="1"/>
  <c r="W292" i="3" s="1"/>
  <c r="V292" i="3" a="1"/>
  <c r="V292" i="3" s="1"/>
  <c r="Q292" i="3" a="1"/>
  <c r="Q292" i="3" s="1"/>
  <c r="Y290" i="3" a="1"/>
  <c r="Y290" i="3" s="1"/>
  <c r="X290" i="3" a="1"/>
  <c r="X290" i="3" s="1"/>
  <c r="W290" i="3" a="1"/>
  <c r="W290" i="3" s="1"/>
  <c r="V290" i="3" a="1"/>
  <c r="V290" i="3" s="1"/>
  <c r="Q290" i="3" a="1"/>
  <c r="Q290" i="3" s="1"/>
  <c r="Y288" i="3" a="1"/>
  <c r="Y288" i="3" s="1"/>
  <c r="X288" i="3" a="1"/>
  <c r="X288" i="3" s="1"/>
  <c r="W288" i="3" a="1"/>
  <c r="W288" i="3" s="1"/>
  <c r="V288" i="3" a="1"/>
  <c r="V288" i="3" s="1"/>
  <c r="Q288" i="3" a="1"/>
  <c r="Q288" i="3" s="1"/>
  <c r="Y286" i="3" a="1"/>
  <c r="Y286" i="3" s="1"/>
  <c r="X286" i="3" a="1"/>
  <c r="X286" i="3" s="1"/>
  <c r="W286" i="3" a="1"/>
  <c r="W286" i="3" s="1"/>
  <c r="V286" i="3" a="1"/>
  <c r="V286" i="3" s="1"/>
  <c r="Q286" i="3" a="1"/>
  <c r="Q286" i="3" s="1"/>
  <c r="Y284" i="3" a="1"/>
  <c r="Y284" i="3" s="1"/>
  <c r="X284" i="3" a="1"/>
  <c r="X284" i="3" s="1"/>
  <c r="W284" i="3" a="1"/>
  <c r="W284" i="3" s="1"/>
  <c r="V284" i="3" a="1"/>
  <c r="V284" i="3" s="1"/>
  <c r="Q284" i="3" a="1"/>
  <c r="Q284" i="3" s="1"/>
  <c r="Y282" i="3" a="1"/>
  <c r="Y282" i="3" s="1"/>
  <c r="X282" i="3" a="1"/>
  <c r="X282" i="3" s="1"/>
  <c r="W282" i="3" a="1"/>
  <c r="W282" i="3" s="1"/>
  <c r="V282" i="3" a="1"/>
  <c r="V282" i="3" s="1"/>
  <c r="Q282" i="3" a="1"/>
  <c r="Q282" i="3" s="1"/>
  <c r="Y280" i="3" a="1"/>
  <c r="Y280" i="3" s="1"/>
  <c r="X280" i="3" a="1"/>
  <c r="X280" i="3" s="1"/>
  <c r="W280" i="3" a="1"/>
  <c r="W280" i="3" s="1"/>
  <c r="V280" i="3" a="1"/>
  <c r="V280" i="3" s="1"/>
  <c r="Q280" i="3" a="1"/>
  <c r="Q280" i="3" s="1"/>
  <c r="Y278" i="3" a="1"/>
  <c r="Y278" i="3" s="1"/>
  <c r="X278" i="3" a="1"/>
  <c r="X278" i="3" s="1"/>
  <c r="W278" i="3" a="1"/>
  <c r="W278" i="3" s="1"/>
  <c r="V278" i="3" a="1"/>
  <c r="V278" i="3" s="1"/>
  <c r="Q278" i="3" a="1"/>
  <c r="Q278" i="3" s="1"/>
  <c r="Y2043" i="3" a="1"/>
  <c r="Y2043" i="3" s="1"/>
  <c r="X2043" i="3" a="1"/>
  <c r="X2043" i="3" s="1"/>
  <c r="W2043" i="3" a="1"/>
  <c r="W2043" i="3" s="1"/>
  <c r="V2043" i="3" a="1"/>
  <c r="V2043" i="3" s="1"/>
  <c r="Q2043" i="3" a="1"/>
  <c r="Q2043" i="3" s="1"/>
  <c r="Y2039" i="3" a="1"/>
  <c r="Y2039" i="3" s="1"/>
  <c r="X2039" i="3" a="1"/>
  <c r="X2039" i="3" s="1"/>
  <c r="W2039" i="3" a="1"/>
  <c r="W2039" i="3" s="1"/>
  <c r="V2039" i="3" a="1"/>
  <c r="V2039" i="3" s="1"/>
  <c r="Q2039" i="3" a="1"/>
  <c r="Q2039" i="3" s="1"/>
  <c r="Y2035" i="3" a="1"/>
  <c r="Y2035" i="3" s="1"/>
  <c r="X2035" i="3" a="1"/>
  <c r="X2035" i="3" s="1"/>
  <c r="W2035" i="3" a="1"/>
  <c r="W2035" i="3" s="1"/>
  <c r="V2035" i="3" a="1"/>
  <c r="V2035" i="3" s="1"/>
  <c r="Q2035" i="3" a="1"/>
  <c r="Q2035" i="3" s="1"/>
  <c r="Y2031" i="3" a="1"/>
  <c r="Y2031" i="3" s="1"/>
  <c r="X2031" i="3" a="1"/>
  <c r="X2031" i="3" s="1"/>
  <c r="W2031" i="3" a="1"/>
  <c r="W2031" i="3" s="1"/>
  <c r="V2031" i="3" a="1"/>
  <c r="V2031" i="3" s="1"/>
  <c r="Q2031" i="3" a="1"/>
  <c r="Q2031" i="3" s="1"/>
  <c r="Y2027" i="3" a="1"/>
  <c r="Y2027" i="3" s="1"/>
  <c r="X2027" i="3" a="1"/>
  <c r="X2027" i="3" s="1"/>
  <c r="W2027" i="3" a="1"/>
  <c r="W2027" i="3" s="1"/>
  <c r="V2027" i="3" a="1"/>
  <c r="V2027" i="3" s="1"/>
  <c r="Q2027" i="3" a="1"/>
  <c r="Q2027" i="3" s="1"/>
  <c r="Y1361" i="3" a="1"/>
  <c r="Y1361" i="3" s="1"/>
  <c r="X1361" i="3" a="1"/>
  <c r="X1361" i="3" s="1"/>
  <c r="W1361" i="3" a="1"/>
  <c r="W1361" i="3" s="1"/>
  <c r="V1361" i="3" a="1"/>
  <c r="V1361" i="3" s="1"/>
  <c r="Q1361" i="3" a="1"/>
  <c r="Q1361" i="3" s="1"/>
  <c r="Y1357" i="3" a="1"/>
  <c r="Y1357" i="3" s="1"/>
  <c r="X1357" i="3" a="1"/>
  <c r="X1357" i="3" s="1"/>
  <c r="W1357" i="3" a="1"/>
  <c r="W1357" i="3" s="1"/>
  <c r="V1357" i="3" a="1"/>
  <c r="V1357" i="3" s="1"/>
  <c r="Q1357" i="3" a="1"/>
  <c r="Q1357" i="3" s="1"/>
  <c r="Y1353" i="3" a="1"/>
  <c r="Y1353" i="3" s="1"/>
  <c r="X1353" i="3" a="1"/>
  <c r="X1353" i="3" s="1"/>
  <c r="W1353" i="3" a="1"/>
  <c r="W1353" i="3" s="1"/>
  <c r="V1353" i="3" a="1"/>
  <c r="V1353" i="3" s="1"/>
  <c r="Q1353" i="3" a="1"/>
  <c r="Q1353" i="3" s="1"/>
  <c r="Y1349" i="3" a="1"/>
  <c r="Y1349" i="3" s="1"/>
  <c r="X1349" i="3" a="1"/>
  <c r="X1349" i="3" s="1"/>
  <c r="W1349" i="3" a="1"/>
  <c r="W1349" i="3" s="1"/>
  <c r="V1349" i="3" a="1"/>
  <c r="V1349" i="3" s="1"/>
  <c r="Q1349" i="3" a="1"/>
  <c r="Q1349" i="3" s="1"/>
  <c r="Y1345" i="3" a="1"/>
  <c r="Y1345" i="3" s="1"/>
  <c r="X1345" i="3" a="1"/>
  <c r="X1345" i="3" s="1"/>
  <c r="W1345" i="3" a="1"/>
  <c r="W1345" i="3" s="1"/>
  <c r="V1345" i="3" a="1"/>
  <c r="V1345" i="3" s="1"/>
  <c r="Q1345" i="3" a="1"/>
  <c r="Q1345" i="3" s="1"/>
  <c r="Y1341" i="3" a="1"/>
  <c r="Y1341" i="3" s="1"/>
  <c r="X1341" i="3" a="1"/>
  <c r="X1341" i="3" s="1"/>
  <c r="W1341" i="3" a="1"/>
  <c r="W1341" i="3" s="1"/>
  <c r="V1341" i="3" a="1"/>
  <c r="V1341" i="3" s="1"/>
  <c r="Q1341" i="3" a="1"/>
  <c r="Q1341" i="3" s="1"/>
  <c r="Y1337" i="3" a="1"/>
  <c r="Y1337" i="3" s="1"/>
  <c r="X1337" i="3" a="1"/>
  <c r="X1337" i="3" s="1"/>
  <c r="W1337" i="3" a="1"/>
  <c r="W1337" i="3" s="1"/>
  <c r="V1337" i="3" a="1"/>
  <c r="V1337" i="3" s="1"/>
  <c r="Q1337" i="3" a="1"/>
  <c r="Q1337" i="3" s="1"/>
  <c r="Y1333" i="3" a="1"/>
  <c r="Y1333" i="3" s="1"/>
  <c r="X1333" i="3" a="1"/>
  <c r="X1333" i="3" s="1"/>
  <c r="W1333" i="3" a="1"/>
  <c r="W1333" i="3" s="1"/>
  <c r="V1333" i="3" a="1"/>
  <c r="V1333" i="3" s="1"/>
  <c r="Q1333" i="3" a="1"/>
  <c r="Q1333" i="3" s="1"/>
  <c r="Y1329" i="3" a="1"/>
  <c r="Y1329" i="3" s="1"/>
  <c r="X1329" i="3" a="1"/>
  <c r="X1329" i="3" s="1"/>
  <c r="W1329" i="3" a="1"/>
  <c r="W1329" i="3" s="1"/>
  <c r="V1329" i="3" a="1"/>
  <c r="V1329" i="3" s="1"/>
  <c r="Q1329" i="3" a="1"/>
  <c r="Q1329" i="3" s="1"/>
  <c r="Y503" i="3" a="1"/>
  <c r="Y503" i="3" s="1"/>
  <c r="X503" i="3" a="1"/>
  <c r="X503" i="3" s="1"/>
  <c r="W503" i="3" a="1"/>
  <c r="W503" i="3" s="1"/>
  <c r="V503" i="3" a="1"/>
  <c r="V503" i="3" s="1"/>
  <c r="Q503" i="3" a="1"/>
  <c r="Q503" i="3" s="1"/>
  <c r="Y499" i="3" a="1"/>
  <c r="Y499" i="3" s="1"/>
  <c r="X499" i="3" a="1"/>
  <c r="X499" i="3" s="1"/>
  <c r="W499" i="3" a="1"/>
  <c r="W499" i="3" s="1"/>
  <c r="V499" i="3" a="1"/>
  <c r="V499" i="3" s="1"/>
  <c r="Q499" i="3" a="1"/>
  <c r="Q499" i="3" s="1"/>
  <c r="Y495" i="3" a="1"/>
  <c r="Y495" i="3" s="1"/>
  <c r="X495" i="3" a="1"/>
  <c r="X495" i="3" s="1"/>
  <c r="W495" i="3" a="1"/>
  <c r="W495" i="3" s="1"/>
  <c r="V495" i="3" a="1"/>
  <c r="V495" i="3" s="1"/>
  <c r="Q495" i="3" a="1"/>
  <c r="Q495" i="3" s="1"/>
  <c r="Y491" i="3" a="1"/>
  <c r="Y491" i="3" s="1"/>
  <c r="X491" i="3" a="1"/>
  <c r="X491" i="3" s="1"/>
  <c r="W491" i="3" a="1"/>
  <c r="W491" i="3" s="1"/>
  <c r="V491" i="3" a="1"/>
  <c r="V491" i="3" s="1"/>
  <c r="Q491" i="3" a="1"/>
  <c r="Q491" i="3" s="1"/>
  <c r="Y487" i="3" a="1"/>
  <c r="Y487" i="3" s="1"/>
  <c r="X487" i="3" a="1"/>
  <c r="X487" i="3" s="1"/>
  <c r="W487" i="3" a="1"/>
  <c r="W487" i="3" s="1"/>
  <c r="V487" i="3" a="1"/>
  <c r="V487" i="3" s="1"/>
  <c r="Q487" i="3" a="1"/>
  <c r="Q487" i="3" s="1"/>
  <c r="Y483" i="3" a="1"/>
  <c r="Y483" i="3" s="1"/>
  <c r="X483" i="3" a="1"/>
  <c r="X483" i="3" s="1"/>
  <c r="W483" i="3" a="1"/>
  <c r="W483" i="3" s="1"/>
  <c r="V483" i="3" a="1"/>
  <c r="V483" i="3" s="1"/>
  <c r="Q483" i="3" a="1"/>
  <c r="Q483" i="3" s="1"/>
  <c r="Y479" i="3" a="1"/>
  <c r="Y479" i="3" s="1"/>
  <c r="X479" i="3" a="1"/>
  <c r="X479" i="3" s="1"/>
  <c r="W479" i="3" a="1"/>
  <c r="W479" i="3" s="1"/>
  <c r="V479" i="3" a="1"/>
  <c r="V479" i="3" s="1"/>
  <c r="Q479" i="3" a="1"/>
  <c r="Q479" i="3" s="1"/>
  <c r="Y475" i="3" a="1"/>
  <c r="Y475" i="3" s="1"/>
  <c r="X475" i="3" a="1"/>
  <c r="X475" i="3" s="1"/>
  <c r="W475" i="3" a="1"/>
  <c r="W475" i="3" s="1"/>
  <c r="V475" i="3" a="1"/>
  <c r="V475" i="3" s="1"/>
  <c r="Q475" i="3" a="1"/>
  <c r="Q475" i="3" s="1"/>
  <c r="Y471" i="3" a="1"/>
  <c r="Y471" i="3" s="1"/>
  <c r="X471" i="3" a="1"/>
  <c r="X471" i="3" s="1"/>
  <c r="W471" i="3" a="1"/>
  <c r="W471" i="3" s="1"/>
  <c r="V471" i="3" a="1"/>
  <c r="V471" i="3" s="1"/>
  <c r="Q471" i="3" a="1"/>
  <c r="Q471" i="3" s="1"/>
  <c r="Y1996" i="3" a="1"/>
  <c r="Y1996" i="3" s="1"/>
  <c r="X1996" i="3" a="1"/>
  <c r="X1996" i="3" s="1"/>
  <c r="W1996" i="3" a="1"/>
  <c r="W1996" i="3" s="1"/>
  <c r="V1996" i="3" a="1"/>
  <c r="V1996" i="3" s="1"/>
  <c r="Q1996" i="3" a="1"/>
  <c r="Q1996" i="3" s="1"/>
  <c r="Y1992" i="3" a="1"/>
  <c r="Y1992" i="3" s="1"/>
  <c r="X1992" i="3" a="1"/>
  <c r="X1992" i="3" s="1"/>
  <c r="W1992" i="3" a="1"/>
  <c r="W1992" i="3" s="1"/>
  <c r="V1992" i="3" a="1"/>
  <c r="V1992" i="3" s="1"/>
  <c r="Q1992" i="3" a="1"/>
  <c r="Q1992" i="3" s="1"/>
  <c r="Y1988" i="3" a="1"/>
  <c r="Y1988" i="3" s="1"/>
  <c r="X1988" i="3" a="1"/>
  <c r="X1988" i="3" s="1"/>
  <c r="W1988" i="3" a="1"/>
  <c r="W1988" i="3" s="1"/>
  <c r="V1988" i="3" a="1"/>
  <c r="V1988" i="3" s="1"/>
  <c r="Q1988" i="3" a="1"/>
  <c r="Q1988" i="3" s="1"/>
  <c r="Y1984" i="3" a="1"/>
  <c r="Y1984" i="3" s="1"/>
  <c r="X1984" i="3" a="1"/>
  <c r="X1984" i="3" s="1"/>
  <c r="W1984" i="3" a="1"/>
  <c r="W1984" i="3" s="1"/>
  <c r="V1984" i="3" a="1"/>
  <c r="V1984" i="3" s="1"/>
  <c r="Q1984" i="3" a="1"/>
  <c r="Q1984" i="3" s="1"/>
  <c r="Y1980" i="3" a="1"/>
  <c r="Y1980" i="3" s="1"/>
  <c r="X1980" i="3" a="1"/>
  <c r="X1980" i="3" s="1"/>
  <c r="W1980" i="3" a="1"/>
  <c r="W1980" i="3" s="1"/>
  <c r="V1980" i="3" a="1"/>
  <c r="V1980" i="3" s="1"/>
  <c r="Q1980" i="3" a="1"/>
  <c r="Q1980" i="3" s="1"/>
  <c r="Y413" i="3" a="1"/>
  <c r="Y413" i="3" s="1"/>
  <c r="X413" i="3" a="1"/>
  <c r="X413" i="3" s="1"/>
  <c r="W413" i="3" a="1"/>
  <c r="W413" i="3" s="1"/>
  <c r="V413" i="3" a="1"/>
  <c r="V413" i="3" s="1"/>
  <c r="Q413" i="3" a="1"/>
  <c r="Q413" i="3" s="1"/>
  <c r="Y409" i="3" a="1"/>
  <c r="Y409" i="3" s="1"/>
  <c r="X409" i="3" a="1"/>
  <c r="X409" i="3" s="1"/>
  <c r="W409" i="3" a="1"/>
  <c r="W409" i="3" s="1"/>
  <c r="V409" i="3" a="1"/>
  <c r="V409" i="3" s="1"/>
  <c r="Q409" i="3" a="1"/>
  <c r="Q409" i="3" s="1"/>
  <c r="Y405" i="3" a="1"/>
  <c r="Y405" i="3" s="1"/>
  <c r="X405" i="3" a="1"/>
  <c r="X405" i="3" s="1"/>
  <c r="W405" i="3" a="1"/>
  <c r="W405" i="3" s="1"/>
  <c r="V405" i="3" a="1"/>
  <c r="V405" i="3" s="1"/>
  <c r="Q405" i="3" a="1"/>
  <c r="Q405" i="3" s="1"/>
  <c r="Y401" i="3" a="1"/>
  <c r="Y401" i="3" s="1"/>
  <c r="X401" i="3" a="1"/>
  <c r="X401" i="3" s="1"/>
  <c r="W401" i="3" a="1"/>
  <c r="W401" i="3" s="1"/>
  <c r="V401" i="3" a="1"/>
  <c r="V401" i="3" s="1"/>
  <c r="Q401" i="3" a="1"/>
  <c r="Q401" i="3" s="1"/>
  <c r="Y397" i="3" a="1"/>
  <c r="Y397" i="3" s="1"/>
  <c r="X397" i="3" a="1"/>
  <c r="X397" i="3" s="1"/>
  <c r="W397" i="3" a="1"/>
  <c r="W397" i="3" s="1"/>
  <c r="V397" i="3" a="1"/>
  <c r="V397" i="3" s="1"/>
  <c r="Q397" i="3" a="1"/>
  <c r="Q397" i="3" s="1"/>
  <c r="Y393" i="3" a="1"/>
  <c r="Y393" i="3" s="1"/>
  <c r="X393" i="3" a="1"/>
  <c r="X393" i="3" s="1"/>
  <c r="W393" i="3" a="1"/>
  <c r="W393" i="3" s="1"/>
  <c r="V393" i="3" a="1"/>
  <c r="V393" i="3" s="1"/>
  <c r="Q393" i="3" a="1"/>
  <c r="Q393" i="3" s="1"/>
  <c r="Y389" i="3" a="1"/>
  <c r="Y389" i="3" s="1"/>
  <c r="X389" i="3" a="1"/>
  <c r="X389" i="3" s="1"/>
  <c r="W389" i="3" a="1"/>
  <c r="W389" i="3" s="1"/>
  <c r="V389" i="3" a="1"/>
  <c r="V389" i="3" s="1"/>
  <c r="Q389" i="3" a="1"/>
  <c r="Q389" i="3" s="1"/>
  <c r="Y385" i="3" a="1"/>
  <c r="Y385" i="3" s="1"/>
  <c r="X385" i="3" a="1"/>
  <c r="X385" i="3" s="1"/>
  <c r="W385" i="3" a="1"/>
  <c r="W385" i="3" s="1"/>
  <c r="V385" i="3" a="1"/>
  <c r="V385" i="3" s="1"/>
  <c r="Q385" i="3" a="1"/>
  <c r="Q385" i="3" s="1"/>
  <c r="Y381" i="3" a="1"/>
  <c r="Y381" i="3" s="1"/>
  <c r="X381" i="3" a="1"/>
  <c r="X381" i="3" s="1"/>
  <c r="W381" i="3" a="1"/>
  <c r="W381" i="3" s="1"/>
  <c r="V381" i="3" a="1"/>
  <c r="V381" i="3" s="1"/>
  <c r="Q381" i="3" a="1"/>
  <c r="Q381" i="3" s="1"/>
  <c r="Y1271" i="3" a="1"/>
  <c r="Y1271" i="3" s="1"/>
  <c r="X1271" i="3" a="1"/>
  <c r="X1271" i="3" s="1"/>
  <c r="W1271" i="3" a="1"/>
  <c r="W1271" i="3" s="1"/>
  <c r="V1271" i="3" a="1"/>
  <c r="V1271" i="3" s="1"/>
  <c r="Q1271" i="3" a="1"/>
  <c r="Q1271" i="3" s="1"/>
  <c r="Y1267" i="3" a="1"/>
  <c r="Y1267" i="3" s="1"/>
  <c r="X1267" i="3" a="1"/>
  <c r="X1267" i="3" s="1"/>
  <c r="W1267" i="3" a="1"/>
  <c r="W1267" i="3" s="1"/>
  <c r="V1267" i="3" a="1"/>
  <c r="V1267" i="3" s="1"/>
  <c r="Q1267" i="3" a="1"/>
  <c r="Q1267" i="3" s="1"/>
  <c r="Y1263" i="3" a="1"/>
  <c r="Y1263" i="3" s="1"/>
  <c r="X1263" i="3" a="1"/>
  <c r="X1263" i="3" s="1"/>
  <c r="W1263" i="3" a="1"/>
  <c r="W1263" i="3" s="1"/>
  <c r="V1263" i="3" a="1"/>
  <c r="V1263" i="3" s="1"/>
  <c r="Q1263" i="3" a="1"/>
  <c r="Q1263" i="3" s="1"/>
  <c r="Y1259" i="3" a="1"/>
  <c r="Y1259" i="3" s="1"/>
  <c r="X1259" i="3" a="1"/>
  <c r="X1259" i="3" s="1"/>
  <c r="W1259" i="3" a="1"/>
  <c r="W1259" i="3" s="1"/>
  <c r="V1259" i="3" a="1"/>
  <c r="V1259" i="3" s="1"/>
  <c r="Q1259" i="3" a="1"/>
  <c r="Q1259" i="3" s="1"/>
  <c r="Y1255" i="3" a="1"/>
  <c r="Y1255" i="3" s="1"/>
  <c r="X1255" i="3" a="1"/>
  <c r="X1255" i="3" s="1"/>
  <c r="W1255" i="3" a="1"/>
  <c r="W1255" i="3" s="1"/>
  <c r="V1255" i="3" a="1"/>
  <c r="V1255" i="3" s="1"/>
  <c r="Q1255" i="3" a="1"/>
  <c r="Q1255" i="3" s="1"/>
  <c r="Y1251" i="3" a="1"/>
  <c r="Y1251" i="3" s="1"/>
  <c r="X1251" i="3" a="1"/>
  <c r="X1251" i="3" s="1"/>
  <c r="W1251" i="3" a="1"/>
  <c r="W1251" i="3" s="1"/>
  <c r="V1251" i="3" a="1"/>
  <c r="V1251" i="3" s="1"/>
  <c r="Q1251" i="3" a="1"/>
  <c r="Q1251" i="3" s="1"/>
  <c r="Y1247" i="3" a="1"/>
  <c r="Y1247" i="3" s="1"/>
  <c r="X1247" i="3" a="1"/>
  <c r="X1247" i="3" s="1"/>
  <c r="W1247" i="3" a="1"/>
  <c r="W1247" i="3" s="1"/>
  <c r="V1247" i="3" a="1"/>
  <c r="V1247" i="3" s="1"/>
  <c r="Q1247" i="3" a="1"/>
  <c r="Q1247" i="3" s="1"/>
  <c r="Y1243" i="3" a="1"/>
  <c r="Y1243" i="3" s="1"/>
  <c r="X1243" i="3" a="1"/>
  <c r="X1243" i="3" s="1"/>
  <c r="W1243" i="3" a="1"/>
  <c r="W1243" i="3" s="1"/>
  <c r="V1243" i="3" a="1"/>
  <c r="V1243" i="3" s="1"/>
  <c r="Q1243" i="3" a="1"/>
  <c r="Q1243" i="3" s="1"/>
  <c r="Y1239" i="3" a="1"/>
  <c r="Y1239" i="3" s="1"/>
  <c r="X1239" i="3" a="1"/>
  <c r="X1239" i="3" s="1"/>
  <c r="W1239" i="3" a="1"/>
  <c r="W1239" i="3" s="1"/>
  <c r="V1239" i="3" a="1"/>
  <c r="V1239" i="3" s="1"/>
  <c r="Q1239" i="3" a="1"/>
  <c r="Q1239" i="3" s="1"/>
  <c r="Y1905" i="3" a="1"/>
  <c r="Y1905" i="3" s="1"/>
  <c r="X1905" i="3" a="1"/>
  <c r="X1905" i="3" s="1"/>
  <c r="W1905" i="3" a="1"/>
  <c r="W1905" i="3" s="1"/>
  <c r="V1905" i="3" a="1"/>
  <c r="V1905" i="3" s="1"/>
  <c r="Q1905" i="3" a="1"/>
  <c r="Q1905" i="3" s="1"/>
  <c r="Y1903" i="3" a="1"/>
  <c r="Y1903" i="3" s="1"/>
  <c r="X1903" i="3" a="1"/>
  <c r="X1903" i="3" s="1"/>
  <c r="W1903" i="3" a="1"/>
  <c r="W1903" i="3" s="1"/>
  <c r="V1903" i="3" a="1"/>
  <c r="V1903" i="3" s="1"/>
  <c r="Q1903" i="3" a="1"/>
  <c r="Q1903" i="3" s="1"/>
  <c r="Y1901" i="3" a="1"/>
  <c r="Y1901" i="3" s="1"/>
  <c r="X1901" i="3" a="1"/>
  <c r="X1901" i="3" s="1"/>
  <c r="W1901" i="3" a="1"/>
  <c r="W1901" i="3" s="1"/>
  <c r="V1901" i="3" a="1"/>
  <c r="V1901" i="3" s="1"/>
  <c r="Q1901" i="3" a="1"/>
  <c r="Q1901" i="3" s="1"/>
  <c r="Y1899" i="3" a="1"/>
  <c r="Y1899" i="3" s="1"/>
  <c r="X1899" i="3" a="1"/>
  <c r="X1899" i="3" s="1"/>
  <c r="W1899" i="3" a="1"/>
  <c r="W1899" i="3" s="1"/>
  <c r="V1899" i="3" a="1"/>
  <c r="V1899" i="3" s="1"/>
  <c r="Q1899" i="3" a="1"/>
  <c r="Q1899" i="3" s="1"/>
  <c r="Y1897" i="3" a="1"/>
  <c r="Y1897" i="3" s="1"/>
  <c r="X1897" i="3" a="1"/>
  <c r="X1897" i="3" s="1"/>
  <c r="W1897" i="3" a="1"/>
  <c r="W1897" i="3" s="1"/>
  <c r="V1897" i="3" a="1"/>
  <c r="V1897" i="3" s="1"/>
  <c r="Q1897" i="3" a="1"/>
  <c r="Q1897" i="3" s="1"/>
  <c r="Y1101" i="3" a="1"/>
  <c r="Y1101" i="3" s="1"/>
  <c r="X1101" i="3" a="1"/>
  <c r="X1101" i="3" s="1"/>
  <c r="W1101" i="3" a="1"/>
  <c r="W1101" i="3" s="1"/>
  <c r="V1101" i="3" a="1"/>
  <c r="V1101" i="3" s="1"/>
  <c r="Q1101" i="3" a="1"/>
  <c r="Q1101" i="3" s="1"/>
  <c r="Y1099" i="3" a="1"/>
  <c r="Y1099" i="3" s="1"/>
  <c r="X1099" i="3" a="1"/>
  <c r="X1099" i="3" s="1"/>
  <c r="W1099" i="3" a="1"/>
  <c r="W1099" i="3" s="1"/>
  <c r="V1099" i="3" a="1"/>
  <c r="V1099" i="3" s="1"/>
  <c r="Q1099" i="3" a="1"/>
  <c r="Q1099" i="3" s="1"/>
  <c r="Y1097" i="3" a="1"/>
  <c r="Y1097" i="3" s="1"/>
  <c r="X1097" i="3" a="1"/>
  <c r="X1097" i="3" s="1"/>
  <c r="W1097" i="3" a="1"/>
  <c r="W1097" i="3" s="1"/>
  <c r="V1097" i="3" a="1"/>
  <c r="V1097" i="3" s="1"/>
  <c r="Q1097" i="3" a="1"/>
  <c r="Q1097" i="3" s="1"/>
  <c r="Y1095" i="3" a="1"/>
  <c r="Y1095" i="3" s="1"/>
  <c r="X1095" i="3" a="1"/>
  <c r="X1095" i="3" s="1"/>
  <c r="W1095" i="3" a="1"/>
  <c r="W1095" i="3" s="1"/>
  <c r="V1095" i="3" a="1"/>
  <c r="V1095" i="3" s="1"/>
  <c r="Q1095" i="3" a="1"/>
  <c r="Q1095" i="3" s="1"/>
  <c r="Y1093" i="3" a="1"/>
  <c r="Y1093" i="3" s="1"/>
  <c r="X1093" i="3" a="1"/>
  <c r="X1093" i="3" s="1"/>
  <c r="W1093" i="3" a="1"/>
  <c r="W1093" i="3" s="1"/>
  <c r="V1093" i="3" a="1"/>
  <c r="V1093" i="3" s="1"/>
  <c r="Q1093" i="3" a="1"/>
  <c r="Q1093" i="3" s="1"/>
  <c r="Y1091" i="3" a="1"/>
  <c r="Y1091" i="3" s="1"/>
  <c r="X1091" i="3" a="1"/>
  <c r="X1091" i="3" s="1"/>
  <c r="W1091" i="3" a="1"/>
  <c r="W1091" i="3" s="1"/>
  <c r="V1091" i="3" a="1"/>
  <c r="V1091" i="3" s="1"/>
  <c r="Q1091" i="3" a="1"/>
  <c r="Q1091" i="3" s="1"/>
  <c r="Y1089" i="3" a="1"/>
  <c r="Y1089" i="3" s="1"/>
  <c r="X1089" i="3" a="1"/>
  <c r="X1089" i="3" s="1"/>
  <c r="W1089" i="3" a="1"/>
  <c r="W1089" i="3" s="1"/>
  <c r="V1089" i="3" a="1"/>
  <c r="V1089" i="3" s="1"/>
  <c r="Q1089" i="3" a="1"/>
  <c r="Q1089" i="3" s="1"/>
  <c r="Y1087" i="3" a="1"/>
  <c r="Y1087" i="3" s="1"/>
  <c r="X1087" i="3" a="1"/>
  <c r="X1087" i="3" s="1"/>
  <c r="W1087" i="3" a="1"/>
  <c r="W1087" i="3" s="1"/>
  <c r="V1087" i="3" a="1"/>
  <c r="V1087" i="3" s="1"/>
  <c r="Q1087" i="3" a="1"/>
  <c r="Q1087" i="3" s="1"/>
  <c r="Y1085" i="3" a="1"/>
  <c r="Y1085" i="3" s="1"/>
  <c r="X1085" i="3" a="1"/>
  <c r="X1085" i="3" s="1"/>
  <c r="W1085" i="3" a="1"/>
  <c r="W1085" i="3" s="1"/>
  <c r="V1085" i="3" a="1"/>
  <c r="V1085" i="3" s="1"/>
  <c r="Q1085" i="3" a="1"/>
  <c r="Q1085" i="3" s="1"/>
  <c r="Y258" i="3" a="1"/>
  <c r="Y258" i="3" s="1"/>
  <c r="X258" i="3" a="1"/>
  <c r="X258" i="3" s="1"/>
  <c r="W258" i="3" a="1"/>
  <c r="W258" i="3" s="1"/>
  <c r="V258" i="3" a="1"/>
  <c r="V258" i="3" s="1"/>
  <c r="Q258" i="3" a="1"/>
  <c r="Q258" i="3" s="1"/>
  <c r="Y256" i="3" a="1"/>
  <c r="Y256" i="3" s="1"/>
  <c r="X256" i="3" a="1"/>
  <c r="X256" i="3" s="1"/>
  <c r="W256" i="3" a="1"/>
  <c r="W256" i="3" s="1"/>
  <c r="V256" i="3" a="1"/>
  <c r="V256" i="3" s="1"/>
  <c r="Q256" i="3" a="1"/>
  <c r="Q256" i="3" s="1"/>
  <c r="Y254" i="3" a="1"/>
  <c r="Y254" i="3" s="1"/>
  <c r="X254" i="3" a="1"/>
  <c r="X254" i="3" s="1"/>
  <c r="W254" i="3" a="1"/>
  <c r="W254" i="3" s="1"/>
  <c r="V254" i="3" a="1"/>
  <c r="V254" i="3" s="1"/>
  <c r="Q254" i="3" a="1"/>
  <c r="Q254" i="3" s="1"/>
  <c r="Y252" i="3" a="1"/>
  <c r="Y252" i="3" s="1"/>
  <c r="X252" i="3" a="1"/>
  <c r="X252" i="3" s="1"/>
  <c r="W252" i="3" a="1"/>
  <c r="W252" i="3" s="1"/>
  <c r="V252" i="3" a="1"/>
  <c r="V252" i="3" s="1"/>
  <c r="Q252" i="3" a="1"/>
  <c r="Q252" i="3" s="1"/>
  <c r="Y250" i="3" a="1"/>
  <c r="Y250" i="3" s="1"/>
  <c r="X250" i="3" a="1"/>
  <c r="X250" i="3" s="1"/>
  <c r="W250" i="3" a="1"/>
  <c r="W250" i="3" s="1"/>
  <c r="V250" i="3" a="1"/>
  <c r="V250" i="3" s="1"/>
  <c r="Q250" i="3" a="1"/>
  <c r="Q250" i="3" s="1"/>
  <c r="Y248" i="3" a="1"/>
  <c r="Y248" i="3" s="1"/>
  <c r="X248" i="3" a="1"/>
  <c r="X248" i="3" s="1"/>
  <c r="W248" i="3" a="1"/>
  <c r="W248" i="3" s="1"/>
  <c r="V248" i="3" a="1"/>
  <c r="V248" i="3" s="1"/>
  <c r="Q248" i="3" a="1"/>
  <c r="Q248" i="3" s="1"/>
  <c r="Y246" i="3" a="1"/>
  <c r="Y246" i="3" s="1"/>
  <c r="X246" i="3" a="1"/>
  <c r="X246" i="3" s="1"/>
  <c r="W246" i="3" a="1"/>
  <c r="W246" i="3" s="1"/>
  <c r="V246" i="3" a="1"/>
  <c r="V246" i="3" s="1"/>
  <c r="Q246" i="3" a="1"/>
  <c r="Q246" i="3" s="1"/>
  <c r="Y244" i="3" a="1"/>
  <c r="Y244" i="3" s="1"/>
  <c r="X244" i="3" a="1"/>
  <c r="X244" i="3" s="1"/>
  <c r="W244" i="3" a="1"/>
  <c r="W244" i="3" s="1"/>
  <c r="V244" i="3" a="1"/>
  <c r="V244" i="3" s="1"/>
  <c r="Q244" i="3" a="1"/>
  <c r="Q244" i="3" s="1"/>
  <c r="Y242" i="3" a="1"/>
  <c r="Y242" i="3" s="1"/>
  <c r="X242" i="3" a="1"/>
  <c r="X242" i="3" s="1"/>
  <c r="W242" i="3" a="1"/>
  <c r="W242" i="3" s="1"/>
  <c r="V242" i="3" a="1"/>
  <c r="V242" i="3" s="1"/>
  <c r="Q242" i="3" a="1"/>
  <c r="Q242" i="3" s="1"/>
  <c r="U97" i="1" l="1"/>
  <c r="T97" i="1"/>
  <c r="S97" i="1" a="1"/>
  <c r="S97" i="1" s="1"/>
  <c r="R97" i="1" a="1"/>
  <c r="R97" i="1" s="1"/>
  <c r="Q97" i="1" a="1"/>
  <c r="Q97" i="1" s="1"/>
  <c r="U193" i="1"/>
  <c r="T193" i="1"/>
  <c r="S193" i="1" a="1"/>
  <c r="S193" i="1" s="1"/>
  <c r="R193" i="1" a="1"/>
  <c r="R193" i="1" s="1"/>
  <c r="Q193" i="1" a="1"/>
  <c r="Q193" i="1" s="1"/>
  <c r="U659" i="1" l="1"/>
  <c r="T659" i="1"/>
  <c r="U657" i="1"/>
  <c r="T657" i="1"/>
  <c r="S657" i="1" a="1"/>
  <c r="S657" i="1" s="1"/>
  <c r="R657" i="1" a="1"/>
  <c r="R657" i="1" s="1"/>
  <c r="U760" i="1"/>
  <c r="T760" i="1"/>
  <c r="S760" i="1" a="1"/>
  <c r="S760" i="1" s="1"/>
  <c r="R760" i="1" a="1"/>
  <c r="R760" i="1" s="1"/>
  <c r="U764" i="1"/>
  <c r="T764" i="1"/>
  <c r="S764" i="1" a="1"/>
  <c r="S764" i="1" s="1"/>
  <c r="R764" i="1" a="1"/>
  <c r="R764" i="1" s="1"/>
  <c r="U601" i="1"/>
  <c r="T601" i="1"/>
  <c r="S601" i="1" a="1"/>
  <c r="S601" i="1" s="1"/>
  <c r="R601" i="1" a="1"/>
  <c r="R601" i="1" s="1"/>
  <c r="U859" i="1"/>
  <c r="T859" i="1"/>
  <c r="S859" i="1" a="1"/>
  <c r="S859" i="1" s="1"/>
  <c r="R859" i="1" a="1"/>
  <c r="R859" i="1" s="1"/>
  <c r="U856" i="1"/>
  <c r="T856" i="1"/>
  <c r="U855" i="1"/>
  <c r="T855" i="1"/>
  <c r="U854" i="1"/>
  <c r="T854" i="1"/>
  <c r="U853" i="1"/>
  <c r="T853" i="1"/>
  <c r="U852" i="1"/>
  <c r="T852" i="1"/>
  <c r="U851" i="1"/>
  <c r="T851" i="1"/>
  <c r="U850" i="1"/>
  <c r="T850" i="1"/>
  <c r="U849" i="1"/>
  <c r="T849" i="1"/>
  <c r="U829" i="1"/>
  <c r="T829" i="1"/>
  <c r="S829" i="1" a="1"/>
  <c r="S829" i="1" s="1"/>
  <c r="R829" i="1" a="1"/>
  <c r="R829" i="1" s="1"/>
  <c r="U827" i="1"/>
  <c r="T827" i="1"/>
  <c r="S827" i="1" a="1"/>
  <c r="S827" i="1" s="1"/>
  <c r="R827" i="1" a="1"/>
  <c r="R827" i="1" s="1"/>
  <c r="U599" i="1"/>
  <c r="T599" i="1"/>
  <c r="U824" i="1"/>
  <c r="T824" i="1"/>
  <c r="U823" i="1"/>
  <c r="T823" i="1"/>
  <c r="U822" i="1"/>
  <c r="T822" i="1"/>
  <c r="U821" i="1"/>
  <c r="T821" i="1"/>
  <c r="U820" i="1"/>
  <c r="T820" i="1"/>
  <c r="U819" i="1"/>
  <c r="T819" i="1"/>
  <c r="U818" i="1"/>
  <c r="T818" i="1"/>
  <c r="U817" i="1"/>
  <c r="T817" i="1"/>
  <c r="U797" i="1"/>
  <c r="T797" i="1"/>
  <c r="S797" i="1" a="1"/>
  <c r="S797" i="1" s="1"/>
  <c r="R797" i="1" a="1"/>
  <c r="R797" i="1" s="1"/>
  <c r="U795" i="1"/>
  <c r="T795" i="1"/>
  <c r="S795" i="1" a="1"/>
  <c r="S795" i="1" s="1"/>
  <c r="R795" i="1" a="1"/>
  <c r="R795" i="1" s="1"/>
  <c r="U888" i="1" l="1"/>
  <c r="T888" i="1"/>
  <c r="U887" i="1"/>
  <c r="T887" i="1"/>
  <c r="U885" i="1"/>
  <c r="T885" i="1"/>
  <c r="S885" i="1" a="1"/>
  <c r="S885" i="1" s="1"/>
  <c r="R885" i="1" a="1"/>
  <c r="R885" i="1" s="1"/>
  <c r="U883" i="1"/>
  <c r="T883" i="1"/>
  <c r="S883" i="1" a="1"/>
  <c r="S883" i="1" s="1"/>
  <c r="R883" i="1" a="1"/>
  <c r="R883" i="1" s="1"/>
  <c r="R594" i="1" a="1"/>
  <c r="R594" i="1" s="1"/>
  <c r="S594" i="1" a="1"/>
  <c r="S594" i="1" s="1"/>
  <c r="T594" i="1"/>
  <c r="U594" i="1"/>
  <c r="T595" i="1"/>
  <c r="U595" i="1"/>
  <c r="T596" i="1"/>
  <c r="U596" i="1"/>
  <c r="T597" i="1"/>
  <c r="U597" i="1"/>
  <c r="T598" i="1"/>
  <c r="U598" i="1"/>
  <c r="R600" i="1" a="1"/>
  <c r="R600" i="1" s="1"/>
  <c r="S600" i="1" a="1"/>
  <c r="S600" i="1" s="1"/>
  <c r="T600" i="1"/>
  <c r="U600" i="1"/>
  <c r="T602" i="1"/>
  <c r="U602" i="1"/>
  <c r="T603" i="1"/>
  <c r="U603" i="1"/>
  <c r="T604" i="1"/>
  <c r="U604" i="1"/>
  <c r="T605" i="1"/>
  <c r="U605" i="1"/>
  <c r="T606" i="1"/>
  <c r="U606" i="1"/>
  <c r="T607" i="1"/>
  <c r="U607" i="1"/>
  <c r="T608" i="1"/>
  <c r="U608" i="1"/>
  <c r="T609" i="1"/>
  <c r="U609" i="1"/>
  <c r="T611" i="1"/>
  <c r="U611" i="1"/>
  <c r="T612" i="1"/>
  <c r="U612" i="1"/>
  <c r="T613" i="1"/>
  <c r="U613" i="1"/>
  <c r="T614" i="1"/>
  <c r="U614" i="1"/>
  <c r="T615" i="1"/>
  <c r="U615" i="1"/>
  <c r="T616" i="1"/>
  <c r="U616" i="1"/>
  <c r="T617" i="1"/>
  <c r="U617" i="1"/>
  <c r="T618" i="1"/>
  <c r="U618" i="1"/>
  <c r="T620" i="1"/>
  <c r="U620" i="1"/>
  <c r="T621" i="1"/>
  <c r="U621" i="1"/>
  <c r="T622" i="1"/>
  <c r="U622" i="1"/>
  <c r="T623" i="1"/>
  <c r="U623" i="1"/>
  <c r="T624" i="1"/>
  <c r="U624" i="1"/>
  <c r="T625" i="1"/>
  <c r="U625" i="1"/>
  <c r="T626" i="1"/>
  <c r="U626" i="1"/>
  <c r="T627" i="1"/>
  <c r="U627" i="1"/>
  <c r="T629" i="1"/>
  <c r="U629" i="1"/>
  <c r="T630" i="1"/>
  <c r="U630" i="1"/>
  <c r="T631" i="1"/>
  <c r="U631" i="1"/>
  <c r="T632" i="1"/>
  <c r="U632" i="1"/>
  <c r="T633" i="1"/>
  <c r="U633" i="1"/>
  <c r="T634" i="1"/>
  <c r="U634" i="1"/>
  <c r="T635" i="1"/>
  <c r="U635" i="1"/>
  <c r="T636" i="1"/>
  <c r="U636" i="1"/>
  <c r="T638" i="1"/>
  <c r="U638" i="1"/>
  <c r="T639" i="1"/>
  <c r="U639" i="1"/>
  <c r="T640" i="1"/>
  <c r="U640" i="1"/>
  <c r="T641" i="1"/>
  <c r="U641" i="1"/>
  <c r="T642" i="1"/>
  <c r="U642" i="1"/>
  <c r="T643" i="1"/>
  <c r="U643" i="1"/>
  <c r="T644" i="1"/>
  <c r="U644" i="1"/>
  <c r="T645" i="1"/>
  <c r="U645" i="1"/>
  <c r="T647" i="1"/>
  <c r="U647" i="1"/>
  <c r="T648" i="1"/>
  <c r="U648" i="1"/>
  <c r="T649" i="1"/>
  <c r="U649" i="1"/>
  <c r="T650" i="1"/>
  <c r="U650" i="1"/>
  <c r="T651" i="1"/>
  <c r="U651" i="1"/>
  <c r="T652" i="1"/>
  <c r="U652" i="1"/>
  <c r="T653" i="1"/>
  <c r="U653" i="1"/>
  <c r="T654" i="1"/>
  <c r="U654" i="1"/>
  <c r="R656" i="1" a="1"/>
  <c r="R656" i="1" s="1"/>
  <c r="S656" i="1" a="1"/>
  <c r="S656" i="1" s="1"/>
  <c r="T656" i="1"/>
  <c r="U656" i="1"/>
  <c r="T658" i="1"/>
  <c r="U658" i="1"/>
  <c r="T660" i="1"/>
  <c r="U660" i="1"/>
  <c r="T661" i="1"/>
  <c r="U661" i="1"/>
  <c r="T662" i="1"/>
  <c r="U662" i="1"/>
  <c r="T663" i="1"/>
  <c r="U663" i="1"/>
  <c r="T664" i="1"/>
  <c r="U664" i="1"/>
  <c r="T665" i="1"/>
  <c r="U665" i="1"/>
  <c r="T666" i="1"/>
  <c r="U666" i="1"/>
  <c r="T667" i="1"/>
  <c r="U667" i="1"/>
  <c r="T669" i="1"/>
  <c r="U669" i="1"/>
  <c r="T670" i="1"/>
  <c r="U670" i="1"/>
  <c r="T671" i="1"/>
  <c r="U671" i="1"/>
  <c r="T672" i="1"/>
  <c r="U672" i="1"/>
  <c r="T673" i="1"/>
  <c r="U673" i="1"/>
  <c r="T674" i="1"/>
  <c r="U674" i="1"/>
  <c r="T675" i="1"/>
  <c r="U675" i="1"/>
  <c r="T676" i="1"/>
  <c r="U676" i="1"/>
  <c r="T678" i="1"/>
  <c r="U678" i="1"/>
  <c r="T679" i="1"/>
  <c r="U679" i="1"/>
  <c r="T680" i="1"/>
  <c r="U680" i="1"/>
  <c r="T681" i="1"/>
  <c r="U681" i="1"/>
  <c r="T682" i="1"/>
  <c r="U682" i="1"/>
  <c r="T683" i="1"/>
  <c r="U683" i="1"/>
  <c r="T684" i="1"/>
  <c r="U684" i="1"/>
  <c r="T685" i="1"/>
  <c r="U685" i="1"/>
  <c r="T687" i="1"/>
  <c r="U687" i="1"/>
  <c r="T688" i="1"/>
  <c r="U688" i="1"/>
  <c r="T689" i="1"/>
  <c r="U689" i="1"/>
  <c r="T690" i="1"/>
  <c r="U690" i="1"/>
  <c r="T691" i="1"/>
  <c r="U691" i="1"/>
  <c r="T692" i="1"/>
  <c r="U692" i="1"/>
  <c r="T693" i="1"/>
  <c r="U693" i="1"/>
  <c r="T694" i="1"/>
  <c r="U694" i="1"/>
  <c r="T696" i="1"/>
  <c r="U696" i="1"/>
  <c r="T697" i="1"/>
  <c r="U697" i="1"/>
  <c r="T698" i="1"/>
  <c r="U698" i="1"/>
  <c r="T699" i="1"/>
  <c r="U699" i="1"/>
  <c r="T700" i="1"/>
  <c r="U700" i="1"/>
  <c r="T701" i="1"/>
  <c r="U701" i="1"/>
  <c r="T702" i="1"/>
  <c r="U702" i="1"/>
  <c r="T703" i="1"/>
  <c r="U703" i="1"/>
  <c r="T705" i="1"/>
  <c r="U705" i="1"/>
  <c r="T706" i="1"/>
  <c r="U706" i="1"/>
  <c r="T707" i="1"/>
  <c r="U707" i="1"/>
  <c r="T708" i="1"/>
  <c r="U708" i="1"/>
  <c r="T709" i="1"/>
  <c r="U709" i="1"/>
  <c r="T710" i="1"/>
  <c r="U710" i="1"/>
  <c r="T711" i="1"/>
  <c r="U711" i="1"/>
  <c r="T712" i="1"/>
  <c r="U712" i="1"/>
  <c r="T714" i="1"/>
  <c r="U714" i="1"/>
  <c r="T715" i="1"/>
  <c r="U715" i="1"/>
  <c r="T716" i="1"/>
  <c r="U716" i="1"/>
  <c r="T717" i="1"/>
  <c r="U717" i="1"/>
  <c r="T718" i="1"/>
  <c r="U718" i="1"/>
  <c r="T719" i="1"/>
  <c r="U719" i="1"/>
  <c r="T720" i="1"/>
  <c r="U720" i="1"/>
  <c r="T721" i="1"/>
  <c r="U721" i="1"/>
  <c r="T723" i="1"/>
  <c r="U723" i="1"/>
  <c r="T724" i="1"/>
  <c r="U724" i="1"/>
  <c r="T725" i="1"/>
  <c r="U725" i="1"/>
  <c r="T726" i="1"/>
  <c r="U726" i="1"/>
  <c r="T727" i="1"/>
  <c r="U727" i="1"/>
  <c r="T728" i="1"/>
  <c r="U728" i="1"/>
  <c r="T729" i="1"/>
  <c r="U729" i="1"/>
  <c r="T730" i="1"/>
  <c r="U730" i="1"/>
  <c r="T732" i="1"/>
  <c r="U732" i="1"/>
  <c r="T733" i="1"/>
  <c r="U733" i="1"/>
  <c r="T734" i="1"/>
  <c r="U734" i="1"/>
  <c r="T735" i="1"/>
  <c r="U735" i="1"/>
  <c r="T736" i="1"/>
  <c r="U736" i="1"/>
  <c r="T737" i="1"/>
  <c r="U737" i="1"/>
  <c r="T738" i="1"/>
  <c r="U738" i="1"/>
  <c r="T739" i="1"/>
  <c r="U739" i="1"/>
  <c r="T741" i="1"/>
  <c r="U741" i="1"/>
  <c r="T742" i="1"/>
  <c r="U742" i="1"/>
  <c r="T743" i="1"/>
  <c r="U743" i="1"/>
  <c r="T744" i="1"/>
  <c r="U744" i="1"/>
  <c r="T745" i="1"/>
  <c r="U745" i="1"/>
  <c r="T746" i="1"/>
  <c r="U746" i="1"/>
  <c r="T747" i="1"/>
  <c r="U747" i="1"/>
  <c r="T748" i="1"/>
  <c r="U748" i="1"/>
  <c r="T750" i="1"/>
  <c r="U750" i="1"/>
  <c r="T751" i="1"/>
  <c r="U751" i="1"/>
  <c r="T752" i="1"/>
  <c r="U752" i="1"/>
  <c r="T753" i="1"/>
  <c r="U753" i="1"/>
  <c r="T754" i="1"/>
  <c r="U754" i="1"/>
  <c r="T755" i="1"/>
  <c r="U755" i="1"/>
  <c r="T756" i="1"/>
  <c r="U756" i="1"/>
  <c r="T757" i="1"/>
  <c r="U757" i="1"/>
  <c r="R759" i="1" a="1"/>
  <c r="R759" i="1" s="1"/>
  <c r="S759" i="1" a="1"/>
  <c r="S759" i="1" s="1"/>
  <c r="T759" i="1"/>
  <c r="U759" i="1"/>
  <c r="R761" i="1" a="1"/>
  <c r="R761" i="1" s="1"/>
  <c r="S761" i="1" a="1"/>
  <c r="S761" i="1" s="1"/>
  <c r="T761" i="1"/>
  <c r="U761" i="1"/>
  <c r="T762" i="1"/>
  <c r="U762" i="1"/>
  <c r="R763" i="1" a="1"/>
  <c r="R763" i="1" s="1"/>
  <c r="S763" i="1" a="1"/>
  <c r="S763" i="1" s="1"/>
  <c r="T763" i="1"/>
  <c r="U763" i="1"/>
  <c r="T765" i="1"/>
  <c r="U765" i="1"/>
  <c r="T766" i="1"/>
  <c r="U766" i="1"/>
  <c r="T767" i="1"/>
  <c r="U767" i="1"/>
  <c r="T768" i="1"/>
  <c r="U768" i="1"/>
  <c r="T769" i="1"/>
  <c r="U769" i="1"/>
  <c r="T770" i="1"/>
  <c r="U770" i="1"/>
  <c r="R771" i="1" a="1"/>
  <c r="R771" i="1" s="1"/>
  <c r="S771" i="1" a="1"/>
  <c r="S771" i="1" s="1"/>
  <c r="T771" i="1"/>
  <c r="U771" i="1"/>
  <c r="R772" i="1" a="1"/>
  <c r="R772" i="1" s="1"/>
  <c r="S772" i="1" a="1"/>
  <c r="S772" i="1" s="1"/>
  <c r="T772" i="1"/>
  <c r="U772" i="1"/>
  <c r="R773" i="1" a="1"/>
  <c r="R773" i="1" s="1"/>
  <c r="S773" i="1" a="1"/>
  <c r="S773" i="1" s="1"/>
  <c r="T773" i="1"/>
  <c r="U773" i="1"/>
  <c r="R774" i="1" a="1"/>
  <c r="R774" i="1" s="1"/>
  <c r="S774" i="1" a="1"/>
  <c r="S774" i="1" s="1"/>
  <c r="T774" i="1"/>
  <c r="U774" i="1"/>
  <c r="R775" i="1" a="1"/>
  <c r="R775" i="1" s="1"/>
  <c r="S775" i="1" a="1"/>
  <c r="S775" i="1" s="1"/>
  <c r="T775" i="1"/>
  <c r="U775" i="1"/>
  <c r="R776" i="1" a="1"/>
  <c r="R776" i="1" s="1"/>
  <c r="S776" i="1" a="1"/>
  <c r="S776" i="1" s="1"/>
  <c r="T776" i="1"/>
  <c r="U776" i="1"/>
  <c r="T777" i="1"/>
  <c r="U777" i="1"/>
  <c r="R778" i="1" a="1"/>
  <c r="R778" i="1" s="1"/>
  <c r="S778" i="1" a="1"/>
  <c r="S778" i="1" s="1"/>
  <c r="T778" i="1"/>
  <c r="U778" i="1"/>
  <c r="T779" i="1"/>
  <c r="U779" i="1"/>
  <c r="R780" i="1" a="1"/>
  <c r="R780" i="1" s="1"/>
  <c r="S780" i="1" a="1"/>
  <c r="S780" i="1" s="1"/>
  <c r="T780" i="1"/>
  <c r="U780" i="1"/>
  <c r="T781" i="1"/>
  <c r="U781" i="1"/>
  <c r="T782" i="1"/>
  <c r="U782" i="1"/>
  <c r="T783" i="1"/>
  <c r="U783" i="1"/>
  <c r="R784" i="1" a="1"/>
  <c r="R784" i="1" s="1"/>
  <c r="S784" i="1" a="1"/>
  <c r="S784" i="1" s="1"/>
  <c r="T784" i="1"/>
  <c r="U784" i="1"/>
  <c r="R785" i="1" a="1"/>
  <c r="R785" i="1" s="1"/>
  <c r="S785" i="1" a="1"/>
  <c r="S785" i="1" s="1"/>
  <c r="T785" i="1"/>
  <c r="U785" i="1"/>
  <c r="T786" i="1"/>
  <c r="U786" i="1"/>
  <c r="T787" i="1"/>
  <c r="U787" i="1"/>
  <c r="T788" i="1"/>
  <c r="U788" i="1"/>
  <c r="R789" i="1" a="1"/>
  <c r="R789" i="1" s="1"/>
  <c r="S789" i="1" a="1"/>
  <c r="S789" i="1" s="1"/>
  <c r="T789" i="1"/>
  <c r="U789" i="1"/>
  <c r="R790" i="1" a="1"/>
  <c r="R790" i="1" s="1"/>
  <c r="S790" i="1" a="1"/>
  <c r="S790" i="1" s="1"/>
  <c r="T790" i="1"/>
  <c r="U790" i="1"/>
  <c r="T791" i="1"/>
  <c r="U791" i="1"/>
  <c r="T792" i="1"/>
  <c r="U792" i="1"/>
  <c r="T793" i="1"/>
  <c r="U793" i="1"/>
  <c r="R794" i="1" a="1"/>
  <c r="R794" i="1" s="1"/>
  <c r="S794" i="1" a="1"/>
  <c r="S794" i="1" s="1"/>
  <c r="T794" i="1"/>
  <c r="U794" i="1"/>
  <c r="R796" i="1" a="1"/>
  <c r="R796" i="1" s="1"/>
  <c r="S796" i="1" a="1"/>
  <c r="S796" i="1" s="1"/>
  <c r="T796" i="1"/>
  <c r="U796" i="1"/>
  <c r="T798" i="1"/>
  <c r="U798" i="1"/>
  <c r="T799" i="1"/>
  <c r="U799" i="1"/>
  <c r="T800" i="1"/>
  <c r="U800" i="1"/>
  <c r="T801" i="1"/>
  <c r="U801" i="1"/>
  <c r="T802" i="1"/>
  <c r="U802" i="1"/>
  <c r="T803" i="1"/>
  <c r="U803" i="1"/>
  <c r="T804" i="1"/>
  <c r="U804" i="1"/>
  <c r="T805" i="1"/>
  <c r="U805" i="1"/>
  <c r="T808" i="1"/>
  <c r="U808" i="1"/>
  <c r="T809" i="1"/>
  <c r="U809" i="1"/>
  <c r="T810" i="1"/>
  <c r="U810" i="1"/>
  <c r="T811" i="1"/>
  <c r="U811" i="1"/>
  <c r="T812" i="1"/>
  <c r="U812" i="1"/>
  <c r="T813" i="1"/>
  <c r="U813" i="1"/>
  <c r="T814" i="1"/>
  <c r="U814" i="1"/>
  <c r="T815" i="1"/>
  <c r="U815" i="1"/>
  <c r="R826" i="1" a="1"/>
  <c r="R826" i="1" s="1"/>
  <c r="S826" i="1" a="1"/>
  <c r="S826" i="1" s="1"/>
  <c r="T826" i="1"/>
  <c r="U826" i="1"/>
  <c r="R828" i="1" a="1"/>
  <c r="R828" i="1" s="1"/>
  <c r="S828" i="1" a="1"/>
  <c r="S828" i="1" s="1"/>
  <c r="T828" i="1"/>
  <c r="U828" i="1"/>
  <c r="T830" i="1"/>
  <c r="U830" i="1"/>
  <c r="T831" i="1"/>
  <c r="U831" i="1"/>
  <c r="T832" i="1"/>
  <c r="U832" i="1"/>
  <c r="T833" i="1"/>
  <c r="U833" i="1"/>
  <c r="T834" i="1"/>
  <c r="U834" i="1"/>
  <c r="T835" i="1"/>
  <c r="U835" i="1"/>
  <c r="T836" i="1"/>
  <c r="U836" i="1"/>
  <c r="T837" i="1"/>
  <c r="U837" i="1"/>
  <c r="T840" i="1"/>
  <c r="U840" i="1"/>
  <c r="T841" i="1"/>
  <c r="U841" i="1"/>
  <c r="T842" i="1"/>
  <c r="U842" i="1"/>
  <c r="T843" i="1"/>
  <c r="U843" i="1"/>
  <c r="T844" i="1"/>
  <c r="U844" i="1"/>
  <c r="T845" i="1"/>
  <c r="U845" i="1"/>
  <c r="T846" i="1"/>
  <c r="U846" i="1"/>
  <c r="T847" i="1"/>
  <c r="U847" i="1"/>
  <c r="R858" i="1" a="1"/>
  <c r="R858" i="1" s="1"/>
  <c r="S858" i="1" a="1"/>
  <c r="S858" i="1" s="1"/>
  <c r="T858" i="1"/>
  <c r="U858" i="1"/>
  <c r="R860" i="1" a="1"/>
  <c r="R860" i="1" s="1"/>
  <c r="S860" i="1" a="1"/>
  <c r="S860" i="1" s="1"/>
  <c r="T860" i="1"/>
  <c r="U860" i="1"/>
  <c r="T861" i="1"/>
  <c r="U861" i="1"/>
  <c r="T862" i="1"/>
  <c r="U862" i="1"/>
  <c r="T863" i="1"/>
  <c r="U863" i="1"/>
  <c r="T864" i="1"/>
  <c r="U864" i="1"/>
  <c r="T865" i="1"/>
  <c r="U865" i="1"/>
  <c r="T866" i="1"/>
  <c r="U866" i="1"/>
  <c r="T867" i="1"/>
  <c r="U867" i="1"/>
  <c r="T868" i="1"/>
  <c r="U868" i="1"/>
  <c r="T870" i="1"/>
  <c r="U870" i="1"/>
  <c r="T871" i="1"/>
  <c r="U871" i="1"/>
  <c r="T872" i="1"/>
  <c r="U872" i="1"/>
  <c r="T873" i="1"/>
  <c r="U873" i="1"/>
  <c r="T874" i="1"/>
  <c r="U874" i="1"/>
  <c r="T875" i="1"/>
  <c r="U875" i="1"/>
  <c r="T876" i="1"/>
  <c r="U876" i="1"/>
  <c r="T877" i="1"/>
  <c r="U877" i="1"/>
  <c r="R879" i="1" a="1"/>
  <c r="R879" i="1" s="1"/>
  <c r="S879" i="1" a="1"/>
  <c r="S879" i="1" s="1"/>
  <c r="T879" i="1"/>
  <c r="U879" i="1"/>
  <c r="T880" i="1"/>
  <c r="U880" i="1"/>
  <c r="T881" i="1"/>
  <c r="U881" i="1"/>
  <c r="R882" i="1" a="1"/>
  <c r="R882" i="1" s="1"/>
  <c r="S882" i="1" a="1"/>
  <c r="S882" i="1" s="1"/>
  <c r="T882" i="1"/>
  <c r="U882" i="1"/>
  <c r="R884" i="1" a="1"/>
  <c r="R884" i="1" s="1"/>
  <c r="S884" i="1" a="1"/>
  <c r="S884" i="1" s="1"/>
  <c r="T884" i="1"/>
  <c r="U884" i="1"/>
  <c r="T886" i="1"/>
  <c r="U886" i="1"/>
  <c r="T889" i="1"/>
  <c r="U889" i="1"/>
  <c r="R580" i="1" a="1"/>
  <c r="R580" i="1" s="1"/>
  <c r="S580" i="1" a="1"/>
  <c r="S580" i="1" s="1"/>
  <c r="T580" i="1"/>
  <c r="U580" i="1"/>
  <c r="R581" i="1" a="1"/>
  <c r="R581" i="1" s="1"/>
  <c r="S581" i="1" a="1"/>
  <c r="S581" i="1" s="1"/>
  <c r="T581" i="1"/>
  <c r="U581" i="1"/>
  <c r="T582" i="1"/>
  <c r="U582" i="1"/>
  <c r="T583" i="1"/>
  <c r="U583" i="1"/>
  <c r="T584" i="1"/>
  <c r="U584" i="1"/>
  <c r="T585" i="1"/>
  <c r="U585" i="1"/>
  <c r="T586" i="1"/>
  <c r="U586" i="1"/>
  <c r="T587" i="1"/>
  <c r="U587" i="1"/>
  <c r="T588" i="1"/>
  <c r="U588" i="1"/>
  <c r="T589" i="1"/>
  <c r="U589" i="1"/>
  <c r="T590" i="1"/>
  <c r="U590" i="1"/>
  <c r="T591" i="1"/>
  <c r="U591" i="1"/>
  <c r="R593" i="1" a="1"/>
  <c r="R593" i="1" s="1"/>
  <c r="S593" i="1" a="1"/>
  <c r="S593" i="1" s="1"/>
  <c r="T593" i="1"/>
  <c r="U593" i="1"/>
  <c r="R567" i="1" a="1"/>
  <c r="R567" i="1" s="1"/>
  <c r="S567" i="1" a="1"/>
  <c r="S567" i="1" s="1"/>
  <c r="T567" i="1"/>
  <c r="U567" i="1"/>
  <c r="R568" i="1" a="1"/>
  <c r="R568" i="1" s="1"/>
  <c r="S568" i="1" a="1"/>
  <c r="S568" i="1" s="1"/>
  <c r="T568" i="1"/>
  <c r="U568" i="1"/>
  <c r="T569" i="1"/>
  <c r="U569" i="1"/>
  <c r="T570" i="1"/>
  <c r="U570" i="1"/>
  <c r="T571" i="1"/>
  <c r="U571" i="1"/>
  <c r="T572" i="1"/>
  <c r="U572" i="1"/>
  <c r="T573" i="1"/>
  <c r="U573" i="1"/>
  <c r="T574" i="1"/>
  <c r="U574" i="1"/>
  <c r="T575" i="1"/>
  <c r="U575" i="1"/>
  <c r="T576" i="1"/>
  <c r="U576" i="1"/>
  <c r="T577" i="1"/>
  <c r="U577" i="1"/>
  <c r="T578" i="1"/>
  <c r="U578" i="1"/>
  <c r="Q332" i="1" a="1"/>
  <c r="Q332" i="1" s="1"/>
  <c r="R332" i="1" a="1"/>
  <c r="R332" i="1" s="1"/>
  <c r="S332" i="1" a="1"/>
  <c r="S332" i="1" s="1"/>
  <c r="T332" i="1"/>
  <c r="U332" i="1"/>
  <c r="T333" i="1"/>
  <c r="U333" i="1"/>
  <c r="T334" i="1"/>
  <c r="U334" i="1"/>
  <c r="T335" i="1"/>
  <c r="U335" i="1"/>
  <c r="T336" i="1"/>
  <c r="U336" i="1"/>
  <c r="T337" i="1"/>
  <c r="U337" i="1"/>
  <c r="Q338" i="1" a="1"/>
  <c r="Q338" i="1" s="1"/>
  <c r="R338" i="1" a="1"/>
  <c r="R338" i="1" s="1"/>
  <c r="S338" i="1" a="1"/>
  <c r="S338" i="1" s="1"/>
  <c r="T338" i="1"/>
  <c r="U338" i="1"/>
  <c r="Q339" i="1" a="1"/>
  <c r="Q339" i="1" s="1"/>
  <c r="R339" i="1" a="1"/>
  <c r="R339" i="1" s="1"/>
  <c r="S339" i="1" a="1"/>
  <c r="S339" i="1" s="1"/>
  <c r="T339" i="1"/>
  <c r="U339" i="1"/>
  <c r="Q340" i="1" a="1"/>
  <c r="Q340" i="1" s="1"/>
  <c r="R340" i="1" a="1"/>
  <c r="R340" i="1" s="1"/>
  <c r="S340" i="1" a="1"/>
  <c r="S340" i="1" s="1"/>
  <c r="T340" i="1"/>
  <c r="U340" i="1"/>
  <c r="Q341" i="1" a="1"/>
  <c r="Q341" i="1" s="1"/>
  <c r="R341" i="1" a="1"/>
  <c r="R341" i="1" s="1"/>
  <c r="S341" i="1" a="1"/>
  <c r="S341" i="1" s="1"/>
  <c r="T341" i="1"/>
  <c r="U341" i="1"/>
  <c r="Q342" i="1" a="1"/>
  <c r="Q342" i="1" s="1"/>
  <c r="R342" i="1" a="1"/>
  <c r="R342" i="1" s="1"/>
  <c r="S342" i="1" a="1"/>
  <c r="S342" i="1" s="1"/>
  <c r="T342" i="1"/>
  <c r="U342" i="1"/>
  <c r="Q343" i="1" a="1"/>
  <c r="Q343" i="1" s="1"/>
  <c r="R343" i="1" a="1"/>
  <c r="R343" i="1" s="1"/>
  <c r="S343" i="1" a="1"/>
  <c r="S343" i="1" s="1"/>
  <c r="T343" i="1"/>
  <c r="U343" i="1"/>
  <c r="Q344" i="1" a="1"/>
  <c r="Q344" i="1" s="1"/>
  <c r="R344" i="1" a="1"/>
  <c r="R344" i="1" s="1"/>
  <c r="S344" i="1" a="1"/>
  <c r="S344" i="1" s="1"/>
  <c r="T344" i="1"/>
  <c r="U344" i="1"/>
  <c r="Q345" i="1" a="1"/>
  <c r="Q345" i="1" s="1"/>
  <c r="R345" i="1" a="1"/>
  <c r="R345" i="1" s="1"/>
  <c r="S345" i="1" a="1"/>
  <c r="S345" i="1" s="1"/>
  <c r="T345" i="1"/>
  <c r="U345" i="1"/>
  <c r="Q346" i="1" a="1"/>
  <c r="Q346" i="1" s="1"/>
  <c r="R346" i="1" a="1"/>
  <c r="R346" i="1" s="1"/>
  <c r="T346" i="1" s="1"/>
  <c r="S346" i="1" a="1"/>
  <c r="S346" i="1" s="1"/>
  <c r="U346" i="1" s="1"/>
  <c r="Q347" i="1" a="1"/>
  <c r="Q347" i="1" s="1"/>
  <c r="R347" i="1" a="1"/>
  <c r="R347" i="1" s="1"/>
  <c r="S347" i="1" a="1"/>
  <c r="S347" i="1" s="1"/>
  <c r="T347" i="1"/>
  <c r="U347" i="1"/>
  <c r="Q348" i="1" a="1"/>
  <c r="Q348" i="1" s="1"/>
  <c r="R348" i="1" a="1"/>
  <c r="R348" i="1" s="1"/>
  <c r="S348" i="1" a="1"/>
  <c r="S348" i="1" s="1"/>
  <c r="T348" i="1"/>
  <c r="U348" i="1"/>
  <c r="Q349" i="1" a="1"/>
  <c r="Q349" i="1" s="1"/>
  <c r="R349" i="1" a="1"/>
  <c r="R349" i="1" s="1"/>
  <c r="S349" i="1" a="1"/>
  <c r="S349" i="1" s="1"/>
  <c r="T349" i="1"/>
  <c r="U349" i="1"/>
  <c r="Q350" i="1" a="1"/>
  <c r="Q350" i="1" s="1"/>
  <c r="R350" i="1" a="1"/>
  <c r="R350" i="1" s="1"/>
  <c r="S350" i="1" a="1"/>
  <c r="S350" i="1" s="1"/>
  <c r="T350" i="1"/>
  <c r="U350" i="1"/>
  <c r="Q351" i="1" a="1"/>
  <c r="Q351" i="1" s="1"/>
  <c r="R351" i="1" a="1"/>
  <c r="R351" i="1" s="1"/>
  <c r="S351" i="1" a="1"/>
  <c r="S351" i="1" s="1"/>
  <c r="T351" i="1"/>
  <c r="U351" i="1"/>
  <c r="Q352" i="1" a="1"/>
  <c r="Q352" i="1" s="1"/>
  <c r="R352" i="1" a="1"/>
  <c r="R352" i="1" s="1"/>
  <c r="S352" i="1" a="1"/>
  <c r="S352" i="1" s="1"/>
  <c r="T352" i="1"/>
  <c r="U352" i="1"/>
  <c r="Q353" i="1" a="1"/>
  <c r="Q353" i="1" s="1"/>
  <c r="R353" i="1" a="1"/>
  <c r="R353" i="1" s="1"/>
  <c r="S353" i="1" a="1"/>
  <c r="S353" i="1" s="1"/>
  <c r="T353" i="1"/>
  <c r="U353" i="1"/>
  <c r="Q354" i="1" a="1"/>
  <c r="Q354" i="1" s="1"/>
  <c r="R354" i="1" a="1"/>
  <c r="R354" i="1" s="1"/>
  <c r="S354" i="1" a="1"/>
  <c r="S354" i="1" s="1"/>
  <c r="T354" i="1"/>
  <c r="U354" i="1"/>
  <c r="Q355" i="1" a="1"/>
  <c r="Q355" i="1" s="1"/>
  <c r="R355" i="1" a="1"/>
  <c r="R355" i="1" s="1"/>
  <c r="T355" i="1" s="1"/>
  <c r="S355" i="1" a="1"/>
  <c r="S355" i="1" s="1"/>
  <c r="U355" i="1" s="1"/>
  <c r="Q356" i="1" a="1"/>
  <c r="Q356" i="1" s="1"/>
  <c r="R356" i="1" a="1"/>
  <c r="R356" i="1" s="1"/>
  <c r="S356" i="1" a="1"/>
  <c r="S356" i="1" s="1"/>
  <c r="T356" i="1"/>
  <c r="U356" i="1"/>
  <c r="Q357" i="1" a="1"/>
  <c r="Q357" i="1" s="1"/>
  <c r="R357" i="1" a="1"/>
  <c r="R357" i="1" s="1"/>
  <c r="S357" i="1" a="1"/>
  <c r="S357" i="1" s="1"/>
  <c r="T357" i="1"/>
  <c r="U357" i="1"/>
  <c r="Q358" i="1" a="1"/>
  <c r="Q358" i="1" s="1"/>
  <c r="R358" i="1" a="1"/>
  <c r="R358" i="1" s="1"/>
  <c r="S358" i="1" a="1"/>
  <c r="S358" i="1" s="1"/>
  <c r="T358" i="1"/>
  <c r="U358" i="1"/>
  <c r="Q359" i="1" a="1"/>
  <c r="Q359" i="1" s="1"/>
  <c r="R359" i="1" a="1"/>
  <c r="R359" i="1" s="1"/>
  <c r="S359" i="1" a="1"/>
  <c r="S359" i="1" s="1"/>
  <c r="T359" i="1"/>
  <c r="U359" i="1"/>
  <c r="Q360" i="1" a="1"/>
  <c r="Q360" i="1" s="1"/>
  <c r="R360" i="1" a="1"/>
  <c r="R360" i="1" s="1"/>
  <c r="S360" i="1" a="1"/>
  <c r="S360" i="1" s="1"/>
  <c r="T360" i="1"/>
  <c r="U360" i="1"/>
  <c r="Q361" i="1" a="1"/>
  <c r="Q361" i="1" s="1"/>
  <c r="R361" i="1" a="1"/>
  <c r="R361" i="1" s="1"/>
  <c r="S361" i="1" a="1"/>
  <c r="S361" i="1" s="1"/>
  <c r="T361" i="1"/>
  <c r="U361" i="1"/>
  <c r="Q362" i="1" a="1"/>
  <c r="Q362" i="1" s="1"/>
  <c r="R362" i="1" a="1"/>
  <c r="R362" i="1" s="1"/>
  <c r="S362" i="1" a="1"/>
  <c r="S362" i="1" s="1"/>
  <c r="T362" i="1"/>
  <c r="U362" i="1"/>
  <c r="Q363" i="1" a="1"/>
  <c r="Q363" i="1" s="1"/>
  <c r="R363" i="1" a="1"/>
  <c r="R363" i="1" s="1"/>
  <c r="S363" i="1" a="1"/>
  <c r="S363" i="1" s="1"/>
  <c r="T363" i="1"/>
  <c r="U363" i="1"/>
  <c r="Q364" i="1" a="1"/>
  <c r="Q364" i="1" s="1"/>
  <c r="R364" i="1" a="1"/>
  <c r="R364" i="1" s="1"/>
  <c r="T364" i="1" s="1"/>
  <c r="S364" i="1" a="1"/>
  <c r="S364" i="1" s="1"/>
  <c r="U364" i="1" s="1"/>
  <c r="Q365" i="1" a="1"/>
  <c r="Q365" i="1" s="1"/>
  <c r="R365" i="1" a="1"/>
  <c r="R365" i="1" s="1"/>
  <c r="S365" i="1" a="1"/>
  <c r="S365" i="1" s="1"/>
  <c r="T365" i="1"/>
  <c r="U365" i="1"/>
  <c r="Q366" i="1" a="1"/>
  <c r="Q366" i="1" s="1"/>
  <c r="R366" i="1" a="1"/>
  <c r="R366" i="1" s="1"/>
  <c r="S366" i="1" a="1"/>
  <c r="S366" i="1" s="1"/>
  <c r="T366" i="1"/>
  <c r="U366" i="1"/>
  <c r="Q367" i="1" a="1"/>
  <c r="Q367" i="1" s="1"/>
  <c r="R367" i="1" a="1"/>
  <c r="R367" i="1" s="1"/>
  <c r="S367" i="1" a="1"/>
  <c r="S367" i="1" s="1"/>
  <c r="T367" i="1"/>
  <c r="U367" i="1"/>
  <c r="Q368" i="1" a="1"/>
  <c r="Q368" i="1" s="1"/>
  <c r="R368" i="1" a="1"/>
  <c r="R368" i="1" s="1"/>
  <c r="S368" i="1" a="1"/>
  <c r="S368" i="1" s="1"/>
  <c r="T368" i="1"/>
  <c r="U368" i="1"/>
  <c r="Q369" i="1" a="1"/>
  <c r="Q369" i="1" s="1"/>
  <c r="R369" i="1" a="1"/>
  <c r="R369" i="1" s="1"/>
  <c r="S369" i="1" a="1"/>
  <c r="S369" i="1" s="1"/>
  <c r="T369" i="1"/>
  <c r="U369" i="1"/>
  <c r="Q370" i="1" a="1"/>
  <c r="Q370" i="1" s="1"/>
  <c r="R370" i="1" a="1"/>
  <c r="R370" i="1" s="1"/>
  <c r="S370" i="1" a="1"/>
  <c r="S370" i="1" s="1"/>
  <c r="T370" i="1"/>
  <c r="U370" i="1"/>
  <c r="Q371" i="1" a="1"/>
  <c r="Q371" i="1" s="1"/>
  <c r="R371" i="1" a="1"/>
  <c r="R371" i="1" s="1"/>
  <c r="S371" i="1" a="1"/>
  <c r="S371" i="1" s="1"/>
  <c r="T371" i="1"/>
  <c r="U371" i="1"/>
  <c r="Q372" i="1" a="1"/>
  <c r="Q372" i="1" s="1"/>
  <c r="R372" i="1" a="1"/>
  <c r="R372" i="1" s="1"/>
  <c r="S372" i="1" a="1"/>
  <c r="S372" i="1" s="1"/>
  <c r="T372" i="1"/>
  <c r="U372" i="1"/>
  <c r="Q373" i="1" a="1"/>
  <c r="Q373" i="1" s="1"/>
  <c r="R373" i="1" a="1"/>
  <c r="R373" i="1" s="1"/>
  <c r="T373" i="1" s="1"/>
  <c r="S373" i="1" a="1"/>
  <c r="S373" i="1" s="1"/>
  <c r="U373" i="1" s="1"/>
  <c r="T374" i="1"/>
  <c r="U374" i="1"/>
  <c r="T375" i="1"/>
  <c r="U375" i="1"/>
  <c r="T376" i="1"/>
  <c r="U376" i="1"/>
  <c r="T377" i="1"/>
  <c r="U377" i="1"/>
  <c r="T378" i="1"/>
  <c r="U378" i="1"/>
  <c r="T379" i="1"/>
  <c r="U379" i="1"/>
  <c r="T380" i="1"/>
  <c r="U380" i="1"/>
  <c r="T381" i="1"/>
  <c r="U381" i="1"/>
  <c r="T382" i="1"/>
  <c r="U382" i="1"/>
  <c r="T383" i="1"/>
  <c r="U383" i="1"/>
  <c r="T384" i="1"/>
  <c r="U384" i="1"/>
  <c r="T386" i="1"/>
  <c r="U386" i="1"/>
  <c r="T387" i="1"/>
  <c r="U387" i="1"/>
  <c r="T388" i="1"/>
  <c r="U388" i="1"/>
  <c r="T389" i="1"/>
  <c r="U389" i="1"/>
  <c r="T390" i="1"/>
  <c r="U390" i="1"/>
  <c r="T391" i="1"/>
  <c r="U391" i="1"/>
  <c r="T392" i="1"/>
  <c r="U392" i="1"/>
  <c r="T393" i="1"/>
  <c r="U393" i="1"/>
  <c r="T395" i="1"/>
  <c r="U395" i="1"/>
  <c r="T396" i="1"/>
  <c r="U396" i="1"/>
  <c r="T397" i="1"/>
  <c r="U397" i="1"/>
  <c r="T398" i="1"/>
  <c r="U398" i="1"/>
  <c r="T399" i="1"/>
  <c r="U399" i="1"/>
  <c r="T400" i="1"/>
  <c r="U400" i="1"/>
  <c r="T401" i="1"/>
  <c r="U401" i="1"/>
  <c r="T402" i="1"/>
  <c r="U402" i="1"/>
  <c r="Q404" i="1" a="1"/>
  <c r="Q404" i="1" s="1"/>
  <c r="R404" i="1" a="1"/>
  <c r="R404" i="1" s="1"/>
  <c r="S404" i="1" a="1"/>
  <c r="S404" i="1" s="1"/>
  <c r="T404" i="1"/>
  <c r="U404" i="1"/>
  <c r="Q405" i="1" a="1"/>
  <c r="Q405" i="1" s="1"/>
  <c r="R405" i="1" a="1"/>
  <c r="R405" i="1" s="1"/>
  <c r="S405" i="1" a="1"/>
  <c r="S405" i="1" s="1"/>
  <c r="T405" i="1"/>
  <c r="U405" i="1"/>
  <c r="Q406" i="1" a="1"/>
  <c r="Q406" i="1" s="1"/>
  <c r="R406" i="1" a="1"/>
  <c r="R406" i="1" s="1"/>
  <c r="S406" i="1" a="1"/>
  <c r="S406" i="1" s="1"/>
  <c r="T406" i="1"/>
  <c r="U406" i="1"/>
  <c r="Q407" i="1" a="1"/>
  <c r="Q407" i="1" s="1"/>
  <c r="R407" i="1" a="1"/>
  <c r="R407" i="1" s="1"/>
  <c r="S407" i="1" a="1"/>
  <c r="S407" i="1" s="1"/>
  <c r="T407" i="1"/>
  <c r="U407" i="1"/>
  <c r="Q408" i="1" a="1"/>
  <c r="Q408" i="1" s="1"/>
  <c r="R408" i="1" a="1"/>
  <c r="R408" i="1" s="1"/>
  <c r="S408" i="1" a="1"/>
  <c r="S408" i="1" s="1"/>
  <c r="T408" i="1"/>
  <c r="U408" i="1"/>
  <c r="P409" i="1" a="1"/>
  <c r="P409" i="1" s="1"/>
  <c r="Q409" i="1" a="1"/>
  <c r="Q409" i="1" s="1"/>
  <c r="R409" i="1" a="1"/>
  <c r="R409" i="1" s="1"/>
  <c r="S409" i="1" a="1"/>
  <c r="S409" i="1" s="1"/>
  <c r="T409" i="1"/>
  <c r="U409" i="1"/>
  <c r="P410" i="1" a="1"/>
  <c r="P410" i="1" s="1"/>
  <c r="Q410" i="1" a="1"/>
  <c r="Q410" i="1" s="1"/>
  <c r="R410" i="1" a="1"/>
  <c r="R410" i="1" s="1"/>
  <c r="S410" i="1" a="1"/>
  <c r="S410" i="1" s="1"/>
  <c r="T410" i="1"/>
  <c r="U410" i="1"/>
  <c r="T411" i="1"/>
  <c r="U411" i="1"/>
  <c r="T412" i="1"/>
  <c r="U412" i="1"/>
  <c r="T413" i="1"/>
  <c r="U413" i="1"/>
  <c r="T414" i="1"/>
  <c r="U414" i="1"/>
  <c r="T415" i="1"/>
  <c r="U415" i="1"/>
  <c r="T416" i="1"/>
  <c r="U416" i="1"/>
  <c r="T417" i="1"/>
  <c r="U417" i="1"/>
  <c r="T418" i="1"/>
  <c r="U418" i="1"/>
  <c r="T420" i="1"/>
  <c r="U420" i="1"/>
  <c r="T421" i="1"/>
  <c r="U421" i="1"/>
  <c r="T422" i="1"/>
  <c r="U422" i="1"/>
  <c r="T423" i="1"/>
  <c r="U423" i="1"/>
  <c r="T424" i="1"/>
  <c r="U424" i="1"/>
  <c r="T425" i="1"/>
  <c r="U425" i="1"/>
  <c r="T426" i="1"/>
  <c r="U426" i="1"/>
  <c r="T427" i="1"/>
  <c r="U427" i="1"/>
  <c r="T429" i="1"/>
  <c r="U429" i="1"/>
  <c r="T430" i="1"/>
  <c r="U430" i="1"/>
  <c r="T431" i="1"/>
  <c r="U431" i="1"/>
  <c r="T432" i="1"/>
  <c r="U432" i="1"/>
  <c r="T433" i="1"/>
  <c r="U433" i="1"/>
  <c r="T434" i="1"/>
  <c r="U434" i="1"/>
  <c r="T435" i="1"/>
  <c r="U435" i="1"/>
  <c r="T436" i="1"/>
  <c r="U436" i="1"/>
  <c r="T438" i="1"/>
  <c r="U438" i="1"/>
  <c r="T439" i="1"/>
  <c r="U439" i="1"/>
  <c r="T440" i="1"/>
  <c r="U440" i="1"/>
  <c r="T441" i="1"/>
  <c r="U441" i="1"/>
  <c r="T442" i="1"/>
  <c r="U442" i="1"/>
  <c r="T443" i="1"/>
  <c r="U443" i="1"/>
  <c r="T444" i="1"/>
  <c r="U444" i="1"/>
  <c r="T445" i="1"/>
  <c r="U445" i="1"/>
  <c r="T447" i="1"/>
  <c r="U447" i="1"/>
  <c r="T448" i="1"/>
  <c r="U448" i="1"/>
  <c r="T449" i="1"/>
  <c r="U449" i="1"/>
  <c r="T450" i="1"/>
  <c r="U450" i="1"/>
  <c r="T451" i="1"/>
  <c r="U451" i="1"/>
  <c r="T452" i="1"/>
  <c r="U452" i="1"/>
  <c r="T453" i="1"/>
  <c r="U453" i="1"/>
  <c r="T454" i="1"/>
  <c r="U454" i="1"/>
  <c r="T456" i="1"/>
  <c r="U456" i="1"/>
  <c r="T457" i="1"/>
  <c r="U457" i="1"/>
  <c r="T458" i="1"/>
  <c r="U458" i="1"/>
  <c r="T459" i="1"/>
  <c r="U459" i="1"/>
  <c r="T460" i="1"/>
  <c r="U460" i="1"/>
  <c r="T461" i="1"/>
  <c r="U461" i="1"/>
  <c r="T462" i="1"/>
  <c r="U462" i="1"/>
  <c r="T463" i="1"/>
  <c r="U463" i="1"/>
  <c r="T465" i="1"/>
  <c r="U465" i="1"/>
  <c r="T466" i="1"/>
  <c r="U466" i="1"/>
  <c r="T467" i="1"/>
  <c r="U467" i="1"/>
  <c r="T468" i="1"/>
  <c r="U468" i="1"/>
  <c r="T469" i="1"/>
  <c r="U469" i="1"/>
  <c r="T470" i="1"/>
  <c r="U470" i="1"/>
  <c r="T471" i="1"/>
  <c r="U471" i="1"/>
  <c r="T472" i="1"/>
  <c r="U472" i="1"/>
  <c r="Q474" i="1" a="1"/>
  <c r="Q474" i="1" s="1"/>
  <c r="R474" i="1" a="1"/>
  <c r="R474" i="1" s="1"/>
  <c r="S474" i="1" a="1"/>
  <c r="S474" i="1" s="1"/>
  <c r="T474" i="1"/>
  <c r="U474" i="1"/>
  <c r="Q475" i="1" a="1"/>
  <c r="Q475" i="1" s="1"/>
  <c r="R475" i="1" a="1"/>
  <c r="R475" i="1" s="1"/>
  <c r="S475" i="1" a="1"/>
  <c r="S475" i="1" s="1"/>
  <c r="T475" i="1"/>
  <c r="U475" i="1"/>
  <c r="T476" i="1"/>
  <c r="U476" i="1"/>
  <c r="T477" i="1"/>
  <c r="U477" i="1"/>
  <c r="T478" i="1"/>
  <c r="U478" i="1"/>
  <c r="T479" i="1"/>
  <c r="U479" i="1"/>
  <c r="T480" i="1"/>
  <c r="U480" i="1"/>
  <c r="T481" i="1"/>
  <c r="U481" i="1"/>
  <c r="T482" i="1"/>
  <c r="U482" i="1"/>
  <c r="T483" i="1"/>
  <c r="U483" i="1"/>
  <c r="T485" i="1"/>
  <c r="U485" i="1"/>
  <c r="T486" i="1"/>
  <c r="U486" i="1"/>
  <c r="T487" i="1"/>
  <c r="U487" i="1"/>
  <c r="T488" i="1"/>
  <c r="U488" i="1"/>
  <c r="T489" i="1"/>
  <c r="U489" i="1"/>
  <c r="T490" i="1"/>
  <c r="U490" i="1"/>
  <c r="T491" i="1"/>
  <c r="U491" i="1"/>
  <c r="T492" i="1"/>
  <c r="U492" i="1"/>
  <c r="T494" i="1"/>
  <c r="U494" i="1"/>
  <c r="T495" i="1"/>
  <c r="U495" i="1"/>
  <c r="T496" i="1"/>
  <c r="U496" i="1"/>
  <c r="T497" i="1"/>
  <c r="U497" i="1"/>
  <c r="T498" i="1"/>
  <c r="U498" i="1"/>
  <c r="T499" i="1"/>
  <c r="U499" i="1"/>
  <c r="T500" i="1"/>
  <c r="U500" i="1"/>
  <c r="T501" i="1"/>
  <c r="U501" i="1"/>
  <c r="T503" i="1"/>
  <c r="U503" i="1"/>
  <c r="T504" i="1"/>
  <c r="U504" i="1"/>
  <c r="T505" i="1"/>
  <c r="U505" i="1"/>
  <c r="T506" i="1"/>
  <c r="U506" i="1"/>
  <c r="T507" i="1"/>
  <c r="U507" i="1"/>
  <c r="T508" i="1"/>
  <c r="U508" i="1"/>
  <c r="T509" i="1"/>
  <c r="U509" i="1"/>
  <c r="T510" i="1"/>
  <c r="U510" i="1"/>
  <c r="T512" i="1"/>
  <c r="U512" i="1"/>
  <c r="T513" i="1"/>
  <c r="U513" i="1"/>
  <c r="T514" i="1"/>
  <c r="U514" i="1"/>
  <c r="T515" i="1"/>
  <c r="U515" i="1"/>
  <c r="T516" i="1"/>
  <c r="U516" i="1"/>
  <c r="T517" i="1"/>
  <c r="U517" i="1"/>
  <c r="T518" i="1"/>
  <c r="U518" i="1"/>
  <c r="T519" i="1"/>
  <c r="U519" i="1"/>
  <c r="T521" i="1"/>
  <c r="U521" i="1"/>
  <c r="T522" i="1"/>
  <c r="U522" i="1"/>
  <c r="T523" i="1"/>
  <c r="U523" i="1"/>
  <c r="T524" i="1"/>
  <c r="U524" i="1"/>
  <c r="T525" i="1"/>
  <c r="U525" i="1"/>
  <c r="T526" i="1"/>
  <c r="U526" i="1"/>
  <c r="T527" i="1"/>
  <c r="U527" i="1"/>
  <c r="T528" i="1"/>
  <c r="U528" i="1"/>
  <c r="T530" i="1"/>
  <c r="U530" i="1"/>
  <c r="T531" i="1"/>
  <c r="U531" i="1"/>
  <c r="T532" i="1"/>
  <c r="U532" i="1"/>
  <c r="T533" i="1"/>
  <c r="U533" i="1"/>
  <c r="T534" i="1"/>
  <c r="U534" i="1"/>
  <c r="T535" i="1"/>
  <c r="U535" i="1"/>
  <c r="T536" i="1"/>
  <c r="U536" i="1"/>
  <c r="T537" i="1"/>
  <c r="U537" i="1"/>
  <c r="T539" i="1"/>
  <c r="U539" i="1"/>
  <c r="T540" i="1"/>
  <c r="U540" i="1"/>
  <c r="T541" i="1"/>
  <c r="U541" i="1"/>
  <c r="T542" i="1"/>
  <c r="U542" i="1"/>
  <c r="T543" i="1"/>
  <c r="U543" i="1"/>
  <c r="T544" i="1"/>
  <c r="U544" i="1"/>
  <c r="T545" i="1"/>
  <c r="U545" i="1"/>
  <c r="T546" i="1"/>
  <c r="U546" i="1"/>
  <c r="T548" i="1"/>
  <c r="U548" i="1"/>
  <c r="T549" i="1"/>
  <c r="U549" i="1"/>
  <c r="T550" i="1"/>
  <c r="U550" i="1"/>
  <c r="T551" i="1"/>
  <c r="U551" i="1"/>
  <c r="T552" i="1"/>
  <c r="U552" i="1"/>
  <c r="T553" i="1"/>
  <c r="U553" i="1"/>
  <c r="T554" i="1"/>
  <c r="U554" i="1"/>
  <c r="T555" i="1"/>
  <c r="U555" i="1"/>
  <c r="T557" i="1"/>
  <c r="U557" i="1"/>
  <c r="T558" i="1"/>
  <c r="U558" i="1"/>
  <c r="T559" i="1"/>
  <c r="U559" i="1"/>
  <c r="T560" i="1"/>
  <c r="U560" i="1"/>
  <c r="T561" i="1"/>
  <c r="U561" i="1"/>
  <c r="T562" i="1"/>
  <c r="U562" i="1"/>
  <c r="T563" i="1"/>
  <c r="U563" i="1"/>
  <c r="T564" i="1"/>
  <c r="U564" i="1"/>
  <c r="Q566" i="1" a="1"/>
  <c r="Q566" i="1" s="1"/>
  <c r="R566" i="1" a="1"/>
  <c r="R566" i="1" s="1"/>
  <c r="S566" i="1" a="1"/>
  <c r="S566" i="1" s="1"/>
  <c r="T566" i="1"/>
  <c r="U566" i="1"/>
  <c r="U331" i="1"/>
  <c r="T331" i="1"/>
  <c r="S331" i="1" a="1"/>
  <c r="S331" i="1" s="1"/>
  <c r="R331" i="1" a="1"/>
  <c r="R331" i="1" s="1"/>
  <c r="Q331" i="1" a="1"/>
  <c r="Q331" i="1" s="1"/>
  <c r="U330" i="1"/>
  <c r="T330" i="1"/>
  <c r="S330" i="1" a="1"/>
  <c r="S330" i="1" s="1"/>
  <c r="R330" i="1" a="1"/>
  <c r="R330" i="1" s="1"/>
  <c r="Q330" i="1" a="1"/>
  <c r="Q330" i="1" s="1"/>
  <c r="U328" i="1"/>
  <c r="T328" i="1"/>
  <c r="U327" i="1"/>
  <c r="T327" i="1"/>
  <c r="U326" i="1"/>
  <c r="T326" i="1"/>
  <c r="U325" i="1"/>
  <c r="T325" i="1"/>
  <c r="U324" i="1"/>
  <c r="T324" i="1"/>
  <c r="U323" i="1"/>
  <c r="T323" i="1"/>
  <c r="U322" i="1"/>
  <c r="T322" i="1"/>
  <c r="U321" i="1"/>
  <c r="T321" i="1"/>
  <c r="U319" i="1"/>
  <c r="T319" i="1"/>
  <c r="U318" i="1"/>
  <c r="T318" i="1"/>
  <c r="U317" i="1"/>
  <c r="T317" i="1"/>
  <c r="U316" i="1"/>
  <c r="T316" i="1"/>
  <c r="U315" i="1"/>
  <c r="T315" i="1"/>
  <c r="U314" i="1"/>
  <c r="T314" i="1"/>
  <c r="U313" i="1"/>
  <c r="T313" i="1"/>
  <c r="U312" i="1"/>
  <c r="T312" i="1"/>
  <c r="U310" i="1"/>
  <c r="T310" i="1"/>
  <c r="U309" i="1"/>
  <c r="T309" i="1"/>
  <c r="U308" i="1"/>
  <c r="T308" i="1"/>
  <c r="U307" i="1"/>
  <c r="T307" i="1"/>
  <c r="U306" i="1"/>
  <c r="T306" i="1"/>
  <c r="U305" i="1"/>
  <c r="T305" i="1"/>
  <c r="U304" i="1"/>
  <c r="T304" i="1"/>
  <c r="U303" i="1"/>
  <c r="T303" i="1"/>
  <c r="U301" i="1"/>
  <c r="T301" i="1"/>
  <c r="U300" i="1"/>
  <c r="T300" i="1"/>
  <c r="U299" i="1"/>
  <c r="T299" i="1"/>
  <c r="U298" i="1"/>
  <c r="T298" i="1"/>
  <c r="U297" i="1"/>
  <c r="T297" i="1"/>
  <c r="U296" i="1"/>
  <c r="T296" i="1"/>
  <c r="U295" i="1"/>
  <c r="T295" i="1"/>
  <c r="U294" i="1"/>
  <c r="T294" i="1"/>
  <c r="U292" i="1"/>
  <c r="T292" i="1"/>
  <c r="U291" i="1"/>
  <c r="T291" i="1"/>
  <c r="U290" i="1"/>
  <c r="T290" i="1"/>
  <c r="U289" i="1"/>
  <c r="T289" i="1"/>
  <c r="U288" i="1"/>
  <c r="T288" i="1"/>
  <c r="U287" i="1"/>
  <c r="T287" i="1"/>
  <c r="U286" i="1"/>
  <c r="T286" i="1"/>
  <c r="U285" i="1"/>
  <c r="T285" i="1"/>
  <c r="T267" i="1"/>
  <c r="U267" i="1"/>
  <c r="T268" i="1"/>
  <c r="U268" i="1"/>
  <c r="T269" i="1"/>
  <c r="U269" i="1"/>
  <c r="T270" i="1"/>
  <c r="U270" i="1"/>
  <c r="T271" i="1"/>
  <c r="U271" i="1"/>
  <c r="T272" i="1"/>
  <c r="U272" i="1"/>
  <c r="T273" i="1"/>
  <c r="U273" i="1"/>
  <c r="T274" i="1"/>
  <c r="U274" i="1"/>
  <c r="T276" i="1"/>
  <c r="U276" i="1"/>
  <c r="T277" i="1"/>
  <c r="U277" i="1"/>
  <c r="T278" i="1"/>
  <c r="U278" i="1"/>
  <c r="T279" i="1"/>
  <c r="U279" i="1"/>
  <c r="T280" i="1"/>
  <c r="U280" i="1"/>
  <c r="T281" i="1"/>
  <c r="U281" i="1"/>
  <c r="T282" i="1"/>
  <c r="U282" i="1"/>
  <c r="T283" i="1"/>
  <c r="U283" i="1"/>
  <c r="T240" i="1"/>
  <c r="U240" i="1"/>
  <c r="T241" i="1"/>
  <c r="U241" i="1"/>
  <c r="T242" i="1"/>
  <c r="U242" i="1"/>
  <c r="T243" i="1"/>
  <c r="U243" i="1"/>
  <c r="T244" i="1"/>
  <c r="U244" i="1"/>
  <c r="T245" i="1"/>
  <c r="U245" i="1"/>
  <c r="T246" i="1"/>
  <c r="U246" i="1"/>
  <c r="T247" i="1"/>
  <c r="U247" i="1"/>
  <c r="T249" i="1"/>
  <c r="U249" i="1"/>
  <c r="T250" i="1"/>
  <c r="U250" i="1"/>
  <c r="T251" i="1"/>
  <c r="U251" i="1"/>
  <c r="T252" i="1"/>
  <c r="U252" i="1"/>
  <c r="T253" i="1"/>
  <c r="U253" i="1"/>
  <c r="T254" i="1"/>
  <c r="U254" i="1"/>
  <c r="T255" i="1"/>
  <c r="U255" i="1"/>
  <c r="T256" i="1"/>
  <c r="U256" i="1"/>
  <c r="T258" i="1"/>
  <c r="U258" i="1"/>
  <c r="T259" i="1"/>
  <c r="U259" i="1"/>
  <c r="T260" i="1"/>
  <c r="U260" i="1"/>
  <c r="T261" i="1"/>
  <c r="U261" i="1"/>
  <c r="T262" i="1"/>
  <c r="U262" i="1"/>
  <c r="T263" i="1"/>
  <c r="U263" i="1"/>
  <c r="T264" i="1"/>
  <c r="U264" i="1"/>
  <c r="T265" i="1"/>
  <c r="U265" i="1"/>
  <c r="T217" i="1"/>
  <c r="U217" i="1"/>
  <c r="Q218" i="1" a="1"/>
  <c r="Q218" i="1" s="1"/>
  <c r="R218" i="1" a="1"/>
  <c r="R218" i="1" s="1"/>
  <c r="S218" i="1" a="1"/>
  <c r="S218" i="1" s="1"/>
  <c r="T218" i="1"/>
  <c r="U218" i="1"/>
  <c r="Q219" i="1" a="1"/>
  <c r="Q219" i="1" s="1"/>
  <c r="R219" i="1" a="1"/>
  <c r="R219" i="1" s="1"/>
  <c r="S219" i="1" a="1"/>
  <c r="S219" i="1" s="1"/>
  <c r="T219" i="1"/>
  <c r="U219" i="1"/>
  <c r="T220" i="1"/>
  <c r="U220" i="1"/>
  <c r="T221" i="1"/>
  <c r="U221" i="1"/>
  <c r="T222" i="1"/>
  <c r="U222" i="1"/>
  <c r="T223" i="1"/>
  <c r="U223" i="1"/>
  <c r="T224" i="1"/>
  <c r="U224" i="1"/>
  <c r="T225" i="1"/>
  <c r="U225" i="1"/>
  <c r="Q226" i="1" a="1"/>
  <c r="Q226" i="1" s="1"/>
  <c r="R226" i="1" a="1"/>
  <c r="R226" i="1" s="1"/>
  <c r="S226" i="1" a="1"/>
  <c r="S226" i="1" s="1"/>
  <c r="T226" i="1"/>
  <c r="U226" i="1"/>
  <c r="T227" i="1"/>
  <c r="U227" i="1"/>
  <c r="T228" i="1"/>
  <c r="U228" i="1"/>
  <c r="T229" i="1"/>
  <c r="U229" i="1"/>
  <c r="T230" i="1"/>
  <c r="U230" i="1"/>
  <c r="T231" i="1"/>
  <c r="U231" i="1"/>
  <c r="T232" i="1"/>
  <c r="U232" i="1"/>
  <c r="Q233" i="1" a="1"/>
  <c r="Q233" i="1" s="1"/>
  <c r="R233" i="1" a="1"/>
  <c r="R233" i="1" s="1"/>
  <c r="S233" i="1" a="1"/>
  <c r="S233" i="1" s="1"/>
  <c r="T233" i="1"/>
  <c r="U233" i="1"/>
  <c r="T234" i="1"/>
  <c r="U234" i="1"/>
  <c r="T235" i="1"/>
  <c r="U235" i="1"/>
  <c r="T236" i="1"/>
  <c r="U236" i="1"/>
  <c r="T237" i="1"/>
  <c r="U237" i="1"/>
  <c r="Q238" i="1" a="1"/>
  <c r="Q238" i="1" s="1"/>
  <c r="R238" i="1" a="1"/>
  <c r="R238" i="1" s="1"/>
  <c r="S238" i="1" a="1"/>
  <c r="S238" i="1" s="1"/>
  <c r="T238" i="1"/>
  <c r="U238" i="1"/>
  <c r="Q239" i="1" a="1"/>
  <c r="Q239" i="1" s="1"/>
  <c r="R239" i="1" a="1"/>
  <c r="R239" i="1" s="1"/>
  <c r="S239" i="1" a="1"/>
  <c r="S239" i="1" s="1"/>
  <c r="T239" i="1"/>
  <c r="U239" i="1"/>
  <c r="Q195" i="1" a="1"/>
  <c r="Q195" i="1" s="1"/>
  <c r="R195" i="1" a="1"/>
  <c r="R195" i="1" s="1"/>
  <c r="S195" i="1" a="1"/>
  <c r="S195" i="1" s="1"/>
  <c r="T195" i="1"/>
  <c r="U195" i="1"/>
  <c r="T196" i="1"/>
  <c r="U196" i="1"/>
  <c r="T197" i="1"/>
  <c r="U197" i="1"/>
  <c r="T198" i="1"/>
  <c r="U198" i="1"/>
  <c r="T199" i="1"/>
  <c r="U199" i="1"/>
  <c r="T200" i="1"/>
  <c r="U200" i="1"/>
  <c r="T201" i="1"/>
  <c r="U201" i="1"/>
  <c r="T202" i="1"/>
  <c r="U202" i="1"/>
  <c r="T203" i="1"/>
  <c r="U203" i="1"/>
  <c r="T205" i="1"/>
  <c r="U205" i="1"/>
  <c r="T206" i="1"/>
  <c r="U206" i="1"/>
  <c r="T207" i="1"/>
  <c r="U207" i="1"/>
  <c r="T208" i="1"/>
  <c r="U208" i="1"/>
  <c r="T209" i="1"/>
  <c r="U209" i="1"/>
  <c r="T210" i="1"/>
  <c r="U210" i="1"/>
  <c r="T211" i="1"/>
  <c r="U211" i="1"/>
  <c r="T212" i="1"/>
  <c r="U212" i="1"/>
  <c r="T214" i="1"/>
  <c r="U214" i="1"/>
  <c r="T215" i="1"/>
  <c r="U215" i="1"/>
  <c r="T216" i="1"/>
  <c r="U216" i="1"/>
  <c r="T175" i="1"/>
  <c r="U175" i="1"/>
  <c r="T176" i="1"/>
  <c r="U176" i="1"/>
  <c r="T177" i="1"/>
  <c r="U177" i="1"/>
  <c r="T178" i="1"/>
  <c r="U178" i="1"/>
  <c r="T179" i="1"/>
  <c r="U179" i="1"/>
  <c r="T180" i="1"/>
  <c r="U180" i="1"/>
  <c r="T181" i="1"/>
  <c r="U181" i="1"/>
  <c r="T182" i="1"/>
  <c r="U182" i="1"/>
  <c r="Q184" i="1" a="1"/>
  <c r="Q184" i="1" s="1"/>
  <c r="R184" i="1" a="1"/>
  <c r="R184" i="1" s="1"/>
  <c r="S184" i="1" a="1"/>
  <c r="S184" i="1" s="1"/>
  <c r="T184" i="1"/>
  <c r="U184" i="1"/>
  <c r="Q185" i="1" a="1"/>
  <c r="Q185" i="1" s="1"/>
  <c r="R185" i="1" a="1"/>
  <c r="R185" i="1" s="1"/>
  <c r="S185" i="1" a="1"/>
  <c r="S185" i="1" s="1"/>
  <c r="T185" i="1"/>
  <c r="U185" i="1"/>
  <c r="T186" i="1"/>
  <c r="U186" i="1"/>
  <c r="T187" i="1"/>
  <c r="U187" i="1"/>
  <c r="T188" i="1"/>
  <c r="U188" i="1"/>
  <c r="T189" i="1"/>
  <c r="U189" i="1"/>
  <c r="T190" i="1"/>
  <c r="U190" i="1"/>
  <c r="T191" i="1"/>
  <c r="U191" i="1"/>
  <c r="Q192" i="1" a="1"/>
  <c r="Q192" i="1" s="1"/>
  <c r="R192" i="1" a="1"/>
  <c r="R192" i="1" s="1"/>
  <c r="S192" i="1" a="1"/>
  <c r="S192" i="1" s="1"/>
  <c r="T192" i="1"/>
  <c r="U192" i="1"/>
  <c r="Q194" i="1" a="1"/>
  <c r="Q194" i="1" s="1"/>
  <c r="R194" i="1" a="1"/>
  <c r="R194" i="1" s="1"/>
  <c r="S194" i="1" a="1"/>
  <c r="S194" i="1" s="1"/>
  <c r="T194" i="1"/>
  <c r="U194" i="1"/>
  <c r="T157" i="1"/>
  <c r="U157" i="1"/>
  <c r="T158" i="1"/>
  <c r="U158" i="1"/>
  <c r="T159" i="1"/>
  <c r="U159" i="1"/>
  <c r="T160" i="1"/>
  <c r="U160" i="1"/>
  <c r="T161" i="1"/>
  <c r="U161" i="1"/>
  <c r="T162" i="1"/>
  <c r="U162" i="1"/>
  <c r="T163" i="1"/>
  <c r="U163" i="1"/>
  <c r="T164" i="1"/>
  <c r="U164" i="1"/>
  <c r="T166" i="1"/>
  <c r="U166" i="1"/>
  <c r="T167" i="1"/>
  <c r="U167" i="1"/>
  <c r="T168" i="1"/>
  <c r="U168" i="1"/>
  <c r="T169" i="1"/>
  <c r="U169" i="1"/>
  <c r="T170" i="1"/>
  <c r="U170" i="1"/>
  <c r="T171" i="1"/>
  <c r="U171" i="1"/>
  <c r="T172" i="1"/>
  <c r="U172" i="1"/>
  <c r="T173" i="1"/>
  <c r="U173" i="1"/>
  <c r="Q147" i="1" a="1"/>
  <c r="Q147" i="1" s="1"/>
  <c r="R147" i="1" a="1"/>
  <c r="R147" i="1" s="1"/>
  <c r="S147" i="1" a="1"/>
  <c r="S147" i="1" s="1"/>
  <c r="T147" i="1"/>
  <c r="U147" i="1"/>
  <c r="T148" i="1"/>
  <c r="U148" i="1"/>
  <c r="T149" i="1"/>
  <c r="U149" i="1"/>
  <c r="T150" i="1"/>
  <c r="U150" i="1"/>
  <c r="T151" i="1"/>
  <c r="U151" i="1"/>
  <c r="T152" i="1"/>
  <c r="U152" i="1"/>
  <c r="T153" i="1"/>
  <c r="U153" i="1"/>
  <c r="T154" i="1"/>
  <c r="U154" i="1"/>
  <c r="T155" i="1"/>
  <c r="U155" i="1"/>
  <c r="T128" i="1"/>
  <c r="U128" i="1"/>
  <c r="T129" i="1"/>
  <c r="U129" i="1"/>
  <c r="T130" i="1"/>
  <c r="U130" i="1"/>
  <c r="T131" i="1"/>
  <c r="U131" i="1"/>
  <c r="T132" i="1"/>
  <c r="U132" i="1"/>
  <c r="T133" i="1"/>
  <c r="U133" i="1"/>
  <c r="T134" i="1"/>
  <c r="U134" i="1"/>
  <c r="T135" i="1"/>
  <c r="U135" i="1"/>
  <c r="T137" i="1"/>
  <c r="U137" i="1"/>
  <c r="T138" i="1"/>
  <c r="U138" i="1"/>
  <c r="T139" i="1"/>
  <c r="U139" i="1"/>
  <c r="T140" i="1"/>
  <c r="U140" i="1"/>
  <c r="T141" i="1"/>
  <c r="U141" i="1"/>
  <c r="T142" i="1"/>
  <c r="U142" i="1"/>
  <c r="T143" i="1"/>
  <c r="U143" i="1"/>
  <c r="T144" i="1"/>
  <c r="U144" i="1"/>
  <c r="Q146" i="1" a="1"/>
  <c r="Q146" i="1" s="1"/>
  <c r="R146" i="1" a="1"/>
  <c r="R146" i="1" s="1"/>
  <c r="S146" i="1" a="1"/>
  <c r="S146" i="1" s="1"/>
  <c r="T146" i="1"/>
  <c r="U146" i="1"/>
  <c r="Q99" i="1" a="1"/>
  <c r="Q99" i="1" s="1"/>
  <c r="R99" i="1" a="1"/>
  <c r="R99" i="1" s="1"/>
  <c r="S99" i="1" a="1"/>
  <c r="S99" i="1" s="1"/>
  <c r="T99" i="1"/>
  <c r="U99" i="1"/>
  <c r="T100" i="1"/>
  <c r="U100" i="1"/>
  <c r="T101" i="1"/>
  <c r="U101" i="1"/>
  <c r="T102" i="1"/>
  <c r="U102" i="1"/>
  <c r="T103" i="1"/>
  <c r="U103" i="1"/>
  <c r="T104" i="1"/>
  <c r="U104" i="1"/>
  <c r="T105" i="1"/>
  <c r="U105" i="1"/>
  <c r="T106" i="1"/>
  <c r="U106" i="1"/>
  <c r="T107" i="1"/>
  <c r="U107" i="1"/>
  <c r="T109" i="1"/>
  <c r="U109" i="1"/>
  <c r="T110" i="1"/>
  <c r="U110" i="1"/>
  <c r="T111" i="1"/>
  <c r="U111" i="1"/>
  <c r="T112" i="1"/>
  <c r="U112" i="1"/>
  <c r="T113" i="1"/>
  <c r="U113" i="1"/>
  <c r="T114" i="1"/>
  <c r="U114" i="1"/>
  <c r="T115" i="1"/>
  <c r="U115" i="1"/>
  <c r="T116" i="1"/>
  <c r="U116" i="1"/>
  <c r="T118" i="1"/>
  <c r="U118" i="1"/>
  <c r="T119" i="1"/>
  <c r="U119" i="1"/>
  <c r="T120" i="1"/>
  <c r="U120" i="1"/>
  <c r="T121" i="1"/>
  <c r="U121" i="1"/>
  <c r="T122" i="1"/>
  <c r="U122" i="1"/>
  <c r="T123" i="1"/>
  <c r="U123" i="1"/>
  <c r="T124" i="1"/>
  <c r="U124" i="1"/>
  <c r="T125" i="1"/>
  <c r="U125" i="1"/>
  <c r="T126" i="1"/>
  <c r="U126" i="1"/>
  <c r="T57" i="1"/>
  <c r="U57" i="1"/>
  <c r="T58" i="1"/>
  <c r="U58" i="1"/>
  <c r="T60" i="1"/>
  <c r="U60" i="1"/>
  <c r="T61" i="1"/>
  <c r="U61" i="1"/>
  <c r="T62" i="1"/>
  <c r="U62" i="1"/>
  <c r="T63" i="1"/>
  <c r="U63" i="1"/>
  <c r="T64" i="1"/>
  <c r="U64" i="1"/>
  <c r="T65" i="1"/>
  <c r="U65" i="1"/>
  <c r="T66" i="1"/>
  <c r="U66" i="1"/>
  <c r="T67" i="1"/>
  <c r="U67" i="1"/>
  <c r="T69" i="1"/>
  <c r="U69" i="1"/>
  <c r="T70" i="1"/>
  <c r="U70" i="1"/>
  <c r="T71" i="1"/>
  <c r="U71" i="1"/>
  <c r="T72" i="1"/>
  <c r="U72" i="1"/>
  <c r="T73" i="1"/>
  <c r="U73" i="1"/>
  <c r="T74" i="1"/>
  <c r="U74" i="1"/>
  <c r="T75" i="1"/>
  <c r="U75" i="1"/>
  <c r="T76" i="1"/>
  <c r="U76" i="1"/>
  <c r="T78" i="1"/>
  <c r="U78" i="1"/>
  <c r="T79" i="1"/>
  <c r="U79" i="1"/>
  <c r="T80" i="1"/>
  <c r="U80" i="1"/>
  <c r="T81" i="1"/>
  <c r="U81" i="1"/>
  <c r="T82" i="1"/>
  <c r="U82" i="1"/>
  <c r="T83" i="1"/>
  <c r="U83" i="1"/>
  <c r="T84" i="1"/>
  <c r="U84" i="1"/>
  <c r="T85" i="1"/>
  <c r="U85" i="1"/>
  <c r="T87" i="1"/>
  <c r="U87" i="1"/>
  <c r="T88" i="1"/>
  <c r="U88" i="1"/>
  <c r="T89" i="1"/>
  <c r="U89" i="1"/>
  <c r="T90" i="1"/>
  <c r="U90" i="1"/>
  <c r="T91" i="1"/>
  <c r="U91" i="1"/>
  <c r="T92" i="1"/>
  <c r="U92" i="1"/>
  <c r="T93" i="1"/>
  <c r="U93" i="1"/>
  <c r="T94" i="1"/>
  <c r="U94" i="1"/>
  <c r="Q96" i="1" a="1"/>
  <c r="Q96" i="1" s="1"/>
  <c r="R96" i="1" a="1"/>
  <c r="R96" i="1" s="1"/>
  <c r="S96" i="1" a="1"/>
  <c r="S96" i="1" s="1"/>
  <c r="T96" i="1"/>
  <c r="U96" i="1"/>
  <c r="Q98" i="1" a="1"/>
  <c r="Q98" i="1" s="1"/>
  <c r="R98" i="1" a="1"/>
  <c r="R98" i="1" s="1"/>
  <c r="S98" i="1" a="1"/>
  <c r="S98" i="1" s="1"/>
  <c r="T98" i="1"/>
  <c r="U98" i="1"/>
  <c r="Q26" i="1" a="1"/>
  <c r="Q26" i="1" s="1"/>
  <c r="R26" i="1" a="1"/>
  <c r="R26" i="1" s="1"/>
  <c r="S26" i="1" a="1"/>
  <c r="S26" i="1" s="1"/>
  <c r="T26" i="1"/>
  <c r="U26" i="1"/>
  <c r="Q27" i="1" a="1"/>
  <c r="Q27" i="1" s="1"/>
  <c r="R27" i="1" a="1"/>
  <c r="R27" i="1" s="1"/>
  <c r="S27" i="1" a="1"/>
  <c r="S27" i="1" s="1"/>
  <c r="T27" i="1"/>
  <c r="U27" i="1"/>
  <c r="Q28" i="1" a="1"/>
  <c r="Q28" i="1" s="1"/>
  <c r="R28" i="1" a="1"/>
  <c r="R28" i="1" s="1"/>
  <c r="S28" i="1" a="1"/>
  <c r="S28" i="1" s="1"/>
  <c r="T28" i="1"/>
  <c r="U28" i="1"/>
  <c r="Q29" i="1" a="1"/>
  <c r="Q29" i="1" s="1"/>
  <c r="R29" i="1" a="1"/>
  <c r="R29" i="1" s="1"/>
  <c r="S29" i="1" a="1"/>
  <c r="S29" i="1" s="1"/>
  <c r="T29" i="1"/>
  <c r="U29" i="1"/>
  <c r="Q30" i="1" a="1"/>
  <c r="Q30" i="1" s="1"/>
  <c r="R30" i="1" a="1"/>
  <c r="R30" i="1" s="1"/>
  <c r="S30" i="1" a="1"/>
  <c r="S30" i="1" s="1"/>
  <c r="T30" i="1"/>
  <c r="U30" i="1"/>
  <c r="P31" i="1" a="1"/>
  <c r="P31" i="1" s="1"/>
  <c r="Q31" i="1" a="1"/>
  <c r="Q31" i="1" s="1"/>
  <c r="R31" i="1" a="1"/>
  <c r="R31" i="1" s="1"/>
  <c r="S31" i="1" a="1"/>
  <c r="S31" i="1" s="1"/>
  <c r="T31" i="1"/>
  <c r="U31" i="1"/>
  <c r="P32" i="1" a="1"/>
  <c r="P32" i="1" s="1"/>
  <c r="Q32" i="1" a="1"/>
  <c r="Q32" i="1" s="1"/>
  <c r="R32" i="1" a="1"/>
  <c r="R32" i="1" s="1"/>
  <c r="S32" i="1" a="1"/>
  <c r="S32" i="1" s="1"/>
  <c r="T32" i="1"/>
  <c r="U32" i="1"/>
  <c r="T33" i="1"/>
  <c r="U33" i="1"/>
  <c r="T34" i="1"/>
  <c r="U34" i="1"/>
  <c r="T35" i="1"/>
  <c r="U35" i="1"/>
  <c r="T36" i="1"/>
  <c r="U36" i="1"/>
  <c r="T37" i="1"/>
  <c r="U37" i="1"/>
  <c r="T38" i="1"/>
  <c r="U38" i="1"/>
  <c r="T39" i="1"/>
  <c r="U39" i="1"/>
  <c r="T40" i="1"/>
  <c r="U40" i="1"/>
  <c r="T42" i="1"/>
  <c r="U42" i="1"/>
  <c r="T43" i="1"/>
  <c r="U43" i="1"/>
  <c r="T44" i="1"/>
  <c r="U44" i="1"/>
  <c r="T45" i="1"/>
  <c r="U45" i="1"/>
  <c r="T46" i="1"/>
  <c r="U46" i="1"/>
  <c r="T47" i="1"/>
  <c r="U47" i="1"/>
  <c r="T48" i="1"/>
  <c r="U48" i="1"/>
  <c r="T49" i="1"/>
  <c r="U49" i="1"/>
  <c r="T51" i="1"/>
  <c r="U51" i="1"/>
  <c r="T52" i="1"/>
  <c r="U52" i="1"/>
  <c r="T53" i="1"/>
  <c r="U53" i="1"/>
  <c r="T54" i="1"/>
  <c r="U54" i="1"/>
  <c r="T55" i="1"/>
  <c r="U55" i="1"/>
  <c r="T56" i="1"/>
  <c r="U56" i="1"/>
  <c r="S25" i="1" a="1"/>
  <c r="S25" i="1" s="1"/>
  <c r="R25" i="1" a="1"/>
  <c r="R25" i="1" s="1"/>
  <c r="Q25" i="1" a="1"/>
  <c r="Q25" i="1" s="1"/>
  <c r="U25" i="1"/>
  <c r="T25" i="1"/>
  <c r="E139" i="5"/>
  <c r="E138" i="5"/>
  <c r="D139" i="5"/>
  <c r="C139" i="5"/>
  <c r="R587" i="1" l="1" a="1"/>
  <c r="R587" i="1" s="1"/>
  <c r="R584" i="1" a="1"/>
  <c r="R584" i="1" s="1"/>
  <c r="R590" i="1" a="1"/>
  <c r="R590" i="1" s="1"/>
  <c r="S590" i="1" a="1"/>
  <c r="S590" i="1" s="1"/>
  <c r="S584" i="1" a="1"/>
  <c r="S584" i="1" s="1"/>
  <c r="R570" i="1" a="1"/>
  <c r="R570" i="1" s="1"/>
  <c r="R576" i="1" a="1"/>
  <c r="R576" i="1" s="1"/>
  <c r="S570" i="1" a="1"/>
  <c r="S570" i="1" s="1"/>
  <c r="S576" i="1" a="1"/>
  <c r="S576" i="1" s="1"/>
  <c r="R585" i="1" a="1"/>
  <c r="R585" i="1" s="1"/>
  <c r="R591" i="1" a="1"/>
  <c r="R591" i="1" s="1"/>
  <c r="S585" i="1" a="1"/>
  <c r="S585" i="1" s="1"/>
  <c r="S591" i="1" a="1"/>
  <c r="S591" i="1" s="1"/>
  <c r="R571" i="1" a="1"/>
  <c r="R571" i="1" s="1"/>
  <c r="R577" i="1" a="1"/>
  <c r="R577" i="1" s="1"/>
  <c r="S571" i="1" a="1"/>
  <c r="S571" i="1" s="1"/>
  <c r="S577" i="1" a="1"/>
  <c r="S577" i="1" s="1"/>
  <c r="R586" i="1" a="1"/>
  <c r="R586" i="1" s="1"/>
  <c r="R592" i="1" a="1"/>
  <c r="R592" i="1" s="1"/>
  <c r="S586" i="1" a="1"/>
  <c r="S586" i="1" s="1"/>
  <c r="S592" i="1" a="1"/>
  <c r="S592" i="1" s="1"/>
  <c r="R572" i="1" a="1"/>
  <c r="R572" i="1" s="1"/>
  <c r="R578" i="1" a="1"/>
  <c r="R578" i="1" s="1"/>
  <c r="S572" i="1" a="1"/>
  <c r="S572" i="1" s="1"/>
  <c r="S578" i="1" a="1"/>
  <c r="S578" i="1" s="1"/>
  <c r="S587" i="1" a="1"/>
  <c r="S587" i="1" s="1"/>
  <c r="R573" i="1" a="1"/>
  <c r="R573" i="1" s="1"/>
  <c r="R579" i="1" a="1"/>
  <c r="R579" i="1" s="1"/>
  <c r="S573" i="1" a="1"/>
  <c r="S573" i="1" s="1"/>
  <c r="S579" i="1" a="1"/>
  <c r="S579" i="1" s="1"/>
  <c r="R582" i="1" a="1"/>
  <c r="R582" i="1" s="1"/>
  <c r="R588" i="1" a="1"/>
  <c r="R588" i="1" s="1"/>
  <c r="S582" i="1" a="1"/>
  <c r="S582" i="1" s="1"/>
  <c r="S588" i="1" a="1"/>
  <c r="S588" i="1" s="1"/>
  <c r="R574" i="1" a="1"/>
  <c r="R574" i="1" s="1"/>
  <c r="R583" i="1" a="1"/>
  <c r="R583" i="1" s="1"/>
  <c r="R589" i="1" a="1"/>
  <c r="R589" i="1" s="1"/>
  <c r="S583" i="1" a="1"/>
  <c r="S583" i="1" s="1"/>
  <c r="S589" i="1" a="1"/>
  <c r="S589" i="1" s="1"/>
  <c r="R569" i="1" a="1"/>
  <c r="R569" i="1" s="1"/>
  <c r="R575" i="1" a="1"/>
  <c r="R575" i="1" s="1"/>
  <c r="S569" i="1" a="1"/>
  <c r="S569" i="1" s="1"/>
  <c r="S575" i="1" a="1"/>
  <c r="S575" i="1" s="1"/>
  <c r="S574" i="1" a="1"/>
  <c r="S574" i="1" s="1"/>
  <c r="B58" i="2" a="1"/>
  <c r="B58" i="2"/>
  <c r="D896" i="1" a="1"/>
  <c r="D896" i="1" s="1"/>
  <c r="C58" i="2" l="1" a="1"/>
  <c r="C58" i="2" s="1"/>
  <c r="D58" i="2" a="1"/>
  <c r="D58" i="2" s="1"/>
  <c r="E58" i="2" a="1"/>
  <c r="E58" i="2" s="1"/>
  <c r="F58" i="2" a="1"/>
  <c r="F58" i="2" s="1"/>
  <c r="G58" i="2" a="1"/>
  <c r="G58" i="2" s="1"/>
  <c r="H58" i="2" a="1"/>
  <c r="H58" i="2" s="1"/>
  <c r="I58" i="2" a="1"/>
  <c r="I58" i="2" s="1"/>
  <c r="J58" i="2" a="1"/>
  <c r="J58" i="2" s="1"/>
  <c r="H896" i="1" a="1"/>
  <c r="H896" i="1" s="1"/>
  <c r="C896" i="1" a="1"/>
  <c r="C896" i="1" s="1"/>
  <c r="B15" i="3"/>
  <c r="K896" i="1" a="1"/>
  <c r="K896" i="1" s="1"/>
  <c r="J896" i="1" a="1"/>
  <c r="J896" i="1" s="1"/>
  <c r="I896" i="1" a="1"/>
  <c r="I896" i="1" s="1"/>
  <c r="G896" i="1" a="1"/>
  <c r="G896" i="1" s="1"/>
  <c r="F896" i="1" a="1"/>
  <c r="F896" i="1" s="1"/>
  <c r="E896" i="1" a="1"/>
  <c r="E896" i="1" s="1"/>
  <c r="L34" i="5" l="1"/>
  <c r="L37" i="5"/>
  <c r="L36" i="5"/>
  <c r="H37" i="5"/>
  <c r="E25" i="5" l="1"/>
  <c r="D25" i="5"/>
  <c r="E20" i="5"/>
  <c r="D20" i="5"/>
  <c r="E17" i="5"/>
  <c r="D17" i="5"/>
  <c r="N36" i="5"/>
  <c r="H36" i="5"/>
  <c r="E36" i="5"/>
  <c r="D36" i="5"/>
  <c r="L33" i="5"/>
  <c r="L32" i="5"/>
  <c r="E33" i="5"/>
  <c r="D33" i="5"/>
  <c r="E39" i="5" l="1"/>
  <c r="D39" i="5"/>
  <c r="E42" i="5"/>
  <c r="D42" i="5"/>
  <c r="E95" i="5" l="1"/>
  <c r="D95" i="5"/>
  <c r="E94" i="5"/>
  <c r="D94" i="5"/>
  <c r="E93" i="5"/>
  <c r="D93" i="5"/>
  <c r="E92" i="5"/>
  <c r="D92" i="5"/>
  <c r="E91" i="5"/>
  <c r="D91" i="5"/>
  <c r="E90" i="5"/>
  <c r="D90" i="5"/>
  <c r="E89" i="5"/>
  <c r="D89" i="5"/>
  <c r="E88" i="5"/>
  <c r="D88" i="5"/>
  <c r="E87" i="5"/>
  <c r="D87" i="5"/>
  <c r="E86" i="5"/>
  <c r="D86" i="5"/>
  <c r="E77" i="5"/>
  <c r="D77" i="5"/>
  <c r="E76" i="5"/>
  <c r="D76" i="5"/>
  <c r="E75" i="5"/>
  <c r="D75" i="5"/>
  <c r="E74" i="5"/>
  <c r="D74" i="5"/>
  <c r="E73" i="5"/>
  <c r="D73" i="5"/>
  <c r="E72" i="5"/>
  <c r="D72" i="5"/>
  <c r="E71" i="5"/>
  <c r="D71" i="5"/>
  <c r="E70" i="5"/>
  <c r="D70" i="5"/>
  <c r="E69" i="5"/>
  <c r="D69" i="5"/>
  <c r="E68" i="5"/>
  <c r="D68" i="5"/>
  <c r="E84" i="5"/>
  <c r="D84" i="5"/>
  <c r="E66" i="5"/>
  <c r="D66" i="5"/>
  <c r="E30" i="5"/>
  <c r="D30" i="5"/>
  <c r="E27" i="5"/>
  <c r="D27" i="5"/>
  <c r="E29" i="5"/>
  <c r="D29" i="5"/>
  <c r="E28" i="5"/>
  <c r="D28" i="5"/>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3" i="3" a="1"/>
  <c r="Q243" i="3" s="1"/>
  <c r="Q245" i="3" a="1"/>
  <c r="Q245" i="3" s="1"/>
  <c r="Q247" i="3" a="1"/>
  <c r="Q247" i="3" s="1"/>
  <c r="Q249" i="3" a="1"/>
  <c r="Q249" i="3" s="1"/>
  <c r="Q251" i="3" a="1"/>
  <c r="Q251" i="3" s="1"/>
  <c r="Q253" i="3" a="1"/>
  <c r="Q253" i="3" s="1"/>
  <c r="Q255" i="3" a="1"/>
  <c r="Q255" i="3" s="1"/>
  <c r="Q257" i="3" a="1"/>
  <c r="Q257"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9" i="3" a="1"/>
  <c r="Q279" i="3" s="1"/>
  <c r="Q281" i="3" a="1"/>
  <c r="Q281" i="3" s="1"/>
  <c r="Q283" i="3" a="1"/>
  <c r="Q283" i="3" s="1"/>
  <c r="Q285" i="3" a="1"/>
  <c r="Q285" i="3" s="1"/>
  <c r="Q287" i="3" a="1"/>
  <c r="Q287" i="3" s="1"/>
  <c r="Q289" i="3" a="1"/>
  <c r="Q289" i="3" s="1"/>
  <c r="Q291" i="3" a="1"/>
  <c r="Q291" i="3" s="1"/>
  <c r="Q293" i="3" a="1"/>
  <c r="Q293"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2" i="3" a="1"/>
  <c r="Q382" i="3" s="1"/>
  <c r="Q383" i="3" a="1"/>
  <c r="Q383" i="3" s="1"/>
  <c r="Q384" i="3" a="1"/>
  <c r="Q384" i="3" s="1"/>
  <c r="Q386" i="3" a="1"/>
  <c r="Q386" i="3" s="1"/>
  <c r="Q387" i="3" a="1"/>
  <c r="Q387" i="3" s="1"/>
  <c r="Q388" i="3" a="1"/>
  <c r="Q388" i="3" s="1"/>
  <c r="Q390" i="3" a="1"/>
  <c r="Q390" i="3" s="1"/>
  <c r="Q391" i="3" a="1"/>
  <c r="Q391" i="3" s="1"/>
  <c r="Q392" i="3" a="1"/>
  <c r="Q392" i="3" s="1"/>
  <c r="Q394" i="3" a="1"/>
  <c r="Q394" i="3" s="1"/>
  <c r="Q395" i="3" a="1"/>
  <c r="Q395" i="3" s="1"/>
  <c r="Q396" i="3" a="1"/>
  <c r="Q396" i="3" s="1"/>
  <c r="Q398" i="3" a="1"/>
  <c r="Q398" i="3" s="1"/>
  <c r="Q399" i="3" a="1"/>
  <c r="Q399" i="3" s="1"/>
  <c r="Q400" i="3" a="1"/>
  <c r="Q400" i="3" s="1"/>
  <c r="Q402" i="3" a="1"/>
  <c r="Q402" i="3" s="1"/>
  <c r="Q403" i="3" a="1"/>
  <c r="Q403" i="3" s="1"/>
  <c r="Q404" i="3" a="1"/>
  <c r="Q404" i="3" s="1"/>
  <c r="Q406" i="3" a="1"/>
  <c r="Q406" i="3" s="1"/>
  <c r="Q407" i="3" a="1"/>
  <c r="Q407" i="3" s="1"/>
  <c r="Q408" i="3" a="1"/>
  <c r="Q408" i="3" s="1"/>
  <c r="Q410" i="3" a="1"/>
  <c r="Q410" i="3" s="1"/>
  <c r="Q411" i="3" a="1"/>
  <c r="Q411" i="3" s="1"/>
  <c r="Q412" i="3" a="1"/>
  <c r="Q412"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2" i="3" a="1"/>
  <c r="Q472" i="3" s="1"/>
  <c r="Q473" i="3" a="1"/>
  <c r="Q473" i="3" s="1"/>
  <c r="Q474" i="3" a="1"/>
  <c r="Q474" i="3" s="1"/>
  <c r="Q476" i="3" a="1"/>
  <c r="Q476" i="3" s="1"/>
  <c r="Q477" i="3" a="1"/>
  <c r="Q477" i="3" s="1"/>
  <c r="Q478" i="3" a="1"/>
  <c r="Q478" i="3" s="1"/>
  <c r="Q480" i="3" a="1"/>
  <c r="Q480" i="3" s="1"/>
  <c r="Q481" i="3" a="1"/>
  <c r="Q481" i="3" s="1"/>
  <c r="Q482" i="3" a="1"/>
  <c r="Q482" i="3" s="1"/>
  <c r="Q484" i="3" a="1"/>
  <c r="Q484" i="3" s="1"/>
  <c r="Q485" i="3" a="1"/>
  <c r="Q485" i="3" s="1"/>
  <c r="Q486" i="3" a="1"/>
  <c r="Q486" i="3" s="1"/>
  <c r="Q488" i="3" a="1"/>
  <c r="Q488" i="3" s="1"/>
  <c r="Q489" i="3" a="1"/>
  <c r="Q489" i="3" s="1"/>
  <c r="Q490" i="3" a="1"/>
  <c r="Q490" i="3" s="1"/>
  <c r="Q492" i="3" a="1"/>
  <c r="Q492" i="3" s="1"/>
  <c r="Q493" i="3" a="1"/>
  <c r="Q493" i="3" s="1"/>
  <c r="Q494" i="3" a="1"/>
  <c r="Q494" i="3" s="1"/>
  <c r="Q496" i="3" a="1"/>
  <c r="Q496" i="3" s="1"/>
  <c r="Q497" i="3" a="1"/>
  <c r="Q497" i="3" s="1"/>
  <c r="Q498" i="3" a="1"/>
  <c r="Q498" i="3" s="1"/>
  <c r="Q500" i="3" a="1"/>
  <c r="Q500" i="3" s="1"/>
  <c r="Q501" i="3" a="1"/>
  <c r="Q501" i="3" s="1"/>
  <c r="Q502" i="3" a="1"/>
  <c r="Q502"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s="1"/>
  <c r="Q751" i="3" a="1"/>
  <c r="Q751" i="3" s="1"/>
  <c r="Q752" i="3" a="1"/>
  <c r="Q752" i="3" s="1"/>
  <c r="Q753" i="3" a="1"/>
  <c r="Q753" i="3" s="1"/>
  <c r="Q754" i="3" a="1"/>
  <c r="Q754" i="3" s="1"/>
  <c r="Q755" i="3" a="1"/>
  <c r="Q755" i="3" s="1"/>
  <c r="Q756" i="3" a="1"/>
  <c r="Q756" i="3" s="1"/>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s="1"/>
  <c r="Q769" i="3" a="1"/>
  <c r="Q769" i="3" s="1"/>
  <c r="Q770" i="3" a="1"/>
  <c r="Q770" i="3" s="1"/>
  <c r="Q771" i="3" a="1"/>
  <c r="Q771" i="3" s="1"/>
  <c r="Q772" i="3" a="1"/>
  <c r="Q772" i="3" s="1"/>
  <c r="Q773" i="3" a="1"/>
  <c r="Q773" i="3" s="1"/>
  <c r="Q774" i="3" a="1"/>
  <c r="Q774" i="3" s="1"/>
  <c r="Q775" i="3" a="1"/>
  <c r="Q775" i="3" s="1"/>
  <c r="Q776" i="3" a="1"/>
  <c r="Q776" i="3" s="1"/>
  <c r="Q777" i="3" a="1"/>
  <c r="Q777" i="3" s="1"/>
  <c r="Q778" i="3" a="1"/>
  <c r="Q778" i="3" s="1"/>
  <c r="Q779" i="3" a="1"/>
  <c r="Q779" i="3" s="1"/>
  <c r="Q780" i="3" a="1"/>
  <c r="Q780" i="3" s="1"/>
  <c r="Q781" i="3" a="1"/>
  <c r="Q781" i="3" s="1"/>
  <c r="Q782" i="3" a="1"/>
  <c r="Q782" i="3" s="1"/>
  <c r="Q783" i="3" a="1"/>
  <c r="Q783" i="3" s="1"/>
  <c r="Q784" i="3" a="1"/>
  <c r="Q784" i="3" s="1"/>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s="1"/>
  <c r="Q799" i="3" a="1"/>
  <c r="Q799" i="3" s="1"/>
  <c r="Q800" i="3" a="1"/>
  <c r="Q800" i="3" s="1"/>
  <c r="Q801" i="3" a="1"/>
  <c r="Q801" i="3" s="1"/>
  <c r="Q802" i="3" a="1"/>
  <c r="Q802" i="3" s="1"/>
  <c r="Q803" i="3" a="1"/>
  <c r="Q803" i="3" s="1"/>
  <c r="Q804" i="3" a="1"/>
  <c r="Q804" i="3" s="1"/>
  <c r="Q805" i="3" a="1"/>
  <c r="Q805" i="3" s="1"/>
  <c r="Q806" i="3" a="1"/>
  <c r="Q806" i="3" s="1"/>
  <c r="Q807" i="3" a="1"/>
  <c r="Q807" i="3" s="1"/>
  <c r="Q808" i="3" a="1"/>
  <c r="Q808" i="3" s="1"/>
  <c r="Q809" i="3" a="1"/>
  <c r="Q809" i="3" s="1"/>
  <c r="Q810" i="3" a="1"/>
  <c r="Q810" i="3" s="1"/>
  <c r="Q811" i="3" a="1"/>
  <c r="Q811" i="3" s="1"/>
  <c r="Q812" i="3" a="1"/>
  <c r="Q812" i="3" s="1"/>
  <c r="Q813" i="3" a="1"/>
  <c r="Q813" i="3" s="1"/>
  <c r="Q814" i="3" a="1"/>
  <c r="Q814" i="3" s="1"/>
  <c r="Q815" i="3" a="1"/>
  <c r="Q815" i="3" s="1"/>
  <c r="Q816" i="3" a="1"/>
  <c r="Q816" i="3" s="1"/>
  <c r="Q817" i="3" a="1"/>
  <c r="Q817" i="3" s="1"/>
  <c r="Q818" i="3" a="1"/>
  <c r="Q818" i="3" s="1"/>
  <c r="Q819" i="3" a="1"/>
  <c r="Q819" i="3" s="1"/>
  <c r="Q820" i="3" a="1"/>
  <c r="Q820" i="3" s="1"/>
  <c r="Q821" i="3" a="1"/>
  <c r="Q821" i="3" s="1"/>
  <c r="Q822" i="3" a="1"/>
  <c r="Q822" i="3" s="1"/>
  <c r="Q823" i="3" a="1"/>
  <c r="Q823" i="3" s="1"/>
  <c r="Q824" i="3" a="1"/>
  <c r="Q824" i="3" s="1"/>
  <c r="Q825" i="3" a="1"/>
  <c r="Q825" i="3" s="1"/>
  <c r="Q826" i="3" a="1"/>
  <c r="Q826" i="3" s="1"/>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s="1"/>
  <c r="Q841" i="3" a="1"/>
  <c r="Q841" i="3" s="1"/>
  <c r="Q842" i="3" a="1"/>
  <c r="Q842" i="3" s="1"/>
  <c r="Q843" i="3" a="1"/>
  <c r="Q843" i="3" s="1"/>
  <c r="Q844" i="3" a="1"/>
  <c r="Q844" i="3" s="1"/>
  <c r="Q845" i="3" a="1"/>
  <c r="Q845" i="3" s="1"/>
  <c r="Q846" i="3" a="1"/>
  <c r="Q846" i="3" s="1"/>
  <c r="Q847" i="3" a="1"/>
  <c r="Q847" i="3" s="1"/>
  <c r="Q848" i="3" a="1"/>
  <c r="Q848" i="3" s="1"/>
  <c r="Q849" i="3" a="1"/>
  <c r="Q849" i="3" s="1"/>
  <c r="Q850" i="3" a="1"/>
  <c r="Q850" i="3" s="1"/>
  <c r="Q851" i="3" a="1"/>
  <c r="Q851" i="3" s="1"/>
  <c r="Q852" i="3" a="1"/>
  <c r="Q852" i="3" s="1"/>
  <c r="Q853" i="3" a="1"/>
  <c r="Q853" i="3" s="1"/>
  <c r="Q854" i="3" a="1"/>
  <c r="Q854" i="3" s="1"/>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s="1"/>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s="1"/>
  <c r="Q891" i="3" a="1"/>
  <c r="Q891" i="3" s="1"/>
  <c r="Q892" i="3" a="1"/>
  <c r="Q892" i="3" s="1"/>
  <c r="Q893" i="3" a="1"/>
  <c r="Q893" i="3" s="1"/>
  <c r="Q894" i="3" a="1"/>
  <c r="Q894" i="3" s="1"/>
  <c r="Q895" i="3" a="1"/>
  <c r="Q895" i="3" s="1"/>
  <c r="Q896" i="3" a="1"/>
  <c r="Q896" i="3" s="1"/>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s="1"/>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s="1"/>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s="1"/>
  <c r="Q947" i="3" a="1"/>
  <c r="Q947" i="3" s="1"/>
  <c r="Q948" i="3" a="1"/>
  <c r="Q948" i="3" s="1"/>
  <c r="Q949" i="3" a="1"/>
  <c r="Q949" i="3" s="1"/>
  <c r="Q950" i="3" a="1"/>
  <c r="Q950" i="3" s="1"/>
  <c r="Q951" i="3" a="1"/>
  <c r="Q951" i="3" s="1"/>
  <c r="Q952" i="3" a="1"/>
  <c r="Q952" i="3" s="1"/>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s="1"/>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Q1002" i="3" a="1"/>
  <c r="Q1002" i="3" s="1"/>
  <c r="Q1003" i="3" a="1"/>
  <c r="Q1003" i="3" s="1"/>
  <c r="Q1004" i="3" a="1"/>
  <c r="Q1004" i="3" s="1"/>
  <c r="Q1005" i="3" a="1"/>
  <c r="Q1005" i="3" s="1"/>
  <c r="Q1006" i="3" a="1"/>
  <c r="Q1006" i="3" s="1"/>
  <c r="Q1007" i="3" a="1"/>
  <c r="Q1007" i="3" s="1"/>
  <c r="Q1008" i="3" a="1"/>
  <c r="Q1008" i="3" s="1"/>
  <c r="Q1009" i="3" a="1"/>
  <c r="Q1009" i="3" s="1"/>
  <c r="Q1010" i="3" a="1"/>
  <c r="Q1010" i="3" s="1"/>
  <c r="Q1011" i="3" a="1"/>
  <c r="Q1011" i="3" s="1"/>
  <c r="Q1012" i="3" a="1"/>
  <c r="Q1012" i="3" s="1"/>
  <c r="Q1013" i="3" a="1"/>
  <c r="Q1013" i="3" s="1"/>
  <c r="Q1014" i="3" a="1"/>
  <c r="Q1014" i="3" s="1"/>
  <c r="Q1015" i="3" a="1"/>
  <c r="Q1015" i="3" s="1"/>
  <c r="Q1016" i="3" a="1"/>
  <c r="Q1016" i="3" s="1"/>
  <c r="Q1017" i="3" a="1"/>
  <c r="Q1017" i="3" s="1"/>
  <c r="Q1018" i="3" a="1"/>
  <c r="Q1018" i="3" s="1"/>
  <c r="Q1019" i="3" a="1"/>
  <c r="Q1019" i="3" s="1"/>
  <c r="Q1020" i="3" a="1"/>
  <c r="Q1020" i="3" s="1"/>
  <c r="Q1021" i="3" a="1"/>
  <c r="Q1021" i="3" s="1"/>
  <c r="Q1022" i="3" a="1"/>
  <c r="Q1022" i="3" s="1"/>
  <c r="Q1023" i="3" a="1"/>
  <c r="Q1023" i="3" s="1"/>
  <c r="Q1024" i="3" a="1"/>
  <c r="Q1024" i="3" s="1"/>
  <c r="Q1025" i="3" a="1"/>
  <c r="Q1025" i="3" s="1"/>
  <c r="Q1026" i="3" a="1"/>
  <c r="Q1026" i="3" s="1"/>
  <c r="Q1027" i="3" a="1"/>
  <c r="Q1027" i="3" s="1"/>
  <c r="Q1028" i="3" a="1"/>
  <c r="Q1028" i="3" s="1"/>
  <c r="Q1029" i="3" a="1"/>
  <c r="Q1029" i="3" s="1"/>
  <c r="Q1030" i="3" a="1"/>
  <c r="Q1030" i="3" s="1"/>
  <c r="Q1031" i="3" a="1"/>
  <c r="Q1031" i="3" s="1"/>
  <c r="Q1032" i="3" a="1"/>
  <c r="Q1032" i="3" s="1"/>
  <c r="Q1033" i="3" a="1"/>
  <c r="Q1033" i="3" s="1"/>
  <c r="Q1034" i="3" a="1"/>
  <c r="Q1034" i="3" s="1"/>
  <c r="Q1035" i="3" a="1"/>
  <c r="Q1035" i="3" s="1"/>
  <c r="Q1036" i="3" a="1"/>
  <c r="Q1036" i="3" s="1"/>
  <c r="Q1037" i="3" a="1"/>
  <c r="Q1037" i="3" s="1"/>
  <c r="Q1038" i="3" a="1"/>
  <c r="Q1038" i="3" s="1"/>
  <c r="Q1039" i="3" a="1"/>
  <c r="Q1039" i="3" s="1"/>
  <c r="Q1040" i="3" a="1"/>
  <c r="Q1040" i="3" s="1"/>
  <c r="Q1041" i="3" a="1"/>
  <c r="Q1041" i="3" s="1"/>
  <c r="Q1042" i="3" a="1"/>
  <c r="Q1042" i="3" s="1"/>
  <c r="Q1043" i="3" a="1"/>
  <c r="Q1043" i="3" s="1"/>
  <c r="Q1044" i="3" a="1"/>
  <c r="Q1044" i="3" s="1"/>
  <c r="Q1045" i="3" a="1"/>
  <c r="Q1045" i="3" s="1"/>
  <c r="Q1046" i="3" a="1"/>
  <c r="Q1046" i="3" s="1"/>
  <c r="Q1047" i="3" a="1"/>
  <c r="Q1047" i="3" s="1"/>
  <c r="Q1048" i="3" a="1"/>
  <c r="Q1048" i="3" s="1"/>
  <c r="Q1049" i="3" a="1"/>
  <c r="Q1049" i="3" s="1"/>
  <c r="Q1050" i="3" a="1"/>
  <c r="Q1050" i="3" s="1"/>
  <c r="Q1051" i="3" a="1"/>
  <c r="Q1051" i="3" s="1"/>
  <c r="Q1052" i="3" a="1"/>
  <c r="Q1052" i="3" s="1"/>
  <c r="Q1053" i="3" a="1"/>
  <c r="Q1053" i="3" s="1"/>
  <c r="Q1054" i="3" a="1"/>
  <c r="Q1054" i="3" s="1"/>
  <c r="Q1055" i="3" a="1"/>
  <c r="Q1055" i="3" s="1"/>
  <c r="Q1056" i="3" a="1"/>
  <c r="Q1056" i="3" s="1"/>
  <c r="Q1057" i="3" a="1"/>
  <c r="Q1057" i="3" s="1"/>
  <c r="Q1058" i="3" a="1"/>
  <c r="Q1058" i="3" s="1"/>
  <c r="Q1059" i="3" a="1"/>
  <c r="Q1059" i="3" s="1"/>
  <c r="Q1060" i="3" a="1"/>
  <c r="Q1060" i="3" s="1"/>
  <c r="Q1061" i="3" a="1"/>
  <c r="Q1061" i="3" s="1"/>
  <c r="Q1062" i="3" a="1"/>
  <c r="Q1062" i="3" s="1"/>
  <c r="Q1063" i="3" a="1"/>
  <c r="Q1063" i="3" s="1"/>
  <c r="Q1064" i="3" a="1"/>
  <c r="Q1064" i="3" s="1"/>
  <c r="Q1065" i="3" a="1"/>
  <c r="Q1065" i="3" s="1"/>
  <c r="Q1066" i="3" a="1"/>
  <c r="Q1066" i="3" s="1"/>
  <c r="Q1067" i="3" a="1"/>
  <c r="Q1067" i="3" s="1"/>
  <c r="Q1068" i="3" a="1"/>
  <c r="Q1068" i="3" s="1"/>
  <c r="Q1069" i="3" a="1"/>
  <c r="Q1069" i="3" s="1"/>
  <c r="Q1070" i="3" a="1"/>
  <c r="Q1070" i="3" s="1"/>
  <c r="Q1071" i="3" a="1"/>
  <c r="Q1071" i="3" s="1"/>
  <c r="Q1072" i="3" a="1"/>
  <c r="Q1072" i="3" s="1"/>
  <c r="Q1073" i="3" a="1"/>
  <c r="Q1073" i="3" s="1"/>
  <c r="Q1074" i="3" a="1"/>
  <c r="Q1074" i="3" s="1"/>
  <c r="Q1075" i="3" a="1"/>
  <c r="Q1075" i="3" s="1"/>
  <c r="Q1076" i="3" a="1"/>
  <c r="Q1076" i="3" s="1"/>
  <c r="Q1077" i="3" a="1"/>
  <c r="Q1077" i="3" s="1"/>
  <c r="Q1078" i="3" a="1"/>
  <c r="Q1078" i="3" s="1"/>
  <c r="Q1079" i="3" a="1"/>
  <c r="Q1079" i="3" s="1"/>
  <c r="Q1080" i="3" a="1"/>
  <c r="Q1080" i="3" s="1"/>
  <c r="Q1081" i="3" a="1"/>
  <c r="Q1081" i="3" s="1"/>
  <c r="Q1082" i="3" a="1"/>
  <c r="Q1082" i="3" s="1"/>
  <c r="Q1083" i="3" a="1"/>
  <c r="Q1083" i="3" s="1"/>
  <c r="Q1084" i="3" a="1"/>
  <c r="Q1084" i="3" s="1"/>
  <c r="Q1086" i="3" a="1"/>
  <c r="Q1086" i="3" s="1"/>
  <c r="Q1088" i="3" a="1"/>
  <c r="Q1088" i="3" s="1"/>
  <c r="Q1090" i="3" a="1"/>
  <c r="Q1090" i="3" s="1"/>
  <c r="Q1092" i="3" a="1"/>
  <c r="Q1092" i="3" s="1"/>
  <c r="Q1094" i="3" a="1"/>
  <c r="Q1094" i="3" s="1"/>
  <c r="Q1096" i="3" a="1"/>
  <c r="Q1096" i="3" s="1"/>
  <c r="Q1098" i="3" a="1"/>
  <c r="Q1098" i="3" s="1"/>
  <c r="Q1100" i="3" a="1"/>
  <c r="Q1100" i="3" s="1"/>
  <c r="Q1102" i="3" a="1"/>
  <c r="Q1102" i="3" s="1"/>
  <c r="Q1103" i="3" a="1"/>
  <c r="Q1103" i="3" s="1"/>
  <c r="Q1104" i="3" a="1"/>
  <c r="Q1104" i="3" s="1"/>
  <c r="Q1105" i="3" a="1"/>
  <c r="Q1105" i="3" s="1"/>
  <c r="Q1106" i="3" a="1"/>
  <c r="Q1106" i="3" s="1"/>
  <c r="Q1107" i="3" a="1"/>
  <c r="Q1107" i="3" s="1"/>
  <c r="Q1108" i="3" a="1"/>
  <c r="Q1108" i="3" s="1"/>
  <c r="Q1109" i="3" a="1"/>
  <c r="Q1109" i="3" s="1"/>
  <c r="Q1110" i="3" a="1"/>
  <c r="Q1110" i="3" s="1"/>
  <c r="Q1111" i="3" a="1"/>
  <c r="Q1111" i="3" s="1"/>
  <c r="Q1112" i="3" a="1"/>
  <c r="Q1112" i="3" s="1"/>
  <c r="Q1113" i="3" a="1"/>
  <c r="Q1113" i="3" s="1"/>
  <c r="Q1114" i="3" a="1"/>
  <c r="Q1114" i="3" s="1"/>
  <c r="Q1115" i="3" a="1"/>
  <c r="Q1115" i="3" s="1"/>
  <c r="Q1116" i="3" a="1"/>
  <c r="Q1116" i="3" s="1"/>
  <c r="Q1117" i="3" a="1"/>
  <c r="Q1117" i="3" s="1"/>
  <c r="Q1118" i="3" a="1"/>
  <c r="Q1118" i="3" s="1"/>
  <c r="Q1119" i="3" a="1"/>
  <c r="Q1119" i="3" s="1"/>
  <c r="Q1121" i="3" a="1"/>
  <c r="Q1121" i="3" s="1"/>
  <c r="Q1123" i="3" a="1"/>
  <c r="Q1123" i="3" s="1"/>
  <c r="Q1125" i="3" a="1"/>
  <c r="Q1125" i="3" s="1"/>
  <c r="Q1127" i="3" a="1"/>
  <c r="Q1127" i="3" s="1"/>
  <c r="Q1129" i="3" a="1"/>
  <c r="Q1129" i="3" s="1"/>
  <c r="Q1131" i="3" a="1"/>
  <c r="Q1131" i="3" s="1"/>
  <c r="Q1133" i="3" a="1"/>
  <c r="Q1133" i="3" s="1"/>
  <c r="Q1135" i="3" a="1"/>
  <c r="Q1135" i="3" s="1"/>
  <c r="Q1137" i="3" a="1"/>
  <c r="Q1137" i="3" s="1"/>
  <c r="Q1138" i="3" a="1"/>
  <c r="Q1138" i="3" s="1"/>
  <c r="Q1139" i="3" a="1"/>
  <c r="Q1139" i="3" s="1"/>
  <c r="Q1140" i="3" a="1"/>
  <c r="Q1140" i="3" s="1"/>
  <c r="Q1141" i="3" a="1"/>
  <c r="Q1141" i="3" s="1"/>
  <c r="Q1142" i="3" a="1"/>
  <c r="Q1142" i="3" s="1"/>
  <c r="Q1143" i="3" a="1"/>
  <c r="Q1143" i="3" s="1"/>
  <c r="Q1144" i="3" a="1"/>
  <c r="Q1144" i="3" s="1"/>
  <c r="Q1145" i="3" a="1"/>
  <c r="Q1145" i="3" s="1"/>
  <c r="Q1146" i="3" a="1"/>
  <c r="Q1146" i="3" s="1"/>
  <c r="Q1147" i="3" a="1"/>
  <c r="Q1147" i="3" s="1"/>
  <c r="Q1148" i="3" a="1"/>
  <c r="Q1148" i="3" s="1"/>
  <c r="Q1149" i="3" a="1"/>
  <c r="Q1149" i="3" s="1"/>
  <c r="Q1150" i="3" a="1"/>
  <c r="Q1150" i="3" s="1"/>
  <c r="Q1151" i="3" a="1"/>
  <c r="Q1151" i="3" s="1"/>
  <c r="Q1152" i="3" a="1"/>
  <c r="Q1152" i="3" s="1"/>
  <c r="Q1153" i="3" a="1"/>
  <c r="Q1153" i="3" s="1"/>
  <c r="Q1154" i="3" a="1"/>
  <c r="Q1154" i="3" s="1"/>
  <c r="Q1155" i="3" a="1"/>
  <c r="Q1155" i="3" s="1"/>
  <c r="Q1156" i="3" a="1"/>
  <c r="Q1156" i="3" s="1"/>
  <c r="Q1157" i="3" a="1"/>
  <c r="Q1157" i="3" s="1"/>
  <c r="Q1158" i="3" a="1"/>
  <c r="Q1158" i="3" s="1"/>
  <c r="Q1159" i="3" a="1"/>
  <c r="Q1159" i="3" s="1"/>
  <c r="Q1160" i="3" a="1"/>
  <c r="Q1160" i="3" s="1"/>
  <c r="Q1161" i="3" a="1"/>
  <c r="Q1161" i="3" s="1"/>
  <c r="Q1162" i="3" a="1"/>
  <c r="Q1162" i="3" s="1"/>
  <c r="Q1163" i="3" a="1"/>
  <c r="Q1163" i="3" s="1"/>
  <c r="Q1164" i="3" a="1"/>
  <c r="Q1164" i="3" s="1"/>
  <c r="Q1165" i="3" a="1"/>
  <c r="Q1165" i="3" s="1"/>
  <c r="Q1166" i="3" a="1"/>
  <c r="Q1166" i="3" s="1"/>
  <c r="Q1167" i="3" a="1"/>
  <c r="Q1167" i="3" s="1"/>
  <c r="Q1168" i="3" a="1"/>
  <c r="Q1168" i="3" s="1"/>
  <c r="Q1169" i="3" a="1"/>
  <c r="Q1169" i="3" s="1"/>
  <c r="Q1170" i="3" a="1"/>
  <c r="Q1170" i="3" s="1"/>
  <c r="Q1171" i="3" a="1"/>
  <c r="Q1171" i="3" s="1"/>
  <c r="Q1172" i="3" a="1"/>
  <c r="Q1172" i="3" s="1"/>
  <c r="Q1173" i="3" a="1"/>
  <c r="Q1173" i="3" s="1"/>
  <c r="Q1174" i="3" a="1"/>
  <c r="Q1174" i="3" s="1"/>
  <c r="Q1175" i="3" a="1"/>
  <c r="Q1175" i="3" s="1"/>
  <c r="Q1176" i="3" a="1"/>
  <c r="Q1176" i="3" s="1"/>
  <c r="Q1177" i="3" a="1"/>
  <c r="Q1177" i="3" s="1"/>
  <c r="Q1178" i="3" a="1"/>
  <c r="Q1178" i="3" s="1"/>
  <c r="Q1179" i="3" a="1"/>
  <c r="Q1179" i="3" s="1"/>
  <c r="Q1180" i="3" a="1"/>
  <c r="Q1180" i="3" s="1"/>
  <c r="Q1181" i="3" a="1"/>
  <c r="Q1181" i="3" s="1"/>
  <c r="Q1182" i="3" a="1"/>
  <c r="Q1182" i="3" s="1"/>
  <c r="Q1183" i="3" a="1"/>
  <c r="Q1183" i="3" s="1"/>
  <c r="Q1184" i="3" a="1"/>
  <c r="Q1184" i="3" s="1"/>
  <c r="Q1185" i="3" a="1"/>
  <c r="Q1185" i="3" s="1"/>
  <c r="Q1186" i="3" a="1"/>
  <c r="Q1186" i="3" s="1"/>
  <c r="Q1187" i="3" a="1"/>
  <c r="Q1187" i="3" s="1"/>
  <c r="Q1188" i="3" a="1"/>
  <c r="Q1188" i="3" s="1"/>
  <c r="Q1189" i="3" a="1"/>
  <c r="Q1189" i="3" s="1"/>
  <c r="Q1190" i="3" a="1"/>
  <c r="Q1190" i="3" s="1"/>
  <c r="Q1191" i="3" a="1"/>
  <c r="Q1191" i="3" s="1"/>
  <c r="Q1192" i="3" a="1"/>
  <c r="Q1192" i="3" s="1"/>
  <c r="Q1193" i="3" a="1"/>
  <c r="Q1193" i="3" s="1"/>
  <c r="Q1194" i="3" a="1"/>
  <c r="Q1194" i="3" s="1"/>
  <c r="Q1195" i="3" a="1"/>
  <c r="Q1195" i="3" s="1"/>
  <c r="Q1196" i="3" a="1"/>
  <c r="Q1196" i="3" s="1"/>
  <c r="Q1197" i="3" a="1"/>
  <c r="Q1197" i="3" s="1"/>
  <c r="Q1198" i="3" a="1"/>
  <c r="Q1198" i="3" s="1"/>
  <c r="Q1199" i="3" a="1"/>
  <c r="Q1199" i="3" s="1"/>
  <c r="Q1200" i="3" a="1"/>
  <c r="Q1200" i="3" s="1"/>
  <c r="Q1201" i="3" a="1"/>
  <c r="Q1201" i="3" s="1"/>
  <c r="Q1202" i="3" a="1"/>
  <c r="Q1202" i="3" s="1"/>
  <c r="Q1203" i="3" a="1"/>
  <c r="Q1203" i="3" s="1"/>
  <c r="Q1204" i="3" a="1"/>
  <c r="Q1204" i="3" s="1"/>
  <c r="Q1205" i="3" a="1"/>
  <c r="Q1205" i="3" s="1"/>
  <c r="Q1206" i="3" a="1"/>
  <c r="Q1206" i="3" s="1"/>
  <c r="Q1207" i="3" a="1"/>
  <c r="Q1207" i="3" s="1"/>
  <c r="Q1208" i="3" a="1"/>
  <c r="Q1208" i="3" s="1"/>
  <c r="Q1209" i="3" a="1"/>
  <c r="Q1209" i="3" s="1"/>
  <c r="Q1210" i="3" a="1"/>
  <c r="Q1210" i="3" s="1"/>
  <c r="Q1211" i="3" a="1"/>
  <c r="Q1211" i="3" s="1"/>
  <c r="Q1212" i="3" a="1"/>
  <c r="Q1212" i="3" s="1"/>
  <c r="Q1213" i="3" a="1"/>
  <c r="Q1213" i="3" s="1"/>
  <c r="Q1214" i="3" a="1"/>
  <c r="Q1214" i="3" s="1"/>
  <c r="Q1215" i="3" a="1"/>
  <c r="Q1215" i="3" s="1"/>
  <c r="Q1216" i="3" a="1"/>
  <c r="Q1216" i="3" s="1"/>
  <c r="Q1217" i="3" a="1"/>
  <c r="Q1217" i="3" s="1"/>
  <c r="Q1218" i="3" a="1"/>
  <c r="Q1218" i="3" s="1"/>
  <c r="Q1219" i="3" a="1"/>
  <c r="Q1219" i="3" s="1"/>
  <c r="Q1220" i="3" a="1"/>
  <c r="Q1220" i="3" s="1"/>
  <c r="Q1221" i="3" a="1"/>
  <c r="Q1221" i="3" s="1"/>
  <c r="Q1222" i="3" a="1"/>
  <c r="Q1222" i="3" s="1"/>
  <c r="Q1223" i="3" a="1"/>
  <c r="Q1223" i="3" s="1"/>
  <c r="Q1224" i="3" a="1"/>
  <c r="Q1224" i="3" s="1"/>
  <c r="Q1225" i="3" a="1"/>
  <c r="Q1225" i="3" s="1"/>
  <c r="Q1226" i="3" a="1"/>
  <c r="Q1226" i="3" s="1"/>
  <c r="Q1227" i="3" a="1"/>
  <c r="Q1227" i="3" s="1"/>
  <c r="Q1228" i="3" a="1"/>
  <c r="Q1228" i="3" s="1"/>
  <c r="Q1229" i="3" a="1"/>
  <c r="Q1229" i="3" s="1"/>
  <c r="Q1230" i="3" a="1"/>
  <c r="Q1230" i="3" s="1"/>
  <c r="Q1231" i="3" a="1"/>
  <c r="Q1231" i="3" s="1"/>
  <c r="Q1232" i="3" a="1"/>
  <c r="Q1232" i="3" s="1"/>
  <c r="Q1233" i="3" a="1"/>
  <c r="Q1233" i="3" s="1"/>
  <c r="Q1234" i="3" a="1"/>
  <c r="Q1234" i="3" s="1"/>
  <c r="Q1235" i="3" a="1"/>
  <c r="Q1235" i="3" s="1"/>
  <c r="Q1236" i="3" a="1"/>
  <c r="Q1236" i="3" s="1"/>
  <c r="Q1237" i="3" a="1"/>
  <c r="Q1237" i="3" s="1"/>
  <c r="Q1238" i="3" a="1"/>
  <c r="Q1238" i="3" s="1"/>
  <c r="Q1240" i="3" a="1"/>
  <c r="Q1240" i="3" s="1"/>
  <c r="Q1241" i="3" a="1"/>
  <c r="Q1241" i="3" s="1"/>
  <c r="Q1242" i="3" a="1"/>
  <c r="Q1242" i="3" s="1"/>
  <c r="Q1244" i="3" a="1"/>
  <c r="Q1244" i="3" s="1"/>
  <c r="Q1245" i="3" a="1"/>
  <c r="Q1245" i="3" s="1"/>
  <c r="Q1246" i="3" a="1"/>
  <c r="Q1246" i="3" s="1"/>
  <c r="Q1248" i="3" a="1"/>
  <c r="Q1248" i="3" s="1"/>
  <c r="Q1249" i="3" a="1"/>
  <c r="Q1249" i="3" s="1"/>
  <c r="Q1250" i="3" a="1"/>
  <c r="Q1250" i="3" s="1"/>
  <c r="Q1252" i="3" a="1"/>
  <c r="Q1252" i="3" s="1"/>
  <c r="Q1253" i="3" a="1"/>
  <c r="Q1253" i="3" s="1"/>
  <c r="Q1254" i="3" a="1"/>
  <c r="Q1254" i="3" s="1"/>
  <c r="Q1256" i="3" a="1"/>
  <c r="Q1256" i="3" s="1"/>
  <c r="Q1257" i="3" a="1"/>
  <c r="Q1257" i="3" s="1"/>
  <c r="Q1258" i="3" a="1"/>
  <c r="Q1258" i="3" s="1"/>
  <c r="Q1260" i="3" a="1"/>
  <c r="Q1260" i="3" s="1"/>
  <c r="Q1261" i="3" a="1"/>
  <c r="Q1261" i="3" s="1"/>
  <c r="Q1262" i="3" a="1"/>
  <c r="Q1262" i="3" s="1"/>
  <c r="Q1264" i="3" a="1"/>
  <c r="Q1264" i="3" s="1"/>
  <c r="Q1265" i="3" a="1"/>
  <c r="Q1265" i="3" s="1"/>
  <c r="Q1266" i="3" a="1"/>
  <c r="Q1266" i="3" s="1"/>
  <c r="Q1268" i="3" a="1"/>
  <c r="Q1268" i="3" s="1"/>
  <c r="Q1269" i="3" a="1"/>
  <c r="Q1269" i="3" s="1"/>
  <c r="Q1270" i="3" a="1"/>
  <c r="Q1270" i="3" s="1"/>
  <c r="Q1272" i="3" a="1"/>
  <c r="Q1272" i="3" s="1"/>
  <c r="Q1273" i="3" a="1"/>
  <c r="Q1273" i="3" s="1"/>
  <c r="Q1274" i="3" a="1"/>
  <c r="Q1274" i="3" s="1"/>
  <c r="Q1275" i="3" a="1"/>
  <c r="Q1275" i="3" s="1"/>
  <c r="Q1276" i="3" a="1"/>
  <c r="Q1276" i="3" s="1"/>
  <c r="Q1277" i="3" a="1"/>
  <c r="Q1277" i="3" s="1"/>
  <c r="Q1278" i="3" a="1"/>
  <c r="Q1278" i="3" s="1"/>
  <c r="Q1279" i="3" a="1"/>
  <c r="Q1279" i="3" s="1"/>
  <c r="Q1280" i="3" a="1"/>
  <c r="Q1280" i="3" s="1"/>
  <c r="Q1281" i="3" a="1"/>
  <c r="Q1281" i="3" s="1"/>
  <c r="Q1282" i="3" a="1"/>
  <c r="Q1282" i="3" s="1"/>
  <c r="Q1283" i="3" a="1"/>
  <c r="Q1283" i="3" s="1"/>
  <c r="Q1284" i="3" a="1"/>
  <c r="Q1284" i="3" s="1"/>
  <c r="Q1285" i="3" a="1"/>
  <c r="Q1285" i="3" s="1"/>
  <c r="Q1286" i="3" a="1"/>
  <c r="Q1286" i="3" s="1"/>
  <c r="Q1287" i="3" a="1"/>
  <c r="Q1287" i="3" s="1"/>
  <c r="Q1288" i="3" a="1"/>
  <c r="Q1288" i="3" s="1"/>
  <c r="Q1289" i="3" a="1"/>
  <c r="Q1289" i="3" s="1"/>
  <c r="Q1290" i="3" a="1"/>
  <c r="Q1290" i="3" s="1"/>
  <c r="Q1291" i="3" a="1"/>
  <c r="Q1291" i="3" s="1"/>
  <c r="Q1292" i="3" a="1"/>
  <c r="Q1292" i="3" s="1"/>
  <c r="Q1293" i="3" a="1"/>
  <c r="Q1293" i="3" s="1"/>
  <c r="Q1294" i="3" a="1"/>
  <c r="Q1294" i="3" s="1"/>
  <c r="Q1295" i="3" a="1"/>
  <c r="Q1295" i="3" s="1"/>
  <c r="Q1296" i="3" a="1"/>
  <c r="Q1296" i="3" s="1"/>
  <c r="Q1297" i="3" a="1"/>
  <c r="Q1297" i="3" s="1"/>
  <c r="Q1298" i="3" a="1"/>
  <c r="Q1298" i="3" s="1"/>
  <c r="Q1299" i="3" a="1"/>
  <c r="Q1299" i="3" s="1"/>
  <c r="Q1300" i="3" a="1"/>
  <c r="Q1300" i="3" s="1"/>
  <c r="Q1301" i="3" a="1"/>
  <c r="Q1301" i="3" s="1"/>
  <c r="Q1302" i="3" a="1"/>
  <c r="Q1302" i="3" s="1"/>
  <c r="Q1303" i="3" a="1"/>
  <c r="Q1303" i="3" s="1"/>
  <c r="Q1304" i="3" a="1"/>
  <c r="Q1304" i="3" s="1"/>
  <c r="Q1305" i="3" a="1"/>
  <c r="Q1305" i="3" s="1"/>
  <c r="Q1306" i="3" a="1"/>
  <c r="Q1306" i="3" s="1"/>
  <c r="Q1307" i="3" a="1"/>
  <c r="Q1307" i="3" s="1"/>
  <c r="Q1308" i="3" a="1"/>
  <c r="Q1308" i="3" s="1"/>
  <c r="Q1309" i="3" a="1"/>
  <c r="Q1309" i="3" s="1"/>
  <c r="Q1310" i="3" a="1"/>
  <c r="Q1310" i="3" s="1"/>
  <c r="Q1311" i="3" a="1"/>
  <c r="Q1311" i="3" s="1"/>
  <c r="Q1312" i="3" a="1"/>
  <c r="Q1312" i="3" s="1"/>
  <c r="Q1313" i="3" a="1"/>
  <c r="Q1313" i="3" s="1"/>
  <c r="Q1314" i="3" a="1"/>
  <c r="Q1314" i="3" s="1"/>
  <c r="Q1315" i="3" a="1"/>
  <c r="Q1315" i="3" s="1"/>
  <c r="Q1316" i="3" a="1"/>
  <c r="Q1316" i="3" s="1"/>
  <c r="Q1317" i="3" a="1"/>
  <c r="Q1317" i="3" s="1"/>
  <c r="Q1318" i="3" a="1"/>
  <c r="Q1318" i="3" s="1"/>
  <c r="Q1319" i="3" a="1"/>
  <c r="Q1319" i="3" s="1"/>
  <c r="Q1320" i="3" a="1"/>
  <c r="Q1320" i="3" s="1"/>
  <c r="Q1321" i="3" a="1"/>
  <c r="Q1321" i="3" s="1"/>
  <c r="Q1322" i="3" a="1"/>
  <c r="Q1322" i="3" s="1"/>
  <c r="Q1323" i="3" a="1"/>
  <c r="Q1323" i="3" s="1"/>
  <c r="Q1324" i="3" a="1"/>
  <c r="Q1324" i="3" s="1"/>
  <c r="Q1325" i="3" a="1"/>
  <c r="Q1325" i="3" s="1"/>
  <c r="Q1326" i="3" a="1"/>
  <c r="Q1326" i="3" s="1"/>
  <c r="Q1327" i="3" a="1"/>
  <c r="Q1327" i="3" s="1"/>
  <c r="Q1328" i="3" a="1"/>
  <c r="Q1328" i="3" s="1"/>
  <c r="Q1330" i="3" a="1"/>
  <c r="Q1330" i="3" s="1"/>
  <c r="Q1331" i="3" a="1"/>
  <c r="Q1331" i="3" s="1"/>
  <c r="Q1332" i="3" a="1"/>
  <c r="Q1332" i="3" s="1"/>
  <c r="Q1334" i="3" a="1"/>
  <c r="Q1334" i="3" s="1"/>
  <c r="Q1335" i="3" a="1"/>
  <c r="Q1335" i="3" s="1"/>
  <c r="Q1336" i="3" a="1"/>
  <c r="Q1336" i="3" s="1"/>
  <c r="Q1338" i="3" a="1"/>
  <c r="Q1338" i="3" s="1"/>
  <c r="Q1339" i="3" a="1"/>
  <c r="Q1339" i="3" s="1"/>
  <c r="Q1340" i="3" a="1"/>
  <c r="Q1340" i="3" s="1"/>
  <c r="Q1342" i="3" a="1"/>
  <c r="Q1342" i="3" s="1"/>
  <c r="Q1343" i="3" a="1"/>
  <c r="Q1343" i="3" s="1"/>
  <c r="Q1344" i="3" a="1"/>
  <c r="Q1344" i="3" s="1"/>
  <c r="Q1346" i="3" a="1"/>
  <c r="Q1346" i="3" s="1"/>
  <c r="Q1347" i="3" a="1"/>
  <c r="Q1347" i="3" s="1"/>
  <c r="Q1348" i="3" a="1"/>
  <c r="Q1348" i="3" s="1"/>
  <c r="Q1350" i="3" a="1"/>
  <c r="Q1350" i="3" s="1"/>
  <c r="Q1351" i="3" a="1"/>
  <c r="Q1351" i="3" s="1"/>
  <c r="Q1352" i="3" a="1"/>
  <c r="Q1352" i="3" s="1"/>
  <c r="Q1354" i="3" a="1"/>
  <c r="Q1354" i="3" s="1"/>
  <c r="Q1355" i="3" a="1"/>
  <c r="Q1355" i="3" s="1"/>
  <c r="Q1356" i="3" a="1"/>
  <c r="Q1356" i="3" s="1"/>
  <c r="Q1358" i="3" a="1"/>
  <c r="Q1358" i="3" s="1"/>
  <c r="Q1359" i="3" a="1"/>
  <c r="Q1359" i="3" s="1"/>
  <c r="Q1360" i="3" a="1"/>
  <c r="Q1360" i="3" s="1"/>
  <c r="Q1362" i="3" a="1"/>
  <c r="Q1362" i="3" s="1"/>
  <c r="Q1363" i="3" a="1"/>
  <c r="Q1363" i="3" s="1"/>
  <c r="Q1364" i="3" a="1"/>
  <c r="Q1364" i="3" s="1"/>
  <c r="Q1365" i="3" a="1"/>
  <c r="Q1365" i="3" s="1"/>
  <c r="Q1366" i="3" a="1"/>
  <c r="Q1366" i="3" s="1"/>
  <c r="Q1367" i="3" a="1"/>
  <c r="Q1367" i="3" s="1"/>
  <c r="Q1368" i="3" a="1"/>
  <c r="Q1368" i="3" s="1"/>
  <c r="Q1369" i="3" a="1"/>
  <c r="Q1369" i="3" s="1"/>
  <c r="Q1370" i="3" a="1"/>
  <c r="Q1370" i="3" s="1"/>
  <c r="Q1371" i="3" a="1"/>
  <c r="Q1371" i="3" s="1"/>
  <c r="Q1372" i="3" a="1"/>
  <c r="Q1372" i="3" s="1"/>
  <c r="Q1373" i="3" a="1"/>
  <c r="Q1373" i="3" s="1"/>
  <c r="Q1374" i="3" a="1"/>
  <c r="Q1374" i="3" s="1"/>
  <c r="Q1375" i="3" a="1"/>
  <c r="Q1375" i="3" s="1"/>
  <c r="Q1376" i="3" a="1"/>
  <c r="Q1376" i="3" s="1"/>
  <c r="Q1377" i="3" a="1"/>
  <c r="Q1377" i="3" s="1"/>
  <c r="Q1378" i="3" a="1"/>
  <c r="Q1378" i="3" s="1"/>
  <c r="Q1379" i="3" a="1"/>
  <c r="Q1379" i="3" s="1"/>
  <c r="Q1380" i="3" a="1"/>
  <c r="Q1380" i="3" s="1"/>
  <c r="Q1381" i="3" a="1"/>
  <c r="Q1381" i="3" s="1"/>
  <c r="Q1382" i="3" a="1"/>
  <c r="Q1382" i="3" s="1"/>
  <c r="Q1383" i="3" a="1"/>
  <c r="Q1383" i="3" s="1"/>
  <c r="Q1384" i="3" a="1"/>
  <c r="Q1384" i="3" s="1"/>
  <c r="Q1385" i="3" a="1"/>
  <c r="Q1385" i="3" s="1"/>
  <c r="Q1386" i="3" a="1"/>
  <c r="Q1386" i="3" s="1"/>
  <c r="Q1387" i="3" a="1"/>
  <c r="Q1387" i="3" s="1"/>
  <c r="Q1388" i="3" a="1"/>
  <c r="Q1388" i="3" s="1"/>
  <c r="Q1389" i="3" a="1"/>
  <c r="Q1389" i="3" s="1"/>
  <c r="Q1390" i="3" a="1"/>
  <c r="Q1390" i="3" s="1"/>
  <c r="Q1391" i="3" a="1"/>
  <c r="Q1391" i="3" s="1"/>
  <c r="Q1392" i="3" a="1"/>
  <c r="Q1392" i="3" s="1"/>
  <c r="Q1393" i="3" a="1"/>
  <c r="Q1393" i="3" s="1"/>
  <c r="Q1394" i="3" a="1"/>
  <c r="Q1394" i="3" s="1"/>
  <c r="Q1395" i="3" a="1"/>
  <c r="Q1395" i="3" s="1"/>
  <c r="Q1396" i="3" a="1"/>
  <c r="Q1396" i="3" s="1"/>
  <c r="Q1397" i="3" a="1"/>
  <c r="Q1397" i="3" s="1"/>
  <c r="Q1398" i="3" a="1"/>
  <c r="Q1398" i="3" s="1"/>
  <c r="Q1399" i="3" a="1"/>
  <c r="Q1399" i="3" s="1"/>
  <c r="Q1400" i="3" a="1"/>
  <c r="Q1400" i="3" s="1"/>
  <c r="Q1401" i="3" a="1"/>
  <c r="Q1401" i="3" s="1"/>
  <c r="Q1402" i="3" a="1"/>
  <c r="Q1402" i="3" s="1"/>
  <c r="Q1403" i="3" a="1"/>
  <c r="Q1403" i="3" s="1"/>
  <c r="Q1404" i="3" a="1"/>
  <c r="Q1404" i="3" s="1"/>
  <c r="Q1405" i="3" a="1"/>
  <c r="Q1405" i="3" s="1"/>
  <c r="Q1406" i="3" a="1"/>
  <c r="Q1406" i="3" s="1"/>
  <c r="Q1407" i="3" a="1"/>
  <c r="Q1407" i="3" s="1"/>
  <c r="Q1408" i="3" a="1"/>
  <c r="Q1408" i="3" s="1"/>
  <c r="Q1409" i="3" a="1"/>
  <c r="Q1409" i="3" s="1"/>
  <c r="Q1410" i="3" a="1"/>
  <c r="Q1410" i="3" s="1"/>
  <c r="Q1411" i="3" a="1"/>
  <c r="Q1411" i="3" s="1"/>
  <c r="Q1412" i="3" a="1"/>
  <c r="Q1412" i="3" s="1"/>
  <c r="Q1413" i="3" a="1"/>
  <c r="Q1413" i="3" s="1"/>
  <c r="Q1414" i="3" a="1"/>
  <c r="Q1414" i="3" s="1"/>
  <c r="Q1415" i="3" a="1"/>
  <c r="Q1415" i="3" s="1"/>
  <c r="Q1416" i="3" a="1"/>
  <c r="Q1416" i="3" s="1"/>
  <c r="Q1417" i="3" a="1"/>
  <c r="Q1417" i="3" s="1"/>
  <c r="Q1418" i="3" a="1"/>
  <c r="Q1418" i="3" s="1"/>
  <c r="Q1419" i="3" a="1"/>
  <c r="Q1419" i="3" s="1"/>
  <c r="Q1420" i="3" a="1"/>
  <c r="Q1420" i="3" s="1"/>
  <c r="Q1421" i="3" a="1"/>
  <c r="Q1421" i="3" s="1"/>
  <c r="Q1422" i="3" a="1"/>
  <c r="Q1422" i="3" s="1"/>
  <c r="Q1423" i="3" a="1"/>
  <c r="Q1423" i="3" s="1"/>
  <c r="Q1424" i="3" a="1"/>
  <c r="Q1424" i="3" s="1"/>
  <c r="Q1425" i="3" a="1"/>
  <c r="Q1425" i="3" s="1"/>
  <c r="Q1426" i="3" a="1"/>
  <c r="Q1426" i="3" s="1"/>
  <c r="Q1427" i="3" a="1"/>
  <c r="Q1427" i="3" s="1"/>
  <c r="Q1428" i="3" a="1"/>
  <c r="Q1428" i="3" s="1"/>
  <c r="Q1429" i="3" a="1"/>
  <c r="Q1429" i="3" s="1"/>
  <c r="Q1430" i="3" a="1"/>
  <c r="Q1430" i="3" s="1"/>
  <c r="Q1431" i="3" a="1"/>
  <c r="Q1431" i="3" s="1"/>
  <c r="Q1432" i="3" a="1"/>
  <c r="Q1432" i="3" s="1"/>
  <c r="Q1433" i="3" a="1"/>
  <c r="Q1433" i="3" s="1"/>
  <c r="Q1434" i="3" a="1"/>
  <c r="Q1434" i="3" s="1"/>
  <c r="Q1435" i="3" a="1"/>
  <c r="Q1435" i="3" s="1"/>
  <c r="Q1436" i="3" a="1"/>
  <c r="Q1436" i="3" s="1"/>
  <c r="Q1437" i="3" a="1"/>
  <c r="Q1437" i="3" s="1"/>
  <c r="Q1438" i="3" a="1"/>
  <c r="Q1438" i="3" s="1"/>
  <c r="Q1439" i="3" a="1"/>
  <c r="Q1439" i="3" s="1"/>
  <c r="Q1440" i="3" a="1"/>
  <c r="Q1440" i="3" s="1"/>
  <c r="Q1441" i="3" a="1"/>
  <c r="Q1441" i="3" s="1"/>
  <c r="Q1442" i="3" a="1"/>
  <c r="Q1442" i="3" s="1"/>
  <c r="Q1443" i="3" a="1"/>
  <c r="Q1443" i="3" s="1"/>
  <c r="Q1444" i="3" a="1"/>
  <c r="Q1444" i="3" s="1"/>
  <c r="Q1445" i="3" a="1"/>
  <c r="Q1445" i="3" s="1"/>
  <c r="Q1446" i="3" a="1"/>
  <c r="Q1446" i="3" s="1"/>
  <c r="Q1447" i="3" a="1"/>
  <c r="Q1447" i="3" s="1"/>
  <c r="Q1448" i="3" a="1"/>
  <c r="Q1448" i="3" s="1"/>
  <c r="Q1449" i="3" a="1"/>
  <c r="Q1449" i="3" s="1"/>
  <c r="Q1450" i="3" a="1"/>
  <c r="Q1450" i="3" s="1"/>
  <c r="Q1451" i="3" a="1"/>
  <c r="Q1451" i="3" s="1"/>
  <c r="Q1452" i="3" a="1"/>
  <c r="Q1452" i="3" s="1"/>
  <c r="Q1453" i="3" a="1"/>
  <c r="Q1453" i="3" s="1"/>
  <c r="Q1454" i="3" a="1"/>
  <c r="Q1454" i="3" s="1"/>
  <c r="Q1455" i="3" a="1"/>
  <c r="Q1455" i="3" s="1"/>
  <c r="Q1456" i="3" a="1"/>
  <c r="Q1456" i="3" s="1"/>
  <c r="Q1457" i="3" a="1"/>
  <c r="Q1457" i="3" s="1"/>
  <c r="Q1458" i="3" a="1"/>
  <c r="Q1458" i="3" s="1"/>
  <c r="Q1459" i="3" a="1"/>
  <c r="Q1459" i="3" s="1"/>
  <c r="Q1460" i="3" a="1"/>
  <c r="Q1460" i="3" s="1"/>
  <c r="Q1461" i="3" a="1"/>
  <c r="Q1461" i="3" s="1"/>
  <c r="Q1462" i="3" a="1"/>
  <c r="Q1462" i="3" s="1"/>
  <c r="Q1463" i="3" a="1"/>
  <c r="Q1463" i="3" s="1"/>
  <c r="Q1464" i="3" a="1"/>
  <c r="Q1464" i="3" s="1"/>
  <c r="Q1465" i="3" a="1"/>
  <c r="Q1465" i="3" s="1"/>
  <c r="Q1466" i="3" a="1"/>
  <c r="Q1466" i="3" s="1"/>
  <c r="Q1467" i="3" a="1"/>
  <c r="Q1467" i="3" s="1"/>
  <c r="Q1468" i="3" a="1"/>
  <c r="Q1468" i="3" s="1"/>
  <c r="Q1469" i="3" a="1"/>
  <c r="Q1469" i="3" s="1"/>
  <c r="Q1470" i="3" a="1"/>
  <c r="Q1470" i="3" s="1"/>
  <c r="Q1471" i="3" a="1"/>
  <c r="Q1471" i="3" s="1"/>
  <c r="Q1472" i="3" a="1"/>
  <c r="Q1472" i="3" s="1"/>
  <c r="Q1473" i="3" a="1"/>
  <c r="Q1473" i="3" s="1"/>
  <c r="Q1474" i="3" a="1"/>
  <c r="Q1474" i="3" s="1"/>
  <c r="Q1475" i="3" a="1"/>
  <c r="Q1475" i="3" s="1"/>
  <c r="Q1476" i="3" a="1"/>
  <c r="Q1476" i="3" s="1"/>
  <c r="Q1477" i="3" a="1"/>
  <c r="Q1477" i="3" s="1"/>
  <c r="Q1478" i="3" a="1"/>
  <c r="Q1478" i="3" s="1"/>
  <c r="Q1479" i="3" a="1"/>
  <c r="Q1479" i="3" s="1"/>
  <c r="Q1480" i="3" a="1"/>
  <c r="Q1480" i="3" s="1"/>
  <c r="Q1481" i="3" a="1"/>
  <c r="Q1481" i="3" s="1"/>
  <c r="Q1482" i="3" a="1"/>
  <c r="Q1482" i="3" s="1"/>
  <c r="Q1483" i="3" a="1"/>
  <c r="Q1483" i="3" s="1"/>
  <c r="Q1484" i="3" a="1"/>
  <c r="Q1484" i="3" s="1"/>
  <c r="Q1485" i="3" a="1"/>
  <c r="Q1485" i="3" s="1"/>
  <c r="Q1486" i="3" a="1"/>
  <c r="Q1486" i="3" s="1"/>
  <c r="Q1487" i="3" a="1"/>
  <c r="Q1487" i="3" s="1"/>
  <c r="Q1488" i="3" a="1"/>
  <c r="Q1488" i="3" s="1"/>
  <c r="Q1489" i="3" a="1"/>
  <c r="Q1489" i="3" s="1"/>
  <c r="Q1490" i="3" a="1"/>
  <c r="Q1490" i="3" s="1"/>
  <c r="Q1491" i="3" a="1"/>
  <c r="Q1491" i="3" s="1"/>
  <c r="Q1492" i="3" a="1"/>
  <c r="Q1492" i="3" s="1"/>
  <c r="Q1493" i="3" a="1"/>
  <c r="Q1493" i="3" s="1"/>
  <c r="Q1494" i="3" a="1"/>
  <c r="Q1494" i="3" s="1"/>
  <c r="Q1495" i="3" a="1"/>
  <c r="Q1495" i="3" s="1"/>
  <c r="Q1496" i="3" a="1"/>
  <c r="Q1496" i="3" s="1"/>
  <c r="Q1497" i="3" a="1"/>
  <c r="Q1497" i="3" s="1"/>
  <c r="Q1498" i="3" a="1"/>
  <c r="Q1498" i="3" s="1"/>
  <c r="Q1499" i="3" a="1"/>
  <c r="Q1499" i="3" s="1"/>
  <c r="Q1500" i="3" a="1"/>
  <c r="Q1500" i="3" s="1"/>
  <c r="Q1501" i="3" a="1"/>
  <c r="Q1501" i="3" s="1"/>
  <c r="Q1502" i="3" a="1"/>
  <c r="Q1502" i="3" s="1"/>
  <c r="Q1503" i="3" a="1"/>
  <c r="Q1503" i="3" s="1"/>
  <c r="Q1504" i="3" a="1"/>
  <c r="Q1504" i="3" s="1"/>
  <c r="Q1505" i="3" a="1"/>
  <c r="Q1505" i="3" s="1"/>
  <c r="Q1506" i="3" a="1"/>
  <c r="Q1506" i="3" s="1"/>
  <c r="Q1507" i="3" a="1"/>
  <c r="Q1507" i="3" s="1"/>
  <c r="Q1508" i="3" a="1"/>
  <c r="Q1508" i="3" s="1"/>
  <c r="Q1509" i="3" a="1"/>
  <c r="Q1509" i="3" s="1"/>
  <c r="Q1510" i="3" a="1"/>
  <c r="Q1510" i="3" s="1"/>
  <c r="Q1511" i="3" a="1"/>
  <c r="Q1511" i="3" s="1"/>
  <c r="Q1512" i="3" a="1"/>
  <c r="Q1512" i="3" s="1"/>
  <c r="Q1513" i="3" a="1"/>
  <c r="Q1513" i="3" s="1"/>
  <c r="Q1514" i="3" a="1"/>
  <c r="Q1514" i="3" s="1"/>
  <c r="Q1515" i="3" a="1"/>
  <c r="Q1515" i="3" s="1"/>
  <c r="Q1516" i="3" a="1"/>
  <c r="Q1516" i="3" s="1"/>
  <c r="Q1517" i="3" a="1"/>
  <c r="Q1517" i="3" s="1"/>
  <c r="Q1518" i="3" a="1"/>
  <c r="Q1518" i="3" s="1"/>
  <c r="Q1519" i="3" a="1"/>
  <c r="Q1519" i="3" s="1"/>
  <c r="Q1520" i="3" a="1"/>
  <c r="Q1520" i="3" s="1"/>
  <c r="Q1521" i="3" a="1"/>
  <c r="Q1521" i="3" s="1"/>
  <c r="Q1522" i="3" a="1"/>
  <c r="Q1522" i="3" s="1"/>
  <c r="Q1523" i="3" a="1"/>
  <c r="Q1523" i="3" s="1"/>
  <c r="Q1524" i="3" a="1"/>
  <c r="Q1524" i="3" s="1"/>
  <c r="Q1525" i="3" a="1"/>
  <c r="Q1525" i="3" s="1"/>
  <c r="Q1526" i="3" a="1"/>
  <c r="Q1526" i="3" s="1"/>
  <c r="Q1527" i="3" a="1"/>
  <c r="Q1527" i="3" s="1"/>
  <c r="Q1528" i="3" a="1"/>
  <c r="Q1528" i="3" s="1"/>
  <c r="Q1529" i="3" a="1"/>
  <c r="Q1529" i="3" s="1"/>
  <c r="Q1530" i="3" a="1"/>
  <c r="Q1530" i="3" s="1"/>
  <c r="Q1531" i="3" a="1"/>
  <c r="Q1531" i="3" s="1"/>
  <c r="Q1532" i="3" a="1"/>
  <c r="Q1532" i="3" s="1"/>
  <c r="Q1533" i="3" a="1"/>
  <c r="Q1533" i="3" s="1"/>
  <c r="Q1534" i="3" a="1"/>
  <c r="Q1534" i="3" s="1"/>
  <c r="Q1535" i="3" a="1"/>
  <c r="Q1535" i="3" s="1"/>
  <c r="Q1536" i="3" a="1"/>
  <c r="Q1536" i="3" s="1"/>
  <c r="Q1537" i="3" a="1"/>
  <c r="Q1537" i="3" s="1"/>
  <c r="Q1538" i="3" a="1"/>
  <c r="Q1538" i="3" s="1"/>
  <c r="Q1539" i="3" a="1"/>
  <c r="Q1539" i="3" s="1"/>
  <c r="Q1540" i="3" a="1"/>
  <c r="Q1540" i="3" s="1"/>
  <c r="Q1541" i="3" a="1"/>
  <c r="Q1541" i="3" s="1"/>
  <c r="Q1542" i="3" a="1"/>
  <c r="Q1542" i="3" s="1"/>
  <c r="Q1543" i="3" a="1"/>
  <c r="Q1543" i="3" s="1"/>
  <c r="Q1544" i="3" a="1"/>
  <c r="Q1544" i="3" s="1"/>
  <c r="Q1545" i="3" a="1"/>
  <c r="Q1545" i="3" s="1"/>
  <c r="Q1546" i="3" a="1"/>
  <c r="Q1546" i="3" s="1"/>
  <c r="Q1547" i="3" a="1"/>
  <c r="Q1547" i="3" s="1"/>
  <c r="Q1548" i="3" a="1"/>
  <c r="Q1548" i="3" s="1"/>
  <c r="Q1549" i="3" a="1"/>
  <c r="Q1549" i="3" s="1"/>
  <c r="Q1550" i="3" a="1"/>
  <c r="Q1550" i="3" s="1"/>
  <c r="Q1551" i="3" a="1"/>
  <c r="Q1551" i="3" s="1"/>
  <c r="Q1552" i="3" a="1"/>
  <c r="Q1552" i="3" s="1"/>
  <c r="Q1553" i="3" a="1"/>
  <c r="Q1553" i="3" s="1"/>
  <c r="Q1554" i="3" a="1"/>
  <c r="Q1554" i="3" s="1"/>
  <c r="Q1555" i="3" a="1"/>
  <c r="Q1555" i="3" s="1"/>
  <c r="Q1556" i="3" a="1"/>
  <c r="Q1556" i="3" s="1"/>
  <c r="Q1557" i="3" a="1"/>
  <c r="Q1557" i="3" s="1"/>
  <c r="Q1558" i="3" a="1"/>
  <c r="Q1558" i="3" s="1"/>
  <c r="Q1559" i="3" a="1"/>
  <c r="Q1559" i="3" s="1"/>
  <c r="Q1560" i="3" a="1"/>
  <c r="Q1560" i="3" s="1"/>
  <c r="Q1561" i="3" a="1"/>
  <c r="Q1561" i="3" s="1"/>
  <c r="Q1562" i="3" a="1"/>
  <c r="Q1562" i="3" s="1"/>
  <c r="Q1563" i="3" a="1"/>
  <c r="Q1563" i="3" s="1"/>
  <c r="Q1564" i="3" a="1"/>
  <c r="Q1564" i="3" s="1"/>
  <c r="Q1565" i="3" a="1"/>
  <c r="Q1565" i="3" s="1"/>
  <c r="Q1566" i="3" a="1"/>
  <c r="Q1566" i="3" s="1"/>
  <c r="Q1567" i="3" a="1"/>
  <c r="Q1567" i="3" s="1"/>
  <c r="Q1568" i="3" a="1"/>
  <c r="Q1568" i="3" s="1"/>
  <c r="Q1569" i="3" a="1"/>
  <c r="Q1569" i="3" s="1"/>
  <c r="Q1570" i="3" a="1"/>
  <c r="Q1570" i="3" s="1"/>
  <c r="Q1571" i="3" a="1"/>
  <c r="Q1571" i="3" s="1"/>
  <c r="Q1572" i="3" a="1"/>
  <c r="Q1572" i="3" s="1"/>
  <c r="Q1573" i="3" a="1"/>
  <c r="Q1573" i="3" s="1"/>
  <c r="Q1574" i="3" a="1"/>
  <c r="Q1574" i="3" s="1"/>
  <c r="Q1575" i="3" a="1"/>
  <c r="Q1575" i="3" s="1"/>
  <c r="Q1576" i="3" a="1"/>
  <c r="Q1576" i="3" s="1"/>
  <c r="Q1577" i="3" a="1"/>
  <c r="Q1577" i="3" s="1"/>
  <c r="Q1578" i="3" a="1"/>
  <c r="Q1578" i="3" s="1"/>
  <c r="Q1579" i="3" a="1"/>
  <c r="Q1579" i="3" s="1"/>
  <c r="Q1580" i="3" a="1"/>
  <c r="Q1580" i="3" s="1"/>
  <c r="Q1581" i="3" a="1"/>
  <c r="Q1581" i="3" s="1"/>
  <c r="Q1582" i="3" a="1"/>
  <c r="Q1582" i="3" s="1"/>
  <c r="Q1583" i="3" a="1"/>
  <c r="Q1583" i="3" s="1"/>
  <c r="Q1584" i="3" a="1"/>
  <c r="Q1584" i="3" s="1"/>
  <c r="Q1585" i="3" a="1"/>
  <c r="Q1585" i="3" s="1"/>
  <c r="Q1586" i="3" a="1"/>
  <c r="Q1586" i="3" s="1"/>
  <c r="Q1587" i="3" a="1"/>
  <c r="Q1587" i="3" s="1"/>
  <c r="Q1588" i="3" a="1"/>
  <c r="Q1588" i="3" s="1"/>
  <c r="Q1589" i="3" a="1"/>
  <c r="Q1589" i="3" s="1"/>
  <c r="Q1590" i="3" a="1"/>
  <c r="Q1590" i="3" s="1"/>
  <c r="Q1591" i="3" a="1"/>
  <c r="Q1591" i="3" s="1"/>
  <c r="Q1592" i="3" a="1"/>
  <c r="Q1592" i="3" s="1"/>
  <c r="Q1593" i="3" a="1"/>
  <c r="Q1593" i="3" s="1"/>
  <c r="Q1594" i="3" a="1"/>
  <c r="Q1594" i="3" s="1"/>
  <c r="Q1595" i="3" a="1"/>
  <c r="Q1595" i="3" s="1"/>
  <c r="Q1596" i="3" a="1"/>
  <c r="Q1596" i="3" s="1"/>
  <c r="Q1597" i="3" a="1"/>
  <c r="Q1597" i="3" s="1"/>
  <c r="Q1598" i="3" a="1"/>
  <c r="Q1598" i="3" s="1"/>
  <c r="Q1599" i="3" a="1"/>
  <c r="Q1599" i="3" s="1"/>
  <c r="Q1600" i="3" a="1"/>
  <c r="Q1600" i="3" s="1"/>
  <c r="Q1601" i="3" a="1"/>
  <c r="Q1601" i="3" s="1"/>
  <c r="Q1602" i="3" a="1"/>
  <c r="Q1602" i="3" s="1"/>
  <c r="Q1603" i="3" a="1"/>
  <c r="Q1603" i="3" s="1"/>
  <c r="Q1604" i="3" a="1"/>
  <c r="Q1604" i="3" s="1"/>
  <c r="Q1605" i="3" a="1"/>
  <c r="Q1605" i="3" s="1"/>
  <c r="Q1606" i="3" a="1"/>
  <c r="Q1606" i="3" s="1"/>
  <c r="Q1607" i="3" a="1"/>
  <c r="Q1607" i="3" s="1"/>
  <c r="Q1608" i="3" a="1"/>
  <c r="Q1608" i="3" s="1"/>
  <c r="Q1609" i="3" a="1"/>
  <c r="Q1609" i="3" s="1"/>
  <c r="Q1610" i="3" a="1"/>
  <c r="Q1610" i="3" s="1"/>
  <c r="Q1611" i="3" a="1"/>
  <c r="Q1611" i="3" s="1"/>
  <c r="Q1612" i="3" a="1"/>
  <c r="Q1612" i="3" s="1"/>
  <c r="Q1613" i="3" a="1"/>
  <c r="Q1613" i="3" s="1"/>
  <c r="Q1614" i="3" a="1"/>
  <c r="Q1614" i="3" s="1"/>
  <c r="Q1615" i="3" a="1"/>
  <c r="Q1615" i="3" s="1"/>
  <c r="Q1616" i="3" a="1"/>
  <c r="Q1616" i="3" s="1"/>
  <c r="Q1617" i="3" a="1"/>
  <c r="Q1617" i="3" s="1"/>
  <c r="Q1618" i="3" a="1"/>
  <c r="Q1618" i="3" s="1"/>
  <c r="Q1619" i="3" a="1"/>
  <c r="Q1619" i="3" s="1"/>
  <c r="Q1620" i="3" a="1"/>
  <c r="Q1620" i="3" s="1"/>
  <c r="Q1621" i="3" a="1"/>
  <c r="Q1621" i="3" s="1"/>
  <c r="Q1622" i="3" a="1"/>
  <c r="Q1622" i="3" s="1"/>
  <c r="Q1623" i="3" a="1"/>
  <c r="Q1623" i="3" s="1"/>
  <c r="Q1624" i="3" a="1"/>
  <c r="Q1624" i="3" s="1"/>
  <c r="Q1625" i="3" a="1"/>
  <c r="Q1625" i="3" s="1"/>
  <c r="Q1626" i="3" a="1"/>
  <c r="Q1626" i="3" s="1"/>
  <c r="Q1627" i="3" a="1"/>
  <c r="Q1627" i="3" s="1"/>
  <c r="Q1628" i="3" a="1"/>
  <c r="Q1628" i="3" s="1"/>
  <c r="Q1629" i="3" a="1"/>
  <c r="Q1629" i="3" s="1"/>
  <c r="Q1630" i="3" a="1"/>
  <c r="Q1630" i="3" s="1"/>
  <c r="Q1631" i="3" a="1"/>
  <c r="Q1631" i="3" s="1"/>
  <c r="Q1632" i="3" a="1"/>
  <c r="Q1632" i="3" s="1"/>
  <c r="Q1633" i="3" a="1"/>
  <c r="Q1633" i="3" s="1"/>
  <c r="Q1634" i="3" a="1"/>
  <c r="Q1634" i="3" s="1"/>
  <c r="Q1635" i="3" a="1"/>
  <c r="Q1635" i="3" s="1"/>
  <c r="Q1636" i="3" a="1"/>
  <c r="Q1636" i="3" s="1"/>
  <c r="Q1637" i="3" a="1"/>
  <c r="Q1637" i="3" s="1"/>
  <c r="Q1638" i="3" a="1"/>
  <c r="Q1638" i="3" s="1"/>
  <c r="Q1639" i="3" a="1"/>
  <c r="Q1639" i="3" s="1"/>
  <c r="Q1640" i="3" a="1"/>
  <c r="Q1640" i="3" s="1"/>
  <c r="Q1641" i="3" a="1"/>
  <c r="Q1641" i="3" s="1"/>
  <c r="Q1642" i="3" a="1"/>
  <c r="Q1642" i="3" s="1"/>
  <c r="Q1643" i="3" a="1"/>
  <c r="Q1643" i="3" s="1"/>
  <c r="Q1644" i="3" a="1"/>
  <c r="Q1644" i="3" s="1"/>
  <c r="Q1645" i="3" a="1"/>
  <c r="Q1645" i="3" s="1"/>
  <c r="Q1646" i="3" a="1"/>
  <c r="Q1646" i="3" s="1"/>
  <c r="Q1647" i="3" a="1"/>
  <c r="Q1647" i="3" s="1"/>
  <c r="Q1648" i="3" a="1"/>
  <c r="Q1648" i="3" s="1"/>
  <c r="Q1649" i="3" a="1"/>
  <c r="Q1649" i="3" s="1"/>
  <c r="Q1650" i="3" a="1"/>
  <c r="Q1650" i="3" s="1"/>
  <c r="Q1651" i="3" a="1"/>
  <c r="Q1651" i="3" s="1"/>
  <c r="Q1652" i="3" a="1"/>
  <c r="Q1652" i="3" s="1"/>
  <c r="Q1653" i="3" a="1"/>
  <c r="Q1653" i="3" s="1"/>
  <c r="Q1654" i="3" a="1"/>
  <c r="Q1654" i="3" s="1"/>
  <c r="Q1655" i="3" a="1"/>
  <c r="Q1655" i="3" s="1"/>
  <c r="Q1656" i="3" a="1"/>
  <c r="Q1656" i="3" s="1"/>
  <c r="Q1657" i="3" a="1"/>
  <c r="Q1657" i="3" s="1"/>
  <c r="Q1658" i="3" a="1"/>
  <c r="Q1658" i="3" s="1"/>
  <c r="Q1659" i="3" a="1"/>
  <c r="Q1659" i="3" s="1"/>
  <c r="Q1660" i="3" a="1"/>
  <c r="Q1660" i="3" s="1"/>
  <c r="Q1661" i="3" a="1"/>
  <c r="Q1661" i="3" s="1"/>
  <c r="Q1662" i="3" a="1"/>
  <c r="Q1662" i="3" s="1"/>
  <c r="Q1663" i="3" a="1"/>
  <c r="Q1663" i="3" s="1"/>
  <c r="Q1664" i="3" a="1"/>
  <c r="Q1664" i="3" s="1"/>
  <c r="Q1665" i="3" a="1"/>
  <c r="Q1665" i="3" s="1"/>
  <c r="Q1666" i="3" a="1"/>
  <c r="Q1666" i="3" s="1"/>
  <c r="Q1667" i="3" a="1"/>
  <c r="Q1667" i="3" s="1"/>
  <c r="Q1668" i="3" a="1"/>
  <c r="Q1668" i="3" s="1"/>
  <c r="Q1669" i="3" a="1"/>
  <c r="Q1669" i="3" s="1"/>
  <c r="Q1670" i="3" a="1"/>
  <c r="Q1670" i="3" s="1"/>
  <c r="Q1671" i="3" a="1"/>
  <c r="Q1671" i="3" s="1"/>
  <c r="Q1672" i="3" a="1"/>
  <c r="Q1672" i="3" s="1"/>
  <c r="Q1673" i="3" a="1"/>
  <c r="Q1673" i="3" s="1"/>
  <c r="Q1674" i="3" a="1"/>
  <c r="Q1674" i="3" s="1"/>
  <c r="Q1675" i="3" a="1"/>
  <c r="Q1675" i="3" s="1"/>
  <c r="Q1676" i="3" a="1"/>
  <c r="Q1676" i="3" s="1"/>
  <c r="Q1677" i="3" a="1"/>
  <c r="Q1677" i="3" s="1"/>
  <c r="Q1678" i="3" a="1"/>
  <c r="Q1678" i="3" s="1"/>
  <c r="Q1679" i="3" a="1"/>
  <c r="Q1679" i="3" s="1"/>
  <c r="Q1680" i="3" a="1"/>
  <c r="Q1680" i="3" s="1"/>
  <c r="Q1681" i="3" a="1"/>
  <c r="Q1681" i="3" s="1"/>
  <c r="Q1682" i="3" a="1"/>
  <c r="Q1682" i="3" s="1"/>
  <c r="Q1683" i="3" a="1"/>
  <c r="Q1683" i="3" s="1"/>
  <c r="Q1684" i="3" a="1"/>
  <c r="Q1684" i="3" s="1"/>
  <c r="Q1685" i="3" a="1"/>
  <c r="Q1685" i="3" s="1"/>
  <c r="Q1686" i="3" a="1"/>
  <c r="Q1686" i="3" s="1"/>
  <c r="Q1687" i="3" a="1"/>
  <c r="Q1687" i="3" s="1"/>
  <c r="Q1688" i="3" a="1"/>
  <c r="Q1688" i="3" s="1"/>
  <c r="Q1689" i="3" a="1"/>
  <c r="Q1689" i="3" s="1"/>
  <c r="Q1690" i="3" a="1"/>
  <c r="Q1690" i="3" s="1"/>
  <c r="Q1691" i="3" a="1"/>
  <c r="Q1691" i="3" s="1"/>
  <c r="Q1692" i="3" a="1"/>
  <c r="Q1692" i="3" s="1"/>
  <c r="Q1693" i="3" a="1"/>
  <c r="Q1693" i="3" s="1"/>
  <c r="Q1694" i="3" a="1"/>
  <c r="Q1694" i="3" s="1"/>
  <c r="Q1695" i="3" a="1"/>
  <c r="Q1695" i="3" s="1"/>
  <c r="Q1696" i="3" a="1"/>
  <c r="Q1696" i="3" s="1"/>
  <c r="Q1697" i="3" a="1"/>
  <c r="Q1697" i="3" s="1"/>
  <c r="Q1698" i="3" a="1"/>
  <c r="Q1698" i="3" s="1"/>
  <c r="Q1699" i="3" a="1"/>
  <c r="Q1699" i="3" s="1"/>
  <c r="Q1700" i="3" a="1"/>
  <c r="Q1700" i="3" s="1"/>
  <c r="Q1701" i="3" a="1"/>
  <c r="Q1701" i="3" s="1"/>
  <c r="Q1702" i="3" a="1"/>
  <c r="Q1702" i="3" s="1"/>
  <c r="Q1703" i="3" a="1"/>
  <c r="Q1703" i="3" s="1"/>
  <c r="Q1704" i="3" a="1"/>
  <c r="Q1704" i="3" s="1"/>
  <c r="Q1705" i="3" a="1"/>
  <c r="Q1705" i="3" s="1"/>
  <c r="Q1706" i="3" a="1"/>
  <c r="Q1706" i="3" s="1"/>
  <c r="Q1707" i="3" a="1"/>
  <c r="Q1707" i="3" s="1"/>
  <c r="Q1708" i="3" a="1"/>
  <c r="Q1708" i="3" s="1"/>
  <c r="Q1709" i="3" a="1"/>
  <c r="Q1709" i="3" s="1"/>
  <c r="Q1710" i="3" a="1"/>
  <c r="Q1710" i="3" s="1"/>
  <c r="Q1711" i="3" a="1"/>
  <c r="Q1711" i="3" s="1"/>
  <c r="Q1712" i="3" a="1"/>
  <c r="Q1712" i="3" s="1"/>
  <c r="Q1713" i="3" a="1"/>
  <c r="Q1713" i="3" s="1"/>
  <c r="Q1714" i="3" a="1"/>
  <c r="Q1714" i="3" s="1"/>
  <c r="Q1715" i="3" a="1"/>
  <c r="Q1715" i="3" s="1"/>
  <c r="Q1716" i="3" a="1"/>
  <c r="Q1716" i="3" s="1"/>
  <c r="Q1717" i="3" a="1"/>
  <c r="Q1717" i="3" s="1"/>
  <c r="Q1718" i="3" a="1"/>
  <c r="Q1718" i="3" s="1"/>
  <c r="Q1719" i="3" a="1"/>
  <c r="Q1719" i="3" s="1"/>
  <c r="Q1720" i="3" a="1"/>
  <c r="Q1720" i="3" s="1"/>
  <c r="Q1721" i="3" a="1"/>
  <c r="Q1721" i="3" s="1"/>
  <c r="Q1722" i="3" a="1"/>
  <c r="Q1722" i="3" s="1"/>
  <c r="Q1723" i="3" a="1"/>
  <c r="Q1723" i="3" s="1"/>
  <c r="Q1724" i="3" a="1"/>
  <c r="Q1724" i="3" s="1"/>
  <c r="Q1725" i="3" a="1"/>
  <c r="Q1725" i="3" s="1"/>
  <c r="Q1726" i="3" a="1"/>
  <c r="Q1726" i="3" s="1"/>
  <c r="Q1727" i="3" a="1"/>
  <c r="Q1727" i="3" s="1"/>
  <c r="Q1728" i="3" a="1"/>
  <c r="Q1728" i="3" s="1"/>
  <c r="Q1729" i="3" a="1"/>
  <c r="Q1729" i="3" s="1"/>
  <c r="Q1730" i="3" a="1"/>
  <c r="Q1730" i="3" s="1"/>
  <c r="Q1731" i="3" a="1"/>
  <c r="Q1731" i="3" s="1"/>
  <c r="Q1732" i="3" a="1"/>
  <c r="Q1732" i="3" s="1"/>
  <c r="Q1733" i="3" a="1"/>
  <c r="Q1733" i="3" s="1"/>
  <c r="Q1734" i="3" a="1"/>
  <c r="Q1734" i="3" s="1"/>
  <c r="Q1735" i="3" a="1"/>
  <c r="Q1735" i="3" s="1"/>
  <c r="Q1736" i="3" a="1"/>
  <c r="Q1736" i="3" s="1"/>
  <c r="Q1737" i="3" a="1"/>
  <c r="Q1737" i="3" s="1"/>
  <c r="Q1738" i="3" a="1"/>
  <c r="Q1738" i="3" s="1"/>
  <c r="Q1739" i="3" a="1"/>
  <c r="Q1739" i="3" s="1"/>
  <c r="Q1740" i="3" a="1"/>
  <c r="Q1740" i="3" s="1"/>
  <c r="Q1741" i="3" a="1"/>
  <c r="Q1741" i="3" s="1"/>
  <c r="Q1742" i="3" a="1"/>
  <c r="Q1742" i="3" s="1"/>
  <c r="Q1743" i="3" a="1"/>
  <c r="Q1743" i="3" s="1"/>
  <c r="Q1744" i="3" a="1"/>
  <c r="Q1744" i="3" s="1"/>
  <c r="Q1745" i="3" a="1"/>
  <c r="Q1745" i="3" s="1"/>
  <c r="Q1746" i="3" a="1"/>
  <c r="Q1746" i="3" s="1"/>
  <c r="Q1747" i="3" a="1"/>
  <c r="Q1747" i="3" s="1"/>
  <c r="Q1748" i="3" a="1"/>
  <c r="Q1748" i="3" s="1"/>
  <c r="Q1749" i="3" a="1"/>
  <c r="Q1749" i="3" s="1"/>
  <c r="Q1750" i="3" a="1"/>
  <c r="Q1750" i="3" s="1"/>
  <c r="Q1751" i="3" a="1"/>
  <c r="Q1751" i="3" s="1"/>
  <c r="Q1752" i="3" a="1"/>
  <c r="Q1752" i="3" s="1"/>
  <c r="Q1753" i="3" a="1"/>
  <c r="Q1753" i="3" s="1"/>
  <c r="Q1754" i="3" a="1"/>
  <c r="Q1754" i="3" s="1"/>
  <c r="Q1755" i="3" a="1"/>
  <c r="Q1755" i="3" s="1"/>
  <c r="Q1756" i="3" a="1"/>
  <c r="Q1756" i="3" s="1"/>
  <c r="Q1757" i="3" a="1"/>
  <c r="Q1757" i="3" s="1"/>
  <c r="Q1758" i="3" a="1"/>
  <c r="Q1758" i="3" s="1"/>
  <c r="Q1759" i="3" a="1"/>
  <c r="Q1759" i="3" s="1"/>
  <c r="Q1760" i="3" a="1"/>
  <c r="Q1760" i="3" s="1"/>
  <c r="Q1761" i="3" a="1"/>
  <c r="Q1761" i="3" s="1"/>
  <c r="Q1762" i="3" a="1"/>
  <c r="Q1762" i="3" s="1"/>
  <c r="Q1763" i="3" a="1"/>
  <c r="Q1763" i="3" s="1"/>
  <c r="Q1764" i="3" a="1"/>
  <c r="Q1764" i="3" s="1"/>
  <c r="Q1765" i="3" a="1"/>
  <c r="Q1765" i="3" s="1"/>
  <c r="Q1766" i="3" a="1"/>
  <c r="Q1766" i="3" s="1"/>
  <c r="Q1767" i="3" a="1"/>
  <c r="Q1767" i="3" s="1"/>
  <c r="Q1768" i="3" a="1"/>
  <c r="Q1768" i="3" s="1"/>
  <c r="Q1769" i="3" a="1"/>
  <c r="Q1769" i="3" s="1"/>
  <c r="Q1770" i="3" a="1"/>
  <c r="Q1770" i="3" s="1"/>
  <c r="Q1771" i="3" a="1"/>
  <c r="Q1771" i="3" s="1"/>
  <c r="Q1772" i="3" a="1"/>
  <c r="Q1772" i="3" s="1"/>
  <c r="Q1773" i="3" a="1"/>
  <c r="Q1773" i="3" s="1"/>
  <c r="Q1774" i="3" a="1"/>
  <c r="Q1774" i="3" s="1"/>
  <c r="Q1775" i="3" a="1"/>
  <c r="Q1775" i="3" s="1"/>
  <c r="Q1776" i="3" a="1"/>
  <c r="Q1776" i="3" s="1"/>
  <c r="Q1777" i="3" a="1"/>
  <c r="Q1777" i="3" s="1"/>
  <c r="Q1778" i="3" a="1"/>
  <c r="Q1778" i="3" s="1"/>
  <c r="Q1779" i="3" a="1"/>
  <c r="Q1779" i="3" s="1"/>
  <c r="Q1780" i="3" a="1"/>
  <c r="Q1780" i="3" s="1"/>
  <c r="Q1781" i="3" a="1"/>
  <c r="Q1781" i="3" s="1"/>
  <c r="Q1782" i="3" a="1"/>
  <c r="Q1782" i="3" s="1"/>
  <c r="Q1783" i="3" a="1"/>
  <c r="Q1783" i="3" s="1"/>
  <c r="Q1784" i="3" a="1"/>
  <c r="Q1784" i="3" s="1"/>
  <c r="Q1785" i="3" a="1"/>
  <c r="Q1785" i="3" s="1"/>
  <c r="Q1786" i="3" a="1"/>
  <c r="Q1786" i="3" s="1"/>
  <c r="Q1787" i="3" a="1"/>
  <c r="Q1787" i="3" s="1"/>
  <c r="Q1788" i="3" a="1"/>
  <c r="Q1788" i="3" s="1"/>
  <c r="Q1789" i="3" a="1"/>
  <c r="Q1789" i="3" s="1"/>
  <c r="Q1790" i="3" a="1"/>
  <c r="Q1790" i="3" s="1"/>
  <c r="Q1791" i="3" a="1"/>
  <c r="Q1791" i="3" s="1"/>
  <c r="Q1792" i="3" a="1"/>
  <c r="Q1792" i="3" s="1"/>
  <c r="Q1793" i="3" a="1"/>
  <c r="Q1793" i="3" s="1"/>
  <c r="Q1794" i="3" a="1"/>
  <c r="Q1794" i="3" s="1"/>
  <c r="Q1795" i="3" a="1"/>
  <c r="Q1795" i="3" s="1"/>
  <c r="Q1796" i="3" a="1"/>
  <c r="Q1796" i="3" s="1"/>
  <c r="Q1797" i="3" a="1"/>
  <c r="Q1797" i="3" s="1"/>
  <c r="Q1798" i="3" a="1"/>
  <c r="Q1798" i="3" s="1"/>
  <c r="Q1799" i="3" a="1"/>
  <c r="Q1799" i="3" s="1"/>
  <c r="Q1800" i="3" a="1"/>
  <c r="Q1800" i="3" s="1"/>
  <c r="Q1801" i="3" a="1"/>
  <c r="Q1801" i="3" s="1"/>
  <c r="Q1802" i="3" a="1"/>
  <c r="Q1802" i="3" s="1"/>
  <c r="Q1803" i="3" a="1"/>
  <c r="Q1803" i="3" s="1"/>
  <c r="Q1804" i="3" a="1"/>
  <c r="Q1804" i="3" s="1"/>
  <c r="Q1805" i="3" a="1"/>
  <c r="Q1805" i="3" s="1"/>
  <c r="Q1806" i="3" a="1"/>
  <c r="Q1806" i="3" s="1"/>
  <c r="Q1807" i="3" a="1"/>
  <c r="Q1807" i="3" s="1"/>
  <c r="Q1808" i="3" a="1"/>
  <c r="Q1808" i="3" s="1"/>
  <c r="Q1809" i="3" a="1"/>
  <c r="Q1809" i="3" s="1"/>
  <c r="Q1810" i="3" a="1"/>
  <c r="Q1810" i="3" s="1"/>
  <c r="Q1811" i="3" a="1"/>
  <c r="Q1811" i="3" s="1"/>
  <c r="Q1812" i="3" a="1"/>
  <c r="Q1812" i="3" s="1"/>
  <c r="Q1813" i="3" a="1"/>
  <c r="Q1813" i="3" s="1"/>
  <c r="Q1814" i="3" a="1"/>
  <c r="Q1814" i="3" s="1"/>
  <c r="Q1815" i="3" a="1"/>
  <c r="Q1815" i="3" s="1"/>
  <c r="Q1816" i="3" a="1"/>
  <c r="Q1816" i="3" s="1"/>
  <c r="Q1817" i="3" a="1"/>
  <c r="Q1817" i="3" s="1"/>
  <c r="Q1818" i="3" a="1"/>
  <c r="Q1818" i="3" s="1"/>
  <c r="Q1819" i="3" a="1"/>
  <c r="Q1819" i="3" s="1"/>
  <c r="Q1820" i="3" a="1"/>
  <c r="Q1820" i="3" s="1"/>
  <c r="Q1821" i="3" a="1"/>
  <c r="Q1821" i="3" s="1"/>
  <c r="Q1822" i="3" a="1"/>
  <c r="Q1822" i="3" s="1"/>
  <c r="Q1823" i="3" a="1"/>
  <c r="Q1823" i="3" s="1"/>
  <c r="Q1824" i="3" a="1"/>
  <c r="Q1824" i="3" s="1"/>
  <c r="Q1825" i="3" a="1"/>
  <c r="Q1825" i="3" s="1"/>
  <c r="Q1826" i="3" a="1"/>
  <c r="Q1826" i="3" s="1"/>
  <c r="Q1827" i="3" a="1"/>
  <c r="Q1827" i="3" s="1"/>
  <c r="Q1828" i="3" a="1"/>
  <c r="Q1828" i="3" s="1"/>
  <c r="Q1829" i="3" a="1"/>
  <c r="Q1829" i="3" s="1"/>
  <c r="Q1830" i="3" a="1"/>
  <c r="Q1830" i="3" s="1"/>
  <c r="Q1831" i="3" a="1"/>
  <c r="Q1831" i="3" s="1"/>
  <c r="Q1832" i="3" a="1"/>
  <c r="Q1832" i="3" s="1"/>
  <c r="Q1833" i="3" a="1"/>
  <c r="Q1833" i="3" s="1"/>
  <c r="Q1834" i="3" a="1"/>
  <c r="Q1834" i="3" s="1"/>
  <c r="Q1835" i="3" a="1"/>
  <c r="Q1835" i="3" s="1"/>
  <c r="Q1836" i="3" a="1"/>
  <c r="Q1836" i="3" s="1"/>
  <c r="Q1837" i="3" a="1"/>
  <c r="Q1837" i="3" s="1"/>
  <c r="Q1838" i="3" a="1"/>
  <c r="Q1838" i="3" s="1"/>
  <c r="Q1839" i="3" a="1"/>
  <c r="Q1839" i="3" s="1"/>
  <c r="Q1840" i="3" a="1"/>
  <c r="Q1840" i="3" s="1"/>
  <c r="Q1841" i="3" a="1"/>
  <c r="Q1841" i="3" s="1"/>
  <c r="Q1842" i="3" a="1"/>
  <c r="Q1842" i="3" s="1"/>
  <c r="Q1843" i="3" a="1"/>
  <c r="Q1843" i="3" s="1"/>
  <c r="Q1844" i="3" a="1"/>
  <c r="Q1844" i="3" s="1"/>
  <c r="Q1845" i="3" a="1"/>
  <c r="Q1845" i="3" s="1"/>
  <c r="Q1846" i="3" a="1"/>
  <c r="Q1846" i="3" s="1"/>
  <c r="Q1847" i="3" a="1"/>
  <c r="Q1847" i="3" s="1"/>
  <c r="Q1848" i="3" a="1"/>
  <c r="Q1848" i="3" s="1"/>
  <c r="Q1849" i="3" a="1"/>
  <c r="Q1849" i="3" s="1"/>
  <c r="Q1850" i="3" a="1"/>
  <c r="Q1850" i="3" s="1"/>
  <c r="Q1851" i="3" a="1"/>
  <c r="Q1851" i="3" s="1"/>
  <c r="Q1852" i="3" a="1"/>
  <c r="Q1852" i="3" s="1"/>
  <c r="Q1853" i="3" a="1"/>
  <c r="Q1853" i="3" s="1"/>
  <c r="Q1854" i="3" a="1"/>
  <c r="Q1854" i="3" s="1"/>
  <c r="Q1855" i="3" a="1"/>
  <c r="Q1855" i="3" s="1"/>
  <c r="Q1856" i="3" a="1"/>
  <c r="Q1856" i="3" s="1"/>
  <c r="Q1857" i="3" a="1"/>
  <c r="Q1857" i="3" s="1"/>
  <c r="Q1858" i="3" a="1"/>
  <c r="Q1858" i="3" s="1"/>
  <c r="Q1859" i="3" a="1"/>
  <c r="Q1859" i="3" s="1"/>
  <c r="Q1860" i="3" a="1"/>
  <c r="Q1860" i="3" s="1"/>
  <c r="Q1861" i="3" a="1"/>
  <c r="Q1861" i="3" s="1"/>
  <c r="Q1862" i="3" a="1"/>
  <c r="Q1862" i="3" s="1"/>
  <c r="Q1863" i="3" a="1"/>
  <c r="Q1863" i="3" s="1"/>
  <c r="Q1864" i="3" a="1"/>
  <c r="Q1864" i="3" s="1"/>
  <c r="Q1865" i="3" a="1"/>
  <c r="Q1865" i="3" s="1"/>
  <c r="Q1866" i="3" a="1"/>
  <c r="Q1866" i="3" s="1"/>
  <c r="Q1867" i="3" a="1"/>
  <c r="Q1867" i="3" s="1"/>
  <c r="Q1868" i="3" a="1"/>
  <c r="Q1868" i="3" s="1"/>
  <c r="Q1869" i="3" a="1"/>
  <c r="Q1869" i="3" s="1"/>
  <c r="Q1870" i="3" a="1"/>
  <c r="Q1870" i="3" s="1"/>
  <c r="Q1871" i="3" a="1"/>
  <c r="Q1871" i="3" s="1"/>
  <c r="Q1872" i="3" a="1"/>
  <c r="Q1872" i="3" s="1"/>
  <c r="Q1873" i="3" a="1"/>
  <c r="Q1873" i="3" s="1"/>
  <c r="Q1874" i="3" a="1"/>
  <c r="Q1874" i="3" s="1"/>
  <c r="Q1875" i="3" a="1"/>
  <c r="Q1875" i="3" s="1"/>
  <c r="Q1876" i="3" a="1"/>
  <c r="Q1876" i="3" s="1"/>
  <c r="Q1877" i="3" a="1"/>
  <c r="Q1877" i="3" s="1"/>
  <c r="Q1878" i="3" a="1"/>
  <c r="Q1878" i="3" s="1"/>
  <c r="Q1879" i="3" a="1"/>
  <c r="Q1879" i="3" s="1"/>
  <c r="Q1880" i="3" a="1"/>
  <c r="Q1880" i="3" s="1"/>
  <c r="Q1881" i="3" a="1"/>
  <c r="Q1881" i="3" s="1"/>
  <c r="Q1882" i="3" a="1"/>
  <c r="Q1882" i="3" s="1"/>
  <c r="Q1883" i="3" a="1"/>
  <c r="Q1883" i="3" s="1"/>
  <c r="Q1884" i="3" a="1"/>
  <c r="Q1884" i="3" s="1"/>
  <c r="Q1885" i="3" a="1"/>
  <c r="Q1885" i="3" s="1"/>
  <c r="Q1886" i="3" a="1"/>
  <c r="Q1886" i="3" s="1"/>
  <c r="Q1887" i="3" a="1"/>
  <c r="Q1887" i="3" s="1"/>
  <c r="Q1888" i="3" a="1"/>
  <c r="Q1888" i="3" s="1"/>
  <c r="Q1889" i="3" a="1"/>
  <c r="Q1889" i="3" s="1"/>
  <c r="Q1890" i="3" a="1"/>
  <c r="Q1890" i="3" s="1"/>
  <c r="Q1891" i="3" a="1"/>
  <c r="Q1891" i="3" s="1"/>
  <c r="Q1892" i="3" a="1"/>
  <c r="Q1892" i="3" s="1"/>
  <c r="Q1893" i="3" a="1"/>
  <c r="Q1893" i="3" s="1"/>
  <c r="Q1894" i="3" a="1"/>
  <c r="Q1894" i="3" s="1"/>
  <c r="Q1895" i="3" a="1"/>
  <c r="Q1895" i="3" s="1"/>
  <c r="Q1896" i="3" a="1"/>
  <c r="Q1896" i="3" s="1"/>
  <c r="Q1898" i="3" a="1"/>
  <c r="Q1898" i="3" s="1"/>
  <c r="Q1900" i="3" a="1"/>
  <c r="Q1900" i="3" s="1"/>
  <c r="Q1902" i="3" a="1"/>
  <c r="Q1902" i="3" s="1"/>
  <c r="Q1904" i="3" a="1"/>
  <c r="Q1904" i="3" s="1"/>
  <c r="Q1906" i="3" a="1"/>
  <c r="Q1906" i="3" s="1"/>
  <c r="Q1907" i="3" a="1"/>
  <c r="Q1907" i="3" s="1"/>
  <c r="Q1908" i="3" a="1"/>
  <c r="Q1908" i="3" s="1"/>
  <c r="Q1909" i="3" a="1"/>
  <c r="Q1909" i="3" s="1"/>
  <c r="Q1910" i="3" a="1"/>
  <c r="Q1910" i="3" s="1"/>
  <c r="Q1911" i="3" a="1"/>
  <c r="Q1911" i="3" s="1"/>
  <c r="Q1912" i="3" a="1"/>
  <c r="Q1912" i="3" s="1"/>
  <c r="Q1913" i="3" a="1"/>
  <c r="Q1913" i="3" s="1"/>
  <c r="Q1914" i="3" a="1"/>
  <c r="Q1914" i="3" s="1"/>
  <c r="Q1923" i="3" a="1"/>
  <c r="Q1923" i="3" s="1"/>
  <c r="Q1925" i="3" a="1"/>
  <c r="Q1925" i="3" s="1"/>
  <c r="Q1926" i="3" a="1"/>
  <c r="Q1926" i="3" s="1"/>
  <c r="Q1927" i="3" a="1"/>
  <c r="Q1927" i="3" s="1"/>
  <c r="Q1928" i="3" a="1"/>
  <c r="Q1928" i="3" s="1"/>
  <c r="Q1929" i="3" a="1"/>
  <c r="Q1929" i="3" s="1"/>
  <c r="Q1930" i="3" a="1"/>
  <c r="Q1930" i="3" s="1"/>
  <c r="Q1931" i="3" a="1"/>
  <c r="Q1931" i="3" s="1"/>
  <c r="Q1932" i="3" a="1"/>
  <c r="Q1932" i="3" s="1"/>
  <c r="Q1933" i="3" a="1"/>
  <c r="Q1933" i="3" s="1"/>
  <c r="Q1934" i="3" a="1"/>
  <c r="Q1934" i="3" s="1"/>
  <c r="Q1935" i="3" a="1"/>
  <c r="Q1935" i="3" s="1"/>
  <c r="Q1936" i="3" a="1"/>
  <c r="Q1936" i="3" s="1"/>
  <c r="Q1937" i="3" a="1"/>
  <c r="Q1937" i="3" s="1"/>
  <c r="Q1938" i="3" a="1"/>
  <c r="Q1938" i="3" s="1"/>
  <c r="Q1939" i="3" a="1"/>
  <c r="Q1939" i="3" s="1"/>
  <c r="Q1940" i="3" a="1"/>
  <c r="Q1940" i="3" s="1"/>
  <c r="Q1941" i="3" a="1"/>
  <c r="Q1941" i="3" s="1"/>
  <c r="Q1942" i="3" a="1"/>
  <c r="Q1942" i="3" s="1"/>
  <c r="Q1943" i="3" a="1"/>
  <c r="Q1943" i="3" s="1"/>
  <c r="Q1944" i="3" a="1"/>
  <c r="Q1944" i="3" s="1"/>
  <c r="Q1945" i="3" a="1"/>
  <c r="Q1945" i="3" s="1"/>
  <c r="Q1946" i="3" a="1"/>
  <c r="Q1946" i="3" s="1"/>
  <c r="Q1947" i="3" a="1"/>
  <c r="Q1947" i="3" s="1"/>
  <c r="Q1948" i="3" a="1"/>
  <c r="Q1948" i="3" s="1"/>
  <c r="Q1949" i="3" a="1"/>
  <c r="Q1949" i="3" s="1"/>
  <c r="Q1950" i="3" a="1"/>
  <c r="Q1950" i="3" s="1"/>
  <c r="Q1951" i="3" a="1"/>
  <c r="Q1951" i="3" s="1"/>
  <c r="Q1952" i="3" a="1"/>
  <c r="Q1952" i="3" s="1"/>
  <c r="Q1953" i="3" a="1"/>
  <c r="Q1953" i="3" s="1"/>
  <c r="Q1954" i="3" a="1"/>
  <c r="Q1954" i="3" s="1"/>
  <c r="Q1955" i="3" a="1"/>
  <c r="Q1955" i="3" s="1"/>
  <c r="Q1956" i="3" a="1"/>
  <c r="Q1956" i="3" s="1"/>
  <c r="Q1957" i="3" a="1"/>
  <c r="Q1957" i="3" s="1"/>
  <c r="Q1958" i="3" a="1"/>
  <c r="Q1958" i="3" s="1"/>
  <c r="Q1959" i="3" a="1"/>
  <c r="Q1959" i="3" s="1"/>
  <c r="Q1960" i="3" a="1"/>
  <c r="Q1960" i="3" s="1"/>
  <c r="Q1961" i="3" a="1"/>
  <c r="Q1961" i="3" s="1"/>
  <c r="Q1962" i="3" a="1"/>
  <c r="Q1962" i="3" s="1"/>
  <c r="Q1963" i="3" a="1"/>
  <c r="Q1963" i="3" s="1"/>
  <c r="Q1964" i="3" a="1"/>
  <c r="Q1964" i="3" s="1"/>
  <c r="Q1965" i="3" a="1"/>
  <c r="Q1965" i="3" s="1"/>
  <c r="Q1966" i="3" a="1"/>
  <c r="Q1966" i="3" s="1"/>
  <c r="Q1967" i="3" a="1"/>
  <c r="Q1967" i="3" s="1"/>
  <c r="Q1968" i="3" a="1"/>
  <c r="Q1968" i="3" s="1"/>
  <c r="Q1969" i="3" a="1"/>
  <c r="Q1969" i="3" s="1"/>
  <c r="Q1970" i="3" a="1"/>
  <c r="Q1970" i="3" s="1"/>
  <c r="Q1971" i="3" a="1"/>
  <c r="Q1971" i="3" s="1"/>
  <c r="Q1972" i="3" a="1"/>
  <c r="Q1972" i="3" s="1"/>
  <c r="Q1973" i="3" a="1"/>
  <c r="Q1973" i="3" s="1"/>
  <c r="Q1974" i="3" a="1"/>
  <c r="Q1974" i="3" s="1"/>
  <c r="Q1975" i="3" a="1"/>
  <c r="Q1975" i="3" s="1"/>
  <c r="Q1976" i="3" a="1"/>
  <c r="Q1976" i="3" s="1"/>
  <c r="Q1977" i="3" a="1"/>
  <c r="Q1977" i="3" s="1"/>
  <c r="Q1978" i="3" a="1"/>
  <c r="Q1978" i="3" s="1"/>
  <c r="Q1979" i="3" a="1"/>
  <c r="Q1979" i="3" s="1"/>
  <c r="Q1981" i="3" a="1"/>
  <c r="Q1981" i="3" s="1"/>
  <c r="Q1982" i="3" a="1"/>
  <c r="Q1982" i="3" s="1"/>
  <c r="Q1983" i="3" a="1"/>
  <c r="Q1983" i="3" s="1"/>
  <c r="Q1985" i="3" a="1"/>
  <c r="Q1985" i="3" s="1"/>
  <c r="Q1986" i="3" a="1"/>
  <c r="Q1986" i="3" s="1"/>
  <c r="Q1987" i="3" a="1"/>
  <c r="Q1987" i="3" s="1"/>
  <c r="Q1989" i="3" a="1"/>
  <c r="Q1989" i="3" s="1"/>
  <c r="Q1990" i="3" a="1"/>
  <c r="Q1990" i="3" s="1"/>
  <c r="Q1991" i="3" a="1"/>
  <c r="Q1991" i="3" s="1"/>
  <c r="Q1993" i="3" a="1"/>
  <c r="Q1993" i="3" s="1"/>
  <c r="Q1994" i="3" a="1"/>
  <c r="Q1994" i="3" s="1"/>
  <c r="Q1995" i="3" a="1"/>
  <c r="Q1995" i="3" s="1"/>
  <c r="Q1997" i="3" a="1"/>
  <c r="Q1997" i="3" s="1"/>
  <c r="Q1998" i="3" a="1"/>
  <c r="Q1998" i="3" s="1"/>
  <c r="Q1999" i="3" a="1"/>
  <c r="Q1999" i="3" s="1"/>
  <c r="Q2000" i="3" a="1"/>
  <c r="Q2000" i="3" s="1"/>
  <c r="Q2001" i="3" a="1"/>
  <c r="Q2001" i="3" s="1"/>
  <c r="Q2002" i="3" a="1"/>
  <c r="Q2002" i="3" s="1"/>
  <c r="Q2003" i="3" a="1"/>
  <c r="Q2003" i="3" s="1"/>
  <c r="Q2004" i="3" a="1"/>
  <c r="Q2004" i="3" s="1"/>
  <c r="Q2005" i="3" a="1"/>
  <c r="Q2005" i="3" s="1"/>
  <c r="Q2006" i="3" a="1"/>
  <c r="Q2006" i="3" s="1"/>
  <c r="Q2007" i="3" a="1"/>
  <c r="Q2007" i="3" s="1"/>
  <c r="Q2008" i="3" a="1"/>
  <c r="Q2008" i="3" s="1"/>
  <c r="Q2009" i="3" a="1"/>
  <c r="Q2009" i="3" s="1"/>
  <c r="Q2010" i="3" a="1"/>
  <c r="Q2010" i="3" s="1"/>
  <c r="Q2011" i="3" a="1"/>
  <c r="Q2011" i="3" s="1"/>
  <c r="Q2012" i="3" a="1"/>
  <c r="Q2012" i="3" s="1"/>
  <c r="Q2013" i="3" a="1"/>
  <c r="Q2013" i="3" s="1"/>
  <c r="Q2014" i="3" a="1"/>
  <c r="Q2014" i="3" s="1"/>
  <c r="Q2015" i="3" a="1"/>
  <c r="Q2015" i="3" s="1"/>
  <c r="Q2016" i="3" a="1"/>
  <c r="Q2016" i="3" s="1"/>
  <c r="Q2017" i="3" a="1"/>
  <c r="Q2017" i="3" s="1"/>
  <c r="Q2018" i="3" a="1"/>
  <c r="Q2018" i="3" s="1"/>
  <c r="Q2019" i="3" a="1"/>
  <c r="Q2019" i="3" s="1"/>
  <c r="Q2020" i="3" a="1"/>
  <c r="Q2020" i="3" s="1"/>
  <c r="Q2021" i="3" a="1"/>
  <c r="Q2021" i="3" s="1"/>
  <c r="Q2022" i="3" a="1"/>
  <c r="Q2022" i="3" s="1"/>
  <c r="Q2023" i="3" a="1"/>
  <c r="Q2023" i="3" s="1"/>
  <c r="Q2024" i="3" a="1"/>
  <c r="Q2024" i="3" s="1"/>
  <c r="Q2025" i="3" a="1"/>
  <c r="Q2025" i="3" s="1"/>
  <c r="Q2026" i="3" a="1"/>
  <c r="Q2026" i="3" s="1"/>
  <c r="Q2028" i="3" a="1"/>
  <c r="Q2028" i="3" s="1"/>
  <c r="Q2029" i="3" a="1"/>
  <c r="Q2029" i="3" s="1"/>
  <c r="Q2030" i="3" a="1"/>
  <c r="Q2030" i="3" s="1"/>
  <c r="Q2032" i="3" a="1"/>
  <c r="Q2032" i="3" s="1"/>
  <c r="Q2033" i="3" a="1"/>
  <c r="Q2033" i="3" s="1"/>
  <c r="Q2034" i="3" a="1"/>
  <c r="Q2034" i="3" s="1"/>
  <c r="Q2036" i="3" a="1"/>
  <c r="Q2036" i="3" s="1"/>
  <c r="Q2037" i="3" a="1"/>
  <c r="Q2037" i="3" s="1"/>
  <c r="Q2038" i="3" a="1"/>
  <c r="Q2038" i="3" s="1"/>
  <c r="Q2040" i="3" a="1"/>
  <c r="Q2040" i="3" s="1"/>
  <c r="Q2041" i="3" a="1"/>
  <c r="Q2041" i="3" s="1"/>
  <c r="Q2042" i="3" a="1"/>
  <c r="Q2042" i="3" s="1"/>
  <c r="Q2044" i="3" a="1"/>
  <c r="Q2044" i="3" s="1"/>
  <c r="Q2045" i="3" a="1"/>
  <c r="Q2045" i="3" s="1"/>
  <c r="Q2046" i="3" a="1"/>
  <c r="Q2046" i="3" s="1"/>
  <c r="Q2047" i="3" a="1"/>
  <c r="Q2047" i="3" s="1"/>
  <c r="Q2048" i="3" a="1"/>
  <c r="Q2048" i="3" s="1"/>
  <c r="Q2049" i="3" a="1"/>
  <c r="Q2049" i="3" s="1"/>
  <c r="Q2050" i="3" a="1"/>
  <c r="Q2050" i="3" s="1"/>
  <c r="Q2051" i="3" a="1"/>
  <c r="Q2051" i="3" s="1"/>
  <c r="Q2052" i="3" a="1"/>
  <c r="Q2052" i="3" s="1"/>
  <c r="Q2053" i="3" a="1"/>
  <c r="Q2053" i="3" s="1"/>
  <c r="Q2054" i="3" a="1"/>
  <c r="Q2054" i="3" s="1"/>
  <c r="Q2055" i="3" a="1"/>
  <c r="Q2055" i="3" s="1"/>
  <c r="Q2056" i="3" a="1"/>
  <c r="Q2056" i="3" s="1"/>
  <c r="Q2057" i="3" a="1"/>
  <c r="Q2057" i="3" s="1"/>
  <c r="Q2058" i="3" a="1"/>
  <c r="Q2058" i="3" s="1"/>
  <c r="Q2059" i="3" a="1"/>
  <c r="Q2059" i="3" s="1"/>
  <c r="Q2060" i="3" a="1"/>
  <c r="Q2060" i="3" s="1"/>
  <c r="Q2061" i="3" a="1"/>
  <c r="Q2061" i="3" s="1"/>
  <c r="Q2062" i="3" a="1"/>
  <c r="Q2062" i="3" s="1"/>
  <c r="Q2063" i="3" a="1"/>
  <c r="Q2063" i="3" s="1"/>
  <c r="Q2064" i="3" a="1"/>
  <c r="Q2064" i="3" s="1"/>
  <c r="Q2065" i="3" a="1"/>
  <c r="Q2065" i="3" s="1"/>
  <c r="Q2066" i="3" a="1"/>
  <c r="Q2066" i="3" s="1"/>
  <c r="Q2067" i="3" a="1"/>
  <c r="Q2067" i="3" s="1"/>
  <c r="Q2068" i="3" a="1"/>
  <c r="Q2068" i="3" s="1"/>
  <c r="Q2069" i="3" a="1"/>
  <c r="Q2069" i="3" s="1"/>
  <c r="Q2070" i="3" a="1"/>
  <c r="Q2070" i="3" s="1"/>
  <c r="Q2071" i="3" a="1"/>
  <c r="Q2071" i="3" s="1"/>
  <c r="Q2072" i="3" a="1"/>
  <c r="Q2072" i="3" s="1"/>
  <c r="Q2073" i="3" a="1"/>
  <c r="Q2073" i="3" s="1"/>
  <c r="Q2074" i="3" a="1"/>
  <c r="Q2074" i="3" s="1"/>
  <c r="Q2075" i="3" a="1"/>
  <c r="Q2075" i="3" s="1"/>
  <c r="Q2076" i="3" a="1"/>
  <c r="Q2076" i="3" s="1"/>
  <c r="Q2077" i="3" a="1"/>
  <c r="Q2077" i="3" s="1"/>
  <c r="Q2078" i="3" a="1"/>
  <c r="Q2078" i="3" s="1"/>
  <c r="Q2079" i="3" a="1"/>
  <c r="Q2079" i="3" s="1"/>
  <c r="Q2080" i="3" a="1"/>
  <c r="Q2080" i="3" s="1"/>
  <c r="Q2081" i="3" a="1"/>
  <c r="Q2081" i="3" s="1"/>
  <c r="Q2082" i="3" a="1"/>
  <c r="Q2082" i="3" s="1"/>
  <c r="Q2083" i="3" a="1"/>
  <c r="Q2083" i="3" s="1"/>
  <c r="Q2084" i="3" a="1"/>
  <c r="Q2084" i="3" s="1"/>
  <c r="Q2085" i="3" a="1"/>
  <c r="Q2085" i="3" s="1"/>
  <c r="Q2086" i="3" a="1"/>
  <c r="Q2086" i="3" s="1"/>
  <c r="Q2087" i="3" a="1"/>
  <c r="Q2087" i="3" s="1"/>
  <c r="Q2088" i="3" a="1"/>
  <c r="Q2088" i="3" s="1"/>
  <c r="Q2089" i="3" a="1"/>
  <c r="Q2089" i="3" s="1"/>
  <c r="Q2090" i="3" a="1"/>
  <c r="Q2090" i="3" s="1"/>
  <c r="Q2091" i="3" a="1"/>
  <c r="Q2091" i="3" s="1"/>
  <c r="Q2092" i="3" a="1"/>
  <c r="Q2092" i="3" s="1"/>
  <c r="Q2093" i="3" a="1"/>
  <c r="Q2093" i="3" s="1"/>
  <c r="Q2094" i="3" a="1"/>
  <c r="Q2094" i="3" s="1"/>
  <c r="Q2095" i="3" a="1"/>
  <c r="Q2095" i="3" s="1"/>
  <c r="Q2096" i="3" a="1"/>
  <c r="Q2096" i="3" s="1"/>
  <c r="Q2097" i="3" a="1"/>
  <c r="Q2097" i="3" s="1"/>
  <c r="Q2098" i="3" a="1"/>
  <c r="Q2098" i="3" s="1"/>
  <c r="Q2099" i="3" a="1"/>
  <c r="Q2099" i="3" s="1"/>
  <c r="Q2100" i="3" a="1"/>
  <c r="Q2100" i="3" s="1"/>
  <c r="Q2101" i="3" a="1"/>
  <c r="Q2101" i="3" s="1"/>
  <c r="Q2102" i="3" a="1"/>
  <c r="Q2102" i="3" s="1"/>
  <c r="Q2103" i="3" a="1"/>
  <c r="Q2103" i="3" s="1"/>
  <c r="Q2104" i="3" a="1"/>
  <c r="Q2104" i="3" s="1"/>
  <c r="Q2105" i="3" a="1"/>
  <c r="Q2105" i="3" s="1"/>
  <c r="Q2106" i="3" a="1"/>
  <c r="Q2106" i="3" s="1"/>
  <c r="Q2107" i="3" a="1"/>
  <c r="Q2107" i="3" s="1"/>
  <c r="Q2108" i="3" a="1"/>
  <c r="Q2108" i="3" s="1"/>
  <c r="Q2109" i="3" a="1"/>
  <c r="Q2109" i="3" s="1"/>
  <c r="Q2110" i="3" a="1"/>
  <c r="Q2110" i="3" s="1"/>
  <c r="Q2111" i="3" a="1"/>
  <c r="Q2111" i="3" s="1"/>
  <c r="Q2112" i="3" a="1"/>
  <c r="Q2112" i="3" s="1"/>
  <c r="Q2113" i="3" a="1"/>
  <c r="Q2113" i="3" s="1"/>
  <c r="Q2114" i="3" a="1"/>
  <c r="Q2114" i="3" s="1"/>
  <c r="Q2115" i="3" a="1"/>
  <c r="Q2115" i="3" s="1"/>
  <c r="Q2116" i="3" a="1"/>
  <c r="Q2116" i="3" s="1"/>
  <c r="Q2117" i="3" a="1"/>
  <c r="Q2117" i="3" s="1"/>
  <c r="Q2118" i="3" a="1"/>
  <c r="Q2118" i="3" s="1"/>
  <c r="Q2119" i="3" a="1"/>
  <c r="Q2119" i="3" s="1"/>
  <c r="Q2120" i="3" a="1"/>
  <c r="Q2120" i="3" s="1"/>
  <c r="Q2121" i="3" a="1"/>
  <c r="Q2121" i="3" s="1"/>
  <c r="Q2122" i="3" a="1"/>
  <c r="Q2122" i="3" s="1"/>
  <c r="Q2123" i="3" a="1"/>
  <c r="Q2123" i="3" s="1"/>
  <c r="Q2124" i="3" a="1"/>
  <c r="Q2124" i="3" s="1"/>
  <c r="Q2125" i="3" a="1"/>
  <c r="Q2125" i="3" s="1"/>
  <c r="Q2126" i="3" a="1"/>
  <c r="Q2126" i="3" s="1"/>
  <c r="Q2127" i="3" a="1"/>
  <c r="Q2127" i="3" s="1"/>
  <c r="Q2128" i="3" a="1"/>
  <c r="Q2128" i="3" s="1"/>
  <c r="Q2129" i="3" a="1"/>
  <c r="Q2129" i="3" s="1"/>
  <c r="Q2130" i="3" a="1"/>
  <c r="Q2130" i="3" s="1"/>
  <c r="Q2131" i="3" a="1"/>
  <c r="Q2131" i="3" s="1"/>
  <c r="Q2132" i="3" a="1"/>
  <c r="Q2132" i="3" s="1"/>
  <c r="Q2133" i="3" a="1"/>
  <c r="Q2133" i="3" s="1"/>
  <c r="Q2134" i="3" a="1"/>
  <c r="Q2134" i="3" s="1"/>
  <c r="Q2135" i="3" a="1"/>
  <c r="Q2135" i="3" s="1"/>
  <c r="Q2136" i="3" a="1"/>
  <c r="Q2136" i="3" s="1"/>
  <c r="Q2137" i="3" a="1"/>
  <c r="Q2137" i="3" s="1"/>
  <c r="Q2138" i="3" a="1"/>
  <c r="Q2138" i="3" s="1"/>
  <c r="Q2139" i="3" a="1"/>
  <c r="Q2139" i="3" s="1"/>
  <c r="Q2140" i="3" a="1"/>
  <c r="Q2140" i="3" s="1"/>
  <c r="Q2141" i="3" a="1"/>
  <c r="Q2141" i="3" s="1"/>
  <c r="Q2142" i="3" a="1"/>
  <c r="Q2142" i="3" s="1"/>
  <c r="Q2143" i="3" a="1"/>
  <c r="Q2143" i="3" s="1"/>
  <c r="Q2144" i="3" a="1"/>
  <c r="Q2144" i="3" s="1"/>
  <c r="Q2145" i="3" a="1"/>
  <c r="Q2145" i="3" s="1"/>
  <c r="Q2146" i="3" a="1"/>
  <c r="Q2146" i="3" s="1"/>
  <c r="Q2147" i="3" a="1"/>
  <c r="Q2147" i="3" s="1"/>
  <c r="Q2148" i="3" a="1"/>
  <c r="Q2148" i="3" s="1"/>
  <c r="Q2149" i="3" a="1"/>
  <c r="Q2149" i="3" s="1"/>
  <c r="Q2150" i="3" a="1"/>
  <c r="Q2150" i="3" s="1"/>
  <c r="Q2151" i="3" a="1"/>
  <c r="Q2151" i="3" s="1"/>
  <c r="Q2152" i="3" a="1"/>
  <c r="Q2152" i="3" s="1"/>
  <c r="Q2153" i="3" a="1"/>
  <c r="Q2153" i="3" s="1"/>
  <c r="Q2154" i="3" a="1"/>
  <c r="Q2154" i="3" s="1"/>
  <c r="Q2155" i="3" a="1"/>
  <c r="Q2155" i="3" s="1"/>
  <c r="Q2156" i="3" a="1"/>
  <c r="Q2156" i="3" s="1"/>
  <c r="Q2157" i="3" a="1"/>
  <c r="Q2157" i="3" s="1"/>
  <c r="Q2158" i="3" a="1"/>
  <c r="Q2158" i="3" s="1"/>
  <c r="Q2159" i="3" a="1"/>
  <c r="Q2159" i="3" s="1"/>
  <c r="Q2160" i="3" a="1"/>
  <c r="Q2160" i="3" s="1"/>
  <c r="Q2161" i="3" a="1"/>
  <c r="Q2161" i="3" s="1"/>
  <c r="Q2162" i="3" a="1"/>
  <c r="Q2162" i="3" s="1"/>
  <c r="Q2163" i="3" a="1"/>
  <c r="Q2163" i="3" s="1"/>
  <c r="Q2164" i="3" a="1"/>
  <c r="Q2164" i="3" s="1"/>
  <c r="Q2165" i="3" a="1"/>
  <c r="Q2165" i="3" s="1"/>
  <c r="Q2166" i="3" a="1"/>
  <c r="Q2166" i="3" s="1"/>
  <c r="Q2167" i="3" a="1"/>
  <c r="Q2167" i="3" s="1"/>
  <c r="Q2168" i="3" a="1"/>
  <c r="Q2168" i="3" s="1"/>
  <c r="Q2169" i="3" a="1"/>
  <c r="Q2169" i="3" s="1"/>
  <c r="Q2170" i="3" a="1"/>
  <c r="Q2170" i="3" s="1"/>
  <c r="Q2171" i="3" a="1"/>
  <c r="Q2171" i="3" s="1"/>
  <c r="Q2172" i="3" a="1"/>
  <c r="Q2172" i="3" s="1"/>
  <c r="Q2173" i="3" a="1"/>
  <c r="Q2173" i="3" s="1"/>
  <c r="Q2174" i="3" a="1"/>
  <c r="Q2174" i="3" s="1"/>
  <c r="Q2175" i="3" a="1"/>
  <c r="Q2175" i="3" s="1"/>
  <c r="Q2176" i="3" a="1"/>
  <c r="Q2176" i="3" s="1"/>
  <c r="Q2177" i="3" a="1"/>
  <c r="Q2177" i="3" s="1"/>
  <c r="Q2178" i="3" a="1"/>
  <c r="Q2178" i="3" s="1"/>
  <c r="Q2179" i="3" a="1"/>
  <c r="Q2179" i="3" s="1"/>
  <c r="Q2180" i="3" a="1"/>
  <c r="Q2180" i="3" s="1"/>
  <c r="Q2181" i="3" a="1"/>
  <c r="Q2181" i="3" s="1"/>
  <c r="Q2182" i="3" a="1"/>
  <c r="Q2182" i="3" s="1"/>
  <c r="Q2183" i="3" a="1"/>
  <c r="Q2183" i="3" s="1"/>
  <c r="Q2184" i="3" a="1"/>
  <c r="Q2184" i="3" s="1"/>
  <c r="Q2185" i="3" a="1"/>
  <c r="Q2185" i="3" s="1"/>
  <c r="Q2186" i="3" a="1"/>
  <c r="Q2186" i="3" s="1"/>
  <c r="Q2187" i="3" a="1"/>
  <c r="Q2187" i="3" s="1"/>
  <c r="Q2188" i="3" a="1"/>
  <c r="Q2188" i="3" s="1"/>
  <c r="Q2189" i="3" a="1"/>
  <c r="Q2189" i="3" s="1"/>
  <c r="Q2190" i="3" a="1"/>
  <c r="Q2190" i="3" s="1"/>
  <c r="Q2191" i="3" a="1"/>
  <c r="Q2191" i="3" s="1"/>
  <c r="Q2192" i="3" a="1"/>
  <c r="Q2192" i="3" s="1"/>
  <c r="Q2193" i="3" a="1"/>
  <c r="Q2193" i="3" s="1"/>
  <c r="Q2194" i="3" a="1"/>
  <c r="Q2194" i="3" s="1"/>
  <c r="Q2195" i="3" a="1"/>
  <c r="Q2195" i="3" s="1"/>
  <c r="Q2196" i="3" a="1"/>
  <c r="Q2196" i="3" s="1"/>
  <c r="Q2197" i="3" a="1"/>
  <c r="Q2197" i="3" s="1"/>
  <c r="Q2198" i="3" a="1"/>
  <c r="Q2198" i="3" s="1"/>
  <c r="Q2199" i="3" a="1"/>
  <c r="Q2199" i="3" s="1"/>
  <c r="Q2200" i="3" a="1"/>
  <c r="Q2200" i="3" s="1"/>
  <c r="Q2201" i="3" a="1"/>
  <c r="Q2201" i="3" s="1"/>
  <c r="Q2202" i="3" a="1"/>
  <c r="Q2202" i="3" s="1"/>
  <c r="Q2203" i="3" a="1"/>
  <c r="Q2203" i="3" s="1"/>
  <c r="Q2204" i="3" a="1"/>
  <c r="Q2204" i="3" s="1"/>
  <c r="Q2205" i="3" a="1"/>
  <c r="Q2205" i="3" s="1"/>
  <c r="Q2206" i="3" a="1"/>
  <c r="Q2206" i="3" s="1"/>
  <c r="Q2207" i="3" a="1"/>
  <c r="Q2207" i="3" s="1"/>
  <c r="Q2208" i="3" a="1"/>
  <c r="Q2208" i="3" s="1"/>
  <c r="Q2209" i="3" a="1"/>
  <c r="Q2209" i="3" s="1"/>
  <c r="Q2210" i="3" a="1"/>
  <c r="Q2210" i="3" s="1"/>
  <c r="Q2211" i="3" a="1"/>
  <c r="Q2211" i="3" s="1"/>
  <c r="Q2212" i="3" a="1"/>
  <c r="Q2212" i="3" s="1"/>
  <c r="Q2213" i="3" a="1"/>
  <c r="Q2213" i="3" s="1"/>
  <c r="Q2214" i="3" a="1"/>
  <c r="Q2214" i="3" s="1"/>
  <c r="Q2215" i="3" a="1"/>
  <c r="Q2215" i="3" s="1"/>
  <c r="Q2216" i="3" a="1"/>
  <c r="Q2216" i="3" s="1"/>
  <c r="Q2217" i="3" a="1"/>
  <c r="Q2217" i="3" s="1"/>
  <c r="Q2218" i="3" a="1"/>
  <c r="Q2218" i="3" s="1"/>
  <c r="Q2219" i="3" a="1"/>
  <c r="Q2219" i="3" s="1"/>
  <c r="Q2220" i="3" a="1"/>
  <c r="Q2220" i="3" s="1"/>
  <c r="Q2221" i="3" a="1"/>
  <c r="Q2221" i="3" s="1"/>
  <c r="Q2222" i="3" a="1"/>
  <c r="Q2222" i="3" s="1"/>
  <c r="Q2223" i="3" a="1"/>
  <c r="Q2223" i="3" s="1"/>
  <c r="Q2224" i="3" a="1"/>
  <c r="Q2224" i="3" s="1"/>
  <c r="Y481" i="3" a="1"/>
  <c r="Y481" i="3" s="1"/>
  <c r="X481" i="3" a="1"/>
  <c r="X481" i="3" s="1"/>
  <c r="W481" i="3" a="1"/>
  <c r="W481" i="3" s="1"/>
  <c r="V481" i="3" a="1"/>
  <c r="V481" i="3" s="1"/>
  <c r="Y480" i="3" a="1"/>
  <c r="Y480" i="3" s="1"/>
  <c r="X480" i="3" a="1"/>
  <c r="X480" i="3" s="1"/>
  <c r="W480" i="3" a="1"/>
  <c r="W480" i="3" s="1"/>
  <c r="V480" i="3" a="1"/>
  <c r="V480" i="3" s="1"/>
  <c r="Y451" i="3" a="1"/>
  <c r="Y451" i="3" s="1"/>
  <c r="X451" i="3" a="1"/>
  <c r="X451" i="3" s="1"/>
  <c r="W451" i="3" a="1"/>
  <c r="W451" i="3" s="1"/>
  <c r="V451" i="3" a="1"/>
  <c r="V451" i="3" s="1"/>
  <c r="Y450" i="3" a="1"/>
  <c r="Y450" i="3" s="1"/>
  <c r="X450" i="3" a="1"/>
  <c r="X450" i="3" s="1"/>
  <c r="W450" i="3" a="1"/>
  <c r="W450" i="3" s="1"/>
  <c r="V450" i="3" a="1"/>
  <c r="V450" i="3" s="1"/>
  <c r="Y514" i="3" a="1"/>
  <c r="Y514" i="3" s="1"/>
  <c r="X514" i="3" a="1"/>
  <c r="X514" i="3" s="1"/>
  <c r="W514" i="3" a="1"/>
  <c r="W514" i="3" s="1"/>
  <c r="V514" i="3" a="1"/>
  <c r="V514" i="3" s="1"/>
  <c r="Y513" i="3" a="1"/>
  <c r="Y513" i="3" s="1"/>
  <c r="X513" i="3" a="1"/>
  <c r="X513" i="3" s="1"/>
  <c r="W513" i="3" a="1"/>
  <c r="W513" i="3" s="1"/>
  <c r="V513" i="3" a="1"/>
  <c r="V513" i="3" s="1"/>
  <c r="Y2224" i="3" l="1" a="1"/>
  <c r="Y2224" i="3" s="1"/>
  <c r="X2224" i="3" a="1"/>
  <c r="X2224" i="3" s="1"/>
  <c r="W2224" i="3" a="1"/>
  <c r="W2224" i="3" s="1"/>
  <c r="V2224" i="3" a="1"/>
  <c r="V2224" i="3" s="1"/>
  <c r="Y2223" i="3" a="1"/>
  <c r="Y2223" i="3" s="1"/>
  <c r="X2223" i="3" a="1"/>
  <c r="X2223" i="3" s="1"/>
  <c r="W2223" i="3" a="1"/>
  <c r="W2223" i="3" s="1"/>
  <c r="V2223" i="3" a="1"/>
  <c r="V2223" i="3" s="1"/>
  <c r="Y2222" i="3" a="1"/>
  <c r="Y2222" i="3" s="1"/>
  <c r="X2222" i="3" a="1"/>
  <c r="X2222" i="3" s="1"/>
  <c r="W2222" i="3" a="1"/>
  <c r="W2222" i="3" s="1"/>
  <c r="V2222" i="3" a="1"/>
  <c r="V2222" i="3" s="1"/>
  <c r="Y2221" i="3" a="1"/>
  <c r="Y2221" i="3" s="1"/>
  <c r="X2221" i="3" a="1"/>
  <c r="X2221" i="3" s="1"/>
  <c r="W2221" i="3" a="1"/>
  <c r="W2221" i="3" s="1"/>
  <c r="V2221" i="3" a="1"/>
  <c r="V2221" i="3" s="1"/>
  <c r="Y2220" i="3" a="1"/>
  <c r="Y2220" i="3" s="1"/>
  <c r="X2220" i="3" a="1"/>
  <c r="X2220" i="3" s="1"/>
  <c r="W2220" i="3" a="1"/>
  <c r="W2220" i="3" s="1"/>
  <c r="V2220" i="3" a="1"/>
  <c r="V2220" i="3" s="1"/>
  <c r="Y2219" i="3" a="1"/>
  <c r="Y2219" i="3" s="1"/>
  <c r="X2219" i="3" a="1"/>
  <c r="X2219" i="3" s="1"/>
  <c r="W2219" i="3" a="1"/>
  <c r="W2219" i="3" s="1"/>
  <c r="V2219" i="3" a="1"/>
  <c r="V2219" i="3" s="1"/>
  <c r="Y2218" i="3" a="1"/>
  <c r="Y2218" i="3" s="1"/>
  <c r="X2218" i="3" a="1"/>
  <c r="X2218" i="3" s="1"/>
  <c r="W2218" i="3" a="1"/>
  <c r="W2218" i="3" s="1"/>
  <c r="V2218" i="3" a="1"/>
  <c r="V2218" i="3" s="1"/>
  <c r="Y2217" i="3" a="1"/>
  <c r="Y2217" i="3" s="1"/>
  <c r="X2217" i="3" a="1"/>
  <c r="X2217" i="3" s="1"/>
  <c r="W2217" i="3" a="1"/>
  <c r="W2217" i="3" s="1"/>
  <c r="V2217" i="3" a="1"/>
  <c r="V2217" i="3" s="1"/>
  <c r="Y2216" i="3" a="1"/>
  <c r="Y2216" i="3" s="1"/>
  <c r="X2216" i="3" a="1"/>
  <c r="X2216" i="3" s="1"/>
  <c r="W2216" i="3" a="1"/>
  <c r="W2216" i="3" s="1"/>
  <c r="V2216" i="3" a="1"/>
  <c r="V2216" i="3" s="1"/>
  <c r="Y2215" i="3" a="1"/>
  <c r="Y2215" i="3" s="1"/>
  <c r="X2215" i="3" a="1"/>
  <c r="X2215" i="3" s="1"/>
  <c r="W2215" i="3" a="1"/>
  <c r="W2215" i="3" s="1"/>
  <c r="V2215" i="3" a="1"/>
  <c r="V2215" i="3" s="1"/>
  <c r="Y2214" i="3" a="1"/>
  <c r="Y2214" i="3" s="1"/>
  <c r="X2214" i="3" a="1"/>
  <c r="X2214" i="3" s="1"/>
  <c r="W2214" i="3" a="1"/>
  <c r="W2214" i="3" s="1"/>
  <c r="V2214" i="3" a="1"/>
  <c r="V2214" i="3" s="1"/>
  <c r="Y2213" i="3" a="1"/>
  <c r="Y2213" i="3" s="1"/>
  <c r="X2213" i="3" a="1"/>
  <c r="X2213" i="3" s="1"/>
  <c r="W2213" i="3" a="1"/>
  <c r="W2213" i="3" s="1"/>
  <c r="V2213" i="3" a="1"/>
  <c r="V2213" i="3" s="1"/>
  <c r="Y2212" i="3" a="1"/>
  <c r="Y2212" i="3" s="1"/>
  <c r="X2212" i="3" a="1"/>
  <c r="X2212" i="3" s="1"/>
  <c r="W2212" i="3" a="1"/>
  <c r="W2212" i="3" s="1"/>
  <c r="V2212" i="3" a="1"/>
  <c r="V2212" i="3" s="1"/>
  <c r="Y2211" i="3" a="1"/>
  <c r="Y2211" i="3" s="1"/>
  <c r="X2211" i="3" a="1"/>
  <c r="X2211" i="3" s="1"/>
  <c r="W2211" i="3" a="1"/>
  <c r="W2211" i="3" s="1"/>
  <c r="V2211" i="3" a="1"/>
  <c r="V2211" i="3" s="1"/>
  <c r="Y2210" i="3" a="1"/>
  <c r="Y2210" i="3" s="1"/>
  <c r="X2210" i="3" a="1"/>
  <c r="X2210" i="3" s="1"/>
  <c r="W2210" i="3" a="1"/>
  <c r="W2210" i="3" s="1"/>
  <c r="V2210" i="3" a="1"/>
  <c r="V2210" i="3" s="1"/>
  <c r="Y2209" i="3" a="1"/>
  <c r="Y2209" i="3" s="1"/>
  <c r="X2209" i="3" a="1"/>
  <c r="X2209" i="3" s="1"/>
  <c r="W2209" i="3" a="1"/>
  <c r="W2209" i="3" s="1"/>
  <c r="V2209" i="3" a="1"/>
  <c r="V2209" i="3" s="1"/>
  <c r="Y2208" i="3" a="1"/>
  <c r="Y2208" i="3" s="1"/>
  <c r="X2208" i="3" a="1"/>
  <c r="X2208" i="3" s="1"/>
  <c r="W2208" i="3" a="1"/>
  <c r="W2208" i="3" s="1"/>
  <c r="V2208" i="3" a="1"/>
  <c r="V2208" i="3" s="1"/>
  <c r="Y2207" i="3" a="1"/>
  <c r="Y2207" i="3" s="1"/>
  <c r="X2207" i="3" a="1"/>
  <c r="X2207" i="3" s="1"/>
  <c r="W2207" i="3" a="1"/>
  <c r="W2207" i="3" s="1"/>
  <c r="V2207" i="3" a="1"/>
  <c r="V2207" i="3" s="1"/>
  <c r="Y2206" i="3" a="1"/>
  <c r="Y2206" i="3" s="1"/>
  <c r="X2206" i="3" a="1"/>
  <c r="X2206" i="3" s="1"/>
  <c r="W2206" i="3" a="1"/>
  <c r="W2206" i="3" s="1"/>
  <c r="V2206" i="3" a="1"/>
  <c r="V2206" i="3" s="1"/>
  <c r="Y2205" i="3" a="1"/>
  <c r="Y2205" i="3" s="1"/>
  <c r="X2205" i="3" a="1"/>
  <c r="X2205" i="3" s="1"/>
  <c r="W2205" i="3" a="1"/>
  <c r="W2205" i="3" s="1"/>
  <c r="V2205" i="3" a="1"/>
  <c r="V2205" i="3" s="1"/>
  <c r="Y2204" i="3" a="1"/>
  <c r="Y2204" i="3" s="1"/>
  <c r="X2204" i="3" a="1"/>
  <c r="X2204" i="3" s="1"/>
  <c r="W2204" i="3" a="1"/>
  <c r="W2204" i="3" s="1"/>
  <c r="V2204" i="3" a="1"/>
  <c r="V2204" i="3" s="1"/>
  <c r="Y2203" i="3" a="1"/>
  <c r="Y2203" i="3" s="1"/>
  <c r="X2203" i="3" a="1"/>
  <c r="X2203" i="3" s="1"/>
  <c r="W2203" i="3" a="1"/>
  <c r="W2203" i="3" s="1"/>
  <c r="V2203" i="3" a="1"/>
  <c r="V2203" i="3" s="1"/>
  <c r="Y2202" i="3" a="1"/>
  <c r="Y2202" i="3" s="1"/>
  <c r="X2202" i="3" a="1"/>
  <c r="X2202" i="3" s="1"/>
  <c r="W2202" i="3" a="1"/>
  <c r="W2202" i="3" s="1"/>
  <c r="V2202" i="3" a="1"/>
  <c r="V2202" i="3" s="1"/>
  <c r="Y2201" i="3" a="1"/>
  <c r="Y2201" i="3" s="1"/>
  <c r="X2201" i="3" a="1"/>
  <c r="X2201" i="3" s="1"/>
  <c r="W2201" i="3" a="1"/>
  <c r="W2201" i="3" s="1"/>
  <c r="V2201" i="3" a="1"/>
  <c r="V2201" i="3" s="1"/>
  <c r="Y2200" i="3" a="1"/>
  <c r="Y2200" i="3" s="1"/>
  <c r="X2200" i="3" a="1"/>
  <c r="X2200" i="3" s="1"/>
  <c r="W2200" i="3" a="1"/>
  <c r="W2200" i="3" s="1"/>
  <c r="V2200" i="3" a="1"/>
  <c r="V2200" i="3" s="1"/>
  <c r="Y2199" i="3" a="1"/>
  <c r="Y2199" i="3" s="1"/>
  <c r="X2199" i="3" a="1"/>
  <c r="X2199" i="3" s="1"/>
  <c r="W2199" i="3" a="1"/>
  <c r="W2199" i="3" s="1"/>
  <c r="V2199" i="3" a="1"/>
  <c r="V2199" i="3" s="1"/>
  <c r="Y2198" i="3" a="1"/>
  <c r="Y2198" i="3" s="1"/>
  <c r="X2198" i="3" a="1"/>
  <c r="X2198" i="3" s="1"/>
  <c r="W2198" i="3" a="1"/>
  <c r="W2198" i="3" s="1"/>
  <c r="V2198" i="3" a="1"/>
  <c r="V2198" i="3" s="1"/>
  <c r="Y2197" i="3" a="1"/>
  <c r="Y2197" i="3" s="1"/>
  <c r="X2197" i="3" a="1"/>
  <c r="X2197" i="3" s="1"/>
  <c r="W2197" i="3" a="1"/>
  <c r="W2197" i="3" s="1"/>
  <c r="V2197" i="3" a="1"/>
  <c r="V2197" i="3" s="1"/>
  <c r="Y2196" i="3" a="1"/>
  <c r="Y2196" i="3" s="1"/>
  <c r="X2196" i="3" a="1"/>
  <c r="X2196" i="3" s="1"/>
  <c r="W2196" i="3" a="1"/>
  <c r="W2196" i="3" s="1"/>
  <c r="V2196" i="3" a="1"/>
  <c r="V2196" i="3" s="1"/>
  <c r="Y2195" i="3" a="1"/>
  <c r="Y2195" i="3" s="1"/>
  <c r="X2195" i="3" a="1"/>
  <c r="X2195" i="3" s="1"/>
  <c r="W2195" i="3" a="1"/>
  <c r="W2195" i="3" s="1"/>
  <c r="V2195" i="3" a="1"/>
  <c r="V2195" i="3" s="1"/>
  <c r="Y2194" i="3" a="1"/>
  <c r="Y2194" i="3" s="1"/>
  <c r="X2194" i="3" a="1"/>
  <c r="X2194" i="3" s="1"/>
  <c r="W2194" i="3" a="1"/>
  <c r="W2194" i="3" s="1"/>
  <c r="V2194" i="3" a="1"/>
  <c r="V2194" i="3" s="1"/>
  <c r="Y2193" i="3" a="1"/>
  <c r="Y2193" i="3" s="1"/>
  <c r="X2193" i="3" a="1"/>
  <c r="X2193" i="3" s="1"/>
  <c r="W2193" i="3" a="1"/>
  <c r="W2193" i="3" s="1"/>
  <c r="V2193" i="3" a="1"/>
  <c r="V2193" i="3" s="1"/>
  <c r="Y2192" i="3" a="1"/>
  <c r="Y2192" i="3" s="1"/>
  <c r="X2192" i="3" a="1"/>
  <c r="X2192" i="3" s="1"/>
  <c r="W2192" i="3" a="1"/>
  <c r="W2192" i="3" s="1"/>
  <c r="V2192" i="3" a="1"/>
  <c r="V2192" i="3" s="1"/>
  <c r="Y2191" i="3" a="1"/>
  <c r="Y2191" i="3" s="1"/>
  <c r="X2191" i="3" a="1"/>
  <c r="X2191" i="3" s="1"/>
  <c r="W2191" i="3" a="1"/>
  <c r="W2191" i="3" s="1"/>
  <c r="V2191" i="3" a="1"/>
  <c r="V2191" i="3" s="1"/>
  <c r="Y2190" i="3" a="1"/>
  <c r="Y2190" i="3" s="1"/>
  <c r="X2190" i="3" a="1"/>
  <c r="X2190" i="3" s="1"/>
  <c r="W2190" i="3" a="1"/>
  <c r="W2190" i="3" s="1"/>
  <c r="V2190" i="3" a="1"/>
  <c r="V2190" i="3" s="1"/>
  <c r="Y2189" i="3" a="1"/>
  <c r="Y2189" i="3" s="1"/>
  <c r="X2189" i="3" a="1"/>
  <c r="X2189" i="3" s="1"/>
  <c r="W2189" i="3" a="1"/>
  <c r="W2189" i="3" s="1"/>
  <c r="V2189" i="3" a="1"/>
  <c r="V2189" i="3" s="1"/>
  <c r="Y2188" i="3" a="1"/>
  <c r="Y2188" i="3" s="1"/>
  <c r="X2188" i="3" a="1"/>
  <c r="X2188" i="3" s="1"/>
  <c r="W2188" i="3" a="1"/>
  <c r="W2188" i="3" s="1"/>
  <c r="V2188" i="3" a="1"/>
  <c r="V2188" i="3" s="1"/>
  <c r="Y2187" i="3" a="1"/>
  <c r="Y2187" i="3" s="1"/>
  <c r="X2187" i="3" a="1"/>
  <c r="X2187" i="3" s="1"/>
  <c r="W2187" i="3" a="1"/>
  <c r="W2187" i="3" s="1"/>
  <c r="V2187" i="3" a="1"/>
  <c r="V2187" i="3" s="1"/>
  <c r="Y2186" i="3" a="1"/>
  <c r="Y2186" i="3" s="1"/>
  <c r="X2186" i="3" a="1"/>
  <c r="X2186" i="3" s="1"/>
  <c r="W2186" i="3" a="1"/>
  <c r="W2186" i="3" s="1"/>
  <c r="V2186" i="3" a="1"/>
  <c r="V2186" i="3" s="1"/>
  <c r="Y2185" i="3" a="1"/>
  <c r="Y2185" i="3" s="1"/>
  <c r="X2185" i="3" a="1"/>
  <c r="X2185" i="3" s="1"/>
  <c r="W2185" i="3" a="1"/>
  <c r="W2185" i="3" s="1"/>
  <c r="V2185" i="3" a="1"/>
  <c r="V2185" i="3" s="1"/>
  <c r="Y2184" i="3" a="1"/>
  <c r="Y2184" i="3" s="1"/>
  <c r="X2184" i="3" a="1"/>
  <c r="X2184" i="3" s="1"/>
  <c r="W2184" i="3" a="1"/>
  <c r="W2184" i="3" s="1"/>
  <c r="V2184" i="3" a="1"/>
  <c r="V2184" i="3" s="1"/>
  <c r="Y2183" i="3" a="1"/>
  <c r="Y2183" i="3" s="1"/>
  <c r="X2183" i="3" a="1"/>
  <c r="X2183" i="3" s="1"/>
  <c r="W2183" i="3" a="1"/>
  <c r="W2183" i="3" s="1"/>
  <c r="V2183" i="3" a="1"/>
  <c r="V2183" i="3" s="1"/>
  <c r="Y2182" i="3" a="1"/>
  <c r="Y2182" i="3" s="1"/>
  <c r="X2182" i="3" a="1"/>
  <c r="X2182" i="3" s="1"/>
  <c r="W2182" i="3" a="1"/>
  <c r="W2182" i="3" s="1"/>
  <c r="V2182" i="3" a="1"/>
  <c r="V2182" i="3" s="1"/>
  <c r="Y2181" i="3" a="1"/>
  <c r="Y2181" i="3" s="1"/>
  <c r="X2181" i="3" a="1"/>
  <c r="X2181" i="3" s="1"/>
  <c r="W2181" i="3" a="1"/>
  <c r="W2181" i="3" s="1"/>
  <c r="V2181" i="3" a="1"/>
  <c r="V2181" i="3" s="1"/>
  <c r="Y2180" i="3" a="1"/>
  <c r="Y2180" i="3" s="1"/>
  <c r="X2180" i="3" a="1"/>
  <c r="X2180" i="3" s="1"/>
  <c r="W2180" i="3" a="1"/>
  <c r="W2180" i="3" s="1"/>
  <c r="V2180" i="3" a="1"/>
  <c r="V2180" i="3" s="1"/>
  <c r="Y2179" i="3" a="1"/>
  <c r="Y2179" i="3" s="1"/>
  <c r="X2179" i="3" a="1"/>
  <c r="X2179" i="3" s="1"/>
  <c r="W2179" i="3" a="1"/>
  <c r="W2179" i="3" s="1"/>
  <c r="V2179" i="3" a="1"/>
  <c r="V2179" i="3" s="1"/>
  <c r="Y2178" i="3" a="1"/>
  <c r="Y2178" i="3" s="1"/>
  <c r="X2178" i="3" a="1"/>
  <c r="X2178" i="3" s="1"/>
  <c r="W2178" i="3" a="1"/>
  <c r="W2178" i="3" s="1"/>
  <c r="V2178" i="3" a="1"/>
  <c r="V2178" i="3" s="1"/>
  <c r="Y2177" i="3" a="1"/>
  <c r="Y2177" i="3" s="1"/>
  <c r="X2177" i="3" a="1"/>
  <c r="X2177" i="3" s="1"/>
  <c r="W2177" i="3" a="1"/>
  <c r="W2177" i="3" s="1"/>
  <c r="V2177" i="3" a="1"/>
  <c r="V2177" i="3" s="1"/>
  <c r="Y2176" i="3" a="1"/>
  <c r="Y2176" i="3" s="1"/>
  <c r="X2176" i="3" a="1"/>
  <c r="X2176" i="3" s="1"/>
  <c r="W2176" i="3" a="1"/>
  <c r="W2176" i="3" s="1"/>
  <c r="V2176" i="3" a="1"/>
  <c r="V2176" i="3" s="1"/>
  <c r="Y2175" i="3" a="1"/>
  <c r="Y2175" i="3" s="1"/>
  <c r="X2175" i="3" a="1"/>
  <c r="X2175" i="3" s="1"/>
  <c r="W2175" i="3" a="1"/>
  <c r="W2175" i="3" s="1"/>
  <c r="V2175" i="3" a="1"/>
  <c r="V2175" i="3" s="1"/>
  <c r="Y2174" i="3" a="1"/>
  <c r="Y2174" i="3" s="1"/>
  <c r="X2174" i="3" a="1"/>
  <c r="X2174" i="3" s="1"/>
  <c r="W2174" i="3" a="1"/>
  <c r="W2174" i="3" s="1"/>
  <c r="V2174" i="3" a="1"/>
  <c r="V2174" i="3" s="1"/>
  <c r="Y2173" i="3" a="1"/>
  <c r="Y2173" i="3" s="1"/>
  <c r="X2173" i="3" a="1"/>
  <c r="X2173" i="3" s="1"/>
  <c r="W2173" i="3" a="1"/>
  <c r="W2173" i="3" s="1"/>
  <c r="V2173" i="3" a="1"/>
  <c r="V2173" i="3" s="1"/>
  <c r="Y2172" i="3" a="1"/>
  <c r="Y2172" i="3" s="1"/>
  <c r="X2172" i="3" a="1"/>
  <c r="X2172" i="3" s="1"/>
  <c r="W2172" i="3" a="1"/>
  <c r="W2172" i="3" s="1"/>
  <c r="V2172" i="3" a="1"/>
  <c r="V2172" i="3" s="1"/>
  <c r="Y2171" i="3" a="1"/>
  <c r="Y2171" i="3" s="1"/>
  <c r="X2171" i="3" a="1"/>
  <c r="X2171" i="3" s="1"/>
  <c r="W2171" i="3" a="1"/>
  <c r="W2171" i="3" s="1"/>
  <c r="V2171" i="3" a="1"/>
  <c r="V2171" i="3" s="1"/>
  <c r="Y2170" i="3" a="1"/>
  <c r="Y2170" i="3" s="1"/>
  <c r="X2170" i="3" a="1"/>
  <c r="X2170" i="3" s="1"/>
  <c r="W2170" i="3" a="1"/>
  <c r="W2170" i="3" s="1"/>
  <c r="V2170" i="3" a="1"/>
  <c r="V2170" i="3" s="1"/>
  <c r="Y2169" i="3" a="1"/>
  <c r="Y2169" i="3" s="1"/>
  <c r="X2169" i="3" a="1"/>
  <c r="X2169" i="3" s="1"/>
  <c r="W2169" i="3" a="1"/>
  <c r="W2169" i="3" s="1"/>
  <c r="V2169" i="3" a="1"/>
  <c r="V2169" i="3" s="1"/>
  <c r="Y2168" i="3" a="1"/>
  <c r="Y2168" i="3" s="1"/>
  <c r="X2168" i="3" a="1"/>
  <c r="X2168" i="3" s="1"/>
  <c r="W2168" i="3" a="1"/>
  <c r="W2168" i="3" s="1"/>
  <c r="V2168" i="3" a="1"/>
  <c r="V2168" i="3" s="1"/>
  <c r="Y2167" i="3" a="1"/>
  <c r="Y2167" i="3" s="1"/>
  <c r="X2167" i="3" a="1"/>
  <c r="X2167" i="3" s="1"/>
  <c r="W2167" i="3" a="1"/>
  <c r="W2167" i="3" s="1"/>
  <c r="V2167" i="3" a="1"/>
  <c r="V2167" i="3" s="1"/>
  <c r="Y2166" i="3" a="1"/>
  <c r="Y2166" i="3" s="1"/>
  <c r="X2166" i="3" a="1"/>
  <c r="X2166" i="3" s="1"/>
  <c r="W2166" i="3" a="1"/>
  <c r="W2166" i="3" s="1"/>
  <c r="V2166" i="3" a="1"/>
  <c r="V2166" i="3" s="1"/>
  <c r="Y2165" i="3" a="1"/>
  <c r="Y2165" i="3" s="1"/>
  <c r="X2165" i="3" a="1"/>
  <c r="X2165" i="3" s="1"/>
  <c r="W2165" i="3" a="1"/>
  <c r="W2165" i="3" s="1"/>
  <c r="V2165" i="3" a="1"/>
  <c r="V2165" i="3" s="1"/>
  <c r="Y2164" i="3" a="1"/>
  <c r="Y2164" i="3" s="1"/>
  <c r="X2164" i="3" a="1"/>
  <c r="X2164" i="3" s="1"/>
  <c r="W2164" i="3" a="1"/>
  <c r="W2164" i="3" s="1"/>
  <c r="V2164" i="3" a="1"/>
  <c r="V2164" i="3" s="1"/>
  <c r="Y2163" i="3" a="1"/>
  <c r="Y2163" i="3" s="1"/>
  <c r="X2163" i="3" a="1"/>
  <c r="X2163" i="3" s="1"/>
  <c r="W2163" i="3" a="1"/>
  <c r="W2163" i="3" s="1"/>
  <c r="V2163" i="3" a="1"/>
  <c r="V2163" i="3" s="1"/>
  <c r="Y2162" i="3" a="1"/>
  <c r="Y2162" i="3" s="1"/>
  <c r="X2162" i="3" a="1"/>
  <c r="X2162" i="3" s="1"/>
  <c r="W2162" i="3" a="1"/>
  <c r="W2162" i="3" s="1"/>
  <c r="V2162" i="3" a="1"/>
  <c r="V2162" i="3" s="1"/>
  <c r="Y2161" i="3" a="1"/>
  <c r="Y2161" i="3" s="1"/>
  <c r="X2161" i="3" a="1"/>
  <c r="X2161" i="3" s="1"/>
  <c r="W2161" i="3" a="1"/>
  <c r="W2161" i="3" s="1"/>
  <c r="V2161" i="3" a="1"/>
  <c r="V2161" i="3" s="1"/>
  <c r="Y2160" i="3" a="1"/>
  <c r="Y2160" i="3" s="1"/>
  <c r="X2160" i="3" a="1"/>
  <c r="X2160" i="3" s="1"/>
  <c r="W2160" i="3" a="1"/>
  <c r="W2160" i="3" s="1"/>
  <c r="V2160" i="3" a="1"/>
  <c r="V2160" i="3" s="1"/>
  <c r="Y2159" i="3" a="1"/>
  <c r="Y2159" i="3" s="1"/>
  <c r="X2159" i="3" a="1"/>
  <c r="X2159" i="3" s="1"/>
  <c r="W2159" i="3" a="1"/>
  <c r="W2159" i="3" s="1"/>
  <c r="V2159" i="3" a="1"/>
  <c r="V2159" i="3" s="1"/>
  <c r="Y2158" i="3" a="1"/>
  <c r="Y2158" i="3" s="1"/>
  <c r="X2158" i="3" a="1"/>
  <c r="X2158" i="3" s="1"/>
  <c r="W2158" i="3" a="1"/>
  <c r="W2158" i="3" s="1"/>
  <c r="V2158" i="3" a="1"/>
  <c r="V2158" i="3" s="1"/>
  <c r="Y2157" i="3" a="1"/>
  <c r="Y2157" i="3" s="1"/>
  <c r="X2157" i="3" a="1"/>
  <c r="X2157" i="3" s="1"/>
  <c r="W2157" i="3" a="1"/>
  <c r="W2157" i="3" s="1"/>
  <c r="V2157" i="3" a="1"/>
  <c r="V2157" i="3" s="1"/>
  <c r="Y2156" i="3" a="1"/>
  <c r="Y2156" i="3" s="1"/>
  <c r="X2156" i="3" a="1"/>
  <c r="X2156" i="3" s="1"/>
  <c r="W2156" i="3" a="1"/>
  <c r="W2156" i="3" s="1"/>
  <c r="V2156" i="3" a="1"/>
  <c r="V2156" i="3" s="1"/>
  <c r="Y2155" i="3" a="1"/>
  <c r="Y2155" i="3" s="1"/>
  <c r="X2155" i="3" a="1"/>
  <c r="X2155" i="3" s="1"/>
  <c r="W2155" i="3" a="1"/>
  <c r="W2155" i="3" s="1"/>
  <c r="V2155" i="3" a="1"/>
  <c r="V2155" i="3" s="1"/>
  <c r="Y2154" i="3" a="1"/>
  <c r="Y2154" i="3" s="1"/>
  <c r="X2154" i="3" a="1"/>
  <c r="X2154" i="3" s="1"/>
  <c r="W2154" i="3" a="1"/>
  <c r="W2154" i="3" s="1"/>
  <c r="V2154" i="3" a="1"/>
  <c r="V2154" i="3" s="1"/>
  <c r="Y2153" i="3" a="1"/>
  <c r="Y2153" i="3" s="1"/>
  <c r="X2153" i="3" a="1"/>
  <c r="X2153" i="3" s="1"/>
  <c r="W2153" i="3" a="1"/>
  <c r="W2153" i="3" s="1"/>
  <c r="V2153" i="3" a="1"/>
  <c r="V2153" i="3" s="1"/>
  <c r="Y2152" i="3" a="1"/>
  <c r="Y2152" i="3" s="1"/>
  <c r="X2152" i="3" a="1"/>
  <c r="X2152" i="3" s="1"/>
  <c r="W2152" i="3" a="1"/>
  <c r="W2152" i="3" s="1"/>
  <c r="V2152" i="3" a="1"/>
  <c r="V2152" i="3" s="1"/>
  <c r="Y2151" i="3" a="1"/>
  <c r="Y2151" i="3" s="1"/>
  <c r="X2151" i="3" a="1"/>
  <c r="X2151" i="3" s="1"/>
  <c r="W2151" i="3" a="1"/>
  <c r="W2151" i="3" s="1"/>
  <c r="V2151" i="3" a="1"/>
  <c r="V2151" i="3" s="1"/>
  <c r="Y2150" i="3" a="1"/>
  <c r="Y2150" i="3" s="1"/>
  <c r="X2150" i="3" a="1"/>
  <c r="X2150" i="3" s="1"/>
  <c r="W2150" i="3" a="1"/>
  <c r="W2150" i="3" s="1"/>
  <c r="V2150" i="3" a="1"/>
  <c r="V2150" i="3" s="1"/>
  <c r="Y2149" i="3" a="1"/>
  <c r="Y2149" i="3" s="1"/>
  <c r="X2149" i="3" a="1"/>
  <c r="X2149" i="3" s="1"/>
  <c r="W2149" i="3" a="1"/>
  <c r="W2149" i="3" s="1"/>
  <c r="V2149" i="3" a="1"/>
  <c r="V2149" i="3" s="1"/>
  <c r="Y2148" i="3" a="1"/>
  <c r="Y2148" i="3" s="1"/>
  <c r="X2148" i="3" a="1"/>
  <c r="X2148" i="3" s="1"/>
  <c r="W2148" i="3" a="1"/>
  <c r="W2148" i="3" s="1"/>
  <c r="V2148" i="3" a="1"/>
  <c r="V2148" i="3" s="1"/>
  <c r="Y2147" i="3" a="1"/>
  <c r="Y2147" i="3" s="1"/>
  <c r="X2147" i="3" a="1"/>
  <c r="X2147" i="3" s="1"/>
  <c r="W2147" i="3" a="1"/>
  <c r="W2147" i="3" s="1"/>
  <c r="V2147" i="3" a="1"/>
  <c r="V2147" i="3" s="1"/>
  <c r="Y2146" i="3" a="1"/>
  <c r="Y2146" i="3" s="1"/>
  <c r="X2146" i="3" a="1"/>
  <c r="X2146" i="3" s="1"/>
  <c r="W2146" i="3" a="1"/>
  <c r="W2146" i="3" s="1"/>
  <c r="V2146" i="3" a="1"/>
  <c r="V2146" i="3" s="1"/>
  <c r="Y2145" i="3" a="1"/>
  <c r="Y2145" i="3" s="1"/>
  <c r="X2145" i="3" a="1"/>
  <c r="X2145" i="3" s="1"/>
  <c r="W2145" i="3" a="1"/>
  <c r="W2145" i="3" s="1"/>
  <c r="V2145" i="3" a="1"/>
  <c r="V2145" i="3" s="1"/>
  <c r="Y2144" i="3" a="1"/>
  <c r="Y2144" i="3" s="1"/>
  <c r="X2144" i="3" a="1"/>
  <c r="X2144" i="3" s="1"/>
  <c r="W2144" i="3" a="1"/>
  <c r="W2144" i="3" s="1"/>
  <c r="V2144" i="3" a="1"/>
  <c r="V2144" i="3" s="1"/>
  <c r="Y2143" i="3" a="1"/>
  <c r="Y2143" i="3" s="1"/>
  <c r="X2143" i="3" a="1"/>
  <c r="X2143" i="3" s="1"/>
  <c r="W2143" i="3" a="1"/>
  <c r="W2143" i="3" s="1"/>
  <c r="V2143" i="3" a="1"/>
  <c r="V2143" i="3" s="1"/>
  <c r="Y2142" i="3" a="1"/>
  <c r="Y2142" i="3" s="1"/>
  <c r="X2142" i="3" a="1"/>
  <c r="X2142" i="3" s="1"/>
  <c r="W2142" i="3" a="1"/>
  <c r="W2142" i="3" s="1"/>
  <c r="V2142" i="3" a="1"/>
  <c r="V2142" i="3" s="1"/>
  <c r="Y2141" i="3" a="1"/>
  <c r="Y2141" i="3" s="1"/>
  <c r="X2141" i="3" a="1"/>
  <c r="X2141" i="3" s="1"/>
  <c r="W2141" i="3" a="1"/>
  <c r="W2141" i="3" s="1"/>
  <c r="V2141" i="3" a="1"/>
  <c r="V2141" i="3" s="1"/>
  <c r="Y2140" i="3" a="1"/>
  <c r="Y2140" i="3" s="1"/>
  <c r="X2140" i="3" a="1"/>
  <c r="X2140" i="3" s="1"/>
  <c r="W2140" i="3" a="1"/>
  <c r="W2140" i="3" s="1"/>
  <c r="V2140" i="3" a="1"/>
  <c r="V2140" i="3" s="1"/>
  <c r="Y2139" i="3" a="1"/>
  <c r="Y2139" i="3" s="1"/>
  <c r="X2139" i="3" a="1"/>
  <c r="X2139" i="3" s="1"/>
  <c r="W2139" i="3" a="1"/>
  <c r="W2139" i="3" s="1"/>
  <c r="V2139" i="3" a="1"/>
  <c r="V2139" i="3" s="1"/>
  <c r="Y2138" i="3" a="1"/>
  <c r="Y2138" i="3" s="1"/>
  <c r="X2138" i="3" a="1"/>
  <c r="X2138" i="3" s="1"/>
  <c r="W2138" i="3" a="1"/>
  <c r="W2138" i="3" s="1"/>
  <c r="V2138" i="3" a="1"/>
  <c r="V2138" i="3" s="1"/>
  <c r="Y2137" i="3" a="1"/>
  <c r="Y2137" i="3" s="1"/>
  <c r="X2137" i="3" a="1"/>
  <c r="X2137" i="3" s="1"/>
  <c r="W2137" i="3" a="1"/>
  <c r="W2137" i="3" s="1"/>
  <c r="V2137" i="3" a="1"/>
  <c r="V2137" i="3" s="1"/>
  <c r="Y2136" i="3" a="1"/>
  <c r="Y2136" i="3" s="1"/>
  <c r="X2136" i="3" a="1"/>
  <c r="X2136" i="3" s="1"/>
  <c r="W2136" i="3" a="1"/>
  <c r="W2136" i="3" s="1"/>
  <c r="V2136" i="3" a="1"/>
  <c r="V2136" i="3" s="1"/>
  <c r="Y2135" i="3" a="1"/>
  <c r="Y2135" i="3" s="1"/>
  <c r="X2135" i="3" a="1"/>
  <c r="X2135" i="3" s="1"/>
  <c r="W2135" i="3" a="1"/>
  <c r="W2135" i="3" s="1"/>
  <c r="V2135" i="3" a="1"/>
  <c r="V2135" i="3" s="1"/>
  <c r="Y2134" i="3" a="1"/>
  <c r="Y2134" i="3" s="1"/>
  <c r="X2134" i="3" a="1"/>
  <c r="X2134" i="3" s="1"/>
  <c r="W2134" i="3" a="1"/>
  <c r="W2134" i="3" s="1"/>
  <c r="V2134" i="3" a="1"/>
  <c r="V2134" i="3" s="1"/>
  <c r="Y2133" i="3" a="1"/>
  <c r="Y2133" i="3" s="1"/>
  <c r="X2133" i="3" a="1"/>
  <c r="X2133" i="3" s="1"/>
  <c r="W2133" i="3" a="1"/>
  <c r="W2133" i="3" s="1"/>
  <c r="V2133" i="3" a="1"/>
  <c r="V2133" i="3" s="1"/>
  <c r="Y2132" i="3" a="1"/>
  <c r="Y2132" i="3" s="1"/>
  <c r="X2132" i="3" a="1"/>
  <c r="X2132" i="3" s="1"/>
  <c r="W2132" i="3" a="1"/>
  <c r="W2132" i="3" s="1"/>
  <c r="V2132" i="3" a="1"/>
  <c r="V2132" i="3" s="1"/>
  <c r="Y2131" i="3" a="1"/>
  <c r="Y2131" i="3" s="1"/>
  <c r="X2131" i="3" a="1"/>
  <c r="X2131" i="3" s="1"/>
  <c r="W2131" i="3" a="1"/>
  <c r="W2131" i="3" s="1"/>
  <c r="V2131" i="3" a="1"/>
  <c r="V2131" i="3" s="1"/>
  <c r="Y2130" i="3" a="1"/>
  <c r="Y2130" i="3" s="1"/>
  <c r="X2130" i="3" a="1"/>
  <c r="X2130" i="3" s="1"/>
  <c r="W2130" i="3" a="1"/>
  <c r="W2130" i="3" s="1"/>
  <c r="V2130" i="3" a="1"/>
  <c r="V2130" i="3" s="1"/>
  <c r="Y2129" i="3" a="1"/>
  <c r="Y2129" i="3" s="1"/>
  <c r="X2129" i="3" a="1"/>
  <c r="X2129" i="3" s="1"/>
  <c r="W2129" i="3" a="1"/>
  <c r="W2129" i="3" s="1"/>
  <c r="V2129" i="3" a="1"/>
  <c r="V2129" i="3" s="1"/>
  <c r="Y2128" i="3" a="1"/>
  <c r="Y2128" i="3" s="1"/>
  <c r="X2128" i="3" a="1"/>
  <c r="X2128" i="3" s="1"/>
  <c r="W2128" i="3" a="1"/>
  <c r="W2128" i="3" s="1"/>
  <c r="V2128" i="3" a="1"/>
  <c r="V2128" i="3" s="1"/>
  <c r="Y2127" i="3" a="1"/>
  <c r="Y2127" i="3" s="1"/>
  <c r="X2127" i="3" a="1"/>
  <c r="X2127" i="3" s="1"/>
  <c r="W2127" i="3" a="1"/>
  <c r="W2127" i="3" s="1"/>
  <c r="V2127" i="3" a="1"/>
  <c r="V2127" i="3" s="1"/>
  <c r="Y2126" i="3" a="1"/>
  <c r="Y2126" i="3" s="1"/>
  <c r="X2126" i="3" a="1"/>
  <c r="X2126" i="3" s="1"/>
  <c r="W2126" i="3" a="1"/>
  <c r="W2126" i="3" s="1"/>
  <c r="V2126" i="3" a="1"/>
  <c r="V2126" i="3" s="1"/>
  <c r="Y2125" i="3" a="1"/>
  <c r="Y2125" i="3" s="1"/>
  <c r="X2125" i="3" a="1"/>
  <c r="X2125" i="3" s="1"/>
  <c r="W2125" i="3" a="1"/>
  <c r="W2125" i="3" s="1"/>
  <c r="V2125" i="3" a="1"/>
  <c r="V2125" i="3" s="1"/>
  <c r="Y2124" i="3" a="1"/>
  <c r="Y2124" i="3" s="1"/>
  <c r="X2124" i="3" a="1"/>
  <c r="X2124" i="3" s="1"/>
  <c r="W2124" i="3" a="1"/>
  <c r="W2124" i="3" s="1"/>
  <c r="V2124" i="3" a="1"/>
  <c r="V2124" i="3" s="1"/>
  <c r="Y2123" i="3" a="1"/>
  <c r="Y2123" i="3" s="1"/>
  <c r="X2123" i="3" a="1"/>
  <c r="X2123" i="3" s="1"/>
  <c r="W2123" i="3" a="1"/>
  <c r="W2123" i="3" s="1"/>
  <c r="V2123" i="3" a="1"/>
  <c r="V2123" i="3" s="1"/>
  <c r="Y2122" i="3" a="1"/>
  <c r="Y2122" i="3" s="1"/>
  <c r="X2122" i="3" a="1"/>
  <c r="X2122" i="3" s="1"/>
  <c r="W2122" i="3" a="1"/>
  <c r="W2122" i="3" s="1"/>
  <c r="V2122" i="3" a="1"/>
  <c r="V2122" i="3" s="1"/>
  <c r="Y2121" i="3" a="1"/>
  <c r="Y2121" i="3" s="1"/>
  <c r="X2121" i="3" a="1"/>
  <c r="X2121" i="3" s="1"/>
  <c r="W2121" i="3" a="1"/>
  <c r="W2121" i="3" s="1"/>
  <c r="V2121" i="3" a="1"/>
  <c r="V2121" i="3" s="1"/>
  <c r="Y2120" i="3" a="1"/>
  <c r="Y2120" i="3" s="1"/>
  <c r="X2120" i="3" a="1"/>
  <c r="X2120" i="3" s="1"/>
  <c r="W2120" i="3" a="1"/>
  <c r="W2120" i="3" s="1"/>
  <c r="V2120" i="3" a="1"/>
  <c r="V2120" i="3" s="1"/>
  <c r="Y2119" i="3" a="1"/>
  <c r="Y2119" i="3" s="1"/>
  <c r="X2119" i="3" a="1"/>
  <c r="X2119" i="3" s="1"/>
  <c r="W2119" i="3" a="1"/>
  <c r="W2119" i="3" s="1"/>
  <c r="V2119" i="3" a="1"/>
  <c r="V2119" i="3" s="1"/>
  <c r="Y2118" i="3" a="1"/>
  <c r="Y2118" i="3" s="1"/>
  <c r="X2118" i="3" a="1"/>
  <c r="X2118" i="3" s="1"/>
  <c r="W2118" i="3" a="1"/>
  <c r="W2118" i="3" s="1"/>
  <c r="V2118" i="3" a="1"/>
  <c r="V2118" i="3" s="1"/>
  <c r="Y2117" i="3" a="1"/>
  <c r="Y2117" i="3" s="1"/>
  <c r="X2117" i="3" a="1"/>
  <c r="X2117" i="3" s="1"/>
  <c r="W2117" i="3" a="1"/>
  <c r="W2117" i="3" s="1"/>
  <c r="V2117" i="3" a="1"/>
  <c r="V2117" i="3" s="1"/>
  <c r="Y2116" i="3" a="1"/>
  <c r="Y2116" i="3" s="1"/>
  <c r="X2116" i="3" a="1"/>
  <c r="X2116" i="3" s="1"/>
  <c r="W2116" i="3" a="1"/>
  <c r="W2116" i="3" s="1"/>
  <c r="V2116" i="3" a="1"/>
  <c r="V2116" i="3" s="1"/>
  <c r="Y2115" i="3" a="1"/>
  <c r="Y2115" i="3" s="1"/>
  <c r="X2115" i="3" a="1"/>
  <c r="X2115" i="3" s="1"/>
  <c r="W2115" i="3" a="1"/>
  <c r="W2115" i="3" s="1"/>
  <c r="V2115" i="3" a="1"/>
  <c r="V2115" i="3" s="1"/>
  <c r="Y2114" i="3" a="1"/>
  <c r="Y2114" i="3" s="1"/>
  <c r="X2114" i="3" a="1"/>
  <c r="X2114" i="3" s="1"/>
  <c r="W2114" i="3" a="1"/>
  <c r="W2114" i="3" s="1"/>
  <c r="V2114" i="3" a="1"/>
  <c r="V2114" i="3" s="1"/>
  <c r="Y2113" i="3" a="1"/>
  <c r="Y2113" i="3" s="1"/>
  <c r="X2113" i="3" a="1"/>
  <c r="X2113" i="3" s="1"/>
  <c r="W2113" i="3" a="1"/>
  <c r="W2113" i="3" s="1"/>
  <c r="V2113" i="3" a="1"/>
  <c r="V2113" i="3" s="1"/>
  <c r="Y2112" i="3" a="1"/>
  <c r="Y2112" i="3" s="1"/>
  <c r="X2112" i="3" a="1"/>
  <c r="X2112" i="3" s="1"/>
  <c r="W2112" i="3" a="1"/>
  <c r="W2112" i="3" s="1"/>
  <c r="V2112" i="3" a="1"/>
  <c r="V2112" i="3" s="1"/>
  <c r="Y2111" i="3" a="1"/>
  <c r="Y2111" i="3" s="1"/>
  <c r="X2111" i="3" a="1"/>
  <c r="X2111" i="3" s="1"/>
  <c r="W2111" i="3" a="1"/>
  <c r="W2111" i="3" s="1"/>
  <c r="V2111" i="3" a="1"/>
  <c r="V2111" i="3" s="1"/>
  <c r="Y2110" i="3" a="1"/>
  <c r="Y2110" i="3" s="1"/>
  <c r="X2110" i="3" a="1"/>
  <c r="X2110" i="3" s="1"/>
  <c r="W2110" i="3" a="1"/>
  <c r="W2110" i="3" s="1"/>
  <c r="V2110" i="3" a="1"/>
  <c r="V2110" i="3" s="1"/>
  <c r="Y2109" i="3" a="1"/>
  <c r="Y2109" i="3" s="1"/>
  <c r="X2109" i="3" a="1"/>
  <c r="X2109" i="3" s="1"/>
  <c r="W2109" i="3" a="1"/>
  <c r="W2109" i="3" s="1"/>
  <c r="V2109" i="3" a="1"/>
  <c r="V2109" i="3" s="1"/>
  <c r="Y2108" i="3" a="1"/>
  <c r="Y2108" i="3" s="1"/>
  <c r="X2108" i="3" a="1"/>
  <c r="X2108" i="3" s="1"/>
  <c r="W2108" i="3" a="1"/>
  <c r="W2108" i="3" s="1"/>
  <c r="V2108" i="3" a="1"/>
  <c r="V2108" i="3" s="1"/>
  <c r="Y2107" i="3" a="1"/>
  <c r="Y2107" i="3" s="1"/>
  <c r="X2107" i="3" a="1"/>
  <c r="X2107" i="3" s="1"/>
  <c r="W2107" i="3" a="1"/>
  <c r="W2107" i="3" s="1"/>
  <c r="V2107" i="3" a="1"/>
  <c r="V2107" i="3" s="1"/>
  <c r="Y2106" i="3" a="1"/>
  <c r="Y2106" i="3" s="1"/>
  <c r="X2106" i="3" a="1"/>
  <c r="X2106" i="3" s="1"/>
  <c r="W2106" i="3" a="1"/>
  <c r="W2106" i="3" s="1"/>
  <c r="V2106" i="3" a="1"/>
  <c r="V2106" i="3" s="1"/>
  <c r="Y2105" i="3" a="1"/>
  <c r="Y2105" i="3" s="1"/>
  <c r="X2105" i="3" a="1"/>
  <c r="X2105" i="3" s="1"/>
  <c r="W2105" i="3" a="1"/>
  <c r="W2105" i="3" s="1"/>
  <c r="V2105" i="3" a="1"/>
  <c r="V2105" i="3" s="1"/>
  <c r="Y2104" i="3" a="1"/>
  <c r="Y2104" i="3" s="1"/>
  <c r="X2104" i="3" a="1"/>
  <c r="X2104" i="3" s="1"/>
  <c r="W2104" i="3" a="1"/>
  <c r="W2104" i="3" s="1"/>
  <c r="V2104" i="3" a="1"/>
  <c r="V2104" i="3" s="1"/>
  <c r="Y2103" i="3" a="1"/>
  <c r="Y2103" i="3" s="1"/>
  <c r="X2103" i="3" a="1"/>
  <c r="X2103" i="3" s="1"/>
  <c r="W2103" i="3" a="1"/>
  <c r="W2103" i="3" s="1"/>
  <c r="V2103" i="3" a="1"/>
  <c r="V2103" i="3" s="1"/>
  <c r="Y2102" i="3" a="1"/>
  <c r="Y2102" i="3" s="1"/>
  <c r="X2102" i="3" a="1"/>
  <c r="X2102" i="3" s="1"/>
  <c r="W2102" i="3" a="1"/>
  <c r="W2102" i="3" s="1"/>
  <c r="V2102" i="3" a="1"/>
  <c r="V2102" i="3" s="1"/>
  <c r="Y2101" i="3" a="1"/>
  <c r="Y2101" i="3" s="1"/>
  <c r="X2101" i="3" a="1"/>
  <c r="X2101" i="3" s="1"/>
  <c r="W2101" i="3" a="1"/>
  <c r="W2101" i="3" s="1"/>
  <c r="V2101" i="3" a="1"/>
  <c r="V2101" i="3" s="1"/>
  <c r="Y2100" i="3" a="1"/>
  <c r="Y2100" i="3" s="1"/>
  <c r="X2100" i="3" a="1"/>
  <c r="X2100" i="3" s="1"/>
  <c r="W2100" i="3" a="1"/>
  <c r="W2100" i="3" s="1"/>
  <c r="V2100" i="3" a="1"/>
  <c r="V2100" i="3" s="1"/>
  <c r="Y2099" i="3" a="1"/>
  <c r="Y2099" i="3" s="1"/>
  <c r="X2099" i="3" a="1"/>
  <c r="X2099" i="3" s="1"/>
  <c r="W2099" i="3" a="1"/>
  <c r="W2099" i="3" s="1"/>
  <c r="V2099" i="3" a="1"/>
  <c r="V2099" i="3" s="1"/>
  <c r="Y2098" i="3" a="1"/>
  <c r="Y2098" i="3" s="1"/>
  <c r="X2098" i="3" a="1"/>
  <c r="X2098" i="3" s="1"/>
  <c r="W2098" i="3" a="1"/>
  <c r="W2098" i="3" s="1"/>
  <c r="V2098" i="3" a="1"/>
  <c r="V2098" i="3" s="1"/>
  <c r="Y2097" i="3" a="1"/>
  <c r="Y2097" i="3" s="1"/>
  <c r="X2097" i="3" a="1"/>
  <c r="X2097" i="3" s="1"/>
  <c r="W2097" i="3" a="1"/>
  <c r="W2097" i="3" s="1"/>
  <c r="V2097" i="3" a="1"/>
  <c r="V2097" i="3" s="1"/>
  <c r="Y2096" i="3" a="1"/>
  <c r="Y2096" i="3" s="1"/>
  <c r="X2096" i="3" a="1"/>
  <c r="X2096" i="3" s="1"/>
  <c r="W2096" i="3" a="1"/>
  <c r="W2096" i="3" s="1"/>
  <c r="V2096" i="3" a="1"/>
  <c r="V2096" i="3" s="1"/>
  <c r="Y2095" i="3" a="1"/>
  <c r="Y2095" i="3" s="1"/>
  <c r="X2095" i="3" a="1"/>
  <c r="X2095" i="3" s="1"/>
  <c r="W2095" i="3" a="1"/>
  <c r="W2095" i="3" s="1"/>
  <c r="V2095" i="3" a="1"/>
  <c r="V2095" i="3" s="1"/>
  <c r="Y2094" i="3" a="1"/>
  <c r="Y2094" i="3" s="1"/>
  <c r="X2094" i="3" a="1"/>
  <c r="X2094" i="3" s="1"/>
  <c r="W2094" i="3" a="1"/>
  <c r="W2094" i="3" s="1"/>
  <c r="V2094" i="3" a="1"/>
  <c r="V2094" i="3" s="1"/>
  <c r="Y2093" i="3" a="1"/>
  <c r="Y2093" i="3" s="1"/>
  <c r="X2093" i="3" a="1"/>
  <c r="X2093" i="3" s="1"/>
  <c r="W2093" i="3" a="1"/>
  <c r="W2093" i="3" s="1"/>
  <c r="V2093" i="3" a="1"/>
  <c r="V2093" i="3" s="1"/>
  <c r="Y2092" i="3" a="1"/>
  <c r="Y2092" i="3" s="1"/>
  <c r="X2092" i="3" a="1"/>
  <c r="X2092" i="3" s="1"/>
  <c r="W2092" i="3" a="1"/>
  <c r="W2092" i="3" s="1"/>
  <c r="V2092" i="3" a="1"/>
  <c r="V2092" i="3" s="1"/>
  <c r="Y867" i="3" a="1"/>
  <c r="Y867" i="3" s="1"/>
  <c r="X867" i="3" a="1"/>
  <c r="X867" i="3" s="1"/>
  <c r="W867" i="3" a="1"/>
  <c r="W867" i="3" s="1"/>
  <c r="V867" i="3" a="1"/>
  <c r="V867" i="3" s="1"/>
  <c r="Y866" i="3" a="1"/>
  <c r="Y866" i="3" s="1"/>
  <c r="X866" i="3" a="1"/>
  <c r="X866" i="3" s="1"/>
  <c r="W866" i="3" a="1"/>
  <c r="W866" i="3" s="1"/>
  <c r="V866" i="3" a="1"/>
  <c r="V866" i="3" s="1"/>
  <c r="Y865" i="3" a="1"/>
  <c r="Y865" i="3" s="1"/>
  <c r="X865" i="3" a="1"/>
  <c r="X865" i="3" s="1"/>
  <c r="W865" i="3" a="1"/>
  <c r="W865" i="3" s="1"/>
  <c r="V865" i="3" a="1"/>
  <c r="V865" i="3" s="1"/>
  <c r="Y864" i="3" a="1"/>
  <c r="Y864" i="3" s="1"/>
  <c r="X864" i="3" a="1"/>
  <c r="X864" i="3" s="1"/>
  <c r="W864" i="3" a="1"/>
  <c r="W864" i="3" s="1"/>
  <c r="V864" i="3" a="1"/>
  <c r="V864" i="3" s="1"/>
  <c r="Y863" i="3" a="1"/>
  <c r="Y863" i="3" s="1"/>
  <c r="X863" i="3" a="1"/>
  <c r="X863" i="3" s="1"/>
  <c r="W863" i="3" a="1"/>
  <c r="W863" i="3" s="1"/>
  <c r="V863" i="3" a="1"/>
  <c r="V863" i="3" s="1"/>
  <c r="Y862" i="3" a="1"/>
  <c r="Y862" i="3" s="1"/>
  <c r="X862" i="3" a="1"/>
  <c r="X862" i="3" s="1"/>
  <c r="W862" i="3" a="1"/>
  <c r="W862" i="3" s="1"/>
  <c r="V862" i="3" a="1"/>
  <c r="V862" i="3" s="1"/>
  <c r="Y861" i="3" a="1"/>
  <c r="Y861" i="3" s="1"/>
  <c r="X861" i="3" a="1"/>
  <c r="X861" i="3" s="1"/>
  <c r="W861" i="3" a="1"/>
  <c r="W861" i="3" s="1"/>
  <c r="V861" i="3" a="1"/>
  <c r="V861" i="3" s="1"/>
  <c r="Y860" i="3" a="1"/>
  <c r="Y860" i="3" s="1"/>
  <c r="X860" i="3" a="1"/>
  <c r="X860" i="3" s="1"/>
  <c r="W860" i="3" a="1"/>
  <c r="W860" i="3" s="1"/>
  <c r="V860" i="3" a="1"/>
  <c r="V860" i="3" s="1"/>
  <c r="Y859" i="3" a="1"/>
  <c r="Y859" i="3" s="1"/>
  <c r="X859" i="3" a="1"/>
  <c r="X859" i="3" s="1"/>
  <c r="W859" i="3" a="1"/>
  <c r="W859" i="3" s="1"/>
  <c r="V859" i="3" a="1"/>
  <c r="V859" i="3" s="1"/>
  <c r="Y858" i="3" a="1"/>
  <c r="Y858" i="3" s="1"/>
  <c r="X858" i="3" a="1"/>
  <c r="X858" i="3" s="1"/>
  <c r="W858" i="3" a="1"/>
  <c r="W858" i="3" s="1"/>
  <c r="V858" i="3" a="1"/>
  <c r="V858" i="3" s="1"/>
  <c r="Y857" i="3" a="1"/>
  <c r="Y857" i="3" s="1"/>
  <c r="X857" i="3" a="1"/>
  <c r="X857" i="3" s="1"/>
  <c r="W857" i="3" a="1"/>
  <c r="W857" i="3" s="1"/>
  <c r="V857" i="3" a="1"/>
  <c r="V857" i="3" s="1"/>
  <c r="Y856" i="3" a="1"/>
  <c r="Y856" i="3" s="1"/>
  <c r="X856" i="3" a="1"/>
  <c r="X856" i="3" s="1"/>
  <c r="W856" i="3" a="1"/>
  <c r="W856" i="3" s="1"/>
  <c r="V856" i="3" a="1"/>
  <c r="V856" i="3" s="1"/>
  <c r="Y855" i="3" a="1"/>
  <c r="Y855" i="3" s="1"/>
  <c r="X855" i="3" a="1"/>
  <c r="X855" i="3" s="1"/>
  <c r="W855" i="3" a="1"/>
  <c r="W855" i="3" s="1"/>
  <c r="V855" i="3" a="1"/>
  <c r="V855" i="3" s="1"/>
  <c r="Y854" i="3" a="1"/>
  <c r="Y854" i="3" s="1"/>
  <c r="X854" i="3" a="1"/>
  <c r="X854" i="3" s="1"/>
  <c r="W854" i="3" a="1"/>
  <c r="W854" i="3" s="1"/>
  <c r="V854" i="3" a="1"/>
  <c r="V854" i="3" s="1"/>
  <c r="Y853" i="3" a="1"/>
  <c r="Y853" i="3" s="1"/>
  <c r="X853" i="3" a="1"/>
  <c r="X853" i="3" s="1"/>
  <c r="W853" i="3" a="1"/>
  <c r="W853" i="3" s="1"/>
  <c r="V853" i="3" a="1"/>
  <c r="V853" i="3" s="1"/>
  <c r="Y852" i="3" a="1"/>
  <c r="Y852" i="3" s="1"/>
  <c r="X852" i="3" a="1"/>
  <c r="X852" i="3" s="1"/>
  <c r="W852" i="3" a="1"/>
  <c r="W852" i="3" s="1"/>
  <c r="V852" i="3" a="1"/>
  <c r="V852" i="3" s="1"/>
  <c r="Y851" i="3" a="1"/>
  <c r="Y851" i="3" s="1"/>
  <c r="X851" i="3" a="1"/>
  <c r="X851" i="3" s="1"/>
  <c r="W851" i="3" a="1"/>
  <c r="W851" i="3" s="1"/>
  <c r="V851" i="3" a="1"/>
  <c r="V851" i="3" s="1"/>
  <c r="Y850" i="3" a="1"/>
  <c r="Y850" i="3" s="1"/>
  <c r="X850" i="3" a="1"/>
  <c r="X850" i="3" s="1"/>
  <c r="W850" i="3" a="1"/>
  <c r="W850" i="3" s="1"/>
  <c r="V850" i="3" a="1"/>
  <c r="V850" i="3" s="1"/>
  <c r="Y849" i="3" a="1"/>
  <c r="Y849" i="3" s="1"/>
  <c r="X849" i="3" a="1"/>
  <c r="X849" i="3" s="1"/>
  <c r="W849" i="3" a="1"/>
  <c r="W849" i="3" s="1"/>
  <c r="V849" i="3" a="1"/>
  <c r="V849" i="3" s="1"/>
  <c r="Y848" i="3" a="1"/>
  <c r="Y848" i="3" s="1"/>
  <c r="X848" i="3" a="1"/>
  <c r="X848" i="3" s="1"/>
  <c r="W848" i="3" a="1"/>
  <c r="W848" i="3" s="1"/>
  <c r="V848" i="3" a="1"/>
  <c r="V848" i="3" s="1"/>
  <c r="Y847" i="3" a="1"/>
  <c r="Y847" i="3" s="1"/>
  <c r="X847" i="3" a="1"/>
  <c r="X847" i="3" s="1"/>
  <c r="W847" i="3" a="1"/>
  <c r="W847" i="3" s="1"/>
  <c r="V847" i="3" a="1"/>
  <c r="V847" i="3" s="1"/>
  <c r="Y846" i="3" a="1"/>
  <c r="Y846" i="3" s="1"/>
  <c r="X846" i="3" a="1"/>
  <c r="X846" i="3" s="1"/>
  <c r="W846" i="3" a="1"/>
  <c r="W846" i="3" s="1"/>
  <c r="V846" i="3" a="1"/>
  <c r="V846" i="3" s="1"/>
  <c r="Y845" i="3" a="1"/>
  <c r="Y845" i="3" s="1"/>
  <c r="X845" i="3" a="1"/>
  <c r="X845" i="3" s="1"/>
  <c r="W845" i="3" a="1"/>
  <c r="W845" i="3" s="1"/>
  <c r="V845" i="3" a="1"/>
  <c r="V845" i="3" s="1"/>
  <c r="Y844" i="3" a="1"/>
  <c r="Y844" i="3" s="1"/>
  <c r="X844" i="3" a="1"/>
  <c r="X844" i="3" s="1"/>
  <c r="W844" i="3" a="1"/>
  <c r="W844" i="3" s="1"/>
  <c r="V844" i="3" a="1"/>
  <c r="V844" i="3" s="1"/>
  <c r="Y843" i="3" a="1"/>
  <c r="Y843" i="3" s="1"/>
  <c r="X843" i="3" a="1"/>
  <c r="X843" i="3" s="1"/>
  <c r="W843" i="3" a="1"/>
  <c r="W843" i="3" s="1"/>
  <c r="V843" i="3" a="1"/>
  <c r="V843" i="3" s="1"/>
  <c r="Y842" i="3" a="1"/>
  <c r="Y842" i="3" s="1"/>
  <c r="X842" i="3" a="1"/>
  <c r="X842" i="3" s="1"/>
  <c r="W842" i="3" a="1"/>
  <c r="W842" i="3" s="1"/>
  <c r="V842" i="3" a="1"/>
  <c r="V842" i="3" s="1"/>
  <c r="Y841" i="3" a="1"/>
  <c r="Y841" i="3" s="1"/>
  <c r="X841" i="3" a="1"/>
  <c r="X841" i="3" s="1"/>
  <c r="W841" i="3" a="1"/>
  <c r="W841" i="3" s="1"/>
  <c r="V841" i="3" a="1"/>
  <c r="V841" i="3" s="1"/>
  <c r="Y840" i="3" a="1"/>
  <c r="Y840" i="3" s="1"/>
  <c r="X840" i="3" a="1"/>
  <c r="X840" i="3" s="1"/>
  <c r="W840" i="3" a="1"/>
  <c r="W840" i="3" s="1"/>
  <c r="V840" i="3" a="1"/>
  <c r="V840" i="3" s="1"/>
  <c r="Y839" i="3" a="1"/>
  <c r="Y839" i="3" s="1"/>
  <c r="X839" i="3" a="1"/>
  <c r="X839" i="3" s="1"/>
  <c r="W839" i="3" a="1"/>
  <c r="W839" i="3" s="1"/>
  <c r="V839" i="3" a="1"/>
  <c r="V839" i="3" s="1"/>
  <c r="Y838" i="3" a="1"/>
  <c r="Y838" i="3" s="1"/>
  <c r="X838" i="3" a="1"/>
  <c r="X838" i="3" s="1"/>
  <c r="W838" i="3" a="1"/>
  <c r="W838" i="3" s="1"/>
  <c r="V838" i="3" a="1"/>
  <c r="V838" i="3" s="1"/>
  <c r="Y837" i="3" a="1"/>
  <c r="Y837" i="3" s="1"/>
  <c r="X837" i="3" a="1"/>
  <c r="X837" i="3" s="1"/>
  <c r="W837" i="3" a="1"/>
  <c r="W837" i="3" s="1"/>
  <c r="V837" i="3" a="1"/>
  <c r="V837" i="3" s="1"/>
  <c r="Y836" i="3" a="1"/>
  <c r="Y836" i="3" s="1"/>
  <c r="X836" i="3" a="1"/>
  <c r="X836" i="3" s="1"/>
  <c r="W836" i="3" a="1"/>
  <c r="W836" i="3" s="1"/>
  <c r="V836" i="3" a="1"/>
  <c r="V836" i="3" s="1"/>
  <c r="Y835" i="3" a="1"/>
  <c r="Y835" i="3" s="1"/>
  <c r="X835" i="3" a="1"/>
  <c r="X835" i="3" s="1"/>
  <c r="W835" i="3" a="1"/>
  <c r="W835" i="3" s="1"/>
  <c r="V835" i="3" a="1"/>
  <c r="V835" i="3" s="1"/>
  <c r="Y834" i="3" a="1"/>
  <c r="Y834" i="3" s="1"/>
  <c r="X834" i="3" a="1"/>
  <c r="X834" i="3" s="1"/>
  <c r="W834" i="3" a="1"/>
  <c r="W834" i="3" s="1"/>
  <c r="V834" i="3" a="1"/>
  <c r="V834" i="3" s="1"/>
  <c r="Y833" i="3" a="1"/>
  <c r="Y833" i="3" s="1"/>
  <c r="X833" i="3" a="1"/>
  <c r="X833" i="3" s="1"/>
  <c r="W833" i="3" a="1"/>
  <c r="W833" i="3" s="1"/>
  <c r="V833" i="3" a="1"/>
  <c r="V833" i="3" s="1"/>
  <c r="Y832" i="3" a="1"/>
  <c r="Y832" i="3" s="1"/>
  <c r="X832" i="3" a="1"/>
  <c r="X832" i="3" s="1"/>
  <c r="W832" i="3" a="1"/>
  <c r="W832" i="3" s="1"/>
  <c r="V832" i="3" a="1"/>
  <c r="V832" i="3" s="1"/>
  <c r="Y831" i="3" a="1"/>
  <c r="Y831" i="3" s="1"/>
  <c r="X831" i="3" a="1"/>
  <c r="X831" i="3" s="1"/>
  <c r="W831" i="3" a="1"/>
  <c r="W831" i="3" s="1"/>
  <c r="V831" i="3" a="1"/>
  <c r="V831" i="3" s="1"/>
  <c r="Y830" i="3" a="1"/>
  <c r="Y830" i="3" s="1"/>
  <c r="X830" i="3" a="1"/>
  <c r="X830" i="3" s="1"/>
  <c r="W830" i="3" a="1"/>
  <c r="W830" i="3" s="1"/>
  <c r="V830" i="3" a="1"/>
  <c r="V830" i="3" s="1"/>
  <c r="Y829" i="3" a="1"/>
  <c r="Y829" i="3" s="1"/>
  <c r="X829" i="3" a="1"/>
  <c r="X829" i="3" s="1"/>
  <c r="W829" i="3" a="1"/>
  <c r="W829" i="3" s="1"/>
  <c r="V829" i="3" a="1"/>
  <c r="V829" i="3" s="1"/>
  <c r="Y828" i="3" a="1"/>
  <c r="Y828" i="3" s="1"/>
  <c r="X828" i="3" a="1"/>
  <c r="X828" i="3" s="1"/>
  <c r="W828" i="3" a="1"/>
  <c r="W828" i="3" s="1"/>
  <c r="V828" i="3" a="1"/>
  <c r="V828" i="3" s="1"/>
  <c r="Y827" i="3" a="1"/>
  <c r="Y827" i="3" s="1"/>
  <c r="X827" i="3" a="1"/>
  <c r="X827" i="3" s="1"/>
  <c r="W827" i="3" a="1"/>
  <c r="W827" i="3" s="1"/>
  <c r="V827" i="3" a="1"/>
  <c r="V827" i="3" s="1"/>
  <c r="Y826" i="3" a="1"/>
  <c r="Y826" i="3" s="1"/>
  <c r="X826" i="3" a="1"/>
  <c r="X826" i="3" s="1"/>
  <c r="W826" i="3" a="1"/>
  <c r="W826" i="3" s="1"/>
  <c r="V826" i="3" a="1"/>
  <c r="V826" i="3" s="1"/>
  <c r="Y825" i="3" a="1"/>
  <c r="Y825" i="3" s="1"/>
  <c r="X825" i="3" a="1"/>
  <c r="X825" i="3" s="1"/>
  <c r="W825" i="3" a="1"/>
  <c r="W825" i="3" s="1"/>
  <c r="V825" i="3" a="1"/>
  <c r="V825" i="3" s="1"/>
  <c r="Y824" i="3" a="1"/>
  <c r="Y824" i="3" s="1"/>
  <c r="X824" i="3" a="1"/>
  <c r="X824" i="3" s="1"/>
  <c r="W824" i="3" a="1"/>
  <c r="W824" i="3" s="1"/>
  <c r="V824" i="3" a="1"/>
  <c r="V824" i="3" s="1"/>
  <c r="Y823" i="3" a="1"/>
  <c r="Y823" i="3" s="1"/>
  <c r="X823" i="3" a="1"/>
  <c r="X823" i="3" s="1"/>
  <c r="W823" i="3" a="1"/>
  <c r="W823" i="3" s="1"/>
  <c r="V823" i="3" a="1"/>
  <c r="V823" i="3" s="1"/>
  <c r="Y822" i="3" a="1"/>
  <c r="Y822" i="3" s="1"/>
  <c r="X822" i="3" a="1"/>
  <c r="X822" i="3" s="1"/>
  <c r="W822" i="3" a="1"/>
  <c r="W822" i="3" s="1"/>
  <c r="V822" i="3" a="1"/>
  <c r="V822" i="3" s="1"/>
  <c r="Y821" i="3" a="1"/>
  <c r="Y821" i="3" s="1"/>
  <c r="X821" i="3" a="1"/>
  <c r="X821" i="3" s="1"/>
  <c r="W821" i="3" a="1"/>
  <c r="W821" i="3" s="1"/>
  <c r="V821" i="3" a="1"/>
  <c r="V821" i="3" s="1"/>
  <c r="Y820" i="3" a="1"/>
  <c r="Y820" i="3" s="1"/>
  <c r="X820" i="3" a="1"/>
  <c r="X820" i="3" s="1"/>
  <c r="W820" i="3" a="1"/>
  <c r="W820" i="3" s="1"/>
  <c r="V820" i="3" a="1"/>
  <c r="V820" i="3" s="1"/>
  <c r="Y819" i="3" a="1"/>
  <c r="Y819" i="3" s="1"/>
  <c r="X819" i="3" a="1"/>
  <c r="X819" i="3" s="1"/>
  <c r="W819" i="3" a="1"/>
  <c r="W819" i="3" s="1"/>
  <c r="V819" i="3" a="1"/>
  <c r="V819" i="3" s="1"/>
  <c r="Y818" i="3" a="1"/>
  <c r="Y818" i="3" s="1"/>
  <c r="X818" i="3" a="1"/>
  <c r="X818" i="3" s="1"/>
  <c r="W818" i="3" a="1"/>
  <c r="W818" i="3" s="1"/>
  <c r="V818" i="3" a="1"/>
  <c r="V818" i="3" s="1"/>
  <c r="Y817" i="3" a="1"/>
  <c r="Y817" i="3" s="1"/>
  <c r="X817" i="3" a="1"/>
  <c r="X817" i="3" s="1"/>
  <c r="W817" i="3" a="1"/>
  <c r="W817" i="3" s="1"/>
  <c r="V817" i="3" a="1"/>
  <c r="V817" i="3" s="1"/>
  <c r="Y816" i="3" a="1"/>
  <c r="Y816" i="3" s="1"/>
  <c r="X816" i="3" a="1"/>
  <c r="X816" i="3" s="1"/>
  <c r="W816" i="3" a="1"/>
  <c r="W816" i="3" s="1"/>
  <c r="V816" i="3" a="1"/>
  <c r="V816" i="3" s="1"/>
  <c r="Y815" i="3" a="1"/>
  <c r="Y815" i="3" s="1"/>
  <c r="X815" i="3" a="1"/>
  <c r="X815" i="3" s="1"/>
  <c r="W815" i="3" a="1"/>
  <c r="W815" i="3" s="1"/>
  <c r="V815" i="3" a="1"/>
  <c r="V815" i="3" s="1"/>
  <c r="Y814" i="3" a="1"/>
  <c r="Y814" i="3" s="1"/>
  <c r="X814" i="3" a="1"/>
  <c r="X814" i="3" s="1"/>
  <c r="W814" i="3" a="1"/>
  <c r="W814" i="3" s="1"/>
  <c r="V814" i="3" a="1"/>
  <c r="V814" i="3" s="1"/>
  <c r="Y813" i="3" a="1"/>
  <c r="Y813" i="3" s="1"/>
  <c r="X813" i="3" a="1"/>
  <c r="X813" i="3" s="1"/>
  <c r="W813" i="3" a="1"/>
  <c r="W813" i="3" s="1"/>
  <c r="V813" i="3" a="1"/>
  <c r="V813" i="3" s="1"/>
  <c r="Y812" i="3" a="1"/>
  <c r="Y812" i="3" s="1"/>
  <c r="X812" i="3" a="1"/>
  <c r="X812" i="3" s="1"/>
  <c r="W812" i="3" a="1"/>
  <c r="W812" i="3" s="1"/>
  <c r="V812" i="3" a="1"/>
  <c r="V812" i="3" s="1"/>
  <c r="Y811" i="3" a="1"/>
  <c r="Y811" i="3" s="1"/>
  <c r="X811" i="3" a="1"/>
  <c r="X811" i="3" s="1"/>
  <c r="W811" i="3" a="1"/>
  <c r="W811" i="3" s="1"/>
  <c r="V811" i="3" a="1"/>
  <c r="V811" i="3" s="1"/>
  <c r="Y810" i="3" a="1"/>
  <c r="Y810" i="3" s="1"/>
  <c r="X810" i="3" a="1"/>
  <c r="X810" i="3" s="1"/>
  <c r="W810" i="3" a="1"/>
  <c r="W810" i="3" s="1"/>
  <c r="V810" i="3" a="1"/>
  <c r="V810" i="3" s="1"/>
  <c r="Y809" i="3" a="1"/>
  <c r="Y809" i="3" s="1"/>
  <c r="X809" i="3" a="1"/>
  <c r="X809" i="3" s="1"/>
  <c r="W809" i="3" a="1"/>
  <c r="W809" i="3" s="1"/>
  <c r="V809" i="3" a="1"/>
  <c r="V809" i="3" s="1"/>
  <c r="Y808" i="3" a="1"/>
  <c r="Y808" i="3" s="1"/>
  <c r="X808" i="3" a="1"/>
  <c r="X808" i="3" s="1"/>
  <c r="W808" i="3" a="1"/>
  <c r="W808" i="3" s="1"/>
  <c r="V808" i="3" a="1"/>
  <c r="V808" i="3" s="1"/>
  <c r="Y807" i="3" a="1"/>
  <c r="Y807" i="3" s="1"/>
  <c r="X807" i="3" a="1"/>
  <c r="X807" i="3" s="1"/>
  <c r="W807" i="3" a="1"/>
  <c r="W807" i="3" s="1"/>
  <c r="V807" i="3" a="1"/>
  <c r="V807" i="3" s="1"/>
  <c r="Y806" i="3" a="1"/>
  <c r="Y806" i="3" s="1"/>
  <c r="X806" i="3" a="1"/>
  <c r="X806" i="3" s="1"/>
  <c r="W806" i="3" a="1"/>
  <c r="W806" i="3" s="1"/>
  <c r="V806" i="3" a="1"/>
  <c r="V806" i="3" s="1"/>
  <c r="Y805" i="3" a="1"/>
  <c r="Y805" i="3" s="1"/>
  <c r="X805" i="3" a="1"/>
  <c r="X805" i="3" s="1"/>
  <c r="W805" i="3" a="1"/>
  <c r="W805" i="3" s="1"/>
  <c r="V805" i="3" a="1"/>
  <c r="V805" i="3" s="1"/>
  <c r="Y804" i="3" a="1"/>
  <c r="Y804" i="3" s="1"/>
  <c r="X804" i="3" a="1"/>
  <c r="X804" i="3" s="1"/>
  <c r="W804" i="3" a="1"/>
  <c r="W804" i="3" s="1"/>
  <c r="V804" i="3" a="1"/>
  <c r="V804" i="3" s="1"/>
  <c r="Y803" i="3" a="1"/>
  <c r="Y803" i="3" s="1"/>
  <c r="X803" i="3" a="1"/>
  <c r="X803" i="3" s="1"/>
  <c r="W803" i="3" a="1"/>
  <c r="W803" i="3" s="1"/>
  <c r="V803" i="3" a="1"/>
  <c r="V803" i="3" s="1"/>
  <c r="Y802" i="3" a="1"/>
  <c r="Y802" i="3" s="1"/>
  <c r="X802" i="3" a="1"/>
  <c r="X802" i="3" s="1"/>
  <c r="W802" i="3" a="1"/>
  <c r="W802" i="3" s="1"/>
  <c r="V802" i="3" a="1"/>
  <c r="V802" i="3" s="1"/>
  <c r="Y801" i="3" a="1"/>
  <c r="Y801" i="3" s="1"/>
  <c r="X801" i="3" a="1"/>
  <c r="X801" i="3" s="1"/>
  <c r="W801" i="3" a="1"/>
  <c r="W801" i="3" s="1"/>
  <c r="V801" i="3" a="1"/>
  <c r="V801" i="3" s="1"/>
  <c r="Y800" i="3" a="1"/>
  <c r="Y800" i="3" s="1"/>
  <c r="X800" i="3" a="1"/>
  <c r="X800" i="3" s="1"/>
  <c r="W800" i="3" a="1"/>
  <c r="W800" i="3" s="1"/>
  <c r="V800" i="3" a="1"/>
  <c r="V800" i="3" s="1"/>
  <c r="Y799" i="3" a="1"/>
  <c r="Y799" i="3" s="1"/>
  <c r="X799" i="3" a="1"/>
  <c r="X799" i="3" s="1"/>
  <c r="W799" i="3" a="1"/>
  <c r="W799" i="3" s="1"/>
  <c r="V799" i="3" a="1"/>
  <c r="V799" i="3" s="1"/>
  <c r="Y798" i="3" a="1"/>
  <c r="Y798" i="3" s="1"/>
  <c r="X798" i="3" a="1"/>
  <c r="X798" i="3" s="1"/>
  <c r="W798" i="3" a="1"/>
  <c r="W798" i="3" s="1"/>
  <c r="V798" i="3" a="1"/>
  <c r="V798" i="3" s="1"/>
  <c r="Y797" i="3" a="1"/>
  <c r="Y797" i="3" s="1"/>
  <c r="X797" i="3" a="1"/>
  <c r="X797" i="3" s="1"/>
  <c r="W797" i="3" a="1"/>
  <c r="W797" i="3" s="1"/>
  <c r="V797" i="3" a="1"/>
  <c r="V797" i="3" s="1"/>
  <c r="Y796" i="3" a="1"/>
  <c r="Y796" i="3" s="1"/>
  <c r="X796" i="3" a="1"/>
  <c r="X796" i="3" s="1"/>
  <c r="W796" i="3" a="1"/>
  <c r="W796" i="3" s="1"/>
  <c r="V796" i="3" a="1"/>
  <c r="V796" i="3" s="1"/>
  <c r="Y795" i="3" a="1"/>
  <c r="Y795" i="3" s="1"/>
  <c r="X795" i="3" a="1"/>
  <c r="X795" i="3" s="1"/>
  <c r="W795" i="3" a="1"/>
  <c r="W795" i="3" s="1"/>
  <c r="V795" i="3" a="1"/>
  <c r="V795" i="3" s="1"/>
  <c r="Y794" i="3" a="1"/>
  <c r="Y794" i="3" s="1"/>
  <c r="X794" i="3" a="1"/>
  <c r="X794" i="3" s="1"/>
  <c r="W794" i="3" a="1"/>
  <c r="W794" i="3" s="1"/>
  <c r="V794" i="3" a="1"/>
  <c r="V794" i="3" s="1"/>
  <c r="Y793" i="3" a="1"/>
  <c r="Y793" i="3" s="1"/>
  <c r="X793" i="3" a="1"/>
  <c r="X793" i="3" s="1"/>
  <c r="W793" i="3" a="1"/>
  <c r="W793" i="3" s="1"/>
  <c r="V793" i="3" a="1"/>
  <c r="V793" i="3" s="1"/>
  <c r="Y792" i="3" a="1"/>
  <c r="Y792" i="3" s="1"/>
  <c r="X792" i="3" a="1"/>
  <c r="X792" i="3" s="1"/>
  <c r="W792" i="3" a="1"/>
  <c r="W792" i="3" s="1"/>
  <c r="V792" i="3" a="1"/>
  <c r="V792" i="3" s="1"/>
  <c r="Y791" i="3" a="1"/>
  <c r="Y791" i="3" s="1"/>
  <c r="X791" i="3" a="1"/>
  <c r="X791" i="3" s="1"/>
  <c r="W791" i="3" a="1"/>
  <c r="W791" i="3" s="1"/>
  <c r="V791" i="3" a="1"/>
  <c r="V791" i="3" s="1"/>
  <c r="Y790" i="3" a="1"/>
  <c r="Y790" i="3" s="1"/>
  <c r="X790" i="3" a="1"/>
  <c r="X790" i="3" s="1"/>
  <c r="W790" i="3" a="1"/>
  <c r="W790" i="3" s="1"/>
  <c r="V790" i="3" a="1"/>
  <c r="V790" i="3" s="1"/>
  <c r="Y789" i="3" a="1"/>
  <c r="Y789" i="3" s="1"/>
  <c r="X789" i="3" a="1"/>
  <c r="X789" i="3" s="1"/>
  <c r="W789" i="3" a="1"/>
  <c r="W789" i="3" s="1"/>
  <c r="V789" i="3" a="1"/>
  <c r="V789" i="3" s="1"/>
  <c r="Y788" i="3" a="1"/>
  <c r="Y788" i="3" s="1"/>
  <c r="X788" i="3" a="1"/>
  <c r="X788" i="3" s="1"/>
  <c r="W788" i="3" a="1"/>
  <c r="W788" i="3" s="1"/>
  <c r="V788" i="3" a="1"/>
  <c r="V788" i="3" s="1"/>
  <c r="Y787" i="3" a="1"/>
  <c r="Y787" i="3" s="1"/>
  <c r="X787" i="3" a="1"/>
  <c r="X787" i="3" s="1"/>
  <c r="W787" i="3" a="1"/>
  <c r="W787" i="3" s="1"/>
  <c r="V787" i="3" a="1"/>
  <c r="V787" i="3" s="1"/>
  <c r="Y786" i="3" a="1"/>
  <c r="Y786" i="3" s="1"/>
  <c r="X786" i="3" a="1"/>
  <c r="X786" i="3" s="1"/>
  <c r="W786" i="3" a="1"/>
  <c r="W786" i="3" s="1"/>
  <c r="V786" i="3" a="1"/>
  <c r="V786" i="3" s="1"/>
  <c r="Y785" i="3" a="1"/>
  <c r="Y785" i="3" s="1"/>
  <c r="X785" i="3" a="1"/>
  <c r="X785" i="3" s="1"/>
  <c r="W785" i="3" a="1"/>
  <c r="W785" i="3" s="1"/>
  <c r="V785" i="3" a="1"/>
  <c r="V785" i="3" s="1"/>
  <c r="Y784" i="3" a="1"/>
  <c r="Y784" i="3" s="1"/>
  <c r="X784" i="3" a="1"/>
  <c r="X784" i="3" s="1"/>
  <c r="W784" i="3" a="1"/>
  <c r="W784" i="3" s="1"/>
  <c r="V784" i="3" a="1"/>
  <c r="V784" i="3" s="1"/>
  <c r="Y783" i="3" a="1"/>
  <c r="Y783" i="3" s="1"/>
  <c r="X783" i="3" a="1"/>
  <c r="X783" i="3" s="1"/>
  <c r="W783" i="3" a="1"/>
  <c r="W783" i="3" s="1"/>
  <c r="V783" i="3" a="1"/>
  <c r="V783" i="3" s="1"/>
  <c r="Y782" i="3" a="1"/>
  <c r="Y782" i="3" s="1"/>
  <c r="X782" i="3" a="1"/>
  <c r="X782" i="3" s="1"/>
  <c r="W782" i="3" a="1"/>
  <c r="W782" i="3" s="1"/>
  <c r="V782" i="3" a="1"/>
  <c r="V782" i="3" s="1"/>
  <c r="Y781" i="3" a="1"/>
  <c r="Y781" i="3" s="1"/>
  <c r="X781" i="3" a="1"/>
  <c r="X781" i="3" s="1"/>
  <c r="W781" i="3" a="1"/>
  <c r="W781" i="3" s="1"/>
  <c r="V781" i="3" a="1"/>
  <c r="V781" i="3" s="1"/>
  <c r="Y780" i="3" a="1"/>
  <c r="Y780" i="3" s="1"/>
  <c r="X780" i="3" a="1"/>
  <c r="X780" i="3" s="1"/>
  <c r="W780" i="3" a="1"/>
  <c r="W780" i="3" s="1"/>
  <c r="V780" i="3" a="1"/>
  <c r="V780" i="3" s="1"/>
  <c r="Y779" i="3" a="1"/>
  <c r="Y779" i="3" s="1"/>
  <c r="X779" i="3" a="1"/>
  <c r="X779" i="3" s="1"/>
  <c r="W779" i="3" a="1"/>
  <c r="W779" i="3" s="1"/>
  <c r="V779" i="3" a="1"/>
  <c r="V779" i="3" s="1"/>
  <c r="Y778" i="3" a="1"/>
  <c r="Y778" i="3" s="1"/>
  <c r="X778" i="3" a="1"/>
  <c r="X778" i="3" s="1"/>
  <c r="W778" i="3" a="1"/>
  <c r="W778" i="3" s="1"/>
  <c r="V778" i="3" a="1"/>
  <c r="V778" i="3" s="1"/>
  <c r="Y777" i="3" a="1"/>
  <c r="Y777" i="3" s="1"/>
  <c r="X777" i="3" a="1"/>
  <c r="X777" i="3" s="1"/>
  <c r="W777" i="3" a="1"/>
  <c r="W777" i="3" s="1"/>
  <c r="V777" i="3" a="1"/>
  <c r="V777" i="3" s="1"/>
  <c r="Y776" i="3" a="1"/>
  <c r="Y776" i="3" s="1"/>
  <c r="X776" i="3" a="1"/>
  <c r="X776" i="3" s="1"/>
  <c r="W776" i="3" a="1"/>
  <c r="W776" i="3" s="1"/>
  <c r="V776" i="3" a="1"/>
  <c r="V776" i="3" s="1"/>
  <c r="Y775" i="3" a="1"/>
  <c r="Y775" i="3" s="1"/>
  <c r="X775" i="3" a="1"/>
  <c r="X775" i="3" s="1"/>
  <c r="W775" i="3" a="1"/>
  <c r="W775" i="3" s="1"/>
  <c r="V775" i="3" a="1"/>
  <c r="V775" i="3" s="1"/>
  <c r="Y774" i="3" a="1"/>
  <c r="Y774" i="3" s="1"/>
  <c r="X774" i="3" a="1"/>
  <c r="X774" i="3" s="1"/>
  <c r="W774" i="3" a="1"/>
  <c r="W774" i="3" s="1"/>
  <c r="V774" i="3" a="1"/>
  <c r="V774" i="3" s="1"/>
  <c r="Y773" i="3" a="1"/>
  <c r="Y773" i="3" s="1"/>
  <c r="X773" i="3" a="1"/>
  <c r="X773" i="3" s="1"/>
  <c r="W773" i="3" a="1"/>
  <c r="W773" i="3" s="1"/>
  <c r="V773" i="3" a="1"/>
  <c r="V773" i="3" s="1"/>
  <c r="Y772" i="3" a="1"/>
  <c r="Y772" i="3" s="1"/>
  <c r="X772" i="3" a="1"/>
  <c r="X772" i="3" s="1"/>
  <c r="W772" i="3" a="1"/>
  <c r="W772" i="3" s="1"/>
  <c r="V772" i="3" a="1"/>
  <c r="V772" i="3" s="1"/>
  <c r="Y771" i="3" a="1"/>
  <c r="Y771" i="3" s="1"/>
  <c r="X771" i="3" a="1"/>
  <c r="X771" i="3" s="1"/>
  <c r="W771" i="3" a="1"/>
  <c r="W771" i="3" s="1"/>
  <c r="V771" i="3" a="1"/>
  <c r="V771" i="3" s="1"/>
  <c r="Y770" i="3" a="1"/>
  <c r="Y770" i="3" s="1"/>
  <c r="X770" i="3" a="1"/>
  <c r="X770" i="3" s="1"/>
  <c r="W770" i="3" a="1"/>
  <c r="W770" i="3" s="1"/>
  <c r="V770" i="3" a="1"/>
  <c r="V770" i="3" s="1"/>
  <c r="Y769" i="3" a="1"/>
  <c r="Y769" i="3" s="1"/>
  <c r="X769" i="3" a="1"/>
  <c r="X769" i="3" s="1"/>
  <c r="W769" i="3" a="1"/>
  <c r="W769" i="3" s="1"/>
  <c r="V769" i="3" a="1"/>
  <c r="V769" i="3" s="1"/>
  <c r="Y768" i="3" a="1"/>
  <c r="Y768" i="3" s="1"/>
  <c r="X768" i="3" a="1"/>
  <c r="X768" i="3" s="1"/>
  <c r="W768" i="3" a="1"/>
  <c r="W768" i="3" s="1"/>
  <c r="V768" i="3" a="1"/>
  <c r="V768" i="3" s="1"/>
  <c r="Y767" i="3" a="1"/>
  <c r="Y767" i="3" s="1"/>
  <c r="X767" i="3" a="1"/>
  <c r="X767" i="3" s="1"/>
  <c r="W767" i="3" a="1"/>
  <c r="W767" i="3" s="1"/>
  <c r="V767" i="3" a="1"/>
  <c r="V767" i="3" s="1"/>
  <c r="Y766" i="3" a="1"/>
  <c r="Y766" i="3" s="1"/>
  <c r="X766" i="3" a="1"/>
  <c r="X766" i="3" s="1"/>
  <c r="W766" i="3" a="1"/>
  <c r="W766" i="3" s="1"/>
  <c r="V766" i="3" a="1"/>
  <c r="V766" i="3" s="1"/>
  <c r="Y765" i="3" a="1"/>
  <c r="Y765" i="3" s="1"/>
  <c r="X765" i="3" a="1"/>
  <c r="X765" i="3" s="1"/>
  <c r="W765" i="3" a="1"/>
  <c r="W765" i="3" s="1"/>
  <c r="V765" i="3" a="1"/>
  <c r="V765" i="3" s="1"/>
  <c r="Y764" i="3" a="1"/>
  <c r="Y764" i="3" s="1"/>
  <c r="X764" i="3" a="1"/>
  <c r="X764" i="3" s="1"/>
  <c r="W764" i="3" a="1"/>
  <c r="W764" i="3" s="1"/>
  <c r="V764" i="3" a="1"/>
  <c r="V764" i="3" s="1"/>
  <c r="Y763" i="3" a="1"/>
  <c r="Y763" i="3" s="1"/>
  <c r="X763" i="3" a="1"/>
  <c r="X763" i="3" s="1"/>
  <c r="W763" i="3" a="1"/>
  <c r="W763" i="3" s="1"/>
  <c r="V763" i="3" a="1"/>
  <c r="V763" i="3" s="1"/>
  <c r="Y762" i="3" a="1"/>
  <c r="Y762" i="3" s="1"/>
  <c r="X762" i="3" a="1"/>
  <c r="X762" i="3" s="1"/>
  <c r="W762" i="3" a="1"/>
  <c r="W762" i="3" s="1"/>
  <c r="V762" i="3" a="1"/>
  <c r="V762" i="3" s="1"/>
  <c r="Y761" i="3" a="1"/>
  <c r="Y761" i="3" s="1"/>
  <c r="X761" i="3" a="1"/>
  <c r="X761" i="3" s="1"/>
  <c r="W761" i="3" a="1"/>
  <c r="W761" i="3" s="1"/>
  <c r="V761" i="3" a="1"/>
  <c r="V761" i="3" s="1"/>
  <c r="Y760" i="3" a="1"/>
  <c r="Y760" i="3" s="1"/>
  <c r="X760" i="3" a="1"/>
  <c r="X760" i="3" s="1"/>
  <c r="W760" i="3" a="1"/>
  <c r="W760" i="3" s="1"/>
  <c r="V760" i="3" a="1"/>
  <c r="V760" i="3" s="1"/>
  <c r="Y759" i="3" a="1"/>
  <c r="Y759" i="3" s="1"/>
  <c r="X759" i="3" a="1"/>
  <c r="X759" i="3" s="1"/>
  <c r="W759" i="3" a="1"/>
  <c r="W759" i="3" s="1"/>
  <c r="V759" i="3" a="1"/>
  <c r="V759" i="3" s="1"/>
  <c r="Y758" i="3" a="1"/>
  <c r="Y758" i="3" s="1"/>
  <c r="X758" i="3" a="1"/>
  <c r="X758" i="3" s="1"/>
  <c r="W758" i="3" a="1"/>
  <c r="W758" i="3" s="1"/>
  <c r="V758" i="3" a="1"/>
  <c r="V758" i="3" s="1"/>
  <c r="Y757" i="3" a="1"/>
  <c r="Y757" i="3" s="1"/>
  <c r="X757" i="3" a="1"/>
  <c r="X757" i="3" s="1"/>
  <c r="W757" i="3" a="1"/>
  <c r="W757" i="3" s="1"/>
  <c r="V757" i="3" a="1"/>
  <c r="V757" i="3" s="1"/>
  <c r="Y756" i="3" a="1"/>
  <c r="Y756" i="3" s="1"/>
  <c r="X756" i="3" a="1"/>
  <c r="X756" i="3" s="1"/>
  <c r="W756" i="3" a="1"/>
  <c r="W756" i="3" s="1"/>
  <c r="V756" i="3" a="1"/>
  <c r="V756" i="3" s="1"/>
  <c r="Y755" i="3" a="1"/>
  <c r="Y755" i="3" s="1"/>
  <c r="X755" i="3" a="1"/>
  <c r="X755" i="3" s="1"/>
  <c r="W755" i="3" a="1"/>
  <c r="W755" i="3" s="1"/>
  <c r="V755" i="3" a="1"/>
  <c r="V755" i="3" s="1"/>
  <c r="Y754" i="3" a="1"/>
  <c r="Y754" i="3" s="1"/>
  <c r="X754" i="3" a="1"/>
  <c r="X754" i="3" s="1"/>
  <c r="W754" i="3" a="1"/>
  <c r="W754" i="3" s="1"/>
  <c r="V754" i="3" a="1"/>
  <c r="V754" i="3" s="1"/>
  <c r="Y753" i="3" a="1"/>
  <c r="Y753" i="3" s="1"/>
  <c r="X753" i="3" a="1"/>
  <c r="X753" i="3" s="1"/>
  <c r="W753" i="3" a="1"/>
  <c r="W753" i="3" s="1"/>
  <c r="V753" i="3" a="1"/>
  <c r="V753" i="3" s="1"/>
  <c r="Y752" i="3" a="1"/>
  <c r="Y752" i="3" s="1"/>
  <c r="X752" i="3" a="1"/>
  <c r="X752" i="3" s="1"/>
  <c r="W752" i="3" a="1"/>
  <c r="W752" i="3" s="1"/>
  <c r="V752" i="3" a="1"/>
  <c r="V752" i="3" s="1"/>
  <c r="Y751" i="3" a="1"/>
  <c r="Y751" i="3" s="1"/>
  <c r="X751" i="3" a="1"/>
  <c r="X751" i="3" s="1"/>
  <c r="W751" i="3" a="1"/>
  <c r="W751" i="3" s="1"/>
  <c r="V751" i="3" a="1"/>
  <c r="V751" i="3" s="1"/>
  <c r="Y750" i="3" a="1"/>
  <c r="Y750" i="3" s="1"/>
  <c r="X750" i="3" a="1"/>
  <c r="X750" i="3" s="1"/>
  <c r="W750" i="3" a="1"/>
  <c r="W750" i="3" s="1"/>
  <c r="V750" i="3" a="1"/>
  <c r="V750" i="3" s="1"/>
  <c r="Y749" i="3" a="1"/>
  <c r="Y749" i="3" s="1"/>
  <c r="X749" i="3" a="1"/>
  <c r="X749" i="3" s="1"/>
  <c r="W749" i="3" a="1"/>
  <c r="W749" i="3" s="1"/>
  <c r="V749" i="3" a="1"/>
  <c r="V749" i="3" s="1"/>
  <c r="Y748" i="3" a="1"/>
  <c r="Y748" i="3" s="1"/>
  <c r="X748" i="3" a="1"/>
  <c r="X748" i="3" s="1"/>
  <c r="W748" i="3" a="1"/>
  <c r="W748" i="3" s="1"/>
  <c r="V748" i="3" a="1"/>
  <c r="V748" i="3" s="1"/>
  <c r="Y747" i="3" a="1"/>
  <c r="Y747" i="3" s="1"/>
  <c r="X747" i="3" a="1"/>
  <c r="X747" i="3" s="1"/>
  <c r="W747" i="3" a="1"/>
  <c r="W747" i="3" s="1"/>
  <c r="V747" i="3" a="1"/>
  <c r="V747" i="3" s="1"/>
  <c r="Y746" i="3" a="1"/>
  <c r="Y746" i="3" s="1"/>
  <c r="X746" i="3" a="1"/>
  <c r="X746" i="3" s="1"/>
  <c r="W746" i="3" a="1"/>
  <c r="W746" i="3" s="1"/>
  <c r="V746" i="3" a="1"/>
  <c r="V746" i="3" s="1"/>
  <c r="Y745" i="3" a="1"/>
  <c r="Y745" i="3" s="1"/>
  <c r="X745" i="3" a="1"/>
  <c r="X745" i="3" s="1"/>
  <c r="W745" i="3" a="1"/>
  <c r="W745" i="3" s="1"/>
  <c r="V745" i="3" a="1"/>
  <c r="V745" i="3" s="1"/>
  <c r="Y744" i="3" a="1"/>
  <c r="Y744" i="3" s="1"/>
  <c r="X744" i="3" a="1"/>
  <c r="X744" i="3" s="1"/>
  <c r="W744" i="3" a="1"/>
  <c r="W744" i="3" s="1"/>
  <c r="V744" i="3" a="1"/>
  <c r="V744" i="3" s="1"/>
  <c r="Y743" i="3" a="1"/>
  <c r="Y743" i="3" s="1"/>
  <c r="X743" i="3" a="1"/>
  <c r="X743" i="3" s="1"/>
  <c r="W743" i="3" a="1"/>
  <c r="W743" i="3" s="1"/>
  <c r="V743" i="3" a="1"/>
  <c r="V743" i="3" s="1"/>
  <c r="Y742" i="3" a="1"/>
  <c r="Y742" i="3" s="1"/>
  <c r="X742" i="3" a="1"/>
  <c r="X742" i="3" s="1"/>
  <c r="W742" i="3" a="1"/>
  <c r="W742" i="3" s="1"/>
  <c r="V742" i="3" a="1"/>
  <c r="V742" i="3" s="1"/>
  <c r="Y741" i="3" a="1"/>
  <c r="Y741" i="3" s="1"/>
  <c r="X741" i="3" a="1"/>
  <c r="X741" i="3" s="1"/>
  <c r="W741" i="3" a="1"/>
  <c r="W741" i="3" s="1"/>
  <c r="V741" i="3" a="1"/>
  <c r="V741" i="3" s="1"/>
  <c r="Y740" i="3" a="1"/>
  <c r="Y740" i="3" s="1"/>
  <c r="X740" i="3" a="1"/>
  <c r="X740" i="3" s="1"/>
  <c r="W740" i="3" a="1"/>
  <c r="W740" i="3" s="1"/>
  <c r="V740" i="3" a="1"/>
  <c r="V740" i="3" s="1"/>
  <c r="Y739" i="3" a="1"/>
  <c r="Y739" i="3" s="1"/>
  <c r="X739" i="3" a="1"/>
  <c r="X739" i="3" s="1"/>
  <c r="W739" i="3" a="1"/>
  <c r="W739" i="3" s="1"/>
  <c r="V739" i="3" a="1"/>
  <c r="V739" i="3" s="1"/>
  <c r="Y738" i="3" a="1"/>
  <c r="Y738" i="3" s="1"/>
  <c r="X738" i="3" a="1"/>
  <c r="X738" i="3" s="1"/>
  <c r="W738" i="3" a="1"/>
  <c r="W738" i="3" s="1"/>
  <c r="V738" i="3" a="1"/>
  <c r="V738" i="3" s="1"/>
  <c r="Y737" i="3" a="1"/>
  <c r="Y737" i="3" s="1"/>
  <c r="X737" i="3" a="1"/>
  <c r="X737" i="3" s="1"/>
  <c r="W737" i="3" a="1"/>
  <c r="W737" i="3" s="1"/>
  <c r="V737" i="3" a="1"/>
  <c r="V737" i="3" s="1"/>
  <c r="Y736" i="3" a="1"/>
  <c r="Y736" i="3" s="1"/>
  <c r="X736" i="3" a="1"/>
  <c r="X736" i="3" s="1"/>
  <c r="W736" i="3" a="1"/>
  <c r="W736" i="3" s="1"/>
  <c r="V736" i="3" a="1"/>
  <c r="V736" i="3" s="1"/>
  <c r="Y735" i="3" a="1"/>
  <c r="Y735" i="3" s="1"/>
  <c r="X735" i="3" a="1"/>
  <c r="X735" i="3" s="1"/>
  <c r="W735" i="3" a="1"/>
  <c r="W735" i="3" s="1"/>
  <c r="V735" i="3" a="1"/>
  <c r="V735" i="3" s="1"/>
  <c r="Y734" i="3" a="1"/>
  <c r="Y734" i="3" s="1"/>
  <c r="X734" i="3" a="1"/>
  <c r="X734" i="3" s="1"/>
  <c r="W734" i="3" a="1"/>
  <c r="W734" i="3" s="1"/>
  <c r="V734" i="3" a="1"/>
  <c r="V734" i="3" s="1"/>
  <c r="Y733" i="3" a="1"/>
  <c r="Y733" i="3" s="1"/>
  <c r="X733" i="3" a="1"/>
  <c r="X733" i="3" s="1"/>
  <c r="W733" i="3" a="1"/>
  <c r="W733" i="3" s="1"/>
  <c r="V733" i="3" a="1"/>
  <c r="V733" i="3" s="1"/>
  <c r="Y732" i="3" a="1"/>
  <c r="Y732" i="3" s="1"/>
  <c r="X732" i="3" a="1"/>
  <c r="X732" i="3" s="1"/>
  <c r="W732" i="3" a="1"/>
  <c r="W732" i="3" s="1"/>
  <c r="V732" i="3" a="1"/>
  <c r="V732" i="3" s="1"/>
  <c r="Y731" i="3" a="1"/>
  <c r="Y731" i="3" s="1"/>
  <c r="X731" i="3" a="1"/>
  <c r="X731" i="3" s="1"/>
  <c r="W731" i="3" a="1"/>
  <c r="W731" i="3" s="1"/>
  <c r="V731" i="3" a="1"/>
  <c r="V731" i="3" s="1"/>
  <c r="Y730" i="3" a="1"/>
  <c r="Y730" i="3" s="1"/>
  <c r="X730" i="3" a="1"/>
  <c r="X730" i="3" s="1"/>
  <c r="W730" i="3" a="1"/>
  <c r="W730" i="3" s="1"/>
  <c r="V730" i="3" a="1"/>
  <c r="V730" i="3" s="1"/>
  <c r="Y729" i="3" a="1"/>
  <c r="Y729" i="3" s="1"/>
  <c r="X729" i="3" a="1"/>
  <c r="X729" i="3" s="1"/>
  <c r="W729" i="3" a="1"/>
  <c r="W729" i="3" s="1"/>
  <c r="V729" i="3" a="1"/>
  <c r="V729" i="3" s="1"/>
  <c r="Y728" i="3" a="1"/>
  <c r="Y728" i="3" s="1"/>
  <c r="X728" i="3" a="1"/>
  <c r="X728" i="3" s="1"/>
  <c r="W728" i="3" a="1"/>
  <c r="W728" i="3" s="1"/>
  <c r="V728" i="3" a="1"/>
  <c r="V728" i="3" s="1"/>
  <c r="Y727" i="3" a="1"/>
  <c r="Y727" i="3" s="1"/>
  <c r="X727" i="3" a="1"/>
  <c r="X727" i="3" s="1"/>
  <c r="W727" i="3" a="1"/>
  <c r="W727" i="3" s="1"/>
  <c r="V727" i="3" a="1"/>
  <c r="V727" i="3" s="1"/>
  <c r="Y726" i="3" a="1"/>
  <c r="Y726" i="3" s="1"/>
  <c r="X726" i="3" a="1"/>
  <c r="X726" i="3" s="1"/>
  <c r="W726" i="3" a="1"/>
  <c r="W726" i="3" s="1"/>
  <c r="V726" i="3" a="1"/>
  <c r="V726" i="3" s="1"/>
  <c r="Y725" i="3" a="1"/>
  <c r="Y725" i="3" s="1"/>
  <c r="X725" i="3" a="1"/>
  <c r="X725" i="3" s="1"/>
  <c r="W725" i="3" a="1"/>
  <c r="W725" i="3" s="1"/>
  <c r="V725" i="3" a="1"/>
  <c r="V725" i="3" s="1"/>
  <c r="Y724" i="3" a="1"/>
  <c r="Y724" i="3" s="1"/>
  <c r="X724" i="3" a="1"/>
  <c r="X724" i="3" s="1"/>
  <c r="W724" i="3" a="1"/>
  <c r="W724" i="3" s="1"/>
  <c r="V724" i="3" a="1"/>
  <c r="V724" i="3" s="1"/>
  <c r="Y723" i="3" a="1"/>
  <c r="Y723" i="3" s="1"/>
  <c r="X723" i="3" a="1"/>
  <c r="X723" i="3" s="1"/>
  <c r="W723" i="3" a="1"/>
  <c r="W723" i="3" s="1"/>
  <c r="V723" i="3" a="1"/>
  <c r="V723" i="3" s="1"/>
  <c r="Y722" i="3" a="1"/>
  <c r="Y722" i="3" s="1"/>
  <c r="X722" i="3" a="1"/>
  <c r="X722" i="3" s="1"/>
  <c r="W722" i="3" a="1"/>
  <c r="W722" i="3" s="1"/>
  <c r="V722" i="3" a="1"/>
  <c r="V722" i="3" s="1"/>
  <c r="Y721" i="3" a="1"/>
  <c r="Y721" i="3" s="1"/>
  <c r="X721" i="3" a="1"/>
  <c r="X721" i="3" s="1"/>
  <c r="W721" i="3" a="1"/>
  <c r="W721" i="3" s="1"/>
  <c r="V721" i="3" a="1"/>
  <c r="V721" i="3" s="1"/>
  <c r="Y720" i="3" a="1"/>
  <c r="Y720" i="3" s="1"/>
  <c r="X720" i="3" a="1"/>
  <c r="X720" i="3" s="1"/>
  <c r="W720" i="3" a="1"/>
  <c r="W720" i="3" s="1"/>
  <c r="V720" i="3" a="1"/>
  <c r="V720" i="3" s="1"/>
  <c r="Y719" i="3" a="1"/>
  <c r="Y719" i="3" s="1"/>
  <c r="X719" i="3" a="1"/>
  <c r="X719" i="3" s="1"/>
  <c r="W719" i="3" a="1"/>
  <c r="W719" i="3" s="1"/>
  <c r="V719" i="3" a="1"/>
  <c r="V719" i="3" s="1"/>
  <c r="Y718" i="3" a="1"/>
  <c r="Y718" i="3" s="1"/>
  <c r="X718" i="3" a="1"/>
  <c r="X718" i="3" s="1"/>
  <c r="W718" i="3" a="1"/>
  <c r="W718" i="3" s="1"/>
  <c r="V718" i="3" a="1"/>
  <c r="V718" i="3" s="1"/>
  <c r="Y717" i="3" a="1"/>
  <c r="Y717" i="3" s="1"/>
  <c r="X717" i="3" a="1"/>
  <c r="X717" i="3" s="1"/>
  <c r="W717" i="3" a="1"/>
  <c r="W717" i="3" s="1"/>
  <c r="V717" i="3" a="1"/>
  <c r="V717" i="3" s="1"/>
  <c r="Y716" i="3" a="1"/>
  <c r="Y716" i="3" s="1"/>
  <c r="X716" i="3" a="1"/>
  <c r="X716" i="3" s="1"/>
  <c r="W716" i="3" a="1"/>
  <c r="W716" i="3" s="1"/>
  <c r="V716" i="3" a="1"/>
  <c r="V716" i="3" s="1"/>
  <c r="Y715" i="3" a="1"/>
  <c r="Y715" i="3" s="1"/>
  <c r="X715" i="3" a="1"/>
  <c r="X715" i="3" s="1"/>
  <c r="W715" i="3" a="1"/>
  <c r="W715" i="3" s="1"/>
  <c r="V715" i="3" a="1"/>
  <c r="V715" i="3" s="1"/>
  <c r="Y714" i="3" a="1"/>
  <c r="Y714" i="3" s="1"/>
  <c r="X714" i="3" a="1"/>
  <c r="X714" i="3" s="1"/>
  <c r="W714" i="3" a="1"/>
  <c r="W714" i="3" s="1"/>
  <c r="V714" i="3" a="1"/>
  <c r="V714" i="3" s="1"/>
  <c r="Y713" i="3" a="1"/>
  <c r="Y713" i="3" s="1"/>
  <c r="X713" i="3" a="1"/>
  <c r="X713" i="3" s="1"/>
  <c r="W713" i="3" a="1"/>
  <c r="W713" i="3" s="1"/>
  <c r="V713" i="3" a="1"/>
  <c r="V713" i="3" s="1"/>
  <c r="Y712" i="3" a="1"/>
  <c r="Y712" i="3" s="1"/>
  <c r="X712" i="3" a="1"/>
  <c r="X712" i="3" s="1"/>
  <c r="W712" i="3" a="1"/>
  <c r="W712" i="3" s="1"/>
  <c r="V712" i="3" a="1"/>
  <c r="V712" i="3" s="1"/>
  <c r="Y711" i="3" a="1"/>
  <c r="Y711" i="3" s="1"/>
  <c r="X711" i="3" a="1"/>
  <c r="X711" i="3" s="1"/>
  <c r="W711" i="3" a="1"/>
  <c r="W711" i="3" s="1"/>
  <c r="V711" i="3" a="1"/>
  <c r="V711" i="3" s="1"/>
  <c r="Y710" i="3" a="1"/>
  <c r="Y710" i="3" s="1"/>
  <c r="X710" i="3" a="1"/>
  <c r="X710" i="3" s="1"/>
  <c r="W710" i="3" a="1"/>
  <c r="W710" i="3" s="1"/>
  <c r="V710" i="3" a="1"/>
  <c r="V710" i="3" s="1"/>
  <c r="Y709" i="3" a="1"/>
  <c r="Y709" i="3" s="1"/>
  <c r="X709" i="3" a="1"/>
  <c r="X709" i="3" s="1"/>
  <c r="W709" i="3" a="1"/>
  <c r="W709" i="3" s="1"/>
  <c r="V709" i="3" a="1"/>
  <c r="V709" i="3" s="1"/>
  <c r="Y708" i="3" a="1"/>
  <c r="Y708" i="3" s="1"/>
  <c r="X708" i="3" a="1"/>
  <c r="X708" i="3" s="1"/>
  <c r="W708" i="3" a="1"/>
  <c r="W708" i="3" s="1"/>
  <c r="V708" i="3" a="1"/>
  <c r="V708" i="3" s="1"/>
  <c r="Y707" i="3" a="1"/>
  <c r="Y707" i="3" s="1"/>
  <c r="X707" i="3" a="1"/>
  <c r="X707" i="3" s="1"/>
  <c r="W707" i="3" a="1"/>
  <c r="W707" i="3" s="1"/>
  <c r="V707" i="3" a="1"/>
  <c r="V707" i="3" s="1"/>
  <c r="Y706" i="3" a="1"/>
  <c r="Y706" i="3" s="1"/>
  <c r="X706" i="3" a="1"/>
  <c r="X706" i="3" s="1"/>
  <c r="W706" i="3" a="1"/>
  <c r="W706" i="3" s="1"/>
  <c r="V706" i="3" a="1"/>
  <c r="V706" i="3" s="1"/>
  <c r="Y705" i="3" a="1"/>
  <c r="Y705" i="3" s="1"/>
  <c r="X705" i="3" a="1"/>
  <c r="X705" i="3" s="1"/>
  <c r="W705" i="3" a="1"/>
  <c r="W705" i="3" s="1"/>
  <c r="V705" i="3" a="1"/>
  <c r="V705" i="3" s="1"/>
  <c r="Y704" i="3" a="1"/>
  <c r="Y704" i="3" s="1"/>
  <c r="X704" i="3" a="1"/>
  <c r="X704" i="3" s="1"/>
  <c r="W704" i="3" a="1"/>
  <c r="W704" i="3" s="1"/>
  <c r="V704" i="3" a="1"/>
  <c r="V704" i="3" s="1"/>
  <c r="Y703" i="3" a="1"/>
  <c r="Y703" i="3" s="1"/>
  <c r="X703" i="3" a="1"/>
  <c r="X703" i="3" s="1"/>
  <c r="W703" i="3" a="1"/>
  <c r="W703" i="3" s="1"/>
  <c r="V703" i="3" a="1"/>
  <c r="V703" i="3" s="1"/>
  <c r="Y702" i="3" a="1"/>
  <c r="Y702" i="3" s="1"/>
  <c r="X702" i="3" a="1"/>
  <c r="X702" i="3" s="1"/>
  <c r="W702" i="3" a="1"/>
  <c r="W702" i="3" s="1"/>
  <c r="V702" i="3" a="1"/>
  <c r="V702" i="3" s="1"/>
  <c r="Y701" i="3" a="1"/>
  <c r="Y701" i="3" s="1"/>
  <c r="X701" i="3" a="1"/>
  <c r="X701" i="3" s="1"/>
  <c r="W701" i="3" a="1"/>
  <c r="W701" i="3" s="1"/>
  <c r="V701" i="3" a="1"/>
  <c r="V701" i="3" s="1"/>
  <c r="Y700" i="3" a="1"/>
  <c r="Y700" i="3" s="1"/>
  <c r="X700" i="3" a="1"/>
  <c r="X700" i="3" s="1"/>
  <c r="W700" i="3" a="1"/>
  <c r="W700" i="3" s="1"/>
  <c r="V700" i="3" a="1"/>
  <c r="V700" i="3" s="1"/>
  <c r="Y699" i="3" a="1"/>
  <c r="Y699" i="3" s="1"/>
  <c r="X699" i="3" a="1"/>
  <c r="X699" i="3" s="1"/>
  <c r="W699" i="3" a="1"/>
  <c r="W699" i="3" s="1"/>
  <c r="V699" i="3" a="1"/>
  <c r="V699" i="3" s="1"/>
  <c r="Y698" i="3" a="1"/>
  <c r="Y698" i="3" s="1"/>
  <c r="X698" i="3" a="1"/>
  <c r="X698" i="3" s="1"/>
  <c r="W698" i="3" a="1"/>
  <c r="W698" i="3" s="1"/>
  <c r="V698" i="3" a="1"/>
  <c r="V698" i="3" s="1"/>
  <c r="Y697" i="3" a="1"/>
  <c r="Y697" i="3" s="1"/>
  <c r="X697" i="3" a="1"/>
  <c r="X697" i="3" s="1"/>
  <c r="W697" i="3" a="1"/>
  <c r="W697" i="3" s="1"/>
  <c r="V697" i="3" a="1"/>
  <c r="V697" i="3" s="1"/>
  <c r="Y696" i="3" a="1"/>
  <c r="Y696" i="3" s="1"/>
  <c r="X696" i="3" a="1"/>
  <c r="X696" i="3" s="1"/>
  <c r="W696" i="3" a="1"/>
  <c r="W696" i="3" s="1"/>
  <c r="V696" i="3" a="1"/>
  <c r="V696" i="3" s="1"/>
  <c r="Y695" i="3" a="1"/>
  <c r="Y695" i="3" s="1"/>
  <c r="X695" i="3" a="1"/>
  <c r="X695" i="3" s="1"/>
  <c r="W695" i="3" a="1"/>
  <c r="W695" i="3" s="1"/>
  <c r="V695" i="3" a="1"/>
  <c r="V695" i="3" s="1"/>
  <c r="Y694" i="3" a="1"/>
  <c r="Y694" i="3" s="1"/>
  <c r="X694" i="3" a="1"/>
  <c r="X694" i="3" s="1"/>
  <c r="W694" i="3" a="1"/>
  <c r="W694" i="3" s="1"/>
  <c r="V694" i="3" a="1"/>
  <c r="V694" i="3" s="1"/>
  <c r="Y693" i="3" a="1"/>
  <c r="Y693" i="3" s="1"/>
  <c r="X693" i="3" a="1"/>
  <c r="X693" i="3" s="1"/>
  <c r="W693" i="3" a="1"/>
  <c r="W693" i="3" s="1"/>
  <c r="V693" i="3" a="1"/>
  <c r="V693" i="3" s="1"/>
  <c r="Y692" i="3" a="1"/>
  <c r="Y692" i="3" s="1"/>
  <c r="X692" i="3" a="1"/>
  <c r="X692" i="3" s="1"/>
  <c r="W692" i="3" a="1"/>
  <c r="W692" i="3" s="1"/>
  <c r="V692" i="3" a="1"/>
  <c r="V692" i="3" s="1"/>
  <c r="Y691" i="3" a="1"/>
  <c r="Y691" i="3" s="1"/>
  <c r="X691" i="3" a="1"/>
  <c r="X691" i="3" s="1"/>
  <c r="W691" i="3" a="1"/>
  <c r="W691" i="3" s="1"/>
  <c r="V691" i="3" a="1"/>
  <c r="V691" i="3" s="1"/>
  <c r="Y690" i="3" a="1"/>
  <c r="Y690" i="3" s="1"/>
  <c r="X690" i="3" a="1"/>
  <c r="X690" i="3" s="1"/>
  <c r="W690" i="3" a="1"/>
  <c r="W690" i="3" s="1"/>
  <c r="V690" i="3" a="1"/>
  <c r="V690" i="3" s="1"/>
  <c r="Y689" i="3" a="1"/>
  <c r="Y689" i="3" s="1"/>
  <c r="X689" i="3" a="1"/>
  <c r="X689" i="3" s="1"/>
  <c r="W689" i="3" a="1"/>
  <c r="W689" i="3" s="1"/>
  <c r="V689" i="3" a="1"/>
  <c r="V689" i="3" s="1"/>
  <c r="Y688" i="3" a="1"/>
  <c r="Y688" i="3" s="1"/>
  <c r="X688" i="3" a="1"/>
  <c r="X688" i="3" s="1"/>
  <c r="W688" i="3" a="1"/>
  <c r="W688" i="3" s="1"/>
  <c r="V688" i="3" a="1"/>
  <c r="V688" i="3" s="1"/>
  <c r="Y687" i="3" a="1"/>
  <c r="Y687" i="3" s="1"/>
  <c r="X687" i="3" a="1"/>
  <c r="X687" i="3" s="1"/>
  <c r="W687" i="3" a="1"/>
  <c r="W687" i="3" s="1"/>
  <c r="V687" i="3" a="1"/>
  <c r="V687" i="3" s="1"/>
  <c r="Y686" i="3" a="1"/>
  <c r="Y686" i="3" s="1"/>
  <c r="X686" i="3" a="1"/>
  <c r="X686" i="3" s="1"/>
  <c r="W686" i="3" a="1"/>
  <c r="W686" i="3" s="1"/>
  <c r="V686" i="3" a="1"/>
  <c r="V686" i="3" s="1"/>
  <c r="Y685" i="3" a="1"/>
  <c r="Y685" i="3" s="1"/>
  <c r="X685" i="3" a="1"/>
  <c r="X685" i="3" s="1"/>
  <c r="W685" i="3" a="1"/>
  <c r="W685" i="3" s="1"/>
  <c r="V685" i="3" a="1"/>
  <c r="V685" i="3" s="1"/>
  <c r="Y684" i="3" a="1"/>
  <c r="Y684" i="3" s="1"/>
  <c r="X684" i="3" a="1"/>
  <c r="X684" i="3" s="1"/>
  <c r="W684" i="3" a="1"/>
  <c r="W684" i="3" s="1"/>
  <c r="V684" i="3" a="1"/>
  <c r="V684" i="3" s="1"/>
  <c r="Y683" i="3" a="1"/>
  <c r="Y683" i="3" s="1"/>
  <c r="X683" i="3" a="1"/>
  <c r="X683" i="3" s="1"/>
  <c r="W683" i="3" a="1"/>
  <c r="W683" i="3" s="1"/>
  <c r="V683" i="3" a="1"/>
  <c r="V683" i="3" s="1"/>
  <c r="Y682" i="3" a="1"/>
  <c r="Y682" i="3" s="1"/>
  <c r="X682" i="3" a="1"/>
  <c r="X682" i="3" s="1"/>
  <c r="W682" i="3" a="1"/>
  <c r="W682" i="3" s="1"/>
  <c r="V682" i="3" a="1"/>
  <c r="V682" i="3" s="1"/>
  <c r="Y681" i="3" a="1"/>
  <c r="Y681" i="3" s="1"/>
  <c r="X681" i="3" a="1"/>
  <c r="X681" i="3" s="1"/>
  <c r="W681" i="3" a="1"/>
  <c r="W681" i="3" s="1"/>
  <c r="V681" i="3" a="1"/>
  <c r="V681" i="3" s="1"/>
  <c r="Y680" i="3" a="1"/>
  <c r="Y680" i="3" s="1"/>
  <c r="X680" i="3" a="1"/>
  <c r="X680" i="3" s="1"/>
  <c r="W680" i="3" a="1"/>
  <c r="W680" i="3" s="1"/>
  <c r="V680" i="3" a="1"/>
  <c r="V680" i="3" s="1"/>
  <c r="Y679" i="3" a="1"/>
  <c r="Y679" i="3" s="1"/>
  <c r="X679" i="3" a="1"/>
  <c r="X679" i="3" s="1"/>
  <c r="W679" i="3" a="1"/>
  <c r="W679" i="3" s="1"/>
  <c r="V679" i="3" a="1"/>
  <c r="V679" i="3" s="1"/>
  <c r="Y678" i="3" a="1"/>
  <c r="Y678" i="3" s="1"/>
  <c r="X678" i="3" a="1"/>
  <c r="X678" i="3" s="1"/>
  <c r="W678" i="3" a="1"/>
  <c r="W678" i="3" s="1"/>
  <c r="V678" i="3" a="1"/>
  <c r="V678" i="3" s="1"/>
  <c r="Y677" i="3" a="1"/>
  <c r="Y677" i="3" s="1"/>
  <c r="X677" i="3" a="1"/>
  <c r="X677" i="3" s="1"/>
  <c r="W677" i="3" a="1"/>
  <c r="W677" i="3" s="1"/>
  <c r="V677" i="3" a="1"/>
  <c r="V677" i="3" s="1"/>
  <c r="Y676" i="3" a="1"/>
  <c r="Y676" i="3" s="1"/>
  <c r="X676" i="3" a="1"/>
  <c r="X676" i="3" s="1"/>
  <c r="W676" i="3" a="1"/>
  <c r="W676" i="3" s="1"/>
  <c r="V676" i="3" a="1"/>
  <c r="V676" i="3" s="1"/>
  <c r="Y675" i="3" a="1"/>
  <c r="Y675" i="3" s="1"/>
  <c r="X675" i="3" a="1"/>
  <c r="X675" i="3" s="1"/>
  <c r="W675" i="3" a="1"/>
  <c r="W675" i="3" s="1"/>
  <c r="V675" i="3" a="1"/>
  <c r="V675" i="3" s="1"/>
  <c r="Y674" i="3" a="1"/>
  <c r="Y674" i="3" s="1"/>
  <c r="X674" i="3" a="1"/>
  <c r="X674" i="3" s="1"/>
  <c r="W674" i="3" a="1"/>
  <c r="W674" i="3" s="1"/>
  <c r="V674" i="3" a="1"/>
  <c r="V674" i="3" s="1"/>
  <c r="Y673" i="3" a="1"/>
  <c r="Y673" i="3" s="1"/>
  <c r="X673" i="3" a="1"/>
  <c r="X673" i="3" s="1"/>
  <c r="W673" i="3" a="1"/>
  <c r="W673" i="3" s="1"/>
  <c r="V673" i="3" a="1"/>
  <c r="V673" i="3" s="1"/>
  <c r="Y672" i="3" a="1"/>
  <c r="Y672" i="3" s="1"/>
  <c r="X672" i="3" a="1"/>
  <c r="X672" i="3" s="1"/>
  <c r="W672" i="3" a="1"/>
  <c r="W672" i="3" s="1"/>
  <c r="V672" i="3" a="1"/>
  <c r="V672" i="3" s="1"/>
  <c r="Y671" i="3" a="1"/>
  <c r="Y671" i="3" s="1"/>
  <c r="X671" i="3" a="1"/>
  <c r="X671" i="3" s="1"/>
  <c r="W671" i="3" a="1"/>
  <c r="W671" i="3" s="1"/>
  <c r="V671" i="3" a="1"/>
  <c r="V671" i="3" s="1"/>
  <c r="Y670" i="3" a="1"/>
  <c r="Y670" i="3" s="1"/>
  <c r="X670" i="3" a="1"/>
  <c r="X670" i="3" s="1"/>
  <c r="W670" i="3" a="1"/>
  <c r="W670" i="3" s="1"/>
  <c r="V670" i="3" a="1"/>
  <c r="V670" i="3" s="1"/>
  <c r="Y669" i="3" a="1"/>
  <c r="Y669" i="3" s="1"/>
  <c r="X669" i="3" a="1"/>
  <c r="X669" i="3" s="1"/>
  <c r="W669" i="3" a="1"/>
  <c r="W669" i="3" s="1"/>
  <c r="V669" i="3" a="1"/>
  <c r="V669" i="3" s="1"/>
  <c r="Y668" i="3" a="1"/>
  <c r="Y668" i="3" s="1"/>
  <c r="X668" i="3" a="1"/>
  <c r="X668" i="3" s="1"/>
  <c r="W668" i="3" a="1"/>
  <c r="W668" i="3" s="1"/>
  <c r="V668" i="3" a="1"/>
  <c r="V668" i="3" s="1"/>
  <c r="Y667" i="3" a="1"/>
  <c r="Y667" i="3" s="1"/>
  <c r="X667" i="3" a="1"/>
  <c r="X667" i="3" s="1"/>
  <c r="W667" i="3" a="1"/>
  <c r="W667" i="3" s="1"/>
  <c r="V667" i="3" a="1"/>
  <c r="V667" i="3" s="1"/>
  <c r="Y666" i="3" a="1"/>
  <c r="Y666" i="3" s="1"/>
  <c r="X666" i="3" a="1"/>
  <c r="X666" i="3" s="1"/>
  <c r="W666" i="3" a="1"/>
  <c r="W666" i="3" s="1"/>
  <c r="V666" i="3" a="1"/>
  <c r="V666" i="3" s="1"/>
  <c r="Y665" i="3" a="1"/>
  <c r="Y665" i="3" s="1"/>
  <c r="X665" i="3" a="1"/>
  <c r="X665" i="3" s="1"/>
  <c r="W665" i="3" a="1"/>
  <c r="W665" i="3" s="1"/>
  <c r="V665" i="3" a="1"/>
  <c r="V665" i="3" s="1"/>
  <c r="Y664" i="3" a="1"/>
  <c r="Y664" i="3" s="1"/>
  <c r="X664" i="3" a="1"/>
  <c r="X664" i="3" s="1"/>
  <c r="W664" i="3" a="1"/>
  <c r="W664" i="3" s="1"/>
  <c r="V664" i="3" a="1"/>
  <c r="V664" i="3" s="1"/>
  <c r="Y663" i="3" a="1"/>
  <c r="Y663" i="3" s="1"/>
  <c r="X663" i="3" a="1"/>
  <c r="X663" i="3" s="1"/>
  <c r="W663" i="3" a="1"/>
  <c r="W663" i="3" s="1"/>
  <c r="V663" i="3" a="1"/>
  <c r="V663" i="3" s="1"/>
  <c r="Y662" i="3" a="1"/>
  <c r="Y662" i="3" s="1"/>
  <c r="X662" i="3" a="1"/>
  <c r="X662" i="3" s="1"/>
  <c r="W662" i="3" a="1"/>
  <c r="W662" i="3" s="1"/>
  <c r="V662" i="3" a="1"/>
  <c r="V662" i="3" s="1"/>
  <c r="Y661" i="3" a="1"/>
  <c r="Y661" i="3" s="1"/>
  <c r="X661" i="3" a="1"/>
  <c r="X661" i="3" s="1"/>
  <c r="W661" i="3" a="1"/>
  <c r="W661" i="3" s="1"/>
  <c r="V661" i="3" a="1"/>
  <c r="V661" i="3" s="1"/>
  <c r="Y660" i="3" a="1"/>
  <c r="Y660" i="3" s="1"/>
  <c r="X660" i="3" a="1"/>
  <c r="X660" i="3" s="1"/>
  <c r="W660" i="3" a="1"/>
  <c r="W660" i="3" s="1"/>
  <c r="V660" i="3" a="1"/>
  <c r="V660" i="3" s="1"/>
  <c r="Y659" i="3" a="1"/>
  <c r="Y659" i="3" s="1"/>
  <c r="X659" i="3" a="1"/>
  <c r="X659" i="3" s="1"/>
  <c r="W659" i="3" a="1"/>
  <c r="W659" i="3" s="1"/>
  <c r="V659" i="3" a="1"/>
  <c r="V659" i="3" s="1"/>
  <c r="Y658" i="3" a="1"/>
  <c r="Y658" i="3" s="1"/>
  <c r="X658" i="3" a="1"/>
  <c r="X658" i="3" s="1"/>
  <c r="W658" i="3" a="1"/>
  <c r="W658" i="3" s="1"/>
  <c r="V658" i="3" a="1"/>
  <c r="V658" i="3" s="1"/>
  <c r="Y657" i="3" a="1"/>
  <c r="Y657" i="3" s="1"/>
  <c r="X657" i="3" a="1"/>
  <c r="X657" i="3" s="1"/>
  <c r="W657" i="3" a="1"/>
  <c r="W657" i="3" s="1"/>
  <c r="V657" i="3" a="1"/>
  <c r="V657" i="3" s="1"/>
  <c r="Y656" i="3" a="1"/>
  <c r="Y656" i="3" s="1"/>
  <c r="X656" i="3" a="1"/>
  <c r="X656" i="3" s="1"/>
  <c r="W656" i="3" a="1"/>
  <c r="W656" i="3" s="1"/>
  <c r="V656" i="3" a="1"/>
  <c r="V656" i="3" s="1"/>
  <c r="Y655" i="3" a="1"/>
  <c r="Y655" i="3" s="1"/>
  <c r="X655" i="3" a="1"/>
  <c r="X655" i="3" s="1"/>
  <c r="W655" i="3" a="1"/>
  <c r="W655" i="3" s="1"/>
  <c r="V655" i="3" a="1"/>
  <c r="V655" i="3" s="1"/>
  <c r="Y654" i="3" a="1"/>
  <c r="Y654" i="3" s="1"/>
  <c r="X654" i="3" a="1"/>
  <c r="X654" i="3" s="1"/>
  <c r="W654" i="3" a="1"/>
  <c r="W654" i="3" s="1"/>
  <c r="V654" i="3" a="1"/>
  <c r="V654" i="3" s="1"/>
  <c r="Y653" i="3" a="1"/>
  <c r="Y653" i="3" s="1"/>
  <c r="X653" i="3" a="1"/>
  <c r="X653" i="3" s="1"/>
  <c r="W653" i="3" a="1"/>
  <c r="W653" i="3" s="1"/>
  <c r="V653" i="3" a="1"/>
  <c r="V653" i="3" s="1"/>
  <c r="Y652" i="3" a="1"/>
  <c r="Y652" i="3" s="1"/>
  <c r="X652" i="3" a="1"/>
  <c r="X652" i="3" s="1"/>
  <c r="W652" i="3" a="1"/>
  <c r="W652" i="3" s="1"/>
  <c r="V652" i="3" a="1"/>
  <c r="V652" i="3" s="1"/>
  <c r="Y651" i="3" a="1"/>
  <c r="Y651" i="3" s="1"/>
  <c r="X651" i="3" a="1"/>
  <c r="X651" i="3" s="1"/>
  <c r="W651" i="3" a="1"/>
  <c r="W651" i="3" s="1"/>
  <c r="V651" i="3" a="1"/>
  <c r="V651" i="3" s="1"/>
  <c r="Y650" i="3" a="1"/>
  <c r="Y650" i="3" s="1"/>
  <c r="X650" i="3" a="1"/>
  <c r="X650" i="3" s="1"/>
  <c r="W650" i="3" a="1"/>
  <c r="W650" i="3" s="1"/>
  <c r="V650" i="3" a="1"/>
  <c r="V650" i="3" s="1"/>
  <c r="Y649" i="3" a="1"/>
  <c r="Y649" i="3" s="1"/>
  <c r="X649" i="3" a="1"/>
  <c r="X649" i="3" s="1"/>
  <c r="W649" i="3" a="1"/>
  <c r="W649" i="3" s="1"/>
  <c r="V649" i="3" a="1"/>
  <c r="V649" i="3" s="1"/>
  <c r="Y648" i="3" a="1"/>
  <c r="Y648" i="3" s="1"/>
  <c r="X648" i="3" a="1"/>
  <c r="X648" i="3" s="1"/>
  <c r="W648" i="3" a="1"/>
  <c r="W648" i="3" s="1"/>
  <c r="V648" i="3" a="1"/>
  <c r="V648" i="3" s="1"/>
  <c r="Y647" i="3" a="1"/>
  <c r="Y647" i="3" s="1"/>
  <c r="X647" i="3" a="1"/>
  <c r="X647" i="3" s="1"/>
  <c r="W647" i="3" a="1"/>
  <c r="W647" i="3" s="1"/>
  <c r="V647" i="3" a="1"/>
  <c r="V647" i="3" s="1"/>
  <c r="Y646" i="3" a="1"/>
  <c r="Y646" i="3" s="1"/>
  <c r="X646" i="3" a="1"/>
  <c r="X646" i="3" s="1"/>
  <c r="W646" i="3" a="1"/>
  <c r="W646" i="3" s="1"/>
  <c r="V646" i="3" a="1"/>
  <c r="V646" i="3" s="1"/>
  <c r="Y645" i="3" a="1"/>
  <c r="Y645" i="3" s="1"/>
  <c r="X645" i="3" a="1"/>
  <c r="X645" i="3" s="1"/>
  <c r="W645" i="3" a="1"/>
  <c r="W645" i="3" s="1"/>
  <c r="V645" i="3" a="1"/>
  <c r="V645" i="3" s="1"/>
  <c r="Y644" i="3" a="1"/>
  <c r="Y644" i="3" s="1"/>
  <c r="X644" i="3" a="1"/>
  <c r="X644" i="3" s="1"/>
  <c r="W644" i="3" a="1"/>
  <c r="W644" i="3" s="1"/>
  <c r="V644" i="3" a="1"/>
  <c r="V644" i="3" s="1"/>
  <c r="Y643" i="3" a="1"/>
  <c r="Y643" i="3" s="1"/>
  <c r="X643" i="3" a="1"/>
  <c r="X643" i="3" s="1"/>
  <c r="W643" i="3" a="1"/>
  <c r="W643" i="3" s="1"/>
  <c r="V643" i="3" a="1"/>
  <c r="V643" i="3" s="1"/>
  <c r="Y642" i="3" a="1"/>
  <c r="Y642" i="3" s="1"/>
  <c r="X642" i="3" a="1"/>
  <c r="X642" i="3" s="1"/>
  <c r="W642" i="3" a="1"/>
  <c r="W642" i="3" s="1"/>
  <c r="V642" i="3" a="1"/>
  <c r="V642" i="3" s="1"/>
  <c r="Y641" i="3" a="1"/>
  <c r="Y641" i="3" s="1"/>
  <c r="X641" i="3" a="1"/>
  <c r="X641" i="3" s="1"/>
  <c r="W641" i="3" a="1"/>
  <c r="W641" i="3" s="1"/>
  <c r="V641" i="3" a="1"/>
  <c r="V641" i="3" s="1"/>
  <c r="Y640" i="3" a="1"/>
  <c r="Y640" i="3" s="1"/>
  <c r="X640" i="3" a="1"/>
  <c r="X640" i="3" s="1"/>
  <c r="W640" i="3" a="1"/>
  <c r="W640" i="3" s="1"/>
  <c r="V640" i="3" a="1"/>
  <c r="V640" i="3" s="1"/>
  <c r="Y639" i="3" a="1"/>
  <c r="Y639" i="3" s="1"/>
  <c r="X639" i="3" a="1"/>
  <c r="X639" i="3" s="1"/>
  <c r="W639" i="3" a="1"/>
  <c r="W639" i="3" s="1"/>
  <c r="V639" i="3" a="1"/>
  <c r="V639" i="3" s="1"/>
  <c r="Y638" i="3" a="1"/>
  <c r="Y638" i="3" s="1"/>
  <c r="X638" i="3" a="1"/>
  <c r="X638" i="3" s="1"/>
  <c r="W638" i="3" a="1"/>
  <c r="W638" i="3" s="1"/>
  <c r="V638" i="3" a="1"/>
  <c r="V638" i="3" s="1"/>
  <c r="Y637" i="3" a="1"/>
  <c r="Y637" i="3" s="1"/>
  <c r="X637" i="3" a="1"/>
  <c r="X637" i="3" s="1"/>
  <c r="W637" i="3" a="1"/>
  <c r="W637" i="3" s="1"/>
  <c r="V637" i="3" a="1"/>
  <c r="V637" i="3" s="1"/>
  <c r="Y636" i="3" a="1"/>
  <c r="Y636" i="3" s="1"/>
  <c r="X636" i="3" a="1"/>
  <c r="X636" i="3" s="1"/>
  <c r="W636" i="3" a="1"/>
  <c r="W636" i="3" s="1"/>
  <c r="V636" i="3" a="1"/>
  <c r="V636" i="3" s="1"/>
  <c r="Y635" i="3" a="1"/>
  <c r="Y635" i="3" s="1"/>
  <c r="X635" i="3" a="1"/>
  <c r="X635" i="3" s="1"/>
  <c r="W635" i="3" a="1"/>
  <c r="W635" i="3" s="1"/>
  <c r="V635" i="3" a="1"/>
  <c r="V635" i="3" s="1"/>
  <c r="Y634" i="3" a="1"/>
  <c r="Y634" i="3" s="1"/>
  <c r="X634" i="3" a="1"/>
  <c r="X634" i="3" s="1"/>
  <c r="W634" i="3" a="1"/>
  <c r="W634" i="3" s="1"/>
  <c r="V634" i="3" a="1"/>
  <c r="V634" i="3" s="1"/>
  <c r="Y633" i="3" a="1"/>
  <c r="Y633" i="3" s="1"/>
  <c r="X633" i="3" a="1"/>
  <c r="X633" i="3" s="1"/>
  <c r="W633" i="3" a="1"/>
  <c r="W633" i="3" s="1"/>
  <c r="V633" i="3" a="1"/>
  <c r="V633" i="3" s="1"/>
  <c r="Y632" i="3" a="1"/>
  <c r="Y632" i="3" s="1"/>
  <c r="X632" i="3" a="1"/>
  <c r="X632" i="3" s="1"/>
  <c r="W632" i="3" a="1"/>
  <c r="W632" i="3" s="1"/>
  <c r="V632" i="3" a="1"/>
  <c r="V632" i="3" s="1"/>
  <c r="Y631" i="3" a="1"/>
  <c r="Y631" i="3" s="1"/>
  <c r="X631" i="3" a="1"/>
  <c r="X631" i="3" s="1"/>
  <c r="W631" i="3" a="1"/>
  <c r="W631" i="3" s="1"/>
  <c r="V631" i="3" a="1"/>
  <c r="V631" i="3" s="1"/>
  <c r="Y630" i="3" a="1"/>
  <c r="Y630" i="3" s="1"/>
  <c r="X630" i="3" a="1"/>
  <c r="X630" i="3" s="1"/>
  <c r="W630" i="3" a="1"/>
  <c r="W630" i="3" s="1"/>
  <c r="V630" i="3" a="1"/>
  <c r="V630" i="3" s="1"/>
  <c r="Y629" i="3" a="1"/>
  <c r="Y629" i="3" s="1"/>
  <c r="X629" i="3" a="1"/>
  <c r="X629" i="3" s="1"/>
  <c r="W629" i="3" a="1"/>
  <c r="W629" i="3" s="1"/>
  <c r="V629" i="3" a="1"/>
  <c r="V629" i="3" s="1"/>
  <c r="Y628" i="3" a="1"/>
  <c r="Y628" i="3" s="1"/>
  <c r="X628" i="3" a="1"/>
  <c r="X628" i="3" s="1"/>
  <c r="W628" i="3" a="1"/>
  <c r="W628" i="3" s="1"/>
  <c r="V628" i="3" a="1"/>
  <c r="V628" i="3" s="1"/>
  <c r="Y627" i="3" a="1"/>
  <c r="Y627" i="3" s="1"/>
  <c r="X627" i="3" a="1"/>
  <c r="X627" i="3" s="1"/>
  <c r="W627" i="3" a="1"/>
  <c r="W627" i="3" s="1"/>
  <c r="V627" i="3" a="1"/>
  <c r="V627" i="3" s="1"/>
  <c r="Y626" i="3" a="1"/>
  <c r="Y626" i="3" s="1"/>
  <c r="X626" i="3" a="1"/>
  <c r="X626" i="3" s="1"/>
  <c r="W626" i="3" a="1"/>
  <c r="W626" i="3" s="1"/>
  <c r="V626" i="3" a="1"/>
  <c r="V626" i="3" s="1"/>
  <c r="Y625" i="3" a="1"/>
  <c r="Y625" i="3" s="1"/>
  <c r="X625" i="3" a="1"/>
  <c r="X625" i="3" s="1"/>
  <c r="W625" i="3" a="1"/>
  <c r="W625" i="3" s="1"/>
  <c r="V625" i="3" a="1"/>
  <c r="V625" i="3" s="1"/>
  <c r="Y624" i="3" a="1"/>
  <c r="Y624" i="3" s="1"/>
  <c r="X624" i="3" a="1"/>
  <c r="X624" i="3" s="1"/>
  <c r="W624" i="3" a="1"/>
  <c r="W624" i="3" s="1"/>
  <c r="V624" i="3" a="1"/>
  <c r="V624" i="3" s="1"/>
  <c r="Y623" i="3" a="1"/>
  <c r="Y623" i="3" s="1"/>
  <c r="X623" i="3" a="1"/>
  <c r="X623" i="3" s="1"/>
  <c r="W623" i="3" a="1"/>
  <c r="W623" i="3" s="1"/>
  <c r="V623" i="3" a="1"/>
  <c r="V623" i="3" s="1"/>
  <c r="Y622" i="3" a="1"/>
  <c r="Y622" i="3" s="1"/>
  <c r="X622" i="3" a="1"/>
  <c r="X622" i="3" s="1"/>
  <c r="W622" i="3" a="1"/>
  <c r="W622" i="3" s="1"/>
  <c r="V622" i="3" a="1"/>
  <c r="V622" i="3" s="1"/>
  <c r="Y621" i="3" a="1"/>
  <c r="Y621" i="3" s="1"/>
  <c r="X621" i="3" a="1"/>
  <c r="X621" i="3" s="1"/>
  <c r="W621" i="3" a="1"/>
  <c r="W621" i="3" s="1"/>
  <c r="V621" i="3" a="1"/>
  <c r="V621" i="3" s="1"/>
  <c r="Y620" i="3" a="1"/>
  <c r="Y620" i="3" s="1"/>
  <c r="X620" i="3" a="1"/>
  <c r="X620" i="3" s="1"/>
  <c r="W620" i="3" a="1"/>
  <c r="W620" i="3" s="1"/>
  <c r="V620" i="3" a="1"/>
  <c r="V620" i="3" s="1"/>
  <c r="Y619" i="3" a="1"/>
  <c r="Y619" i="3" s="1"/>
  <c r="X619" i="3" a="1"/>
  <c r="X619" i="3" s="1"/>
  <c r="W619" i="3" a="1"/>
  <c r="W619" i="3" s="1"/>
  <c r="V619" i="3" a="1"/>
  <c r="V619" i="3" s="1"/>
  <c r="Y618" i="3" a="1"/>
  <c r="Y618" i="3" s="1"/>
  <c r="X618" i="3" a="1"/>
  <c r="X618" i="3" s="1"/>
  <c r="W618" i="3" a="1"/>
  <c r="W618" i="3" s="1"/>
  <c r="V618" i="3" a="1"/>
  <c r="V618" i="3" s="1"/>
  <c r="Y1782" i="3" a="1"/>
  <c r="Y1782" i="3" s="1"/>
  <c r="X1782" i="3" a="1"/>
  <c r="X1782" i="3" s="1"/>
  <c r="W1782" i="3" a="1"/>
  <c r="W1782" i="3" s="1"/>
  <c r="V1782" i="3" a="1"/>
  <c r="V1782" i="3" s="1"/>
  <c r="Y1781" i="3" a="1"/>
  <c r="Y1781" i="3" s="1"/>
  <c r="X1781" i="3" a="1"/>
  <c r="X1781" i="3" s="1"/>
  <c r="W1781" i="3" a="1"/>
  <c r="W1781" i="3" s="1"/>
  <c r="V1781" i="3" a="1"/>
  <c r="V1781" i="3" s="1"/>
  <c r="Y1780" i="3" a="1"/>
  <c r="Y1780" i="3" s="1"/>
  <c r="X1780" i="3" a="1"/>
  <c r="X1780" i="3" s="1"/>
  <c r="W1780" i="3" a="1"/>
  <c r="W1780" i="3" s="1"/>
  <c r="V1780" i="3" a="1"/>
  <c r="V1780" i="3" s="1"/>
  <c r="Y1779" i="3" a="1"/>
  <c r="Y1779" i="3" s="1"/>
  <c r="X1779" i="3" a="1"/>
  <c r="X1779" i="3" s="1"/>
  <c r="W1779" i="3" a="1"/>
  <c r="W1779" i="3" s="1"/>
  <c r="V1779" i="3" a="1"/>
  <c r="V1779" i="3" s="1"/>
  <c r="Y1778" i="3" a="1"/>
  <c r="Y1778" i="3" s="1"/>
  <c r="X1778" i="3" a="1"/>
  <c r="X1778" i="3" s="1"/>
  <c r="W1778" i="3" a="1"/>
  <c r="W1778" i="3" s="1"/>
  <c r="V1778" i="3" a="1"/>
  <c r="V1778" i="3" s="1"/>
  <c r="Y1777" i="3" a="1"/>
  <c r="Y1777" i="3" s="1"/>
  <c r="X1777" i="3" a="1"/>
  <c r="X1777" i="3" s="1"/>
  <c r="W1777" i="3" a="1"/>
  <c r="W1777" i="3" s="1"/>
  <c r="V1777" i="3" a="1"/>
  <c r="V1777" i="3" s="1"/>
  <c r="Y1776" i="3" a="1"/>
  <c r="Y1776" i="3" s="1"/>
  <c r="X1776" i="3" a="1"/>
  <c r="X1776" i="3" s="1"/>
  <c r="W1776" i="3" a="1"/>
  <c r="W1776" i="3" s="1"/>
  <c r="V1776" i="3" a="1"/>
  <c r="V1776" i="3" s="1"/>
  <c r="Y1775" i="3" a="1"/>
  <c r="Y1775" i="3" s="1"/>
  <c r="X1775" i="3" a="1"/>
  <c r="X1775" i="3" s="1"/>
  <c r="W1775" i="3" a="1"/>
  <c r="W1775" i="3" s="1"/>
  <c r="V1775" i="3" a="1"/>
  <c r="V1775" i="3" s="1"/>
  <c r="Y1774" i="3" a="1"/>
  <c r="Y1774" i="3" s="1"/>
  <c r="X1774" i="3" a="1"/>
  <c r="X1774" i="3" s="1"/>
  <c r="W1774" i="3" a="1"/>
  <c r="W1774" i="3" s="1"/>
  <c r="V1774" i="3" a="1"/>
  <c r="V1774" i="3" s="1"/>
  <c r="Y1773" i="3" a="1"/>
  <c r="Y1773" i="3" s="1"/>
  <c r="X1773" i="3" a="1"/>
  <c r="X1773" i="3" s="1"/>
  <c r="W1773" i="3" a="1"/>
  <c r="W1773" i="3" s="1"/>
  <c r="V1773" i="3" a="1"/>
  <c r="V1773" i="3" s="1"/>
  <c r="Y1772" i="3" a="1"/>
  <c r="Y1772" i="3" s="1"/>
  <c r="X1772" i="3" a="1"/>
  <c r="X1772" i="3" s="1"/>
  <c r="W1772" i="3" a="1"/>
  <c r="W1772" i="3" s="1"/>
  <c r="V1772" i="3" a="1"/>
  <c r="V1772" i="3" s="1"/>
  <c r="Y1771" i="3" a="1"/>
  <c r="Y1771" i="3" s="1"/>
  <c r="X1771" i="3" a="1"/>
  <c r="X1771" i="3" s="1"/>
  <c r="W1771" i="3" a="1"/>
  <c r="W1771" i="3" s="1"/>
  <c r="V1771" i="3" a="1"/>
  <c r="V1771" i="3" s="1"/>
  <c r="Y1770" i="3" a="1"/>
  <c r="Y1770" i="3" s="1"/>
  <c r="X1770" i="3" a="1"/>
  <c r="X1770" i="3" s="1"/>
  <c r="W1770" i="3" a="1"/>
  <c r="W1770" i="3" s="1"/>
  <c r="V1770" i="3" a="1"/>
  <c r="V1770" i="3" s="1"/>
  <c r="Y1769" i="3" a="1"/>
  <c r="Y1769" i="3" s="1"/>
  <c r="X1769" i="3" a="1"/>
  <c r="X1769" i="3" s="1"/>
  <c r="W1769" i="3" a="1"/>
  <c r="W1769" i="3" s="1"/>
  <c r="V1769" i="3" a="1"/>
  <c r="V1769" i="3" s="1"/>
  <c r="Y1768" i="3" a="1"/>
  <c r="Y1768" i="3" s="1"/>
  <c r="X1768" i="3" a="1"/>
  <c r="X1768" i="3" s="1"/>
  <c r="W1768" i="3" a="1"/>
  <c r="W1768" i="3" s="1"/>
  <c r="V1768" i="3" a="1"/>
  <c r="V1768" i="3" s="1"/>
  <c r="Y1767" i="3" a="1"/>
  <c r="Y1767" i="3" s="1"/>
  <c r="X1767" i="3" a="1"/>
  <c r="X1767" i="3" s="1"/>
  <c r="W1767" i="3" a="1"/>
  <c r="W1767" i="3" s="1"/>
  <c r="V1767" i="3" a="1"/>
  <c r="V1767" i="3" s="1"/>
  <c r="Y1766" i="3" a="1"/>
  <c r="Y1766" i="3" s="1"/>
  <c r="X1766" i="3" a="1"/>
  <c r="X1766" i="3" s="1"/>
  <c r="W1766" i="3" a="1"/>
  <c r="W1766" i="3" s="1"/>
  <c r="V1766" i="3" a="1"/>
  <c r="V1766" i="3" s="1"/>
  <c r="Y1765" i="3" a="1"/>
  <c r="Y1765" i="3" s="1"/>
  <c r="X1765" i="3" a="1"/>
  <c r="X1765" i="3" s="1"/>
  <c r="W1765" i="3" a="1"/>
  <c r="W1765" i="3" s="1"/>
  <c r="V1765" i="3" a="1"/>
  <c r="V1765" i="3" s="1"/>
  <c r="Y1764" i="3" a="1"/>
  <c r="Y1764" i="3" s="1"/>
  <c r="X1764" i="3" a="1"/>
  <c r="X1764" i="3" s="1"/>
  <c r="W1764" i="3" a="1"/>
  <c r="W1764" i="3" s="1"/>
  <c r="V1764" i="3" a="1"/>
  <c r="V1764" i="3" s="1"/>
  <c r="Y1763" i="3" a="1"/>
  <c r="Y1763" i="3" s="1"/>
  <c r="X1763" i="3" a="1"/>
  <c r="X1763" i="3" s="1"/>
  <c r="W1763" i="3" a="1"/>
  <c r="W1763" i="3" s="1"/>
  <c r="V1763" i="3" a="1"/>
  <c r="V1763" i="3" s="1"/>
  <c r="Y1762" i="3" a="1"/>
  <c r="Y1762" i="3" s="1"/>
  <c r="X1762" i="3" a="1"/>
  <c r="X1762" i="3" s="1"/>
  <c r="W1762" i="3" a="1"/>
  <c r="W1762" i="3" s="1"/>
  <c r="V1762" i="3" a="1"/>
  <c r="V1762" i="3" s="1"/>
  <c r="Y1761" i="3" a="1"/>
  <c r="Y1761" i="3" s="1"/>
  <c r="X1761" i="3" a="1"/>
  <c r="X1761" i="3" s="1"/>
  <c r="W1761" i="3" a="1"/>
  <c r="W1761" i="3" s="1"/>
  <c r="V1761" i="3" a="1"/>
  <c r="V1761" i="3" s="1"/>
  <c r="Y1760" i="3" a="1"/>
  <c r="Y1760" i="3" s="1"/>
  <c r="X1760" i="3" a="1"/>
  <c r="X1760" i="3" s="1"/>
  <c r="W1760" i="3" a="1"/>
  <c r="W1760" i="3" s="1"/>
  <c r="V1760" i="3" a="1"/>
  <c r="V1760" i="3" s="1"/>
  <c r="Y1759" i="3" a="1"/>
  <c r="Y1759" i="3" s="1"/>
  <c r="X1759" i="3" a="1"/>
  <c r="X1759" i="3" s="1"/>
  <c r="W1759" i="3" a="1"/>
  <c r="W1759" i="3" s="1"/>
  <c r="V1759" i="3" a="1"/>
  <c r="V1759" i="3" s="1"/>
  <c r="Y1758" i="3" a="1"/>
  <c r="Y1758" i="3" s="1"/>
  <c r="X1758" i="3" a="1"/>
  <c r="X1758" i="3" s="1"/>
  <c r="W1758" i="3" a="1"/>
  <c r="W1758" i="3" s="1"/>
  <c r="V1758" i="3" a="1"/>
  <c r="V1758" i="3" s="1"/>
  <c r="Y1757" i="3" a="1"/>
  <c r="Y1757" i="3" s="1"/>
  <c r="X1757" i="3" a="1"/>
  <c r="X1757" i="3" s="1"/>
  <c r="W1757" i="3" a="1"/>
  <c r="W1757" i="3" s="1"/>
  <c r="V1757" i="3" a="1"/>
  <c r="V1757" i="3" s="1"/>
  <c r="Y1756" i="3" a="1"/>
  <c r="Y1756" i="3" s="1"/>
  <c r="X1756" i="3" a="1"/>
  <c r="X1756" i="3" s="1"/>
  <c r="W1756" i="3" a="1"/>
  <c r="W1756" i="3" s="1"/>
  <c r="V1756" i="3" a="1"/>
  <c r="V1756" i="3" s="1"/>
  <c r="Y1755" i="3" a="1"/>
  <c r="Y1755" i="3" s="1"/>
  <c r="X1755" i="3" a="1"/>
  <c r="X1755" i="3" s="1"/>
  <c r="W1755" i="3" a="1"/>
  <c r="W1755" i="3" s="1"/>
  <c r="V1755" i="3" a="1"/>
  <c r="V1755" i="3" s="1"/>
  <c r="Y1754" i="3" a="1"/>
  <c r="Y1754" i="3" s="1"/>
  <c r="X1754" i="3" a="1"/>
  <c r="X1754" i="3" s="1"/>
  <c r="W1754" i="3" a="1"/>
  <c r="W1754" i="3" s="1"/>
  <c r="V1754" i="3" a="1"/>
  <c r="V1754" i="3" s="1"/>
  <c r="Y1753" i="3" a="1"/>
  <c r="Y1753" i="3" s="1"/>
  <c r="X1753" i="3" a="1"/>
  <c r="X1753" i="3" s="1"/>
  <c r="W1753" i="3" a="1"/>
  <c r="W1753" i="3" s="1"/>
  <c r="V1753" i="3" a="1"/>
  <c r="V1753" i="3" s="1"/>
  <c r="Y1752" i="3" a="1"/>
  <c r="Y1752" i="3" s="1"/>
  <c r="X1752" i="3" a="1"/>
  <c r="X1752" i="3" s="1"/>
  <c r="W1752" i="3" a="1"/>
  <c r="W1752" i="3" s="1"/>
  <c r="V1752" i="3" a="1"/>
  <c r="V1752" i="3" s="1"/>
  <c r="Y1751" i="3" a="1"/>
  <c r="Y1751" i="3" s="1"/>
  <c r="X1751" i="3" a="1"/>
  <c r="X1751" i="3" s="1"/>
  <c r="W1751" i="3" a="1"/>
  <c r="W1751" i="3" s="1"/>
  <c r="V1751" i="3" a="1"/>
  <c r="V1751" i="3" s="1"/>
  <c r="Y1750" i="3" a="1"/>
  <c r="Y1750" i="3" s="1"/>
  <c r="X1750" i="3" a="1"/>
  <c r="X1750" i="3" s="1"/>
  <c r="W1750" i="3" a="1"/>
  <c r="W1750" i="3" s="1"/>
  <c r="V1750" i="3" a="1"/>
  <c r="V1750" i="3" s="1"/>
  <c r="Y1749" i="3" a="1"/>
  <c r="Y1749" i="3" s="1"/>
  <c r="X1749" i="3" a="1"/>
  <c r="X1749" i="3" s="1"/>
  <c r="W1749" i="3" a="1"/>
  <c r="W1749" i="3" s="1"/>
  <c r="V1749" i="3" a="1"/>
  <c r="V1749" i="3" s="1"/>
  <c r="Y1748" i="3" a="1"/>
  <c r="Y1748" i="3" s="1"/>
  <c r="X1748" i="3" a="1"/>
  <c r="X1748" i="3" s="1"/>
  <c r="W1748" i="3" a="1"/>
  <c r="W1748" i="3" s="1"/>
  <c r="V1748" i="3" a="1"/>
  <c r="V1748" i="3" s="1"/>
  <c r="Y1747" i="3" a="1"/>
  <c r="Y1747" i="3" s="1"/>
  <c r="X1747" i="3" a="1"/>
  <c r="X1747" i="3" s="1"/>
  <c r="W1747" i="3" a="1"/>
  <c r="W1747" i="3" s="1"/>
  <c r="V1747" i="3" a="1"/>
  <c r="V1747" i="3" s="1"/>
  <c r="Y1746" i="3" a="1"/>
  <c r="Y1746" i="3" s="1"/>
  <c r="X1746" i="3" a="1"/>
  <c r="X1746" i="3" s="1"/>
  <c r="W1746" i="3" a="1"/>
  <c r="W1746" i="3" s="1"/>
  <c r="V1746" i="3" a="1"/>
  <c r="V1746" i="3" s="1"/>
  <c r="Y1745" i="3" a="1"/>
  <c r="Y1745" i="3" s="1"/>
  <c r="X1745" i="3" a="1"/>
  <c r="X1745" i="3" s="1"/>
  <c r="W1745" i="3" a="1"/>
  <c r="W1745" i="3" s="1"/>
  <c r="V1745" i="3" a="1"/>
  <c r="V1745" i="3" s="1"/>
  <c r="Y1744" i="3" a="1"/>
  <c r="Y1744" i="3" s="1"/>
  <c r="X1744" i="3" a="1"/>
  <c r="X1744" i="3" s="1"/>
  <c r="W1744" i="3" a="1"/>
  <c r="W1744" i="3" s="1"/>
  <c r="V1744" i="3" a="1"/>
  <c r="V1744" i="3" s="1"/>
  <c r="Y1743" i="3" a="1"/>
  <c r="Y1743" i="3" s="1"/>
  <c r="X1743" i="3" a="1"/>
  <c r="X1743" i="3" s="1"/>
  <c r="W1743" i="3" a="1"/>
  <c r="W1743" i="3" s="1"/>
  <c r="V1743" i="3" a="1"/>
  <c r="V1743" i="3" s="1"/>
  <c r="Y1742" i="3" a="1"/>
  <c r="Y1742" i="3" s="1"/>
  <c r="X1742" i="3" a="1"/>
  <c r="X1742" i="3" s="1"/>
  <c r="W1742" i="3" a="1"/>
  <c r="W1742" i="3" s="1"/>
  <c r="V1742" i="3" a="1"/>
  <c r="V1742" i="3" s="1"/>
  <c r="Y1741" i="3" a="1"/>
  <c r="Y1741" i="3" s="1"/>
  <c r="X1741" i="3" a="1"/>
  <c r="X1741" i="3" s="1"/>
  <c r="W1741" i="3" a="1"/>
  <c r="W1741" i="3" s="1"/>
  <c r="V1741" i="3" a="1"/>
  <c r="V1741" i="3" s="1"/>
  <c r="Y1740" i="3" a="1"/>
  <c r="Y1740" i="3" s="1"/>
  <c r="X1740" i="3" a="1"/>
  <c r="X1740" i="3" s="1"/>
  <c r="W1740" i="3" a="1"/>
  <c r="W1740" i="3" s="1"/>
  <c r="V1740" i="3" a="1"/>
  <c r="V1740" i="3" s="1"/>
  <c r="Y1739" i="3" a="1"/>
  <c r="Y1739" i="3" s="1"/>
  <c r="X1739" i="3" a="1"/>
  <c r="X1739" i="3" s="1"/>
  <c r="W1739" i="3" a="1"/>
  <c r="W1739" i="3" s="1"/>
  <c r="V1739" i="3" a="1"/>
  <c r="V1739" i="3" s="1"/>
  <c r="Y1738" i="3" a="1"/>
  <c r="Y1738" i="3" s="1"/>
  <c r="X1738" i="3" a="1"/>
  <c r="X1738" i="3" s="1"/>
  <c r="W1738" i="3" a="1"/>
  <c r="W1738" i="3" s="1"/>
  <c r="V1738" i="3" a="1"/>
  <c r="V1738" i="3" s="1"/>
  <c r="Y1737" i="3" a="1"/>
  <c r="Y1737" i="3" s="1"/>
  <c r="X1737" i="3" a="1"/>
  <c r="X1737" i="3" s="1"/>
  <c r="W1737" i="3" a="1"/>
  <c r="W1737" i="3" s="1"/>
  <c r="V1737" i="3" a="1"/>
  <c r="V1737" i="3" s="1"/>
  <c r="Y1736" i="3" a="1"/>
  <c r="Y1736" i="3" s="1"/>
  <c r="X1736" i="3" a="1"/>
  <c r="X1736" i="3" s="1"/>
  <c r="W1736" i="3" a="1"/>
  <c r="W1736" i="3" s="1"/>
  <c r="V1736" i="3" a="1"/>
  <c r="V1736" i="3" s="1"/>
  <c r="Y1735" i="3" a="1"/>
  <c r="Y1735" i="3" s="1"/>
  <c r="X1735" i="3" a="1"/>
  <c r="X1735" i="3" s="1"/>
  <c r="W1735" i="3" a="1"/>
  <c r="W1735" i="3" s="1"/>
  <c r="V1735" i="3" a="1"/>
  <c r="V1735" i="3" s="1"/>
  <c r="Y1734" i="3" a="1"/>
  <c r="Y1734" i="3" s="1"/>
  <c r="X1734" i="3" a="1"/>
  <c r="X1734" i="3" s="1"/>
  <c r="W1734" i="3" a="1"/>
  <c r="W1734" i="3" s="1"/>
  <c r="V1734" i="3" a="1"/>
  <c r="V1734" i="3" s="1"/>
  <c r="Y1733" i="3" a="1"/>
  <c r="Y1733" i="3" s="1"/>
  <c r="X1733" i="3" a="1"/>
  <c r="X1733" i="3" s="1"/>
  <c r="W1733" i="3" a="1"/>
  <c r="W1733" i="3" s="1"/>
  <c r="V1733" i="3" a="1"/>
  <c r="V1733" i="3" s="1"/>
  <c r="Y1732" i="3" a="1"/>
  <c r="Y1732" i="3" s="1"/>
  <c r="X1732" i="3" a="1"/>
  <c r="X1732" i="3" s="1"/>
  <c r="W1732" i="3" a="1"/>
  <c r="W1732" i="3" s="1"/>
  <c r="V1732" i="3" a="1"/>
  <c r="V1732" i="3" s="1"/>
  <c r="Y1731" i="3" a="1"/>
  <c r="Y1731" i="3" s="1"/>
  <c r="X1731" i="3" a="1"/>
  <c r="X1731" i="3" s="1"/>
  <c r="W1731" i="3" a="1"/>
  <c r="W1731" i="3" s="1"/>
  <c r="V1731" i="3" a="1"/>
  <c r="V1731" i="3" s="1"/>
  <c r="Y1730" i="3" a="1"/>
  <c r="Y1730" i="3" s="1"/>
  <c r="X1730" i="3" a="1"/>
  <c r="X1730" i="3" s="1"/>
  <c r="W1730" i="3" a="1"/>
  <c r="W1730" i="3" s="1"/>
  <c r="V1730" i="3" a="1"/>
  <c r="V1730" i="3" s="1"/>
  <c r="Y1729" i="3" a="1"/>
  <c r="Y1729" i="3" s="1"/>
  <c r="X1729" i="3" a="1"/>
  <c r="X1729" i="3" s="1"/>
  <c r="W1729" i="3" a="1"/>
  <c r="W1729" i="3" s="1"/>
  <c r="V1729" i="3" a="1"/>
  <c r="V1729" i="3" s="1"/>
  <c r="Y1728" i="3" a="1"/>
  <c r="Y1728" i="3" s="1"/>
  <c r="X1728" i="3" a="1"/>
  <c r="X1728" i="3" s="1"/>
  <c r="W1728" i="3" a="1"/>
  <c r="W1728" i="3" s="1"/>
  <c r="V1728" i="3" a="1"/>
  <c r="V1728" i="3" s="1"/>
  <c r="Y1727" i="3" a="1"/>
  <c r="Y1727" i="3" s="1"/>
  <c r="X1727" i="3" a="1"/>
  <c r="X1727" i="3" s="1"/>
  <c r="W1727" i="3" a="1"/>
  <c r="W1727" i="3" s="1"/>
  <c r="V1727" i="3" a="1"/>
  <c r="V1727" i="3" s="1"/>
  <c r="Y1726" i="3" a="1"/>
  <c r="Y1726" i="3" s="1"/>
  <c r="X1726" i="3" a="1"/>
  <c r="X1726" i="3" s="1"/>
  <c r="W1726" i="3" a="1"/>
  <c r="W1726" i="3" s="1"/>
  <c r="V1726" i="3" a="1"/>
  <c r="V1726" i="3" s="1"/>
  <c r="Y1725" i="3" a="1"/>
  <c r="Y1725" i="3" s="1"/>
  <c r="X1725" i="3" a="1"/>
  <c r="X1725" i="3" s="1"/>
  <c r="W1725" i="3" a="1"/>
  <c r="W1725" i="3" s="1"/>
  <c r="V1725" i="3" a="1"/>
  <c r="V1725" i="3" s="1"/>
  <c r="Y1724" i="3" a="1"/>
  <c r="Y1724" i="3" s="1"/>
  <c r="X1724" i="3" a="1"/>
  <c r="X1724" i="3" s="1"/>
  <c r="W1724" i="3" a="1"/>
  <c r="W1724" i="3" s="1"/>
  <c r="V1724" i="3" a="1"/>
  <c r="V1724" i="3" s="1"/>
  <c r="Y1723" i="3" a="1"/>
  <c r="Y1723" i="3" s="1"/>
  <c r="X1723" i="3" a="1"/>
  <c r="X1723" i="3" s="1"/>
  <c r="W1723" i="3" a="1"/>
  <c r="W1723" i="3" s="1"/>
  <c r="V1723" i="3" a="1"/>
  <c r="V1723" i="3" s="1"/>
  <c r="Y1722" i="3" a="1"/>
  <c r="Y1722" i="3" s="1"/>
  <c r="X1722" i="3" a="1"/>
  <c r="X1722" i="3" s="1"/>
  <c r="W1722" i="3" a="1"/>
  <c r="W1722" i="3" s="1"/>
  <c r="V1722" i="3" a="1"/>
  <c r="V1722" i="3" s="1"/>
  <c r="Y1721" i="3" a="1"/>
  <c r="Y1721" i="3" s="1"/>
  <c r="X1721" i="3" a="1"/>
  <c r="X1721" i="3" s="1"/>
  <c r="W1721" i="3" a="1"/>
  <c r="W1721" i="3" s="1"/>
  <c r="V1721" i="3" a="1"/>
  <c r="V1721" i="3" s="1"/>
  <c r="Y1720" i="3" a="1"/>
  <c r="Y1720" i="3" s="1"/>
  <c r="X1720" i="3" a="1"/>
  <c r="X1720" i="3" s="1"/>
  <c r="W1720" i="3" a="1"/>
  <c r="W1720" i="3" s="1"/>
  <c r="V1720" i="3" a="1"/>
  <c r="V1720" i="3" s="1"/>
  <c r="Y1719" i="3" a="1"/>
  <c r="Y1719" i="3" s="1"/>
  <c r="X1719" i="3" a="1"/>
  <c r="X1719" i="3" s="1"/>
  <c r="W1719" i="3" a="1"/>
  <c r="W1719" i="3" s="1"/>
  <c r="V1719" i="3" a="1"/>
  <c r="V1719" i="3" s="1"/>
  <c r="Y1718" i="3" a="1"/>
  <c r="Y1718" i="3" s="1"/>
  <c r="X1718" i="3" a="1"/>
  <c r="X1718" i="3" s="1"/>
  <c r="W1718" i="3" a="1"/>
  <c r="W1718" i="3" s="1"/>
  <c r="V1718" i="3" a="1"/>
  <c r="V1718" i="3" s="1"/>
  <c r="Y1717" i="3" a="1"/>
  <c r="Y1717" i="3" s="1"/>
  <c r="X1717" i="3" a="1"/>
  <c r="X1717" i="3" s="1"/>
  <c r="W1717" i="3" a="1"/>
  <c r="W1717" i="3" s="1"/>
  <c r="V1717" i="3" a="1"/>
  <c r="V1717" i="3" s="1"/>
  <c r="Y1716" i="3" a="1"/>
  <c r="Y1716" i="3" s="1"/>
  <c r="X1716" i="3" a="1"/>
  <c r="X1716" i="3" s="1"/>
  <c r="W1716" i="3" a="1"/>
  <c r="W1716" i="3" s="1"/>
  <c r="V1716" i="3" a="1"/>
  <c r="V1716" i="3" s="1"/>
  <c r="Y1715" i="3" a="1"/>
  <c r="Y1715" i="3" s="1"/>
  <c r="X1715" i="3" a="1"/>
  <c r="X1715" i="3" s="1"/>
  <c r="W1715" i="3" a="1"/>
  <c r="W1715" i="3" s="1"/>
  <c r="V1715" i="3" a="1"/>
  <c r="V1715" i="3" s="1"/>
  <c r="Y1714" i="3" a="1"/>
  <c r="Y1714" i="3" s="1"/>
  <c r="X1714" i="3" a="1"/>
  <c r="X1714" i="3" s="1"/>
  <c r="W1714" i="3" a="1"/>
  <c r="W1714" i="3" s="1"/>
  <c r="V1714" i="3" a="1"/>
  <c r="V1714" i="3" s="1"/>
  <c r="Y1713" i="3" a="1"/>
  <c r="Y1713" i="3" s="1"/>
  <c r="X1713" i="3" a="1"/>
  <c r="X1713" i="3" s="1"/>
  <c r="W1713" i="3" a="1"/>
  <c r="W1713" i="3" s="1"/>
  <c r="V1713" i="3" a="1"/>
  <c r="V1713" i="3" s="1"/>
  <c r="Y1712" i="3" a="1"/>
  <c r="Y1712" i="3" s="1"/>
  <c r="X1712" i="3" a="1"/>
  <c r="X1712" i="3" s="1"/>
  <c r="W1712" i="3" a="1"/>
  <c r="W1712" i="3" s="1"/>
  <c r="V1712" i="3" a="1"/>
  <c r="V1712" i="3" s="1"/>
  <c r="Y1711" i="3" a="1"/>
  <c r="Y1711" i="3" s="1"/>
  <c r="X1711" i="3" a="1"/>
  <c r="X1711" i="3" s="1"/>
  <c r="W1711" i="3" a="1"/>
  <c r="W1711" i="3" s="1"/>
  <c r="V1711" i="3" a="1"/>
  <c r="V1711" i="3" s="1"/>
  <c r="Y1710" i="3" a="1"/>
  <c r="Y1710" i="3" s="1"/>
  <c r="X1710" i="3" a="1"/>
  <c r="X1710" i="3" s="1"/>
  <c r="W1710" i="3" a="1"/>
  <c r="W1710" i="3" s="1"/>
  <c r="V1710" i="3" a="1"/>
  <c r="V1710" i="3" s="1"/>
  <c r="Y1709" i="3" a="1"/>
  <c r="Y1709" i="3" s="1"/>
  <c r="X1709" i="3" a="1"/>
  <c r="X1709" i="3" s="1"/>
  <c r="W1709" i="3" a="1"/>
  <c r="W1709" i="3" s="1"/>
  <c r="V1709" i="3" a="1"/>
  <c r="V1709" i="3" s="1"/>
  <c r="Y1708" i="3" a="1"/>
  <c r="Y1708" i="3" s="1"/>
  <c r="X1708" i="3" a="1"/>
  <c r="X1708" i="3" s="1"/>
  <c r="W1708" i="3" a="1"/>
  <c r="W1708" i="3" s="1"/>
  <c r="V1708" i="3" a="1"/>
  <c r="V1708" i="3" s="1"/>
  <c r="Y1707" i="3" a="1"/>
  <c r="Y1707" i="3" s="1"/>
  <c r="X1707" i="3" a="1"/>
  <c r="X1707" i="3" s="1"/>
  <c r="W1707" i="3" a="1"/>
  <c r="W1707" i="3" s="1"/>
  <c r="V1707" i="3" a="1"/>
  <c r="V1707" i="3" s="1"/>
  <c r="Y1706" i="3" a="1"/>
  <c r="Y1706" i="3" s="1"/>
  <c r="X1706" i="3" a="1"/>
  <c r="X1706" i="3" s="1"/>
  <c r="W1706" i="3" a="1"/>
  <c r="W1706" i="3" s="1"/>
  <c r="V1706" i="3" a="1"/>
  <c r="V1706" i="3" s="1"/>
  <c r="Y1705" i="3" a="1"/>
  <c r="Y1705" i="3" s="1"/>
  <c r="X1705" i="3" a="1"/>
  <c r="X1705" i="3" s="1"/>
  <c r="W1705" i="3" a="1"/>
  <c r="W1705" i="3" s="1"/>
  <c r="V1705" i="3" a="1"/>
  <c r="V1705" i="3" s="1"/>
  <c r="Y1704" i="3" a="1"/>
  <c r="Y1704" i="3" s="1"/>
  <c r="X1704" i="3" a="1"/>
  <c r="X1704" i="3" s="1"/>
  <c r="W1704" i="3" a="1"/>
  <c r="W1704" i="3" s="1"/>
  <c r="V1704" i="3" a="1"/>
  <c r="V1704" i="3" s="1"/>
  <c r="Y1703" i="3" a="1"/>
  <c r="Y1703" i="3" s="1"/>
  <c r="X1703" i="3" a="1"/>
  <c r="X1703" i="3" s="1"/>
  <c r="W1703" i="3" a="1"/>
  <c r="W1703" i="3" s="1"/>
  <c r="V1703" i="3" a="1"/>
  <c r="V1703" i="3" s="1"/>
  <c r="Y1702" i="3" a="1"/>
  <c r="Y1702" i="3" s="1"/>
  <c r="X1702" i="3" a="1"/>
  <c r="X1702" i="3" s="1"/>
  <c r="W1702" i="3" a="1"/>
  <c r="W1702" i="3" s="1"/>
  <c r="V1702" i="3" a="1"/>
  <c r="V1702" i="3" s="1"/>
  <c r="Y1701" i="3" a="1"/>
  <c r="Y1701" i="3" s="1"/>
  <c r="X1701" i="3" a="1"/>
  <c r="X1701" i="3" s="1"/>
  <c r="W1701" i="3" a="1"/>
  <c r="W1701" i="3" s="1"/>
  <c r="V1701" i="3" a="1"/>
  <c r="V1701" i="3" s="1"/>
  <c r="Y1700" i="3" a="1"/>
  <c r="Y1700" i="3" s="1"/>
  <c r="X1700" i="3" a="1"/>
  <c r="X1700" i="3" s="1"/>
  <c r="W1700" i="3" a="1"/>
  <c r="W1700" i="3" s="1"/>
  <c r="V1700" i="3" a="1"/>
  <c r="V1700" i="3" s="1"/>
  <c r="Y1699" i="3" a="1"/>
  <c r="Y1699" i="3" s="1"/>
  <c r="X1699" i="3" a="1"/>
  <c r="X1699" i="3" s="1"/>
  <c r="W1699" i="3" a="1"/>
  <c r="W1699" i="3" s="1"/>
  <c r="V1699" i="3" a="1"/>
  <c r="V1699" i="3" s="1"/>
  <c r="Y1698" i="3" a="1"/>
  <c r="Y1698" i="3" s="1"/>
  <c r="X1698" i="3" a="1"/>
  <c r="X1698" i="3" s="1"/>
  <c r="W1698" i="3" a="1"/>
  <c r="W1698" i="3" s="1"/>
  <c r="V1698" i="3" a="1"/>
  <c r="V1698" i="3" s="1"/>
  <c r="Y1697" i="3" a="1"/>
  <c r="Y1697" i="3" s="1"/>
  <c r="X1697" i="3" a="1"/>
  <c r="X1697" i="3" s="1"/>
  <c r="W1697" i="3" a="1"/>
  <c r="W1697" i="3" s="1"/>
  <c r="V1697" i="3" a="1"/>
  <c r="V1697" i="3" s="1"/>
  <c r="Y1696" i="3" a="1"/>
  <c r="Y1696" i="3" s="1"/>
  <c r="X1696" i="3" a="1"/>
  <c r="X1696" i="3" s="1"/>
  <c r="W1696" i="3" a="1"/>
  <c r="W1696" i="3" s="1"/>
  <c r="V1696" i="3" a="1"/>
  <c r="V1696" i="3" s="1"/>
  <c r="Y1695" i="3" a="1"/>
  <c r="Y1695" i="3" s="1"/>
  <c r="X1695" i="3" a="1"/>
  <c r="X1695" i="3" s="1"/>
  <c r="W1695" i="3" a="1"/>
  <c r="W1695" i="3" s="1"/>
  <c r="V1695" i="3" a="1"/>
  <c r="V1695" i="3" s="1"/>
  <c r="Y1694" i="3" a="1"/>
  <c r="Y1694" i="3" s="1"/>
  <c r="X1694" i="3" a="1"/>
  <c r="X1694" i="3" s="1"/>
  <c r="W1694" i="3" a="1"/>
  <c r="W1694" i="3" s="1"/>
  <c r="V1694" i="3" a="1"/>
  <c r="V1694" i="3" s="1"/>
  <c r="Y1693" i="3" a="1"/>
  <c r="Y1693" i="3" s="1"/>
  <c r="X1693" i="3" a="1"/>
  <c r="X1693" i="3" s="1"/>
  <c r="W1693" i="3" a="1"/>
  <c r="W1693" i="3" s="1"/>
  <c r="V1693" i="3" a="1"/>
  <c r="V1693" i="3" s="1"/>
  <c r="Y1692" i="3" a="1"/>
  <c r="Y1692" i="3" s="1"/>
  <c r="X1692" i="3" a="1"/>
  <c r="X1692" i="3" s="1"/>
  <c r="W1692" i="3" a="1"/>
  <c r="W1692" i="3" s="1"/>
  <c r="V1692" i="3" a="1"/>
  <c r="V1692" i="3" s="1"/>
  <c r="Y1691" i="3" a="1"/>
  <c r="Y1691" i="3" s="1"/>
  <c r="X1691" i="3" a="1"/>
  <c r="X1691" i="3" s="1"/>
  <c r="W1691" i="3" a="1"/>
  <c r="W1691" i="3" s="1"/>
  <c r="V1691" i="3" a="1"/>
  <c r="V1691" i="3" s="1"/>
  <c r="Y1690" i="3" a="1"/>
  <c r="Y1690" i="3" s="1"/>
  <c r="X1690" i="3" a="1"/>
  <c r="X1690" i="3" s="1"/>
  <c r="W1690" i="3" a="1"/>
  <c r="W1690" i="3" s="1"/>
  <c r="V1690" i="3" a="1"/>
  <c r="V1690" i="3" s="1"/>
  <c r="Y1689" i="3" a="1"/>
  <c r="Y1689" i="3" s="1"/>
  <c r="X1689" i="3" a="1"/>
  <c r="X1689" i="3" s="1"/>
  <c r="W1689" i="3" a="1"/>
  <c r="W1689" i="3" s="1"/>
  <c r="V1689" i="3" a="1"/>
  <c r="V1689" i="3" s="1"/>
  <c r="Y1688" i="3" a="1"/>
  <c r="Y1688" i="3" s="1"/>
  <c r="X1688" i="3" a="1"/>
  <c r="X1688" i="3" s="1"/>
  <c r="W1688" i="3" a="1"/>
  <c r="W1688" i="3" s="1"/>
  <c r="V1688" i="3" a="1"/>
  <c r="V1688" i="3" s="1"/>
  <c r="Y1687" i="3" a="1"/>
  <c r="Y1687" i="3" s="1"/>
  <c r="X1687" i="3" a="1"/>
  <c r="X1687" i="3" s="1"/>
  <c r="W1687" i="3" a="1"/>
  <c r="W1687" i="3" s="1"/>
  <c r="V1687" i="3" a="1"/>
  <c r="V1687" i="3" s="1"/>
  <c r="Y1686" i="3" a="1"/>
  <c r="Y1686" i="3" s="1"/>
  <c r="X1686" i="3" a="1"/>
  <c r="X1686" i="3" s="1"/>
  <c r="W1686" i="3" a="1"/>
  <c r="W1686" i="3" s="1"/>
  <c r="V1686" i="3" a="1"/>
  <c r="V1686" i="3" s="1"/>
  <c r="Y1685" i="3" a="1"/>
  <c r="Y1685" i="3" s="1"/>
  <c r="X1685" i="3" a="1"/>
  <c r="X1685" i="3" s="1"/>
  <c r="W1685" i="3" a="1"/>
  <c r="W1685" i="3" s="1"/>
  <c r="V1685" i="3" a="1"/>
  <c r="V1685" i="3" s="1"/>
  <c r="Y1684" i="3" a="1"/>
  <c r="Y1684" i="3" s="1"/>
  <c r="X1684" i="3" a="1"/>
  <c r="X1684" i="3" s="1"/>
  <c r="W1684" i="3" a="1"/>
  <c r="W1684" i="3" s="1"/>
  <c r="V1684" i="3" a="1"/>
  <c r="V1684" i="3" s="1"/>
  <c r="Y1683" i="3" a="1"/>
  <c r="Y1683" i="3" s="1"/>
  <c r="X1683" i="3" a="1"/>
  <c r="X1683" i="3" s="1"/>
  <c r="W1683" i="3" a="1"/>
  <c r="W1683" i="3" s="1"/>
  <c r="V1683" i="3" a="1"/>
  <c r="V1683" i="3" s="1"/>
  <c r="Y1682" i="3" a="1"/>
  <c r="Y1682" i="3" s="1"/>
  <c r="X1682" i="3" a="1"/>
  <c r="X1682" i="3" s="1"/>
  <c r="W1682" i="3" a="1"/>
  <c r="W1682" i="3" s="1"/>
  <c r="V1682" i="3" a="1"/>
  <c r="V1682" i="3" s="1"/>
  <c r="Y1681" i="3" a="1"/>
  <c r="Y1681" i="3" s="1"/>
  <c r="X1681" i="3" a="1"/>
  <c r="X1681" i="3" s="1"/>
  <c r="W1681" i="3" a="1"/>
  <c r="W1681" i="3" s="1"/>
  <c r="V1681" i="3" a="1"/>
  <c r="V1681" i="3" s="1"/>
  <c r="Y1680" i="3" a="1"/>
  <c r="Y1680" i="3" s="1"/>
  <c r="X1680" i="3" a="1"/>
  <c r="X1680" i="3" s="1"/>
  <c r="W1680" i="3" a="1"/>
  <c r="W1680" i="3" s="1"/>
  <c r="V1680" i="3" a="1"/>
  <c r="V1680" i="3" s="1"/>
  <c r="Y1679" i="3" a="1"/>
  <c r="Y1679" i="3" s="1"/>
  <c r="X1679" i="3" a="1"/>
  <c r="X1679" i="3" s="1"/>
  <c r="W1679" i="3" a="1"/>
  <c r="W1679" i="3" s="1"/>
  <c r="V1679" i="3" a="1"/>
  <c r="V1679" i="3" s="1"/>
  <c r="Y1678" i="3" a="1"/>
  <c r="Y1678" i="3" s="1"/>
  <c r="X1678" i="3" a="1"/>
  <c r="X1678" i="3" s="1"/>
  <c r="W1678" i="3" a="1"/>
  <c r="W1678" i="3" s="1"/>
  <c r="V1678" i="3" a="1"/>
  <c r="V1678" i="3" s="1"/>
  <c r="Y1677" i="3" a="1"/>
  <c r="Y1677" i="3" s="1"/>
  <c r="X1677" i="3" a="1"/>
  <c r="X1677" i="3" s="1"/>
  <c r="W1677" i="3" a="1"/>
  <c r="W1677" i="3" s="1"/>
  <c r="V1677" i="3" a="1"/>
  <c r="V1677" i="3" s="1"/>
  <c r="Y1676" i="3" a="1"/>
  <c r="Y1676" i="3" s="1"/>
  <c r="X1676" i="3" a="1"/>
  <c r="X1676" i="3" s="1"/>
  <c r="W1676" i="3" a="1"/>
  <c r="W1676" i="3" s="1"/>
  <c r="V1676" i="3" a="1"/>
  <c r="V1676" i="3" s="1"/>
  <c r="Y1675" i="3" a="1"/>
  <c r="Y1675" i="3" s="1"/>
  <c r="X1675" i="3" a="1"/>
  <c r="X1675" i="3" s="1"/>
  <c r="W1675" i="3" a="1"/>
  <c r="W1675" i="3" s="1"/>
  <c r="V1675" i="3" a="1"/>
  <c r="V1675" i="3" s="1"/>
  <c r="Y1674" i="3" a="1"/>
  <c r="Y1674" i="3" s="1"/>
  <c r="X1674" i="3" a="1"/>
  <c r="X1674" i="3" s="1"/>
  <c r="W1674" i="3" a="1"/>
  <c r="W1674" i="3" s="1"/>
  <c r="V1674" i="3" a="1"/>
  <c r="V1674" i="3" s="1"/>
  <c r="Y1673" i="3" a="1"/>
  <c r="Y1673" i="3" s="1"/>
  <c r="X1673" i="3" a="1"/>
  <c r="X1673" i="3" s="1"/>
  <c r="W1673" i="3" a="1"/>
  <c r="W1673" i="3" s="1"/>
  <c r="V1673" i="3" a="1"/>
  <c r="V1673" i="3" s="1"/>
  <c r="Y1672" i="3" a="1"/>
  <c r="Y1672" i="3" s="1"/>
  <c r="X1672" i="3" a="1"/>
  <c r="X1672" i="3" s="1"/>
  <c r="W1672" i="3" a="1"/>
  <c r="W1672" i="3" s="1"/>
  <c r="V1672" i="3" a="1"/>
  <c r="V1672" i="3" s="1"/>
  <c r="Y1671" i="3" a="1"/>
  <c r="Y1671" i="3" s="1"/>
  <c r="X1671" i="3" a="1"/>
  <c r="X1671" i="3" s="1"/>
  <c r="W1671" i="3" a="1"/>
  <c r="W1671" i="3" s="1"/>
  <c r="V1671" i="3" a="1"/>
  <c r="V1671" i="3" s="1"/>
  <c r="Y1670" i="3" a="1"/>
  <c r="Y1670" i="3" s="1"/>
  <c r="X1670" i="3" a="1"/>
  <c r="X1670" i="3" s="1"/>
  <c r="W1670" i="3" a="1"/>
  <c r="W1670" i="3" s="1"/>
  <c r="V1670" i="3" a="1"/>
  <c r="V1670" i="3" s="1"/>
  <c r="Y1669" i="3" a="1"/>
  <c r="Y1669" i="3" s="1"/>
  <c r="X1669" i="3" a="1"/>
  <c r="X1669" i="3" s="1"/>
  <c r="W1669" i="3" a="1"/>
  <c r="W1669" i="3" s="1"/>
  <c r="V1669" i="3" a="1"/>
  <c r="V1669" i="3" s="1"/>
  <c r="Y1668" i="3" a="1"/>
  <c r="Y1668" i="3" s="1"/>
  <c r="X1668" i="3" a="1"/>
  <c r="X1668" i="3" s="1"/>
  <c r="W1668" i="3" a="1"/>
  <c r="W1668" i="3" s="1"/>
  <c r="V1668" i="3" a="1"/>
  <c r="V1668" i="3" s="1"/>
  <c r="Y1667" i="3" a="1"/>
  <c r="Y1667" i="3" s="1"/>
  <c r="X1667" i="3" a="1"/>
  <c r="X1667" i="3" s="1"/>
  <c r="W1667" i="3" a="1"/>
  <c r="W1667" i="3" s="1"/>
  <c r="V1667" i="3" a="1"/>
  <c r="V1667" i="3" s="1"/>
  <c r="Y1666" i="3" a="1"/>
  <c r="Y1666" i="3" s="1"/>
  <c r="X1666" i="3" a="1"/>
  <c r="X1666" i="3" s="1"/>
  <c r="W1666" i="3" a="1"/>
  <c r="W1666" i="3" s="1"/>
  <c r="V1666" i="3" a="1"/>
  <c r="V1666" i="3" s="1"/>
  <c r="Y1665" i="3" a="1"/>
  <c r="Y1665" i="3" s="1"/>
  <c r="X1665" i="3" a="1"/>
  <c r="X1665" i="3" s="1"/>
  <c r="W1665" i="3" a="1"/>
  <c r="W1665" i="3" s="1"/>
  <c r="V1665" i="3" a="1"/>
  <c r="V1665" i="3" s="1"/>
  <c r="Y1664" i="3" a="1"/>
  <c r="Y1664" i="3" s="1"/>
  <c r="X1664" i="3" a="1"/>
  <c r="X1664" i="3" s="1"/>
  <c r="W1664" i="3" a="1"/>
  <c r="W1664" i="3" s="1"/>
  <c r="V1664" i="3" a="1"/>
  <c r="V1664" i="3" s="1"/>
  <c r="Y1663" i="3" a="1"/>
  <c r="Y1663" i="3" s="1"/>
  <c r="X1663" i="3" a="1"/>
  <c r="X1663" i="3" s="1"/>
  <c r="W1663" i="3" a="1"/>
  <c r="W1663" i="3" s="1"/>
  <c r="V1663" i="3" a="1"/>
  <c r="V1663" i="3" s="1"/>
  <c r="Y1662" i="3" a="1"/>
  <c r="Y1662" i="3" s="1"/>
  <c r="X1662" i="3" a="1"/>
  <c r="X1662" i="3" s="1"/>
  <c r="W1662" i="3" a="1"/>
  <c r="W1662" i="3" s="1"/>
  <c r="V1662" i="3" a="1"/>
  <c r="V1662" i="3" s="1"/>
  <c r="Y1661" i="3" a="1"/>
  <c r="Y1661" i="3" s="1"/>
  <c r="X1661" i="3" a="1"/>
  <c r="X1661" i="3" s="1"/>
  <c r="W1661" i="3" a="1"/>
  <c r="W1661" i="3" s="1"/>
  <c r="V1661" i="3" a="1"/>
  <c r="V1661" i="3" s="1"/>
  <c r="Y1660" i="3" a="1"/>
  <c r="Y1660" i="3" s="1"/>
  <c r="X1660" i="3" a="1"/>
  <c r="X1660" i="3" s="1"/>
  <c r="W1660" i="3" a="1"/>
  <c r="W1660" i="3" s="1"/>
  <c r="V1660" i="3" a="1"/>
  <c r="V1660" i="3" s="1"/>
  <c r="Y1659" i="3" a="1"/>
  <c r="Y1659" i="3" s="1"/>
  <c r="X1659" i="3" a="1"/>
  <c r="X1659" i="3" s="1"/>
  <c r="W1659" i="3" a="1"/>
  <c r="W1659" i="3" s="1"/>
  <c r="V1659" i="3" a="1"/>
  <c r="V1659" i="3" s="1"/>
  <c r="Y1658" i="3" a="1"/>
  <c r="Y1658" i="3" s="1"/>
  <c r="X1658" i="3" a="1"/>
  <c r="X1658" i="3" s="1"/>
  <c r="W1658" i="3" a="1"/>
  <c r="W1658" i="3" s="1"/>
  <c r="V1658" i="3" a="1"/>
  <c r="V1658" i="3" s="1"/>
  <c r="Y1657" i="3" a="1"/>
  <c r="Y1657" i="3" s="1"/>
  <c r="X1657" i="3" a="1"/>
  <c r="X1657" i="3" s="1"/>
  <c r="W1657" i="3" a="1"/>
  <c r="W1657" i="3" s="1"/>
  <c r="V1657" i="3" a="1"/>
  <c r="V1657" i="3" s="1"/>
  <c r="Y1656" i="3" a="1"/>
  <c r="Y1656" i="3" s="1"/>
  <c r="X1656" i="3" a="1"/>
  <c r="X1656" i="3" s="1"/>
  <c r="W1656" i="3" a="1"/>
  <c r="W1656" i="3" s="1"/>
  <c r="V1656" i="3" a="1"/>
  <c r="V1656" i="3" s="1"/>
  <c r="Y1655" i="3" a="1"/>
  <c r="Y1655" i="3" s="1"/>
  <c r="X1655" i="3" a="1"/>
  <c r="X1655" i="3" s="1"/>
  <c r="W1655" i="3" a="1"/>
  <c r="W1655" i="3" s="1"/>
  <c r="V1655" i="3" a="1"/>
  <c r="V1655" i="3" s="1"/>
  <c r="Y1654" i="3" a="1"/>
  <c r="Y1654" i="3" s="1"/>
  <c r="X1654" i="3" a="1"/>
  <c r="X1654" i="3" s="1"/>
  <c r="W1654" i="3" a="1"/>
  <c r="W1654" i="3" s="1"/>
  <c r="V1654" i="3" a="1"/>
  <c r="V1654" i="3" s="1"/>
  <c r="Y1653" i="3" a="1"/>
  <c r="Y1653" i="3" s="1"/>
  <c r="X1653" i="3" a="1"/>
  <c r="X1653" i="3" s="1"/>
  <c r="W1653" i="3" a="1"/>
  <c r="W1653" i="3" s="1"/>
  <c r="V1653" i="3" a="1"/>
  <c r="V1653" i="3" s="1"/>
  <c r="Y1652" i="3" a="1"/>
  <c r="Y1652" i="3" s="1"/>
  <c r="X1652" i="3" a="1"/>
  <c r="X1652" i="3" s="1"/>
  <c r="W1652" i="3" a="1"/>
  <c r="W1652" i="3" s="1"/>
  <c r="V1652" i="3" a="1"/>
  <c r="V1652" i="3" s="1"/>
  <c r="Y1651" i="3" a="1"/>
  <c r="Y1651" i="3" s="1"/>
  <c r="X1651" i="3" a="1"/>
  <c r="X1651" i="3" s="1"/>
  <c r="W1651" i="3" a="1"/>
  <c r="W1651" i="3" s="1"/>
  <c r="V1651" i="3" a="1"/>
  <c r="V1651" i="3" s="1"/>
  <c r="Y1650" i="3" a="1"/>
  <c r="Y1650" i="3" s="1"/>
  <c r="X1650" i="3" a="1"/>
  <c r="X1650" i="3" s="1"/>
  <c r="W1650" i="3" a="1"/>
  <c r="W1650" i="3" s="1"/>
  <c r="V1650" i="3" a="1"/>
  <c r="V1650" i="3" s="1"/>
  <c r="Y1649" i="3" a="1"/>
  <c r="Y1649" i="3" s="1"/>
  <c r="X1649" i="3" a="1"/>
  <c r="X1649" i="3" s="1"/>
  <c r="W1649" i="3" a="1"/>
  <c r="W1649" i="3" s="1"/>
  <c r="V1649" i="3" a="1"/>
  <c r="V1649" i="3" s="1"/>
  <c r="Y1648" i="3" a="1"/>
  <c r="Y1648" i="3" s="1"/>
  <c r="X1648" i="3" a="1"/>
  <c r="X1648" i="3" s="1"/>
  <c r="W1648" i="3" a="1"/>
  <c r="W1648" i="3" s="1"/>
  <c r="V1648" i="3" a="1"/>
  <c r="V1648" i="3" s="1"/>
  <c r="Y1647" i="3" a="1"/>
  <c r="Y1647" i="3" s="1"/>
  <c r="X1647" i="3" a="1"/>
  <c r="X1647" i="3" s="1"/>
  <c r="W1647" i="3" a="1"/>
  <c r="W1647" i="3" s="1"/>
  <c r="V1647" i="3" a="1"/>
  <c r="V1647" i="3" s="1"/>
  <c r="Y1646" i="3" a="1"/>
  <c r="Y1646" i="3" s="1"/>
  <c r="X1646" i="3" a="1"/>
  <c r="X1646" i="3" s="1"/>
  <c r="W1646" i="3" a="1"/>
  <c r="W1646" i="3" s="1"/>
  <c r="V1646" i="3" a="1"/>
  <c r="V1646" i="3" s="1"/>
  <c r="Y1645" i="3" a="1"/>
  <c r="Y1645" i="3" s="1"/>
  <c r="X1645" i="3" a="1"/>
  <c r="X1645" i="3" s="1"/>
  <c r="W1645" i="3" a="1"/>
  <c r="W1645" i="3" s="1"/>
  <c r="V1645" i="3" a="1"/>
  <c r="V1645" i="3" s="1"/>
  <c r="Y1644" i="3" a="1"/>
  <c r="Y1644" i="3" s="1"/>
  <c r="X1644" i="3" a="1"/>
  <c r="X1644" i="3" s="1"/>
  <c r="W1644" i="3" a="1"/>
  <c r="W1644" i="3" s="1"/>
  <c r="V1644" i="3" a="1"/>
  <c r="V1644" i="3" s="1"/>
  <c r="Y1643" i="3" a="1"/>
  <c r="Y1643" i="3" s="1"/>
  <c r="X1643" i="3" a="1"/>
  <c r="X1643" i="3" s="1"/>
  <c r="W1643" i="3" a="1"/>
  <c r="W1643" i="3" s="1"/>
  <c r="V1643" i="3" a="1"/>
  <c r="V1643" i="3" s="1"/>
  <c r="Y1642" i="3" a="1"/>
  <c r="Y1642" i="3" s="1"/>
  <c r="X1642" i="3" a="1"/>
  <c r="X1642" i="3" s="1"/>
  <c r="W1642" i="3" a="1"/>
  <c r="W1642" i="3" s="1"/>
  <c r="V1642" i="3" a="1"/>
  <c r="V1642" i="3" s="1"/>
  <c r="Y1641" i="3" a="1"/>
  <c r="Y1641" i="3" s="1"/>
  <c r="X1641" i="3" a="1"/>
  <c r="X1641" i="3" s="1"/>
  <c r="W1641" i="3" a="1"/>
  <c r="W1641" i="3" s="1"/>
  <c r="V1641" i="3" a="1"/>
  <c r="V1641" i="3" s="1"/>
  <c r="Y1640" i="3" a="1"/>
  <c r="Y1640" i="3" s="1"/>
  <c r="X1640" i="3" a="1"/>
  <c r="X1640" i="3" s="1"/>
  <c r="W1640" i="3" a="1"/>
  <c r="W1640" i="3" s="1"/>
  <c r="V1640" i="3" a="1"/>
  <c r="V1640" i="3" s="1"/>
  <c r="Y1639" i="3" a="1"/>
  <c r="Y1639" i="3" s="1"/>
  <c r="X1639" i="3" a="1"/>
  <c r="X1639" i="3" s="1"/>
  <c r="W1639" i="3" a="1"/>
  <c r="W1639" i="3" s="1"/>
  <c r="V1639" i="3" a="1"/>
  <c r="V1639" i="3" s="1"/>
  <c r="Y1638" i="3" a="1"/>
  <c r="Y1638" i="3" s="1"/>
  <c r="X1638" i="3" a="1"/>
  <c r="X1638" i="3" s="1"/>
  <c r="W1638" i="3" a="1"/>
  <c r="W1638" i="3" s="1"/>
  <c r="V1638" i="3" a="1"/>
  <c r="V1638" i="3" s="1"/>
  <c r="Y1637" i="3" a="1"/>
  <c r="Y1637" i="3" s="1"/>
  <c r="X1637" i="3" a="1"/>
  <c r="X1637" i="3" s="1"/>
  <c r="W1637" i="3" a="1"/>
  <c r="W1637" i="3" s="1"/>
  <c r="V1637" i="3" a="1"/>
  <c r="V1637" i="3" s="1"/>
  <c r="Y1636" i="3" a="1"/>
  <c r="Y1636" i="3" s="1"/>
  <c r="X1636" i="3" a="1"/>
  <c r="X1636" i="3" s="1"/>
  <c r="W1636" i="3" a="1"/>
  <c r="W1636" i="3" s="1"/>
  <c r="V1636" i="3" a="1"/>
  <c r="V1636" i="3" s="1"/>
  <c r="Y1635" i="3" a="1"/>
  <c r="Y1635" i="3" s="1"/>
  <c r="X1635" i="3" a="1"/>
  <c r="X1635" i="3" s="1"/>
  <c r="W1635" i="3" a="1"/>
  <c r="W1635" i="3" s="1"/>
  <c r="V1635" i="3" a="1"/>
  <c r="V1635" i="3" s="1"/>
  <c r="Y1634" i="3" a="1"/>
  <c r="Y1634" i="3" s="1"/>
  <c r="X1634" i="3" a="1"/>
  <c r="X1634" i="3" s="1"/>
  <c r="W1634" i="3" a="1"/>
  <c r="W1634" i="3" s="1"/>
  <c r="V1634" i="3" a="1"/>
  <c r="V1634" i="3" s="1"/>
  <c r="Y1633" i="3" a="1"/>
  <c r="Y1633" i="3" s="1"/>
  <c r="X1633" i="3" a="1"/>
  <c r="X1633" i="3" s="1"/>
  <c r="W1633" i="3" a="1"/>
  <c r="W1633" i="3" s="1"/>
  <c r="V1633" i="3" a="1"/>
  <c r="V1633" i="3" s="1"/>
  <c r="Y1632" i="3" a="1"/>
  <c r="Y1632" i="3" s="1"/>
  <c r="X1632" i="3" a="1"/>
  <c r="X1632" i="3" s="1"/>
  <c r="W1632" i="3" a="1"/>
  <c r="W1632" i="3" s="1"/>
  <c r="V1632" i="3" a="1"/>
  <c r="V1632" i="3" s="1"/>
  <c r="Y1631" i="3" a="1"/>
  <c r="Y1631" i="3" s="1"/>
  <c r="X1631" i="3" a="1"/>
  <c r="X1631" i="3" s="1"/>
  <c r="W1631" i="3" a="1"/>
  <c r="W1631" i="3" s="1"/>
  <c r="V1631" i="3" a="1"/>
  <c r="V1631" i="3" s="1"/>
  <c r="Y1630" i="3" a="1"/>
  <c r="Y1630" i="3" s="1"/>
  <c r="X1630" i="3" a="1"/>
  <c r="X1630" i="3" s="1"/>
  <c r="W1630" i="3" a="1"/>
  <c r="W1630" i="3" s="1"/>
  <c r="V1630" i="3" a="1"/>
  <c r="V1630" i="3" s="1"/>
  <c r="Y1629" i="3" a="1"/>
  <c r="Y1629" i="3" s="1"/>
  <c r="X1629" i="3" a="1"/>
  <c r="X1629" i="3" s="1"/>
  <c r="W1629" i="3" a="1"/>
  <c r="W1629" i="3" s="1"/>
  <c r="V1629" i="3" a="1"/>
  <c r="V1629" i="3" s="1"/>
  <c r="Y1628" i="3" a="1"/>
  <c r="Y1628" i="3" s="1"/>
  <c r="X1628" i="3" a="1"/>
  <c r="X1628" i="3" s="1"/>
  <c r="W1628" i="3" a="1"/>
  <c r="W1628" i="3" s="1"/>
  <c r="V1628" i="3" a="1"/>
  <c r="V1628" i="3" s="1"/>
  <c r="Y1627" i="3" a="1"/>
  <c r="Y1627" i="3" s="1"/>
  <c r="X1627" i="3" a="1"/>
  <c r="X1627" i="3" s="1"/>
  <c r="W1627" i="3" a="1"/>
  <c r="W1627" i="3" s="1"/>
  <c r="V1627" i="3" a="1"/>
  <c r="V1627" i="3" s="1"/>
  <c r="Y1626" i="3" a="1"/>
  <c r="Y1626" i="3" s="1"/>
  <c r="X1626" i="3" a="1"/>
  <c r="X1626" i="3" s="1"/>
  <c r="W1626" i="3" a="1"/>
  <c r="W1626" i="3" s="1"/>
  <c r="V1626" i="3" a="1"/>
  <c r="V1626" i="3" s="1"/>
  <c r="Y1625" i="3" a="1"/>
  <c r="Y1625" i="3" s="1"/>
  <c r="X1625" i="3" a="1"/>
  <c r="X1625" i="3" s="1"/>
  <c r="W1625" i="3" a="1"/>
  <c r="W1625" i="3" s="1"/>
  <c r="V1625" i="3" a="1"/>
  <c r="V1625" i="3" s="1"/>
  <c r="Y1624" i="3" a="1"/>
  <c r="Y1624" i="3" s="1"/>
  <c r="X1624" i="3" a="1"/>
  <c r="X1624" i="3" s="1"/>
  <c r="W1624" i="3" a="1"/>
  <c r="W1624" i="3" s="1"/>
  <c r="V1624" i="3" a="1"/>
  <c r="V1624" i="3" s="1"/>
  <c r="Y1623" i="3" a="1"/>
  <c r="Y1623" i="3" s="1"/>
  <c r="X1623" i="3" a="1"/>
  <c r="X1623" i="3" s="1"/>
  <c r="W1623" i="3" a="1"/>
  <c r="W1623" i="3" s="1"/>
  <c r="V1623" i="3" a="1"/>
  <c r="V1623" i="3" s="1"/>
  <c r="Y1622" i="3" a="1"/>
  <c r="Y1622" i="3" s="1"/>
  <c r="X1622" i="3" a="1"/>
  <c r="X1622" i="3" s="1"/>
  <c r="W1622" i="3" a="1"/>
  <c r="W1622" i="3" s="1"/>
  <c r="V1622" i="3" a="1"/>
  <c r="V1622" i="3" s="1"/>
  <c r="Y1621" i="3" a="1"/>
  <c r="Y1621" i="3" s="1"/>
  <c r="X1621" i="3" a="1"/>
  <c r="X1621" i="3" s="1"/>
  <c r="W1621" i="3" a="1"/>
  <c r="W1621" i="3" s="1"/>
  <c r="V1621" i="3" a="1"/>
  <c r="V1621" i="3" s="1"/>
  <c r="Y1620" i="3" a="1"/>
  <c r="Y1620" i="3" s="1"/>
  <c r="X1620" i="3" a="1"/>
  <c r="X1620" i="3" s="1"/>
  <c r="W1620" i="3" a="1"/>
  <c r="W1620" i="3" s="1"/>
  <c r="V1620" i="3" a="1"/>
  <c r="V1620" i="3" s="1"/>
  <c r="Y1619" i="3" a="1"/>
  <c r="Y1619" i="3" s="1"/>
  <c r="X1619" i="3" a="1"/>
  <c r="X1619" i="3" s="1"/>
  <c r="W1619" i="3" a="1"/>
  <c r="W1619" i="3" s="1"/>
  <c r="V1619" i="3" a="1"/>
  <c r="V1619" i="3" s="1"/>
  <c r="Y1618" i="3" a="1"/>
  <c r="Y1618" i="3" s="1"/>
  <c r="X1618" i="3" a="1"/>
  <c r="X1618" i="3" s="1"/>
  <c r="W1618" i="3" a="1"/>
  <c r="W1618" i="3" s="1"/>
  <c r="V1618" i="3" a="1"/>
  <c r="V1618" i="3" s="1"/>
  <c r="Y1617" i="3" a="1"/>
  <c r="Y1617" i="3" s="1"/>
  <c r="X1617" i="3" a="1"/>
  <c r="X1617" i="3" s="1"/>
  <c r="W1617" i="3" a="1"/>
  <c r="W1617" i="3" s="1"/>
  <c r="V1617" i="3" a="1"/>
  <c r="V1617" i="3" s="1"/>
  <c r="Y1616" i="3" a="1"/>
  <c r="Y1616" i="3" s="1"/>
  <c r="X1616" i="3" a="1"/>
  <c r="X1616" i="3" s="1"/>
  <c r="W1616" i="3" a="1"/>
  <c r="W1616" i="3" s="1"/>
  <c r="V1616" i="3" a="1"/>
  <c r="V1616" i="3" s="1"/>
  <c r="Y1615" i="3" a="1"/>
  <c r="Y1615" i="3" s="1"/>
  <c r="X1615" i="3" a="1"/>
  <c r="X1615" i="3" s="1"/>
  <c r="W1615" i="3" a="1"/>
  <c r="W1615" i="3" s="1"/>
  <c r="V1615" i="3" a="1"/>
  <c r="V1615" i="3" s="1"/>
  <c r="Y1614" i="3" a="1"/>
  <c r="Y1614" i="3" s="1"/>
  <c r="X1614" i="3" a="1"/>
  <c r="X1614" i="3" s="1"/>
  <c r="W1614" i="3" a="1"/>
  <c r="W1614" i="3" s="1"/>
  <c r="V1614" i="3" a="1"/>
  <c r="V1614" i="3" s="1"/>
  <c r="Y1613" i="3" a="1"/>
  <c r="Y1613" i="3" s="1"/>
  <c r="X1613" i="3" a="1"/>
  <c r="X1613" i="3" s="1"/>
  <c r="W1613" i="3" a="1"/>
  <c r="W1613" i="3" s="1"/>
  <c r="V1613" i="3" a="1"/>
  <c r="V1613" i="3" s="1"/>
  <c r="Y1612" i="3" a="1"/>
  <c r="Y1612" i="3" s="1"/>
  <c r="X1612" i="3" a="1"/>
  <c r="X1612" i="3" s="1"/>
  <c r="W1612" i="3" a="1"/>
  <c r="W1612" i="3" s="1"/>
  <c r="V1612" i="3" a="1"/>
  <c r="V1612" i="3" s="1"/>
  <c r="Y1611" i="3" a="1"/>
  <c r="Y1611" i="3" s="1"/>
  <c r="X1611" i="3" a="1"/>
  <c r="X1611" i="3" s="1"/>
  <c r="W1611" i="3" a="1"/>
  <c r="W1611" i="3" s="1"/>
  <c r="V1611" i="3" a="1"/>
  <c r="V1611" i="3" s="1"/>
  <c r="Y1610" i="3" a="1"/>
  <c r="Y1610" i="3" s="1"/>
  <c r="X1610" i="3" a="1"/>
  <c r="X1610" i="3" s="1"/>
  <c r="W1610" i="3" a="1"/>
  <c r="W1610" i="3" s="1"/>
  <c r="V1610" i="3" a="1"/>
  <c r="V1610" i="3" s="1"/>
  <c r="Y1609" i="3" a="1"/>
  <c r="Y1609" i="3" s="1"/>
  <c r="X1609" i="3" a="1"/>
  <c r="X1609" i="3" s="1"/>
  <c r="W1609" i="3" a="1"/>
  <c r="W1609" i="3" s="1"/>
  <c r="V1609" i="3" a="1"/>
  <c r="V1609" i="3" s="1"/>
  <c r="Y1608" i="3" a="1"/>
  <c r="Y1608" i="3" s="1"/>
  <c r="X1608" i="3" a="1"/>
  <c r="X1608" i="3" s="1"/>
  <c r="W1608" i="3" a="1"/>
  <c r="W1608" i="3" s="1"/>
  <c r="V1608" i="3" a="1"/>
  <c r="V1608" i="3" s="1"/>
  <c r="Y1607" i="3" a="1"/>
  <c r="Y1607" i="3" s="1"/>
  <c r="X1607" i="3" a="1"/>
  <c r="X1607" i="3" s="1"/>
  <c r="W1607" i="3" a="1"/>
  <c r="W1607" i="3" s="1"/>
  <c r="V1607" i="3" a="1"/>
  <c r="V1607" i="3" s="1"/>
  <c r="Y1606" i="3" a="1"/>
  <c r="Y1606" i="3" s="1"/>
  <c r="X1606" i="3" a="1"/>
  <c r="X1606" i="3" s="1"/>
  <c r="W1606" i="3" a="1"/>
  <c r="W1606" i="3" s="1"/>
  <c r="V1606" i="3" a="1"/>
  <c r="V1606" i="3" s="1"/>
  <c r="Y1605" i="3" a="1"/>
  <c r="Y1605" i="3" s="1"/>
  <c r="X1605" i="3" a="1"/>
  <c r="X1605" i="3" s="1"/>
  <c r="W1605" i="3" a="1"/>
  <c r="W1605" i="3" s="1"/>
  <c r="V1605" i="3" a="1"/>
  <c r="V1605" i="3" s="1"/>
  <c r="Y1604" i="3" a="1"/>
  <c r="Y1604" i="3" s="1"/>
  <c r="X1604" i="3" a="1"/>
  <c r="X1604" i="3" s="1"/>
  <c r="W1604" i="3" a="1"/>
  <c r="W1604" i="3" s="1"/>
  <c r="V1604" i="3" a="1"/>
  <c r="V1604" i="3" s="1"/>
  <c r="Y1603" i="3" a="1"/>
  <c r="Y1603" i="3" s="1"/>
  <c r="X1603" i="3" a="1"/>
  <c r="X1603" i="3" s="1"/>
  <c r="W1603" i="3" a="1"/>
  <c r="W1603" i="3" s="1"/>
  <c r="V1603" i="3" a="1"/>
  <c r="V1603" i="3" s="1"/>
  <c r="Y1602" i="3" a="1"/>
  <c r="Y1602" i="3" s="1"/>
  <c r="X1602" i="3" a="1"/>
  <c r="X1602" i="3" s="1"/>
  <c r="W1602" i="3" a="1"/>
  <c r="W1602" i="3" s="1"/>
  <c r="V1602" i="3" a="1"/>
  <c r="V1602" i="3" s="1"/>
  <c r="Y1601" i="3" a="1"/>
  <c r="Y1601" i="3" s="1"/>
  <c r="X1601" i="3" a="1"/>
  <c r="X1601" i="3" s="1"/>
  <c r="W1601" i="3" a="1"/>
  <c r="W1601" i="3" s="1"/>
  <c r="V1601" i="3" a="1"/>
  <c r="V1601" i="3" s="1"/>
  <c r="Y1600" i="3" a="1"/>
  <c r="Y1600" i="3" s="1"/>
  <c r="X1600" i="3" a="1"/>
  <c r="X1600" i="3" s="1"/>
  <c r="W1600" i="3" a="1"/>
  <c r="W1600" i="3" s="1"/>
  <c r="V1600" i="3" a="1"/>
  <c r="V1600" i="3" s="1"/>
  <c r="Y1599" i="3" a="1"/>
  <c r="Y1599" i="3" s="1"/>
  <c r="X1599" i="3" a="1"/>
  <c r="X1599" i="3" s="1"/>
  <c r="W1599" i="3" a="1"/>
  <c r="W1599" i="3" s="1"/>
  <c r="V1599" i="3" a="1"/>
  <c r="V1599" i="3" s="1"/>
  <c r="Y1598" i="3" a="1"/>
  <c r="Y1598" i="3" s="1"/>
  <c r="X1598" i="3" a="1"/>
  <c r="X1598" i="3" s="1"/>
  <c r="W1598" i="3" a="1"/>
  <c r="W1598" i="3" s="1"/>
  <c r="V1598" i="3" a="1"/>
  <c r="V1598" i="3" s="1"/>
  <c r="Y1597" i="3" a="1"/>
  <c r="Y1597" i="3" s="1"/>
  <c r="X1597" i="3" a="1"/>
  <c r="X1597" i="3" s="1"/>
  <c r="W1597" i="3" a="1"/>
  <c r="W1597" i="3" s="1"/>
  <c r="V1597" i="3" a="1"/>
  <c r="V1597" i="3" s="1"/>
  <c r="Y1596" i="3" a="1"/>
  <c r="Y1596" i="3" s="1"/>
  <c r="X1596" i="3" a="1"/>
  <c r="X1596" i="3" s="1"/>
  <c r="W1596" i="3" a="1"/>
  <c r="W1596" i="3" s="1"/>
  <c r="V1596" i="3" a="1"/>
  <c r="V1596" i="3" s="1"/>
  <c r="Y1595" i="3" a="1"/>
  <c r="Y1595" i="3" s="1"/>
  <c r="X1595" i="3" a="1"/>
  <c r="X1595" i="3" s="1"/>
  <c r="W1595" i="3" a="1"/>
  <c r="W1595" i="3" s="1"/>
  <c r="V1595" i="3" a="1"/>
  <c r="V1595" i="3" s="1"/>
  <c r="Y1594" i="3" a="1"/>
  <c r="Y1594" i="3" s="1"/>
  <c r="X1594" i="3" a="1"/>
  <c r="X1594" i="3" s="1"/>
  <c r="W1594" i="3" a="1"/>
  <c r="W1594" i="3" s="1"/>
  <c r="V1594" i="3" a="1"/>
  <c r="V1594" i="3" s="1"/>
  <c r="Y1593" i="3" a="1"/>
  <c r="Y1593" i="3" s="1"/>
  <c r="X1593" i="3" a="1"/>
  <c r="X1593" i="3" s="1"/>
  <c r="W1593" i="3" a="1"/>
  <c r="W1593" i="3" s="1"/>
  <c r="V1593" i="3" a="1"/>
  <c r="V1593" i="3" s="1"/>
  <c r="Y1592" i="3" a="1"/>
  <c r="Y1592" i="3" s="1"/>
  <c r="X1592" i="3" a="1"/>
  <c r="X1592" i="3" s="1"/>
  <c r="W1592" i="3" a="1"/>
  <c r="W1592" i="3" s="1"/>
  <c r="V1592" i="3" a="1"/>
  <c r="V1592" i="3" s="1"/>
  <c r="Y1591" i="3" a="1"/>
  <c r="Y1591" i="3" s="1"/>
  <c r="X1591" i="3" a="1"/>
  <c r="X1591" i="3" s="1"/>
  <c r="W1591" i="3" a="1"/>
  <c r="W1591" i="3" s="1"/>
  <c r="V1591" i="3" a="1"/>
  <c r="V1591" i="3" s="1"/>
  <c r="Y1590" i="3" a="1"/>
  <c r="Y1590" i="3" s="1"/>
  <c r="X1590" i="3" a="1"/>
  <c r="X1590" i="3" s="1"/>
  <c r="W1590" i="3" a="1"/>
  <c r="W1590" i="3" s="1"/>
  <c r="V1590" i="3" a="1"/>
  <c r="V1590" i="3" s="1"/>
  <c r="Y1589" i="3" a="1"/>
  <c r="Y1589" i="3" s="1"/>
  <c r="X1589" i="3" a="1"/>
  <c r="X1589" i="3" s="1"/>
  <c r="W1589" i="3" a="1"/>
  <c r="W1589" i="3" s="1"/>
  <c r="V1589" i="3" a="1"/>
  <c r="V1589" i="3" s="1"/>
  <c r="Y1588" i="3" a="1"/>
  <c r="Y1588" i="3" s="1"/>
  <c r="X1588" i="3" a="1"/>
  <c r="X1588" i="3" s="1"/>
  <c r="W1588" i="3" a="1"/>
  <c r="W1588" i="3" s="1"/>
  <c r="V1588" i="3" a="1"/>
  <c r="V1588" i="3" s="1"/>
  <c r="Y1587" i="3" a="1"/>
  <c r="Y1587" i="3" s="1"/>
  <c r="X1587" i="3" a="1"/>
  <c r="X1587" i="3" s="1"/>
  <c r="W1587" i="3" a="1"/>
  <c r="W1587" i="3" s="1"/>
  <c r="V1587" i="3" a="1"/>
  <c r="V1587" i="3" s="1"/>
  <c r="Y1586" i="3" a="1"/>
  <c r="Y1586" i="3" s="1"/>
  <c r="X1586" i="3" a="1"/>
  <c r="X1586" i="3" s="1"/>
  <c r="W1586" i="3" a="1"/>
  <c r="W1586" i="3" s="1"/>
  <c r="V1586" i="3" a="1"/>
  <c r="V1586" i="3" s="1"/>
  <c r="Y1585" i="3" a="1"/>
  <c r="Y1585" i="3" s="1"/>
  <c r="X1585" i="3" a="1"/>
  <c r="X1585" i="3" s="1"/>
  <c r="W1585" i="3" a="1"/>
  <c r="W1585" i="3" s="1"/>
  <c r="V1585" i="3" a="1"/>
  <c r="V1585" i="3" s="1"/>
  <c r="Y1584" i="3" a="1"/>
  <c r="Y1584" i="3" s="1"/>
  <c r="X1584" i="3" a="1"/>
  <c r="X1584" i="3" s="1"/>
  <c r="W1584" i="3" a="1"/>
  <c r="W1584" i="3" s="1"/>
  <c r="V1584" i="3" a="1"/>
  <c r="V1584" i="3" s="1"/>
  <c r="Y1583" i="3" a="1"/>
  <c r="Y1583" i="3" s="1"/>
  <c r="X1583" i="3" a="1"/>
  <c r="X1583" i="3" s="1"/>
  <c r="W1583" i="3" a="1"/>
  <c r="W1583" i="3" s="1"/>
  <c r="V1583" i="3" a="1"/>
  <c r="V1583" i="3" s="1"/>
  <c r="Y1582" i="3" a="1"/>
  <c r="Y1582" i="3" s="1"/>
  <c r="X1582" i="3" a="1"/>
  <c r="X1582" i="3" s="1"/>
  <c r="W1582" i="3" a="1"/>
  <c r="W1582" i="3" s="1"/>
  <c r="V1582" i="3" a="1"/>
  <c r="V1582" i="3" s="1"/>
  <c r="Y1581" i="3" a="1"/>
  <c r="Y1581" i="3" s="1"/>
  <c r="X1581" i="3" a="1"/>
  <c r="X1581" i="3" s="1"/>
  <c r="W1581" i="3" a="1"/>
  <c r="W1581" i="3" s="1"/>
  <c r="V1581" i="3" a="1"/>
  <c r="V1581" i="3" s="1"/>
  <c r="Y1580" i="3" a="1"/>
  <c r="Y1580" i="3" s="1"/>
  <c r="X1580" i="3" a="1"/>
  <c r="X1580" i="3" s="1"/>
  <c r="W1580" i="3" a="1"/>
  <c r="W1580" i="3" s="1"/>
  <c r="V1580" i="3" a="1"/>
  <c r="V1580" i="3" s="1"/>
  <c r="Y1579" i="3" a="1"/>
  <c r="Y1579" i="3" s="1"/>
  <c r="X1579" i="3" a="1"/>
  <c r="X1579" i="3" s="1"/>
  <c r="W1579" i="3" a="1"/>
  <c r="W1579" i="3" s="1"/>
  <c r="V1579" i="3" a="1"/>
  <c r="V1579" i="3" s="1"/>
  <c r="Y1578" i="3" a="1"/>
  <c r="Y1578" i="3" s="1"/>
  <c r="X1578" i="3" a="1"/>
  <c r="X1578" i="3" s="1"/>
  <c r="W1578" i="3" a="1"/>
  <c r="W1578" i="3" s="1"/>
  <c r="V1578" i="3" a="1"/>
  <c r="V1578" i="3" s="1"/>
  <c r="Y1577" i="3" a="1"/>
  <c r="Y1577" i="3" s="1"/>
  <c r="X1577" i="3" a="1"/>
  <c r="X1577" i="3" s="1"/>
  <c r="W1577" i="3" a="1"/>
  <c r="W1577" i="3" s="1"/>
  <c r="V1577" i="3" a="1"/>
  <c r="V1577" i="3" s="1"/>
  <c r="Y1576" i="3" a="1"/>
  <c r="Y1576" i="3" s="1"/>
  <c r="X1576" i="3" a="1"/>
  <c r="X1576" i="3" s="1"/>
  <c r="W1576" i="3" a="1"/>
  <c r="W1576" i="3" s="1"/>
  <c r="V1576" i="3" a="1"/>
  <c r="V1576" i="3" s="1"/>
  <c r="Y1575" i="3" a="1"/>
  <c r="Y1575" i="3" s="1"/>
  <c r="X1575" i="3" a="1"/>
  <c r="X1575" i="3" s="1"/>
  <c r="W1575" i="3" a="1"/>
  <c r="W1575" i="3" s="1"/>
  <c r="V1575" i="3" a="1"/>
  <c r="V1575" i="3" s="1"/>
  <c r="Y1574" i="3" a="1"/>
  <c r="Y1574" i="3" s="1"/>
  <c r="X1574" i="3" a="1"/>
  <c r="X1574" i="3" s="1"/>
  <c r="W1574" i="3" a="1"/>
  <c r="W1574" i="3" s="1"/>
  <c r="V1574" i="3" a="1"/>
  <c r="V1574" i="3" s="1"/>
  <c r="Y1573" i="3" a="1"/>
  <c r="Y1573" i="3" s="1"/>
  <c r="X1573" i="3" a="1"/>
  <c r="X1573" i="3" s="1"/>
  <c r="W1573" i="3" a="1"/>
  <c r="W1573" i="3" s="1"/>
  <c r="V1573" i="3" a="1"/>
  <c r="V1573" i="3" s="1"/>
  <c r="Y1572" i="3" a="1"/>
  <c r="Y1572" i="3" s="1"/>
  <c r="X1572" i="3" a="1"/>
  <c r="X1572" i="3" s="1"/>
  <c r="W1572" i="3" a="1"/>
  <c r="W1572" i="3" s="1"/>
  <c r="V1572" i="3" a="1"/>
  <c r="V1572" i="3" s="1"/>
  <c r="Y1571" i="3" a="1"/>
  <c r="Y1571" i="3" s="1"/>
  <c r="X1571" i="3" a="1"/>
  <c r="X1571" i="3" s="1"/>
  <c r="W1571" i="3" a="1"/>
  <c r="W1571" i="3" s="1"/>
  <c r="V1571" i="3" a="1"/>
  <c r="V1571" i="3" s="1"/>
  <c r="Y1570" i="3" a="1"/>
  <c r="Y1570" i="3" s="1"/>
  <c r="X1570" i="3" a="1"/>
  <c r="X1570" i="3" s="1"/>
  <c r="W1570" i="3" a="1"/>
  <c r="W1570" i="3" s="1"/>
  <c r="V1570" i="3" a="1"/>
  <c r="V1570" i="3" s="1"/>
  <c r="Y1569" i="3" a="1"/>
  <c r="Y1569" i="3" s="1"/>
  <c r="X1569" i="3" a="1"/>
  <c r="X1569" i="3" s="1"/>
  <c r="W1569" i="3" a="1"/>
  <c r="W1569" i="3" s="1"/>
  <c r="V1569" i="3" a="1"/>
  <c r="V1569" i="3" s="1"/>
  <c r="Y1568" i="3" a="1"/>
  <c r="Y1568" i="3" s="1"/>
  <c r="X1568" i="3" a="1"/>
  <c r="X1568" i="3" s="1"/>
  <c r="W1568" i="3" a="1"/>
  <c r="W1568" i="3" s="1"/>
  <c r="V1568" i="3" a="1"/>
  <c r="V1568" i="3" s="1"/>
  <c r="Y1567" i="3" a="1"/>
  <c r="Y1567" i="3" s="1"/>
  <c r="X1567" i="3" a="1"/>
  <c r="X1567" i="3" s="1"/>
  <c r="W1567" i="3" a="1"/>
  <c r="W1567" i="3" s="1"/>
  <c r="V1567" i="3" a="1"/>
  <c r="V1567" i="3" s="1"/>
  <c r="Y1566" i="3" a="1"/>
  <c r="Y1566" i="3" s="1"/>
  <c r="X1566" i="3" a="1"/>
  <c r="X1566" i="3" s="1"/>
  <c r="W1566" i="3" a="1"/>
  <c r="W1566" i="3" s="1"/>
  <c r="V1566" i="3" a="1"/>
  <c r="V1566" i="3" s="1"/>
  <c r="Y1565" i="3" a="1"/>
  <c r="Y1565" i="3" s="1"/>
  <c r="X1565" i="3" a="1"/>
  <c r="X1565" i="3" s="1"/>
  <c r="W1565" i="3" a="1"/>
  <c r="W1565" i="3" s="1"/>
  <c r="V1565" i="3" a="1"/>
  <c r="V1565" i="3" s="1"/>
  <c r="Y1564" i="3" a="1"/>
  <c r="Y1564" i="3" s="1"/>
  <c r="X1564" i="3" a="1"/>
  <c r="X1564" i="3" s="1"/>
  <c r="W1564" i="3" a="1"/>
  <c r="W1564" i="3" s="1"/>
  <c r="V1564" i="3" a="1"/>
  <c r="V1564" i="3" s="1"/>
  <c r="Y1563" i="3" a="1"/>
  <c r="Y1563" i="3" s="1"/>
  <c r="X1563" i="3" a="1"/>
  <c r="X1563" i="3" s="1"/>
  <c r="W1563" i="3" a="1"/>
  <c r="W1563" i="3" s="1"/>
  <c r="V1563" i="3" a="1"/>
  <c r="V1563" i="3" s="1"/>
  <c r="Y1562" i="3" a="1"/>
  <c r="Y1562" i="3" s="1"/>
  <c r="X1562" i="3" a="1"/>
  <c r="X1562" i="3" s="1"/>
  <c r="W1562" i="3" a="1"/>
  <c r="W1562" i="3" s="1"/>
  <c r="V1562" i="3" a="1"/>
  <c r="V1562" i="3" s="1"/>
  <c r="Y1561" i="3" a="1"/>
  <c r="Y1561" i="3" s="1"/>
  <c r="X1561" i="3" a="1"/>
  <c r="X1561" i="3" s="1"/>
  <c r="W1561" i="3" a="1"/>
  <c r="W1561" i="3" s="1"/>
  <c r="V1561" i="3" a="1"/>
  <c r="V1561" i="3" s="1"/>
  <c r="Y1560" i="3" a="1"/>
  <c r="Y1560" i="3" s="1"/>
  <c r="X1560" i="3" a="1"/>
  <c r="X1560" i="3" s="1"/>
  <c r="W1560" i="3" a="1"/>
  <c r="W1560" i="3" s="1"/>
  <c r="V1560" i="3" a="1"/>
  <c r="V1560" i="3" s="1"/>
  <c r="Y1559" i="3" a="1"/>
  <c r="Y1559" i="3" s="1"/>
  <c r="X1559" i="3" a="1"/>
  <c r="X1559" i="3" s="1"/>
  <c r="W1559" i="3" a="1"/>
  <c r="W1559" i="3" s="1"/>
  <c r="V1559" i="3" a="1"/>
  <c r="V1559" i="3" s="1"/>
  <c r="Y1558" i="3" a="1"/>
  <c r="Y1558" i="3" s="1"/>
  <c r="X1558" i="3" a="1"/>
  <c r="X1558" i="3" s="1"/>
  <c r="W1558" i="3" a="1"/>
  <c r="W1558" i="3" s="1"/>
  <c r="V1558" i="3" a="1"/>
  <c r="V1558" i="3" s="1"/>
  <c r="Y1557" i="3" a="1"/>
  <c r="Y1557" i="3" s="1"/>
  <c r="X1557" i="3" a="1"/>
  <c r="X1557" i="3" s="1"/>
  <c r="W1557" i="3" a="1"/>
  <c r="W1557" i="3" s="1"/>
  <c r="V1557" i="3" a="1"/>
  <c r="V1557" i="3" s="1"/>
  <c r="Y1556" i="3" a="1"/>
  <c r="Y1556" i="3" s="1"/>
  <c r="X1556" i="3" a="1"/>
  <c r="X1556" i="3" s="1"/>
  <c r="W1556" i="3" a="1"/>
  <c r="W1556" i="3" s="1"/>
  <c r="V1556" i="3" a="1"/>
  <c r="V1556" i="3" s="1"/>
  <c r="Y1555" i="3" a="1"/>
  <c r="Y1555" i="3" s="1"/>
  <c r="X1555" i="3" a="1"/>
  <c r="X1555" i="3" s="1"/>
  <c r="W1555" i="3" a="1"/>
  <c r="W1555" i="3" s="1"/>
  <c r="V1555" i="3" a="1"/>
  <c r="V1555" i="3" s="1"/>
  <c r="Y1554" i="3" a="1"/>
  <c r="Y1554" i="3" s="1"/>
  <c r="X1554" i="3" a="1"/>
  <c r="X1554" i="3" s="1"/>
  <c r="W1554" i="3" a="1"/>
  <c r="W1554" i="3" s="1"/>
  <c r="V1554" i="3" a="1"/>
  <c r="V1554" i="3" s="1"/>
  <c r="Y1553" i="3" a="1"/>
  <c r="Y1553" i="3" s="1"/>
  <c r="X1553" i="3" a="1"/>
  <c r="X1553" i="3" s="1"/>
  <c r="W1553" i="3" a="1"/>
  <c r="W1553" i="3" s="1"/>
  <c r="V1553" i="3" a="1"/>
  <c r="V1553" i="3" s="1"/>
  <c r="Y1552" i="3" a="1"/>
  <c r="Y1552" i="3" s="1"/>
  <c r="X1552" i="3" a="1"/>
  <c r="X1552" i="3" s="1"/>
  <c r="W1552" i="3" a="1"/>
  <c r="W1552" i="3" s="1"/>
  <c r="V1552" i="3" a="1"/>
  <c r="V1552" i="3" s="1"/>
  <c r="Y1551" i="3" a="1"/>
  <c r="Y1551" i="3" s="1"/>
  <c r="X1551" i="3" a="1"/>
  <c r="X1551" i="3" s="1"/>
  <c r="W1551" i="3" a="1"/>
  <c r="W1551" i="3" s="1"/>
  <c r="V1551" i="3" a="1"/>
  <c r="V1551" i="3" s="1"/>
  <c r="Y1550" i="3" a="1"/>
  <c r="Y1550" i="3" s="1"/>
  <c r="X1550" i="3" a="1"/>
  <c r="X1550" i="3" s="1"/>
  <c r="W1550" i="3" a="1"/>
  <c r="W1550" i="3" s="1"/>
  <c r="V1550" i="3" a="1"/>
  <c r="V1550" i="3" s="1"/>
  <c r="Y1549" i="3" a="1"/>
  <c r="Y1549" i="3" s="1"/>
  <c r="X1549" i="3" a="1"/>
  <c r="X1549" i="3" s="1"/>
  <c r="W1549" i="3" a="1"/>
  <c r="W1549" i="3" s="1"/>
  <c r="V1549" i="3" a="1"/>
  <c r="V1549" i="3" s="1"/>
  <c r="Y1548" i="3" a="1"/>
  <c r="Y1548" i="3" s="1"/>
  <c r="X1548" i="3" a="1"/>
  <c r="X1548" i="3" s="1"/>
  <c r="W1548" i="3" a="1"/>
  <c r="W1548" i="3" s="1"/>
  <c r="V1548" i="3" a="1"/>
  <c r="V1548" i="3" s="1"/>
  <c r="Y1547" i="3" a="1"/>
  <c r="Y1547" i="3" s="1"/>
  <c r="X1547" i="3" a="1"/>
  <c r="X1547" i="3" s="1"/>
  <c r="W1547" i="3" a="1"/>
  <c r="W1547" i="3" s="1"/>
  <c r="V1547" i="3" a="1"/>
  <c r="V1547" i="3" s="1"/>
  <c r="Y1546" i="3" a="1"/>
  <c r="Y1546" i="3" s="1"/>
  <c r="X1546" i="3" a="1"/>
  <c r="X1546" i="3" s="1"/>
  <c r="W1546" i="3" a="1"/>
  <c r="W1546" i="3" s="1"/>
  <c r="V1546" i="3" a="1"/>
  <c r="V1546" i="3" s="1"/>
  <c r="Y1545" i="3" a="1"/>
  <c r="Y1545" i="3" s="1"/>
  <c r="X1545" i="3" a="1"/>
  <c r="X1545" i="3" s="1"/>
  <c r="W1545" i="3" a="1"/>
  <c r="W1545" i="3" s="1"/>
  <c r="V1545" i="3" a="1"/>
  <c r="V1545" i="3" s="1"/>
  <c r="Y1544" i="3" a="1"/>
  <c r="Y1544" i="3" s="1"/>
  <c r="X1544" i="3" a="1"/>
  <c r="X1544" i="3" s="1"/>
  <c r="W1544" i="3" a="1"/>
  <c r="W1544" i="3" s="1"/>
  <c r="V1544" i="3" a="1"/>
  <c r="V1544" i="3" s="1"/>
  <c r="Y1543" i="3" a="1"/>
  <c r="Y1543" i="3" s="1"/>
  <c r="X1543" i="3" a="1"/>
  <c r="X1543" i="3" s="1"/>
  <c r="W1543" i="3" a="1"/>
  <c r="W1543" i="3" s="1"/>
  <c r="V1543" i="3" a="1"/>
  <c r="V1543" i="3" s="1"/>
  <c r="Y1542" i="3" a="1"/>
  <c r="Y1542" i="3" s="1"/>
  <c r="X1542" i="3" a="1"/>
  <c r="X1542" i="3" s="1"/>
  <c r="W1542" i="3" a="1"/>
  <c r="W1542" i="3" s="1"/>
  <c r="V1542" i="3" a="1"/>
  <c r="V1542" i="3" s="1"/>
  <c r="Y1541" i="3" a="1"/>
  <c r="Y1541" i="3" s="1"/>
  <c r="X1541" i="3" a="1"/>
  <c r="X1541" i="3" s="1"/>
  <c r="W1541" i="3" a="1"/>
  <c r="W1541" i="3" s="1"/>
  <c r="V1541" i="3" a="1"/>
  <c r="V1541" i="3" s="1"/>
  <c r="Y1540" i="3" a="1"/>
  <c r="Y1540" i="3" s="1"/>
  <c r="X1540" i="3" a="1"/>
  <c r="X1540" i="3" s="1"/>
  <c r="W1540" i="3" a="1"/>
  <c r="W1540" i="3" s="1"/>
  <c r="V1540" i="3" a="1"/>
  <c r="V1540" i="3" s="1"/>
  <c r="Y1539" i="3" a="1"/>
  <c r="Y1539" i="3" s="1"/>
  <c r="X1539" i="3" a="1"/>
  <c r="X1539" i="3" s="1"/>
  <c r="W1539" i="3" a="1"/>
  <c r="W1539" i="3" s="1"/>
  <c r="V1539" i="3" a="1"/>
  <c r="V1539" i="3" s="1"/>
  <c r="Y1538" i="3" a="1"/>
  <c r="Y1538" i="3" s="1"/>
  <c r="X1538" i="3" a="1"/>
  <c r="X1538" i="3" s="1"/>
  <c r="W1538" i="3" a="1"/>
  <c r="W1538" i="3" s="1"/>
  <c r="V1538" i="3" a="1"/>
  <c r="V1538" i="3" s="1"/>
  <c r="Y1537" i="3" a="1"/>
  <c r="Y1537" i="3" s="1"/>
  <c r="X1537" i="3" a="1"/>
  <c r="X1537" i="3" s="1"/>
  <c r="W1537" i="3" a="1"/>
  <c r="W1537" i="3" s="1"/>
  <c r="V1537" i="3" a="1"/>
  <c r="V1537" i="3" s="1"/>
  <c r="Y1536" i="3" a="1"/>
  <c r="Y1536" i="3" s="1"/>
  <c r="X1536" i="3" a="1"/>
  <c r="X1536" i="3" s="1"/>
  <c r="W1536" i="3" a="1"/>
  <c r="W1536" i="3" s="1"/>
  <c r="V1536" i="3" a="1"/>
  <c r="V1536" i="3" s="1"/>
  <c r="Y1535" i="3" a="1"/>
  <c r="Y1535" i="3" s="1"/>
  <c r="X1535" i="3" a="1"/>
  <c r="X1535" i="3" s="1"/>
  <c r="W1535" i="3" a="1"/>
  <c r="W1535" i="3" s="1"/>
  <c r="V1535" i="3" a="1"/>
  <c r="V1535" i="3" s="1"/>
  <c r="Y1534" i="3" a="1"/>
  <c r="Y1534" i="3" s="1"/>
  <c r="X1534" i="3" a="1"/>
  <c r="X1534" i="3" s="1"/>
  <c r="W1534" i="3" a="1"/>
  <c r="W1534" i="3" s="1"/>
  <c r="V1534" i="3" a="1"/>
  <c r="V1534" i="3" s="1"/>
  <c r="Y1533" i="3" a="1"/>
  <c r="Y1533" i="3" s="1"/>
  <c r="X1533" i="3" a="1"/>
  <c r="X1533" i="3" s="1"/>
  <c r="W1533" i="3" a="1"/>
  <c r="W1533" i="3" s="1"/>
  <c r="V1533" i="3" a="1"/>
  <c r="V1533" i="3" s="1"/>
  <c r="Y1532" i="3" a="1"/>
  <c r="Y1532" i="3" s="1"/>
  <c r="X1532" i="3" a="1"/>
  <c r="X1532" i="3" s="1"/>
  <c r="W1532" i="3" a="1"/>
  <c r="W1532" i="3" s="1"/>
  <c r="V1532" i="3" a="1"/>
  <c r="V1532" i="3" s="1"/>
  <c r="Y1531" i="3" a="1"/>
  <c r="Y1531" i="3" s="1"/>
  <c r="X1531" i="3" a="1"/>
  <c r="X1531" i="3" s="1"/>
  <c r="W1531" i="3" a="1"/>
  <c r="W1531" i="3" s="1"/>
  <c r="V1531" i="3" a="1"/>
  <c r="V1531" i="3" s="1"/>
  <c r="Y1530" i="3" a="1"/>
  <c r="Y1530" i="3" s="1"/>
  <c r="X1530" i="3" a="1"/>
  <c r="X1530" i="3" s="1"/>
  <c r="W1530" i="3" a="1"/>
  <c r="W1530" i="3" s="1"/>
  <c r="V1530" i="3" a="1"/>
  <c r="V1530" i="3" s="1"/>
  <c r="Y1529" i="3" a="1"/>
  <c r="Y1529" i="3" s="1"/>
  <c r="X1529" i="3" a="1"/>
  <c r="X1529" i="3" s="1"/>
  <c r="W1529" i="3" a="1"/>
  <c r="W1529" i="3" s="1"/>
  <c r="V1529" i="3" a="1"/>
  <c r="V1529" i="3" s="1"/>
  <c r="Y1528" i="3" a="1"/>
  <c r="Y1528" i="3" s="1"/>
  <c r="X1528" i="3" a="1"/>
  <c r="X1528" i="3" s="1"/>
  <c r="W1528" i="3" a="1"/>
  <c r="W1528" i="3" s="1"/>
  <c r="V1528" i="3" a="1"/>
  <c r="V1528" i="3" s="1"/>
  <c r="Y1527" i="3" a="1"/>
  <c r="Y1527" i="3" s="1"/>
  <c r="X1527" i="3" a="1"/>
  <c r="X1527" i="3" s="1"/>
  <c r="W1527" i="3" a="1"/>
  <c r="W1527" i="3" s="1"/>
  <c r="V1527" i="3" a="1"/>
  <c r="V1527" i="3" s="1"/>
  <c r="Y1526" i="3" a="1"/>
  <c r="Y1526" i="3" s="1"/>
  <c r="X1526" i="3" a="1"/>
  <c r="X1526" i="3" s="1"/>
  <c r="W1526" i="3" a="1"/>
  <c r="W1526" i="3" s="1"/>
  <c r="V1526" i="3" a="1"/>
  <c r="V1526" i="3" s="1"/>
  <c r="Y1525" i="3" a="1"/>
  <c r="Y1525" i="3" s="1"/>
  <c r="X1525" i="3" a="1"/>
  <c r="X1525" i="3" s="1"/>
  <c r="W1525" i="3" a="1"/>
  <c r="W1525" i="3" s="1"/>
  <c r="V1525" i="3" a="1"/>
  <c r="V1525" i="3" s="1"/>
  <c r="Y1524" i="3" a="1"/>
  <c r="Y1524" i="3" s="1"/>
  <c r="X1524" i="3" a="1"/>
  <c r="X1524" i="3" s="1"/>
  <c r="W1524" i="3" a="1"/>
  <c r="W1524" i="3" s="1"/>
  <c r="V1524" i="3" a="1"/>
  <c r="V1524" i="3" s="1"/>
  <c r="Y1523" i="3" a="1"/>
  <c r="Y1523" i="3" s="1"/>
  <c r="X1523" i="3" a="1"/>
  <c r="X1523" i="3" s="1"/>
  <c r="W1523" i="3" a="1"/>
  <c r="W1523" i="3" s="1"/>
  <c r="V1523" i="3" a="1"/>
  <c r="V1523" i="3" s="1"/>
  <c r="Y1522" i="3" a="1"/>
  <c r="Y1522" i="3" s="1"/>
  <c r="X1522" i="3" a="1"/>
  <c r="X1522" i="3" s="1"/>
  <c r="W1522" i="3" a="1"/>
  <c r="W1522" i="3" s="1"/>
  <c r="V1522" i="3" a="1"/>
  <c r="V1522" i="3" s="1"/>
  <c r="Y1521" i="3" a="1"/>
  <c r="Y1521" i="3" s="1"/>
  <c r="X1521" i="3" a="1"/>
  <c r="X1521" i="3" s="1"/>
  <c r="W1521" i="3" a="1"/>
  <c r="W1521" i="3" s="1"/>
  <c r="V1521" i="3" a="1"/>
  <c r="V1521" i="3" s="1"/>
  <c r="Y1520" i="3" a="1"/>
  <c r="Y1520" i="3" s="1"/>
  <c r="X1520" i="3" a="1"/>
  <c r="X1520" i="3" s="1"/>
  <c r="W1520" i="3" a="1"/>
  <c r="W1520" i="3" s="1"/>
  <c r="V1520" i="3" a="1"/>
  <c r="V1520" i="3" s="1"/>
  <c r="Y1519" i="3" a="1"/>
  <c r="Y1519" i="3" s="1"/>
  <c r="X1519" i="3" a="1"/>
  <c r="X1519" i="3" s="1"/>
  <c r="W1519" i="3" a="1"/>
  <c r="W1519" i="3" s="1"/>
  <c r="V1519" i="3" a="1"/>
  <c r="V1519" i="3" s="1"/>
  <c r="Y1518" i="3" a="1"/>
  <c r="Y1518" i="3" s="1"/>
  <c r="X1518" i="3" a="1"/>
  <c r="X1518" i="3" s="1"/>
  <c r="W1518" i="3" a="1"/>
  <c r="W1518" i="3" s="1"/>
  <c r="V1518" i="3" a="1"/>
  <c r="V1518" i="3" s="1"/>
  <c r="Y1517" i="3" a="1"/>
  <c r="Y1517" i="3" s="1"/>
  <c r="X1517" i="3" a="1"/>
  <c r="X1517" i="3" s="1"/>
  <c r="W1517" i="3" a="1"/>
  <c r="W1517" i="3" s="1"/>
  <c r="V1517" i="3" a="1"/>
  <c r="V1517" i="3" s="1"/>
  <c r="Y1516" i="3" a="1"/>
  <c r="Y1516" i="3" s="1"/>
  <c r="X1516" i="3" a="1"/>
  <c r="X1516" i="3" s="1"/>
  <c r="W1516" i="3" a="1"/>
  <c r="W1516" i="3" s="1"/>
  <c r="V1516" i="3" a="1"/>
  <c r="V1516" i="3" s="1"/>
  <c r="Y1515" i="3" a="1"/>
  <c r="Y1515" i="3" s="1"/>
  <c r="X1515" i="3" a="1"/>
  <c r="X1515" i="3" s="1"/>
  <c r="W1515" i="3" a="1"/>
  <c r="W1515" i="3" s="1"/>
  <c r="V1515" i="3" a="1"/>
  <c r="V1515" i="3" s="1"/>
  <c r="Y1514" i="3" a="1"/>
  <c r="Y1514" i="3" s="1"/>
  <c r="X1514" i="3" a="1"/>
  <c r="X1514" i="3" s="1"/>
  <c r="W1514" i="3" a="1"/>
  <c r="W1514" i="3" s="1"/>
  <c r="V1514" i="3" a="1"/>
  <c r="V1514" i="3" s="1"/>
  <c r="Y1513" i="3" a="1"/>
  <c r="Y1513" i="3" s="1"/>
  <c r="X1513" i="3" a="1"/>
  <c r="X1513" i="3" s="1"/>
  <c r="W1513" i="3" a="1"/>
  <c r="W1513" i="3" s="1"/>
  <c r="V1513" i="3" a="1"/>
  <c r="V1513" i="3" s="1"/>
  <c r="Y1512" i="3" a="1"/>
  <c r="Y1512" i="3" s="1"/>
  <c r="X1512" i="3" a="1"/>
  <c r="X1512" i="3" s="1"/>
  <c r="W1512" i="3" a="1"/>
  <c r="W1512" i="3" s="1"/>
  <c r="V1512" i="3" a="1"/>
  <c r="V1512" i="3" s="1"/>
  <c r="Y1511" i="3" a="1"/>
  <c r="Y1511" i="3" s="1"/>
  <c r="X1511" i="3" a="1"/>
  <c r="X1511" i="3" s="1"/>
  <c r="W1511" i="3" a="1"/>
  <c r="W1511" i="3" s="1"/>
  <c r="V1511" i="3" a="1"/>
  <c r="V1511" i="3" s="1"/>
  <c r="Y1510" i="3" a="1"/>
  <c r="Y1510" i="3" s="1"/>
  <c r="X1510" i="3" a="1"/>
  <c r="X1510" i="3" s="1"/>
  <c r="W1510" i="3" a="1"/>
  <c r="W1510" i="3" s="1"/>
  <c r="V1510" i="3" a="1"/>
  <c r="V1510" i="3" s="1"/>
  <c r="Y1509" i="3" a="1"/>
  <c r="Y1509" i="3" s="1"/>
  <c r="X1509" i="3" a="1"/>
  <c r="X1509" i="3" s="1"/>
  <c r="W1509" i="3" a="1"/>
  <c r="W1509" i="3" s="1"/>
  <c r="V1509" i="3" a="1"/>
  <c r="V1509" i="3" s="1"/>
  <c r="Y1508" i="3" a="1"/>
  <c r="Y1508" i="3" s="1"/>
  <c r="X1508" i="3" a="1"/>
  <c r="X1508" i="3" s="1"/>
  <c r="W1508" i="3" a="1"/>
  <c r="W1508" i="3" s="1"/>
  <c r="V1508" i="3" a="1"/>
  <c r="V1508" i="3" s="1"/>
  <c r="Y1507" i="3" a="1"/>
  <c r="Y1507" i="3" s="1"/>
  <c r="X1507" i="3" a="1"/>
  <c r="X1507" i="3" s="1"/>
  <c r="W1507" i="3" a="1"/>
  <c r="W1507" i="3" s="1"/>
  <c r="V1507" i="3" a="1"/>
  <c r="V1507" i="3" s="1"/>
  <c r="Y1506" i="3" a="1"/>
  <c r="Y1506" i="3" s="1"/>
  <c r="X1506" i="3" a="1"/>
  <c r="X1506" i="3" s="1"/>
  <c r="W1506" i="3" a="1"/>
  <c r="W1506" i="3" s="1"/>
  <c r="V1506" i="3" a="1"/>
  <c r="V1506" i="3" s="1"/>
  <c r="Y1505" i="3" a="1"/>
  <c r="Y1505" i="3" s="1"/>
  <c r="X1505" i="3" a="1"/>
  <c r="X1505" i="3" s="1"/>
  <c r="W1505" i="3" a="1"/>
  <c r="W1505" i="3" s="1"/>
  <c r="V1505" i="3" a="1"/>
  <c r="V1505" i="3" s="1"/>
  <c r="Y1504" i="3" a="1"/>
  <c r="Y1504" i="3" s="1"/>
  <c r="X1504" i="3" a="1"/>
  <c r="X1504" i="3" s="1"/>
  <c r="W1504" i="3" a="1"/>
  <c r="W1504" i="3" s="1"/>
  <c r="V1504" i="3" a="1"/>
  <c r="V1504" i="3" s="1"/>
  <c r="Y1503" i="3" a="1"/>
  <c r="Y1503" i="3" s="1"/>
  <c r="X1503" i="3" a="1"/>
  <c r="X1503" i="3" s="1"/>
  <c r="W1503" i="3" a="1"/>
  <c r="W1503" i="3" s="1"/>
  <c r="V1503" i="3" a="1"/>
  <c r="V1503" i="3" s="1"/>
  <c r="Y1502" i="3" a="1"/>
  <c r="Y1502" i="3" s="1"/>
  <c r="X1502" i="3" a="1"/>
  <c r="X1502" i="3" s="1"/>
  <c r="W1502" i="3" a="1"/>
  <c r="W1502" i="3" s="1"/>
  <c r="V1502" i="3" a="1"/>
  <c r="V1502" i="3" s="1"/>
  <c r="Y1501" i="3" a="1"/>
  <c r="Y1501" i="3" s="1"/>
  <c r="X1501" i="3" a="1"/>
  <c r="X1501" i="3" s="1"/>
  <c r="W1501" i="3" a="1"/>
  <c r="W1501" i="3" s="1"/>
  <c r="V1501" i="3" a="1"/>
  <c r="V1501" i="3" s="1"/>
  <c r="Y1500" i="3" a="1"/>
  <c r="Y1500" i="3" s="1"/>
  <c r="X1500" i="3" a="1"/>
  <c r="X1500" i="3" s="1"/>
  <c r="W1500" i="3" a="1"/>
  <c r="W1500" i="3" s="1"/>
  <c r="V1500" i="3" a="1"/>
  <c r="V1500" i="3" s="1"/>
  <c r="Y1499" i="3" a="1"/>
  <c r="Y1499" i="3" s="1"/>
  <c r="X1499" i="3" a="1"/>
  <c r="X1499" i="3" s="1"/>
  <c r="W1499" i="3" a="1"/>
  <c r="W1499" i="3" s="1"/>
  <c r="V1499" i="3" a="1"/>
  <c r="V1499" i="3" s="1"/>
  <c r="Y1498" i="3" a="1"/>
  <c r="Y1498" i="3" s="1"/>
  <c r="X1498" i="3" a="1"/>
  <c r="X1498" i="3" s="1"/>
  <c r="W1498" i="3" a="1"/>
  <c r="W1498" i="3" s="1"/>
  <c r="V1498" i="3" a="1"/>
  <c r="V1498" i="3" s="1"/>
  <c r="Y1497" i="3" a="1"/>
  <c r="Y1497" i="3" s="1"/>
  <c r="X1497" i="3" a="1"/>
  <c r="X1497" i="3" s="1"/>
  <c r="W1497" i="3" a="1"/>
  <c r="W1497" i="3" s="1"/>
  <c r="V1497" i="3" a="1"/>
  <c r="V1497" i="3" s="1"/>
  <c r="Y1496" i="3" a="1"/>
  <c r="Y1496" i="3" s="1"/>
  <c r="X1496" i="3" a="1"/>
  <c r="X1496" i="3" s="1"/>
  <c r="W1496" i="3" a="1"/>
  <c r="W1496" i="3" s="1"/>
  <c r="V1496" i="3" a="1"/>
  <c r="V1496" i="3" s="1"/>
  <c r="Y1495" i="3" a="1"/>
  <c r="Y1495" i="3" s="1"/>
  <c r="X1495" i="3" a="1"/>
  <c r="X1495" i="3" s="1"/>
  <c r="W1495" i="3" a="1"/>
  <c r="W1495" i="3" s="1"/>
  <c r="V1495" i="3" a="1"/>
  <c r="V1495" i="3" s="1"/>
  <c r="Y1494" i="3" a="1"/>
  <c r="Y1494" i="3" s="1"/>
  <c r="X1494" i="3" a="1"/>
  <c r="X1494" i="3" s="1"/>
  <c r="W1494" i="3" a="1"/>
  <c r="W1494" i="3" s="1"/>
  <c r="V1494" i="3" a="1"/>
  <c r="V1494" i="3" s="1"/>
  <c r="Y1493" i="3" a="1"/>
  <c r="Y1493" i="3" s="1"/>
  <c r="X1493" i="3" a="1"/>
  <c r="X1493" i="3" s="1"/>
  <c r="W1493" i="3" a="1"/>
  <c r="W1493" i="3" s="1"/>
  <c r="V1493" i="3" a="1"/>
  <c r="V1493" i="3" s="1"/>
  <c r="Y1492" i="3" a="1"/>
  <c r="Y1492" i="3" s="1"/>
  <c r="X1492" i="3" a="1"/>
  <c r="X1492" i="3" s="1"/>
  <c r="W1492" i="3" a="1"/>
  <c r="W1492" i="3" s="1"/>
  <c r="V1492" i="3" a="1"/>
  <c r="V1492" i="3" s="1"/>
  <c r="Y1491" i="3" a="1"/>
  <c r="Y1491" i="3" s="1"/>
  <c r="X1491" i="3" a="1"/>
  <c r="X1491" i="3" s="1"/>
  <c r="W1491" i="3" a="1"/>
  <c r="W1491" i="3" s="1"/>
  <c r="V1491" i="3" a="1"/>
  <c r="V1491" i="3" s="1"/>
  <c r="Y1490" i="3" a="1"/>
  <c r="Y1490" i="3" s="1"/>
  <c r="X1490" i="3" a="1"/>
  <c r="X1490" i="3" s="1"/>
  <c r="W1490" i="3" a="1"/>
  <c r="W1490" i="3" s="1"/>
  <c r="V1490" i="3" a="1"/>
  <c r="V1490" i="3" s="1"/>
  <c r="Y1489" i="3" a="1"/>
  <c r="Y1489" i="3" s="1"/>
  <c r="X1489" i="3" a="1"/>
  <c r="X1489" i="3" s="1"/>
  <c r="W1489" i="3" a="1"/>
  <c r="W1489" i="3" s="1"/>
  <c r="V1489" i="3" a="1"/>
  <c r="V1489" i="3" s="1"/>
  <c r="Y1488" i="3" a="1"/>
  <c r="Y1488" i="3" s="1"/>
  <c r="X1488" i="3" a="1"/>
  <c r="X1488" i="3" s="1"/>
  <c r="W1488" i="3" a="1"/>
  <c r="W1488" i="3" s="1"/>
  <c r="V1488" i="3" a="1"/>
  <c r="V1488" i="3" s="1"/>
  <c r="Y1487" i="3" a="1"/>
  <c r="Y1487" i="3" s="1"/>
  <c r="X1487" i="3" a="1"/>
  <c r="X1487" i="3" s="1"/>
  <c r="W1487" i="3" a="1"/>
  <c r="W1487" i="3" s="1"/>
  <c r="V1487" i="3" a="1"/>
  <c r="V1487" i="3" s="1"/>
  <c r="Y1486" i="3" a="1"/>
  <c r="Y1486" i="3" s="1"/>
  <c r="X1486" i="3" a="1"/>
  <c r="X1486" i="3" s="1"/>
  <c r="W1486" i="3" a="1"/>
  <c r="W1486" i="3" s="1"/>
  <c r="V1486" i="3" a="1"/>
  <c r="V1486" i="3" s="1"/>
  <c r="Y1485" i="3" a="1"/>
  <c r="Y1485" i="3" s="1"/>
  <c r="X1485" i="3" a="1"/>
  <c r="X1485" i="3" s="1"/>
  <c r="W1485" i="3" a="1"/>
  <c r="W1485" i="3" s="1"/>
  <c r="V1485" i="3" a="1"/>
  <c r="V1485" i="3" s="1"/>
  <c r="Y1484" i="3" a="1"/>
  <c r="Y1484" i="3" s="1"/>
  <c r="X1484" i="3" a="1"/>
  <c r="X1484" i="3" s="1"/>
  <c r="W1484" i="3" a="1"/>
  <c r="W1484" i="3" s="1"/>
  <c r="V1484" i="3" a="1"/>
  <c r="V1484" i="3" s="1"/>
  <c r="Y1483" i="3" a="1"/>
  <c r="Y1483" i="3" s="1"/>
  <c r="X1483" i="3" a="1"/>
  <c r="X1483" i="3" s="1"/>
  <c r="W1483" i="3" a="1"/>
  <c r="W1483" i="3" s="1"/>
  <c r="V1483" i="3" a="1"/>
  <c r="V1483" i="3" s="1"/>
  <c r="Y1482" i="3" a="1"/>
  <c r="Y1482" i="3" s="1"/>
  <c r="X1482" i="3" a="1"/>
  <c r="X1482" i="3" s="1"/>
  <c r="W1482" i="3" a="1"/>
  <c r="W1482" i="3" s="1"/>
  <c r="V1482" i="3" a="1"/>
  <c r="V1482" i="3" s="1"/>
  <c r="Y1481" i="3" a="1"/>
  <c r="Y1481" i="3" s="1"/>
  <c r="X1481" i="3" a="1"/>
  <c r="X1481" i="3" s="1"/>
  <c r="W1481" i="3" a="1"/>
  <c r="W1481" i="3" s="1"/>
  <c r="V1481" i="3" a="1"/>
  <c r="V1481" i="3" s="1"/>
  <c r="Y1480" i="3" a="1"/>
  <c r="Y1480" i="3" s="1"/>
  <c r="X1480" i="3" a="1"/>
  <c r="X1480" i="3" s="1"/>
  <c r="W1480" i="3" a="1"/>
  <c r="W1480" i="3" s="1"/>
  <c r="V1480" i="3" a="1"/>
  <c r="V1480" i="3" s="1"/>
  <c r="Y1479" i="3" a="1"/>
  <c r="Y1479" i="3" s="1"/>
  <c r="X1479" i="3" a="1"/>
  <c r="X1479" i="3" s="1"/>
  <c r="W1479" i="3" a="1"/>
  <c r="W1479" i="3" s="1"/>
  <c r="V1479" i="3" a="1"/>
  <c r="V1479" i="3" s="1"/>
  <c r="Y1478" i="3" a="1"/>
  <c r="Y1478" i="3" s="1"/>
  <c r="X1478" i="3" a="1"/>
  <c r="X1478" i="3" s="1"/>
  <c r="W1478" i="3" a="1"/>
  <c r="W1478" i="3" s="1"/>
  <c r="V1478" i="3" a="1"/>
  <c r="V1478" i="3" s="1"/>
  <c r="Y1477" i="3" a="1"/>
  <c r="Y1477" i="3" s="1"/>
  <c r="X1477" i="3" a="1"/>
  <c r="X1477" i="3" s="1"/>
  <c r="W1477" i="3" a="1"/>
  <c r="W1477" i="3" s="1"/>
  <c r="V1477" i="3" a="1"/>
  <c r="V1477" i="3" s="1"/>
  <c r="Y1476" i="3" a="1"/>
  <c r="Y1476" i="3" s="1"/>
  <c r="X1476" i="3" a="1"/>
  <c r="X1476" i="3" s="1"/>
  <c r="W1476" i="3" a="1"/>
  <c r="W1476" i="3" s="1"/>
  <c r="V1476" i="3" a="1"/>
  <c r="V1476" i="3" s="1"/>
  <c r="Y1475" i="3" a="1"/>
  <c r="Y1475" i="3" s="1"/>
  <c r="X1475" i="3" a="1"/>
  <c r="X1475" i="3" s="1"/>
  <c r="W1475" i="3" a="1"/>
  <c r="W1475" i="3" s="1"/>
  <c r="V1475" i="3" a="1"/>
  <c r="V1475" i="3" s="1"/>
  <c r="Y1474" i="3" a="1"/>
  <c r="Y1474" i="3" s="1"/>
  <c r="X1474" i="3" a="1"/>
  <c r="X1474" i="3" s="1"/>
  <c r="W1474" i="3" a="1"/>
  <c r="W1474" i="3" s="1"/>
  <c r="V1474" i="3" a="1"/>
  <c r="V1474" i="3" s="1"/>
  <c r="Y1473" i="3" a="1"/>
  <c r="Y1473" i="3" s="1"/>
  <c r="X1473" i="3" a="1"/>
  <c r="X1473" i="3" s="1"/>
  <c r="W1473" i="3" a="1"/>
  <c r="W1473" i="3" s="1"/>
  <c r="V1473" i="3" a="1"/>
  <c r="V1473" i="3" s="1"/>
  <c r="Y1472" i="3" a="1"/>
  <c r="Y1472" i="3" s="1"/>
  <c r="X1472" i="3" a="1"/>
  <c r="X1472" i="3" s="1"/>
  <c r="W1472" i="3" a="1"/>
  <c r="W1472" i="3" s="1"/>
  <c r="V1472" i="3" a="1"/>
  <c r="V1472" i="3" s="1"/>
  <c r="Y1471" i="3" a="1"/>
  <c r="Y1471" i="3" s="1"/>
  <c r="X1471" i="3" a="1"/>
  <c r="X1471" i="3" s="1"/>
  <c r="W1471" i="3" a="1"/>
  <c r="W1471" i="3" s="1"/>
  <c r="V1471" i="3" a="1"/>
  <c r="V1471" i="3" s="1"/>
  <c r="Y1470" i="3" a="1"/>
  <c r="Y1470" i="3" s="1"/>
  <c r="X1470" i="3" a="1"/>
  <c r="X1470" i="3" s="1"/>
  <c r="W1470" i="3" a="1"/>
  <c r="W1470" i="3" s="1"/>
  <c r="V1470" i="3" a="1"/>
  <c r="V1470" i="3" s="1"/>
  <c r="Y1469" i="3" a="1"/>
  <c r="Y1469" i="3" s="1"/>
  <c r="X1469" i="3" a="1"/>
  <c r="X1469" i="3" s="1"/>
  <c r="W1469" i="3" a="1"/>
  <c r="W1469" i="3" s="1"/>
  <c r="V1469" i="3" a="1"/>
  <c r="V1469" i="3" s="1"/>
  <c r="Y1468" i="3" a="1"/>
  <c r="Y1468" i="3" s="1"/>
  <c r="X1468" i="3" a="1"/>
  <c r="X1468" i="3" s="1"/>
  <c r="W1468" i="3" a="1"/>
  <c r="W1468" i="3" s="1"/>
  <c r="V1468" i="3" a="1"/>
  <c r="V1468" i="3" s="1"/>
  <c r="Y1467" i="3" a="1"/>
  <c r="Y1467" i="3" s="1"/>
  <c r="X1467" i="3" a="1"/>
  <c r="X1467" i="3" s="1"/>
  <c r="W1467" i="3" a="1"/>
  <c r="W1467" i="3" s="1"/>
  <c r="V1467" i="3" a="1"/>
  <c r="V1467" i="3" s="1"/>
  <c r="Y1466" i="3" a="1"/>
  <c r="Y1466" i="3" s="1"/>
  <c r="X1466" i="3" a="1"/>
  <c r="X1466" i="3" s="1"/>
  <c r="W1466" i="3" a="1"/>
  <c r="W1466" i="3" s="1"/>
  <c r="V1466" i="3" a="1"/>
  <c r="V1466" i="3" s="1"/>
  <c r="Y1465" i="3" a="1"/>
  <c r="Y1465" i="3" s="1"/>
  <c r="X1465" i="3" a="1"/>
  <c r="X1465" i="3" s="1"/>
  <c r="W1465" i="3" a="1"/>
  <c r="W1465" i="3" s="1"/>
  <c r="V1465" i="3" a="1"/>
  <c r="V1465" i="3" s="1"/>
  <c r="Y1464" i="3" a="1"/>
  <c r="Y1464" i="3" s="1"/>
  <c r="X1464" i="3" a="1"/>
  <c r="X1464" i="3" s="1"/>
  <c r="W1464" i="3" a="1"/>
  <c r="W1464" i="3" s="1"/>
  <c r="V1464" i="3" a="1"/>
  <c r="V1464" i="3" s="1"/>
  <c r="Y1463" i="3" a="1"/>
  <c r="Y1463" i="3" s="1"/>
  <c r="X1463" i="3" a="1"/>
  <c r="X1463" i="3" s="1"/>
  <c r="W1463" i="3" a="1"/>
  <c r="W1463" i="3" s="1"/>
  <c r="V1463" i="3" a="1"/>
  <c r="V1463" i="3" s="1"/>
  <c r="Y1462" i="3" a="1"/>
  <c r="Y1462" i="3" s="1"/>
  <c r="X1462" i="3" a="1"/>
  <c r="X1462" i="3" s="1"/>
  <c r="W1462" i="3" a="1"/>
  <c r="W1462" i="3" s="1"/>
  <c r="V1462" i="3" a="1"/>
  <c r="V1462" i="3" s="1"/>
  <c r="Y1461" i="3" a="1"/>
  <c r="Y1461" i="3" s="1"/>
  <c r="X1461" i="3" a="1"/>
  <c r="X1461" i="3" s="1"/>
  <c r="W1461" i="3" a="1"/>
  <c r="W1461" i="3" s="1"/>
  <c r="V1461" i="3" a="1"/>
  <c r="V1461" i="3" s="1"/>
  <c r="Y1460" i="3" a="1"/>
  <c r="Y1460" i="3" s="1"/>
  <c r="X1460" i="3" a="1"/>
  <c r="X1460" i="3" s="1"/>
  <c r="W1460" i="3" a="1"/>
  <c r="W1460" i="3" s="1"/>
  <c r="V1460" i="3" a="1"/>
  <c r="V1460" i="3" s="1"/>
  <c r="Y1459" i="3" a="1"/>
  <c r="Y1459" i="3" s="1"/>
  <c r="X1459" i="3" a="1"/>
  <c r="X1459" i="3" s="1"/>
  <c r="W1459" i="3" a="1"/>
  <c r="W1459" i="3" s="1"/>
  <c r="V1459" i="3" a="1"/>
  <c r="V1459" i="3" s="1"/>
  <c r="Y1458" i="3" a="1"/>
  <c r="Y1458" i="3" s="1"/>
  <c r="X1458" i="3" a="1"/>
  <c r="X1458" i="3" s="1"/>
  <c r="W1458" i="3" a="1"/>
  <c r="W1458" i="3" s="1"/>
  <c r="V1458" i="3" a="1"/>
  <c r="V1458" i="3" s="1"/>
  <c r="Y1457" i="3" a="1"/>
  <c r="Y1457" i="3" s="1"/>
  <c r="X1457" i="3" a="1"/>
  <c r="X1457" i="3" s="1"/>
  <c r="W1457" i="3" a="1"/>
  <c r="W1457" i="3" s="1"/>
  <c r="V1457" i="3" a="1"/>
  <c r="V1457" i="3" s="1"/>
  <c r="Y1456" i="3" a="1"/>
  <c r="Y1456" i="3" s="1"/>
  <c r="X1456" i="3" a="1"/>
  <c r="X1456" i="3" s="1"/>
  <c r="W1456" i="3" a="1"/>
  <c r="W1456" i="3" s="1"/>
  <c r="V1456" i="3" a="1"/>
  <c r="V1456" i="3" s="1"/>
  <c r="Y1455" i="3" a="1"/>
  <c r="Y1455" i="3" s="1"/>
  <c r="X1455" i="3" a="1"/>
  <c r="X1455" i="3" s="1"/>
  <c r="W1455" i="3" a="1"/>
  <c r="W1455" i="3" s="1"/>
  <c r="V1455" i="3" a="1"/>
  <c r="V1455" i="3" s="1"/>
  <c r="Y1454" i="3" a="1"/>
  <c r="Y1454" i="3" s="1"/>
  <c r="X1454" i="3" a="1"/>
  <c r="X1454" i="3" s="1"/>
  <c r="W1454" i="3" a="1"/>
  <c r="W1454" i="3" s="1"/>
  <c r="V1454" i="3" a="1"/>
  <c r="V1454" i="3" s="1"/>
  <c r="Y1453" i="3" a="1"/>
  <c r="Y1453" i="3" s="1"/>
  <c r="X1453" i="3" a="1"/>
  <c r="X1453" i="3" s="1"/>
  <c r="W1453" i="3" a="1"/>
  <c r="W1453" i="3" s="1"/>
  <c r="V1453" i="3" a="1"/>
  <c r="V1453" i="3" s="1"/>
  <c r="Y1452" i="3" a="1"/>
  <c r="Y1452" i="3" s="1"/>
  <c r="X1452" i="3" a="1"/>
  <c r="X1452" i="3" s="1"/>
  <c r="W1452" i="3" a="1"/>
  <c r="W1452" i="3" s="1"/>
  <c r="V1452" i="3" a="1"/>
  <c r="V1452" i="3" s="1"/>
  <c r="Y1451" i="3" a="1"/>
  <c r="Y1451" i="3" s="1"/>
  <c r="X1451" i="3" a="1"/>
  <c r="X1451" i="3" s="1"/>
  <c r="W1451" i="3" a="1"/>
  <c r="W1451" i="3" s="1"/>
  <c r="V1451" i="3" a="1"/>
  <c r="V1451" i="3" s="1"/>
  <c r="Y1450" i="3" a="1"/>
  <c r="Y1450" i="3" s="1"/>
  <c r="X1450" i="3" a="1"/>
  <c r="X1450" i="3" s="1"/>
  <c r="W1450" i="3" a="1"/>
  <c r="W1450" i="3" s="1"/>
  <c r="V1450" i="3" a="1"/>
  <c r="V1450" i="3" s="1"/>
  <c r="Y1449" i="3" a="1"/>
  <c r="Y1449" i="3" s="1"/>
  <c r="X1449" i="3" a="1"/>
  <c r="X1449" i="3" s="1"/>
  <c r="W1449" i="3" a="1"/>
  <c r="W1449" i="3" s="1"/>
  <c r="V1449" i="3" a="1"/>
  <c r="V1449" i="3" s="1"/>
  <c r="Y1448" i="3" a="1"/>
  <c r="Y1448" i="3" s="1"/>
  <c r="X1448" i="3" a="1"/>
  <c r="X1448" i="3" s="1"/>
  <c r="W1448" i="3" a="1"/>
  <c r="W1448" i="3" s="1"/>
  <c r="V1448" i="3" a="1"/>
  <c r="V1448" i="3" s="1"/>
  <c r="Y1447" i="3" a="1"/>
  <c r="Y1447" i="3" s="1"/>
  <c r="X1447" i="3" a="1"/>
  <c r="X1447" i="3" s="1"/>
  <c r="W1447" i="3" a="1"/>
  <c r="W1447" i="3" s="1"/>
  <c r="V1447" i="3" a="1"/>
  <c r="V1447" i="3" s="1"/>
  <c r="Y1446" i="3" a="1"/>
  <c r="Y1446" i="3" s="1"/>
  <c r="X1446" i="3" a="1"/>
  <c r="X1446" i="3" s="1"/>
  <c r="W1446" i="3" a="1"/>
  <c r="W1446" i="3" s="1"/>
  <c r="V1446" i="3" a="1"/>
  <c r="V1446" i="3" s="1"/>
  <c r="Y1445" i="3" a="1"/>
  <c r="Y1445" i="3" s="1"/>
  <c r="X1445" i="3" a="1"/>
  <c r="X1445" i="3" s="1"/>
  <c r="W1445" i="3" a="1"/>
  <c r="W1445" i="3" s="1"/>
  <c r="V1445" i="3" a="1"/>
  <c r="V1445" i="3" s="1"/>
  <c r="Y1444" i="3" a="1"/>
  <c r="Y1444" i="3" s="1"/>
  <c r="X1444" i="3" a="1"/>
  <c r="X1444" i="3" s="1"/>
  <c r="W1444" i="3" a="1"/>
  <c r="W1444" i="3" s="1"/>
  <c r="V1444" i="3" a="1"/>
  <c r="V1444" i="3" s="1"/>
  <c r="Y1443" i="3" a="1"/>
  <c r="Y1443" i="3" s="1"/>
  <c r="X1443" i="3" a="1"/>
  <c r="X1443" i="3" s="1"/>
  <c r="W1443" i="3" a="1"/>
  <c r="W1443" i="3" s="1"/>
  <c r="V1443" i="3" a="1"/>
  <c r="V1443" i="3" s="1"/>
  <c r="Y1442" i="3" a="1"/>
  <c r="Y1442" i="3" s="1"/>
  <c r="X1442" i="3" a="1"/>
  <c r="X1442" i="3" s="1"/>
  <c r="W1442" i="3" a="1"/>
  <c r="W1442" i="3" s="1"/>
  <c r="V1442" i="3" a="1"/>
  <c r="V1442" i="3" s="1"/>
  <c r="Y1441" i="3" a="1"/>
  <c r="Y1441" i="3" s="1"/>
  <c r="X1441" i="3" a="1"/>
  <c r="X1441" i="3" s="1"/>
  <c r="W1441" i="3" a="1"/>
  <c r="W1441" i="3" s="1"/>
  <c r="V1441" i="3" a="1"/>
  <c r="V1441" i="3" s="1"/>
  <c r="Y1440" i="3" a="1"/>
  <c r="Y1440" i="3" s="1"/>
  <c r="X1440" i="3" a="1"/>
  <c r="X1440" i="3" s="1"/>
  <c r="W1440" i="3" a="1"/>
  <c r="W1440" i="3" s="1"/>
  <c r="V1440" i="3" a="1"/>
  <c r="V1440" i="3" s="1"/>
  <c r="Y1439" i="3" a="1"/>
  <c r="Y1439" i="3" s="1"/>
  <c r="X1439" i="3" a="1"/>
  <c r="X1439" i="3" s="1"/>
  <c r="W1439" i="3" a="1"/>
  <c r="W1439" i="3" s="1"/>
  <c r="V1439" i="3" a="1"/>
  <c r="V1439" i="3" s="1"/>
  <c r="Y1438" i="3" a="1"/>
  <c r="Y1438" i="3" s="1"/>
  <c r="X1438" i="3" a="1"/>
  <c r="X1438" i="3" s="1"/>
  <c r="W1438" i="3" a="1"/>
  <c r="W1438" i="3" s="1"/>
  <c r="V1438" i="3" a="1"/>
  <c r="V1438" i="3" s="1"/>
  <c r="Y1437" i="3" a="1"/>
  <c r="Y1437" i="3" s="1"/>
  <c r="X1437" i="3" a="1"/>
  <c r="X1437" i="3" s="1"/>
  <c r="W1437" i="3" a="1"/>
  <c r="W1437" i="3" s="1"/>
  <c r="V1437" i="3" a="1"/>
  <c r="V1437" i="3" s="1"/>
  <c r="Y1436" i="3" a="1"/>
  <c r="Y1436" i="3" s="1"/>
  <c r="X1436" i="3" a="1"/>
  <c r="X1436" i="3" s="1"/>
  <c r="W1436" i="3" a="1"/>
  <c r="W1436" i="3" s="1"/>
  <c r="V1436" i="3" a="1"/>
  <c r="V1436" i="3" s="1"/>
  <c r="Y1435" i="3" a="1"/>
  <c r="Y1435" i="3" s="1"/>
  <c r="X1435" i="3" a="1"/>
  <c r="X1435" i="3" s="1"/>
  <c r="W1435" i="3" a="1"/>
  <c r="W1435" i="3" s="1"/>
  <c r="V1435" i="3" a="1"/>
  <c r="V1435" i="3" s="1"/>
  <c r="Y1434" i="3" a="1"/>
  <c r="Y1434" i="3" s="1"/>
  <c r="X1434" i="3" a="1"/>
  <c r="X1434" i="3" s="1"/>
  <c r="W1434" i="3" a="1"/>
  <c r="W1434" i="3" s="1"/>
  <c r="V1434" i="3" a="1"/>
  <c r="V1434" i="3" s="1"/>
  <c r="Y1433" i="3" a="1"/>
  <c r="Y1433" i="3" s="1"/>
  <c r="X1433" i="3" a="1"/>
  <c r="X1433" i="3" s="1"/>
  <c r="W1433" i="3" a="1"/>
  <c r="W1433" i="3" s="1"/>
  <c r="V1433" i="3" a="1"/>
  <c r="V1433" i="3" s="1"/>
  <c r="Y1432" i="3" a="1"/>
  <c r="Y1432" i="3" s="1"/>
  <c r="X1432" i="3" a="1"/>
  <c r="X1432" i="3" s="1"/>
  <c r="W1432" i="3" a="1"/>
  <c r="W1432" i="3" s="1"/>
  <c r="V1432" i="3" a="1"/>
  <c r="V1432" i="3" s="1"/>
  <c r="Y1431" i="3" a="1"/>
  <c r="Y1431" i="3" s="1"/>
  <c r="X1431" i="3" a="1"/>
  <c r="X1431" i="3" s="1"/>
  <c r="W1431" i="3" a="1"/>
  <c r="W1431" i="3" s="1"/>
  <c r="V1431" i="3" a="1"/>
  <c r="V1431" i="3" s="1"/>
  <c r="Y1430" i="3" a="1"/>
  <c r="Y1430" i="3" s="1"/>
  <c r="X1430" i="3" a="1"/>
  <c r="X1430" i="3" s="1"/>
  <c r="W1430" i="3" a="1"/>
  <c r="W1430" i="3" s="1"/>
  <c r="V1430" i="3" a="1"/>
  <c r="V1430" i="3" s="1"/>
  <c r="Y1429" i="3" a="1"/>
  <c r="Y1429" i="3" s="1"/>
  <c r="X1429" i="3" a="1"/>
  <c r="X1429" i="3" s="1"/>
  <c r="W1429" i="3" a="1"/>
  <c r="W1429" i="3" s="1"/>
  <c r="V1429" i="3" a="1"/>
  <c r="V1429" i="3" s="1"/>
  <c r="Y1428" i="3" a="1"/>
  <c r="Y1428" i="3" s="1"/>
  <c r="X1428" i="3" a="1"/>
  <c r="X1428" i="3" s="1"/>
  <c r="W1428" i="3" a="1"/>
  <c r="W1428" i="3" s="1"/>
  <c r="V1428" i="3" a="1"/>
  <c r="V1428" i="3" s="1"/>
  <c r="Y1427" i="3" a="1"/>
  <c r="Y1427" i="3" s="1"/>
  <c r="X1427" i="3" a="1"/>
  <c r="X1427" i="3" s="1"/>
  <c r="W1427" i="3" a="1"/>
  <c r="W1427" i="3" s="1"/>
  <c r="V1427" i="3" a="1"/>
  <c r="V1427" i="3" s="1"/>
  <c r="Y1426" i="3" a="1"/>
  <c r="Y1426" i="3" s="1"/>
  <c r="X1426" i="3" a="1"/>
  <c r="X1426" i="3" s="1"/>
  <c r="W1426" i="3" a="1"/>
  <c r="W1426" i="3" s="1"/>
  <c r="V1426" i="3" a="1"/>
  <c r="V1426" i="3" s="1"/>
  <c r="Y1425" i="3" a="1"/>
  <c r="Y1425" i="3" s="1"/>
  <c r="X1425" i="3" a="1"/>
  <c r="X1425" i="3" s="1"/>
  <c r="W1425" i="3" a="1"/>
  <c r="W1425" i="3" s="1"/>
  <c r="V1425" i="3" a="1"/>
  <c r="V1425" i="3" s="1"/>
  <c r="Y1424" i="3" a="1"/>
  <c r="Y1424" i="3" s="1"/>
  <c r="X1424" i="3" a="1"/>
  <c r="X1424" i="3" s="1"/>
  <c r="W1424" i="3" a="1"/>
  <c r="W1424" i="3" s="1"/>
  <c r="V1424" i="3" a="1"/>
  <c r="V1424" i="3" s="1"/>
  <c r="Y1423" i="3" a="1"/>
  <c r="Y1423" i="3" s="1"/>
  <c r="X1423" i="3" a="1"/>
  <c r="X1423" i="3" s="1"/>
  <c r="W1423" i="3" a="1"/>
  <c r="W1423" i="3" s="1"/>
  <c r="V1423" i="3" a="1"/>
  <c r="V1423" i="3" s="1"/>
  <c r="Y1422" i="3" a="1"/>
  <c r="Y1422" i="3" s="1"/>
  <c r="X1422" i="3" a="1"/>
  <c r="X1422" i="3" s="1"/>
  <c r="W1422" i="3" a="1"/>
  <c r="W1422" i="3" s="1"/>
  <c r="V1422" i="3" a="1"/>
  <c r="V1422" i="3" s="1"/>
  <c r="Y1421" i="3" a="1"/>
  <c r="Y1421" i="3" s="1"/>
  <c r="X1421" i="3" a="1"/>
  <c r="X1421" i="3" s="1"/>
  <c r="W1421" i="3" a="1"/>
  <c r="W1421" i="3" s="1"/>
  <c r="V1421" i="3" a="1"/>
  <c r="V1421" i="3" s="1"/>
  <c r="Y1420" i="3" a="1"/>
  <c r="Y1420" i="3" s="1"/>
  <c r="X1420" i="3" a="1"/>
  <c r="X1420" i="3" s="1"/>
  <c r="W1420" i="3" a="1"/>
  <c r="W1420" i="3" s="1"/>
  <c r="V1420" i="3" a="1"/>
  <c r="V1420" i="3" s="1"/>
  <c r="Y1419" i="3" a="1"/>
  <c r="Y1419" i="3" s="1"/>
  <c r="X1419" i="3" a="1"/>
  <c r="X1419" i="3" s="1"/>
  <c r="W1419" i="3" a="1"/>
  <c r="W1419" i="3" s="1"/>
  <c r="V1419" i="3" a="1"/>
  <c r="V1419" i="3" s="1"/>
  <c r="Y1418" i="3" a="1"/>
  <c r="Y1418" i="3" s="1"/>
  <c r="X1418" i="3" a="1"/>
  <c r="X1418" i="3" s="1"/>
  <c r="W1418" i="3" a="1"/>
  <c r="W1418" i="3" s="1"/>
  <c r="V1418" i="3" a="1"/>
  <c r="V1418" i="3" s="1"/>
  <c r="Y1417" i="3" a="1"/>
  <c r="Y1417" i="3" s="1"/>
  <c r="X1417" i="3" a="1"/>
  <c r="X1417" i="3" s="1"/>
  <c r="W1417" i="3" a="1"/>
  <c r="W1417" i="3" s="1"/>
  <c r="V1417" i="3" a="1"/>
  <c r="V1417" i="3" s="1"/>
  <c r="Y1416" i="3" a="1"/>
  <c r="Y1416" i="3" s="1"/>
  <c r="X1416" i="3" a="1"/>
  <c r="X1416" i="3" s="1"/>
  <c r="W1416" i="3" a="1"/>
  <c r="W1416" i="3" s="1"/>
  <c r="V1416" i="3" a="1"/>
  <c r="V1416" i="3" s="1"/>
  <c r="Y1415" i="3" a="1"/>
  <c r="Y1415" i="3" s="1"/>
  <c r="X1415" i="3" a="1"/>
  <c r="X1415" i="3" s="1"/>
  <c r="W1415" i="3" a="1"/>
  <c r="W1415" i="3" s="1"/>
  <c r="V1415" i="3" a="1"/>
  <c r="V1415" i="3" s="1"/>
  <c r="Y1414" i="3" a="1"/>
  <c r="Y1414" i="3" s="1"/>
  <c r="X1414" i="3" a="1"/>
  <c r="X1414" i="3" s="1"/>
  <c r="W1414" i="3" a="1"/>
  <c r="W1414" i="3" s="1"/>
  <c r="V1414" i="3" a="1"/>
  <c r="V1414" i="3" s="1"/>
  <c r="Y1413" i="3" a="1"/>
  <c r="Y1413" i="3" s="1"/>
  <c r="X1413" i="3" a="1"/>
  <c r="X1413" i="3" s="1"/>
  <c r="W1413" i="3" a="1"/>
  <c r="W1413" i="3" s="1"/>
  <c r="V1413" i="3" a="1"/>
  <c r="V1413" i="3" s="1"/>
  <c r="Y1412" i="3" a="1"/>
  <c r="Y1412" i="3" s="1"/>
  <c r="X1412" i="3" a="1"/>
  <c r="X1412" i="3" s="1"/>
  <c r="W1412" i="3" a="1"/>
  <c r="W1412" i="3" s="1"/>
  <c r="V1412" i="3" a="1"/>
  <c r="V1412" i="3" s="1"/>
  <c r="Y1411" i="3" a="1"/>
  <c r="Y1411" i="3" s="1"/>
  <c r="X1411" i="3" a="1"/>
  <c r="X1411" i="3" s="1"/>
  <c r="W1411" i="3" a="1"/>
  <c r="W1411" i="3" s="1"/>
  <c r="V1411" i="3" a="1"/>
  <c r="V1411" i="3" s="1"/>
  <c r="Y1410" i="3" a="1"/>
  <c r="Y1410" i="3" s="1"/>
  <c r="X1410" i="3" a="1"/>
  <c r="X1410" i="3" s="1"/>
  <c r="W1410" i="3" a="1"/>
  <c r="W1410" i="3" s="1"/>
  <c r="V1410" i="3" a="1"/>
  <c r="V1410" i="3" s="1"/>
  <c r="Y1409" i="3" a="1"/>
  <c r="Y1409" i="3" s="1"/>
  <c r="X1409" i="3" a="1"/>
  <c r="X1409" i="3" s="1"/>
  <c r="W1409" i="3" a="1"/>
  <c r="W1409" i="3" s="1"/>
  <c r="V1409" i="3" a="1"/>
  <c r="V1409" i="3" s="1"/>
  <c r="Y1408" i="3" a="1"/>
  <c r="Y1408" i="3" s="1"/>
  <c r="X1408" i="3" a="1"/>
  <c r="X1408" i="3" s="1"/>
  <c r="W1408" i="3" a="1"/>
  <c r="W1408" i="3" s="1"/>
  <c r="V1408" i="3" a="1"/>
  <c r="V1408" i="3" s="1"/>
  <c r="Y1407" i="3" a="1"/>
  <c r="Y1407" i="3" s="1"/>
  <c r="X1407" i="3" a="1"/>
  <c r="X1407" i="3" s="1"/>
  <c r="W1407" i="3" a="1"/>
  <c r="W1407" i="3" s="1"/>
  <c r="V1407" i="3" a="1"/>
  <c r="V1407" i="3" s="1"/>
  <c r="Y1406" i="3" a="1"/>
  <c r="Y1406" i="3" s="1"/>
  <c r="X1406" i="3" a="1"/>
  <c r="X1406" i="3" s="1"/>
  <c r="W1406" i="3" a="1"/>
  <c r="W1406" i="3" s="1"/>
  <c r="V1406" i="3" a="1"/>
  <c r="V1406" i="3" s="1"/>
  <c r="Y1405" i="3" a="1"/>
  <c r="Y1405" i="3" s="1"/>
  <c r="X1405" i="3" a="1"/>
  <c r="X1405" i="3" s="1"/>
  <c r="W1405" i="3" a="1"/>
  <c r="W1405" i="3" s="1"/>
  <c r="V1405" i="3" a="1"/>
  <c r="V1405" i="3" s="1"/>
  <c r="Y1404" i="3" a="1"/>
  <c r="Y1404" i="3" s="1"/>
  <c r="X1404" i="3" a="1"/>
  <c r="X1404" i="3" s="1"/>
  <c r="W1404" i="3" a="1"/>
  <c r="W1404" i="3" s="1"/>
  <c r="V1404" i="3" a="1"/>
  <c r="V1404" i="3" s="1"/>
  <c r="Y1403" i="3" a="1"/>
  <c r="Y1403" i="3" s="1"/>
  <c r="X1403" i="3" a="1"/>
  <c r="X1403" i="3" s="1"/>
  <c r="W1403" i="3" a="1"/>
  <c r="W1403" i="3" s="1"/>
  <c r="V1403" i="3" a="1"/>
  <c r="V1403" i="3" s="1"/>
  <c r="Y1402" i="3" a="1"/>
  <c r="Y1402" i="3" s="1"/>
  <c r="X1402" i="3" a="1"/>
  <c r="X1402" i="3" s="1"/>
  <c r="W1402" i="3" a="1"/>
  <c r="W1402" i="3" s="1"/>
  <c r="V1402" i="3" a="1"/>
  <c r="V1402" i="3" s="1"/>
  <c r="Y1401" i="3" a="1"/>
  <c r="Y1401" i="3" s="1"/>
  <c r="X1401" i="3" a="1"/>
  <c r="X1401" i="3" s="1"/>
  <c r="W1401" i="3" a="1"/>
  <c r="W1401" i="3" s="1"/>
  <c r="V1401" i="3" a="1"/>
  <c r="V1401" i="3" s="1"/>
  <c r="Y1400" i="3" a="1"/>
  <c r="Y1400" i="3" s="1"/>
  <c r="X1400" i="3" a="1"/>
  <c r="X1400" i="3" s="1"/>
  <c r="W1400" i="3" a="1"/>
  <c r="W1400" i="3" s="1"/>
  <c r="V1400" i="3" a="1"/>
  <c r="V1400" i="3" s="1"/>
  <c r="Y1399" i="3" a="1"/>
  <c r="Y1399" i="3" s="1"/>
  <c r="X1399" i="3" a="1"/>
  <c r="X1399" i="3" s="1"/>
  <c r="W1399" i="3" a="1"/>
  <c r="W1399" i="3" s="1"/>
  <c r="V1399" i="3" a="1"/>
  <c r="V1399" i="3" s="1"/>
  <c r="Y1398" i="3" a="1"/>
  <c r="Y1398" i="3" s="1"/>
  <c r="X1398" i="3" a="1"/>
  <c r="X1398" i="3" s="1"/>
  <c r="W1398" i="3" a="1"/>
  <c r="W1398" i="3" s="1"/>
  <c r="V1398" i="3" a="1"/>
  <c r="V1398" i="3" s="1"/>
  <c r="Y1397" i="3" a="1"/>
  <c r="Y1397" i="3" s="1"/>
  <c r="X1397" i="3" a="1"/>
  <c r="X1397" i="3" s="1"/>
  <c r="W1397" i="3" a="1"/>
  <c r="W1397" i="3" s="1"/>
  <c r="V1397" i="3" a="1"/>
  <c r="V1397" i="3" s="1"/>
  <c r="Y1396" i="3" a="1"/>
  <c r="Y1396" i="3" s="1"/>
  <c r="X1396" i="3" a="1"/>
  <c r="X1396" i="3" s="1"/>
  <c r="W1396" i="3" a="1"/>
  <c r="W1396" i="3" s="1"/>
  <c r="V1396" i="3" a="1"/>
  <c r="V1396" i="3" s="1"/>
  <c r="Y1395" i="3" a="1"/>
  <c r="Y1395" i="3" s="1"/>
  <c r="X1395" i="3" a="1"/>
  <c r="X1395" i="3" s="1"/>
  <c r="W1395" i="3" a="1"/>
  <c r="W1395" i="3" s="1"/>
  <c r="V1395" i="3" a="1"/>
  <c r="V1395" i="3" s="1"/>
  <c r="Y1394" i="3" a="1"/>
  <c r="Y1394" i="3" s="1"/>
  <c r="X1394" i="3" a="1"/>
  <c r="X1394" i="3" s="1"/>
  <c r="W1394" i="3" a="1"/>
  <c r="W1394" i="3" s="1"/>
  <c r="V1394" i="3" a="1"/>
  <c r="V1394" i="3" s="1"/>
  <c r="Y1393" i="3" a="1"/>
  <c r="Y1393" i="3" s="1"/>
  <c r="X1393" i="3" a="1"/>
  <c r="X1393" i="3" s="1"/>
  <c r="W1393" i="3" a="1"/>
  <c r="W1393" i="3" s="1"/>
  <c r="V1393" i="3" a="1"/>
  <c r="V1393" i="3" s="1"/>
  <c r="N37" i="5" l="1"/>
  <c r="E47" i="5"/>
  <c r="D47" i="5"/>
  <c r="E45" i="5"/>
  <c r="D45" i="5"/>
  <c r="E43" i="5"/>
  <c r="D43" i="5"/>
  <c r="E40" i="5"/>
  <c r="D40" i="5"/>
  <c r="E37" i="5"/>
  <c r="D37" i="5"/>
  <c r="E34" i="5"/>
  <c r="D34" i="5"/>
  <c r="E24" i="5"/>
  <c r="D24" i="5"/>
  <c r="E22" i="5"/>
  <c r="D22" i="5"/>
  <c r="E19" i="5"/>
  <c r="D19" i="5"/>
  <c r="E16" i="5"/>
  <c r="D16" i="5"/>
  <c r="E15" i="5"/>
  <c r="D15" i="5"/>
  <c r="E13" i="5"/>
  <c r="D13" i="5"/>
  <c r="E82" i="5"/>
  <c r="D82" i="5"/>
  <c r="E96" i="5"/>
  <c r="D96" i="5"/>
  <c r="E85" i="5"/>
  <c r="D85" i="5"/>
  <c r="E78" i="5"/>
  <c r="D78" i="5"/>
  <c r="E67" i="5"/>
  <c r="D67" i="5"/>
  <c r="E83" i="5" l="1"/>
  <c r="D83" i="5"/>
  <c r="B26" i="1"/>
  <c r="C17" i="1" l="1"/>
  <c r="C19" i="1" s="1"/>
  <c r="Y2062" i="3" l="1" a="1"/>
  <c r="Y2062" i="3" s="1"/>
  <c r="X2062" i="3" a="1"/>
  <c r="X2062" i="3" s="1"/>
  <c r="W2062" i="3" a="1"/>
  <c r="W2062" i="3" s="1"/>
  <c r="V2062" i="3" a="1"/>
  <c r="V2062" i="3" s="1"/>
  <c r="Y2050" i="3" a="1"/>
  <c r="Y2050" i="3" s="1"/>
  <c r="X2050" i="3" a="1"/>
  <c r="X2050" i="3" s="1"/>
  <c r="W2050" i="3" a="1"/>
  <c r="W2050" i="3" s="1"/>
  <c r="V2050" i="3" a="1"/>
  <c r="V2050" i="3" s="1"/>
  <c r="Y608" i="3" a="1"/>
  <c r="Y608" i="3" s="1"/>
  <c r="X608" i="3" a="1"/>
  <c r="X608" i="3" s="1"/>
  <c r="W608" i="3" a="1"/>
  <c r="W608" i="3" s="1"/>
  <c r="V608" i="3" a="1"/>
  <c r="V608" i="3" s="1"/>
  <c r="B17" i="2" l="1"/>
  <c r="Y2024" i="3" l="1" a="1"/>
  <c r="Y2024" i="3" s="1"/>
  <c r="X2024" i="3" a="1"/>
  <c r="X2024" i="3" s="1"/>
  <c r="W2024" i="3" a="1"/>
  <c r="W2024" i="3" s="1"/>
  <c r="V2024" i="3" a="1"/>
  <c r="V2024" i="3" s="1"/>
  <c r="Y2000" i="3" a="1"/>
  <c r="Y2000" i="3" s="1"/>
  <c r="X2000" i="3" a="1"/>
  <c r="X2000" i="3" s="1"/>
  <c r="W2000" i="3" a="1"/>
  <c r="W2000" i="3" s="1"/>
  <c r="V2000" i="3" a="1"/>
  <c r="V2000" i="3" s="1"/>
  <c r="Y1997" i="3" a="1"/>
  <c r="Y1997" i="3" s="1"/>
  <c r="X1997" i="3" a="1"/>
  <c r="X1997" i="3" s="1"/>
  <c r="W1997" i="3" a="1"/>
  <c r="W1997" i="3" s="1"/>
  <c r="V1997" i="3" a="1"/>
  <c r="V1997" i="3" s="1"/>
  <c r="Y1987" i="3" a="1"/>
  <c r="Y1987" i="3" s="1"/>
  <c r="X1987" i="3" a="1"/>
  <c r="X1987" i="3" s="1"/>
  <c r="W1987" i="3" a="1"/>
  <c r="W1987" i="3" s="1"/>
  <c r="V1987" i="3" a="1"/>
  <c r="V1987" i="3" s="1"/>
  <c r="Y1981" i="3" a="1"/>
  <c r="Y1981" i="3" s="1"/>
  <c r="X1981" i="3" a="1"/>
  <c r="X1981" i="3" s="1"/>
  <c r="W1981" i="3" a="1"/>
  <c r="W1981" i="3" s="1"/>
  <c r="V1981" i="3" a="1"/>
  <c r="V1981" i="3" s="1"/>
  <c r="Y1977" i="3" a="1"/>
  <c r="Y1977" i="3" s="1"/>
  <c r="X1977" i="3" a="1"/>
  <c r="X1977" i="3" s="1"/>
  <c r="W1977" i="3" a="1"/>
  <c r="W1977" i="3" s="1"/>
  <c r="V1977" i="3" a="1"/>
  <c r="V1977" i="3" s="1"/>
  <c r="Y1964" i="3" a="1"/>
  <c r="Y1964" i="3" s="1"/>
  <c r="X1964" i="3" a="1"/>
  <c r="X1964" i="3" s="1"/>
  <c r="W1964" i="3" a="1"/>
  <c r="W1964" i="3" s="1"/>
  <c r="V1964" i="3" a="1"/>
  <c r="V1964" i="3" s="1"/>
  <c r="Y1962" i="3" a="1"/>
  <c r="Y1962" i="3" s="1"/>
  <c r="X1962" i="3" a="1"/>
  <c r="X1962" i="3" s="1"/>
  <c r="W1962" i="3" a="1"/>
  <c r="W1962" i="3" s="1"/>
  <c r="V1962" i="3" a="1"/>
  <c r="V1962" i="3" s="1"/>
  <c r="Y1961" i="3" a="1"/>
  <c r="Y1961" i="3" s="1"/>
  <c r="X1961" i="3" a="1"/>
  <c r="X1961" i="3" s="1"/>
  <c r="W1961" i="3" a="1"/>
  <c r="W1961" i="3" s="1"/>
  <c r="V1961" i="3" a="1"/>
  <c r="V1961" i="3" s="1"/>
  <c r="Y1959" i="3" a="1"/>
  <c r="Y1959" i="3" s="1"/>
  <c r="X1959" i="3" a="1"/>
  <c r="X1959" i="3" s="1"/>
  <c r="W1959" i="3" a="1"/>
  <c r="W1959" i="3" s="1"/>
  <c r="V1959" i="3" a="1"/>
  <c r="V1959" i="3" s="1"/>
  <c r="Y1958" i="3" a="1"/>
  <c r="Y1958" i="3" s="1"/>
  <c r="X1958" i="3" a="1"/>
  <c r="X1958" i="3" s="1"/>
  <c r="W1958" i="3" a="1"/>
  <c r="W1958" i="3" s="1"/>
  <c r="V1958" i="3" a="1"/>
  <c r="V1958" i="3" s="1"/>
  <c r="Y1956" i="3" a="1"/>
  <c r="Y1956" i="3" s="1"/>
  <c r="X1956" i="3" a="1"/>
  <c r="X1956" i="3" s="1"/>
  <c r="W1956" i="3" a="1"/>
  <c r="W1956" i="3" s="1"/>
  <c r="V1956" i="3" a="1"/>
  <c r="V1956" i="3" s="1"/>
  <c r="Y1955" i="3" a="1"/>
  <c r="Y1955" i="3" s="1"/>
  <c r="X1955" i="3" a="1"/>
  <c r="X1955" i="3" s="1"/>
  <c r="W1955" i="3" a="1"/>
  <c r="W1955" i="3" s="1"/>
  <c r="V1955" i="3" a="1"/>
  <c r="V1955" i="3" s="1"/>
  <c r="Y1953" i="3" a="1"/>
  <c r="Y1953" i="3" s="1"/>
  <c r="X1953" i="3" a="1"/>
  <c r="X1953" i="3" s="1"/>
  <c r="W1953" i="3" a="1"/>
  <c r="W1953" i="3" s="1"/>
  <c r="V1953" i="3" a="1"/>
  <c r="V1953" i="3" s="1"/>
  <c r="Y1952" i="3" a="1"/>
  <c r="Y1952" i="3" s="1"/>
  <c r="X1952" i="3" a="1"/>
  <c r="X1952" i="3" s="1"/>
  <c r="W1952" i="3" a="1"/>
  <c r="W1952" i="3" s="1"/>
  <c r="V1952" i="3" a="1"/>
  <c r="V1952" i="3" s="1"/>
  <c r="Y1950" i="3" a="1"/>
  <c r="Y1950" i="3" s="1"/>
  <c r="X1950" i="3" a="1"/>
  <c r="X1950" i="3" s="1"/>
  <c r="W1950" i="3" a="1"/>
  <c r="W1950" i="3" s="1"/>
  <c r="V1950" i="3" a="1"/>
  <c r="V1950" i="3" s="1"/>
  <c r="Y1949" i="3" a="1"/>
  <c r="Y1949" i="3" s="1"/>
  <c r="X1949" i="3" a="1"/>
  <c r="X1949" i="3" s="1"/>
  <c r="W1949" i="3" a="1"/>
  <c r="W1949" i="3" s="1"/>
  <c r="V1949" i="3" a="1"/>
  <c r="V1949" i="3" s="1"/>
  <c r="Y488" i="3" a="1"/>
  <c r="Y488" i="3" s="1"/>
  <c r="X488" i="3" a="1"/>
  <c r="X488" i="3" s="1"/>
  <c r="W488" i="3" a="1"/>
  <c r="W488" i="3" s="1"/>
  <c r="V488" i="3" a="1"/>
  <c r="V488" i="3" s="1"/>
  <c r="Y486" i="3" a="1"/>
  <c r="Y486" i="3" s="1"/>
  <c r="X486" i="3" a="1"/>
  <c r="X486" i="3" s="1"/>
  <c r="W486" i="3" a="1"/>
  <c r="W486" i="3" s="1"/>
  <c r="V486" i="3" a="1"/>
  <c r="V486" i="3" s="1"/>
  <c r="Y365" i="3" a="1"/>
  <c r="Y365" i="3" s="1"/>
  <c r="X365" i="3" a="1"/>
  <c r="X365" i="3" s="1"/>
  <c r="W365" i="3" a="1"/>
  <c r="W365" i="3" s="1"/>
  <c r="V365" i="3" a="1"/>
  <c r="V365" i="3" s="1"/>
  <c r="Y351" i="3" a="1"/>
  <c r="Y351" i="3" s="1"/>
  <c r="X351" i="3" a="1"/>
  <c r="X351" i="3" s="1"/>
  <c r="W351" i="3" a="1"/>
  <c r="W351" i="3" s="1"/>
  <c r="V351" i="3" a="1"/>
  <c r="V351" i="3" s="1"/>
  <c r="Y350" i="3" a="1"/>
  <c r="Y350" i="3" s="1"/>
  <c r="X350" i="3" a="1"/>
  <c r="X350" i="3" s="1"/>
  <c r="W350" i="3" a="1"/>
  <c r="W350" i="3" s="1"/>
  <c r="V350" i="3" a="1"/>
  <c r="V350" i="3" s="1"/>
  <c r="Y348" i="3" a="1"/>
  <c r="Y348" i="3" s="1"/>
  <c r="X348" i="3" a="1"/>
  <c r="X348" i="3" s="1"/>
  <c r="W348" i="3" a="1"/>
  <c r="W348" i="3" s="1"/>
  <c r="V348" i="3" a="1"/>
  <c r="V348" i="3" s="1"/>
  <c r="Y347" i="3" a="1"/>
  <c r="Y347" i="3" s="1"/>
  <c r="X347" i="3" a="1"/>
  <c r="X347" i="3" s="1"/>
  <c r="W347" i="3" a="1"/>
  <c r="W347" i="3" s="1"/>
  <c r="V347" i="3" a="1"/>
  <c r="V347" i="3" s="1"/>
  <c r="Y345" i="3" a="1"/>
  <c r="Y345" i="3" s="1"/>
  <c r="X345" i="3" a="1"/>
  <c r="X345" i="3" s="1"/>
  <c r="W345" i="3" a="1"/>
  <c r="W345" i="3" s="1"/>
  <c r="V345" i="3" a="1"/>
  <c r="V345" i="3" s="1"/>
  <c r="Y344" i="3" a="1"/>
  <c r="Y344" i="3" s="1"/>
  <c r="X344" i="3" a="1"/>
  <c r="X344" i="3" s="1"/>
  <c r="W344" i="3" a="1"/>
  <c r="W344" i="3" s="1"/>
  <c r="V344" i="3" a="1"/>
  <c r="V344" i="3" s="1"/>
  <c r="Y342" i="3" a="1"/>
  <c r="Y342" i="3" s="1"/>
  <c r="X342" i="3" a="1"/>
  <c r="X342" i="3" s="1"/>
  <c r="W342" i="3" a="1"/>
  <c r="W342" i="3" s="1"/>
  <c r="V342" i="3" a="1"/>
  <c r="V342" i="3" s="1"/>
  <c r="Y341" i="3" a="1"/>
  <c r="Y341" i="3" s="1"/>
  <c r="X341" i="3" a="1"/>
  <c r="X341" i="3" s="1"/>
  <c r="W341" i="3" a="1"/>
  <c r="W341" i="3" s="1"/>
  <c r="V341" i="3" a="1"/>
  <c r="V341" i="3" s="1"/>
  <c r="Y2091" i="3" a="1"/>
  <c r="Y2091" i="3" s="1"/>
  <c r="X2091" i="3" a="1"/>
  <c r="X2091" i="3" s="1"/>
  <c r="W2091" i="3" a="1"/>
  <c r="W2091" i="3" s="1"/>
  <c r="V2091" i="3" a="1"/>
  <c r="V2091" i="3" s="1"/>
  <c r="Y2090" i="3" a="1"/>
  <c r="Y2090" i="3" s="1"/>
  <c r="X2090" i="3" a="1"/>
  <c r="X2090" i="3" s="1"/>
  <c r="W2090" i="3" a="1"/>
  <c r="W2090" i="3" s="1"/>
  <c r="V2090" i="3" a="1"/>
  <c r="V2090" i="3" s="1"/>
  <c r="Y2089" i="3" a="1"/>
  <c r="Y2089" i="3" s="1"/>
  <c r="X2089" i="3" a="1"/>
  <c r="X2089" i="3" s="1"/>
  <c r="W2089" i="3" a="1"/>
  <c r="W2089" i="3" s="1"/>
  <c r="V2089" i="3" a="1"/>
  <c r="V2089" i="3" s="1"/>
  <c r="Y2088" i="3" a="1"/>
  <c r="Y2088" i="3" s="1"/>
  <c r="X2088" i="3" a="1"/>
  <c r="X2088" i="3" s="1"/>
  <c r="W2088" i="3" a="1"/>
  <c r="W2088" i="3" s="1"/>
  <c r="V2088" i="3" a="1"/>
  <c r="V2088" i="3" s="1"/>
  <c r="Y2087" i="3" a="1"/>
  <c r="Y2087" i="3" s="1"/>
  <c r="X2087" i="3" a="1"/>
  <c r="X2087" i="3" s="1"/>
  <c r="W2087" i="3" a="1"/>
  <c r="W2087" i="3" s="1"/>
  <c r="V2087" i="3" a="1"/>
  <c r="V2087" i="3" s="1"/>
  <c r="Y2086" i="3" a="1"/>
  <c r="Y2086" i="3" s="1"/>
  <c r="X2086" i="3" a="1"/>
  <c r="X2086" i="3" s="1"/>
  <c r="W2086" i="3" a="1"/>
  <c r="W2086" i="3" s="1"/>
  <c r="V2086" i="3" a="1"/>
  <c r="V2086" i="3" s="1"/>
  <c r="Y2085" i="3" a="1"/>
  <c r="Y2085" i="3" s="1"/>
  <c r="X2085" i="3" a="1"/>
  <c r="X2085" i="3" s="1"/>
  <c r="W2085" i="3" a="1"/>
  <c r="W2085" i="3" s="1"/>
  <c r="V2085" i="3" a="1"/>
  <c r="V2085" i="3" s="1"/>
  <c r="Y2084" i="3" a="1"/>
  <c r="Y2084" i="3" s="1"/>
  <c r="X2084" i="3" a="1"/>
  <c r="X2084" i="3" s="1"/>
  <c r="W2084" i="3" a="1"/>
  <c r="W2084" i="3" s="1"/>
  <c r="V2084" i="3" a="1"/>
  <c r="V2084" i="3" s="1"/>
  <c r="Y2083" i="3" a="1"/>
  <c r="Y2083" i="3" s="1"/>
  <c r="X2083" i="3" a="1"/>
  <c r="X2083" i="3" s="1"/>
  <c r="W2083" i="3" a="1"/>
  <c r="W2083" i="3" s="1"/>
  <c r="V2083" i="3" a="1"/>
  <c r="V2083" i="3" s="1"/>
  <c r="Y2082" i="3" a="1"/>
  <c r="Y2082" i="3" s="1"/>
  <c r="X2082" i="3" a="1"/>
  <c r="X2082" i="3" s="1"/>
  <c r="W2082" i="3" a="1"/>
  <c r="W2082" i="3" s="1"/>
  <c r="V2082" i="3" a="1"/>
  <c r="V2082" i="3" s="1"/>
  <c r="Y2081" i="3" a="1"/>
  <c r="Y2081" i="3" s="1"/>
  <c r="X2081" i="3" a="1"/>
  <c r="X2081" i="3" s="1"/>
  <c r="W2081" i="3" a="1"/>
  <c r="W2081" i="3" s="1"/>
  <c r="V2081" i="3" a="1"/>
  <c r="V2081" i="3" s="1"/>
  <c r="Y2080" i="3" a="1"/>
  <c r="Y2080" i="3" s="1"/>
  <c r="X2080" i="3" a="1"/>
  <c r="X2080" i="3" s="1"/>
  <c r="W2080" i="3" a="1"/>
  <c r="W2080" i="3" s="1"/>
  <c r="V2080" i="3" a="1"/>
  <c r="V2080" i="3" s="1"/>
  <c r="Y2079" i="3" a="1"/>
  <c r="Y2079" i="3" s="1"/>
  <c r="X2079" i="3" a="1"/>
  <c r="X2079" i="3" s="1"/>
  <c r="W2079" i="3" a="1"/>
  <c r="W2079" i="3" s="1"/>
  <c r="V2079" i="3" a="1"/>
  <c r="V2079" i="3" s="1"/>
  <c r="Y2078" i="3" a="1"/>
  <c r="Y2078" i="3" s="1"/>
  <c r="X2078" i="3" a="1"/>
  <c r="X2078" i="3" s="1"/>
  <c r="W2078" i="3" a="1"/>
  <c r="W2078" i="3" s="1"/>
  <c r="V2078" i="3" a="1"/>
  <c r="V2078" i="3" s="1"/>
  <c r="Y2077" i="3" a="1"/>
  <c r="Y2077" i="3" s="1"/>
  <c r="X2077" i="3" a="1"/>
  <c r="X2077" i="3" s="1"/>
  <c r="W2077" i="3" a="1"/>
  <c r="W2077" i="3" s="1"/>
  <c r="V2077" i="3" a="1"/>
  <c r="V2077" i="3" s="1"/>
  <c r="Y2076" i="3" a="1"/>
  <c r="Y2076" i="3" s="1"/>
  <c r="X2076" i="3" a="1"/>
  <c r="X2076" i="3" s="1"/>
  <c r="W2076" i="3" a="1"/>
  <c r="W2076" i="3" s="1"/>
  <c r="V2076" i="3" a="1"/>
  <c r="V2076" i="3" s="1"/>
  <c r="Y2075" i="3" a="1"/>
  <c r="Y2075" i="3" s="1"/>
  <c r="X2075" i="3" a="1"/>
  <c r="X2075" i="3" s="1"/>
  <c r="W2075" i="3" a="1"/>
  <c r="W2075" i="3" s="1"/>
  <c r="V2075" i="3" a="1"/>
  <c r="V2075" i="3" s="1"/>
  <c r="Y2074" i="3" a="1"/>
  <c r="Y2074" i="3" s="1"/>
  <c r="X2074" i="3" a="1"/>
  <c r="X2074" i="3" s="1"/>
  <c r="W2074" i="3" a="1"/>
  <c r="W2074" i="3" s="1"/>
  <c r="V2074" i="3" a="1"/>
  <c r="V2074" i="3" s="1"/>
  <c r="Y2073" i="3" a="1"/>
  <c r="Y2073" i="3" s="1"/>
  <c r="X2073" i="3" a="1"/>
  <c r="X2073" i="3" s="1"/>
  <c r="W2073" i="3" a="1"/>
  <c r="W2073" i="3" s="1"/>
  <c r="V2073" i="3" a="1"/>
  <c r="V2073" i="3" s="1"/>
  <c r="Y2072" i="3" a="1"/>
  <c r="Y2072" i="3" s="1"/>
  <c r="X2072" i="3" a="1"/>
  <c r="X2072" i="3" s="1"/>
  <c r="W2072" i="3" a="1"/>
  <c r="W2072" i="3" s="1"/>
  <c r="V2072" i="3" a="1"/>
  <c r="V2072" i="3" s="1"/>
  <c r="Y2071" i="3" a="1"/>
  <c r="Y2071" i="3" s="1"/>
  <c r="X2071" i="3" a="1"/>
  <c r="X2071" i="3" s="1"/>
  <c r="W2071" i="3" a="1"/>
  <c r="W2071" i="3" s="1"/>
  <c r="V2071" i="3" a="1"/>
  <c r="V2071" i="3" s="1"/>
  <c r="Y2070" i="3" a="1"/>
  <c r="Y2070" i="3" s="1"/>
  <c r="X2070" i="3" a="1"/>
  <c r="X2070" i="3" s="1"/>
  <c r="W2070" i="3" a="1"/>
  <c r="W2070" i="3" s="1"/>
  <c r="V2070" i="3" a="1"/>
  <c r="V2070" i="3" s="1"/>
  <c r="Y2069" i="3" a="1"/>
  <c r="Y2069" i="3" s="1"/>
  <c r="X2069" i="3" a="1"/>
  <c r="X2069" i="3" s="1"/>
  <c r="W2069" i="3" a="1"/>
  <c r="W2069" i="3" s="1"/>
  <c r="V2069" i="3" a="1"/>
  <c r="V2069" i="3" s="1"/>
  <c r="Y2068" i="3" a="1"/>
  <c r="Y2068" i="3" s="1"/>
  <c r="X2068" i="3" a="1"/>
  <c r="X2068" i="3" s="1"/>
  <c r="W2068" i="3" a="1"/>
  <c r="W2068" i="3" s="1"/>
  <c r="V2068" i="3" a="1"/>
  <c r="V2068" i="3" s="1"/>
  <c r="Y2067" i="3" a="1"/>
  <c r="Y2067" i="3" s="1"/>
  <c r="X2067" i="3" a="1"/>
  <c r="X2067" i="3" s="1"/>
  <c r="W2067" i="3" a="1"/>
  <c r="W2067" i="3" s="1"/>
  <c r="V2067" i="3" a="1"/>
  <c r="V2067" i="3" s="1"/>
  <c r="Y2066" i="3" a="1"/>
  <c r="Y2066" i="3" s="1"/>
  <c r="X2066" i="3" a="1"/>
  <c r="X2066" i="3" s="1"/>
  <c r="W2066" i="3" a="1"/>
  <c r="W2066" i="3" s="1"/>
  <c r="V2066" i="3" a="1"/>
  <c r="V2066" i="3" s="1"/>
  <c r="Y2065" i="3" a="1"/>
  <c r="Y2065" i="3" s="1"/>
  <c r="X2065" i="3" a="1"/>
  <c r="X2065" i="3" s="1"/>
  <c r="W2065" i="3" a="1"/>
  <c r="W2065" i="3" s="1"/>
  <c r="V2065" i="3" a="1"/>
  <c r="V2065" i="3" s="1"/>
  <c r="Y2064" i="3" a="1"/>
  <c r="Y2064" i="3" s="1"/>
  <c r="X2064" i="3" a="1"/>
  <c r="X2064" i="3" s="1"/>
  <c r="W2064" i="3" a="1"/>
  <c r="W2064" i="3" s="1"/>
  <c r="V2064" i="3" a="1"/>
  <c r="V2064" i="3" s="1"/>
  <c r="Y2063" i="3" a="1"/>
  <c r="Y2063" i="3" s="1"/>
  <c r="X2063" i="3" a="1"/>
  <c r="X2063" i="3" s="1"/>
  <c r="W2063" i="3" a="1"/>
  <c r="W2063" i="3" s="1"/>
  <c r="V2063" i="3" a="1"/>
  <c r="V2063" i="3" s="1"/>
  <c r="Y2061" i="3" a="1"/>
  <c r="Y2061" i="3" s="1"/>
  <c r="X2061" i="3" a="1"/>
  <c r="X2061" i="3" s="1"/>
  <c r="W2061" i="3" a="1"/>
  <c r="W2061" i="3" s="1"/>
  <c r="V2061" i="3" a="1"/>
  <c r="V2061" i="3" s="1"/>
  <c r="Y2060" i="3" a="1"/>
  <c r="Y2060" i="3" s="1"/>
  <c r="X2060" i="3" a="1"/>
  <c r="X2060" i="3" s="1"/>
  <c r="W2060" i="3" a="1"/>
  <c r="W2060" i="3" s="1"/>
  <c r="V2060" i="3" a="1"/>
  <c r="V2060" i="3" s="1"/>
  <c r="Y2059" i="3" a="1"/>
  <c r="Y2059" i="3" s="1"/>
  <c r="X2059" i="3" a="1"/>
  <c r="X2059" i="3" s="1"/>
  <c r="W2059" i="3" a="1"/>
  <c r="W2059" i="3" s="1"/>
  <c r="V2059" i="3" a="1"/>
  <c r="V2059" i="3" s="1"/>
  <c r="Y2058" i="3" a="1"/>
  <c r="Y2058" i="3" s="1"/>
  <c r="X2058" i="3" a="1"/>
  <c r="X2058" i="3" s="1"/>
  <c r="W2058" i="3" a="1"/>
  <c r="W2058" i="3" s="1"/>
  <c r="V2058" i="3" a="1"/>
  <c r="V2058" i="3" s="1"/>
  <c r="Y2057" i="3" a="1"/>
  <c r="Y2057" i="3" s="1"/>
  <c r="X2057" i="3" a="1"/>
  <c r="X2057" i="3" s="1"/>
  <c r="W2057" i="3" a="1"/>
  <c r="W2057" i="3" s="1"/>
  <c r="V2057" i="3" a="1"/>
  <c r="V2057" i="3" s="1"/>
  <c r="Y2056" i="3" a="1"/>
  <c r="Y2056" i="3" s="1"/>
  <c r="X2056" i="3" a="1"/>
  <c r="X2056" i="3" s="1"/>
  <c r="W2056" i="3" a="1"/>
  <c r="W2056" i="3" s="1"/>
  <c r="V2056" i="3" a="1"/>
  <c r="V2056" i="3" s="1"/>
  <c r="Y2055" i="3" a="1"/>
  <c r="Y2055" i="3" s="1"/>
  <c r="X2055" i="3" a="1"/>
  <c r="X2055" i="3" s="1"/>
  <c r="W2055" i="3" a="1"/>
  <c r="W2055" i="3" s="1"/>
  <c r="V2055" i="3" a="1"/>
  <c r="V2055" i="3" s="1"/>
  <c r="Y2054" i="3" a="1"/>
  <c r="Y2054" i="3" s="1"/>
  <c r="X2054" i="3" a="1"/>
  <c r="X2054" i="3" s="1"/>
  <c r="W2054" i="3" a="1"/>
  <c r="W2054" i="3" s="1"/>
  <c r="V2054" i="3" a="1"/>
  <c r="V2054" i="3" s="1"/>
  <c r="Y2053" i="3" a="1"/>
  <c r="Y2053" i="3" s="1"/>
  <c r="X2053" i="3" a="1"/>
  <c r="X2053" i="3" s="1"/>
  <c r="W2053" i="3" a="1"/>
  <c r="W2053" i="3" s="1"/>
  <c r="V2053" i="3" a="1"/>
  <c r="V2053" i="3" s="1"/>
  <c r="Y2052" i="3" a="1"/>
  <c r="Y2052" i="3" s="1"/>
  <c r="X2052" i="3" a="1"/>
  <c r="X2052" i="3" s="1"/>
  <c r="W2052" i="3" a="1"/>
  <c r="W2052" i="3" s="1"/>
  <c r="V2052" i="3" a="1"/>
  <c r="V2052" i="3" s="1"/>
  <c r="Y2051" i="3" a="1"/>
  <c r="Y2051" i="3" s="1"/>
  <c r="X2051" i="3" a="1"/>
  <c r="X2051" i="3" s="1"/>
  <c r="W2051" i="3" a="1"/>
  <c r="W2051" i="3" s="1"/>
  <c r="V2051" i="3" a="1"/>
  <c r="V2051" i="3" s="1"/>
  <c r="Y2049" i="3" a="1"/>
  <c r="Y2049" i="3" s="1"/>
  <c r="X2049" i="3" a="1"/>
  <c r="X2049" i="3" s="1"/>
  <c r="W2049" i="3" a="1"/>
  <c r="W2049" i="3" s="1"/>
  <c r="V2049" i="3" a="1"/>
  <c r="V2049" i="3" s="1"/>
  <c r="Y2048" i="3" a="1"/>
  <c r="Y2048" i="3" s="1"/>
  <c r="X2048" i="3" a="1"/>
  <c r="X2048" i="3" s="1"/>
  <c r="W2048" i="3" a="1"/>
  <c r="W2048" i="3" s="1"/>
  <c r="V2048" i="3" a="1"/>
  <c r="V2048" i="3" s="1"/>
  <c r="Y2047" i="3" a="1"/>
  <c r="Y2047" i="3" s="1"/>
  <c r="X2047" i="3" a="1"/>
  <c r="X2047" i="3" s="1"/>
  <c r="W2047" i="3" a="1"/>
  <c r="W2047" i="3" s="1"/>
  <c r="V2047" i="3" a="1"/>
  <c r="V2047" i="3" s="1"/>
  <c r="Y2046" i="3" a="1"/>
  <c r="Y2046" i="3" s="1"/>
  <c r="X2046" i="3" a="1"/>
  <c r="X2046" i="3" s="1"/>
  <c r="W2046" i="3" a="1"/>
  <c r="W2046" i="3" s="1"/>
  <c r="V2046" i="3" a="1"/>
  <c r="V2046" i="3" s="1"/>
  <c r="Y2045" i="3" a="1"/>
  <c r="Y2045" i="3" s="1"/>
  <c r="X2045" i="3" a="1"/>
  <c r="X2045" i="3" s="1"/>
  <c r="W2045" i="3" a="1"/>
  <c r="W2045" i="3" s="1"/>
  <c r="V2045" i="3" a="1"/>
  <c r="V2045" i="3" s="1"/>
  <c r="Y2044" i="3" a="1"/>
  <c r="Y2044" i="3" s="1"/>
  <c r="X2044" i="3" a="1"/>
  <c r="X2044" i="3" s="1"/>
  <c r="W2044" i="3" a="1"/>
  <c r="W2044" i="3" s="1"/>
  <c r="V2044" i="3" a="1"/>
  <c r="V2044" i="3" s="1"/>
  <c r="Y2042" i="3" a="1"/>
  <c r="Y2042" i="3" s="1"/>
  <c r="X2042" i="3" a="1"/>
  <c r="X2042" i="3" s="1"/>
  <c r="W2042" i="3" a="1"/>
  <c r="W2042" i="3" s="1"/>
  <c r="V2042" i="3" a="1"/>
  <c r="V2042" i="3" s="1"/>
  <c r="Y2041" i="3" a="1"/>
  <c r="Y2041" i="3" s="1"/>
  <c r="X2041" i="3" a="1"/>
  <c r="X2041" i="3" s="1"/>
  <c r="W2041" i="3" a="1"/>
  <c r="W2041" i="3" s="1"/>
  <c r="V2041" i="3" a="1"/>
  <c r="V2041" i="3" s="1"/>
  <c r="Y2040" i="3" a="1"/>
  <c r="Y2040" i="3" s="1"/>
  <c r="X2040" i="3" a="1"/>
  <c r="X2040" i="3" s="1"/>
  <c r="W2040" i="3" a="1"/>
  <c r="W2040" i="3" s="1"/>
  <c r="V2040" i="3" a="1"/>
  <c r="V2040" i="3" s="1"/>
  <c r="Y2038" i="3" a="1"/>
  <c r="Y2038" i="3" s="1"/>
  <c r="X2038" i="3" a="1"/>
  <c r="X2038" i="3" s="1"/>
  <c r="W2038" i="3" a="1"/>
  <c r="W2038" i="3" s="1"/>
  <c r="V2038" i="3" a="1"/>
  <c r="V2038" i="3" s="1"/>
  <c r="Y2037" i="3" a="1"/>
  <c r="Y2037" i="3" s="1"/>
  <c r="X2037" i="3" a="1"/>
  <c r="X2037" i="3" s="1"/>
  <c r="W2037" i="3" a="1"/>
  <c r="W2037" i="3" s="1"/>
  <c r="V2037" i="3" a="1"/>
  <c r="V2037" i="3" s="1"/>
  <c r="Y2036" i="3" a="1"/>
  <c r="Y2036" i="3" s="1"/>
  <c r="X2036" i="3" a="1"/>
  <c r="X2036" i="3" s="1"/>
  <c r="W2036" i="3" a="1"/>
  <c r="W2036" i="3" s="1"/>
  <c r="V2036" i="3" a="1"/>
  <c r="V2036" i="3" s="1"/>
  <c r="Y2034" i="3" a="1"/>
  <c r="Y2034" i="3" s="1"/>
  <c r="X2034" i="3" a="1"/>
  <c r="X2034" i="3" s="1"/>
  <c r="W2034" i="3" a="1"/>
  <c r="W2034" i="3" s="1"/>
  <c r="V2034" i="3" a="1"/>
  <c r="V2034" i="3" s="1"/>
  <c r="Y2033" i="3" a="1"/>
  <c r="Y2033" i="3" s="1"/>
  <c r="X2033" i="3" a="1"/>
  <c r="X2033" i="3" s="1"/>
  <c r="W2033" i="3" a="1"/>
  <c r="W2033" i="3" s="1"/>
  <c r="V2033" i="3" a="1"/>
  <c r="V2033" i="3" s="1"/>
  <c r="Y2032" i="3" a="1"/>
  <c r="Y2032" i="3" s="1"/>
  <c r="X2032" i="3" a="1"/>
  <c r="X2032" i="3" s="1"/>
  <c r="W2032" i="3" a="1"/>
  <c r="W2032" i="3" s="1"/>
  <c r="V2032" i="3" a="1"/>
  <c r="V2032" i="3" s="1"/>
  <c r="Y2030" i="3" a="1"/>
  <c r="Y2030" i="3" s="1"/>
  <c r="X2030" i="3" a="1"/>
  <c r="X2030" i="3" s="1"/>
  <c r="W2030" i="3" a="1"/>
  <c r="W2030" i="3" s="1"/>
  <c r="V2030" i="3" a="1"/>
  <c r="V2030" i="3" s="1"/>
  <c r="Y2029" i="3" a="1"/>
  <c r="Y2029" i="3" s="1"/>
  <c r="X2029" i="3" a="1"/>
  <c r="X2029" i="3" s="1"/>
  <c r="W2029" i="3" a="1"/>
  <c r="W2029" i="3" s="1"/>
  <c r="V2029" i="3" a="1"/>
  <c r="V2029" i="3" s="1"/>
  <c r="Y2028" i="3" a="1"/>
  <c r="Y2028" i="3" s="1"/>
  <c r="X2028" i="3" a="1"/>
  <c r="X2028" i="3" s="1"/>
  <c r="W2028" i="3" a="1"/>
  <c r="W2028" i="3" s="1"/>
  <c r="V2028" i="3" a="1"/>
  <c r="V2028" i="3" s="1"/>
  <c r="Y2026" i="3" a="1"/>
  <c r="Y2026" i="3" s="1"/>
  <c r="X2026" i="3" a="1"/>
  <c r="X2026" i="3" s="1"/>
  <c r="W2026" i="3" a="1"/>
  <c r="W2026" i="3" s="1"/>
  <c r="V2026" i="3" a="1"/>
  <c r="V2026" i="3" s="1"/>
  <c r="Y2025" i="3" a="1"/>
  <c r="Y2025" i="3" s="1"/>
  <c r="X2025" i="3" a="1"/>
  <c r="X2025" i="3" s="1"/>
  <c r="W2025" i="3" a="1"/>
  <c r="W2025" i="3" s="1"/>
  <c r="V2025" i="3" a="1"/>
  <c r="V2025" i="3" s="1"/>
  <c r="Y2023" i="3" a="1"/>
  <c r="Y2023" i="3" s="1"/>
  <c r="X2023" i="3" a="1"/>
  <c r="X2023" i="3" s="1"/>
  <c r="W2023" i="3" a="1"/>
  <c r="W2023" i="3" s="1"/>
  <c r="V2023" i="3" a="1"/>
  <c r="V2023" i="3" s="1"/>
  <c r="Y2022" i="3" a="1"/>
  <c r="Y2022" i="3" s="1"/>
  <c r="X2022" i="3" a="1"/>
  <c r="X2022" i="3" s="1"/>
  <c r="W2022" i="3" a="1"/>
  <c r="W2022" i="3" s="1"/>
  <c r="V2022" i="3" a="1"/>
  <c r="V2022" i="3" s="1"/>
  <c r="Y2021" i="3" a="1"/>
  <c r="Y2021" i="3" s="1"/>
  <c r="X2021" i="3" a="1"/>
  <c r="X2021" i="3" s="1"/>
  <c r="W2021" i="3" a="1"/>
  <c r="W2021" i="3" s="1"/>
  <c r="V2021" i="3" a="1"/>
  <c r="V2021" i="3" s="1"/>
  <c r="Y2020" i="3" a="1"/>
  <c r="Y2020" i="3" s="1"/>
  <c r="X2020" i="3" a="1"/>
  <c r="X2020" i="3" s="1"/>
  <c r="W2020" i="3" a="1"/>
  <c r="W2020" i="3" s="1"/>
  <c r="V2020" i="3" a="1"/>
  <c r="V2020" i="3" s="1"/>
  <c r="Y2019" i="3" a="1"/>
  <c r="Y2019" i="3" s="1"/>
  <c r="X2019" i="3" a="1"/>
  <c r="X2019" i="3" s="1"/>
  <c r="W2019" i="3" a="1"/>
  <c r="W2019" i="3" s="1"/>
  <c r="V2019" i="3" a="1"/>
  <c r="V2019" i="3" s="1"/>
  <c r="Y2018" i="3" a="1"/>
  <c r="Y2018" i="3" s="1"/>
  <c r="X2018" i="3" a="1"/>
  <c r="X2018" i="3" s="1"/>
  <c r="W2018" i="3" a="1"/>
  <c r="W2018" i="3" s="1"/>
  <c r="V2018" i="3" a="1"/>
  <c r="V2018" i="3" s="1"/>
  <c r="Y2017" i="3" a="1"/>
  <c r="Y2017" i="3" s="1"/>
  <c r="X2017" i="3" a="1"/>
  <c r="X2017" i="3" s="1"/>
  <c r="W2017" i="3" a="1"/>
  <c r="W2017" i="3" s="1"/>
  <c r="V2017" i="3" a="1"/>
  <c r="V2017" i="3" s="1"/>
  <c r="Y2016" i="3" a="1"/>
  <c r="Y2016" i="3" s="1"/>
  <c r="X2016" i="3" a="1"/>
  <c r="X2016" i="3" s="1"/>
  <c r="W2016" i="3" a="1"/>
  <c r="W2016" i="3" s="1"/>
  <c r="V2016" i="3" a="1"/>
  <c r="V2016" i="3" s="1"/>
  <c r="Y2015" i="3" a="1"/>
  <c r="Y2015" i="3" s="1"/>
  <c r="X2015" i="3" a="1"/>
  <c r="X2015" i="3" s="1"/>
  <c r="W2015" i="3" a="1"/>
  <c r="W2015" i="3" s="1"/>
  <c r="V2015" i="3" a="1"/>
  <c r="V2015" i="3" s="1"/>
  <c r="Y2014" i="3" a="1"/>
  <c r="Y2014" i="3" s="1"/>
  <c r="X2014" i="3" a="1"/>
  <c r="X2014" i="3" s="1"/>
  <c r="W2014" i="3" a="1"/>
  <c r="W2014" i="3" s="1"/>
  <c r="V2014" i="3" a="1"/>
  <c r="V2014" i="3" s="1"/>
  <c r="Y2013" i="3" a="1"/>
  <c r="Y2013" i="3" s="1"/>
  <c r="X2013" i="3" a="1"/>
  <c r="X2013" i="3" s="1"/>
  <c r="W2013" i="3" a="1"/>
  <c r="W2013" i="3" s="1"/>
  <c r="V2013" i="3" a="1"/>
  <c r="V2013" i="3" s="1"/>
  <c r="Y2012" i="3" a="1"/>
  <c r="Y2012" i="3" s="1"/>
  <c r="X2012" i="3" a="1"/>
  <c r="X2012" i="3" s="1"/>
  <c r="W2012" i="3" a="1"/>
  <c r="W2012" i="3" s="1"/>
  <c r="V2012" i="3" a="1"/>
  <c r="V2012" i="3" s="1"/>
  <c r="Y2011" i="3" a="1"/>
  <c r="Y2011" i="3" s="1"/>
  <c r="X2011" i="3" a="1"/>
  <c r="X2011" i="3" s="1"/>
  <c r="W2011" i="3" a="1"/>
  <c r="W2011" i="3" s="1"/>
  <c r="V2011" i="3" a="1"/>
  <c r="V2011" i="3" s="1"/>
  <c r="Y2010" i="3" a="1"/>
  <c r="Y2010" i="3" s="1"/>
  <c r="X2010" i="3" a="1"/>
  <c r="X2010" i="3" s="1"/>
  <c r="W2010" i="3" a="1"/>
  <c r="W2010" i="3" s="1"/>
  <c r="V2010" i="3" a="1"/>
  <c r="V2010" i="3" s="1"/>
  <c r="Y2009" i="3" a="1"/>
  <c r="Y2009" i="3" s="1"/>
  <c r="X2009" i="3" a="1"/>
  <c r="X2009" i="3" s="1"/>
  <c r="W2009" i="3" a="1"/>
  <c r="W2009" i="3" s="1"/>
  <c r="V2009" i="3" a="1"/>
  <c r="V2009" i="3" s="1"/>
  <c r="Y2008" i="3" a="1"/>
  <c r="Y2008" i="3" s="1"/>
  <c r="X2008" i="3" a="1"/>
  <c r="X2008" i="3" s="1"/>
  <c r="W2008" i="3" a="1"/>
  <c r="W2008" i="3" s="1"/>
  <c r="V2008" i="3" a="1"/>
  <c r="V2008" i="3" s="1"/>
  <c r="Y2007" i="3" a="1"/>
  <c r="Y2007" i="3" s="1"/>
  <c r="X2007" i="3" a="1"/>
  <c r="X2007" i="3" s="1"/>
  <c r="W2007" i="3" a="1"/>
  <c r="W2007" i="3" s="1"/>
  <c r="V2007" i="3" a="1"/>
  <c r="V2007" i="3" s="1"/>
  <c r="Y2006" i="3" a="1"/>
  <c r="Y2006" i="3" s="1"/>
  <c r="X2006" i="3" a="1"/>
  <c r="X2006" i="3" s="1"/>
  <c r="W2006" i="3" a="1"/>
  <c r="W2006" i="3" s="1"/>
  <c r="V2006" i="3" a="1"/>
  <c r="V2006" i="3" s="1"/>
  <c r="Y2005" i="3" a="1"/>
  <c r="Y2005" i="3" s="1"/>
  <c r="X2005" i="3" a="1"/>
  <c r="X2005" i="3" s="1"/>
  <c r="W2005" i="3" a="1"/>
  <c r="W2005" i="3" s="1"/>
  <c r="V2005" i="3" a="1"/>
  <c r="V2005" i="3" s="1"/>
  <c r="Y2004" i="3" a="1"/>
  <c r="Y2004" i="3" s="1"/>
  <c r="X2004" i="3" a="1"/>
  <c r="X2004" i="3" s="1"/>
  <c r="W2004" i="3" a="1"/>
  <c r="W2004" i="3" s="1"/>
  <c r="V2004" i="3" a="1"/>
  <c r="V2004" i="3" s="1"/>
  <c r="Y2003" i="3" a="1"/>
  <c r="Y2003" i="3" s="1"/>
  <c r="X2003" i="3" a="1"/>
  <c r="X2003" i="3" s="1"/>
  <c r="W2003" i="3" a="1"/>
  <c r="W2003" i="3" s="1"/>
  <c r="V2003" i="3" a="1"/>
  <c r="V2003" i="3" s="1"/>
  <c r="Y2002" i="3" a="1"/>
  <c r="Y2002" i="3" s="1"/>
  <c r="X2002" i="3" a="1"/>
  <c r="X2002" i="3" s="1"/>
  <c r="W2002" i="3" a="1"/>
  <c r="W2002" i="3" s="1"/>
  <c r="V2002" i="3" a="1"/>
  <c r="V2002" i="3" s="1"/>
  <c r="Y2001" i="3" a="1"/>
  <c r="Y2001" i="3" s="1"/>
  <c r="X2001" i="3" a="1"/>
  <c r="X2001" i="3" s="1"/>
  <c r="W2001" i="3" a="1"/>
  <c r="W2001" i="3" s="1"/>
  <c r="V2001" i="3" a="1"/>
  <c r="V2001" i="3" s="1"/>
  <c r="Y1999" i="3" a="1"/>
  <c r="Y1999" i="3" s="1"/>
  <c r="X1999" i="3" a="1"/>
  <c r="X1999" i="3" s="1"/>
  <c r="W1999" i="3" a="1"/>
  <c r="W1999" i="3" s="1"/>
  <c r="V1999" i="3" a="1"/>
  <c r="V1999" i="3" s="1"/>
  <c r="Y1998" i="3" a="1"/>
  <c r="Y1998" i="3" s="1"/>
  <c r="X1998" i="3" a="1"/>
  <c r="X1998" i="3" s="1"/>
  <c r="W1998" i="3" a="1"/>
  <c r="W1998" i="3" s="1"/>
  <c r="V1998" i="3" a="1"/>
  <c r="V1998" i="3" s="1"/>
  <c r="Y1995" i="3" a="1"/>
  <c r="Y1995" i="3" s="1"/>
  <c r="X1995" i="3" a="1"/>
  <c r="X1995" i="3" s="1"/>
  <c r="W1995" i="3" a="1"/>
  <c r="W1995" i="3" s="1"/>
  <c r="V1995" i="3" a="1"/>
  <c r="V1995" i="3" s="1"/>
  <c r="Y1994" i="3" a="1"/>
  <c r="Y1994" i="3" s="1"/>
  <c r="X1994" i="3" a="1"/>
  <c r="X1994" i="3" s="1"/>
  <c r="W1994" i="3" a="1"/>
  <c r="W1994" i="3" s="1"/>
  <c r="V1994" i="3" a="1"/>
  <c r="V1994" i="3" s="1"/>
  <c r="Y1993" i="3" a="1"/>
  <c r="Y1993" i="3" s="1"/>
  <c r="X1993" i="3" a="1"/>
  <c r="X1993" i="3" s="1"/>
  <c r="W1993" i="3" a="1"/>
  <c r="W1993" i="3" s="1"/>
  <c r="V1993" i="3" a="1"/>
  <c r="V1993" i="3" s="1"/>
  <c r="Y1991" i="3" a="1"/>
  <c r="Y1991" i="3" s="1"/>
  <c r="X1991" i="3" a="1"/>
  <c r="X1991" i="3" s="1"/>
  <c r="W1991" i="3" a="1"/>
  <c r="W1991" i="3" s="1"/>
  <c r="V1991" i="3" a="1"/>
  <c r="V1991" i="3" s="1"/>
  <c r="Y1990" i="3" a="1"/>
  <c r="Y1990" i="3" s="1"/>
  <c r="X1990" i="3" a="1"/>
  <c r="X1990" i="3" s="1"/>
  <c r="W1990" i="3" a="1"/>
  <c r="W1990" i="3" s="1"/>
  <c r="V1990" i="3" a="1"/>
  <c r="V1990" i="3" s="1"/>
  <c r="Y1989" i="3" a="1"/>
  <c r="Y1989" i="3" s="1"/>
  <c r="X1989" i="3" a="1"/>
  <c r="X1989" i="3" s="1"/>
  <c r="W1989" i="3" a="1"/>
  <c r="W1989" i="3" s="1"/>
  <c r="V1989" i="3" a="1"/>
  <c r="V1989" i="3" s="1"/>
  <c r="Y1986" i="3" a="1"/>
  <c r="Y1986" i="3" s="1"/>
  <c r="X1986" i="3" a="1"/>
  <c r="X1986" i="3" s="1"/>
  <c r="W1986" i="3" a="1"/>
  <c r="W1986" i="3" s="1"/>
  <c r="V1986" i="3" a="1"/>
  <c r="V1986" i="3" s="1"/>
  <c r="Y1985" i="3" a="1"/>
  <c r="Y1985" i="3" s="1"/>
  <c r="X1985" i="3" a="1"/>
  <c r="X1985" i="3" s="1"/>
  <c r="W1985" i="3" a="1"/>
  <c r="W1985" i="3" s="1"/>
  <c r="V1985" i="3" a="1"/>
  <c r="V1985" i="3" s="1"/>
  <c r="Y1983" i="3" a="1"/>
  <c r="Y1983" i="3" s="1"/>
  <c r="X1983" i="3" a="1"/>
  <c r="X1983" i="3" s="1"/>
  <c r="W1983" i="3" a="1"/>
  <c r="W1983" i="3" s="1"/>
  <c r="V1983" i="3" a="1"/>
  <c r="V1983" i="3" s="1"/>
  <c r="Y1982" i="3" a="1"/>
  <c r="Y1982" i="3" s="1"/>
  <c r="X1982" i="3" a="1"/>
  <c r="X1982" i="3" s="1"/>
  <c r="W1982" i="3" a="1"/>
  <c r="W1982" i="3" s="1"/>
  <c r="V1982" i="3" a="1"/>
  <c r="V1982" i="3" s="1"/>
  <c r="Y1979" i="3" a="1"/>
  <c r="Y1979" i="3" s="1"/>
  <c r="X1979" i="3" a="1"/>
  <c r="X1979" i="3" s="1"/>
  <c r="W1979" i="3" a="1"/>
  <c r="W1979" i="3" s="1"/>
  <c r="V1979" i="3" a="1"/>
  <c r="V1979" i="3" s="1"/>
  <c r="Y1978" i="3" a="1"/>
  <c r="Y1978" i="3" s="1"/>
  <c r="X1978" i="3" a="1"/>
  <c r="X1978" i="3" s="1"/>
  <c r="W1978" i="3" a="1"/>
  <c r="W1978" i="3" s="1"/>
  <c r="V1978" i="3" a="1"/>
  <c r="V1978" i="3" s="1"/>
  <c r="Y1976" i="3" a="1"/>
  <c r="Y1976" i="3" s="1"/>
  <c r="X1976" i="3" a="1"/>
  <c r="X1976" i="3" s="1"/>
  <c r="W1976" i="3" a="1"/>
  <c r="W1976" i="3" s="1"/>
  <c r="V1976" i="3" a="1"/>
  <c r="V1976" i="3" s="1"/>
  <c r="Y1975" i="3" a="1"/>
  <c r="Y1975" i="3" s="1"/>
  <c r="X1975" i="3" a="1"/>
  <c r="X1975" i="3" s="1"/>
  <c r="W1975" i="3" a="1"/>
  <c r="W1975" i="3" s="1"/>
  <c r="V1975" i="3" a="1"/>
  <c r="V1975" i="3" s="1"/>
  <c r="Y1974" i="3" a="1"/>
  <c r="Y1974" i="3" s="1"/>
  <c r="X1974" i="3" a="1"/>
  <c r="X1974" i="3" s="1"/>
  <c r="W1974" i="3" a="1"/>
  <c r="W1974" i="3" s="1"/>
  <c r="V1974" i="3" a="1"/>
  <c r="V1974" i="3" s="1"/>
  <c r="Y1973" i="3" a="1"/>
  <c r="Y1973" i="3" s="1"/>
  <c r="X1973" i="3" a="1"/>
  <c r="X1973" i="3" s="1"/>
  <c r="W1973" i="3" a="1"/>
  <c r="W1973" i="3" s="1"/>
  <c r="V1973" i="3" a="1"/>
  <c r="V1973" i="3" s="1"/>
  <c r="Y1972" i="3" a="1"/>
  <c r="Y1972" i="3" s="1"/>
  <c r="X1972" i="3" a="1"/>
  <c r="X1972" i="3" s="1"/>
  <c r="W1972" i="3" a="1"/>
  <c r="W1972" i="3" s="1"/>
  <c r="V1972" i="3" a="1"/>
  <c r="V1972" i="3" s="1"/>
  <c r="Y1971" i="3" a="1"/>
  <c r="Y1971" i="3" s="1"/>
  <c r="X1971" i="3" a="1"/>
  <c r="X1971" i="3" s="1"/>
  <c r="W1971" i="3" a="1"/>
  <c r="W1971" i="3" s="1"/>
  <c r="V1971" i="3" a="1"/>
  <c r="V1971" i="3" s="1"/>
  <c r="Y1970" i="3" a="1"/>
  <c r="Y1970" i="3" s="1"/>
  <c r="X1970" i="3" a="1"/>
  <c r="X1970" i="3" s="1"/>
  <c r="W1970" i="3" a="1"/>
  <c r="W1970" i="3" s="1"/>
  <c r="V1970" i="3" a="1"/>
  <c r="V1970" i="3" s="1"/>
  <c r="Y1969" i="3" a="1"/>
  <c r="Y1969" i="3" s="1"/>
  <c r="X1969" i="3" a="1"/>
  <c r="X1969" i="3" s="1"/>
  <c r="W1969" i="3" a="1"/>
  <c r="W1969" i="3" s="1"/>
  <c r="V1969" i="3" a="1"/>
  <c r="V1969" i="3" s="1"/>
  <c r="Y1968" i="3" a="1"/>
  <c r="Y1968" i="3" s="1"/>
  <c r="X1968" i="3" a="1"/>
  <c r="X1968" i="3" s="1"/>
  <c r="W1968" i="3" a="1"/>
  <c r="W1968" i="3" s="1"/>
  <c r="V1968" i="3" a="1"/>
  <c r="V1968" i="3" s="1"/>
  <c r="Y1967" i="3" a="1"/>
  <c r="Y1967" i="3" s="1"/>
  <c r="X1967" i="3" a="1"/>
  <c r="X1967" i="3" s="1"/>
  <c r="W1967" i="3" a="1"/>
  <c r="W1967" i="3" s="1"/>
  <c r="V1967" i="3" a="1"/>
  <c r="V1967" i="3" s="1"/>
  <c r="Y1966" i="3" a="1"/>
  <c r="Y1966" i="3" s="1"/>
  <c r="X1966" i="3" a="1"/>
  <c r="X1966" i="3" s="1"/>
  <c r="W1966" i="3" a="1"/>
  <c r="W1966" i="3" s="1"/>
  <c r="V1966" i="3" a="1"/>
  <c r="V1966" i="3" s="1"/>
  <c r="Y1965" i="3" a="1"/>
  <c r="Y1965" i="3" s="1"/>
  <c r="X1965" i="3" a="1"/>
  <c r="X1965" i="3" s="1"/>
  <c r="W1965" i="3" a="1"/>
  <c r="W1965" i="3" s="1"/>
  <c r="V1965" i="3" a="1"/>
  <c r="V1965" i="3" s="1"/>
  <c r="Y1963" i="3" a="1"/>
  <c r="Y1963" i="3" s="1"/>
  <c r="X1963" i="3" a="1"/>
  <c r="X1963" i="3" s="1"/>
  <c r="W1963" i="3" a="1"/>
  <c r="W1963" i="3" s="1"/>
  <c r="V1963" i="3" a="1"/>
  <c r="V1963" i="3" s="1"/>
  <c r="Y1960" i="3" a="1"/>
  <c r="Y1960" i="3" s="1"/>
  <c r="X1960" i="3" a="1"/>
  <c r="X1960" i="3" s="1"/>
  <c r="W1960" i="3" a="1"/>
  <c r="W1960" i="3" s="1"/>
  <c r="V1960" i="3" a="1"/>
  <c r="V1960" i="3" s="1"/>
  <c r="Y1957" i="3" a="1"/>
  <c r="Y1957" i="3" s="1"/>
  <c r="X1957" i="3" a="1"/>
  <c r="X1957" i="3" s="1"/>
  <c r="W1957" i="3" a="1"/>
  <c r="W1957" i="3" s="1"/>
  <c r="V1957" i="3" a="1"/>
  <c r="V1957" i="3" s="1"/>
  <c r="Y1954" i="3" a="1"/>
  <c r="Y1954" i="3" s="1"/>
  <c r="X1954" i="3" a="1"/>
  <c r="X1954" i="3" s="1"/>
  <c r="W1954" i="3" a="1"/>
  <c r="W1954" i="3" s="1"/>
  <c r="V1954" i="3" a="1"/>
  <c r="V1954" i="3" s="1"/>
  <c r="Y1951" i="3" a="1"/>
  <c r="Y1951" i="3" s="1"/>
  <c r="X1951" i="3" a="1"/>
  <c r="X1951" i="3" s="1"/>
  <c r="W1951" i="3" a="1"/>
  <c r="W1951" i="3" s="1"/>
  <c r="V1951" i="3" a="1"/>
  <c r="V1951" i="3" s="1"/>
  <c r="Y1948" i="3" a="1"/>
  <c r="Y1948" i="3" s="1"/>
  <c r="X1948" i="3" a="1"/>
  <c r="X1948" i="3" s="1"/>
  <c r="W1948" i="3" a="1"/>
  <c r="W1948" i="3" s="1"/>
  <c r="V1948" i="3" a="1"/>
  <c r="V1948" i="3" s="1"/>
  <c r="Y1947" i="3" a="1"/>
  <c r="Y1947" i="3" s="1"/>
  <c r="X1947" i="3" a="1"/>
  <c r="X1947" i="3" s="1"/>
  <c r="W1947" i="3" a="1"/>
  <c r="W1947" i="3" s="1"/>
  <c r="V1947" i="3" a="1"/>
  <c r="V1947" i="3" s="1"/>
  <c r="Y1946" i="3" a="1"/>
  <c r="Y1946" i="3" s="1"/>
  <c r="X1946" i="3" a="1"/>
  <c r="X1946" i="3" s="1"/>
  <c r="W1946" i="3" a="1"/>
  <c r="W1946" i="3" s="1"/>
  <c r="V1946" i="3" a="1"/>
  <c r="V1946" i="3" s="1"/>
  <c r="Y1945" i="3" a="1"/>
  <c r="Y1945" i="3" s="1"/>
  <c r="X1945" i="3" a="1"/>
  <c r="X1945" i="3" s="1"/>
  <c r="W1945" i="3" a="1"/>
  <c r="W1945" i="3" s="1"/>
  <c r="V1945" i="3" a="1"/>
  <c r="V1945" i="3" s="1"/>
  <c r="Y1944" i="3" a="1"/>
  <c r="Y1944" i="3" s="1"/>
  <c r="X1944" i="3" a="1"/>
  <c r="X1944" i="3" s="1"/>
  <c r="W1944" i="3" a="1"/>
  <c r="W1944" i="3" s="1"/>
  <c r="V1944" i="3" a="1"/>
  <c r="V1944" i="3" s="1"/>
  <c r="Y1943" i="3" a="1"/>
  <c r="Y1943" i="3" s="1"/>
  <c r="X1943" i="3" a="1"/>
  <c r="X1943" i="3" s="1"/>
  <c r="W1943" i="3" a="1"/>
  <c r="W1943" i="3" s="1"/>
  <c r="V1943" i="3" a="1"/>
  <c r="V1943" i="3" s="1"/>
  <c r="Y1942" i="3" a="1"/>
  <c r="Y1942" i="3" s="1"/>
  <c r="X1942" i="3" a="1"/>
  <c r="X1942" i="3" s="1"/>
  <c r="W1942" i="3" a="1"/>
  <c r="W1942" i="3" s="1"/>
  <c r="V1942" i="3" a="1"/>
  <c r="V1942" i="3" s="1"/>
  <c r="Y1941" i="3" a="1"/>
  <c r="Y1941" i="3" s="1"/>
  <c r="X1941" i="3" a="1"/>
  <c r="X1941" i="3" s="1"/>
  <c r="W1941" i="3" a="1"/>
  <c r="W1941" i="3" s="1"/>
  <c r="V1941" i="3" a="1"/>
  <c r="V1941" i="3" s="1"/>
  <c r="Y1940" i="3" a="1"/>
  <c r="Y1940" i="3" s="1"/>
  <c r="X1940" i="3" a="1"/>
  <c r="X1940" i="3" s="1"/>
  <c r="W1940" i="3" a="1"/>
  <c r="W1940" i="3" s="1"/>
  <c r="V1940" i="3" a="1"/>
  <c r="V1940" i="3" s="1"/>
  <c r="Y1939" i="3" a="1"/>
  <c r="Y1939" i="3" s="1"/>
  <c r="X1939" i="3" a="1"/>
  <c r="X1939" i="3" s="1"/>
  <c r="W1939" i="3" a="1"/>
  <c r="W1939" i="3" s="1"/>
  <c r="V1939" i="3" a="1"/>
  <c r="V1939" i="3" s="1"/>
  <c r="Y1938" i="3" a="1"/>
  <c r="Y1938" i="3" s="1"/>
  <c r="X1938" i="3" a="1"/>
  <c r="X1938" i="3" s="1"/>
  <c r="W1938" i="3" a="1"/>
  <c r="W1938" i="3" s="1"/>
  <c r="V1938" i="3" a="1"/>
  <c r="V1938" i="3" s="1"/>
  <c r="Y1937" i="3" a="1"/>
  <c r="Y1937" i="3" s="1"/>
  <c r="X1937" i="3" a="1"/>
  <c r="X1937" i="3" s="1"/>
  <c r="W1937" i="3" a="1"/>
  <c r="W1937" i="3" s="1"/>
  <c r="V1937" i="3" a="1"/>
  <c r="V1937" i="3" s="1"/>
  <c r="Y1936" i="3" a="1"/>
  <c r="Y1936" i="3" s="1"/>
  <c r="X1936" i="3" a="1"/>
  <c r="X1936" i="3" s="1"/>
  <c r="W1936" i="3" a="1"/>
  <c r="W1936" i="3" s="1"/>
  <c r="V1936" i="3" a="1"/>
  <c r="V1936" i="3" s="1"/>
  <c r="Y1935" i="3" a="1"/>
  <c r="Y1935" i="3" s="1"/>
  <c r="X1935" i="3" a="1"/>
  <c r="X1935" i="3" s="1"/>
  <c r="W1935" i="3" a="1"/>
  <c r="W1935" i="3" s="1"/>
  <c r="V1935" i="3" a="1"/>
  <c r="V1935" i="3" s="1"/>
  <c r="Y1934" i="3" a="1"/>
  <c r="Y1934" i="3" s="1"/>
  <c r="X1934" i="3" a="1"/>
  <c r="X1934" i="3" s="1"/>
  <c r="W1934" i="3" a="1"/>
  <c r="W1934" i="3" s="1"/>
  <c r="V1934" i="3" a="1"/>
  <c r="V1934" i="3" s="1"/>
  <c r="Y1933" i="3" a="1"/>
  <c r="Y1933" i="3" s="1"/>
  <c r="X1933" i="3" a="1"/>
  <c r="X1933" i="3" s="1"/>
  <c r="W1933" i="3" a="1"/>
  <c r="W1933" i="3" s="1"/>
  <c r="V1933" i="3" a="1"/>
  <c r="V1933" i="3" s="1"/>
  <c r="Y1932" i="3" a="1"/>
  <c r="Y1932" i="3" s="1"/>
  <c r="X1932" i="3" a="1"/>
  <c r="X1932" i="3" s="1"/>
  <c r="W1932" i="3" a="1"/>
  <c r="W1932" i="3" s="1"/>
  <c r="V1932" i="3" a="1"/>
  <c r="V1932" i="3" s="1"/>
  <c r="Y1931" i="3" a="1"/>
  <c r="Y1931" i="3" s="1"/>
  <c r="X1931" i="3" a="1"/>
  <c r="X1931" i="3" s="1"/>
  <c r="W1931" i="3" a="1"/>
  <c r="W1931" i="3" s="1"/>
  <c r="V1931" i="3" a="1"/>
  <c r="V1931" i="3" s="1"/>
  <c r="Y1930" i="3" a="1"/>
  <c r="Y1930" i="3" s="1"/>
  <c r="X1930" i="3" a="1"/>
  <c r="X1930" i="3" s="1"/>
  <c r="W1930" i="3" a="1"/>
  <c r="W1930" i="3" s="1"/>
  <c r="V1930" i="3" a="1"/>
  <c r="V1930" i="3" s="1"/>
  <c r="Y1929" i="3" a="1"/>
  <c r="Y1929" i="3" s="1"/>
  <c r="X1929" i="3" a="1"/>
  <c r="X1929" i="3" s="1"/>
  <c r="W1929" i="3" a="1"/>
  <c r="W1929" i="3" s="1"/>
  <c r="V1929" i="3" a="1"/>
  <c r="V1929" i="3" s="1"/>
  <c r="Y1928" i="3" a="1"/>
  <c r="Y1928" i="3" s="1"/>
  <c r="X1928" i="3" a="1"/>
  <c r="X1928" i="3" s="1"/>
  <c r="W1928" i="3" a="1"/>
  <c r="W1928" i="3" s="1"/>
  <c r="V1928" i="3" a="1"/>
  <c r="V1928" i="3" s="1"/>
  <c r="Y1927" i="3" a="1"/>
  <c r="Y1927" i="3" s="1"/>
  <c r="X1927" i="3" a="1"/>
  <c r="X1927" i="3" s="1"/>
  <c r="W1927" i="3" a="1"/>
  <c r="W1927" i="3" s="1"/>
  <c r="V1927" i="3" a="1"/>
  <c r="V1927" i="3" s="1"/>
  <c r="Y1926" i="3" a="1"/>
  <c r="Y1926" i="3" s="1"/>
  <c r="X1926" i="3" a="1"/>
  <c r="X1926" i="3" s="1"/>
  <c r="W1926" i="3" a="1"/>
  <c r="W1926" i="3" s="1"/>
  <c r="V1926" i="3" a="1"/>
  <c r="V1926" i="3" s="1"/>
  <c r="Y1925" i="3" a="1"/>
  <c r="Y1925" i="3" s="1"/>
  <c r="X1925" i="3" a="1"/>
  <c r="X1925" i="3" s="1"/>
  <c r="W1925" i="3" a="1"/>
  <c r="W1925" i="3" s="1"/>
  <c r="V1925" i="3" a="1"/>
  <c r="V1925" i="3" s="1"/>
  <c r="Y1923" i="3" a="1"/>
  <c r="Y1923" i="3" s="1"/>
  <c r="X1923" i="3" a="1"/>
  <c r="X1923" i="3" s="1"/>
  <c r="W1923" i="3" a="1"/>
  <c r="W1923" i="3" s="1"/>
  <c r="V1923" i="3" a="1"/>
  <c r="V1923" i="3" s="1"/>
  <c r="Y1914" i="3" a="1"/>
  <c r="Y1914" i="3" s="1"/>
  <c r="X1914" i="3" a="1"/>
  <c r="X1914" i="3" s="1"/>
  <c r="W1914" i="3" a="1"/>
  <c r="W1914" i="3" s="1"/>
  <c r="V1914" i="3" a="1"/>
  <c r="V1914" i="3" s="1"/>
  <c r="Y1913" i="3" a="1"/>
  <c r="Y1913" i="3" s="1"/>
  <c r="X1913" i="3" a="1"/>
  <c r="X1913" i="3" s="1"/>
  <c r="W1913" i="3" a="1"/>
  <c r="W1913" i="3" s="1"/>
  <c r="V1913" i="3" a="1"/>
  <c r="V1913" i="3" s="1"/>
  <c r="Y1912" i="3" a="1"/>
  <c r="Y1912" i="3" s="1"/>
  <c r="X1912" i="3" a="1"/>
  <c r="X1912" i="3" s="1"/>
  <c r="W1912" i="3" a="1"/>
  <c r="W1912" i="3" s="1"/>
  <c r="V1912" i="3" a="1"/>
  <c r="V1912" i="3" s="1"/>
  <c r="Y1911" i="3" a="1"/>
  <c r="Y1911" i="3" s="1"/>
  <c r="X1911" i="3" a="1"/>
  <c r="X1911" i="3" s="1"/>
  <c r="W1911" i="3" a="1"/>
  <c r="W1911" i="3" s="1"/>
  <c r="V1911" i="3" a="1"/>
  <c r="V1911" i="3" s="1"/>
  <c r="Y1910" i="3" a="1"/>
  <c r="Y1910" i="3" s="1"/>
  <c r="X1910" i="3" a="1"/>
  <c r="X1910" i="3" s="1"/>
  <c r="W1910" i="3" a="1"/>
  <c r="W1910" i="3" s="1"/>
  <c r="V1910" i="3" a="1"/>
  <c r="V1910" i="3" s="1"/>
  <c r="Y1909" i="3" a="1"/>
  <c r="Y1909" i="3" s="1"/>
  <c r="X1909" i="3" a="1"/>
  <c r="X1909" i="3" s="1"/>
  <c r="W1909" i="3" a="1"/>
  <c r="W1909" i="3" s="1"/>
  <c r="V1909" i="3" a="1"/>
  <c r="V1909" i="3" s="1"/>
  <c r="Y1908" i="3" a="1"/>
  <c r="Y1908" i="3" s="1"/>
  <c r="X1908" i="3" a="1"/>
  <c r="X1908" i="3" s="1"/>
  <c r="W1908" i="3" a="1"/>
  <c r="W1908" i="3" s="1"/>
  <c r="V1908" i="3" a="1"/>
  <c r="V1908" i="3" s="1"/>
  <c r="Y1907" i="3" a="1"/>
  <c r="Y1907" i="3" s="1"/>
  <c r="X1907" i="3" a="1"/>
  <c r="X1907" i="3" s="1"/>
  <c r="W1907" i="3" a="1"/>
  <c r="W1907" i="3" s="1"/>
  <c r="V1907" i="3" a="1"/>
  <c r="V1907" i="3" s="1"/>
  <c r="Y1906" i="3" a="1"/>
  <c r="Y1906" i="3" s="1"/>
  <c r="X1906" i="3" a="1"/>
  <c r="X1906" i="3" s="1"/>
  <c r="W1906" i="3" a="1"/>
  <c r="W1906" i="3" s="1"/>
  <c r="V1906" i="3" a="1"/>
  <c r="V1906" i="3" s="1"/>
  <c r="Y1904" i="3" a="1"/>
  <c r="Y1904" i="3" s="1"/>
  <c r="X1904" i="3" a="1"/>
  <c r="X1904" i="3" s="1"/>
  <c r="W1904" i="3" a="1"/>
  <c r="W1904" i="3" s="1"/>
  <c r="V1904" i="3" a="1"/>
  <c r="V1904" i="3" s="1"/>
  <c r="Y1902" i="3" a="1"/>
  <c r="Y1902" i="3" s="1"/>
  <c r="X1902" i="3" a="1"/>
  <c r="X1902" i="3" s="1"/>
  <c r="W1902" i="3" a="1"/>
  <c r="W1902" i="3" s="1"/>
  <c r="V1902" i="3" a="1"/>
  <c r="V1902" i="3" s="1"/>
  <c r="Y1900" i="3" a="1"/>
  <c r="Y1900" i="3" s="1"/>
  <c r="X1900" i="3" a="1"/>
  <c r="X1900" i="3" s="1"/>
  <c r="W1900" i="3" a="1"/>
  <c r="W1900" i="3" s="1"/>
  <c r="V1900" i="3" a="1"/>
  <c r="V1900" i="3" s="1"/>
  <c r="Y1898" i="3" a="1"/>
  <c r="Y1898" i="3" s="1"/>
  <c r="X1898" i="3" a="1"/>
  <c r="X1898" i="3" s="1"/>
  <c r="W1898" i="3" a="1"/>
  <c r="W1898" i="3" s="1"/>
  <c r="V1898" i="3" a="1"/>
  <c r="V1898" i="3" s="1"/>
  <c r="Y1896" i="3" a="1"/>
  <c r="Y1896" i="3" s="1"/>
  <c r="X1896" i="3" a="1"/>
  <c r="X1896" i="3" s="1"/>
  <c r="W1896" i="3" a="1"/>
  <c r="W1896" i="3" s="1"/>
  <c r="V1896" i="3" a="1"/>
  <c r="V1896" i="3" s="1"/>
  <c r="Y1895" i="3" a="1"/>
  <c r="Y1895" i="3" s="1"/>
  <c r="X1895" i="3" a="1"/>
  <c r="X1895" i="3" s="1"/>
  <c r="W1895" i="3" a="1"/>
  <c r="W1895" i="3" s="1"/>
  <c r="V1895" i="3" a="1"/>
  <c r="V1895" i="3" s="1"/>
  <c r="Y1894" i="3" a="1"/>
  <c r="Y1894" i="3" s="1"/>
  <c r="X1894" i="3" a="1"/>
  <c r="X1894" i="3" s="1"/>
  <c r="W1894" i="3" a="1"/>
  <c r="W1894" i="3" s="1"/>
  <c r="V1894" i="3" a="1"/>
  <c r="V1894" i="3" s="1"/>
  <c r="Y1893" i="3" a="1"/>
  <c r="Y1893" i="3" s="1"/>
  <c r="X1893" i="3" a="1"/>
  <c r="X1893" i="3" s="1"/>
  <c r="W1893" i="3" a="1"/>
  <c r="W1893" i="3" s="1"/>
  <c r="V1893" i="3" a="1"/>
  <c r="V1893" i="3" s="1"/>
  <c r="Y1892" i="3" a="1"/>
  <c r="Y1892" i="3" s="1"/>
  <c r="X1892" i="3" a="1"/>
  <c r="X1892" i="3" s="1"/>
  <c r="W1892" i="3" a="1"/>
  <c r="W1892" i="3" s="1"/>
  <c r="V1892" i="3" a="1"/>
  <c r="V1892" i="3" s="1"/>
  <c r="Y1891" i="3" a="1"/>
  <c r="Y1891" i="3" s="1"/>
  <c r="X1891" i="3" a="1"/>
  <c r="X1891" i="3" s="1"/>
  <c r="W1891" i="3" a="1"/>
  <c r="W1891" i="3" s="1"/>
  <c r="V1891" i="3" a="1"/>
  <c r="V1891" i="3" s="1"/>
  <c r="Y1890" i="3" a="1"/>
  <c r="Y1890" i="3" s="1"/>
  <c r="X1890" i="3" a="1"/>
  <c r="X1890" i="3" s="1"/>
  <c r="W1890" i="3" a="1"/>
  <c r="W1890" i="3" s="1"/>
  <c r="V1890" i="3" a="1"/>
  <c r="V1890" i="3" s="1"/>
  <c r="Y1889" i="3" a="1"/>
  <c r="Y1889" i="3" s="1"/>
  <c r="X1889" i="3" a="1"/>
  <c r="X1889" i="3" s="1"/>
  <c r="W1889" i="3" a="1"/>
  <c r="W1889" i="3" s="1"/>
  <c r="V1889" i="3" a="1"/>
  <c r="V1889" i="3" s="1"/>
  <c r="Y1888" i="3" a="1"/>
  <c r="Y1888" i="3" s="1"/>
  <c r="X1888" i="3" a="1"/>
  <c r="X1888" i="3" s="1"/>
  <c r="W1888" i="3" a="1"/>
  <c r="W1888" i="3" s="1"/>
  <c r="V1888" i="3" a="1"/>
  <c r="V1888" i="3" s="1"/>
  <c r="Y1887" i="3" a="1"/>
  <c r="Y1887" i="3" s="1"/>
  <c r="X1887" i="3" a="1"/>
  <c r="X1887" i="3" s="1"/>
  <c r="W1887" i="3" a="1"/>
  <c r="W1887" i="3" s="1"/>
  <c r="V1887" i="3" a="1"/>
  <c r="V1887" i="3" s="1"/>
  <c r="Y1886" i="3" a="1"/>
  <c r="Y1886" i="3" s="1"/>
  <c r="X1886" i="3" a="1"/>
  <c r="X1886" i="3" s="1"/>
  <c r="W1886" i="3" a="1"/>
  <c r="W1886" i="3" s="1"/>
  <c r="V1886" i="3" a="1"/>
  <c r="V1886" i="3" s="1"/>
  <c r="Y1885" i="3" a="1"/>
  <c r="Y1885" i="3" s="1"/>
  <c r="X1885" i="3" a="1"/>
  <c r="X1885" i="3" s="1"/>
  <c r="W1885" i="3" a="1"/>
  <c r="W1885" i="3" s="1"/>
  <c r="V1885" i="3" a="1"/>
  <c r="V1885" i="3" s="1"/>
  <c r="Y1884" i="3" a="1"/>
  <c r="Y1884" i="3" s="1"/>
  <c r="X1884" i="3" a="1"/>
  <c r="X1884" i="3" s="1"/>
  <c r="W1884" i="3" a="1"/>
  <c r="W1884" i="3" s="1"/>
  <c r="V1884" i="3" a="1"/>
  <c r="V1884" i="3" s="1"/>
  <c r="Y1883" i="3" a="1"/>
  <c r="Y1883" i="3" s="1"/>
  <c r="X1883" i="3" a="1"/>
  <c r="X1883" i="3" s="1"/>
  <c r="W1883" i="3" a="1"/>
  <c r="W1883" i="3" s="1"/>
  <c r="V1883" i="3" a="1"/>
  <c r="V1883" i="3" s="1"/>
  <c r="Y1882" i="3" a="1"/>
  <c r="Y1882" i="3" s="1"/>
  <c r="X1882" i="3" a="1"/>
  <c r="X1882" i="3" s="1"/>
  <c r="W1882" i="3" a="1"/>
  <c r="W1882" i="3" s="1"/>
  <c r="V1882" i="3" a="1"/>
  <c r="V1882" i="3" s="1"/>
  <c r="Y1881" i="3" a="1"/>
  <c r="Y1881" i="3" s="1"/>
  <c r="X1881" i="3" a="1"/>
  <c r="X1881" i="3" s="1"/>
  <c r="W1881" i="3" a="1"/>
  <c r="W1881" i="3" s="1"/>
  <c r="V1881" i="3" a="1"/>
  <c r="V1881" i="3" s="1"/>
  <c r="Y1880" i="3" a="1"/>
  <c r="Y1880" i="3" s="1"/>
  <c r="X1880" i="3" a="1"/>
  <c r="X1880" i="3" s="1"/>
  <c r="W1880" i="3" a="1"/>
  <c r="W1880" i="3" s="1"/>
  <c r="V1880" i="3" a="1"/>
  <c r="V1880" i="3" s="1"/>
  <c r="Y1879" i="3" a="1"/>
  <c r="Y1879" i="3" s="1"/>
  <c r="X1879" i="3" a="1"/>
  <c r="X1879" i="3" s="1"/>
  <c r="W1879" i="3" a="1"/>
  <c r="W1879" i="3" s="1"/>
  <c r="V1879" i="3" a="1"/>
  <c r="V1879" i="3" s="1"/>
  <c r="Y1878" i="3" a="1"/>
  <c r="Y1878" i="3" s="1"/>
  <c r="X1878" i="3" a="1"/>
  <c r="X1878" i="3" s="1"/>
  <c r="W1878" i="3" a="1"/>
  <c r="W1878" i="3" s="1"/>
  <c r="V1878" i="3" a="1"/>
  <c r="V1878" i="3" s="1"/>
  <c r="Y1877" i="3" a="1"/>
  <c r="Y1877" i="3" s="1"/>
  <c r="X1877" i="3" a="1"/>
  <c r="X1877" i="3" s="1"/>
  <c r="W1877" i="3" a="1"/>
  <c r="W1877" i="3" s="1"/>
  <c r="V1877" i="3" a="1"/>
  <c r="V1877" i="3" s="1"/>
  <c r="Y1876" i="3" a="1"/>
  <c r="Y1876" i="3" s="1"/>
  <c r="X1876" i="3" a="1"/>
  <c r="X1876" i="3" s="1"/>
  <c r="W1876" i="3" a="1"/>
  <c r="W1876" i="3" s="1"/>
  <c r="V1876" i="3" a="1"/>
  <c r="V1876" i="3" s="1"/>
  <c r="Y1875" i="3" a="1"/>
  <c r="Y1875" i="3" s="1"/>
  <c r="X1875" i="3" a="1"/>
  <c r="X1875" i="3" s="1"/>
  <c r="W1875" i="3" a="1"/>
  <c r="W1875" i="3" s="1"/>
  <c r="V1875" i="3" a="1"/>
  <c r="V1875" i="3" s="1"/>
  <c r="Y1874" i="3" a="1"/>
  <c r="Y1874" i="3" s="1"/>
  <c r="X1874" i="3" a="1"/>
  <c r="X1874" i="3" s="1"/>
  <c r="W1874" i="3" a="1"/>
  <c r="W1874" i="3" s="1"/>
  <c r="V1874" i="3" a="1"/>
  <c r="V1874" i="3" s="1"/>
  <c r="Y1873" i="3" a="1"/>
  <c r="Y1873" i="3" s="1"/>
  <c r="X1873" i="3" a="1"/>
  <c r="X1873" i="3" s="1"/>
  <c r="W1873" i="3" a="1"/>
  <c r="W1873" i="3" s="1"/>
  <c r="V1873" i="3" a="1"/>
  <c r="V1873" i="3" s="1"/>
  <c r="Y1872" i="3" a="1"/>
  <c r="Y1872" i="3" s="1"/>
  <c r="X1872" i="3" a="1"/>
  <c r="X1872" i="3" s="1"/>
  <c r="W1872" i="3" a="1"/>
  <c r="W1872" i="3" s="1"/>
  <c r="V1872" i="3" a="1"/>
  <c r="V1872" i="3" s="1"/>
  <c r="Y1871" i="3" a="1"/>
  <c r="Y1871" i="3" s="1"/>
  <c r="X1871" i="3" a="1"/>
  <c r="X1871" i="3" s="1"/>
  <c r="W1871" i="3" a="1"/>
  <c r="W1871" i="3" s="1"/>
  <c r="V1871" i="3" a="1"/>
  <c r="V1871" i="3" s="1"/>
  <c r="Y1870" i="3" a="1"/>
  <c r="Y1870" i="3" s="1"/>
  <c r="X1870" i="3" a="1"/>
  <c r="X1870" i="3" s="1"/>
  <c r="W1870" i="3" a="1"/>
  <c r="W1870" i="3" s="1"/>
  <c r="V1870" i="3" a="1"/>
  <c r="V1870" i="3" s="1"/>
  <c r="Y1869" i="3" a="1"/>
  <c r="Y1869" i="3" s="1"/>
  <c r="X1869" i="3" a="1"/>
  <c r="X1869" i="3" s="1"/>
  <c r="W1869" i="3" a="1"/>
  <c r="W1869" i="3" s="1"/>
  <c r="V1869" i="3" a="1"/>
  <c r="V1869" i="3" s="1"/>
  <c r="Y1868" i="3" a="1"/>
  <c r="Y1868" i="3" s="1"/>
  <c r="X1868" i="3" a="1"/>
  <c r="X1868" i="3" s="1"/>
  <c r="W1868" i="3" a="1"/>
  <c r="W1868" i="3" s="1"/>
  <c r="V1868" i="3" a="1"/>
  <c r="V1868" i="3" s="1"/>
  <c r="Y1867" i="3" a="1"/>
  <c r="Y1867" i="3" s="1"/>
  <c r="X1867" i="3" a="1"/>
  <c r="X1867" i="3" s="1"/>
  <c r="W1867" i="3" a="1"/>
  <c r="W1867" i="3" s="1"/>
  <c r="V1867" i="3" a="1"/>
  <c r="V1867" i="3" s="1"/>
  <c r="Y1866" i="3" a="1"/>
  <c r="Y1866" i="3" s="1"/>
  <c r="X1866" i="3" a="1"/>
  <c r="X1866" i="3" s="1"/>
  <c r="W1866" i="3" a="1"/>
  <c r="W1866" i="3" s="1"/>
  <c r="V1866" i="3" a="1"/>
  <c r="V1866" i="3" s="1"/>
  <c r="Y1865" i="3" a="1"/>
  <c r="Y1865" i="3" s="1"/>
  <c r="X1865" i="3" a="1"/>
  <c r="X1865" i="3" s="1"/>
  <c r="W1865" i="3" a="1"/>
  <c r="W1865" i="3" s="1"/>
  <c r="V1865" i="3" a="1"/>
  <c r="V1865" i="3" s="1"/>
  <c r="Y1864" i="3" a="1"/>
  <c r="Y1864" i="3" s="1"/>
  <c r="X1864" i="3" a="1"/>
  <c r="X1864" i="3" s="1"/>
  <c r="W1864" i="3" a="1"/>
  <c r="W1864" i="3" s="1"/>
  <c r="V1864" i="3" a="1"/>
  <c r="V1864" i="3" s="1"/>
  <c r="Y1863" i="3" a="1"/>
  <c r="Y1863" i="3" s="1"/>
  <c r="X1863" i="3" a="1"/>
  <c r="X1863" i="3" s="1"/>
  <c r="W1863" i="3" a="1"/>
  <c r="W1863" i="3" s="1"/>
  <c r="V1863" i="3" a="1"/>
  <c r="V1863" i="3" s="1"/>
  <c r="Y1862" i="3" a="1"/>
  <c r="Y1862" i="3" s="1"/>
  <c r="X1862" i="3" a="1"/>
  <c r="X1862" i="3" s="1"/>
  <c r="W1862" i="3" a="1"/>
  <c r="W1862" i="3" s="1"/>
  <c r="V1862" i="3" a="1"/>
  <c r="V1862" i="3" s="1"/>
  <c r="Y1861" i="3" a="1"/>
  <c r="Y1861" i="3" s="1"/>
  <c r="X1861" i="3" a="1"/>
  <c r="X1861" i="3" s="1"/>
  <c r="W1861" i="3" a="1"/>
  <c r="W1861" i="3" s="1"/>
  <c r="V1861" i="3" a="1"/>
  <c r="V1861" i="3" s="1"/>
  <c r="Y1860" i="3" a="1"/>
  <c r="Y1860" i="3" s="1"/>
  <c r="X1860" i="3" a="1"/>
  <c r="X1860" i="3" s="1"/>
  <c r="W1860" i="3" a="1"/>
  <c r="W1860" i="3" s="1"/>
  <c r="V1860" i="3" a="1"/>
  <c r="V1860" i="3" s="1"/>
  <c r="Y1859" i="3" a="1"/>
  <c r="Y1859" i="3" s="1"/>
  <c r="X1859" i="3" a="1"/>
  <c r="X1859" i="3" s="1"/>
  <c r="W1859" i="3" a="1"/>
  <c r="W1859" i="3" s="1"/>
  <c r="V1859" i="3" a="1"/>
  <c r="V1859" i="3" s="1"/>
  <c r="Y1858" i="3" a="1"/>
  <c r="Y1858" i="3" s="1"/>
  <c r="X1858" i="3" a="1"/>
  <c r="X1858" i="3" s="1"/>
  <c r="W1858" i="3" a="1"/>
  <c r="W1858" i="3" s="1"/>
  <c r="V1858" i="3" a="1"/>
  <c r="V1858" i="3" s="1"/>
  <c r="Y1857" i="3" a="1"/>
  <c r="Y1857" i="3" s="1"/>
  <c r="X1857" i="3" a="1"/>
  <c r="X1857" i="3" s="1"/>
  <c r="W1857" i="3" a="1"/>
  <c r="W1857" i="3" s="1"/>
  <c r="V1857" i="3" a="1"/>
  <c r="V1857" i="3" s="1"/>
  <c r="Y1856" i="3" a="1"/>
  <c r="Y1856" i="3" s="1"/>
  <c r="X1856" i="3" a="1"/>
  <c r="X1856" i="3" s="1"/>
  <c r="W1856" i="3" a="1"/>
  <c r="W1856" i="3" s="1"/>
  <c r="V1856" i="3" a="1"/>
  <c r="V1856" i="3" s="1"/>
  <c r="Y1855" i="3" a="1"/>
  <c r="Y1855" i="3" s="1"/>
  <c r="X1855" i="3" a="1"/>
  <c r="X1855" i="3" s="1"/>
  <c r="W1855" i="3" a="1"/>
  <c r="W1855" i="3" s="1"/>
  <c r="V1855" i="3" a="1"/>
  <c r="V1855" i="3" s="1"/>
  <c r="Y1854" i="3" a="1"/>
  <c r="Y1854" i="3" s="1"/>
  <c r="X1854" i="3" a="1"/>
  <c r="X1854" i="3" s="1"/>
  <c r="W1854" i="3" a="1"/>
  <c r="W1854" i="3" s="1"/>
  <c r="V1854" i="3" a="1"/>
  <c r="V1854" i="3" s="1"/>
  <c r="Y1853" i="3" a="1"/>
  <c r="Y1853" i="3" s="1"/>
  <c r="X1853" i="3" a="1"/>
  <c r="X1853" i="3" s="1"/>
  <c r="W1853" i="3" a="1"/>
  <c r="W1853" i="3" s="1"/>
  <c r="V1853" i="3" a="1"/>
  <c r="V1853" i="3" s="1"/>
  <c r="Y1852" i="3" a="1"/>
  <c r="Y1852" i="3" s="1"/>
  <c r="X1852" i="3" a="1"/>
  <c r="X1852" i="3" s="1"/>
  <c r="W1852" i="3" a="1"/>
  <c r="W1852" i="3" s="1"/>
  <c r="V1852" i="3" a="1"/>
  <c r="V1852" i="3" s="1"/>
  <c r="Y1851" i="3" a="1"/>
  <c r="Y1851" i="3" s="1"/>
  <c r="X1851" i="3" a="1"/>
  <c r="X1851" i="3" s="1"/>
  <c r="W1851" i="3" a="1"/>
  <c r="W1851" i="3" s="1"/>
  <c r="V1851" i="3" a="1"/>
  <c r="V1851" i="3" s="1"/>
  <c r="Y1850" i="3" a="1"/>
  <c r="Y1850" i="3" s="1"/>
  <c r="X1850" i="3" a="1"/>
  <c r="X1850" i="3" s="1"/>
  <c r="W1850" i="3" a="1"/>
  <c r="W1850" i="3" s="1"/>
  <c r="V1850" i="3" a="1"/>
  <c r="V1850" i="3" s="1"/>
  <c r="Y1849" i="3" a="1"/>
  <c r="Y1849" i="3" s="1"/>
  <c r="X1849" i="3" a="1"/>
  <c r="X1849" i="3" s="1"/>
  <c r="W1849" i="3" a="1"/>
  <c r="W1849" i="3" s="1"/>
  <c r="V1849" i="3" a="1"/>
  <c r="V1849" i="3" s="1"/>
  <c r="Y1848" i="3" a="1"/>
  <c r="Y1848" i="3" s="1"/>
  <c r="X1848" i="3" a="1"/>
  <c r="X1848" i="3" s="1"/>
  <c r="W1848" i="3" a="1"/>
  <c r="W1848" i="3" s="1"/>
  <c r="V1848" i="3" a="1"/>
  <c r="V1848" i="3" s="1"/>
  <c r="Y1847" i="3" a="1"/>
  <c r="Y1847" i="3" s="1"/>
  <c r="X1847" i="3" a="1"/>
  <c r="X1847" i="3" s="1"/>
  <c r="W1847" i="3" a="1"/>
  <c r="W1847" i="3" s="1"/>
  <c r="V1847" i="3" a="1"/>
  <c r="V1847" i="3" s="1"/>
  <c r="Y1846" i="3" a="1"/>
  <c r="Y1846" i="3" s="1"/>
  <c r="X1846" i="3" a="1"/>
  <c r="X1846" i="3" s="1"/>
  <c r="W1846" i="3" a="1"/>
  <c r="W1846" i="3" s="1"/>
  <c r="V1846" i="3" a="1"/>
  <c r="V1846" i="3" s="1"/>
  <c r="Y1845" i="3" a="1"/>
  <c r="Y1845" i="3" s="1"/>
  <c r="X1845" i="3" a="1"/>
  <c r="X1845" i="3" s="1"/>
  <c r="W1845" i="3" a="1"/>
  <c r="W1845" i="3" s="1"/>
  <c r="V1845" i="3" a="1"/>
  <c r="V1845" i="3" s="1"/>
  <c r="Y1844" i="3" a="1"/>
  <c r="Y1844" i="3" s="1"/>
  <c r="X1844" i="3" a="1"/>
  <c r="X1844" i="3" s="1"/>
  <c r="W1844" i="3" a="1"/>
  <c r="W1844" i="3" s="1"/>
  <c r="V1844" i="3" a="1"/>
  <c r="V1844" i="3" s="1"/>
  <c r="Y1843" i="3" a="1"/>
  <c r="Y1843" i="3" s="1"/>
  <c r="X1843" i="3" a="1"/>
  <c r="X1843" i="3" s="1"/>
  <c r="W1843" i="3" a="1"/>
  <c r="W1843" i="3" s="1"/>
  <c r="V1843" i="3" a="1"/>
  <c r="V1843" i="3" s="1"/>
  <c r="Y1842" i="3" a="1"/>
  <c r="Y1842" i="3" s="1"/>
  <c r="X1842" i="3" a="1"/>
  <c r="X1842" i="3" s="1"/>
  <c r="W1842" i="3" a="1"/>
  <c r="W1842" i="3" s="1"/>
  <c r="V1842" i="3" a="1"/>
  <c r="V1842" i="3" s="1"/>
  <c r="Y1841" i="3" a="1"/>
  <c r="Y1841" i="3" s="1"/>
  <c r="X1841" i="3" a="1"/>
  <c r="X1841" i="3" s="1"/>
  <c r="W1841" i="3" a="1"/>
  <c r="W1841" i="3" s="1"/>
  <c r="V1841" i="3" a="1"/>
  <c r="V1841" i="3" s="1"/>
  <c r="Y1840" i="3" a="1"/>
  <c r="Y1840" i="3" s="1"/>
  <c r="X1840" i="3" a="1"/>
  <c r="X1840" i="3" s="1"/>
  <c r="W1840" i="3" a="1"/>
  <c r="W1840" i="3" s="1"/>
  <c r="V1840" i="3" a="1"/>
  <c r="V1840" i="3" s="1"/>
  <c r="Y1839" i="3" a="1"/>
  <c r="Y1839" i="3" s="1"/>
  <c r="X1839" i="3" a="1"/>
  <c r="X1839" i="3" s="1"/>
  <c r="W1839" i="3" a="1"/>
  <c r="W1839" i="3" s="1"/>
  <c r="V1839" i="3" a="1"/>
  <c r="V1839" i="3" s="1"/>
  <c r="Y1838" i="3" a="1"/>
  <c r="Y1838" i="3" s="1"/>
  <c r="X1838" i="3" a="1"/>
  <c r="X1838" i="3" s="1"/>
  <c r="W1838" i="3" a="1"/>
  <c r="W1838" i="3" s="1"/>
  <c r="V1838" i="3" a="1"/>
  <c r="V1838" i="3" s="1"/>
  <c r="Y1837" i="3" a="1"/>
  <c r="Y1837" i="3" s="1"/>
  <c r="X1837" i="3" a="1"/>
  <c r="X1837" i="3" s="1"/>
  <c r="W1837" i="3" a="1"/>
  <c r="W1837" i="3" s="1"/>
  <c r="V1837" i="3" a="1"/>
  <c r="V1837" i="3" s="1"/>
  <c r="Y1836" i="3" a="1"/>
  <c r="Y1836" i="3" s="1"/>
  <c r="X1836" i="3" a="1"/>
  <c r="X1836" i="3" s="1"/>
  <c r="W1836" i="3" a="1"/>
  <c r="W1836" i="3" s="1"/>
  <c r="V1836" i="3" a="1"/>
  <c r="V1836" i="3" s="1"/>
  <c r="Y1835" i="3" a="1"/>
  <c r="Y1835" i="3" s="1"/>
  <c r="X1835" i="3" a="1"/>
  <c r="X1835" i="3" s="1"/>
  <c r="W1835" i="3" a="1"/>
  <c r="W1835" i="3" s="1"/>
  <c r="V1835" i="3" a="1"/>
  <c r="V1835" i="3" s="1"/>
  <c r="Y1834" i="3" a="1"/>
  <c r="Y1834" i="3" s="1"/>
  <c r="X1834" i="3" a="1"/>
  <c r="X1834" i="3" s="1"/>
  <c r="W1834" i="3" a="1"/>
  <c r="W1834" i="3" s="1"/>
  <c r="V1834" i="3" a="1"/>
  <c r="V1834" i="3" s="1"/>
  <c r="Y1833" i="3" a="1"/>
  <c r="Y1833" i="3" s="1"/>
  <c r="X1833" i="3" a="1"/>
  <c r="X1833" i="3" s="1"/>
  <c r="W1833" i="3" a="1"/>
  <c r="W1833" i="3" s="1"/>
  <c r="V1833" i="3" a="1"/>
  <c r="V1833" i="3" s="1"/>
  <c r="Y1832" i="3" a="1"/>
  <c r="Y1832" i="3" s="1"/>
  <c r="X1832" i="3" a="1"/>
  <c r="X1832" i="3" s="1"/>
  <c r="W1832" i="3" a="1"/>
  <c r="W1832" i="3" s="1"/>
  <c r="V1832" i="3" a="1"/>
  <c r="V1832" i="3" s="1"/>
  <c r="Y1831" i="3" a="1"/>
  <c r="Y1831" i="3" s="1"/>
  <c r="X1831" i="3" a="1"/>
  <c r="X1831" i="3" s="1"/>
  <c r="W1831" i="3" a="1"/>
  <c r="W1831" i="3" s="1"/>
  <c r="V1831" i="3" a="1"/>
  <c r="V1831" i="3" s="1"/>
  <c r="Y1830" i="3" a="1"/>
  <c r="Y1830" i="3" s="1"/>
  <c r="X1830" i="3" a="1"/>
  <c r="X1830" i="3" s="1"/>
  <c r="W1830" i="3" a="1"/>
  <c r="W1830" i="3" s="1"/>
  <c r="V1830" i="3" a="1"/>
  <c r="V1830" i="3" s="1"/>
  <c r="Y1829" i="3" a="1"/>
  <c r="Y1829" i="3" s="1"/>
  <c r="X1829" i="3" a="1"/>
  <c r="X1829" i="3" s="1"/>
  <c r="W1829" i="3" a="1"/>
  <c r="W1829" i="3" s="1"/>
  <c r="V1829" i="3" a="1"/>
  <c r="V1829" i="3" s="1"/>
  <c r="Y1828" i="3" a="1"/>
  <c r="Y1828" i="3" s="1"/>
  <c r="X1828" i="3" a="1"/>
  <c r="X1828" i="3" s="1"/>
  <c r="W1828" i="3" a="1"/>
  <c r="W1828" i="3" s="1"/>
  <c r="V1828" i="3" a="1"/>
  <c r="V1828" i="3" s="1"/>
  <c r="Y1827" i="3" a="1"/>
  <c r="Y1827" i="3" s="1"/>
  <c r="X1827" i="3" a="1"/>
  <c r="X1827" i="3" s="1"/>
  <c r="W1827" i="3" a="1"/>
  <c r="W1827" i="3" s="1"/>
  <c r="V1827" i="3" a="1"/>
  <c r="V1827" i="3" s="1"/>
  <c r="Y1826" i="3" a="1"/>
  <c r="Y1826" i="3" s="1"/>
  <c r="X1826" i="3" a="1"/>
  <c r="X1826" i="3" s="1"/>
  <c r="W1826" i="3" a="1"/>
  <c r="W1826" i="3" s="1"/>
  <c r="V1826" i="3" a="1"/>
  <c r="V1826" i="3" s="1"/>
  <c r="Y1825" i="3" a="1"/>
  <c r="Y1825" i="3" s="1"/>
  <c r="X1825" i="3" a="1"/>
  <c r="X1825" i="3" s="1"/>
  <c r="W1825" i="3" a="1"/>
  <c r="W1825" i="3" s="1"/>
  <c r="V1825" i="3" a="1"/>
  <c r="V1825" i="3" s="1"/>
  <c r="Y1824" i="3" a="1"/>
  <c r="Y1824" i="3" s="1"/>
  <c r="X1824" i="3" a="1"/>
  <c r="X1824" i="3" s="1"/>
  <c r="W1824" i="3" a="1"/>
  <c r="W1824" i="3" s="1"/>
  <c r="V1824" i="3" a="1"/>
  <c r="V1824" i="3" s="1"/>
  <c r="Y1823" i="3" a="1"/>
  <c r="Y1823" i="3" s="1"/>
  <c r="X1823" i="3" a="1"/>
  <c r="X1823" i="3" s="1"/>
  <c r="W1823" i="3" a="1"/>
  <c r="W1823" i="3" s="1"/>
  <c r="V1823" i="3" a="1"/>
  <c r="V1823" i="3" s="1"/>
  <c r="Y1822" i="3" a="1"/>
  <c r="Y1822" i="3" s="1"/>
  <c r="X1822" i="3" a="1"/>
  <c r="X1822" i="3" s="1"/>
  <c r="W1822" i="3" a="1"/>
  <c r="W1822" i="3" s="1"/>
  <c r="V1822" i="3" a="1"/>
  <c r="V1822" i="3" s="1"/>
  <c r="Y1821" i="3" a="1"/>
  <c r="Y1821" i="3" s="1"/>
  <c r="X1821" i="3" a="1"/>
  <c r="X1821" i="3" s="1"/>
  <c r="W1821" i="3" a="1"/>
  <c r="W1821" i="3" s="1"/>
  <c r="V1821" i="3" a="1"/>
  <c r="V1821" i="3" s="1"/>
  <c r="Y1820" i="3" a="1"/>
  <c r="Y1820" i="3" s="1"/>
  <c r="X1820" i="3" a="1"/>
  <c r="X1820" i="3" s="1"/>
  <c r="W1820" i="3" a="1"/>
  <c r="W1820" i="3" s="1"/>
  <c r="V1820" i="3" a="1"/>
  <c r="V1820" i="3" s="1"/>
  <c r="Y1819" i="3" a="1"/>
  <c r="Y1819" i="3" s="1"/>
  <c r="X1819" i="3" a="1"/>
  <c r="X1819" i="3" s="1"/>
  <c r="W1819" i="3" a="1"/>
  <c r="W1819" i="3" s="1"/>
  <c r="V1819" i="3" a="1"/>
  <c r="V1819" i="3" s="1"/>
  <c r="Y1818" i="3" a="1"/>
  <c r="Y1818" i="3" s="1"/>
  <c r="X1818" i="3" a="1"/>
  <c r="X1818" i="3" s="1"/>
  <c r="W1818" i="3" a="1"/>
  <c r="W1818" i="3" s="1"/>
  <c r="V1818" i="3" a="1"/>
  <c r="V1818" i="3" s="1"/>
  <c r="Y1817" i="3" a="1"/>
  <c r="Y1817" i="3" s="1"/>
  <c r="X1817" i="3" a="1"/>
  <c r="X1817" i="3" s="1"/>
  <c r="W1817" i="3" a="1"/>
  <c r="W1817" i="3" s="1"/>
  <c r="V1817" i="3" a="1"/>
  <c r="V1817" i="3" s="1"/>
  <c r="Y1816" i="3" a="1"/>
  <c r="Y1816" i="3" s="1"/>
  <c r="X1816" i="3" a="1"/>
  <c r="X1816" i="3" s="1"/>
  <c r="W1816" i="3" a="1"/>
  <c r="W1816" i="3" s="1"/>
  <c r="V1816" i="3" a="1"/>
  <c r="V1816" i="3" s="1"/>
  <c r="Y1815" i="3" a="1"/>
  <c r="Y1815" i="3" s="1"/>
  <c r="X1815" i="3" a="1"/>
  <c r="X1815" i="3" s="1"/>
  <c r="W1815" i="3" a="1"/>
  <c r="W1815" i="3" s="1"/>
  <c r="V1815" i="3" a="1"/>
  <c r="V1815" i="3" s="1"/>
  <c r="Y1814" i="3" a="1"/>
  <c r="Y1814" i="3" s="1"/>
  <c r="X1814" i="3" a="1"/>
  <c r="X1814" i="3" s="1"/>
  <c r="W1814" i="3" a="1"/>
  <c r="W1814" i="3" s="1"/>
  <c r="V1814" i="3" a="1"/>
  <c r="V1814" i="3" s="1"/>
  <c r="Y1813" i="3" a="1"/>
  <c r="Y1813" i="3" s="1"/>
  <c r="X1813" i="3" a="1"/>
  <c r="X1813" i="3" s="1"/>
  <c r="W1813" i="3" a="1"/>
  <c r="W1813" i="3" s="1"/>
  <c r="V1813" i="3" a="1"/>
  <c r="V1813" i="3" s="1"/>
  <c r="Y1812" i="3" a="1"/>
  <c r="Y1812" i="3" s="1"/>
  <c r="X1812" i="3" a="1"/>
  <c r="X1812" i="3" s="1"/>
  <c r="W1812" i="3" a="1"/>
  <c r="W1812" i="3" s="1"/>
  <c r="V1812" i="3" a="1"/>
  <c r="V1812" i="3" s="1"/>
  <c r="Y1811" i="3" a="1"/>
  <c r="Y1811" i="3" s="1"/>
  <c r="X1811" i="3" a="1"/>
  <c r="X1811" i="3" s="1"/>
  <c r="W1811" i="3" a="1"/>
  <c r="W1811" i="3" s="1"/>
  <c r="V1811" i="3" a="1"/>
  <c r="V1811" i="3" s="1"/>
  <c r="Y1810" i="3" a="1"/>
  <c r="Y1810" i="3" s="1"/>
  <c r="X1810" i="3" a="1"/>
  <c r="X1810" i="3" s="1"/>
  <c r="W1810" i="3" a="1"/>
  <c r="W1810" i="3" s="1"/>
  <c r="V1810" i="3" a="1"/>
  <c r="V1810" i="3" s="1"/>
  <c r="Y1809" i="3" a="1"/>
  <c r="Y1809" i="3" s="1"/>
  <c r="X1809" i="3" a="1"/>
  <c r="X1809" i="3" s="1"/>
  <c r="W1809" i="3" a="1"/>
  <c r="W1809" i="3" s="1"/>
  <c r="V1809" i="3" a="1"/>
  <c r="V1809" i="3" s="1"/>
  <c r="Y1808" i="3" a="1"/>
  <c r="Y1808" i="3" s="1"/>
  <c r="X1808" i="3" a="1"/>
  <c r="X1808" i="3" s="1"/>
  <c r="W1808" i="3" a="1"/>
  <c r="W1808" i="3" s="1"/>
  <c r="V1808" i="3" a="1"/>
  <c r="V1808" i="3" s="1"/>
  <c r="Y1807" i="3" a="1"/>
  <c r="Y1807" i="3" s="1"/>
  <c r="X1807" i="3" a="1"/>
  <c r="X1807" i="3" s="1"/>
  <c r="W1807" i="3" a="1"/>
  <c r="W1807" i="3" s="1"/>
  <c r="V1807" i="3" a="1"/>
  <c r="V1807" i="3" s="1"/>
  <c r="Y1806" i="3" a="1"/>
  <c r="Y1806" i="3" s="1"/>
  <c r="X1806" i="3" a="1"/>
  <c r="X1806" i="3" s="1"/>
  <c r="W1806" i="3" a="1"/>
  <c r="W1806" i="3" s="1"/>
  <c r="V1806" i="3" a="1"/>
  <c r="V1806" i="3" s="1"/>
  <c r="Y1805" i="3" a="1"/>
  <c r="Y1805" i="3" s="1"/>
  <c r="X1805" i="3" a="1"/>
  <c r="X1805" i="3" s="1"/>
  <c r="W1805" i="3" a="1"/>
  <c r="W1805" i="3" s="1"/>
  <c r="V1805" i="3" a="1"/>
  <c r="V1805" i="3" s="1"/>
  <c r="Y1804" i="3" a="1"/>
  <c r="Y1804" i="3" s="1"/>
  <c r="X1804" i="3" a="1"/>
  <c r="X1804" i="3" s="1"/>
  <c r="W1804" i="3" a="1"/>
  <c r="W1804" i="3" s="1"/>
  <c r="V1804" i="3" a="1"/>
  <c r="V1804" i="3" s="1"/>
  <c r="Y1803" i="3" a="1"/>
  <c r="Y1803" i="3" s="1"/>
  <c r="X1803" i="3" a="1"/>
  <c r="X1803" i="3" s="1"/>
  <c r="W1803" i="3" a="1"/>
  <c r="W1803" i="3" s="1"/>
  <c r="V1803" i="3" a="1"/>
  <c r="V1803" i="3" s="1"/>
  <c r="Y1802" i="3" a="1"/>
  <c r="Y1802" i="3" s="1"/>
  <c r="X1802" i="3" a="1"/>
  <c r="X1802" i="3" s="1"/>
  <c r="W1802" i="3" a="1"/>
  <c r="W1802" i="3" s="1"/>
  <c r="V1802" i="3" a="1"/>
  <c r="V1802" i="3" s="1"/>
  <c r="Y1801" i="3" a="1"/>
  <c r="Y1801" i="3" s="1"/>
  <c r="X1801" i="3" a="1"/>
  <c r="X1801" i="3" s="1"/>
  <c r="W1801" i="3" a="1"/>
  <c r="W1801" i="3" s="1"/>
  <c r="V1801" i="3" a="1"/>
  <c r="V1801" i="3" s="1"/>
  <c r="Y1800" i="3" a="1"/>
  <c r="Y1800" i="3" s="1"/>
  <c r="X1800" i="3" a="1"/>
  <c r="X1800" i="3" s="1"/>
  <c r="W1800" i="3" a="1"/>
  <c r="W1800" i="3" s="1"/>
  <c r="V1800" i="3" a="1"/>
  <c r="V1800" i="3" s="1"/>
  <c r="Y1799" i="3" a="1"/>
  <c r="Y1799" i="3" s="1"/>
  <c r="X1799" i="3" a="1"/>
  <c r="X1799" i="3" s="1"/>
  <c r="W1799" i="3" a="1"/>
  <c r="W1799" i="3" s="1"/>
  <c r="V1799" i="3" a="1"/>
  <c r="V1799" i="3" s="1"/>
  <c r="Y1798" i="3" a="1"/>
  <c r="Y1798" i="3" s="1"/>
  <c r="X1798" i="3" a="1"/>
  <c r="X1798" i="3" s="1"/>
  <c r="W1798" i="3" a="1"/>
  <c r="W1798" i="3" s="1"/>
  <c r="V1798" i="3" a="1"/>
  <c r="V1798" i="3" s="1"/>
  <c r="Y1797" i="3" a="1"/>
  <c r="Y1797" i="3" s="1"/>
  <c r="X1797" i="3" a="1"/>
  <c r="X1797" i="3" s="1"/>
  <c r="W1797" i="3" a="1"/>
  <c r="W1797" i="3" s="1"/>
  <c r="V1797" i="3" a="1"/>
  <c r="V1797" i="3" s="1"/>
  <c r="Y1796" i="3" a="1"/>
  <c r="Y1796" i="3" s="1"/>
  <c r="X1796" i="3" a="1"/>
  <c r="X1796" i="3" s="1"/>
  <c r="W1796" i="3" a="1"/>
  <c r="W1796" i="3" s="1"/>
  <c r="V1796" i="3" a="1"/>
  <c r="V1796" i="3" s="1"/>
  <c r="Y1795" i="3" a="1"/>
  <c r="Y1795" i="3" s="1"/>
  <c r="X1795" i="3" a="1"/>
  <c r="X1795" i="3" s="1"/>
  <c r="W1795" i="3" a="1"/>
  <c r="W1795" i="3" s="1"/>
  <c r="V1795" i="3" a="1"/>
  <c r="V1795" i="3" s="1"/>
  <c r="Y1794" i="3" a="1"/>
  <c r="Y1794" i="3" s="1"/>
  <c r="X1794" i="3" a="1"/>
  <c r="X1794" i="3" s="1"/>
  <c r="W1794" i="3" a="1"/>
  <c r="W1794" i="3" s="1"/>
  <c r="V1794" i="3" a="1"/>
  <c r="V1794" i="3" s="1"/>
  <c r="Y1793" i="3" a="1"/>
  <c r="Y1793" i="3" s="1"/>
  <c r="X1793" i="3" a="1"/>
  <c r="X1793" i="3" s="1"/>
  <c r="W1793" i="3" a="1"/>
  <c r="W1793" i="3" s="1"/>
  <c r="V1793" i="3" a="1"/>
  <c r="V1793" i="3" s="1"/>
  <c r="Y1792" i="3" a="1"/>
  <c r="Y1792" i="3" s="1"/>
  <c r="X1792" i="3" a="1"/>
  <c r="X1792" i="3" s="1"/>
  <c r="W1792" i="3" a="1"/>
  <c r="W1792" i="3" s="1"/>
  <c r="V1792" i="3" a="1"/>
  <c r="V1792" i="3" s="1"/>
  <c r="Y1791" i="3" a="1"/>
  <c r="Y1791" i="3" s="1"/>
  <c r="X1791" i="3" a="1"/>
  <c r="X1791" i="3" s="1"/>
  <c r="W1791" i="3" a="1"/>
  <c r="W1791" i="3" s="1"/>
  <c r="V1791" i="3" a="1"/>
  <c r="V1791" i="3" s="1"/>
  <c r="Y1790" i="3" a="1"/>
  <c r="Y1790" i="3" s="1"/>
  <c r="X1790" i="3" a="1"/>
  <c r="X1790" i="3" s="1"/>
  <c r="W1790" i="3" a="1"/>
  <c r="W1790" i="3" s="1"/>
  <c r="V1790" i="3" a="1"/>
  <c r="V1790" i="3" s="1"/>
  <c r="Y1789" i="3" a="1"/>
  <c r="Y1789" i="3" s="1"/>
  <c r="X1789" i="3" a="1"/>
  <c r="X1789" i="3" s="1"/>
  <c r="W1789" i="3" a="1"/>
  <c r="W1789" i="3" s="1"/>
  <c r="V1789" i="3" a="1"/>
  <c r="V1789" i="3" s="1"/>
  <c r="Y1788" i="3" a="1"/>
  <c r="Y1788" i="3" s="1"/>
  <c r="X1788" i="3" a="1"/>
  <c r="X1788" i="3" s="1"/>
  <c r="W1788" i="3" a="1"/>
  <c r="W1788" i="3" s="1"/>
  <c r="V1788" i="3" a="1"/>
  <c r="V1788" i="3" s="1"/>
  <c r="Y1787" i="3" a="1"/>
  <c r="Y1787" i="3" s="1"/>
  <c r="X1787" i="3" a="1"/>
  <c r="X1787" i="3" s="1"/>
  <c r="W1787" i="3" a="1"/>
  <c r="W1787" i="3" s="1"/>
  <c r="V1787" i="3" a="1"/>
  <c r="V1787" i="3" s="1"/>
  <c r="Y1786" i="3" a="1"/>
  <c r="Y1786" i="3" s="1"/>
  <c r="X1786" i="3" a="1"/>
  <c r="X1786" i="3" s="1"/>
  <c r="W1786" i="3" a="1"/>
  <c r="W1786" i="3" s="1"/>
  <c r="V1786" i="3" a="1"/>
  <c r="V1786" i="3" s="1"/>
  <c r="Y1785" i="3" a="1"/>
  <c r="Y1785" i="3" s="1"/>
  <c r="X1785" i="3" a="1"/>
  <c r="X1785" i="3" s="1"/>
  <c r="W1785" i="3" a="1"/>
  <c r="W1785" i="3" s="1"/>
  <c r="V1785" i="3" a="1"/>
  <c r="V1785" i="3" s="1"/>
  <c r="Y1784" i="3" a="1"/>
  <c r="Y1784" i="3" s="1"/>
  <c r="X1784" i="3" a="1"/>
  <c r="X1784" i="3" s="1"/>
  <c r="W1784" i="3" a="1"/>
  <c r="W1784" i="3" s="1"/>
  <c r="V1784" i="3" a="1"/>
  <c r="V1784" i="3" s="1"/>
  <c r="Y1783" i="3" a="1"/>
  <c r="Y1783" i="3" s="1"/>
  <c r="X1783" i="3" a="1"/>
  <c r="X1783" i="3" s="1"/>
  <c r="W1783" i="3" a="1"/>
  <c r="W1783" i="3" s="1"/>
  <c r="V1783" i="3" a="1"/>
  <c r="V1783" i="3" s="1"/>
  <c r="Y1392" i="3" a="1"/>
  <c r="Y1392" i="3" s="1"/>
  <c r="X1392" i="3" a="1"/>
  <c r="X1392" i="3" s="1"/>
  <c r="W1392" i="3" a="1"/>
  <c r="W1392" i="3" s="1"/>
  <c r="V1392" i="3" a="1"/>
  <c r="V1392" i="3" s="1"/>
  <c r="Y1391" i="3" a="1"/>
  <c r="Y1391" i="3" s="1"/>
  <c r="X1391" i="3" a="1"/>
  <c r="X1391" i="3" s="1"/>
  <c r="W1391" i="3" a="1"/>
  <c r="W1391" i="3" s="1"/>
  <c r="V1391" i="3" a="1"/>
  <c r="V1391" i="3" s="1"/>
  <c r="Y1390" i="3" a="1"/>
  <c r="Y1390" i="3" s="1"/>
  <c r="X1390" i="3" a="1"/>
  <c r="X1390" i="3" s="1"/>
  <c r="W1390" i="3" a="1"/>
  <c r="W1390" i="3" s="1"/>
  <c r="V1390" i="3" a="1"/>
  <c r="V1390" i="3" s="1"/>
  <c r="Y1389" i="3" a="1"/>
  <c r="Y1389" i="3" s="1"/>
  <c r="X1389" i="3" a="1"/>
  <c r="X1389" i="3" s="1"/>
  <c r="W1389" i="3" a="1"/>
  <c r="W1389" i="3" s="1"/>
  <c r="V1389" i="3" a="1"/>
  <c r="V1389" i="3" s="1"/>
  <c r="Y1388" i="3" a="1"/>
  <c r="Y1388" i="3" s="1"/>
  <c r="X1388" i="3" a="1"/>
  <c r="X1388" i="3" s="1"/>
  <c r="W1388" i="3" a="1"/>
  <c r="W1388" i="3" s="1"/>
  <c r="V1388" i="3" a="1"/>
  <c r="V1388" i="3" s="1"/>
  <c r="Y1387" i="3" a="1"/>
  <c r="Y1387" i="3" s="1"/>
  <c r="X1387" i="3" a="1"/>
  <c r="X1387" i="3" s="1"/>
  <c r="W1387" i="3" a="1"/>
  <c r="W1387" i="3" s="1"/>
  <c r="V1387" i="3" a="1"/>
  <c r="V1387" i="3" s="1"/>
  <c r="Y1386" i="3" a="1"/>
  <c r="Y1386" i="3" s="1"/>
  <c r="X1386" i="3" a="1"/>
  <c r="X1386" i="3" s="1"/>
  <c r="W1386" i="3" a="1"/>
  <c r="W1386" i="3" s="1"/>
  <c r="V1386" i="3" a="1"/>
  <c r="V1386" i="3" s="1"/>
  <c r="Y1385" i="3" a="1"/>
  <c r="Y1385" i="3" s="1"/>
  <c r="X1385" i="3" a="1"/>
  <c r="X1385" i="3" s="1"/>
  <c r="W1385" i="3" a="1"/>
  <c r="W1385" i="3" s="1"/>
  <c r="V1385" i="3" a="1"/>
  <c r="V1385" i="3" s="1"/>
  <c r="Y1384" i="3" a="1"/>
  <c r="Y1384" i="3" s="1"/>
  <c r="X1384" i="3" a="1"/>
  <c r="X1384" i="3" s="1"/>
  <c r="W1384" i="3" a="1"/>
  <c r="W1384" i="3" s="1"/>
  <c r="V1384" i="3" a="1"/>
  <c r="V1384" i="3" s="1"/>
  <c r="Y1383" i="3" a="1"/>
  <c r="Y1383" i="3" s="1"/>
  <c r="X1383" i="3" a="1"/>
  <c r="X1383" i="3" s="1"/>
  <c r="W1383" i="3" a="1"/>
  <c r="W1383" i="3" s="1"/>
  <c r="V1383" i="3" a="1"/>
  <c r="V1383" i="3" s="1"/>
  <c r="Y1382" i="3" a="1"/>
  <c r="Y1382" i="3" s="1"/>
  <c r="X1382" i="3" a="1"/>
  <c r="X1382" i="3" s="1"/>
  <c r="W1382" i="3" a="1"/>
  <c r="W1382" i="3" s="1"/>
  <c r="V1382" i="3" a="1"/>
  <c r="V1382" i="3" s="1"/>
  <c r="Y1381" i="3" a="1"/>
  <c r="Y1381" i="3" s="1"/>
  <c r="X1381" i="3" a="1"/>
  <c r="X1381" i="3" s="1"/>
  <c r="W1381" i="3" a="1"/>
  <c r="W1381" i="3" s="1"/>
  <c r="V1381" i="3" a="1"/>
  <c r="V1381" i="3" s="1"/>
  <c r="Y1380" i="3" a="1"/>
  <c r="Y1380" i="3" s="1"/>
  <c r="X1380" i="3" a="1"/>
  <c r="X1380" i="3" s="1"/>
  <c r="W1380" i="3" a="1"/>
  <c r="W1380" i="3" s="1"/>
  <c r="V1380" i="3" a="1"/>
  <c r="V1380" i="3" s="1"/>
  <c r="Y1379" i="3" a="1"/>
  <c r="Y1379" i="3" s="1"/>
  <c r="X1379" i="3" a="1"/>
  <c r="X1379" i="3" s="1"/>
  <c r="W1379" i="3" a="1"/>
  <c r="W1379" i="3" s="1"/>
  <c r="V1379" i="3" a="1"/>
  <c r="V1379" i="3" s="1"/>
  <c r="Y1378" i="3" a="1"/>
  <c r="Y1378" i="3" s="1"/>
  <c r="X1378" i="3" a="1"/>
  <c r="X1378" i="3" s="1"/>
  <c r="W1378" i="3" a="1"/>
  <c r="W1378" i="3" s="1"/>
  <c r="V1378" i="3" a="1"/>
  <c r="V1378" i="3" s="1"/>
  <c r="Y1377" i="3" a="1"/>
  <c r="Y1377" i="3" s="1"/>
  <c r="X1377" i="3" a="1"/>
  <c r="X1377" i="3" s="1"/>
  <c r="W1377" i="3" a="1"/>
  <c r="W1377" i="3" s="1"/>
  <c r="V1377" i="3" a="1"/>
  <c r="V1377" i="3" s="1"/>
  <c r="Y1376" i="3" a="1"/>
  <c r="Y1376" i="3" s="1"/>
  <c r="X1376" i="3" a="1"/>
  <c r="X1376" i="3" s="1"/>
  <c r="W1376" i="3" a="1"/>
  <c r="W1376" i="3" s="1"/>
  <c r="V1376" i="3" a="1"/>
  <c r="V1376" i="3" s="1"/>
  <c r="Y1375" i="3" a="1"/>
  <c r="Y1375" i="3" s="1"/>
  <c r="X1375" i="3" a="1"/>
  <c r="X1375" i="3" s="1"/>
  <c r="W1375" i="3" a="1"/>
  <c r="W1375" i="3" s="1"/>
  <c r="V1375" i="3" a="1"/>
  <c r="V1375" i="3" s="1"/>
  <c r="Y1374" i="3" a="1"/>
  <c r="Y1374" i="3" s="1"/>
  <c r="X1374" i="3" a="1"/>
  <c r="X1374" i="3" s="1"/>
  <c r="W1374" i="3" a="1"/>
  <c r="W1374" i="3" s="1"/>
  <c r="V1374" i="3" a="1"/>
  <c r="V1374" i="3" s="1"/>
  <c r="Y1373" i="3" a="1"/>
  <c r="Y1373" i="3" s="1"/>
  <c r="X1373" i="3" a="1"/>
  <c r="X1373" i="3" s="1"/>
  <c r="W1373" i="3" a="1"/>
  <c r="W1373" i="3" s="1"/>
  <c r="V1373" i="3" a="1"/>
  <c r="V1373" i="3" s="1"/>
  <c r="Y1372" i="3" a="1"/>
  <c r="Y1372" i="3" s="1"/>
  <c r="X1372" i="3" a="1"/>
  <c r="X1372" i="3" s="1"/>
  <c r="W1372" i="3" a="1"/>
  <c r="W1372" i="3" s="1"/>
  <c r="V1372" i="3" a="1"/>
  <c r="V1372" i="3" s="1"/>
  <c r="Y1371" i="3" a="1"/>
  <c r="Y1371" i="3" s="1"/>
  <c r="X1371" i="3" a="1"/>
  <c r="X1371" i="3" s="1"/>
  <c r="W1371" i="3" a="1"/>
  <c r="W1371" i="3" s="1"/>
  <c r="V1371" i="3" a="1"/>
  <c r="V1371" i="3" s="1"/>
  <c r="Y1370" i="3" a="1"/>
  <c r="Y1370" i="3" s="1"/>
  <c r="X1370" i="3" a="1"/>
  <c r="X1370" i="3" s="1"/>
  <c r="W1370" i="3" a="1"/>
  <c r="W1370" i="3" s="1"/>
  <c r="V1370" i="3" a="1"/>
  <c r="V1370" i="3" s="1"/>
  <c r="Y1369" i="3" a="1"/>
  <c r="Y1369" i="3" s="1"/>
  <c r="X1369" i="3" a="1"/>
  <c r="X1369" i="3" s="1"/>
  <c r="W1369" i="3" a="1"/>
  <c r="W1369" i="3" s="1"/>
  <c r="V1369" i="3" a="1"/>
  <c r="V1369" i="3" s="1"/>
  <c r="Y1368" i="3" a="1"/>
  <c r="Y1368" i="3" s="1"/>
  <c r="X1368" i="3" a="1"/>
  <c r="X1368" i="3" s="1"/>
  <c r="W1368" i="3" a="1"/>
  <c r="W1368" i="3" s="1"/>
  <c r="V1368" i="3" a="1"/>
  <c r="V1368" i="3" s="1"/>
  <c r="Y1367" i="3" a="1"/>
  <c r="Y1367" i="3" s="1"/>
  <c r="X1367" i="3" a="1"/>
  <c r="X1367" i="3" s="1"/>
  <c r="W1367" i="3" a="1"/>
  <c r="W1367" i="3" s="1"/>
  <c r="V1367" i="3" a="1"/>
  <c r="V1367" i="3" s="1"/>
  <c r="Y1366" i="3" a="1"/>
  <c r="Y1366" i="3" s="1"/>
  <c r="X1366" i="3" a="1"/>
  <c r="X1366" i="3" s="1"/>
  <c r="W1366" i="3" a="1"/>
  <c r="W1366" i="3" s="1"/>
  <c r="V1366" i="3" a="1"/>
  <c r="V1366" i="3" s="1"/>
  <c r="Y1365" i="3" a="1"/>
  <c r="Y1365" i="3" s="1"/>
  <c r="X1365" i="3" a="1"/>
  <c r="X1365" i="3" s="1"/>
  <c r="W1365" i="3" a="1"/>
  <c r="W1365" i="3" s="1"/>
  <c r="V1365" i="3" a="1"/>
  <c r="V1365" i="3" s="1"/>
  <c r="Y1364" i="3" a="1"/>
  <c r="Y1364" i="3" s="1"/>
  <c r="X1364" i="3" a="1"/>
  <c r="X1364" i="3" s="1"/>
  <c r="W1364" i="3" a="1"/>
  <c r="W1364" i="3" s="1"/>
  <c r="V1364" i="3" a="1"/>
  <c r="V1364" i="3" s="1"/>
  <c r="Y1363" i="3" a="1"/>
  <c r="Y1363" i="3" s="1"/>
  <c r="X1363" i="3" a="1"/>
  <c r="X1363" i="3" s="1"/>
  <c r="W1363" i="3" a="1"/>
  <c r="W1363" i="3" s="1"/>
  <c r="V1363" i="3" a="1"/>
  <c r="V1363" i="3" s="1"/>
  <c r="Y1362" i="3" a="1"/>
  <c r="Y1362" i="3" s="1"/>
  <c r="X1362" i="3" a="1"/>
  <c r="X1362" i="3" s="1"/>
  <c r="W1362" i="3" a="1"/>
  <c r="W1362" i="3" s="1"/>
  <c r="V1362" i="3" a="1"/>
  <c r="V1362" i="3" s="1"/>
  <c r="Y1360" i="3" a="1"/>
  <c r="Y1360" i="3" s="1"/>
  <c r="X1360" i="3" a="1"/>
  <c r="X1360" i="3" s="1"/>
  <c r="W1360" i="3" a="1"/>
  <c r="W1360" i="3" s="1"/>
  <c r="V1360" i="3" a="1"/>
  <c r="V1360" i="3" s="1"/>
  <c r="Y1359" i="3" a="1"/>
  <c r="Y1359" i="3" s="1"/>
  <c r="X1359" i="3" a="1"/>
  <c r="X1359" i="3" s="1"/>
  <c r="W1359" i="3" a="1"/>
  <c r="W1359" i="3" s="1"/>
  <c r="V1359" i="3" a="1"/>
  <c r="V1359" i="3" s="1"/>
  <c r="Y1358" i="3" a="1"/>
  <c r="Y1358" i="3" s="1"/>
  <c r="X1358" i="3" a="1"/>
  <c r="X1358" i="3" s="1"/>
  <c r="W1358" i="3" a="1"/>
  <c r="W1358" i="3" s="1"/>
  <c r="V1358" i="3" a="1"/>
  <c r="V1358" i="3" s="1"/>
  <c r="Y1356" i="3" a="1"/>
  <c r="Y1356" i="3" s="1"/>
  <c r="X1356" i="3" a="1"/>
  <c r="X1356" i="3" s="1"/>
  <c r="W1356" i="3" a="1"/>
  <c r="W1356" i="3" s="1"/>
  <c r="V1356" i="3" a="1"/>
  <c r="V1356" i="3" s="1"/>
  <c r="Y1355" i="3" a="1"/>
  <c r="Y1355" i="3" s="1"/>
  <c r="X1355" i="3" a="1"/>
  <c r="X1355" i="3" s="1"/>
  <c r="W1355" i="3" a="1"/>
  <c r="W1355" i="3" s="1"/>
  <c r="V1355" i="3" a="1"/>
  <c r="V1355" i="3" s="1"/>
  <c r="Y1354" i="3" a="1"/>
  <c r="Y1354" i="3" s="1"/>
  <c r="X1354" i="3" a="1"/>
  <c r="X1354" i="3" s="1"/>
  <c r="W1354" i="3" a="1"/>
  <c r="W1354" i="3" s="1"/>
  <c r="V1354" i="3" a="1"/>
  <c r="V1354" i="3" s="1"/>
  <c r="Y1352" i="3" a="1"/>
  <c r="Y1352" i="3" s="1"/>
  <c r="X1352" i="3" a="1"/>
  <c r="X1352" i="3" s="1"/>
  <c r="W1352" i="3" a="1"/>
  <c r="W1352" i="3" s="1"/>
  <c r="V1352" i="3" a="1"/>
  <c r="V1352" i="3" s="1"/>
  <c r="Y1351" i="3" a="1"/>
  <c r="Y1351" i="3" s="1"/>
  <c r="X1351" i="3" a="1"/>
  <c r="X1351" i="3" s="1"/>
  <c r="W1351" i="3" a="1"/>
  <c r="W1351" i="3" s="1"/>
  <c r="V1351" i="3" a="1"/>
  <c r="V1351" i="3" s="1"/>
  <c r="Y1350" i="3" a="1"/>
  <c r="Y1350" i="3" s="1"/>
  <c r="X1350" i="3" a="1"/>
  <c r="X1350" i="3" s="1"/>
  <c r="W1350" i="3" a="1"/>
  <c r="W1350" i="3" s="1"/>
  <c r="V1350" i="3" a="1"/>
  <c r="V1350" i="3" s="1"/>
  <c r="Y1348" i="3" a="1"/>
  <c r="Y1348" i="3" s="1"/>
  <c r="X1348" i="3" a="1"/>
  <c r="X1348" i="3" s="1"/>
  <c r="W1348" i="3" a="1"/>
  <c r="W1348" i="3" s="1"/>
  <c r="V1348" i="3" a="1"/>
  <c r="V1348" i="3" s="1"/>
  <c r="Y1347" i="3" a="1"/>
  <c r="Y1347" i="3" s="1"/>
  <c r="X1347" i="3" a="1"/>
  <c r="X1347" i="3" s="1"/>
  <c r="W1347" i="3" a="1"/>
  <c r="W1347" i="3" s="1"/>
  <c r="V1347" i="3" a="1"/>
  <c r="V1347" i="3" s="1"/>
  <c r="Y1346" i="3" a="1"/>
  <c r="Y1346" i="3" s="1"/>
  <c r="X1346" i="3" a="1"/>
  <c r="X1346" i="3" s="1"/>
  <c r="W1346" i="3" a="1"/>
  <c r="W1346" i="3" s="1"/>
  <c r="V1346" i="3" a="1"/>
  <c r="V1346" i="3" s="1"/>
  <c r="Y1344" i="3" a="1"/>
  <c r="Y1344" i="3" s="1"/>
  <c r="X1344" i="3" a="1"/>
  <c r="X1344" i="3" s="1"/>
  <c r="W1344" i="3" a="1"/>
  <c r="W1344" i="3" s="1"/>
  <c r="V1344" i="3" a="1"/>
  <c r="V1344" i="3" s="1"/>
  <c r="Y1343" i="3" a="1"/>
  <c r="Y1343" i="3" s="1"/>
  <c r="X1343" i="3" a="1"/>
  <c r="X1343" i="3" s="1"/>
  <c r="W1343" i="3" a="1"/>
  <c r="W1343" i="3" s="1"/>
  <c r="V1343" i="3" a="1"/>
  <c r="V1343" i="3" s="1"/>
  <c r="Y1342" i="3" a="1"/>
  <c r="Y1342" i="3" s="1"/>
  <c r="X1342" i="3" a="1"/>
  <c r="X1342" i="3" s="1"/>
  <c r="W1342" i="3" a="1"/>
  <c r="W1342" i="3" s="1"/>
  <c r="V1342" i="3" a="1"/>
  <c r="V1342" i="3" s="1"/>
  <c r="Y1340" i="3" a="1"/>
  <c r="Y1340" i="3" s="1"/>
  <c r="X1340" i="3" a="1"/>
  <c r="X1340" i="3" s="1"/>
  <c r="W1340" i="3" a="1"/>
  <c r="W1340" i="3" s="1"/>
  <c r="V1340" i="3" a="1"/>
  <c r="V1340" i="3" s="1"/>
  <c r="Y1339" i="3" a="1"/>
  <c r="Y1339" i="3" s="1"/>
  <c r="X1339" i="3" a="1"/>
  <c r="X1339" i="3" s="1"/>
  <c r="W1339" i="3" a="1"/>
  <c r="W1339" i="3" s="1"/>
  <c r="V1339" i="3" a="1"/>
  <c r="V1339" i="3" s="1"/>
  <c r="Y1338" i="3" a="1"/>
  <c r="Y1338" i="3" s="1"/>
  <c r="X1338" i="3" a="1"/>
  <c r="X1338" i="3" s="1"/>
  <c r="W1338" i="3" a="1"/>
  <c r="W1338" i="3" s="1"/>
  <c r="V1338" i="3" a="1"/>
  <c r="V1338" i="3" s="1"/>
  <c r="Y1336" i="3" a="1"/>
  <c r="Y1336" i="3" s="1"/>
  <c r="X1336" i="3" a="1"/>
  <c r="X1336" i="3" s="1"/>
  <c r="W1336" i="3" a="1"/>
  <c r="W1336" i="3" s="1"/>
  <c r="V1336" i="3" a="1"/>
  <c r="V1336" i="3" s="1"/>
  <c r="Y1335" i="3" a="1"/>
  <c r="Y1335" i="3" s="1"/>
  <c r="X1335" i="3" a="1"/>
  <c r="X1335" i="3" s="1"/>
  <c r="W1335" i="3" a="1"/>
  <c r="W1335" i="3" s="1"/>
  <c r="V1335" i="3" a="1"/>
  <c r="V1335" i="3" s="1"/>
  <c r="Y1334" i="3" a="1"/>
  <c r="Y1334" i="3" s="1"/>
  <c r="X1334" i="3" a="1"/>
  <c r="X1334" i="3" s="1"/>
  <c r="W1334" i="3" a="1"/>
  <c r="W1334" i="3" s="1"/>
  <c r="V1334" i="3" a="1"/>
  <c r="V1334" i="3" s="1"/>
  <c r="Y1332" i="3" a="1"/>
  <c r="Y1332" i="3" s="1"/>
  <c r="X1332" i="3" a="1"/>
  <c r="X1332" i="3" s="1"/>
  <c r="W1332" i="3" a="1"/>
  <c r="W1332" i="3" s="1"/>
  <c r="V1332" i="3" a="1"/>
  <c r="V1332" i="3" s="1"/>
  <c r="Y1331" i="3" a="1"/>
  <c r="Y1331" i="3" s="1"/>
  <c r="X1331" i="3" a="1"/>
  <c r="X1331" i="3" s="1"/>
  <c r="W1331" i="3" a="1"/>
  <c r="W1331" i="3" s="1"/>
  <c r="V1331" i="3" a="1"/>
  <c r="V1331" i="3" s="1"/>
  <c r="Y1330" i="3" a="1"/>
  <c r="Y1330" i="3" s="1"/>
  <c r="X1330" i="3" a="1"/>
  <c r="X1330" i="3" s="1"/>
  <c r="W1330" i="3" a="1"/>
  <c r="W1330" i="3" s="1"/>
  <c r="V1330" i="3" a="1"/>
  <c r="V1330" i="3" s="1"/>
  <c r="Y1328" i="3" a="1"/>
  <c r="Y1328" i="3" s="1"/>
  <c r="X1328" i="3" a="1"/>
  <c r="X1328" i="3" s="1"/>
  <c r="W1328" i="3" a="1"/>
  <c r="W1328" i="3" s="1"/>
  <c r="V1328" i="3" a="1"/>
  <c r="V1328" i="3" s="1"/>
  <c r="Y1327" i="3" a="1"/>
  <c r="Y1327" i="3" s="1"/>
  <c r="X1327" i="3" a="1"/>
  <c r="X1327" i="3" s="1"/>
  <c r="W1327" i="3" a="1"/>
  <c r="W1327" i="3" s="1"/>
  <c r="V1327" i="3" a="1"/>
  <c r="V1327" i="3" s="1"/>
  <c r="Y1326" i="3" a="1"/>
  <c r="Y1326" i="3" s="1"/>
  <c r="X1326" i="3" a="1"/>
  <c r="X1326" i="3" s="1"/>
  <c r="W1326" i="3" a="1"/>
  <c r="W1326" i="3" s="1"/>
  <c r="V1326" i="3" a="1"/>
  <c r="V1326" i="3" s="1"/>
  <c r="Y1325" i="3" a="1"/>
  <c r="Y1325" i="3" s="1"/>
  <c r="X1325" i="3" a="1"/>
  <c r="X1325" i="3" s="1"/>
  <c r="W1325" i="3" a="1"/>
  <c r="W1325" i="3" s="1"/>
  <c r="V1325" i="3" a="1"/>
  <c r="V1325" i="3" s="1"/>
  <c r="Y1324" i="3" a="1"/>
  <c r="Y1324" i="3" s="1"/>
  <c r="X1324" i="3" a="1"/>
  <c r="X1324" i="3" s="1"/>
  <c r="W1324" i="3" a="1"/>
  <c r="W1324" i="3" s="1"/>
  <c r="V1324" i="3" a="1"/>
  <c r="V1324" i="3" s="1"/>
  <c r="Y1323" i="3" a="1"/>
  <c r="Y1323" i="3" s="1"/>
  <c r="X1323" i="3" a="1"/>
  <c r="X1323" i="3" s="1"/>
  <c r="W1323" i="3" a="1"/>
  <c r="W1323" i="3" s="1"/>
  <c r="V1323" i="3" a="1"/>
  <c r="V1323" i="3" s="1"/>
  <c r="Y1322" i="3" a="1"/>
  <c r="Y1322" i="3" s="1"/>
  <c r="X1322" i="3" a="1"/>
  <c r="X1322" i="3" s="1"/>
  <c r="W1322" i="3" a="1"/>
  <c r="W1322" i="3" s="1"/>
  <c r="V1322" i="3" a="1"/>
  <c r="V1322" i="3" s="1"/>
  <c r="Y1321" i="3" a="1"/>
  <c r="Y1321" i="3" s="1"/>
  <c r="X1321" i="3" a="1"/>
  <c r="X1321" i="3" s="1"/>
  <c r="W1321" i="3" a="1"/>
  <c r="W1321" i="3" s="1"/>
  <c r="V1321" i="3" a="1"/>
  <c r="V1321" i="3" s="1"/>
  <c r="Y1320" i="3" a="1"/>
  <c r="Y1320" i="3" s="1"/>
  <c r="X1320" i="3" a="1"/>
  <c r="X1320" i="3" s="1"/>
  <c r="W1320" i="3" a="1"/>
  <c r="W1320" i="3" s="1"/>
  <c r="V1320" i="3" a="1"/>
  <c r="V1320" i="3" s="1"/>
  <c r="Y1319" i="3" a="1"/>
  <c r="Y1319" i="3" s="1"/>
  <c r="X1319" i="3" a="1"/>
  <c r="X1319" i="3" s="1"/>
  <c r="W1319" i="3" a="1"/>
  <c r="W1319" i="3" s="1"/>
  <c r="V1319" i="3" a="1"/>
  <c r="V1319" i="3" s="1"/>
  <c r="Y1318" i="3" a="1"/>
  <c r="Y1318" i="3" s="1"/>
  <c r="X1318" i="3" a="1"/>
  <c r="X1318" i="3" s="1"/>
  <c r="W1318" i="3" a="1"/>
  <c r="W1318" i="3" s="1"/>
  <c r="V1318" i="3" a="1"/>
  <c r="V1318" i="3" s="1"/>
  <c r="Y1317" i="3" a="1"/>
  <c r="Y1317" i="3" s="1"/>
  <c r="X1317" i="3" a="1"/>
  <c r="X1317" i="3" s="1"/>
  <c r="W1317" i="3" a="1"/>
  <c r="W1317" i="3" s="1"/>
  <c r="V1317" i="3" a="1"/>
  <c r="V1317" i="3" s="1"/>
  <c r="Y1316" i="3" a="1"/>
  <c r="Y1316" i="3" s="1"/>
  <c r="X1316" i="3" a="1"/>
  <c r="X1316" i="3" s="1"/>
  <c r="W1316" i="3" a="1"/>
  <c r="W1316" i="3" s="1"/>
  <c r="V1316" i="3" a="1"/>
  <c r="V1316" i="3" s="1"/>
  <c r="Y1315" i="3" a="1"/>
  <c r="Y1315" i="3" s="1"/>
  <c r="X1315" i="3" a="1"/>
  <c r="X1315" i="3" s="1"/>
  <c r="W1315" i="3" a="1"/>
  <c r="W1315" i="3" s="1"/>
  <c r="V1315" i="3" a="1"/>
  <c r="V1315" i="3" s="1"/>
  <c r="Y1314" i="3" a="1"/>
  <c r="Y1314" i="3" s="1"/>
  <c r="X1314" i="3" a="1"/>
  <c r="X1314" i="3" s="1"/>
  <c r="W1314" i="3" a="1"/>
  <c r="W1314" i="3" s="1"/>
  <c r="V1314" i="3" a="1"/>
  <c r="V1314" i="3" s="1"/>
  <c r="Y1313" i="3" a="1"/>
  <c r="Y1313" i="3" s="1"/>
  <c r="X1313" i="3" a="1"/>
  <c r="X1313" i="3" s="1"/>
  <c r="W1313" i="3" a="1"/>
  <c r="W1313" i="3" s="1"/>
  <c r="V1313" i="3" a="1"/>
  <c r="V1313" i="3" s="1"/>
  <c r="Y1312" i="3" a="1"/>
  <c r="Y1312" i="3" s="1"/>
  <c r="X1312" i="3" a="1"/>
  <c r="X1312" i="3" s="1"/>
  <c r="W1312" i="3" a="1"/>
  <c r="W1312" i="3" s="1"/>
  <c r="V1312" i="3" a="1"/>
  <c r="V1312" i="3" s="1"/>
  <c r="Y1311" i="3" a="1"/>
  <c r="Y1311" i="3" s="1"/>
  <c r="X1311" i="3" a="1"/>
  <c r="X1311" i="3" s="1"/>
  <c r="W1311" i="3" a="1"/>
  <c r="W1311" i="3" s="1"/>
  <c r="V1311" i="3" a="1"/>
  <c r="V1311" i="3" s="1"/>
  <c r="Y1310" i="3" a="1"/>
  <c r="Y1310" i="3" s="1"/>
  <c r="X1310" i="3" a="1"/>
  <c r="X1310" i="3" s="1"/>
  <c r="W1310" i="3" a="1"/>
  <c r="W1310" i="3" s="1"/>
  <c r="V1310" i="3" a="1"/>
  <c r="V1310" i="3" s="1"/>
  <c r="Y1309" i="3" a="1"/>
  <c r="Y1309" i="3" s="1"/>
  <c r="X1309" i="3" a="1"/>
  <c r="X1309" i="3" s="1"/>
  <c r="W1309" i="3" a="1"/>
  <c r="W1309" i="3" s="1"/>
  <c r="V1309" i="3" a="1"/>
  <c r="V1309" i="3" s="1"/>
  <c r="Y1308" i="3" a="1"/>
  <c r="Y1308" i="3" s="1"/>
  <c r="X1308" i="3" a="1"/>
  <c r="X1308" i="3" s="1"/>
  <c r="W1308" i="3" a="1"/>
  <c r="W1308" i="3" s="1"/>
  <c r="V1308" i="3" a="1"/>
  <c r="V1308" i="3" s="1"/>
  <c r="Y1307" i="3" a="1"/>
  <c r="Y1307" i="3" s="1"/>
  <c r="X1307" i="3" a="1"/>
  <c r="X1307" i="3" s="1"/>
  <c r="W1307" i="3" a="1"/>
  <c r="W1307" i="3" s="1"/>
  <c r="V1307" i="3" a="1"/>
  <c r="V1307" i="3" s="1"/>
  <c r="Y1306" i="3" a="1"/>
  <c r="Y1306" i="3" s="1"/>
  <c r="X1306" i="3" a="1"/>
  <c r="X1306" i="3" s="1"/>
  <c r="W1306" i="3" a="1"/>
  <c r="W1306" i="3" s="1"/>
  <c r="V1306" i="3" a="1"/>
  <c r="V1306" i="3" s="1"/>
  <c r="Y1305" i="3" a="1"/>
  <c r="Y1305" i="3" s="1"/>
  <c r="X1305" i="3" a="1"/>
  <c r="X1305" i="3" s="1"/>
  <c r="W1305" i="3" a="1"/>
  <c r="W1305" i="3" s="1"/>
  <c r="V1305" i="3" a="1"/>
  <c r="V1305" i="3" s="1"/>
  <c r="Y1304" i="3" a="1"/>
  <c r="Y1304" i="3" s="1"/>
  <c r="X1304" i="3" a="1"/>
  <c r="X1304" i="3" s="1"/>
  <c r="W1304" i="3" a="1"/>
  <c r="W1304" i="3" s="1"/>
  <c r="V1304" i="3" a="1"/>
  <c r="V1304" i="3" s="1"/>
  <c r="Y1303" i="3" a="1"/>
  <c r="Y1303" i="3" s="1"/>
  <c r="X1303" i="3" a="1"/>
  <c r="X1303" i="3" s="1"/>
  <c r="W1303" i="3" a="1"/>
  <c r="W1303" i="3" s="1"/>
  <c r="V1303" i="3" a="1"/>
  <c r="V1303" i="3" s="1"/>
  <c r="Y1302" i="3" a="1"/>
  <c r="Y1302" i="3" s="1"/>
  <c r="X1302" i="3" a="1"/>
  <c r="X1302" i="3" s="1"/>
  <c r="W1302" i="3" a="1"/>
  <c r="W1302" i="3" s="1"/>
  <c r="V1302" i="3" a="1"/>
  <c r="V1302" i="3" s="1"/>
  <c r="Y1301" i="3" a="1"/>
  <c r="Y1301" i="3" s="1"/>
  <c r="X1301" i="3" a="1"/>
  <c r="X1301" i="3" s="1"/>
  <c r="W1301" i="3" a="1"/>
  <c r="W1301" i="3" s="1"/>
  <c r="V1301" i="3" a="1"/>
  <c r="V1301" i="3" s="1"/>
  <c r="Y1300" i="3" a="1"/>
  <c r="Y1300" i="3" s="1"/>
  <c r="X1300" i="3" a="1"/>
  <c r="X1300" i="3" s="1"/>
  <c r="W1300" i="3" a="1"/>
  <c r="W1300" i="3" s="1"/>
  <c r="V1300" i="3" a="1"/>
  <c r="V1300" i="3" s="1"/>
  <c r="Y1299" i="3" a="1"/>
  <c r="Y1299" i="3" s="1"/>
  <c r="X1299" i="3" a="1"/>
  <c r="X1299" i="3" s="1"/>
  <c r="W1299" i="3" a="1"/>
  <c r="W1299" i="3" s="1"/>
  <c r="V1299" i="3" a="1"/>
  <c r="V1299" i="3" s="1"/>
  <c r="Y1298" i="3" a="1"/>
  <c r="Y1298" i="3" s="1"/>
  <c r="X1298" i="3" a="1"/>
  <c r="X1298" i="3" s="1"/>
  <c r="W1298" i="3" a="1"/>
  <c r="W1298" i="3" s="1"/>
  <c r="V1298" i="3" a="1"/>
  <c r="V1298" i="3" s="1"/>
  <c r="Y1297" i="3" a="1"/>
  <c r="Y1297" i="3" s="1"/>
  <c r="X1297" i="3" a="1"/>
  <c r="X1297" i="3" s="1"/>
  <c r="W1297" i="3" a="1"/>
  <c r="W1297" i="3" s="1"/>
  <c r="V1297" i="3" a="1"/>
  <c r="V1297" i="3" s="1"/>
  <c r="Y1296" i="3" a="1"/>
  <c r="Y1296" i="3" s="1"/>
  <c r="X1296" i="3" a="1"/>
  <c r="X1296" i="3" s="1"/>
  <c r="W1296" i="3" a="1"/>
  <c r="W1296" i="3" s="1"/>
  <c r="V1296" i="3" a="1"/>
  <c r="V1296" i="3" s="1"/>
  <c r="Y1295" i="3" a="1"/>
  <c r="Y1295" i="3" s="1"/>
  <c r="X1295" i="3" a="1"/>
  <c r="X1295" i="3" s="1"/>
  <c r="W1295" i="3" a="1"/>
  <c r="W1295" i="3" s="1"/>
  <c r="V1295" i="3" a="1"/>
  <c r="V1295" i="3" s="1"/>
  <c r="Y1294" i="3" a="1"/>
  <c r="Y1294" i="3" s="1"/>
  <c r="X1294" i="3" a="1"/>
  <c r="X1294" i="3" s="1"/>
  <c r="W1294" i="3" a="1"/>
  <c r="W1294" i="3" s="1"/>
  <c r="V1294" i="3" a="1"/>
  <c r="V1294" i="3" s="1"/>
  <c r="Y1293" i="3" a="1"/>
  <c r="Y1293" i="3" s="1"/>
  <c r="X1293" i="3" a="1"/>
  <c r="X1293" i="3" s="1"/>
  <c r="W1293" i="3" a="1"/>
  <c r="W1293" i="3" s="1"/>
  <c r="V1293" i="3" a="1"/>
  <c r="V1293" i="3" s="1"/>
  <c r="Y1292" i="3" a="1"/>
  <c r="Y1292" i="3" s="1"/>
  <c r="X1292" i="3" a="1"/>
  <c r="X1292" i="3" s="1"/>
  <c r="W1292" i="3" a="1"/>
  <c r="W1292" i="3" s="1"/>
  <c r="V1292" i="3" a="1"/>
  <c r="V1292" i="3" s="1"/>
  <c r="Y1291" i="3" a="1"/>
  <c r="Y1291" i="3" s="1"/>
  <c r="X1291" i="3" a="1"/>
  <c r="X1291" i="3" s="1"/>
  <c r="W1291" i="3" a="1"/>
  <c r="W1291" i="3" s="1"/>
  <c r="V1291" i="3" a="1"/>
  <c r="V1291" i="3" s="1"/>
  <c r="Y1290" i="3" a="1"/>
  <c r="Y1290" i="3" s="1"/>
  <c r="X1290" i="3" a="1"/>
  <c r="X1290" i="3" s="1"/>
  <c r="W1290" i="3" a="1"/>
  <c r="W1290" i="3" s="1"/>
  <c r="V1290" i="3" a="1"/>
  <c r="V1290" i="3" s="1"/>
  <c r="Y1289" i="3" a="1"/>
  <c r="Y1289" i="3" s="1"/>
  <c r="X1289" i="3" a="1"/>
  <c r="X1289" i="3" s="1"/>
  <c r="W1289" i="3" a="1"/>
  <c r="W1289" i="3" s="1"/>
  <c r="V1289" i="3" a="1"/>
  <c r="V1289" i="3" s="1"/>
  <c r="Y1288" i="3" a="1"/>
  <c r="Y1288" i="3" s="1"/>
  <c r="X1288" i="3" a="1"/>
  <c r="X1288" i="3" s="1"/>
  <c r="W1288" i="3" a="1"/>
  <c r="W1288" i="3" s="1"/>
  <c r="V1288" i="3" a="1"/>
  <c r="V1288" i="3" s="1"/>
  <c r="Y1287" i="3" a="1"/>
  <c r="Y1287" i="3" s="1"/>
  <c r="X1287" i="3" a="1"/>
  <c r="X1287" i="3" s="1"/>
  <c r="W1287" i="3" a="1"/>
  <c r="W1287" i="3" s="1"/>
  <c r="V1287" i="3" a="1"/>
  <c r="V1287" i="3" s="1"/>
  <c r="Y1286" i="3" a="1"/>
  <c r="Y1286" i="3" s="1"/>
  <c r="X1286" i="3" a="1"/>
  <c r="X1286" i="3" s="1"/>
  <c r="W1286" i="3" a="1"/>
  <c r="W1286" i="3" s="1"/>
  <c r="V1286" i="3" a="1"/>
  <c r="V1286" i="3" s="1"/>
  <c r="Y1285" i="3" a="1"/>
  <c r="Y1285" i="3" s="1"/>
  <c r="X1285" i="3" a="1"/>
  <c r="X1285" i="3" s="1"/>
  <c r="W1285" i="3" a="1"/>
  <c r="W1285" i="3" s="1"/>
  <c r="V1285" i="3" a="1"/>
  <c r="V1285" i="3" s="1"/>
  <c r="Y1284" i="3" a="1"/>
  <c r="Y1284" i="3" s="1"/>
  <c r="X1284" i="3" a="1"/>
  <c r="X1284" i="3" s="1"/>
  <c r="W1284" i="3" a="1"/>
  <c r="W1284" i="3" s="1"/>
  <c r="V1284" i="3" a="1"/>
  <c r="V1284" i="3" s="1"/>
  <c r="Y1283" i="3" a="1"/>
  <c r="Y1283" i="3" s="1"/>
  <c r="X1283" i="3" a="1"/>
  <c r="X1283" i="3" s="1"/>
  <c r="W1283" i="3" a="1"/>
  <c r="W1283" i="3" s="1"/>
  <c r="V1283" i="3" a="1"/>
  <c r="V1283" i="3" s="1"/>
  <c r="Y1282" i="3" a="1"/>
  <c r="Y1282" i="3" s="1"/>
  <c r="X1282" i="3" a="1"/>
  <c r="X1282" i="3" s="1"/>
  <c r="W1282" i="3" a="1"/>
  <c r="W1282" i="3" s="1"/>
  <c r="V1282" i="3" a="1"/>
  <c r="V1282" i="3" s="1"/>
  <c r="Y1281" i="3" a="1"/>
  <c r="Y1281" i="3" s="1"/>
  <c r="X1281" i="3" a="1"/>
  <c r="X1281" i="3" s="1"/>
  <c r="W1281" i="3" a="1"/>
  <c r="W1281" i="3" s="1"/>
  <c r="V1281" i="3" a="1"/>
  <c r="V1281" i="3" s="1"/>
  <c r="Y1280" i="3" a="1"/>
  <c r="Y1280" i="3" s="1"/>
  <c r="X1280" i="3" a="1"/>
  <c r="X1280" i="3" s="1"/>
  <c r="W1280" i="3" a="1"/>
  <c r="W1280" i="3" s="1"/>
  <c r="V1280" i="3" a="1"/>
  <c r="V1280" i="3" s="1"/>
  <c r="Y1279" i="3" a="1"/>
  <c r="Y1279" i="3" s="1"/>
  <c r="X1279" i="3" a="1"/>
  <c r="X1279" i="3" s="1"/>
  <c r="W1279" i="3" a="1"/>
  <c r="W1279" i="3" s="1"/>
  <c r="V1279" i="3" a="1"/>
  <c r="V1279" i="3" s="1"/>
  <c r="Y1278" i="3" a="1"/>
  <c r="Y1278" i="3" s="1"/>
  <c r="X1278" i="3" a="1"/>
  <c r="X1278" i="3" s="1"/>
  <c r="W1278" i="3" a="1"/>
  <c r="W1278" i="3" s="1"/>
  <c r="V1278" i="3" a="1"/>
  <c r="V1278" i="3" s="1"/>
  <c r="Y1277" i="3" a="1"/>
  <c r="Y1277" i="3" s="1"/>
  <c r="X1277" i="3" a="1"/>
  <c r="X1277" i="3" s="1"/>
  <c r="W1277" i="3" a="1"/>
  <c r="W1277" i="3" s="1"/>
  <c r="V1277" i="3" a="1"/>
  <c r="V1277" i="3" s="1"/>
  <c r="Y1276" i="3" a="1"/>
  <c r="Y1276" i="3" s="1"/>
  <c r="X1276" i="3" a="1"/>
  <c r="X1276" i="3" s="1"/>
  <c r="W1276" i="3" a="1"/>
  <c r="W1276" i="3" s="1"/>
  <c r="V1276" i="3" a="1"/>
  <c r="V1276" i="3" s="1"/>
  <c r="Y1275" i="3" a="1"/>
  <c r="Y1275" i="3" s="1"/>
  <c r="X1275" i="3" a="1"/>
  <c r="X1275" i="3" s="1"/>
  <c r="W1275" i="3" a="1"/>
  <c r="W1275" i="3" s="1"/>
  <c r="V1275" i="3" a="1"/>
  <c r="V1275" i="3" s="1"/>
  <c r="Y1274" i="3" a="1"/>
  <c r="Y1274" i="3" s="1"/>
  <c r="X1274" i="3" a="1"/>
  <c r="X1274" i="3" s="1"/>
  <c r="W1274" i="3" a="1"/>
  <c r="W1274" i="3" s="1"/>
  <c r="V1274" i="3" a="1"/>
  <c r="V1274" i="3" s="1"/>
  <c r="Y1273" i="3" a="1"/>
  <c r="Y1273" i="3" s="1"/>
  <c r="X1273" i="3" a="1"/>
  <c r="X1273" i="3" s="1"/>
  <c r="W1273" i="3" a="1"/>
  <c r="W1273" i="3" s="1"/>
  <c r="V1273" i="3" a="1"/>
  <c r="V1273" i="3" s="1"/>
  <c r="Y1272" i="3" a="1"/>
  <c r="Y1272" i="3" s="1"/>
  <c r="X1272" i="3" a="1"/>
  <c r="X1272" i="3" s="1"/>
  <c r="W1272" i="3" a="1"/>
  <c r="W1272" i="3" s="1"/>
  <c r="V1272" i="3" a="1"/>
  <c r="V1272" i="3" s="1"/>
  <c r="Y1270" i="3" a="1"/>
  <c r="Y1270" i="3" s="1"/>
  <c r="X1270" i="3" a="1"/>
  <c r="X1270" i="3" s="1"/>
  <c r="W1270" i="3" a="1"/>
  <c r="W1270" i="3" s="1"/>
  <c r="V1270" i="3" a="1"/>
  <c r="V1270" i="3" s="1"/>
  <c r="Y1269" i="3" a="1"/>
  <c r="Y1269" i="3" s="1"/>
  <c r="X1269" i="3" a="1"/>
  <c r="X1269" i="3" s="1"/>
  <c r="W1269" i="3" a="1"/>
  <c r="W1269" i="3" s="1"/>
  <c r="V1269" i="3" a="1"/>
  <c r="V1269" i="3" s="1"/>
  <c r="Y1268" i="3" a="1"/>
  <c r="Y1268" i="3" s="1"/>
  <c r="X1268" i="3" a="1"/>
  <c r="X1268" i="3" s="1"/>
  <c r="W1268" i="3" a="1"/>
  <c r="W1268" i="3" s="1"/>
  <c r="V1268" i="3" a="1"/>
  <c r="V1268" i="3" s="1"/>
  <c r="Y1266" i="3" a="1"/>
  <c r="Y1266" i="3" s="1"/>
  <c r="X1266" i="3" a="1"/>
  <c r="X1266" i="3" s="1"/>
  <c r="W1266" i="3" a="1"/>
  <c r="W1266" i="3" s="1"/>
  <c r="V1266" i="3" a="1"/>
  <c r="V1266" i="3" s="1"/>
  <c r="Y1265" i="3" a="1"/>
  <c r="Y1265" i="3" s="1"/>
  <c r="X1265" i="3" a="1"/>
  <c r="X1265" i="3" s="1"/>
  <c r="W1265" i="3" a="1"/>
  <c r="W1265" i="3" s="1"/>
  <c r="V1265" i="3" a="1"/>
  <c r="V1265" i="3" s="1"/>
  <c r="Y1264" i="3" a="1"/>
  <c r="Y1264" i="3" s="1"/>
  <c r="X1264" i="3" a="1"/>
  <c r="X1264" i="3" s="1"/>
  <c r="W1264" i="3" a="1"/>
  <c r="W1264" i="3" s="1"/>
  <c r="V1264" i="3" a="1"/>
  <c r="V1264" i="3" s="1"/>
  <c r="Y1262" i="3" a="1"/>
  <c r="Y1262" i="3" s="1"/>
  <c r="X1262" i="3" a="1"/>
  <c r="X1262" i="3" s="1"/>
  <c r="W1262" i="3" a="1"/>
  <c r="W1262" i="3" s="1"/>
  <c r="V1262" i="3" a="1"/>
  <c r="V1262" i="3" s="1"/>
  <c r="Y1261" i="3" a="1"/>
  <c r="Y1261" i="3" s="1"/>
  <c r="X1261" i="3" a="1"/>
  <c r="X1261" i="3" s="1"/>
  <c r="W1261" i="3" a="1"/>
  <c r="W1261" i="3" s="1"/>
  <c r="V1261" i="3" a="1"/>
  <c r="V1261" i="3" s="1"/>
  <c r="Y1260" i="3" a="1"/>
  <c r="Y1260" i="3" s="1"/>
  <c r="X1260" i="3" a="1"/>
  <c r="X1260" i="3" s="1"/>
  <c r="W1260" i="3" a="1"/>
  <c r="W1260" i="3" s="1"/>
  <c r="V1260" i="3" a="1"/>
  <c r="V1260" i="3" s="1"/>
  <c r="Y1258" i="3" a="1"/>
  <c r="Y1258" i="3" s="1"/>
  <c r="X1258" i="3" a="1"/>
  <c r="X1258" i="3" s="1"/>
  <c r="W1258" i="3" a="1"/>
  <c r="W1258" i="3" s="1"/>
  <c r="V1258" i="3" a="1"/>
  <c r="V1258" i="3" s="1"/>
  <c r="Y1257" i="3" a="1"/>
  <c r="Y1257" i="3" s="1"/>
  <c r="X1257" i="3" a="1"/>
  <c r="X1257" i="3" s="1"/>
  <c r="W1257" i="3" a="1"/>
  <c r="W1257" i="3" s="1"/>
  <c r="V1257" i="3" a="1"/>
  <c r="V1257" i="3" s="1"/>
  <c r="Y1256" i="3" a="1"/>
  <c r="Y1256" i="3" s="1"/>
  <c r="X1256" i="3" a="1"/>
  <c r="X1256" i="3" s="1"/>
  <c r="W1256" i="3" a="1"/>
  <c r="W1256" i="3" s="1"/>
  <c r="V1256" i="3" a="1"/>
  <c r="V1256" i="3" s="1"/>
  <c r="Y1254" i="3" a="1"/>
  <c r="Y1254" i="3" s="1"/>
  <c r="X1254" i="3" a="1"/>
  <c r="X1254" i="3" s="1"/>
  <c r="W1254" i="3" a="1"/>
  <c r="W1254" i="3" s="1"/>
  <c r="V1254" i="3" a="1"/>
  <c r="V1254" i="3" s="1"/>
  <c r="Y1253" i="3" a="1"/>
  <c r="Y1253" i="3" s="1"/>
  <c r="X1253" i="3" a="1"/>
  <c r="X1253" i="3" s="1"/>
  <c r="W1253" i="3" a="1"/>
  <c r="W1253" i="3" s="1"/>
  <c r="V1253" i="3" a="1"/>
  <c r="V1253" i="3" s="1"/>
  <c r="Y1252" i="3" a="1"/>
  <c r="Y1252" i="3" s="1"/>
  <c r="X1252" i="3" a="1"/>
  <c r="X1252" i="3" s="1"/>
  <c r="W1252" i="3" a="1"/>
  <c r="W1252" i="3" s="1"/>
  <c r="V1252" i="3" a="1"/>
  <c r="V1252" i="3" s="1"/>
  <c r="Y1250" i="3" a="1"/>
  <c r="Y1250" i="3" s="1"/>
  <c r="X1250" i="3" a="1"/>
  <c r="X1250" i="3" s="1"/>
  <c r="W1250" i="3" a="1"/>
  <c r="W1250" i="3" s="1"/>
  <c r="V1250" i="3" a="1"/>
  <c r="V1250" i="3" s="1"/>
  <c r="Y1249" i="3" a="1"/>
  <c r="Y1249" i="3" s="1"/>
  <c r="X1249" i="3" a="1"/>
  <c r="X1249" i="3" s="1"/>
  <c r="W1249" i="3" a="1"/>
  <c r="W1249" i="3" s="1"/>
  <c r="V1249" i="3" a="1"/>
  <c r="V1249" i="3" s="1"/>
  <c r="Y1248" i="3" a="1"/>
  <c r="Y1248" i="3" s="1"/>
  <c r="X1248" i="3" a="1"/>
  <c r="X1248" i="3" s="1"/>
  <c r="W1248" i="3" a="1"/>
  <c r="W1248" i="3" s="1"/>
  <c r="V1248" i="3" a="1"/>
  <c r="V1248" i="3" s="1"/>
  <c r="Y1246" i="3" a="1"/>
  <c r="Y1246" i="3" s="1"/>
  <c r="X1246" i="3" a="1"/>
  <c r="X1246" i="3" s="1"/>
  <c r="W1246" i="3" a="1"/>
  <c r="W1246" i="3" s="1"/>
  <c r="V1246" i="3" a="1"/>
  <c r="V1246" i="3" s="1"/>
  <c r="Y1245" i="3" a="1"/>
  <c r="Y1245" i="3" s="1"/>
  <c r="X1245" i="3" a="1"/>
  <c r="X1245" i="3" s="1"/>
  <c r="W1245" i="3" a="1"/>
  <c r="W1245" i="3" s="1"/>
  <c r="V1245" i="3" a="1"/>
  <c r="V1245" i="3" s="1"/>
  <c r="Y1244" i="3" a="1"/>
  <c r="Y1244" i="3" s="1"/>
  <c r="X1244" i="3" a="1"/>
  <c r="X1244" i="3" s="1"/>
  <c r="W1244" i="3" a="1"/>
  <c r="W1244" i="3" s="1"/>
  <c r="V1244" i="3" a="1"/>
  <c r="V1244" i="3" s="1"/>
  <c r="Y1242" i="3" a="1"/>
  <c r="Y1242" i="3" s="1"/>
  <c r="X1242" i="3" a="1"/>
  <c r="X1242" i="3" s="1"/>
  <c r="W1242" i="3" a="1"/>
  <c r="W1242" i="3" s="1"/>
  <c r="V1242" i="3" a="1"/>
  <c r="V1242" i="3" s="1"/>
  <c r="Y1241" i="3" a="1"/>
  <c r="Y1241" i="3" s="1"/>
  <c r="X1241" i="3" a="1"/>
  <c r="X1241" i="3" s="1"/>
  <c r="W1241" i="3" a="1"/>
  <c r="W1241" i="3" s="1"/>
  <c r="V1241" i="3" a="1"/>
  <c r="V1241" i="3" s="1"/>
  <c r="Y1240" i="3" a="1"/>
  <c r="Y1240" i="3" s="1"/>
  <c r="X1240" i="3" a="1"/>
  <c r="X1240" i="3" s="1"/>
  <c r="W1240" i="3" a="1"/>
  <c r="W1240" i="3" s="1"/>
  <c r="V1240" i="3" a="1"/>
  <c r="V1240" i="3" s="1"/>
  <c r="Y1238" i="3" a="1"/>
  <c r="Y1238" i="3" s="1"/>
  <c r="X1238" i="3" a="1"/>
  <c r="X1238" i="3" s="1"/>
  <c r="W1238" i="3" a="1"/>
  <c r="W1238" i="3" s="1"/>
  <c r="V1238" i="3" a="1"/>
  <c r="V1238" i="3" s="1"/>
  <c r="Y1237" i="3" a="1"/>
  <c r="Y1237" i="3" s="1"/>
  <c r="X1237" i="3" a="1"/>
  <c r="X1237" i="3" s="1"/>
  <c r="W1237" i="3" a="1"/>
  <c r="W1237" i="3" s="1"/>
  <c r="V1237" i="3" a="1"/>
  <c r="V1237" i="3" s="1"/>
  <c r="Y1236" i="3" a="1"/>
  <c r="Y1236" i="3" s="1"/>
  <c r="X1236" i="3" a="1"/>
  <c r="X1236" i="3" s="1"/>
  <c r="W1236" i="3" a="1"/>
  <c r="W1236" i="3" s="1"/>
  <c r="V1236" i="3" a="1"/>
  <c r="V1236" i="3" s="1"/>
  <c r="Y1235" i="3" a="1"/>
  <c r="Y1235" i="3" s="1"/>
  <c r="X1235" i="3" a="1"/>
  <c r="X1235" i="3" s="1"/>
  <c r="W1235" i="3" a="1"/>
  <c r="W1235" i="3" s="1"/>
  <c r="V1235" i="3" a="1"/>
  <c r="V1235" i="3" s="1"/>
  <c r="Y1234" i="3" a="1"/>
  <c r="Y1234" i="3" s="1"/>
  <c r="X1234" i="3" a="1"/>
  <c r="X1234" i="3" s="1"/>
  <c r="W1234" i="3" a="1"/>
  <c r="W1234" i="3" s="1"/>
  <c r="V1234" i="3" a="1"/>
  <c r="V1234" i="3" s="1"/>
  <c r="Y1233" i="3" a="1"/>
  <c r="Y1233" i="3" s="1"/>
  <c r="X1233" i="3" a="1"/>
  <c r="X1233" i="3" s="1"/>
  <c r="W1233" i="3" a="1"/>
  <c r="W1233" i="3" s="1"/>
  <c r="V1233" i="3" a="1"/>
  <c r="V1233" i="3" s="1"/>
  <c r="Y1232" i="3" a="1"/>
  <c r="Y1232" i="3" s="1"/>
  <c r="X1232" i="3" a="1"/>
  <c r="X1232" i="3" s="1"/>
  <c r="W1232" i="3" a="1"/>
  <c r="W1232" i="3" s="1"/>
  <c r="V1232" i="3" a="1"/>
  <c r="V1232" i="3" s="1"/>
  <c r="Y1231" i="3" a="1"/>
  <c r="Y1231" i="3" s="1"/>
  <c r="X1231" i="3" a="1"/>
  <c r="X1231" i="3" s="1"/>
  <c r="W1231" i="3" a="1"/>
  <c r="W1231" i="3" s="1"/>
  <c r="V1231" i="3" a="1"/>
  <c r="V1231" i="3" s="1"/>
  <c r="Y1230" i="3" a="1"/>
  <c r="Y1230" i="3" s="1"/>
  <c r="X1230" i="3" a="1"/>
  <c r="X1230" i="3" s="1"/>
  <c r="W1230" i="3" a="1"/>
  <c r="W1230" i="3" s="1"/>
  <c r="V1230" i="3" a="1"/>
  <c r="V1230" i="3" s="1"/>
  <c r="Y1229" i="3" a="1"/>
  <c r="Y1229" i="3" s="1"/>
  <c r="X1229" i="3" a="1"/>
  <c r="X1229" i="3" s="1"/>
  <c r="W1229" i="3" a="1"/>
  <c r="W1229" i="3" s="1"/>
  <c r="V1229" i="3" a="1"/>
  <c r="V1229" i="3" s="1"/>
  <c r="Y1228" i="3" a="1"/>
  <c r="Y1228" i="3" s="1"/>
  <c r="X1228" i="3" a="1"/>
  <c r="X1228" i="3" s="1"/>
  <c r="W1228" i="3" a="1"/>
  <c r="W1228" i="3" s="1"/>
  <c r="V1228" i="3" a="1"/>
  <c r="V1228" i="3" s="1"/>
  <c r="Y1227" i="3" a="1"/>
  <c r="Y1227" i="3" s="1"/>
  <c r="X1227" i="3" a="1"/>
  <c r="X1227" i="3" s="1"/>
  <c r="W1227" i="3" a="1"/>
  <c r="W1227" i="3" s="1"/>
  <c r="V1227" i="3" a="1"/>
  <c r="V1227" i="3" s="1"/>
  <c r="Y1226" i="3" a="1"/>
  <c r="Y1226" i="3" s="1"/>
  <c r="X1226" i="3" a="1"/>
  <c r="X1226" i="3" s="1"/>
  <c r="W1226" i="3" a="1"/>
  <c r="W1226" i="3" s="1"/>
  <c r="V1226" i="3" a="1"/>
  <c r="V1226" i="3" s="1"/>
  <c r="Y1225" i="3" a="1"/>
  <c r="Y1225" i="3" s="1"/>
  <c r="X1225" i="3" a="1"/>
  <c r="X1225" i="3" s="1"/>
  <c r="W1225" i="3" a="1"/>
  <c r="W1225" i="3" s="1"/>
  <c r="V1225" i="3" a="1"/>
  <c r="V1225" i="3" s="1"/>
  <c r="Y1224" i="3" a="1"/>
  <c r="Y1224" i="3" s="1"/>
  <c r="X1224" i="3" a="1"/>
  <c r="X1224" i="3" s="1"/>
  <c r="W1224" i="3" a="1"/>
  <c r="W1224" i="3" s="1"/>
  <c r="V1224" i="3" a="1"/>
  <c r="V1224" i="3" s="1"/>
  <c r="Y1223" i="3" a="1"/>
  <c r="Y1223" i="3" s="1"/>
  <c r="X1223" i="3" a="1"/>
  <c r="X1223" i="3" s="1"/>
  <c r="W1223" i="3" a="1"/>
  <c r="W1223" i="3" s="1"/>
  <c r="V1223" i="3" a="1"/>
  <c r="V1223" i="3" s="1"/>
  <c r="Y1222" i="3" a="1"/>
  <c r="Y1222" i="3" s="1"/>
  <c r="X1222" i="3" a="1"/>
  <c r="X1222" i="3" s="1"/>
  <c r="W1222" i="3" a="1"/>
  <c r="W1222" i="3" s="1"/>
  <c r="V1222" i="3" a="1"/>
  <c r="V1222" i="3" s="1"/>
  <c r="Y1221" i="3" a="1"/>
  <c r="Y1221" i="3" s="1"/>
  <c r="X1221" i="3" a="1"/>
  <c r="X1221" i="3" s="1"/>
  <c r="W1221" i="3" a="1"/>
  <c r="W1221" i="3" s="1"/>
  <c r="V1221" i="3" a="1"/>
  <c r="V1221" i="3" s="1"/>
  <c r="Y1220" i="3" a="1"/>
  <c r="Y1220" i="3" s="1"/>
  <c r="X1220" i="3" a="1"/>
  <c r="X1220" i="3" s="1"/>
  <c r="W1220" i="3" a="1"/>
  <c r="W1220" i="3" s="1"/>
  <c r="V1220" i="3" a="1"/>
  <c r="V1220" i="3" s="1"/>
  <c r="Y1219" i="3" a="1"/>
  <c r="Y1219" i="3" s="1"/>
  <c r="X1219" i="3" a="1"/>
  <c r="X1219" i="3" s="1"/>
  <c r="W1219" i="3" a="1"/>
  <c r="W1219" i="3" s="1"/>
  <c r="V1219" i="3" a="1"/>
  <c r="V1219" i="3" s="1"/>
  <c r="Y1218" i="3" a="1"/>
  <c r="Y1218" i="3" s="1"/>
  <c r="X1218" i="3" a="1"/>
  <c r="X1218" i="3" s="1"/>
  <c r="W1218" i="3" a="1"/>
  <c r="W1218" i="3" s="1"/>
  <c r="V1218" i="3" a="1"/>
  <c r="V1218" i="3" s="1"/>
  <c r="Y1217" i="3" a="1"/>
  <c r="Y1217" i="3" s="1"/>
  <c r="X1217" i="3" a="1"/>
  <c r="X1217" i="3" s="1"/>
  <c r="W1217" i="3" a="1"/>
  <c r="W1217" i="3" s="1"/>
  <c r="V1217" i="3" a="1"/>
  <c r="V1217" i="3" s="1"/>
  <c r="Y1216" i="3" a="1"/>
  <c r="Y1216" i="3" s="1"/>
  <c r="X1216" i="3" a="1"/>
  <c r="X1216" i="3" s="1"/>
  <c r="W1216" i="3" a="1"/>
  <c r="W1216" i="3" s="1"/>
  <c r="V1216" i="3" a="1"/>
  <c r="V1216" i="3" s="1"/>
  <c r="Y1215" i="3" a="1"/>
  <c r="Y1215" i="3" s="1"/>
  <c r="X1215" i="3" a="1"/>
  <c r="X1215" i="3" s="1"/>
  <c r="W1215" i="3" a="1"/>
  <c r="W1215" i="3" s="1"/>
  <c r="V1215" i="3" a="1"/>
  <c r="V1215" i="3" s="1"/>
  <c r="Y1214" i="3" a="1"/>
  <c r="Y1214" i="3" s="1"/>
  <c r="X1214" i="3" a="1"/>
  <c r="X1214" i="3" s="1"/>
  <c r="W1214" i="3" a="1"/>
  <c r="W1214" i="3" s="1"/>
  <c r="V1214" i="3" a="1"/>
  <c r="V1214" i="3" s="1"/>
  <c r="Y1213" i="3" a="1"/>
  <c r="Y1213" i="3" s="1"/>
  <c r="X1213" i="3" a="1"/>
  <c r="X1213" i="3" s="1"/>
  <c r="W1213" i="3" a="1"/>
  <c r="W1213" i="3" s="1"/>
  <c r="V1213" i="3" a="1"/>
  <c r="V1213" i="3" s="1"/>
  <c r="Y1212" i="3" a="1"/>
  <c r="Y1212" i="3" s="1"/>
  <c r="X1212" i="3" a="1"/>
  <c r="X1212" i="3" s="1"/>
  <c r="W1212" i="3" a="1"/>
  <c r="W1212" i="3" s="1"/>
  <c r="V1212" i="3" a="1"/>
  <c r="V1212" i="3" s="1"/>
  <c r="Y1211" i="3" a="1"/>
  <c r="Y1211" i="3" s="1"/>
  <c r="X1211" i="3" a="1"/>
  <c r="X1211" i="3" s="1"/>
  <c r="W1211" i="3" a="1"/>
  <c r="W1211" i="3" s="1"/>
  <c r="V1211" i="3" a="1"/>
  <c r="V1211" i="3" s="1"/>
  <c r="Y1210" i="3" a="1"/>
  <c r="Y1210" i="3" s="1"/>
  <c r="X1210" i="3" a="1"/>
  <c r="X1210" i="3" s="1"/>
  <c r="W1210" i="3" a="1"/>
  <c r="W1210" i="3" s="1"/>
  <c r="V1210" i="3" a="1"/>
  <c r="V1210" i="3" s="1"/>
  <c r="Y1209" i="3" a="1"/>
  <c r="Y1209" i="3" s="1"/>
  <c r="X1209" i="3" a="1"/>
  <c r="X1209" i="3" s="1"/>
  <c r="W1209" i="3" a="1"/>
  <c r="W1209" i="3" s="1"/>
  <c r="V1209" i="3" a="1"/>
  <c r="V1209" i="3" s="1"/>
  <c r="Y1208" i="3" a="1"/>
  <c r="Y1208" i="3" s="1"/>
  <c r="X1208" i="3" a="1"/>
  <c r="X1208" i="3" s="1"/>
  <c r="W1208" i="3" a="1"/>
  <c r="W1208" i="3" s="1"/>
  <c r="V1208" i="3" a="1"/>
  <c r="V1208" i="3" s="1"/>
  <c r="Y1207" i="3" a="1"/>
  <c r="Y1207" i="3" s="1"/>
  <c r="X1207" i="3" a="1"/>
  <c r="X1207" i="3" s="1"/>
  <c r="W1207" i="3" a="1"/>
  <c r="W1207" i="3" s="1"/>
  <c r="V1207" i="3" a="1"/>
  <c r="V1207" i="3" s="1"/>
  <c r="Y1206" i="3" a="1"/>
  <c r="Y1206" i="3" s="1"/>
  <c r="X1206" i="3" a="1"/>
  <c r="X1206" i="3" s="1"/>
  <c r="W1206" i="3" a="1"/>
  <c r="W1206" i="3" s="1"/>
  <c r="V1206" i="3" a="1"/>
  <c r="V1206" i="3" s="1"/>
  <c r="Y1205" i="3" a="1"/>
  <c r="Y1205" i="3" s="1"/>
  <c r="X1205" i="3" a="1"/>
  <c r="X1205" i="3" s="1"/>
  <c r="W1205" i="3" a="1"/>
  <c r="W1205" i="3" s="1"/>
  <c r="V1205" i="3" a="1"/>
  <c r="V1205" i="3" s="1"/>
  <c r="Y1204" i="3" a="1"/>
  <c r="Y1204" i="3" s="1"/>
  <c r="X1204" i="3" a="1"/>
  <c r="X1204" i="3" s="1"/>
  <c r="W1204" i="3" a="1"/>
  <c r="W1204" i="3" s="1"/>
  <c r="V1204" i="3" a="1"/>
  <c r="V1204" i="3" s="1"/>
  <c r="Y1203" i="3" a="1"/>
  <c r="Y1203" i="3" s="1"/>
  <c r="X1203" i="3" a="1"/>
  <c r="X1203" i="3" s="1"/>
  <c r="W1203" i="3" a="1"/>
  <c r="W1203" i="3" s="1"/>
  <c r="V1203" i="3" a="1"/>
  <c r="V1203" i="3" s="1"/>
  <c r="Y1202" i="3" a="1"/>
  <c r="Y1202" i="3" s="1"/>
  <c r="X1202" i="3" a="1"/>
  <c r="X1202" i="3" s="1"/>
  <c r="W1202" i="3" a="1"/>
  <c r="W1202" i="3" s="1"/>
  <c r="V1202" i="3" a="1"/>
  <c r="V1202" i="3" s="1"/>
  <c r="Y1201" i="3" a="1"/>
  <c r="Y1201" i="3" s="1"/>
  <c r="X1201" i="3" a="1"/>
  <c r="X1201" i="3" s="1"/>
  <c r="W1201" i="3" a="1"/>
  <c r="W1201" i="3" s="1"/>
  <c r="V1201" i="3" a="1"/>
  <c r="V1201" i="3" s="1"/>
  <c r="Y1200" i="3" a="1"/>
  <c r="Y1200" i="3" s="1"/>
  <c r="X1200" i="3" a="1"/>
  <c r="X1200" i="3" s="1"/>
  <c r="W1200" i="3" a="1"/>
  <c r="W1200" i="3" s="1"/>
  <c r="V1200" i="3" a="1"/>
  <c r="V1200" i="3" s="1"/>
  <c r="Y1199" i="3" a="1"/>
  <c r="Y1199" i="3" s="1"/>
  <c r="X1199" i="3" a="1"/>
  <c r="X1199" i="3" s="1"/>
  <c r="W1199" i="3" a="1"/>
  <c r="W1199" i="3" s="1"/>
  <c r="V1199" i="3" a="1"/>
  <c r="V1199" i="3" s="1"/>
  <c r="Y1198" i="3" a="1"/>
  <c r="Y1198" i="3" s="1"/>
  <c r="X1198" i="3" a="1"/>
  <c r="X1198" i="3" s="1"/>
  <c r="W1198" i="3" a="1"/>
  <c r="W1198" i="3" s="1"/>
  <c r="V1198" i="3" a="1"/>
  <c r="V1198" i="3" s="1"/>
  <c r="Y1197" i="3" a="1"/>
  <c r="Y1197" i="3" s="1"/>
  <c r="X1197" i="3" a="1"/>
  <c r="X1197" i="3" s="1"/>
  <c r="W1197" i="3" a="1"/>
  <c r="W1197" i="3" s="1"/>
  <c r="V1197" i="3" a="1"/>
  <c r="V1197" i="3" s="1"/>
  <c r="Y1196" i="3" a="1"/>
  <c r="Y1196" i="3" s="1"/>
  <c r="X1196" i="3" a="1"/>
  <c r="X1196" i="3" s="1"/>
  <c r="W1196" i="3" a="1"/>
  <c r="W1196" i="3" s="1"/>
  <c r="V1196" i="3" a="1"/>
  <c r="V1196" i="3" s="1"/>
  <c r="Y1195" i="3" a="1"/>
  <c r="Y1195" i="3" s="1"/>
  <c r="X1195" i="3" a="1"/>
  <c r="X1195" i="3" s="1"/>
  <c r="W1195" i="3" a="1"/>
  <c r="W1195" i="3" s="1"/>
  <c r="V1195" i="3" a="1"/>
  <c r="V1195" i="3" s="1"/>
  <c r="Y1194" i="3" a="1"/>
  <c r="Y1194" i="3" s="1"/>
  <c r="X1194" i="3" a="1"/>
  <c r="X1194" i="3" s="1"/>
  <c r="W1194" i="3" a="1"/>
  <c r="W1194" i="3" s="1"/>
  <c r="V1194" i="3" a="1"/>
  <c r="V1194" i="3" s="1"/>
  <c r="Y1193" i="3" a="1"/>
  <c r="Y1193" i="3" s="1"/>
  <c r="X1193" i="3" a="1"/>
  <c r="X1193" i="3" s="1"/>
  <c r="W1193" i="3" a="1"/>
  <c r="W1193" i="3" s="1"/>
  <c r="V1193" i="3" a="1"/>
  <c r="V1193" i="3" s="1"/>
  <c r="Y1192" i="3" a="1"/>
  <c r="Y1192" i="3" s="1"/>
  <c r="X1192" i="3" a="1"/>
  <c r="X1192" i="3" s="1"/>
  <c r="W1192" i="3" a="1"/>
  <c r="W1192" i="3" s="1"/>
  <c r="V1192" i="3" a="1"/>
  <c r="V1192" i="3" s="1"/>
  <c r="Y1191" i="3" a="1"/>
  <c r="Y1191" i="3" s="1"/>
  <c r="X1191" i="3" a="1"/>
  <c r="X1191" i="3" s="1"/>
  <c r="W1191" i="3" a="1"/>
  <c r="W1191" i="3" s="1"/>
  <c r="V1191" i="3" a="1"/>
  <c r="V1191" i="3" s="1"/>
  <c r="Y1190" i="3" a="1"/>
  <c r="Y1190" i="3" s="1"/>
  <c r="X1190" i="3" a="1"/>
  <c r="X1190" i="3" s="1"/>
  <c r="W1190" i="3" a="1"/>
  <c r="W1190" i="3" s="1"/>
  <c r="V1190" i="3" a="1"/>
  <c r="V1190" i="3" s="1"/>
  <c r="Y1189" i="3" a="1"/>
  <c r="Y1189" i="3" s="1"/>
  <c r="X1189" i="3" a="1"/>
  <c r="X1189" i="3" s="1"/>
  <c r="W1189" i="3" a="1"/>
  <c r="W1189" i="3" s="1"/>
  <c r="V1189" i="3" a="1"/>
  <c r="V1189" i="3" s="1"/>
  <c r="Y1188" i="3" a="1"/>
  <c r="Y1188" i="3" s="1"/>
  <c r="X1188" i="3" a="1"/>
  <c r="X1188" i="3" s="1"/>
  <c r="W1188" i="3" a="1"/>
  <c r="W1188" i="3" s="1"/>
  <c r="V1188" i="3" a="1"/>
  <c r="V1188" i="3" s="1"/>
  <c r="Y1187" i="3" a="1"/>
  <c r="Y1187" i="3" s="1"/>
  <c r="X1187" i="3" a="1"/>
  <c r="X1187" i="3" s="1"/>
  <c r="W1187" i="3" a="1"/>
  <c r="W1187" i="3" s="1"/>
  <c r="V1187" i="3" a="1"/>
  <c r="V1187" i="3" s="1"/>
  <c r="Y1186" i="3" a="1"/>
  <c r="Y1186" i="3" s="1"/>
  <c r="X1186" i="3" a="1"/>
  <c r="X1186" i="3" s="1"/>
  <c r="W1186" i="3" a="1"/>
  <c r="W1186" i="3" s="1"/>
  <c r="V1186" i="3" a="1"/>
  <c r="V1186" i="3" s="1"/>
  <c r="Y1185" i="3" a="1"/>
  <c r="Y1185" i="3" s="1"/>
  <c r="X1185" i="3" a="1"/>
  <c r="X1185" i="3" s="1"/>
  <c r="W1185" i="3" a="1"/>
  <c r="W1185" i="3" s="1"/>
  <c r="V1185" i="3" a="1"/>
  <c r="V1185" i="3" s="1"/>
  <c r="Y1184" i="3" a="1"/>
  <c r="Y1184" i="3" s="1"/>
  <c r="X1184" i="3" a="1"/>
  <c r="X1184" i="3" s="1"/>
  <c r="W1184" i="3" a="1"/>
  <c r="W1184" i="3" s="1"/>
  <c r="V1184" i="3" a="1"/>
  <c r="V1184" i="3" s="1"/>
  <c r="Y1183" i="3" a="1"/>
  <c r="Y1183" i="3" s="1"/>
  <c r="X1183" i="3" a="1"/>
  <c r="X1183" i="3" s="1"/>
  <c r="W1183" i="3" a="1"/>
  <c r="W1183" i="3" s="1"/>
  <c r="V1183" i="3" a="1"/>
  <c r="V1183" i="3" s="1"/>
  <c r="Y1182" i="3" a="1"/>
  <c r="Y1182" i="3" s="1"/>
  <c r="X1182" i="3" a="1"/>
  <c r="X1182" i="3" s="1"/>
  <c r="W1182" i="3" a="1"/>
  <c r="W1182" i="3" s="1"/>
  <c r="V1182" i="3" a="1"/>
  <c r="V1182" i="3" s="1"/>
  <c r="Y1181" i="3" a="1"/>
  <c r="Y1181" i="3" s="1"/>
  <c r="X1181" i="3" a="1"/>
  <c r="X1181" i="3" s="1"/>
  <c r="W1181" i="3" a="1"/>
  <c r="W1181" i="3" s="1"/>
  <c r="V1181" i="3" a="1"/>
  <c r="V1181" i="3" s="1"/>
  <c r="Y1180" i="3" a="1"/>
  <c r="Y1180" i="3" s="1"/>
  <c r="X1180" i="3" a="1"/>
  <c r="X1180" i="3" s="1"/>
  <c r="W1180" i="3" a="1"/>
  <c r="W1180" i="3" s="1"/>
  <c r="V1180" i="3" a="1"/>
  <c r="V1180" i="3" s="1"/>
  <c r="Y1179" i="3" a="1"/>
  <c r="Y1179" i="3" s="1"/>
  <c r="X1179" i="3" a="1"/>
  <c r="X1179" i="3" s="1"/>
  <c r="W1179" i="3" a="1"/>
  <c r="W1179" i="3" s="1"/>
  <c r="V1179" i="3" a="1"/>
  <c r="V1179" i="3" s="1"/>
  <c r="Y1178" i="3" a="1"/>
  <c r="Y1178" i="3" s="1"/>
  <c r="X1178" i="3" a="1"/>
  <c r="X1178" i="3" s="1"/>
  <c r="W1178" i="3" a="1"/>
  <c r="W1178" i="3" s="1"/>
  <c r="V1178" i="3" a="1"/>
  <c r="V1178" i="3" s="1"/>
  <c r="Y1177" i="3" a="1"/>
  <c r="Y1177" i="3" s="1"/>
  <c r="X1177" i="3" a="1"/>
  <c r="X1177" i="3" s="1"/>
  <c r="W1177" i="3" a="1"/>
  <c r="W1177" i="3" s="1"/>
  <c r="V1177" i="3" a="1"/>
  <c r="V1177" i="3" s="1"/>
  <c r="Y1176" i="3" a="1"/>
  <c r="Y1176" i="3" s="1"/>
  <c r="X1176" i="3" a="1"/>
  <c r="X1176" i="3" s="1"/>
  <c r="W1176" i="3" a="1"/>
  <c r="W1176" i="3" s="1"/>
  <c r="V1176" i="3" a="1"/>
  <c r="V1176" i="3" s="1"/>
  <c r="Y1175" i="3" a="1"/>
  <c r="Y1175" i="3" s="1"/>
  <c r="X1175" i="3" a="1"/>
  <c r="X1175" i="3" s="1"/>
  <c r="W1175" i="3" a="1"/>
  <c r="W1175" i="3" s="1"/>
  <c r="V1175" i="3" a="1"/>
  <c r="V1175" i="3" s="1"/>
  <c r="Y1174" i="3" a="1"/>
  <c r="Y1174" i="3" s="1"/>
  <c r="X1174" i="3" a="1"/>
  <c r="X1174" i="3" s="1"/>
  <c r="W1174" i="3" a="1"/>
  <c r="W1174" i="3" s="1"/>
  <c r="V1174" i="3" a="1"/>
  <c r="V1174" i="3" s="1"/>
  <c r="Y1173" i="3" a="1"/>
  <c r="Y1173" i="3" s="1"/>
  <c r="X1173" i="3" a="1"/>
  <c r="X1173" i="3" s="1"/>
  <c r="W1173" i="3" a="1"/>
  <c r="W1173" i="3" s="1"/>
  <c r="V1173" i="3" a="1"/>
  <c r="V1173" i="3" s="1"/>
  <c r="Y1172" i="3" a="1"/>
  <c r="Y1172" i="3" s="1"/>
  <c r="X1172" i="3" a="1"/>
  <c r="X1172" i="3" s="1"/>
  <c r="W1172" i="3" a="1"/>
  <c r="W1172" i="3" s="1"/>
  <c r="V1172" i="3" a="1"/>
  <c r="V1172" i="3" s="1"/>
  <c r="Y1171" i="3" a="1"/>
  <c r="Y1171" i="3" s="1"/>
  <c r="X1171" i="3" a="1"/>
  <c r="X1171" i="3" s="1"/>
  <c r="W1171" i="3" a="1"/>
  <c r="W1171" i="3" s="1"/>
  <c r="V1171" i="3" a="1"/>
  <c r="V1171" i="3" s="1"/>
  <c r="Y1170" i="3" a="1"/>
  <c r="Y1170" i="3" s="1"/>
  <c r="X1170" i="3" a="1"/>
  <c r="X1170" i="3" s="1"/>
  <c r="W1170" i="3" a="1"/>
  <c r="W1170" i="3" s="1"/>
  <c r="V1170" i="3" a="1"/>
  <c r="V1170" i="3" s="1"/>
  <c r="Y1169" i="3" a="1"/>
  <c r="Y1169" i="3" s="1"/>
  <c r="X1169" i="3" a="1"/>
  <c r="X1169" i="3" s="1"/>
  <c r="W1169" i="3" a="1"/>
  <c r="W1169" i="3" s="1"/>
  <c r="V1169" i="3" a="1"/>
  <c r="V1169" i="3" s="1"/>
  <c r="Y1168" i="3" a="1"/>
  <c r="Y1168" i="3" s="1"/>
  <c r="X1168" i="3" a="1"/>
  <c r="X1168" i="3" s="1"/>
  <c r="W1168" i="3" a="1"/>
  <c r="W1168" i="3" s="1"/>
  <c r="V1168" i="3" a="1"/>
  <c r="V1168" i="3" s="1"/>
  <c r="Y1167" i="3" a="1"/>
  <c r="Y1167" i="3" s="1"/>
  <c r="X1167" i="3" a="1"/>
  <c r="X1167" i="3" s="1"/>
  <c r="W1167" i="3" a="1"/>
  <c r="W1167" i="3" s="1"/>
  <c r="V1167" i="3" a="1"/>
  <c r="V1167" i="3" s="1"/>
  <c r="Y1166" i="3" a="1"/>
  <c r="Y1166" i="3" s="1"/>
  <c r="X1166" i="3" a="1"/>
  <c r="X1166" i="3" s="1"/>
  <c r="W1166" i="3" a="1"/>
  <c r="W1166" i="3" s="1"/>
  <c r="V1166" i="3" a="1"/>
  <c r="V1166" i="3" s="1"/>
  <c r="Y1165" i="3" a="1"/>
  <c r="Y1165" i="3" s="1"/>
  <c r="X1165" i="3" a="1"/>
  <c r="X1165" i="3" s="1"/>
  <c r="W1165" i="3" a="1"/>
  <c r="W1165" i="3" s="1"/>
  <c r="V1165" i="3" a="1"/>
  <c r="V1165" i="3" s="1"/>
  <c r="Y1164" i="3" a="1"/>
  <c r="Y1164" i="3" s="1"/>
  <c r="X1164" i="3" a="1"/>
  <c r="X1164" i="3" s="1"/>
  <c r="W1164" i="3" a="1"/>
  <c r="W1164" i="3" s="1"/>
  <c r="V1164" i="3" a="1"/>
  <c r="V1164" i="3" s="1"/>
  <c r="Y1163" i="3" a="1"/>
  <c r="Y1163" i="3" s="1"/>
  <c r="X1163" i="3" a="1"/>
  <c r="X1163" i="3" s="1"/>
  <c r="W1163" i="3" a="1"/>
  <c r="W1163" i="3" s="1"/>
  <c r="V1163" i="3" a="1"/>
  <c r="V1163" i="3" s="1"/>
  <c r="Y1162" i="3" a="1"/>
  <c r="Y1162" i="3" s="1"/>
  <c r="X1162" i="3" a="1"/>
  <c r="X1162" i="3" s="1"/>
  <c r="W1162" i="3" a="1"/>
  <c r="W1162" i="3" s="1"/>
  <c r="V1162" i="3" a="1"/>
  <c r="V1162" i="3" s="1"/>
  <c r="Y1161" i="3" a="1"/>
  <c r="Y1161" i="3" s="1"/>
  <c r="X1161" i="3" a="1"/>
  <c r="X1161" i="3" s="1"/>
  <c r="W1161" i="3" a="1"/>
  <c r="W1161" i="3" s="1"/>
  <c r="V1161" i="3" a="1"/>
  <c r="V1161" i="3" s="1"/>
  <c r="Y1160" i="3" a="1"/>
  <c r="Y1160" i="3" s="1"/>
  <c r="X1160" i="3" a="1"/>
  <c r="X1160" i="3" s="1"/>
  <c r="W1160" i="3" a="1"/>
  <c r="W1160" i="3" s="1"/>
  <c r="V1160" i="3" a="1"/>
  <c r="V1160" i="3" s="1"/>
  <c r="Y1159" i="3" a="1"/>
  <c r="Y1159" i="3" s="1"/>
  <c r="X1159" i="3" a="1"/>
  <c r="X1159" i="3" s="1"/>
  <c r="W1159" i="3" a="1"/>
  <c r="W1159" i="3" s="1"/>
  <c r="V1159" i="3" a="1"/>
  <c r="V1159" i="3" s="1"/>
  <c r="Y1158" i="3" a="1"/>
  <c r="Y1158" i="3" s="1"/>
  <c r="X1158" i="3" a="1"/>
  <c r="X1158" i="3" s="1"/>
  <c r="W1158" i="3" a="1"/>
  <c r="W1158" i="3" s="1"/>
  <c r="V1158" i="3" a="1"/>
  <c r="V1158" i="3" s="1"/>
  <c r="Y1157" i="3" a="1"/>
  <c r="Y1157" i="3" s="1"/>
  <c r="X1157" i="3" a="1"/>
  <c r="X1157" i="3" s="1"/>
  <c r="W1157" i="3" a="1"/>
  <c r="W1157" i="3" s="1"/>
  <c r="V1157" i="3" a="1"/>
  <c r="V1157" i="3" s="1"/>
  <c r="Y1156" i="3" a="1"/>
  <c r="Y1156" i="3" s="1"/>
  <c r="X1156" i="3" a="1"/>
  <c r="X1156" i="3" s="1"/>
  <c r="W1156" i="3" a="1"/>
  <c r="W1156" i="3" s="1"/>
  <c r="V1156" i="3" a="1"/>
  <c r="V1156" i="3" s="1"/>
  <c r="Y1155" i="3" a="1"/>
  <c r="Y1155" i="3" s="1"/>
  <c r="X1155" i="3" a="1"/>
  <c r="X1155" i="3" s="1"/>
  <c r="W1155" i="3" a="1"/>
  <c r="W1155" i="3" s="1"/>
  <c r="V1155" i="3" a="1"/>
  <c r="V1155" i="3" s="1"/>
  <c r="Y1154" i="3" a="1"/>
  <c r="Y1154" i="3" s="1"/>
  <c r="X1154" i="3" a="1"/>
  <c r="X1154" i="3" s="1"/>
  <c r="W1154" i="3" a="1"/>
  <c r="W1154" i="3" s="1"/>
  <c r="V1154" i="3" a="1"/>
  <c r="V1154" i="3" s="1"/>
  <c r="Y1153" i="3" a="1"/>
  <c r="Y1153" i="3" s="1"/>
  <c r="X1153" i="3" a="1"/>
  <c r="X1153" i="3" s="1"/>
  <c r="W1153" i="3" a="1"/>
  <c r="W1153" i="3" s="1"/>
  <c r="V1153" i="3" a="1"/>
  <c r="V1153" i="3" s="1"/>
  <c r="Y1152" i="3" a="1"/>
  <c r="Y1152" i="3" s="1"/>
  <c r="X1152" i="3" a="1"/>
  <c r="X1152" i="3" s="1"/>
  <c r="W1152" i="3" a="1"/>
  <c r="W1152" i="3" s="1"/>
  <c r="V1152" i="3" a="1"/>
  <c r="V1152" i="3" s="1"/>
  <c r="Y1151" i="3" a="1"/>
  <c r="Y1151" i="3" s="1"/>
  <c r="X1151" i="3" a="1"/>
  <c r="X1151" i="3" s="1"/>
  <c r="W1151" i="3" a="1"/>
  <c r="W1151" i="3" s="1"/>
  <c r="V1151" i="3" a="1"/>
  <c r="V1151" i="3" s="1"/>
  <c r="Y1150" i="3" a="1"/>
  <c r="Y1150" i="3" s="1"/>
  <c r="X1150" i="3" a="1"/>
  <c r="X1150" i="3" s="1"/>
  <c r="W1150" i="3" a="1"/>
  <c r="W1150" i="3" s="1"/>
  <c r="V1150" i="3" a="1"/>
  <c r="V1150" i="3" s="1"/>
  <c r="Y1149" i="3" a="1"/>
  <c r="Y1149" i="3" s="1"/>
  <c r="X1149" i="3" a="1"/>
  <c r="X1149" i="3" s="1"/>
  <c r="W1149" i="3" a="1"/>
  <c r="W1149" i="3" s="1"/>
  <c r="V1149" i="3" a="1"/>
  <c r="V1149" i="3" s="1"/>
  <c r="Y1148" i="3" a="1"/>
  <c r="Y1148" i="3" s="1"/>
  <c r="X1148" i="3" a="1"/>
  <c r="X1148" i="3" s="1"/>
  <c r="W1148" i="3" a="1"/>
  <c r="W1148" i="3" s="1"/>
  <c r="V1148" i="3" a="1"/>
  <c r="V1148" i="3" s="1"/>
  <c r="Y1147" i="3" a="1"/>
  <c r="Y1147" i="3" s="1"/>
  <c r="X1147" i="3" a="1"/>
  <c r="X1147" i="3" s="1"/>
  <c r="W1147" i="3" a="1"/>
  <c r="W1147" i="3" s="1"/>
  <c r="V1147" i="3" a="1"/>
  <c r="V1147" i="3" s="1"/>
  <c r="Y1146" i="3" a="1"/>
  <c r="Y1146" i="3" s="1"/>
  <c r="X1146" i="3" a="1"/>
  <c r="X1146" i="3" s="1"/>
  <c r="W1146" i="3" a="1"/>
  <c r="W1146" i="3" s="1"/>
  <c r="V1146" i="3" a="1"/>
  <c r="V1146" i="3" s="1"/>
  <c r="Y1145" i="3" a="1"/>
  <c r="Y1145" i="3" s="1"/>
  <c r="X1145" i="3" a="1"/>
  <c r="X1145" i="3" s="1"/>
  <c r="W1145" i="3" a="1"/>
  <c r="W1145" i="3" s="1"/>
  <c r="V1145" i="3" a="1"/>
  <c r="V1145" i="3" s="1"/>
  <c r="Y1144" i="3" a="1"/>
  <c r="Y1144" i="3" s="1"/>
  <c r="X1144" i="3" a="1"/>
  <c r="X1144" i="3" s="1"/>
  <c r="W1144" i="3" a="1"/>
  <c r="W1144" i="3" s="1"/>
  <c r="V1144" i="3" a="1"/>
  <c r="V1144" i="3" s="1"/>
  <c r="Y1143" i="3" a="1"/>
  <c r="Y1143" i="3" s="1"/>
  <c r="X1143" i="3" a="1"/>
  <c r="X1143" i="3" s="1"/>
  <c r="W1143" i="3" a="1"/>
  <c r="W1143" i="3" s="1"/>
  <c r="V1143" i="3" a="1"/>
  <c r="V1143" i="3" s="1"/>
  <c r="Y1142" i="3" a="1"/>
  <c r="Y1142" i="3" s="1"/>
  <c r="X1142" i="3" a="1"/>
  <c r="X1142" i="3" s="1"/>
  <c r="W1142" i="3" a="1"/>
  <c r="W1142" i="3" s="1"/>
  <c r="V1142" i="3" a="1"/>
  <c r="V1142" i="3" s="1"/>
  <c r="Y1141" i="3" a="1"/>
  <c r="Y1141" i="3" s="1"/>
  <c r="X1141" i="3" a="1"/>
  <c r="X1141" i="3" s="1"/>
  <c r="W1141" i="3" a="1"/>
  <c r="W1141" i="3" s="1"/>
  <c r="V1141" i="3" a="1"/>
  <c r="V1141" i="3" s="1"/>
  <c r="Y1140" i="3" a="1"/>
  <c r="Y1140" i="3" s="1"/>
  <c r="X1140" i="3" a="1"/>
  <c r="X1140" i="3" s="1"/>
  <c r="W1140" i="3" a="1"/>
  <c r="W1140" i="3" s="1"/>
  <c r="V1140" i="3" a="1"/>
  <c r="V1140" i="3" s="1"/>
  <c r="Y1139" i="3" a="1"/>
  <c r="Y1139" i="3" s="1"/>
  <c r="X1139" i="3" a="1"/>
  <c r="X1139" i="3" s="1"/>
  <c r="W1139" i="3" a="1"/>
  <c r="W1139" i="3" s="1"/>
  <c r="V1139" i="3" a="1"/>
  <c r="V1139" i="3" s="1"/>
  <c r="Y1138" i="3" a="1"/>
  <c r="Y1138" i="3" s="1"/>
  <c r="X1138" i="3" a="1"/>
  <c r="X1138" i="3" s="1"/>
  <c r="W1138" i="3" a="1"/>
  <c r="W1138" i="3" s="1"/>
  <c r="V1138" i="3" a="1"/>
  <c r="V1138" i="3" s="1"/>
  <c r="Y1137" i="3" a="1"/>
  <c r="Y1137" i="3" s="1"/>
  <c r="X1137" i="3" a="1"/>
  <c r="X1137" i="3" s="1"/>
  <c r="W1137" i="3" a="1"/>
  <c r="W1137" i="3" s="1"/>
  <c r="V1137" i="3" a="1"/>
  <c r="V1137" i="3" s="1"/>
  <c r="Y1135" i="3" a="1"/>
  <c r="Y1135" i="3" s="1"/>
  <c r="X1135" i="3" a="1"/>
  <c r="X1135" i="3" s="1"/>
  <c r="W1135" i="3" a="1"/>
  <c r="W1135" i="3" s="1"/>
  <c r="V1135" i="3" a="1"/>
  <c r="V1135" i="3" s="1"/>
  <c r="Y1133" i="3" a="1"/>
  <c r="Y1133" i="3" s="1"/>
  <c r="X1133" i="3" a="1"/>
  <c r="X1133" i="3" s="1"/>
  <c r="W1133" i="3" a="1"/>
  <c r="W1133" i="3" s="1"/>
  <c r="V1133" i="3" a="1"/>
  <c r="V1133" i="3" s="1"/>
  <c r="Y1131" i="3" a="1"/>
  <c r="Y1131" i="3" s="1"/>
  <c r="X1131" i="3" a="1"/>
  <c r="X1131" i="3" s="1"/>
  <c r="W1131" i="3" a="1"/>
  <c r="W1131" i="3" s="1"/>
  <c r="V1131" i="3" a="1"/>
  <c r="V1131" i="3" s="1"/>
  <c r="Y1129" i="3" a="1"/>
  <c r="Y1129" i="3" s="1"/>
  <c r="X1129" i="3" a="1"/>
  <c r="X1129" i="3" s="1"/>
  <c r="W1129" i="3" a="1"/>
  <c r="W1129" i="3" s="1"/>
  <c r="V1129" i="3" a="1"/>
  <c r="V1129" i="3" s="1"/>
  <c r="Y1127" i="3" a="1"/>
  <c r="Y1127" i="3" s="1"/>
  <c r="X1127" i="3" a="1"/>
  <c r="X1127" i="3" s="1"/>
  <c r="W1127" i="3" a="1"/>
  <c r="W1127" i="3" s="1"/>
  <c r="V1127" i="3" a="1"/>
  <c r="V1127" i="3" s="1"/>
  <c r="Y1125" i="3" a="1"/>
  <c r="Y1125" i="3" s="1"/>
  <c r="X1125" i="3" a="1"/>
  <c r="X1125" i="3" s="1"/>
  <c r="W1125" i="3" a="1"/>
  <c r="W1125" i="3" s="1"/>
  <c r="V1125" i="3" a="1"/>
  <c r="V1125" i="3" s="1"/>
  <c r="Y1123" i="3" a="1"/>
  <c r="Y1123" i="3" s="1"/>
  <c r="X1123" i="3" a="1"/>
  <c r="X1123" i="3" s="1"/>
  <c r="W1123" i="3" a="1"/>
  <c r="W1123" i="3" s="1"/>
  <c r="V1123" i="3" a="1"/>
  <c r="V1123" i="3" s="1"/>
  <c r="Y1121" i="3" a="1"/>
  <c r="Y1121" i="3" s="1"/>
  <c r="X1121" i="3" a="1"/>
  <c r="X1121" i="3" s="1"/>
  <c r="W1121" i="3" a="1"/>
  <c r="W1121" i="3" s="1"/>
  <c r="V1121" i="3" a="1"/>
  <c r="V1121" i="3" s="1"/>
  <c r="Y1119" i="3" a="1"/>
  <c r="Y1119" i="3" s="1"/>
  <c r="X1119" i="3" a="1"/>
  <c r="X1119" i="3" s="1"/>
  <c r="W1119" i="3" a="1"/>
  <c r="W1119" i="3" s="1"/>
  <c r="V1119" i="3" a="1"/>
  <c r="V1119" i="3" s="1"/>
  <c r="Y1118" i="3" a="1"/>
  <c r="Y1118" i="3" s="1"/>
  <c r="X1118" i="3" a="1"/>
  <c r="X1118" i="3" s="1"/>
  <c r="W1118" i="3" a="1"/>
  <c r="W1118" i="3" s="1"/>
  <c r="V1118" i="3" a="1"/>
  <c r="V1118" i="3" s="1"/>
  <c r="Y1117" i="3" a="1"/>
  <c r="Y1117" i="3" s="1"/>
  <c r="X1117" i="3" a="1"/>
  <c r="X1117" i="3" s="1"/>
  <c r="W1117" i="3" a="1"/>
  <c r="W1117" i="3" s="1"/>
  <c r="V1117" i="3" a="1"/>
  <c r="V1117" i="3" s="1"/>
  <c r="Y1116" i="3" a="1"/>
  <c r="Y1116" i="3" s="1"/>
  <c r="X1116" i="3" a="1"/>
  <c r="X1116" i="3" s="1"/>
  <c r="W1116" i="3" a="1"/>
  <c r="W1116" i="3" s="1"/>
  <c r="V1116" i="3" a="1"/>
  <c r="V1116" i="3" s="1"/>
  <c r="Y1115" i="3" a="1"/>
  <c r="Y1115" i="3" s="1"/>
  <c r="X1115" i="3" a="1"/>
  <c r="X1115" i="3" s="1"/>
  <c r="W1115" i="3" a="1"/>
  <c r="W1115" i="3" s="1"/>
  <c r="V1115" i="3" a="1"/>
  <c r="V1115" i="3" s="1"/>
  <c r="Y1114" i="3" a="1"/>
  <c r="Y1114" i="3" s="1"/>
  <c r="X1114" i="3" a="1"/>
  <c r="X1114" i="3" s="1"/>
  <c r="W1114" i="3" a="1"/>
  <c r="W1114" i="3" s="1"/>
  <c r="V1114" i="3" a="1"/>
  <c r="V1114" i="3" s="1"/>
  <c r="Y1113" i="3" a="1"/>
  <c r="Y1113" i="3" s="1"/>
  <c r="X1113" i="3" a="1"/>
  <c r="X1113" i="3" s="1"/>
  <c r="W1113" i="3" a="1"/>
  <c r="W1113" i="3" s="1"/>
  <c r="V1113" i="3" a="1"/>
  <c r="V1113" i="3" s="1"/>
  <c r="Y1112" i="3" a="1"/>
  <c r="Y1112" i="3" s="1"/>
  <c r="X1112" i="3" a="1"/>
  <c r="X1112" i="3" s="1"/>
  <c r="W1112" i="3" a="1"/>
  <c r="W1112" i="3" s="1"/>
  <c r="V1112" i="3" a="1"/>
  <c r="V1112" i="3" s="1"/>
  <c r="Y1111" i="3" a="1"/>
  <c r="Y1111" i="3" s="1"/>
  <c r="X1111" i="3" a="1"/>
  <c r="X1111" i="3" s="1"/>
  <c r="W1111" i="3" a="1"/>
  <c r="W1111" i="3" s="1"/>
  <c r="V1111" i="3" a="1"/>
  <c r="V1111" i="3" s="1"/>
  <c r="Y1110" i="3" a="1"/>
  <c r="Y1110" i="3" s="1"/>
  <c r="X1110" i="3" a="1"/>
  <c r="X1110" i="3" s="1"/>
  <c r="W1110" i="3" a="1"/>
  <c r="W1110" i="3" s="1"/>
  <c r="V1110" i="3" a="1"/>
  <c r="V1110" i="3" s="1"/>
  <c r="Y1109" i="3" a="1"/>
  <c r="Y1109" i="3" s="1"/>
  <c r="X1109" i="3" a="1"/>
  <c r="X1109" i="3" s="1"/>
  <c r="W1109" i="3" a="1"/>
  <c r="W1109" i="3" s="1"/>
  <c r="V1109" i="3" a="1"/>
  <c r="V1109" i="3" s="1"/>
  <c r="Y1108" i="3" a="1"/>
  <c r="Y1108" i="3" s="1"/>
  <c r="X1108" i="3" a="1"/>
  <c r="X1108" i="3" s="1"/>
  <c r="W1108" i="3" a="1"/>
  <c r="W1108" i="3" s="1"/>
  <c r="V1108" i="3" a="1"/>
  <c r="V1108" i="3" s="1"/>
  <c r="Y1107" i="3" a="1"/>
  <c r="Y1107" i="3" s="1"/>
  <c r="X1107" i="3" a="1"/>
  <c r="X1107" i="3" s="1"/>
  <c r="W1107" i="3" a="1"/>
  <c r="W1107" i="3" s="1"/>
  <c r="V1107" i="3" a="1"/>
  <c r="V1107" i="3" s="1"/>
  <c r="Y1106" i="3" a="1"/>
  <c r="Y1106" i="3" s="1"/>
  <c r="X1106" i="3" a="1"/>
  <c r="X1106" i="3" s="1"/>
  <c r="W1106" i="3" a="1"/>
  <c r="W1106" i="3" s="1"/>
  <c r="V1106" i="3" a="1"/>
  <c r="V1106" i="3" s="1"/>
  <c r="Y1105" i="3" a="1"/>
  <c r="Y1105" i="3" s="1"/>
  <c r="X1105" i="3" a="1"/>
  <c r="X1105" i="3" s="1"/>
  <c r="W1105" i="3" a="1"/>
  <c r="W1105" i="3" s="1"/>
  <c r="V1105" i="3" a="1"/>
  <c r="V1105" i="3" s="1"/>
  <c r="Y1104" i="3" a="1"/>
  <c r="Y1104" i="3" s="1"/>
  <c r="X1104" i="3" a="1"/>
  <c r="X1104" i="3" s="1"/>
  <c r="W1104" i="3" a="1"/>
  <c r="W1104" i="3" s="1"/>
  <c r="V1104" i="3" a="1"/>
  <c r="V1104" i="3" s="1"/>
  <c r="Y1103" i="3" a="1"/>
  <c r="Y1103" i="3" s="1"/>
  <c r="X1103" i="3" a="1"/>
  <c r="X1103" i="3" s="1"/>
  <c r="W1103" i="3" a="1"/>
  <c r="W1103" i="3" s="1"/>
  <c r="V1103" i="3" a="1"/>
  <c r="V1103" i="3" s="1"/>
  <c r="Y1102" i="3" a="1"/>
  <c r="Y1102" i="3" s="1"/>
  <c r="X1102" i="3" a="1"/>
  <c r="X1102" i="3" s="1"/>
  <c r="W1102" i="3" a="1"/>
  <c r="W1102" i="3" s="1"/>
  <c r="V1102" i="3" a="1"/>
  <c r="V1102" i="3" s="1"/>
  <c r="Y1100" i="3" a="1"/>
  <c r="Y1100" i="3" s="1"/>
  <c r="X1100" i="3" a="1"/>
  <c r="X1100" i="3" s="1"/>
  <c r="W1100" i="3" a="1"/>
  <c r="W1100" i="3" s="1"/>
  <c r="V1100" i="3" a="1"/>
  <c r="V1100" i="3" s="1"/>
  <c r="Y1098" i="3" a="1"/>
  <c r="Y1098" i="3" s="1"/>
  <c r="X1098" i="3" a="1"/>
  <c r="X1098" i="3" s="1"/>
  <c r="W1098" i="3" a="1"/>
  <c r="W1098" i="3" s="1"/>
  <c r="V1098" i="3" a="1"/>
  <c r="V1098" i="3" s="1"/>
  <c r="Y1096" i="3" a="1"/>
  <c r="Y1096" i="3" s="1"/>
  <c r="X1096" i="3" a="1"/>
  <c r="X1096" i="3" s="1"/>
  <c r="W1096" i="3" a="1"/>
  <c r="W1096" i="3" s="1"/>
  <c r="V1096" i="3" a="1"/>
  <c r="V1096" i="3" s="1"/>
  <c r="Y1094" i="3" a="1"/>
  <c r="Y1094" i="3" s="1"/>
  <c r="X1094" i="3" a="1"/>
  <c r="X1094" i="3" s="1"/>
  <c r="W1094" i="3" a="1"/>
  <c r="W1094" i="3" s="1"/>
  <c r="V1094" i="3" a="1"/>
  <c r="V1094" i="3" s="1"/>
  <c r="Y1092" i="3" a="1"/>
  <c r="Y1092" i="3" s="1"/>
  <c r="X1092" i="3" a="1"/>
  <c r="X1092" i="3" s="1"/>
  <c r="W1092" i="3" a="1"/>
  <c r="W1092" i="3" s="1"/>
  <c r="V1092" i="3" a="1"/>
  <c r="V1092" i="3" s="1"/>
  <c r="Y1090" i="3" a="1"/>
  <c r="Y1090" i="3" s="1"/>
  <c r="X1090" i="3" a="1"/>
  <c r="X1090" i="3" s="1"/>
  <c r="W1090" i="3" a="1"/>
  <c r="W1090" i="3" s="1"/>
  <c r="V1090" i="3" a="1"/>
  <c r="V1090" i="3" s="1"/>
  <c r="Y1088" i="3" a="1"/>
  <c r="Y1088" i="3" s="1"/>
  <c r="X1088" i="3" a="1"/>
  <c r="X1088" i="3" s="1"/>
  <c r="W1088" i="3" a="1"/>
  <c r="W1088" i="3" s="1"/>
  <c r="V1088" i="3" a="1"/>
  <c r="V1088" i="3" s="1"/>
  <c r="Y1086" i="3" a="1"/>
  <c r="Y1086" i="3" s="1"/>
  <c r="X1086" i="3" a="1"/>
  <c r="X1086" i="3" s="1"/>
  <c r="W1086" i="3" a="1"/>
  <c r="W1086" i="3" s="1"/>
  <c r="V1086" i="3" a="1"/>
  <c r="V1086" i="3" s="1"/>
  <c r="Y1084" i="3" a="1"/>
  <c r="Y1084" i="3" s="1"/>
  <c r="X1084" i="3" a="1"/>
  <c r="X1084" i="3" s="1"/>
  <c r="W1084" i="3" a="1"/>
  <c r="W1084" i="3" s="1"/>
  <c r="V1084" i="3" a="1"/>
  <c r="V1084" i="3" s="1"/>
  <c r="Y1083" i="3" a="1"/>
  <c r="Y1083" i="3" s="1"/>
  <c r="X1083" i="3" a="1"/>
  <c r="X1083" i="3" s="1"/>
  <c r="W1083" i="3" a="1"/>
  <c r="W1083" i="3" s="1"/>
  <c r="V1083" i="3" a="1"/>
  <c r="V1083" i="3" s="1"/>
  <c r="Y1082" i="3" a="1"/>
  <c r="Y1082" i="3" s="1"/>
  <c r="X1082" i="3" a="1"/>
  <c r="X1082" i="3" s="1"/>
  <c r="W1082" i="3" a="1"/>
  <c r="W1082" i="3" s="1"/>
  <c r="V1082" i="3" a="1"/>
  <c r="V1082" i="3" s="1"/>
  <c r="Y1081" i="3" a="1"/>
  <c r="Y1081" i="3" s="1"/>
  <c r="X1081" i="3" a="1"/>
  <c r="X1081" i="3" s="1"/>
  <c r="W1081" i="3" a="1"/>
  <c r="W1081" i="3" s="1"/>
  <c r="V1081" i="3" a="1"/>
  <c r="V1081" i="3" s="1"/>
  <c r="Y1080" i="3" a="1"/>
  <c r="Y1080" i="3" s="1"/>
  <c r="X1080" i="3" a="1"/>
  <c r="X1080" i="3" s="1"/>
  <c r="W1080" i="3" a="1"/>
  <c r="W1080" i="3" s="1"/>
  <c r="V1080" i="3" a="1"/>
  <c r="V1080" i="3" s="1"/>
  <c r="Y1079" i="3" a="1"/>
  <c r="Y1079" i="3" s="1"/>
  <c r="X1079" i="3" a="1"/>
  <c r="X1079" i="3" s="1"/>
  <c r="W1079" i="3" a="1"/>
  <c r="W1079" i="3" s="1"/>
  <c r="V1079" i="3" a="1"/>
  <c r="V1079" i="3" s="1"/>
  <c r="Y1078" i="3" a="1"/>
  <c r="Y1078" i="3" s="1"/>
  <c r="X1078" i="3" a="1"/>
  <c r="X1078" i="3" s="1"/>
  <c r="W1078" i="3" a="1"/>
  <c r="W1078" i="3" s="1"/>
  <c r="V1078" i="3" a="1"/>
  <c r="V1078" i="3" s="1"/>
  <c r="Y1077" i="3" a="1"/>
  <c r="Y1077" i="3" s="1"/>
  <c r="X1077" i="3" a="1"/>
  <c r="X1077" i="3" s="1"/>
  <c r="W1077" i="3" a="1"/>
  <c r="W1077" i="3" s="1"/>
  <c r="V1077" i="3" a="1"/>
  <c r="V1077" i="3" s="1"/>
  <c r="Y1076" i="3" a="1"/>
  <c r="Y1076" i="3" s="1"/>
  <c r="X1076" i="3" a="1"/>
  <c r="X1076" i="3" s="1"/>
  <c r="W1076" i="3" a="1"/>
  <c r="W1076" i="3" s="1"/>
  <c r="V1076" i="3" a="1"/>
  <c r="V1076" i="3" s="1"/>
  <c r="Y1075" i="3" a="1"/>
  <c r="Y1075" i="3" s="1"/>
  <c r="X1075" i="3" a="1"/>
  <c r="X1075" i="3" s="1"/>
  <c r="W1075" i="3" a="1"/>
  <c r="W1075" i="3" s="1"/>
  <c r="V1075" i="3" a="1"/>
  <c r="V1075" i="3" s="1"/>
  <c r="Y1074" i="3" a="1"/>
  <c r="Y1074" i="3" s="1"/>
  <c r="X1074" i="3" a="1"/>
  <c r="X1074" i="3" s="1"/>
  <c r="W1074" i="3" a="1"/>
  <c r="W1074" i="3" s="1"/>
  <c r="V1074" i="3" a="1"/>
  <c r="V1074" i="3" s="1"/>
  <c r="Y1073" i="3" a="1"/>
  <c r="Y1073" i="3" s="1"/>
  <c r="X1073" i="3" a="1"/>
  <c r="X1073" i="3" s="1"/>
  <c r="W1073" i="3" a="1"/>
  <c r="W1073" i="3" s="1"/>
  <c r="V1073" i="3" a="1"/>
  <c r="V1073" i="3" s="1"/>
  <c r="Y1072" i="3" a="1"/>
  <c r="Y1072" i="3" s="1"/>
  <c r="X1072" i="3" a="1"/>
  <c r="X1072" i="3" s="1"/>
  <c r="W1072" i="3" a="1"/>
  <c r="W1072" i="3" s="1"/>
  <c r="V1072" i="3" a="1"/>
  <c r="V1072" i="3" s="1"/>
  <c r="Y1071" i="3" a="1"/>
  <c r="Y1071" i="3" s="1"/>
  <c r="X1071" i="3" a="1"/>
  <c r="X1071" i="3" s="1"/>
  <c r="W1071" i="3" a="1"/>
  <c r="W1071" i="3" s="1"/>
  <c r="V1071" i="3" a="1"/>
  <c r="V1071" i="3" s="1"/>
  <c r="Y1070" i="3" a="1"/>
  <c r="Y1070" i="3" s="1"/>
  <c r="X1070" i="3" a="1"/>
  <c r="X1070" i="3" s="1"/>
  <c r="W1070" i="3" a="1"/>
  <c r="W1070" i="3" s="1"/>
  <c r="V1070" i="3" a="1"/>
  <c r="V1070" i="3" s="1"/>
  <c r="Y1069" i="3" a="1"/>
  <c r="Y1069" i="3" s="1"/>
  <c r="X1069" i="3" a="1"/>
  <c r="X1069" i="3" s="1"/>
  <c r="W1069" i="3" a="1"/>
  <c r="W1069" i="3" s="1"/>
  <c r="V1069" i="3" a="1"/>
  <c r="V1069" i="3" s="1"/>
  <c r="Y1068" i="3" a="1"/>
  <c r="Y1068" i="3" s="1"/>
  <c r="X1068" i="3" a="1"/>
  <c r="X1068" i="3" s="1"/>
  <c r="W1068" i="3" a="1"/>
  <c r="W1068" i="3" s="1"/>
  <c r="V1068" i="3" a="1"/>
  <c r="V1068" i="3" s="1"/>
  <c r="Y1067" i="3" a="1"/>
  <c r="Y1067" i="3" s="1"/>
  <c r="X1067" i="3" a="1"/>
  <c r="X1067" i="3" s="1"/>
  <c r="W1067" i="3" a="1"/>
  <c r="W1067" i="3" s="1"/>
  <c r="V1067" i="3" a="1"/>
  <c r="V1067" i="3" s="1"/>
  <c r="Y1066" i="3" a="1"/>
  <c r="Y1066" i="3" s="1"/>
  <c r="X1066" i="3" a="1"/>
  <c r="X1066" i="3" s="1"/>
  <c r="W1066" i="3" a="1"/>
  <c r="W1066" i="3" s="1"/>
  <c r="V1066" i="3" a="1"/>
  <c r="V1066" i="3" s="1"/>
  <c r="Y1065" i="3" a="1"/>
  <c r="Y1065" i="3" s="1"/>
  <c r="X1065" i="3" a="1"/>
  <c r="X1065" i="3" s="1"/>
  <c r="W1065" i="3" a="1"/>
  <c r="W1065" i="3" s="1"/>
  <c r="V1065" i="3" a="1"/>
  <c r="V1065" i="3" s="1"/>
  <c r="Y1064" i="3" a="1"/>
  <c r="Y1064" i="3" s="1"/>
  <c r="X1064" i="3" a="1"/>
  <c r="X1064" i="3" s="1"/>
  <c r="W1064" i="3" a="1"/>
  <c r="W1064" i="3" s="1"/>
  <c r="V1064" i="3" a="1"/>
  <c r="V1064" i="3" s="1"/>
  <c r="Y1063" i="3" a="1"/>
  <c r="Y1063" i="3" s="1"/>
  <c r="X1063" i="3" a="1"/>
  <c r="X1063" i="3" s="1"/>
  <c r="W1063" i="3" a="1"/>
  <c r="W1063" i="3" s="1"/>
  <c r="V1063" i="3" a="1"/>
  <c r="V1063" i="3" s="1"/>
  <c r="Y1062" i="3" a="1"/>
  <c r="Y1062" i="3" s="1"/>
  <c r="X1062" i="3" a="1"/>
  <c r="X1062" i="3" s="1"/>
  <c r="W1062" i="3" a="1"/>
  <c r="W1062" i="3" s="1"/>
  <c r="V1062" i="3" a="1"/>
  <c r="V1062" i="3" s="1"/>
  <c r="Y1061" i="3" a="1"/>
  <c r="Y1061" i="3" s="1"/>
  <c r="X1061" i="3" a="1"/>
  <c r="X1061" i="3" s="1"/>
  <c r="W1061" i="3" a="1"/>
  <c r="W1061" i="3" s="1"/>
  <c r="V1061" i="3" a="1"/>
  <c r="V1061" i="3" s="1"/>
  <c r="Y1060" i="3" a="1"/>
  <c r="Y1060" i="3" s="1"/>
  <c r="X1060" i="3" a="1"/>
  <c r="X1060" i="3" s="1"/>
  <c r="W1060" i="3" a="1"/>
  <c r="W1060" i="3" s="1"/>
  <c r="V1060" i="3" a="1"/>
  <c r="V1060" i="3" s="1"/>
  <c r="Y1059" i="3" a="1"/>
  <c r="Y1059" i="3" s="1"/>
  <c r="X1059" i="3" a="1"/>
  <c r="X1059" i="3" s="1"/>
  <c r="W1059" i="3" a="1"/>
  <c r="W1059" i="3" s="1"/>
  <c r="V1059" i="3" a="1"/>
  <c r="V1059" i="3" s="1"/>
  <c r="Y1058" i="3" a="1"/>
  <c r="Y1058" i="3" s="1"/>
  <c r="X1058" i="3" a="1"/>
  <c r="X1058" i="3" s="1"/>
  <c r="W1058" i="3" a="1"/>
  <c r="W1058" i="3" s="1"/>
  <c r="V1058" i="3" a="1"/>
  <c r="V1058" i="3" s="1"/>
  <c r="Y1057" i="3" a="1"/>
  <c r="Y1057" i="3" s="1"/>
  <c r="X1057" i="3" a="1"/>
  <c r="X1057" i="3" s="1"/>
  <c r="W1057" i="3" a="1"/>
  <c r="W1057" i="3" s="1"/>
  <c r="V1057" i="3" a="1"/>
  <c r="V1057" i="3" s="1"/>
  <c r="Y1056" i="3" a="1"/>
  <c r="Y1056" i="3" s="1"/>
  <c r="X1056" i="3" a="1"/>
  <c r="X1056" i="3" s="1"/>
  <c r="W1056" i="3" a="1"/>
  <c r="W1056" i="3" s="1"/>
  <c r="V1056" i="3" a="1"/>
  <c r="V1056" i="3" s="1"/>
  <c r="Y1055" i="3" a="1"/>
  <c r="Y1055" i="3" s="1"/>
  <c r="X1055" i="3" a="1"/>
  <c r="X1055" i="3" s="1"/>
  <c r="W1055" i="3" a="1"/>
  <c r="W1055" i="3" s="1"/>
  <c r="V1055" i="3" a="1"/>
  <c r="V1055" i="3" s="1"/>
  <c r="Y1054" i="3" a="1"/>
  <c r="Y1054" i="3" s="1"/>
  <c r="X1054" i="3" a="1"/>
  <c r="X1054" i="3" s="1"/>
  <c r="W1054" i="3" a="1"/>
  <c r="W1054" i="3" s="1"/>
  <c r="V1054" i="3" a="1"/>
  <c r="V1054" i="3" s="1"/>
  <c r="Y1053" i="3" a="1"/>
  <c r="Y1053" i="3" s="1"/>
  <c r="X1053" i="3" a="1"/>
  <c r="X1053" i="3" s="1"/>
  <c r="W1053" i="3" a="1"/>
  <c r="W1053" i="3" s="1"/>
  <c r="V1053" i="3" a="1"/>
  <c r="V1053" i="3" s="1"/>
  <c r="Y1052" i="3" a="1"/>
  <c r="Y1052" i="3" s="1"/>
  <c r="X1052" i="3" a="1"/>
  <c r="X1052" i="3" s="1"/>
  <c r="W1052" i="3" a="1"/>
  <c r="W1052" i="3" s="1"/>
  <c r="V1052" i="3" a="1"/>
  <c r="V1052" i="3" s="1"/>
  <c r="Y1051" i="3" a="1"/>
  <c r="Y1051" i="3" s="1"/>
  <c r="X1051" i="3" a="1"/>
  <c r="X1051" i="3" s="1"/>
  <c r="W1051" i="3" a="1"/>
  <c r="W1051" i="3" s="1"/>
  <c r="V1051" i="3" a="1"/>
  <c r="V1051" i="3" s="1"/>
  <c r="Y1050" i="3" a="1"/>
  <c r="Y1050" i="3" s="1"/>
  <c r="X1050" i="3" a="1"/>
  <c r="X1050" i="3" s="1"/>
  <c r="W1050" i="3" a="1"/>
  <c r="W1050" i="3" s="1"/>
  <c r="V1050" i="3" a="1"/>
  <c r="V1050" i="3" s="1"/>
  <c r="Y1049" i="3" a="1"/>
  <c r="Y1049" i="3" s="1"/>
  <c r="X1049" i="3" a="1"/>
  <c r="X1049" i="3" s="1"/>
  <c r="W1049" i="3" a="1"/>
  <c r="W1049" i="3" s="1"/>
  <c r="V1049" i="3" a="1"/>
  <c r="V1049" i="3" s="1"/>
  <c r="Y1048" i="3" a="1"/>
  <c r="Y1048" i="3" s="1"/>
  <c r="X1048" i="3" a="1"/>
  <c r="X1048" i="3" s="1"/>
  <c r="W1048" i="3" a="1"/>
  <c r="W1048" i="3" s="1"/>
  <c r="V1048" i="3" a="1"/>
  <c r="V1048" i="3" s="1"/>
  <c r="Y1047" i="3" a="1"/>
  <c r="Y1047" i="3" s="1"/>
  <c r="X1047" i="3" a="1"/>
  <c r="X1047" i="3" s="1"/>
  <c r="W1047" i="3" a="1"/>
  <c r="W1047" i="3" s="1"/>
  <c r="V1047" i="3" a="1"/>
  <c r="V1047" i="3" s="1"/>
  <c r="Y1046" i="3" a="1"/>
  <c r="Y1046" i="3" s="1"/>
  <c r="X1046" i="3" a="1"/>
  <c r="X1046" i="3" s="1"/>
  <c r="W1046" i="3" a="1"/>
  <c r="W1046" i="3" s="1"/>
  <c r="V1046" i="3" a="1"/>
  <c r="V1046" i="3" s="1"/>
  <c r="Y1045" i="3" a="1"/>
  <c r="Y1045" i="3" s="1"/>
  <c r="X1045" i="3" a="1"/>
  <c r="X1045" i="3" s="1"/>
  <c r="W1045" i="3" a="1"/>
  <c r="W1045" i="3" s="1"/>
  <c r="V1045" i="3" a="1"/>
  <c r="V1045" i="3" s="1"/>
  <c r="Y1044" i="3" a="1"/>
  <c r="Y1044" i="3" s="1"/>
  <c r="X1044" i="3" a="1"/>
  <c r="X1044" i="3" s="1"/>
  <c r="W1044" i="3" a="1"/>
  <c r="W1044" i="3" s="1"/>
  <c r="V1044" i="3" a="1"/>
  <c r="V1044" i="3" s="1"/>
  <c r="Y1043" i="3" a="1"/>
  <c r="Y1043" i="3" s="1"/>
  <c r="X1043" i="3" a="1"/>
  <c r="X1043" i="3" s="1"/>
  <c r="W1043" i="3" a="1"/>
  <c r="W1043" i="3" s="1"/>
  <c r="V1043" i="3" a="1"/>
  <c r="V1043" i="3" s="1"/>
  <c r="Y1042" i="3" a="1"/>
  <c r="Y1042" i="3" s="1"/>
  <c r="X1042" i="3" a="1"/>
  <c r="X1042" i="3" s="1"/>
  <c r="W1042" i="3" a="1"/>
  <c r="W1042" i="3" s="1"/>
  <c r="V1042" i="3" a="1"/>
  <c r="V1042" i="3" s="1"/>
  <c r="Y1041" i="3" a="1"/>
  <c r="Y1041" i="3" s="1"/>
  <c r="X1041" i="3" a="1"/>
  <c r="X1041" i="3" s="1"/>
  <c r="W1041" i="3" a="1"/>
  <c r="W1041" i="3" s="1"/>
  <c r="V1041" i="3" a="1"/>
  <c r="V1041" i="3" s="1"/>
  <c r="Y1040" i="3" a="1"/>
  <c r="Y1040" i="3" s="1"/>
  <c r="X1040" i="3" a="1"/>
  <c r="X1040" i="3" s="1"/>
  <c r="W1040" i="3" a="1"/>
  <c r="W1040" i="3" s="1"/>
  <c r="V1040" i="3" a="1"/>
  <c r="V1040" i="3" s="1"/>
  <c r="Y1039" i="3" a="1"/>
  <c r="Y1039" i="3" s="1"/>
  <c r="X1039" i="3" a="1"/>
  <c r="X1039" i="3" s="1"/>
  <c r="W1039" i="3" a="1"/>
  <c r="W1039" i="3" s="1"/>
  <c r="V1039" i="3" a="1"/>
  <c r="V1039" i="3" s="1"/>
  <c r="Y1038" i="3" a="1"/>
  <c r="Y1038" i="3" s="1"/>
  <c r="X1038" i="3" a="1"/>
  <c r="X1038" i="3" s="1"/>
  <c r="W1038" i="3" a="1"/>
  <c r="W1038" i="3" s="1"/>
  <c r="V1038" i="3" a="1"/>
  <c r="V1038" i="3" s="1"/>
  <c r="Y1037" i="3" a="1"/>
  <c r="Y1037" i="3" s="1"/>
  <c r="X1037" i="3" a="1"/>
  <c r="X1037" i="3" s="1"/>
  <c r="W1037" i="3" a="1"/>
  <c r="W1037" i="3" s="1"/>
  <c r="V1037" i="3" a="1"/>
  <c r="V1037" i="3" s="1"/>
  <c r="Y1036" i="3" a="1"/>
  <c r="Y1036" i="3" s="1"/>
  <c r="X1036" i="3" a="1"/>
  <c r="X1036" i="3" s="1"/>
  <c r="W1036" i="3" a="1"/>
  <c r="W1036" i="3" s="1"/>
  <c r="V1036" i="3" a="1"/>
  <c r="V1036" i="3" s="1"/>
  <c r="Y1035" i="3" a="1"/>
  <c r="Y1035" i="3" s="1"/>
  <c r="X1035" i="3" a="1"/>
  <c r="X1035" i="3" s="1"/>
  <c r="W1035" i="3" a="1"/>
  <c r="W1035" i="3" s="1"/>
  <c r="V1035" i="3" a="1"/>
  <c r="V1035" i="3" s="1"/>
  <c r="Y1034" i="3" a="1"/>
  <c r="Y1034" i="3" s="1"/>
  <c r="X1034" i="3" a="1"/>
  <c r="X1034" i="3" s="1"/>
  <c r="W1034" i="3" a="1"/>
  <c r="W1034" i="3" s="1"/>
  <c r="V1034" i="3" a="1"/>
  <c r="V1034" i="3" s="1"/>
  <c r="Y1033" i="3" a="1"/>
  <c r="Y1033" i="3" s="1"/>
  <c r="X1033" i="3" a="1"/>
  <c r="X1033" i="3" s="1"/>
  <c r="W1033" i="3" a="1"/>
  <c r="W1033" i="3" s="1"/>
  <c r="V1033" i="3" a="1"/>
  <c r="V1033" i="3" s="1"/>
  <c r="Y1032" i="3" a="1"/>
  <c r="Y1032" i="3" s="1"/>
  <c r="X1032" i="3" a="1"/>
  <c r="X1032" i="3" s="1"/>
  <c r="W1032" i="3" a="1"/>
  <c r="W1032" i="3" s="1"/>
  <c r="V1032" i="3" a="1"/>
  <c r="V1032" i="3" s="1"/>
  <c r="Y1031" i="3" a="1"/>
  <c r="Y1031" i="3" s="1"/>
  <c r="X1031" i="3" a="1"/>
  <c r="X1031" i="3" s="1"/>
  <c r="W1031" i="3" a="1"/>
  <c r="W1031" i="3" s="1"/>
  <c r="V1031" i="3" a="1"/>
  <c r="V1031" i="3" s="1"/>
  <c r="Y1030" i="3" a="1"/>
  <c r="Y1030" i="3" s="1"/>
  <c r="X1030" i="3" a="1"/>
  <c r="X1030" i="3" s="1"/>
  <c r="W1030" i="3" a="1"/>
  <c r="W1030" i="3" s="1"/>
  <c r="V1030" i="3" a="1"/>
  <c r="V1030" i="3" s="1"/>
  <c r="Y1029" i="3" a="1"/>
  <c r="Y1029" i="3" s="1"/>
  <c r="X1029" i="3" a="1"/>
  <c r="X1029" i="3" s="1"/>
  <c r="W1029" i="3" a="1"/>
  <c r="W1029" i="3" s="1"/>
  <c r="V1029" i="3" a="1"/>
  <c r="V1029" i="3" s="1"/>
  <c r="Y1028" i="3" a="1"/>
  <c r="Y1028" i="3" s="1"/>
  <c r="X1028" i="3" a="1"/>
  <c r="X1028" i="3" s="1"/>
  <c r="W1028" i="3" a="1"/>
  <c r="W1028" i="3" s="1"/>
  <c r="V1028" i="3" a="1"/>
  <c r="V1028" i="3" s="1"/>
  <c r="Y1027" i="3" a="1"/>
  <c r="Y1027" i="3" s="1"/>
  <c r="X1027" i="3" a="1"/>
  <c r="X1027" i="3" s="1"/>
  <c r="W1027" i="3" a="1"/>
  <c r="W1027" i="3" s="1"/>
  <c r="V1027" i="3" a="1"/>
  <c r="V1027" i="3" s="1"/>
  <c r="Y1026" i="3" a="1"/>
  <c r="Y1026" i="3" s="1"/>
  <c r="X1026" i="3" a="1"/>
  <c r="X1026" i="3" s="1"/>
  <c r="W1026" i="3" a="1"/>
  <c r="W1026" i="3" s="1"/>
  <c r="V1026" i="3" a="1"/>
  <c r="V1026" i="3" s="1"/>
  <c r="Y1025" i="3" a="1"/>
  <c r="Y1025" i="3" s="1"/>
  <c r="X1025" i="3" a="1"/>
  <c r="X1025" i="3" s="1"/>
  <c r="W1025" i="3" a="1"/>
  <c r="W1025" i="3" s="1"/>
  <c r="V1025" i="3" a="1"/>
  <c r="V1025" i="3" s="1"/>
  <c r="Y1024" i="3" a="1"/>
  <c r="Y1024" i="3" s="1"/>
  <c r="X1024" i="3" a="1"/>
  <c r="X1024" i="3" s="1"/>
  <c r="W1024" i="3" a="1"/>
  <c r="W1024" i="3" s="1"/>
  <c r="V1024" i="3" a="1"/>
  <c r="V1024" i="3" s="1"/>
  <c r="Y1023" i="3" a="1"/>
  <c r="Y1023" i="3" s="1"/>
  <c r="X1023" i="3" a="1"/>
  <c r="X1023" i="3" s="1"/>
  <c r="W1023" i="3" a="1"/>
  <c r="W1023" i="3" s="1"/>
  <c r="V1023" i="3" a="1"/>
  <c r="V1023" i="3" s="1"/>
  <c r="Y1022" i="3" a="1"/>
  <c r="Y1022" i="3" s="1"/>
  <c r="X1022" i="3" a="1"/>
  <c r="X1022" i="3" s="1"/>
  <c r="W1022" i="3" a="1"/>
  <c r="W1022" i="3" s="1"/>
  <c r="V1022" i="3" a="1"/>
  <c r="V1022" i="3" s="1"/>
  <c r="Y1021" i="3" a="1"/>
  <c r="Y1021" i="3" s="1"/>
  <c r="X1021" i="3" a="1"/>
  <c r="X1021" i="3" s="1"/>
  <c r="W1021" i="3" a="1"/>
  <c r="W1021" i="3" s="1"/>
  <c r="V1021" i="3" a="1"/>
  <c r="V1021" i="3" s="1"/>
  <c r="Y1020" i="3" a="1"/>
  <c r="Y1020" i="3" s="1"/>
  <c r="X1020" i="3" a="1"/>
  <c r="X1020" i="3" s="1"/>
  <c r="W1020" i="3" a="1"/>
  <c r="W1020" i="3" s="1"/>
  <c r="V1020" i="3" a="1"/>
  <c r="V1020" i="3" s="1"/>
  <c r="Y1019" i="3" a="1"/>
  <c r="Y1019" i="3" s="1"/>
  <c r="X1019" i="3" a="1"/>
  <c r="X1019" i="3" s="1"/>
  <c r="W1019" i="3" a="1"/>
  <c r="W1019" i="3" s="1"/>
  <c r="V1019" i="3" a="1"/>
  <c r="V1019" i="3" s="1"/>
  <c r="Y1018" i="3" a="1"/>
  <c r="Y1018" i="3" s="1"/>
  <c r="X1018" i="3" a="1"/>
  <c r="X1018" i="3" s="1"/>
  <c r="W1018" i="3" a="1"/>
  <c r="W1018" i="3" s="1"/>
  <c r="V1018" i="3" a="1"/>
  <c r="V1018" i="3" s="1"/>
  <c r="Y1017" i="3" a="1"/>
  <c r="Y1017" i="3" s="1"/>
  <c r="X1017" i="3" a="1"/>
  <c r="X1017" i="3" s="1"/>
  <c r="W1017" i="3" a="1"/>
  <c r="W1017" i="3" s="1"/>
  <c r="V1017" i="3" a="1"/>
  <c r="V1017" i="3" s="1"/>
  <c r="Y1016" i="3" a="1"/>
  <c r="Y1016" i="3" s="1"/>
  <c r="X1016" i="3" a="1"/>
  <c r="X1016" i="3" s="1"/>
  <c r="W1016" i="3" a="1"/>
  <c r="W1016" i="3" s="1"/>
  <c r="V1016" i="3" a="1"/>
  <c r="V1016" i="3" s="1"/>
  <c r="Y1015" i="3" a="1"/>
  <c r="Y1015" i="3" s="1"/>
  <c r="X1015" i="3" a="1"/>
  <c r="X1015" i="3" s="1"/>
  <c r="W1015" i="3" a="1"/>
  <c r="W1015" i="3" s="1"/>
  <c r="V1015" i="3" a="1"/>
  <c r="V1015" i="3" s="1"/>
  <c r="Y1014" i="3" a="1"/>
  <c r="Y1014" i="3" s="1"/>
  <c r="X1014" i="3" a="1"/>
  <c r="X1014" i="3" s="1"/>
  <c r="W1014" i="3" a="1"/>
  <c r="W1014" i="3" s="1"/>
  <c r="V1014" i="3" a="1"/>
  <c r="V1014" i="3" s="1"/>
  <c r="Y1013" i="3" a="1"/>
  <c r="Y1013" i="3" s="1"/>
  <c r="X1013" i="3" a="1"/>
  <c r="X1013" i="3" s="1"/>
  <c r="W1013" i="3" a="1"/>
  <c r="W1013" i="3" s="1"/>
  <c r="V1013" i="3" a="1"/>
  <c r="V1013" i="3" s="1"/>
  <c r="Y1012" i="3" a="1"/>
  <c r="Y1012" i="3" s="1"/>
  <c r="X1012" i="3" a="1"/>
  <c r="X1012" i="3" s="1"/>
  <c r="W1012" i="3" a="1"/>
  <c r="W1012" i="3" s="1"/>
  <c r="V1012" i="3" a="1"/>
  <c r="V1012" i="3" s="1"/>
  <c r="Y1011" i="3" a="1"/>
  <c r="Y1011" i="3" s="1"/>
  <c r="X1011" i="3" a="1"/>
  <c r="X1011" i="3" s="1"/>
  <c r="W1011" i="3" a="1"/>
  <c r="W1011" i="3" s="1"/>
  <c r="V1011" i="3" a="1"/>
  <c r="V1011" i="3" s="1"/>
  <c r="Y1010" i="3" a="1"/>
  <c r="Y1010" i="3" s="1"/>
  <c r="X1010" i="3" a="1"/>
  <c r="X1010" i="3" s="1"/>
  <c r="W1010" i="3" a="1"/>
  <c r="W1010" i="3" s="1"/>
  <c r="V1010" i="3" a="1"/>
  <c r="V1010" i="3" s="1"/>
  <c r="Y1009" i="3" a="1"/>
  <c r="Y1009" i="3" s="1"/>
  <c r="X1009" i="3" a="1"/>
  <c r="X1009" i="3" s="1"/>
  <c r="W1009" i="3" a="1"/>
  <c r="W1009" i="3" s="1"/>
  <c r="V1009" i="3" a="1"/>
  <c r="V1009" i="3" s="1"/>
  <c r="Y1008" i="3" a="1"/>
  <c r="Y1008" i="3" s="1"/>
  <c r="X1008" i="3" a="1"/>
  <c r="X1008" i="3" s="1"/>
  <c r="W1008" i="3" a="1"/>
  <c r="W1008" i="3" s="1"/>
  <c r="V1008" i="3" a="1"/>
  <c r="V1008" i="3" s="1"/>
  <c r="Y1007" i="3" a="1"/>
  <c r="Y1007" i="3" s="1"/>
  <c r="X1007" i="3" a="1"/>
  <c r="X1007" i="3" s="1"/>
  <c r="W1007" i="3" a="1"/>
  <c r="W1007" i="3" s="1"/>
  <c r="V1007" i="3" a="1"/>
  <c r="V1007" i="3" s="1"/>
  <c r="Y1006" i="3" a="1"/>
  <c r="Y1006" i="3" s="1"/>
  <c r="X1006" i="3" a="1"/>
  <c r="X1006" i="3" s="1"/>
  <c r="W1006" i="3" a="1"/>
  <c r="W1006" i="3" s="1"/>
  <c r="V1006" i="3" a="1"/>
  <c r="V1006" i="3" s="1"/>
  <c r="Y1005" i="3" a="1"/>
  <c r="Y1005" i="3" s="1"/>
  <c r="X1005" i="3" a="1"/>
  <c r="X1005" i="3" s="1"/>
  <c r="W1005" i="3" a="1"/>
  <c r="W1005" i="3" s="1"/>
  <c r="V1005" i="3" a="1"/>
  <c r="V1005" i="3" s="1"/>
  <c r="Y1004" i="3" a="1"/>
  <c r="Y1004" i="3" s="1"/>
  <c r="X1004" i="3" a="1"/>
  <c r="X1004" i="3" s="1"/>
  <c r="W1004" i="3" a="1"/>
  <c r="W1004" i="3" s="1"/>
  <c r="V1004" i="3" a="1"/>
  <c r="V1004" i="3" s="1"/>
  <c r="Y1003" i="3" a="1"/>
  <c r="Y1003" i="3" s="1"/>
  <c r="X1003" i="3" a="1"/>
  <c r="X1003" i="3" s="1"/>
  <c r="W1003" i="3" a="1"/>
  <c r="W1003" i="3" s="1"/>
  <c r="V1003" i="3" a="1"/>
  <c r="V1003" i="3" s="1"/>
  <c r="Y1002" i="3" a="1"/>
  <c r="Y1002" i="3" s="1"/>
  <c r="X1002" i="3" a="1"/>
  <c r="X1002" i="3" s="1"/>
  <c r="W1002" i="3" a="1"/>
  <c r="W1002" i="3" s="1"/>
  <c r="V1002" i="3" a="1"/>
  <c r="V1002" i="3" s="1"/>
  <c r="Y1001" i="3" a="1"/>
  <c r="Y1001" i="3" s="1"/>
  <c r="X1001" i="3" a="1"/>
  <c r="X1001" i="3" s="1"/>
  <c r="W1001" i="3" a="1"/>
  <c r="W1001" i="3" s="1"/>
  <c r="V1001" i="3" a="1"/>
  <c r="V1001" i="3" s="1"/>
  <c r="Y1000" i="3" a="1"/>
  <c r="Y1000" i="3" s="1"/>
  <c r="X1000" i="3" a="1"/>
  <c r="X1000" i="3" s="1"/>
  <c r="W1000" i="3" a="1"/>
  <c r="W1000" i="3" s="1"/>
  <c r="V1000" i="3" a="1"/>
  <c r="V1000" i="3" s="1"/>
  <c r="Y999" i="3" a="1"/>
  <c r="Y999" i="3" s="1"/>
  <c r="X999" i="3" a="1"/>
  <c r="X999" i="3" s="1"/>
  <c r="W999" i="3" a="1"/>
  <c r="W999" i="3" s="1"/>
  <c r="V999" i="3" a="1"/>
  <c r="V999" i="3" s="1"/>
  <c r="Y998" i="3" a="1"/>
  <c r="Y998" i="3" s="1"/>
  <c r="X998" i="3" a="1"/>
  <c r="X998" i="3" s="1"/>
  <c r="W998" i="3" a="1"/>
  <c r="W998" i="3" s="1"/>
  <c r="V998" i="3" a="1"/>
  <c r="V998" i="3" s="1"/>
  <c r="Y997" i="3" a="1"/>
  <c r="Y997" i="3" s="1"/>
  <c r="X997" i="3" a="1"/>
  <c r="X997" i="3" s="1"/>
  <c r="W997" i="3" a="1"/>
  <c r="W997" i="3" s="1"/>
  <c r="V997" i="3" a="1"/>
  <c r="V997" i="3" s="1"/>
  <c r="Y996" i="3" a="1"/>
  <c r="Y996" i="3" s="1"/>
  <c r="X996" i="3" a="1"/>
  <c r="X996" i="3" s="1"/>
  <c r="W996" i="3" a="1"/>
  <c r="W996" i="3" s="1"/>
  <c r="V996" i="3" a="1"/>
  <c r="V996" i="3" s="1"/>
  <c r="Y995" i="3" a="1"/>
  <c r="Y995" i="3" s="1"/>
  <c r="X995" i="3" a="1"/>
  <c r="X995" i="3" s="1"/>
  <c r="W995" i="3" a="1"/>
  <c r="W995" i="3" s="1"/>
  <c r="V995" i="3" a="1"/>
  <c r="V995" i="3" s="1"/>
  <c r="Y994" i="3" a="1"/>
  <c r="Y994" i="3" s="1"/>
  <c r="X994" i="3" a="1"/>
  <c r="X994" i="3" s="1"/>
  <c r="W994" i="3" a="1"/>
  <c r="W994" i="3" s="1"/>
  <c r="V994" i="3" a="1"/>
  <c r="V994" i="3" s="1"/>
  <c r="Y993" i="3" a="1"/>
  <c r="Y993" i="3" s="1"/>
  <c r="X993" i="3" a="1"/>
  <c r="X993" i="3" s="1"/>
  <c r="W993" i="3" a="1"/>
  <c r="W993" i="3" s="1"/>
  <c r="V993" i="3" a="1"/>
  <c r="V993" i="3" s="1"/>
  <c r="Y992" i="3" a="1"/>
  <c r="Y992" i="3" s="1"/>
  <c r="X992" i="3" a="1"/>
  <c r="X992" i="3" s="1"/>
  <c r="W992" i="3" a="1"/>
  <c r="W992" i="3" s="1"/>
  <c r="V992" i="3" a="1"/>
  <c r="V992" i="3" s="1"/>
  <c r="Y991" i="3" a="1"/>
  <c r="Y991" i="3" s="1"/>
  <c r="X991" i="3" a="1"/>
  <c r="X991" i="3" s="1"/>
  <c r="W991" i="3" a="1"/>
  <c r="W991" i="3" s="1"/>
  <c r="V991" i="3" a="1"/>
  <c r="V991" i="3" s="1"/>
  <c r="Y990" i="3" a="1"/>
  <c r="Y990" i="3" s="1"/>
  <c r="X990" i="3" a="1"/>
  <c r="X990" i="3" s="1"/>
  <c r="W990" i="3" a="1"/>
  <c r="W990" i="3" s="1"/>
  <c r="V990" i="3" a="1"/>
  <c r="V990" i="3" s="1"/>
  <c r="Y989" i="3" a="1"/>
  <c r="Y989" i="3" s="1"/>
  <c r="X989" i="3" a="1"/>
  <c r="X989" i="3" s="1"/>
  <c r="W989" i="3" a="1"/>
  <c r="W989" i="3" s="1"/>
  <c r="V989" i="3" a="1"/>
  <c r="V989" i="3" s="1"/>
  <c r="Y988" i="3" a="1"/>
  <c r="Y988" i="3" s="1"/>
  <c r="X988" i="3" a="1"/>
  <c r="X988" i="3" s="1"/>
  <c r="W988" i="3" a="1"/>
  <c r="W988" i="3" s="1"/>
  <c r="V988" i="3" a="1"/>
  <c r="V988" i="3" s="1"/>
  <c r="Y987" i="3" a="1"/>
  <c r="Y987" i="3" s="1"/>
  <c r="X987" i="3" a="1"/>
  <c r="X987" i="3" s="1"/>
  <c r="W987" i="3" a="1"/>
  <c r="W987" i="3" s="1"/>
  <c r="V987" i="3" a="1"/>
  <c r="V987" i="3" s="1"/>
  <c r="Y986" i="3" a="1"/>
  <c r="Y986" i="3" s="1"/>
  <c r="X986" i="3" a="1"/>
  <c r="X986" i="3" s="1"/>
  <c r="W986" i="3" a="1"/>
  <c r="W986" i="3" s="1"/>
  <c r="V986" i="3" a="1"/>
  <c r="V986" i="3" s="1"/>
  <c r="Y985" i="3" a="1"/>
  <c r="Y985" i="3" s="1"/>
  <c r="X985" i="3" a="1"/>
  <c r="X985" i="3" s="1"/>
  <c r="W985" i="3" a="1"/>
  <c r="W985" i="3" s="1"/>
  <c r="V985" i="3" a="1"/>
  <c r="V985" i="3" s="1"/>
  <c r="Y984" i="3" a="1"/>
  <c r="Y984" i="3" s="1"/>
  <c r="X984" i="3" a="1"/>
  <c r="X984" i="3" s="1"/>
  <c r="W984" i="3" a="1"/>
  <c r="W984" i="3" s="1"/>
  <c r="V984" i="3" a="1"/>
  <c r="V984" i="3" s="1"/>
  <c r="Y983" i="3" a="1"/>
  <c r="Y983" i="3" s="1"/>
  <c r="X983" i="3" a="1"/>
  <c r="X983" i="3" s="1"/>
  <c r="W983" i="3" a="1"/>
  <c r="W983" i="3" s="1"/>
  <c r="V983" i="3" a="1"/>
  <c r="V983" i="3" s="1"/>
  <c r="Y982" i="3" a="1"/>
  <c r="Y982" i="3" s="1"/>
  <c r="X982" i="3" a="1"/>
  <c r="X982" i="3" s="1"/>
  <c r="W982" i="3" a="1"/>
  <c r="W982" i="3" s="1"/>
  <c r="V982" i="3" a="1"/>
  <c r="V982" i="3" s="1"/>
  <c r="Y981" i="3" a="1"/>
  <c r="Y981" i="3" s="1"/>
  <c r="X981" i="3" a="1"/>
  <c r="X981" i="3" s="1"/>
  <c r="W981" i="3" a="1"/>
  <c r="W981" i="3" s="1"/>
  <c r="V981" i="3" a="1"/>
  <c r="V981" i="3" s="1"/>
  <c r="Y980" i="3" a="1"/>
  <c r="Y980" i="3" s="1"/>
  <c r="X980" i="3" a="1"/>
  <c r="X980" i="3" s="1"/>
  <c r="W980" i="3" a="1"/>
  <c r="W980" i="3" s="1"/>
  <c r="V980" i="3" a="1"/>
  <c r="V980" i="3" s="1"/>
  <c r="Y979" i="3" a="1"/>
  <c r="Y979" i="3" s="1"/>
  <c r="X979" i="3" a="1"/>
  <c r="X979" i="3" s="1"/>
  <c r="W979" i="3" a="1"/>
  <c r="W979" i="3" s="1"/>
  <c r="V979" i="3" a="1"/>
  <c r="V979" i="3" s="1"/>
  <c r="Y978" i="3" a="1"/>
  <c r="Y978" i="3" s="1"/>
  <c r="X978" i="3" a="1"/>
  <c r="X978" i="3" s="1"/>
  <c r="W978" i="3" a="1"/>
  <c r="W978" i="3" s="1"/>
  <c r="V978" i="3" a="1"/>
  <c r="V978" i="3" s="1"/>
  <c r="Y977" i="3" a="1"/>
  <c r="Y977" i="3" s="1"/>
  <c r="X977" i="3" a="1"/>
  <c r="X977" i="3" s="1"/>
  <c r="W977" i="3" a="1"/>
  <c r="W977" i="3" s="1"/>
  <c r="V977" i="3" a="1"/>
  <c r="V977" i="3" s="1"/>
  <c r="Y976" i="3" a="1"/>
  <c r="Y976" i="3" s="1"/>
  <c r="X976" i="3" a="1"/>
  <c r="X976" i="3" s="1"/>
  <c r="W976" i="3" a="1"/>
  <c r="W976" i="3" s="1"/>
  <c r="V976" i="3" a="1"/>
  <c r="V976" i="3" s="1"/>
  <c r="Y975" i="3" a="1"/>
  <c r="Y975" i="3" s="1"/>
  <c r="X975" i="3" a="1"/>
  <c r="X975" i="3" s="1"/>
  <c r="W975" i="3" a="1"/>
  <c r="W975" i="3" s="1"/>
  <c r="V975" i="3" a="1"/>
  <c r="V975" i="3" s="1"/>
  <c r="Y974" i="3" a="1"/>
  <c r="Y974" i="3" s="1"/>
  <c r="X974" i="3" a="1"/>
  <c r="X974" i="3" s="1"/>
  <c r="W974" i="3" a="1"/>
  <c r="W974" i="3" s="1"/>
  <c r="V974" i="3" a="1"/>
  <c r="V974" i="3" s="1"/>
  <c r="Y973" i="3" a="1"/>
  <c r="Y973" i="3" s="1"/>
  <c r="X973" i="3" a="1"/>
  <c r="X973" i="3" s="1"/>
  <c r="W973" i="3" a="1"/>
  <c r="W973" i="3" s="1"/>
  <c r="V973" i="3" a="1"/>
  <c r="V973" i="3" s="1"/>
  <c r="Y972" i="3" a="1"/>
  <c r="Y972" i="3" s="1"/>
  <c r="X972" i="3" a="1"/>
  <c r="X972" i="3" s="1"/>
  <c r="W972" i="3" a="1"/>
  <c r="W972" i="3" s="1"/>
  <c r="V972" i="3" a="1"/>
  <c r="V972" i="3" s="1"/>
  <c r="Y971" i="3" a="1"/>
  <c r="Y971" i="3" s="1"/>
  <c r="X971" i="3" a="1"/>
  <c r="X971" i="3" s="1"/>
  <c r="W971" i="3" a="1"/>
  <c r="W971" i="3" s="1"/>
  <c r="V971" i="3" a="1"/>
  <c r="V971" i="3" s="1"/>
  <c r="Y970" i="3" a="1"/>
  <c r="Y970" i="3" s="1"/>
  <c r="X970" i="3" a="1"/>
  <c r="X970" i="3" s="1"/>
  <c r="W970" i="3" a="1"/>
  <c r="W970" i="3" s="1"/>
  <c r="V970" i="3" a="1"/>
  <c r="V970" i="3" s="1"/>
  <c r="Y969" i="3" a="1"/>
  <c r="Y969" i="3" s="1"/>
  <c r="X969" i="3" a="1"/>
  <c r="X969" i="3" s="1"/>
  <c r="W969" i="3" a="1"/>
  <c r="W969" i="3" s="1"/>
  <c r="V969" i="3" a="1"/>
  <c r="V969" i="3" s="1"/>
  <c r="Y968" i="3" a="1"/>
  <c r="Y968" i="3" s="1"/>
  <c r="X968" i="3" a="1"/>
  <c r="X968" i="3" s="1"/>
  <c r="W968" i="3" a="1"/>
  <c r="W968" i="3" s="1"/>
  <c r="V968" i="3" a="1"/>
  <c r="V968" i="3" s="1"/>
  <c r="Y967" i="3" a="1"/>
  <c r="Y967" i="3" s="1"/>
  <c r="X967" i="3" a="1"/>
  <c r="X967" i="3" s="1"/>
  <c r="W967" i="3" a="1"/>
  <c r="W967" i="3" s="1"/>
  <c r="V967" i="3" a="1"/>
  <c r="V967" i="3" s="1"/>
  <c r="Y966" i="3" a="1"/>
  <c r="Y966" i="3" s="1"/>
  <c r="X966" i="3" a="1"/>
  <c r="X966" i="3" s="1"/>
  <c r="W966" i="3" a="1"/>
  <c r="W966" i="3" s="1"/>
  <c r="V966" i="3" a="1"/>
  <c r="V966" i="3" s="1"/>
  <c r="Y965" i="3" a="1"/>
  <c r="Y965" i="3" s="1"/>
  <c r="X965" i="3" a="1"/>
  <c r="X965" i="3" s="1"/>
  <c r="W965" i="3" a="1"/>
  <c r="W965" i="3" s="1"/>
  <c r="V965" i="3" a="1"/>
  <c r="V965" i="3" s="1"/>
  <c r="Y964" i="3" a="1"/>
  <c r="Y964" i="3" s="1"/>
  <c r="X964" i="3" a="1"/>
  <c r="X964" i="3" s="1"/>
  <c r="W964" i="3" a="1"/>
  <c r="W964" i="3" s="1"/>
  <c r="V964" i="3" a="1"/>
  <c r="V964" i="3" s="1"/>
  <c r="Y963" i="3" a="1"/>
  <c r="Y963" i="3" s="1"/>
  <c r="X963" i="3" a="1"/>
  <c r="X963" i="3" s="1"/>
  <c r="W963" i="3" a="1"/>
  <c r="W963" i="3" s="1"/>
  <c r="V963" i="3" a="1"/>
  <c r="V963" i="3" s="1"/>
  <c r="Y962" i="3" a="1"/>
  <c r="Y962" i="3" s="1"/>
  <c r="X962" i="3" a="1"/>
  <c r="X962" i="3" s="1"/>
  <c r="W962" i="3" a="1"/>
  <c r="W962" i="3" s="1"/>
  <c r="V962" i="3" a="1"/>
  <c r="V962" i="3" s="1"/>
  <c r="Y961" i="3" a="1"/>
  <c r="Y961" i="3" s="1"/>
  <c r="X961" i="3" a="1"/>
  <c r="X961" i="3" s="1"/>
  <c r="W961" i="3" a="1"/>
  <c r="W961" i="3" s="1"/>
  <c r="V961" i="3" a="1"/>
  <c r="V961" i="3" s="1"/>
  <c r="Y960" i="3" a="1"/>
  <c r="Y960" i="3" s="1"/>
  <c r="X960" i="3" a="1"/>
  <c r="X960" i="3" s="1"/>
  <c r="W960" i="3" a="1"/>
  <c r="W960" i="3" s="1"/>
  <c r="V960" i="3" a="1"/>
  <c r="V960" i="3" s="1"/>
  <c r="Y959" i="3" a="1"/>
  <c r="Y959" i="3" s="1"/>
  <c r="X959" i="3" a="1"/>
  <c r="X959" i="3" s="1"/>
  <c r="W959" i="3" a="1"/>
  <c r="W959" i="3" s="1"/>
  <c r="V959" i="3" a="1"/>
  <c r="V959" i="3" s="1"/>
  <c r="Y958" i="3" a="1"/>
  <c r="Y958" i="3" s="1"/>
  <c r="X958" i="3" a="1"/>
  <c r="X958" i="3" s="1"/>
  <c r="W958" i="3" a="1"/>
  <c r="W958" i="3" s="1"/>
  <c r="V958" i="3" a="1"/>
  <c r="V958" i="3" s="1"/>
  <c r="Y957" i="3" a="1"/>
  <c r="Y957" i="3" s="1"/>
  <c r="X957" i="3" a="1"/>
  <c r="X957" i="3" s="1"/>
  <c r="W957" i="3" a="1"/>
  <c r="W957" i="3" s="1"/>
  <c r="V957" i="3" a="1"/>
  <c r="V957" i="3" s="1"/>
  <c r="Y956" i="3" a="1"/>
  <c r="Y956" i="3" s="1"/>
  <c r="X956" i="3" a="1"/>
  <c r="X956" i="3" s="1"/>
  <c r="W956" i="3" a="1"/>
  <c r="W956" i="3" s="1"/>
  <c r="V956" i="3" a="1"/>
  <c r="V956" i="3" s="1"/>
  <c r="Y955" i="3" a="1"/>
  <c r="Y955" i="3" s="1"/>
  <c r="X955" i="3" a="1"/>
  <c r="X955" i="3" s="1"/>
  <c r="W955" i="3" a="1"/>
  <c r="W955" i="3" s="1"/>
  <c r="V955" i="3" a="1"/>
  <c r="V955" i="3" s="1"/>
  <c r="Y954" i="3" a="1"/>
  <c r="Y954" i="3" s="1"/>
  <c r="X954" i="3" a="1"/>
  <c r="X954" i="3" s="1"/>
  <c r="W954" i="3" a="1"/>
  <c r="W954" i="3" s="1"/>
  <c r="V954" i="3" a="1"/>
  <c r="V954" i="3" s="1"/>
  <c r="Y953" i="3" a="1"/>
  <c r="Y953" i="3" s="1"/>
  <c r="X953" i="3" a="1"/>
  <c r="X953" i="3" s="1"/>
  <c r="W953" i="3" a="1"/>
  <c r="W953" i="3" s="1"/>
  <c r="V953" i="3" a="1"/>
  <c r="V953" i="3" s="1"/>
  <c r="Y952" i="3" a="1"/>
  <c r="Y952" i="3" s="1"/>
  <c r="X952" i="3" a="1"/>
  <c r="X952" i="3" s="1"/>
  <c r="W952" i="3" a="1"/>
  <c r="W952" i="3" s="1"/>
  <c r="V952" i="3" a="1"/>
  <c r="V952" i="3" s="1"/>
  <c r="Y951" i="3" a="1"/>
  <c r="Y951" i="3" s="1"/>
  <c r="X951" i="3" a="1"/>
  <c r="X951" i="3" s="1"/>
  <c r="W951" i="3" a="1"/>
  <c r="W951" i="3" s="1"/>
  <c r="V951" i="3" a="1"/>
  <c r="V951" i="3" s="1"/>
  <c r="Y950" i="3" a="1"/>
  <c r="Y950" i="3" s="1"/>
  <c r="X950" i="3" a="1"/>
  <c r="X950" i="3" s="1"/>
  <c r="W950" i="3" a="1"/>
  <c r="W950" i="3" s="1"/>
  <c r="V950" i="3" a="1"/>
  <c r="V950" i="3" s="1"/>
  <c r="Y949" i="3" a="1"/>
  <c r="Y949" i="3" s="1"/>
  <c r="X949" i="3" a="1"/>
  <c r="X949" i="3" s="1"/>
  <c r="W949" i="3" a="1"/>
  <c r="W949" i="3" s="1"/>
  <c r="V949" i="3" a="1"/>
  <c r="V949" i="3" s="1"/>
  <c r="Y948" i="3" a="1"/>
  <c r="Y948" i="3" s="1"/>
  <c r="X948" i="3" a="1"/>
  <c r="X948" i="3" s="1"/>
  <c r="W948" i="3" a="1"/>
  <c r="W948" i="3" s="1"/>
  <c r="V948" i="3" a="1"/>
  <c r="V948" i="3" s="1"/>
  <c r="Y947" i="3" a="1"/>
  <c r="Y947" i="3" s="1"/>
  <c r="X947" i="3" a="1"/>
  <c r="X947" i="3" s="1"/>
  <c r="W947" i="3" a="1"/>
  <c r="W947" i="3" s="1"/>
  <c r="V947" i="3" a="1"/>
  <c r="V947" i="3" s="1"/>
  <c r="Y946" i="3" a="1"/>
  <c r="Y946" i="3" s="1"/>
  <c r="X946" i="3" a="1"/>
  <c r="X946" i="3" s="1"/>
  <c r="W946" i="3" a="1"/>
  <c r="W946" i="3" s="1"/>
  <c r="V946" i="3" a="1"/>
  <c r="V946" i="3" s="1"/>
  <c r="Y945" i="3" a="1"/>
  <c r="Y945" i="3" s="1"/>
  <c r="X945" i="3" a="1"/>
  <c r="X945" i="3" s="1"/>
  <c r="W945" i="3" a="1"/>
  <c r="W945" i="3" s="1"/>
  <c r="V945" i="3" a="1"/>
  <c r="V945" i="3" s="1"/>
  <c r="Y944" i="3" a="1"/>
  <c r="Y944" i="3" s="1"/>
  <c r="X944" i="3" a="1"/>
  <c r="X944" i="3" s="1"/>
  <c r="W944" i="3" a="1"/>
  <c r="W944" i="3" s="1"/>
  <c r="V944" i="3" a="1"/>
  <c r="V944" i="3" s="1"/>
  <c r="Y943" i="3" a="1"/>
  <c r="Y943" i="3" s="1"/>
  <c r="X943" i="3" a="1"/>
  <c r="X943" i="3" s="1"/>
  <c r="W943" i="3" a="1"/>
  <c r="W943" i="3" s="1"/>
  <c r="V943" i="3" a="1"/>
  <c r="V943" i="3" s="1"/>
  <c r="Y942" i="3" a="1"/>
  <c r="Y942" i="3" s="1"/>
  <c r="X942" i="3" a="1"/>
  <c r="X942" i="3" s="1"/>
  <c r="W942" i="3" a="1"/>
  <c r="W942" i="3" s="1"/>
  <c r="V942" i="3" a="1"/>
  <c r="V942" i="3" s="1"/>
  <c r="Y941" i="3" a="1"/>
  <c r="Y941" i="3" s="1"/>
  <c r="X941" i="3" a="1"/>
  <c r="X941" i="3" s="1"/>
  <c r="W941" i="3" a="1"/>
  <c r="W941" i="3" s="1"/>
  <c r="V941" i="3" a="1"/>
  <c r="V941" i="3" s="1"/>
  <c r="Y940" i="3" a="1"/>
  <c r="Y940" i="3" s="1"/>
  <c r="X940" i="3" a="1"/>
  <c r="X940" i="3" s="1"/>
  <c r="W940" i="3" a="1"/>
  <c r="W940" i="3" s="1"/>
  <c r="V940" i="3" a="1"/>
  <c r="V940" i="3" s="1"/>
  <c r="Y939" i="3" a="1"/>
  <c r="Y939" i="3" s="1"/>
  <c r="X939" i="3" a="1"/>
  <c r="X939" i="3" s="1"/>
  <c r="W939" i="3" a="1"/>
  <c r="W939" i="3" s="1"/>
  <c r="V939" i="3" a="1"/>
  <c r="V939" i="3" s="1"/>
  <c r="Y938" i="3" a="1"/>
  <c r="Y938" i="3" s="1"/>
  <c r="X938" i="3" a="1"/>
  <c r="X938" i="3" s="1"/>
  <c r="W938" i="3" a="1"/>
  <c r="W938" i="3" s="1"/>
  <c r="V938" i="3" a="1"/>
  <c r="V938" i="3" s="1"/>
  <c r="Y937" i="3" a="1"/>
  <c r="Y937" i="3" s="1"/>
  <c r="X937" i="3" a="1"/>
  <c r="X937" i="3" s="1"/>
  <c r="W937" i="3" a="1"/>
  <c r="W937" i="3" s="1"/>
  <c r="V937" i="3" a="1"/>
  <c r="V937" i="3" s="1"/>
  <c r="Y936" i="3" a="1"/>
  <c r="Y936" i="3" s="1"/>
  <c r="X936" i="3" a="1"/>
  <c r="X936" i="3" s="1"/>
  <c r="W936" i="3" a="1"/>
  <c r="W936" i="3" s="1"/>
  <c r="V936" i="3" a="1"/>
  <c r="V936" i="3" s="1"/>
  <c r="Y935" i="3" a="1"/>
  <c r="Y935" i="3" s="1"/>
  <c r="X935" i="3" a="1"/>
  <c r="X935" i="3" s="1"/>
  <c r="W935" i="3" a="1"/>
  <c r="W935" i="3" s="1"/>
  <c r="V935" i="3" a="1"/>
  <c r="V935" i="3" s="1"/>
  <c r="Y934" i="3" a="1"/>
  <c r="Y934" i="3" s="1"/>
  <c r="X934" i="3" a="1"/>
  <c r="X934" i="3" s="1"/>
  <c r="W934" i="3" a="1"/>
  <c r="W934" i="3" s="1"/>
  <c r="V934" i="3" a="1"/>
  <c r="V934" i="3" s="1"/>
  <c r="Y933" i="3" a="1"/>
  <c r="Y933" i="3" s="1"/>
  <c r="X933" i="3" a="1"/>
  <c r="X933" i="3" s="1"/>
  <c r="W933" i="3" a="1"/>
  <c r="W933" i="3" s="1"/>
  <c r="V933" i="3" a="1"/>
  <c r="V933" i="3" s="1"/>
  <c r="Y932" i="3" a="1"/>
  <c r="Y932" i="3" s="1"/>
  <c r="X932" i="3" a="1"/>
  <c r="X932" i="3" s="1"/>
  <c r="W932" i="3" a="1"/>
  <c r="W932" i="3" s="1"/>
  <c r="V932" i="3" a="1"/>
  <c r="V932" i="3" s="1"/>
  <c r="Y931" i="3" a="1"/>
  <c r="Y931" i="3" s="1"/>
  <c r="X931" i="3" a="1"/>
  <c r="X931" i="3" s="1"/>
  <c r="W931" i="3" a="1"/>
  <c r="W931" i="3" s="1"/>
  <c r="V931" i="3" a="1"/>
  <c r="V931" i="3" s="1"/>
  <c r="Y930" i="3" a="1"/>
  <c r="Y930" i="3" s="1"/>
  <c r="X930" i="3" a="1"/>
  <c r="X930" i="3" s="1"/>
  <c r="W930" i="3" a="1"/>
  <c r="W930" i="3" s="1"/>
  <c r="V930" i="3" a="1"/>
  <c r="V930" i="3" s="1"/>
  <c r="Y929" i="3" a="1"/>
  <c r="Y929" i="3" s="1"/>
  <c r="X929" i="3" a="1"/>
  <c r="X929" i="3" s="1"/>
  <c r="W929" i="3" a="1"/>
  <c r="W929" i="3" s="1"/>
  <c r="V929" i="3" a="1"/>
  <c r="V929" i="3" s="1"/>
  <c r="Y928" i="3" a="1"/>
  <c r="Y928" i="3" s="1"/>
  <c r="X928" i="3" a="1"/>
  <c r="X928" i="3" s="1"/>
  <c r="W928" i="3" a="1"/>
  <c r="W928" i="3" s="1"/>
  <c r="V928" i="3" a="1"/>
  <c r="V928" i="3" s="1"/>
  <c r="Y927" i="3" a="1"/>
  <c r="Y927" i="3" s="1"/>
  <c r="X927" i="3" a="1"/>
  <c r="X927" i="3" s="1"/>
  <c r="W927" i="3" a="1"/>
  <c r="W927" i="3" s="1"/>
  <c r="V927" i="3" a="1"/>
  <c r="V927" i="3" s="1"/>
  <c r="Y926" i="3" a="1"/>
  <c r="Y926" i="3" s="1"/>
  <c r="X926" i="3" a="1"/>
  <c r="X926" i="3" s="1"/>
  <c r="W926" i="3" a="1"/>
  <c r="W926" i="3" s="1"/>
  <c r="V926" i="3" a="1"/>
  <c r="V926" i="3" s="1"/>
  <c r="Y925" i="3" a="1"/>
  <c r="Y925" i="3" s="1"/>
  <c r="X925" i="3" a="1"/>
  <c r="X925" i="3" s="1"/>
  <c r="W925" i="3" a="1"/>
  <c r="W925" i="3" s="1"/>
  <c r="V925" i="3" a="1"/>
  <c r="V925" i="3" s="1"/>
  <c r="Y924" i="3" a="1"/>
  <c r="Y924" i="3" s="1"/>
  <c r="X924" i="3" a="1"/>
  <c r="X924" i="3" s="1"/>
  <c r="W924" i="3" a="1"/>
  <c r="W924" i="3" s="1"/>
  <c r="V924" i="3" a="1"/>
  <c r="V924" i="3" s="1"/>
  <c r="Y923" i="3" a="1"/>
  <c r="Y923" i="3" s="1"/>
  <c r="X923" i="3" a="1"/>
  <c r="X923" i="3" s="1"/>
  <c r="W923" i="3" a="1"/>
  <c r="W923" i="3" s="1"/>
  <c r="V923" i="3" a="1"/>
  <c r="V923" i="3" s="1"/>
  <c r="Y922" i="3" a="1"/>
  <c r="Y922" i="3" s="1"/>
  <c r="X922" i="3" a="1"/>
  <c r="X922" i="3" s="1"/>
  <c r="W922" i="3" a="1"/>
  <c r="W922" i="3" s="1"/>
  <c r="V922" i="3" a="1"/>
  <c r="V922" i="3" s="1"/>
  <c r="Y921" i="3" a="1"/>
  <c r="Y921" i="3" s="1"/>
  <c r="X921" i="3" a="1"/>
  <c r="X921" i="3" s="1"/>
  <c r="W921" i="3" a="1"/>
  <c r="W921" i="3" s="1"/>
  <c r="V921" i="3" a="1"/>
  <c r="V921" i="3" s="1"/>
  <c r="Y920" i="3" a="1"/>
  <c r="Y920" i="3" s="1"/>
  <c r="X920" i="3" a="1"/>
  <c r="X920" i="3" s="1"/>
  <c r="W920" i="3" a="1"/>
  <c r="W920" i="3" s="1"/>
  <c r="V920" i="3" a="1"/>
  <c r="V920" i="3" s="1"/>
  <c r="Y919" i="3" a="1"/>
  <c r="Y919" i="3" s="1"/>
  <c r="X919" i="3" a="1"/>
  <c r="X919" i="3" s="1"/>
  <c r="W919" i="3" a="1"/>
  <c r="W919" i="3" s="1"/>
  <c r="V919" i="3" a="1"/>
  <c r="V919" i="3" s="1"/>
  <c r="Y918" i="3" a="1"/>
  <c r="Y918" i="3" s="1"/>
  <c r="X918" i="3" a="1"/>
  <c r="X918" i="3" s="1"/>
  <c r="W918" i="3" a="1"/>
  <c r="W918" i="3" s="1"/>
  <c r="V918" i="3" a="1"/>
  <c r="V918" i="3" s="1"/>
  <c r="Y917" i="3" a="1"/>
  <c r="Y917" i="3" s="1"/>
  <c r="X917" i="3" a="1"/>
  <c r="X917" i="3" s="1"/>
  <c r="W917" i="3" a="1"/>
  <c r="W917" i="3" s="1"/>
  <c r="V917" i="3" a="1"/>
  <c r="V917" i="3" s="1"/>
  <c r="Y916" i="3" a="1"/>
  <c r="Y916" i="3" s="1"/>
  <c r="X916" i="3" a="1"/>
  <c r="X916" i="3" s="1"/>
  <c r="W916" i="3" a="1"/>
  <c r="W916" i="3" s="1"/>
  <c r="V916" i="3" a="1"/>
  <c r="V916" i="3" s="1"/>
  <c r="Y915" i="3" a="1"/>
  <c r="Y915" i="3" s="1"/>
  <c r="X915" i="3" a="1"/>
  <c r="X915" i="3" s="1"/>
  <c r="W915" i="3" a="1"/>
  <c r="W915" i="3" s="1"/>
  <c r="V915" i="3" a="1"/>
  <c r="V915" i="3" s="1"/>
  <c r="Y914" i="3" a="1"/>
  <c r="Y914" i="3" s="1"/>
  <c r="X914" i="3" a="1"/>
  <c r="X914" i="3" s="1"/>
  <c r="W914" i="3" a="1"/>
  <c r="W914" i="3" s="1"/>
  <c r="V914" i="3" a="1"/>
  <c r="V914" i="3" s="1"/>
  <c r="Y913" i="3" a="1"/>
  <c r="Y913" i="3" s="1"/>
  <c r="X913" i="3" a="1"/>
  <c r="X913" i="3" s="1"/>
  <c r="W913" i="3" a="1"/>
  <c r="W913" i="3" s="1"/>
  <c r="V913" i="3" a="1"/>
  <c r="V913" i="3" s="1"/>
  <c r="Y912" i="3" a="1"/>
  <c r="Y912" i="3" s="1"/>
  <c r="X912" i="3" a="1"/>
  <c r="X912" i="3" s="1"/>
  <c r="W912" i="3" a="1"/>
  <c r="W912" i="3" s="1"/>
  <c r="V912" i="3" a="1"/>
  <c r="V912" i="3" s="1"/>
  <c r="Y911" i="3" a="1"/>
  <c r="Y911" i="3" s="1"/>
  <c r="X911" i="3" a="1"/>
  <c r="X911" i="3" s="1"/>
  <c r="W911" i="3" a="1"/>
  <c r="W911" i="3" s="1"/>
  <c r="V911" i="3" a="1"/>
  <c r="V911" i="3" s="1"/>
  <c r="Y910" i="3" a="1"/>
  <c r="Y910" i="3" s="1"/>
  <c r="X910" i="3" a="1"/>
  <c r="X910" i="3" s="1"/>
  <c r="W910" i="3" a="1"/>
  <c r="W910" i="3" s="1"/>
  <c r="V910" i="3" a="1"/>
  <c r="V910" i="3" s="1"/>
  <c r="Y909" i="3" a="1"/>
  <c r="Y909" i="3" s="1"/>
  <c r="X909" i="3" a="1"/>
  <c r="X909" i="3" s="1"/>
  <c r="W909" i="3" a="1"/>
  <c r="W909" i="3" s="1"/>
  <c r="V909" i="3" a="1"/>
  <c r="V909" i="3" s="1"/>
  <c r="Y908" i="3" a="1"/>
  <c r="Y908" i="3" s="1"/>
  <c r="X908" i="3" a="1"/>
  <c r="X908" i="3" s="1"/>
  <c r="W908" i="3" a="1"/>
  <c r="W908" i="3" s="1"/>
  <c r="V908" i="3" a="1"/>
  <c r="V908" i="3" s="1"/>
  <c r="Y907" i="3" a="1"/>
  <c r="Y907" i="3" s="1"/>
  <c r="X907" i="3" a="1"/>
  <c r="X907" i="3" s="1"/>
  <c r="W907" i="3" a="1"/>
  <c r="W907" i="3" s="1"/>
  <c r="V907" i="3" a="1"/>
  <c r="V907" i="3" s="1"/>
  <c r="Y906" i="3" a="1"/>
  <c r="Y906" i="3" s="1"/>
  <c r="X906" i="3" a="1"/>
  <c r="X906" i="3" s="1"/>
  <c r="W906" i="3" a="1"/>
  <c r="W906" i="3" s="1"/>
  <c r="V906" i="3" a="1"/>
  <c r="V906" i="3" s="1"/>
  <c r="Y905" i="3" a="1"/>
  <c r="Y905" i="3" s="1"/>
  <c r="X905" i="3" a="1"/>
  <c r="X905" i="3" s="1"/>
  <c r="W905" i="3" a="1"/>
  <c r="W905" i="3" s="1"/>
  <c r="V905" i="3" a="1"/>
  <c r="V905" i="3" s="1"/>
  <c r="Y904" i="3" a="1"/>
  <c r="Y904" i="3" s="1"/>
  <c r="X904" i="3" a="1"/>
  <c r="X904" i="3" s="1"/>
  <c r="W904" i="3" a="1"/>
  <c r="W904" i="3" s="1"/>
  <c r="V904" i="3" a="1"/>
  <c r="V904" i="3" s="1"/>
  <c r="Y903" i="3" a="1"/>
  <c r="Y903" i="3" s="1"/>
  <c r="X903" i="3" a="1"/>
  <c r="X903" i="3" s="1"/>
  <c r="W903" i="3" a="1"/>
  <c r="W903" i="3" s="1"/>
  <c r="V903" i="3" a="1"/>
  <c r="V903" i="3" s="1"/>
  <c r="Y902" i="3" a="1"/>
  <c r="Y902" i="3" s="1"/>
  <c r="X902" i="3" a="1"/>
  <c r="X902" i="3" s="1"/>
  <c r="W902" i="3" a="1"/>
  <c r="W902" i="3" s="1"/>
  <c r="V902" i="3" a="1"/>
  <c r="V902" i="3" s="1"/>
  <c r="Y901" i="3" a="1"/>
  <c r="Y901" i="3" s="1"/>
  <c r="X901" i="3" a="1"/>
  <c r="X901" i="3" s="1"/>
  <c r="W901" i="3" a="1"/>
  <c r="W901" i="3" s="1"/>
  <c r="V901" i="3" a="1"/>
  <c r="V901" i="3" s="1"/>
  <c r="Y900" i="3" a="1"/>
  <c r="Y900" i="3" s="1"/>
  <c r="X900" i="3" a="1"/>
  <c r="X900" i="3" s="1"/>
  <c r="W900" i="3" a="1"/>
  <c r="W900" i="3" s="1"/>
  <c r="V900" i="3" a="1"/>
  <c r="V900" i="3" s="1"/>
  <c r="Y899" i="3" a="1"/>
  <c r="Y899" i="3" s="1"/>
  <c r="X899" i="3" a="1"/>
  <c r="X899" i="3" s="1"/>
  <c r="W899" i="3" a="1"/>
  <c r="W899" i="3" s="1"/>
  <c r="V899" i="3" a="1"/>
  <c r="V899" i="3" s="1"/>
  <c r="Y898" i="3" a="1"/>
  <c r="Y898" i="3" s="1"/>
  <c r="X898" i="3" a="1"/>
  <c r="X898" i="3" s="1"/>
  <c r="W898" i="3" a="1"/>
  <c r="W898" i="3" s="1"/>
  <c r="V898" i="3" a="1"/>
  <c r="V898" i="3" s="1"/>
  <c r="Y897" i="3" a="1"/>
  <c r="Y897" i="3" s="1"/>
  <c r="X897" i="3" a="1"/>
  <c r="X897" i="3" s="1"/>
  <c r="W897" i="3" a="1"/>
  <c r="W897" i="3" s="1"/>
  <c r="V897" i="3" a="1"/>
  <c r="V897" i="3" s="1"/>
  <c r="Y896" i="3" a="1"/>
  <c r="Y896" i="3" s="1"/>
  <c r="X896" i="3" a="1"/>
  <c r="X896" i="3" s="1"/>
  <c r="W896" i="3" a="1"/>
  <c r="W896" i="3" s="1"/>
  <c r="V896" i="3" a="1"/>
  <c r="V896" i="3" s="1"/>
  <c r="Y895" i="3" a="1"/>
  <c r="Y895" i="3" s="1"/>
  <c r="X895" i="3" a="1"/>
  <c r="X895" i="3" s="1"/>
  <c r="W895" i="3" a="1"/>
  <c r="W895" i="3" s="1"/>
  <c r="V895" i="3" a="1"/>
  <c r="V895" i="3" s="1"/>
  <c r="Y894" i="3" a="1"/>
  <c r="Y894" i="3" s="1"/>
  <c r="X894" i="3" a="1"/>
  <c r="X894" i="3" s="1"/>
  <c r="W894" i="3" a="1"/>
  <c r="W894" i="3" s="1"/>
  <c r="V894" i="3" a="1"/>
  <c r="V894" i="3" s="1"/>
  <c r="Y893" i="3" a="1"/>
  <c r="Y893" i="3" s="1"/>
  <c r="X893" i="3" a="1"/>
  <c r="X893" i="3" s="1"/>
  <c r="W893" i="3" a="1"/>
  <c r="W893" i="3" s="1"/>
  <c r="V893" i="3" a="1"/>
  <c r="V893" i="3" s="1"/>
  <c r="Y892" i="3" a="1"/>
  <c r="Y892" i="3" s="1"/>
  <c r="X892" i="3" a="1"/>
  <c r="X892" i="3" s="1"/>
  <c r="W892" i="3" a="1"/>
  <c r="W892" i="3" s="1"/>
  <c r="V892" i="3" a="1"/>
  <c r="V892" i="3" s="1"/>
  <c r="Y891" i="3" a="1"/>
  <c r="Y891" i="3" s="1"/>
  <c r="X891" i="3" a="1"/>
  <c r="X891" i="3" s="1"/>
  <c r="W891" i="3" a="1"/>
  <c r="W891" i="3" s="1"/>
  <c r="V891" i="3" a="1"/>
  <c r="V891" i="3" s="1"/>
  <c r="Y890" i="3" a="1"/>
  <c r="Y890" i="3" s="1"/>
  <c r="X890" i="3" a="1"/>
  <c r="X890" i="3" s="1"/>
  <c r="W890" i="3" a="1"/>
  <c r="W890" i="3" s="1"/>
  <c r="V890" i="3" a="1"/>
  <c r="V890" i="3" s="1"/>
  <c r="Y889" i="3" a="1"/>
  <c r="Y889" i="3" s="1"/>
  <c r="X889" i="3" a="1"/>
  <c r="X889" i="3" s="1"/>
  <c r="W889" i="3" a="1"/>
  <c r="W889" i="3" s="1"/>
  <c r="V889" i="3" a="1"/>
  <c r="V889" i="3" s="1"/>
  <c r="Y888" i="3" a="1"/>
  <c r="Y888" i="3" s="1"/>
  <c r="X888" i="3" a="1"/>
  <c r="X888" i="3" s="1"/>
  <c r="W888" i="3" a="1"/>
  <c r="W888" i="3" s="1"/>
  <c r="V888" i="3" a="1"/>
  <c r="V888" i="3" s="1"/>
  <c r="Y887" i="3" a="1"/>
  <c r="Y887" i="3" s="1"/>
  <c r="X887" i="3" a="1"/>
  <c r="X887" i="3" s="1"/>
  <c r="W887" i="3" a="1"/>
  <c r="W887" i="3" s="1"/>
  <c r="V887" i="3" a="1"/>
  <c r="V887" i="3" s="1"/>
  <c r="Y886" i="3" a="1"/>
  <c r="Y886" i="3" s="1"/>
  <c r="X886" i="3" a="1"/>
  <c r="X886" i="3" s="1"/>
  <c r="W886" i="3" a="1"/>
  <c r="W886" i="3" s="1"/>
  <c r="V886" i="3" a="1"/>
  <c r="V886" i="3" s="1"/>
  <c r="Y885" i="3" a="1"/>
  <c r="Y885" i="3" s="1"/>
  <c r="X885" i="3" a="1"/>
  <c r="X885" i="3" s="1"/>
  <c r="W885" i="3" a="1"/>
  <c r="W885" i="3" s="1"/>
  <c r="V885" i="3" a="1"/>
  <c r="V885" i="3" s="1"/>
  <c r="Y884" i="3" a="1"/>
  <c r="Y884" i="3" s="1"/>
  <c r="X884" i="3" a="1"/>
  <c r="X884" i="3" s="1"/>
  <c r="W884" i="3" a="1"/>
  <c r="W884" i="3" s="1"/>
  <c r="V884" i="3" a="1"/>
  <c r="V884" i="3" s="1"/>
  <c r="Y883" i="3" a="1"/>
  <c r="Y883" i="3" s="1"/>
  <c r="X883" i="3" a="1"/>
  <c r="X883" i="3" s="1"/>
  <c r="W883" i="3" a="1"/>
  <c r="W883" i="3" s="1"/>
  <c r="V883" i="3" a="1"/>
  <c r="V883" i="3" s="1"/>
  <c r="Y882" i="3" a="1"/>
  <c r="Y882" i="3" s="1"/>
  <c r="X882" i="3" a="1"/>
  <c r="X882" i="3" s="1"/>
  <c r="W882" i="3" a="1"/>
  <c r="W882" i="3" s="1"/>
  <c r="V882" i="3" a="1"/>
  <c r="V882" i="3" s="1"/>
  <c r="Y881" i="3" a="1"/>
  <c r="Y881" i="3" s="1"/>
  <c r="X881" i="3" a="1"/>
  <c r="X881" i="3" s="1"/>
  <c r="W881" i="3" a="1"/>
  <c r="W881" i="3" s="1"/>
  <c r="V881" i="3" a="1"/>
  <c r="V881" i="3" s="1"/>
  <c r="Y880" i="3" a="1"/>
  <c r="Y880" i="3" s="1"/>
  <c r="X880" i="3" a="1"/>
  <c r="X880" i="3" s="1"/>
  <c r="W880" i="3" a="1"/>
  <c r="W880" i="3" s="1"/>
  <c r="V880" i="3" a="1"/>
  <c r="V880" i="3" s="1"/>
  <c r="Y879" i="3" a="1"/>
  <c r="Y879" i="3" s="1"/>
  <c r="X879" i="3" a="1"/>
  <c r="X879" i="3" s="1"/>
  <c r="W879" i="3" a="1"/>
  <c r="W879" i="3" s="1"/>
  <c r="V879" i="3" a="1"/>
  <c r="V879" i="3" s="1"/>
  <c r="Y878" i="3" a="1"/>
  <c r="Y878" i="3" s="1"/>
  <c r="X878" i="3" a="1"/>
  <c r="X878" i="3" s="1"/>
  <c r="W878" i="3" a="1"/>
  <c r="W878" i="3" s="1"/>
  <c r="V878" i="3" a="1"/>
  <c r="V878" i="3" s="1"/>
  <c r="Y877" i="3" a="1"/>
  <c r="Y877" i="3" s="1"/>
  <c r="X877" i="3" a="1"/>
  <c r="X877" i="3" s="1"/>
  <c r="W877" i="3" a="1"/>
  <c r="W877" i="3" s="1"/>
  <c r="V877" i="3" a="1"/>
  <c r="V877" i="3" s="1"/>
  <c r="Y876" i="3" a="1"/>
  <c r="Y876" i="3" s="1"/>
  <c r="X876" i="3" a="1"/>
  <c r="X876" i="3" s="1"/>
  <c r="W876" i="3" a="1"/>
  <c r="W876" i="3" s="1"/>
  <c r="V876" i="3" a="1"/>
  <c r="V876" i="3" s="1"/>
  <c r="Y875" i="3" a="1"/>
  <c r="Y875" i="3" s="1"/>
  <c r="X875" i="3" a="1"/>
  <c r="X875" i="3" s="1"/>
  <c r="W875" i="3" a="1"/>
  <c r="W875" i="3" s="1"/>
  <c r="V875" i="3" a="1"/>
  <c r="V875" i="3" s="1"/>
  <c r="Y874" i="3" a="1"/>
  <c r="Y874" i="3" s="1"/>
  <c r="X874" i="3" a="1"/>
  <c r="X874" i="3" s="1"/>
  <c r="W874" i="3" a="1"/>
  <c r="W874" i="3" s="1"/>
  <c r="V874" i="3" a="1"/>
  <c r="V874" i="3" s="1"/>
  <c r="Y873" i="3" a="1"/>
  <c r="Y873" i="3" s="1"/>
  <c r="X873" i="3" a="1"/>
  <c r="X873" i="3" s="1"/>
  <c r="W873" i="3" a="1"/>
  <c r="W873" i="3" s="1"/>
  <c r="V873" i="3" a="1"/>
  <c r="V873" i="3" s="1"/>
  <c r="Y872" i="3" a="1"/>
  <c r="Y872" i="3" s="1"/>
  <c r="X872" i="3" a="1"/>
  <c r="X872" i="3" s="1"/>
  <c r="W872" i="3" a="1"/>
  <c r="W872" i="3" s="1"/>
  <c r="V872" i="3" a="1"/>
  <c r="V872" i="3" s="1"/>
  <c r="Y871" i="3" a="1"/>
  <c r="Y871" i="3" s="1"/>
  <c r="X871" i="3" a="1"/>
  <c r="X871" i="3" s="1"/>
  <c r="W871" i="3" a="1"/>
  <c r="W871" i="3" s="1"/>
  <c r="V871" i="3" a="1"/>
  <c r="V871" i="3" s="1"/>
  <c r="Y870" i="3" a="1"/>
  <c r="Y870" i="3" s="1"/>
  <c r="X870" i="3" a="1"/>
  <c r="X870" i="3" s="1"/>
  <c r="W870" i="3" a="1"/>
  <c r="W870" i="3" s="1"/>
  <c r="V870" i="3" a="1"/>
  <c r="V870" i="3" s="1"/>
  <c r="Y869" i="3" a="1"/>
  <c r="Y869" i="3" s="1"/>
  <c r="X869" i="3" a="1"/>
  <c r="X869" i="3" s="1"/>
  <c r="W869" i="3" a="1"/>
  <c r="W869" i="3" s="1"/>
  <c r="V869" i="3" a="1"/>
  <c r="V869" i="3" s="1"/>
  <c r="Y868" i="3" a="1"/>
  <c r="Y868" i="3" s="1"/>
  <c r="X868" i="3" a="1"/>
  <c r="X868" i="3" s="1"/>
  <c r="W868" i="3" a="1"/>
  <c r="W868" i="3" s="1"/>
  <c r="V868" i="3" a="1"/>
  <c r="V868" i="3" s="1"/>
  <c r="Y617" i="3" a="1"/>
  <c r="Y617" i="3" s="1"/>
  <c r="X617" i="3" a="1"/>
  <c r="X617" i="3" s="1"/>
  <c r="W617" i="3" a="1"/>
  <c r="W617" i="3" s="1"/>
  <c r="V617" i="3" a="1"/>
  <c r="V617" i="3" s="1"/>
  <c r="Y616" i="3" a="1"/>
  <c r="Y616" i="3" s="1"/>
  <c r="X616" i="3" a="1"/>
  <c r="X616" i="3" s="1"/>
  <c r="W616" i="3" a="1"/>
  <c r="W616" i="3" s="1"/>
  <c r="V616" i="3" a="1"/>
  <c r="V616" i="3" s="1"/>
  <c r="Y615" i="3" a="1"/>
  <c r="Y615" i="3" s="1"/>
  <c r="X615" i="3" a="1"/>
  <c r="X615" i="3" s="1"/>
  <c r="W615" i="3" a="1"/>
  <c r="W615" i="3" s="1"/>
  <c r="V615" i="3" a="1"/>
  <c r="V615" i="3" s="1"/>
  <c r="Y614" i="3" a="1"/>
  <c r="Y614" i="3" s="1"/>
  <c r="X614" i="3" a="1"/>
  <c r="X614" i="3" s="1"/>
  <c r="W614" i="3" a="1"/>
  <c r="W614" i="3" s="1"/>
  <c r="V614" i="3" a="1"/>
  <c r="V614" i="3" s="1"/>
  <c r="Y613" i="3" a="1"/>
  <c r="Y613" i="3" s="1"/>
  <c r="X613" i="3" a="1"/>
  <c r="X613" i="3" s="1"/>
  <c r="W613" i="3" a="1"/>
  <c r="W613" i="3" s="1"/>
  <c r="V613" i="3" a="1"/>
  <c r="V613" i="3" s="1"/>
  <c r="Y612" i="3" a="1"/>
  <c r="Y612" i="3" s="1"/>
  <c r="X612" i="3" a="1"/>
  <c r="X612" i="3" s="1"/>
  <c r="W612" i="3" a="1"/>
  <c r="W612" i="3" s="1"/>
  <c r="V612" i="3" a="1"/>
  <c r="V612" i="3" s="1"/>
  <c r="Y611" i="3" a="1"/>
  <c r="Y611" i="3" s="1"/>
  <c r="X611" i="3" a="1"/>
  <c r="X611" i="3" s="1"/>
  <c r="W611" i="3" a="1"/>
  <c r="W611" i="3" s="1"/>
  <c r="V611" i="3" a="1"/>
  <c r="V611" i="3" s="1"/>
  <c r="Y610" i="3" a="1"/>
  <c r="Y610" i="3" s="1"/>
  <c r="X610" i="3" a="1"/>
  <c r="X610" i="3" s="1"/>
  <c r="W610" i="3" a="1"/>
  <c r="W610" i="3" s="1"/>
  <c r="V610" i="3" a="1"/>
  <c r="V610" i="3" s="1"/>
  <c r="Y609" i="3" a="1"/>
  <c r="Y609" i="3" s="1"/>
  <c r="X609" i="3" a="1"/>
  <c r="X609" i="3" s="1"/>
  <c r="W609" i="3" a="1"/>
  <c r="W609" i="3" s="1"/>
  <c r="V609" i="3" a="1"/>
  <c r="V609" i="3" s="1"/>
  <c r="Y607" i="3" a="1"/>
  <c r="Y607" i="3" s="1"/>
  <c r="X607" i="3" a="1"/>
  <c r="X607" i="3" s="1"/>
  <c r="W607" i="3" a="1"/>
  <c r="W607" i="3" s="1"/>
  <c r="V607" i="3" a="1"/>
  <c r="V607" i="3" s="1"/>
  <c r="Y606" i="3" a="1"/>
  <c r="Y606" i="3" s="1"/>
  <c r="X606" i="3" a="1"/>
  <c r="X606" i="3" s="1"/>
  <c r="W606" i="3" a="1"/>
  <c r="W606" i="3" s="1"/>
  <c r="V606" i="3" a="1"/>
  <c r="V606" i="3" s="1"/>
  <c r="Y605" i="3" a="1"/>
  <c r="Y605" i="3" s="1"/>
  <c r="X605" i="3" a="1"/>
  <c r="X605" i="3" s="1"/>
  <c r="W605" i="3" a="1"/>
  <c r="W605" i="3" s="1"/>
  <c r="V605" i="3" a="1"/>
  <c r="V605" i="3" s="1"/>
  <c r="Y604" i="3" a="1"/>
  <c r="Y604" i="3" s="1"/>
  <c r="X604" i="3" a="1"/>
  <c r="X604" i="3" s="1"/>
  <c r="W604" i="3" a="1"/>
  <c r="W604" i="3" s="1"/>
  <c r="V604" i="3" a="1"/>
  <c r="V604" i="3" s="1"/>
  <c r="Y603" i="3" a="1"/>
  <c r="Y603" i="3" s="1"/>
  <c r="X603" i="3" a="1"/>
  <c r="X603" i="3" s="1"/>
  <c r="W603" i="3" a="1"/>
  <c r="W603" i="3" s="1"/>
  <c r="V603" i="3" a="1"/>
  <c r="V603" i="3" s="1"/>
  <c r="Y602" i="3" a="1"/>
  <c r="Y602" i="3" s="1"/>
  <c r="X602" i="3" a="1"/>
  <c r="X602" i="3" s="1"/>
  <c r="W602" i="3" a="1"/>
  <c r="W602" i="3" s="1"/>
  <c r="V602" i="3" a="1"/>
  <c r="V602" i="3" s="1"/>
  <c r="Y601" i="3" a="1"/>
  <c r="Y601" i="3" s="1"/>
  <c r="X601" i="3" a="1"/>
  <c r="X601" i="3" s="1"/>
  <c r="W601" i="3" a="1"/>
  <c r="W601" i="3" s="1"/>
  <c r="V601" i="3" a="1"/>
  <c r="V601" i="3" s="1"/>
  <c r="Y600" i="3" a="1"/>
  <c r="Y600" i="3" s="1"/>
  <c r="X600" i="3" a="1"/>
  <c r="X600" i="3" s="1"/>
  <c r="W600" i="3" a="1"/>
  <c r="W600" i="3" s="1"/>
  <c r="V600" i="3" a="1"/>
  <c r="V600" i="3" s="1"/>
  <c r="Y599" i="3" a="1"/>
  <c r="Y599" i="3" s="1"/>
  <c r="X599" i="3" a="1"/>
  <c r="X599" i="3" s="1"/>
  <c r="W599" i="3" a="1"/>
  <c r="W599" i="3" s="1"/>
  <c r="V599" i="3" a="1"/>
  <c r="V599" i="3" s="1"/>
  <c r="Y598" i="3" a="1"/>
  <c r="Y598" i="3" s="1"/>
  <c r="X598" i="3" a="1"/>
  <c r="X598" i="3" s="1"/>
  <c r="W598" i="3" a="1"/>
  <c r="W598" i="3" s="1"/>
  <c r="V598" i="3" a="1"/>
  <c r="V598" i="3" s="1"/>
  <c r="Y597" i="3" a="1"/>
  <c r="Y597" i="3" s="1"/>
  <c r="X597" i="3" a="1"/>
  <c r="X597" i="3" s="1"/>
  <c r="W597" i="3" a="1"/>
  <c r="W597" i="3" s="1"/>
  <c r="V597" i="3" a="1"/>
  <c r="V597" i="3" s="1"/>
  <c r="Y596" i="3" a="1"/>
  <c r="Y596" i="3" s="1"/>
  <c r="X596" i="3" a="1"/>
  <c r="X596" i="3" s="1"/>
  <c r="W596" i="3" a="1"/>
  <c r="W596" i="3" s="1"/>
  <c r="V596" i="3" a="1"/>
  <c r="V596" i="3" s="1"/>
  <c r="Y595" i="3" a="1"/>
  <c r="Y595" i="3" s="1"/>
  <c r="X595" i="3" a="1"/>
  <c r="X595" i="3" s="1"/>
  <c r="W595" i="3" a="1"/>
  <c r="W595" i="3" s="1"/>
  <c r="V595" i="3" a="1"/>
  <c r="V595" i="3" s="1"/>
  <c r="Y594" i="3" a="1"/>
  <c r="Y594" i="3" s="1"/>
  <c r="X594" i="3" a="1"/>
  <c r="X594" i="3" s="1"/>
  <c r="W594" i="3" a="1"/>
  <c r="W594" i="3" s="1"/>
  <c r="V594" i="3" a="1"/>
  <c r="V594" i="3" s="1"/>
  <c r="Y593" i="3" a="1"/>
  <c r="Y593" i="3" s="1"/>
  <c r="X593" i="3" a="1"/>
  <c r="X593" i="3" s="1"/>
  <c r="W593" i="3" a="1"/>
  <c r="W593" i="3" s="1"/>
  <c r="V593" i="3" a="1"/>
  <c r="V593" i="3" s="1"/>
  <c r="Y592" i="3" a="1"/>
  <c r="Y592" i="3" s="1"/>
  <c r="X592" i="3" a="1"/>
  <c r="X592" i="3" s="1"/>
  <c r="W592" i="3" a="1"/>
  <c r="W592" i="3" s="1"/>
  <c r="V592" i="3" a="1"/>
  <c r="V592" i="3" s="1"/>
  <c r="Y591" i="3" a="1"/>
  <c r="Y591" i="3" s="1"/>
  <c r="X591" i="3" a="1"/>
  <c r="X591" i="3" s="1"/>
  <c r="W591" i="3" a="1"/>
  <c r="W591" i="3" s="1"/>
  <c r="V591" i="3" a="1"/>
  <c r="V591" i="3" s="1"/>
  <c r="Y590" i="3" a="1"/>
  <c r="Y590" i="3" s="1"/>
  <c r="X590" i="3" a="1"/>
  <c r="X590" i="3" s="1"/>
  <c r="W590" i="3" a="1"/>
  <c r="W590" i="3" s="1"/>
  <c r="V590" i="3" a="1"/>
  <c r="V590" i="3" s="1"/>
  <c r="Y589" i="3" a="1"/>
  <c r="Y589" i="3" s="1"/>
  <c r="X589" i="3" a="1"/>
  <c r="X589" i="3" s="1"/>
  <c r="W589" i="3" a="1"/>
  <c r="W589" i="3" s="1"/>
  <c r="V589" i="3" a="1"/>
  <c r="V589" i="3" s="1"/>
  <c r="Y588" i="3" a="1"/>
  <c r="Y588" i="3" s="1"/>
  <c r="X588" i="3" a="1"/>
  <c r="X588" i="3" s="1"/>
  <c r="W588" i="3" a="1"/>
  <c r="W588" i="3" s="1"/>
  <c r="V588" i="3" a="1"/>
  <c r="V588" i="3" s="1"/>
  <c r="Y587" i="3" a="1"/>
  <c r="Y587" i="3" s="1"/>
  <c r="X587" i="3" a="1"/>
  <c r="X587" i="3" s="1"/>
  <c r="W587" i="3" a="1"/>
  <c r="W587" i="3" s="1"/>
  <c r="V587" i="3" a="1"/>
  <c r="V587" i="3" s="1"/>
  <c r="Y586" i="3" a="1"/>
  <c r="Y586" i="3" s="1"/>
  <c r="X586" i="3" a="1"/>
  <c r="X586" i="3" s="1"/>
  <c r="W586" i="3" a="1"/>
  <c r="W586" i="3" s="1"/>
  <c r="V586" i="3" a="1"/>
  <c r="V586" i="3" s="1"/>
  <c r="Y585" i="3" a="1"/>
  <c r="Y585" i="3" s="1"/>
  <c r="X585" i="3" a="1"/>
  <c r="X585" i="3" s="1"/>
  <c r="W585" i="3" a="1"/>
  <c r="W585" i="3" s="1"/>
  <c r="V585" i="3" a="1"/>
  <c r="V585" i="3" s="1"/>
  <c r="Y584" i="3" a="1"/>
  <c r="Y584" i="3" s="1"/>
  <c r="X584" i="3" a="1"/>
  <c r="X584" i="3" s="1"/>
  <c r="W584" i="3" a="1"/>
  <c r="W584" i="3" s="1"/>
  <c r="V584" i="3" a="1"/>
  <c r="V584" i="3" s="1"/>
  <c r="Y583" i="3" a="1"/>
  <c r="Y583" i="3" s="1"/>
  <c r="X583" i="3" a="1"/>
  <c r="X583" i="3" s="1"/>
  <c r="W583" i="3" a="1"/>
  <c r="W583" i="3" s="1"/>
  <c r="V583" i="3" a="1"/>
  <c r="V583" i="3" s="1"/>
  <c r="Y582" i="3" a="1"/>
  <c r="Y582" i="3" s="1"/>
  <c r="X582" i="3" a="1"/>
  <c r="X582" i="3" s="1"/>
  <c r="W582" i="3" a="1"/>
  <c r="W582" i="3" s="1"/>
  <c r="V582" i="3" a="1"/>
  <c r="V582" i="3" s="1"/>
  <c r="Y581" i="3" a="1"/>
  <c r="Y581" i="3" s="1"/>
  <c r="X581" i="3" a="1"/>
  <c r="X581" i="3" s="1"/>
  <c r="W581" i="3" a="1"/>
  <c r="W581" i="3" s="1"/>
  <c r="V581" i="3" a="1"/>
  <c r="V581" i="3" s="1"/>
  <c r="Y580" i="3" a="1"/>
  <c r="Y580" i="3" s="1"/>
  <c r="X580" i="3" a="1"/>
  <c r="X580" i="3" s="1"/>
  <c r="W580" i="3" a="1"/>
  <c r="W580" i="3" s="1"/>
  <c r="V580" i="3" a="1"/>
  <c r="V580" i="3" s="1"/>
  <c r="Y579" i="3" a="1"/>
  <c r="Y579" i="3" s="1"/>
  <c r="X579" i="3" a="1"/>
  <c r="X579" i="3" s="1"/>
  <c r="W579" i="3" a="1"/>
  <c r="W579" i="3" s="1"/>
  <c r="V579" i="3" a="1"/>
  <c r="V579" i="3" s="1"/>
  <c r="Y578" i="3" a="1"/>
  <c r="Y578" i="3" s="1"/>
  <c r="X578" i="3" a="1"/>
  <c r="X578" i="3" s="1"/>
  <c r="W578" i="3" a="1"/>
  <c r="W578" i="3" s="1"/>
  <c r="V578" i="3" a="1"/>
  <c r="V578" i="3" s="1"/>
  <c r="Y577" i="3" a="1"/>
  <c r="Y577" i="3" s="1"/>
  <c r="X577" i="3" a="1"/>
  <c r="X577" i="3" s="1"/>
  <c r="W577" i="3" a="1"/>
  <c r="W577" i="3" s="1"/>
  <c r="V577" i="3" a="1"/>
  <c r="V577" i="3" s="1"/>
  <c r="Y576" i="3" a="1"/>
  <c r="Y576" i="3" s="1"/>
  <c r="X576" i="3" a="1"/>
  <c r="X576" i="3" s="1"/>
  <c r="W576" i="3" a="1"/>
  <c r="W576" i="3" s="1"/>
  <c r="V576" i="3" a="1"/>
  <c r="V576" i="3" s="1"/>
  <c r="Y575" i="3" a="1"/>
  <c r="Y575" i="3" s="1"/>
  <c r="X575" i="3" a="1"/>
  <c r="X575" i="3" s="1"/>
  <c r="W575" i="3" a="1"/>
  <c r="W575" i="3" s="1"/>
  <c r="V575" i="3" a="1"/>
  <c r="V575" i="3" s="1"/>
  <c r="Y574" i="3" a="1"/>
  <c r="Y574" i="3" s="1"/>
  <c r="X574" i="3" a="1"/>
  <c r="X574" i="3" s="1"/>
  <c r="W574" i="3" a="1"/>
  <c r="W574" i="3" s="1"/>
  <c r="V574" i="3" a="1"/>
  <c r="V574" i="3" s="1"/>
  <c r="Y573" i="3" a="1"/>
  <c r="Y573" i="3" s="1"/>
  <c r="X573" i="3" a="1"/>
  <c r="X573" i="3" s="1"/>
  <c r="W573" i="3" a="1"/>
  <c r="W573" i="3" s="1"/>
  <c r="V573" i="3" a="1"/>
  <c r="V573" i="3" s="1"/>
  <c r="Y572" i="3" a="1"/>
  <c r="Y572" i="3" s="1"/>
  <c r="X572" i="3" a="1"/>
  <c r="X572" i="3" s="1"/>
  <c r="W572" i="3" a="1"/>
  <c r="W572" i="3" s="1"/>
  <c r="V572" i="3" a="1"/>
  <c r="V572" i="3" s="1"/>
  <c r="Y571" i="3" a="1"/>
  <c r="Y571" i="3" s="1"/>
  <c r="X571" i="3" a="1"/>
  <c r="X571" i="3" s="1"/>
  <c r="W571" i="3" a="1"/>
  <c r="W571" i="3" s="1"/>
  <c r="V571" i="3" a="1"/>
  <c r="V571" i="3" s="1"/>
  <c r="Y570" i="3" a="1"/>
  <c r="Y570" i="3" s="1"/>
  <c r="X570" i="3" a="1"/>
  <c r="X570" i="3" s="1"/>
  <c r="W570" i="3" a="1"/>
  <c r="W570" i="3" s="1"/>
  <c r="V570" i="3" a="1"/>
  <c r="V570" i="3" s="1"/>
  <c r="Y569" i="3" a="1"/>
  <c r="Y569" i="3" s="1"/>
  <c r="X569" i="3" a="1"/>
  <c r="X569" i="3" s="1"/>
  <c r="W569" i="3" a="1"/>
  <c r="W569" i="3" s="1"/>
  <c r="V569" i="3" a="1"/>
  <c r="V569" i="3" s="1"/>
  <c r="Y568" i="3" a="1"/>
  <c r="Y568" i="3" s="1"/>
  <c r="X568" i="3" a="1"/>
  <c r="X568" i="3" s="1"/>
  <c r="W568" i="3" a="1"/>
  <c r="W568" i="3" s="1"/>
  <c r="V568" i="3" a="1"/>
  <c r="V568" i="3" s="1"/>
  <c r="Y567" i="3" a="1"/>
  <c r="Y567" i="3" s="1"/>
  <c r="X567" i="3" a="1"/>
  <c r="X567" i="3" s="1"/>
  <c r="W567" i="3" a="1"/>
  <c r="W567" i="3" s="1"/>
  <c r="V567" i="3" a="1"/>
  <c r="V567" i="3" s="1"/>
  <c r="Y566" i="3" a="1"/>
  <c r="Y566" i="3" s="1"/>
  <c r="X566" i="3" a="1"/>
  <c r="X566" i="3" s="1"/>
  <c r="W566" i="3" a="1"/>
  <c r="W566" i="3" s="1"/>
  <c r="V566" i="3" a="1"/>
  <c r="V566" i="3" s="1"/>
  <c r="Y565" i="3" a="1"/>
  <c r="Y565" i="3" s="1"/>
  <c r="X565" i="3" a="1"/>
  <c r="X565" i="3" s="1"/>
  <c r="W565" i="3" a="1"/>
  <c r="W565" i="3" s="1"/>
  <c r="V565" i="3" a="1"/>
  <c r="V565" i="3" s="1"/>
  <c r="Y564" i="3" a="1"/>
  <c r="Y564" i="3" s="1"/>
  <c r="X564" i="3" a="1"/>
  <c r="X564" i="3" s="1"/>
  <c r="W564" i="3" a="1"/>
  <c r="W564" i="3" s="1"/>
  <c r="V564" i="3" a="1"/>
  <c r="V564" i="3" s="1"/>
  <c r="Y563" i="3" a="1"/>
  <c r="Y563" i="3" s="1"/>
  <c r="X563" i="3" a="1"/>
  <c r="X563" i="3" s="1"/>
  <c r="W563" i="3" a="1"/>
  <c r="W563" i="3" s="1"/>
  <c r="V563" i="3" a="1"/>
  <c r="V563" i="3" s="1"/>
  <c r="Y562" i="3" a="1"/>
  <c r="Y562" i="3" s="1"/>
  <c r="X562" i="3" a="1"/>
  <c r="X562" i="3" s="1"/>
  <c r="W562" i="3" a="1"/>
  <c r="W562" i="3" s="1"/>
  <c r="V562" i="3" a="1"/>
  <c r="V562" i="3" s="1"/>
  <c r="Y561" i="3" a="1"/>
  <c r="Y561" i="3" s="1"/>
  <c r="X561" i="3" a="1"/>
  <c r="X561" i="3" s="1"/>
  <c r="W561" i="3" a="1"/>
  <c r="W561" i="3" s="1"/>
  <c r="V561" i="3" a="1"/>
  <c r="V561" i="3" s="1"/>
  <c r="Y560" i="3" a="1"/>
  <c r="Y560" i="3" s="1"/>
  <c r="X560" i="3" a="1"/>
  <c r="X560" i="3" s="1"/>
  <c r="W560" i="3" a="1"/>
  <c r="W560" i="3" s="1"/>
  <c r="V560" i="3" a="1"/>
  <c r="V560" i="3" s="1"/>
  <c r="Y559" i="3" a="1"/>
  <c r="Y559" i="3" s="1"/>
  <c r="X559" i="3" a="1"/>
  <c r="X559" i="3" s="1"/>
  <c r="W559" i="3" a="1"/>
  <c r="W559" i="3" s="1"/>
  <c r="V559" i="3" a="1"/>
  <c r="V559" i="3" s="1"/>
  <c r="Y558" i="3" a="1"/>
  <c r="Y558" i="3" s="1"/>
  <c r="X558" i="3" a="1"/>
  <c r="X558" i="3" s="1"/>
  <c r="W558" i="3" a="1"/>
  <c r="W558" i="3" s="1"/>
  <c r="V558" i="3" a="1"/>
  <c r="V558" i="3" s="1"/>
  <c r="Y557" i="3" a="1"/>
  <c r="Y557" i="3" s="1"/>
  <c r="X557" i="3" a="1"/>
  <c r="X557" i="3" s="1"/>
  <c r="W557" i="3" a="1"/>
  <c r="W557" i="3" s="1"/>
  <c r="V557" i="3" a="1"/>
  <c r="V557" i="3" s="1"/>
  <c r="Y556" i="3" a="1"/>
  <c r="Y556" i="3" s="1"/>
  <c r="X556" i="3" a="1"/>
  <c r="X556" i="3" s="1"/>
  <c r="W556" i="3" a="1"/>
  <c r="W556" i="3" s="1"/>
  <c r="V556" i="3" a="1"/>
  <c r="V556" i="3" s="1"/>
  <c r="Y555" i="3" a="1"/>
  <c r="Y555" i="3" s="1"/>
  <c r="X555" i="3" a="1"/>
  <c r="X555" i="3" s="1"/>
  <c r="W555" i="3" a="1"/>
  <c r="W555" i="3" s="1"/>
  <c r="V555" i="3" a="1"/>
  <c r="V555" i="3" s="1"/>
  <c r="Y554" i="3" a="1"/>
  <c r="Y554" i="3" s="1"/>
  <c r="X554" i="3" a="1"/>
  <c r="X554" i="3" s="1"/>
  <c r="W554" i="3" a="1"/>
  <c r="W554" i="3" s="1"/>
  <c r="V554" i="3" a="1"/>
  <c r="V554" i="3" s="1"/>
  <c r="Y553" i="3" a="1"/>
  <c r="Y553" i="3" s="1"/>
  <c r="X553" i="3" a="1"/>
  <c r="X553" i="3" s="1"/>
  <c r="W553" i="3" a="1"/>
  <c r="W553" i="3" s="1"/>
  <c r="V553" i="3" a="1"/>
  <c r="V553" i="3" s="1"/>
  <c r="Y552" i="3" a="1"/>
  <c r="Y552" i="3" s="1"/>
  <c r="X552" i="3" a="1"/>
  <c r="X552" i="3" s="1"/>
  <c r="W552" i="3" a="1"/>
  <c r="W552" i="3" s="1"/>
  <c r="V552" i="3" a="1"/>
  <c r="V552" i="3" s="1"/>
  <c r="Y551" i="3" a="1"/>
  <c r="Y551" i="3" s="1"/>
  <c r="X551" i="3" a="1"/>
  <c r="X551" i="3" s="1"/>
  <c r="W551" i="3" a="1"/>
  <c r="W551" i="3" s="1"/>
  <c r="V551" i="3" a="1"/>
  <c r="V551" i="3" s="1"/>
  <c r="Y550" i="3" a="1"/>
  <c r="Y550" i="3" s="1"/>
  <c r="X550" i="3" a="1"/>
  <c r="X550" i="3" s="1"/>
  <c r="W550" i="3" a="1"/>
  <c r="W550" i="3" s="1"/>
  <c r="V550" i="3" a="1"/>
  <c r="V550" i="3" s="1"/>
  <c r="Y549" i="3" a="1"/>
  <c r="Y549" i="3" s="1"/>
  <c r="X549" i="3" a="1"/>
  <c r="X549" i="3" s="1"/>
  <c r="W549" i="3" a="1"/>
  <c r="W549" i="3" s="1"/>
  <c r="V549" i="3" a="1"/>
  <c r="V549" i="3" s="1"/>
  <c r="Y548" i="3" a="1"/>
  <c r="Y548" i="3" s="1"/>
  <c r="X548" i="3" a="1"/>
  <c r="X548" i="3" s="1"/>
  <c r="W548" i="3" a="1"/>
  <c r="W548" i="3" s="1"/>
  <c r="V548" i="3" a="1"/>
  <c r="V548" i="3" s="1"/>
  <c r="Y547" i="3" a="1"/>
  <c r="Y547" i="3" s="1"/>
  <c r="X547" i="3" a="1"/>
  <c r="X547" i="3" s="1"/>
  <c r="W547" i="3" a="1"/>
  <c r="W547" i="3" s="1"/>
  <c r="V547" i="3" a="1"/>
  <c r="V547" i="3" s="1"/>
  <c r="Y546" i="3" a="1"/>
  <c r="Y546" i="3" s="1"/>
  <c r="X546" i="3" a="1"/>
  <c r="X546" i="3" s="1"/>
  <c r="W546" i="3" a="1"/>
  <c r="W546" i="3" s="1"/>
  <c r="V546" i="3" a="1"/>
  <c r="V546" i="3" s="1"/>
  <c r="Y545" i="3" a="1"/>
  <c r="Y545" i="3" s="1"/>
  <c r="X545" i="3" a="1"/>
  <c r="X545" i="3" s="1"/>
  <c r="W545" i="3" a="1"/>
  <c r="W545" i="3" s="1"/>
  <c r="V545" i="3" a="1"/>
  <c r="V545" i="3" s="1"/>
  <c r="Y544" i="3" a="1"/>
  <c r="Y544" i="3" s="1"/>
  <c r="X544" i="3" a="1"/>
  <c r="X544" i="3" s="1"/>
  <c r="W544" i="3" a="1"/>
  <c r="W544" i="3" s="1"/>
  <c r="V544" i="3" a="1"/>
  <c r="V544" i="3" s="1"/>
  <c r="Y543" i="3" a="1"/>
  <c r="Y543" i="3" s="1"/>
  <c r="X543" i="3" a="1"/>
  <c r="X543" i="3" s="1"/>
  <c r="W543" i="3" a="1"/>
  <c r="W543" i="3" s="1"/>
  <c r="V543" i="3" a="1"/>
  <c r="V543" i="3" s="1"/>
  <c r="Y542" i="3" a="1"/>
  <c r="Y542" i="3" s="1"/>
  <c r="X542" i="3" a="1"/>
  <c r="X542" i="3" s="1"/>
  <c r="W542" i="3" a="1"/>
  <c r="W542" i="3" s="1"/>
  <c r="V542" i="3" a="1"/>
  <c r="V542" i="3" s="1"/>
  <c r="Y541" i="3" a="1"/>
  <c r="Y541" i="3" s="1"/>
  <c r="X541" i="3" a="1"/>
  <c r="X541" i="3" s="1"/>
  <c r="W541" i="3" a="1"/>
  <c r="W541" i="3" s="1"/>
  <c r="V541" i="3" a="1"/>
  <c r="V541" i="3" s="1"/>
  <c r="Y540" i="3" a="1"/>
  <c r="Y540" i="3" s="1"/>
  <c r="X540" i="3" a="1"/>
  <c r="X540" i="3" s="1"/>
  <c r="W540" i="3" a="1"/>
  <c r="W540" i="3" s="1"/>
  <c r="V540" i="3" a="1"/>
  <c r="V540" i="3" s="1"/>
  <c r="Y539" i="3" a="1"/>
  <c r="Y539" i="3" s="1"/>
  <c r="X539" i="3" a="1"/>
  <c r="X539" i="3" s="1"/>
  <c r="W539" i="3" a="1"/>
  <c r="W539" i="3" s="1"/>
  <c r="V539" i="3" a="1"/>
  <c r="V539" i="3" s="1"/>
  <c r="Y538" i="3" a="1"/>
  <c r="Y538" i="3" s="1"/>
  <c r="X538" i="3" a="1"/>
  <c r="X538" i="3" s="1"/>
  <c r="W538" i="3" a="1"/>
  <c r="W538" i="3" s="1"/>
  <c r="V538" i="3" a="1"/>
  <c r="V538" i="3" s="1"/>
  <c r="Y537" i="3" a="1"/>
  <c r="Y537" i="3" s="1"/>
  <c r="X537" i="3" a="1"/>
  <c r="X537" i="3" s="1"/>
  <c r="W537" i="3" a="1"/>
  <c r="W537" i="3" s="1"/>
  <c r="V537" i="3" a="1"/>
  <c r="V537" i="3" s="1"/>
  <c r="Y536" i="3" a="1"/>
  <c r="Y536" i="3" s="1"/>
  <c r="X536" i="3" a="1"/>
  <c r="X536" i="3" s="1"/>
  <c r="W536" i="3" a="1"/>
  <c r="W536" i="3" s="1"/>
  <c r="V536" i="3" a="1"/>
  <c r="V536" i="3" s="1"/>
  <c r="Y535" i="3" a="1"/>
  <c r="Y535" i="3" s="1"/>
  <c r="X535" i="3" a="1"/>
  <c r="X535" i="3" s="1"/>
  <c r="W535" i="3" a="1"/>
  <c r="W535" i="3" s="1"/>
  <c r="V535" i="3" a="1"/>
  <c r="V535" i="3" s="1"/>
  <c r="Y534" i="3" a="1"/>
  <c r="Y534" i="3" s="1"/>
  <c r="X534" i="3" a="1"/>
  <c r="X534" i="3" s="1"/>
  <c r="W534" i="3" a="1"/>
  <c r="W534" i="3" s="1"/>
  <c r="V534" i="3" a="1"/>
  <c r="V534" i="3" s="1"/>
  <c r="Y533" i="3" a="1"/>
  <c r="Y533" i="3" s="1"/>
  <c r="X533" i="3" a="1"/>
  <c r="X533" i="3" s="1"/>
  <c r="W533" i="3" a="1"/>
  <c r="W533" i="3" s="1"/>
  <c r="V533" i="3" a="1"/>
  <c r="V533" i="3" s="1"/>
  <c r="Y532" i="3" a="1"/>
  <c r="Y532" i="3" s="1"/>
  <c r="X532" i="3" a="1"/>
  <c r="X532" i="3" s="1"/>
  <c r="W532" i="3" a="1"/>
  <c r="W532" i="3" s="1"/>
  <c r="V532" i="3" a="1"/>
  <c r="V532" i="3" s="1"/>
  <c r="Y531" i="3" a="1"/>
  <c r="Y531" i="3" s="1"/>
  <c r="X531" i="3" a="1"/>
  <c r="X531" i="3" s="1"/>
  <c r="W531" i="3" a="1"/>
  <c r="W531" i="3" s="1"/>
  <c r="V531" i="3" a="1"/>
  <c r="V531" i="3" s="1"/>
  <c r="Y530" i="3" a="1"/>
  <c r="Y530" i="3" s="1"/>
  <c r="X530" i="3" a="1"/>
  <c r="X530" i="3" s="1"/>
  <c r="W530" i="3" a="1"/>
  <c r="W530" i="3" s="1"/>
  <c r="V530" i="3" a="1"/>
  <c r="V530" i="3" s="1"/>
  <c r="Y529" i="3" a="1"/>
  <c r="Y529" i="3" s="1"/>
  <c r="X529" i="3" a="1"/>
  <c r="X529" i="3" s="1"/>
  <c r="W529" i="3" a="1"/>
  <c r="W529" i="3" s="1"/>
  <c r="V529" i="3" a="1"/>
  <c r="V529" i="3" s="1"/>
  <c r="Y528" i="3" a="1"/>
  <c r="Y528" i="3" s="1"/>
  <c r="X528" i="3" a="1"/>
  <c r="X528" i="3" s="1"/>
  <c r="W528" i="3" a="1"/>
  <c r="W528" i="3" s="1"/>
  <c r="V528" i="3" a="1"/>
  <c r="V528" i="3" s="1"/>
  <c r="Y527" i="3" a="1"/>
  <c r="Y527" i="3" s="1"/>
  <c r="X527" i="3" a="1"/>
  <c r="X527" i="3" s="1"/>
  <c r="W527" i="3" a="1"/>
  <c r="W527" i="3" s="1"/>
  <c r="V527" i="3" a="1"/>
  <c r="V527" i="3" s="1"/>
  <c r="Y526" i="3" a="1"/>
  <c r="Y526" i="3" s="1"/>
  <c r="X526" i="3" a="1"/>
  <c r="X526" i="3" s="1"/>
  <c r="W526" i="3" a="1"/>
  <c r="W526" i="3" s="1"/>
  <c r="V526" i="3" a="1"/>
  <c r="V526" i="3" s="1"/>
  <c r="Y525" i="3" a="1"/>
  <c r="Y525" i="3" s="1"/>
  <c r="X525" i="3" a="1"/>
  <c r="X525" i="3" s="1"/>
  <c r="W525" i="3" a="1"/>
  <c r="W525" i="3" s="1"/>
  <c r="V525" i="3" a="1"/>
  <c r="V525" i="3" s="1"/>
  <c r="Y524" i="3" a="1"/>
  <c r="Y524" i="3" s="1"/>
  <c r="X524" i="3" a="1"/>
  <c r="X524" i="3" s="1"/>
  <c r="W524" i="3" a="1"/>
  <c r="W524" i="3" s="1"/>
  <c r="V524" i="3" a="1"/>
  <c r="V524" i="3" s="1"/>
  <c r="Y523" i="3" a="1"/>
  <c r="Y523" i="3" s="1"/>
  <c r="X523" i="3" a="1"/>
  <c r="X523" i="3" s="1"/>
  <c r="W523" i="3" a="1"/>
  <c r="W523" i="3" s="1"/>
  <c r="V523" i="3" a="1"/>
  <c r="V523" i="3" s="1"/>
  <c r="Y522" i="3" a="1"/>
  <c r="Y522" i="3" s="1"/>
  <c r="X522" i="3" a="1"/>
  <c r="X522" i="3" s="1"/>
  <c r="W522" i="3" a="1"/>
  <c r="W522" i="3" s="1"/>
  <c r="V522" i="3" a="1"/>
  <c r="V522" i="3" s="1"/>
  <c r="Y521" i="3" a="1"/>
  <c r="Y521" i="3" s="1"/>
  <c r="X521" i="3" a="1"/>
  <c r="X521" i="3" s="1"/>
  <c r="W521" i="3" a="1"/>
  <c r="W521" i="3" s="1"/>
  <c r="V521" i="3" a="1"/>
  <c r="V521" i="3" s="1"/>
  <c r="Y520" i="3" a="1"/>
  <c r="Y520" i="3" s="1"/>
  <c r="X520" i="3" a="1"/>
  <c r="X520" i="3" s="1"/>
  <c r="W520" i="3" a="1"/>
  <c r="W520" i="3" s="1"/>
  <c r="V520" i="3" a="1"/>
  <c r="V520" i="3" s="1"/>
  <c r="Y519" i="3" a="1"/>
  <c r="Y519" i="3" s="1"/>
  <c r="X519" i="3" a="1"/>
  <c r="X519" i="3" s="1"/>
  <c r="W519" i="3" a="1"/>
  <c r="W519" i="3" s="1"/>
  <c r="V519" i="3" a="1"/>
  <c r="V519" i="3" s="1"/>
  <c r="Y518" i="3" a="1"/>
  <c r="Y518" i="3" s="1"/>
  <c r="X518" i="3" a="1"/>
  <c r="X518" i="3" s="1"/>
  <c r="W518" i="3" a="1"/>
  <c r="W518" i="3" s="1"/>
  <c r="V518" i="3" a="1"/>
  <c r="V518" i="3" s="1"/>
  <c r="Y517" i="3" a="1"/>
  <c r="Y517" i="3" s="1"/>
  <c r="X517" i="3" a="1"/>
  <c r="X517" i="3" s="1"/>
  <c r="W517" i="3" a="1"/>
  <c r="W517" i="3" s="1"/>
  <c r="V517" i="3" a="1"/>
  <c r="V517" i="3" s="1"/>
  <c r="Y516" i="3" a="1"/>
  <c r="Y516" i="3" s="1"/>
  <c r="X516" i="3" a="1"/>
  <c r="X516" i="3" s="1"/>
  <c r="W516" i="3" a="1"/>
  <c r="W516" i="3" s="1"/>
  <c r="V516" i="3" a="1"/>
  <c r="V516" i="3" s="1"/>
  <c r="Y515" i="3" a="1"/>
  <c r="Y515" i="3" s="1"/>
  <c r="X515" i="3" a="1"/>
  <c r="X515" i="3" s="1"/>
  <c r="W515" i="3" a="1"/>
  <c r="W515" i="3" s="1"/>
  <c r="V515" i="3" a="1"/>
  <c r="V515" i="3" s="1"/>
  <c r="Y512" i="3" a="1"/>
  <c r="Y512" i="3" s="1"/>
  <c r="X512" i="3" a="1"/>
  <c r="X512" i="3" s="1"/>
  <c r="W512" i="3" a="1"/>
  <c r="W512" i="3" s="1"/>
  <c r="V512" i="3" a="1"/>
  <c r="V512" i="3" s="1"/>
  <c r="Y511" i="3" a="1"/>
  <c r="Y511" i="3" s="1"/>
  <c r="X511" i="3" a="1"/>
  <c r="X511" i="3" s="1"/>
  <c r="W511" i="3" a="1"/>
  <c r="W511" i="3" s="1"/>
  <c r="V511" i="3" a="1"/>
  <c r="V511" i="3" s="1"/>
  <c r="Y510" i="3" a="1"/>
  <c r="Y510" i="3" s="1"/>
  <c r="X510" i="3" a="1"/>
  <c r="X510" i="3" s="1"/>
  <c r="W510" i="3" a="1"/>
  <c r="W510" i="3" s="1"/>
  <c r="V510" i="3" a="1"/>
  <c r="V510" i="3" s="1"/>
  <c r="Y509" i="3" a="1"/>
  <c r="Y509" i="3" s="1"/>
  <c r="X509" i="3" a="1"/>
  <c r="X509" i="3" s="1"/>
  <c r="W509" i="3" a="1"/>
  <c r="W509" i="3" s="1"/>
  <c r="V509" i="3" a="1"/>
  <c r="V509" i="3" s="1"/>
  <c r="Y508" i="3" a="1"/>
  <c r="Y508" i="3" s="1"/>
  <c r="X508" i="3" a="1"/>
  <c r="X508" i="3" s="1"/>
  <c r="W508" i="3" a="1"/>
  <c r="W508" i="3" s="1"/>
  <c r="V508" i="3" a="1"/>
  <c r="V508" i="3" s="1"/>
  <c r="Y507" i="3" a="1"/>
  <c r="Y507" i="3" s="1"/>
  <c r="X507" i="3" a="1"/>
  <c r="X507" i="3" s="1"/>
  <c r="W507" i="3" a="1"/>
  <c r="W507" i="3" s="1"/>
  <c r="V507" i="3" a="1"/>
  <c r="V507" i="3" s="1"/>
  <c r="Y506" i="3" a="1"/>
  <c r="Y506" i="3" s="1"/>
  <c r="X506" i="3" a="1"/>
  <c r="X506" i="3" s="1"/>
  <c r="W506" i="3" a="1"/>
  <c r="W506" i="3" s="1"/>
  <c r="V506" i="3" a="1"/>
  <c r="V506" i="3" s="1"/>
  <c r="Y505" i="3" a="1"/>
  <c r="Y505" i="3" s="1"/>
  <c r="X505" i="3" a="1"/>
  <c r="X505" i="3" s="1"/>
  <c r="W505" i="3" a="1"/>
  <c r="W505" i="3" s="1"/>
  <c r="V505" i="3" a="1"/>
  <c r="V505" i="3" s="1"/>
  <c r="Y504" i="3" a="1"/>
  <c r="Y504" i="3" s="1"/>
  <c r="X504" i="3" a="1"/>
  <c r="X504" i="3" s="1"/>
  <c r="W504" i="3" a="1"/>
  <c r="W504" i="3" s="1"/>
  <c r="V504" i="3" a="1"/>
  <c r="V504" i="3" s="1"/>
  <c r="Y502" i="3" a="1"/>
  <c r="Y502" i="3" s="1"/>
  <c r="X502" i="3" a="1"/>
  <c r="X502" i="3" s="1"/>
  <c r="W502" i="3" a="1"/>
  <c r="W502" i="3" s="1"/>
  <c r="V502" i="3" a="1"/>
  <c r="V502" i="3" s="1"/>
  <c r="Y501" i="3" a="1"/>
  <c r="Y501" i="3" s="1"/>
  <c r="X501" i="3" a="1"/>
  <c r="X501" i="3" s="1"/>
  <c r="W501" i="3" a="1"/>
  <c r="W501" i="3" s="1"/>
  <c r="V501" i="3" a="1"/>
  <c r="V501" i="3" s="1"/>
  <c r="Y500" i="3" a="1"/>
  <c r="Y500" i="3" s="1"/>
  <c r="X500" i="3" a="1"/>
  <c r="X500" i="3" s="1"/>
  <c r="W500" i="3" a="1"/>
  <c r="W500" i="3" s="1"/>
  <c r="V500" i="3" a="1"/>
  <c r="V500" i="3" s="1"/>
  <c r="Y498" i="3" a="1"/>
  <c r="Y498" i="3" s="1"/>
  <c r="X498" i="3" a="1"/>
  <c r="X498" i="3" s="1"/>
  <c r="W498" i="3" a="1"/>
  <c r="W498" i="3" s="1"/>
  <c r="V498" i="3" a="1"/>
  <c r="V498" i="3" s="1"/>
  <c r="Y497" i="3" a="1"/>
  <c r="Y497" i="3" s="1"/>
  <c r="X497" i="3" a="1"/>
  <c r="X497" i="3" s="1"/>
  <c r="W497" i="3" a="1"/>
  <c r="W497" i="3" s="1"/>
  <c r="V497" i="3" a="1"/>
  <c r="V497" i="3" s="1"/>
  <c r="Y496" i="3" a="1"/>
  <c r="Y496" i="3" s="1"/>
  <c r="X496" i="3" a="1"/>
  <c r="X496" i="3" s="1"/>
  <c r="W496" i="3" a="1"/>
  <c r="W496" i="3" s="1"/>
  <c r="V496" i="3" a="1"/>
  <c r="V496" i="3" s="1"/>
  <c r="Y494" i="3" a="1"/>
  <c r="Y494" i="3" s="1"/>
  <c r="X494" i="3" a="1"/>
  <c r="X494" i="3" s="1"/>
  <c r="W494" i="3" a="1"/>
  <c r="W494" i="3" s="1"/>
  <c r="V494" i="3" a="1"/>
  <c r="V494" i="3" s="1"/>
  <c r="Y493" i="3" a="1"/>
  <c r="Y493" i="3" s="1"/>
  <c r="X493" i="3" a="1"/>
  <c r="X493" i="3" s="1"/>
  <c r="W493" i="3" a="1"/>
  <c r="W493" i="3" s="1"/>
  <c r="V493" i="3" a="1"/>
  <c r="V493" i="3" s="1"/>
  <c r="Y492" i="3" a="1"/>
  <c r="Y492" i="3" s="1"/>
  <c r="X492" i="3" a="1"/>
  <c r="X492" i="3" s="1"/>
  <c r="W492" i="3" a="1"/>
  <c r="W492" i="3" s="1"/>
  <c r="V492" i="3" a="1"/>
  <c r="V492" i="3" s="1"/>
  <c r="Y490" i="3" a="1"/>
  <c r="Y490" i="3" s="1"/>
  <c r="X490" i="3" a="1"/>
  <c r="X490" i="3" s="1"/>
  <c r="W490" i="3" a="1"/>
  <c r="W490" i="3" s="1"/>
  <c r="V490" i="3" a="1"/>
  <c r="V490" i="3" s="1"/>
  <c r="Y489" i="3" a="1"/>
  <c r="Y489" i="3" s="1"/>
  <c r="X489" i="3" a="1"/>
  <c r="X489" i="3" s="1"/>
  <c r="W489" i="3" a="1"/>
  <c r="W489" i="3" s="1"/>
  <c r="V489" i="3" a="1"/>
  <c r="V489" i="3" s="1"/>
  <c r="Y485" i="3" a="1"/>
  <c r="Y485" i="3" s="1"/>
  <c r="X485" i="3" a="1"/>
  <c r="X485" i="3" s="1"/>
  <c r="W485" i="3" a="1"/>
  <c r="W485" i="3" s="1"/>
  <c r="V485" i="3" a="1"/>
  <c r="V485" i="3" s="1"/>
  <c r="Y484" i="3" a="1"/>
  <c r="Y484" i="3" s="1"/>
  <c r="X484" i="3" a="1"/>
  <c r="X484" i="3" s="1"/>
  <c r="W484" i="3" a="1"/>
  <c r="W484" i="3" s="1"/>
  <c r="V484" i="3" a="1"/>
  <c r="V484" i="3" s="1"/>
  <c r="Y482" i="3" a="1"/>
  <c r="Y482" i="3" s="1"/>
  <c r="X482" i="3" a="1"/>
  <c r="X482" i="3" s="1"/>
  <c r="W482" i="3" a="1"/>
  <c r="W482" i="3" s="1"/>
  <c r="V482" i="3" a="1"/>
  <c r="V482" i="3" s="1"/>
  <c r="Y478" i="3" a="1"/>
  <c r="Y478" i="3" s="1"/>
  <c r="X478" i="3" a="1"/>
  <c r="X478" i="3" s="1"/>
  <c r="W478" i="3" a="1"/>
  <c r="W478" i="3" s="1"/>
  <c r="V478" i="3" a="1"/>
  <c r="V478" i="3" s="1"/>
  <c r="Y477" i="3" a="1"/>
  <c r="Y477" i="3" s="1"/>
  <c r="X477" i="3" a="1"/>
  <c r="X477" i="3" s="1"/>
  <c r="W477" i="3" a="1"/>
  <c r="W477" i="3" s="1"/>
  <c r="V477" i="3" a="1"/>
  <c r="V477" i="3" s="1"/>
  <c r="Y476" i="3" a="1"/>
  <c r="Y476" i="3" s="1"/>
  <c r="X476" i="3" a="1"/>
  <c r="X476" i="3" s="1"/>
  <c r="W476" i="3" a="1"/>
  <c r="W476" i="3" s="1"/>
  <c r="V476" i="3" a="1"/>
  <c r="V476" i="3" s="1"/>
  <c r="Y474" i="3" a="1"/>
  <c r="Y474" i="3" s="1"/>
  <c r="X474" i="3" a="1"/>
  <c r="X474" i="3" s="1"/>
  <c r="W474" i="3" a="1"/>
  <c r="W474" i="3" s="1"/>
  <c r="V474" i="3" a="1"/>
  <c r="V474" i="3" s="1"/>
  <c r="Y473" i="3" a="1"/>
  <c r="Y473" i="3" s="1"/>
  <c r="X473" i="3" a="1"/>
  <c r="X473" i="3" s="1"/>
  <c r="W473" i="3" a="1"/>
  <c r="W473" i="3" s="1"/>
  <c r="V473" i="3" a="1"/>
  <c r="V473" i="3" s="1"/>
  <c r="Y472" i="3" a="1"/>
  <c r="Y472" i="3" s="1"/>
  <c r="X472" i="3" a="1"/>
  <c r="X472" i="3" s="1"/>
  <c r="W472" i="3" a="1"/>
  <c r="W472" i="3" s="1"/>
  <c r="V472" i="3" a="1"/>
  <c r="V472" i="3" s="1"/>
  <c r="Y470" i="3" a="1"/>
  <c r="Y470" i="3" s="1"/>
  <c r="X470" i="3" a="1"/>
  <c r="X470" i="3" s="1"/>
  <c r="W470" i="3" a="1"/>
  <c r="W470" i="3" s="1"/>
  <c r="V470" i="3" a="1"/>
  <c r="V470" i="3" s="1"/>
  <c r="Y469" i="3" a="1"/>
  <c r="Y469" i="3" s="1"/>
  <c r="X469" i="3" a="1"/>
  <c r="X469" i="3" s="1"/>
  <c r="W469" i="3" a="1"/>
  <c r="W469" i="3" s="1"/>
  <c r="V469" i="3" a="1"/>
  <c r="V469" i="3" s="1"/>
  <c r="Y468" i="3" a="1"/>
  <c r="Y468" i="3" s="1"/>
  <c r="X468" i="3" a="1"/>
  <c r="X468" i="3" s="1"/>
  <c r="W468" i="3" a="1"/>
  <c r="W468" i="3" s="1"/>
  <c r="V468" i="3" a="1"/>
  <c r="V468" i="3" s="1"/>
  <c r="Y467" i="3" a="1"/>
  <c r="Y467" i="3" s="1"/>
  <c r="X467" i="3" a="1"/>
  <c r="X467" i="3" s="1"/>
  <c r="W467" i="3" a="1"/>
  <c r="W467" i="3" s="1"/>
  <c r="V467" i="3" a="1"/>
  <c r="V467" i="3" s="1"/>
  <c r="Y466" i="3" a="1"/>
  <c r="Y466" i="3" s="1"/>
  <c r="X466" i="3" a="1"/>
  <c r="X466" i="3" s="1"/>
  <c r="W466" i="3" a="1"/>
  <c r="W466" i="3" s="1"/>
  <c r="V466" i="3" a="1"/>
  <c r="V466" i="3" s="1"/>
  <c r="Y465" i="3" a="1"/>
  <c r="Y465" i="3" s="1"/>
  <c r="X465" i="3" a="1"/>
  <c r="X465" i="3" s="1"/>
  <c r="W465" i="3" a="1"/>
  <c r="W465" i="3" s="1"/>
  <c r="V465" i="3" a="1"/>
  <c r="V465" i="3" s="1"/>
  <c r="Y464" i="3" a="1"/>
  <c r="Y464" i="3" s="1"/>
  <c r="X464" i="3" a="1"/>
  <c r="X464" i="3" s="1"/>
  <c r="W464" i="3" a="1"/>
  <c r="W464" i="3" s="1"/>
  <c r="V464" i="3" a="1"/>
  <c r="V464" i="3" s="1"/>
  <c r="Y463" i="3" a="1"/>
  <c r="Y463" i="3" s="1"/>
  <c r="X463" i="3" a="1"/>
  <c r="X463" i="3" s="1"/>
  <c r="W463" i="3" a="1"/>
  <c r="W463" i="3" s="1"/>
  <c r="V463" i="3" a="1"/>
  <c r="V463" i="3" s="1"/>
  <c r="Y462" i="3" a="1"/>
  <c r="Y462" i="3" s="1"/>
  <c r="X462" i="3" a="1"/>
  <c r="X462" i="3" s="1"/>
  <c r="W462" i="3" a="1"/>
  <c r="W462" i="3" s="1"/>
  <c r="V462" i="3" a="1"/>
  <c r="V462" i="3" s="1"/>
  <c r="Y461" i="3" a="1"/>
  <c r="Y461" i="3" s="1"/>
  <c r="X461" i="3" a="1"/>
  <c r="X461" i="3" s="1"/>
  <c r="W461" i="3" a="1"/>
  <c r="W461" i="3" s="1"/>
  <c r="V461" i="3" a="1"/>
  <c r="V461" i="3" s="1"/>
  <c r="Y460" i="3" a="1"/>
  <c r="Y460" i="3" s="1"/>
  <c r="X460" i="3" a="1"/>
  <c r="X460" i="3" s="1"/>
  <c r="W460" i="3" a="1"/>
  <c r="W460" i="3" s="1"/>
  <c r="V460" i="3" a="1"/>
  <c r="V460" i="3" s="1"/>
  <c r="Y459" i="3" a="1"/>
  <c r="Y459" i="3" s="1"/>
  <c r="X459" i="3" a="1"/>
  <c r="X459" i="3" s="1"/>
  <c r="W459" i="3" a="1"/>
  <c r="W459" i="3" s="1"/>
  <c r="V459" i="3" a="1"/>
  <c r="V459" i="3" s="1"/>
  <c r="Y458" i="3" a="1"/>
  <c r="Y458" i="3" s="1"/>
  <c r="X458" i="3" a="1"/>
  <c r="X458" i="3" s="1"/>
  <c r="W458" i="3" a="1"/>
  <c r="W458" i="3" s="1"/>
  <c r="V458" i="3" a="1"/>
  <c r="V458" i="3" s="1"/>
  <c r="Y457" i="3" a="1"/>
  <c r="Y457" i="3" s="1"/>
  <c r="X457" i="3" a="1"/>
  <c r="X457" i="3" s="1"/>
  <c r="W457" i="3" a="1"/>
  <c r="W457" i="3" s="1"/>
  <c r="V457" i="3" a="1"/>
  <c r="V457" i="3" s="1"/>
  <c r="Y456" i="3" a="1"/>
  <c r="Y456" i="3" s="1"/>
  <c r="X456" i="3" a="1"/>
  <c r="X456" i="3" s="1"/>
  <c r="W456" i="3" a="1"/>
  <c r="W456" i="3" s="1"/>
  <c r="V456" i="3" a="1"/>
  <c r="V456" i="3" s="1"/>
  <c r="Y455" i="3" a="1"/>
  <c r="Y455" i="3" s="1"/>
  <c r="X455" i="3" a="1"/>
  <c r="X455" i="3" s="1"/>
  <c r="W455" i="3" a="1"/>
  <c r="W455" i="3" s="1"/>
  <c r="V455" i="3" a="1"/>
  <c r="V455" i="3" s="1"/>
  <c r="Y454" i="3" a="1"/>
  <c r="Y454" i="3" s="1"/>
  <c r="X454" i="3" a="1"/>
  <c r="X454" i="3" s="1"/>
  <c r="W454" i="3" a="1"/>
  <c r="W454" i="3" s="1"/>
  <c r="V454" i="3" a="1"/>
  <c r="V454" i="3" s="1"/>
  <c r="Y453" i="3" a="1"/>
  <c r="Y453" i="3" s="1"/>
  <c r="X453" i="3" a="1"/>
  <c r="X453" i="3" s="1"/>
  <c r="W453" i="3" a="1"/>
  <c r="W453" i="3" s="1"/>
  <c r="V453" i="3" a="1"/>
  <c r="V453" i="3" s="1"/>
  <c r="Y452" i="3" a="1"/>
  <c r="Y452" i="3" s="1"/>
  <c r="X452" i="3" a="1"/>
  <c r="X452" i="3" s="1"/>
  <c r="W452" i="3" a="1"/>
  <c r="W452" i="3" s="1"/>
  <c r="V452" i="3" a="1"/>
  <c r="V452" i="3" s="1"/>
  <c r="Y449" i="3" a="1"/>
  <c r="Y449" i="3" s="1"/>
  <c r="X449" i="3" a="1"/>
  <c r="X449" i="3" s="1"/>
  <c r="W449" i="3" a="1"/>
  <c r="W449" i="3" s="1"/>
  <c r="V449" i="3" a="1"/>
  <c r="V449" i="3" s="1"/>
  <c r="Y448" i="3" a="1"/>
  <c r="Y448" i="3" s="1"/>
  <c r="X448" i="3" a="1"/>
  <c r="X448" i="3" s="1"/>
  <c r="W448" i="3" a="1"/>
  <c r="W448" i="3" s="1"/>
  <c r="V448" i="3" a="1"/>
  <c r="V448" i="3" s="1"/>
  <c r="Y447" i="3" a="1"/>
  <c r="Y447" i="3" s="1"/>
  <c r="X447" i="3" a="1"/>
  <c r="X447" i="3" s="1"/>
  <c r="W447" i="3" a="1"/>
  <c r="W447" i="3" s="1"/>
  <c r="V447" i="3" a="1"/>
  <c r="V447" i="3" s="1"/>
  <c r="Y446" i="3" a="1"/>
  <c r="Y446" i="3" s="1"/>
  <c r="X446" i="3" a="1"/>
  <c r="X446" i="3" s="1"/>
  <c r="W446" i="3" a="1"/>
  <c r="W446" i="3" s="1"/>
  <c r="V446" i="3" a="1"/>
  <c r="V446" i="3" s="1"/>
  <c r="Y445" i="3" a="1"/>
  <c r="Y445" i="3" s="1"/>
  <c r="X445" i="3" a="1"/>
  <c r="X445" i="3" s="1"/>
  <c r="W445" i="3" a="1"/>
  <c r="W445" i="3" s="1"/>
  <c r="V445" i="3" a="1"/>
  <c r="V445" i="3" s="1"/>
  <c r="Y444" i="3" a="1"/>
  <c r="Y444" i="3" s="1"/>
  <c r="X444" i="3" a="1"/>
  <c r="X444" i="3" s="1"/>
  <c r="W444" i="3" a="1"/>
  <c r="W444" i="3" s="1"/>
  <c r="V444" i="3" a="1"/>
  <c r="V444" i="3" s="1"/>
  <c r="Y443" i="3" a="1"/>
  <c r="Y443" i="3" s="1"/>
  <c r="X443" i="3" a="1"/>
  <c r="X443" i="3" s="1"/>
  <c r="W443" i="3" a="1"/>
  <c r="W443" i="3" s="1"/>
  <c r="V443" i="3" a="1"/>
  <c r="V443" i="3" s="1"/>
  <c r="Y442" i="3" a="1"/>
  <c r="Y442" i="3" s="1"/>
  <c r="X442" i="3" a="1"/>
  <c r="X442" i="3" s="1"/>
  <c r="W442" i="3" a="1"/>
  <c r="W442" i="3" s="1"/>
  <c r="V442" i="3" a="1"/>
  <c r="V442" i="3" s="1"/>
  <c r="Y441" i="3" a="1"/>
  <c r="Y441" i="3" s="1"/>
  <c r="X441" i="3" a="1"/>
  <c r="X441" i="3" s="1"/>
  <c r="W441" i="3" a="1"/>
  <c r="W441" i="3" s="1"/>
  <c r="V441" i="3" a="1"/>
  <c r="V441" i="3" s="1"/>
  <c r="Y440" i="3" a="1"/>
  <c r="Y440" i="3" s="1"/>
  <c r="X440" i="3" a="1"/>
  <c r="X440" i="3" s="1"/>
  <c r="W440" i="3" a="1"/>
  <c r="W440" i="3" s="1"/>
  <c r="V440" i="3" a="1"/>
  <c r="V440" i="3" s="1"/>
  <c r="Y439" i="3" a="1"/>
  <c r="Y439" i="3" s="1"/>
  <c r="X439" i="3" a="1"/>
  <c r="X439" i="3" s="1"/>
  <c r="W439" i="3" a="1"/>
  <c r="W439" i="3" s="1"/>
  <c r="V439" i="3" a="1"/>
  <c r="V439" i="3" s="1"/>
  <c r="Y438" i="3" a="1"/>
  <c r="Y438" i="3" s="1"/>
  <c r="X438" i="3" a="1"/>
  <c r="X438" i="3" s="1"/>
  <c r="W438" i="3" a="1"/>
  <c r="W438" i="3" s="1"/>
  <c r="V438" i="3" a="1"/>
  <c r="V438" i="3" s="1"/>
  <c r="Y437" i="3" a="1"/>
  <c r="Y437" i="3" s="1"/>
  <c r="X437" i="3" a="1"/>
  <c r="X437" i="3" s="1"/>
  <c r="W437" i="3" a="1"/>
  <c r="W437" i="3" s="1"/>
  <c r="V437" i="3" a="1"/>
  <c r="V437" i="3" s="1"/>
  <c r="Y436" i="3" a="1"/>
  <c r="Y436" i="3" s="1"/>
  <c r="X436" i="3" a="1"/>
  <c r="X436" i="3" s="1"/>
  <c r="W436" i="3" a="1"/>
  <c r="W436" i="3" s="1"/>
  <c r="V436" i="3" a="1"/>
  <c r="V436" i="3" s="1"/>
  <c r="Y435" i="3" a="1"/>
  <c r="Y435" i="3" s="1"/>
  <c r="X435" i="3" a="1"/>
  <c r="X435" i="3" s="1"/>
  <c r="W435" i="3" a="1"/>
  <c r="W435" i="3" s="1"/>
  <c r="V435" i="3" a="1"/>
  <c r="V435" i="3" s="1"/>
  <c r="Y434" i="3" a="1"/>
  <c r="Y434" i="3" s="1"/>
  <c r="X434" i="3" a="1"/>
  <c r="X434" i="3" s="1"/>
  <c r="W434" i="3" a="1"/>
  <c r="W434" i="3" s="1"/>
  <c r="V434" i="3" a="1"/>
  <c r="V434" i="3" s="1"/>
  <c r="Y433" i="3" a="1"/>
  <c r="Y433" i="3" s="1"/>
  <c r="X433" i="3" a="1"/>
  <c r="X433" i="3" s="1"/>
  <c r="W433" i="3" a="1"/>
  <c r="W433" i="3" s="1"/>
  <c r="V433" i="3" a="1"/>
  <c r="V433" i="3" s="1"/>
  <c r="Y432" i="3" a="1"/>
  <c r="Y432" i="3" s="1"/>
  <c r="X432" i="3" a="1"/>
  <c r="X432" i="3" s="1"/>
  <c r="W432" i="3" a="1"/>
  <c r="W432" i="3" s="1"/>
  <c r="V432" i="3" a="1"/>
  <c r="V432" i="3" s="1"/>
  <c r="Y431" i="3" a="1"/>
  <c r="Y431" i="3" s="1"/>
  <c r="X431" i="3" a="1"/>
  <c r="X431" i="3" s="1"/>
  <c r="W431" i="3" a="1"/>
  <c r="W431" i="3" s="1"/>
  <c r="V431" i="3" a="1"/>
  <c r="V431" i="3" s="1"/>
  <c r="Y430" i="3" a="1"/>
  <c r="Y430" i="3" s="1"/>
  <c r="X430" i="3" a="1"/>
  <c r="X430" i="3" s="1"/>
  <c r="W430" i="3" a="1"/>
  <c r="W430" i="3" s="1"/>
  <c r="V430" i="3" a="1"/>
  <c r="V430" i="3" s="1"/>
  <c r="Y429" i="3" a="1"/>
  <c r="Y429" i="3" s="1"/>
  <c r="X429" i="3" a="1"/>
  <c r="X429" i="3" s="1"/>
  <c r="W429" i="3" a="1"/>
  <c r="W429" i="3" s="1"/>
  <c r="V429" i="3" a="1"/>
  <c r="V429" i="3" s="1"/>
  <c r="Y428" i="3" a="1"/>
  <c r="Y428" i="3" s="1"/>
  <c r="X428" i="3" a="1"/>
  <c r="X428" i="3" s="1"/>
  <c r="W428" i="3" a="1"/>
  <c r="W428" i="3" s="1"/>
  <c r="V428" i="3" a="1"/>
  <c r="V428" i="3" s="1"/>
  <c r="Y427" i="3" a="1"/>
  <c r="Y427" i="3" s="1"/>
  <c r="X427" i="3" a="1"/>
  <c r="X427" i="3" s="1"/>
  <c r="W427" i="3" a="1"/>
  <c r="W427" i="3" s="1"/>
  <c r="V427" i="3" a="1"/>
  <c r="V427" i="3" s="1"/>
  <c r="Y426" i="3" a="1"/>
  <c r="Y426" i="3" s="1"/>
  <c r="X426" i="3" a="1"/>
  <c r="X426" i="3" s="1"/>
  <c r="W426" i="3" a="1"/>
  <c r="W426" i="3" s="1"/>
  <c r="V426" i="3" a="1"/>
  <c r="V426" i="3" s="1"/>
  <c r="Y425" i="3" a="1"/>
  <c r="Y425" i="3" s="1"/>
  <c r="X425" i="3" a="1"/>
  <c r="X425" i="3" s="1"/>
  <c r="W425" i="3" a="1"/>
  <c r="W425" i="3" s="1"/>
  <c r="V425" i="3" a="1"/>
  <c r="V425" i="3" s="1"/>
  <c r="Y424" i="3" a="1"/>
  <c r="Y424" i="3" s="1"/>
  <c r="X424" i="3" a="1"/>
  <c r="X424" i="3" s="1"/>
  <c r="W424" i="3" a="1"/>
  <c r="W424" i="3" s="1"/>
  <c r="V424" i="3" a="1"/>
  <c r="V424" i="3" s="1"/>
  <c r="Y423" i="3" a="1"/>
  <c r="Y423" i="3" s="1"/>
  <c r="X423" i="3" a="1"/>
  <c r="X423" i="3" s="1"/>
  <c r="W423" i="3" a="1"/>
  <c r="W423" i="3" s="1"/>
  <c r="V423" i="3" a="1"/>
  <c r="V423" i="3" s="1"/>
  <c r="Y422" i="3" a="1"/>
  <c r="Y422" i="3" s="1"/>
  <c r="X422" i="3" a="1"/>
  <c r="X422" i="3" s="1"/>
  <c r="W422" i="3" a="1"/>
  <c r="W422" i="3" s="1"/>
  <c r="V422" i="3" a="1"/>
  <c r="V422" i="3" s="1"/>
  <c r="Y421" i="3" a="1"/>
  <c r="Y421" i="3" s="1"/>
  <c r="X421" i="3" a="1"/>
  <c r="X421" i="3" s="1"/>
  <c r="W421" i="3" a="1"/>
  <c r="W421" i="3" s="1"/>
  <c r="V421" i="3" a="1"/>
  <c r="V421" i="3" s="1"/>
  <c r="Y420" i="3" a="1"/>
  <c r="Y420" i="3" s="1"/>
  <c r="X420" i="3" a="1"/>
  <c r="X420" i="3" s="1"/>
  <c r="W420" i="3" a="1"/>
  <c r="W420" i="3" s="1"/>
  <c r="V420" i="3" a="1"/>
  <c r="V420" i="3" s="1"/>
  <c r="Y419" i="3" a="1"/>
  <c r="Y419" i="3" s="1"/>
  <c r="X419" i="3" a="1"/>
  <c r="X419" i="3" s="1"/>
  <c r="W419" i="3" a="1"/>
  <c r="W419" i="3" s="1"/>
  <c r="V419" i="3" a="1"/>
  <c r="V419" i="3" s="1"/>
  <c r="Y418" i="3" a="1"/>
  <c r="Y418" i="3" s="1"/>
  <c r="X418" i="3" a="1"/>
  <c r="X418" i="3" s="1"/>
  <c r="W418" i="3" a="1"/>
  <c r="W418" i="3" s="1"/>
  <c r="V418" i="3" a="1"/>
  <c r="V418" i="3" s="1"/>
  <c r="Y417" i="3" a="1"/>
  <c r="Y417" i="3" s="1"/>
  <c r="X417" i="3" a="1"/>
  <c r="X417" i="3" s="1"/>
  <c r="W417" i="3" a="1"/>
  <c r="W417" i="3" s="1"/>
  <c r="V417" i="3" a="1"/>
  <c r="V417" i="3" s="1"/>
  <c r="Y416" i="3" a="1"/>
  <c r="Y416" i="3" s="1"/>
  <c r="X416" i="3" a="1"/>
  <c r="X416" i="3" s="1"/>
  <c r="W416" i="3" a="1"/>
  <c r="W416" i="3" s="1"/>
  <c r="V416" i="3" a="1"/>
  <c r="V416" i="3" s="1"/>
  <c r="Y415" i="3" a="1"/>
  <c r="Y415" i="3" s="1"/>
  <c r="X415" i="3" a="1"/>
  <c r="X415" i="3" s="1"/>
  <c r="W415" i="3" a="1"/>
  <c r="W415" i="3" s="1"/>
  <c r="V415" i="3" a="1"/>
  <c r="V415" i="3" s="1"/>
  <c r="Y414" i="3" a="1"/>
  <c r="Y414" i="3" s="1"/>
  <c r="X414" i="3" a="1"/>
  <c r="X414" i="3" s="1"/>
  <c r="W414" i="3" a="1"/>
  <c r="W414" i="3" s="1"/>
  <c r="V414" i="3" a="1"/>
  <c r="V414" i="3" s="1"/>
  <c r="Y412" i="3" a="1"/>
  <c r="Y412" i="3" s="1"/>
  <c r="X412" i="3" a="1"/>
  <c r="X412" i="3" s="1"/>
  <c r="W412" i="3" a="1"/>
  <c r="W412" i="3" s="1"/>
  <c r="V412" i="3" a="1"/>
  <c r="V412" i="3" s="1"/>
  <c r="Y411" i="3" a="1"/>
  <c r="Y411" i="3" s="1"/>
  <c r="X411" i="3" a="1"/>
  <c r="X411" i="3" s="1"/>
  <c r="W411" i="3" a="1"/>
  <c r="W411" i="3" s="1"/>
  <c r="V411" i="3" a="1"/>
  <c r="V411" i="3" s="1"/>
  <c r="Y410" i="3" a="1"/>
  <c r="Y410" i="3" s="1"/>
  <c r="X410" i="3" a="1"/>
  <c r="X410" i="3" s="1"/>
  <c r="W410" i="3" a="1"/>
  <c r="W410" i="3" s="1"/>
  <c r="V410" i="3" a="1"/>
  <c r="V410" i="3" s="1"/>
  <c r="Y408" i="3" a="1"/>
  <c r="Y408" i="3" s="1"/>
  <c r="X408" i="3" a="1"/>
  <c r="X408" i="3" s="1"/>
  <c r="W408" i="3" a="1"/>
  <c r="W408" i="3" s="1"/>
  <c r="V408" i="3" a="1"/>
  <c r="V408" i="3" s="1"/>
  <c r="Y407" i="3" a="1"/>
  <c r="Y407" i="3" s="1"/>
  <c r="X407" i="3" a="1"/>
  <c r="X407" i="3" s="1"/>
  <c r="W407" i="3" a="1"/>
  <c r="W407" i="3" s="1"/>
  <c r="V407" i="3" a="1"/>
  <c r="V407" i="3" s="1"/>
  <c r="Y406" i="3" a="1"/>
  <c r="Y406" i="3" s="1"/>
  <c r="X406" i="3" a="1"/>
  <c r="X406" i="3" s="1"/>
  <c r="W406" i="3" a="1"/>
  <c r="W406" i="3" s="1"/>
  <c r="V406" i="3" a="1"/>
  <c r="V406" i="3" s="1"/>
  <c r="Y404" i="3" a="1"/>
  <c r="Y404" i="3" s="1"/>
  <c r="X404" i="3" a="1"/>
  <c r="X404" i="3" s="1"/>
  <c r="W404" i="3" a="1"/>
  <c r="W404" i="3" s="1"/>
  <c r="V404" i="3" a="1"/>
  <c r="V404" i="3" s="1"/>
  <c r="Y403" i="3" a="1"/>
  <c r="Y403" i="3" s="1"/>
  <c r="X403" i="3" a="1"/>
  <c r="X403" i="3" s="1"/>
  <c r="W403" i="3" a="1"/>
  <c r="W403" i="3" s="1"/>
  <c r="V403" i="3" a="1"/>
  <c r="V403" i="3" s="1"/>
  <c r="Y402" i="3" a="1"/>
  <c r="Y402" i="3" s="1"/>
  <c r="X402" i="3" a="1"/>
  <c r="X402" i="3" s="1"/>
  <c r="W402" i="3" a="1"/>
  <c r="W402" i="3" s="1"/>
  <c r="V402" i="3" a="1"/>
  <c r="V402" i="3" s="1"/>
  <c r="Y400" i="3" a="1"/>
  <c r="Y400" i="3" s="1"/>
  <c r="X400" i="3" a="1"/>
  <c r="X400" i="3" s="1"/>
  <c r="W400" i="3" a="1"/>
  <c r="W400" i="3" s="1"/>
  <c r="V400" i="3" a="1"/>
  <c r="V400" i="3" s="1"/>
  <c r="Y399" i="3" a="1"/>
  <c r="Y399" i="3" s="1"/>
  <c r="X399" i="3" a="1"/>
  <c r="X399" i="3" s="1"/>
  <c r="W399" i="3" a="1"/>
  <c r="W399" i="3" s="1"/>
  <c r="V399" i="3" a="1"/>
  <c r="V399" i="3" s="1"/>
  <c r="Y398" i="3" a="1"/>
  <c r="Y398" i="3" s="1"/>
  <c r="X398" i="3" a="1"/>
  <c r="X398" i="3" s="1"/>
  <c r="W398" i="3" a="1"/>
  <c r="W398" i="3" s="1"/>
  <c r="V398" i="3" a="1"/>
  <c r="V398" i="3" s="1"/>
  <c r="Y396" i="3" a="1"/>
  <c r="Y396" i="3" s="1"/>
  <c r="X396" i="3" a="1"/>
  <c r="X396" i="3" s="1"/>
  <c r="W396" i="3" a="1"/>
  <c r="W396" i="3" s="1"/>
  <c r="V396" i="3" a="1"/>
  <c r="V396" i="3" s="1"/>
  <c r="Y395" i="3" a="1"/>
  <c r="Y395" i="3" s="1"/>
  <c r="X395" i="3" a="1"/>
  <c r="X395" i="3" s="1"/>
  <c r="W395" i="3" a="1"/>
  <c r="W395" i="3" s="1"/>
  <c r="V395" i="3" a="1"/>
  <c r="V395" i="3" s="1"/>
  <c r="Y394" i="3" a="1"/>
  <c r="Y394" i="3" s="1"/>
  <c r="X394" i="3" a="1"/>
  <c r="X394" i="3" s="1"/>
  <c r="W394" i="3" a="1"/>
  <c r="W394" i="3" s="1"/>
  <c r="V394" i="3" a="1"/>
  <c r="V394" i="3" s="1"/>
  <c r="Y392" i="3" a="1"/>
  <c r="Y392" i="3" s="1"/>
  <c r="X392" i="3" a="1"/>
  <c r="X392" i="3" s="1"/>
  <c r="W392" i="3" a="1"/>
  <c r="W392" i="3" s="1"/>
  <c r="V392" i="3" a="1"/>
  <c r="V392" i="3" s="1"/>
  <c r="Y391" i="3" a="1"/>
  <c r="Y391" i="3" s="1"/>
  <c r="X391" i="3" a="1"/>
  <c r="X391" i="3" s="1"/>
  <c r="W391" i="3" a="1"/>
  <c r="W391" i="3" s="1"/>
  <c r="V391" i="3" a="1"/>
  <c r="V391" i="3" s="1"/>
  <c r="Y390" i="3" a="1"/>
  <c r="Y390" i="3" s="1"/>
  <c r="X390" i="3" a="1"/>
  <c r="X390" i="3" s="1"/>
  <c r="W390" i="3" a="1"/>
  <c r="W390" i="3" s="1"/>
  <c r="V390" i="3" a="1"/>
  <c r="V390" i="3" s="1"/>
  <c r="Y388" i="3" a="1"/>
  <c r="Y388" i="3" s="1"/>
  <c r="X388" i="3" a="1"/>
  <c r="X388" i="3" s="1"/>
  <c r="W388" i="3" a="1"/>
  <c r="W388" i="3" s="1"/>
  <c r="V388" i="3" a="1"/>
  <c r="V388" i="3" s="1"/>
  <c r="Y387" i="3" a="1"/>
  <c r="Y387" i="3" s="1"/>
  <c r="X387" i="3" a="1"/>
  <c r="X387" i="3" s="1"/>
  <c r="W387" i="3" a="1"/>
  <c r="W387" i="3" s="1"/>
  <c r="V387" i="3" a="1"/>
  <c r="V387" i="3" s="1"/>
  <c r="Y386" i="3" a="1"/>
  <c r="Y386" i="3" s="1"/>
  <c r="X386" i="3" a="1"/>
  <c r="X386" i="3" s="1"/>
  <c r="W386" i="3" a="1"/>
  <c r="W386" i="3" s="1"/>
  <c r="V386" i="3" a="1"/>
  <c r="V386" i="3" s="1"/>
  <c r="Y384" i="3" a="1"/>
  <c r="Y384" i="3" s="1"/>
  <c r="X384" i="3" a="1"/>
  <c r="X384" i="3" s="1"/>
  <c r="W384" i="3" a="1"/>
  <c r="W384" i="3" s="1"/>
  <c r="V384" i="3" a="1"/>
  <c r="V384" i="3" s="1"/>
  <c r="Y383" i="3" a="1"/>
  <c r="Y383" i="3" s="1"/>
  <c r="X383" i="3" a="1"/>
  <c r="X383" i="3" s="1"/>
  <c r="W383" i="3" a="1"/>
  <c r="W383" i="3" s="1"/>
  <c r="V383" i="3" a="1"/>
  <c r="V383" i="3" s="1"/>
  <c r="Y382" i="3" a="1"/>
  <c r="Y382" i="3" s="1"/>
  <c r="X382" i="3" a="1"/>
  <c r="X382" i="3" s="1"/>
  <c r="W382" i="3" a="1"/>
  <c r="W382" i="3" s="1"/>
  <c r="V382" i="3" a="1"/>
  <c r="V382" i="3" s="1"/>
  <c r="Y380" i="3" a="1"/>
  <c r="Y380" i="3" s="1"/>
  <c r="X380" i="3" a="1"/>
  <c r="X380" i="3" s="1"/>
  <c r="W380" i="3" a="1"/>
  <c r="W380" i="3" s="1"/>
  <c r="V380" i="3" a="1"/>
  <c r="V380" i="3" s="1"/>
  <c r="Y379" i="3" a="1"/>
  <c r="Y379" i="3" s="1"/>
  <c r="X379" i="3" a="1"/>
  <c r="X379" i="3" s="1"/>
  <c r="W379" i="3" a="1"/>
  <c r="W379" i="3" s="1"/>
  <c r="V379" i="3" a="1"/>
  <c r="V379" i="3" s="1"/>
  <c r="Y378" i="3" a="1"/>
  <c r="Y378" i="3" s="1"/>
  <c r="X378" i="3" a="1"/>
  <c r="X378" i="3" s="1"/>
  <c r="W378" i="3" a="1"/>
  <c r="W378" i="3" s="1"/>
  <c r="V378" i="3" a="1"/>
  <c r="V378" i="3" s="1"/>
  <c r="Y377" i="3" a="1"/>
  <c r="Y377" i="3" s="1"/>
  <c r="X377" i="3" a="1"/>
  <c r="X377" i="3" s="1"/>
  <c r="W377" i="3" a="1"/>
  <c r="W377" i="3" s="1"/>
  <c r="V377" i="3" a="1"/>
  <c r="V377" i="3" s="1"/>
  <c r="Y376" i="3" a="1"/>
  <c r="Y376" i="3" s="1"/>
  <c r="X376" i="3" a="1"/>
  <c r="X376" i="3" s="1"/>
  <c r="W376" i="3" a="1"/>
  <c r="W376" i="3" s="1"/>
  <c r="V376" i="3" a="1"/>
  <c r="V376" i="3" s="1"/>
  <c r="Y375" i="3" a="1"/>
  <c r="Y375" i="3" s="1"/>
  <c r="X375" i="3" a="1"/>
  <c r="X375" i="3" s="1"/>
  <c r="W375" i="3" a="1"/>
  <c r="W375" i="3" s="1"/>
  <c r="V375" i="3" a="1"/>
  <c r="V375" i="3" s="1"/>
  <c r="Y374" i="3" a="1"/>
  <c r="Y374" i="3" s="1"/>
  <c r="X374" i="3" a="1"/>
  <c r="X374" i="3" s="1"/>
  <c r="W374" i="3" a="1"/>
  <c r="W374" i="3" s="1"/>
  <c r="V374" i="3" a="1"/>
  <c r="V374" i="3" s="1"/>
  <c r="Y373" i="3" a="1"/>
  <c r="Y373" i="3" s="1"/>
  <c r="X373" i="3" a="1"/>
  <c r="X373" i="3" s="1"/>
  <c r="W373" i="3" a="1"/>
  <c r="W373" i="3" s="1"/>
  <c r="V373" i="3" a="1"/>
  <c r="V373" i="3" s="1"/>
  <c r="Y372" i="3" a="1"/>
  <c r="Y372" i="3" s="1"/>
  <c r="X372" i="3" a="1"/>
  <c r="X372" i="3" s="1"/>
  <c r="W372" i="3" a="1"/>
  <c r="W372" i="3" s="1"/>
  <c r="V372" i="3" a="1"/>
  <c r="V372" i="3" s="1"/>
  <c r="Y371" i="3" a="1"/>
  <c r="Y371" i="3" s="1"/>
  <c r="X371" i="3" a="1"/>
  <c r="X371" i="3" s="1"/>
  <c r="W371" i="3" a="1"/>
  <c r="W371" i="3" s="1"/>
  <c r="V371" i="3" a="1"/>
  <c r="V371" i="3" s="1"/>
  <c r="Y370" i="3" a="1"/>
  <c r="Y370" i="3" s="1"/>
  <c r="X370" i="3" a="1"/>
  <c r="X370" i="3" s="1"/>
  <c r="W370" i="3" a="1"/>
  <c r="W370" i="3" s="1"/>
  <c r="V370" i="3" a="1"/>
  <c r="V370" i="3" s="1"/>
  <c r="Y369" i="3" a="1"/>
  <c r="Y369" i="3" s="1"/>
  <c r="X369" i="3" a="1"/>
  <c r="X369" i="3" s="1"/>
  <c r="W369" i="3" a="1"/>
  <c r="W369" i="3" s="1"/>
  <c r="V369" i="3" a="1"/>
  <c r="V369" i="3" s="1"/>
  <c r="Y368" i="3" a="1"/>
  <c r="Y368" i="3" s="1"/>
  <c r="X368" i="3" a="1"/>
  <c r="X368" i="3" s="1"/>
  <c r="W368" i="3" a="1"/>
  <c r="W368" i="3" s="1"/>
  <c r="V368" i="3" a="1"/>
  <c r="V368" i="3" s="1"/>
  <c r="Y367" i="3" a="1"/>
  <c r="Y367" i="3" s="1"/>
  <c r="X367" i="3" a="1"/>
  <c r="X367" i="3" s="1"/>
  <c r="W367" i="3" a="1"/>
  <c r="W367" i="3" s="1"/>
  <c r="V367" i="3" a="1"/>
  <c r="V367" i="3" s="1"/>
  <c r="Y366" i="3" a="1"/>
  <c r="Y366" i="3" s="1"/>
  <c r="X366" i="3" a="1"/>
  <c r="X366" i="3" s="1"/>
  <c r="W366" i="3" a="1"/>
  <c r="W366" i="3" s="1"/>
  <c r="V366" i="3" a="1"/>
  <c r="V366" i="3" s="1"/>
  <c r="Y364" i="3" a="1"/>
  <c r="Y364" i="3" s="1"/>
  <c r="X364" i="3" a="1"/>
  <c r="X364" i="3" s="1"/>
  <c r="W364" i="3" a="1"/>
  <c r="W364" i="3" s="1"/>
  <c r="V364" i="3" a="1"/>
  <c r="V364" i="3" s="1"/>
  <c r="Y363" i="3" a="1"/>
  <c r="Y363" i="3" s="1"/>
  <c r="X363" i="3" a="1"/>
  <c r="X363" i="3" s="1"/>
  <c r="W363" i="3" a="1"/>
  <c r="W363" i="3" s="1"/>
  <c r="V363" i="3" a="1"/>
  <c r="V363" i="3" s="1"/>
  <c r="Y362" i="3" a="1"/>
  <c r="Y362" i="3" s="1"/>
  <c r="X362" i="3" a="1"/>
  <c r="X362" i="3" s="1"/>
  <c r="W362" i="3" a="1"/>
  <c r="W362" i="3" s="1"/>
  <c r="V362" i="3" a="1"/>
  <c r="V362" i="3" s="1"/>
  <c r="Y361" i="3" a="1"/>
  <c r="Y361" i="3" s="1"/>
  <c r="X361" i="3" a="1"/>
  <c r="X361" i="3" s="1"/>
  <c r="W361" i="3" a="1"/>
  <c r="W361" i="3" s="1"/>
  <c r="V361" i="3" a="1"/>
  <c r="V361" i="3" s="1"/>
  <c r="Y360" i="3" a="1"/>
  <c r="Y360" i="3" s="1"/>
  <c r="X360" i="3" a="1"/>
  <c r="X360" i="3" s="1"/>
  <c r="W360" i="3" a="1"/>
  <c r="W360" i="3" s="1"/>
  <c r="V360" i="3" a="1"/>
  <c r="V360" i="3" s="1"/>
  <c r="Y359" i="3" a="1"/>
  <c r="Y359" i="3" s="1"/>
  <c r="X359" i="3" a="1"/>
  <c r="X359" i="3" s="1"/>
  <c r="W359" i="3" a="1"/>
  <c r="W359" i="3" s="1"/>
  <c r="V359" i="3" a="1"/>
  <c r="V359" i="3" s="1"/>
  <c r="Y358" i="3" a="1"/>
  <c r="Y358" i="3" s="1"/>
  <c r="X358" i="3" a="1"/>
  <c r="X358" i="3" s="1"/>
  <c r="W358" i="3" a="1"/>
  <c r="W358" i="3" s="1"/>
  <c r="V358" i="3" a="1"/>
  <c r="V358" i="3" s="1"/>
  <c r="Y357" i="3" a="1"/>
  <c r="Y357" i="3" s="1"/>
  <c r="X357" i="3" a="1"/>
  <c r="X357" i="3" s="1"/>
  <c r="W357" i="3" a="1"/>
  <c r="W357" i="3" s="1"/>
  <c r="V357" i="3" a="1"/>
  <c r="V357" i="3" s="1"/>
  <c r="Y356" i="3" a="1"/>
  <c r="Y356" i="3" s="1"/>
  <c r="X356" i="3" a="1"/>
  <c r="X356" i="3" s="1"/>
  <c r="W356" i="3" a="1"/>
  <c r="W356" i="3" s="1"/>
  <c r="V356" i="3" a="1"/>
  <c r="V356" i="3" s="1"/>
  <c r="Y355" i="3" a="1"/>
  <c r="Y355" i="3" s="1"/>
  <c r="X355" i="3" a="1"/>
  <c r="X355" i="3" s="1"/>
  <c r="W355" i="3" a="1"/>
  <c r="W355" i="3" s="1"/>
  <c r="V355" i="3" a="1"/>
  <c r="V355" i="3" s="1"/>
  <c r="Y354" i="3" a="1"/>
  <c r="Y354" i="3" s="1"/>
  <c r="X354" i="3" a="1"/>
  <c r="X354" i="3" s="1"/>
  <c r="W354" i="3" a="1"/>
  <c r="W354" i="3" s="1"/>
  <c r="V354" i="3" a="1"/>
  <c r="V354" i="3" s="1"/>
  <c r="Y353" i="3" a="1"/>
  <c r="Y353" i="3" s="1"/>
  <c r="X353" i="3" a="1"/>
  <c r="X353" i="3" s="1"/>
  <c r="W353" i="3" a="1"/>
  <c r="W353" i="3" s="1"/>
  <c r="V353" i="3" a="1"/>
  <c r="V353" i="3" s="1"/>
  <c r="Y352" i="3" a="1"/>
  <c r="Y352" i="3" s="1"/>
  <c r="X352" i="3" a="1"/>
  <c r="X352" i="3" s="1"/>
  <c r="W352" i="3" a="1"/>
  <c r="W352" i="3" s="1"/>
  <c r="V352" i="3" a="1"/>
  <c r="V352" i="3" s="1"/>
  <c r="Y349" i="3" a="1"/>
  <c r="Y349" i="3" s="1"/>
  <c r="X349" i="3" a="1"/>
  <c r="X349" i="3" s="1"/>
  <c r="W349" i="3" a="1"/>
  <c r="W349" i="3" s="1"/>
  <c r="V349" i="3" a="1"/>
  <c r="V349" i="3" s="1"/>
  <c r="Y346" i="3" a="1"/>
  <c r="Y346" i="3" s="1"/>
  <c r="X346" i="3" a="1"/>
  <c r="X346" i="3" s="1"/>
  <c r="W346" i="3" a="1"/>
  <c r="W346" i="3" s="1"/>
  <c r="V346" i="3" a="1"/>
  <c r="V346" i="3" s="1"/>
  <c r="Y343" i="3" a="1"/>
  <c r="Y343" i="3" s="1"/>
  <c r="X343" i="3" a="1"/>
  <c r="X343" i="3" s="1"/>
  <c r="W343" i="3" a="1"/>
  <c r="W343" i="3" s="1"/>
  <c r="V343" i="3" a="1"/>
  <c r="V343" i="3" s="1"/>
  <c r="Y340" i="3" a="1"/>
  <c r="Y340" i="3" s="1"/>
  <c r="X340" i="3" a="1"/>
  <c r="X340" i="3" s="1"/>
  <c r="W340" i="3" a="1"/>
  <c r="W340" i="3" s="1"/>
  <c r="V340" i="3" a="1"/>
  <c r="V340" i="3" s="1"/>
  <c r="Y339" i="3" a="1"/>
  <c r="Y339" i="3" s="1"/>
  <c r="X339" i="3" a="1"/>
  <c r="X339" i="3" s="1"/>
  <c r="W339" i="3" a="1"/>
  <c r="W339" i="3" s="1"/>
  <c r="V339" i="3" a="1"/>
  <c r="V339" i="3" s="1"/>
  <c r="Y338" i="3" a="1"/>
  <c r="Y338" i="3" s="1"/>
  <c r="X338" i="3" a="1"/>
  <c r="X338" i="3" s="1"/>
  <c r="W338" i="3" a="1"/>
  <c r="W338" i="3" s="1"/>
  <c r="V338" i="3" a="1"/>
  <c r="V338" i="3" s="1"/>
  <c r="Y337" i="3" a="1"/>
  <c r="Y337" i="3" s="1"/>
  <c r="X337" i="3" a="1"/>
  <c r="X337" i="3" s="1"/>
  <c r="W337" i="3" a="1"/>
  <c r="W337" i="3" s="1"/>
  <c r="V337" i="3" a="1"/>
  <c r="V337" i="3" s="1"/>
  <c r="Y336" i="3" a="1"/>
  <c r="Y336" i="3" s="1"/>
  <c r="X336" i="3" a="1"/>
  <c r="X336" i="3" s="1"/>
  <c r="W336" i="3" a="1"/>
  <c r="W336" i="3" s="1"/>
  <c r="V336" i="3" a="1"/>
  <c r="V336" i="3" s="1"/>
  <c r="Y335" i="3" a="1"/>
  <c r="Y335" i="3" s="1"/>
  <c r="X335" i="3" a="1"/>
  <c r="X335" i="3" s="1"/>
  <c r="W335" i="3" a="1"/>
  <c r="W335" i="3" s="1"/>
  <c r="V335" i="3" a="1"/>
  <c r="V335" i="3" s="1"/>
  <c r="Y334" i="3" a="1"/>
  <c r="Y334" i="3" s="1"/>
  <c r="X334" i="3" a="1"/>
  <c r="X334" i="3" s="1"/>
  <c r="W334" i="3" a="1"/>
  <c r="W334" i="3" s="1"/>
  <c r="V334" i="3" a="1"/>
  <c r="V334" i="3" s="1"/>
  <c r="Y333" i="3" a="1"/>
  <c r="Y333" i="3" s="1"/>
  <c r="X333" i="3" a="1"/>
  <c r="X333" i="3" s="1"/>
  <c r="W333" i="3" a="1"/>
  <c r="W333" i="3" s="1"/>
  <c r="V333" i="3" a="1"/>
  <c r="V333" i="3" s="1"/>
  <c r="Y332" i="3" a="1"/>
  <c r="Y332" i="3" s="1"/>
  <c r="X332" i="3" a="1"/>
  <c r="X332" i="3" s="1"/>
  <c r="W332" i="3" a="1"/>
  <c r="W332" i="3" s="1"/>
  <c r="V332" i="3" a="1"/>
  <c r="V332" i="3" s="1"/>
  <c r="Y331" i="3" a="1"/>
  <c r="Y331" i="3" s="1"/>
  <c r="X331" i="3" a="1"/>
  <c r="X331" i="3" s="1"/>
  <c r="W331" i="3" a="1"/>
  <c r="W331" i="3" s="1"/>
  <c r="V331" i="3" a="1"/>
  <c r="V331" i="3" s="1"/>
  <c r="Y330" i="3" a="1"/>
  <c r="Y330" i="3" s="1"/>
  <c r="X330" i="3" a="1"/>
  <c r="X330" i="3" s="1"/>
  <c r="W330" i="3" a="1"/>
  <c r="W330" i="3" s="1"/>
  <c r="V330" i="3" a="1"/>
  <c r="V330" i="3" s="1"/>
  <c r="Y329" i="3" a="1"/>
  <c r="Y329" i="3" s="1"/>
  <c r="X329" i="3" a="1"/>
  <c r="X329" i="3" s="1"/>
  <c r="W329" i="3" a="1"/>
  <c r="W329" i="3" s="1"/>
  <c r="V329" i="3" a="1"/>
  <c r="V329" i="3" s="1"/>
  <c r="Y328" i="3" a="1"/>
  <c r="Y328" i="3" s="1"/>
  <c r="X328" i="3" a="1"/>
  <c r="X328" i="3" s="1"/>
  <c r="W328" i="3" a="1"/>
  <c r="W328" i="3" s="1"/>
  <c r="V328" i="3" a="1"/>
  <c r="V328" i="3" s="1"/>
  <c r="Y327" i="3" a="1"/>
  <c r="Y327" i="3" s="1"/>
  <c r="X327" i="3" a="1"/>
  <c r="X327" i="3" s="1"/>
  <c r="W327" i="3" a="1"/>
  <c r="W327" i="3" s="1"/>
  <c r="V327" i="3" a="1"/>
  <c r="V327" i="3" s="1"/>
  <c r="Y326" i="3" a="1"/>
  <c r="Y326" i="3" s="1"/>
  <c r="X326" i="3" a="1"/>
  <c r="X326" i="3" s="1"/>
  <c r="W326" i="3" a="1"/>
  <c r="W326" i="3" s="1"/>
  <c r="V326" i="3" a="1"/>
  <c r="V326" i="3" s="1"/>
  <c r="Y325" i="3" a="1"/>
  <c r="Y325" i="3" s="1"/>
  <c r="X325" i="3" a="1"/>
  <c r="X325" i="3" s="1"/>
  <c r="W325" i="3" a="1"/>
  <c r="W325" i="3" s="1"/>
  <c r="V325" i="3" a="1"/>
  <c r="V325" i="3" s="1"/>
  <c r="Y324" i="3" a="1"/>
  <c r="Y324" i="3" s="1"/>
  <c r="X324" i="3" a="1"/>
  <c r="X324" i="3" s="1"/>
  <c r="W324" i="3" a="1"/>
  <c r="W324" i="3" s="1"/>
  <c r="V324" i="3" a="1"/>
  <c r="V324" i="3" s="1"/>
  <c r="Y323" i="3" a="1"/>
  <c r="Y323" i="3" s="1"/>
  <c r="X323" i="3" a="1"/>
  <c r="X323" i="3" s="1"/>
  <c r="W323" i="3" a="1"/>
  <c r="W323" i="3" s="1"/>
  <c r="V323" i="3" a="1"/>
  <c r="V323" i="3" s="1"/>
  <c r="Y322" i="3" a="1"/>
  <c r="Y322" i="3" s="1"/>
  <c r="X322" i="3" a="1"/>
  <c r="X322" i="3" s="1"/>
  <c r="W322" i="3" a="1"/>
  <c r="W322" i="3" s="1"/>
  <c r="V322" i="3" a="1"/>
  <c r="V322" i="3" s="1"/>
  <c r="Y321" i="3" a="1"/>
  <c r="Y321" i="3" s="1"/>
  <c r="X321" i="3" a="1"/>
  <c r="X321" i="3" s="1"/>
  <c r="W321" i="3" a="1"/>
  <c r="W321" i="3" s="1"/>
  <c r="V321" i="3" a="1"/>
  <c r="V321" i="3" s="1"/>
  <c r="Y320" i="3" a="1"/>
  <c r="Y320" i="3" s="1"/>
  <c r="X320" i="3" a="1"/>
  <c r="X320" i="3" s="1"/>
  <c r="W320" i="3" a="1"/>
  <c r="W320" i="3" s="1"/>
  <c r="V320" i="3" a="1"/>
  <c r="V320" i="3" s="1"/>
  <c r="Y319" i="3" a="1"/>
  <c r="Y319" i="3" s="1"/>
  <c r="X319" i="3" a="1"/>
  <c r="X319" i="3" s="1"/>
  <c r="W319" i="3" a="1"/>
  <c r="W319" i="3" s="1"/>
  <c r="V319" i="3" a="1"/>
  <c r="V319" i="3" s="1"/>
  <c r="Y318" i="3" a="1"/>
  <c r="Y318" i="3" s="1"/>
  <c r="X318" i="3" a="1"/>
  <c r="X318" i="3" s="1"/>
  <c r="W318" i="3" a="1"/>
  <c r="W318" i="3" s="1"/>
  <c r="V318" i="3" a="1"/>
  <c r="V318" i="3" s="1"/>
  <c r="Y317" i="3" a="1"/>
  <c r="Y317" i="3" s="1"/>
  <c r="X317" i="3" a="1"/>
  <c r="X317" i="3" s="1"/>
  <c r="W317" i="3" a="1"/>
  <c r="W317" i="3" s="1"/>
  <c r="V317" i="3" a="1"/>
  <c r="V317" i="3" s="1"/>
  <c r="Y316" i="3" a="1"/>
  <c r="Y316" i="3" s="1"/>
  <c r="X316" i="3" a="1"/>
  <c r="X316" i="3" s="1"/>
  <c r="W316" i="3" a="1"/>
  <c r="W316" i="3" s="1"/>
  <c r="V316" i="3" a="1"/>
  <c r="V316" i="3" s="1"/>
  <c r="Y315" i="3" a="1"/>
  <c r="Y315" i="3" s="1"/>
  <c r="X315" i="3" a="1"/>
  <c r="X315" i="3" s="1"/>
  <c r="W315" i="3" a="1"/>
  <c r="W315" i="3" s="1"/>
  <c r="V315" i="3" a="1"/>
  <c r="V315" i="3" s="1"/>
  <c r="Y314" i="3" a="1"/>
  <c r="Y314" i="3" s="1"/>
  <c r="X314" i="3" a="1"/>
  <c r="X314" i="3" s="1"/>
  <c r="W314" i="3" a="1"/>
  <c r="W314" i="3" s="1"/>
  <c r="V314" i="3" a="1"/>
  <c r="V314" i="3" s="1"/>
  <c r="Y313" i="3" a="1"/>
  <c r="Y313" i="3" s="1"/>
  <c r="X313" i="3" a="1"/>
  <c r="X313" i="3" s="1"/>
  <c r="W313" i="3" a="1"/>
  <c r="W313" i="3" s="1"/>
  <c r="V313" i="3" a="1"/>
  <c r="V313" i="3" s="1"/>
  <c r="Y312" i="3" a="1"/>
  <c r="Y312" i="3" s="1"/>
  <c r="X312" i="3" a="1"/>
  <c r="X312" i="3" s="1"/>
  <c r="W312" i="3" a="1"/>
  <c r="W312" i="3" s="1"/>
  <c r="V312" i="3" a="1"/>
  <c r="V312" i="3" s="1"/>
  <c r="Y311" i="3" a="1"/>
  <c r="Y311" i="3" s="1"/>
  <c r="X311" i="3" a="1"/>
  <c r="X311" i="3" s="1"/>
  <c r="W311" i="3" a="1"/>
  <c r="W311" i="3" s="1"/>
  <c r="V311" i="3" a="1"/>
  <c r="V311" i="3" s="1"/>
  <c r="Y310" i="3" a="1"/>
  <c r="Y310" i="3" s="1"/>
  <c r="X310" i="3" a="1"/>
  <c r="X310" i="3" s="1"/>
  <c r="W310" i="3" a="1"/>
  <c r="W310" i="3" s="1"/>
  <c r="V310" i="3" a="1"/>
  <c r="V310" i="3" s="1"/>
  <c r="Y309" i="3" a="1"/>
  <c r="Y309" i="3" s="1"/>
  <c r="X309" i="3" a="1"/>
  <c r="X309" i="3" s="1"/>
  <c r="W309" i="3" a="1"/>
  <c r="W309" i="3" s="1"/>
  <c r="V309" i="3" a="1"/>
  <c r="V309" i="3" s="1"/>
  <c r="Y308" i="3" a="1"/>
  <c r="Y308" i="3" s="1"/>
  <c r="X308" i="3" a="1"/>
  <c r="X308" i="3" s="1"/>
  <c r="W308" i="3" a="1"/>
  <c r="W308" i="3" s="1"/>
  <c r="V308" i="3" a="1"/>
  <c r="V308" i="3" s="1"/>
  <c r="Y307" i="3" a="1"/>
  <c r="Y307" i="3" s="1"/>
  <c r="X307" i="3" a="1"/>
  <c r="X307" i="3" s="1"/>
  <c r="W307" i="3" a="1"/>
  <c r="W307" i="3" s="1"/>
  <c r="V307" i="3" a="1"/>
  <c r="V307" i="3" s="1"/>
  <c r="Y306" i="3" a="1"/>
  <c r="Y306" i="3" s="1"/>
  <c r="X306" i="3" a="1"/>
  <c r="X306" i="3" s="1"/>
  <c r="W306" i="3" a="1"/>
  <c r="W306" i="3" s="1"/>
  <c r="V306" i="3" a="1"/>
  <c r="V306" i="3" s="1"/>
  <c r="Y305" i="3" a="1"/>
  <c r="Y305" i="3" s="1"/>
  <c r="X305" i="3" a="1"/>
  <c r="X305" i="3" s="1"/>
  <c r="W305" i="3" a="1"/>
  <c r="W305" i="3" s="1"/>
  <c r="V305" i="3" a="1"/>
  <c r="V305" i="3" s="1"/>
  <c r="Y304" i="3" a="1"/>
  <c r="Y304" i="3" s="1"/>
  <c r="X304" i="3" a="1"/>
  <c r="X304" i="3" s="1"/>
  <c r="W304" i="3" a="1"/>
  <c r="W304" i="3" s="1"/>
  <c r="V304" i="3" a="1"/>
  <c r="V304" i="3" s="1"/>
  <c r="Y303" i="3" a="1"/>
  <c r="Y303" i="3" s="1"/>
  <c r="X303" i="3" a="1"/>
  <c r="X303" i="3" s="1"/>
  <c r="W303" i="3" a="1"/>
  <c r="W303" i="3" s="1"/>
  <c r="V303" i="3" a="1"/>
  <c r="V303" i="3" s="1"/>
  <c r="Y302" i="3" a="1"/>
  <c r="Y302" i="3" s="1"/>
  <c r="X302" i="3" a="1"/>
  <c r="X302" i="3" s="1"/>
  <c r="W302" i="3" a="1"/>
  <c r="W302" i="3" s="1"/>
  <c r="V302" i="3" a="1"/>
  <c r="V302" i="3" s="1"/>
  <c r="Y301" i="3" a="1"/>
  <c r="Y301" i="3" s="1"/>
  <c r="X301" i="3" a="1"/>
  <c r="X301" i="3" s="1"/>
  <c r="W301" i="3" a="1"/>
  <c r="W301" i="3" s="1"/>
  <c r="V301" i="3" a="1"/>
  <c r="V301" i="3" s="1"/>
  <c r="Y300" i="3" a="1"/>
  <c r="Y300" i="3" s="1"/>
  <c r="X300" i="3" a="1"/>
  <c r="X300" i="3" s="1"/>
  <c r="W300" i="3" a="1"/>
  <c r="W300" i="3" s="1"/>
  <c r="V300" i="3" a="1"/>
  <c r="V300" i="3" s="1"/>
  <c r="Y299" i="3" a="1"/>
  <c r="Y299" i="3" s="1"/>
  <c r="X299" i="3" a="1"/>
  <c r="X299" i="3" s="1"/>
  <c r="W299" i="3" a="1"/>
  <c r="W299" i="3" s="1"/>
  <c r="V299" i="3" a="1"/>
  <c r="V299" i="3" s="1"/>
  <c r="Y298" i="3" a="1"/>
  <c r="Y298" i="3" s="1"/>
  <c r="X298" i="3" a="1"/>
  <c r="X298" i="3" s="1"/>
  <c r="W298" i="3" a="1"/>
  <c r="W298" i="3" s="1"/>
  <c r="V298" i="3" a="1"/>
  <c r="V298" i="3" s="1"/>
  <c r="Y297" i="3" a="1"/>
  <c r="Y297" i="3" s="1"/>
  <c r="X297" i="3" a="1"/>
  <c r="X297" i="3" s="1"/>
  <c r="W297" i="3" a="1"/>
  <c r="W297" i="3" s="1"/>
  <c r="V297" i="3" a="1"/>
  <c r="V297" i="3" s="1"/>
  <c r="Y296" i="3" a="1"/>
  <c r="Y296" i="3" s="1"/>
  <c r="X296" i="3" a="1"/>
  <c r="X296" i="3" s="1"/>
  <c r="W296" i="3" a="1"/>
  <c r="W296" i="3" s="1"/>
  <c r="V296" i="3" a="1"/>
  <c r="V296" i="3" s="1"/>
  <c r="Y295" i="3" a="1"/>
  <c r="Y295" i="3" s="1"/>
  <c r="X295" i="3" a="1"/>
  <c r="X295" i="3" s="1"/>
  <c r="W295" i="3" a="1"/>
  <c r="W295" i="3" s="1"/>
  <c r="V295" i="3" a="1"/>
  <c r="V295" i="3" s="1"/>
  <c r="Y293" i="3" a="1"/>
  <c r="Y293" i="3" s="1"/>
  <c r="X293" i="3" a="1"/>
  <c r="X293" i="3" s="1"/>
  <c r="W293" i="3" a="1"/>
  <c r="W293" i="3" s="1"/>
  <c r="V293" i="3" a="1"/>
  <c r="V293" i="3" s="1"/>
  <c r="Y291" i="3" a="1"/>
  <c r="Y291" i="3" s="1"/>
  <c r="X291" i="3" a="1"/>
  <c r="X291" i="3" s="1"/>
  <c r="W291" i="3" a="1"/>
  <c r="W291" i="3" s="1"/>
  <c r="V291" i="3" a="1"/>
  <c r="V291" i="3" s="1"/>
  <c r="Y289" i="3" a="1"/>
  <c r="Y289" i="3" s="1"/>
  <c r="X289" i="3" a="1"/>
  <c r="X289" i="3" s="1"/>
  <c r="W289" i="3" a="1"/>
  <c r="W289" i="3" s="1"/>
  <c r="V289" i="3" a="1"/>
  <c r="V289" i="3" s="1"/>
  <c r="Y287" i="3" a="1"/>
  <c r="Y287" i="3" s="1"/>
  <c r="X287" i="3" a="1"/>
  <c r="X287" i="3" s="1"/>
  <c r="W287" i="3" a="1"/>
  <c r="W287" i="3" s="1"/>
  <c r="V287" i="3" a="1"/>
  <c r="V287" i="3" s="1"/>
  <c r="Y285" i="3" a="1"/>
  <c r="Y285" i="3" s="1"/>
  <c r="X285" i="3" a="1"/>
  <c r="X285" i="3" s="1"/>
  <c r="W285" i="3" a="1"/>
  <c r="W285" i="3" s="1"/>
  <c r="V285" i="3" a="1"/>
  <c r="V285" i="3" s="1"/>
  <c r="Y283" i="3" a="1"/>
  <c r="Y283" i="3" s="1"/>
  <c r="X283" i="3" a="1"/>
  <c r="X283" i="3" s="1"/>
  <c r="W283" i="3" a="1"/>
  <c r="W283" i="3" s="1"/>
  <c r="V283" i="3" a="1"/>
  <c r="V283" i="3" s="1"/>
  <c r="Y281" i="3" a="1"/>
  <c r="Y281" i="3" s="1"/>
  <c r="X281" i="3" a="1"/>
  <c r="X281" i="3" s="1"/>
  <c r="W281" i="3" a="1"/>
  <c r="W281" i="3" s="1"/>
  <c r="V281" i="3" a="1"/>
  <c r="V281" i="3" s="1"/>
  <c r="Y279" i="3" a="1"/>
  <c r="Y279" i="3" s="1"/>
  <c r="X279" i="3" a="1"/>
  <c r="X279" i="3" s="1"/>
  <c r="W279" i="3" a="1"/>
  <c r="W279" i="3" s="1"/>
  <c r="V279" i="3" a="1"/>
  <c r="V279" i="3" s="1"/>
  <c r="Y277" i="3" a="1"/>
  <c r="Y277" i="3" s="1"/>
  <c r="X277" i="3" a="1"/>
  <c r="X277" i="3" s="1"/>
  <c r="W277" i="3" a="1"/>
  <c r="W277" i="3" s="1"/>
  <c r="V277" i="3" a="1"/>
  <c r="V277" i="3" s="1"/>
  <c r="Y276" i="3" a="1"/>
  <c r="Y276" i="3" s="1"/>
  <c r="X276" i="3" a="1"/>
  <c r="X276" i="3" s="1"/>
  <c r="W276" i="3" a="1"/>
  <c r="W276" i="3" s="1"/>
  <c r="V276" i="3" a="1"/>
  <c r="V276" i="3" s="1"/>
  <c r="Y275" i="3" a="1"/>
  <c r="Y275" i="3" s="1"/>
  <c r="X275" i="3" a="1"/>
  <c r="X275" i="3" s="1"/>
  <c r="W275" i="3" a="1"/>
  <c r="W275" i="3" s="1"/>
  <c r="V275" i="3" a="1"/>
  <c r="V275" i="3" s="1"/>
  <c r="Y274" i="3" a="1"/>
  <c r="Y274" i="3" s="1"/>
  <c r="X274" i="3" a="1"/>
  <c r="X274" i="3" s="1"/>
  <c r="W274" i="3" a="1"/>
  <c r="W274" i="3" s="1"/>
  <c r="V274" i="3" a="1"/>
  <c r="V274" i="3" s="1"/>
  <c r="Y273" i="3" a="1"/>
  <c r="Y273" i="3" s="1"/>
  <c r="X273" i="3" a="1"/>
  <c r="X273" i="3" s="1"/>
  <c r="W273" i="3" a="1"/>
  <c r="W273" i="3" s="1"/>
  <c r="V273" i="3" a="1"/>
  <c r="V273" i="3" s="1"/>
  <c r="Y272" i="3" a="1"/>
  <c r="Y272" i="3" s="1"/>
  <c r="X272" i="3" a="1"/>
  <c r="X272" i="3" s="1"/>
  <c r="W272" i="3" a="1"/>
  <c r="W272" i="3" s="1"/>
  <c r="V272" i="3" a="1"/>
  <c r="V272" i="3" s="1"/>
  <c r="Y271" i="3" a="1"/>
  <c r="Y271" i="3" s="1"/>
  <c r="X271" i="3" a="1"/>
  <c r="X271" i="3" s="1"/>
  <c r="W271" i="3" a="1"/>
  <c r="W271" i="3" s="1"/>
  <c r="V271" i="3" a="1"/>
  <c r="V271" i="3" s="1"/>
  <c r="Y270" i="3" a="1"/>
  <c r="Y270" i="3" s="1"/>
  <c r="X270" i="3" a="1"/>
  <c r="X270" i="3" s="1"/>
  <c r="W270" i="3" a="1"/>
  <c r="W270" i="3" s="1"/>
  <c r="V270" i="3" a="1"/>
  <c r="V270" i="3" s="1"/>
  <c r="Y269" i="3" a="1"/>
  <c r="Y269" i="3" s="1"/>
  <c r="X269" i="3" a="1"/>
  <c r="X269" i="3" s="1"/>
  <c r="W269" i="3" a="1"/>
  <c r="W269" i="3" s="1"/>
  <c r="V269" i="3" a="1"/>
  <c r="V269" i="3" s="1"/>
  <c r="Y268" i="3" a="1"/>
  <c r="Y268" i="3" s="1"/>
  <c r="X268" i="3" a="1"/>
  <c r="X268" i="3" s="1"/>
  <c r="W268" i="3" a="1"/>
  <c r="W268" i="3" s="1"/>
  <c r="V268" i="3" a="1"/>
  <c r="V268" i="3" s="1"/>
  <c r="Y267" i="3" a="1"/>
  <c r="Y267" i="3" s="1"/>
  <c r="X267" i="3" a="1"/>
  <c r="X267" i="3" s="1"/>
  <c r="W267" i="3" a="1"/>
  <c r="W267" i="3" s="1"/>
  <c r="V267" i="3" a="1"/>
  <c r="V267" i="3" s="1"/>
  <c r="Y266" i="3" a="1"/>
  <c r="Y266" i="3" s="1"/>
  <c r="X266" i="3" a="1"/>
  <c r="X266" i="3" s="1"/>
  <c r="W266" i="3" a="1"/>
  <c r="W266" i="3" s="1"/>
  <c r="V266" i="3" a="1"/>
  <c r="V266" i="3" s="1"/>
  <c r="Y265" i="3" a="1"/>
  <c r="Y265" i="3" s="1"/>
  <c r="X265" i="3" a="1"/>
  <c r="X265" i="3" s="1"/>
  <c r="W265" i="3" a="1"/>
  <c r="W265" i="3" s="1"/>
  <c r="V265" i="3" a="1"/>
  <c r="V265" i="3" s="1"/>
  <c r="Y264" i="3" a="1"/>
  <c r="Y264" i="3" s="1"/>
  <c r="X264" i="3" a="1"/>
  <c r="X264" i="3" s="1"/>
  <c r="W264" i="3" a="1"/>
  <c r="W264" i="3" s="1"/>
  <c r="V264" i="3" a="1"/>
  <c r="V264" i="3" s="1"/>
  <c r="Y263" i="3" a="1"/>
  <c r="Y263" i="3" s="1"/>
  <c r="X263" i="3" a="1"/>
  <c r="X263" i="3" s="1"/>
  <c r="W263" i="3" a="1"/>
  <c r="W263" i="3" s="1"/>
  <c r="V263" i="3" a="1"/>
  <c r="V263" i="3" s="1"/>
  <c r="Y262" i="3" a="1"/>
  <c r="Y262" i="3" s="1"/>
  <c r="X262" i="3" a="1"/>
  <c r="X262" i="3" s="1"/>
  <c r="W262" i="3" a="1"/>
  <c r="W262" i="3" s="1"/>
  <c r="V262" i="3" a="1"/>
  <c r="V262" i="3" s="1"/>
  <c r="Y261" i="3" a="1"/>
  <c r="Y261" i="3" s="1"/>
  <c r="X261" i="3" a="1"/>
  <c r="X261" i="3" s="1"/>
  <c r="W261" i="3" a="1"/>
  <c r="W261" i="3" s="1"/>
  <c r="V261" i="3" a="1"/>
  <c r="V261" i="3" s="1"/>
  <c r="Y260" i="3" a="1"/>
  <c r="Y260" i="3" s="1"/>
  <c r="X260" i="3" a="1"/>
  <c r="X260" i="3" s="1"/>
  <c r="W260" i="3" a="1"/>
  <c r="W260" i="3" s="1"/>
  <c r="V260" i="3" a="1"/>
  <c r="V260" i="3" s="1"/>
  <c r="Y259" i="3" a="1"/>
  <c r="Y259" i="3" s="1"/>
  <c r="X259" i="3" a="1"/>
  <c r="X259" i="3" s="1"/>
  <c r="W259" i="3" a="1"/>
  <c r="W259" i="3" s="1"/>
  <c r="V259" i="3" a="1"/>
  <c r="V259" i="3" s="1"/>
  <c r="Y257" i="3" a="1"/>
  <c r="Y257" i="3" s="1"/>
  <c r="X257" i="3" a="1"/>
  <c r="X257" i="3" s="1"/>
  <c r="W257" i="3" a="1"/>
  <c r="W257" i="3" s="1"/>
  <c r="V257" i="3" a="1"/>
  <c r="V257" i="3" s="1"/>
  <c r="Y255" i="3" a="1"/>
  <c r="Y255" i="3" s="1"/>
  <c r="X255" i="3" a="1"/>
  <c r="X255" i="3" s="1"/>
  <c r="W255" i="3" a="1"/>
  <c r="W255" i="3" s="1"/>
  <c r="V255" i="3" a="1"/>
  <c r="V255" i="3" s="1"/>
  <c r="Y253" i="3" a="1"/>
  <c r="Y253" i="3" s="1"/>
  <c r="X253" i="3" a="1"/>
  <c r="X253" i="3" s="1"/>
  <c r="W253" i="3" a="1"/>
  <c r="W253" i="3" s="1"/>
  <c r="V253" i="3" a="1"/>
  <c r="V253" i="3" s="1"/>
  <c r="Y251" i="3" a="1"/>
  <c r="Y251" i="3" s="1"/>
  <c r="X251" i="3" a="1"/>
  <c r="X251" i="3" s="1"/>
  <c r="W251" i="3" a="1"/>
  <c r="W251" i="3" s="1"/>
  <c r="V251" i="3" a="1"/>
  <c r="V251" i="3" s="1"/>
  <c r="Y249" i="3" a="1"/>
  <c r="Y249" i="3" s="1"/>
  <c r="X249" i="3" a="1"/>
  <c r="X249" i="3" s="1"/>
  <c r="W249" i="3" a="1"/>
  <c r="W249" i="3" s="1"/>
  <c r="V249" i="3" a="1"/>
  <c r="V249" i="3" s="1"/>
  <c r="Y247" i="3" a="1"/>
  <c r="Y247" i="3" s="1"/>
  <c r="X247" i="3" a="1"/>
  <c r="X247" i="3" s="1"/>
  <c r="W247" i="3" a="1"/>
  <c r="W247" i="3" s="1"/>
  <c r="V247" i="3" a="1"/>
  <c r="V247" i="3" s="1"/>
  <c r="Y245" i="3" a="1"/>
  <c r="Y245" i="3" s="1"/>
  <c r="X245" i="3" a="1"/>
  <c r="X245" i="3" s="1"/>
  <c r="W245" i="3" a="1"/>
  <c r="W245" i="3" s="1"/>
  <c r="V245" i="3" a="1"/>
  <c r="V245" i="3" s="1"/>
  <c r="Y243" i="3" a="1"/>
  <c r="Y243" i="3" s="1"/>
  <c r="X243" i="3" a="1"/>
  <c r="X243" i="3" s="1"/>
  <c r="W243" i="3" a="1"/>
  <c r="W243" i="3" s="1"/>
  <c r="V243" i="3" a="1"/>
  <c r="V243" i="3" s="1"/>
  <c r="Y241" i="3" a="1"/>
  <c r="Y241" i="3" s="1"/>
  <c r="X241" i="3" a="1"/>
  <c r="X241" i="3" s="1"/>
  <c r="W241" i="3" a="1"/>
  <c r="W241" i="3" s="1"/>
  <c r="V241" i="3" a="1"/>
  <c r="V241" i="3" s="1"/>
  <c r="Y240" i="3" a="1"/>
  <c r="Y240" i="3" s="1"/>
  <c r="X240" i="3" a="1"/>
  <c r="X240" i="3" s="1"/>
  <c r="W240" i="3" a="1"/>
  <c r="W240" i="3" s="1"/>
  <c r="V240" i="3" a="1"/>
  <c r="V240" i="3" s="1"/>
  <c r="Y239" i="3" a="1"/>
  <c r="Y239" i="3" s="1"/>
  <c r="X239" i="3" a="1"/>
  <c r="X239" i="3" s="1"/>
  <c r="W239" i="3" a="1"/>
  <c r="W239" i="3" s="1"/>
  <c r="V239" i="3" a="1"/>
  <c r="V239" i="3" s="1"/>
  <c r="Y238" i="3" a="1"/>
  <c r="Y238" i="3" s="1"/>
  <c r="X238" i="3" a="1"/>
  <c r="X238" i="3" s="1"/>
  <c r="W238" i="3" a="1"/>
  <c r="W238" i="3" s="1"/>
  <c r="V238" i="3" a="1"/>
  <c r="V238" i="3" s="1"/>
  <c r="Y237" i="3" a="1"/>
  <c r="Y237" i="3" s="1"/>
  <c r="X237" i="3" a="1"/>
  <c r="X237" i="3" s="1"/>
  <c r="W237" i="3" a="1"/>
  <c r="W237" i="3" s="1"/>
  <c r="V237" i="3" a="1"/>
  <c r="V237" i="3" s="1"/>
  <c r="Y236" i="3" a="1"/>
  <c r="Y236" i="3" s="1"/>
  <c r="X236" i="3" a="1"/>
  <c r="X236" i="3" s="1"/>
  <c r="W236" i="3" a="1"/>
  <c r="W236" i="3" s="1"/>
  <c r="V236" i="3" a="1"/>
  <c r="V236" i="3" s="1"/>
  <c r="Y235" i="3" a="1"/>
  <c r="Y235" i="3" s="1"/>
  <c r="X235" i="3" a="1"/>
  <c r="X235" i="3" s="1"/>
  <c r="W235" i="3" a="1"/>
  <c r="W235" i="3" s="1"/>
  <c r="V235" i="3" a="1"/>
  <c r="V235" i="3" s="1"/>
  <c r="Y234" i="3" a="1"/>
  <c r="Y234" i="3" s="1"/>
  <c r="X234" i="3" a="1"/>
  <c r="X234" i="3" s="1"/>
  <c r="W234" i="3" a="1"/>
  <c r="W234" i="3" s="1"/>
  <c r="V234" i="3" a="1"/>
  <c r="V234" i="3" s="1"/>
  <c r="Y233" i="3" a="1"/>
  <c r="Y233" i="3" s="1"/>
  <c r="X233" i="3" a="1"/>
  <c r="X233" i="3" s="1"/>
  <c r="W233" i="3" a="1"/>
  <c r="W233" i="3" s="1"/>
  <c r="V233" i="3" a="1"/>
  <c r="V233" i="3" s="1"/>
  <c r="Y232" i="3" a="1"/>
  <c r="Y232" i="3" s="1"/>
  <c r="X232" i="3" a="1"/>
  <c r="X232" i="3" s="1"/>
  <c r="W232" i="3" a="1"/>
  <c r="W232" i="3" s="1"/>
  <c r="V232" i="3" a="1"/>
  <c r="V232" i="3" s="1"/>
  <c r="Y231" i="3" a="1"/>
  <c r="Y231" i="3" s="1"/>
  <c r="X231" i="3" a="1"/>
  <c r="X231" i="3" s="1"/>
  <c r="W231" i="3" a="1"/>
  <c r="W231" i="3" s="1"/>
  <c r="V231" i="3" a="1"/>
  <c r="V231" i="3" s="1"/>
  <c r="Y230" i="3" a="1"/>
  <c r="Y230" i="3" s="1"/>
  <c r="X230" i="3" a="1"/>
  <c r="X230" i="3" s="1"/>
  <c r="W230" i="3" a="1"/>
  <c r="W230" i="3" s="1"/>
  <c r="V230" i="3" a="1"/>
  <c r="V230" i="3" s="1"/>
  <c r="Y229" i="3" a="1"/>
  <c r="Y229" i="3" s="1"/>
  <c r="X229" i="3" a="1"/>
  <c r="X229" i="3" s="1"/>
  <c r="W229" i="3" a="1"/>
  <c r="W229" i="3" s="1"/>
  <c r="V229" i="3" a="1"/>
  <c r="V229" i="3" s="1"/>
  <c r="Y228" i="3" a="1"/>
  <c r="Y228" i="3" s="1"/>
  <c r="X228" i="3" a="1"/>
  <c r="X228" i="3" s="1"/>
  <c r="W228" i="3" a="1"/>
  <c r="W228" i="3" s="1"/>
  <c r="V228" i="3" a="1"/>
  <c r="V228" i="3" s="1"/>
  <c r="Y227" i="3" a="1"/>
  <c r="Y227" i="3" s="1"/>
  <c r="X227" i="3" a="1"/>
  <c r="X227" i="3" s="1"/>
  <c r="W227" i="3" a="1"/>
  <c r="W227" i="3" s="1"/>
  <c r="V227" i="3" a="1"/>
  <c r="V227" i="3" s="1"/>
  <c r="Y226" i="3" a="1"/>
  <c r="Y226" i="3" s="1"/>
  <c r="X226" i="3" a="1"/>
  <c r="X226" i="3" s="1"/>
  <c r="W226" i="3" a="1"/>
  <c r="W226" i="3" s="1"/>
  <c r="V226" i="3" a="1"/>
  <c r="V226" i="3" s="1"/>
  <c r="Y225" i="3" a="1"/>
  <c r="Y225" i="3" s="1"/>
  <c r="X225" i="3" a="1"/>
  <c r="X225" i="3" s="1"/>
  <c r="W225" i="3" a="1"/>
  <c r="W225" i="3" s="1"/>
  <c r="V225" i="3" a="1"/>
  <c r="V225" i="3" s="1"/>
  <c r="Y224" i="3" a="1"/>
  <c r="Y224" i="3" s="1"/>
  <c r="X224" i="3" a="1"/>
  <c r="X224" i="3" s="1"/>
  <c r="W224" i="3" a="1"/>
  <c r="W224" i="3" s="1"/>
  <c r="V224" i="3" a="1"/>
  <c r="V224" i="3" s="1"/>
  <c r="Y223" i="3" a="1"/>
  <c r="Y223" i="3" s="1"/>
  <c r="X223" i="3" a="1"/>
  <c r="X223" i="3" s="1"/>
  <c r="W223" i="3" a="1"/>
  <c r="W223" i="3" s="1"/>
  <c r="V223" i="3" a="1"/>
  <c r="V223" i="3" s="1"/>
  <c r="Y222" i="3" a="1"/>
  <c r="Y222" i="3" s="1"/>
  <c r="X222" i="3" a="1"/>
  <c r="X222" i="3" s="1"/>
  <c r="W222" i="3" a="1"/>
  <c r="W222" i="3" s="1"/>
  <c r="V222" i="3" a="1"/>
  <c r="V222" i="3" s="1"/>
  <c r="Y221" i="3" a="1"/>
  <c r="Y221" i="3" s="1"/>
  <c r="X221" i="3" a="1"/>
  <c r="X221" i="3" s="1"/>
  <c r="W221" i="3" a="1"/>
  <c r="W221" i="3" s="1"/>
  <c r="V221" i="3" a="1"/>
  <c r="V221" i="3" s="1"/>
  <c r="Y220" i="3" a="1"/>
  <c r="Y220" i="3" s="1"/>
  <c r="X220" i="3" a="1"/>
  <c r="X220" i="3" s="1"/>
  <c r="W220" i="3" a="1"/>
  <c r="W220" i="3" s="1"/>
  <c r="V220" i="3" a="1"/>
  <c r="V220" i="3" s="1"/>
  <c r="Y219" i="3" a="1"/>
  <c r="Y219" i="3" s="1"/>
  <c r="X219" i="3" a="1"/>
  <c r="X219" i="3" s="1"/>
  <c r="W219" i="3" a="1"/>
  <c r="W219" i="3" s="1"/>
  <c r="V219" i="3" a="1"/>
  <c r="V219" i="3" s="1"/>
  <c r="Y218" i="3" a="1"/>
  <c r="Y218" i="3" s="1"/>
  <c r="X218" i="3" a="1"/>
  <c r="X218" i="3" s="1"/>
  <c r="W218" i="3" a="1"/>
  <c r="W218" i="3" s="1"/>
  <c r="V218" i="3" a="1"/>
  <c r="V218" i="3" s="1"/>
  <c r="Y217" i="3" a="1"/>
  <c r="Y217" i="3" s="1"/>
  <c r="X217" i="3" a="1"/>
  <c r="X217" i="3" s="1"/>
  <c r="W217" i="3" a="1"/>
  <c r="W217" i="3" s="1"/>
  <c r="V217" i="3" a="1"/>
  <c r="V217" i="3" s="1"/>
  <c r="Y216" i="3" a="1"/>
  <c r="Y216" i="3" s="1"/>
  <c r="X216" i="3" a="1"/>
  <c r="X216" i="3" s="1"/>
  <c r="W216" i="3" a="1"/>
  <c r="W216" i="3" s="1"/>
  <c r="V216" i="3" a="1"/>
  <c r="V216" i="3" s="1"/>
  <c r="Y215" i="3" a="1"/>
  <c r="Y215" i="3" s="1"/>
  <c r="X215" i="3" a="1"/>
  <c r="X215" i="3" s="1"/>
  <c r="W215" i="3" a="1"/>
  <c r="W215" i="3" s="1"/>
  <c r="V215" i="3" a="1"/>
  <c r="V215" i="3" s="1"/>
  <c r="Y214" i="3" a="1"/>
  <c r="Y214" i="3" s="1"/>
  <c r="X214" i="3" a="1"/>
  <c r="X214" i="3" s="1"/>
  <c r="W214" i="3" a="1"/>
  <c r="W214" i="3" s="1"/>
  <c r="V214" i="3" a="1"/>
  <c r="V214" i="3" s="1"/>
  <c r="Y213" i="3" a="1"/>
  <c r="Y213" i="3" s="1"/>
  <c r="X213" i="3" a="1"/>
  <c r="X213" i="3" s="1"/>
  <c r="W213" i="3" a="1"/>
  <c r="W213" i="3" s="1"/>
  <c r="V213" i="3" a="1"/>
  <c r="V213" i="3" s="1"/>
  <c r="Y212" i="3" a="1"/>
  <c r="Y212" i="3" s="1"/>
  <c r="X212" i="3" a="1"/>
  <c r="X212" i="3" s="1"/>
  <c r="W212" i="3" a="1"/>
  <c r="W212" i="3" s="1"/>
  <c r="V212" i="3" a="1"/>
  <c r="V212" i="3" s="1"/>
  <c r="Y211" i="3" a="1"/>
  <c r="Y211" i="3" s="1"/>
  <c r="X211" i="3" a="1"/>
  <c r="X211" i="3" s="1"/>
  <c r="W211" i="3" a="1"/>
  <c r="W211" i="3" s="1"/>
  <c r="V211" i="3" a="1"/>
  <c r="V211" i="3" s="1"/>
  <c r="Y210" i="3" a="1"/>
  <c r="Y210" i="3" s="1"/>
  <c r="X210" i="3" a="1"/>
  <c r="X210" i="3" s="1"/>
  <c r="W210" i="3" a="1"/>
  <c r="W210" i="3" s="1"/>
  <c r="V210" i="3" a="1"/>
  <c r="V210" i="3" s="1"/>
  <c r="Y209" i="3" a="1"/>
  <c r="Y209" i="3" s="1"/>
  <c r="X209" i="3" a="1"/>
  <c r="X209" i="3" s="1"/>
  <c r="W209" i="3" a="1"/>
  <c r="W209" i="3" s="1"/>
  <c r="V209" i="3" a="1"/>
  <c r="V209" i="3" s="1"/>
  <c r="Y208" i="3" a="1"/>
  <c r="Y208" i="3" s="1"/>
  <c r="X208" i="3" a="1"/>
  <c r="X208" i="3" s="1"/>
  <c r="W208" i="3" a="1"/>
  <c r="W208" i="3" s="1"/>
  <c r="V208" i="3" a="1"/>
  <c r="V208" i="3" s="1"/>
  <c r="Y207" i="3" a="1"/>
  <c r="Y207" i="3" s="1"/>
  <c r="X207" i="3" a="1"/>
  <c r="X207" i="3" s="1"/>
  <c r="W207" i="3" a="1"/>
  <c r="W207" i="3" s="1"/>
  <c r="V207" i="3" a="1"/>
  <c r="V207" i="3" s="1"/>
  <c r="Y206" i="3" a="1"/>
  <c r="Y206" i="3" s="1"/>
  <c r="X206" i="3" a="1"/>
  <c r="X206" i="3" s="1"/>
  <c r="W206" i="3" a="1"/>
  <c r="W206" i="3" s="1"/>
  <c r="V206" i="3" a="1"/>
  <c r="V206" i="3" s="1"/>
  <c r="Y205" i="3" a="1"/>
  <c r="Y205" i="3" s="1"/>
  <c r="X205" i="3" a="1"/>
  <c r="X205" i="3" s="1"/>
  <c r="W205" i="3" a="1"/>
  <c r="W205" i="3" s="1"/>
  <c r="V205" i="3" a="1"/>
  <c r="V205" i="3" s="1"/>
  <c r="Y204" i="3" a="1"/>
  <c r="Y204" i="3" s="1"/>
  <c r="X204" i="3" a="1"/>
  <c r="X204" i="3" s="1"/>
  <c r="W204" i="3" a="1"/>
  <c r="W204" i="3" s="1"/>
  <c r="V204" i="3" a="1"/>
  <c r="V204" i="3" s="1"/>
  <c r="Y203" i="3" a="1"/>
  <c r="Y203" i="3" s="1"/>
  <c r="X203" i="3" a="1"/>
  <c r="X203" i="3" s="1"/>
  <c r="W203" i="3" a="1"/>
  <c r="W203" i="3" s="1"/>
  <c r="V203" i="3" a="1"/>
  <c r="V203" i="3" s="1"/>
  <c r="Y202" i="3" a="1"/>
  <c r="Y202" i="3" s="1"/>
  <c r="X202" i="3" a="1"/>
  <c r="X202" i="3" s="1"/>
  <c r="W202" i="3" a="1"/>
  <c r="W202" i="3" s="1"/>
  <c r="V202" i="3" a="1"/>
  <c r="V202" i="3" s="1"/>
  <c r="Y201" i="3" a="1"/>
  <c r="Y201" i="3" s="1"/>
  <c r="X201" i="3" a="1"/>
  <c r="X201" i="3" s="1"/>
  <c r="W201" i="3" a="1"/>
  <c r="W201" i="3" s="1"/>
  <c r="V201" i="3" a="1"/>
  <c r="V201" i="3" s="1"/>
  <c r="Y200" i="3" a="1"/>
  <c r="Y200" i="3" s="1"/>
  <c r="X200" i="3" a="1"/>
  <c r="X200" i="3" s="1"/>
  <c r="W200" i="3" a="1"/>
  <c r="W200" i="3" s="1"/>
  <c r="V200" i="3" a="1"/>
  <c r="V200" i="3" s="1"/>
  <c r="Y199" i="3" a="1"/>
  <c r="Y199" i="3" s="1"/>
  <c r="X199" i="3" a="1"/>
  <c r="X199" i="3" s="1"/>
  <c r="W199" i="3" a="1"/>
  <c r="W199" i="3" s="1"/>
  <c r="V199" i="3" a="1"/>
  <c r="V199" i="3" s="1"/>
  <c r="Y198" i="3" a="1"/>
  <c r="Y198" i="3" s="1"/>
  <c r="X198" i="3" a="1"/>
  <c r="X198" i="3" s="1"/>
  <c r="W198" i="3" a="1"/>
  <c r="W198" i="3" s="1"/>
  <c r="V198" i="3" a="1"/>
  <c r="V198" i="3" s="1"/>
  <c r="Y197" i="3" a="1"/>
  <c r="Y197" i="3" s="1"/>
  <c r="X197" i="3" a="1"/>
  <c r="X197" i="3" s="1"/>
  <c r="W197" i="3" a="1"/>
  <c r="W197" i="3" s="1"/>
  <c r="V197" i="3" a="1"/>
  <c r="V197" i="3" s="1"/>
  <c r="Y196" i="3" a="1"/>
  <c r="Y196" i="3" s="1"/>
  <c r="X196" i="3" a="1"/>
  <c r="X196" i="3" s="1"/>
  <c r="W196" i="3" a="1"/>
  <c r="W196" i="3" s="1"/>
  <c r="V196" i="3" a="1"/>
  <c r="V196" i="3" s="1"/>
  <c r="Y195" i="3" a="1"/>
  <c r="Y195" i="3" s="1"/>
  <c r="X195" i="3" a="1"/>
  <c r="X195" i="3" s="1"/>
  <c r="W195" i="3" a="1"/>
  <c r="W195" i="3" s="1"/>
  <c r="V195" i="3" a="1"/>
  <c r="V195" i="3" s="1"/>
  <c r="Y194" i="3" a="1"/>
  <c r="Y194" i="3" s="1"/>
  <c r="X194" i="3" a="1"/>
  <c r="X194" i="3" s="1"/>
  <c r="W194" i="3" a="1"/>
  <c r="W194" i="3" s="1"/>
  <c r="V194" i="3" a="1"/>
  <c r="V194" i="3" s="1"/>
  <c r="Y193" i="3" a="1"/>
  <c r="Y193" i="3" s="1"/>
  <c r="X193" i="3" a="1"/>
  <c r="X193" i="3" s="1"/>
  <c r="W193" i="3" a="1"/>
  <c r="W193" i="3" s="1"/>
  <c r="V193" i="3" a="1"/>
  <c r="V193" i="3" s="1"/>
  <c r="Y192" i="3" a="1"/>
  <c r="Y192" i="3" s="1"/>
  <c r="X192" i="3" a="1"/>
  <c r="X192" i="3" s="1"/>
  <c r="W192" i="3" a="1"/>
  <c r="W192" i="3" s="1"/>
  <c r="V192" i="3" a="1"/>
  <c r="V192" i="3" s="1"/>
  <c r="Y191" i="3" a="1"/>
  <c r="Y191" i="3" s="1"/>
  <c r="X191" i="3" a="1"/>
  <c r="X191" i="3" s="1"/>
  <c r="W191" i="3" a="1"/>
  <c r="W191" i="3" s="1"/>
  <c r="V191" i="3" a="1"/>
  <c r="V191" i="3" s="1"/>
  <c r="Y190" i="3" a="1"/>
  <c r="Y190" i="3" s="1"/>
  <c r="X190" i="3" a="1"/>
  <c r="X190" i="3" s="1"/>
  <c r="W190" i="3" a="1"/>
  <c r="W190" i="3" s="1"/>
  <c r="V190" i="3" a="1"/>
  <c r="V190" i="3" s="1"/>
  <c r="Y189" i="3" a="1"/>
  <c r="Y189" i="3" s="1"/>
  <c r="X189" i="3" a="1"/>
  <c r="X189" i="3" s="1"/>
  <c r="W189" i="3" a="1"/>
  <c r="W189" i="3" s="1"/>
  <c r="V189" i="3" a="1"/>
  <c r="V189" i="3" s="1"/>
  <c r="Y188" i="3" a="1"/>
  <c r="Y188" i="3" s="1"/>
  <c r="X188" i="3" a="1"/>
  <c r="X188" i="3" s="1"/>
  <c r="W188" i="3" a="1"/>
  <c r="W188" i="3" s="1"/>
  <c r="V188" i="3" a="1"/>
  <c r="V188" i="3" s="1"/>
  <c r="Y187" i="3" a="1"/>
  <c r="Y187" i="3" s="1"/>
  <c r="X187" i="3" a="1"/>
  <c r="X187" i="3" s="1"/>
  <c r="W187" i="3" a="1"/>
  <c r="W187" i="3" s="1"/>
  <c r="V187" i="3" a="1"/>
  <c r="V187" i="3" s="1"/>
  <c r="Y186" i="3" a="1"/>
  <c r="Y186" i="3" s="1"/>
  <c r="X186" i="3" a="1"/>
  <c r="X186" i="3" s="1"/>
  <c r="W186" i="3" a="1"/>
  <c r="W186" i="3" s="1"/>
  <c r="V186" i="3" a="1"/>
  <c r="V186" i="3" s="1"/>
  <c r="Y185" i="3" a="1"/>
  <c r="Y185" i="3" s="1"/>
  <c r="X185" i="3" a="1"/>
  <c r="X185" i="3" s="1"/>
  <c r="W185" i="3" a="1"/>
  <c r="W185" i="3" s="1"/>
  <c r="V185" i="3" a="1"/>
  <c r="V185" i="3" s="1"/>
  <c r="Y184" i="3" a="1"/>
  <c r="Y184" i="3" s="1"/>
  <c r="X184" i="3" a="1"/>
  <c r="X184" i="3" s="1"/>
  <c r="W184" i="3" a="1"/>
  <c r="W184" i="3" s="1"/>
  <c r="V184" i="3" a="1"/>
  <c r="V184" i="3" s="1"/>
  <c r="Y183" i="3" a="1"/>
  <c r="Y183" i="3" s="1"/>
  <c r="X183" i="3" a="1"/>
  <c r="X183" i="3" s="1"/>
  <c r="W183" i="3" a="1"/>
  <c r="W183" i="3" s="1"/>
  <c r="V183" i="3" a="1"/>
  <c r="V183" i="3" s="1"/>
  <c r="Y182" i="3" a="1"/>
  <c r="Y182" i="3" s="1"/>
  <c r="X182" i="3" a="1"/>
  <c r="X182" i="3" s="1"/>
  <c r="W182" i="3" a="1"/>
  <c r="W182" i="3" s="1"/>
  <c r="V182" i="3" a="1"/>
  <c r="V182" i="3" s="1"/>
  <c r="Y181" i="3" a="1"/>
  <c r="Y181" i="3" s="1"/>
  <c r="X181" i="3" a="1"/>
  <c r="X181" i="3" s="1"/>
  <c r="W181" i="3" a="1"/>
  <c r="W181" i="3" s="1"/>
  <c r="V181" i="3" a="1"/>
  <c r="V181" i="3" s="1"/>
  <c r="Y180" i="3" a="1"/>
  <c r="Y180" i="3" s="1"/>
  <c r="X180" i="3" a="1"/>
  <c r="X180" i="3" s="1"/>
  <c r="W180" i="3" a="1"/>
  <c r="W180" i="3" s="1"/>
  <c r="V180" i="3" a="1"/>
  <c r="V180" i="3" s="1"/>
  <c r="Y179" i="3" a="1"/>
  <c r="Y179" i="3" s="1"/>
  <c r="X179" i="3" a="1"/>
  <c r="X179" i="3" s="1"/>
  <c r="W179" i="3" a="1"/>
  <c r="W179" i="3" s="1"/>
  <c r="V179" i="3" a="1"/>
  <c r="V179" i="3" s="1"/>
  <c r="Y178" i="3" a="1"/>
  <c r="Y178" i="3" s="1"/>
  <c r="X178" i="3" a="1"/>
  <c r="X178" i="3" s="1"/>
  <c r="W178" i="3" a="1"/>
  <c r="W178" i="3" s="1"/>
  <c r="V178" i="3" a="1"/>
  <c r="V178" i="3" s="1"/>
  <c r="Y177" i="3" a="1"/>
  <c r="Y177" i="3" s="1"/>
  <c r="X177" i="3" a="1"/>
  <c r="X177" i="3" s="1"/>
  <c r="W177" i="3" a="1"/>
  <c r="W177" i="3" s="1"/>
  <c r="V177" i="3" a="1"/>
  <c r="V177" i="3" s="1"/>
  <c r="Y176" i="3" a="1"/>
  <c r="Y176" i="3" s="1"/>
  <c r="X176" i="3" a="1"/>
  <c r="X176" i="3" s="1"/>
  <c r="W176" i="3" a="1"/>
  <c r="W176" i="3" s="1"/>
  <c r="V176" i="3" a="1"/>
  <c r="V176" i="3" s="1"/>
  <c r="Y175" i="3" a="1"/>
  <c r="Y175" i="3" s="1"/>
  <c r="X175" i="3" a="1"/>
  <c r="X175" i="3" s="1"/>
  <c r="W175" i="3" a="1"/>
  <c r="W175" i="3" s="1"/>
  <c r="V175" i="3" a="1"/>
  <c r="V175" i="3" s="1"/>
  <c r="Y174" i="3" a="1"/>
  <c r="Y174" i="3" s="1"/>
  <c r="X174" i="3" a="1"/>
  <c r="X174" i="3" s="1"/>
  <c r="W174" i="3" a="1"/>
  <c r="W174" i="3" s="1"/>
  <c r="V174" i="3" a="1"/>
  <c r="V174" i="3" s="1"/>
  <c r="Y173" i="3" a="1"/>
  <c r="Y173" i="3" s="1"/>
  <c r="X173" i="3" a="1"/>
  <c r="X173" i="3" s="1"/>
  <c r="W173" i="3" a="1"/>
  <c r="W173" i="3" s="1"/>
  <c r="V173" i="3" a="1"/>
  <c r="V173" i="3" s="1"/>
  <c r="Y172" i="3" a="1"/>
  <c r="Y172" i="3" s="1"/>
  <c r="X172" i="3" a="1"/>
  <c r="X172" i="3" s="1"/>
  <c r="W172" i="3" a="1"/>
  <c r="W172" i="3" s="1"/>
  <c r="V172" i="3" a="1"/>
  <c r="V172" i="3" s="1"/>
  <c r="Y171" i="3" a="1"/>
  <c r="Y171" i="3" s="1"/>
  <c r="X171" i="3" a="1"/>
  <c r="X171" i="3" s="1"/>
  <c r="W171" i="3" a="1"/>
  <c r="W171" i="3" s="1"/>
  <c r="V171" i="3" a="1"/>
  <c r="V171" i="3" s="1"/>
  <c r="Y170" i="3" a="1"/>
  <c r="Y170" i="3" s="1"/>
  <c r="X170" i="3" a="1"/>
  <c r="X170" i="3" s="1"/>
  <c r="W170" i="3" a="1"/>
  <c r="W170" i="3" s="1"/>
  <c r="V170" i="3" a="1"/>
  <c r="V170" i="3" s="1"/>
  <c r="Y169" i="3" a="1"/>
  <c r="Y169" i="3" s="1"/>
  <c r="X169" i="3" a="1"/>
  <c r="X169" i="3" s="1"/>
  <c r="W169" i="3" a="1"/>
  <c r="W169" i="3" s="1"/>
  <c r="V169" i="3" a="1"/>
  <c r="V169" i="3" s="1"/>
  <c r="Y168" i="3" a="1"/>
  <c r="Y168" i="3" s="1"/>
  <c r="X168" i="3" a="1"/>
  <c r="X168" i="3" s="1"/>
  <c r="W168" i="3" a="1"/>
  <c r="W168" i="3" s="1"/>
  <c r="V168" i="3" a="1"/>
  <c r="V168" i="3" s="1"/>
  <c r="Y167" i="3" a="1"/>
  <c r="Y167" i="3" s="1"/>
  <c r="X167" i="3" a="1"/>
  <c r="X167" i="3" s="1"/>
  <c r="W167" i="3" a="1"/>
  <c r="W167" i="3" s="1"/>
  <c r="V167" i="3" a="1"/>
  <c r="V167" i="3" s="1"/>
  <c r="Y166" i="3" a="1"/>
  <c r="Y166" i="3" s="1"/>
  <c r="X166" i="3" a="1"/>
  <c r="X166" i="3" s="1"/>
  <c r="W166" i="3" a="1"/>
  <c r="W166" i="3" s="1"/>
  <c r="V166" i="3" a="1"/>
  <c r="V166" i="3" s="1"/>
  <c r="Y165" i="3" a="1"/>
  <c r="Y165" i="3" s="1"/>
  <c r="X165" i="3" a="1"/>
  <c r="X165" i="3" s="1"/>
  <c r="W165" i="3" a="1"/>
  <c r="W165" i="3" s="1"/>
  <c r="V165" i="3" a="1"/>
  <c r="V165" i="3" s="1"/>
  <c r="Y164" i="3" a="1"/>
  <c r="Y164" i="3" s="1"/>
  <c r="X164" i="3" a="1"/>
  <c r="X164" i="3" s="1"/>
  <c r="W164" i="3" a="1"/>
  <c r="W164" i="3" s="1"/>
  <c r="V164" i="3" a="1"/>
  <c r="V164" i="3" s="1"/>
  <c r="Y163" i="3" a="1"/>
  <c r="Y163" i="3" s="1"/>
  <c r="X163" i="3" a="1"/>
  <c r="X163" i="3" s="1"/>
  <c r="W163" i="3" a="1"/>
  <c r="W163" i="3" s="1"/>
  <c r="V163" i="3" a="1"/>
  <c r="V163" i="3" s="1"/>
  <c r="Y162" i="3" a="1"/>
  <c r="Y162" i="3" s="1"/>
  <c r="X162" i="3" a="1"/>
  <c r="X162" i="3" s="1"/>
  <c r="W162" i="3" a="1"/>
  <c r="W162" i="3" s="1"/>
  <c r="V162" i="3" a="1"/>
  <c r="V162" i="3" s="1"/>
  <c r="Y161" i="3" a="1"/>
  <c r="Y161" i="3" s="1"/>
  <c r="X161" i="3" a="1"/>
  <c r="X161" i="3" s="1"/>
  <c r="W161" i="3" a="1"/>
  <c r="W161" i="3" s="1"/>
  <c r="V161" i="3" a="1"/>
  <c r="V161" i="3" s="1"/>
  <c r="Y160" i="3" a="1"/>
  <c r="Y160" i="3" s="1"/>
  <c r="X160" i="3" a="1"/>
  <c r="X160" i="3" s="1"/>
  <c r="W160" i="3" a="1"/>
  <c r="W160" i="3" s="1"/>
  <c r="V160" i="3" a="1"/>
  <c r="V160" i="3" s="1"/>
  <c r="Y159" i="3" a="1"/>
  <c r="Y159" i="3" s="1"/>
  <c r="X159" i="3" a="1"/>
  <c r="X159" i="3" s="1"/>
  <c r="W159" i="3" a="1"/>
  <c r="W159" i="3" s="1"/>
  <c r="V159" i="3" a="1"/>
  <c r="V159" i="3" s="1"/>
  <c r="Y158" i="3" a="1"/>
  <c r="Y158" i="3" s="1"/>
  <c r="X158" i="3" a="1"/>
  <c r="X158" i="3" s="1"/>
  <c r="W158" i="3" a="1"/>
  <c r="W158" i="3" s="1"/>
  <c r="V158" i="3" a="1"/>
  <c r="V158" i="3" s="1"/>
  <c r="Y157" i="3" a="1"/>
  <c r="Y157" i="3" s="1"/>
  <c r="X157" i="3" a="1"/>
  <c r="X157" i="3" s="1"/>
  <c r="W157" i="3" a="1"/>
  <c r="W157" i="3" s="1"/>
  <c r="V157" i="3" a="1"/>
  <c r="V157" i="3" s="1"/>
  <c r="Y156" i="3" a="1"/>
  <c r="Y156" i="3" s="1"/>
  <c r="X156" i="3" a="1"/>
  <c r="X156" i="3" s="1"/>
  <c r="W156" i="3" a="1"/>
  <c r="W156" i="3" s="1"/>
  <c r="V156" i="3" a="1"/>
  <c r="V156" i="3" s="1"/>
  <c r="Y155" i="3" a="1"/>
  <c r="Y155" i="3" s="1"/>
  <c r="X155" i="3" a="1"/>
  <c r="X155" i="3" s="1"/>
  <c r="W155" i="3" a="1"/>
  <c r="W155" i="3" s="1"/>
  <c r="V155" i="3" a="1"/>
  <c r="V155" i="3" s="1"/>
  <c r="Y154" i="3" a="1"/>
  <c r="Y154" i="3" s="1"/>
  <c r="X154" i="3" a="1"/>
  <c r="X154" i="3" s="1"/>
  <c r="W154" i="3" a="1"/>
  <c r="W154" i="3" s="1"/>
  <c r="V154" i="3" a="1"/>
  <c r="V154" i="3" s="1"/>
  <c r="Y153" i="3" a="1"/>
  <c r="Y153" i="3" s="1"/>
  <c r="X153" i="3" a="1"/>
  <c r="X153" i="3" s="1"/>
  <c r="W153" i="3" a="1"/>
  <c r="W153" i="3" s="1"/>
  <c r="V153" i="3" a="1"/>
  <c r="V153" i="3" s="1"/>
  <c r="Y152" i="3" a="1"/>
  <c r="Y152" i="3" s="1"/>
  <c r="X152" i="3" a="1"/>
  <c r="X152" i="3" s="1"/>
  <c r="W152" i="3" a="1"/>
  <c r="W152" i="3" s="1"/>
  <c r="V152" i="3" a="1"/>
  <c r="V152" i="3" s="1"/>
  <c r="Y151" i="3" a="1"/>
  <c r="Y151" i="3" s="1"/>
  <c r="X151" i="3" a="1"/>
  <c r="X151" i="3" s="1"/>
  <c r="W151" i="3" a="1"/>
  <c r="W151" i="3" s="1"/>
  <c r="V151" i="3" a="1"/>
  <c r="V151" i="3" s="1"/>
  <c r="Y150" i="3" a="1"/>
  <c r="Y150" i="3" s="1"/>
  <c r="X150" i="3" a="1"/>
  <c r="X150" i="3" s="1"/>
  <c r="W150" i="3" a="1"/>
  <c r="W150" i="3" s="1"/>
  <c r="V150" i="3" a="1"/>
  <c r="V150" i="3" s="1"/>
  <c r="Y149" i="3" a="1"/>
  <c r="Y149" i="3" s="1"/>
  <c r="X149" i="3" a="1"/>
  <c r="X149" i="3" s="1"/>
  <c r="W149" i="3" a="1"/>
  <c r="W149" i="3" s="1"/>
  <c r="V149" i="3" a="1"/>
  <c r="V149" i="3" s="1"/>
  <c r="Y148" i="3" a="1"/>
  <c r="Y148" i="3" s="1"/>
  <c r="X148" i="3" a="1"/>
  <c r="X148" i="3" s="1"/>
  <c r="W148" i="3" a="1"/>
  <c r="W148" i="3" s="1"/>
  <c r="V148" i="3" a="1"/>
  <c r="V148" i="3" s="1"/>
  <c r="Y147" i="3" a="1"/>
  <c r="Y147" i="3" s="1"/>
  <c r="X147" i="3" a="1"/>
  <c r="X147" i="3" s="1"/>
  <c r="W147" i="3" a="1"/>
  <c r="W147" i="3" s="1"/>
  <c r="V147" i="3" a="1"/>
  <c r="V147" i="3" s="1"/>
  <c r="Y146" i="3" a="1"/>
  <c r="Y146" i="3" s="1"/>
  <c r="X146" i="3" a="1"/>
  <c r="X146" i="3" s="1"/>
  <c r="W146" i="3" a="1"/>
  <c r="W146" i="3" s="1"/>
  <c r="V146" i="3" a="1"/>
  <c r="V146" i="3" s="1"/>
  <c r="Y145" i="3" a="1"/>
  <c r="Y145" i="3" s="1"/>
  <c r="X145" i="3" a="1"/>
  <c r="X145" i="3" s="1"/>
  <c r="W145" i="3" a="1"/>
  <c r="W145" i="3" s="1"/>
  <c r="V145" i="3" a="1"/>
  <c r="V145" i="3" s="1"/>
  <c r="Y144" i="3" a="1"/>
  <c r="Y144" i="3" s="1"/>
  <c r="X144" i="3" a="1"/>
  <c r="X144" i="3" s="1"/>
  <c r="W144" i="3" a="1"/>
  <c r="W144" i="3" s="1"/>
  <c r="V144" i="3" a="1"/>
  <c r="V144" i="3" s="1"/>
  <c r="Y143" i="3" a="1"/>
  <c r="Y143" i="3" s="1"/>
  <c r="X143" i="3" a="1"/>
  <c r="X143" i="3" s="1"/>
  <c r="W143" i="3" a="1"/>
  <c r="W143" i="3" s="1"/>
  <c r="V143" i="3" a="1"/>
  <c r="V143" i="3" s="1"/>
  <c r="Y142" i="3" a="1"/>
  <c r="Y142" i="3" s="1"/>
  <c r="X142" i="3" a="1"/>
  <c r="X142" i="3" s="1"/>
  <c r="W142" i="3" a="1"/>
  <c r="W142" i="3" s="1"/>
  <c r="V142" i="3" a="1"/>
  <c r="V142" i="3" s="1"/>
  <c r="Y141" i="3" a="1"/>
  <c r="Y141" i="3" s="1"/>
  <c r="X141" i="3" a="1"/>
  <c r="X141" i="3" s="1"/>
  <c r="W141" i="3" a="1"/>
  <c r="W141" i="3" s="1"/>
  <c r="V141" i="3" a="1"/>
  <c r="V141" i="3" s="1"/>
  <c r="Y140" i="3" a="1"/>
  <c r="Y140" i="3" s="1"/>
  <c r="X140" i="3" a="1"/>
  <c r="X140" i="3" s="1"/>
  <c r="W140" i="3" a="1"/>
  <c r="W140" i="3" s="1"/>
  <c r="V140" i="3" a="1"/>
  <c r="V140" i="3" s="1"/>
  <c r="Y139" i="3" a="1"/>
  <c r="Y139" i="3" s="1"/>
  <c r="X139" i="3" a="1"/>
  <c r="X139" i="3" s="1"/>
  <c r="W139" i="3" a="1"/>
  <c r="W139" i="3" s="1"/>
  <c r="V139" i="3" a="1"/>
  <c r="V139" i="3" s="1"/>
  <c r="Y138" i="3" a="1"/>
  <c r="Y138" i="3" s="1"/>
  <c r="X138" i="3" a="1"/>
  <c r="X138" i="3" s="1"/>
  <c r="W138" i="3" a="1"/>
  <c r="W138" i="3" s="1"/>
  <c r="V138" i="3" a="1"/>
  <c r="V138" i="3" s="1"/>
  <c r="Y137" i="3" a="1"/>
  <c r="Y137" i="3" s="1"/>
  <c r="X137" i="3" a="1"/>
  <c r="X137" i="3" s="1"/>
  <c r="W137" i="3" a="1"/>
  <c r="W137" i="3" s="1"/>
  <c r="V137" i="3" a="1"/>
  <c r="V137" i="3" s="1"/>
  <c r="Y136" i="3" a="1"/>
  <c r="Y136" i="3" s="1"/>
  <c r="X136" i="3" a="1"/>
  <c r="X136" i="3" s="1"/>
  <c r="W136" i="3" a="1"/>
  <c r="W136" i="3" s="1"/>
  <c r="V136" i="3" a="1"/>
  <c r="V136" i="3" s="1"/>
  <c r="Y135" i="3" a="1"/>
  <c r="Y135" i="3" s="1"/>
  <c r="X135" i="3" a="1"/>
  <c r="X135" i="3" s="1"/>
  <c r="W135" i="3" a="1"/>
  <c r="W135" i="3" s="1"/>
  <c r="V135" i="3" a="1"/>
  <c r="V135" i="3" s="1"/>
  <c r="Y134" i="3" a="1"/>
  <c r="Y134" i="3" s="1"/>
  <c r="X134" i="3" a="1"/>
  <c r="X134" i="3" s="1"/>
  <c r="W134" i="3" a="1"/>
  <c r="W134" i="3" s="1"/>
  <c r="V134" i="3" a="1"/>
  <c r="V134" i="3" s="1"/>
  <c r="Y133" i="3" a="1"/>
  <c r="Y133" i="3" s="1"/>
  <c r="X133" i="3" a="1"/>
  <c r="X133" i="3" s="1"/>
  <c r="W133" i="3" a="1"/>
  <c r="W133" i="3" s="1"/>
  <c r="V133" i="3" a="1"/>
  <c r="V133" i="3" s="1"/>
  <c r="Y132" i="3" a="1"/>
  <c r="Y132" i="3" s="1"/>
  <c r="X132" i="3" a="1"/>
  <c r="X132" i="3" s="1"/>
  <c r="W132" i="3" a="1"/>
  <c r="W132" i="3" s="1"/>
  <c r="V132" i="3" a="1"/>
  <c r="V132" i="3" s="1"/>
  <c r="Y131" i="3" a="1"/>
  <c r="Y131" i="3" s="1"/>
  <c r="X131" i="3" a="1"/>
  <c r="X131" i="3" s="1"/>
  <c r="W131" i="3" a="1"/>
  <c r="W131" i="3" s="1"/>
  <c r="V131" i="3" a="1"/>
  <c r="V131" i="3" s="1"/>
  <c r="Y130" i="3" a="1"/>
  <c r="Y130" i="3" s="1"/>
  <c r="X130" i="3" a="1"/>
  <c r="X130" i="3" s="1"/>
  <c r="W130" i="3" a="1"/>
  <c r="W130" i="3" s="1"/>
  <c r="V130" i="3" a="1"/>
  <c r="V130" i="3" s="1"/>
  <c r="Y129" i="3" a="1"/>
  <c r="Y129" i="3" s="1"/>
  <c r="X129" i="3" a="1"/>
  <c r="X129" i="3" s="1"/>
  <c r="W129" i="3" a="1"/>
  <c r="W129" i="3" s="1"/>
  <c r="V129" i="3" a="1"/>
  <c r="V129" i="3" s="1"/>
  <c r="Y128" i="3" a="1"/>
  <c r="Y128" i="3" s="1"/>
  <c r="X128" i="3" a="1"/>
  <c r="X128" i="3" s="1"/>
  <c r="W128" i="3" a="1"/>
  <c r="W128" i="3" s="1"/>
  <c r="V128" i="3" a="1"/>
  <c r="V128" i="3" s="1"/>
  <c r="Y127" i="3" a="1"/>
  <c r="Y127" i="3" s="1"/>
  <c r="X127" i="3" a="1"/>
  <c r="X127" i="3" s="1"/>
  <c r="W127" i="3" a="1"/>
  <c r="W127" i="3" s="1"/>
  <c r="V127" i="3" a="1"/>
  <c r="V127" i="3" s="1"/>
  <c r="Y126" i="3" a="1"/>
  <c r="Y126" i="3" s="1"/>
  <c r="X126" i="3" a="1"/>
  <c r="X126" i="3" s="1"/>
  <c r="W126" i="3" a="1"/>
  <c r="W126" i="3" s="1"/>
  <c r="V126" i="3" a="1"/>
  <c r="V126" i="3" s="1"/>
  <c r="Y125" i="3" a="1"/>
  <c r="Y125" i="3" s="1"/>
  <c r="X125" i="3" a="1"/>
  <c r="X125" i="3" s="1"/>
  <c r="W125" i="3" a="1"/>
  <c r="W125" i="3" s="1"/>
  <c r="V125" i="3" a="1"/>
  <c r="V125" i="3" s="1"/>
  <c r="Y124" i="3" a="1"/>
  <c r="Y124" i="3" s="1"/>
  <c r="X124" i="3" a="1"/>
  <c r="X124" i="3" s="1"/>
  <c r="W124" i="3" a="1"/>
  <c r="W124" i="3" s="1"/>
  <c r="V124" i="3" a="1"/>
  <c r="V124" i="3" s="1"/>
  <c r="Y123" i="3" a="1"/>
  <c r="Y123" i="3" s="1"/>
  <c r="X123" i="3" a="1"/>
  <c r="X123" i="3" s="1"/>
  <c r="W123" i="3" a="1"/>
  <c r="W123" i="3" s="1"/>
  <c r="V123" i="3" a="1"/>
  <c r="V123" i="3" s="1"/>
  <c r="Y122" i="3" a="1"/>
  <c r="Y122" i="3" s="1"/>
  <c r="X122" i="3" a="1"/>
  <c r="X122" i="3" s="1"/>
  <c r="W122" i="3" a="1"/>
  <c r="W122" i="3" s="1"/>
  <c r="V122" i="3" a="1"/>
  <c r="V122" i="3" s="1"/>
  <c r="Y121" i="3" a="1"/>
  <c r="Y121" i="3" s="1"/>
  <c r="X121" i="3" a="1"/>
  <c r="X121" i="3" s="1"/>
  <c r="W121" i="3" a="1"/>
  <c r="W121" i="3" s="1"/>
  <c r="V121" i="3" a="1"/>
  <c r="V121" i="3" s="1"/>
  <c r="Y120" i="3" a="1"/>
  <c r="Y120" i="3" s="1"/>
  <c r="X120" i="3" a="1"/>
  <c r="X120" i="3" s="1"/>
  <c r="W120" i="3" a="1"/>
  <c r="W120" i="3" s="1"/>
  <c r="V120" i="3" a="1"/>
  <c r="V120" i="3" s="1"/>
  <c r="Y119" i="3" a="1"/>
  <c r="Y119" i="3" s="1"/>
  <c r="X119" i="3" a="1"/>
  <c r="X119" i="3" s="1"/>
  <c r="W119" i="3" a="1"/>
  <c r="W119" i="3" s="1"/>
  <c r="V119" i="3" a="1"/>
  <c r="V119" i="3" s="1"/>
  <c r="Y118" i="3" a="1"/>
  <c r="Y118" i="3" s="1"/>
  <c r="X118" i="3" a="1"/>
  <c r="X118" i="3" s="1"/>
  <c r="W118" i="3" a="1"/>
  <c r="W118" i="3" s="1"/>
  <c r="V118" i="3" a="1"/>
  <c r="V118" i="3" s="1"/>
  <c r="Y117" i="3" a="1"/>
  <c r="Y117" i="3" s="1"/>
  <c r="X117" i="3" a="1"/>
  <c r="X117" i="3" s="1"/>
  <c r="W117" i="3" a="1"/>
  <c r="W117" i="3" s="1"/>
  <c r="V117" i="3" a="1"/>
  <c r="V117" i="3" s="1"/>
  <c r="Y116" i="3" a="1"/>
  <c r="Y116" i="3" s="1"/>
  <c r="X116" i="3" a="1"/>
  <c r="X116" i="3" s="1"/>
  <c r="W116" i="3" a="1"/>
  <c r="W116" i="3" s="1"/>
  <c r="V116" i="3" a="1"/>
  <c r="V116" i="3" s="1"/>
  <c r="Y115" i="3" a="1"/>
  <c r="Y115" i="3" s="1"/>
  <c r="X115" i="3" a="1"/>
  <c r="X115" i="3" s="1"/>
  <c r="W115" i="3" a="1"/>
  <c r="W115" i="3" s="1"/>
  <c r="V115" i="3" a="1"/>
  <c r="V115" i="3" s="1"/>
  <c r="Y114" i="3" a="1"/>
  <c r="Y114" i="3" s="1"/>
  <c r="X114" i="3" a="1"/>
  <c r="X114" i="3" s="1"/>
  <c r="W114" i="3" a="1"/>
  <c r="W114" i="3" s="1"/>
  <c r="V114" i="3" a="1"/>
  <c r="V114" i="3" s="1"/>
  <c r="Y113" i="3" a="1"/>
  <c r="Y113" i="3" s="1"/>
  <c r="X113" i="3" a="1"/>
  <c r="X113" i="3" s="1"/>
  <c r="W113" i="3" a="1"/>
  <c r="W113" i="3" s="1"/>
  <c r="V113" i="3" a="1"/>
  <c r="V113" i="3" s="1"/>
  <c r="Y112" i="3" a="1"/>
  <c r="Y112" i="3" s="1"/>
  <c r="X112" i="3" a="1"/>
  <c r="X112" i="3" s="1"/>
  <c r="W112" i="3" a="1"/>
  <c r="W112" i="3" s="1"/>
  <c r="V112" i="3" a="1"/>
  <c r="V112" i="3" s="1"/>
  <c r="Y111" i="3" a="1"/>
  <c r="Y111" i="3" s="1"/>
  <c r="X111" i="3" a="1"/>
  <c r="X111" i="3" s="1"/>
  <c r="W111" i="3" a="1"/>
  <c r="W111" i="3" s="1"/>
  <c r="V111" i="3" a="1"/>
  <c r="V111" i="3" s="1"/>
  <c r="Y110" i="3" a="1"/>
  <c r="Y110" i="3" s="1"/>
  <c r="X110" i="3" a="1"/>
  <c r="X110" i="3" s="1"/>
  <c r="W110" i="3" a="1"/>
  <c r="W110" i="3" s="1"/>
  <c r="V110" i="3" a="1"/>
  <c r="V110" i="3" s="1"/>
  <c r="Y109" i="3" a="1"/>
  <c r="Y109" i="3" s="1"/>
  <c r="X109" i="3" a="1"/>
  <c r="X109" i="3" s="1"/>
  <c r="W109" i="3" a="1"/>
  <c r="W109" i="3" s="1"/>
  <c r="V109" i="3" a="1"/>
  <c r="V109" i="3" s="1"/>
  <c r="Y108" i="3" a="1"/>
  <c r="Y108" i="3" s="1"/>
  <c r="X108" i="3" a="1"/>
  <c r="X108" i="3" s="1"/>
  <c r="W108" i="3" a="1"/>
  <c r="W108" i="3" s="1"/>
  <c r="V108" i="3" a="1"/>
  <c r="V108" i="3" s="1"/>
  <c r="Y107" i="3" a="1"/>
  <c r="Y107" i="3" s="1"/>
  <c r="X107" i="3" a="1"/>
  <c r="X107" i="3" s="1"/>
  <c r="W107" i="3" a="1"/>
  <c r="W107" i="3" s="1"/>
  <c r="V107" i="3" a="1"/>
  <c r="V107" i="3" s="1"/>
  <c r="Y106" i="3" a="1"/>
  <c r="Y106" i="3" s="1"/>
  <c r="X106" i="3" a="1"/>
  <c r="X106" i="3" s="1"/>
  <c r="W106" i="3" a="1"/>
  <c r="W106" i="3" s="1"/>
  <c r="V106" i="3" a="1"/>
  <c r="V106" i="3" s="1"/>
  <c r="Y105" i="3" a="1"/>
  <c r="Y105" i="3" s="1"/>
  <c r="X105" i="3" a="1"/>
  <c r="X105" i="3" s="1"/>
  <c r="W105" i="3" a="1"/>
  <c r="W105" i="3" s="1"/>
  <c r="V105" i="3" a="1"/>
  <c r="V105" i="3" s="1"/>
  <c r="Y104" i="3" a="1"/>
  <c r="Y104" i="3" s="1"/>
  <c r="X104" i="3" a="1"/>
  <c r="X104" i="3" s="1"/>
  <c r="W104" i="3" a="1"/>
  <c r="W104" i="3" s="1"/>
  <c r="V104" i="3" a="1"/>
  <c r="V104" i="3" s="1"/>
  <c r="Y103" i="3" a="1"/>
  <c r="Y103" i="3" s="1"/>
  <c r="X103" i="3" a="1"/>
  <c r="X103" i="3" s="1"/>
  <c r="W103" i="3" a="1"/>
  <c r="W103" i="3" s="1"/>
  <c r="V103" i="3" a="1"/>
  <c r="V103" i="3" s="1"/>
  <c r="Y102" i="3" a="1"/>
  <c r="Y102" i="3" s="1"/>
  <c r="X102" i="3" a="1"/>
  <c r="X102" i="3" s="1"/>
  <c r="W102" i="3" a="1"/>
  <c r="W102" i="3" s="1"/>
  <c r="V102" i="3" a="1"/>
  <c r="V102" i="3" s="1"/>
  <c r="Y101" i="3" a="1"/>
  <c r="Y101" i="3" s="1"/>
  <c r="X101" i="3" a="1"/>
  <c r="X101" i="3" s="1"/>
  <c r="W101" i="3" a="1"/>
  <c r="W101" i="3" s="1"/>
  <c r="V101" i="3" a="1"/>
  <c r="V101" i="3" s="1"/>
  <c r="Y100" i="3" a="1"/>
  <c r="Y100" i="3" s="1"/>
  <c r="X100" i="3" a="1"/>
  <c r="X100" i="3" s="1"/>
  <c r="W100" i="3" a="1"/>
  <c r="W100" i="3" s="1"/>
  <c r="V100" i="3" a="1"/>
  <c r="V100" i="3" s="1"/>
  <c r="Y99" i="3" a="1"/>
  <c r="Y99" i="3" s="1"/>
  <c r="X99" i="3" a="1"/>
  <c r="X99" i="3" s="1"/>
  <c r="W99" i="3" a="1"/>
  <c r="W99" i="3" s="1"/>
  <c r="V99" i="3" a="1"/>
  <c r="V99" i="3" s="1"/>
  <c r="Y98" i="3" a="1"/>
  <c r="Y98" i="3" s="1"/>
  <c r="X98" i="3" a="1"/>
  <c r="X98" i="3" s="1"/>
  <c r="W98" i="3" a="1"/>
  <c r="W98" i="3" s="1"/>
  <c r="V98" i="3" a="1"/>
  <c r="V98" i="3" s="1"/>
  <c r="Y97" i="3" a="1"/>
  <c r="Y97" i="3" s="1"/>
  <c r="X97" i="3" a="1"/>
  <c r="X97" i="3" s="1"/>
  <c r="W97" i="3" a="1"/>
  <c r="W97" i="3" s="1"/>
  <c r="V97" i="3" a="1"/>
  <c r="V97" i="3" s="1"/>
  <c r="Y96" i="3" a="1"/>
  <c r="Y96" i="3" s="1"/>
  <c r="X96" i="3" a="1"/>
  <c r="X96" i="3" s="1"/>
  <c r="W96" i="3" a="1"/>
  <c r="W96" i="3" s="1"/>
  <c r="V96" i="3" a="1"/>
  <c r="V96" i="3" s="1"/>
  <c r="Y95" i="3" a="1"/>
  <c r="Y95" i="3" s="1"/>
  <c r="X95" i="3" a="1"/>
  <c r="X95" i="3" s="1"/>
  <c r="W95" i="3" a="1"/>
  <c r="W95" i="3" s="1"/>
  <c r="V95" i="3" a="1"/>
  <c r="V95" i="3" s="1"/>
  <c r="Y94" i="3" a="1"/>
  <c r="Y94" i="3" s="1"/>
  <c r="X94" i="3" a="1"/>
  <c r="X94" i="3" s="1"/>
  <c r="W94" i="3" a="1"/>
  <c r="W94" i="3" s="1"/>
  <c r="V94" i="3" a="1"/>
  <c r="V94" i="3" s="1"/>
  <c r="Y93" i="3" a="1"/>
  <c r="Y93" i="3" s="1"/>
  <c r="X93" i="3" a="1"/>
  <c r="X93" i="3" s="1"/>
  <c r="W93" i="3" a="1"/>
  <c r="W93" i="3" s="1"/>
  <c r="V93" i="3" a="1"/>
  <c r="V93" i="3" s="1"/>
  <c r="Y92" i="3" a="1"/>
  <c r="Y92" i="3" s="1"/>
  <c r="X92" i="3" a="1"/>
  <c r="X92" i="3" s="1"/>
  <c r="W92" i="3" a="1"/>
  <c r="W92" i="3" s="1"/>
  <c r="V92" i="3" a="1"/>
  <c r="V92" i="3" s="1"/>
  <c r="Y91" i="3" a="1"/>
  <c r="Y91" i="3" s="1"/>
  <c r="X91" i="3" a="1"/>
  <c r="X91" i="3" s="1"/>
  <c r="W91" i="3" a="1"/>
  <c r="W91" i="3" s="1"/>
  <c r="V91" i="3" a="1"/>
  <c r="V91" i="3" s="1"/>
  <c r="Y90" i="3" a="1"/>
  <c r="Y90" i="3" s="1"/>
  <c r="X90" i="3" a="1"/>
  <c r="X90" i="3" s="1"/>
  <c r="W90" i="3" a="1"/>
  <c r="W90" i="3" s="1"/>
  <c r="V90" i="3" a="1"/>
  <c r="V90" i="3" s="1"/>
  <c r="Y89" i="3" a="1"/>
  <c r="Y89" i="3" s="1"/>
  <c r="X89" i="3" a="1"/>
  <c r="X89" i="3" s="1"/>
  <c r="W89" i="3" a="1"/>
  <c r="W89" i="3" s="1"/>
  <c r="V89" i="3" a="1"/>
  <c r="V89" i="3" s="1"/>
  <c r="Y88" i="3" a="1"/>
  <c r="Y88" i="3" s="1"/>
  <c r="X88" i="3" a="1"/>
  <c r="X88" i="3" s="1"/>
  <c r="W88" i="3" a="1"/>
  <c r="W88" i="3" s="1"/>
  <c r="V88" i="3" a="1"/>
  <c r="V88" i="3" s="1"/>
  <c r="Y87" i="3" a="1"/>
  <c r="Y87" i="3" s="1"/>
  <c r="X87" i="3" a="1"/>
  <c r="X87" i="3" s="1"/>
  <c r="W87" i="3" a="1"/>
  <c r="W87" i="3" s="1"/>
  <c r="V87" i="3" a="1"/>
  <c r="V87" i="3" s="1"/>
  <c r="Y86" i="3" a="1"/>
  <c r="Y86" i="3" s="1"/>
  <c r="X86" i="3" a="1"/>
  <c r="X86" i="3" s="1"/>
  <c r="W86" i="3" a="1"/>
  <c r="W86" i="3" s="1"/>
  <c r="V86" i="3" a="1"/>
  <c r="V86" i="3" s="1"/>
  <c r="Y85" i="3" a="1"/>
  <c r="Y85" i="3" s="1"/>
  <c r="X85" i="3" a="1"/>
  <c r="X85" i="3" s="1"/>
  <c r="W85" i="3" a="1"/>
  <c r="W85" i="3" s="1"/>
  <c r="V85" i="3" a="1"/>
  <c r="V85" i="3" s="1"/>
  <c r="Y84" i="3" a="1"/>
  <c r="Y84" i="3" s="1"/>
  <c r="X84" i="3" a="1"/>
  <c r="X84" i="3" s="1"/>
  <c r="W84" i="3" a="1"/>
  <c r="W84" i="3" s="1"/>
  <c r="V84" i="3" a="1"/>
  <c r="V84" i="3" s="1"/>
  <c r="Y83" i="3" a="1"/>
  <c r="Y83" i="3" s="1"/>
  <c r="X83" i="3" a="1"/>
  <c r="X83" i="3" s="1"/>
  <c r="W83" i="3" a="1"/>
  <c r="W83" i="3" s="1"/>
  <c r="V83" i="3" a="1"/>
  <c r="V83" i="3" s="1"/>
  <c r="Y82" i="3" a="1"/>
  <c r="Y82" i="3" s="1"/>
  <c r="X82" i="3" a="1"/>
  <c r="X82" i="3" s="1"/>
  <c r="W82" i="3" a="1"/>
  <c r="W82" i="3" s="1"/>
  <c r="V82" i="3" a="1"/>
  <c r="V82" i="3" s="1"/>
  <c r="Y81" i="3" a="1"/>
  <c r="Y81" i="3" s="1"/>
  <c r="X81" i="3" a="1"/>
  <c r="X81" i="3" s="1"/>
  <c r="W81" i="3" a="1"/>
  <c r="W81" i="3" s="1"/>
  <c r="V81" i="3" a="1"/>
  <c r="V81" i="3" s="1"/>
  <c r="Y80" i="3" a="1"/>
  <c r="Y80" i="3" s="1"/>
  <c r="X80" i="3" a="1"/>
  <c r="X80" i="3" s="1"/>
  <c r="W80" i="3" a="1"/>
  <c r="W80" i="3" s="1"/>
  <c r="V80" i="3" a="1"/>
  <c r="V80" i="3" s="1"/>
  <c r="Y79" i="3" a="1"/>
  <c r="Y79" i="3" s="1"/>
  <c r="X79" i="3" a="1"/>
  <c r="X79" i="3" s="1"/>
  <c r="W79" i="3" a="1"/>
  <c r="W79" i="3" s="1"/>
  <c r="V79" i="3" a="1"/>
  <c r="V79" i="3" s="1"/>
  <c r="Y78" i="3" a="1"/>
  <c r="Y78" i="3" s="1"/>
  <c r="X78" i="3" a="1"/>
  <c r="X78" i="3" s="1"/>
  <c r="W78" i="3" a="1"/>
  <c r="W78" i="3" s="1"/>
  <c r="V78" i="3" a="1"/>
  <c r="V78" i="3" s="1"/>
  <c r="Y77" i="3" a="1"/>
  <c r="Y77" i="3" s="1"/>
  <c r="X77" i="3" a="1"/>
  <c r="X77" i="3" s="1"/>
  <c r="W77" i="3" a="1"/>
  <c r="W77" i="3" s="1"/>
  <c r="V77" i="3" a="1"/>
  <c r="V77" i="3" s="1"/>
  <c r="Y76" i="3" a="1"/>
  <c r="Y76" i="3" s="1"/>
  <c r="X76" i="3" a="1"/>
  <c r="X76" i="3" s="1"/>
  <c r="W76" i="3" a="1"/>
  <c r="W76" i="3" s="1"/>
  <c r="V76" i="3" a="1"/>
  <c r="V76" i="3" s="1"/>
  <c r="Y75" i="3" a="1"/>
  <c r="Y75" i="3" s="1"/>
  <c r="X75" i="3" a="1"/>
  <c r="X75" i="3" s="1"/>
  <c r="W75" i="3" a="1"/>
  <c r="W75" i="3" s="1"/>
  <c r="V75" i="3" a="1"/>
  <c r="V75" i="3" s="1"/>
  <c r="Y74" i="3" a="1"/>
  <c r="Y74" i="3" s="1"/>
  <c r="X74" i="3" a="1"/>
  <c r="X74" i="3" s="1"/>
  <c r="W74" i="3" a="1"/>
  <c r="W74" i="3" s="1"/>
  <c r="V74" i="3" a="1"/>
  <c r="V74" i="3" s="1"/>
  <c r="Y73" i="3" a="1"/>
  <c r="Y73" i="3" s="1"/>
  <c r="X73" i="3" a="1"/>
  <c r="X73" i="3" s="1"/>
  <c r="W73" i="3" a="1"/>
  <c r="W73" i="3" s="1"/>
  <c r="V73" i="3" a="1"/>
  <c r="V73" i="3" s="1"/>
  <c r="Y72" i="3" a="1"/>
  <c r="Y72" i="3" s="1"/>
  <c r="X72" i="3" a="1"/>
  <c r="X72" i="3" s="1"/>
  <c r="W72" i="3" a="1"/>
  <c r="W72" i="3" s="1"/>
  <c r="V72" i="3" a="1"/>
  <c r="V72" i="3" s="1"/>
  <c r="Y71" i="3" a="1"/>
  <c r="Y71" i="3" s="1"/>
  <c r="X71" i="3" a="1"/>
  <c r="X71" i="3" s="1"/>
  <c r="W71" i="3" a="1"/>
  <c r="W71" i="3" s="1"/>
  <c r="V71" i="3" a="1"/>
  <c r="V71" i="3" s="1"/>
  <c r="Y70" i="3" a="1"/>
  <c r="Y70" i="3" s="1"/>
  <c r="X70" i="3" a="1"/>
  <c r="X70" i="3" s="1"/>
  <c r="W70" i="3" a="1"/>
  <c r="W70" i="3" s="1"/>
  <c r="V70" i="3" a="1"/>
  <c r="V70" i="3" s="1"/>
  <c r="Y69" i="3" a="1"/>
  <c r="Y69" i="3" s="1"/>
  <c r="X69" i="3" a="1"/>
  <c r="X69" i="3" s="1"/>
  <c r="W69" i="3" a="1"/>
  <c r="W69" i="3" s="1"/>
  <c r="V69" i="3" a="1"/>
  <c r="V69" i="3" s="1"/>
  <c r="Y68" i="3" a="1"/>
  <c r="Y68" i="3" s="1"/>
  <c r="X68" i="3" a="1"/>
  <c r="X68" i="3" s="1"/>
  <c r="W68" i="3" a="1"/>
  <c r="W68" i="3" s="1"/>
  <c r="V68" i="3" a="1"/>
  <c r="V68" i="3" s="1"/>
  <c r="Y67" i="3" a="1"/>
  <c r="Y67" i="3" s="1"/>
  <c r="X67" i="3" a="1"/>
  <c r="X67" i="3" s="1"/>
  <c r="W67" i="3" a="1"/>
  <c r="W67" i="3" s="1"/>
  <c r="V67" i="3" a="1"/>
  <c r="V67" i="3" s="1"/>
  <c r="Y66" i="3" a="1"/>
  <c r="Y66" i="3" s="1"/>
  <c r="X66" i="3" a="1"/>
  <c r="X66" i="3" s="1"/>
  <c r="W66" i="3" a="1"/>
  <c r="W66" i="3" s="1"/>
  <c r="V66" i="3" a="1"/>
  <c r="V66" i="3" s="1"/>
  <c r="Y65" i="3" a="1"/>
  <c r="Y65" i="3" s="1"/>
  <c r="X65" i="3" a="1"/>
  <c r="X65" i="3" s="1"/>
  <c r="W65" i="3" a="1"/>
  <c r="W65" i="3" s="1"/>
  <c r="V65" i="3" a="1"/>
  <c r="V65" i="3" s="1"/>
  <c r="Y64" i="3" a="1"/>
  <c r="Y64" i="3" s="1"/>
  <c r="X64" i="3" a="1"/>
  <c r="X64" i="3" s="1"/>
  <c r="W64" i="3" a="1"/>
  <c r="W64" i="3" s="1"/>
  <c r="V64" i="3" a="1"/>
  <c r="V64" i="3" s="1"/>
  <c r="Y63" i="3" a="1"/>
  <c r="Y63" i="3" s="1"/>
  <c r="X63" i="3" a="1"/>
  <c r="X63" i="3" s="1"/>
  <c r="W63" i="3" a="1"/>
  <c r="W63" i="3" s="1"/>
  <c r="V63" i="3" a="1"/>
  <c r="V63" i="3" s="1"/>
  <c r="Y62" i="3" a="1"/>
  <c r="Y62" i="3" s="1"/>
  <c r="X62" i="3" a="1"/>
  <c r="X62" i="3" s="1"/>
  <c r="W62" i="3" a="1"/>
  <c r="W62" i="3" s="1"/>
  <c r="V62" i="3" a="1"/>
  <c r="V62" i="3" s="1"/>
  <c r="Y61" i="3" a="1"/>
  <c r="Y61" i="3" s="1"/>
  <c r="X61" i="3" a="1"/>
  <c r="X61" i="3" s="1"/>
  <c r="W61" i="3" a="1"/>
  <c r="W61" i="3" s="1"/>
  <c r="V61" i="3" a="1"/>
  <c r="V61" i="3" s="1"/>
  <c r="Y60" i="3" a="1"/>
  <c r="Y60" i="3" s="1"/>
  <c r="X60" i="3" a="1"/>
  <c r="X60" i="3" s="1"/>
  <c r="W60" i="3" a="1"/>
  <c r="W60" i="3" s="1"/>
  <c r="V60" i="3" a="1"/>
  <c r="V60" i="3" s="1"/>
  <c r="Y59" i="3" a="1"/>
  <c r="Y59" i="3" s="1"/>
  <c r="X59" i="3" a="1"/>
  <c r="X59" i="3" s="1"/>
  <c r="W59" i="3" a="1"/>
  <c r="W59" i="3" s="1"/>
  <c r="V59" i="3" a="1"/>
  <c r="V59" i="3" s="1"/>
  <c r="Y58" i="3" a="1"/>
  <c r="Y58" i="3" s="1"/>
  <c r="X58" i="3" a="1"/>
  <c r="X58" i="3" s="1"/>
  <c r="W58" i="3" a="1"/>
  <c r="W58" i="3" s="1"/>
  <c r="V58" i="3" a="1"/>
  <c r="V58" i="3" s="1"/>
  <c r="Y57" i="3" a="1"/>
  <c r="Y57" i="3" s="1"/>
  <c r="X57" i="3" a="1"/>
  <c r="X57" i="3" s="1"/>
  <c r="W57" i="3" a="1"/>
  <c r="W57" i="3" s="1"/>
  <c r="V57" i="3" a="1"/>
  <c r="V57" i="3" s="1"/>
  <c r="Y56" i="3" a="1"/>
  <c r="Y56" i="3" s="1"/>
  <c r="X56" i="3" a="1"/>
  <c r="X56" i="3" s="1"/>
  <c r="W56" i="3" a="1"/>
  <c r="W56" i="3" s="1"/>
  <c r="V56" i="3" a="1"/>
  <c r="V56" i="3" s="1"/>
  <c r="Y55" i="3" a="1"/>
  <c r="Y55" i="3" s="1"/>
  <c r="X55" i="3" a="1"/>
  <c r="X55" i="3" s="1"/>
  <c r="W55" i="3" a="1"/>
  <c r="W55" i="3" s="1"/>
  <c r="V55" i="3" a="1"/>
  <c r="V55" i="3" s="1"/>
  <c r="Y54" i="3" a="1"/>
  <c r="Y54" i="3" s="1"/>
  <c r="X54" i="3" a="1"/>
  <c r="X54" i="3" s="1"/>
  <c r="W54" i="3" a="1"/>
  <c r="W54" i="3" s="1"/>
  <c r="V54" i="3" a="1"/>
  <c r="V54" i="3" s="1"/>
  <c r="Y53" i="3" a="1"/>
  <c r="Y53" i="3" s="1"/>
  <c r="X53" i="3" a="1"/>
  <c r="X53" i="3" s="1"/>
  <c r="W53" i="3" a="1"/>
  <c r="W53" i="3" s="1"/>
  <c r="V53" i="3" a="1"/>
  <c r="V53" i="3" s="1"/>
  <c r="Y52" i="3" a="1"/>
  <c r="Y52" i="3" s="1"/>
  <c r="X52" i="3" a="1"/>
  <c r="X52" i="3" s="1"/>
  <c r="W52" i="3" a="1"/>
  <c r="W52" i="3" s="1"/>
  <c r="V52" i="3" a="1"/>
  <c r="V52" i="3" s="1"/>
  <c r="Y51" i="3" a="1"/>
  <c r="Y51" i="3" s="1"/>
  <c r="X51" i="3" a="1"/>
  <c r="X51" i="3" s="1"/>
  <c r="W51" i="3" a="1"/>
  <c r="W51" i="3" s="1"/>
  <c r="V51" i="3" a="1"/>
  <c r="V51" i="3" s="1"/>
  <c r="Y50" i="3" a="1"/>
  <c r="Y50" i="3" s="1"/>
  <c r="X50" i="3" a="1"/>
  <c r="X50" i="3" s="1"/>
  <c r="W50" i="3" a="1"/>
  <c r="W50" i="3" s="1"/>
  <c r="V50" i="3" a="1"/>
  <c r="V50" i="3" s="1"/>
  <c r="Y49" i="3" a="1"/>
  <c r="Y49" i="3" s="1"/>
  <c r="X49" i="3" a="1"/>
  <c r="X49" i="3" s="1"/>
  <c r="W49" i="3" a="1"/>
  <c r="W49" i="3" s="1"/>
  <c r="V49" i="3" a="1"/>
  <c r="V49" i="3" s="1"/>
  <c r="Y48" i="3" a="1"/>
  <c r="Y48" i="3" s="1"/>
  <c r="X48" i="3" a="1"/>
  <c r="X48" i="3" s="1"/>
  <c r="W48" i="3" a="1"/>
  <c r="W48" i="3" s="1"/>
  <c r="V48" i="3" a="1"/>
  <c r="V48" i="3" s="1"/>
  <c r="Y47" i="3" a="1"/>
  <c r="Y47" i="3" s="1"/>
  <c r="X47" i="3" a="1"/>
  <c r="X47" i="3" s="1"/>
  <c r="W47" i="3" a="1"/>
  <c r="W47" i="3" s="1"/>
  <c r="V47" i="3" a="1"/>
  <c r="V47" i="3" s="1"/>
  <c r="Y46" i="3" a="1"/>
  <c r="Y46" i="3" s="1"/>
  <c r="X46" i="3" a="1"/>
  <c r="X46" i="3" s="1"/>
  <c r="W46" i="3" a="1"/>
  <c r="W46" i="3" s="1"/>
  <c r="V46" i="3" a="1"/>
  <c r="V46" i="3" s="1"/>
  <c r="Y45" i="3" a="1"/>
  <c r="Y45" i="3" s="1"/>
  <c r="X45" i="3" a="1"/>
  <c r="X45" i="3" s="1"/>
  <c r="W45" i="3" a="1"/>
  <c r="W45" i="3" s="1"/>
  <c r="V45" i="3" a="1"/>
  <c r="V45" i="3" s="1"/>
  <c r="Y44" i="3" a="1"/>
  <c r="Y44" i="3" s="1"/>
  <c r="X44" i="3" a="1"/>
  <c r="X44" i="3" s="1"/>
  <c r="W44" i="3" a="1"/>
  <c r="W44" i="3" s="1"/>
  <c r="V44" i="3" a="1"/>
  <c r="V44" i="3" s="1"/>
  <c r="Y43" i="3" a="1"/>
  <c r="Y43" i="3" s="1"/>
  <c r="X43" i="3" a="1"/>
  <c r="X43" i="3" s="1"/>
  <c r="W43" i="3" a="1"/>
  <c r="W43" i="3" s="1"/>
  <c r="V43" i="3" a="1"/>
  <c r="V43" i="3" s="1"/>
  <c r="Y42" i="3" a="1"/>
  <c r="Y42" i="3" s="1"/>
  <c r="X42" i="3" a="1"/>
  <c r="X42" i="3" s="1"/>
  <c r="W42" i="3" a="1"/>
  <c r="W42" i="3" s="1"/>
  <c r="V42" i="3" a="1"/>
  <c r="V42" i="3" s="1"/>
  <c r="Y41" i="3" a="1"/>
  <c r="Y41" i="3" s="1"/>
  <c r="X41" i="3" a="1"/>
  <c r="X41" i="3" s="1"/>
  <c r="W41" i="3" a="1"/>
  <c r="W41" i="3" s="1"/>
  <c r="V41" i="3" a="1"/>
  <c r="V41" i="3" s="1"/>
  <c r="Y40" i="3" a="1"/>
  <c r="Y40" i="3" s="1"/>
  <c r="X40" i="3" a="1"/>
  <c r="X40" i="3" s="1"/>
  <c r="W40" i="3" a="1"/>
  <c r="W40" i="3" s="1"/>
  <c r="V40" i="3" a="1"/>
  <c r="V40" i="3" s="1"/>
  <c r="Y39" i="3" a="1"/>
  <c r="Y39" i="3" s="1"/>
  <c r="X39" i="3" a="1"/>
  <c r="X39" i="3" s="1"/>
  <c r="W39" i="3" a="1"/>
  <c r="W39" i="3" s="1"/>
  <c r="V39" i="3" a="1"/>
  <c r="V39" i="3" s="1"/>
  <c r="Y38" i="3" a="1"/>
  <c r="Y38" i="3" s="1"/>
  <c r="X38" i="3" a="1"/>
  <c r="X38" i="3" s="1"/>
  <c r="W38" i="3" a="1"/>
  <c r="W38" i="3" s="1"/>
  <c r="V38" i="3" a="1"/>
  <c r="V38" i="3" s="1"/>
  <c r="Y37" i="3" a="1"/>
  <c r="Y37" i="3" s="1"/>
  <c r="X37" i="3" a="1"/>
  <c r="X37" i="3" s="1"/>
  <c r="W37" i="3" a="1"/>
  <c r="W37" i="3" s="1"/>
  <c r="V37" i="3" a="1"/>
  <c r="V37" i="3" s="1"/>
  <c r="Y36" i="3" a="1"/>
  <c r="Y36" i="3" s="1"/>
  <c r="X36" i="3" a="1"/>
  <c r="X36" i="3" s="1"/>
  <c r="W36" i="3" a="1"/>
  <c r="W36" i="3" s="1"/>
  <c r="V36" i="3" a="1"/>
  <c r="V36" i="3" s="1"/>
  <c r="Y35" i="3" a="1"/>
  <c r="Y35" i="3" s="1"/>
  <c r="X35" i="3" a="1"/>
  <c r="X35" i="3" s="1"/>
  <c r="W35" i="3" a="1"/>
  <c r="W35" i="3" s="1"/>
  <c r="V35" i="3" a="1"/>
  <c r="V35" i="3" s="1"/>
  <c r="Y34" i="3" a="1"/>
  <c r="Y34" i="3" s="1"/>
  <c r="X34" i="3" a="1"/>
  <c r="X34" i="3" s="1"/>
  <c r="W34" i="3" a="1"/>
  <c r="W34" i="3" s="1"/>
  <c r="V34" i="3" a="1"/>
  <c r="V34" i="3" s="1"/>
  <c r="Y33" i="3" a="1"/>
  <c r="Y33" i="3" s="1"/>
  <c r="X33" i="3" a="1"/>
  <c r="X33" i="3" s="1"/>
  <c r="W33" i="3" a="1"/>
  <c r="W33" i="3" s="1"/>
  <c r="V33" i="3" a="1"/>
  <c r="V33" i="3" s="1"/>
  <c r="Y32" i="3" a="1"/>
  <c r="Y32" i="3" s="1"/>
  <c r="X32" i="3" a="1"/>
  <c r="X32" i="3" s="1"/>
  <c r="W32" i="3" a="1"/>
  <c r="W32" i="3" s="1"/>
  <c r="V32" i="3" a="1"/>
  <c r="V32" i="3" s="1"/>
  <c r="Y31" i="3" a="1"/>
  <c r="Y31" i="3" s="1"/>
  <c r="X31" i="3" a="1"/>
  <c r="X31" i="3" s="1"/>
  <c r="W31" i="3" a="1"/>
  <c r="W31" i="3" s="1"/>
  <c r="V31" i="3" a="1"/>
  <c r="V31" i="3" s="1"/>
  <c r="Y30" i="3" a="1"/>
  <c r="Y30" i="3" s="1"/>
  <c r="X30" i="3" a="1"/>
  <c r="X30" i="3" s="1"/>
  <c r="W30" i="3" a="1"/>
  <c r="W30" i="3" s="1"/>
  <c r="V30" i="3" a="1"/>
  <c r="V30" i="3" s="1"/>
  <c r="Y29" i="3" a="1"/>
  <c r="Y29" i="3" s="1"/>
  <c r="X29" i="3" a="1"/>
  <c r="X29" i="3" s="1"/>
  <c r="W29" i="3" a="1"/>
  <c r="W29" i="3" s="1"/>
  <c r="V29" i="3" a="1"/>
  <c r="V29" i="3" s="1"/>
  <c r="Y28" i="3" a="1"/>
  <c r="Y28" i="3" s="1"/>
  <c r="X28" i="3" a="1"/>
  <c r="X28" i="3" s="1"/>
  <c r="W28" i="3" a="1"/>
  <c r="W28" i="3" s="1"/>
  <c r="V28" i="3" a="1"/>
  <c r="V28" i="3" s="1"/>
  <c r="Y27" i="3" a="1"/>
  <c r="Y27" i="3" s="1"/>
  <c r="X27" i="3" a="1"/>
  <c r="X27" i="3" s="1"/>
  <c r="W27" i="3" a="1"/>
  <c r="W27" i="3" s="1"/>
  <c r="V27" i="3" a="1"/>
  <c r="V27" i="3" s="1"/>
  <c r="Y26" i="3" a="1"/>
  <c r="Y26" i="3" s="1"/>
  <c r="X26" i="3" a="1"/>
  <c r="X26" i="3" s="1"/>
  <c r="W26" i="3" a="1"/>
  <c r="W26" i="3" s="1"/>
  <c r="V26" i="3" a="1"/>
  <c r="V26" i="3" s="1"/>
  <c r="Y25" i="3" a="1"/>
  <c r="Y25" i="3" s="1"/>
  <c r="X25" i="3" a="1"/>
  <c r="X25" i="3" s="1"/>
  <c r="W25" i="3" a="1"/>
  <c r="W25" i="3" s="1"/>
  <c r="V25" i="3" a="1"/>
  <c r="V25" i="3" s="1"/>
  <c r="B14" i="3"/>
  <c r="F8" i="4" l="1"/>
  <c r="F9" i="4" l="1"/>
  <c r="F7" i="4"/>
  <c r="F10" i="4"/>
  <c r="E33" i="2" l="1"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23" i="2" a="1"/>
  <c r="E23" i="2" s="1"/>
  <c r="E24" i="2" a="1"/>
  <c r="E24" i="2" s="1"/>
  <c r="E25" i="2" a="1"/>
  <c r="E25" i="2" s="1"/>
  <c r="E26" i="2" a="1"/>
  <c r="E26" i="2" s="1"/>
  <c r="E27" i="2" a="1"/>
  <c r="E27" i="2" s="1"/>
  <c r="E28" i="2" a="1"/>
  <c r="E28" i="2" s="1"/>
  <c r="E29" i="2" a="1"/>
  <c r="E29" i="2" s="1"/>
  <c r="E30" i="2" a="1"/>
  <c r="E30" i="2" s="1"/>
  <c r="E31" i="2" a="1"/>
  <c r="E31" i="2" s="1"/>
  <c r="E32" i="2" a="1"/>
  <c r="E32" i="2" s="1"/>
  <c r="E22" i="2" a="1"/>
  <c r="E22" i="2" s="1"/>
  <c r="D79" i="5" l="1"/>
  <c r="E79" i="5"/>
  <c r="D80" i="5"/>
  <c r="E80" i="5"/>
  <c r="D81" i="5"/>
  <c r="E81" i="5"/>
  <c r="D97" i="5"/>
  <c r="E97" i="5"/>
  <c r="D98" i="5"/>
  <c r="E98" i="5"/>
  <c r="D99" i="5"/>
  <c r="E99" i="5"/>
  <c r="E21" i="5"/>
  <c r="D21" i="5"/>
  <c r="N35" i="5"/>
  <c r="Q859" i="1" l="1" a="1"/>
  <c r="Q859" i="1" s="1"/>
  <c r="Q879" i="1" a="1"/>
  <c r="Q879" i="1" s="1"/>
  <c r="Q594" i="1" a="1"/>
  <c r="Q594" i="1" s="1"/>
  <c r="Q759" i="1" a="1"/>
  <c r="Q759" i="1" s="1"/>
  <c r="Q585" i="1" a="1"/>
  <c r="Q585" i="1" s="1"/>
  <c r="Q600" i="1" a="1"/>
  <c r="Q600" i="1" s="1"/>
  <c r="Q587" i="1" a="1"/>
  <c r="Q587" i="1" s="1"/>
  <c r="Q790" i="1" a="1"/>
  <c r="Q790" i="1" s="1"/>
  <c r="Q829" i="1" a="1"/>
  <c r="Q829" i="1" s="1"/>
  <c r="Q575" i="1" a="1"/>
  <c r="Q575" i="1" s="1"/>
  <c r="Q574" i="1" a="1"/>
  <c r="Q574" i="1" s="1"/>
  <c r="Q773" i="1" a="1"/>
  <c r="Q773" i="1" s="1"/>
  <c r="P775" i="1" a="1"/>
  <c r="P775" i="1" s="1"/>
  <c r="Q883" i="1" a="1"/>
  <c r="Q883" i="1" s="1"/>
  <c r="Q578" i="1" a="1"/>
  <c r="Q578" i="1" s="1"/>
  <c r="Q775" i="1" a="1"/>
  <c r="Q775" i="1" s="1"/>
  <c r="Q772" i="1" a="1"/>
  <c r="Q772" i="1" s="1"/>
  <c r="Q797" i="1" a="1"/>
  <c r="Q797" i="1" s="1"/>
  <c r="Q573" i="1" a="1"/>
  <c r="Q573" i="1" s="1"/>
  <c r="Q577" i="1" a="1"/>
  <c r="Q577" i="1" s="1"/>
  <c r="Q826" i="1" a="1"/>
  <c r="Q826" i="1" s="1"/>
  <c r="Q601" i="1" a="1"/>
  <c r="Q601" i="1" s="1"/>
  <c r="Q784" i="1" a="1"/>
  <c r="Q784" i="1" s="1"/>
  <c r="Q656" i="1" a="1"/>
  <c r="Q656" i="1" s="1"/>
  <c r="Q858" i="1" a="1"/>
  <c r="Q858" i="1" s="1"/>
  <c r="Q583" i="1" a="1"/>
  <c r="Q583" i="1" s="1"/>
  <c r="Q591" i="1" a="1"/>
  <c r="Q591" i="1" s="1"/>
  <c r="Q763" i="1" a="1"/>
  <c r="Q763" i="1" s="1"/>
  <c r="Q576" i="1" a="1"/>
  <c r="Q576" i="1" s="1"/>
  <c r="P773" i="1" a="1"/>
  <c r="P773" i="1" s="1"/>
  <c r="Q882" i="1" a="1"/>
  <c r="Q882" i="1" s="1"/>
  <c r="Q581" i="1" a="1"/>
  <c r="Q581" i="1" s="1"/>
  <c r="Q884" i="1" a="1"/>
  <c r="Q884" i="1" s="1"/>
  <c r="Q776" i="1" a="1"/>
  <c r="Q776" i="1" s="1"/>
  <c r="Q764" i="1" a="1"/>
  <c r="Q764" i="1" s="1"/>
  <c r="Q589" i="1" a="1"/>
  <c r="Q589" i="1" s="1"/>
  <c r="Q885" i="1" a="1"/>
  <c r="Q885" i="1" s="1"/>
  <c r="Q860" i="1" a="1"/>
  <c r="Q860" i="1" s="1"/>
  <c r="Q789" i="1" a="1"/>
  <c r="Q789" i="1" s="1"/>
  <c r="Q761" i="1" a="1"/>
  <c r="Q761" i="1" s="1"/>
  <c r="Q827" i="1" a="1"/>
  <c r="Q827" i="1" s="1"/>
  <c r="Q593" i="1" a="1"/>
  <c r="Q593" i="1" s="1"/>
  <c r="Q569" i="1" a="1"/>
  <c r="Q569" i="1" s="1"/>
  <c r="Q571" i="1" a="1"/>
  <c r="Q571" i="1" s="1"/>
  <c r="Q572" i="1" a="1"/>
  <c r="Q572" i="1" s="1"/>
  <c r="Q780" i="1" a="1"/>
  <c r="Q780" i="1" s="1"/>
  <c r="Q785" i="1" a="1"/>
  <c r="Q785" i="1" s="1"/>
  <c r="Q582" i="1" a="1"/>
  <c r="Q582" i="1" s="1"/>
  <c r="Q795" i="1" a="1"/>
  <c r="Q795" i="1" s="1"/>
  <c r="Q771" i="1" a="1"/>
  <c r="Q771" i="1" s="1"/>
  <c r="Q796" i="1" a="1"/>
  <c r="Q796" i="1" s="1"/>
  <c r="Q580" i="1" a="1"/>
  <c r="Q580" i="1" s="1"/>
  <c r="Q570" i="1" a="1"/>
  <c r="Q570" i="1" s="1"/>
  <c r="Q586" i="1" a="1"/>
  <c r="Q586" i="1" s="1"/>
  <c r="Q592" i="1" a="1"/>
  <c r="Q592" i="1" s="1"/>
  <c r="U592" i="1" s="1"/>
  <c r="Q567" i="1" a="1"/>
  <c r="Q567" i="1" s="1"/>
  <c r="Q760" i="1" a="1"/>
  <c r="Q760" i="1" s="1"/>
  <c r="Q778" i="1" a="1"/>
  <c r="Q778" i="1" s="1"/>
  <c r="Q774" i="1" a="1"/>
  <c r="Q774" i="1" s="1"/>
  <c r="Q579" i="1" a="1"/>
  <c r="Q579" i="1" s="1"/>
  <c r="U579" i="1" s="1"/>
  <c r="Q590" i="1" a="1"/>
  <c r="Q590" i="1" s="1"/>
  <c r="Q657" i="1" a="1"/>
  <c r="Q657" i="1" s="1"/>
  <c r="P774" i="1" a="1"/>
  <c r="P774" i="1" s="1"/>
  <c r="Q794" i="1" a="1"/>
  <c r="Q794" i="1" s="1"/>
  <c r="Q828" i="1" a="1"/>
  <c r="Q828" i="1" s="1"/>
  <c r="Q588" i="1" a="1"/>
  <c r="Q588" i="1" s="1"/>
  <c r="Q584" i="1" a="1"/>
  <c r="Q584" i="1" s="1"/>
  <c r="Q568" i="1" a="1"/>
  <c r="Q568" i="1" s="1"/>
  <c r="D14" i="5"/>
  <c r="D18" i="5"/>
  <c r="D23" i="5"/>
  <c r="D26" i="5"/>
  <c r="D31" i="5"/>
  <c r="D32" i="5"/>
  <c r="D35" i="5"/>
  <c r="D38" i="5"/>
  <c r="D41" i="5"/>
  <c r="D44" i="5"/>
  <c r="D46" i="5"/>
  <c r="D12" i="5"/>
  <c r="E140" i="5"/>
  <c r="E141" i="5"/>
  <c r="E142" i="5"/>
  <c r="E143" i="5"/>
  <c r="E144" i="5"/>
  <c r="E145" i="5"/>
  <c r="E146" i="5"/>
  <c r="E147" i="5"/>
  <c r="E148" i="5"/>
  <c r="E149" i="5"/>
  <c r="E150" i="5"/>
  <c r="E151" i="5"/>
  <c r="C140" i="5"/>
  <c r="D140" i="5"/>
  <c r="C141" i="5"/>
  <c r="D141" i="5"/>
  <c r="C142" i="5"/>
  <c r="D142" i="5"/>
  <c r="C143" i="5"/>
  <c r="D143" i="5"/>
  <c r="C144" i="5"/>
  <c r="D144" i="5"/>
  <c r="C145" i="5"/>
  <c r="D145" i="5"/>
  <c r="C146" i="5"/>
  <c r="D146" i="5"/>
  <c r="C147" i="5"/>
  <c r="D147" i="5"/>
  <c r="C148" i="5"/>
  <c r="D148" i="5"/>
  <c r="C149" i="5"/>
  <c r="D149" i="5"/>
  <c r="C150" i="5"/>
  <c r="D150" i="5"/>
  <c r="C151" i="5"/>
  <c r="D151" i="5"/>
  <c r="D138" i="5"/>
  <c r="C138" i="5"/>
  <c r="E14" i="5"/>
  <c r="E18" i="5"/>
  <c r="E23" i="5"/>
  <c r="E26" i="5"/>
  <c r="E31" i="5"/>
  <c r="E32" i="5"/>
  <c r="E35" i="5"/>
  <c r="E38" i="5"/>
  <c r="E41" i="5"/>
  <c r="E44" i="5"/>
  <c r="E46" i="5"/>
  <c r="E12" i="5"/>
  <c r="S416" i="1" l="1" a="1"/>
  <c r="S416" i="1" s="1"/>
  <c r="Q416" i="1" s="1" a="1"/>
  <c r="Q416" i="1" s="1"/>
  <c r="R440" i="1" a="1"/>
  <c r="R440" i="1" s="1"/>
  <c r="P440" i="1" s="1" a="1"/>
  <c r="P440" i="1" s="1"/>
  <c r="R502" i="1" a="1"/>
  <c r="R502" i="1" s="1"/>
  <c r="P502" i="1" s="1" a="1"/>
  <c r="P502" i="1" s="1"/>
  <c r="T502" i="1" s="1"/>
  <c r="S523" i="1" a="1"/>
  <c r="S523" i="1" s="1"/>
  <c r="Q523" i="1" s="1" a="1"/>
  <c r="Q523" i="1" s="1"/>
  <c r="S502" i="1" a="1"/>
  <c r="S502" i="1" s="1"/>
  <c r="S513" i="1" a="1"/>
  <c r="S513" i="1" s="1"/>
  <c r="Q513" i="1" s="1" a="1"/>
  <c r="Q513" i="1" s="1"/>
  <c r="R477" i="1" a="1"/>
  <c r="R477" i="1" s="1"/>
  <c r="P477" i="1" s="1" a="1"/>
  <c r="P477" i="1" s="1"/>
  <c r="S494" i="1" a="1"/>
  <c r="S494" i="1" s="1"/>
  <c r="Q494" i="1" s="1" a="1"/>
  <c r="Q494" i="1" s="1"/>
  <c r="S534" i="1" a="1"/>
  <c r="S534" i="1" s="1"/>
  <c r="Q534" i="1" s="1" a="1"/>
  <c r="Q534" i="1" s="1"/>
  <c r="R393" i="1" a="1"/>
  <c r="R393" i="1" s="1"/>
  <c r="P393" i="1" s="1" a="1"/>
  <c r="P393" i="1" s="1"/>
  <c r="R483" i="1" a="1"/>
  <c r="R483" i="1" s="1"/>
  <c r="P483" i="1" s="1" a="1"/>
  <c r="P483" i="1" s="1"/>
  <c r="S504" i="1" a="1"/>
  <c r="S504" i="1" s="1"/>
  <c r="Q504" i="1" s="1" a="1"/>
  <c r="Q504" i="1" s="1"/>
  <c r="S382" i="1" a="1"/>
  <c r="S382" i="1" s="1"/>
  <c r="Q382" i="1" s="1" a="1"/>
  <c r="Q382" i="1" s="1"/>
  <c r="S483" i="1" a="1"/>
  <c r="S483" i="1" s="1"/>
  <c r="Q483" i="1" s="1" a="1"/>
  <c r="Q483" i="1" s="1"/>
  <c r="R545" i="1" a="1"/>
  <c r="R545" i="1" s="1"/>
  <c r="P545" i="1" s="1" a="1"/>
  <c r="P545" i="1" s="1"/>
  <c r="S395" i="1" a="1"/>
  <c r="S395" i="1" s="1"/>
  <c r="Q395" i="1" s="1" a="1"/>
  <c r="Q395" i="1" s="1"/>
  <c r="S443" i="1" a="1"/>
  <c r="S443" i="1" s="1"/>
  <c r="Q443" i="1" s="1" a="1"/>
  <c r="Q443" i="1" s="1"/>
  <c r="S454" i="1" a="1"/>
  <c r="S454" i="1" s="1"/>
  <c r="Q454" i="1" s="1" a="1"/>
  <c r="Q454" i="1" s="1"/>
  <c r="S515" i="1" a="1"/>
  <c r="S515" i="1" s="1"/>
  <c r="Q515" i="1" s="1" a="1"/>
  <c r="Q515" i="1" s="1"/>
  <c r="R526" i="1" a="1"/>
  <c r="R526" i="1" s="1"/>
  <c r="P526" i="1" s="1" a="1"/>
  <c r="P526" i="1" s="1"/>
  <c r="S556" i="1" a="1"/>
  <c r="S556" i="1" s="1"/>
  <c r="S477" i="1" a="1"/>
  <c r="S477" i="1" s="1"/>
  <c r="Q477" i="1" s="1" a="1"/>
  <c r="Q477" i="1" s="1"/>
  <c r="R421" i="1" a="1"/>
  <c r="R421" i="1" s="1"/>
  <c r="P421" i="1" s="1" a="1"/>
  <c r="P421" i="1" s="1"/>
  <c r="S496" i="1" a="1"/>
  <c r="S496" i="1" s="1"/>
  <c r="Q496" i="1" s="1" a="1"/>
  <c r="Q496" i="1" s="1"/>
  <c r="S538" i="1" a="1"/>
  <c r="S538" i="1" s="1"/>
  <c r="S537" i="1" a="1"/>
  <c r="S537" i="1" s="1"/>
  <c r="Q537" i="1" s="1" a="1"/>
  <c r="Q537" i="1" s="1"/>
  <c r="R558" i="1" a="1"/>
  <c r="R558" i="1" s="1"/>
  <c r="P558" i="1" s="1" a="1"/>
  <c r="P558" i="1" s="1"/>
  <c r="R507" i="1" a="1"/>
  <c r="R507" i="1" s="1"/>
  <c r="P507" i="1" s="1" a="1"/>
  <c r="P507" i="1" s="1"/>
  <c r="S558" i="1" a="1"/>
  <c r="S558" i="1" s="1"/>
  <c r="Q558" i="1" s="1" a="1"/>
  <c r="Q558" i="1" s="1"/>
  <c r="S507" i="1" a="1"/>
  <c r="S507" i="1" s="1"/>
  <c r="Q507" i="1" s="1" a="1"/>
  <c r="Q507" i="1" s="1"/>
  <c r="S510" i="1" a="1"/>
  <c r="S510" i="1" s="1"/>
  <c r="Q510" i="1" s="1" a="1"/>
  <c r="Q510" i="1" s="1"/>
  <c r="S480" i="1" a="1"/>
  <c r="S480" i="1" s="1"/>
  <c r="Q480" i="1" s="1" a="1"/>
  <c r="Q480" i="1" s="1"/>
  <c r="S551" i="1" a="1"/>
  <c r="S551" i="1" s="1"/>
  <c r="Q551" i="1" s="1" a="1"/>
  <c r="Q551" i="1" s="1"/>
  <c r="S401" i="1" a="1"/>
  <c r="S401" i="1" s="1"/>
  <c r="Q401" i="1" s="1" a="1"/>
  <c r="Q401" i="1" s="1"/>
  <c r="S448" i="1" a="1"/>
  <c r="S448" i="1" s="1"/>
  <c r="Q448" i="1" s="1" a="1"/>
  <c r="Q448" i="1" s="1"/>
  <c r="S531" i="1" a="1"/>
  <c r="S531" i="1" s="1"/>
  <c r="Q531" i="1" s="1" a="1"/>
  <c r="Q531" i="1" s="1"/>
  <c r="S561" i="1" a="1"/>
  <c r="S561" i="1" s="1"/>
  <c r="Q561" i="1" s="1" a="1"/>
  <c r="Q561" i="1" s="1"/>
  <c r="S500" i="1" a="1"/>
  <c r="S500" i="1" s="1"/>
  <c r="Q500" i="1" s="1" a="1"/>
  <c r="Q500" i="1" s="1"/>
  <c r="S390" i="1" a="1"/>
  <c r="S390" i="1" s="1"/>
  <c r="Q390" i="1" s="1" a="1"/>
  <c r="Q390" i="1" s="1"/>
  <c r="S459" i="1" a="1"/>
  <c r="S459" i="1" s="1"/>
  <c r="Q459" i="1" s="1" a="1"/>
  <c r="Q459" i="1" s="1"/>
  <c r="S532" i="1" a="1"/>
  <c r="S532" i="1" s="1"/>
  <c r="Q532" i="1" s="1" a="1"/>
  <c r="Q532" i="1" s="1"/>
  <c r="S553" i="1" a="1"/>
  <c r="S553" i="1" s="1"/>
  <c r="Q553" i="1" s="1" a="1"/>
  <c r="Q553" i="1" s="1"/>
  <c r="S462" i="1" a="1"/>
  <c r="S462" i="1" s="1"/>
  <c r="Q462" i="1" s="1" a="1"/>
  <c r="Q462" i="1" s="1"/>
  <c r="R564" i="1" a="1"/>
  <c r="R564" i="1" s="1"/>
  <c r="P564" i="1" s="1" a="1"/>
  <c r="P564" i="1" s="1"/>
  <c r="R403" i="1" a="1"/>
  <c r="R403" i="1" s="1"/>
  <c r="P403" i="1" s="1" a="1"/>
  <c r="P403" i="1" s="1"/>
  <c r="T403" i="1" s="1"/>
  <c r="S469" i="1" a="1"/>
  <c r="S469" i="1" s="1"/>
  <c r="Q469" i="1" s="1" a="1"/>
  <c r="Q469" i="1" s="1"/>
  <c r="S438" i="1" a="1"/>
  <c r="S438" i="1" s="1"/>
  <c r="Q438" i="1" s="1" a="1"/>
  <c r="Q438" i="1" s="1"/>
  <c r="R392" i="1" a="1"/>
  <c r="R392" i="1" s="1"/>
  <c r="P392" i="1" s="1" a="1"/>
  <c r="P392" i="1" s="1"/>
  <c r="S482" i="1" a="1"/>
  <c r="S482" i="1" s="1"/>
  <c r="Q482" i="1" s="1" a="1"/>
  <c r="Q482" i="1" s="1"/>
  <c r="S336" i="1" a="1"/>
  <c r="S336" i="1" s="1"/>
  <c r="Q336" i="1" s="1" a="1"/>
  <c r="Q336" i="1" s="1"/>
  <c r="R381" i="1" a="1"/>
  <c r="R381" i="1" s="1"/>
  <c r="P381" i="1" s="1" a="1"/>
  <c r="P381" i="1" s="1"/>
  <c r="S466" i="1" a="1"/>
  <c r="S466" i="1" s="1"/>
  <c r="Q466" i="1" s="1" a="1"/>
  <c r="Q466" i="1" s="1"/>
  <c r="R548" i="1" a="1"/>
  <c r="R548" i="1" s="1"/>
  <c r="P548" i="1" s="1" a="1"/>
  <c r="P548" i="1" s="1"/>
  <c r="R395" i="1" a="1"/>
  <c r="R395" i="1" s="1"/>
  <c r="P395" i="1" s="1" a="1"/>
  <c r="P395" i="1" s="1"/>
  <c r="S517" i="1" a="1"/>
  <c r="S517" i="1" s="1"/>
  <c r="Q517" i="1" s="1" a="1"/>
  <c r="Q517" i="1" s="1"/>
  <c r="S396" i="1" a="1"/>
  <c r="S396" i="1" s="1"/>
  <c r="Q396" i="1" s="1" a="1"/>
  <c r="Q396" i="1" s="1"/>
  <c r="S485" i="1" a="1"/>
  <c r="S485" i="1" s="1"/>
  <c r="Q485" i="1" s="1" a="1"/>
  <c r="Q485" i="1" s="1"/>
  <c r="R412" i="1" a="1"/>
  <c r="R412" i="1" s="1"/>
  <c r="S487" i="1" a="1"/>
  <c r="S487" i="1" s="1"/>
  <c r="Q487" i="1" s="1" a="1"/>
  <c r="Q487" i="1" s="1"/>
  <c r="S444" i="1" a="1"/>
  <c r="S444" i="1" s="1"/>
  <c r="Q444" i="1" s="1" a="1"/>
  <c r="Q444" i="1" s="1"/>
  <c r="R420" i="1" a="1"/>
  <c r="R420" i="1" s="1"/>
  <c r="P420" i="1" s="1" a="1"/>
  <c r="P420" i="1" s="1"/>
  <c r="S495" i="1" a="1"/>
  <c r="S495" i="1" s="1"/>
  <c r="Q495" i="1" s="1" a="1"/>
  <c r="Q495" i="1" s="1"/>
  <c r="S374" i="1" a="1"/>
  <c r="S374" i="1" s="1"/>
  <c r="Q374" i="1" s="1" a="1"/>
  <c r="Q374" i="1" s="1"/>
  <c r="R400" i="1" a="1"/>
  <c r="R400" i="1" s="1"/>
  <c r="P400" i="1" s="1" a="1"/>
  <c r="P400" i="1" s="1"/>
  <c r="S472" i="1" a="1"/>
  <c r="S472" i="1" s="1"/>
  <c r="Q472" i="1" s="1" a="1"/>
  <c r="Q472" i="1" s="1"/>
  <c r="R554" i="1" a="1"/>
  <c r="R554" i="1" s="1"/>
  <c r="P554" i="1" s="1" a="1"/>
  <c r="P554" i="1" s="1"/>
  <c r="R401" i="1" a="1"/>
  <c r="R401" i="1" s="1"/>
  <c r="P401" i="1" s="1" a="1"/>
  <c r="P401" i="1" s="1"/>
  <c r="S530" i="1" a="1"/>
  <c r="S530" i="1" s="1"/>
  <c r="Q530" i="1" s="1" a="1"/>
  <c r="Q530" i="1" s="1"/>
  <c r="S492" i="1" a="1"/>
  <c r="S492" i="1" s="1"/>
  <c r="Q492" i="1" s="1" a="1"/>
  <c r="Q492" i="1" s="1"/>
  <c r="R553" i="1" a="1"/>
  <c r="R553" i="1" s="1"/>
  <c r="P553" i="1" s="1" a="1"/>
  <c r="P553" i="1" s="1"/>
  <c r="R437" i="1" a="1"/>
  <c r="R437" i="1" s="1"/>
  <c r="S525" i="1" a="1"/>
  <c r="S525" i="1" s="1"/>
  <c r="Q525" i="1" s="1" a="1"/>
  <c r="Q525" i="1" s="1"/>
  <c r="R335" i="1" a="1"/>
  <c r="R335" i="1" s="1"/>
  <c r="P335" i="1" s="1" a="1"/>
  <c r="P335" i="1" s="1"/>
  <c r="R445" i="1" a="1"/>
  <c r="R445" i="1" s="1"/>
  <c r="P445" i="1" s="1" a="1"/>
  <c r="P445" i="1" s="1"/>
  <c r="S520" i="1" a="1"/>
  <c r="S520" i="1" s="1"/>
  <c r="S414" i="1" a="1"/>
  <c r="S414" i="1" s="1"/>
  <c r="Q414" i="1" s="1" a="1"/>
  <c r="Q414" i="1" s="1"/>
  <c r="R447" i="1" a="1"/>
  <c r="R447" i="1" s="1"/>
  <c r="S509" i="1" a="1"/>
  <c r="S509" i="1" s="1"/>
  <c r="Q509" i="1" s="1" a="1"/>
  <c r="Q509" i="1" s="1"/>
  <c r="R485" i="1" a="1"/>
  <c r="R485" i="1" s="1"/>
  <c r="P485" i="1" s="1" a="1"/>
  <c r="P485" i="1" s="1"/>
  <c r="R491" i="1" a="1"/>
  <c r="R491" i="1" s="1"/>
  <c r="P491" i="1" s="1" a="1"/>
  <c r="P491" i="1" s="1"/>
  <c r="S555" i="1" a="1"/>
  <c r="S555" i="1" s="1"/>
  <c r="Q555" i="1" s="1" a="1"/>
  <c r="Q555" i="1" s="1"/>
  <c r="S333" i="1" a="1"/>
  <c r="S333" i="1" s="1"/>
  <c r="Q333" i="1" s="1" a="1"/>
  <c r="Q333" i="1" s="1"/>
  <c r="R427" i="1" a="1"/>
  <c r="R427" i="1" s="1"/>
  <c r="P427" i="1" s="1" a="1"/>
  <c r="P427" i="1" s="1"/>
  <c r="R462" i="1" a="1"/>
  <c r="R462" i="1" s="1"/>
  <c r="P462" i="1" s="1" a="1"/>
  <c r="P462" i="1" s="1"/>
  <c r="R544" i="1" a="1"/>
  <c r="R544" i="1" s="1"/>
  <c r="P544" i="1" s="1" a="1"/>
  <c r="P544" i="1" s="1"/>
  <c r="R444" i="1" a="1"/>
  <c r="R444" i="1" s="1"/>
  <c r="P444" i="1" s="1" a="1"/>
  <c r="P444" i="1" s="1"/>
  <c r="R451" i="1" a="1"/>
  <c r="R451" i="1" s="1"/>
  <c r="R514" i="1" a="1"/>
  <c r="R514" i="1" s="1"/>
  <c r="P514" i="1" s="1" a="1"/>
  <c r="P514" i="1" s="1"/>
  <c r="R508" i="1" a="1"/>
  <c r="R508" i="1" s="1"/>
  <c r="P508" i="1" s="1" a="1"/>
  <c r="P508" i="1" s="1"/>
  <c r="S521" i="1" a="1"/>
  <c r="S521" i="1" s="1"/>
  <c r="Q521" i="1" s="1" a="1"/>
  <c r="Q521" i="1" s="1"/>
  <c r="R522" i="1" a="1"/>
  <c r="R522" i="1" s="1"/>
  <c r="P522" i="1" s="1" a="1"/>
  <c r="P522" i="1" s="1"/>
  <c r="R504" i="1" a="1"/>
  <c r="R504" i="1" s="1"/>
  <c r="P504" i="1" s="1" a="1"/>
  <c r="P504" i="1" s="1"/>
  <c r="S460" i="1" a="1"/>
  <c r="S460" i="1" s="1"/>
  <c r="Q460" i="1" s="1" a="1"/>
  <c r="Q460" i="1" s="1"/>
  <c r="R479" i="1" a="1"/>
  <c r="R479" i="1" s="1"/>
  <c r="P479" i="1" s="1" a="1"/>
  <c r="P479" i="1" s="1"/>
  <c r="R417" i="1" a="1"/>
  <c r="R417" i="1" s="1"/>
  <c r="S436" i="1" a="1"/>
  <c r="S436" i="1" s="1"/>
  <c r="Q436" i="1" s="1" a="1"/>
  <c r="Q436" i="1" s="1"/>
  <c r="S467" i="1" a="1"/>
  <c r="S467" i="1" s="1"/>
  <c r="Q467" i="1" s="1" a="1"/>
  <c r="Q467" i="1" s="1"/>
  <c r="S550" i="1" a="1"/>
  <c r="S550" i="1" s="1"/>
  <c r="Q550" i="1" s="1" a="1"/>
  <c r="Q550" i="1" s="1"/>
  <c r="S456" i="1" a="1"/>
  <c r="S456" i="1" s="1"/>
  <c r="Q456" i="1" s="1" a="1"/>
  <c r="Q456" i="1" s="1"/>
  <c r="S539" i="1" a="1"/>
  <c r="S539" i="1" s="1"/>
  <c r="Q539" i="1" s="1" a="1"/>
  <c r="Q539" i="1" s="1"/>
  <c r="R539" i="1" a="1"/>
  <c r="R539" i="1" s="1"/>
  <c r="P539" i="1" s="1" a="1"/>
  <c r="P539" i="1" s="1"/>
  <c r="S499" i="1" a="1"/>
  <c r="S499" i="1" s="1"/>
  <c r="Q499" i="1" s="1" a="1"/>
  <c r="Q499" i="1" s="1"/>
  <c r="S529" i="1" a="1"/>
  <c r="S529" i="1" s="1"/>
  <c r="S518" i="1" a="1"/>
  <c r="S518" i="1" s="1"/>
  <c r="Q518" i="1" s="1" a="1"/>
  <c r="Q518" i="1" s="1"/>
  <c r="R531" i="1" a="1"/>
  <c r="R531" i="1" s="1"/>
  <c r="P531" i="1" s="1" a="1"/>
  <c r="P531" i="1" s="1"/>
  <c r="S384" i="1" a="1"/>
  <c r="S384" i="1" s="1"/>
  <c r="Q384" i="1" s="1" a="1"/>
  <c r="Q384" i="1" s="1"/>
  <c r="R500" i="1" a="1"/>
  <c r="R500" i="1" s="1"/>
  <c r="P500" i="1" s="1" a="1"/>
  <c r="P500" i="1" s="1"/>
  <c r="S398" i="1" a="1"/>
  <c r="S398" i="1" s="1"/>
  <c r="Q398" i="1" s="1" a="1"/>
  <c r="Q398" i="1" s="1"/>
  <c r="S392" i="1" a="1"/>
  <c r="S392" i="1" s="1"/>
  <c r="Q392" i="1" s="1" a="1"/>
  <c r="Q392" i="1" s="1"/>
  <c r="R374" i="1" a="1"/>
  <c r="R374" i="1" s="1"/>
  <c r="P374" i="1" s="1" a="1"/>
  <c r="P374" i="1" s="1"/>
  <c r="S565" i="1" a="1"/>
  <c r="S565" i="1" s="1"/>
  <c r="S337" i="1" a="1"/>
  <c r="S337" i="1" s="1"/>
  <c r="Q337" i="1" s="1" a="1"/>
  <c r="Q337" i="1" s="1"/>
  <c r="R428" i="1" a="1"/>
  <c r="R428" i="1" s="1"/>
  <c r="S535" i="1" a="1"/>
  <c r="S535" i="1" s="1"/>
  <c r="Q535" i="1" s="1" a="1"/>
  <c r="Q535" i="1" s="1"/>
  <c r="R549" i="1" a="1"/>
  <c r="R549" i="1" s="1"/>
  <c r="P549" i="1" s="1" a="1"/>
  <c r="P549" i="1" s="1"/>
  <c r="R468" i="1" a="1"/>
  <c r="R468" i="1" s="1"/>
  <c r="P468" i="1" s="1" a="1"/>
  <c r="P468" i="1" s="1"/>
  <c r="S511" i="1" a="1"/>
  <c r="S511" i="1" s="1"/>
  <c r="S424" i="1" a="1"/>
  <c r="S424" i="1" s="1"/>
  <c r="Q424" i="1" s="1" a="1"/>
  <c r="Q424" i="1" s="1"/>
  <c r="R488" i="1" a="1"/>
  <c r="R488" i="1" s="1"/>
  <c r="P488" i="1" s="1" a="1"/>
  <c r="P488" i="1" s="1"/>
  <c r="R446" i="1" a="1"/>
  <c r="R446" i="1" s="1"/>
  <c r="P446" i="1" s="1" a="1"/>
  <c r="P446" i="1" s="1"/>
  <c r="T446" i="1" s="1"/>
  <c r="R537" i="1" a="1"/>
  <c r="R537" i="1" s="1"/>
  <c r="P537" i="1" s="1" a="1"/>
  <c r="P537" i="1" s="1"/>
  <c r="S397" i="1" a="1"/>
  <c r="S397" i="1" s="1"/>
  <c r="Q397" i="1" s="1" a="1"/>
  <c r="Q397" i="1" s="1"/>
  <c r="R513" i="1" a="1"/>
  <c r="R513" i="1" s="1"/>
  <c r="P513" i="1" s="1" a="1"/>
  <c r="P513" i="1" s="1"/>
  <c r="S413" i="1" a="1"/>
  <c r="S413" i="1" s="1"/>
  <c r="Q413" i="1" s="1" a="1"/>
  <c r="Q413" i="1" s="1"/>
  <c r="S420" i="1" a="1"/>
  <c r="S420" i="1" s="1"/>
  <c r="Q420" i="1" s="1" a="1"/>
  <c r="Q420" i="1" s="1"/>
  <c r="R380" i="1" a="1"/>
  <c r="R380" i="1" s="1"/>
  <c r="P380" i="1" s="1" a="1"/>
  <c r="P380" i="1" s="1"/>
  <c r="S387" i="1" a="1"/>
  <c r="S387" i="1" s="1"/>
  <c r="Q387" i="1" s="1" a="1"/>
  <c r="Q387" i="1" s="1"/>
  <c r="S375" i="1" a="1"/>
  <c r="S375" i="1" s="1"/>
  <c r="Q375" i="1" s="1" a="1"/>
  <c r="Q375" i="1" s="1"/>
  <c r="R441" i="1" a="1"/>
  <c r="R441" i="1" s="1"/>
  <c r="P441" i="1" s="1" a="1"/>
  <c r="P441" i="1" s="1"/>
  <c r="S548" i="1" a="1"/>
  <c r="S548" i="1" s="1"/>
  <c r="Q548" i="1" s="1" a="1"/>
  <c r="Q548" i="1" s="1"/>
  <c r="R555" i="1" a="1"/>
  <c r="R555" i="1" s="1"/>
  <c r="P555" i="1" s="1" a="1"/>
  <c r="P555" i="1" s="1"/>
  <c r="R486" i="1" a="1"/>
  <c r="R486" i="1" s="1"/>
  <c r="P486" i="1" s="1" a="1"/>
  <c r="P486" i="1" s="1"/>
  <c r="S524" i="1" a="1"/>
  <c r="S524" i="1" s="1"/>
  <c r="Q524" i="1" s="1" a="1"/>
  <c r="Q524" i="1" s="1"/>
  <c r="S376" i="1" a="1"/>
  <c r="S376" i="1" s="1"/>
  <c r="Q376" i="1" s="1" a="1"/>
  <c r="Q376" i="1" s="1"/>
  <c r="S446" i="1" a="1"/>
  <c r="S446" i="1" s="1"/>
  <c r="R387" i="1" a="1"/>
  <c r="R387" i="1" s="1"/>
  <c r="P387" i="1" s="1" a="1"/>
  <c r="P387" i="1" s="1"/>
  <c r="S526" i="1" a="1"/>
  <c r="S526" i="1" s="1"/>
  <c r="Q526" i="1" s="1" a="1"/>
  <c r="Q526" i="1" s="1"/>
  <c r="R550" i="1" a="1"/>
  <c r="R550" i="1" s="1"/>
  <c r="P550" i="1" s="1" a="1"/>
  <c r="P550" i="1" s="1"/>
  <c r="S403" i="1" a="1"/>
  <c r="S403" i="1" s="1"/>
  <c r="R519" i="1" a="1"/>
  <c r="R519" i="1" s="1"/>
  <c r="P519" i="1" s="1" a="1"/>
  <c r="P519" i="1" s="1"/>
  <c r="S419" i="1" a="1"/>
  <c r="S419" i="1" s="1"/>
  <c r="S426" i="1" a="1"/>
  <c r="S426" i="1" s="1"/>
  <c r="Q426" i="1" s="1" a="1"/>
  <c r="Q426" i="1" s="1"/>
  <c r="R399" i="1" a="1"/>
  <c r="R399" i="1" s="1"/>
  <c r="P399" i="1" s="1" a="1"/>
  <c r="P399" i="1" s="1"/>
  <c r="S393" i="1" a="1"/>
  <c r="S393" i="1" s="1"/>
  <c r="Q393" i="1" s="1" a="1"/>
  <c r="Q393" i="1" s="1"/>
  <c r="S381" i="1" a="1"/>
  <c r="S381" i="1" s="1"/>
  <c r="Q381" i="1" s="1" a="1"/>
  <c r="Q381" i="1" s="1"/>
  <c r="R460" i="1" a="1"/>
  <c r="R460" i="1" s="1"/>
  <c r="P460" i="1" s="1" a="1"/>
  <c r="P460" i="1" s="1"/>
  <c r="S554" i="1" a="1"/>
  <c r="S554" i="1" s="1"/>
  <c r="Q554" i="1" s="1" a="1"/>
  <c r="Q554" i="1" s="1"/>
  <c r="S389" i="1" a="1"/>
  <c r="S389" i="1" s="1"/>
  <c r="Q389" i="1" s="1" a="1"/>
  <c r="Q389" i="1" s="1"/>
  <c r="R492" i="1" a="1"/>
  <c r="R492" i="1" s="1"/>
  <c r="P492" i="1" s="1" a="1"/>
  <c r="P492" i="1" s="1"/>
  <c r="S562" i="1" a="1"/>
  <c r="S562" i="1" s="1"/>
  <c r="Q562" i="1" s="1" a="1"/>
  <c r="Q562" i="1" s="1"/>
  <c r="S512" i="1" a="1"/>
  <c r="S512" i="1" s="1"/>
  <c r="Q512" i="1" s="1" a="1"/>
  <c r="Q512" i="1" s="1"/>
  <c r="R378" i="1" a="1"/>
  <c r="R378" i="1" s="1"/>
  <c r="P378" i="1" s="1" a="1"/>
  <c r="P378" i="1" s="1"/>
  <c r="S431" i="1" a="1"/>
  <c r="S431" i="1" s="1"/>
  <c r="Q431" i="1" s="1" a="1"/>
  <c r="Q431" i="1" s="1"/>
  <c r="R551" i="1" a="1"/>
  <c r="R551" i="1" s="1"/>
  <c r="P551" i="1" s="1" a="1"/>
  <c r="P551" i="1" s="1"/>
  <c r="S470" i="1" a="1"/>
  <c r="S470" i="1" s="1"/>
  <c r="Q470" i="1" s="1" a="1"/>
  <c r="Q470" i="1" s="1"/>
  <c r="S458" i="1" a="1"/>
  <c r="S458" i="1" s="1"/>
  <c r="Q458" i="1" s="1" a="1"/>
  <c r="Q458" i="1" s="1"/>
  <c r="R527" i="1" a="1"/>
  <c r="R527" i="1" s="1"/>
  <c r="P527" i="1" s="1" a="1"/>
  <c r="P527" i="1" s="1"/>
  <c r="S440" i="1" a="1"/>
  <c r="S440" i="1" s="1"/>
  <c r="Q440" i="1" s="1" a="1"/>
  <c r="Q440" i="1" s="1"/>
  <c r="S434" i="1" a="1"/>
  <c r="S434" i="1" s="1"/>
  <c r="Q434" i="1" s="1" a="1"/>
  <c r="Q434" i="1" s="1"/>
  <c r="R497" i="1" a="1"/>
  <c r="R497" i="1" s="1"/>
  <c r="P497" i="1" s="1" a="1"/>
  <c r="P497" i="1" s="1"/>
  <c r="R510" i="1" a="1"/>
  <c r="R510" i="1" s="1"/>
  <c r="P510" i="1" s="1" a="1"/>
  <c r="P510" i="1" s="1"/>
  <c r="S461" i="1" a="1"/>
  <c r="S461" i="1" s="1"/>
  <c r="Q461" i="1" s="1" a="1"/>
  <c r="Q461" i="1" s="1"/>
  <c r="R524" i="1" a="1"/>
  <c r="R524" i="1" s="1"/>
  <c r="P524" i="1" s="1" a="1"/>
  <c r="P524" i="1" s="1"/>
  <c r="R534" i="1" a="1"/>
  <c r="R534" i="1" s="1"/>
  <c r="P534" i="1" s="1" a="1"/>
  <c r="P534" i="1" s="1"/>
  <c r="S491" i="1" a="1"/>
  <c r="S491" i="1" s="1"/>
  <c r="Q491" i="1" s="1" a="1"/>
  <c r="Q491" i="1" s="1"/>
  <c r="R496" i="1" a="1"/>
  <c r="R496" i="1" s="1"/>
  <c r="P496" i="1" s="1" a="1"/>
  <c r="P496" i="1" s="1"/>
  <c r="R384" i="1" a="1"/>
  <c r="R384" i="1" s="1"/>
  <c r="P384" i="1" s="1" a="1"/>
  <c r="P384" i="1" s="1"/>
  <c r="R425" i="1" a="1"/>
  <c r="R425" i="1" s="1"/>
  <c r="P425" i="1" s="1" a="1"/>
  <c r="P425" i="1" s="1"/>
  <c r="S488" i="1" a="1"/>
  <c r="S488" i="1" s="1"/>
  <c r="Q488" i="1" s="1" a="1"/>
  <c r="Q488" i="1" s="1"/>
  <c r="R465" i="1" a="1"/>
  <c r="R465" i="1" s="1"/>
  <c r="P465" i="1" s="1" a="1"/>
  <c r="P465" i="1" s="1"/>
  <c r="R337" i="1" a="1"/>
  <c r="R337" i="1" s="1"/>
  <c r="P337" i="1" s="1" a="1"/>
  <c r="P337" i="1" s="1"/>
  <c r="S560" i="1" a="1"/>
  <c r="S560" i="1" s="1"/>
  <c r="Q560" i="1" s="1" a="1"/>
  <c r="Q560" i="1" s="1"/>
  <c r="R376" i="1" a="1"/>
  <c r="R376" i="1" s="1"/>
  <c r="P376" i="1" s="1" a="1"/>
  <c r="P376" i="1" s="1"/>
  <c r="R402" i="1" a="1"/>
  <c r="R402" i="1" s="1"/>
  <c r="P402" i="1" s="1" a="1"/>
  <c r="P402" i="1" s="1"/>
  <c r="S542" i="1" a="1"/>
  <c r="S542" i="1" s="1"/>
  <c r="Q542" i="1" s="1" a="1"/>
  <c r="Q542" i="1" s="1"/>
  <c r="R418" i="1" a="1"/>
  <c r="R418" i="1" s="1"/>
  <c r="R426" i="1" a="1"/>
  <c r="R426" i="1" s="1"/>
  <c r="P426" i="1" s="1" a="1"/>
  <c r="P426" i="1" s="1"/>
  <c r="R521" i="1" a="1"/>
  <c r="R521" i="1" s="1"/>
  <c r="P521" i="1" s="1" a="1"/>
  <c r="P521" i="1" s="1"/>
  <c r="R415" i="1" a="1"/>
  <c r="R415" i="1" s="1"/>
  <c r="R429" i="1" a="1"/>
  <c r="R429" i="1" s="1"/>
  <c r="P429" i="1" s="1" a="1"/>
  <c r="P429" i="1" s="1"/>
  <c r="R463" i="1" a="1"/>
  <c r="R463" i="1" s="1"/>
  <c r="P463" i="1" s="1" a="1"/>
  <c r="P463" i="1" s="1"/>
  <c r="R388" i="1" a="1"/>
  <c r="R388" i="1" s="1"/>
  <c r="P388" i="1" s="1" a="1"/>
  <c r="P388" i="1" s="1"/>
  <c r="R482" i="1" a="1"/>
  <c r="R482" i="1" s="1"/>
  <c r="P482" i="1" s="1" a="1"/>
  <c r="P482" i="1" s="1"/>
  <c r="R503" i="1" a="1"/>
  <c r="R503" i="1" s="1"/>
  <c r="P503" i="1" s="1" a="1"/>
  <c r="P503" i="1" s="1"/>
  <c r="S394" i="1" a="1"/>
  <c r="S394" i="1" s="1"/>
  <c r="Q394" i="1" s="1" a="1"/>
  <c r="Q394" i="1" s="1"/>
  <c r="U394" i="1" s="1"/>
  <c r="R397" i="1" a="1"/>
  <c r="R397" i="1" s="1"/>
  <c r="P397" i="1" s="1" a="1"/>
  <c r="P397" i="1" s="1"/>
  <c r="R438" i="1" a="1"/>
  <c r="R438" i="1" s="1"/>
  <c r="P438" i="1" s="1" a="1"/>
  <c r="P438" i="1" s="1"/>
  <c r="R386" i="1" a="1"/>
  <c r="R386" i="1" s="1"/>
  <c r="P386" i="1" s="1" a="1"/>
  <c r="P386" i="1" s="1"/>
  <c r="R489" i="1" a="1"/>
  <c r="R489" i="1" s="1"/>
  <c r="P489" i="1" s="1" a="1"/>
  <c r="P489" i="1" s="1"/>
  <c r="R375" i="1" a="1"/>
  <c r="R375" i="1" s="1"/>
  <c r="P375" i="1" s="1" a="1"/>
  <c r="P375" i="1" s="1"/>
  <c r="R435" i="1" a="1"/>
  <c r="R435" i="1" s="1"/>
  <c r="P435" i="1" s="1" a="1"/>
  <c r="P435" i="1" s="1"/>
  <c r="R382" i="1" a="1"/>
  <c r="R382" i="1" s="1"/>
  <c r="P382" i="1" s="1" a="1"/>
  <c r="P382" i="1" s="1"/>
  <c r="R411" i="1" a="1"/>
  <c r="R411" i="1" s="1"/>
  <c r="R529" i="1" a="1"/>
  <c r="R529" i="1" s="1"/>
  <c r="R511" i="1" a="1"/>
  <c r="R511" i="1" s="1"/>
  <c r="P511" i="1" s="1" a="1"/>
  <c r="P511" i="1" s="1"/>
  <c r="T511" i="1" s="1"/>
  <c r="R442" i="1" a="1"/>
  <c r="R442" i="1" s="1"/>
  <c r="P442" i="1" s="1" a="1"/>
  <c r="P442" i="1" s="1"/>
  <c r="R498" i="1" a="1"/>
  <c r="R498" i="1" s="1"/>
  <c r="P498" i="1" s="1" a="1"/>
  <c r="P498" i="1" s="1"/>
  <c r="R457" i="1" a="1"/>
  <c r="R457" i="1" s="1"/>
  <c r="P457" i="1" s="1" a="1"/>
  <c r="P457" i="1" s="1"/>
  <c r="R430" i="1" a="1"/>
  <c r="R430" i="1" s="1"/>
  <c r="P430" i="1" s="1" a="1"/>
  <c r="P430" i="1" s="1"/>
  <c r="R439" i="1" a="1"/>
  <c r="R439" i="1" s="1"/>
  <c r="P439" i="1" s="1" a="1"/>
  <c r="P439" i="1" s="1"/>
  <c r="R434" i="1" a="1"/>
  <c r="R434" i="1" s="1"/>
  <c r="P434" i="1" s="1" a="1"/>
  <c r="P434" i="1" s="1"/>
  <c r="R436" i="1" a="1"/>
  <c r="R436" i="1" s="1"/>
  <c r="P436" i="1" s="1" a="1"/>
  <c r="P436" i="1" s="1"/>
  <c r="R484" i="1" a="1"/>
  <c r="R484" i="1" s="1"/>
  <c r="P484" i="1" s="1" a="1"/>
  <c r="P484" i="1" s="1"/>
  <c r="T484" i="1" s="1"/>
  <c r="R495" i="1" a="1"/>
  <c r="R495" i="1" s="1"/>
  <c r="P495" i="1" s="1" a="1"/>
  <c r="P495" i="1" s="1"/>
  <c r="R562" i="1" a="1"/>
  <c r="R562" i="1" s="1"/>
  <c r="P562" i="1" s="1" a="1"/>
  <c r="P562" i="1" s="1"/>
  <c r="R431" i="1" a="1"/>
  <c r="R431" i="1" s="1"/>
  <c r="P431" i="1" s="1" a="1"/>
  <c r="P431" i="1" s="1"/>
  <c r="R540" i="1" a="1"/>
  <c r="R540" i="1" s="1"/>
  <c r="P540" i="1" s="1" a="1"/>
  <c r="P540" i="1" s="1"/>
  <c r="R467" i="1" a="1"/>
  <c r="R467" i="1" s="1"/>
  <c r="P467" i="1" s="1" a="1"/>
  <c r="P467" i="1" s="1"/>
  <c r="S452" i="1" a="1"/>
  <c r="S452" i="1" s="1"/>
  <c r="Q452" i="1" s="1" a="1"/>
  <c r="Q452" i="1" s="1"/>
  <c r="S439" i="1" a="1"/>
  <c r="S439" i="1" s="1"/>
  <c r="Q439" i="1" s="1" a="1"/>
  <c r="Q439" i="1" s="1"/>
  <c r="S402" i="1" a="1"/>
  <c r="S402" i="1" s="1"/>
  <c r="Q402" i="1" s="1" a="1"/>
  <c r="Q402" i="1" s="1"/>
  <c r="S411" i="1" a="1"/>
  <c r="S411" i="1" s="1"/>
  <c r="Q411" i="1" s="1" a="1"/>
  <c r="Q411" i="1" s="1"/>
  <c r="S519" i="1" a="1"/>
  <c r="S519" i="1" s="1"/>
  <c r="Q519" i="1" s="1" a="1"/>
  <c r="Q519" i="1" s="1"/>
  <c r="R450" i="1" a="1"/>
  <c r="R450" i="1" s="1"/>
  <c r="R481" i="1" a="1"/>
  <c r="R481" i="1" s="1"/>
  <c r="P481" i="1" s="1" a="1"/>
  <c r="P481" i="1" s="1"/>
  <c r="R458" i="1" a="1"/>
  <c r="R458" i="1" s="1"/>
  <c r="P458" i="1" s="1" a="1"/>
  <c r="P458" i="1" s="1"/>
  <c r="R559" i="1" a="1"/>
  <c r="R559" i="1" s="1"/>
  <c r="P559" i="1" s="1" a="1"/>
  <c r="P559" i="1" s="1"/>
  <c r="R453" i="1" a="1"/>
  <c r="R453" i="1" s="1"/>
  <c r="R394" i="1" a="1"/>
  <c r="R394" i="1" s="1"/>
  <c r="R523" i="1" a="1"/>
  <c r="R523" i="1" s="1"/>
  <c r="P523" i="1" s="1" a="1"/>
  <c r="P523" i="1" s="1"/>
  <c r="R449" i="1" a="1"/>
  <c r="R449" i="1" s="1"/>
  <c r="R459" i="1" a="1"/>
  <c r="R459" i="1" s="1"/>
  <c r="P459" i="1" s="1" a="1"/>
  <c r="P459" i="1" s="1"/>
  <c r="R469" i="1" a="1"/>
  <c r="R469" i="1" s="1"/>
  <c r="P469" i="1" s="1" a="1"/>
  <c r="P469" i="1" s="1"/>
  <c r="R494" i="1" a="1"/>
  <c r="R494" i="1" s="1"/>
  <c r="P494" i="1" s="1" a="1"/>
  <c r="P494" i="1" s="1"/>
  <c r="R464" i="1" a="1"/>
  <c r="R464" i="1" s="1"/>
  <c r="R336" i="1" a="1"/>
  <c r="R336" i="1" s="1"/>
  <c r="P336" i="1" s="1" a="1"/>
  <c r="P336" i="1" s="1"/>
  <c r="R466" i="1" a="1"/>
  <c r="R466" i="1" s="1"/>
  <c r="P466" i="1" s="1" a="1"/>
  <c r="P466" i="1" s="1"/>
  <c r="R422" i="1" a="1"/>
  <c r="R422" i="1" s="1"/>
  <c r="P422" i="1" s="1" a="1"/>
  <c r="P422" i="1" s="1"/>
  <c r="R561" i="1" a="1"/>
  <c r="R561" i="1" s="1"/>
  <c r="P561" i="1" s="1" a="1"/>
  <c r="P561" i="1" s="1"/>
  <c r="R455" i="1" a="1"/>
  <c r="R455" i="1" s="1"/>
  <c r="R487" i="1" a="1"/>
  <c r="R487" i="1" s="1"/>
  <c r="P487" i="1" s="1" a="1"/>
  <c r="P487" i="1" s="1"/>
  <c r="R476" i="1" a="1"/>
  <c r="R476" i="1" s="1"/>
  <c r="P476" i="1" s="1" a="1"/>
  <c r="P476" i="1" s="1"/>
  <c r="R433" i="1" a="1"/>
  <c r="R433" i="1" s="1"/>
  <c r="P433" i="1" s="1" a="1"/>
  <c r="P433" i="1" s="1"/>
  <c r="R472" i="1" a="1"/>
  <c r="R472" i="1" s="1"/>
  <c r="P472" i="1" s="1" a="1"/>
  <c r="P472" i="1" s="1"/>
  <c r="R389" i="1" a="1"/>
  <c r="R389" i="1" s="1"/>
  <c r="P389" i="1" s="1" a="1"/>
  <c r="P389" i="1" s="1"/>
  <c r="R505" i="1" a="1"/>
  <c r="R505" i="1" s="1"/>
  <c r="P505" i="1" s="1" a="1"/>
  <c r="P505" i="1" s="1"/>
  <c r="R493" i="1" a="1"/>
  <c r="R493" i="1" s="1"/>
  <c r="P493" i="1" s="1" a="1"/>
  <c r="P493" i="1" s="1"/>
  <c r="T493" i="1" s="1"/>
  <c r="R471" i="1" a="1"/>
  <c r="R471" i="1" s="1"/>
  <c r="P471" i="1" s="1" a="1"/>
  <c r="P471" i="1" s="1"/>
  <c r="R423" i="1" a="1"/>
  <c r="R423" i="1" s="1"/>
  <c r="P423" i="1" s="1" a="1"/>
  <c r="P423" i="1" s="1"/>
  <c r="R546" i="1" a="1"/>
  <c r="R546" i="1" s="1"/>
  <c r="P546" i="1" s="1" a="1"/>
  <c r="P546" i="1" s="1"/>
  <c r="S383" i="1" a="1"/>
  <c r="S383" i="1" s="1"/>
  <c r="Q383" i="1" s="1" a="1"/>
  <c r="Q383" i="1" s="1"/>
  <c r="R478" i="1" a="1"/>
  <c r="R478" i="1" s="1"/>
  <c r="P478" i="1" s="1" a="1"/>
  <c r="P478" i="1" s="1"/>
  <c r="R490" i="1" a="1"/>
  <c r="R490" i="1" s="1"/>
  <c r="P490" i="1" s="1" a="1"/>
  <c r="P490" i="1" s="1"/>
  <c r="S545" i="1" a="1"/>
  <c r="S545" i="1" s="1"/>
  <c r="Q545" i="1" s="1" a="1"/>
  <c r="Q545" i="1" s="1"/>
  <c r="R516" i="1" a="1"/>
  <c r="R516" i="1" s="1"/>
  <c r="P516" i="1" s="1" a="1"/>
  <c r="P516" i="1" s="1"/>
  <c r="R515" i="1" a="1"/>
  <c r="R515" i="1" s="1"/>
  <c r="P515" i="1" s="1" a="1"/>
  <c r="P515" i="1" s="1"/>
  <c r="S481" i="1" a="1"/>
  <c r="S481" i="1" s="1"/>
  <c r="Q481" i="1" s="1" a="1"/>
  <c r="Q481" i="1" s="1"/>
  <c r="R532" i="1" a="1"/>
  <c r="R532" i="1" s="1"/>
  <c r="P532" i="1" s="1" a="1"/>
  <c r="P532" i="1" s="1"/>
  <c r="S391" i="1" a="1"/>
  <c r="S391" i="1" s="1"/>
  <c r="Q391" i="1" s="1" a="1"/>
  <c r="Q391" i="1" s="1"/>
  <c r="R538" i="1" a="1"/>
  <c r="R538" i="1" s="1"/>
  <c r="P538" i="1" s="1" a="1"/>
  <c r="P538" i="1" s="1"/>
  <c r="T538" i="1" s="1"/>
  <c r="S505" i="1" a="1"/>
  <c r="S505" i="1" s="1"/>
  <c r="Q505" i="1" s="1" a="1"/>
  <c r="Q505" i="1" s="1"/>
  <c r="S378" i="1" a="1"/>
  <c r="S378" i="1" s="1"/>
  <c r="Q378" i="1" s="1" a="1"/>
  <c r="Q378" i="1" s="1"/>
  <c r="S400" i="1" a="1"/>
  <c r="S400" i="1" s="1"/>
  <c r="Q400" i="1" s="1" a="1"/>
  <c r="Q400" i="1" s="1"/>
  <c r="R506" i="1" a="1"/>
  <c r="R506" i="1" s="1"/>
  <c r="P506" i="1" s="1" a="1"/>
  <c r="P506" i="1" s="1"/>
  <c r="R543" i="1" a="1"/>
  <c r="R543" i="1" s="1"/>
  <c r="P543" i="1" s="1" a="1"/>
  <c r="P543" i="1" s="1"/>
  <c r="R528" i="1" a="1"/>
  <c r="R528" i="1" s="1"/>
  <c r="P528" i="1" s="1" a="1"/>
  <c r="P528" i="1" s="1"/>
  <c r="S388" i="1" a="1"/>
  <c r="S388" i="1" s="1"/>
  <c r="Q388" i="1" s="1" a="1"/>
  <c r="Q388" i="1" s="1"/>
  <c r="S412" i="1" a="1"/>
  <c r="S412" i="1" s="1"/>
  <c r="Q412" i="1" s="1" a="1"/>
  <c r="Q412" i="1" s="1"/>
  <c r="R525" i="1" a="1"/>
  <c r="R525" i="1" s="1"/>
  <c r="P525" i="1" s="1" a="1"/>
  <c r="P525" i="1" s="1"/>
  <c r="S425" i="1" a="1"/>
  <c r="S425" i="1" s="1"/>
  <c r="Q425" i="1" s="1" a="1"/>
  <c r="Q425" i="1" s="1"/>
  <c r="R501" i="1" a="1"/>
  <c r="R501" i="1" s="1"/>
  <c r="P501" i="1" s="1" a="1"/>
  <c r="P501" i="1" s="1"/>
  <c r="R565" i="1" a="1"/>
  <c r="R565" i="1" s="1"/>
  <c r="P565" i="1" s="1" a="1"/>
  <c r="P565" i="1" s="1"/>
  <c r="T565" i="1" s="1"/>
  <c r="R509" i="1" a="1"/>
  <c r="R509" i="1" s="1"/>
  <c r="P509" i="1" s="1" a="1"/>
  <c r="P509" i="1" s="1"/>
  <c r="R461" i="1" a="1"/>
  <c r="R461" i="1" s="1"/>
  <c r="P461" i="1" s="1" a="1"/>
  <c r="P461" i="1" s="1"/>
  <c r="S473" i="1" a="1"/>
  <c r="S473" i="1" s="1"/>
  <c r="S380" i="1" a="1"/>
  <c r="S380" i="1" s="1"/>
  <c r="Q380" i="1" s="1" a="1"/>
  <c r="Q380" i="1" s="1"/>
  <c r="R560" i="1" a="1"/>
  <c r="R560" i="1" s="1"/>
  <c r="P560" i="1" s="1" a="1"/>
  <c r="P560" i="1" s="1"/>
  <c r="R390" i="1" a="1"/>
  <c r="R390" i="1" s="1"/>
  <c r="P390" i="1" s="1" a="1"/>
  <c r="P390" i="1" s="1"/>
  <c r="R563" i="1" a="1"/>
  <c r="R563" i="1" s="1"/>
  <c r="P563" i="1" s="1" a="1"/>
  <c r="P563" i="1" s="1"/>
  <c r="S463" i="1" a="1"/>
  <c r="S463" i="1" s="1"/>
  <c r="Q463" i="1" s="1" a="1"/>
  <c r="Q463" i="1" s="1"/>
  <c r="R533" i="1" a="1"/>
  <c r="R533" i="1" s="1"/>
  <c r="P533" i="1" s="1" a="1"/>
  <c r="P533" i="1" s="1"/>
  <c r="S399" i="1" a="1"/>
  <c r="S399" i="1" s="1"/>
  <c r="Q399" i="1" s="1" a="1"/>
  <c r="Q399" i="1" s="1"/>
  <c r="R541" i="1" a="1"/>
  <c r="R541" i="1" s="1"/>
  <c r="P541" i="1" s="1" a="1"/>
  <c r="P541" i="1" s="1"/>
  <c r="R448" i="1" a="1"/>
  <c r="R448" i="1" s="1"/>
  <c r="R517" i="1" a="1"/>
  <c r="R517" i="1" s="1"/>
  <c r="P517" i="1" s="1" a="1"/>
  <c r="P517" i="1" s="1"/>
  <c r="S543" i="1" a="1"/>
  <c r="S543" i="1" s="1"/>
  <c r="Q543" i="1" s="1" a="1"/>
  <c r="Q543" i="1" s="1"/>
  <c r="S564" i="1" a="1"/>
  <c r="S564" i="1" s="1"/>
  <c r="Q564" i="1" s="1" a="1"/>
  <c r="Q564" i="1" s="1"/>
  <c r="S435" i="1" a="1"/>
  <c r="S435" i="1" s="1"/>
  <c r="Q435" i="1" s="1" a="1"/>
  <c r="Q435" i="1" s="1"/>
  <c r="S334" i="1" a="1"/>
  <c r="S334" i="1" s="1"/>
  <c r="Q334" i="1" s="1" a="1"/>
  <c r="Q334" i="1" s="1"/>
  <c r="R379" i="1" a="1"/>
  <c r="R379" i="1" s="1"/>
  <c r="P379" i="1" s="1" a="1"/>
  <c r="P379" i="1" s="1"/>
  <c r="R552" i="1" a="1"/>
  <c r="R552" i="1" s="1"/>
  <c r="P552" i="1" s="1" a="1"/>
  <c r="P552" i="1" s="1"/>
  <c r="S433" i="1" a="1"/>
  <c r="S433" i="1" s="1"/>
  <c r="Q433" i="1" s="1" a="1"/>
  <c r="Q433" i="1" s="1"/>
  <c r="R547" i="1" a="1"/>
  <c r="R547" i="1" s="1"/>
  <c r="P547" i="1" s="1" a="1"/>
  <c r="P547" i="1" s="1"/>
  <c r="T547" i="1" s="1"/>
  <c r="R542" i="1" a="1"/>
  <c r="R542" i="1" s="1"/>
  <c r="P542" i="1" s="1" a="1"/>
  <c r="P542" i="1" s="1"/>
  <c r="R530" i="1" a="1"/>
  <c r="R530" i="1" s="1"/>
  <c r="P530" i="1" s="1" a="1"/>
  <c r="P530" i="1" s="1"/>
  <c r="S377" i="1" a="1"/>
  <c r="S377" i="1" s="1"/>
  <c r="Q377" i="1" s="1" a="1"/>
  <c r="Q377" i="1" s="1"/>
  <c r="S429" i="1" a="1"/>
  <c r="S429" i="1" s="1"/>
  <c r="Q429" i="1" s="1" a="1"/>
  <c r="Q429" i="1" s="1"/>
  <c r="S442" i="1" a="1"/>
  <c r="S442" i="1" s="1"/>
  <c r="Q442" i="1" s="1" a="1"/>
  <c r="Q442" i="1" s="1"/>
  <c r="S465" i="1" a="1"/>
  <c r="S465" i="1" s="1"/>
  <c r="Q465" i="1" s="1" a="1"/>
  <c r="Q465" i="1" s="1"/>
  <c r="R424" i="1" a="1"/>
  <c r="R424" i="1" s="1"/>
  <c r="P424" i="1" s="1" a="1"/>
  <c r="P424" i="1" s="1"/>
  <c r="S418" i="1" a="1"/>
  <c r="S418" i="1" s="1"/>
  <c r="Q418" i="1" s="1" a="1"/>
  <c r="Q418" i="1" s="1"/>
  <c r="R413" i="1" a="1"/>
  <c r="R413" i="1" s="1"/>
  <c r="S445" i="1" a="1"/>
  <c r="S445" i="1" s="1"/>
  <c r="Q445" i="1" s="1" a="1"/>
  <c r="Q445" i="1" s="1"/>
  <c r="S471" i="1" a="1"/>
  <c r="S471" i="1" s="1"/>
  <c r="Q471" i="1" s="1" a="1"/>
  <c r="Q471" i="1" s="1"/>
  <c r="S415" i="1" a="1"/>
  <c r="S415" i="1" s="1"/>
  <c r="Q415" i="1" s="1" a="1"/>
  <c r="Q415" i="1" s="1"/>
  <c r="S422" i="1" a="1"/>
  <c r="S422" i="1" s="1"/>
  <c r="Q422" i="1" s="1" a="1"/>
  <c r="Q422" i="1" s="1"/>
  <c r="R443" i="1" a="1"/>
  <c r="R443" i="1" s="1"/>
  <c r="P443" i="1" s="1" a="1"/>
  <c r="P443" i="1" s="1"/>
  <c r="S437" i="1" a="1"/>
  <c r="S437" i="1" s="1"/>
  <c r="R419" i="1" a="1"/>
  <c r="R419" i="1" s="1"/>
  <c r="S464" i="1" a="1"/>
  <c r="S464" i="1" s="1"/>
  <c r="S489" i="1" a="1"/>
  <c r="S489" i="1" s="1"/>
  <c r="Q489" i="1" s="1" a="1"/>
  <c r="Q489" i="1" s="1"/>
  <c r="S447" i="1" a="1"/>
  <c r="S447" i="1" s="1"/>
  <c r="Q447" i="1" s="1" a="1"/>
  <c r="Q447" i="1" s="1"/>
  <c r="S428" i="1" a="1"/>
  <c r="S428" i="1" s="1"/>
  <c r="S479" i="1" a="1"/>
  <c r="S479" i="1" s="1"/>
  <c r="Q479" i="1" s="1" a="1"/>
  <c r="Q479" i="1" s="1"/>
  <c r="S417" i="1" a="1"/>
  <c r="S417" i="1" s="1"/>
  <c r="Q417" i="1" s="1" a="1"/>
  <c r="Q417" i="1" s="1"/>
  <c r="S335" i="1" a="1"/>
  <c r="S335" i="1" s="1"/>
  <c r="Q335" i="1" s="1" a="1"/>
  <c r="Q335" i="1" s="1"/>
  <c r="S503" i="1" a="1"/>
  <c r="S503" i="1" s="1"/>
  <c r="Q503" i="1" s="1" a="1"/>
  <c r="Q503" i="1" s="1"/>
  <c r="S455" i="1" a="1"/>
  <c r="S455" i="1" s="1"/>
  <c r="S379" i="1" a="1"/>
  <c r="S379" i="1" s="1"/>
  <c r="Q379" i="1" s="1" a="1"/>
  <c r="Q379" i="1" s="1"/>
  <c r="S546" i="1" a="1"/>
  <c r="S546" i="1" s="1"/>
  <c r="Q546" i="1" s="1" a="1"/>
  <c r="Q546" i="1" s="1"/>
  <c r="S497" i="1" a="1"/>
  <c r="S497" i="1" s="1"/>
  <c r="Q497" i="1" s="1" a="1"/>
  <c r="Q497" i="1" s="1"/>
  <c r="R416" i="1" a="1"/>
  <c r="R416" i="1" s="1"/>
  <c r="R536" i="1" a="1"/>
  <c r="R536" i="1" s="1"/>
  <c r="P536" i="1" s="1" a="1"/>
  <c r="P536" i="1" s="1"/>
  <c r="R456" i="1" a="1"/>
  <c r="R456" i="1" s="1"/>
  <c r="P456" i="1" s="1" a="1"/>
  <c r="P456" i="1" s="1"/>
  <c r="S450" i="1" a="1"/>
  <c r="S450" i="1" s="1"/>
  <c r="Q450" i="1" s="1" a="1"/>
  <c r="Q450" i="1" s="1"/>
  <c r="R432" i="1" a="1"/>
  <c r="R432" i="1" s="1"/>
  <c r="P432" i="1" s="1" a="1"/>
  <c r="P432" i="1" s="1"/>
  <c r="S476" i="1" a="1"/>
  <c r="S476" i="1" s="1"/>
  <c r="Q476" i="1" s="1" a="1"/>
  <c r="Q476" i="1" s="1"/>
  <c r="S508" i="1" a="1"/>
  <c r="S508" i="1" s="1"/>
  <c r="Q508" i="1" s="1" a="1"/>
  <c r="Q508" i="1" s="1"/>
  <c r="S453" i="1" a="1"/>
  <c r="S453" i="1" s="1"/>
  <c r="Q453" i="1" s="1" a="1"/>
  <c r="Q453" i="1" s="1"/>
  <c r="S441" i="1" a="1"/>
  <c r="S441" i="1" s="1"/>
  <c r="Q441" i="1" s="1" a="1"/>
  <c r="Q441" i="1" s="1"/>
  <c r="S498" i="1" a="1"/>
  <c r="S498" i="1" s="1"/>
  <c r="Q498" i="1" s="1" a="1"/>
  <c r="Q498" i="1" s="1"/>
  <c r="S430" i="1" a="1"/>
  <c r="S430" i="1" s="1"/>
  <c r="Q430" i="1" s="1" a="1"/>
  <c r="Q430" i="1" s="1"/>
  <c r="R499" i="1" a="1"/>
  <c r="R499" i="1" s="1"/>
  <c r="P499" i="1" s="1" a="1"/>
  <c r="P499" i="1" s="1"/>
  <c r="S514" i="1" a="1"/>
  <c r="S514" i="1" s="1"/>
  <c r="Q514" i="1" s="1" a="1"/>
  <c r="Q514" i="1" s="1"/>
  <c r="S549" i="1" a="1"/>
  <c r="S549" i="1" s="1"/>
  <c r="Q549" i="1" s="1" a="1"/>
  <c r="Q549" i="1" s="1"/>
  <c r="S544" i="1" a="1"/>
  <c r="S544" i="1" s="1"/>
  <c r="Q544" i="1" s="1" a="1"/>
  <c r="Q544" i="1" s="1"/>
  <c r="R333" i="1" a="1"/>
  <c r="R333" i="1" s="1"/>
  <c r="P333" i="1" s="1" a="1"/>
  <c r="P333" i="1" s="1"/>
  <c r="R385" i="1" a="1"/>
  <c r="R385" i="1" s="1"/>
  <c r="R398" i="1" a="1"/>
  <c r="R398" i="1" s="1"/>
  <c r="P398" i="1" s="1" a="1"/>
  <c r="P398" i="1" s="1"/>
  <c r="R480" i="1" a="1"/>
  <c r="R480" i="1" s="1"/>
  <c r="P480" i="1" s="1" a="1"/>
  <c r="P480" i="1" s="1"/>
  <c r="S493" i="1" a="1"/>
  <c r="S493" i="1" s="1"/>
  <c r="R470" i="1" a="1"/>
  <c r="R470" i="1" s="1"/>
  <c r="P470" i="1" s="1" a="1"/>
  <c r="P470" i="1" s="1"/>
  <c r="S501" i="1" a="1"/>
  <c r="S501" i="1" s="1"/>
  <c r="Q501" i="1" s="1" a="1"/>
  <c r="Q501" i="1" s="1"/>
  <c r="S527" i="1" a="1"/>
  <c r="S527" i="1" s="1"/>
  <c r="Q527" i="1" s="1" a="1"/>
  <c r="Q527" i="1" s="1"/>
  <c r="S490" i="1" a="1"/>
  <c r="S490" i="1" s="1"/>
  <c r="Q490" i="1" s="1" a="1"/>
  <c r="Q490" i="1" s="1"/>
  <c r="S478" i="1" a="1"/>
  <c r="S478" i="1" s="1"/>
  <c r="Q478" i="1" s="1" a="1"/>
  <c r="Q478" i="1" s="1"/>
  <c r="S536" i="1" a="1"/>
  <c r="S536" i="1" s="1"/>
  <c r="Q536" i="1" s="1" a="1"/>
  <c r="Q536" i="1" s="1"/>
  <c r="S449" i="1" a="1"/>
  <c r="S449" i="1" s="1"/>
  <c r="Q449" i="1" s="1" a="1"/>
  <c r="Q449" i="1" s="1"/>
  <c r="S506" i="1" a="1"/>
  <c r="S506" i="1" s="1"/>
  <c r="Q506" i="1" s="1" a="1"/>
  <c r="Q506" i="1" s="1"/>
  <c r="S540" i="1" a="1"/>
  <c r="S540" i="1" s="1"/>
  <c r="Q540" i="1" s="1" a="1"/>
  <c r="Q540" i="1" s="1"/>
  <c r="S484" i="1" a="1"/>
  <c r="S484" i="1" s="1"/>
  <c r="R512" i="1" a="1"/>
  <c r="R512" i="1" s="1"/>
  <c r="P512" i="1" s="1" a="1"/>
  <c r="P512" i="1" s="1"/>
  <c r="S533" i="1" a="1"/>
  <c r="S533" i="1" s="1"/>
  <c r="Q533" i="1" s="1" a="1"/>
  <c r="Q533" i="1" s="1"/>
  <c r="S522" i="1" a="1"/>
  <c r="S522" i="1" s="1"/>
  <c r="Q522" i="1" s="1" a="1"/>
  <c r="Q522" i="1" s="1"/>
  <c r="S468" i="1" a="1"/>
  <c r="S468" i="1" s="1"/>
  <c r="Q468" i="1" s="1" a="1"/>
  <c r="Q468" i="1" s="1"/>
  <c r="S457" i="1" a="1"/>
  <c r="S457" i="1" s="1"/>
  <c r="Q457" i="1" s="1" a="1"/>
  <c r="Q457" i="1" s="1"/>
  <c r="R518" i="1" a="1"/>
  <c r="R518" i="1" s="1"/>
  <c r="P518" i="1" s="1" a="1"/>
  <c r="P518" i="1" s="1"/>
  <c r="S557" i="1" a="1"/>
  <c r="S557" i="1" s="1"/>
  <c r="Q557" i="1" s="1" a="1"/>
  <c r="Q557" i="1" s="1"/>
  <c r="S385" i="1" a="1"/>
  <c r="S385" i="1" s="1"/>
  <c r="Q385" i="1" s="1" a="1"/>
  <c r="Q385" i="1" s="1"/>
  <c r="U385" i="1" s="1"/>
  <c r="S552" i="1" a="1"/>
  <c r="S552" i="1" s="1"/>
  <c r="Q552" i="1" s="1" a="1"/>
  <c r="Q552" i="1" s="1"/>
  <c r="S559" i="1" a="1"/>
  <c r="S559" i="1" s="1"/>
  <c r="Q559" i="1" s="1" a="1"/>
  <c r="Q559" i="1" s="1"/>
  <c r="S528" i="1" a="1"/>
  <c r="S528" i="1" s="1"/>
  <c r="Q528" i="1" s="1" a="1"/>
  <c r="Q528" i="1" s="1"/>
  <c r="S516" i="1" a="1"/>
  <c r="S516" i="1" s="1"/>
  <c r="Q516" i="1" s="1" a="1"/>
  <c r="Q516" i="1" s="1"/>
  <c r="R377" i="1" a="1"/>
  <c r="R377" i="1" s="1"/>
  <c r="P377" i="1" s="1" a="1"/>
  <c r="P377" i="1" s="1"/>
  <c r="S486" i="1" a="1"/>
  <c r="S486" i="1" s="1"/>
  <c r="Q486" i="1" s="1" a="1"/>
  <c r="Q486" i="1" s="1"/>
  <c r="S563" i="1" a="1"/>
  <c r="S563" i="1" s="1"/>
  <c r="Q563" i="1" s="1" a="1"/>
  <c r="Q563" i="1" s="1"/>
  <c r="R414" i="1" a="1"/>
  <c r="R414" i="1" s="1"/>
  <c r="S421" i="1" a="1"/>
  <c r="S421" i="1" s="1"/>
  <c r="Q421" i="1" s="1" a="1"/>
  <c r="Q421" i="1" s="1"/>
  <c r="R454" i="1" a="1"/>
  <c r="R454" i="1" s="1"/>
  <c r="R557" i="1" a="1"/>
  <c r="R557" i="1" s="1"/>
  <c r="P557" i="1" s="1" a="1"/>
  <c r="P557" i="1" s="1"/>
  <c r="R556" i="1" a="1"/>
  <c r="R556" i="1" s="1"/>
  <c r="P556" i="1" s="1" a="1"/>
  <c r="P556" i="1" s="1"/>
  <c r="T556" i="1" s="1"/>
  <c r="S432" i="1" a="1"/>
  <c r="S432" i="1" s="1"/>
  <c r="Q432" i="1" s="1" a="1"/>
  <c r="Q432" i="1" s="1"/>
  <c r="S541" i="1" a="1"/>
  <c r="S541" i="1" s="1"/>
  <c r="Q541" i="1" s="1" a="1"/>
  <c r="Q541" i="1" s="1"/>
  <c r="R383" i="1" a="1"/>
  <c r="R383" i="1" s="1"/>
  <c r="P383" i="1" s="1" a="1"/>
  <c r="P383" i="1" s="1"/>
  <c r="R535" i="1" a="1"/>
  <c r="R535" i="1" s="1"/>
  <c r="P535" i="1" s="1" a="1"/>
  <c r="P535" i="1" s="1"/>
  <c r="R520" i="1" a="1"/>
  <c r="R520" i="1" s="1"/>
  <c r="P520" i="1" s="1" a="1"/>
  <c r="P520" i="1" s="1"/>
  <c r="T520" i="1" s="1"/>
  <c r="S423" i="1" a="1"/>
  <c r="S423" i="1" s="1"/>
  <c r="Q423" i="1" s="1" a="1"/>
  <c r="Q423" i="1" s="1"/>
  <c r="R334" i="1" a="1"/>
  <c r="R334" i="1" s="1"/>
  <c r="P334" i="1" s="1" a="1"/>
  <c r="P334" i="1" s="1"/>
  <c r="R391" i="1" a="1"/>
  <c r="R391" i="1" s="1"/>
  <c r="P391" i="1" s="1" a="1"/>
  <c r="P391" i="1" s="1"/>
  <c r="S451" i="1" a="1"/>
  <c r="S451" i="1" s="1"/>
  <c r="Q451" i="1" s="1" a="1"/>
  <c r="Q451" i="1" s="1"/>
  <c r="R452" i="1" a="1"/>
  <c r="R452" i="1" s="1"/>
  <c r="S427" i="1" a="1"/>
  <c r="S427" i="1" s="1"/>
  <c r="Q427" i="1" s="1" a="1"/>
  <c r="Q427" i="1" s="1"/>
  <c r="S547" i="1" a="1"/>
  <c r="S547" i="1" s="1"/>
  <c r="R473" i="1" a="1"/>
  <c r="R473" i="1" s="1"/>
  <c r="P473" i="1" s="1" a="1"/>
  <c r="P473" i="1" s="1"/>
  <c r="T473" i="1" s="1"/>
  <c r="R396" i="1" a="1"/>
  <c r="R396" i="1" s="1"/>
  <c r="P396" i="1" s="1" a="1"/>
  <c r="P396" i="1" s="1"/>
  <c r="S386" i="1" a="1"/>
  <c r="S386" i="1" s="1"/>
  <c r="Q386" i="1" s="1" a="1"/>
  <c r="Q386" i="1" s="1"/>
  <c r="S140" i="1" a="1"/>
  <c r="S140" i="1" s="1"/>
  <c r="Q140" i="1" s="1" a="1"/>
  <c r="Q140" i="1" s="1"/>
  <c r="R115" i="1" a="1"/>
  <c r="R115" i="1" s="1"/>
  <c r="P115" i="1" s="1" a="1"/>
  <c r="P115" i="1" s="1"/>
  <c r="S76" i="1" a="1"/>
  <c r="S76" i="1" s="1"/>
  <c r="Q76" i="1" s="1" a="1"/>
  <c r="Q76" i="1" s="1"/>
  <c r="R50" i="1" a="1"/>
  <c r="R50" i="1" s="1"/>
  <c r="S79" i="1" a="1"/>
  <c r="S79" i="1" s="1"/>
  <c r="Q79" i="1" s="1" a="1"/>
  <c r="Q79" i="1" s="1"/>
  <c r="S323" i="1" a="1"/>
  <c r="S323" i="1" s="1"/>
  <c r="Q323" i="1" s="1" a="1"/>
  <c r="Q323" i="1" s="1"/>
  <c r="R128" i="1" a="1"/>
  <c r="R128" i="1" s="1"/>
  <c r="P128" i="1" s="1" a="1"/>
  <c r="P128" i="1" s="1"/>
  <c r="R199" i="1" a="1"/>
  <c r="R199" i="1" s="1"/>
  <c r="P199" i="1" s="1" a="1"/>
  <c r="P199" i="1" s="1"/>
  <c r="R38" i="1" a="1"/>
  <c r="R38" i="1" s="1"/>
  <c r="R150" i="1" a="1"/>
  <c r="R150" i="1" s="1"/>
  <c r="P150" i="1" s="1" a="1"/>
  <c r="P150" i="1" s="1"/>
  <c r="R124" i="1" a="1"/>
  <c r="R124" i="1" s="1"/>
  <c r="P124" i="1" s="1" a="1"/>
  <c r="P124" i="1" s="1"/>
  <c r="R44" i="1" a="1"/>
  <c r="R44" i="1" s="1"/>
  <c r="P44" i="1" s="1" a="1"/>
  <c r="P44" i="1" s="1"/>
  <c r="R126" i="1" a="1"/>
  <c r="R126" i="1" s="1"/>
  <c r="P126" i="1" s="1" a="1"/>
  <c r="P126" i="1" s="1"/>
  <c r="R252" i="1" a="1"/>
  <c r="R252" i="1" s="1"/>
  <c r="P252" i="1" s="1" a="1"/>
  <c r="P252" i="1" s="1"/>
  <c r="R46" i="1" a="1"/>
  <c r="R46" i="1" s="1"/>
  <c r="P46" i="1" s="1" a="1"/>
  <c r="P46" i="1" s="1"/>
  <c r="R88" i="1" a="1"/>
  <c r="R88" i="1" s="1"/>
  <c r="P88" i="1" s="1" a="1"/>
  <c r="P88" i="1" s="1"/>
  <c r="S70" i="1" a="1"/>
  <c r="S70" i="1" s="1"/>
  <c r="Q70" i="1" s="1" a="1"/>
  <c r="Q70" i="1" s="1"/>
  <c r="R36" i="1" a="1"/>
  <c r="R36" i="1" s="1"/>
  <c r="R127" i="1" a="1"/>
  <c r="R127" i="1" s="1"/>
  <c r="P127" i="1" s="1" a="1"/>
  <c r="P127" i="1" s="1"/>
  <c r="T127" i="1" s="1"/>
  <c r="R135" i="1" a="1"/>
  <c r="R135" i="1" s="1"/>
  <c r="P135" i="1" s="1" a="1"/>
  <c r="P135" i="1" s="1"/>
  <c r="S135" i="1" a="1"/>
  <c r="S135" i="1" s="1"/>
  <c r="Q135" i="1" s="1" a="1"/>
  <c r="Q135" i="1" s="1"/>
  <c r="R72" i="1" a="1"/>
  <c r="R72" i="1" s="1"/>
  <c r="S116" i="1" a="1"/>
  <c r="S116" i="1" s="1"/>
  <c r="Q116" i="1" s="1" a="1"/>
  <c r="Q116" i="1" s="1"/>
  <c r="S62" i="1" a="1"/>
  <c r="S62" i="1" s="1"/>
  <c r="Q62" i="1" s="1" a="1"/>
  <c r="Q62" i="1" s="1"/>
  <c r="S77" i="1" a="1"/>
  <c r="S77" i="1" s="1"/>
  <c r="Q77" i="1" s="1" a="1"/>
  <c r="Q77" i="1" s="1"/>
  <c r="U77" i="1" s="1"/>
  <c r="R227" i="1" a="1"/>
  <c r="R227" i="1" s="1"/>
  <c r="P227" i="1" s="1" a="1"/>
  <c r="P227" i="1" s="1"/>
  <c r="S37" i="1" a="1"/>
  <c r="S37" i="1" s="1"/>
  <c r="Q37" i="1" s="1" a="1"/>
  <c r="Q37" i="1" s="1"/>
  <c r="R53" i="1" a="1"/>
  <c r="R53" i="1" s="1"/>
  <c r="P53" i="1" s="1" a="1"/>
  <c r="P53" i="1" s="1"/>
  <c r="S126" i="1" a="1"/>
  <c r="S126" i="1" s="1"/>
  <c r="Q126" i="1" s="1" a="1"/>
  <c r="Q126" i="1" s="1"/>
  <c r="S45" i="1" a="1"/>
  <c r="S45" i="1" s="1"/>
  <c r="Q45" i="1" s="1" a="1"/>
  <c r="Q45" i="1" s="1"/>
  <c r="S202" i="1" a="1"/>
  <c r="S202" i="1" s="1"/>
  <c r="Q202" i="1" s="1" a="1"/>
  <c r="Q202" i="1" s="1"/>
  <c r="S110" i="1" a="1"/>
  <c r="S110" i="1" s="1"/>
  <c r="Q110" i="1" s="1" a="1"/>
  <c r="Q110" i="1" s="1"/>
  <c r="S38" i="1" a="1"/>
  <c r="S38" i="1" s="1"/>
  <c r="Q38" i="1" s="1" a="1"/>
  <c r="Q38" i="1" s="1"/>
  <c r="R211" i="1" a="1"/>
  <c r="R211" i="1" s="1"/>
  <c r="P211" i="1" s="1" a="1"/>
  <c r="P211" i="1" s="1"/>
  <c r="R64" i="1" a="1"/>
  <c r="R64" i="1" s="1"/>
  <c r="P64" i="1" s="1" a="1"/>
  <c r="P64" i="1" s="1"/>
  <c r="S252" i="1" a="1"/>
  <c r="S252" i="1" s="1"/>
  <c r="Q252" i="1" s="1" a="1"/>
  <c r="Q252" i="1" s="1"/>
  <c r="R162" i="1" a="1"/>
  <c r="R162" i="1" s="1"/>
  <c r="P162" i="1" s="1" a="1"/>
  <c r="P162" i="1" s="1"/>
  <c r="R632" i="1" a="1"/>
  <c r="R632" i="1" s="1"/>
  <c r="P632" i="1" s="1" a="1"/>
  <c r="P632" i="1" s="1"/>
  <c r="R672" i="1" a="1"/>
  <c r="R672" i="1" s="1"/>
  <c r="P672" i="1" s="1" a="1"/>
  <c r="P672" i="1" s="1"/>
  <c r="R793" i="1" a="1"/>
  <c r="R793" i="1" s="1"/>
  <c r="P793" i="1" s="1" a="1"/>
  <c r="P793" i="1" s="1"/>
  <c r="S171" i="1" a="1"/>
  <c r="S171" i="1" s="1"/>
  <c r="Q171" i="1" s="1" a="1"/>
  <c r="Q171" i="1" s="1"/>
  <c r="R103" i="1" a="1"/>
  <c r="R103" i="1" s="1"/>
  <c r="P103" i="1" s="1" a="1"/>
  <c r="P103" i="1" s="1"/>
  <c r="R619" i="1" a="1"/>
  <c r="R619" i="1" s="1"/>
  <c r="R748" i="1" a="1"/>
  <c r="R748" i="1" s="1"/>
  <c r="P748" i="1" s="1" a="1"/>
  <c r="P748" i="1" s="1"/>
  <c r="S302" i="1" a="1"/>
  <c r="S302" i="1" s="1"/>
  <c r="Q302" i="1" s="1" a="1"/>
  <c r="Q302" i="1" s="1"/>
  <c r="U302" i="1" s="1"/>
  <c r="R180" i="1" a="1"/>
  <c r="R180" i="1" s="1"/>
  <c r="P180" i="1" s="1" a="1"/>
  <c r="P180" i="1" s="1"/>
  <c r="S113" i="1" a="1"/>
  <c r="S113" i="1" s="1"/>
  <c r="Q113" i="1" s="1" a="1"/>
  <c r="Q113" i="1" s="1"/>
  <c r="R90" i="1" a="1"/>
  <c r="R90" i="1" s="1"/>
  <c r="P90" i="1" s="1" a="1"/>
  <c r="P90" i="1" s="1"/>
  <c r="S215" i="1" a="1"/>
  <c r="S215" i="1" s="1"/>
  <c r="Q215" i="1" s="1" a="1"/>
  <c r="Q215" i="1" s="1"/>
  <c r="S278" i="1" a="1"/>
  <c r="S278" i="1" s="1"/>
  <c r="Q278" i="1" s="1" a="1"/>
  <c r="Q278" i="1" s="1"/>
  <c r="R152" i="1" a="1"/>
  <c r="R152" i="1" s="1"/>
  <c r="P152" i="1" s="1" a="1"/>
  <c r="P152" i="1" s="1"/>
  <c r="S152" i="1" a="1"/>
  <c r="S152" i="1" s="1"/>
  <c r="Q152" i="1" s="1" a="1"/>
  <c r="Q152" i="1" s="1"/>
  <c r="S254" i="1" a="1"/>
  <c r="S254" i="1" s="1"/>
  <c r="Q254" i="1" s="1" a="1"/>
  <c r="Q254" i="1" s="1"/>
  <c r="R105" i="1" a="1"/>
  <c r="R105" i="1" s="1"/>
  <c r="P105" i="1" s="1" a="1"/>
  <c r="P105" i="1" s="1"/>
  <c r="S82" i="1" a="1"/>
  <c r="S82" i="1" s="1"/>
  <c r="Q82" i="1" s="1" a="1"/>
  <c r="Q82" i="1" s="1"/>
  <c r="S40" i="1" a="1"/>
  <c r="S40" i="1" s="1"/>
  <c r="Q40" i="1" s="1" a="1"/>
  <c r="Q40" i="1" s="1"/>
  <c r="S230" i="1" a="1"/>
  <c r="S230" i="1" s="1"/>
  <c r="Q230" i="1" s="1" a="1"/>
  <c r="Q230" i="1" s="1"/>
  <c r="S157" i="1" a="1"/>
  <c r="S157" i="1" s="1"/>
  <c r="Q157" i="1" s="1" a="1"/>
  <c r="Q157" i="1" s="1"/>
  <c r="S90" i="1" a="1"/>
  <c r="S90" i="1" s="1"/>
  <c r="Q90" i="1" s="1" a="1"/>
  <c r="Q90" i="1" s="1"/>
  <c r="S280" i="1" a="1"/>
  <c r="S280" i="1" s="1"/>
  <c r="Q280" i="1" s="1" a="1"/>
  <c r="Q280" i="1" s="1"/>
  <c r="R230" i="1" a="1"/>
  <c r="R230" i="1" s="1"/>
  <c r="P230" i="1" s="1" a="1"/>
  <c r="P230" i="1" s="1"/>
  <c r="S166" i="1" a="1"/>
  <c r="S166" i="1" s="1"/>
  <c r="Q166" i="1" s="1" a="1"/>
  <c r="Q166" i="1" s="1"/>
  <c r="R299" i="1" a="1"/>
  <c r="R299" i="1" s="1"/>
  <c r="P299" i="1" s="1" a="1"/>
  <c r="P299" i="1" s="1"/>
  <c r="R187" i="1" a="1"/>
  <c r="R187" i="1" s="1"/>
  <c r="P187" i="1" s="1" a="1"/>
  <c r="P187" i="1" s="1"/>
  <c r="R33" i="1" a="1"/>
  <c r="R33" i="1" s="1"/>
  <c r="R67" i="1" a="1"/>
  <c r="R67" i="1" s="1"/>
  <c r="P67" i="1" s="1" a="1"/>
  <c r="P67" i="1" s="1"/>
  <c r="S46" i="1" a="1"/>
  <c r="S46" i="1" s="1"/>
  <c r="Q46" i="1" s="1" a="1"/>
  <c r="Q46" i="1" s="1"/>
  <c r="S105" i="1" a="1"/>
  <c r="S105" i="1" s="1"/>
  <c r="Q105" i="1" s="1" a="1"/>
  <c r="Q105" i="1" s="1"/>
  <c r="R178" i="1" a="1"/>
  <c r="R178" i="1" s="1"/>
  <c r="P178" i="1" s="1" a="1"/>
  <c r="P178" i="1" s="1"/>
  <c r="S180" i="1" a="1"/>
  <c r="S180" i="1" s="1"/>
  <c r="Q180" i="1" s="1" a="1"/>
  <c r="Q180" i="1" s="1"/>
  <c r="R139" i="1" a="1"/>
  <c r="R139" i="1" s="1"/>
  <c r="P139" i="1" s="1" a="1"/>
  <c r="P139" i="1" s="1"/>
  <c r="R75" i="1" a="1"/>
  <c r="R75" i="1" s="1"/>
  <c r="S95" i="1" a="1"/>
  <c r="S95" i="1" s="1"/>
  <c r="Q95" i="1" s="1" a="1"/>
  <c r="Q95" i="1" s="1"/>
  <c r="U95" i="1" s="1"/>
  <c r="S216" i="1" a="1"/>
  <c r="S216" i="1" s="1"/>
  <c r="Q216" i="1" s="1" a="1"/>
  <c r="Q216" i="1" s="1"/>
  <c r="R69" i="1" a="1"/>
  <c r="R69" i="1" s="1"/>
  <c r="R278" i="1" a="1"/>
  <c r="R278" i="1" s="1"/>
  <c r="P278" i="1" s="1" a="1"/>
  <c r="P278" i="1" s="1"/>
  <c r="S127" i="1" a="1"/>
  <c r="S127" i="1" s="1"/>
  <c r="Q127" i="1" s="1" a="1"/>
  <c r="Q127" i="1" s="1"/>
  <c r="U127" i="1" s="1"/>
  <c r="R881" i="1" a="1"/>
  <c r="R881" i="1" s="1"/>
  <c r="P881" i="1" s="1" a="1"/>
  <c r="P881" i="1" s="1"/>
  <c r="R291" i="1" a="1"/>
  <c r="R291" i="1" s="1"/>
  <c r="P291" i="1" s="1" a="1"/>
  <c r="P291" i="1" s="1"/>
  <c r="S197" i="1" a="1"/>
  <c r="S197" i="1" s="1"/>
  <c r="Q197" i="1" s="1" a="1"/>
  <c r="Q197" i="1" s="1"/>
  <c r="R55" i="1" a="1"/>
  <c r="R55" i="1" s="1"/>
  <c r="P55" i="1" s="1" a="1"/>
  <c r="P55" i="1" s="1"/>
  <c r="R66" i="1" a="1"/>
  <c r="R66" i="1" s="1"/>
  <c r="P66" i="1" s="1" a="1"/>
  <c r="P66" i="1" s="1"/>
  <c r="R723" i="1" a="1"/>
  <c r="R723" i="1" s="1"/>
  <c r="P723" i="1" s="1" a="1"/>
  <c r="P723" i="1" s="1"/>
  <c r="R285" i="1" a="1"/>
  <c r="R285" i="1" s="1"/>
  <c r="P285" i="1" s="1" a="1"/>
  <c r="P285" i="1" s="1"/>
  <c r="R599" i="1" a="1"/>
  <c r="R599" i="1" s="1"/>
  <c r="P599" i="1" s="1" a="1"/>
  <c r="P599" i="1" s="1"/>
  <c r="R257" i="1" a="1"/>
  <c r="R257" i="1" s="1"/>
  <c r="P257" i="1" s="1" a="1"/>
  <c r="P257" i="1" s="1"/>
  <c r="T257" i="1" s="1"/>
  <c r="S629" i="1" a="1"/>
  <c r="S629" i="1" s="1"/>
  <c r="Q629" i="1" s="1" a="1"/>
  <c r="Q629" i="1" s="1"/>
  <c r="R739" i="1" a="1"/>
  <c r="R739" i="1" s="1"/>
  <c r="P739" i="1" s="1" a="1"/>
  <c r="P739" i="1" s="1"/>
  <c r="S642" i="1" a="1"/>
  <c r="S642" i="1" s="1"/>
  <c r="Q642" i="1" s="1" a="1"/>
  <c r="Q642" i="1" s="1"/>
  <c r="S191" i="1" a="1"/>
  <c r="S191" i="1" s="1"/>
  <c r="Q191" i="1" s="1" a="1"/>
  <c r="Q191" i="1" s="1"/>
  <c r="R746" i="1" a="1"/>
  <c r="R746" i="1" s="1"/>
  <c r="P746" i="1" s="1" a="1"/>
  <c r="P746" i="1" s="1"/>
  <c r="S791" i="1" a="1"/>
  <c r="S791" i="1" s="1"/>
  <c r="Q791" i="1" s="1" a="1"/>
  <c r="Q791" i="1" s="1"/>
  <c r="S683" i="1" a="1"/>
  <c r="S683" i="1" s="1"/>
  <c r="Q683" i="1" s="1" a="1"/>
  <c r="Q683" i="1" s="1"/>
  <c r="R786" i="1" a="1"/>
  <c r="R786" i="1" s="1"/>
  <c r="P786" i="1" s="1" a="1"/>
  <c r="P786" i="1" s="1"/>
  <c r="S328" i="1" a="1"/>
  <c r="S328" i="1" s="1"/>
  <c r="Q328" i="1" s="1" a="1"/>
  <c r="Q328" i="1" s="1"/>
  <c r="S322" i="1" a="1"/>
  <c r="S322" i="1" s="1"/>
  <c r="Q322" i="1" s="1" a="1"/>
  <c r="Q322" i="1" s="1"/>
  <c r="R309" i="1" a="1"/>
  <c r="R309" i="1" s="1"/>
  <c r="P309" i="1" s="1" a="1"/>
  <c r="P309" i="1" s="1"/>
  <c r="S691" i="1" a="1"/>
  <c r="S691" i="1" s="1"/>
  <c r="Q691" i="1" s="1" a="1"/>
  <c r="Q691" i="1" s="1"/>
  <c r="R717" i="1" a="1"/>
  <c r="R717" i="1" s="1"/>
  <c r="P717" i="1" s="1" a="1"/>
  <c r="P717" i="1" s="1"/>
  <c r="S660" i="1" a="1"/>
  <c r="S660" i="1" s="1"/>
  <c r="Q660" i="1" s="1" a="1"/>
  <c r="Q660" i="1" s="1"/>
  <c r="S188" i="1" a="1"/>
  <c r="S188" i="1" s="1"/>
  <c r="Q188" i="1" s="1" a="1"/>
  <c r="Q188" i="1" s="1"/>
  <c r="R743" i="1" a="1"/>
  <c r="R743" i="1" s="1"/>
  <c r="P743" i="1" s="1" a="1"/>
  <c r="P743" i="1" s="1"/>
  <c r="R119" i="1" a="1"/>
  <c r="R119" i="1" s="1"/>
  <c r="P119" i="1" s="1" a="1"/>
  <c r="P119" i="1" s="1"/>
  <c r="S749" i="1" a="1"/>
  <c r="S749" i="1" s="1"/>
  <c r="Q749" i="1" s="1" a="1"/>
  <c r="Q749" i="1" s="1"/>
  <c r="U749" i="1" s="1"/>
  <c r="S125" i="1" a="1"/>
  <c r="S125" i="1" s="1"/>
  <c r="Q125" i="1" s="1" a="1"/>
  <c r="Q125" i="1" s="1"/>
  <c r="R699" i="1" a="1"/>
  <c r="R699" i="1" s="1"/>
  <c r="P699" i="1" s="1" a="1"/>
  <c r="P699" i="1" s="1"/>
  <c r="R687" i="1" a="1"/>
  <c r="R687" i="1" s="1"/>
  <c r="P687" i="1" s="1" a="1"/>
  <c r="P687" i="1" s="1"/>
  <c r="S687" i="1" a="1"/>
  <c r="S687" i="1" s="1"/>
  <c r="Q687" i="1" s="1" a="1"/>
  <c r="Q687" i="1" s="1"/>
  <c r="R628" i="1" a="1"/>
  <c r="R628" i="1" s="1"/>
  <c r="R158" i="1" a="1"/>
  <c r="R158" i="1" s="1"/>
  <c r="P158" i="1" s="1" a="1"/>
  <c r="P158" i="1" s="1"/>
  <c r="S662" i="1" a="1"/>
  <c r="S662" i="1" s="1"/>
  <c r="Q662" i="1" s="1" a="1"/>
  <c r="Q662" i="1" s="1"/>
  <c r="R176" i="1" a="1"/>
  <c r="R176" i="1" s="1"/>
  <c r="P176" i="1" s="1" a="1"/>
  <c r="P176" i="1" s="1"/>
  <c r="S108" i="1" a="1"/>
  <c r="S108" i="1" s="1"/>
  <c r="Q108" i="1" s="1" a="1"/>
  <c r="Q108" i="1" s="1"/>
  <c r="U108" i="1" s="1"/>
  <c r="S168" i="1" a="1"/>
  <c r="S168" i="1" s="1"/>
  <c r="Q168" i="1" s="1" a="1"/>
  <c r="Q168" i="1" s="1"/>
  <c r="R781" i="1" a="1"/>
  <c r="R781" i="1" s="1"/>
  <c r="P781" i="1" s="1" a="1"/>
  <c r="P781" i="1" s="1"/>
  <c r="R329" i="1" a="1"/>
  <c r="R329" i="1" s="1"/>
  <c r="P329" i="1" s="1" a="1"/>
  <c r="P329" i="1" s="1"/>
  <c r="T329" i="1" s="1"/>
  <c r="R40" i="1" a="1"/>
  <c r="R40" i="1" s="1"/>
  <c r="S221" i="1" a="1"/>
  <c r="S221" i="1" s="1"/>
  <c r="Q221" i="1" s="1" a="1"/>
  <c r="Q221" i="1" s="1"/>
  <c r="R196" i="1" a="1"/>
  <c r="R196" i="1" s="1"/>
  <c r="P196" i="1" s="1" a="1"/>
  <c r="P196" i="1" s="1"/>
  <c r="R758" i="1" a="1"/>
  <c r="R758" i="1" s="1"/>
  <c r="P758" i="1" s="1" a="1"/>
  <c r="P758" i="1" s="1"/>
  <c r="T758" i="1" s="1"/>
  <c r="R779" i="1" a="1"/>
  <c r="R779" i="1" s="1"/>
  <c r="P779" i="1" s="1" a="1"/>
  <c r="P779" i="1" s="1"/>
  <c r="S702" i="1" a="1"/>
  <c r="S702" i="1" s="1"/>
  <c r="Q702" i="1" s="1" a="1"/>
  <c r="Q702" i="1" s="1"/>
  <c r="R762" i="1" a="1"/>
  <c r="R762" i="1" s="1"/>
  <c r="P762" i="1" s="1" a="1"/>
  <c r="P762" i="1" s="1"/>
  <c r="R310" i="1" a="1"/>
  <c r="R310" i="1" s="1"/>
  <c r="P310" i="1" s="1" a="1"/>
  <c r="P310" i="1" s="1"/>
  <c r="R73" i="1" a="1"/>
  <c r="R73" i="1" s="1"/>
  <c r="R204" i="1" a="1"/>
  <c r="R204" i="1" s="1"/>
  <c r="T204" i="1" s="1"/>
  <c r="S53" i="1" a="1"/>
  <c r="S53" i="1" s="1"/>
  <c r="Q53" i="1" s="1" a="1"/>
  <c r="Q53" i="1" s="1"/>
  <c r="S304" i="1" a="1"/>
  <c r="S304" i="1" s="1"/>
  <c r="Q304" i="1" s="1" a="1"/>
  <c r="Q304" i="1" s="1"/>
  <c r="R616" i="1" a="1"/>
  <c r="R616" i="1" s="1"/>
  <c r="P616" i="1" s="1" a="1"/>
  <c r="P616" i="1" s="1"/>
  <c r="R231" i="1" a="1"/>
  <c r="R231" i="1" s="1"/>
  <c r="P231" i="1" s="1" a="1"/>
  <c r="P231" i="1" s="1"/>
  <c r="S635" i="1" a="1"/>
  <c r="S635" i="1" s="1"/>
  <c r="Q635" i="1" s="1" a="1"/>
  <c r="Q635" i="1" s="1"/>
  <c r="R752" i="1" a="1"/>
  <c r="R752" i="1" s="1"/>
  <c r="P752" i="1" s="1" a="1"/>
  <c r="P752" i="1" s="1"/>
  <c r="S663" i="1" a="1"/>
  <c r="S663" i="1" s="1"/>
  <c r="Q663" i="1" s="1" a="1"/>
  <c r="Q663" i="1" s="1"/>
  <c r="S159" i="1" a="1"/>
  <c r="S159" i="1" s="1"/>
  <c r="Q159" i="1" s="1" a="1"/>
  <c r="Q159" i="1" s="1"/>
  <c r="R767" i="1" a="1"/>
  <c r="R767" i="1" s="1"/>
  <c r="P767" i="1" s="1" a="1"/>
  <c r="P767" i="1" s="1"/>
  <c r="S889" i="1" a="1"/>
  <c r="S889" i="1" s="1"/>
  <c r="Q889" i="1" s="1" a="1"/>
  <c r="Q889" i="1" s="1"/>
  <c r="S696" i="1" a="1"/>
  <c r="S696" i="1" s="1"/>
  <c r="Q696" i="1" s="1" a="1"/>
  <c r="Q696" i="1" s="1"/>
  <c r="R792" i="1" a="1"/>
  <c r="R792" i="1" s="1"/>
  <c r="P792" i="1" s="1" a="1"/>
  <c r="P792" i="1" s="1"/>
  <c r="R316" i="1" a="1"/>
  <c r="R316" i="1" s="1"/>
  <c r="P316" i="1" s="1" a="1"/>
  <c r="P316" i="1" s="1"/>
  <c r="S309" i="1" a="1"/>
  <c r="S309" i="1" s="1"/>
  <c r="Q309" i="1" s="1" a="1"/>
  <c r="Q309" i="1" s="1"/>
  <c r="S303" i="1" a="1"/>
  <c r="S303" i="1" s="1"/>
  <c r="Q303" i="1" s="1" a="1"/>
  <c r="Q303" i="1" s="1"/>
  <c r="R303" i="1" a="1"/>
  <c r="R303" i="1" s="1"/>
  <c r="P303" i="1" s="1" a="1"/>
  <c r="P303" i="1" s="1"/>
  <c r="S710" i="1" a="1"/>
  <c r="S710" i="1" s="1"/>
  <c r="Q710" i="1" s="1" a="1"/>
  <c r="Q710" i="1" s="1"/>
  <c r="R736" i="1" a="1"/>
  <c r="R736" i="1" s="1"/>
  <c r="P736" i="1" s="1" a="1"/>
  <c r="P736" i="1" s="1"/>
  <c r="S666" i="1" a="1"/>
  <c r="S666" i="1" s="1"/>
  <c r="Q666" i="1" s="1" a="1"/>
  <c r="Q666" i="1" s="1"/>
  <c r="S162" i="1" a="1"/>
  <c r="S162" i="1" s="1"/>
  <c r="Q162" i="1" s="1" a="1"/>
  <c r="Q162" i="1" s="1"/>
  <c r="R749" i="1" a="1"/>
  <c r="R749" i="1" s="1"/>
  <c r="P749" i="1" s="1" a="1"/>
  <c r="P749" i="1" s="1"/>
  <c r="T749" i="1" s="1"/>
  <c r="R125" i="1" a="1"/>
  <c r="R125" i="1" s="1"/>
  <c r="P125" i="1" s="1" a="1"/>
  <c r="P125" i="1" s="1"/>
  <c r="S770" i="1" a="1"/>
  <c r="S770" i="1" s="1"/>
  <c r="Q770" i="1" s="1" a="1"/>
  <c r="Q770" i="1" s="1"/>
  <c r="S74" i="1" a="1"/>
  <c r="S74" i="1" s="1"/>
  <c r="Q74" i="1" s="1" a="1"/>
  <c r="Q74" i="1" s="1"/>
  <c r="R718" i="1" a="1"/>
  <c r="R718" i="1" s="1"/>
  <c r="P718" i="1" s="1" a="1"/>
  <c r="P718" i="1" s="1"/>
  <c r="R693" i="1" a="1"/>
  <c r="R693" i="1" s="1"/>
  <c r="P693" i="1" s="1" a="1"/>
  <c r="P693" i="1" s="1"/>
  <c r="S693" i="1" a="1"/>
  <c r="S693" i="1" s="1"/>
  <c r="Q693" i="1" s="1" a="1"/>
  <c r="Q693" i="1" s="1"/>
  <c r="R641" i="1" a="1"/>
  <c r="R641" i="1" s="1"/>
  <c r="P641" i="1" s="1" a="1"/>
  <c r="P641" i="1" s="1"/>
  <c r="R164" i="1" a="1"/>
  <c r="R164" i="1" s="1"/>
  <c r="P164" i="1" s="1" a="1"/>
  <c r="P164" i="1" s="1"/>
  <c r="S668" i="1" a="1"/>
  <c r="S668" i="1" s="1"/>
  <c r="Q668" i="1" s="1" a="1"/>
  <c r="Q668" i="1" s="1"/>
  <c r="U668" i="1" s="1"/>
  <c r="R210" i="1" a="1"/>
  <c r="R210" i="1" s="1"/>
  <c r="P210" i="1" s="1" a="1"/>
  <c r="P210" i="1" s="1"/>
  <c r="R101" i="1" a="1"/>
  <c r="R101" i="1" s="1"/>
  <c r="P101" i="1" s="1" a="1"/>
  <c r="P101" i="1" s="1"/>
  <c r="R182" i="1" a="1"/>
  <c r="R182" i="1" s="1"/>
  <c r="P182" i="1" s="1" a="1"/>
  <c r="P182" i="1" s="1"/>
  <c r="S718" i="1" a="1"/>
  <c r="S718" i="1" s="1"/>
  <c r="Q718" i="1" s="1" a="1"/>
  <c r="Q718" i="1" s="1"/>
  <c r="S214" i="1" a="1"/>
  <c r="S214" i="1" s="1"/>
  <c r="Q214" i="1" s="1" a="1"/>
  <c r="Q214" i="1" s="1"/>
  <c r="S65" i="1" a="1"/>
  <c r="S65" i="1" s="1"/>
  <c r="Q65" i="1" s="1" a="1"/>
  <c r="Q65" i="1" s="1"/>
  <c r="S94" i="1" a="1"/>
  <c r="S94" i="1" s="1"/>
  <c r="Q94" i="1" s="1" a="1"/>
  <c r="Q94" i="1" s="1"/>
  <c r="R629" i="1" a="1"/>
  <c r="R629" i="1" s="1"/>
  <c r="P629" i="1" s="1" a="1"/>
  <c r="P629" i="1" s="1"/>
  <c r="S648" i="1" a="1"/>
  <c r="S648" i="1" s="1"/>
  <c r="Q648" i="1" s="1" a="1"/>
  <c r="Q648" i="1" s="1"/>
  <c r="S682" i="1" a="1"/>
  <c r="S682" i="1" s="1"/>
  <c r="Q682" i="1" s="1" a="1"/>
  <c r="Q682" i="1" s="1"/>
  <c r="S224" i="1" a="1"/>
  <c r="S224" i="1" s="1"/>
  <c r="Q224" i="1" s="1" a="1"/>
  <c r="Q224" i="1" s="1"/>
  <c r="R280" i="1" a="1"/>
  <c r="R280" i="1" s="1"/>
  <c r="P280" i="1" s="1" a="1"/>
  <c r="P280" i="1" s="1"/>
  <c r="S310" i="1" a="1"/>
  <c r="S310" i="1" s="1"/>
  <c r="Q310" i="1" s="1" a="1"/>
  <c r="Q310" i="1" s="1"/>
  <c r="S57" i="1" a="1"/>
  <c r="S57" i="1" s="1"/>
  <c r="Q57" i="1" s="1" a="1"/>
  <c r="Q57" i="1" s="1"/>
  <c r="S88" i="1" a="1"/>
  <c r="S88" i="1" s="1"/>
  <c r="Q88" i="1" s="1" a="1"/>
  <c r="Q88" i="1" s="1"/>
  <c r="R86" i="1" a="1"/>
  <c r="R86" i="1" s="1"/>
  <c r="P86" i="1" s="1" a="1"/>
  <c r="P86" i="1" s="1"/>
  <c r="T86" i="1" s="1"/>
  <c r="R769" i="1" a="1"/>
  <c r="R769" i="1" s="1"/>
  <c r="P769" i="1" s="1" a="1"/>
  <c r="P769" i="1" s="1"/>
  <c r="R635" i="1" a="1"/>
  <c r="R635" i="1" s="1"/>
  <c r="P635" i="1" s="1" a="1"/>
  <c r="P635" i="1" s="1"/>
  <c r="R202" i="1" a="1"/>
  <c r="R202" i="1" s="1"/>
  <c r="P202" i="1" s="1" a="1"/>
  <c r="P202" i="1" s="1"/>
  <c r="S654" i="1" a="1"/>
  <c r="S654" i="1" s="1"/>
  <c r="Q654" i="1" s="1" a="1"/>
  <c r="Q654" i="1" s="1"/>
  <c r="S701" i="1" a="1"/>
  <c r="S701" i="1" s="1"/>
  <c r="Q701" i="1" s="1" a="1"/>
  <c r="Q701" i="1" s="1"/>
  <c r="S139" i="1" a="1"/>
  <c r="S139" i="1" s="1"/>
  <c r="Q139" i="1" s="1" a="1"/>
  <c r="Q139" i="1" s="1"/>
  <c r="R288" i="1" a="1"/>
  <c r="R288" i="1" s="1"/>
  <c r="P288" i="1" s="1" a="1"/>
  <c r="P288" i="1" s="1"/>
  <c r="R787" i="1" a="1"/>
  <c r="R787" i="1" s="1"/>
  <c r="P787" i="1" s="1" a="1"/>
  <c r="P787" i="1" s="1"/>
  <c r="S55" i="1" a="1"/>
  <c r="S55" i="1" s="1"/>
  <c r="Q55" i="1" s="1" a="1"/>
  <c r="Q55" i="1" s="1"/>
  <c r="R120" i="1" a="1"/>
  <c r="R120" i="1" s="1"/>
  <c r="P120" i="1" s="1" a="1"/>
  <c r="P120" i="1" s="1"/>
  <c r="R80" i="1" a="1"/>
  <c r="R80" i="1" s="1"/>
  <c r="P80" i="1" s="1" a="1"/>
  <c r="P80" i="1" s="1"/>
  <c r="R79" i="1" a="1"/>
  <c r="R79" i="1" s="1"/>
  <c r="P79" i="1" s="1" a="1"/>
  <c r="P79" i="1" s="1"/>
  <c r="R45" i="1" a="1"/>
  <c r="R45" i="1" s="1"/>
  <c r="P45" i="1" s="1" a="1"/>
  <c r="P45" i="1" s="1"/>
  <c r="R648" i="1" a="1"/>
  <c r="R648" i="1" s="1"/>
  <c r="P648" i="1" s="1" a="1"/>
  <c r="P648" i="1" s="1"/>
  <c r="R215" i="1" a="1"/>
  <c r="R215" i="1" s="1"/>
  <c r="P215" i="1" s="1" a="1"/>
  <c r="P215" i="1" s="1"/>
  <c r="S669" i="1" a="1"/>
  <c r="S669" i="1" s="1"/>
  <c r="Q669" i="1" s="1" a="1"/>
  <c r="Q669" i="1" s="1"/>
  <c r="S714" i="1" a="1"/>
  <c r="S714" i="1" s="1"/>
  <c r="Q714" i="1" s="1" a="1"/>
  <c r="Q714" i="1" s="1"/>
  <c r="S145" i="1" a="1"/>
  <c r="S145" i="1" s="1"/>
  <c r="Q145" i="1" s="1" a="1"/>
  <c r="Q145" i="1" s="1"/>
  <c r="U145" i="1" s="1"/>
  <c r="R889" i="1" a="1"/>
  <c r="R889" i="1" s="1"/>
  <c r="P889" i="1" s="1" a="1"/>
  <c r="P889" i="1" s="1"/>
  <c r="R597" i="1" a="1"/>
  <c r="R597" i="1" s="1"/>
  <c r="P597" i="1" s="1" a="1"/>
  <c r="P597" i="1" s="1"/>
  <c r="S721" i="1" a="1"/>
  <c r="S721" i="1" s="1"/>
  <c r="Q721" i="1" s="1" a="1"/>
  <c r="Q721" i="1" s="1"/>
  <c r="S279" i="1" a="1"/>
  <c r="S279" i="1" s="1"/>
  <c r="Q279" i="1" s="1" a="1"/>
  <c r="Q279" i="1" s="1"/>
  <c r="R241" i="1" a="1"/>
  <c r="R241" i="1" s="1"/>
  <c r="P241" i="1" s="1" a="1"/>
  <c r="P241" i="1" s="1"/>
  <c r="R217" i="1" a="1"/>
  <c r="R217" i="1" s="1"/>
  <c r="P217" i="1" s="1" a="1"/>
  <c r="P217" i="1" s="1"/>
  <c r="S273" i="1" a="1"/>
  <c r="S273" i="1" s="1"/>
  <c r="Q273" i="1" s="1" a="1"/>
  <c r="Q273" i="1" s="1"/>
  <c r="S742" i="1" a="1"/>
  <c r="S742" i="1" s="1"/>
  <c r="Q742" i="1" s="1" a="1"/>
  <c r="Q742" i="1" s="1"/>
  <c r="S698" i="1" a="1"/>
  <c r="S698" i="1" s="1"/>
  <c r="Q698" i="1" s="1" a="1"/>
  <c r="Q698" i="1" s="1"/>
  <c r="S61" i="1" a="1"/>
  <c r="S61" i="1" s="1"/>
  <c r="Q61" i="1" s="1" a="1"/>
  <c r="Q61" i="1" s="1"/>
  <c r="R788" i="1" a="1"/>
  <c r="R788" i="1" s="1"/>
  <c r="P788" i="1" s="1" a="1"/>
  <c r="P788" i="1" s="1"/>
  <c r="R93" i="1" a="1"/>
  <c r="R93" i="1" s="1"/>
  <c r="P93" i="1" s="1" a="1"/>
  <c r="P93" i="1" s="1"/>
  <c r="S35" i="1" a="1"/>
  <c r="S35" i="1" s="1"/>
  <c r="Q35" i="1" s="1" a="1"/>
  <c r="Q35" i="1" s="1"/>
  <c r="R756" i="1" a="1"/>
  <c r="R756" i="1" s="1"/>
  <c r="P756" i="1" s="1" a="1"/>
  <c r="P756" i="1" s="1"/>
  <c r="R725" i="1" a="1"/>
  <c r="R725" i="1" s="1"/>
  <c r="P725" i="1" s="1" a="1"/>
  <c r="P725" i="1" s="1"/>
  <c r="S725" i="1" a="1"/>
  <c r="S725" i="1" s="1"/>
  <c r="Q725" i="1" s="1" a="1"/>
  <c r="Q725" i="1" s="1"/>
  <c r="R681" i="1" a="1"/>
  <c r="R681" i="1" s="1"/>
  <c r="P681" i="1" s="1" a="1"/>
  <c r="P681" i="1" s="1"/>
  <c r="R114" i="1" a="1"/>
  <c r="R114" i="1" s="1"/>
  <c r="P114" i="1" s="1" a="1"/>
  <c r="P114" i="1" s="1"/>
  <c r="S719" i="1" a="1"/>
  <c r="S719" i="1" s="1"/>
  <c r="Q719" i="1" s="1" a="1"/>
  <c r="Q719" i="1" s="1"/>
  <c r="S284" i="1" a="1"/>
  <c r="S284" i="1" s="1"/>
  <c r="Q284" i="1" s="1" a="1"/>
  <c r="Q284" i="1" s="1"/>
  <c r="U284" i="1" s="1"/>
  <c r="R148" i="1" a="1"/>
  <c r="R148" i="1" s="1"/>
  <c r="P148" i="1" s="1" a="1"/>
  <c r="P148" i="1" s="1"/>
  <c r="R91" i="1" a="1"/>
  <c r="R91" i="1" s="1"/>
  <c r="P91" i="1" s="1" a="1"/>
  <c r="P91" i="1" s="1"/>
  <c r="R145" i="1" a="1"/>
  <c r="R145" i="1" s="1"/>
  <c r="P145" i="1" s="1" a="1"/>
  <c r="P145" i="1" s="1"/>
  <c r="T145" i="1" s="1"/>
  <c r="R605" i="1" a="1"/>
  <c r="R605" i="1" s="1"/>
  <c r="P605" i="1" s="1" a="1"/>
  <c r="P605" i="1" s="1"/>
  <c r="S734" i="1" a="1"/>
  <c r="S734" i="1" s="1"/>
  <c r="Q734" i="1" s="1" a="1"/>
  <c r="Q734" i="1" s="1"/>
  <c r="S316" i="1" a="1"/>
  <c r="S316" i="1" s="1"/>
  <c r="Q316" i="1" s="1" a="1"/>
  <c r="Q316" i="1" s="1"/>
  <c r="S253" i="1" a="1"/>
  <c r="S253" i="1" s="1"/>
  <c r="Q253" i="1" s="1" a="1"/>
  <c r="Q253" i="1" s="1"/>
  <c r="R260" i="1" a="1"/>
  <c r="R260" i="1" s="1"/>
  <c r="P260" i="1" s="1" a="1"/>
  <c r="P260" i="1" s="1"/>
  <c r="S598" i="1" a="1"/>
  <c r="S598" i="1" s="1"/>
  <c r="Q598" i="1" s="1" a="1"/>
  <c r="Q598" i="1" s="1"/>
  <c r="S748" i="1" a="1"/>
  <c r="S748" i="1" s="1"/>
  <c r="Q748" i="1" s="1" a="1"/>
  <c r="Q748" i="1" s="1"/>
  <c r="S327" i="1" a="1"/>
  <c r="S327" i="1" s="1"/>
  <c r="Q327" i="1" s="1" a="1"/>
  <c r="Q327" i="1" s="1"/>
  <c r="S704" i="1" a="1"/>
  <c r="S704" i="1" s="1"/>
  <c r="S67" i="1" a="1"/>
  <c r="S67" i="1" s="1"/>
  <c r="Q67" i="1" s="1" a="1"/>
  <c r="Q67" i="1" s="1"/>
  <c r="R35" i="1" a="1"/>
  <c r="R35" i="1" s="1"/>
  <c r="S41" i="1" a="1"/>
  <c r="S41" i="1" s="1"/>
  <c r="R731" i="1" a="1"/>
  <c r="R731" i="1" s="1"/>
  <c r="P731" i="1" s="1" a="1"/>
  <c r="P731" i="1" s="1"/>
  <c r="T731" i="1" s="1"/>
  <c r="S731" i="1" a="1"/>
  <c r="S731" i="1" s="1"/>
  <c r="R700" i="1" a="1"/>
  <c r="R700" i="1" s="1"/>
  <c r="P700" i="1" s="1" a="1"/>
  <c r="P700" i="1" s="1"/>
  <c r="R63" i="1" a="1"/>
  <c r="R63" i="1" s="1"/>
  <c r="P63" i="1" s="1" a="1"/>
  <c r="P63" i="1" s="1"/>
  <c r="S732" i="1" a="1"/>
  <c r="S732" i="1" s="1"/>
  <c r="Q732" i="1" s="1" a="1"/>
  <c r="Q732" i="1" s="1"/>
  <c r="S296" i="1" a="1"/>
  <c r="S296" i="1" s="1"/>
  <c r="Q296" i="1" s="1" a="1"/>
  <c r="Q296" i="1" s="1"/>
  <c r="S34" i="1" a="1"/>
  <c r="S34" i="1" s="1"/>
  <c r="Q34" i="1" s="1" a="1"/>
  <c r="Q34" i="1" s="1"/>
  <c r="R58" i="1" a="1"/>
  <c r="R58" i="1" s="1"/>
  <c r="P58" i="1" s="1" a="1"/>
  <c r="P58" i="1" s="1"/>
  <c r="R47" i="1" a="1"/>
  <c r="R47" i="1" s="1"/>
  <c r="P47" i="1" s="1" a="1"/>
  <c r="P47" i="1" s="1"/>
  <c r="R65" i="1" a="1"/>
  <c r="R65" i="1" s="1"/>
  <c r="P65" i="1" s="1" a="1"/>
  <c r="P65" i="1" s="1"/>
  <c r="S118" i="1" a="1"/>
  <c r="S118" i="1" s="1"/>
  <c r="Q118" i="1" s="1" a="1"/>
  <c r="Q118" i="1" s="1"/>
  <c r="R71" i="1" a="1"/>
  <c r="R71" i="1" s="1"/>
  <c r="R654" i="1" a="1"/>
  <c r="R654" i="1" s="1"/>
  <c r="P654" i="1" s="1" a="1"/>
  <c r="P654" i="1" s="1"/>
  <c r="R179" i="1" a="1"/>
  <c r="R179" i="1" s="1"/>
  <c r="P179" i="1" s="1" a="1"/>
  <c r="P179" i="1" s="1"/>
  <c r="S675" i="1" a="1"/>
  <c r="S675" i="1" s="1"/>
  <c r="Q675" i="1" s="1" a="1"/>
  <c r="Q675" i="1" s="1"/>
  <c r="S324" i="1" a="1"/>
  <c r="S324" i="1" s="1"/>
  <c r="Q324" i="1" s="1" a="1"/>
  <c r="Q324" i="1" s="1"/>
  <c r="S720" i="1" a="1"/>
  <c r="S720" i="1" s="1"/>
  <c r="Q720" i="1" s="1" a="1"/>
  <c r="Q720" i="1" s="1"/>
  <c r="S109" i="1" a="1"/>
  <c r="S109" i="1" s="1"/>
  <c r="Q109" i="1" s="1" a="1"/>
  <c r="Q109" i="1" s="1"/>
  <c r="S241" i="1" a="1"/>
  <c r="S241" i="1" s="1"/>
  <c r="Q241" i="1" s="1" a="1"/>
  <c r="Q241" i="1" s="1"/>
  <c r="R216" i="1" a="1"/>
  <c r="R216" i="1" s="1"/>
  <c r="P216" i="1" s="1" a="1"/>
  <c r="P216" i="1" s="1"/>
  <c r="S186" i="1" a="1"/>
  <c r="S186" i="1" s="1"/>
  <c r="Q186" i="1" s="1" a="1"/>
  <c r="Q186" i="1" s="1"/>
  <c r="R39" i="1" a="1"/>
  <c r="R39" i="1" s="1"/>
  <c r="R172" i="1" a="1"/>
  <c r="R172" i="1" s="1"/>
  <c r="P172" i="1" s="1" a="1"/>
  <c r="P172" i="1" s="1"/>
  <c r="R111" i="1" a="1"/>
  <c r="R111" i="1" s="1"/>
  <c r="P111" i="1" s="1" a="1"/>
  <c r="P111" i="1" s="1"/>
  <c r="R110" i="1" a="1"/>
  <c r="R110" i="1" s="1"/>
  <c r="P110" i="1" s="1" a="1"/>
  <c r="P110" i="1" s="1"/>
  <c r="S63" i="1" a="1"/>
  <c r="S63" i="1" s="1"/>
  <c r="Q63" i="1" s="1" a="1"/>
  <c r="Q63" i="1" s="1"/>
  <c r="R669" i="1" a="1"/>
  <c r="R669" i="1" s="1"/>
  <c r="P669" i="1" s="1" a="1"/>
  <c r="P669" i="1" s="1"/>
  <c r="R171" i="1" a="1"/>
  <c r="R171" i="1" s="1"/>
  <c r="P171" i="1" s="1" a="1"/>
  <c r="P171" i="1" s="1"/>
  <c r="S694" i="1" a="1"/>
  <c r="S694" i="1" s="1"/>
  <c r="Q694" i="1" s="1" a="1"/>
  <c r="Q694" i="1" s="1"/>
  <c r="S311" i="1" a="1"/>
  <c r="S311" i="1" s="1"/>
  <c r="Q311" i="1" s="1" a="1"/>
  <c r="Q311" i="1" s="1"/>
  <c r="U311" i="1" s="1"/>
  <c r="S733" i="1" a="1"/>
  <c r="S733" i="1" s="1"/>
  <c r="Q733" i="1" s="1" a="1"/>
  <c r="Q733" i="1" s="1"/>
  <c r="S115" i="1" a="1"/>
  <c r="S115" i="1" s="1"/>
  <c r="Q115" i="1" s="1" a="1"/>
  <c r="Q115" i="1" s="1"/>
  <c r="S207" i="1" a="1"/>
  <c r="S207" i="1" s="1"/>
  <c r="Q207" i="1" s="1" a="1"/>
  <c r="Q207" i="1" s="1"/>
  <c r="R197" i="1" a="1"/>
  <c r="R197" i="1" s="1"/>
  <c r="P197" i="1" s="1" a="1"/>
  <c r="P197" i="1" s="1"/>
  <c r="S73" i="1" a="1"/>
  <c r="S73" i="1" s="1"/>
  <c r="Q73" i="1" s="1" a="1"/>
  <c r="Q73" i="1" s="1"/>
  <c r="S203" i="1" a="1"/>
  <c r="S203" i="1" s="1"/>
  <c r="Q203" i="1" s="1" a="1"/>
  <c r="Q203" i="1" s="1"/>
  <c r="S103" i="1" a="1"/>
  <c r="S103" i="1" s="1"/>
  <c r="Q103" i="1" s="1" a="1"/>
  <c r="Q103" i="1" s="1"/>
  <c r="S102" i="1" a="1"/>
  <c r="S102" i="1" s="1"/>
  <c r="Q102" i="1" s="1" a="1"/>
  <c r="Q102" i="1" s="1"/>
  <c r="R117" i="1" a="1"/>
  <c r="R117" i="1" s="1"/>
  <c r="R675" i="1" a="1"/>
  <c r="R675" i="1" s="1"/>
  <c r="P675" i="1" s="1" a="1"/>
  <c r="P675" i="1" s="1"/>
  <c r="R149" i="1" a="1"/>
  <c r="R149" i="1" s="1"/>
  <c r="P149" i="1" s="1" a="1"/>
  <c r="P149" i="1" s="1"/>
  <c r="S707" i="1" a="1"/>
  <c r="S707" i="1" s="1"/>
  <c r="Q707" i="1" s="1" a="1"/>
  <c r="Q707" i="1" s="1"/>
  <c r="S305" i="1" a="1"/>
  <c r="S305" i="1" s="1"/>
  <c r="Q305" i="1" s="1" a="1"/>
  <c r="Q305" i="1" s="1"/>
  <c r="S739" i="1" a="1"/>
  <c r="S739" i="1" s="1"/>
  <c r="Q739" i="1" s="1" a="1"/>
  <c r="Q739" i="1" s="1"/>
  <c r="S64" i="1" a="1"/>
  <c r="S64" i="1" s="1"/>
  <c r="Q64" i="1" s="1" a="1"/>
  <c r="Q64" i="1" s="1"/>
  <c r="S231" i="1" a="1"/>
  <c r="S231" i="1" s="1"/>
  <c r="Q231" i="1" s="1" a="1"/>
  <c r="Q231" i="1" s="1"/>
  <c r="S89" i="1" a="1"/>
  <c r="S89" i="1" s="1"/>
  <c r="Q89" i="1" s="1" a="1"/>
  <c r="Q89" i="1" s="1"/>
  <c r="S120" i="1" a="1"/>
  <c r="S120" i="1" s="1"/>
  <c r="Q120" i="1" s="1" a="1"/>
  <c r="Q120" i="1" s="1"/>
  <c r="S196" i="1" a="1"/>
  <c r="S196" i="1" s="1"/>
  <c r="Q196" i="1" s="1" a="1"/>
  <c r="Q196" i="1" s="1"/>
  <c r="S150" i="1" a="1"/>
  <c r="S150" i="1" s="1"/>
  <c r="Q150" i="1" s="1" a="1"/>
  <c r="Q150" i="1" s="1"/>
  <c r="S143" i="1" a="1"/>
  <c r="S143" i="1" s="1"/>
  <c r="Q143" i="1" s="1" a="1"/>
  <c r="Q143" i="1" s="1"/>
  <c r="R170" i="1" a="1"/>
  <c r="R170" i="1" s="1"/>
  <c r="P170" i="1" s="1" a="1"/>
  <c r="P170" i="1" s="1"/>
  <c r="R688" i="1" a="1"/>
  <c r="R688" i="1" s="1"/>
  <c r="P688" i="1" s="1" a="1"/>
  <c r="P688" i="1" s="1"/>
  <c r="R155" i="1" a="1"/>
  <c r="R155" i="1" s="1"/>
  <c r="P155" i="1" s="1" a="1"/>
  <c r="P155" i="1" s="1"/>
  <c r="R742" i="1" a="1"/>
  <c r="R742" i="1" s="1"/>
  <c r="P742" i="1" s="1" a="1"/>
  <c r="P742" i="1" s="1"/>
  <c r="S81" i="1" a="1"/>
  <c r="S81" i="1" s="1"/>
  <c r="Q81" i="1" s="1" a="1"/>
  <c r="Q81" i="1" s="1"/>
  <c r="S137" i="1" a="1"/>
  <c r="S137" i="1" s="1"/>
  <c r="Q137" i="1" s="1" a="1"/>
  <c r="Q137" i="1" s="1"/>
  <c r="S235" i="1" a="1"/>
  <c r="S235" i="1" s="1"/>
  <c r="Q235" i="1" s="1" a="1"/>
  <c r="Q235" i="1" s="1"/>
  <c r="S163" i="1" a="1"/>
  <c r="S163" i="1" s="1"/>
  <c r="Q163" i="1" s="1" a="1"/>
  <c r="Q163" i="1" s="1"/>
  <c r="S156" i="1" a="1"/>
  <c r="S156" i="1" s="1"/>
  <c r="Q156" i="1" s="1" a="1"/>
  <c r="Q156" i="1" s="1"/>
  <c r="U156" i="1" s="1"/>
  <c r="R161" i="1" a="1"/>
  <c r="R161" i="1" s="1"/>
  <c r="P161" i="1" s="1" a="1"/>
  <c r="P161" i="1" s="1"/>
  <c r="R694" i="1" a="1"/>
  <c r="R694" i="1" s="1"/>
  <c r="P694" i="1" s="1" a="1"/>
  <c r="P694" i="1" s="1"/>
  <c r="R132" i="1" a="1"/>
  <c r="R132" i="1" s="1"/>
  <c r="P132" i="1" s="1" a="1"/>
  <c r="P132" i="1" s="1"/>
  <c r="S726" i="1" a="1"/>
  <c r="S726" i="1" s="1"/>
  <c r="Q726" i="1" s="1" a="1"/>
  <c r="Q726" i="1" s="1"/>
  <c r="S286" i="1" a="1"/>
  <c r="S286" i="1" s="1"/>
  <c r="Q286" i="1" s="1" a="1"/>
  <c r="Q286" i="1" s="1"/>
  <c r="S758" i="1" a="1"/>
  <c r="S758" i="1" s="1"/>
  <c r="Q758" i="1" s="1" a="1"/>
  <c r="Q758" i="1" s="1"/>
  <c r="U758" i="1" s="1"/>
  <c r="S44" i="1" a="1"/>
  <c r="S44" i="1" s="1"/>
  <c r="Q44" i="1" s="1" a="1"/>
  <c r="Q44" i="1" s="1"/>
  <c r="S611" i="1" a="1"/>
  <c r="S611" i="1" s="1"/>
  <c r="Q611" i="1" s="1" a="1"/>
  <c r="Q611" i="1" s="1"/>
  <c r="S49" i="1" a="1"/>
  <c r="S49" i="1" s="1"/>
  <c r="Q49" i="1" s="1" a="1"/>
  <c r="Q49" i="1" s="1"/>
  <c r="R112" i="1" a="1"/>
  <c r="R112" i="1" s="1"/>
  <c r="P112" i="1" s="1" a="1"/>
  <c r="P112" i="1" s="1"/>
  <c r="R129" i="1" a="1"/>
  <c r="R129" i="1" s="1"/>
  <c r="P129" i="1" s="1" a="1"/>
  <c r="P129" i="1" s="1"/>
  <c r="S228" i="1" a="1"/>
  <c r="S228" i="1" s="1"/>
  <c r="Q228" i="1" s="1" a="1"/>
  <c r="Q228" i="1" s="1"/>
  <c r="S178" i="1" a="1"/>
  <c r="S178" i="1" s="1"/>
  <c r="Q178" i="1" s="1" a="1"/>
  <c r="Q178" i="1" s="1"/>
  <c r="S149" i="1" a="1"/>
  <c r="S149" i="1" s="1"/>
  <c r="Q149" i="1" s="1" a="1"/>
  <c r="Q149" i="1" s="1"/>
  <c r="S176" i="1" a="1"/>
  <c r="S176" i="1" s="1"/>
  <c r="Q176" i="1" s="1" a="1"/>
  <c r="Q176" i="1" s="1"/>
  <c r="R707" i="1" a="1"/>
  <c r="R707" i="1" s="1"/>
  <c r="P707" i="1" s="1" a="1"/>
  <c r="P707" i="1" s="1"/>
  <c r="R102" i="1" a="1"/>
  <c r="R102" i="1" s="1"/>
  <c r="P102" i="1" s="1" a="1"/>
  <c r="P102" i="1" s="1"/>
  <c r="S745" i="1" a="1"/>
  <c r="S745" i="1" s="1"/>
  <c r="Q745" i="1" s="1" a="1"/>
  <c r="Q745" i="1" s="1"/>
  <c r="R271" i="1" a="1"/>
  <c r="R271" i="1" s="1"/>
  <c r="P271" i="1" s="1" a="1"/>
  <c r="P271" i="1" s="1"/>
  <c r="S75" i="1" a="1"/>
  <c r="S75" i="1" s="1"/>
  <c r="Q75" i="1" s="1" a="1"/>
  <c r="Q75" i="1" s="1"/>
  <c r="R104" i="1" a="1"/>
  <c r="R104" i="1" s="1"/>
  <c r="P104" i="1" s="1" a="1"/>
  <c r="P104" i="1" s="1"/>
  <c r="S172" i="1" a="1"/>
  <c r="S172" i="1" s="1"/>
  <c r="Q172" i="1" s="1" a="1"/>
  <c r="Q172" i="1" s="1"/>
  <c r="S262" i="1" a="1"/>
  <c r="S262" i="1" s="1"/>
  <c r="Q262" i="1" s="1" a="1"/>
  <c r="Q262" i="1" s="1"/>
  <c r="R203" i="1" a="1"/>
  <c r="R203" i="1" s="1"/>
  <c r="P203" i="1" s="1" a="1"/>
  <c r="P203" i="1" s="1"/>
  <c r="R266" i="1" a="1"/>
  <c r="R266" i="1" s="1"/>
  <c r="P266" i="1" s="1" a="1"/>
  <c r="P266" i="1" s="1"/>
  <c r="T266" i="1" s="1"/>
  <c r="S210" i="1" a="1"/>
  <c r="S210" i="1" s="1"/>
  <c r="Q210" i="1" s="1" a="1"/>
  <c r="Q210" i="1" s="1"/>
  <c r="R713" i="1" a="1"/>
  <c r="R713" i="1" s="1"/>
  <c r="P713" i="1" s="1" a="1"/>
  <c r="P713" i="1" s="1"/>
  <c r="T713" i="1" s="1"/>
  <c r="R108" i="1" a="1"/>
  <c r="R108" i="1" s="1"/>
  <c r="S766" i="1" a="1"/>
  <c r="S766" i="1" s="1"/>
  <c r="Q766" i="1" s="1" a="1"/>
  <c r="Q766" i="1" s="1"/>
  <c r="R245" i="1" a="1"/>
  <c r="R245" i="1" s="1"/>
  <c r="P245" i="1" s="1" a="1"/>
  <c r="P245" i="1" s="1"/>
  <c r="S888" i="1" a="1"/>
  <c r="S888" i="1" s="1"/>
  <c r="Q888" i="1" s="1" a="1"/>
  <c r="Q888" i="1" s="1"/>
  <c r="S630" i="1" a="1"/>
  <c r="S630" i="1" s="1"/>
  <c r="Q630" i="1" s="1" a="1"/>
  <c r="Q630" i="1" s="1"/>
  <c r="R702" i="1" a="1"/>
  <c r="R702" i="1" s="1"/>
  <c r="P702" i="1" s="1" a="1"/>
  <c r="P702" i="1" s="1"/>
  <c r="R612" i="1" a="1"/>
  <c r="R612" i="1" s="1"/>
  <c r="P612" i="1" s="1" a="1"/>
  <c r="P612" i="1" s="1"/>
  <c r="S650" i="1" a="1"/>
  <c r="S650" i="1" s="1"/>
  <c r="Q650" i="1" s="1" a="1"/>
  <c r="Q650" i="1" s="1"/>
  <c r="S167" i="1" a="1"/>
  <c r="S167" i="1" s="1"/>
  <c r="Q167" i="1" s="1" a="1"/>
  <c r="Q167" i="1" s="1"/>
  <c r="R644" i="1" a="1"/>
  <c r="R644" i="1" s="1"/>
  <c r="P644" i="1" s="1" a="1"/>
  <c r="P644" i="1" s="1"/>
  <c r="S665" i="1" a="1"/>
  <c r="S665" i="1" s="1"/>
  <c r="Q665" i="1" s="1" a="1"/>
  <c r="Q665" i="1" s="1"/>
  <c r="S211" i="1" a="1"/>
  <c r="S211" i="1" s="1"/>
  <c r="Q211" i="1" s="1" a="1"/>
  <c r="Q211" i="1" s="1"/>
  <c r="S881" i="1" a="1"/>
  <c r="S881" i="1" s="1"/>
  <c r="Q881" i="1" s="1" a="1"/>
  <c r="Q881" i="1" s="1"/>
  <c r="R242" i="1" a="1"/>
  <c r="R242" i="1" s="1"/>
  <c r="P242" i="1" s="1" a="1"/>
  <c r="P242" i="1" s="1"/>
  <c r="R327" i="1" a="1"/>
  <c r="R327" i="1" s="1"/>
  <c r="P327" i="1" s="1" a="1"/>
  <c r="P327" i="1" s="1"/>
  <c r="R224" i="1" a="1"/>
  <c r="R224" i="1" s="1"/>
  <c r="P224" i="1" s="1" a="1"/>
  <c r="P224" i="1" s="1"/>
  <c r="R281" i="1" a="1"/>
  <c r="R281" i="1" s="1"/>
  <c r="P281" i="1" s="1" a="1"/>
  <c r="P281" i="1" s="1"/>
  <c r="R157" i="1" a="1"/>
  <c r="R157" i="1" s="1"/>
  <c r="P157" i="1" s="1" a="1"/>
  <c r="P157" i="1" s="1"/>
  <c r="S249" i="1" a="1"/>
  <c r="S249" i="1" s="1"/>
  <c r="Q249" i="1" s="1" a="1"/>
  <c r="Q249" i="1" s="1"/>
  <c r="R143" i="1" a="1"/>
  <c r="R143" i="1" s="1"/>
  <c r="P143" i="1" s="1" a="1"/>
  <c r="P143" i="1" s="1"/>
  <c r="S621" i="1" a="1"/>
  <c r="S621" i="1" s="1"/>
  <c r="Q621" i="1" s="1" a="1"/>
  <c r="Q621" i="1" s="1"/>
  <c r="S244" i="1" a="1"/>
  <c r="S244" i="1" s="1"/>
  <c r="Q244" i="1" s="1" a="1"/>
  <c r="Q244" i="1" s="1"/>
  <c r="R325" i="1" a="1"/>
  <c r="R325" i="1" s="1"/>
  <c r="P325" i="1" s="1" a="1"/>
  <c r="P325" i="1" s="1"/>
  <c r="R122" i="1" a="1"/>
  <c r="R122" i="1" s="1"/>
  <c r="P122" i="1" s="1" a="1"/>
  <c r="P122" i="1" s="1"/>
  <c r="R151" i="1" a="1"/>
  <c r="R151" i="1" s="1"/>
  <c r="P151" i="1" s="1" a="1"/>
  <c r="P151" i="1" s="1"/>
  <c r="R253" i="1" a="1"/>
  <c r="R253" i="1" s="1"/>
  <c r="P253" i="1" s="1" a="1"/>
  <c r="P253" i="1" s="1"/>
  <c r="R312" i="1" a="1"/>
  <c r="R312" i="1" s="1"/>
  <c r="P312" i="1" s="1" a="1"/>
  <c r="P312" i="1" s="1"/>
  <c r="R302" i="1" a="1"/>
  <c r="R302" i="1" s="1"/>
  <c r="S259" i="1" a="1"/>
  <c r="S259" i="1" s="1"/>
  <c r="Q259" i="1" s="1" a="1"/>
  <c r="Q259" i="1" s="1"/>
  <c r="R745" i="1" a="1"/>
  <c r="R745" i="1" s="1"/>
  <c r="P745" i="1" s="1" a="1"/>
  <c r="P745" i="1" s="1"/>
  <c r="R57" i="1" a="1"/>
  <c r="R57" i="1" s="1"/>
  <c r="P57" i="1" s="1" a="1"/>
  <c r="P57" i="1" s="1"/>
  <c r="R596" i="1" a="1"/>
  <c r="R596" i="1" s="1"/>
  <c r="P596" i="1" s="1" a="1"/>
  <c r="P596" i="1" s="1"/>
  <c r="R264" i="1" a="1"/>
  <c r="R264" i="1" s="1"/>
  <c r="P264" i="1" s="1" a="1"/>
  <c r="P264" i="1" s="1"/>
  <c r="R311" i="1" a="1"/>
  <c r="R311" i="1" s="1"/>
  <c r="P311" i="1" s="1" a="1"/>
  <c r="P311" i="1" s="1"/>
  <c r="T311" i="1" s="1"/>
  <c r="R617" i="1" a="1"/>
  <c r="R617" i="1" s="1"/>
  <c r="P617" i="1" s="1" a="1"/>
  <c r="P617" i="1" s="1"/>
  <c r="S649" i="1" a="1"/>
  <c r="S649" i="1" s="1"/>
  <c r="Q649" i="1" s="1" a="1"/>
  <c r="Q649" i="1" s="1"/>
  <c r="R721" i="1" a="1"/>
  <c r="R721" i="1" s="1"/>
  <c r="P721" i="1" s="1" a="1"/>
  <c r="P721" i="1" s="1"/>
  <c r="R131" i="1" a="1"/>
  <c r="R131" i="1" s="1"/>
  <c r="P131" i="1" s="1" a="1"/>
  <c r="P131" i="1" s="1"/>
  <c r="R186" i="1" a="1"/>
  <c r="R186" i="1" s="1"/>
  <c r="P186" i="1" s="1" a="1"/>
  <c r="P186" i="1" s="1"/>
  <c r="S243" i="1" a="1"/>
  <c r="S243" i="1" s="1"/>
  <c r="Q243" i="1" s="1" a="1"/>
  <c r="Q243" i="1" s="1"/>
  <c r="R323" i="1" a="1"/>
  <c r="R323" i="1" s="1"/>
  <c r="P323" i="1" s="1" a="1"/>
  <c r="P323" i="1" s="1"/>
  <c r="R240" i="1" a="1"/>
  <c r="R240" i="1" s="1"/>
  <c r="P240" i="1" s="1" a="1"/>
  <c r="P240" i="1" s="1"/>
  <c r="R766" i="1" a="1"/>
  <c r="R766" i="1" s="1"/>
  <c r="P766" i="1" s="1" a="1"/>
  <c r="P766" i="1" s="1"/>
  <c r="R70" i="1" a="1"/>
  <c r="R70" i="1" s="1"/>
  <c r="R604" i="1" a="1"/>
  <c r="R604" i="1" s="1"/>
  <c r="P604" i="1" s="1" a="1"/>
  <c r="P604" i="1" s="1"/>
  <c r="R220" i="1" a="1"/>
  <c r="R220" i="1" s="1"/>
  <c r="P220" i="1" s="1" a="1"/>
  <c r="P220" i="1" s="1"/>
  <c r="R305" i="1" a="1"/>
  <c r="R305" i="1" s="1"/>
  <c r="P305" i="1" s="1" a="1"/>
  <c r="P305" i="1" s="1"/>
  <c r="R630" i="1" a="1"/>
  <c r="R630" i="1" s="1"/>
  <c r="P630" i="1" s="1" a="1"/>
  <c r="P630" i="1" s="1"/>
  <c r="S655" i="1" a="1"/>
  <c r="S655" i="1" s="1"/>
  <c r="R734" i="1" a="1"/>
  <c r="R734" i="1" s="1"/>
  <c r="P734" i="1" s="1" a="1"/>
  <c r="P734" i="1" s="1"/>
  <c r="R174" i="1" a="1"/>
  <c r="R174" i="1" s="1"/>
  <c r="S179" i="1" a="1"/>
  <c r="S179" i="1" s="1"/>
  <c r="Q179" i="1" s="1" a="1"/>
  <c r="Q179" i="1" s="1"/>
  <c r="R279" i="1" a="1"/>
  <c r="R279" i="1" s="1"/>
  <c r="P279" i="1" s="1" a="1"/>
  <c r="P279" i="1" s="1"/>
  <c r="R94" i="1" a="1"/>
  <c r="R94" i="1" s="1"/>
  <c r="P94" i="1" s="1" a="1"/>
  <c r="P94" i="1" s="1"/>
  <c r="S285" i="1" a="1"/>
  <c r="S285" i="1" s="1"/>
  <c r="Q285" i="1" s="1" a="1"/>
  <c r="Q285" i="1" s="1"/>
  <c r="R886" i="1" a="1"/>
  <c r="R886" i="1" s="1"/>
  <c r="P886" i="1" s="1" a="1"/>
  <c r="P886" i="1" s="1"/>
  <c r="R76" i="1" a="1"/>
  <c r="R76" i="1" s="1"/>
  <c r="R610" i="1" a="1"/>
  <c r="R610" i="1" s="1"/>
  <c r="P610" i="1" s="1" a="1"/>
  <c r="P610" i="1" s="1"/>
  <c r="T610" i="1" s="1"/>
  <c r="R237" i="1" a="1"/>
  <c r="R237" i="1" s="1"/>
  <c r="P237" i="1" s="1" a="1"/>
  <c r="P237" i="1" s="1"/>
  <c r="R292" i="1" a="1"/>
  <c r="R292" i="1" s="1"/>
  <c r="P292" i="1" s="1" a="1"/>
  <c r="P292" i="1" s="1"/>
  <c r="R636" i="1" a="1"/>
  <c r="R636" i="1" s="1"/>
  <c r="P636" i="1" s="1" a="1"/>
  <c r="P636" i="1" s="1"/>
  <c r="S670" i="1" a="1"/>
  <c r="S670" i="1" s="1"/>
  <c r="Q670" i="1" s="1" a="1"/>
  <c r="Q670" i="1" s="1"/>
  <c r="R740" i="1" a="1"/>
  <c r="R740" i="1" s="1"/>
  <c r="P740" i="1" s="1" a="1"/>
  <c r="P740" i="1" s="1"/>
  <c r="T740" i="1" s="1"/>
  <c r="R198" i="1" a="1"/>
  <c r="R198" i="1" s="1"/>
  <c r="P198" i="1" s="1" a="1"/>
  <c r="P198" i="1" s="1"/>
  <c r="R214" i="1" a="1"/>
  <c r="R214" i="1" s="1"/>
  <c r="P214" i="1" s="1" a="1"/>
  <c r="P214" i="1" s="1"/>
  <c r="S71" i="1" a="1"/>
  <c r="S71" i="1" s="1"/>
  <c r="Q71" i="1" s="1" a="1"/>
  <c r="Q71" i="1" s="1"/>
  <c r="R296" i="1" a="1"/>
  <c r="R296" i="1" s="1"/>
  <c r="P296" i="1" s="1" a="1"/>
  <c r="P296" i="1" s="1"/>
  <c r="R89" i="1" a="1"/>
  <c r="R89" i="1" s="1"/>
  <c r="P89" i="1" s="1" a="1"/>
  <c r="P89" i="1" s="1"/>
  <c r="R623" i="1" a="1"/>
  <c r="R623" i="1" s="1"/>
  <c r="P623" i="1" s="1" a="1"/>
  <c r="P623" i="1" s="1"/>
  <c r="R209" i="1" a="1"/>
  <c r="R209" i="1" s="1"/>
  <c r="P209" i="1" s="1" a="1"/>
  <c r="P209" i="1" s="1"/>
  <c r="R286" i="1" a="1"/>
  <c r="R286" i="1" s="1"/>
  <c r="P286" i="1" s="1" a="1"/>
  <c r="P286" i="1" s="1"/>
  <c r="R649" i="1" a="1"/>
  <c r="R649" i="1" s="1"/>
  <c r="P649" i="1" s="1" a="1"/>
  <c r="P649" i="1" s="1"/>
  <c r="S676" i="1" a="1"/>
  <c r="S676" i="1" s="1"/>
  <c r="Q676" i="1" s="1" a="1"/>
  <c r="Q676" i="1" s="1"/>
  <c r="R753" i="1" a="1"/>
  <c r="R753" i="1" s="1"/>
  <c r="P753" i="1" s="1" a="1"/>
  <c r="P753" i="1" s="1"/>
  <c r="R671" i="1" a="1"/>
  <c r="R671" i="1" s="1"/>
  <c r="P671" i="1" s="1" a="1"/>
  <c r="P671" i="1" s="1"/>
  <c r="S728" i="1" a="1"/>
  <c r="S728" i="1" s="1"/>
  <c r="Q728" i="1" s="1" a="1"/>
  <c r="Q728" i="1" s="1"/>
  <c r="S104" i="1" a="1"/>
  <c r="S104" i="1" s="1"/>
  <c r="Q104" i="1" s="1" a="1"/>
  <c r="Q104" i="1" s="1"/>
  <c r="R697" i="1" a="1"/>
  <c r="R697" i="1" s="1"/>
  <c r="P697" i="1" s="1" a="1"/>
  <c r="P697" i="1" s="1"/>
  <c r="S716" i="1" a="1"/>
  <c r="S716" i="1" s="1"/>
  <c r="Q716" i="1" s="1" a="1"/>
  <c r="Q716" i="1" s="1"/>
  <c r="S117" i="1" a="1"/>
  <c r="S117" i="1" s="1"/>
  <c r="Q117" i="1" s="1" a="1"/>
  <c r="Q117" i="1" s="1"/>
  <c r="U117" i="1" s="1"/>
  <c r="R639" i="1" a="1"/>
  <c r="R639" i="1" s="1"/>
  <c r="P639" i="1" s="1" a="1"/>
  <c r="P639" i="1" s="1"/>
  <c r="R206" i="1" a="1"/>
  <c r="R206" i="1" s="1"/>
  <c r="P206" i="1" s="1" a="1"/>
  <c r="P206" i="1" s="1"/>
  <c r="S274" i="1" a="1"/>
  <c r="S274" i="1" s="1"/>
  <c r="Q274" i="1" s="1" a="1"/>
  <c r="Q274" i="1" s="1"/>
  <c r="R633" i="1" a="1"/>
  <c r="R633" i="1" s="1"/>
  <c r="P633" i="1" s="1" a="1"/>
  <c r="P633" i="1" s="1"/>
  <c r="R177" i="1" a="1"/>
  <c r="R177" i="1" s="1"/>
  <c r="P177" i="1" s="1" a="1"/>
  <c r="P177" i="1" s="1"/>
  <c r="S652" i="1" a="1"/>
  <c r="S652" i="1" s="1"/>
  <c r="Q652" i="1" s="1" a="1"/>
  <c r="Q652" i="1" s="1"/>
  <c r="S183" i="1" a="1"/>
  <c r="S183" i="1" s="1"/>
  <c r="Q183" i="1" s="1" a="1"/>
  <c r="Q183" i="1" s="1"/>
  <c r="U183" i="1" s="1"/>
  <c r="R621" i="1" a="1"/>
  <c r="R621" i="1" s="1"/>
  <c r="P621" i="1" s="1" a="1"/>
  <c r="P621" i="1" s="1"/>
  <c r="S667" i="1" a="1"/>
  <c r="S667" i="1" s="1"/>
  <c r="Q667" i="1" s="1" a="1"/>
  <c r="Q667" i="1" s="1"/>
  <c r="R276" i="1" a="1"/>
  <c r="R276" i="1" s="1"/>
  <c r="P276" i="1" s="1" a="1"/>
  <c r="P276" i="1" s="1"/>
  <c r="S276" i="1" a="1"/>
  <c r="S276" i="1" s="1"/>
  <c r="Q276" i="1" s="1" a="1"/>
  <c r="Q276" i="1" s="1"/>
  <c r="S287" i="1" a="1"/>
  <c r="S287" i="1" s="1"/>
  <c r="Q287" i="1" s="1" a="1"/>
  <c r="Q287" i="1" s="1"/>
  <c r="S138" i="1" a="1"/>
  <c r="S138" i="1" s="1"/>
  <c r="Q138" i="1" s="1" a="1"/>
  <c r="Q138" i="1" s="1"/>
  <c r="S164" i="1" a="1"/>
  <c r="S164" i="1" s="1"/>
  <c r="Q164" i="1" s="1" a="1"/>
  <c r="Q164" i="1" s="1"/>
  <c r="R175" i="1" a="1"/>
  <c r="R175" i="1" s="1"/>
  <c r="P175" i="1" s="1" a="1"/>
  <c r="P175" i="1" s="1"/>
  <c r="S189" i="1" a="1"/>
  <c r="S189" i="1" s="1"/>
  <c r="Q189" i="1" s="1" a="1"/>
  <c r="Q189" i="1" s="1"/>
  <c r="S122" i="1" a="1"/>
  <c r="S122" i="1" s="1"/>
  <c r="Q122" i="1" s="1" a="1"/>
  <c r="Q122" i="1" s="1"/>
  <c r="R265" i="1" a="1"/>
  <c r="R265" i="1" s="1"/>
  <c r="P265" i="1" s="1" a="1"/>
  <c r="P265" i="1" s="1"/>
  <c r="R221" i="1" a="1"/>
  <c r="R221" i="1" s="1"/>
  <c r="P221" i="1" s="1" a="1"/>
  <c r="P221" i="1" s="1"/>
  <c r="R118" i="1" a="1"/>
  <c r="R118" i="1" s="1"/>
  <c r="P118" i="1" s="1" a="1"/>
  <c r="P118" i="1" s="1"/>
  <c r="R315" i="1" a="1"/>
  <c r="R315" i="1" s="1"/>
  <c r="P315" i="1" s="1" a="1"/>
  <c r="P315" i="1" s="1"/>
  <c r="R95" i="1" a="1"/>
  <c r="R95" i="1" s="1"/>
  <c r="P95" i="1" s="1" a="1"/>
  <c r="P95" i="1" s="1"/>
  <c r="T95" i="1" s="1"/>
  <c r="R642" i="1" a="1"/>
  <c r="R642" i="1" s="1"/>
  <c r="P642" i="1" s="1" a="1"/>
  <c r="P642" i="1" s="1"/>
  <c r="R191" i="1" a="1"/>
  <c r="R191" i="1" s="1"/>
  <c r="P191" i="1" s="1" a="1"/>
  <c r="P191" i="1" s="1"/>
  <c r="S271" i="1" a="1"/>
  <c r="S271" i="1" s="1"/>
  <c r="Q271" i="1" s="1" a="1"/>
  <c r="Q271" i="1" s="1"/>
  <c r="R655" i="1" a="1"/>
  <c r="R655" i="1" s="1"/>
  <c r="P655" i="1" s="1" a="1"/>
  <c r="P655" i="1" s="1"/>
  <c r="T655" i="1" s="1"/>
  <c r="S689" i="1" a="1"/>
  <c r="S689" i="1" s="1"/>
  <c r="Q689" i="1" s="1" a="1"/>
  <c r="Q689" i="1" s="1"/>
  <c r="R677" i="1" a="1"/>
  <c r="R677" i="1" s="1"/>
  <c r="P677" i="1" s="1" a="1"/>
  <c r="P677" i="1" s="1"/>
  <c r="T677" i="1" s="1"/>
  <c r="S741" i="1" a="1"/>
  <c r="S741" i="1" s="1"/>
  <c r="Q741" i="1" s="1" a="1"/>
  <c r="Q741" i="1" s="1"/>
  <c r="S123" i="1" a="1"/>
  <c r="S123" i="1" s="1"/>
  <c r="Q123" i="1" s="1" a="1"/>
  <c r="Q123" i="1" s="1"/>
  <c r="R703" i="1" a="1"/>
  <c r="R703" i="1" s="1"/>
  <c r="P703" i="1" s="1" a="1"/>
  <c r="P703" i="1" s="1"/>
  <c r="S722" i="1" a="1"/>
  <c r="S722" i="1" s="1"/>
  <c r="S60" i="1" a="1"/>
  <c r="S60" i="1" s="1"/>
  <c r="Q60" i="1" s="1" a="1"/>
  <c r="Q60" i="1" s="1"/>
  <c r="R645" i="1" a="1"/>
  <c r="R645" i="1" s="1"/>
  <c r="P645" i="1" s="1" a="1"/>
  <c r="P645" i="1" s="1"/>
  <c r="R212" i="1" a="1"/>
  <c r="R212" i="1" s="1"/>
  <c r="P212" i="1" s="1" a="1"/>
  <c r="P212" i="1" s="1"/>
  <c r="S242" i="1" a="1"/>
  <c r="S242" i="1" s="1"/>
  <c r="Q242" i="1" s="1" a="1"/>
  <c r="Q242" i="1" s="1"/>
  <c r="R652" i="1" a="1"/>
  <c r="R652" i="1" s="1"/>
  <c r="P652" i="1" s="1" a="1"/>
  <c r="P652" i="1" s="1"/>
  <c r="R183" i="1" a="1"/>
  <c r="R183" i="1" s="1"/>
  <c r="P183" i="1" s="1" a="1"/>
  <c r="P183" i="1" s="1"/>
  <c r="T183" i="1" s="1"/>
  <c r="S673" i="1" a="1"/>
  <c r="S673" i="1" s="1"/>
  <c r="Q673" i="1" s="1" a="1"/>
  <c r="Q673" i="1" s="1"/>
  <c r="S169" i="1" a="1"/>
  <c r="S169" i="1" s="1"/>
  <c r="Q169" i="1" s="1" a="1"/>
  <c r="Q169" i="1" s="1"/>
  <c r="R627" i="1" a="1"/>
  <c r="R627" i="1" s="1"/>
  <c r="P627" i="1" s="1" a="1"/>
  <c r="P627" i="1" s="1"/>
  <c r="S680" i="1" a="1"/>
  <c r="S680" i="1" s="1"/>
  <c r="Q680" i="1" s="1" a="1"/>
  <c r="Q680" i="1" s="1"/>
  <c r="R282" i="1" a="1"/>
  <c r="R282" i="1" s="1"/>
  <c r="P282" i="1" s="1" a="1"/>
  <c r="P282" i="1" s="1"/>
  <c r="S282" i="1" a="1"/>
  <c r="S282" i="1" s="1"/>
  <c r="Q282" i="1" s="1" a="1"/>
  <c r="Q282" i="1" s="1"/>
  <c r="R270" i="1" a="1"/>
  <c r="R270" i="1" s="1"/>
  <c r="P270" i="1" s="1" a="1"/>
  <c r="P270" i="1" s="1"/>
  <c r="S114" i="1" a="1"/>
  <c r="S114" i="1" s="1"/>
  <c r="Q114" i="1" s="1" a="1"/>
  <c r="Q114" i="1" s="1"/>
  <c r="S144" i="1" a="1"/>
  <c r="S144" i="1" s="1"/>
  <c r="Q144" i="1" s="1" a="1"/>
  <c r="Q144" i="1" s="1"/>
  <c r="S232" i="1" a="1"/>
  <c r="S232" i="1" s="1"/>
  <c r="Q232" i="1" s="1" a="1"/>
  <c r="Q232" i="1" s="1"/>
  <c r="S199" i="1" a="1"/>
  <c r="S199" i="1" s="1"/>
  <c r="Q199" i="1" s="1" a="1"/>
  <c r="Q199" i="1" s="1"/>
  <c r="R272" i="1" a="1"/>
  <c r="R272" i="1" s="1"/>
  <c r="P272" i="1" s="1" a="1"/>
  <c r="P272" i="1" s="1"/>
  <c r="S291" i="1" a="1"/>
  <c r="S291" i="1" s="1"/>
  <c r="Q291" i="1" s="1" a="1"/>
  <c r="Q291" i="1" s="1"/>
  <c r="R134" i="1" a="1"/>
  <c r="R134" i="1" s="1"/>
  <c r="P134" i="1" s="1" a="1"/>
  <c r="P134" i="1" s="1"/>
  <c r="S318" i="1" a="1"/>
  <c r="S318" i="1" s="1"/>
  <c r="Q318" i="1" s="1" a="1"/>
  <c r="Q318" i="1" s="1"/>
  <c r="R37" i="1" a="1"/>
  <c r="R37" i="1" s="1"/>
  <c r="R663" i="1" a="1"/>
  <c r="R663" i="1" s="1"/>
  <c r="P663" i="1" s="1" a="1"/>
  <c r="P663" i="1" s="1"/>
  <c r="R159" i="1" a="1"/>
  <c r="R159" i="1" s="1"/>
  <c r="P159" i="1" s="1" a="1"/>
  <c r="P159" i="1" s="1"/>
  <c r="S245" i="1" a="1"/>
  <c r="S245" i="1" s="1"/>
  <c r="Q245" i="1" s="1" a="1"/>
  <c r="Q245" i="1" s="1"/>
  <c r="R670" i="1" a="1"/>
  <c r="R670" i="1" s="1"/>
  <c r="P670" i="1" s="1" a="1"/>
  <c r="P670" i="1" s="1"/>
  <c r="S695" i="1" a="1"/>
  <c r="S695" i="1" s="1"/>
  <c r="Q695" i="1" s="1" a="1"/>
  <c r="Q695" i="1" s="1"/>
  <c r="U695" i="1" s="1"/>
  <c r="R690" i="1" a="1"/>
  <c r="R690" i="1" s="1"/>
  <c r="P690" i="1" s="1" a="1"/>
  <c r="P690" i="1" s="1"/>
  <c r="S747" i="1" a="1"/>
  <c r="S747" i="1" s="1"/>
  <c r="Q747" i="1" s="1" a="1"/>
  <c r="Q747" i="1" s="1"/>
  <c r="S59" i="1" a="1"/>
  <c r="S59" i="1" s="1"/>
  <c r="Q59" i="1" s="1" a="1"/>
  <c r="Q59" i="1" s="1"/>
  <c r="U59" i="1" s="1"/>
  <c r="R716" i="1" a="1"/>
  <c r="R716" i="1" s="1"/>
  <c r="P716" i="1" s="1" a="1"/>
  <c r="P716" i="1" s="1"/>
  <c r="S735" i="1" a="1"/>
  <c r="S735" i="1" s="1"/>
  <c r="Q735" i="1" s="1" a="1"/>
  <c r="Q735" i="1" s="1"/>
  <c r="S66" i="1" a="1"/>
  <c r="S66" i="1" s="1"/>
  <c r="Q66" i="1" s="1" a="1"/>
  <c r="Q66" i="1" s="1"/>
  <c r="R660" i="1" a="1"/>
  <c r="R660" i="1" s="1"/>
  <c r="P660" i="1" s="1" a="1"/>
  <c r="P660" i="1" s="1"/>
  <c r="R188" i="1" a="1"/>
  <c r="R188" i="1" s="1"/>
  <c r="P188" i="1" s="1" a="1"/>
  <c r="P188" i="1" s="1"/>
  <c r="S248" i="1" a="1"/>
  <c r="S248" i="1" s="1"/>
  <c r="Q248" i="1" s="1" a="1"/>
  <c r="Q248" i="1" s="1"/>
  <c r="U248" i="1" s="1"/>
  <c r="R673" i="1" a="1"/>
  <c r="R673" i="1" s="1"/>
  <c r="P673" i="1" s="1" a="1"/>
  <c r="P673" i="1" s="1"/>
  <c r="R169" i="1" a="1"/>
  <c r="R169" i="1" s="1"/>
  <c r="P169" i="1" s="1" a="1"/>
  <c r="P169" i="1" s="1"/>
  <c r="S692" i="1" a="1"/>
  <c r="S692" i="1" s="1"/>
  <c r="Q692" i="1" s="1" a="1"/>
  <c r="Q692" i="1" s="1"/>
  <c r="S153" i="1" a="1"/>
  <c r="S153" i="1" s="1"/>
  <c r="Q153" i="1" s="1" a="1"/>
  <c r="Q153" i="1" s="1"/>
  <c r="R640" i="1" a="1"/>
  <c r="R640" i="1" s="1"/>
  <c r="P640" i="1" s="1" a="1"/>
  <c r="P640" i="1" s="1"/>
  <c r="S686" i="1" a="1"/>
  <c r="S686" i="1" s="1"/>
  <c r="Q686" i="1" s="1" a="1"/>
  <c r="Q686" i="1" s="1"/>
  <c r="U686" i="1" s="1"/>
  <c r="R250" i="1" a="1"/>
  <c r="R250" i="1" s="1"/>
  <c r="P250" i="1" s="1" a="1"/>
  <c r="P250" i="1" s="1"/>
  <c r="S250" i="1" a="1"/>
  <c r="S250" i="1" s="1"/>
  <c r="Q250" i="1" s="1" a="1"/>
  <c r="Q250" i="1" s="1"/>
  <c r="R244" i="1" a="1"/>
  <c r="R244" i="1" s="1"/>
  <c r="P244" i="1" s="1" a="1"/>
  <c r="P244" i="1" s="1"/>
  <c r="S595" i="1" a="1"/>
  <c r="S595" i="1" s="1"/>
  <c r="Q595" i="1" s="1" a="1"/>
  <c r="Q595" i="1" s="1"/>
  <c r="S85" i="1" a="1"/>
  <c r="S85" i="1" s="1"/>
  <c r="Q85" i="1" s="1" a="1"/>
  <c r="Q85" i="1" s="1"/>
  <c r="S297" i="1" a="1"/>
  <c r="S297" i="1" s="1"/>
  <c r="Q297" i="1" s="1" a="1"/>
  <c r="Q297" i="1" s="1"/>
  <c r="R307" i="1" a="1"/>
  <c r="R307" i="1" s="1"/>
  <c r="P307" i="1" s="1" a="1"/>
  <c r="P307" i="1" s="1"/>
  <c r="S174" i="1" a="1"/>
  <c r="S174" i="1" s="1"/>
  <c r="S48" i="1" a="1"/>
  <c r="S48" i="1" s="1"/>
  <c r="Q48" i="1" s="1" a="1"/>
  <c r="Q48" i="1" s="1"/>
  <c r="S56" i="1" a="1"/>
  <c r="S56" i="1" s="1"/>
  <c r="Q56" i="1" s="1" a="1"/>
  <c r="Q56" i="1" s="1"/>
  <c r="S251" i="1" a="1"/>
  <c r="S251" i="1" s="1"/>
  <c r="Q251" i="1" s="1" a="1"/>
  <c r="Q251" i="1" s="1"/>
  <c r="S659" i="1" a="1"/>
  <c r="S659" i="1" s="1"/>
  <c r="Q659" i="1" s="1" a="1"/>
  <c r="Q659" i="1" s="1"/>
  <c r="R277" i="1" a="1"/>
  <c r="R277" i="1" s="1"/>
  <c r="P277" i="1" s="1" a="1"/>
  <c r="P277" i="1" s="1"/>
  <c r="S886" i="1" a="1"/>
  <c r="S886" i="1" s="1"/>
  <c r="Q886" i="1" s="1" a="1"/>
  <c r="Q886" i="1" s="1"/>
  <c r="R714" i="1" a="1"/>
  <c r="R714" i="1" s="1"/>
  <c r="P714" i="1" s="1" a="1"/>
  <c r="P714" i="1" s="1"/>
  <c r="S604" i="1" a="1"/>
  <c r="S604" i="1" s="1"/>
  <c r="Q604" i="1" s="1" a="1"/>
  <c r="Q604" i="1" s="1"/>
  <c r="S220" i="1" a="1"/>
  <c r="S220" i="1" s="1"/>
  <c r="Q220" i="1" s="1" a="1"/>
  <c r="Q220" i="1" s="1"/>
  <c r="R695" i="1" a="1"/>
  <c r="R695" i="1" s="1"/>
  <c r="S746" i="1" a="1"/>
  <c r="S746" i="1" s="1"/>
  <c r="Q746" i="1" s="1" a="1"/>
  <c r="Q746" i="1" s="1"/>
  <c r="S624" i="1" a="1"/>
  <c r="S624" i="1" s="1"/>
  <c r="Q624" i="1" s="1" a="1"/>
  <c r="Q624" i="1" s="1"/>
  <c r="R741" i="1" a="1"/>
  <c r="R741" i="1" s="1"/>
  <c r="P741" i="1" s="1" a="1"/>
  <c r="P741" i="1" s="1"/>
  <c r="S792" i="1" a="1"/>
  <c r="S792" i="1" s="1"/>
  <c r="Q792" i="1" s="1" a="1"/>
  <c r="Q792" i="1" s="1"/>
  <c r="S33" i="1" a="1"/>
  <c r="S33" i="1" s="1"/>
  <c r="Q33" i="1" s="1" a="1"/>
  <c r="Q33" i="1" s="1"/>
  <c r="R754" i="1" a="1"/>
  <c r="R754" i="1" s="1"/>
  <c r="P754" i="1" s="1" a="1"/>
  <c r="P754" i="1" s="1"/>
  <c r="S632" i="1" a="1"/>
  <c r="S632" i="1" s="1"/>
  <c r="Q632" i="1" s="1" a="1"/>
  <c r="Q632" i="1" s="1"/>
  <c r="R685" i="1" a="1"/>
  <c r="R685" i="1" s="1"/>
  <c r="P685" i="1" s="1" a="1"/>
  <c r="P685" i="1" s="1"/>
  <c r="S626" i="1" a="1"/>
  <c r="S626" i="1" s="1"/>
  <c r="Q626" i="1" s="1" a="1"/>
  <c r="Q626" i="1" s="1"/>
  <c r="S234" i="1" a="1"/>
  <c r="S234" i="1" s="1"/>
  <c r="Q234" i="1" s="1" a="1"/>
  <c r="Q234" i="1" s="1"/>
  <c r="R711" i="1" a="1"/>
  <c r="R711" i="1" s="1"/>
  <c r="P711" i="1" s="1" a="1"/>
  <c r="P711" i="1" s="1"/>
  <c r="R136" i="1" a="1"/>
  <c r="R136" i="1" s="1"/>
  <c r="S724" i="1" a="1"/>
  <c r="S724" i="1" s="1"/>
  <c r="Q724" i="1" s="1" a="1"/>
  <c r="Q724" i="1" s="1"/>
  <c r="S100" i="1" a="1"/>
  <c r="S100" i="1" s="1"/>
  <c r="Q100" i="1" s="1" a="1"/>
  <c r="Q100" i="1" s="1"/>
  <c r="R667" i="1" a="1"/>
  <c r="R667" i="1" s="1"/>
  <c r="P667" i="1" s="1" a="1"/>
  <c r="P667" i="1" s="1"/>
  <c r="R647" i="1" a="1"/>
  <c r="R647" i="1" s="1"/>
  <c r="P647" i="1" s="1" a="1"/>
  <c r="P647" i="1" s="1"/>
  <c r="S647" i="1" a="1"/>
  <c r="S647" i="1" s="1"/>
  <c r="Q647" i="1" s="1" a="1"/>
  <c r="Q647" i="1" s="1"/>
  <c r="R603" i="1" a="1"/>
  <c r="R603" i="1" s="1"/>
  <c r="P603" i="1" s="1" a="1"/>
  <c r="P603" i="1" s="1"/>
  <c r="R236" i="1" a="1"/>
  <c r="R236" i="1" s="1"/>
  <c r="P236" i="1" s="1" a="1"/>
  <c r="P236" i="1" s="1"/>
  <c r="S622" i="1" a="1"/>
  <c r="S622" i="1" s="1"/>
  <c r="Q622" i="1" s="1" a="1"/>
  <c r="Q622" i="1" s="1"/>
  <c r="S101" i="1" a="1"/>
  <c r="S101" i="1" s="1"/>
  <c r="Q101" i="1" s="1" a="1"/>
  <c r="Q101" i="1" s="1"/>
  <c r="R85" i="1" a="1"/>
  <c r="R85" i="1" s="1"/>
  <c r="P85" i="1" s="1" a="1"/>
  <c r="P85" i="1" s="1"/>
  <c r="S84" i="1" a="1"/>
  <c r="S84" i="1" s="1"/>
  <c r="Q84" i="1" s="1" a="1"/>
  <c r="Q84" i="1" s="1"/>
  <c r="R246" i="1" a="1"/>
  <c r="R246" i="1" s="1"/>
  <c r="P246" i="1" s="1" a="1"/>
  <c r="P246" i="1" s="1"/>
  <c r="S58" i="1" a="1"/>
  <c r="S58" i="1" s="1"/>
  <c r="Q58" i="1" s="1" a="1"/>
  <c r="Q58" i="1" s="1"/>
  <c r="R166" i="1" a="1"/>
  <c r="R166" i="1" s="1"/>
  <c r="P166" i="1" s="1" a="1"/>
  <c r="P166" i="1" s="1"/>
  <c r="R254" i="1" a="1"/>
  <c r="R254" i="1" s="1"/>
  <c r="P254" i="1" s="1" a="1"/>
  <c r="P254" i="1" s="1"/>
  <c r="R205" i="1" a="1"/>
  <c r="R205" i="1" s="1"/>
  <c r="P205" i="1" s="1" a="1"/>
  <c r="P205" i="1" s="1"/>
  <c r="R710" i="1" a="1"/>
  <c r="R710" i="1" s="1"/>
  <c r="P710" i="1" s="1" a="1"/>
  <c r="P710" i="1" s="1"/>
  <c r="S277" i="1" a="1"/>
  <c r="S277" i="1" s="1"/>
  <c r="Q277" i="1" s="1" a="1"/>
  <c r="Q277" i="1" s="1"/>
  <c r="S599" i="1" a="1"/>
  <c r="S599" i="1" s="1"/>
  <c r="Q599" i="1" s="1" a="1"/>
  <c r="Q599" i="1" s="1"/>
  <c r="R251" i="1" a="1"/>
  <c r="R251" i="1" s="1"/>
  <c r="P251" i="1" s="1" a="1"/>
  <c r="P251" i="1" s="1"/>
  <c r="S616" i="1" a="1"/>
  <c r="S616" i="1" s="1"/>
  <c r="Q616" i="1" s="1" a="1"/>
  <c r="Q616" i="1" s="1"/>
  <c r="R733" i="1" a="1"/>
  <c r="R733" i="1" s="1"/>
  <c r="P733" i="1" s="1" a="1"/>
  <c r="P733" i="1" s="1"/>
  <c r="S623" i="1" a="1"/>
  <c r="S623" i="1" s="1"/>
  <c r="Q623" i="1" s="1" a="1"/>
  <c r="Q623" i="1" s="1"/>
  <c r="S209" i="1" a="1"/>
  <c r="S209" i="1" s="1"/>
  <c r="Q209" i="1" s="1" a="1"/>
  <c r="Q209" i="1" s="1"/>
  <c r="R727" i="1" a="1"/>
  <c r="R727" i="1" s="1"/>
  <c r="P727" i="1" s="1" a="1"/>
  <c r="P727" i="1" s="1"/>
  <c r="S779" i="1" a="1"/>
  <c r="S779" i="1" s="1"/>
  <c r="Q779" i="1" s="1" a="1"/>
  <c r="Q779" i="1" s="1"/>
  <c r="S664" i="1" a="1"/>
  <c r="S664" i="1" s="1"/>
  <c r="Q664" i="1" s="1" a="1"/>
  <c r="Q664" i="1" s="1"/>
  <c r="R768" i="1" a="1"/>
  <c r="R768" i="1" s="1"/>
  <c r="P768" i="1" s="1" a="1"/>
  <c r="P768" i="1" s="1"/>
  <c r="R59" i="1" a="1"/>
  <c r="R59" i="1" s="1"/>
  <c r="S610" i="1" a="1"/>
  <c r="S610" i="1" s="1"/>
  <c r="Q610" i="1" s="1" a="1"/>
  <c r="Q610" i="1" s="1"/>
  <c r="U610" i="1" s="1"/>
  <c r="S767" i="1" a="1"/>
  <c r="S767" i="1" s="1"/>
  <c r="Q767" i="1" s="1" a="1"/>
  <c r="Q767" i="1" s="1"/>
  <c r="R709" i="1" a="1"/>
  <c r="R709" i="1" s="1"/>
  <c r="P709" i="1" s="1" a="1"/>
  <c r="P709" i="1" s="1"/>
  <c r="S204" i="1" a="1"/>
  <c r="S204" i="1" s="1"/>
  <c r="S205" i="1" a="1"/>
  <c r="S205" i="1" s="1"/>
  <c r="Q205" i="1" s="1" a="1"/>
  <c r="Q205" i="1" s="1"/>
  <c r="R755" i="1" a="1"/>
  <c r="R755" i="1" s="1"/>
  <c r="P755" i="1" s="1" a="1"/>
  <c r="P755" i="1" s="1"/>
  <c r="R308" i="1" a="1"/>
  <c r="R308" i="1" s="1"/>
  <c r="P308" i="1" s="1" a="1"/>
  <c r="P308" i="1" s="1"/>
  <c r="S633" i="1" a="1"/>
  <c r="S633" i="1" s="1"/>
  <c r="Q633" i="1" s="1" a="1"/>
  <c r="Q633" i="1" s="1"/>
  <c r="S54" i="1" a="1"/>
  <c r="S54" i="1" s="1"/>
  <c r="Q54" i="1" s="1" a="1"/>
  <c r="Q54" i="1" s="1"/>
  <c r="S661" i="1" a="1"/>
  <c r="S661" i="1" s="1"/>
  <c r="Q661" i="1" s="1" a="1"/>
  <c r="Q661" i="1" s="1"/>
  <c r="S765" i="1" a="1"/>
  <c r="S765" i="1" s="1"/>
  <c r="Q765" i="1" s="1" a="1"/>
  <c r="Q765" i="1" s="1"/>
  <c r="S293" i="1" a="1"/>
  <c r="S293" i="1" s="1"/>
  <c r="Q293" i="1" s="1" a="1"/>
  <c r="Q293" i="1" s="1"/>
  <c r="U293" i="1" s="1"/>
  <c r="S757" i="1" a="1"/>
  <c r="S757" i="1" s="1"/>
  <c r="Q757" i="1" s="1" a="1"/>
  <c r="Q757" i="1" s="1"/>
  <c r="R78" i="1" a="1"/>
  <c r="R78" i="1" s="1"/>
  <c r="P78" i="1" s="1" a="1"/>
  <c r="P78" i="1" s="1"/>
  <c r="R51" i="1" a="1"/>
  <c r="R51" i="1" s="1"/>
  <c r="P51" i="1" s="1" a="1"/>
  <c r="P51" i="1" s="1"/>
  <c r="R34" i="1" a="1"/>
  <c r="R34" i="1" s="1"/>
  <c r="S320" i="1" a="1"/>
  <c r="S320" i="1" s="1"/>
  <c r="Q320" i="1" s="1" a="1"/>
  <c r="Q320" i="1" s="1"/>
  <c r="U320" i="1" s="1"/>
  <c r="R262" i="1" a="1"/>
  <c r="R262" i="1" s="1"/>
  <c r="P262" i="1" s="1" a="1"/>
  <c r="P262" i="1" s="1"/>
  <c r="S783" i="1" a="1"/>
  <c r="S783" i="1" s="1"/>
  <c r="Q783" i="1" s="1" a="1"/>
  <c r="Q783" i="1" s="1"/>
  <c r="R60" i="1" a="1"/>
  <c r="R60" i="1" s="1"/>
  <c r="P60" i="1" s="1" a="1"/>
  <c r="P60" i="1" s="1"/>
  <c r="R653" i="1" a="1"/>
  <c r="R653" i="1" s="1"/>
  <c r="P653" i="1" s="1" a="1"/>
  <c r="P653" i="1" s="1"/>
  <c r="S155" i="1" a="1"/>
  <c r="S155" i="1" s="1"/>
  <c r="Q155" i="1" s="1" a="1"/>
  <c r="Q155" i="1" s="1"/>
  <c r="R153" i="1" a="1"/>
  <c r="R153" i="1" s="1"/>
  <c r="P153" i="1" s="1" a="1"/>
  <c r="P153" i="1" s="1"/>
  <c r="S329" i="1" a="1"/>
  <c r="S329" i="1" s="1"/>
  <c r="Q329" i="1" s="1" a="1"/>
  <c r="Q329" i="1" s="1"/>
  <c r="U329" i="1" s="1"/>
  <c r="S752" i="1" a="1"/>
  <c r="S752" i="1" s="1"/>
  <c r="Q752" i="1" s="1" a="1"/>
  <c r="Q752" i="1" s="1"/>
  <c r="R728" i="1" a="1"/>
  <c r="R728" i="1" s="1"/>
  <c r="P728" i="1" s="1" a="1"/>
  <c r="P728" i="1" s="1"/>
  <c r="S175" i="1" a="1"/>
  <c r="S175" i="1" s="1"/>
  <c r="Q175" i="1" s="1" a="1"/>
  <c r="Q175" i="1" s="1"/>
  <c r="S187" i="1" a="1"/>
  <c r="S187" i="1" s="1"/>
  <c r="Q187" i="1" s="1" a="1"/>
  <c r="Q187" i="1" s="1"/>
  <c r="R289" i="1" a="1"/>
  <c r="R289" i="1" s="1"/>
  <c r="P289" i="1" s="1" a="1"/>
  <c r="P289" i="1" s="1"/>
  <c r="S705" i="1" a="1"/>
  <c r="S705" i="1" s="1"/>
  <c r="Q705" i="1" s="1" a="1"/>
  <c r="Q705" i="1" s="1"/>
  <c r="S307" i="1" a="1"/>
  <c r="S307" i="1" s="1"/>
  <c r="Q307" i="1" s="1" a="1"/>
  <c r="Q307" i="1" s="1"/>
  <c r="R615" i="1" a="1"/>
  <c r="R615" i="1" s="1"/>
  <c r="P615" i="1" s="1" a="1"/>
  <c r="P615" i="1" s="1"/>
  <c r="S777" i="1" a="1"/>
  <c r="S777" i="1" s="1"/>
  <c r="Q777" i="1" s="1" a="1"/>
  <c r="Q777" i="1" s="1"/>
  <c r="R263" i="1" a="1"/>
  <c r="R263" i="1" s="1"/>
  <c r="P263" i="1" s="1" a="1"/>
  <c r="P263" i="1" s="1"/>
  <c r="S124" i="1" a="1"/>
  <c r="S124" i="1" s="1"/>
  <c r="Q124" i="1" s="1" a="1"/>
  <c r="Q124" i="1" s="1"/>
  <c r="S43" i="1" a="1"/>
  <c r="S43" i="1" s="1"/>
  <c r="Q43" i="1" s="1" a="1"/>
  <c r="Q43" i="1" s="1"/>
  <c r="R83" i="1" a="1"/>
  <c r="R83" i="1" s="1"/>
  <c r="P83" i="1" s="1" a="1"/>
  <c r="P83" i="1" s="1"/>
  <c r="R659" i="1" a="1"/>
  <c r="R659" i="1" s="1"/>
  <c r="P659" i="1" s="1" a="1"/>
  <c r="P659" i="1" s="1"/>
  <c r="R747" i="1" a="1"/>
  <c r="R747" i="1" s="1"/>
  <c r="P747" i="1" s="1" a="1"/>
  <c r="P747" i="1" s="1"/>
  <c r="S181" i="1" a="1"/>
  <c r="S181" i="1" s="1"/>
  <c r="Q181" i="1" s="1" a="1"/>
  <c r="Q181" i="1" s="1"/>
  <c r="S161" i="1" a="1"/>
  <c r="S161" i="1" s="1"/>
  <c r="Q161" i="1" s="1" a="1"/>
  <c r="Q161" i="1" s="1"/>
  <c r="S268" i="1" a="1"/>
  <c r="S268" i="1" s="1"/>
  <c r="Q268" i="1" s="1" a="1"/>
  <c r="Q268" i="1" s="1"/>
  <c r="S711" i="1" a="1"/>
  <c r="S711" i="1" s="1"/>
  <c r="Q711" i="1" s="1" a="1"/>
  <c r="Q711" i="1" s="1"/>
  <c r="R634" i="1" a="1"/>
  <c r="R634" i="1" s="1"/>
  <c r="P634" i="1" s="1" a="1"/>
  <c r="P634" i="1" s="1"/>
  <c r="R225" i="1" a="1"/>
  <c r="R225" i="1" s="1"/>
  <c r="P225" i="1" s="1" a="1"/>
  <c r="P225" i="1" s="1"/>
  <c r="S133" i="1" a="1"/>
  <c r="S133" i="1" s="1"/>
  <c r="Q133" i="1" s="1" a="1"/>
  <c r="Q133" i="1" s="1"/>
  <c r="R84" i="1" a="1"/>
  <c r="R84" i="1" s="1"/>
  <c r="P84" i="1" s="1" a="1"/>
  <c r="P84" i="1" s="1"/>
  <c r="R154" i="1" a="1"/>
  <c r="R154" i="1" s="1"/>
  <c r="P154" i="1" s="1" a="1"/>
  <c r="P154" i="1" s="1"/>
  <c r="R317" i="1" a="1"/>
  <c r="R317" i="1" s="1"/>
  <c r="P317" i="1" s="1" a="1"/>
  <c r="P317" i="1" s="1"/>
  <c r="S92" i="1" a="1"/>
  <c r="S92" i="1" s="1"/>
  <c r="Q92" i="1" s="1" a="1"/>
  <c r="Q92" i="1" s="1"/>
  <c r="S787" i="1" a="1"/>
  <c r="S787" i="1" s="1"/>
  <c r="Q787" i="1" s="1" a="1"/>
  <c r="Q787" i="1" s="1"/>
  <c r="R267" i="1" a="1"/>
  <c r="R267" i="1" s="1"/>
  <c r="P267" i="1" s="1" a="1"/>
  <c r="P267" i="1" s="1"/>
  <c r="R208" i="1" a="1"/>
  <c r="R208" i="1" s="1"/>
  <c r="P208" i="1" s="1" a="1"/>
  <c r="P208" i="1" s="1"/>
  <c r="S69" i="1" a="1"/>
  <c r="S69" i="1" s="1"/>
  <c r="Q69" i="1" s="1" a="1"/>
  <c r="Q69" i="1" s="1"/>
  <c r="R318" i="1" a="1"/>
  <c r="R318" i="1" s="1"/>
  <c r="P318" i="1" s="1" a="1"/>
  <c r="P318" i="1" s="1"/>
  <c r="S148" i="1" a="1"/>
  <c r="S148" i="1" s="1"/>
  <c r="Q148" i="1" s="1" a="1"/>
  <c r="Q148" i="1" s="1"/>
  <c r="R691" i="1" a="1"/>
  <c r="R691" i="1" s="1"/>
  <c r="P691" i="1" s="1" a="1"/>
  <c r="P691" i="1" s="1"/>
  <c r="R662" i="1" a="1"/>
  <c r="R662" i="1" s="1"/>
  <c r="P662" i="1" s="1" a="1"/>
  <c r="P662" i="1" s="1"/>
  <c r="S208" i="1" a="1"/>
  <c r="S208" i="1" s="1"/>
  <c r="Q208" i="1" s="1" a="1"/>
  <c r="Q208" i="1" s="1"/>
  <c r="R77" i="1" a="1"/>
  <c r="R77" i="1" s="1"/>
  <c r="R298" i="1" a="1"/>
  <c r="R298" i="1" s="1"/>
  <c r="P298" i="1" s="1" a="1"/>
  <c r="P298" i="1" s="1"/>
  <c r="S129" i="1" a="1"/>
  <c r="S129" i="1" s="1"/>
  <c r="Q129" i="1" s="1" a="1"/>
  <c r="Q129" i="1" s="1"/>
  <c r="R726" i="1" a="1"/>
  <c r="R726" i="1" s="1"/>
  <c r="P726" i="1" s="1" a="1"/>
  <c r="P726" i="1" s="1"/>
  <c r="R624" i="1" a="1"/>
  <c r="R624" i="1" s="1"/>
  <c r="P624" i="1" s="1" a="1"/>
  <c r="P624" i="1" s="1"/>
  <c r="R880" i="1" a="1"/>
  <c r="R880" i="1" s="1"/>
  <c r="P880" i="1" s="1" a="1"/>
  <c r="P880" i="1" s="1"/>
  <c r="S173" i="1" a="1"/>
  <c r="S173" i="1" s="1"/>
  <c r="Q173" i="1" s="1" a="1"/>
  <c r="Q173" i="1" s="1"/>
  <c r="R247" i="1" a="1"/>
  <c r="R247" i="1" s="1"/>
  <c r="P247" i="1" s="1" a="1"/>
  <c r="P247" i="1" s="1"/>
  <c r="S141" i="1" a="1"/>
  <c r="S141" i="1" s="1"/>
  <c r="Q141" i="1" s="1" a="1"/>
  <c r="Q141" i="1" s="1"/>
  <c r="S321" i="1" a="1"/>
  <c r="S321" i="1" s="1"/>
  <c r="Q321" i="1" s="1" a="1"/>
  <c r="Q321" i="1" s="1"/>
  <c r="S261" i="1" a="1"/>
  <c r="S261" i="1" s="1"/>
  <c r="Q261" i="1" s="1" a="1"/>
  <c r="Q261" i="1" s="1"/>
  <c r="S314" i="1" a="1"/>
  <c r="S314" i="1" s="1"/>
  <c r="Q314" i="1" s="1" a="1"/>
  <c r="Q314" i="1" s="1"/>
  <c r="S730" i="1" a="1"/>
  <c r="S730" i="1" s="1"/>
  <c r="Q730" i="1" s="1" a="1"/>
  <c r="Q730" i="1" s="1"/>
  <c r="R235" i="1" a="1"/>
  <c r="R235" i="1" s="1"/>
  <c r="P235" i="1" s="1" a="1"/>
  <c r="P235" i="1" s="1"/>
  <c r="R306" i="1" a="1"/>
  <c r="R306" i="1" s="1"/>
  <c r="P306" i="1" s="1" a="1"/>
  <c r="P306" i="1" s="1"/>
  <c r="S131" i="1" a="1"/>
  <c r="S131" i="1" s="1"/>
  <c r="Q131" i="1" s="1" a="1"/>
  <c r="Q131" i="1" s="1"/>
  <c r="R783" i="1" a="1"/>
  <c r="R783" i="1" s="1"/>
  <c r="P783" i="1" s="1" a="1"/>
  <c r="P783" i="1" s="1"/>
  <c r="R160" i="1" a="1"/>
  <c r="R160" i="1" s="1"/>
  <c r="P160" i="1" s="1" a="1"/>
  <c r="P160" i="1" s="1"/>
  <c r="R324" i="1" a="1"/>
  <c r="R324" i="1" s="1"/>
  <c r="P324" i="1" s="1" a="1"/>
  <c r="P324" i="1" s="1"/>
  <c r="R643" i="1" a="1"/>
  <c r="R643" i="1" s="1"/>
  <c r="P643" i="1" s="1" a="1"/>
  <c r="P643" i="1" s="1"/>
  <c r="S151" i="1" a="1"/>
  <c r="S151" i="1" s="1"/>
  <c r="Q151" i="1" s="1" a="1"/>
  <c r="Q151" i="1" s="1"/>
  <c r="S606" i="1" a="1"/>
  <c r="S606" i="1" s="1"/>
  <c r="Q606" i="1" s="1" a="1"/>
  <c r="Q606" i="1" s="1"/>
  <c r="S111" i="1" a="1"/>
  <c r="S111" i="1" s="1"/>
  <c r="Q111" i="1" s="1" a="1"/>
  <c r="Q111" i="1" s="1"/>
  <c r="S308" i="1" a="1"/>
  <c r="S308" i="1" s="1"/>
  <c r="Q308" i="1" s="1" a="1"/>
  <c r="Q308" i="1" s="1"/>
  <c r="S223" i="1" a="1"/>
  <c r="S223" i="1" s="1"/>
  <c r="Q223" i="1" s="1" a="1"/>
  <c r="Q223" i="1" s="1"/>
  <c r="S301" i="1" a="1"/>
  <c r="S301" i="1" s="1"/>
  <c r="Q301" i="1" s="1" a="1"/>
  <c r="Q301" i="1" s="1"/>
  <c r="S743" i="1" a="1"/>
  <c r="S743" i="1" s="1"/>
  <c r="Q743" i="1" s="1" a="1"/>
  <c r="Q743" i="1" s="1"/>
  <c r="R163" i="1" a="1"/>
  <c r="R163" i="1" s="1"/>
  <c r="P163" i="1" s="1" a="1"/>
  <c r="P163" i="1" s="1"/>
  <c r="R674" i="1" a="1"/>
  <c r="R674" i="1" s="1"/>
  <c r="P674" i="1" s="1" a="1"/>
  <c r="P674" i="1" s="1"/>
  <c r="R190" i="1" a="1"/>
  <c r="R190" i="1" s="1"/>
  <c r="P190" i="1" s="1" a="1"/>
  <c r="P190" i="1" s="1"/>
  <c r="R287" i="1" a="1"/>
  <c r="R287" i="1" s="1"/>
  <c r="P287" i="1" s="1" a="1"/>
  <c r="P287" i="1" s="1"/>
  <c r="R284" i="1" a="1"/>
  <c r="R284" i="1" s="1"/>
  <c r="R61" i="1" a="1"/>
  <c r="R61" i="1" s="1"/>
  <c r="P61" i="1" s="1" a="1"/>
  <c r="P61" i="1" s="1"/>
  <c r="R167" i="1" a="1"/>
  <c r="R167" i="1" s="1"/>
  <c r="P167" i="1" s="1" a="1"/>
  <c r="P167" i="1" s="1"/>
  <c r="S258" i="1" a="1"/>
  <c r="S258" i="1" s="1"/>
  <c r="Q258" i="1" s="1" a="1"/>
  <c r="Q258" i="1" s="1"/>
  <c r="R664" i="1" a="1"/>
  <c r="R664" i="1" s="1"/>
  <c r="P664" i="1" s="1" a="1"/>
  <c r="P664" i="1" s="1"/>
  <c r="S128" i="1" a="1"/>
  <c r="S128" i="1" s="1"/>
  <c r="Q128" i="1" s="1" a="1"/>
  <c r="Q128" i="1" s="1"/>
  <c r="S625" i="1" a="1"/>
  <c r="S625" i="1" s="1"/>
  <c r="Q625" i="1" s="1" a="1"/>
  <c r="Q625" i="1" s="1"/>
  <c r="S613" i="1" a="1"/>
  <c r="S613" i="1" s="1"/>
  <c r="Q613" i="1" s="1" a="1"/>
  <c r="Q613" i="1" s="1"/>
  <c r="S289" i="1" a="1"/>
  <c r="S289" i="1" s="1"/>
  <c r="Q289" i="1" s="1" a="1"/>
  <c r="Q289" i="1" s="1"/>
  <c r="S206" i="1" a="1"/>
  <c r="S206" i="1" s="1"/>
  <c r="Q206" i="1" s="1" a="1"/>
  <c r="Q206" i="1" s="1"/>
  <c r="S295" i="1" a="1"/>
  <c r="S295" i="1" s="1"/>
  <c r="Q295" i="1" s="1" a="1"/>
  <c r="Q295" i="1" s="1"/>
  <c r="S782" i="1" a="1"/>
  <c r="S782" i="1" s="1"/>
  <c r="Q782" i="1" s="1" a="1"/>
  <c r="Q782" i="1" s="1"/>
  <c r="R81" i="1" a="1"/>
  <c r="R81" i="1" s="1"/>
  <c r="P81" i="1" s="1" a="1"/>
  <c r="P81" i="1" s="1"/>
  <c r="R706" i="1" a="1"/>
  <c r="R706" i="1" s="1"/>
  <c r="P706" i="1" s="1" a="1"/>
  <c r="P706" i="1" s="1"/>
  <c r="R319" i="1" a="1"/>
  <c r="R319" i="1" s="1"/>
  <c r="P319" i="1" s="1" a="1"/>
  <c r="P319" i="1" s="1"/>
  <c r="R138" i="1" a="1"/>
  <c r="R138" i="1" s="1"/>
  <c r="P138" i="1" s="1" a="1"/>
  <c r="P138" i="1" s="1"/>
  <c r="S225" i="1" a="1"/>
  <c r="S225" i="1" s="1"/>
  <c r="Q225" i="1" s="1" a="1"/>
  <c r="Q225" i="1" s="1"/>
  <c r="S275" i="1" a="1"/>
  <c r="S275" i="1" s="1"/>
  <c r="Q275" i="1" s="1" a="1"/>
  <c r="Q275" i="1" s="1"/>
  <c r="U275" i="1" s="1"/>
  <c r="R123" i="1" a="1"/>
  <c r="R123" i="1" s="1"/>
  <c r="P123" i="1" s="1" a="1"/>
  <c r="P123" i="1" s="1"/>
  <c r="S265" i="1" a="1"/>
  <c r="S265" i="1" s="1"/>
  <c r="Q265" i="1" s="1" a="1"/>
  <c r="Q265" i="1" s="1"/>
  <c r="R683" i="1" a="1"/>
  <c r="R683" i="1" s="1"/>
  <c r="P683" i="1" s="1" a="1"/>
  <c r="P683" i="1" s="1"/>
  <c r="S619" i="1" a="1"/>
  <c r="S619" i="1" s="1"/>
  <c r="Q619" i="1" s="1" a="1"/>
  <c r="Q619" i="1" s="1"/>
  <c r="U619" i="1" s="1"/>
  <c r="R268" i="1" a="1"/>
  <c r="R268" i="1" s="1"/>
  <c r="P268" i="1" s="1" a="1"/>
  <c r="P268" i="1" s="1"/>
  <c r="R249" i="1" a="1"/>
  <c r="R249" i="1" s="1"/>
  <c r="P249" i="1" s="1" a="1"/>
  <c r="P249" i="1" s="1"/>
  <c r="S788" i="1" a="1"/>
  <c r="S788" i="1" s="1"/>
  <c r="Q788" i="1" s="1" a="1"/>
  <c r="Q788" i="1" s="1"/>
  <c r="R313" i="1" a="1"/>
  <c r="R313" i="1" s="1"/>
  <c r="P313" i="1" s="1" a="1"/>
  <c r="P313" i="1" s="1"/>
  <c r="R144" i="1" a="1"/>
  <c r="R144" i="1" s="1"/>
  <c r="P144" i="1" s="1" a="1"/>
  <c r="P144" i="1" s="1"/>
  <c r="S158" i="1" a="1"/>
  <c r="S158" i="1" s="1"/>
  <c r="Q158" i="1" s="1" a="1"/>
  <c r="Q158" i="1" s="1"/>
  <c r="R107" i="1" a="1"/>
  <c r="R107" i="1" s="1"/>
  <c r="P107" i="1" s="1" a="1"/>
  <c r="P107" i="1" s="1"/>
  <c r="R300" i="1" a="1"/>
  <c r="R300" i="1" s="1"/>
  <c r="P300" i="1" s="1" a="1"/>
  <c r="P300" i="1" s="1"/>
  <c r="S132" i="1" a="1"/>
  <c r="S132" i="1" s="1"/>
  <c r="Q132" i="1" s="1" a="1"/>
  <c r="Q132" i="1" s="1"/>
  <c r="R595" i="1" a="1"/>
  <c r="R595" i="1" s="1"/>
  <c r="P595" i="1" s="1" a="1"/>
  <c r="P595" i="1" s="1"/>
  <c r="R133" i="1" a="1"/>
  <c r="R133" i="1" s="1"/>
  <c r="P133" i="1" s="1" a="1"/>
  <c r="P133" i="1" s="1"/>
  <c r="S313" i="1" a="1"/>
  <c r="S313" i="1" s="1"/>
  <c r="Q313" i="1" s="1" a="1"/>
  <c r="Q313" i="1" s="1"/>
  <c r="R42" i="1" a="1"/>
  <c r="R42" i="1" s="1"/>
  <c r="P42" i="1" s="1" a="1"/>
  <c r="P42" i="1" s="1"/>
  <c r="R326" i="1" a="1"/>
  <c r="R326" i="1" s="1"/>
  <c r="P326" i="1" s="1" a="1"/>
  <c r="P326" i="1" s="1"/>
  <c r="S272" i="1" a="1"/>
  <c r="S272" i="1" s="1"/>
  <c r="Q272" i="1" s="1" a="1"/>
  <c r="Q272" i="1" s="1"/>
  <c r="S78" i="1" a="1"/>
  <c r="S78" i="1" s="1"/>
  <c r="Q78" i="1" s="1" a="1"/>
  <c r="Q78" i="1" s="1"/>
  <c r="R661" i="1" a="1"/>
  <c r="R661" i="1" s="1"/>
  <c r="P661" i="1" s="1" a="1"/>
  <c r="P661" i="1" s="1"/>
  <c r="S255" i="1" a="1"/>
  <c r="S255" i="1" s="1"/>
  <c r="Q255" i="1" s="1" a="1"/>
  <c r="Q255" i="1" s="1"/>
  <c r="S312" i="1" a="1"/>
  <c r="S312" i="1" s="1"/>
  <c r="Q312" i="1" s="1" a="1"/>
  <c r="Q312" i="1" s="1"/>
  <c r="S264" i="1" a="1"/>
  <c r="S264" i="1" s="1"/>
  <c r="Q264" i="1" s="1" a="1"/>
  <c r="Q264" i="1" s="1"/>
  <c r="R887" i="1" a="1"/>
  <c r="R887" i="1" s="1"/>
  <c r="P887" i="1" s="1" a="1"/>
  <c r="P887" i="1" s="1"/>
  <c r="S134" i="1" a="1"/>
  <c r="S134" i="1" s="1"/>
  <c r="Q134" i="1" s="1" a="1"/>
  <c r="Q134" i="1" s="1"/>
  <c r="S638" i="1" a="1"/>
  <c r="S638" i="1" s="1"/>
  <c r="Q638" i="1" s="1" a="1"/>
  <c r="Q638" i="1" s="1"/>
  <c r="S212" i="1" a="1"/>
  <c r="S212" i="1" s="1"/>
  <c r="Q212" i="1" s="1" a="1"/>
  <c r="Q212" i="1" s="1"/>
  <c r="R712" i="1" a="1"/>
  <c r="R712" i="1" s="1"/>
  <c r="P712" i="1" s="1" a="1"/>
  <c r="P712" i="1" s="1"/>
  <c r="S86" i="1" a="1"/>
  <c r="S86" i="1" s="1"/>
  <c r="Q86" i="1" s="1" a="1"/>
  <c r="Q86" i="1" s="1"/>
  <c r="U86" i="1" s="1"/>
  <c r="S213" i="1" a="1"/>
  <c r="S213" i="1" s="1"/>
  <c r="S299" i="1" a="1"/>
  <c r="S299" i="1" s="1"/>
  <c r="Q299" i="1" s="1" a="1"/>
  <c r="Q299" i="1" s="1"/>
  <c r="S237" i="1" a="1"/>
  <c r="S237" i="1" s="1"/>
  <c r="Q237" i="1" s="1" a="1"/>
  <c r="Q237" i="1" s="1"/>
  <c r="R696" i="1" a="1"/>
  <c r="R696" i="1" s="1"/>
  <c r="P696" i="1" s="1" a="1"/>
  <c r="P696" i="1" s="1"/>
  <c r="S612" i="1" a="1"/>
  <c r="S612" i="1" s="1"/>
  <c r="Q612" i="1" s="1" a="1"/>
  <c r="Q612" i="1" s="1"/>
  <c r="S72" i="1" a="1"/>
  <c r="S72" i="1" s="1"/>
  <c r="Q72" i="1" s="1" a="1"/>
  <c r="Q72" i="1" s="1"/>
  <c r="S644" i="1" a="1"/>
  <c r="S644" i="1" s="1"/>
  <c r="Q644" i="1" s="1" a="1"/>
  <c r="Q644" i="1" s="1"/>
  <c r="S651" i="1" a="1"/>
  <c r="S651" i="1" s="1"/>
  <c r="Q651" i="1" s="1" a="1"/>
  <c r="Q651" i="1" s="1"/>
  <c r="R274" i="1" a="1"/>
  <c r="R274" i="1" s="1"/>
  <c r="P274" i="1" s="1" a="1"/>
  <c r="P274" i="1" s="1"/>
  <c r="S142" i="1" a="1"/>
  <c r="S142" i="1" s="1"/>
  <c r="Q142" i="1" s="1" a="1"/>
  <c r="Q142" i="1" s="1"/>
  <c r="R255" i="1" a="1"/>
  <c r="R255" i="1" s="1"/>
  <c r="P255" i="1" s="1" a="1"/>
  <c r="P255" i="1" s="1"/>
  <c r="R602" i="1" a="1"/>
  <c r="R602" i="1" s="1"/>
  <c r="P602" i="1" s="1" a="1"/>
  <c r="P602" i="1" s="1"/>
  <c r="R744" i="1" a="1"/>
  <c r="R744" i="1" s="1"/>
  <c r="P744" i="1" s="1" a="1"/>
  <c r="P744" i="1" s="1"/>
  <c r="R82" i="1" a="1"/>
  <c r="R82" i="1" s="1"/>
  <c r="P82" i="1" s="1" a="1"/>
  <c r="P82" i="1" s="1"/>
  <c r="R283" i="1" a="1"/>
  <c r="R283" i="1" s="1"/>
  <c r="P283" i="1" s="1" a="1"/>
  <c r="P283" i="1" s="1"/>
  <c r="S165" i="1" a="1"/>
  <c r="S165" i="1" s="1"/>
  <c r="Q165" i="1" s="1" a="1"/>
  <c r="Q165" i="1" s="1"/>
  <c r="U165" i="1" s="1"/>
  <c r="R715" i="1" a="1"/>
  <c r="R715" i="1" s="1"/>
  <c r="P715" i="1" s="1" a="1"/>
  <c r="P715" i="1" s="1"/>
  <c r="S618" i="1" a="1"/>
  <c r="S618" i="1" s="1"/>
  <c r="Q618" i="1" s="1" a="1"/>
  <c r="Q618" i="1" s="1"/>
  <c r="S91" i="1" a="1"/>
  <c r="S91" i="1" s="1"/>
  <c r="Q91" i="1" s="1" a="1"/>
  <c r="Q91" i="1" s="1"/>
  <c r="S658" i="1" a="1"/>
  <c r="S658" i="1" s="1"/>
  <c r="Q658" i="1" s="1" a="1"/>
  <c r="Q658" i="1" s="1"/>
  <c r="S672" i="1" a="1"/>
  <c r="S672" i="1" s="1"/>
  <c r="Q672" i="1" s="1" a="1"/>
  <c r="Q672" i="1" s="1"/>
  <c r="R248" i="1" a="1"/>
  <c r="R248" i="1" s="1"/>
  <c r="S112" i="1" a="1"/>
  <c r="S112" i="1" s="1"/>
  <c r="Q112" i="1" s="1" a="1"/>
  <c r="Q112" i="1" s="1"/>
  <c r="R229" i="1" a="1"/>
  <c r="R229" i="1" s="1"/>
  <c r="P229" i="1" s="1" a="1"/>
  <c r="P229" i="1" s="1"/>
  <c r="R608" i="1" a="1"/>
  <c r="R608" i="1" s="1"/>
  <c r="P608" i="1" s="1" a="1"/>
  <c r="P608" i="1" s="1"/>
  <c r="R765" i="1" a="1"/>
  <c r="R765" i="1" s="1"/>
  <c r="P765" i="1" s="1" a="1"/>
  <c r="P765" i="1" s="1"/>
  <c r="R294" i="1" a="1"/>
  <c r="R294" i="1" s="1"/>
  <c r="P294" i="1" s="1" a="1"/>
  <c r="P294" i="1" s="1"/>
  <c r="R43" i="1" a="1"/>
  <c r="R43" i="1" s="1"/>
  <c r="P43" i="1" s="1" a="1"/>
  <c r="P43" i="1" s="1"/>
  <c r="R109" i="1" a="1"/>
  <c r="R109" i="1" s="1"/>
  <c r="P109" i="1" s="1" a="1"/>
  <c r="P109" i="1" s="1"/>
  <c r="S750" i="1" a="1"/>
  <c r="S750" i="1" s="1"/>
  <c r="Q750" i="1" s="1" a="1"/>
  <c r="Q750" i="1" s="1"/>
  <c r="R121" i="1" a="1"/>
  <c r="R121" i="1" s="1"/>
  <c r="P121" i="1" s="1" a="1"/>
  <c r="P121" i="1" s="1"/>
  <c r="S83" i="1" a="1"/>
  <c r="S83" i="1" s="1"/>
  <c r="Q83" i="1" s="1" a="1"/>
  <c r="Q83" i="1" s="1"/>
  <c r="S631" i="1" a="1"/>
  <c r="S631" i="1" s="1"/>
  <c r="Q631" i="1" s="1" a="1"/>
  <c r="Q631" i="1" s="1"/>
  <c r="S39" i="1" a="1"/>
  <c r="S39" i="1" s="1"/>
  <c r="Q39" i="1" s="1" a="1"/>
  <c r="Q39" i="1" s="1"/>
  <c r="S678" i="1" a="1"/>
  <c r="S678" i="1" s="1"/>
  <c r="Q678" i="1" s="1" a="1"/>
  <c r="Q678" i="1" s="1"/>
  <c r="S723" i="1" a="1"/>
  <c r="S723" i="1" s="1"/>
  <c r="Q723" i="1" s="1" a="1"/>
  <c r="Q723" i="1" s="1"/>
  <c r="R261" i="1" a="1"/>
  <c r="R261" i="1" s="1"/>
  <c r="P261" i="1" s="1" a="1"/>
  <c r="P261" i="1" s="1"/>
  <c r="S80" i="1" a="1"/>
  <c r="S80" i="1" s="1"/>
  <c r="Q80" i="1" s="1" a="1"/>
  <c r="Q80" i="1" s="1"/>
  <c r="R200" i="1" a="1"/>
  <c r="R200" i="1" s="1"/>
  <c r="P200" i="1" s="1" a="1"/>
  <c r="P200" i="1" s="1"/>
  <c r="R320" i="1" a="1"/>
  <c r="R320" i="1" s="1"/>
  <c r="P320" i="1" s="1" a="1"/>
  <c r="P320" i="1" s="1"/>
  <c r="T320" i="1" s="1"/>
  <c r="R646" i="1" a="1"/>
  <c r="R646" i="1" s="1"/>
  <c r="P646" i="1" s="1" a="1"/>
  <c r="P646" i="1" s="1"/>
  <c r="T646" i="1" s="1"/>
  <c r="R777" i="1" a="1"/>
  <c r="R777" i="1" s="1"/>
  <c r="P777" i="1" s="1" a="1"/>
  <c r="P777" i="1" s="1"/>
  <c r="S256" i="1" a="1"/>
  <c r="S256" i="1" s="1"/>
  <c r="Q256" i="1" s="1" a="1"/>
  <c r="Q256" i="1" s="1"/>
  <c r="R49" i="1" a="1"/>
  <c r="R49" i="1" s="1"/>
  <c r="P49" i="1" s="1" a="1"/>
  <c r="P49" i="1" s="1"/>
  <c r="R142" i="1" a="1"/>
  <c r="R142" i="1" s="1"/>
  <c r="P142" i="1" s="1" a="1"/>
  <c r="P142" i="1" s="1"/>
  <c r="R173" i="1" a="1"/>
  <c r="R173" i="1" s="1"/>
  <c r="P173" i="1" s="1" a="1"/>
  <c r="P173" i="1" s="1"/>
  <c r="R56" i="1" a="1"/>
  <c r="R56" i="1" s="1"/>
  <c r="P56" i="1" s="1" a="1"/>
  <c r="P56" i="1" s="1"/>
  <c r="S50" i="1" a="1"/>
  <c r="S50" i="1" s="1"/>
  <c r="Q50" i="1" s="1" a="1"/>
  <c r="Q50" i="1" s="1"/>
  <c r="U50" i="1" s="1"/>
  <c r="S637" i="1" a="1"/>
  <c r="S637" i="1" s="1"/>
  <c r="Q637" i="1" s="1" a="1"/>
  <c r="Q637" i="1" s="1"/>
  <c r="U637" i="1" s="1"/>
  <c r="S52" i="1" a="1"/>
  <c r="S52" i="1" s="1"/>
  <c r="Q52" i="1" s="1" a="1"/>
  <c r="Q52" i="1" s="1"/>
  <c r="S684" i="1" a="1"/>
  <c r="S684" i="1" s="1"/>
  <c r="Q684" i="1" s="1" a="1"/>
  <c r="Q684" i="1" s="1"/>
  <c r="S729" i="1" a="1"/>
  <c r="S729" i="1" s="1"/>
  <c r="Q729" i="1" s="1" a="1"/>
  <c r="Q729" i="1" s="1"/>
  <c r="R223" i="1" a="1"/>
  <c r="R223" i="1" s="1"/>
  <c r="P223" i="1" s="1" a="1"/>
  <c r="P223" i="1" s="1"/>
  <c r="R293" i="1" a="1"/>
  <c r="R293" i="1" s="1"/>
  <c r="P293" i="1" s="1" a="1"/>
  <c r="P293" i="1" s="1"/>
  <c r="T293" i="1" s="1"/>
  <c r="S269" i="1" a="1"/>
  <c r="S269" i="1" s="1"/>
  <c r="Q269" i="1" s="1" a="1"/>
  <c r="Q269" i="1" s="1"/>
  <c r="S688" i="1" a="1"/>
  <c r="S688" i="1" s="1"/>
  <c r="Q688" i="1" s="1" a="1"/>
  <c r="Q688" i="1" s="1"/>
  <c r="R611" i="1" a="1"/>
  <c r="R611" i="1" s="1"/>
  <c r="P611" i="1" s="1" a="1"/>
  <c r="P611" i="1" s="1"/>
  <c r="S597" i="1" a="1"/>
  <c r="S597" i="1" s="1"/>
  <c r="Q597" i="1" s="1" a="1"/>
  <c r="Q597" i="1" s="1"/>
  <c r="S671" i="1" a="1"/>
  <c r="S671" i="1" s="1"/>
  <c r="Q671" i="1" s="1" a="1"/>
  <c r="Q671" i="1" s="1"/>
  <c r="S290" i="1" a="1"/>
  <c r="S290" i="1" s="1"/>
  <c r="Q290" i="1" s="1" a="1"/>
  <c r="Q290" i="1" s="1"/>
  <c r="S697" i="1" a="1"/>
  <c r="S697" i="1" s="1"/>
  <c r="Q697" i="1" s="1" a="1"/>
  <c r="Q697" i="1" s="1"/>
  <c r="S762" i="1" a="1"/>
  <c r="S762" i="1" s="1"/>
  <c r="Q762" i="1" s="1" a="1"/>
  <c r="Q762" i="1" s="1"/>
  <c r="R234" i="1" a="1"/>
  <c r="R234" i="1" s="1"/>
  <c r="P234" i="1" s="1" a="1"/>
  <c r="P234" i="1" s="1"/>
  <c r="S47" i="1" a="1"/>
  <c r="S47" i="1" s="1"/>
  <c r="Q47" i="1" s="1" a="1"/>
  <c r="Q47" i="1" s="1"/>
  <c r="R130" i="1" a="1"/>
  <c r="R130" i="1" s="1"/>
  <c r="P130" i="1" s="1" a="1"/>
  <c r="P130" i="1" s="1"/>
  <c r="R301" i="1" a="1"/>
  <c r="R301" i="1" s="1"/>
  <c r="P301" i="1" s="1" a="1"/>
  <c r="P301" i="1" s="1"/>
  <c r="R680" i="1" a="1"/>
  <c r="R680" i="1" s="1"/>
  <c r="P680" i="1" s="1" a="1"/>
  <c r="P680" i="1" s="1"/>
  <c r="R609" i="1" a="1"/>
  <c r="R609" i="1" s="1"/>
  <c r="P609" i="1" s="1" a="1"/>
  <c r="P609" i="1" s="1"/>
  <c r="S270" i="1" a="1"/>
  <c r="S270" i="1" s="1"/>
  <c r="Q270" i="1" s="1" a="1"/>
  <c r="Q270" i="1" s="1"/>
  <c r="R201" i="1" a="1"/>
  <c r="R201" i="1" s="1"/>
  <c r="P201" i="1" s="1" a="1"/>
  <c r="P201" i="1" s="1"/>
  <c r="S160" i="1" a="1"/>
  <c r="S160" i="1" s="1"/>
  <c r="Q160" i="1" s="1" a="1"/>
  <c r="Q160" i="1" s="1"/>
  <c r="S257" i="1" a="1"/>
  <c r="S257" i="1" s="1"/>
  <c r="R651" i="1" a="1"/>
  <c r="R651" i="1" s="1"/>
  <c r="P651" i="1" s="1" a="1"/>
  <c r="P651" i="1" s="1"/>
  <c r="R676" i="1" a="1"/>
  <c r="R676" i="1" s="1"/>
  <c r="P676" i="1" s="1" a="1"/>
  <c r="P676" i="1" s="1"/>
  <c r="S605" i="1" a="1"/>
  <c r="S605" i="1" s="1"/>
  <c r="Q605" i="1" s="1" a="1"/>
  <c r="Q605" i="1" s="1"/>
  <c r="S677" i="1" a="1"/>
  <c r="S677" i="1" s="1"/>
  <c r="R273" i="1" a="1"/>
  <c r="R273" i="1" s="1"/>
  <c r="P273" i="1" s="1" a="1"/>
  <c r="P273" i="1" s="1"/>
  <c r="S703" i="1" a="1"/>
  <c r="S703" i="1" s="1"/>
  <c r="Q703" i="1" s="1" a="1"/>
  <c r="Q703" i="1" s="1"/>
  <c r="S769" i="1" a="1"/>
  <c r="S769" i="1" s="1"/>
  <c r="Q769" i="1" s="1" a="1"/>
  <c r="Q769" i="1" s="1"/>
  <c r="S607" i="1" a="1"/>
  <c r="S607" i="1" s="1"/>
  <c r="Q607" i="1" s="1" a="1"/>
  <c r="Q607" i="1" s="1"/>
  <c r="R275" i="1" a="1"/>
  <c r="R275" i="1" s="1"/>
  <c r="P275" i="1" s="1" a="1"/>
  <c r="P275" i="1" s="1"/>
  <c r="T275" i="1" s="1"/>
  <c r="R100" i="1" a="1"/>
  <c r="R100" i="1" s="1"/>
  <c r="P100" i="1" s="1" a="1"/>
  <c r="P100" i="1" s="1"/>
  <c r="R295" i="1" a="1"/>
  <c r="R295" i="1" s="1"/>
  <c r="P295" i="1" s="1" a="1"/>
  <c r="P295" i="1" s="1"/>
  <c r="R686" i="1" a="1"/>
  <c r="R686" i="1" s="1"/>
  <c r="R622" i="1" a="1"/>
  <c r="R622" i="1" s="1"/>
  <c r="P622" i="1" s="1" a="1"/>
  <c r="P622" i="1" s="1"/>
  <c r="S263" i="1" a="1"/>
  <c r="S263" i="1" s="1"/>
  <c r="Q263" i="1" s="1" a="1"/>
  <c r="Q263" i="1" s="1"/>
  <c r="R259" i="1" a="1"/>
  <c r="R259" i="1" s="1"/>
  <c r="P259" i="1" s="1" a="1"/>
  <c r="P259" i="1" s="1"/>
  <c r="R141" i="1" a="1"/>
  <c r="R141" i="1" s="1"/>
  <c r="P141" i="1" s="1" a="1"/>
  <c r="P141" i="1" s="1"/>
  <c r="S639" i="1" a="1"/>
  <c r="S639" i="1" s="1"/>
  <c r="Q639" i="1" s="1" a="1"/>
  <c r="Q639" i="1" s="1"/>
  <c r="R256" i="1" a="1"/>
  <c r="R256" i="1" s="1"/>
  <c r="P256" i="1" s="1" a="1"/>
  <c r="P256" i="1" s="1"/>
  <c r="S737" i="1" a="1"/>
  <c r="S737" i="1" s="1"/>
  <c r="Q737" i="1" s="1" a="1"/>
  <c r="Q737" i="1" s="1"/>
  <c r="S713" i="1" a="1"/>
  <c r="S713" i="1" s="1"/>
  <c r="R689" i="1" a="1"/>
  <c r="R689" i="1" s="1"/>
  <c r="P689" i="1" s="1" a="1"/>
  <c r="P689" i="1" s="1"/>
  <c r="S643" i="1" a="1"/>
  <c r="S643" i="1" s="1"/>
  <c r="Q643" i="1" s="1" a="1"/>
  <c r="Q643" i="1" s="1"/>
  <c r="S690" i="1" a="1"/>
  <c r="S690" i="1" s="1"/>
  <c r="Q690" i="1" s="1" a="1"/>
  <c r="Q690" i="1" s="1"/>
  <c r="R222" i="1" a="1"/>
  <c r="R222" i="1" s="1"/>
  <c r="P222" i="1" s="1" a="1"/>
  <c r="P222" i="1" s="1"/>
  <c r="S754" i="1" a="1"/>
  <c r="S754" i="1" s="1"/>
  <c r="Q754" i="1" s="1" a="1"/>
  <c r="Q754" i="1" s="1"/>
  <c r="S781" i="1" a="1"/>
  <c r="S781" i="1" s="1"/>
  <c r="Q781" i="1" s="1" a="1"/>
  <c r="Q781" i="1" s="1"/>
  <c r="S620" i="1" a="1"/>
  <c r="S620" i="1" s="1"/>
  <c r="Q620" i="1" s="1" a="1"/>
  <c r="Q620" i="1" s="1"/>
  <c r="R243" i="1" a="1"/>
  <c r="R243" i="1" s="1"/>
  <c r="P243" i="1" s="1" a="1"/>
  <c r="P243" i="1" s="1"/>
  <c r="R106" i="1" a="1"/>
  <c r="R106" i="1" s="1"/>
  <c r="P106" i="1" s="1" a="1"/>
  <c r="P106" i="1" s="1"/>
  <c r="S281" i="1" a="1"/>
  <c r="S281" i="1" s="1"/>
  <c r="Q281" i="1" s="1" a="1"/>
  <c r="Q281" i="1" s="1"/>
  <c r="R737" i="1" a="1"/>
  <c r="R737" i="1" s="1"/>
  <c r="P737" i="1" s="1" a="1"/>
  <c r="P737" i="1" s="1"/>
  <c r="S319" i="1" a="1"/>
  <c r="S319" i="1" s="1"/>
  <c r="Q319" i="1" s="1" a="1"/>
  <c r="Q319" i="1" s="1"/>
  <c r="S315" i="1" a="1"/>
  <c r="S315" i="1" s="1"/>
  <c r="Q315" i="1" s="1" a="1"/>
  <c r="Q315" i="1" s="1"/>
  <c r="S121" i="1" a="1"/>
  <c r="S121" i="1" s="1"/>
  <c r="Q121" i="1" s="1" a="1"/>
  <c r="Q121" i="1" s="1"/>
  <c r="R708" i="1" a="1"/>
  <c r="R708" i="1" s="1"/>
  <c r="P708" i="1" s="1" a="1"/>
  <c r="P708" i="1" s="1"/>
  <c r="S715" i="1" a="1"/>
  <c r="S715" i="1" s="1"/>
  <c r="Q715" i="1" s="1" a="1"/>
  <c r="Q715" i="1" s="1"/>
  <c r="S709" i="1" a="1"/>
  <c r="S709" i="1" s="1"/>
  <c r="Q709" i="1" s="1" a="1"/>
  <c r="Q709" i="1" s="1"/>
  <c r="R598" i="1" a="1"/>
  <c r="R598" i="1" s="1"/>
  <c r="P598" i="1" s="1" a="1"/>
  <c r="P598" i="1" s="1"/>
  <c r="R228" i="1" a="1"/>
  <c r="R228" i="1" s="1"/>
  <c r="P228" i="1" s="1" a="1"/>
  <c r="P228" i="1" s="1"/>
  <c r="R682" i="1" a="1"/>
  <c r="R682" i="1" s="1"/>
  <c r="P682" i="1" s="1" a="1"/>
  <c r="P682" i="1" s="1"/>
  <c r="R791" i="1" a="1"/>
  <c r="R791" i="1" s="1"/>
  <c r="P791" i="1" s="1" a="1"/>
  <c r="P791" i="1" s="1"/>
  <c r="S740" i="1" a="1"/>
  <c r="S740" i="1" s="1"/>
  <c r="Q740" i="1" s="1" a="1"/>
  <c r="Q740" i="1" s="1"/>
  <c r="U740" i="1" s="1"/>
  <c r="S768" i="1" a="1"/>
  <c r="S768" i="1" s="1"/>
  <c r="Q768" i="1" s="1" a="1"/>
  <c r="Q768" i="1" s="1"/>
  <c r="R606" i="1" a="1"/>
  <c r="R606" i="1" s="1"/>
  <c r="P606" i="1" s="1" a="1"/>
  <c r="P606" i="1" s="1"/>
  <c r="S793" i="1" a="1"/>
  <c r="S793" i="1" s="1"/>
  <c r="Q793" i="1" s="1" a="1"/>
  <c r="Q793" i="1" s="1"/>
  <c r="S645" i="1" a="1"/>
  <c r="S645" i="1" s="1"/>
  <c r="Q645" i="1" s="1" a="1"/>
  <c r="Q645" i="1" s="1"/>
  <c r="R113" i="1" a="1"/>
  <c r="R113" i="1" s="1"/>
  <c r="P113" i="1" s="1" a="1"/>
  <c r="P113" i="1" s="1"/>
  <c r="R87" i="1" a="1"/>
  <c r="R87" i="1" s="1"/>
  <c r="P87" i="1" s="1" a="1"/>
  <c r="P87" i="1" s="1"/>
  <c r="S229" i="1" a="1"/>
  <c r="S229" i="1" s="1"/>
  <c r="Q229" i="1" s="1" a="1"/>
  <c r="Q229" i="1" s="1"/>
  <c r="S300" i="1" a="1"/>
  <c r="S300" i="1" s="1"/>
  <c r="Q300" i="1" s="1" a="1"/>
  <c r="Q300" i="1" s="1"/>
  <c r="R719" i="1" a="1"/>
  <c r="R719" i="1" s="1"/>
  <c r="P719" i="1" s="1" a="1"/>
  <c r="P719" i="1" s="1"/>
  <c r="S190" i="1" a="1"/>
  <c r="S190" i="1" s="1"/>
  <c r="Q190" i="1" s="1" a="1"/>
  <c r="Q190" i="1" s="1"/>
  <c r="R701" i="1" a="1"/>
  <c r="R701" i="1" s="1"/>
  <c r="P701" i="1" s="1" a="1"/>
  <c r="P701" i="1" s="1"/>
  <c r="S753" i="1" a="1"/>
  <c r="S753" i="1" s="1"/>
  <c r="Q753" i="1" s="1" a="1"/>
  <c r="Q753" i="1" s="1"/>
  <c r="S786" i="1" a="1"/>
  <c r="S786" i="1" s="1"/>
  <c r="Q786" i="1" s="1" a="1"/>
  <c r="Q786" i="1" s="1"/>
  <c r="R625" i="1" a="1"/>
  <c r="R625" i="1" s="1"/>
  <c r="P625" i="1" s="1" a="1"/>
  <c r="P625" i="1" s="1"/>
  <c r="R328" i="1" a="1"/>
  <c r="R328" i="1" s="1"/>
  <c r="P328" i="1" s="1" a="1"/>
  <c r="P328" i="1" s="1"/>
  <c r="S679" i="1" a="1"/>
  <c r="S679" i="1" s="1"/>
  <c r="Q679" i="1" s="1" a="1"/>
  <c r="Q679" i="1" s="1"/>
  <c r="R48" i="1" a="1"/>
  <c r="R48" i="1" s="1"/>
  <c r="P48" i="1" s="1" a="1"/>
  <c r="P48" i="1" s="1"/>
  <c r="R41" i="1" a="1"/>
  <c r="R41" i="1" s="1"/>
  <c r="S200" i="1" a="1"/>
  <c r="S200" i="1" s="1"/>
  <c r="Q200" i="1" s="1" a="1"/>
  <c r="Q200" i="1" s="1"/>
  <c r="R269" i="1" a="1"/>
  <c r="R269" i="1" s="1"/>
  <c r="P269" i="1" s="1" a="1"/>
  <c r="P269" i="1" s="1"/>
  <c r="S294" i="1" a="1"/>
  <c r="S294" i="1" s="1"/>
  <c r="Q294" i="1" s="1" a="1"/>
  <c r="Q294" i="1" s="1"/>
  <c r="R732" i="1" a="1"/>
  <c r="R732" i="1" s="1"/>
  <c r="P732" i="1" s="1" a="1"/>
  <c r="P732" i="1" s="1"/>
  <c r="S603" i="1" a="1"/>
  <c r="S603" i="1" s="1"/>
  <c r="Q603" i="1" s="1" a="1"/>
  <c r="Q603" i="1" s="1"/>
  <c r="S182" i="1" a="1"/>
  <c r="S182" i="1" s="1"/>
  <c r="Q182" i="1" s="1" a="1"/>
  <c r="Q182" i="1" s="1"/>
  <c r="S68" i="1" a="1"/>
  <c r="S68" i="1" s="1"/>
  <c r="S267" i="1" a="1"/>
  <c r="S267" i="1" s="1"/>
  <c r="Q267" i="1" s="1" a="1"/>
  <c r="Q267" i="1" s="1"/>
  <c r="S288" i="1" a="1"/>
  <c r="S288" i="1" s="1"/>
  <c r="Q288" i="1" s="1" a="1"/>
  <c r="Q288" i="1" s="1"/>
  <c r="S602" i="1" a="1"/>
  <c r="S602" i="1" s="1"/>
  <c r="Q602" i="1" s="1" a="1"/>
  <c r="Q602" i="1" s="1"/>
  <c r="S641" i="1" a="1"/>
  <c r="S641" i="1" s="1"/>
  <c r="Q641" i="1" s="1" a="1"/>
  <c r="Q641" i="1" s="1"/>
  <c r="S107" i="1" a="1"/>
  <c r="S107" i="1" s="1"/>
  <c r="Q107" i="1" s="1" a="1"/>
  <c r="Q107" i="1" s="1"/>
  <c r="S292" i="1" a="1"/>
  <c r="S292" i="1" s="1"/>
  <c r="Q292" i="1" s="1" a="1"/>
  <c r="Q292" i="1" s="1"/>
  <c r="R618" i="1" a="1"/>
  <c r="R618" i="1" s="1"/>
  <c r="P618" i="1" s="1" a="1"/>
  <c r="P618" i="1" s="1"/>
  <c r="S247" i="1" a="1"/>
  <c r="S247" i="1" s="1"/>
  <c r="Q247" i="1" s="1" a="1"/>
  <c r="Q247" i="1" s="1"/>
  <c r="R724" i="1" a="1"/>
  <c r="R724" i="1" s="1"/>
  <c r="P724" i="1" s="1" a="1"/>
  <c r="P724" i="1" s="1"/>
  <c r="S608" i="1" a="1"/>
  <c r="S608" i="1" s="1"/>
  <c r="Q608" i="1" s="1" a="1"/>
  <c r="Q608" i="1" s="1"/>
  <c r="S681" i="1" a="1"/>
  <c r="S681" i="1" s="1"/>
  <c r="Q681" i="1" s="1" a="1"/>
  <c r="Q681" i="1" s="1"/>
  <c r="R74" i="1" a="1"/>
  <c r="R74" i="1" s="1"/>
  <c r="S699" i="1" a="1"/>
  <c r="S699" i="1" s="1"/>
  <c r="Q699" i="1" s="1" a="1"/>
  <c r="Q699" i="1" s="1"/>
  <c r="R720" i="1" a="1"/>
  <c r="R720" i="1" s="1"/>
  <c r="P720" i="1" s="1" a="1"/>
  <c r="P720" i="1" s="1"/>
  <c r="S880" i="1" a="1"/>
  <c r="S880" i="1" s="1"/>
  <c r="Q880" i="1" s="1" a="1"/>
  <c r="Q880" i="1" s="1"/>
  <c r="R638" i="1" a="1"/>
  <c r="R638" i="1" s="1"/>
  <c r="P638" i="1" s="1" a="1"/>
  <c r="P638" i="1" s="1"/>
  <c r="R322" i="1" a="1"/>
  <c r="R322" i="1" s="1"/>
  <c r="P322" i="1" s="1" a="1"/>
  <c r="P322" i="1" s="1"/>
  <c r="R607" i="1" a="1"/>
  <c r="R607" i="1" s="1"/>
  <c r="P607" i="1" s="1" a="1"/>
  <c r="P607" i="1" s="1"/>
  <c r="S685" i="1" a="1"/>
  <c r="S685" i="1" s="1"/>
  <c r="Q685" i="1" s="1" a="1"/>
  <c r="Q685" i="1" s="1"/>
  <c r="R614" i="1" a="1"/>
  <c r="R614" i="1" s="1"/>
  <c r="P614" i="1" s="1" a="1"/>
  <c r="P614" i="1" s="1"/>
  <c r="R54" i="1" a="1"/>
  <c r="R54" i="1" s="1"/>
  <c r="P54" i="1" s="1" a="1"/>
  <c r="P54" i="1" s="1"/>
  <c r="S177" i="1" a="1"/>
  <c r="S177" i="1" s="1"/>
  <c r="Q177" i="1" s="1" a="1"/>
  <c r="Q177" i="1" s="1"/>
  <c r="R189" i="1" a="1"/>
  <c r="R189" i="1" s="1"/>
  <c r="P189" i="1" s="1" a="1"/>
  <c r="P189" i="1" s="1"/>
  <c r="S615" i="1" a="1"/>
  <c r="S615" i="1" s="1"/>
  <c r="Q615" i="1" s="1" a="1"/>
  <c r="Q615" i="1" s="1"/>
  <c r="R738" i="1" a="1"/>
  <c r="R738" i="1" s="1"/>
  <c r="P738" i="1" s="1" a="1"/>
  <c r="P738" i="1" s="1"/>
  <c r="S609" i="1" a="1"/>
  <c r="S609" i="1" s="1"/>
  <c r="Q609" i="1" s="1" a="1"/>
  <c r="Q609" i="1" s="1"/>
  <c r="S51" i="1" a="1"/>
  <c r="S51" i="1" s="1"/>
  <c r="Q51" i="1" s="1" a="1"/>
  <c r="Q51" i="1" s="1"/>
  <c r="R140" i="1" a="1"/>
  <c r="R140" i="1" s="1"/>
  <c r="P140" i="1" s="1" a="1"/>
  <c r="P140" i="1" s="1"/>
  <c r="R888" i="1" a="1"/>
  <c r="R888" i="1" s="1"/>
  <c r="P888" i="1" s="1" a="1"/>
  <c r="P888" i="1" s="1"/>
  <c r="R705" i="1" a="1"/>
  <c r="R705" i="1" s="1"/>
  <c r="P705" i="1" s="1" a="1"/>
  <c r="P705" i="1" s="1"/>
  <c r="S653" i="1" a="1"/>
  <c r="S653" i="1" s="1"/>
  <c r="Q653" i="1" s="1" a="1"/>
  <c r="Q653" i="1" s="1"/>
  <c r="S246" i="1" a="1"/>
  <c r="S246" i="1" s="1"/>
  <c r="Q246" i="1" s="1" a="1"/>
  <c r="Q246" i="1" s="1"/>
  <c r="R156" i="1" a="1"/>
  <c r="R156" i="1" s="1"/>
  <c r="P156" i="1" s="1" a="1"/>
  <c r="P156" i="1" s="1"/>
  <c r="T156" i="1" s="1"/>
  <c r="R297" i="1" a="1"/>
  <c r="R297" i="1" s="1"/>
  <c r="P297" i="1" s="1" a="1"/>
  <c r="P297" i="1" s="1"/>
  <c r="R666" i="1" a="1"/>
  <c r="R666" i="1" s="1"/>
  <c r="P666" i="1" s="1" a="1"/>
  <c r="P666" i="1" s="1"/>
  <c r="R213" i="1" a="1"/>
  <c r="R213" i="1" s="1"/>
  <c r="T213" i="1" s="1"/>
  <c r="S674" i="1" a="1"/>
  <c r="S674" i="1" s="1"/>
  <c r="Q674" i="1" s="1" a="1"/>
  <c r="Q674" i="1" s="1"/>
  <c r="S298" i="1" a="1"/>
  <c r="S298" i="1" s="1"/>
  <c r="Q298" i="1" s="1" a="1"/>
  <c r="Q298" i="1" s="1"/>
  <c r="S317" i="1" a="1"/>
  <c r="S317" i="1" s="1"/>
  <c r="Q317" i="1" s="1" a="1"/>
  <c r="Q317" i="1" s="1"/>
  <c r="R658" i="1" a="1"/>
  <c r="R658" i="1" s="1"/>
  <c r="P658" i="1" s="1" a="1"/>
  <c r="P658" i="1" s="1"/>
  <c r="R290" i="1" a="1"/>
  <c r="R290" i="1" s="1"/>
  <c r="P290" i="1" s="1" a="1"/>
  <c r="P290" i="1" s="1"/>
  <c r="R620" i="1" a="1"/>
  <c r="R620" i="1" s="1"/>
  <c r="P620" i="1" s="1" a="1"/>
  <c r="P620" i="1" s="1"/>
  <c r="S717" i="1" a="1"/>
  <c r="S717" i="1" s="1"/>
  <c r="Q717" i="1" s="1" a="1"/>
  <c r="Q717" i="1" s="1"/>
  <c r="R692" i="1" a="1"/>
  <c r="R692" i="1" s="1"/>
  <c r="P692" i="1" s="1" a="1"/>
  <c r="P692" i="1" s="1"/>
  <c r="S326" i="1" a="1"/>
  <c r="S326" i="1" s="1"/>
  <c r="Q326" i="1" s="1" a="1"/>
  <c r="Q326" i="1" s="1"/>
  <c r="S130" i="1" a="1"/>
  <c r="S130" i="1" s="1"/>
  <c r="Q130" i="1" s="1" a="1"/>
  <c r="Q130" i="1" s="1"/>
  <c r="R62" i="1" a="1"/>
  <c r="R62" i="1" s="1"/>
  <c r="P62" i="1" s="1" a="1"/>
  <c r="P62" i="1" s="1"/>
  <c r="S634" i="1" a="1"/>
  <c r="S634" i="1" s="1"/>
  <c r="Q634" i="1" s="1" a="1"/>
  <c r="Q634" i="1" s="1"/>
  <c r="R751" i="1" a="1"/>
  <c r="R751" i="1" s="1"/>
  <c r="P751" i="1" s="1" a="1"/>
  <c r="P751" i="1" s="1"/>
  <c r="S628" i="1" a="1"/>
  <c r="S628" i="1" s="1"/>
  <c r="Q628" i="1" s="1" a="1"/>
  <c r="Q628" i="1" s="1"/>
  <c r="U628" i="1" s="1"/>
  <c r="R92" i="1" a="1"/>
  <c r="R92" i="1" s="1"/>
  <c r="P92" i="1" s="1" a="1"/>
  <c r="P92" i="1" s="1"/>
  <c r="R181" i="1" a="1"/>
  <c r="R181" i="1" s="1"/>
  <c r="P181" i="1" s="1" a="1"/>
  <c r="P181" i="1" s="1"/>
  <c r="R304" i="1" a="1"/>
  <c r="R304" i="1" s="1"/>
  <c r="P304" i="1" s="1" a="1"/>
  <c r="P304" i="1" s="1"/>
  <c r="S887" i="1" a="1"/>
  <c r="S887" i="1" s="1"/>
  <c r="Q887" i="1" s="1" a="1"/>
  <c r="Q887" i="1" s="1"/>
  <c r="R665" i="1" a="1"/>
  <c r="R665" i="1" s="1"/>
  <c r="P665" i="1" s="1" a="1"/>
  <c r="P665" i="1" s="1"/>
  <c r="R626" i="1" a="1"/>
  <c r="R626" i="1" s="1"/>
  <c r="P626" i="1" s="1" a="1"/>
  <c r="P626" i="1" s="1"/>
  <c r="S736" i="1" a="1"/>
  <c r="S736" i="1" s="1"/>
  <c r="Q736" i="1" s="1" a="1"/>
  <c r="Q736" i="1" s="1"/>
  <c r="S136" i="1" a="1"/>
  <c r="S136" i="1" s="1"/>
  <c r="Q136" i="1" s="1" a="1"/>
  <c r="Q136" i="1" s="1"/>
  <c r="U136" i="1" s="1"/>
  <c r="R757" i="1" a="1"/>
  <c r="R757" i="1" s="1"/>
  <c r="P757" i="1" s="1" a="1"/>
  <c r="P757" i="1" s="1"/>
  <c r="S617" i="1" a="1"/>
  <c r="S617" i="1" s="1"/>
  <c r="Q617" i="1" s="1" a="1"/>
  <c r="Q617" i="1" s="1"/>
  <c r="R678" i="1" a="1"/>
  <c r="R678" i="1" s="1"/>
  <c r="P678" i="1" s="1" a="1"/>
  <c r="P678" i="1" s="1"/>
  <c r="S755" i="1" a="1"/>
  <c r="S755" i="1" s="1"/>
  <c r="Q755" i="1" s="1" a="1"/>
  <c r="Q755" i="1" s="1"/>
  <c r="S106" i="1" a="1"/>
  <c r="S106" i="1" s="1"/>
  <c r="Q106" i="1" s="1" a="1"/>
  <c r="Q106" i="1" s="1"/>
  <c r="S154" i="1" a="1"/>
  <c r="S154" i="1" s="1"/>
  <c r="Q154" i="1" s="1" a="1"/>
  <c r="Q154" i="1" s="1"/>
  <c r="S236" i="1" a="1"/>
  <c r="S236" i="1" s="1"/>
  <c r="Q236" i="1" s="1" a="1"/>
  <c r="Q236" i="1" s="1"/>
  <c r="R750" i="1" a="1"/>
  <c r="R750" i="1" s="1"/>
  <c r="P750" i="1" s="1" a="1"/>
  <c r="P750" i="1" s="1"/>
  <c r="S170" i="1" a="1"/>
  <c r="S170" i="1" s="1"/>
  <c r="Q170" i="1" s="1" a="1"/>
  <c r="Q170" i="1" s="1"/>
  <c r="R258" i="1" a="1"/>
  <c r="R258" i="1" s="1"/>
  <c r="P258" i="1" s="1" a="1"/>
  <c r="P258" i="1" s="1"/>
  <c r="S636" i="1" a="1"/>
  <c r="S636" i="1" s="1"/>
  <c r="Q636" i="1" s="1" a="1"/>
  <c r="Q636" i="1" s="1"/>
  <c r="R631" i="1" a="1"/>
  <c r="R631" i="1" s="1"/>
  <c r="P631" i="1" s="1" a="1"/>
  <c r="P631" i="1" s="1"/>
  <c r="S266" i="1" a="1"/>
  <c r="S266" i="1" s="1"/>
  <c r="Q266" i="1" s="1" a="1"/>
  <c r="Q266" i="1" s="1"/>
  <c r="U266" i="1" s="1"/>
  <c r="R684" i="1" a="1"/>
  <c r="R684" i="1" s="1"/>
  <c r="P684" i="1" s="1" a="1"/>
  <c r="P684" i="1" s="1"/>
  <c r="S260" i="1" a="1"/>
  <c r="S260" i="1" s="1"/>
  <c r="Q260" i="1" s="1" a="1"/>
  <c r="Q260" i="1" s="1"/>
  <c r="R679" i="1" a="1"/>
  <c r="R679" i="1" s="1"/>
  <c r="P679" i="1" s="1" a="1"/>
  <c r="P679" i="1" s="1"/>
  <c r="R730" i="1" a="1"/>
  <c r="R730" i="1" s="1"/>
  <c r="P730" i="1" s="1" a="1"/>
  <c r="P730" i="1" s="1"/>
  <c r="R137" i="1" a="1"/>
  <c r="R137" i="1" s="1"/>
  <c r="P137" i="1" s="1" a="1"/>
  <c r="P137" i="1" s="1"/>
  <c r="S119" i="1" a="1"/>
  <c r="S119" i="1" s="1"/>
  <c r="Q119" i="1" s="1" a="1"/>
  <c r="Q119" i="1" s="1"/>
  <c r="S627" i="1" a="1"/>
  <c r="S627" i="1" s="1"/>
  <c r="Q627" i="1" s="1" a="1"/>
  <c r="Q627" i="1" s="1"/>
  <c r="S706" i="1" a="1"/>
  <c r="S706" i="1" s="1"/>
  <c r="Q706" i="1" s="1" a="1"/>
  <c r="Q706" i="1" s="1"/>
  <c r="S700" i="1" a="1"/>
  <c r="S700" i="1" s="1"/>
  <c r="Q700" i="1" s="1" a="1"/>
  <c r="Q700" i="1" s="1"/>
  <c r="R232" i="1" a="1"/>
  <c r="R232" i="1" s="1"/>
  <c r="P232" i="1" s="1" a="1"/>
  <c r="P232" i="1" s="1"/>
  <c r="R729" i="1" a="1"/>
  <c r="R729" i="1" s="1"/>
  <c r="P729" i="1" s="1" a="1"/>
  <c r="P729" i="1" s="1"/>
  <c r="S708" i="1" a="1"/>
  <c r="S708" i="1" s="1"/>
  <c r="Q708" i="1" s="1" a="1"/>
  <c r="Q708" i="1" s="1"/>
  <c r="S217" i="1" a="1"/>
  <c r="S217" i="1" s="1"/>
  <c r="Q217" i="1" s="1" a="1"/>
  <c r="Q217" i="1" s="1"/>
  <c r="S87" i="1" a="1"/>
  <c r="S87" i="1" s="1"/>
  <c r="Q87" i="1" s="1" a="1"/>
  <c r="Q87" i="1" s="1"/>
  <c r="S712" i="1" a="1"/>
  <c r="S712" i="1" s="1"/>
  <c r="Q712" i="1" s="1" a="1"/>
  <c r="Q712" i="1" s="1"/>
  <c r="S738" i="1" a="1"/>
  <c r="S738" i="1" s="1"/>
  <c r="Q738" i="1" s="1" a="1"/>
  <c r="Q738" i="1" s="1"/>
  <c r="R52" i="1" a="1"/>
  <c r="R52" i="1" s="1"/>
  <c r="P52" i="1" s="1" a="1"/>
  <c r="P52" i="1" s="1"/>
  <c r="R613" i="1" a="1"/>
  <c r="R613" i="1" s="1"/>
  <c r="P613" i="1" s="1" a="1"/>
  <c r="P613" i="1" s="1"/>
  <c r="S42" i="1" a="1"/>
  <c r="S42" i="1" s="1"/>
  <c r="Q42" i="1" s="1" a="1"/>
  <c r="Q42" i="1" s="1"/>
  <c r="R207" i="1" a="1"/>
  <c r="R207" i="1" s="1"/>
  <c r="P207" i="1" s="1" a="1"/>
  <c r="P207" i="1" s="1"/>
  <c r="S240" i="1" a="1"/>
  <c r="S240" i="1" s="1"/>
  <c r="Q240" i="1" s="1" a="1"/>
  <c r="Q240" i="1" s="1"/>
  <c r="R165" i="1" a="1"/>
  <c r="R165" i="1" s="1"/>
  <c r="R637" i="1" a="1"/>
  <c r="R637" i="1" s="1"/>
  <c r="S227" i="1" a="1"/>
  <c r="S227" i="1" s="1"/>
  <c r="Q227" i="1" s="1" a="1"/>
  <c r="Q227" i="1" s="1"/>
  <c r="R722" i="1" a="1"/>
  <c r="R722" i="1" s="1"/>
  <c r="P722" i="1" s="1" a="1"/>
  <c r="P722" i="1" s="1"/>
  <c r="T722" i="1" s="1"/>
  <c r="R698" i="1" a="1"/>
  <c r="R698" i="1" s="1"/>
  <c r="P698" i="1" s="1" a="1"/>
  <c r="P698" i="1" s="1"/>
  <c r="R770" i="1" a="1"/>
  <c r="R770" i="1" s="1"/>
  <c r="P770" i="1" s="1" a="1"/>
  <c r="P770" i="1" s="1"/>
  <c r="R68" i="1" a="1"/>
  <c r="R68" i="1" s="1"/>
  <c r="P68" i="1" s="1" a="1"/>
  <c r="P68" i="1" s="1"/>
  <c r="T68" i="1" s="1"/>
  <c r="S640" i="1" a="1"/>
  <c r="S640" i="1" s="1"/>
  <c r="Q640" i="1" s="1" a="1"/>
  <c r="Q640" i="1" s="1"/>
  <c r="S325" i="1" a="1"/>
  <c r="S325" i="1" s="1"/>
  <c r="Q325" i="1" s="1" a="1"/>
  <c r="Q325" i="1" s="1"/>
  <c r="S283" i="1" a="1"/>
  <c r="S283" i="1" s="1"/>
  <c r="Q283" i="1" s="1" a="1"/>
  <c r="Q283" i="1" s="1"/>
  <c r="S756" i="1" a="1"/>
  <c r="S756" i="1" s="1"/>
  <c r="Q756" i="1" s="1" a="1"/>
  <c r="Q756" i="1" s="1"/>
  <c r="R116" i="1" a="1"/>
  <c r="R116" i="1" s="1"/>
  <c r="P116" i="1" s="1" a="1"/>
  <c r="P116" i="1" s="1"/>
  <c r="S201" i="1" a="1"/>
  <c r="S201" i="1" s="1"/>
  <c r="Q201" i="1" s="1" a="1"/>
  <c r="Q201" i="1" s="1"/>
  <c r="S596" i="1" a="1"/>
  <c r="S596" i="1" s="1"/>
  <c r="Q596" i="1" s="1" a="1"/>
  <c r="Q596" i="1" s="1"/>
  <c r="S727" i="1" a="1"/>
  <c r="S727" i="1" s="1"/>
  <c r="Q727" i="1" s="1" a="1"/>
  <c r="Q727" i="1" s="1"/>
  <c r="R650" i="1" a="1"/>
  <c r="R650" i="1" s="1"/>
  <c r="P650" i="1" s="1" a="1"/>
  <c r="P650" i="1" s="1"/>
  <c r="S198" i="1" a="1"/>
  <c r="S198" i="1" s="1"/>
  <c r="Q198" i="1" s="1" a="1"/>
  <c r="Q198" i="1" s="1"/>
  <c r="R735" i="1" a="1"/>
  <c r="R735" i="1" s="1"/>
  <c r="P735" i="1" s="1" a="1"/>
  <c r="P735" i="1" s="1"/>
  <c r="S222" i="1" a="1"/>
  <c r="S222" i="1" s="1"/>
  <c r="Q222" i="1" s="1" a="1"/>
  <c r="Q222" i="1" s="1"/>
  <c r="R704" i="1" a="1"/>
  <c r="R704" i="1" s="1"/>
  <c r="R321" i="1" a="1"/>
  <c r="R321" i="1" s="1"/>
  <c r="P321" i="1" s="1" a="1"/>
  <c r="P321" i="1" s="1"/>
  <c r="R782" i="1" a="1"/>
  <c r="R782" i="1" s="1"/>
  <c r="P782" i="1" s="1" a="1"/>
  <c r="P782" i="1" s="1"/>
  <c r="S614" i="1" a="1"/>
  <c r="S614" i="1" s="1"/>
  <c r="Q614" i="1" s="1" a="1"/>
  <c r="Q614" i="1" s="1"/>
  <c r="S93" i="1" a="1"/>
  <c r="S93" i="1" s="1"/>
  <c r="Q93" i="1" s="1" a="1"/>
  <c r="Q93" i="1" s="1"/>
  <c r="S646" i="1" a="1"/>
  <c r="S646" i="1" s="1"/>
  <c r="Q646" i="1" s="1" a="1"/>
  <c r="Q646" i="1" s="1"/>
  <c r="U646" i="1" s="1"/>
  <c r="S744" i="1" a="1"/>
  <c r="S744" i="1" s="1"/>
  <c r="Q744" i="1" s="1" a="1"/>
  <c r="Q744" i="1" s="1"/>
  <c r="S306" i="1" a="1"/>
  <c r="S306" i="1" s="1"/>
  <c r="Q306" i="1" s="1" a="1"/>
  <c r="Q306" i="1" s="1"/>
  <c r="S751" i="1" a="1"/>
  <c r="S751" i="1" s="1"/>
  <c r="Q751" i="1" s="1" a="1"/>
  <c r="Q751" i="1" s="1"/>
  <c r="S36" i="1" a="1"/>
  <c r="S36" i="1" s="1"/>
  <c r="Q36" i="1" s="1" a="1"/>
  <c r="Q36" i="1" s="1"/>
  <c r="R168" i="1" a="1"/>
  <c r="R168" i="1" s="1"/>
  <c r="P168" i="1" s="1" a="1"/>
  <c r="P168" i="1" s="1"/>
  <c r="R314" i="1" a="1"/>
  <c r="R314" i="1" s="1"/>
  <c r="P314" i="1" s="1" a="1"/>
  <c r="P314" i="1" s="1"/>
  <c r="R668" i="1" a="1"/>
  <c r="R668" i="1" s="1"/>
  <c r="P668" i="1" s="1" a="1"/>
  <c r="P668" i="1" s="1"/>
  <c r="T668" i="1" s="1"/>
  <c r="P339" i="1" a="1"/>
  <c r="P339" i="1" s="1"/>
  <c r="P343" i="1" a="1"/>
  <c r="P343" i="1" s="1"/>
  <c r="P368" i="1" a="1"/>
  <c r="P368" i="1" s="1"/>
  <c r="P372" i="1" a="1"/>
  <c r="P372" i="1" s="1"/>
  <c r="P356" i="1" a="1"/>
  <c r="P356" i="1" s="1"/>
  <c r="P360" i="1" a="1"/>
  <c r="P360" i="1" s="1"/>
  <c r="P364" i="1" a="1"/>
  <c r="P364" i="1" s="1"/>
  <c r="P475" i="1" a="1"/>
  <c r="P475" i="1" s="1"/>
  <c r="P348" i="1" a="1"/>
  <c r="P348" i="1" s="1"/>
  <c r="P352" i="1" a="1"/>
  <c r="P352" i="1" s="1"/>
  <c r="P408" i="1" a="1"/>
  <c r="P408" i="1" s="1"/>
  <c r="P340" i="1" a="1"/>
  <c r="P340" i="1" s="1"/>
  <c r="P344" i="1" a="1"/>
  <c r="P344" i="1" s="1"/>
  <c r="P365" i="1" a="1"/>
  <c r="P365" i="1" s="1"/>
  <c r="P369" i="1" a="1"/>
  <c r="P369" i="1" s="1"/>
  <c r="P373" i="1" a="1"/>
  <c r="P373" i="1" s="1"/>
  <c r="P357" i="1" a="1"/>
  <c r="P357" i="1" s="1"/>
  <c r="P361" i="1" a="1"/>
  <c r="P361" i="1" s="1"/>
  <c r="P353" i="1" a="1"/>
  <c r="P353" i="1" s="1"/>
  <c r="P349" i="1" a="1"/>
  <c r="P349" i="1" s="1"/>
  <c r="P405" i="1" a="1"/>
  <c r="P405" i="1" s="1"/>
  <c r="P358" i="1" a="1"/>
  <c r="P358" i="1" s="1"/>
  <c r="P362" i="1" a="1"/>
  <c r="P362" i="1" s="1"/>
  <c r="P346" i="1" a="1"/>
  <c r="P346" i="1" s="1"/>
  <c r="P332" i="1" a="1"/>
  <c r="P332" i="1" s="1"/>
  <c r="P350" i="1" a="1"/>
  <c r="P350" i="1" s="1"/>
  <c r="P354" i="1" a="1"/>
  <c r="P354" i="1" s="1"/>
  <c r="P338" i="1" a="1"/>
  <c r="P338" i="1" s="1"/>
  <c r="P342" i="1" a="1"/>
  <c r="P342" i="1" s="1"/>
  <c r="P367" i="1" a="1"/>
  <c r="P367" i="1" s="1"/>
  <c r="P371" i="1" a="1"/>
  <c r="P371" i="1" s="1"/>
  <c r="P359" i="1" a="1"/>
  <c r="P359" i="1" s="1"/>
  <c r="P363" i="1" a="1"/>
  <c r="P363" i="1" s="1"/>
  <c r="P474" i="1" a="1"/>
  <c r="P474" i="1" s="1"/>
  <c r="P347" i="1" a="1"/>
  <c r="P347" i="1" s="1"/>
  <c r="P351" i="1" a="1"/>
  <c r="P351" i="1" s="1"/>
  <c r="P355" i="1" a="1"/>
  <c r="P355" i="1" s="1"/>
  <c r="P407" i="1" a="1"/>
  <c r="P407" i="1" s="1"/>
  <c r="P331" i="1" a="1"/>
  <c r="P331" i="1" s="1"/>
  <c r="P566" i="1" a="1"/>
  <c r="P566" i="1" s="1"/>
  <c r="P366" i="1" a="1"/>
  <c r="P366" i="1" s="1"/>
  <c r="P345" i="1" a="1"/>
  <c r="P345" i="1" s="1"/>
  <c r="P370" i="1" a="1"/>
  <c r="P370" i="1" s="1"/>
  <c r="P341" i="1" a="1"/>
  <c r="P341" i="1" s="1"/>
  <c r="P529" i="1" a="1"/>
  <c r="P529" i="1" s="1"/>
  <c r="T529" i="1" s="1"/>
  <c r="P464" i="1" a="1"/>
  <c r="P464" i="1" s="1"/>
  <c r="T464" i="1" s="1"/>
  <c r="S810" i="1" a="1"/>
  <c r="S810" i="1" s="1"/>
  <c r="Q810" i="1" s="1" a="1"/>
  <c r="Q810" i="1" s="1"/>
  <c r="S876" i="1" a="1"/>
  <c r="S876" i="1" s="1"/>
  <c r="Q876" i="1" s="1" a="1"/>
  <c r="Q876" i="1" s="1"/>
  <c r="R850" i="1" a="1"/>
  <c r="R850" i="1" s="1"/>
  <c r="P850" i="1" s="1" a="1"/>
  <c r="P850" i="1" s="1"/>
  <c r="S849" i="1" a="1"/>
  <c r="S849" i="1" s="1"/>
  <c r="Q849" i="1" s="1" a="1"/>
  <c r="Q849" i="1" s="1"/>
  <c r="R799" i="1" a="1"/>
  <c r="R799" i="1" s="1"/>
  <c r="P799" i="1" s="1" a="1"/>
  <c r="P799" i="1" s="1"/>
  <c r="S831" i="1" a="1"/>
  <c r="S831" i="1" s="1"/>
  <c r="Q831" i="1" s="1" a="1"/>
  <c r="Q831" i="1" s="1"/>
  <c r="S840" i="1" a="1"/>
  <c r="S840" i="1" s="1"/>
  <c r="Q840" i="1" s="1" a="1"/>
  <c r="Q840" i="1" s="1"/>
  <c r="R842" i="1" a="1"/>
  <c r="R842" i="1" s="1"/>
  <c r="P842" i="1" s="1" a="1"/>
  <c r="P842" i="1" s="1"/>
  <c r="S816" i="1" a="1"/>
  <c r="S816" i="1" s="1"/>
  <c r="Q816" i="1" s="1" a="1"/>
  <c r="Q816" i="1" s="1"/>
  <c r="U816" i="1" s="1"/>
  <c r="R818" i="1" a="1"/>
  <c r="R818" i="1" s="1"/>
  <c r="P818" i="1" s="1" a="1"/>
  <c r="P818" i="1" s="1"/>
  <c r="S852" i="1" a="1"/>
  <c r="S852" i="1" s="1"/>
  <c r="Q852" i="1" s="1" a="1"/>
  <c r="Q852" i="1" s="1"/>
  <c r="R805" i="1" a="1"/>
  <c r="R805" i="1" s="1"/>
  <c r="P805" i="1" s="1" a="1"/>
  <c r="P805" i="1" s="1"/>
  <c r="S837" i="1" a="1"/>
  <c r="S837" i="1" s="1"/>
  <c r="Q837" i="1" s="1" a="1"/>
  <c r="Q837" i="1" s="1"/>
  <c r="S846" i="1" a="1"/>
  <c r="S846" i="1" s="1"/>
  <c r="Q846" i="1" s="1" a="1"/>
  <c r="Q846" i="1" s="1"/>
  <c r="R848" i="1" a="1"/>
  <c r="R848" i="1" s="1"/>
  <c r="P848" i="1" s="1" a="1"/>
  <c r="P848" i="1" s="1"/>
  <c r="T848" i="1" s="1"/>
  <c r="R801" i="1" a="1"/>
  <c r="R801" i="1" s="1"/>
  <c r="P801" i="1" s="1" a="1"/>
  <c r="P801" i="1" s="1"/>
  <c r="S850" i="1" a="1"/>
  <c r="S850" i="1" s="1"/>
  <c r="Q850" i="1" s="1" a="1"/>
  <c r="Q850" i="1" s="1"/>
  <c r="R853" i="1" a="1"/>
  <c r="R853" i="1" s="1"/>
  <c r="P853" i="1" s="1" a="1"/>
  <c r="P853" i="1" s="1"/>
  <c r="R866" i="1" a="1"/>
  <c r="R866" i="1" s="1"/>
  <c r="P866" i="1" s="1" a="1"/>
  <c r="P866" i="1" s="1"/>
  <c r="R808" i="1" a="1"/>
  <c r="R808" i="1" s="1"/>
  <c r="P808" i="1" s="1" a="1"/>
  <c r="P808" i="1" s="1"/>
  <c r="R833" i="1" a="1"/>
  <c r="R833" i="1" s="1"/>
  <c r="P833" i="1" s="1" a="1"/>
  <c r="P833" i="1" s="1"/>
  <c r="S811" i="1" a="1"/>
  <c r="S811" i="1" s="1"/>
  <c r="Q811" i="1" s="1" a="1"/>
  <c r="Q811" i="1" s="1"/>
  <c r="R823" i="1" a="1"/>
  <c r="R823" i="1" s="1"/>
  <c r="P823" i="1" s="1" a="1"/>
  <c r="P823" i="1" s="1"/>
  <c r="R865" i="1" a="1"/>
  <c r="R865" i="1" s="1"/>
  <c r="P865" i="1" s="1" a="1"/>
  <c r="P865" i="1" s="1"/>
  <c r="R844" i="1" a="1"/>
  <c r="R844" i="1" s="1"/>
  <c r="P844" i="1" s="1" a="1"/>
  <c r="P844" i="1" s="1"/>
  <c r="S857" i="1" a="1"/>
  <c r="S857" i="1" s="1"/>
  <c r="Q857" i="1" s="1" a="1"/>
  <c r="Q857" i="1" s="1"/>
  <c r="U857" i="1" s="1"/>
  <c r="S817" i="1" a="1"/>
  <c r="S817" i="1" s="1"/>
  <c r="Q817" i="1" s="1" a="1"/>
  <c r="Q817" i="1" s="1"/>
  <c r="R812" i="1" a="1"/>
  <c r="R812" i="1" s="1"/>
  <c r="P812" i="1" s="1" a="1"/>
  <c r="P812" i="1" s="1"/>
  <c r="R800" i="1" a="1"/>
  <c r="R800" i="1" s="1"/>
  <c r="P800" i="1" s="1" a="1"/>
  <c r="P800" i="1" s="1"/>
  <c r="S868" i="1" a="1"/>
  <c r="S868" i="1" s="1"/>
  <c r="Q868" i="1" s="1" a="1"/>
  <c r="Q868" i="1" s="1"/>
  <c r="R876" i="1" a="1"/>
  <c r="R876" i="1" s="1"/>
  <c r="P876" i="1" s="1" a="1"/>
  <c r="P876" i="1" s="1"/>
  <c r="S851" i="1" a="1"/>
  <c r="S851" i="1" s="1"/>
  <c r="Q851" i="1" s="1" a="1"/>
  <c r="Q851" i="1" s="1"/>
  <c r="S854" i="1" a="1"/>
  <c r="S854" i="1" s="1"/>
  <c r="Q854" i="1" s="1" a="1"/>
  <c r="Q854" i="1" s="1"/>
  <c r="R843" i="1" a="1"/>
  <c r="R843" i="1" s="1"/>
  <c r="P843" i="1" s="1" a="1"/>
  <c r="P843" i="1" s="1"/>
  <c r="R806" i="1" a="1"/>
  <c r="R806" i="1" s="1"/>
  <c r="P806" i="1" s="1" a="1"/>
  <c r="P806" i="1" s="1"/>
  <c r="T806" i="1" s="1"/>
  <c r="R809" i="1" a="1"/>
  <c r="R809" i="1" s="1"/>
  <c r="P809" i="1" s="1" a="1"/>
  <c r="P809" i="1" s="1"/>
  <c r="R803" i="1" a="1"/>
  <c r="R803" i="1" s="1"/>
  <c r="P803" i="1" s="1" a="1"/>
  <c r="P803" i="1" s="1"/>
  <c r="S825" i="1" a="1"/>
  <c r="S825" i="1" s="1"/>
  <c r="Q825" i="1" s="1" a="1"/>
  <c r="Q825" i="1" s="1"/>
  <c r="U825" i="1" s="1"/>
  <c r="S822" i="1" a="1"/>
  <c r="S822" i="1" s="1"/>
  <c r="Q822" i="1" s="1" a="1"/>
  <c r="Q822" i="1" s="1"/>
  <c r="R872" i="1" a="1"/>
  <c r="R872" i="1" s="1"/>
  <c r="P872" i="1" s="1" a="1"/>
  <c r="P872" i="1" s="1"/>
  <c r="R831" i="1" a="1"/>
  <c r="R831" i="1" s="1"/>
  <c r="P831" i="1" s="1" a="1"/>
  <c r="P831" i="1" s="1"/>
  <c r="R815" i="1" a="1"/>
  <c r="R815" i="1" s="1"/>
  <c r="P815" i="1" s="1" a="1"/>
  <c r="P815" i="1" s="1"/>
  <c r="R834" i="1" a="1"/>
  <c r="R834" i="1" s="1"/>
  <c r="P834" i="1" s="1" a="1"/>
  <c r="P834" i="1" s="1"/>
  <c r="R851" i="1" a="1"/>
  <c r="R851" i="1" s="1"/>
  <c r="P851" i="1" s="1" a="1"/>
  <c r="P851" i="1" s="1"/>
  <c r="S820" i="1" a="1"/>
  <c r="S820" i="1" s="1"/>
  <c r="Q820" i="1" s="1" a="1"/>
  <c r="Q820" i="1" s="1"/>
  <c r="S843" i="1" a="1"/>
  <c r="S843" i="1" s="1"/>
  <c r="Q843" i="1" s="1" a="1"/>
  <c r="Q843" i="1" s="1"/>
  <c r="R867" i="1" a="1"/>
  <c r="R867" i="1" s="1"/>
  <c r="P867" i="1" s="1" a="1"/>
  <c r="P867" i="1" s="1"/>
  <c r="R875" i="1" a="1"/>
  <c r="R875" i="1" s="1"/>
  <c r="P875" i="1" s="1" a="1"/>
  <c r="P875" i="1" s="1"/>
  <c r="S834" i="1" a="1"/>
  <c r="S834" i="1" s="1"/>
  <c r="Q834" i="1" s="1" a="1"/>
  <c r="Q834" i="1" s="1"/>
  <c r="R832" i="1" a="1"/>
  <c r="R832" i="1" s="1"/>
  <c r="P832" i="1" s="1" a="1"/>
  <c r="P832" i="1" s="1"/>
  <c r="R855" i="1" a="1"/>
  <c r="R855" i="1" s="1"/>
  <c r="P855" i="1" s="1" a="1"/>
  <c r="P855" i="1" s="1"/>
  <c r="S872" i="1" a="1"/>
  <c r="S872" i="1" s="1"/>
  <c r="Q872" i="1" s="1" a="1"/>
  <c r="Q872" i="1" s="1"/>
  <c r="S814" i="1" a="1"/>
  <c r="S814" i="1" s="1"/>
  <c r="Q814" i="1" s="1" a="1"/>
  <c r="Q814" i="1" s="1"/>
  <c r="R864" i="1" a="1"/>
  <c r="R864" i="1" s="1"/>
  <c r="P864" i="1" s="1" a="1"/>
  <c r="P864" i="1" s="1"/>
  <c r="R817" i="1" a="1"/>
  <c r="R817" i="1" s="1"/>
  <c r="P817" i="1" s="1" a="1"/>
  <c r="P817" i="1" s="1"/>
  <c r="S874" i="1" a="1"/>
  <c r="S874" i="1" s="1"/>
  <c r="Q874" i="1" s="1" a="1"/>
  <c r="Q874" i="1" s="1"/>
  <c r="R811" i="1" a="1"/>
  <c r="R811" i="1" s="1"/>
  <c r="P811" i="1" s="1" a="1"/>
  <c r="P811" i="1" s="1"/>
  <c r="R840" i="1" a="1"/>
  <c r="R840" i="1" s="1"/>
  <c r="P840" i="1" s="1" a="1"/>
  <c r="P840" i="1" s="1"/>
  <c r="S871" i="1" a="1"/>
  <c r="S871" i="1" s="1"/>
  <c r="Q871" i="1" s="1" a="1"/>
  <c r="Q871" i="1" s="1"/>
  <c r="S877" i="1" a="1"/>
  <c r="S877" i="1" s="1"/>
  <c r="Q877" i="1" s="1" a="1"/>
  <c r="Q877" i="1" s="1"/>
  <c r="R852" i="1" a="1"/>
  <c r="R852" i="1" s="1"/>
  <c r="P852" i="1" s="1" a="1"/>
  <c r="P852" i="1" s="1"/>
  <c r="R857" i="1" a="1"/>
  <c r="R857" i="1" s="1"/>
  <c r="S870" i="1" a="1"/>
  <c r="S870" i="1" s="1"/>
  <c r="Q870" i="1" s="1" a="1"/>
  <c r="Q870" i="1" s="1"/>
  <c r="R849" i="1" a="1"/>
  <c r="R849" i="1" s="1"/>
  <c r="P849" i="1" s="1" a="1"/>
  <c r="P849" i="1" s="1"/>
  <c r="S878" i="1" a="1"/>
  <c r="S878" i="1" s="1"/>
  <c r="Q878" i="1" s="1" a="1"/>
  <c r="Q878" i="1" s="1"/>
  <c r="U878" i="1" s="1"/>
  <c r="S845" i="1" a="1"/>
  <c r="S845" i="1" s="1"/>
  <c r="Q845" i="1" s="1" a="1"/>
  <c r="Q845" i="1" s="1"/>
  <c r="S803" i="1" a="1"/>
  <c r="S803" i="1" s="1"/>
  <c r="Q803" i="1" s="1" a="1"/>
  <c r="Q803" i="1" s="1"/>
  <c r="R830" i="1" a="1"/>
  <c r="R830" i="1" s="1"/>
  <c r="P830" i="1" s="1" a="1"/>
  <c r="P830" i="1" s="1"/>
  <c r="S839" i="1" a="1"/>
  <c r="S839" i="1" s="1"/>
  <c r="Q839" i="1" s="1" a="1"/>
  <c r="Q839" i="1" s="1"/>
  <c r="U839" i="1" s="1"/>
  <c r="S864" i="1" a="1"/>
  <c r="S864" i="1" s="1"/>
  <c r="Q864" i="1" s="1" a="1"/>
  <c r="Q864" i="1" s="1"/>
  <c r="S801" i="1" a="1"/>
  <c r="S801" i="1" s="1"/>
  <c r="Q801" i="1" s="1" a="1"/>
  <c r="Q801" i="1" s="1"/>
  <c r="R846" i="1" a="1"/>
  <c r="R846" i="1" s="1"/>
  <c r="P846" i="1" s="1" a="1"/>
  <c r="P846" i="1" s="1"/>
  <c r="R836" i="1" a="1"/>
  <c r="R836" i="1" s="1"/>
  <c r="P836" i="1" s="1" a="1"/>
  <c r="P836" i="1" s="1"/>
  <c r="S836" i="1" a="1"/>
  <c r="S836" i="1" s="1"/>
  <c r="Q836" i="1" s="1" a="1"/>
  <c r="Q836" i="1" s="1"/>
  <c r="S866" i="1" a="1"/>
  <c r="S866" i="1" s="1"/>
  <c r="Q866" i="1" s="1" a="1"/>
  <c r="Q866" i="1" s="1"/>
  <c r="R820" i="1" a="1"/>
  <c r="R820" i="1" s="1"/>
  <c r="P820" i="1" s="1" a="1"/>
  <c r="P820" i="1" s="1"/>
  <c r="R839" i="1" a="1"/>
  <c r="R839" i="1" s="1"/>
  <c r="P839" i="1" s="1" a="1"/>
  <c r="P839" i="1" s="1"/>
  <c r="T839" i="1" s="1"/>
  <c r="S799" i="1" a="1"/>
  <c r="S799" i="1" s="1"/>
  <c r="Q799" i="1" s="1" a="1"/>
  <c r="Q799" i="1" s="1"/>
  <c r="S832" i="1" a="1"/>
  <c r="S832" i="1" s="1"/>
  <c r="Q832" i="1" s="1" a="1"/>
  <c r="Q832" i="1" s="1"/>
  <c r="R871" i="1" a="1"/>
  <c r="R871" i="1" s="1"/>
  <c r="P871" i="1" s="1" a="1"/>
  <c r="P871" i="1" s="1"/>
  <c r="R807" i="1" a="1"/>
  <c r="R807" i="1" s="1"/>
  <c r="P807" i="1" s="1" a="1"/>
  <c r="P807" i="1" s="1"/>
  <c r="T807" i="1" s="1"/>
  <c r="S838" i="1" a="1"/>
  <c r="S838" i="1" s="1"/>
  <c r="Q838" i="1" s="1" a="1"/>
  <c r="Q838" i="1" s="1"/>
  <c r="U838" i="1" s="1"/>
  <c r="R877" i="1" a="1"/>
  <c r="R877" i="1" s="1"/>
  <c r="P877" i="1" s="1" a="1"/>
  <c r="P877" i="1" s="1"/>
  <c r="R854" i="1" a="1"/>
  <c r="R854" i="1" s="1"/>
  <c r="P854" i="1" s="1" a="1"/>
  <c r="P854" i="1" s="1"/>
  <c r="S842" i="1" a="1"/>
  <c r="S842" i="1" s="1"/>
  <c r="Q842" i="1" s="1" a="1"/>
  <c r="Q842" i="1" s="1"/>
  <c r="R822" i="1" a="1"/>
  <c r="R822" i="1" s="1"/>
  <c r="P822" i="1" s="1" a="1"/>
  <c r="P822" i="1" s="1"/>
  <c r="S855" i="1" a="1"/>
  <c r="S855" i="1" s="1"/>
  <c r="Q855" i="1" s="1" a="1"/>
  <c r="Q855" i="1" s="1"/>
  <c r="R813" i="1" a="1"/>
  <c r="R813" i="1" s="1"/>
  <c r="P813" i="1" s="1" a="1"/>
  <c r="P813" i="1" s="1"/>
  <c r="S823" i="1" a="1"/>
  <c r="S823" i="1" s="1"/>
  <c r="Q823" i="1" s="1" a="1"/>
  <c r="Q823" i="1" s="1"/>
  <c r="R861" i="1" a="1"/>
  <c r="R861" i="1" s="1"/>
  <c r="P861" i="1" s="1" a="1"/>
  <c r="P861" i="1" s="1"/>
  <c r="S805" i="1" a="1"/>
  <c r="S805" i="1" s="1"/>
  <c r="Q805" i="1" s="1" a="1"/>
  <c r="Q805" i="1" s="1"/>
  <c r="S862" i="1" a="1"/>
  <c r="S862" i="1" s="1"/>
  <c r="Q862" i="1" s="1" a="1"/>
  <c r="Q862" i="1" s="1"/>
  <c r="S848" i="1" a="1"/>
  <c r="S848" i="1" s="1"/>
  <c r="Q848" i="1" s="1" a="1"/>
  <c r="Q848" i="1" s="1"/>
  <c r="U848" i="1" s="1"/>
  <c r="S809" i="1" a="1"/>
  <c r="S809" i="1" s="1"/>
  <c r="Q809" i="1" s="1" a="1"/>
  <c r="Q809" i="1" s="1"/>
  <c r="S819" i="1" a="1"/>
  <c r="S819" i="1" s="1"/>
  <c r="Q819" i="1" s="1" a="1"/>
  <c r="Q819" i="1" s="1"/>
  <c r="S802" i="1" a="1"/>
  <c r="S802" i="1" s="1"/>
  <c r="Q802" i="1" s="1" a="1"/>
  <c r="Q802" i="1" s="1"/>
  <c r="S830" i="1" a="1"/>
  <c r="S830" i="1" s="1"/>
  <c r="Q830" i="1" s="1" a="1"/>
  <c r="Q830" i="1" s="1"/>
  <c r="R862" i="1" a="1"/>
  <c r="R862" i="1" s="1"/>
  <c r="P862" i="1" s="1" a="1"/>
  <c r="P862" i="1" s="1"/>
  <c r="R798" i="1" a="1"/>
  <c r="R798" i="1" s="1"/>
  <c r="P798" i="1" s="1" a="1"/>
  <c r="P798" i="1" s="1"/>
  <c r="S821" i="1" a="1"/>
  <c r="S821" i="1" s="1"/>
  <c r="Q821" i="1" s="1" a="1"/>
  <c r="Q821" i="1" s="1"/>
  <c r="S813" i="1" a="1"/>
  <c r="S813" i="1" s="1"/>
  <c r="Q813" i="1" s="1" a="1"/>
  <c r="Q813" i="1" s="1"/>
  <c r="S875" i="1" a="1"/>
  <c r="S875" i="1" s="1"/>
  <c r="Q875" i="1" s="1" a="1"/>
  <c r="Q875" i="1" s="1"/>
  <c r="R868" i="1" a="1"/>
  <c r="R868" i="1" s="1"/>
  <c r="P868" i="1" s="1" a="1"/>
  <c r="P868" i="1" s="1"/>
  <c r="R821" i="1" a="1"/>
  <c r="R821" i="1" s="1"/>
  <c r="P821" i="1" s="1" a="1"/>
  <c r="P821" i="1" s="1"/>
  <c r="S844" i="1" a="1"/>
  <c r="S844" i="1" s="1"/>
  <c r="Q844" i="1" s="1" a="1"/>
  <c r="Q844" i="1" s="1"/>
  <c r="R802" i="1" a="1"/>
  <c r="R802" i="1" s="1"/>
  <c r="P802" i="1" s="1" a="1"/>
  <c r="P802" i="1" s="1"/>
  <c r="S873" i="1" a="1"/>
  <c r="S873" i="1" s="1"/>
  <c r="Q873" i="1" s="1" a="1"/>
  <c r="Q873" i="1" s="1"/>
  <c r="S841" i="1" a="1"/>
  <c r="S841" i="1" s="1"/>
  <c r="Q841" i="1" s="1" a="1"/>
  <c r="Q841" i="1" s="1"/>
  <c r="R825" i="1" a="1"/>
  <c r="R825" i="1" s="1"/>
  <c r="P825" i="1" s="1" a="1"/>
  <c r="P825" i="1" s="1"/>
  <c r="T825" i="1" s="1"/>
  <c r="R804" i="1" a="1"/>
  <c r="R804" i="1" s="1"/>
  <c r="P804" i="1" s="1" a="1"/>
  <c r="P804" i="1" s="1"/>
  <c r="S800" i="1" a="1"/>
  <c r="S800" i="1" s="1"/>
  <c r="Q800" i="1" s="1" a="1"/>
  <c r="Q800" i="1" s="1"/>
  <c r="S833" i="1" a="1"/>
  <c r="S833" i="1" s="1"/>
  <c r="Q833" i="1" s="1" a="1"/>
  <c r="Q833" i="1" s="1"/>
  <c r="S867" i="1" a="1"/>
  <c r="S867" i="1" s="1"/>
  <c r="Q867" i="1" s="1" a="1"/>
  <c r="Q867" i="1" s="1"/>
  <c r="S824" i="1" a="1"/>
  <c r="S824" i="1" s="1"/>
  <c r="Q824" i="1" s="1" a="1"/>
  <c r="Q824" i="1" s="1"/>
  <c r="R816" i="1" a="1"/>
  <c r="R816" i="1" s="1"/>
  <c r="P816" i="1" s="1" a="1"/>
  <c r="P816" i="1" s="1"/>
  <c r="T816" i="1" s="1"/>
  <c r="R837" i="1" a="1"/>
  <c r="R837" i="1" s="1"/>
  <c r="P837" i="1" s="1" a="1"/>
  <c r="P837" i="1" s="1"/>
  <c r="R819" i="1" a="1"/>
  <c r="R819" i="1" s="1"/>
  <c r="P819" i="1" s="1" a="1"/>
  <c r="P819" i="1" s="1"/>
  <c r="R835" i="1" a="1"/>
  <c r="R835" i="1" s="1"/>
  <c r="P835" i="1" s="1" a="1"/>
  <c r="P835" i="1" s="1"/>
  <c r="S806" i="1" a="1"/>
  <c r="S806" i="1" s="1"/>
  <c r="Q806" i="1" s="1" a="1"/>
  <c r="Q806" i="1" s="1"/>
  <c r="U806" i="1" s="1"/>
  <c r="S863" i="1" a="1"/>
  <c r="S863" i="1" s="1"/>
  <c r="Q863" i="1" s="1" a="1"/>
  <c r="Q863" i="1" s="1"/>
  <c r="S865" i="1" a="1"/>
  <c r="S865" i="1" s="1"/>
  <c r="Q865" i="1" s="1" a="1"/>
  <c r="Q865" i="1" s="1"/>
  <c r="S804" i="1" a="1"/>
  <c r="S804" i="1" s="1"/>
  <c r="Q804" i="1" s="1" a="1"/>
  <c r="Q804" i="1" s="1"/>
  <c r="S815" i="1" a="1"/>
  <c r="S815" i="1" s="1"/>
  <c r="Q815" i="1" s="1" a="1"/>
  <c r="Q815" i="1" s="1"/>
  <c r="R838" i="1" a="1"/>
  <c r="R838" i="1" s="1"/>
  <c r="P838" i="1" s="1" a="1"/>
  <c r="P838" i="1" s="1"/>
  <c r="T838" i="1" s="1"/>
  <c r="S807" i="1" a="1"/>
  <c r="S807" i="1" s="1"/>
  <c r="Q807" i="1" s="1" a="1"/>
  <c r="Q807" i="1" s="1"/>
  <c r="U807" i="1" s="1"/>
  <c r="S798" i="1" a="1"/>
  <c r="S798" i="1" s="1"/>
  <c r="Q798" i="1" s="1" a="1"/>
  <c r="Q798" i="1" s="1"/>
  <c r="S861" i="1" a="1"/>
  <c r="S861" i="1" s="1"/>
  <c r="Q861" i="1" s="1" a="1"/>
  <c r="Q861" i="1" s="1"/>
  <c r="S869" i="1" a="1"/>
  <c r="S869" i="1" s="1"/>
  <c r="Q869" i="1" s="1" a="1"/>
  <c r="Q869" i="1" s="1"/>
  <c r="U869" i="1" s="1"/>
  <c r="S856" i="1" a="1"/>
  <c r="S856" i="1" s="1"/>
  <c r="Q856" i="1" s="1" a="1"/>
  <c r="Q856" i="1" s="1"/>
  <c r="R810" i="1" a="1"/>
  <c r="R810" i="1" s="1"/>
  <c r="P810" i="1" s="1" a="1"/>
  <c r="P810" i="1" s="1"/>
  <c r="R814" i="1" a="1"/>
  <c r="R814" i="1" s="1"/>
  <c r="P814" i="1" s="1" a="1"/>
  <c r="P814" i="1" s="1"/>
  <c r="R873" i="1" a="1"/>
  <c r="R873" i="1" s="1"/>
  <c r="P873" i="1" s="1" a="1"/>
  <c r="P873" i="1" s="1"/>
  <c r="R869" i="1" a="1"/>
  <c r="R869" i="1" s="1"/>
  <c r="P869" i="1" s="1" a="1"/>
  <c r="P869" i="1" s="1"/>
  <c r="T869" i="1" s="1"/>
  <c r="S818" i="1" a="1"/>
  <c r="S818" i="1" s="1"/>
  <c r="Q818" i="1" s="1" a="1"/>
  <c r="Q818" i="1" s="1"/>
  <c r="S835" i="1" a="1"/>
  <c r="S835" i="1" s="1"/>
  <c r="Q835" i="1" s="1" a="1"/>
  <c r="Q835" i="1" s="1"/>
  <c r="R845" i="1" a="1"/>
  <c r="R845" i="1" s="1"/>
  <c r="P845" i="1" s="1" a="1"/>
  <c r="P845" i="1" s="1"/>
  <c r="R841" i="1" a="1"/>
  <c r="R841" i="1" s="1"/>
  <c r="P841" i="1" s="1" a="1"/>
  <c r="P841" i="1" s="1"/>
  <c r="R878" i="1" a="1"/>
  <c r="R878" i="1" s="1"/>
  <c r="P878" i="1" s="1" a="1"/>
  <c r="P878" i="1" s="1"/>
  <c r="T878" i="1" s="1"/>
  <c r="R847" i="1" a="1"/>
  <c r="R847" i="1" s="1"/>
  <c r="P847" i="1" s="1" a="1"/>
  <c r="P847" i="1" s="1"/>
  <c r="S808" i="1" a="1"/>
  <c r="S808" i="1" s="1"/>
  <c r="Q808" i="1" s="1" a="1"/>
  <c r="Q808" i="1" s="1"/>
  <c r="R863" i="1" a="1"/>
  <c r="R863" i="1" s="1"/>
  <c r="P863" i="1" s="1" a="1"/>
  <c r="P863" i="1" s="1"/>
  <c r="R856" i="1" a="1"/>
  <c r="R856" i="1" s="1"/>
  <c r="P856" i="1" s="1" a="1"/>
  <c r="P856" i="1" s="1"/>
  <c r="R874" i="1" a="1"/>
  <c r="R874" i="1" s="1"/>
  <c r="P874" i="1" s="1" a="1"/>
  <c r="P874" i="1" s="1"/>
  <c r="R824" i="1" a="1"/>
  <c r="R824" i="1" s="1"/>
  <c r="P824" i="1" s="1" a="1"/>
  <c r="P824" i="1" s="1"/>
  <c r="S847" i="1" a="1"/>
  <c r="S847" i="1" s="1"/>
  <c r="Q847" i="1" s="1" a="1"/>
  <c r="Q847" i="1" s="1"/>
  <c r="S853" i="1" a="1"/>
  <c r="S853" i="1" s="1"/>
  <c r="Q853" i="1" s="1" a="1"/>
  <c r="Q853" i="1" s="1"/>
  <c r="S812" i="1" a="1"/>
  <c r="S812" i="1" s="1"/>
  <c r="Q812" i="1" s="1" a="1"/>
  <c r="Q812" i="1" s="1"/>
  <c r="R870" i="1" a="1"/>
  <c r="R870" i="1" s="1"/>
  <c r="P870" i="1" s="1" a="1"/>
  <c r="P870" i="1" s="1"/>
  <c r="P193" i="1" a="1"/>
  <c r="P193" i="1" s="1"/>
  <c r="P97" i="1" a="1"/>
  <c r="P97" i="1" s="1"/>
  <c r="P185" i="1" a="1"/>
  <c r="P185" i="1" s="1"/>
  <c r="P827" i="1" a="1"/>
  <c r="P827" i="1" s="1"/>
  <c r="P226" i="1" a="1"/>
  <c r="P226" i="1" s="1"/>
  <c r="P859" i="1" a="1"/>
  <c r="P859" i="1" s="1"/>
  <c r="P797" i="1" a="1"/>
  <c r="P797" i="1" s="1"/>
  <c r="P829" i="1" a="1"/>
  <c r="P829" i="1" s="1"/>
  <c r="P764" i="1" a="1"/>
  <c r="P764" i="1" s="1"/>
  <c r="P795" i="1" a="1"/>
  <c r="P795" i="1" s="1"/>
  <c r="P601" i="1" a="1"/>
  <c r="P601" i="1" s="1"/>
  <c r="P760" i="1" a="1"/>
  <c r="P760" i="1" s="1"/>
  <c r="P218" i="1" a="1"/>
  <c r="P218" i="1" s="1"/>
  <c r="P184" i="1" a="1"/>
  <c r="P184" i="1" s="1"/>
  <c r="P657" i="1" a="1"/>
  <c r="P657" i="1" s="1"/>
  <c r="P857" i="1" a="1"/>
  <c r="P857" i="1" s="1"/>
  <c r="T857" i="1" s="1"/>
  <c r="P195" i="1" a="1"/>
  <c r="P195" i="1" s="1"/>
  <c r="P30" i="1" a="1"/>
  <c r="P30" i="1" s="1"/>
  <c r="P239" i="1" a="1"/>
  <c r="P239" i="1" s="1"/>
  <c r="P233" i="1" a="1"/>
  <c r="P233" i="1" s="1"/>
  <c r="P27" i="1" a="1"/>
  <c r="P27" i="1" s="1"/>
  <c r="P219" i="1" a="1"/>
  <c r="P219" i="1" s="1"/>
  <c r="P192" i="1" a="1"/>
  <c r="P192" i="1" s="1"/>
  <c r="P96" i="1" a="1"/>
  <c r="P96" i="1" s="1"/>
  <c r="P330" i="1" a="1"/>
  <c r="P330" i="1" s="1"/>
  <c r="P194" i="1" a="1"/>
  <c r="P194" i="1" s="1"/>
  <c r="P98" i="1" a="1"/>
  <c r="P98" i="1" s="1"/>
  <c r="P146" i="1" a="1"/>
  <c r="P146" i="1" s="1"/>
  <c r="P29" i="1" a="1"/>
  <c r="P29" i="1" s="1"/>
  <c r="P238" i="1" a="1"/>
  <c r="P238" i="1" s="1"/>
  <c r="P99" i="1" a="1"/>
  <c r="P99" i="1" s="1"/>
  <c r="P147" i="1" a="1"/>
  <c r="P147" i="1" s="1"/>
  <c r="P25" i="1" a="1"/>
  <c r="P25" i="1" s="1"/>
  <c r="P883" i="1" a="1"/>
  <c r="P883" i="1" s="1"/>
  <c r="P656" i="1" a="1"/>
  <c r="P656" i="1" s="1"/>
  <c r="P882" i="1" a="1"/>
  <c r="P882" i="1" s="1"/>
  <c r="P581" i="1" a="1"/>
  <c r="P581" i="1" s="1"/>
  <c r="P763" i="1" a="1"/>
  <c r="P763" i="1" s="1"/>
  <c r="P771" i="1" a="1"/>
  <c r="P771" i="1" s="1"/>
  <c r="P568" i="1" a="1"/>
  <c r="P568" i="1" s="1"/>
  <c r="P828" i="1" a="1"/>
  <c r="P828" i="1" s="1"/>
  <c r="P785" i="1" a="1"/>
  <c r="P785" i="1" s="1"/>
  <c r="P879" i="1" a="1"/>
  <c r="P879" i="1" s="1"/>
  <c r="P794" i="1" a="1"/>
  <c r="P794" i="1" s="1"/>
  <c r="P136" i="1" a="1"/>
  <c r="P136" i="1" s="1"/>
  <c r="T136" i="1" s="1"/>
  <c r="P860" i="1" a="1"/>
  <c r="P860" i="1" s="1"/>
  <c r="P117" i="1" a="1"/>
  <c r="P117" i="1" s="1"/>
  <c r="T117" i="1" s="1"/>
  <c r="P776" i="1" a="1"/>
  <c r="P776" i="1" s="1"/>
  <c r="P592" i="1" a="1"/>
  <c r="P592" i="1" s="1"/>
  <c r="T592" i="1" s="1"/>
  <c r="P759" i="1" a="1"/>
  <c r="P759" i="1" s="1"/>
  <c r="P567" i="1" a="1"/>
  <c r="P567" i="1" s="1"/>
  <c r="P858" i="1" a="1"/>
  <c r="P858" i="1" s="1"/>
  <c r="P790" i="1" a="1"/>
  <c r="P790" i="1" s="1"/>
  <c r="P302" i="1" a="1"/>
  <c r="P302" i="1" s="1"/>
  <c r="T302" i="1" s="1"/>
  <c r="P600" i="1" a="1"/>
  <c r="P600" i="1" s="1"/>
  <c r="P778" i="1" a="1"/>
  <c r="P778" i="1" s="1"/>
  <c r="P885" i="1" a="1"/>
  <c r="P885" i="1" s="1"/>
  <c r="P772" i="1" a="1"/>
  <c r="P772" i="1" s="1"/>
  <c r="P789" i="1" a="1"/>
  <c r="P789" i="1" s="1"/>
  <c r="P59" i="1" a="1"/>
  <c r="P59" i="1" s="1"/>
  <c r="T59" i="1" s="1"/>
  <c r="P884" i="1" a="1"/>
  <c r="P884" i="1" s="1"/>
  <c r="P580" i="1" a="1"/>
  <c r="P580" i="1" s="1"/>
  <c r="P204" i="1" a="1"/>
  <c r="P204" i="1" s="1"/>
  <c r="P784" i="1" a="1"/>
  <c r="P784" i="1" s="1"/>
  <c r="P826" i="1" a="1"/>
  <c r="P826" i="1" s="1"/>
  <c r="P780" i="1" a="1"/>
  <c r="P780" i="1" s="1"/>
  <c r="P796" i="1" a="1"/>
  <c r="P796" i="1" s="1"/>
  <c r="P50" i="1" a="1"/>
  <c r="P50" i="1" s="1"/>
  <c r="T50" i="1" s="1"/>
  <c r="P761" i="1" a="1"/>
  <c r="P761" i="1" s="1"/>
  <c r="P108" i="1" a="1"/>
  <c r="P108" i="1" s="1"/>
  <c r="T108" i="1" s="1"/>
  <c r="P593" i="1" a="1"/>
  <c r="P593" i="1" s="1"/>
  <c r="P594" i="1" a="1"/>
  <c r="P594" i="1" s="1"/>
  <c r="P248" i="1" a="1"/>
  <c r="P248" i="1" s="1"/>
  <c r="T248" i="1" s="1"/>
  <c r="P174" i="1" a="1"/>
  <c r="P174" i="1" s="1"/>
  <c r="T174" i="1" s="1"/>
  <c r="P571" i="1" a="1"/>
  <c r="P571" i="1" s="1"/>
  <c r="P584" i="1" a="1"/>
  <c r="P584" i="1" s="1"/>
  <c r="P591" i="1" a="1"/>
  <c r="P591" i="1" s="1"/>
  <c r="P583" i="1" a="1"/>
  <c r="P583" i="1" s="1"/>
  <c r="P586" i="1" a="1"/>
  <c r="P586" i="1" s="1"/>
  <c r="P576" i="1" a="1"/>
  <c r="P576" i="1" s="1"/>
  <c r="P572" i="1" a="1"/>
  <c r="P572" i="1" s="1"/>
  <c r="P575" i="1" a="1"/>
  <c r="P575" i="1" s="1"/>
  <c r="P587" i="1" a="1"/>
  <c r="P587" i="1" s="1"/>
  <c r="P577" i="1" a="1"/>
  <c r="P577" i="1" s="1"/>
  <c r="P569" i="1" a="1"/>
  <c r="P569" i="1" s="1"/>
  <c r="P582" i="1" a="1"/>
  <c r="P582" i="1" s="1"/>
  <c r="P579" i="1" a="1"/>
  <c r="P579" i="1" s="1"/>
  <c r="T579" i="1" s="1"/>
  <c r="P590" i="1" a="1"/>
  <c r="P590" i="1" s="1"/>
  <c r="P589" i="1" a="1"/>
  <c r="P589" i="1" s="1"/>
  <c r="P585" i="1" a="1"/>
  <c r="P585" i="1" s="1"/>
  <c r="P574" i="1" a="1"/>
  <c r="P574" i="1" s="1"/>
  <c r="P588" i="1" a="1"/>
  <c r="P588" i="1" s="1"/>
  <c r="P570" i="1" a="1"/>
  <c r="P570" i="1" s="1"/>
  <c r="P573" i="1" a="1"/>
  <c r="P573" i="1" s="1"/>
  <c r="P578" i="1" a="1"/>
  <c r="P578" i="1" s="1"/>
  <c r="L35" i="5"/>
  <c r="P406" i="1" s="1" a="1"/>
  <c r="P406" i="1" s="1"/>
  <c r="H35" i="5"/>
  <c r="P26" i="1" s="1" a="1"/>
  <c r="P26" i="1" s="1"/>
  <c r="P213" i="1" l="1" a="1"/>
  <c r="P213" i="1" s="1"/>
  <c r="P35" i="1" a="1"/>
  <c r="P35" i="1" s="1"/>
  <c r="P416" i="1" a="1"/>
  <c r="P416" i="1" s="1"/>
  <c r="P165" i="1" a="1"/>
  <c r="P165" i="1" s="1"/>
  <c r="T165" i="1" s="1"/>
  <c r="P39" i="1" a="1"/>
  <c r="P39" i="1" s="1"/>
  <c r="P454" i="1" a="1"/>
  <c r="P454" i="1" s="1"/>
  <c r="P417" i="1" a="1"/>
  <c r="P417" i="1" s="1"/>
  <c r="P437" i="1" a="1"/>
  <c r="P437" i="1" s="1"/>
  <c r="T437" i="1" s="1"/>
  <c r="Q704" i="1" a="1"/>
  <c r="Q704" i="1" s="1"/>
  <c r="U704" i="1" s="1"/>
  <c r="P450" i="1" a="1"/>
  <c r="P450" i="1" s="1"/>
  <c r="P73" i="1" a="1"/>
  <c r="P73" i="1" s="1"/>
  <c r="P414" i="1" a="1"/>
  <c r="P414" i="1" s="1"/>
  <c r="U419" i="1"/>
  <c r="Q419" i="1" a="1"/>
  <c r="Q419" i="1" s="1"/>
  <c r="Q511" i="1" a="1"/>
  <c r="Q511" i="1" s="1"/>
  <c r="U511" i="1"/>
  <c r="U556" i="1"/>
  <c r="Q556" i="1" a="1"/>
  <c r="Q556" i="1" s="1"/>
  <c r="P695" i="1" a="1"/>
  <c r="P695" i="1" s="1"/>
  <c r="T695" i="1" s="1"/>
  <c r="U455" i="1"/>
  <c r="Q455" i="1" a="1"/>
  <c r="Q455" i="1" s="1"/>
  <c r="P686" i="1" a="1"/>
  <c r="P686" i="1" s="1"/>
  <c r="T686" i="1" s="1"/>
  <c r="P69" i="1" a="1"/>
  <c r="P69" i="1" s="1"/>
  <c r="U493" i="1"/>
  <c r="Q493" i="1" a="1"/>
  <c r="Q493" i="1" s="1"/>
  <c r="Q403" i="1" a="1"/>
  <c r="Q403" i="1" s="1"/>
  <c r="U403" i="1" s="1"/>
  <c r="P704" i="1" a="1"/>
  <c r="P704" i="1" s="1"/>
  <c r="T704" i="1" s="1"/>
  <c r="P404" i="1" a="1"/>
  <c r="P404" i="1" s="1"/>
  <c r="U204" i="1"/>
  <c r="Q204" i="1" a="1"/>
  <c r="Q204" i="1" s="1"/>
  <c r="Q655" i="1" a="1"/>
  <c r="Q655" i="1" s="1"/>
  <c r="U655" i="1" s="1"/>
  <c r="P428" i="1" a="1"/>
  <c r="P428" i="1" s="1"/>
  <c r="T428" i="1" s="1"/>
  <c r="P75" i="1" a="1"/>
  <c r="P75" i="1" s="1"/>
  <c r="P385" i="1" a="1"/>
  <c r="P385" i="1" s="1"/>
  <c r="T385" i="1" s="1"/>
  <c r="P28" i="1" a="1"/>
  <c r="P28" i="1" s="1"/>
  <c r="U428" i="1"/>
  <c r="Q428" i="1" a="1"/>
  <c r="Q428" i="1" s="1"/>
  <c r="U446" i="1"/>
  <c r="Q446" i="1" a="1"/>
  <c r="Q446" i="1" s="1"/>
  <c r="U565" i="1"/>
  <c r="Q565" i="1" a="1"/>
  <c r="Q565" i="1" s="1"/>
  <c r="P451" i="1" a="1"/>
  <c r="P451" i="1" s="1"/>
  <c r="P74" i="1" a="1"/>
  <c r="P74" i="1" s="1"/>
  <c r="P72" i="1" a="1"/>
  <c r="P72" i="1" s="1"/>
  <c r="P455" i="1" a="1"/>
  <c r="P455" i="1" s="1"/>
  <c r="T455" i="1" s="1"/>
  <c r="P77" i="1" a="1"/>
  <c r="P77" i="1" s="1"/>
  <c r="T77" i="1" s="1"/>
  <c r="P41" i="1" a="1"/>
  <c r="P41" i="1" s="1"/>
  <c r="T41" i="1" s="1"/>
  <c r="P71" i="1" a="1"/>
  <c r="P71" i="1" s="1"/>
  <c r="P40" i="1" a="1"/>
  <c r="P40" i="1" s="1"/>
  <c r="Q547" i="1" a="1"/>
  <c r="Q547" i="1" s="1"/>
  <c r="U547" i="1"/>
  <c r="P70" i="1" a="1"/>
  <c r="P70" i="1" s="1"/>
  <c r="U464" i="1"/>
  <c r="Q464" i="1" a="1"/>
  <c r="Q464" i="1" s="1"/>
  <c r="Q677" i="1" a="1"/>
  <c r="Q677" i="1" s="1"/>
  <c r="U677" i="1" s="1"/>
  <c r="P619" i="1" a="1"/>
  <c r="P619" i="1" s="1"/>
  <c r="T619" i="1" s="1"/>
  <c r="P452" i="1" a="1"/>
  <c r="P452" i="1" s="1"/>
  <c r="P419" i="1" a="1"/>
  <c r="P419" i="1" s="1"/>
  <c r="T419" i="1" s="1"/>
  <c r="P415" i="1" a="1"/>
  <c r="P415" i="1" s="1"/>
  <c r="Q174" i="1" a="1"/>
  <c r="Q174" i="1" s="1"/>
  <c r="U174" i="1" s="1"/>
  <c r="P36" i="1" a="1"/>
  <c r="P36" i="1" s="1"/>
  <c r="U437" i="1"/>
  <c r="Q437" i="1" a="1"/>
  <c r="Q437" i="1" s="1"/>
  <c r="P448" i="1" a="1"/>
  <c r="P448" i="1" s="1"/>
  <c r="P412" i="1" a="1"/>
  <c r="P412" i="1" s="1"/>
  <c r="P33" i="1" a="1"/>
  <c r="P33" i="1" s="1"/>
  <c r="U213" i="1"/>
  <c r="Q213" i="1" a="1"/>
  <c r="Q213" i="1" s="1"/>
  <c r="P284" i="1" a="1"/>
  <c r="P284" i="1" s="1"/>
  <c r="T284" i="1" s="1"/>
  <c r="Q722" i="1" a="1"/>
  <c r="Q722" i="1" s="1"/>
  <c r="U722" i="1" s="1"/>
  <c r="P418" i="1" a="1"/>
  <c r="P418" i="1" s="1"/>
  <c r="Q257" i="1" a="1"/>
  <c r="Q257" i="1" s="1"/>
  <c r="U257" i="1" s="1"/>
  <c r="Q529" i="1" a="1"/>
  <c r="Q529" i="1" s="1"/>
  <c r="U529" i="1"/>
  <c r="P37" i="1" a="1"/>
  <c r="P37" i="1" s="1"/>
  <c r="P637" i="1" a="1"/>
  <c r="P637" i="1" s="1"/>
  <c r="T637" i="1" s="1"/>
  <c r="P34" i="1" a="1"/>
  <c r="P34" i="1" s="1"/>
  <c r="P628" i="1" a="1"/>
  <c r="P628" i="1" s="1"/>
  <c r="T628" i="1" s="1"/>
  <c r="U484" i="1"/>
  <c r="Q484" i="1" a="1"/>
  <c r="Q484" i="1" s="1"/>
  <c r="P449" i="1" a="1"/>
  <c r="P449" i="1" s="1"/>
  <c r="P447" i="1" a="1"/>
  <c r="P447" i="1" s="1"/>
  <c r="U502" i="1"/>
  <c r="Q502" i="1" a="1"/>
  <c r="Q502" i="1" s="1"/>
  <c r="P413" i="1" a="1"/>
  <c r="P413" i="1" s="1"/>
  <c r="Q731" i="1" a="1"/>
  <c r="Q731" i="1" s="1"/>
  <c r="U731" i="1" s="1"/>
  <c r="P394" i="1" a="1"/>
  <c r="P394" i="1" s="1"/>
  <c r="T394" i="1" s="1"/>
  <c r="U520" i="1"/>
  <c r="Q520" i="1" a="1"/>
  <c r="Q520" i="1" s="1"/>
  <c r="Q68" i="1" a="1"/>
  <c r="Q68" i="1" s="1"/>
  <c r="U68" i="1" s="1"/>
  <c r="P453" i="1" a="1"/>
  <c r="P453" i="1" s="1"/>
  <c r="Q713" i="1" a="1"/>
  <c r="Q713" i="1" s="1"/>
  <c r="U713" i="1" s="1"/>
  <c r="P76" i="1" a="1"/>
  <c r="P76" i="1" s="1"/>
  <c r="Q41" i="1" a="1"/>
  <c r="Q41" i="1" s="1"/>
  <c r="U41" i="1" s="1"/>
  <c r="P38" i="1" a="1"/>
  <c r="P38" i="1" s="1"/>
  <c r="U473" i="1"/>
  <c r="Q473" i="1" a="1"/>
  <c r="Q473" i="1" s="1"/>
  <c r="P411" i="1" a="1"/>
  <c r="P411" i="1" s="1"/>
  <c r="U538" i="1"/>
  <c r="Q538" i="1" a="1"/>
  <c r="Q538" i="1" s="1"/>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22" i="2"/>
  <c r="Q25" i="3" a="1"/>
  <c r="Q2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7" authorId="0" shapeId="0" xr:uid="{00000000-0006-0000-0100-000001000000}">
      <text>
        <r>
          <rPr>
            <sz val="12"/>
            <color indexed="81"/>
            <rFont val="Tahoma"/>
            <family val="2"/>
          </rPr>
          <t>MNUMRTCL in RTEK includes file must be greater than or equal to this value.</t>
        </r>
      </text>
    </comment>
    <comment ref="L18" authorId="0" shapeId="0" xr:uid="{FAE4BA24-38F2-45CA-860A-8AC2B7853CB2}">
      <text>
        <r>
          <rPr>
            <sz val="12"/>
            <color indexed="81"/>
            <rFont val="Tahoma"/>
            <family val="2"/>
          </rPr>
          <t>Weibull distribution scale parameter α, which would be the decay length in an exponential distribution</t>
        </r>
      </text>
    </comment>
    <comment ref="M18" authorId="0" shapeId="0" xr:uid="{97CF49D8-BC7C-4070-ACFC-B5DA6EC98B10}">
      <text>
        <r>
          <rPr>
            <sz val="12"/>
            <color indexed="81"/>
            <rFont val="Tahoma"/>
            <family val="2"/>
          </rPr>
          <t>Weibull distribution shape parameter β, which determines the way in which the failure rate changes through time
In the case of appliances, β commonly is greater than 1, reflecting an increasing failure rate as appliances age.</t>
        </r>
      </text>
    </comment>
    <comment ref="N18" authorId="0" shapeId="0" xr:uid="{88661296-0441-4332-B97B-9ACA2876DEE1}">
      <text>
        <r>
          <rPr>
            <sz val="12"/>
            <color indexed="81"/>
            <rFont val="Tahoma"/>
            <family val="2"/>
          </rPr>
          <t>Weibull distribution delay parameter θ, which allows for a delay before any failures occur (e.g., during manufacturer warranty period; a delay parameter of θ=1 would reflect a typical manufacturer warranty period of 1 year)</t>
        </r>
      </text>
    </comment>
    <comment ref="B20" authorId="0" shapeId="0" xr:uid="{00000000-0006-0000-0100-000002000000}">
      <text>
        <r>
          <rPr>
            <sz val="12"/>
            <color indexed="81"/>
            <rFont val="Tahoma"/>
            <family val="2"/>
          </rPr>
          <t>Used to lookup equipment class fuel in RSMEQP; not used by model</t>
        </r>
      </text>
    </comment>
    <comment ref="C20" authorId="0" shapeId="0" xr:uid="{00000000-0006-0000-0100-000003000000}">
      <text>
        <r>
          <rPr>
            <sz val="12"/>
            <color indexed="81"/>
            <rFont val="Tahoma"/>
            <family val="2"/>
          </rPr>
          <t>1=Space Heating
2=Space Cooling
3=Clothes Washing
4=Dishwashing
5=Water Heating
6=Cooking
7=Clothes Drying
8=Refrigeration
9=Freezing</t>
        </r>
      </text>
    </comment>
    <comment ref="D20" authorId="0" shapeId="0" xr:uid="{00000000-0006-0000-0100-000004000000}">
      <text>
        <r>
          <rPr>
            <sz val="12"/>
            <color indexed="81"/>
            <rFont val="Tahoma"/>
            <family val="2"/>
          </rPr>
          <t>Appears on all records; matches xlRTTYEQCL in RSMEQP for one or more equipment types (there are one or more equipment types in RSMEQP for each class in RSCLASS)</t>
        </r>
      </text>
    </comment>
    <comment ref="E20" authorId="0" shapeId="0" xr:uid="{00000000-0006-0000-0100-000005000000}">
      <text>
        <r>
          <rPr>
            <sz val="12"/>
            <color indexed="81"/>
            <rFont val="Tahoma"/>
            <family val="2"/>
          </rPr>
          <t xml:space="preserve">Required pointer from equipment class to a representative equipment type. This is the only pointer from RSCLASS to RSMEQP. This pointer selects the equipment type used in determining the equipment class for newly constructed housing units and replacement equipment class in single-family houses. Its value is the lowest xlRTEQTYPE in RSMEQP of the representative equipment.
</t>
        </r>
        <r>
          <rPr>
            <i/>
            <sz val="12"/>
            <color indexed="81"/>
            <rFont val="Tahoma"/>
            <family val="2"/>
          </rPr>
          <t>Note that these are array equations (hold Ctrl+Shift+Enter when modifying equations)</t>
        </r>
      </text>
    </comment>
    <comment ref="F20" authorId="0" shapeId="0" xr:uid="{00000000-0006-0000-0100-000006000000}">
      <text>
        <r>
          <rPr>
            <sz val="12"/>
            <color indexed="81"/>
            <rFont val="Tahoma"/>
            <family val="2"/>
          </rPr>
          <t>Points to associated equipment classes in other end uses (space heating, space cooling, and water heating only); otherwise, equals 0.
If space heating (end use = 1): Required pointer from space heater class to associated water heater class linking water heater fuel choice to space heater fuel choice for newly constructed housing units.
If space cooling (end use = 2): Required pointer from cooling heat pump class to same class of heating heat pump. 0 = Not a heat pump; Integer = corresponding space heating heat pump class number
If water heating (end use = 5): Required pointer from water heater class to matching cooking class, linking cooking fuel choice to water heater fuel choice for newly constructed housing units. Only natural gas water heaters may point to two types of cooking ranges (i.e., natural gas or electric; see xlRTCLREPL for end use 5).</t>
        </r>
      </text>
    </comment>
    <comment ref="G20" authorId="0" shapeId="0" xr:uid="{00000000-0006-0000-0100-000007000000}">
      <text>
        <r>
          <rPr>
            <sz val="12"/>
            <color indexed="81"/>
            <rFont val="Tahoma"/>
            <family val="2"/>
          </rPr>
          <t>Required for space heating and water heating only; zero otherwise.
If space heating (end use = 1): Flag for replacing the existing space heater class with a natural gas forced-air space heater at retirement.
If water heating (end use = 5): Second pointer from natural gas water heating class to matching cooking class. The model (NGNGFACT in resd.f) assumes that 50% of new single-family homes, 48% of new multifamily homes, and 75% of new mobile homes with natural gas water heaters have natural gas ranges and the remainder have electric ranges.</t>
        </r>
      </text>
    </comment>
    <comment ref="H20" authorId="0" shapeId="0" xr:uid="{00000000-0006-0000-0100-000008000000}">
      <text>
        <r>
          <rPr>
            <sz val="12"/>
            <color indexed="81"/>
            <rFont val="Tahoma"/>
            <family val="2"/>
          </rPr>
          <t>1=Distillate fuel oil (wood priced to distillate)
2=LPG (propane)
3=Natural Gas
4=Electricity (geothermal and solar priced to electricity)
5=Kerosene
6=Wood</t>
        </r>
      </text>
    </comment>
    <comment ref="I20" authorId="0" shapeId="0" xr:uid="{00000000-0006-0000-0100-000009000000}">
      <text>
        <r>
          <rPr>
            <sz val="12"/>
            <color indexed="81"/>
            <rFont val="Tahoma"/>
            <family val="2"/>
          </rPr>
          <t>Value of 1 assigns use of a furnace fan with respective central heating/ cooling technology; zero otherwise.</t>
        </r>
        <r>
          <rPr>
            <sz val="12"/>
            <color indexed="10"/>
            <rFont val="Tahoma"/>
            <family val="2"/>
          </rPr>
          <t xml:space="preserve">
Used for non-electric heating end-use equipment only?</t>
        </r>
      </text>
    </comment>
    <comment ref="J20" authorId="0" shapeId="0" xr:uid="{C73CE954-770A-4CB9-8E0E-FF5DE6777F9D}">
      <text>
        <r>
          <rPr>
            <sz val="12"/>
            <color indexed="81"/>
            <rFont val="Tahoma"/>
            <family val="2"/>
          </rPr>
          <t>Installed base efficiency (end uses 1, 2, 4, 5, 7) or intensity (end uses 3, 6, 8, 9) in RECS year</t>
        </r>
      </text>
    </comment>
    <comment ref="K20" authorId="0" shapeId="0" xr:uid="{00000000-0006-0000-0100-00000B000000}">
      <text>
        <r>
          <rPr>
            <sz val="12"/>
            <color indexed="81"/>
            <rFont val="Tahoma"/>
            <family val="2"/>
          </rPr>
          <t>For reference only; not used by model</t>
        </r>
      </text>
    </comment>
    <comment ref="L20" authorId="0" shapeId="0" xr:uid="{00000000-0006-0000-0100-000010000000}">
      <text>
        <r>
          <rPr>
            <sz val="12"/>
            <color indexed="81"/>
            <rFont val="Tahoma"/>
            <family val="2"/>
          </rPr>
          <t>Equipment life Weibull distribution scale parameter lambda (λ)</t>
        </r>
      </text>
    </comment>
    <comment ref="M20" authorId="0" shapeId="0" xr:uid="{00000000-0006-0000-0100-00000F000000}">
      <text>
        <r>
          <rPr>
            <sz val="12"/>
            <color indexed="81"/>
            <rFont val="Tahoma"/>
            <family val="2"/>
          </rPr>
          <t>Equipment life Weibull distribution shape parameter k</t>
        </r>
      </text>
    </comment>
    <comment ref="N20" authorId="0" shapeId="0" xr:uid="{00000000-0006-0000-0100-00000C000000}">
      <text>
        <r>
          <rPr>
            <sz val="12"/>
            <color indexed="81"/>
            <rFont val="Tahoma"/>
            <family val="2"/>
          </rPr>
          <t>Equipment life parameter alpha (α) for exponential decay</t>
        </r>
      </text>
    </comment>
    <comment ref="O20" authorId="0" shapeId="0" xr:uid="{00000000-0006-0000-0100-00000D000000}">
      <text>
        <r>
          <rPr>
            <sz val="12"/>
            <color indexed="81"/>
            <rFont val="Tahoma"/>
            <family val="2"/>
          </rPr>
          <t xml:space="preserve">Retained for informational purposes. Not used by model, but used to develop Weibull parameters for </t>
        </r>
        <r>
          <rPr>
            <i/>
            <sz val="12"/>
            <color indexed="81"/>
            <rFont val="Tahoma"/>
            <family val="2"/>
          </rPr>
          <t>some</t>
        </r>
        <r>
          <rPr>
            <sz val="12"/>
            <color indexed="81"/>
            <rFont val="Tahoma"/>
            <family val="2"/>
          </rPr>
          <t xml:space="preserve"> equipment classes for which DOE TSD parameters don't exist. Weibull parameters to left otherwise supersede these values.</t>
        </r>
      </text>
    </comment>
    <comment ref="P20" authorId="0" shapeId="0" xr:uid="{02DF4535-5C73-4F9E-9EBC-9BA03AA7FDA4}">
      <text>
        <r>
          <rPr>
            <sz val="12"/>
            <color indexed="81"/>
            <rFont val="Tahoma"/>
            <family val="2"/>
          </rPr>
          <t xml:space="preserve">Retained for informational purposes. Not used by model, but used to develop Weibull parameters for </t>
        </r>
        <r>
          <rPr>
            <i/>
            <sz val="12"/>
            <color indexed="81"/>
            <rFont val="Tahoma"/>
            <family val="2"/>
          </rPr>
          <t>some</t>
        </r>
        <r>
          <rPr>
            <sz val="12"/>
            <color indexed="81"/>
            <rFont val="Tahoma"/>
            <family val="2"/>
          </rPr>
          <t xml:space="preserve"> equipment classes for which DOE TSD parameters don't exist. Weibull parameters to left otherwise supersede these values.</t>
        </r>
      </text>
    </comment>
    <comment ref="Q20" authorId="0" shapeId="0" xr:uid="{00000000-0006-0000-0100-000011000000}">
      <text>
        <r>
          <rPr>
            <sz val="12"/>
            <color indexed="81"/>
            <rFont val="Tahoma"/>
            <family val="2"/>
          </rPr>
          <t>New home heating technology choice model log-linear parameter beta (β). Used only for space heating (end use 1); zero otherwise.</t>
        </r>
      </text>
    </comment>
    <comment ref="R20" authorId="0" shapeId="0" xr:uid="{00000000-0006-0000-0100-000012000000}">
      <text>
        <r>
          <rPr>
            <sz val="12"/>
            <color indexed="81"/>
            <rFont val="Tahoma"/>
            <family val="2"/>
          </rPr>
          <t>Maximum fraction of single-family homes which may switch away from specified equipment class on replacement.</t>
        </r>
      </text>
    </comment>
    <comment ref="S20" authorId="0" shapeId="0" xr:uid="{00000000-0006-0000-0100-000013000000}">
      <text>
        <r>
          <rPr>
            <sz val="12"/>
            <color indexed="81"/>
            <rFont val="Tahoma"/>
            <family val="2"/>
          </rPr>
          <t>Replacement technology choice model log-linear parameter beta (β). Used only for single-family homes.</t>
        </r>
      </text>
    </comment>
    <comment ref="T20" authorId="0" shapeId="0" xr:uid="{00000000-0006-0000-0100-000014000000}">
      <text>
        <r>
          <rPr>
            <sz val="12"/>
            <color indexed="81"/>
            <rFont val="Tahoma"/>
            <family val="2"/>
          </rPr>
          <t>Replacement technology choice model bias parameter. Used only for single-family homes.</t>
        </r>
      </text>
    </comment>
    <comment ref="U20" authorId="0" shapeId="0" xr:uid="{00000000-0006-0000-0100-000015000000}">
      <text>
        <r>
          <rPr>
            <sz val="12"/>
            <color indexed="10"/>
            <rFont val="Tahoma"/>
            <family val="2"/>
          </rPr>
          <t>Do not change; this is used as a lookup in model</t>
        </r>
      </text>
    </comment>
    <comment ref="H26" authorId="0" shapeId="0" xr:uid="{00000000-0006-0000-0100-000016000000}">
      <text>
        <r>
          <rPr>
            <sz val="12"/>
            <color indexed="81"/>
            <rFont val="Tahoma"/>
            <family val="2"/>
          </rPr>
          <t>Changed from 5 (kerosene) to 1 (distillate fuel oil) because kerosene is aggregated with distillate fuel oil in historical data sources</t>
        </r>
      </text>
    </comment>
    <comment ref="K38" authorId="0" shapeId="0" xr:uid="{00000000-0006-0000-0100-000017000000}">
      <text>
        <r>
          <rPr>
            <sz val="12"/>
            <color indexed="81"/>
            <rFont val="Tahoma"/>
            <family val="2"/>
          </rPr>
          <t>machine energy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Jarzomski, Kevin</author>
  </authors>
  <commentList>
    <comment ref="C19" authorId="0" shapeId="0" xr:uid="{00000000-0006-0000-0200-000001000000}">
      <text>
        <r>
          <rPr>
            <sz val="12"/>
            <color indexed="81"/>
            <rFont val="Tahoma"/>
            <family val="2"/>
          </rPr>
          <t>This number accounts for census division = 11 rows that are expanded to 9 separate data rows endogenously in the model. 
MNUMRTTY in RTEK includes file must be greater than or equal to this value.</t>
        </r>
      </text>
    </comment>
    <comment ref="C22" authorId="0" shapeId="0" xr:uid="{00000000-0006-0000-0200-000002000000}">
      <text>
        <r>
          <rPr>
            <sz val="12"/>
            <color indexed="81"/>
            <rFont val="Tahoma"/>
            <family val="2"/>
          </rPr>
          <t>End Uses:
(1) Space Heating
(2) Space Cooling
(3) Clothes Washing
(4) Dishwashing
(5) Water Heating
(6) Cooking
(7) Clothes Drying
(8) Refrigeration
(9) Freezing</t>
        </r>
      </text>
    </comment>
    <comment ref="E22" authorId="0" shapeId="0" xr:uid="{00000000-0006-0000-0200-000003000000}">
      <text>
        <r>
          <rPr>
            <sz val="12"/>
            <color indexed="81"/>
            <rFont val="Tahoma"/>
            <family val="2"/>
          </rPr>
          <t>These increment across all like technologies within an end use regardless of fuel or vintage.
Each equipment class (xlRTTYEQCL) may include multiple types. Each equipment type (xlRTEQTYPE) may have up to one record for each year of the projection period (years must not overlap). The user may add equipment types to existing classes. When adding new types, update the type numbers for the rest of that end use; also, adjust the RTTYPNTR pointer for cooling and the RTCLTYPT pointer in the RSCLASS file for heating.
If adding heat pump types, add same type to both space heating and space cooling and adjust pointers.</t>
        </r>
      </text>
    </comment>
    <comment ref="F22" authorId="0" shapeId="0" xr:uid="{00000000-0006-0000-0200-000004000000}">
      <text>
        <r>
          <rPr>
            <sz val="12"/>
            <color indexed="81"/>
            <rFont val="Tahoma"/>
            <family val="2"/>
          </rPr>
          <t>Initial calendar year for this model of this equipment type
The first RTINITYRes for a model within a type should be the NEMS RDM base year; subsequent initial years for a model must be previous RTLASTYR+1
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G22" authorId="0" shapeId="0" xr:uid="{00000000-0006-0000-0200-000005000000}">
      <text>
        <r>
          <rPr>
            <sz val="12"/>
            <color indexed="81"/>
            <rFont val="Tahoma"/>
            <family val="2"/>
          </rPr>
          <t>Last calendar year for this model of this equipment type
Must be greater than or equal to RTINITYR for this model; final RTLASTYRes should be year of the projection horizon
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H22" authorId="0" shapeId="0" xr:uid="{00000000-0006-0000-0200-000006000000}">
      <text>
        <r>
          <rPr>
            <sz val="12"/>
            <color indexed="81"/>
            <rFont val="Tahoma"/>
            <family val="2"/>
          </rPr>
          <t>Census Divisions:
(1) New England
(2) Middle Atlantic
(3) East North Central
(4) West North Central
(5) South Atlantic
(6) East South Central
(7) West South Central
(8) Mountain
(9) Pacific
(11) Represents all 9 census divisions</t>
        </r>
      </text>
    </comment>
    <comment ref="I22" authorId="0" shapeId="0" xr:uid="{00000000-0006-0000-0200-000007000000}">
      <text>
        <r>
          <rPr>
            <sz val="12"/>
            <color indexed="81"/>
            <rFont val="Tahoma"/>
            <family val="2"/>
          </rPr>
          <t>Unique identifier among all space heating and cooling equipment based on equipment type and efficiency level
For space heating (end use = 1), values are the same as xlRTEQTYPE; values increase incrementally for all subsequent vintages of space cooling (end use = 2)</t>
        </r>
      </text>
    </comment>
    <comment ref="J22" authorId="0" shapeId="0" xr:uid="{00000000-0006-0000-0200-000008000000}">
      <text>
        <r>
          <rPr>
            <sz val="12"/>
            <color indexed="81"/>
            <rFont val="Tahoma"/>
            <family val="2"/>
          </rPr>
          <t>Used for space cooling (end use = 2) only
&lt;0 indicates room air conditioner
=0 indicates central AC (not HP)
&gt;0 xlRTTYPNTR for cooling component of HP same as heating component of same technology</t>
        </r>
      </text>
    </comment>
    <comment ref="L22" authorId="0" shapeId="0" xr:uid="{00000000-0006-0000-0200-000009000000}">
      <text>
        <r>
          <rPr>
            <sz val="12"/>
            <color indexed="81"/>
            <rFont val="Tahoma"/>
            <family val="2"/>
          </rPr>
          <t>Used for clothes washers (end use 3) only</t>
        </r>
      </text>
    </comment>
    <comment ref="M22" authorId="0" shapeId="0" xr:uid="{00000000-0006-0000-0200-00000A000000}">
      <text>
        <r>
          <rPr>
            <sz val="12"/>
            <color indexed="81"/>
            <rFont val="Tahoma"/>
            <family val="2"/>
          </rPr>
          <t>See Efficiency Metric in RSCLASS for units</t>
        </r>
      </text>
    </comment>
    <comment ref="N22" authorId="0" shapeId="0" xr:uid="{00000000-0006-0000-0200-00000B000000}">
      <text>
        <r>
          <rPr>
            <sz val="12"/>
            <color indexed="81"/>
            <rFont val="Tahoma"/>
            <family val="2"/>
          </rPr>
          <t>Includes equipment plus installation (i.e., total installed cost)
For heat pumps, replacement cost is split between heating and cooling end-use components.</t>
        </r>
      </text>
    </comment>
    <comment ref="O22" authorId="0" shapeId="0" xr:uid="{00000000-0006-0000-0200-00000C000000}">
      <text>
        <r>
          <rPr>
            <sz val="12"/>
            <color indexed="81"/>
            <rFont val="Tahoma"/>
            <family val="2"/>
          </rPr>
          <t xml:space="preserve">Includes equipment </t>
        </r>
        <r>
          <rPr>
            <i/>
            <sz val="12"/>
            <color indexed="81"/>
            <rFont val="Tahoma"/>
            <family val="2"/>
          </rPr>
          <t>without</t>
        </r>
        <r>
          <rPr>
            <sz val="12"/>
            <color indexed="81"/>
            <rFont val="Tahoma"/>
            <family val="2"/>
          </rPr>
          <t xml:space="preserve"> installation (i.e., retail equipment cost; installation assumed to be part of construction cost).
For heat pumps, heating cost (end use 1) is full retail cost and cooling cost (end use 2) = 0</t>
        </r>
      </text>
    </comment>
    <comment ref="P22" authorId="0" shapeId="0" xr:uid="{B614BA94-38B4-40B8-AFBD-4C4641EDEB9D}">
      <text>
        <r>
          <rPr>
            <sz val="12"/>
            <color indexed="81"/>
            <rFont val="Tahoma"/>
            <family val="2"/>
          </rPr>
          <t xml:space="preserve">25C and 25D tax credits apply to existing construction; equations test for cooling equipment first, then space heating and other equipment (e.g., water heating).
The cost basis for federal tax credit is reduced by the amount of non-federal subsidy; cannot claim federal tax credit on value of utility-sponsored rebate.
</t>
        </r>
        <r>
          <rPr>
            <i/>
            <sz val="12"/>
            <color indexed="81"/>
            <rFont val="Tahoma"/>
            <family val="2"/>
          </rPr>
          <t>Note that these are array equations (hold Ctrl+Shift+Enter when modifying equations)</t>
        </r>
        <r>
          <rPr>
            <sz val="12"/>
            <color indexed="81"/>
            <rFont val="Tahoma"/>
            <family val="2"/>
          </rPr>
          <t xml:space="preserve">
</t>
        </r>
        <r>
          <rPr>
            <i/>
            <sz val="12"/>
            <color indexed="81"/>
            <rFont val="Tahoma"/>
            <family val="2"/>
          </rPr>
          <t>9999 values used so efficiency lookups don't default to 0 (which all equipment would be more efficient than)</t>
        </r>
      </text>
    </comment>
    <comment ref="Q22" authorId="0" shapeId="0" xr:uid="{E114CD33-4F0E-4BF5-9204-54D76943A533}">
      <text>
        <r>
          <rPr>
            <sz val="12"/>
            <color indexed="81"/>
            <rFont val="Tahoma"/>
            <family val="2"/>
          </rPr>
          <t xml:space="preserve">Only 25D tax credits apply to new construction; 25C are for existing construction only.
The cost basis for federal tax credit is reduced by the amount of non-federal subsidy; cannot claim federal tax credit on value of utility-sponsored rebate.
</t>
        </r>
        <r>
          <rPr>
            <i/>
            <sz val="12"/>
            <color indexed="81"/>
            <rFont val="Tahoma"/>
            <family val="2"/>
          </rPr>
          <t>Note that these are array equations (hold Ctrl+Shift+Enter when modifying equations)</t>
        </r>
      </text>
    </comment>
    <comment ref="R22" authorId="0" shapeId="0" xr:uid="{33B6D43E-D2E9-4B45-811F-DE6A7D839C27}">
      <text>
        <r>
          <rPr>
            <sz val="12"/>
            <color indexed="81"/>
            <rFont val="Tahoma"/>
            <family val="2"/>
          </rPr>
          <t>Used for modeling non-federal (e.g., utility) energy efficiency subsidies effects; applied to ENERGY STAR or better equipment (i.e., xlRTTYNAME &gt;2)</t>
        </r>
      </text>
    </comment>
    <comment ref="S22" authorId="0" shapeId="0" xr:uid="{FE22FBE4-51BF-4CFE-9675-1CCA3E7CE342}">
      <text>
        <r>
          <rPr>
            <sz val="12"/>
            <color indexed="81"/>
            <rFont val="Tahoma"/>
            <family val="2"/>
          </rPr>
          <t>Used for modeling non-federal (e.g., utility) energy efficiency subsidies effects; applied to ENERGY STAR or better equipment (i.e., xlRTTYNAME &gt;2)</t>
        </r>
      </text>
    </comment>
    <comment ref="T22" authorId="0" shapeId="0" xr:uid="{9ECCCAD2-F6CC-4D8E-AE63-7BA933FECAA7}">
      <text>
        <r>
          <rPr>
            <sz val="12"/>
            <color indexed="81"/>
            <rFont val="Tahoma"/>
            <family val="2"/>
          </rPr>
          <t>Used for modeling California AB32 energy efficiency subsidies effects for CD9
Formerly used for 111D modeling Clean Power Plan (repealed)</t>
        </r>
      </text>
    </comment>
    <comment ref="U22" authorId="0" shapeId="0" xr:uid="{FB10D637-D707-4978-9A8D-C2C36B4A472E}">
      <text>
        <r>
          <rPr>
            <sz val="12"/>
            <color indexed="81"/>
            <rFont val="Tahoma"/>
            <family val="2"/>
          </rPr>
          <t>Used for modeling California AB32 energy efficiency subsidies effects for CD9
Formerly used for 111D modeling Clean Power Plan (repealed)</t>
        </r>
      </text>
    </comment>
    <comment ref="V22" authorId="0" shapeId="0" xr:uid="{00000000-0006-0000-0200-000013000000}">
      <text>
        <r>
          <rPr>
            <sz val="12"/>
            <color indexed="81"/>
            <rFont val="Tahoma"/>
            <family val="2"/>
          </rPr>
          <t>MATURE = No further cost reductions expected
ADOLESCENT = Main cost reductions occurred before xlRTCOSTP1; function EQCOST reduces installed wholesale and retail capital cost with xlRTCOSTP1 (or first year of availability) as the inflection point.
INFANT = All cost reductions expected after first year of availability; function EQCOST reduces installed wholesale and retail capital cost with the inflection point in the future.</t>
        </r>
      </text>
    </comment>
    <comment ref="W22" authorId="0" shapeId="0" xr:uid="{00000000-0006-0000-0200-000014000000}">
      <text>
        <r>
          <rPr>
            <sz val="12"/>
            <color indexed="81"/>
            <rFont val="Tahoma"/>
            <family val="2"/>
          </rPr>
          <t>If MATURE technology, not used.
If ADOLESCENT technology, representative year cost decline began (y1 in code).
If INFANT technology, year of inflection of cost trend (y0 in code).</t>
        </r>
      </text>
    </comment>
    <comment ref="X22" authorId="0" shapeId="0" xr:uid="{00000000-0006-0000-0200-000015000000}">
      <text>
        <r>
          <rPr>
            <sz val="12"/>
            <color indexed="81"/>
            <rFont val="Tahoma"/>
            <family val="2"/>
          </rPr>
          <t>If MATURE technology, not used.
If ADOLESCENT or INFANT technology, logistic curve shape parameter (gamma in code).</t>
        </r>
      </text>
    </comment>
    <comment ref="Y22" authorId="0" shapeId="0" xr:uid="{00000000-0006-0000-0200-000016000000}">
      <text>
        <r>
          <rPr>
            <sz val="12"/>
            <color indexed="81"/>
            <rFont val="Tahoma"/>
            <family val="2"/>
          </rPr>
          <t>If MATURE technology, not used.
If ADOLESCENT technology, total possible proportional decline in equipment cost from y0 onward (d in code).
If INFANT technology, total possible proportional decline in equipment cost from y1 onward (d in code).</t>
        </r>
      </text>
    </comment>
    <comment ref="Z22" authorId="0" shapeId="0" xr:uid="{00000000-0006-0000-0200-000017000000}">
      <text>
        <r>
          <rPr>
            <sz val="12"/>
            <color indexed="81"/>
            <rFont val="Tahoma"/>
            <family val="2"/>
          </rPr>
          <t>Efficiency choice model log-linear parameter β1, weights capital cost</t>
        </r>
      </text>
    </comment>
    <comment ref="AA22" authorId="0" shapeId="0" xr:uid="{00000000-0006-0000-0200-000018000000}">
      <text>
        <r>
          <rPr>
            <sz val="12"/>
            <color indexed="81"/>
            <rFont val="Tahoma"/>
            <family val="2"/>
          </rPr>
          <t>Efficiency choice model log-linear parameter β2, weights fuel/ operating cost</t>
        </r>
      </text>
    </comment>
    <comment ref="AB22" authorId="0" shapeId="0" xr:uid="{00000000-0006-0000-0200-000019000000}">
      <text>
        <r>
          <rPr>
            <sz val="12"/>
            <color indexed="81"/>
            <rFont val="Tahoma"/>
            <family val="2"/>
          </rPr>
          <t>Efficiency choice model log-linear parameter β3, weights life-cycle cost</t>
        </r>
      </text>
    </comment>
    <comment ref="AC22" authorId="0" shapeId="0" xr:uid="{00000000-0006-0000-0200-00001A000000}">
      <text>
        <r>
          <rPr>
            <sz val="12"/>
            <color indexed="81"/>
            <rFont val="Tahoma"/>
            <family val="2"/>
          </rPr>
          <t>Consumer preference log-linear parameter</t>
        </r>
      </text>
    </comment>
    <comment ref="AD22" authorId="0" shapeId="0" xr:uid="{00000000-0006-0000-0200-00001B000000}">
      <text>
        <r>
          <rPr>
            <sz val="12"/>
            <color indexed="81"/>
            <rFont val="Tahoma"/>
            <family val="2"/>
          </rPr>
          <t>Efficiency levels:
1. Current Standard
2. Typical
3. ENERGY STAR
4. High
In instances where standards or ENERGY STAR specifications don't exist, those numbers are excluded from this tech menu (ELEC_RAD , DIST_RAD, WOOD_HT, NG_HP,  ELEC_WH, DIST_WH, SOLAR_WH, NG/LPG/ELEC_STV)
Do not change numbers. Equations in other cells rely on them for subsidy lookup.</t>
        </r>
      </text>
    </comment>
    <comment ref="B24" authorId="0" shapeId="0" xr:uid="{00000000-0006-0000-0200-00001C000000}">
      <text>
        <r>
          <rPr>
            <sz val="12"/>
            <color indexed="81"/>
            <rFont val="Tahoma"/>
            <family val="2"/>
          </rPr>
          <t>Column for reference only; not a named range input</t>
        </r>
      </text>
    </comment>
    <comment ref="P147" authorId="1" shapeId="0" xr:uid="{BD4C09A4-EB9D-4C73-BA41-CBA1E80DD17B}">
      <text>
        <r>
          <rPr>
            <sz val="20"/>
            <color indexed="81"/>
            <rFont val="Tahoma"/>
            <family val="2"/>
          </rPr>
          <t>Revise?</t>
        </r>
      </text>
    </comment>
    <comment ref="P185" authorId="1" shapeId="0" xr:uid="{BC551E71-3AA9-468B-A4F6-320761711BC6}">
      <text>
        <r>
          <rPr>
            <sz val="20"/>
            <color indexed="81"/>
            <rFont val="Tahoma"/>
            <family val="2"/>
          </rPr>
          <t>Revise?</t>
        </r>
      </text>
    </comment>
    <comment ref="P191" authorId="1" shapeId="0" xr:uid="{F4266223-E930-46DB-A470-70B6754989D3}">
      <text>
        <r>
          <rPr>
            <sz val="20"/>
            <color indexed="81"/>
            <rFont val="Tahoma"/>
            <family val="2"/>
          </rPr>
          <t>Revise?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5" authorId="0" shapeId="0" xr:uid="{00000000-0006-0000-0300-000002000000}">
      <text>
        <r>
          <rPr>
            <sz val="12"/>
            <color indexed="81"/>
            <rFont val="Tahoma"/>
            <family val="2"/>
          </rPr>
          <t>MNUMHVAC in RTEK includes file must be greater than or equal to this value.</t>
        </r>
      </text>
    </comment>
    <comment ref="X18" authorId="0" shapeId="0" xr:uid="{00000000-0006-0000-0300-000001000000}">
      <text>
        <r>
          <rPr>
            <sz val="12"/>
            <color indexed="81"/>
            <rFont val="Tahoma"/>
            <family val="2"/>
          </rPr>
          <t>Builders seem more likely to use minimum efficiency equipment to save costs; Typical efficiency equipment could be chosen as replacements</t>
        </r>
      </text>
    </comment>
    <comment ref="B24" authorId="0" shapeId="0" xr:uid="{00000000-0006-0000-0300-000003000000}">
      <text>
        <r>
          <rPr>
            <b/>
            <sz val="12"/>
            <color indexed="81"/>
            <rFont val="Tahoma"/>
            <family val="2"/>
          </rPr>
          <t>Census division</t>
        </r>
        <r>
          <rPr>
            <sz val="12"/>
            <color indexed="81"/>
            <rFont val="Tahoma"/>
            <family val="2"/>
          </rPr>
          <t xml:space="preserve">
(1) New England
(2) Middle Atlantic
(3) East North Central
(4) West North Central
(5) South Atlantic
(6) East South Central
(7) West South Central
(8) Mountain
(9) Pacific</t>
        </r>
      </text>
    </comment>
    <comment ref="C24" authorId="0" shapeId="0" xr:uid="{00000000-0006-0000-0300-000004000000}">
      <text>
        <r>
          <rPr>
            <b/>
            <sz val="12"/>
            <color indexed="81"/>
            <rFont val="Tahoma"/>
            <family val="2"/>
          </rPr>
          <t>Housing type</t>
        </r>
        <r>
          <rPr>
            <sz val="12"/>
            <color indexed="81"/>
            <rFont val="Tahoma"/>
            <family val="2"/>
          </rPr>
          <t xml:space="preserve">
(1) Single-family
(2) Multifamily
(3) Mobile Home</t>
        </r>
      </text>
    </comment>
    <comment ref="D24" authorId="0" shapeId="0" xr:uid="{00000000-0006-0000-0300-000005000000}">
      <text>
        <r>
          <rPr>
            <sz val="12"/>
            <color indexed="81"/>
            <rFont val="Tahoma"/>
            <family val="2"/>
          </rPr>
          <t>HVAC heating equipment class. Same as the RTCLTYPT pointer in RSCLASS for heating</t>
        </r>
      </text>
    </comment>
    <comment ref="E24" authorId="0" shapeId="0" xr:uid="{00000000-0006-0000-0300-000006000000}">
      <text>
        <r>
          <rPr>
            <sz val="12"/>
            <color indexed="81"/>
            <rFont val="Tahoma"/>
            <family val="2"/>
          </rPr>
          <t>HVAC heating equipment type. Same as the RTEQTYPE variable in RSMEQP for heating</t>
        </r>
      </text>
    </comment>
    <comment ref="F24" authorId="0" shapeId="0" xr:uid="{00000000-0006-0000-0300-000007000000}">
      <text>
        <r>
          <rPr>
            <sz val="12"/>
            <color indexed="81"/>
            <rFont val="Tahoma"/>
            <family val="2"/>
          </rPr>
          <t>HVAC cooling equipment class. Same as the RTCLTYPT pointer in RSCLASS for cooling.</t>
        </r>
      </text>
    </comment>
    <comment ref="G24" authorId="0" shapeId="0" xr:uid="{00000000-0006-0000-0300-000008000000}">
      <text>
        <r>
          <rPr>
            <sz val="12"/>
            <color indexed="81"/>
            <rFont val="Tahoma"/>
            <family val="2"/>
          </rPr>
          <t>HVAC cooling equipment type. Same as the RTEQTYPE variable in the RSMEQP for cooling</t>
        </r>
      </text>
    </comment>
    <comment ref="H24" authorId="0" shapeId="0" xr:uid="{00000000-0006-0000-0300-000009000000}">
      <text>
        <r>
          <rPr>
            <sz val="12"/>
            <color indexed="81"/>
            <rFont val="Tahoma"/>
            <family val="2"/>
          </rPr>
          <t>Initial calendar year for this model of this equipment type. The first HVFYEAR for a model within a type should be the NEMS base year; subsequent initial years for a model must be previous HVLYEAR+1</t>
        </r>
      </text>
    </comment>
    <comment ref="I24" authorId="0" shapeId="0" xr:uid="{00000000-0006-0000-0300-00000A000000}">
      <text>
        <r>
          <rPr>
            <sz val="12"/>
            <color indexed="81"/>
            <rFont val="Tahoma"/>
            <family val="2"/>
          </rPr>
          <t>Last calendar year for this model of this equipment type. Must be greater than or equal to HVFYEAR for this model; final HVLYEAR should be year of the projection horizon</t>
        </r>
      </text>
    </comment>
    <comment ref="J24" authorId="0" shapeId="0" xr:uid="{00000000-0006-0000-0300-00000B000000}">
      <text>
        <r>
          <rPr>
            <sz val="12"/>
            <color indexed="81"/>
            <rFont val="Tahoma"/>
            <family val="2"/>
          </rPr>
          <t>Elasticity of the heating shell factor based on square footage</t>
        </r>
      </text>
    </comment>
    <comment ref="K24" authorId="0" shapeId="0" xr:uid="{00000000-0006-0000-0300-00000C000000}">
      <text>
        <r>
          <rPr>
            <sz val="12"/>
            <color indexed="81"/>
            <rFont val="Tahoma"/>
            <family val="2"/>
          </rPr>
          <t>Elasticity of the cooling shell factor based on square footage</t>
        </r>
      </text>
    </comment>
    <comment ref="L24" authorId="0" shapeId="0" xr:uid="{00000000-0006-0000-0300-00000D000000}">
      <text>
        <r>
          <rPr>
            <sz val="12"/>
            <color indexed="81"/>
            <rFont val="Tahoma"/>
            <family val="2"/>
          </rPr>
          <t>Heating shell efficiency index for HVAC system type</t>
        </r>
      </text>
    </comment>
    <comment ref="M24" authorId="0" shapeId="0" xr:uid="{00000000-0006-0000-0300-00000E000000}">
      <text>
        <r>
          <rPr>
            <sz val="12"/>
            <color indexed="81"/>
            <rFont val="Tahoma"/>
            <family val="2"/>
          </rPr>
          <t>Cooling shell efficiency index for HVAC system type</t>
        </r>
      </text>
    </comment>
    <comment ref="N24" authorId="0" shapeId="0" xr:uid="{00000000-0006-0000-0300-00000F000000}">
      <text>
        <r>
          <rPr>
            <sz val="12"/>
            <color indexed="81"/>
            <rFont val="Tahoma"/>
            <family val="2"/>
          </rPr>
          <t>Heating shell base efficiency index for HVAC system type</t>
        </r>
      </text>
    </comment>
    <comment ref="O24" authorId="0" shapeId="0" xr:uid="{00000000-0006-0000-0300-000010000000}">
      <text>
        <r>
          <rPr>
            <sz val="12"/>
            <color indexed="81"/>
            <rFont val="Tahoma"/>
            <family val="2"/>
          </rPr>
          <t>Cooling shell base efficiency index for HVAC system type</t>
        </r>
      </text>
    </comment>
    <comment ref="P24" authorId="0" shapeId="0" xr:uid="{00000000-0006-0000-0300-000011000000}">
      <text>
        <r>
          <rPr>
            <sz val="12"/>
            <color indexed="81"/>
            <rFont val="Tahoma"/>
            <family val="2"/>
          </rPr>
          <t>Installed capital cost for shell measures per housing unit for new homes; No-code homes have 0 cost</t>
        </r>
      </text>
    </comment>
    <comment ref="Q24" authorId="0" shapeId="0" xr:uid="{00000000-0006-0000-0300-000012000000}">
      <text>
        <r>
          <rPr>
            <sz val="12"/>
            <color indexed="81"/>
            <rFont val="Tahoma"/>
            <family val="2"/>
          </rPr>
          <t>45L federal tax credit per housing unit
Note that these are array equations (hold Ctrl+Shift+Enter when modifying equations)</t>
        </r>
      </text>
    </comment>
    <comment ref="R24" authorId="0" shapeId="0" xr:uid="{00000000-0006-0000-0300-000013000000}">
      <text>
        <r>
          <rPr>
            <sz val="12"/>
            <color indexed="81"/>
            <rFont val="Tahoma"/>
            <family val="2"/>
          </rPr>
          <t>Utility subsidy/ rebate per housing unit; was used for now-deprecated Clean Power Plan (CPP) modeling</t>
        </r>
      </text>
    </comment>
    <comment ref="S24" authorId="0" shapeId="0" xr:uid="{00000000-0006-0000-0300-000014000000}">
      <text>
        <r>
          <rPr>
            <sz val="12"/>
            <color indexed="81"/>
            <rFont val="Tahoma"/>
            <family val="2"/>
          </rPr>
          <t>HVAC shell efficiency package number</t>
        </r>
      </text>
    </comment>
    <comment ref="T24" authorId="0" shapeId="0" xr:uid="{00000000-0006-0000-0300-000015000000}">
      <text>
        <r>
          <rPr>
            <sz val="12"/>
            <color indexed="81"/>
            <rFont val="Tahoma"/>
            <family val="2"/>
          </rPr>
          <t>Unique name for each HVAC shell efficiency package type</t>
        </r>
      </text>
    </comment>
    <comment ref="V24" authorId="0" shapeId="0" xr:uid="{00000000-0006-0000-0300-000016000000}">
      <text>
        <r>
          <rPr>
            <sz val="12"/>
            <color indexed="81"/>
            <rFont val="Tahoma"/>
            <family val="2"/>
          </rPr>
          <t>Lookup from RSCLASS tab for heating end use (1)</t>
        </r>
      </text>
    </comment>
    <comment ref="W24" authorId="0" shapeId="0" xr:uid="{00000000-0006-0000-0300-000017000000}">
      <text>
        <r>
          <rPr>
            <sz val="12"/>
            <color indexed="81"/>
            <rFont val="Tahoma"/>
            <family val="2"/>
          </rPr>
          <t>Lookup from RSCLASS tab for cooling end use (2)</t>
        </r>
      </text>
    </comment>
    <comment ref="X24" authorId="0" shapeId="0" xr:uid="{00000000-0006-0000-0300-000018000000}">
      <text>
        <r>
          <rPr>
            <sz val="12"/>
            <color indexed="81"/>
            <rFont val="Tahoma"/>
            <family val="2"/>
          </rPr>
          <t>Lookup from RSMEQP tab for heating end use (1)</t>
        </r>
      </text>
    </comment>
    <comment ref="Y24" authorId="0" shapeId="0" xr:uid="{00000000-0006-0000-0300-000019000000}">
      <text>
        <r>
          <rPr>
            <sz val="12"/>
            <color indexed="81"/>
            <rFont val="Tahoma"/>
            <family val="2"/>
          </rPr>
          <t>Lookup from RSMEQP tab for cooling end use (2)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Jarzomski, Kevin</author>
    <author xml:space="preserve">Jarzomski, Kevin </author>
    <author>Sourmehi, Courtney</author>
  </authors>
  <commentList>
    <comment ref="C11" authorId="0" shapeId="0" xr:uid="{1F1CAB9D-6429-4F3A-8AE1-5AE19DE60AC2}">
      <text>
        <r>
          <rPr>
            <sz val="12"/>
            <color indexed="81"/>
            <rFont val="Tahoma"/>
            <family val="2"/>
          </rPr>
          <t>New equipment not chosen in RECS base year, but values maintained here for consistency with RSMEQP xlRTINITYR</t>
        </r>
      </text>
    </comment>
    <comment ref="N16" authorId="1" shapeId="0" xr:uid="{00000000-0006-0000-0400-000001000000}">
      <text>
        <r>
          <rPr>
            <sz val="9"/>
            <color indexed="81"/>
            <rFont val="Tahoma"/>
            <family val="2"/>
          </rPr>
          <t>Unclear when this level of credit expires given language in IRA-extended 25C</t>
        </r>
      </text>
    </comment>
    <comment ref="N19" authorId="1" shapeId="0" xr:uid="{00000000-0006-0000-0400-000002000000}">
      <text>
        <r>
          <rPr>
            <sz val="9"/>
            <color indexed="81"/>
            <rFont val="Tahoma"/>
            <family val="2"/>
          </rPr>
          <t>Unclear when this level of credit expires given language in IRA-extended 25C</t>
        </r>
      </text>
    </comment>
    <comment ref="N24" authorId="1" shapeId="0" xr:uid="{00000000-0006-0000-0400-000004000000}">
      <text>
        <r>
          <rPr>
            <sz val="9"/>
            <color indexed="81"/>
            <rFont val="Tahoma"/>
            <family val="2"/>
          </rPr>
          <t>Unclear when this level of credit expires given language in IRA-extended 25C</t>
        </r>
      </text>
    </comment>
    <comment ref="B26" authorId="1" shapeId="0" xr:uid="{00000000-0006-0000-0400-000006000000}">
      <text>
        <r>
          <rPr>
            <sz val="9"/>
            <color indexed="81"/>
            <rFont val="Tahoma"/>
            <family val="2"/>
          </rPr>
          <t>No modeled DIST_RAD models meet tax credit levels; such a model may not exist; see contractor technology report notes</t>
        </r>
      </text>
    </comment>
    <comment ref="B27" authorId="1" shapeId="0" xr:uid="{4CE540FC-B011-43E8-B0A3-95BC9612C86C}">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B28" authorId="1" shapeId="0" xr:uid="{E6A007A6-4677-4F95-9B84-966FB8F0DF1F}">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B29" authorId="1" shapeId="0" xr:uid="{AB558450-3556-460B-BF86-66B006676174}">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B30" authorId="1" shapeId="0" xr:uid="{0AB2F4BB-75A7-440B-9057-915D5DFEF965}">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B31" authorId="1" shapeId="0" xr:uid="{12D3A3BF-F9CE-4195-BF8D-152FE2A9798A}">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L32" authorId="1" shapeId="0" xr:uid="{00000000-0006-0000-0400-00000D000000}">
      <text>
        <r>
          <rPr>
            <sz val="12"/>
            <color indexed="81"/>
            <rFont val="Tahoma"/>
            <family val="2"/>
          </rPr>
          <t>16 SEER</t>
        </r>
      </text>
    </comment>
    <comment ref="L33" authorId="1" shapeId="0" xr:uid="{00000000-0006-0000-0400-00000E000000}">
      <text>
        <r>
          <rPr>
            <sz val="12"/>
            <color indexed="81"/>
            <rFont val="Tahoma"/>
            <family val="2"/>
          </rPr>
          <t>16 SEER</t>
        </r>
      </text>
    </comment>
    <comment ref="C34" authorId="1" shapeId="0" xr:uid="{00000000-0006-0000-0400-00000F000000}">
      <text>
        <r>
          <rPr>
            <sz val="9"/>
            <color indexed="81"/>
            <rFont val="Tahoma"/>
            <family val="2"/>
          </rPr>
          <t>Added because CENT_AIR3 doesn't meet tax credit efficiency requirement until 2023</t>
        </r>
      </text>
    </comment>
    <comment ref="L34" authorId="1" shapeId="0" xr:uid="{C40272A1-503C-4CB3-A167-1595F10173D3}">
      <text>
        <r>
          <rPr>
            <sz val="12"/>
            <color indexed="81"/>
            <rFont val="Tahoma"/>
            <family val="2"/>
          </rPr>
          <t>16 SEER (15.2 SEER2 equivalent; ENERGY STAR v6.1)</t>
        </r>
      </text>
    </comment>
    <comment ref="H35" authorId="1" shapeId="0" xr:uid="{00000000-0006-0000-0400-000011000000}">
      <text>
        <r>
          <rPr>
            <sz val="12"/>
            <color indexed="81"/>
            <rFont val="Tahoma"/>
            <family val="2"/>
          </rPr>
          <t>8.5 HSPF (ENERGY STAR v5.0)</t>
        </r>
      </text>
    </comment>
    <comment ref="L35" authorId="1" shapeId="0" xr:uid="{5827DC3F-695D-44C3-8D5B-56F4DBEF917B}">
      <text>
        <r>
          <rPr>
            <sz val="12"/>
            <color indexed="81"/>
            <rFont val="Tahoma"/>
            <family val="2"/>
          </rPr>
          <t>15 SEER (ENERGY STAR v5.0)</t>
        </r>
      </text>
    </comment>
    <comment ref="N35" authorId="1" shapeId="0" xr:uid="{00000000-0006-0000-0400-000013000000}">
      <text>
        <r>
          <rPr>
            <sz val="12"/>
            <color indexed="81"/>
            <rFont val="Tahoma"/>
            <family val="2"/>
          </rPr>
          <t>Tax credit divided by 2 so heating and cooling equipment each get half</t>
        </r>
      </text>
    </comment>
    <comment ref="H36" authorId="1" shapeId="0" xr:uid="{8B18053E-BA58-4389-BC62-F9436DB080F2}">
      <text>
        <r>
          <rPr>
            <sz val="12"/>
            <color indexed="81"/>
            <rFont val="Tahoma"/>
            <family val="2"/>
          </rPr>
          <t>8.5 HSPF (ENERGY STAR v5.0)</t>
        </r>
      </text>
    </comment>
    <comment ref="L36" authorId="1" shapeId="0" xr:uid="{D21CB10F-B44A-4799-9542-6B75E2DF7F62}">
      <text>
        <r>
          <rPr>
            <sz val="12"/>
            <color indexed="81"/>
            <rFont val="Tahoma"/>
            <family val="2"/>
          </rPr>
          <t>15 SEER (ENERGY STAR v5.0)</t>
        </r>
      </text>
    </comment>
    <comment ref="N36" authorId="1" shapeId="0" xr:uid="{00000000-0006-0000-0400-000016000000}">
      <text>
        <r>
          <rPr>
            <sz val="12"/>
            <color indexed="81"/>
            <rFont val="Tahoma"/>
            <family val="2"/>
          </rPr>
          <t>Tax credit divided by 2 so heating and cooling equipment each get half</t>
        </r>
      </text>
    </comment>
    <comment ref="C37" authorId="1" shapeId="0" xr:uid="{00000000-0006-0000-0400-000017000000}">
      <text>
        <r>
          <rPr>
            <sz val="9"/>
            <color indexed="81"/>
            <rFont val="Tahoma"/>
            <family val="2"/>
          </rPr>
          <t>To accommodate 2023 ASHP standard</t>
        </r>
      </text>
    </comment>
    <comment ref="H37" authorId="1" shapeId="0" xr:uid="{00000000-0006-0000-0400-000018000000}">
      <text>
        <r>
          <rPr>
            <sz val="12"/>
            <color indexed="81"/>
            <rFont val="Tahoma"/>
            <family val="2"/>
          </rPr>
          <t>9.2 HSPF (7.8 HSPF2 equivalent; ENERGY STAR v6.1)</t>
        </r>
      </text>
    </comment>
    <comment ref="L37" authorId="1" shapeId="0" xr:uid="{7FC362B5-BC17-4BB2-B3A7-BCA9FAB12A30}">
      <text>
        <r>
          <rPr>
            <sz val="12"/>
            <color indexed="81"/>
            <rFont val="Tahoma"/>
            <family val="2"/>
          </rPr>
          <t>16 SEER (15.2 SEER2 equivalent; ENERGY STAR v6.1)</t>
        </r>
      </text>
    </comment>
    <comment ref="N37" authorId="1" shapeId="0" xr:uid="{00000000-0006-0000-0400-00001A000000}">
      <text>
        <r>
          <rPr>
            <sz val="12"/>
            <color indexed="81"/>
            <rFont val="Tahoma"/>
            <family val="2"/>
          </rPr>
          <t>Tax credit divided by 2 so heating and cooling equipment each get half</t>
        </r>
      </text>
    </comment>
    <comment ref="H38" authorId="1" shapeId="0" xr:uid="{00000000-0006-0000-0400-00001B000000}">
      <text>
        <r>
          <rPr>
            <sz val="12"/>
            <color indexed="81"/>
            <rFont val="Tahoma"/>
            <family val="2"/>
          </rPr>
          <t>The minimum required 0.82 EF is roughly equal to the new water heating efficiency metric of 0.81 UEF</t>
        </r>
      </text>
    </comment>
    <comment ref="H39" authorId="1" shapeId="0" xr:uid="{00000000-0006-0000-0400-00001C000000}">
      <text>
        <r>
          <rPr>
            <sz val="12"/>
            <color indexed="81"/>
            <rFont val="Tahoma"/>
            <family val="2"/>
          </rPr>
          <t>The minimum required 0.82 EF is roughly equal to the new water heating efficiency metric of 0.81 UEF</t>
        </r>
      </text>
    </comment>
    <comment ref="C40" authorId="1" shapeId="0" xr:uid="{00000000-0006-0000-0400-00001D000000}">
      <text>
        <r>
          <rPr>
            <sz val="9"/>
            <color indexed="81"/>
            <rFont val="Tahoma"/>
            <family val="2"/>
          </rPr>
          <t>Added because NG_WH3 doesn't meet tax credit efficiency requirement until 2023</t>
        </r>
      </text>
    </comment>
    <comment ref="H40" authorId="1" shapeId="0" xr:uid="{00000000-0006-0000-0400-00001E000000}">
      <text>
        <r>
          <rPr>
            <sz val="12"/>
            <color indexed="81"/>
            <rFont val="Tahoma"/>
            <family val="2"/>
          </rPr>
          <t>The minimum required 0.82 EF is roughly equal to the new water heating efficiency metric of 0.81 UEF</t>
        </r>
      </text>
    </comment>
    <comment ref="H41" authorId="1" shapeId="0" xr:uid="{00000000-0006-0000-0400-00001F000000}">
      <text>
        <r>
          <rPr>
            <sz val="12"/>
            <color indexed="81"/>
            <rFont val="Tahoma"/>
            <family val="2"/>
          </rPr>
          <t>The minimum required 0.82 EF is roughly equal to the new water heating efficiency metric of 0.81 UEF</t>
        </r>
      </text>
    </comment>
    <comment ref="H42" authorId="1" shapeId="0" xr:uid="{00000000-0006-0000-0400-000020000000}">
      <text>
        <r>
          <rPr>
            <sz val="12"/>
            <color indexed="81"/>
            <rFont val="Tahoma"/>
            <family val="2"/>
          </rPr>
          <t>The minimum required 0.82 EF is roughly equal to the new water heating efficiency metric of 0.81 UEF</t>
        </r>
      </text>
    </comment>
    <comment ref="C43" authorId="1" shapeId="0" xr:uid="{00000000-0006-0000-0400-000021000000}">
      <text>
        <r>
          <rPr>
            <sz val="9"/>
            <color indexed="81"/>
            <rFont val="Tahoma"/>
            <family val="2"/>
          </rPr>
          <t>Added because LPG_WH3 doesn't meet tax credit efficiency requirement until 2023</t>
        </r>
      </text>
    </comment>
    <comment ref="H43" authorId="1" shapeId="0" xr:uid="{00000000-0006-0000-0400-000022000000}">
      <text>
        <r>
          <rPr>
            <sz val="12"/>
            <color indexed="81"/>
            <rFont val="Tahoma"/>
            <family val="2"/>
          </rPr>
          <t>The minimum required 0.82 EF is roughly equal to the new water heating efficiency metric of 0.81 UEF</t>
        </r>
      </text>
    </comment>
    <comment ref="B44" authorId="1" shapeId="0" xr:uid="{00000000-0006-0000-0400-000023000000}">
      <text>
        <r>
          <rPr>
            <sz val="9"/>
            <color indexed="81"/>
            <rFont val="Tahoma"/>
            <family val="2"/>
          </rPr>
          <t>No modeled DIST_WH models meet tax credit levels</t>
        </r>
      </text>
    </comment>
    <comment ref="H44" authorId="1" shapeId="0" xr:uid="{00000000-0006-0000-0400-000024000000}">
      <text>
        <r>
          <rPr>
            <sz val="12"/>
            <color indexed="81"/>
            <rFont val="Tahoma"/>
            <family val="2"/>
          </rPr>
          <t>The minimum required 0.82 EF is roughly equal to the new water heating efficiency metric of 0.81 UEF</t>
        </r>
      </text>
    </comment>
    <comment ref="B45" authorId="1" shapeId="0" xr:uid="{00000000-0006-0000-0400-000025000000}">
      <text>
        <r>
          <rPr>
            <sz val="9"/>
            <color indexed="81"/>
            <rFont val="Tahoma"/>
            <family val="2"/>
          </rPr>
          <t>No modeled DIST_WH models meet tax credit levels</t>
        </r>
      </text>
    </comment>
    <comment ref="H45" authorId="1" shapeId="0" xr:uid="{00000000-0006-0000-0400-000026000000}">
      <text>
        <r>
          <rPr>
            <sz val="12"/>
            <color indexed="81"/>
            <rFont val="Tahoma"/>
            <family val="2"/>
          </rPr>
          <t>The minimum required 0.82 EF is roughly equal to the new water heating efficiency metric of 0.81 UEF</t>
        </r>
      </text>
    </comment>
    <comment ref="N47" authorId="1" shapeId="0" xr:uid="{00000000-0006-0000-0400-000029000000}">
      <text>
        <r>
          <rPr>
            <sz val="9"/>
            <color indexed="81"/>
            <rFont val="Tahoma"/>
            <family val="2"/>
          </rPr>
          <t xml:space="preserve">Tax credit language makes it seems as though the value should be $2,000, but that makes HPWH costs negative and prevents </t>
        </r>
        <r>
          <rPr>
            <i/>
            <sz val="9"/>
            <color indexed="81"/>
            <rFont val="Tahoma"/>
            <family val="2"/>
          </rPr>
          <t xml:space="preserve">any </t>
        </r>
        <r>
          <rPr>
            <sz val="9"/>
            <color indexed="81"/>
            <rFont val="Tahoma"/>
            <family val="2"/>
          </rPr>
          <t>purchase of electric resistance storage water heaters. Future IRS guidance may clarify what value is most appropriate here.</t>
        </r>
      </text>
    </comment>
    <comment ref="C49" authorId="2" shapeId="0" xr:uid="{00000000-0006-0000-0400-00002A000000}">
      <text>
        <r>
          <rPr>
            <b/>
            <sz val="9"/>
            <color indexed="81"/>
            <rFont val="Tahoma"/>
            <family val="2"/>
          </rPr>
          <t>Sourmehi, Courtney:</t>
        </r>
        <r>
          <rPr>
            <sz val="9"/>
            <color indexed="81"/>
            <rFont val="Tahoma"/>
            <family val="2"/>
          </rPr>
          <t xml:space="preserve">
Non-Business Energy Property Tax credits retroactively extended through 12/31/2021.
https://www.energystar.gov/about/federal_tax_credits/non_business_energy_property_tax_credits</t>
        </r>
      </text>
    </comment>
    <comment ref="B82" authorId="1" shapeId="0" xr:uid="{00000000-0006-0000-0400-00002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B83" authorId="1" shapeId="0" xr:uid="{00000000-0006-0000-0400-00002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2020: $300 (Sec 25C)
2021-2022: 26% (no max; Sec 25D)
2023-2032: 30% ($2,000 annual max; Sec 25C)</t>
        </r>
      </text>
    </comment>
    <comment ref="J140" authorId="1" shapeId="0" xr:uid="{00000000-0006-0000-0400-00002D000000}">
      <text>
        <r>
          <rPr>
            <sz val="12"/>
            <color indexed="81"/>
            <rFont val="Tahoma"/>
            <family val="2"/>
          </rPr>
          <t>Will need to update if xlRTTYNAME ever changes for these technologies</t>
        </r>
      </text>
    </comment>
    <comment ref="J141" authorId="1" shapeId="0" xr:uid="{00000000-0006-0000-0400-00002E000000}">
      <text>
        <r>
          <rPr>
            <sz val="12"/>
            <color indexed="81"/>
            <rFont val="Tahoma"/>
            <family val="2"/>
          </rPr>
          <t>Will need to update if xlRTTYNAME ever changes for these technologies</t>
        </r>
      </text>
    </comment>
    <comment ref="J142" authorId="1" shapeId="0" xr:uid="{00000000-0006-0000-0400-00002F000000}">
      <text>
        <r>
          <rPr>
            <sz val="12"/>
            <color indexed="81"/>
            <rFont val="Tahoma"/>
            <family val="2"/>
          </rPr>
          <t>Will need to update if xlRTTYNAME ever changes for these technologies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<sst xmlns="http://schemas.openxmlformats.org/spreadsheetml/2006/main" count="5111" uniqueCount="509">
  <si>
    <t>Cost Trend Function</t>
  </si>
  <si>
    <t>Efficiency Choice Model Logit Parameters</t>
  </si>
  <si>
    <t>End Use</t>
  </si>
  <si>
    <t>First Year</t>
  </si>
  <si>
    <t>Last Year</t>
  </si>
  <si>
    <t>Efficiency</t>
  </si>
  <si>
    <t>Maturity</t>
  </si>
  <si>
    <t>Cost Decline Initial Year</t>
  </si>
  <si>
    <t>Shape Parameter</t>
  </si>
  <si>
    <t>Cost Decline</t>
  </si>
  <si>
    <t>Beta_1</t>
  </si>
  <si>
    <t>Beta_2</t>
  </si>
  <si>
    <t>Beta_3</t>
  </si>
  <si>
    <t>Bias</t>
  </si>
  <si>
    <t>Tech Name</t>
  </si>
  <si>
    <t>Cost</t>
  </si>
  <si>
    <t>Tab</t>
  </si>
  <si>
    <t>Content</t>
  </si>
  <si>
    <t>Source</t>
  </si>
  <si>
    <t>Comment</t>
  </si>
  <si>
    <t>RSCLASS</t>
  </si>
  <si>
    <t>RSMEQP</t>
  </si>
  <si>
    <t>RSMSHL</t>
  </si>
  <si>
    <t>Residential major end-use equipment class inputs</t>
  </si>
  <si>
    <t>Residential major end-use equipment technology menu</t>
  </si>
  <si>
    <t>Residential shell package inputs</t>
  </si>
  <si>
    <t>Fuel</t>
  </si>
  <si>
    <t>Weibull K</t>
  </si>
  <si>
    <t>Weibull λ</t>
  </si>
  <si>
    <t>Alpha</t>
  </si>
  <si>
    <t>Equipment Life Parameters</t>
  </si>
  <si>
    <t>NEMS Indices</t>
  </si>
  <si>
    <t>Availability Years</t>
  </si>
  <si>
    <t>Elasticity of UEC to Sqft</t>
  </si>
  <si>
    <t>New Shell Efficiency</t>
  </si>
  <si>
    <t>Base Efficiency</t>
  </si>
  <si>
    <t>NEMS Name</t>
  </si>
  <si>
    <t>NEMS Index</t>
  </si>
  <si>
    <t>Subsidies</t>
  </si>
  <si>
    <t>&lt;- RSCLASS variable names</t>
  </si>
  <si>
    <t>&lt;- RSMEQP variable names</t>
  </si>
  <si>
    <t>&lt;- RSMSHL variable names</t>
  </si>
  <si>
    <t>Type Pointer</t>
  </si>
  <si>
    <t>Hot Water Load Adjustment</t>
  </si>
  <si>
    <t>New Construction Cost</t>
  </si>
  <si>
    <t>Replacement Cost</t>
  </si>
  <si>
    <t>Federal Replacement Subsidy</t>
  </si>
  <si>
    <t>Federal New Construction Subsidy</t>
  </si>
  <si>
    <t>Non-Federal Replacement Subsidy</t>
  </si>
  <si>
    <t>EE Replacement Subsidy</t>
  </si>
  <si>
    <t>EE New Construction Subsidy</t>
  </si>
  <si>
    <t>Census Division</t>
  </si>
  <si>
    <t>Equipment Type</t>
  </si>
  <si>
    <t>Equipment Class</t>
  </si>
  <si>
    <t>HVAC Pointer</t>
  </si>
  <si>
    <t>Equipment cost dollar year (RTEKDOLLARYR)</t>
  </si>
  <si>
    <t>Housing Type</t>
  </si>
  <si>
    <t>Heating Equipment Class</t>
  </si>
  <si>
    <t>Heating Equipment Type</t>
  </si>
  <si>
    <t>Cooling Equipment Class</t>
  </si>
  <si>
    <t>Cooling Equipment Type</t>
  </si>
  <si>
    <t>Heating Sqft Adjustment</t>
  </si>
  <si>
    <t>Cooling Sqft Adjustment</t>
  </si>
  <si>
    <t>Shell Heating Efficiency</t>
  </si>
  <si>
    <t>Shell Cooling Efficiency</t>
  </si>
  <si>
    <t>Shell Heating Base Efficiency</t>
  </si>
  <si>
    <t>Shell Cooling Base Efficiency</t>
  </si>
  <si>
    <t>Shell Installed Cost</t>
  </si>
  <si>
    <t>Shell Federal Subsidy Amount</t>
  </si>
  <si>
    <t>Shell Non-Federal Subsidy Amount</t>
  </si>
  <si>
    <t>Shell Package Number</t>
  </si>
  <si>
    <t>Shell Description</t>
  </si>
  <si>
    <t>&lt;- Column Sort Order</t>
  </si>
  <si>
    <t>Replacement Equipment Class</t>
  </si>
  <si>
    <t>FILE NAME</t>
  </si>
  <si>
    <t>DATE MODIFIED</t>
  </si>
  <si>
    <t>USED BY</t>
  </si>
  <si>
    <t>RTEKREAD subroutine of the National Energy Modeling System (NEMS) Residential Demand Module (RDM)</t>
  </si>
  <si>
    <t>DEFINITION</t>
  </si>
  <si>
    <t>Residential technology equipment class descriptions (pointers and flags for major end-use equipment types)</t>
  </si>
  <si>
    <t>UNITS</t>
  </si>
  <si>
    <t>DIMENSION</t>
  </si>
  <si>
    <t>SPECIAL CONSTRAINTS</t>
  </si>
  <si>
    <t>Number classes 1, 2 , 3, ... must match RSM(EQP and SHL) class numbers</t>
  </si>
  <si>
    <t>Do not change equipment class names (RTCLNAME); RTCLENDU mapping shown in Table 1 and RTFUEL mapping shown in Table 2 of RDM documentation</t>
  </si>
  <si>
    <t>RTxxxxxx are RESD variable names (also named ranges in Excel); total available number of RSCLASS rows controlled by MNUMRTCL in RTEK includes file</t>
  </si>
  <si>
    <t>File must be sorted by column one (RTCLENDU) then column two (RTCLEQCL)</t>
  </si>
  <si>
    <t>SOURCES</t>
  </si>
  <si>
    <t>COMMENT</t>
  </si>
  <si>
    <t>ORGANIZATION OF DATA</t>
  </si>
  <si>
    <t>Must be sorted by column one then column two</t>
  </si>
  <si>
    <t>Major end-use equipment technology menu</t>
  </si>
  <si>
    <t>Efficiency is relative to 2009 RECS base-year level (index; lower means more efficient)</t>
  </si>
  <si>
    <t>Housing shell menu options</t>
  </si>
  <si>
    <t>Shell cost dollar year (RSHLDOLLARYR)</t>
  </si>
  <si>
    <t>Number of technology records (EqpRecords)</t>
  </si>
  <si>
    <t>Number of class records (ClsRecords)</t>
  </si>
  <si>
    <t>Number of technology records (ShlRecords)</t>
  </si>
  <si>
    <t>Formerly contained in RSCLASS.txt input file</t>
  </si>
  <si>
    <t>See tab for sources</t>
  </si>
  <si>
    <t>Residential sector menu for equipment and shell selection</t>
  </si>
  <si>
    <t>xlRTCLENDU</t>
  </si>
  <si>
    <t>xlRTTYENDU</t>
  </si>
  <si>
    <t>xlRTEQTYPE</t>
  </si>
  <si>
    <t>xlRSCENDIV</t>
  </si>
  <si>
    <t>xlRSBTYPE</t>
  </si>
  <si>
    <t>xlHVHTEQCL</t>
  </si>
  <si>
    <t>xlHVHTEQTY</t>
  </si>
  <si>
    <t>xlHVCLEQCL</t>
  </si>
  <si>
    <t>xlHVCLEQTY</t>
  </si>
  <si>
    <t>xlHVFYEAR</t>
  </si>
  <si>
    <t>xlHVLYEAR</t>
  </si>
  <si>
    <t>xlHVHEATFACTOR</t>
  </si>
  <si>
    <t>xlHVCOOLFACTOR</t>
  </si>
  <si>
    <t>xlHTSHEFF</t>
  </si>
  <si>
    <t>xlCLSHEFF</t>
  </si>
  <si>
    <t>xlHTSHBASE</t>
  </si>
  <si>
    <t>xlCLSHBASE</t>
  </si>
  <si>
    <t>xlSHELCOST</t>
  </si>
  <si>
    <t>xlSHELSUB</t>
  </si>
  <si>
    <t>xlSHELSUB111D</t>
  </si>
  <si>
    <t>xlHVPACKG</t>
  </si>
  <si>
    <t>xlHVPGNAME</t>
  </si>
  <si>
    <t>xlRTTYEQCL</t>
  </si>
  <si>
    <t>xlRTINITYR</t>
  </si>
  <si>
    <t>xlRTLASTYR</t>
  </si>
  <si>
    <t>xlRTCENDIV</t>
  </si>
  <si>
    <t>xlHVACPNTR</t>
  </si>
  <si>
    <t>xlRTTYPNTR</t>
  </si>
  <si>
    <t>xlCWMEF</t>
  </si>
  <si>
    <t>xlLOADADJ</t>
  </si>
  <si>
    <t>xlRTEQEFF</t>
  </si>
  <si>
    <t>xlRTEQCOST</t>
  </si>
  <si>
    <t>xlRTRECOST</t>
  </si>
  <si>
    <t>xlRTEQSUB</t>
  </si>
  <si>
    <t>xlRTRESUB</t>
  </si>
  <si>
    <t>xlRTEQSUBN</t>
  </si>
  <si>
    <t>xlRTRESUBN</t>
  </si>
  <si>
    <t>xlRTEQSUB111D</t>
  </si>
  <si>
    <t>xlRTRESUB111D</t>
  </si>
  <si>
    <t>xlRTMATURE</t>
  </si>
  <si>
    <t>xlRTCOSTP1</t>
  </si>
  <si>
    <t>xlRTCOSTP2</t>
  </si>
  <si>
    <t>xlRTCOSTP3</t>
  </si>
  <si>
    <t>xlRTECBTA1</t>
  </si>
  <si>
    <t>xlRTECBTA2</t>
  </si>
  <si>
    <t>xlRTECBTA3</t>
  </si>
  <si>
    <t>xlRTECBIAS</t>
  </si>
  <si>
    <t>xlRTTYNAME</t>
  </si>
  <si>
    <t>xlRTCLEQCL</t>
  </si>
  <si>
    <t>xlRTCLTYPT</t>
  </si>
  <si>
    <t>xlRTCLPNTR</t>
  </si>
  <si>
    <t>xlRTCLREPL</t>
  </si>
  <si>
    <t>xlRTFUEL</t>
  </si>
  <si>
    <t>xlRTFFAN</t>
  </si>
  <si>
    <t>xlRTBASEFF</t>
  </si>
  <si>
    <t>xlRTALPHA</t>
  </si>
  <si>
    <t>xlRTK</t>
  </si>
  <si>
    <t>xlRTLAMBDA</t>
  </si>
  <si>
    <t>xlRTFCBETA</t>
  </si>
  <si>
    <t>xlRTSWFACT</t>
  </si>
  <si>
    <t>xlRTSWBETA</t>
  </si>
  <si>
    <t>xlRTSWBIAS</t>
  </si>
  <si>
    <t>xlRTCLNAME</t>
  </si>
  <si>
    <t>Switching Factor</t>
  </si>
  <si>
    <t>New Beta</t>
  </si>
  <si>
    <t>Replacement Beta</t>
  </si>
  <si>
    <t>Equipment Class Name</t>
  </si>
  <si>
    <t>ELEC_RAD</t>
  </si>
  <si>
    <t>ELEC_HP</t>
  </si>
  <si>
    <t>NG_FA</t>
  </si>
  <si>
    <t>NG_RAD</t>
  </si>
  <si>
    <t>KERO_FA</t>
  </si>
  <si>
    <t>LPG_FA</t>
  </si>
  <si>
    <t>DIST_FA</t>
  </si>
  <si>
    <t>DIST_RAD</t>
  </si>
  <si>
    <t>WOOD_HT</t>
  </si>
  <si>
    <t>GEO_HP</t>
  </si>
  <si>
    <t>NG_HP</t>
  </si>
  <si>
    <t>ROOM_AIR</t>
  </si>
  <si>
    <t>CENT_AIR</t>
  </si>
  <si>
    <t>CL_WASH</t>
  </si>
  <si>
    <t>DS_WASH</t>
  </si>
  <si>
    <t>NG_WH</t>
  </si>
  <si>
    <t>ELEC_WH</t>
  </si>
  <si>
    <t>DIST_WH</t>
  </si>
  <si>
    <t>LPG_WH</t>
  </si>
  <si>
    <t>SOLAR_WH</t>
  </si>
  <si>
    <t>NG_STV</t>
  </si>
  <si>
    <t>LPG_STV</t>
  </si>
  <si>
    <t>ELEC_STV</t>
  </si>
  <si>
    <t>NG_DRY</t>
  </si>
  <si>
    <t>ELEC_DRY</t>
  </si>
  <si>
    <t>REFR</t>
  </si>
  <si>
    <t>FREZ</t>
  </si>
  <si>
    <t>ELEC_HP1</t>
  </si>
  <si>
    <t>ELEC_HP2</t>
  </si>
  <si>
    <t>ELEC_HP3</t>
  </si>
  <si>
    <t>ELEC_HP4</t>
  </si>
  <si>
    <t>NG_RAD1</t>
  </si>
  <si>
    <t>NG_RAD2</t>
  </si>
  <si>
    <t>NG_RAD3</t>
  </si>
  <si>
    <t>KERO_FA1</t>
  </si>
  <si>
    <t>KERO_FA2</t>
  </si>
  <si>
    <t>KERO_FA3</t>
  </si>
  <si>
    <t>DIST_FA1</t>
  </si>
  <si>
    <t>DIST_FA2</t>
  </si>
  <si>
    <t>DIST_FA3</t>
  </si>
  <si>
    <t>GEO_HP1</t>
  </si>
  <si>
    <t>GEO_HP2</t>
  </si>
  <si>
    <t>ELEC_WH1</t>
  </si>
  <si>
    <t>ELEC_WH2</t>
  </si>
  <si>
    <t>ELEC_WH4</t>
  </si>
  <si>
    <t>DIST_WH1</t>
  </si>
  <si>
    <t>DIST_WH2</t>
  </si>
  <si>
    <t>NG_STV2</t>
  </si>
  <si>
    <t>LPG_STV2</t>
  </si>
  <si>
    <t>NG_DRY1</t>
  </si>
  <si>
    <t>NG_DRY2</t>
  </si>
  <si>
    <t>No IECC</t>
  </si>
  <si>
    <t>IECC 2009</t>
  </si>
  <si>
    <t>PATH</t>
  </si>
  <si>
    <t>MATURE</t>
  </si>
  <si>
    <t>xlI</t>
  </si>
  <si>
    <t>xlRTxxxxxx labels are RDM variable names  (also named ranges in Excel)</t>
  </si>
  <si>
    <t>End use (xlRTTYENDU) and class number (xlRTTYEQCL) must match xlRTCLENDU and xlRTCLEQCL in RSCLASS.txt input file, respectively</t>
  </si>
  <si>
    <t>Kerosene equipment is now assumed to be included with distillate fuel oil</t>
  </si>
  <si>
    <t>Kerosene (heating equipment type 5) combined with distillate fuel oil</t>
  </si>
  <si>
    <t>None</t>
  </si>
  <si>
    <t>Housing type, Census division, equipment type</t>
  </si>
  <si>
    <t>End use, equipment class, Census division, end-use technology, vintage</t>
  </si>
  <si>
    <t>Exogenous REM/Design modeling work</t>
  </si>
  <si>
    <t>Technology</t>
  </si>
  <si>
    <t>Percent Rebate by Census Division</t>
  </si>
  <si>
    <t>https://www.energy.gov/savings/residential-energy-efficiency-tax-credit</t>
  </si>
  <si>
    <t>U.S Census Division Map</t>
  </si>
  <si>
    <t>https://www.eia.gov/consumption/commercial/maps.php#census</t>
  </si>
  <si>
    <t>http://programs.dsireusa.org/system/program/detail/1235</t>
  </si>
  <si>
    <t>Year</t>
  </si>
  <si>
    <t>ENERGY STAR</t>
  </si>
  <si>
    <t>IECC 2009 +40%</t>
  </si>
  <si>
    <t>Changed value from prior version</t>
  </si>
  <si>
    <t>New row</t>
  </si>
  <si>
    <t>Verify value</t>
  </si>
  <si>
    <t>Tax Credit</t>
  </si>
  <si>
    <t>Natural Gas Furnaces</t>
  </si>
  <si>
    <t>Central Air Conditioners</t>
  </si>
  <si>
    <t>https://fas.org/sgp/crs/misc/R42089.pdf</t>
  </si>
  <si>
    <t>Thermal Efficiency</t>
  </si>
  <si>
    <t>Minimum Heating Efficiency Level</t>
  </si>
  <si>
    <t>Heating Efficiency Units</t>
  </si>
  <si>
    <t>Minimum Cooling Efficiency Level</t>
  </si>
  <si>
    <t>Cooling Efficiency Units</t>
  </si>
  <si>
    <t>Energy Factor</t>
  </si>
  <si>
    <t>-</t>
  </si>
  <si>
    <t>Heating End Use</t>
  </si>
  <si>
    <t>Cooling End Use</t>
  </si>
  <si>
    <t>Air-Source Heat Pumps</t>
  </si>
  <si>
    <t>Natural Gas water heaters (storage &amp; tankless)</t>
  </si>
  <si>
    <t>Non-federal Energy Efficiency Subsidies (xlRTEQSUBN and xlRTRESUBN in RSMEQP)</t>
  </si>
  <si>
    <t>Equipment and whole-building subsidy lookup tables for federal tax credits, non-federal energy efficiency subsidies, and CPP energy efficiency subsidies</t>
  </si>
  <si>
    <t>Solar water heaters (storage &amp; tankless)</t>
  </si>
  <si>
    <t>Wood Stoves &amp; Other</t>
  </si>
  <si>
    <t>TaxCred&amp;Subs</t>
  </si>
  <si>
    <t>"The amount of the credit is calculated as a percentage of expenditures on technologies that generate renewable energy, including labor and installation costs."</t>
  </si>
  <si>
    <t>"Generally, the maximum value of the Section 25D credit for renewable-energy-generating technologies is not capped."</t>
  </si>
  <si>
    <t>Ground-Source Heat Pumps</t>
  </si>
  <si>
    <t>26 U.S. Code § 25D - Residential energy efficient property tax credits for federal replacement and new construction subsidies (xlRTEQSUB and xlRTRESUB in RSMEQP)</t>
  </si>
  <si>
    <t>xlRTEQSUB/ xlRTRESUB</t>
  </si>
  <si>
    <t>Formerly contained in RSMSHL.txt input file; subsidies are looked up automatically, but correct vintage year rows must be present to pull in all applicable values</t>
  </si>
  <si>
    <t>Natural Gas Boilers &amp; Other</t>
  </si>
  <si>
    <t>Distillate Fuel Oil &amp; Kerosene Boilers &amp; Other</t>
  </si>
  <si>
    <t>Propane Furnaces &amp; Other</t>
  </si>
  <si>
    <t>Distillate Fuel Oil &amp; Kerosene Furnaces</t>
  </si>
  <si>
    <t>AFUE</t>
  </si>
  <si>
    <t>"Both existing homes and new construction qualifies."</t>
  </si>
  <si>
    <t>"The credit is only available for expenditures for an existing home that is the taxpayer’s principal residence. New construction and rentals do not qualify."</t>
  </si>
  <si>
    <t>"Given the price of high-efficiency heating, cooling, and water-heating appliances, taxpayers generally claim the maximum amount of the credit for energy-efficient property."</t>
  </si>
  <si>
    <t>26 U.S. Code § 45L - New energy efficient home credit for federal new construction subsidies (xlSHELSUB in RSMSHL)</t>
  </si>
  <si>
    <t>https://www.law.cornell.edu/uscode/text/26/45L</t>
  </si>
  <si>
    <t>https://www.energystar.gov/about/federal_tax_credits/federal_tax_credit_archives/tax_credits_home_builders</t>
  </si>
  <si>
    <t>Final year of federal tax credit:</t>
  </si>
  <si>
    <t>Single-family homes</t>
  </si>
  <si>
    <t>Manufactured homes</t>
  </si>
  <si>
    <t>"With the exception of the tax credit for an ENERGY STAR certified manufactured home, these tax credits are not directly linked to ENERGY STAR certification. Therefore, a builder of an ENERGY STAR certified home may be eligible for a tax credit but it is not guaranteed.</t>
  </si>
  <si>
    <t>"Home builders are eligible for a $2,000 tax credit for a new energy efficient home that achieves 50% energy savings for heating and cooling over the 2006 International Energy Conservation Code (IECC) and supplements."</t>
  </si>
  <si>
    <t>Applied to IECC 2009 +40% and PATH shell options (i.e., xlHVPACKG &gt;= 4)</t>
  </si>
  <si>
    <t>Existing home building envelopes are not explicitly modeled, so Qualifying Energy-efficiency Improvements are not included in NEMS</t>
  </si>
  <si>
    <t>Residential Energy Tax Credits: Overview and Analysis (PDF pg 3, 9, 19)</t>
  </si>
  <si>
    <t>Residential Energy Tax Credits: Overview and Analysis (PDF pg 3, 9, 20)</t>
  </si>
  <si>
    <t>Electric water heaters (heat pump)</t>
  </si>
  <si>
    <t>Propane water heaters (storage &amp; tankless)</t>
  </si>
  <si>
    <t>Distillate Fuel Oil &amp; Kerosene water heaters (storage &amp; tankless)</t>
  </si>
  <si>
    <t>Rebates are applied to ENERGY STAR or better equipment (i.e., xlRTTYNAME # &gt;=3)</t>
  </si>
  <si>
    <t>COP</t>
  </si>
  <si>
    <t>FIND A WAY TO PREVENT HEAT PUMPS FROM HAVING DIFFERENT COSTS BETWEEN HEATING AND COOLING COMPONENTS?</t>
  </si>
  <si>
    <t>Heating Lookup</t>
  </si>
  <si>
    <t>Cooling Lookup</t>
  </si>
  <si>
    <t>Refrigerator Lookup</t>
  </si>
  <si>
    <t>Kerosene Furnaces</t>
  </si>
  <si>
    <t>NG_DRY3</t>
  </si>
  <si>
    <t>NG_DRY4</t>
  </si>
  <si>
    <t>Efficiency Metric</t>
  </si>
  <si>
    <t>kWh/yr</t>
  </si>
  <si>
    <t>UEF</t>
  </si>
  <si>
    <t>SEF</t>
  </si>
  <si>
    <t>HHV</t>
  </si>
  <si>
    <t>kWh/cycle</t>
  </si>
  <si>
    <t>cycle/kWh</t>
  </si>
  <si>
    <t>End Use/ Class Lookup</t>
  </si>
  <si>
    <t>Last Modified</t>
  </si>
  <si>
    <t>Furnace Fan Flag</t>
  </si>
  <si>
    <t>Equipment Class Pointer</t>
  </si>
  <si>
    <t>Maximum Equipment Life (Years)</t>
  </si>
  <si>
    <t>Minimum Equipment Life (Years)</t>
  </si>
  <si>
    <t>EER</t>
  </si>
  <si>
    <t>CEF</t>
  </si>
  <si>
    <t>% efficiency</t>
  </si>
  <si>
    <t>Kerosene combined with distillate fuel oil; this row should be removed once that process is complete</t>
  </si>
  <si>
    <t>NG_FA1</t>
  </si>
  <si>
    <t>NG_FA2</t>
  </si>
  <si>
    <t>NG_FA3</t>
  </si>
  <si>
    <t>NG_FA4</t>
  </si>
  <si>
    <t>LPG_FA1</t>
  </si>
  <si>
    <t>LPG_FA2</t>
  </si>
  <si>
    <t>LPG_FA3</t>
  </si>
  <si>
    <t>LPG_FA4</t>
  </si>
  <si>
    <t>NG_RAD4</t>
  </si>
  <si>
    <t>KERO_FA4</t>
  </si>
  <si>
    <t>DIST_FA4</t>
  </si>
  <si>
    <t>Refrigerators (top-mounted freezer)</t>
  </si>
  <si>
    <t>Refrigerators (side-mounted freezer)</t>
  </si>
  <si>
    <t>Refrigerators (bottom-mounted freezer)</t>
  </si>
  <si>
    <t>WOOD_HT2</t>
  </si>
  <si>
    <t>WOOD_HT4</t>
  </si>
  <si>
    <t>ELEC_RAD2</t>
  </si>
  <si>
    <t>GEO_HP3</t>
  </si>
  <si>
    <t>GEO_HP4</t>
  </si>
  <si>
    <t>NG_HP2</t>
  </si>
  <si>
    <t>NG_WH1</t>
  </si>
  <si>
    <t>NG_WH2</t>
  </si>
  <si>
    <t>NG_WH3</t>
  </si>
  <si>
    <t>NG_WH4</t>
  </si>
  <si>
    <t>LPG_WH1</t>
  </si>
  <si>
    <t>LPG_WH2</t>
  </si>
  <si>
    <t>LPG_WH3</t>
  </si>
  <si>
    <t>LPG_WH4</t>
  </si>
  <si>
    <t>CENT_AIR1</t>
  </si>
  <si>
    <t>CENT_AIR2</t>
  </si>
  <si>
    <t>CENT_AIR3</t>
  </si>
  <si>
    <t>CENT_AIR4</t>
  </si>
  <si>
    <t>Applies to ENERGY STAR or better ground-source heat pumps</t>
  </si>
  <si>
    <t>HP_WH2</t>
  </si>
  <si>
    <t>HP_WH3</t>
  </si>
  <si>
    <t>HP_WH4</t>
  </si>
  <si>
    <t>DIST_WH4</t>
  </si>
  <si>
    <t>NG_STV4</t>
  </si>
  <si>
    <t>LPG_STV4</t>
  </si>
  <si>
    <t>DIST_RAD1</t>
  </si>
  <si>
    <t>DIST_RAD2</t>
  </si>
  <si>
    <t>DIST_RAD3</t>
  </si>
  <si>
    <t>DIST_RAD4</t>
  </si>
  <si>
    <t>ROOM_AIR1</t>
  </si>
  <si>
    <t>ROOM_AIR2</t>
  </si>
  <si>
    <t>ROOM_AIR3</t>
  </si>
  <si>
    <t>ROOM_AIR4</t>
  </si>
  <si>
    <t>DS_WASH1</t>
  </si>
  <si>
    <t>DS_WASH2</t>
  </si>
  <si>
    <t>DS_WASH3</t>
  </si>
  <si>
    <t>DS_WASH4</t>
  </si>
  <si>
    <t>CL_WASH_T1</t>
  </si>
  <si>
    <t>CL_WASH_T2</t>
  </si>
  <si>
    <t>CL_WASH_T3</t>
  </si>
  <si>
    <t>CL_WASH_T4</t>
  </si>
  <si>
    <t>CL_WASH_F1</t>
  </si>
  <si>
    <t>CL_WASH_F2</t>
  </si>
  <si>
    <t>CL_WASH_F3</t>
  </si>
  <si>
    <t>CL_WASH_F4</t>
  </si>
  <si>
    <t>SOLAR_WH2</t>
  </si>
  <si>
    <t>ELEC_STV2</t>
  </si>
  <si>
    <t>ELEC_DRY1</t>
  </si>
  <si>
    <t>ELEC_DRY3</t>
  </si>
  <si>
    <t>ELEC_DRY4</t>
  </si>
  <si>
    <t>REFR_TF1</t>
  </si>
  <si>
    <t>REFR_TF2</t>
  </si>
  <si>
    <t>REFR_TF3</t>
  </si>
  <si>
    <t>REFR_TF4</t>
  </si>
  <si>
    <t>REFR_SF1</t>
  </si>
  <si>
    <t>REFR_SF2</t>
  </si>
  <si>
    <t>REFR_SF3</t>
  </si>
  <si>
    <t>REFR_SF4</t>
  </si>
  <si>
    <t>REFR_BF1</t>
  </si>
  <si>
    <t>REFR_BF2</t>
  </si>
  <si>
    <t>REFR_BF3</t>
  </si>
  <si>
    <t>REFR_BF4</t>
  </si>
  <si>
    <t>FREZ_C1</t>
  </si>
  <si>
    <t>FREZ_C2</t>
  </si>
  <si>
    <t>FREZ_C3</t>
  </si>
  <si>
    <t>FREZ_C4</t>
  </si>
  <si>
    <t>FREZ_U1</t>
  </si>
  <si>
    <t>FREZ_U2</t>
  </si>
  <si>
    <t>FREZ_U3</t>
  </si>
  <si>
    <t>FREZ_U4</t>
  </si>
  <si>
    <t>Heat Eqp Type</t>
  </si>
  <si>
    <t>PATH homes have High (4) equipment or highest available otherwise</t>
  </si>
  <si>
    <t>ENERGY STAR homes use ENERGY STAR (3) equipment</t>
  </si>
  <si>
    <t>IECC homes use Current Standard (1) (or Typical (2) where no standard exists) equipment</t>
  </si>
  <si>
    <t>No IECC use Current Standard (1) (or Typical (2) where no standard exists) equipment</t>
  </si>
  <si>
    <t>PATH homes wouldn't use electric resistance heating? (currently only included in multifamily in CD 5-9)</t>
  </si>
  <si>
    <t>Cool Eqp Class</t>
  </si>
  <si>
    <t>Cool Eqp Type</t>
  </si>
  <si>
    <t>Heat Eqp Class</t>
  </si>
  <si>
    <t>non-negative numbers</t>
  </si>
  <si>
    <t>Minimum array size parameter (MNUMRTTY)</t>
  </si>
  <si>
    <t>Varies</t>
  </si>
  <si>
    <t>nDishTypes</t>
  </si>
  <si>
    <t>nWatHtTypes</t>
  </si>
  <si>
    <t>nCookTypes</t>
  </si>
  <si>
    <t>nRefrTypes</t>
  </si>
  <si>
    <t>nFrezTypes</t>
  </si>
  <si>
    <t>nHeatTypes</t>
  </si>
  <si>
    <t>nCoolTypes</t>
  </si>
  <si>
    <t>Space Heating</t>
  </si>
  <si>
    <t>Space Cooling</t>
  </si>
  <si>
    <t>Dishwashing</t>
  </si>
  <si>
    <t>ClothesWashing</t>
  </si>
  <si>
    <t>nClWashTypes</t>
  </si>
  <si>
    <t>nClDryTypes</t>
  </si>
  <si>
    <t>Water Heating</t>
  </si>
  <si>
    <t>Cooking</t>
  </si>
  <si>
    <t>Clothes Drying</t>
  </si>
  <si>
    <t>Refrigeration</t>
  </si>
  <si>
    <t>Standalone Freezing</t>
  </si>
  <si>
    <t>nHeatClasses</t>
  </si>
  <si>
    <t>nCoolClasses</t>
  </si>
  <si>
    <t>nClWashClasses</t>
  </si>
  <si>
    <t>nDishClasses</t>
  </si>
  <si>
    <t>nWatHtClasses</t>
  </si>
  <si>
    <t>nCookClasses</t>
  </si>
  <si>
    <t>nClDryClasses</t>
  </si>
  <si>
    <t>nRefrClasses</t>
  </si>
  <si>
    <t>nFrezClasses</t>
  </si>
  <si>
    <t>ELEC_WH6</t>
  </si>
  <si>
    <t>ELEC_WH7</t>
  </si>
  <si>
    <t>https://amendments-rules.house.gov/amendments/HWC_103_xml1217190022572257.pdf</t>
  </si>
  <si>
    <t>https://www.energystar.gov/about/federal_tax_credits/non_business_energy_property_tax_credits</t>
  </si>
  <si>
    <t>"For 2012 through 2021, the aggregate amount of credit is limited to $500 per taxpayer. A taxpayer is ineligible for this tax credit if this credit has already been claimed by the taxpayer in an amount of $500 in any previous year"</t>
  </si>
  <si>
    <t>https://www.irs.gov/instructions/i8908</t>
  </si>
  <si>
    <t>26 U.S. Code § 25C - Nonbusiness energy property tax credits for federal replacement subsidies (xlRTEQSUB in RSMEQP)</t>
  </si>
  <si>
    <t>https://www.energystar.gov/about/federal_tax_credits/biomass_stoves</t>
  </si>
  <si>
    <t>New value</t>
  </si>
  <si>
    <t>Various= see RDM documentation for efficiency units</t>
  </si>
  <si>
    <t>Do not add equipment classes (xlRTTYEQCL)= do not change equipment class names (xlRTTYNAME)</t>
  </si>
  <si>
    <t>https://uscode.house.gov/view.xhtml?req=(title:26%20section:25C%20edition:prelim)</t>
  </si>
  <si>
    <t>Any changes to table cell placement in this tab may decessitate revising equations (typically pasted as values after calculation) and lookups in RSMEQP and RSMSHL</t>
  </si>
  <si>
    <t>Wood and Pellet Stoves</t>
  </si>
  <si>
    <t>Multifamily homes</t>
  </si>
  <si>
    <t>year range available (must encompass RECSYEAR+1 to projection horizon), 5 building shell packages; columns initially sorted in order noted in row 19 (smallest to largest)</t>
  </si>
  <si>
    <t>9 census divisions, 3 housing types, 11 heating/ 4 cooling equipment classes (RTCLEQCL from RSCLASS.txt; excludes Room AC), heating/ cooling equipment type (RTEQTYPE from RSMEQP.txt),</t>
  </si>
  <si>
    <t>covered by 25D tax credit</t>
  </si>
  <si>
    <r>
      <t xml:space="preserve">^^ Insert new rows above, and extend named ranges if rows are inserted </t>
    </r>
    <r>
      <rPr>
        <b/>
        <i/>
        <sz val="11"/>
        <color theme="1"/>
        <rFont val="Arial"/>
        <family val="2"/>
        <scheme val="minor"/>
      </rPr>
      <t>immediately</t>
    </r>
    <r>
      <rPr>
        <b/>
        <sz val="11"/>
        <color theme="1"/>
        <rFont val="Arial"/>
        <family val="2"/>
        <scheme val="minor"/>
      </rPr>
      <t xml:space="preserve"> above grey boxes ^^</t>
    </r>
  </si>
  <si>
    <t>Clothes Washer Integrated Modified Energy Factor</t>
  </si>
  <si>
    <t>https://www.law.cornell.edu/uscode/text/26/25C</t>
  </si>
  <si>
    <t>Each xlRTEQTYPE must range the full 2021-2050 projection period and begin with the same RTCLTYPT as in RSCLASS.txt</t>
  </si>
  <si>
    <t>Set xlRTCENDIV=11 if the entire data row applies to all census divisions; will not apply to ENERGY STAR or higher equipment that receives census division-level non-federal energy efficiency subsidies</t>
  </si>
  <si>
    <t>Guidehouse and Leidos, EIA - Technology Forecast Updates – Residential and Commercial Building Technologies – Reference Case, March, 2023 (https://www.eia.gov/analysis/studies/buildings/equipcosts/)</t>
  </si>
  <si>
    <t>REFR_TF</t>
  </si>
  <si>
    <t>REFR_SF</t>
  </si>
  <si>
    <t>REFR_BF</t>
  </si>
  <si>
    <t>ELEC_STV4</t>
  </si>
  <si>
    <t>Housing type, census division, equipment type</t>
  </si>
  <si>
    <t>Used to  modify technology parameters in resd.f (labeled !EqpParam)</t>
  </si>
  <si>
    <t>scale (α)</t>
  </si>
  <si>
    <t>shape (β)</t>
  </si>
  <si>
    <t>delay (θ)</t>
  </si>
  <si>
    <t>&lt;- Descriptions from DOE Technical Support Documents</t>
  </si>
  <si>
    <t>Weibull parameters sourced from various DOE rulemaking technical support documents accessed through https://www.energy.gov/eere/buildings/standards-and-test-procedures</t>
  </si>
  <si>
    <t>Updated base efficiencies and equipment life parameters based on latest technology report and DOE TSDs</t>
  </si>
  <si>
    <t>ELEC_STV3</t>
  </si>
  <si>
    <r>
      <t xml:space="preserve">Max number of building envelope/ shell types (nShellTypes, labeled </t>
    </r>
    <r>
      <rPr>
        <b/>
        <i/>
        <sz val="11"/>
        <color theme="1"/>
        <rFont val="Arial"/>
        <family val="2"/>
        <scheme val="minor"/>
      </rPr>
      <t>!EqpParam</t>
    </r>
    <r>
      <rPr>
        <b/>
        <sz val="11"/>
        <color theme="1"/>
        <rFont val="Arial"/>
        <family val="2"/>
        <scheme val="minor"/>
      </rPr>
      <t xml:space="preserve"> in resd.f)</t>
    </r>
  </si>
  <si>
    <t>Formerly contained in RSMEQP.txt input file
Correct vintage year rows must be present to pull in all applicable values.</t>
  </si>
  <si>
    <t>Adjust RSHLDOLLARYR and xlSHELCOST values to represent 2022 dollars (using AEO2023 Ref case GDP price index); revise base year for 2020 RECS; align technology types based on changes to RSMEQP</t>
  </si>
  <si>
    <r>
      <t xml:space="preserve">Revise base year for 2020 RECS; update equipment costs and characteristics using 2023 technology report; remove instances of </t>
    </r>
    <r>
      <rPr>
        <i/>
        <sz val="11"/>
        <color theme="1"/>
        <rFont val="Arial"/>
        <family val="2"/>
        <scheme val="minor"/>
      </rPr>
      <t>Typical</t>
    </r>
    <r>
      <rPr>
        <sz val="11"/>
        <color theme="1"/>
        <rFont val="Arial"/>
        <family val="2"/>
        <scheme val="minor"/>
      </rPr>
      <t xml:space="preserve"> equipment that have same performance and cost characteristics as </t>
    </r>
    <r>
      <rPr>
        <i/>
        <sz val="11"/>
        <color theme="1"/>
        <rFont val="Arial"/>
        <family val="2"/>
        <scheme val="minor"/>
      </rPr>
      <t xml:space="preserve">Current Standard  </t>
    </r>
    <r>
      <rPr>
        <sz val="11"/>
        <color theme="1"/>
        <rFont val="Arial"/>
        <family val="2"/>
        <scheme val="minor"/>
      </rPr>
      <t xml:space="preserve">or </t>
    </r>
    <r>
      <rPr>
        <i/>
        <sz val="11"/>
        <color theme="1"/>
        <rFont val="Arial"/>
        <family val="2"/>
        <scheme val="minor"/>
      </rPr>
      <t>ENERGY STAR</t>
    </r>
    <r>
      <rPr>
        <sz val="11"/>
        <color theme="1"/>
        <rFont val="Arial"/>
        <family val="2"/>
        <scheme val="minor"/>
      </rPr>
      <t>; incorporate revised federal minimum efficiency standards and ENERGY STAR specifications</t>
    </r>
  </si>
  <si>
    <t>Less efficient than 2027 ROOM_AIR1</t>
  </si>
  <si>
    <t>Less efficient than 2027 DS_WASH1</t>
  </si>
  <si>
    <t>ELEC_DRY2</t>
  </si>
  <si>
    <t>Same as 2028 ELEC_DRY1; avoiding duplicate choice</t>
  </si>
  <si>
    <t>Same as 2028 NG_DRY1; avoiding duplicate choice</t>
  </si>
  <si>
    <t>Same as 2028 CL_WASH_T1; avoiding duplicate choice</t>
  </si>
  <si>
    <t>Same as 2028 CL_WASH_F1; avoiding duplicate choice</t>
  </si>
  <si>
    <t xml:space="preserve">Updated non-federal energy efficiency rebates based on 2022 data. </t>
  </si>
  <si>
    <t>Please note that the ITC credit does not apply to the value offset by utility-sponsored programs; see https://www.irs.gov/credits-deductions/residential-clean-energy-credit</t>
  </si>
  <si>
    <t>Clothes washers (front)</t>
  </si>
  <si>
    <t>Clothes washers (top)</t>
  </si>
  <si>
    <t>CL_WASH_F</t>
  </si>
  <si>
    <t>CL_WASH_T</t>
  </si>
  <si>
    <t>Sources: Aggegation of Consortium for Energy Efficiency (CEE1) Program summaries (Program year 2023) with incentives converted to 2022 dollars to correspond to technology report year costs, ENERGY STAR Program summaries (Program year 2022).</t>
  </si>
  <si>
    <t>Non-Federal New Construction Subsidy</t>
  </si>
  <si>
    <t>Doesn't meet 2030 standard</t>
  </si>
  <si>
    <t>ENERGY STAR v1.0 specification not in effect until late 2023</t>
  </si>
  <si>
    <t>Does not meet 2029 standard</t>
  </si>
  <si>
    <t>ELEC_WH8</t>
  </si>
  <si>
    <t>ELEC_WH2/ELEC_WH5/HP_WH1</t>
  </si>
  <si>
    <t>Doesn't meet or is same as 2029 standard</t>
  </si>
  <si>
    <t>IECC+40% uses ENERGY STAR equipment (3)</t>
  </si>
  <si>
    <t>x</t>
  </si>
  <si>
    <t>EQUIP TYPE ASSUMPTIONS</t>
  </si>
  <si>
    <t>same as above; included to accommodate 2029 gas furnace standard</t>
  </si>
  <si>
    <t>Residential Menus for Equipment, Shells, and Subsidies (RSMESS)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</si>
</sst>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409]mmmm\ d\,\ yyyy;@"/>
    <numFmt numFmtId="167" formatCode="0.0"/>
    <numFmt numFmtId="168" formatCode="0.0000"/>
    <numFmt numFmtId="169" formatCode="&quot;$&quot;#,##0"/>
    <numFmt numFmtId="170" formatCode="&quot; &quot;&quot;$&quot;#,##0.00&quot; &quot;;&quot; &quot;&quot;$&quot;&quot;(&quot;#,##0.00&quot;)&quot;;&quot; &quot;&quot;$&quot;&quot;-&quot;00&quot; &quot;;&quot; &quot;@&quot; &quot;"/>
    <numFmt numFmtId="171" formatCode="0.0%"/>
    <numFmt numFmtId="172" formatCode="0.00000"/>
  </numFmts>
  <fonts count="53" x14ac:knownFonts="1">
    <font>
      <sz val="11"/>
      <color theme="1"/>
      <name val="Arial"/>
      <family val="2"/>
      <scheme val="minor"/>
    </font>
    <font>
      <b/>
      <sz val="11"/>
      <color theme="1"/>
      <name val="Arial"/>
      <family val="2"/>
      <scheme val="minor"/>
    </font>
    <font>
      <b/>
      <sz val="11"/>
      <name val="Arial"/>
      <family val="2"/>
    </font>
    <font>
      <sz val="11"/>
      <name val="Arial"/>
      <family val="2"/>
    </font>
    <font>
      <b/>
      <sz val="11"/>
      <color rgb="FFFF0000"/>
      <name val="Arial"/>
      <family val="2"/>
      <scheme val="minor"/>
    </font>
    <font>
      <sz val="10"/>
      <name val="Helv"/>
    </font>
    <font>
      <sz val="11"/>
      <color rgb="FF0070C0"/>
      <name val="Arial"/>
      <family val="2"/>
      <scheme val="minor"/>
    </font>
    <font>
      <sz val="12"/>
      <color indexed="81"/>
      <name val="Tahoma"/>
      <family val="2"/>
    </font>
    <font>
      <i/>
      <sz val="11"/>
      <color theme="1"/>
      <name val="Arial"/>
      <family val="2"/>
      <scheme val="minor"/>
    </font>
    <font>
      <b/>
      <sz val="10"/>
      <name val="Arial"/>
      <family val="2"/>
      <scheme val="minor"/>
    </font>
    <font>
      <b/>
      <sz val="11"/>
      <color theme="0" tint="-0.249977111117893"/>
      <name val="Arial"/>
      <family val="2"/>
      <scheme val="minor"/>
    </font>
    <font>
      <i/>
      <sz val="12"/>
      <color indexed="81"/>
      <name val="Tahoma"/>
      <family val="2"/>
    </font>
    <font>
      <sz val="11"/>
      <color rgb="FFFF0000"/>
      <name val="Arial"/>
      <family val="2"/>
      <scheme val="minor"/>
    </font>
    <font>
      <i/>
      <sz val="11"/>
      <color rgb="FFFF0000"/>
      <name val="Arial"/>
      <family val="2"/>
      <scheme val="minor"/>
    </font>
    <font>
      <b/>
      <sz val="11"/>
      <color rgb="FF000000"/>
      <name val="Arial"/>
      <family val="2"/>
      <scheme val="minor"/>
    </font>
    <font>
      <sz val="11"/>
      <color rgb="FF000000"/>
      <name val="Arial"/>
      <family val="2"/>
      <scheme val="minor"/>
    </font>
    <font>
      <u/>
      <sz val="11"/>
      <color theme="10"/>
      <name val="Arial"/>
      <family val="2"/>
      <scheme val="minor"/>
    </font>
    <font>
      <b/>
      <i/>
      <sz val="11"/>
      <color theme="1"/>
      <name val="Arial"/>
      <family val="2"/>
      <scheme val="minor"/>
    </font>
    <font>
      <sz val="11"/>
      <name val="Arial"/>
      <family val="2"/>
      <scheme val="minor"/>
    </font>
    <font>
      <sz val="12"/>
      <color indexed="10"/>
      <name val="Tahoma"/>
      <family val="2"/>
    </font>
    <font>
      <sz val="11"/>
      <color rgb="FF0070C0"/>
      <name val="Arial"/>
      <family val="2"/>
    </font>
    <font>
      <i/>
      <sz val="11"/>
      <color theme="0" tint="-0.34998626667073579"/>
      <name val="Arial"/>
      <family val="2"/>
      <scheme val="minor"/>
    </font>
    <font>
      <sz val="11"/>
      <color theme="1"/>
      <name val="Arial"/>
      <family val="2"/>
      <scheme val="minor"/>
    </font>
    <font>
      <u/>
      <sz val="10"/>
      <color indexed="12"/>
      <name val="Arial"/>
      <family val="2"/>
    </font>
    <font>
      <sz val="11"/>
      <color rgb="FF000000"/>
      <name val="Calibri"/>
      <family val="2"/>
    </font>
    <font>
      <sz val="10"/>
      <color rgb="FF000000"/>
      <name val="Times New Roman"/>
      <family val="1"/>
    </font>
    <font>
      <sz val="9"/>
      <color indexed="81"/>
      <name val="Tahoma"/>
      <family val="2"/>
    </font>
    <font>
      <b/>
      <sz val="9"/>
      <color indexed="81"/>
      <name val="Tahoma"/>
      <family val="2"/>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sz val="10"/>
      <name val="Arial"/>
      <family val="2"/>
    </font>
    <font>
      <sz val="11"/>
      <color indexed="8"/>
      <name val="Calibri"/>
      <family val="2"/>
    </font>
    <font>
      <u/>
      <sz val="11"/>
      <color theme="10"/>
      <name val="Calibri"/>
      <family val="2"/>
    </font>
    <font>
      <sz val="10"/>
      <name val="Courier"/>
      <family val="3"/>
    </font>
    <font>
      <b/>
      <sz val="11"/>
      <name val="Arial"/>
      <family val="2"/>
      <scheme val="minor"/>
    </font>
    <font>
      <i/>
      <sz val="11"/>
      <name val="Arial"/>
      <family val="2"/>
      <scheme val="minor"/>
    </font>
    <font>
      <i/>
      <sz val="9"/>
      <color indexed="81"/>
      <name val="Tahoma"/>
      <family val="2"/>
    </font>
    <font>
      <b/>
      <sz val="12"/>
      <color indexed="81"/>
      <name val="Tahoma"/>
      <family val="2"/>
    </font>
    <font>
      <sz val="20"/>
      <color indexed="81"/>
      <name val="Tahoma"/>
      <family val="2"/>
    </font>
    <font>
      <sz val="8"/>
      <name val="Arial"/>
      <family val="2"/>
      <scheme val="minor"/>
    </font>
    <font>
      <sz val="11"/>
      <color theme="0" tint="-0.34998626667073579"/>
      <name val="Arial"/>
      <family val="2"/>
      <scheme val="minor"/>
    </font>
  </fonts>
  <fills count="39">
    <fill>
      <patternFill patternType="none"/>
    </fill>
    <fill>
      <patternFill patternType="gray125"/>
    </fill>
    <fill>
      <patternFill patternType="solid">
        <fgColor theme="9" tint="0.7999816888943144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33">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bottom style="thick">
        <color theme="4"/>
      </bottom>
      <diagonal/>
    </border>
    <border>
      <left/>
      <right/>
      <top style="thin">
        <color indexed="64"/>
      </top>
      <bottom/>
      <diagonal/>
    </border>
    <border>
      <left/>
      <right style="thin">
        <color indexed="64"/>
      </right>
      <top style="thin">
        <color indexed="64"/>
      </top>
      <bottom/>
      <diagonal/>
    </border>
    <border>
      <left/>
      <right/>
      <top style="mediumDashed">
        <color theme="0" tint="-0.34998626667073579"/>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Dashed">
        <color theme="0" tint="-0.34998626667073579"/>
      </bottom>
      <diagonal/>
    </border>
  </borders>
  <cellStyleXfs count="80">
    <xf numFmtId="0" fontId="0" fillId="0" borderId="0"/>
    <xf numFmtId="0" fontId="5" fillId="0" borderId="0"/>
    <xf numFmtId="0" fontId="16" fillId="0" borderId="0" applyNumberFormat="0" applyFill="0" applyBorder="0" applyAlignment="0" applyProtection="0"/>
    <xf numFmtId="0" fontId="22" fillId="0" borderId="0"/>
    <xf numFmtId="0" fontId="23" fillId="0" borderId="0" applyNumberFormat="0" applyFill="0" applyBorder="0" applyAlignment="0" applyProtection="0">
      <alignment vertical="top"/>
      <protection locked="0"/>
    </xf>
    <xf numFmtId="0" fontId="24" fillId="0" borderId="0"/>
    <xf numFmtId="0" fontId="25" fillId="0" borderId="0"/>
    <xf numFmtId="9" fontId="24" fillId="0" borderId="0" applyFont="0" applyFill="0" applyBorder="0" applyAlignment="0" applyProtection="0"/>
    <xf numFmtId="170" fontId="24" fillId="0" borderId="0" applyFont="0" applyFill="0" applyBorder="0" applyAlignment="0" applyProtection="0"/>
    <xf numFmtId="9" fontId="22" fillId="0" borderId="0" applyFont="0" applyFill="0" applyBorder="0" applyAlignment="0" applyProtection="0"/>
    <xf numFmtId="0" fontId="28" fillId="0" borderId="0" applyNumberFormat="0" applyFill="0" applyBorder="0" applyAlignment="0" applyProtection="0"/>
    <xf numFmtId="0" fontId="29" fillId="0" borderId="13" applyNumberFormat="0" applyFill="0" applyAlignment="0" applyProtection="0"/>
    <xf numFmtId="0" fontId="30" fillId="0" borderId="17" applyNumberFormat="0" applyFill="0" applyAlignment="0" applyProtection="0"/>
    <xf numFmtId="0" fontId="31" fillId="0" borderId="18" applyNumberFormat="0" applyFill="0" applyAlignment="0" applyProtection="0"/>
    <xf numFmtId="0" fontId="31" fillId="0" borderId="0" applyNumberFormat="0" applyFill="0" applyBorder="0" applyAlignment="0" applyProtection="0"/>
    <xf numFmtId="0" fontId="32" fillId="7" borderId="0" applyNumberFormat="0" applyBorder="0" applyAlignment="0" applyProtection="0"/>
    <xf numFmtId="0" fontId="33" fillId="8" borderId="0" applyNumberFormat="0" applyBorder="0" applyAlignment="0" applyProtection="0"/>
    <xf numFmtId="0" fontId="34" fillId="9" borderId="0" applyNumberFormat="0" applyBorder="0" applyAlignment="0" applyProtection="0"/>
    <xf numFmtId="0" fontId="35" fillId="10" borderId="19" applyNumberFormat="0" applyAlignment="0" applyProtection="0"/>
    <xf numFmtId="0" fontId="36" fillId="11" borderId="20" applyNumberFormat="0" applyAlignment="0" applyProtection="0"/>
    <xf numFmtId="0" fontId="37" fillId="11" borderId="19" applyNumberFormat="0" applyAlignment="0" applyProtection="0"/>
    <xf numFmtId="0" fontId="38" fillId="0" borderId="21" applyNumberFormat="0" applyFill="0" applyAlignment="0" applyProtection="0"/>
    <xf numFmtId="0" fontId="39" fillId="12" borderId="22" applyNumberFormat="0" applyAlignment="0" applyProtection="0"/>
    <xf numFmtId="0" fontId="12" fillId="0" borderId="0" applyNumberFormat="0" applyFill="0" applyBorder="0" applyAlignment="0" applyProtection="0"/>
    <xf numFmtId="0" fontId="22" fillId="13" borderId="23" applyNumberFormat="0" applyFont="0" applyAlignment="0" applyProtection="0"/>
    <xf numFmtId="0" fontId="40" fillId="0" borderId="0" applyNumberFormat="0" applyFill="0" applyBorder="0" applyAlignment="0" applyProtection="0"/>
    <xf numFmtId="0" fontId="1" fillId="0" borderId="24" applyNumberFormat="0" applyFill="0" applyAlignment="0" applyProtection="0"/>
    <xf numFmtId="0" fontId="41"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41" fillId="33" borderId="0" applyNumberFormat="0" applyBorder="0" applyAlignment="0" applyProtection="0"/>
    <xf numFmtId="0" fontId="41"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41" fillId="37" borderId="0" applyNumberFormat="0" applyBorder="0" applyAlignment="0" applyProtection="0"/>
    <xf numFmtId="0" fontId="43" fillId="0" borderId="0"/>
    <xf numFmtId="0" fontId="45" fillId="0" borderId="0"/>
    <xf numFmtId="0" fontId="43" fillId="0" borderId="0"/>
    <xf numFmtId="0" fontId="22" fillId="0" borderId="0"/>
    <xf numFmtId="0" fontId="22" fillId="0" borderId="0"/>
    <xf numFmtId="0" fontId="44" fillId="0" borderId="0" applyNumberFormat="0" applyFill="0" applyBorder="0" applyAlignment="0" applyProtection="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24" fillId="0" borderId="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16"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2" fillId="0" borderId="0"/>
    <xf numFmtId="9" fontId="42"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4" fillId="9" borderId="0" applyNumberFormat="0" applyBorder="0" applyAlignment="0" applyProtection="0"/>
    <xf numFmtId="0" fontId="41" fillId="17" borderId="0" applyNumberFormat="0" applyBorder="0" applyAlignment="0" applyProtection="0"/>
    <xf numFmtId="0" fontId="41" fillId="21" borderId="0" applyNumberFormat="0" applyBorder="0" applyAlignment="0" applyProtection="0"/>
    <xf numFmtId="0" fontId="41" fillId="25" borderId="0" applyNumberFormat="0" applyBorder="0" applyAlignment="0" applyProtection="0"/>
    <xf numFmtId="0" fontId="41" fillId="29" borderId="0" applyNumberFormat="0" applyBorder="0" applyAlignment="0" applyProtection="0"/>
    <xf numFmtId="0" fontId="41" fillId="33" borderId="0" applyNumberFormat="0" applyBorder="0" applyAlignment="0" applyProtection="0"/>
    <xf numFmtId="0" fontId="41" fillId="37" borderId="0" applyNumberFormat="0" applyBorder="0" applyAlignment="0" applyProtection="0"/>
  </cellStyleXfs>
  <cellXfs count="250">
    <xf numFmtId="0" fontId="0" fillId="0" borderId="0" xfId="0"/>
    <xf numFmtId="0" fontId="2" fillId="0" borderId="1" xfId="0" applyFont="1" applyBorder="1" applyAlignment="1">
      <alignment horizontal="center"/>
    </xf>
    <xf numFmtId="0" fontId="3" fillId="0" borderId="0" xfId="0" applyFont="1" applyAlignment="1">
      <alignment horizontal="center" vertical="top" wrapText="1"/>
    </xf>
    <xf numFmtId="0" fontId="3" fillId="0" borderId="0" xfId="0" quotePrefix="1" applyFont="1" applyAlignment="1">
      <alignment horizontal="center" vertical="top" wrapText="1"/>
    </xf>
    <xf numFmtId="0" fontId="3" fillId="2" borderId="0" xfId="0" applyFont="1" applyFill="1" applyAlignment="1">
      <alignment horizontal="center" vertical="top"/>
    </xf>
    <xf numFmtId="0" fontId="0" fillId="0" borderId="0" xfId="0" applyAlignment="1">
      <alignment horizontal="center"/>
    </xf>
    <xf numFmtId="0" fontId="1" fillId="0" borderId="0" xfId="0" applyFont="1"/>
    <xf numFmtId="0" fontId="6" fillId="0" borderId="0" xfId="0" applyFont="1" applyAlignment="1">
      <alignment horizontal="center"/>
    </xf>
    <xf numFmtId="0" fontId="8" fillId="0" borderId="0" xfId="0" applyFont="1"/>
    <xf numFmtId="0" fontId="8" fillId="0" borderId="0" xfId="0" applyFont="1" applyAlignment="1">
      <alignment horizontal="center"/>
    </xf>
    <xf numFmtId="0" fontId="0" fillId="3" borderId="0" xfId="0" applyFill="1"/>
    <xf numFmtId="0" fontId="1" fillId="3" borderId="0" xfId="0" applyFont="1" applyFill="1"/>
    <xf numFmtId="0" fontId="1" fillId="0" borderId="5" xfId="0" applyFont="1" applyBorder="1" applyAlignment="1">
      <alignment horizontal="center"/>
    </xf>
    <xf numFmtId="0" fontId="1" fillId="0" borderId="5" xfId="0" applyFont="1" applyBorder="1" applyAlignment="1">
      <alignment horizontal="center" wrapText="1"/>
    </xf>
    <xf numFmtId="0" fontId="9" fillId="0" borderId="5" xfId="1" applyFont="1" applyBorder="1" applyAlignment="1">
      <alignment horizontal="center"/>
    </xf>
    <xf numFmtId="0" fontId="1" fillId="0" borderId="8" xfId="0" applyFont="1" applyBorder="1" applyAlignment="1">
      <alignment horizontal="center"/>
    </xf>
    <xf numFmtId="0" fontId="1" fillId="0" borderId="11" xfId="0" applyFont="1" applyBorder="1" applyAlignment="1">
      <alignment horizontal="center"/>
    </xf>
    <xf numFmtId="0" fontId="4" fillId="0" borderId="5" xfId="0" applyFont="1" applyBorder="1" applyAlignment="1">
      <alignment horizontal="center" wrapText="1"/>
    </xf>
    <xf numFmtId="0" fontId="0" fillId="0" borderId="12" xfId="0" applyBorder="1" applyAlignment="1">
      <alignment horizontal="center"/>
    </xf>
    <xf numFmtId="0" fontId="0" fillId="0" borderId="3" xfId="0" applyBorder="1" applyAlignment="1">
      <alignment horizontal="center"/>
    </xf>
    <xf numFmtId="166" fontId="0" fillId="0" borderId="0" xfId="0" applyNumberFormat="1" applyAlignment="1">
      <alignment horizontal="left"/>
    </xf>
    <xf numFmtId="0" fontId="10" fillId="0" borderId="6" xfId="0" applyFont="1" applyBorder="1" applyAlignment="1">
      <alignment horizontal="center"/>
    </xf>
    <xf numFmtId="0" fontId="10" fillId="0" borderId="9" xfId="0" applyFont="1" applyBorder="1" applyAlignment="1">
      <alignment horizontal="center"/>
    </xf>
    <xf numFmtId="0" fontId="10" fillId="0" borderId="7" xfId="0" applyFont="1" applyBorder="1" applyAlignment="1">
      <alignment horizontal="center"/>
    </xf>
    <xf numFmtId="0" fontId="10" fillId="0" borderId="10" xfId="0" applyFont="1" applyBorder="1" applyAlignment="1">
      <alignment horizontal="center"/>
    </xf>
    <xf numFmtId="1" fontId="0" fillId="0" borderId="12" xfId="0" applyNumberFormat="1" applyBorder="1" applyAlignment="1">
      <alignment horizontal="center"/>
    </xf>
    <xf numFmtId="1" fontId="0" fillId="0" borderId="0" xfId="0" applyNumberFormat="1" applyAlignment="1">
      <alignment horizontal="center"/>
    </xf>
    <xf numFmtId="0" fontId="0" fillId="2" borderId="0" xfId="0" applyFill="1" applyAlignment="1">
      <alignment horizontal="center"/>
    </xf>
    <xf numFmtId="0" fontId="0" fillId="4" borderId="0" xfId="0" applyFill="1" applyAlignment="1">
      <alignment horizontal="center"/>
    </xf>
    <xf numFmtId="0" fontId="12" fillId="0" borderId="0" xfId="0" applyFont="1" applyAlignment="1">
      <alignment horizontal="center"/>
    </xf>
    <xf numFmtId="0" fontId="13" fillId="0" borderId="0" xfId="0" applyFont="1"/>
    <xf numFmtId="0" fontId="0" fillId="5" borderId="0" xfId="0" applyFill="1" applyAlignment="1">
      <alignment horizontal="center"/>
    </xf>
    <xf numFmtId="0" fontId="12" fillId="5" borderId="0" xfId="0" applyFont="1" applyFill="1" applyAlignment="1">
      <alignment horizont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1" fontId="6" fillId="0" borderId="0" xfId="0" applyNumberFormat="1" applyFont="1" applyAlignment="1">
      <alignment horizontal="center"/>
    </xf>
    <xf numFmtId="0" fontId="16" fillId="0" borderId="0" xfId="2"/>
    <xf numFmtId="0" fontId="1" fillId="0" borderId="13" xfId="0" applyFont="1" applyBorder="1" applyAlignment="1">
      <alignment horizontal="center" wrapText="1"/>
    </xf>
    <xf numFmtId="0" fontId="1" fillId="0" borderId="0" xfId="0" applyFont="1" applyAlignment="1">
      <alignment horizontal="left" vertical="center" wrapText="1"/>
    </xf>
    <xf numFmtId="0" fontId="0" fillId="0" borderId="0" xfId="0" applyAlignment="1">
      <alignment horizontal="center" vertical="center" wrapText="1"/>
    </xf>
    <xf numFmtId="9" fontId="0" fillId="0" borderId="0" xfId="0" applyNumberFormat="1" applyAlignment="1">
      <alignment horizontal="center" vertical="center" wrapText="1"/>
    </xf>
    <xf numFmtId="1" fontId="6" fillId="6" borderId="0" xfId="0" applyNumberFormat="1" applyFont="1" applyFill="1" applyAlignment="1">
      <alignment horizontal="center"/>
    </xf>
    <xf numFmtId="0" fontId="0" fillId="5" borderId="0" xfId="0" applyFill="1"/>
    <xf numFmtId="0" fontId="0" fillId="6" borderId="0" xfId="0" applyFill="1"/>
    <xf numFmtId="0" fontId="12" fillId="0" borderId="0" xfId="0" applyFont="1"/>
    <xf numFmtId="169" fontId="0" fillId="0" borderId="0" xfId="0" applyNumberFormat="1" applyAlignment="1">
      <alignment horizontal="center" vertical="center" wrapText="1"/>
    </xf>
    <xf numFmtId="0" fontId="0" fillId="0" borderId="0" xfId="0" applyAlignment="1">
      <alignment horizontal="left" vertical="center"/>
    </xf>
    <xf numFmtId="0" fontId="1" fillId="0" borderId="13" xfId="0" applyFont="1" applyBorder="1"/>
    <xf numFmtId="0" fontId="16" fillId="0" borderId="0" xfId="2" applyFill="1" applyBorder="1" applyAlignment="1">
      <alignment horizontal="left" vertical="center"/>
    </xf>
    <xf numFmtId="0" fontId="8" fillId="0" borderId="0" xfId="0" applyFont="1" applyAlignment="1">
      <alignment horizontal="left" vertical="center"/>
    </xf>
    <xf numFmtId="1" fontId="0" fillId="0" borderId="0" xfId="0" applyNumberFormat="1" applyAlignment="1">
      <alignment horizontal="center" vertical="center" wrapText="1"/>
    </xf>
    <xf numFmtId="0" fontId="17" fillId="0" borderId="0" xfId="0" applyFont="1" applyAlignment="1">
      <alignment horizontal="left"/>
    </xf>
    <xf numFmtId="0" fontId="0" fillId="0" borderId="16" xfId="0" applyBorder="1" applyAlignment="1">
      <alignment horizontal="left" vertical="center"/>
    </xf>
    <xf numFmtId="0" fontId="0" fillId="0" borderId="16" xfId="0" applyBorder="1" applyAlignment="1">
      <alignment horizontal="center" vertical="center" wrapText="1"/>
    </xf>
    <xf numFmtId="0" fontId="0" fillId="0" borderId="16" xfId="0" quotePrefix="1" applyBorder="1" applyAlignment="1">
      <alignment horizontal="center" vertical="center" wrapText="1"/>
    </xf>
    <xf numFmtId="0" fontId="0" fillId="0" borderId="0" xfId="0" quotePrefix="1" applyAlignment="1">
      <alignment horizontal="center" vertical="center" wrapText="1"/>
    </xf>
    <xf numFmtId="169" fontId="0" fillId="0" borderId="16" xfId="0" applyNumberFormat="1" applyBorder="1" applyAlignment="1">
      <alignment horizontal="center" vertical="center" wrapText="1"/>
    </xf>
    <xf numFmtId="0" fontId="1" fillId="0" borderId="13" xfId="0" applyFont="1" applyBorder="1" applyAlignment="1">
      <alignment horizontal="center"/>
    </xf>
    <xf numFmtId="0" fontId="0" fillId="0" borderId="0" xfId="0" applyAlignment="1">
      <alignment horizontal="center" vertical="center"/>
    </xf>
    <xf numFmtId="0" fontId="6" fillId="0" borderId="12" xfId="0" applyFont="1" applyBorder="1" applyAlignment="1">
      <alignment horizontal="center"/>
    </xf>
    <xf numFmtId="0" fontId="6" fillId="0" borderId="3" xfId="0" applyFont="1" applyBorder="1" applyAlignment="1">
      <alignment horizontal="center"/>
    </xf>
    <xf numFmtId="1" fontId="0" fillId="0" borderId="0" xfId="0" quotePrefix="1" applyNumberFormat="1" applyAlignment="1">
      <alignment horizontal="center"/>
    </xf>
    <xf numFmtId="1" fontId="0" fillId="0" borderId="12" xfId="0" quotePrefix="1" applyNumberFormat="1" applyBorder="1" applyAlignment="1">
      <alignment horizontal="center"/>
    </xf>
    <xf numFmtId="0" fontId="0" fillId="0" borderId="16" xfId="0" applyBorder="1" applyAlignment="1">
      <alignment horizontal="center" vertical="center"/>
    </xf>
    <xf numFmtId="0" fontId="6" fillId="0" borderId="0" xfId="0" applyFont="1" applyAlignment="1">
      <alignment horizontal="center" vertical="center" wrapText="1"/>
    </xf>
    <xf numFmtId="1" fontId="6" fillId="0" borderId="0" xfId="0" applyNumberFormat="1" applyFont="1" applyAlignment="1">
      <alignment horizontal="center" vertic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4" fillId="0" borderId="5"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14" fillId="0" borderId="2" xfId="0" applyFont="1" applyBorder="1" applyAlignment="1">
      <alignment horizontal="center" wrapText="1"/>
    </xf>
    <xf numFmtId="0" fontId="14" fillId="0" borderId="3" xfId="0" applyFont="1" applyBorder="1" applyAlignment="1">
      <alignment horizontal="center" wrapText="1"/>
    </xf>
    <xf numFmtId="0" fontId="6" fillId="0" borderId="0" xfId="0" applyFont="1" applyAlignment="1">
      <alignment horizontal="center" vertical="center"/>
    </xf>
    <xf numFmtId="0" fontId="6" fillId="0" borderId="12" xfId="0" applyFont="1" applyBorder="1" applyAlignment="1">
      <alignment horizontal="center" vertical="center"/>
    </xf>
    <xf numFmtId="2" fontId="0" fillId="4" borderId="0" xfId="0" applyNumberFormat="1" applyFill="1" applyAlignment="1">
      <alignment horizontal="center"/>
    </xf>
    <xf numFmtId="0" fontId="6" fillId="0" borderId="16" xfId="0" applyFont="1" applyBorder="1" applyAlignment="1">
      <alignment horizontal="center" vertical="center" wrapText="1"/>
    </xf>
    <xf numFmtId="0" fontId="18" fillId="0" borderId="0" xfId="0" applyFont="1"/>
    <xf numFmtId="0" fontId="18" fillId="4" borderId="0" xfId="0" applyFont="1" applyFill="1" applyAlignment="1">
      <alignment horizontal="center"/>
    </xf>
    <xf numFmtId="1" fontId="0" fillId="4" borderId="0" xfId="0" applyNumberFormat="1" applyFill="1" applyAlignment="1">
      <alignment horizontal="center"/>
    </xf>
    <xf numFmtId="166" fontId="0" fillId="2" borderId="0" xfId="0" applyNumberFormat="1" applyFill="1" applyAlignment="1">
      <alignment horizontal="left"/>
    </xf>
    <xf numFmtId="14" fontId="20" fillId="0" borderId="0" xfId="0" applyNumberFormat="1" applyFont="1" applyAlignment="1">
      <alignment horizontal="center" vertical="top" wrapText="1"/>
    </xf>
    <xf numFmtId="2" fontId="12" fillId="4" borderId="0" xfId="0" applyNumberFormat="1" applyFont="1" applyFill="1" applyAlignment="1">
      <alignment horizontal="center"/>
    </xf>
    <xf numFmtId="0" fontId="12" fillId="4" borderId="0" xfId="0" applyFont="1" applyFill="1" applyAlignment="1">
      <alignment horizontal="center"/>
    </xf>
    <xf numFmtId="0" fontId="1" fillId="0" borderId="0" xfId="0" applyFont="1" applyAlignment="1">
      <alignment horizontal="center" wrapText="1"/>
    </xf>
    <xf numFmtId="0" fontId="6" fillId="0" borderId="11" xfId="0" applyFont="1" applyBorder="1" applyAlignment="1">
      <alignment horizontal="center"/>
    </xf>
    <xf numFmtId="0" fontId="6" fillId="0" borderId="5" xfId="0" applyFont="1" applyBorder="1" applyAlignment="1">
      <alignment horizontal="center"/>
    </xf>
    <xf numFmtId="0" fontId="1" fillId="0" borderId="6" xfId="0" applyFont="1" applyBorder="1" applyAlignment="1">
      <alignment horizontal="center"/>
    </xf>
    <xf numFmtId="0" fontId="21" fillId="0" borderId="0" xfId="0" applyFont="1"/>
    <xf numFmtId="0" fontId="21" fillId="0" borderId="7" xfId="0" applyFont="1" applyBorder="1" applyAlignment="1">
      <alignment horizontal="left" vertical="center"/>
    </xf>
    <xf numFmtId="0" fontId="21" fillId="0" borderId="10" xfId="0" applyFont="1" applyBorder="1" applyAlignment="1">
      <alignment horizontal="center" vertical="center"/>
    </xf>
    <xf numFmtId="0" fontId="21" fillId="0" borderId="0" xfId="0" applyFont="1" applyAlignment="1">
      <alignment horizontal="center" vertical="center"/>
    </xf>
    <xf numFmtId="1" fontId="21" fillId="0" borderId="0" xfId="0" applyNumberFormat="1" applyFont="1" applyAlignment="1">
      <alignment horizontal="center"/>
    </xf>
    <xf numFmtId="1" fontId="21" fillId="0" borderId="0" xfId="0" quotePrefix="1" applyNumberFormat="1" applyFont="1" applyAlignment="1">
      <alignment horizontal="center"/>
    </xf>
    <xf numFmtId="0" fontId="9" fillId="0" borderId="4" xfId="1" applyFont="1" applyBorder="1" applyAlignment="1">
      <alignment horizontal="center"/>
    </xf>
    <xf numFmtId="1" fontId="6" fillId="4" borderId="0" xfId="0" applyNumberFormat="1" applyFont="1" applyFill="1" applyAlignment="1">
      <alignment horizontal="center"/>
    </xf>
    <xf numFmtId="0" fontId="18" fillId="5" borderId="0" xfId="0" applyFont="1" applyFill="1" applyAlignment="1">
      <alignment horizontal="center"/>
    </xf>
    <xf numFmtId="0" fontId="18" fillId="0" borderId="0" xfId="0" applyFont="1" applyAlignment="1">
      <alignment horizontal="center"/>
    </xf>
    <xf numFmtId="0" fontId="1" fillId="0" borderId="0" xfId="0" applyFont="1" applyAlignment="1">
      <alignment horizontal="center"/>
    </xf>
    <xf numFmtId="9" fontId="0" fillId="0" borderId="0" xfId="9" applyFont="1" applyBorder="1" applyAlignment="1">
      <alignment horizontal="center" vertical="center" wrapText="1"/>
    </xf>
    <xf numFmtId="9" fontId="0" fillId="0" borderId="16" xfId="9" quotePrefix="1" applyFont="1" applyBorder="1" applyAlignment="1">
      <alignment horizontal="center" vertical="center" wrapText="1"/>
    </xf>
    <xf numFmtId="0" fontId="4" fillId="0" borderId="8" xfId="0" applyFont="1" applyBorder="1" applyAlignment="1">
      <alignment horizontal="center"/>
    </xf>
    <xf numFmtId="0" fontId="46" fillId="0" borderId="13" xfId="0" applyFont="1" applyBorder="1" applyAlignment="1">
      <alignment horizontal="center" wrapText="1"/>
    </xf>
    <xf numFmtId="0" fontId="18" fillId="0" borderId="0" xfId="0" applyFont="1" applyAlignment="1">
      <alignment horizontal="center" vertical="center" wrapText="1"/>
    </xf>
    <xf numFmtId="1" fontId="18" fillId="0" borderId="0" xfId="0" applyNumberFormat="1" applyFont="1" applyAlignment="1">
      <alignment horizontal="center" vertical="center" wrapText="1"/>
    </xf>
    <xf numFmtId="0" fontId="6" fillId="0" borderId="16" xfId="0" quotePrefix="1" applyFont="1" applyBorder="1" applyAlignment="1">
      <alignment horizontal="center" vertical="center" wrapText="1"/>
    </xf>
    <xf numFmtId="0" fontId="18" fillId="0" borderId="32" xfId="0" quotePrefix="1" applyFont="1" applyBorder="1" applyAlignment="1">
      <alignment horizontal="center" vertical="center" wrapText="1"/>
    </xf>
    <xf numFmtId="0" fontId="6" fillId="0" borderId="32" xfId="0" quotePrefix="1" applyFont="1" applyBorder="1" applyAlignment="1">
      <alignment horizontal="center" vertical="center" wrapText="1"/>
    </xf>
    <xf numFmtId="0" fontId="0" fillId="0" borderId="32" xfId="0" quotePrefix="1" applyBorder="1" applyAlignment="1">
      <alignment horizontal="center" vertical="center" wrapText="1"/>
    </xf>
    <xf numFmtId="0" fontId="0" fillId="0" borderId="32" xfId="0" applyBorder="1" applyAlignment="1">
      <alignment horizontal="center" vertical="center" wrapText="1"/>
    </xf>
    <xf numFmtId="169" fontId="0" fillId="0" borderId="32" xfId="0" applyNumberFormat="1" applyBorder="1" applyAlignment="1">
      <alignment horizontal="center" vertical="center" wrapText="1"/>
    </xf>
    <xf numFmtId="0" fontId="12" fillId="0" borderId="16" xfId="0" quotePrefix="1" applyFont="1" applyBorder="1" applyAlignment="1">
      <alignment horizontal="center" vertical="center" wrapText="1"/>
    </xf>
    <xf numFmtId="0" fontId="12" fillId="0" borderId="16" xfId="0" applyFont="1" applyBorder="1" applyAlignment="1">
      <alignment horizontal="center" vertical="center" wrapText="1"/>
    </xf>
    <xf numFmtId="169" fontId="12" fillId="0" borderId="16" xfId="0" applyNumberFormat="1" applyFont="1" applyBorder="1" applyAlignment="1">
      <alignment horizontal="center" vertical="center" wrapText="1"/>
    </xf>
    <xf numFmtId="0" fontId="12" fillId="0" borderId="32" xfId="0" quotePrefix="1" applyFont="1" applyBorder="1" applyAlignment="1">
      <alignment horizontal="center" vertical="center" wrapText="1"/>
    </xf>
    <xf numFmtId="0" fontId="12" fillId="0" borderId="32" xfId="0" applyFont="1" applyBorder="1" applyAlignment="1">
      <alignment horizontal="center" vertical="center" wrapText="1"/>
    </xf>
    <xf numFmtId="169" fontId="12" fillId="0" borderId="32" xfId="0" applyNumberFormat="1" applyFont="1" applyBorder="1" applyAlignment="1">
      <alignment horizontal="center" vertical="center" wrapText="1"/>
    </xf>
    <xf numFmtId="2" fontId="6" fillId="0" borderId="16" xfId="0" applyNumberFormat="1" applyFont="1" applyBorder="1" applyAlignment="1">
      <alignment horizontal="center" vertical="center" wrapText="1"/>
    </xf>
    <xf numFmtId="169" fontId="6" fillId="0" borderId="16" xfId="0" applyNumberFormat="1" applyFont="1" applyBorder="1" applyAlignment="1">
      <alignment horizontal="center" vertical="center" wrapText="1"/>
    </xf>
    <xf numFmtId="0" fontId="18" fillId="0" borderId="32" xfId="0" applyFont="1" applyBorder="1" applyAlignment="1">
      <alignment horizontal="center" vertical="center" wrapText="1"/>
    </xf>
    <xf numFmtId="0" fontId="6" fillId="0" borderId="32" xfId="0" applyFont="1" applyBorder="1" applyAlignment="1">
      <alignment horizontal="center" vertical="center" wrapText="1"/>
    </xf>
    <xf numFmtId="169" fontId="6" fillId="0" borderId="32" xfId="0" applyNumberFormat="1" applyFont="1" applyBorder="1" applyAlignment="1">
      <alignment horizontal="center"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0" borderId="32" xfId="0" applyBorder="1" applyAlignment="1">
      <alignment horizontal="left" vertical="center" wrapText="1"/>
    </xf>
    <xf numFmtId="0" fontId="12" fillId="0" borderId="16" xfId="0" applyFont="1" applyBorder="1" applyAlignment="1">
      <alignment horizontal="left" vertical="center" wrapText="1"/>
    </xf>
    <xf numFmtId="0" fontId="12" fillId="0" borderId="32" xfId="0" applyFont="1" applyBorder="1" applyAlignment="1">
      <alignment horizontal="left" vertical="center" wrapText="1"/>
    </xf>
    <xf numFmtId="0" fontId="18" fillId="0" borderId="0" xfId="0" quotePrefix="1" applyFont="1" applyAlignment="1">
      <alignment horizontal="center" vertical="center" wrapText="1"/>
    </xf>
    <xf numFmtId="0" fontId="6" fillId="0" borderId="0" xfId="0" quotePrefix="1" applyFont="1" applyAlignment="1">
      <alignment horizontal="center" vertical="center" wrapText="1"/>
    </xf>
    <xf numFmtId="171" fontId="47" fillId="2" borderId="27" xfId="0" applyNumberFormat="1" applyFont="1" applyFill="1" applyBorder="1" applyAlignment="1">
      <alignment horizontal="center" vertical="center"/>
    </xf>
    <xf numFmtId="171" fontId="47" fillId="2" borderId="28" xfId="0" applyNumberFormat="1" applyFont="1" applyFill="1" applyBorder="1" applyAlignment="1">
      <alignment horizontal="center" vertical="center"/>
    </xf>
    <xf numFmtId="2" fontId="6" fillId="0" borderId="0" xfId="0" applyNumberFormat="1" applyFont="1" applyAlignment="1">
      <alignment horizontal="center" vertical="center" wrapText="1"/>
    </xf>
    <xf numFmtId="169" fontId="6" fillId="0" borderId="0" xfId="0" applyNumberFormat="1" applyFont="1" applyAlignment="1">
      <alignment horizontal="center" vertical="center" wrapText="1"/>
    </xf>
    <xf numFmtId="2" fontId="0" fillId="0" borderId="32" xfId="0" quotePrefix="1" applyNumberFormat="1" applyBorder="1" applyAlignment="1">
      <alignment horizontal="center" vertical="center" wrapText="1"/>
    </xf>
    <xf numFmtId="0" fontId="12" fillId="0" borderId="0" xfId="0" applyFont="1" applyAlignment="1">
      <alignment horizontal="left" vertical="center" wrapText="1"/>
    </xf>
    <xf numFmtId="0" fontId="12" fillId="0" borderId="0" xfId="0" quotePrefix="1" applyFont="1" applyAlignment="1">
      <alignment horizontal="center" vertical="center" wrapText="1"/>
    </xf>
    <xf numFmtId="0" fontId="12" fillId="0" borderId="0" xfId="0" applyFont="1" applyAlignment="1">
      <alignment horizontal="center" vertical="center" wrapText="1"/>
    </xf>
    <xf numFmtId="169" fontId="12" fillId="0" borderId="0" xfId="0" applyNumberFormat="1" applyFont="1" applyAlignment="1">
      <alignment horizontal="center" vertical="center" wrapText="1"/>
    </xf>
    <xf numFmtId="2" fontId="12" fillId="0" borderId="16" xfId="0" quotePrefix="1" applyNumberFormat="1" applyFont="1" applyBorder="1" applyAlignment="1">
      <alignment horizontal="center" vertical="center" wrapText="1"/>
    </xf>
    <xf numFmtId="2" fontId="12" fillId="0" borderId="0" xfId="0" quotePrefix="1" applyNumberFormat="1" applyFont="1" applyAlignment="1">
      <alignment horizontal="center" vertical="center" wrapText="1"/>
    </xf>
    <xf numFmtId="2" fontId="12" fillId="0" borderId="32" xfId="0" quotePrefix="1" applyNumberFormat="1" applyFont="1" applyBorder="1" applyAlignment="1">
      <alignment horizontal="center" vertical="center" wrapText="1"/>
    </xf>
    <xf numFmtId="169" fontId="18" fillId="0" borderId="0" xfId="0" applyNumberFormat="1" applyFont="1" applyAlignment="1">
      <alignment horizontal="center" vertical="center" wrapText="1"/>
    </xf>
    <xf numFmtId="168" fontId="0" fillId="0" borderId="0" xfId="0" applyNumberFormat="1" applyAlignment="1">
      <alignment horizontal="center"/>
    </xf>
    <xf numFmtId="1" fontId="12" fillId="0" borderId="0" xfId="0" applyNumberFormat="1" applyFont="1" applyAlignment="1">
      <alignment horizontal="center"/>
    </xf>
    <xf numFmtId="168" fontId="12" fillId="0" borderId="0" xfId="0" applyNumberFormat="1" applyFont="1" applyAlignment="1">
      <alignment horizontal="center"/>
    </xf>
    <xf numFmtId="0" fontId="18" fillId="5" borderId="0" xfId="0" applyFont="1" applyFill="1" applyAlignment="1">
      <alignment horizontal="center" vertical="center" wrapText="1"/>
    </xf>
    <xf numFmtId="0" fontId="18" fillId="5" borderId="16" xfId="0" quotePrefix="1" applyFont="1" applyFill="1" applyBorder="1" applyAlignment="1">
      <alignment horizontal="center" vertical="center" wrapText="1"/>
    </xf>
    <xf numFmtId="0" fontId="18" fillId="5" borderId="16" xfId="0" applyFont="1" applyFill="1" applyBorder="1" applyAlignment="1">
      <alignment horizontal="center" vertical="center" wrapText="1"/>
    </xf>
    <xf numFmtId="1" fontId="18" fillId="5" borderId="0" xfId="0" applyNumberFormat="1" applyFont="1" applyFill="1" applyAlignment="1">
      <alignment horizontal="center" vertical="center" wrapText="1"/>
    </xf>
    <xf numFmtId="0" fontId="0" fillId="5" borderId="0" xfId="0" applyFill="1" applyAlignment="1">
      <alignment horizontal="center" vertical="center" wrapText="1"/>
    </xf>
    <xf numFmtId="0" fontId="0" fillId="5" borderId="16" xfId="0" applyFill="1" applyBorder="1" applyAlignment="1">
      <alignment horizontal="center" vertical="center" wrapText="1"/>
    </xf>
    <xf numFmtId="1" fontId="0" fillId="5" borderId="0" xfId="0" applyNumberFormat="1" applyFill="1" applyAlignment="1">
      <alignment horizontal="center"/>
    </xf>
    <xf numFmtId="0" fontId="0" fillId="6" borderId="0" xfId="0" applyFill="1" applyAlignment="1">
      <alignment horizontal="center"/>
    </xf>
    <xf numFmtId="0" fontId="18" fillId="6" borderId="0" xfId="0" applyFont="1" applyFill="1" applyAlignment="1">
      <alignment horizontal="center"/>
    </xf>
    <xf numFmtId="2" fontId="0" fillId="6" borderId="0" xfId="0" applyNumberFormat="1" applyFill="1" applyAlignment="1">
      <alignment horizontal="center"/>
    </xf>
    <xf numFmtId="1" fontId="0" fillId="6" borderId="0" xfId="0" applyNumberFormat="1" applyFill="1" applyAlignment="1">
      <alignment horizontal="center"/>
    </xf>
    <xf numFmtId="2" fontId="0" fillId="5" borderId="0" xfId="0" applyNumberFormat="1" applyFill="1" applyAlignment="1">
      <alignment horizontal="center"/>
    </xf>
    <xf numFmtId="1" fontId="18" fillId="6" borderId="0" xfId="0" applyNumberFormat="1" applyFont="1" applyFill="1" applyAlignment="1">
      <alignment horizontal="center"/>
    </xf>
    <xf numFmtId="0" fontId="18" fillId="2" borderId="0" xfId="0" applyFont="1" applyFill="1" applyAlignment="1">
      <alignment horizontal="center"/>
    </xf>
    <xf numFmtId="1" fontId="18" fillId="5" borderId="0" xfId="0" applyNumberFormat="1" applyFont="1" applyFill="1" applyAlignment="1">
      <alignment horizontal="center"/>
    </xf>
    <xf numFmtId="1" fontId="12" fillId="5" borderId="0" xfId="0" applyNumberFormat="1" applyFont="1" applyFill="1" applyAlignment="1">
      <alignment horizontal="center"/>
    </xf>
    <xf numFmtId="2" fontId="12" fillId="5" borderId="0" xfId="0" applyNumberFormat="1" applyFont="1" applyFill="1" applyAlignment="1">
      <alignment horizontal="center"/>
    </xf>
    <xf numFmtId="0" fontId="47" fillId="0" borderId="0" xfId="0" applyFont="1"/>
    <xf numFmtId="1" fontId="18" fillId="4" borderId="0" xfId="0" applyNumberFormat="1" applyFont="1" applyFill="1" applyAlignment="1">
      <alignment horizontal="center"/>
    </xf>
    <xf numFmtId="2" fontId="18" fillId="5" borderId="0" xfId="0" applyNumberFormat="1" applyFont="1" applyFill="1" applyAlignment="1">
      <alignment horizontal="center"/>
    </xf>
    <xf numFmtId="0" fontId="18" fillId="0" borderId="0" xfId="0" applyFont="1" applyAlignment="1">
      <alignment horizontal="left" vertical="center" wrapText="1"/>
    </xf>
    <xf numFmtId="2" fontId="6" fillId="5" borderId="32" xfId="0" applyNumberFormat="1" applyFont="1" applyFill="1" applyBorder="1" applyAlignment="1">
      <alignment horizontal="center" vertical="center" wrapText="1"/>
    </xf>
    <xf numFmtId="0" fontId="0" fillId="0" borderId="32" xfId="0" applyBorder="1" applyAlignment="1">
      <alignment horizontal="left" vertical="center"/>
    </xf>
    <xf numFmtId="0" fontId="0" fillId="0" borderId="32" xfId="0" applyBorder="1" applyAlignment="1">
      <alignment horizontal="center" vertical="center"/>
    </xf>
    <xf numFmtId="9" fontId="0" fillId="0" borderId="32" xfId="9" quotePrefix="1" applyFont="1" applyBorder="1" applyAlignment="1">
      <alignment horizontal="center" vertical="center" wrapText="1"/>
    </xf>
    <xf numFmtId="0" fontId="6" fillId="4" borderId="0" xfId="0" applyFont="1" applyFill="1" applyAlignment="1">
      <alignment horizontal="center"/>
    </xf>
    <xf numFmtId="0" fontId="6" fillId="6" borderId="0" xfId="0" applyFont="1" applyFill="1" applyAlignment="1">
      <alignment horizontal="center"/>
    </xf>
    <xf numFmtId="1" fontId="6" fillId="5" borderId="0" xfId="0" applyNumberFormat="1" applyFont="1" applyFill="1" applyAlignment="1">
      <alignment horizontal="center"/>
    </xf>
    <xf numFmtId="0" fontId="1" fillId="38" borderId="0" xfId="0" applyFont="1" applyFill="1"/>
    <xf numFmtId="0" fontId="0" fillId="38" borderId="0" xfId="0" applyFill="1"/>
    <xf numFmtId="0" fontId="4" fillId="0" borderId="5" xfId="0" applyFont="1" applyBorder="1" applyAlignment="1">
      <alignment horizontal="center"/>
    </xf>
    <xf numFmtId="2" fontId="12" fillId="0" borderId="0" xfId="0" applyNumberFormat="1" applyFont="1" applyAlignment="1">
      <alignment horizontal="center"/>
    </xf>
    <xf numFmtId="2" fontId="12" fillId="0" borderId="12" xfId="0" applyNumberFormat="1" applyFont="1" applyBorder="1" applyAlignment="1">
      <alignment horizontal="center"/>
    </xf>
    <xf numFmtId="1" fontId="12" fillId="0" borderId="12" xfId="0" applyNumberFormat="1" applyFont="1" applyBorder="1" applyAlignment="1">
      <alignment horizontal="center"/>
    </xf>
    <xf numFmtId="2" fontId="12" fillId="0" borderId="3" xfId="0" applyNumberFormat="1" applyFont="1" applyBorder="1" applyAlignment="1">
      <alignment horizontal="center"/>
    </xf>
    <xf numFmtId="1" fontId="12" fillId="0" borderId="3" xfId="0" applyNumberFormat="1" applyFont="1" applyBorder="1" applyAlignment="1">
      <alignment horizontal="center"/>
    </xf>
    <xf numFmtId="2" fontId="0" fillId="5" borderId="12" xfId="0" applyNumberFormat="1" applyFill="1" applyBorder="1" applyAlignment="1">
      <alignment horizontal="center"/>
    </xf>
    <xf numFmtId="2" fontId="0" fillId="5" borderId="3" xfId="0" applyNumberFormat="1" applyFill="1" applyBorder="1" applyAlignment="1">
      <alignment horizontal="center"/>
    </xf>
    <xf numFmtId="1" fontId="0" fillId="5" borderId="12" xfId="0" applyNumberFormat="1" applyFill="1" applyBorder="1" applyAlignment="1">
      <alignment horizontal="center"/>
    </xf>
    <xf numFmtId="1" fontId="0" fillId="5" borderId="3" xfId="0" applyNumberFormat="1" applyFill="1" applyBorder="1" applyAlignment="1">
      <alignment horizontal="center"/>
    </xf>
    <xf numFmtId="2" fontId="18" fillId="5" borderId="12" xfId="0" applyNumberFormat="1" applyFont="1" applyFill="1" applyBorder="1" applyAlignment="1">
      <alignment horizontal="center"/>
    </xf>
    <xf numFmtId="2" fontId="18" fillId="5" borderId="3" xfId="0" applyNumberFormat="1" applyFont="1" applyFill="1" applyBorder="1" applyAlignment="1">
      <alignment horizontal="center"/>
    </xf>
    <xf numFmtId="1" fontId="12" fillId="5" borderId="12" xfId="0" applyNumberFormat="1" applyFont="1" applyFill="1" applyBorder="1" applyAlignment="1">
      <alignment horizontal="center"/>
    </xf>
    <xf numFmtId="1" fontId="12" fillId="5" borderId="3" xfId="0" applyNumberFormat="1" applyFont="1" applyFill="1" applyBorder="1" applyAlignment="1">
      <alignment horizontal="center"/>
    </xf>
    <xf numFmtId="2" fontId="0" fillId="0" borderId="0" xfId="0" applyNumberFormat="1" applyAlignment="1">
      <alignment horizontal="center"/>
    </xf>
    <xf numFmtId="2" fontId="0" fillId="0" borderId="12" xfId="0" applyNumberFormat="1" applyBorder="1" applyAlignment="1">
      <alignment horizontal="center"/>
    </xf>
    <xf numFmtId="2" fontId="0" fillId="0" borderId="3" xfId="0" applyNumberFormat="1" applyBorder="1" applyAlignment="1">
      <alignment horizontal="center"/>
    </xf>
    <xf numFmtId="167" fontId="0" fillId="5" borderId="0" xfId="0" applyNumberFormat="1" applyFill="1" applyAlignment="1">
      <alignment horizontal="center" vertical="center" wrapText="1"/>
    </xf>
    <xf numFmtId="167" fontId="0" fillId="0" borderId="0" xfId="0" applyNumberFormat="1" applyAlignment="1">
      <alignment horizontal="center" vertical="center" wrapText="1"/>
    </xf>
    <xf numFmtId="172" fontId="0" fillId="6" borderId="0" xfId="0" applyNumberFormat="1" applyFill="1" applyAlignment="1">
      <alignment horizontal="center"/>
    </xf>
    <xf numFmtId="172" fontId="12" fillId="6" borderId="0" xfId="0" applyNumberFormat="1" applyFont="1" applyFill="1" applyAlignment="1">
      <alignment horizontal="center"/>
    </xf>
    <xf numFmtId="172" fontId="0" fillId="4" borderId="0" xfId="0" applyNumberFormat="1" applyFill="1" applyAlignment="1">
      <alignment horizontal="center"/>
    </xf>
    <xf numFmtId="172" fontId="18" fillId="5" borderId="0" xfId="0" applyNumberFormat="1" applyFont="1" applyFill="1" applyAlignment="1">
      <alignment horizontal="center"/>
    </xf>
    <xf numFmtId="172" fontId="12" fillId="4" borderId="0" xfId="0" applyNumberFormat="1" applyFont="1" applyFill="1" applyAlignment="1">
      <alignment horizontal="center"/>
    </xf>
    <xf numFmtId="172" fontId="18" fillId="4" borderId="0" xfId="0" applyNumberFormat="1" applyFont="1" applyFill="1" applyAlignment="1">
      <alignment horizontal="center"/>
    </xf>
    <xf numFmtId="172" fontId="18" fillId="6" borderId="0" xfId="0" applyNumberFormat="1" applyFont="1" applyFill="1" applyAlignment="1">
      <alignment horizontal="center"/>
    </xf>
    <xf numFmtId="0" fontId="12" fillId="0" borderId="0" xfId="0" applyFont="1" applyAlignment="1">
      <alignment vertical="center"/>
    </xf>
    <xf numFmtId="0" fontId="8" fillId="5" borderId="0" xfId="0" applyFont="1" applyFill="1"/>
    <xf numFmtId="1" fontId="6" fillId="0" borderId="10" xfId="0" applyNumberFormat="1" applyFont="1" applyBorder="1" applyAlignment="1">
      <alignment horizontal="center" vertical="center"/>
    </xf>
    <xf numFmtId="1" fontId="6" fillId="0" borderId="0" xfId="0" applyNumberFormat="1" applyFont="1" applyAlignment="1">
      <alignment horizontal="center" vertical="center"/>
    </xf>
    <xf numFmtId="0" fontId="15" fillId="6" borderId="6" xfId="0" applyFont="1" applyFill="1" applyBorder="1" applyAlignment="1">
      <alignment horizontal="left" vertical="center"/>
    </xf>
    <xf numFmtId="1" fontId="6" fillId="6" borderId="9" xfId="0" applyNumberFormat="1" applyFont="1" applyFill="1" applyBorder="1" applyAlignment="1">
      <alignment horizontal="center" vertical="center"/>
    </xf>
    <xf numFmtId="1" fontId="6" fillId="6" borderId="14" xfId="0" applyNumberFormat="1" applyFont="1" applyFill="1" applyBorder="1" applyAlignment="1">
      <alignment horizontal="center" vertical="center"/>
    </xf>
    <xf numFmtId="1" fontId="0" fillId="6" borderId="14" xfId="0" applyNumberFormat="1" applyFill="1" applyBorder="1" applyAlignment="1">
      <alignment horizontal="center"/>
    </xf>
    <xf numFmtId="1" fontId="0" fillId="6" borderId="14" xfId="0" quotePrefix="1" applyNumberFormat="1" applyFill="1" applyBorder="1" applyAlignment="1">
      <alignment horizontal="center"/>
    </xf>
    <xf numFmtId="171" fontId="18" fillId="5" borderId="27" xfId="9" applyNumberFormat="1" applyFont="1" applyFill="1" applyBorder="1" applyAlignment="1">
      <alignment horizontal="center"/>
    </xf>
    <xf numFmtId="171" fontId="18" fillId="5" borderId="0" xfId="9" applyNumberFormat="1" applyFont="1" applyFill="1" applyBorder="1" applyAlignment="1">
      <alignment horizontal="center"/>
    </xf>
    <xf numFmtId="171" fontId="18" fillId="5" borderId="28" xfId="9" applyNumberFormat="1" applyFont="1" applyFill="1" applyBorder="1" applyAlignment="1">
      <alignment horizontal="center"/>
    </xf>
    <xf numFmtId="171" fontId="18" fillId="5" borderId="29" xfId="9" applyNumberFormat="1" applyFont="1" applyFill="1" applyBorder="1" applyAlignment="1">
      <alignment horizontal="center"/>
    </xf>
    <xf numFmtId="171" fontId="18" fillId="5" borderId="1" xfId="9" applyNumberFormat="1" applyFont="1" applyFill="1" applyBorder="1" applyAlignment="1">
      <alignment horizontal="center"/>
    </xf>
    <xf numFmtId="171" fontId="18" fillId="5" borderId="30" xfId="9" applyNumberFormat="1" applyFont="1" applyFill="1" applyBorder="1" applyAlignment="1">
      <alignment horizontal="center"/>
    </xf>
    <xf numFmtId="1" fontId="18" fillId="5" borderId="0" xfId="0" quotePrefix="1" applyNumberFormat="1" applyFont="1" applyFill="1" applyAlignment="1">
      <alignment horizontal="center"/>
    </xf>
    <xf numFmtId="0" fontId="14" fillId="0" borderId="9" xfId="0"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171" fontId="18" fillId="6" borderId="25" xfId="9" applyNumberFormat="1" applyFont="1" applyFill="1" applyBorder="1" applyAlignment="1">
      <alignment horizontal="center"/>
    </xf>
    <xf numFmtId="171" fontId="18" fillId="6" borderId="31" xfId="9" applyNumberFormat="1" applyFont="1" applyFill="1" applyBorder="1" applyAlignment="1">
      <alignment horizontal="center"/>
    </xf>
    <xf numFmtId="171" fontId="18" fillId="6" borderId="26" xfId="9" applyNumberFormat="1" applyFont="1" applyFill="1" applyBorder="1" applyAlignment="1">
      <alignment horizontal="center"/>
    </xf>
    <xf numFmtId="171" fontId="47" fillId="2" borderId="0" xfId="0" applyNumberFormat="1" applyFont="1" applyFill="1" applyAlignment="1">
      <alignment horizontal="center" vertical="center"/>
    </xf>
    <xf numFmtId="0" fontId="46" fillId="0" borderId="5" xfId="0" applyFont="1" applyBorder="1" applyAlignment="1">
      <alignment horizontal="center" wrapText="1"/>
    </xf>
    <xf numFmtId="0" fontId="46" fillId="0" borderId="7" xfId="0" applyFont="1" applyBorder="1" applyAlignment="1">
      <alignment horizontal="center"/>
    </xf>
    <xf numFmtId="0" fontId="46" fillId="0" borderId="8" xfId="0" applyFont="1" applyBorder="1" applyAlignment="1">
      <alignment horizontal="center"/>
    </xf>
    <xf numFmtId="172" fontId="0" fillId="5" borderId="0" xfId="0" applyNumberFormat="1" applyFill="1" applyAlignment="1">
      <alignment horizontal="center"/>
    </xf>
    <xf numFmtId="172" fontId="12" fillId="5" borderId="0" xfId="0" applyNumberFormat="1" applyFont="1" applyFill="1" applyAlignment="1">
      <alignment horizontal="center"/>
    </xf>
    <xf numFmtId="168" fontId="0" fillId="6" borderId="0" xfId="0" applyNumberFormat="1" applyFill="1" applyAlignment="1">
      <alignment horizontal="center"/>
    </xf>
    <xf numFmtId="1" fontId="12" fillId="6" borderId="0" xfId="0" applyNumberFormat="1" applyFont="1" applyFill="1" applyAlignment="1">
      <alignment horizontal="center"/>
    </xf>
    <xf numFmtId="0" fontId="52" fillId="0" borderId="0" xfId="0" applyFont="1"/>
    <xf numFmtId="168" fontId="18" fillId="0" borderId="0" xfId="0" applyNumberFormat="1" applyFont="1" applyAlignment="1">
      <alignment horizontal="center"/>
    </xf>
    <xf numFmtId="1" fontId="18" fillId="0" borderId="0" xfId="0" applyNumberFormat="1" applyFont="1" applyAlignment="1">
      <alignment horizontal="center"/>
    </xf>
    <xf numFmtId="0" fontId="0" fillId="6" borderId="0" xfId="0" applyFill="1" applyAlignment="1">
      <alignment horizontal="left" vertical="center"/>
    </xf>
    <xf numFmtId="0" fontId="0" fillId="6" borderId="0" xfId="0" applyFill="1" applyAlignment="1">
      <alignment horizontal="center" vertical="center" wrapText="1"/>
    </xf>
    <xf numFmtId="169" fontId="0" fillId="6" borderId="32" xfId="0" applyNumberFormat="1" applyFill="1" applyBorder="1" applyAlignment="1">
      <alignment horizontal="center" vertical="center" wrapText="1"/>
    </xf>
    <xf numFmtId="0" fontId="0" fillId="6" borderId="32" xfId="0" applyFill="1" applyBorder="1" applyAlignment="1">
      <alignment horizontal="left" vertical="center"/>
    </xf>
    <xf numFmtId="0" fontId="0" fillId="6" borderId="32" xfId="0" applyFill="1" applyBorder="1" applyAlignment="1">
      <alignment horizontal="center" vertical="center" wrapText="1"/>
    </xf>
    <xf numFmtId="169" fontId="0" fillId="6" borderId="0" xfId="0" applyNumberFormat="1" applyFill="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9" fillId="0" borderId="2" xfId="1" applyFont="1" applyBorder="1" applyAlignment="1">
      <alignment horizontal="center"/>
    </xf>
    <xf numFmtId="0" fontId="9" fillId="0" borderId="4" xfId="1" applyFont="1" applyBorder="1" applyAlignment="1">
      <alignment horizontal="center"/>
    </xf>
    <xf numFmtId="0" fontId="9" fillId="0" borderId="3" xfId="1" applyFont="1" applyBorder="1" applyAlignment="1">
      <alignment horizontal="center"/>
    </xf>
    <xf numFmtId="0" fontId="14" fillId="0" borderId="9"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cellXfs>
  <cellStyles count="80">
    <cellStyle name="20% - Accent1" xfId="28" builtinId="30" customBuiltin="1"/>
    <cellStyle name="20% - Accent2" xfId="32" builtinId="34" customBuiltin="1"/>
    <cellStyle name="20% - Accent3" xfId="36" builtinId="38" customBuiltin="1"/>
    <cellStyle name="20% - Accent4" xfId="40" builtinId="42" customBuiltin="1"/>
    <cellStyle name="20% - Accent5" xfId="44" builtinId="46" customBuiltin="1"/>
    <cellStyle name="20% - Accent6" xfId="48"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5" builtinId="47" customBuiltin="1"/>
    <cellStyle name="40% - Accent6" xfId="49" builtinId="51" customBuiltin="1"/>
    <cellStyle name="60% - Accent1" xfId="30" builtinId="32" customBuiltin="1"/>
    <cellStyle name="60% - Accent1 2" xfId="74" xr:uid="{1D10F57C-04A0-4F98-88B4-2C244AF4CB95}"/>
    <cellStyle name="60% - Accent2" xfId="34" builtinId="36" customBuiltin="1"/>
    <cellStyle name="60% - Accent2 2" xfId="75" xr:uid="{E370C756-E762-4ACE-9EC1-2C32B324A18E}"/>
    <cellStyle name="60% - Accent3" xfId="38" builtinId="40" customBuiltin="1"/>
    <cellStyle name="60% - Accent3 2" xfId="76" xr:uid="{22A09066-BB9A-4D9F-981D-5940B0097DF1}"/>
    <cellStyle name="60% - Accent4" xfId="42" builtinId="44" customBuiltin="1"/>
    <cellStyle name="60% - Accent4 2" xfId="77" xr:uid="{12254C85-14B9-4E35-9120-6054574F792F}"/>
    <cellStyle name="60% - Accent5" xfId="46" builtinId="48" customBuiltin="1"/>
    <cellStyle name="60% - Accent5 2" xfId="78" xr:uid="{071F053B-65FD-4B53-818A-E75C133A5902}"/>
    <cellStyle name="60% - Accent6" xfId="50" builtinId="52" customBuiltin="1"/>
    <cellStyle name="60% - Accent6 2" xfId="79" xr:uid="{22DDEB7B-B50A-47F3-B4F4-DF6D2DB02758}"/>
    <cellStyle name="Accent1" xfId="27" builtinId="29" customBuiltin="1"/>
    <cellStyle name="Accent2" xfId="31" builtinId="33" customBuiltin="1"/>
    <cellStyle name="Accent3" xfId="35" builtinId="37" customBuiltin="1"/>
    <cellStyle name="Accent4" xfId="39" builtinId="41" customBuiltin="1"/>
    <cellStyle name="Accent5" xfId="43" builtinId="45" customBuiltin="1"/>
    <cellStyle name="Accent6" xfId="47" builtinId="49" customBuiltin="1"/>
    <cellStyle name="Bad" xfId="16" builtinId="27" customBuiltin="1"/>
    <cellStyle name="Calculation" xfId="20" builtinId="22" customBuiltin="1"/>
    <cellStyle name="Check Cell" xfId="22" builtinId="23" customBuiltin="1"/>
    <cellStyle name="Comma 2" xfId="58" xr:uid="{00000000-0005-0000-0000-00001B000000}"/>
    <cellStyle name="Comma 3" xfId="63" xr:uid="{00000000-0005-0000-0000-00001C000000}"/>
    <cellStyle name="Currency 2" xfId="8" xr:uid="{00000000-0005-0000-0000-00001D000000}"/>
    <cellStyle name="Currency 3" xfId="59" xr:uid="{00000000-0005-0000-0000-00001E000000}"/>
    <cellStyle name="Currency 4" xfId="64" xr:uid="{00000000-0005-0000-0000-00001F000000}"/>
    <cellStyle name="Explanatory Text" xfId="25" builtinId="53" customBuiltin="1"/>
    <cellStyle name="Good" xfId="15" builtinId="26" customBuiltin="1"/>
    <cellStyle name="Heading 1" xfId="11" builtinId="16" customBuiltin="1"/>
    <cellStyle name="Heading 2" xfId="12" builtinId="17" customBuiltin="1"/>
    <cellStyle name="Heading 3" xfId="13" builtinId="18" customBuiltin="1"/>
    <cellStyle name="Heading 4" xfId="14" builtinId="19" customBuiltin="1"/>
    <cellStyle name="Hyperlink" xfId="2" builtinId="8"/>
    <cellStyle name="Hyperlink 2" xfId="4" xr:uid="{00000000-0005-0000-0000-000027000000}"/>
    <cellStyle name="Hyperlink 2 2" xfId="68" xr:uid="{00000000-0005-0000-0000-000028000000}"/>
    <cellStyle name="Hyperlink 2 3" xfId="72" xr:uid="{00000000-0005-0000-0000-000029000000}"/>
    <cellStyle name="Hyperlink 3" xfId="56" xr:uid="{00000000-0005-0000-0000-00002A000000}"/>
    <cellStyle name="Hyperlink 3 2" xfId="71" xr:uid="{00000000-0005-0000-0000-00002B000000}"/>
    <cellStyle name="Hyperlink 4" xfId="66" xr:uid="{00000000-0005-0000-0000-00002C000000}"/>
    <cellStyle name="Hyperlink 5" xfId="67" xr:uid="{00000000-0005-0000-0000-00002D000000}"/>
    <cellStyle name="Input" xfId="18" builtinId="20" customBuiltin="1"/>
    <cellStyle name="Linked Cell" xfId="21" builtinId="24" customBuiltin="1"/>
    <cellStyle name="Neutral" xfId="17" builtinId="28" customBuiltin="1"/>
    <cellStyle name="Neutral 2" xfId="73" xr:uid="{B48D6B9B-5206-4EF5-8181-11FDA1AA58B7}"/>
    <cellStyle name="Normal" xfId="0" builtinId="0"/>
    <cellStyle name="Normal 2" xfId="5" xr:uid="{00000000-0005-0000-0000-000032000000}"/>
    <cellStyle name="Normal 2 2" xfId="61" xr:uid="{00000000-0005-0000-0000-000033000000}"/>
    <cellStyle name="Normal 2 3" xfId="52" xr:uid="{00000000-0005-0000-0000-000034000000}"/>
    <cellStyle name="Normal 2 4" xfId="69" xr:uid="{00000000-0005-0000-0000-000035000000}"/>
    <cellStyle name="Normal 3" xfId="3" xr:uid="{00000000-0005-0000-0000-000036000000}"/>
    <cellStyle name="Normal 3 2" xfId="6" xr:uid="{00000000-0005-0000-0000-000037000000}"/>
    <cellStyle name="Normal 3 3" xfId="54" xr:uid="{00000000-0005-0000-0000-000038000000}"/>
    <cellStyle name="Normal 4" xfId="55" xr:uid="{00000000-0005-0000-0000-000039000000}"/>
    <cellStyle name="Normal 5" xfId="57" xr:uid="{00000000-0005-0000-0000-00003A000000}"/>
    <cellStyle name="Normal 6" xfId="62" xr:uid="{00000000-0005-0000-0000-00003B000000}"/>
    <cellStyle name="Normal 7" xfId="51" xr:uid="{00000000-0005-0000-0000-00003C000000}"/>
    <cellStyle name="Normal 9" xfId="53" xr:uid="{00000000-0005-0000-0000-00003D000000}"/>
    <cellStyle name="Normal_Ref10Tek NewShell" xfId="1" xr:uid="{00000000-0005-0000-0000-00003E000000}"/>
    <cellStyle name="Note" xfId="24" builtinId="10" customBuiltin="1"/>
    <cellStyle name="Output" xfId="19" builtinId="21" customBuiltin="1"/>
    <cellStyle name="Percent" xfId="9" builtinId="5"/>
    <cellStyle name="Percent 2" xfId="7" xr:uid="{00000000-0005-0000-0000-000042000000}"/>
    <cellStyle name="Percent 2 2" xfId="70" xr:uid="{00000000-0005-0000-0000-000043000000}"/>
    <cellStyle name="Percent 3" xfId="60" xr:uid="{00000000-0005-0000-0000-000044000000}"/>
    <cellStyle name="Percent 4" xfId="65" xr:uid="{00000000-0005-0000-0000-000045000000}"/>
    <cellStyle name="Title" xfId="10" builtinId="15" customBuiltin="1"/>
    <cellStyle name="Total" xfId="26" builtinId="25" customBuiltin="1"/>
    <cellStyle name="Warning Text" xfId="23" builtinId="11" customBuiltin="1"/>
  </cellStyles>
  <dxfs count="1">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0</xdr:colOff>
      <xdr:row>2</xdr:row>
      <xdr:rowOff>0</xdr:rowOff>
    </xdr:from>
    <xdr:to>
      <xdr:col>17</xdr:col>
      <xdr:colOff>1420091</xdr:colOff>
      <xdr:row>14</xdr:row>
      <xdr:rowOff>17318</xdr:rowOff>
    </xdr:to>
    <xdr:sp macro="" textlink="">
      <xdr:nvSpPr>
        <xdr:cNvPr id="2" name="TextBox 1">
          <a:extLst>
            <a:ext uri="{FF2B5EF4-FFF2-40B4-BE49-F238E27FC236}">
              <a16:creationId xmlns:a16="http://schemas.microsoft.com/office/drawing/2014/main" id="{9B1AA6DD-6290-48D8-ACEB-1483B37D1DB0}"/>
            </a:ext>
          </a:extLst>
        </xdr:cNvPr>
        <xdr:cNvSpPr txBox="1"/>
      </xdr:nvSpPr>
      <xdr:spPr bwMode="auto">
        <a:xfrm>
          <a:off x="15880773" y="363682"/>
          <a:ext cx="8052954" cy="2251363"/>
        </a:xfrm>
        <a:prstGeom prst="rect">
          <a:avLst/>
        </a:prstGeom>
        <a:solidFill>
          <a:schemeClr val="accent6">
            <a:lumMod val="20000"/>
            <a:lumOff val="80000"/>
          </a:schemeClr>
        </a:solidFill>
        <a:ln w="9525">
          <a:noFill/>
          <a:miter lim="800000"/>
          <a:headEnd/>
          <a:tailEnd/>
        </a:ln>
      </xdr:spPr>
      <xdr:txBody>
        <a:bodyPr vertOverflow="clip" horzOverflow="clip" wrap="square" lIns="0" tIns="0" rIns="0" rtlCol="0" anchor="t">
          <a:prstTxWarp prst="textNoShape">
            <a:avLst/>
          </a:prstTxWarp>
        </a:bodyPr>
        <a:lstStyle/>
        <a:p>
          <a:pPr eaLnBrk="0" hangingPunct="0"/>
          <a:r>
            <a:rPr lang="en-US" sz="2000" i="1" dirty="0">
              <a:solidFill>
                <a:schemeClr val="tx1"/>
              </a:solidFill>
              <a:latin typeface="Times New Roman" charset="0"/>
              <a:ea typeface="Times New Roman" charset="0"/>
              <a:cs typeface="Times New Roman" charset="0"/>
            </a:rPr>
            <a:t>Central AC/HP standard effective 2023</a:t>
          </a:r>
        </a:p>
        <a:p>
          <a:pPr eaLnBrk="0" hangingPunct="0"/>
          <a:endParaRPr lang="en-US" sz="2000" i="1" baseline="0" dirty="0">
            <a:solidFill>
              <a:schemeClr val="tx1"/>
            </a:solidFill>
            <a:latin typeface="Times New Roman" charset="0"/>
            <a:ea typeface="Times New Roman" charset="0"/>
            <a:cs typeface="Times New Roman" charset="0"/>
          </a:endParaRPr>
        </a:p>
        <a:p>
          <a:pPr eaLnBrk="0" hangingPunct="0"/>
          <a:r>
            <a:rPr lang="en-US" sz="2000" i="1" baseline="0" dirty="0">
              <a:solidFill>
                <a:schemeClr val="tx1"/>
              </a:solidFill>
              <a:latin typeface="Times New Roman" charset="0"/>
              <a:ea typeface="Times New Roman" charset="0"/>
              <a:cs typeface="Times New Roman" charset="0"/>
            </a:rPr>
            <a:t>Gas Furnace (NG_FA and LPG_FA) standard effective 2029; ENERGY STAR and IECC 2009+40% packages switch to NG/LPG_FA4 as more efficient option because NG/LPG_FA3 is same efficiency level as federal standard</a:t>
          </a:r>
        </a:p>
        <a:p>
          <a:pPr eaLnBrk="0" hangingPunct="0"/>
          <a:endParaRPr lang="en-US" sz="2000" i="1" baseline="0" dirty="0">
            <a:solidFill>
              <a:schemeClr val="tx1"/>
            </a:solidFill>
            <a:latin typeface="Times New Roman" charset="0"/>
            <a:ea typeface="Times New Roman" charset="0"/>
            <a:cs typeface="Times New Roman" charset="0"/>
          </a:endParaRPr>
        </a:p>
        <a:p>
          <a:pPr eaLnBrk="0" hangingPunct="0"/>
          <a:r>
            <a:rPr lang="en-US" sz="2000" i="1" baseline="0" dirty="0">
              <a:solidFill>
                <a:schemeClr val="tx1"/>
              </a:solidFill>
              <a:latin typeface="Times New Roman" charset="0"/>
              <a:ea typeface="Times New Roman" charset="0"/>
              <a:cs typeface="Times New Roman" charset="0"/>
            </a:rPr>
            <a:t>2020/2023/2032 starting vintages are for shell federal subsidies</a:t>
          </a:r>
          <a:endParaRPr lang="en-US" sz="2000" i="1" dirty="0">
            <a:solidFill>
              <a:schemeClr val="tx1"/>
            </a:solidFill>
            <a:latin typeface="Times New Roman" charset="0"/>
            <a:ea typeface="Times New Roman" charset="0"/>
            <a:cs typeface="Times New Roman"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258535</xdr:colOff>
      <xdr:row>7</xdr:row>
      <xdr:rowOff>33784</xdr:rowOff>
    </xdr:from>
    <xdr:to>
      <xdr:col>24</xdr:col>
      <xdr:colOff>345681</xdr:colOff>
      <xdr:row>15</xdr:row>
      <xdr:rowOff>4494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4614071" y="1299248"/>
          <a:ext cx="7054003" cy="2038996"/>
        </a:xfrm>
        <a:prstGeom prst="rect">
          <a:avLst/>
        </a:prstGeom>
      </xdr:spPr>
    </xdr:pic>
    <xdr:clientData/>
  </xdr:twoCellAnchor>
</xdr:wsDr>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hyperlink" Target="https://amendments-rules.house.gov/amendments/HWC_103_xml1217190022572257.pdf" TargetMode="External"/><Relationship Id="rId13" Type="http://schemas.openxmlformats.org/officeDocument/2006/relationships/hyperlink" Target="https://fas.org/sgp/crs/misc/R42089.pdf" TargetMode="External"/><Relationship Id="rId18" Type="http://schemas.openxmlformats.org/officeDocument/2006/relationships/vmlDrawing" Target="../drawings/vmlDrawing4.vml"/><Relationship Id="rId3" Type="http://schemas.openxmlformats.org/officeDocument/2006/relationships/hyperlink" Target="http://programs.dsireusa.org/system/program/detail/1235" TargetMode="External"/><Relationship Id="rId7" Type="http://schemas.openxmlformats.org/officeDocument/2006/relationships/hyperlink" Target="https://amendments-rules.house.gov/amendments/HWC_103_xml1217190022572257.pdf" TargetMode="External"/><Relationship Id="rId12" Type="http://schemas.openxmlformats.org/officeDocument/2006/relationships/hyperlink" Target="https://uscode.house.gov/view.xhtml?req=(title:26%20section:25C%20edition:prelim)" TargetMode="External"/><Relationship Id="rId17" Type="http://schemas.openxmlformats.org/officeDocument/2006/relationships/drawing" Target="../drawings/drawing2.xml"/><Relationship Id="rId2" Type="http://schemas.openxmlformats.org/officeDocument/2006/relationships/hyperlink" Target="https://www.eia.gov/consumption/commercial/maps.php" TargetMode="External"/><Relationship Id="rId16" Type="http://schemas.openxmlformats.org/officeDocument/2006/relationships/printerSettings" Target="../printerSettings/printerSettings5.bin"/><Relationship Id="rId1" Type="http://schemas.openxmlformats.org/officeDocument/2006/relationships/hyperlink" Target="https://www.energy.gov/savings/residential-energy-efficiency-tax-credit" TargetMode="External"/><Relationship Id="rId6" Type="http://schemas.openxmlformats.org/officeDocument/2006/relationships/hyperlink" Target="https://www.energystar.gov/about/federal_tax_credits/federal_tax_credit_archives/tax_credits_home_builders" TargetMode="External"/><Relationship Id="rId11" Type="http://schemas.openxmlformats.org/officeDocument/2006/relationships/hyperlink" Target="https://www.energystar.gov/about/federal_tax_credits/biomass_stoves" TargetMode="External"/><Relationship Id="rId5" Type="http://schemas.openxmlformats.org/officeDocument/2006/relationships/hyperlink" Target="https://www.law.cornell.edu/uscode/text/26/45L" TargetMode="External"/><Relationship Id="rId15" Type="http://schemas.openxmlformats.org/officeDocument/2006/relationships/hyperlink" Target="https://www.law.cornell.edu/uscode/text/26/25C" TargetMode="External"/><Relationship Id="rId10" Type="http://schemas.openxmlformats.org/officeDocument/2006/relationships/hyperlink" Target="https://www.irs.gov/instructions/i8908" TargetMode="External"/><Relationship Id="rId19" Type="http://schemas.openxmlformats.org/officeDocument/2006/relationships/comments" Target="../comments4.xml"/><Relationship Id="rId4" Type="http://schemas.openxmlformats.org/officeDocument/2006/relationships/hyperlink" Target="https://fas.org/sgp/crs/misc/R42089.pdf" TargetMode="External"/><Relationship Id="rId9" Type="http://schemas.openxmlformats.org/officeDocument/2006/relationships/hyperlink" Target="https://www.energystar.gov/about/federal_tax_credits/non_business_energy_property_tax_credits" TargetMode="External"/><Relationship Id="rId14" Type="http://schemas.openxmlformats.org/officeDocument/2006/relationships/hyperlink" Target="https://www.law.cornell.edu/uscode/text/26/25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B2:I12"/>
  <sheetViews>
    <sheetView workbookViewId="0">
      <selection activeCell="C27" sqref="C27"/>
    </sheetView>
  </sheetViews>
  <sheetFormatPr defaultRowHeight="14.25" x14ac:dyDescent="0.2"/>
  <cols>
    <col min="2" max="2" width="15.875" bestFit="1" customWidth="1"/>
    <col min="3" max="3" width="48.25" customWidth="1"/>
    <col min="4" max="4" width="18.625" customWidth="1"/>
    <col min="5" max="5" width="44.125" customWidth="1"/>
    <col min="6" max="6" width="13" bestFit="1" customWidth="1"/>
  </cols>
  <sheetData>
    <row r="2" spans="2:9" ht="15" x14ac:dyDescent="0.25">
      <c r="B2" s="6" t="s">
        <v>74</v>
      </c>
      <c r="C2" t="s">
        <v>508</v>
      </c>
    </row>
    <row r="3" spans="2:9" ht="15" x14ac:dyDescent="0.25">
      <c r="B3" s="6" t="s">
        <v>76</v>
      </c>
      <c r="C3" t="s">
        <v>77</v>
      </c>
    </row>
    <row r="4" spans="2:9" ht="15" x14ac:dyDescent="0.25">
      <c r="B4" s="6" t="s">
        <v>78</v>
      </c>
      <c r="C4" t="s">
        <v>100</v>
      </c>
    </row>
    <row r="6" spans="2:9" ht="15.75" thickBot="1" x14ac:dyDescent="0.3">
      <c r="B6" s="1" t="s">
        <v>16</v>
      </c>
      <c r="C6" s="1" t="s">
        <v>17</v>
      </c>
      <c r="D6" s="1" t="s">
        <v>18</v>
      </c>
      <c r="E6" s="1" t="s">
        <v>19</v>
      </c>
      <c r="F6" s="1" t="s">
        <v>310</v>
      </c>
    </row>
    <row r="7" spans="2:9" x14ac:dyDescent="0.2">
      <c r="B7" s="4" t="s">
        <v>20</v>
      </c>
      <c r="C7" s="2" t="s">
        <v>23</v>
      </c>
      <c r="D7" s="3" t="s">
        <v>99</v>
      </c>
      <c r="E7" s="2" t="s">
        <v>98</v>
      </c>
      <c r="F7" s="81">
        <f>RSCLASS!$C$3</f>
        <v>45484</v>
      </c>
    </row>
    <row r="8" spans="2:9" ht="57" x14ac:dyDescent="0.2">
      <c r="B8" s="4" t="s">
        <v>21</v>
      </c>
      <c r="C8" s="2" t="s">
        <v>24</v>
      </c>
      <c r="D8" s="3" t="s">
        <v>99</v>
      </c>
      <c r="E8" s="2" t="s">
        <v>480</v>
      </c>
      <c r="F8" s="81">
        <f>RSMEQP!$D$3</f>
        <v>45597</v>
      </c>
      <c r="I8" s="88"/>
    </row>
    <row r="9" spans="2:9" ht="57" x14ac:dyDescent="0.2">
      <c r="B9" s="4" t="s">
        <v>22</v>
      </c>
      <c r="C9" s="2" t="s">
        <v>25</v>
      </c>
      <c r="D9" s="3" t="s">
        <v>99</v>
      </c>
      <c r="E9" s="2" t="s">
        <v>269</v>
      </c>
      <c r="F9" s="81">
        <f>RSMSHL!$C$3</f>
        <v>45601</v>
      </c>
    </row>
    <row r="10" spans="2:9" ht="42.75" x14ac:dyDescent="0.2">
      <c r="B10" s="4" t="s">
        <v>263</v>
      </c>
      <c r="C10" s="2" t="s">
        <v>260</v>
      </c>
      <c r="D10" s="3" t="s">
        <v>99</v>
      </c>
      <c r="E10" s="2" t="s">
        <v>490</v>
      </c>
      <c r="F10" s="81">
        <f>'TaxCred&amp;Subs'!$C$2</f>
        <v>45575</v>
      </c>
    </row>
    <row r="12" spans="2:9" ht="15" x14ac:dyDescent="0.25">
      <c r="B12"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sheetPr>
  <dimension ref="B2:V58"/>
  <sheetViews>
    <sheetView topLeftCell="A13" zoomScale="70" zoomScaleNormal="70" workbookViewId="0">
      <selection activeCell="A20" sqref="A20:A51"/>
    </sheetView>
  </sheetViews>
  <sheetFormatPr defaultRowHeight="14.25" x14ac:dyDescent="0.2"/>
  <cols>
    <col min="2" max="2" width="29" customWidth="1"/>
    <col min="3" max="3" width="17.25" customWidth="1"/>
    <col min="4" max="4" width="14" bestFit="1" customWidth="1"/>
    <col min="5" max="5" width="13" bestFit="1" customWidth="1"/>
    <col min="6" max="6" width="14.75" bestFit="1" customWidth="1"/>
    <col min="7" max="7" width="15.75" customWidth="1"/>
    <col min="8" max="8" width="10.125" bestFit="1" customWidth="1"/>
    <col min="9" max="9" width="12.75" bestFit="1" customWidth="1"/>
    <col min="10" max="10" width="13.875" bestFit="1" customWidth="1"/>
    <col min="11" max="11" width="11.75" customWidth="1"/>
    <col min="12" max="12" width="13.875" bestFit="1" customWidth="1"/>
    <col min="13" max="13" width="13.375" bestFit="1" customWidth="1"/>
    <col min="14" max="14" width="12.75" bestFit="1" customWidth="1"/>
    <col min="15" max="15" width="13" customWidth="1"/>
    <col min="16" max="17" width="13.375" bestFit="1" customWidth="1"/>
    <col min="18" max="19" width="14.75" bestFit="1" customWidth="1"/>
    <col min="20" max="20" width="13.125" bestFit="1" customWidth="1"/>
    <col min="21" max="21" width="14.375" bestFit="1" customWidth="1"/>
  </cols>
  <sheetData>
    <row r="2" spans="2:3" ht="15" x14ac:dyDescent="0.25">
      <c r="B2" s="6" t="s">
        <v>74</v>
      </c>
      <c r="C2" t="s">
        <v>20</v>
      </c>
    </row>
    <row r="3" spans="2:3" ht="15" x14ac:dyDescent="0.25">
      <c r="B3" s="6" t="s">
        <v>75</v>
      </c>
      <c r="C3" s="20">
        <v>45484</v>
      </c>
    </row>
    <row r="4" spans="2:3" ht="15" x14ac:dyDescent="0.25">
      <c r="B4" s="6" t="s">
        <v>78</v>
      </c>
      <c r="C4" t="s">
        <v>79</v>
      </c>
    </row>
    <row r="5" spans="2:3" ht="15" x14ac:dyDescent="0.25">
      <c r="B5" s="6" t="s">
        <v>80</v>
      </c>
      <c r="C5" t="s">
        <v>228</v>
      </c>
    </row>
    <row r="6" spans="2:3" ht="15" x14ac:dyDescent="0.25">
      <c r="B6" s="6" t="s">
        <v>81</v>
      </c>
      <c r="C6" t="s">
        <v>229</v>
      </c>
    </row>
    <row r="7" spans="2:3" ht="15" x14ac:dyDescent="0.25">
      <c r="B7" s="6" t="s">
        <v>82</v>
      </c>
      <c r="C7" t="s">
        <v>414</v>
      </c>
    </row>
    <row r="8" spans="2:3" ht="15" x14ac:dyDescent="0.25">
      <c r="B8" s="6" t="s">
        <v>89</v>
      </c>
      <c r="C8" t="s">
        <v>83</v>
      </c>
    </row>
    <row r="9" spans="2:3" ht="15" x14ac:dyDescent="0.25">
      <c r="B9" s="6"/>
      <c r="C9" t="s">
        <v>84</v>
      </c>
    </row>
    <row r="10" spans="2:3" ht="15" x14ac:dyDescent="0.25">
      <c r="B10" s="6"/>
      <c r="C10" t="s">
        <v>85</v>
      </c>
    </row>
    <row r="11" spans="2:3" ht="15" x14ac:dyDescent="0.25">
      <c r="B11" s="6"/>
      <c r="C11" t="s">
        <v>86</v>
      </c>
    </row>
    <row r="12" spans="2:3" ht="15" x14ac:dyDescent="0.25">
      <c r="B12" s="6" t="s">
        <v>87</v>
      </c>
      <c r="C12" t="s">
        <v>465</v>
      </c>
    </row>
    <row r="13" spans="2:3" x14ac:dyDescent="0.2">
      <c r="C13" t="s">
        <v>476</v>
      </c>
    </row>
    <row r="14" spans="2:3" ht="15" x14ac:dyDescent="0.25">
      <c r="B14" s="6" t="s">
        <v>88</v>
      </c>
      <c r="C14" t="s">
        <v>477</v>
      </c>
    </row>
    <row r="17" spans="2:22" ht="15" x14ac:dyDescent="0.25">
      <c r="B17" s="35">
        <f>COUNTA(xlRTCLENDU)</f>
        <v>30</v>
      </c>
      <c r="C17" s="6" t="s">
        <v>96</v>
      </c>
    </row>
    <row r="18" spans="2:22" x14ac:dyDescent="0.2">
      <c r="B18" s="7"/>
      <c r="L18" s="32" t="s">
        <v>472</v>
      </c>
      <c r="M18" s="32" t="s">
        <v>473</v>
      </c>
      <c r="N18" s="32" t="s">
        <v>474</v>
      </c>
      <c r="O18" s="8" t="s">
        <v>475</v>
      </c>
    </row>
    <row r="19" spans="2:22" ht="15" x14ac:dyDescent="0.25">
      <c r="L19" s="240" t="s">
        <v>30</v>
      </c>
      <c r="M19" s="241"/>
      <c r="N19" s="241"/>
      <c r="O19" s="241"/>
      <c r="P19" s="242"/>
    </row>
    <row r="20" spans="2:22" ht="45" x14ac:dyDescent="0.25">
      <c r="B20" s="13" t="s">
        <v>309</v>
      </c>
      <c r="C20" s="13" t="s">
        <v>2</v>
      </c>
      <c r="D20" s="13" t="s">
        <v>53</v>
      </c>
      <c r="E20" s="13" t="s">
        <v>42</v>
      </c>
      <c r="F20" s="13" t="s">
        <v>312</v>
      </c>
      <c r="G20" s="13" t="s">
        <v>73</v>
      </c>
      <c r="H20" s="13" t="s">
        <v>26</v>
      </c>
      <c r="I20" s="13" t="s">
        <v>311</v>
      </c>
      <c r="J20" s="13" t="s">
        <v>35</v>
      </c>
      <c r="K20" s="17" t="s">
        <v>302</v>
      </c>
      <c r="L20" s="13" t="s">
        <v>28</v>
      </c>
      <c r="M20" s="13" t="s">
        <v>27</v>
      </c>
      <c r="N20" s="13" t="s">
        <v>29</v>
      </c>
      <c r="O20" s="17" t="s">
        <v>314</v>
      </c>
      <c r="P20" s="17" t="s">
        <v>313</v>
      </c>
      <c r="Q20" s="13" t="s">
        <v>165</v>
      </c>
      <c r="R20" s="13" t="s">
        <v>164</v>
      </c>
      <c r="S20" s="13" t="s">
        <v>166</v>
      </c>
      <c r="T20" s="13" t="s">
        <v>13</v>
      </c>
      <c r="U20" s="13" t="s">
        <v>167</v>
      </c>
    </row>
    <row r="21" spans="2:22" ht="15" x14ac:dyDescent="0.25">
      <c r="B21" s="12" t="s">
        <v>254</v>
      </c>
      <c r="C21" s="12" t="s">
        <v>101</v>
      </c>
      <c r="D21" s="12" t="s">
        <v>149</v>
      </c>
      <c r="E21" s="12" t="s">
        <v>150</v>
      </c>
      <c r="F21" s="12" t="s">
        <v>151</v>
      </c>
      <c r="G21" s="12" t="s">
        <v>152</v>
      </c>
      <c r="H21" s="12" t="s">
        <v>153</v>
      </c>
      <c r="I21" s="12" t="s">
        <v>154</v>
      </c>
      <c r="J21" s="12" t="s">
        <v>155</v>
      </c>
      <c r="K21" s="175" t="s">
        <v>254</v>
      </c>
      <c r="L21" s="12" t="s">
        <v>158</v>
      </c>
      <c r="M21" s="12" t="s">
        <v>157</v>
      </c>
      <c r="N21" s="12" t="s">
        <v>156</v>
      </c>
      <c r="O21" s="175" t="s">
        <v>254</v>
      </c>
      <c r="P21" s="175" t="s">
        <v>254</v>
      </c>
      <c r="Q21" s="12" t="s">
        <v>159</v>
      </c>
      <c r="R21" s="12" t="s">
        <v>160</v>
      </c>
      <c r="S21" s="12" t="s">
        <v>161</v>
      </c>
      <c r="T21" s="12" t="s">
        <v>162</v>
      </c>
      <c r="U21" s="12" t="s">
        <v>163</v>
      </c>
      <c r="V21" s="8" t="s">
        <v>39</v>
      </c>
    </row>
    <row r="22" spans="2:22" x14ac:dyDescent="0.2">
      <c r="B22" s="7" t="str">
        <f>C22&amp;D22</f>
        <v>11</v>
      </c>
      <c r="C22" s="5">
        <v>1</v>
      </c>
      <c r="D22" s="5">
        <v>1</v>
      </c>
      <c r="E22" s="7">
        <f t="array" ref="E22">MIN(IF(($C22=xlRTTYENDU)*($D22=xlRTTYEQCL),xlRTEQTYPE))</f>
        <v>1</v>
      </c>
      <c r="F22" s="5">
        <v>2</v>
      </c>
      <c r="G22" s="5">
        <v>3</v>
      </c>
      <c r="H22" s="5">
        <v>4</v>
      </c>
      <c r="I22" s="5">
        <v>0</v>
      </c>
      <c r="J22" s="189">
        <v>0.98</v>
      </c>
      <c r="K22" s="176" t="s">
        <v>274</v>
      </c>
      <c r="L22" s="156">
        <v>23.9</v>
      </c>
      <c r="M22" s="156">
        <v>3.7</v>
      </c>
      <c r="N22" s="156">
        <v>1</v>
      </c>
      <c r="O22" s="160">
        <v>15</v>
      </c>
      <c r="P22" s="160">
        <v>30</v>
      </c>
      <c r="Q22" s="5">
        <v>-1.08E-3</v>
      </c>
      <c r="R22" s="5">
        <v>0.2</v>
      </c>
      <c r="S22" s="5">
        <v>-1.72E-3</v>
      </c>
      <c r="T22" s="5">
        <v>-0.47</v>
      </c>
      <c r="U22" s="5" t="s">
        <v>168</v>
      </c>
    </row>
    <row r="23" spans="2:22" x14ac:dyDescent="0.2">
      <c r="B23" s="7" t="str">
        <f t="shared" ref="B23:B51" si="0">C23&amp;D23</f>
        <v>12</v>
      </c>
      <c r="C23" s="5">
        <v>1</v>
      </c>
      <c r="D23" s="5">
        <v>2</v>
      </c>
      <c r="E23" s="7">
        <f t="array" ref="E23">MIN(IF(($C23=xlRTTYENDU)*($D23=xlRTTYEQCL),xlRTEQTYPE))</f>
        <v>2</v>
      </c>
      <c r="F23" s="5">
        <v>2</v>
      </c>
      <c r="G23" s="5">
        <v>0</v>
      </c>
      <c r="H23" s="5">
        <v>4</v>
      </c>
      <c r="I23" s="5">
        <v>0</v>
      </c>
      <c r="J23" s="189">
        <v>2.3153575615474797</v>
      </c>
      <c r="K23" s="176" t="s">
        <v>294</v>
      </c>
      <c r="L23" s="164">
        <v>15.88</v>
      </c>
      <c r="M23" s="164">
        <v>2</v>
      </c>
      <c r="N23" s="164">
        <v>1</v>
      </c>
      <c r="O23" s="160">
        <v>15.3</v>
      </c>
      <c r="P23" s="160">
        <v>15.3</v>
      </c>
      <c r="Q23" s="5">
        <v>-1.08E-3</v>
      </c>
      <c r="R23" s="5">
        <v>0.2</v>
      </c>
      <c r="S23" s="5">
        <v>-1.72E-3</v>
      </c>
      <c r="T23" s="5">
        <v>-0.1</v>
      </c>
      <c r="U23" s="5" t="s">
        <v>169</v>
      </c>
    </row>
    <row r="24" spans="2:22" x14ac:dyDescent="0.2">
      <c r="B24" s="7" t="str">
        <f t="shared" si="0"/>
        <v>13</v>
      </c>
      <c r="C24" s="5">
        <v>1</v>
      </c>
      <c r="D24" s="5">
        <v>3</v>
      </c>
      <c r="E24" s="7">
        <f t="array" ref="E24">MIN(IF(($C24=xlRTTYENDU)*($D24=xlRTTYEQCL),xlRTEQTYPE))</f>
        <v>6</v>
      </c>
      <c r="F24" s="5">
        <v>1</v>
      </c>
      <c r="G24" s="5">
        <v>0</v>
      </c>
      <c r="H24" s="5">
        <v>3</v>
      </c>
      <c r="I24" s="5">
        <v>1</v>
      </c>
      <c r="J24" s="189">
        <v>0.8</v>
      </c>
      <c r="K24" s="176" t="s">
        <v>274</v>
      </c>
      <c r="L24" s="156">
        <v>22.6</v>
      </c>
      <c r="M24" s="156">
        <v>3.7</v>
      </c>
      <c r="N24" s="156">
        <v>1</v>
      </c>
      <c r="O24" s="160">
        <v>16.100000000000001</v>
      </c>
      <c r="P24" s="160">
        <v>24.7</v>
      </c>
      <c r="Q24" s="5">
        <v>-1.08E-3</v>
      </c>
      <c r="R24" s="5">
        <v>0</v>
      </c>
      <c r="S24" s="5">
        <v>-1.72E-3</v>
      </c>
      <c r="T24" s="5">
        <v>0</v>
      </c>
      <c r="U24" s="5" t="s">
        <v>170</v>
      </c>
    </row>
    <row r="25" spans="2:22" x14ac:dyDescent="0.2">
      <c r="B25" s="7" t="str">
        <f t="shared" si="0"/>
        <v>14</v>
      </c>
      <c r="C25" s="5">
        <v>1</v>
      </c>
      <c r="D25" s="5">
        <v>4</v>
      </c>
      <c r="E25" s="7">
        <f t="array" ref="E25">MIN(IF(($C25=xlRTTYENDU)*($D25=xlRTTYEQCL),xlRTEQTYPE))</f>
        <v>10</v>
      </c>
      <c r="F25" s="5">
        <v>1</v>
      </c>
      <c r="G25" s="5">
        <v>0</v>
      </c>
      <c r="H25" s="5">
        <v>3</v>
      </c>
      <c r="I25" s="5">
        <v>1</v>
      </c>
      <c r="J25" s="189">
        <v>0.82</v>
      </c>
      <c r="K25" s="176" t="s">
        <v>274</v>
      </c>
      <c r="L25" s="156">
        <v>28.87</v>
      </c>
      <c r="M25" s="156">
        <v>2.39</v>
      </c>
      <c r="N25" s="156">
        <v>1</v>
      </c>
      <c r="O25" s="160">
        <v>20</v>
      </c>
      <c r="P25" s="160">
        <v>30</v>
      </c>
      <c r="Q25" s="5">
        <v>-1.08E-3</v>
      </c>
      <c r="R25" s="5">
        <v>0</v>
      </c>
      <c r="S25" s="5">
        <v>-1.72E-3</v>
      </c>
      <c r="T25" s="5">
        <v>0</v>
      </c>
      <c r="U25" s="5" t="s">
        <v>171</v>
      </c>
    </row>
    <row r="26" spans="2:22" x14ac:dyDescent="0.2">
      <c r="B26" s="29" t="str">
        <f t="shared" si="0"/>
        <v>15</v>
      </c>
      <c r="C26" s="29">
        <v>1</v>
      </c>
      <c r="D26" s="29">
        <v>5</v>
      </c>
      <c r="E26" s="29">
        <f t="array" ref="E26">MIN(IF(($C26=xlRTTYENDU)*($D26=xlRTTYEQCL),xlRTEQTYPE))</f>
        <v>14</v>
      </c>
      <c r="F26" s="29">
        <v>2</v>
      </c>
      <c r="G26" s="29">
        <v>0</v>
      </c>
      <c r="H26" s="29">
        <v>1</v>
      </c>
      <c r="I26" s="29">
        <v>0</v>
      </c>
      <c r="J26" s="176">
        <v>0.83</v>
      </c>
      <c r="K26" s="176" t="s">
        <v>274</v>
      </c>
      <c r="L26" s="161">
        <v>23.9</v>
      </c>
      <c r="M26" s="161">
        <v>3.7</v>
      </c>
      <c r="N26" s="161">
        <v>1</v>
      </c>
      <c r="O26" s="160">
        <v>19.7</v>
      </c>
      <c r="P26" s="160">
        <v>33.1</v>
      </c>
      <c r="Q26" s="29">
        <v>-1.08E-3</v>
      </c>
      <c r="R26" s="29">
        <v>0.2</v>
      </c>
      <c r="S26" s="29">
        <v>-1.72E-3</v>
      </c>
      <c r="T26" s="29">
        <v>-0.27</v>
      </c>
      <c r="U26" s="29" t="s">
        <v>172</v>
      </c>
    </row>
    <row r="27" spans="2:22" x14ac:dyDescent="0.2">
      <c r="B27" s="7" t="str">
        <f t="shared" si="0"/>
        <v>16</v>
      </c>
      <c r="C27" s="5">
        <v>1</v>
      </c>
      <c r="D27" s="5">
        <v>6</v>
      </c>
      <c r="E27" s="7">
        <f t="array" ref="E27">MIN(IF(($C27=xlRTTYENDU)*($D27=xlRTTYEQCL),xlRTEQTYPE))</f>
        <v>18</v>
      </c>
      <c r="F27" s="5">
        <v>4</v>
      </c>
      <c r="G27" s="5">
        <v>3</v>
      </c>
      <c r="H27" s="5">
        <v>2</v>
      </c>
      <c r="I27" s="5">
        <v>1</v>
      </c>
      <c r="J27" s="189">
        <v>0.8</v>
      </c>
      <c r="K27" s="176" t="s">
        <v>274</v>
      </c>
      <c r="L27" s="156">
        <v>22.6</v>
      </c>
      <c r="M27" s="156">
        <v>3.7</v>
      </c>
      <c r="N27" s="156">
        <v>1</v>
      </c>
      <c r="O27" s="160">
        <v>16.100000000000001</v>
      </c>
      <c r="P27" s="160">
        <v>24.7</v>
      </c>
      <c r="Q27" s="5">
        <v>-1.08E-3</v>
      </c>
      <c r="R27" s="5">
        <v>0.2</v>
      </c>
      <c r="S27" s="5">
        <v>-1.72E-3</v>
      </c>
      <c r="T27" s="5">
        <v>-0.03</v>
      </c>
      <c r="U27" s="5" t="s">
        <v>173</v>
      </c>
    </row>
    <row r="28" spans="2:22" x14ac:dyDescent="0.2">
      <c r="B28" s="7" t="str">
        <f t="shared" si="0"/>
        <v>17</v>
      </c>
      <c r="C28" s="5">
        <v>1</v>
      </c>
      <c r="D28" s="5">
        <v>7</v>
      </c>
      <c r="E28" s="7">
        <f t="array" ref="E28">MIN(IF(($C28=xlRTTYENDU)*($D28=xlRTTYEQCL),xlRTEQTYPE))</f>
        <v>22</v>
      </c>
      <c r="F28" s="5">
        <v>3</v>
      </c>
      <c r="G28" s="5">
        <v>3</v>
      </c>
      <c r="H28" s="5">
        <v>1</v>
      </c>
      <c r="I28" s="5">
        <v>1</v>
      </c>
      <c r="J28" s="189">
        <v>0.83</v>
      </c>
      <c r="K28" s="176" t="s">
        <v>274</v>
      </c>
      <c r="L28" s="156">
        <v>23.9</v>
      </c>
      <c r="M28" s="156">
        <v>3.7</v>
      </c>
      <c r="N28" s="156">
        <v>1</v>
      </c>
      <c r="O28" s="160">
        <v>19.7</v>
      </c>
      <c r="P28" s="160">
        <v>33.1</v>
      </c>
      <c r="Q28" s="5">
        <v>-1.08E-3</v>
      </c>
      <c r="R28" s="5">
        <v>0.2</v>
      </c>
      <c r="S28" s="5">
        <v>-1.72E-3</v>
      </c>
      <c r="T28" s="5">
        <v>-0.03</v>
      </c>
      <c r="U28" s="5" t="s">
        <v>174</v>
      </c>
    </row>
    <row r="29" spans="2:22" x14ac:dyDescent="0.2">
      <c r="B29" s="7" t="str">
        <f t="shared" si="0"/>
        <v>18</v>
      </c>
      <c r="C29" s="5">
        <v>1</v>
      </c>
      <c r="D29" s="5">
        <v>8</v>
      </c>
      <c r="E29" s="7">
        <f t="array" ref="E29">MIN(IF(($C29=xlRTTYENDU)*($D29=xlRTTYEQCL),xlRTEQTYPE))</f>
        <v>26</v>
      </c>
      <c r="F29" s="5">
        <v>3</v>
      </c>
      <c r="G29" s="5">
        <v>0</v>
      </c>
      <c r="H29" s="5">
        <v>1</v>
      </c>
      <c r="I29" s="5">
        <v>1</v>
      </c>
      <c r="J29" s="189">
        <v>0.84</v>
      </c>
      <c r="K29" s="176" t="s">
        <v>274</v>
      </c>
      <c r="L29" s="156">
        <v>26.77</v>
      </c>
      <c r="M29" s="156">
        <v>2.39</v>
      </c>
      <c r="N29" s="156">
        <v>1</v>
      </c>
      <c r="O29" s="160">
        <v>18</v>
      </c>
      <c r="P29" s="160">
        <v>28</v>
      </c>
      <c r="Q29" s="5">
        <v>-1.08E-3</v>
      </c>
      <c r="R29" s="5">
        <v>0.2</v>
      </c>
      <c r="S29" s="5">
        <v>-1.72E-3</v>
      </c>
      <c r="T29" s="5">
        <v>-0.03</v>
      </c>
      <c r="U29" s="5" t="s">
        <v>175</v>
      </c>
    </row>
    <row r="30" spans="2:22" x14ac:dyDescent="0.2">
      <c r="B30" s="7" t="str">
        <f t="shared" si="0"/>
        <v>19</v>
      </c>
      <c r="C30" s="5">
        <v>1</v>
      </c>
      <c r="D30" s="5">
        <v>9</v>
      </c>
      <c r="E30" s="7">
        <f t="array" ref="E30">MIN(IF(($C30=xlRTTYENDU)*($D30=xlRTTYEQCL),xlRTEQTYPE))</f>
        <v>29</v>
      </c>
      <c r="F30" s="5">
        <v>2</v>
      </c>
      <c r="G30" s="5">
        <v>3</v>
      </c>
      <c r="H30" s="5">
        <v>6</v>
      </c>
      <c r="I30" s="5">
        <v>1</v>
      </c>
      <c r="J30" s="189">
        <v>0.63</v>
      </c>
      <c r="K30" s="176" t="s">
        <v>306</v>
      </c>
      <c r="L30" s="156">
        <v>20.23</v>
      </c>
      <c r="M30" s="156">
        <v>4.1100000000000003</v>
      </c>
      <c r="N30" s="156">
        <v>1</v>
      </c>
      <c r="O30" s="160">
        <v>12</v>
      </c>
      <c r="P30" s="160">
        <v>25</v>
      </c>
      <c r="Q30" s="5">
        <v>-1.08E-3</v>
      </c>
      <c r="R30" s="5">
        <v>0.3</v>
      </c>
      <c r="S30" s="5">
        <v>-1.72E-3</v>
      </c>
      <c r="T30" s="5">
        <v>-0.27</v>
      </c>
      <c r="U30" s="5" t="s">
        <v>176</v>
      </c>
    </row>
    <row r="31" spans="2:22" x14ac:dyDescent="0.2">
      <c r="B31" s="7" t="str">
        <f t="shared" si="0"/>
        <v>110</v>
      </c>
      <c r="C31" s="5">
        <v>1</v>
      </c>
      <c r="D31" s="5">
        <v>10</v>
      </c>
      <c r="E31" s="7">
        <f t="array" ref="E31">MIN(IF(($C31=xlRTTYENDU)*($D31=xlRTTYEQCL),xlRTEQTYPE))</f>
        <v>31</v>
      </c>
      <c r="F31" s="5">
        <v>2</v>
      </c>
      <c r="G31" s="5">
        <v>0</v>
      </c>
      <c r="H31" s="5">
        <v>4</v>
      </c>
      <c r="I31" s="5">
        <v>0</v>
      </c>
      <c r="J31" s="189">
        <v>3.1</v>
      </c>
      <c r="K31" s="176" t="s">
        <v>294</v>
      </c>
      <c r="L31" s="164">
        <v>17.04</v>
      </c>
      <c r="M31" s="164">
        <v>1.64</v>
      </c>
      <c r="N31" s="164">
        <v>1</v>
      </c>
      <c r="O31" s="160">
        <v>8</v>
      </c>
      <c r="P31" s="160">
        <v>20.8</v>
      </c>
      <c r="Q31" s="5">
        <v>-1.08E-3</v>
      </c>
      <c r="R31" s="5">
        <v>0</v>
      </c>
      <c r="S31" s="5">
        <v>-1.72E-3</v>
      </c>
      <c r="T31" s="5">
        <v>-0.1</v>
      </c>
      <c r="U31" s="5" t="s">
        <v>177</v>
      </c>
    </row>
    <row r="32" spans="2:22" x14ac:dyDescent="0.2">
      <c r="B32" s="59" t="str">
        <f t="shared" si="0"/>
        <v>111</v>
      </c>
      <c r="C32" s="18">
        <v>1</v>
      </c>
      <c r="D32" s="18">
        <v>11</v>
      </c>
      <c r="E32" s="59">
        <f t="array" ref="E32">MIN(IF(($C32=xlRTTYENDU)*($D32=xlRTTYEQCL),xlRTEQTYPE))</f>
        <v>35</v>
      </c>
      <c r="F32" s="18">
        <v>1</v>
      </c>
      <c r="G32" s="18">
        <v>0</v>
      </c>
      <c r="H32" s="18">
        <v>3</v>
      </c>
      <c r="I32" s="18">
        <v>1</v>
      </c>
      <c r="J32" s="190">
        <v>1.3</v>
      </c>
      <c r="K32" s="177" t="s">
        <v>294</v>
      </c>
      <c r="L32" s="185">
        <v>15.8</v>
      </c>
      <c r="M32" s="185">
        <v>7.21</v>
      </c>
      <c r="N32" s="185">
        <v>0.5</v>
      </c>
      <c r="O32" s="187">
        <v>12</v>
      </c>
      <c r="P32" s="187">
        <v>18</v>
      </c>
      <c r="Q32" s="18">
        <v>-1.08E-3</v>
      </c>
      <c r="R32" s="18">
        <v>0</v>
      </c>
      <c r="S32" s="18">
        <v>-1.72E-3</v>
      </c>
      <c r="T32" s="18">
        <v>-0.1</v>
      </c>
      <c r="U32" s="18" t="s">
        <v>178</v>
      </c>
    </row>
    <row r="33" spans="2:21" x14ac:dyDescent="0.2">
      <c r="B33" s="7" t="str">
        <f t="shared" si="0"/>
        <v>21</v>
      </c>
      <c r="C33" s="5">
        <v>2</v>
      </c>
      <c r="D33" s="5">
        <v>1</v>
      </c>
      <c r="E33" s="7">
        <f t="array" ref="E33">MIN(IF(($C33=xlRTTYENDU)*($D33=xlRTTYEQCL),xlRTEQTYPE))</f>
        <v>1</v>
      </c>
      <c r="F33" s="5">
        <v>0</v>
      </c>
      <c r="G33" s="5">
        <v>0</v>
      </c>
      <c r="H33" s="5">
        <v>4</v>
      </c>
      <c r="I33" s="5">
        <v>0</v>
      </c>
      <c r="J33" s="189">
        <v>3.1946072684642441</v>
      </c>
      <c r="K33" s="176" t="s">
        <v>294</v>
      </c>
      <c r="L33" s="156">
        <v>9.36</v>
      </c>
      <c r="M33" s="156">
        <v>2.4900000000000002</v>
      </c>
      <c r="N33" s="156">
        <v>1</v>
      </c>
      <c r="O33" s="160">
        <v>6</v>
      </c>
      <c r="P33" s="160">
        <v>13</v>
      </c>
      <c r="Q33" s="5">
        <v>0</v>
      </c>
      <c r="R33" s="5">
        <v>0.1</v>
      </c>
      <c r="S33" s="5">
        <v>-1.72E-3</v>
      </c>
      <c r="T33" s="5">
        <v>0</v>
      </c>
      <c r="U33" s="5" t="s">
        <v>179</v>
      </c>
    </row>
    <row r="34" spans="2:21" x14ac:dyDescent="0.2">
      <c r="B34" s="7" t="str">
        <f t="shared" si="0"/>
        <v>22</v>
      </c>
      <c r="C34" s="5">
        <v>2</v>
      </c>
      <c r="D34" s="5">
        <v>2</v>
      </c>
      <c r="E34" s="7">
        <f t="array" ref="E34">MIN(IF(($C34=xlRTTYENDU)*($D34=xlRTTYEQCL),xlRTEQTYPE))</f>
        <v>4</v>
      </c>
      <c r="F34" s="5">
        <v>0</v>
      </c>
      <c r="G34" s="5">
        <v>0</v>
      </c>
      <c r="H34" s="5">
        <v>4</v>
      </c>
      <c r="I34" s="5">
        <v>0</v>
      </c>
      <c r="J34" s="189">
        <v>3.6635404454865181</v>
      </c>
      <c r="K34" s="176" t="s">
        <v>294</v>
      </c>
      <c r="L34" s="156">
        <v>22.48</v>
      </c>
      <c r="M34" s="156">
        <v>2</v>
      </c>
      <c r="N34" s="156">
        <v>1</v>
      </c>
      <c r="O34" s="160">
        <v>11</v>
      </c>
      <c r="P34" s="160">
        <v>25</v>
      </c>
      <c r="Q34" s="5">
        <v>0</v>
      </c>
      <c r="R34" s="5">
        <v>0</v>
      </c>
      <c r="S34" s="5">
        <v>-1.72E-3</v>
      </c>
      <c r="T34" s="5">
        <v>0</v>
      </c>
      <c r="U34" s="5" t="s">
        <v>180</v>
      </c>
    </row>
    <row r="35" spans="2:21" x14ac:dyDescent="0.2">
      <c r="B35" s="7" t="str">
        <f t="shared" si="0"/>
        <v>23</v>
      </c>
      <c r="C35" s="5">
        <v>2</v>
      </c>
      <c r="D35" s="5">
        <v>3</v>
      </c>
      <c r="E35" s="7">
        <f t="array" ref="E35">MIN(IF(($C35=xlRTTYENDU)*($D35=xlRTTYEQCL),xlRTEQTYPE))</f>
        <v>8</v>
      </c>
      <c r="F35" s="5">
        <v>2</v>
      </c>
      <c r="G35" s="5">
        <v>0</v>
      </c>
      <c r="H35" s="5">
        <v>4</v>
      </c>
      <c r="I35" s="5">
        <v>0</v>
      </c>
      <c r="J35" s="189">
        <v>3.8393903868698711</v>
      </c>
      <c r="K35" s="176" t="s">
        <v>294</v>
      </c>
      <c r="L35" s="156">
        <v>15.88</v>
      </c>
      <c r="M35" s="156">
        <v>2</v>
      </c>
      <c r="N35" s="156">
        <v>1</v>
      </c>
      <c r="O35" s="160">
        <v>15.3</v>
      </c>
      <c r="P35" s="160">
        <v>15.3</v>
      </c>
      <c r="Q35" s="5">
        <v>0</v>
      </c>
      <c r="R35" s="5">
        <v>0</v>
      </c>
      <c r="S35" s="5">
        <v>0</v>
      </c>
      <c r="T35" s="5">
        <v>0</v>
      </c>
      <c r="U35" s="5" t="s">
        <v>169</v>
      </c>
    </row>
    <row r="36" spans="2:21" x14ac:dyDescent="0.2">
      <c r="B36" s="7" t="str">
        <f t="shared" si="0"/>
        <v>24</v>
      </c>
      <c r="C36" s="5">
        <v>2</v>
      </c>
      <c r="D36" s="5">
        <v>4</v>
      </c>
      <c r="E36" s="7">
        <f t="array" ref="E36">MIN(IF(($C36=xlRTTYENDU)*($D36=xlRTTYEQCL),xlRTEQTYPE))</f>
        <v>12</v>
      </c>
      <c r="F36" s="5">
        <v>10</v>
      </c>
      <c r="G36" s="5">
        <v>0</v>
      </c>
      <c r="H36" s="5">
        <v>4</v>
      </c>
      <c r="I36" s="5">
        <v>0</v>
      </c>
      <c r="J36" s="189">
        <v>13.3</v>
      </c>
      <c r="K36" s="176" t="s">
        <v>315</v>
      </c>
      <c r="L36" s="164">
        <v>17.04</v>
      </c>
      <c r="M36" s="164">
        <v>1.64</v>
      </c>
      <c r="N36" s="164">
        <v>1</v>
      </c>
      <c r="O36" s="160">
        <v>8</v>
      </c>
      <c r="P36" s="160">
        <v>20.8</v>
      </c>
      <c r="Q36" s="5">
        <v>0</v>
      </c>
      <c r="R36" s="5">
        <v>0</v>
      </c>
      <c r="S36" s="5">
        <v>0</v>
      </c>
      <c r="T36" s="5">
        <v>0</v>
      </c>
      <c r="U36" s="5" t="s">
        <v>177</v>
      </c>
    </row>
    <row r="37" spans="2:21" x14ac:dyDescent="0.2">
      <c r="B37" s="59" t="str">
        <f t="shared" si="0"/>
        <v>25</v>
      </c>
      <c r="C37" s="18">
        <v>2</v>
      </c>
      <c r="D37" s="18">
        <v>5</v>
      </c>
      <c r="E37" s="59">
        <f t="array" ref="E37">MIN(IF(($C37=xlRTTYENDU)*($D37=xlRTTYEQCL),xlRTEQTYPE))</f>
        <v>16</v>
      </c>
      <c r="F37" s="18">
        <v>11</v>
      </c>
      <c r="G37" s="18">
        <v>0</v>
      </c>
      <c r="H37" s="18">
        <v>3</v>
      </c>
      <c r="I37" s="18">
        <v>0</v>
      </c>
      <c r="J37" s="190">
        <v>0.6</v>
      </c>
      <c r="K37" s="177" t="s">
        <v>294</v>
      </c>
      <c r="L37" s="181">
        <v>15.8</v>
      </c>
      <c r="M37" s="181">
        <v>7.21</v>
      </c>
      <c r="N37" s="181">
        <v>0.5</v>
      </c>
      <c r="O37" s="187">
        <v>12</v>
      </c>
      <c r="P37" s="187">
        <v>18</v>
      </c>
      <c r="Q37" s="18">
        <v>0</v>
      </c>
      <c r="R37" s="18">
        <v>0</v>
      </c>
      <c r="S37" s="18">
        <v>0</v>
      </c>
      <c r="T37" s="18">
        <v>0</v>
      </c>
      <c r="U37" s="18" t="s">
        <v>178</v>
      </c>
    </row>
    <row r="38" spans="2:21" x14ac:dyDescent="0.2">
      <c r="B38" s="60" t="str">
        <f t="shared" si="0"/>
        <v>31</v>
      </c>
      <c r="C38" s="19">
        <v>3</v>
      </c>
      <c r="D38" s="19">
        <v>1</v>
      </c>
      <c r="E38" s="60">
        <f t="array" ref="E38">MIN(IF(($C38=xlRTTYENDU)*($D38=xlRTTYEQCL),xlRTEQTYPE))</f>
        <v>1</v>
      </c>
      <c r="F38" s="19">
        <v>0</v>
      </c>
      <c r="G38" s="19">
        <v>0</v>
      </c>
      <c r="H38" s="19">
        <v>4</v>
      </c>
      <c r="I38" s="19">
        <v>0</v>
      </c>
      <c r="J38" s="191">
        <v>0.25</v>
      </c>
      <c r="K38" s="179" t="s">
        <v>307</v>
      </c>
      <c r="L38" s="182">
        <v>13.91</v>
      </c>
      <c r="M38" s="182">
        <v>2.69</v>
      </c>
      <c r="N38" s="182">
        <v>1</v>
      </c>
      <c r="O38" s="188">
        <v>6</v>
      </c>
      <c r="P38" s="188">
        <v>17</v>
      </c>
      <c r="Q38" s="19">
        <v>0</v>
      </c>
      <c r="R38" s="19">
        <v>0</v>
      </c>
      <c r="S38" s="19">
        <v>-1.72E-3</v>
      </c>
      <c r="T38" s="19">
        <v>0</v>
      </c>
      <c r="U38" s="19" t="s">
        <v>181</v>
      </c>
    </row>
    <row r="39" spans="2:21" x14ac:dyDescent="0.2">
      <c r="B39" s="60" t="str">
        <f t="shared" si="0"/>
        <v>41</v>
      </c>
      <c r="C39" s="19">
        <v>4</v>
      </c>
      <c r="D39" s="19">
        <v>1</v>
      </c>
      <c r="E39" s="60">
        <f t="array" ref="E39">MIN(IF(($C39=xlRTTYENDU)*($D39=xlRTTYEQCL),xlRTEQTYPE))</f>
        <v>1</v>
      </c>
      <c r="F39" s="19">
        <v>0</v>
      </c>
      <c r="G39" s="19">
        <v>0</v>
      </c>
      <c r="H39" s="19">
        <v>4</v>
      </c>
      <c r="I39" s="19">
        <v>0</v>
      </c>
      <c r="J39" s="182">
        <v>0.72881355932203384</v>
      </c>
      <c r="K39" s="179" t="s">
        <v>308</v>
      </c>
      <c r="L39" s="186">
        <v>15.9</v>
      </c>
      <c r="M39" s="186">
        <v>1.8</v>
      </c>
      <c r="N39" s="186">
        <v>1</v>
      </c>
      <c r="O39" s="188">
        <v>14.5</v>
      </c>
      <c r="P39" s="188">
        <v>14.5</v>
      </c>
      <c r="Q39" s="19">
        <v>0</v>
      </c>
      <c r="R39" s="19">
        <v>0</v>
      </c>
      <c r="S39" s="19">
        <v>-1.72E-3</v>
      </c>
      <c r="T39" s="19">
        <v>0</v>
      </c>
      <c r="U39" s="19" t="s">
        <v>182</v>
      </c>
    </row>
    <row r="40" spans="2:21" x14ac:dyDescent="0.2">
      <c r="B40" s="7" t="str">
        <f t="shared" si="0"/>
        <v>51</v>
      </c>
      <c r="C40" s="5">
        <v>5</v>
      </c>
      <c r="D40" s="5">
        <v>1</v>
      </c>
      <c r="E40" s="7">
        <f t="array" ref="E40">MIN(IF(($C40=xlRTTYENDU)*($D40=xlRTTYEQCL),xlRTEQTYPE))</f>
        <v>1</v>
      </c>
      <c r="F40" s="5">
        <v>1</v>
      </c>
      <c r="G40" s="5">
        <v>3</v>
      </c>
      <c r="H40" s="5">
        <v>3</v>
      </c>
      <c r="I40" s="5">
        <v>0</v>
      </c>
      <c r="J40" s="189">
        <v>0.57636887608069165</v>
      </c>
      <c r="K40" s="176" t="s">
        <v>304</v>
      </c>
      <c r="L40" s="164">
        <v>15.1</v>
      </c>
      <c r="M40" s="164">
        <v>1.76</v>
      </c>
      <c r="N40" s="164">
        <v>1</v>
      </c>
      <c r="O40" s="160">
        <v>13</v>
      </c>
      <c r="P40" s="160">
        <v>13</v>
      </c>
      <c r="Q40" s="5">
        <v>0</v>
      </c>
      <c r="R40" s="5">
        <v>0.1</v>
      </c>
      <c r="S40" s="5">
        <v>-1.72E-3</v>
      </c>
      <c r="T40" s="5">
        <v>-0.05</v>
      </c>
      <c r="U40" s="5" t="s">
        <v>183</v>
      </c>
    </row>
    <row r="41" spans="2:21" x14ac:dyDescent="0.2">
      <c r="B41" s="7" t="str">
        <f t="shared" si="0"/>
        <v>52</v>
      </c>
      <c r="C41" s="5">
        <v>5</v>
      </c>
      <c r="D41" s="5">
        <v>2</v>
      </c>
      <c r="E41" s="7">
        <f t="array" ref="E41">MIN(IF(($C41=xlRTTYENDU)*($D41=xlRTTYEQCL),xlRTEQTYPE))</f>
        <v>4</v>
      </c>
      <c r="F41" s="5">
        <v>3</v>
      </c>
      <c r="G41" s="5">
        <v>0</v>
      </c>
      <c r="H41" s="5">
        <v>4</v>
      </c>
      <c r="I41" s="5">
        <v>0</v>
      </c>
      <c r="J41" s="189">
        <v>0.88148873653281112</v>
      </c>
      <c r="K41" s="176" t="s">
        <v>304</v>
      </c>
      <c r="L41" s="164">
        <v>15.7</v>
      </c>
      <c r="M41" s="164">
        <v>1.57</v>
      </c>
      <c r="N41" s="164">
        <v>1</v>
      </c>
      <c r="O41" s="160">
        <v>13</v>
      </c>
      <c r="P41" s="160">
        <v>13</v>
      </c>
      <c r="Q41" s="5">
        <v>0</v>
      </c>
      <c r="R41" s="5">
        <v>0.4</v>
      </c>
      <c r="S41" s="5">
        <v>-1.72E-3</v>
      </c>
      <c r="T41" s="5">
        <v>-0.05</v>
      </c>
      <c r="U41" s="5" t="s">
        <v>184</v>
      </c>
    </row>
    <row r="42" spans="2:21" x14ac:dyDescent="0.2">
      <c r="B42" s="7" t="str">
        <f t="shared" si="0"/>
        <v>53</v>
      </c>
      <c r="C42" s="5">
        <v>5</v>
      </c>
      <c r="D42" s="5">
        <v>3</v>
      </c>
      <c r="E42" s="7">
        <f t="array" ref="E42">MIN(IF(($C42=xlRTTYENDU)*($D42=xlRTTYEQCL),xlRTEQTYPE))</f>
        <v>9</v>
      </c>
      <c r="F42" s="5">
        <v>3</v>
      </c>
      <c r="G42" s="5">
        <v>0</v>
      </c>
      <c r="H42" s="5">
        <v>1</v>
      </c>
      <c r="I42" s="5">
        <v>0</v>
      </c>
      <c r="J42" s="189">
        <v>0.50916496945010181</v>
      </c>
      <c r="K42" s="176" t="s">
        <v>304</v>
      </c>
      <c r="L42" s="164">
        <v>16.2</v>
      </c>
      <c r="M42" s="164">
        <v>1.7</v>
      </c>
      <c r="N42" s="164">
        <v>1</v>
      </c>
      <c r="O42" s="160">
        <v>13</v>
      </c>
      <c r="P42" s="160">
        <v>13</v>
      </c>
      <c r="Q42" s="5">
        <v>0</v>
      </c>
      <c r="R42" s="5">
        <v>0.5</v>
      </c>
      <c r="S42" s="5">
        <v>-1.72E-3</v>
      </c>
      <c r="T42" s="5">
        <v>-0.17</v>
      </c>
      <c r="U42" s="5" t="s">
        <v>185</v>
      </c>
    </row>
    <row r="43" spans="2:21" x14ac:dyDescent="0.2">
      <c r="B43" s="7" t="str">
        <f t="shared" si="0"/>
        <v>54</v>
      </c>
      <c r="C43" s="5">
        <v>5</v>
      </c>
      <c r="D43" s="5">
        <v>4</v>
      </c>
      <c r="E43" s="7">
        <f t="array" ref="E43">MIN(IF(($C43=xlRTTYENDU)*($D43=xlRTTYEQCL),xlRTEQTYPE))</f>
        <v>12</v>
      </c>
      <c r="F43" s="5">
        <v>2</v>
      </c>
      <c r="G43" s="5">
        <v>0</v>
      </c>
      <c r="H43" s="5">
        <v>2</v>
      </c>
      <c r="I43" s="5">
        <v>0</v>
      </c>
      <c r="J43" s="189">
        <v>0.57636887608069165</v>
      </c>
      <c r="K43" s="176" t="s">
        <v>304</v>
      </c>
      <c r="L43" s="164">
        <v>15.1</v>
      </c>
      <c r="M43" s="164">
        <v>1.76</v>
      </c>
      <c r="N43" s="164">
        <v>1</v>
      </c>
      <c r="O43" s="160">
        <v>13</v>
      </c>
      <c r="P43" s="160">
        <v>13</v>
      </c>
      <c r="Q43" s="5">
        <v>0</v>
      </c>
      <c r="R43" s="5">
        <v>0.5</v>
      </c>
      <c r="S43" s="5">
        <v>-1.72E-3</v>
      </c>
      <c r="T43" s="5">
        <v>-0.27</v>
      </c>
      <c r="U43" s="5" t="s">
        <v>186</v>
      </c>
    </row>
    <row r="44" spans="2:21" x14ac:dyDescent="0.2">
      <c r="B44" s="59" t="str">
        <f t="shared" si="0"/>
        <v>55</v>
      </c>
      <c r="C44" s="18">
        <v>5</v>
      </c>
      <c r="D44" s="18">
        <v>5</v>
      </c>
      <c r="E44" s="59">
        <f t="array" ref="E44">MIN(IF(($C44=xlRTTYENDU)*($D44=xlRTTYEQCL),xlRTEQTYPE))</f>
        <v>15</v>
      </c>
      <c r="F44" s="18">
        <v>3</v>
      </c>
      <c r="G44" s="18">
        <v>0</v>
      </c>
      <c r="H44" s="18">
        <v>4</v>
      </c>
      <c r="I44" s="18">
        <v>0</v>
      </c>
      <c r="J44" s="190">
        <v>1</v>
      </c>
      <c r="K44" s="177" t="s">
        <v>305</v>
      </c>
      <c r="L44" s="181">
        <v>24.48</v>
      </c>
      <c r="M44" s="181">
        <v>4.3499999999999996</v>
      </c>
      <c r="N44" s="181">
        <v>1</v>
      </c>
      <c r="O44" s="187">
        <v>15</v>
      </c>
      <c r="P44" s="187">
        <v>30</v>
      </c>
      <c r="Q44" s="18">
        <v>0</v>
      </c>
      <c r="R44" s="18">
        <v>0</v>
      </c>
      <c r="S44" s="18">
        <v>-1.72E-3</v>
      </c>
      <c r="T44" s="18">
        <v>4.7</v>
      </c>
      <c r="U44" s="18" t="s">
        <v>187</v>
      </c>
    </row>
    <row r="45" spans="2:21" x14ac:dyDescent="0.2">
      <c r="B45" s="7" t="str">
        <f t="shared" si="0"/>
        <v>61</v>
      </c>
      <c r="C45" s="5">
        <v>6</v>
      </c>
      <c r="D45" s="5">
        <v>1</v>
      </c>
      <c r="E45" s="7">
        <f t="array" ref="E45">MIN(IF(($C45=xlRTTYENDU)*($D45=xlRTTYEQCL),xlRTEQTYPE))</f>
        <v>1</v>
      </c>
      <c r="F45" s="5">
        <v>0</v>
      </c>
      <c r="G45" s="5">
        <v>0</v>
      </c>
      <c r="H45" s="5">
        <v>3</v>
      </c>
      <c r="I45" s="5">
        <v>0</v>
      </c>
      <c r="J45" s="189">
        <v>0.4</v>
      </c>
      <c r="K45" s="176" t="s">
        <v>317</v>
      </c>
      <c r="L45" s="156">
        <v>14.56</v>
      </c>
      <c r="M45" s="156">
        <v>5.73</v>
      </c>
      <c r="N45" s="164">
        <v>1</v>
      </c>
      <c r="O45" s="160">
        <v>14.5</v>
      </c>
      <c r="P45" s="160">
        <v>14.5</v>
      </c>
      <c r="Q45" s="5">
        <v>0</v>
      </c>
      <c r="R45" s="5">
        <v>0</v>
      </c>
      <c r="S45" s="5">
        <v>-1.72E-3</v>
      </c>
      <c r="T45" s="5">
        <v>0</v>
      </c>
      <c r="U45" s="5" t="s">
        <v>188</v>
      </c>
    </row>
    <row r="46" spans="2:21" x14ac:dyDescent="0.2">
      <c r="B46" s="7" t="str">
        <f t="shared" si="0"/>
        <v>62</v>
      </c>
      <c r="C46" s="5">
        <v>6</v>
      </c>
      <c r="D46" s="5">
        <v>2</v>
      </c>
      <c r="E46" s="7">
        <f t="array" ref="E46">MIN(IF(($C46=xlRTTYENDU)*($D46=xlRTTYEQCL),xlRTEQTYPE))</f>
        <v>3</v>
      </c>
      <c r="F46" s="5">
        <v>0</v>
      </c>
      <c r="G46" s="5">
        <v>0</v>
      </c>
      <c r="H46" s="5">
        <v>2</v>
      </c>
      <c r="I46" s="5">
        <v>0</v>
      </c>
      <c r="J46" s="189">
        <v>0.4</v>
      </c>
      <c r="K46" s="176" t="s">
        <v>317</v>
      </c>
      <c r="L46" s="156">
        <v>14.56</v>
      </c>
      <c r="M46" s="156">
        <v>5.73</v>
      </c>
      <c r="N46" s="164">
        <v>1</v>
      </c>
      <c r="O46" s="160">
        <v>14.5</v>
      </c>
      <c r="P46" s="160">
        <v>14.5</v>
      </c>
      <c r="Q46" s="5">
        <v>0</v>
      </c>
      <c r="R46" s="5">
        <v>0.2</v>
      </c>
      <c r="S46" s="5">
        <v>-1.72E-3</v>
      </c>
      <c r="T46" s="5">
        <v>-7.0000000000000007E-2</v>
      </c>
      <c r="U46" s="5" t="s">
        <v>189</v>
      </c>
    </row>
    <row r="47" spans="2:21" x14ac:dyDescent="0.2">
      <c r="B47" s="59" t="str">
        <f t="shared" si="0"/>
        <v>63</v>
      </c>
      <c r="C47" s="18">
        <v>6</v>
      </c>
      <c r="D47" s="18">
        <v>3</v>
      </c>
      <c r="E47" s="59">
        <f t="array" ref="E47">MIN(IF(($C47=xlRTTYENDU)*($D47=xlRTTYEQCL),xlRTEQTYPE))</f>
        <v>5</v>
      </c>
      <c r="F47" s="18">
        <v>0</v>
      </c>
      <c r="G47" s="18">
        <v>0</v>
      </c>
      <c r="H47" s="18">
        <v>4</v>
      </c>
      <c r="I47" s="18">
        <v>0</v>
      </c>
      <c r="J47" s="183">
        <v>509.9</v>
      </c>
      <c r="K47" s="178" t="s">
        <v>303</v>
      </c>
      <c r="L47" s="181">
        <v>16.88</v>
      </c>
      <c r="M47" s="181">
        <v>6.99</v>
      </c>
      <c r="N47" s="185">
        <v>1</v>
      </c>
      <c r="O47" s="187">
        <v>16.8</v>
      </c>
      <c r="P47" s="187">
        <v>16.8</v>
      </c>
      <c r="Q47" s="18">
        <v>0</v>
      </c>
      <c r="R47" s="18">
        <v>0.2</v>
      </c>
      <c r="S47" s="18">
        <v>-1.72E-3</v>
      </c>
      <c r="T47" s="18">
        <v>-0.01</v>
      </c>
      <c r="U47" s="18" t="s">
        <v>190</v>
      </c>
    </row>
    <row r="48" spans="2:21" x14ac:dyDescent="0.2">
      <c r="B48" s="7" t="str">
        <f t="shared" si="0"/>
        <v>71</v>
      </c>
      <c r="C48" s="5">
        <v>7</v>
      </c>
      <c r="D48" s="5">
        <v>1</v>
      </c>
      <c r="E48" s="7">
        <f t="array" ref="E48">MIN(IF(($C48=xlRTTYENDU)*($D48=xlRTTYEQCL),xlRTEQTYPE))</f>
        <v>1</v>
      </c>
      <c r="F48" s="5">
        <v>0</v>
      </c>
      <c r="G48" s="5">
        <v>0</v>
      </c>
      <c r="H48" s="5">
        <v>3</v>
      </c>
      <c r="I48" s="5">
        <v>0</v>
      </c>
      <c r="J48" s="189">
        <v>3.18</v>
      </c>
      <c r="K48" s="176" t="s">
        <v>316</v>
      </c>
      <c r="L48" s="156">
        <v>15.03</v>
      </c>
      <c r="M48" s="156">
        <v>2.76</v>
      </c>
      <c r="N48" s="156">
        <v>1</v>
      </c>
      <c r="O48" s="160">
        <v>8</v>
      </c>
      <c r="P48" s="160">
        <v>18</v>
      </c>
      <c r="Q48" s="5">
        <v>0</v>
      </c>
      <c r="R48" s="5">
        <v>0</v>
      </c>
      <c r="S48" s="5">
        <v>-1.72E-3</v>
      </c>
      <c r="T48" s="5">
        <v>0</v>
      </c>
      <c r="U48" s="5" t="s">
        <v>191</v>
      </c>
    </row>
    <row r="49" spans="2:21" x14ac:dyDescent="0.2">
      <c r="B49" s="59" t="str">
        <f t="shared" si="0"/>
        <v>72</v>
      </c>
      <c r="C49" s="18">
        <v>7</v>
      </c>
      <c r="D49" s="18">
        <v>2</v>
      </c>
      <c r="E49" s="59">
        <f t="array" ref="E49">MIN(IF(($C49=xlRTTYENDU)*($D49=xlRTTYEQCL),xlRTEQTYPE))</f>
        <v>4</v>
      </c>
      <c r="F49" s="18">
        <v>0</v>
      </c>
      <c r="G49" s="18">
        <v>0</v>
      </c>
      <c r="H49" s="18">
        <v>4</v>
      </c>
      <c r="I49" s="18">
        <v>0</v>
      </c>
      <c r="J49" s="190">
        <v>3.59</v>
      </c>
      <c r="K49" s="177" t="s">
        <v>316</v>
      </c>
      <c r="L49" s="181">
        <v>15.03</v>
      </c>
      <c r="M49" s="181">
        <v>2.76</v>
      </c>
      <c r="N49" s="181">
        <v>1</v>
      </c>
      <c r="O49" s="187">
        <v>8</v>
      </c>
      <c r="P49" s="187">
        <v>18</v>
      </c>
      <c r="Q49" s="18">
        <v>0</v>
      </c>
      <c r="R49" s="18">
        <v>0.2</v>
      </c>
      <c r="S49" s="18">
        <v>-1.72E-3</v>
      </c>
      <c r="T49" s="18">
        <v>-0.02</v>
      </c>
      <c r="U49" s="18" t="s">
        <v>192</v>
      </c>
    </row>
    <row r="50" spans="2:21" x14ac:dyDescent="0.2">
      <c r="B50" s="60" t="str">
        <f t="shared" si="0"/>
        <v>81</v>
      </c>
      <c r="C50" s="19">
        <v>8</v>
      </c>
      <c r="D50" s="19">
        <v>1</v>
      </c>
      <c r="E50" s="60">
        <f t="array" ref="E50">MIN(IF(($C50=xlRTTYENDU)*($D50=xlRTTYEQCL),xlRTEQTYPE))</f>
        <v>1</v>
      </c>
      <c r="F50" s="19">
        <v>0</v>
      </c>
      <c r="G50" s="19">
        <v>0</v>
      </c>
      <c r="H50" s="19">
        <v>4</v>
      </c>
      <c r="I50" s="19">
        <v>0</v>
      </c>
      <c r="J50" s="184">
        <v>640.03363394819735</v>
      </c>
      <c r="K50" s="180" t="s">
        <v>303</v>
      </c>
      <c r="L50" s="182">
        <v>10.26</v>
      </c>
      <c r="M50" s="182">
        <v>1.28</v>
      </c>
      <c r="N50" s="186">
        <v>5.13</v>
      </c>
      <c r="O50" s="188">
        <v>15</v>
      </c>
      <c r="P50" s="188">
        <v>15</v>
      </c>
      <c r="Q50" s="19">
        <v>0</v>
      </c>
      <c r="R50" s="19">
        <v>0</v>
      </c>
      <c r="S50" s="19">
        <v>-1.72E-3</v>
      </c>
      <c r="T50" s="19">
        <v>0</v>
      </c>
      <c r="U50" s="19" t="s">
        <v>193</v>
      </c>
    </row>
    <row r="51" spans="2:21" x14ac:dyDescent="0.2">
      <c r="B51" s="7" t="str">
        <f t="shared" si="0"/>
        <v>91</v>
      </c>
      <c r="C51" s="5">
        <v>9</v>
      </c>
      <c r="D51" s="5">
        <v>1</v>
      </c>
      <c r="E51" s="7">
        <f t="array" ref="E51">MIN(IF(($C51=xlRTTYENDU)*($D51=xlRTTYEQCL),xlRTEQTYPE))</f>
        <v>1</v>
      </c>
      <c r="F51" s="5">
        <v>0</v>
      </c>
      <c r="G51" s="5">
        <v>0</v>
      </c>
      <c r="H51" s="5">
        <v>4</v>
      </c>
      <c r="I51" s="5">
        <v>0</v>
      </c>
      <c r="J51" s="26">
        <v>483.36048232739324</v>
      </c>
      <c r="K51" s="143" t="s">
        <v>303</v>
      </c>
      <c r="L51" s="156">
        <v>21.96</v>
      </c>
      <c r="M51" s="156">
        <v>1.83</v>
      </c>
      <c r="N51" s="164">
        <v>1</v>
      </c>
      <c r="O51" s="160">
        <v>21</v>
      </c>
      <c r="P51" s="160">
        <v>21</v>
      </c>
      <c r="Q51" s="5">
        <v>0</v>
      </c>
      <c r="R51" s="5">
        <v>0</v>
      </c>
      <c r="S51" s="5">
        <v>-1.72E-3</v>
      </c>
      <c r="T51" s="5">
        <v>0</v>
      </c>
      <c r="U51" s="5" t="s">
        <v>194</v>
      </c>
    </row>
    <row r="52" spans="2:21" ht="15" x14ac:dyDescent="0.25">
      <c r="B52" s="11" t="s">
        <v>460</v>
      </c>
      <c r="C52" s="10"/>
      <c r="D52" s="10"/>
      <c r="E52" s="10"/>
      <c r="F52" s="10"/>
      <c r="G52" s="10"/>
      <c r="H52" s="10"/>
      <c r="I52" s="10"/>
      <c r="J52" s="10"/>
      <c r="K52" s="10"/>
      <c r="L52" s="10"/>
      <c r="M52" s="10"/>
      <c r="N52" s="10"/>
      <c r="O52" s="10"/>
      <c r="P52" s="10"/>
      <c r="Q52" s="10"/>
      <c r="R52" s="10"/>
      <c r="S52" s="10"/>
      <c r="T52" s="10"/>
      <c r="U52" s="10"/>
    </row>
    <row r="54" spans="2:21" x14ac:dyDescent="0.2">
      <c r="B54" s="8" t="s">
        <v>471</v>
      </c>
    </row>
    <row r="55" spans="2:21" ht="15" x14ac:dyDescent="0.25">
      <c r="B55" s="87">
        <v>1</v>
      </c>
      <c r="C55" s="87">
        <v>2</v>
      </c>
      <c r="D55" s="87">
        <v>3</v>
      </c>
      <c r="E55" s="87">
        <v>4</v>
      </c>
      <c r="F55" s="87">
        <v>5</v>
      </c>
      <c r="G55" s="87">
        <v>6</v>
      </c>
      <c r="H55" s="87">
        <v>7</v>
      </c>
      <c r="I55" s="87">
        <v>8</v>
      </c>
      <c r="J55" s="87">
        <v>9</v>
      </c>
    </row>
    <row r="56" spans="2:21" ht="15" x14ac:dyDescent="0.25">
      <c r="B56" s="15" t="s">
        <v>422</v>
      </c>
      <c r="C56" s="15" t="s">
        <v>423</v>
      </c>
      <c r="D56" s="15" t="s">
        <v>425</v>
      </c>
      <c r="E56" s="15" t="s">
        <v>424</v>
      </c>
      <c r="F56" s="15" t="s">
        <v>428</v>
      </c>
      <c r="G56" s="15" t="s">
        <v>429</v>
      </c>
      <c r="H56" s="15" t="s">
        <v>430</v>
      </c>
      <c r="I56" s="15" t="s">
        <v>431</v>
      </c>
      <c r="J56" s="15" t="s">
        <v>432</v>
      </c>
    </row>
    <row r="57" spans="2:21" ht="15" x14ac:dyDescent="0.25">
      <c r="B57" s="12" t="s">
        <v>433</v>
      </c>
      <c r="C57" s="12" t="s">
        <v>434</v>
      </c>
      <c r="D57" s="12" t="s">
        <v>435</v>
      </c>
      <c r="E57" s="12" t="s">
        <v>436</v>
      </c>
      <c r="F57" s="12" t="s">
        <v>437</v>
      </c>
      <c r="G57" s="12" t="s">
        <v>438</v>
      </c>
      <c r="H57" s="12" t="s">
        <v>439</v>
      </c>
      <c r="I57" s="12" t="s">
        <v>440</v>
      </c>
      <c r="J57" s="12" t="s">
        <v>441</v>
      </c>
    </row>
    <row r="58" spans="2:21" x14ac:dyDescent="0.2">
      <c r="B58" s="85" cm="1">
        <f t="array" ref="B58">MAX(IF((xlRTCLENDU=B$55),xlRTCLEQCL,0))</f>
        <v>11</v>
      </c>
      <c r="C58" s="86" cm="1">
        <f t="array" ref="C58">MAX(IF((xlRTCLENDU=C$55),xlRTCLEQCL,0))</f>
        <v>5</v>
      </c>
      <c r="D58" s="86" cm="1">
        <f t="array" ref="D58">MAX(IF((xlRTCLENDU=D$55),xlRTCLEQCL,0))</f>
        <v>1</v>
      </c>
      <c r="E58" s="86" cm="1">
        <f t="array" ref="E58">MAX(IF((xlRTCLENDU=E$55),xlRTCLEQCL,0))</f>
        <v>1</v>
      </c>
      <c r="F58" s="86" cm="1">
        <f t="array" ref="F58">MAX(IF((xlRTCLENDU=F$55),xlRTCLEQCL,0))</f>
        <v>5</v>
      </c>
      <c r="G58" s="86" cm="1">
        <f t="array" ref="G58">MAX(IF((xlRTCLENDU=G$55),xlRTCLEQCL,0))</f>
        <v>3</v>
      </c>
      <c r="H58" s="86" cm="1">
        <f t="array" ref="H58">MAX(IF((xlRTCLENDU=H$55),xlRTCLEQCL,0))</f>
        <v>2</v>
      </c>
      <c r="I58" s="86" cm="1">
        <f t="array" ref="I58">MAX(IF((xlRTCLENDU=I$55),xlRTCLEQCL,0))</f>
        <v>1</v>
      </c>
      <c r="J58" s="86" cm="1">
        <f t="array" ref="J58">MAX(IF((xlRTCLENDU=J$55),xlRTCLEQCL,0))</f>
        <v>1</v>
      </c>
    </row>
  </sheetData>
  <mergeCells count="1">
    <mergeCell ref="L19:P19"/>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79998168889431442"/>
  </sheetPr>
  <dimension ref="B2:AE896"/>
  <sheetViews>
    <sheetView tabSelected="1" topLeftCell="A6" zoomScale="55" zoomScaleNormal="55" workbookViewId="0">
      <selection activeCell="A25" sqref="A25"/>
    </sheetView>
  </sheetViews>
  <sheetFormatPr defaultRowHeight="14.25" x14ac:dyDescent="0.2"/>
  <cols>
    <col min="3" max="3" width="26.125" customWidth="1"/>
    <col min="4" max="4" width="17.875" customWidth="1"/>
    <col min="5" max="5" width="15.5" customWidth="1"/>
    <col min="6" max="6" width="12.5" bestFit="1" customWidth="1"/>
    <col min="7" max="7" width="14" bestFit="1" customWidth="1"/>
    <col min="8" max="8" width="13.375" bestFit="1" customWidth="1"/>
    <col min="9" max="9" width="15.125" bestFit="1" customWidth="1"/>
    <col min="10" max="10" width="14" bestFit="1" customWidth="1"/>
    <col min="11" max="11" width="13.75" customWidth="1"/>
    <col min="12" max="12" width="15" customWidth="1"/>
    <col min="13" max="13" width="12.5" customWidth="1"/>
    <col min="14" max="14" width="14.75" bestFit="1" customWidth="1"/>
    <col min="15" max="15" width="14.875" customWidth="1"/>
    <col min="16" max="16" width="14.75" bestFit="1" customWidth="1"/>
    <col min="17" max="17" width="14.875" customWidth="1"/>
    <col min="18" max="18" width="14.75" bestFit="1" customWidth="1"/>
    <col min="19" max="19" width="15.625" bestFit="1" customWidth="1"/>
    <col min="20" max="20" width="16.375" customWidth="1"/>
    <col min="21" max="21" width="17.125" bestFit="1" customWidth="1"/>
    <col min="22" max="22" width="14.375" bestFit="1" customWidth="1"/>
    <col min="23" max="23" width="14" bestFit="1" customWidth="1"/>
    <col min="24" max="25" width="14.375" bestFit="1" customWidth="1"/>
    <col min="26" max="26" width="13.5" bestFit="1" customWidth="1"/>
    <col min="27" max="28" width="13.875" bestFit="1" customWidth="1"/>
    <col min="29" max="29" width="13.375" bestFit="1" customWidth="1"/>
    <col min="30" max="30" width="16.5" bestFit="1" customWidth="1"/>
    <col min="31" max="31" width="13.25" customWidth="1"/>
  </cols>
  <sheetData>
    <row r="2" spans="3:12" ht="15" x14ac:dyDescent="0.25">
      <c r="C2" s="6" t="s">
        <v>74</v>
      </c>
      <c r="D2" t="s">
        <v>21</v>
      </c>
      <c r="L2" s="42" t="s">
        <v>241</v>
      </c>
    </row>
    <row r="3" spans="3:12" ht="15" x14ac:dyDescent="0.25">
      <c r="C3" s="6" t="s">
        <v>75</v>
      </c>
      <c r="D3" s="20">
        <v>45597</v>
      </c>
      <c r="L3" s="43" t="s">
        <v>450</v>
      </c>
    </row>
    <row r="4" spans="3:12" ht="15" x14ac:dyDescent="0.25">
      <c r="C4" s="6" t="s">
        <v>78</v>
      </c>
      <c r="D4" t="s">
        <v>91</v>
      </c>
      <c r="L4" s="44" t="s">
        <v>243</v>
      </c>
    </row>
    <row r="5" spans="3:12" ht="15" x14ac:dyDescent="0.25">
      <c r="C5" s="6" t="s">
        <v>80</v>
      </c>
      <c r="D5" t="s">
        <v>451</v>
      </c>
    </row>
    <row r="6" spans="3:12" ht="15" x14ac:dyDescent="0.25">
      <c r="C6" s="6" t="s">
        <v>81</v>
      </c>
      <c r="D6" t="s">
        <v>230</v>
      </c>
    </row>
    <row r="7" spans="3:12" ht="15" x14ac:dyDescent="0.25">
      <c r="C7" s="6" t="s">
        <v>82</v>
      </c>
      <c r="D7" t="s">
        <v>90</v>
      </c>
      <c r="L7" s="44"/>
    </row>
    <row r="8" spans="3:12" x14ac:dyDescent="0.2">
      <c r="D8" t="s">
        <v>225</v>
      </c>
    </row>
    <row r="9" spans="3:12" x14ac:dyDescent="0.2">
      <c r="D9" t="s">
        <v>452</v>
      </c>
    </row>
    <row r="10" spans="3:12" x14ac:dyDescent="0.2">
      <c r="D10" t="s">
        <v>463</v>
      </c>
    </row>
    <row r="11" spans="3:12" x14ac:dyDescent="0.2">
      <c r="D11" t="s">
        <v>464</v>
      </c>
    </row>
    <row r="12" spans="3:12" ht="15" x14ac:dyDescent="0.25">
      <c r="C12" s="6" t="s">
        <v>89</v>
      </c>
      <c r="D12" t="s">
        <v>224</v>
      </c>
    </row>
    <row r="13" spans="3:12" ht="15" x14ac:dyDescent="0.25">
      <c r="C13" s="6" t="s">
        <v>87</v>
      </c>
      <c r="D13" t="s">
        <v>465</v>
      </c>
    </row>
    <row r="14" spans="3:12" ht="15" x14ac:dyDescent="0.25">
      <c r="C14" s="6" t="s">
        <v>88</v>
      </c>
      <c r="D14" t="s">
        <v>482</v>
      </c>
    </row>
    <row r="17" spans="2:31" ht="15" x14ac:dyDescent="0.25">
      <c r="C17" s="35">
        <f>COUNTA(xlRTTYENDU)</f>
        <v>865</v>
      </c>
      <c r="D17" s="6" t="s">
        <v>95</v>
      </c>
    </row>
    <row r="18" spans="2:31" ht="15" x14ac:dyDescent="0.25">
      <c r="C18" s="26">
        <v>2022</v>
      </c>
      <c r="D18" s="6" t="s">
        <v>55</v>
      </c>
    </row>
    <row r="19" spans="2:31" ht="15" x14ac:dyDescent="0.25">
      <c r="C19" s="7">
        <f>EqpRecords+COUNTIF(xlRTCENDIV,11)*8</f>
        <v>2097</v>
      </c>
      <c r="D19" s="6" t="s">
        <v>413</v>
      </c>
    </row>
    <row r="21" spans="2:31" ht="15" x14ac:dyDescent="0.25">
      <c r="V21" s="243" t="s">
        <v>0</v>
      </c>
      <c r="W21" s="243"/>
      <c r="X21" s="243"/>
      <c r="Y21" s="243"/>
      <c r="Z21" s="243" t="s">
        <v>1</v>
      </c>
      <c r="AA21" s="243"/>
      <c r="AB21" s="243"/>
      <c r="AC21" s="243"/>
    </row>
    <row r="22" spans="2:31" ht="75" x14ac:dyDescent="0.25">
      <c r="C22" s="13" t="s">
        <v>2</v>
      </c>
      <c r="D22" s="13" t="s">
        <v>53</v>
      </c>
      <c r="E22" s="13" t="s">
        <v>52</v>
      </c>
      <c r="F22" s="13" t="s">
        <v>3</v>
      </c>
      <c r="G22" s="13" t="s">
        <v>4</v>
      </c>
      <c r="H22" s="13" t="s">
        <v>51</v>
      </c>
      <c r="I22" s="13" t="s">
        <v>54</v>
      </c>
      <c r="J22" s="13" t="s">
        <v>42</v>
      </c>
      <c r="K22" s="13" t="s">
        <v>461</v>
      </c>
      <c r="L22" s="13" t="s">
        <v>43</v>
      </c>
      <c r="M22" s="13" t="s">
        <v>5</v>
      </c>
      <c r="N22" s="13" t="s">
        <v>45</v>
      </c>
      <c r="O22" s="13" t="s">
        <v>44</v>
      </c>
      <c r="P22" s="13" t="s">
        <v>46</v>
      </c>
      <c r="Q22" s="13" t="s">
        <v>47</v>
      </c>
      <c r="R22" s="13" t="s">
        <v>48</v>
      </c>
      <c r="S22" s="13" t="s">
        <v>497</v>
      </c>
      <c r="T22" s="224" t="s">
        <v>49</v>
      </c>
      <c r="U22" s="224" t="s">
        <v>50</v>
      </c>
      <c r="V22" s="13" t="s">
        <v>6</v>
      </c>
      <c r="W22" s="13" t="s">
        <v>7</v>
      </c>
      <c r="X22" s="13" t="s">
        <v>8</v>
      </c>
      <c r="Y22" s="13" t="s">
        <v>9</v>
      </c>
      <c r="Z22" s="13" t="s">
        <v>10</v>
      </c>
      <c r="AA22" s="13" t="s">
        <v>11</v>
      </c>
      <c r="AB22" s="13" t="s">
        <v>12</v>
      </c>
      <c r="AC22" s="13" t="s">
        <v>13</v>
      </c>
      <c r="AD22" s="13" t="s">
        <v>14</v>
      </c>
    </row>
    <row r="23" spans="2:31" ht="15" x14ac:dyDescent="0.25">
      <c r="C23" s="23" t="s">
        <v>101</v>
      </c>
      <c r="D23" s="23" t="s">
        <v>149</v>
      </c>
      <c r="E23" s="23"/>
      <c r="F23" s="23"/>
      <c r="G23" s="23"/>
      <c r="H23" s="23"/>
      <c r="I23" s="23"/>
      <c r="J23" s="23"/>
      <c r="K23" s="23"/>
      <c r="L23" s="23"/>
      <c r="M23" s="23"/>
      <c r="N23" s="23"/>
      <c r="O23" s="23"/>
      <c r="P23" s="23"/>
      <c r="Q23" s="23"/>
      <c r="R23" s="23"/>
      <c r="S23" s="23"/>
      <c r="T23" s="225"/>
      <c r="U23" s="225"/>
      <c r="V23" s="23"/>
      <c r="W23" s="23"/>
      <c r="X23" s="23"/>
      <c r="Y23" s="23"/>
      <c r="Z23" s="23"/>
      <c r="AA23" s="23"/>
      <c r="AB23" s="23"/>
      <c r="AC23" s="23"/>
      <c r="AD23" s="23"/>
      <c r="AE23" s="8" t="s">
        <v>39</v>
      </c>
    </row>
    <row r="24" spans="2:31" ht="15" x14ac:dyDescent="0.25">
      <c r="B24" s="98" t="s">
        <v>223</v>
      </c>
      <c r="C24" s="15" t="s">
        <v>102</v>
      </c>
      <c r="D24" s="15" t="s">
        <v>123</v>
      </c>
      <c r="E24" s="15" t="s">
        <v>103</v>
      </c>
      <c r="F24" s="15" t="s">
        <v>124</v>
      </c>
      <c r="G24" s="15" t="s">
        <v>125</v>
      </c>
      <c r="H24" s="15" t="s">
        <v>126</v>
      </c>
      <c r="I24" s="15" t="s">
        <v>127</v>
      </c>
      <c r="J24" s="15" t="s">
        <v>128</v>
      </c>
      <c r="K24" s="15" t="s">
        <v>129</v>
      </c>
      <c r="L24" s="15" t="s">
        <v>130</v>
      </c>
      <c r="M24" s="15" t="s">
        <v>131</v>
      </c>
      <c r="N24" s="15" t="s">
        <v>132</v>
      </c>
      <c r="O24" s="15" t="s">
        <v>133</v>
      </c>
      <c r="P24" s="15" t="s">
        <v>134</v>
      </c>
      <c r="Q24" s="15" t="s">
        <v>135</v>
      </c>
      <c r="R24" s="15" t="s">
        <v>136</v>
      </c>
      <c r="S24" s="15" t="s">
        <v>137</v>
      </c>
      <c r="T24" s="226" t="s">
        <v>138</v>
      </c>
      <c r="U24" s="226" t="s">
        <v>139</v>
      </c>
      <c r="V24" s="15" t="s">
        <v>140</v>
      </c>
      <c r="W24" s="15" t="s">
        <v>141</v>
      </c>
      <c r="X24" s="15" t="s">
        <v>142</v>
      </c>
      <c r="Y24" s="15" t="s">
        <v>143</v>
      </c>
      <c r="Z24" s="15" t="s">
        <v>144</v>
      </c>
      <c r="AA24" s="15" t="s">
        <v>145</v>
      </c>
      <c r="AB24" s="15" t="s">
        <v>146</v>
      </c>
      <c r="AC24" s="15" t="s">
        <v>147</v>
      </c>
      <c r="AD24" s="15" t="s">
        <v>148</v>
      </c>
      <c r="AE24" s="8" t="s">
        <v>40</v>
      </c>
    </row>
    <row r="25" spans="2:31" x14ac:dyDescent="0.2">
      <c r="B25" s="158">
        <v>1</v>
      </c>
      <c r="C25" s="28">
        <v>1</v>
      </c>
      <c r="D25" s="28">
        <v>1</v>
      </c>
      <c r="E25" s="28">
        <v>1</v>
      </c>
      <c r="F25" s="96">
        <v>2020</v>
      </c>
      <c r="G25" s="28">
        <v>2050</v>
      </c>
      <c r="H25" s="28">
        <v>11</v>
      </c>
      <c r="I25" s="28">
        <v>1</v>
      </c>
      <c r="J25" s="28">
        <v>0</v>
      </c>
      <c r="K25" s="28">
        <v>0</v>
      </c>
      <c r="L25" s="28">
        <v>0</v>
      </c>
      <c r="M25" s="156">
        <v>1</v>
      </c>
      <c r="N25" s="151">
        <v>1480</v>
      </c>
      <c r="O25" s="151">
        <v>950</v>
      </c>
      <c r="P25" s="95">
        <f t="array" ref="P25">ROUND(IF($F25&lt;='TaxCred&amp;Subs'!$C$49,(IF($C25=2,IF($M25&gt;=IFERROR(INDEX('TaxCred&amp;Subs'!$L$12:$L$47,MATCH(1,($C25&amp;$D25='TaxCred&amp;Subs'!$E$12:$E$47)*($F25='TaxCred&amp;Subs'!$C$12:$C$47),0)
),9999),IFERROR(INDEX('TaxCred&amp;Subs'!$N$12:$N$47,MATCH(1,($C25&amp;$D25='TaxCred&amp;Subs'!$E$12:$E$47)*($F25='TaxCred&amp;Subs'!$C$12:$C$47),0)
),0),0),(IF($M25&gt;=IFERROR(INDEX('TaxCred&amp;Subs'!$H$12:$H$47,MATCH(1,($C25&amp;$D25='TaxCred&amp;Subs'!$D$12:$D$47)*($F25='TaxCred&amp;Subs'!$C$12:$C$47),0)
),9999),IFERROR(INDEX('TaxCred&amp;Subs'!$N$12:$N$47,MATCH(1,($C25&amp;$D25='TaxCred&amp;Subs'!$D$12:$D$47)*($F25='TaxCred&amp;Subs'!$C$12:$C$47),0)
),0),0)))),0)+IF(AND($C25=2,VALUE(RIGHT($AD25,1))&gt;2),(N25-R25)*(IFERROR(INDEX('TaxCred&amp;Subs'!$J$66:$J$99,MATCH(1,($C25&amp;$D25='TaxCred&amp;Subs'!$E$66:$E$99)*($F25='TaxCred&amp;Subs'!$C$66:$C$99),0)),0)),IF(AND($C25=1,VALUE(RIGHT($AD25,1))&gt;2),(N25-R25)*(IFERROR(INDEX('TaxCred&amp;Subs'!$J$66:$J$99,MATCH(1,($C25&amp;$D25='TaxCred&amp;Subs'!$D$66:$D$99)*($F25='TaxCred&amp;Subs'!$C$66:$C$99),0)),0)),IF($C25&gt;2,(N25-R25)*(IFERROR(INDEX('TaxCred&amp;Subs'!$J$66:$J$99,MATCH(1,($C25&amp;$D25='TaxCred&amp;Subs'!$D$66:$D$99)*($F25='TaxCred&amp;Subs'!$C$66:$C$99),0)),0)),0))),0)</f>
        <v>0</v>
      </c>
      <c r="Q25" s="95">
        <f t="array" ref="Q25">ROUND(IF(AND($C25=2,VALUE(RIGHT($AD25,1))&gt;2),(O25-S25)*(IFERROR(INDEX('TaxCred&amp;Subs'!$J$66:$J$99,MATCH(1,($C25&amp;$D25='TaxCred&amp;Subs'!$E$66:$E$99)*($F25='TaxCred&amp;Subs'!$C$66:$C$99),0)),0)),IF(AND($C25=1,VALUE(RIGHT($AD25,1))&gt;2),(O25-S25)*(IFERROR(INDEX('TaxCred&amp;Subs'!$J$66:$J$99,MATCH(1,($C25&amp;$D25='TaxCred&amp;Subs'!$D$66:$D$99)*($F25='TaxCred&amp;Subs'!$C$66:$C$99),0)),0)),IF($C25&gt;2,(O25-S25)*(IFERROR(INDEX('TaxCred&amp;Subs'!$J$66:$J$99,MATCH(1,($C25&amp;$D25='TaxCred&amp;Subs'!$D$66:$D$99)*($F25='TaxCred&amp;Subs'!$C$66:$C$99),0)),0)),0))),0)</f>
        <v>0</v>
      </c>
      <c r="R25" s="95">
        <f t="array" ref="R25">ROUND(IF(IFERROR(VALUE(RIGHT($AD25,1)),0)&gt;2,IF($C25=8,N25*IFERROR(INDEX('TaxCred&amp;Subs'!$K$139:$S$151,MATCH($C25&amp;$D25&amp;LEFT($AD25,7),'TaxCred&amp;Subs'!$E$139:$E$151,0),MATCH($H25,'TaxCred&amp;Subs'!$K$137:$S$137,0)),0),IF($C25=2,N25*IFERROR(INDEX('TaxCred&amp;Subs'!$K$139:$S$151,MATCH($C25&amp;$D25,'TaxCred&amp;Subs'!$D$139:$D$151,0),MATCH($H25,'TaxCred&amp;Subs'!$K$137:$S$137,0)),0),N25*IFERROR(INDEX('TaxCred&amp;Subs'!$K$139:$S$151,MATCH($C25&amp;$D25,'TaxCred&amp;Subs'!$C$139:$C$151,0),MATCH($H25,'TaxCred&amp;Subs'!$K$137:$S$137,0)),0))),0),0)</f>
        <v>0</v>
      </c>
      <c r="S25" s="95">
        <f t="array" ref="S25">ROUND(IF(IFERROR(VALUE(RIGHT($AD25,1)),0)&gt;2,IF($C25=8,O25*IFERROR(INDEX('TaxCred&amp;Subs'!$K$139:$S$151,MATCH($C25&amp;$D25&amp;LEFT($AD25,7),'TaxCred&amp;Subs'!$E$139:$E$151,0),MATCH($H25,'TaxCred&amp;Subs'!$K$137:$S$137,0)),0),IF($C25=2,O25*IFERROR(INDEX('TaxCred&amp;Subs'!$K$139:$S$151,MATCH($C25&amp;$D25,'TaxCred&amp;Subs'!$D$139:$D$151,0),MATCH($H25,'TaxCred&amp;Subs'!$K$137:$S$137,0)),0),O25*IFERROR(INDEX('TaxCred&amp;Subs'!$K$139:$S$151,MATCH($C25&amp;$D25,'TaxCred&amp;Subs'!$C$139:$C$151,0),MATCH($H25,'TaxCred&amp;Subs'!$K$137:$S$137,0)),0))),0),0)</f>
        <v>0</v>
      </c>
      <c r="T25" s="95">
        <f>IF($H25=9,IF(R25&gt;0,(N25-P25)*0.15,0),0)</f>
        <v>0</v>
      </c>
      <c r="U25" s="95">
        <f>IF($H25=9,IF(S25&gt;0,(O25-Q25)*0.15,0),0)</f>
        <v>0</v>
      </c>
      <c r="V25" s="28" t="s">
        <v>222</v>
      </c>
      <c r="W25" s="31">
        <v>2020</v>
      </c>
      <c r="X25" s="28">
        <v>1</v>
      </c>
      <c r="Y25" s="28">
        <v>0</v>
      </c>
      <c r="Z25" s="196">
        <v>-5.3537830208991296E-3</v>
      </c>
      <c r="AA25" s="196">
        <v>-8.2365892629217383E-2</v>
      </c>
      <c r="AB25" s="28">
        <v>0</v>
      </c>
      <c r="AC25" s="28">
        <v>0</v>
      </c>
      <c r="AD25" s="28" t="s">
        <v>335</v>
      </c>
    </row>
    <row r="26" spans="2:31" x14ac:dyDescent="0.2">
      <c r="B26" s="7">
        <f>B25+1</f>
        <v>2</v>
      </c>
      <c r="C26" s="28">
        <v>1</v>
      </c>
      <c r="D26" s="28">
        <v>2</v>
      </c>
      <c r="E26" s="28">
        <v>2</v>
      </c>
      <c r="F26" s="96">
        <v>2020</v>
      </c>
      <c r="G26" s="28">
        <v>2022</v>
      </c>
      <c r="H26" s="28">
        <v>11</v>
      </c>
      <c r="I26" s="28">
        <v>2</v>
      </c>
      <c r="J26" s="28">
        <v>0</v>
      </c>
      <c r="K26" s="28">
        <v>0</v>
      </c>
      <c r="L26" s="28">
        <v>0</v>
      </c>
      <c r="M26" s="75">
        <v>2.4032825322391558</v>
      </c>
      <c r="N26" s="151">
        <v>3365</v>
      </c>
      <c r="O26" s="151">
        <v>3970</v>
      </c>
      <c r="P26" s="95">
        <f t="array" ref="P26">ROUND(IF($F26&lt;='TaxCred&amp;Subs'!$C$49,(IF($C26=2,IF($M26&gt;=IFERROR(INDEX('TaxCred&amp;Subs'!$L$12:$L$47,MATCH(1,($C26&amp;$D26='TaxCred&amp;Subs'!$E$12:$E$47)*($F26='TaxCred&amp;Subs'!$C$12:$C$47),0)
),9999),IFERROR(INDEX('TaxCred&amp;Subs'!$N$12:$N$47,MATCH(1,($C26&amp;$D26='TaxCred&amp;Subs'!$E$12:$E$47)*($F26='TaxCred&amp;Subs'!$C$12:$C$47),0)
),0),0),(IF($M26&gt;=IFERROR(INDEX('TaxCred&amp;Subs'!$H$12:$H$47,MATCH(1,($C26&amp;$D26='TaxCred&amp;Subs'!$D$12:$D$47)*($F26='TaxCred&amp;Subs'!$C$12:$C$47),0)
),9999),IFERROR(INDEX('TaxCred&amp;Subs'!$N$12:$N$47,MATCH(1,($C26&amp;$D26='TaxCred&amp;Subs'!$D$12:$D$47)*($F26='TaxCred&amp;Subs'!$C$12:$C$47),0)
),0),0)))),0)+IF(AND($C26=2,VALUE(RIGHT($AD26,1))&gt;2),(N26-R26)*(IFERROR(INDEX('TaxCred&amp;Subs'!$J$66:$J$99,MATCH(1,($C26&amp;$D26='TaxCred&amp;Subs'!$E$66:$E$99)*($F26='TaxCred&amp;Subs'!$C$66:$C$99),0)),0)),IF(AND($C26=1,VALUE(RIGHT($AD26,1))&gt;2),(N26-R26)*(IFERROR(INDEX('TaxCred&amp;Subs'!$J$66:$J$99,MATCH(1,($C26&amp;$D26='TaxCred&amp;Subs'!$D$66:$D$99)*($F26='TaxCred&amp;Subs'!$C$66:$C$99),0)),0)),IF($C26&gt;2,(N26-R26)*(IFERROR(INDEX('TaxCred&amp;Subs'!$J$66:$J$99,MATCH(1,($C26&amp;$D26='TaxCred&amp;Subs'!$D$66:$D$99)*($F26='TaxCred&amp;Subs'!$C$66:$C$99),0)),0)),0))),0)</f>
        <v>0</v>
      </c>
      <c r="Q26" s="95">
        <f t="array" ref="Q26">ROUND(IF(AND($C26=2,VALUE(RIGHT($AD26,1))&gt;2),(O26-S26)*(IFERROR(INDEX('TaxCred&amp;Subs'!$J$66:$J$99,MATCH(1,($C26&amp;$D26='TaxCred&amp;Subs'!$E$66:$E$99)*($F26='TaxCred&amp;Subs'!$C$66:$C$99),0)),0)),IF(AND($C26=1,VALUE(RIGHT($AD26,1))&gt;2),(O26-S26)*(IFERROR(INDEX('TaxCred&amp;Subs'!$J$66:$J$99,MATCH(1,($C26&amp;$D26='TaxCred&amp;Subs'!$D$66:$D$99)*($F26='TaxCred&amp;Subs'!$C$66:$C$99),0)),0)),IF($C26&gt;2,(O26-S26)*(IFERROR(INDEX('TaxCred&amp;Subs'!$J$66:$J$99,MATCH(1,($C26&amp;$D26='TaxCred&amp;Subs'!$D$66:$D$99)*($F26='TaxCred&amp;Subs'!$C$66:$C$99),0)),0)),0))),0)</f>
        <v>0</v>
      </c>
      <c r="R26" s="95">
        <f t="array" ref="R26">ROUND(IF(IFERROR(VALUE(RIGHT($AD26,1)),0)&gt;2,IF($C26=8,N26*IFERROR(INDEX('TaxCred&amp;Subs'!$K$139:$S$151,MATCH($C26&amp;$D26&amp;LEFT($AD26,7),'TaxCred&amp;Subs'!$E$139:$E$151,0),MATCH($H26,'TaxCred&amp;Subs'!$K$137:$S$137,0)),0),IF($C26=2,N26*IFERROR(INDEX('TaxCred&amp;Subs'!$K$139:$S$151,MATCH($C26&amp;$D26,'TaxCred&amp;Subs'!$D$139:$D$151,0),MATCH($H26,'TaxCred&amp;Subs'!$K$137:$S$137,0)),0),N26*IFERROR(INDEX('TaxCred&amp;Subs'!$K$139:$S$151,MATCH($C26&amp;$D26,'TaxCred&amp;Subs'!$C$139:$C$151,0),MATCH($H26,'TaxCred&amp;Subs'!$K$137:$S$137,0)),0))),0),0)</f>
        <v>0</v>
      </c>
      <c r="S26" s="95">
        <f t="array" ref="S26">ROUND(IF(IFERROR(VALUE(RIGHT($AD26,1)),0)&gt;2,IF($C26=8,O26*IFERROR(INDEX('TaxCred&amp;Subs'!$K$139:$S$151,MATCH($C26&amp;$D26&amp;LEFT($AD26,7),'TaxCred&amp;Subs'!$E$139:$E$151,0),MATCH($H26,'TaxCred&amp;Subs'!$K$137:$S$137,0)),0),IF($C26=2,O26*IFERROR(INDEX('TaxCred&amp;Subs'!$K$139:$S$151,MATCH($C26&amp;$D26,'TaxCred&amp;Subs'!$D$139:$D$151,0),MATCH($H26,'TaxCred&amp;Subs'!$K$137:$S$137,0)),0),O26*IFERROR(INDEX('TaxCred&amp;Subs'!$K$139:$S$151,MATCH($C26&amp;$D26,'TaxCred&amp;Subs'!$C$139:$C$151,0),MATCH($H26,'TaxCred&amp;Subs'!$K$137:$S$137,0)),0))),0),0)</f>
        <v>0</v>
      </c>
      <c r="T26" s="95">
        <f t="shared" ref="T26:T56" si="0">IF($H26=9,IF(R26&gt;0,(N26-P26)*0.15,0),0)</f>
        <v>0</v>
      </c>
      <c r="U26" s="95">
        <f t="shared" ref="U26:U56" si="1">IF($H26=9,IF(S26&gt;0,(O26-Q26)*0.15,0),0)</f>
        <v>0</v>
      </c>
      <c r="V26" s="28" t="s">
        <v>222</v>
      </c>
      <c r="W26" s="31">
        <v>2020</v>
      </c>
      <c r="X26" s="28">
        <v>1</v>
      </c>
      <c r="Y26" s="28">
        <v>0</v>
      </c>
      <c r="Z26" s="196">
        <v>-1.6872967825092632E-4</v>
      </c>
      <c r="AA26" s="196">
        <v>-2.5958412038604049E-3</v>
      </c>
      <c r="AB26" s="28">
        <v>0</v>
      </c>
      <c r="AC26" s="28">
        <v>0</v>
      </c>
      <c r="AD26" s="28" t="s">
        <v>195</v>
      </c>
    </row>
    <row r="27" spans="2:31" ht="14.25" customHeight="1" x14ac:dyDescent="0.2">
      <c r="B27" s="7">
        <f t="shared" ref="B27:B90" si="2">B26+1</f>
        <v>3</v>
      </c>
      <c r="C27" s="78">
        <v>1</v>
      </c>
      <c r="D27" s="78">
        <v>2</v>
      </c>
      <c r="E27" s="78">
        <v>2</v>
      </c>
      <c r="F27" s="78">
        <v>2023</v>
      </c>
      <c r="G27" s="78">
        <v>2050</v>
      </c>
      <c r="H27" s="78">
        <v>11</v>
      </c>
      <c r="I27" s="78">
        <v>2</v>
      </c>
      <c r="J27" s="78">
        <v>0</v>
      </c>
      <c r="K27" s="78">
        <v>0</v>
      </c>
      <c r="L27" s="78">
        <v>0</v>
      </c>
      <c r="M27" s="164">
        <v>2.5791324736225092</v>
      </c>
      <c r="N27" s="159">
        <v>3405</v>
      </c>
      <c r="O27" s="159">
        <v>4110</v>
      </c>
      <c r="P27" s="95">
        <f t="array" ref="P27">ROUND(IF($F27&lt;='TaxCred&amp;Subs'!$C$49,(IF($C27=2,IF($M27&gt;=IFERROR(INDEX('TaxCred&amp;Subs'!$L$12:$L$47,MATCH(1,($C27&amp;$D27='TaxCred&amp;Subs'!$E$12:$E$47)*($F27='TaxCred&amp;Subs'!$C$12:$C$47),0)
),9999),IFERROR(INDEX('TaxCred&amp;Subs'!$N$12:$N$47,MATCH(1,($C27&amp;$D27='TaxCred&amp;Subs'!$E$12:$E$47)*($F27='TaxCred&amp;Subs'!$C$12:$C$47),0)
),0),0),(IF($M27&gt;=IFERROR(INDEX('TaxCred&amp;Subs'!$H$12:$H$47,MATCH(1,($C27&amp;$D27='TaxCred&amp;Subs'!$D$12:$D$47)*($F27='TaxCred&amp;Subs'!$C$12:$C$47),0)
),9999),IFERROR(INDEX('TaxCred&amp;Subs'!$N$12:$N$47,MATCH(1,($C27&amp;$D27='TaxCred&amp;Subs'!$D$12:$D$47)*($F27='TaxCred&amp;Subs'!$C$12:$C$47),0)
),0),0)))),0)+IF(AND($C27=2,VALUE(RIGHT($AD27,1))&gt;2),(N27-R27)*(IFERROR(INDEX('TaxCred&amp;Subs'!$J$66:$J$99,MATCH(1,($C27&amp;$D27='TaxCred&amp;Subs'!$E$66:$E$99)*($F27='TaxCred&amp;Subs'!$C$66:$C$99),0)),0)),IF(AND($C27=1,VALUE(RIGHT($AD27,1))&gt;2),(N27-R27)*(IFERROR(INDEX('TaxCred&amp;Subs'!$J$66:$J$99,MATCH(1,($C27&amp;$D27='TaxCred&amp;Subs'!$D$66:$D$99)*($F27='TaxCred&amp;Subs'!$C$66:$C$99),0)),0)),IF($C27&gt;2,(N27-R27)*(IFERROR(INDEX('TaxCred&amp;Subs'!$J$66:$J$99,MATCH(1,($C27&amp;$D27='TaxCred&amp;Subs'!$D$66:$D$99)*($F27='TaxCred&amp;Subs'!$C$66:$C$99),0)),0)),0))),0)</f>
        <v>0</v>
      </c>
      <c r="Q27" s="95">
        <f t="array" ref="Q27">ROUND(IF(AND($C27=2,VALUE(RIGHT($AD27,1))&gt;2),(O27-S27)*(IFERROR(INDEX('TaxCred&amp;Subs'!$J$66:$J$99,MATCH(1,($C27&amp;$D27='TaxCred&amp;Subs'!$E$66:$E$99)*($F27='TaxCred&amp;Subs'!$C$66:$C$99),0)),0)),IF(AND($C27=1,VALUE(RIGHT($AD27,1))&gt;2),(O27-S27)*(IFERROR(INDEX('TaxCred&amp;Subs'!$J$66:$J$99,MATCH(1,($C27&amp;$D27='TaxCred&amp;Subs'!$D$66:$D$99)*($F27='TaxCred&amp;Subs'!$C$66:$C$99),0)),0)),IF($C27&gt;2,(O27-S27)*(IFERROR(INDEX('TaxCred&amp;Subs'!$J$66:$J$99,MATCH(1,($C27&amp;$D27='TaxCred&amp;Subs'!$D$66:$D$99)*($F27='TaxCred&amp;Subs'!$C$66:$C$99),0)),0)),0))),0)</f>
        <v>0</v>
      </c>
      <c r="R27" s="95">
        <f t="array" ref="R27">ROUND(IF(IFERROR(VALUE(RIGHT($AD27,1)),0)&gt;2,IF($C27=8,N27*IFERROR(INDEX('TaxCred&amp;Subs'!$K$139:$S$151,MATCH($C27&amp;$D27&amp;LEFT($AD27,7),'TaxCred&amp;Subs'!$E$139:$E$151,0),MATCH($H27,'TaxCred&amp;Subs'!$K$137:$S$137,0)),0),IF($C27=2,N27*IFERROR(INDEX('TaxCred&amp;Subs'!$K$139:$S$151,MATCH($C27&amp;$D27,'TaxCred&amp;Subs'!$D$139:$D$151,0),MATCH($H27,'TaxCred&amp;Subs'!$K$137:$S$137,0)),0),N27*IFERROR(INDEX('TaxCred&amp;Subs'!$K$139:$S$151,MATCH($C27&amp;$D27,'TaxCred&amp;Subs'!$C$139:$C$151,0),MATCH($H27,'TaxCred&amp;Subs'!$K$137:$S$137,0)),0))),0),0)</f>
        <v>0</v>
      </c>
      <c r="S27" s="95">
        <f t="array" ref="S27">ROUND(IF(IFERROR(VALUE(RIGHT($AD27,1)),0)&gt;2,IF($C27=8,O27*IFERROR(INDEX('TaxCred&amp;Subs'!$K$139:$S$151,MATCH($C27&amp;$D27&amp;LEFT($AD27,7),'TaxCred&amp;Subs'!$E$139:$E$151,0),MATCH($H27,'TaxCred&amp;Subs'!$K$137:$S$137,0)),0),IF($C27=2,O27*IFERROR(INDEX('TaxCred&amp;Subs'!$K$139:$S$151,MATCH($C27&amp;$D27,'TaxCred&amp;Subs'!$D$139:$D$151,0),MATCH($H27,'TaxCred&amp;Subs'!$K$137:$S$137,0)),0),O27*IFERROR(INDEX('TaxCred&amp;Subs'!$K$139:$S$151,MATCH($C27&amp;$D27,'TaxCred&amp;Subs'!$C$139:$C$151,0),MATCH($H27,'TaxCred&amp;Subs'!$K$137:$S$137,0)),0))),0),0)</f>
        <v>0</v>
      </c>
      <c r="T27" s="95">
        <f t="shared" si="0"/>
        <v>0</v>
      </c>
      <c r="U27" s="95">
        <f t="shared" si="1"/>
        <v>0</v>
      </c>
      <c r="V27" s="78" t="s">
        <v>222</v>
      </c>
      <c r="W27" s="96">
        <v>2020</v>
      </c>
      <c r="X27" s="78">
        <v>1</v>
      </c>
      <c r="Y27" s="78">
        <v>0</v>
      </c>
      <c r="Z27" s="197">
        <v>-1.6872967825092632E-4</v>
      </c>
      <c r="AA27" s="197">
        <v>-2.5958412038604049E-3</v>
      </c>
      <c r="AB27" s="78">
        <v>0</v>
      </c>
      <c r="AC27" s="78">
        <v>0</v>
      </c>
      <c r="AD27" s="78" t="s">
        <v>195</v>
      </c>
    </row>
    <row r="28" spans="2:31" x14ac:dyDescent="0.2">
      <c r="B28" s="7">
        <f t="shared" si="2"/>
        <v>4</v>
      </c>
      <c r="C28" s="28">
        <v>1</v>
      </c>
      <c r="D28" s="28">
        <v>2</v>
      </c>
      <c r="E28" s="28">
        <v>3</v>
      </c>
      <c r="F28" s="96">
        <v>2020</v>
      </c>
      <c r="G28" s="31">
        <v>2021</v>
      </c>
      <c r="H28" s="28">
        <v>11</v>
      </c>
      <c r="I28" s="28">
        <v>3</v>
      </c>
      <c r="J28" s="28">
        <v>0</v>
      </c>
      <c r="K28" s="28">
        <v>0</v>
      </c>
      <c r="L28" s="28">
        <v>0</v>
      </c>
      <c r="M28" s="75">
        <v>2.5205158264947243</v>
      </c>
      <c r="N28" s="151">
        <v>2135</v>
      </c>
      <c r="O28" s="151">
        <v>4270</v>
      </c>
      <c r="P28" s="95">
        <f t="array" ref="P28">ROUND(IF($F28&lt;='TaxCred&amp;Subs'!$C$49,(IF($C28=2,IF($M28&gt;=IFERROR(INDEX('TaxCred&amp;Subs'!$L$12:$L$47,MATCH(1,($C28&amp;$D28='TaxCred&amp;Subs'!$E$12:$E$47)*($F28='TaxCred&amp;Subs'!$C$12:$C$47),0)
),9999),IFERROR(INDEX('TaxCred&amp;Subs'!$N$12:$N$47,MATCH(1,($C28&amp;$D28='TaxCred&amp;Subs'!$E$12:$E$47)*($F28='TaxCred&amp;Subs'!$C$12:$C$47),0)
),0),0),(IF($M28&gt;=IFERROR(INDEX('TaxCred&amp;Subs'!$H$12:$H$47,MATCH(1,($C28&amp;$D28='TaxCred&amp;Subs'!$D$12:$D$47)*($F28='TaxCred&amp;Subs'!$C$12:$C$47),0)
),9999),IFERROR(INDEX('TaxCred&amp;Subs'!$N$12:$N$47,MATCH(1,($C28&amp;$D28='TaxCred&amp;Subs'!$D$12:$D$47)*($F28='TaxCred&amp;Subs'!$C$12:$C$47),0)
),0),0)))),0)+IF(AND($C28=2,VALUE(RIGHT($AD28,1))&gt;2),(N28-R28)*(IFERROR(INDEX('TaxCred&amp;Subs'!$J$66:$J$99,MATCH(1,($C28&amp;$D28='TaxCred&amp;Subs'!$E$66:$E$99)*($F28='TaxCred&amp;Subs'!$C$66:$C$99),0)),0)),IF(AND($C28=1,VALUE(RIGHT($AD28,1))&gt;2),(N28-R28)*(IFERROR(INDEX('TaxCred&amp;Subs'!$J$66:$J$99,MATCH(1,($C28&amp;$D28='TaxCred&amp;Subs'!$D$66:$D$99)*($F28='TaxCred&amp;Subs'!$C$66:$C$99),0)),0)),IF($C28&gt;2,(N28-R28)*(IFERROR(INDEX('TaxCred&amp;Subs'!$J$66:$J$99,MATCH(1,($C28&amp;$D28='TaxCred&amp;Subs'!$D$66:$D$99)*($F28='TaxCred&amp;Subs'!$C$66:$C$99),0)),0)),0))),0)</f>
        <v>150</v>
      </c>
      <c r="Q28" s="95">
        <f t="array" ref="Q28">ROUND(IF(AND($C28=2,VALUE(RIGHT($AD28,1))&gt;2),(O28-S28)*(IFERROR(INDEX('TaxCred&amp;Subs'!$J$66:$J$99,MATCH(1,($C28&amp;$D28='TaxCred&amp;Subs'!$E$66:$E$99)*($F28='TaxCred&amp;Subs'!$C$66:$C$99),0)),0)),IF(AND($C28=1,VALUE(RIGHT($AD28,1))&gt;2),(O28-S28)*(IFERROR(INDEX('TaxCred&amp;Subs'!$J$66:$J$99,MATCH(1,($C28&amp;$D28='TaxCred&amp;Subs'!$D$66:$D$99)*($F28='TaxCred&amp;Subs'!$C$66:$C$99),0)),0)),IF($C28&gt;2,(O28-S28)*(IFERROR(INDEX('TaxCred&amp;Subs'!$J$66:$J$99,MATCH(1,($C28&amp;$D28='TaxCred&amp;Subs'!$D$66:$D$99)*($F28='TaxCred&amp;Subs'!$C$66:$C$99),0)),0)),0))),0)</f>
        <v>0</v>
      </c>
      <c r="R28" s="95">
        <f t="array" ref="R28">ROUND(IF(IFERROR(VALUE(RIGHT($AD28,1)),0)&gt;2,IF($C28=8,N28*IFERROR(INDEX('TaxCred&amp;Subs'!$K$139:$S$151,MATCH($C28&amp;$D28&amp;LEFT($AD28,7),'TaxCred&amp;Subs'!$E$139:$E$151,0),MATCH($H28,'TaxCred&amp;Subs'!$K$137:$S$137,0)),0),IF($C28=2,N28*IFERROR(INDEX('TaxCred&amp;Subs'!$K$139:$S$151,MATCH($C28&amp;$D28,'TaxCred&amp;Subs'!$D$139:$D$151,0),MATCH($H28,'TaxCred&amp;Subs'!$K$137:$S$137,0)),0),N28*IFERROR(INDEX('TaxCred&amp;Subs'!$K$139:$S$151,MATCH($C28&amp;$D28,'TaxCred&amp;Subs'!$C$139:$C$151,0),MATCH($H28,'TaxCred&amp;Subs'!$K$137:$S$137,0)),0))),0),0)</f>
        <v>0</v>
      </c>
      <c r="S28" s="95">
        <f t="array" ref="S28">ROUND(IF(IFERROR(VALUE(RIGHT($AD28,1)),0)&gt;2,IF($C28=8,O28*IFERROR(INDEX('TaxCred&amp;Subs'!$K$139:$S$151,MATCH($C28&amp;$D28&amp;LEFT($AD28,7),'TaxCred&amp;Subs'!$E$139:$E$151,0),MATCH($H28,'TaxCred&amp;Subs'!$K$137:$S$137,0)),0),IF($C28=2,O28*IFERROR(INDEX('TaxCred&amp;Subs'!$K$139:$S$151,MATCH($C28&amp;$D28,'TaxCred&amp;Subs'!$D$139:$D$151,0),MATCH($H28,'TaxCred&amp;Subs'!$K$137:$S$137,0)),0),O28*IFERROR(INDEX('TaxCred&amp;Subs'!$K$139:$S$151,MATCH($C28&amp;$D28,'TaxCred&amp;Subs'!$C$139:$C$151,0),MATCH($H28,'TaxCred&amp;Subs'!$K$137:$S$137,0)),0))),0),0)</f>
        <v>0</v>
      </c>
      <c r="T28" s="95">
        <f t="shared" si="0"/>
        <v>0</v>
      </c>
      <c r="U28" s="95">
        <f t="shared" si="1"/>
        <v>0</v>
      </c>
      <c r="V28" s="28" t="s">
        <v>222</v>
      </c>
      <c r="W28" s="31">
        <v>2020</v>
      </c>
      <c r="X28" s="28">
        <v>1</v>
      </c>
      <c r="Y28" s="28">
        <v>0</v>
      </c>
      <c r="Z28" s="196">
        <v>-1.6872967825092632E-4</v>
      </c>
      <c r="AA28" s="196">
        <v>-2.5958412038604049E-3</v>
      </c>
      <c r="AB28" s="28">
        <v>0</v>
      </c>
      <c r="AC28" s="28">
        <v>0</v>
      </c>
      <c r="AD28" s="28" t="s">
        <v>196</v>
      </c>
    </row>
    <row r="29" spans="2:31" ht="14.25" customHeight="1" x14ac:dyDescent="0.2">
      <c r="B29" s="7">
        <f t="shared" si="2"/>
        <v>5</v>
      </c>
      <c r="C29" s="152">
        <v>1</v>
      </c>
      <c r="D29" s="152">
        <v>2</v>
      </c>
      <c r="E29" s="152">
        <v>3</v>
      </c>
      <c r="F29" s="153">
        <v>2022</v>
      </c>
      <c r="G29" s="152">
        <v>2022</v>
      </c>
      <c r="H29" s="152">
        <v>11</v>
      </c>
      <c r="I29" s="152">
        <v>3</v>
      </c>
      <c r="J29" s="152">
        <v>0</v>
      </c>
      <c r="K29" s="152">
        <v>0</v>
      </c>
      <c r="L29" s="152">
        <v>0</v>
      </c>
      <c r="M29" s="154">
        <v>2.5205158264947243</v>
      </c>
      <c r="N29" s="155">
        <v>2135</v>
      </c>
      <c r="O29" s="155">
        <v>4270</v>
      </c>
      <c r="P29" s="41">
        <f t="array" ref="P29">ROUND(IF($F29&lt;='TaxCred&amp;Subs'!$C$49,(IF($C29=2,IF($M29&gt;=IFERROR(INDEX('TaxCred&amp;Subs'!$L$12:$L$47,MATCH(1,($C29&amp;$D29='TaxCred&amp;Subs'!$E$12:$E$47)*($F29='TaxCred&amp;Subs'!$C$12:$C$47),0)
),9999),IFERROR(INDEX('TaxCred&amp;Subs'!$N$12:$N$47,MATCH(1,($C29&amp;$D29='TaxCred&amp;Subs'!$E$12:$E$47)*($F29='TaxCred&amp;Subs'!$C$12:$C$47),0)
),0),0),(IF($M29&gt;=IFERROR(INDEX('TaxCred&amp;Subs'!$H$12:$H$47,MATCH(1,($C29&amp;$D29='TaxCred&amp;Subs'!$D$12:$D$47)*($F29='TaxCred&amp;Subs'!$C$12:$C$47),0)
),9999),IFERROR(INDEX('TaxCred&amp;Subs'!$N$12:$N$47,MATCH(1,($C29&amp;$D29='TaxCred&amp;Subs'!$D$12:$D$47)*($F29='TaxCred&amp;Subs'!$C$12:$C$47),0)
),0),0)))),0)+IF(AND($C29=2,VALUE(RIGHT($AD29,1))&gt;2),(N29-R29)*(IFERROR(INDEX('TaxCred&amp;Subs'!$J$66:$J$99,MATCH(1,($C29&amp;$D29='TaxCred&amp;Subs'!$E$66:$E$99)*($F29='TaxCred&amp;Subs'!$C$66:$C$99),0)),0)),IF(AND($C29=1,VALUE(RIGHT($AD29,1))&gt;2),(N29-R29)*(IFERROR(INDEX('TaxCred&amp;Subs'!$J$66:$J$99,MATCH(1,($C29&amp;$D29='TaxCred&amp;Subs'!$D$66:$D$99)*($F29='TaxCred&amp;Subs'!$C$66:$C$99),0)),0)),IF($C29&gt;2,(N29-R29)*(IFERROR(INDEX('TaxCred&amp;Subs'!$J$66:$J$99,MATCH(1,($C29&amp;$D29='TaxCred&amp;Subs'!$D$66:$D$99)*($F29='TaxCred&amp;Subs'!$C$66:$C$99),0)),0)),0))),0)</f>
        <v>1000</v>
      </c>
      <c r="Q29" s="41">
        <f t="array" ref="Q29">ROUND(IF(AND($C29=2,VALUE(RIGHT($AD29,1))&gt;2),(O29-S29)*(IFERROR(INDEX('TaxCred&amp;Subs'!$J$66:$J$99,MATCH(1,($C29&amp;$D29='TaxCred&amp;Subs'!$E$66:$E$99)*($F29='TaxCred&amp;Subs'!$C$66:$C$99),0)),0)),IF(AND($C29=1,VALUE(RIGHT($AD29,1))&gt;2),(O29-S29)*(IFERROR(INDEX('TaxCred&amp;Subs'!$J$66:$J$99,MATCH(1,($C29&amp;$D29='TaxCred&amp;Subs'!$D$66:$D$99)*($F29='TaxCred&amp;Subs'!$C$66:$C$99),0)),0)),IF($C29&gt;2,(O29-S29)*(IFERROR(INDEX('TaxCred&amp;Subs'!$J$66:$J$99,MATCH(1,($C29&amp;$D29='TaxCred&amp;Subs'!$D$66:$D$99)*($F29='TaxCred&amp;Subs'!$C$66:$C$99),0)),0)),0))),0)</f>
        <v>0</v>
      </c>
      <c r="R29" s="41">
        <f t="array" ref="R29">ROUND(IF(IFERROR(VALUE(RIGHT($AD29,1)),0)&gt;2,IF($C29=8,N29*IFERROR(INDEX('TaxCred&amp;Subs'!$K$139:$S$151,MATCH($C29&amp;$D29&amp;LEFT($AD29,7),'TaxCred&amp;Subs'!$E$139:$E$151,0),MATCH($H29,'TaxCred&amp;Subs'!$K$137:$S$137,0)),0),IF($C29=2,N29*IFERROR(INDEX('TaxCred&amp;Subs'!$K$139:$S$151,MATCH($C29&amp;$D29,'TaxCred&amp;Subs'!$D$139:$D$151,0),MATCH($H29,'TaxCred&amp;Subs'!$K$137:$S$137,0)),0),N29*IFERROR(INDEX('TaxCred&amp;Subs'!$K$139:$S$151,MATCH($C29&amp;$D29,'TaxCred&amp;Subs'!$C$139:$C$151,0),MATCH($H29,'TaxCred&amp;Subs'!$K$137:$S$137,0)),0))),0),0)</f>
        <v>0</v>
      </c>
      <c r="S29" s="41">
        <f t="array" ref="S29">ROUND(IF(IFERROR(VALUE(RIGHT($AD29,1)),0)&gt;2,IF($C29=8,O29*IFERROR(INDEX('TaxCred&amp;Subs'!$K$139:$S$151,MATCH($C29&amp;$D29&amp;LEFT($AD29,7),'TaxCred&amp;Subs'!$E$139:$E$151,0),MATCH($H29,'TaxCred&amp;Subs'!$K$137:$S$137,0)),0),IF($C29=2,O29*IFERROR(INDEX('TaxCred&amp;Subs'!$K$139:$S$151,MATCH($C29&amp;$D29,'TaxCred&amp;Subs'!$D$139:$D$151,0),MATCH($H29,'TaxCred&amp;Subs'!$K$137:$S$137,0)),0),O29*IFERROR(INDEX('TaxCred&amp;Subs'!$K$139:$S$151,MATCH($C29&amp;$D29,'TaxCred&amp;Subs'!$C$139:$C$151,0),MATCH($H29,'TaxCred&amp;Subs'!$K$137:$S$137,0)),0))),0),0)</f>
        <v>0</v>
      </c>
      <c r="T29" s="41">
        <f t="shared" si="0"/>
        <v>0</v>
      </c>
      <c r="U29" s="41">
        <f t="shared" si="1"/>
        <v>0</v>
      </c>
      <c r="V29" s="152" t="s">
        <v>222</v>
      </c>
      <c r="W29" s="152">
        <v>2020</v>
      </c>
      <c r="X29" s="152">
        <v>1</v>
      </c>
      <c r="Y29" s="152">
        <v>0</v>
      </c>
      <c r="Z29" s="194">
        <v>-1.6872967825092632E-4</v>
      </c>
      <c r="AA29" s="194">
        <v>-2.5958412038604049E-3</v>
      </c>
      <c r="AB29" s="152">
        <v>0</v>
      </c>
      <c r="AC29" s="152">
        <v>0</v>
      </c>
      <c r="AD29" s="152" t="s">
        <v>196</v>
      </c>
    </row>
    <row r="30" spans="2:31" ht="14.25" customHeight="1" x14ac:dyDescent="0.2">
      <c r="B30" s="7">
        <f t="shared" si="2"/>
        <v>6</v>
      </c>
      <c r="C30" s="28">
        <v>1</v>
      </c>
      <c r="D30" s="28">
        <v>2</v>
      </c>
      <c r="E30" s="28">
        <v>3</v>
      </c>
      <c r="F30" s="78">
        <v>2023</v>
      </c>
      <c r="G30" s="28">
        <v>2032</v>
      </c>
      <c r="H30" s="28">
        <v>11</v>
      </c>
      <c r="I30" s="28">
        <v>3</v>
      </c>
      <c r="J30" s="28">
        <v>0</v>
      </c>
      <c r="K30" s="28">
        <v>0</v>
      </c>
      <c r="L30" s="28">
        <v>0</v>
      </c>
      <c r="M30" s="156">
        <v>2.6963657678780772</v>
      </c>
      <c r="N30" s="151">
        <v>3470</v>
      </c>
      <c r="O30" s="151">
        <v>4380</v>
      </c>
      <c r="P30" s="95">
        <f t="array" ref="P30">ROUND(IF($F30&lt;='TaxCred&amp;Subs'!$C$49,(IF($C30=2,IF($M30&gt;=IFERROR(INDEX('TaxCred&amp;Subs'!$L$12:$L$47,MATCH(1,($C30&amp;$D30='TaxCred&amp;Subs'!$E$12:$E$47)*($F30='TaxCred&amp;Subs'!$C$12:$C$47),0)
),9999),IFERROR(INDEX('TaxCred&amp;Subs'!$N$12:$N$47,MATCH(1,($C30&amp;$D30='TaxCred&amp;Subs'!$E$12:$E$47)*($F30='TaxCred&amp;Subs'!$C$12:$C$47),0)
),0),0),(IF($M30&gt;=IFERROR(INDEX('TaxCred&amp;Subs'!$H$12:$H$47,MATCH(1,($C30&amp;$D30='TaxCred&amp;Subs'!$D$12:$D$47)*($F30='TaxCred&amp;Subs'!$C$12:$C$47),0)
),9999),IFERROR(INDEX('TaxCred&amp;Subs'!$N$12:$N$47,MATCH(1,($C30&amp;$D30='TaxCred&amp;Subs'!$D$12:$D$47)*($F30='TaxCred&amp;Subs'!$C$12:$C$47),0)
),0),0)))),0)+IF(AND($C30=2,VALUE(RIGHT($AD30,1))&gt;2),(N30-R30)*(IFERROR(INDEX('TaxCred&amp;Subs'!$J$66:$J$99,MATCH(1,($C30&amp;$D30='TaxCred&amp;Subs'!$E$66:$E$99)*($F30='TaxCred&amp;Subs'!$C$66:$C$99),0)),0)),IF(AND($C30=1,VALUE(RIGHT($AD30,1))&gt;2),(N30-R30)*(IFERROR(INDEX('TaxCred&amp;Subs'!$J$66:$J$99,MATCH(1,($C30&amp;$D30='TaxCred&amp;Subs'!$D$66:$D$99)*($F30='TaxCred&amp;Subs'!$C$66:$C$99),0)),0)),IF($C30&gt;2,(N30-R30)*(IFERROR(INDEX('TaxCred&amp;Subs'!$J$66:$J$99,MATCH(1,($C30&amp;$D30='TaxCred&amp;Subs'!$D$66:$D$99)*($F30='TaxCred&amp;Subs'!$C$66:$C$99),0)),0)),0))),0)</f>
        <v>1000</v>
      </c>
      <c r="Q30" s="95">
        <f t="array" ref="Q30">ROUND(IF(AND($C30=2,VALUE(RIGHT($AD30,1))&gt;2),(O30-S30)*(IFERROR(INDEX('TaxCred&amp;Subs'!$J$66:$J$99,MATCH(1,($C30&amp;$D30='TaxCred&amp;Subs'!$E$66:$E$99)*($F30='TaxCred&amp;Subs'!$C$66:$C$99),0)),0)),IF(AND($C30=1,VALUE(RIGHT($AD30,1))&gt;2),(O30-S30)*(IFERROR(INDEX('TaxCred&amp;Subs'!$J$66:$J$99,MATCH(1,($C30&amp;$D30='TaxCred&amp;Subs'!$D$66:$D$99)*($F30='TaxCred&amp;Subs'!$C$66:$C$99),0)),0)),IF($C30&gt;2,(O30-S30)*(IFERROR(INDEX('TaxCred&amp;Subs'!$J$66:$J$99,MATCH(1,($C30&amp;$D30='TaxCred&amp;Subs'!$D$66:$D$99)*($F30='TaxCred&amp;Subs'!$C$66:$C$99),0)),0)),0))),0)</f>
        <v>0</v>
      </c>
      <c r="R30" s="95">
        <f t="array" ref="R30">ROUND(IF(IFERROR(VALUE(RIGHT($AD30,1)),0)&gt;2,IF($C30=8,N30*IFERROR(INDEX('TaxCred&amp;Subs'!$K$139:$S$151,MATCH($C30&amp;$D30&amp;LEFT($AD30,7),'TaxCred&amp;Subs'!$E$139:$E$151,0),MATCH($H30,'TaxCred&amp;Subs'!$K$137:$S$137,0)),0),IF($C30=2,N30*IFERROR(INDEX('TaxCred&amp;Subs'!$K$139:$S$151,MATCH($C30&amp;$D30,'TaxCred&amp;Subs'!$D$139:$D$151,0),MATCH($H30,'TaxCred&amp;Subs'!$K$137:$S$137,0)),0),N30*IFERROR(INDEX('TaxCred&amp;Subs'!$K$139:$S$151,MATCH($C30&amp;$D30,'TaxCred&amp;Subs'!$C$139:$C$151,0),MATCH($H30,'TaxCred&amp;Subs'!$K$137:$S$137,0)),0))),0),0)</f>
        <v>0</v>
      </c>
      <c r="S30" s="170">
        <f t="array" ref="S30">ROUND(IF(IFERROR(VALUE(RIGHT($AD30,1)),0)&gt;2,IF($C30=8,O30*IFERROR(INDEX('TaxCred&amp;Subs'!$K$139:$S$151,MATCH($C30&amp;$D30&amp;LEFT($AD30,7),'TaxCred&amp;Subs'!$E$139:$E$151,0),MATCH($H30,'TaxCred&amp;Subs'!$K$137:$S$137,0)),0),IF($C30=2,O30*IFERROR(INDEX('TaxCred&amp;Subs'!$K$139:$S$151,MATCH($C30&amp;$D30,'TaxCred&amp;Subs'!$D$139:$D$151,0),MATCH($H30,'TaxCred&amp;Subs'!$K$137:$S$137,0)),0),O30*IFERROR(INDEX('TaxCred&amp;Subs'!$K$139:$S$151,MATCH($C30&amp;$D30,'TaxCred&amp;Subs'!$C$139:$C$151,0),MATCH($H30,'TaxCred&amp;Subs'!$K$137:$S$137,0)),0))),0),0)</f>
        <v>0</v>
      </c>
      <c r="T30" s="95">
        <f t="shared" si="0"/>
        <v>0</v>
      </c>
      <c r="U30" s="95">
        <f t="shared" si="1"/>
        <v>0</v>
      </c>
      <c r="V30" s="28" t="s">
        <v>222</v>
      </c>
      <c r="W30" s="31">
        <v>2020</v>
      </c>
      <c r="X30" s="28">
        <v>1</v>
      </c>
      <c r="Y30" s="28">
        <v>0</v>
      </c>
      <c r="Z30" s="196">
        <v>-1.6872967825092632E-4</v>
      </c>
      <c r="AA30" s="196">
        <v>-2.5958412038604049E-3</v>
      </c>
      <c r="AB30" s="28">
        <v>0</v>
      </c>
      <c r="AC30" s="28">
        <v>0</v>
      </c>
      <c r="AD30" s="28" t="s">
        <v>196</v>
      </c>
    </row>
    <row r="31" spans="2:31" ht="14.25" customHeight="1" x14ac:dyDescent="0.2">
      <c r="B31" s="7">
        <f t="shared" si="2"/>
        <v>7</v>
      </c>
      <c r="C31" s="28">
        <v>1</v>
      </c>
      <c r="D31" s="28">
        <v>2</v>
      </c>
      <c r="E31" s="28">
        <v>3</v>
      </c>
      <c r="F31" s="78">
        <v>2033</v>
      </c>
      <c r="G31" s="31">
        <v>2039</v>
      </c>
      <c r="H31" s="28">
        <v>11</v>
      </c>
      <c r="I31" s="28">
        <v>3</v>
      </c>
      <c r="J31" s="28">
        <v>0</v>
      </c>
      <c r="K31" s="28">
        <v>0</v>
      </c>
      <c r="L31" s="28">
        <v>0</v>
      </c>
      <c r="M31" s="156">
        <v>2.6963657678780772</v>
      </c>
      <c r="N31" s="151">
        <v>3470</v>
      </c>
      <c r="O31" s="151">
        <v>4380</v>
      </c>
      <c r="P31" s="95">
        <f t="array" ref="P31">ROUND(IF($F31&lt;='TaxCred&amp;Subs'!$C$49,(IF($C31=2,IF($M31&gt;=IFERROR(INDEX('TaxCred&amp;Subs'!$L$12:$L$47,MATCH(1,($C31&amp;$D31='TaxCred&amp;Subs'!$E$12:$E$47)*($F31='TaxCred&amp;Subs'!$C$12:$C$47),0)
),9999),IFERROR(INDEX('TaxCred&amp;Subs'!$N$12:$N$47,MATCH(1,($C31&amp;$D31='TaxCred&amp;Subs'!$E$12:$E$47)*($F31='TaxCred&amp;Subs'!$C$12:$C$47),0)
),0),0),(IF($M31&gt;=IFERROR(INDEX('TaxCred&amp;Subs'!$H$12:$H$47,MATCH(1,($C31&amp;$D31='TaxCred&amp;Subs'!$D$12:$D$47)*($F31='TaxCred&amp;Subs'!$C$12:$C$47),0)
),9999),IFERROR(INDEX('TaxCred&amp;Subs'!$N$12:$N$47,MATCH(1,($C31&amp;$D31='TaxCred&amp;Subs'!$D$12:$D$47)*($F31='TaxCred&amp;Subs'!$C$12:$C$47),0)
),0),0)))),0)+IF(AND($C31=2,VALUE(RIGHT($AD31,1))&gt;2),(N31-R31)*(IFERROR(INDEX('TaxCred&amp;Subs'!$J$66:$J$99,MATCH(1,($C31&amp;$D31='TaxCred&amp;Subs'!$E$66:$E$99)*($F31='TaxCred&amp;Subs'!$C$66:$C$99),0)),0)),IF(AND($C31=1,VALUE(RIGHT($AD31,1))&gt;2),(N31-R31)*(IFERROR(INDEX('TaxCred&amp;Subs'!$J$66:$J$99,MATCH(1,($C31&amp;$D31='TaxCred&amp;Subs'!$D$66:$D$99)*($F31='TaxCred&amp;Subs'!$C$66:$C$99),0)),0)),IF($C31&gt;2,(N31-R31)*(IFERROR(INDEX('TaxCred&amp;Subs'!$J$66:$J$99,MATCH(1,($C31&amp;$D31='TaxCred&amp;Subs'!$D$66:$D$99)*($F31='TaxCred&amp;Subs'!$C$66:$C$99),0)),0)),0))),0)</f>
        <v>0</v>
      </c>
      <c r="Q31" s="95">
        <f t="array" ref="Q31">ROUND(IF(AND($C31=2,VALUE(RIGHT($AD31,1))&gt;2),(O31-S31)*(IFERROR(INDEX('TaxCred&amp;Subs'!$J$66:$J$99,MATCH(1,($C31&amp;$D31='TaxCred&amp;Subs'!$E$66:$E$99)*($F31='TaxCred&amp;Subs'!$C$66:$C$99),0)),0)),IF(AND($C31=1,VALUE(RIGHT($AD31,1))&gt;2),(O31-S31)*(IFERROR(INDEX('TaxCred&amp;Subs'!$J$66:$J$99,MATCH(1,($C31&amp;$D31='TaxCred&amp;Subs'!$D$66:$D$99)*($F31='TaxCred&amp;Subs'!$C$66:$C$99),0)),0)),IF($C31&gt;2,(O31-S31)*(IFERROR(INDEX('TaxCred&amp;Subs'!$J$66:$J$99,MATCH(1,($C31&amp;$D31='TaxCred&amp;Subs'!$D$66:$D$99)*($F31='TaxCred&amp;Subs'!$C$66:$C$99),0)),0)),0))),0)</f>
        <v>0</v>
      </c>
      <c r="R31" s="95">
        <f t="array" ref="R31">ROUND(IF(IFERROR(VALUE(RIGHT($AD31,1)),0)&gt;2,IF($C31=8,N31*IFERROR(INDEX('TaxCred&amp;Subs'!$K$139:$S$151,MATCH($C31&amp;$D31&amp;LEFT($AD31,7),'TaxCred&amp;Subs'!$E$139:$E$151,0),MATCH($H31,'TaxCred&amp;Subs'!$K$137:$S$137,0)),0),IF($C31=2,N31*IFERROR(INDEX('TaxCred&amp;Subs'!$K$139:$S$151,MATCH($C31&amp;$D31,'TaxCred&amp;Subs'!$D$139:$D$151,0),MATCH($H31,'TaxCred&amp;Subs'!$K$137:$S$137,0)),0),N31*IFERROR(INDEX('TaxCred&amp;Subs'!$K$139:$S$151,MATCH($C31&amp;$D31,'TaxCred&amp;Subs'!$C$139:$C$151,0),MATCH($H31,'TaxCred&amp;Subs'!$K$137:$S$137,0)),0))),0),0)</f>
        <v>0</v>
      </c>
      <c r="S31" s="170">
        <f t="array" ref="S31">ROUND(IF(IFERROR(VALUE(RIGHT($AD31,1)),0)&gt;2,IF($C31=8,O31*IFERROR(INDEX('TaxCred&amp;Subs'!$K$139:$S$151,MATCH($C31&amp;$D31&amp;LEFT($AD31,7),'TaxCred&amp;Subs'!$E$139:$E$151,0),MATCH($H31,'TaxCred&amp;Subs'!$K$137:$S$137,0)),0),IF($C31=2,O31*IFERROR(INDEX('TaxCred&amp;Subs'!$K$139:$S$151,MATCH($C31&amp;$D31,'TaxCred&amp;Subs'!$D$139:$D$151,0),MATCH($H31,'TaxCred&amp;Subs'!$K$137:$S$137,0)),0),O31*IFERROR(INDEX('TaxCred&amp;Subs'!$K$139:$S$151,MATCH($C31&amp;$D31,'TaxCred&amp;Subs'!$C$139:$C$151,0),MATCH($H31,'TaxCred&amp;Subs'!$K$137:$S$137,0)),0))),0),0)</f>
        <v>0</v>
      </c>
      <c r="T31" s="95">
        <f t="shared" si="0"/>
        <v>0</v>
      </c>
      <c r="U31" s="95">
        <f t="shared" si="1"/>
        <v>0</v>
      </c>
      <c r="V31" s="28" t="s">
        <v>222</v>
      </c>
      <c r="W31" s="31">
        <v>2020</v>
      </c>
      <c r="X31" s="28">
        <v>1</v>
      </c>
      <c r="Y31" s="28">
        <v>0</v>
      </c>
      <c r="Z31" s="196">
        <v>-1.6872967825092632E-4</v>
      </c>
      <c r="AA31" s="196">
        <v>-2.5958412038604049E-3</v>
      </c>
      <c r="AB31" s="28">
        <v>0</v>
      </c>
      <c r="AC31" s="28">
        <v>0</v>
      </c>
      <c r="AD31" s="28" t="s">
        <v>196</v>
      </c>
    </row>
    <row r="32" spans="2:31" ht="14.25" customHeight="1" x14ac:dyDescent="0.2">
      <c r="B32" s="7">
        <f t="shared" si="2"/>
        <v>8</v>
      </c>
      <c r="C32" s="152">
        <v>1</v>
      </c>
      <c r="D32" s="152">
        <v>2</v>
      </c>
      <c r="E32" s="152">
        <v>3</v>
      </c>
      <c r="F32" s="153">
        <v>2040</v>
      </c>
      <c r="G32" s="152">
        <v>2050</v>
      </c>
      <c r="H32" s="152">
        <v>11</v>
      </c>
      <c r="I32" s="152">
        <v>3</v>
      </c>
      <c r="J32" s="152">
        <v>0</v>
      </c>
      <c r="K32" s="152">
        <v>0</v>
      </c>
      <c r="L32" s="152">
        <v>0</v>
      </c>
      <c r="M32" s="154">
        <v>2.7256740914419697</v>
      </c>
      <c r="N32" s="155">
        <v>3620</v>
      </c>
      <c r="O32" s="155">
        <v>5000</v>
      </c>
      <c r="P32" s="41">
        <f t="array" ref="P32">ROUND(IF($F32&lt;='TaxCred&amp;Subs'!$C$49,(IF($C32=2,IF($M32&gt;=IFERROR(INDEX('TaxCred&amp;Subs'!$L$12:$L$47,MATCH(1,($C32&amp;$D32='TaxCred&amp;Subs'!$E$12:$E$47)*($F32='TaxCred&amp;Subs'!$C$12:$C$47),0)
),9999),IFERROR(INDEX('TaxCred&amp;Subs'!$N$12:$N$47,MATCH(1,($C32&amp;$D32='TaxCred&amp;Subs'!$E$12:$E$47)*($F32='TaxCred&amp;Subs'!$C$12:$C$47),0)
),0),0),(IF($M32&gt;=IFERROR(INDEX('TaxCred&amp;Subs'!$H$12:$H$47,MATCH(1,($C32&amp;$D32='TaxCred&amp;Subs'!$D$12:$D$47)*($F32='TaxCred&amp;Subs'!$C$12:$C$47),0)
),9999),IFERROR(INDEX('TaxCred&amp;Subs'!$N$12:$N$47,MATCH(1,($C32&amp;$D32='TaxCred&amp;Subs'!$D$12:$D$47)*($F32='TaxCred&amp;Subs'!$C$12:$C$47),0)
),0),0)))),0)+IF(AND($C32=2,VALUE(RIGHT($AD32,1))&gt;2),(N32-R32)*(IFERROR(INDEX('TaxCred&amp;Subs'!$J$66:$J$99,MATCH(1,($C32&amp;$D32='TaxCred&amp;Subs'!$E$66:$E$99)*($F32='TaxCred&amp;Subs'!$C$66:$C$99),0)),0)),IF(AND($C32=1,VALUE(RIGHT($AD32,1))&gt;2),(N32-R32)*(IFERROR(INDEX('TaxCred&amp;Subs'!$J$66:$J$99,MATCH(1,($C32&amp;$D32='TaxCred&amp;Subs'!$D$66:$D$99)*($F32='TaxCred&amp;Subs'!$C$66:$C$99),0)),0)),IF($C32&gt;2,(N32-R32)*(IFERROR(INDEX('TaxCred&amp;Subs'!$J$66:$J$99,MATCH(1,($C32&amp;$D32='TaxCred&amp;Subs'!$D$66:$D$99)*($F32='TaxCred&amp;Subs'!$C$66:$C$99),0)),0)),0))),0)</f>
        <v>0</v>
      </c>
      <c r="Q32" s="41">
        <f t="array" ref="Q32">ROUND(IF(AND($C32=2,VALUE(RIGHT($AD32,1))&gt;2),(O32-S32)*(IFERROR(INDEX('TaxCred&amp;Subs'!$J$66:$J$99,MATCH(1,($C32&amp;$D32='TaxCred&amp;Subs'!$E$66:$E$99)*($F32='TaxCred&amp;Subs'!$C$66:$C$99),0)),0)),IF(AND($C32=1,VALUE(RIGHT($AD32,1))&gt;2),(O32-S32)*(IFERROR(INDEX('TaxCred&amp;Subs'!$J$66:$J$99,MATCH(1,($C32&amp;$D32='TaxCred&amp;Subs'!$D$66:$D$99)*($F32='TaxCred&amp;Subs'!$C$66:$C$99),0)),0)),IF($C32&gt;2,(O32-S32)*(IFERROR(INDEX('TaxCred&amp;Subs'!$J$66:$J$99,MATCH(1,($C32&amp;$D32='TaxCred&amp;Subs'!$D$66:$D$99)*($F32='TaxCred&amp;Subs'!$C$66:$C$99),0)),0)),0))),0)</f>
        <v>0</v>
      </c>
      <c r="R32" s="41">
        <f t="array" ref="R32">ROUND(IF(IFERROR(VALUE(RIGHT($AD32,1)),0)&gt;2,IF($C32=8,N32*IFERROR(INDEX('TaxCred&amp;Subs'!$K$139:$S$151,MATCH($C32&amp;$D32&amp;LEFT($AD32,7),'TaxCred&amp;Subs'!$E$139:$E$151,0),MATCH($H32,'TaxCred&amp;Subs'!$K$137:$S$137,0)),0),IF($C32=2,N32*IFERROR(INDEX('TaxCred&amp;Subs'!$K$139:$S$151,MATCH($C32&amp;$D32,'TaxCred&amp;Subs'!$D$139:$D$151,0),MATCH($H32,'TaxCred&amp;Subs'!$K$137:$S$137,0)),0),N32*IFERROR(INDEX('TaxCred&amp;Subs'!$K$139:$S$151,MATCH($C32&amp;$D32,'TaxCred&amp;Subs'!$C$139:$C$151,0),MATCH($H32,'TaxCred&amp;Subs'!$K$137:$S$137,0)),0))),0),0)</f>
        <v>0</v>
      </c>
      <c r="S32" s="171">
        <f t="array" ref="S32">ROUND(IF(IFERROR(VALUE(RIGHT($AD32,1)),0)&gt;2,IF($C32=8,O32*IFERROR(INDEX('TaxCred&amp;Subs'!$K$139:$S$151,MATCH($C32&amp;$D32&amp;LEFT($AD32,7),'TaxCred&amp;Subs'!$E$139:$E$151,0),MATCH($H32,'TaxCred&amp;Subs'!$K$137:$S$137,0)),0),IF($C32=2,O32*IFERROR(INDEX('TaxCred&amp;Subs'!$K$139:$S$151,MATCH($C32&amp;$D32,'TaxCred&amp;Subs'!$D$139:$D$151,0),MATCH($H32,'TaxCred&amp;Subs'!$K$137:$S$137,0)),0),O32*IFERROR(INDEX('TaxCred&amp;Subs'!$K$139:$S$151,MATCH($C32&amp;$D32,'TaxCred&amp;Subs'!$C$139:$C$151,0),MATCH($H32,'TaxCred&amp;Subs'!$K$137:$S$137,0)),0))),0),0)</f>
        <v>0</v>
      </c>
      <c r="T32" s="41">
        <f t="shared" si="0"/>
        <v>0</v>
      </c>
      <c r="U32" s="41">
        <f t="shared" si="1"/>
        <v>0</v>
      </c>
      <c r="V32" s="152" t="s">
        <v>222</v>
      </c>
      <c r="W32" s="152">
        <v>2020</v>
      </c>
      <c r="X32" s="152">
        <v>1</v>
      </c>
      <c r="Y32" s="152">
        <v>0</v>
      </c>
      <c r="Z32" s="194">
        <v>-1.6872967825092632E-4</v>
      </c>
      <c r="AA32" s="194">
        <v>-2.5958412038604049E-3</v>
      </c>
      <c r="AB32" s="152">
        <v>0</v>
      </c>
      <c r="AC32" s="152">
        <v>0</v>
      </c>
      <c r="AD32" s="152" t="s">
        <v>196</v>
      </c>
    </row>
    <row r="33" spans="2:30" x14ac:dyDescent="0.2">
      <c r="B33" s="7">
        <f t="shared" si="2"/>
        <v>9</v>
      </c>
      <c r="C33" s="28">
        <v>1</v>
      </c>
      <c r="D33" s="28">
        <v>2</v>
      </c>
      <c r="E33" s="28">
        <v>4</v>
      </c>
      <c r="F33" s="96">
        <v>2020</v>
      </c>
      <c r="G33" s="28">
        <v>2021</v>
      </c>
      <c r="H33" s="28">
        <v>1</v>
      </c>
      <c r="I33" s="28">
        <v>4</v>
      </c>
      <c r="J33" s="28">
        <v>0</v>
      </c>
      <c r="K33" s="28">
        <v>0</v>
      </c>
      <c r="L33" s="28">
        <v>0</v>
      </c>
      <c r="M33" s="75">
        <v>2.4912075029308323</v>
      </c>
      <c r="N33" s="151">
        <v>3405</v>
      </c>
      <c r="O33" s="151">
        <v>4110</v>
      </c>
      <c r="P33" s="95">
        <f t="array" ref="P33">ROUND(IF($F33&lt;='TaxCred&amp;Subs'!$C$49,(IF($C33=2,IF($M33&gt;=IFERROR(INDEX('TaxCred&amp;Subs'!$L$12:$L$47,MATCH(1,($C33&amp;$D33='TaxCred&amp;Subs'!$E$12:$E$47)*($F33='TaxCred&amp;Subs'!$C$12:$C$47),0)
),9999),IFERROR(INDEX('TaxCred&amp;Subs'!$N$12:$N$47,MATCH(1,($C33&amp;$D33='TaxCred&amp;Subs'!$E$12:$E$47)*($F33='TaxCred&amp;Subs'!$C$12:$C$47),0)
),0),0),(IF($M33&gt;=IFERROR(INDEX('TaxCred&amp;Subs'!$H$12:$H$47,MATCH(1,($C33&amp;$D33='TaxCred&amp;Subs'!$D$12:$D$47)*($F33='TaxCred&amp;Subs'!$C$12:$C$47),0)
),9999),IFERROR(INDEX('TaxCred&amp;Subs'!$N$12:$N$47,MATCH(1,($C33&amp;$D33='TaxCred&amp;Subs'!$D$12:$D$47)*($F33='TaxCred&amp;Subs'!$C$12:$C$47),0)
),0),0)))),0)+IF(AND($C33=2,VALUE(RIGHT($AD33,1))&gt;2),(N33-R33)*(IFERROR(INDEX('TaxCred&amp;Subs'!$J$66:$J$99,MATCH(1,($C33&amp;$D33='TaxCred&amp;Subs'!$E$66:$E$99)*($F33='TaxCred&amp;Subs'!$C$66:$C$99),0)),0)),IF(AND($C33=1,VALUE(RIGHT($AD33,1))&gt;2),(N33-R33)*(IFERROR(INDEX('TaxCred&amp;Subs'!$J$66:$J$99,MATCH(1,($C33&amp;$D33='TaxCred&amp;Subs'!$D$66:$D$99)*($F33='TaxCred&amp;Subs'!$C$66:$C$99),0)),0)),IF($C33&gt;2,(N33-R33)*(IFERROR(INDEX('TaxCred&amp;Subs'!$J$66:$J$99,MATCH(1,($C33&amp;$D33='TaxCred&amp;Subs'!$D$66:$D$99)*($F33='TaxCred&amp;Subs'!$C$66:$C$99),0)),0)),0))),0)</f>
        <v>150</v>
      </c>
      <c r="Q33" s="95">
        <f t="array" ref="Q33">ROUND(IF(AND($C33=2,VALUE(RIGHT($AD33,1))&gt;2),(O33-S33)*(IFERROR(INDEX('TaxCred&amp;Subs'!$J$66:$J$99,MATCH(1,($C33&amp;$D33='TaxCred&amp;Subs'!$E$66:$E$99)*($F33='TaxCred&amp;Subs'!$C$66:$C$99),0)),0)),IF(AND($C33=1,VALUE(RIGHT($AD33,1))&gt;2),(O33-S33)*(IFERROR(INDEX('TaxCred&amp;Subs'!$J$66:$J$99,MATCH(1,($C33&amp;$D33='TaxCred&amp;Subs'!$D$66:$D$99)*($F33='TaxCred&amp;Subs'!$C$66:$C$99),0)),0)),IF($C33&gt;2,(O33-S33)*(IFERROR(INDEX('TaxCred&amp;Subs'!$J$66:$J$99,MATCH(1,($C33&amp;$D33='TaxCred&amp;Subs'!$D$66:$D$99)*($F33='TaxCred&amp;Subs'!$C$66:$C$99),0)),0)),0))),0)</f>
        <v>0</v>
      </c>
      <c r="R33" s="95">
        <f t="array" ref="R33">ROUND(IF(IFERROR(VALUE(RIGHT($AD33,1)),0)&gt;2,IF($C33=8,N33*IFERROR(INDEX('TaxCred&amp;Subs'!$K$139:$S$151,MATCH($C33&amp;$D33&amp;LEFT($AD33,7),'TaxCred&amp;Subs'!$E$139:$E$151,0),MATCH($H33,'TaxCred&amp;Subs'!$K$137:$S$137,0)),0),IF($C33=2,N33*IFERROR(INDEX('TaxCred&amp;Subs'!$K$139:$S$151,MATCH($C33&amp;$D33,'TaxCred&amp;Subs'!$D$139:$D$151,0),MATCH($H33,'TaxCred&amp;Subs'!$K$137:$S$137,0)),0),N33*IFERROR(INDEX('TaxCred&amp;Subs'!$K$139:$S$151,MATCH($C33&amp;$D33,'TaxCred&amp;Subs'!$C$139:$C$151,0),MATCH($H33,'TaxCred&amp;Subs'!$K$137:$S$137,0)),0))),0),0)</f>
        <v>492</v>
      </c>
      <c r="S33" s="95">
        <f t="array" ref="S33">ROUND(IF(IFERROR(VALUE(RIGHT($AD33,1)),0)&gt;2,IF($C33=8,O33*IFERROR(INDEX('TaxCred&amp;Subs'!$K$139:$S$151,MATCH($C33&amp;$D33&amp;LEFT($AD33,7),'TaxCred&amp;Subs'!$E$139:$E$151,0),MATCH($H33,'TaxCred&amp;Subs'!$K$137:$S$137,0)),0),IF($C33=2,O33*IFERROR(INDEX('TaxCred&amp;Subs'!$K$139:$S$151,MATCH($C33&amp;$D33,'TaxCred&amp;Subs'!$D$139:$D$151,0),MATCH($H33,'TaxCred&amp;Subs'!$K$137:$S$137,0)),0),O33*IFERROR(INDEX('TaxCred&amp;Subs'!$K$139:$S$151,MATCH($C33&amp;$D33,'TaxCred&amp;Subs'!$C$139:$C$151,0),MATCH($H33,'TaxCred&amp;Subs'!$K$137:$S$137,0)),0))),0),0)</f>
        <v>593</v>
      </c>
      <c r="T33" s="95">
        <f t="shared" si="0"/>
        <v>0</v>
      </c>
      <c r="U33" s="95">
        <f t="shared" si="1"/>
        <v>0</v>
      </c>
      <c r="V33" s="28" t="s">
        <v>222</v>
      </c>
      <c r="W33" s="31">
        <v>2020</v>
      </c>
      <c r="X33" s="28">
        <v>1</v>
      </c>
      <c r="Y33" s="28">
        <v>0</v>
      </c>
      <c r="Z33" s="196">
        <v>-2.0762472774284713E-4</v>
      </c>
      <c r="AA33" s="196">
        <v>-3.1942265806591866E-3</v>
      </c>
      <c r="AB33" s="28">
        <v>0</v>
      </c>
      <c r="AC33" s="28">
        <v>0</v>
      </c>
      <c r="AD33" s="28" t="s">
        <v>197</v>
      </c>
    </row>
    <row r="34" spans="2:30" ht="14.25" customHeight="1" x14ac:dyDescent="0.2">
      <c r="B34" s="7">
        <f t="shared" si="2"/>
        <v>10</v>
      </c>
      <c r="C34" s="28">
        <v>1</v>
      </c>
      <c r="D34" s="28">
        <v>2</v>
      </c>
      <c r="E34" s="28">
        <v>4</v>
      </c>
      <c r="F34" s="96">
        <v>2020</v>
      </c>
      <c r="G34" s="28">
        <v>2021</v>
      </c>
      <c r="H34" s="28">
        <v>2</v>
      </c>
      <c r="I34" s="28">
        <v>4</v>
      </c>
      <c r="J34" s="28">
        <v>0</v>
      </c>
      <c r="K34" s="28">
        <v>0</v>
      </c>
      <c r="L34" s="28">
        <v>0</v>
      </c>
      <c r="M34" s="75">
        <v>2.4912075029308323</v>
      </c>
      <c r="N34" s="151">
        <v>3405</v>
      </c>
      <c r="O34" s="151">
        <v>4110</v>
      </c>
      <c r="P34" s="95">
        <f t="array" ref="P34">ROUND(IF($F34&lt;='TaxCred&amp;Subs'!$C$49,(IF($C34=2,IF($M34&gt;=IFERROR(INDEX('TaxCred&amp;Subs'!$L$12:$L$47,MATCH(1,($C34&amp;$D34='TaxCred&amp;Subs'!$E$12:$E$47)*($F34='TaxCred&amp;Subs'!$C$12:$C$47),0)
),9999),IFERROR(INDEX('TaxCred&amp;Subs'!$N$12:$N$47,MATCH(1,($C34&amp;$D34='TaxCred&amp;Subs'!$E$12:$E$47)*($F34='TaxCred&amp;Subs'!$C$12:$C$47),0)
),0),0),(IF($M34&gt;=IFERROR(INDEX('TaxCred&amp;Subs'!$H$12:$H$47,MATCH(1,($C34&amp;$D34='TaxCred&amp;Subs'!$D$12:$D$47)*($F34='TaxCred&amp;Subs'!$C$12:$C$47),0)
),9999),IFERROR(INDEX('TaxCred&amp;Subs'!$N$12:$N$47,MATCH(1,($C34&amp;$D34='TaxCred&amp;Subs'!$D$12:$D$47)*($F34='TaxCred&amp;Subs'!$C$12:$C$47),0)
),0),0)))),0)+IF(AND($C34=2,VALUE(RIGHT($AD34,1))&gt;2),(N34-R34)*(IFERROR(INDEX('TaxCred&amp;Subs'!$J$66:$J$99,MATCH(1,($C34&amp;$D34='TaxCred&amp;Subs'!$E$66:$E$99)*($F34='TaxCred&amp;Subs'!$C$66:$C$99),0)),0)),IF(AND($C34=1,VALUE(RIGHT($AD34,1))&gt;2),(N34-R34)*(IFERROR(INDEX('TaxCred&amp;Subs'!$J$66:$J$99,MATCH(1,($C34&amp;$D34='TaxCred&amp;Subs'!$D$66:$D$99)*($F34='TaxCred&amp;Subs'!$C$66:$C$99),0)),0)),IF($C34&gt;2,(N34-R34)*(IFERROR(INDEX('TaxCred&amp;Subs'!$J$66:$J$99,MATCH(1,($C34&amp;$D34='TaxCred&amp;Subs'!$D$66:$D$99)*($F34='TaxCred&amp;Subs'!$C$66:$C$99),0)),0)),0))),0)</f>
        <v>150</v>
      </c>
      <c r="Q34" s="95">
        <f t="array" ref="Q34">ROUND(IF(AND($C34=2,VALUE(RIGHT($AD34,1))&gt;2),(O34-S34)*(IFERROR(INDEX('TaxCred&amp;Subs'!$J$66:$J$99,MATCH(1,($C34&amp;$D34='TaxCred&amp;Subs'!$E$66:$E$99)*($F34='TaxCred&amp;Subs'!$C$66:$C$99),0)),0)),IF(AND($C34=1,VALUE(RIGHT($AD34,1))&gt;2),(O34-S34)*(IFERROR(INDEX('TaxCred&amp;Subs'!$J$66:$J$99,MATCH(1,($C34&amp;$D34='TaxCred&amp;Subs'!$D$66:$D$99)*($F34='TaxCred&amp;Subs'!$C$66:$C$99),0)),0)),IF($C34&gt;2,(O34-S34)*(IFERROR(INDEX('TaxCred&amp;Subs'!$J$66:$J$99,MATCH(1,($C34&amp;$D34='TaxCred&amp;Subs'!$D$66:$D$99)*($F34='TaxCred&amp;Subs'!$C$66:$C$99),0)),0)),0))),0)</f>
        <v>0</v>
      </c>
      <c r="R34" s="95">
        <f t="array" ref="R34">ROUND(IF(IFERROR(VALUE(RIGHT($AD34,1)),0)&gt;2,IF($C34=8,N34*IFERROR(INDEX('TaxCred&amp;Subs'!$K$139:$S$151,MATCH($C34&amp;$D34&amp;LEFT($AD34,7),'TaxCred&amp;Subs'!$E$139:$E$151,0),MATCH($H34,'TaxCred&amp;Subs'!$K$137:$S$137,0)),0),IF($C34=2,N34*IFERROR(INDEX('TaxCred&amp;Subs'!$K$139:$S$151,MATCH($C34&amp;$D34,'TaxCred&amp;Subs'!$D$139:$D$151,0),MATCH($H34,'TaxCred&amp;Subs'!$K$137:$S$137,0)),0),N34*IFERROR(INDEX('TaxCred&amp;Subs'!$K$139:$S$151,MATCH($C34&amp;$D34,'TaxCred&amp;Subs'!$C$139:$C$151,0),MATCH($H34,'TaxCred&amp;Subs'!$K$137:$S$137,0)),0))),0),0)</f>
        <v>178</v>
      </c>
      <c r="S34" s="95">
        <f t="array" ref="S34">ROUND(IF(IFERROR(VALUE(RIGHT($AD34,1)),0)&gt;2,IF($C34=8,O34*IFERROR(INDEX('TaxCred&amp;Subs'!$K$139:$S$151,MATCH($C34&amp;$D34&amp;LEFT($AD34,7),'TaxCred&amp;Subs'!$E$139:$E$151,0),MATCH($H34,'TaxCred&amp;Subs'!$K$137:$S$137,0)),0),IF($C34=2,O34*IFERROR(INDEX('TaxCred&amp;Subs'!$K$139:$S$151,MATCH($C34&amp;$D34,'TaxCred&amp;Subs'!$D$139:$D$151,0),MATCH($H34,'TaxCred&amp;Subs'!$K$137:$S$137,0)),0),O34*IFERROR(INDEX('TaxCred&amp;Subs'!$K$139:$S$151,MATCH($C34&amp;$D34,'TaxCred&amp;Subs'!$C$139:$C$151,0),MATCH($H34,'TaxCred&amp;Subs'!$K$137:$S$137,0)),0))),0),0)</f>
        <v>215</v>
      </c>
      <c r="T34" s="95">
        <f t="shared" si="0"/>
        <v>0</v>
      </c>
      <c r="U34" s="95">
        <f t="shared" si="1"/>
        <v>0</v>
      </c>
      <c r="V34" s="28" t="s">
        <v>222</v>
      </c>
      <c r="W34" s="31">
        <v>2020</v>
      </c>
      <c r="X34" s="28">
        <v>1</v>
      </c>
      <c r="Y34" s="28">
        <v>0</v>
      </c>
      <c r="Z34" s="196">
        <v>-2.0762472774284713E-4</v>
      </c>
      <c r="AA34" s="196">
        <v>-3.1942265806591866E-3</v>
      </c>
      <c r="AB34" s="28">
        <v>0</v>
      </c>
      <c r="AC34" s="28">
        <v>0</v>
      </c>
      <c r="AD34" s="28" t="s">
        <v>197</v>
      </c>
    </row>
    <row r="35" spans="2:30" ht="14.25" customHeight="1" x14ac:dyDescent="0.2">
      <c r="B35" s="7">
        <f t="shared" si="2"/>
        <v>11</v>
      </c>
      <c r="C35" s="28">
        <v>1</v>
      </c>
      <c r="D35" s="28">
        <v>2</v>
      </c>
      <c r="E35" s="28">
        <v>4</v>
      </c>
      <c r="F35" s="96">
        <v>2020</v>
      </c>
      <c r="G35" s="28">
        <v>2021</v>
      </c>
      <c r="H35" s="28">
        <v>3</v>
      </c>
      <c r="I35" s="28">
        <v>4</v>
      </c>
      <c r="J35" s="28">
        <v>0</v>
      </c>
      <c r="K35" s="28">
        <v>0</v>
      </c>
      <c r="L35" s="28">
        <v>0</v>
      </c>
      <c r="M35" s="75">
        <v>2.4912075029308323</v>
      </c>
      <c r="N35" s="151">
        <v>3405</v>
      </c>
      <c r="O35" s="151">
        <v>4110</v>
      </c>
      <c r="P35" s="95">
        <f t="array" ref="P35">ROUND(IF($F35&lt;='TaxCred&amp;Subs'!$C$49,(IF($C35=2,IF($M35&gt;=IFERROR(INDEX('TaxCred&amp;Subs'!$L$12:$L$47,MATCH(1,($C35&amp;$D35='TaxCred&amp;Subs'!$E$12:$E$47)*($F35='TaxCred&amp;Subs'!$C$12:$C$47),0)
),9999),IFERROR(INDEX('TaxCred&amp;Subs'!$N$12:$N$47,MATCH(1,($C35&amp;$D35='TaxCred&amp;Subs'!$E$12:$E$47)*($F35='TaxCred&amp;Subs'!$C$12:$C$47),0)
),0),0),(IF($M35&gt;=IFERROR(INDEX('TaxCred&amp;Subs'!$H$12:$H$47,MATCH(1,($C35&amp;$D35='TaxCred&amp;Subs'!$D$12:$D$47)*($F35='TaxCred&amp;Subs'!$C$12:$C$47),0)
),9999),IFERROR(INDEX('TaxCred&amp;Subs'!$N$12:$N$47,MATCH(1,($C35&amp;$D35='TaxCred&amp;Subs'!$D$12:$D$47)*($F35='TaxCred&amp;Subs'!$C$12:$C$47),0)
),0),0)))),0)+IF(AND($C35=2,VALUE(RIGHT($AD35,1))&gt;2),(N35-R35)*(IFERROR(INDEX('TaxCred&amp;Subs'!$J$66:$J$99,MATCH(1,($C35&amp;$D35='TaxCred&amp;Subs'!$E$66:$E$99)*($F35='TaxCred&amp;Subs'!$C$66:$C$99),0)),0)),IF(AND($C35=1,VALUE(RIGHT($AD35,1))&gt;2),(N35-R35)*(IFERROR(INDEX('TaxCred&amp;Subs'!$J$66:$J$99,MATCH(1,($C35&amp;$D35='TaxCred&amp;Subs'!$D$66:$D$99)*($F35='TaxCred&amp;Subs'!$C$66:$C$99),0)),0)),IF($C35&gt;2,(N35-R35)*(IFERROR(INDEX('TaxCred&amp;Subs'!$J$66:$J$99,MATCH(1,($C35&amp;$D35='TaxCred&amp;Subs'!$D$66:$D$99)*($F35='TaxCred&amp;Subs'!$C$66:$C$99),0)),0)),0))),0)</f>
        <v>150</v>
      </c>
      <c r="Q35" s="95">
        <f t="array" ref="Q35">ROUND(IF(AND($C35=2,VALUE(RIGHT($AD35,1))&gt;2),(O35-S35)*(IFERROR(INDEX('TaxCred&amp;Subs'!$J$66:$J$99,MATCH(1,($C35&amp;$D35='TaxCred&amp;Subs'!$E$66:$E$99)*($F35='TaxCred&amp;Subs'!$C$66:$C$99),0)),0)),IF(AND($C35=1,VALUE(RIGHT($AD35,1))&gt;2),(O35-S35)*(IFERROR(INDEX('TaxCred&amp;Subs'!$J$66:$J$99,MATCH(1,($C35&amp;$D35='TaxCred&amp;Subs'!$D$66:$D$99)*($F35='TaxCred&amp;Subs'!$C$66:$C$99),0)),0)),IF($C35&gt;2,(O35-S35)*(IFERROR(INDEX('TaxCred&amp;Subs'!$J$66:$J$99,MATCH(1,($C35&amp;$D35='TaxCred&amp;Subs'!$D$66:$D$99)*($F35='TaxCred&amp;Subs'!$C$66:$C$99),0)),0)),0))),0)</f>
        <v>0</v>
      </c>
      <c r="R35" s="95">
        <f t="array" ref="R35">ROUND(IF(IFERROR(VALUE(RIGHT($AD35,1)),0)&gt;2,IF($C35=8,N35*IFERROR(INDEX('TaxCred&amp;Subs'!$K$139:$S$151,MATCH($C35&amp;$D35&amp;LEFT($AD35,7),'TaxCred&amp;Subs'!$E$139:$E$151,0),MATCH($H35,'TaxCred&amp;Subs'!$K$137:$S$137,0)),0),IF($C35=2,N35*IFERROR(INDEX('TaxCred&amp;Subs'!$K$139:$S$151,MATCH($C35&amp;$D35,'TaxCred&amp;Subs'!$D$139:$D$151,0),MATCH($H35,'TaxCred&amp;Subs'!$K$137:$S$137,0)),0),N35*IFERROR(INDEX('TaxCred&amp;Subs'!$K$139:$S$151,MATCH($C35&amp;$D35,'TaxCred&amp;Subs'!$C$139:$C$151,0),MATCH($H35,'TaxCred&amp;Subs'!$K$137:$S$137,0)),0))),0),0)</f>
        <v>269</v>
      </c>
      <c r="S35" s="95">
        <f t="array" ref="S35">ROUND(IF(IFERROR(VALUE(RIGHT($AD35,1)),0)&gt;2,IF($C35=8,O35*IFERROR(INDEX('TaxCred&amp;Subs'!$K$139:$S$151,MATCH($C35&amp;$D35&amp;LEFT($AD35,7),'TaxCred&amp;Subs'!$E$139:$E$151,0),MATCH($H35,'TaxCred&amp;Subs'!$K$137:$S$137,0)),0),IF($C35=2,O35*IFERROR(INDEX('TaxCred&amp;Subs'!$K$139:$S$151,MATCH($C35&amp;$D35,'TaxCred&amp;Subs'!$D$139:$D$151,0),MATCH($H35,'TaxCred&amp;Subs'!$K$137:$S$137,0)),0),O35*IFERROR(INDEX('TaxCred&amp;Subs'!$K$139:$S$151,MATCH($C35&amp;$D35,'TaxCred&amp;Subs'!$C$139:$C$151,0),MATCH($H35,'TaxCred&amp;Subs'!$K$137:$S$137,0)),0))),0),0)</f>
        <v>325</v>
      </c>
      <c r="T35" s="95">
        <f t="shared" si="0"/>
        <v>0</v>
      </c>
      <c r="U35" s="95">
        <f t="shared" si="1"/>
        <v>0</v>
      </c>
      <c r="V35" s="28" t="s">
        <v>222</v>
      </c>
      <c r="W35" s="31">
        <v>2020</v>
      </c>
      <c r="X35" s="28">
        <v>1</v>
      </c>
      <c r="Y35" s="28">
        <v>0</v>
      </c>
      <c r="Z35" s="196">
        <v>-2.0762472774284713E-4</v>
      </c>
      <c r="AA35" s="196">
        <v>-3.1942265806591866E-3</v>
      </c>
      <c r="AB35" s="28">
        <v>0</v>
      </c>
      <c r="AC35" s="28">
        <v>0</v>
      </c>
      <c r="AD35" s="28" t="s">
        <v>197</v>
      </c>
    </row>
    <row r="36" spans="2:30" ht="14.25" customHeight="1" x14ac:dyDescent="0.2">
      <c r="B36" s="7">
        <f t="shared" si="2"/>
        <v>12</v>
      </c>
      <c r="C36" s="28">
        <v>1</v>
      </c>
      <c r="D36" s="28">
        <v>2</v>
      </c>
      <c r="E36" s="28">
        <v>4</v>
      </c>
      <c r="F36" s="96">
        <v>2020</v>
      </c>
      <c r="G36" s="28">
        <v>2021</v>
      </c>
      <c r="H36" s="28">
        <v>4</v>
      </c>
      <c r="I36" s="28">
        <v>4</v>
      </c>
      <c r="J36" s="28">
        <v>0</v>
      </c>
      <c r="K36" s="28">
        <v>0</v>
      </c>
      <c r="L36" s="28">
        <v>0</v>
      </c>
      <c r="M36" s="75">
        <v>2.4912075029308323</v>
      </c>
      <c r="N36" s="151">
        <v>3405</v>
      </c>
      <c r="O36" s="151">
        <v>4110</v>
      </c>
      <c r="P36" s="95">
        <f t="array" ref="P36">ROUND(IF($F36&lt;='TaxCred&amp;Subs'!$C$49,(IF($C36=2,IF($M36&gt;=IFERROR(INDEX('TaxCred&amp;Subs'!$L$12:$L$47,MATCH(1,($C36&amp;$D36='TaxCred&amp;Subs'!$E$12:$E$47)*($F36='TaxCred&amp;Subs'!$C$12:$C$47),0)
),9999),IFERROR(INDEX('TaxCred&amp;Subs'!$N$12:$N$47,MATCH(1,($C36&amp;$D36='TaxCred&amp;Subs'!$E$12:$E$47)*($F36='TaxCred&amp;Subs'!$C$12:$C$47),0)
),0),0),(IF($M36&gt;=IFERROR(INDEX('TaxCred&amp;Subs'!$H$12:$H$47,MATCH(1,($C36&amp;$D36='TaxCred&amp;Subs'!$D$12:$D$47)*($F36='TaxCred&amp;Subs'!$C$12:$C$47),0)
),9999),IFERROR(INDEX('TaxCred&amp;Subs'!$N$12:$N$47,MATCH(1,($C36&amp;$D36='TaxCred&amp;Subs'!$D$12:$D$47)*($F36='TaxCred&amp;Subs'!$C$12:$C$47),0)
),0),0)))),0)+IF(AND($C36=2,VALUE(RIGHT($AD36,1))&gt;2),(N36-R36)*(IFERROR(INDEX('TaxCred&amp;Subs'!$J$66:$J$99,MATCH(1,($C36&amp;$D36='TaxCred&amp;Subs'!$E$66:$E$99)*($F36='TaxCred&amp;Subs'!$C$66:$C$99),0)),0)),IF(AND($C36=1,VALUE(RIGHT($AD36,1))&gt;2),(N36-R36)*(IFERROR(INDEX('TaxCred&amp;Subs'!$J$66:$J$99,MATCH(1,($C36&amp;$D36='TaxCred&amp;Subs'!$D$66:$D$99)*($F36='TaxCred&amp;Subs'!$C$66:$C$99),0)),0)),IF($C36&gt;2,(N36-R36)*(IFERROR(INDEX('TaxCred&amp;Subs'!$J$66:$J$99,MATCH(1,($C36&amp;$D36='TaxCred&amp;Subs'!$D$66:$D$99)*($F36='TaxCred&amp;Subs'!$C$66:$C$99),0)),0)),0))),0)</f>
        <v>150</v>
      </c>
      <c r="Q36" s="95">
        <f t="array" ref="Q36">ROUND(IF(AND($C36=2,VALUE(RIGHT($AD36,1))&gt;2),(O36-S36)*(IFERROR(INDEX('TaxCred&amp;Subs'!$J$66:$J$99,MATCH(1,($C36&amp;$D36='TaxCred&amp;Subs'!$E$66:$E$99)*($F36='TaxCred&amp;Subs'!$C$66:$C$99),0)),0)),IF(AND($C36=1,VALUE(RIGHT($AD36,1))&gt;2),(O36-S36)*(IFERROR(INDEX('TaxCred&amp;Subs'!$J$66:$J$99,MATCH(1,($C36&amp;$D36='TaxCred&amp;Subs'!$D$66:$D$99)*($F36='TaxCred&amp;Subs'!$C$66:$C$99),0)),0)),IF($C36&gt;2,(O36-S36)*(IFERROR(INDEX('TaxCred&amp;Subs'!$J$66:$J$99,MATCH(1,($C36&amp;$D36='TaxCred&amp;Subs'!$D$66:$D$99)*($F36='TaxCred&amp;Subs'!$C$66:$C$99),0)),0)),0))),0)</f>
        <v>0</v>
      </c>
      <c r="R36" s="95">
        <f t="array" ref="R36">ROUND(IF(IFERROR(VALUE(RIGHT($AD36,1)),0)&gt;2,IF($C36=8,N36*IFERROR(INDEX('TaxCred&amp;Subs'!$K$139:$S$151,MATCH($C36&amp;$D36&amp;LEFT($AD36,7),'TaxCred&amp;Subs'!$E$139:$E$151,0),MATCH($H36,'TaxCred&amp;Subs'!$K$137:$S$137,0)),0),IF($C36=2,N36*IFERROR(INDEX('TaxCred&amp;Subs'!$K$139:$S$151,MATCH($C36&amp;$D36,'TaxCred&amp;Subs'!$D$139:$D$151,0),MATCH($H36,'TaxCred&amp;Subs'!$K$137:$S$137,0)),0),N36*IFERROR(INDEX('TaxCred&amp;Subs'!$K$139:$S$151,MATCH($C36&amp;$D36,'TaxCred&amp;Subs'!$C$139:$C$151,0),MATCH($H36,'TaxCred&amp;Subs'!$K$137:$S$137,0)),0))),0),0)</f>
        <v>164</v>
      </c>
      <c r="S36" s="95">
        <f t="array" ref="S36">ROUND(IF(IFERROR(VALUE(RIGHT($AD36,1)),0)&gt;2,IF($C36=8,O36*IFERROR(INDEX('TaxCred&amp;Subs'!$K$139:$S$151,MATCH($C36&amp;$D36&amp;LEFT($AD36,7),'TaxCred&amp;Subs'!$E$139:$E$151,0),MATCH($H36,'TaxCred&amp;Subs'!$K$137:$S$137,0)),0),IF($C36=2,O36*IFERROR(INDEX('TaxCred&amp;Subs'!$K$139:$S$151,MATCH($C36&amp;$D36,'TaxCred&amp;Subs'!$D$139:$D$151,0),MATCH($H36,'TaxCred&amp;Subs'!$K$137:$S$137,0)),0),O36*IFERROR(INDEX('TaxCred&amp;Subs'!$K$139:$S$151,MATCH($C36&amp;$D36,'TaxCred&amp;Subs'!$C$139:$C$151,0),MATCH($H36,'TaxCred&amp;Subs'!$K$137:$S$137,0)),0))),0),0)</f>
        <v>198</v>
      </c>
      <c r="T36" s="95">
        <f t="shared" si="0"/>
        <v>0</v>
      </c>
      <c r="U36" s="95">
        <f t="shared" si="1"/>
        <v>0</v>
      </c>
      <c r="V36" s="28" t="s">
        <v>222</v>
      </c>
      <c r="W36" s="31">
        <v>2020</v>
      </c>
      <c r="X36" s="28">
        <v>1</v>
      </c>
      <c r="Y36" s="28">
        <v>0</v>
      </c>
      <c r="Z36" s="196">
        <v>-2.0762472774284713E-4</v>
      </c>
      <c r="AA36" s="196">
        <v>-3.1942265806591866E-3</v>
      </c>
      <c r="AB36" s="28">
        <v>0</v>
      </c>
      <c r="AC36" s="28">
        <v>0</v>
      </c>
      <c r="AD36" s="28" t="s">
        <v>197</v>
      </c>
    </row>
    <row r="37" spans="2:30" ht="14.25" customHeight="1" x14ac:dyDescent="0.2">
      <c r="B37" s="7">
        <f t="shared" si="2"/>
        <v>13</v>
      </c>
      <c r="C37" s="28">
        <v>1</v>
      </c>
      <c r="D37" s="28">
        <v>2</v>
      </c>
      <c r="E37" s="28">
        <v>4</v>
      </c>
      <c r="F37" s="96">
        <v>2020</v>
      </c>
      <c r="G37" s="28">
        <v>2021</v>
      </c>
      <c r="H37" s="28">
        <v>5</v>
      </c>
      <c r="I37" s="28">
        <v>4</v>
      </c>
      <c r="J37" s="28">
        <v>0</v>
      </c>
      <c r="K37" s="28">
        <v>0</v>
      </c>
      <c r="L37" s="28">
        <v>0</v>
      </c>
      <c r="M37" s="75">
        <v>2.4912075029308323</v>
      </c>
      <c r="N37" s="151">
        <v>3405</v>
      </c>
      <c r="O37" s="151">
        <v>4110</v>
      </c>
      <c r="P37" s="95">
        <f t="array" ref="P37">ROUND(IF($F37&lt;='TaxCred&amp;Subs'!$C$49,(IF($C37=2,IF($M37&gt;=IFERROR(INDEX('TaxCred&amp;Subs'!$L$12:$L$47,MATCH(1,($C37&amp;$D37='TaxCred&amp;Subs'!$E$12:$E$47)*($F37='TaxCred&amp;Subs'!$C$12:$C$47),0)
),9999),IFERROR(INDEX('TaxCred&amp;Subs'!$N$12:$N$47,MATCH(1,($C37&amp;$D37='TaxCred&amp;Subs'!$E$12:$E$47)*($F37='TaxCred&amp;Subs'!$C$12:$C$47),0)
),0),0),(IF($M37&gt;=IFERROR(INDEX('TaxCred&amp;Subs'!$H$12:$H$47,MATCH(1,($C37&amp;$D37='TaxCred&amp;Subs'!$D$12:$D$47)*($F37='TaxCred&amp;Subs'!$C$12:$C$47),0)
),9999),IFERROR(INDEX('TaxCred&amp;Subs'!$N$12:$N$47,MATCH(1,($C37&amp;$D37='TaxCred&amp;Subs'!$D$12:$D$47)*($F37='TaxCred&amp;Subs'!$C$12:$C$47),0)
),0),0)))),0)+IF(AND($C37=2,VALUE(RIGHT($AD37,1))&gt;2),(N37-R37)*(IFERROR(INDEX('TaxCred&amp;Subs'!$J$66:$J$99,MATCH(1,($C37&amp;$D37='TaxCred&amp;Subs'!$E$66:$E$99)*($F37='TaxCred&amp;Subs'!$C$66:$C$99),0)),0)),IF(AND($C37=1,VALUE(RIGHT($AD37,1))&gt;2),(N37-R37)*(IFERROR(INDEX('TaxCred&amp;Subs'!$J$66:$J$99,MATCH(1,($C37&amp;$D37='TaxCred&amp;Subs'!$D$66:$D$99)*($F37='TaxCred&amp;Subs'!$C$66:$C$99),0)),0)),IF($C37&gt;2,(N37-R37)*(IFERROR(INDEX('TaxCred&amp;Subs'!$J$66:$J$99,MATCH(1,($C37&amp;$D37='TaxCred&amp;Subs'!$D$66:$D$99)*($F37='TaxCred&amp;Subs'!$C$66:$C$99),0)),0)),0))),0)</f>
        <v>150</v>
      </c>
      <c r="Q37" s="95">
        <f t="array" ref="Q37">ROUND(IF(AND($C37=2,VALUE(RIGHT($AD37,1))&gt;2),(O37-S37)*(IFERROR(INDEX('TaxCred&amp;Subs'!$J$66:$J$99,MATCH(1,($C37&amp;$D37='TaxCred&amp;Subs'!$E$66:$E$99)*($F37='TaxCred&amp;Subs'!$C$66:$C$99),0)),0)),IF(AND($C37=1,VALUE(RIGHT($AD37,1))&gt;2),(O37-S37)*(IFERROR(INDEX('TaxCred&amp;Subs'!$J$66:$J$99,MATCH(1,($C37&amp;$D37='TaxCred&amp;Subs'!$D$66:$D$99)*($F37='TaxCred&amp;Subs'!$C$66:$C$99),0)),0)),IF($C37&gt;2,(O37-S37)*(IFERROR(INDEX('TaxCred&amp;Subs'!$J$66:$J$99,MATCH(1,($C37&amp;$D37='TaxCred&amp;Subs'!$D$66:$D$99)*($F37='TaxCred&amp;Subs'!$C$66:$C$99),0)),0)),0))),0)</f>
        <v>0</v>
      </c>
      <c r="R37" s="95">
        <f t="array" ref="R37">ROUND(IF(IFERROR(VALUE(RIGHT($AD37,1)),0)&gt;2,IF($C37=8,N37*IFERROR(INDEX('TaxCred&amp;Subs'!$K$139:$S$151,MATCH($C37&amp;$D37&amp;LEFT($AD37,7),'TaxCred&amp;Subs'!$E$139:$E$151,0),MATCH($H37,'TaxCred&amp;Subs'!$K$137:$S$137,0)),0),IF($C37=2,N37*IFERROR(INDEX('TaxCred&amp;Subs'!$K$139:$S$151,MATCH($C37&amp;$D37,'TaxCred&amp;Subs'!$D$139:$D$151,0),MATCH($H37,'TaxCred&amp;Subs'!$K$137:$S$137,0)),0),N37*IFERROR(INDEX('TaxCred&amp;Subs'!$K$139:$S$151,MATCH($C37&amp;$D37,'TaxCred&amp;Subs'!$C$139:$C$151,0),MATCH($H37,'TaxCred&amp;Subs'!$K$137:$S$137,0)),0))),0),0)</f>
        <v>74</v>
      </c>
      <c r="S37" s="95">
        <f t="array" ref="S37">ROUND(IF(IFERROR(VALUE(RIGHT($AD37,1)),0)&gt;2,IF($C37=8,O37*IFERROR(INDEX('TaxCred&amp;Subs'!$K$139:$S$151,MATCH($C37&amp;$D37&amp;LEFT($AD37,7),'TaxCred&amp;Subs'!$E$139:$E$151,0),MATCH($H37,'TaxCred&amp;Subs'!$K$137:$S$137,0)),0),IF($C37=2,O37*IFERROR(INDEX('TaxCred&amp;Subs'!$K$139:$S$151,MATCH($C37&amp;$D37,'TaxCred&amp;Subs'!$D$139:$D$151,0),MATCH($H37,'TaxCred&amp;Subs'!$K$137:$S$137,0)),0),O37*IFERROR(INDEX('TaxCred&amp;Subs'!$K$139:$S$151,MATCH($C37&amp;$D37,'TaxCred&amp;Subs'!$C$139:$C$151,0),MATCH($H37,'TaxCred&amp;Subs'!$K$137:$S$137,0)),0))),0),0)</f>
        <v>90</v>
      </c>
      <c r="T37" s="95">
        <f t="shared" si="0"/>
        <v>0</v>
      </c>
      <c r="U37" s="95">
        <f t="shared" si="1"/>
        <v>0</v>
      </c>
      <c r="V37" s="28" t="s">
        <v>222</v>
      </c>
      <c r="W37" s="31">
        <v>2020</v>
      </c>
      <c r="X37" s="28">
        <v>1</v>
      </c>
      <c r="Y37" s="28">
        <v>0</v>
      </c>
      <c r="Z37" s="196">
        <v>-2.0762472774284713E-4</v>
      </c>
      <c r="AA37" s="196">
        <v>-3.1942265806591866E-3</v>
      </c>
      <c r="AB37" s="28">
        <v>0</v>
      </c>
      <c r="AC37" s="28">
        <v>0</v>
      </c>
      <c r="AD37" s="28" t="s">
        <v>197</v>
      </c>
    </row>
    <row r="38" spans="2:30" ht="14.25" customHeight="1" x14ac:dyDescent="0.2">
      <c r="B38" s="7">
        <f t="shared" si="2"/>
        <v>14</v>
      </c>
      <c r="C38" s="28">
        <v>1</v>
      </c>
      <c r="D38" s="28">
        <v>2</v>
      </c>
      <c r="E38" s="28">
        <v>4</v>
      </c>
      <c r="F38" s="96">
        <v>2020</v>
      </c>
      <c r="G38" s="28">
        <v>2021</v>
      </c>
      <c r="H38" s="28">
        <v>6</v>
      </c>
      <c r="I38" s="28">
        <v>4</v>
      </c>
      <c r="J38" s="28">
        <v>0</v>
      </c>
      <c r="K38" s="28">
        <v>0</v>
      </c>
      <c r="L38" s="28">
        <v>0</v>
      </c>
      <c r="M38" s="75">
        <v>2.4912075029308323</v>
      </c>
      <c r="N38" s="151">
        <v>3405</v>
      </c>
      <c r="O38" s="151">
        <v>4110</v>
      </c>
      <c r="P38" s="95">
        <f t="array" ref="P38">ROUND(IF($F38&lt;='TaxCred&amp;Subs'!$C$49,(IF($C38=2,IF($M38&gt;=IFERROR(INDEX('TaxCred&amp;Subs'!$L$12:$L$47,MATCH(1,($C38&amp;$D38='TaxCred&amp;Subs'!$E$12:$E$47)*($F38='TaxCred&amp;Subs'!$C$12:$C$47),0)
),9999),IFERROR(INDEX('TaxCred&amp;Subs'!$N$12:$N$47,MATCH(1,($C38&amp;$D38='TaxCred&amp;Subs'!$E$12:$E$47)*($F38='TaxCred&amp;Subs'!$C$12:$C$47),0)
),0),0),(IF($M38&gt;=IFERROR(INDEX('TaxCred&amp;Subs'!$H$12:$H$47,MATCH(1,($C38&amp;$D38='TaxCred&amp;Subs'!$D$12:$D$47)*($F38='TaxCred&amp;Subs'!$C$12:$C$47),0)
),9999),IFERROR(INDEX('TaxCred&amp;Subs'!$N$12:$N$47,MATCH(1,($C38&amp;$D38='TaxCred&amp;Subs'!$D$12:$D$47)*($F38='TaxCred&amp;Subs'!$C$12:$C$47),0)
),0),0)))),0)+IF(AND($C38=2,VALUE(RIGHT($AD38,1))&gt;2),(N38-R38)*(IFERROR(INDEX('TaxCred&amp;Subs'!$J$66:$J$99,MATCH(1,($C38&amp;$D38='TaxCred&amp;Subs'!$E$66:$E$99)*($F38='TaxCred&amp;Subs'!$C$66:$C$99),0)),0)),IF(AND($C38=1,VALUE(RIGHT($AD38,1))&gt;2),(N38-R38)*(IFERROR(INDEX('TaxCred&amp;Subs'!$J$66:$J$99,MATCH(1,($C38&amp;$D38='TaxCred&amp;Subs'!$D$66:$D$99)*($F38='TaxCred&amp;Subs'!$C$66:$C$99),0)),0)),IF($C38&gt;2,(N38-R38)*(IFERROR(INDEX('TaxCred&amp;Subs'!$J$66:$J$99,MATCH(1,($C38&amp;$D38='TaxCred&amp;Subs'!$D$66:$D$99)*($F38='TaxCred&amp;Subs'!$C$66:$C$99),0)),0)),0))),0)</f>
        <v>150</v>
      </c>
      <c r="Q38" s="95">
        <f t="array" ref="Q38">ROUND(IF(AND($C38=2,VALUE(RIGHT($AD38,1))&gt;2),(O38-S38)*(IFERROR(INDEX('TaxCred&amp;Subs'!$J$66:$J$99,MATCH(1,($C38&amp;$D38='TaxCred&amp;Subs'!$E$66:$E$99)*($F38='TaxCred&amp;Subs'!$C$66:$C$99),0)),0)),IF(AND($C38=1,VALUE(RIGHT($AD38,1))&gt;2),(O38-S38)*(IFERROR(INDEX('TaxCred&amp;Subs'!$J$66:$J$99,MATCH(1,($C38&amp;$D38='TaxCred&amp;Subs'!$D$66:$D$99)*($F38='TaxCred&amp;Subs'!$C$66:$C$99),0)),0)),IF($C38&gt;2,(O38-S38)*(IFERROR(INDEX('TaxCred&amp;Subs'!$J$66:$J$99,MATCH(1,($C38&amp;$D38='TaxCred&amp;Subs'!$D$66:$D$99)*($F38='TaxCred&amp;Subs'!$C$66:$C$99),0)),0)),0))),0)</f>
        <v>0</v>
      </c>
      <c r="R38" s="95">
        <f t="array" ref="R38">ROUND(IF(IFERROR(VALUE(RIGHT($AD38,1)),0)&gt;2,IF($C38=8,N38*IFERROR(INDEX('TaxCred&amp;Subs'!$K$139:$S$151,MATCH($C38&amp;$D38&amp;LEFT($AD38,7),'TaxCred&amp;Subs'!$E$139:$E$151,0),MATCH($H38,'TaxCred&amp;Subs'!$K$137:$S$137,0)),0),IF($C38=2,N38*IFERROR(INDEX('TaxCred&amp;Subs'!$K$139:$S$151,MATCH($C38&amp;$D38,'TaxCred&amp;Subs'!$D$139:$D$151,0),MATCH($H38,'TaxCred&amp;Subs'!$K$137:$S$137,0)),0),N38*IFERROR(INDEX('TaxCred&amp;Subs'!$K$139:$S$151,MATCH($C38&amp;$D38,'TaxCred&amp;Subs'!$C$139:$C$151,0),MATCH($H38,'TaxCred&amp;Subs'!$K$137:$S$137,0)),0))),0),0)</f>
        <v>0</v>
      </c>
      <c r="S38" s="95">
        <f t="array" ref="S38">ROUND(IF(IFERROR(VALUE(RIGHT($AD38,1)),0)&gt;2,IF($C38=8,O38*IFERROR(INDEX('TaxCred&amp;Subs'!$K$139:$S$151,MATCH($C38&amp;$D38&amp;LEFT($AD38,7),'TaxCred&amp;Subs'!$E$139:$E$151,0),MATCH($H38,'TaxCred&amp;Subs'!$K$137:$S$137,0)),0),IF($C38=2,O38*IFERROR(INDEX('TaxCred&amp;Subs'!$K$139:$S$151,MATCH($C38&amp;$D38,'TaxCred&amp;Subs'!$D$139:$D$151,0),MATCH($H38,'TaxCred&amp;Subs'!$K$137:$S$137,0)),0),O38*IFERROR(INDEX('TaxCred&amp;Subs'!$K$139:$S$151,MATCH($C38&amp;$D38,'TaxCred&amp;Subs'!$C$139:$C$151,0),MATCH($H38,'TaxCred&amp;Subs'!$K$137:$S$137,0)),0))),0),0)</f>
        <v>0</v>
      </c>
      <c r="T38" s="95">
        <f t="shared" si="0"/>
        <v>0</v>
      </c>
      <c r="U38" s="95">
        <f t="shared" si="1"/>
        <v>0</v>
      </c>
      <c r="V38" s="28" t="s">
        <v>222</v>
      </c>
      <c r="W38" s="31">
        <v>2020</v>
      </c>
      <c r="X38" s="28">
        <v>1</v>
      </c>
      <c r="Y38" s="28">
        <v>0</v>
      </c>
      <c r="Z38" s="196">
        <v>-2.0762472774284713E-4</v>
      </c>
      <c r="AA38" s="196">
        <v>-3.1942265806591866E-3</v>
      </c>
      <c r="AB38" s="28">
        <v>0</v>
      </c>
      <c r="AC38" s="28">
        <v>0</v>
      </c>
      <c r="AD38" s="28" t="s">
        <v>197</v>
      </c>
    </row>
    <row r="39" spans="2:30" ht="14.25" customHeight="1" x14ac:dyDescent="0.2">
      <c r="B39" s="7">
        <f t="shared" si="2"/>
        <v>15</v>
      </c>
      <c r="C39" s="28">
        <v>1</v>
      </c>
      <c r="D39" s="28">
        <v>2</v>
      </c>
      <c r="E39" s="28">
        <v>4</v>
      </c>
      <c r="F39" s="96">
        <v>2020</v>
      </c>
      <c r="G39" s="28">
        <v>2021</v>
      </c>
      <c r="H39" s="28">
        <v>7</v>
      </c>
      <c r="I39" s="28">
        <v>4</v>
      </c>
      <c r="J39" s="28">
        <v>0</v>
      </c>
      <c r="K39" s="28">
        <v>0</v>
      </c>
      <c r="L39" s="28">
        <v>0</v>
      </c>
      <c r="M39" s="75">
        <v>2.4912075029308323</v>
      </c>
      <c r="N39" s="151">
        <v>3405</v>
      </c>
      <c r="O39" s="151">
        <v>4110</v>
      </c>
      <c r="P39" s="95">
        <f t="array" ref="P39">ROUND(IF($F39&lt;='TaxCred&amp;Subs'!$C$49,(IF($C39=2,IF($M39&gt;=IFERROR(INDEX('TaxCred&amp;Subs'!$L$12:$L$47,MATCH(1,($C39&amp;$D39='TaxCred&amp;Subs'!$E$12:$E$47)*($F39='TaxCred&amp;Subs'!$C$12:$C$47),0)
),9999),IFERROR(INDEX('TaxCred&amp;Subs'!$N$12:$N$47,MATCH(1,($C39&amp;$D39='TaxCred&amp;Subs'!$E$12:$E$47)*($F39='TaxCred&amp;Subs'!$C$12:$C$47),0)
),0),0),(IF($M39&gt;=IFERROR(INDEX('TaxCred&amp;Subs'!$H$12:$H$47,MATCH(1,($C39&amp;$D39='TaxCred&amp;Subs'!$D$12:$D$47)*($F39='TaxCred&amp;Subs'!$C$12:$C$47),0)
),9999),IFERROR(INDEX('TaxCred&amp;Subs'!$N$12:$N$47,MATCH(1,($C39&amp;$D39='TaxCred&amp;Subs'!$D$12:$D$47)*($F39='TaxCred&amp;Subs'!$C$12:$C$47),0)
),0),0)))),0)+IF(AND($C39=2,VALUE(RIGHT($AD39,1))&gt;2),(N39-R39)*(IFERROR(INDEX('TaxCred&amp;Subs'!$J$66:$J$99,MATCH(1,($C39&amp;$D39='TaxCred&amp;Subs'!$E$66:$E$99)*($F39='TaxCred&amp;Subs'!$C$66:$C$99),0)),0)),IF(AND($C39=1,VALUE(RIGHT($AD39,1))&gt;2),(N39-R39)*(IFERROR(INDEX('TaxCred&amp;Subs'!$J$66:$J$99,MATCH(1,($C39&amp;$D39='TaxCred&amp;Subs'!$D$66:$D$99)*($F39='TaxCred&amp;Subs'!$C$66:$C$99),0)),0)),IF($C39&gt;2,(N39-R39)*(IFERROR(INDEX('TaxCred&amp;Subs'!$J$66:$J$99,MATCH(1,($C39&amp;$D39='TaxCred&amp;Subs'!$D$66:$D$99)*($F39='TaxCred&amp;Subs'!$C$66:$C$99),0)),0)),0))),0)</f>
        <v>150</v>
      </c>
      <c r="Q39" s="95">
        <f t="array" ref="Q39">ROUND(IF(AND($C39=2,VALUE(RIGHT($AD39,1))&gt;2),(O39-S39)*(IFERROR(INDEX('TaxCred&amp;Subs'!$J$66:$J$99,MATCH(1,($C39&amp;$D39='TaxCred&amp;Subs'!$E$66:$E$99)*($F39='TaxCred&amp;Subs'!$C$66:$C$99),0)),0)),IF(AND($C39=1,VALUE(RIGHT($AD39,1))&gt;2),(O39-S39)*(IFERROR(INDEX('TaxCred&amp;Subs'!$J$66:$J$99,MATCH(1,($C39&amp;$D39='TaxCred&amp;Subs'!$D$66:$D$99)*($F39='TaxCred&amp;Subs'!$C$66:$C$99),0)),0)),IF($C39&gt;2,(O39-S39)*(IFERROR(INDEX('TaxCred&amp;Subs'!$J$66:$J$99,MATCH(1,($C39&amp;$D39='TaxCred&amp;Subs'!$D$66:$D$99)*($F39='TaxCred&amp;Subs'!$C$66:$C$99),0)),0)),0))),0)</f>
        <v>0</v>
      </c>
      <c r="R39" s="95">
        <f t="array" ref="R39">ROUND(IF(IFERROR(VALUE(RIGHT($AD39,1)),0)&gt;2,IF($C39=8,N39*IFERROR(INDEX('TaxCred&amp;Subs'!$K$139:$S$151,MATCH($C39&amp;$D39&amp;LEFT($AD39,7),'TaxCred&amp;Subs'!$E$139:$E$151,0),MATCH($H39,'TaxCred&amp;Subs'!$K$137:$S$137,0)),0),IF($C39=2,N39*IFERROR(INDEX('TaxCred&amp;Subs'!$K$139:$S$151,MATCH($C39&amp;$D39,'TaxCred&amp;Subs'!$D$139:$D$151,0),MATCH($H39,'TaxCred&amp;Subs'!$K$137:$S$137,0)),0),N39*IFERROR(INDEX('TaxCred&amp;Subs'!$K$139:$S$151,MATCH($C39&amp;$D39,'TaxCred&amp;Subs'!$C$139:$C$151,0),MATCH($H39,'TaxCred&amp;Subs'!$K$137:$S$137,0)),0))),0),0)</f>
        <v>659</v>
      </c>
      <c r="S39" s="95">
        <f t="array" ref="S39">ROUND(IF(IFERROR(VALUE(RIGHT($AD39,1)),0)&gt;2,IF($C39=8,O39*IFERROR(INDEX('TaxCred&amp;Subs'!$K$139:$S$151,MATCH($C39&amp;$D39&amp;LEFT($AD39,7),'TaxCred&amp;Subs'!$E$139:$E$151,0),MATCH($H39,'TaxCred&amp;Subs'!$K$137:$S$137,0)),0),IF($C39=2,O39*IFERROR(INDEX('TaxCred&amp;Subs'!$K$139:$S$151,MATCH($C39&amp;$D39,'TaxCred&amp;Subs'!$D$139:$D$151,0),MATCH($H39,'TaxCred&amp;Subs'!$K$137:$S$137,0)),0),O39*IFERROR(INDEX('TaxCred&amp;Subs'!$K$139:$S$151,MATCH($C39&amp;$D39,'TaxCred&amp;Subs'!$C$139:$C$151,0),MATCH($H39,'TaxCred&amp;Subs'!$K$137:$S$137,0)),0))),0),0)</f>
        <v>796</v>
      </c>
      <c r="T39" s="95">
        <f t="shared" si="0"/>
        <v>0</v>
      </c>
      <c r="U39" s="95">
        <f t="shared" si="1"/>
        <v>0</v>
      </c>
      <c r="V39" s="28" t="s">
        <v>222</v>
      </c>
      <c r="W39" s="31">
        <v>2020</v>
      </c>
      <c r="X39" s="28">
        <v>1</v>
      </c>
      <c r="Y39" s="28">
        <v>0</v>
      </c>
      <c r="Z39" s="196">
        <v>-2.0762472774284713E-4</v>
      </c>
      <c r="AA39" s="196">
        <v>-3.1942265806591866E-3</v>
      </c>
      <c r="AB39" s="28">
        <v>0</v>
      </c>
      <c r="AC39" s="28">
        <v>0</v>
      </c>
      <c r="AD39" s="28" t="s">
        <v>197</v>
      </c>
    </row>
    <row r="40" spans="2:30" ht="14.25" customHeight="1" x14ac:dyDescent="0.2">
      <c r="B40" s="7">
        <f t="shared" si="2"/>
        <v>16</v>
      </c>
      <c r="C40" s="28">
        <v>1</v>
      </c>
      <c r="D40" s="28">
        <v>2</v>
      </c>
      <c r="E40" s="28">
        <v>4</v>
      </c>
      <c r="F40" s="96">
        <v>2020</v>
      </c>
      <c r="G40" s="28">
        <v>2021</v>
      </c>
      <c r="H40" s="28">
        <v>8</v>
      </c>
      <c r="I40" s="28">
        <v>4</v>
      </c>
      <c r="J40" s="28">
        <v>0</v>
      </c>
      <c r="K40" s="28">
        <v>0</v>
      </c>
      <c r="L40" s="28">
        <v>0</v>
      </c>
      <c r="M40" s="75">
        <v>2.4912075029308323</v>
      </c>
      <c r="N40" s="151">
        <v>3405</v>
      </c>
      <c r="O40" s="151">
        <v>4110</v>
      </c>
      <c r="P40" s="95">
        <f t="array" ref="P40">ROUND(IF($F40&lt;='TaxCred&amp;Subs'!$C$49,(IF($C40=2,IF($M40&gt;=IFERROR(INDEX('TaxCred&amp;Subs'!$L$12:$L$47,MATCH(1,($C40&amp;$D40='TaxCred&amp;Subs'!$E$12:$E$47)*($F40='TaxCred&amp;Subs'!$C$12:$C$47),0)
),9999),IFERROR(INDEX('TaxCred&amp;Subs'!$N$12:$N$47,MATCH(1,($C40&amp;$D40='TaxCred&amp;Subs'!$E$12:$E$47)*($F40='TaxCred&amp;Subs'!$C$12:$C$47),0)
),0),0),(IF($M40&gt;=IFERROR(INDEX('TaxCred&amp;Subs'!$H$12:$H$47,MATCH(1,($C40&amp;$D40='TaxCred&amp;Subs'!$D$12:$D$47)*($F40='TaxCred&amp;Subs'!$C$12:$C$47),0)
),9999),IFERROR(INDEX('TaxCred&amp;Subs'!$N$12:$N$47,MATCH(1,($C40&amp;$D40='TaxCred&amp;Subs'!$D$12:$D$47)*($F40='TaxCred&amp;Subs'!$C$12:$C$47),0)
),0),0)))),0)+IF(AND($C40=2,VALUE(RIGHT($AD40,1))&gt;2),(N40-R40)*(IFERROR(INDEX('TaxCred&amp;Subs'!$J$66:$J$99,MATCH(1,($C40&amp;$D40='TaxCred&amp;Subs'!$E$66:$E$99)*($F40='TaxCred&amp;Subs'!$C$66:$C$99),0)),0)),IF(AND($C40=1,VALUE(RIGHT($AD40,1))&gt;2),(N40-R40)*(IFERROR(INDEX('TaxCred&amp;Subs'!$J$66:$J$99,MATCH(1,($C40&amp;$D40='TaxCred&amp;Subs'!$D$66:$D$99)*($F40='TaxCred&amp;Subs'!$C$66:$C$99),0)),0)),IF($C40&gt;2,(N40-R40)*(IFERROR(INDEX('TaxCred&amp;Subs'!$J$66:$J$99,MATCH(1,($C40&amp;$D40='TaxCred&amp;Subs'!$D$66:$D$99)*($F40='TaxCred&amp;Subs'!$C$66:$C$99),0)),0)),0))),0)</f>
        <v>150</v>
      </c>
      <c r="Q40" s="95">
        <f t="array" ref="Q40">ROUND(IF(AND($C40=2,VALUE(RIGHT($AD40,1))&gt;2),(O40-S40)*(IFERROR(INDEX('TaxCred&amp;Subs'!$J$66:$J$99,MATCH(1,($C40&amp;$D40='TaxCred&amp;Subs'!$E$66:$E$99)*($F40='TaxCred&amp;Subs'!$C$66:$C$99),0)),0)),IF(AND($C40=1,VALUE(RIGHT($AD40,1))&gt;2),(O40-S40)*(IFERROR(INDEX('TaxCred&amp;Subs'!$J$66:$J$99,MATCH(1,($C40&amp;$D40='TaxCred&amp;Subs'!$D$66:$D$99)*($F40='TaxCred&amp;Subs'!$C$66:$C$99),0)),0)),IF($C40&gt;2,(O40-S40)*(IFERROR(INDEX('TaxCred&amp;Subs'!$J$66:$J$99,MATCH(1,($C40&amp;$D40='TaxCred&amp;Subs'!$D$66:$D$99)*($F40='TaxCred&amp;Subs'!$C$66:$C$99),0)),0)),0))),0)</f>
        <v>0</v>
      </c>
      <c r="R40" s="95">
        <f t="array" ref="R40">ROUND(IF(IFERROR(VALUE(RIGHT($AD40,1)),0)&gt;2,IF($C40=8,N40*IFERROR(INDEX('TaxCred&amp;Subs'!$K$139:$S$151,MATCH($C40&amp;$D40&amp;LEFT($AD40,7),'TaxCred&amp;Subs'!$E$139:$E$151,0),MATCH($H40,'TaxCred&amp;Subs'!$K$137:$S$137,0)),0),IF($C40=2,N40*IFERROR(INDEX('TaxCred&amp;Subs'!$K$139:$S$151,MATCH($C40&amp;$D40,'TaxCred&amp;Subs'!$D$139:$D$151,0),MATCH($H40,'TaxCred&amp;Subs'!$K$137:$S$137,0)),0),N40*IFERROR(INDEX('TaxCred&amp;Subs'!$K$139:$S$151,MATCH($C40&amp;$D40,'TaxCred&amp;Subs'!$C$139:$C$151,0),MATCH($H40,'TaxCred&amp;Subs'!$K$137:$S$137,0)),0))),0),0)</f>
        <v>157</v>
      </c>
      <c r="S40" s="95">
        <f t="array" ref="S40">ROUND(IF(IFERROR(VALUE(RIGHT($AD40,1)),0)&gt;2,IF($C40=8,O40*IFERROR(INDEX('TaxCred&amp;Subs'!$K$139:$S$151,MATCH($C40&amp;$D40&amp;LEFT($AD40,7),'TaxCred&amp;Subs'!$E$139:$E$151,0),MATCH($H40,'TaxCred&amp;Subs'!$K$137:$S$137,0)),0),IF($C40=2,O40*IFERROR(INDEX('TaxCred&amp;Subs'!$K$139:$S$151,MATCH($C40&amp;$D40,'TaxCred&amp;Subs'!$D$139:$D$151,0),MATCH($H40,'TaxCred&amp;Subs'!$K$137:$S$137,0)),0),O40*IFERROR(INDEX('TaxCred&amp;Subs'!$K$139:$S$151,MATCH($C40&amp;$D40,'TaxCred&amp;Subs'!$C$139:$C$151,0),MATCH($H40,'TaxCred&amp;Subs'!$K$137:$S$137,0)),0))),0),0)</f>
        <v>190</v>
      </c>
      <c r="T40" s="95">
        <f t="shared" si="0"/>
        <v>0</v>
      </c>
      <c r="U40" s="95">
        <f t="shared" si="1"/>
        <v>0</v>
      </c>
      <c r="V40" s="28" t="s">
        <v>222</v>
      </c>
      <c r="W40" s="31">
        <v>2020</v>
      </c>
      <c r="X40" s="28">
        <v>1</v>
      </c>
      <c r="Y40" s="28">
        <v>0</v>
      </c>
      <c r="Z40" s="196">
        <v>-2.0762472774284713E-4</v>
      </c>
      <c r="AA40" s="196">
        <v>-3.1942265806591866E-3</v>
      </c>
      <c r="AB40" s="28">
        <v>0</v>
      </c>
      <c r="AC40" s="28">
        <v>0</v>
      </c>
      <c r="AD40" s="28" t="s">
        <v>197</v>
      </c>
    </row>
    <row r="41" spans="2:30" ht="14.25" customHeight="1" x14ac:dyDescent="0.2">
      <c r="B41" s="7">
        <f t="shared" si="2"/>
        <v>17</v>
      </c>
      <c r="C41" s="28">
        <v>1</v>
      </c>
      <c r="D41" s="28">
        <v>2</v>
      </c>
      <c r="E41" s="28">
        <v>4</v>
      </c>
      <c r="F41" s="96">
        <v>2020</v>
      </c>
      <c r="G41" s="28">
        <v>2021</v>
      </c>
      <c r="H41" s="28">
        <v>9</v>
      </c>
      <c r="I41" s="28">
        <v>4</v>
      </c>
      <c r="J41" s="28">
        <v>0</v>
      </c>
      <c r="K41" s="28">
        <v>0</v>
      </c>
      <c r="L41" s="28">
        <v>0</v>
      </c>
      <c r="M41" s="75">
        <v>2.4912075029308323</v>
      </c>
      <c r="N41" s="151">
        <v>3405</v>
      </c>
      <c r="O41" s="151">
        <v>4110</v>
      </c>
      <c r="P41" s="95">
        <f t="array" ref="P41">ROUND(IF($F41&lt;='TaxCred&amp;Subs'!$C$49,(IF($C41=2,IF($M41&gt;=IFERROR(INDEX('TaxCred&amp;Subs'!$L$12:$L$47,MATCH(1,($C41&amp;$D41='TaxCred&amp;Subs'!$E$12:$E$47)*($F41='TaxCred&amp;Subs'!$C$12:$C$47),0)
),9999),IFERROR(INDEX('TaxCred&amp;Subs'!$N$12:$N$47,MATCH(1,($C41&amp;$D41='TaxCred&amp;Subs'!$E$12:$E$47)*($F41='TaxCred&amp;Subs'!$C$12:$C$47),0)
),0),0),(IF($M41&gt;=IFERROR(INDEX('TaxCred&amp;Subs'!$H$12:$H$47,MATCH(1,($C41&amp;$D41='TaxCred&amp;Subs'!$D$12:$D$47)*($F41='TaxCred&amp;Subs'!$C$12:$C$47),0)
),9999),IFERROR(INDEX('TaxCred&amp;Subs'!$N$12:$N$47,MATCH(1,($C41&amp;$D41='TaxCred&amp;Subs'!$D$12:$D$47)*($F41='TaxCred&amp;Subs'!$C$12:$C$47),0)
),0),0)))),0)+IF(AND($C41=2,VALUE(RIGHT($AD41,1))&gt;2),(N41-R41)*(IFERROR(INDEX('TaxCred&amp;Subs'!$J$66:$J$99,MATCH(1,($C41&amp;$D41='TaxCred&amp;Subs'!$E$66:$E$99)*($F41='TaxCred&amp;Subs'!$C$66:$C$99),0)),0)),IF(AND($C41=1,VALUE(RIGHT($AD41,1))&gt;2),(N41-R41)*(IFERROR(INDEX('TaxCred&amp;Subs'!$J$66:$J$99,MATCH(1,($C41&amp;$D41='TaxCred&amp;Subs'!$D$66:$D$99)*($F41='TaxCred&amp;Subs'!$C$66:$C$99),0)),0)),IF($C41&gt;2,(N41-R41)*(IFERROR(INDEX('TaxCred&amp;Subs'!$J$66:$J$99,MATCH(1,($C41&amp;$D41='TaxCred&amp;Subs'!$D$66:$D$99)*($F41='TaxCred&amp;Subs'!$C$66:$C$99),0)),0)),0))),0)</f>
        <v>150</v>
      </c>
      <c r="Q41" s="95">
        <f t="array" ref="Q41">ROUND(IF(AND($C41=2,VALUE(RIGHT($AD41,1))&gt;2),(O41-S41)*(IFERROR(INDEX('TaxCred&amp;Subs'!$J$66:$J$99,MATCH(1,($C41&amp;$D41='TaxCred&amp;Subs'!$E$66:$E$99)*($F41='TaxCred&amp;Subs'!$C$66:$C$99),0)),0)),IF(AND($C41=1,VALUE(RIGHT($AD41,1))&gt;2),(O41-S41)*(IFERROR(INDEX('TaxCred&amp;Subs'!$J$66:$J$99,MATCH(1,($C41&amp;$D41='TaxCred&amp;Subs'!$D$66:$D$99)*($F41='TaxCred&amp;Subs'!$C$66:$C$99),0)),0)),IF($C41&gt;2,(O41-S41)*(IFERROR(INDEX('TaxCred&amp;Subs'!$J$66:$J$99,MATCH(1,($C41&amp;$D41='TaxCred&amp;Subs'!$D$66:$D$99)*($F41='TaxCred&amp;Subs'!$C$66:$C$99),0)),0)),0))),0)</f>
        <v>0</v>
      </c>
      <c r="R41" s="95">
        <f t="array" ref="R41">ROUND(IF(IFERROR(VALUE(RIGHT($AD41,1)),0)&gt;2,IF($C41=8,N41*IFERROR(INDEX('TaxCred&amp;Subs'!$K$139:$S$151,MATCH($C41&amp;$D41&amp;LEFT($AD41,7),'TaxCred&amp;Subs'!$E$139:$E$151,0),MATCH($H41,'TaxCred&amp;Subs'!$K$137:$S$137,0)),0),IF($C41=2,N41*IFERROR(INDEX('TaxCred&amp;Subs'!$K$139:$S$151,MATCH($C41&amp;$D41,'TaxCred&amp;Subs'!$D$139:$D$151,0),MATCH($H41,'TaxCred&amp;Subs'!$K$137:$S$137,0)),0),N41*IFERROR(INDEX('TaxCred&amp;Subs'!$K$139:$S$151,MATCH($C41&amp;$D41,'TaxCred&amp;Subs'!$C$139:$C$151,0),MATCH($H41,'TaxCred&amp;Subs'!$K$137:$S$137,0)),0))),0),0)</f>
        <v>378</v>
      </c>
      <c r="S41" s="95">
        <f t="array" ref="S41">ROUND(IF(IFERROR(VALUE(RIGHT($AD41,1)),0)&gt;2,IF($C41=8,O41*IFERROR(INDEX('TaxCred&amp;Subs'!$K$139:$S$151,MATCH($C41&amp;$D41&amp;LEFT($AD41,7),'TaxCred&amp;Subs'!$E$139:$E$151,0),MATCH($H41,'TaxCred&amp;Subs'!$K$137:$S$137,0)),0),IF($C41=2,O41*IFERROR(INDEX('TaxCred&amp;Subs'!$K$139:$S$151,MATCH($C41&amp;$D41,'TaxCred&amp;Subs'!$D$139:$D$151,0),MATCH($H41,'TaxCred&amp;Subs'!$K$137:$S$137,0)),0),O41*IFERROR(INDEX('TaxCred&amp;Subs'!$K$139:$S$151,MATCH($C41&amp;$D41,'TaxCred&amp;Subs'!$C$139:$C$151,0),MATCH($H41,'TaxCred&amp;Subs'!$K$137:$S$137,0)),0))),0),0)</f>
        <v>456</v>
      </c>
      <c r="T41" s="172">
        <f t="shared" si="0"/>
        <v>488.25</v>
      </c>
      <c r="U41" s="172">
        <f t="shared" si="1"/>
        <v>616.5</v>
      </c>
      <c r="V41" s="28" t="s">
        <v>222</v>
      </c>
      <c r="W41" s="31">
        <v>2020</v>
      </c>
      <c r="X41" s="28">
        <v>1</v>
      </c>
      <c r="Y41" s="28">
        <v>0</v>
      </c>
      <c r="Z41" s="196">
        <v>-2.0762472774284713E-4</v>
      </c>
      <c r="AA41" s="196">
        <v>-3.1942265806591866E-3</v>
      </c>
      <c r="AB41" s="28">
        <v>0</v>
      </c>
      <c r="AC41" s="28">
        <v>0</v>
      </c>
      <c r="AD41" s="28" t="s">
        <v>197</v>
      </c>
    </row>
    <row r="42" spans="2:30" ht="14.25" customHeight="1" x14ac:dyDescent="0.2">
      <c r="B42" s="7">
        <f t="shared" si="2"/>
        <v>18</v>
      </c>
      <c r="C42" s="28">
        <v>1</v>
      </c>
      <c r="D42" s="28">
        <v>2</v>
      </c>
      <c r="E42" s="28">
        <v>4</v>
      </c>
      <c r="F42" s="78">
        <v>2022</v>
      </c>
      <c r="G42" s="28">
        <v>2022</v>
      </c>
      <c r="H42" s="28">
        <v>1</v>
      </c>
      <c r="I42" s="28">
        <v>4</v>
      </c>
      <c r="J42" s="28">
        <v>0</v>
      </c>
      <c r="K42" s="28">
        <v>0</v>
      </c>
      <c r="L42" s="28">
        <v>0</v>
      </c>
      <c r="M42" s="75">
        <v>2.4912075029308323</v>
      </c>
      <c r="N42" s="151">
        <v>3405</v>
      </c>
      <c r="O42" s="151">
        <v>4110</v>
      </c>
      <c r="P42" s="95">
        <f t="array" ref="P42">ROUND(IF($F42&lt;='TaxCred&amp;Subs'!$C$49,(IF($C42=2,IF($M42&gt;=IFERROR(INDEX('TaxCred&amp;Subs'!$L$12:$L$47,MATCH(1,($C42&amp;$D42='TaxCred&amp;Subs'!$E$12:$E$47)*($F42='TaxCred&amp;Subs'!$C$12:$C$47),0)
),9999),IFERROR(INDEX('TaxCred&amp;Subs'!$N$12:$N$47,MATCH(1,($C42&amp;$D42='TaxCred&amp;Subs'!$E$12:$E$47)*($F42='TaxCred&amp;Subs'!$C$12:$C$47),0)
),0),0),(IF($M42&gt;=IFERROR(INDEX('TaxCred&amp;Subs'!$H$12:$H$47,MATCH(1,($C42&amp;$D42='TaxCred&amp;Subs'!$D$12:$D$47)*($F42='TaxCred&amp;Subs'!$C$12:$C$47),0)
),9999),IFERROR(INDEX('TaxCred&amp;Subs'!$N$12:$N$47,MATCH(1,($C42&amp;$D42='TaxCred&amp;Subs'!$D$12:$D$47)*($F42='TaxCred&amp;Subs'!$C$12:$C$47),0)
),0),0)))),0)+IF(AND($C42=2,VALUE(RIGHT($AD42,1))&gt;2),(N42-R42)*(IFERROR(INDEX('TaxCred&amp;Subs'!$J$66:$J$99,MATCH(1,($C42&amp;$D42='TaxCred&amp;Subs'!$E$66:$E$99)*($F42='TaxCred&amp;Subs'!$C$66:$C$99),0)),0)),IF(AND($C42=1,VALUE(RIGHT($AD42,1))&gt;2),(N42-R42)*(IFERROR(INDEX('TaxCred&amp;Subs'!$J$66:$J$99,MATCH(1,($C42&amp;$D42='TaxCred&amp;Subs'!$D$66:$D$99)*($F42='TaxCred&amp;Subs'!$C$66:$C$99),0)),0)),IF($C42&gt;2,(N42-R42)*(IFERROR(INDEX('TaxCred&amp;Subs'!$J$66:$J$99,MATCH(1,($C42&amp;$D42='TaxCred&amp;Subs'!$D$66:$D$99)*($F42='TaxCred&amp;Subs'!$C$66:$C$99),0)),0)),0))),0)</f>
        <v>1000</v>
      </c>
      <c r="Q42" s="95">
        <f t="array" ref="Q42">ROUND(IF(AND($C42=2,VALUE(RIGHT($AD42,1))&gt;2),(O42-S42)*(IFERROR(INDEX('TaxCred&amp;Subs'!$J$66:$J$99,MATCH(1,($C42&amp;$D42='TaxCred&amp;Subs'!$E$66:$E$99)*($F42='TaxCred&amp;Subs'!$C$66:$C$99),0)),0)),IF(AND($C42=1,VALUE(RIGHT($AD42,1))&gt;2),(O42-S42)*(IFERROR(INDEX('TaxCred&amp;Subs'!$J$66:$J$99,MATCH(1,($C42&amp;$D42='TaxCred&amp;Subs'!$D$66:$D$99)*($F42='TaxCred&amp;Subs'!$C$66:$C$99),0)),0)),IF($C42&gt;2,(O42-S42)*(IFERROR(INDEX('TaxCred&amp;Subs'!$J$66:$J$99,MATCH(1,($C42&amp;$D42='TaxCred&amp;Subs'!$D$66:$D$99)*($F42='TaxCred&amp;Subs'!$C$66:$C$99),0)),0)),0))),0)</f>
        <v>0</v>
      </c>
      <c r="R42" s="95">
        <f t="array" ref="R42">ROUND(IF(IFERROR(VALUE(RIGHT($AD42,1)),0)&gt;2,IF($C42=8,N42*IFERROR(INDEX('TaxCred&amp;Subs'!$K$139:$S$151,MATCH($C42&amp;$D42&amp;LEFT($AD42,7),'TaxCred&amp;Subs'!$E$139:$E$151,0),MATCH($H42,'TaxCred&amp;Subs'!$K$137:$S$137,0)),0),IF($C42=2,N42*IFERROR(INDEX('TaxCred&amp;Subs'!$K$139:$S$151,MATCH($C42&amp;$D42,'TaxCred&amp;Subs'!$D$139:$D$151,0),MATCH($H42,'TaxCred&amp;Subs'!$K$137:$S$137,0)),0),N42*IFERROR(INDEX('TaxCred&amp;Subs'!$K$139:$S$151,MATCH($C42&amp;$D42,'TaxCred&amp;Subs'!$C$139:$C$151,0),MATCH($H42,'TaxCred&amp;Subs'!$K$137:$S$137,0)),0))),0),0)</f>
        <v>492</v>
      </c>
      <c r="S42" s="95">
        <f t="array" ref="S42">ROUND(IF(IFERROR(VALUE(RIGHT($AD42,1)),0)&gt;2,IF($C42=8,O42*IFERROR(INDEX('TaxCred&amp;Subs'!$K$139:$S$151,MATCH($C42&amp;$D42&amp;LEFT($AD42,7),'TaxCred&amp;Subs'!$E$139:$E$151,0),MATCH($H42,'TaxCred&amp;Subs'!$K$137:$S$137,0)),0),IF($C42=2,O42*IFERROR(INDEX('TaxCred&amp;Subs'!$K$139:$S$151,MATCH($C42&amp;$D42,'TaxCred&amp;Subs'!$D$139:$D$151,0),MATCH($H42,'TaxCred&amp;Subs'!$K$137:$S$137,0)),0),O42*IFERROR(INDEX('TaxCred&amp;Subs'!$K$139:$S$151,MATCH($C42&amp;$D42,'TaxCred&amp;Subs'!$C$139:$C$151,0),MATCH($H42,'TaxCred&amp;Subs'!$K$137:$S$137,0)),0))),0),0)</f>
        <v>593</v>
      </c>
      <c r="T42" s="95">
        <f t="shared" si="0"/>
        <v>0</v>
      </c>
      <c r="U42" s="95">
        <f t="shared" si="1"/>
        <v>0</v>
      </c>
      <c r="V42" s="28" t="s">
        <v>222</v>
      </c>
      <c r="W42" s="31">
        <v>2020</v>
      </c>
      <c r="X42" s="28">
        <v>1</v>
      </c>
      <c r="Y42" s="28">
        <v>0</v>
      </c>
      <c r="Z42" s="196">
        <v>-2.0762472774284713E-4</v>
      </c>
      <c r="AA42" s="196">
        <v>-3.1942265806591866E-3</v>
      </c>
      <c r="AB42" s="28">
        <v>0</v>
      </c>
      <c r="AC42" s="28">
        <v>0</v>
      </c>
      <c r="AD42" s="28" t="s">
        <v>197</v>
      </c>
    </row>
    <row r="43" spans="2:30" ht="14.25" customHeight="1" x14ac:dyDescent="0.2">
      <c r="B43" s="7">
        <f t="shared" si="2"/>
        <v>19</v>
      </c>
      <c r="C43" s="28">
        <v>1</v>
      </c>
      <c r="D43" s="28">
        <v>2</v>
      </c>
      <c r="E43" s="28">
        <v>4</v>
      </c>
      <c r="F43" s="78">
        <v>2022</v>
      </c>
      <c r="G43" s="28">
        <v>2022</v>
      </c>
      <c r="H43" s="28">
        <v>2</v>
      </c>
      <c r="I43" s="28">
        <v>4</v>
      </c>
      <c r="J43" s="28">
        <v>0</v>
      </c>
      <c r="K43" s="28">
        <v>0</v>
      </c>
      <c r="L43" s="28">
        <v>0</v>
      </c>
      <c r="M43" s="75">
        <v>2.4912075029308323</v>
      </c>
      <c r="N43" s="151">
        <v>3405</v>
      </c>
      <c r="O43" s="151">
        <v>4110</v>
      </c>
      <c r="P43" s="95">
        <f t="array" ref="P43">ROUND(IF($F43&lt;='TaxCred&amp;Subs'!$C$49,(IF($C43=2,IF($M43&gt;=IFERROR(INDEX('TaxCred&amp;Subs'!$L$12:$L$47,MATCH(1,($C43&amp;$D43='TaxCred&amp;Subs'!$E$12:$E$47)*($F43='TaxCred&amp;Subs'!$C$12:$C$47),0)
),9999),IFERROR(INDEX('TaxCred&amp;Subs'!$N$12:$N$47,MATCH(1,($C43&amp;$D43='TaxCred&amp;Subs'!$E$12:$E$47)*($F43='TaxCred&amp;Subs'!$C$12:$C$47),0)
),0),0),(IF($M43&gt;=IFERROR(INDEX('TaxCred&amp;Subs'!$H$12:$H$47,MATCH(1,($C43&amp;$D43='TaxCred&amp;Subs'!$D$12:$D$47)*($F43='TaxCred&amp;Subs'!$C$12:$C$47),0)
),9999),IFERROR(INDEX('TaxCred&amp;Subs'!$N$12:$N$47,MATCH(1,($C43&amp;$D43='TaxCred&amp;Subs'!$D$12:$D$47)*($F43='TaxCred&amp;Subs'!$C$12:$C$47),0)
),0),0)))),0)+IF(AND($C43=2,VALUE(RIGHT($AD43,1))&gt;2),(N43-R43)*(IFERROR(INDEX('TaxCred&amp;Subs'!$J$66:$J$99,MATCH(1,($C43&amp;$D43='TaxCred&amp;Subs'!$E$66:$E$99)*($F43='TaxCred&amp;Subs'!$C$66:$C$99),0)),0)),IF(AND($C43=1,VALUE(RIGHT($AD43,1))&gt;2),(N43-R43)*(IFERROR(INDEX('TaxCred&amp;Subs'!$J$66:$J$99,MATCH(1,($C43&amp;$D43='TaxCred&amp;Subs'!$D$66:$D$99)*($F43='TaxCred&amp;Subs'!$C$66:$C$99),0)),0)),IF($C43&gt;2,(N43-R43)*(IFERROR(INDEX('TaxCred&amp;Subs'!$J$66:$J$99,MATCH(1,($C43&amp;$D43='TaxCred&amp;Subs'!$D$66:$D$99)*($F43='TaxCred&amp;Subs'!$C$66:$C$99),0)),0)),0))),0)</f>
        <v>1000</v>
      </c>
      <c r="Q43" s="95">
        <f t="array" ref="Q43">ROUND(IF(AND($C43=2,VALUE(RIGHT($AD43,1))&gt;2),(O43-S43)*(IFERROR(INDEX('TaxCred&amp;Subs'!$J$66:$J$99,MATCH(1,($C43&amp;$D43='TaxCred&amp;Subs'!$E$66:$E$99)*($F43='TaxCred&amp;Subs'!$C$66:$C$99),0)),0)),IF(AND($C43=1,VALUE(RIGHT($AD43,1))&gt;2),(O43-S43)*(IFERROR(INDEX('TaxCred&amp;Subs'!$J$66:$J$99,MATCH(1,($C43&amp;$D43='TaxCred&amp;Subs'!$D$66:$D$99)*($F43='TaxCred&amp;Subs'!$C$66:$C$99),0)),0)),IF($C43&gt;2,(O43-S43)*(IFERROR(INDEX('TaxCred&amp;Subs'!$J$66:$J$99,MATCH(1,($C43&amp;$D43='TaxCred&amp;Subs'!$D$66:$D$99)*($F43='TaxCred&amp;Subs'!$C$66:$C$99),0)),0)),0))),0)</f>
        <v>0</v>
      </c>
      <c r="R43" s="95">
        <f t="array" ref="R43">ROUND(IF(IFERROR(VALUE(RIGHT($AD43,1)),0)&gt;2,IF($C43=8,N43*IFERROR(INDEX('TaxCred&amp;Subs'!$K$139:$S$151,MATCH($C43&amp;$D43&amp;LEFT($AD43,7),'TaxCred&amp;Subs'!$E$139:$E$151,0),MATCH($H43,'TaxCred&amp;Subs'!$K$137:$S$137,0)),0),IF($C43=2,N43*IFERROR(INDEX('TaxCred&amp;Subs'!$K$139:$S$151,MATCH($C43&amp;$D43,'TaxCred&amp;Subs'!$D$139:$D$151,0),MATCH($H43,'TaxCred&amp;Subs'!$K$137:$S$137,0)),0),N43*IFERROR(INDEX('TaxCred&amp;Subs'!$K$139:$S$151,MATCH($C43&amp;$D43,'TaxCred&amp;Subs'!$C$139:$C$151,0),MATCH($H43,'TaxCred&amp;Subs'!$K$137:$S$137,0)),0))),0),0)</f>
        <v>178</v>
      </c>
      <c r="S43" s="95">
        <f t="array" ref="S43">ROUND(IF(IFERROR(VALUE(RIGHT($AD43,1)),0)&gt;2,IF($C43=8,O43*IFERROR(INDEX('TaxCred&amp;Subs'!$K$139:$S$151,MATCH($C43&amp;$D43&amp;LEFT($AD43,7),'TaxCred&amp;Subs'!$E$139:$E$151,0),MATCH($H43,'TaxCred&amp;Subs'!$K$137:$S$137,0)),0),IF($C43=2,O43*IFERROR(INDEX('TaxCred&amp;Subs'!$K$139:$S$151,MATCH($C43&amp;$D43,'TaxCred&amp;Subs'!$D$139:$D$151,0),MATCH($H43,'TaxCred&amp;Subs'!$K$137:$S$137,0)),0),O43*IFERROR(INDEX('TaxCred&amp;Subs'!$K$139:$S$151,MATCH($C43&amp;$D43,'TaxCred&amp;Subs'!$C$139:$C$151,0),MATCH($H43,'TaxCred&amp;Subs'!$K$137:$S$137,0)),0))),0),0)</f>
        <v>215</v>
      </c>
      <c r="T43" s="95">
        <f t="shared" si="0"/>
        <v>0</v>
      </c>
      <c r="U43" s="95">
        <f t="shared" si="1"/>
        <v>0</v>
      </c>
      <c r="V43" s="28" t="s">
        <v>222</v>
      </c>
      <c r="W43" s="31">
        <v>2020</v>
      </c>
      <c r="X43" s="28">
        <v>1</v>
      </c>
      <c r="Y43" s="28">
        <v>0</v>
      </c>
      <c r="Z43" s="196">
        <v>-2.0762472774284713E-4</v>
      </c>
      <c r="AA43" s="196">
        <v>-3.1942265806591866E-3</v>
      </c>
      <c r="AB43" s="28">
        <v>0</v>
      </c>
      <c r="AC43" s="28">
        <v>0</v>
      </c>
      <c r="AD43" s="28" t="s">
        <v>197</v>
      </c>
    </row>
    <row r="44" spans="2:30" ht="14.25" customHeight="1" x14ac:dyDescent="0.2">
      <c r="B44" s="7">
        <f t="shared" si="2"/>
        <v>20</v>
      </c>
      <c r="C44" s="28">
        <v>1</v>
      </c>
      <c r="D44" s="28">
        <v>2</v>
      </c>
      <c r="E44" s="28">
        <v>4</v>
      </c>
      <c r="F44" s="78">
        <v>2022</v>
      </c>
      <c r="G44" s="28">
        <v>2022</v>
      </c>
      <c r="H44" s="28">
        <v>3</v>
      </c>
      <c r="I44" s="28">
        <v>4</v>
      </c>
      <c r="J44" s="28">
        <v>0</v>
      </c>
      <c r="K44" s="28">
        <v>0</v>
      </c>
      <c r="L44" s="28">
        <v>0</v>
      </c>
      <c r="M44" s="75">
        <v>2.4912075029308323</v>
      </c>
      <c r="N44" s="151">
        <v>3405</v>
      </c>
      <c r="O44" s="151">
        <v>4110</v>
      </c>
      <c r="P44" s="95">
        <f t="array" ref="P44">ROUND(IF($F44&lt;='TaxCred&amp;Subs'!$C$49,(IF($C44=2,IF($M44&gt;=IFERROR(INDEX('TaxCred&amp;Subs'!$L$12:$L$47,MATCH(1,($C44&amp;$D44='TaxCred&amp;Subs'!$E$12:$E$47)*($F44='TaxCred&amp;Subs'!$C$12:$C$47),0)
),9999),IFERROR(INDEX('TaxCred&amp;Subs'!$N$12:$N$47,MATCH(1,($C44&amp;$D44='TaxCred&amp;Subs'!$E$12:$E$47)*($F44='TaxCred&amp;Subs'!$C$12:$C$47),0)
),0),0),(IF($M44&gt;=IFERROR(INDEX('TaxCred&amp;Subs'!$H$12:$H$47,MATCH(1,($C44&amp;$D44='TaxCred&amp;Subs'!$D$12:$D$47)*($F44='TaxCred&amp;Subs'!$C$12:$C$47),0)
),9999),IFERROR(INDEX('TaxCred&amp;Subs'!$N$12:$N$47,MATCH(1,($C44&amp;$D44='TaxCred&amp;Subs'!$D$12:$D$47)*($F44='TaxCred&amp;Subs'!$C$12:$C$47),0)
),0),0)))),0)+IF(AND($C44=2,VALUE(RIGHT($AD44,1))&gt;2),(N44-R44)*(IFERROR(INDEX('TaxCred&amp;Subs'!$J$66:$J$99,MATCH(1,($C44&amp;$D44='TaxCred&amp;Subs'!$E$66:$E$99)*($F44='TaxCred&amp;Subs'!$C$66:$C$99),0)),0)),IF(AND($C44=1,VALUE(RIGHT($AD44,1))&gt;2),(N44-R44)*(IFERROR(INDEX('TaxCred&amp;Subs'!$J$66:$J$99,MATCH(1,($C44&amp;$D44='TaxCred&amp;Subs'!$D$66:$D$99)*($F44='TaxCred&amp;Subs'!$C$66:$C$99),0)),0)),IF($C44&gt;2,(N44-R44)*(IFERROR(INDEX('TaxCred&amp;Subs'!$J$66:$J$99,MATCH(1,($C44&amp;$D44='TaxCred&amp;Subs'!$D$66:$D$99)*($F44='TaxCred&amp;Subs'!$C$66:$C$99),0)),0)),0))),0)</f>
        <v>1000</v>
      </c>
      <c r="Q44" s="95">
        <f t="array" ref="Q44">ROUND(IF(AND($C44=2,VALUE(RIGHT($AD44,1))&gt;2),(O44-S44)*(IFERROR(INDEX('TaxCred&amp;Subs'!$J$66:$J$99,MATCH(1,($C44&amp;$D44='TaxCred&amp;Subs'!$E$66:$E$99)*($F44='TaxCred&amp;Subs'!$C$66:$C$99),0)),0)),IF(AND($C44=1,VALUE(RIGHT($AD44,1))&gt;2),(O44-S44)*(IFERROR(INDEX('TaxCred&amp;Subs'!$J$66:$J$99,MATCH(1,($C44&amp;$D44='TaxCred&amp;Subs'!$D$66:$D$99)*($F44='TaxCred&amp;Subs'!$C$66:$C$99),0)),0)),IF($C44&gt;2,(O44-S44)*(IFERROR(INDEX('TaxCred&amp;Subs'!$J$66:$J$99,MATCH(1,($C44&amp;$D44='TaxCred&amp;Subs'!$D$66:$D$99)*($F44='TaxCred&amp;Subs'!$C$66:$C$99),0)),0)),0))),0)</f>
        <v>0</v>
      </c>
      <c r="R44" s="95">
        <f t="array" ref="R44">ROUND(IF(IFERROR(VALUE(RIGHT($AD44,1)),0)&gt;2,IF($C44=8,N44*IFERROR(INDEX('TaxCred&amp;Subs'!$K$139:$S$151,MATCH($C44&amp;$D44&amp;LEFT($AD44,7),'TaxCred&amp;Subs'!$E$139:$E$151,0),MATCH($H44,'TaxCred&amp;Subs'!$K$137:$S$137,0)),0),IF($C44=2,N44*IFERROR(INDEX('TaxCred&amp;Subs'!$K$139:$S$151,MATCH($C44&amp;$D44,'TaxCred&amp;Subs'!$D$139:$D$151,0),MATCH($H44,'TaxCred&amp;Subs'!$K$137:$S$137,0)),0),N44*IFERROR(INDEX('TaxCred&amp;Subs'!$K$139:$S$151,MATCH($C44&amp;$D44,'TaxCred&amp;Subs'!$C$139:$C$151,0),MATCH($H44,'TaxCred&amp;Subs'!$K$137:$S$137,0)),0))),0),0)</f>
        <v>269</v>
      </c>
      <c r="S44" s="95">
        <f t="array" ref="S44">ROUND(IF(IFERROR(VALUE(RIGHT($AD44,1)),0)&gt;2,IF($C44=8,O44*IFERROR(INDEX('TaxCred&amp;Subs'!$K$139:$S$151,MATCH($C44&amp;$D44&amp;LEFT($AD44,7),'TaxCred&amp;Subs'!$E$139:$E$151,0),MATCH($H44,'TaxCred&amp;Subs'!$K$137:$S$137,0)),0),IF($C44=2,O44*IFERROR(INDEX('TaxCred&amp;Subs'!$K$139:$S$151,MATCH($C44&amp;$D44,'TaxCred&amp;Subs'!$D$139:$D$151,0),MATCH($H44,'TaxCred&amp;Subs'!$K$137:$S$137,0)),0),O44*IFERROR(INDEX('TaxCred&amp;Subs'!$K$139:$S$151,MATCH($C44&amp;$D44,'TaxCred&amp;Subs'!$C$139:$C$151,0),MATCH($H44,'TaxCred&amp;Subs'!$K$137:$S$137,0)),0))),0),0)</f>
        <v>325</v>
      </c>
      <c r="T44" s="95">
        <f t="shared" si="0"/>
        <v>0</v>
      </c>
      <c r="U44" s="95">
        <f t="shared" si="1"/>
        <v>0</v>
      </c>
      <c r="V44" s="28" t="s">
        <v>222</v>
      </c>
      <c r="W44" s="31">
        <v>2020</v>
      </c>
      <c r="X44" s="28">
        <v>1</v>
      </c>
      <c r="Y44" s="28">
        <v>0</v>
      </c>
      <c r="Z44" s="196">
        <v>-2.0762472774284713E-4</v>
      </c>
      <c r="AA44" s="196">
        <v>-3.1942265806591866E-3</v>
      </c>
      <c r="AB44" s="28">
        <v>0</v>
      </c>
      <c r="AC44" s="28">
        <v>0</v>
      </c>
      <c r="AD44" s="28" t="s">
        <v>197</v>
      </c>
    </row>
    <row r="45" spans="2:30" ht="14.25" customHeight="1" x14ac:dyDescent="0.2">
      <c r="B45" s="7">
        <f t="shared" si="2"/>
        <v>21</v>
      </c>
      <c r="C45" s="28">
        <v>1</v>
      </c>
      <c r="D45" s="28">
        <v>2</v>
      </c>
      <c r="E45" s="28">
        <v>4</v>
      </c>
      <c r="F45" s="78">
        <v>2022</v>
      </c>
      <c r="G45" s="28">
        <v>2022</v>
      </c>
      <c r="H45" s="28">
        <v>4</v>
      </c>
      <c r="I45" s="28">
        <v>4</v>
      </c>
      <c r="J45" s="28">
        <v>0</v>
      </c>
      <c r="K45" s="28">
        <v>0</v>
      </c>
      <c r="L45" s="28">
        <v>0</v>
      </c>
      <c r="M45" s="75">
        <v>2.4912075029308323</v>
      </c>
      <c r="N45" s="151">
        <v>3405</v>
      </c>
      <c r="O45" s="151">
        <v>4110</v>
      </c>
      <c r="P45" s="95">
        <f t="array" ref="P45">ROUND(IF($F45&lt;='TaxCred&amp;Subs'!$C$49,(IF($C45=2,IF($M45&gt;=IFERROR(INDEX('TaxCred&amp;Subs'!$L$12:$L$47,MATCH(1,($C45&amp;$D45='TaxCred&amp;Subs'!$E$12:$E$47)*($F45='TaxCred&amp;Subs'!$C$12:$C$47),0)
),9999),IFERROR(INDEX('TaxCred&amp;Subs'!$N$12:$N$47,MATCH(1,($C45&amp;$D45='TaxCred&amp;Subs'!$E$12:$E$47)*($F45='TaxCred&amp;Subs'!$C$12:$C$47),0)
),0),0),(IF($M45&gt;=IFERROR(INDEX('TaxCred&amp;Subs'!$H$12:$H$47,MATCH(1,($C45&amp;$D45='TaxCred&amp;Subs'!$D$12:$D$47)*($F45='TaxCred&amp;Subs'!$C$12:$C$47),0)
),9999),IFERROR(INDEX('TaxCred&amp;Subs'!$N$12:$N$47,MATCH(1,($C45&amp;$D45='TaxCred&amp;Subs'!$D$12:$D$47)*($F45='TaxCred&amp;Subs'!$C$12:$C$47),0)
),0),0)))),0)+IF(AND($C45=2,VALUE(RIGHT($AD45,1))&gt;2),(N45-R45)*(IFERROR(INDEX('TaxCred&amp;Subs'!$J$66:$J$99,MATCH(1,($C45&amp;$D45='TaxCred&amp;Subs'!$E$66:$E$99)*($F45='TaxCred&amp;Subs'!$C$66:$C$99),0)),0)),IF(AND($C45=1,VALUE(RIGHT($AD45,1))&gt;2),(N45-R45)*(IFERROR(INDEX('TaxCred&amp;Subs'!$J$66:$J$99,MATCH(1,($C45&amp;$D45='TaxCred&amp;Subs'!$D$66:$D$99)*($F45='TaxCred&amp;Subs'!$C$66:$C$99),0)),0)),IF($C45&gt;2,(N45-R45)*(IFERROR(INDEX('TaxCred&amp;Subs'!$J$66:$J$99,MATCH(1,($C45&amp;$D45='TaxCred&amp;Subs'!$D$66:$D$99)*($F45='TaxCred&amp;Subs'!$C$66:$C$99),0)),0)),0))),0)</f>
        <v>1000</v>
      </c>
      <c r="Q45" s="95">
        <f t="array" ref="Q45">ROUND(IF(AND($C45=2,VALUE(RIGHT($AD45,1))&gt;2),(O45-S45)*(IFERROR(INDEX('TaxCred&amp;Subs'!$J$66:$J$99,MATCH(1,($C45&amp;$D45='TaxCred&amp;Subs'!$E$66:$E$99)*($F45='TaxCred&amp;Subs'!$C$66:$C$99),0)),0)),IF(AND($C45=1,VALUE(RIGHT($AD45,1))&gt;2),(O45-S45)*(IFERROR(INDEX('TaxCred&amp;Subs'!$J$66:$J$99,MATCH(1,($C45&amp;$D45='TaxCred&amp;Subs'!$D$66:$D$99)*($F45='TaxCred&amp;Subs'!$C$66:$C$99),0)),0)),IF($C45&gt;2,(O45-S45)*(IFERROR(INDEX('TaxCred&amp;Subs'!$J$66:$J$99,MATCH(1,($C45&amp;$D45='TaxCred&amp;Subs'!$D$66:$D$99)*($F45='TaxCred&amp;Subs'!$C$66:$C$99),0)),0)),0))),0)</f>
        <v>0</v>
      </c>
      <c r="R45" s="95">
        <f t="array" ref="R45">ROUND(IF(IFERROR(VALUE(RIGHT($AD45,1)),0)&gt;2,IF($C45=8,N45*IFERROR(INDEX('TaxCred&amp;Subs'!$K$139:$S$151,MATCH($C45&amp;$D45&amp;LEFT($AD45,7),'TaxCred&amp;Subs'!$E$139:$E$151,0),MATCH($H45,'TaxCred&amp;Subs'!$K$137:$S$137,0)),0),IF($C45=2,N45*IFERROR(INDEX('TaxCred&amp;Subs'!$K$139:$S$151,MATCH($C45&amp;$D45,'TaxCred&amp;Subs'!$D$139:$D$151,0),MATCH($H45,'TaxCred&amp;Subs'!$K$137:$S$137,0)),0),N45*IFERROR(INDEX('TaxCred&amp;Subs'!$K$139:$S$151,MATCH($C45&amp;$D45,'TaxCred&amp;Subs'!$C$139:$C$151,0),MATCH($H45,'TaxCred&amp;Subs'!$K$137:$S$137,0)),0))),0),0)</f>
        <v>164</v>
      </c>
      <c r="S45" s="95">
        <f t="array" ref="S45">ROUND(IF(IFERROR(VALUE(RIGHT($AD45,1)),0)&gt;2,IF($C45=8,O45*IFERROR(INDEX('TaxCred&amp;Subs'!$K$139:$S$151,MATCH($C45&amp;$D45&amp;LEFT($AD45,7),'TaxCred&amp;Subs'!$E$139:$E$151,0),MATCH($H45,'TaxCred&amp;Subs'!$K$137:$S$137,0)),0),IF($C45=2,O45*IFERROR(INDEX('TaxCred&amp;Subs'!$K$139:$S$151,MATCH($C45&amp;$D45,'TaxCred&amp;Subs'!$D$139:$D$151,0),MATCH($H45,'TaxCred&amp;Subs'!$K$137:$S$137,0)),0),O45*IFERROR(INDEX('TaxCred&amp;Subs'!$K$139:$S$151,MATCH($C45&amp;$D45,'TaxCred&amp;Subs'!$C$139:$C$151,0),MATCH($H45,'TaxCred&amp;Subs'!$K$137:$S$137,0)),0))),0),0)</f>
        <v>198</v>
      </c>
      <c r="T45" s="95">
        <f t="shared" si="0"/>
        <v>0</v>
      </c>
      <c r="U45" s="95">
        <f t="shared" si="1"/>
        <v>0</v>
      </c>
      <c r="V45" s="28" t="s">
        <v>222</v>
      </c>
      <c r="W45" s="31">
        <v>2020</v>
      </c>
      <c r="X45" s="28">
        <v>1</v>
      </c>
      <c r="Y45" s="28">
        <v>0</v>
      </c>
      <c r="Z45" s="196">
        <v>-2.0762472774284713E-4</v>
      </c>
      <c r="AA45" s="196">
        <v>-3.1942265806591866E-3</v>
      </c>
      <c r="AB45" s="28">
        <v>0</v>
      </c>
      <c r="AC45" s="28">
        <v>0</v>
      </c>
      <c r="AD45" s="28" t="s">
        <v>197</v>
      </c>
    </row>
    <row r="46" spans="2:30" ht="14.25" customHeight="1" x14ac:dyDescent="0.2">
      <c r="B46" s="7">
        <f t="shared" si="2"/>
        <v>22</v>
      </c>
      <c r="C46" s="28">
        <v>1</v>
      </c>
      <c r="D46" s="28">
        <v>2</v>
      </c>
      <c r="E46" s="28">
        <v>4</v>
      </c>
      <c r="F46" s="78">
        <v>2022</v>
      </c>
      <c r="G46" s="28">
        <v>2022</v>
      </c>
      <c r="H46" s="28">
        <v>5</v>
      </c>
      <c r="I46" s="28">
        <v>4</v>
      </c>
      <c r="J46" s="28">
        <v>0</v>
      </c>
      <c r="K46" s="28">
        <v>0</v>
      </c>
      <c r="L46" s="28">
        <v>0</v>
      </c>
      <c r="M46" s="75">
        <v>2.4912075029308323</v>
      </c>
      <c r="N46" s="151">
        <v>3405</v>
      </c>
      <c r="O46" s="151">
        <v>4110</v>
      </c>
      <c r="P46" s="95">
        <f t="array" ref="P46">ROUND(IF($F46&lt;='TaxCred&amp;Subs'!$C$49,(IF($C46=2,IF($M46&gt;=IFERROR(INDEX('TaxCred&amp;Subs'!$L$12:$L$47,MATCH(1,($C46&amp;$D46='TaxCred&amp;Subs'!$E$12:$E$47)*($F46='TaxCred&amp;Subs'!$C$12:$C$47),0)
),9999),IFERROR(INDEX('TaxCred&amp;Subs'!$N$12:$N$47,MATCH(1,($C46&amp;$D46='TaxCred&amp;Subs'!$E$12:$E$47)*($F46='TaxCred&amp;Subs'!$C$12:$C$47),0)
),0),0),(IF($M46&gt;=IFERROR(INDEX('TaxCred&amp;Subs'!$H$12:$H$47,MATCH(1,($C46&amp;$D46='TaxCred&amp;Subs'!$D$12:$D$47)*($F46='TaxCred&amp;Subs'!$C$12:$C$47),0)
),9999),IFERROR(INDEX('TaxCred&amp;Subs'!$N$12:$N$47,MATCH(1,($C46&amp;$D46='TaxCred&amp;Subs'!$D$12:$D$47)*($F46='TaxCred&amp;Subs'!$C$12:$C$47),0)
),0),0)))),0)+IF(AND($C46=2,VALUE(RIGHT($AD46,1))&gt;2),(N46-R46)*(IFERROR(INDEX('TaxCred&amp;Subs'!$J$66:$J$99,MATCH(1,($C46&amp;$D46='TaxCred&amp;Subs'!$E$66:$E$99)*($F46='TaxCred&amp;Subs'!$C$66:$C$99),0)),0)),IF(AND($C46=1,VALUE(RIGHT($AD46,1))&gt;2),(N46-R46)*(IFERROR(INDEX('TaxCred&amp;Subs'!$J$66:$J$99,MATCH(1,($C46&amp;$D46='TaxCred&amp;Subs'!$D$66:$D$99)*($F46='TaxCred&amp;Subs'!$C$66:$C$99),0)),0)),IF($C46&gt;2,(N46-R46)*(IFERROR(INDEX('TaxCred&amp;Subs'!$J$66:$J$99,MATCH(1,($C46&amp;$D46='TaxCred&amp;Subs'!$D$66:$D$99)*($F46='TaxCred&amp;Subs'!$C$66:$C$99),0)),0)),0))),0)</f>
        <v>1000</v>
      </c>
      <c r="Q46" s="95">
        <f t="array" ref="Q46">ROUND(IF(AND($C46=2,VALUE(RIGHT($AD46,1))&gt;2),(O46-S46)*(IFERROR(INDEX('TaxCred&amp;Subs'!$J$66:$J$99,MATCH(1,($C46&amp;$D46='TaxCred&amp;Subs'!$E$66:$E$99)*($F46='TaxCred&amp;Subs'!$C$66:$C$99),0)),0)),IF(AND($C46=1,VALUE(RIGHT($AD46,1))&gt;2),(O46-S46)*(IFERROR(INDEX('TaxCred&amp;Subs'!$J$66:$J$99,MATCH(1,($C46&amp;$D46='TaxCred&amp;Subs'!$D$66:$D$99)*($F46='TaxCred&amp;Subs'!$C$66:$C$99),0)),0)),IF($C46&gt;2,(O46-S46)*(IFERROR(INDEX('TaxCred&amp;Subs'!$J$66:$J$99,MATCH(1,($C46&amp;$D46='TaxCred&amp;Subs'!$D$66:$D$99)*($F46='TaxCred&amp;Subs'!$C$66:$C$99),0)),0)),0))),0)</f>
        <v>0</v>
      </c>
      <c r="R46" s="95">
        <f t="array" ref="R46">ROUND(IF(IFERROR(VALUE(RIGHT($AD46,1)),0)&gt;2,IF($C46=8,N46*IFERROR(INDEX('TaxCred&amp;Subs'!$K$139:$S$151,MATCH($C46&amp;$D46&amp;LEFT($AD46,7),'TaxCred&amp;Subs'!$E$139:$E$151,0),MATCH($H46,'TaxCred&amp;Subs'!$K$137:$S$137,0)),0),IF($C46=2,N46*IFERROR(INDEX('TaxCred&amp;Subs'!$K$139:$S$151,MATCH($C46&amp;$D46,'TaxCred&amp;Subs'!$D$139:$D$151,0),MATCH($H46,'TaxCred&amp;Subs'!$K$137:$S$137,0)),0),N46*IFERROR(INDEX('TaxCred&amp;Subs'!$K$139:$S$151,MATCH($C46&amp;$D46,'TaxCred&amp;Subs'!$C$139:$C$151,0),MATCH($H46,'TaxCred&amp;Subs'!$K$137:$S$137,0)),0))),0),0)</f>
        <v>74</v>
      </c>
      <c r="S46" s="95">
        <f t="array" ref="S46">ROUND(IF(IFERROR(VALUE(RIGHT($AD46,1)),0)&gt;2,IF($C46=8,O46*IFERROR(INDEX('TaxCred&amp;Subs'!$K$139:$S$151,MATCH($C46&amp;$D46&amp;LEFT($AD46,7),'TaxCred&amp;Subs'!$E$139:$E$151,0),MATCH($H46,'TaxCred&amp;Subs'!$K$137:$S$137,0)),0),IF($C46=2,O46*IFERROR(INDEX('TaxCred&amp;Subs'!$K$139:$S$151,MATCH($C46&amp;$D46,'TaxCred&amp;Subs'!$D$139:$D$151,0),MATCH($H46,'TaxCred&amp;Subs'!$K$137:$S$137,0)),0),O46*IFERROR(INDEX('TaxCred&amp;Subs'!$K$139:$S$151,MATCH($C46&amp;$D46,'TaxCred&amp;Subs'!$C$139:$C$151,0),MATCH($H46,'TaxCred&amp;Subs'!$K$137:$S$137,0)),0))),0),0)</f>
        <v>90</v>
      </c>
      <c r="T46" s="95">
        <f t="shared" si="0"/>
        <v>0</v>
      </c>
      <c r="U46" s="95">
        <f t="shared" si="1"/>
        <v>0</v>
      </c>
      <c r="V46" s="28" t="s">
        <v>222</v>
      </c>
      <c r="W46" s="31">
        <v>2020</v>
      </c>
      <c r="X46" s="28">
        <v>1</v>
      </c>
      <c r="Y46" s="28">
        <v>0</v>
      </c>
      <c r="Z46" s="196">
        <v>-2.0762472774284713E-4</v>
      </c>
      <c r="AA46" s="196">
        <v>-3.1942265806591866E-3</v>
      </c>
      <c r="AB46" s="28">
        <v>0</v>
      </c>
      <c r="AC46" s="28">
        <v>0</v>
      </c>
      <c r="AD46" s="28" t="s">
        <v>197</v>
      </c>
    </row>
    <row r="47" spans="2:30" ht="14.25" customHeight="1" x14ac:dyDescent="0.2">
      <c r="B47" s="7">
        <f t="shared" si="2"/>
        <v>23</v>
      </c>
      <c r="C47" s="28">
        <v>1</v>
      </c>
      <c r="D47" s="28">
        <v>2</v>
      </c>
      <c r="E47" s="28">
        <v>4</v>
      </c>
      <c r="F47" s="78">
        <v>2022</v>
      </c>
      <c r="G47" s="28">
        <v>2022</v>
      </c>
      <c r="H47" s="28">
        <v>6</v>
      </c>
      <c r="I47" s="28">
        <v>4</v>
      </c>
      <c r="J47" s="28">
        <v>0</v>
      </c>
      <c r="K47" s="28">
        <v>0</v>
      </c>
      <c r="L47" s="28">
        <v>0</v>
      </c>
      <c r="M47" s="75">
        <v>2.4912075029308323</v>
      </c>
      <c r="N47" s="151">
        <v>3405</v>
      </c>
      <c r="O47" s="151">
        <v>4110</v>
      </c>
      <c r="P47" s="95">
        <f t="array" ref="P47">ROUND(IF($F47&lt;='TaxCred&amp;Subs'!$C$49,(IF($C47=2,IF($M47&gt;=IFERROR(INDEX('TaxCred&amp;Subs'!$L$12:$L$47,MATCH(1,($C47&amp;$D47='TaxCred&amp;Subs'!$E$12:$E$47)*($F47='TaxCred&amp;Subs'!$C$12:$C$47),0)
),9999),IFERROR(INDEX('TaxCred&amp;Subs'!$N$12:$N$47,MATCH(1,($C47&amp;$D47='TaxCred&amp;Subs'!$E$12:$E$47)*($F47='TaxCred&amp;Subs'!$C$12:$C$47),0)
),0),0),(IF($M47&gt;=IFERROR(INDEX('TaxCred&amp;Subs'!$H$12:$H$47,MATCH(1,($C47&amp;$D47='TaxCred&amp;Subs'!$D$12:$D$47)*($F47='TaxCred&amp;Subs'!$C$12:$C$47),0)
),9999),IFERROR(INDEX('TaxCred&amp;Subs'!$N$12:$N$47,MATCH(1,($C47&amp;$D47='TaxCred&amp;Subs'!$D$12:$D$47)*($F47='TaxCred&amp;Subs'!$C$12:$C$47),0)
),0),0)))),0)+IF(AND($C47=2,VALUE(RIGHT($AD47,1))&gt;2),(N47-R47)*(IFERROR(INDEX('TaxCred&amp;Subs'!$J$66:$J$99,MATCH(1,($C47&amp;$D47='TaxCred&amp;Subs'!$E$66:$E$99)*($F47='TaxCred&amp;Subs'!$C$66:$C$99),0)),0)),IF(AND($C47=1,VALUE(RIGHT($AD47,1))&gt;2),(N47-R47)*(IFERROR(INDEX('TaxCred&amp;Subs'!$J$66:$J$99,MATCH(1,($C47&amp;$D47='TaxCred&amp;Subs'!$D$66:$D$99)*($F47='TaxCred&amp;Subs'!$C$66:$C$99),0)),0)),IF($C47&gt;2,(N47-R47)*(IFERROR(INDEX('TaxCred&amp;Subs'!$J$66:$J$99,MATCH(1,($C47&amp;$D47='TaxCred&amp;Subs'!$D$66:$D$99)*($F47='TaxCred&amp;Subs'!$C$66:$C$99),0)),0)),0))),0)</f>
        <v>1000</v>
      </c>
      <c r="Q47" s="95">
        <f t="array" ref="Q47">ROUND(IF(AND($C47=2,VALUE(RIGHT($AD47,1))&gt;2),(O47-S47)*(IFERROR(INDEX('TaxCred&amp;Subs'!$J$66:$J$99,MATCH(1,($C47&amp;$D47='TaxCred&amp;Subs'!$E$66:$E$99)*($F47='TaxCred&amp;Subs'!$C$66:$C$99),0)),0)),IF(AND($C47=1,VALUE(RIGHT($AD47,1))&gt;2),(O47-S47)*(IFERROR(INDEX('TaxCred&amp;Subs'!$J$66:$J$99,MATCH(1,($C47&amp;$D47='TaxCred&amp;Subs'!$D$66:$D$99)*($F47='TaxCred&amp;Subs'!$C$66:$C$99),0)),0)),IF($C47&gt;2,(O47-S47)*(IFERROR(INDEX('TaxCred&amp;Subs'!$J$66:$J$99,MATCH(1,($C47&amp;$D47='TaxCred&amp;Subs'!$D$66:$D$99)*($F47='TaxCred&amp;Subs'!$C$66:$C$99),0)),0)),0))),0)</f>
        <v>0</v>
      </c>
      <c r="R47" s="95">
        <f t="array" ref="R47">ROUND(IF(IFERROR(VALUE(RIGHT($AD47,1)),0)&gt;2,IF($C47=8,N47*IFERROR(INDEX('TaxCred&amp;Subs'!$K$139:$S$151,MATCH($C47&amp;$D47&amp;LEFT($AD47,7),'TaxCred&amp;Subs'!$E$139:$E$151,0),MATCH($H47,'TaxCred&amp;Subs'!$K$137:$S$137,0)),0),IF($C47=2,N47*IFERROR(INDEX('TaxCred&amp;Subs'!$K$139:$S$151,MATCH($C47&amp;$D47,'TaxCred&amp;Subs'!$D$139:$D$151,0),MATCH($H47,'TaxCred&amp;Subs'!$K$137:$S$137,0)),0),N47*IFERROR(INDEX('TaxCred&amp;Subs'!$K$139:$S$151,MATCH($C47&amp;$D47,'TaxCred&amp;Subs'!$C$139:$C$151,0),MATCH($H47,'TaxCred&amp;Subs'!$K$137:$S$137,0)),0))),0),0)</f>
        <v>0</v>
      </c>
      <c r="S47" s="95">
        <f t="array" ref="S47">ROUND(IF(IFERROR(VALUE(RIGHT($AD47,1)),0)&gt;2,IF($C47=8,O47*IFERROR(INDEX('TaxCred&amp;Subs'!$K$139:$S$151,MATCH($C47&amp;$D47&amp;LEFT($AD47,7),'TaxCred&amp;Subs'!$E$139:$E$151,0),MATCH($H47,'TaxCred&amp;Subs'!$K$137:$S$137,0)),0),IF($C47=2,O47*IFERROR(INDEX('TaxCred&amp;Subs'!$K$139:$S$151,MATCH($C47&amp;$D47,'TaxCred&amp;Subs'!$D$139:$D$151,0),MATCH($H47,'TaxCred&amp;Subs'!$K$137:$S$137,0)),0),O47*IFERROR(INDEX('TaxCred&amp;Subs'!$K$139:$S$151,MATCH($C47&amp;$D47,'TaxCred&amp;Subs'!$C$139:$C$151,0),MATCH($H47,'TaxCred&amp;Subs'!$K$137:$S$137,0)),0))),0),0)</f>
        <v>0</v>
      </c>
      <c r="T47" s="95">
        <f t="shared" si="0"/>
        <v>0</v>
      </c>
      <c r="U47" s="95">
        <f t="shared" si="1"/>
        <v>0</v>
      </c>
      <c r="V47" s="28" t="s">
        <v>222</v>
      </c>
      <c r="W47" s="31">
        <v>2020</v>
      </c>
      <c r="X47" s="28">
        <v>1</v>
      </c>
      <c r="Y47" s="28">
        <v>0</v>
      </c>
      <c r="Z47" s="196">
        <v>-2.0762472774284713E-4</v>
      </c>
      <c r="AA47" s="196">
        <v>-3.1942265806591866E-3</v>
      </c>
      <c r="AB47" s="28">
        <v>0</v>
      </c>
      <c r="AC47" s="28">
        <v>0</v>
      </c>
      <c r="AD47" s="28" t="s">
        <v>197</v>
      </c>
    </row>
    <row r="48" spans="2:30" ht="14.25" customHeight="1" x14ac:dyDescent="0.2">
      <c r="B48" s="7">
        <f t="shared" si="2"/>
        <v>24</v>
      </c>
      <c r="C48" s="28">
        <v>1</v>
      </c>
      <c r="D48" s="28">
        <v>2</v>
      </c>
      <c r="E48" s="28">
        <v>4</v>
      </c>
      <c r="F48" s="78">
        <v>2022</v>
      </c>
      <c r="G48" s="28">
        <v>2022</v>
      </c>
      <c r="H48" s="28">
        <v>7</v>
      </c>
      <c r="I48" s="28">
        <v>4</v>
      </c>
      <c r="J48" s="28">
        <v>0</v>
      </c>
      <c r="K48" s="28">
        <v>0</v>
      </c>
      <c r="L48" s="28">
        <v>0</v>
      </c>
      <c r="M48" s="75">
        <v>2.4912075029308323</v>
      </c>
      <c r="N48" s="151">
        <v>3405</v>
      </c>
      <c r="O48" s="151">
        <v>4110</v>
      </c>
      <c r="P48" s="95">
        <f t="array" ref="P48">ROUND(IF($F48&lt;='TaxCred&amp;Subs'!$C$49,(IF($C48=2,IF($M48&gt;=IFERROR(INDEX('TaxCred&amp;Subs'!$L$12:$L$47,MATCH(1,($C48&amp;$D48='TaxCred&amp;Subs'!$E$12:$E$47)*($F48='TaxCred&amp;Subs'!$C$12:$C$47),0)
),9999),IFERROR(INDEX('TaxCred&amp;Subs'!$N$12:$N$47,MATCH(1,($C48&amp;$D48='TaxCred&amp;Subs'!$E$12:$E$47)*($F48='TaxCred&amp;Subs'!$C$12:$C$47),0)
),0),0),(IF($M48&gt;=IFERROR(INDEX('TaxCred&amp;Subs'!$H$12:$H$47,MATCH(1,($C48&amp;$D48='TaxCred&amp;Subs'!$D$12:$D$47)*($F48='TaxCred&amp;Subs'!$C$12:$C$47),0)
),9999),IFERROR(INDEX('TaxCred&amp;Subs'!$N$12:$N$47,MATCH(1,($C48&amp;$D48='TaxCred&amp;Subs'!$D$12:$D$47)*($F48='TaxCred&amp;Subs'!$C$12:$C$47),0)
),0),0)))),0)+IF(AND($C48=2,VALUE(RIGHT($AD48,1))&gt;2),(N48-R48)*(IFERROR(INDEX('TaxCred&amp;Subs'!$J$66:$J$99,MATCH(1,($C48&amp;$D48='TaxCred&amp;Subs'!$E$66:$E$99)*($F48='TaxCred&amp;Subs'!$C$66:$C$99),0)),0)),IF(AND($C48=1,VALUE(RIGHT($AD48,1))&gt;2),(N48-R48)*(IFERROR(INDEX('TaxCred&amp;Subs'!$J$66:$J$99,MATCH(1,($C48&amp;$D48='TaxCred&amp;Subs'!$D$66:$D$99)*($F48='TaxCred&amp;Subs'!$C$66:$C$99),0)),0)),IF($C48&gt;2,(N48-R48)*(IFERROR(INDEX('TaxCred&amp;Subs'!$J$66:$J$99,MATCH(1,($C48&amp;$D48='TaxCred&amp;Subs'!$D$66:$D$99)*($F48='TaxCred&amp;Subs'!$C$66:$C$99),0)),0)),0))),0)</f>
        <v>1000</v>
      </c>
      <c r="Q48" s="95">
        <f t="array" ref="Q48">ROUND(IF(AND($C48=2,VALUE(RIGHT($AD48,1))&gt;2),(O48-S48)*(IFERROR(INDEX('TaxCred&amp;Subs'!$J$66:$J$99,MATCH(1,($C48&amp;$D48='TaxCred&amp;Subs'!$E$66:$E$99)*($F48='TaxCred&amp;Subs'!$C$66:$C$99),0)),0)),IF(AND($C48=1,VALUE(RIGHT($AD48,1))&gt;2),(O48-S48)*(IFERROR(INDEX('TaxCred&amp;Subs'!$J$66:$J$99,MATCH(1,($C48&amp;$D48='TaxCred&amp;Subs'!$D$66:$D$99)*($F48='TaxCred&amp;Subs'!$C$66:$C$99),0)),0)),IF($C48&gt;2,(O48-S48)*(IFERROR(INDEX('TaxCred&amp;Subs'!$J$66:$J$99,MATCH(1,($C48&amp;$D48='TaxCred&amp;Subs'!$D$66:$D$99)*($F48='TaxCred&amp;Subs'!$C$66:$C$99),0)),0)),0))),0)</f>
        <v>0</v>
      </c>
      <c r="R48" s="95">
        <f t="array" ref="R48">ROUND(IF(IFERROR(VALUE(RIGHT($AD48,1)),0)&gt;2,IF($C48=8,N48*IFERROR(INDEX('TaxCred&amp;Subs'!$K$139:$S$151,MATCH($C48&amp;$D48&amp;LEFT($AD48,7),'TaxCred&amp;Subs'!$E$139:$E$151,0),MATCH($H48,'TaxCred&amp;Subs'!$K$137:$S$137,0)),0),IF($C48=2,N48*IFERROR(INDEX('TaxCred&amp;Subs'!$K$139:$S$151,MATCH($C48&amp;$D48,'TaxCred&amp;Subs'!$D$139:$D$151,0),MATCH($H48,'TaxCred&amp;Subs'!$K$137:$S$137,0)),0),N48*IFERROR(INDEX('TaxCred&amp;Subs'!$K$139:$S$151,MATCH($C48&amp;$D48,'TaxCred&amp;Subs'!$C$139:$C$151,0),MATCH($H48,'TaxCred&amp;Subs'!$K$137:$S$137,0)),0))),0),0)</f>
        <v>659</v>
      </c>
      <c r="S48" s="95">
        <f t="array" ref="S48">ROUND(IF(IFERROR(VALUE(RIGHT($AD48,1)),0)&gt;2,IF($C48=8,O48*IFERROR(INDEX('TaxCred&amp;Subs'!$K$139:$S$151,MATCH($C48&amp;$D48&amp;LEFT($AD48,7),'TaxCred&amp;Subs'!$E$139:$E$151,0),MATCH($H48,'TaxCred&amp;Subs'!$K$137:$S$137,0)),0),IF($C48=2,O48*IFERROR(INDEX('TaxCred&amp;Subs'!$K$139:$S$151,MATCH($C48&amp;$D48,'TaxCred&amp;Subs'!$D$139:$D$151,0),MATCH($H48,'TaxCred&amp;Subs'!$K$137:$S$137,0)),0),O48*IFERROR(INDEX('TaxCred&amp;Subs'!$K$139:$S$151,MATCH($C48&amp;$D48,'TaxCred&amp;Subs'!$C$139:$C$151,0),MATCH($H48,'TaxCred&amp;Subs'!$K$137:$S$137,0)),0))),0),0)</f>
        <v>796</v>
      </c>
      <c r="T48" s="95">
        <f t="shared" si="0"/>
        <v>0</v>
      </c>
      <c r="U48" s="95">
        <f t="shared" si="1"/>
        <v>0</v>
      </c>
      <c r="V48" s="28" t="s">
        <v>222</v>
      </c>
      <c r="W48" s="31">
        <v>2020</v>
      </c>
      <c r="X48" s="28">
        <v>1</v>
      </c>
      <c r="Y48" s="28">
        <v>0</v>
      </c>
      <c r="Z48" s="196">
        <v>-2.0762472774284713E-4</v>
      </c>
      <c r="AA48" s="196">
        <v>-3.1942265806591866E-3</v>
      </c>
      <c r="AB48" s="28">
        <v>0</v>
      </c>
      <c r="AC48" s="28">
        <v>0</v>
      </c>
      <c r="AD48" s="28" t="s">
        <v>197</v>
      </c>
    </row>
    <row r="49" spans="2:30" ht="14.25" customHeight="1" x14ac:dyDescent="0.2">
      <c r="B49" s="7">
        <f t="shared" si="2"/>
        <v>25</v>
      </c>
      <c r="C49" s="28">
        <v>1</v>
      </c>
      <c r="D49" s="28">
        <v>2</v>
      </c>
      <c r="E49" s="28">
        <v>4</v>
      </c>
      <c r="F49" s="78">
        <v>2022</v>
      </c>
      <c r="G49" s="28">
        <v>2022</v>
      </c>
      <c r="H49" s="28">
        <v>8</v>
      </c>
      <c r="I49" s="28">
        <v>4</v>
      </c>
      <c r="J49" s="28">
        <v>0</v>
      </c>
      <c r="K49" s="28">
        <v>0</v>
      </c>
      <c r="L49" s="28">
        <v>0</v>
      </c>
      <c r="M49" s="75">
        <v>2.4912075029308323</v>
      </c>
      <c r="N49" s="151">
        <v>3405</v>
      </c>
      <c r="O49" s="151">
        <v>4110</v>
      </c>
      <c r="P49" s="95">
        <f t="array" ref="P49">ROUND(IF($F49&lt;='TaxCred&amp;Subs'!$C$49,(IF($C49=2,IF($M49&gt;=IFERROR(INDEX('TaxCred&amp;Subs'!$L$12:$L$47,MATCH(1,($C49&amp;$D49='TaxCred&amp;Subs'!$E$12:$E$47)*($F49='TaxCred&amp;Subs'!$C$12:$C$47),0)
),9999),IFERROR(INDEX('TaxCred&amp;Subs'!$N$12:$N$47,MATCH(1,($C49&amp;$D49='TaxCred&amp;Subs'!$E$12:$E$47)*($F49='TaxCred&amp;Subs'!$C$12:$C$47),0)
),0),0),(IF($M49&gt;=IFERROR(INDEX('TaxCred&amp;Subs'!$H$12:$H$47,MATCH(1,($C49&amp;$D49='TaxCred&amp;Subs'!$D$12:$D$47)*($F49='TaxCred&amp;Subs'!$C$12:$C$47),0)
),9999),IFERROR(INDEX('TaxCred&amp;Subs'!$N$12:$N$47,MATCH(1,($C49&amp;$D49='TaxCred&amp;Subs'!$D$12:$D$47)*($F49='TaxCred&amp;Subs'!$C$12:$C$47),0)
),0),0)))),0)+IF(AND($C49=2,VALUE(RIGHT($AD49,1))&gt;2),(N49-R49)*(IFERROR(INDEX('TaxCred&amp;Subs'!$J$66:$J$99,MATCH(1,($C49&amp;$D49='TaxCred&amp;Subs'!$E$66:$E$99)*($F49='TaxCred&amp;Subs'!$C$66:$C$99),0)),0)),IF(AND($C49=1,VALUE(RIGHT($AD49,1))&gt;2),(N49-R49)*(IFERROR(INDEX('TaxCred&amp;Subs'!$J$66:$J$99,MATCH(1,($C49&amp;$D49='TaxCred&amp;Subs'!$D$66:$D$99)*($F49='TaxCred&amp;Subs'!$C$66:$C$99),0)),0)),IF($C49&gt;2,(N49-R49)*(IFERROR(INDEX('TaxCred&amp;Subs'!$J$66:$J$99,MATCH(1,($C49&amp;$D49='TaxCred&amp;Subs'!$D$66:$D$99)*($F49='TaxCred&amp;Subs'!$C$66:$C$99),0)),0)),0))),0)</f>
        <v>1000</v>
      </c>
      <c r="Q49" s="95">
        <f t="array" ref="Q49">ROUND(IF(AND($C49=2,VALUE(RIGHT($AD49,1))&gt;2),(O49-S49)*(IFERROR(INDEX('TaxCred&amp;Subs'!$J$66:$J$99,MATCH(1,($C49&amp;$D49='TaxCred&amp;Subs'!$E$66:$E$99)*($F49='TaxCred&amp;Subs'!$C$66:$C$99),0)),0)),IF(AND($C49=1,VALUE(RIGHT($AD49,1))&gt;2),(O49-S49)*(IFERROR(INDEX('TaxCred&amp;Subs'!$J$66:$J$99,MATCH(1,($C49&amp;$D49='TaxCred&amp;Subs'!$D$66:$D$99)*($F49='TaxCred&amp;Subs'!$C$66:$C$99),0)),0)),IF($C49&gt;2,(O49-S49)*(IFERROR(INDEX('TaxCred&amp;Subs'!$J$66:$J$99,MATCH(1,($C49&amp;$D49='TaxCred&amp;Subs'!$D$66:$D$99)*($F49='TaxCred&amp;Subs'!$C$66:$C$99),0)),0)),0))),0)</f>
        <v>0</v>
      </c>
      <c r="R49" s="95">
        <f t="array" ref="R49">ROUND(IF(IFERROR(VALUE(RIGHT($AD49,1)),0)&gt;2,IF($C49=8,N49*IFERROR(INDEX('TaxCred&amp;Subs'!$K$139:$S$151,MATCH($C49&amp;$D49&amp;LEFT($AD49,7),'TaxCred&amp;Subs'!$E$139:$E$151,0),MATCH($H49,'TaxCred&amp;Subs'!$K$137:$S$137,0)),0),IF($C49=2,N49*IFERROR(INDEX('TaxCred&amp;Subs'!$K$139:$S$151,MATCH($C49&amp;$D49,'TaxCred&amp;Subs'!$D$139:$D$151,0),MATCH($H49,'TaxCred&amp;Subs'!$K$137:$S$137,0)),0),N49*IFERROR(INDEX('TaxCred&amp;Subs'!$K$139:$S$151,MATCH($C49&amp;$D49,'TaxCred&amp;Subs'!$C$139:$C$151,0),MATCH($H49,'TaxCred&amp;Subs'!$K$137:$S$137,0)),0))),0),0)</f>
        <v>157</v>
      </c>
      <c r="S49" s="95">
        <f t="array" ref="S49">ROUND(IF(IFERROR(VALUE(RIGHT($AD49,1)),0)&gt;2,IF($C49=8,O49*IFERROR(INDEX('TaxCred&amp;Subs'!$K$139:$S$151,MATCH($C49&amp;$D49&amp;LEFT($AD49,7),'TaxCred&amp;Subs'!$E$139:$E$151,0),MATCH($H49,'TaxCred&amp;Subs'!$K$137:$S$137,0)),0),IF($C49=2,O49*IFERROR(INDEX('TaxCred&amp;Subs'!$K$139:$S$151,MATCH($C49&amp;$D49,'TaxCred&amp;Subs'!$D$139:$D$151,0),MATCH($H49,'TaxCred&amp;Subs'!$K$137:$S$137,0)),0),O49*IFERROR(INDEX('TaxCred&amp;Subs'!$K$139:$S$151,MATCH($C49&amp;$D49,'TaxCred&amp;Subs'!$C$139:$C$151,0),MATCH($H49,'TaxCred&amp;Subs'!$K$137:$S$137,0)),0))),0),0)</f>
        <v>190</v>
      </c>
      <c r="T49" s="95">
        <f t="shared" si="0"/>
        <v>0</v>
      </c>
      <c r="U49" s="95">
        <f t="shared" si="1"/>
        <v>0</v>
      </c>
      <c r="V49" s="28" t="s">
        <v>222</v>
      </c>
      <c r="W49" s="31">
        <v>2020</v>
      </c>
      <c r="X49" s="28">
        <v>1</v>
      </c>
      <c r="Y49" s="28">
        <v>0</v>
      </c>
      <c r="Z49" s="196">
        <v>-2.0762472774284713E-4</v>
      </c>
      <c r="AA49" s="196">
        <v>-3.1942265806591866E-3</v>
      </c>
      <c r="AB49" s="28">
        <v>0</v>
      </c>
      <c r="AC49" s="28">
        <v>0</v>
      </c>
      <c r="AD49" s="28" t="s">
        <v>197</v>
      </c>
    </row>
    <row r="50" spans="2:30" ht="14.25" customHeight="1" x14ac:dyDescent="0.2">
      <c r="B50" s="7">
        <f t="shared" si="2"/>
        <v>26</v>
      </c>
      <c r="C50" s="28">
        <v>1</v>
      </c>
      <c r="D50" s="28">
        <v>2</v>
      </c>
      <c r="E50" s="28">
        <v>4</v>
      </c>
      <c r="F50" s="78">
        <v>2022</v>
      </c>
      <c r="G50" s="28">
        <v>2022</v>
      </c>
      <c r="H50" s="28">
        <v>9</v>
      </c>
      <c r="I50" s="28">
        <v>4</v>
      </c>
      <c r="J50" s="28">
        <v>0</v>
      </c>
      <c r="K50" s="28">
        <v>0</v>
      </c>
      <c r="L50" s="28">
        <v>0</v>
      </c>
      <c r="M50" s="75">
        <v>2.4912075029308323</v>
      </c>
      <c r="N50" s="151">
        <v>3405</v>
      </c>
      <c r="O50" s="151">
        <v>4110</v>
      </c>
      <c r="P50" s="95">
        <f t="array" ref="P50">ROUND(IF($F50&lt;='TaxCred&amp;Subs'!$C$49,(IF($C50=2,IF($M50&gt;=IFERROR(INDEX('TaxCred&amp;Subs'!$L$12:$L$47,MATCH(1,($C50&amp;$D50='TaxCred&amp;Subs'!$E$12:$E$47)*($F50='TaxCred&amp;Subs'!$C$12:$C$47),0)
),9999),IFERROR(INDEX('TaxCred&amp;Subs'!$N$12:$N$47,MATCH(1,($C50&amp;$D50='TaxCred&amp;Subs'!$E$12:$E$47)*($F50='TaxCred&amp;Subs'!$C$12:$C$47),0)
),0),0),(IF($M50&gt;=IFERROR(INDEX('TaxCred&amp;Subs'!$H$12:$H$47,MATCH(1,($C50&amp;$D50='TaxCred&amp;Subs'!$D$12:$D$47)*($F50='TaxCred&amp;Subs'!$C$12:$C$47),0)
),9999),IFERROR(INDEX('TaxCred&amp;Subs'!$N$12:$N$47,MATCH(1,($C50&amp;$D50='TaxCred&amp;Subs'!$D$12:$D$47)*($F50='TaxCred&amp;Subs'!$C$12:$C$47),0)
),0),0)))),0)+IF(AND($C50=2,VALUE(RIGHT($AD50,1))&gt;2),(N50-R50)*(IFERROR(INDEX('TaxCred&amp;Subs'!$J$66:$J$99,MATCH(1,($C50&amp;$D50='TaxCred&amp;Subs'!$E$66:$E$99)*($F50='TaxCred&amp;Subs'!$C$66:$C$99),0)),0)),IF(AND($C50=1,VALUE(RIGHT($AD50,1))&gt;2),(N50-R50)*(IFERROR(INDEX('TaxCred&amp;Subs'!$J$66:$J$99,MATCH(1,($C50&amp;$D50='TaxCred&amp;Subs'!$D$66:$D$99)*($F50='TaxCred&amp;Subs'!$C$66:$C$99),0)),0)),IF($C50&gt;2,(N50-R50)*(IFERROR(INDEX('TaxCred&amp;Subs'!$J$66:$J$99,MATCH(1,($C50&amp;$D50='TaxCred&amp;Subs'!$D$66:$D$99)*($F50='TaxCred&amp;Subs'!$C$66:$C$99),0)),0)),0))),0)</f>
        <v>1000</v>
      </c>
      <c r="Q50" s="95">
        <f t="array" ref="Q50">ROUND(IF(AND($C50=2,VALUE(RIGHT($AD50,1))&gt;2),(O50-S50)*(IFERROR(INDEX('TaxCred&amp;Subs'!$J$66:$J$99,MATCH(1,($C50&amp;$D50='TaxCred&amp;Subs'!$E$66:$E$99)*($F50='TaxCred&amp;Subs'!$C$66:$C$99),0)),0)),IF(AND($C50=1,VALUE(RIGHT($AD50,1))&gt;2),(O50-S50)*(IFERROR(INDEX('TaxCred&amp;Subs'!$J$66:$J$99,MATCH(1,($C50&amp;$D50='TaxCred&amp;Subs'!$D$66:$D$99)*($F50='TaxCred&amp;Subs'!$C$66:$C$99),0)),0)),IF($C50&gt;2,(O50-S50)*(IFERROR(INDEX('TaxCred&amp;Subs'!$J$66:$J$99,MATCH(1,($C50&amp;$D50='TaxCred&amp;Subs'!$D$66:$D$99)*($F50='TaxCred&amp;Subs'!$C$66:$C$99),0)),0)),0))),0)</f>
        <v>0</v>
      </c>
      <c r="R50" s="95">
        <f t="array" ref="R50">ROUND(IF(IFERROR(VALUE(RIGHT($AD50,1)),0)&gt;2,IF($C50=8,N50*IFERROR(INDEX('TaxCred&amp;Subs'!$K$139:$S$151,MATCH($C50&amp;$D50&amp;LEFT($AD50,7),'TaxCred&amp;Subs'!$E$139:$E$151,0),MATCH($H50,'TaxCred&amp;Subs'!$K$137:$S$137,0)),0),IF($C50=2,N50*IFERROR(INDEX('TaxCred&amp;Subs'!$K$139:$S$151,MATCH($C50&amp;$D50,'TaxCred&amp;Subs'!$D$139:$D$151,0),MATCH($H50,'TaxCred&amp;Subs'!$K$137:$S$137,0)),0),N50*IFERROR(INDEX('TaxCred&amp;Subs'!$K$139:$S$151,MATCH($C50&amp;$D50,'TaxCred&amp;Subs'!$C$139:$C$151,0),MATCH($H50,'TaxCred&amp;Subs'!$K$137:$S$137,0)),0))),0),0)</f>
        <v>378</v>
      </c>
      <c r="S50" s="95">
        <f t="array" ref="S50">ROUND(IF(IFERROR(VALUE(RIGHT($AD50,1)),0)&gt;2,IF($C50=8,O50*IFERROR(INDEX('TaxCred&amp;Subs'!$K$139:$S$151,MATCH($C50&amp;$D50&amp;LEFT($AD50,7),'TaxCred&amp;Subs'!$E$139:$E$151,0),MATCH($H50,'TaxCred&amp;Subs'!$K$137:$S$137,0)),0),IF($C50=2,O50*IFERROR(INDEX('TaxCred&amp;Subs'!$K$139:$S$151,MATCH($C50&amp;$D50,'TaxCred&amp;Subs'!$D$139:$D$151,0),MATCH($H50,'TaxCred&amp;Subs'!$K$137:$S$137,0)),0),O50*IFERROR(INDEX('TaxCred&amp;Subs'!$K$139:$S$151,MATCH($C50&amp;$D50,'TaxCred&amp;Subs'!$C$139:$C$151,0),MATCH($H50,'TaxCred&amp;Subs'!$K$137:$S$137,0)),0))),0),0)</f>
        <v>456</v>
      </c>
      <c r="T50" s="172">
        <f t="shared" si="0"/>
        <v>360.75</v>
      </c>
      <c r="U50" s="172">
        <f t="shared" si="1"/>
        <v>616.5</v>
      </c>
      <c r="V50" s="28" t="s">
        <v>222</v>
      </c>
      <c r="W50" s="31">
        <v>2020</v>
      </c>
      <c r="X50" s="28">
        <v>1</v>
      </c>
      <c r="Y50" s="28">
        <v>0</v>
      </c>
      <c r="Z50" s="196">
        <v>-2.0762472774284713E-4</v>
      </c>
      <c r="AA50" s="196">
        <v>-3.1942265806591866E-3</v>
      </c>
      <c r="AB50" s="28">
        <v>0</v>
      </c>
      <c r="AC50" s="28">
        <v>0</v>
      </c>
      <c r="AD50" s="28" t="s">
        <v>197</v>
      </c>
    </row>
    <row r="51" spans="2:30" ht="14.25" customHeight="1" x14ac:dyDescent="0.2">
      <c r="B51" s="7">
        <f t="shared" si="2"/>
        <v>27</v>
      </c>
      <c r="C51" s="28">
        <v>1</v>
      </c>
      <c r="D51" s="28">
        <v>2</v>
      </c>
      <c r="E51" s="28">
        <v>4</v>
      </c>
      <c r="F51" s="78">
        <v>2023</v>
      </c>
      <c r="G51" s="28">
        <v>2032</v>
      </c>
      <c r="H51" s="28">
        <v>1</v>
      </c>
      <c r="I51" s="28">
        <v>4</v>
      </c>
      <c r="J51" s="28">
        <v>0</v>
      </c>
      <c r="K51" s="28">
        <v>0</v>
      </c>
      <c r="L51" s="28">
        <v>0</v>
      </c>
      <c r="M51" s="75">
        <v>2.6963657678780772</v>
      </c>
      <c r="N51" s="151">
        <v>3470</v>
      </c>
      <c r="O51" s="151">
        <v>4380</v>
      </c>
      <c r="P51" s="95">
        <f t="array" ref="P51">ROUND(IF($F51&lt;='TaxCred&amp;Subs'!$C$49,(IF($C51=2,IF($M51&gt;=IFERROR(INDEX('TaxCred&amp;Subs'!$L$12:$L$47,MATCH(1,($C51&amp;$D51='TaxCred&amp;Subs'!$E$12:$E$47)*($F51='TaxCred&amp;Subs'!$C$12:$C$47),0)
),9999),IFERROR(INDEX('TaxCred&amp;Subs'!$N$12:$N$47,MATCH(1,($C51&amp;$D51='TaxCred&amp;Subs'!$E$12:$E$47)*($F51='TaxCred&amp;Subs'!$C$12:$C$47),0)
),0),0),(IF($M51&gt;=IFERROR(INDEX('TaxCred&amp;Subs'!$H$12:$H$47,MATCH(1,($C51&amp;$D51='TaxCred&amp;Subs'!$D$12:$D$47)*($F51='TaxCred&amp;Subs'!$C$12:$C$47),0)
),9999),IFERROR(INDEX('TaxCred&amp;Subs'!$N$12:$N$47,MATCH(1,($C51&amp;$D51='TaxCred&amp;Subs'!$D$12:$D$47)*($F51='TaxCred&amp;Subs'!$C$12:$C$47),0)
),0),0)))),0)+IF(AND($C51=2,VALUE(RIGHT($AD51,1))&gt;2),(N51-R51)*(IFERROR(INDEX('TaxCred&amp;Subs'!$J$66:$J$99,MATCH(1,($C51&amp;$D51='TaxCred&amp;Subs'!$E$66:$E$99)*($F51='TaxCred&amp;Subs'!$C$66:$C$99),0)),0)),IF(AND($C51=1,VALUE(RIGHT($AD51,1))&gt;2),(N51-R51)*(IFERROR(INDEX('TaxCred&amp;Subs'!$J$66:$J$99,MATCH(1,($C51&amp;$D51='TaxCred&amp;Subs'!$D$66:$D$99)*($F51='TaxCred&amp;Subs'!$C$66:$C$99),0)),0)),IF($C51&gt;2,(N51-R51)*(IFERROR(INDEX('TaxCred&amp;Subs'!$J$66:$J$99,MATCH(1,($C51&amp;$D51='TaxCred&amp;Subs'!$D$66:$D$99)*($F51='TaxCred&amp;Subs'!$C$66:$C$99),0)),0)),0))),0)</f>
        <v>1000</v>
      </c>
      <c r="Q51" s="95">
        <f t="array" ref="Q51">ROUND(IF(AND($C51=2,VALUE(RIGHT($AD51,1))&gt;2),(O51-S51)*(IFERROR(INDEX('TaxCred&amp;Subs'!$J$66:$J$99,MATCH(1,($C51&amp;$D51='TaxCred&amp;Subs'!$E$66:$E$99)*($F51='TaxCred&amp;Subs'!$C$66:$C$99),0)),0)),IF(AND($C51=1,VALUE(RIGHT($AD51,1))&gt;2),(O51-S51)*(IFERROR(INDEX('TaxCred&amp;Subs'!$J$66:$J$99,MATCH(1,($C51&amp;$D51='TaxCred&amp;Subs'!$D$66:$D$99)*($F51='TaxCred&amp;Subs'!$C$66:$C$99),0)),0)),IF($C51&gt;2,(O51-S51)*(IFERROR(INDEX('TaxCred&amp;Subs'!$J$66:$J$99,MATCH(1,($C51&amp;$D51='TaxCred&amp;Subs'!$D$66:$D$99)*($F51='TaxCred&amp;Subs'!$C$66:$C$99),0)),0)),0))),0)</f>
        <v>0</v>
      </c>
      <c r="R51" s="95">
        <f t="array" ref="R51">ROUND(IF(IFERROR(VALUE(RIGHT($AD51,1)),0)&gt;2,IF($C51=8,N51*IFERROR(INDEX('TaxCred&amp;Subs'!$K$139:$S$151,MATCH($C51&amp;$D51&amp;LEFT($AD51,7),'TaxCred&amp;Subs'!$E$139:$E$151,0),MATCH($H51,'TaxCred&amp;Subs'!$K$137:$S$137,0)),0),IF($C51=2,N51*IFERROR(INDEX('TaxCred&amp;Subs'!$K$139:$S$151,MATCH($C51&amp;$D51,'TaxCred&amp;Subs'!$D$139:$D$151,0),MATCH($H51,'TaxCred&amp;Subs'!$K$137:$S$137,0)),0),N51*IFERROR(INDEX('TaxCred&amp;Subs'!$K$139:$S$151,MATCH($C51&amp;$D51,'TaxCred&amp;Subs'!$C$139:$C$151,0),MATCH($H51,'TaxCred&amp;Subs'!$K$137:$S$137,0)),0))),0),0)</f>
        <v>501</v>
      </c>
      <c r="S51" s="95">
        <f t="array" ref="S51">ROUND(IF(IFERROR(VALUE(RIGHT($AD51,1)),0)&gt;2,IF($C51=8,O51*IFERROR(INDEX('TaxCred&amp;Subs'!$K$139:$S$151,MATCH($C51&amp;$D51&amp;LEFT($AD51,7),'TaxCred&amp;Subs'!$E$139:$E$151,0),MATCH($H51,'TaxCred&amp;Subs'!$K$137:$S$137,0)),0),IF($C51=2,O51*IFERROR(INDEX('TaxCred&amp;Subs'!$K$139:$S$151,MATCH($C51&amp;$D51,'TaxCred&amp;Subs'!$D$139:$D$151,0),MATCH($H51,'TaxCred&amp;Subs'!$K$137:$S$137,0)),0),O51*IFERROR(INDEX('TaxCred&amp;Subs'!$K$139:$S$151,MATCH($C51&amp;$D51,'TaxCred&amp;Subs'!$C$139:$C$151,0),MATCH($H51,'TaxCred&amp;Subs'!$K$137:$S$137,0)),0))),0),0)</f>
        <v>632</v>
      </c>
      <c r="T51" s="95">
        <f t="shared" si="0"/>
        <v>0</v>
      </c>
      <c r="U51" s="95">
        <f t="shared" si="1"/>
        <v>0</v>
      </c>
      <c r="V51" s="28" t="s">
        <v>222</v>
      </c>
      <c r="W51" s="31">
        <v>2020</v>
      </c>
      <c r="X51" s="28">
        <v>1</v>
      </c>
      <c r="Y51" s="28">
        <v>0</v>
      </c>
      <c r="Z51" s="196">
        <v>-2.0762472774284713E-4</v>
      </c>
      <c r="AA51" s="196">
        <v>-3.1942265806591866E-3</v>
      </c>
      <c r="AB51" s="28">
        <v>0</v>
      </c>
      <c r="AC51" s="28">
        <v>0</v>
      </c>
      <c r="AD51" s="28" t="s">
        <v>197</v>
      </c>
    </row>
    <row r="52" spans="2:30" ht="14.25" customHeight="1" x14ac:dyDescent="0.2">
      <c r="B52" s="7">
        <f t="shared" si="2"/>
        <v>28</v>
      </c>
      <c r="C52" s="28">
        <v>1</v>
      </c>
      <c r="D52" s="28">
        <v>2</v>
      </c>
      <c r="E52" s="28">
        <v>4</v>
      </c>
      <c r="F52" s="78">
        <v>2023</v>
      </c>
      <c r="G52" s="28">
        <v>2032</v>
      </c>
      <c r="H52" s="28">
        <v>2</v>
      </c>
      <c r="I52" s="28">
        <v>4</v>
      </c>
      <c r="J52" s="28">
        <v>0</v>
      </c>
      <c r="K52" s="28">
        <v>0</v>
      </c>
      <c r="L52" s="28">
        <v>0</v>
      </c>
      <c r="M52" s="75">
        <v>2.6963657678780772</v>
      </c>
      <c r="N52" s="151">
        <v>3470</v>
      </c>
      <c r="O52" s="151">
        <v>4380</v>
      </c>
      <c r="P52" s="95">
        <f t="array" ref="P52">ROUND(IF($F52&lt;='TaxCred&amp;Subs'!$C$49,(IF($C52=2,IF($M52&gt;=IFERROR(INDEX('TaxCred&amp;Subs'!$L$12:$L$47,MATCH(1,($C52&amp;$D52='TaxCred&amp;Subs'!$E$12:$E$47)*($F52='TaxCred&amp;Subs'!$C$12:$C$47),0)
),9999),IFERROR(INDEX('TaxCred&amp;Subs'!$N$12:$N$47,MATCH(1,($C52&amp;$D52='TaxCred&amp;Subs'!$E$12:$E$47)*($F52='TaxCred&amp;Subs'!$C$12:$C$47),0)
),0),0),(IF($M52&gt;=IFERROR(INDEX('TaxCred&amp;Subs'!$H$12:$H$47,MATCH(1,($C52&amp;$D52='TaxCred&amp;Subs'!$D$12:$D$47)*($F52='TaxCred&amp;Subs'!$C$12:$C$47),0)
),9999),IFERROR(INDEX('TaxCred&amp;Subs'!$N$12:$N$47,MATCH(1,($C52&amp;$D52='TaxCred&amp;Subs'!$D$12:$D$47)*($F52='TaxCred&amp;Subs'!$C$12:$C$47),0)
),0),0)))),0)+IF(AND($C52=2,VALUE(RIGHT($AD52,1))&gt;2),(N52-R52)*(IFERROR(INDEX('TaxCred&amp;Subs'!$J$66:$J$99,MATCH(1,($C52&amp;$D52='TaxCred&amp;Subs'!$E$66:$E$99)*($F52='TaxCred&amp;Subs'!$C$66:$C$99),0)),0)),IF(AND($C52=1,VALUE(RIGHT($AD52,1))&gt;2),(N52-R52)*(IFERROR(INDEX('TaxCred&amp;Subs'!$J$66:$J$99,MATCH(1,($C52&amp;$D52='TaxCred&amp;Subs'!$D$66:$D$99)*($F52='TaxCred&amp;Subs'!$C$66:$C$99),0)),0)),IF($C52&gt;2,(N52-R52)*(IFERROR(INDEX('TaxCred&amp;Subs'!$J$66:$J$99,MATCH(1,($C52&amp;$D52='TaxCred&amp;Subs'!$D$66:$D$99)*($F52='TaxCred&amp;Subs'!$C$66:$C$99),0)),0)),0))),0)</f>
        <v>1000</v>
      </c>
      <c r="Q52" s="95">
        <f t="array" ref="Q52">ROUND(IF(AND($C52=2,VALUE(RIGHT($AD52,1))&gt;2),(O52-S52)*(IFERROR(INDEX('TaxCred&amp;Subs'!$J$66:$J$99,MATCH(1,($C52&amp;$D52='TaxCred&amp;Subs'!$E$66:$E$99)*($F52='TaxCred&amp;Subs'!$C$66:$C$99),0)),0)),IF(AND($C52=1,VALUE(RIGHT($AD52,1))&gt;2),(O52-S52)*(IFERROR(INDEX('TaxCred&amp;Subs'!$J$66:$J$99,MATCH(1,($C52&amp;$D52='TaxCred&amp;Subs'!$D$66:$D$99)*($F52='TaxCred&amp;Subs'!$C$66:$C$99),0)),0)),IF($C52&gt;2,(O52-S52)*(IFERROR(INDEX('TaxCred&amp;Subs'!$J$66:$J$99,MATCH(1,($C52&amp;$D52='TaxCred&amp;Subs'!$D$66:$D$99)*($F52='TaxCred&amp;Subs'!$C$66:$C$99),0)),0)),0))),0)</f>
        <v>0</v>
      </c>
      <c r="R52" s="95">
        <f t="array" ref="R52">ROUND(IF(IFERROR(VALUE(RIGHT($AD52,1)),0)&gt;2,IF($C52=8,N52*IFERROR(INDEX('TaxCred&amp;Subs'!$K$139:$S$151,MATCH($C52&amp;$D52&amp;LEFT($AD52,7),'TaxCred&amp;Subs'!$E$139:$E$151,0),MATCH($H52,'TaxCred&amp;Subs'!$K$137:$S$137,0)),0),IF($C52=2,N52*IFERROR(INDEX('TaxCred&amp;Subs'!$K$139:$S$151,MATCH($C52&amp;$D52,'TaxCred&amp;Subs'!$D$139:$D$151,0),MATCH($H52,'TaxCred&amp;Subs'!$K$137:$S$137,0)),0),N52*IFERROR(INDEX('TaxCred&amp;Subs'!$K$139:$S$151,MATCH($C52&amp;$D52,'TaxCred&amp;Subs'!$C$139:$C$151,0),MATCH($H52,'TaxCred&amp;Subs'!$K$137:$S$137,0)),0))),0),0)</f>
        <v>182</v>
      </c>
      <c r="S52" s="95">
        <f t="array" ref="S52">ROUND(IF(IFERROR(VALUE(RIGHT($AD52,1)),0)&gt;2,IF($C52=8,O52*IFERROR(INDEX('TaxCred&amp;Subs'!$K$139:$S$151,MATCH($C52&amp;$D52&amp;LEFT($AD52,7),'TaxCred&amp;Subs'!$E$139:$E$151,0),MATCH($H52,'TaxCred&amp;Subs'!$K$137:$S$137,0)),0),IF($C52=2,O52*IFERROR(INDEX('TaxCred&amp;Subs'!$K$139:$S$151,MATCH($C52&amp;$D52,'TaxCred&amp;Subs'!$D$139:$D$151,0),MATCH($H52,'TaxCred&amp;Subs'!$K$137:$S$137,0)),0),O52*IFERROR(INDEX('TaxCred&amp;Subs'!$K$139:$S$151,MATCH($C52&amp;$D52,'TaxCred&amp;Subs'!$C$139:$C$151,0),MATCH($H52,'TaxCred&amp;Subs'!$K$137:$S$137,0)),0))),0),0)</f>
        <v>229</v>
      </c>
      <c r="T52" s="95">
        <f t="shared" si="0"/>
        <v>0</v>
      </c>
      <c r="U52" s="95">
        <f t="shared" si="1"/>
        <v>0</v>
      </c>
      <c r="V52" s="28" t="s">
        <v>222</v>
      </c>
      <c r="W52" s="31">
        <v>2020</v>
      </c>
      <c r="X52" s="28">
        <v>1</v>
      </c>
      <c r="Y52" s="28">
        <v>0</v>
      </c>
      <c r="Z52" s="196">
        <v>-2.0762472774284713E-4</v>
      </c>
      <c r="AA52" s="196">
        <v>-3.1942265806591866E-3</v>
      </c>
      <c r="AB52" s="28">
        <v>0</v>
      </c>
      <c r="AC52" s="28">
        <v>0</v>
      </c>
      <c r="AD52" s="28" t="s">
        <v>197</v>
      </c>
    </row>
    <row r="53" spans="2:30" ht="14.25" customHeight="1" x14ac:dyDescent="0.2">
      <c r="B53" s="7">
        <f t="shared" si="2"/>
        <v>29</v>
      </c>
      <c r="C53" s="28">
        <v>1</v>
      </c>
      <c r="D53" s="28">
        <v>2</v>
      </c>
      <c r="E53" s="28">
        <v>4</v>
      </c>
      <c r="F53" s="78">
        <v>2023</v>
      </c>
      <c r="G53" s="28">
        <v>2032</v>
      </c>
      <c r="H53" s="28">
        <v>3</v>
      </c>
      <c r="I53" s="28">
        <v>4</v>
      </c>
      <c r="J53" s="28">
        <v>0</v>
      </c>
      <c r="K53" s="28">
        <v>0</v>
      </c>
      <c r="L53" s="28">
        <v>0</v>
      </c>
      <c r="M53" s="75">
        <v>2.6963657678780772</v>
      </c>
      <c r="N53" s="151">
        <v>3470</v>
      </c>
      <c r="O53" s="151">
        <v>4380</v>
      </c>
      <c r="P53" s="95">
        <f t="array" ref="P53">ROUND(IF($F53&lt;='TaxCred&amp;Subs'!$C$49,(IF($C53=2,IF($M53&gt;=IFERROR(INDEX('TaxCred&amp;Subs'!$L$12:$L$47,MATCH(1,($C53&amp;$D53='TaxCred&amp;Subs'!$E$12:$E$47)*($F53='TaxCred&amp;Subs'!$C$12:$C$47),0)
),9999),IFERROR(INDEX('TaxCred&amp;Subs'!$N$12:$N$47,MATCH(1,($C53&amp;$D53='TaxCred&amp;Subs'!$E$12:$E$47)*($F53='TaxCred&amp;Subs'!$C$12:$C$47),0)
),0),0),(IF($M53&gt;=IFERROR(INDEX('TaxCred&amp;Subs'!$H$12:$H$47,MATCH(1,($C53&amp;$D53='TaxCred&amp;Subs'!$D$12:$D$47)*($F53='TaxCred&amp;Subs'!$C$12:$C$47),0)
),9999),IFERROR(INDEX('TaxCred&amp;Subs'!$N$12:$N$47,MATCH(1,($C53&amp;$D53='TaxCred&amp;Subs'!$D$12:$D$47)*($F53='TaxCred&amp;Subs'!$C$12:$C$47),0)
),0),0)))),0)+IF(AND($C53=2,VALUE(RIGHT($AD53,1))&gt;2),(N53-R53)*(IFERROR(INDEX('TaxCred&amp;Subs'!$J$66:$J$99,MATCH(1,($C53&amp;$D53='TaxCred&amp;Subs'!$E$66:$E$99)*($F53='TaxCred&amp;Subs'!$C$66:$C$99),0)),0)),IF(AND($C53=1,VALUE(RIGHT($AD53,1))&gt;2),(N53-R53)*(IFERROR(INDEX('TaxCred&amp;Subs'!$J$66:$J$99,MATCH(1,($C53&amp;$D53='TaxCred&amp;Subs'!$D$66:$D$99)*($F53='TaxCred&amp;Subs'!$C$66:$C$99),0)),0)),IF($C53&gt;2,(N53-R53)*(IFERROR(INDEX('TaxCred&amp;Subs'!$J$66:$J$99,MATCH(1,($C53&amp;$D53='TaxCred&amp;Subs'!$D$66:$D$99)*($F53='TaxCred&amp;Subs'!$C$66:$C$99),0)),0)),0))),0)</f>
        <v>1000</v>
      </c>
      <c r="Q53" s="95">
        <f t="array" ref="Q53">ROUND(IF(AND($C53=2,VALUE(RIGHT($AD53,1))&gt;2),(O53-S53)*(IFERROR(INDEX('TaxCred&amp;Subs'!$J$66:$J$99,MATCH(1,($C53&amp;$D53='TaxCred&amp;Subs'!$E$66:$E$99)*($F53='TaxCred&amp;Subs'!$C$66:$C$99),0)),0)),IF(AND($C53=1,VALUE(RIGHT($AD53,1))&gt;2),(O53-S53)*(IFERROR(INDEX('TaxCred&amp;Subs'!$J$66:$J$99,MATCH(1,($C53&amp;$D53='TaxCred&amp;Subs'!$D$66:$D$99)*($F53='TaxCred&amp;Subs'!$C$66:$C$99),0)),0)),IF($C53&gt;2,(O53-S53)*(IFERROR(INDEX('TaxCred&amp;Subs'!$J$66:$J$99,MATCH(1,($C53&amp;$D53='TaxCred&amp;Subs'!$D$66:$D$99)*($F53='TaxCred&amp;Subs'!$C$66:$C$99),0)),0)),0))),0)</f>
        <v>0</v>
      </c>
      <c r="R53" s="95">
        <f t="array" ref="R53">ROUND(IF(IFERROR(VALUE(RIGHT($AD53,1)),0)&gt;2,IF($C53=8,N53*IFERROR(INDEX('TaxCred&amp;Subs'!$K$139:$S$151,MATCH($C53&amp;$D53&amp;LEFT($AD53,7),'TaxCred&amp;Subs'!$E$139:$E$151,0),MATCH($H53,'TaxCred&amp;Subs'!$K$137:$S$137,0)),0),IF($C53=2,N53*IFERROR(INDEX('TaxCred&amp;Subs'!$K$139:$S$151,MATCH($C53&amp;$D53,'TaxCred&amp;Subs'!$D$139:$D$151,0),MATCH($H53,'TaxCred&amp;Subs'!$K$137:$S$137,0)),0),N53*IFERROR(INDEX('TaxCred&amp;Subs'!$K$139:$S$151,MATCH($C53&amp;$D53,'TaxCred&amp;Subs'!$C$139:$C$151,0),MATCH($H53,'TaxCred&amp;Subs'!$K$137:$S$137,0)),0))),0),0)</f>
        <v>274</v>
      </c>
      <c r="S53" s="95">
        <f t="array" ref="S53">ROUND(IF(IFERROR(VALUE(RIGHT($AD53,1)),0)&gt;2,IF($C53=8,O53*IFERROR(INDEX('TaxCred&amp;Subs'!$K$139:$S$151,MATCH($C53&amp;$D53&amp;LEFT($AD53,7),'TaxCred&amp;Subs'!$E$139:$E$151,0),MATCH($H53,'TaxCred&amp;Subs'!$K$137:$S$137,0)),0),IF($C53=2,O53*IFERROR(INDEX('TaxCred&amp;Subs'!$K$139:$S$151,MATCH($C53&amp;$D53,'TaxCred&amp;Subs'!$D$139:$D$151,0),MATCH($H53,'TaxCred&amp;Subs'!$K$137:$S$137,0)),0),O53*IFERROR(INDEX('TaxCred&amp;Subs'!$K$139:$S$151,MATCH($C53&amp;$D53,'TaxCred&amp;Subs'!$C$139:$C$151,0),MATCH($H53,'TaxCred&amp;Subs'!$K$137:$S$137,0)),0))),0),0)</f>
        <v>346</v>
      </c>
      <c r="T53" s="95">
        <f t="shared" si="0"/>
        <v>0</v>
      </c>
      <c r="U53" s="95">
        <f t="shared" si="1"/>
        <v>0</v>
      </c>
      <c r="V53" s="28" t="s">
        <v>222</v>
      </c>
      <c r="W53" s="31">
        <v>2020</v>
      </c>
      <c r="X53" s="28">
        <v>1</v>
      </c>
      <c r="Y53" s="28">
        <v>0</v>
      </c>
      <c r="Z53" s="196">
        <v>-2.0762472774284713E-4</v>
      </c>
      <c r="AA53" s="196">
        <v>-3.1942265806591866E-3</v>
      </c>
      <c r="AB53" s="28">
        <v>0</v>
      </c>
      <c r="AC53" s="28">
        <v>0</v>
      </c>
      <c r="AD53" s="28" t="s">
        <v>197</v>
      </c>
    </row>
    <row r="54" spans="2:30" ht="14.25" customHeight="1" x14ac:dyDescent="0.2">
      <c r="B54" s="7">
        <f t="shared" si="2"/>
        <v>30</v>
      </c>
      <c r="C54" s="28">
        <v>1</v>
      </c>
      <c r="D54" s="28">
        <v>2</v>
      </c>
      <c r="E54" s="28">
        <v>4</v>
      </c>
      <c r="F54" s="78">
        <v>2023</v>
      </c>
      <c r="G54" s="28">
        <v>2032</v>
      </c>
      <c r="H54" s="28">
        <v>4</v>
      </c>
      <c r="I54" s="28">
        <v>4</v>
      </c>
      <c r="J54" s="28">
        <v>0</v>
      </c>
      <c r="K54" s="28">
        <v>0</v>
      </c>
      <c r="L54" s="28">
        <v>0</v>
      </c>
      <c r="M54" s="75">
        <v>2.6963657678780772</v>
      </c>
      <c r="N54" s="151">
        <v>3470</v>
      </c>
      <c r="O54" s="151">
        <v>4380</v>
      </c>
      <c r="P54" s="95">
        <f t="array" ref="P54">ROUND(IF($F54&lt;='TaxCred&amp;Subs'!$C$49,(IF($C54=2,IF($M54&gt;=IFERROR(INDEX('TaxCred&amp;Subs'!$L$12:$L$47,MATCH(1,($C54&amp;$D54='TaxCred&amp;Subs'!$E$12:$E$47)*($F54='TaxCred&amp;Subs'!$C$12:$C$47),0)
),9999),IFERROR(INDEX('TaxCred&amp;Subs'!$N$12:$N$47,MATCH(1,($C54&amp;$D54='TaxCred&amp;Subs'!$E$12:$E$47)*($F54='TaxCred&amp;Subs'!$C$12:$C$47),0)
),0),0),(IF($M54&gt;=IFERROR(INDEX('TaxCred&amp;Subs'!$H$12:$H$47,MATCH(1,($C54&amp;$D54='TaxCred&amp;Subs'!$D$12:$D$47)*($F54='TaxCred&amp;Subs'!$C$12:$C$47),0)
),9999),IFERROR(INDEX('TaxCred&amp;Subs'!$N$12:$N$47,MATCH(1,($C54&amp;$D54='TaxCred&amp;Subs'!$D$12:$D$47)*($F54='TaxCred&amp;Subs'!$C$12:$C$47),0)
),0),0)))),0)+IF(AND($C54=2,VALUE(RIGHT($AD54,1))&gt;2),(N54-R54)*(IFERROR(INDEX('TaxCred&amp;Subs'!$J$66:$J$99,MATCH(1,($C54&amp;$D54='TaxCred&amp;Subs'!$E$66:$E$99)*($F54='TaxCred&amp;Subs'!$C$66:$C$99),0)),0)),IF(AND($C54=1,VALUE(RIGHT($AD54,1))&gt;2),(N54-R54)*(IFERROR(INDEX('TaxCred&amp;Subs'!$J$66:$J$99,MATCH(1,($C54&amp;$D54='TaxCred&amp;Subs'!$D$66:$D$99)*($F54='TaxCred&amp;Subs'!$C$66:$C$99),0)),0)),IF($C54&gt;2,(N54-R54)*(IFERROR(INDEX('TaxCred&amp;Subs'!$J$66:$J$99,MATCH(1,($C54&amp;$D54='TaxCred&amp;Subs'!$D$66:$D$99)*($F54='TaxCred&amp;Subs'!$C$66:$C$99),0)),0)),0))),0)</f>
        <v>1000</v>
      </c>
      <c r="Q54" s="95">
        <f t="array" ref="Q54">ROUND(IF(AND($C54=2,VALUE(RIGHT($AD54,1))&gt;2),(O54-S54)*(IFERROR(INDEX('TaxCred&amp;Subs'!$J$66:$J$99,MATCH(1,($C54&amp;$D54='TaxCred&amp;Subs'!$E$66:$E$99)*($F54='TaxCred&amp;Subs'!$C$66:$C$99),0)),0)),IF(AND($C54=1,VALUE(RIGHT($AD54,1))&gt;2),(O54-S54)*(IFERROR(INDEX('TaxCred&amp;Subs'!$J$66:$J$99,MATCH(1,($C54&amp;$D54='TaxCred&amp;Subs'!$D$66:$D$99)*($F54='TaxCred&amp;Subs'!$C$66:$C$99),0)),0)),IF($C54&gt;2,(O54-S54)*(IFERROR(INDEX('TaxCred&amp;Subs'!$J$66:$J$99,MATCH(1,($C54&amp;$D54='TaxCred&amp;Subs'!$D$66:$D$99)*($F54='TaxCred&amp;Subs'!$C$66:$C$99),0)),0)),0))),0)</f>
        <v>0</v>
      </c>
      <c r="R54" s="95">
        <f t="array" ref="R54">ROUND(IF(IFERROR(VALUE(RIGHT($AD54,1)),0)&gt;2,IF($C54=8,N54*IFERROR(INDEX('TaxCred&amp;Subs'!$K$139:$S$151,MATCH($C54&amp;$D54&amp;LEFT($AD54,7),'TaxCred&amp;Subs'!$E$139:$E$151,0),MATCH($H54,'TaxCred&amp;Subs'!$K$137:$S$137,0)),0),IF($C54=2,N54*IFERROR(INDEX('TaxCred&amp;Subs'!$K$139:$S$151,MATCH($C54&amp;$D54,'TaxCred&amp;Subs'!$D$139:$D$151,0),MATCH($H54,'TaxCred&amp;Subs'!$K$137:$S$137,0)),0),N54*IFERROR(INDEX('TaxCred&amp;Subs'!$K$139:$S$151,MATCH($C54&amp;$D54,'TaxCred&amp;Subs'!$C$139:$C$151,0),MATCH($H54,'TaxCred&amp;Subs'!$K$137:$S$137,0)),0))),0),0)</f>
        <v>167</v>
      </c>
      <c r="S54" s="95">
        <f t="array" ref="S54">ROUND(IF(IFERROR(VALUE(RIGHT($AD54,1)),0)&gt;2,IF($C54=8,O54*IFERROR(INDEX('TaxCred&amp;Subs'!$K$139:$S$151,MATCH($C54&amp;$D54&amp;LEFT($AD54,7),'TaxCred&amp;Subs'!$E$139:$E$151,0),MATCH($H54,'TaxCred&amp;Subs'!$K$137:$S$137,0)),0),IF($C54=2,O54*IFERROR(INDEX('TaxCred&amp;Subs'!$K$139:$S$151,MATCH($C54&amp;$D54,'TaxCred&amp;Subs'!$D$139:$D$151,0),MATCH($H54,'TaxCred&amp;Subs'!$K$137:$S$137,0)),0),O54*IFERROR(INDEX('TaxCred&amp;Subs'!$K$139:$S$151,MATCH($C54&amp;$D54,'TaxCred&amp;Subs'!$C$139:$C$151,0),MATCH($H54,'TaxCred&amp;Subs'!$K$137:$S$137,0)),0))),0),0)</f>
        <v>211</v>
      </c>
      <c r="T54" s="95">
        <f t="shared" si="0"/>
        <v>0</v>
      </c>
      <c r="U54" s="95">
        <f t="shared" si="1"/>
        <v>0</v>
      </c>
      <c r="V54" s="28" t="s">
        <v>222</v>
      </c>
      <c r="W54" s="31">
        <v>2020</v>
      </c>
      <c r="X54" s="28">
        <v>1</v>
      </c>
      <c r="Y54" s="28">
        <v>0</v>
      </c>
      <c r="Z54" s="196">
        <v>-2.0762472774284713E-4</v>
      </c>
      <c r="AA54" s="196">
        <v>-3.1942265806591866E-3</v>
      </c>
      <c r="AB54" s="28">
        <v>0</v>
      </c>
      <c r="AC54" s="28">
        <v>0</v>
      </c>
      <c r="AD54" s="28" t="s">
        <v>197</v>
      </c>
    </row>
    <row r="55" spans="2:30" ht="14.25" customHeight="1" x14ac:dyDescent="0.2">
      <c r="B55" s="7">
        <f t="shared" si="2"/>
        <v>31</v>
      </c>
      <c r="C55" s="28">
        <v>1</v>
      </c>
      <c r="D55" s="28">
        <v>2</v>
      </c>
      <c r="E55" s="28">
        <v>4</v>
      </c>
      <c r="F55" s="78">
        <v>2023</v>
      </c>
      <c r="G55" s="28">
        <v>2032</v>
      </c>
      <c r="H55" s="28">
        <v>5</v>
      </c>
      <c r="I55" s="28">
        <v>4</v>
      </c>
      <c r="J55" s="28">
        <v>0</v>
      </c>
      <c r="K55" s="28">
        <v>0</v>
      </c>
      <c r="L55" s="28">
        <v>0</v>
      </c>
      <c r="M55" s="75">
        <v>2.6963657678780772</v>
      </c>
      <c r="N55" s="151">
        <v>3470</v>
      </c>
      <c r="O55" s="151">
        <v>4380</v>
      </c>
      <c r="P55" s="95">
        <f t="array" ref="P55">ROUND(IF($F55&lt;='TaxCred&amp;Subs'!$C$49,(IF($C55=2,IF($M55&gt;=IFERROR(INDEX('TaxCred&amp;Subs'!$L$12:$L$47,MATCH(1,($C55&amp;$D55='TaxCred&amp;Subs'!$E$12:$E$47)*($F55='TaxCred&amp;Subs'!$C$12:$C$47),0)
),9999),IFERROR(INDEX('TaxCred&amp;Subs'!$N$12:$N$47,MATCH(1,($C55&amp;$D55='TaxCred&amp;Subs'!$E$12:$E$47)*($F55='TaxCred&amp;Subs'!$C$12:$C$47),0)
),0),0),(IF($M55&gt;=IFERROR(INDEX('TaxCred&amp;Subs'!$H$12:$H$47,MATCH(1,($C55&amp;$D55='TaxCred&amp;Subs'!$D$12:$D$47)*($F55='TaxCred&amp;Subs'!$C$12:$C$47),0)
),9999),IFERROR(INDEX('TaxCred&amp;Subs'!$N$12:$N$47,MATCH(1,($C55&amp;$D55='TaxCred&amp;Subs'!$D$12:$D$47)*($F55='TaxCred&amp;Subs'!$C$12:$C$47),0)
),0),0)))),0)+IF(AND($C55=2,VALUE(RIGHT($AD55,1))&gt;2),(N55-R55)*(IFERROR(INDEX('TaxCred&amp;Subs'!$J$66:$J$99,MATCH(1,($C55&amp;$D55='TaxCred&amp;Subs'!$E$66:$E$99)*($F55='TaxCred&amp;Subs'!$C$66:$C$99),0)),0)),IF(AND($C55=1,VALUE(RIGHT($AD55,1))&gt;2),(N55-R55)*(IFERROR(INDEX('TaxCred&amp;Subs'!$J$66:$J$99,MATCH(1,($C55&amp;$D55='TaxCred&amp;Subs'!$D$66:$D$99)*($F55='TaxCred&amp;Subs'!$C$66:$C$99),0)),0)),IF($C55&gt;2,(N55-R55)*(IFERROR(INDEX('TaxCred&amp;Subs'!$J$66:$J$99,MATCH(1,($C55&amp;$D55='TaxCred&amp;Subs'!$D$66:$D$99)*($F55='TaxCred&amp;Subs'!$C$66:$C$99),0)),0)),0))),0)</f>
        <v>1000</v>
      </c>
      <c r="Q55" s="95">
        <f t="array" ref="Q55">ROUND(IF(AND($C55=2,VALUE(RIGHT($AD55,1))&gt;2),(O55-S55)*(IFERROR(INDEX('TaxCred&amp;Subs'!$J$66:$J$99,MATCH(1,($C55&amp;$D55='TaxCred&amp;Subs'!$E$66:$E$99)*($F55='TaxCred&amp;Subs'!$C$66:$C$99),0)),0)),IF(AND($C55=1,VALUE(RIGHT($AD55,1))&gt;2),(O55-S55)*(IFERROR(INDEX('TaxCred&amp;Subs'!$J$66:$J$99,MATCH(1,($C55&amp;$D55='TaxCred&amp;Subs'!$D$66:$D$99)*($F55='TaxCred&amp;Subs'!$C$66:$C$99),0)),0)),IF($C55&gt;2,(O55-S55)*(IFERROR(INDEX('TaxCred&amp;Subs'!$J$66:$J$99,MATCH(1,($C55&amp;$D55='TaxCred&amp;Subs'!$D$66:$D$99)*($F55='TaxCred&amp;Subs'!$C$66:$C$99),0)),0)),0))),0)</f>
        <v>0</v>
      </c>
      <c r="R55" s="95">
        <f t="array" ref="R55">ROUND(IF(IFERROR(VALUE(RIGHT($AD55,1)),0)&gt;2,IF($C55=8,N55*IFERROR(INDEX('TaxCred&amp;Subs'!$K$139:$S$151,MATCH($C55&amp;$D55&amp;LEFT($AD55,7),'TaxCred&amp;Subs'!$E$139:$E$151,0),MATCH($H55,'TaxCred&amp;Subs'!$K$137:$S$137,0)),0),IF($C55=2,N55*IFERROR(INDEX('TaxCred&amp;Subs'!$K$139:$S$151,MATCH($C55&amp;$D55,'TaxCred&amp;Subs'!$D$139:$D$151,0),MATCH($H55,'TaxCred&amp;Subs'!$K$137:$S$137,0)),0),N55*IFERROR(INDEX('TaxCred&amp;Subs'!$K$139:$S$151,MATCH($C55&amp;$D55,'TaxCred&amp;Subs'!$C$139:$C$151,0),MATCH($H55,'TaxCred&amp;Subs'!$K$137:$S$137,0)),0))),0),0)</f>
        <v>76</v>
      </c>
      <c r="S55" s="95">
        <f t="array" ref="S55">ROUND(IF(IFERROR(VALUE(RIGHT($AD55,1)),0)&gt;2,IF($C55=8,O55*IFERROR(INDEX('TaxCred&amp;Subs'!$K$139:$S$151,MATCH($C55&amp;$D55&amp;LEFT($AD55,7),'TaxCred&amp;Subs'!$E$139:$E$151,0),MATCH($H55,'TaxCred&amp;Subs'!$K$137:$S$137,0)),0),IF($C55=2,O55*IFERROR(INDEX('TaxCred&amp;Subs'!$K$139:$S$151,MATCH($C55&amp;$D55,'TaxCred&amp;Subs'!$D$139:$D$151,0),MATCH($H55,'TaxCred&amp;Subs'!$K$137:$S$137,0)),0),O55*IFERROR(INDEX('TaxCred&amp;Subs'!$K$139:$S$151,MATCH($C55&amp;$D55,'TaxCred&amp;Subs'!$C$139:$C$151,0),MATCH($H55,'TaxCred&amp;Subs'!$K$137:$S$137,0)),0))),0),0)</f>
        <v>96</v>
      </c>
      <c r="T55" s="95">
        <f t="shared" si="0"/>
        <v>0</v>
      </c>
      <c r="U55" s="95">
        <f t="shared" si="1"/>
        <v>0</v>
      </c>
      <c r="V55" s="28" t="s">
        <v>222</v>
      </c>
      <c r="W55" s="31">
        <v>2020</v>
      </c>
      <c r="X55" s="28">
        <v>1</v>
      </c>
      <c r="Y55" s="28">
        <v>0</v>
      </c>
      <c r="Z55" s="196">
        <v>-2.0762472774284713E-4</v>
      </c>
      <c r="AA55" s="196">
        <v>-3.1942265806591866E-3</v>
      </c>
      <c r="AB55" s="28">
        <v>0</v>
      </c>
      <c r="AC55" s="28">
        <v>0</v>
      </c>
      <c r="AD55" s="28" t="s">
        <v>197</v>
      </c>
    </row>
    <row r="56" spans="2:30" ht="14.25" customHeight="1" x14ac:dyDescent="0.2">
      <c r="B56" s="7">
        <f t="shared" si="2"/>
        <v>32</v>
      </c>
      <c r="C56" s="28">
        <v>1</v>
      </c>
      <c r="D56" s="28">
        <v>2</v>
      </c>
      <c r="E56" s="28">
        <v>4</v>
      </c>
      <c r="F56" s="78">
        <v>2023</v>
      </c>
      <c r="G56" s="28">
        <v>2032</v>
      </c>
      <c r="H56" s="28">
        <v>6</v>
      </c>
      <c r="I56" s="28">
        <v>4</v>
      </c>
      <c r="J56" s="28">
        <v>0</v>
      </c>
      <c r="K56" s="28">
        <v>0</v>
      </c>
      <c r="L56" s="28">
        <v>0</v>
      </c>
      <c r="M56" s="75">
        <v>2.6963657678780772</v>
      </c>
      <c r="N56" s="151">
        <v>3470</v>
      </c>
      <c r="O56" s="151">
        <v>4380</v>
      </c>
      <c r="P56" s="95">
        <f t="array" ref="P56">ROUND(IF($F56&lt;='TaxCred&amp;Subs'!$C$49,(IF($C56=2,IF($M56&gt;=IFERROR(INDEX('TaxCred&amp;Subs'!$L$12:$L$47,MATCH(1,($C56&amp;$D56='TaxCred&amp;Subs'!$E$12:$E$47)*($F56='TaxCred&amp;Subs'!$C$12:$C$47),0)
),9999),IFERROR(INDEX('TaxCred&amp;Subs'!$N$12:$N$47,MATCH(1,($C56&amp;$D56='TaxCred&amp;Subs'!$E$12:$E$47)*($F56='TaxCred&amp;Subs'!$C$12:$C$47),0)
),0),0),(IF($M56&gt;=IFERROR(INDEX('TaxCred&amp;Subs'!$H$12:$H$47,MATCH(1,($C56&amp;$D56='TaxCred&amp;Subs'!$D$12:$D$47)*($F56='TaxCred&amp;Subs'!$C$12:$C$47),0)
),9999),IFERROR(INDEX('TaxCred&amp;Subs'!$N$12:$N$47,MATCH(1,($C56&amp;$D56='TaxCred&amp;Subs'!$D$12:$D$47)*($F56='TaxCred&amp;Subs'!$C$12:$C$47),0)
),0),0)))),0)+IF(AND($C56=2,VALUE(RIGHT($AD56,1))&gt;2),(N56-R56)*(IFERROR(INDEX('TaxCred&amp;Subs'!$J$66:$J$99,MATCH(1,($C56&amp;$D56='TaxCred&amp;Subs'!$E$66:$E$99)*($F56='TaxCred&amp;Subs'!$C$66:$C$99),0)),0)),IF(AND($C56=1,VALUE(RIGHT($AD56,1))&gt;2),(N56-R56)*(IFERROR(INDEX('TaxCred&amp;Subs'!$J$66:$J$99,MATCH(1,($C56&amp;$D56='TaxCred&amp;Subs'!$D$66:$D$99)*($F56='TaxCred&amp;Subs'!$C$66:$C$99),0)),0)),IF($C56&gt;2,(N56-R56)*(IFERROR(INDEX('TaxCred&amp;Subs'!$J$66:$J$99,MATCH(1,($C56&amp;$D56='TaxCred&amp;Subs'!$D$66:$D$99)*($F56='TaxCred&amp;Subs'!$C$66:$C$99),0)),0)),0))),0)</f>
        <v>1000</v>
      </c>
      <c r="Q56" s="95">
        <f t="array" ref="Q56">ROUND(IF(AND($C56=2,VALUE(RIGHT($AD56,1))&gt;2),(O56-S56)*(IFERROR(INDEX('TaxCred&amp;Subs'!$J$66:$J$99,MATCH(1,($C56&amp;$D56='TaxCred&amp;Subs'!$E$66:$E$99)*($F56='TaxCred&amp;Subs'!$C$66:$C$99),0)),0)),IF(AND($C56=1,VALUE(RIGHT($AD56,1))&gt;2),(O56-S56)*(IFERROR(INDEX('TaxCred&amp;Subs'!$J$66:$J$99,MATCH(1,($C56&amp;$D56='TaxCred&amp;Subs'!$D$66:$D$99)*($F56='TaxCred&amp;Subs'!$C$66:$C$99),0)),0)),IF($C56&gt;2,(O56-S56)*(IFERROR(INDEX('TaxCred&amp;Subs'!$J$66:$J$99,MATCH(1,($C56&amp;$D56='TaxCred&amp;Subs'!$D$66:$D$99)*($F56='TaxCred&amp;Subs'!$C$66:$C$99),0)),0)),0))),0)</f>
        <v>0</v>
      </c>
      <c r="R56" s="95">
        <f t="array" ref="R56">ROUND(IF(IFERROR(VALUE(RIGHT($AD56,1)),0)&gt;2,IF($C56=8,N56*IFERROR(INDEX('TaxCred&amp;Subs'!$K$139:$S$151,MATCH($C56&amp;$D56&amp;LEFT($AD56,7),'TaxCred&amp;Subs'!$E$139:$E$151,0),MATCH($H56,'TaxCred&amp;Subs'!$K$137:$S$137,0)),0),IF($C56=2,N56*IFERROR(INDEX('TaxCred&amp;Subs'!$K$139:$S$151,MATCH($C56&amp;$D56,'TaxCred&amp;Subs'!$D$139:$D$151,0),MATCH($H56,'TaxCred&amp;Subs'!$K$137:$S$137,0)),0),N56*IFERROR(INDEX('TaxCred&amp;Subs'!$K$139:$S$151,MATCH($C56&amp;$D56,'TaxCred&amp;Subs'!$C$139:$C$151,0),MATCH($H56,'TaxCred&amp;Subs'!$K$137:$S$137,0)),0))),0),0)</f>
        <v>0</v>
      </c>
      <c r="S56" s="95">
        <f t="array" ref="S56">ROUND(IF(IFERROR(VALUE(RIGHT($AD56,1)),0)&gt;2,IF($C56=8,O56*IFERROR(INDEX('TaxCred&amp;Subs'!$K$139:$S$151,MATCH($C56&amp;$D56&amp;LEFT($AD56,7),'TaxCred&amp;Subs'!$E$139:$E$151,0),MATCH($H56,'TaxCred&amp;Subs'!$K$137:$S$137,0)),0),IF($C56=2,O56*IFERROR(INDEX('TaxCred&amp;Subs'!$K$139:$S$151,MATCH($C56&amp;$D56,'TaxCred&amp;Subs'!$D$139:$D$151,0),MATCH($H56,'TaxCred&amp;Subs'!$K$137:$S$137,0)),0),O56*IFERROR(INDEX('TaxCred&amp;Subs'!$K$139:$S$151,MATCH($C56&amp;$D56,'TaxCred&amp;Subs'!$C$139:$C$151,0),MATCH($H56,'TaxCred&amp;Subs'!$K$137:$S$137,0)),0))),0),0)</f>
        <v>0</v>
      </c>
      <c r="T56" s="95">
        <f t="shared" si="0"/>
        <v>0</v>
      </c>
      <c r="U56" s="95">
        <f t="shared" si="1"/>
        <v>0</v>
      </c>
      <c r="V56" s="28" t="s">
        <v>222</v>
      </c>
      <c r="W56" s="31">
        <v>2020</v>
      </c>
      <c r="X56" s="28">
        <v>1</v>
      </c>
      <c r="Y56" s="28">
        <v>0</v>
      </c>
      <c r="Z56" s="196">
        <v>-2.0762472774284713E-4</v>
      </c>
      <c r="AA56" s="196">
        <v>-3.1942265806591866E-3</v>
      </c>
      <c r="AB56" s="28">
        <v>0</v>
      </c>
      <c r="AC56" s="28">
        <v>0</v>
      </c>
      <c r="AD56" s="28" t="s">
        <v>197</v>
      </c>
    </row>
    <row r="57" spans="2:30" ht="14.25" customHeight="1" x14ac:dyDescent="0.2">
      <c r="B57" s="7">
        <f t="shared" si="2"/>
        <v>33</v>
      </c>
      <c r="C57" s="28">
        <v>1</v>
      </c>
      <c r="D57" s="28">
        <v>2</v>
      </c>
      <c r="E57" s="28">
        <v>4</v>
      </c>
      <c r="F57" s="78">
        <v>2023</v>
      </c>
      <c r="G57" s="28">
        <v>2032</v>
      </c>
      <c r="H57" s="28">
        <v>7</v>
      </c>
      <c r="I57" s="28">
        <v>4</v>
      </c>
      <c r="J57" s="28">
        <v>0</v>
      </c>
      <c r="K57" s="28">
        <v>0</v>
      </c>
      <c r="L57" s="28">
        <v>0</v>
      </c>
      <c r="M57" s="75">
        <v>2.6963657678780772</v>
      </c>
      <c r="N57" s="151">
        <v>3470</v>
      </c>
      <c r="O57" s="151">
        <v>4380</v>
      </c>
      <c r="P57" s="95">
        <f t="array" ref="P57">ROUND(IF($F57&lt;='TaxCred&amp;Subs'!$C$49,(IF($C57=2,IF($M57&gt;=IFERROR(INDEX('TaxCred&amp;Subs'!$L$12:$L$47,MATCH(1,($C57&amp;$D57='TaxCred&amp;Subs'!$E$12:$E$47)*($F57='TaxCred&amp;Subs'!$C$12:$C$47),0)
),9999),IFERROR(INDEX('TaxCred&amp;Subs'!$N$12:$N$47,MATCH(1,($C57&amp;$D57='TaxCred&amp;Subs'!$E$12:$E$47)*($F57='TaxCred&amp;Subs'!$C$12:$C$47),0)
),0),0),(IF($M57&gt;=IFERROR(INDEX('TaxCred&amp;Subs'!$H$12:$H$47,MATCH(1,($C57&amp;$D57='TaxCred&amp;Subs'!$D$12:$D$47)*($F57='TaxCred&amp;Subs'!$C$12:$C$47),0)
),9999),IFERROR(INDEX('TaxCred&amp;Subs'!$N$12:$N$47,MATCH(1,($C57&amp;$D57='TaxCred&amp;Subs'!$D$12:$D$47)*($F57='TaxCred&amp;Subs'!$C$12:$C$47),0)
),0),0)))),0)+IF(AND($C57=2,VALUE(RIGHT($AD57,1))&gt;2),(N57-R57)*(IFERROR(INDEX('TaxCred&amp;Subs'!$J$66:$J$99,MATCH(1,($C57&amp;$D57='TaxCred&amp;Subs'!$E$66:$E$99)*($F57='TaxCred&amp;Subs'!$C$66:$C$99),0)),0)),IF(AND($C57=1,VALUE(RIGHT($AD57,1))&gt;2),(N57-R57)*(IFERROR(INDEX('TaxCred&amp;Subs'!$J$66:$J$99,MATCH(1,($C57&amp;$D57='TaxCred&amp;Subs'!$D$66:$D$99)*($F57='TaxCred&amp;Subs'!$C$66:$C$99),0)),0)),IF($C57&gt;2,(N57-R57)*(IFERROR(INDEX('TaxCred&amp;Subs'!$J$66:$J$99,MATCH(1,($C57&amp;$D57='TaxCred&amp;Subs'!$D$66:$D$99)*($F57='TaxCred&amp;Subs'!$C$66:$C$99),0)),0)),0))),0)</f>
        <v>1000</v>
      </c>
      <c r="Q57" s="95">
        <f t="array" ref="Q57">ROUND(IF(AND($C57=2,VALUE(RIGHT($AD57,1))&gt;2),(O57-S57)*(IFERROR(INDEX('TaxCred&amp;Subs'!$J$66:$J$99,MATCH(1,($C57&amp;$D57='TaxCred&amp;Subs'!$E$66:$E$99)*($F57='TaxCred&amp;Subs'!$C$66:$C$99),0)),0)),IF(AND($C57=1,VALUE(RIGHT($AD57,1))&gt;2),(O57-S57)*(IFERROR(INDEX('TaxCred&amp;Subs'!$J$66:$J$99,MATCH(1,($C57&amp;$D57='TaxCred&amp;Subs'!$D$66:$D$99)*($F57='TaxCred&amp;Subs'!$C$66:$C$99),0)),0)),IF($C57&gt;2,(O57-S57)*(IFERROR(INDEX('TaxCred&amp;Subs'!$J$66:$J$99,MATCH(1,($C57&amp;$D57='TaxCred&amp;Subs'!$D$66:$D$99)*($F57='TaxCred&amp;Subs'!$C$66:$C$99),0)),0)),0))),0)</f>
        <v>0</v>
      </c>
      <c r="R57" s="95">
        <f t="array" ref="R57">ROUND(IF(IFERROR(VALUE(RIGHT($AD57,1)),0)&gt;2,IF($C57=8,N57*IFERROR(INDEX('TaxCred&amp;Subs'!$K$139:$S$151,MATCH($C57&amp;$D57&amp;LEFT($AD57,7),'TaxCred&amp;Subs'!$E$139:$E$151,0),MATCH($H57,'TaxCred&amp;Subs'!$K$137:$S$137,0)),0),IF($C57=2,N57*IFERROR(INDEX('TaxCred&amp;Subs'!$K$139:$S$151,MATCH($C57&amp;$D57,'TaxCred&amp;Subs'!$D$139:$D$151,0),MATCH($H57,'TaxCred&amp;Subs'!$K$137:$S$137,0)),0),N57*IFERROR(INDEX('TaxCred&amp;Subs'!$K$139:$S$151,MATCH($C57&amp;$D57,'TaxCred&amp;Subs'!$C$139:$C$151,0),MATCH($H57,'TaxCred&amp;Subs'!$K$137:$S$137,0)),0))),0),0)</f>
        <v>672</v>
      </c>
      <c r="S57" s="95">
        <f t="array" ref="S57">ROUND(IF(IFERROR(VALUE(RIGHT($AD57,1)),0)&gt;2,IF($C57=8,O57*IFERROR(INDEX('TaxCred&amp;Subs'!$K$139:$S$151,MATCH($C57&amp;$D57&amp;LEFT($AD57,7),'TaxCred&amp;Subs'!$E$139:$E$151,0),MATCH($H57,'TaxCred&amp;Subs'!$K$137:$S$137,0)),0),IF($C57=2,O57*IFERROR(INDEX('TaxCred&amp;Subs'!$K$139:$S$151,MATCH($C57&amp;$D57,'TaxCred&amp;Subs'!$D$139:$D$151,0),MATCH($H57,'TaxCred&amp;Subs'!$K$137:$S$137,0)),0),O57*IFERROR(INDEX('TaxCred&amp;Subs'!$K$139:$S$151,MATCH($C57&amp;$D57,'TaxCred&amp;Subs'!$C$139:$C$151,0),MATCH($H57,'TaxCred&amp;Subs'!$K$137:$S$137,0)),0))),0),0)</f>
        <v>848</v>
      </c>
      <c r="T57" s="95">
        <f t="shared" ref="T57:T99" si="3">IF($H57=9,IF(R57&gt;0,(N57-P57)*0.15,0),0)</f>
        <v>0</v>
      </c>
      <c r="U57" s="95">
        <f t="shared" ref="U57:U99" si="4">IF($H57=9,IF(S57&gt;0,(O57-Q57)*0.15,0),0)</f>
        <v>0</v>
      </c>
      <c r="V57" s="28" t="s">
        <v>222</v>
      </c>
      <c r="W57" s="31">
        <v>2020</v>
      </c>
      <c r="X57" s="28">
        <v>1</v>
      </c>
      <c r="Y57" s="28">
        <v>0</v>
      </c>
      <c r="Z57" s="196">
        <v>-2.0762472774284713E-4</v>
      </c>
      <c r="AA57" s="196">
        <v>-3.1942265806591866E-3</v>
      </c>
      <c r="AB57" s="28">
        <v>0</v>
      </c>
      <c r="AC57" s="28">
        <v>0</v>
      </c>
      <c r="AD57" s="28" t="s">
        <v>197</v>
      </c>
    </row>
    <row r="58" spans="2:30" ht="14.25" customHeight="1" x14ac:dyDescent="0.2">
      <c r="B58" s="7">
        <f t="shared" si="2"/>
        <v>34</v>
      </c>
      <c r="C58" s="28">
        <v>1</v>
      </c>
      <c r="D58" s="28">
        <v>2</v>
      </c>
      <c r="E58" s="28">
        <v>4</v>
      </c>
      <c r="F58" s="78">
        <v>2023</v>
      </c>
      <c r="G58" s="28">
        <v>2032</v>
      </c>
      <c r="H58" s="28">
        <v>8</v>
      </c>
      <c r="I58" s="28">
        <v>4</v>
      </c>
      <c r="J58" s="28">
        <v>0</v>
      </c>
      <c r="K58" s="28">
        <v>0</v>
      </c>
      <c r="L58" s="28">
        <v>0</v>
      </c>
      <c r="M58" s="75">
        <v>2.6963657678780772</v>
      </c>
      <c r="N58" s="151">
        <v>3470</v>
      </c>
      <c r="O58" s="151">
        <v>4380</v>
      </c>
      <c r="P58" s="95">
        <f t="array" ref="P58">ROUND(IF($F58&lt;='TaxCred&amp;Subs'!$C$49,(IF($C58=2,IF($M58&gt;=IFERROR(INDEX('TaxCred&amp;Subs'!$L$12:$L$47,MATCH(1,($C58&amp;$D58='TaxCred&amp;Subs'!$E$12:$E$47)*($F58='TaxCred&amp;Subs'!$C$12:$C$47),0)
),9999),IFERROR(INDEX('TaxCred&amp;Subs'!$N$12:$N$47,MATCH(1,($C58&amp;$D58='TaxCred&amp;Subs'!$E$12:$E$47)*($F58='TaxCred&amp;Subs'!$C$12:$C$47),0)
),0),0),(IF($M58&gt;=IFERROR(INDEX('TaxCred&amp;Subs'!$H$12:$H$47,MATCH(1,($C58&amp;$D58='TaxCred&amp;Subs'!$D$12:$D$47)*($F58='TaxCred&amp;Subs'!$C$12:$C$47),0)
),9999),IFERROR(INDEX('TaxCred&amp;Subs'!$N$12:$N$47,MATCH(1,($C58&amp;$D58='TaxCred&amp;Subs'!$D$12:$D$47)*($F58='TaxCred&amp;Subs'!$C$12:$C$47),0)
),0),0)))),0)+IF(AND($C58=2,VALUE(RIGHT($AD58,1))&gt;2),(N58-R58)*(IFERROR(INDEX('TaxCred&amp;Subs'!$J$66:$J$99,MATCH(1,($C58&amp;$D58='TaxCred&amp;Subs'!$E$66:$E$99)*($F58='TaxCred&amp;Subs'!$C$66:$C$99),0)),0)),IF(AND($C58=1,VALUE(RIGHT($AD58,1))&gt;2),(N58-R58)*(IFERROR(INDEX('TaxCred&amp;Subs'!$J$66:$J$99,MATCH(1,($C58&amp;$D58='TaxCred&amp;Subs'!$D$66:$D$99)*($F58='TaxCred&amp;Subs'!$C$66:$C$99),0)),0)),IF($C58&gt;2,(N58-R58)*(IFERROR(INDEX('TaxCred&amp;Subs'!$J$66:$J$99,MATCH(1,($C58&amp;$D58='TaxCred&amp;Subs'!$D$66:$D$99)*($F58='TaxCred&amp;Subs'!$C$66:$C$99),0)),0)),0))),0)</f>
        <v>1000</v>
      </c>
      <c r="Q58" s="95">
        <f t="array" ref="Q58">ROUND(IF(AND($C58=2,VALUE(RIGHT($AD58,1))&gt;2),(O58-S58)*(IFERROR(INDEX('TaxCred&amp;Subs'!$J$66:$J$99,MATCH(1,($C58&amp;$D58='TaxCred&amp;Subs'!$E$66:$E$99)*($F58='TaxCred&amp;Subs'!$C$66:$C$99),0)),0)),IF(AND($C58=1,VALUE(RIGHT($AD58,1))&gt;2),(O58-S58)*(IFERROR(INDEX('TaxCred&amp;Subs'!$J$66:$J$99,MATCH(1,($C58&amp;$D58='TaxCred&amp;Subs'!$D$66:$D$99)*($F58='TaxCred&amp;Subs'!$C$66:$C$99),0)),0)),IF($C58&gt;2,(O58-S58)*(IFERROR(INDEX('TaxCred&amp;Subs'!$J$66:$J$99,MATCH(1,($C58&amp;$D58='TaxCred&amp;Subs'!$D$66:$D$99)*($F58='TaxCred&amp;Subs'!$C$66:$C$99),0)),0)),0))),0)</f>
        <v>0</v>
      </c>
      <c r="R58" s="95">
        <f t="array" ref="R58">ROUND(IF(IFERROR(VALUE(RIGHT($AD58,1)),0)&gt;2,IF($C58=8,N58*IFERROR(INDEX('TaxCred&amp;Subs'!$K$139:$S$151,MATCH($C58&amp;$D58&amp;LEFT($AD58,7),'TaxCred&amp;Subs'!$E$139:$E$151,0),MATCH($H58,'TaxCred&amp;Subs'!$K$137:$S$137,0)),0),IF($C58=2,N58*IFERROR(INDEX('TaxCred&amp;Subs'!$K$139:$S$151,MATCH($C58&amp;$D58,'TaxCred&amp;Subs'!$D$139:$D$151,0),MATCH($H58,'TaxCred&amp;Subs'!$K$137:$S$137,0)),0),N58*IFERROR(INDEX('TaxCred&amp;Subs'!$K$139:$S$151,MATCH($C58&amp;$D58,'TaxCred&amp;Subs'!$C$139:$C$151,0),MATCH($H58,'TaxCred&amp;Subs'!$K$137:$S$137,0)),0))),0),0)</f>
        <v>160</v>
      </c>
      <c r="S58" s="95">
        <f t="array" ref="S58">ROUND(IF(IFERROR(VALUE(RIGHT($AD58,1)),0)&gt;2,IF($C58=8,O58*IFERROR(INDEX('TaxCred&amp;Subs'!$K$139:$S$151,MATCH($C58&amp;$D58&amp;LEFT($AD58,7),'TaxCred&amp;Subs'!$E$139:$E$151,0),MATCH($H58,'TaxCred&amp;Subs'!$K$137:$S$137,0)),0),IF($C58=2,O58*IFERROR(INDEX('TaxCred&amp;Subs'!$K$139:$S$151,MATCH($C58&amp;$D58,'TaxCred&amp;Subs'!$D$139:$D$151,0),MATCH($H58,'TaxCred&amp;Subs'!$K$137:$S$137,0)),0),O58*IFERROR(INDEX('TaxCred&amp;Subs'!$K$139:$S$151,MATCH($C58&amp;$D58,'TaxCred&amp;Subs'!$C$139:$C$151,0),MATCH($H58,'TaxCred&amp;Subs'!$K$137:$S$137,0)),0))),0),0)</f>
        <v>202</v>
      </c>
      <c r="T58" s="95">
        <f t="shared" si="3"/>
        <v>0</v>
      </c>
      <c r="U58" s="95">
        <f t="shared" si="4"/>
        <v>0</v>
      </c>
      <c r="V58" s="28" t="s">
        <v>222</v>
      </c>
      <c r="W58" s="31">
        <v>2020</v>
      </c>
      <c r="X58" s="28">
        <v>1</v>
      </c>
      <c r="Y58" s="28">
        <v>0</v>
      </c>
      <c r="Z58" s="196">
        <v>-2.0762472774284713E-4</v>
      </c>
      <c r="AA58" s="196">
        <v>-3.1942265806591866E-3</v>
      </c>
      <c r="AB58" s="28">
        <v>0</v>
      </c>
      <c r="AC58" s="28">
        <v>0</v>
      </c>
      <c r="AD58" s="28" t="s">
        <v>197</v>
      </c>
    </row>
    <row r="59" spans="2:30" ht="14.25" customHeight="1" x14ac:dyDescent="0.2">
      <c r="B59" s="7">
        <f t="shared" si="2"/>
        <v>35</v>
      </c>
      <c r="C59" s="28">
        <v>1</v>
      </c>
      <c r="D59" s="28">
        <v>2</v>
      </c>
      <c r="E59" s="28">
        <v>4</v>
      </c>
      <c r="F59" s="78">
        <v>2023</v>
      </c>
      <c r="G59" s="28">
        <v>2032</v>
      </c>
      <c r="H59" s="28">
        <v>9</v>
      </c>
      <c r="I59" s="28">
        <v>4</v>
      </c>
      <c r="J59" s="28">
        <v>0</v>
      </c>
      <c r="K59" s="28">
        <v>0</v>
      </c>
      <c r="L59" s="28">
        <v>0</v>
      </c>
      <c r="M59" s="75">
        <v>2.6963657678780772</v>
      </c>
      <c r="N59" s="151">
        <v>3470</v>
      </c>
      <c r="O59" s="151">
        <v>4380</v>
      </c>
      <c r="P59" s="95">
        <f t="array" ref="P59">ROUND(IF($F59&lt;='TaxCred&amp;Subs'!$C$49,(IF($C59=2,IF($M59&gt;=IFERROR(INDEX('TaxCred&amp;Subs'!$L$12:$L$47,MATCH(1,($C59&amp;$D59='TaxCred&amp;Subs'!$E$12:$E$47)*($F59='TaxCred&amp;Subs'!$C$12:$C$47),0)
),9999),IFERROR(INDEX('TaxCred&amp;Subs'!$N$12:$N$47,MATCH(1,($C59&amp;$D59='TaxCred&amp;Subs'!$E$12:$E$47)*($F59='TaxCred&amp;Subs'!$C$12:$C$47),0)
),0),0),(IF($M59&gt;=IFERROR(INDEX('TaxCred&amp;Subs'!$H$12:$H$47,MATCH(1,($C59&amp;$D59='TaxCred&amp;Subs'!$D$12:$D$47)*($F59='TaxCred&amp;Subs'!$C$12:$C$47),0)
),9999),IFERROR(INDEX('TaxCred&amp;Subs'!$N$12:$N$47,MATCH(1,($C59&amp;$D59='TaxCred&amp;Subs'!$D$12:$D$47)*($F59='TaxCred&amp;Subs'!$C$12:$C$47),0)
),0),0)))),0)+IF(AND($C59=2,VALUE(RIGHT($AD59,1))&gt;2),(N59-R59)*(IFERROR(INDEX('TaxCred&amp;Subs'!$J$66:$J$99,MATCH(1,($C59&amp;$D59='TaxCred&amp;Subs'!$E$66:$E$99)*($F59='TaxCred&amp;Subs'!$C$66:$C$99),0)),0)),IF(AND($C59=1,VALUE(RIGHT($AD59,1))&gt;2),(N59-R59)*(IFERROR(INDEX('TaxCred&amp;Subs'!$J$66:$J$99,MATCH(1,($C59&amp;$D59='TaxCred&amp;Subs'!$D$66:$D$99)*($F59='TaxCred&amp;Subs'!$C$66:$C$99),0)),0)),IF($C59&gt;2,(N59-R59)*(IFERROR(INDEX('TaxCred&amp;Subs'!$J$66:$J$99,MATCH(1,($C59&amp;$D59='TaxCred&amp;Subs'!$D$66:$D$99)*($F59='TaxCred&amp;Subs'!$C$66:$C$99),0)),0)),0))),0)</f>
        <v>1000</v>
      </c>
      <c r="Q59" s="95">
        <f t="array" ref="Q59">ROUND(IF(AND($C59=2,VALUE(RIGHT($AD59,1))&gt;2),(O59-S59)*(IFERROR(INDEX('TaxCred&amp;Subs'!$J$66:$J$99,MATCH(1,($C59&amp;$D59='TaxCred&amp;Subs'!$E$66:$E$99)*($F59='TaxCred&amp;Subs'!$C$66:$C$99),0)),0)),IF(AND($C59=1,VALUE(RIGHT($AD59,1))&gt;2),(O59-S59)*(IFERROR(INDEX('TaxCred&amp;Subs'!$J$66:$J$99,MATCH(1,($C59&amp;$D59='TaxCred&amp;Subs'!$D$66:$D$99)*($F59='TaxCred&amp;Subs'!$C$66:$C$99),0)),0)),IF($C59&gt;2,(O59-S59)*(IFERROR(INDEX('TaxCred&amp;Subs'!$J$66:$J$99,MATCH(1,($C59&amp;$D59='TaxCred&amp;Subs'!$D$66:$D$99)*($F59='TaxCred&amp;Subs'!$C$66:$C$99),0)),0)),0))),0)</f>
        <v>0</v>
      </c>
      <c r="R59" s="95">
        <f t="array" ref="R59">ROUND(IF(IFERROR(VALUE(RIGHT($AD59,1)),0)&gt;2,IF($C59=8,N59*IFERROR(INDEX('TaxCred&amp;Subs'!$K$139:$S$151,MATCH($C59&amp;$D59&amp;LEFT($AD59,7),'TaxCred&amp;Subs'!$E$139:$E$151,0),MATCH($H59,'TaxCred&amp;Subs'!$K$137:$S$137,0)),0),IF($C59=2,N59*IFERROR(INDEX('TaxCred&amp;Subs'!$K$139:$S$151,MATCH($C59&amp;$D59,'TaxCred&amp;Subs'!$D$139:$D$151,0),MATCH($H59,'TaxCred&amp;Subs'!$K$137:$S$137,0)),0),N59*IFERROR(INDEX('TaxCred&amp;Subs'!$K$139:$S$151,MATCH($C59&amp;$D59,'TaxCred&amp;Subs'!$C$139:$C$151,0),MATCH($H59,'TaxCred&amp;Subs'!$K$137:$S$137,0)),0))),0),0)</f>
        <v>385</v>
      </c>
      <c r="S59" s="95">
        <f t="array" ref="S59">ROUND(IF(IFERROR(VALUE(RIGHT($AD59,1)),0)&gt;2,IF($C59=8,O59*IFERROR(INDEX('TaxCred&amp;Subs'!$K$139:$S$151,MATCH($C59&amp;$D59&amp;LEFT($AD59,7),'TaxCred&amp;Subs'!$E$139:$E$151,0),MATCH($H59,'TaxCred&amp;Subs'!$K$137:$S$137,0)),0),IF($C59=2,O59*IFERROR(INDEX('TaxCred&amp;Subs'!$K$139:$S$151,MATCH($C59&amp;$D59,'TaxCred&amp;Subs'!$D$139:$D$151,0),MATCH($H59,'TaxCred&amp;Subs'!$K$137:$S$137,0)),0),O59*IFERROR(INDEX('TaxCred&amp;Subs'!$K$139:$S$151,MATCH($C59&amp;$D59,'TaxCred&amp;Subs'!$C$139:$C$151,0),MATCH($H59,'TaxCred&amp;Subs'!$K$137:$S$137,0)),0))),0),0)</f>
        <v>486</v>
      </c>
      <c r="T59" s="172">
        <f t="shared" si="3"/>
        <v>370.5</v>
      </c>
      <c r="U59" s="172">
        <f t="shared" si="4"/>
        <v>657</v>
      </c>
      <c r="V59" s="28" t="s">
        <v>222</v>
      </c>
      <c r="W59" s="31">
        <v>2020</v>
      </c>
      <c r="X59" s="28">
        <v>1</v>
      </c>
      <c r="Y59" s="28">
        <v>0</v>
      </c>
      <c r="Z59" s="196">
        <v>-2.0762472774284713E-4</v>
      </c>
      <c r="AA59" s="196">
        <v>-3.1942265806591866E-3</v>
      </c>
      <c r="AB59" s="28">
        <v>0</v>
      </c>
      <c r="AC59" s="28">
        <v>0</v>
      </c>
      <c r="AD59" s="28" t="s">
        <v>197</v>
      </c>
    </row>
    <row r="60" spans="2:30" ht="14.25" customHeight="1" x14ac:dyDescent="0.2">
      <c r="B60" s="7">
        <f t="shared" si="2"/>
        <v>36</v>
      </c>
      <c r="C60" s="28">
        <v>1</v>
      </c>
      <c r="D60" s="28">
        <v>2</v>
      </c>
      <c r="E60" s="28">
        <v>4</v>
      </c>
      <c r="F60" s="78">
        <v>2033</v>
      </c>
      <c r="G60" s="28">
        <v>2050</v>
      </c>
      <c r="H60" s="28">
        <v>1</v>
      </c>
      <c r="I60" s="28">
        <v>4</v>
      </c>
      <c r="J60" s="28">
        <v>0</v>
      </c>
      <c r="K60" s="28">
        <v>0</v>
      </c>
      <c r="L60" s="28">
        <v>0</v>
      </c>
      <c r="M60" s="75">
        <v>2.6963657678780772</v>
      </c>
      <c r="N60" s="151">
        <v>3470</v>
      </c>
      <c r="O60" s="151">
        <v>4380</v>
      </c>
      <c r="P60" s="95">
        <f t="array" ref="P60">ROUND(IF($F60&lt;='TaxCred&amp;Subs'!$C$49,(IF($C60=2,IF($M60&gt;=IFERROR(INDEX('TaxCred&amp;Subs'!$L$12:$L$47,MATCH(1,($C60&amp;$D60='TaxCred&amp;Subs'!$E$12:$E$47)*($F60='TaxCred&amp;Subs'!$C$12:$C$47),0)
),9999),IFERROR(INDEX('TaxCred&amp;Subs'!$N$12:$N$47,MATCH(1,($C60&amp;$D60='TaxCred&amp;Subs'!$E$12:$E$47)*($F60='TaxCred&amp;Subs'!$C$12:$C$47),0)
),0),0),(IF($M60&gt;=IFERROR(INDEX('TaxCred&amp;Subs'!$H$12:$H$47,MATCH(1,($C60&amp;$D60='TaxCred&amp;Subs'!$D$12:$D$47)*($F60='TaxCred&amp;Subs'!$C$12:$C$47),0)
),9999),IFERROR(INDEX('TaxCred&amp;Subs'!$N$12:$N$47,MATCH(1,($C60&amp;$D60='TaxCred&amp;Subs'!$D$12:$D$47)*($F60='TaxCred&amp;Subs'!$C$12:$C$47),0)
),0),0)))),0)+IF(AND($C60=2,VALUE(RIGHT($AD60,1))&gt;2),(N60-R60)*(IFERROR(INDEX('TaxCred&amp;Subs'!$J$66:$J$99,MATCH(1,($C60&amp;$D60='TaxCred&amp;Subs'!$E$66:$E$99)*($F60='TaxCred&amp;Subs'!$C$66:$C$99),0)),0)),IF(AND($C60=1,VALUE(RIGHT($AD60,1))&gt;2),(N60-R60)*(IFERROR(INDEX('TaxCred&amp;Subs'!$J$66:$J$99,MATCH(1,($C60&amp;$D60='TaxCred&amp;Subs'!$D$66:$D$99)*($F60='TaxCred&amp;Subs'!$C$66:$C$99),0)),0)),IF($C60&gt;2,(N60-R60)*(IFERROR(INDEX('TaxCred&amp;Subs'!$J$66:$J$99,MATCH(1,($C60&amp;$D60='TaxCred&amp;Subs'!$D$66:$D$99)*($F60='TaxCred&amp;Subs'!$C$66:$C$99),0)),0)),0))),0)</f>
        <v>0</v>
      </c>
      <c r="Q60" s="95">
        <f t="array" ref="Q60">ROUND(IF(AND($C60=2,VALUE(RIGHT($AD60,1))&gt;2),(O60-S60)*(IFERROR(INDEX('TaxCred&amp;Subs'!$J$66:$J$99,MATCH(1,($C60&amp;$D60='TaxCred&amp;Subs'!$E$66:$E$99)*($F60='TaxCred&amp;Subs'!$C$66:$C$99),0)),0)),IF(AND($C60=1,VALUE(RIGHT($AD60,1))&gt;2),(O60-S60)*(IFERROR(INDEX('TaxCred&amp;Subs'!$J$66:$J$99,MATCH(1,($C60&amp;$D60='TaxCred&amp;Subs'!$D$66:$D$99)*($F60='TaxCred&amp;Subs'!$C$66:$C$99),0)),0)),IF($C60&gt;2,(O60-S60)*(IFERROR(INDEX('TaxCred&amp;Subs'!$J$66:$J$99,MATCH(1,($C60&amp;$D60='TaxCred&amp;Subs'!$D$66:$D$99)*($F60='TaxCred&amp;Subs'!$C$66:$C$99),0)),0)),0))),0)</f>
        <v>0</v>
      </c>
      <c r="R60" s="95">
        <f t="array" ref="R60">ROUND(IF(IFERROR(VALUE(RIGHT($AD60,1)),0)&gt;2,IF($C60=8,N60*IFERROR(INDEX('TaxCred&amp;Subs'!$K$139:$S$151,MATCH($C60&amp;$D60&amp;LEFT($AD60,7),'TaxCred&amp;Subs'!$E$139:$E$151,0),MATCH($H60,'TaxCred&amp;Subs'!$K$137:$S$137,0)),0),IF($C60=2,N60*IFERROR(INDEX('TaxCred&amp;Subs'!$K$139:$S$151,MATCH($C60&amp;$D60,'TaxCred&amp;Subs'!$D$139:$D$151,0),MATCH($H60,'TaxCred&amp;Subs'!$K$137:$S$137,0)),0),N60*IFERROR(INDEX('TaxCred&amp;Subs'!$K$139:$S$151,MATCH($C60&amp;$D60,'TaxCred&amp;Subs'!$C$139:$C$151,0),MATCH($H60,'TaxCred&amp;Subs'!$K$137:$S$137,0)),0))),0),0)</f>
        <v>501</v>
      </c>
      <c r="S60" s="95">
        <f t="array" ref="S60">ROUND(IF(IFERROR(VALUE(RIGHT($AD60,1)),0)&gt;2,IF($C60=8,O60*IFERROR(INDEX('TaxCred&amp;Subs'!$K$139:$S$151,MATCH($C60&amp;$D60&amp;LEFT($AD60,7),'TaxCred&amp;Subs'!$E$139:$E$151,0),MATCH($H60,'TaxCred&amp;Subs'!$K$137:$S$137,0)),0),IF($C60=2,O60*IFERROR(INDEX('TaxCred&amp;Subs'!$K$139:$S$151,MATCH($C60&amp;$D60,'TaxCred&amp;Subs'!$D$139:$D$151,0),MATCH($H60,'TaxCred&amp;Subs'!$K$137:$S$137,0)),0),O60*IFERROR(INDEX('TaxCred&amp;Subs'!$K$139:$S$151,MATCH($C60&amp;$D60,'TaxCred&amp;Subs'!$C$139:$C$151,0),MATCH($H60,'TaxCred&amp;Subs'!$K$137:$S$137,0)),0))),0),0)</f>
        <v>632</v>
      </c>
      <c r="T60" s="95">
        <f t="shared" si="3"/>
        <v>0</v>
      </c>
      <c r="U60" s="95">
        <f t="shared" si="4"/>
        <v>0</v>
      </c>
      <c r="V60" s="28" t="s">
        <v>222</v>
      </c>
      <c r="W60" s="31">
        <v>2020</v>
      </c>
      <c r="X60" s="28">
        <v>1</v>
      </c>
      <c r="Y60" s="28">
        <v>0</v>
      </c>
      <c r="Z60" s="196">
        <v>-2.0762472774284713E-4</v>
      </c>
      <c r="AA60" s="196">
        <v>-3.1942265806591866E-3</v>
      </c>
      <c r="AB60" s="28">
        <v>0</v>
      </c>
      <c r="AC60" s="28">
        <v>0</v>
      </c>
      <c r="AD60" s="28" t="s">
        <v>197</v>
      </c>
    </row>
    <row r="61" spans="2:30" ht="14.25" customHeight="1" x14ac:dyDescent="0.2">
      <c r="B61" s="7">
        <f t="shared" si="2"/>
        <v>37</v>
      </c>
      <c r="C61" s="28">
        <v>1</v>
      </c>
      <c r="D61" s="28">
        <v>2</v>
      </c>
      <c r="E61" s="28">
        <v>4</v>
      </c>
      <c r="F61" s="78">
        <v>2033</v>
      </c>
      <c r="G61" s="28">
        <v>2050</v>
      </c>
      <c r="H61" s="28">
        <v>2</v>
      </c>
      <c r="I61" s="28">
        <v>4</v>
      </c>
      <c r="J61" s="28">
        <v>0</v>
      </c>
      <c r="K61" s="28">
        <v>0</v>
      </c>
      <c r="L61" s="28">
        <v>0</v>
      </c>
      <c r="M61" s="75">
        <v>2.6963657678780772</v>
      </c>
      <c r="N61" s="151">
        <v>3470</v>
      </c>
      <c r="O61" s="151">
        <v>4380</v>
      </c>
      <c r="P61" s="95">
        <f t="array" ref="P61">ROUND(IF($F61&lt;='TaxCred&amp;Subs'!$C$49,(IF($C61=2,IF($M61&gt;=IFERROR(INDEX('TaxCred&amp;Subs'!$L$12:$L$47,MATCH(1,($C61&amp;$D61='TaxCred&amp;Subs'!$E$12:$E$47)*($F61='TaxCred&amp;Subs'!$C$12:$C$47),0)
),9999),IFERROR(INDEX('TaxCred&amp;Subs'!$N$12:$N$47,MATCH(1,($C61&amp;$D61='TaxCred&amp;Subs'!$E$12:$E$47)*($F61='TaxCred&amp;Subs'!$C$12:$C$47),0)
),0),0),(IF($M61&gt;=IFERROR(INDEX('TaxCred&amp;Subs'!$H$12:$H$47,MATCH(1,($C61&amp;$D61='TaxCred&amp;Subs'!$D$12:$D$47)*($F61='TaxCred&amp;Subs'!$C$12:$C$47),0)
),9999),IFERROR(INDEX('TaxCred&amp;Subs'!$N$12:$N$47,MATCH(1,($C61&amp;$D61='TaxCred&amp;Subs'!$D$12:$D$47)*($F61='TaxCred&amp;Subs'!$C$12:$C$47),0)
),0),0)))),0)+IF(AND($C61=2,VALUE(RIGHT($AD61,1))&gt;2),(N61-R61)*(IFERROR(INDEX('TaxCred&amp;Subs'!$J$66:$J$99,MATCH(1,($C61&amp;$D61='TaxCred&amp;Subs'!$E$66:$E$99)*($F61='TaxCred&amp;Subs'!$C$66:$C$99),0)),0)),IF(AND($C61=1,VALUE(RIGHT($AD61,1))&gt;2),(N61-R61)*(IFERROR(INDEX('TaxCred&amp;Subs'!$J$66:$J$99,MATCH(1,($C61&amp;$D61='TaxCred&amp;Subs'!$D$66:$D$99)*($F61='TaxCred&amp;Subs'!$C$66:$C$99),0)),0)),IF($C61&gt;2,(N61-R61)*(IFERROR(INDEX('TaxCred&amp;Subs'!$J$66:$J$99,MATCH(1,($C61&amp;$D61='TaxCred&amp;Subs'!$D$66:$D$99)*($F61='TaxCred&amp;Subs'!$C$66:$C$99),0)),0)),0))),0)</f>
        <v>0</v>
      </c>
      <c r="Q61" s="95">
        <f t="array" ref="Q61">ROUND(IF(AND($C61=2,VALUE(RIGHT($AD61,1))&gt;2),(O61-S61)*(IFERROR(INDEX('TaxCred&amp;Subs'!$J$66:$J$99,MATCH(1,($C61&amp;$D61='TaxCred&amp;Subs'!$E$66:$E$99)*($F61='TaxCred&amp;Subs'!$C$66:$C$99),0)),0)),IF(AND($C61=1,VALUE(RIGHT($AD61,1))&gt;2),(O61-S61)*(IFERROR(INDEX('TaxCred&amp;Subs'!$J$66:$J$99,MATCH(1,($C61&amp;$D61='TaxCred&amp;Subs'!$D$66:$D$99)*($F61='TaxCred&amp;Subs'!$C$66:$C$99),0)),0)),IF($C61&gt;2,(O61-S61)*(IFERROR(INDEX('TaxCred&amp;Subs'!$J$66:$J$99,MATCH(1,($C61&amp;$D61='TaxCred&amp;Subs'!$D$66:$D$99)*($F61='TaxCred&amp;Subs'!$C$66:$C$99),0)),0)),0))),0)</f>
        <v>0</v>
      </c>
      <c r="R61" s="95">
        <f t="array" ref="R61">ROUND(IF(IFERROR(VALUE(RIGHT($AD61,1)),0)&gt;2,IF($C61=8,N61*IFERROR(INDEX('TaxCred&amp;Subs'!$K$139:$S$151,MATCH($C61&amp;$D61&amp;LEFT($AD61,7),'TaxCred&amp;Subs'!$E$139:$E$151,0),MATCH($H61,'TaxCred&amp;Subs'!$K$137:$S$137,0)),0),IF($C61=2,N61*IFERROR(INDEX('TaxCred&amp;Subs'!$K$139:$S$151,MATCH($C61&amp;$D61,'TaxCred&amp;Subs'!$D$139:$D$151,0),MATCH($H61,'TaxCred&amp;Subs'!$K$137:$S$137,0)),0),N61*IFERROR(INDEX('TaxCred&amp;Subs'!$K$139:$S$151,MATCH($C61&amp;$D61,'TaxCred&amp;Subs'!$C$139:$C$151,0),MATCH($H61,'TaxCred&amp;Subs'!$K$137:$S$137,0)),0))),0),0)</f>
        <v>182</v>
      </c>
      <c r="S61" s="95">
        <f t="array" ref="S61">ROUND(IF(IFERROR(VALUE(RIGHT($AD61,1)),0)&gt;2,IF($C61=8,O61*IFERROR(INDEX('TaxCred&amp;Subs'!$K$139:$S$151,MATCH($C61&amp;$D61&amp;LEFT($AD61,7),'TaxCred&amp;Subs'!$E$139:$E$151,0),MATCH($H61,'TaxCred&amp;Subs'!$K$137:$S$137,0)),0),IF($C61=2,O61*IFERROR(INDEX('TaxCred&amp;Subs'!$K$139:$S$151,MATCH($C61&amp;$D61,'TaxCred&amp;Subs'!$D$139:$D$151,0),MATCH($H61,'TaxCred&amp;Subs'!$K$137:$S$137,0)),0),O61*IFERROR(INDEX('TaxCred&amp;Subs'!$K$139:$S$151,MATCH($C61&amp;$D61,'TaxCred&amp;Subs'!$C$139:$C$151,0),MATCH($H61,'TaxCred&amp;Subs'!$K$137:$S$137,0)),0))),0),0)</f>
        <v>229</v>
      </c>
      <c r="T61" s="95">
        <f t="shared" si="3"/>
        <v>0</v>
      </c>
      <c r="U61" s="95">
        <f t="shared" si="4"/>
        <v>0</v>
      </c>
      <c r="V61" s="28" t="s">
        <v>222</v>
      </c>
      <c r="W61" s="31">
        <v>2020</v>
      </c>
      <c r="X61" s="28">
        <v>1</v>
      </c>
      <c r="Y61" s="28">
        <v>0</v>
      </c>
      <c r="Z61" s="196">
        <v>-2.0762472774284713E-4</v>
      </c>
      <c r="AA61" s="196">
        <v>-3.1942265806591866E-3</v>
      </c>
      <c r="AB61" s="28">
        <v>0</v>
      </c>
      <c r="AC61" s="28">
        <v>0</v>
      </c>
      <c r="AD61" s="28" t="s">
        <v>197</v>
      </c>
    </row>
    <row r="62" spans="2:30" ht="14.25" customHeight="1" x14ac:dyDescent="0.2">
      <c r="B62" s="7">
        <f t="shared" si="2"/>
        <v>38</v>
      </c>
      <c r="C62" s="28">
        <v>1</v>
      </c>
      <c r="D62" s="28">
        <v>2</v>
      </c>
      <c r="E62" s="28">
        <v>4</v>
      </c>
      <c r="F62" s="78">
        <v>2033</v>
      </c>
      <c r="G62" s="28">
        <v>2050</v>
      </c>
      <c r="H62" s="28">
        <v>3</v>
      </c>
      <c r="I62" s="28">
        <v>4</v>
      </c>
      <c r="J62" s="28">
        <v>0</v>
      </c>
      <c r="K62" s="28">
        <v>0</v>
      </c>
      <c r="L62" s="28">
        <v>0</v>
      </c>
      <c r="M62" s="75">
        <v>2.6963657678780772</v>
      </c>
      <c r="N62" s="151">
        <v>3470</v>
      </c>
      <c r="O62" s="151">
        <v>4380</v>
      </c>
      <c r="P62" s="95">
        <f t="array" ref="P62">ROUND(IF($F62&lt;='TaxCred&amp;Subs'!$C$49,(IF($C62=2,IF($M62&gt;=IFERROR(INDEX('TaxCred&amp;Subs'!$L$12:$L$47,MATCH(1,($C62&amp;$D62='TaxCred&amp;Subs'!$E$12:$E$47)*($F62='TaxCred&amp;Subs'!$C$12:$C$47),0)
),9999),IFERROR(INDEX('TaxCred&amp;Subs'!$N$12:$N$47,MATCH(1,($C62&amp;$D62='TaxCred&amp;Subs'!$E$12:$E$47)*($F62='TaxCred&amp;Subs'!$C$12:$C$47),0)
),0),0),(IF($M62&gt;=IFERROR(INDEX('TaxCred&amp;Subs'!$H$12:$H$47,MATCH(1,($C62&amp;$D62='TaxCred&amp;Subs'!$D$12:$D$47)*($F62='TaxCred&amp;Subs'!$C$12:$C$47),0)
),9999),IFERROR(INDEX('TaxCred&amp;Subs'!$N$12:$N$47,MATCH(1,($C62&amp;$D62='TaxCred&amp;Subs'!$D$12:$D$47)*($F62='TaxCred&amp;Subs'!$C$12:$C$47),0)
),0),0)))),0)+IF(AND($C62=2,VALUE(RIGHT($AD62,1))&gt;2),(N62-R62)*(IFERROR(INDEX('TaxCred&amp;Subs'!$J$66:$J$99,MATCH(1,($C62&amp;$D62='TaxCred&amp;Subs'!$E$66:$E$99)*($F62='TaxCred&amp;Subs'!$C$66:$C$99),0)),0)),IF(AND($C62=1,VALUE(RIGHT($AD62,1))&gt;2),(N62-R62)*(IFERROR(INDEX('TaxCred&amp;Subs'!$J$66:$J$99,MATCH(1,($C62&amp;$D62='TaxCred&amp;Subs'!$D$66:$D$99)*($F62='TaxCred&amp;Subs'!$C$66:$C$99),0)),0)),IF($C62&gt;2,(N62-R62)*(IFERROR(INDEX('TaxCred&amp;Subs'!$J$66:$J$99,MATCH(1,($C62&amp;$D62='TaxCred&amp;Subs'!$D$66:$D$99)*($F62='TaxCred&amp;Subs'!$C$66:$C$99),0)),0)),0))),0)</f>
        <v>0</v>
      </c>
      <c r="Q62" s="95">
        <f t="array" ref="Q62">ROUND(IF(AND($C62=2,VALUE(RIGHT($AD62,1))&gt;2),(O62-S62)*(IFERROR(INDEX('TaxCred&amp;Subs'!$J$66:$J$99,MATCH(1,($C62&amp;$D62='TaxCred&amp;Subs'!$E$66:$E$99)*($F62='TaxCred&amp;Subs'!$C$66:$C$99),0)),0)),IF(AND($C62=1,VALUE(RIGHT($AD62,1))&gt;2),(O62-S62)*(IFERROR(INDEX('TaxCred&amp;Subs'!$J$66:$J$99,MATCH(1,($C62&amp;$D62='TaxCred&amp;Subs'!$D$66:$D$99)*($F62='TaxCred&amp;Subs'!$C$66:$C$99),0)),0)),IF($C62&gt;2,(O62-S62)*(IFERROR(INDEX('TaxCred&amp;Subs'!$J$66:$J$99,MATCH(1,($C62&amp;$D62='TaxCred&amp;Subs'!$D$66:$D$99)*($F62='TaxCred&amp;Subs'!$C$66:$C$99),0)),0)),0))),0)</f>
        <v>0</v>
      </c>
      <c r="R62" s="95">
        <f t="array" ref="R62">ROUND(IF(IFERROR(VALUE(RIGHT($AD62,1)),0)&gt;2,IF($C62=8,N62*IFERROR(INDEX('TaxCred&amp;Subs'!$K$139:$S$151,MATCH($C62&amp;$D62&amp;LEFT($AD62,7),'TaxCred&amp;Subs'!$E$139:$E$151,0),MATCH($H62,'TaxCred&amp;Subs'!$K$137:$S$137,0)),0),IF($C62=2,N62*IFERROR(INDEX('TaxCred&amp;Subs'!$K$139:$S$151,MATCH($C62&amp;$D62,'TaxCred&amp;Subs'!$D$139:$D$151,0),MATCH($H62,'TaxCred&amp;Subs'!$K$137:$S$137,0)),0),N62*IFERROR(INDEX('TaxCred&amp;Subs'!$K$139:$S$151,MATCH($C62&amp;$D62,'TaxCred&amp;Subs'!$C$139:$C$151,0),MATCH($H62,'TaxCred&amp;Subs'!$K$137:$S$137,0)),0))),0),0)</f>
        <v>274</v>
      </c>
      <c r="S62" s="95">
        <f t="array" ref="S62">ROUND(IF(IFERROR(VALUE(RIGHT($AD62,1)),0)&gt;2,IF($C62=8,O62*IFERROR(INDEX('TaxCred&amp;Subs'!$K$139:$S$151,MATCH($C62&amp;$D62&amp;LEFT($AD62,7),'TaxCred&amp;Subs'!$E$139:$E$151,0),MATCH($H62,'TaxCred&amp;Subs'!$K$137:$S$137,0)),0),IF($C62=2,O62*IFERROR(INDEX('TaxCred&amp;Subs'!$K$139:$S$151,MATCH($C62&amp;$D62,'TaxCred&amp;Subs'!$D$139:$D$151,0),MATCH($H62,'TaxCred&amp;Subs'!$K$137:$S$137,0)),0),O62*IFERROR(INDEX('TaxCred&amp;Subs'!$K$139:$S$151,MATCH($C62&amp;$D62,'TaxCred&amp;Subs'!$C$139:$C$151,0),MATCH($H62,'TaxCred&amp;Subs'!$K$137:$S$137,0)),0))),0),0)</f>
        <v>346</v>
      </c>
      <c r="T62" s="95">
        <f t="shared" si="3"/>
        <v>0</v>
      </c>
      <c r="U62" s="95">
        <f t="shared" si="4"/>
        <v>0</v>
      </c>
      <c r="V62" s="28" t="s">
        <v>222</v>
      </c>
      <c r="W62" s="31">
        <v>2020</v>
      </c>
      <c r="X62" s="28">
        <v>1</v>
      </c>
      <c r="Y62" s="28">
        <v>0</v>
      </c>
      <c r="Z62" s="196">
        <v>-2.0762472774284713E-4</v>
      </c>
      <c r="AA62" s="196">
        <v>-3.1942265806591866E-3</v>
      </c>
      <c r="AB62" s="28">
        <v>0</v>
      </c>
      <c r="AC62" s="28">
        <v>0</v>
      </c>
      <c r="AD62" s="28" t="s">
        <v>197</v>
      </c>
    </row>
    <row r="63" spans="2:30" ht="14.25" customHeight="1" x14ac:dyDescent="0.2">
      <c r="B63" s="7">
        <f t="shared" si="2"/>
        <v>39</v>
      </c>
      <c r="C63" s="28">
        <v>1</v>
      </c>
      <c r="D63" s="28">
        <v>2</v>
      </c>
      <c r="E63" s="28">
        <v>4</v>
      </c>
      <c r="F63" s="78">
        <v>2033</v>
      </c>
      <c r="G63" s="28">
        <v>2050</v>
      </c>
      <c r="H63" s="28">
        <v>4</v>
      </c>
      <c r="I63" s="28">
        <v>4</v>
      </c>
      <c r="J63" s="28">
        <v>0</v>
      </c>
      <c r="K63" s="28">
        <v>0</v>
      </c>
      <c r="L63" s="28">
        <v>0</v>
      </c>
      <c r="M63" s="75">
        <v>2.6963657678780772</v>
      </c>
      <c r="N63" s="151">
        <v>3470</v>
      </c>
      <c r="O63" s="151">
        <v>4380</v>
      </c>
      <c r="P63" s="95">
        <f t="array" ref="P63">ROUND(IF($F63&lt;='TaxCred&amp;Subs'!$C$49,(IF($C63=2,IF($M63&gt;=IFERROR(INDEX('TaxCred&amp;Subs'!$L$12:$L$47,MATCH(1,($C63&amp;$D63='TaxCred&amp;Subs'!$E$12:$E$47)*($F63='TaxCred&amp;Subs'!$C$12:$C$47),0)
),9999),IFERROR(INDEX('TaxCred&amp;Subs'!$N$12:$N$47,MATCH(1,($C63&amp;$D63='TaxCred&amp;Subs'!$E$12:$E$47)*($F63='TaxCred&amp;Subs'!$C$12:$C$47),0)
),0),0),(IF($M63&gt;=IFERROR(INDEX('TaxCred&amp;Subs'!$H$12:$H$47,MATCH(1,($C63&amp;$D63='TaxCred&amp;Subs'!$D$12:$D$47)*($F63='TaxCred&amp;Subs'!$C$12:$C$47),0)
),9999),IFERROR(INDEX('TaxCred&amp;Subs'!$N$12:$N$47,MATCH(1,($C63&amp;$D63='TaxCred&amp;Subs'!$D$12:$D$47)*($F63='TaxCred&amp;Subs'!$C$12:$C$47),0)
),0),0)))),0)+IF(AND($C63=2,VALUE(RIGHT($AD63,1))&gt;2),(N63-R63)*(IFERROR(INDEX('TaxCred&amp;Subs'!$J$66:$J$99,MATCH(1,($C63&amp;$D63='TaxCred&amp;Subs'!$E$66:$E$99)*($F63='TaxCred&amp;Subs'!$C$66:$C$99),0)),0)),IF(AND($C63=1,VALUE(RIGHT($AD63,1))&gt;2),(N63-R63)*(IFERROR(INDEX('TaxCred&amp;Subs'!$J$66:$J$99,MATCH(1,($C63&amp;$D63='TaxCred&amp;Subs'!$D$66:$D$99)*($F63='TaxCred&amp;Subs'!$C$66:$C$99),0)),0)),IF($C63&gt;2,(N63-R63)*(IFERROR(INDEX('TaxCred&amp;Subs'!$J$66:$J$99,MATCH(1,($C63&amp;$D63='TaxCred&amp;Subs'!$D$66:$D$99)*($F63='TaxCred&amp;Subs'!$C$66:$C$99),0)),0)),0))),0)</f>
        <v>0</v>
      </c>
      <c r="Q63" s="95">
        <f t="array" ref="Q63">ROUND(IF(AND($C63=2,VALUE(RIGHT($AD63,1))&gt;2),(O63-S63)*(IFERROR(INDEX('TaxCred&amp;Subs'!$J$66:$J$99,MATCH(1,($C63&amp;$D63='TaxCred&amp;Subs'!$E$66:$E$99)*($F63='TaxCred&amp;Subs'!$C$66:$C$99),0)),0)),IF(AND($C63=1,VALUE(RIGHT($AD63,1))&gt;2),(O63-S63)*(IFERROR(INDEX('TaxCred&amp;Subs'!$J$66:$J$99,MATCH(1,($C63&amp;$D63='TaxCred&amp;Subs'!$D$66:$D$99)*($F63='TaxCred&amp;Subs'!$C$66:$C$99),0)),0)),IF($C63&gt;2,(O63-S63)*(IFERROR(INDEX('TaxCred&amp;Subs'!$J$66:$J$99,MATCH(1,($C63&amp;$D63='TaxCred&amp;Subs'!$D$66:$D$99)*($F63='TaxCred&amp;Subs'!$C$66:$C$99),0)),0)),0))),0)</f>
        <v>0</v>
      </c>
      <c r="R63" s="95">
        <f t="array" ref="R63">ROUND(IF(IFERROR(VALUE(RIGHT($AD63,1)),0)&gt;2,IF($C63=8,N63*IFERROR(INDEX('TaxCred&amp;Subs'!$K$139:$S$151,MATCH($C63&amp;$D63&amp;LEFT($AD63,7),'TaxCred&amp;Subs'!$E$139:$E$151,0),MATCH($H63,'TaxCred&amp;Subs'!$K$137:$S$137,0)),0),IF($C63=2,N63*IFERROR(INDEX('TaxCred&amp;Subs'!$K$139:$S$151,MATCH($C63&amp;$D63,'TaxCred&amp;Subs'!$D$139:$D$151,0),MATCH($H63,'TaxCred&amp;Subs'!$K$137:$S$137,0)),0),N63*IFERROR(INDEX('TaxCred&amp;Subs'!$K$139:$S$151,MATCH($C63&amp;$D63,'TaxCred&amp;Subs'!$C$139:$C$151,0),MATCH($H63,'TaxCred&amp;Subs'!$K$137:$S$137,0)),0))),0),0)</f>
        <v>167</v>
      </c>
      <c r="S63" s="95">
        <f t="array" ref="S63">ROUND(IF(IFERROR(VALUE(RIGHT($AD63,1)),0)&gt;2,IF($C63=8,O63*IFERROR(INDEX('TaxCred&amp;Subs'!$K$139:$S$151,MATCH($C63&amp;$D63&amp;LEFT($AD63,7),'TaxCred&amp;Subs'!$E$139:$E$151,0),MATCH($H63,'TaxCred&amp;Subs'!$K$137:$S$137,0)),0),IF($C63=2,O63*IFERROR(INDEX('TaxCred&amp;Subs'!$K$139:$S$151,MATCH($C63&amp;$D63,'TaxCred&amp;Subs'!$D$139:$D$151,0),MATCH($H63,'TaxCred&amp;Subs'!$K$137:$S$137,0)),0),O63*IFERROR(INDEX('TaxCred&amp;Subs'!$K$139:$S$151,MATCH($C63&amp;$D63,'TaxCred&amp;Subs'!$C$139:$C$151,0),MATCH($H63,'TaxCred&amp;Subs'!$K$137:$S$137,0)),0))),0),0)</f>
        <v>211</v>
      </c>
      <c r="T63" s="95">
        <f t="shared" si="3"/>
        <v>0</v>
      </c>
      <c r="U63" s="95">
        <f t="shared" si="4"/>
        <v>0</v>
      </c>
      <c r="V63" s="28" t="s">
        <v>222</v>
      </c>
      <c r="W63" s="31">
        <v>2020</v>
      </c>
      <c r="X63" s="28">
        <v>1</v>
      </c>
      <c r="Y63" s="28">
        <v>0</v>
      </c>
      <c r="Z63" s="196">
        <v>-2.0762472774284713E-4</v>
      </c>
      <c r="AA63" s="196">
        <v>-3.1942265806591866E-3</v>
      </c>
      <c r="AB63" s="28">
        <v>0</v>
      </c>
      <c r="AC63" s="28">
        <v>0</v>
      </c>
      <c r="AD63" s="28" t="s">
        <v>197</v>
      </c>
    </row>
    <row r="64" spans="2:30" ht="14.25" customHeight="1" x14ac:dyDescent="0.2">
      <c r="B64" s="7">
        <f t="shared" si="2"/>
        <v>40</v>
      </c>
      <c r="C64" s="28">
        <v>1</v>
      </c>
      <c r="D64" s="28">
        <v>2</v>
      </c>
      <c r="E64" s="28">
        <v>4</v>
      </c>
      <c r="F64" s="78">
        <v>2033</v>
      </c>
      <c r="G64" s="28">
        <v>2050</v>
      </c>
      <c r="H64" s="28">
        <v>5</v>
      </c>
      <c r="I64" s="28">
        <v>4</v>
      </c>
      <c r="J64" s="28">
        <v>0</v>
      </c>
      <c r="K64" s="28">
        <v>0</v>
      </c>
      <c r="L64" s="28">
        <v>0</v>
      </c>
      <c r="M64" s="75">
        <v>2.6963657678780772</v>
      </c>
      <c r="N64" s="151">
        <v>3470</v>
      </c>
      <c r="O64" s="151">
        <v>4380</v>
      </c>
      <c r="P64" s="95">
        <f t="array" ref="P64">ROUND(IF($F64&lt;='TaxCred&amp;Subs'!$C$49,(IF($C64=2,IF($M64&gt;=IFERROR(INDEX('TaxCred&amp;Subs'!$L$12:$L$47,MATCH(1,($C64&amp;$D64='TaxCred&amp;Subs'!$E$12:$E$47)*($F64='TaxCred&amp;Subs'!$C$12:$C$47),0)
),9999),IFERROR(INDEX('TaxCred&amp;Subs'!$N$12:$N$47,MATCH(1,($C64&amp;$D64='TaxCred&amp;Subs'!$E$12:$E$47)*($F64='TaxCred&amp;Subs'!$C$12:$C$47),0)
),0),0),(IF($M64&gt;=IFERROR(INDEX('TaxCred&amp;Subs'!$H$12:$H$47,MATCH(1,($C64&amp;$D64='TaxCred&amp;Subs'!$D$12:$D$47)*($F64='TaxCred&amp;Subs'!$C$12:$C$47),0)
),9999),IFERROR(INDEX('TaxCred&amp;Subs'!$N$12:$N$47,MATCH(1,($C64&amp;$D64='TaxCred&amp;Subs'!$D$12:$D$47)*($F64='TaxCred&amp;Subs'!$C$12:$C$47),0)
),0),0)))),0)+IF(AND($C64=2,VALUE(RIGHT($AD64,1))&gt;2),(N64-R64)*(IFERROR(INDEX('TaxCred&amp;Subs'!$J$66:$J$99,MATCH(1,($C64&amp;$D64='TaxCred&amp;Subs'!$E$66:$E$99)*($F64='TaxCred&amp;Subs'!$C$66:$C$99),0)),0)),IF(AND($C64=1,VALUE(RIGHT($AD64,1))&gt;2),(N64-R64)*(IFERROR(INDEX('TaxCred&amp;Subs'!$J$66:$J$99,MATCH(1,($C64&amp;$D64='TaxCred&amp;Subs'!$D$66:$D$99)*($F64='TaxCred&amp;Subs'!$C$66:$C$99),0)),0)),IF($C64&gt;2,(N64-R64)*(IFERROR(INDEX('TaxCred&amp;Subs'!$J$66:$J$99,MATCH(1,($C64&amp;$D64='TaxCred&amp;Subs'!$D$66:$D$99)*($F64='TaxCred&amp;Subs'!$C$66:$C$99),0)),0)),0))),0)</f>
        <v>0</v>
      </c>
      <c r="Q64" s="95">
        <f t="array" ref="Q64">ROUND(IF(AND($C64=2,VALUE(RIGHT($AD64,1))&gt;2),(O64-S64)*(IFERROR(INDEX('TaxCred&amp;Subs'!$J$66:$J$99,MATCH(1,($C64&amp;$D64='TaxCred&amp;Subs'!$E$66:$E$99)*($F64='TaxCred&amp;Subs'!$C$66:$C$99),0)),0)),IF(AND($C64=1,VALUE(RIGHT($AD64,1))&gt;2),(O64-S64)*(IFERROR(INDEX('TaxCred&amp;Subs'!$J$66:$J$99,MATCH(1,($C64&amp;$D64='TaxCred&amp;Subs'!$D$66:$D$99)*($F64='TaxCred&amp;Subs'!$C$66:$C$99),0)),0)),IF($C64&gt;2,(O64-S64)*(IFERROR(INDEX('TaxCred&amp;Subs'!$J$66:$J$99,MATCH(1,($C64&amp;$D64='TaxCred&amp;Subs'!$D$66:$D$99)*($F64='TaxCred&amp;Subs'!$C$66:$C$99),0)),0)),0))),0)</f>
        <v>0</v>
      </c>
      <c r="R64" s="95">
        <f t="array" ref="R64">ROUND(IF(IFERROR(VALUE(RIGHT($AD64,1)),0)&gt;2,IF($C64=8,N64*IFERROR(INDEX('TaxCred&amp;Subs'!$K$139:$S$151,MATCH($C64&amp;$D64&amp;LEFT($AD64,7),'TaxCred&amp;Subs'!$E$139:$E$151,0),MATCH($H64,'TaxCred&amp;Subs'!$K$137:$S$137,0)),0),IF($C64=2,N64*IFERROR(INDEX('TaxCred&amp;Subs'!$K$139:$S$151,MATCH($C64&amp;$D64,'TaxCred&amp;Subs'!$D$139:$D$151,0),MATCH($H64,'TaxCred&amp;Subs'!$K$137:$S$137,0)),0),N64*IFERROR(INDEX('TaxCred&amp;Subs'!$K$139:$S$151,MATCH($C64&amp;$D64,'TaxCred&amp;Subs'!$C$139:$C$151,0),MATCH($H64,'TaxCred&amp;Subs'!$K$137:$S$137,0)),0))),0),0)</f>
        <v>76</v>
      </c>
      <c r="S64" s="95">
        <f t="array" ref="S64">ROUND(IF(IFERROR(VALUE(RIGHT($AD64,1)),0)&gt;2,IF($C64=8,O64*IFERROR(INDEX('TaxCred&amp;Subs'!$K$139:$S$151,MATCH($C64&amp;$D64&amp;LEFT($AD64,7),'TaxCred&amp;Subs'!$E$139:$E$151,0),MATCH($H64,'TaxCred&amp;Subs'!$K$137:$S$137,0)),0),IF($C64=2,O64*IFERROR(INDEX('TaxCred&amp;Subs'!$K$139:$S$151,MATCH($C64&amp;$D64,'TaxCred&amp;Subs'!$D$139:$D$151,0),MATCH($H64,'TaxCred&amp;Subs'!$K$137:$S$137,0)),0),O64*IFERROR(INDEX('TaxCred&amp;Subs'!$K$139:$S$151,MATCH($C64&amp;$D64,'TaxCred&amp;Subs'!$C$139:$C$151,0),MATCH($H64,'TaxCred&amp;Subs'!$K$137:$S$137,0)),0))),0),0)</f>
        <v>96</v>
      </c>
      <c r="T64" s="95">
        <f t="shared" si="3"/>
        <v>0</v>
      </c>
      <c r="U64" s="95">
        <f t="shared" si="4"/>
        <v>0</v>
      </c>
      <c r="V64" s="28" t="s">
        <v>222</v>
      </c>
      <c r="W64" s="31">
        <v>2020</v>
      </c>
      <c r="X64" s="28">
        <v>1</v>
      </c>
      <c r="Y64" s="28">
        <v>0</v>
      </c>
      <c r="Z64" s="196">
        <v>-2.0762472774284713E-4</v>
      </c>
      <c r="AA64" s="196">
        <v>-3.1942265806591866E-3</v>
      </c>
      <c r="AB64" s="28">
        <v>0</v>
      </c>
      <c r="AC64" s="28">
        <v>0</v>
      </c>
      <c r="AD64" s="28" t="s">
        <v>197</v>
      </c>
    </row>
    <row r="65" spans="2:30" ht="14.25" customHeight="1" x14ac:dyDescent="0.2">
      <c r="B65" s="7">
        <f t="shared" si="2"/>
        <v>41</v>
      </c>
      <c r="C65" s="28">
        <v>1</v>
      </c>
      <c r="D65" s="28">
        <v>2</v>
      </c>
      <c r="E65" s="28">
        <v>4</v>
      </c>
      <c r="F65" s="78">
        <v>2033</v>
      </c>
      <c r="G65" s="28">
        <v>2050</v>
      </c>
      <c r="H65" s="28">
        <v>6</v>
      </c>
      <c r="I65" s="28">
        <v>4</v>
      </c>
      <c r="J65" s="28">
        <v>0</v>
      </c>
      <c r="K65" s="28">
        <v>0</v>
      </c>
      <c r="L65" s="28">
        <v>0</v>
      </c>
      <c r="M65" s="75">
        <v>2.6963657678780772</v>
      </c>
      <c r="N65" s="151">
        <v>3470</v>
      </c>
      <c r="O65" s="151">
        <v>4380</v>
      </c>
      <c r="P65" s="95">
        <f t="array" ref="P65">ROUND(IF($F65&lt;='TaxCred&amp;Subs'!$C$49,(IF($C65=2,IF($M65&gt;=IFERROR(INDEX('TaxCred&amp;Subs'!$L$12:$L$47,MATCH(1,($C65&amp;$D65='TaxCred&amp;Subs'!$E$12:$E$47)*($F65='TaxCred&amp;Subs'!$C$12:$C$47),0)
),9999),IFERROR(INDEX('TaxCred&amp;Subs'!$N$12:$N$47,MATCH(1,($C65&amp;$D65='TaxCred&amp;Subs'!$E$12:$E$47)*($F65='TaxCred&amp;Subs'!$C$12:$C$47),0)
),0),0),(IF($M65&gt;=IFERROR(INDEX('TaxCred&amp;Subs'!$H$12:$H$47,MATCH(1,($C65&amp;$D65='TaxCred&amp;Subs'!$D$12:$D$47)*($F65='TaxCred&amp;Subs'!$C$12:$C$47),0)
),9999),IFERROR(INDEX('TaxCred&amp;Subs'!$N$12:$N$47,MATCH(1,($C65&amp;$D65='TaxCred&amp;Subs'!$D$12:$D$47)*($F65='TaxCred&amp;Subs'!$C$12:$C$47),0)
),0),0)))),0)+IF(AND($C65=2,VALUE(RIGHT($AD65,1))&gt;2),(N65-R65)*(IFERROR(INDEX('TaxCred&amp;Subs'!$J$66:$J$99,MATCH(1,($C65&amp;$D65='TaxCred&amp;Subs'!$E$66:$E$99)*($F65='TaxCred&amp;Subs'!$C$66:$C$99),0)),0)),IF(AND($C65=1,VALUE(RIGHT($AD65,1))&gt;2),(N65-R65)*(IFERROR(INDEX('TaxCred&amp;Subs'!$J$66:$J$99,MATCH(1,($C65&amp;$D65='TaxCred&amp;Subs'!$D$66:$D$99)*($F65='TaxCred&amp;Subs'!$C$66:$C$99),0)),0)),IF($C65&gt;2,(N65-R65)*(IFERROR(INDEX('TaxCred&amp;Subs'!$J$66:$J$99,MATCH(1,($C65&amp;$D65='TaxCred&amp;Subs'!$D$66:$D$99)*($F65='TaxCred&amp;Subs'!$C$66:$C$99),0)),0)),0))),0)</f>
        <v>0</v>
      </c>
      <c r="Q65" s="95">
        <f t="array" ref="Q65">ROUND(IF(AND($C65=2,VALUE(RIGHT($AD65,1))&gt;2),(O65-S65)*(IFERROR(INDEX('TaxCred&amp;Subs'!$J$66:$J$99,MATCH(1,($C65&amp;$D65='TaxCred&amp;Subs'!$E$66:$E$99)*($F65='TaxCred&amp;Subs'!$C$66:$C$99),0)),0)),IF(AND($C65=1,VALUE(RIGHT($AD65,1))&gt;2),(O65-S65)*(IFERROR(INDEX('TaxCred&amp;Subs'!$J$66:$J$99,MATCH(1,($C65&amp;$D65='TaxCred&amp;Subs'!$D$66:$D$99)*($F65='TaxCred&amp;Subs'!$C$66:$C$99),0)),0)),IF($C65&gt;2,(O65-S65)*(IFERROR(INDEX('TaxCred&amp;Subs'!$J$66:$J$99,MATCH(1,($C65&amp;$D65='TaxCred&amp;Subs'!$D$66:$D$99)*($F65='TaxCred&amp;Subs'!$C$66:$C$99),0)),0)),0))),0)</f>
        <v>0</v>
      </c>
      <c r="R65" s="95">
        <f t="array" ref="R65">ROUND(IF(IFERROR(VALUE(RIGHT($AD65,1)),0)&gt;2,IF($C65=8,N65*IFERROR(INDEX('TaxCred&amp;Subs'!$K$139:$S$151,MATCH($C65&amp;$D65&amp;LEFT($AD65,7),'TaxCred&amp;Subs'!$E$139:$E$151,0),MATCH($H65,'TaxCred&amp;Subs'!$K$137:$S$137,0)),0),IF($C65=2,N65*IFERROR(INDEX('TaxCred&amp;Subs'!$K$139:$S$151,MATCH($C65&amp;$D65,'TaxCred&amp;Subs'!$D$139:$D$151,0),MATCH($H65,'TaxCred&amp;Subs'!$K$137:$S$137,0)),0),N65*IFERROR(INDEX('TaxCred&amp;Subs'!$K$139:$S$151,MATCH($C65&amp;$D65,'TaxCred&amp;Subs'!$C$139:$C$151,0),MATCH($H65,'TaxCred&amp;Subs'!$K$137:$S$137,0)),0))),0),0)</f>
        <v>0</v>
      </c>
      <c r="S65" s="95">
        <f t="array" ref="S65">ROUND(IF(IFERROR(VALUE(RIGHT($AD65,1)),0)&gt;2,IF($C65=8,O65*IFERROR(INDEX('TaxCred&amp;Subs'!$K$139:$S$151,MATCH($C65&amp;$D65&amp;LEFT($AD65,7),'TaxCred&amp;Subs'!$E$139:$E$151,0),MATCH($H65,'TaxCred&amp;Subs'!$K$137:$S$137,0)),0),IF($C65=2,O65*IFERROR(INDEX('TaxCred&amp;Subs'!$K$139:$S$151,MATCH($C65&amp;$D65,'TaxCred&amp;Subs'!$D$139:$D$151,0),MATCH($H65,'TaxCred&amp;Subs'!$K$137:$S$137,0)),0),O65*IFERROR(INDEX('TaxCred&amp;Subs'!$K$139:$S$151,MATCH($C65&amp;$D65,'TaxCred&amp;Subs'!$C$139:$C$151,0),MATCH($H65,'TaxCred&amp;Subs'!$K$137:$S$137,0)),0))),0),0)</f>
        <v>0</v>
      </c>
      <c r="T65" s="95">
        <f t="shared" si="3"/>
        <v>0</v>
      </c>
      <c r="U65" s="95">
        <f t="shared" si="4"/>
        <v>0</v>
      </c>
      <c r="V65" s="28" t="s">
        <v>222</v>
      </c>
      <c r="W65" s="31">
        <v>2020</v>
      </c>
      <c r="X65" s="28">
        <v>1</v>
      </c>
      <c r="Y65" s="28">
        <v>0</v>
      </c>
      <c r="Z65" s="196">
        <v>-2.0762472774284713E-4</v>
      </c>
      <c r="AA65" s="196">
        <v>-3.1942265806591866E-3</v>
      </c>
      <c r="AB65" s="28">
        <v>0</v>
      </c>
      <c r="AC65" s="28">
        <v>0</v>
      </c>
      <c r="AD65" s="28" t="s">
        <v>197</v>
      </c>
    </row>
    <row r="66" spans="2:30" ht="14.25" customHeight="1" x14ac:dyDescent="0.2">
      <c r="B66" s="7">
        <f t="shared" si="2"/>
        <v>42</v>
      </c>
      <c r="C66" s="28">
        <v>1</v>
      </c>
      <c r="D66" s="28">
        <v>2</v>
      </c>
      <c r="E66" s="28">
        <v>4</v>
      </c>
      <c r="F66" s="78">
        <v>2033</v>
      </c>
      <c r="G66" s="28">
        <v>2050</v>
      </c>
      <c r="H66" s="28">
        <v>7</v>
      </c>
      <c r="I66" s="28">
        <v>4</v>
      </c>
      <c r="J66" s="28">
        <v>0</v>
      </c>
      <c r="K66" s="28">
        <v>0</v>
      </c>
      <c r="L66" s="28">
        <v>0</v>
      </c>
      <c r="M66" s="75">
        <v>2.6963657678780772</v>
      </c>
      <c r="N66" s="151">
        <v>3470</v>
      </c>
      <c r="O66" s="151">
        <v>4380</v>
      </c>
      <c r="P66" s="95">
        <f t="array" ref="P66">ROUND(IF($F66&lt;='TaxCred&amp;Subs'!$C$49,(IF($C66=2,IF($M66&gt;=IFERROR(INDEX('TaxCred&amp;Subs'!$L$12:$L$47,MATCH(1,($C66&amp;$D66='TaxCred&amp;Subs'!$E$12:$E$47)*($F66='TaxCred&amp;Subs'!$C$12:$C$47),0)
),9999),IFERROR(INDEX('TaxCred&amp;Subs'!$N$12:$N$47,MATCH(1,($C66&amp;$D66='TaxCred&amp;Subs'!$E$12:$E$47)*($F66='TaxCred&amp;Subs'!$C$12:$C$47),0)
),0),0),(IF($M66&gt;=IFERROR(INDEX('TaxCred&amp;Subs'!$H$12:$H$47,MATCH(1,($C66&amp;$D66='TaxCred&amp;Subs'!$D$12:$D$47)*($F66='TaxCred&amp;Subs'!$C$12:$C$47),0)
),9999),IFERROR(INDEX('TaxCred&amp;Subs'!$N$12:$N$47,MATCH(1,($C66&amp;$D66='TaxCred&amp;Subs'!$D$12:$D$47)*($F66='TaxCred&amp;Subs'!$C$12:$C$47),0)
),0),0)))),0)+IF(AND($C66=2,VALUE(RIGHT($AD66,1))&gt;2),(N66-R66)*(IFERROR(INDEX('TaxCred&amp;Subs'!$J$66:$J$99,MATCH(1,($C66&amp;$D66='TaxCred&amp;Subs'!$E$66:$E$99)*($F66='TaxCred&amp;Subs'!$C$66:$C$99),0)),0)),IF(AND($C66=1,VALUE(RIGHT($AD66,1))&gt;2),(N66-R66)*(IFERROR(INDEX('TaxCred&amp;Subs'!$J$66:$J$99,MATCH(1,($C66&amp;$D66='TaxCred&amp;Subs'!$D$66:$D$99)*($F66='TaxCred&amp;Subs'!$C$66:$C$99),0)),0)),IF($C66&gt;2,(N66-R66)*(IFERROR(INDEX('TaxCred&amp;Subs'!$J$66:$J$99,MATCH(1,($C66&amp;$D66='TaxCred&amp;Subs'!$D$66:$D$99)*($F66='TaxCred&amp;Subs'!$C$66:$C$99),0)),0)),0))),0)</f>
        <v>0</v>
      </c>
      <c r="Q66" s="95">
        <f t="array" ref="Q66">ROUND(IF(AND($C66=2,VALUE(RIGHT($AD66,1))&gt;2),(O66-S66)*(IFERROR(INDEX('TaxCred&amp;Subs'!$J$66:$J$99,MATCH(1,($C66&amp;$D66='TaxCred&amp;Subs'!$E$66:$E$99)*($F66='TaxCred&amp;Subs'!$C$66:$C$99),0)),0)),IF(AND($C66=1,VALUE(RIGHT($AD66,1))&gt;2),(O66-S66)*(IFERROR(INDEX('TaxCred&amp;Subs'!$J$66:$J$99,MATCH(1,($C66&amp;$D66='TaxCred&amp;Subs'!$D$66:$D$99)*($F66='TaxCred&amp;Subs'!$C$66:$C$99),0)),0)),IF($C66&gt;2,(O66-S66)*(IFERROR(INDEX('TaxCred&amp;Subs'!$J$66:$J$99,MATCH(1,($C66&amp;$D66='TaxCred&amp;Subs'!$D$66:$D$99)*($F66='TaxCred&amp;Subs'!$C$66:$C$99),0)),0)),0))),0)</f>
        <v>0</v>
      </c>
      <c r="R66" s="95">
        <f t="array" ref="R66">ROUND(IF(IFERROR(VALUE(RIGHT($AD66,1)),0)&gt;2,IF($C66=8,N66*IFERROR(INDEX('TaxCred&amp;Subs'!$K$139:$S$151,MATCH($C66&amp;$D66&amp;LEFT($AD66,7),'TaxCred&amp;Subs'!$E$139:$E$151,0),MATCH($H66,'TaxCred&amp;Subs'!$K$137:$S$137,0)),0),IF($C66=2,N66*IFERROR(INDEX('TaxCred&amp;Subs'!$K$139:$S$151,MATCH($C66&amp;$D66,'TaxCred&amp;Subs'!$D$139:$D$151,0),MATCH($H66,'TaxCred&amp;Subs'!$K$137:$S$137,0)),0),N66*IFERROR(INDEX('TaxCred&amp;Subs'!$K$139:$S$151,MATCH($C66&amp;$D66,'TaxCred&amp;Subs'!$C$139:$C$151,0),MATCH($H66,'TaxCred&amp;Subs'!$K$137:$S$137,0)),0))),0),0)</f>
        <v>672</v>
      </c>
      <c r="S66" s="95">
        <f t="array" ref="S66">ROUND(IF(IFERROR(VALUE(RIGHT($AD66,1)),0)&gt;2,IF($C66=8,O66*IFERROR(INDEX('TaxCred&amp;Subs'!$K$139:$S$151,MATCH($C66&amp;$D66&amp;LEFT($AD66,7),'TaxCred&amp;Subs'!$E$139:$E$151,0),MATCH($H66,'TaxCred&amp;Subs'!$K$137:$S$137,0)),0),IF($C66=2,O66*IFERROR(INDEX('TaxCred&amp;Subs'!$K$139:$S$151,MATCH($C66&amp;$D66,'TaxCred&amp;Subs'!$D$139:$D$151,0),MATCH($H66,'TaxCred&amp;Subs'!$K$137:$S$137,0)),0),O66*IFERROR(INDEX('TaxCred&amp;Subs'!$K$139:$S$151,MATCH($C66&amp;$D66,'TaxCred&amp;Subs'!$C$139:$C$151,0),MATCH($H66,'TaxCred&amp;Subs'!$K$137:$S$137,0)),0))),0),0)</f>
        <v>848</v>
      </c>
      <c r="T66" s="95">
        <f t="shared" si="3"/>
        <v>0</v>
      </c>
      <c r="U66" s="95">
        <f t="shared" si="4"/>
        <v>0</v>
      </c>
      <c r="V66" s="28" t="s">
        <v>222</v>
      </c>
      <c r="W66" s="31">
        <v>2020</v>
      </c>
      <c r="X66" s="28">
        <v>1</v>
      </c>
      <c r="Y66" s="28">
        <v>0</v>
      </c>
      <c r="Z66" s="196">
        <v>-2.0762472774284713E-4</v>
      </c>
      <c r="AA66" s="196">
        <v>-3.1942265806591866E-3</v>
      </c>
      <c r="AB66" s="28">
        <v>0</v>
      </c>
      <c r="AC66" s="28">
        <v>0</v>
      </c>
      <c r="AD66" s="28" t="s">
        <v>197</v>
      </c>
    </row>
    <row r="67" spans="2:30" ht="14.25" customHeight="1" x14ac:dyDescent="0.2">
      <c r="B67" s="7">
        <f t="shared" si="2"/>
        <v>43</v>
      </c>
      <c r="C67" s="28">
        <v>1</v>
      </c>
      <c r="D67" s="28">
        <v>2</v>
      </c>
      <c r="E67" s="28">
        <v>4</v>
      </c>
      <c r="F67" s="78">
        <v>2033</v>
      </c>
      <c r="G67" s="28">
        <v>2050</v>
      </c>
      <c r="H67" s="28">
        <v>8</v>
      </c>
      <c r="I67" s="28">
        <v>4</v>
      </c>
      <c r="J67" s="28">
        <v>0</v>
      </c>
      <c r="K67" s="28">
        <v>0</v>
      </c>
      <c r="L67" s="28">
        <v>0</v>
      </c>
      <c r="M67" s="75">
        <v>2.6963657678780772</v>
      </c>
      <c r="N67" s="151">
        <v>3470</v>
      </c>
      <c r="O67" s="151">
        <v>4380</v>
      </c>
      <c r="P67" s="95">
        <f t="array" ref="P67">ROUND(IF($F67&lt;='TaxCred&amp;Subs'!$C$49,(IF($C67=2,IF($M67&gt;=IFERROR(INDEX('TaxCred&amp;Subs'!$L$12:$L$47,MATCH(1,($C67&amp;$D67='TaxCred&amp;Subs'!$E$12:$E$47)*($F67='TaxCred&amp;Subs'!$C$12:$C$47),0)
),9999),IFERROR(INDEX('TaxCred&amp;Subs'!$N$12:$N$47,MATCH(1,($C67&amp;$D67='TaxCred&amp;Subs'!$E$12:$E$47)*($F67='TaxCred&amp;Subs'!$C$12:$C$47),0)
),0),0),(IF($M67&gt;=IFERROR(INDEX('TaxCred&amp;Subs'!$H$12:$H$47,MATCH(1,($C67&amp;$D67='TaxCred&amp;Subs'!$D$12:$D$47)*($F67='TaxCred&amp;Subs'!$C$12:$C$47),0)
),9999),IFERROR(INDEX('TaxCred&amp;Subs'!$N$12:$N$47,MATCH(1,($C67&amp;$D67='TaxCred&amp;Subs'!$D$12:$D$47)*($F67='TaxCred&amp;Subs'!$C$12:$C$47),0)
),0),0)))),0)+IF(AND($C67=2,VALUE(RIGHT($AD67,1))&gt;2),(N67-R67)*(IFERROR(INDEX('TaxCred&amp;Subs'!$J$66:$J$99,MATCH(1,($C67&amp;$D67='TaxCred&amp;Subs'!$E$66:$E$99)*($F67='TaxCred&amp;Subs'!$C$66:$C$99),0)),0)),IF(AND($C67=1,VALUE(RIGHT($AD67,1))&gt;2),(N67-R67)*(IFERROR(INDEX('TaxCred&amp;Subs'!$J$66:$J$99,MATCH(1,($C67&amp;$D67='TaxCred&amp;Subs'!$D$66:$D$99)*($F67='TaxCred&amp;Subs'!$C$66:$C$99),0)),0)),IF($C67&gt;2,(N67-R67)*(IFERROR(INDEX('TaxCred&amp;Subs'!$J$66:$J$99,MATCH(1,($C67&amp;$D67='TaxCred&amp;Subs'!$D$66:$D$99)*($F67='TaxCred&amp;Subs'!$C$66:$C$99),0)),0)),0))),0)</f>
        <v>0</v>
      </c>
      <c r="Q67" s="95">
        <f t="array" ref="Q67">ROUND(IF(AND($C67=2,VALUE(RIGHT($AD67,1))&gt;2),(O67-S67)*(IFERROR(INDEX('TaxCred&amp;Subs'!$J$66:$J$99,MATCH(1,($C67&amp;$D67='TaxCred&amp;Subs'!$E$66:$E$99)*($F67='TaxCred&amp;Subs'!$C$66:$C$99),0)),0)),IF(AND($C67=1,VALUE(RIGHT($AD67,1))&gt;2),(O67-S67)*(IFERROR(INDEX('TaxCred&amp;Subs'!$J$66:$J$99,MATCH(1,($C67&amp;$D67='TaxCred&amp;Subs'!$D$66:$D$99)*($F67='TaxCred&amp;Subs'!$C$66:$C$99),0)),0)),IF($C67&gt;2,(O67-S67)*(IFERROR(INDEX('TaxCred&amp;Subs'!$J$66:$J$99,MATCH(1,($C67&amp;$D67='TaxCred&amp;Subs'!$D$66:$D$99)*($F67='TaxCred&amp;Subs'!$C$66:$C$99),0)),0)),0))),0)</f>
        <v>0</v>
      </c>
      <c r="R67" s="95">
        <f t="array" ref="R67">ROUND(IF(IFERROR(VALUE(RIGHT($AD67,1)),0)&gt;2,IF($C67=8,N67*IFERROR(INDEX('TaxCred&amp;Subs'!$K$139:$S$151,MATCH($C67&amp;$D67&amp;LEFT($AD67,7),'TaxCred&amp;Subs'!$E$139:$E$151,0),MATCH($H67,'TaxCred&amp;Subs'!$K$137:$S$137,0)),0),IF($C67=2,N67*IFERROR(INDEX('TaxCred&amp;Subs'!$K$139:$S$151,MATCH($C67&amp;$D67,'TaxCred&amp;Subs'!$D$139:$D$151,0),MATCH($H67,'TaxCred&amp;Subs'!$K$137:$S$137,0)),0),N67*IFERROR(INDEX('TaxCred&amp;Subs'!$K$139:$S$151,MATCH($C67&amp;$D67,'TaxCred&amp;Subs'!$C$139:$C$151,0),MATCH($H67,'TaxCred&amp;Subs'!$K$137:$S$137,0)),0))),0),0)</f>
        <v>160</v>
      </c>
      <c r="S67" s="95">
        <f t="array" ref="S67">ROUND(IF(IFERROR(VALUE(RIGHT($AD67,1)),0)&gt;2,IF($C67=8,O67*IFERROR(INDEX('TaxCred&amp;Subs'!$K$139:$S$151,MATCH($C67&amp;$D67&amp;LEFT($AD67,7),'TaxCred&amp;Subs'!$E$139:$E$151,0),MATCH($H67,'TaxCred&amp;Subs'!$K$137:$S$137,0)),0),IF($C67=2,O67*IFERROR(INDEX('TaxCred&amp;Subs'!$K$139:$S$151,MATCH($C67&amp;$D67,'TaxCred&amp;Subs'!$D$139:$D$151,0),MATCH($H67,'TaxCred&amp;Subs'!$K$137:$S$137,0)),0),O67*IFERROR(INDEX('TaxCred&amp;Subs'!$K$139:$S$151,MATCH($C67&amp;$D67,'TaxCred&amp;Subs'!$C$139:$C$151,0),MATCH($H67,'TaxCred&amp;Subs'!$K$137:$S$137,0)),0))),0),0)</f>
        <v>202</v>
      </c>
      <c r="T67" s="95">
        <f t="shared" si="3"/>
        <v>0</v>
      </c>
      <c r="U67" s="95">
        <f t="shared" si="4"/>
        <v>0</v>
      </c>
      <c r="V67" s="28" t="s">
        <v>222</v>
      </c>
      <c r="W67" s="31">
        <v>2020</v>
      </c>
      <c r="X67" s="28">
        <v>1</v>
      </c>
      <c r="Y67" s="28">
        <v>0</v>
      </c>
      <c r="Z67" s="196">
        <v>-2.0762472774284713E-4</v>
      </c>
      <c r="AA67" s="196">
        <v>-3.1942265806591866E-3</v>
      </c>
      <c r="AB67" s="28">
        <v>0</v>
      </c>
      <c r="AC67" s="28">
        <v>0</v>
      </c>
      <c r="AD67" s="28" t="s">
        <v>197</v>
      </c>
    </row>
    <row r="68" spans="2:30" ht="14.25" customHeight="1" x14ac:dyDescent="0.2">
      <c r="B68" s="7">
        <f t="shared" si="2"/>
        <v>44</v>
      </c>
      <c r="C68" s="28">
        <v>1</v>
      </c>
      <c r="D68" s="28">
        <v>2</v>
      </c>
      <c r="E68" s="28">
        <v>4</v>
      </c>
      <c r="F68" s="78">
        <v>2033</v>
      </c>
      <c r="G68" s="28">
        <v>2050</v>
      </c>
      <c r="H68" s="28">
        <v>9</v>
      </c>
      <c r="I68" s="28">
        <v>4</v>
      </c>
      <c r="J68" s="28">
        <v>0</v>
      </c>
      <c r="K68" s="28">
        <v>0</v>
      </c>
      <c r="L68" s="28">
        <v>0</v>
      </c>
      <c r="M68" s="75">
        <v>2.6963657678780772</v>
      </c>
      <c r="N68" s="151">
        <v>3470</v>
      </c>
      <c r="O68" s="151">
        <v>4380</v>
      </c>
      <c r="P68" s="95">
        <f t="array" ref="P68">ROUND(IF($F68&lt;='TaxCred&amp;Subs'!$C$49,(IF($C68=2,IF($M68&gt;=IFERROR(INDEX('TaxCred&amp;Subs'!$L$12:$L$47,MATCH(1,($C68&amp;$D68='TaxCred&amp;Subs'!$E$12:$E$47)*($F68='TaxCred&amp;Subs'!$C$12:$C$47),0)
),9999),IFERROR(INDEX('TaxCred&amp;Subs'!$N$12:$N$47,MATCH(1,($C68&amp;$D68='TaxCred&amp;Subs'!$E$12:$E$47)*($F68='TaxCred&amp;Subs'!$C$12:$C$47),0)
),0),0),(IF($M68&gt;=IFERROR(INDEX('TaxCred&amp;Subs'!$H$12:$H$47,MATCH(1,($C68&amp;$D68='TaxCred&amp;Subs'!$D$12:$D$47)*($F68='TaxCred&amp;Subs'!$C$12:$C$47),0)
),9999),IFERROR(INDEX('TaxCred&amp;Subs'!$N$12:$N$47,MATCH(1,($C68&amp;$D68='TaxCred&amp;Subs'!$D$12:$D$47)*($F68='TaxCred&amp;Subs'!$C$12:$C$47),0)
),0),0)))),0)+IF(AND($C68=2,VALUE(RIGHT($AD68,1))&gt;2),(N68-R68)*(IFERROR(INDEX('TaxCred&amp;Subs'!$J$66:$J$99,MATCH(1,($C68&amp;$D68='TaxCred&amp;Subs'!$E$66:$E$99)*($F68='TaxCred&amp;Subs'!$C$66:$C$99),0)),0)),IF(AND($C68=1,VALUE(RIGHT($AD68,1))&gt;2),(N68-R68)*(IFERROR(INDEX('TaxCred&amp;Subs'!$J$66:$J$99,MATCH(1,($C68&amp;$D68='TaxCred&amp;Subs'!$D$66:$D$99)*($F68='TaxCred&amp;Subs'!$C$66:$C$99),0)),0)),IF($C68&gt;2,(N68-R68)*(IFERROR(INDEX('TaxCred&amp;Subs'!$J$66:$J$99,MATCH(1,($C68&amp;$D68='TaxCred&amp;Subs'!$D$66:$D$99)*($F68='TaxCred&amp;Subs'!$C$66:$C$99),0)),0)),0))),0)</f>
        <v>0</v>
      </c>
      <c r="Q68" s="95">
        <f t="array" ref="Q68">ROUND(IF(AND($C68=2,VALUE(RIGHT($AD68,1))&gt;2),(O68-S68)*(IFERROR(INDEX('TaxCred&amp;Subs'!$J$66:$J$99,MATCH(1,($C68&amp;$D68='TaxCred&amp;Subs'!$E$66:$E$99)*($F68='TaxCred&amp;Subs'!$C$66:$C$99),0)),0)),IF(AND($C68=1,VALUE(RIGHT($AD68,1))&gt;2),(O68-S68)*(IFERROR(INDEX('TaxCred&amp;Subs'!$J$66:$J$99,MATCH(1,($C68&amp;$D68='TaxCred&amp;Subs'!$D$66:$D$99)*($F68='TaxCred&amp;Subs'!$C$66:$C$99),0)),0)),IF($C68&gt;2,(O68-S68)*(IFERROR(INDEX('TaxCred&amp;Subs'!$J$66:$J$99,MATCH(1,($C68&amp;$D68='TaxCred&amp;Subs'!$D$66:$D$99)*($F68='TaxCred&amp;Subs'!$C$66:$C$99),0)),0)),0))),0)</f>
        <v>0</v>
      </c>
      <c r="R68" s="95">
        <f t="array" ref="R68">ROUND(IF(IFERROR(VALUE(RIGHT($AD68,1)),0)&gt;2,IF($C68=8,N68*IFERROR(INDEX('TaxCred&amp;Subs'!$K$139:$S$151,MATCH($C68&amp;$D68&amp;LEFT($AD68,7),'TaxCred&amp;Subs'!$E$139:$E$151,0),MATCH($H68,'TaxCred&amp;Subs'!$K$137:$S$137,0)),0),IF($C68=2,N68*IFERROR(INDEX('TaxCred&amp;Subs'!$K$139:$S$151,MATCH($C68&amp;$D68,'TaxCred&amp;Subs'!$D$139:$D$151,0),MATCH($H68,'TaxCred&amp;Subs'!$K$137:$S$137,0)),0),N68*IFERROR(INDEX('TaxCred&amp;Subs'!$K$139:$S$151,MATCH($C68&amp;$D68,'TaxCred&amp;Subs'!$C$139:$C$151,0),MATCH($H68,'TaxCred&amp;Subs'!$K$137:$S$137,0)),0))),0),0)</f>
        <v>385</v>
      </c>
      <c r="S68" s="95">
        <f t="array" ref="S68">ROUND(IF(IFERROR(VALUE(RIGHT($AD68,1)),0)&gt;2,IF($C68=8,O68*IFERROR(INDEX('TaxCred&amp;Subs'!$K$139:$S$151,MATCH($C68&amp;$D68&amp;LEFT($AD68,7),'TaxCred&amp;Subs'!$E$139:$E$151,0),MATCH($H68,'TaxCred&amp;Subs'!$K$137:$S$137,0)),0),IF($C68=2,O68*IFERROR(INDEX('TaxCred&amp;Subs'!$K$139:$S$151,MATCH($C68&amp;$D68,'TaxCred&amp;Subs'!$D$139:$D$151,0),MATCH($H68,'TaxCred&amp;Subs'!$K$137:$S$137,0)),0),O68*IFERROR(INDEX('TaxCred&amp;Subs'!$K$139:$S$151,MATCH($C68&amp;$D68,'TaxCred&amp;Subs'!$C$139:$C$151,0),MATCH($H68,'TaxCred&amp;Subs'!$K$137:$S$137,0)),0))),0),0)</f>
        <v>486</v>
      </c>
      <c r="T68" s="172">
        <f t="shared" si="3"/>
        <v>520.5</v>
      </c>
      <c r="U68" s="172">
        <f t="shared" si="4"/>
        <v>657</v>
      </c>
      <c r="V68" s="28" t="s">
        <v>222</v>
      </c>
      <c r="W68" s="31">
        <v>2020</v>
      </c>
      <c r="X68" s="28">
        <v>1</v>
      </c>
      <c r="Y68" s="28">
        <v>0</v>
      </c>
      <c r="Z68" s="196">
        <v>-2.0762472774284713E-4</v>
      </c>
      <c r="AA68" s="196">
        <v>-3.1942265806591866E-3</v>
      </c>
      <c r="AB68" s="28">
        <v>0</v>
      </c>
      <c r="AC68" s="28">
        <v>0</v>
      </c>
      <c r="AD68" s="28" t="s">
        <v>197</v>
      </c>
    </row>
    <row r="69" spans="2:30" x14ac:dyDescent="0.2">
      <c r="B69" s="7">
        <f t="shared" si="2"/>
        <v>45</v>
      </c>
      <c r="C69" s="28">
        <v>1</v>
      </c>
      <c r="D69" s="28">
        <v>2</v>
      </c>
      <c r="E69" s="28">
        <v>5</v>
      </c>
      <c r="F69" s="96">
        <v>2020</v>
      </c>
      <c r="G69" s="28">
        <v>2021</v>
      </c>
      <c r="H69" s="28">
        <v>1</v>
      </c>
      <c r="I69" s="28">
        <v>5</v>
      </c>
      <c r="J69" s="28">
        <v>0</v>
      </c>
      <c r="K69" s="28">
        <v>0</v>
      </c>
      <c r="L69" s="28">
        <v>0</v>
      </c>
      <c r="M69" s="156">
        <v>3.6376801599889665</v>
      </c>
      <c r="N69" s="151">
        <v>4310</v>
      </c>
      <c r="O69" s="151">
        <v>6740</v>
      </c>
      <c r="P69" s="95">
        <f t="array" ref="P69">ROUND(IF($F69&lt;='TaxCred&amp;Subs'!$C$49,(IF($C69=2,IF($M69&gt;=IFERROR(INDEX('TaxCred&amp;Subs'!$L$12:$L$47,MATCH(1,($C69&amp;$D69='TaxCred&amp;Subs'!$E$12:$E$47)*($F69='TaxCred&amp;Subs'!$C$12:$C$47),0)
),9999),IFERROR(INDEX('TaxCred&amp;Subs'!$N$12:$N$47,MATCH(1,($C69&amp;$D69='TaxCred&amp;Subs'!$E$12:$E$47)*($F69='TaxCred&amp;Subs'!$C$12:$C$47),0)
),0),0),(IF($M69&gt;=IFERROR(INDEX('TaxCred&amp;Subs'!$H$12:$H$47,MATCH(1,($C69&amp;$D69='TaxCred&amp;Subs'!$D$12:$D$47)*($F69='TaxCred&amp;Subs'!$C$12:$C$47),0)
),9999),IFERROR(INDEX('TaxCred&amp;Subs'!$N$12:$N$47,MATCH(1,($C69&amp;$D69='TaxCred&amp;Subs'!$D$12:$D$47)*($F69='TaxCred&amp;Subs'!$C$12:$C$47),0)
),0),0)))),0)+IF(AND($C69=2,VALUE(RIGHT($AD69,1))&gt;2),(N69-R69)*(IFERROR(INDEX('TaxCred&amp;Subs'!$J$66:$J$99,MATCH(1,($C69&amp;$D69='TaxCred&amp;Subs'!$E$66:$E$99)*($F69='TaxCred&amp;Subs'!$C$66:$C$99),0)),0)),IF(AND($C69=1,VALUE(RIGHT($AD69,1))&gt;2),(N69-R69)*(IFERROR(INDEX('TaxCred&amp;Subs'!$J$66:$J$99,MATCH(1,($C69&amp;$D69='TaxCred&amp;Subs'!$D$66:$D$99)*($F69='TaxCred&amp;Subs'!$C$66:$C$99),0)),0)),IF($C69&gt;2,(N69-R69)*(IFERROR(INDEX('TaxCred&amp;Subs'!$J$66:$J$99,MATCH(1,($C69&amp;$D69='TaxCred&amp;Subs'!$D$66:$D$99)*($F69='TaxCred&amp;Subs'!$C$66:$C$99),0)),0)),0))),0)</f>
        <v>150</v>
      </c>
      <c r="Q69" s="95">
        <f t="array" ref="Q69">ROUND(IF(AND($C69=2,VALUE(RIGHT($AD69,1))&gt;2),(O69-S69)*(IFERROR(INDEX('TaxCred&amp;Subs'!$J$66:$J$99,MATCH(1,($C69&amp;$D69='TaxCred&amp;Subs'!$E$66:$E$99)*($F69='TaxCred&amp;Subs'!$C$66:$C$99),0)),0)),IF(AND($C69=1,VALUE(RIGHT($AD69,1))&gt;2),(O69-S69)*(IFERROR(INDEX('TaxCred&amp;Subs'!$J$66:$J$99,MATCH(1,($C69&amp;$D69='TaxCred&amp;Subs'!$D$66:$D$99)*($F69='TaxCred&amp;Subs'!$C$66:$C$99),0)),0)),IF($C69&gt;2,(O69-S69)*(IFERROR(INDEX('TaxCred&amp;Subs'!$J$66:$J$99,MATCH(1,($C69&amp;$D69='TaxCred&amp;Subs'!$D$66:$D$99)*($F69='TaxCred&amp;Subs'!$C$66:$C$99),0)),0)),0))),0)</f>
        <v>0</v>
      </c>
      <c r="R69" s="95">
        <f t="array" ref="R69">ROUND(IF(IFERROR(VALUE(RIGHT($AD69,1)),0)&gt;2,IF($C69=8,N69*IFERROR(INDEX('TaxCred&amp;Subs'!$K$139:$S$151,MATCH($C69&amp;$D69&amp;LEFT($AD69,7),'TaxCred&amp;Subs'!$E$139:$E$151,0),MATCH($H69,'TaxCred&amp;Subs'!$K$137:$S$137,0)),0),IF($C69=2,N69*IFERROR(INDEX('TaxCred&amp;Subs'!$K$139:$S$151,MATCH($C69&amp;$D69,'TaxCred&amp;Subs'!$D$139:$D$151,0),MATCH($H69,'TaxCred&amp;Subs'!$K$137:$S$137,0)),0),N69*IFERROR(INDEX('TaxCred&amp;Subs'!$K$139:$S$151,MATCH($C69&amp;$D69,'TaxCred&amp;Subs'!$C$139:$C$151,0),MATCH($H69,'TaxCred&amp;Subs'!$K$137:$S$137,0)),0))),0),0)</f>
        <v>622</v>
      </c>
      <c r="S69" s="95">
        <f t="array" ref="S69">ROUND(IF(IFERROR(VALUE(RIGHT($AD69,1)),0)&gt;2,IF($C69=8,O69*IFERROR(INDEX('TaxCred&amp;Subs'!$K$139:$S$151,MATCH($C69&amp;$D69&amp;LEFT($AD69,7),'TaxCred&amp;Subs'!$E$139:$E$151,0),MATCH($H69,'TaxCred&amp;Subs'!$K$137:$S$137,0)),0),IF($C69=2,O69*IFERROR(INDEX('TaxCred&amp;Subs'!$K$139:$S$151,MATCH($C69&amp;$D69,'TaxCred&amp;Subs'!$D$139:$D$151,0),MATCH($H69,'TaxCred&amp;Subs'!$K$137:$S$137,0)),0),O69*IFERROR(INDEX('TaxCred&amp;Subs'!$K$139:$S$151,MATCH($C69&amp;$D69,'TaxCred&amp;Subs'!$C$139:$C$151,0),MATCH($H69,'TaxCred&amp;Subs'!$K$137:$S$137,0)),0))),0),0)</f>
        <v>973</v>
      </c>
      <c r="T69" s="95">
        <f t="shared" si="3"/>
        <v>0</v>
      </c>
      <c r="U69" s="95">
        <f t="shared" si="4"/>
        <v>0</v>
      </c>
      <c r="V69" s="28" t="s">
        <v>222</v>
      </c>
      <c r="W69" s="31">
        <v>2020</v>
      </c>
      <c r="X69" s="28">
        <v>1</v>
      </c>
      <c r="Y69" s="28">
        <v>0</v>
      </c>
      <c r="Z69" s="196">
        <v>-2.0762472774284713E-4</v>
      </c>
      <c r="AA69" s="196">
        <v>-3.1942265806591866E-3</v>
      </c>
      <c r="AB69" s="28">
        <v>0</v>
      </c>
      <c r="AC69" s="28">
        <v>0</v>
      </c>
      <c r="AD69" s="28" t="s">
        <v>198</v>
      </c>
    </row>
    <row r="70" spans="2:30" ht="14.25" customHeight="1" x14ac:dyDescent="0.2">
      <c r="B70" s="7">
        <f t="shared" si="2"/>
        <v>46</v>
      </c>
      <c r="C70" s="28">
        <v>1</v>
      </c>
      <c r="D70" s="28">
        <v>2</v>
      </c>
      <c r="E70" s="28">
        <v>5</v>
      </c>
      <c r="F70" s="96">
        <v>2020</v>
      </c>
      <c r="G70" s="28">
        <v>2021</v>
      </c>
      <c r="H70" s="28">
        <v>2</v>
      </c>
      <c r="I70" s="28">
        <v>5</v>
      </c>
      <c r="J70" s="28">
        <v>0</v>
      </c>
      <c r="K70" s="28">
        <v>0</v>
      </c>
      <c r="L70" s="28">
        <v>0</v>
      </c>
      <c r="M70" s="156">
        <v>3.6376801599889665</v>
      </c>
      <c r="N70" s="151">
        <v>4310</v>
      </c>
      <c r="O70" s="151">
        <v>6740</v>
      </c>
      <c r="P70" s="95">
        <f t="array" ref="P70">ROUND(IF($F70&lt;='TaxCred&amp;Subs'!$C$49,(IF($C70=2,IF($M70&gt;=IFERROR(INDEX('TaxCred&amp;Subs'!$L$12:$L$47,MATCH(1,($C70&amp;$D70='TaxCred&amp;Subs'!$E$12:$E$47)*($F70='TaxCred&amp;Subs'!$C$12:$C$47),0)
),9999),IFERROR(INDEX('TaxCred&amp;Subs'!$N$12:$N$47,MATCH(1,($C70&amp;$D70='TaxCred&amp;Subs'!$E$12:$E$47)*($F70='TaxCred&amp;Subs'!$C$12:$C$47),0)
),0),0),(IF($M70&gt;=IFERROR(INDEX('TaxCred&amp;Subs'!$H$12:$H$47,MATCH(1,($C70&amp;$D70='TaxCred&amp;Subs'!$D$12:$D$47)*($F70='TaxCred&amp;Subs'!$C$12:$C$47),0)
),9999),IFERROR(INDEX('TaxCred&amp;Subs'!$N$12:$N$47,MATCH(1,($C70&amp;$D70='TaxCred&amp;Subs'!$D$12:$D$47)*($F70='TaxCred&amp;Subs'!$C$12:$C$47),0)
),0),0)))),0)+IF(AND($C70=2,VALUE(RIGHT($AD70,1))&gt;2),(N70-R70)*(IFERROR(INDEX('TaxCred&amp;Subs'!$J$66:$J$99,MATCH(1,($C70&amp;$D70='TaxCred&amp;Subs'!$E$66:$E$99)*($F70='TaxCred&amp;Subs'!$C$66:$C$99),0)),0)),IF(AND($C70=1,VALUE(RIGHT($AD70,1))&gt;2),(N70-R70)*(IFERROR(INDEX('TaxCred&amp;Subs'!$J$66:$J$99,MATCH(1,($C70&amp;$D70='TaxCred&amp;Subs'!$D$66:$D$99)*($F70='TaxCred&amp;Subs'!$C$66:$C$99),0)),0)),IF($C70&gt;2,(N70-R70)*(IFERROR(INDEX('TaxCred&amp;Subs'!$J$66:$J$99,MATCH(1,($C70&amp;$D70='TaxCred&amp;Subs'!$D$66:$D$99)*($F70='TaxCred&amp;Subs'!$C$66:$C$99),0)),0)),0))),0)</f>
        <v>150</v>
      </c>
      <c r="Q70" s="95">
        <f t="array" ref="Q70">ROUND(IF(AND($C70=2,VALUE(RIGHT($AD70,1))&gt;2),(O70-S70)*(IFERROR(INDEX('TaxCred&amp;Subs'!$J$66:$J$99,MATCH(1,($C70&amp;$D70='TaxCred&amp;Subs'!$E$66:$E$99)*($F70='TaxCred&amp;Subs'!$C$66:$C$99),0)),0)),IF(AND($C70=1,VALUE(RIGHT($AD70,1))&gt;2),(O70-S70)*(IFERROR(INDEX('TaxCred&amp;Subs'!$J$66:$J$99,MATCH(1,($C70&amp;$D70='TaxCred&amp;Subs'!$D$66:$D$99)*($F70='TaxCred&amp;Subs'!$C$66:$C$99),0)),0)),IF($C70&gt;2,(O70-S70)*(IFERROR(INDEX('TaxCred&amp;Subs'!$J$66:$J$99,MATCH(1,($C70&amp;$D70='TaxCred&amp;Subs'!$D$66:$D$99)*($F70='TaxCred&amp;Subs'!$C$66:$C$99),0)),0)),0))),0)</f>
        <v>0</v>
      </c>
      <c r="R70" s="95">
        <f t="array" ref="R70">ROUND(IF(IFERROR(VALUE(RIGHT($AD70,1)),0)&gt;2,IF($C70=8,N70*IFERROR(INDEX('TaxCred&amp;Subs'!$K$139:$S$151,MATCH($C70&amp;$D70&amp;LEFT($AD70,7),'TaxCred&amp;Subs'!$E$139:$E$151,0),MATCH($H70,'TaxCred&amp;Subs'!$K$137:$S$137,0)),0),IF($C70=2,N70*IFERROR(INDEX('TaxCred&amp;Subs'!$K$139:$S$151,MATCH($C70&amp;$D70,'TaxCred&amp;Subs'!$D$139:$D$151,0),MATCH($H70,'TaxCred&amp;Subs'!$K$137:$S$137,0)),0),N70*IFERROR(INDEX('TaxCred&amp;Subs'!$K$139:$S$151,MATCH($C70&amp;$D70,'TaxCred&amp;Subs'!$C$139:$C$151,0),MATCH($H70,'TaxCred&amp;Subs'!$K$137:$S$137,0)),0))),0),0)</f>
        <v>225</v>
      </c>
      <c r="S70" s="95">
        <f t="array" ref="S70">ROUND(IF(IFERROR(VALUE(RIGHT($AD70,1)),0)&gt;2,IF($C70=8,O70*IFERROR(INDEX('TaxCred&amp;Subs'!$K$139:$S$151,MATCH($C70&amp;$D70&amp;LEFT($AD70,7),'TaxCred&amp;Subs'!$E$139:$E$151,0),MATCH($H70,'TaxCred&amp;Subs'!$K$137:$S$137,0)),0),IF($C70=2,O70*IFERROR(INDEX('TaxCred&amp;Subs'!$K$139:$S$151,MATCH($C70&amp;$D70,'TaxCred&amp;Subs'!$D$139:$D$151,0),MATCH($H70,'TaxCred&amp;Subs'!$K$137:$S$137,0)),0),O70*IFERROR(INDEX('TaxCred&amp;Subs'!$K$139:$S$151,MATCH($C70&amp;$D70,'TaxCred&amp;Subs'!$C$139:$C$151,0),MATCH($H70,'TaxCred&amp;Subs'!$K$137:$S$137,0)),0))),0),0)</f>
        <v>353</v>
      </c>
      <c r="T70" s="95">
        <f t="shared" si="3"/>
        <v>0</v>
      </c>
      <c r="U70" s="95">
        <f t="shared" si="4"/>
        <v>0</v>
      </c>
      <c r="V70" s="28" t="s">
        <v>222</v>
      </c>
      <c r="W70" s="31">
        <v>2020</v>
      </c>
      <c r="X70" s="28">
        <v>1</v>
      </c>
      <c r="Y70" s="28">
        <v>0</v>
      </c>
      <c r="Z70" s="196">
        <v>-2.0762472774284713E-4</v>
      </c>
      <c r="AA70" s="196">
        <v>-3.1942265806591866E-3</v>
      </c>
      <c r="AB70" s="28">
        <v>0</v>
      </c>
      <c r="AC70" s="28">
        <v>0</v>
      </c>
      <c r="AD70" s="28" t="s">
        <v>198</v>
      </c>
    </row>
    <row r="71" spans="2:30" ht="14.25" customHeight="1" x14ac:dyDescent="0.2">
      <c r="B71" s="7">
        <f t="shared" si="2"/>
        <v>47</v>
      </c>
      <c r="C71" s="28">
        <v>1</v>
      </c>
      <c r="D71" s="28">
        <v>2</v>
      </c>
      <c r="E71" s="28">
        <v>5</v>
      </c>
      <c r="F71" s="96">
        <v>2020</v>
      </c>
      <c r="G71" s="28">
        <v>2021</v>
      </c>
      <c r="H71" s="28">
        <v>3</v>
      </c>
      <c r="I71" s="28">
        <v>5</v>
      </c>
      <c r="J71" s="28">
        <v>0</v>
      </c>
      <c r="K71" s="28">
        <v>0</v>
      </c>
      <c r="L71" s="28">
        <v>0</v>
      </c>
      <c r="M71" s="156">
        <v>3.6376801599889665</v>
      </c>
      <c r="N71" s="151">
        <v>4310</v>
      </c>
      <c r="O71" s="151">
        <v>6740</v>
      </c>
      <c r="P71" s="95">
        <f t="array" ref="P71">ROUND(IF($F71&lt;='TaxCred&amp;Subs'!$C$49,(IF($C71=2,IF($M71&gt;=IFERROR(INDEX('TaxCred&amp;Subs'!$L$12:$L$47,MATCH(1,($C71&amp;$D71='TaxCred&amp;Subs'!$E$12:$E$47)*($F71='TaxCred&amp;Subs'!$C$12:$C$47),0)
),9999),IFERROR(INDEX('TaxCred&amp;Subs'!$N$12:$N$47,MATCH(1,($C71&amp;$D71='TaxCred&amp;Subs'!$E$12:$E$47)*($F71='TaxCred&amp;Subs'!$C$12:$C$47),0)
),0),0),(IF($M71&gt;=IFERROR(INDEX('TaxCred&amp;Subs'!$H$12:$H$47,MATCH(1,($C71&amp;$D71='TaxCred&amp;Subs'!$D$12:$D$47)*($F71='TaxCred&amp;Subs'!$C$12:$C$47),0)
),9999),IFERROR(INDEX('TaxCred&amp;Subs'!$N$12:$N$47,MATCH(1,($C71&amp;$D71='TaxCred&amp;Subs'!$D$12:$D$47)*($F71='TaxCred&amp;Subs'!$C$12:$C$47),0)
),0),0)))),0)+IF(AND($C71=2,VALUE(RIGHT($AD71,1))&gt;2),(N71-R71)*(IFERROR(INDEX('TaxCred&amp;Subs'!$J$66:$J$99,MATCH(1,($C71&amp;$D71='TaxCred&amp;Subs'!$E$66:$E$99)*($F71='TaxCred&amp;Subs'!$C$66:$C$99),0)),0)),IF(AND($C71=1,VALUE(RIGHT($AD71,1))&gt;2),(N71-R71)*(IFERROR(INDEX('TaxCred&amp;Subs'!$J$66:$J$99,MATCH(1,($C71&amp;$D71='TaxCred&amp;Subs'!$D$66:$D$99)*($F71='TaxCred&amp;Subs'!$C$66:$C$99),0)),0)),IF($C71&gt;2,(N71-R71)*(IFERROR(INDEX('TaxCred&amp;Subs'!$J$66:$J$99,MATCH(1,($C71&amp;$D71='TaxCred&amp;Subs'!$D$66:$D$99)*($F71='TaxCred&amp;Subs'!$C$66:$C$99),0)),0)),0))),0)</f>
        <v>150</v>
      </c>
      <c r="Q71" s="95">
        <f t="array" ref="Q71">ROUND(IF(AND($C71=2,VALUE(RIGHT($AD71,1))&gt;2),(O71-S71)*(IFERROR(INDEX('TaxCred&amp;Subs'!$J$66:$J$99,MATCH(1,($C71&amp;$D71='TaxCred&amp;Subs'!$E$66:$E$99)*($F71='TaxCred&amp;Subs'!$C$66:$C$99),0)),0)),IF(AND($C71=1,VALUE(RIGHT($AD71,1))&gt;2),(O71-S71)*(IFERROR(INDEX('TaxCred&amp;Subs'!$J$66:$J$99,MATCH(1,($C71&amp;$D71='TaxCred&amp;Subs'!$D$66:$D$99)*($F71='TaxCred&amp;Subs'!$C$66:$C$99),0)),0)),IF($C71&gt;2,(O71-S71)*(IFERROR(INDEX('TaxCred&amp;Subs'!$J$66:$J$99,MATCH(1,($C71&amp;$D71='TaxCred&amp;Subs'!$D$66:$D$99)*($F71='TaxCred&amp;Subs'!$C$66:$C$99),0)),0)),0))),0)</f>
        <v>0</v>
      </c>
      <c r="R71" s="95">
        <f t="array" ref="R71">ROUND(IF(IFERROR(VALUE(RIGHT($AD71,1)),0)&gt;2,IF($C71=8,N71*IFERROR(INDEX('TaxCred&amp;Subs'!$K$139:$S$151,MATCH($C71&amp;$D71&amp;LEFT($AD71,7),'TaxCred&amp;Subs'!$E$139:$E$151,0),MATCH($H71,'TaxCred&amp;Subs'!$K$137:$S$137,0)),0),IF($C71=2,N71*IFERROR(INDEX('TaxCred&amp;Subs'!$K$139:$S$151,MATCH($C71&amp;$D71,'TaxCred&amp;Subs'!$D$139:$D$151,0),MATCH($H71,'TaxCred&amp;Subs'!$K$137:$S$137,0)),0),N71*IFERROR(INDEX('TaxCred&amp;Subs'!$K$139:$S$151,MATCH($C71&amp;$D71,'TaxCred&amp;Subs'!$C$139:$C$151,0),MATCH($H71,'TaxCred&amp;Subs'!$K$137:$S$137,0)),0))),0),0)</f>
        <v>341</v>
      </c>
      <c r="S71" s="95">
        <f t="array" ref="S71">ROUND(IF(IFERROR(VALUE(RIGHT($AD71,1)),0)&gt;2,IF($C71=8,O71*IFERROR(INDEX('TaxCred&amp;Subs'!$K$139:$S$151,MATCH($C71&amp;$D71&amp;LEFT($AD71,7),'TaxCred&amp;Subs'!$E$139:$E$151,0),MATCH($H71,'TaxCred&amp;Subs'!$K$137:$S$137,0)),0),IF($C71=2,O71*IFERROR(INDEX('TaxCred&amp;Subs'!$K$139:$S$151,MATCH($C71&amp;$D71,'TaxCred&amp;Subs'!$D$139:$D$151,0),MATCH($H71,'TaxCred&amp;Subs'!$K$137:$S$137,0)),0),O71*IFERROR(INDEX('TaxCred&amp;Subs'!$K$139:$S$151,MATCH($C71&amp;$D71,'TaxCred&amp;Subs'!$C$139:$C$151,0),MATCH($H71,'TaxCred&amp;Subs'!$K$137:$S$137,0)),0))),0),0)</f>
        <v>533</v>
      </c>
      <c r="T71" s="95">
        <f t="shared" si="3"/>
        <v>0</v>
      </c>
      <c r="U71" s="95">
        <f t="shared" si="4"/>
        <v>0</v>
      </c>
      <c r="V71" s="28" t="s">
        <v>222</v>
      </c>
      <c r="W71" s="31">
        <v>2020</v>
      </c>
      <c r="X71" s="28">
        <v>1</v>
      </c>
      <c r="Y71" s="28">
        <v>0</v>
      </c>
      <c r="Z71" s="196">
        <v>-2.0762472774284713E-4</v>
      </c>
      <c r="AA71" s="196">
        <v>-3.1942265806591866E-3</v>
      </c>
      <c r="AB71" s="28">
        <v>0</v>
      </c>
      <c r="AC71" s="28">
        <v>0</v>
      </c>
      <c r="AD71" s="28" t="s">
        <v>198</v>
      </c>
    </row>
    <row r="72" spans="2:30" ht="14.25" customHeight="1" x14ac:dyDescent="0.2">
      <c r="B72" s="7">
        <f t="shared" si="2"/>
        <v>48</v>
      </c>
      <c r="C72" s="28">
        <v>1</v>
      </c>
      <c r="D72" s="28">
        <v>2</v>
      </c>
      <c r="E72" s="28">
        <v>5</v>
      </c>
      <c r="F72" s="96">
        <v>2020</v>
      </c>
      <c r="G72" s="28">
        <v>2021</v>
      </c>
      <c r="H72" s="28">
        <v>4</v>
      </c>
      <c r="I72" s="28">
        <v>5</v>
      </c>
      <c r="J72" s="28">
        <v>0</v>
      </c>
      <c r="K72" s="28">
        <v>0</v>
      </c>
      <c r="L72" s="28">
        <v>0</v>
      </c>
      <c r="M72" s="156">
        <v>3.6376801599889665</v>
      </c>
      <c r="N72" s="151">
        <v>4310</v>
      </c>
      <c r="O72" s="151">
        <v>6740</v>
      </c>
      <c r="P72" s="95">
        <f t="array" ref="P72">ROUND(IF($F72&lt;='TaxCred&amp;Subs'!$C$49,(IF($C72=2,IF($M72&gt;=IFERROR(INDEX('TaxCred&amp;Subs'!$L$12:$L$47,MATCH(1,($C72&amp;$D72='TaxCred&amp;Subs'!$E$12:$E$47)*($F72='TaxCred&amp;Subs'!$C$12:$C$47),0)
),9999),IFERROR(INDEX('TaxCred&amp;Subs'!$N$12:$N$47,MATCH(1,($C72&amp;$D72='TaxCred&amp;Subs'!$E$12:$E$47)*($F72='TaxCred&amp;Subs'!$C$12:$C$47),0)
),0),0),(IF($M72&gt;=IFERROR(INDEX('TaxCred&amp;Subs'!$H$12:$H$47,MATCH(1,($C72&amp;$D72='TaxCred&amp;Subs'!$D$12:$D$47)*($F72='TaxCred&amp;Subs'!$C$12:$C$47),0)
),9999),IFERROR(INDEX('TaxCred&amp;Subs'!$N$12:$N$47,MATCH(1,($C72&amp;$D72='TaxCred&amp;Subs'!$D$12:$D$47)*($F72='TaxCred&amp;Subs'!$C$12:$C$47),0)
),0),0)))),0)+IF(AND($C72=2,VALUE(RIGHT($AD72,1))&gt;2),(N72-R72)*(IFERROR(INDEX('TaxCred&amp;Subs'!$J$66:$J$99,MATCH(1,($C72&amp;$D72='TaxCred&amp;Subs'!$E$66:$E$99)*($F72='TaxCred&amp;Subs'!$C$66:$C$99),0)),0)),IF(AND($C72=1,VALUE(RIGHT($AD72,1))&gt;2),(N72-R72)*(IFERROR(INDEX('TaxCred&amp;Subs'!$J$66:$J$99,MATCH(1,($C72&amp;$D72='TaxCred&amp;Subs'!$D$66:$D$99)*($F72='TaxCred&amp;Subs'!$C$66:$C$99),0)),0)),IF($C72&gt;2,(N72-R72)*(IFERROR(INDEX('TaxCred&amp;Subs'!$J$66:$J$99,MATCH(1,($C72&amp;$D72='TaxCred&amp;Subs'!$D$66:$D$99)*($F72='TaxCred&amp;Subs'!$C$66:$C$99),0)),0)),0))),0)</f>
        <v>150</v>
      </c>
      <c r="Q72" s="95">
        <f t="array" ref="Q72">ROUND(IF(AND($C72=2,VALUE(RIGHT($AD72,1))&gt;2),(O72-S72)*(IFERROR(INDEX('TaxCred&amp;Subs'!$J$66:$J$99,MATCH(1,($C72&amp;$D72='TaxCred&amp;Subs'!$E$66:$E$99)*($F72='TaxCred&amp;Subs'!$C$66:$C$99),0)),0)),IF(AND($C72=1,VALUE(RIGHT($AD72,1))&gt;2),(O72-S72)*(IFERROR(INDEX('TaxCred&amp;Subs'!$J$66:$J$99,MATCH(1,($C72&amp;$D72='TaxCred&amp;Subs'!$D$66:$D$99)*($F72='TaxCred&amp;Subs'!$C$66:$C$99),0)),0)),IF($C72&gt;2,(O72-S72)*(IFERROR(INDEX('TaxCred&amp;Subs'!$J$66:$J$99,MATCH(1,($C72&amp;$D72='TaxCred&amp;Subs'!$D$66:$D$99)*($F72='TaxCred&amp;Subs'!$C$66:$C$99),0)),0)),0))),0)</f>
        <v>0</v>
      </c>
      <c r="R72" s="95">
        <f t="array" ref="R72">ROUND(IF(IFERROR(VALUE(RIGHT($AD72,1)),0)&gt;2,IF($C72=8,N72*IFERROR(INDEX('TaxCred&amp;Subs'!$K$139:$S$151,MATCH($C72&amp;$D72&amp;LEFT($AD72,7),'TaxCred&amp;Subs'!$E$139:$E$151,0),MATCH($H72,'TaxCred&amp;Subs'!$K$137:$S$137,0)),0),IF($C72=2,N72*IFERROR(INDEX('TaxCred&amp;Subs'!$K$139:$S$151,MATCH($C72&amp;$D72,'TaxCred&amp;Subs'!$D$139:$D$151,0),MATCH($H72,'TaxCred&amp;Subs'!$K$137:$S$137,0)),0),N72*IFERROR(INDEX('TaxCred&amp;Subs'!$K$139:$S$151,MATCH($C72&amp;$D72,'TaxCred&amp;Subs'!$C$139:$C$151,0),MATCH($H72,'TaxCred&amp;Subs'!$K$137:$S$137,0)),0))),0),0)</f>
        <v>208</v>
      </c>
      <c r="S72" s="95">
        <f t="array" ref="S72">ROUND(IF(IFERROR(VALUE(RIGHT($AD72,1)),0)&gt;2,IF($C72=8,O72*IFERROR(INDEX('TaxCred&amp;Subs'!$K$139:$S$151,MATCH($C72&amp;$D72&amp;LEFT($AD72,7),'TaxCred&amp;Subs'!$E$139:$E$151,0),MATCH($H72,'TaxCred&amp;Subs'!$K$137:$S$137,0)),0),IF($C72=2,O72*IFERROR(INDEX('TaxCred&amp;Subs'!$K$139:$S$151,MATCH($C72&amp;$D72,'TaxCred&amp;Subs'!$D$139:$D$151,0),MATCH($H72,'TaxCred&amp;Subs'!$K$137:$S$137,0)),0),O72*IFERROR(INDEX('TaxCred&amp;Subs'!$K$139:$S$151,MATCH($C72&amp;$D72,'TaxCred&amp;Subs'!$C$139:$C$151,0),MATCH($H72,'TaxCred&amp;Subs'!$K$137:$S$137,0)),0))),0),0)</f>
        <v>325</v>
      </c>
      <c r="T72" s="95">
        <f t="shared" si="3"/>
        <v>0</v>
      </c>
      <c r="U72" s="95">
        <f t="shared" si="4"/>
        <v>0</v>
      </c>
      <c r="V72" s="28" t="s">
        <v>222</v>
      </c>
      <c r="W72" s="31">
        <v>2020</v>
      </c>
      <c r="X72" s="28">
        <v>1</v>
      </c>
      <c r="Y72" s="28">
        <v>0</v>
      </c>
      <c r="Z72" s="196">
        <v>-2.0762472774284713E-4</v>
      </c>
      <c r="AA72" s="196">
        <v>-3.1942265806591866E-3</v>
      </c>
      <c r="AB72" s="28">
        <v>0</v>
      </c>
      <c r="AC72" s="28">
        <v>0</v>
      </c>
      <c r="AD72" s="28" t="s">
        <v>198</v>
      </c>
    </row>
    <row r="73" spans="2:30" ht="14.25" customHeight="1" x14ac:dyDescent="0.2">
      <c r="B73" s="7">
        <f t="shared" si="2"/>
        <v>49</v>
      </c>
      <c r="C73" s="28">
        <v>1</v>
      </c>
      <c r="D73" s="28">
        <v>2</v>
      </c>
      <c r="E73" s="28">
        <v>5</v>
      </c>
      <c r="F73" s="96">
        <v>2020</v>
      </c>
      <c r="G73" s="28">
        <v>2021</v>
      </c>
      <c r="H73" s="28">
        <v>5</v>
      </c>
      <c r="I73" s="28">
        <v>5</v>
      </c>
      <c r="J73" s="28">
        <v>0</v>
      </c>
      <c r="K73" s="28">
        <v>0</v>
      </c>
      <c r="L73" s="28">
        <v>0</v>
      </c>
      <c r="M73" s="156">
        <v>3.6376801599889665</v>
      </c>
      <c r="N73" s="151">
        <v>4310</v>
      </c>
      <c r="O73" s="151">
        <v>6740</v>
      </c>
      <c r="P73" s="95">
        <f t="array" ref="P73">ROUND(IF($F73&lt;='TaxCred&amp;Subs'!$C$49,(IF($C73=2,IF($M73&gt;=IFERROR(INDEX('TaxCred&amp;Subs'!$L$12:$L$47,MATCH(1,($C73&amp;$D73='TaxCred&amp;Subs'!$E$12:$E$47)*($F73='TaxCred&amp;Subs'!$C$12:$C$47),0)
),9999),IFERROR(INDEX('TaxCred&amp;Subs'!$N$12:$N$47,MATCH(1,($C73&amp;$D73='TaxCred&amp;Subs'!$E$12:$E$47)*($F73='TaxCred&amp;Subs'!$C$12:$C$47),0)
),0),0),(IF($M73&gt;=IFERROR(INDEX('TaxCred&amp;Subs'!$H$12:$H$47,MATCH(1,($C73&amp;$D73='TaxCred&amp;Subs'!$D$12:$D$47)*($F73='TaxCred&amp;Subs'!$C$12:$C$47),0)
),9999),IFERROR(INDEX('TaxCred&amp;Subs'!$N$12:$N$47,MATCH(1,($C73&amp;$D73='TaxCred&amp;Subs'!$D$12:$D$47)*($F73='TaxCred&amp;Subs'!$C$12:$C$47),0)
),0),0)))),0)+IF(AND($C73=2,VALUE(RIGHT($AD73,1))&gt;2),(N73-R73)*(IFERROR(INDEX('TaxCred&amp;Subs'!$J$66:$J$99,MATCH(1,($C73&amp;$D73='TaxCred&amp;Subs'!$E$66:$E$99)*($F73='TaxCred&amp;Subs'!$C$66:$C$99),0)),0)),IF(AND($C73=1,VALUE(RIGHT($AD73,1))&gt;2),(N73-R73)*(IFERROR(INDEX('TaxCred&amp;Subs'!$J$66:$J$99,MATCH(1,($C73&amp;$D73='TaxCred&amp;Subs'!$D$66:$D$99)*($F73='TaxCred&amp;Subs'!$C$66:$C$99),0)),0)),IF($C73&gt;2,(N73-R73)*(IFERROR(INDEX('TaxCred&amp;Subs'!$J$66:$J$99,MATCH(1,($C73&amp;$D73='TaxCred&amp;Subs'!$D$66:$D$99)*($F73='TaxCred&amp;Subs'!$C$66:$C$99),0)),0)),0))),0)</f>
        <v>150</v>
      </c>
      <c r="Q73" s="95">
        <f t="array" ref="Q73">ROUND(IF(AND($C73=2,VALUE(RIGHT($AD73,1))&gt;2),(O73-S73)*(IFERROR(INDEX('TaxCred&amp;Subs'!$J$66:$J$99,MATCH(1,($C73&amp;$D73='TaxCred&amp;Subs'!$E$66:$E$99)*($F73='TaxCred&amp;Subs'!$C$66:$C$99),0)),0)),IF(AND($C73=1,VALUE(RIGHT($AD73,1))&gt;2),(O73-S73)*(IFERROR(INDEX('TaxCred&amp;Subs'!$J$66:$J$99,MATCH(1,($C73&amp;$D73='TaxCred&amp;Subs'!$D$66:$D$99)*($F73='TaxCred&amp;Subs'!$C$66:$C$99),0)),0)),IF($C73&gt;2,(O73-S73)*(IFERROR(INDEX('TaxCred&amp;Subs'!$J$66:$J$99,MATCH(1,($C73&amp;$D73='TaxCred&amp;Subs'!$D$66:$D$99)*($F73='TaxCred&amp;Subs'!$C$66:$C$99),0)),0)),0))),0)</f>
        <v>0</v>
      </c>
      <c r="R73" s="95">
        <f t="array" ref="R73">ROUND(IF(IFERROR(VALUE(RIGHT($AD73,1)),0)&gt;2,IF($C73=8,N73*IFERROR(INDEX('TaxCred&amp;Subs'!$K$139:$S$151,MATCH($C73&amp;$D73&amp;LEFT($AD73,7),'TaxCred&amp;Subs'!$E$139:$E$151,0),MATCH($H73,'TaxCred&amp;Subs'!$K$137:$S$137,0)),0),IF($C73=2,N73*IFERROR(INDEX('TaxCred&amp;Subs'!$K$139:$S$151,MATCH($C73&amp;$D73,'TaxCred&amp;Subs'!$D$139:$D$151,0),MATCH($H73,'TaxCred&amp;Subs'!$K$137:$S$137,0)),0),N73*IFERROR(INDEX('TaxCred&amp;Subs'!$K$139:$S$151,MATCH($C73&amp;$D73,'TaxCred&amp;Subs'!$C$139:$C$151,0),MATCH($H73,'TaxCred&amp;Subs'!$K$137:$S$137,0)),0))),0),0)</f>
        <v>94</v>
      </c>
      <c r="S73" s="95">
        <f t="array" ref="S73">ROUND(IF(IFERROR(VALUE(RIGHT($AD73,1)),0)&gt;2,IF($C73=8,O73*IFERROR(INDEX('TaxCred&amp;Subs'!$K$139:$S$151,MATCH($C73&amp;$D73&amp;LEFT($AD73,7),'TaxCred&amp;Subs'!$E$139:$E$151,0),MATCH($H73,'TaxCred&amp;Subs'!$K$137:$S$137,0)),0),IF($C73=2,O73*IFERROR(INDEX('TaxCred&amp;Subs'!$K$139:$S$151,MATCH($C73&amp;$D73,'TaxCred&amp;Subs'!$D$139:$D$151,0),MATCH($H73,'TaxCred&amp;Subs'!$K$137:$S$137,0)),0),O73*IFERROR(INDEX('TaxCred&amp;Subs'!$K$139:$S$151,MATCH($C73&amp;$D73,'TaxCred&amp;Subs'!$C$139:$C$151,0),MATCH($H73,'TaxCred&amp;Subs'!$K$137:$S$137,0)),0))),0),0)</f>
        <v>147</v>
      </c>
      <c r="T73" s="95">
        <f t="shared" si="3"/>
        <v>0</v>
      </c>
      <c r="U73" s="95">
        <f t="shared" si="4"/>
        <v>0</v>
      </c>
      <c r="V73" s="28" t="s">
        <v>222</v>
      </c>
      <c r="W73" s="31">
        <v>2020</v>
      </c>
      <c r="X73" s="28">
        <v>1</v>
      </c>
      <c r="Y73" s="28">
        <v>0</v>
      </c>
      <c r="Z73" s="196">
        <v>-2.0762472774284713E-4</v>
      </c>
      <c r="AA73" s="196">
        <v>-3.1942265806591866E-3</v>
      </c>
      <c r="AB73" s="28">
        <v>0</v>
      </c>
      <c r="AC73" s="28">
        <v>0</v>
      </c>
      <c r="AD73" s="28" t="s">
        <v>198</v>
      </c>
    </row>
    <row r="74" spans="2:30" ht="14.25" customHeight="1" x14ac:dyDescent="0.2">
      <c r="B74" s="7">
        <f t="shared" si="2"/>
        <v>50</v>
      </c>
      <c r="C74" s="28">
        <v>1</v>
      </c>
      <c r="D74" s="28">
        <v>2</v>
      </c>
      <c r="E74" s="28">
        <v>5</v>
      </c>
      <c r="F74" s="96">
        <v>2020</v>
      </c>
      <c r="G74" s="28">
        <v>2021</v>
      </c>
      <c r="H74" s="28">
        <v>6</v>
      </c>
      <c r="I74" s="28">
        <v>5</v>
      </c>
      <c r="J74" s="28">
        <v>0</v>
      </c>
      <c r="K74" s="28">
        <v>0</v>
      </c>
      <c r="L74" s="28">
        <v>0</v>
      </c>
      <c r="M74" s="156">
        <v>3.6376801599889665</v>
      </c>
      <c r="N74" s="151">
        <v>4310</v>
      </c>
      <c r="O74" s="151">
        <v>6740</v>
      </c>
      <c r="P74" s="95">
        <f t="array" ref="P74">ROUND(IF($F74&lt;='TaxCred&amp;Subs'!$C$49,(IF($C74=2,IF($M74&gt;=IFERROR(INDEX('TaxCred&amp;Subs'!$L$12:$L$47,MATCH(1,($C74&amp;$D74='TaxCred&amp;Subs'!$E$12:$E$47)*($F74='TaxCred&amp;Subs'!$C$12:$C$47),0)
),9999),IFERROR(INDEX('TaxCred&amp;Subs'!$N$12:$N$47,MATCH(1,($C74&amp;$D74='TaxCred&amp;Subs'!$E$12:$E$47)*($F74='TaxCred&amp;Subs'!$C$12:$C$47),0)
),0),0),(IF($M74&gt;=IFERROR(INDEX('TaxCred&amp;Subs'!$H$12:$H$47,MATCH(1,($C74&amp;$D74='TaxCred&amp;Subs'!$D$12:$D$47)*($F74='TaxCred&amp;Subs'!$C$12:$C$47),0)
),9999),IFERROR(INDEX('TaxCred&amp;Subs'!$N$12:$N$47,MATCH(1,($C74&amp;$D74='TaxCred&amp;Subs'!$D$12:$D$47)*($F74='TaxCred&amp;Subs'!$C$12:$C$47),0)
),0),0)))),0)+IF(AND($C74=2,VALUE(RIGHT($AD74,1))&gt;2),(N74-R74)*(IFERROR(INDEX('TaxCred&amp;Subs'!$J$66:$J$99,MATCH(1,($C74&amp;$D74='TaxCred&amp;Subs'!$E$66:$E$99)*($F74='TaxCred&amp;Subs'!$C$66:$C$99),0)),0)),IF(AND($C74=1,VALUE(RIGHT($AD74,1))&gt;2),(N74-R74)*(IFERROR(INDEX('TaxCred&amp;Subs'!$J$66:$J$99,MATCH(1,($C74&amp;$D74='TaxCred&amp;Subs'!$D$66:$D$99)*($F74='TaxCred&amp;Subs'!$C$66:$C$99),0)),0)),IF($C74&gt;2,(N74-R74)*(IFERROR(INDEX('TaxCred&amp;Subs'!$J$66:$J$99,MATCH(1,($C74&amp;$D74='TaxCred&amp;Subs'!$D$66:$D$99)*($F74='TaxCred&amp;Subs'!$C$66:$C$99),0)),0)),0))),0)</f>
        <v>150</v>
      </c>
      <c r="Q74" s="95">
        <f t="array" ref="Q74">ROUND(IF(AND($C74=2,VALUE(RIGHT($AD74,1))&gt;2),(O74-S74)*(IFERROR(INDEX('TaxCred&amp;Subs'!$J$66:$J$99,MATCH(1,($C74&amp;$D74='TaxCred&amp;Subs'!$E$66:$E$99)*($F74='TaxCred&amp;Subs'!$C$66:$C$99),0)),0)),IF(AND($C74=1,VALUE(RIGHT($AD74,1))&gt;2),(O74-S74)*(IFERROR(INDEX('TaxCred&amp;Subs'!$J$66:$J$99,MATCH(1,($C74&amp;$D74='TaxCred&amp;Subs'!$D$66:$D$99)*($F74='TaxCred&amp;Subs'!$C$66:$C$99),0)),0)),IF($C74&gt;2,(O74-S74)*(IFERROR(INDEX('TaxCred&amp;Subs'!$J$66:$J$99,MATCH(1,($C74&amp;$D74='TaxCred&amp;Subs'!$D$66:$D$99)*($F74='TaxCred&amp;Subs'!$C$66:$C$99),0)),0)),0))),0)</f>
        <v>0</v>
      </c>
      <c r="R74" s="95">
        <f t="array" ref="R74">ROUND(IF(IFERROR(VALUE(RIGHT($AD74,1)),0)&gt;2,IF($C74=8,N74*IFERROR(INDEX('TaxCred&amp;Subs'!$K$139:$S$151,MATCH($C74&amp;$D74&amp;LEFT($AD74,7),'TaxCred&amp;Subs'!$E$139:$E$151,0),MATCH($H74,'TaxCred&amp;Subs'!$K$137:$S$137,0)),0),IF($C74=2,N74*IFERROR(INDEX('TaxCred&amp;Subs'!$K$139:$S$151,MATCH($C74&amp;$D74,'TaxCred&amp;Subs'!$D$139:$D$151,0),MATCH($H74,'TaxCred&amp;Subs'!$K$137:$S$137,0)),0),N74*IFERROR(INDEX('TaxCred&amp;Subs'!$K$139:$S$151,MATCH($C74&amp;$D74,'TaxCred&amp;Subs'!$C$139:$C$151,0),MATCH($H74,'TaxCred&amp;Subs'!$K$137:$S$137,0)),0))),0),0)</f>
        <v>0</v>
      </c>
      <c r="S74" s="95">
        <f t="array" ref="S74">ROUND(IF(IFERROR(VALUE(RIGHT($AD74,1)),0)&gt;2,IF($C74=8,O74*IFERROR(INDEX('TaxCred&amp;Subs'!$K$139:$S$151,MATCH($C74&amp;$D74&amp;LEFT($AD74,7),'TaxCred&amp;Subs'!$E$139:$E$151,0),MATCH($H74,'TaxCred&amp;Subs'!$K$137:$S$137,0)),0),IF($C74=2,O74*IFERROR(INDEX('TaxCred&amp;Subs'!$K$139:$S$151,MATCH($C74&amp;$D74,'TaxCred&amp;Subs'!$D$139:$D$151,0),MATCH($H74,'TaxCred&amp;Subs'!$K$137:$S$137,0)),0),O74*IFERROR(INDEX('TaxCred&amp;Subs'!$K$139:$S$151,MATCH($C74&amp;$D74,'TaxCred&amp;Subs'!$C$139:$C$151,0),MATCH($H74,'TaxCred&amp;Subs'!$K$137:$S$137,0)),0))),0),0)</f>
        <v>0</v>
      </c>
      <c r="T74" s="95">
        <f t="shared" si="3"/>
        <v>0</v>
      </c>
      <c r="U74" s="95">
        <f t="shared" si="4"/>
        <v>0</v>
      </c>
      <c r="V74" s="28" t="s">
        <v>222</v>
      </c>
      <c r="W74" s="31">
        <v>2020</v>
      </c>
      <c r="X74" s="28">
        <v>1</v>
      </c>
      <c r="Y74" s="28">
        <v>0</v>
      </c>
      <c r="Z74" s="196">
        <v>-2.0762472774284713E-4</v>
      </c>
      <c r="AA74" s="196">
        <v>-3.1942265806591866E-3</v>
      </c>
      <c r="AB74" s="28">
        <v>0</v>
      </c>
      <c r="AC74" s="28">
        <v>0</v>
      </c>
      <c r="AD74" s="28" t="s">
        <v>198</v>
      </c>
    </row>
    <row r="75" spans="2:30" ht="14.25" customHeight="1" x14ac:dyDescent="0.2">
      <c r="B75" s="7">
        <f t="shared" si="2"/>
        <v>51</v>
      </c>
      <c r="C75" s="28">
        <v>1</v>
      </c>
      <c r="D75" s="28">
        <v>2</v>
      </c>
      <c r="E75" s="28">
        <v>5</v>
      </c>
      <c r="F75" s="96">
        <v>2020</v>
      </c>
      <c r="G75" s="28">
        <v>2021</v>
      </c>
      <c r="H75" s="28">
        <v>7</v>
      </c>
      <c r="I75" s="28">
        <v>5</v>
      </c>
      <c r="J75" s="28">
        <v>0</v>
      </c>
      <c r="K75" s="28">
        <v>0</v>
      </c>
      <c r="L75" s="28">
        <v>0</v>
      </c>
      <c r="M75" s="156">
        <v>3.6376801599889665</v>
      </c>
      <c r="N75" s="151">
        <v>4310</v>
      </c>
      <c r="O75" s="151">
        <v>6740</v>
      </c>
      <c r="P75" s="95">
        <f t="array" ref="P75">ROUND(IF($F75&lt;='TaxCred&amp;Subs'!$C$49,(IF($C75=2,IF($M75&gt;=IFERROR(INDEX('TaxCred&amp;Subs'!$L$12:$L$47,MATCH(1,($C75&amp;$D75='TaxCred&amp;Subs'!$E$12:$E$47)*($F75='TaxCred&amp;Subs'!$C$12:$C$47),0)
),9999),IFERROR(INDEX('TaxCred&amp;Subs'!$N$12:$N$47,MATCH(1,($C75&amp;$D75='TaxCred&amp;Subs'!$E$12:$E$47)*($F75='TaxCred&amp;Subs'!$C$12:$C$47),0)
),0),0),(IF($M75&gt;=IFERROR(INDEX('TaxCred&amp;Subs'!$H$12:$H$47,MATCH(1,($C75&amp;$D75='TaxCred&amp;Subs'!$D$12:$D$47)*($F75='TaxCred&amp;Subs'!$C$12:$C$47),0)
),9999),IFERROR(INDEX('TaxCred&amp;Subs'!$N$12:$N$47,MATCH(1,($C75&amp;$D75='TaxCred&amp;Subs'!$D$12:$D$47)*($F75='TaxCred&amp;Subs'!$C$12:$C$47),0)
),0),0)))),0)+IF(AND($C75=2,VALUE(RIGHT($AD75,1))&gt;2),(N75-R75)*(IFERROR(INDEX('TaxCred&amp;Subs'!$J$66:$J$99,MATCH(1,($C75&amp;$D75='TaxCred&amp;Subs'!$E$66:$E$99)*($F75='TaxCred&amp;Subs'!$C$66:$C$99),0)),0)),IF(AND($C75=1,VALUE(RIGHT($AD75,1))&gt;2),(N75-R75)*(IFERROR(INDEX('TaxCred&amp;Subs'!$J$66:$J$99,MATCH(1,($C75&amp;$D75='TaxCred&amp;Subs'!$D$66:$D$99)*($F75='TaxCred&amp;Subs'!$C$66:$C$99),0)),0)),IF($C75&gt;2,(N75-R75)*(IFERROR(INDEX('TaxCred&amp;Subs'!$J$66:$J$99,MATCH(1,($C75&amp;$D75='TaxCred&amp;Subs'!$D$66:$D$99)*($F75='TaxCred&amp;Subs'!$C$66:$C$99),0)),0)),0))),0)</f>
        <v>150</v>
      </c>
      <c r="Q75" s="95">
        <f t="array" ref="Q75">ROUND(IF(AND($C75=2,VALUE(RIGHT($AD75,1))&gt;2),(O75-S75)*(IFERROR(INDEX('TaxCred&amp;Subs'!$J$66:$J$99,MATCH(1,($C75&amp;$D75='TaxCred&amp;Subs'!$E$66:$E$99)*($F75='TaxCred&amp;Subs'!$C$66:$C$99),0)),0)),IF(AND($C75=1,VALUE(RIGHT($AD75,1))&gt;2),(O75-S75)*(IFERROR(INDEX('TaxCred&amp;Subs'!$J$66:$J$99,MATCH(1,($C75&amp;$D75='TaxCred&amp;Subs'!$D$66:$D$99)*($F75='TaxCred&amp;Subs'!$C$66:$C$99),0)),0)),IF($C75&gt;2,(O75-S75)*(IFERROR(INDEX('TaxCred&amp;Subs'!$J$66:$J$99,MATCH(1,($C75&amp;$D75='TaxCred&amp;Subs'!$D$66:$D$99)*($F75='TaxCred&amp;Subs'!$C$66:$C$99),0)),0)),0))),0)</f>
        <v>0</v>
      </c>
      <c r="R75" s="95">
        <f t="array" ref="R75">ROUND(IF(IFERROR(VALUE(RIGHT($AD75,1)),0)&gt;2,IF($C75=8,N75*IFERROR(INDEX('TaxCred&amp;Subs'!$K$139:$S$151,MATCH($C75&amp;$D75&amp;LEFT($AD75,7),'TaxCred&amp;Subs'!$E$139:$E$151,0),MATCH($H75,'TaxCred&amp;Subs'!$K$137:$S$137,0)),0),IF($C75=2,N75*IFERROR(INDEX('TaxCred&amp;Subs'!$K$139:$S$151,MATCH($C75&amp;$D75,'TaxCred&amp;Subs'!$D$139:$D$151,0),MATCH($H75,'TaxCred&amp;Subs'!$K$137:$S$137,0)),0),N75*IFERROR(INDEX('TaxCred&amp;Subs'!$K$139:$S$151,MATCH($C75&amp;$D75,'TaxCred&amp;Subs'!$C$139:$C$151,0),MATCH($H75,'TaxCred&amp;Subs'!$K$137:$S$137,0)),0))),0),0)</f>
        <v>835</v>
      </c>
      <c r="S75" s="95">
        <f t="array" ref="S75">ROUND(IF(IFERROR(VALUE(RIGHT($AD75,1)),0)&gt;2,IF($C75=8,O75*IFERROR(INDEX('TaxCred&amp;Subs'!$K$139:$S$151,MATCH($C75&amp;$D75&amp;LEFT($AD75,7),'TaxCred&amp;Subs'!$E$139:$E$151,0),MATCH($H75,'TaxCred&amp;Subs'!$K$137:$S$137,0)),0),IF($C75=2,O75*IFERROR(INDEX('TaxCred&amp;Subs'!$K$139:$S$151,MATCH($C75&amp;$D75,'TaxCred&amp;Subs'!$D$139:$D$151,0),MATCH($H75,'TaxCred&amp;Subs'!$K$137:$S$137,0)),0),O75*IFERROR(INDEX('TaxCred&amp;Subs'!$K$139:$S$151,MATCH($C75&amp;$D75,'TaxCred&amp;Subs'!$C$139:$C$151,0),MATCH($H75,'TaxCred&amp;Subs'!$K$137:$S$137,0)),0))),0),0)</f>
        <v>1305</v>
      </c>
      <c r="T75" s="95">
        <f t="shared" si="3"/>
        <v>0</v>
      </c>
      <c r="U75" s="95">
        <f t="shared" si="4"/>
        <v>0</v>
      </c>
      <c r="V75" s="28" t="s">
        <v>222</v>
      </c>
      <c r="W75" s="31">
        <v>2020</v>
      </c>
      <c r="X75" s="28">
        <v>1</v>
      </c>
      <c r="Y75" s="28">
        <v>0</v>
      </c>
      <c r="Z75" s="196">
        <v>-2.0762472774284713E-4</v>
      </c>
      <c r="AA75" s="196">
        <v>-3.1942265806591866E-3</v>
      </c>
      <c r="AB75" s="28">
        <v>0</v>
      </c>
      <c r="AC75" s="28">
        <v>0</v>
      </c>
      <c r="AD75" s="28" t="s">
        <v>198</v>
      </c>
    </row>
    <row r="76" spans="2:30" ht="14.25" customHeight="1" x14ac:dyDescent="0.2">
      <c r="B76" s="7">
        <f t="shared" si="2"/>
        <v>52</v>
      </c>
      <c r="C76" s="28">
        <v>1</v>
      </c>
      <c r="D76" s="28">
        <v>2</v>
      </c>
      <c r="E76" s="28">
        <v>5</v>
      </c>
      <c r="F76" s="96">
        <v>2020</v>
      </c>
      <c r="G76" s="28">
        <v>2021</v>
      </c>
      <c r="H76" s="28">
        <v>8</v>
      </c>
      <c r="I76" s="28">
        <v>5</v>
      </c>
      <c r="J76" s="28">
        <v>0</v>
      </c>
      <c r="K76" s="28">
        <v>0</v>
      </c>
      <c r="L76" s="28">
        <v>0</v>
      </c>
      <c r="M76" s="156">
        <v>3.6376801599889665</v>
      </c>
      <c r="N76" s="151">
        <v>4310</v>
      </c>
      <c r="O76" s="151">
        <v>6740</v>
      </c>
      <c r="P76" s="95">
        <f t="array" ref="P76">ROUND(IF($F76&lt;='TaxCred&amp;Subs'!$C$49,(IF($C76=2,IF($M76&gt;=IFERROR(INDEX('TaxCred&amp;Subs'!$L$12:$L$47,MATCH(1,($C76&amp;$D76='TaxCred&amp;Subs'!$E$12:$E$47)*($F76='TaxCred&amp;Subs'!$C$12:$C$47),0)
),9999),IFERROR(INDEX('TaxCred&amp;Subs'!$N$12:$N$47,MATCH(1,($C76&amp;$D76='TaxCred&amp;Subs'!$E$12:$E$47)*($F76='TaxCred&amp;Subs'!$C$12:$C$47),0)
),0),0),(IF($M76&gt;=IFERROR(INDEX('TaxCred&amp;Subs'!$H$12:$H$47,MATCH(1,($C76&amp;$D76='TaxCred&amp;Subs'!$D$12:$D$47)*($F76='TaxCred&amp;Subs'!$C$12:$C$47),0)
),9999),IFERROR(INDEX('TaxCred&amp;Subs'!$N$12:$N$47,MATCH(1,($C76&amp;$D76='TaxCred&amp;Subs'!$D$12:$D$47)*($F76='TaxCred&amp;Subs'!$C$12:$C$47),0)
),0),0)))),0)+IF(AND($C76=2,VALUE(RIGHT($AD76,1))&gt;2),(N76-R76)*(IFERROR(INDEX('TaxCred&amp;Subs'!$J$66:$J$99,MATCH(1,($C76&amp;$D76='TaxCred&amp;Subs'!$E$66:$E$99)*($F76='TaxCred&amp;Subs'!$C$66:$C$99),0)),0)),IF(AND($C76=1,VALUE(RIGHT($AD76,1))&gt;2),(N76-R76)*(IFERROR(INDEX('TaxCred&amp;Subs'!$J$66:$J$99,MATCH(1,($C76&amp;$D76='TaxCred&amp;Subs'!$D$66:$D$99)*($F76='TaxCred&amp;Subs'!$C$66:$C$99),0)),0)),IF($C76&gt;2,(N76-R76)*(IFERROR(INDEX('TaxCred&amp;Subs'!$J$66:$J$99,MATCH(1,($C76&amp;$D76='TaxCred&amp;Subs'!$D$66:$D$99)*($F76='TaxCred&amp;Subs'!$C$66:$C$99),0)),0)),0))),0)</f>
        <v>150</v>
      </c>
      <c r="Q76" s="95">
        <f t="array" ref="Q76">ROUND(IF(AND($C76=2,VALUE(RIGHT($AD76,1))&gt;2),(O76-S76)*(IFERROR(INDEX('TaxCred&amp;Subs'!$J$66:$J$99,MATCH(1,($C76&amp;$D76='TaxCred&amp;Subs'!$E$66:$E$99)*($F76='TaxCred&amp;Subs'!$C$66:$C$99),0)),0)),IF(AND($C76=1,VALUE(RIGHT($AD76,1))&gt;2),(O76-S76)*(IFERROR(INDEX('TaxCred&amp;Subs'!$J$66:$J$99,MATCH(1,($C76&amp;$D76='TaxCred&amp;Subs'!$D$66:$D$99)*($F76='TaxCred&amp;Subs'!$C$66:$C$99),0)),0)),IF($C76&gt;2,(O76-S76)*(IFERROR(INDEX('TaxCred&amp;Subs'!$J$66:$J$99,MATCH(1,($C76&amp;$D76='TaxCred&amp;Subs'!$D$66:$D$99)*($F76='TaxCred&amp;Subs'!$C$66:$C$99),0)),0)),0))),0)</f>
        <v>0</v>
      </c>
      <c r="R76" s="95">
        <f t="array" ref="R76">ROUND(IF(IFERROR(VALUE(RIGHT($AD76,1)),0)&gt;2,IF($C76=8,N76*IFERROR(INDEX('TaxCred&amp;Subs'!$K$139:$S$151,MATCH($C76&amp;$D76&amp;LEFT($AD76,7),'TaxCred&amp;Subs'!$E$139:$E$151,0),MATCH($H76,'TaxCred&amp;Subs'!$K$137:$S$137,0)),0),IF($C76=2,N76*IFERROR(INDEX('TaxCred&amp;Subs'!$K$139:$S$151,MATCH($C76&amp;$D76,'TaxCred&amp;Subs'!$D$139:$D$151,0),MATCH($H76,'TaxCred&amp;Subs'!$K$137:$S$137,0)),0),N76*IFERROR(INDEX('TaxCred&amp;Subs'!$K$139:$S$151,MATCH($C76&amp;$D76,'TaxCred&amp;Subs'!$C$139:$C$151,0),MATCH($H76,'TaxCred&amp;Subs'!$K$137:$S$137,0)),0))),0),0)</f>
        <v>199</v>
      </c>
      <c r="S76" s="95">
        <f t="array" ref="S76">ROUND(IF(IFERROR(VALUE(RIGHT($AD76,1)),0)&gt;2,IF($C76=8,O76*IFERROR(INDEX('TaxCred&amp;Subs'!$K$139:$S$151,MATCH($C76&amp;$D76&amp;LEFT($AD76,7),'TaxCred&amp;Subs'!$E$139:$E$151,0),MATCH($H76,'TaxCred&amp;Subs'!$K$137:$S$137,0)),0),IF($C76=2,O76*IFERROR(INDEX('TaxCred&amp;Subs'!$K$139:$S$151,MATCH($C76&amp;$D76,'TaxCred&amp;Subs'!$D$139:$D$151,0),MATCH($H76,'TaxCred&amp;Subs'!$K$137:$S$137,0)),0),O76*IFERROR(INDEX('TaxCred&amp;Subs'!$K$139:$S$151,MATCH($C76&amp;$D76,'TaxCred&amp;Subs'!$C$139:$C$151,0),MATCH($H76,'TaxCred&amp;Subs'!$K$137:$S$137,0)),0))),0),0)</f>
        <v>311</v>
      </c>
      <c r="T76" s="95">
        <f t="shared" si="3"/>
        <v>0</v>
      </c>
      <c r="U76" s="95">
        <f t="shared" si="4"/>
        <v>0</v>
      </c>
      <c r="V76" s="28" t="s">
        <v>222</v>
      </c>
      <c r="W76" s="31">
        <v>2020</v>
      </c>
      <c r="X76" s="28">
        <v>1</v>
      </c>
      <c r="Y76" s="28">
        <v>0</v>
      </c>
      <c r="Z76" s="196">
        <v>-2.0762472774284713E-4</v>
      </c>
      <c r="AA76" s="196">
        <v>-3.1942265806591866E-3</v>
      </c>
      <c r="AB76" s="28">
        <v>0</v>
      </c>
      <c r="AC76" s="28">
        <v>0</v>
      </c>
      <c r="AD76" s="28" t="s">
        <v>198</v>
      </c>
    </row>
    <row r="77" spans="2:30" ht="14.25" customHeight="1" x14ac:dyDescent="0.2">
      <c r="B77" s="7">
        <f t="shared" si="2"/>
        <v>53</v>
      </c>
      <c r="C77" s="28">
        <v>1</v>
      </c>
      <c r="D77" s="28">
        <v>2</v>
      </c>
      <c r="E77" s="28">
        <v>5</v>
      </c>
      <c r="F77" s="96">
        <v>2020</v>
      </c>
      <c r="G77" s="28">
        <v>2021</v>
      </c>
      <c r="H77" s="28">
        <v>9</v>
      </c>
      <c r="I77" s="28">
        <v>5</v>
      </c>
      <c r="J77" s="28">
        <v>0</v>
      </c>
      <c r="K77" s="28">
        <v>0</v>
      </c>
      <c r="L77" s="28">
        <v>0</v>
      </c>
      <c r="M77" s="156">
        <v>3.6376801599889665</v>
      </c>
      <c r="N77" s="151">
        <v>4310</v>
      </c>
      <c r="O77" s="151">
        <v>6740</v>
      </c>
      <c r="P77" s="95">
        <f t="array" ref="P77">ROUND(IF($F77&lt;='TaxCred&amp;Subs'!$C$49,(IF($C77=2,IF($M77&gt;=IFERROR(INDEX('TaxCred&amp;Subs'!$L$12:$L$47,MATCH(1,($C77&amp;$D77='TaxCred&amp;Subs'!$E$12:$E$47)*($F77='TaxCred&amp;Subs'!$C$12:$C$47),0)
),9999),IFERROR(INDEX('TaxCred&amp;Subs'!$N$12:$N$47,MATCH(1,($C77&amp;$D77='TaxCred&amp;Subs'!$E$12:$E$47)*($F77='TaxCred&amp;Subs'!$C$12:$C$47),0)
),0),0),(IF($M77&gt;=IFERROR(INDEX('TaxCred&amp;Subs'!$H$12:$H$47,MATCH(1,($C77&amp;$D77='TaxCred&amp;Subs'!$D$12:$D$47)*($F77='TaxCred&amp;Subs'!$C$12:$C$47),0)
),9999),IFERROR(INDEX('TaxCred&amp;Subs'!$N$12:$N$47,MATCH(1,($C77&amp;$D77='TaxCred&amp;Subs'!$D$12:$D$47)*($F77='TaxCred&amp;Subs'!$C$12:$C$47),0)
),0),0)))),0)+IF(AND($C77=2,VALUE(RIGHT($AD77,1))&gt;2),(N77-R77)*(IFERROR(INDEX('TaxCred&amp;Subs'!$J$66:$J$99,MATCH(1,($C77&amp;$D77='TaxCred&amp;Subs'!$E$66:$E$99)*($F77='TaxCred&amp;Subs'!$C$66:$C$99),0)),0)),IF(AND($C77=1,VALUE(RIGHT($AD77,1))&gt;2),(N77-R77)*(IFERROR(INDEX('TaxCred&amp;Subs'!$J$66:$J$99,MATCH(1,($C77&amp;$D77='TaxCred&amp;Subs'!$D$66:$D$99)*($F77='TaxCred&amp;Subs'!$C$66:$C$99),0)),0)),IF($C77&gt;2,(N77-R77)*(IFERROR(INDEX('TaxCred&amp;Subs'!$J$66:$J$99,MATCH(1,($C77&amp;$D77='TaxCred&amp;Subs'!$D$66:$D$99)*($F77='TaxCred&amp;Subs'!$C$66:$C$99),0)),0)),0))),0)</f>
        <v>150</v>
      </c>
      <c r="Q77" s="95">
        <f t="array" ref="Q77">ROUND(IF(AND($C77=2,VALUE(RIGHT($AD77,1))&gt;2),(O77-S77)*(IFERROR(INDEX('TaxCred&amp;Subs'!$J$66:$J$99,MATCH(1,($C77&amp;$D77='TaxCred&amp;Subs'!$E$66:$E$99)*($F77='TaxCred&amp;Subs'!$C$66:$C$99),0)),0)),IF(AND($C77=1,VALUE(RIGHT($AD77,1))&gt;2),(O77-S77)*(IFERROR(INDEX('TaxCred&amp;Subs'!$J$66:$J$99,MATCH(1,($C77&amp;$D77='TaxCred&amp;Subs'!$D$66:$D$99)*($F77='TaxCred&amp;Subs'!$C$66:$C$99),0)),0)),IF($C77&gt;2,(O77-S77)*(IFERROR(INDEX('TaxCred&amp;Subs'!$J$66:$J$99,MATCH(1,($C77&amp;$D77='TaxCred&amp;Subs'!$D$66:$D$99)*($F77='TaxCred&amp;Subs'!$C$66:$C$99),0)),0)),0))),0)</f>
        <v>0</v>
      </c>
      <c r="R77" s="95">
        <f t="array" ref="R77">ROUND(IF(IFERROR(VALUE(RIGHT($AD77,1)),0)&gt;2,IF($C77=8,N77*IFERROR(INDEX('TaxCred&amp;Subs'!$K$139:$S$151,MATCH($C77&amp;$D77&amp;LEFT($AD77,7),'TaxCred&amp;Subs'!$E$139:$E$151,0),MATCH($H77,'TaxCred&amp;Subs'!$K$137:$S$137,0)),0),IF($C77=2,N77*IFERROR(INDEX('TaxCred&amp;Subs'!$K$139:$S$151,MATCH($C77&amp;$D77,'TaxCred&amp;Subs'!$D$139:$D$151,0),MATCH($H77,'TaxCred&amp;Subs'!$K$137:$S$137,0)),0),N77*IFERROR(INDEX('TaxCred&amp;Subs'!$K$139:$S$151,MATCH($C77&amp;$D77,'TaxCred&amp;Subs'!$C$139:$C$151,0),MATCH($H77,'TaxCred&amp;Subs'!$K$137:$S$137,0)),0))),0),0)</f>
        <v>479</v>
      </c>
      <c r="S77" s="95">
        <f t="array" ref="S77">ROUND(IF(IFERROR(VALUE(RIGHT($AD77,1)),0)&gt;2,IF($C77=8,O77*IFERROR(INDEX('TaxCred&amp;Subs'!$K$139:$S$151,MATCH($C77&amp;$D77&amp;LEFT($AD77,7),'TaxCred&amp;Subs'!$E$139:$E$151,0),MATCH($H77,'TaxCred&amp;Subs'!$K$137:$S$137,0)),0),IF($C77=2,O77*IFERROR(INDEX('TaxCred&amp;Subs'!$K$139:$S$151,MATCH($C77&amp;$D77,'TaxCred&amp;Subs'!$D$139:$D$151,0),MATCH($H77,'TaxCred&amp;Subs'!$K$137:$S$137,0)),0),O77*IFERROR(INDEX('TaxCred&amp;Subs'!$K$139:$S$151,MATCH($C77&amp;$D77,'TaxCred&amp;Subs'!$C$139:$C$151,0),MATCH($H77,'TaxCred&amp;Subs'!$K$137:$S$137,0)),0))),0),0)</f>
        <v>748</v>
      </c>
      <c r="T77" s="172">
        <f t="shared" si="3"/>
        <v>624</v>
      </c>
      <c r="U77" s="172">
        <f t="shared" si="4"/>
        <v>1011</v>
      </c>
      <c r="V77" s="28" t="s">
        <v>222</v>
      </c>
      <c r="W77" s="31">
        <v>2020</v>
      </c>
      <c r="X77" s="28">
        <v>1</v>
      </c>
      <c r="Y77" s="28">
        <v>0</v>
      </c>
      <c r="Z77" s="196">
        <v>-2.0762472774284713E-4</v>
      </c>
      <c r="AA77" s="196">
        <v>-3.1942265806591866E-3</v>
      </c>
      <c r="AB77" s="28">
        <v>0</v>
      </c>
      <c r="AC77" s="28">
        <v>0</v>
      </c>
      <c r="AD77" s="28" t="s">
        <v>198</v>
      </c>
    </row>
    <row r="78" spans="2:30" ht="14.25" customHeight="1" x14ac:dyDescent="0.2">
      <c r="B78" s="7">
        <f t="shared" si="2"/>
        <v>54</v>
      </c>
      <c r="C78" s="28">
        <v>1</v>
      </c>
      <c r="D78" s="28">
        <v>2</v>
      </c>
      <c r="E78" s="28">
        <v>5</v>
      </c>
      <c r="F78" s="78">
        <v>2022</v>
      </c>
      <c r="G78" s="28">
        <v>2032</v>
      </c>
      <c r="H78" s="28">
        <v>1</v>
      </c>
      <c r="I78" s="28">
        <v>5</v>
      </c>
      <c r="J78" s="28">
        <v>0</v>
      </c>
      <c r="K78" s="28">
        <v>0</v>
      </c>
      <c r="L78" s="28">
        <v>0</v>
      </c>
      <c r="M78" s="156">
        <v>3.6376801599889665</v>
      </c>
      <c r="N78" s="151">
        <v>4310</v>
      </c>
      <c r="O78" s="151">
        <v>6740</v>
      </c>
      <c r="P78" s="95">
        <f t="array" ref="P78">ROUND(IF($F78&lt;='TaxCred&amp;Subs'!$C$49,(IF($C78=2,IF($M78&gt;=IFERROR(INDEX('TaxCred&amp;Subs'!$L$12:$L$47,MATCH(1,($C78&amp;$D78='TaxCred&amp;Subs'!$E$12:$E$47)*($F78='TaxCred&amp;Subs'!$C$12:$C$47),0)
),9999),IFERROR(INDEX('TaxCred&amp;Subs'!$N$12:$N$47,MATCH(1,($C78&amp;$D78='TaxCred&amp;Subs'!$E$12:$E$47)*($F78='TaxCred&amp;Subs'!$C$12:$C$47),0)
),0),0),(IF($M78&gt;=IFERROR(INDEX('TaxCred&amp;Subs'!$H$12:$H$47,MATCH(1,($C78&amp;$D78='TaxCred&amp;Subs'!$D$12:$D$47)*($F78='TaxCred&amp;Subs'!$C$12:$C$47),0)
),9999),IFERROR(INDEX('TaxCred&amp;Subs'!$N$12:$N$47,MATCH(1,($C78&amp;$D78='TaxCred&amp;Subs'!$D$12:$D$47)*($F78='TaxCred&amp;Subs'!$C$12:$C$47),0)
),0),0)))),0)+IF(AND($C78=2,VALUE(RIGHT($AD78,1))&gt;2),(N78-R78)*(IFERROR(INDEX('TaxCred&amp;Subs'!$J$66:$J$99,MATCH(1,($C78&amp;$D78='TaxCred&amp;Subs'!$E$66:$E$99)*($F78='TaxCred&amp;Subs'!$C$66:$C$99),0)),0)),IF(AND($C78=1,VALUE(RIGHT($AD78,1))&gt;2),(N78-R78)*(IFERROR(INDEX('TaxCred&amp;Subs'!$J$66:$J$99,MATCH(1,($C78&amp;$D78='TaxCred&amp;Subs'!$D$66:$D$99)*($F78='TaxCred&amp;Subs'!$C$66:$C$99),0)),0)),IF($C78&gt;2,(N78-R78)*(IFERROR(INDEX('TaxCred&amp;Subs'!$J$66:$J$99,MATCH(1,($C78&amp;$D78='TaxCred&amp;Subs'!$D$66:$D$99)*($F78='TaxCred&amp;Subs'!$C$66:$C$99),0)),0)),0))),0)</f>
        <v>1000</v>
      </c>
      <c r="Q78" s="95">
        <f t="array" ref="Q78">ROUND(IF(AND($C78=2,VALUE(RIGHT($AD78,1))&gt;2),(O78-S78)*(IFERROR(INDEX('TaxCred&amp;Subs'!$J$66:$J$99,MATCH(1,($C78&amp;$D78='TaxCred&amp;Subs'!$E$66:$E$99)*($F78='TaxCred&amp;Subs'!$C$66:$C$99),0)),0)),IF(AND($C78=1,VALUE(RIGHT($AD78,1))&gt;2),(O78-S78)*(IFERROR(INDEX('TaxCred&amp;Subs'!$J$66:$J$99,MATCH(1,($C78&amp;$D78='TaxCred&amp;Subs'!$D$66:$D$99)*($F78='TaxCred&amp;Subs'!$C$66:$C$99),0)),0)),IF($C78&gt;2,(O78-S78)*(IFERROR(INDEX('TaxCred&amp;Subs'!$J$66:$J$99,MATCH(1,($C78&amp;$D78='TaxCred&amp;Subs'!$D$66:$D$99)*($F78='TaxCred&amp;Subs'!$C$66:$C$99),0)),0)),0))),0)</f>
        <v>0</v>
      </c>
      <c r="R78" s="95">
        <f t="array" ref="R78">ROUND(IF(IFERROR(VALUE(RIGHT($AD78,1)),0)&gt;2,IF($C78=8,N78*IFERROR(INDEX('TaxCred&amp;Subs'!$K$139:$S$151,MATCH($C78&amp;$D78&amp;LEFT($AD78,7),'TaxCred&amp;Subs'!$E$139:$E$151,0),MATCH($H78,'TaxCred&amp;Subs'!$K$137:$S$137,0)),0),IF($C78=2,N78*IFERROR(INDEX('TaxCred&amp;Subs'!$K$139:$S$151,MATCH($C78&amp;$D78,'TaxCred&amp;Subs'!$D$139:$D$151,0),MATCH($H78,'TaxCred&amp;Subs'!$K$137:$S$137,0)),0),N78*IFERROR(INDEX('TaxCred&amp;Subs'!$K$139:$S$151,MATCH($C78&amp;$D78,'TaxCred&amp;Subs'!$C$139:$C$151,0),MATCH($H78,'TaxCred&amp;Subs'!$K$137:$S$137,0)),0))),0),0)</f>
        <v>622</v>
      </c>
      <c r="S78" s="95">
        <f t="array" ref="S78">ROUND(IF(IFERROR(VALUE(RIGHT($AD78,1)),0)&gt;2,IF($C78=8,O78*IFERROR(INDEX('TaxCred&amp;Subs'!$K$139:$S$151,MATCH($C78&amp;$D78&amp;LEFT($AD78,7),'TaxCred&amp;Subs'!$E$139:$E$151,0),MATCH($H78,'TaxCred&amp;Subs'!$K$137:$S$137,0)),0),IF($C78=2,O78*IFERROR(INDEX('TaxCred&amp;Subs'!$K$139:$S$151,MATCH($C78&amp;$D78,'TaxCred&amp;Subs'!$D$139:$D$151,0),MATCH($H78,'TaxCred&amp;Subs'!$K$137:$S$137,0)),0),O78*IFERROR(INDEX('TaxCred&amp;Subs'!$K$139:$S$151,MATCH($C78&amp;$D78,'TaxCred&amp;Subs'!$C$139:$C$151,0),MATCH($H78,'TaxCred&amp;Subs'!$K$137:$S$137,0)),0))),0),0)</f>
        <v>973</v>
      </c>
      <c r="T78" s="95">
        <f t="shared" si="3"/>
        <v>0</v>
      </c>
      <c r="U78" s="95">
        <f t="shared" si="4"/>
        <v>0</v>
      </c>
      <c r="V78" s="28" t="s">
        <v>222</v>
      </c>
      <c r="W78" s="31">
        <v>2020</v>
      </c>
      <c r="X78" s="28">
        <v>1</v>
      </c>
      <c r="Y78" s="28">
        <v>0</v>
      </c>
      <c r="Z78" s="196">
        <v>-2.0762472774284713E-4</v>
      </c>
      <c r="AA78" s="196">
        <v>-3.1942265806591866E-3</v>
      </c>
      <c r="AB78" s="28">
        <v>0</v>
      </c>
      <c r="AC78" s="28">
        <v>0</v>
      </c>
      <c r="AD78" s="28" t="s">
        <v>198</v>
      </c>
    </row>
    <row r="79" spans="2:30" ht="14.25" customHeight="1" x14ac:dyDescent="0.2">
      <c r="B79" s="7">
        <f t="shared" si="2"/>
        <v>55</v>
      </c>
      <c r="C79" s="28">
        <v>1</v>
      </c>
      <c r="D79" s="28">
        <v>2</v>
      </c>
      <c r="E79" s="28">
        <v>5</v>
      </c>
      <c r="F79" s="78">
        <v>2022</v>
      </c>
      <c r="G79" s="28">
        <v>2032</v>
      </c>
      <c r="H79" s="28">
        <v>2</v>
      </c>
      <c r="I79" s="28">
        <v>5</v>
      </c>
      <c r="J79" s="28">
        <v>0</v>
      </c>
      <c r="K79" s="28">
        <v>0</v>
      </c>
      <c r="L79" s="28">
        <v>0</v>
      </c>
      <c r="M79" s="156">
        <v>3.6376801599889665</v>
      </c>
      <c r="N79" s="151">
        <v>4310</v>
      </c>
      <c r="O79" s="151">
        <v>6740</v>
      </c>
      <c r="P79" s="95">
        <f t="array" ref="P79">ROUND(IF($F79&lt;='TaxCred&amp;Subs'!$C$49,(IF($C79=2,IF($M79&gt;=IFERROR(INDEX('TaxCred&amp;Subs'!$L$12:$L$47,MATCH(1,($C79&amp;$D79='TaxCred&amp;Subs'!$E$12:$E$47)*($F79='TaxCred&amp;Subs'!$C$12:$C$47),0)
),9999),IFERROR(INDEX('TaxCred&amp;Subs'!$N$12:$N$47,MATCH(1,($C79&amp;$D79='TaxCred&amp;Subs'!$E$12:$E$47)*($F79='TaxCred&amp;Subs'!$C$12:$C$47),0)
),0),0),(IF($M79&gt;=IFERROR(INDEX('TaxCred&amp;Subs'!$H$12:$H$47,MATCH(1,($C79&amp;$D79='TaxCred&amp;Subs'!$D$12:$D$47)*($F79='TaxCred&amp;Subs'!$C$12:$C$47),0)
),9999),IFERROR(INDEX('TaxCred&amp;Subs'!$N$12:$N$47,MATCH(1,($C79&amp;$D79='TaxCred&amp;Subs'!$D$12:$D$47)*($F79='TaxCred&amp;Subs'!$C$12:$C$47),0)
),0),0)))),0)+IF(AND($C79=2,VALUE(RIGHT($AD79,1))&gt;2),(N79-R79)*(IFERROR(INDEX('TaxCred&amp;Subs'!$J$66:$J$99,MATCH(1,($C79&amp;$D79='TaxCred&amp;Subs'!$E$66:$E$99)*($F79='TaxCred&amp;Subs'!$C$66:$C$99),0)),0)),IF(AND($C79=1,VALUE(RIGHT($AD79,1))&gt;2),(N79-R79)*(IFERROR(INDEX('TaxCred&amp;Subs'!$J$66:$J$99,MATCH(1,($C79&amp;$D79='TaxCred&amp;Subs'!$D$66:$D$99)*($F79='TaxCred&amp;Subs'!$C$66:$C$99),0)),0)),IF($C79&gt;2,(N79-R79)*(IFERROR(INDEX('TaxCred&amp;Subs'!$J$66:$J$99,MATCH(1,($C79&amp;$D79='TaxCred&amp;Subs'!$D$66:$D$99)*($F79='TaxCred&amp;Subs'!$C$66:$C$99),0)),0)),0))),0)</f>
        <v>1000</v>
      </c>
      <c r="Q79" s="95">
        <f t="array" ref="Q79">ROUND(IF(AND($C79=2,VALUE(RIGHT($AD79,1))&gt;2),(O79-S79)*(IFERROR(INDEX('TaxCred&amp;Subs'!$J$66:$J$99,MATCH(1,($C79&amp;$D79='TaxCred&amp;Subs'!$E$66:$E$99)*($F79='TaxCred&amp;Subs'!$C$66:$C$99),0)),0)),IF(AND($C79=1,VALUE(RIGHT($AD79,1))&gt;2),(O79-S79)*(IFERROR(INDEX('TaxCred&amp;Subs'!$J$66:$J$99,MATCH(1,($C79&amp;$D79='TaxCred&amp;Subs'!$D$66:$D$99)*($F79='TaxCred&amp;Subs'!$C$66:$C$99),0)),0)),IF($C79&gt;2,(O79-S79)*(IFERROR(INDEX('TaxCred&amp;Subs'!$J$66:$J$99,MATCH(1,($C79&amp;$D79='TaxCred&amp;Subs'!$D$66:$D$99)*($F79='TaxCred&amp;Subs'!$C$66:$C$99),0)),0)),0))),0)</f>
        <v>0</v>
      </c>
      <c r="R79" s="95">
        <f t="array" ref="R79">ROUND(IF(IFERROR(VALUE(RIGHT($AD79,1)),0)&gt;2,IF($C79=8,N79*IFERROR(INDEX('TaxCred&amp;Subs'!$K$139:$S$151,MATCH($C79&amp;$D79&amp;LEFT($AD79,7),'TaxCred&amp;Subs'!$E$139:$E$151,0),MATCH($H79,'TaxCred&amp;Subs'!$K$137:$S$137,0)),0),IF($C79=2,N79*IFERROR(INDEX('TaxCred&amp;Subs'!$K$139:$S$151,MATCH($C79&amp;$D79,'TaxCred&amp;Subs'!$D$139:$D$151,0),MATCH($H79,'TaxCred&amp;Subs'!$K$137:$S$137,0)),0),N79*IFERROR(INDEX('TaxCred&amp;Subs'!$K$139:$S$151,MATCH($C79&amp;$D79,'TaxCred&amp;Subs'!$C$139:$C$151,0),MATCH($H79,'TaxCred&amp;Subs'!$K$137:$S$137,0)),0))),0),0)</f>
        <v>225</v>
      </c>
      <c r="S79" s="95">
        <f t="array" ref="S79">ROUND(IF(IFERROR(VALUE(RIGHT($AD79,1)),0)&gt;2,IF($C79=8,O79*IFERROR(INDEX('TaxCred&amp;Subs'!$K$139:$S$151,MATCH($C79&amp;$D79&amp;LEFT($AD79,7),'TaxCred&amp;Subs'!$E$139:$E$151,0),MATCH($H79,'TaxCred&amp;Subs'!$K$137:$S$137,0)),0),IF($C79=2,O79*IFERROR(INDEX('TaxCred&amp;Subs'!$K$139:$S$151,MATCH($C79&amp;$D79,'TaxCred&amp;Subs'!$D$139:$D$151,0),MATCH($H79,'TaxCred&amp;Subs'!$K$137:$S$137,0)),0),O79*IFERROR(INDEX('TaxCred&amp;Subs'!$K$139:$S$151,MATCH($C79&amp;$D79,'TaxCred&amp;Subs'!$C$139:$C$151,0),MATCH($H79,'TaxCred&amp;Subs'!$K$137:$S$137,0)),0))),0),0)</f>
        <v>353</v>
      </c>
      <c r="T79" s="95">
        <f t="shared" si="3"/>
        <v>0</v>
      </c>
      <c r="U79" s="95">
        <f t="shared" si="4"/>
        <v>0</v>
      </c>
      <c r="V79" s="28" t="s">
        <v>222</v>
      </c>
      <c r="W79" s="31">
        <v>2020</v>
      </c>
      <c r="X79" s="28">
        <v>1</v>
      </c>
      <c r="Y79" s="28">
        <v>0</v>
      </c>
      <c r="Z79" s="196">
        <v>-2.0762472774284713E-4</v>
      </c>
      <c r="AA79" s="196">
        <v>-3.1942265806591866E-3</v>
      </c>
      <c r="AB79" s="28">
        <v>0</v>
      </c>
      <c r="AC79" s="28">
        <v>0</v>
      </c>
      <c r="AD79" s="28" t="s">
        <v>198</v>
      </c>
    </row>
    <row r="80" spans="2:30" ht="14.25" customHeight="1" x14ac:dyDescent="0.2">
      <c r="B80" s="7">
        <f t="shared" si="2"/>
        <v>56</v>
      </c>
      <c r="C80" s="28">
        <v>1</v>
      </c>
      <c r="D80" s="28">
        <v>2</v>
      </c>
      <c r="E80" s="28">
        <v>5</v>
      </c>
      <c r="F80" s="78">
        <v>2022</v>
      </c>
      <c r="G80" s="28">
        <v>2032</v>
      </c>
      <c r="H80" s="28">
        <v>3</v>
      </c>
      <c r="I80" s="28">
        <v>5</v>
      </c>
      <c r="J80" s="28">
        <v>0</v>
      </c>
      <c r="K80" s="28">
        <v>0</v>
      </c>
      <c r="L80" s="28">
        <v>0</v>
      </c>
      <c r="M80" s="156">
        <v>3.6376801599889665</v>
      </c>
      <c r="N80" s="151">
        <v>4310</v>
      </c>
      <c r="O80" s="151">
        <v>6740</v>
      </c>
      <c r="P80" s="95">
        <f t="array" ref="P80">ROUND(IF($F80&lt;='TaxCred&amp;Subs'!$C$49,(IF($C80=2,IF($M80&gt;=IFERROR(INDEX('TaxCred&amp;Subs'!$L$12:$L$47,MATCH(1,($C80&amp;$D80='TaxCred&amp;Subs'!$E$12:$E$47)*($F80='TaxCred&amp;Subs'!$C$12:$C$47),0)
),9999),IFERROR(INDEX('TaxCred&amp;Subs'!$N$12:$N$47,MATCH(1,($C80&amp;$D80='TaxCred&amp;Subs'!$E$12:$E$47)*($F80='TaxCred&amp;Subs'!$C$12:$C$47),0)
),0),0),(IF($M80&gt;=IFERROR(INDEX('TaxCred&amp;Subs'!$H$12:$H$47,MATCH(1,($C80&amp;$D80='TaxCred&amp;Subs'!$D$12:$D$47)*($F80='TaxCred&amp;Subs'!$C$12:$C$47),0)
),9999),IFERROR(INDEX('TaxCred&amp;Subs'!$N$12:$N$47,MATCH(1,($C80&amp;$D80='TaxCred&amp;Subs'!$D$12:$D$47)*($F80='TaxCred&amp;Subs'!$C$12:$C$47),0)
),0),0)))),0)+IF(AND($C80=2,VALUE(RIGHT($AD80,1))&gt;2),(N80-R80)*(IFERROR(INDEX('TaxCred&amp;Subs'!$J$66:$J$99,MATCH(1,($C80&amp;$D80='TaxCred&amp;Subs'!$E$66:$E$99)*($F80='TaxCred&amp;Subs'!$C$66:$C$99),0)),0)),IF(AND($C80=1,VALUE(RIGHT($AD80,1))&gt;2),(N80-R80)*(IFERROR(INDEX('TaxCred&amp;Subs'!$J$66:$J$99,MATCH(1,($C80&amp;$D80='TaxCred&amp;Subs'!$D$66:$D$99)*($F80='TaxCred&amp;Subs'!$C$66:$C$99),0)),0)),IF($C80&gt;2,(N80-R80)*(IFERROR(INDEX('TaxCred&amp;Subs'!$J$66:$J$99,MATCH(1,($C80&amp;$D80='TaxCred&amp;Subs'!$D$66:$D$99)*($F80='TaxCred&amp;Subs'!$C$66:$C$99),0)),0)),0))),0)</f>
        <v>1000</v>
      </c>
      <c r="Q80" s="95">
        <f t="array" ref="Q80">ROUND(IF(AND($C80=2,VALUE(RIGHT($AD80,1))&gt;2),(O80-S80)*(IFERROR(INDEX('TaxCred&amp;Subs'!$J$66:$J$99,MATCH(1,($C80&amp;$D80='TaxCred&amp;Subs'!$E$66:$E$99)*($F80='TaxCred&amp;Subs'!$C$66:$C$99),0)),0)),IF(AND($C80=1,VALUE(RIGHT($AD80,1))&gt;2),(O80-S80)*(IFERROR(INDEX('TaxCred&amp;Subs'!$J$66:$J$99,MATCH(1,($C80&amp;$D80='TaxCred&amp;Subs'!$D$66:$D$99)*($F80='TaxCred&amp;Subs'!$C$66:$C$99),0)),0)),IF($C80&gt;2,(O80-S80)*(IFERROR(INDEX('TaxCred&amp;Subs'!$J$66:$J$99,MATCH(1,($C80&amp;$D80='TaxCred&amp;Subs'!$D$66:$D$99)*($F80='TaxCred&amp;Subs'!$C$66:$C$99),0)),0)),0))),0)</f>
        <v>0</v>
      </c>
      <c r="R80" s="95">
        <f t="array" ref="R80">ROUND(IF(IFERROR(VALUE(RIGHT($AD80,1)),0)&gt;2,IF($C80=8,N80*IFERROR(INDEX('TaxCred&amp;Subs'!$K$139:$S$151,MATCH($C80&amp;$D80&amp;LEFT($AD80,7),'TaxCred&amp;Subs'!$E$139:$E$151,0),MATCH($H80,'TaxCred&amp;Subs'!$K$137:$S$137,0)),0),IF($C80=2,N80*IFERROR(INDEX('TaxCred&amp;Subs'!$K$139:$S$151,MATCH($C80&amp;$D80,'TaxCred&amp;Subs'!$D$139:$D$151,0),MATCH($H80,'TaxCred&amp;Subs'!$K$137:$S$137,0)),0),N80*IFERROR(INDEX('TaxCred&amp;Subs'!$K$139:$S$151,MATCH($C80&amp;$D80,'TaxCred&amp;Subs'!$C$139:$C$151,0),MATCH($H80,'TaxCred&amp;Subs'!$K$137:$S$137,0)),0))),0),0)</f>
        <v>341</v>
      </c>
      <c r="S80" s="95">
        <f t="array" ref="S80">ROUND(IF(IFERROR(VALUE(RIGHT($AD80,1)),0)&gt;2,IF($C80=8,O80*IFERROR(INDEX('TaxCred&amp;Subs'!$K$139:$S$151,MATCH($C80&amp;$D80&amp;LEFT($AD80,7),'TaxCred&amp;Subs'!$E$139:$E$151,0),MATCH($H80,'TaxCred&amp;Subs'!$K$137:$S$137,0)),0),IF($C80=2,O80*IFERROR(INDEX('TaxCred&amp;Subs'!$K$139:$S$151,MATCH($C80&amp;$D80,'TaxCred&amp;Subs'!$D$139:$D$151,0),MATCH($H80,'TaxCred&amp;Subs'!$K$137:$S$137,0)),0),O80*IFERROR(INDEX('TaxCred&amp;Subs'!$K$139:$S$151,MATCH($C80&amp;$D80,'TaxCred&amp;Subs'!$C$139:$C$151,0),MATCH($H80,'TaxCred&amp;Subs'!$K$137:$S$137,0)),0))),0),0)</f>
        <v>533</v>
      </c>
      <c r="T80" s="95">
        <f t="shared" si="3"/>
        <v>0</v>
      </c>
      <c r="U80" s="95">
        <f t="shared" si="4"/>
        <v>0</v>
      </c>
      <c r="V80" s="28" t="s">
        <v>222</v>
      </c>
      <c r="W80" s="31">
        <v>2020</v>
      </c>
      <c r="X80" s="28">
        <v>1</v>
      </c>
      <c r="Y80" s="28">
        <v>0</v>
      </c>
      <c r="Z80" s="196">
        <v>-2.0762472774284713E-4</v>
      </c>
      <c r="AA80" s="196">
        <v>-3.1942265806591866E-3</v>
      </c>
      <c r="AB80" s="28">
        <v>0</v>
      </c>
      <c r="AC80" s="28">
        <v>0</v>
      </c>
      <c r="AD80" s="28" t="s">
        <v>198</v>
      </c>
    </row>
    <row r="81" spans="2:30" ht="14.25" customHeight="1" x14ac:dyDescent="0.2">
      <c r="B81" s="7">
        <f t="shared" si="2"/>
        <v>57</v>
      </c>
      <c r="C81" s="28">
        <v>1</v>
      </c>
      <c r="D81" s="28">
        <v>2</v>
      </c>
      <c r="E81" s="28">
        <v>5</v>
      </c>
      <c r="F81" s="78">
        <v>2022</v>
      </c>
      <c r="G81" s="28">
        <v>2032</v>
      </c>
      <c r="H81" s="28">
        <v>4</v>
      </c>
      <c r="I81" s="28">
        <v>5</v>
      </c>
      <c r="J81" s="28">
        <v>0</v>
      </c>
      <c r="K81" s="28">
        <v>0</v>
      </c>
      <c r="L81" s="28">
        <v>0</v>
      </c>
      <c r="M81" s="156">
        <v>3.6376801599889665</v>
      </c>
      <c r="N81" s="151">
        <v>4310</v>
      </c>
      <c r="O81" s="151">
        <v>6740</v>
      </c>
      <c r="P81" s="95">
        <f t="array" ref="P81">ROUND(IF($F81&lt;='TaxCred&amp;Subs'!$C$49,(IF($C81=2,IF($M81&gt;=IFERROR(INDEX('TaxCred&amp;Subs'!$L$12:$L$47,MATCH(1,($C81&amp;$D81='TaxCred&amp;Subs'!$E$12:$E$47)*($F81='TaxCred&amp;Subs'!$C$12:$C$47),0)
),9999),IFERROR(INDEX('TaxCred&amp;Subs'!$N$12:$N$47,MATCH(1,($C81&amp;$D81='TaxCred&amp;Subs'!$E$12:$E$47)*($F81='TaxCred&amp;Subs'!$C$12:$C$47),0)
),0),0),(IF($M81&gt;=IFERROR(INDEX('TaxCred&amp;Subs'!$H$12:$H$47,MATCH(1,($C81&amp;$D81='TaxCred&amp;Subs'!$D$12:$D$47)*($F81='TaxCred&amp;Subs'!$C$12:$C$47),0)
),9999),IFERROR(INDEX('TaxCred&amp;Subs'!$N$12:$N$47,MATCH(1,($C81&amp;$D81='TaxCred&amp;Subs'!$D$12:$D$47)*($F81='TaxCred&amp;Subs'!$C$12:$C$47),0)
),0),0)))),0)+IF(AND($C81=2,VALUE(RIGHT($AD81,1))&gt;2),(N81-R81)*(IFERROR(INDEX('TaxCred&amp;Subs'!$J$66:$J$99,MATCH(1,($C81&amp;$D81='TaxCred&amp;Subs'!$E$66:$E$99)*($F81='TaxCred&amp;Subs'!$C$66:$C$99),0)),0)),IF(AND($C81=1,VALUE(RIGHT($AD81,1))&gt;2),(N81-R81)*(IFERROR(INDEX('TaxCred&amp;Subs'!$J$66:$J$99,MATCH(1,($C81&amp;$D81='TaxCred&amp;Subs'!$D$66:$D$99)*($F81='TaxCred&amp;Subs'!$C$66:$C$99),0)),0)),IF($C81&gt;2,(N81-R81)*(IFERROR(INDEX('TaxCred&amp;Subs'!$J$66:$J$99,MATCH(1,($C81&amp;$D81='TaxCred&amp;Subs'!$D$66:$D$99)*($F81='TaxCred&amp;Subs'!$C$66:$C$99),0)),0)),0))),0)</f>
        <v>1000</v>
      </c>
      <c r="Q81" s="95">
        <f t="array" ref="Q81">ROUND(IF(AND($C81=2,VALUE(RIGHT($AD81,1))&gt;2),(O81-S81)*(IFERROR(INDEX('TaxCred&amp;Subs'!$J$66:$J$99,MATCH(1,($C81&amp;$D81='TaxCred&amp;Subs'!$E$66:$E$99)*($F81='TaxCred&amp;Subs'!$C$66:$C$99),0)),0)),IF(AND($C81=1,VALUE(RIGHT($AD81,1))&gt;2),(O81-S81)*(IFERROR(INDEX('TaxCred&amp;Subs'!$J$66:$J$99,MATCH(1,($C81&amp;$D81='TaxCred&amp;Subs'!$D$66:$D$99)*($F81='TaxCred&amp;Subs'!$C$66:$C$99),0)),0)),IF($C81&gt;2,(O81-S81)*(IFERROR(INDEX('TaxCred&amp;Subs'!$J$66:$J$99,MATCH(1,($C81&amp;$D81='TaxCred&amp;Subs'!$D$66:$D$99)*($F81='TaxCred&amp;Subs'!$C$66:$C$99),0)),0)),0))),0)</f>
        <v>0</v>
      </c>
      <c r="R81" s="95">
        <f t="array" ref="R81">ROUND(IF(IFERROR(VALUE(RIGHT($AD81,1)),0)&gt;2,IF($C81=8,N81*IFERROR(INDEX('TaxCred&amp;Subs'!$K$139:$S$151,MATCH($C81&amp;$D81&amp;LEFT($AD81,7),'TaxCred&amp;Subs'!$E$139:$E$151,0),MATCH($H81,'TaxCred&amp;Subs'!$K$137:$S$137,0)),0),IF($C81=2,N81*IFERROR(INDEX('TaxCred&amp;Subs'!$K$139:$S$151,MATCH($C81&amp;$D81,'TaxCred&amp;Subs'!$D$139:$D$151,0),MATCH($H81,'TaxCred&amp;Subs'!$K$137:$S$137,0)),0),N81*IFERROR(INDEX('TaxCred&amp;Subs'!$K$139:$S$151,MATCH($C81&amp;$D81,'TaxCred&amp;Subs'!$C$139:$C$151,0),MATCH($H81,'TaxCred&amp;Subs'!$K$137:$S$137,0)),0))),0),0)</f>
        <v>208</v>
      </c>
      <c r="S81" s="95">
        <f t="array" ref="S81">ROUND(IF(IFERROR(VALUE(RIGHT($AD81,1)),0)&gt;2,IF($C81=8,O81*IFERROR(INDEX('TaxCred&amp;Subs'!$K$139:$S$151,MATCH($C81&amp;$D81&amp;LEFT($AD81,7),'TaxCred&amp;Subs'!$E$139:$E$151,0),MATCH($H81,'TaxCred&amp;Subs'!$K$137:$S$137,0)),0),IF($C81=2,O81*IFERROR(INDEX('TaxCred&amp;Subs'!$K$139:$S$151,MATCH($C81&amp;$D81,'TaxCred&amp;Subs'!$D$139:$D$151,0),MATCH($H81,'TaxCred&amp;Subs'!$K$137:$S$137,0)),0),O81*IFERROR(INDEX('TaxCred&amp;Subs'!$K$139:$S$151,MATCH($C81&amp;$D81,'TaxCred&amp;Subs'!$C$139:$C$151,0),MATCH($H81,'TaxCred&amp;Subs'!$K$137:$S$137,0)),0))),0),0)</f>
        <v>325</v>
      </c>
      <c r="T81" s="95">
        <f t="shared" si="3"/>
        <v>0</v>
      </c>
      <c r="U81" s="95">
        <f t="shared" si="4"/>
        <v>0</v>
      </c>
      <c r="V81" s="28" t="s">
        <v>222</v>
      </c>
      <c r="W81" s="31">
        <v>2020</v>
      </c>
      <c r="X81" s="28">
        <v>1</v>
      </c>
      <c r="Y81" s="28">
        <v>0</v>
      </c>
      <c r="Z81" s="196">
        <v>-2.0762472774284713E-4</v>
      </c>
      <c r="AA81" s="196">
        <v>-3.1942265806591866E-3</v>
      </c>
      <c r="AB81" s="28">
        <v>0</v>
      </c>
      <c r="AC81" s="28">
        <v>0</v>
      </c>
      <c r="AD81" s="28" t="s">
        <v>198</v>
      </c>
    </row>
    <row r="82" spans="2:30" ht="14.25" customHeight="1" x14ac:dyDescent="0.2">
      <c r="B82" s="7">
        <f t="shared" si="2"/>
        <v>58</v>
      </c>
      <c r="C82" s="28">
        <v>1</v>
      </c>
      <c r="D82" s="28">
        <v>2</v>
      </c>
      <c r="E82" s="28">
        <v>5</v>
      </c>
      <c r="F82" s="78">
        <v>2022</v>
      </c>
      <c r="G82" s="28">
        <v>2032</v>
      </c>
      <c r="H82" s="28">
        <v>5</v>
      </c>
      <c r="I82" s="28">
        <v>5</v>
      </c>
      <c r="J82" s="28">
        <v>0</v>
      </c>
      <c r="K82" s="28">
        <v>0</v>
      </c>
      <c r="L82" s="28">
        <v>0</v>
      </c>
      <c r="M82" s="156">
        <v>3.6376801599889665</v>
      </c>
      <c r="N82" s="151">
        <v>4310</v>
      </c>
      <c r="O82" s="151">
        <v>6740</v>
      </c>
      <c r="P82" s="95">
        <f t="array" ref="P82">ROUND(IF($F82&lt;='TaxCred&amp;Subs'!$C$49,(IF($C82=2,IF($M82&gt;=IFERROR(INDEX('TaxCred&amp;Subs'!$L$12:$L$47,MATCH(1,($C82&amp;$D82='TaxCred&amp;Subs'!$E$12:$E$47)*($F82='TaxCred&amp;Subs'!$C$12:$C$47),0)
),9999),IFERROR(INDEX('TaxCred&amp;Subs'!$N$12:$N$47,MATCH(1,($C82&amp;$D82='TaxCred&amp;Subs'!$E$12:$E$47)*($F82='TaxCred&amp;Subs'!$C$12:$C$47),0)
),0),0),(IF($M82&gt;=IFERROR(INDEX('TaxCred&amp;Subs'!$H$12:$H$47,MATCH(1,($C82&amp;$D82='TaxCred&amp;Subs'!$D$12:$D$47)*($F82='TaxCred&amp;Subs'!$C$12:$C$47),0)
),9999),IFERROR(INDEX('TaxCred&amp;Subs'!$N$12:$N$47,MATCH(1,($C82&amp;$D82='TaxCred&amp;Subs'!$D$12:$D$47)*($F82='TaxCred&amp;Subs'!$C$12:$C$47),0)
),0),0)))),0)+IF(AND($C82=2,VALUE(RIGHT($AD82,1))&gt;2),(N82-R82)*(IFERROR(INDEX('TaxCred&amp;Subs'!$J$66:$J$99,MATCH(1,($C82&amp;$D82='TaxCred&amp;Subs'!$E$66:$E$99)*($F82='TaxCred&amp;Subs'!$C$66:$C$99),0)),0)),IF(AND($C82=1,VALUE(RIGHT($AD82,1))&gt;2),(N82-R82)*(IFERROR(INDEX('TaxCred&amp;Subs'!$J$66:$J$99,MATCH(1,($C82&amp;$D82='TaxCred&amp;Subs'!$D$66:$D$99)*($F82='TaxCred&amp;Subs'!$C$66:$C$99),0)),0)),IF($C82&gt;2,(N82-R82)*(IFERROR(INDEX('TaxCred&amp;Subs'!$J$66:$J$99,MATCH(1,($C82&amp;$D82='TaxCred&amp;Subs'!$D$66:$D$99)*($F82='TaxCred&amp;Subs'!$C$66:$C$99),0)),0)),0))),0)</f>
        <v>1000</v>
      </c>
      <c r="Q82" s="95">
        <f t="array" ref="Q82">ROUND(IF(AND($C82=2,VALUE(RIGHT($AD82,1))&gt;2),(O82-S82)*(IFERROR(INDEX('TaxCred&amp;Subs'!$J$66:$J$99,MATCH(1,($C82&amp;$D82='TaxCred&amp;Subs'!$E$66:$E$99)*($F82='TaxCred&amp;Subs'!$C$66:$C$99),0)),0)),IF(AND($C82=1,VALUE(RIGHT($AD82,1))&gt;2),(O82-S82)*(IFERROR(INDEX('TaxCred&amp;Subs'!$J$66:$J$99,MATCH(1,($C82&amp;$D82='TaxCred&amp;Subs'!$D$66:$D$99)*($F82='TaxCred&amp;Subs'!$C$66:$C$99),0)),0)),IF($C82&gt;2,(O82-S82)*(IFERROR(INDEX('TaxCred&amp;Subs'!$J$66:$J$99,MATCH(1,($C82&amp;$D82='TaxCred&amp;Subs'!$D$66:$D$99)*($F82='TaxCred&amp;Subs'!$C$66:$C$99),0)),0)),0))),0)</f>
        <v>0</v>
      </c>
      <c r="R82" s="95">
        <f t="array" ref="R82">ROUND(IF(IFERROR(VALUE(RIGHT($AD82,1)),0)&gt;2,IF($C82=8,N82*IFERROR(INDEX('TaxCred&amp;Subs'!$K$139:$S$151,MATCH($C82&amp;$D82&amp;LEFT($AD82,7),'TaxCred&amp;Subs'!$E$139:$E$151,0),MATCH($H82,'TaxCred&amp;Subs'!$K$137:$S$137,0)),0),IF($C82=2,N82*IFERROR(INDEX('TaxCred&amp;Subs'!$K$139:$S$151,MATCH($C82&amp;$D82,'TaxCred&amp;Subs'!$D$139:$D$151,0),MATCH($H82,'TaxCred&amp;Subs'!$K$137:$S$137,0)),0),N82*IFERROR(INDEX('TaxCred&amp;Subs'!$K$139:$S$151,MATCH($C82&amp;$D82,'TaxCred&amp;Subs'!$C$139:$C$151,0),MATCH($H82,'TaxCred&amp;Subs'!$K$137:$S$137,0)),0))),0),0)</f>
        <v>94</v>
      </c>
      <c r="S82" s="95">
        <f t="array" ref="S82">ROUND(IF(IFERROR(VALUE(RIGHT($AD82,1)),0)&gt;2,IF($C82=8,O82*IFERROR(INDEX('TaxCred&amp;Subs'!$K$139:$S$151,MATCH($C82&amp;$D82&amp;LEFT($AD82,7),'TaxCred&amp;Subs'!$E$139:$E$151,0),MATCH($H82,'TaxCred&amp;Subs'!$K$137:$S$137,0)),0),IF($C82=2,O82*IFERROR(INDEX('TaxCred&amp;Subs'!$K$139:$S$151,MATCH($C82&amp;$D82,'TaxCred&amp;Subs'!$D$139:$D$151,0),MATCH($H82,'TaxCred&amp;Subs'!$K$137:$S$137,0)),0),O82*IFERROR(INDEX('TaxCred&amp;Subs'!$K$139:$S$151,MATCH($C82&amp;$D82,'TaxCred&amp;Subs'!$C$139:$C$151,0),MATCH($H82,'TaxCred&amp;Subs'!$K$137:$S$137,0)),0))),0),0)</f>
        <v>147</v>
      </c>
      <c r="T82" s="95">
        <f t="shared" si="3"/>
        <v>0</v>
      </c>
      <c r="U82" s="95">
        <f t="shared" si="4"/>
        <v>0</v>
      </c>
      <c r="V82" s="28" t="s">
        <v>222</v>
      </c>
      <c r="W82" s="31">
        <v>2020</v>
      </c>
      <c r="X82" s="28">
        <v>1</v>
      </c>
      <c r="Y82" s="28">
        <v>0</v>
      </c>
      <c r="Z82" s="196">
        <v>-2.0762472774284713E-4</v>
      </c>
      <c r="AA82" s="196">
        <v>-3.1942265806591866E-3</v>
      </c>
      <c r="AB82" s="28">
        <v>0</v>
      </c>
      <c r="AC82" s="28">
        <v>0</v>
      </c>
      <c r="AD82" s="28" t="s">
        <v>198</v>
      </c>
    </row>
    <row r="83" spans="2:30" ht="14.25" customHeight="1" x14ac:dyDescent="0.2">
      <c r="B83" s="7">
        <f t="shared" si="2"/>
        <v>59</v>
      </c>
      <c r="C83" s="28">
        <v>1</v>
      </c>
      <c r="D83" s="28">
        <v>2</v>
      </c>
      <c r="E83" s="28">
        <v>5</v>
      </c>
      <c r="F83" s="78">
        <v>2022</v>
      </c>
      <c r="G83" s="28">
        <v>2032</v>
      </c>
      <c r="H83" s="28">
        <v>6</v>
      </c>
      <c r="I83" s="28">
        <v>5</v>
      </c>
      <c r="J83" s="28">
        <v>0</v>
      </c>
      <c r="K83" s="28">
        <v>0</v>
      </c>
      <c r="L83" s="28">
        <v>0</v>
      </c>
      <c r="M83" s="156">
        <v>3.6376801599889665</v>
      </c>
      <c r="N83" s="151">
        <v>4310</v>
      </c>
      <c r="O83" s="151">
        <v>6740</v>
      </c>
      <c r="P83" s="95">
        <f t="array" ref="P83">ROUND(IF($F83&lt;='TaxCred&amp;Subs'!$C$49,(IF($C83=2,IF($M83&gt;=IFERROR(INDEX('TaxCred&amp;Subs'!$L$12:$L$47,MATCH(1,($C83&amp;$D83='TaxCred&amp;Subs'!$E$12:$E$47)*($F83='TaxCred&amp;Subs'!$C$12:$C$47),0)
),9999),IFERROR(INDEX('TaxCred&amp;Subs'!$N$12:$N$47,MATCH(1,($C83&amp;$D83='TaxCred&amp;Subs'!$E$12:$E$47)*($F83='TaxCred&amp;Subs'!$C$12:$C$47),0)
),0),0),(IF($M83&gt;=IFERROR(INDEX('TaxCred&amp;Subs'!$H$12:$H$47,MATCH(1,($C83&amp;$D83='TaxCred&amp;Subs'!$D$12:$D$47)*($F83='TaxCred&amp;Subs'!$C$12:$C$47),0)
),9999),IFERROR(INDEX('TaxCred&amp;Subs'!$N$12:$N$47,MATCH(1,($C83&amp;$D83='TaxCred&amp;Subs'!$D$12:$D$47)*($F83='TaxCred&amp;Subs'!$C$12:$C$47),0)
),0),0)))),0)+IF(AND($C83=2,VALUE(RIGHT($AD83,1))&gt;2),(N83-R83)*(IFERROR(INDEX('TaxCred&amp;Subs'!$J$66:$J$99,MATCH(1,($C83&amp;$D83='TaxCred&amp;Subs'!$E$66:$E$99)*($F83='TaxCred&amp;Subs'!$C$66:$C$99),0)),0)),IF(AND($C83=1,VALUE(RIGHT($AD83,1))&gt;2),(N83-R83)*(IFERROR(INDEX('TaxCred&amp;Subs'!$J$66:$J$99,MATCH(1,($C83&amp;$D83='TaxCred&amp;Subs'!$D$66:$D$99)*($F83='TaxCred&amp;Subs'!$C$66:$C$99),0)),0)),IF($C83&gt;2,(N83-R83)*(IFERROR(INDEX('TaxCred&amp;Subs'!$J$66:$J$99,MATCH(1,($C83&amp;$D83='TaxCred&amp;Subs'!$D$66:$D$99)*($F83='TaxCred&amp;Subs'!$C$66:$C$99),0)),0)),0))),0)</f>
        <v>1000</v>
      </c>
      <c r="Q83" s="95">
        <f t="array" ref="Q83">ROUND(IF(AND($C83=2,VALUE(RIGHT($AD83,1))&gt;2),(O83-S83)*(IFERROR(INDEX('TaxCred&amp;Subs'!$J$66:$J$99,MATCH(1,($C83&amp;$D83='TaxCred&amp;Subs'!$E$66:$E$99)*($F83='TaxCred&amp;Subs'!$C$66:$C$99),0)),0)),IF(AND($C83=1,VALUE(RIGHT($AD83,1))&gt;2),(O83-S83)*(IFERROR(INDEX('TaxCred&amp;Subs'!$J$66:$J$99,MATCH(1,($C83&amp;$D83='TaxCred&amp;Subs'!$D$66:$D$99)*($F83='TaxCred&amp;Subs'!$C$66:$C$99),0)),0)),IF($C83&gt;2,(O83-S83)*(IFERROR(INDEX('TaxCred&amp;Subs'!$J$66:$J$99,MATCH(1,($C83&amp;$D83='TaxCred&amp;Subs'!$D$66:$D$99)*($F83='TaxCred&amp;Subs'!$C$66:$C$99),0)),0)),0))),0)</f>
        <v>0</v>
      </c>
      <c r="R83" s="95">
        <f t="array" ref="R83">ROUND(IF(IFERROR(VALUE(RIGHT($AD83,1)),0)&gt;2,IF($C83=8,N83*IFERROR(INDEX('TaxCred&amp;Subs'!$K$139:$S$151,MATCH($C83&amp;$D83&amp;LEFT($AD83,7),'TaxCred&amp;Subs'!$E$139:$E$151,0),MATCH($H83,'TaxCred&amp;Subs'!$K$137:$S$137,0)),0),IF($C83=2,N83*IFERROR(INDEX('TaxCred&amp;Subs'!$K$139:$S$151,MATCH($C83&amp;$D83,'TaxCred&amp;Subs'!$D$139:$D$151,0),MATCH($H83,'TaxCred&amp;Subs'!$K$137:$S$137,0)),0),N83*IFERROR(INDEX('TaxCred&amp;Subs'!$K$139:$S$151,MATCH($C83&amp;$D83,'TaxCred&amp;Subs'!$C$139:$C$151,0),MATCH($H83,'TaxCred&amp;Subs'!$K$137:$S$137,0)),0))),0),0)</f>
        <v>0</v>
      </c>
      <c r="S83" s="95">
        <f t="array" ref="S83">ROUND(IF(IFERROR(VALUE(RIGHT($AD83,1)),0)&gt;2,IF($C83=8,O83*IFERROR(INDEX('TaxCred&amp;Subs'!$K$139:$S$151,MATCH($C83&amp;$D83&amp;LEFT($AD83,7),'TaxCred&amp;Subs'!$E$139:$E$151,0),MATCH($H83,'TaxCred&amp;Subs'!$K$137:$S$137,0)),0),IF($C83=2,O83*IFERROR(INDEX('TaxCred&amp;Subs'!$K$139:$S$151,MATCH($C83&amp;$D83,'TaxCred&amp;Subs'!$D$139:$D$151,0),MATCH($H83,'TaxCred&amp;Subs'!$K$137:$S$137,0)),0),O83*IFERROR(INDEX('TaxCred&amp;Subs'!$K$139:$S$151,MATCH($C83&amp;$D83,'TaxCred&amp;Subs'!$C$139:$C$151,0),MATCH($H83,'TaxCred&amp;Subs'!$K$137:$S$137,0)),0))),0),0)</f>
        <v>0</v>
      </c>
      <c r="T83" s="95">
        <f t="shared" si="3"/>
        <v>0</v>
      </c>
      <c r="U83" s="95">
        <f t="shared" si="4"/>
        <v>0</v>
      </c>
      <c r="V83" s="28" t="s">
        <v>222</v>
      </c>
      <c r="W83" s="31">
        <v>2020</v>
      </c>
      <c r="X83" s="28">
        <v>1</v>
      </c>
      <c r="Y83" s="28">
        <v>0</v>
      </c>
      <c r="Z83" s="196">
        <v>-2.0762472774284713E-4</v>
      </c>
      <c r="AA83" s="196">
        <v>-3.1942265806591866E-3</v>
      </c>
      <c r="AB83" s="28">
        <v>0</v>
      </c>
      <c r="AC83" s="28">
        <v>0</v>
      </c>
      <c r="AD83" s="28" t="s">
        <v>198</v>
      </c>
    </row>
    <row r="84" spans="2:30" ht="14.25" customHeight="1" x14ac:dyDescent="0.2">
      <c r="B84" s="7">
        <f t="shared" si="2"/>
        <v>60</v>
      </c>
      <c r="C84" s="28">
        <v>1</v>
      </c>
      <c r="D84" s="28">
        <v>2</v>
      </c>
      <c r="E84" s="28">
        <v>5</v>
      </c>
      <c r="F84" s="78">
        <v>2022</v>
      </c>
      <c r="G84" s="28">
        <v>2032</v>
      </c>
      <c r="H84" s="28">
        <v>7</v>
      </c>
      <c r="I84" s="28">
        <v>5</v>
      </c>
      <c r="J84" s="28">
        <v>0</v>
      </c>
      <c r="K84" s="28">
        <v>0</v>
      </c>
      <c r="L84" s="28">
        <v>0</v>
      </c>
      <c r="M84" s="156">
        <v>3.6376801599889665</v>
      </c>
      <c r="N84" s="151">
        <v>4310</v>
      </c>
      <c r="O84" s="151">
        <v>6740</v>
      </c>
      <c r="P84" s="95">
        <f t="array" ref="P84">ROUND(IF($F84&lt;='TaxCred&amp;Subs'!$C$49,(IF($C84=2,IF($M84&gt;=IFERROR(INDEX('TaxCred&amp;Subs'!$L$12:$L$47,MATCH(1,($C84&amp;$D84='TaxCred&amp;Subs'!$E$12:$E$47)*($F84='TaxCred&amp;Subs'!$C$12:$C$47),0)
),9999),IFERROR(INDEX('TaxCred&amp;Subs'!$N$12:$N$47,MATCH(1,($C84&amp;$D84='TaxCred&amp;Subs'!$E$12:$E$47)*($F84='TaxCred&amp;Subs'!$C$12:$C$47),0)
),0),0),(IF($M84&gt;=IFERROR(INDEX('TaxCred&amp;Subs'!$H$12:$H$47,MATCH(1,($C84&amp;$D84='TaxCred&amp;Subs'!$D$12:$D$47)*($F84='TaxCred&amp;Subs'!$C$12:$C$47),0)
),9999),IFERROR(INDEX('TaxCred&amp;Subs'!$N$12:$N$47,MATCH(1,($C84&amp;$D84='TaxCred&amp;Subs'!$D$12:$D$47)*($F84='TaxCred&amp;Subs'!$C$12:$C$47),0)
),0),0)))),0)+IF(AND($C84=2,VALUE(RIGHT($AD84,1))&gt;2),(N84-R84)*(IFERROR(INDEX('TaxCred&amp;Subs'!$J$66:$J$99,MATCH(1,($C84&amp;$D84='TaxCred&amp;Subs'!$E$66:$E$99)*($F84='TaxCred&amp;Subs'!$C$66:$C$99),0)),0)),IF(AND($C84=1,VALUE(RIGHT($AD84,1))&gt;2),(N84-R84)*(IFERROR(INDEX('TaxCred&amp;Subs'!$J$66:$J$99,MATCH(1,($C84&amp;$D84='TaxCred&amp;Subs'!$D$66:$D$99)*($F84='TaxCred&amp;Subs'!$C$66:$C$99),0)),0)),IF($C84&gt;2,(N84-R84)*(IFERROR(INDEX('TaxCred&amp;Subs'!$J$66:$J$99,MATCH(1,($C84&amp;$D84='TaxCred&amp;Subs'!$D$66:$D$99)*($F84='TaxCred&amp;Subs'!$C$66:$C$99),0)),0)),0))),0)</f>
        <v>1000</v>
      </c>
      <c r="Q84" s="95">
        <f t="array" ref="Q84">ROUND(IF(AND($C84=2,VALUE(RIGHT($AD84,1))&gt;2),(O84-S84)*(IFERROR(INDEX('TaxCred&amp;Subs'!$J$66:$J$99,MATCH(1,($C84&amp;$D84='TaxCred&amp;Subs'!$E$66:$E$99)*($F84='TaxCred&amp;Subs'!$C$66:$C$99),0)),0)),IF(AND($C84=1,VALUE(RIGHT($AD84,1))&gt;2),(O84-S84)*(IFERROR(INDEX('TaxCred&amp;Subs'!$J$66:$J$99,MATCH(1,($C84&amp;$D84='TaxCred&amp;Subs'!$D$66:$D$99)*($F84='TaxCred&amp;Subs'!$C$66:$C$99),0)),0)),IF($C84&gt;2,(O84-S84)*(IFERROR(INDEX('TaxCred&amp;Subs'!$J$66:$J$99,MATCH(1,($C84&amp;$D84='TaxCred&amp;Subs'!$D$66:$D$99)*($F84='TaxCred&amp;Subs'!$C$66:$C$99),0)),0)),0))),0)</f>
        <v>0</v>
      </c>
      <c r="R84" s="95">
        <f t="array" ref="R84">ROUND(IF(IFERROR(VALUE(RIGHT($AD84,1)),0)&gt;2,IF($C84=8,N84*IFERROR(INDEX('TaxCred&amp;Subs'!$K$139:$S$151,MATCH($C84&amp;$D84&amp;LEFT($AD84,7),'TaxCred&amp;Subs'!$E$139:$E$151,0),MATCH($H84,'TaxCred&amp;Subs'!$K$137:$S$137,0)),0),IF($C84=2,N84*IFERROR(INDEX('TaxCred&amp;Subs'!$K$139:$S$151,MATCH($C84&amp;$D84,'TaxCred&amp;Subs'!$D$139:$D$151,0),MATCH($H84,'TaxCred&amp;Subs'!$K$137:$S$137,0)),0),N84*IFERROR(INDEX('TaxCred&amp;Subs'!$K$139:$S$151,MATCH($C84&amp;$D84,'TaxCred&amp;Subs'!$C$139:$C$151,0),MATCH($H84,'TaxCred&amp;Subs'!$K$137:$S$137,0)),0))),0),0)</f>
        <v>835</v>
      </c>
      <c r="S84" s="95">
        <f t="array" ref="S84">ROUND(IF(IFERROR(VALUE(RIGHT($AD84,1)),0)&gt;2,IF($C84=8,O84*IFERROR(INDEX('TaxCred&amp;Subs'!$K$139:$S$151,MATCH($C84&amp;$D84&amp;LEFT($AD84,7),'TaxCred&amp;Subs'!$E$139:$E$151,0),MATCH($H84,'TaxCred&amp;Subs'!$K$137:$S$137,0)),0),IF($C84=2,O84*IFERROR(INDEX('TaxCred&amp;Subs'!$K$139:$S$151,MATCH($C84&amp;$D84,'TaxCred&amp;Subs'!$D$139:$D$151,0),MATCH($H84,'TaxCred&amp;Subs'!$K$137:$S$137,0)),0),O84*IFERROR(INDEX('TaxCred&amp;Subs'!$K$139:$S$151,MATCH($C84&amp;$D84,'TaxCred&amp;Subs'!$C$139:$C$151,0),MATCH($H84,'TaxCred&amp;Subs'!$K$137:$S$137,0)),0))),0),0)</f>
        <v>1305</v>
      </c>
      <c r="T84" s="95">
        <f t="shared" si="3"/>
        <v>0</v>
      </c>
      <c r="U84" s="95">
        <f t="shared" si="4"/>
        <v>0</v>
      </c>
      <c r="V84" s="28" t="s">
        <v>222</v>
      </c>
      <c r="W84" s="31">
        <v>2020</v>
      </c>
      <c r="X84" s="28">
        <v>1</v>
      </c>
      <c r="Y84" s="28">
        <v>0</v>
      </c>
      <c r="Z84" s="196">
        <v>-2.0762472774284713E-4</v>
      </c>
      <c r="AA84" s="196">
        <v>-3.1942265806591866E-3</v>
      </c>
      <c r="AB84" s="28">
        <v>0</v>
      </c>
      <c r="AC84" s="28">
        <v>0</v>
      </c>
      <c r="AD84" s="28" t="s">
        <v>198</v>
      </c>
    </row>
    <row r="85" spans="2:30" ht="14.25" customHeight="1" x14ac:dyDescent="0.2">
      <c r="B85" s="7">
        <f t="shared" si="2"/>
        <v>61</v>
      </c>
      <c r="C85" s="28">
        <v>1</v>
      </c>
      <c r="D85" s="28">
        <v>2</v>
      </c>
      <c r="E85" s="28">
        <v>5</v>
      </c>
      <c r="F85" s="78">
        <v>2022</v>
      </c>
      <c r="G85" s="28">
        <v>2032</v>
      </c>
      <c r="H85" s="28">
        <v>8</v>
      </c>
      <c r="I85" s="28">
        <v>5</v>
      </c>
      <c r="J85" s="28">
        <v>0</v>
      </c>
      <c r="K85" s="28">
        <v>0</v>
      </c>
      <c r="L85" s="28">
        <v>0</v>
      </c>
      <c r="M85" s="156">
        <v>3.6376801599889665</v>
      </c>
      <c r="N85" s="151">
        <v>4310</v>
      </c>
      <c r="O85" s="151">
        <v>6740</v>
      </c>
      <c r="P85" s="95">
        <f t="array" ref="P85">ROUND(IF($F85&lt;='TaxCred&amp;Subs'!$C$49,(IF($C85=2,IF($M85&gt;=IFERROR(INDEX('TaxCred&amp;Subs'!$L$12:$L$47,MATCH(1,($C85&amp;$D85='TaxCred&amp;Subs'!$E$12:$E$47)*($F85='TaxCred&amp;Subs'!$C$12:$C$47),0)
),9999),IFERROR(INDEX('TaxCred&amp;Subs'!$N$12:$N$47,MATCH(1,($C85&amp;$D85='TaxCred&amp;Subs'!$E$12:$E$47)*($F85='TaxCred&amp;Subs'!$C$12:$C$47),0)
),0),0),(IF($M85&gt;=IFERROR(INDEX('TaxCred&amp;Subs'!$H$12:$H$47,MATCH(1,($C85&amp;$D85='TaxCred&amp;Subs'!$D$12:$D$47)*($F85='TaxCred&amp;Subs'!$C$12:$C$47),0)
),9999),IFERROR(INDEX('TaxCred&amp;Subs'!$N$12:$N$47,MATCH(1,($C85&amp;$D85='TaxCred&amp;Subs'!$D$12:$D$47)*($F85='TaxCred&amp;Subs'!$C$12:$C$47),0)
),0),0)))),0)+IF(AND($C85=2,VALUE(RIGHT($AD85,1))&gt;2),(N85-R85)*(IFERROR(INDEX('TaxCred&amp;Subs'!$J$66:$J$99,MATCH(1,($C85&amp;$D85='TaxCred&amp;Subs'!$E$66:$E$99)*($F85='TaxCred&amp;Subs'!$C$66:$C$99),0)),0)),IF(AND($C85=1,VALUE(RIGHT($AD85,1))&gt;2),(N85-R85)*(IFERROR(INDEX('TaxCred&amp;Subs'!$J$66:$J$99,MATCH(1,($C85&amp;$D85='TaxCred&amp;Subs'!$D$66:$D$99)*($F85='TaxCred&amp;Subs'!$C$66:$C$99),0)),0)),IF($C85&gt;2,(N85-R85)*(IFERROR(INDEX('TaxCred&amp;Subs'!$J$66:$J$99,MATCH(1,($C85&amp;$D85='TaxCred&amp;Subs'!$D$66:$D$99)*($F85='TaxCred&amp;Subs'!$C$66:$C$99),0)),0)),0))),0)</f>
        <v>1000</v>
      </c>
      <c r="Q85" s="95">
        <f t="array" ref="Q85">ROUND(IF(AND($C85=2,VALUE(RIGHT($AD85,1))&gt;2),(O85-S85)*(IFERROR(INDEX('TaxCred&amp;Subs'!$J$66:$J$99,MATCH(1,($C85&amp;$D85='TaxCred&amp;Subs'!$E$66:$E$99)*($F85='TaxCred&amp;Subs'!$C$66:$C$99),0)),0)),IF(AND($C85=1,VALUE(RIGHT($AD85,1))&gt;2),(O85-S85)*(IFERROR(INDEX('TaxCred&amp;Subs'!$J$66:$J$99,MATCH(1,($C85&amp;$D85='TaxCred&amp;Subs'!$D$66:$D$99)*($F85='TaxCred&amp;Subs'!$C$66:$C$99),0)),0)),IF($C85&gt;2,(O85-S85)*(IFERROR(INDEX('TaxCred&amp;Subs'!$J$66:$J$99,MATCH(1,($C85&amp;$D85='TaxCred&amp;Subs'!$D$66:$D$99)*($F85='TaxCred&amp;Subs'!$C$66:$C$99),0)),0)),0))),0)</f>
        <v>0</v>
      </c>
      <c r="R85" s="95">
        <f t="array" ref="R85">ROUND(IF(IFERROR(VALUE(RIGHT($AD85,1)),0)&gt;2,IF($C85=8,N85*IFERROR(INDEX('TaxCred&amp;Subs'!$K$139:$S$151,MATCH($C85&amp;$D85&amp;LEFT($AD85,7),'TaxCred&amp;Subs'!$E$139:$E$151,0),MATCH($H85,'TaxCred&amp;Subs'!$K$137:$S$137,0)),0),IF($C85=2,N85*IFERROR(INDEX('TaxCred&amp;Subs'!$K$139:$S$151,MATCH($C85&amp;$D85,'TaxCred&amp;Subs'!$D$139:$D$151,0),MATCH($H85,'TaxCred&amp;Subs'!$K$137:$S$137,0)),0),N85*IFERROR(INDEX('TaxCred&amp;Subs'!$K$139:$S$151,MATCH($C85&amp;$D85,'TaxCred&amp;Subs'!$C$139:$C$151,0),MATCH($H85,'TaxCred&amp;Subs'!$K$137:$S$137,0)),0))),0),0)</f>
        <v>199</v>
      </c>
      <c r="S85" s="95">
        <f t="array" ref="S85">ROUND(IF(IFERROR(VALUE(RIGHT($AD85,1)),0)&gt;2,IF($C85=8,O85*IFERROR(INDEX('TaxCred&amp;Subs'!$K$139:$S$151,MATCH($C85&amp;$D85&amp;LEFT($AD85,7),'TaxCred&amp;Subs'!$E$139:$E$151,0),MATCH($H85,'TaxCred&amp;Subs'!$K$137:$S$137,0)),0),IF($C85=2,O85*IFERROR(INDEX('TaxCred&amp;Subs'!$K$139:$S$151,MATCH($C85&amp;$D85,'TaxCred&amp;Subs'!$D$139:$D$151,0),MATCH($H85,'TaxCred&amp;Subs'!$K$137:$S$137,0)),0),O85*IFERROR(INDEX('TaxCred&amp;Subs'!$K$139:$S$151,MATCH($C85&amp;$D85,'TaxCred&amp;Subs'!$C$139:$C$151,0),MATCH($H85,'TaxCred&amp;Subs'!$K$137:$S$137,0)),0))),0),0)</f>
        <v>311</v>
      </c>
      <c r="T85" s="95">
        <f t="shared" si="3"/>
        <v>0</v>
      </c>
      <c r="U85" s="95">
        <f t="shared" si="4"/>
        <v>0</v>
      </c>
      <c r="V85" s="28" t="s">
        <v>222</v>
      </c>
      <c r="W85" s="31">
        <v>2020</v>
      </c>
      <c r="X85" s="28">
        <v>1</v>
      </c>
      <c r="Y85" s="28">
        <v>0</v>
      </c>
      <c r="Z85" s="196">
        <v>-2.0762472774284713E-4</v>
      </c>
      <c r="AA85" s="196">
        <v>-3.1942265806591866E-3</v>
      </c>
      <c r="AB85" s="28">
        <v>0</v>
      </c>
      <c r="AC85" s="28">
        <v>0</v>
      </c>
      <c r="AD85" s="28" t="s">
        <v>198</v>
      </c>
    </row>
    <row r="86" spans="2:30" ht="14.25" customHeight="1" x14ac:dyDescent="0.2">
      <c r="B86" s="7">
        <f t="shared" si="2"/>
        <v>62</v>
      </c>
      <c r="C86" s="28">
        <v>1</v>
      </c>
      <c r="D86" s="28">
        <v>2</v>
      </c>
      <c r="E86" s="28">
        <v>5</v>
      </c>
      <c r="F86" s="78">
        <v>2022</v>
      </c>
      <c r="G86" s="28">
        <v>2032</v>
      </c>
      <c r="H86" s="28">
        <v>9</v>
      </c>
      <c r="I86" s="28">
        <v>5</v>
      </c>
      <c r="J86" s="28">
        <v>0</v>
      </c>
      <c r="K86" s="28">
        <v>0</v>
      </c>
      <c r="L86" s="28">
        <v>0</v>
      </c>
      <c r="M86" s="156">
        <v>3.6376801599889665</v>
      </c>
      <c r="N86" s="151">
        <v>4310</v>
      </c>
      <c r="O86" s="151">
        <v>6740</v>
      </c>
      <c r="P86" s="95">
        <f t="array" ref="P86">ROUND(IF($F86&lt;='TaxCred&amp;Subs'!$C$49,(IF($C86=2,IF($M86&gt;=IFERROR(INDEX('TaxCred&amp;Subs'!$L$12:$L$47,MATCH(1,($C86&amp;$D86='TaxCred&amp;Subs'!$E$12:$E$47)*($F86='TaxCred&amp;Subs'!$C$12:$C$47),0)
),9999),IFERROR(INDEX('TaxCred&amp;Subs'!$N$12:$N$47,MATCH(1,($C86&amp;$D86='TaxCred&amp;Subs'!$E$12:$E$47)*($F86='TaxCred&amp;Subs'!$C$12:$C$47),0)
),0),0),(IF($M86&gt;=IFERROR(INDEX('TaxCred&amp;Subs'!$H$12:$H$47,MATCH(1,($C86&amp;$D86='TaxCred&amp;Subs'!$D$12:$D$47)*($F86='TaxCred&amp;Subs'!$C$12:$C$47),0)
),9999),IFERROR(INDEX('TaxCred&amp;Subs'!$N$12:$N$47,MATCH(1,($C86&amp;$D86='TaxCred&amp;Subs'!$D$12:$D$47)*($F86='TaxCred&amp;Subs'!$C$12:$C$47),0)
),0),0)))),0)+IF(AND($C86=2,VALUE(RIGHT($AD86,1))&gt;2),(N86-R86)*(IFERROR(INDEX('TaxCred&amp;Subs'!$J$66:$J$99,MATCH(1,($C86&amp;$D86='TaxCred&amp;Subs'!$E$66:$E$99)*($F86='TaxCred&amp;Subs'!$C$66:$C$99),0)),0)),IF(AND($C86=1,VALUE(RIGHT($AD86,1))&gt;2),(N86-R86)*(IFERROR(INDEX('TaxCred&amp;Subs'!$J$66:$J$99,MATCH(1,($C86&amp;$D86='TaxCred&amp;Subs'!$D$66:$D$99)*($F86='TaxCred&amp;Subs'!$C$66:$C$99),0)),0)),IF($C86&gt;2,(N86-R86)*(IFERROR(INDEX('TaxCred&amp;Subs'!$J$66:$J$99,MATCH(1,($C86&amp;$D86='TaxCred&amp;Subs'!$D$66:$D$99)*($F86='TaxCred&amp;Subs'!$C$66:$C$99),0)),0)),0))),0)</f>
        <v>1000</v>
      </c>
      <c r="Q86" s="95">
        <f t="array" ref="Q86">ROUND(IF(AND($C86=2,VALUE(RIGHT($AD86,1))&gt;2),(O86-S86)*(IFERROR(INDEX('TaxCred&amp;Subs'!$J$66:$J$99,MATCH(1,($C86&amp;$D86='TaxCred&amp;Subs'!$E$66:$E$99)*($F86='TaxCred&amp;Subs'!$C$66:$C$99),0)),0)),IF(AND($C86=1,VALUE(RIGHT($AD86,1))&gt;2),(O86-S86)*(IFERROR(INDEX('TaxCred&amp;Subs'!$J$66:$J$99,MATCH(1,($C86&amp;$D86='TaxCred&amp;Subs'!$D$66:$D$99)*($F86='TaxCred&amp;Subs'!$C$66:$C$99),0)),0)),IF($C86&gt;2,(O86-S86)*(IFERROR(INDEX('TaxCred&amp;Subs'!$J$66:$J$99,MATCH(1,($C86&amp;$D86='TaxCred&amp;Subs'!$D$66:$D$99)*($F86='TaxCred&amp;Subs'!$C$66:$C$99),0)),0)),0))),0)</f>
        <v>0</v>
      </c>
      <c r="R86" s="95">
        <f t="array" ref="R86">ROUND(IF(IFERROR(VALUE(RIGHT($AD86,1)),0)&gt;2,IF($C86=8,N86*IFERROR(INDEX('TaxCred&amp;Subs'!$K$139:$S$151,MATCH($C86&amp;$D86&amp;LEFT($AD86,7),'TaxCred&amp;Subs'!$E$139:$E$151,0),MATCH($H86,'TaxCred&amp;Subs'!$K$137:$S$137,0)),0),IF($C86=2,N86*IFERROR(INDEX('TaxCred&amp;Subs'!$K$139:$S$151,MATCH($C86&amp;$D86,'TaxCred&amp;Subs'!$D$139:$D$151,0),MATCH($H86,'TaxCred&amp;Subs'!$K$137:$S$137,0)),0),N86*IFERROR(INDEX('TaxCred&amp;Subs'!$K$139:$S$151,MATCH($C86&amp;$D86,'TaxCred&amp;Subs'!$C$139:$C$151,0),MATCH($H86,'TaxCred&amp;Subs'!$K$137:$S$137,0)),0))),0),0)</f>
        <v>479</v>
      </c>
      <c r="S86" s="95">
        <f t="array" ref="S86">ROUND(IF(IFERROR(VALUE(RIGHT($AD86,1)),0)&gt;2,IF($C86=8,O86*IFERROR(INDEX('TaxCred&amp;Subs'!$K$139:$S$151,MATCH($C86&amp;$D86&amp;LEFT($AD86,7),'TaxCred&amp;Subs'!$E$139:$E$151,0),MATCH($H86,'TaxCred&amp;Subs'!$K$137:$S$137,0)),0),IF($C86=2,O86*IFERROR(INDEX('TaxCred&amp;Subs'!$K$139:$S$151,MATCH($C86&amp;$D86,'TaxCred&amp;Subs'!$D$139:$D$151,0),MATCH($H86,'TaxCred&amp;Subs'!$K$137:$S$137,0)),0),O86*IFERROR(INDEX('TaxCred&amp;Subs'!$K$139:$S$151,MATCH($C86&amp;$D86,'TaxCred&amp;Subs'!$C$139:$C$151,0),MATCH($H86,'TaxCred&amp;Subs'!$K$137:$S$137,0)),0))),0),0)</f>
        <v>748</v>
      </c>
      <c r="T86" s="172">
        <f t="shared" si="3"/>
        <v>496.5</v>
      </c>
      <c r="U86" s="172">
        <f t="shared" si="4"/>
        <v>1011</v>
      </c>
      <c r="V86" s="28" t="s">
        <v>222</v>
      </c>
      <c r="W86" s="31">
        <v>2020</v>
      </c>
      <c r="X86" s="28">
        <v>1</v>
      </c>
      <c r="Y86" s="28">
        <v>0</v>
      </c>
      <c r="Z86" s="196">
        <v>-2.0762472774284713E-4</v>
      </c>
      <c r="AA86" s="196">
        <v>-3.1942265806591866E-3</v>
      </c>
      <c r="AB86" s="28">
        <v>0</v>
      </c>
      <c r="AC86" s="28">
        <v>0</v>
      </c>
      <c r="AD86" s="28" t="s">
        <v>198</v>
      </c>
    </row>
    <row r="87" spans="2:30" ht="14.25" customHeight="1" x14ac:dyDescent="0.2">
      <c r="B87" s="7">
        <f t="shared" si="2"/>
        <v>63</v>
      </c>
      <c r="C87" s="28">
        <v>1</v>
      </c>
      <c r="D87" s="28">
        <v>2</v>
      </c>
      <c r="E87" s="28">
        <v>5</v>
      </c>
      <c r="F87" s="78">
        <v>2033</v>
      </c>
      <c r="G87" s="28">
        <v>2050</v>
      </c>
      <c r="H87" s="28">
        <v>1</v>
      </c>
      <c r="I87" s="28">
        <v>5</v>
      </c>
      <c r="J87" s="28">
        <v>0</v>
      </c>
      <c r="K87" s="28">
        <v>0</v>
      </c>
      <c r="L87" s="28">
        <v>0</v>
      </c>
      <c r="M87" s="156">
        <v>3.6376801599889665</v>
      </c>
      <c r="N87" s="151">
        <v>4310</v>
      </c>
      <c r="O87" s="151">
        <v>6740</v>
      </c>
      <c r="P87" s="95">
        <f t="array" ref="P87">ROUND(IF($F87&lt;='TaxCred&amp;Subs'!$C$49,(IF($C87=2,IF($M87&gt;=IFERROR(INDEX('TaxCred&amp;Subs'!$L$12:$L$47,MATCH(1,($C87&amp;$D87='TaxCred&amp;Subs'!$E$12:$E$47)*($F87='TaxCred&amp;Subs'!$C$12:$C$47),0)
),9999),IFERROR(INDEX('TaxCred&amp;Subs'!$N$12:$N$47,MATCH(1,($C87&amp;$D87='TaxCred&amp;Subs'!$E$12:$E$47)*($F87='TaxCred&amp;Subs'!$C$12:$C$47),0)
),0),0),(IF($M87&gt;=IFERROR(INDEX('TaxCred&amp;Subs'!$H$12:$H$47,MATCH(1,($C87&amp;$D87='TaxCred&amp;Subs'!$D$12:$D$47)*($F87='TaxCred&amp;Subs'!$C$12:$C$47),0)
),9999),IFERROR(INDEX('TaxCred&amp;Subs'!$N$12:$N$47,MATCH(1,($C87&amp;$D87='TaxCred&amp;Subs'!$D$12:$D$47)*($F87='TaxCred&amp;Subs'!$C$12:$C$47),0)
),0),0)))),0)+IF(AND($C87=2,VALUE(RIGHT($AD87,1))&gt;2),(N87-R87)*(IFERROR(INDEX('TaxCred&amp;Subs'!$J$66:$J$99,MATCH(1,($C87&amp;$D87='TaxCred&amp;Subs'!$E$66:$E$99)*($F87='TaxCred&amp;Subs'!$C$66:$C$99),0)),0)),IF(AND($C87=1,VALUE(RIGHT($AD87,1))&gt;2),(N87-R87)*(IFERROR(INDEX('TaxCred&amp;Subs'!$J$66:$J$99,MATCH(1,($C87&amp;$D87='TaxCred&amp;Subs'!$D$66:$D$99)*($F87='TaxCred&amp;Subs'!$C$66:$C$99),0)),0)),IF($C87&gt;2,(N87-R87)*(IFERROR(INDEX('TaxCred&amp;Subs'!$J$66:$J$99,MATCH(1,($C87&amp;$D87='TaxCred&amp;Subs'!$D$66:$D$99)*($F87='TaxCred&amp;Subs'!$C$66:$C$99),0)),0)),0))),0)</f>
        <v>0</v>
      </c>
      <c r="Q87" s="95">
        <f t="array" ref="Q87">ROUND(IF(AND($C87=2,VALUE(RIGHT($AD87,1))&gt;2),(O87-S87)*(IFERROR(INDEX('TaxCred&amp;Subs'!$J$66:$J$99,MATCH(1,($C87&amp;$D87='TaxCred&amp;Subs'!$E$66:$E$99)*($F87='TaxCred&amp;Subs'!$C$66:$C$99),0)),0)),IF(AND($C87=1,VALUE(RIGHT($AD87,1))&gt;2),(O87-S87)*(IFERROR(INDEX('TaxCred&amp;Subs'!$J$66:$J$99,MATCH(1,($C87&amp;$D87='TaxCred&amp;Subs'!$D$66:$D$99)*($F87='TaxCred&amp;Subs'!$C$66:$C$99),0)),0)),IF($C87&gt;2,(O87-S87)*(IFERROR(INDEX('TaxCred&amp;Subs'!$J$66:$J$99,MATCH(1,($C87&amp;$D87='TaxCred&amp;Subs'!$D$66:$D$99)*($F87='TaxCred&amp;Subs'!$C$66:$C$99),0)),0)),0))),0)</f>
        <v>0</v>
      </c>
      <c r="R87" s="95">
        <f t="array" ref="R87">ROUND(IF(IFERROR(VALUE(RIGHT($AD87,1)),0)&gt;2,IF($C87=8,N87*IFERROR(INDEX('TaxCred&amp;Subs'!$K$139:$S$151,MATCH($C87&amp;$D87&amp;LEFT($AD87,7),'TaxCred&amp;Subs'!$E$139:$E$151,0),MATCH($H87,'TaxCred&amp;Subs'!$K$137:$S$137,0)),0),IF($C87=2,N87*IFERROR(INDEX('TaxCred&amp;Subs'!$K$139:$S$151,MATCH($C87&amp;$D87,'TaxCred&amp;Subs'!$D$139:$D$151,0),MATCH($H87,'TaxCred&amp;Subs'!$K$137:$S$137,0)),0),N87*IFERROR(INDEX('TaxCred&amp;Subs'!$K$139:$S$151,MATCH($C87&amp;$D87,'TaxCred&amp;Subs'!$C$139:$C$151,0),MATCH($H87,'TaxCred&amp;Subs'!$K$137:$S$137,0)),0))),0),0)</f>
        <v>622</v>
      </c>
      <c r="S87" s="95">
        <f t="array" ref="S87">ROUND(IF(IFERROR(VALUE(RIGHT($AD87,1)),0)&gt;2,IF($C87=8,O87*IFERROR(INDEX('TaxCred&amp;Subs'!$K$139:$S$151,MATCH($C87&amp;$D87&amp;LEFT($AD87,7),'TaxCred&amp;Subs'!$E$139:$E$151,0),MATCH($H87,'TaxCred&amp;Subs'!$K$137:$S$137,0)),0),IF($C87=2,O87*IFERROR(INDEX('TaxCred&amp;Subs'!$K$139:$S$151,MATCH($C87&amp;$D87,'TaxCred&amp;Subs'!$D$139:$D$151,0),MATCH($H87,'TaxCred&amp;Subs'!$K$137:$S$137,0)),0),O87*IFERROR(INDEX('TaxCred&amp;Subs'!$K$139:$S$151,MATCH($C87&amp;$D87,'TaxCred&amp;Subs'!$C$139:$C$151,0),MATCH($H87,'TaxCred&amp;Subs'!$K$137:$S$137,0)),0))),0),0)</f>
        <v>973</v>
      </c>
      <c r="T87" s="95">
        <f t="shared" si="3"/>
        <v>0</v>
      </c>
      <c r="U87" s="95">
        <f t="shared" si="4"/>
        <v>0</v>
      </c>
      <c r="V87" s="28" t="s">
        <v>222</v>
      </c>
      <c r="W87" s="31">
        <v>2020</v>
      </c>
      <c r="X87" s="28">
        <v>1</v>
      </c>
      <c r="Y87" s="28">
        <v>0</v>
      </c>
      <c r="Z87" s="196">
        <v>-2.0762472774284713E-4</v>
      </c>
      <c r="AA87" s="196">
        <v>-3.1942265806591866E-3</v>
      </c>
      <c r="AB87" s="28">
        <v>0</v>
      </c>
      <c r="AC87" s="28">
        <v>0</v>
      </c>
      <c r="AD87" s="28" t="s">
        <v>198</v>
      </c>
    </row>
    <row r="88" spans="2:30" ht="14.25" customHeight="1" x14ac:dyDescent="0.2">
      <c r="B88" s="7">
        <f t="shared" si="2"/>
        <v>64</v>
      </c>
      <c r="C88" s="28">
        <v>1</v>
      </c>
      <c r="D88" s="28">
        <v>2</v>
      </c>
      <c r="E88" s="28">
        <v>5</v>
      </c>
      <c r="F88" s="78">
        <v>2033</v>
      </c>
      <c r="G88" s="28">
        <v>2050</v>
      </c>
      <c r="H88" s="28">
        <v>2</v>
      </c>
      <c r="I88" s="28">
        <v>5</v>
      </c>
      <c r="J88" s="28">
        <v>0</v>
      </c>
      <c r="K88" s="28">
        <v>0</v>
      </c>
      <c r="L88" s="28">
        <v>0</v>
      </c>
      <c r="M88" s="156">
        <v>3.6376801599889665</v>
      </c>
      <c r="N88" s="151">
        <v>4310</v>
      </c>
      <c r="O88" s="151">
        <v>6740</v>
      </c>
      <c r="P88" s="95">
        <f t="array" ref="P88">ROUND(IF($F88&lt;='TaxCred&amp;Subs'!$C$49,(IF($C88=2,IF($M88&gt;=IFERROR(INDEX('TaxCred&amp;Subs'!$L$12:$L$47,MATCH(1,($C88&amp;$D88='TaxCred&amp;Subs'!$E$12:$E$47)*($F88='TaxCred&amp;Subs'!$C$12:$C$47),0)
),9999),IFERROR(INDEX('TaxCred&amp;Subs'!$N$12:$N$47,MATCH(1,($C88&amp;$D88='TaxCred&amp;Subs'!$E$12:$E$47)*($F88='TaxCred&amp;Subs'!$C$12:$C$47),0)
),0),0),(IF($M88&gt;=IFERROR(INDEX('TaxCred&amp;Subs'!$H$12:$H$47,MATCH(1,($C88&amp;$D88='TaxCred&amp;Subs'!$D$12:$D$47)*($F88='TaxCred&amp;Subs'!$C$12:$C$47),0)
),9999),IFERROR(INDEX('TaxCred&amp;Subs'!$N$12:$N$47,MATCH(1,($C88&amp;$D88='TaxCred&amp;Subs'!$D$12:$D$47)*($F88='TaxCred&amp;Subs'!$C$12:$C$47),0)
),0),0)))),0)+IF(AND($C88=2,VALUE(RIGHT($AD88,1))&gt;2),(N88-R88)*(IFERROR(INDEX('TaxCred&amp;Subs'!$J$66:$J$99,MATCH(1,($C88&amp;$D88='TaxCred&amp;Subs'!$E$66:$E$99)*($F88='TaxCred&amp;Subs'!$C$66:$C$99),0)),0)),IF(AND($C88=1,VALUE(RIGHT($AD88,1))&gt;2),(N88-R88)*(IFERROR(INDEX('TaxCred&amp;Subs'!$J$66:$J$99,MATCH(1,($C88&amp;$D88='TaxCred&amp;Subs'!$D$66:$D$99)*($F88='TaxCred&amp;Subs'!$C$66:$C$99),0)),0)),IF($C88&gt;2,(N88-R88)*(IFERROR(INDEX('TaxCred&amp;Subs'!$J$66:$J$99,MATCH(1,($C88&amp;$D88='TaxCred&amp;Subs'!$D$66:$D$99)*($F88='TaxCred&amp;Subs'!$C$66:$C$99),0)),0)),0))),0)</f>
        <v>0</v>
      </c>
      <c r="Q88" s="95">
        <f t="array" ref="Q88">ROUND(IF(AND($C88=2,VALUE(RIGHT($AD88,1))&gt;2),(O88-S88)*(IFERROR(INDEX('TaxCred&amp;Subs'!$J$66:$J$99,MATCH(1,($C88&amp;$D88='TaxCred&amp;Subs'!$E$66:$E$99)*($F88='TaxCred&amp;Subs'!$C$66:$C$99),0)),0)),IF(AND($C88=1,VALUE(RIGHT($AD88,1))&gt;2),(O88-S88)*(IFERROR(INDEX('TaxCred&amp;Subs'!$J$66:$J$99,MATCH(1,($C88&amp;$D88='TaxCred&amp;Subs'!$D$66:$D$99)*($F88='TaxCred&amp;Subs'!$C$66:$C$99),0)),0)),IF($C88&gt;2,(O88-S88)*(IFERROR(INDEX('TaxCred&amp;Subs'!$J$66:$J$99,MATCH(1,($C88&amp;$D88='TaxCred&amp;Subs'!$D$66:$D$99)*($F88='TaxCred&amp;Subs'!$C$66:$C$99),0)),0)),0))),0)</f>
        <v>0</v>
      </c>
      <c r="R88" s="95">
        <f t="array" ref="R88">ROUND(IF(IFERROR(VALUE(RIGHT($AD88,1)),0)&gt;2,IF($C88=8,N88*IFERROR(INDEX('TaxCred&amp;Subs'!$K$139:$S$151,MATCH($C88&amp;$D88&amp;LEFT($AD88,7),'TaxCred&amp;Subs'!$E$139:$E$151,0),MATCH($H88,'TaxCred&amp;Subs'!$K$137:$S$137,0)),0),IF($C88=2,N88*IFERROR(INDEX('TaxCred&amp;Subs'!$K$139:$S$151,MATCH($C88&amp;$D88,'TaxCred&amp;Subs'!$D$139:$D$151,0),MATCH($H88,'TaxCred&amp;Subs'!$K$137:$S$137,0)),0),N88*IFERROR(INDEX('TaxCred&amp;Subs'!$K$139:$S$151,MATCH($C88&amp;$D88,'TaxCred&amp;Subs'!$C$139:$C$151,0),MATCH($H88,'TaxCred&amp;Subs'!$K$137:$S$137,0)),0))),0),0)</f>
        <v>225</v>
      </c>
      <c r="S88" s="95">
        <f t="array" ref="S88">ROUND(IF(IFERROR(VALUE(RIGHT($AD88,1)),0)&gt;2,IF($C88=8,O88*IFERROR(INDEX('TaxCred&amp;Subs'!$K$139:$S$151,MATCH($C88&amp;$D88&amp;LEFT($AD88,7),'TaxCred&amp;Subs'!$E$139:$E$151,0),MATCH($H88,'TaxCred&amp;Subs'!$K$137:$S$137,0)),0),IF($C88=2,O88*IFERROR(INDEX('TaxCred&amp;Subs'!$K$139:$S$151,MATCH($C88&amp;$D88,'TaxCred&amp;Subs'!$D$139:$D$151,0),MATCH($H88,'TaxCred&amp;Subs'!$K$137:$S$137,0)),0),O88*IFERROR(INDEX('TaxCred&amp;Subs'!$K$139:$S$151,MATCH($C88&amp;$D88,'TaxCred&amp;Subs'!$C$139:$C$151,0),MATCH($H88,'TaxCred&amp;Subs'!$K$137:$S$137,0)),0))),0),0)</f>
        <v>353</v>
      </c>
      <c r="T88" s="95">
        <f t="shared" si="3"/>
        <v>0</v>
      </c>
      <c r="U88" s="95">
        <f t="shared" si="4"/>
        <v>0</v>
      </c>
      <c r="V88" s="28" t="s">
        <v>222</v>
      </c>
      <c r="W88" s="31">
        <v>2020</v>
      </c>
      <c r="X88" s="28">
        <v>1</v>
      </c>
      <c r="Y88" s="28">
        <v>0</v>
      </c>
      <c r="Z88" s="196">
        <v>-2.0762472774284713E-4</v>
      </c>
      <c r="AA88" s="196">
        <v>-3.1942265806591866E-3</v>
      </c>
      <c r="AB88" s="28">
        <v>0</v>
      </c>
      <c r="AC88" s="28">
        <v>0</v>
      </c>
      <c r="AD88" s="28" t="s">
        <v>198</v>
      </c>
    </row>
    <row r="89" spans="2:30" ht="14.25" customHeight="1" x14ac:dyDescent="0.2">
      <c r="B89" s="7">
        <f t="shared" si="2"/>
        <v>65</v>
      </c>
      <c r="C89" s="28">
        <v>1</v>
      </c>
      <c r="D89" s="28">
        <v>2</v>
      </c>
      <c r="E89" s="28">
        <v>5</v>
      </c>
      <c r="F89" s="78">
        <v>2033</v>
      </c>
      <c r="G89" s="28">
        <v>2050</v>
      </c>
      <c r="H89" s="28">
        <v>3</v>
      </c>
      <c r="I89" s="28">
        <v>5</v>
      </c>
      <c r="J89" s="28">
        <v>0</v>
      </c>
      <c r="K89" s="28">
        <v>0</v>
      </c>
      <c r="L89" s="28">
        <v>0</v>
      </c>
      <c r="M89" s="156">
        <v>3.6376801599889665</v>
      </c>
      <c r="N89" s="151">
        <v>4310</v>
      </c>
      <c r="O89" s="151">
        <v>6740</v>
      </c>
      <c r="P89" s="95">
        <f t="array" ref="P89">ROUND(IF($F89&lt;='TaxCred&amp;Subs'!$C$49,(IF($C89=2,IF($M89&gt;=IFERROR(INDEX('TaxCred&amp;Subs'!$L$12:$L$47,MATCH(1,($C89&amp;$D89='TaxCred&amp;Subs'!$E$12:$E$47)*($F89='TaxCred&amp;Subs'!$C$12:$C$47),0)
),9999),IFERROR(INDEX('TaxCred&amp;Subs'!$N$12:$N$47,MATCH(1,($C89&amp;$D89='TaxCred&amp;Subs'!$E$12:$E$47)*($F89='TaxCred&amp;Subs'!$C$12:$C$47),0)
),0),0),(IF($M89&gt;=IFERROR(INDEX('TaxCred&amp;Subs'!$H$12:$H$47,MATCH(1,($C89&amp;$D89='TaxCred&amp;Subs'!$D$12:$D$47)*($F89='TaxCred&amp;Subs'!$C$12:$C$47),0)
),9999),IFERROR(INDEX('TaxCred&amp;Subs'!$N$12:$N$47,MATCH(1,($C89&amp;$D89='TaxCred&amp;Subs'!$D$12:$D$47)*($F89='TaxCred&amp;Subs'!$C$12:$C$47),0)
),0),0)))),0)+IF(AND($C89=2,VALUE(RIGHT($AD89,1))&gt;2),(N89-R89)*(IFERROR(INDEX('TaxCred&amp;Subs'!$J$66:$J$99,MATCH(1,($C89&amp;$D89='TaxCred&amp;Subs'!$E$66:$E$99)*($F89='TaxCred&amp;Subs'!$C$66:$C$99),0)),0)),IF(AND($C89=1,VALUE(RIGHT($AD89,1))&gt;2),(N89-R89)*(IFERROR(INDEX('TaxCred&amp;Subs'!$J$66:$J$99,MATCH(1,($C89&amp;$D89='TaxCred&amp;Subs'!$D$66:$D$99)*($F89='TaxCred&amp;Subs'!$C$66:$C$99),0)),0)),IF($C89&gt;2,(N89-R89)*(IFERROR(INDEX('TaxCred&amp;Subs'!$J$66:$J$99,MATCH(1,($C89&amp;$D89='TaxCred&amp;Subs'!$D$66:$D$99)*($F89='TaxCred&amp;Subs'!$C$66:$C$99),0)),0)),0))),0)</f>
        <v>0</v>
      </c>
      <c r="Q89" s="95">
        <f t="array" ref="Q89">ROUND(IF(AND($C89=2,VALUE(RIGHT($AD89,1))&gt;2),(O89-S89)*(IFERROR(INDEX('TaxCred&amp;Subs'!$J$66:$J$99,MATCH(1,($C89&amp;$D89='TaxCred&amp;Subs'!$E$66:$E$99)*($F89='TaxCred&amp;Subs'!$C$66:$C$99),0)),0)),IF(AND($C89=1,VALUE(RIGHT($AD89,1))&gt;2),(O89-S89)*(IFERROR(INDEX('TaxCred&amp;Subs'!$J$66:$J$99,MATCH(1,($C89&amp;$D89='TaxCred&amp;Subs'!$D$66:$D$99)*($F89='TaxCred&amp;Subs'!$C$66:$C$99),0)),0)),IF($C89&gt;2,(O89-S89)*(IFERROR(INDEX('TaxCred&amp;Subs'!$J$66:$J$99,MATCH(1,($C89&amp;$D89='TaxCred&amp;Subs'!$D$66:$D$99)*($F89='TaxCred&amp;Subs'!$C$66:$C$99),0)),0)),0))),0)</f>
        <v>0</v>
      </c>
      <c r="R89" s="95">
        <f t="array" ref="R89">ROUND(IF(IFERROR(VALUE(RIGHT($AD89,1)),0)&gt;2,IF($C89=8,N89*IFERROR(INDEX('TaxCred&amp;Subs'!$K$139:$S$151,MATCH($C89&amp;$D89&amp;LEFT($AD89,7),'TaxCred&amp;Subs'!$E$139:$E$151,0),MATCH($H89,'TaxCred&amp;Subs'!$K$137:$S$137,0)),0),IF($C89=2,N89*IFERROR(INDEX('TaxCred&amp;Subs'!$K$139:$S$151,MATCH($C89&amp;$D89,'TaxCred&amp;Subs'!$D$139:$D$151,0),MATCH($H89,'TaxCred&amp;Subs'!$K$137:$S$137,0)),0),N89*IFERROR(INDEX('TaxCred&amp;Subs'!$K$139:$S$151,MATCH($C89&amp;$D89,'TaxCred&amp;Subs'!$C$139:$C$151,0),MATCH($H89,'TaxCred&amp;Subs'!$K$137:$S$137,0)),0))),0),0)</f>
        <v>341</v>
      </c>
      <c r="S89" s="95">
        <f t="array" ref="S89">ROUND(IF(IFERROR(VALUE(RIGHT($AD89,1)),0)&gt;2,IF($C89=8,O89*IFERROR(INDEX('TaxCred&amp;Subs'!$K$139:$S$151,MATCH($C89&amp;$D89&amp;LEFT($AD89,7),'TaxCred&amp;Subs'!$E$139:$E$151,0),MATCH($H89,'TaxCred&amp;Subs'!$K$137:$S$137,0)),0),IF($C89=2,O89*IFERROR(INDEX('TaxCred&amp;Subs'!$K$139:$S$151,MATCH($C89&amp;$D89,'TaxCred&amp;Subs'!$D$139:$D$151,0),MATCH($H89,'TaxCred&amp;Subs'!$K$137:$S$137,0)),0),O89*IFERROR(INDEX('TaxCred&amp;Subs'!$K$139:$S$151,MATCH($C89&amp;$D89,'TaxCred&amp;Subs'!$C$139:$C$151,0),MATCH($H89,'TaxCred&amp;Subs'!$K$137:$S$137,0)),0))),0),0)</f>
        <v>533</v>
      </c>
      <c r="T89" s="95">
        <f t="shared" si="3"/>
        <v>0</v>
      </c>
      <c r="U89" s="95">
        <f t="shared" si="4"/>
        <v>0</v>
      </c>
      <c r="V89" s="28" t="s">
        <v>222</v>
      </c>
      <c r="W89" s="31">
        <v>2020</v>
      </c>
      <c r="X89" s="28">
        <v>1</v>
      </c>
      <c r="Y89" s="28">
        <v>0</v>
      </c>
      <c r="Z89" s="196">
        <v>-2.0762472774284713E-4</v>
      </c>
      <c r="AA89" s="196">
        <v>-3.1942265806591866E-3</v>
      </c>
      <c r="AB89" s="28">
        <v>0</v>
      </c>
      <c r="AC89" s="28">
        <v>0</v>
      </c>
      <c r="AD89" s="28" t="s">
        <v>198</v>
      </c>
    </row>
    <row r="90" spans="2:30" ht="14.25" customHeight="1" x14ac:dyDescent="0.2">
      <c r="B90" s="7">
        <f t="shared" si="2"/>
        <v>66</v>
      </c>
      <c r="C90" s="28">
        <v>1</v>
      </c>
      <c r="D90" s="28">
        <v>2</v>
      </c>
      <c r="E90" s="28">
        <v>5</v>
      </c>
      <c r="F90" s="78">
        <v>2033</v>
      </c>
      <c r="G90" s="28">
        <v>2050</v>
      </c>
      <c r="H90" s="28">
        <v>4</v>
      </c>
      <c r="I90" s="28">
        <v>5</v>
      </c>
      <c r="J90" s="28">
        <v>0</v>
      </c>
      <c r="K90" s="28">
        <v>0</v>
      </c>
      <c r="L90" s="28">
        <v>0</v>
      </c>
      <c r="M90" s="156">
        <v>3.6376801599889665</v>
      </c>
      <c r="N90" s="151">
        <v>4310</v>
      </c>
      <c r="O90" s="151">
        <v>6740</v>
      </c>
      <c r="P90" s="95">
        <f t="array" ref="P90">ROUND(IF($F90&lt;='TaxCred&amp;Subs'!$C$49,(IF($C90=2,IF($M90&gt;=IFERROR(INDEX('TaxCred&amp;Subs'!$L$12:$L$47,MATCH(1,($C90&amp;$D90='TaxCred&amp;Subs'!$E$12:$E$47)*($F90='TaxCred&amp;Subs'!$C$12:$C$47),0)
),9999),IFERROR(INDEX('TaxCred&amp;Subs'!$N$12:$N$47,MATCH(1,($C90&amp;$D90='TaxCred&amp;Subs'!$E$12:$E$47)*($F90='TaxCred&amp;Subs'!$C$12:$C$47),0)
),0),0),(IF($M90&gt;=IFERROR(INDEX('TaxCred&amp;Subs'!$H$12:$H$47,MATCH(1,($C90&amp;$D90='TaxCred&amp;Subs'!$D$12:$D$47)*($F90='TaxCred&amp;Subs'!$C$12:$C$47),0)
),9999),IFERROR(INDEX('TaxCred&amp;Subs'!$N$12:$N$47,MATCH(1,($C90&amp;$D90='TaxCred&amp;Subs'!$D$12:$D$47)*($F90='TaxCred&amp;Subs'!$C$12:$C$47),0)
),0),0)))),0)+IF(AND($C90=2,VALUE(RIGHT($AD90,1))&gt;2),(N90-R90)*(IFERROR(INDEX('TaxCred&amp;Subs'!$J$66:$J$99,MATCH(1,($C90&amp;$D90='TaxCred&amp;Subs'!$E$66:$E$99)*($F90='TaxCred&amp;Subs'!$C$66:$C$99),0)),0)),IF(AND($C90=1,VALUE(RIGHT($AD90,1))&gt;2),(N90-R90)*(IFERROR(INDEX('TaxCred&amp;Subs'!$J$66:$J$99,MATCH(1,($C90&amp;$D90='TaxCred&amp;Subs'!$D$66:$D$99)*($F90='TaxCred&amp;Subs'!$C$66:$C$99),0)),0)),IF($C90&gt;2,(N90-R90)*(IFERROR(INDEX('TaxCred&amp;Subs'!$J$66:$J$99,MATCH(1,($C90&amp;$D90='TaxCred&amp;Subs'!$D$66:$D$99)*($F90='TaxCred&amp;Subs'!$C$66:$C$99),0)),0)),0))),0)</f>
        <v>0</v>
      </c>
      <c r="Q90" s="95">
        <f t="array" ref="Q90">ROUND(IF(AND($C90=2,VALUE(RIGHT($AD90,1))&gt;2),(O90-S90)*(IFERROR(INDEX('TaxCred&amp;Subs'!$J$66:$J$99,MATCH(1,($C90&amp;$D90='TaxCred&amp;Subs'!$E$66:$E$99)*($F90='TaxCred&amp;Subs'!$C$66:$C$99),0)),0)),IF(AND($C90=1,VALUE(RIGHT($AD90,1))&gt;2),(O90-S90)*(IFERROR(INDEX('TaxCred&amp;Subs'!$J$66:$J$99,MATCH(1,($C90&amp;$D90='TaxCred&amp;Subs'!$D$66:$D$99)*($F90='TaxCred&amp;Subs'!$C$66:$C$99),0)),0)),IF($C90&gt;2,(O90-S90)*(IFERROR(INDEX('TaxCred&amp;Subs'!$J$66:$J$99,MATCH(1,($C90&amp;$D90='TaxCred&amp;Subs'!$D$66:$D$99)*($F90='TaxCred&amp;Subs'!$C$66:$C$99),0)),0)),0))),0)</f>
        <v>0</v>
      </c>
      <c r="R90" s="95">
        <f t="array" ref="R90">ROUND(IF(IFERROR(VALUE(RIGHT($AD90,1)),0)&gt;2,IF($C90=8,N90*IFERROR(INDEX('TaxCred&amp;Subs'!$K$139:$S$151,MATCH($C90&amp;$D90&amp;LEFT($AD90,7),'TaxCred&amp;Subs'!$E$139:$E$151,0),MATCH($H90,'TaxCred&amp;Subs'!$K$137:$S$137,0)),0),IF($C90=2,N90*IFERROR(INDEX('TaxCred&amp;Subs'!$K$139:$S$151,MATCH($C90&amp;$D90,'TaxCred&amp;Subs'!$D$139:$D$151,0),MATCH($H90,'TaxCred&amp;Subs'!$K$137:$S$137,0)),0),N90*IFERROR(INDEX('TaxCred&amp;Subs'!$K$139:$S$151,MATCH($C90&amp;$D90,'TaxCred&amp;Subs'!$C$139:$C$151,0),MATCH($H90,'TaxCred&amp;Subs'!$K$137:$S$137,0)),0))),0),0)</f>
        <v>208</v>
      </c>
      <c r="S90" s="95">
        <f t="array" ref="S90">ROUND(IF(IFERROR(VALUE(RIGHT($AD90,1)),0)&gt;2,IF($C90=8,O90*IFERROR(INDEX('TaxCred&amp;Subs'!$K$139:$S$151,MATCH($C90&amp;$D90&amp;LEFT($AD90,7),'TaxCred&amp;Subs'!$E$139:$E$151,0),MATCH($H90,'TaxCred&amp;Subs'!$K$137:$S$137,0)),0),IF($C90=2,O90*IFERROR(INDEX('TaxCred&amp;Subs'!$K$139:$S$151,MATCH($C90&amp;$D90,'TaxCred&amp;Subs'!$D$139:$D$151,0),MATCH($H90,'TaxCred&amp;Subs'!$K$137:$S$137,0)),0),O90*IFERROR(INDEX('TaxCred&amp;Subs'!$K$139:$S$151,MATCH($C90&amp;$D90,'TaxCred&amp;Subs'!$C$139:$C$151,0),MATCH($H90,'TaxCred&amp;Subs'!$K$137:$S$137,0)),0))),0),0)</f>
        <v>325</v>
      </c>
      <c r="T90" s="95">
        <f t="shared" si="3"/>
        <v>0</v>
      </c>
      <c r="U90" s="95">
        <f t="shared" si="4"/>
        <v>0</v>
      </c>
      <c r="V90" s="28" t="s">
        <v>222</v>
      </c>
      <c r="W90" s="31">
        <v>2020</v>
      </c>
      <c r="X90" s="28">
        <v>1</v>
      </c>
      <c r="Y90" s="28">
        <v>0</v>
      </c>
      <c r="Z90" s="196">
        <v>-2.0762472774284713E-4</v>
      </c>
      <c r="AA90" s="196">
        <v>-3.1942265806591866E-3</v>
      </c>
      <c r="AB90" s="28">
        <v>0</v>
      </c>
      <c r="AC90" s="28">
        <v>0</v>
      </c>
      <c r="AD90" s="28" t="s">
        <v>198</v>
      </c>
    </row>
    <row r="91" spans="2:30" ht="14.25" customHeight="1" x14ac:dyDescent="0.2">
      <c r="B91" s="7">
        <f t="shared" ref="B91:B154" si="5">B90+1</f>
        <v>67</v>
      </c>
      <c r="C91" s="28">
        <v>1</v>
      </c>
      <c r="D91" s="28">
        <v>2</v>
      </c>
      <c r="E91" s="28">
        <v>5</v>
      </c>
      <c r="F91" s="78">
        <v>2033</v>
      </c>
      <c r="G91" s="28">
        <v>2050</v>
      </c>
      <c r="H91" s="28">
        <v>5</v>
      </c>
      <c r="I91" s="28">
        <v>5</v>
      </c>
      <c r="J91" s="28">
        <v>0</v>
      </c>
      <c r="K91" s="28">
        <v>0</v>
      </c>
      <c r="L91" s="28">
        <v>0</v>
      </c>
      <c r="M91" s="156">
        <v>3.6376801599889665</v>
      </c>
      <c r="N91" s="151">
        <v>4310</v>
      </c>
      <c r="O91" s="151">
        <v>6740</v>
      </c>
      <c r="P91" s="95">
        <f t="array" ref="P91">ROUND(IF($F91&lt;='TaxCred&amp;Subs'!$C$49,(IF($C91=2,IF($M91&gt;=IFERROR(INDEX('TaxCred&amp;Subs'!$L$12:$L$47,MATCH(1,($C91&amp;$D91='TaxCred&amp;Subs'!$E$12:$E$47)*($F91='TaxCred&amp;Subs'!$C$12:$C$47),0)
),9999),IFERROR(INDEX('TaxCred&amp;Subs'!$N$12:$N$47,MATCH(1,($C91&amp;$D91='TaxCred&amp;Subs'!$E$12:$E$47)*($F91='TaxCred&amp;Subs'!$C$12:$C$47),0)
),0),0),(IF($M91&gt;=IFERROR(INDEX('TaxCred&amp;Subs'!$H$12:$H$47,MATCH(1,($C91&amp;$D91='TaxCred&amp;Subs'!$D$12:$D$47)*($F91='TaxCred&amp;Subs'!$C$12:$C$47),0)
),9999),IFERROR(INDEX('TaxCred&amp;Subs'!$N$12:$N$47,MATCH(1,($C91&amp;$D91='TaxCred&amp;Subs'!$D$12:$D$47)*($F91='TaxCred&amp;Subs'!$C$12:$C$47),0)
),0),0)))),0)+IF(AND($C91=2,VALUE(RIGHT($AD91,1))&gt;2),(N91-R91)*(IFERROR(INDEX('TaxCred&amp;Subs'!$J$66:$J$99,MATCH(1,($C91&amp;$D91='TaxCred&amp;Subs'!$E$66:$E$99)*($F91='TaxCred&amp;Subs'!$C$66:$C$99),0)),0)),IF(AND($C91=1,VALUE(RIGHT($AD91,1))&gt;2),(N91-R91)*(IFERROR(INDEX('TaxCred&amp;Subs'!$J$66:$J$99,MATCH(1,($C91&amp;$D91='TaxCred&amp;Subs'!$D$66:$D$99)*($F91='TaxCred&amp;Subs'!$C$66:$C$99),0)),0)),IF($C91&gt;2,(N91-R91)*(IFERROR(INDEX('TaxCred&amp;Subs'!$J$66:$J$99,MATCH(1,($C91&amp;$D91='TaxCred&amp;Subs'!$D$66:$D$99)*($F91='TaxCred&amp;Subs'!$C$66:$C$99),0)),0)),0))),0)</f>
        <v>0</v>
      </c>
      <c r="Q91" s="95">
        <f t="array" ref="Q91">ROUND(IF(AND($C91=2,VALUE(RIGHT($AD91,1))&gt;2),(O91-S91)*(IFERROR(INDEX('TaxCred&amp;Subs'!$J$66:$J$99,MATCH(1,($C91&amp;$D91='TaxCred&amp;Subs'!$E$66:$E$99)*($F91='TaxCred&amp;Subs'!$C$66:$C$99),0)),0)),IF(AND($C91=1,VALUE(RIGHT($AD91,1))&gt;2),(O91-S91)*(IFERROR(INDEX('TaxCred&amp;Subs'!$J$66:$J$99,MATCH(1,($C91&amp;$D91='TaxCred&amp;Subs'!$D$66:$D$99)*($F91='TaxCred&amp;Subs'!$C$66:$C$99),0)),0)),IF($C91&gt;2,(O91-S91)*(IFERROR(INDEX('TaxCred&amp;Subs'!$J$66:$J$99,MATCH(1,($C91&amp;$D91='TaxCred&amp;Subs'!$D$66:$D$99)*($F91='TaxCred&amp;Subs'!$C$66:$C$99),0)),0)),0))),0)</f>
        <v>0</v>
      </c>
      <c r="R91" s="95">
        <f t="array" ref="R91">ROUND(IF(IFERROR(VALUE(RIGHT($AD91,1)),0)&gt;2,IF($C91=8,N91*IFERROR(INDEX('TaxCred&amp;Subs'!$K$139:$S$151,MATCH($C91&amp;$D91&amp;LEFT($AD91,7),'TaxCred&amp;Subs'!$E$139:$E$151,0),MATCH($H91,'TaxCred&amp;Subs'!$K$137:$S$137,0)),0),IF($C91=2,N91*IFERROR(INDEX('TaxCred&amp;Subs'!$K$139:$S$151,MATCH($C91&amp;$D91,'TaxCred&amp;Subs'!$D$139:$D$151,0),MATCH($H91,'TaxCred&amp;Subs'!$K$137:$S$137,0)),0),N91*IFERROR(INDEX('TaxCred&amp;Subs'!$K$139:$S$151,MATCH($C91&amp;$D91,'TaxCred&amp;Subs'!$C$139:$C$151,0),MATCH($H91,'TaxCred&amp;Subs'!$K$137:$S$137,0)),0))),0),0)</f>
        <v>94</v>
      </c>
      <c r="S91" s="95">
        <f t="array" ref="S91">ROUND(IF(IFERROR(VALUE(RIGHT($AD91,1)),0)&gt;2,IF($C91=8,O91*IFERROR(INDEX('TaxCred&amp;Subs'!$K$139:$S$151,MATCH($C91&amp;$D91&amp;LEFT($AD91,7),'TaxCred&amp;Subs'!$E$139:$E$151,0),MATCH($H91,'TaxCred&amp;Subs'!$K$137:$S$137,0)),0),IF($C91=2,O91*IFERROR(INDEX('TaxCred&amp;Subs'!$K$139:$S$151,MATCH($C91&amp;$D91,'TaxCred&amp;Subs'!$D$139:$D$151,0),MATCH($H91,'TaxCred&amp;Subs'!$K$137:$S$137,0)),0),O91*IFERROR(INDEX('TaxCred&amp;Subs'!$K$139:$S$151,MATCH($C91&amp;$D91,'TaxCred&amp;Subs'!$C$139:$C$151,0),MATCH($H91,'TaxCred&amp;Subs'!$K$137:$S$137,0)),0))),0),0)</f>
        <v>147</v>
      </c>
      <c r="T91" s="95">
        <f t="shared" si="3"/>
        <v>0</v>
      </c>
      <c r="U91" s="95">
        <f t="shared" si="4"/>
        <v>0</v>
      </c>
      <c r="V91" s="28" t="s">
        <v>222</v>
      </c>
      <c r="W91" s="31">
        <v>2020</v>
      </c>
      <c r="X91" s="28">
        <v>1</v>
      </c>
      <c r="Y91" s="28">
        <v>0</v>
      </c>
      <c r="Z91" s="196">
        <v>-2.0762472774284713E-4</v>
      </c>
      <c r="AA91" s="196">
        <v>-3.1942265806591866E-3</v>
      </c>
      <c r="AB91" s="28">
        <v>0</v>
      </c>
      <c r="AC91" s="28">
        <v>0</v>
      </c>
      <c r="AD91" s="28" t="s">
        <v>198</v>
      </c>
    </row>
    <row r="92" spans="2:30" ht="14.25" customHeight="1" x14ac:dyDescent="0.2">
      <c r="B92" s="7">
        <f t="shared" si="5"/>
        <v>68</v>
      </c>
      <c r="C92" s="28">
        <v>1</v>
      </c>
      <c r="D92" s="28">
        <v>2</v>
      </c>
      <c r="E92" s="28">
        <v>5</v>
      </c>
      <c r="F92" s="78">
        <v>2033</v>
      </c>
      <c r="G92" s="28">
        <v>2050</v>
      </c>
      <c r="H92" s="28">
        <v>6</v>
      </c>
      <c r="I92" s="28">
        <v>5</v>
      </c>
      <c r="J92" s="28">
        <v>0</v>
      </c>
      <c r="K92" s="28">
        <v>0</v>
      </c>
      <c r="L92" s="28">
        <v>0</v>
      </c>
      <c r="M92" s="156">
        <v>3.6376801599889665</v>
      </c>
      <c r="N92" s="151">
        <v>4310</v>
      </c>
      <c r="O92" s="151">
        <v>6740</v>
      </c>
      <c r="P92" s="95">
        <f t="array" ref="P92">ROUND(IF($F92&lt;='TaxCred&amp;Subs'!$C$49,(IF($C92=2,IF($M92&gt;=IFERROR(INDEX('TaxCred&amp;Subs'!$L$12:$L$47,MATCH(1,($C92&amp;$D92='TaxCred&amp;Subs'!$E$12:$E$47)*($F92='TaxCred&amp;Subs'!$C$12:$C$47),0)
),9999),IFERROR(INDEX('TaxCred&amp;Subs'!$N$12:$N$47,MATCH(1,($C92&amp;$D92='TaxCred&amp;Subs'!$E$12:$E$47)*($F92='TaxCred&amp;Subs'!$C$12:$C$47),0)
),0),0),(IF($M92&gt;=IFERROR(INDEX('TaxCred&amp;Subs'!$H$12:$H$47,MATCH(1,($C92&amp;$D92='TaxCred&amp;Subs'!$D$12:$D$47)*($F92='TaxCred&amp;Subs'!$C$12:$C$47),0)
),9999),IFERROR(INDEX('TaxCred&amp;Subs'!$N$12:$N$47,MATCH(1,($C92&amp;$D92='TaxCred&amp;Subs'!$D$12:$D$47)*($F92='TaxCred&amp;Subs'!$C$12:$C$47),0)
),0),0)))),0)+IF(AND($C92=2,VALUE(RIGHT($AD92,1))&gt;2),(N92-R92)*(IFERROR(INDEX('TaxCred&amp;Subs'!$J$66:$J$99,MATCH(1,($C92&amp;$D92='TaxCred&amp;Subs'!$E$66:$E$99)*($F92='TaxCred&amp;Subs'!$C$66:$C$99),0)),0)),IF(AND($C92=1,VALUE(RIGHT($AD92,1))&gt;2),(N92-R92)*(IFERROR(INDEX('TaxCred&amp;Subs'!$J$66:$J$99,MATCH(1,($C92&amp;$D92='TaxCred&amp;Subs'!$D$66:$D$99)*($F92='TaxCred&amp;Subs'!$C$66:$C$99),0)),0)),IF($C92&gt;2,(N92-R92)*(IFERROR(INDEX('TaxCred&amp;Subs'!$J$66:$J$99,MATCH(1,($C92&amp;$D92='TaxCred&amp;Subs'!$D$66:$D$99)*($F92='TaxCred&amp;Subs'!$C$66:$C$99),0)),0)),0))),0)</f>
        <v>0</v>
      </c>
      <c r="Q92" s="95">
        <f t="array" ref="Q92">ROUND(IF(AND($C92=2,VALUE(RIGHT($AD92,1))&gt;2),(O92-S92)*(IFERROR(INDEX('TaxCred&amp;Subs'!$J$66:$J$99,MATCH(1,($C92&amp;$D92='TaxCred&amp;Subs'!$E$66:$E$99)*($F92='TaxCred&amp;Subs'!$C$66:$C$99),0)),0)),IF(AND($C92=1,VALUE(RIGHT($AD92,1))&gt;2),(O92-S92)*(IFERROR(INDEX('TaxCred&amp;Subs'!$J$66:$J$99,MATCH(1,($C92&amp;$D92='TaxCred&amp;Subs'!$D$66:$D$99)*($F92='TaxCred&amp;Subs'!$C$66:$C$99),0)),0)),IF($C92&gt;2,(O92-S92)*(IFERROR(INDEX('TaxCred&amp;Subs'!$J$66:$J$99,MATCH(1,($C92&amp;$D92='TaxCred&amp;Subs'!$D$66:$D$99)*($F92='TaxCred&amp;Subs'!$C$66:$C$99),0)),0)),0))),0)</f>
        <v>0</v>
      </c>
      <c r="R92" s="95">
        <f t="array" ref="R92">ROUND(IF(IFERROR(VALUE(RIGHT($AD92,1)),0)&gt;2,IF($C92=8,N92*IFERROR(INDEX('TaxCred&amp;Subs'!$K$139:$S$151,MATCH($C92&amp;$D92&amp;LEFT($AD92,7),'TaxCred&amp;Subs'!$E$139:$E$151,0),MATCH($H92,'TaxCred&amp;Subs'!$K$137:$S$137,0)),0),IF($C92=2,N92*IFERROR(INDEX('TaxCred&amp;Subs'!$K$139:$S$151,MATCH($C92&amp;$D92,'TaxCred&amp;Subs'!$D$139:$D$151,0),MATCH($H92,'TaxCred&amp;Subs'!$K$137:$S$137,0)),0),N92*IFERROR(INDEX('TaxCred&amp;Subs'!$K$139:$S$151,MATCH($C92&amp;$D92,'TaxCred&amp;Subs'!$C$139:$C$151,0),MATCH($H92,'TaxCred&amp;Subs'!$K$137:$S$137,0)),0))),0),0)</f>
        <v>0</v>
      </c>
      <c r="S92" s="95">
        <f t="array" ref="S92">ROUND(IF(IFERROR(VALUE(RIGHT($AD92,1)),0)&gt;2,IF($C92=8,O92*IFERROR(INDEX('TaxCred&amp;Subs'!$K$139:$S$151,MATCH($C92&amp;$D92&amp;LEFT($AD92,7),'TaxCred&amp;Subs'!$E$139:$E$151,0),MATCH($H92,'TaxCred&amp;Subs'!$K$137:$S$137,0)),0),IF($C92=2,O92*IFERROR(INDEX('TaxCred&amp;Subs'!$K$139:$S$151,MATCH($C92&amp;$D92,'TaxCred&amp;Subs'!$D$139:$D$151,0),MATCH($H92,'TaxCred&amp;Subs'!$K$137:$S$137,0)),0),O92*IFERROR(INDEX('TaxCred&amp;Subs'!$K$139:$S$151,MATCH($C92&amp;$D92,'TaxCred&amp;Subs'!$C$139:$C$151,0),MATCH($H92,'TaxCred&amp;Subs'!$K$137:$S$137,0)),0))),0),0)</f>
        <v>0</v>
      </c>
      <c r="T92" s="95">
        <f t="shared" si="3"/>
        <v>0</v>
      </c>
      <c r="U92" s="95">
        <f t="shared" si="4"/>
        <v>0</v>
      </c>
      <c r="V92" s="28" t="s">
        <v>222</v>
      </c>
      <c r="W92" s="31">
        <v>2020</v>
      </c>
      <c r="X92" s="28">
        <v>1</v>
      </c>
      <c r="Y92" s="28">
        <v>0</v>
      </c>
      <c r="Z92" s="196">
        <v>-2.0762472774284713E-4</v>
      </c>
      <c r="AA92" s="196">
        <v>-3.1942265806591866E-3</v>
      </c>
      <c r="AB92" s="28">
        <v>0</v>
      </c>
      <c r="AC92" s="28">
        <v>0</v>
      </c>
      <c r="AD92" s="28" t="s">
        <v>198</v>
      </c>
    </row>
    <row r="93" spans="2:30" ht="14.25" customHeight="1" x14ac:dyDescent="0.2">
      <c r="B93" s="7">
        <f t="shared" si="5"/>
        <v>69</v>
      </c>
      <c r="C93" s="28">
        <v>1</v>
      </c>
      <c r="D93" s="28">
        <v>2</v>
      </c>
      <c r="E93" s="28">
        <v>5</v>
      </c>
      <c r="F93" s="78">
        <v>2033</v>
      </c>
      <c r="G93" s="28">
        <v>2050</v>
      </c>
      <c r="H93" s="28">
        <v>7</v>
      </c>
      <c r="I93" s="28">
        <v>5</v>
      </c>
      <c r="J93" s="28">
        <v>0</v>
      </c>
      <c r="K93" s="28">
        <v>0</v>
      </c>
      <c r="L93" s="28">
        <v>0</v>
      </c>
      <c r="M93" s="156">
        <v>3.6376801599889665</v>
      </c>
      <c r="N93" s="151">
        <v>4310</v>
      </c>
      <c r="O93" s="151">
        <v>6740</v>
      </c>
      <c r="P93" s="95">
        <f t="array" ref="P93">ROUND(IF($F93&lt;='TaxCred&amp;Subs'!$C$49,(IF($C93=2,IF($M93&gt;=IFERROR(INDEX('TaxCred&amp;Subs'!$L$12:$L$47,MATCH(1,($C93&amp;$D93='TaxCred&amp;Subs'!$E$12:$E$47)*($F93='TaxCred&amp;Subs'!$C$12:$C$47),0)
),9999),IFERROR(INDEX('TaxCred&amp;Subs'!$N$12:$N$47,MATCH(1,($C93&amp;$D93='TaxCred&amp;Subs'!$E$12:$E$47)*($F93='TaxCred&amp;Subs'!$C$12:$C$47),0)
),0),0),(IF($M93&gt;=IFERROR(INDEX('TaxCred&amp;Subs'!$H$12:$H$47,MATCH(1,($C93&amp;$D93='TaxCred&amp;Subs'!$D$12:$D$47)*($F93='TaxCred&amp;Subs'!$C$12:$C$47),0)
),9999),IFERROR(INDEX('TaxCred&amp;Subs'!$N$12:$N$47,MATCH(1,($C93&amp;$D93='TaxCred&amp;Subs'!$D$12:$D$47)*($F93='TaxCred&amp;Subs'!$C$12:$C$47),0)
),0),0)))),0)+IF(AND($C93=2,VALUE(RIGHT($AD93,1))&gt;2),(N93-R93)*(IFERROR(INDEX('TaxCred&amp;Subs'!$J$66:$J$99,MATCH(1,($C93&amp;$D93='TaxCred&amp;Subs'!$E$66:$E$99)*($F93='TaxCred&amp;Subs'!$C$66:$C$99),0)),0)),IF(AND($C93=1,VALUE(RIGHT($AD93,1))&gt;2),(N93-R93)*(IFERROR(INDEX('TaxCred&amp;Subs'!$J$66:$J$99,MATCH(1,($C93&amp;$D93='TaxCred&amp;Subs'!$D$66:$D$99)*($F93='TaxCred&amp;Subs'!$C$66:$C$99),0)),0)),IF($C93&gt;2,(N93-R93)*(IFERROR(INDEX('TaxCred&amp;Subs'!$J$66:$J$99,MATCH(1,($C93&amp;$D93='TaxCred&amp;Subs'!$D$66:$D$99)*($F93='TaxCred&amp;Subs'!$C$66:$C$99),0)),0)),0))),0)</f>
        <v>0</v>
      </c>
      <c r="Q93" s="95">
        <f t="array" ref="Q93">ROUND(IF(AND($C93=2,VALUE(RIGHT($AD93,1))&gt;2),(O93-S93)*(IFERROR(INDEX('TaxCred&amp;Subs'!$J$66:$J$99,MATCH(1,($C93&amp;$D93='TaxCred&amp;Subs'!$E$66:$E$99)*($F93='TaxCred&amp;Subs'!$C$66:$C$99),0)),0)),IF(AND($C93=1,VALUE(RIGHT($AD93,1))&gt;2),(O93-S93)*(IFERROR(INDEX('TaxCred&amp;Subs'!$J$66:$J$99,MATCH(1,($C93&amp;$D93='TaxCred&amp;Subs'!$D$66:$D$99)*($F93='TaxCred&amp;Subs'!$C$66:$C$99),0)),0)),IF($C93&gt;2,(O93-S93)*(IFERROR(INDEX('TaxCred&amp;Subs'!$J$66:$J$99,MATCH(1,($C93&amp;$D93='TaxCred&amp;Subs'!$D$66:$D$99)*($F93='TaxCred&amp;Subs'!$C$66:$C$99),0)),0)),0))),0)</f>
        <v>0</v>
      </c>
      <c r="R93" s="95">
        <f t="array" ref="R93">ROUND(IF(IFERROR(VALUE(RIGHT($AD93,1)),0)&gt;2,IF($C93=8,N93*IFERROR(INDEX('TaxCred&amp;Subs'!$K$139:$S$151,MATCH($C93&amp;$D93&amp;LEFT($AD93,7),'TaxCred&amp;Subs'!$E$139:$E$151,0),MATCH($H93,'TaxCred&amp;Subs'!$K$137:$S$137,0)),0),IF($C93=2,N93*IFERROR(INDEX('TaxCred&amp;Subs'!$K$139:$S$151,MATCH($C93&amp;$D93,'TaxCred&amp;Subs'!$D$139:$D$151,0),MATCH($H93,'TaxCred&amp;Subs'!$K$137:$S$137,0)),0),N93*IFERROR(INDEX('TaxCred&amp;Subs'!$K$139:$S$151,MATCH($C93&amp;$D93,'TaxCred&amp;Subs'!$C$139:$C$151,0),MATCH($H93,'TaxCred&amp;Subs'!$K$137:$S$137,0)),0))),0),0)</f>
        <v>835</v>
      </c>
      <c r="S93" s="95">
        <f t="array" ref="S93">ROUND(IF(IFERROR(VALUE(RIGHT($AD93,1)),0)&gt;2,IF($C93=8,O93*IFERROR(INDEX('TaxCred&amp;Subs'!$K$139:$S$151,MATCH($C93&amp;$D93&amp;LEFT($AD93,7),'TaxCred&amp;Subs'!$E$139:$E$151,0),MATCH($H93,'TaxCred&amp;Subs'!$K$137:$S$137,0)),0),IF($C93=2,O93*IFERROR(INDEX('TaxCred&amp;Subs'!$K$139:$S$151,MATCH($C93&amp;$D93,'TaxCred&amp;Subs'!$D$139:$D$151,0),MATCH($H93,'TaxCred&amp;Subs'!$K$137:$S$137,0)),0),O93*IFERROR(INDEX('TaxCred&amp;Subs'!$K$139:$S$151,MATCH($C93&amp;$D93,'TaxCred&amp;Subs'!$C$139:$C$151,0),MATCH($H93,'TaxCred&amp;Subs'!$K$137:$S$137,0)),0))),0),0)</f>
        <v>1305</v>
      </c>
      <c r="T93" s="95">
        <f t="shared" si="3"/>
        <v>0</v>
      </c>
      <c r="U93" s="95">
        <f t="shared" si="4"/>
        <v>0</v>
      </c>
      <c r="V93" s="28" t="s">
        <v>222</v>
      </c>
      <c r="W93" s="31">
        <v>2020</v>
      </c>
      <c r="X93" s="28">
        <v>1</v>
      </c>
      <c r="Y93" s="28">
        <v>0</v>
      </c>
      <c r="Z93" s="196">
        <v>-2.0762472774284713E-4</v>
      </c>
      <c r="AA93" s="196">
        <v>-3.1942265806591866E-3</v>
      </c>
      <c r="AB93" s="28">
        <v>0</v>
      </c>
      <c r="AC93" s="28">
        <v>0</v>
      </c>
      <c r="AD93" s="28" t="s">
        <v>198</v>
      </c>
    </row>
    <row r="94" spans="2:30" ht="14.25" customHeight="1" x14ac:dyDescent="0.2">
      <c r="B94" s="7">
        <f t="shared" si="5"/>
        <v>70</v>
      </c>
      <c r="C94" s="28">
        <v>1</v>
      </c>
      <c r="D94" s="28">
        <v>2</v>
      </c>
      <c r="E94" s="28">
        <v>5</v>
      </c>
      <c r="F94" s="78">
        <v>2033</v>
      </c>
      <c r="G94" s="28">
        <v>2050</v>
      </c>
      <c r="H94" s="28">
        <v>8</v>
      </c>
      <c r="I94" s="28">
        <v>5</v>
      </c>
      <c r="J94" s="28">
        <v>0</v>
      </c>
      <c r="K94" s="28">
        <v>0</v>
      </c>
      <c r="L94" s="28">
        <v>0</v>
      </c>
      <c r="M94" s="156">
        <v>3.6376801599889665</v>
      </c>
      <c r="N94" s="151">
        <v>4310</v>
      </c>
      <c r="O94" s="151">
        <v>6740</v>
      </c>
      <c r="P94" s="95">
        <f t="array" ref="P94">ROUND(IF($F94&lt;='TaxCred&amp;Subs'!$C$49,(IF($C94=2,IF($M94&gt;=IFERROR(INDEX('TaxCred&amp;Subs'!$L$12:$L$47,MATCH(1,($C94&amp;$D94='TaxCred&amp;Subs'!$E$12:$E$47)*($F94='TaxCred&amp;Subs'!$C$12:$C$47),0)
),9999),IFERROR(INDEX('TaxCred&amp;Subs'!$N$12:$N$47,MATCH(1,($C94&amp;$D94='TaxCred&amp;Subs'!$E$12:$E$47)*($F94='TaxCred&amp;Subs'!$C$12:$C$47),0)
),0),0),(IF($M94&gt;=IFERROR(INDEX('TaxCred&amp;Subs'!$H$12:$H$47,MATCH(1,($C94&amp;$D94='TaxCred&amp;Subs'!$D$12:$D$47)*($F94='TaxCred&amp;Subs'!$C$12:$C$47),0)
),9999),IFERROR(INDEX('TaxCred&amp;Subs'!$N$12:$N$47,MATCH(1,($C94&amp;$D94='TaxCred&amp;Subs'!$D$12:$D$47)*($F94='TaxCred&amp;Subs'!$C$12:$C$47),0)
),0),0)))),0)+IF(AND($C94=2,VALUE(RIGHT($AD94,1))&gt;2),(N94-R94)*(IFERROR(INDEX('TaxCred&amp;Subs'!$J$66:$J$99,MATCH(1,($C94&amp;$D94='TaxCred&amp;Subs'!$E$66:$E$99)*($F94='TaxCred&amp;Subs'!$C$66:$C$99),0)),0)),IF(AND($C94=1,VALUE(RIGHT($AD94,1))&gt;2),(N94-R94)*(IFERROR(INDEX('TaxCred&amp;Subs'!$J$66:$J$99,MATCH(1,($C94&amp;$D94='TaxCred&amp;Subs'!$D$66:$D$99)*($F94='TaxCred&amp;Subs'!$C$66:$C$99),0)),0)),IF($C94&gt;2,(N94-R94)*(IFERROR(INDEX('TaxCred&amp;Subs'!$J$66:$J$99,MATCH(1,($C94&amp;$D94='TaxCred&amp;Subs'!$D$66:$D$99)*($F94='TaxCred&amp;Subs'!$C$66:$C$99),0)),0)),0))),0)</f>
        <v>0</v>
      </c>
      <c r="Q94" s="95">
        <f t="array" ref="Q94">ROUND(IF(AND($C94=2,VALUE(RIGHT($AD94,1))&gt;2),(O94-S94)*(IFERROR(INDEX('TaxCred&amp;Subs'!$J$66:$J$99,MATCH(1,($C94&amp;$D94='TaxCred&amp;Subs'!$E$66:$E$99)*($F94='TaxCred&amp;Subs'!$C$66:$C$99),0)),0)),IF(AND($C94=1,VALUE(RIGHT($AD94,1))&gt;2),(O94-S94)*(IFERROR(INDEX('TaxCred&amp;Subs'!$J$66:$J$99,MATCH(1,($C94&amp;$D94='TaxCred&amp;Subs'!$D$66:$D$99)*($F94='TaxCred&amp;Subs'!$C$66:$C$99),0)),0)),IF($C94&gt;2,(O94-S94)*(IFERROR(INDEX('TaxCred&amp;Subs'!$J$66:$J$99,MATCH(1,($C94&amp;$D94='TaxCred&amp;Subs'!$D$66:$D$99)*($F94='TaxCred&amp;Subs'!$C$66:$C$99),0)),0)),0))),0)</f>
        <v>0</v>
      </c>
      <c r="R94" s="95">
        <f t="array" ref="R94">ROUND(IF(IFERROR(VALUE(RIGHT($AD94,1)),0)&gt;2,IF($C94=8,N94*IFERROR(INDEX('TaxCred&amp;Subs'!$K$139:$S$151,MATCH($C94&amp;$D94&amp;LEFT($AD94,7),'TaxCred&amp;Subs'!$E$139:$E$151,0),MATCH($H94,'TaxCred&amp;Subs'!$K$137:$S$137,0)),0),IF($C94=2,N94*IFERROR(INDEX('TaxCred&amp;Subs'!$K$139:$S$151,MATCH($C94&amp;$D94,'TaxCred&amp;Subs'!$D$139:$D$151,0),MATCH($H94,'TaxCred&amp;Subs'!$K$137:$S$137,0)),0),N94*IFERROR(INDEX('TaxCred&amp;Subs'!$K$139:$S$151,MATCH($C94&amp;$D94,'TaxCred&amp;Subs'!$C$139:$C$151,0),MATCH($H94,'TaxCred&amp;Subs'!$K$137:$S$137,0)),0))),0),0)</f>
        <v>199</v>
      </c>
      <c r="S94" s="95">
        <f t="array" ref="S94">ROUND(IF(IFERROR(VALUE(RIGHT($AD94,1)),0)&gt;2,IF($C94=8,O94*IFERROR(INDEX('TaxCred&amp;Subs'!$K$139:$S$151,MATCH($C94&amp;$D94&amp;LEFT($AD94,7),'TaxCred&amp;Subs'!$E$139:$E$151,0),MATCH($H94,'TaxCred&amp;Subs'!$K$137:$S$137,0)),0),IF($C94=2,O94*IFERROR(INDEX('TaxCred&amp;Subs'!$K$139:$S$151,MATCH($C94&amp;$D94,'TaxCred&amp;Subs'!$D$139:$D$151,0),MATCH($H94,'TaxCred&amp;Subs'!$K$137:$S$137,0)),0),O94*IFERROR(INDEX('TaxCred&amp;Subs'!$K$139:$S$151,MATCH($C94&amp;$D94,'TaxCred&amp;Subs'!$C$139:$C$151,0),MATCH($H94,'TaxCred&amp;Subs'!$K$137:$S$137,0)),0))),0),0)</f>
        <v>311</v>
      </c>
      <c r="T94" s="95">
        <f t="shared" si="3"/>
        <v>0</v>
      </c>
      <c r="U94" s="95">
        <f t="shared" si="4"/>
        <v>0</v>
      </c>
      <c r="V94" s="28" t="s">
        <v>222</v>
      </c>
      <c r="W94" s="31">
        <v>2020</v>
      </c>
      <c r="X94" s="28">
        <v>1</v>
      </c>
      <c r="Y94" s="28">
        <v>0</v>
      </c>
      <c r="Z94" s="196">
        <v>-2.0762472774284713E-4</v>
      </c>
      <c r="AA94" s="196">
        <v>-3.1942265806591866E-3</v>
      </c>
      <c r="AB94" s="28">
        <v>0</v>
      </c>
      <c r="AC94" s="28">
        <v>0</v>
      </c>
      <c r="AD94" s="28" t="s">
        <v>198</v>
      </c>
    </row>
    <row r="95" spans="2:30" ht="14.25" customHeight="1" x14ac:dyDescent="0.2">
      <c r="B95" s="7">
        <f t="shared" si="5"/>
        <v>71</v>
      </c>
      <c r="C95" s="28">
        <v>1</v>
      </c>
      <c r="D95" s="28">
        <v>2</v>
      </c>
      <c r="E95" s="28">
        <v>5</v>
      </c>
      <c r="F95" s="78">
        <v>2033</v>
      </c>
      <c r="G95" s="28">
        <v>2050</v>
      </c>
      <c r="H95" s="28">
        <v>9</v>
      </c>
      <c r="I95" s="28">
        <v>5</v>
      </c>
      <c r="J95" s="28">
        <v>0</v>
      </c>
      <c r="K95" s="28">
        <v>0</v>
      </c>
      <c r="L95" s="28">
        <v>0</v>
      </c>
      <c r="M95" s="156">
        <v>3.6376801599889665</v>
      </c>
      <c r="N95" s="151">
        <v>4310</v>
      </c>
      <c r="O95" s="151">
        <v>6740</v>
      </c>
      <c r="P95" s="95">
        <f t="array" ref="P95">ROUND(IF($F95&lt;='TaxCred&amp;Subs'!$C$49,(IF($C95=2,IF($M95&gt;=IFERROR(INDEX('TaxCred&amp;Subs'!$L$12:$L$47,MATCH(1,($C95&amp;$D95='TaxCred&amp;Subs'!$E$12:$E$47)*($F95='TaxCred&amp;Subs'!$C$12:$C$47),0)
),9999),IFERROR(INDEX('TaxCred&amp;Subs'!$N$12:$N$47,MATCH(1,($C95&amp;$D95='TaxCred&amp;Subs'!$E$12:$E$47)*($F95='TaxCred&amp;Subs'!$C$12:$C$47),0)
),0),0),(IF($M95&gt;=IFERROR(INDEX('TaxCred&amp;Subs'!$H$12:$H$47,MATCH(1,($C95&amp;$D95='TaxCred&amp;Subs'!$D$12:$D$47)*($F95='TaxCred&amp;Subs'!$C$12:$C$47),0)
),9999),IFERROR(INDEX('TaxCred&amp;Subs'!$N$12:$N$47,MATCH(1,($C95&amp;$D95='TaxCred&amp;Subs'!$D$12:$D$47)*($F95='TaxCred&amp;Subs'!$C$12:$C$47),0)
),0),0)))),0)+IF(AND($C95=2,VALUE(RIGHT($AD95,1))&gt;2),(N95-R95)*(IFERROR(INDEX('TaxCred&amp;Subs'!$J$66:$J$99,MATCH(1,($C95&amp;$D95='TaxCred&amp;Subs'!$E$66:$E$99)*($F95='TaxCred&amp;Subs'!$C$66:$C$99),0)),0)),IF(AND($C95=1,VALUE(RIGHT($AD95,1))&gt;2),(N95-R95)*(IFERROR(INDEX('TaxCred&amp;Subs'!$J$66:$J$99,MATCH(1,($C95&amp;$D95='TaxCred&amp;Subs'!$D$66:$D$99)*($F95='TaxCred&amp;Subs'!$C$66:$C$99),0)),0)),IF($C95&gt;2,(N95-R95)*(IFERROR(INDEX('TaxCred&amp;Subs'!$J$66:$J$99,MATCH(1,($C95&amp;$D95='TaxCred&amp;Subs'!$D$66:$D$99)*($F95='TaxCred&amp;Subs'!$C$66:$C$99),0)),0)),0))),0)</f>
        <v>0</v>
      </c>
      <c r="Q95" s="95">
        <f t="array" ref="Q95">ROUND(IF(AND($C95=2,VALUE(RIGHT($AD95,1))&gt;2),(O95-S95)*(IFERROR(INDEX('TaxCred&amp;Subs'!$J$66:$J$99,MATCH(1,($C95&amp;$D95='TaxCred&amp;Subs'!$E$66:$E$99)*($F95='TaxCred&amp;Subs'!$C$66:$C$99),0)),0)),IF(AND($C95=1,VALUE(RIGHT($AD95,1))&gt;2),(O95-S95)*(IFERROR(INDEX('TaxCred&amp;Subs'!$J$66:$J$99,MATCH(1,($C95&amp;$D95='TaxCred&amp;Subs'!$D$66:$D$99)*($F95='TaxCred&amp;Subs'!$C$66:$C$99),0)),0)),IF($C95&gt;2,(O95-S95)*(IFERROR(INDEX('TaxCred&amp;Subs'!$J$66:$J$99,MATCH(1,($C95&amp;$D95='TaxCred&amp;Subs'!$D$66:$D$99)*($F95='TaxCred&amp;Subs'!$C$66:$C$99),0)),0)),0))),0)</f>
        <v>0</v>
      </c>
      <c r="R95" s="95">
        <f t="array" ref="R95">ROUND(IF(IFERROR(VALUE(RIGHT($AD95,1)),0)&gt;2,IF($C95=8,N95*IFERROR(INDEX('TaxCred&amp;Subs'!$K$139:$S$151,MATCH($C95&amp;$D95&amp;LEFT($AD95,7),'TaxCred&amp;Subs'!$E$139:$E$151,0),MATCH($H95,'TaxCred&amp;Subs'!$K$137:$S$137,0)),0),IF($C95=2,N95*IFERROR(INDEX('TaxCred&amp;Subs'!$K$139:$S$151,MATCH($C95&amp;$D95,'TaxCred&amp;Subs'!$D$139:$D$151,0),MATCH($H95,'TaxCred&amp;Subs'!$K$137:$S$137,0)),0),N95*IFERROR(INDEX('TaxCred&amp;Subs'!$K$139:$S$151,MATCH($C95&amp;$D95,'TaxCred&amp;Subs'!$C$139:$C$151,0),MATCH($H95,'TaxCred&amp;Subs'!$K$137:$S$137,0)),0))),0),0)</f>
        <v>479</v>
      </c>
      <c r="S95" s="95">
        <f t="array" ref="S95">ROUND(IF(IFERROR(VALUE(RIGHT($AD95,1)),0)&gt;2,IF($C95=8,O95*IFERROR(INDEX('TaxCred&amp;Subs'!$K$139:$S$151,MATCH($C95&amp;$D95&amp;LEFT($AD95,7),'TaxCred&amp;Subs'!$E$139:$E$151,0),MATCH($H95,'TaxCred&amp;Subs'!$K$137:$S$137,0)),0),IF($C95=2,O95*IFERROR(INDEX('TaxCred&amp;Subs'!$K$139:$S$151,MATCH($C95&amp;$D95,'TaxCred&amp;Subs'!$D$139:$D$151,0),MATCH($H95,'TaxCred&amp;Subs'!$K$137:$S$137,0)),0),O95*IFERROR(INDEX('TaxCred&amp;Subs'!$K$139:$S$151,MATCH($C95&amp;$D95,'TaxCred&amp;Subs'!$C$139:$C$151,0),MATCH($H95,'TaxCred&amp;Subs'!$K$137:$S$137,0)),0))),0),0)</f>
        <v>748</v>
      </c>
      <c r="T95" s="172">
        <f t="shared" si="3"/>
        <v>646.5</v>
      </c>
      <c r="U95" s="172">
        <f t="shared" si="4"/>
        <v>1011</v>
      </c>
      <c r="V95" s="28" t="s">
        <v>222</v>
      </c>
      <c r="W95" s="31">
        <v>2020</v>
      </c>
      <c r="X95" s="28">
        <v>1</v>
      </c>
      <c r="Y95" s="28">
        <v>0</v>
      </c>
      <c r="Z95" s="196">
        <v>-2.0762472774284713E-4</v>
      </c>
      <c r="AA95" s="196">
        <v>-3.1942265806591866E-3</v>
      </c>
      <c r="AB95" s="28">
        <v>0</v>
      </c>
      <c r="AC95" s="28">
        <v>0</v>
      </c>
      <c r="AD95" s="28" t="s">
        <v>198</v>
      </c>
    </row>
    <row r="96" spans="2:30" x14ac:dyDescent="0.2">
      <c r="B96" s="7">
        <f t="shared" si="5"/>
        <v>72</v>
      </c>
      <c r="C96" s="28">
        <v>1</v>
      </c>
      <c r="D96" s="28">
        <v>3</v>
      </c>
      <c r="E96" s="28">
        <v>6</v>
      </c>
      <c r="F96" s="96">
        <v>2020</v>
      </c>
      <c r="G96" s="31">
        <v>2028</v>
      </c>
      <c r="H96" s="28">
        <v>11</v>
      </c>
      <c r="I96" s="28">
        <v>6</v>
      </c>
      <c r="J96" s="28">
        <v>0</v>
      </c>
      <c r="K96" s="28">
        <v>0</v>
      </c>
      <c r="L96" s="28">
        <v>0</v>
      </c>
      <c r="M96" s="75">
        <v>0.8</v>
      </c>
      <c r="N96" s="151">
        <v>3690</v>
      </c>
      <c r="O96" s="151">
        <v>1080</v>
      </c>
      <c r="P96" s="95">
        <f t="array" ref="P96">ROUND(IF($F96&lt;='TaxCred&amp;Subs'!$C$49,(IF($C96=2,IF($M96&gt;=IFERROR(INDEX('TaxCred&amp;Subs'!$L$12:$L$47,MATCH(1,($C96&amp;$D96='TaxCred&amp;Subs'!$E$12:$E$47)*($F96='TaxCred&amp;Subs'!$C$12:$C$47),0)
),9999),IFERROR(INDEX('TaxCred&amp;Subs'!$N$12:$N$47,MATCH(1,($C96&amp;$D96='TaxCred&amp;Subs'!$E$12:$E$47)*($F96='TaxCred&amp;Subs'!$C$12:$C$47),0)
),0),0),(IF($M96&gt;=IFERROR(INDEX('TaxCred&amp;Subs'!$H$12:$H$47,MATCH(1,($C96&amp;$D96='TaxCred&amp;Subs'!$D$12:$D$47)*($F96='TaxCred&amp;Subs'!$C$12:$C$47),0)
),9999),IFERROR(INDEX('TaxCred&amp;Subs'!$N$12:$N$47,MATCH(1,($C96&amp;$D96='TaxCred&amp;Subs'!$D$12:$D$47)*($F96='TaxCred&amp;Subs'!$C$12:$C$47),0)
),0),0)))),0)+IF(AND($C96=2,VALUE(RIGHT($AD96,1))&gt;2),(N96-R96)*(IFERROR(INDEX('TaxCred&amp;Subs'!$J$66:$J$99,MATCH(1,($C96&amp;$D96='TaxCred&amp;Subs'!$E$66:$E$99)*($F96='TaxCred&amp;Subs'!$C$66:$C$99),0)),0)),IF(AND($C96=1,VALUE(RIGHT($AD96,1))&gt;2),(N96-R96)*(IFERROR(INDEX('TaxCred&amp;Subs'!$J$66:$J$99,MATCH(1,($C96&amp;$D96='TaxCred&amp;Subs'!$D$66:$D$99)*($F96='TaxCred&amp;Subs'!$C$66:$C$99),0)),0)),IF($C96&gt;2,(N96-R96)*(IFERROR(INDEX('TaxCred&amp;Subs'!$J$66:$J$99,MATCH(1,($C96&amp;$D96='TaxCred&amp;Subs'!$D$66:$D$99)*($F96='TaxCred&amp;Subs'!$C$66:$C$99),0)),0)),0))),0)</f>
        <v>0</v>
      </c>
      <c r="Q96" s="95">
        <f t="array" ref="Q96">ROUND(IF(AND($C96=2,VALUE(RIGHT($AD96,1))&gt;2),(O96-S96)*(IFERROR(INDEX('TaxCred&amp;Subs'!$J$66:$J$99,MATCH(1,($C96&amp;$D96='TaxCred&amp;Subs'!$E$66:$E$99)*($F96='TaxCred&amp;Subs'!$C$66:$C$99),0)),0)),IF(AND($C96=1,VALUE(RIGHT($AD96,1))&gt;2),(O96-S96)*(IFERROR(INDEX('TaxCred&amp;Subs'!$J$66:$J$99,MATCH(1,($C96&amp;$D96='TaxCred&amp;Subs'!$D$66:$D$99)*($F96='TaxCred&amp;Subs'!$C$66:$C$99),0)),0)),IF($C96&gt;2,(O96-S96)*(IFERROR(INDEX('TaxCred&amp;Subs'!$J$66:$J$99,MATCH(1,($C96&amp;$D96='TaxCred&amp;Subs'!$D$66:$D$99)*($F96='TaxCred&amp;Subs'!$C$66:$C$99),0)),0)),0))),0)</f>
        <v>0</v>
      </c>
      <c r="R96" s="95">
        <f t="array" ref="R96">ROUND(IF(IFERROR(VALUE(RIGHT($AD96,1)),0)&gt;2,IF($C96=8,N96*IFERROR(INDEX('TaxCred&amp;Subs'!$K$139:$S$151,MATCH($C96&amp;$D96&amp;LEFT($AD96,7),'TaxCred&amp;Subs'!$E$139:$E$151,0),MATCH($H96,'TaxCred&amp;Subs'!$K$137:$S$137,0)),0),IF($C96=2,N96*IFERROR(INDEX('TaxCred&amp;Subs'!$K$139:$S$151,MATCH($C96&amp;$D96,'TaxCred&amp;Subs'!$D$139:$D$151,0),MATCH($H96,'TaxCred&amp;Subs'!$K$137:$S$137,0)),0),N96*IFERROR(INDEX('TaxCred&amp;Subs'!$K$139:$S$151,MATCH($C96&amp;$D96,'TaxCred&amp;Subs'!$C$139:$C$151,0),MATCH($H96,'TaxCred&amp;Subs'!$K$137:$S$137,0)),0))),0),0)</f>
        <v>0</v>
      </c>
      <c r="S96" s="95">
        <f t="array" ref="S96">ROUND(IF(IFERROR(VALUE(RIGHT($AD96,1)),0)&gt;2,IF($C96=8,O96*IFERROR(INDEX('TaxCred&amp;Subs'!$K$139:$S$151,MATCH($C96&amp;$D96&amp;LEFT($AD96,7),'TaxCred&amp;Subs'!$E$139:$E$151,0),MATCH($H96,'TaxCred&amp;Subs'!$K$137:$S$137,0)),0),IF($C96=2,O96*IFERROR(INDEX('TaxCred&amp;Subs'!$K$139:$S$151,MATCH($C96&amp;$D96,'TaxCred&amp;Subs'!$D$139:$D$151,0),MATCH($H96,'TaxCred&amp;Subs'!$K$137:$S$137,0)),0),O96*IFERROR(INDEX('TaxCred&amp;Subs'!$K$139:$S$151,MATCH($C96&amp;$D96,'TaxCred&amp;Subs'!$C$139:$C$151,0),MATCH($H96,'TaxCred&amp;Subs'!$K$137:$S$137,0)),0))),0),0)</f>
        <v>0</v>
      </c>
      <c r="T96" s="95">
        <f t="shared" si="3"/>
        <v>0</v>
      </c>
      <c r="U96" s="95">
        <f t="shared" si="4"/>
        <v>0</v>
      </c>
      <c r="V96" s="28" t="s">
        <v>222</v>
      </c>
      <c r="W96" s="31">
        <v>2020</v>
      </c>
      <c r="X96" s="28">
        <v>1</v>
      </c>
      <c r="Y96" s="28">
        <v>0</v>
      </c>
      <c r="Z96" s="196">
        <v>-1.7119242409303158E-4</v>
      </c>
      <c r="AA96" s="196">
        <v>-2.6337296014312551E-3</v>
      </c>
      <c r="AB96" s="28">
        <v>0</v>
      </c>
      <c r="AC96" s="28">
        <v>0</v>
      </c>
      <c r="AD96" s="28" t="s">
        <v>319</v>
      </c>
    </row>
    <row r="97" spans="2:30" x14ac:dyDescent="0.2">
      <c r="B97" s="7">
        <f t="shared" si="5"/>
        <v>73</v>
      </c>
      <c r="C97" s="152">
        <v>1</v>
      </c>
      <c r="D97" s="152">
        <v>3</v>
      </c>
      <c r="E97" s="152">
        <v>6</v>
      </c>
      <c r="F97" s="153">
        <v>2029</v>
      </c>
      <c r="G97" s="152">
        <v>2050</v>
      </c>
      <c r="H97" s="152">
        <v>11</v>
      </c>
      <c r="I97" s="152">
        <v>6</v>
      </c>
      <c r="J97" s="152">
        <v>0</v>
      </c>
      <c r="K97" s="152">
        <v>0</v>
      </c>
      <c r="L97" s="152">
        <v>0</v>
      </c>
      <c r="M97" s="154">
        <v>0.95</v>
      </c>
      <c r="N97" s="155">
        <v>4150</v>
      </c>
      <c r="O97" s="155">
        <v>1220</v>
      </c>
      <c r="P97" s="41">
        <f t="array" ref="P97">ROUND(IF($F97&lt;='TaxCred&amp;Subs'!$C$49,(IF($C97=2,IF($M97&gt;=IFERROR(INDEX('TaxCred&amp;Subs'!$L$12:$L$47,MATCH(1,($C97&amp;$D97='TaxCred&amp;Subs'!$E$12:$E$47)*($F97='TaxCred&amp;Subs'!$C$12:$C$47),0)
),9999),IFERROR(INDEX('TaxCred&amp;Subs'!$N$12:$N$47,MATCH(1,($C97&amp;$D97='TaxCred&amp;Subs'!$E$12:$E$47)*($F97='TaxCred&amp;Subs'!$C$12:$C$47),0)
),0),0),(IF($M97&gt;=IFERROR(INDEX('TaxCred&amp;Subs'!$H$12:$H$47,MATCH(1,($C97&amp;$D97='TaxCred&amp;Subs'!$D$12:$D$47)*($F97='TaxCred&amp;Subs'!$C$12:$C$47),0)
),9999),IFERROR(INDEX('TaxCred&amp;Subs'!$N$12:$N$47,MATCH(1,($C97&amp;$D97='TaxCred&amp;Subs'!$D$12:$D$47)*($F97='TaxCred&amp;Subs'!$C$12:$C$47),0)
),0),0)))),0)+IF(AND($C97=2,VALUE(RIGHT($AD97,1))&gt;2),(N97-R97)*(IFERROR(INDEX('TaxCred&amp;Subs'!$J$66:$J$99,MATCH(1,($C97&amp;$D97='TaxCred&amp;Subs'!$E$66:$E$99)*($F97='TaxCred&amp;Subs'!$C$66:$C$99),0)),0)),IF(AND($C97=1,VALUE(RIGHT($AD97,1))&gt;2),(N97-R97)*(IFERROR(INDEX('TaxCred&amp;Subs'!$J$66:$J$99,MATCH(1,($C97&amp;$D97='TaxCred&amp;Subs'!$D$66:$D$99)*($F97='TaxCred&amp;Subs'!$C$66:$C$99),0)),0)),IF($C97&gt;2,(N97-R97)*(IFERROR(INDEX('TaxCred&amp;Subs'!$J$66:$J$99,MATCH(1,($C97&amp;$D97='TaxCred&amp;Subs'!$D$66:$D$99)*($F97='TaxCred&amp;Subs'!$C$66:$C$99),0)),0)),0))),0)</f>
        <v>0</v>
      </c>
      <c r="Q97" s="41">
        <f t="array" ref="Q97">ROUND(IF(AND($C97=2,VALUE(RIGHT($AD97,1))&gt;2),(O97-S97)*(IFERROR(INDEX('TaxCred&amp;Subs'!$J$66:$J$99,MATCH(1,($C97&amp;$D97='TaxCred&amp;Subs'!$E$66:$E$99)*($F97='TaxCred&amp;Subs'!$C$66:$C$99),0)),0)),IF(AND($C97=1,VALUE(RIGHT($AD97,1))&gt;2),(O97-S97)*(IFERROR(INDEX('TaxCred&amp;Subs'!$J$66:$J$99,MATCH(1,($C97&amp;$D97='TaxCred&amp;Subs'!$D$66:$D$99)*($F97='TaxCred&amp;Subs'!$C$66:$C$99),0)),0)),IF($C97&gt;2,(O97-S97)*(IFERROR(INDEX('TaxCred&amp;Subs'!$J$66:$J$99,MATCH(1,($C97&amp;$D97='TaxCred&amp;Subs'!$D$66:$D$99)*($F97='TaxCred&amp;Subs'!$C$66:$C$99),0)),0)),0))),0)</f>
        <v>0</v>
      </c>
      <c r="R97" s="41">
        <f t="array" ref="R97">ROUND(IF(IFERROR(VALUE(RIGHT($AD97,1)),0)&gt;2,IF($C97=8,N97*IFERROR(INDEX('TaxCred&amp;Subs'!$K$139:$S$151,MATCH($C97&amp;$D97&amp;LEFT($AD97,7),'TaxCred&amp;Subs'!$E$139:$E$151,0),MATCH($H97,'TaxCred&amp;Subs'!$K$137:$S$137,0)),0),IF($C97=2,N97*IFERROR(INDEX('TaxCred&amp;Subs'!$K$139:$S$151,MATCH($C97&amp;$D97,'TaxCred&amp;Subs'!$D$139:$D$151,0),MATCH($H97,'TaxCred&amp;Subs'!$K$137:$S$137,0)),0),N97*IFERROR(INDEX('TaxCred&amp;Subs'!$K$139:$S$151,MATCH($C97&amp;$D97,'TaxCred&amp;Subs'!$C$139:$C$151,0),MATCH($H97,'TaxCred&amp;Subs'!$K$137:$S$137,0)),0))),0),0)</f>
        <v>0</v>
      </c>
      <c r="S97" s="41">
        <f t="array" ref="S97">ROUND(IF(IFERROR(VALUE(RIGHT($AD97,1)),0)&gt;2,IF($C97=8,O97*IFERROR(INDEX('TaxCred&amp;Subs'!$K$139:$S$151,MATCH($C97&amp;$D97&amp;LEFT($AD97,7),'TaxCred&amp;Subs'!$E$139:$E$151,0),MATCH($H97,'TaxCred&amp;Subs'!$K$137:$S$137,0)),0),IF($C97=2,O97*IFERROR(INDEX('TaxCred&amp;Subs'!$K$139:$S$151,MATCH($C97&amp;$D97,'TaxCred&amp;Subs'!$D$139:$D$151,0),MATCH($H97,'TaxCred&amp;Subs'!$K$137:$S$137,0)),0),O97*IFERROR(INDEX('TaxCred&amp;Subs'!$K$139:$S$151,MATCH($C97&amp;$D97,'TaxCred&amp;Subs'!$C$139:$C$151,0),MATCH($H97,'TaxCred&amp;Subs'!$K$137:$S$137,0)),0))),0),0)</f>
        <v>0</v>
      </c>
      <c r="T97" s="41">
        <f t="shared" ref="T97" si="6">IF($H97=9,IF(R97&gt;0,(N97-P97)*0.15,0),0)</f>
        <v>0</v>
      </c>
      <c r="U97" s="41">
        <f t="shared" ref="U97" si="7">IF($H97=9,IF(S97&gt;0,(O97-Q97)*0.15,0),0)</f>
        <v>0</v>
      </c>
      <c r="V97" s="152" t="s">
        <v>222</v>
      </c>
      <c r="W97" s="152">
        <v>2020</v>
      </c>
      <c r="X97" s="152">
        <v>1</v>
      </c>
      <c r="Y97" s="152">
        <v>0</v>
      </c>
      <c r="Z97" s="194">
        <v>-1.7119242409303158E-4</v>
      </c>
      <c r="AA97" s="194">
        <v>-2.6337296014312551E-3</v>
      </c>
      <c r="AB97" s="152">
        <v>0</v>
      </c>
      <c r="AC97" s="152">
        <v>0</v>
      </c>
      <c r="AD97" s="152" t="s">
        <v>319</v>
      </c>
    </row>
    <row r="98" spans="2:30" x14ac:dyDescent="0.2">
      <c r="B98" s="7">
        <f t="shared" si="5"/>
        <v>74</v>
      </c>
      <c r="C98" s="28">
        <v>1</v>
      </c>
      <c r="D98" s="28">
        <v>3</v>
      </c>
      <c r="E98" s="28">
        <v>7</v>
      </c>
      <c r="F98" s="96">
        <v>2020</v>
      </c>
      <c r="G98" s="31">
        <v>2029</v>
      </c>
      <c r="H98" s="31">
        <v>11</v>
      </c>
      <c r="I98" s="28">
        <v>7</v>
      </c>
      <c r="J98" s="28">
        <v>0</v>
      </c>
      <c r="K98" s="28">
        <v>0</v>
      </c>
      <c r="L98" s="28">
        <v>0</v>
      </c>
      <c r="M98" s="156">
        <v>0.9</v>
      </c>
      <c r="N98" s="151">
        <v>4130</v>
      </c>
      <c r="O98" s="151">
        <v>1200</v>
      </c>
      <c r="P98" s="95">
        <f t="array" ref="P98">ROUND(IF($F98&lt;='TaxCred&amp;Subs'!$C$49,(IF($C98=2,IF($M98&gt;=IFERROR(INDEX('TaxCred&amp;Subs'!$L$12:$L$47,MATCH(1,($C98&amp;$D98='TaxCred&amp;Subs'!$E$12:$E$47)*($F98='TaxCred&amp;Subs'!$C$12:$C$47),0)
),9999),IFERROR(INDEX('TaxCred&amp;Subs'!$N$12:$N$47,MATCH(1,($C98&amp;$D98='TaxCred&amp;Subs'!$E$12:$E$47)*($F98='TaxCred&amp;Subs'!$C$12:$C$47),0)
),0),0),(IF($M98&gt;=IFERROR(INDEX('TaxCred&amp;Subs'!$H$12:$H$47,MATCH(1,($C98&amp;$D98='TaxCred&amp;Subs'!$D$12:$D$47)*($F98='TaxCred&amp;Subs'!$C$12:$C$47),0)
),9999),IFERROR(INDEX('TaxCred&amp;Subs'!$N$12:$N$47,MATCH(1,($C98&amp;$D98='TaxCred&amp;Subs'!$D$12:$D$47)*($F98='TaxCred&amp;Subs'!$C$12:$C$47),0)
),0),0)))),0)+IF(AND($C98=2,VALUE(RIGHT($AD98,1))&gt;2),(N98-R98)*(IFERROR(INDEX('TaxCred&amp;Subs'!$J$66:$J$99,MATCH(1,($C98&amp;$D98='TaxCred&amp;Subs'!$E$66:$E$99)*($F98='TaxCred&amp;Subs'!$C$66:$C$99),0)),0)),IF(AND($C98=1,VALUE(RIGHT($AD98,1))&gt;2),(N98-R98)*(IFERROR(INDEX('TaxCred&amp;Subs'!$J$66:$J$99,MATCH(1,($C98&amp;$D98='TaxCred&amp;Subs'!$D$66:$D$99)*($F98='TaxCred&amp;Subs'!$C$66:$C$99),0)),0)),IF($C98&gt;2,(N98-R98)*(IFERROR(INDEX('TaxCred&amp;Subs'!$J$66:$J$99,MATCH(1,($C98&amp;$D98='TaxCred&amp;Subs'!$D$66:$D$99)*($F98='TaxCred&amp;Subs'!$C$66:$C$99),0)),0)),0))),0)</f>
        <v>0</v>
      </c>
      <c r="Q98" s="95">
        <f t="array" ref="Q98">ROUND(IF(AND($C98=2,VALUE(RIGHT($AD98,1))&gt;2),(O98-S98)*(IFERROR(INDEX('TaxCred&amp;Subs'!$J$66:$J$99,MATCH(1,($C98&amp;$D98='TaxCred&amp;Subs'!$E$66:$E$99)*($F98='TaxCred&amp;Subs'!$C$66:$C$99),0)),0)),IF(AND($C98=1,VALUE(RIGHT($AD98,1))&gt;2),(O98-S98)*(IFERROR(INDEX('TaxCred&amp;Subs'!$J$66:$J$99,MATCH(1,($C98&amp;$D98='TaxCred&amp;Subs'!$D$66:$D$99)*($F98='TaxCred&amp;Subs'!$C$66:$C$99),0)),0)),IF($C98&gt;2,(O98-S98)*(IFERROR(INDEX('TaxCred&amp;Subs'!$J$66:$J$99,MATCH(1,($C98&amp;$D98='TaxCred&amp;Subs'!$D$66:$D$99)*($F98='TaxCred&amp;Subs'!$C$66:$C$99),0)),0)),0))),0)</f>
        <v>0</v>
      </c>
      <c r="R98" s="95">
        <f t="array" ref="R98">ROUND(IF(IFERROR(VALUE(RIGHT($AD98,1)),0)&gt;2,IF($C98=8,N98*IFERROR(INDEX('TaxCred&amp;Subs'!$K$139:$S$151,MATCH($C98&amp;$D98&amp;LEFT($AD98,7),'TaxCred&amp;Subs'!$E$139:$E$151,0),MATCH($H98,'TaxCred&amp;Subs'!$K$137:$S$137,0)),0),IF($C98=2,N98*IFERROR(INDEX('TaxCred&amp;Subs'!$K$139:$S$151,MATCH($C98&amp;$D98,'TaxCred&amp;Subs'!$D$139:$D$151,0),MATCH($H98,'TaxCred&amp;Subs'!$K$137:$S$137,0)),0),N98*IFERROR(INDEX('TaxCred&amp;Subs'!$K$139:$S$151,MATCH($C98&amp;$D98,'TaxCred&amp;Subs'!$C$139:$C$151,0),MATCH($H98,'TaxCred&amp;Subs'!$K$137:$S$137,0)),0))),0),0)</f>
        <v>0</v>
      </c>
      <c r="S98" s="95">
        <f t="array" ref="S98">ROUND(IF(IFERROR(VALUE(RIGHT($AD98,1)),0)&gt;2,IF($C98=8,O98*IFERROR(INDEX('TaxCred&amp;Subs'!$K$139:$S$151,MATCH($C98&amp;$D98&amp;LEFT($AD98,7),'TaxCred&amp;Subs'!$E$139:$E$151,0),MATCH($H98,'TaxCred&amp;Subs'!$K$137:$S$137,0)),0),IF($C98=2,O98*IFERROR(INDEX('TaxCred&amp;Subs'!$K$139:$S$151,MATCH($C98&amp;$D98,'TaxCred&amp;Subs'!$D$139:$D$151,0),MATCH($H98,'TaxCred&amp;Subs'!$K$137:$S$137,0)),0),O98*IFERROR(INDEX('TaxCred&amp;Subs'!$K$139:$S$151,MATCH($C98&amp;$D98,'TaxCred&amp;Subs'!$C$139:$C$151,0),MATCH($H98,'TaxCred&amp;Subs'!$K$137:$S$137,0)),0))),0),0)</f>
        <v>0</v>
      </c>
      <c r="T98" s="95">
        <f t="shared" si="3"/>
        <v>0</v>
      </c>
      <c r="U98" s="95">
        <f t="shared" si="4"/>
        <v>0</v>
      </c>
      <c r="V98" s="28" t="s">
        <v>222</v>
      </c>
      <c r="W98" s="31">
        <v>2020</v>
      </c>
      <c r="X98" s="28">
        <v>1</v>
      </c>
      <c r="Y98" s="28">
        <v>0</v>
      </c>
      <c r="Z98" s="196">
        <v>-1.7119242409303158E-4</v>
      </c>
      <c r="AA98" s="196">
        <v>-2.6337296014312551E-3</v>
      </c>
      <c r="AB98" s="28">
        <v>0</v>
      </c>
      <c r="AC98" s="28">
        <v>0</v>
      </c>
      <c r="AD98" s="28" t="s">
        <v>320</v>
      </c>
    </row>
    <row r="99" spans="2:30" ht="14.25" customHeight="1" x14ac:dyDescent="0.2">
      <c r="B99" s="7">
        <f t="shared" si="5"/>
        <v>75</v>
      </c>
      <c r="C99" s="152">
        <v>1</v>
      </c>
      <c r="D99" s="152">
        <v>3</v>
      </c>
      <c r="E99" s="152">
        <v>7</v>
      </c>
      <c r="F99" s="153">
        <v>2030</v>
      </c>
      <c r="G99" s="152">
        <v>2050</v>
      </c>
      <c r="H99" s="152">
        <v>11</v>
      </c>
      <c r="I99" s="152">
        <v>7</v>
      </c>
      <c r="J99" s="152">
        <v>0</v>
      </c>
      <c r="K99" s="152">
        <v>0</v>
      </c>
      <c r="L99" s="152">
        <v>0</v>
      </c>
      <c r="M99" s="154">
        <v>0.95</v>
      </c>
      <c r="N99" s="155">
        <v>4150</v>
      </c>
      <c r="O99" s="155">
        <v>1220</v>
      </c>
      <c r="P99" s="41">
        <f t="array" ref="P99">ROUND(IF($F99&lt;='TaxCred&amp;Subs'!$C$49,(IF($C99=2,IF($M99&gt;=IFERROR(INDEX('TaxCred&amp;Subs'!$L$12:$L$47,MATCH(1,($C99&amp;$D99='TaxCred&amp;Subs'!$E$12:$E$47)*($F99='TaxCred&amp;Subs'!$C$12:$C$47),0)
),9999),IFERROR(INDEX('TaxCred&amp;Subs'!$N$12:$N$47,MATCH(1,($C99&amp;$D99='TaxCred&amp;Subs'!$E$12:$E$47)*($F99='TaxCred&amp;Subs'!$C$12:$C$47),0)
),0),0),(IF($M99&gt;=IFERROR(INDEX('TaxCred&amp;Subs'!$H$12:$H$47,MATCH(1,($C99&amp;$D99='TaxCred&amp;Subs'!$D$12:$D$47)*($F99='TaxCred&amp;Subs'!$C$12:$C$47),0)
),9999),IFERROR(INDEX('TaxCred&amp;Subs'!$N$12:$N$47,MATCH(1,($C99&amp;$D99='TaxCred&amp;Subs'!$D$12:$D$47)*($F99='TaxCred&amp;Subs'!$C$12:$C$47),0)
),0),0)))),0)+IF(AND($C99=2,VALUE(RIGHT($AD99,1))&gt;2),(N99-R99)*(IFERROR(INDEX('TaxCred&amp;Subs'!$J$66:$J$99,MATCH(1,($C99&amp;$D99='TaxCred&amp;Subs'!$E$66:$E$99)*($F99='TaxCred&amp;Subs'!$C$66:$C$99),0)),0)),IF(AND($C99=1,VALUE(RIGHT($AD99,1))&gt;2),(N99-R99)*(IFERROR(INDEX('TaxCred&amp;Subs'!$J$66:$J$99,MATCH(1,($C99&amp;$D99='TaxCred&amp;Subs'!$D$66:$D$99)*($F99='TaxCred&amp;Subs'!$C$66:$C$99),0)),0)),IF($C99&gt;2,(N99-R99)*(IFERROR(INDEX('TaxCred&amp;Subs'!$J$66:$J$99,MATCH(1,($C99&amp;$D99='TaxCred&amp;Subs'!$D$66:$D$99)*($F99='TaxCred&amp;Subs'!$C$66:$C$99),0)),0)),0))),0)</f>
        <v>0</v>
      </c>
      <c r="Q99" s="41">
        <f t="array" ref="Q99">ROUND(IF(AND($C99=2,VALUE(RIGHT($AD99,1))&gt;2),(O99-S99)*(IFERROR(INDEX('TaxCred&amp;Subs'!$J$66:$J$99,MATCH(1,($C99&amp;$D99='TaxCred&amp;Subs'!$E$66:$E$99)*($F99='TaxCred&amp;Subs'!$C$66:$C$99),0)),0)),IF(AND($C99=1,VALUE(RIGHT($AD99,1))&gt;2),(O99-S99)*(IFERROR(INDEX('TaxCred&amp;Subs'!$J$66:$J$99,MATCH(1,($C99&amp;$D99='TaxCred&amp;Subs'!$D$66:$D$99)*($F99='TaxCred&amp;Subs'!$C$66:$C$99),0)),0)),IF($C99&gt;2,(O99-S99)*(IFERROR(INDEX('TaxCred&amp;Subs'!$J$66:$J$99,MATCH(1,($C99&amp;$D99='TaxCred&amp;Subs'!$D$66:$D$99)*($F99='TaxCred&amp;Subs'!$C$66:$C$99),0)),0)),0))),0)</f>
        <v>0</v>
      </c>
      <c r="R99" s="41">
        <f t="array" ref="R99">ROUND(IF(IFERROR(VALUE(RIGHT($AD99,1)),0)&gt;2,IF($C99=8,N99*IFERROR(INDEX('TaxCred&amp;Subs'!$K$139:$S$151,MATCH($C99&amp;$D99&amp;LEFT($AD99,7),'TaxCred&amp;Subs'!$E$139:$E$151,0),MATCH($H99,'TaxCred&amp;Subs'!$K$137:$S$137,0)),0),IF($C99=2,N99*IFERROR(INDEX('TaxCred&amp;Subs'!$K$139:$S$151,MATCH($C99&amp;$D99,'TaxCred&amp;Subs'!$D$139:$D$151,0),MATCH($H99,'TaxCred&amp;Subs'!$K$137:$S$137,0)),0),N99*IFERROR(INDEX('TaxCred&amp;Subs'!$K$139:$S$151,MATCH($C99&amp;$D99,'TaxCred&amp;Subs'!$C$139:$C$151,0),MATCH($H99,'TaxCred&amp;Subs'!$K$137:$S$137,0)),0))),0),0)</f>
        <v>0</v>
      </c>
      <c r="S99" s="41">
        <f t="array" ref="S99">ROUND(IF(IFERROR(VALUE(RIGHT($AD99,1)),0)&gt;2,IF($C99=8,O99*IFERROR(INDEX('TaxCred&amp;Subs'!$K$139:$S$151,MATCH($C99&amp;$D99&amp;LEFT($AD99,7),'TaxCred&amp;Subs'!$E$139:$E$151,0),MATCH($H99,'TaxCred&amp;Subs'!$K$137:$S$137,0)),0),IF($C99=2,O99*IFERROR(INDEX('TaxCred&amp;Subs'!$K$139:$S$151,MATCH($C99&amp;$D99,'TaxCred&amp;Subs'!$D$139:$D$151,0),MATCH($H99,'TaxCred&amp;Subs'!$K$137:$S$137,0)),0),O99*IFERROR(INDEX('TaxCred&amp;Subs'!$K$139:$S$151,MATCH($C99&amp;$D99,'TaxCred&amp;Subs'!$C$139:$C$151,0),MATCH($H99,'TaxCred&amp;Subs'!$K$137:$S$137,0)),0))),0),0)</f>
        <v>0</v>
      </c>
      <c r="T99" s="41">
        <f t="shared" si="3"/>
        <v>0</v>
      </c>
      <c r="U99" s="41">
        <f t="shared" si="4"/>
        <v>0</v>
      </c>
      <c r="V99" s="152" t="s">
        <v>222</v>
      </c>
      <c r="W99" s="152">
        <v>2020</v>
      </c>
      <c r="X99" s="152">
        <v>1</v>
      </c>
      <c r="Y99" s="152">
        <v>0</v>
      </c>
      <c r="Z99" s="194">
        <v>-1.7119242409303158E-4</v>
      </c>
      <c r="AA99" s="194">
        <v>-2.6337296014312551E-3</v>
      </c>
      <c r="AB99" s="152">
        <v>0</v>
      </c>
      <c r="AC99" s="152">
        <v>0</v>
      </c>
      <c r="AD99" s="152" t="s">
        <v>320</v>
      </c>
    </row>
    <row r="100" spans="2:30" x14ac:dyDescent="0.2">
      <c r="B100" s="7">
        <f t="shared" si="5"/>
        <v>76</v>
      </c>
      <c r="C100" s="28">
        <v>1</v>
      </c>
      <c r="D100" s="28">
        <v>3</v>
      </c>
      <c r="E100" s="28">
        <v>8</v>
      </c>
      <c r="F100" s="96">
        <v>2020</v>
      </c>
      <c r="G100" s="28">
        <v>2021</v>
      </c>
      <c r="H100" s="28">
        <v>1</v>
      </c>
      <c r="I100" s="28">
        <v>8</v>
      </c>
      <c r="J100" s="28">
        <v>0</v>
      </c>
      <c r="K100" s="28">
        <v>0</v>
      </c>
      <c r="L100" s="28">
        <v>0</v>
      </c>
      <c r="M100" s="75">
        <v>0.95</v>
      </c>
      <c r="N100" s="151">
        <v>4150</v>
      </c>
      <c r="O100" s="151">
        <v>1220</v>
      </c>
      <c r="P100" s="95">
        <f t="array" ref="P100">ROUND(IF($F100&lt;='TaxCred&amp;Subs'!$C$49,(IF($C100=2,IF($M100&gt;=IFERROR(INDEX('TaxCred&amp;Subs'!$L$12:$L$47,MATCH(1,($C100&amp;$D100='TaxCred&amp;Subs'!$E$12:$E$47)*($F100='TaxCred&amp;Subs'!$C$12:$C$47),0)
),9999),IFERROR(INDEX('TaxCred&amp;Subs'!$N$12:$N$47,MATCH(1,($C100&amp;$D100='TaxCred&amp;Subs'!$E$12:$E$47)*($F100='TaxCred&amp;Subs'!$C$12:$C$47),0)
),0),0),(IF($M100&gt;=IFERROR(INDEX('TaxCred&amp;Subs'!$H$12:$H$47,MATCH(1,($C100&amp;$D100='TaxCred&amp;Subs'!$D$12:$D$47)*($F100='TaxCred&amp;Subs'!$C$12:$C$47),0)
),9999),IFERROR(INDEX('TaxCred&amp;Subs'!$N$12:$N$47,MATCH(1,($C100&amp;$D100='TaxCred&amp;Subs'!$D$12:$D$47)*($F100='TaxCred&amp;Subs'!$C$12:$C$47),0)
),0),0)))),0)+IF(AND($C100=2,VALUE(RIGHT($AD100,1))&gt;2),(N100-R100)*(IFERROR(INDEX('TaxCred&amp;Subs'!$J$66:$J$99,MATCH(1,($C100&amp;$D100='TaxCred&amp;Subs'!$E$66:$E$99)*($F100='TaxCred&amp;Subs'!$C$66:$C$99),0)),0)),IF(AND($C100=1,VALUE(RIGHT($AD100,1))&gt;2),(N100-R100)*(IFERROR(INDEX('TaxCred&amp;Subs'!$J$66:$J$99,MATCH(1,($C100&amp;$D100='TaxCred&amp;Subs'!$D$66:$D$99)*($F100='TaxCred&amp;Subs'!$C$66:$C$99),0)),0)),IF($C100&gt;2,(N100-R100)*(IFERROR(INDEX('TaxCred&amp;Subs'!$J$66:$J$99,MATCH(1,($C100&amp;$D100='TaxCred&amp;Subs'!$D$66:$D$99)*($F100='TaxCred&amp;Subs'!$C$66:$C$99),0)),0)),0))),0)</f>
        <v>150</v>
      </c>
      <c r="Q100" s="95">
        <f t="array" ref="Q100">ROUND(IF(AND($C100=2,VALUE(RIGHT($AD100,1))&gt;2),(O100-S100)*(IFERROR(INDEX('TaxCred&amp;Subs'!$J$66:$J$99,MATCH(1,($C100&amp;$D100='TaxCred&amp;Subs'!$E$66:$E$99)*($F100='TaxCred&amp;Subs'!$C$66:$C$99),0)),0)),IF(AND($C100=1,VALUE(RIGHT($AD100,1))&gt;2),(O100-S100)*(IFERROR(INDEX('TaxCred&amp;Subs'!$J$66:$J$99,MATCH(1,($C100&amp;$D100='TaxCred&amp;Subs'!$D$66:$D$99)*($F100='TaxCred&amp;Subs'!$C$66:$C$99),0)),0)),IF($C100&gt;2,(O100-S100)*(IFERROR(INDEX('TaxCred&amp;Subs'!$J$66:$J$99,MATCH(1,($C100&amp;$D100='TaxCred&amp;Subs'!$D$66:$D$99)*($F100='TaxCred&amp;Subs'!$C$66:$C$99),0)),0)),0))),0)</f>
        <v>0</v>
      </c>
      <c r="R100" s="95">
        <f t="array" ref="R100">ROUND(IF(IFERROR(VALUE(RIGHT($AD100,1)),0)&gt;2,IF($C100=8,N100*IFERROR(INDEX('TaxCred&amp;Subs'!$K$139:$S$151,MATCH($C100&amp;$D100&amp;LEFT($AD100,7),'TaxCred&amp;Subs'!$E$139:$E$151,0),MATCH($H100,'TaxCred&amp;Subs'!$K$137:$S$137,0)),0),IF($C100=2,N100*IFERROR(INDEX('TaxCred&amp;Subs'!$K$139:$S$151,MATCH($C100&amp;$D100,'TaxCred&amp;Subs'!$D$139:$D$151,0),MATCH($H100,'TaxCred&amp;Subs'!$K$137:$S$137,0)),0),N100*IFERROR(INDEX('TaxCred&amp;Subs'!$K$139:$S$151,MATCH($C100&amp;$D100,'TaxCred&amp;Subs'!$C$139:$C$151,0),MATCH($H100,'TaxCred&amp;Subs'!$K$137:$S$137,0)),0))),0),0)</f>
        <v>401</v>
      </c>
      <c r="S100" s="95">
        <f t="array" ref="S100">ROUND(IF(IFERROR(VALUE(RIGHT($AD100,1)),0)&gt;2,IF($C100=8,O100*IFERROR(INDEX('TaxCred&amp;Subs'!$K$139:$S$151,MATCH($C100&amp;$D100&amp;LEFT($AD100,7),'TaxCred&amp;Subs'!$E$139:$E$151,0),MATCH($H100,'TaxCred&amp;Subs'!$K$137:$S$137,0)),0),IF($C100=2,O100*IFERROR(INDEX('TaxCred&amp;Subs'!$K$139:$S$151,MATCH($C100&amp;$D100,'TaxCred&amp;Subs'!$D$139:$D$151,0),MATCH($H100,'TaxCred&amp;Subs'!$K$137:$S$137,0)),0),O100*IFERROR(INDEX('TaxCred&amp;Subs'!$K$139:$S$151,MATCH($C100&amp;$D100,'TaxCred&amp;Subs'!$C$139:$C$151,0),MATCH($H100,'TaxCred&amp;Subs'!$K$137:$S$137,0)),0))),0),0)</f>
        <v>118</v>
      </c>
      <c r="T100" s="95">
        <f t="shared" ref="T100:T155" si="8">IF($H100=9,IF(R100&gt;0,(N100-P100)*0.15,0),0)</f>
        <v>0</v>
      </c>
      <c r="U100" s="95">
        <f t="shared" ref="U100:U155" si="9">IF($H100=9,IF(S100&gt;0,(O100-Q100)*0.15,0),0)</f>
        <v>0</v>
      </c>
      <c r="V100" s="28" t="s">
        <v>222</v>
      </c>
      <c r="W100" s="31">
        <v>2020</v>
      </c>
      <c r="X100" s="28">
        <v>1</v>
      </c>
      <c r="Y100" s="28">
        <v>0</v>
      </c>
      <c r="Z100" s="196">
        <v>-2.1540077624843197E-4</v>
      </c>
      <c r="AA100" s="196">
        <v>-3.3138580961297225E-3</v>
      </c>
      <c r="AB100" s="28">
        <v>0</v>
      </c>
      <c r="AC100" s="28">
        <v>0</v>
      </c>
      <c r="AD100" s="28" t="s">
        <v>321</v>
      </c>
    </row>
    <row r="101" spans="2:30" ht="14.25" customHeight="1" x14ac:dyDescent="0.2">
      <c r="B101" s="7">
        <f t="shared" si="5"/>
        <v>77</v>
      </c>
      <c r="C101" s="28">
        <v>1</v>
      </c>
      <c r="D101" s="28">
        <v>3</v>
      </c>
      <c r="E101" s="28">
        <v>8</v>
      </c>
      <c r="F101" s="96">
        <v>2020</v>
      </c>
      <c r="G101" s="28">
        <v>2021</v>
      </c>
      <c r="H101" s="28">
        <v>2</v>
      </c>
      <c r="I101" s="28">
        <v>8</v>
      </c>
      <c r="J101" s="28">
        <v>0</v>
      </c>
      <c r="K101" s="28">
        <v>0</v>
      </c>
      <c r="L101" s="28">
        <v>0</v>
      </c>
      <c r="M101" s="75">
        <v>0.95</v>
      </c>
      <c r="N101" s="151">
        <v>4150</v>
      </c>
      <c r="O101" s="151">
        <v>1220</v>
      </c>
      <c r="P101" s="95">
        <f t="array" ref="P101">ROUND(IF($F101&lt;='TaxCred&amp;Subs'!$C$49,(IF($C101=2,IF($M101&gt;=IFERROR(INDEX('TaxCred&amp;Subs'!$L$12:$L$47,MATCH(1,($C101&amp;$D101='TaxCred&amp;Subs'!$E$12:$E$47)*($F101='TaxCred&amp;Subs'!$C$12:$C$47),0)
),9999),IFERROR(INDEX('TaxCred&amp;Subs'!$N$12:$N$47,MATCH(1,($C101&amp;$D101='TaxCred&amp;Subs'!$E$12:$E$47)*($F101='TaxCred&amp;Subs'!$C$12:$C$47),0)
),0),0),(IF($M101&gt;=IFERROR(INDEX('TaxCred&amp;Subs'!$H$12:$H$47,MATCH(1,($C101&amp;$D101='TaxCred&amp;Subs'!$D$12:$D$47)*($F101='TaxCred&amp;Subs'!$C$12:$C$47),0)
),9999),IFERROR(INDEX('TaxCred&amp;Subs'!$N$12:$N$47,MATCH(1,($C101&amp;$D101='TaxCred&amp;Subs'!$D$12:$D$47)*($F101='TaxCred&amp;Subs'!$C$12:$C$47),0)
),0),0)))),0)+IF(AND($C101=2,VALUE(RIGHT($AD101,1))&gt;2),(N101-R101)*(IFERROR(INDEX('TaxCred&amp;Subs'!$J$66:$J$99,MATCH(1,($C101&amp;$D101='TaxCred&amp;Subs'!$E$66:$E$99)*($F101='TaxCred&amp;Subs'!$C$66:$C$99),0)),0)),IF(AND($C101=1,VALUE(RIGHT($AD101,1))&gt;2),(N101-R101)*(IFERROR(INDEX('TaxCred&amp;Subs'!$J$66:$J$99,MATCH(1,($C101&amp;$D101='TaxCred&amp;Subs'!$D$66:$D$99)*($F101='TaxCred&amp;Subs'!$C$66:$C$99),0)),0)),IF($C101&gt;2,(N101-R101)*(IFERROR(INDEX('TaxCred&amp;Subs'!$J$66:$J$99,MATCH(1,($C101&amp;$D101='TaxCred&amp;Subs'!$D$66:$D$99)*($F101='TaxCred&amp;Subs'!$C$66:$C$99),0)),0)),0))),0)</f>
        <v>150</v>
      </c>
      <c r="Q101" s="95">
        <f t="array" ref="Q101">ROUND(IF(AND($C101=2,VALUE(RIGHT($AD101,1))&gt;2),(O101-S101)*(IFERROR(INDEX('TaxCred&amp;Subs'!$J$66:$J$99,MATCH(1,($C101&amp;$D101='TaxCred&amp;Subs'!$E$66:$E$99)*($F101='TaxCred&amp;Subs'!$C$66:$C$99),0)),0)),IF(AND($C101=1,VALUE(RIGHT($AD101,1))&gt;2),(O101-S101)*(IFERROR(INDEX('TaxCred&amp;Subs'!$J$66:$J$99,MATCH(1,($C101&amp;$D101='TaxCred&amp;Subs'!$D$66:$D$99)*($F101='TaxCred&amp;Subs'!$C$66:$C$99),0)),0)),IF($C101&gt;2,(O101-S101)*(IFERROR(INDEX('TaxCred&amp;Subs'!$J$66:$J$99,MATCH(1,($C101&amp;$D101='TaxCred&amp;Subs'!$D$66:$D$99)*($F101='TaxCred&amp;Subs'!$C$66:$C$99),0)),0)),0))),0)</f>
        <v>0</v>
      </c>
      <c r="R101" s="95">
        <f t="array" ref="R101">ROUND(IF(IFERROR(VALUE(RIGHT($AD101,1)),0)&gt;2,IF($C101=8,N101*IFERROR(INDEX('TaxCred&amp;Subs'!$K$139:$S$151,MATCH($C101&amp;$D101&amp;LEFT($AD101,7),'TaxCred&amp;Subs'!$E$139:$E$151,0),MATCH($H101,'TaxCred&amp;Subs'!$K$137:$S$137,0)),0),IF($C101=2,N101*IFERROR(INDEX('TaxCred&amp;Subs'!$K$139:$S$151,MATCH($C101&amp;$D101,'TaxCred&amp;Subs'!$D$139:$D$151,0),MATCH($H101,'TaxCred&amp;Subs'!$K$137:$S$137,0)),0),N101*IFERROR(INDEX('TaxCred&amp;Subs'!$K$139:$S$151,MATCH($C101&amp;$D101,'TaxCred&amp;Subs'!$C$139:$C$151,0),MATCH($H101,'TaxCred&amp;Subs'!$K$137:$S$137,0)),0))),0),0)</f>
        <v>498</v>
      </c>
      <c r="S101" s="95">
        <f t="array" ref="S101">ROUND(IF(IFERROR(VALUE(RIGHT($AD101,1)),0)&gt;2,IF($C101=8,O101*IFERROR(INDEX('TaxCred&amp;Subs'!$K$139:$S$151,MATCH($C101&amp;$D101&amp;LEFT($AD101,7),'TaxCred&amp;Subs'!$E$139:$E$151,0),MATCH($H101,'TaxCred&amp;Subs'!$K$137:$S$137,0)),0),IF($C101=2,O101*IFERROR(INDEX('TaxCred&amp;Subs'!$K$139:$S$151,MATCH($C101&amp;$D101,'TaxCred&amp;Subs'!$D$139:$D$151,0),MATCH($H101,'TaxCred&amp;Subs'!$K$137:$S$137,0)),0),O101*IFERROR(INDEX('TaxCred&amp;Subs'!$K$139:$S$151,MATCH($C101&amp;$D101,'TaxCred&amp;Subs'!$C$139:$C$151,0),MATCH($H101,'TaxCred&amp;Subs'!$K$137:$S$137,0)),0))),0),0)</f>
        <v>146</v>
      </c>
      <c r="T101" s="95">
        <f t="shared" si="8"/>
        <v>0</v>
      </c>
      <c r="U101" s="95">
        <f t="shared" si="9"/>
        <v>0</v>
      </c>
      <c r="V101" s="28" t="s">
        <v>222</v>
      </c>
      <c r="W101" s="31">
        <v>2020</v>
      </c>
      <c r="X101" s="28">
        <v>1</v>
      </c>
      <c r="Y101" s="28">
        <v>0</v>
      </c>
      <c r="Z101" s="196">
        <v>-2.1540077624843197E-4</v>
      </c>
      <c r="AA101" s="196">
        <v>-3.3138580961297225E-3</v>
      </c>
      <c r="AB101" s="28">
        <v>0</v>
      </c>
      <c r="AC101" s="28">
        <v>0</v>
      </c>
      <c r="AD101" s="28" t="s">
        <v>321</v>
      </c>
    </row>
    <row r="102" spans="2:30" ht="14.25" customHeight="1" x14ac:dyDescent="0.2">
      <c r="B102" s="7">
        <f t="shared" si="5"/>
        <v>78</v>
      </c>
      <c r="C102" s="28">
        <v>1</v>
      </c>
      <c r="D102" s="28">
        <v>3</v>
      </c>
      <c r="E102" s="28">
        <v>8</v>
      </c>
      <c r="F102" s="96">
        <v>2020</v>
      </c>
      <c r="G102" s="28">
        <v>2021</v>
      </c>
      <c r="H102" s="28">
        <v>3</v>
      </c>
      <c r="I102" s="28">
        <v>8</v>
      </c>
      <c r="J102" s="28">
        <v>0</v>
      </c>
      <c r="K102" s="28">
        <v>0</v>
      </c>
      <c r="L102" s="28">
        <v>0</v>
      </c>
      <c r="M102" s="75">
        <v>0.95</v>
      </c>
      <c r="N102" s="151">
        <v>4150</v>
      </c>
      <c r="O102" s="151">
        <v>1220</v>
      </c>
      <c r="P102" s="95">
        <f t="array" ref="P102">ROUND(IF($F102&lt;='TaxCred&amp;Subs'!$C$49,(IF($C102=2,IF($M102&gt;=IFERROR(INDEX('TaxCred&amp;Subs'!$L$12:$L$47,MATCH(1,($C102&amp;$D102='TaxCred&amp;Subs'!$E$12:$E$47)*($F102='TaxCred&amp;Subs'!$C$12:$C$47),0)
),9999),IFERROR(INDEX('TaxCred&amp;Subs'!$N$12:$N$47,MATCH(1,($C102&amp;$D102='TaxCred&amp;Subs'!$E$12:$E$47)*($F102='TaxCred&amp;Subs'!$C$12:$C$47),0)
),0),0),(IF($M102&gt;=IFERROR(INDEX('TaxCred&amp;Subs'!$H$12:$H$47,MATCH(1,($C102&amp;$D102='TaxCred&amp;Subs'!$D$12:$D$47)*($F102='TaxCred&amp;Subs'!$C$12:$C$47),0)
),9999),IFERROR(INDEX('TaxCred&amp;Subs'!$N$12:$N$47,MATCH(1,($C102&amp;$D102='TaxCred&amp;Subs'!$D$12:$D$47)*($F102='TaxCred&amp;Subs'!$C$12:$C$47),0)
),0),0)))),0)+IF(AND($C102=2,VALUE(RIGHT($AD102,1))&gt;2),(N102-R102)*(IFERROR(INDEX('TaxCred&amp;Subs'!$J$66:$J$99,MATCH(1,($C102&amp;$D102='TaxCred&amp;Subs'!$E$66:$E$99)*($F102='TaxCred&amp;Subs'!$C$66:$C$99),0)),0)),IF(AND($C102=1,VALUE(RIGHT($AD102,1))&gt;2),(N102-R102)*(IFERROR(INDEX('TaxCred&amp;Subs'!$J$66:$J$99,MATCH(1,($C102&amp;$D102='TaxCred&amp;Subs'!$D$66:$D$99)*($F102='TaxCred&amp;Subs'!$C$66:$C$99),0)),0)),IF($C102&gt;2,(N102-R102)*(IFERROR(INDEX('TaxCred&amp;Subs'!$J$66:$J$99,MATCH(1,($C102&amp;$D102='TaxCred&amp;Subs'!$D$66:$D$99)*($F102='TaxCred&amp;Subs'!$C$66:$C$99),0)),0)),0))),0)</f>
        <v>150</v>
      </c>
      <c r="Q102" s="95">
        <f t="array" ref="Q102">ROUND(IF(AND($C102=2,VALUE(RIGHT($AD102,1))&gt;2),(O102-S102)*(IFERROR(INDEX('TaxCred&amp;Subs'!$J$66:$J$99,MATCH(1,($C102&amp;$D102='TaxCred&amp;Subs'!$E$66:$E$99)*($F102='TaxCred&amp;Subs'!$C$66:$C$99),0)),0)),IF(AND($C102=1,VALUE(RIGHT($AD102,1))&gt;2),(O102-S102)*(IFERROR(INDEX('TaxCred&amp;Subs'!$J$66:$J$99,MATCH(1,($C102&amp;$D102='TaxCred&amp;Subs'!$D$66:$D$99)*($F102='TaxCred&amp;Subs'!$C$66:$C$99),0)),0)),IF($C102&gt;2,(O102-S102)*(IFERROR(INDEX('TaxCred&amp;Subs'!$J$66:$J$99,MATCH(1,($C102&amp;$D102='TaxCred&amp;Subs'!$D$66:$D$99)*($F102='TaxCred&amp;Subs'!$C$66:$C$99),0)),0)),0))),0)</f>
        <v>0</v>
      </c>
      <c r="R102" s="95">
        <f t="array" ref="R102">ROUND(IF(IFERROR(VALUE(RIGHT($AD102,1)),0)&gt;2,IF($C102=8,N102*IFERROR(INDEX('TaxCred&amp;Subs'!$K$139:$S$151,MATCH($C102&amp;$D102&amp;LEFT($AD102,7),'TaxCred&amp;Subs'!$E$139:$E$151,0),MATCH($H102,'TaxCred&amp;Subs'!$K$137:$S$137,0)),0),IF($C102=2,N102*IFERROR(INDEX('TaxCred&amp;Subs'!$K$139:$S$151,MATCH($C102&amp;$D102,'TaxCred&amp;Subs'!$D$139:$D$151,0),MATCH($H102,'TaxCred&amp;Subs'!$K$137:$S$137,0)),0),N102*IFERROR(INDEX('TaxCred&amp;Subs'!$K$139:$S$151,MATCH($C102&amp;$D102,'TaxCred&amp;Subs'!$C$139:$C$151,0),MATCH($H102,'TaxCred&amp;Subs'!$K$137:$S$137,0)),0))),0),0)</f>
        <v>216</v>
      </c>
      <c r="S102" s="95">
        <f t="array" ref="S102">ROUND(IF(IFERROR(VALUE(RIGHT($AD102,1)),0)&gt;2,IF($C102=8,O102*IFERROR(INDEX('TaxCred&amp;Subs'!$K$139:$S$151,MATCH($C102&amp;$D102&amp;LEFT($AD102,7),'TaxCred&amp;Subs'!$E$139:$E$151,0),MATCH($H102,'TaxCred&amp;Subs'!$K$137:$S$137,0)),0),IF($C102=2,O102*IFERROR(INDEX('TaxCred&amp;Subs'!$K$139:$S$151,MATCH($C102&amp;$D102,'TaxCred&amp;Subs'!$D$139:$D$151,0),MATCH($H102,'TaxCred&amp;Subs'!$K$137:$S$137,0)),0),O102*IFERROR(INDEX('TaxCred&amp;Subs'!$K$139:$S$151,MATCH($C102&amp;$D102,'TaxCred&amp;Subs'!$C$139:$C$151,0),MATCH($H102,'TaxCred&amp;Subs'!$K$137:$S$137,0)),0))),0),0)</f>
        <v>64</v>
      </c>
      <c r="T102" s="95">
        <f t="shared" si="8"/>
        <v>0</v>
      </c>
      <c r="U102" s="95">
        <f t="shared" si="9"/>
        <v>0</v>
      </c>
      <c r="V102" s="28" t="s">
        <v>222</v>
      </c>
      <c r="W102" s="31">
        <v>2020</v>
      </c>
      <c r="X102" s="28">
        <v>1</v>
      </c>
      <c r="Y102" s="28">
        <v>0</v>
      </c>
      <c r="Z102" s="196">
        <v>-2.1540077624843197E-4</v>
      </c>
      <c r="AA102" s="196">
        <v>-3.3138580961297225E-3</v>
      </c>
      <c r="AB102" s="28">
        <v>0</v>
      </c>
      <c r="AC102" s="28">
        <v>0</v>
      </c>
      <c r="AD102" s="28" t="s">
        <v>321</v>
      </c>
    </row>
    <row r="103" spans="2:30" ht="14.25" customHeight="1" x14ac:dyDescent="0.2">
      <c r="B103" s="7">
        <f t="shared" si="5"/>
        <v>79</v>
      </c>
      <c r="C103" s="28">
        <v>1</v>
      </c>
      <c r="D103" s="28">
        <v>3</v>
      </c>
      <c r="E103" s="28">
        <v>8</v>
      </c>
      <c r="F103" s="96">
        <v>2020</v>
      </c>
      <c r="G103" s="28">
        <v>2021</v>
      </c>
      <c r="H103" s="28">
        <v>4</v>
      </c>
      <c r="I103" s="28">
        <v>8</v>
      </c>
      <c r="J103" s="28">
        <v>0</v>
      </c>
      <c r="K103" s="28">
        <v>0</v>
      </c>
      <c r="L103" s="28">
        <v>0</v>
      </c>
      <c r="M103" s="75">
        <v>0.95</v>
      </c>
      <c r="N103" s="151">
        <v>4150</v>
      </c>
      <c r="O103" s="151">
        <v>1220</v>
      </c>
      <c r="P103" s="95">
        <f t="array" ref="P103">ROUND(IF($F103&lt;='TaxCred&amp;Subs'!$C$49,(IF($C103=2,IF($M103&gt;=IFERROR(INDEX('TaxCred&amp;Subs'!$L$12:$L$47,MATCH(1,($C103&amp;$D103='TaxCred&amp;Subs'!$E$12:$E$47)*($F103='TaxCred&amp;Subs'!$C$12:$C$47),0)
),9999),IFERROR(INDEX('TaxCred&amp;Subs'!$N$12:$N$47,MATCH(1,($C103&amp;$D103='TaxCred&amp;Subs'!$E$12:$E$47)*($F103='TaxCred&amp;Subs'!$C$12:$C$47),0)
),0),0),(IF($M103&gt;=IFERROR(INDEX('TaxCred&amp;Subs'!$H$12:$H$47,MATCH(1,($C103&amp;$D103='TaxCred&amp;Subs'!$D$12:$D$47)*($F103='TaxCred&amp;Subs'!$C$12:$C$47),0)
),9999),IFERROR(INDEX('TaxCred&amp;Subs'!$N$12:$N$47,MATCH(1,($C103&amp;$D103='TaxCred&amp;Subs'!$D$12:$D$47)*($F103='TaxCred&amp;Subs'!$C$12:$C$47),0)
),0),0)))),0)+IF(AND($C103=2,VALUE(RIGHT($AD103,1))&gt;2),(N103-R103)*(IFERROR(INDEX('TaxCred&amp;Subs'!$J$66:$J$99,MATCH(1,($C103&amp;$D103='TaxCred&amp;Subs'!$E$66:$E$99)*($F103='TaxCred&amp;Subs'!$C$66:$C$99),0)),0)),IF(AND($C103=1,VALUE(RIGHT($AD103,1))&gt;2),(N103-R103)*(IFERROR(INDEX('TaxCred&amp;Subs'!$J$66:$J$99,MATCH(1,($C103&amp;$D103='TaxCred&amp;Subs'!$D$66:$D$99)*($F103='TaxCred&amp;Subs'!$C$66:$C$99),0)),0)),IF($C103&gt;2,(N103-R103)*(IFERROR(INDEX('TaxCred&amp;Subs'!$J$66:$J$99,MATCH(1,($C103&amp;$D103='TaxCred&amp;Subs'!$D$66:$D$99)*($F103='TaxCred&amp;Subs'!$C$66:$C$99),0)),0)),0))),0)</f>
        <v>150</v>
      </c>
      <c r="Q103" s="95">
        <f t="array" ref="Q103">ROUND(IF(AND($C103=2,VALUE(RIGHT($AD103,1))&gt;2),(O103-S103)*(IFERROR(INDEX('TaxCred&amp;Subs'!$J$66:$J$99,MATCH(1,($C103&amp;$D103='TaxCred&amp;Subs'!$E$66:$E$99)*($F103='TaxCred&amp;Subs'!$C$66:$C$99),0)),0)),IF(AND($C103=1,VALUE(RIGHT($AD103,1))&gt;2),(O103-S103)*(IFERROR(INDEX('TaxCred&amp;Subs'!$J$66:$J$99,MATCH(1,($C103&amp;$D103='TaxCred&amp;Subs'!$D$66:$D$99)*($F103='TaxCred&amp;Subs'!$C$66:$C$99),0)),0)),IF($C103&gt;2,(O103-S103)*(IFERROR(INDEX('TaxCred&amp;Subs'!$J$66:$J$99,MATCH(1,($C103&amp;$D103='TaxCred&amp;Subs'!$D$66:$D$99)*($F103='TaxCred&amp;Subs'!$C$66:$C$99),0)),0)),0))),0)</f>
        <v>0</v>
      </c>
      <c r="R103" s="95">
        <f t="array" ref="R103">ROUND(IF(IFERROR(VALUE(RIGHT($AD103,1)),0)&gt;2,IF($C103=8,N103*IFERROR(INDEX('TaxCred&amp;Subs'!$K$139:$S$151,MATCH($C103&amp;$D103&amp;LEFT($AD103,7),'TaxCred&amp;Subs'!$E$139:$E$151,0),MATCH($H103,'TaxCred&amp;Subs'!$K$137:$S$137,0)),0),IF($C103=2,N103*IFERROR(INDEX('TaxCred&amp;Subs'!$K$139:$S$151,MATCH($C103&amp;$D103,'TaxCred&amp;Subs'!$D$139:$D$151,0),MATCH($H103,'TaxCred&amp;Subs'!$K$137:$S$137,0)),0),N103*IFERROR(INDEX('TaxCred&amp;Subs'!$K$139:$S$151,MATCH($C103&amp;$D103,'TaxCred&amp;Subs'!$C$139:$C$151,0),MATCH($H103,'TaxCred&amp;Subs'!$K$137:$S$137,0)),0))),0),0)</f>
        <v>209</v>
      </c>
      <c r="S103" s="95">
        <f t="array" ref="S103">ROUND(IF(IFERROR(VALUE(RIGHT($AD103,1)),0)&gt;2,IF($C103=8,O103*IFERROR(INDEX('TaxCred&amp;Subs'!$K$139:$S$151,MATCH($C103&amp;$D103&amp;LEFT($AD103,7),'TaxCred&amp;Subs'!$E$139:$E$151,0),MATCH($H103,'TaxCred&amp;Subs'!$K$137:$S$137,0)),0),IF($C103=2,O103*IFERROR(INDEX('TaxCred&amp;Subs'!$K$139:$S$151,MATCH($C103&amp;$D103,'TaxCred&amp;Subs'!$D$139:$D$151,0),MATCH($H103,'TaxCred&amp;Subs'!$K$137:$S$137,0)),0),O103*IFERROR(INDEX('TaxCred&amp;Subs'!$K$139:$S$151,MATCH($C103&amp;$D103,'TaxCred&amp;Subs'!$C$139:$C$151,0),MATCH($H103,'TaxCred&amp;Subs'!$K$137:$S$137,0)),0))),0),0)</f>
        <v>61</v>
      </c>
      <c r="T103" s="95">
        <f t="shared" si="8"/>
        <v>0</v>
      </c>
      <c r="U103" s="95">
        <f t="shared" si="9"/>
        <v>0</v>
      </c>
      <c r="V103" s="28" t="s">
        <v>222</v>
      </c>
      <c r="W103" s="31">
        <v>2020</v>
      </c>
      <c r="X103" s="28">
        <v>1</v>
      </c>
      <c r="Y103" s="28">
        <v>0</v>
      </c>
      <c r="Z103" s="196">
        <v>-2.1540077624843197E-4</v>
      </c>
      <c r="AA103" s="196">
        <v>-3.3138580961297225E-3</v>
      </c>
      <c r="AB103" s="28">
        <v>0</v>
      </c>
      <c r="AC103" s="28">
        <v>0</v>
      </c>
      <c r="AD103" s="28" t="s">
        <v>321</v>
      </c>
    </row>
    <row r="104" spans="2:30" ht="14.25" customHeight="1" x14ac:dyDescent="0.2">
      <c r="B104" s="7">
        <f t="shared" si="5"/>
        <v>80</v>
      </c>
      <c r="C104" s="28">
        <v>1</v>
      </c>
      <c r="D104" s="28">
        <v>3</v>
      </c>
      <c r="E104" s="28">
        <v>8</v>
      </c>
      <c r="F104" s="96">
        <v>2020</v>
      </c>
      <c r="G104" s="28">
        <v>2021</v>
      </c>
      <c r="H104" s="28">
        <v>5</v>
      </c>
      <c r="I104" s="28">
        <v>8</v>
      </c>
      <c r="J104" s="28">
        <v>0</v>
      </c>
      <c r="K104" s="28">
        <v>0</v>
      </c>
      <c r="L104" s="28">
        <v>0</v>
      </c>
      <c r="M104" s="75">
        <v>0.9</v>
      </c>
      <c r="N104" s="151">
        <v>4130</v>
      </c>
      <c r="O104" s="151">
        <v>1200</v>
      </c>
      <c r="P104" s="95">
        <f t="array" ref="P104">ROUND(IF($F104&lt;='TaxCred&amp;Subs'!$C$49,(IF($C104=2,IF($M104&gt;=IFERROR(INDEX('TaxCred&amp;Subs'!$L$12:$L$47,MATCH(1,($C104&amp;$D104='TaxCred&amp;Subs'!$E$12:$E$47)*($F104='TaxCred&amp;Subs'!$C$12:$C$47),0)
),9999),IFERROR(INDEX('TaxCred&amp;Subs'!$N$12:$N$47,MATCH(1,($C104&amp;$D104='TaxCred&amp;Subs'!$E$12:$E$47)*($F104='TaxCred&amp;Subs'!$C$12:$C$47),0)
),0),0),(IF($M104&gt;=IFERROR(INDEX('TaxCred&amp;Subs'!$H$12:$H$47,MATCH(1,($C104&amp;$D104='TaxCred&amp;Subs'!$D$12:$D$47)*($F104='TaxCred&amp;Subs'!$C$12:$C$47),0)
),9999),IFERROR(INDEX('TaxCred&amp;Subs'!$N$12:$N$47,MATCH(1,($C104&amp;$D104='TaxCred&amp;Subs'!$D$12:$D$47)*($F104='TaxCred&amp;Subs'!$C$12:$C$47),0)
),0),0)))),0)+IF(AND($C104=2,VALUE(RIGHT($AD104,1))&gt;2),(N104-R104)*(IFERROR(INDEX('TaxCred&amp;Subs'!$J$66:$J$99,MATCH(1,($C104&amp;$D104='TaxCred&amp;Subs'!$E$66:$E$99)*($F104='TaxCred&amp;Subs'!$C$66:$C$99),0)),0)),IF(AND($C104=1,VALUE(RIGHT($AD104,1))&gt;2),(N104-R104)*(IFERROR(INDEX('TaxCred&amp;Subs'!$J$66:$J$99,MATCH(1,($C104&amp;$D104='TaxCred&amp;Subs'!$D$66:$D$99)*($F104='TaxCred&amp;Subs'!$C$66:$C$99),0)),0)),IF($C104&gt;2,(N104-R104)*(IFERROR(INDEX('TaxCred&amp;Subs'!$J$66:$J$99,MATCH(1,($C104&amp;$D104='TaxCred&amp;Subs'!$D$66:$D$99)*($F104='TaxCred&amp;Subs'!$C$66:$C$99),0)),0)),0))),0)</f>
        <v>0</v>
      </c>
      <c r="Q104" s="95">
        <f t="array" ref="Q104">ROUND(IF(AND($C104=2,VALUE(RIGHT($AD104,1))&gt;2),(O104-S104)*(IFERROR(INDEX('TaxCred&amp;Subs'!$J$66:$J$99,MATCH(1,($C104&amp;$D104='TaxCred&amp;Subs'!$E$66:$E$99)*($F104='TaxCred&amp;Subs'!$C$66:$C$99),0)),0)),IF(AND($C104=1,VALUE(RIGHT($AD104,1))&gt;2),(O104-S104)*(IFERROR(INDEX('TaxCred&amp;Subs'!$J$66:$J$99,MATCH(1,($C104&amp;$D104='TaxCred&amp;Subs'!$D$66:$D$99)*($F104='TaxCred&amp;Subs'!$C$66:$C$99),0)),0)),IF($C104&gt;2,(O104-S104)*(IFERROR(INDEX('TaxCred&amp;Subs'!$J$66:$J$99,MATCH(1,($C104&amp;$D104='TaxCred&amp;Subs'!$D$66:$D$99)*($F104='TaxCred&amp;Subs'!$C$66:$C$99),0)),0)),0))),0)</f>
        <v>0</v>
      </c>
      <c r="R104" s="95">
        <f t="array" ref="R104">ROUND(IF(IFERROR(VALUE(RIGHT($AD104,1)),0)&gt;2,IF($C104=8,N104*IFERROR(INDEX('TaxCred&amp;Subs'!$K$139:$S$151,MATCH($C104&amp;$D104&amp;LEFT($AD104,7),'TaxCred&amp;Subs'!$E$139:$E$151,0),MATCH($H104,'TaxCred&amp;Subs'!$K$137:$S$137,0)),0),IF($C104=2,N104*IFERROR(INDEX('TaxCred&amp;Subs'!$K$139:$S$151,MATCH($C104&amp;$D104,'TaxCred&amp;Subs'!$D$139:$D$151,0),MATCH($H104,'TaxCred&amp;Subs'!$K$137:$S$137,0)),0),N104*IFERROR(INDEX('TaxCred&amp;Subs'!$K$139:$S$151,MATCH($C104&amp;$D104,'TaxCred&amp;Subs'!$C$139:$C$151,0),MATCH($H104,'TaxCred&amp;Subs'!$K$137:$S$137,0)),0))),0),0)</f>
        <v>334</v>
      </c>
      <c r="S104" s="95">
        <f t="array" ref="S104">ROUND(IF(IFERROR(VALUE(RIGHT($AD104,1)),0)&gt;2,IF($C104=8,O104*IFERROR(INDEX('TaxCred&amp;Subs'!$K$139:$S$151,MATCH($C104&amp;$D104&amp;LEFT($AD104,7),'TaxCred&amp;Subs'!$E$139:$E$151,0),MATCH($H104,'TaxCred&amp;Subs'!$K$137:$S$137,0)),0),IF($C104=2,O104*IFERROR(INDEX('TaxCred&amp;Subs'!$K$139:$S$151,MATCH($C104&amp;$D104,'TaxCred&amp;Subs'!$D$139:$D$151,0),MATCH($H104,'TaxCred&amp;Subs'!$K$137:$S$137,0)),0),O104*IFERROR(INDEX('TaxCred&amp;Subs'!$K$139:$S$151,MATCH($C104&amp;$D104,'TaxCred&amp;Subs'!$C$139:$C$151,0),MATCH($H104,'TaxCred&amp;Subs'!$K$137:$S$137,0)),0))),0),0)</f>
        <v>97</v>
      </c>
      <c r="T104" s="95">
        <f t="shared" si="8"/>
        <v>0</v>
      </c>
      <c r="U104" s="95">
        <f t="shared" si="9"/>
        <v>0</v>
      </c>
      <c r="V104" s="28" t="s">
        <v>222</v>
      </c>
      <c r="W104" s="31">
        <v>2020</v>
      </c>
      <c r="X104" s="28">
        <v>1</v>
      </c>
      <c r="Y104" s="28">
        <v>0</v>
      </c>
      <c r="Z104" s="196">
        <v>-2.1540077624843197E-4</v>
      </c>
      <c r="AA104" s="196">
        <v>-3.3138580961297225E-3</v>
      </c>
      <c r="AB104" s="28">
        <v>0</v>
      </c>
      <c r="AC104" s="28">
        <v>0</v>
      </c>
      <c r="AD104" s="28" t="s">
        <v>321</v>
      </c>
    </row>
    <row r="105" spans="2:30" ht="14.25" customHeight="1" x14ac:dyDescent="0.2">
      <c r="B105" s="7">
        <f t="shared" si="5"/>
        <v>81</v>
      </c>
      <c r="C105" s="28">
        <v>1</v>
      </c>
      <c r="D105" s="28">
        <v>3</v>
      </c>
      <c r="E105" s="28">
        <v>8</v>
      </c>
      <c r="F105" s="96">
        <v>2020</v>
      </c>
      <c r="G105" s="28">
        <v>2021</v>
      </c>
      <c r="H105" s="28">
        <v>6</v>
      </c>
      <c r="I105" s="28">
        <v>8</v>
      </c>
      <c r="J105" s="28">
        <v>0</v>
      </c>
      <c r="K105" s="28">
        <v>0</v>
      </c>
      <c r="L105" s="28">
        <v>0</v>
      </c>
      <c r="M105" s="75">
        <v>0.9</v>
      </c>
      <c r="N105" s="151">
        <v>4130</v>
      </c>
      <c r="O105" s="151">
        <v>1200</v>
      </c>
      <c r="P105" s="95">
        <f t="array" ref="P105">ROUND(IF($F105&lt;='TaxCred&amp;Subs'!$C$49,(IF($C105=2,IF($M105&gt;=IFERROR(INDEX('TaxCred&amp;Subs'!$L$12:$L$47,MATCH(1,($C105&amp;$D105='TaxCred&amp;Subs'!$E$12:$E$47)*($F105='TaxCred&amp;Subs'!$C$12:$C$47),0)
),9999),IFERROR(INDEX('TaxCred&amp;Subs'!$N$12:$N$47,MATCH(1,($C105&amp;$D105='TaxCred&amp;Subs'!$E$12:$E$47)*($F105='TaxCred&amp;Subs'!$C$12:$C$47),0)
),0),0),(IF($M105&gt;=IFERROR(INDEX('TaxCred&amp;Subs'!$H$12:$H$47,MATCH(1,($C105&amp;$D105='TaxCred&amp;Subs'!$D$12:$D$47)*($F105='TaxCred&amp;Subs'!$C$12:$C$47),0)
),9999),IFERROR(INDEX('TaxCred&amp;Subs'!$N$12:$N$47,MATCH(1,($C105&amp;$D105='TaxCred&amp;Subs'!$D$12:$D$47)*($F105='TaxCred&amp;Subs'!$C$12:$C$47),0)
),0),0)))),0)+IF(AND($C105=2,VALUE(RIGHT($AD105,1))&gt;2),(N105-R105)*(IFERROR(INDEX('TaxCred&amp;Subs'!$J$66:$J$99,MATCH(1,($C105&amp;$D105='TaxCred&amp;Subs'!$E$66:$E$99)*($F105='TaxCred&amp;Subs'!$C$66:$C$99),0)),0)),IF(AND($C105=1,VALUE(RIGHT($AD105,1))&gt;2),(N105-R105)*(IFERROR(INDEX('TaxCred&amp;Subs'!$J$66:$J$99,MATCH(1,($C105&amp;$D105='TaxCred&amp;Subs'!$D$66:$D$99)*($F105='TaxCred&amp;Subs'!$C$66:$C$99),0)),0)),IF($C105&gt;2,(N105-R105)*(IFERROR(INDEX('TaxCred&amp;Subs'!$J$66:$J$99,MATCH(1,($C105&amp;$D105='TaxCred&amp;Subs'!$D$66:$D$99)*($F105='TaxCred&amp;Subs'!$C$66:$C$99),0)),0)),0))),0)</f>
        <v>0</v>
      </c>
      <c r="Q105" s="95">
        <f t="array" ref="Q105">ROUND(IF(AND($C105=2,VALUE(RIGHT($AD105,1))&gt;2),(O105-S105)*(IFERROR(INDEX('TaxCred&amp;Subs'!$J$66:$J$99,MATCH(1,($C105&amp;$D105='TaxCred&amp;Subs'!$E$66:$E$99)*($F105='TaxCred&amp;Subs'!$C$66:$C$99),0)),0)),IF(AND($C105=1,VALUE(RIGHT($AD105,1))&gt;2),(O105-S105)*(IFERROR(INDEX('TaxCred&amp;Subs'!$J$66:$J$99,MATCH(1,($C105&amp;$D105='TaxCred&amp;Subs'!$D$66:$D$99)*($F105='TaxCred&amp;Subs'!$C$66:$C$99),0)),0)),IF($C105&gt;2,(O105-S105)*(IFERROR(INDEX('TaxCred&amp;Subs'!$J$66:$J$99,MATCH(1,($C105&amp;$D105='TaxCred&amp;Subs'!$D$66:$D$99)*($F105='TaxCred&amp;Subs'!$C$66:$C$99),0)),0)),0))),0)</f>
        <v>0</v>
      </c>
      <c r="R105" s="95">
        <f t="array" ref="R105">ROUND(IF(IFERROR(VALUE(RIGHT($AD105,1)),0)&gt;2,IF($C105=8,N105*IFERROR(INDEX('TaxCred&amp;Subs'!$K$139:$S$151,MATCH($C105&amp;$D105&amp;LEFT($AD105,7),'TaxCred&amp;Subs'!$E$139:$E$151,0),MATCH($H105,'TaxCred&amp;Subs'!$K$137:$S$137,0)),0),IF($C105=2,N105*IFERROR(INDEX('TaxCred&amp;Subs'!$K$139:$S$151,MATCH($C105&amp;$D105,'TaxCred&amp;Subs'!$D$139:$D$151,0),MATCH($H105,'TaxCred&amp;Subs'!$K$137:$S$137,0)),0),N105*IFERROR(INDEX('TaxCred&amp;Subs'!$K$139:$S$151,MATCH($C105&amp;$D105,'TaxCred&amp;Subs'!$C$139:$C$151,0),MATCH($H105,'TaxCred&amp;Subs'!$K$137:$S$137,0)),0))),0),0)</f>
        <v>291</v>
      </c>
      <c r="S105" s="95">
        <f t="array" ref="S105">ROUND(IF(IFERROR(VALUE(RIGHT($AD105,1)),0)&gt;2,IF($C105=8,O105*IFERROR(INDEX('TaxCred&amp;Subs'!$K$139:$S$151,MATCH($C105&amp;$D105&amp;LEFT($AD105,7),'TaxCred&amp;Subs'!$E$139:$E$151,0),MATCH($H105,'TaxCred&amp;Subs'!$K$137:$S$137,0)),0),IF($C105=2,O105*IFERROR(INDEX('TaxCred&amp;Subs'!$K$139:$S$151,MATCH($C105&amp;$D105,'TaxCred&amp;Subs'!$D$139:$D$151,0),MATCH($H105,'TaxCred&amp;Subs'!$K$137:$S$137,0)),0),O105*IFERROR(INDEX('TaxCred&amp;Subs'!$K$139:$S$151,MATCH($C105&amp;$D105,'TaxCred&amp;Subs'!$C$139:$C$151,0),MATCH($H105,'TaxCred&amp;Subs'!$K$137:$S$137,0)),0))),0),0)</f>
        <v>85</v>
      </c>
      <c r="T105" s="95">
        <f t="shared" si="8"/>
        <v>0</v>
      </c>
      <c r="U105" s="95">
        <f t="shared" si="9"/>
        <v>0</v>
      </c>
      <c r="V105" s="28" t="s">
        <v>222</v>
      </c>
      <c r="W105" s="31">
        <v>2020</v>
      </c>
      <c r="X105" s="28">
        <v>1</v>
      </c>
      <c r="Y105" s="28">
        <v>0</v>
      </c>
      <c r="Z105" s="196">
        <v>-2.1540077624843197E-4</v>
      </c>
      <c r="AA105" s="196">
        <v>-3.3138580961297225E-3</v>
      </c>
      <c r="AB105" s="28">
        <v>0</v>
      </c>
      <c r="AC105" s="28">
        <v>0</v>
      </c>
      <c r="AD105" s="28" t="s">
        <v>321</v>
      </c>
    </row>
    <row r="106" spans="2:30" ht="14.25" customHeight="1" x14ac:dyDescent="0.2">
      <c r="B106" s="7">
        <f t="shared" si="5"/>
        <v>82</v>
      </c>
      <c r="C106" s="28">
        <v>1</v>
      </c>
      <c r="D106" s="28">
        <v>3</v>
      </c>
      <c r="E106" s="28">
        <v>8</v>
      </c>
      <c r="F106" s="96">
        <v>2020</v>
      </c>
      <c r="G106" s="28">
        <v>2021</v>
      </c>
      <c r="H106" s="28">
        <v>7</v>
      </c>
      <c r="I106" s="28">
        <v>8</v>
      </c>
      <c r="J106" s="28">
        <v>0</v>
      </c>
      <c r="K106" s="28">
        <v>0</v>
      </c>
      <c r="L106" s="28">
        <v>0</v>
      </c>
      <c r="M106" s="75">
        <v>0.9</v>
      </c>
      <c r="N106" s="151">
        <v>4130</v>
      </c>
      <c r="O106" s="151">
        <v>1200</v>
      </c>
      <c r="P106" s="95">
        <f t="array" ref="P106">ROUND(IF($F106&lt;='TaxCred&amp;Subs'!$C$49,(IF($C106=2,IF($M106&gt;=IFERROR(INDEX('TaxCred&amp;Subs'!$L$12:$L$47,MATCH(1,($C106&amp;$D106='TaxCred&amp;Subs'!$E$12:$E$47)*($F106='TaxCred&amp;Subs'!$C$12:$C$47),0)
),9999),IFERROR(INDEX('TaxCred&amp;Subs'!$N$12:$N$47,MATCH(1,($C106&amp;$D106='TaxCred&amp;Subs'!$E$12:$E$47)*($F106='TaxCred&amp;Subs'!$C$12:$C$47),0)
),0),0),(IF($M106&gt;=IFERROR(INDEX('TaxCred&amp;Subs'!$H$12:$H$47,MATCH(1,($C106&amp;$D106='TaxCred&amp;Subs'!$D$12:$D$47)*($F106='TaxCred&amp;Subs'!$C$12:$C$47),0)
),9999),IFERROR(INDEX('TaxCred&amp;Subs'!$N$12:$N$47,MATCH(1,($C106&amp;$D106='TaxCred&amp;Subs'!$D$12:$D$47)*($F106='TaxCred&amp;Subs'!$C$12:$C$47),0)
),0),0)))),0)+IF(AND($C106=2,VALUE(RIGHT($AD106,1))&gt;2),(N106-R106)*(IFERROR(INDEX('TaxCred&amp;Subs'!$J$66:$J$99,MATCH(1,($C106&amp;$D106='TaxCred&amp;Subs'!$E$66:$E$99)*($F106='TaxCred&amp;Subs'!$C$66:$C$99),0)),0)),IF(AND($C106=1,VALUE(RIGHT($AD106,1))&gt;2),(N106-R106)*(IFERROR(INDEX('TaxCred&amp;Subs'!$J$66:$J$99,MATCH(1,($C106&amp;$D106='TaxCred&amp;Subs'!$D$66:$D$99)*($F106='TaxCred&amp;Subs'!$C$66:$C$99),0)),0)),IF($C106&gt;2,(N106-R106)*(IFERROR(INDEX('TaxCred&amp;Subs'!$J$66:$J$99,MATCH(1,($C106&amp;$D106='TaxCred&amp;Subs'!$D$66:$D$99)*($F106='TaxCred&amp;Subs'!$C$66:$C$99),0)),0)),0))),0)</f>
        <v>0</v>
      </c>
      <c r="Q106" s="95">
        <f t="array" ref="Q106">ROUND(IF(AND($C106=2,VALUE(RIGHT($AD106,1))&gt;2),(O106-S106)*(IFERROR(INDEX('TaxCred&amp;Subs'!$J$66:$J$99,MATCH(1,($C106&amp;$D106='TaxCred&amp;Subs'!$E$66:$E$99)*($F106='TaxCred&amp;Subs'!$C$66:$C$99),0)),0)),IF(AND($C106=1,VALUE(RIGHT($AD106,1))&gt;2),(O106-S106)*(IFERROR(INDEX('TaxCred&amp;Subs'!$J$66:$J$99,MATCH(1,($C106&amp;$D106='TaxCred&amp;Subs'!$D$66:$D$99)*($F106='TaxCred&amp;Subs'!$C$66:$C$99),0)),0)),IF($C106&gt;2,(O106-S106)*(IFERROR(INDEX('TaxCred&amp;Subs'!$J$66:$J$99,MATCH(1,($C106&amp;$D106='TaxCred&amp;Subs'!$D$66:$D$99)*($F106='TaxCred&amp;Subs'!$C$66:$C$99),0)),0)),0))),0)</f>
        <v>0</v>
      </c>
      <c r="R106" s="95">
        <f t="array" ref="R106">ROUND(IF(IFERROR(VALUE(RIGHT($AD106,1)),0)&gt;2,IF($C106=8,N106*IFERROR(INDEX('TaxCred&amp;Subs'!$K$139:$S$151,MATCH($C106&amp;$D106&amp;LEFT($AD106,7),'TaxCred&amp;Subs'!$E$139:$E$151,0),MATCH($H106,'TaxCred&amp;Subs'!$K$137:$S$137,0)),0),IF($C106=2,N106*IFERROR(INDEX('TaxCred&amp;Subs'!$K$139:$S$151,MATCH($C106&amp;$D106,'TaxCred&amp;Subs'!$D$139:$D$151,0),MATCH($H106,'TaxCred&amp;Subs'!$K$137:$S$137,0)),0),N106*IFERROR(INDEX('TaxCred&amp;Subs'!$K$139:$S$151,MATCH($C106&amp;$D106,'TaxCred&amp;Subs'!$C$139:$C$151,0),MATCH($H106,'TaxCred&amp;Subs'!$K$137:$S$137,0)),0))),0),0)</f>
        <v>12</v>
      </c>
      <c r="S106" s="95">
        <f t="array" ref="S106">ROUND(IF(IFERROR(VALUE(RIGHT($AD106,1)),0)&gt;2,IF($C106=8,O106*IFERROR(INDEX('TaxCred&amp;Subs'!$K$139:$S$151,MATCH($C106&amp;$D106&amp;LEFT($AD106,7),'TaxCred&amp;Subs'!$E$139:$E$151,0),MATCH($H106,'TaxCred&amp;Subs'!$K$137:$S$137,0)),0),IF($C106=2,O106*IFERROR(INDEX('TaxCred&amp;Subs'!$K$139:$S$151,MATCH($C106&amp;$D106,'TaxCred&amp;Subs'!$D$139:$D$151,0),MATCH($H106,'TaxCred&amp;Subs'!$K$137:$S$137,0)),0),O106*IFERROR(INDEX('TaxCred&amp;Subs'!$K$139:$S$151,MATCH($C106&amp;$D106,'TaxCred&amp;Subs'!$C$139:$C$151,0),MATCH($H106,'TaxCred&amp;Subs'!$K$137:$S$137,0)),0))),0),0)</f>
        <v>4</v>
      </c>
      <c r="T106" s="95">
        <f t="shared" si="8"/>
        <v>0</v>
      </c>
      <c r="U106" s="95">
        <f t="shared" si="9"/>
        <v>0</v>
      </c>
      <c r="V106" s="28" t="s">
        <v>222</v>
      </c>
      <c r="W106" s="31">
        <v>2020</v>
      </c>
      <c r="X106" s="28">
        <v>1</v>
      </c>
      <c r="Y106" s="28">
        <v>0</v>
      </c>
      <c r="Z106" s="196">
        <v>-2.1540077624843197E-4</v>
      </c>
      <c r="AA106" s="196">
        <v>-3.3138580961297225E-3</v>
      </c>
      <c r="AB106" s="28">
        <v>0</v>
      </c>
      <c r="AC106" s="28">
        <v>0</v>
      </c>
      <c r="AD106" s="28" t="s">
        <v>321</v>
      </c>
    </row>
    <row r="107" spans="2:30" ht="14.25" customHeight="1" x14ac:dyDescent="0.2">
      <c r="B107" s="7">
        <f t="shared" si="5"/>
        <v>83</v>
      </c>
      <c r="C107" s="28">
        <v>1</v>
      </c>
      <c r="D107" s="28">
        <v>3</v>
      </c>
      <c r="E107" s="28">
        <v>8</v>
      </c>
      <c r="F107" s="96">
        <v>2020</v>
      </c>
      <c r="G107" s="28">
        <v>2021</v>
      </c>
      <c r="H107" s="28">
        <v>8</v>
      </c>
      <c r="I107" s="28">
        <v>8</v>
      </c>
      <c r="J107" s="28">
        <v>0</v>
      </c>
      <c r="K107" s="28">
        <v>0</v>
      </c>
      <c r="L107" s="28">
        <v>0</v>
      </c>
      <c r="M107" s="75">
        <v>0.9</v>
      </c>
      <c r="N107" s="151">
        <v>4130</v>
      </c>
      <c r="O107" s="151">
        <v>1200</v>
      </c>
      <c r="P107" s="95">
        <f t="array" ref="P107">ROUND(IF($F107&lt;='TaxCred&amp;Subs'!$C$49,(IF($C107=2,IF($M107&gt;=IFERROR(INDEX('TaxCred&amp;Subs'!$L$12:$L$47,MATCH(1,($C107&amp;$D107='TaxCred&amp;Subs'!$E$12:$E$47)*($F107='TaxCred&amp;Subs'!$C$12:$C$47),0)
),9999),IFERROR(INDEX('TaxCred&amp;Subs'!$N$12:$N$47,MATCH(1,($C107&amp;$D107='TaxCred&amp;Subs'!$E$12:$E$47)*($F107='TaxCred&amp;Subs'!$C$12:$C$47),0)
),0),0),(IF($M107&gt;=IFERROR(INDEX('TaxCred&amp;Subs'!$H$12:$H$47,MATCH(1,($C107&amp;$D107='TaxCred&amp;Subs'!$D$12:$D$47)*($F107='TaxCred&amp;Subs'!$C$12:$C$47),0)
),9999),IFERROR(INDEX('TaxCred&amp;Subs'!$N$12:$N$47,MATCH(1,($C107&amp;$D107='TaxCred&amp;Subs'!$D$12:$D$47)*($F107='TaxCred&amp;Subs'!$C$12:$C$47),0)
),0),0)))),0)+IF(AND($C107=2,VALUE(RIGHT($AD107,1))&gt;2),(N107-R107)*(IFERROR(INDEX('TaxCred&amp;Subs'!$J$66:$J$99,MATCH(1,($C107&amp;$D107='TaxCred&amp;Subs'!$E$66:$E$99)*($F107='TaxCred&amp;Subs'!$C$66:$C$99),0)),0)),IF(AND($C107=1,VALUE(RIGHT($AD107,1))&gt;2),(N107-R107)*(IFERROR(INDEX('TaxCred&amp;Subs'!$J$66:$J$99,MATCH(1,($C107&amp;$D107='TaxCred&amp;Subs'!$D$66:$D$99)*($F107='TaxCred&amp;Subs'!$C$66:$C$99),0)),0)),IF($C107&gt;2,(N107-R107)*(IFERROR(INDEX('TaxCred&amp;Subs'!$J$66:$J$99,MATCH(1,($C107&amp;$D107='TaxCred&amp;Subs'!$D$66:$D$99)*($F107='TaxCred&amp;Subs'!$C$66:$C$99),0)),0)),0))),0)</f>
        <v>0</v>
      </c>
      <c r="Q107" s="95">
        <f t="array" ref="Q107">ROUND(IF(AND($C107=2,VALUE(RIGHT($AD107,1))&gt;2),(O107-S107)*(IFERROR(INDEX('TaxCred&amp;Subs'!$J$66:$J$99,MATCH(1,($C107&amp;$D107='TaxCred&amp;Subs'!$E$66:$E$99)*($F107='TaxCred&amp;Subs'!$C$66:$C$99),0)),0)),IF(AND($C107=1,VALUE(RIGHT($AD107,1))&gt;2),(O107-S107)*(IFERROR(INDEX('TaxCred&amp;Subs'!$J$66:$J$99,MATCH(1,($C107&amp;$D107='TaxCred&amp;Subs'!$D$66:$D$99)*($F107='TaxCred&amp;Subs'!$C$66:$C$99),0)),0)),IF($C107&gt;2,(O107-S107)*(IFERROR(INDEX('TaxCred&amp;Subs'!$J$66:$J$99,MATCH(1,($C107&amp;$D107='TaxCred&amp;Subs'!$D$66:$D$99)*($F107='TaxCred&amp;Subs'!$C$66:$C$99),0)),0)),0))),0)</f>
        <v>0</v>
      </c>
      <c r="R107" s="95">
        <f t="array" ref="R107">ROUND(IF(IFERROR(VALUE(RIGHT($AD107,1)),0)&gt;2,IF($C107=8,N107*IFERROR(INDEX('TaxCred&amp;Subs'!$K$139:$S$151,MATCH($C107&amp;$D107&amp;LEFT($AD107,7),'TaxCred&amp;Subs'!$E$139:$E$151,0),MATCH($H107,'TaxCred&amp;Subs'!$K$137:$S$137,0)),0),IF($C107=2,N107*IFERROR(INDEX('TaxCred&amp;Subs'!$K$139:$S$151,MATCH($C107&amp;$D107,'TaxCred&amp;Subs'!$D$139:$D$151,0),MATCH($H107,'TaxCred&amp;Subs'!$K$137:$S$137,0)),0),N107*IFERROR(INDEX('TaxCred&amp;Subs'!$K$139:$S$151,MATCH($C107&amp;$D107,'TaxCred&amp;Subs'!$C$139:$C$151,0),MATCH($H107,'TaxCred&amp;Subs'!$K$137:$S$137,0)),0))),0),0)</f>
        <v>170</v>
      </c>
      <c r="S107" s="95">
        <f t="array" ref="S107">ROUND(IF(IFERROR(VALUE(RIGHT($AD107,1)),0)&gt;2,IF($C107=8,O107*IFERROR(INDEX('TaxCred&amp;Subs'!$K$139:$S$151,MATCH($C107&amp;$D107&amp;LEFT($AD107,7),'TaxCred&amp;Subs'!$E$139:$E$151,0),MATCH($H107,'TaxCred&amp;Subs'!$K$137:$S$137,0)),0),IF($C107=2,O107*IFERROR(INDEX('TaxCred&amp;Subs'!$K$139:$S$151,MATCH($C107&amp;$D107,'TaxCred&amp;Subs'!$D$139:$D$151,0),MATCH($H107,'TaxCred&amp;Subs'!$K$137:$S$137,0)),0),O107*IFERROR(INDEX('TaxCred&amp;Subs'!$K$139:$S$151,MATCH($C107&amp;$D107,'TaxCred&amp;Subs'!$C$139:$C$151,0),MATCH($H107,'TaxCred&amp;Subs'!$K$137:$S$137,0)),0))),0),0)</f>
        <v>49</v>
      </c>
      <c r="T107" s="95">
        <f t="shared" si="8"/>
        <v>0</v>
      </c>
      <c r="U107" s="95">
        <f t="shared" si="9"/>
        <v>0</v>
      </c>
      <c r="V107" s="28" t="s">
        <v>222</v>
      </c>
      <c r="W107" s="31">
        <v>2020</v>
      </c>
      <c r="X107" s="28">
        <v>1</v>
      </c>
      <c r="Y107" s="28">
        <v>0</v>
      </c>
      <c r="Z107" s="196">
        <v>-2.1540077624843197E-4</v>
      </c>
      <c r="AA107" s="196">
        <v>-3.3138580961297225E-3</v>
      </c>
      <c r="AB107" s="28">
        <v>0</v>
      </c>
      <c r="AC107" s="28">
        <v>0</v>
      </c>
      <c r="AD107" s="28" t="s">
        <v>321</v>
      </c>
    </row>
    <row r="108" spans="2:30" ht="14.25" customHeight="1" x14ac:dyDescent="0.2">
      <c r="B108" s="7">
        <f t="shared" si="5"/>
        <v>84</v>
      </c>
      <c r="C108" s="28">
        <v>1</v>
      </c>
      <c r="D108" s="28">
        <v>3</v>
      </c>
      <c r="E108" s="28">
        <v>8</v>
      </c>
      <c r="F108" s="96">
        <v>2020</v>
      </c>
      <c r="G108" s="28">
        <v>2021</v>
      </c>
      <c r="H108" s="28">
        <v>9</v>
      </c>
      <c r="I108" s="28">
        <v>8</v>
      </c>
      <c r="J108" s="28">
        <v>0</v>
      </c>
      <c r="K108" s="28">
        <v>0</v>
      </c>
      <c r="L108" s="28">
        <v>0</v>
      </c>
      <c r="M108" s="75">
        <v>0.9</v>
      </c>
      <c r="N108" s="151">
        <v>4130</v>
      </c>
      <c r="O108" s="151">
        <v>1200</v>
      </c>
      <c r="P108" s="95">
        <f t="array" ref="P108">ROUND(IF($F108&lt;='TaxCred&amp;Subs'!$C$49,(IF($C108=2,IF($M108&gt;=IFERROR(INDEX('TaxCred&amp;Subs'!$L$12:$L$47,MATCH(1,($C108&amp;$D108='TaxCred&amp;Subs'!$E$12:$E$47)*($F108='TaxCred&amp;Subs'!$C$12:$C$47),0)
),9999),IFERROR(INDEX('TaxCred&amp;Subs'!$N$12:$N$47,MATCH(1,($C108&amp;$D108='TaxCred&amp;Subs'!$E$12:$E$47)*($F108='TaxCred&amp;Subs'!$C$12:$C$47),0)
),0),0),(IF($M108&gt;=IFERROR(INDEX('TaxCred&amp;Subs'!$H$12:$H$47,MATCH(1,($C108&amp;$D108='TaxCred&amp;Subs'!$D$12:$D$47)*($F108='TaxCred&amp;Subs'!$C$12:$C$47),0)
),9999),IFERROR(INDEX('TaxCred&amp;Subs'!$N$12:$N$47,MATCH(1,($C108&amp;$D108='TaxCred&amp;Subs'!$D$12:$D$47)*($F108='TaxCred&amp;Subs'!$C$12:$C$47),0)
),0),0)))),0)+IF(AND($C108=2,VALUE(RIGHT($AD108,1))&gt;2),(N108-R108)*(IFERROR(INDEX('TaxCred&amp;Subs'!$J$66:$J$99,MATCH(1,($C108&amp;$D108='TaxCred&amp;Subs'!$E$66:$E$99)*($F108='TaxCred&amp;Subs'!$C$66:$C$99),0)),0)),IF(AND($C108=1,VALUE(RIGHT($AD108,1))&gt;2),(N108-R108)*(IFERROR(INDEX('TaxCred&amp;Subs'!$J$66:$J$99,MATCH(1,($C108&amp;$D108='TaxCred&amp;Subs'!$D$66:$D$99)*($F108='TaxCred&amp;Subs'!$C$66:$C$99),0)),0)),IF($C108&gt;2,(N108-R108)*(IFERROR(INDEX('TaxCred&amp;Subs'!$J$66:$J$99,MATCH(1,($C108&amp;$D108='TaxCred&amp;Subs'!$D$66:$D$99)*($F108='TaxCred&amp;Subs'!$C$66:$C$99),0)),0)),0))),0)</f>
        <v>0</v>
      </c>
      <c r="Q108" s="95">
        <f t="array" ref="Q108">ROUND(IF(AND($C108=2,VALUE(RIGHT($AD108,1))&gt;2),(O108-S108)*(IFERROR(INDEX('TaxCred&amp;Subs'!$J$66:$J$99,MATCH(1,($C108&amp;$D108='TaxCred&amp;Subs'!$E$66:$E$99)*($F108='TaxCred&amp;Subs'!$C$66:$C$99),0)),0)),IF(AND($C108=1,VALUE(RIGHT($AD108,1))&gt;2),(O108-S108)*(IFERROR(INDEX('TaxCred&amp;Subs'!$J$66:$J$99,MATCH(1,($C108&amp;$D108='TaxCred&amp;Subs'!$D$66:$D$99)*($F108='TaxCred&amp;Subs'!$C$66:$C$99),0)),0)),IF($C108&gt;2,(O108-S108)*(IFERROR(INDEX('TaxCred&amp;Subs'!$J$66:$J$99,MATCH(1,($C108&amp;$D108='TaxCred&amp;Subs'!$D$66:$D$99)*($F108='TaxCred&amp;Subs'!$C$66:$C$99),0)),0)),0))),0)</f>
        <v>0</v>
      </c>
      <c r="R108" s="95">
        <f t="array" ref="R108">ROUND(IF(IFERROR(VALUE(RIGHT($AD108,1)),0)&gt;2,IF($C108=8,N108*IFERROR(INDEX('TaxCred&amp;Subs'!$K$139:$S$151,MATCH($C108&amp;$D108&amp;LEFT($AD108,7),'TaxCred&amp;Subs'!$E$139:$E$151,0),MATCH($H108,'TaxCred&amp;Subs'!$K$137:$S$137,0)),0),IF($C108=2,N108*IFERROR(INDEX('TaxCred&amp;Subs'!$K$139:$S$151,MATCH($C108&amp;$D108,'TaxCred&amp;Subs'!$D$139:$D$151,0),MATCH($H108,'TaxCred&amp;Subs'!$K$137:$S$137,0)),0),N108*IFERROR(INDEX('TaxCred&amp;Subs'!$K$139:$S$151,MATCH($C108&amp;$D108,'TaxCred&amp;Subs'!$C$139:$C$151,0),MATCH($H108,'TaxCred&amp;Subs'!$K$137:$S$137,0)),0))),0),0)</f>
        <v>624</v>
      </c>
      <c r="S108" s="95">
        <f t="array" ref="S108">ROUND(IF(IFERROR(VALUE(RIGHT($AD108,1)),0)&gt;2,IF($C108=8,O108*IFERROR(INDEX('TaxCred&amp;Subs'!$K$139:$S$151,MATCH($C108&amp;$D108&amp;LEFT($AD108,7),'TaxCred&amp;Subs'!$E$139:$E$151,0),MATCH($H108,'TaxCred&amp;Subs'!$K$137:$S$137,0)),0),IF($C108=2,O108*IFERROR(INDEX('TaxCred&amp;Subs'!$K$139:$S$151,MATCH($C108&amp;$D108,'TaxCred&amp;Subs'!$D$139:$D$151,0),MATCH($H108,'TaxCred&amp;Subs'!$K$137:$S$137,0)),0),O108*IFERROR(INDEX('TaxCred&amp;Subs'!$K$139:$S$151,MATCH($C108&amp;$D108,'TaxCred&amp;Subs'!$C$139:$C$151,0),MATCH($H108,'TaxCred&amp;Subs'!$K$137:$S$137,0)),0))),0),0)</f>
        <v>181</v>
      </c>
      <c r="T108" s="172">
        <f t="shared" si="8"/>
        <v>619.5</v>
      </c>
      <c r="U108" s="172">
        <f t="shared" si="9"/>
        <v>180</v>
      </c>
      <c r="V108" s="28" t="s">
        <v>222</v>
      </c>
      <c r="W108" s="31">
        <v>2020</v>
      </c>
      <c r="X108" s="28">
        <v>1</v>
      </c>
      <c r="Y108" s="28">
        <v>0</v>
      </c>
      <c r="Z108" s="196">
        <v>-2.1540077624843197E-4</v>
      </c>
      <c r="AA108" s="196">
        <v>-3.3138580961297225E-3</v>
      </c>
      <c r="AB108" s="28">
        <v>0</v>
      </c>
      <c r="AC108" s="28">
        <v>0</v>
      </c>
      <c r="AD108" s="28" t="s">
        <v>321</v>
      </c>
    </row>
    <row r="109" spans="2:30" ht="14.25" customHeight="1" x14ac:dyDescent="0.2">
      <c r="B109" s="7">
        <f t="shared" si="5"/>
        <v>85</v>
      </c>
      <c r="C109" s="28">
        <v>1</v>
      </c>
      <c r="D109" s="28">
        <v>3</v>
      </c>
      <c r="E109" s="28">
        <v>8</v>
      </c>
      <c r="F109" s="28">
        <v>2022</v>
      </c>
      <c r="G109" s="31">
        <v>2028</v>
      </c>
      <c r="H109" s="28">
        <v>1</v>
      </c>
      <c r="I109" s="28">
        <v>8</v>
      </c>
      <c r="J109" s="28">
        <v>0</v>
      </c>
      <c r="K109" s="28">
        <v>0</v>
      </c>
      <c r="L109" s="28">
        <v>0</v>
      </c>
      <c r="M109" s="75">
        <v>0.95</v>
      </c>
      <c r="N109" s="151">
        <v>4150</v>
      </c>
      <c r="O109" s="151">
        <v>1220</v>
      </c>
      <c r="P109" s="95">
        <f t="array" ref="P109">ROUND(IF($F109&lt;='TaxCred&amp;Subs'!$C$49,(IF($C109=2,IF($M109&gt;=IFERROR(INDEX('TaxCred&amp;Subs'!$L$12:$L$47,MATCH(1,($C109&amp;$D109='TaxCred&amp;Subs'!$E$12:$E$47)*($F109='TaxCred&amp;Subs'!$C$12:$C$47),0)
),9999),IFERROR(INDEX('TaxCred&amp;Subs'!$N$12:$N$47,MATCH(1,($C109&amp;$D109='TaxCred&amp;Subs'!$E$12:$E$47)*($F109='TaxCred&amp;Subs'!$C$12:$C$47),0)
),0),0),(IF($M109&gt;=IFERROR(INDEX('TaxCred&amp;Subs'!$H$12:$H$47,MATCH(1,($C109&amp;$D109='TaxCred&amp;Subs'!$D$12:$D$47)*($F109='TaxCred&amp;Subs'!$C$12:$C$47),0)
),9999),IFERROR(INDEX('TaxCred&amp;Subs'!$N$12:$N$47,MATCH(1,($C109&amp;$D109='TaxCred&amp;Subs'!$D$12:$D$47)*($F109='TaxCred&amp;Subs'!$C$12:$C$47),0)
),0),0)))),0)+IF(AND($C109=2,VALUE(RIGHT($AD109,1))&gt;2),(N109-R109)*(IFERROR(INDEX('TaxCred&amp;Subs'!$J$66:$J$99,MATCH(1,($C109&amp;$D109='TaxCred&amp;Subs'!$E$66:$E$99)*($F109='TaxCred&amp;Subs'!$C$66:$C$99),0)),0)),IF(AND($C109=1,VALUE(RIGHT($AD109,1))&gt;2),(N109-R109)*(IFERROR(INDEX('TaxCred&amp;Subs'!$J$66:$J$99,MATCH(1,($C109&amp;$D109='TaxCred&amp;Subs'!$D$66:$D$99)*($F109='TaxCred&amp;Subs'!$C$66:$C$99),0)),0)),IF($C109&gt;2,(N109-R109)*(IFERROR(INDEX('TaxCred&amp;Subs'!$J$66:$J$99,MATCH(1,($C109&amp;$D109='TaxCred&amp;Subs'!$D$66:$D$99)*($F109='TaxCred&amp;Subs'!$C$66:$C$99),0)),0)),0))),0)</f>
        <v>600</v>
      </c>
      <c r="Q109" s="95">
        <f t="array" ref="Q109">ROUND(IF(AND($C109=2,VALUE(RIGHT($AD109,1))&gt;2),(O109-S109)*(IFERROR(INDEX('TaxCred&amp;Subs'!$J$66:$J$99,MATCH(1,($C109&amp;$D109='TaxCred&amp;Subs'!$E$66:$E$99)*($F109='TaxCred&amp;Subs'!$C$66:$C$99),0)),0)),IF(AND($C109=1,VALUE(RIGHT($AD109,1))&gt;2),(O109-S109)*(IFERROR(INDEX('TaxCred&amp;Subs'!$J$66:$J$99,MATCH(1,($C109&amp;$D109='TaxCred&amp;Subs'!$D$66:$D$99)*($F109='TaxCred&amp;Subs'!$C$66:$C$99),0)),0)),IF($C109&gt;2,(O109-S109)*(IFERROR(INDEX('TaxCred&amp;Subs'!$J$66:$J$99,MATCH(1,($C109&amp;$D109='TaxCred&amp;Subs'!$D$66:$D$99)*($F109='TaxCred&amp;Subs'!$C$66:$C$99),0)),0)),0))),0)</f>
        <v>0</v>
      </c>
      <c r="R109" s="95">
        <f t="array" ref="R109">ROUND(IF(IFERROR(VALUE(RIGHT($AD109,1)),0)&gt;2,IF($C109=8,N109*IFERROR(INDEX('TaxCred&amp;Subs'!$K$139:$S$151,MATCH($C109&amp;$D109&amp;LEFT($AD109,7),'TaxCred&amp;Subs'!$E$139:$E$151,0),MATCH($H109,'TaxCred&amp;Subs'!$K$137:$S$137,0)),0),IF($C109=2,N109*IFERROR(INDEX('TaxCred&amp;Subs'!$K$139:$S$151,MATCH($C109&amp;$D109,'TaxCred&amp;Subs'!$D$139:$D$151,0),MATCH($H109,'TaxCred&amp;Subs'!$K$137:$S$137,0)),0),N109*IFERROR(INDEX('TaxCred&amp;Subs'!$K$139:$S$151,MATCH($C109&amp;$D109,'TaxCred&amp;Subs'!$C$139:$C$151,0),MATCH($H109,'TaxCred&amp;Subs'!$K$137:$S$137,0)),0))),0),0)</f>
        <v>401</v>
      </c>
      <c r="S109" s="95">
        <f t="array" ref="S109">ROUND(IF(IFERROR(VALUE(RIGHT($AD109,1)),0)&gt;2,IF($C109=8,O109*IFERROR(INDEX('TaxCred&amp;Subs'!$K$139:$S$151,MATCH($C109&amp;$D109&amp;LEFT($AD109,7),'TaxCred&amp;Subs'!$E$139:$E$151,0),MATCH($H109,'TaxCred&amp;Subs'!$K$137:$S$137,0)),0),IF($C109=2,O109*IFERROR(INDEX('TaxCred&amp;Subs'!$K$139:$S$151,MATCH($C109&amp;$D109,'TaxCred&amp;Subs'!$D$139:$D$151,0),MATCH($H109,'TaxCred&amp;Subs'!$K$137:$S$137,0)),0),O109*IFERROR(INDEX('TaxCred&amp;Subs'!$K$139:$S$151,MATCH($C109&amp;$D109,'TaxCred&amp;Subs'!$C$139:$C$151,0),MATCH($H109,'TaxCred&amp;Subs'!$K$137:$S$137,0)),0))),0),0)</f>
        <v>118</v>
      </c>
      <c r="T109" s="95">
        <f t="shared" si="8"/>
        <v>0</v>
      </c>
      <c r="U109" s="95">
        <f t="shared" si="9"/>
        <v>0</v>
      </c>
      <c r="V109" s="28" t="s">
        <v>222</v>
      </c>
      <c r="W109" s="31">
        <v>2020</v>
      </c>
      <c r="X109" s="28">
        <v>1</v>
      </c>
      <c r="Y109" s="28">
        <v>0</v>
      </c>
      <c r="Z109" s="196">
        <v>-2.1540077624843197E-4</v>
      </c>
      <c r="AA109" s="196">
        <v>-3.3138580961297225E-3</v>
      </c>
      <c r="AB109" s="28">
        <v>0</v>
      </c>
      <c r="AC109" s="28">
        <v>0</v>
      </c>
      <c r="AD109" s="28" t="s">
        <v>321</v>
      </c>
    </row>
    <row r="110" spans="2:30" ht="14.25" customHeight="1" x14ac:dyDescent="0.2">
      <c r="B110" s="7">
        <f t="shared" si="5"/>
        <v>86</v>
      </c>
      <c r="C110" s="28">
        <v>1</v>
      </c>
      <c r="D110" s="28">
        <v>3</v>
      </c>
      <c r="E110" s="28">
        <v>8</v>
      </c>
      <c r="F110" s="28">
        <v>2022</v>
      </c>
      <c r="G110" s="31">
        <v>2028</v>
      </c>
      <c r="H110" s="28">
        <v>2</v>
      </c>
      <c r="I110" s="28">
        <v>8</v>
      </c>
      <c r="J110" s="28">
        <v>0</v>
      </c>
      <c r="K110" s="28">
        <v>0</v>
      </c>
      <c r="L110" s="28">
        <v>0</v>
      </c>
      <c r="M110" s="75">
        <v>0.95</v>
      </c>
      <c r="N110" s="151">
        <v>4150</v>
      </c>
      <c r="O110" s="151">
        <v>1220</v>
      </c>
      <c r="P110" s="95">
        <f t="array" ref="P110">ROUND(IF($F110&lt;='TaxCred&amp;Subs'!$C$49,(IF($C110=2,IF($M110&gt;=IFERROR(INDEX('TaxCred&amp;Subs'!$L$12:$L$47,MATCH(1,($C110&amp;$D110='TaxCred&amp;Subs'!$E$12:$E$47)*($F110='TaxCred&amp;Subs'!$C$12:$C$47),0)
),9999),IFERROR(INDEX('TaxCred&amp;Subs'!$N$12:$N$47,MATCH(1,($C110&amp;$D110='TaxCred&amp;Subs'!$E$12:$E$47)*($F110='TaxCred&amp;Subs'!$C$12:$C$47),0)
),0),0),(IF($M110&gt;=IFERROR(INDEX('TaxCred&amp;Subs'!$H$12:$H$47,MATCH(1,($C110&amp;$D110='TaxCred&amp;Subs'!$D$12:$D$47)*($F110='TaxCred&amp;Subs'!$C$12:$C$47),0)
),9999),IFERROR(INDEX('TaxCred&amp;Subs'!$N$12:$N$47,MATCH(1,($C110&amp;$D110='TaxCred&amp;Subs'!$D$12:$D$47)*($F110='TaxCred&amp;Subs'!$C$12:$C$47),0)
),0),0)))),0)+IF(AND($C110=2,VALUE(RIGHT($AD110,1))&gt;2),(N110-R110)*(IFERROR(INDEX('TaxCred&amp;Subs'!$J$66:$J$99,MATCH(1,($C110&amp;$D110='TaxCred&amp;Subs'!$E$66:$E$99)*($F110='TaxCred&amp;Subs'!$C$66:$C$99),0)),0)),IF(AND($C110=1,VALUE(RIGHT($AD110,1))&gt;2),(N110-R110)*(IFERROR(INDEX('TaxCred&amp;Subs'!$J$66:$J$99,MATCH(1,($C110&amp;$D110='TaxCred&amp;Subs'!$D$66:$D$99)*($F110='TaxCred&amp;Subs'!$C$66:$C$99),0)),0)),IF($C110&gt;2,(N110-R110)*(IFERROR(INDEX('TaxCred&amp;Subs'!$J$66:$J$99,MATCH(1,($C110&amp;$D110='TaxCred&amp;Subs'!$D$66:$D$99)*($F110='TaxCred&amp;Subs'!$C$66:$C$99),0)),0)),0))),0)</f>
        <v>600</v>
      </c>
      <c r="Q110" s="95">
        <f t="array" ref="Q110">ROUND(IF(AND($C110=2,VALUE(RIGHT($AD110,1))&gt;2),(O110-S110)*(IFERROR(INDEX('TaxCred&amp;Subs'!$J$66:$J$99,MATCH(1,($C110&amp;$D110='TaxCred&amp;Subs'!$E$66:$E$99)*($F110='TaxCred&amp;Subs'!$C$66:$C$99),0)),0)),IF(AND($C110=1,VALUE(RIGHT($AD110,1))&gt;2),(O110-S110)*(IFERROR(INDEX('TaxCred&amp;Subs'!$J$66:$J$99,MATCH(1,($C110&amp;$D110='TaxCred&amp;Subs'!$D$66:$D$99)*($F110='TaxCred&amp;Subs'!$C$66:$C$99),0)),0)),IF($C110&gt;2,(O110-S110)*(IFERROR(INDEX('TaxCred&amp;Subs'!$J$66:$J$99,MATCH(1,($C110&amp;$D110='TaxCred&amp;Subs'!$D$66:$D$99)*($F110='TaxCred&amp;Subs'!$C$66:$C$99),0)),0)),0))),0)</f>
        <v>0</v>
      </c>
      <c r="R110" s="95">
        <f t="array" ref="R110">ROUND(IF(IFERROR(VALUE(RIGHT($AD110,1)),0)&gt;2,IF($C110=8,N110*IFERROR(INDEX('TaxCred&amp;Subs'!$K$139:$S$151,MATCH($C110&amp;$D110&amp;LEFT($AD110,7),'TaxCred&amp;Subs'!$E$139:$E$151,0),MATCH($H110,'TaxCred&amp;Subs'!$K$137:$S$137,0)),0),IF($C110=2,N110*IFERROR(INDEX('TaxCred&amp;Subs'!$K$139:$S$151,MATCH($C110&amp;$D110,'TaxCred&amp;Subs'!$D$139:$D$151,0),MATCH($H110,'TaxCred&amp;Subs'!$K$137:$S$137,0)),0),N110*IFERROR(INDEX('TaxCred&amp;Subs'!$K$139:$S$151,MATCH($C110&amp;$D110,'TaxCred&amp;Subs'!$C$139:$C$151,0),MATCH($H110,'TaxCred&amp;Subs'!$K$137:$S$137,0)),0))),0),0)</f>
        <v>498</v>
      </c>
      <c r="S110" s="95">
        <f t="array" ref="S110">ROUND(IF(IFERROR(VALUE(RIGHT($AD110,1)),0)&gt;2,IF($C110=8,O110*IFERROR(INDEX('TaxCred&amp;Subs'!$K$139:$S$151,MATCH($C110&amp;$D110&amp;LEFT($AD110,7),'TaxCred&amp;Subs'!$E$139:$E$151,0),MATCH($H110,'TaxCred&amp;Subs'!$K$137:$S$137,0)),0),IF($C110=2,O110*IFERROR(INDEX('TaxCred&amp;Subs'!$K$139:$S$151,MATCH($C110&amp;$D110,'TaxCred&amp;Subs'!$D$139:$D$151,0),MATCH($H110,'TaxCred&amp;Subs'!$K$137:$S$137,0)),0),O110*IFERROR(INDEX('TaxCred&amp;Subs'!$K$139:$S$151,MATCH($C110&amp;$D110,'TaxCred&amp;Subs'!$C$139:$C$151,0),MATCH($H110,'TaxCred&amp;Subs'!$K$137:$S$137,0)),0))),0),0)</f>
        <v>146</v>
      </c>
      <c r="T110" s="95">
        <f t="shared" si="8"/>
        <v>0</v>
      </c>
      <c r="U110" s="95">
        <f t="shared" si="9"/>
        <v>0</v>
      </c>
      <c r="V110" s="28" t="s">
        <v>222</v>
      </c>
      <c r="W110" s="31">
        <v>2020</v>
      </c>
      <c r="X110" s="28">
        <v>1</v>
      </c>
      <c r="Y110" s="28">
        <v>0</v>
      </c>
      <c r="Z110" s="196">
        <v>-2.1540077624843197E-4</v>
      </c>
      <c r="AA110" s="196">
        <v>-3.3138580961297225E-3</v>
      </c>
      <c r="AB110" s="28">
        <v>0</v>
      </c>
      <c r="AC110" s="28">
        <v>0</v>
      </c>
      <c r="AD110" s="28" t="s">
        <v>321</v>
      </c>
    </row>
    <row r="111" spans="2:30" ht="14.25" customHeight="1" x14ac:dyDescent="0.2">
      <c r="B111" s="7">
        <f t="shared" si="5"/>
        <v>87</v>
      </c>
      <c r="C111" s="28">
        <v>1</v>
      </c>
      <c r="D111" s="28">
        <v>3</v>
      </c>
      <c r="E111" s="28">
        <v>8</v>
      </c>
      <c r="F111" s="28">
        <v>2022</v>
      </c>
      <c r="G111" s="31">
        <v>2028</v>
      </c>
      <c r="H111" s="28">
        <v>3</v>
      </c>
      <c r="I111" s="28">
        <v>8</v>
      </c>
      <c r="J111" s="28">
        <v>0</v>
      </c>
      <c r="K111" s="28">
        <v>0</v>
      </c>
      <c r="L111" s="28">
        <v>0</v>
      </c>
      <c r="M111" s="75">
        <v>0.95</v>
      </c>
      <c r="N111" s="151">
        <v>4150</v>
      </c>
      <c r="O111" s="151">
        <v>1220</v>
      </c>
      <c r="P111" s="95">
        <f t="array" ref="P111">ROUND(IF($F111&lt;='TaxCred&amp;Subs'!$C$49,(IF($C111=2,IF($M111&gt;=IFERROR(INDEX('TaxCred&amp;Subs'!$L$12:$L$47,MATCH(1,($C111&amp;$D111='TaxCred&amp;Subs'!$E$12:$E$47)*($F111='TaxCred&amp;Subs'!$C$12:$C$47),0)
),9999),IFERROR(INDEX('TaxCred&amp;Subs'!$N$12:$N$47,MATCH(1,($C111&amp;$D111='TaxCred&amp;Subs'!$E$12:$E$47)*($F111='TaxCred&amp;Subs'!$C$12:$C$47),0)
),0),0),(IF($M111&gt;=IFERROR(INDEX('TaxCred&amp;Subs'!$H$12:$H$47,MATCH(1,($C111&amp;$D111='TaxCred&amp;Subs'!$D$12:$D$47)*($F111='TaxCred&amp;Subs'!$C$12:$C$47),0)
),9999),IFERROR(INDEX('TaxCred&amp;Subs'!$N$12:$N$47,MATCH(1,($C111&amp;$D111='TaxCred&amp;Subs'!$D$12:$D$47)*($F111='TaxCred&amp;Subs'!$C$12:$C$47),0)
),0),0)))),0)+IF(AND($C111=2,VALUE(RIGHT($AD111,1))&gt;2),(N111-R111)*(IFERROR(INDEX('TaxCred&amp;Subs'!$J$66:$J$99,MATCH(1,($C111&amp;$D111='TaxCred&amp;Subs'!$E$66:$E$99)*($F111='TaxCred&amp;Subs'!$C$66:$C$99),0)),0)),IF(AND($C111=1,VALUE(RIGHT($AD111,1))&gt;2),(N111-R111)*(IFERROR(INDEX('TaxCred&amp;Subs'!$J$66:$J$99,MATCH(1,($C111&amp;$D111='TaxCred&amp;Subs'!$D$66:$D$99)*($F111='TaxCred&amp;Subs'!$C$66:$C$99),0)),0)),IF($C111&gt;2,(N111-R111)*(IFERROR(INDEX('TaxCred&amp;Subs'!$J$66:$J$99,MATCH(1,($C111&amp;$D111='TaxCred&amp;Subs'!$D$66:$D$99)*($F111='TaxCred&amp;Subs'!$C$66:$C$99),0)),0)),0))),0)</f>
        <v>600</v>
      </c>
      <c r="Q111" s="95">
        <f t="array" ref="Q111">ROUND(IF(AND($C111=2,VALUE(RIGHT($AD111,1))&gt;2),(O111-S111)*(IFERROR(INDEX('TaxCred&amp;Subs'!$J$66:$J$99,MATCH(1,($C111&amp;$D111='TaxCred&amp;Subs'!$E$66:$E$99)*($F111='TaxCred&amp;Subs'!$C$66:$C$99),0)),0)),IF(AND($C111=1,VALUE(RIGHT($AD111,1))&gt;2),(O111-S111)*(IFERROR(INDEX('TaxCred&amp;Subs'!$J$66:$J$99,MATCH(1,($C111&amp;$D111='TaxCred&amp;Subs'!$D$66:$D$99)*($F111='TaxCred&amp;Subs'!$C$66:$C$99),0)),0)),IF($C111&gt;2,(O111-S111)*(IFERROR(INDEX('TaxCred&amp;Subs'!$J$66:$J$99,MATCH(1,($C111&amp;$D111='TaxCred&amp;Subs'!$D$66:$D$99)*($F111='TaxCred&amp;Subs'!$C$66:$C$99),0)),0)),0))),0)</f>
        <v>0</v>
      </c>
      <c r="R111" s="95">
        <f t="array" ref="R111">ROUND(IF(IFERROR(VALUE(RIGHT($AD111,1)),0)&gt;2,IF($C111=8,N111*IFERROR(INDEX('TaxCred&amp;Subs'!$K$139:$S$151,MATCH($C111&amp;$D111&amp;LEFT($AD111,7),'TaxCred&amp;Subs'!$E$139:$E$151,0),MATCH($H111,'TaxCred&amp;Subs'!$K$137:$S$137,0)),0),IF($C111=2,N111*IFERROR(INDEX('TaxCred&amp;Subs'!$K$139:$S$151,MATCH($C111&amp;$D111,'TaxCred&amp;Subs'!$D$139:$D$151,0),MATCH($H111,'TaxCred&amp;Subs'!$K$137:$S$137,0)),0),N111*IFERROR(INDEX('TaxCred&amp;Subs'!$K$139:$S$151,MATCH($C111&amp;$D111,'TaxCred&amp;Subs'!$C$139:$C$151,0),MATCH($H111,'TaxCred&amp;Subs'!$K$137:$S$137,0)),0))),0),0)</f>
        <v>216</v>
      </c>
      <c r="S111" s="95">
        <f t="array" ref="S111">ROUND(IF(IFERROR(VALUE(RIGHT($AD111,1)),0)&gt;2,IF($C111=8,O111*IFERROR(INDEX('TaxCred&amp;Subs'!$K$139:$S$151,MATCH($C111&amp;$D111&amp;LEFT($AD111,7),'TaxCred&amp;Subs'!$E$139:$E$151,0),MATCH($H111,'TaxCred&amp;Subs'!$K$137:$S$137,0)),0),IF($C111=2,O111*IFERROR(INDEX('TaxCred&amp;Subs'!$K$139:$S$151,MATCH($C111&amp;$D111,'TaxCred&amp;Subs'!$D$139:$D$151,0),MATCH($H111,'TaxCred&amp;Subs'!$K$137:$S$137,0)),0),O111*IFERROR(INDEX('TaxCred&amp;Subs'!$K$139:$S$151,MATCH($C111&amp;$D111,'TaxCred&amp;Subs'!$C$139:$C$151,0),MATCH($H111,'TaxCred&amp;Subs'!$K$137:$S$137,0)),0))),0),0)</f>
        <v>64</v>
      </c>
      <c r="T111" s="95">
        <f t="shared" si="8"/>
        <v>0</v>
      </c>
      <c r="U111" s="95">
        <f t="shared" si="9"/>
        <v>0</v>
      </c>
      <c r="V111" s="28" t="s">
        <v>222</v>
      </c>
      <c r="W111" s="31">
        <v>2020</v>
      </c>
      <c r="X111" s="28">
        <v>1</v>
      </c>
      <c r="Y111" s="28">
        <v>0</v>
      </c>
      <c r="Z111" s="196">
        <v>-2.1540077624843197E-4</v>
      </c>
      <c r="AA111" s="196">
        <v>-3.3138580961297225E-3</v>
      </c>
      <c r="AB111" s="28">
        <v>0</v>
      </c>
      <c r="AC111" s="28">
        <v>0</v>
      </c>
      <c r="AD111" s="28" t="s">
        <v>321</v>
      </c>
    </row>
    <row r="112" spans="2:30" ht="14.25" customHeight="1" x14ac:dyDescent="0.2">
      <c r="B112" s="7">
        <f t="shared" si="5"/>
        <v>88</v>
      </c>
      <c r="C112" s="28">
        <v>1</v>
      </c>
      <c r="D112" s="28">
        <v>3</v>
      </c>
      <c r="E112" s="28">
        <v>8</v>
      </c>
      <c r="F112" s="28">
        <v>2022</v>
      </c>
      <c r="G112" s="31">
        <v>2028</v>
      </c>
      <c r="H112" s="28">
        <v>4</v>
      </c>
      <c r="I112" s="28">
        <v>8</v>
      </c>
      <c r="J112" s="28">
        <v>0</v>
      </c>
      <c r="K112" s="28">
        <v>0</v>
      </c>
      <c r="L112" s="28">
        <v>0</v>
      </c>
      <c r="M112" s="75">
        <v>0.95</v>
      </c>
      <c r="N112" s="151">
        <v>4150</v>
      </c>
      <c r="O112" s="151">
        <v>1220</v>
      </c>
      <c r="P112" s="95">
        <f t="array" ref="P112">ROUND(IF($F112&lt;='TaxCred&amp;Subs'!$C$49,(IF($C112=2,IF($M112&gt;=IFERROR(INDEX('TaxCred&amp;Subs'!$L$12:$L$47,MATCH(1,($C112&amp;$D112='TaxCred&amp;Subs'!$E$12:$E$47)*($F112='TaxCred&amp;Subs'!$C$12:$C$47),0)
),9999),IFERROR(INDEX('TaxCred&amp;Subs'!$N$12:$N$47,MATCH(1,($C112&amp;$D112='TaxCred&amp;Subs'!$E$12:$E$47)*($F112='TaxCred&amp;Subs'!$C$12:$C$47),0)
),0),0),(IF($M112&gt;=IFERROR(INDEX('TaxCred&amp;Subs'!$H$12:$H$47,MATCH(1,($C112&amp;$D112='TaxCred&amp;Subs'!$D$12:$D$47)*($F112='TaxCred&amp;Subs'!$C$12:$C$47),0)
),9999),IFERROR(INDEX('TaxCred&amp;Subs'!$N$12:$N$47,MATCH(1,($C112&amp;$D112='TaxCred&amp;Subs'!$D$12:$D$47)*($F112='TaxCred&amp;Subs'!$C$12:$C$47),0)
),0),0)))),0)+IF(AND($C112=2,VALUE(RIGHT($AD112,1))&gt;2),(N112-R112)*(IFERROR(INDEX('TaxCred&amp;Subs'!$J$66:$J$99,MATCH(1,($C112&amp;$D112='TaxCred&amp;Subs'!$E$66:$E$99)*($F112='TaxCred&amp;Subs'!$C$66:$C$99),0)),0)),IF(AND($C112=1,VALUE(RIGHT($AD112,1))&gt;2),(N112-R112)*(IFERROR(INDEX('TaxCred&amp;Subs'!$J$66:$J$99,MATCH(1,($C112&amp;$D112='TaxCred&amp;Subs'!$D$66:$D$99)*($F112='TaxCred&amp;Subs'!$C$66:$C$99),0)),0)),IF($C112&gt;2,(N112-R112)*(IFERROR(INDEX('TaxCred&amp;Subs'!$J$66:$J$99,MATCH(1,($C112&amp;$D112='TaxCred&amp;Subs'!$D$66:$D$99)*($F112='TaxCred&amp;Subs'!$C$66:$C$99),0)),0)),0))),0)</f>
        <v>600</v>
      </c>
      <c r="Q112" s="95">
        <f t="array" ref="Q112">ROUND(IF(AND($C112=2,VALUE(RIGHT($AD112,1))&gt;2),(O112-S112)*(IFERROR(INDEX('TaxCred&amp;Subs'!$J$66:$J$99,MATCH(1,($C112&amp;$D112='TaxCred&amp;Subs'!$E$66:$E$99)*($F112='TaxCred&amp;Subs'!$C$66:$C$99),0)),0)),IF(AND($C112=1,VALUE(RIGHT($AD112,1))&gt;2),(O112-S112)*(IFERROR(INDEX('TaxCred&amp;Subs'!$J$66:$J$99,MATCH(1,($C112&amp;$D112='TaxCred&amp;Subs'!$D$66:$D$99)*($F112='TaxCred&amp;Subs'!$C$66:$C$99),0)),0)),IF($C112&gt;2,(O112-S112)*(IFERROR(INDEX('TaxCred&amp;Subs'!$J$66:$J$99,MATCH(1,($C112&amp;$D112='TaxCred&amp;Subs'!$D$66:$D$99)*($F112='TaxCred&amp;Subs'!$C$66:$C$99),0)),0)),0))),0)</f>
        <v>0</v>
      </c>
      <c r="R112" s="95">
        <f t="array" ref="R112">ROUND(IF(IFERROR(VALUE(RIGHT($AD112,1)),0)&gt;2,IF($C112=8,N112*IFERROR(INDEX('TaxCred&amp;Subs'!$K$139:$S$151,MATCH($C112&amp;$D112&amp;LEFT($AD112,7),'TaxCred&amp;Subs'!$E$139:$E$151,0),MATCH($H112,'TaxCred&amp;Subs'!$K$137:$S$137,0)),0),IF($C112=2,N112*IFERROR(INDEX('TaxCred&amp;Subs'!$K$139:$S$151,MATCH($C112&amp;$D112,'TaxCred&amp;Subs'!$D$139:$D$151,0),MATCH($H112,'TaxCred&amp;Subs'!$K$137:$S$137,0)),0),N112*IFERROR(INDEX('TaxCred&amp;Subs'!$K$139:$S$151,MATCH($C112&amp;$D112,'TaxCred&amp;Subs'!$C$139:$C$151,0),MATCH($H112,'TaxCred&amp;Subs'!$K$137:$S$137,0)),0))),0),0)</f>
        <v>209</v>
      </c>
      <c r="S112" s="95">
        <f t="array" ref="S112">ROUND(IF(IFERROR(VALUE(RIGHT($AD112,1)),0)&gt;2,IF($C112=8,O112*IFERROR(INDEX('TaxCred&amp;Subs'!$K$139:$S$151,MATCH($C112&amp;$D112&amp;LEFT($AD112,7),'TaxCred&amp;Subs'!$E$139:$E$151,0),MATCH($H112,'TaxCred&amp;Subs'!$K$137:$S$137,0)),0),IF($C112=2,O112*IFERROR(INDEX('TaxCred&amp;Subs'!$K$139:$S$151,MATCH($C112&amp;$D112,'TaxCred&amp;Subs'!$D$139:$D$151,0),MATCH($H112,'TaxCred&amp;Subs'!$K$137:$S$137,0)),0),O112*IFERROR(INDEX('TaxCred&amp;Subs'!$K$139:$S$151,MATCH($C112&amp;$D112,'TaxCred&amp;Subs'!$C$139:$C$151,0),MATCH($H112,'TaxCred&amp;Subs'!$K$137:$S$137,0)),0))),0),0)</f>
        <v>61</v>
      </c>
      <c r="T112" s="95">
        <f t="shared" si="8"/>
        <v>0</v>
      </c>
      <c r="U112" s="95">
        <f t="shared" si="9"/>
        <v>0</v>
      </c>
      <c r="V112" s="28" t="s">
        <v>222</v>
      </c>
      <c r="W112" s="31">
        <v>2020</v>
      </c>
      <c r="X112" s="28">
        <v>1</v>
      </c>
      <c r="Y112" s="28">
        <v>0</v>
      </c>
      <c r="Z112" s="196">
        <v>-2.1540077624843197E-4</v>
      </c>
      <c r="AA112" s="196">
        <v>-3.3138580961297225E-3</v>
      </c>
      <c r="AB112" s="28">
        <v>0</v>
      </c>
      <c r="AC112" s="28">
        <v>0</v>
      </c>
      <c r="AD112" s="28" t="s">
        <v>321</v>
      </c>
    </row>
    <row r="113" spans="2:31" ht="14.25" customHeight="1" x14ac:dyDescent="0.2">
      <c r="B113" s="7">
        <f t="shared" si="5"/>
        <v>89</v>
      </c>
      <c r="C113" s="28">
        <v>1</v>
      </c>
      <c r="D113" s="28">
        <v>3</v>
      </c>
      <c r="E113" s="28">
        <v>8</v>
      </c>
      <c r="F113" s="28">
        <v>2022</v>
      </c>
      <c r="G113" s="31">
        <v>2028</v>
      </c>
      <c r="H113" s="28">
        <v>5</v>
      </c>
      <c r="I113" s="28">
        <v>8</v>
      </c>
      <c r="J113" s="28">
        <v>0</v>
      </c>
      <c r="K113" s="28">
        <v>0</v>
      </c>
      <c r="L113" s="28">
        <v>0</v>
      </c>
      <c r="M113" s="75">
        <v>0.9</v>
      </c>
      <c r="N113" s="151">
        <v>4130</v>
      </c>
      <c r="O113" s="151">
        <v>1200</v>
      </c>
      <c r="P113" s="95">
        <f t="array" ref="P113">ROUND(IF($F113&lt;='TaxCred&amp;Subs'!$C$49,(IF($C113=2,IF($M113&gt;=IFERROR(INDEX('TaxCred&amp;Subs'!$L$12:$L$47,MATCH(1,($C113&amp;$D113='TaxCred&amp;Subs'!$E$12:$E$47)*($F113='TaxCred&amp;Subs'!$C$12:$C$47),0)
),9999),IFERROR(INDEX('TaxCred&amp;Subs'!$N$12:$N$47,MATCH(1,($C113&amp;$D113='TaxCred&amp;Subs'!$E$12:$E$47)*($F113='TaxCred&amp;Subs'!$C$12:$C$47),0)
),0),0),(IF($M113&gt;=IFERROR(INDEX('TaxCred&amp;Subs'!$H$12:$H$47,MATCH(1,($C113&amp;$D113='TaxCred&amp;Subs'!$D$12:$D$47)*($F113='TaxCred&amp;Subs'!$C$12:$C$47),0)
),9999),IFERROR(INDEX('TaxCred&amp;Subs'!$N$12:$N$47,MATCH(1,($C113&amp;$D113='TaxCred&amp;Subs'!$D$12:$D$47)*($F113='TaxCred&amp;Subs'!$C$12:$C$47),0)
),0),0)))),0)+IF(AND($C113=2,VALUE(RIGHT($AD113,1))&gt;2),(N113-R113)*(IFERROR(INDEX('TaxCred&amp;Subs'!$J$66:$J$99,MATCH(1,($C113&amp;$D113='TaxCred&amp;Subs'!$E$66:$E$99)*($F113='TaxCred&amp;Subs'!$C$66:$C$99),0)),0)),IF(AND($C113=1,VALUE(RIGHT($AD113,1))&gt;2),(N113-R113)*(IFERROR(INDEX('TaxCred&amp;Subs'!$J$66:$J$99,MATCH(1,($C113&amp;$D113='TaxCred&amp;Subs'!$D$66:$D$99)*($F113='TaxCred&amp;Subs'!$C$66:$C$99),0)),0)),IF($C113&gt;2,(N113-R113)*(IFERROR(INDEX('TaxCred&amp;Subs'!$J$66:$J$99,MATCH(1,($C113&amp;$D113='TaxCred&amp;Subs'!$D$66:$D$99)*($F113='TaxCred&amp;Subs'!$C$66:$C$99),0)),0)),0))),0)</f>
        <v>0</v>
      </c>
      <c r="Q113" s="95">
        <f t="array" ref="Q113">ROUND(IF(AND($C113=2,VALUE(RIGHT($AD113,1))&gt;2),(O113-S113)*(IFERROR(INDEX('TaxCred&amp;Subs'!$J$66:$J$99,MATCH(1,($C113&amp;$D113='TaxCred&amp;Subs'!$E$66:$E$99)*($F113='TaxCred&amp;Subs'!$C$66:$C$99),0)),0)),IF(AND($C113=1,VALUE(RIGHT($AD113,1))&gt;2),(O113-S113)*(IFERROR(INDEX('TaxCred&amp;Subs'!$J$66:$J$99,MATCH(1,($C113&amp;$D113='TaxCred&amp;Subs'!$D$66:$D$99)*($F113='TaxCred&amp;Subs'!$C$66:$C$99),0)),0)),IF($C113&gt;2,(O113-S113)*(IFERROR(INDEX('TaxCred&amp;Subs'!$J$66:$J$99,MATCH(1,($C113&amp;$D113='TaxCred&amp;Subs'!$D$66:$D$99)*($F113='TaxCred&amp;Subs'!$C$66:$C$99),0)),0)),0))),0)</f>
        <v>0</v>
      </c>
      <c r="R113" s="95">
        <f t="array" ref="R113">ROUND(IF(IFERROR(VALUE(RIGHT($AD113,1)),0)&gt;2,IF($C113=8,N113*IFERROR(INDEX('TaxCred&amp;Subs'!$K$139:$S$151,MATCH($C113&amp;$D113&amp;LEFT($AD113,7),'TaxCred&amp;Subs'!$E$139:$E$151,0),MATCH($H113,'TaxCred&amp;Subs'!$K$137:$S$137,0)),0),IF($C113=2,N113*IFERROR(INDEX('TaxCred&amp;Subs'!$K$139:$S$151,MATCH($C113&amp;$D113,'TaxCred&amp;Subs'!$D$139:$D$151,0),MATCH($H113,'TaxCred&amp;Subs'!$K$137:$S$137,0)),0),N113*IFERROR(INDEX('TaxCred&amp;Subs'!$K$139:$S$151,MATCH($C113&amp;$D113,'TaxCred&amp;Subs'!$C$139:$C$151,0),MATCH($H113,'TaxCred&amp;Subs'!$K$137:$S$137,0)),0))),0),0)</f>
        <v>334</v>
      </c>
      <c r="S113" s="95">
        <f t="array" ref="S113">ROUND(IF(IFERROR(VALUE(RIGHT($AD113,1)),0)&gt;2,IF($C113=8,O113*IFERROR(INDEX('TaxCred&amp;Subs'!$K$139:$S$151,MATCH($C113&amp;$D113&amp;LEFT($AD113,7),'TaxCred&amp;Subs'!$E$139:$E$151,0),MATCH($H113,'TaxCred&amp;Subs'!$K$137:$S$137,0)),0),IF($C113=2,O113*IFERROR(INDEX('TaxCred&amp;Subs'!$K$139:$S$151,MATCH($C113&amp;$D113,'TaxCred&amp;Subs'!$D$139:$D$151,0),MATCH($H113,'TaxCred&amp;Subs'!$K$137:$S$137,0)),0),O113*IFERROR(INDEX('TaxCred&amp;Subs'!$K$139:$S$151,MATCH($C113&amp;$D113,'TaxCred&amp;Subs'!$C$139:$C$151,0),MATCH($H113,'TaxCred&amp;Subs'!$K$137:$S$137,0)),0))),0),0)</f>
        <v>97</v>
      </c>
      <c r="T113" s="95">
        <f t="shared" si="8"/>
        <v>0</v>
      </c>
      <c r="U113" s="95">
        <f t="shared" si="9"/>
        <v>0</v>
      </c>
      <c r="V113" s="28" t="s">
        <v>222</v>
      </c>
      <c r="W113" s="31">
        <v>2020</v>
      </c>
      <c r="X113" s="28">
        <v>1</v>
      </c>
      <c r="Y113" s="28">
        <v>0</v>
      </c>
      <c r="Z113" s="196">
        <v>-2.1540077624843197E-4</v>
      </c>
      <c r="AA113" s="196">
        <v>-3.3138580961297225E-3</v>
      </c>
      <c r="AB113" s="28">
        <v>0</v>
      </c>
      <c r="AC113" s="28">
        <v>0</v>
      </c>
      <c r="AD113" s="28" t="s">
        <v>321</v>
      </c>
    </row>
    <row r="114" spans="2:31" ht="14.25" customHeight="1" x14ac:dyDescent="0.2">
      <c r="B114" s="7">
        <f t="shared" si="5"/>
        <v>90</v>
      </c>
      <c r="C114" s="28">
        <v>1</v>
      </c>
      <c r="D114" s="28">
        <v>3</v>
      </c>
      <c r="E114" s="28">
        <v>8</v>
      </c>
      <c r="F114" s="28">
        <v>2022</v>
      </c>
      <c r="G114" s="31">
        <v>2028</v>
      </c>
      <c r="H114" s="28">
        <v>6</v>
      </c>
      <c r="I114" s="28">
        <v>8</v>
      </c>
      <c r="J114" s="28">
        <v>0</v>
      </c>
      <c r="K114" s="28">
        <v>0</v>
      </c>
      <c r="L114" s="28">
        <v>0</v>
      </c>
      <c r="M114" s="75">
        <v>0.9</v>
      </c>
      <c r="N114" s="151">
        <v>4130</v>
      </c>
      <c r="O114" s="151">
        <v>1200</v>
      </c>
      <c r="P114" s="95">
        <f t="array" ref="P114">ROUND(IF($F114&lt;='TaxCred&amp;Subs'!$C$49,(IF($C114=2,IF($M114&gt;=IFERROR(INDEX('TaxCred&amp;Subs'!$L$12:$L$47,MATCH(1,($C114&amp;$D114='TaxCred&amp;Subs'!$E$12:$E$47)*($F114='TaxCred&amp;Subs'!$C$12:$C$47),0)
),9999),IFERROR(INDEX('TaxCred&amp;Subs'!$N$12:$N$47,MATCH(1,($C114&amp;$D114='TaxCred&amp;Subs'!$E$12:$E$47)*($F114='TaxCred&amp;Subs'!$C$12:$C$47),0)
),0),0),(IF($M114&gt;=IFERROR(INDEX('TaxCred&amp;Subs'!$H$12:$H$47,MATCH(1,($C114&amp;$D114='TaxCred&amp;Subs'!$D$12:$D$47)*($F114='TaxCred&amp;Subs'!$C$12:$C$47),0)
),9999),IFERROR(INDEX('TaxCred&amp;Subs'!$N$12:$N$47,MATCH(1,($C114&amp;$D114='TaxCred&amp;Subs'!$D$12:$D$47)*($F114='TaxCred&amp;Subs'!$C$12:$C$47),0)
),0),0)))),0)+IF(AND($C114=2,VALUE(RIGHT($AD114,1))&gt;2),(N114-R114)*(IFERROR(INDEX('TaxCred&amp;Subs'!$J$66:$J$99,MATCH(1,($C114&amp;$D114='TaxCred&amp;Subs'!$E$66:$E$99)*($F114='TaxCred&amp;Subs'!$C$66:$C$99),0)),0)),IF(AND($C114=1,VALUE(RIGHT($AD114,1))&gt;2),(N114-R114)*(IFERROR(INDEX('TaxCred&amp;Subs'!$J$66:$J$99,MATCH(1,($C114&amp;$D114='TaxCred&amp;Subs'!$D$66:$D$99)*($F114='TaxCred&amp;Subs'!$C$66:$C$99),0)),0)),IF($C114&gt;2,(N114-R114)*(IFERROR(INDEX('TaxCred&amp;Subs'!$J$66:$J$99,MATCH(1,($C114&amp;$D114='TaxCred&amp;Subs'!$D$66:$D$99)*($F114='TaxCred&amp;Subs'!$C$66:$C$99),0)),0)),0))),0)</f>
        <v>0</v>
      </c>
      <c r="Q114" s="95">
        <f t="array" ref="Q114">ROUND(IF(AND($C114=2,VALUE(RIGHT($AD114,1))&gt;2),(O114-S114)*(IFERROR(INDEX('TaxCred&amp;Subs'!$J$66:$J$99,MATCH(1,($C114&amp;$D114='TaxCred&amp;Subs'!$E$66:$E$99)*($F114='TaxCred&amp;Subs'!$C$66:$C$99),0)),0)),IF(AND($C114=1,VALUE(RIGHT($AD114,1))&gt;2),(O114-S114)*(IFERROR(INDEX('TaxCred&amp;Subs'!$J$66:$J$99,MATCH(1,($C114&amp;$D114='TaxCred&amp;Subs'!$D$66:$D$99)*($F114='TaxCred&amp;Subs'!$C$66:$C$99),0)),0)),IF($C114&gt;2,(O114-S114)*(IFERROR(INDEX('TaxCred&amp;Subs'!$J$66:$J$99,MATCH(1,($C114&amp;$D114='TaxCred&amp;Subs'!$D$66:$D$99)*($F114='TaxCred&amp;Subs'!$C$66:$C$99),0)),0)),0))),0)</f>
        <v>0</v>
      </c>
      <c r="R114" s="95">
        <f t="array" ref="R114">ROUND(IF(IFERROR(VALUE(RIGHT($AD114,1)),0)&gt;2,IF($C114=8,N114*IFERROR(INDEX('TaxCred&amp;Subs'!$K$139:$S$151,MATCH($C114&amp;$D114&amp;LEFT($AD114,7),'TaxCred&amp;Subs'!$E$139:$E$151,0),MATCH($H114,'TaxCred&amp;Subs'!$K$137:$S$137,0)),0),IF($C114=2,N114*IFERROR(INDEX('TaxCred&amp;Subs'!$K$139:$S$151,MATCH($C114&amp;$D114,'TaxCred&amp;Subs'!$D$139:$D$151,0),MATCH($H114,'TaxCred&amp;Subs'!$K$137:$S$137,0)),0),N114*IFERROR(INDEX('TaxCred&amp;Subs'!$K$139:$S$151,MATCH($C114&amp;$D114,'TaxCred&amp;Subs'!$C$139:$C$151,0),MATCH($H114,'TaxCred&amp;Subs'!$K$137:$S$137,0)),0))),0),0)</f>
        <v>291</v>
      </c>
      <c r="S114" s="95">
        <f t="array" ref="S114">ROUND(IF(IFERROR(VALUE(RIGHT($AD114,1)),0)&gt;2,IF($C114=8,O114*IFERROR(INDEX('TaxCred&amp;Subs'!$K$139:$S$151,MATCH($C114&amp;$D114&amp;LEFT($AD114,7),'TaxCred&amp;Subs'!$E$139:$E$151,0),MATCH($H114,'TaxCred&amp;Subs'!$K$137:$S$137,0)),0),IF($C114=2,O114*IFERROR(INDEX('TaxCred&amp;Subs'!$K$139:$S$151,MATCH($C114&amp;$D114,'TaxCred&amp;Subs'!$D$139:$D$151,0),MATCH($H114,'TaxCred&amp;Subs'!$K$137:$S$137,0)),0),O114*IFERROR(INDEX('TaxCred&amp;Subs'!$K$139:$S$151,MATCH($C114&amp;$D114,'TaxCred&amp;Subs'!$C$139:$C$151,0),MATCH($H114,'TaxCred&amp;Subs'!$K$137:$S$137,0)),0))),0),0)</f>
        <v>85</v>
      </c>
      <c r="T114" s="95">
        <f t="shared" si="8"/>
        <v>0</v>
      </c>
      <c r="U114" s="95">
        <f t="shared" si="9"/>
        <v>0</v>
      </c>
      <c r="V114" s="28" t="s">
        <v>222</v>
      </c>
      <c r="W114" s="31">
        <v>2020</v>
      </c>
      <c r="X114" s="28">
        <v>1</v>
      </c>
      <c r="Y114" s="28">
        <v>0</v>
      </c>
      <c r="Z114" s="196">
        <v>-2.1540077624843197E-4</v>
      </c>
      <c r="AA114" s="196">
        <v>-3.3138580961297225E-3</v>
      </c>
      <c r="AB114" s="28">
        <v>0</v>
      </c>
      <c r="AC114" s="28">
        <v>0</v>
      </c>
      <c r="AD114" s="28" t="s">
        <v>321</v>
      </c>
    </row>
    <row r="115" spans="2:31" ht="14.25" customHeight="1" x14ac:dyDescent="0.2">
      <c r="B115" s="7">
        <f t="shared" si="5"/>
        <v>91</v>
      </c>
      <c r="C115" s="28">
        <v>1</v>
      </c>
      <c r="D115" s="28">
        <v>3</v>
      </c>
      <c r="E115" s="28">
        <v>8</v>
      </c>
      <c r="F115" s="28">
        <v>2022</v>
      </c>
      <c r="G115" s="31">
        <v>2028</v>
      </c>
      <c r="H115" s="28">
        <v>7</v>
      </c>
      <c r="I115" s="28">
        <v>8</v>
      </c>
      <c r="J115" s="28">
        <v>0</v>
      </c>
      <c r="K115" s="28">
        <v>0</v>
      </c>
      <c r="L115" s="28">
        <v>0</v>
      </c>
      <c r="M115" s="75">
        <v>0.9</v>
      </c>
      <c r="N115" s="151">
        <v>4130</v>
      </c>
      <c r="O115" s="151">
        <v>1200</v>
      </c>
      <c r="P115" s="95">
        <f t="array" ref="P115">ROUND(IF($F115&lt;='TaxCred&amp;Subs'!$C$49,(IF($C115=2,IF($M115&gt;=IFERROR(INDEX('TaxCred&amp;Subs'!$L$12:$L$47,MATCH(1,($C115&amp;$D115='TaxCred&amp;Subs'!$E$12:$E$47)*($F115='TaxCred&amp;Subs'!$C$12:$C$47),0)
),9999),IFERROR(INDEX('TaxCred&amp;Subs'!$N$12:$N$47,MATCH(1,($C115&amp;$D115='TaxCred&amp;Subs'!$E$12:$E$47)*($F115='TaxCred&amp;Subs'!$C$12:$C$47),0)
),0),0),(IF($M115&gt;=IFERROR(INDEX('TaxCred&amp;Subs'!$H$12:$H$47,MATCH(1,($C115&amp;$D115='TaxCred&amp;Subs'!$D$12:$D$47)*($F115='TaxCred&amp;Subs'!$C$12:$C$47),0)
),9999),IFERROR(INDEX('TaxCred&amp;Subs'!$N$12:$N$47,MATCH(1,($C115&amp;$D115='TaxCred&amp;Subs'!$D$12:$D$47)*($F115='TaxCred&amp;Subs'!$C$12:$C$47),0)
),0),0)))),0)+IF(AND($C115=2,VALUE(RIGHT($AD115,1))&gt;2),(N115-R115)*(IFERROR(INDEX('TaxCred&amp;Subs'!$J$66:$J$99,MATCH(1,($C115&amp;$D115='TaxCred&amp;Subs'!$E$66:$E$99)*($F115='TaxCred&amp;Subs'!$C$66:$C$99),0)),0)),IF(AND($C115=1,VALUE(RIGHT($AD115,1))&gt;2),(N115-R115)*(IFERROR(INDEX('TaxCred&amp;Subs'!$J$66:$J$99,MATCH(1,($C115&amp;$D115='TaxCred&amp;Subs'!$D$66:$D$99)*($F115='TaxCred&amp;Subs'!$C$66:$C$99),0)),0)),IF($C115&gt;2,(N115-R115)*(IFERROR(INDEX('TaxCred&amp;Subs'!$J$66:$J$99,MATCH(1,($C115&amp;$D115='TaxCred&amp;Subs'!$D$66:$D$99)*($F115='TaxCred&amp;Subs'!$C$66:$C$99),0)),0)),0))),0)</f>
        <v>0</v>
      </c>
      <c r="Q115" s="95">
        <f t="array" ref="Q115">ROUND(IF(AND($C115=2,VALUE(RIGHT($AD115,1))&gt;2),(O115-S115)*(IFERROR(INDEX('TaxCred&amp;Subs'!$J$66:$J$99,MATCH(1,($C115&amp;$D115='TaxCred&amp;Subs'!$E$66:$E$99)*($F115='TaxCred&amp;Subs'!$C$66:$C$99),0)),0)),IF(AND($C115=1,VALUE(RIGHT($AD115,1))&gt;2),(O115-S115)*(IFERROR(INDEX('TaxCred&amp;Subs'!$J$66:$J$99,MATCH(1,($C115&amp;$D115='TaxCred&amp;Subs'!$D$66:$D$99)*($F115='TaxCred&amp;Subs'!$C$66:$C$99),0)),0)),IF($C115&gt;2,(O115-S115)*(IFERROR(INDEX('TaxCred&amp;Subs'!$J$66:$J$99,MATCH(1,($C115&amp;$D115='TaxCred&amp;Subs'!$D$66:$D$99)*($F115='TaxCred&amp;Subs'!$C$66:$C$99),0)),0)),0))),0)</f>
        <v>0</v>
      </c>
      <c r="R115" s="95">
        <f t="array" ref="R115">ROUND(IF(IFERROR(VALUE(RIGHT($AD115,1)),0)&gt;2,IF($C115=8,N115*IFERROR(INDEX('TaxCred&amp;Subs'!$K$139:$S$151,MATCH($C115&amp;$D115&amp;LEFT($AD115,7),'TaxCred&amp;Subs'!$E$139:$E$151,0),MATCH($H115,'TaxCred&amp;Subs'!$K$137:$S$137,0)),0),IF($C115=2,N115*IFERROR(INDEX('TaxCred&amp;Subs'!$K$139:$S$151,MATCH($C115&amp;$D115,'TaxCred&amp;Subs'!$D$139:$D$151,0),MATCH($H115,'TaxCred&amp;Subs'!$K$137:$S$137,0)),0),N115*IFERROR(INDEX('TaxCred&amp;Subs'!$K$139:$S$151,MATCH($C115&amp;$D115,'TaxCred&amp;Subs'!$C$139:$C$151,0),MATCH($H115,'TaxCred&amp;Subs'!$K$137:$S$137,0)),0))),0),0)</f>
        <v>12</v>
      </c>
      <c r="S115" s="95">
        <f t="array" ref="S115">ROUND(IF(IFERROR(VALUE(RIGHT($AD115,1)),0)&gt;2,IF($C115=8,O115*IFERROR(INDEX('TaxCred&amp;Subs'!$K$139:$S$151,MATCH($C115&amp;$D115&amp;LEFT($AD115,7),'TaxCred&amp;Subs'!$E$139:$E$151,0),MATCH($H115,'TaxCred&amp;Subs'!$K$137:$S$137,0)),0),IF($C115=2,O115*IFERROR(INDEX('TaxCred&amp;Subs'!$K$139:$S$151,MATCH($C115&amp;$D115,'TaxCred&amp;Subs'!$D$139:$D$151,0),MATCH($H115,'TaxCred&amp;Subs'!$K$137:$S$137,0)),0),O115*IFERROR(INDEX('TaxCred&amp;Subs'!$K$139:$S$151,MATCH($C115&amp;$D115,'TaxCred&amp;Subs'!$C$139:$C$151,0),MATCH($H115,'TaxCred&amp;Subs'!$K$137:$S$137,0)),0))),0),0)</f>
        <v>4</v>
      </c>
      <c r="T115" s="95">
        <f t="shared" si="8"/>
        <v>0</v>
      </c>
      <c r="U115" s="95">
        <f t="shared" si="9"/>
        <v>0</v>
      </c>
      <c r="V115" s="28" t="s">
        <v>222</v>
      </c>
      <c r="W115" s="31">
        <v>2020</v>
      </c>
      <c r="X115" s="28">
        <v>1</v>
      </c>
      <c r="Y115" s="28">
        <v>0</v>
      </c>
      <c r="Z115" s="196">
        <v>-2.1540077624843197E-4</v>
      </c>
      <c r="AA115" s="196">
        <v>-3.3138580961297225E-3</v>
      </c>
      <c r="AB115" s="28">
        <v>0</v>
      </c>
      <c r="AC115" s="28">
        <v>0</v>
      </c>
      <c r="AD115" s="28" t="s">
        <v>321</v>
      </c>
    </row>
    <row r="116" spans="2:31" ht="14.25" customHeight="1" x14ac:dyDescent="0.2">
      <c r="B116" s="7">
        <f t="shared" si="5"/>
        <v>92</v>
      </c>
      <c r="C116" s="28">
        <v>1</v>
      </c>
      <c r="D116" s="28">
        <v>3</v>
      </c>
      <c r="E116" s="28">
        <v>8</v>
      </c>
      <c r="F116" s="28">
        <v>2022</v>
      </c>
      <c r="G116" s="31">
        <v>2028</v>
      </c>
      <c r="H116" s="28">
        <v>8</v>
      </c>
      <c r="I116" s="28">
        <v>8</v>
      </c>
      <c r="J116" s="28">
        <v>0</v>
      </c>
      <c r="K116" s="28">
        <v>0</v>
      </c>
      <c r="L116" s="28">
        <v>0</v>
      </c>
      <c r="M116" s="75">
        <v>0.9</v>
      </c>
      <c r="N116" s="151">
        <v>4130</v>
      </c>
      <c r="O116" s="151">
        <v>1200</v>
      </c>
      <c r="P116" s="95">
        <f t="array" ref="P116">ROUND(IF($F116&lt;='TaxCred&amp;Subs'!$C$49,(IF($C116=2,IF($M116&gt;=IFERROR(INDEX('TaxCred&amp;Subs'!$L$12:$L$47,MATCH(1,($C116&amp;$D116='TaxCred&amp;Subs'!$E$12:$E$47)*($F116='TaxCred&amp;Subs'!$C$12:$C$47),0)
),9999),IFERROR(INDEX('TaxCred&amp;Subs'!$N$12:$N$47,MATCH(1,($C116&amp;$D116='TaxCred&amp;Subs'!$E$12:$E$47)*($F116='TaxCred&amp;Subs'!$C$12:$C$47),0)
),0),0),(IF($M116&gt;=IFERROR(INDEX('TaxCred&amp;Subs'!$H$12:$H$47,MATCH(1,($C116&amp;$D116='TaxCred&amp;Subs'!$D$12:$D$47)*($F116='TaxCred&amp;Subs'!$C$12:$C$47),0)
),9999),IFERROR(INDEX('TaxCred&amp;Subs'!$N$12:$N$47,MATCH(1,($C116&amp;$D116='TaxCred&amp;Subs'!$D$12:$D$47)*($F116='TaxCred&amp;Subs'!$C$12:$C$47),0)
),0),0)))),0)+IF(AND($C116=2,VALUE(RIGHT($AD116,1))&gt;2),(N116-R116)*(IFERROR(INDEX('TaxCred&amp;Subs'!$J$66:$J$99,MATCH(1,($C116&amp;$D116='TaxCred&amp;Subs'!$E$66:$E$99)*($F116='TaxCred&amp;Subs'!$C$66:$C$99),0)),0)),IF(AND($C116=1,VALUE(RIGHT($AD116,1))&gt;2),(N116-R116)*(IFERROR(INDEX('TaxCred&amp;Subs'!$J$66:$J$99,MATCH(1,($C116&amp;$D116='TaxCred&amp;Subs'!$D$66:$D$99)*($F116='TaxCred&amp;Subs'!$C$66:$C$99),0)),0)),IF($C116&gt;2,(N116-R116)*(IFERROR(INDEX('TaxCred&amp;Subs'!$J$66:$J$99,MATCH(1,($C116&amp;$D116='TaxCred&amp;Subs'!$D$66:$D$99)*($F116='TaxCred&amp;Subs'!$C$66:$C$99),0)),0)),0))),0)</f>
        <v>0</v>
      </c>
      <c r="Q116" s="95">
        <f t="array" ref="Q116">ROUND(IF(AND($C116=2,VALUE(RIGHT($AD116,1))&gt;2),(O116-S116)*(IFERROR(INDEX('TaxCred&amp;Subs'!$J$66:$J$99,MATCH(1,($C116&amp;$D116='TaxCred&amp;Subs'!$E$66:$E$99)*($F116='TaxCred&amp;Subs'!$C$66:$C$99),0)),0)),IF(AND($C116=1,VALUE(RIGHT($AD116,1))&gt;2),(O116-S116)*(IFERROR(INDEX('TaxCred&amp;Subs'!$J$66:$J$99,MATCH(1,($C116&amp;$D116='TaxCred&amp;Subs'!$D$66:$D$99)*($F116='TaxCred&amp;Subs'!$C$66:$C$99),0)),0)),IF($C116&gt;2,(O116-S116)*(IFERROR(INDEX('TaxCred&amp;Subs'!$J$66:$J$99,MATCH(1,($C116&amp;$D116='TaxCred&amp;Subs'!$D$66:$D$99)*($F116='TaxCred&amp;Subs'!$C$66:$C$99),0)),0)),0))),0)</f>
        <v>0</v>
      </c>
      <c r="R116" s="95">
        <f t="array" ref="R116">ROUND(IF(IFERROR(VALUE(RIGHT($AD116,1)),0)&gt;2,IF($C116=8,N116*IFERROR(INDEX('TaxCred&amp;Subs'!$K$139:$S$151,MATCH($C116&amp;$D116&amp;LEFT($AD116,7),'TaxCred&amp;Subs'!$E$139:$E$151,0),MATCH($H116,'TaxCred&amp;Subs'!$K$137:$S$137,0)),0),IF($C116=2,N116*IFERROR(INDEX('TaxCred&amp;Subs'!$K$139:$S$151,MATCH($C116&amp;$D116,'TaxCred&amp;Subs'!$D$139:$D$151,0),MATCH($H116,'TaxCred&amp;Subs'!$K$137:$S$137,0)),0),N116*IFERROR(INDEX('TaxCred&amp;Subs'!$K$139:$S$151,MATCH($C116&amp;$D116,'TaxCred&amp;Subs'!$C$139:$C$151,0),MATCH($H116,'TaxCred&amp;Subs'!$K$137:$S$137,0)),0))),0),0)</f>
        <v>170</v>
      </c>
      <c r="S116" s="95">
        <f t="array" ref="S116">ROUND(IF(IFERROR(VALUE(RIGHT($AD116,1)),0)&gt;2,IF($C116=8,O116*IFERROR(INDEX('TaxCred&amp;Subs'!$K$139:$S$151,MATCH($C116&amp;$D116&amp;LEFT($AD116,7),'TaxCred&amp;Subs'!$E$139:$E$151,0),MATCH($H116,'TaxCred&amp;Subs'!$K$137:$S$137,0)),0),IF($C116=2,O116*IFERROR(INDEX('TaxCred&amp;Subs'!$K$139:$S$151,MATCH($C116&amp;$D116,'TaxCred&amp;Subs'!$D$139:$D$151,0),MATCH($H116,'TaxCred&amp;Subs'!$K$137:$S$137,0)),0),O116*IFERROR(INDEX('TaxCred&amp;Subs'!$K$139:$S$151,MATCH($C116&amp;$D116,'TaxCred&amp;Subs'!$C$139:$C$151,0),MATCH($H116,'TaxCred&amp;Subs'!$K$137:$S$137,0)),0))),0),0)</f>
        <v>49</v>
      </c>
      <c r="T116" s="95">
        <f t="shared" si="8"/>
        <v>0</v>
      </c>
      <c r="U116" s="95">
        <f t="shared" si="9"/>
        <v>0</v>
      </c>
      <c r="V116" s="28" t="s">
        <v>222</v>
      </c>
      <c r="W116" s="31">
        <v>2020</v>
      </c>
      <c r="X116" s="28">
        <v>1</v>
      </c>
      <c r="Y116" s="28">
        <v>0</v>
      </c>
      <c r="Z116" s="196">
        <v>-2.1540077624843197E-4</v>
      </c>
      <c r="AA116" s="196">
        <v>-3.3138580961297225E-3</v>
      </c>
      <c r="AB116" s="28">
        <v>0</v>
      </c>
      <c r="AC116" s="28">
        <v>0</v>
      </c>
      <c r="AD116" s="28" t="s">
        <v>321</v>
      </c>
    </row>
    <row r="117" spans="2:31" ht="14.25" customHeight="1" x14ac:dyDescent="0.2">
      <c r="B117" s="7">
        <f t="shared" si="5"/>
        <v>93</v>
      </c>
      <c r="C117" s="28">
        <v>1</v>
      </c>
      <c r="D117" s="28">
        <v>3</v>
      </c>
      <c r="E117" s="28">
        <v>8</v>
      </c>
      <c r="F117" s="28">
        <v>2022</v>
      </c>
      <c r="G117" s="31">
        <v>2028</v>
      </c>
      <c r="H117" s="28">
        <v>9</v>
      </c>
      <c r="I117" s="28">
        <v>8</v>
      </c>
      <c r="J117" s="28">
        <v>0</v>
      </c>
      <c r="K117" s="28">
        <v>0</v>
      </c>
      <c r="L117" s="28">
        <v>0</v>
      </c>
      <c r="M117" s="75">
        <v>0.9</v>
      </c>
      <c r="N117" s="151">
        <v>4130</v>
      </c>
      <c r="O117" s="151">
        <v>1200</v>
      </c>
      <c r="P117" s="95">
        <f t="array" ref="P117">ROUND(IF($F117&lt;='TaxCred&amp;Subs'!$C$49,(IF($C117=2,IF($M117&gt;=IFERROR(INDEX('TaxCred&amp;Subs'!$L$12:$L$47,MATCH(1,($C117&amp;$D117='TaxCred&amp;Subs'!$E$12:$E$47)*($F117='TaxCred&amp;Subs'!$C$12:$C$47),0)
),9999),IFERROR(INDEX('TaxCred&amp;Subs'!$N$12:$N$47,MATCH(1,($C117&amp;$D117='TaxCred&amp;Subs'!$E$12:$E$47)*($F117='TaxCred&amp;Subs'!$C$12:$C$47),0)
),0),0),(IF($M117&gt;=IFERROR(INDEX('TaxCred&amp;Subs'!$H$12:$H$47,MATCH(1,($C117&amp;$D117='TaxCred&amp;Subs'!$D$12:$D$47)*($F117='TaxCred&amp;Subs'!$C$12:$C$47),0)
),9999),IFERROR(INDEX('TaxCred&amp;Subs'!$N$12:$N$47,MATCH(1,($C117&amp;$D117='TaxCred&amp;Subs'!$D$12:$D$47)*($F117='TaxCred&amp;Subs'!$C$12:$C$47),0)
),0),0)))),0)+IF(AND($C117=2,VALUE(RIGHT($AD117,1))&gt;2),(N117-R117)*(IFERROR(INDEX('TaxCred&amp;Subs'!$J$66:$J$99,MATCH(1,($C117&amp;$D117='TaxCred&amp;Subs'!$E$66:$E$99)*($F117='TaxCred&amp;Subs'!$C$66:$C$99),0)),0)),IF(AND($C117=1,VALUE(RIGHT($AD117,1))&gt;2),(N117-R117)*(IFERROR(INDEX('TaxCred&amp;Subs'!$J$66:$J$99,MATCH(1,($C117&amp;$D117='TaxCred&amp;Subs'!$D$66:$D$99)*($F117='TaxCred&amp;Subs'!$C$66:$C$99),0)),0)),IF($C117&gt;2,(N117-R117)*(IFERROR(INDEX('TaxCred&amp;Subs'!$J$66:$J$99,MATCH(1,($C117&amp;$D117='TaxCred&amp;Subs'!$D$66:$D$99)*($F117='TaxCred&amp;Subs'!$C$66:$C$99),0)),0)),0))),0)</f>
        <v>0</v>
      </c>
      <c r="Q117" s="95">
        <f t="array" ref="Q117">ROUND(IF(AND($C117=2,VALUE(RIGHT($AD117,1))&gt;2),(O117-S117)*(IFERROR(INDEX('TaxCred&amp;Subs'!$J$66:$J$99,MATCH(1,($C117&amp;$D117='TaxCred&amp;Subs'!$E$66:$E$99)*($F117='TaxCred&amp;Subs'!$C$66:$C$99),0)),0)),IF(AND($C117=1,VALUE(RIGHT($AD117,1))&gt;2),(O117-S117)*(IFERROR(INDEX('TaxCred&amp;Subs'!$J$66:$J$99,MATCH(1,($C117&amp;$D117='TaxCred&amp;Subs'!$D$66:$D$99)*($F117='TaxCred&amp;Subs'!$C$66:$C$99),0)),0)),IF($C117&gt;2,(O117-S117)*(IFERROR(INDEX('TaxCred&amp;Subs'!$J$66:$J$99,MATCH(1,($C117&amp;$D117='TaxCred&amp;Subs'!$D$66:$D$99)*($F117='TaxCred&amp;Subs'!$C$66:$C$99),0)),0)),0))),0)</f>
        <v>0</v>
      </c>
      <c r="R117" s="95">
        <f t="array" ref="R117">ROUND(IF(IFERROR(VALUE(RIGHT($AD117,1)),0)&gt;2,IF($C117=8,N117*IFERROR(INDEX('TaxCred&amp;Subs'!$K$139:$S$151,MATCH($C117&amp;$D117&amp;LEFT($AD117,7),'TaxCred&amp;Subs'!$E$139:$E$151,0),MATCH($H117,'TaxCred&amp;Subs'!$K$137:$S$137,0)),0),IF($C117=2,N117*IFERROR(INDEX('TaxCred&amp;Subs'!$K$139:$S$151,MATCH($C117&amp;$D117,'TaxCred&amp;Subs'!$D$139:$D$151,0),MATCH($H117,'TaxCred&amp;Subs'!$K$137:$S$137,0)),0),N117*IFERROR(INDEX('TaxCred&amp;Subs'!$K$139:$S$151,MATCH($C117&amp;$D117,'TaxCred&amp;Subs'!$C$139:$C$151,0),MATCH($H117,'TaxCred&amp;Subs'!$K$137:$S$137,0)),0))),0),0)</f>
        <v>624</v>
      </c>
      <c r="S117" s="95">
        <f t="array" ref="S117">ROUND(IF(IFERROR(VALUE(RIGHT($AD117,1)),0)&gt;2,IF($C117=8,O117*IFERROR(INDEX('TaxCred&amp;Subs'!$K$139:$S$151,MATCH($C117&amp;$D117&amp;LEFT($AD117,7),'TaxCred&amp;Subs'!$E$139:$E$151,0),MATCH($H117,'TaxCred&amp;Subs'!$K$137:$S$137,0)),0),IF($C117=2,O117*IFERROR(INDEX('TaxCred&amp;Subs'!$K$139:$S$151,MATCH($C117&amp;$D117,'TaxCred&amp;Subs'!$D$139:$D$151,0),MATCH($H117,'TaxCred&amp;Subs'!$K$137:$S$137,0)),0),O117*IFERROR(INDEX('TaxCred&amp;Subs'!$K$139:$S$151,MATCH($C117&amp;$D117,'TaxCred&amp;Subs'!$C$139:$C$151,0),MATCH($H117,'TaxCred&amp;Subs'!$K$137:$S$137,0)),0))),0),0)</f>
        <v>181</v>
      </c>
      <c r="T117" s="172">
        <f t="shared" si="8"/>
        <v>619.5</v>
      </c>
      <c r="U117" s="172">
        <f t="shared" si="9"/>
        <v>180</v>
      </c>
      <c r="V117" s="28" t="s">
        <v>222</v>
      </c>
      <c r="W117" s="31">
        <v>2020</v>
      </c>
      <c r="X117" s="28">
        <v>1</v>
      </c>
      <c r="Y117" s="28">
        <v>0</v>
      </c>
      <c r="Z117" s="196">
        <v>-2.1540077624843197E-4</v>
      </c>
      <c r="AA117" s="196">
        <v>-3.3138580961297225E-3</v>
      </c>
      <c r="AB117" s="28">
        <v>0</v>
      </c>
      <c r="AC117" s="28">
        <v>0</v>
      </c>
      <c r="AD117" s="28" t="s">
        <v>321</v>
      </c>
    </row>
    <row r="118" spans="2:31" ht="14.25" customHeight="1" x14ac:dyDescent="0.2">
      <c r="B118" s="7">
        <f t="shared" si="5"/>
        <v>94</v>
      </c>
      <c r="C118" s="28">
        <v>1</v>
      </c>
      <c r="D118" s="28">
        <v>3</v>
      </c>
      <c r="E118" s="28">
        <v>8</v>
      </c>
      <c r="F118" s="31">
        <v>2029</v>
      </c>
      <c r="G118" s="28">
        <v>2050</v>
      </c>
      <c r="H118" s="31">
        <v>11</v>
      </c>
      <c r="I118" s="28">
        <v>8</v>
      </c>
      <c r="J118" s="28">
        <v>0</v>
      </c>
      <c r="K118" s="28">
        <v>0</v>
      </c>
      <c r="L118" s="28">
        <v>0</v>
      </c>
      <c r="M118" s="75">
        <v>0.95</v>
      </c>
      <c r="N118" s="151">
        <v>4150</v>
      </c>
      <c r="O118" s="151">
        <v>1220</v>
      </c>
      <c r="P118" s="95">
        <f t="array" ref="P118">ROUND(IF($F118&lt;='TaxCred&amp;Subs'!$C$49,(IF($C118=2,IF($M118&gt;=IFERROR(INDEX('TaxCred&amp;Subs'!$L$12:$L$47,MATCH(1,($C118&amp;$D118='TaxCred&amp;Subs'!$E$12:$E$47)*($F118='TaxCred&amp;Subs'!$C$12:$C$47),0)
),9999),IFERROR(INDEX('TaxCred&amp;Subs'!$N$12:$N$47,MATCH(1,($C118&amp;$D118='TaxCred&amp;Subs'!$E$12:$E$47)*($F118='TaxCred&amp;Subs'!$C$12:$C$47),0)
),0),0),(IF($M118&gt;=IFERROR(INDEX('TaxCred&amp;Subs'!$H$12:$H$47,MATCH(1,($C118&amp;$D118='TaxCred&amp;Subs'!$D$12:$D$47)*($F118='TaxCred&amp;Subs'!$C$12:$C$47),0)
),9999),IFERROR(INDEX('TaxCred&amp;Subs'!$N$12:$N$47,MATCH(1,($C118&amp;$D118='TaxCred&amp;Subs'!$D$12:$D$47)*($F118='TaxCred&amp;Subs'!$C$12:$C$47),0)
),0),0)))),0)+IF(AND($C118=2,VALUE(RIGHT($AD118,1))&gt;2),(N118-R118)*(IFERROR(INDEX('TaxCred&amp;Subs'!$J$66:$J$99,MATCH(1,($C118&amp;$D118='TaxCred&amp;Subs'!$E$66:$E$99)*($F118='TaxCred&amp;Subs'!$C$66:$C$99),0)),0)),IF(AND($C118=1,VALUE(RIGHT($AD118,1))&gt;2),(N118-R118)*(IFERROR(INDEX('TaxCred&amp;Subs'!$J$66:$J$99,MATCH(1,($C118&amp;$D118='TaxCred&amp;Subs'!$D$66:$D$99)*($F118='TaxCred&amp;Subs'!$C$66:$C$99),0)),0)),IF($C118&gt;2,(N118-R118)*(IFERROR(INDEX('TaxCred&amp;Subs'!$J$66:$J$99,MATCH(1,($C118&amp;$D118='TaxCred&amp;Subs'!$D$66:$D$99)*($F118='TaxCred&amp;Subs'!$C$66:$C$99),0)),0)),0))),0)</f>
        <v>0</v>
      </c>
      <c r="Q118" s="95">
        <f t="array" ref="Q118">ROUND(IF(AND($C118=2,VALUE(RIGHT($AD118,1))&gt;2),(O118-S118)*(IFERROR(INDEX('TaxCred&amp;Subs'!$J$66:$J$99,MATCH(1,($C118&amp;$D118='TaxCred&amp;Subs'!$E$66:$E$99)*($F118='TaxCred&amp;Subs'!$C$66:$C$99),0)),0)),IF(AND($C118=1,VALUE(RIGHT($AD118,1))&gt;2),(O118-S118)*(IFERROR(INDEX('TaxCred&amp;Subs'!$J$66:$J$99,MATCH(1,($C118&amp;$D118='TaxCred&amp;Subs'!$D$66:$D$99)*($F118='TaxCred&amp;Subs'!$C$66:$C$99),0)),0)),IF($C118&gt;2,(O118-S118)*(IFERROR(INDEX('TaxCred&amp;Subs'!$J$66:$J$99,MATCH(1,($C118&amp;$D118='TaxCred&amp;Subs'!$D$66:$D$99)*($F118='TaxCred&amp;Subs'!$C$66:$C$99),0)),0)),0))),0)</f>
        <v>0</v>
      </c>
      <c r="R118" s="95">
        <f t="array" ref="R118">ROUND(IF(IFERROR(VALUE(RIGHT($AD118,1)),0)&gt;2,IF($C118=8,N118*IFERROR(INDEX('TaxCred&amp;Subs'!$K$139:$S$151,MATCH($C118&amp;$D118&amp;LEFT($AD118,7),'TaxCred&amp;Subs'!$E$139:$E$151,0),MATCH($H118,'TaxCred&amp;Subs'!$K$137:$S$137,0)),0),IF($C118=2,N118*IFERROR(INDEX('TaxCred&amp;Subs'!$K$139:$S$151,MATCH($C118&amp;$D118,'TaxCred&amp;Subs'!$D$139:$D$151,0),MATCH($H118,'TaxCred&amp;Subs'!$K$137:$S$137,0)),0),N118*IFERROR(INDEX('TaxCred&amp;Subs'!$K$139:$S$151,MATCH($C118&amp;$D118,'TaxCred&amp;Subs'!$C$139:$C$151,0),MATCH($H118,'TaxCred&amp;Subs'!$K$137:$S$137,0)),0))),0),0)</f>
        <v>0</v>
      </c>
      <c r="S118" s="95">
        <f t="array" ref="S118">ROUND(IF(IFERROR(VALUE(RIGHT($AD118,1)),0)&gt;2,IF($C118=8,O118*IFERROR(INDEX('TaxCred&amp;Subs'!$K$139:$S$151,MATCH($C118&amp;$D118&amp;LEFT($AD118,7),'TaxCred&amp;Subs'!$E$139:$E$151,0),MATCH($H118,'TaxCred&amp;Subs'!$K$137:$S$137,0)),0),IF($C118=2,O118*IFERROR(INDEX('TaxCred&amp;Subs'!$K$139:$S$151,MATCH($C118&amp;$D118,'TaxCred&amp;Subs'!$D$139:$D$151,0),MATCH($H118,'TaxCred&amp;Subs'!$K$137:$S$137,0)),0),O118*IFERROR(INDEX('TaxCred&amp;Subs'!$K$139:$S$151,MATCH($C118&amp;$D118,'TaxCred&amp;Subs'!$C$139:$C$151,0),MATCH($H118,'TaxCred&amp;Subs'!$K$137:$S$137,0)),0))),0),0)</f>
        <v>0</v>
      </c>
      <c r="T118" s="95">
        <f t="shared" si="8"/>
        <v>0</v>
      </c>
      <c r="U118" s="95">
        <f t="shared" si="9"/>
        <v>0</v>
      </c>
      <c r="V118" s="28" t="s">
        <v>222</v>
      </c>
      <c r="W118" s="31">
        <v>2020</v>
      </c>
      <c r="X118" s="28">
        <v>1</v>
      </c>
      <c r="Y118" s="28">
        <v>0</v>
      </c>
      <c r="Z118" s="228">
        <v>-1</v>
      </c>
      <c r="AA118" s="228">
        <v>-1</v>
      </c>
      <c r="AB118" s="28">
        <v>0</v>
      </c>
      <c r="AC118" s="28">
        <v>0</v>
      </c>
      <c r="AD118" s="28" t="s">
        <v>321</v>
      </c>
      <c r="AE118" s="44" t="s">
        <v>503</v>
      </c>
    </row>
    <row r="119" spans="2:31" x14ac:dyDescent="0.2">
      <c r="B119" s="7">
        <f t="shared" si="5"/>
        <v>95</v>
      </c>
      <c r="C119" s="28">
        <v>1</v>
      </c>
      <c r="D119" s="28">
        <v>3</v>
      </c>
      <c r="E119" s="28">
        <v>9</v>
      </c>
      <c r="F119" s="96">
        <v>2020</v>
      </c>
      <c r="G119" s="28">
        <v>2021</v>
      </c>
      <c r="H119" s="28">
        <v>1</v>
      </c>
      <c r="I119" s="28">
        <v>9</v>
      </c>
      <c r="J119" s="28">
        <v>0</v>
      </c>
      <c r="K119" s="28">
        <v>0</v>
      </c>
      <c r="L119" s="28">
        <v>0</v>
      </c>
      <c r="M119" s="75">
        <v>0.99</v>
      </c>
      <c r="N119" s="151">
        <v>4320</v>
      </c>
      <c r="O119" s="151">
        <v>1390</v>
      </c>
      <c r="P119" s="95">
        <f t="array" ref="P119">ROUND(IF($F119&lt;='TaxCred&amp;Subs'!$C$49,(IF($C119=2,IF($M119&gt;=IFERROR(INDEX('TaxCred&amp;Subs'!$L$12:$L$47,MATCH(1,($C119&amp;$D119='TaxCred&amp;Subs'!$E$12:$E$47)*($F119='TaxCred&amp;Subs'!$C$12:$C$47),0)
),9999),IFERROR(INDEX('TaxCred&amp;Subs'!$N$12:$N$47,MATCH(1,($C119&amp;$D119='TaxCred&amp;Subs'!$E$12:$E$47)*($F119='TaxCred&amp;Subs'!$C$12:$C$47),0)
),0),0),(IF($M119&gt;=IFERROR(INDEX('TaxCred&amp;Subs'!$H$12:$H$47,MATCH(1,($C119&amp;$D119='TaxCred&amp;Subs'!$D$12:$D$47)*($F119='TaxCred&amp;Subs'!$C$12:$C$47),0)
),9999),IFERROR(INDEX('TaxCred&amp;Subs'!$N$12:$N$47,MATCH(1,($C119&amp;$D119='TaxCred&amp;Subs'!$D$12:$D$47)*($F119='TaxCred&amp;Subs'!$C$12:$C$47),0)
),0),0)))),0)+IF(AND($C119=2,VALUE(RIGHT($AD119,1))&gt;2),(N119-R119)*(IFERROR(INDEX('TaxCred&amp;Subs'!$J$66:$J$99,MATCH(1,($C119&amp;$D119='TaxCred&amp;Subs'!$E$66:$E$99)*($F119='TaxCred&amp;Subs'!$C$66:$C$99),0)),0)),IF(AND($C119=1,VALUE(RIGHT($AD119,1))&gt;2),(N119-R119)*(IFERROR(INDEX('TaxCred&amp;Subs'!$J$66:$J$99,MATCH(1,($C119&amp;$D119='TaxCred&amp;Subs'!$D$66:$D$99)*($F119='TaxCred&amp;Subs'!$C$66:$C$99),0)),0)),IF($C119&gt;2,(N119-R119)*(IFERROR(INDEX('TaxCred&amp;Subs'!$J$66:$J$99,MATCH(1,($C119&amp;$D119='TaxCred&amp;Subs'!$D$66:$D$99)*($F119='TaxCred&amp;Subs'!$C$66:$C$99),0)),0)),0))),0)</f>
        <v>150</v>
      </c>
      <c r="Q119" s="95">
        <f t="array" ref="Q119">ROUND(IF(AND($C119=2,VALUE(RIGHT($AD119,1))&gt;2),(O119-S119)*(IFERROR(INDEX('TaxCred&amp;Subs'!$J$66:$J$99,MATCH(1,($C119&amp;$D119='TaxCred&amp;Subs'!$E$66:$E$99)*($F119='TaxCred&amp;Subs'!$C$66:$C$99),0)),0)),IF(AND($C119=1,VALUE(RIGHT($AD119,1))&gt;2),(O119-S119)*(IFERROR(INDEX('TaxCred&amp;Subs'!$J$66:$J$99,MATCH(1,($C119&amp;$D119='TaxCred&amp;Subs'!$D$66:$D$99)*($F119='TaxCred&amp;Subs'!$C$66:$C$99),0)),0)),IF($C119&gt;2,(O119-S119)*(IFERROR(INDEX('TaxCred&amp;Subs'!$J$66:$J$99,MATCH(1,($C119&amp;$D119='TaxCred&amp;Subs'!$D$66:$D$99)*($F119='TaxCred&amp;Subs'!$C$66:$C$99),0)),0)),0))),0)</f>
        <v>0</v>
      </c>
      <c r="R119" s="95">
        <f t="array" ref="R119">ROUND(IF(IFERROR(VALUE(RIGHT($AD119,1)),0)&gt;2,IF($C119=8,N119*IFERROR(INDEX('TaxCred&amp;Subs'!$K$139:$S$151,MATCH($C119&amp;$D119&amp;LEFT($AD119,7),'TaxCred&amp;Subs'!$E$139:$E$151,0),MATCH($H119,'TaxCred&amp;Subs'!$K$137:$S$137,0)),0),IF($C119=2,N119*IFERROR(INDEX('TaxCred&amp;Subs'!$K$139:$S$151,MATCH($C119&amp;$D119,'TaxCred&amp;Subs'!$D$139:$D$151,0),MATCH($H119,'TaxCred&amp;Subs'!$K$137:$S$137,0)),0),N119*IFERROR(INDEX('TaxCred&amp;Subs'!$K$139:$S$151,MATCH($C119&amp;$D119,'TaxCred&amp;Subs'!$C$139:$C$151,0),MATCH($H119,'TaxCred&amp;Subs'!$K$137:$S$137,0)),0))),0),0)</f>
        <v>417</v>
      </c>
      <c r="S119" s="95">
        <f t="array" ref="S119">ROUND(IF(IFERROR(VALUE(RIGHT($AD119,1)),0)&gt;2,IF($C119=8,O119*IFERROR(INDEX('TaxCred&amp;Subs'!$K$139:$S$151,MATCH($C119&amp;$D119&amp;LEFT($AD119,7),'TaxCred&amp;Subs'!$E$139:$E$151,0),MATCH($H119,'TaxCred&amp;Subs'!$K$137:$S$137,0)),0),IF($C119=2,O119*IFERROR(INDEX('TaxCred&amp;Subs'!$K$139:$S$151,MATCH($C119&amp;$D119,'TaxCred&amp;Subs'!$D$139:$D$151,0),MATCH($H119,'TaxCred&amp;Subs'!$K$137:$S$137,0)),0),O119*IFERROR(INDEX('TaxCred&amp;Subs'!$K$139:$S$151,MATCH($C119&amp;$D119,'TaxCred&amp;Subs'!$C$139:$C$151,0),MATCH($H119,'TaxCred&amp;Subs'!$K$137:$S$137,0)),0))),0),0)</f>
        <v>134</v>
      </c>
      <c r="T119" s="95">
        <f t="shared" si="8"/>
        <v>0</v>
      </c>
      <c r="U119" s="95">
        <f t="shared" si="9"/>
        <v>0</v>
      </c>
      <c r="V119" s="28" t="s">
        <v>222</v>
      </c>
      <c r="W119" s="31">
        <v>2020</v>
      </c>
      <c r="X119" s="28">
        <v>1</v>
      </c>
      <c r="Y119" s="28">
        <v>0</v>
      </c>
      <c r="Z119" s="196">
        <v>-2.1540077624843197E-4</v>
      </c>
      <c r="AA119" s="196">
        <v>-3.3138580961297225E-3</v>
      </c>
      <c r="AB119" s="28">
        <v>0</v>
      </c>
      <c r="AC119" s="28">
        <v>0</v>
      </c>
      <c r="AD119" s="28" t="s">
        <v>322</v>
      </c>
    </row>
    <row r="120" spans="2:31" ht="14.25" customHeight="1" x14ac:dyDescent="0.2">
      <c r="B120" s="7">
        <f t="shared" si="5"/>
        <v>96</v>
      </c>
      <c r="C120" s="28">
        <v>1</v>
      </c>
      <c r="D120" s="28">
        <v>3</v>
      </c>
      <c r="E120" s="28">
        <v>9</v>
      </c>
      <c r="F120" s="96">
        <v>2020</v>
      </c>
      <c r="G120" s="28">
        <v>2021</v>
      </c>
      <c r="H120" s="28">
        <v>2</v>
      </c>
      <c r="I120" s="28">
        <v>9</v>
      </c>
      <c r="J120" s="28">
        <v>0</v>
      </c>
      <c r="K120" s="28">
        <v>0</v>
      </c>
      <c r="L120" s="28">
        <v>0</v>
      </c>
      <c r="M120" s="75">
        <v>0.99</v>
      </c>
      <c r="N120" s="151">
        <v>4320</v>
      </c>
      <c r="O120" s="151">
        <v>1390</v>
      </c>
      <c r="P120" s="95">
        <f t="array" ref="P120">ROUND(IF($F120&lt;='TaxCred&amp;Subs'!$C$49,(IF($C120=2,IF($M120&gt;=IFERROR(INDEX('TaxCred&amp;Subs'!$L$12:$L$47,MATCH(1,($C120&amp;$D120='TaxCred&amp;Subs'!$E$12:$E$47)*($F120='TaxCred&amp;Subs'!$C$12:$C$47),0)
),9999),IFERROR(INDEX('TaxCred&amp;Subs'!$N$12:$N$47,MATCH(1,($C120&amp;$D120='TaxCred&amp;Subs'!$E$12:$E$47)*($F120='TaxCred&amp;Subs'!$C$12:$C$47),0)
),0),0),(IF($M120&gt;=IFERROR(INDEX('TaxCred&amp;Subs'!$H$12:$H$47,MATCH(1,($C120&amp;$D120='TaxCred&amp;Subs'!$D$12:$D$47)*($F120='TaxCred&amp;Subs'!$C$12:$C$47),0)
),9999),IFERROR(INDEX('TaxCred&amp;Subs'!$N$12:$N$47,MATCH(1,($C120&amp;$D120='TaxCred&amp;Subs'!$D$12:$D$47)*($F120='TaxCred&amp;Subs'!$C$12:$C$47),0)
),0),0)))),0)+IF(AND($C120=2,VALUE(RIGHT($AD120,1))&gt;2),(N120-R120)*(IFERROR(INDEX('TaxCred&amp;Subs'!$J$66:$J$99,MATCH(1,($C120&amp;$D120='TaxCred&amp;Subs'!$E$66:$E$99)*($F120='TaxCred&amp;Subs'!$C$66:$C$99),0)),0)),IF(AND($C120=1,VALUE(RIGHT($AD120,1))&gt;2),(N120-R120)*(IFERROR(INDEX('TaxCred&amp;Subs'!$J$66:$J$99,MATCH(1,($C120&amp;$D120='TaxCred&amp;Subs'!$D$66:$D$99)*($F120='TaxCred&amp;Subs'!$C$66:$C$99),0)),0)),IF($C120&gt;2,(N120-R120)*(IFERROR(INDEX('TaxCred&amp;Subs'!$J$66:$J$99,MATCH(1,($C120&amp;$D120='TaxCred&amp;Subs'!$D$66:$D$99)*($F120='TaxCred&amp;Subs'!$C$66:$C$99),0)),0)),0))),0)</f>
        <v>150</v>
      </c>
      <c r="Q120" s="95">
        <f t="array" ref="Q120">ROUND(IF(AND($C120=2,VALUE(RIGHT($AD120,1))&gt;2),(O120-S120)*(IFERROR(INDEX('TaxCred&amp;Subs'!$J$66:$J$99,MATCH(1,($C120&amp;$D120='TaxCred&amp;Subs'!$E$66:$E$99)*($F120='TaxCred&amp;Subs'!$C$66:$C$99),0)),0)),IF(AND($C120=1,VALUE(RIGHT($AD120,1))&gt;2),(O120-S120)*(IFERROR(INDEX('TaxCred&amp;Subs'!$J$66:$J$99,MATCH(1,($C120&amp;$D120='TaxCred&amp;Subs'!$D$66:$D$99)*($F120='TaxCred&amp;Subs'!$C$66:$C$99),0)),0)),IF($C120&gt;2,(O120-S120)*(IFERROR(INDEX('TaxCred&amp;Subs'!$J$66:$J$99,MATCH(1,($C120&amp;$D120='TaxCred&amp;Subs'!$D$66:$D$99)*($F120='TaxCred&amp;Subs'!$C$66:$C$99),0)),0)),0))),0)</f>
        <v>0</v>
      </c>
      <c r="R120" s="95">
        <f t="array" ref="R120">ROUND(IF(IFERROR(VALUE(RIGHT($AD120,1)),0)&gt;2,IF($C120=8,N120*IFERROR(INDEX('TaxCred&amp;Subs'!$K$139:$S$151,MATCH($C120&amp;$D120&amp;LEFT($AD120,7),'TaxCred&amp;Subs'!$E$139:$E$151,0),MATCH($H120,'TaxCred&amp;Subs'!$K$137:$S$137,0)),0),IF($C120=2,N120*IFERROR(INDEX('TaxCred&amp;Subs'!$K$139:$S$151,MATCH($C120&amp;$D120,'TaxCred&amp;Subs'!$D$139:$D$151,0),MATCH($H120,'TaxCred&amp;Subs'!$K$137:$S$137,0)),0),N120*IFERROR(INDEX('TaxCred&amp;Subs'!$K$139:$S$151,MATCH($C120&amp;$D120,'TaxCred&amp;Subs'!$C$139:$C$151,0),MATCH($H120,'TaxCred&amp;Subs'!$K$137:$S$137,0)),0))),0),0)</f>
        <v>518</v>
      </c>
      <c r="S120" s="95">
        <f t="array" ref="S120">ROUND(IF(IFERROR(VALUE(RIGHT($AD120,1)),0)&gt;2,IF($C120=8,O120*IFERROR(INDEX('TaxCred&amp;Subs'!$K$139:$S$151,MATCH($C120&amp;$D120&amp;LEFT($AD120,7),'TaxCred&amp;Subs'!$E$139:$E$151,0),MATCH($H120,'TaxCred&amp;Subs'!$K$137:$S$137,0)),0),IF($C120=2,O120*IFERROR(INDEX('TaxCred&amp;Subs'!$K$139:$S$151,MATCH($C120&amp;$D120,'TaxCred&amp;Subs'!$D$139:$D$151,0),MATCH($H120,'TaxCred&amp;Subs'!$K$137:$S$137,0)),0),O120*IFERROR(INDEX('TaxCred&amp;Subs'!$K$139:$S$151,MATCH($C120&amp;$D120,'TaxCred&amp;Subs'!$C$139:$C$151,0),MATCH($H120,'TaxCred&amp;Subs'!$K$137:$S$137,0)),0))),0),0)</f>
        <v>167</v>
      </c>
      <c r="T120" s="95">
        <f t="shared" si="8"/>
        <v>0</v>
      </c>
      <c r="U120" s="95">
        <f t="shared" si="9"/>
        <v>0</v>
      </c>
      <c r="V120" s="28" t="s">
        <v>222</v>
      </c>
      <c r="W120" s="31">
        <v>2020</v>
      </c>
      <c r="X120" s="28">
        <v>1</v>
      </c>
      <c r="Y120" s="28">
        <v>0</v>
      </c>
      <c r="Z120" s="196">
        <v>-2.1540077624843197E-4</v>
      </c>
      <c r="AA120" s="196">
        <v>-3.3138580961297225E-3</v>
      </c>
      <c r="AB120" s="28">
        <v>0</v>
      </c>
      <c r="AC120" s="28">
        <v>0</v>
      </c>
      <c r="AD120" s="28" t="s">
        <v>322</v>
      </c>
    </row>
    <row r="121" spans="2:31" ht="14.25" customHeight="1" x14ac:dyDescent="0.2">
      <c r="B121" s="7">
        <f t="shared" si="5"/>
        <v>97</v>
      </c>
      <c r="C121" s="28">
        <v>1</v>
      </c>
      <c r="D121" s="28">
        <v>3</v>
      </c>
      <c r="E121" s="28">
        <v>9</v>
      </c>
      <c r="F121" s="96">
        <v>2020</v>
      </c>
      <c r="G121" s="28">
        <v>2021</v>
      </c>
      <c r="H121" s="28">
        <v>3</v>
      </c>
      <c r="I121" s="28">
        <v>9</v>
      </c>
      <c r="J121" s="28">
        <v>0</v>
      </c>
      <c r="K121" s="28">
        <v>0</v>
      </c>
      <c r="L121" s="28">
        <v>0</v>
      </c>
      <c r="M121" s="75">
        <v>0.99</v>
      </c>
      <c r="N121" s="151">
        <v>4320</v>
      </c>
      <c r="O121" s="151">
        <v>1390</v>
      </c>
      <c r="P121" s="95">
        <f t="array" ref="P121">ROUND(IF($F121&lt;='TaxCred&amp;Subs'!$C$49,(IF($C121=2,IF($M121&gt;=IFERROR(INDEX('TaxCred&amp;Subs'!$L$12:$L$47,MATCH(1,($C121&amp;$D121='TaxCred&amp;Subs'!$E$12:$E$47)*($F121='TaxCred&amp;Subs'!$C$12:$C$47),0)
),9999),IFERROR(INDEX('TaxCred&amp;Subs'!$N$12:$N$47,MATCH(1,($C121&amp;$D121='TaxCred&amp;Subs'!$E$12:$E$47)*($F121='TaxCred&amp;Subs'!$C$12:$C$47),0)
),0),0),(IF($M121&gt;=IFERROR(INDEX('TaxCred&amp;Subs'!$H$12:$H$47,MATCH(1,($C121&amp;$D121='TaxCred&amp;Subs'!$D$12:$D$47)*($F121='TaxCred&amp;Subs'!$C$12:$C$47),0)
),9999),IFERROR(INDEX('TaxCred&amp;Subs'!$N$12:$N$47,MATCH(1,($C121&amp;$D121='TaxCred&amp;Subs'!$D$12:$D$47)*($F121='TaxCred&amp;Subs'!$C$12:$C$47),0)
),0),0)))),0)+IF(AND($C121=2,VALUE(RIGHT($AD121,1))&gt;2),(N121-R121)*(IFERROR(INDEX('TaxCred&amp;Subs'!$J$66:$J$99,MATCH(1,($C121&amp;$D121='TaxCred&amp;Subs'!$E$66:$E$99)*($F121='TaxCred&amp;Subs'!$C$66:$C$99),0)),0)),IF(AND($C121=1,VALUE(RIGHT($AD121,1))&gt;2),(N121-R121)*(IFERROR(INDEX('TaxCred&amp;Subs'!$J$66:$J$99,MATCH(1,($C121&amp;$D121='TaxCred&amp;Subs'!$D$66:$D$99)*($F121='TaxCred&amp;Subs'!$C$66:$C$99),0)),0)),IF($C121&gt;2,(N121-R121)*(IFERROR(INDEX('TaxCred&amp;Subs'!$J$66:$J$99,MATCH(1,($C121&amp;$D121='TaxCred&amp;Subs'!$D$66:$D$99)*($F121='TaxCred&amp;Subs'!$C$66:$C$99),0)),0)),0))),0)</f>
        <v>150</v>
      </c>
      <c r="Q121" s="95">
        <f t="array" ref="Q121">ROUND(IF(AND($C121=2,VALUE(RIGHT($AD121,1))&gt;2),(O121-S121)*(IFERROR(INDEX('TaxCred&amp;Subs'!$J$66:$J$99,MATCH(1,($C121&amp;$D121='TaxCred&amp;Subs'!$E$66:$E$99)*($F121='TaxCred&amp;Subs'!$C$66:$C$99),0)),0)),IF(AND($C121=1,VALUE(RIGHT($AD121,1))&gt;2),(O121-S121)*(IFERROR(INDEX('TaxCred&amp;Subs'!$J$66:$J$99,MATCH(1,($C121&amp;$D121='TaxCred&amp;Subs'!$D$66:$D$99)*($F121='TaxCred&amp;Subs'!$C$66:$C$99),0)),0)),IF($C121&gt;2,(O121-S121)*(IFERROR(INDEX('TaxCred&amp;Subs'!$J$66:$J$99,MATCH(1,($C121&amp;$D121='TaxCred&amp;Subs'!$D$66:$D$99)*($F121='TaxCred&amp;Subs'!$C$66:$C$99),0)),0)),0))),0)</f>
        <v>0</v>
      </c>
      <c r="R121" s="95">
        <f t="array" ref="R121">ROUND(IF(IFERROR(VALUE(RIGHT($AD121,1)),0)&gt;2,IF($C121=8,N121*IFERROR(INDEX('TaxCred&amp;Subs'!$K$139:$S$151,MATCH($C121&amp;$D121&amp;LEFT($AD121,7),'TaxCred&amp;Subs'!$E$139:$E$151,0),MATCH($H121,'TaxCred&amp;Subs'!$K$137:$S$137,0)),0),IF($C121=2,N121*IFERROR(INDEX('TaxCred&amp;Subs'!$K$139:$S$151,MATCH($C121&amp;$D121,'TaxCred&amp;Subs'!$D$139:$D$151,0),MATCH($H121,'TaxCred&amp;Subs'!$K$137:$S$137,0)),0),N121*IFERROR(INDEX('TaxCred&amp;Subs'!$K$139:$S$151,MATCH($C121&amp;$D121,'TaxCred&amp;Subs'!$C$139:$C$151,0),MATCH($H121,'TaxCred&amp;Subs'!$K$137:$S$137,0)),0))),0),0)</f>
        <v>225</v>
      </c>
      <c r="S121" s="95">
        <f t="array" ref="S121">ROUND(IF(IFERROR(VALUE(RIGHT($AD121,1)),0)&gt;2,IF($C121=8,O121*IFERROR(INDEX('TaxCred&amp;Subs'!$K$139:$S$151,MATCH($C121&amp;$D121&amp;LEFT($AD121,7),'TaxCred&amp;Subs'!$E$139:$E$151,0),MATCH($H121,'TaxCred&amp;Subs'!$K$137:$S$137,0)),0),IF($C121=2,O121*IFERROR(INDEX('TaxCred&amp;Subs'!$K$139:$S$151,MATCH($C121&amp;$D121,'TaxCred&amp;Subs'!$D$139:$D$151,0),MATCH($H121,'TaxCred&amp;Subs'!$K$137:$S$137,0)),0),O121*IFERROR(INDEX('TaxCred&amp;Subs'!$K$139:$S$151,MATCH($C121&amp;$D121,'TaxCred&amp;Subs'!$C$139:$C$151,0),MATCH($H121,'TaxCred&amp;Subs'!$K$137:$S$137,0)),0))),0),0)</f>
        <v>72</v>
      </c>
      <c r="T121" s="95">
        <f t="shared" si="8"/>
        <v>0</v>
      </c>
      <c r="U121" s="95">
        <f t="shared" si="9"/>
        <v>0</v>
      </c>
      <c r="V121" s="28" t="s">
        <v>222</v>
      </c>
      <c r="W121" s="31">
        <v>2020</v>
      </c>
      <c r="X121" s="28">
        <v>1</v>
      </c>
      <c r="Y121" s="28">
        <v>0</v>
      </c>
      <c r="Z121" s="196">
        <v>-2.1540077624843197E-4</v>
      </c>
      <c r="AA121" s="196">
        <v>-3.3138580961297225E-3</v>
      </c>
      <c r="AB121" s="28">
        <v>0</v>
      </c>
      <c r="AC121" s="28">
        <v>0</v>
      </c>
      <c r="AD121" s="28" t="s">
        <v>322</v>
      </c>
    </row>
    <row r="122" spans="2:31" ht="14.25" customHeight="1" x14ac:dyDescent="0.2">
      <c r="B122" s="7">
        <f t="shared" si="5"/>
        <v>98</v>
      </c>
      <c r="C122" s="28">
        <v>1</v>
      </c>
      <c r="D122" s="28">
        <v>3</v>
      </c>
      <c r="E122" s="28">
        <v>9</v>
      </c>
      <c r="F122" s="96">
        <v>2020</v>
      </c>
      <c r="G122" s="28">
        <v>2021</v>
      </c>
      <c r="H122" s="28">
        <v>4</v>
      </c>
      <c r="I122" s="28">
        <v>9</v>
      </c>
      <c r="J122" s="28">
        <v>0</v>
      </c>
      <c r="K122" s="28">
        <v>0</v>
      </c>
      <c r="L122" s="28">
        <v>0</v>
      </c>
      <c r="M122" s="75">
        <v>0.99</v>
      </c>
      <c r="N122" s="151">
        <v>4320</v>
      </c>
      <c r="O122" s="151">
        <v>1390</v>
      </c>
      <c r="P122" s="95">
        <f t="array" ref="P122">ROUND(IF($F122&lt;='TaxCred&amp;Subs'!$C$49,(IF($C122=2,IF($M122&gt;=IFERROR(INDEX('TaxCred&amp;Subs'!$L$12:$L$47,MATCH(1,($C122&amp;$D122='TaxCred&amp;Subs'!$E$12:$E$47)*($F122='TaxCred&amp;Subs'!$C$12:$C$47),0)
),9999),IFERROR(INDEX('TaxCred&amp;Subs'!$N$12:$N$47,MATCH(1,($C122&amp;$D122='TaxCred&amp;Subs'!$E$12:$E$47)*($F122='TaxCred&amp;Subs'!$C$12:$C$47),0)
),0),0),(IF($M122&gt;=IFERROR(INDEX('TaxCred&amp;Subs'!$H$12:$H$47,MATCH(1,($C122&amp;$D122='TaxCred&amp;Subs'!$D$12:$D$47)*($F122='TaxCred&amp;Subs'!$C$12:$C$47),0)
),9999),IFERROR(INDEX('TaxCred&amp;Subs'!$N$12:$N$47,MATCH(1,($C122&amp;$D122='TaxCred&amp;Subs'!$D$12:$D$47)*($F122='TaxCred&amp;Subs'!$C$12:$C$47),0)
),0),0)))),0)+IF(AND($C122=2,VALUE(RIGHT($AD122,1))&gt;2),(N122-R122)*(IFERROR(INDEX('TaxCred&amp;Subs'!$J$66:$J$99,MATCH(1,($C122&amp;$D122='TaxCred&amp;Subs'!$E$66:$E$99)*($F122='TaxCred&amp;Subs'!$C$66:$C$99),0)),0)),IF(AND($C122=1,VALUE(RIGHT($AD122,1))&gt;2),(N122-R122)*(IFERROR(INDEX('TaxCred&amp;Subs'!$J$66:$J$99,MATCH(1,($C122&amp;$D122='TaxCred&amp;Subs'!$D$66:$D$99)*($F122='TaxCred&amp;Subs'!$C$66:$C$99),0)),0)),IF($C122&gt;2,(N122-R122)*(IFERROR(INDEX('TaxCred&amp;Subs'!$J$66:$J$99,MATCH(1,($C122&amp;$D122='TaxCred&amp;Subs'!$D$66:$D$99)*($F122='TaxCred&amp;Subs'!$C$66:$C$99),0)),0)),0))),0)</f>
        <v>150</v>
      </c>
      <c r="Q122" s="95">
        <f t="array" ref="Q122">ROUND(IF(AND($C122=2,VALUE(RIGHT($AD122,1))&gt;2),(O122-S122)*(IFERROR(INDEX('TaxCred&amp;Subs'!$J$66:$J$99,MATCH(1,($C122&amp;$D122='TaxCred&amp;Subs'!$E$66:$E$99)*($F122='TaxCred&amp;Subs'!$C$66:$C$99),0)),0)),IF(AND($C122=1,VALUE(RIGHT($AD122,1))&gt;2),(O122-S122)*(IFERROR(INDEX('TaxCred&amp;Subs'!$J$66:$J$99,MATCH(1,($C122&amp;$D122='TaxCred&amp;Subs'!$D$66:$D$99)*($F122='TaxCred&amp;Subs'!$C$66:$C$99),0)),0)),IF($C122&gt;2,(O122-S122)*(IFERROR(INDEX('TaxCred&amp;Subs'!$J$66:$J$99,MATCH(1,($C122&amp;$D122='TaxCred&amp;Subs'!$D$66:$D$99)*($F122='TaxCred&amp;Subs'!$C$66:$C$99),0)),0)),0))),0)</f>
        <v>0</v>
      </c>
      <c r="R122" s="95">
        <f t="array" ref="R122">ROUND(IF(IFERROR(VALUE(RIGHT($AD122,1)),0)&gt;2,IF($C122=8,N122*IFERROR(INDEX('TaxCred&amp;Subs'!$K$139:$S$151,MATCH($C122&amp;$D122&amp;LEFT($AD122,7),'TaxCred&amp;Subs'!$E$139:$E$151,0),MATCH($H122,'TaxCred&amp;Subs'!$K$137:$S$137,0)),0),IF($C122=2,N122*IFERROR(INDEX('TaxCred&amp;Subs'!$K$139:$S$151,MATCH($C122&amp;$D122,'TaxCred&amp;Subs'!$D$139:$D$151,0),MATCH($H122,'TaxCred&amp;Subs'!$K$137:$S$137,0)),0),N122*IFERROR(INDEX('TaxCred&amp;Subs'!$K$139:$S$151,MATCH($C122&amp;$D122,'TaxCred&amp;Subs'!$C$139:$C$151,0),MATCH($H122,'TaxCred&amp;Subs'!$K$137:$S$137,0)),0))),0),0)</f>
        <v>218</v>
      </c>
      <c r="S122" s="95">
        <f t="array" ref="S122">ROUND(IF(IFERROR(VALUE(RIGHT($AD122,1)),0)&gt;2,IF($C122=8,O122*IFERROR(INDEX('TaxCred&amp;Subs'!$K$139:$S$151,MATCH($C122&amp;$D122&amp;LEFT($AD122,7),'TaxCred&amp;Subs'!$E$139:$E$151,0),MATCH($H122,'TaxCred&amp;Subs'!$K$137:$S$137,0)),0),IF($C122=2,O122*IFERROR(INDEX('TaxCred&amp;Subs'!$K$139:$S$151,MATCH($C122&amp;$D122,'TaxCred&amp;Subs'!$D$139:$D$151,0),MATCH($H122,'TaxCred&amp;Subs'!$K$137:$S$137,0)),0),O122*IFERROR(INDEX('TaxCred&amp;Subs'!$K$139:$S$151,MATCH($C122&amp;$D122,'TaxCred&amp;Subs'!$C$139:$C$151,0),MATCH($H122,'TaxCred&amp;Subs'!$K$137:$S$137,0)),0))),0),0)</f>
        <v>70</v>
      </c>
      <c r="T122" s="95">
        <f t="shared" si="8"/>
        <v>0</v>
      </c>
      <c r="U122" s="95">
        <f t="shared" si="9"/>
        <v>0</v>
      </c>
      <c r="V122" s="28" t="s">
        <v>222</v>
      </c>
      <c r="W122" s="31">
        <v>2020</v>
      </c>
      <c r="X122" s="28">
        <v>1</v>
      </c>
      <c r="Y122" s="28">
        <v>0</v>
      </c>
      <c r="Z122" s="196">
        <v>-2.1540077624843197E-4</v>
      </c>
      <c r="AA122" s="196">
        <v>-3.3138580961297225E-3</v>
      </c>
      <c r="AB122" s="28">
        <v>0</v>
      </c>
      <c r="AC122" s="28">
        <v>0</v>
      </c>
      <c r="AD122" s="28" t="s">
        <v>322</v>
      </c>
    </row>
    <row r="123" spans="2:31" ht="14.25" customHeight="1" x14ac:dyDescent="0.2">
      <c r="B123" s="7">
        <f t="shared" si="5"/>
        <v>99</v>
      </c>
      <c r="C123" s="28">
        <v>1</v>
      </c>
      <c r="D123" s="28">
        <v>3</v>
      </c>
      <c r="E123" s="28">
        <v>9</v>
      </c>
      <c r="F123" s="96">
        <v>2020</v>
      </c>
      <c r="G123" s="28">
        <v>2021</v>
      </c>
      <c r="H123" s="28">
        <v>5</v>
      </c>
      <c r="I123" s="28">
        <v>9</v>
      </c>
      <c r="J123" s="28">
        <v>0</v>
      </c>
      <c r="K123" s="28">
        <v>0</v>
      </c>
      <c r="L123" s="28">
        <v>0</v>
      </c>
      <c r="M123" s="75">
        <v>0.99</v>
      </c>
      <c r="N123" s="151">
        <v>4320</v>
      </c>
      <c r="O123" s="151">
        <v>1390</v>
      </c>
      <c r="P123" s="95">
        <f t="array" ref="P123">ROUND(IF($F123&lt;='TaxCred&amp;Subs'!$C$49,(IF($C123=2,IF($M123&gt;=IFERROR(INDEX('TaxCred&amp;Subs'!$L$12:$L$47,MATCH(1,($C123&amp;$D123='TaxCred&amp;Subs'!$E$12:$E$47)*($F123='TaxCred&amp;Subs'!$C$12:$C$47),0)
),9999),IFERROR(INDEX('TaxCred&amp;Subs'!$N$12:$N$47,MATCH(1,($C123&amp;$D123='TaxCred&amp;Subs'!$E$12:$E$47)*($F123='TaxCred&amp;Subs'!$C$12:$C$47),0)
),0),0),(IF($M123&gt;=IFERROR(INDEX('TaxCred&amp;Subs'!$H$12:$H$47,MATCH(1,($C123&amp;$D123='TaxCred&amp;Subs'!$D$12:$D$47)*($F123='TaxCred&amp;Subs'!$C$12:$C$47),0)
),9999),IFERROR(INDEX('TaxCred&amp;Subs'!$N$12:$N$47,MATCH(1,($C123&amp;$D123='TaxCred&amp;Subs'!$D$12:$D$47)*($F123='TaxCred&amp;Subs'!$C$12:$C$47),0)
),0),0)))),0)+IF(AND($C123=2,VALUE(RIGHT($AD123,1))&gt;2),(N123-R123)*(IFERROR(INDEX('TaxCred&amp;Subs'!$J$66:$J$99,MATCH(1,($C123&amp;$D123='TaxCred&amp;Subs'!$E$66:$E$99)*($F123='TaxCred&amp;Subs'!$C$66:$C$99),0)),0)),IF(AND($C123=1,VALUE(RIGHT($AD123,1))&gt;2),(N123-R123)*(IFERROR(INDEX('TaxCred&amp;Subs'!$J$66:$J$99,MATCH(1,($C123&amp;$D123='TaxCred&amp;Subs'!$D$66:$D$99)*($F123='TaxCred&amp;Subs'!$C$66:$C$99),0)),0)),IF($C123&gt;2,(N123-R123)*(IFERROR(INDEX('TaxCred&amp;Subs'!$J$66:$J$99,MATCH(1,($C123&amp;$D123='TaxCred&amp;Subs'!$D$66:$D$99)*($F123='TaxCred&amp;Subs'!$C$66:$C$99),0)),0)),0))),0)</f>
        <v>150</v>
      </c>
      <c r="Q123" s="95">
        <f t="array" ref="Q123">ROUND(IF(AND($C123=2,VALUE(RIGHT($AD123,1))&gt;2),(O123-S123)*(IFERROR(INDEX('TaxCred&amp;Subs'!$J$66:$J$99,MATCH(1,($C123&amp;$D123='TaxCred&amp;Subs'!$E$66:$E$99)*($F123='TaxCred&amp;Subs'!$C$66:$C$99),0)),0)),IF(AND($C123=1,VALUE(RIGHT($AD123,1))&gt;2),(O123-S123)*(IFERROR(INDEX('TaxCred&amp;Subs'!$J$66:$J$99,MATCH(1,($C123&amp;$D123='TaxCred&amp;Subs'!$D$66:$D$99)*($F123='TaxCred&amp;Subs'!$C$66:$C$99),0)),0)),IF($C123&gt;2,(O123-S123)*(IFERROR(INDEX('TaxCred&amp;Subs'!$J$66:$J$99,MATCH(1,($C123&amp;$D123='TaxCred&amp;Subs'!$D$66:$D$99)*($F123='TaxCred&amp;Subs'!$C$66:$C$99),0)),0)),0))),0)</f>
        <v>0</v>
      </c>
      <c r="R123" s="95">
        <f t="array" ref="R123">ROUND(IF(IFERROR(VALUE(RIGHT($AD123,1)),0)&gt;2,IF($C123=8,N123*IFERROR(INDEX('TaxCred&amp;Subs'!$K$139:$S$151,MATCH($C123&amp;$D123&amp;LEFT($AD123,7),'TaxCred&amp;Subs'!$E$139:$E$151,0),MATCH($H123,'TaxCred&amp;Subs'!$K$137:$S$137,0)),0),IF($C123=2,N123*IFERROR(INDEX('TaxCred&amp;Subs'!$K$139:$S$151,MATCH($C123&amp;$D123,'TaxCred&amp;Subs'!$D$139:$D$151,0),MATCH($H123,'TaxCred&amp;Subs'!$K$137:$S$137,0)),0),N123*IFERROR(INDEX('TaxCred&amp;Subs'!$K$139:$S$151,MATCH($C123&amp;$D123,'TaxCred&amp;Subs'!$C$139:$C$151,0),MATCH($H123,'TaxCred&amp;Subs'!$K$137:$S$137,0)),0))),0),0)</f>
        <v>350</v>
      </c>
      <c r="S123" s="95">
        <f t="array" ref="S123">ROUND(IF(IFERROR(VALUE(RIGHT($AD123,1)),0)&gt;2,IF($C123=8,O123*IFERROR(INDEX('TaxCred&amp;Subs'!$K$139:$S$151,MATCH($C123&amp;$D123&amp;LEFT($AD123,7),'TaxCred&amp;Subs'!$E$139:$E$151,0),MATCH($H123,'TaxCred&amp;Subs'!$K$137:$S$137,0)),0),IF($C123=2,O123*IFERROR(INDEX('TaxCred&amp;Subs'!$K$139:$S$151,MATCH($C123&amp;$D123,'TaxCred&amp;Subs'!$D$139:$D$151,0),MATCH($H123,'TaxCred&amp;Subs'!$K$137:$S$137,0)),0),O123*IFERROR(INDEX('TaxCred&amp;Subs'!$K$139:$S$151,MATCH($C123&amp;$D123,'TaxCred&amp;Subs'!$C$139:$C$151,0),MATCH($H123,'TaxCred&amp;Subs'!$K$137:$S$137,0)),0))),0),0)</f>
        <v>112</v>
      </c>
      <c r="T123" s="95">
        <f t="shared" si="8"/>
        <v>0</v>
      </c>
      <c r="U123" s="95">
        <f t="shared" si="9"/>
        <v>0</v>
      </c>
      <c r="V123" s="28" t="s">
        <v>222</v>
      </c>
      <c r="W123" s="31">
        <v>2020</v>
      </c>
      <c r="X123" s="28">
        <v>1</v>
      </c>
      <c r="Y123" s="28">
        <v>0</v>
      </c>
      <c r="Z123" s="196">
        <v>-2.1540077624843197E-4</v>
      </c>
      <c r="AA123" s="196">
        <v>-3.3138580961297225E-3</v>
      </c>
      <c r="AB123" s="28">
        <v>0</v>
      </c>
      <c r="AC123" s="28">
        <v>0</v>
      </c>
      <c r="AD123" s="28" t="s">
        <v>322</v>
      </c>
    </row>
    <row r="124" spans="2:31" ht="14.25" customHeight="1" x14ac:dyDescent="0.2">
      <c r="B124" s="7">
        <f t="shared" si="5"/>
        <v>100</v>
      </c>
      <c r="C124" s="28">
        <v>1</v>
      </c>
      <c r="D124" s="28">
        <v>3</v>
      </c>
      <c r="E124" s="28">
        <v>9</v>
      </c>
      <c r="F124" s="96">
        <v>2020</v>
      </c>
      <c r="G124" s="28">
        <v>2021</v>
      </c>
      <c r="H124" s="28">
        <v>6</v>
      </c>
      <c r="I124" s="28">
        <v>9</v>
      </c>
      <c r="J124" s="28">
        <v>0</v>
      </c>
      <c r="K124" s="28">
        <v>0</v>
      </c>
      <c r="L124" s="28">
        <v>0</v>
      </c>
      <c r="M124" s="75">
        <v>0.99</v>
      </c>
      <c r="N124" s="151">
        <v>4320</v>
      </c>
      <c r="O124" s="151">
        <v>1390</v>
      </c>
      <c r="P124" s="95">
        <f t="array" ref="P124">ROUND(IF($F124&lt;='TaxCred&amp;Subs'!$C$49,(IF($C124=2,IF($M124&gt;=IFERROR(INDEX('TaxCred&amp;Subs'!$L$12:$L$47,MATCH(1,($C124&amp;$D124='TaxCred&amp;Subs'!$E$12:$E$47)*($F124='TaxCred&amp;Subs'!$C$12:$C$47),0)
),9999),IFERROR(INDEX('TaxCred&amp;Subs'!$N$12:$N$47,MATCH(1,($C124&amp;$D124='TaxCred&amp;Subs'!$E$12:$E$47)*($F124='TaxCred&amp;Subs'!$C$12:$C$47),0)
),0),0),(IF($M124&gt;=IFERROR(INDEX('TaxCred&amp;Subs'!$H$12:$H$47,MATCH(1,($C124&amp;$D124='TaxCred&amp;Subs'!$D$12:$D$47)*($F124='TaxCred&amp;Subs'!$C$12:$C$47),0)
),9999),IFERROR(INDEX('TaxCred&amp;Subs'!$N$12:$N$47,MATCH(1,($C124&amp;$D124='TaxCred&amp;Subs'!$D$12:$D$47)*($F124='TaxCred&amp;Subs'!$C$12:$C$47),0)
),0),0)))),0)+IF(AND($C124=2,VALUE(RIGHT($AD124,1))&gt;2),(N124-R124)*(IFERROR(INDEX('TaxCred&amp;Subs'!$J$66:$J$99,MATCH(1,($C124&amp;$D124='TaxCred&amp;Subs'!$E$66:$E$99)*($F124='TaxCred&amp;Subs'!$C$66:$C$99),0)),0)),IF(AND($C124=1,VALUE(RIGHT($AD124,1))&gt;2),(N124-R124)*(IFERROR(INDEX('TaxCred&amp;Subs'!$J$66:$J$99,MATCH(1,($C124&amp;$D124='TaxCred&amp;Subs'!$D$66:$D$99)*($F124='TaxCred&amp;Subs'!$C$66:$C$99),0)),0)),IF($C124&gt;2,(N124-R124)*(IFERROR(INDEX('TaxCred&amp;Subs'!$J$66:$J$99,MATCH(1,($C124&amp;$D124='TaxCred&amp;Subs'!$D$66:$D$99)*($F124='TaxCred&amp;Subs'!$C$66:$C$99),0)),0)),0))),0)</f>
        <v>150</v>
      </c>
      <c r="Q124" s="95">
        <f t="array" ref="Q124">ROUND(IF(AND($C124=2,VALUE(RIGHT($AD124,1))&gt;2),(O124-S124)*(IFERROR(INDEX('TaxCred&amp;Subs'!$J$66:$J$99,MATCH(1,($C124&amp;$D124='TaxCred&amp;Subs'!$E$66:$E$99)*($F124='TaxCred&amp;Subs'!$C$66:$C$99),0)),0)),IF(AND($C124=1,VALUE(RIGHT($AD124,1))&gt;2),(O124-S124)*(IFERROR(INDEX('TaxCred&amp;Subs'!$J$66:$J$99,MATCH(1,($C124&amp;$D124='TaxCred&amp;Subs'!$D$66:$D$99)*($F124='TaxCred&amp;Subs'!$C$66:$C$99),0)),0)),IF($C124&gt;2,(O124-S124)*(IFERROR(INDEX('TaxCred&amp;Subs'!$J$66:$J$99,MATCH(1,($C124&amp;$D124='TaxCred&amp;Subs'!$D$66:$D$99)*($F124='TaxCred&amp;Subs'!$C$66:$C$99),0)),0)),0))),0)</f>
        <v>0</v>
      </c>
      <c r="R124" s="95">
        <f t="array" ref="R124">ROUND(IF(IFERROR(VALUE(RIGHT($AD124,1)),0)&gt;2,IF($C124=8,N124*IFERROR(INDEX('TaxCred&amp;Subs'!$K$139:$S$151,MATCH($C124&amp;$D124&amp;LEFT($AD124,7),'TaxCred&amp;Subs'!$E$139:$E$151,0),MATCH($H124,'TaxCred&amp;Subs'!$K$137:$S$137,0)),0),IF($C124=2,N124*IFERROR(INDEX('TaxCred&amp;Subs'!$K$139:$S$151,MATCH($C124&amp;$D124,'TaxCred&amp;Subs'!$D$139:$D$151,0),MATCH($H124,'TaxCred&amp;Subs'!$K$137:$S$137,0)),0),N124*IFERROR(INDEX('TaxCred&amp;Subs'!$K$139:$S$151,MATCH($C124&amp;$D124,'TaxCred&amp;Subs'!$C$139:$C$151,0),MATCH($H124,'TaxCred&amp;Subs'!$K$137:$S$137,0)),0))),0),0)</f>
        <v>304</v>
      </c>
      <c r="S124" s="95">
        <f t="array" ref="S124">ROUND(IF(IFERROR(VALUE(RIGHT($AD124,1)),0)&gt;2,IF($C124=8,O124*IFERROR(INDEX('TaxCred&amp;Subs'!$K$139:$S$151,MATCH($C124&amp;$D124&amp;LEFT($AD124,7),'TaxCred&amp;Subs'!$E$139:$E$151,0),MATCH($H124,'TaxCred&amp;Subs'!$K$137:$S$137,0)),0),IF($C124=2,O124*IFERROR(INDEX('TaxCred&amp;Subs'!$K$139:$S$151,MATCH($C124&amp;$D124,'TaxCred&amp;Subs'!$D$139:$D$151,0),MATCH($H124,'TaxCred&amp;Subs'!$K$137:$S$137,0)),0),O124*IFERROR(INDEX('TaxCred&amp;Subs'!$K$139:$S$151,MATCH($C124&amp;$D124,'TaxCred&amp;Subs'!$C$139:$C$151,0),MATCH($H124,'TaxCred&amp;Subs'!$K$137:$S$137,0)),0))),0),0)</f>
        <v>98</v>
      </c>
      <c r="T124" s="95">
        <f t="shared" si="8"/>
        <v>0</v>
      </c>
      <c r="U124" s="95">
        <f t="shared" si="9"/>
        <v>0</v>
      </c>
      <c r="V124" s="28" t="s">
        <v>222</v>
      </c>
      <c r="W124" s="31">
        <v>2020</v>
      </c>
      <c r="X124" s="28">
        <v>1</v>
      </c>
      <c r="Y124" s="28">
        <v>0</v>
      </c>
      <c r="Z124" s="196">
        <v>-2.1540077624843197E-4</v>
      </c>
      <c r="AA124" s="196">
        <v>-3.3138580961297225E-3</v>
      </c>
      <c r="AB124" s="28">
        <v>0</v>
      </c>
      <c r="AC124" s="28">
        <v>0</v>
      </c>
      <c r="AD124" s="28" t="s">
        <v>322</v>
      </c>
    </row>
    <row r="125" spans="2:31" ht="14.25" customHeight="1" x14ac:dyDescent="0.2">
      <c r="B125" s="7">
        <f t="shared" si="5"/>
        <v>101</v>
      </c>
      <c r="C125" s="28">
        <v>1</v>
      </c>
      <c r="D125" s="28">
        <v>3</v>
      </c>
      <c r="E125" s="28">
        <v>9</v>
      </c>
      <c r="F125" s="96">
        <v>2020</v>
      </c>
      <c r="G125" s="28">
        <v>2021</v>
      </c>
      <c r="H125" s="28">
        <v>7</v>
      </c>
      <c r="I125" s="28">
        <v>9</v>
      </c>
      <c r="J125" s="28">
        <v>0</v>
      </c>
      <c r="K125" s="28">
        <v>0</v>
      </c>
      <c r="L125" s="28">
        <v>0</v>
      </c>
      <c r="M125" s="75">
        <v>0.99</v>
      </c>
      <c r="N125" s="151">
        <v>4320</v>
      </c>
      <c r="O125" s="151">
        <v>1390</v>
      </c>
      <c r="P125" s="95">
        <f t="array" ref="P125">ROUND(IF($F125&lt;='TaxCred&amp;Subs'!$C$49,(IF($C125=2,IF($M125&gt;=IFERROR(INDEX('TaxCred&amp;Subs'!$L$12:$L$47,MATCH(1,($C125&amp;$D125='TaxCred&amp;Subs'!$E$12:$E$47)*($F125='TaxCred&amp;Subs'!$C$12:$C$47),0)
),9999),IFERROR(INDEX('TaxCred&amp;Subs'!$N$12:$N$47,MATCH(1,($C125&amp;$D125='TaxCred&amp;Subs'!$E$12:$E$47)*($F125='TaxCred&amp;Subs'!$C$12:$C$47),0)
),0),0),(IF($M125&gt;=IFERROR(INDEX('TaxCred&amp;Subs'!$H$12:$H$47,MATCH(1,($C125&amp;$D125='TaxCred&amp;Subs'!$D$12:$D$47)*($F125='TaxCred&amp;Subs'!$C$12:$C$47),0)
),9999),IFERROR(INDEX('TaxCred&amp;Subs'!$N$12:$N$47,MATCH(1,($C125&amp;$D125='TaxCred&amp;Subs'!$D$12:$D$47)*($F125='TaxCred&amp;Subs'!$C$12:$C$47),0)
),0),0)))),0)+IF(AND($C125=2,VALUE(RIGHT($AD125,1))&gt;2),(N125-R125)*(IFERROR(INDEX('TaxCred&amp;Subs'!$J$66:$J$99,MATCH(1,($C125&amp;$D125='TaxCred&amp;Subs'!$E$66:$E$99)*($F125='TaxCred&amp;Subs'!$C$66:$C$99),0)),0)),IF(AND($C125=1,VALUE(RIGHT($AD125,1))&gt;2),(N125-R125)*(IFERROR(INDEX('TaxCred&amp;Subs'!$J$66:$J$99,MATCH(1,($C125&amp;$D125='TaxCred&amp;Subs'!$D$66:$D$99)*($F125='TaxCred&amp;Subs'!$C$66:$C$99),0)),0)),IF($C125&gt;2,(N125-R125)*(IFERROR(INDEX('TaxCred&amp;Subs'!$J$66:$J$99,MATCH(1,($C125&amp;$D125='TaxCred&amp;Subs'!$D$66:$D$99)*($F125='TaxCred&amp;Subs'!$C$66:$C$99),0)),0)),0))),0)</f>
        <v>150</v>
      </c>
      <c r="Q125" s="95">
        <f t="array" ref="Q125">ROUND(IF(AND($C125=2,VALUE(RIGHT($AD125,1))&gt;2),(O125-S125)*(IFERROR(INDEX('TaxCred&amp;Subs'!$J$66:$J$99,MATCH(1,($C125&amp;$D125='TaxCred&amp;Subs'!$E$66:$E$99)*($F125='TaxCred&amp;Subs'!$C$66:$C$99),0)),0)),IF(AND($C125=1,VALUE(RIGHT($AD125,1))&gt;2),(O125-S125)*(IFERROR(INDEX('TaxCred&amp;Subs'!$J$66:$J$99,MATCH(1,($C125&amp;$D125='TaxCred&amp;Subs'!$D$66:$D$99)*($F125='TaxCred&amp;Subs'!$C$66:$C$99),0)),0)),IF($C125&gt;2,(O125-S125)*(IFERROR(INDEX('TaxCred&amp;Subs'!$J$66:$J$99,MATCH(1,($C125&amp;$D125='TaxCred&amp;Subs'!$D$66:$D$99)*($F125='TaxCred&amp;Subs'!$C$66:$C$99),0)),0)),0))),0)</f>
        <v>0</v>
      </c>
      <c r="R125" s="95">
        <f t="array" ref="R125">ROUND(IF(IFERROR(VALUE(RIGHT($AD125,1)),0)&gt;2,IF($C125=8,N125*IFERROR(INDEX('TaxCred&amp;Subs'!$K$139:$S$151,MATCH($C125&amp;$D125&amp;LEFT($AD125,7),'TaxCred&amp;Subs'!$E$139:$E$151,0),MATCH($H125,'TaxCred&amp;Subs'!$K$137:$S$137,0)),0),IF($C125=2,N125*IFERROR(INDEX('TaxCred&amp;Subs'!$K$139:$S$151,MATCH($C125&amp;$D125,'TaxCred&amp;Subs'!$D$139:$D$151,0),MATCH($H125,'TaxCred&amp;Subs'!$K$137:$S$137,0)),0),N125*IFERROR(INDEX('TaxCred&amp;Subs'!$K$139:$S$151,MATCH($C125&amp;$D125,'TaxCred&amp;Subs'!$C$139:$C$151,0),MATCH($H125,'TaxCred&amp;Subs'!$K$137:$S$137,0)),0))),0),0)</f>
        <v>13</v>
      </c>
      <c r="S125" s="95">
        <f t="array" ref="S125">ROUND(IF(IFERROR(VALUE(RIGHT($AD125,1)),0)&gt;2,IF($C125=8,O125*IFERROR(INDEX('TaxCred&amp;Subs'!$K$139:$S$151,MATCH($C125&amp;$D125&amp;LEFT($AD125,7),'TaxCred&amp;Subs'!$E$139:$E$151,0),MATCH($H125,'TaxCred&amp;Subs'!$K$137:$S$137,0)),0),IF($C125=2,O125*IFERROR(INDEX('TaxCred&amp;Subs'!$K$139:$S$151,MATCH($C125&amp;$D125,'TaxCred&amp;Subs'!$D$139:$D$151,0),MATCH($H125,'TaxCred&amp;Subs'!$K$137:$S$137,0)),0),O125*IFERROR(INDEX('TaxCred&amp;Subs'!$K$139:$S$151,MATCH($C125&amp;$D125,'TaxCred&amp;Subs'!$C$139:$C$151,0),MATCH($H125,'TaxCred&amp;Subs'!$K$137:$S$137,0)),0))),0),0)</f>
        <v>4</v>
      </c>
      <c r="T125" s="95">
        <f t="shared" si="8"/>
        <v>0</v>
      </c>
      <c r="U125" s="95">
        <f t="shared" si="9"/>
        <v>0</v>
      </c>
      <c r="V125" s="28" t="s">
        <v>222</v>
      </c>
      <c r="W125" s="31">
        <v>2020</v>
      </c>
      <c r="X125" s="28">
        <v>1</v>
      </c>
      <c r="Y125" s="28">
        <v>0</v>
      </c>
      <c r="Z125" s="196">
        <v>-2.1540077624843197E-4</v>
      </c>
      <c r="AA125" s="196">
        <v>-3.3138580961297225E-3</v>
      </c>
      <c r="AB125" s="28">
        <v>0</v>
      </c>
      <c r="AC125" s="28">
        <v>0</v>
      </c>
      <c r="AD125" s="28" t="s">
        <v>322</v>
      </c>
    </row>
    <row r="126" spans="2:31" ht="14.25" customHeight="1" x14ac:dyDescent="0.2">
      <c r="B126" s="7">
        <f t="shared" si="5"/>
        <v>102</v>
      </c>
      <c r="C126" s="28">
        <v>1</v>
      </c>
      <c r="D126" s="28">
        <v>3</v>
      </c>
      <c r="E126" s="28">
        <v>9</v>
      </c>
      <c r="F126" s="96">
        <v>2020</v>
      </c>
      <c r="G126" s="28">
        <v>2021</v>
      </c>
      <c r="H126" s="28">
        <v>8</v>
      </c>
      <c r="I126" s="28">
        <v>9</v>
      </c>
      <c r="J126" s="28">
        <v>0</v>
      </c>
      <c r="K126" s="28">
        <v>0</v>
      </c>
      <c r="L126" s="28">
        <v>0</v>
      </c>
      <c r="M126" s="75">
        <v>0.99</v>
      </c>
      <c r="N126" s="151">
        <v>4320</v>
      </c>
      <c r="O126" s="151">
        <v>1390</v>
      </c>
      <c r="P126" s="95">
        <f t="array" ref="P126">ROUND(IF($F126&lt;='TaxCred&amp;Subs'!$C$49,(IF($C126=2,IF($M126&gt;=IFERROR(INDEX('TaxCred&amp;Subs'!$L$12:$L$47,MATCH(1,($C126&amp;$D126='TaxCred&amp;Subs'!$E$12:$E$47)*($F126='TaxCred&amp;Subs'!$C$12:$C$47),0)
),9999),IFERROR(INDEX('TaxCred&amp;Subs'!$N$12:$N$47,MATCH(1,($C126&amp;$D126='TaxCred&amp;Subs'!$E$12:$E$47)*($F126='TaxCred&amp;Subs'!$C$12:$C$47),0)
),0),0),(IF($M126&gt;=IFERROR(INDEX('TaxCred&amp;Subs'!$H$12:$H$47,MATCH(1,($C126&amp;$D126='TaxCred&amp;Subs'!$D$12:$D$47)*($F126='TaxCred&amp;Subs'!$C$12:$C$47),0)
),9999),IFERROR(INDEX('TaxCred&amp;Subs'!$N$12:$N$47,MATCH(1,($C126&amp;$D126='TaxCred&amp;Subs'!$D$12:$D$47)*($F126='TaxCred&amp;Subs'!$C$12:$C$47),0)
),0),0)))),0)+IF(AND($C126=2,VALUE(RIGHT($AD126,1))&gt;2),(N126-R126)*(IFERROR(INDEX('TaxCred&amp;Subs'!$J$66:$J$99,MATCH(1,($C126&amp;$D126='TaxCred&amp;Subs'!$E$66:$E$99)*($F126='TaxCred&amp;Subs'!$C$66:$C$99),0)),0)),IF(AND($C126=1,VALUE(RIGHT($AD126,1))&gt;2),(N126-R126)*(IFERROR(INDEX('TaxCred&amp;Subs'!$J$66:$J$99,MATCH(1,($C126&amp;$D126='TaxCred&amp;Subs'!$D$66:$D$99)*($F126='TaxCred&amp;Subs'!$C$66:$C$99),0)),0)),IF($C126&gt;2,(N126-R126)*(IFERROR(INDEX('TaxCred&amp;Subs'!$J$66:$J$99,MATCH(1,($C126&amp;$D126='TaxCred&amp;Subs'!$D$66:$D$99)*($F126='TaxCred&amp;Subs'!$C$66:$C$99),0)),0)),0))),0)</f>
        <v>150</v>
      </c>
      <c r="Q126" s="95">
        <f t="array" ref="Q126">ROUND(IF(AND($C126=2,VALUE(RIGHT($AD126,1))&gt;2),(O126-S126)*(IFERROR(INDEX('TaxCred&amp;Subs'!$J$66:$J$99,MATCH(1,($C126&amp;$D126='TaxCred&amp;Subs'!$E$66:$E$99)*($F126='TaxCred&amp;Subs'!$C$66:$C$99),0)),0)),IF(AND($C126=1,VALUE(RIGHT($AD126,1))&gt;2),(O126-S126)*(IFERROR(INDEX('TaxCred&amp;Subs'!$J$66:$J$99,MATCH(1,($C126&amp;$D126='TaxCred&amp;Subs'!$D$66:$D$99)*($F126='TaxCred&amp;Subs'!$C$66:$C$99),0)),0)),IF($C126&gt;2,(O126-S126)*(IFERROR(INDEX('TaxCred&amp;Subs'!$J$66:$J$99,MATCH(1,($C126&amp;$D126='TaxCred&amp;Subs'!$D$66:$D$99)*($F126='TaxCred&amp;Subs'!$C$66:$C$99),0)),0)),0))),0)</f>
        <v>0</v>
      </c>
      <c r="R126" s="95">
        <f t="array" ref="R126">ROUND(IF(IFERROR(VALUE(RIGHT($AD126,1)),0)&gt;2,IF($C126=8,N126*IFERROR(INDEX('TaxCred&amp;Subs'!$K$139:$S$151,MATCH($C126&amp;$D126&amp;LEFT($AD126,7),'TaxCred&amp;Subs'!$E$139:$E$151,0),MATCH($H126,'TaxCred&amp;Subs'!$K$137:$S$137,0)),0),IF($C126=2,N126*IFERROR(INDEX('TaxCred&amp;Subs'!$K$139:$S$151,MATCH($C126&amp;$D126,'TaxCred&amp;Subs'!$D$139:$D$151,0),MATCH($H126,'TaxCred&amp;Subs'!$K$137:$S$137,0)),0),N126*IFERROR(INDEX('TaxCred&amp;Subs'!$K$139:$S$151,MATCH($C126&amp;$D126,'TaxCred&amp;Subs'!$C$139:$C$151,0),MATCH($H126,'TaxCred&amp;Subs'!$K$137:$S$137,0)),0))),0),0)</f>
        <v>178</v>
      </c>
      <c r="S126" s="95">
        <f t="array" ref="S126">ROUND(IF(IFERROR(VALUE(RIGHT($AD126,1)),0)&gt;2,IF($C126=8,O126*IFERROR(INDEX('TaxCred&amp;Subs'!$K$139:$S$151,MATCH($C126&amp;$D126&amp;LEFT($AD126,7),'TaxCred&amp;Subs'!$E$139:$E$151,0),MATCH($H126,'TaxCred&amp;Subs'!$K$137:$S$137,0)),0),IF($C126=2,O126*IFERROR(INDEX('TaxCred&amp;Subs'!$K$139:$S$151,MATCH($C126&amp;$D126,'TaxCred&amp;Subs'!$D$139:$D$151,0),MATCH($H126,'TaxCred&amp;Subs'!$K$137:$S$137,0)),0),O126*IFERROR(INDEX('TaxCred&amp;Subs'!$K$139:$S$151,MATCH($C126&amp;$D126,'TaxCred&amp;Subs'!$C$139:$C$151,0),MATCH($H126,'TaxCred&amp;Subs'!$K$137:$S$137,0)),0))),0),0)</f>
        <v>57</v>
      </c>
      <c r="T126" s="95">
        <f t="shared" si="8"/>
        <v>0</v>
      </c>
      <c r="U126" s="95">
        <f t="shared" si="9"/>
        <v>0</v>
      </c>
      <c r="V126" s="28" t="s">
        <v>222</v>
      </c>
      <c r="W126" s="31">
        <v>2020</v>
      </c>
      <c r="X126" s="28">
        <v>1</v>
      </c>
      <c r="Y126" s="28">
        <v>0</v>
      </c>
      <c r="Z126" s="196">
        <v>-2.1540077624843197E-4</v>
      </c>
      <c r="AA126" s="196">
        <v>-3.3138580961297225E-3</v>
      </c>
      <c r="AB126" s="28">
        <v>0</v>
      </c>
      <c r="AC126" s="28">
        <v>0</v>
      </c>
      <c r="AD126" s="28" t="s">
        <v>322</v>
      </c>
    </row>
    <row r="127" spans="2:31" ht="14.25" customHeight="1" x14ac:dyDescent="0.2">
      <c r="B127" s="7">
        <f t="shared" si="5"/>
        <v>103</v>
      </c>
      <c r="C127" s="28">
        <v>1</v>
      </c>
      <c r="D127" s="28">
        <v>3</v>
      </c>
      <c r="E127" s="28">
        <v>9</v>
      </c>
      <c r="F127" s="96">
        <v>2020</v>
      </c>
      <c r="G127" s="28">
        <v>2021</v>
      </c>
      <c r="H127" s="28">
        <v>9</v>
      </c>
      <c r="I127" s="28">
        <v>9</v>
      </c>
      <c r="J127" s="28">
        <v>0</v>
      </c>
      <c r="K127" s="28">
        <v>0</v>
      </c>
      <c r="L127" s="28">
        <v>0</v>
      </c>
      <c r="M127" s="75">
        <v>0.99</v>
      </c>
      <c r="N127" s="151">
        <v>4320</v>
      </c>
      <c r="O127" s="151">
        <v>1390</v>
      </c>
      <c r="P127" s="95">
        <f t="array" ref="P127">ROUND(IF($F127&lt;='TaxCred&amp;Subs'!$C$49,(IF($C127=2,IF($M127&gt;=IFERROR(INDEX('TaxCred&amp;Subs'!$L$12:$L$47,MATCH(1,($C127&amp;$D127='TaxCred&amp;Subs'!$E$12:$E$47)*($F127='TaxCred&amp;Subs'!$C$12:$C$47),0)
),9999),IFERROR(INDEX('TaxCred&amp;Subs'!$N$12:$N$47,MATCH(1,($C127&amp;$D127='TaxCred&amp;Subs'!$E$12:$E$47)*($F127='TaxCred&amp;Subs'!$C$12:$C$47),0)
),0),0),(IF($M127&gt;=IFERROR(INDEX('TaxCred&amp;Subs'!$H$12:$H$47,MATCH(1,($C127&amp;$D127='TaxCred&amp;Subs'!$D$12:$D$47)*($F127='TaxCred&amp;Subs'!$C$12:$C$47),0)
),9999),IFERROR(INDEX('TaxCred&amp;Subs'!$N$12:$N$47,MATCH(1,($C127&amp;$D127='TaxCred&amp;Subs'!$D$12:$D$47)*($F127='TaxCred&amp;Subs'!$C$12:$C$47),0)
),0),0)))),0)+IF(AND($C127=2,VALUE(RIGHT($AD127,1))&gt;2),(N127-R127)*(IFERROR(INDEX('TaxCred&amp;Subs'!$J$66:$J$99,MATCH(1,($C127&amp;$D127='TaxCred&amp;Subs'!$E$66:$E$99)*($F127='TaxCred&amp;Subs'!$C$66:$C$99),0)),0)),IF(AND($C127=1,VALUE(RIGHT($AD127,1))&gt;2),(N127-R127)*(IFERROR(INDEX('TaxCred&amp;Subs'!$J$66:$J$99,MATCH(1,($C127&amp;$D127='TaxCred&amp;Subs'!$D$66:$D$99)*($F127='TaxCred&amp;Subs'!$C$66:$C$99),0)),0)),IF($C127&gt;2,(N127-R127)*(IFERROR(INDEX('TaxCred&amp;Subs'!$J$66:$J$99,MATCH(1,($C127&amp;$D127='TaxCred&amp;Subs'!$D$66:$D$99)*($F127='TaxCred&amp;Subs'!$C$66:$C$99),0)),0)),0))),0)</f>
        <v>150</v>
      </c>
      <c r="Q127" s="95">
        <f t="array" ref="Q127">ROUND(IF(AND($C127=2,VALUE(RIGHT($AD127,1))&gt;2),(O127-S127)*(IFERROR(INDEX('TaxCred&amp;Subs'!$J$66:$J$99,MATCH(1,($C127&amp;$D127='TaxCred&amp;Subs'!$E$66:$E$99)*($F127='TaxCred&amp;Subs'!$C$66:$C$99),0)),0)),IF(AND($C127=1,VALUE(RIGHT($AD127,1))&gt;2),(O127-S127)*(IFERROR(INDEX('TaxCred&amp;Subs'!$J$66:$J$99,MATCH(1,($C127&amp;$D127='TaxCred&amp;Subs'!$D$66:$D$99)*($F127='TaxCred&amp;Subs'!$C$66:$C$99),0)),0)),IF($C127&gt;2,(O127-S127)*(IFERROR(INDEX('TaxCred&amp;Subs'!$J$66:$J$99,MATCH(1,($C127&amp;$D127='TaxCred&amp;Subs'!$D$66:$D$99)*($F127='TaxCred&amp;Subs'!$C$66:$C$99),0)),0)),0))),0)</f>
        <v>0</v>
      </c>
      <c r="R127" s="95">
        <f t="array" ref="R127">ROUND(IF(IFERROR(VALUE(RIGHT($AD127,1)),0)&gt;2,IF($C127=8,N127*IFERROR(INDEX('TaxCred&amp;Subs'!$K$139:$S$151,MATCH($C127&amp;$D127&amp;LEFT($AD127,7),'TaxCred&amp;Subs'!$E$139:$E$151,0),MATCH($H127,'TaxCred&amp;Subs'!$K$137:$S$137,0)),0),IF($C127=2,N127*IFERROR(INDEX('TaxCred&amp;Subs'!$K$139:$S$151,MATCH($C127&amp;$D127,'TaxCred&amp;Subs'!$D$139:$D$151,0),MATCH($H127,'TaxCred&amp;Subs'!$K$137:$S$137,0)),0),N127*IFERROR(INDEX('TaxCred&amp;Subs'!$K$139:$S$151,MATCH($C127&amp;$D127,'TaxCred&amp;Subs'!$C$139:$C$151,0),MATCH($H127,'TaxCred&amp;Subs'!$K$137:$S$137,0)),0))),0),0)</f>
        <v>653</v>
      </c>
      <c r="S127" s="95">
        <f t="array" ref="S127">ROUND(IF(IFERROR(VALUE(RIGHT($AD127,1)),0)&gt;2,IF($C127=8,O127*IFERROR(INDEX('TaxCred&amp;Subs'!$K$139:$S$151,MATCH($C127&amp;$D127&amp;LEFT($AD127,7),'TaxCred&amp;Subs'!$E$139:$E$151,0),MATCH($H127,'TaxCred&amp;Subs'!$K$137:$S$137,0)),0),IF($C127=2,O127*IFERROR(INDEX('TaxCred&amp;Subs'!$K$139:$S$151,MATCH($C127&amp;$D127,'TaxCred&amp;Subs'!$D$139:$D$151,0),MATCH($H127,'TaxCred&amp;Subs'!$K$137:$S$137,0)),0),O127*IFERROR(INDEX('TaxCred&amp;Subs'!$K$139:$S$151,MATCH($C127&amp;$D127,'TaxCred&amp;Subs'!$C$139:$C$151,0),MATCH($H127,'TaxCred&amp;Subs'!$K$137:$S$137,0)),0))),0),0)</f>
        <v>210</v>
      </c>
      <c r="T127" s="172">
        <f t="shared" si="8"/>
        <v>625.5</v>
      </c>
      <c r="U127" s="172">
        <f t="shared" si="9"/>
        <v>208.5</v>
      </c>
      <c r="V127" s="28" t="s">
        <v>222</v>
      </c>
      <c r="W127" s="31">
        <v>2020</v>
      </c>
      <c r="X127" s="28">
        <v>1</v>
      </c>
      <c r="Y127" s="28">
        <v>0</v>
      </c>
      <c r="Z127" s="196">
        <v>-2.1540077624843197E-4</v>
      </c>
      <c r="AA127" s="196">
        <v>-3.3138580961297225E-3</v>
      </c>
      <c r="AB127" s="28">
        <v>0</v>
      </c>
      <c r="AC127" s="28">
        <v>0</v>
      </c>
      <c r="AD127" s="28" t="s">
        <v>322</v>
      </c>
    </row>
    <row r="128" spans="2:31" ht="14.25" customHeight="1" x14ac:dyDescent="0.2">
      <c r="B128" s="7">
        <f t="shared" si="5"/>
        <v>104</v>
      </c>
      <c r="C128" s="28">
        <v>1</v>
      </c>
      <c r="D128" s="28">
        <v>3</v>
      </c>
      <c r="E128" s="28">
        <v>9</v>
      </c>
      <c r="F128" s="78">
        <v>2022</v>
      </c>
      <c r="G128" s="28">
        <v>2032</v>
      </c>
      <c r="H128" s="28">
        <v>1</v>
      </c>
      <c r="I128" s="28">
        <v>9</v>
      </c>
      <c r="J128" s="28">
        <v>0</v>
      </c>
      <c r="K128" s="28">
        <v>0</v>
      </c>
      <c r="L128" s="28">
        <v>0</v>
      </c>
      <c r="M128" s="75">
        <v>0.99</v>
      </c>
      <c r="N128" s="151">
        <v>4320</v>
      </c>
      <c r="O128" s="151">
        <v>1390</v>
      </c>
      <c r="P128" s="95">
        <f t="array" ref="P128">ROUND(IF($F128&lt;='TaxCred&amp;Subs'!$C$49,(IF($C128=2,IF($M128&gt;=IFERROR(INDEX('TaxCred&amp;Subs'!$L$12:$L$47,MATCH(1,($C128&amp;$D128='TaxCred&amp;Subs'!$E$12:$E$47)*($F128='TaxCred&amp;Subs'!$C$12:$C$47),0)
),9999),IFERROR(INDEX('TaxCred&amp;Subs'!$N$12:$N$47,MATCH(1,($C128&amp;$D128='TaxCred&amp;Subs'!$E$12:$E$47)*($F128='TaxCred&amp;Subs'!$C$12:$C$47),0)
),0),0),(IF($M128&gt;=IFERROR(INDEX('TaxCred&amp;Subs'!$H$12:$H$47,MATCH(1,($C128&amp;$D128='TaxCred&amp;Subs'!$D$12:$D$47)*($F128='TaxCred&amp;Subs'!$C$12:$C$47),0)
),9999),IFERROR(INDEX('TaxCred&amp;Subs'!$N$12:$N$47,MATCH(1,($C128&amp;$D128='TaxCred&amp;Subs'!$D$12:$D$47)*($F128='TaxCred&amp;Subs'!$C$12:$C$47),0)
),0),0)))),0)+IF(AND($C128=2,VALUE(RIGHT($AD128,1))&gt;2),(N128-R128)*(IFERROR(INDEX('TaxCred&amp;Subs'!$J$66:$J$99,MATCH(1,($C128&amp;$D128='TaxCred&amp;Subs'!$E$66:$E$99)*($F128='TaxCred&amp;Subs'!$C$66:$C$99),0)),0)),IF(AND($C128=1,VALUE(RIGHT($AD128,1))&gt;2),(N128-R128)*(IFERROR(INDEX('TaxCred&amp;Subs'!$J$66:$J$99,MATCH(1,($C128&amp;$D128='TaxCred&amp;Subs'!$D$66:$D$99)*($F128='TaxCred&amp;Subs'!$C$66:$C$99),0)),0)),IF($C128&gt;2,(N128-R128)*(IFERROR(INDEX('TaxCred&amp;Subs'!$J$66:$J$99,MATCH(1,($C128&amp;$D128='TaxCred&amp;Subs'!$D$66:$D$99)*($F128='TaxCred&amp;Subs'!$C$66:$C$99),0)),0)),0))),0)</f>
        <v>600</v>
      </c>
      <c r="Q128" s="95">
        <f t="array" ref="Q128">ROUND(IF(AND($C128=2,VALUE(RIGHT($AD128,1))&gt;2),(O128-S128)*(IFERROR(INDEX('TaxCred&amp;Subs'!$J$66:$J$99,MATCH(1,($C128&amp;$D128='TaxCred&amp;Subs'!$E$66:$E$99)*($F128='TaxCred&amp;Subs'!$C$66:$C$99),0)),0)),IF(AND($C128=1,VALUE(RIGHT($AD128,1))&gt;2),(O128-S128)*(IFERROR(INDEX('TaxCred&amp;Subs'!$J$66:$J$99,MATCH(1,($C128&amp;$D128='TaxCred&amp;Subs'!$D$66:$D$99)*($F128='TaxCred&amp;Subs'!$C$66:$C$99),0)),0)),IF($C128&gt;2,(O128-S128)*(IFERROR(INDEX('TaxCred&amp;Subs'!$J$66:$J$99,MATCH(1,($C128&amp;$D128='TaxCred&amp;Subs'!$D$66:$D$99)*($F128='TaxCred&amp;Subs'!$C$66:$C$99),0)),0)),0))),0)</f>
        <v>0</v>
      </c>
      <c r="R128" s="95">
        <f t="array" ref="R128">ROUND(IF(IFERROR(VALUE(RIGHT($AD128,1)),0)&gt;2,IF($C128=8,N128*IFERROR(INDEX('TaxCred&amp;Subs'!$K$139:$S$151,MATCH($C128&amp;$D128&amp;LEFT($AD128,7),'TaxCred&amp;Subs'!$E$139:$E$151,0),MATCH($H128,'TaxCred&amp;Subs'!$K$137:$S$137,0)),0),IF($C128=2,N128*IFERROR(INDEX('TaxCred&amp;Subs'!$K$139:$S$151,MATCH($C128&amp;$D128,'TaxCred&amp;Subs'!$D$139:$D$151,0),MATCH($H128,'TaxCred&amp;Subs'!$K$137:$S$137,0)),0),N128*IFERROR(INDEX('TaxCred&amp;Subs'!$K$139:$S$151,MATCH($C128&amp;$D128,'TaxCred&amp;Subs'!$C$139:$C$151,0),MATCH($H128,'TaxCred&amp;Subs'!$K$137:$S$137,0)),0))),0),0)</f>
        <v>417</v>
      </c>
      <c r="S128" s="95">
        <f t="array" ref="S128">ROUND(IF(IFERROR(VALUE(RIGHT($AD128,1)),0)&gt;2,IF($C128=8,O128*IFERROR(INDEX('TaxCred&amp;Subs'!$K$139:$S$151,MATCH($C128&amp;$D128&amp;LEFT($AD128,7),'TaxCred&amp;Subs'!$E$139:$E$151,0),MATCH($H128,'TaxCred&amp;Subs'!$K$137:$S$137,0)),0),IF($C128=2,O128*IFERROR(INDEX('TaxCred&amp;Subs'!$K$139:$S$151,MATCH($C128&amp;$D128,'TaxCred&amp;Subs'!$D$139:$D$151,0),MATCH($H128,'TaxCred&amp;Subs'!$K$137:$S$137,0)),0),O128*IFERROR(INDEX('TaxCred&amp;Subs'!$K$139:$S$151,MATCH($C128&amp;$D128,'TaxCred&amp;Subs'!$C$139:$C$151,0),MATCH($H128,'TaxCred&amp;Subs'!$K$137:$S$137,0)),0))),0),0)</f>
        <v>134</v>
      </c>
      <c r="T128" s="95">
        <f t="shared" si="8"/>
        <v>0</v>
      </c>
      <c r="U128" s="95">
        <f t="shared" si="9"/>
        <v>0</v>
      </c>
      <c r="V128" s="28" t="s">
        <v>222</v>
      </c>
      <c r="W128" s="31">
        <v>2020</v>
      </c>
      <c r="X128" s="28">
        <v>1</v>
      </c>
      <c r="Y128" s="28">
        <v>0</v>
      </c>
      <c r="Z128" s="196">
        <v>-2.1540077624843197E-4</v>
      </c>
      <c r="AA128" s="196">
        <v>-3.3138580961297225E-3</v>
      </c>
      <c r="AB128" s="28">
        <v>0</v>
      </c>
      <c r="AC128" s="28">
        <v>0</v>
      </c>
      <c r="AD128" s="28" t="s">
        <v>322</v>
      </c>
    </row>
    <row r="129" spans="2:30" ht="14.25" customHeight="1" x14ac:dyDescent="0.2">
      <c r="B129" s="7">
        <f t="shared" si="5"/>
        <v>105</v>
      </c>
      <c r="C129" s="28">
        <v>1</v>
      </c>
      <c r="D129" s="28">
        <v>3</v>
      </c>
      <c r="E129" s="28">
        <v>9</v>
      </c>
      <c r="F129" s="78">
        <v>2022</v>
      </c>
      <c r="G129" s="28">
        <v>2032</v>
      </c>
      <c r="H129" s="28">
        <v>2</v>
      </c>
      <c r="I129" s="28">
        <v>9</v>
      </c>
      <c r="J129" s="28">
        <v>0</v>
      </c>
      <c r="K129" s="28">
        <v>0</v>
      </c>
      <c r="L129" s="28">
        <v>0</v>
      </c>
      <c r="M129" s="75">
        <v>0.99</v>
      </c>
      <c r="N129" s="151">
        <v>4320</v>
      </c>
      <c r="O129" s="151">
        <v>1390</v>
      </c>
      <c r="P129" s="95">
        <f t="array" ref="P129">ROUND(IF($F129&lt;='TaxCred&amp;Subs'!$C$49,(IF($C129=2,IF($M129&gt;=IFERROR(INDEX('TaxCred&amp;Subs'!$L$12:$L$47,MATCH(1,($C129&amp;$D129='TaxCred&amp;Subs'!$E$12:$E$47)*($F129='TaxCred&amp;Subs'!$C$12:$C$47),0)
),9999),IFERROR(INDEX('TaxCred&amp;Subs'!$N$12:$N$47,MATCH(1,($C129&amp;$D129='TaxCred&amp;Subs'!$E$12:$E$47)*($F129='TaxCred&amp;Subs'!$C$12:$C$47),0)
),0),0),(IF($M129&gt;=IFERROR(INDEX('TaxCred&amp;Subs'!$H$12:$H$47,MATCH(1,($C129&amp;$D129='TaxCred&amp;Subs'!$D$12:$D$47)*($F129='TaxCred&amp;Subs'!$C$12:$C$47),0)
),9999),IFERROR(INDEX('TaxCred&amp;Subs'!$N$12:$N$47,MATCH(1,($C129&amp;$D129='TaxCred&amp;Subs'!$D$12:$D$47)*($F129='TaxCred&amp;Subs'!$C$12:$C$47),0)
),0),0)))),0)+IF(AND($C129=2,VALUE(RIGHT($AD129,1))&gt;2),(N129-R129)*(IFERROR(INDEX('TaxCred&amp;Subs'!$J$66:$J$99,MATCH(1,($C129&amp;$D129='TaxCred&amp;Subs'!$E$66:$E$99)*($F129='TaxCred&amp;Subs'!$C$66:$C$99),0)),0)),IF(AND($C129=1,VALUE(RIGHT($AD129,1))&gt;2),(N129-R129)*(IFERROR(INDEX('TaxCred&amp;Subs'!$J$66:$J$99,MATCH(1,($C129&amp;$D129='TaxCred&amp;Subs'!$D$66:$D$99)*($F129='TaxCred&amp;Subs'!$C$66:$C$99),0)),0)),IF($C129&gt;2,(N129-R129)*(IFERROR(INDEX('TaxCred&amp;Subs'!$J$66:$J$99,MATCH(1,($C129&amp;$D129='TaxCred&amp;Subs'!$D$66:$D$99)*($F129='TaxCred&amp;Subs'!$C$66:$C$99),0)),0)),0))),0)</f>
        <v>600</v>
      </c>
      <c r="Q129" s="95">
        <f t="array" ref="Q129">ROUND(IF(AND($C129=2,VALUE(RIGHT($AD129,1))&gt;2),(O129-S129)*(IFERROR(INDEX('TaxCred&amp;Subs'!$J$66:$J$99,MATCH(1,($C129&amp;$D129='TaxCred&amp;Subs'!$E$66:$E$99)*($F129='TaxCred&amp;Subs'!$C$66:$C$99),0)),0)),IF(AND($C129=1,VALUE(RIGHT($AD129,1))&gt;2),(O129-S129)*(IFERROR(INDEX('TaxCred&amp;Subs'!$J$66:$J$99,MATCH(1,($C129&amp;$D129='TaxCred&amp;Subs'!$D$66:$D$99)*($F129='TaxCred&amp;Subs'!$C$66:$C$99),0)),0)),IF($C129&gt;2,(O129-S129)*(IFERROR(INDEX('TaxCred&amp;Subs'!$J$66:$J$99,MATCH(1,($C129&amp;$D129='TaxCred&amp;Subs'!$D$66:$D$99)*($F129='TaxCred&amp;Subs'!$C$66:$C$99),0)),0)),0))),0)</f>
        <v>0</v>
      </c>
      <c r="R129" s="95">
        <f t="array" ref="R129">ROUND(IF(IFERROR(VALUE(RIGHT($AD129,1)),0)&gt;2,IF($C129=8,N129*IFERROR(INDEX('TaxCred&amp;Subs'!$K$139:$S$151,MATCH($C129&amp;$D129&amp;LEFT($AD129,7),'TaxCred&amp;Subs'!$E$139:$E$151,0),MATCH($H129,'TaxCred&amp;Subs'!$K$137:$S$137,0)),0),IF($C129=2,N129*IFERROR(INDEX('TaxCred&amp;Subs'!$K$139:$S$151,MATCH($C129&amp;$D129,'TaxCred&amp;Subs'!$D$139:$D$151,0),MATCH($H129,'TaxCred&amp;Subs'!$K$137:$S$137,0)),0),N129*IFERROR(INDEX('TaxCred&amp;Subs'!$K$139:$S$151,MATCH($C129&amp;$D129,'TaxCred&amp;Subs'!$C$139:$C$151,0),MATCH($H129,'TaxCred&amp;Subs'!$K$137:$S$137,0)),0))),0),0)</f>
        <v>518</v>
      </c>
      <c r="S129" s="95">
        <f t="array" ref="S129">ROUND(IF(IFERROR(VALUE(RIGHT($AD129,1)),0)&gt;2,IF($C129=8,O129*IFERROR(INDEX('TaxCred&amp;Subs'!$K$139:$S$151,MATCH($C129&amp;$D129&amp;LEFT($AD129,7),'TaxCred&amp;Subs'!$E$139:$E$151,0),MATCH($H129,'TaxCred&amp;Subs'!$K$137:$S$137,0)),0),IF($C129=2,O129*IFERROR(INDEX('TaxCred&amp;Subs'!$K$139:$S$151,MATCH($C129&amp;$D129,'TaxCred&amp;Subs'!$D$139:$D$151,0),MATCH($H129,'TaxCred&amp;Subs'!$K$137:$S$137,0)),0),O129*IFERROR(INDEX('TaxCred&amp;Subs'!$K$139:$S$151,MATCH($C129&amp;$D129,'TaxCred&amp;Subs'!$C$139:$C$151,0),MATCH($H129,'TaxCred&amp;Subs'!$K$137:$S$137,0)),0))),0),0)</f>
        <v>167</v>
      </c>
      <c r="T129" s="95">
        <f t="shared" si="8"/>
        <v>0</v>
      </c>
      <c r="U129" s="95">
        <f t="shared" si="9"/>
        <v>0</v>
      </c>
      <c r="V129" s="28" t="s">
        <v>222</v>
      </c>
      <c r="W129" s="31">
        <v>2020</v>
      </c>
      <c r="X129" s="28">
        <v>1</v>
      </c>
      <c r="Y129" s="28">
        <v>0</v>
      </c>
      <c r="Z129" s="196">
        <v>-2.1540077624843197E-4</v>
      </c>
      <c r="AA129" s="196">
        <v>-3.3138580961297225E-3</v>
      </c>
      <c r="AB129" s="28">
        <v>0</v>
      </c>
      <c r="AC129" s="28">
        <v>0</v>
      </c>
      <c r="AD129" s="28" t="s">
        <v>322</v>
      </c>
    </row>
    <row r="130" spans="2:30" ht="14.25" customHeight="1" x14ac:dyDescent="0.2">
      <c r="B130" s="7">
        <f t="shared" si="5"/>
        <v>106</v>
      </c>
      <c r="C130" s="28">
        <v>1</v>
      </c>
      <c r="D130" s="28">
        <v>3</v>
      </c>
      <c r="E130" s="28">
        <v>9</v>
      </c>
      <c r="F130" s="78">
        <v>2022</v>
      </c>
      <c r="G130" s="28">
        <v>2032</v>
      </c>
      <c r="H130" s="28">
        <v>3</v>
      </c>
      <c r="I130" s="28">
        <v>9</v>
      </c>
      <c r="J130" s="28">
        <v>0</v>
      </c>
      <c r="K130" s="28">
        <v>0</v>
      </c>
      <c r="L130" s="28">
        <v>0</v>
      </c>
      <c r="M130" s="75">
        <v>0.99</v>
      </c>
      <c r="N130" s="151">
        <v>4320</v>
      </c>
      <c r="O130" s="151">
        <v>1390</v>
      </c>
      <c r="P130" s="95">
        <f t="array" ref="P130">ROUND(IF($F130&lt;='TaxCred&amp;Subs'!$C$49,(IF($C130=2,IF($M130&gt;=IFERROR(INDEX('TaxCred&amp;Subs'!$L$12:$L$47,MATCH(1,($C130&amp;$D130='TaxCred&amp;Subs'!$E$12:$E$47)*($F130='TaxCred&amp;Subs'!$C$12:$C$47),0)
),9999),IFERROR(INDEX('TaxCred&amp;Subs'!$N$12:$N$47,MATCH(1,($C130&amp;$D130='TaxCred&amp;Subs'!$E$12:$E$47)*($F130='TaxCred&amp;Subs'!$C$12:$C$47),0)
),0),0),(IF($M130&gt;=IFERROR(INDEX('TaxCred&amp;Subs'!$H$12:$H$47,MATCH(1,($C130&amp;$D130='TaxCred&amp;Subs'!$D$12:$D$47)*($F130='TaxCred&amp;Subs'!$C$12:$C$47),0)
),9999),IFERROR(INDEX('TaxCred&amp;Subs'!$N$12:$N$47,MATCH(1,($C130&amp;$D130='TaxCred&amp;Subs'!$D$12:$D$47)*($F130='TaxCred&amp;Subs'!$C$12:$C$47),0)
),0),0)))),0)+IF(AND($C130=2,VALUE(RIGHT($AD130,1))&gt;2),(N130-R130)*(IFERROR(INDEX('TaxCred&amp;Subs'!$J$66:$J$99,MATCH(1,($C130&amp;$D130='TaxCred&amp;Subs'!$E$66:$E$99)*($F130='TaxCred&amp;Subs'!$C$66:$C$99),0)),0)),IF(AND($C130=1,VALUE(RIGHT($AD130,1))&gt;2),(N130-R130)*(IFERROR(INDEX('TaxCred&amp;Subs'!$J$66:$J$99,MATCH(1,($C130&amp;$D130='TaxCred&amp;Subs'!$D$66:$D$99)*($F130='TaxCred&amp;Subs'!$C$66:$C$99),0)),0)),IF($C130&gt;2,(N130-R130)*(IFERROR(INDEX('TaxCred&amp;Subs'!$J$66:$J$99,MATCH(1,($C130&amp;$D130='TaxCred&amp;Subs'!$D$66:$D$99)*($F130='TaxCred&amp;Subs'!$C$66:$C$99),0)),0)),0))),0)</f>
        <v>600</v>
      </c>
      <c r="Q130" s="95">
        <f t="array" ref="Q130">ROUND(IF(AND($C130=2,VALUE(RIGHT($AD130,1))&gt;2),(O130-S130)*(IFERROR(INDEX('TaxCred&amp;Subs'!$J$66:$J$99,MATCH(1,($C130&amp;$D130='TaxCred&amp;Subs'!$E$66:$E$99)*($F130='TaxCred&amp;Subs'!$C$66:$C$99),0)),0)),IF(AND($C130=1,VALUE(RIGHT($AD130,1))&gt;2),(O130-S130)*(IFERROR(INDEX('TaxCred&amp;Subs'!$J$66:$J$99,MATCH(1,($C130&amp;$D130='TaxCred&amp;Subs'!$D$66:$D$99)*($F130='TaxCred&amp;Subs'!$C$66:$C$99),0)),0)),IF($C130&gt;2,(O130-S130)*(IFERROR(INDEX('TaxCred&amp;Subs'!$J$66:$J$99,MATCH(1,($C130&amp;$D130='TaxCred&amp;Subs'!$D$66:$D$99)*($F130='TaxCred&amp;Subs'!$C$66:$C$99),0)),0)),0))),0)</f>
        <v>0</v>
      </c>
      <c r="R130" s="95">
        <f t="array" ref="R130">ROUND(IF(IFERROR(VALUE(RIGHT($AD130,1)),0)&gt;2,IF($C130=8,N130*IFERROR(INDEX('TaxCred&amp;Subs'!$K$139:$S$151,MATCH($C130&amp;$D130&amp;LEFT($AD130,7),'TaxCred&amp;Subs'!$E$139:$E$151,0),MATCH($H130,'TaxCred&amp;Subs'!$K$137:$S$137,0)),0),IF($C130=2,N130*IFERROR(INDEX('TaxCred&amp;Subs'!$K$139:$S$151,MATCH($C130&amp;$D130,'TaxCred&amp;Subs'!$D$139:$D$151,0),MATCH($H130,'TaxCred&amp;Subs'!$K$137:$S$137,0)),0),N130*IFERROR(INDEX('TaxCred&amp;Subs'!$K$139:$S$151,MATCH($C130&amp;$D130,'TaxCred&amp;Subs'!$C$139:$C$151,0),MATCH($H130,'TaxCred&amp;Subs'!$K$137:$S$137,0)),0))),0),0)</f>
        <v>225</v>
      </c>
      <c r="S130" s="95">
        <f t="array" ref="S130">ROUND(IF(IFERROR(VALUE(RIGHT($AD130,1)),0)&gt;2,IF($C130=8,O130*IFERROR(INDEX('TaxCred&amp;Subs'!$K$139:$S$151,MATCH($C130&amp;$D130&amp;LEFT($AD130,7),'TaxCred&amp;Subs'!$E$139:$E$151,0),MATCH($H130,'TaxCred&amp;Subs'!$K$137:$S$137,0)),0),IF($C130=2,O130*IFERROR(INDEX('TaxCred&amp;Subs'!$K$139:$S$151,MATCH($C130&amp;$D130,'TaxCred&amp;Subs'!$D$139:$D$151,0),MATCH($H130,'TaxCred&amp;Subs'!$K$137:$S$137,0)),0),O130*IFERROR(INDEX('TaxCred&amp;Subs'!$K$139:$S$151,MATCH($C130&amp;$D130,'TaxCred&amp;Subs'!$C$139:$C$151,0),MATCH($H130,'TaxCred&amp;Subs'!$K$137:$S$137,0)),0))),0),0)</f>
        <v>72</v>
      </c>
      <c r="T130" s="95">
        <f t="shared" si="8"/>
        <v>0</v>
      </c>
      <c r="U130" s="95">
        <f t="shared" si="9"/>
        <v>0</v>
      </c>
      <c r="V130" s="28" t="s">
        <v>222</v>
      </c>
      <c r="W130" s="31">
        <v>2020</v>
      </c>
      <c r="X130" s="28">
        <v>1</v>
      </c>
      <c r="Y130" s="28">
        <v>0</v>
      </c>
      <c r="Z130" s="196">
        <v>-2.1540077624843197E-4</v>
      </c>
      <c r="AA130" s="196">
        <v>-3.3138580961297225E-3</v>
      </c>
      <c r="AB130" s="28">
        <v>0</v>
      </c>
      <c r="AC130" s="28">
        <v>0</v>
      </c>
      <c r="AD130" s="28" t="s">
        <v>322</v>
      </c>
    </row>
    <row r="131" spans="2:30" ht="14.25" customHeight="1" x14ac:dyDescent="0.2">
      <c r="B131" s="7">
        <f t="shared" si="5"/>
        <v>107</v>
      </c>
      <c r="C131" s="28">
        <v>1</v>
      </c>
      <c r="D131" s="28">
        <v>3</v>
      </c>
      <c r="E131" s="28">
        <v>9</v>
      </c>
      <c r="F131" s="78">
        <v>2022</v>
      </c>
      <c r="G131" s="28">
        <v>2032</v>
      </c>
      <c r="H131" s="28">
        <v>4</v>
      </c>
      <c r="I131" s="28">
        <v>9</v>
      </c>
      <c r="J131" s="28">
        <v>0</v>
      </c>
      <c r="K131" s="28">
        <v>0</v>
      </c>
      <c r="L131" s="28">
        <v>0</v>
      </c>
      <c r="M131" s="75">
        <v>0.99</v>
      </c>
      <c r="N131" s="151">
        <v>4320</v>
      </c>
      <c r="O131" s="151">
        <v>1390</v>
      </c>
      <c r="P131" s="95">
        <f t="array" ref="P131">ROUND(IF($F131&lt;='TaxCred&amp;Subs'!$C$49,(IF($C131=2,IF($M131&gt;=IFERROR(INDEX('TaxCred&amp;Subs'!$L$12:$L$47,MATCH(1,($C131&amp;$D131='TaxCred&amp;Subs'!$E$12:$E$47)*($F131='TaxCred&amp;Subs'!$C$12:$C$47),0)
),9999),IFERROR(INDEX('TaxCred&amp;Subs'!$N$12:$N$47,MATCH(1,($C131&amp;$D131='TaxCred&amp;Subs'!$E$12:$E$47)*($F131='TaxCred&amp;Subs'!$C$12:$C$47),0)
),0),0),(IF($M131&gt;=IFERROR(INDEX('TaxCred&amp;Subs'!$H$12:$H$47,MATCH(1,($C131&amp;$D131='TaxCred&amp;Subs'!$D$12:$D$47)*($F131='TaxCred&amp;Subs'!$C$12:$C$47),0)
),9999),IFERROR(INDEX('TaxCred&amp;Subs'!$N$12:$N$47,MATCH(1,($C131&amp;$D131='TaxCred&amp;Subs'!$D$12:$D$47)*($F131='TaxCred&amp;Subs'!$C$12:$C$47),0)
),0),0)))),0)+IF(AND($C131=2,VALUE(RIGHT($AD131,1))&gt;2),(N131-R131)*(IFERROR(INDEX('TaxCred&amp;Subs'!$J$66:$J$99,MATCH(1,($C131&amp;$D131='TaxCred&amp;Subs'!$E$66:$E$99)*($F131='TaxCred&amp;Subs'!$C$66:$C$99),0)),0)),IF(AND($C131=1,VALUE(RIGHT($AD131,1))&gt;2),(N131-R131)*(IFERROR(INDEX('TaxCred&amp;Subs'!$J$66:$J$99,MATCH(1,($C131&amp;$D131='TaxCred&amp;Subs'!$D$66:$D$99)*($F131='TaxCred&amp;Subs'!$C$66:$C$99),0)),0)),IF($C131&gt;2,(N131-R131)*(IFERROR(INDEX('TaxCred&amp;Subs'!$J$66:$J$99,MATCH(1,($C131&amp;$D131='TaxCred&amp;Subs'!$D$66:$D$99)*($F131='TaxCred&amp;Subs'!$C$66:$C$99),0)),0)),0))),0)</f>
        <v>600</v>
      </c>
      <c r="Q131" s="95">
        <f t="array" ref="Q131">ROUND(IF(AND($C131=2,VALUE(RIGHT($AD131,1))&gt;2),(O131-S131)*(IFERROR(INDEX('TaxCred&amp;Subs'!$J$66:$J$99,MATCH(1,($C131&amp;$D131='TaxCred&amp;Subs'!$E$66:$E$99)*($F131='TaxCred&amp;Subs'!$C$66:$C$99),0)),0)),IF(AND($C131=1,VALUE(RIGHT($AD131,1))&gt;2),(O131-S131)*(IFERROR(INDEX('TaxCred&amp;Subs'!$J$66:$J$99,MATCH(1,($C131&amp;$D131='TaxCred&amp;Subs'!$D$66:$D$99)*($F131='TaxCred&amp;Subs'!$C$66:$C$99),0)),0)),IF($C131&gt;2,(O131-S131)*(IFERROR(INDEX('TaxCred&amp;Subs'!$J$66:$J$99,MATCH(1,($C131&amp;$D131='TaxCred&amp;Subs'!$D$66:$D$99)*($F131='TaxCred&amp;Subs'!$C$66:$C$99),0)),0)),0))),0)</f>
        <v>0</v>
      </c>
      <c r="R131" s="95">
        <f t="array" ref="R131">ROUND(IF(IFERROR(VALUE(RIGHT($AD131,1)),0)&gt;2,IF($C131=8,N131*IFERROR(INDEX('TaxCred&amp;Subs'!$K$139:$S$151,MATCH($C131&amp;$D131&amp;LEFT($AD131,7),'TaxCred&amp;Subs'!$E$139:$E$151,0),MATCH($H131,'TaxCred&amp;Subs'!$K$137:$S$137,0)),0),IF($C131=2,N131*IFERROR(INDEX('TaxCred&amp;Subs'!$K$139:$S$151,MATCH($C131&amp;$D131,'TaxCred&amp;Subs'!$D$139:$D$151,0),MATCH($H131,'TaxCred&amp;Subs'!$K$137:$S$137,0)),0),N131*IFERROR(INDEX('TaxCred&amp;Subs'!$K$139:$S$151,MATCH($C131&amp;$D131,'TaxCred&amp;Subs'!$C$139:$C$151,0),MATCH($H131,'TaxCred&amp;Subs'!$K$137:$S$137,0)),0))),0),0)</f>
        <v>218</v>
      </c>
      <c r="S131" s="95">
        <f t="array" ref="S131">ROUND(IF(IFERROR(VALUE(RIGHT($AD131,1)),0)&gt;2,IF($C131=8,O131*IFERROR(INDEX('TaxCred&amp;Subs'!$K$139:$S$151,MATCH($C131&amp;$D131&amp;LEFT($AD131,7),'TaxCred&amp;Subs'!$E$139:$E$151,0),MATCH($H131,'TaxCred&amp;Subs'!$K$137:$S$137,0)),0),IF($C131=2,O131*IFERROR(INDEX('TaxCred&amp;Subs'!$K$139:$S$151,MATCH($C131&amp;$D131,'TaxCred&amp;Subs'!$D$139:$D$151,0),MATCH($H131,'TaxCred&amp;Subs'!$K$137:$S$137,0)),0),O131*IFERROR(INDEX('TaxCred&amp;Subs'!$K$139:$S$151,MATCH($C131&amp;$D131,'TaxCred&amp;Subs'!$C$139:$C$151,0),MATCH($H131,'TaxCred&amp;Subs'!$K$137:$S$137,0)),0))),0),0)</f>
        <v>70</v>
      </c>
      <c r="T131" s="95">
        <f t="shared" si="8"/>
        <v>0</v>
      </c>
      <c r="U131" s="95">
        <f t="shared" si="9"/>
        <v>0</v>
      </c>
      <c r="V131" s="28" t="s">
        <v>222</v>
      </c>
      <c r="W131" s="31">
        <v>2020</v>
      </c>
      <c r="X131" s="28">
        <v>1</v>
      </c>
      <c r="Y131" s="28">
        <v>0</v>
      </c>
      <c r="Z131" s="196">
        <v>-2.1540077624843197E-4</v>
      </c>
      <c r="AA131" s="196">
        <v>-3.3138580961297225E-3</v>
      </c>
      <c r="AB131" s="28">
        <v>0</v>
      </c>
      <c r="AC131" s="28">
        <v>0</v>
      </c>
      <c r="AD131" s="28" t="s">
        <v>322</v>
      </c>
    </row>
    <row r="132" spans="2:30" ht="14.25" customHeight="1" x14ac:dyDescent="0.2">
      <c r="B132" s="7">
        <f t="shared" si="5"/>
        <v>108</v>
      </c>
      <c r="C132" s="28">
        <v>1</v>
      </c>
      <c r="D132" s="28">
        <v>3</v>
      </c>
      <c r="E132" s="28">
        <v>9</v>
      </c>
      <c r="F132" s="78">
        <v>2022</v>
      </c>
      <c r="G132" s="28">
        <v>2032</v>
      </c>
      <c r="H132" s="28">
        <v>5</v>
      </c>
      <c r="I132" s="28">
        <v>9</v>
      </c>
      <c r="J132" s="28">
        <v>0</v>
      </c>
      <c r="K132" s="28">
        <v>0</v>
      </c>
      <c r="L132" s="28">
        <v>0</v>
      </c>
      <c r="M132" s="75">
        <v>0.99</v>
      </c>
      <c r="N132" s="151">
        <v>4320</v>
      </c>
      <c r="O132" s="151">
        <v>1390</v>
      </c>
      <c r="P132" s="95">
        <f t="array" ref="P132">ROUND(IF($F132&lt;='TaxCred&amp;Subs'!$C$49,(IF($C132=2,IF($M132&gt;=IFERROR(INDEX('TaxCred&amp;Subs'!$L$12:$L$47,MATCH(1,($C132&amp;$D132='TaxCred&amp;Subs'!$E$12:$E$47)*($F132='TaxCred&amp;Subs'!$C$12:$C$47),0)
),9999),IFERROR(INDEX('TaxCred&amp;Subs'!$N$12:$N$47,MATCH(1,($C132&amp;$D132='TaxCred&amp;Subs'!$E$12:$E$47)*($F132='TaxCred&amp;Subs'!$C$12:$C$47),0)
),0),0),(IF($M132&gt;=IFERROR(INDEX('TaxCred&amp;Subs'!$H$12:$H$47,MATCH(1,($C132&amp;$D132='TaxCred&amp;Subs'!$D$12:$D$47)*($F132='TaxCred&amp;Subs'!$C$12:$C$47),0)
),9999),IFERROR(INDEX('TaxCred&amp;Subs'!$N$12:$N$47,MATCH(1,($C132&amp;$D132='TaxCred&amp;Subs'!$D$12:$D$47)*($F132='TaxCred&amp;Subs'!$C$12:$C$47),0)
),0),0)))),0)+IF(AND($C132=2,VALUE(RIGHT($AD132,1))&gt;2),(N132-R132)*(IFERROR(INDEX('TaxCred&amp;Subs'!$J$66:$J$99,MATCH(1,($C132&amp;$D132='TaxCred&amp;Subs'!$E$66:$E$99)*($F132='TaxCred&amp;Subs'!$C$66:$C$99),0)),0)),IF(AND($C132=1,VALUE(RIGHT($AD132,1))&gt;2),(N132-R132)*(IFERROR(INDEX('TaxCred&amp;Subs'!$J$66:$J$99,MATCH(1,($C132&amp;$D132='TaxCred&amp;Subs'!$D$66:$D$99)*($F132='TaxCred&amp;Subs'!$C$66:$C$99),0)),0)),IF($C132&gt;2,(N132-R132)*(IFERROR(INDEX('TaxCred&amp;Subs'!$J$66:$J$99,MATCH(1,($C132&amp;$D132='TaxCred&amp;Subs'!$D$66:$D$99)*($F132='TaxCred&amp;Subs'!$C$66:$C$99),0)),0)),0))),0)</f>
        <v>600</v>
      </c>
      <c r="Q132" s="95">
        <f t="array" ref="Q132">ROUND(IF(AND($C132=2,VALUE(RIGHT($AD132,1))&gt;2),(O132-S132)*(IFERROR(INDEX('TaxCred&amp;Subs'!$J$66:$J$99,MATCH(1,($C132&amp;$D132='TaxCred&amp;Subs'!$E$66:$E$99)*($F132='TaxCred&amp;Subs'!$C$66:$C$99),0)),0)),IF(AND($C132=1,VALUE(RIGHT($AD132,1))&gt;2),(O132-S132)*(IFERROR(INDEX('TaxCred&amp;Subs'!$J$66:$J$99,MATCH(1,($C132&amp;$D132='TaxCred&amp;Subs'!$D$66:$D$99)*($F132='TaxCred&amp;Subs'!$C$66:$C$99),0)),0)),IF($C132&gt;2,(O132-S132)*(IFERROR(INDEX('TaxCred&amp;Subs'!$J$66:$J$99,MATCH(1,($C132&amp;$D132='TaxCred&amp;Subs'!$D$66:$D$99)*($F132='TaxCred&amp;Subs'!$C$66:$C$99),0)),0)),0))),0)</f>
        <v>0</v>
      </c>
      <c r="R132" s="95">
        <f t="array" ref="R132">ROUND(IF(IFERROR(VALUE(RIGHT($AD132,1)),0)&gt;2,IF($C132=8,N132*IFERROR(INDEX('TaxCred&amp;Subs'!$K$139:$S$151,MATCH($C132&amp;$D132&amp;LEFT($AD132,7),'TaxCred&amp;Subs'!$E$139:$E$151,0),MATCH($H132,'TaxCred&amp;Subs'!$K$137:$S$137,0)),0),IF($C132=2,N132*IFERROR(INDEX('TaxCred&amp;Subs'!$K$139:$S$151,MATCH($C132&amp;$D132,'TaxCred&amp;Subs'!$D$139:$D$151,0),MATCH($H132,'TaxCred&amp;Subs'!$K$137:$S$137,0)),0),N132*IFERROR(INDEX('TaxCred&amp;Subs'!$K$139:$S$151,MATCH($C132&amp;$D132,'TaxCred&amp;Subs'!$C$139:$C$151,0),MATCH($H132,'TaxCred&amp;Subs'!$K$137:$S$137,0)),0))),0),0)</f>
        <v>350</v>
      </c>
      <c r="S132" s="95">
        <f t="array" ref="S132">ROUND(IF(IFERROR(VALUE(RIGHT($AD132,1)),0)&gt;2,IF($C132=8,O132*IFERROR(INDEX('TaxCred&amp;Subs'!$K$139:$S$151,MATCH($C132&amp;$D132&amp;LEFT($AD132,7),'TaxCred&amp;Subs'!$E$139:$E$151,0),MATCH($H132,'TaxCred&amp;Subs'!$K$137:$S$137,0)),0),IF($C132=2,O132*IFERROR(INDEX('TaxCred&amp;Subs'!$K$139:$S$151,MATCH($C132&amp;$D132,'TaxCred&amp;Subs'!$D$139:$D$151,0),MATCH($H132,'TaxCred&amp;Subs'!$K$137:$S$137,0)),0),O132*IFERROR(INDEX('TaxCred&amp;Subs'!$K$139:$S$151,MATCH($C132&amp;$D132,'TaxCred&amp;Subs'!$C$139:$C$151,0),MATCH($H132,'TaxCred&amp;Subs'!$K$137:$S$137,0)),0))),0),0)</f>
        <v>112</v>
      </c>
      <c r="T132" s="95">
        <f t="shared" si="8"/>
        <v>0</v>
      </c>
      <c r="U132" s="95">
        <f t="shared" si="9"/>
        <v>0</v>
      </c>
      <c r="V132" s="28" t="s">
        <v>222</v>
      </c>
      <c r="W132" s="31">
        <v>2020</v>
      </c>
      <c r="X132" s="28">
        <v>1</v>
      </c>
      <c r="Y132" s="28">
        <v>0</v>
      </c>
      <c r="Z132" s="196">
        <v>-2.1540077624843197E-4</v>
      </c>
      <c r="AA132" s="196">
        <v>-3.3138580961297225E-3</v>
      </c>
      <c r="AB132" s="28">
        <v>0</v>
      </c>
      <c r="AC132" s="28">
        <v>0</v>
      </c>
      <c r="AD132" s="28" t="s">
        <v>322</v>
      </c>
    </row>
    <row r="133" spans="2:30" ht="14.25" customHeight="1" x14ac:dyDescent="0.2">
      <c r="B133" s="7">
        <f t="shared" si="5"/>
        <v>109</v>
      </c>
      <c r="C133" s="28">
        <v>1</v>
      </c>
      <c r="D133" s="28">
        <v>3</v>
      </c>
      <c r="E133" s="28">
        <v>9</v>
      </c>
      <c r="F133" s="78">
        <v>2022</v>
      </c>
      <c r="G133" s="28">
        <v>2032</v>
      </c>
      <c r="H133" s="28">
        <v>6</v>
      </c>
      <c r="I133" s="28">
        <v>9</v>
      </c>
      <c r="J133" s="28">
        <v>0</v>
      </c>
      <c r="K133" s="28">
        <v>0</v>
      </c>
      <c r="L133" s="28">
        <v>0</v>
      </c>
      <c r="M133" s="75">
        <v>0.99</v>
      </c>
      <c r="N133" s="151">
        <v>4320</v>
      </c>
      <c r="O133" s="151">
        <v>1390</v>
      </c>
      <c r="P133" s="95">
        <f t="array" ref="P133">ROUND(IF($F133&lt;='TaxCred&amp;Subs'!$C$49,(IF($C133=2,IF($M133&gt;=IFERROR(INDEX('TaxCred&amp;Subs'!$L$12:$L$47,MATCH(1,($C133&amp;$D133='TaxCred&amp;Subs'!$E$12:$E$47)*($F133='TaxCred&amp;Subs'!$C$12:$C$47),0)
),9999),IFERROR(INDEX('TaxCred&amp;Subs'!$N$12:$N$47,MATCH(1,($C133&amp;$D133='TaxCred&amp;Subs'!$E$12:$E$47)*($F133='TaxCred&amp;Subs'!$C$12:$C$47),0)
),0),0),(IF($M133&gt;=IFERROR(INDEX('TaxCred&amp;Subs'!$H$12:$H$47,MATCH(1,($C133&amp;$D133='TaxCred&amp;Subs'!$D$12:$D$47)*($F133='TaxCred&amp;Subs'!$C$12:$C$47),0)
),9999),IFERROR(INDEX('TaxCred&amp;Subs'!$N$12:$N$47,MATCH(1,($C133&amp;$D133='TaxCred&amp;Subs'!$D$12:$D$47)*($F133='TaxCred&amp;Subs'!$C$12:$C$47),0)
),0),0)))),0)+IF(AND($C133=2,VALUE(RIGHT($AD133,1))&gt;2),(N133-R133)*(IFERROR(INDEX('TaxCred&amp;Subs'!$J$66:$J$99,MATCH(1,($C133&amp;$D133='TaxCred&amp;Subs'!$E$66:$E$99)*($F133='TaxCred&amp;Subs'!$C$66:$C$99),0)),0)),IF(AND($C133=1,VALUE(RIGHT($AD133,1))&gt;2),(N133-R133)*(IFERROR(INDEX('TaxCred&amp;Subs'!$J$66:$J$99,MATCH(1,($C133&amp;$D133='TaxCred&amp;Subs'!$D$66:$D$99)*($F133='TaxCred&amp;Subs'!$C$66:$C$99),0)),0)),IF($C133&gt;2,(N133-R133)*(IFERROR(INDEX('TaxCred&amp;Subs'!$J$66:$J$99,MATCH(1,($C133&amp;$D133='TaxCred&amp;Subs'!$D$66:$D$99)*($F133='TaxCred&amp;Subs'!$C$66:$C$99),0)),0)),0))),0)</f>
        <v>600</v>
      </c>
      <c r="Q133" s="95">
        <f t="array" ref="Q133">ROUND(IF(AND($C133=2,VALUE(RIGHT($AD133,1))&gt;2),(O133-S133)*(IFERROR(INDEX('TaxCred&amp;Subs'!$J$66:$J$99,MATCH(1,($C133&amp;$D133='TaxCred&amp;Subs'!$E$66:$E$99)*($F133='TaxCred&amp;Subs'!$C$66:$C$99),0)),0)),IF(AND($C133=1,VALUE(RIGHT($AD133,1))&gt;2),(O133-S133)*(IFERROR(INDEX('TaxCred&amp;Subs'!$J$66:$J$99,MATCH(1,($C133&amp;$D133='TaxCred&amp;Subs'!$D$66:$D$99)*($F133='TaxCred&amp;Subs'!$C$66:$C$99),0)),0)),IF($C133&gt;2,(O133-S133)*(IFERROR(INDEX('TaxCred&amp;Subs'!$J$66:$J$99,MATCH(1,($C133&amp;$D133='TaxCred&amp;Subs'!$D$66:$D$99)*($F133='TaxCred&amp;Subs'!$C$66:$C$99),0)),0)),0))),0)</f>
        <v>0</v>
      </c>
      <c r="R133" s="95">
        <f t="array" ref="R133">ROUND(IF(IFERROR(VALUE(RIGHT($AD133,1)),0)&gt;2,IF($C133=8,N133*IFERROR(INDEX('TaxCred&amp;Subs'!$K$139:$S$151,MATCH($C133&amp;$D133&amp;LEFT($AD133,7),'TaxCred&amp;Subs'!$E$139:$E$151,0),MATCH($H133,'TaxCred&amp;Subs'!$K$137:$S$137,0)),0),IF($C133=2,N133*IFERROR(INDEX('TaxCred&amp;Subs'!$K$139:$S$151,MATCH($C133&amp;$D133,'TaxCred&amp;Subs'!$D$139:$D$151,0),MATCH($H133,'TaxCred&amp;Subs'!$K$137:$S$137,0)),0),N133*IFERROR(INDEX('TaxCred&amp;Subs'!$K$139:$S$151,MATCH($C133&amp;$D133,'TaxCred&amp;Subs'!$C$139:$C$151,0),MATCH($H133,'TaxCred&amp;Subs'!$K$137:$S$137,0)),0))),0),0)</f>
        <v>304</v>
      </c>
      <c r="S133" s="95">
        <f t="array" ref="S133">ROUND(IF(IFERROR(VALUE(RIGHT($AD133,1)),0)&gt;2,IF($C133=8,O133*IFERROR(INDEX('TaxCred&amp;Subs'!$K$139:$S$151,MATCH($C133&amp;$D133&amp;LEFT($AD133,7),'TaxCred&amp;Subs'!$E$139:$E$151,0),MATCH($H133,'TaxCred&amp;Subs'!$K$137:$S$137,0)),0),IF($C133=2,O133*IFERROR(INDEX('TaxCred&amp;Subs'!$K$139:$S$151,MATCH($C133&amp;$D133,'TaxCred&amp;Subs'!$D$139:$D$151,0),MATCH($H133,'TaxCred&amp;Subs'!$K$137:$S$137,0)),0),O133*IFERROR(INDEX('TaxCred&amp;Subs'!$K$139:$S$151,MATCH($C133&amp;$D133,'TaxCred&amp;Subs'!$C$139:$C$151,0),MATCH($H133,'TaxCred&amp;Subs'!$K$137:$S$137,0)),0))),0),0)</f>
        <v>98</v>
      </c>
      <c r="T133" s="95">
        <f t="shared" si="8"/>
        <v>0</v>
      </c>
      <c r="U133" s="95">
        <f t="shared" si="9"/>
        <v>0</v>
      </c>
      <c r="V133" s="28" t="s">
        <v>222</v>
      </c>
      <c r="W133" s="31">
        <v>2020</v>
      </c>
      <c r="X133" s="28">
        <v>1</v>
      </c>
      <c r="Y133" s="28">
        <v>0</v>
      </c>
      <c r="Z133" s="196">
        <v>-2.1540077624843197E-4</v>
      </c>
      <c r="AA133" s="196">
        <v>-3.3138580961297225E-3</v>
      </c>
      <c r="AB133" s="28">
        <v>0</v>
      </c>
      <c r="AC133" s="28">
        <v>0</v>
      </c>
      <c r="AD133" s="28" t="s">
        <v>322</v>
      </c>
    </row>
    <row r="134" spans="2:30" ht="14.25" customHeight="1" x14ac:dyDescent="0.2">
      <c r="B134" s="7">
        <f t="shared" si="5"/>
        <v>110</v>
      </c>
      <c r="C134" s="28">
        <v>1</v>
      </c>
      <c r="D134" s="28">
        <v>3</v>
      </c>
      <c r="E134" s="28">
        <v>9</v>
      </c>
      <c r="F134" s="78">
        <v>2022</v>
      </c>
      <c r="G134" s="28">
        <v>2032</v>
      </c>
      <c r="H134" s="28">
        <v>7</v>
      </c>
      <c r="I134" s="28">
        <v>9</v>
      </c>
      <c r="J134" s="28">
        <v>0</v>
      </c>
      <c r="K134" s="28">
        <v>0</v>
      </c>
      <c r="L134" s="28">
        <v>0</v>
      </c>
      <c r="M134" s="75">
        <v>0.99</v>
      </c>
      <c r="N134" s="151">
        <v>4320</v>
      </c>
      <c r="O134" s="151">
        <v>1390</v>
      </c>
      <c r="P134" s="95">
        <f t="array" ref="P134">ROUND(IF($F134&lt;='TaxCred&amp;Subs'!$C$49,(IF($C134=2,IF($M134&gt;=IFERROR(INDEX('TaxCred&amp;Subs'!$L$12:$L$47,MATCH(1,($C134&amp;$D134='TaxCred&amp;Subs'!$E$12:$E$47)*($F134='TaxCred&amp;Subs'!$C$12:$C$47),0)
),9999),IFERROR(INDEX('TaxCred&amp;Subs'!$N$12:$N$47,MATCH(1,($C134&amp;$D134='TaxCred&amp;Subs'!$E$12:$E$47)*($F134='TaxCred&amp;Subs'!$C$12:$C$47),0)
),0),0),(IF($M134&gt;=IFERROR(INDEX('TaxCred&amp;Subs'!$H$12:$H$47,MATCH(1,($C134&amp;$D134='TaxCred&amp;Subs'!$D$12:$D$47)*($F134='TaxCred&amp;Subs'!$C$12:$C$47),0)
),9999),IFERROR(INDEX('TaxCred&amp;Subs'!$N$12:$N$47,MATCH(1,($C134&amp;$D134='TaxCred&amp;Subs'!$D$12:$D$47)*($F134='TaxCred&amp;Subs'!$C$12:$C$47),0)
),0),0)))),0)+IF(AND($C134=2,VALUE(RIGHT($AD134,1))&gt;2),(N134-R134)*(IFERROR(INDEX('TaxCred&amp;Subs'!$J$66:$J$99,MATCH(1,($C134&amp;$D134='TaxCred&amp;Subs'!$E$66:$E$99)*($F134='TaxCred&amp;Subs'!$C$66:$C$99),0)),0)),IF(AND($C134=1,VALUE(RIGHT($AD134,1))&gt;2),(N134-R134)*(IFERROR(INDEX('TaxCred&amp;Subs'!$J$66:$J$99,MATCH(1,($C134&amp;$D134='TaxCred&amp;Subs'!$D$66:$D$99)*($F134='TaxCred&amp;Subs'!$C$66:$C$99),0)),0)),IF($C134&gt;2,(N134-R134)*(IFERROR(INDEX('TaxCred&amp;Subs'!$J$66:$J$99,MATCH(1,($C134&amp;$D134='TaxCred&amp;Subs'!$D$66:$D$99)*($F134='TaxCred&amp;Subs'!$C$66:$C$99),0)),0)),0))),0)</f>
        <v>600</v>
      </c>
      <c r="Q134" s="95">
        <f t="array" ref="Q134">ROUND(IF(AND($C134=2,VALUE(RIGHT($AD134,1))&gt;2),(O134-S134)*(IFERROR(INDEX('TaxCred&amp;Subs'!$J$66:$J$99,MATCH(1,($C134&amp;$D134='TaxCred&amp;Subs'!$E$66:$E$99)*($F134='TaxCred&amp;Subs'!$C$66:$C$99),0)),0)),IF(AND($C134=1,VALUE(RIGHT($AD134,1))&gt;2),(O134-S134)*(IFERROR(INDEX('TaxCred&amp;Subs'!$J$66:$J$99,MATCH(1,($C134&amp;$D134='TaxCred&amp;Subs'!$D$66:$D$99)*($F134='TaxCred&amp;Subs'!$C$66:$C$99),0)),0)),IF($C134&gt;2,(O134-S134)*(IFERROR(INDEX('TaxCred&amp;Subs'!$J$66:$J$99,MATCH(1,($C134&amp;$D134='TaxCred&amp;Subs'!$D$66:$D$99)*($F134='TaxCred&amp;Subs'!$C$66:$C$99),0)),0)),0))),0)</f>
        <v>0</v>
      </c>
      <c r="R134" s="95">
        <f t="array" ref="R134">ROUND(IF(IFERROR(VALUE(RIGHT($AD134,1)),0)&gt;2,IF($C134=8,N134*IFERROR(INDEX('TaxCred&amp;Subs'!$K$139:$S$151,MATCH($C134&amp;$D134&amp;LEFT($AD134,7),'TaxCred&amp;Subs'!$E$139:$E$151,0),MATCH($H134,'TaxCred&amp;Subs'!$K$137:$S$137,0)),0),IF($C134=2,N134*IFERROR(INDEX('TaxCred&amp;Subs'!$K$139:$S$151,MATCH($C134&amp;$D134,'TaxCred&amp;Subs'!$D$139:$D$151,0),MATCH($H134,'TaxCred&amp;Subs'!$K$137:$S$137,0)),0),N134*IFERROR(INDEX('TaxCred&amp;Subs'!$K$139:$S$151,MATCH($C134&amp;$D134,'TaxCred&amp;Subs'!$C$139:$C$151,0),MATCH($H134,'TaxCred&amp;Subs'!$K$137:$S$137,0)),0))),0),0)</f>
        <v>13</v>
      </c>
      <c r="S134" s="95">
        <f t="array" ref="S134">ROUND(IF(IFERROR(VALUE(RIGHT($AD134,1)),0)&gt;2,IF($C134=8,O134*IFERROR(INDEX('TaxCred&amp;Subs'!$K$139:$S$151,MATCH($C134&amp;$D134&amp;LEFT($AD134,7),'TaxCred&amp;Subs'!$E$139:$E$151,0),MATCH($H134,'TaxCred&amp;Subs'!$K$137:$S$137,0)),0),IF($C134=2,O134*IFERROR(INDEX('TaxCred&amp;Subs'!$K$139:$S$151,MATCH($C134&amp;$D134,'TaxCred&amp;Subs'!$D$139:$D$151,0),MATCH($H134,'TaxCred&amp;Subs'!$K$137:$S$137,0)),0),O134*IFERROR(INDEX('TaxCred&amp;Subs'!$K$139:$S$151,MATCH($C134&amp;$D134,'TaxCred&amp;Subs'!$C$139:$C$151,0),MATCH($H134,'TaxCred&amp;Subs'!$K$137:$S$137,0)),0))),0),0)</f>
        <v>4</v>
      </c>
      <c r="T134" s="95">
        <f t="shared" si="8"/>
        <v>0</v>
      </c>
      <c r="U134" s="95">
        <f t="shared" si="9"/>
        <v>0</v>
      </c>
      <c r="V134" s="28" t="s">
        <v>222</v>
      </c>
      <c r="W134" s="31">
        <v>2020</v>
      </c>
      <c r="X134" s="28">
        <v>1</v>
      </c>
      <c r="Y134" s="28">
        <v>0</v>
      </c>
      <c r="Z134" s="196">
        <v>-2.1540077624843197E-4</v>
      </c>
      <c r="AA134" s="196">
        <v>-3.3138580961297225E-3</v>
      </c>
      <c r="AB134" s="28">
        <v>0</v>
      </c>
      <c r="AC134" s="28">
        <v>0</v>
      </c>
      <c r="AD134" s="28" t="s">
        <v>322</v>
      </c>
    </row>
    <row r="135" spans="2:30" ht="14.25" customHeight="1" x14ac:dyDescent="0.2">
      <c r="B135" s="7">
        <f t="shared" si="5"/>
        <v>111</v>
      </c>
      <c r="C135" s="28">
        <v>1</v>
      </c>
      <c r="D135" s="28">
        <v>3</v>
      </c>
      <c r="E135" s="28">
        <v>9</v>
      </c>
      <c r="F135" s="78">
        <v>2022</v>
      </c>
      <c r="G135" s="28">
        <v>2032</v>
      </c>
      <c r="H135" s="28">
        <v>8</v>
      </c>
      <c r="I135" s="28">
        <v>9</v>
      </c>
      <c r="J135" s="28">
        <v>0</v>
      </c>
      <c r="K135" s="28">
        <v>0</v>
      </c>
      <c r="L135" s="28">
        <v>0</v>
      </c>
      <c r="M135" s="75">
        <v>0.99</v>
      </c>
      <c r="N135" s="151">
        <v>4320</v>
      </c>
      <c r="O135" s="151">
        <v>1390</v>
      </c>
      <c r="P135" s="95">
        <f t="array" ref="P135">ROUND(IF($F135&lt;='TaxCred&amp;Subs'!$C$49,(IF($C135=2,IF($M135&gt;=IFERROR(INDEX('TaxCred&amp;Subs'!$L$12:$L$47,MATCH(1,($C135&amp;$D135='TaxCred&amp;Subs'!$E$12:$E$47)*($F135='TaxCred&amp;Subs'!$C$12:$C$47),0)
),9999),IFERROR(INDEX('TaxCred&amp;Subs'!$N$12:$N$47,MATCH(1,($C135&amp;$D135='TaxCred&amp;Subs'!$E$12:$E$47)*($F135='TaxCred&amp;Subs'!$C$12:$C$47),0)
),0),0),(IF($M135&gt;=IFERROR(INDEX('TaxCred&amp;Subs'!$H$12:$H$47,MATCH(1,($C135&amp;$D135='TaxCred&amp;Subs'!$D$12:$D$47)*($F135='TaxCred&amp;Subs'!$C$12:$C$47),0)
),9999),IFERROR(INDEX('TaxCred&amp;Subs'!$N$12:$N$47,MATCH(1,($C135&amp;$D135='TaxCred&amp;Subs'!$D$12:$D$47)*($F135='TaxCred&amp;Subs'!$C$12:$C$47),0)
),0),0)))),0)+IF(AND($C135=2,VALUE(RIGHT($AD135,1))&gt;2),(N135-R135)*(IFERROR(INDEX('TaxCred&amp;Subs'!$J$66:$J$99,MATCH(1,($C135&amp;$D135='TaxCred&amp;Subs'!$E$66:$E$99)*($F135='TaxCred&amp;Subs'!$C$66:$C$99),0)),0)),IF(AND($C135=1,VALUE(RIGHT($AD135,1))&gt;2),(N135-R135)*(IFERROR(INDEX('TaxCred&amp;Subs'!$J$66:$J$99,MATCH(1,($C135&amp;$D135='TaxCred&amp;Subs'!$D$66:$D$99)*($F135='TaxCred&amp;Subs'!$C$66:$C$99),0)),0)),IF($C135&gt;2,(N135-R135)*(IFERROR(INDEX('TaxCred&amp;Subs'!$J$66:$J$99,MATCH(1,($C135&amp;$D135='TaxCred&amp;Subs'!$D$66:$D$99)*($F135='TaxCred&amp;Subs'!$C$66:$C$99),0)),0)),0))),0)</f>
        <v>600</v>
      </c>
      <c r="Q135" s="95">
        <f t="array" ref="Q135">ROUND(IF(AND($C135=2,VALUE(RIGHT($AD135,1))&gt;2),(O135-S135)*(IFERROR(INDEX('TaxCred&amp;Subs'!$J$66:$J$99,MATCH(1,($C135&amp;$D135='TaxCred&amp;Subs'!$E$66:$E$99)*($F135='TaxCred&amp;Subs'!$C$66:$C$99),0)),0)),IF(AND($C135=1,VALUE(RIGHT($AD135,1))&gt;2),(O135-S135)*(IFERROR(INDEX('TaxCred&amp;Subs'!$J$66:$J$99,MATCH(1,($C135&amp;$D135='TaxCred&amp;Subs'!$D$66:$D$99)*($F135='TaxCred&amp;Subs'!$C$66:$C$99),0)),0)),IF($C135&gt;2,(O135-S135)*(IFERROR(INDEX('TaxCred&amp;Subs'!$J$66:$J$99,MATCH(1,($C135&amp;$D135='TaxCred&amp;Subs'!$D$66:$D$99)*($F135='TaxCred&amp;Subs'!$C$66:$C$99),0)),0)),0))),0)</f>
        <v>0</v>
      </c>
      <c r="R135" s="95">
        <f t="array" ref="R135">ROUND(IF(IFERROR(VALUE(RIGHT($AD135,1)),0)&gt;2,IF($C135=8,N135*IFERROR(INDEX('TaxCred&amp;Subs'!$K$139:$S$151,MATCH($C135&amp;$D135&amp;LEFT($AD135,7),'TaxCred&amp;Subs'!$E$139:$E$151,0),MATCH($H135,'TaxCred&amp;Subs'!$K$137:$S$137,0)),0),IF($C135=2,N135*IFERROR(INDEX('TaxCred&amp;Subs'!$K$139:$S$151,MATCH($C135&amp;$D135,'TaxCred&amp;Subs'!$D$139:$D$151,0),MATCH($H135,'TaxCred&amp;Subs'!$K$137:$S$137,0)),0),N135*IFERROR(INDEX('TaxCred&amp;Subs'!$K$139:$S$151,MATCH($C135&amp;$D135,'TaxCred&amp;Subs'!$C$139:$C$151,0),MATCH($H135,'TaxCred&amp;Subs'!$K$137:$S$137,0)),0))),0),0)</f>
        <v>178</v>
      </c>
      <c r="S135" s="95">
        <f t="array" ref="S135">ROUND(IF(IFERROR(VALUE(RIGHT($AD135,1)),0)&gt;2,IF($C135=8,O135*IFERROR(INDEX('TaxCred&amp;Subs'!$K$139:$S$151,MATCH($C135&amp;$D135&amp;LEFT($AD135,7),'TaxCred&amp;Subs'!$E$139:$E$151,0),MATCH($H135,'TaxCred&amp;Subs'!$K$137:$S$137,0)),0),IF($C135=2,O135*IFERROR(INDEX('TaxCred&amp;Subs'!$K$139:$S$151,MATCH($C135&amp;$D135,'TaxCred&amp;Subs'!$D$139:$D$151,0),MATCH($H135,'TaxCred&amp;Subs'!$K$137:$S$137,0)),0),O135*IFERROR(INDEX('TaxCred&amp;Subs'!$K$139:$S$151,MATCH($C135&amp;$D135,'TaxCred&amp;Subs'!$C$139:$C$151,0),MATCH($H135,'TaxCred&amp;Subs'!$K$137:$S$137,0)),0))),0),0)</f>
        <v>57</v>
      </c>
      <c r="T135" s="95">
        <f t="shared" si="8"/>
        <v>0</v>
      </c>
      <c r="U135" s="95">
        <f t="shared" si="9"/>
        <v>0</v>
      </c>
      <c r="V135" s="28" t="s">
        <v>222</v>
      </c>
      <c r="W135" s="31">
        <v>2020</v>
      </c>
      <c r="X135" s="28">
        <v>1</v>
      </c>
      <c r="Y135" s="28">
        <v>0</v>
      </c>
      <c r="Z135" s="196">
        <v>-2.1540077624843197E-4</v>
      </c>
      <c r="AA135" s="196">
        <v>-3.3138580961297225E-3</v>
      </c>
      <c r="AB135" s="28">
        <v>0</v>
      </c>
      <c r="AC135" s="28">
        <v>0</v>
      </c>
      <c r="AD135" s="28" t="s">
        <v>322</v>
      </c>
    </row>
    <row r="136" spans="2:30" ht="14.25" customHeight="1" x14ac:dyDescent="0.2">
      <c r="B136" s="7">
        <f t="shared" si="5"/>
        <v>112</v>
      </c>
      <c r="C136" s="28">
        <v>1</v>
      </c>
      <c r="D136" s="28">
        <v>3</v>
      </c>
      <c r="E136" s="28">
        <v>9</v>
      </c>
      <c r="F136" s="78">
        <v>2022</v>
      </c>
      <c r="G136" s="28">
        <v>2032</v>
      </c>
      <c r="H136" s="28">
        <v>9</v>
      </c>
      <c r="I136" s="28">
        <v>9</v>
      </c>
      <c r="J136" s="28">
        <v>0</v>
      </c>
      <c r="K136" s="28">
        <v>0</v>
      </c>
      <c r="L136" s="28">
        <v>0</v>
      </c>
      <c r="M136" s="75">
        <v>0.99</v>
      </c>
      <c r="N136" s="151">
        <v>4320</v>
      </c>
      <c r="O136" s="151">
        <v>1390</v>
      </c>
      <c r="P136" s="95">
        <f t="array" ref="P136">ROUND(IF($F136&lt;='TaxCred&amp;Subs'!$C$49,(IF($C136=2,IF($M136&gt;=IFERROR(INDEX('TaxCred&amp;Subs'!$L$12:$L$47,MATCH(1,($C136&amp;$D136='TaxCred&amp;Subs'!$E$12:$E$47)*($F136='TaxCred&amp;Subs'!$C$12:$C$47),0)
),9999),IFERROR(INDEX('TaxCred&amp;Subs'!$N$12:$N$47,MATCH(1,($C136&amp;$D136='TaxCred&amp;Subs'!$E$12:$E$47)*($F136='TaxCred&amp;Subs'!$C$12:$C$47),0)
),0),0),(IF($M136&gt;=IFERROR(INDEX('TaxCred&amp;Subs'!$H$12:$H$47,MATCH(1,($C136&amp;$D136='TaxCred&amp;Subs'!$D$12:$D$47)*($F136='TaxCred&amp;Subs'!$C$12:$C$47),0)
),9999),IFERROR(INDEX('TaxCred&amp;Subs'!$N$12:$N$47,MATCH(1,($C136&amp;$D136='TaxCred&amp;Subs'!$D$12:$D$47)*($F136='TaxCred&amp;Subs'!$C$12:$C$47),0)
),0),0)))),0)+IF(AND($C136=2,VALUE(RIGHT($AD136,1))&gt;2),(N136-R136)*(IFERROR(INDEX('TaxCred&amp;Subs'!$J$66:$J$99,MATCH(1,($C136&amp;$D136='TaxCred&amp;Subs'!$E$66:$E$99)*($F136='TaxCred&amp;Subs'!$C$66:$C$99),0)),0)),IF(AND($C136=1,VALUE(RIGHT($AD136,1))&gt;2),(N136-R136)*(IFERROR(INDEX('TaxCred&amp;Subs'!$J$66:$J$99,MATCH(1,($C136&amp;$D136='TaxCred&amp;Subs'!$D$66:$D$99)*($F136='TaxCred&amp;Subs'!$C$66:$C$99),0)),0)),IF($C136&gt;2,(N136-R136)*(IFERROR(INDEX('TaxCred&amp;Subs'!$J$66:$J$99,MATCH(1,($C136&amp;$D136='TaxCred&amp;Subs'!$D$66:$D$99)*($F136='TaxCred&amp;Subs'!$C$66:$C$99),0)),0)),0))),0)</f>
        <v>600</v>
      </c>
      <c r="Q136" s="95">
        <f t="array" ref="Q136">ROUND(IF(AND($C136=2,VALUE(RIGHT($AD136,1))&gt;2),(O136-S136)*(IFERROR(INDEX('TaxCred&amp;Subs'!$J$66:$J$99,MATCH(1,($C136&amp;$D136='TaxCred&amp;Subs'!$E$66:$E$99)*($F136='TaxCred&amp;Subs'!$C$66:$C$99),0)),0)),IF(AND($C136=1,VALUE(RIGHT($AD136,1))&gt;2),(O136-S136)*(IFERROR(INDEX('TaxCred&amp;Subs'!$J$66:$J$99,MATCH(1,($C136&amp;$D136='TaxCred&amp;Subs'!$D$66:$D$99)*($F136='TaxCred&amp;Subs'!$C$66:$C$99),0)),0)),IF($C136&gt;2,(O136-S136)*(IFERROR(INDEX('TaxCred&amp;Subs'!$J$66:$J$99,MATCH(1,($C136&amp;$D136='TaxCred&amp;Subs'!$D$66:$D$99)*($F136='TaxCred&amp;Subs'!$C$66:$C$99),0)),0)),0))),0)</f>
        <v>0</v>
      </c>
      <c r="R136" s="95">
        <f t="array" ref="R136">ROUND(IF(IFERROR(VALUE(RIGHT($AD136,1)),0)&gt;2,IF($C136=8,N136*IFERROR(INDEX('TaxCred&amp;Subs'!$K$139:$S$151,MATCH($C136&amp;$D136&amp;LEFT($AD136,7),'TaxCred&amp;Subs'!$E$139:$E$151,0),MATCH($H136,'TaxCred&amp;Subs'!$K$137:$S$137,0)),0),IF($C136=2,N136*IFERROR(INDEX('TaxCred&amp;Subs'!$K$139:$S$151,MATCH($C136&amp;$D136,'TaxCred&amp;Subs'!$D$139:$D$151,0),MATCH($H136,'TaxCred&amp;Subs'!$K$137:$S$137,0)),0),N136*IFERROR(INDEX('TaxCred&amp;Subs'!$K$139:$S$151,MATCH($C136&amp;$D136,'TaxCred&amp;Subs'!$C$139:$C$151,0),MATCH($H136,'TaxCred&amp;Subs'!$K$137:$S$137,0)),0))),0),0)</f>
        <v>653</v>
      </c>
      <c r="S136" s="95">
        <f t="array" ref="S136">ROUND(IF(IFERROR(VALUE(RIGHT($AD136,1)),0)&gt;2,IF($C136=8,O136*IFERROR(INDEX('TaxCred&amp;Subs'!$K$139:$S$151,MATCH($C136&amp;$D136&amp;LEFT($AD136,7),'TaxCred&amp;Subs'!$E$139:$E$151,0),MATCH($H136,'TaxCred&amp;Subs'!$K$137:$S$137,0)),0),IF($C136=2,O136*IFERROR(INDEX('TaxCred&amp;Subs'!$K$139:$S$151,MATCH($C136&amp;$D136,'TaxCred&amp;Subs'!$D$139:$D$151,0),MATCH($H136,'TaxCred&amp;Subs'!$K$137:$S$137,0)),0),O136*IFERROR(INDEX('TaxCred&amp;Subs'!$K$139:$S$151,MATCH($C136&amp;$D136,'TaxCred&amp;Subs'!$C$139:$C$151,0),MATCH($H136,'TaxCred&amp;Subs'!$K$137:$S$137,0)),0))),0),0)</f>
        <v>210</v>
      </c>
      <c r="T136" s="172">
        <f t="shared" si="8"/>
        <v>558</v>
      </c>
      <c r="U136" s="172">
        <f t="shared" si="9"/>
        <v>208.5</v>
      </c>
      <c r="V136" s="28" t="s">
        <v>222</v>
      </c>
      <c r="W136" s="31">
        <v>2020</v>
      </c>
      <c r="X136" s="28">
        <v>1</v>
      </c>
      <c r="Y136" s="28">
        <v>0</v>
      </c>
      <c r="Z136" s="196">
        <v>-2.1540077624843197E-4</v>
      </c>
      <c r="AA136" s="196">
        <v>-3.3138580961297225E-3</v>
      </c>
      <c r="AB136" s="28">
        <v>0</v>
      </c>
      <c r="AC136" s="28">
        <v>0</v>
      </c>
      <c r="AD136" s="28" t="s">
        <v>322</v>
      </c>
    </row>
    <row r="137" spans="2:30" ht="14.25" customHeight="1" x14ac:dyDescent="0.2">
      <c r="B137" s="7">
        <f t="shared" si="5"/>
        <v>113</v>
      </c>
      <c r="C137" s="28">
        <v>1</v>
      </c>
      <c r="D137" s="28">
        <v>3</v>
      </c>
      <c r="E137" s="28">
        <v>9</v>
      </c>
      <c r="F137" s="78">
        <v>2033</v>
      </c>
      <c r="G137" s="28">
        <v>2050</v>
      </c>
      <c r="H137" s="28">
        <v>1</v>
      </c>
      <c r="I137" s="28">
        <v>9</v>
      </c>
      <c r="J137" s="28">
        <v>0</v>
      </c>
      <c r="K137" s="28">
        <v>0</v>
      </c>
      <c r="L137" s="28">
        <v>0</v>
      </c>
      <c r="M137" s="75">
        <v>0.99</v>
      </c>
      <c r="N137" s="151">
        <v>4320</v>
      </c>
      <c r="O137" s="151">
        <v>1390</v>
      </c>
      <c r="P137" s="95">
        <f t="array" ref="P137">ROUND(IF($F137&lt;='TaxCred&amp;Subs'!$C$49,(IF($C137=2,IF($M137&gt;=IFERROR(INDEX('TaxCred&amp;Subs'!$L$12:$L$47,MATCH(1,($C137&amp;$D137='TaxCred&amp;Subs'!$E$12:$E$47)*($F137='TaxCred&amp;Subs'!$C$12:$C$47),0)
),9999),IFERROR(INDEX('TaxCred&amp;Subs'!$N$12:$N$47,MATCH(1,($C137&amp;$D137='TaxCred&amp;Subs'!$E$12:$E$47)*($F137='TaxCred&amp;Subs'!$C$12:$C$47),0)
),0),0),(IF($M137&gt;=IFERROR(INDEX('TaxCred&amp;Subs'!$H$12:$H$47,MATCH(1,($C137&amp;$D137='TaxCred&amp;Subs'!$D$12:$D$47)*($F137='TaxCred&amp;Subs'!$C$12:$C$47),0)
),9999),IFERROR(INDEX('TaxCred&amp;Subs'!$N$12:$N$47,MATCH(1,($C137&amp;$D137='TaxCred&amp;Subs'!$D$12:$D$47)*($F137='TaxCred&amp;Subs'!$C$12:$C$47),0)
),0),0)))),0)+IF(AND($C137=2,VALUE(RIGHT($AD137,1))&gt;2),(N137-R137)*(IFERROR(INDEX('TaxCred&amp;Subs'!$J$66:$J$99,MATCH(1,($C137&amp;$D137='TaxCred&amp;Subs'!$E$66:$E$99)*($F137='TaxCred&amp;Subs'!$C$66:$C$99),0)),0)),IF(AND($C137=1,VALUE(RIGHT($AD137,1))&gt;2),(N137-R137)*(IFERROR(INDEX('TaxCred&amp;Subs'!$J$66:$J$99,MATCH(1,($C137&amp;$D137='TaxCred&amp;Subs'!$D$66:$D$99)*($F137='TaxCred&amp;Subs'!$C$66:$C$99),0)),0)),IF($C137&gt;2,(N137-R137)*(IFERROR(INDEX('TaxCred&amp;Subs'!$J$66:$J$99,MATCH(1,($C137&amp;$D137='TaxCred&amp;Subs'!$D$66:$D$99)*($F137='TaxCred&amp;Subs'!$C$66:$C$99),0)),0)),0))),0)</f>
        <v>0</v>
      </c>
      <c r="Q137" s="95">
        <f t="array" ref="Q137">ROUND(IF(AND($C137=2,VALUE(RIGHT($AD137,1))&gt;2),(O137-S137)*(IFERROR(INDEX('TaxCred&amp;Subs'!$J$66:$J$99,MATCH(1,($C137&amp;$D137='TaxCred&amp;Subs'!$E$66:$E$99)*($F137='TaxCred&amp;Subs'!$C$66:$C$99),0)),0)),IF(AND($C137=1,VALUE(RIGHT($AD137,1))&gt;2),(O137-S137)*(IFERROR(INDEX('TaxCred&amp;Subs'!$J$66:$J$99,MATCH(1,($C137&amp;$D137='TaxCred&amp;Subs'!$D$66:$D$99)*($F137='TaxCred&amp;Subs'!$C$66:$C$99),0)),0)),IF($C137&gt;2,(O137-S137)*(IFERROR(INDEX('TaxCred&amp;Subs'!$J$66:$J$99,MATCH(1,($C137&amp;$D137='TaxCred&amp;Subs'!$D$66:$D$99)*($F137='TaxCred&amp;Subs'!$C$66:$C$99),0)),0)),0))),0)</f>
        <v>0</v>
      </c>
      <c r="R137" s="95">
        <f t="array" ref="R137">ROUND(IF(IFERROR(VALUE(RIGHT($AD137,1)),0)&gt;2,IF($C137=8,N137*IFERROR(INDEX('TaxCred&amp;Subs'!$K$139:$S$151,MATCH($C137&amp;$D137&amp;LEFT($AD137,7),'TaxCred&amp;Subs'!$E$139:$E$151,0),MATCH($H137,'TaxCred&amp;Subs'!$K$137:$S$137,0)),0),IF($C137=2,N137*IFERROR(INDEX('TaxCred&amp;Subs'!$K$139:$S$151,MATCH($C137&amp;$D137,'TaxCred&amp;Subs'!$D$139:$D$151,0),MATCH($H137,'TaxCred&amp;Subs'!$K$137:$S$137,0)),0),N137*IFERROR(INDEX('TaxCred&amp;Subs'!$K$139:$S$151,MATCH($C137&amp;$D137,'TaxCred&amp;Subs'!$C$139:$C$151,0),MATCH($H137,'TaxCred&amp;Subs'!$K$137:$S$137,0)),0))),0),0)</f>
        <v>417</v>
      </c>
      <c r="S137" s="95">
        <f t="array" ref="S137">ROUND(IF(IFERROR(VALUE(RIGHT($AD137,1)),0)&gt;2,IF($C137=8,O137*IFERROR(INDEX('TaxCred&amp;Subs'!$K$139:$S$151,MATCH($C137&amp;$D137&amp;LEFT($AD137,7),'TaxCred&amp;Subs'!$E$139:$E$151,0),MATCH($H137,'TaxCred&amp;Subs'!$K$137:$S$137,0)),0),IF($C137=2,O137*IFERROR(INDEX('TaxCred&amp;Subs'!$K$139:$S$151,MATCH($C137&amp;$D137,'TaxCred&amp;Subs'!$D$139:$D$151,0),MATCH($H137,'TaxCred&amp;Subs'!$K$137:$S$137,0)),0),O137*IFERROR(INDEX('TaxCred&amp;Subs'!$K$139:$S$151,MATCH($C137&amp;$D137,'TaxCred&amp;Subs'!$C$139:$C$151,0),MATCH($H137,'TaxCred&amp;Subs'!$K$137:$S$137,0)),0))),0),0)</f>
        <v>134</v>
      </c>
      <c r="T137" s="95">
        <f t="shared" si="8"/>
        <v>0</v>
      </c>
      <c r="U137" s="95">
        <f t="shared" si="9"/>
        <v>0</v>
      </c>
      <c r="V137" s="28" t="s">
        <v>222</v>
      </c>
      <c r="W137" s="31">
        <v>2020</v>
      </c>
      <c r="X137" s="28">
        <v>1</v>
      </c>
      <c r="Y137" s="28">
        <v>0</v>
      </c>
      <c r="Z137" s="196">
        <v>-2.1540077624843197E-4</v>
      </c>
      <c r="AA137" s="196">
        <v>-3.3138580961297225E-3</v>
      </c>
      <c r="AB137" s="28">
        <v>0</v>
      </c>
      <c r="AC137" s="28">
        <v>0</v>
      </c>
      <c r="AD137" s="28" t="s">
        <v>322</v>
      </c>
    </row>
    <row r="138" spans="2:30" ht="14.25" customHeight="1" x14ac:dyDescent="0.2">
      <c r="B138" s="7">
        <f t="shared" si="5"/>
        <v>114</v>
      </c>
      <c r="C138" s="28">
        <v>1</v>
      </c>
      <c r="D138" s="28">
        <v>3</v>
      </c>
      <c r="E138" s="28">
        <v>9</v>
      </c>
      <c r="F138" s="78">
        <v>2033</v>
      </c>
      <c r="G138" s="28">
        <v>2050</v>
      </c>
      <c r="H138" s="28">
        <v>2</v>
      </c>
      <c r="I138" s="28">
        <v>9</v>
      </c>
      <c r="J138" s="28">
        <v>0</v>
      </c>
      <c r="K138" s="28">
        <v>0</v>
      </c>
      <c r="L138" s="28">
        <v>0</v>
      </c>
      <c r="M138" s="75">
        <v>0.99</v>
      </c>
      <c r="N138" s="151">
        <v>4320</v>
      </c>
      <c r="O138" s="151">
        <v>1390</v>
      </c>
      <c r="P138" s="95">
        <f t="array" ref="P138">ROUND(IF($F138&lt;='TaxCred&amp;Subs'!$C$49,(IF($C138=2,IF($M138&gt;=IFERROR(INDEX('TaxCred&amp;Subs'!$L$12:$L$47,MATCH(1,($C138&amp;$D138='TaxCred&amp;Subs'!$E$12:$E$47)*($F138='TaxCred&amp;Subs'!$C$12:$C$47),0)
),9999),IFERROR(INDEX('TaxCred&amp;Subs'!$N$12:$N$47,MATCH(1,($C138&amp;$D138='TaxCred&amp;Subs'!$E$12:$E$47)*($F138='TaxCred&amp;Subs'!$C$12:$C$47),0)
),0),0),(IF($M138&gt;=IFERROR(INDEX('TaxCred&amp;Subs'!$H$12:$H$47,MATCH(1,($C138&amp;$D138='TaxCred&amp;Subs'!$D$12:$D$47)*($F138='TaxCred&amp;Subs'!$C$12:$C$47),0)
),9999),IFERROR(INDEX('TaxCred&amp;Subs'!$N$12:$N$47,MATCH(1,($C138&amp;$D138='TaxCred&amp;Subs'!$D$12:$D$47)*($F138='TaxCred&amp;Subs'!$C$12:$C$47),0)
),0),0)))),0)+IF(AND($C138=2,VALUE(RIGHT($AD138,1))&gt;2),(N138-R138)*(IFERROR(INDEX('TaxCred&amp;Subs'!$J$66:$J$99,MATCH(1,($C138&amp;$D138='TaxCred&amp;Subs'!$E$66:$E$99)*($F138='TaxCred&amp;Subs'!$C$66:$C$99),0)),0)),IF(AND($C138=1,VALUE(RIGHT($AD138,1))&gt;2),(N138-R138)*(IFERROR(INDEX('TaxCred&amp;Subs'!$J$66:$J$99,MATCH(1,($C138&amp;$D138='TaxCred&amp;Subs'!$D$66:$D$99)*($F138='TaxCred&amp;Subs'!$C$66:$C$99),0)),0)),IF($C138&gt;2,(N138-R138)*(IFERROR(INDEX('TaxCred&amp;Subs'!$J$66:$J$99,MATCH(1,($C138&amp;$D138='TaxCred&amp;Subs'!$D$66:$D$99)*($F138='TaxCred&amp;Subs'!$C$66:$C$99),0)),0)),0))),0)</f>
        <v>0</v>
      </c>
      <c r="Q138" s="95">
        <f t="array" ref="Q138">ROUND(IF(AND($C138=2,VALUE(RIGHT($AD138,1))&gt;2),(O138-S138)*(IFERROR(INDEX('TaxCred&amp;Subs'!$J$66:$J$99,MATCH(1,($C138&amp;$D138='TaxCred&amp;Subs'!$E$66:$E$99)*($F138='TaxCred&amp;Subs'!$C$66:$C$99),0)),0)),IF(AND($C138=1,VALUE(RIGHT($AD138,1))&gt;2),(O138-S138)*(IFERROR(INDEX('TaxCred&amp;Subs'!$J$66:$J$99,MATCH(1,($C138&amp;$D138='TaxCred&amp;Subs'!$D$66:$D$99)*($F138='TaxCred&amp;Subs'!$C$66:$C$99),0)),0)),IF($C138&gt;2,(O138-S138)*(IFERROR(INDEX('TaxCred&amp;Subs'!$J$66:$J$99,MATCH(1,($C138&amp;$D138='TaxCred&amp;Subs'!$D$66:$D$99)*($F138='TaxCred&amp;Subs'!$C$66:$C$99),0)),0)),0))),0)</f>
        <v>0</v>
      </c>
      <c r="R138" s="95">
        <f t="array" ref="R138">ROUND(IF(IFERROR(VALUE(RIGHT($AD138,1)),0)&gt;2,IF($C138=8,N138*IFERROR(INDEX('TaxCred&amp;Subs'!$K$139:$S$151,MATCH($C138&amp;$D138&amp;LEFT($AD138,7),'TaxCred&amp;Subs'!$E$139:$E$151,0),MATCH($H138,'TaxCred&amp;Subs'!$K$137:$S$137,0)),0),IF($C138=2,N138*IFERROR(INDEX('TaxCred&amp;Subs'!$K$139:$S$151,MATCH($C138&amp;$D138,'TaxCred&amp;Subs'!$D$139:$D$151,0),MATCH($H138,'TaxCred&amp;Subs'!$K$137:$S$137,0)),0),N138*IFERROR(INDEX('TaxCred&amp;Subs'!$K$139:$S$151,MATCH($C138&amp;$D138,'TaxCred&amp;Subs'!$C$139:$C$151,0),MATCH($H138,'TaxCred&amp;Subs'!$K$137:$S$137,0)),0))),0),0)</f>
        <v>518</v>
      </c>
      <c r="S138" s="95">
        <f t="array" ref="S138">ROUND(IF(IFERROR(VALUE(RIGHT($AD138,1)),0)&gt;2,IF($C138=8,O138*IFERROR(INDEX('TaxCred&amp;Subs'!$K$139:$S$151,MATCH($C138&amp;$D138&amp;LEFT($AD138,7),'TaxCred&amp;Subs'!$E$139:$E$151,0),MATCH($H138,'TaxCred&amp;Subs'!$K$137:$S$137,0)),0),IF($C138=2,O138*IFERROR(INDEX('TaxCred&amp;Subs'!$K$139:$S$151,MATCH($C138&amp;$D138,'TaxCred&amp;Subs'!$D$139:$D$151,0),MATCH($H138,'TaxCred&amp;Subs'!$K$137:$S$137,0)),0),O138*IFERROR(INDEX('TaxCred&amp;Subs'!$K$139:$S$151,MATCH($C138&amp;$D138,'TaxCred&amp;Subs'!$C$139:$C$151,0),MATCH($H138,'TaxCred&amp;Subs'!$K$137:$S$137,0)),0))),0),0)</f>
        <v>167</v>
      </c>
      <c r="T138" s="95">
        <f t="shared" si="8"/>
        <v>0</v>
      </c>
      <c r="U138" s="95">
        <f t="shared" si="9"/>
        <v>0</v>
      </c>
      <c r="V138" s="28" t="s">
        <v>222</v>
      </c>
      <c r="W138" s="31">
        <v>2020</v>
      </c>
      <c r="X138" s="28">
        <v>1</v>
      </c>
      <c r="Y138" s="28">
        <v>0</v>
      </c>
      <c r="Z138" s="196">
        <v>-2.1540077624843197E-4</v>
      </c>
      <c r="AA138" s="196">
        <v>-3.3138580961297225E-3</v>
      </c>
      <c r="AB138" s="28">
        <v>0</v>
      </c>
      <c r="AC138" s="28">
        <v>0</v>
      </c>
      <c r="AD138" s="28" t="s">
        <v>322</v>
      </c>
    </row>
    <row r="139" spans="2:30" ht="14.25" customHeight="1" x14ac:dyDescent="0.2">
      <c r="B139" s="7">
        <f t="shared" si="5"/>
        <v>115</v>
      </c>
      <c r="C139" s="28">
        <v>1</v>
      </c>
      <c r="D139" s="28">
        <v>3</v>
      </c>
      <c r="E139" s="28">
        <v>9</v>
      </c>
      <c r="F139" s="78">
        <v>2033</v>
      </c>
      <c r="G139" s="28">
        <v>2050</v>
      </c>
      <c r="H139" s="28">
        <v>3</v>
      </c>
      <c r="I139" s="28">
        <v>9</v>
      </c>
      <c r="J139" s="28">
        <v>0</v>
      </c>
      <c r="K139" s="28">
        <v>0</v>
      </c>
      <c r="L139" s="28">
        <v>0</v>
      </c>
      <c r="M139" s="75">
        <v>0.99</v>
      </c>
      <c r="N139" s="151">
        <v>4320</v>
      </c>
      <c r="O139" s="151">
        <v>1390</v>
      </c>
      <c r="P139" s="95">
        <f t="array" ref="P139">ROUND(IF($F139&lt;='TaxCred&amp;Subs'!$C$49,(IF($C139=2,IF($M139&gt;=IFERROR(INDEX('TaxCred&amp;Subs'!$L$12:$L$47,MATCH(1,($C139&amp;$D139='TaxCred&amp;Subs'!$E$12:$E$47)*($F139='TaxCred&amp;Subs'!$C$12:$C$47),0)
),9999),IFERROR(INDEX('TaxCred&amp;Subs'!$N$12:$N$47,MATCH(1,($C139&amp;$D139='TaxCred&amp;Subs'!$E$12:$E$47)*($F139='TaxCred&amp;Subs'!$C$12:$C$47),0)
),0),0),(IF($M139&gt;=IFERROR(INDEX('TaxCred&amp;Subs'!$H$12:$H$47,MATCH(1,($C139&amp;$D139='TaxCred&amp;Subs'!$D$12:$D$47)*($F139='TaxCred&amp;Subs'!$C$12:$C$47),0)
),9999),IFERROR(INDEX('TaxCred&amp;Subs'!$N$12:$N$47,MATCH(1,($C139&amp;$D139='TaxCred&amp;Subs'!$D$12:$D$47)*($F139='TaxCred&amp;Subs'!$C$12:$C$47),0)
),0),0)))),0)+IF(AND($C139=2,VALUE(RIGHT($AD139,1))&gt;2),(N139-R139)*(IFERROR(INDEX('TaxCred&amp;Subs'!$J$66:$J$99,MATCH(1,($C139&amp;$D139='TaxCred&amp;Subs'!$E$66:$E$99)*($F139='TaxCred&amp;Subs'!$C$66:$C$99),0)),0)),IF(AND($C139=1,VALUE(RIGHT($AD139,1))&gt;2),(N139-R139)*(IFERROR(INDEX('TaxCred&amp;Subs'!$J$66:$J$99,MATCH(1,($C139&amp;$D139='TaxCred&amp;Subs'!$D$66:$D$99)*($F139='TaxCred&amp;Subs'!$C$66:$C$99),0)),0)),IF($C139&gt;2,(N139-R139)*(IFERROR(INDEX('TaxCred&amp;Subs'!$J$66:$J$99,MATCH(1,($C139&amp;$D139='TaxCred&amp;Subs'!$D$66:$D$99)*($F139='TaxCred&amp;Subs'!$C$66:$C$99),0)),0)),0))),0)</f>
        <v>0</v>
      </c>
      <c r="Q139" s="95">
        <f t="array" ref="Q139">ROUND(IF(AND($C139=2,VALUE(RIGHT($AD139,1))&gt;2),(O139-S139)*(IFERROR(INDEX('TaxCred&amp;Subs'!$J$66:$J$99,MATCH(1,($C139&amp;$D139='TaxCred&amp;Subs'!$E$66:$E$99)*($F139='TaxCred&amp;Subs'!$C$66:$C$99),0)),0)),IF(AND($C139=1,VALUE(RIGHT($AD139,1))&gt;2),(O139-S139)*(IFERROR(INDEX('TaxCred&amp;Subs'!$J$66:$J$99,MATCH(1,($C139&amp;$D139='TaxCred&amp;Subs'!$D$66:$D$99)*($F139='TaxCred&amp;Subs'!$C$66:$C$99),0)),0)),IF($C139&gt;2,(O139-S139)*(IFERROR(INDEX('TaxCred&amp;Subs'!$J$66:$J$99,MATCH(1,($C139&amp;$D139='TaxCred&amp;Subs'!$D$66:$D$99)*($F139='TaxCred&amp;Subs'!$C$66:$C$99),0)),0)),0))),0)</f>
        <v>0</v>
      </c>
      <c r="R139" s="95">
        <f t="array" ref="R139">ROUND(IF(IFERROR(VALUE(RIGHT($AD139,1)),0)&gt;2,IF($C139=8,N139*IFERROR(INDEX('TaxCred&amp;Subs'!$K$139:$S$151,MATCH($C139&amp;$D139&amp;LEFT($AD139,7),'TaxCred&amp;Subs'!$E$139:$E$151,0),MATCH($H139,'TaxCred&amp;Subs'!$K$137:$S$137,0)),0),IF($C139=2,N139*IFERROR(INDEX('TaxCred&amp;Subs'!$K$139:$S$151,MATCH($C139&amp;$D139,'TaxCred&amp;Subs'!$D$139:$D$151,0),MATCH($H139,'TaxCred&amp;Subs'!$K$137:$S$137,0)),0),N139*IFERROR(INDEX('TaxCred&amp;Subs'!$K$139:$S$151,MATCH($C139&amp;$D139,'TaxCred&amp;Subs'!$C$139:$C$151,0),MATCH($H139,'TaxCred&amp;Subs'!$K$137:$S$137,0)),0))),0),0)</f>
        <v>225</v>
      </c>
      <c r="S139" s="95">
        <f t="array" ref="S139">ROUND(IF(IFERROR(VALUE(RIGHT($AD139,1)),0)&gt;2,IF($C139=8,O139*IFERROR(INDEX('TaxCred&amp;Subs'!$K$139:$S$151,MATCH($C139&amp;$D139&amp;LEFT($AD139,7),'TaxCred&amp;Subs'!$E$139:$E$151,0),MATCH($H139,'TaxCred&amp;Subs'!$K$137:$S$137,0)),0),IF($C139=2,O139*IFERROR(INDEX('TaxCred&amp;Subs'!$K$139:$S$151,MATCH($C139&amp;$D139,'TaxCred&amp;Subs'!$D$139:$D$151,0),MATCH($H139,'TaxCred&amp;Subs'!$K$137:$S$137,0)),0),O139*IFERROR(INDEX('TaxCred&amp;Subs'!$K$139:$S$151,MATCH($C139&amp;$D139,'TaxCred&amp;Subs'!$C$139:$C$151,0),MATCH($H139,'TaxCred&amp;Subs'!$K$137:$S$137,0)),0))),0),0)</f>
        <v>72</v>
      </c>
      <c r="T139" s="95">
        <f t="shared" si="8"/>
        <v>0</v>
      </c>
      <c r="U139" s="95">
        <f t="shared" si="9"/>
        <v>0</v>
      </c>
      <c r="V139" s="28" t="s">
        <v>222</v>
      </c>
      <c r="W139" s="31">
        <v>2020</v>
      </c>
      <c r="X139" s="28">
        <v>1</v>
      </c>
      <c r="Y139" s="28">
        <v>0</v>
      </c>
      <c r="Z139" s="196">
        <v>-2.1540077624843197E-4</v>
      </c>
      <c r="AA139" s="196">
        <v>-3.3138580961297225E-3</v>
      </c>
      <c r="AB139" s="28">
        <v>0</v>
      </c>
      <c r="AC139" s="28">
        <v>0</v>
      </c>
      <c r="AD139" s="28" t="s">
        <v>322</v>
      </c>
    </row>
    <row r="140" spans="2:30" ht="14.25" customHeight="1" x14ac:dyDescent="0.2">
      <c r="B140" s="7">
        <f t="shared" si="5"/>
        <v>116</v>
      </c>
      <c r="C140" s="28">
        <v>1</v>
      </c>
      <c r="D140" s="28">
        <v>3</v>
      </c>
      <c r="E140" s="28">
        <v>9</v>
      </c>
      <c r="F140" s="78">
        <v>2033</v>
      </c>
      <c r="G140" s="28">
        <v>2050</v>
      </c>
      <c r="H140" s="28">
        <v>4</v>
      </c>
      <c r="I140" s="28">
        <v>9</v>
      </c>
      <c r="J140" s="28">
        <v>0</v>
      </c>
      <c r="K140" s="28">
        <v>0</v>
      </c>
      <c r="L140" s="28">
        <v>0</v>
      </c>
      <c r="M140" s="75">
        <v>0.99</v>
      </c>
      <c r="N140" s="151">
        <v>4320</v>
      </c>
      <c r="O140" s="151">
        <v>1390</v>
      </c>
      <c r="P140" s="95">
        <f t="array" ref="P140">ROUND(IF($F140&lt;='TaxCred&amp;Subs'!$C$49,(IF($C140=2,IF($M140&gt;=IFERROR(INDEX('TaxCred&amp;Subs'!$L$12:$L$47,MATCH(1,($C140&amp;$D140='TaxCred&amp;Subs'!$E$12:$E$47)*($F140='TaxCred&amp;Subs'!$C$12:$C$47),0)
),9999),IFERROR(INDEX('TaxCred&amp;Subs'!$N$12:$N$47,MATCH(1,($C140&amp;$D140='TaxCred&amp;Subs'!$E$12:$E$47)*($F140='TaxCred&amp;Subs'!$C$12:$C$47),0)
),0),0),(IF($M140&gt;=IFERROR(INDEX('TaxCred&amp;Subs'!$H$12:$H$47,MATCH(1,($C140&amp;$D140='TaxCred&amp;Subs'!$D$12:$D$47)*($F140='TaxCred&amp;Subs'!$C$12:$C$47),0)
),9999),IFERROR(INDEX('TaxCred&amp;Subs'!$N$12:$N$47,MATCH(1,($C140&amp;$D140='TaxCred&amp;Subs'!$D$12:$D$47)*($F140='TaxCred&amp;Subs'!$C$12:$C$47),0)
),0),0)))),0)+IF(AND($C140=2,VALUE(RIGHT($AD140,1))&gt;2),(N140-R140)*(IFERROR(INDEX('TaxCred&amp;Subs'!$J$66:$J$99,MATCH(1,($C140&amp;$D140='TaxCred&amp;Subs'!$E$66:$E$99)*($F140='TaxCred&amp;Subs'!$C$66:$C$99),0)),0)),IF(AND($C140=1,VALUE(RIGHT($AD140,1))&gt;2),(N140-R140)*(IFERROR(INDEX('TaxCred&amp;Subs'!$J$66:$J$99,MATCH(1,($C140&amp;$D140='TaxCred&amp;Subs'!$D$66:$D$99)*($F140='TaxCred&amp;Subs'!$C$66:$C$99),0)),0)),IF($C140&gt;2,(N140-R140)*(IFERROR(INDEX('TaxCred&amp;Subs'!$J$66:$J$99,MATCH(1,($C140&amp;$D140='TaxCred&amp;Subs'!$D$66:$D$99)*($F140='TaxCred&amp;Subs'!$C$66:$C$99),0)),0)),0))),0)</f>
        <v>0</v>
      </c>
      <c r="Q140" s="95">
        <f t="array" ref="Q140">ROUND(IF(AND($C140=2,VALUE(RIGHT($AD140,1))&gt;2),(O140-S140)*(IFERROR(INDEX('TaxCred&amp;Subs'!$J$66:$J$99,MATCH(1,($C140&amp;$D140='TaxCred&amp;Subs'!$E$66:$E$99)*($F140='TaxCred&amp;Subs'!$C$66:$C$99),0)),0)),IF(AND($C140=1,VALUE(RIGHT($AD140,1))&gt;2),(O140-S140)*(IFERROR(INDEX('TaxCred&amp;Subs'!$J$66:$J$99,MATCH(1,($C140&amp;$D140='TaxCred&amp;Subs'!$D$66:$D$99)*($F140='TaxCred&amp;Subs'!$C$66:$C$99),0)),0)),IF($C140&gt;2,(O140-S140)*(IFERROR(INDEX('TaxCred&amp;Subs'!$J$66:$J$99,MATCH(1,($C140&amp;$D140='TaxCred&amp;Subs'!$D$66:$D$99)*($F140='TaxCred&amp;Subs'!$C$66:$C$99),0)),0)),0))),0)</f>
        <v>0</v>
      </c>
      <c r="R140" s="95">
        <f t="array" ref="R140">ROUND(IF(IFERROR(VALUE(RIGHT($AD140,1)),0)&gt;2,IF($C140=8,N140*IFERROR(INDEX('TaxCred&amp;Subs'!$K$139:$S$151,MATCH($C140&amp;$D140&amp;LEFT($AD140,7),'TaxCred&amp;Subs'!$E$139:$E$151,0),MATCH($H140,'TaxCred&amp;Subs'!$K$137:$S$137,0)),0),IF($C140=2,N140*IFERROR(INDEX('TaxCred&amp;Subs'!$K$139:$S$151,MATCH($C140&amp;$D140,'TaxCred&amp;Subs'!$D$139:$D$151,0),MATCH($H140,'TaxCred&amp;Subs'!$K$137:$S$137,0)),0),N140*IFERROR(INDEX('TaxCred&amp;Subs'!$K$139:$S$151,MATCH($C140&amp;$D140,'TaxCred&amp;Subs'!$C$139:$C$151,0),MATCH($H140,'TaxCred&amp;Subs'!$K$137:$S$137,0)),0))),0),0)</f>
        <v>218</v>
      </c>
      <c r="S140" s="95">
        <f t="array" ref="S140">ROUND(IF(IFERROR(VALUE(RIGHT($AD140,1)),0)&gt;2,IF($C140=8,O140*IFERROR(INDEX('TaxCred&amp;Subs'!$K$139:$S$151,MATCH($C140&amp;$D140&amp;LEFT($AD140,7),'TaxCred&amp;Subs'!$E$139:$E$151,0),MATCH($H140,'TaxCred&amp;Subs'!$K$137:$S$137,0)),0),IF($C140=2,O140*IFERROR(INDEX('TaxCred&amp;Subs'!$K$139:$S$151,MATCH($C140&amp;$D140,'TaxCred&amp;Subs'!$D$139:$D$151,0),MATCH($H140,'TaxCred&amp;Subs'!$K$137:$S$137,0)),0),O140*IFERROR(INDEX('TaxCred&amp;Subs'!$K$139:$S$151,MATCH($C140&amp;$D140,'TaxCred&amp;Subs'!$C$139:$C$151,0),MATCH($H140,'TaxCred&amp;Subs'!$K$137:$S$137,0)),0))),0),0)</f>
        <v>70</v>
      </c>
      <c r="T140" s="95">
        <f t="shared" si="8"/>
        <v>0</v>
      </c>
      <c r="U140" s="95">
        <f t="shared" si="9"/>
        <v>0</v>
      </c>
      <c r="V140" s="28" t="s">
        <v>222</v>
      </c>
      <c r="W140" s="31">
        <v>2020</v>
      </c>
      <c r="X140" s="28">
        <v>1</v>
      </c>
      <c r="Y140" s="28">
        <v>0</v>
      </c>
      <c r="Z140" s="196">
        <v>-2.1540077624843197E-4</v>
      </c>
      <c r="AA140" s="196">
        <v>-3.3138580961297225E-3</v>
      </c>
      <c r="AB140" s="28">
        <v>0</v>
      </c>
      <c r="AC140" s="28">
        <v>0</v>
      </c>
      <c r="AD140" s="28" t="s">
        <v>322</v>
      </c>
    </row>
    <row r="141" spans="2:30" ht="14.25" customHeight="1" x14ac:dyDescent="0.2">
      <c r="B141" s="7">
        <f t="shared" si="5"/>
        <v>117</v>
      </c>
      <c r="C141" s="28">
        <v>1</v>
      </c>
      <c r="D141" s="28">
        <v>3</v>
      </c>
      <c r="E141" s="28">
        <v>9</v>
      </c>
      <c r="F141" s="78">
        <v>2033</v>
      </c>
      <c r="G141" s="28">
        <v>2050</v>
      </c>
      <c r="H141" s="28">
        <v>5</v>
      </c>
      <c r="I141" s="28">
        <v>9</v>
      </c>
      <c r="J141" s="28">
        <v>0</v>
      </c>
      <c r="K141" s="28">
        <v>0</v>
      </c>
      <c r="L141" s="28">
        <v>0</v>
      </c>
      <c r="M141" s="75">
        <v>0.99</v>
      </c>
      <c r="N141" s="151">
        <v>4320</v>
      </c>
      <c r="O141" s="151">
        <v>1390</v>
      </c>
      <c r="P141" s="95">
        <f t="array" ref="P141">ROUND(IF($F141&lt;='TaxCred&amp;Subs'!$C$49,(IF($C141=2,IF($M141&gt;=IFERROR(INDEX('TaxCred&amp;Subs'!$L$12:$L$47,MATCH(1,($C141&amp;$D141='TaxCred&amp;Subs'!$E$12:$E$47)*($F141='TaxCred&amp;Subs'!$C$12:$C$47),0)
),9999),IFERROR(INDEX('TaxCred&amp;Subs'!$N$12:$N$47,MATCH(1,($C141&amp;$D141='TaxCred&amp;Subs'!$E$12:$E$47)*($F141='TaxCred&amp;Subs'!$C$12:$C$47),0)
),0),0),(IF($M141&gt;=IFERROR(INDEX('TaxCred&amp;Subs'!$H$12:$H$47,MATCH(1,($C141&amp;$D141='TaxCred&amp;Subs'!$D$12:$D$47)*($F141='TaxCred&amp;Subs'!$C$12:$C$47),0)
),9999),IFERROR(INDEX('TaxCred&amp;Subs'!$N$12:$N$47,MATCH(1,($C141&amp;$D141='TaxCred&amp;Subs'!$D$12:$D$47)*($F141='TaxCred&amp;Subs'!$C$12:$C$47),0)
),0),0)))),0)+IF(AND($C141=2,VALUE(RIGHT($AD141,1))&gt;2),(N141-R141)*(IFERROR(INDEX('TaxCred&amp;Subs'!$J$66:$J$99,MATCH(1,($C141&amp;$D141='TaxCred&amp;Subs'!$E$66:$E$99)*($F141='TaxCred&amp;Subs'!$C$66:$C$99),0)),0)),IF(AND($C141=1,VALUE(RIGHT($AD141,1))&gt;2),(N141-R141)*(IFERROR(INDEX('TaxCred&amp;Subs'!$J$66:$J$99,MATCH(1,($C141&amp;$D141='TaxCred&amp;Subs'!$D$66:$D$99)*($F141='TaxCred&amp;Subs'!$C$66:$C$99),0)),0)),IF($C141&gt;2,(N141-R141)*(IFERROR(INDEX('TaxCred&amp;Subs'!$J$66:$J$99,MATCH(1,($C141&amp;$D141='TaxCred&amp;Subs'!$D$66:$D$99)*($F141='TaxCred&amp;Subs'!$C$66:$C$99),0)),0)),0))),0)</f>
        <v>0</v>
      </c>
      <c r="Q141" s="95">
        <f t="array" ref="Q141">ROUND(IF(AND($C141=2,VALUE(RIGHT($AD141,1))&gt;2),(O141-S141)*(IFERROR(INDEX('TaxCred&amp;Subs'!$J$66:$J$99,MATCH(1,($C141&amp;$D141='TaxCred&amp;Subs'!$E$66:$E$99)*($F141='TaxCred&amp;Subs'!$C$66:$C$99),0)),0)),IF(AND($C141=1,VALUE(RIGHT($AD141,1))&gt;2),(O141-S141)*(IFERROR(INDEX('TaxCred&amp;Subs'!$J$66:$J$99,MATCH(1,($C141&amp;$D141='TaxCred&amp;Subs'!$D$66:$D$99)*($F141='TaxCred&amp;Subs'!$C$66:$C$99),0)),0)),IF($C141&gt;2,(O141-S141)*(IFERROR(INDEX('TaxCred&amp;Subs'!$J$66:$J$99,MATCH(1,($C141&amp;$D141='TaxCred&amp;Subs'!$D$66:$D$99)*($F141='TaxCred&amp;Subs'!$C$66:$C$99),0)),0)),0))),0)</f>
        <v>0</v>
      </c>
      <c r="R141" s="95">
        <f t="array" ref="R141">ROUND(IF(IFERROR(VALUE(RIGHT($AD141,1)),0)&gt;2,IF($C141=8,N141*IFERROR(INDEX('TaxCred&amp;Subs'!$K$139:$S$151,MATCH($C141&amp;$D141&amp;LEFT($AD141,7),'TaxCred&amp;Subs'!$E$139:$E$151,0),MATCH($H141,'TaxCred&amp;Subs'!$K$137:$S$137,0)),0),IF($C141=2,N141*IFERROR(INDEX('TaxCred&amp;Subs'!$K$139:$S$151,MATCH($C141&amp;$D141,'TaxCred&amp;Subs'!$D$139:$D$151,0),MATCH($H141,'TaxCred&amp;Subs'!$K$137:$S$137,0)),0),N141*IFERROR(INDEX('TaxCred&amp;Subs'!$K$139:$S$151,MATCH($C141&amp;$D141,'TaxCred&amp;Subs'!$C$139:$C$151,0),MATCH($H141,'TaxCred&amp;Subs'!$K$137:$S$137,0)),0))),0),0)</f>
        <v>350</v>
      </c>
      <c r="S141" s="95">
        <f t="array" ref="S141">ROUND(IF(IFERROR(VALUE(RIGHT($AD141,1)),0)&gt;2,IF($C141=8,O141*IFERROR(INDEX('TaxCred&amp;Subs'!$K$139:$S$151,MATCH($C141&amp;$D141&amp;LEFT($AD141,7),'TaxCred&amp;Subs'!$E$139:$E$151,0),MATCH($H141,'TaxCred&amp;Subs'!$K$137:$S$137,0)),0),IF($C141=2,O141*IFERROR(INDEX('TaxCred&amp;Subs'!$K$139:$S$151,MATCH($C141&amp;$D141,'TaxCred&amp;Subs'!$D$139:$D$151,0),MATCH($H141,'TaxCred&amp;Subs'!$K$137:$S$137,0)),0),O141*IFERROR(INDEX('TaxCred&amp;Subs'!$K$139:$S$151,MATCH($C141&amp;$D141,'TaxCred&amp;Subs'!$C$139:$C$151,0),MATCH($H141,'TaxCred&amp;Subs'!$K$137:$S$137,0)),0))),0),0)</f>
        <v>112</v>
      </c>
      <c r="T141" s="95">
        <f t="shared" si="8"/>
        <v>0</v>
      </c>
      <c r="U141" s="95">
        <f t="shared" si="9"/>
        <v>0</v>
      </c>
      <c r="V141" s="28" t="s">
        <v>222</v>
      </c>
      <c r="W141" s="31">
        <v>2020</v>
      </c>
      <c r="X141" s="28">
        <v>1</v>
      </c>
      <c r="Y141" s="28">
        <v>0</v>
      </c>
      <c r="Z141" s="196">
        <v>-2.1540077624843197E-4</v>
      </c>
      <c r="AA141" s="196">
        <v>-3.3138580961297225E-3</v>
      </c>
      <c r="AB141" s="28">
        <v>0</v>
      </c>
      <c r="AC141" s="28">
        <v>0</v>
      </c>
      <c r="AD141" s="28" t="s">
        <v>322</v>
      </c>
    </row>
    <row r="142" spans="2:30" ht="14.25" customHeight="1" x14ac:dyDescent="0.2">
      <c r="B142" s="7">
        <f t="shared" si="5"/>
        <v>118</v>
      </c>
      <c r="C142" s="28">
        <v>1</v>
      </c>
      <c r="D142" s="28">
        <v>3</v>
      </c>
      <c r="E142" s="28">
        <v>9</v>
      </c>
      <c r="F142" s="78">
        <v>2033</v>
      </c>
      <c r="G142" s="28">
        <v>2050</v>
      </c>
      <c r="H142" s="28">
        <v>6</v>
      </c>
      <c r="I142" s="28">
        <v>9</v>
      </c>
      <c r="J142" s="28">
        <v>0</v>
      </c>
      <c r="K142" s="28">
        <v>0</v>
      </c>
      <c r="L142" s="28">
        <v>0</v>
      </c>
      <c r="M142" s="75">
        <v>0.99</v>
      </c>
      <c r="N142" s="151">
        <v>4320</v>
      </c>
      <c r="O142" s="151">
        <v>1390</v>
      </c>
      <c r="P142" s="95">
        <f t="array" ref="P142">ROUND(IF($F142&lt;='TaxCred&amp;Subs'!$C$49,(IF($C142=2,IF($M142&gt;=IFERROR(INDEX('TaxCred&amp;Subs'!$L$12:$L$47,MATCH(1,($C142&amp;$D142='TaxCred&amp;Subs'!$E$12:$E$47)*($F142='TaxCred&amp;Subs'!$C$12:$C$47),0)
),9999),IFERROR(INDEX('TaxCred&amp;Subs'!$N$12:$N$47,MATCH(1,($C142&amp;$D142='TaxCred&amp;Subs'!$E$12:$E$47)*($F142='TaxCred&amp;Subs'!$C$12:$C$47),0)
),0),0),(IF($M142&gt;=IFERROR(INDEX('TaxCred&amp;Subs'!$H$12:$H$47,MATCH(1,($C142&amp;$D142='TaxCred&amp;Subs'!$D$12:$D$47)*($F142='TaxCred&amp;Subs'!$C$12:$C$47),0)
),9999),IFERROR(INDEX('TaxCred&amp;Subs'!$N$12:$N$47,MATCH(1,($C142&amp;$D142='TaxCred&amp;Subs'!$D$12:$D$47)*($F142='TaxCred&amp;Subs'!$C$12:$C$47),0)
),0),0)))),0)+IF(AND($C142=2,VALUE(RIGHT($AD142,1))&gt;2),(N142-R142)*(IFERROR(INDEX('TaxCred&amp;Subs'!$J$66:$J$99,MATCH(1,($C142&amp;$D142='TaxCred&amp;Subs'!$E$66:$E$99)*($F142='TaxCred&amp;Subs'!$C$66:$C$99),0)),0)),IF(AND($C142=1,VALUE(RIGHT($AD142,1))&gt;2),(N142-R142)*(IFERROR(INDEX('TaxCred&amp;Subs'!$J$66:$J$99,MATCH(1,($C142&amp;$D142='TaxCred&amp;Subs'!$D$66:$D$99)*($F142='TaxCred&amp;Subs'!$C$66:$C$99),0)),0)),IF($C142&gt;2,(N142-R142)*(IFERROR(INDEX('TaxCred&amp;Subs'!$J$66:$J$99,MATCH(1,($C142&amp;$D142='TaxCred&amp;Subs'!$D$66:$D$99)*($F142='TaxCred&amp;Subs'!$C$66:$C$99),0)),0)),0))),0)</f>
        <v>0</v>
      </c>
      <c r="Q142" s="95">
        <f t="array" ref="Q142">ROUND(IF(AND($C142=2,VALUE(RIGHT($AD142,1))&gt;2),(O142-S142)*(IFERROR(INDEX('TaxCred&amp;Subs'!$J$66:$J$99,MATCH(1,($C142&amp;$D142='TaxCred&amp;Subs'!$E$66:$E$99)*($F142='TaxCred&amp;Subs'!$C$66:$C$99),0)),0)),IF(AND($C142=1,VALUE(RIGHT($AD142,1))&gt;2),(O142-S142)*(IFERROR(INDEX('TaxCred&amp;Subs'!$J$66:$J$99,MATCH(1,($C142&amp;$D142='TaxCred&amp;Subs'!$D$66:$D$99)*($F142='TaxCred&amp;Subs'!$C$66:$C$99),0)),0)),IF($C142&gt;2,(O142-S142)*(IFERROR(INDEX('TaxCred&amp;Subs'!$J$66:$J$99,MATCH(1,($C142&amp;$D142='TaxCred&amp;Subs'!$D$66:$D$99)*($F142='TaxCred&amp;Subs'!$C$66:$C$99),0)),0)),0))),0)</f>
        <v>0</v>
      </c>
      <c r="R142" s="95">
        <f t="array" ref="R142">ROUND(IF(IFERROR(VALUE(RIGHT($AD142,1)),0)&gt;2,IF($C142=8,N142*IFERROR(INDEX('TaxCred&amp;Subs'!$K$139:$S$151,MATCH($C142&amp;$D142&amp;LEFT($AD142,7),'TaxCred&amp;Subs'!$E$139:$E$151,0),MATCH($H142,'TaxCred&amp;Subs'!$K$137:$S$137,0)),0),IF($C142=2,N142*IFERROR(INDEX('TaxCred&amp;Subs'!$K$139:$S$151,MATCH($C142&amp;$D142,'TaxCred&amp;Subs'!$D$139:$D$151,0),MATCH($H142,'TaxCred&amp;Subs'!$K$137:$S$137,0)),0),N142*IFERROR(INDEX('TaxCred&amp;Subs'!$K$139:$S$151,MATCH($C142&amp;$D142,'TaxCred&amp;Subs'!$C$139:$C$151,0),MATCH($H142,'TaxCred&amp;Subs'!$K$137:$S$137,0)),0))),0),0)</f>
        <v>304</v>
      </c>
      <c r="S142" s="95">
        <f t="array" ref="S142">ROUND(IF(IFERROR(VALUE(RIGHT($AD142,1)),0)&gt;2,IF($C142=8,O142*IFERROR(INDEX('TaxCred&amp;Subs'!$K$139:$S$151,MATCH($C142&amp;$D142&amp;LEFT($AD142,7),'TaxCred&amp;Subs'!$E$139:$E$151,0),MATCH($H142,'TaxCred&amp;Subs'!$K$137:$S$137,0)),0),IF($C142=2,O142*IFERROR(INDEX('TaxCred&amp;Subs'!$K$139:$S$151,MATCH($C142&amp;$D142,'TaxCred&amp;Subs'!$D$139:$D$151,0),MATCH($H142,'TaxCred&amp;Subs'!$K$137:$S$137,0)),0),O142*IFERROR(INDEX('TaxCred&amp;Subs'!$K$139:$S$151,MATCH($C142&amp;$D142,'TaxCred&amp;Subs'!$C$139:$C$151,0),MATCH($H142,'TaxCred&amp;Subs'!$K$137:$S$137,0)),0))),0),0)</f>
        <v>98</v>
      </c>
      <c r="T142" s="95">
        <f t="shared" si="8"/>
        <v>0</v>
      </c>
      <c r="U142" s="95">
        <f t="shared" si="9"/>
        <v>0</v>
      </c>
      <c r="V142" s="28" t="s">
        <v>222</v>
      </c>
      <c r="W142" s="31">
        <v>2020</v>
      </c>
      <c r="X142" s="28">
        <v>1</v>
      </c>
      <c r="Y142" s="28">
        <v>0</v>
      </c>
      <c r="Z142" s="196">
        <v>-2.1540077624843197E-4</v>
      </c>
      <c r="AA142" s="196">
        <v>-3.3138580961297225E-3</v>
      </c>
      <c r="AB142" s="28">
        <v>0</v>
      </c>
      <c r="AC142" s="28">
        <v>0</v>
      </c>
      <c r="AD142" s="28" t="s">
        <v>322</v>
      </c>
    </row>
    <row r="143" spans="2:30" ht="14.25" customHeight="1" x14ac:dyDescent="0.2">
      <c r="B143" s="7">
        <f t="shared" si="5"/>
        <v>119</v>
      </c>
      <c r="C143" s="28">
        <v>1</v>
      </c>
      <c r="D143" s="28">
        <v>3</v>
      </c>
      <c r="E143" s="28">
        <v>9</v>
      </c>
      <c r="F143" s="78">
        <v>2033</v>
      </c>
      <c r="G143" s="28">
        <v>2050</v>
      </c>
      <c r="H143" s="28">
        <v>7</v>
      </c>
      <c r="I143" s="28">
        <v>9</v>
      </c>
      <c r="J143" s="28">
        <v>0</v>
      </c>
      <c r="K143" s="28">
        <v>0</v>
      </c>
      <c r="L143" s="28">
        <v>0</v>
      </c>
      <c r="M143" s="75">
        <v>0.99</v>
      </c>
      <c r="N143" s="151">
        <v>4320</v>
      </c>
      <c r="O143" s="151">
        <v>1390</v>
      </c>
      <c r="P143" s="95">
        <f t="array" ref="P143">ROUND(IF($F143&lt;='TaxCred&amp;Subs'!$C$49,(IF($C143=2,IF($M143&gt;=IFERROR(INDEX('TaxCred&amp;Subs'!$L$12:$L$47,MATCH(1,($C143&amp;$D143='TaxCred&amp;Subs'!$E$12:$E$47)*($F143='TaxCred&amp;Subs'!$C$12:$C$47),0)
),9999),IFERROR(INDEX('TaxCred&amp;Subs'!$N$12:$N$47,MATCH(1,($C143&amp;$D143='TaxCred&amp;Subs'!$E$12:$E$47)*($F143='TaxCred&amp;Subs'!$C$12:$C$47),0)
),0),0),(IF($M143&gt;=IFERROR(INDEX('TaxCred&amp;Subs'!$H$12:$H$47,MATCH(1,($C143&amp;$D143='TaxCred&amp;Subs'!$D$12:$D$47)*($F143='TaxCred&amp;Subs'!$C$12:$C$47),0)
),9999),IFERROR(INDEX('TaxCred&amp;Subs'!$N$12:$N$47,MATCH(1,($C143&amp;$D143='TaxCred&amp;Subs'!$D$12:$D$47)*($F143='TaxCred&amp;Subs'!$C$12:$C$47),0)
),0),0)))),0)+IF(AND($C143=2,VALUE(RIGHT($AD143,1))&gt;2),(N143-R143)*(IFERROR(INDEX('TaxCred&amp;Subs'!$J$66:$J$99,MATCH(1,($C143&amp;$D143='TaxCred&amp;Subs'!$E$66:$E$99)*($F143='TaxCred&amp;Subs'!$C$66:$C$99),0)),0)),IF(AND($C143=1,VALUE(RIGHT($AD143,1))&gt;2),(N143-R143)*(IFERROR(INDEX('TaxCred&amp;Subs'!$J$66:$J$99,MATCH(1,($C143&amp;$D143='TaxCred&amp;Subs'!$D$66:$D$99)*($F143='TaxCred&amp;Subs'!$C$66:$C$99),0)),0)),IF($C143&gt;2,(N143-R143)*(IFERROR(INDEX('TaxCred&amp;Subs'!$J$66:$J$99,MATCH(1,($C143&amp;$D143='TaxCred&amp;Subs'!$D$66:$D$99)*($F143='TaxCred&amp;Subs'!$C$66:$C$99),0)),0)),0))),0)</f>
        <v>0</v>
      </c>
      <c r="Q143" s="95">
        <f t="array" ref="Q143">ROUND(IF(AND($C143=2,VALUE(RIGHT($AD143,1))&gt;2),(O143-S143)*(IFERROR(INDEX('TaxCred&amp;Subs'!$J$66:$J$99,MATCH(1,($C143&amp;$D143='TaxCred&amp;Subs'!$E$66:$E$99)*($F143='TaxCred&amp;Subs'!$C$66:$C$99),0)),0)),IF(AND($C143=1,VALUE(RIGHT($AD143,1))&gt;2),(O143-S143)*(IFERROR(INDEX('TaxCred&amp;Subs'!$J$66:$J$99,MATCH(1,($C143&amp;$D143='TaxCred&amp;Subs'!$D$66:$D$99)*($F143='TaxCred&amp;Subs'!$C$66:$C$99),0)),0)),IF($C143&gt;2,(O143-S143)*(IFERROR(INDEX('TaxCred&amp;Subs'!$J$66:$J$99,MATCH(1,($C143&amp;$D143='TaxCred&amp;Subs'!$D$66:$D$99)*($F143='TaxCred&amp;Subs'!$C$66:$C$99),0)),0)),0))),0)</f>
        <v>0</v>
      </c>
      <c r="R143" s="95">
        <f t="array" ref="R143">ROUND(IF(IFERROR(VALUE(RIGHT($AD143,1)),0)&gt;2,IF($C143=8,N143*IFERROR(INDEX('TaxCred&amp;Subs'!$K$139:$S$151,MATCH($C143&amp;$D143&amp;LEFT($AD143,7),'TaxCred&amp;Subs'!$E$139:$E$151,0),MATCH($H143,'TaxCred&amp;Subs'!$K$137:$S$137,0)),0),IF($C143=2,N143*IFERROR(INDEX('TaxCred&amp;Subs'!$K$139:$S$151,MATCH($C143&amp;$D143,'TaxCred&amp;Subs'!$D$139:$D$151,0),MATCH($H143,'TaxCred&amp;Subs'!$K$137:$S$137,0)),0),N143*IFERROR(INDEX('TaxCred&amp;Subs'!$K$139:$S$151,MATCH($C143&amp;$D143,'TaxCred&amp;Subs'!$C$139:$C$151,0),MATCH($H143,'TaxCred&amp;Subs'!$K$137:$S$137,0)),0))),0),0)</f>
        <v>13</v>
      </c>
      <c r="S143" s="95">
        <f t="array" ref="S143">ROUND(IF(IFERROR(VALUE(RIGHT($AD143,1)),0)&gt;2,IF($C143=8,O143*IFERROR(INDEX('TaxCred&amp;Subs'!$K$139:$S$151,MATCH($C143&amp;$D143&amp;LEFT($AD143,7),'TaxCred&amp;Subs'!$E$139:$E$151,0),MATCH($H143,'TaxCred&amp;Subs'!$K$137:$S$137,0)),0),IF($C143=2,O143*IFERROR(INDEX('TaxCred&amp;Subs'!$K$139:$S$151,MATCH($C143&amp;$D143,'TaxCred&amp;Subs'!$D$139:$D$151,0),MATCH($H143,'TaxCred&amp;Subs'!$K$137:$S$137,0)),0),O143*IFERROR(INDEX('TaxCred&amp;Subs'!$K$139:$S$151,MATCH($C143&amp;$D143,'TaxCred&amp;Subs'!$C$139:$C$151,0),MATCH($H143,'TaxCred&amp;Subs'!$K$137:$S$137,0)),0))),0),0)</f>
        <v>4</v>
      </c>
      <c r="T143" s="95">
        <f t="shared" si="8"/>
        <v>0</v>
      </c>
      <c r="U143" s="95">
        <f t="shared" si="9"/>
        <v>0</v>
      </c>
      <c r="V143" s="28" t="s">
        <v>222</v>
      </c>
      <c r="W143" s="31">
        <v>2020</v>
      </c>
      <c r="X143" s="28">
        <v>1</v>
      </c>
      <c r="Y143" s="28">
        <v>0</v>
      </c>
      <c r="Z143" s="196">
        <v>-2.1540077624843197E-4</v>
      </c>
      <c r="AA143" s="196">
        <v>-3.3138580961297225E-3</v>
      </c>
      <c r="AB143" s="28">
        <v>0</v>
      </c>
      <c r="AC143" s="28">
        <v>0</v>
      </c>
      <c r="AD143" s="28" t="s">
        <v>322</v>
      </c>
    </row>
    <row r="144" spans="2:30" ht="14.25" customHeight="1" x14ac:dyDescent="0.2">
      <c r="B144" s="7">
        <f t="shared" si="5"/>
        <v>120</v>
      </c>
      <c r="C144" s="28">
        <v>1</v>
      </c>
      <c r="D144" s="28">
        <v>3</v>
      </c>
      <c r="E144" s="28">
        <v>9</v>
      </c>
      <c r="F144" s="78">
        <v>2033</v>
      </c>
      <c r="G144" s="28">
        <v>2050</v>
      </c>
      <c r="H144" s="28">
        <v>8</v>
      </c>
      <c r="I144" s="28">
        <v>9</v>
      </c>
      <c r="J144" s="28">
        <v>0</v>
      </c>
      <c r="K144" s="28">
        <v>0</v>
      </c>
      <c r="L144" s="28">
        <v>0</v>
      </c>
      <c r="M144" s="75">
        <v>0.99</v>
      </c>
      <c r="N144" s="151">
        <v>4320</v>
      </c>
      <c r="O144" s="151">
        <v>1390</v>
      </c>
      <c r="P144" s="95">
        <f t="array" ref="P144">ROUND(IF($F144&lt;='TaxCred&amp;Subs'!$C$49,(IF($C144=2,IF($M144&gt;=IFERROR(INDEX('TaxCred&amp;Subs'!$L$12:$L$47,MATCH(1,($C144&amp;$D144='TaxCred&amp;Subs'!$E$12:$E$47)*($F144='TaxCred&amp;Subs'!$C$12:$C$47),0)
),9999),IFERROR(INDEX('TaxCred&amp;Subs'!$N$12:$N$47,MATCH(1,($C144&amp;$D144='TaxCred&amp;Subs'!$E$12:$E$47)*($F144='TaxCred&amp;Subs'!$C$12:$C$47),0)
),0),0),(IF($M144&gt;=IFERROR(INDEX('TaxCred&amp;Subs'!$H$12:$H$47,MATCH(1,($C144&amp;$D144='TaxCred&amp;Subs'!$D$12:$D$47)*($F144='TaxCred&amp;Subs'!$C$12:$C$47),0)
),9999),IFERROR(INDEX('TaxCred&amp;Subs'!$N$12:$N$47,MATCH(1,($C144&amp;$D144='TaxCred&amp;Subs'!$D$12:$D$47)*($F144='TaxCred&amp;Subs'!$C$12:$C$47),0)
),0),0)))),0)+IF(AND($C144=2,VALUE(RIGHT($AD144,1))&gt;2),(N144-R144)*(IFERROR(INDEX('TaxCred&amp;Subs'!$J$66:$J$99,MATCH(1,($C144&amp;$D144='TaxCred&amp;Subs'!$E$66:$E$99)*($F144='TaxCred&amp;Subs'!$C$66:$C$99),0)),0)),IF(AND($C144=1,VALUE(RIGHT($AD144,1))&gt;2),(N144-R144)*(IFERROR(INDEX('TaxCred&amp;Subs'!$J$66:$J$99,MATCH(1,($C144&amp;$D144='TaxCred&amp;Subs'!$D$66:$D$99)*($F144='TaxCred&amp;Subs'!$C$66:$C$99),0)),0)),IF($C144&gt;2,(N144-R144)*(IFERROR(INDEX('TaxCred&amp;Subs'!$J$66:$J$99,MATCH(1,($C144&amp;$D144='TaxCred&amp;Subs'!$D$66:$D$99)*($F144='TaxCred&amp;Subs'!$C$66:$C$99),0)),0)),0))),0)</f>
        <v>0</v>
      </c>
      <c r="Q144" s="95">
        <f t="array" ref="Q144">ROUND(IF(AND($C144=2,VALUE(RIGHT($AD144,1))&gt;2),(O144-S144)*(IFERROR(INDEX('TaxCred&amp;Subs'!$J$66:$J$99,MATCH(1,($C144&amp;$D144='TaxCred&amp;Subs'!$E$66:$E$99)*($F144='TaxCred&amp;Subs'!$C$66:$C$99),0)),0)),IF(AND($C144=1,VALUE(RIGHT($AD144,1))&gt;2),(O144-S144)*(IFERROR(INDEX('TaxCred&amp;Subs'!$J$66:$J$99,MATCH(1,($C144&amp;$D144='TaxCred&amp;Subs'!$D$66:$D$99)*($F144='TaxCred&amp;Subs'!$C$66:$C$99),0)),0)),IF($C144&gt;2,(O144-S144)*(IFERROR(INDEX('TaxCred&amp;Subs'!$J$66:$J$99,MATCH(1,($C144&amp;$D144='TaxCred&amp;Subs'!$D$66:$D$99)*($F144='TaxCred&amp;Subs'!$C$66:$C$99),0)),0)),0))),0)</f>
        <v>0</v>
      </c>
      <c r="R144" s="95">
        <f t="array" ref="R144">ROUND(IF(IFERROR(VALUE(RIGHT($AD144,1)),0)&gt;2,IF($C144=8,N144*IFERROR(INDEX('TaxCred&amp;Subs'!$K$139:$S$151,MATCH($C144&amp;$D144&amp;LEFT($AD144,7),'TaxCred&amp;Subs'!$E$139:$E$151,0),MATCH($H144,'TaxCred&amp;Subs'!$K$137:$S$137,0)),0),IF($C144=2,N144*IFERROR(INDEX('TaxCred&amp;Subs'!$K$139:$S$151,MATCH($C144&amp;$D144,'TaxCred&amp;Subs'!$D$139:$D$151,0),MATCH($H144,'TaxCred&amp;Subs'!$K$137:$S$137,0)),0),N144*IFERROR(INDEX('TaxCred&amp;Subs'!$K$139:$S$151,MATCH($C144&amp;$D144,'TaxCred&amp;Subs'!$C$139:$C$151,0),MATCH($H144,'TaxCred&amp;Subs'!$K$137:$S$137,0)),0))),0),0)</f>
        <v>178</v>
      </c>
      <c r="S144" s="95">
        <f t="array" ref="S144">ROUND(IF(IFERROR(VALUE(RIGHT($AD144,1)),0)&gt;2,IF($C144=8,O144*IFERROR(INDEX('TaxCred&amp;Subs'!$K$139:$S$151,MATCH($C144&amp;$D144&amp;LEFT($AD144,7),'TaxCred&amp;Subs'!$E$139:$E$151,0),MATCH($H144,'TaxCred&amp;Subs'!$K$137:$S$137,0)),0),IF($C144=2,O144*IFERROR(INDEX('TaxCred&amp;Subs'!$K$139:$S$151,MATCH($C144&amp;$D144,'TaxCred&amp;Subs'!$D$139:$D$151,0),MATCH($H144,'TaxCred&amp;Subs'!$K$137:$S$137,0)),0),O144*IFERROR(INDEX('TaxCred&amp;Subs'!$K$139:$S$151,MATCH($C144&amp;$D144,'TaxCred&amp;Subs'!$C$139:$C$151,0),MATCH($H144,'TaxCred&amp;Subs'!$K$137:$S$137,0)),0))),0),0)</f>
        <v>57</v>
      </c>
      <c r="T144" s="95">
        <f t="shared" si="8"/>
        <v>0</v>
      </c>
      <c r="U144" s="95">
        <f t="shared" si="9"/>
        <v>0</v>
      </c>
      <c r="V144" s="28" t="s">
        <v>222</v>
      </c>
      <c r="W144" s="31">
        <v>2020</v>
      </c>
      <c r="X144" s="28">
        <v>1</v>
      </c>
      <c r="Y144" s="28">
        <v>0</v>
      </c>
      <c r="Z144" s="196">
        <v>-2.1540077624843197E-4</v>
      </c>
      <c r="AA144" s="196">
        <v>-3.3138580961297225E-3</v>
      </c>
      <c r="AB144" s="28">
        <v>0</v>
      </c>
      <c r="AC144" s="28">
        <v>0</v>
      </c>
      <c r="AD144" s="28" t="s">
        <v>322</v>
      </c>
    </row>
    <row r="145" spans="2:30" ht="14.25" customHeight="1" x14ac:dyDescent="0.2">
      <c r="B145" s="7">
        <f t="shared" si="5"/>
        <v>121</v>
      </c>
      <c r="C145" s="28">
        <v>1</v>
      </c>
      <c r="D145" s="28">
        <v>3</v>
      </c>
      <c r="E145" s="28">
        <v>9</v>
      </c>
      <c r="F145" s="78">
        <v>2033</v>
      </c>
      <c r="G145" s="28">
        <v>2050</v>
      </c>
      <c r="H145" s="28">
        <v>9</v>
      </c>
      <c r="I145" s="28">
        <v>9</v>
      </c>
      <c r="J145" s="28">
        <v>0</v>
      </c>
      <c r="K145" s="28">
        <v>0</v>
      </c>
      <c r="L145" s="28">
        <v>0</v>
      </c>
      <c r="M145" s="75">
        <v>0.99</v>
      </c>
      <c r="N145" s="151">
        <v>4320</v>
      </c>
      <c r="O145" s="151">
        <v>1390</v>
      </c>
      <c r="P145" s="95">
        <f t="array" ref="P145">ROUND(IF($F145&lt;='TaxCred&amp;Subs'!$C$49,(IF($C145=2,IF($M145&gt;=IFERROR(INDEX('TaxCred&amp;Subs'!$L$12:$L$47,MATCH(1,($C145&amp;$D145='TaxCred&amp;Subs'!$E$12:$E$47)*($F145='TaxCred&amp;Subs'!$C$12:$C$47),0)
),9999),IFERROR(INDEX('TaxCred&amp;Subs'!$N$12:$N$47,MATCH(1,($C145&amp;$D145='TaxCred&amp;Subs'!$E$12:$E$47)*($F145='TaxCred&amp;Subs'!$C$12:$C$47),0)
),0),0),(IF($M145&gt;=IFERROR(INDEX('TaxCred&amp;Subs'!$H$12:$H$47,MATCH(1,($C145&amp;$D145='TaxCred&amp;Subs'!$D$12:$D$47)*($F145='TaxCred&amp;Subs'!$C$12:$C$47),0)
),9999),IFERROR(INDEX('TaxCred&amp;Subs'!$N$12:$N$47,MATCH(1,($C145&amp;$D145='TaxCred&amp;Subs'!$D$12:$D$47)*($F145='TaxCred&amp;Subs'!$C$12:$C$47),0)
),0),0)))),0)+IF(AND($C145=2,VALUE(RIGHT($AD145,1))&gt;2),(N145-R145)*(IFERROR(INDEX('TaxCred&amp;Subs'!$J$66:$J$99,MATCH(1,($C145&amp;$D145='TaxCred&amp;Subs'!$E$66:$E$99)*($F145='TaxCred&amp;Subs'!$C$66:$C$99),0)),0)),IF(AND($C145=1,VALUE(RIGHT($AD145,1))&gt;2),(N145-R145)*(IFERROR(INDEX('TaxCred&amp;Subs'!$J$66:$J$99,MATCH(1,($C145&amp;$D145='TaxCred&amp;Subs'!$D$66:$D$99)*($F145='TaxCred&amp;Subs'!$C$66:$C$99),0)),0)),IF($C145&gt;2,(N145-R145)*(IFERROR(INDEX('TaxCred&amp;Subs'!$J$66:$J$99,MATCH(1,($C145&amp;$D145='TaxCred&amp;Subs'!$D$66:$D$99)*($F145='TaxCred&amp;Subs'!$C$66:$C$99),0)),0)),0))),0)</f>
        <v>0</v>
      </c>
      <c r="Q145" s="95">
        <f t="array" ref="Q145">ROUND(IF(AND($C145=2,VALUE(RIGHT($AD145,1))&gt;2),(O145-S145)*(IFERROR(INDEX('TaxCred&amp;Subs'!$J$66:$J$99,MATCH(1,($C145&amp;$D145='TaxCred&amp;Subs'!$E$66:$E$99)*($F145='TaxCred&amp;Subs'!$C$66:$C$99),0)),0)),IF(AND($C145=1,VALUE(RIGHT($AD145,1))&gt;2),(O145-S145)*(IFERROR(INDEX('TaxCred&amp;Subs'!$J$66:$J$99,MATCH(1,($C145&amp;$D145='TaxCred&amp;Subs'!$D$66:$D$99)*($F145='TaxCred&amp;Subs'!$C$66:$C$99),0)),0)),IF($C145&gt;2,(O145-S145)*(IFERROR(INDEX('TaxCred&amp;Subs'!$J$66:$J$99,MATCH(1,($C145&amp;$D145='TaxCred&amp;Subs'!$D$66:$D$99)*($F145='TaxCred&amp;Subs'!$C$66:$C$99),0)),0)),0))),0)</f>
        <v>0</v>
      </c>
      <c r="R145" s="95">
        <f t="array" ref="R145">ROUND(IF(IFERROR(VALUE(RIGHT($AD145,1)),0)&gt;2,IF($C145=8,N145*IFERROR(INDEX('TaxCred&amp;Subs'!$K$139:$S$151,MATCH($C145&amp;$D145&amp;LEFT($AD145,7),'TaxCred&amp;Subs'!$E$139:$E$151,0),MATCH($H145,'TaxCred&amp;Subs'!$K$137:$S$137,0)),0),IF($C145=2,N145*IFERROR(INDEX('TaxCred&amp;Subs'!$K$139:$S$151,MATCH($C145&amp;$D145,'TaxCred&amp;Subs'!$D$139:$D$151,0),MATCH($H145,'TaxCred&amp;Subs'!$K$137:$S$137,0)),0),N145*IFERROR(INDEX('TaxCred&amp;Subs'!$K$139:$S$151,MATCH($C145&amp;$D145,'TaxCred&amp;Subs'!$C$139:$C$151,0),MATCH($H145,'TaxCred&amp;Subs'!$K$137:$S$137,0)),0))),0),0)</f>
        <v>653</v>
      </c>
      <c r="S145" s="95">
        <f t="array" ref="S145">ROUND(IF(IFERROR(VALUE(RIGHT($AD145,1)),0)&gt;2,IF($C145=8,O145*IFERROR(INDEX('TaxCred&amp;Subs'!$K$139:$S$151,MATCH($C145&amp;$D145&amp;LEFT($AD145,7),'TaxCred&amp;Subs'!$E$139:$E$151,0),MATCH($H145,'TaxCred&amp;Subs'!$K$137:$S$137,0)),0),IF($C145=2,O145*IFERROR(INDEX('TaxCred&amp;Subs'!$K$139:$S$151,MATCH($C145&amp;$D145,'TaxCred&amp;Subs'!$D$139:$D$151,0),MATCH($H145,'TaxCred&amp;Subs'!$K$137:$S$137,0)),0),O145*IFERROR(INDEX('TaxCred&amp;Subs'!$K$139:$S$151,MATCH($C145&amp;$D145,'TaxCred&amp;Subs'!$C$139:$C$151,0),MATCH($H145,'TaxCred&amp;Subs'!$K$137:$S$137,0)),0))),0),0)</f>
        <v>210</v>
      </c>
      <c r="T145" s="172">
        <f t="shared" si="8"/>
        <v>648</v>
      </c>
      <c r="U145" s="172">
        <f t="shared" si="9"/>
        <v>208.5</v>
      </c>
      <c r="V145" s="28" t="s">
        <v>222</v>
      </c>
      <c r="W145" s="31">
        <v>2020</v>
      </c>
      <c r="X145" s="28">
        <v>1</v>
      </c>
      <c r="Y145" s="28">
        <v>0</v>
      </c>
      <c r="Z145" s="196">
        <v>-2.1540077624843197E-4</v>
      </c>
      <c r="AA145" s="196">
        <v>-3.3138580961297225E-3</v>
      </c>
      <c r="AB145" s="28">
        <v>0</v>
      </c>
      <c r="AC145" s="28">
        <v>0</v>
      </c>
      <c r="AD145" s="28" t="s">
        <v>322</v>
      </c>
    </row>
    <row r="146" spans="2:30" x14ac:dyDescent="0.2">
      <c r="B146" s="7">
        <f t="shared" si="5"/>
        <v>122</v>
      </c>
      <c r="C146" s="28">
        <v>1</v>
      </c>
      <c r="D146" s="28">
        <v>4</v>
      </c>
      <c r="E146" s="28">
        <v>10</v>
      </c>
      <c r="F146" s="78">
        <v>2020</v>
      </c>
      <c r="G146" s="28">
        <v>2050</v>
      </c>
      <c r="H146" s="28">
        <v>11</v>
      </c>
      <c r="I146" s="28">
        <v>10</v>
      </c>
      <c r="J146" s="28">
        <v>0</v>
      </c>
      <c r="K146" s="28">
        <v>0</v>
      </c>
      <c r="L146" s="28">
        <v>0</v>
      </c>
      <c r="M146" s="75">
        <v>0.84</v>
      </c>
      <c r="N146" s="151">
        <v>8700</v>
      </c>
      <c r="O146" s="151">
        <v>1820</v>
      </c>
      <c r="P146" s="95">
        <f t="array" ref="P146">ROUND(IF($F146&lt;='TaxCred&amp;Subs'!$C$49,(IF($C146=2,IF($M146&gt;=IFERROR(INDEX('TaxCred&amp;Subs'!$L$12:$L$47,MATCH(1,($C146&amp;$D146='TaxCred&amp;Subs'!$E$12:$E$47)*($F146='TaxCred&amp;Subs'!$C$12:$C$47),0)
),9999),IFERROR(INDEX('TaxCred&amp;Subs'!$N$12:$N$47,MATCH(1,($C146&amp;$D146='TaxCred&amp;Subs'!$E$12:$E$47)*($F146='TaxCred&amp;Subs'!$C$12:$C$47),0)
),0),0),(IF($M146&gt;=IFERROR(INDEX('TaxCred&amp;Subs'!$H$12:$H$47,MATCH(1,($C146&amp;$D146='TaxCred&amp;Subs'!$D$12:$D$47)*($F146='TaxCred&amp;Subs'!$C$12:$C$47),0)
),9999),IFERROR(INDEX('TaxCred&amp;Subs'!$N$12:$N$47,MATCH(1,($C146&amp;$D146='TaxCred&amp;Subs'!$D$12:$D$47)*($F146='TaxCred&amp;Subs'!$C$12:$C$47),0)
),0),0)))),0)+IF(AND($C146=2,VALUE(RIGHT($AD146,1))&gt;2),(N146-R146)*(IFERROR(INDEX('TaxCred&amp;Subs'!$J$66:$J$99,MATCH(1,($C146&amp;$D146='TaxCred&amp;Subs'!$E$66:$E$99)*($F146='TaxCred&amp;Subs'!$C$66:$C$99),0)),0)),IF(AND($C146=1,VALUE(RIGHT($AD146,1))&gt;2),(N146-R146)*(IFERROR(INDEX('TaxCred&amp;Subs'!$J$66:$J$99,MATCH(1,($C146&amp;$D146='TaxCred&amp;Subs'!$D$66:$D$99)*($F146='TaxCred&amp;Subs'!$C$66:$C$99),0)),0)),IF($C146&gt;2,(N146-R146)*(IFERROR(INDEX('TaxCred&amp;Subs'!$J$66:$J$99,MATCH(1,($C146&amp;$D146='TaxCred&amp;Subs'!$D$66:$D$99)*($F146='TaxCred&amp;Subs'!$C$66:$C$99),0)),0)),0))),0)</f>
        <v>0</v>
      </c>
      <c r="Q146" s="95">
        <f t="array" ref="Q146">ROUND(IF(AND($C146=2,VALUE(RIGHT($AD146,1))&gt;2),(O146-S146)*(IFERROR(INDEX('TaxCred&amp;Subs'!$J$66:$J$99,MATCH(1,($C146&amp;$D146='TaxCred&amp;Subs'!$E$66:$E$99)*($F146='TaxCred&amp;Subs'!$C$66:$C$99),0)),0)),IF(AND($C146=1,VALUE(RIGHT($AD146,1))&gt;2),(O146-S146)*(IFERROR(INDEX('TaxCred&amp;Subs'!$J$66:$J$99,MATCH(1,($C146&amp;$D146='TaxCred&amp;Subs'!$D$66:$D$99)*($F146='TaxCred&amp;Subs'!$C$66:$C$99),0)),0)),IF($C146&gt;2,(O146-S146)*(IFERROR(INDEX('TaxCred&amp;Subs'!$J$66:$J$99,MATCH(1,($C146&amp;$D146='TaxCred&amp;Subs'!$D$66:$D$99)*($F146='TaxCred&amp;Subs'!$C$66:$C$99),0)),0)),0))),0)</f>
        <v>0</v>
      </c>
      <c r="R146" s="95">
        <f t="array" ref="R146">ROUND(IF(IFERROR(VALUE(RIGHT($AD146,1)),0)&gt;2,IF($C146=8,N146*IFERROR(INDEX('TaxCred&amp;Subs'!$K$139:$S$151,MATCH($C146&amp;$D146&amp;LEFT($AD146,7),'TaxCred&amp;Subs'!$E$139:$E$151,0),MATCH($H146,'TaxCred&amp;Subs'!$K$137:$S$137,0)),0),IF($C146=2,N146*IFERROR(INDEX('TaxCred&amp;Subs'!$K$139:$S$151,MATCH($C146&amp;$D146,'TaxCred&amp;Subs'!$D$139:$D$151,0),MATCH($H146,'TaxCred&amp;Subs'!$K$137:$S$137,0)),0),N146*IFERROR(INDEX('TaxCred&amp;Subs'!$K$139:$S$151,MATCH($C146&amp;$D146,'TaxCred&amp;Subs'!$C$139:$C$151,0),MATCH($H146,'TaxCred&amp;Subs'!$K$137:$S$137,0)),0))),0),0)</f>
        <v>0</v>
      </c>
      <c r="S146" s="95">
        <f t="array" ref="S146">ROUND(IF(IFERROR(VALUE(RIGHT($AD146,1)),0)&gt;2,IF($C146=8,O146*IFERROR(INDEX('TaxCred&amp;Subs'!$K$139:$S$151,MATCH($C146&amp;$D146&amp;LEFT($AD146,7),'TaxCred&amp;Subs'!$E$139:$E$151,0),MATCH($H146,'TaxCred&amp;Subs'!$K$137:$S$137,0)),0),IF($C146=2,O146*IFERROR(INDEX('TaxCred&amp;Subs'!$K$139:$S$151,MATCH($C146&amp;$D146,'TaxCred&amp;Subs'!$D$139:$D$151,0),MATCH($H146,'TaxCred&amp;Subs'!$K$137:$S$137,0)),0),O146*IFERROR(INDEX('TaxCred&amp;Subs'!$K$139:$S$151,MATCH($C146&amp;$D146,'TaxCred&amp;Subs'!$C$139:$C$151,0),MATCH($H146,'TaxCred&amp;Subs'!$K$137:$S$137,0)),0))),0),0)</f>
        <v>0</v>
      </c>
      <c r="T146" s="95">
        <f t="shared" si="8"/>
        <v>0</v>
      </c>
      <c r="U146" s="95">
        <f t="shared" si="9"/>
        <v>0</v>
      </c>
      <c r="V146" s="28" t="s">
        <v>222</v>
      </c>
      <c r="W146" s="31">
        <v>2020</v>
      </c>
      <c r="X146" s="28">
        <v>1</v>
      </c>
      <c r="Y146" s="28">
        <v>0</v>
      </c>
      <c r="Z146" s="196">
        <v>-1.7212380505058353E-4</v>
      </c>
      <c r="AA146" s="196">
        <v>-2.6480585392397466E-3</v>
      </c>
      <c r="AB146" s="28">
        <v>0</v>
      </c>
      <c r="AC146" s="28">
        <v>0</v>
      </c>
      <c r="AD146" s="28" t="s">
        <v>199</v>
      </c>
    </row>
    <row r="147" spans="2:30" x14ac:dyDescent="0.2">
      <c r="B147" s="7">
        <f t="shared" si="5"/>
        <v>123</v>
      </c>
      <c r="C147" s="28">
        <v>1</v>
      </c>
      <c r="D147" s="28">
        <v>4</v>
      </c>
      <c r="E147" s="28">
        <v>11</v>
      </c>
      <c r="F147" s="96">
        <v>2020</v>
      </c>
      <c r="G147" s="28">
        <v>2050</v>
      </c>
      <c r="H147" s="28">
        <v>11</v>
      </c>
      <c r="I147" s="28">
        <v>11</v>
      </c>
      <c r="J147" s="28">
        <v>0</v>
      </c>
      <c r="K147" s="28">
        <v>0</v>
      </c>
      <c r="L147" s="28">
        <v>0</v>
      </c>
      <c r="M147" s="156">
        <v>0.95</v>
      </c>
      <c r="N147" s="151">
        <v>5940</v>
      </c>
      <c r="O147" s="151">
        <v>2890</v>
      </c>
      <c r="P147" s="172">
        <f t="array" ref="P147">ROUND(IF($F147&lt;='TaxCred&amp;Subs'!$C$49,(IF($C147=2,IF($M147&gt;=IFERROR(INDEX('TaxCred&amp;Subs'!$L$12:$L$47,MATCH(1,($C147&amp;$D147='TaxCred&amp;Subs'!$E$12:$E$47)*($F147='TaxCred&amp;Subs'!$C$12:$C$47),0)
),9999),IFERROR(INDEX('TaxCred&amp;Subs'!$N$12:$N$47,MATCH(1,($C147&amp;$D147='TaxCred&amp;Subs'!$E$12:$E$47)*($F147='TaxCred&amp;Subs'!$C$12:$C$47),0)
),0),0),(IF($M147&gt;=IFERROR(INDEX('TaxCred&amp;Subs'!$H$12:$H$47,MATCH(1,($C147&amp;$D147='TaxCred&amp;Subs'!$D$12:$D$47)*($F147='TaxCred&amp;Subs'!$C$12:$C$47),0)
),9999),IFERROR(INDEX('TaxCred&amp;Subs'!$N$12:$N$47,MATCH(1,($C147&amp;$D147='TaxCred&amp;Subs'!$D$12:$D$47)*($F147='TaxCred&amp;Subs'!$C$12:$C$47),0)
),0),0)))),0)+IF(AND($C147=2,VALUE(RIGHT($AD147,1))&gt;2),(N147-R147)*(IFERROR(INDEX('TaxCred&amp;Subs'!$J$66:$J$99,MATCH(1,($C147&amp;$D147='TaxCred&amp;Subs'!$E$66:$E$99)*($F147='TaxCred&amp;Subs'!$C$66:$C$99),0)),0)),IF(AND($C147=1,VALUE(RIGHT($AD147,1))&gt;2),(N147-R147)*(IFERROR(INDEX('TaxCred&amp;Subs'!$J$66:$J$99,MATCH(1,($C147&amp;$D147='TaxCred&amp;Subs'!$D$66:$D$99)*($F147='TaxCred&amp;Subs'!$C$66:$C$99),0)),0)),IF($C147&gt;2,(N147-R147)*(IFERROR(INDEX('TaxCred&amp;Subs'!$J$66:$J$99,MATCH(1,($C147&amp;$D147='TaxCred&amp;Subs'!$D$66:$D$99)*($F147='TaxCred&amp;Subs'!$C$66:$C$99),0)),0)),0))),0)</f>
        <v>150</v>
      </c>
      <c r="Q147" s="95">
        <f t="array" ref="Q147">ROUND(IF(AND($C147=2,VALUE(RIGHT($AD147,1))&gt;2),(O147-S147)*(IFERROR(INDEX('TaxCred&amp;Subs'!$J$66:$J$99,MATCH(1,($C147&amp;$D147='TaxCred&amp;Subs'!$E$66:$E$99)*($F147='TaxCred&amp;Subs'!$C$66:$C$99),0)),0)),IF(AND($C147=1,VALUE(RIGHT($AD147,1))&gt;2),(O147-S147)*(IFERROR(INDEX('TaxCred&amp;Subs'!$J$66:$J$99,MATCH(1,($C147&amp;$D147='TaxCred&amp;Subs'!$D$66:$D$99)*($F147='TaxCred&amp;Subs'!$C$66:$C$99),0)),0)),IF($C147&gt;2,(O147-S147)*(IFERROR(INDEX('TaxCred&amp;Subs'!$J$66:$J$99,MATCH(1,($C147&amp;$D147='TaxCred&amp;Subs'!$D$66:$D$99)*($F147='TaxCred&amp;Subs'!$C$66:$C$99),0)),0)),0))),0)</f>
        <v>0</v>
      </c>
      <c r="R147" s="95">
        <f t="array" ref="R147">ROUND(IF(IFERROR(VALUE(RIGHT($AD147,1)),0)&gt;2,IF($C147=8,N147*IFERROR(INDEX('TaxCred&amp;Subs'!$K$139:$S$151,MATCH($C147&amp;$D147&amp;LEFT($AD147,7),'TaxCred&amp;Subs'!$E$139:$E$151,0),MATCH($H147,'TaxCred&amp;Subs'!$K$137:$S$137,0)),0),IF($C147=2,N147*IFERROR(INDEX('TaxCred&amp;Subs'!$K$139:$S$151,MATCH($C147&amp;$D147,'TaxCred&amp;Subs'!$D$139:$D$151,0),MATCH($H147,'TaxCred&amp;Subs'!$K$137:$S$137,0)),0),N147*IFERROR(INDEX('TaxCred&amp;Subs'!$K$139:$S$151,MATCH($C147&amp;$D147,'TaxCred&amp;Subs'!$C$139:$C$151,0),MATCH($H147,'TaxCred&amp;Subs'!$K$137:$S$137,0)),0))),0),0)</f>
        <v>0</v>
      </c>
      <c r="S147" s="95">
        <f t="array" ref="S147">ROUND(IF(IFERROR(VALUE(RIGHT($AD147,1)),0)&gt;2,IF($C147=8,O147*IFERROR(INDEX('TaxCred&amp;Subs'!$K$139:$S$151,MATCH($C147&amp;$D147&amp;LEFT($AD147,7),'TaxCred&amp;Subs'!$E$139:$E$151,0),MATCH($H147,'TaxCred&amp;Subs'!$K$137:$S$137,0)),0),IF($C147=2,O147*IFERROR(INDEX('TaxCred&amp;Subs'!$K$139:$S$151,MATCH($C147&amp;$D147,'TaxCred&amp;Subs'!$D$139:$D$151,0),MATCH($H147,'TaxCred&amp;Subs'!$K$137:$S$137,0)),0),O147*IFERROR(INDEX('TaxCred&amp;Subs'!$K$139:$S$151,MATCH($C147&amp;$D147,'TaxCred&amp;Subs'!$C$139:$C$151,0),MATCH($H147,'TaxCred&amp;Subs'!$K$137:$S$137,0)),0))),0),0)</f>
        <v>0</v>
      </c>
      <c r="T147" s="95">
        <f t="shared" si="8"/>
        <v>0</v>
      </c>
      <c r="U147" s="95">
        <f t="shared" si="9"/>
        <v>0</v>
      </c>
      <c r="V147" s="28" t="s">
        <v>222</v>
      </c>
      <c r="W147" s="31">
        <v>2020</v>
      </c>
      <c r="X147" s="28">
        <v>1</v>
      </c>
      <c r="Y147" s="28">
        <v>0</v>
      </c>
      <c r="Z147" s="196">
        <v>-1.7212380505058353E-4</v>
      </c>
      <c r="AA147" s="196">
        <v>-2.6480585392397466E-3</v>
      </c>
      <c r="AB147" s="28">
        <v>0</v>
      </c>
      <c r="AC147" s="28">
        <v>0</v>
      </c>
      <c r="AD147" s="28" t="s">
        <v>200</v>
      </c>
    </row>
    <row r="148" spans="2:30" x14ac:dyDescent="0.2">
      <c r="B148" s="7">
        <f t="shared" si="5"/>
        <v>124</v>
      </c>
      <c r="C148" s="28">
        <v>1</v>
      </c>
      <c r="D148" s="28">
        <v>4</v>
      </c>
      <c r="E148" s="28">
        <v>12</v>
      </c>
      <c r="F148" s="96">
        <v>2020</v>
      </c>
      <c r="G148" s="28">
        <v>2050</v>
      </c>
      <c r="H148" s="28">
        <v>1</v>
      </c>
      <c r="I148" s="28">
        <v>12</v>
      </c>
      <c r="J148" s="28">
        <v>0</v>
      </c>
      <c r="K148" s="28">
        <v>0</v>
      </c>
      <c r="L148" s="28">
        <v>0</v>
      </c>
      <c r="M148" s="75">
        <v>0.9</v>
      </c>
      <c r="N148" s="151">
        <v>6700</v>
      </c>
      <c r="O148" s="151">
        <v>2440</v>
      </c>
      <c r="P148" s="95">
        <f t="array" ref="P148">ROUND(IF($F148&lt;='TaxCred&amp;Subs'!$C$49,(IF($C148=2,IF($M148&gt;=IFERROR(INDEX('TaxCred&amp;Subs'!$L$12:$L$47,MATCH(1,($C148&amp;$D148='TaxCred&amp;Subs'!$E$12:$E$47)*($F148='TaxCred&amp;Subs'!$C$12:$C$47),0)
),9999),IFERROR(INDEX('TaxCred&amp;Subs'!$N$12:$N$47,MATCH(1,($C148&amp;$D148='TaxCred&amp;Subs'!$E$12:$E$47)*($F148='TaxCred&amp;Subs'!$C$12:$C$47),0)
),0),0),(IF($M148&gt;=IFERROR(INDEX('TaxCred&amp;Subs'!$H$12:$H$47,MATCH(1,($C148&amp;$D148='TaxCred&amp;Subs'!$D$12:$D$47)*($F148='TaxCred&amp;Subs'!$C$12:$C$47),0)
),9999),IFERROR(INDEX('TaxCred&amp;Subs'!$N$12:$N$47,MATCH(1,($C148&amp;$D148='TaxCred&amp;Subs'!$D$12:$D$47)*($F148='TaxCred&amp;Subs'!$C$12:$C$47),0)
),0),0)))),0)+IF(AND($C148=2,VALUE(RIGHT($AD148,1))&gt;2),(N148-R148)*(IFERROR(INDEX('TaxCred&amp;Subs'!$J$66:$J$99,MATCH(1,($C148&amp;$D148='TaxCred&amp;Subs'!$E$66:$E$99)*($F148='TaxCred&amp;Subs'!$C$66:$C$99),0)),0)),IF(AND($C148=1,VALUE(RIGHT($AD148,1))&gt;2),(N148-R148)*(IFERROR(INDEX('TaxCred&amp;Subs'!$J$66:$J$99,MATCH(1,($C148&amp;$D148='TaxCred&amp;Subs'!$D$66:$D$99)*($F148='TaxCred&amp;Subs'!$C$66:$C$99),0)),0)),IF($C148&gt;2,(N148-R148)*(IFERROR(INDEX('TaxCred&amp;Subs'!$J$66:$J$99,MATCH(1,($C148&amp;$D148='TaxCred&amp;Subs'!$D$66:$D$99)*($F148='TaxCred&amp;Subs'!$C$66:$C$99),0)),0)),0))),0)</f>
        <v>0</v>
      </c>
      <c r="Q148" s="95">
        <f t="array" ref="Q148">ROUND(IF(AND($C148=2,VALUE(RIGHT($AD148,1))&gt;2),(O148-S148)*(IFERROR(INDEX('TaxCred&amp;Subs'!$J$66:$J$99,MATCH(1,($C148&amp;$D148='TaxCred&amp;Subs'!$E$66:$E$99)*($F148='TaxCred&amp;Subs'!$C$66:$C$99),0)),0)),IF(AND($C148=1,VALUE(RIGHT($AD148,1))&gt;2),(O148-S148)*(IFERROR(INDEX('TaxCred&amp;Subs'!$J$66:$J$99,MATCH(1,($C148&amp;$D148='TaxCred&amp;Subs'!$D$66:$D$99)*($F148='TaxCred&amp;Subs'!$C$66:$C$99),0)),0)),IF($C148&gt;2,(O148-S148)*(IFERROR(INDEX('TaxCred&amp;Subs'!$J$66:$J$99,MATCH(1,($C148&amp;$D148='TaxCred&amp;Subs'!$D$66:$D$99)*($F148='TaxCred&amp;Subs'!$C$66:$C$99),0)),0)),0))),0)</f>
        <v>0</v>
      </c>
      <c r="R148" s="95">
        <f t="array" ref="R148">ROUND(IF(IFERROR(VALUE(RIGHT($AD148,1)),0)&gt;2,IF($C148=8,N148*IFERROR(INDEX('TaxCred&amp;Subs'!$K$139:$S$151,MATCH($C148&amp;$D148&amp;LEFT($AD148,7),'TaxCred&amp;Subs'!$E$139:$E$151,0),MATCH($H148,'TaxCred&amp;Subs'!$K$137:$S$137,0)),0),IF($C148=2,N148*IFERROR(INDEX('TaxCred&amp;Subs'!$K$139:$S$151,MATCH($C148&amp;$D148,'TaxCred&amp;Subs'!$D$139:$D$151,0),MATCH($H148,'TaxCred&amp;Subs'!$K$137:$S$137,0)),0),N148*IFERROR(INDEX('TaxCred&amp;Subs'!$K$139:$S$151,MATCH($C148&amp;$D148,'TaxCred&amp;Subs'!$C$139:$C$151,0),MATCH($H148,'TaxCred&amp;Subs'!$K$137:$S$137,0)),0))),0),0)</f>
        <v>895</v>
      </c>
      <c r="S148" s="95">
        <f t="array" ref="S148">ROUND(IF(IFERROR(VALUE(RIGHT($AD148,1)),0)&gt;2,IF($C148=8,O148*IFERROR(INDEX('TaxCred&amp;Subs'!$K$139:$S$151,MATCH($C148&amp;$D148&amp;LEFT($AD148,7),'TaxCred&amp;Subs'!$E$139:$E$151,0),MATCH($H148,'TaxCred&amp;Subs'!$K$137:$S$137,0)),0),IF($C148=2,O148*IFERROR(INDEX('TaxCred&amp;Subs'!$K$139:$S$151,MATCH($C148&amp;$D148,'TaxCred&amp;Subs'!$D$139:$D$151,0),MATCH($H148,'TaxCred&amp;Subs'!$K$137:$S$137,0)),0),O148*IFERROR(INDEX('TaxCred&amp;Subs'!$K$139:$S$151,MATCH($C148&amp;$D148,'TaxCred&amp;Subs'!$C$139:$C$151,0),MATCH($H148,'TaxCred&amp;Subs'!$K$137:$S$137,0)),0))),0),0)</f>
        <v>326</v>
      </c>
      <c r="T148" s="95">
        <f t="shared" si="8"/>
        <v>0</v>
      </c>
      <c r="U148" s="95">
        <f t="shared" si="9"/>
        <v>0</v>
      </c>
      <c r="V148" s="28" t="s">
        <v>222</v>
      </c>
      <c r="W148" s="31">
        <v>2020</v>
      </c>
      <c r="X148" s="28">
        <v>1</v>
      </c>
      <c r="Y148" s="28">
        <v>0</v>
      </c>
      <c r="Z148" s="196">
        <v>-2.1453721591526507E-4</v>
      </c>
      <c r="AA148" s="196">
        <v>-3.3005725525425394E-3</v>
      </c>
      <c r="AB148" s="28">
        <v>0</v>
      </c>
      <c r="AC148" s="28">
        <v>0</v>
      </c>
      <c r="AD148" s="28" t="s">
        <v>201</v>
      </c>
    </row>
    <row r="149" spans="2:30" ht="14.25" customHeight="1" x14ac:dyDescent="0.2">
      <c r="B149" s="7">
        <f t="shared" si="5"/>
        <v>125</v>
      </c>
      <c r="C149" s="28">
        <v>1</v>
      </c>
      <c r="D149" s="28">
        <v>4</v>
      </c>
      <c r="E149" s="28">
        <v>12</v>
      </c>
      <c r="F149" s="96">
        <v>2020</v>
      </c>
      <c r="G149" s="28">
        <v>2050</v>
      </c>
      <c r="H149" s="28">
        <v>2</v>
      </c>
      <c r="I149" s="28">
        <v>12</v>
      </c>
      <c r="J149" s="28">
        <v>0</v>
      </c>
      <c r="K149" s="28">
        <v>0</v>
      </c>
      <c r="L149" s="28">
        <v>0</v>
      </c>
      <c r="M149" s="75">
        <v>0.9</v>
      </c>
      <c r="N149" s="151">
        <v>6700</v>
      </c>
      <c r="O149" s="151">
        <v>2440</v>
      </c>
      <c r="P149" s="95">
        <f t="array" ref="P149">ROUND(IF($F149&lt;='TaxCred&amp;Subs'!$C$49,(IF($C149=2,IF($M149&gt;=IFERROR(INDEX('TaxCred&amp;Subs'!$L$12:$L$47,MATCH(1,($C149&amp;$D149='TaxCred&amp;Subs'!$E$12:$E$47)*($F149='TaxCred&amp;Subs'!$C$12:$C$47),0)
),9999),IFERROR(INDEX('TaxCred&amp;Subs'!$N$12:$N$47,MATCH(1,($C149&amp;$D149='TaxCred&amp;Subs'!$E$12:$E$47)*($F149='TaxCred&amp;Subs'!$C$12:$C$47),0)
),0),0),(IF($M149&gt;=IFERROR(INDEX('TaxCred&amp;Subs'!$H$12:$H$47,MATCH(1,($C149&amp;$D149='TaxCred&amp;Subs'!$D$12:$D$47)*($F149='TaxCred&amp;Subs'!$C$12:$C$47),0)
),9999),IFERROR(INDEX('TaxCred&amp;Subs'!$N$12:$N$47,MATCH(1,($C149&amp;$D149='TaxCred&amp;Subs'!$D$12:$D$47)*($F149='TaxCred&amp;Subs'!$C$12:$C$47),0)
),0),0)))),0)+IF(AND($C149=2,VALUE(RIGHT($AD149,1))&gt;2),(N149-R149)*(IFERROR(INDEX('TaxCred&amp;Subs'!$J$66:$J$99,MATCH(1,($C149&amp;$D149='TaxCred&amp;Subs'!$E$66:$E$99)*($F149='TaxCred&amp;Subs'!$C$66:$C$99),0)),0)),IF(AND($C149=1,VALUE(RIGHT($AD149,1))&gt;2),(N149-R149)*(IFERROR(INDEX('TaxCred&amp;Subs'!$J$66:$J$99,MATCH(1,($C149&amp;$D149='TaxCred&amp;Subs'!$D$66:$D$99)*($F149='TaxCred&amp;Subs'!$C$66:$C$99),0)),0)),IF($C149&gt;2,(N149-R149)*(IFERROR(INDEX('TaxCred&amp;Subs'!$J$66:$J$99,MATCH(1,($C149&amp;$D149='TaxCred&amp;Subs'!$D$66:$D$99)*($F149='TaxCred&amp;Subs'!$C$66:$C$99),0)),0)),0))),0)</f>
        <v>0</v>
      </c>
      <c r="Q149" s="95">
        <f t="array" ref="Q149">ROUND(IF(AND($C149=2,VALUE(RIGHT($AD149,1))&gt;2),(O149-S149)*(IFERROR(INDEX('TaxCred&amp;Subs'!$J$66:$J$99,MATCH(1,($C149&amp;$D149='TaxCred&amp;Subs'!$E$66:$E$99)*($F149='TaxCred&amp;Subs'!$C$66:$C$99),0)),0)),IF(AND($C149=1,VALUE(RIGHT($AD149,1))&gt;2),(O149-S149)*(IFERROR(INDEX('TaxCred&amp;Subs'!$J$66:$J$99,MATCH(1,($C149&amp;$D149='TaxCred&amp;Subs'!$D$66:$D$99)*($F149='TaxCred&amp;Subs'!$C$66:$C$99),0)),0)),IF($C149&gt;2,(O149-S149)*(IFERROR(INDEX('TaxCred&amp;Subs'!$J$66:$J$99,MATCH(1,($C149&amp;$D149='TaxCred&amp;Subs'!$D$66:$D$99)*($F149='TaxCred&amp;Subs'!$C$66:$C$99),0)),0)),0))),0)</f>
        <v>0</v>
      </c>
      <c r="R149" s="95">
        <f t="array" ref="R149">ROUND(IF(IFERROR(VALUE(RIGHT($AD149,1)),0)&gt;2,IF($C149=8,N149*IFERROR(INDEX('TaxCred&amp;Subs'!$K$139:$S$151,MATCH($C149&amp;$D149&amp;LEFT($AD149,7),'TaxCred&amp;Subs'!$E$139:$E$151,0),MATCH($H149,'TaxCred&amp;Subs'!$K$137:$S$137,0)),0),IF($C149=2,N149*IFERROR(INDEX('TaxCred&amp;Subs'!$K$139:$S$151,MATCH($C149&amp;$D149,'TaxCred&amp;Subs'!$D$139:$D$151,0),MATCH($H149,'TaxCred&amp;Subs'!$K$137:$S$137,0)),0),N149*IFERROR(INDEX('TaxCred&amp;Subs'!$K$139:$S$151,MATCH($C149&amp;$D149,'TaxCred&amp;Subs'!$C$139:$C$151,0),MATCH($H149,'TaxCred&amp;Subs'!$K$137:$S$137,0)),0))),0),0)</f>
        <v>660</v>
      </c>
      <c r="S149" s="95">
        <f t="array" ref="S149">ROUND(IF(IFERROR(VALUE(RIGHT($AD149,1)),0)&gt;2,IF($C149=8,O149*IFERROR(INDEX('TaxCred&amp;Subs'!$K$139:$S$151,MATCH($C149&amp;$D149&amp;LEFT($AD149,7),'TaxCred&amp;Subs'!$E$139:$E$151,0),MATCH($H149,'TaxCred&amp;Subs'!$K$137:$S$137,0)),0),IF($C149=2,O149*IFERROR(INDEX('TaxCred&amp;Subs'!$K$139:$S$151,MATCH($C149&amp;$D149,'TaxCred&amp;Subs'!$D$139:$D$151,0),MATCH($H149,'TaxCred&amp;Subs'!$K$137:$S$137,0)),0),O149*IFERROR(INDEX('TaxCred&amp;Subs'!$K$139:$S$151,MATCH($C149&amp;$D149,'TaxCred&amp;Subs'!$C$139:$C$151,0),MATCH($H149,'TaxCred&amp;Subs'!$K$137:$S$137,0)),0))),0),0)</f>
        <v>240</v>
      </c>
      <c r="T149" s="95">
        <f t="shared" si="8"/>
        <v>0</v>
      </c>
      <c r="U149" s="95">
        <f t="shared" si="9"/>
        <v>0</v>
      </c>
      <c r="V149" s="28" t="s">
        <v>222</v>
      </c>
      <c r="W149" s="31">
        <v>2020</v>
      </c>
      <c r="X149" s="28">
        <v>1</v>
      </c>
      <c r="Y149" s="28">
        <v>0</v>
      </c>
      <c r="Z149" s="196">
        <v>-2.1453721591526507E-4</v>
      </c>
      <c r="AA149" s="196">
        <v>-3.3005725525425394E-3</v>
      </c>
      <c r="AB149" s="28">
        <v>0</v>
      </c>
      <c r="AC149" s="28">
        <v>0</v>
      </c>
      <c r="AD149" s="28" t="s">
        <v>201</v>
      </c>
    </row>
    <row r="150" spans="2:30" ht="14.25" customHeight="1" x14ac:dyDescent="0.2">
      <c r="B150" s="7">
        <f t="shared" si="5"/>
        <v>126</v>
      </c>
      <c r="C150" s="28">
        <v>1</v>
      </c>
      <c r="D150" s="28">
        <v>4</v>
      </c>
      <c r="E150" s="28">
        <v>12</v>
      </c>
      <c r="F150" s="96">
        <v>2020</v>
      </c>
      <c r="G150" s="28">
        <v>2050</v>
      </c>
      <c r="H150" s="28">
        <v>3</v>
      </c>
      <c r="I150" s="28">
        <v>12</v>
      </c>
      <c r="J150" s="28">
        <v>0</v>
      </c>
      <c r="K150" s="28">
        <v>0</v>
      </c>
      <c r="L150" s="28">
        <v>0</v>
      </c>
      <c r="M150" s="75">
        <v>0.9</v>
      </c>
      <c r="N150" s="151">
        <v>6700</v>
      </c>
      <c r="O150" s="151">
        <v>2440</v>
      </c>
      <c r="P150" s="95">
        <f t="array" ref="P150">ROUND(IF($F150&lt;='TaxCred&amp;Subs'!$C$49,(IF($C150=2,IF($M150&gt;=IFERROR(INDEX('TaxCred&amp;Subs'!$L$12:$L$47,MATCH(1,($C150&amp;$D150='TaxCred&amp;Subs'!$E$12:$E$47)*($F150='TaxCred&amp;Subs'!$C$12:$C$47),0)
),9999),IFERROR(INDEX('TaxCred&amp;Subs'!$N$12:$N$47,MATCH(1,($C150&amp;$D150='TaxCred&amp;Subs'!$E$12:$E$47)*($F150='TaxCred&amp;Subs'!$C$12:$C$47),0)
),0),0),(IF($M150&gt;=IFERROR(INDEX('TaxCred&amp;Subs'!$H$12:$H$47,MATCH(1,($C150&amp;$D150='TaxCred&amp;Subs'!$D$12:$D$47)*($F150='TaxCred&amp;Subs'!$C$12:$C$47),0)
),9999),IFERROR(INDEX('TaxCred&amp;Subs'!$N$12:$N$47,MATCH(1,($C150&amp;$D150='TaxCred&amp;Subs'!$D$12:$D$47)*($F150='TaxCred&amp;Subs'!$C$12:$C$47),0)
),0),0)))),0)+IF(AND($C150=2,VALUE(RIGHT($AD150,1))&gt;2),(N150-R150)*(IFERROR(INDEX('TaxCred&amp;Subs'!$J$66:$J$99,MATCH(1,($C150&amp;$D150='TaxCred&amp;Subs'!$E$66:$E$99)*($F150='TaxCred&amp;Subs'!$C$66:$C$99),0)),0)),IF(AND($C150=1,VALUE(RIGHT($AD150,1))&gt;2),(N150-R150)*(IFERROR(INDEX('TaxCred&amp;Subs'!$J$66:$J$99,MATCH(1,($C150&amp;$D150='TaxCred&amp;Subs'!$D$66:$D$99)*($F150='TaxCred&amp;Subs'!$C$66:$C$99),0)),0)),IF($C150&gt;2,(N150-R150)*(IFERROR(INDEX('TaxCred&amp;Subs'!$J$66:$J$99,MATCH(1,($C150&amp;$D150='TaxCred&amp;Subs'!$D$66:$D$99)*($F150='TaxCred&amp;Subs'!$C$66:$C$99),0)),0)),0))),0)</f>
        <v>0</v>
      </c>
      <c r="Q150" s="95">
        <f t="array" ref="Q150">ROUND(IF(AND($C150=2,VALUE(RIGHT($AD150,1))&gt;2),(O150-S150)*(IFERROR(INDEX('TaxCred&amp;Subs'!$J$66:$J$99,MATCH(1,($C150&amp;$D150='TaxCred&amp;Subs'!$E$66:$E$99)*($F150='TaxCred&amp;Subs'!$C$66:$C$99),0)),0)),IF(AND($C150=1,VALUE(RIGHT($AD150,1))&gt;2),(O150-S150)*(IFERROR(INDEX('TaxCred&amp;Subs'!$J$66:$J$99,MATCH(1,($C150&amp;$D150='TaxCred&amp;Subs'!$D$66:$D$99)*($F150='TaxCred&amp;Subs'!$C$66:$C$99),0)),0)),IF($C150&gt;2,(O150-S150)*(IFERROR(INDEX('TaxCred&amp;Subs'!$J$66:$J$99,MATCH(1,($C150&amp;$D150='TaxCred&amp;Subs'!$D$66:$D$99)*($F150='TaxCred&amp;Subs'!$C$66:$C$99),0)),0)),0))),0)</f>
        <v>0</v>
      </c>
      <c r="R150" s="95">
        <f t="array" ref="R150">ROUND(IF(IFERROR(VALUE(RIGHT($AD150,1)),0)&gt;2,IF($C150=8,N150*IFERROR(INDEX('TaxCred&amp;Subs'!$K$139:$S$151,MATCH($C150&amp;$D150&amp;LEFT($AD150,7),'TaxCred&amp;Subs'!$E$139:$E$151,0),MATCH($H150,'TaxCred&amp;Subs'!$K$137:$S$137,0)),0),IF($C150=2,N150*IFERROR(INDEX('TaxCred&amp;Subs'!$K$139:$S$151,MATCH($C150&amp;$D150,'TaxCred&amp;Subs'!$D$139:$D$151,0),MATCH($H150,'TaxCred&amp;Subs'!$K$137:$S$137,0)),0),N150*IFERROR(INDEX('TaxCred&amp;Subs'!$K$139:$S$151,MATCH($C150&amp;$D150,'TaxCred&amp;Subs'!$C$139:$C$151,0),MATCH($H150,'TaxCred&amp;Subs'!$K$137:$S$137,0)),0))),0),0)</f>
        <v>300</v>
      </c>
      <c r="S150" s="95">
        <f t="array" ref="S150">ROUND(IF(IFERROR(VALUE(RIGHT($AD150,1)),0)&gt;2,IF($C150=8,O150*IFERROR(INDEX('TaxCred&amp;Subs'!$K$139:$S$151,MATCH($C150&amp;$D150&amp;LEFT($AD150,7),'TaxCred&amp;Subs'!$E$139:$E$151,0),MATCH($H150,'TaxCred&amp;Subs'!$K$137:$S$137,0)),0),IF($C150=2,O150*IFERROR(INDEX('TaxCred&amp;Subs'!$K$139:$S$151,MATCH($C150&amp;$D150,'TaxCred&amp;Subs'!$D$139:$D$151,0),MATCH($H150,'TaxCred&amp;Subs'!$K$137:$S$137,0)),0),O150*IFERROR(INDEX('TaxCred&amp;Subs'!$K$139:$S$151,MATCH($C150&amp;$D150,'TaxCred&amp;Subs'!$C$139:$C$151,0),MATCH($H150,'TaxCred&amp;Subs'!$K$137:$S$137,0)),0))),0),0)</f>
        <v>109</v>
      </c>
      <c r="T150" s="95">
        <f t="shared" si="8"/>
        <v>0</v>
      </c>
      <c r="U150" s="95">
        <f t="shared" si="9"/>
        <v>0</v>
      </c>
      <c r="V150" s="28" t="s">
        <v>222</v>
      </c>
      <c r="W150" s="31">
        <v>2020</v>
      </c>
      <c r="X150" s="28">
        <v>1</v>
      </c>
      <c r="Y150" s="28">
        <v>0</v>
      </c>
      <c r="Z150" s="196">
        <v>-2.1453721591526507E-4</v>
      </c>
      <c r="AA150" s="196">
        <v>-3.3005725525425394E-3</v>
      </c>
      <c r="AB150" s="28">
        <v>0</v>
      </c>
      <c r="AC150" s="28">
        <v>0</v>
      </c>
      <c r="AD150" s="28" t="s">
        <v>201</v>
      </c>
    </row>
    <row r="151" spans="2:30" ht="14.25" customHeight="1" x14ac:dyDescent="0.2">
      <c r="B151" s="7">
        <f t="shared" si="5"/>
        <v>127</v>
      </c>
      <c r="C151" s="28">
        <v>1</v>
      </c>
      <c r="D151" s="28">
        <v>4</v>
      </c>
      <c r="E151" s="28">
        <v>12</v>
      </c>
      <c r="F151" s="96">
        <v>2020</v>
      </c>
      <c r="G151" s="28">
        <v>2050</v>
      </c>
      <c r="H151" s="28">
        <v>4</v>
      </c>
      <c r="I151" s="28">
        <v>12</v>
      </c>
      <c r="J151" s="28">
        <v>0</v>
      </c>
      <c r="K151" s="28">
        <v>0</v>
      </c>
      <c r="L151" s="28">
        <v>0</v>
      </c>
      <c r="M151" s="75">
        <v>0.9</v>
      </c>
      <c r="N151" s="151">
        <v>6700</v>
      </c>
      <c r="O151" s="151">
        <v>2440</v>
      </c>
      <c r="P151" s="95">
        <f t="array" ref="P151">ROUND(IF($F151&lt;='TaxCred&amp;Subs'!$C$49,(IF($C151=2,IF($M151&gt;=IFERROR(INDEX('TaxCred&amp;Subs'!$L$12:$L$47,MATCH(1,($C151&amp;$D151='TaxCred&amp;Subs'!$E$12:$E$47)*($F151='TaxCred&amp;Subs'!$C$12:$C$47),0)
),9999),IFERROR(INDEX('TaxCred&amp;Subs'!$N$12:$N$47,MATCH(1,($C151&amp;$D151='TaxCred&amp;Subs'!$E$12:$E$47)*($F151='TaxCred&amp;Subs'!$C$12:$C$47),0)
),0),0),(IF($M151&gt;=IFERROR(INDEX('TaxCred&amp;Subs'!$H$12:$H$47,MATCH(1,($C151&amp;$D151='TaxCred&amp;Subs'!$D$12:$D$47)*($F151='TaxCred&amp;Subs'!$C$12:$C$47),0)
),9999),IFERROR(INDEX('TaxCred&amp;Subs'!$N$12:$N$47,MATCH(1,($C151&amp;$D151='TaxCred&amp;Subs'!$D$12:$D$47)*($F151='TaxCred&amp;Subs'!$C$12:$C$47),0)
),0),0)))),0)+IF(AND($C151=2,VALUE(RIGHT($AD151,1))&gt;2),(N151-R151)*(IFERROR(INDEX('TaxCred&amp;Subs'!$J$66:$J$99,MATCH(1,($C151&amp;$D151='TaxCred&amp;Subs'!$E$66:$E$99)*($F151='TaxCred&amp;Subs'!$C$66:$C$99),0)),0)),IF(AND($C151=1,VALUE(RIGHT($AD151,1))&gt;2),(N151-R151)*(IFERROR(INDEX('TaxCred&amp;Subs'!$J$66:$J$99,MATCH(1,($C151&amp;$D151='TaxCred&amp;Subs'!$D$66:$D$99)*($F151='TaxCred&amp;Subs'!$C$66:$C$99),0)),0)),IF($C151&gt;2,(N151-R151)*(IFERROR(INDEX('TaxCred&amp;Subs'!$J$66:$J$99,MATCH(1,($C151&amp;$D151='TaxCred&amp;Subs'!$D$66:$D$99)*($F151='TaxCred&amp;Subs'!$C$66:$C$99),0)),0)),0))),0)</f>
        <v>0</v>
      </c>
      <c r="Q151" s="95">
        <f t="array" ref="Q151">ROUND(IF(AND($C151=2,VALUE(RIGHT($AD151,1))&gt;2),(O151-S151)*(IFERROR(INDEX('TaxCred&amp;Subs'!$J$66:$J$99,MATCH(1,($C151&amp;$D151='TaxCred&amp;Subs'!$E$66:$E$99)*($F151='TaxCred&amp;Subs'!$C$66:$C$99),0)),0)),IF(AND($C151=1,VALUE(RIGHT($AD151,1))&gt;2),(O151-S151)*(IFERROR(INDEX('TaxCred&amp;Subs'!$J$66:$J$99,MATCH(1,($C151&amp;$D151='TaxCred&amp;Subs'!$D$66:$D$99)*($F151='TaxCred&amp;Subs'!$C$66:$C$99),0)),0)),IF($C151&gt;2,(O151-S151)*(IFERROR(INDEX('TaxCred&amp;Subs'!$J$66:$J$99,MATCH(1,($C151&amp;$D151='TaxCred&amp;Subs'!$D$66:$D$99)*($F151='TaxCred&amp;Subs'!$C$66:$C$99),0)),0)),0))),0)</f>
        <v>0</v>
      </c>
      <c r="R151" s="95">
        <f t="array" ref="R151">ROUND(IF(IFERROR(VALUE(RIGHT($AD151,1)),0)&gt;2,IF($C151=8,N151*IFERROR(INDEX('TaxCred&amp;Subs'!$K$139:$S$151,MATCH($C151&amp;$D151&amp;LEFT($AD151,7),'TaxCred&amp;Subs'!$E$139:$E$151,0),MATCH($H151,'TaxCred&amp;Subs'!$K$137:$S$137,0)),0),IF($C151=2,N151*IFERROR(INDEX('TaxCred&amp;Subs'!$K$139:$S$151,MATCH($C151&amp;$D151,'TaxCred&amp;Subs'!$D$139:$D$151,0),MATCH($H151,'TaxCred&amp;Subs'!$K$137:$S$137,0)),0),N151*IFERROR(INDEX('TaxCred&amp;Subs'!$K$139:$S$151,MATCH($C151&amp;$D151,'TaxCred&amp;Subs'!$C$139:$C$151,0),MATCH($H151,'TaxCred&amp;Subs'!$K$137:$S$137,0)),0))),0),0)</f>
        <v>235</v>
      </c>
      <c r="S151" s="95">
        <f t="array" ref="S151">ROUND(IF(IFERROR(VALUE(RIGHT($AD151,1)),0)&gt;2,IF($C151=8,O151*IFERROR(INDEX('TaxCred&amp;Subs'!$K$139:$S$151,MATCH($C151&amp;$D151&amp;LEFT($AD151,7),'TaxCred&amp;Subs'!$E$139:$E$151,0),MATCH($H151,'TaxCred&amp;Subs'!$K$137:$S$137,0)),0),IF($C151=2,O151*IFERROR(INDEX('TaxCred&amp;Subs'!$K$139:$S$151,MATCH($C151&amp;$D151,'TaxCred&amp;Subs'!$D$139:$D$151,0),MATCH($H151,'TaxCred&amp;Subs'!$K$137:$S$137,0)),0),O151*IFERROR(INDEX('TaxCred&amp;Subs'!$K$139:$S$151,MATCH($C151&amp;$D151,'TaxCred&amp;Subs'!$C$139:$C$151,0),MATCH($H151,'TaxCred&amp;Subs'!$K$137:$S$137,0)),0))),0),0)</f>
        <v>86</v>
      </c>
      <c r="T151" s="95">
        <f t="shared" si="8"/>
        <v>0</v>
      </c>
      <c r="U151" s="95">
        <f t="shared" si="9"/>
        <v>0</v>
      </c>
      <c r="V151" s="28" t="s">
        <v>222</v>
      </c>
      <c r="W151" s="31">
        <v>2020</v>
      </c>
      <c r="X151" s="28">
        <v>1</v>
      </c>
      <c r="Y151" s="28">
        <v>0</v>
      </c>
      <c r="Z151" s="196">
        <v>-2.1453721591526507E-4</v>
      </c>
      <c r="AA151" s="196">
        <v>-3.3005725525425394E-3</v>
      </c>
      <c r="AB151" s="28">
        <v>0</v>
      </c>
      <c r="AC151" s="28">
        <v>0</v>
      </c>
      <c r="AD151" s="28" t="s">
        <v>201</v>
      </c>
    </row>
    <row r="152" spans="2:30" ht="14.25" customHeight="1" x14ac:dyDescent="0.2">
      <c r="B152" s="7">
        <f t="shared" si="5"/>
        <v>128</v>
      </c>
      <c r="C152" s="28">
        <v>1</v>
      </c>
      <c r="D152" s="28">
        <v>4</v>
      </c>
      <c r="E152" s="28">
        <v>12</v>
      </c>
      <c r="F152" s="96">
        <v>2020</v>
      </c>
      <c r="G152" s="28">
        <v>2050</v>
      </c>
      <c r="H152" s="28">
        <v>5</v>
      </c>
      <c r="I152" s="28">
        <v>12</v>
      </c>
      <c r="J152" s="28">
        <v>0</v>
      </c>
      <c r="K152" s="28">
        <v>0</v>
      </c>
      <c r="L152" s="28">
        <v>0</v>
      </c>
      <c r="M152" s="75">
        <v>0.9</v>
      </c>
      <c r="N152" s="151">
        <v>6700</v>
      </c>
      <c r="O152" s="151">
        <v>2440</v>
      </c>
      <c r="P152" s="95">
        <f t="array" ref="P152">ROUND(IF($F152&lt;='TaxCred&amp;Subs'!$C$49,(IF($C152=2,IF($M152&gt;=IFERROR(INDEX('TaxCred&amp;Subs'!$L$12:$L$47,MATCH(1,($C152&amp;$D152='TaxCred&amp;Subs'!$E$12:$E$47)*($F152='TaxCred&amp;Subs'!$C$12:$C$47),0)
),9999),IFERROR(INDEX('TaxCred&amp;Subs'!$N$12:$N$47,MATCH(1,($C152&amp;$D152='TaxCred&amp;Subs'!$E$12:$E$47)*($F152='TaxCred&amp;Subs'!$C$12:$C$47),0)
),0),0),(IF($M152&gt;=IFERROR(INDEX('TaxCred&amp;Subs'!$H$12:$H$47,MATCH(1,($C152&amp;$D152='TaxCred&amp;Subs'!$D$12:$D$47)*($F152='TaxCred&amp;Subs'!$C$12:$C$47),0)
),9999),IFERROR(INDEX('TaxCred&amp;Subs'!$N$12:$N$47,MATCH(1,($C152&amp;$D152='TaxCred&amp;Subs'!$D$12:$D$47)*($F152='TaxCred&amp;Subs'!$C$12:$C$47),0)
),0),0)))),0)+IF(AND($C152=2,VALUE(RIGHT($AD152,1))&gt;2),(N152-R152)*(IFERROR(INDEX('TaxCred&amp;Subs'!$J$66:$J$99,MATCH(1,($C152&amp;$D152='TaxCred&amp;Subs'!$E$66:$E$99)*($F152='TaxCred&amp;Subs'!$C$66:$C$99),0)),0)),IF(AND($C152=1,VALUE(RIGHT($AD152,1))&gt;2),(N152-R152)*(IFERROR(INDEX('TaxCred&amp;Subs'!$J$66:$J$99,MATCH(1,($C152&amp;$D152='TaxCred&amp;Subs'!$D$66:$D$99)*($F152='TaxCred&amp;Subs'!$C$66:$C$99),0)),0)),IF($C152&gt;2,(N152-R152)*(IFERROR(INDEX('TaxCred&amp;Subs'!$J$66:$J$99,MATCH(1,($C152&amp;$D152='TaxCred&amp;Subs'!$D$66:$D$99)*($F152='TaxCred&amp;Subs'!$C$66:$C$99),0)),0)),0))),0)</f>
        <v>0</v>
      </c>
      <c r="Q152" s="95">
        <f t="array" ref="Q152">ROUND(IF(AND($C152=2,VALUE(RIGHT($AD152,1))&gt;2),(O152-S152)*(IFERROR(INDEX('TaxCred&amp;Subs'!$J$66:$J$99,MATCH(1,($C152&amp;$D152='TaxCred&amp;Subs'!$E$66:$E$99)*($F152='TaxCred&amp;Subs'!$C$66:$C$99),0)),0)),IF(AND($C152=1,VALUE(RIGHT($AD152,1))&gt;2),(O152-S152)*(IFERROR(INDEX('TaxCred&amp;Subs'!$J$66:$J$99,MATCH(1,($C152&amp;$D152='TaxCred&amp;Subs'!$D$66:$D$99)*($F152='TaxCred&amp;Subs'!$C$66:$C$99),0)),0)),IF($C152&gt;2,(O152-S152)*(IFERROR(INDEX('TaxCred&amp;Subs'!$J$66:$J$99,MATCH(1,($C152&amp;$D152='TaxCred&amp;Subs'!$D$66:$D$99)*($F152='TaxCred&amp;Subs'!$C$66:$C$99),0)),0)),0))),0)</f>
        <v>0</v>
      </c>
      <c r="R152" s="95">
        <f t="array" ref="R152">ROUND(IF(IFERROR(VALUE(RIGHT($AD152,1)),0)&gt;2,IF($C152=8,N152*IFERROR(INDEX('TaxCred&amp;Subs'!$K$139:$S$151,MATCH($C152&amp;$D152&amp;LEFT($AD152,7),'TaxCred&amp;Subs'!$E$139:$E$151,0),MATCH($H152,'TaxCred&amp;Subs'!$K$137:$S$137,0)),0),IF($C152=2,N152*IFERROR(INDEX('TaxCred&amp;Subs'!$K$139:$S$151,MATCH($C152&amp;$D152,'TaxCred&amp;Subs'!$D$139:$D$151,0),MATCH($H152,'TaxCred&amp;Subs'!$K$137:$S$137,0)),0),N152*IFERROR(INDEX('TaxCred&amp;Subs'!$K$139:$S$151,MATCH($C152&amp;$D152,'TaxCred&amp;Subs'!$C$139:$C$151,0),MATCH($H152,'TaxCred&amp;Subs'!$K$137:$S$137,0)),0))),0),0)</f>
        <v>58</v>
      </c>
      <c r="S152" s="95">
        <f t="array" ref="S152">ROUND(IF(IFERROR(VALUE(RIGHT($AD152,1)),0)&gt;2,IF($C152=8,O152*IFERROR(INDEX('TaxCred&amp;Subs'!$K$139:$S$151,MATCH($C152&amp;$D152&amp;LEFT($AD152,7),'TaxCred&amp;Subs'!$E$139:$E$151,0),MATCH($H152,'TaxCred&amp;Subs'!$K$137:$S$137,0)),0),IF($C152=2,O152*IFERROR(INDEX('TaxCred&amp;Subs'!$K$139:$S$151,MATCH($C152&amp;$D152,'TaxCred&amp;Subs'!$D$139:$D$151,0),MATCH($H152,'TaxCred&amp;Subs'!$K$137:$S$137,0)),0),O152*IFERROR(INDEX('TaxCred&amp;Subs'!$K$139:$S$151,MATCH($C152&amp;$D152,'TaxCred&amp;Subs'!$C$139:$C$151,0),MATCH($H152,'TaxCred&amp;Subs'!$K$137:$S$137,0)),0))),0),0)</f>
        <v>21</v>
      </c>
      <c r="T152" s="95">
        <f t="shared" si="8"/>
        <v>0</v>
      </c>
      <c r="U152" s="95">
        <f t="shared" si="9"/>
        <v>0</v>
      </c>
      <c r="V152" s="28" t="s">
        <v>222</v>
      </c>
      <c r="W152" s="31">
        <v>2020</v>
      </c>
      <c r="X152" s="28">
        <v>1</v>
      </c>
      <c r="Y152" s="28">
        <v>0</v>
      </c>
      <c r="Z152" s="196">
        <v>-2.1453721591526507E-4</v>
      </c>
      <c r="AA152" s="196">
        <v>-3.3005725525425394E-3</v>
      </c>
      <c r="AB152" s="28">
        <v>0</v>
      </c>
      <c r="AC152" s="28">
        <v>0</v>
      </c>
      <c r="AD152" s="28" t="s">
        <v>201</v>
      </c>
    </row>
    <row r="153" spans="2:30" ht="14.25" customHeight="1" x14ac:dyDescent="0.2">
      <c r="B153" s="7">
        <f t="shared" si="5"/>
        <v>129</v>
      </c>
      <c r="C153" s="28">
        <v>1</v>
      </c>
      <c r="D153" s="28">
        <v>4</v>
      </c>
      <c r="E153" s="28">
        <v>12</v>
      </c>
      <c r="F153" s="96">
        <v>2020</v>
      </c>
      <c r="G153" s="28">
        <v>2050</v>
      </c>
      <c r="H153" s="28">
        <v>6</v>
      </c>
      <c r="I153" s="28">
        <v>12</v>
      </c>
      <c r="J153" s="28">
        <v>0</v>
      </c>
      <c r="K153" s="28">
        <v>0</v>
      </c>
      <c r="L153" s="28">
        <v>0</v>
      </c>
      <c r="M153" s="75">
        <v>0.9</v>
      </c>
      <c r="N153" s="151">
        <v>6700</v>
      </c>
      <c r="O153" s="151">
        <v>2440</v>
      </c>
      <c r="P153" s="95">
        <f t="array" ref="P153">ROUND(IF($F153&lt;='TaxCred&amp;Subs'!$C$49,(IF($C153=2,IF($M153&gt;=IFERROR(INDEX('TaxCred&amp;Subs'!$L$12:$L$47,MATCH(1,($C153&amp;$D153='TaxCred&amp;Subs'!$E$12:$E$47)*($F153='TaxCred&amp;Subs'!$C$12:$C$47),0)
),9999),IFERROR(INDEX('TaxCred&amp;Subs'!$N$12:$N$47,MATCH(1,($C153&amp;$D153='TaxCred&amp;Subs'!$E$12:$E$47)*($F153='TaxCred&amp;Subs'!$C$12:$C$47),0)
),0),0),(IF($M153&gt;=IFERROR(INDEX('TaxCred&amp;Subs'!$H$12:$H$47,MATCH(1,($C153&amp;$D153='TaxCred&amp;Subs'!$D$12:$D$47)*($F153='TaxCred&amp;Subs'!$C$12:$C$47),0)
),9999),IFERROR(INDEX('TaxCred&amp;Subs'!$N$12:$N$47,MATCH(1,($C153&amp;$D153='TaxCred&amp;Subs'!$D$12:$D$47)*($F153='TaxCred&amp;Subs'!$C$12:$C$47),0)
),0),0)))),0)+IF(AND($C153=2,VALUE(RIGHT($AD153,1))&gt;2),(N153-R153)*(IFERROR(INDEX('TaxCred&amp;Subs'!$J$66:$J$99,MATCH(1,($C153&amp;$D153='TaxCred&amp;Subs'!$E$66:$E$99)*($F153='TaxCred&amp;Subs'!$C$66:$C$99),0)),0)),IF(AND($C153=1,VALUE(RIGHT($AD153,1))&gt;2),(N153-R153)*(IFERROR(INDEX('TaxCred&amp;Subs'!$J$66:$J$99,MATCH(1,($C153&amp;$D153='TaxCred&amp;Subs'!$D$66:$D$99)*($F153='TaxCred&amp;Subs'!$C$66:$C$99),0)),0)),IF($C153&gt;2,(N153-R153)*(IFERROR(INDEX('TaxCred&amp;Subs'!$J$66:$J$99,MATCH(1,($C153&amp;$D153='TaxCred&amp;Subs'!$D$66:$D$99)*($F153='TaxCred&amp;Subs'!$C$66:$C$99),0)),0)),0))),0)</f>
        <v>0</v>
      </c>
      <c r="Q153" s="95">
        <f t="array" ref="Q153">ROUND(IF(AND($C153=2,VALUE(RIGHT($AD153,1))&gt;2),(O153-S153)*(IFERROR(INDEX('TaxCred&amp;Subs'!$J$66:$J$99,MATCH(1,($C153&amp;$D153='TaxCred&amp;Subs'!$E$66:$E$99)*($F153='TaxCred&amp;Subs'!$C$66:$C$99),0)),0)),IF(AND($C153=1,VALUE(RIGHT($AD153,1))&gt;2),(O153-S153)*(IFERROR(INDEX('TaxCred&amp;Subs'!$J$66:$J$99,MATCH(1,($C153&amp;$D153='TaxCred&amp;Subs'!$D$66:$D$99)*($F153='TaxCred&amp;Subs'!$C$66:$C$99),0)),0)),IF($C153&gt;2,(O153-S153)*(IFERROR(INDEX('TaxCred&amp;Subs'!$J$66:$J$99,MATCH(1,($C153&amp;$D153='TaxCred&amp;Subs'!$D$66:$D$99)*($F153='TaxCred&amp;Subs'!$C$66:$C$99),0)),0)),0))),0)</f>
        <v>0</v>
      </c>
      <c r="R153" s="95">
        <f t="array" ref="R153">ROUND(IF(IFERROR(VALUE(RIGHT($AD153,1)),0)&gt;2,IF($C153=8,N153*IFERROR(INDEX('TaxCred&amp;Subs'!$K$139:$S$151,MATCH($C153&amp;$D153&amp;LEFT($AD153,7),'TaxCred&amp;Subs'!$E$139:$E$151,0),MATCH($H153,'TaxCred&amp;Subs'!$K$137:$S$137,0)),0),IF($C153=2,N153*IFERROR(INDEX('TaxCred&amp;Subs'!$K$139:$S$151,MATCH($C153&amp;$D153,'TaxCred&amp;Subs'!$D$139:$D$151,0),MATCH($H153,'TaxCred&amp;Subs'!$K$137:$S$137,0)),0),N153*IFERROR(INDEX('TaxCred&amp;Subs'!$K$139:$S$151,MATCH($C153&amp;$D153,'TaxCred&amp;Subs'!$C$139:$C$151,0),MATCH($H153,'TaxCred&amp;Subs'!$K$137:$S$137,0)),0))),0),0)</f>
        <v>0</v>
      </c>
      <c r="S153" s="95">
        <f t="array" ref="S153">ROUND(IF(IFERROR(VALUE(RIGHT($AD153,1)),0)&gt;2,IF($C153=8,O153*IFERROR(INDEX('TaxCred&amp;Subs'!$K$139:$S$151,MATCH($C153&amp;$D153&amp;LEFT($AD153,7),'TaxCred&amp;Subs'!$E$139:$E$151,0),MATCH($H153,'TaxCred&amp;Subs'!$K$137:$S$137,0)),0),IF($C153=2,O153*IFERROR(INDEX('TaxCred&amp;Subs'!$K$139:$S$151,MATCH($C153&amp;$D153,'TaxCred&amp;Subs'!$D$139:$D$151,0),MATCH($H153,'TaxCred&amp;Subs'!$K$137:$S$137,0)),0),O153*IFERROR(INDEX('TaxCred&amp;Subs'!$K$139:$S$151,MATCH($C153&amp;$D153,'TaxCred&amp;Subs'!$C$139:$C$151,0),MATCH($H153,'TaxCred&amp;Subs'!$K$137:$S$137,0)),0))),0),0)</f>
        <v>0</v>
      </c>
      <c r="T153" s="95">
        <f t="shared" si="8"/>
        <v>0</v>
      </c>
      <c r="U153" s="95">
        <f t="shared" si="9"/>
        <v>0</v>
      </c>
      <c r="V153" s="28" t="s">
        <v>222</v>
      </c>
      <c r="W153" s="31">
        <v>2020</v>
      </c>
      <c r="X153" s="28">
        <v>1</v>
      </c>
      <c r="Y153" s="28">
        <v>0</v>
      </c>
      <c r="Z153" s="196">
        <v>-2.1453721591526507E-4</v>
      </c>
      <c r="AA153" s="196">
        <v>-3.3005725525425394E-3</v>
      </c>
      <c r="AB153" s="28">
        <v>0</v>
      </c>
      <c r="AC153" s="28">
        <v>0</v>
      </c>
      <c r="AD153" s="28" t="s">
        <v>201</v>
      </c>
    </row>
    <row r="154" spans="2:30" ht="14.25" customHeight="1" x14ac:dyDescent="0.2">
      <c r="B154" s="7">
        <f t="shared" si="5"/>
        <v>130</v>
      </c>
      <c r="C154" s="28">
        <v>1</v>
      </c>
      <c r="D154" s="28">
        <v>4</v>
      </c>
      <c r="E154" s="28">
        <v>12</v>
      </c>
      <c r="F154" s="96">
        <v>2020</v>
      </c>
      <c r="G154" s="28">
        <v>2050</v>
      </c>
      <c r="H154" s="28">
        <v>7</v>
      </c>
      <c r="I154" s="28">
        <v>12</v>
      </c>
      <c r="J154" s="28">
        <v>0</v>
      </c>
      <c r="K154" s="28">
        <v>0</v>
      </c>
      <c r="L154" s="28">
        <v>0</v>
      </c>
      <c r="M154" s="75">
        <v>0.9</v>
      </c>
      <c r="N154" s="151">
        <v>6700</v>
      </c>
      <c r="O154" s="151">
        <v>2440</v>
      </c>
      <c r="P154" s="95">
        <f t="array" ref="P154">ROUND(IF($F154&lt;='TaxCred&amp;Subs'!$C$49,(IF($C154=2,IF($M154&gt;=IFERROR(INDEX('TaxCred&amp;Subs'!$L$12:$L$47,MATCH(1,($C154&amp;$D154='TaxCred&amp;Subs'!$E$12:$E$47)*($F154='TaxCred&amp;Subs'!$C$12:$C$47),0)
),9999),IFERROR(INDEX('TaxCred&amp;Subs'!$N$12:$N$47,MATCH(1,($C154&amp;$D154='TaxCred&amp;Subs'!$E$12:$E$47)*($F154='TaxCred&amp;Subs'!$C$12:$C$47),0)
),0),0),(IF($M154&gt;=IFERROR(INDEX('TaxCred&amp;Subs'!$H$12:$H$47,MATCH(1,($C154&amp;$D154='TaxCred&amp;Subs'!$D$12:$D$47)*($F154='TaxCred&amp;Subs'!$C$12:$C$47),0)
),9999),IFERROR(INDEX('TaxCred&amp;Subs'!$N$12:$N$47,MATCH(1,($C154&amp;$D154='TaxCred&amp;Subs'!$D$12:$D$47)*($F154='TaxCred&amp;Subs'!$C$12:$C$47),0)
),0),0)))),0)+IF(AND($C154=2,VALUE(RIGHT($AD154,1))&gt;2),(N154-R154)*(IFERROR(INDEX('TaxCred&amp;Subs'!$J$66:$J$99,MATCH(1,($C154&amp;$D154='TaxCred&amp;Subs'!$E$66:$E$99)*($F154='TaxCred&amp;Subs'!$C$66:$C$99),0)),0)),IF(AND($C154=1,VALUE(RIGHT($AD154,1))&gt;2),(N154-R154)*(IFERROR(INDEX('TaxCred&amp;Subs'!$J$66:$J$99,MATCH(1,($C154&amp;$D154='TaxCred&amp;Subs'!$D$66:$D$99)*($F154='TaxCred&amp;Subs'!$C$66:$C$99),0)),0)),IF($C154&gt;2,(N154-R154)*(IFERROR(INDEX('TaxCred&amp;Subs'!$J$66:$J$99,MATCH(1,($C154&amp;$D154='TaxCred&amp;Subs'!$D$66:$D$99)*($F154='TaxCred&amp;Subs'!$C$66:$C$99),0)),0)),0))),0)</f>
        <v>0</v>
      </c>
      <c r="Q154" s="95">
        <f t="array" ref="Q154">ROUND(IF(AND($C154=2,VALUE(RIGHT($AD154,1))&gt;2),(O154-S154)*(IFERROR(INDEX('TaxCred&amp;Subs'!$J$66:$J$99,MATCH(1,($C154&amp;$D154='TaxCred&amp;Subs'!$E$66:$E$99)*($F154='TaxCred&amp;Subs'!$C$66:$C$99),0)),0)),IF(AND($C154=1,VALUE(RIGHT($AD154,1))&gt;2),(O154-S154)*(IFERROR(INDEX('TaxCred&amp;Subs'!$J$66:$J$99,MATCH(1,($C154&amp;$D154='TaxCred&amp;Subs'!$D$66:$D$99)*($F154='TaxCred&amp;Subs'!$C$66:$C$99),0)),0)),IF($C154&gt;2,(O154-S154)*(IFERROR(INDEX('TaxCred&amp;Subs'!$J$66:$J$99,MATCH(1,($C154&amp;$D154='TaxCred&amp;Subs'!$D$66:$D$99)*($F154='TaxCred&amp;Subs'!$C$66:$C$99),0)),0)),0))),0)</f>
        <v>0</v>
      </c>
      <c r="R154" s="95">
        <f t="array" ref="R154">ROUND(IF(IFERROR(VALUE(RIGHT($AD154,1)),0)&gt;2,IF($C154=8,N154*IFERROR(INDEX('TaxCred&amp;Subs'!$K$139:$S$151,MATCH($C154&amp;$D154&amp;LEFT($AD154,7),'TaxCred&amp;Subs'!$E$139:$E$151,0),MATCH($H154,'TaxCred&amp;Subs'!$K$137:$S$137,0)),0),IF($C154=2,N154*IFERROR(INDEX('TaxCred&amp;Subs'!$K$139:$S$151,MATCH($C154&amp;$D154,'TaxCred&amp;Subs'!$D$139:$D$151,0),MATCH($H154,'TaxCred&amp;Subs'!$K$137:$S$137,0)),0),N154*IFERROR(INDEX('TaxCred&amp;Subs'!$K$139:$S$151,MATCH($C154&amp;$D154,'TaxCred&amp;Subs'!$C$139:$C$151,0),MATCH($H154,'TaxCred&amp;Subs'!$K$137:$S$137,0)),0))),0),0)</f>
        <v>0</v>
      </c>
      <c r="S154" s="95">
        <f t="array" ref="S154">ROUND(IF(IFERROR(VALUE(RIGHT($AD154,1)),0)&gt;2,IF($C154=8,O154*IFERROR(INDEX('TaxCred&amp;Subs'!$K$139:$S$151,MATCH($C154&amp;$D154&amp;LEFT($AD154,7),'TaxCred&amp;Subs'!$E$139:$E$151,0),MATCH($H154,'TaxCred&amp;Subs'!$K$137:$S$137,0)),0),IF($C154=2,O154*IFERROR(INDEX('TaxCred&amp;Subs'!$K$139:$S$151,MATCH($C154&amp;$D154,'TaxCred&amp;Subs'!$D$139:$D$151,0),MATCH($H154,'TaxCred&amp;Subs'!$K$137:$S$137,0)),0),O154*IFERROR(INDEX('TaxCred&amp;Subs'!$K$139:$S$151,MATCH($C154&amp;$D154,'TaxCred&amp;Subs'!$C$139:$C$151,0),MATCH($H154,'TaxCred&amp;Subs'!$K$137:$S$137,0)),0))),0),0)</f>
        <v>0</v>
      </c>
      <c r="T154" s="95">
        <f t="shared" si="8"/>
        <v>0</v>
      </c>
      <c r="U154" s="95">
        <f t="shared" si="9"/>
        <v>0</v>
      </c>
      <c r="V154" s="28" t="s">
        <v>222</v>
      </c>
      <c r="W154" s="31">
        <v>2020</v>
      </c>
      <c r="X154" s="28">
        <v>1</v>
      </c>
      <c r="Y154" s="28">
        <v>0</v>
      </c>
      <c r="Z154" s="196">
        <v>-2.1453721591526507E-4</v>
      </c>
      <c r="AA154" s="196">
        <v>-3.3005725525425394E-3</v>
      </c>
      <c r="AB154" s="28">
        <v>0</v>
      </c>
      <c r="AC154" s="28">
        <v>0</v>
      </c>
      <c r="AD154" s="28" t="s">
        <v>201</v>
      </c>
    </row>
    <row r="155" spans="2:30" ht="14.25" customHeight="1" x14ac:dyDescent="0.2">
      <c r="B155" s="7">
        <f t="shared" ref="B155:B218" si="10">B154+1</f>
        <v>131</v>
      </c>
      <c r="C155" s="28">
        <v>1</v>
      </c>
      <c r="D155" s="28">
        <v>4</v>
      </c>
      <c r="E155" s="28">
        <v>12</v>
      </c>
      <c r="F155" s="96">
        <v>2020</v>
      </c>
      <c r="G155" s="28">
        <v>2050</v>
      </c>
      <c r="H155" s="28">
        <v>8</v>
      </c>
      <c r="I155" s="28">
        <v>12</v>
      </c>
      <c r="J155" s="28">
        <v>0</v>
      </c>
      <c r="K155" s="28">
        <v>0</v>
      </c>
      <c r="L155" s="28">
        <v>0</v>
      </c>
      <c r="M155" s="75">
        <v>0.9</v>
      </c>
      <c r="N155" s="151">
        <v>6700</v>
      </c>
      <c r="O155" s="151">
        <v>2440</v>
      </c>
      <c r="P155" s="95">
        <f t="array" ref="P155">ROUND(IF($F155&lt;='TaxCred&amp;Subs'!$C$49,(IF($C155=2,IF($M155&gt;=IFERROR(INDEX('TaxCred&amp;Subs'!$L$12:$L$47,MATCH(1,($C155&amp;$D155='TaxCred&amp;Subs'!$E$12:$E$47)*($F155='TaxCred&amp;Subs'!$C$12:$C$47),0)
),9999),IFERROR(INDEX('TaxCred&amp;Subs'!$N$12:$N$47,MATCH(1,($C155&amp;$D155='TaxCred&amp;Subs'!$E$12:$E$47)*($F155='TaxCred&amp;Subs'!$C$12:$C$47),0)
),0),0),(IF($M155&gt;=IFERROR(INDEX('TaxCred&amp;Subs'!$H$12:$H$47,MATCH(1,($C155&amp;$D155='TaxCred&amp;Subs'!$D$12:$D$47)*($F155='TaxCred&amp;Subs'!$C$12:$C$47),0)
),9999),IFERROR(INDEX('TaxCred&amp;Subs'!$N$12:$N$47,MATCH(1,($C155&amp;$D155='TaxCred&amp;Subs'!$D$12:$D$47)*($F155='TaxCred&amp;Subs'!$C$12:$C$47),0)
),0),0)))),0)+IF(AND($C155=2,VALUE(RIGHT($AD155,1))&gt;2),(N155-R155)*(IFERROR(INDEX('TaxCred&amp;Subs'!$J$66:$J$99,MATCH(1,($C155&amp;$D155='TaxCred&amp;Subs'!$E$66:$E$99)*($F155='TaxCred&amp;Subs'!$C$66:$C$99),0)),0)),IF(AND($C155=1,VALUE(RIGHT($AD155,1))&gt;2),(N155-R155)*(IFERROR(INDEX('TaxCred&amp;Subs'!$J$66:$J$99,MATCH(1,($C155&amp;$D155='TaxCred&amp;Subs'!$D$66:$D$99)*($F155='TaxCred&amp;Subs'!$C$66:$C$99),0)),0)),IF($C155&gt;2,(N155-R155)*(IFERROR(INDEX('TaxCred&amp;Subs'!$J$66:$J$99,MATCH(1,($C155&amp;$D155='TaxCred&amp;Subs'!$D$66:$D$99)*($F155='TaxCred&amp;Subs'!$C$66:$C$99),0)),0)),0))),0)</f>
        <v>0</v>
      </c>
      <c r="Q155" s="95">
        <f t="array" ref="Q155">ROUND(IF(AND($C155=2,VALUE(RIGHT($AD155,1))&gt;2),(O155-S155)*(IFERROR(INDEX('TaxCred&amp;Subs'!$J$66:$J$99,MATCH(1,($C155&amp;$D155='TaxCred&amp;Subs'!$E$66:$E$99)*($F155='TaxCred&amp;Subs'!$C$66:$C$99),0)),0)),IF(AND($C155=1,VALUE(RIGHT($AD155,1))&gt;2),(O155-S155)*(IFERROR(INDEX('TaxCred&amp;Subs'!$J$66:$J$99,MATCH(1,($C155&amp;$D155='TaxCred&amp;Subs'!$D$66:$D$99)*($F155='TaxCred&amp;Subs'!$C$66:$C$99),0)),0)),IF($C155&gt;2,(O155-S155)*(IFERROR(INDEX('TaxCred&amp;Subs'!$J$66:$J$99,MATCH(1,($C155&amp;$D155='TaxCred&amp;Subs'!$D$66:$D$99)*($F155='TaxCred&amp;Subs'!$C$66:$C$99),0)),0)),0))),0)</f>
        <v>0</v>
      </c>
      <c r="R155" s="95">
        <f t="array" ref="R155">ROUND(IF(IFERROR(VALUE(RIGHT($AD155,1)),0)&gt;2,IF($C155=8,N155*IFERROR(INDEX('TaxCred&amp;Subs'!$K$139:$S$151,MATCH($C155&amp;$D155&amp;LEFT($AD155,7),'TaxCred&amp;Subs'!$E$139:$E$151,0),MATCH($H155,'TaxCred&amp;Subs'!$K$137:$S$137,0)),0),IF($C155=2,N155*IFERROR(INDEX('TaxCred&amp;Subs'!$K$139:$S$151,MATCH($C155&amp;$D155,'TaxCred&amp;Subs'!$D$139:$D$151,0),MATCH($H155,'TaxCred&amp;Subs'!$K$137:$S$137,0)),0),N155*IFERROR(INDEX('TaxCred&amp;Subs'!$K$139:$S$151,MATCH($C155&amp;$D155,'TaxCred&amp;Subs'!$C$139:$C$151,0),MATCH($H155,'TaxCred&amp;Subs'!$K$137:$S$137,0)),0))),0),0)</f>
        <v>261</v>
      </c>
      <c r="S155" s="95">
        <f t="array" ref="S155">ROUND(IF(IFERROR(VALUE(RIGHT($AD155,1)),0)&gt;2,IF($C155=8,O155*IFERROR(INDEX('TaxCred&amp;Subs'!$K$139:$S$151,MATCH($C155&amp;$D155&amp;LEFT($AD155,7),'TaxCred&amp;Subs'!$E$139:$E$151,0),MATCH($H155,'TaxCred&amp;Subs'!$K$137:$S$137,0)),0),IF($C155=2,O155*IFERROR(INDEX('TaxCred&amp;Subs'!$K$139:$S$151,MATCH($C155&amp;$D155,'TaxCred&amp;Subs'!$D$139:$D$151,0),MATCH($H155,'TaxCred&amp;Subs'!$K$137:$S$137,0)),0),O155*IFERROR(INDEX('TaxCred&amp;Subs'!$K$139:$S$151,MATCH($C155&amp;$D155,'TaxCred&amp;Subs'!$C$139:$C$151,0),MATCH($H155,'TaxCred&amp;Subs'!$K$137:$S$137,0)),0))),0),0)</f>
        <v>95</v>
      </c>
      <c r="T155" s="95">
        <f t="shared" si="8"/>
        <v>0</v>
      </c>
      <c r="U155" s="95">
        <f t="shared" si="9"/>
        <v>0</v>
      </c>
      <c r="V155" s="28" t="s">
        <v>222</v>
      </c>
      <c r="W155" s="31">
        <v>2020</v>
      </c>
      <c r="X155" s="28">
        <v>1</v>
      </c>
      <c r="Y155" s="28">
        <v>0</v>
      </c>
      <c r="Z155" s="196">
        <v>-2.1453721591526507E-4</v>
      </c>
      <c r="AA155" s="196">
        <v>-3.3005725525425394E-3</v>
      </c>
      <c r="AB155" s="28">
        <v>0</v>
      </c>
      <c r="AC155" s="28">
        <v>0</v>
      </c>
      <c r="AD155" s="28" t="s">
        <v>201</v>
      </c>
    </row>
    <row r="156" spans="2:30" ht="14.25" customHeight="1" x14ac:dyDescent="0.2">
      <c r="B156" s="7">
        <f t="shared" si="10"/>
        <v>132</v>
      </c>
      <c r="C156" s="28">
        <v>1</v>
      </c>
      <c r="D156" s="28">
        <v>4</v>
      </c>
      <c r="E156" s="28">
        <v>12</v>
      </c>
      <c r="F156" s="96">
        <v>2020</v>
      </c>
      <c r="G156" s="28">
        <v>2050</v>
      </c>
      <c r="H156" s="28">
        <v>9</v>
      </c>
      <c r="I156" s="28">
        <v>12</v>
      </c>
      <c r="J156" s="28">
        <v>0</v>
      </c>
      <c r="K156" s="28">
        <v>0</v>
      </c>
      <c r="L156" s="28">
        <v>0</v>
      </c>
      <c r="M156" s="75">
        <v>0.9</v>
      </c>
      <c r="N156" s="151">
        <v>6700</v>
      </c>
      <c r="O156" s="151">
        <v>2440</v>
      </c>
      <c r="P156" s="95">
        <f t="array" ref="P156">ROUND(IF($F156&lt;='TaxCred&amp;Subs'!$C$49,(IF($C156=2,IF($M156&gt;=IFERROR(INDEX('TaxCred&amp;Subs'!$L$12:$L$47,MATCH(1,($C156&amp;$D156='TaxCred&amp;Subs'!$E$12:$E$47)*($F156='TaxCred&amp;Subs'!$C$12:$C$47),0)
),9999),IFERROR(INDEX('TaxCred&amp;Subs'!$N$12:$N$47,MATCH(1,($C156&amp;$D156='TaxCred&amp;Subs'!$E$12:$E$47)*($F156='TaxCred&amp;Subs'!$C$12:$C$47),0)
),0),0),(IF($M156&gt;=IFERROR(INDEX('TaxCred&amp;Subs'!$H$12:$H$47,MATCH(1,($C156&amp;$D156='TaxCred&amp;Subs'!$D$12:$D$47)*($F156='TaxCred&amp;Subs'!$C$12:$C$47),0)
),9999),IFERROR(INDEX('TaxCred&amp;Subs'!$N$12:$N$47,MATCH(1,($C156&amp;$D156='TaxCred&amp;Subs'!$D$12:$D$47)*($F156='TaxCred&amp;Subs'!$C$12:$C$47),0)
),0),0)))),0)+IF(AND($C156=2,VALUE(RIGHT($AD156,1))&gt;2),(N156-R156)*(IFERROR(INDEX('TaxCred&amp;Subs'!$J$66:$J$99,MATCH(1,($C156&amp;$D156='TaxCred&amp;Subs'!$E$66:$E$99)*($F156='TaxCred&amp;Subs'!$C$66:$C$99),0)),0)),IF(AND($C156=1,VALUE(RIGHT($AD156,1))&gt;2),(N156-R156)*(IFERROR(INDEX('TaxCred&amp;Subs'!$J$66:$J$99,MATCH(1,($C156&amp;$D156='TaxCred&amp;Subs'!$D$66:$D$99)*($F156='TaxCred&amp;Subs'!$C$66:$C$99),0)),0)),IF($C156&gt;2,(N156-R156)*(IFERROR(INDEX('TaxCred&amp;Subs'!$J$66:$J$99,MATCH(1,($C156&amp;$D156='TaxCred&amp;Subs'!$D$66:$D$99)*($F156='TaxCred&amp;Subs'!$C$66:$C$99),0)),0)),0))),0)</f>
        <v>0</v>
      </c>
      <c r="Q156" s="95">
        <f t="array" ref="Q156">ROUND(IF(AND($C156=2,VALUE(RIGHT($AD156,1))&gt;2),(O156-S156)*(IFERROR(INDEX('TaxCred&amp;Subs'!$J$66:$J$99,MATCH(1,($C156&amp;$D156='TaxCred&amp;Subs'!$E$66:$E$99)*($F156='TaxCred&amp;Subs'!$C$66:$C$99),0)),0)),IF(AND($C156=1,VALUE(RIGHT($AD156,1))&gt;2),(O156-S156)*(IFERROR(INDEX('TaxCred&amp;Subs'!$J$66:$J$99,MATCH(1,($C156&amp;$D156='TaxCred&amp;Subs'!$D$66:$D$99)*($F156='TaxCred&amp;Subs'!$C$66:$C$99),0)),0)),IF($C156&gt;2,(O156-S156)*(IFERROR(INDEX('TaxCred&amp;Subs'!$J$66:$J$99,MATCH(1,($C156&amp;$D156='TaxCred&amp;Subs'!$D$66:$D$99)*($F156='TaxCred&amp;Subs'!$C$66:$C$99),0)),0)),0))),0)</f>
        <v>0</v>
      </c>
      <c r="R156" s="95">
        <f t="array" ref="R156">ROUND(IF(IFERROR(VALUE(RIGHT($AD156,1)),0)&gt;2,IF($C156=8,N156*IFERROR(INDEX('TaxCred&amp;Subs'!$K$139:$S$151,MATCH($C156&amp;$D156&amp;LEFT($AD156,7),'TaxCred&amp;Subs'!$E$139:$E$151,0),MATCH($H156,'TaxCred&amp;Subs'!$K$137:$S$137,0)),0),IF($C156=2,N156*IFERROR(INDEX('TaxCred&amp;Subs'!$K$139:$S$151,MATCH($C156&amp;$D156,'TaxCred&amp;Subs'!$D$139:$D$151,0),MATCH($H156,'TaxCred&amp;Subs'!$K$137:$S$137,0)),0),N156*IFERROR(INDEX('TaxCred&amp;Subs'!$K$139:$S$151,MATCH($C156&amp;$D156,'TaxCred&amp;Subs'!$C$139:$C$151,0),MATCH($H156,'TaxCred&amp;Subs'!$K$137:$S$137,0)),0))),0),0)</f>
        <v>75</v>
      </c>
      <c r="S156" s="95">
        <f t="array" ref="S156">ROUND(IF(IFERROR(VALUE(RIGHT($AD156,1)),0)&gt;2,IF($C156=8,O156*IFERROR(INDEX('TaxCred&amp;Subs'!$K$139:$S$151,MATCH($C156&amp;$D156&amp;LEFT($AD156,7),'TaxCred&amp;Subs'!$E$139:$E$151,0),MATCH($H156,'TaxCred&amp;Subs'!$K$137:$S$137,0)),0),IF($C156=2,O156*IFERROR(INDEX('TaxCred&amp;Subs'!$K$139:$S$151,MATCH($C156&amp;$D156,'TaxCred&amp;Subs'!$D$139:$D$151,0),MATCH($H156,'TaxCred&amp;Subs'!$K$137:$S$137,0)),0),O156*IFERROR(INDEX('TaxCred&amp;Subs'!$K$139:$S$151,MATCH($C156&amp;$D156,'TaxCred&amp;Subs'!$C$139:$C$151,0),MATCH($H156,'TaxCred&amp;Subs'!$K$137:$S$137,0)),0))),0),0)</f>
        <v>27</v>
      </c>
      <c r="T156" s="172">
        <f t="shared" ref="T156:T214" si="11">IF($H156=9,IF(R156&gt;0,(N156-P156)*0.15,0),0)</f>
        <v>1005</v>
      </c>
      <c r="U156" s="172">
        <f t="shared" ref="U156:U214" si="12">IF($H156=9,IF(S156&gt;0,(O156-Q156)*0.15,0),0)</f>
        <v>366</v>
      </c>
      <c r="V156" s="28" t="s">
        <v>222</v>
      </c>
      <c r="W156" s="31">
        <v>2020</v>
      </c>
      <c r="X156" s="28">
        <v>1</v>
      </c>
      <c r="Y156" s="28">
        <v>0</v>
      </c>
      <c r="Z156" s="196">
        <v>-2.1453721591526507E-4</v>
      </c>
      <c r="AA156" s="196">
        <v>-3.3005725525425394E-3</v>
      </c>
      <c r="AB156" s="28">
        <v>0</v>
      </c>
      <c r="AC156" s="28">
        <v>0</v>
      </c>
      <c r="AD156" s="28" t="s">
        <v>201</v>
      </c>
    </row>
    <row r="157" spans="2:30" x14ac:dyDescent="0.2">
      <c r="B157" s="7">
        <f t="shared" si="10"/>
        <v>133</v>
      </c>
      <c r="C157" s="28">
        <v>1</v>
      </c>
      <c r="D157" s="28">
        <v>4</v>
      </c>
      <c r="E157" s="28">
        <v>13</v>
      </c>
      <c r="F157" s="96">
        <v>2020</v>
      </c>
      <c r="G157" s="28">
        <v>2021</v>
      </c>
      <c r="H157" s="28">
        <v>1</v>
      </c>
      <c r="I157" s="28">
        <v>13</v>
      </c>
      <c r="J157" s="28">
        <v>0</v>
      </c>
      <c r="K157" s="28">
        <v>0</v>
      </c>
      <c r="L157" s="28">
        <v>0</v>
      </c>
      <c r="M157" s="156">
        <v>0.96</v>
      </c>
      <c r="N157" s="151">
        <v>6710</v>
      </c>
      <c r="O157" s="151">
        <v>3670</v>
      </c>
      <c r="P157" s="95">
        <f t="array" ref="P157">ROUND(IF($F157&lt;='TaxCred&amp;Subs'!$C$49,(IF($C157=2,IF($M157&gt;=IFERROR(INDEX('TaxCred&amp;Subs'!$L$12:$L$47,MATCH(1,($C157&amp;$D157='TaxCred&amp;Subs'!$E$12:$E$47)*($F157='TaxCred&amp;Subs'!$C$12:$C$47),0)
),9999),IFERROR(INDEX('TaxCred&amp;Subs'!$N$12:$N$47,MATCH(1,($C157&amp;$D157='TaxCred&amp;Subs'!$E$12:$E$47)*($F157='TaxCred&amp;Subs'!$C$12:$C$47),0)
),0),0),(IF($M157&gt;=IFERROR(INDEX('TaxCred&amp;Subs'!$H$12:$H$47,MATCH(1,($C157&amp;$D157='TaxCred&amp;Subs'!$D$12:$D$47)*($F157='TaxCred&amp;Subs'!$C$12:$C$47),0)
),9999),IFERROR(INDEX('TaxCred&amp;Subs'!$N$12:$N$47,MATCH(1,($C157&amp;$D157='TaxCred&amp;Subs'!$D$12:$D$47)*($F157='TaxCred&amp;Subs'!$C$12:$C$47),0)
),0),0)))),0)+IF(AND($C157=2,VALUE(RIGHT($AD157,1))&gt;2),(N157-R157)*(IFERROR(INDEX('TaxCred&amp;Subs'!$J$66:$J$99,MATCH(1,($C157&amp;$D157='TaxCred&amp;Subs'!$E$66:$E$99)*($F157='TaxCred&amp;Subs'!$C$66:$C$99),0)),0)),IF(AND($C157=1,VALUE(RIGHT($AD157,1))&gt;2),(N157-R157)*(IFERROR(INDEX('TaxCred&amp;Subs'!$J$66:$J$99,MATCH(1,($C157&amp;$D157='TaxCred&amp;Subs'!$D$66:$D$99)*($F157='TaxCred&amp;Subs'!$C$66:$C$99),0)),0)),IF($C157&gt;2,(N157-R157)*(IFERROR(INDEX('TaxCred&amp;Subs'!$J$66:$J$99,MATCH(1,($C157&amp;$D157='TaxCred&amp;Subs'!$D$66:$D$99)*($F157='TaxCred&amp;Subs'!$C$66:$C$99),0)),0)),0))),0)</f>
        <v>150</v>
      </c>
      <c r="Q157" s="95">
        <f t="array" ref="Q157">ROUND(IF(AND($C157=2,VALUE(RIGHT($AD157,1))&gt;2),(O157-S157)*(IFERROR(INDEX('TaxCred&amp;Subs'!$J$66:$J$99,MATCH(1,($C157&amp;$D157='TaxCred&amp;Subs'!$E$66:$E$99)*($F157='TaxCred&amp;Subs'!$C$66:$C$99),0)),0)),IF(AND($C157=1,VALUE(RIGHT($AD157,1))&gt;2),(O157-S157)*(IFERROR(INDEX('TaxCred&amp;Subs'!$J$66:$J$99,MATCH(1,($C157&amp;$D157='TaxCred&amp;Subs'!$D$66:$D$99)*($F157='TaxCred&amp;Subs'!$C$66:$C$99),0)),0)),IF($C157&gt;2,(O157-S157)*(IFERROR(INDEX('TaxCred&amp;Subs'!$J$66:$J$99,MATCH(1,($C157&amp;$D157='TaxCred&amp;Subs'!$D$66:$D$99)*($F157='TaxCred&amp;Subs'!$C$66:$C$99),0)),0)),0))),0)</f>
        <v>0</v>
      </c>
      <c r="R157" s="95">
        <f t="array" ref="R157">ROUND(IF(IFERROR(VALUE(RIGHT($AD157,1)),0)&gt;2,IF($C157=8,N157*IFERROR(INDEX('TaxCred&amp;Subs'!$K$139:$S$151,MATCH($C157&amp;$D157&amp;LEFT($AD157,7),'TaxCred&amp;Subs'!$E$139:$E$151,0),MATCH($H157,'TaxCred&amp;Subs'!$K$137:$S$137,0)),0),IF($C157=2,N157*IFERROR(INDEX('TaxCred&amp;Subs'!$K$139:$S$151,MATCH($C157&amp;$D157,'TaxCred&amp;Subs'!$D$139:$D$151,0),MATCH($H157,'TaxCred&amp;Subs'!$K$137:$S$137,0)),0),N157*IFERROR(INDEX('TaxCred&amp;Subs'!$K$139:$S$151,MATCH($C157&amp;$D157,'TaxCred&amp;Subs'!$C$139:$C$151,0),MATCH($H157,'TaxCred&amp;Subs'!$K$137:$S$137,0)),0))),0),0)</f>
        <v>896</v>
      </c>
      <c r="S157" s="95">
        <f t="array" ref="S157">ROUND(IF(IFERROR(VALUE(RIGHT($AD157,1)),0)&gt;2,IF($C157=8,O157*IFERROR(INDEX('TaxCred&amp;Subs'!$K$139:$S$151,MATCH($C157&amp;$D157&amp;LEFT($AD157,7),'TaxCred&amp;Subs'!$E$139:$E$151,0),MATCH($H157,'TaxCred&amp;Subs'!$K$137:$S$137,0)),0),IF($C157=2,O157*IFERROR(INDEX('TaxCred&amp;Subs'!$K$139:$S$151,MATCH($C157&amp;$D157,'TaxCred&amp;Subs'!$D$139:$D$151,0),MATCH($H157,'TaxCred&amp;Subs'!$K$137:$S$137,0)),0),O157*IFERROR(INDEX('TaxCred&amp;Subs'!$K$139:$S$151,MATCH($C157&amp;$D157,'TaxCred&amp;Subs'!$C$139:$C$151,0),MATCH($H157,'TaxCred&amp;Subs'!$K$137:$S$137,0)),0))),0),0)</f>
        <v>490</v>
      </c>
      <c r="T157" s="95">
        <f t="shared" si="11"/>
        <v>0</v>
      </c>
      <c r="U157" s="95">
        <f t="shared" si="12"/>
        <v>0</v>
      </c>
      <c r="V157" s="28" t="s">
        <v>222</v>
      </c>
      <c r="W157" s="31">
        <v>2020</v>
      </c>
      <c r="X157" s="28">
        <v>1</v>
      </c>
      <c r="Y157" s="28">
        <v>0</v>
      </c>
      <c r="Z157" s="196">
        <v>-2.1453721591526507E-4</v>
      </c>
      <c r="AA157" s="196">
        <v>-3.3005725525425394E-3</v>
      </c>
      <c r="AB157" s="28">
        <v>0</v>
      </c>
      <c r="AC157" s="28">
        <v>0</v>
      </c>
      <c r="AD157" s="28" t="s">
        <v>327</v>
      </c>
    </row>
    <row r="158" spans="2:30" ht="14.25" customHeight="1" x14ac:dyDescent="0.2">
      <c r="B158" s="7">
        <f t="shared" si="10"/>
        <v>134</v>
      </c>
      <c r="C158" s="28">
        <v>1</v>
      </c>
      <c r="D158" s="28">
        <v>4</v>
      </c>
      <c r="E158" s="28">
        <v>13</v>
      </c>
      <c r="F158" s="96">
        <v>2020</v>
      </c>
      <c r="G158" s="28">
        <v>2021</v>
      </c>
      <c r="H158" s="28">
        <v>2</v>
      </c>
      <c r="I158" s="28">
        <v>13</v>
      </c>
      <c r="J158" s="28">
        <v>0</v>
      </c>
      <c r="K158" s="28">
        <v>0</v>
      </c>
      <c r="L158" s="28">
        <v>0</v>
      </c>
      <c r="M158" s="156">
        <v>0.96</v>
      </c>
      <c r="N158" s="151">
        <v>6710</v>
      </c>
      <c r="O158" s="151">
        <v>3670</v>
      </c>
      <c r="P158" s="95">
        <f t="array" ref="P158">ROUND(IF($F158&lt;='TaxCred&amp;Subs'!$C$49,(IF($C158=2,IF($M158&gt;=IFERROR(INDEX('TaxCred&amp;Subs'!$L$12:$L$47,MATCH(1,($C158&amp;$D158='TaxCred&amp;Subs'!$E$12:$E$47)*($F158='TaxCred&amp;Subs'!$C$12:$C$47),0)
),9999),IFERROR(INDEX('TaxCred&amp;Subs'!$N$12:$N$47,MATCH(1,($C158&amp;$D158='TaxCred&amp;Subs'!$E$12:$E$47)*($F158='TaxCred&amp;Subs'!$C$12:$C$47),0)
),0),0),(IF($M158&gt;=IFERROR(INDEX('TaxCred&amp;Subs'!$H$12:$H$47,MATCH(1,($C158&amp;$D158='TaxCred&amp;Subs'!$D$12:$D$47)*($F158='TaxCred&amp;Subs'!$C$12:$C$47),0)
),9999),IFERROR(INDEX('TaxCred&amp;Subs'!$N$12:$N$47,MATCH(1,($C158&amp;$D158='TaxCred&amp;Subs'!$D$12:$D$47)*($F158='TaxCred&amp;Subs'!$C$12:$C$47),0)
),0),0)))),0)+IF(AND($C158=2,VALUE(RIGHT($AD158,1))&gt;2),(N158-R158)*(IFERROR(INDEX('TaxCred&amp;Subs'!$J$66:$J$99,MATCH(1,($C158&amp;$D158='TaxCred&amp;Subs'!$E$66:$E$99)*($F158='TaxCred&amp;Subs'!$C$66:$C$99),0)),0)),IF(AND($C158=1,VALUE(RIGHT($AD158,1))&gt;2),(N158-R158)*(IFERROR(INDEX('TaxCred&amp;Subs'!$J$66:$J$99,MATCH(1,($C158&amp;$D158='TaxCred&amp;Subs'!$D$66:$D$99)*($F158='TaxCred&amp;Subs'!$C$66:$C$99),0)),0)),IF($C158&gt;2,(N158-R158)*(IFERROR(INDEX('TaxCred&amp;Subs'!$J$66:$J$99,MATCH(1,($C158&amp;$D158='TaxCred&amp;Subs'!$D$66:$D$99)*($F158='TaxCred&amp;Subs'!$C$66:$C$99),0)),0)),0))),0)</f>
        <v>150</v>
      </c>
      <c r="Q158" s="95">
        <f t="array" ref="Q158">ROUND(IF(AND($C158=2,VALUE(RIGHT($AD158,1))&gt;2),(O158-S158)*(IFERROR(INDEX('TaxCred&amp;Subs'!$J$66:$J$99,MATCH(1,($C158&amp;$D158='TaxCred&amp;Subs'!$E$66:$E$99)*($F158='TaxCred&amp;Subs'!$C$66:$C$99),0)),0)),IF(AND($C158=1,VALUE(RIGHT($AD158,1))&gt;2),(O158-S158)*(IFERROR(INDEX('TaxCred&amp;Subs'!$J$66:$J$99,MATCH(1,($C158&amp;$D158='TaxCred&amp;Subs'!$D$66:$D$99)*($F158='TaxCred&amp;Subs'!$C$66:$C$99),0)),0)),IF($C158&gt;2,(O158-S158)*(IFERROR(INDEX('TaxCred&amp;Subs'!$J$66:$J$99,MATCH(1,($C158&amp;$D158='TaxCred&amp;Subs'!$D$66:$D$99)*($F158='TaxCred&amp;Subs'!$C$66:$C$99),0)),0)),0))),0)</f>
        <v>0</v>
      </c>
      <c r="R158" s="95">
        <f t="array" ref="R158">ROUND(IF(IFERROR(VALUE(RIGHT($AD158,1)),0)&gt;2,IF($C158=8,N158*IFERROR(INDEX('TaxCred&amp;Subs'!$K$139:$S$151,MATCH($C158&amp;$D158&amp;LEFT($AD158,7),'TaxCred&amp;Subs'!$E$139:$E$151,0),MATCH($H158,'TaxCred&amp;Subs'!$K$137:$S$137,0)),0),IF($C158=2,N158*IFERROR(INDEX('TaxCred&amp;Subs'!$K$139:$S$151,MATCH($C158&amp;$D158,'TaxCred&amp;Subs'!$D$139:$D$151,0),MATCH($H158,'TaxCred&amp;Subs'!$K$137:$S$137,0)),0),N158*IFERROR(INDEX('TaxCred&amp;Subs'!$K$139:$S$151,MATCH($C158&amp;$D158,'TaxCred&amp;Subs'!$C$139:$C$151,0),MATCH($H158,'TaxCred&amp;Subs'!$K$137:$S$137,0)),0))),0),0)</f>
        <v>661</v>
      </c>
      <c r="S158" s="95">
        <f t="array" ref="S158">ROUND(IF(IFERROR(VALUE(RIGHT($AD158,1)),0)&gt;2,IF($C158=8,O158*IFERROR(INDEX('TaxCred&amp;Subs'!$K$139:$S$151,MATCH($C158&amp;$D158&amp;LEFT($AD158,7),'TaxCred&amp;Subs'!$E$139:$E$151,0),MATCH($H158,'TaxCred&amp;Subs'!$K$137:$S$137,0)),0),IF($C158=2,O158*IFERROR(INDEX('TaxCred&amp;Subs'!$K$139:$S$151,MATCH($C158&amp;$D158,'TaxCred&amp;Subs'!$D$139:$D$151,0),MATCH($H158,'TaxCred&amp;Subs'!$K$137:$S$137,0)),0),O158*IFERROR(INDEX('TaxCred&amp;Subs'!$K$139:$S$151,MATCH($C158&amp;$D158,'TaxCred&amp;Subs'!$C$139:$C$151,0),MATCH($H158,'TaxCred&amp;Subs'!$K$137:$S$137,0)),0))),0),0)</f>
        <v>362</v>
      </c>
      <c r="T158" s="95">
        <f t="shared" si="11"/>
        <v>0</v>
      </c>
      <c r="U158" s="95">
        <f t="shared" si="12"/>
        <v>0</v>
      </c>
      <c r="V158" s="28" t="s">
        <v>222</v>
      </c>
      <c r="W158" s="31">
        <v>2020</v>
      </c>
      <c r="X158" s="28">
        <v>1</v>
      </c>
      <c r="Y158" s="28">
        <v>0</v>
      </c>
      <c r="Z158" s="196">
        <v>-2.1453721591526507E-4</v>
      </c>
      <c r="AA158" s="196">
        <v>-3.3005725525425394E-3</v>
      </c>
      <c r="AB158" s="28">
        <v>0</v>
      </c>
      <c r="AC158" s="28">
        <v>0</v>
      </c>
      <c r="AD158" s="28" t="s">
        <v>327</v>
      </c>
    </row>
    <row r="159" spans="2:30" ht="14.25" customHeight="1" x14ac:dyDescent="0.2">
      <c r="B159" s="7">
        <f t="shared" si="10"/>
        <v>135</v>
      </c>
      <c r="C159" s="28">
        <v>1</v>
      </c>
      <c r="D159" s="28">
        <v>4</v>
      </c>
      <c r="E159" s="28">
        <v>13</v>
      </c>
      <c r="F159" s="96">
        <v>2020</v>
      </c>
      <c r="G159" s="28">
        <v>2021</v>
      </c>
      <c r="H159" s="28">
        <v>3</v>
      </c>
      <c r="I159" s="28">
        <v>13</v>
      </c>
      <c r="J159" s="28">
        <v>0</v>
      </c>
      <c r="K159" s="28">
        <v>0</v>
      </c>
      <c r="L159" s="28">
        <v>0</v>
      </c>
      <c r="M159" s="156">
        <v>0.96</v>
      </c>
      <c r="N159" s="151">
        <v>6710</v>
      </c>
      <c r="O159" s="151">
        <v>3670</v>
      </c>
      <c r="P159" s="95">
        <f t="array" ref="P159">ROUND(IF($F159&lt;='TaxCred&amp;Subs'!$C$49,(IF($C159=2,IF($M159&gt;=IFERROR(INDEX('TaxCred&amp;Subs'!$L$12:$L$47,MATCH(1,($C159&amp;$D159='TaxCred&amp;Subs'!$E$12:$E$47)*($F159='TaxCred&amp;Subs'!$C$12:$C$47),0)
),9999),IFERROR(INDEX('TaxCred&amp;Subs'!$N$12:$N$47,MATCH(1,($C159&amp;$D159='TaxCred&amp;Subs'!$E$12:$E$47)*($F159='TaxCred&amp;Subs'!$C$12:$C$47),0)
),0),0),(IF($M159&gt;=IFERROR(INDEX('TaxCred&amp;Subs'!$H$12:$H$47,MATCH(1,($C159&amp;$D159='TaxCred&amp;Subs'!$D$12:$D$47)*($F159='TaxCred&amp;Subs'!$C$12:$C$47),0)
),9999),IFERROR(INDEX('TaxCred&amp;Subs'!$N$12:$N$47,MATCH(1,($C159&amp;$D159='TaxCred&amp;Subs'!$D$12:$D$47)*($F159='TaxCred&amp;Subs'!$C$12:$C$47),0)
),0),0)))),0)+IF(AND($C159=2,VALUE(RIGHT($AD159,1))&gt;2),(N159-R159)*(IFERROR(INDEX('TaxCred&amp;Subs'!$J$66:$J$99,MATCH(1,($C159&amp;$D159='TaxCred&amp;Subs'!$E$66:$E$99)*($F159='TaxCred&amp;Subs'!$C$66:$C$99),0)),0)),IF(AND($C159=1,VALUE(RIGHT($AD159,1))&gt;2),(N159-R159)*(IFERROR(INDEX('TaxCred&amp;Subs'!$J$66:$J$99,MATCH(1,($C159&amp;$D159='TaxCred&amp;Subs'!$D$66:$D$99)*($F159='TaxCred&amp;Subs'!$C$66:$C$99),0)),0)),IF($C159&gt;2,(N159-R159)*(IFERROR(INDEX('TaxCred&amp;Subs'!$J$66:$J$99,MATCH(1,($C159&amp;$D159='TaxCred&amp;Subs'!$D$66:$D$99)*($F159='TaxCred&amp;Subs'!$C$66:$C$99),0)),0)),0))),0)</f>
        <v>150</v>
      </c>
      <c r="Q159" s="95">
        <f t="array" ref="Q159">ROUND(IF(AND($C159=2,VALUE(RIGHT($AD159,1))&gt;2),(O159-S159)*(IFERROR(INDEX('TaxCred&amp;Subs'!$J$66:$J$99,MATCH(1,($C159&amp;$D159='TaxCred&amp;Subs'!$E$66:$E$99)*($F159='TaxCred&amp;Subs'!$C$66:$C$99),0)),0)),IF(AND($C159=1,VALUE(RIGHT($AD159,1))&gt;2),(O159-S159)*(IFERROR(INDEX('TaxCred&amp;Subs'!$J$66:$J$99,MATCH(1,($C159&amp;$D159='TaxCred&amp;Subs'!$D$66:$D$99)*($F159='TaxCred&amp;Subs'!$C$66:$C$99),0)),0)),IF($C159&gt;2,(O159-S159)*(IFERROR(INDEX('TaxCred&amp;Subs'!$J$66:$J$99,MATCH(1,($C159&amp;$D159='TaxCred&amp;Subs'!$D$66:$D$99)*($F159='TaxCred&amp;Subs'!$C$66:$C$99),0)),0)),0))),0)</f>
        <v>0</v>
      </c>
      <c r="R159" s="95">
        <f t="array" ref="R159">ROUND(IF(IFERROR(VALUE(RIGHT($AD159,1)),0)&gt;2,IF($C159=8,N159*IFERROR(INDEX('TaxCred&amp;Subs'!$K$139:$S$151,MATCH($C159&amp;$D159&amp;LEFT($AD159,7),'TaxCred&amp;Subs'!$E$139:$E$151,0),MATCH($H159,'TaxCred&amp;Subs'!$K$137:$S$137,0)),0),IF($C159=2,N159*IFERROR(INDEX('TaxCred&amp;Subs'!$K$139:$S$151,MATCH($C159&amp;$D159,'TaxCred&amp;Subs'!$D$139:$D$151,0),MATCH($H159,'TaxCred&amp;Subs'!$K$137:$S$137,0)),0),N159*IFERROR(INDEX('TaxCred&amp;Subs'!$K$139:$S$151,MATCH($C159&amp;$D159,'TaxCred&amp;Subs'!$C$139:$C$151,0),MATCH($H159,'TaxCred&amp;Subs'!$K$137:$S$137,0)),0))),0),0)</f>
        <v>300</v>
      </c>
      <c r="S159" s="95">
        <f t="array" ref="S159">ROUND(IF(IFERROR(VALUE(RIGHT($AD159,1)),0)&gt;2,IF($C159=8,O159*IFERROR(INDEX('TaxCred&amp;Subs'!$K$139:$S$151,MATCH($C159&amp;$D159&amp;LEFT($AD159,7),'TaxCred&amp;Subs'!$E$139:$E$151,0),MATCH($H159,'TaxCred&amp;Subs'!$K$137:$S$137,0)),0),IF($C159=2,O159*IFERROR(INDEX('TaxCred&amp;Subs'!$K$139:$S$151,MATCH($C159&amp;$D159,'TaxCred&amp;Subs'!$D$139:$D$151,0),MATCH($H159,'TaxCred&amp;Subs'!$K$137:$S$137,0)),0),O159*IFERROR(INDEX('TaxCred&amp;Subs'!$K$139:$S$151,MATCH($C159&amp;$D159,'TaxCred&amp;Subs'!$C$139:$C$151,0),MATCH($H159,'TaxCred&amp;Subs'!$K$137:$S$137,0)),0))),0),0)</f>
        <v>164</v>
      </c>
      <c r="T159" s="95">
        <f t="shared" si="11"/>
        <v>0</v>
      </c>
      <c r="U159" s="95">
        <f t="shared" si="12"/>
        <v>0</v>
      </c>
      <c r="V159" s="28" t="s">
        <v>222</v>
      </c>
      <c r="W159" s="31">
        <v>2020</v>
      </c>
      <c r="X159" s="28">
        <v>1</v>
      </c>
      <c r="Y159" s="28">
        <v>0</v>
      </c>
      <c r="Z159" s="196">
        <v>-2.1453721591526507E-4</v>
      </c>
      <c r="AA159" s="196">
        <v>-3.3005725525425394E-3</v>
      </c>
      <c r="AB159" s="28">
        <v>0</v>
      </c>
      <c r="AC159" s="28">
        <v>0</v>
      </c>
      <c r="AD159" s="28" t="s">
        <v>327</v>
      </c>
    </row>
    <row r="160" spans="2:30" ht="14.25" customHeight="1" x14ac:dyDescent="0.2">
      <c r="B160" s="7">
        <f t="shared" si="10"/>
        <v>136</v>
      </c>
      <c r="C160" s="28">
        <v>1</v>
      </c>
      <c r="D160" s="28">
        <v>4</v>
      </c>
      <c r="E160" s="28">
        <v>13</v>
      </c>
      <c r="F160" s="96">
        <v>2020</v>
      </c>
      <c r="G160" s="28">
        <v>2021</v>
      </c>
      <c r="H160" s="28">
        <v>4</v>
      </c>
      <c r="I160" s="28">
        <v>13</v>
      </c>
      <c r="J160" s="28">
        <v>0</v>
      </c>
      <c r="K160" s="28">
        <v>0</v>
      </c>
      <c r="L160" s="28">
        <v>0</v>
      </c>
      <c r="M160" s="156">
        <v>0.96</v>
      </c>
      <c r="N160" s="151">
        <v>6710</v>
      </c>
      <c r="O160" s="151">
        <v>3670</v>
      </c>
      <c r="P160" s="95">
        <f t="array" ref="P160">ROUND(IF($F160&lt;='TaxCred&amp;Subs'!$C$49,(IF($C160=2,IF($M160&gt;=IFERROR(INDEX('TaxCred&amp;Subs'!$L$12:$L$47,MATCH(1,($C160&amp;$D160='TaxCred&amp;Subs'!$E$12:$E$47)*($F160='TaxCred&amp;Subs'!$C$12:$C$47),0)
),9999),IFERROR(INDEX('TaxCred&amp;Subs'!$N$12:$N$47,MATCH(1,($C160&amp;$D160='TaxCred&amp;Subs'!$E$12:$E$47)*($F160='TaxCred&amp;Subs'!$C$12:$C$47),0)
),0),0),(IF($M160&gt;=IFERROR(INDEX('TaxCred&amp;Subs'!$H$12:$H$47,MATCH(1,($C160&amp;$D160='TaxCred&amp;Subs'!$D$12:$D$47)*($F160='TaxCred&amp;Subs'!$C$12:$C$47),0)
),9999),IFERROR(INDEX('TaxCred&amp;Subs'!$N$12:$N$47,MATCH(1,($C160&amp;$D160='TaxCred&amp;Subs'!$D$12:$D$47)*($F160='TaxCred&amp;Subs'!$C$12:$C$47),0)
),0),0)))),0)+IF(AND($C160=2,VALUE(RIGHT($AD160,1))&gt;2),(N160-R160)*(IFERROR(INDEX('TaxCred&amp;Subs'!$J$66:$J$99,MATCH(1,($C160&amp;$D160='TaxCred&amp;Subs'!$E$66:$E$99)*($F160='TaxCred&amp;Subs'!$C$66:$C$99),0)),0)),IF(AND($C160=1,VALUE(RIGHT($AD160,1))&gt;2),(N160-R160)*(IFERROR(INDEX('TaxCred&amp;Subs'!$J$66:$J$99,MATCH(1,($C160&amp;$D160='TaxCred&amp;Subs'!$D$66:$D$99)*($F160='TaxCred&amp;Subs'!$C$66:$C$99),0)),0)),IF($C160&gt;2,(N160-R160)*(IFERROR(INDEX('TaxCred&amp;Subs'!$J$66:$J$99,MATCH(1,($C160&amp;$D160='TaxCred&amp;Subs'!$D$66:$D$99)*($F160='TaxCred&amp;Subs'!$C$66:$C$99),0)),0)),0))),0)</f>
        <v>150</v>
      </c>
      <c r="Q160" s="95">
        <f t="array" ref="Q160">ROUND(IF(AND($C160=2,VALUE(RIGHT($AD160,1))&gt;2),(O160-S160)*(IFERROR(INDEX('TaxCred&amp;Subs'!$J$66:$J$99,MATCH(1,($C160&amp;$D160='TaxCred&amp;Subs'!$E$66:$E$99)*($F160='TaxCred&amp;Subs'!$C$66:$C$99),0)),0)),IF(AND($C160=1,VALUE(RIGHT($AD160,1))&gt;2),(O160-S160)*(IFERROR(INDEX('TaxCred&amp;Subs'!$J$66:$J$99,MATCH(1,($C160&amp;$D160='TaxCred&amp;Subs'!$D$66:$D$99)*($F160='TaxCred&amp;Subs'!$C$66:$C$99),0)),0)),IF($C160&gt;2,(O160-S160)*(IFERROR(INDEX('TaxCred&amp;Subs'!$J$66:$J$99,MATCH(1,($C160&amp;$D160='TaxCred&amp;Subs'!$D$66:$D$99)*($F160='TaxCred&amp;Subs'!$C$66:$C$99),0)),0)),0))),0)</f>
        <v>0</v>
      </c>
      <c r="R160" s="95">
        <f t="array" ref="R160">ROUND(IF(IFERROR(VALUE(RIGHT($AD160,1)),0)&gt;2,IF($C160=8,N160*IFERROR(INDEX('TaxCred&amp;Subs'!$K$139:$S$151,MATCH($C160&amp;$D160&amp;LEFT($AD160,7),'TaxCred&amp;Subs'!$E$139:$E$151,0),MATCH($H160,'TaxCred&amp;Subs'!$K$137:$S$137,0)),0),IF($C160=2,N160*IFERROR(INDEX('TaxCred&amp;Subs'!$K$139:$S$151,MATCH($C160&amp;$D160,'TaxCred&amp;Subs'!$D$139:$D$151,0),MATCH($H160,'TaxCred&amp;Subs'!$K$137:$S$137,0)),0),N160*IFERROR(INDEX('TaxCred&amp;Subs'!$K$139:$S$151,MATCH($C160&amp;$D160,'TaxCred&amp;Subs'!$C$139:$C$151,0),MATCH($H160,'TaxCred&amp;Subs'!$K$137:$S$137,0)),0))),0),0)</f>
        <v>236</v>
      </c>
      <c r="S160" s="95">
        <f t="array" ref="S160">ROUND(IF(IFERROR(VALUE(RIGHT($AD160,1)),0)&gt;2,IF($C160=8,O160*IFERROR(INDEX('TaxCred&amp;Subs'!$K$139:$S$151,MATCH($C160&amp;$D160&amp;LEFT($AD160,7),'TaxCred&amp;Subs'!$E$139:$E$151,0),MATCH($H160,'TaxCred&amp;Subs'!$K$137:$S$137,0)),0),IF($C160=2,O160*IFERROR(INDEX('TaxCred&amp;Subs'!$K$139:$S$151,MATCH($C160&amp;$D160,'TaxCred&amp;Subs'!$D$139:$D$151,0),MATCH($H160,'TaxCred&amp;Subs'!$K$137:$S$137,0)),0),O160*IFERROR(INDEX('TaxCred&amp;Subs'!$K$139:$S$151,MATCH($C160&amp;$D160,'TaxCred&amp;Subs'!$C$139:$C$151,0),MATCH($H160,'TaxCred&amp;Subs'!$K$137:$S$137,0)),0))),0),0)</f>
        <v>129</v>
      </c>
      <c r="T160" s="95">
        <f t="shared" si="11"/>
        <v>0</v>
      </c>
      <c r="U160" s="95">
        <f t="shared" si="12"/>
        <v>0</v>
      </c>
      <c r="V160" s="28" t="s">
        <v>222</v>
      </c>
      <c r="W160" s="31">
        <v>2020</v>
      </c>
      <c r="X160" s="28">
        <v>1</v>
      </c>
      <c r="Y160" s="28">
        <v>0</v>
      </c>
      <c r="Z160" s="196">
        <v>-2.1453721591526507E-4</v>
      </c>
      <c r="AA160" s="196">
        <v>-3.3005725525425394E-3</v>
      </c>
      <c r="AB160" s="28">
        <v>0</v>
      </c>
      <c r="AC160" s="28">
        <v>0</v>
      </c>
      <c r="AD160" s="28" t="s">
        <v>327</v>
      </c>
    </row>
    <row r="161" spans="2:30" ht="14.25" customHeight="1" x14ac:dyDescent="0.2">
      <c r="B161" s="7">
        <f t="shared" si="10"/>
        <v>137</v>
      </c>
      <c r="C161" s="28">
        <v>1</v>
      </c>
      <c r="D161" s="28">
        <v>4</v>
      </c>
      <c r="E161" s="28">
        <v>13</v>
      </c>
      <c r="F161" s="96">
        <v>2020</v>
      </c>
      <c r="G161" s="28">
        <v>2021</v>
      </c>
      <c r="H161" s="28">
        <v>5</v>
      </c>
      <c r="I161" s="28">
        <v>13</v>
      </c>
      <c r="J161" s="28">
        <v>0</v>
      </c>
      <c r="K161" s="28">
        <v>0</v>
      </c>
      <c r="L161" s="28">
        <v>0</v>
      </c>
      <c r="M161" s="156">
        <v>0.96</v>
      </c>
      <c r="N161" s="151">
        <v>6710</v>
      </c>
      <c r="O161" s="151">
        <v>3670</v>
      </c>
      <c r="P161" s="95">
        <f t="array" ref="P161">ROUND(IF($F161&lt;='TaxCred&amp;Subs'!$C$49,(IF($C161=2,IF($M161&gt;=IFERROR(INDEX('TaxCred&amp;Subs'!$L$12:$L$47,MATCH(1,($C161&amp;$D161='TaxCred&amp;Subs'!$E$12:$E$47)*($F161='TaxCred&amp;Subs'!$C$12:$C$47),0)
),9999),IFERROR(INDEX('TaxCred&amp;Subs'!$N$12:$N$47,MATCH(1,($C161&amp;$D161='TaxCred&amp;Subs'!$E$12:$E$47)*($F161='TaxCred&amp;Subs'!$C$12:$C$47),0)
),0),0),(IF($M161&gt;=IFERROR(INDEX('TaxCred&amp;Subs'!$H$12:$H$47,MATCH(1,($C161&amp;$D161='TaxCred&amp;Subs'!$D$12:$D$47)*($F161='TaxCred&amp;Subs'!$C$12:$C$47),0)
),9999),IFERROR(INDEX('TaxCred&amp;Subs'!$N$12:$N$47,MATCH(1,($C161&amp;$D161='TaxCred&amp;Subs'!$D$12:$D$47)*($F161='TaxCred&amp;Subs'!$C$12:$C$47),0)
),0),0)))),0)+IF(AND($C161=2,VALUE(RIGHT($AD161,1))&gt;2),(N161-R161)*(IFERROR(INDEX('TaxCred&amp;Subs'!$J$66:$J$99,MATCH(1,($C161&amp;$D161='TaxCred&amp;Subs'!$E$66:$E$99)*($F161='TaxCred&amp;Subs'!$C$66:$C$99),0)),0)),IF(AND($C161=1,VALUE(RIGHT($AD161,1))&gt;2),(N161-R161)*(IFERROR(INDEX('TaxCred&amp;Subs'!$J$66:$J$99,MATCH(1,($C161&amp;$D161='TaxCred&amp;Subs'!$D$66:$D$99)*($F161='TaxCred&amp;Subs'!$C$66:$C$99),0)),0)),IF($C161&gt;2,(N161-R161)*(IFERROR(INDEX('TaxCred&amp;Subs'!$J$66:$J$99,MATCH(1,($C161&amp;$D161='TaxCred&amp;Subs'!$D$66:$D$99)*($F161='TaxCred&amp;Subs'!$C$66:$C$99),0)),0)),0))),0)</f>
        <v>150</v>
      </c>
      <c r="Q161" s="95">
        <f t="array" ref="Q161">ROUND(IF(AND($C161=2,VALUE(RIGHT($AD161,1))&gt;2),(O161-S161)*(IFERROR(INDEX('TaxCred&amp;Subs'!$J$66:$J$99,MATCH(1,($C161&amp;$D161='TaxCred&amp;Subs'!$E$66:$E$99)*($F161='TaxCred&amp;Subs'!$C$66:$C$99),0)),0)),IF(AND($C161=1,VALUE(RIGHT($AD161,1))&gt;2),(O161-S161)*(IFERROR(INDEX('TaxCred&amp;Subs'!$J$66:$J$99,MATCH(1,($C161&amp;$D161='TaxCred&amp;Subs'!$D$66:$D$99)*($F161='TaxCred&amp;Subs'!$C$66:$C$99),0)),0)),IF($C161&gt;2,(O161-S161)*(IFERROR(INDEX('TaxCred&amp;Subs'!$J$66:$J$99,MATCH(1,($C161&amp;$D161='TaxCred&amp;Subs'!$D$66:$D$99)*($F161='TaxCred&amp;Subs'!$C$66:$C$99),0)),0)),0))),0)</f>
        <v>0</v>
      </c>
      <c r="R161" s="95">
        <f t="array" ref="R161">ROUND(IF(IFERROR(VALUE(RIGHT($AD161,1)),0)&gt;2,IF($C161=8,N161*IFERROR(INDEX('TaxCred&amp;Subs'!$K$139:$S$151,MATCH($C161&amp;$D161&amp;LEFT($AD161,7),'TaxCred&amp;Subs'!$E$139:$E$151,0),MATCH($H161,'TaxCred&amp;Subs'!$K$137:$S$137,0)),0),IF($C161=2,N161*IFERROR(INDEX('TaxCred&amp;Subs'!$K$139:$S$151,MATCH($C161&amp;$D161,'TaxCred&amp;Subs'!$D$139:$D$151,0),MATCH($H161,'TaxCred&amp;Subs'!$K$137:$S$137,0)),0),N161*IFERROR(INDEX('TaxCred&amp;Subs'!$K$139:$S$151,MATCH($C161&amp;$D161,'TaxCred&amp;Subs'!$C$139:$C$151,0),MATCH($H161,'TaxCred&amp;Subs'!$K$137:$S$137,0)),0))),0),0)</f>
        <v>58</v>
      </c>
      <c r="S161" s="95">
        <f t="array" ref="S161">ROUND(IF(IFERROR(VALUE(RIGHT($AD161,1)),0)&gt;2,IF($C161=8,O161*IFERROR(INDEX('TaxCred&amp;Subs'!$K$139:$S$151,MATCH($C161&amp;$D161&amp;LEFT($AD161,7),'TaxCred&amp;Subs'!$E$139:$E$151,0),MATCH($H161,'TaxCred&amp;Subs'!$K$137:$S$137,0)),0),IF($C161=2,O161*IFERROR(INDEX('TaxCred&amp;Subs'!$K$139:$S$151,MATCH($C161&amp;$D161,'TaxCred&amp;Subs'!$D$139:$D$151,0),MATCH($H161,'TaxCred&amp;Subs'!$K$137:$S$137,0)),0),O161*IFERROR(INDEX('TaxCred&amp;Subs'!$K$139:$S$151,MATCH($C161&amp;$D161,'TaxCred&amp;Subs'!$C$139:$C$151,0),MATCH($H161,'TaxCred&amp;Subs'!$K$137:$S$137,0)),0))),0),0)</f>
        <v>32</v>
      </c>
      <c r="T161" s="95">
        <f t="shared" si="11"/>
        <v>0</v>
      </c>
      <c r="U161" s="95">
        <f t="shared" si="12"/>
        <v>0</v>
      </c>
      <c r="V161" s="28" t="s">
        <v>222</v>
      </c>
      <c r="W161" s="31">
        <v>2020</v>
      </c>
      <c r="X161" s="28">
        <v>1</v>
      </c>
      <c r="Y161" s="28">
        <v>0</v>
      </c>
      <c r="Z161" s="196">
        <v>-2.1453721591526507E-4</v>
      </c>
      <c r="AA161" s="196">
        <v>-3.3005725525425394E-3</v>
      </c>
      <c r="AB161" s="28">
        <v>0</v>
      </c>
      <c r="AC161" s="28">
        <v>0</v>
      </c>
      <c r="AD161" s="28" t="s">
        <v>327</v>
      </c>
    </row>
    <row r="162" spans="2:30" ht="14.25" customHeight="1" x14ac:dyDescent="0.2">
      <c r="B162" s="7">
        <f t="shared" si="10"/>
        <v>138</v>
      </c>
      <c r="C162" s="28">
        <v>1</v>
      </c>
      <c r="D162" s="28">
        <v>4</v>
      </c>
      <c r="E162" s="28">
        <v>13</v>
      </c>
      <c r="F162" s="96">
        <v>2020</v>
      </c>
      <c r="G162" s="28">
        <v>2021</v>
      </c>
      <c r="H162" s="28">
        <v>6</v>
      </c>
      <c r="I162" s="28">
        <v>13</v>
      </c>
      <c r="J162" s="28">
        <v>0</v>
      </c>
      <c r="K162" s="28">
        <v>0</v>
      </c>
      <c r="L162" s="28">
        <v>0</v>
      </c>
      <c r="M162" s="156">
        <v>0.96</v>
      </c>
      <c r="N162" s="151">
        <v>6710</v>
      </c>
      <c r="O162" s="151">
        <v>3670</v>
      </c>
      <c r="P162" s="95">
        <f t="array" ref="P162">ROUND(IF($F162&lt;='TaxCred&amp;Subs'!$C$49,(IF($C162=2,IF($M162&gt;=IFERROR(INDEX('TaxCred&amp;Subs'!$L$12:$L$47,MATCH(1,($C162&amp;$D162='TaxCred&amp;Subs'!$E$12:$E$47)*($F162='TaxCred&amp;Subs'!$C$12:$C$47),0)
),9999),IFERROR(INDEX('TaxCred&amp;Subs'!$N$12:$N$47,MATCH(1,($C162&amp;$D162='TaxCred&amp;Subs'!$E$12:$E$47)*($F162='TaxCred&amp;Subs'!$C$12:$C$47),0)
),0),0),(IF($M162&gt;=IFERROR(INDEX('TaxCred&amp;Subs'!$H$12:$H$47,MATCH(1,($C162&amp;$D162='TaxCred&amp;Subs'!$D$12:$D$47)*($F162='TaxCred&amp;Subs'!$C$12:$C$47),0)
),9999),IFERROR(INDEX('TaxCred&amp;Subs'!$N$12:$N$47,MATCH(1,($C162&amp;$D162='TaxCred&amp;Subs'!$D$12:$D$47)*($F162='TaxCred&amp;Subs'!$C$12:$C$47),0)
),0),0)))),0)+IF(AND($C162=2,VALUE(RIGHT($AD162,1))&gt;2),(N162-R162)*(IFERROR(INDEX('TaxCred&amp;Subs'!$J$66:$J$99,MATCH(1,($C162&amp;$D162='TaxCred&amp;Subs'!$E$66:$E$99)*($F162='TaxCred&amp;Subs'!$C$66:$C$99),0)),0)),IF(AND($C162=1,VALUE(RIGHT($AD162,1))&gt;2),(N162-R162)*(IFERROR(INDEX('TaxCred&amp;Subs'!$J$66:$J$99,MATCH(1,($C162&amp;$D162='TaxCred&amp;Subs'!$D$66:$D$99)*($F162='TaxCred&amp;Subs'!$C$66:$C$99),0)),0)),IF($C162&gt;2,(N162-R162)*(IFERROR(INDEX('TaxCred&amp;Subs'!$J$66:$J$99,MATCH(1,($C162&amp;$D162='TaxCred&amp;Subs'!$D$66:$D$99)*($F162='TaxCred&amp;Subs'!$C$66:$C$99),0)),0)),0))),0)</f>
        <v>150</v>
      </c>
      <c r="Q162" s="95">
        <f t="array" ref="Q162">ROUND(IF(AND($C162=2,VALUE(RIGHT($AD162,1))&gt;2),(O162-S162)*(IFERROR(INDEX('TaxCred&amp;Subs'!$J$66:$J$99,MATCH(1,($C162&amp;$D162='TaxCred&amp;Subs'!$E$66:$E$99)*($F162='TaxCred&amp;Subs'!$C$66:$C$99),0)),0)),IF(AND($C162=1,VALUE(RIGHT($AD162,1))&gt;2),(O162-S162)*(IFERROR(INDEX('TaxCred&amp;Subs'!$J$66:$J$99,MATCH(1,($C162&amp;$D162='TaxCred&amp;Subs'!$D$66:$D$99)*($F162='TaxCred&amp;Subs'!$C$66:$C$99),0)),0)),IF($C162&gt;2,(O162-S162)*(IFERROR(INDEX('TaxCred&amp;Subs'!$J$66:$J$99,MATCH(1,($C162&amp;$D162='TaxCred&amp;Subs'!$D$66:$D$99)*($F162='TaxCred&amp;Subs'!$C$66:$C$99),0)),0)),0))),0)</f>
        <v>0</v>
      </c>
      <c r="R162" s="95">
        <f t="array" ref="R162">ROUND(IF(IFERROR(VALUE(RIGHT($AD162,1)),0)&gt;2,IF($C162=8,N162*IFERROR(INDEX('TaxCred&amp;Subs'!$K$139:$S$151,MATCH($C162&amp;$D162&amp;LEFT($AD162,7),'TaxCred&amp;Subs'!$E$139:$E$151,0),MATCH($H162,'TaxCred&amp;Subs'!$K$137:$S$137,0)),0),IF($C162=2,N162*IFERROR(INDEX('TaxCred&amp;Subs'!$K$139:$S$151,MATCH($C162&amp;$D162,'TaxCred&amp;Subs'!$D$139:$D$151,0),MATCH($H162,'TaxCred&amp;Subs'!$K$137:$S$137,0)),0),N162*IFERROR(INDEX('TaxCred&amp;Subs'!$K$139:$S$151,MATCH($C162&amp;$D162,'TaxCred&amp;Subs'!$C$139:$C$151,0),MATCH($H162,'TaxCred&amp;Subs'!$K$137:$S$137,0)),0))),0),0)</f>
        <v>0</v>
      </c>
      <c r="S162" s="95">
        <f t="array" ref="S162">ROUND(IF(IFERROR(VALUE(RIGHT($AD162,1)),0)&gt;2,IF($C162=8,O162*IFERROR(INDEX('TaxCred&amp;Subs'!$K$139:$S$151,MATCH($C162&amp;$D162&amp;LEFT($AD162,7),'TaxCred&amp;Subs'!$E$139:$E$151,0),MATCH($H162,'TaxCred&amp;Subs'!$K$137:$S$137,0)),0),IF($C162=2,O162*IFERROR(INDEX('TaxCred&amp;Subs'!$K$139:$S$151,MATCH($C162&amp;$D162,'TaxCred&amp;Subs'!$D$139:$D$151,0),MATCH($H162,'TaxCred&amp;Subs'!$K$137:$S$137,0)),0),O162*IFERROR(INDEX('TaxCred&amp;Subs'!$K$139:$S$151,MATCH($C162&amp;$D162,'TaxCred&amp;Subs'!$C$139:$C$151,0),MATCH($H162,'TaxCred&amp;Subs'!$K$137:$S$137,0)),0))),0),0)</f>
        <v>0</v>
      </c>
      <c r="T162" s="95">
        <f t="shared" si="11"/>
        <v>0</v>
      </c>
      <c r="U162" s="95">
        <f t="shared" si="12"/>
        <v>0</v>
      </c>
      <c r="V162" s="28" t="s">
        <v>222</v>
      </c>
      <c r="W162" s="31">
        <v>2020</v>
      </c>
      <c r="X162" s="28">
        <v>1</v>
      </c>
      <c r="Y162" s="28">
        <v>0</v>
      </c>
      <c r="Z162" s="196">
        <v>-2.1453721591526507E-4</v>
      </c>
      <c r="AA162" s="196">
        <v>-3.3005725525425394E-3</v>
      </c>
      <c r="AB162" s="28">
        <v>0</v>
      </c>
      <c r="AC162" s="28">
        <v>0</v>
      </c>
      <c r="AD162" s="28" t="s">
        <v>327</v>
      </c>
    </row>
    <row r="163" spans="2:30" ht="14.25" customHeight="1" x14ac:dyDescent="0.2">
      <c r="B163" s="7">
        <f t="shared" si="10"/>
        <v>139</v>
      </c>
      <c r="C163" s="28">
        <v>1</v>
      </c>
      <c r="D163" s="28">
        <v>4</v>
      </c>
      <c r="E163" s="28">
        <v>13</v>
      </c>
      <c r="F163" s="96">
        <v>2020</v>
      </c>
      <c r="G163" s="28">
        <v>2021</v>
      </c>
      <c r="H163" s="28">
        <v>7</v>
      </c>
      <c r="I163" s="28">
        <v>13</v>
      </c>
      <c r="J163" s="28">
        <v>0</v>
      </c>
      <c r="K163" s="28">
        <v>0</v>
      </c>
      <c r="L163" s="28">
        <v>0</v>
      </c>
      <c r="M163" s="156">
        <v>0.96</v>
      </c>
      <c r="N163" s="151">
        <v>6710</v>
      </c>
      <c r="O163" s="151">
        <v>3670</v>
      </c>
      <c r="P163" s="95">
        <f t="array" ref="P163">ROUND(IF($F163&lt;='TaxCred&amp;Subs'!$C$49,(IF($C163=2,IF($M163&gt;=IFERROR(INDEX('TaxCred&amp;Subs'!$L$12:$L$47,MATCH(1,($C163&amp;$D163='TaxCred&amp;Subs'!$E$12:$E$47)*($F163='TaxCred&amp;Subs'!$C$12:$C$47),0)
),9999),IFERROR(INDEX('TaxCred&amp;Subs'!$N$12:$N$47,MATCH(1,($C163&amp;$D163='TaxCred&amp;Subs'!$E$12:$E$47)*($F163='TaxCred&amp;Subs'!$C$12:$C$47),0)
),0),0),(IF($M163&gt;=IFERROR(INDEX('TaxCred&amp;Subs'!$H$12:$H$47,MATCH(1,($C163&amp;$D163='TaxCred&amp;Subs'!$D$12:$D$47)*($F163='TaxCred&amp;Subs'!$C$12:$C$47),0)
),9999),IFERROR(INDEX('TaxCred&amp;Subs'!$N$12:$N$47,MATCH(1,($C163&amp;$D163='TaxCred&amp;Subs'!$D$12:$D$47)*($F163='TaxCred&amp;Subs'!$C$12:$C$47),0)
),0),0)))),0)+IF(AND($C163=2,VALUE(RIGHT($AD163,1))&gt;2),(N163-R163)*(IFERROR(INDEX('TaxCred&amp;Subs'!$J$66:$J$99,MATCH(1,($C163&amp;$D163='TaxCred&amp;Subs'!$E$66:$E$99)*($F163='TaxCred&amp;Subs'!$C$66:$C$99),0)),0)),IF(AND($C163=1,VALUE(RIGHT($AD163,1))&gt;2),(N163-R163)*(IFERROR(INDEX('TaxCred&amp;Subs'!$J$66:$J$99,MATCH(1,($C163&amp;$D163='TaxCred&amp;Subs'!$D$66:$D$99)*($F163='TaxCred&amp;Subs'!$C$66:$C$99),0)),0)),IF($C163&gt;2,(N163-R163)*(IFERROR(INDEX('TaxCred&amp;Subs'!$J$66:$J$99,MATCH(1,($C163&amp;$D163='TaxCred&amp;Subs'!$D$66:$D$99)*($F163='TaxCred&amp;Subs'!$C$66:$C$99),0)),0)),0))),0)</f>
        <v>150</v>
      </c>
      <c r="Q163" s="95">
        <f t="array" ref="Q163">ROUND(IF(AND($C163=2,VALUE(RIGHT($AD163,1))&gt;2),(O163-S163)*(IFERROR(INDEX('TaxCred&amp;Subs'!$J$66:$J$99,MATCH(1,($C163&amp;$D163='TaxCred&amp;Subs'!$E$66:$E$99)*($F163='TaxCred&amp;Subs'!$C$66:$C$99),0)),0)),IF(AND($C163=1,VALUE(RIGHT($AD163,1))&gt;2),(O163-S163)*(IFERROR(INDEX('TaxCred&amp;Subs'!$J$66:$J$99,MATCH(1,($C163&amp;$D163='TaxCred&amp;Subs'!$D$66:$D$99)*($F163='TaxCred&amp;Subs'!$C$66:$C$99),0)),0)),IF($C163&gt;2,(O163-S163)*(IFERROR(INDEX('TaxCred&amp;Subs'!$J$66:$J$99,MATCH(1,($C163&amp;$D163='TaxCred&amp;Subs'!$D$66:$D$99)*($F163='TaxCred&amp;Subs'!$C$66:$C$99),0)),0)),0))),0)</f>
        <v>0</v>
      </c>
      <c r="R163" s="95">
        <f t="array" ref="R163">ROUND(IF(IFERROR(VALUE(RIGHT($AD163,1)),0)&gt;2,IF($C163=8,N163*IFERROR(INDEX('TaxCred&amp;Subs'!$K$139:$S$151,MATCH($C163&amp;$D163&amp;LEFT($AD163,7),'TaxCred&amp;Subs'!$E$139:$E$151,0),MATCH($H163,'TaxCred&amp;Subs'!$K$137:$S$137,0)),0),IF($C163=2,N163*IFERROR(INDEX('TaxCred&amp;Subs'!$K$139:$S$151,MATCH($C163&amp;$D163,'TaxCred&amp;Subs'!$D$139:$D$151,0),MATCH($H163,'TaxCred&amp;Subs'!$K$137:$S$137,0)),0),N163*IFERROR(INDEX('TaxCred&amp;Subs'!$K$139:$S$151,MATCH($C163&amp;$D163,'TaxCred&amp;Subs'!$C$139:$C$151,0),MATCH($H163,'TaxCred&amp;Subs'!$K$137:$S$137,0)),0))),0),0)</f>
        <v>0</v>
      </c>
      <c r="S163" s="95">
        <f t="array" ref="S163">ROUND(IF(IFERROR(VALUE(RIGHT($AD163,1)),0)&gt;2,IF($C163=8,O163*IFERROR(INDEX('TaxCred&amp;Subs'!$K$139:$S$151,MATCH($C163&amp;$D163&amp;LEFT($AD163,7),'TaxCred&amp;Subs'!$E$139:$E$151,0),MATCH($H163,'TaxCred&amp;Subs'!$K$137:$S$137,0)),0),IF($C163=2,O163*IFERROR(INDEX('TaxCred&amp;Subs'!$K$139:$S$151,MATCH($C163&amp;$D163,'TaxCred&amp;Subs'!$D$139:$D$151,0),MATCH($H163,'TaxCred&amp;Subs'!$K$137:$S$137,0)),0),O163*IFERROR(INDEX('TaxCred&amp;Subs'!$K$139:$S$151,MATCH($C163&amp;$D163,'TaxCred&amp;Subs'!$C$139:$C$151,0),MATCH($H163,'TaxCred&amp;Subs'!$K$137:$S$137,0)),0))),0),0)</f>
        <v>0</v>
      </c>
      <c r="T163" s="95">
        <f t="shared" si="11"/>
        <v>0</v>
      </c>
      <c r="U163" s="95">
        <f t="shared" si="12"/>
        <v>0</v>
      </c>
      <c r="V163" s="28" t="s">
        <v>222</v>
      </c>
      <c r="W163" s="31">
        <v>2020</v>
      </c>
      <c r="X163" s="28">
        <v>1</v>
      </c>
      <c r="Y163" s="28">
        <v>0</v>
      </c>
      <c r="Z163" s="196">
        <v>-2.1453721591526507E-4</v>
      </c>
      <c r="AA163" s="196">
        <v>-3.3005725525425394E-3</v>
      </c>
      <c r="AB163" s="28">
        <v>0</v>
      </c>
      <c r="AC163" s="28">
        <v>0</v>
      </c>
      <c r="AD163" s="28" t="s">
        <v>327</v>
      </c>
    </row>
    <row r="164" spans="2:30" ht="14.25" customHeight="1" x14ac:dyDescent="0.2">
      <c r="B164" s="7">
        <f t="shared" si="10"/>
        <v>140</v>
      </c>
      <c r="C164" s="28">
        <v>1</v>
      </c>
      <c r="D164" s="28">
        <v>4</v>
      </c>
      <c r="E164" s="28">
        <v>13</v>
      </c>
      <c r="F164" s="96">
        <v>2020</v>
      </c>
      <c r="G164" s="28">
        <v>2021</v>
      </c>
      <c r="H164" s="28">
        <v>8</v>
      </c>
      <c r="I164" s="28">
        <v>13</v>
      </c>
      <c r="J164" s="28">
        <v>0</v>
      </c>
      <c r="K164" s="28">
        <v>0</v>
      </c>
      <c r="L164" s="28">
        <v>0</v>
      </c>
      <c r="M164" s="156">
        <v>0.96</v>
      </c>
      <c r="N164" s="151">
        <v>6710</v>
      </c>
      <c r="O164" s="151">
        <v>3670</v>
      </c>
      <c r="P164" s="95">
        <f t="array" ref="P164">ROUND(IF($F164&lt;='TaxCred&amp;Subs'!$C$49,(IF($C164=2,IF($M164&gt;=IFERROR(INDEX('TaxCred&amp;Subs'!$L$12:$L$47,MATCH(1,($C164&amp;$D164='TaxCred&amp;Subs'!$E$12:$E$47)*($F164='TaxCred&amp;Subs'!$C$12:$C$47),0)
),9999),IFERROR(INDEX('TaxCred&amp;Subs'!$N$12:$N$47,MATCH(1,($C164&amp;$D164='TaxCred&amp;Subs'!$E$12:$E$47)*($F164='TaxCred&amp;Subs'!$C$12:$C$47),0)
),0),0),(IF($M164&gt;=IFERROR(INDEX('TaxCred&amp;Subs'!$H$12:$H$47,MATCH(1,($C164&amp;$D164='TaxCred&amp;Subs'!$D$12:$D$47)*($F164='TaxCred&amp;Subs'!$C$12:$C$47),0)
),9999),IFERROR(INDEX('TaxCred&amp;Subs'!$N$12:$N$47,MATCH(1,($C164&amp;$D164='TaxCred&amp;Subs'!$D$12:$D$47)*($F164='TaxCred&amp;Subs'!$C$12:$C$47),0)
),0),0)))),0)+IF(AND($C164=2,VALUE(RIGHT($AD164,1))&gt;2),(N164-R164)*(IFERROR(INDEX('TaxCred&amp;Subs'!$J$66:$J$99,MATCH(1,($C164&amp;$D164='TaxCred&amp;Subs'!$E$66:$E$99)*($F164='TaxCred&amp;Subs'!$C$66:$C$99),0)),0)),IF(AND($C164=1,VALUE(RIGHT($AD164,1))&gt;2),(N164-R164)*(IFERROR(INDEX('TaxCred&amp;Subs'!$J$66:$J$99,MATCH(1,($C164&amp;$D164='TaxCred&amp;Subs'!$D$66:$D$99)*($F164='TaxCred&amp;Subs'!$C$66:$C$99),0)),0)),IF($C164&gt;2,(N164-R164)*(IFERROR(INDEX('TaxCred&amp;Subs'!$J$66:$J$99,MATCH(1,($C164&amp;$D164='TaxCred&amp;Subs'!$D$66:$D$99)*($F164='TaxCred&amp;Subs'!$C$66:$C$99),0)),0)),0))),0)</f>
        <v>150</v>
      </c>
      <c r="Q164" s="95">
        <f t="array" ref="Q164">ROUND(IF(AND($C164=2,VALUE(RIGHT($AD164,1))&gt;2),(O164-S164)*(IFERROR(INDEX('TaxCred&amp;Subs'!$J$66:$J$99,MATCH(1,($C164&amp;$D164='TaxCred&amp;Subs'!$E$66:$E$99)*($F164='TaxCred&amp;Subs'!$C$66:$C$99),0)),0)),IF(AND($C164=1,VALUE(RIGHT($AD164,1))&gt;2),(O164-S164)*(IFERROR(INDEX('TaxCred&amp;Subs'!$J$66:$J$99,MATCH(1,($C164&amp;$D164='TaxCred&amp;Subs'!$D$66:$D$99)*($F164='TaxCred&amp;Subs'!$C$66:$C$99),0)),0)),IF($C164&gt;2,(O164-S164)*(IFERROR(INDEX('TaxCred&amp;Subs'!$J$66:$J$99,MATCH(1,($C164&amp;$D164='TaxCred&amp;Subs'!$D$66:$D$99)*($F164='TaxCred&amp;Subs'!$C$66:$C$99),0)),0)),0))),0)</f>
        <v>0</v>
      </c>
      <c r="R164" s="95">
        <f t="array" ref="R164">ROUND(IF(IFERROR(VALUE(RIGHT($AD164,1)),0)&gt;2,IF($C164=8,N164*IFERROR(INDEX('TaxCred&amp;Subs'!$K$139:$S$151,MATCH($C164&amp;$D164&amp;LEFT($AD164,7),'TaxCred&amp;Subs'!$E$139:$E$151,0),MATCH($H164,'TaxCred&amp;Subs'!$K$137:$S$137,0)),0),IF($C164=2,N164*IFERROR(INDEX('TaxCred&amp;Subs'!$K$139:$S$151,MATCH($C164&amp;$D164,'TaxCred&amp;Subs'!$D$139:$D$151,0),MATCH($H164,'TaxCred&amp;Subs'!$K$137:$S$137,0)),0),N164*IFERROR(INDEX('TaxCred&amp;Subs'!$K$139:$S$151,MATCH($C164&amp;$D164,'TaxCred&amp;Subs'!$C$139:$C$151,0),MATCH($H164,'TaxCred&amp;Subs'!$K$137:$S$137,0)),0))),0),0)</f>
        <v>262</v>
      </c>
      <c r="S164" s="95">
        <f t="array" ref="S164">ROUND(IF(IFERROR(VALUE(RIGHT($AD164,1)),0)&gt;2,IF($C164=8,O164*IFERROR(INDEX('TaxCred&amp;Subs'!$K$139:$S$151,MATCH($C164&amp;$D164&amp;LEFT($AD164,7),'TaxCred&amp;Subs'!$E$139:$E$151,0),MATCH($H164,'TaxCred&amp;Subs'!$K$137:$S$137,0)),0),IF($C164=2,O164*IFERROR(INDEX('TaxCred&amp;Subs'!$K$139:$S$151,MATCH($C164&amp;$D164,'TaxCred&amp;Subs'!$D$139:$D$151,0),MATCH($H164,'TaxCred&amp;Subs'!$K$137:$S$137,0)),0),O164*IFERROR(INDEX('TaxCred&amp;Subs'!$K$139:$S$151,MATCH($C164&amp;$D164,'TaxCred&amp;Subs'!$C$139:$C$151,0),MATCH($H164,'TaxCred&amp;Subs'!$K$137:$S$137,0)),0))),0),0)</f>
        <v>143</v>
      </c>
      <c r="T164" s="95">
        <f t="shared" si="11"/>
        <v>0</v>
      </c>
      <c r="U164" s="95">
        <f t="shared" si="12"/>
        <v>0</v>
      </c>
      <c r="V164" s="28" t="s">
        <v>222</v>
      </c>
      <c r="W164" s="31">
        <v>2020</v>
      </c>
      <c r="X164" s="28">
        <v>1</v>
      </c>
      <c r="Y164" s="28">
        <v>0</v>
      </c>
      <c r="Z164" s="196">
        <v>-2.1453721591526507E-4</v>
      </c>
      <c r="AA164" s="196">
        <v>-3.3005725525425394E-3</v>
      </c>
      <c r="AB164" s="28">
        <v>0</v>
      </c>
      <c r="AC164" s="28">
        <v>0</v>
      </c>
      <c r="AD164" s="28" t="s">
        <v>327</v>
      </c>
    </row>
    <row r="165" spans="2:30" ht="14.25" customHeight="1" x14ac:dyDescent="0.2">
      <c r="B165" s="7">
        <f t="shared" si="10"/>
        <v>141</v>
      </c>
      <c r="C165" s="28">
        <v>1</v>
      </c>
      <c r="D165" s="28">
        <v>4</v>
      </c>
      <c r="E165" s="28">
        <v>13</v>
      </c>
      <c r="F165" s="96">
        <v>2020</v>
      </c>
      <c r="G165" s="28">
        <v>2021</v>
      </c>
      <c r="H165" s="28">
        <v>9</v>
      </c>
      <c r="I165" s="28">
        <v>13</v>
      </c>
      <c r="J165" s="28">
        <v>0</v>
      </c>
      <c r="K165" s="28">
        <v>0</v>
      </c>
      <c r="L165" s="28">
        <v>0</v>
      </c>
      <c r="M165" s="156">
        <v>0.96</v>
      </c>
      <c r="N165" s="151">
        <v>6710</v>
      </c>
      <c r="O165" s="151">
        <v>3670</v>
      </c>
      <c r="P165" s="95">
        <f t="array" ref="P165">ROUND(IF($F165&lt;='TaxCred&amp;Subs'!$C$49,(IF($C165=2,IF($M165&gt;=IFERROR(INDEX('TaxCred&amp;Subs'!$L$12:$L$47,MATCH(1,($C165&amp;$D165='TaxCred&amp;Subs'!$E$12:$E$47)*($F165='TaxCred&amp;Subs'!$C$12:$C$47),0)
),9999),IFERROR(INDEX('TaxCred&amp;Subs'!$N$12:$N$47,MATCH(1,($C165&amp;$D165='TaxCred&amp;Subs'!$E$12:$E$47)*($F165='TaxCred&amp;Subs'!$C$12:$C$47),0)
),0),0),(IF($M165&gt;=IFERROR(INDEX('TaxCred&amp;Subs'!$H$12:$H$47,MATCH(1,($C165&amp;$D165='TaxCred&amp;Subs'!$D$12:$D$47)*($F165='TaxCred&amp;Subs'!$C$12:$C$47),0)
),9999),IFERROR(INDEX('TaxCred&amp;Subs'!$N$12:$N$47,MATCH(1,($C165&amp;$D165='TaxCred&amp;Subs'!$D$12:$D$47)*($F165='TaxCred&amp;Subs'!$C$12:$C$47),0)
),0),0)))),0)+IF(AND($C165=2,VALUE(RIGHT($AD165,1))&gt;2),(N165-R165)*(IFERROR(INDEX('TaxCred&amp;Subs'!$J$66:$J$99,MATCH(1,($C165&amp;$D165='TaxCred&amp;Subs'!$E$66:$E$99)*($F165='TaxCred&amp;Subs'!$C$66:$C$99),0)),0)),IF(AND($C165=1,VALUE(RIGHT($AD165,1))&gt;2),(N165-R165)*(IFERROR(INDEX('TaxCred&amp;Subs'!$J$66:$J$99,MATCH(1,($C165&amp;$D165='TaxCred&amp;Subs'!$D$66:$D$99)*($F165='TaxCred&amp;Subs'!$C$66:$C$99),0)),0)),IF($C165&gt;2,(N165-R165)*(IFERROR(INDEX('TaxCred&amp;Subs'!$J$66:$J$99,MATCH(1,($C165&amp;$D165='TaxCred&amp;Subs'!$D$66:$D$99)*($F165='TaxCred&amp;Subs'!$C$66:$C$99),0)),0)),0))),0)</f>
        <v>150</v>
      </c>
      <c r="Q165" s="95">
        <f t="array" ref="Q165">ROUND(IF(AND($C165=2,VALUE(RIGHT($AD165,1))&gt;2),(O165-S165)*(IFERROR(INDEX('TaxCred&amp;Subs'!$J$66:$J$99,MATCH(1,($C165&amp;$D165='TaxCred&amp;Subs'!$E$66:$E$99)*($F165='TaxCred&amp;Subs'!$C$66:$C$99),0)),0)),IF(AND($C165=1,VALUE(RIGHT($AD165,1))&gt;2),(O165-S165)*(IFERROR(INDEX('TaxCred&amp;Subs'!$J$66:$J$99,MATCH(1,($C165&amp;$D165='TaxCred&amp;Subs'!$D$66:$D$99)*($F165='TaxCred&amp;Subs'!$C$66:$C$99),0)),0)),IF($C165&gt;2,(O165-S165)*(IFERROR(INDEX('TaxCred&amp;Subs'!$J$66:$J$99,MATCH(1,($C165&amp;$D165='TaxCred&amp;Subs'!$D$66:$D$99)*($F165='TaxCred&amp;Subs'!$C$66:$C$99),0)),0)),0))),0)</f>
        <v>0</v>
      </c>
      <c r="R165" s="95">
        <f t="array" ref="R165">ROUND(IF(IFERROR(VALUE(RIGHT($AD165,1)),0)&gt;2,IF($C165=8,N165*IFERROR(INDEX('TaxCred&amp;Subs'!$K$139:$S$151,MATCH($C165&amp;$D165&amp;LEFT($AD165,7),'TaxCred&amp;Subs'!$E$139:$E$151,0),MATCH($H165,'TaxCred&amp;Subs'!$K$137:$S$137,0)),0),IF($C165=2,N165*IFERROR(INDEX('TaxCred&amp;Subs'!$K$139:$S$151,MATCH($C165&amp;$D165,'TaxCred&amp;Subs'!$D$139:$D$151,0),MATCH($H165,'TaxCred&amp;Subs'!$K$137:$S$137,0)),0),N165*IFERROR(INDEX('TaxCred&amp;Subs'!$K$139:$S$151,MATCH($C165&amp;$D165,'TaxCred&amp;Subs'!$C$139:$C$151,0),MATCH($H165,'TaxCred&amp;Subs'!$K$137:$S$137,0)),0))),0),0)</f>
        <v>75</v>
      </c>
      <c r="S165" s="95">
        <f t="array" ref="S165">ROUND(IF(IFERROR(VALUE(RIGHT($AD165,1)),0)&gt;2,IF($C165=8,O165*IFERROR(INDEX('TaxCred&amp;Subs'!$K$139:$S$151,MATCH($C165&amp;$D165&amp;LEFT($AD165,7),'TaxCred&amp;Subs'!$E$139:$E$151,0),MATCH($H165,'TaxCred&amp;Subs'!$K$137:$S$137,0)),0),IF($C165=2,O165*IFERROR(INDEX('TaxCred&amp;Subs'!$K$139:$S$151,MATCH($C165&amp;$D165,'TaxCred&amp;Subs'!$D$139:$D$151,0),MATCH($H165,'TaxCred&amp;Subs'!$K$137:$S$137,0)),0),O165*IFERROR(INDEX('TaxCred&amp;Subs'!$K$139:$S$151,MATCH($C165&amp;$D165,'TaxCred&amp;Subs'!$C$139:$C$151,0),MATCH($H165,'TaxCred&amp;Subs'!$K$137:$S$137,0)),0))),0),0)</f>
        <v>41</v>
      </c>
      <c r="T165" s="172">
        <f t="shared" si="11"/>
        <v>984</v>
      </c>
      <c r="U165" s="172">
        <f t="shared" si="12"/>
        <v>550.5</v>
      </c>
      <c r="V165" s="28" t="s">
        <v>222</v>
      </c>
      <c r="W165" s="31">
        <v>2020</v>
      </c>
      <c r="X165" s="28">
        <v>1</v>
      </c>
      <c r="Y165" s="28">
        <v>0</v>
      </c>
      <c r="Z165" s="196">
        <v>-2.1453721591526507E-4</v>
      </c>
      <c r="AA165" s="196">
        <v>-3.3005725525425394E-3</v>
      </c>
      <c r="AB165" s="28">
        <v>0</v>
      </c>
      <c r="AC165" s="28">
        <v>0</v>
      </c>
      <c r="AD165" s="28" t="s">
        <v>327</v>
      </c>
    </row>
    <row r="166" spans="2:30" ht="14.25" customHeight="1" x14ac:dyDescent="0.2">
      <c r="B166" s="7">
        <f t="shared" si="10"/>
        <v>142</v>
      </c>
      <c r="C166" s="28">
        <v>1</v>
      </c>
      <c r="D166" s="28">
        <v>4</v>
      </c>
      <c r="E166" s="28">
        <v>13</v>
      </c>
      <c r="F166" s="78">
        <v>2022</v>
      </c>
      <c r="G166" s="28">
        <v>2032</v>
      </c>
      <c r="H166" s="28">
        <v>1</v>
      </c>
      <c r="I166" s="28">
        <v>13</v>
      </c>
      <c r="J166" s="28">
        <v>0</v>
      </c>
      <c r="K166" s="28">
        <v>0</v>
      </c>
      <c r="L166" s="28">
        <v>0</v>
      </c>
      <c r="M166" s="156">
        <v>0.96</v>
      </c>
      <c r="N166" s="151">
        <v>6710</v>
      </c>
      <c r="O166" s="151">
        <v>3670</v>
      </c>
      <c r="P166" s="95">
        <f t="array" ref="P166">ROUND(IF($F166&lt;='TaxCred&amp;Subs'!$C$49,(IF($C166=2,IF($M166&gt;=IFERROR(INDEX('TaxCred&amp;Subs'!$L$12:$L$47,MATCH(1,($C166&amp;$D166='TaxCred&amp;Subs'!$E$12:$E$47)*($F166='TaxCred&amp;Subs'!$C$12:$C$47),0)
),9999),IFERROR(INDEX('TaxCred&amp;Subs'!$N$12:$N$47,MATCH(1,($C166&amp;$D166='TaxCred&amp;Subs'!$E$12:$E$47)*($F166='TaxCred&amp;Subs'!$C$12:$C$47),0)
),0),0),(IF($M166&gt;=IFERROR(INDEX('TaxCred&amp;Subs'!$H$12:$H$47,MATCH(1,($C166&amp;$D166='TaxCred&amp;Subs'!$D$12:$D$47)*($F166='TaxCred&amp;Subs'!$C$12:$C$47),0)
),9999),IFERROR(INDEX('TaxCred&amp;Subs'!$N$12:$N$47,MATCH(1,($C166&amp;$D166='TaxCred&amp;Subs'!$D$12:$D$47)*($F166='TaxCred&amp;Subs'!$C$12:$C$47),0)
),0),0)))),0)+IF(AND($C166=2,VALUE(RIGHT($AD166,1))&gt;2),(N166-R166)*(IFERROR(INDEX('TaxCred&amp;Subs'!$J$66:$J$99,MATCH(1,($C166&amp;$D166='TaxCred&amp;Subs'!$E$66:$E$99)*($F166='TaxCred&amp;Subs'!$C$66:$C$99),0)),0)),IF(AND($C166=1,VALUE(RIGHT($AD166,1))&gt;2),(N166-R166)*(IFERROR(INDEX('TaxCred&amp;Subs'!$J$66:$J$99,MATCH(1,($C166&amp;$D166='TaxCred&amp;Subs'!$D$66:$D$99)*($F166='TaxCred&amp;Subs'!$C$66:$C$99),0)),0)),IF($C166&gt;2,(N166-R166)*(IFERROR(INDEX('TaxCred&amp;Subs'!$J$66:$J$99,MATCH(1,($C166&amp;$D166='TaxCred&amp;Subs'!$D$66:$D$99)*($F166='TaxCred&amp;Subs'!$C$66:$C$99),0)),0)),0))),0)</f>
        <v>600</v>
      </c>
      <c r="Q166" s="95">
        <f t="array" ref="Q166">ROUND(IF(AND($C166=2,VALUE(RIGHT($AD166,1))&gt;2),(O166-S166)*(IFERROR(INDEX('TaxCred&amp;Subs'!$J$66:$J$99,MATCH(1,($C166&amp;$D166='TaxCred&amp;Subs'!$E$66:$E$99)*($F166='TaxCred&amp;Subs'!$C$66:$C$99),0)),0)),IF(AND($C166=1,VALUE(RIGHT($AD166,1))&gt;2),(O166-S166)*(IFERROR(INDEX('TaxCred&amp;Subs'!$J$66:$J$99,MATCH(1,($C166&amp;$D166='TaxCred&amp;Subs'!$D$66:$D$99)*($F166='TaxCred&amp;Subs'!$C$66:$C$99),0)),0)),IF($C166&gt;2,(O166-S166)*(IFERROR(INDEX('TaxCred&amp;Subs'!$J$66:$J$99,MATCH(1,($C166&amp;$D166='TaxCred&amp;Subs'!$D$66:$D$99)*($F166='TaxCred&amp;Subs'!$C$66:$C$99),0)),0)),0))),0)</f>
        <v>0</v>
      </c>
      <c r="R166" s="95">
        <f t="array" ref="R166">ROUND(IF(IFERROR(VALUE(RIGHT($AD166,1)),0)&gt;2,IF($C166=8,N166*IFERROR(INDEX('TaxCred&amp;Subs'!$K$139:$S$151,MATCH($C166&amp;$D166&amp;LEFT($AD166,7),'TaxCred&amp;Subs'!$E$139:$E$151,0),MATCH($H166,'TaxCred&amp;Subs'!$K$137:$S$137,0)),0),IF($C166=2,N166*IFERROR(INDEX('TaxCred&amp;Subs'!$K$139:$S$151,MATCH($C166&amp;$D166,'TaxCred&amp;Subs'!$D$139:$D$151,0),MATCH($H166,'TaxCred&amp;Subs'!$K$137:$S$137,0)),0),N166*IFERROR(INDEX('TaxCred&amp;Subs'!$K$139:$S$151,MATCH($C166&amp;$D166,'TaxCred&amp;Subs'!$C$139:$C$151,0),MATCH($H166,'TaxCred&amp;Subs'!$K$137:$S$137,0)),0))),0),0)</f>
        <v>896</v>
      </c>
      <c r="S166" s="95">
        <f t="array" ref="S166">ROUND(IF(IFERROR(VALUE(RIGHT($AD166,1)),0)&gt;2,IF($C166=8,O166*IFERROR(INDEX('TaxCred&amp;Subs'!$K$139:$S$151,MATCH($C166&amp;$D166&amp;LEFT($AD166,7),'TaxCred&amp;Subs'!$E$139:$E$151,0),MATCH($H166,'TaxCred&amp;Subs'!$K$137:$S$137,0)),0),IF($C166=2,O166*IFERROR(INDEX('TaxCred&amp;Subs'!$K$139:$S$151,MATCH($C166&amp;$D166,'TaxCred&amp;Subs'!$D$139:$D$151,0),MATCH($H166,'TaxCred&amp;Subs'!$K$137:$S$137,0)),0),O166*IFERROR(INDEX('TaxCred&amp;Subs'!$K$139:$S$151,MATCH($C166&amp;$D166,'TaxCred&amp;Subs'!$C$139:$C$151,0),MATCH($H166,'TaxCred&amp;Subs'!$K$137:$S$137,0)),0))),0),0)</f>
        <v>490</v>
      </c>
      <c r="T166" s="95">
        <f t="shared" si="11"/>
        <v>0</v>
      </c>
      <c r="U166" s="95">
        <f t="shared" si="12"/>
        <v>0</v>
      </c>
      <c r="V166" s="28" t="s">
        <v>222</v>
      </c>
      <c r="W166" s="31">
        <v>2020</v>
      </c>
      <c r="X166" s="28">
        <v>1</v>
      </c>
      <c r="Y166" s="28">
        <v>0</v>
      </c>
      <c r="Z166" s="196">
        <v>-2.1453721591526507E-4</v>
      </c>
      <c r="AA166" s="196">
        <v>-3.3005725525425394E-3</v>
      </c>
      <c r="AB166" s="28">
        <v>0</v>
      </c>
      <c r="AC166" s="28">
        <v>0</v>
      </c>
      <c r="AD166" s="28" t="s">
        <v>327</v>
      </c>
    </row>
    <row r="167" spans="2:30" ht="14.25" customHeight="1" x14ac:dyDescent="0.2">
      <c r="B167" s="7">
        <f t="shared" si="10"/>
        <v>143</v>
      </c>
      <c r="C167" s="28">
        <v>1</v>
      </c>
      <c r="D167" s="28">
        <v>4</v>
      </c>
      <c r="E167" s="28">
        <v>13</v>
      </c>
      <c r="F167" s="78">
        <v>2022</v>
      </c>
      <c r="G167" s="28">
        <v>2032</v>
      </c>
      <c r="H167" s="28">
        <v>2</v>
      </c>
      <c r="I167" s="28">
        <v>13</v>
      </c>
      <c r="J167" s="28">
        <v>0</v>
      </c>
      <c r="K167" s="28">
        <v>0</v>
      </c>
      <c r="L167" s="28">
        <v>0</v>
      </c>
      <c r="M167" s="156">
        <v>0.96</v>
      </c>
      <c r="N167" s="151">
        <v>6710</v>
      </c>
      <c r="O167" s="151">
        <v>3670</v>
      </c>
      <c r="P167" s="95">
        <f t="array" ref="P167">ROUND(IF($F167&lt;='TaxCred&amp;Subs'!$C$49,(IF($C167=2,IF($M167&gt;=IFERROR(INDEX('TaxCred&amp;Subs'!$L$12:$L$47,MATCH(1,($C167&amp;$D167='TaxCred&amp;Subs'!$E$12:$E$47)*($F167='TaxCred&amp;Subs'!$C$12:$C$47),0)
),9999),IFERROR(INDEX('TaxCred&amp;Subs'!$N$12:$N$47,MATCH(1,($C167&amp;$D167='TaxCred&amp;Subs'!$E$12:$E$47)*($F167='TaxCred&amp;Subs'!$C$12:$C$47),0)
),0),0),(IF($M167&gt;=IFERROR(INDEX('TaxCred&amp;Subs'!$H$12:$H$47,MATCH(1,($C167&amp;$D167='TaxCred&amp;Subs'!$D$12:$D$47)*($F167='TaxCred&amp;Subs'!$C$12:$C$47),0)
),9999),IFERROR(INDEX('TaxCred&amp;Subs'!$N$12:$N$47,MATCH(1,($C167&amp;$D167='TaxCred&amp;Subs'!$D$12:$D$47)*($F167='TaxCred&amp;Subs'!$C$12:$C$47),0)
),0),0)))),0)+IF(AND($C167=2,VALUE(RIGHT($AD167,1))&gt;2),(N167-R167)*(IFERROR(INDEX('TaxCred&amp;Subs'!$J$66:$J$99,MATCH(1,($C167&amp;$D167='TaxCred&amp;Subs'!$E$66:$E$99)*($F167='TaxCred&amp;Subs'!$C$66:$C$99),0)),0)),IF(AND($C167=1,VALUE(RIGHT($AD167,1))&gt;2),(N167-R167)*(IFERROR(INDEX('TaxCred&amp;Subs'!$J$66:$J$99,MATCH(1,($C167&amp;$D167='TaxCred&amp;Subs'!$D$66:$D$99)*($F167='TaxCred&amp;Subs'!$C$66:$C$99),0)),0)),IF($C167&gt;2,(N167-R167)*(IFERROR(INDEX('TaxCred&amp;Subs'!$J$66:$J$99,MATCH(1,($C167&amp;$D167='TaxCred&amp;Subs'!$D$66:$D$99)*($F167='TaxCred&amp;Subs'!$C$66:$C$99),0)),0)),0))),0)</f>
        <v>600</v>
      </c>
      <c r="Q167" s="95">
        <f t="array" ref="Q167">ROUND(IF(AND($C167=2,VALUE(RIGHT($AD167,1))&gt;2),(O167-S167)*(IFERROR(INDEX('TaxCred&amp;Subs'!$J$66:$J$99,MATCH(1,($C167&amp;$D167='TaxCred&amp;Subs'!$E$66:$E$99)*($F167='TaxCred&amp;Subs'!$C$66:$C$99),0)),0)),IF(AND($C167=1,VALUE(RIGHT($AD167,1))&gt;2),(O167-S167)*(IFERROR(INDEX('TaxCred&amp;Subs'!$J$66:$J$99,MATCH(1,($C167&amp;$D167='TaxCred&amp;Subs'!$D$66:$D$99)*($F167='TaxCred&amp;Subs'!$C$66:$C$99),0)),0)),IF($C167&gt;2,(O167-S167)*(IFERROR(INDEX('TaxCred&amp;Subs'!$J$66:$J$99,MATCH(1,($C167&amp;$D167='TaxCred&amp;Subs'!$D$66:$D$99)*($F167='TaxCred&amp;Subs'!$C$66:$C$99),0)),0)),0))),0)</f>
        <v>0</v>
      </c>
      <c r="R167" s="95">
        <f t="array" ref="R167">ROUND(IF(IFERROR(VALUE(RIGHT($AD167,1)),0)&gt;2,IF($C167=8,N167*IFERROR(INDEX('TaxCred&amp;Subs'!$K$139:$S$151,MATCH($C167&amp;$D167&amp;LEFT($AD167,7),'TaxCred&amp;Subs'!$E$139:$E$151,0),MATCH($H167,'TaxCred&amp;Subs'!$K$137:$S$137,0)),0),IF($C167=2,N167*IFERROR(INDEX('TaxCred&amp;Subs'!$K$139:$S$151,MATCH($C167&amp;$D167,'TaxCred&amp;Subs'!$D$139:$D$151,0),MATCH($H167,'TaxCred&amp;Subs'!$K$137:$S$137,0)),0),N167*IFERROR(INDEX('TaxCred&amp;Subs'!$K$139:$S$151,MATCH($C167&amp;$D167,'TaxCred&amp;Subs'!$C$139:$C$151,0),MATCH($H167,'TaxCred&amp;Subs'!$K$137:$S$137,0)),0))),0),0)</f>
        <v>661</v>
      </c>
      <c r="S167" s="95">
        <f t="array" ref="S167">ROUND(IF(IFERROR(VALUE(RIGHT($AD167,1)),0)&gt;2,IF($C167=8,O167*IFERROR(INDEX('TaxCred&amp;Subs'!$K$139:$S$151,MATCH($C167&amp;$D167&amp;LEFT($AD167,7),'TaxCred&amp;Subs'!$E$139:$E$151,0),MATCH($H167,'TaxCred&amp;Subs'!$K$137:$S$137,0)),0),IF($C167=2,O167*IFERROR(INDEX('TaxCred&amp;Subs'!$K$139:$S$151,MATCH($C167&amp;$D167,'TaxCred&amp;Subs'!$D$139:$D$151,0),MATCH($H167,'TaxCred&amp;Subs'!$K$137:$S$137,0)),0),O167*IFERROR(INDEX('TaxCred&amp;Subs'!$K$139:$S$151,MATCH($C167&amp;$D167,'TaxCred&amp;Subs'!$C$139:$C$151,0),MATCH($H167,'TaxCred&amp;Subs'!$K$137:$S$137,0)),0))),0),0)</f>
        <v>362</v>
      </c>
      <c r="T167" s="95">
        <f t="shared" si="11"/>
        <v>0</v>
      </c>
      <c r="U167" s="95">
        <f t="shared" si="12"/>
        <v>0</v>
      </c>
      <c r="V167" s="28" t="s">
        <v>222</v>
      </c>
      <c r="W167" s="31">
        <v>2020</v>
      </c>
      <c r="X167" s="28">
        <v>1</v>
      </c>
      <c r="Y167" s="28">
        <v>0</v>
      </c>
      <c r="Z167" s="196">
        <v>-2.1453721591526507E-4</v>
      </c>
      <c r="AA167" s="196">
        <v>-3.3005725525425394E-3</v>
      </c>
      <c r="AB167" s="28">
        <v>0</v>
      </c>
      <c r="AC167" s="28">
        <v>0</v>
      </c>
      <c r="AD167" s="28" t="s">
        <v>327</v>
      </c>
    </row>
    <row r="168" spans="2:30" ht="14.25" customHeight="1" x14ac:dyDescent="0.2">
      <c r="B168" s="7">
        <f t="shared" si="10"/>
        <v>144</v>
      </c>
      <c r="C168" s="28">
        <v>1</v>
      </c>
      <c r="D168" s="28">
        <v>4</v>
      </c>
      <c r="E168" s="28">
        <v>13</v>
      </c>
      <c r="F168" s="78">
        <v>2022</v>
      </c>
      <c r="G168" s="28">
        <v>2032</v>
      </c>
      <c r="H168" s="28">
        <v>3</v>
      </c>
      <c r="I168" s="28">
        <v>13</v>
      </c>
      <c r="J168" s="28">
        <v>0</v>
      </c>
      <c r="K168" s="28">
        <v>0</v>
      </c>
      <c r="L168" s="28">
        <v>0</v>
      </c>
      <c r="M168" s="156">
        <v>0.96</v>
      </c>
      <c r="N168" s="151">
        <v>6710</v>
      </c>
      <c r="O168" s="151">
        <v>3670</v>
      </c>
      <c r="P168" s="95">
        <f t="array" ref="P168">ROUND(IF($F168&lt;='TaxCred&amp;Subs'!$C$49,(IF($C168=2,IF($M168&gt;=IFERROR(INDEX('TaxCred&amp;Subs'!$L$12:$L$47,MATCH(1,($C168&amp;$D168='TaxCred&amp;Subs'!$E$12:$E$47)*($F168='TaxCred&amp;Subs'!$C$12:$C$47),0)
),9999),IFERROR(INDEX('TaxCred&amp;Subs'!$N$12:$N$47,MATCH(1,($C168&amp;$D168='TaxCred&amp;Subs'!$E$12:$E$47)*($F168='TaxCred&amp;Subs'!$C$12:$C$47),0)
),0),0),(IF($M168&gt;=IFERROR(INDEX('TaxCred&amp;Subs'!$H$12:$H$47,MATCH(1,($C168&amp;$D168='TaxCred&amp;Subs'!$D$12:$D$47)*($F168='TaxCred&amp;Subs'!$C$12:$C$47),0)
),9999),IFERROR(INDEX('TaxCred&amp;Subs'!$N$12:$N$47,MATCH(1,($C168&amp;$D168='TaxCred&amp;Subs'!$D$12:$D$47)*($F168='TaxCred&amp;Subs'!$C$12:$C$47),0)
),0),0)))),0)+IF(AND($C168=2,VALUE(RIGHT($AD168,1))&gt;2),(N168-R168)*(IFERROR(INDEX('TaxCred&amp;Subs'!$J$66:$J$99,MATCH(1,($C168&amp;$D168='TaxCred&amp;Subs'!$E$66:$E$99)*($F168='TaxCred&amp;Subs'!$C$66:$C$99),0)),0)),IF(AND($C168=1,VALUE(RIGHT($AD168,1))&gt;2),(N168-R168)*(IFERROR(INDEX('TaxCred&amp;Subs'!$J$66:$J$99,MATCH(1,($C168&amp;$D168='TaxCred&amp;Subs'!$D$66:$D$99)*($F168='TaxCred&amp;Subs'!$C$66:$C$99),0)),0)),IF($C168&gt;2,(N168-R168)*(IFERROR(INDEX('TaxCred&amp;Subs'!$J$66:$J$99,MATCH(1,($C168&amp;$D168='TaxCred&amp;Subs'!$D$66:$D$99)*($F168='TaxCred&amp;Subs'!$C$66:$C$99),0)),0)),0))),0)</f>
        <v>600</v>
      </c>
      <c r="Q168" s="95">
        <f t="array" ref="Q168">ROUND(IF(AND($C168=2,VALUE(RIGHT($AD168,1))&gt;2),(O168-S168)*(IFERROR(INDEX('TaxCred&amp;Subs'!$J$66:$J$99,MATCH(1,($C168&amp;$D168='TaxCred&amp;Subs'!$E$66:$E$99)*($F168='TaxCred&amp;Subs'!$C$66:$C$99),0)),0)),IF(AND($C168=1,VALUE(RIGHT($AD168,1))&gt;2),(O168-S168)*(IFERROR(INDEX('TaxCred&amp;Subs'!$J$66:$J$99,MATCH(1,($C168&amp;$D168='TaxCred&amp;Subs'!$D$66:$D$99)*($F168='TaxCred&amp;Subs'!$C$66:$C$99),0)),0)),IF($C168&gt;2,(O168-S168)*(IFERROR(INDEX('TaxCred&amp;Subs'!$J$66:$J$99,MATCH(1,($C168&amp;$D168='TaxCred&amp;Subs'!$D$66:$D$99)*($F168='TaxCred&amp;Subs'!$C$66:$C$99),0)),0)),0))),0)</f>
        <v>0</v>
      </c>
      <c r="R168" s="95">
        <f t="array" ref="R168">ROUND(IF(IFERROR(VALUE(RIGHT($AD168,1)),0)&gt;2,IF($C168=8,N168*IFERROR(INDEX('TaxCred&amp;Subs'!$K$139:$S$151,MATCH($C168&amp;$D168&amp;LEFT($AD168,7),'TaxCred&amp;Subs'!$E$139:$E$151,0),MATCH($H168,'TaxCred&amp;Subs'!$K$137:$S$137,0)),0),IF($C168=2,N168*IFERROR(INDEX('TaxCred&amp;Subs'!$K$139:$S$151,MATCH($C168&amp;$D168,'TaxCred&amp;Subs'!$D$139:$D$151,0),MATCH($H168,'TaxCred&amp;Subs'!$K$137:$S$137,0)),0),N168*IFERROR(INDEX('TaxCred&amp;Subs'!$K$139:$S$151,MATCH($C168&amp;$D168,'TaxCred&amp;Subs'!$C$139:$C$151,0),MATCH($H168,'TaxCred&amp;Subs'!$K$137:$S$137,0)),0))),0),0)</f>
        <v>300</v>
      </c>
      <c r="S168" s="95">
        <f t="array" ref="S168">ROUND(IF(IFERROR(VALUE(RIGHT($AD168,1)),0)&gt;2,IF($C168=8,O168*IFERROR(INDEX('TaxCred&amp;Subs'!$K$139:$S$151,MATCH($C168&amp;$D168&amp;LEFT($AD168,7),'TaxCred&amp;Subs'!$E$139:$E$151,0),MATCH($H168,'TaxCred&amp;Subs'!$K$137:$S$137,0)),0),IF($C168=2,O168*IFERROR(INDEX('TaxCred&amp;Subs'!$K$139:$S$151,MATCH($C168&amp;$D168,'TaxCred&amp;Subs'!$D$139:$D$151,0),MATCH($H168,'TaxCred&amp;Subs'!$K$137:$S$137,0)),0),O168*IFERROR(INDEX('TaxCred&amp;Subs'!$K$139:$S$151,MATCH($C168&amp;$D168,'TaxCred&amp;Subs'!$C$139:$C$151,0),MATCH($H168,'TaxCred&amp;Subs'!$K$137:$S$137,0)),0))),0),0)</f>
        <v>164</v>
      </c>
      <c r="T168" s="95">
        <f t="shared" si="11"/>
        <v>0</v>
      </c>
      <c r="U168" s="95">
        <f t="shared" si="12"/>
        <v>0</v>
      </c>
      <c r="V168" s="28" t="s">
        <v>222</v>
      </c>
      <c r="W168" s="31">
        <v>2020</v>
      </c>
      <c r="X168" s="28">
        <v>1</v>
      </c>
      <c r="Y168" s="28">
        <v>0</v>
      </c>
      <c r="Z168" s="196">
        <v>-2.1453721591526507E-4</v>
      </c>
      <c r="AA168" s="196">
        <v>-3.3005725525425394E-3</v>
      </c>
      <c r="AB168" s="28">
        <v>0</v>
      </c>
      <c r="AC168" s="28">
        <v>0</v>
      </c>
      <c r="AD168" s="28" t="s">
        <v>327</v>
      </c>
    </row>
    <row r="169" spans="2:30" ht="14.25" customHeight="1" x14ac:dyDescent="0.2">
      <c r="B169" s="7">
        <f t="shared" si="10"/>
        <v>145</v>
      </c>
      <c r="C169" s="28">
        <v>1</v>
      </c>
      <c r="D169" s="28">
        <v>4</v>
      </c>
      <c r="E169" s="28">
        <v>13</v>
      </c>
      <c r="F169" s="78">
        <v>2022</v>
      </c>
      <c r="G169" s="28">
        <v>2032</v>
      </c>
      <c r="H169" s="28">
        <v>4</v>
      </c>
      <c r="I169" s="28">
        <v>13</v>
      </c>
      <c r="J169" s="28">
        <v>0</v>
      </c>
      <c r="K169" s="28">
        <v>0</v>
      </c>
      <c r="L169" s="28">
        <v>0</v>
      </c>
      <c r="M169" s="156">
        <v>0.96</v>
      </c>
      <c r="N169" s="151">
        <v>6710</v>
      </c>
      <c r="O169" s="151">
        <v>3670</v>
      </c>
      <c r="P169" s="95">
        <f t="array" ref="P169">ROUND(IF($F169&lt;='TaxCred&amp;Subs'!$C$49,(IF($C169=2,IF($M169&gt;=IFERROR(INDEX('TaxCred&amp;Subs'!$L$12:$L$47,MATCH(1,($C169&amp;$D169='TaxCred&amp;Subs'!$E$12:$E$47)*($F169='TaxCred&amp;Subs'!$C$12:$C$47),0)
),9999),IFERROR(INDEX('TaxCred&amp;Subs'!$N$12:$N$47,MATCH(1,($C169&amp;$D169='TaxCred&amp;Subs'!$E$12:$E$47)*($F169='TaxCred&amp;Subs'!$C$12:$C$47),0)
),0),0),(IF($M169&gt;=IFERROR(INDEX('TaxCred&amp;Subs'!$H$12:$H$47,MATCH(1,($C169&amp;$D169='TaxCred&amp;Subs'!$D$12:$D$47)*($F169='TaxCred&amp;Subs'!$C$12:$C$47),0)
),9999),IFERROR(INDEX('TaxCred&amp;Subs'!$N$12:$N$47,MATCH(1,($C169&amp;$D169='TaxCred&amp;Subs'!$D$12:$D$47)*($F169='TaxCred&amp;Subs'!$C$12:$C$47),0)
),0),0)))),0)+IF(AND($C169=2,VALUE(RIGHT($AD169,1))&gt;2),(N169-R169)*(IFERROR(INDEX('TaxCred&amp;Subs'!$J$66:$J$99,MATCH(1,($C169&amp;$D169='TaxCred&amp;Subs'!$E$66:$E$99)*($F169='TaxCred&amp;Subs'!$C$66:$C$99),0)),0)),IF(AND($C169=1,VALUE(RIGHT($AD169,1))&gt;2),(N169-R169)*(IFERROR(INDEX('TaxCred&amp;Subs'!$J$66:$J$99,MATCH(1,($C169&amp;$D169='TaxCred&amp;Subs'!$D$66:$D$99)*($F169='TaxCred&amp;Subs'!$C$66:$C$99),0)),0)),IF($C169&gt;2,(N169-R169)*(IFERROR(INDEX('TaxCred&amp;Subs'!$J$66:$J$99,MATCH(1,($C169&amp;$D169='TaxCred&amp;Subs'!$D$66:$D$99)*($F169='TaxCred&amp;Subs'!$C$66:$C$99),0)),0)),0))),0)</f>
        <v>600</v>
      </c>
      <c r="Q169" s="95">
        <f t="array" ref="Q169">ROUND(IF(AND($C169=2,VALUE(RIGHT($AD169,1))&gt;2),(O169-S169)*(IFERROR(INDEX('TaxCred&amp;Subs'!$J$66:$J$99,MATCH(1,($C169&amp;$D169='TaxCred&amp;Subs'!$E$66:$E$99)*($F169='TaxCred&amp;Subs'!$C$66:$C$99),0)),0)),IF(AND($C169=1,VALUE(RIGHT($AD169,1))&gt;2),(O169-S169)*(IFERROR(INDEX('TaxCred&amp;Subs'!$J$66:$J$99,MATCH(1,($C169&amp;$D169='TaxCred&amp;Subs'!$D$66:$D$99)*($F169='TaxCred&amp;Subs'!$C$66:$C$99),0)),0)),IF($C169&gt;2,(O169-S169)*(IFERROR(INDEX('TaxCred&amp;Subs'!$J$66:$J$99,MATCH(1,($C169&amp;$D169='TaxCred&amp;Subs'!$D$66:$D$99)*($F169='TaxCred&amp;Subs'!$C$66:$C$99),0)),0)),0))),0)</f>
        <v>0</v>
      </c>
      <c r="R169" s="95">
        <f t="array" ref="R169">ROUND(IF(IFERROR(VALUE(RIGHT($AD169,1)),0)&gt;2,IF($C169=8,N169*IFERROR(INDEX('TaxCred&amp;Subs'!$K$139:$S$151,MATCH($C169&amp;$D169&amp;LEFT($AD169,7),'TaxCred&amp;Subs'!$E$139:$E$151,0),MATCH($H169,'TaxCred&amp;Subs'!$K$137:$S$137,0)),0),IF($C169=2,N169*IFERROR(INDEX('TaxCred&amp;Subs'!$K$139:$S$151,MATCH($C169&amp;$D169,'TaxCred&amp;Subs'!$D$139:$D$151,0),MATCH($H169,'TaxCred&amp;Subs'!$K$137:$S$137,0)),0),N169*IFERROR(INDEX('TaxCred&amp;Subs'!$K$139:$S$151,MATCH($C169&amp;$D169,'TaxCred&amp;Subs'!$C$139:$C$151,0),MATCH($H169,'TaxCred&amp;Subs'!$K$137:$S$137,0)),0))),0),0)</f>
        <v>236</v>
      </c>
      <c r="S169" s="95">
        <f t="array" ref="S169">ROUND(IF(IFERROR(VALUE(RIGHT($AD169,1)),0)&gt;2,IF($C169=8,O169*IFERROR(INDEX('TaxCred&amp;Subs'!$K$139:$S$151,MATCH($C169&amp;$D169&amp;LEFT($AD169,7),'TaxCred&amp;Subs'!$E$139:$E$151,0),MATCH($H169,'TaxCred&amp;Subs'!$K$137:$S$137,0)),0),IF($C169=2,O169*IFERROR(INDEX('TaxCred&amp;Subs'!$K$139:$S$151,MATCH($C169&amp;$D169,'TaxCred&amp;Subs'!$D$139:$D$151,0),MATCH($H169,'TaxCred&amp;Subs'!$K$137:$S$137,0)),0),O169*IFERROR(INDEX('TaxCred&amp;Subs'!$K$139:$S$151,MATCH($C169&amp;$D169,'TaxCred&amp;Subs'!$C$139:$C$151,0),MATCH($H169,'TaxCred&amp;Subs'!$K$137:$S$137,0)),0))),0),0)</f>
        <v>129</v>
      </c>
      <c r="T169" s="95">
        <f t="shared" si="11"/>
        <v>0</v>
      </c>
      <c r="U169" s="95">
        <f t="shared" si="12"/>
        <v>0</v>
      </c>
      <c r="V169" s="28" t="s">
        <v>222</v>
      </c>
      <c r="W169" s="31">
        <v>2020</v>
      </c>
      <c r="X169" s="28">
        <v>1</v>
      </c>
      <c r="Y169" s="28">
        <v>0</v>
      </c>
      <c r="Z169" s="196">
        <v>-2.1453721591526507E-4</v>
      </c>
      <c r="AA169" s="196">
        <v>-3.3005725525425394E-3</v>
      </c>
      <c r="AB169" s="28">
        <v>0</v>
      </c>
      <c r="AC169" s="28">
        <v>0</v>
      </c>
      <c r="AD169" s="28" t="s">
        <v>327</v>
      </c>
    </row>
    <row r="170" spans="2:30" ht="14.25" customHeight="1" x14ac:dyDescent="0.2">
      <c r="B170" s="7">
        <f t="shared" si="10"/>
        <v>146</v>
      </c>
      <c r="C170" s="28">
        <v>1</v>
      </c>
      <c r="D170" s="28">
        <v>4</v>
      </c>
      <c r="E170" s="28">
        <v>13</v>
      </c>
      <c r="F170" s="78">
        <v>2022</v>
      </c>
      <c r="G170" s="28">
        <v>2032</v>
      </c>
      <c r="H170" s="28">
        <v>5</v>
      </c>
      <c r="I170" s="28">
        <v>13</v>
      </c>
      <c r="J170" s="28">
        <v>0</v>
      </c>
      <c r="K170" s="28">
        <v>0</v>
      </c>
      <c r="L170" s="28">
        <v>0</v>
      </c>
      <c r="M170" s="156">
        <v>0.96</v>
      </c>
      <c r="N170" s="151">
        <v>6710</v>
      </c>
      <c r="O170" s="151">
        <v>3670</v>
      </c>
      <c r="P170" s="95">
        <f t="array" ref="P170">ROUND(IF($F170&lt;='TaxCred&amp;Subs'!$C$49,(IF($C170=2,IF($M170&gt;=IFERROR(INDEX('TaxCred&amp;Subs'!$L$12:$L$47,MATCH(1,($C170&amp;$D170='TaxCred&amp;Subs'!$E$12:$E$47)*($F170='TaxCred&amp;Subs'!$C$12:$C$47),0)
),9999),IFERROR(INDEX('TaxCred&amp;Subs'!$N$12:$N$47,MATCH(1,($C170&amp;$D170='TaxCred&amp;Subs'!$E$12:$E$47)*($F170='TaxCred&amp;Subs'!$C$12:$C$47),0)
),0),0),(IF($M170&gt;=IFERROR(INDEX('TaxCred&amp;Subs'!$H$12:$H$47,MATCH(1,($C170&amp;$D170='TaxCred&amp;Subs'!$D$12:$D$47)*($F170='TaxCred&amp;Subs'!$C$12:$C$47),0)
),9999),IFERROR(INDEX('TaxCred&amp;Subs'!$N$12:$N$47,MATCH(1,($C170&amp;$D170='TaxCred&amp;Subs'!$D$12:$D$47)*($F170='TaxCred&amp;Subs'!$C$12:$C$47),0)
),0),0)))),0)+IF(AND($C170=2,VALUE(RIGHT($AD170,1))&gt;2),(N170-R170)*(IFERROR(INDEX('TaxCred&amp;Subs'!$J$66:$J$99,MATCH(1,($C170&amp;$D170='TaxCred&amp;Subs'!$E$66:$E$99)*($F170='TaxCred&amp;Subs'!$C$66:$C$99),0)),0)),IF(AND($C170=1,VALUE(RIGHT($AD170,1))&gt;2),(N170-R170)*(IFERROR(INDEX('TaxCred&amp;Subs'!$J$66:$J$99,MATCH(1,($C170&amp;$D170='TaxCred&amp;Subs'!$D$66:$D$99)*($F170='TaxCred&amp;Subs'!$C$66:$C$99),0)),0)),IF($C170&gt;2,(N170-R170)*(IFERROR(INDEX('TaxCred&amp;Subs'!$J$66:$J$99,MATCH(1,($C170&amp;$D170='TaxCred&amp;Subs'!$D$66:$D$99)*($F170='TaxCred&amp;Subs'!$C$66:$C$99),0)),0)),0))),0)</f>
        <v>600</v>
      </c>
      <c r="Q170" s="95">
        <f t="array" ref="Q170">ROUND(IF(AND($C170=2,VALUE(RIGHT($AD170,1))&gt;2),(O170-S170)*(IFERROR(INDEX('TaxCred&amp;Subs'!$J$66:$J$99,MATCH(1,($C170&amp;$D170='TaxCred&amp;Subs'!$E$66:$E$99)*($F170='TaxCred&amp;Subs'!$C$66:$C$99),0)),0)),IF(AND($C170=1,VALUE(RIGHT($AD170,1))&gt;2),(O170-S170)*(IFERROR(INDEX('TaxCred&amp;Subs'!$J$66:$J$99,MATCH(1,($C170&amp;$D170='TaxCred&amp;Subs'!$D$66:$D$99)*($F170='TaxCred&amp;Subs'!$C$66:$C$99),0)),0)),IF($C170&gt;2,(O170-S170)*(IFERROR(INDEX('TaxCred&amp;Subs'!$J$66:$J$99,MATCH(1,($C170&amp;$D170='TaxCred&amp;Subs'!$D$66:$D$99)*($F170='TaxCred&amp;Subs'!$C$66:$C$99),0)),0)),0))),0)</f>
        <v>0</v>
      </c>
      <c r="R170" s="95">
        <f t="array" ref="R170">ROUND(IF(IFERROR(VALUE(RIGHT($AD170,1)),0)&gt;2,IF($C170=8,N170*IFERROR(INDEX('TaxCred&amp;Subs'!$K$139:$S$151,MATCH($C170&amp;$D170&amp;LEFT($AD170,7),'TaxCred&amp;Subs'!$E$139:$E$151,0),MATCH($H170,'TaxCred&amp;Subs'!$K$137:$S$137,0)),0),IF($C170=2,N170*IFERROR(INDEX('TaxCred&amp;Subs'!$K$139:$S$151,MATCH($C170&amp;$D170,'TaxCred&amp;Subs'!$D$139:$D$151,0),MATCH($H170,'TaxCred&amp;Subs'!$K$137:$S$137,0)),0),N170*IFERROR(INDEX('TaxCred&amp;Subs'!$K$139:$S$151,MATCH($C170&amp;$D170,'TaxCred&amp;Subs'!$C$139:$C$151,0),MATCH($H170,'TaxCred&amp;Subs'!$K$137:$S$137,0)),0))),0),0)</f>
        <v>58</v>
      </c>
      <c r="S170" s="95">
        <f t="array" ref="S170">ROUND(IF(IFERROR(VALUE(RIGHT($AD170,1)),0)&gt;2,IF($C170=8,O170*IFERROR(INDEX('TaxCred&amp;Subs'!$K$139:$S$151,MATCH($C170&amp;$D170&amp;LEFT($AD170,7),'TaxCred&amp;Subs'!$E$139:$E$151,0),MATCH($H170,'TaxCred&amp;Subs'!$K$137:$S$137,0)),0),IF($C170=2,O170*IFERROR(INDEX('TaxCred&amp;Subs'!$K$139:$S$151,MATCH($C170&amp;$D170,'TaxCred&amp;Subs'!$D$139:$D$151,0),MATCH($H170,'TaxCred&amp;Subs'!$K$137:$S$137,0)),0),O170*IFERROR(INDEX('TaxCred&amp;Subs'!$K$139:$S$151,MATCH($C170&amp;$D170,'TaxCred&amp;Subs'!$C$139:$C$151,0),MATCH($H170,'TaxCred&amp;Subs'!$K$137:$S$137,0)),0))),0),0)</f>
        <v>32</v>
      </c>
      <c r="T170" s="95">
        <f t="shared" si="11"/>
        <v>0</v>
      </c>
      <c r="U170" s="95">
        <f t="shared" si="12"/>
        <v>0</v>
      </c>
      <c r="V170" s="28" t="s">
        <v>222</v>
      </c>
      <c r="W170" s="31">
        <v>2020</v>
      </c>
      <c r="X170" s="28">
        <v>1</v>
      </c>
      <c r="Y170" s="28">
        <v>0</v>
      </c>
      <c r="Z170" s="196">
        <v>-2.1453721591526507E-4</v>
      </c>
      <c r="AA170" s="196">
        <v>-3.3005725525425394E-3</v>
      </c>
      <c r="AB170" s="28">
        <v>0</v>
      </c>
      <c r="AC170" s="28">
        <v>0</v>
      </c>
      <c r="AD170" s="28" t="s">
        <v>327</v>
      </c>
    </row>
    <row r="171" spans="2:30" ht="14.25" customHeight="1" x14ac:dyDescent="0.2">
      <c r="B171" s="7">
        <f t="shared" si="10"/>
        <v>147</v>
      </c>
      <c r="C171" s="28">
        <v>1</v>
      </c>
      <c r="D171" s="28">
        <v>4</v>
      </c>
      <c r="E171" s="28">
        <v>13</v>
      </c>
      <c r="F171" s="78">
        <v>2022</v>
      </c>
      <c r="G171" s="28">
        <v>2032</v>
      </c>
      <c r="H171" s="28">
        <v>6</v>
      </c>
      <c r="I171" s="28">
        <v>13</v>
      </c>
      <c r="J171" s="28">
        <v>0</v>
      </c>
      <c r="K171" s="28">
        <v>0</v>
      </c>
      <c r="L171" s="28">
        <v>0</v>
      </c>
      <c r="M171" s="156">
        <v>0.96</v>
      </c>
      <c r="N171" s="151">
        <v>6710</v>
      </c>
      <c r="O171" s="151">
        <v>3670</v>
      </c>
      <c r="P171" s="95">
        <f t="array" ref="P171">ROUND(IF($F171&lt;='TaxCred&amp;Subs'!$C$49,(IF($C171=2,IF($M171&gt;=IFERROR(INDEX('TaxCred&amp;Subs'!$L$12:$L$47,MATCH(1,($C171&amp;$D171='TaxCred&amp;Subs'!$E$12:$E$47)*($F171='TaxCred&amp;Subs'!$C$12:$C$47),0)
),9999),IFERROR(INDEX('TaxCred&amp;Subs'!$N$12:$N$47,MATCH(1,($C171&amp;$D171='TaxCred&amp;Subs'!$E$12:$E$47)*($F171='TaxCred&amp;Subs'!$C$12:$C$47),0)
),0),0),(IF($M171&gt;=IFERROR(INDEX('TaxCred&amp;Subs'!$H$12:$H$47,MATCH(1,($C171&amp;$D171='TaxCred&amp;Subs'!$D$12:$D$47)*($F171='TaxCred&amp;Subs'!$C$12:$C$47),0)
),9999),IFERROR(INDEX('TaxCred&amp;Subs'!$N$12:$N$47,MATCH(1,($C171&amp;$D171='TaxCred&amp;Subs'!$D$12:$D$47)*($F171='TaxCred&amp;Subs'!$C$12:$C$47),0)
),0),0)))),0)+IF(AND($C171=2,VALUE(RIGHT($AD171,1))&gt;2),(N171-R171)*(IFERROR(INDEX('TaxCred&amp;Subs'!$J$66:$J$99,MATCH(1,($C171&amp;$D171='TaxCred&amp;Subs'!$E$66:$E$99)*($F171='TaxCred&amp;Subs'!$C$66:$C$99),0)),0)),IF(AND($C171=1,VALUE(RIGHT($AD171,1))&gt;2),(N171-R171)*(IFERROR(INDEX('TaxCred&amp;Subs'!$J$66:$J$99,MATCH(1,($C171&amp;$D171='TaxCred&amp;Subs'!$D$66:$D$99)*($F171='TaxCred&amp;Subs'!$C$66:$C$99),0)),0)),IF($C171&gt;2,(N171-R171)*(IFERROR(INDEX('TaxCred&amp;Subs'!$J$66:$J$99,MATCH(1,($C171&amp;$D171='TaxCred&amp;Subs'!$D$66:$D$99)*($F171='TaxCred&amp;Subs'!$C$66:$C$99),0)),0)),0))),0)</f>
        <v>600</v>
      </c>
      <c r="Q171" s="95">
        <f t="array" ref="Q171">ROUND(IF(AND($C171=2,VALUE(RIGHT($AD171,1))&gt;2),(O171-S171)*(IFERROR(INDEX('TaxCred&amp;Subs'!$J$66:$J$99,MATCH(1,($C171&amp;$D171='TaxCred&amp;Subs'!$E$66:$E$99)*($F171='TaxCred&amp;Subs'!$C$66:$C$99),0)),0)),IF(AND($C171=1,VALUE(RIGHT($AD171,1))&gt;2),(O171-S171)*(IFERROR(INDEX('TaxCred&amp;Subs'!$J$66:$J$99,MATCH(1,($C171&amp;$D171='TaxCred&amp;Subs'!$D$66:$D$99)*($F171='TaxCred&amp;Subs'!$C$66:$C$99),0)),0)),IF($C171&gt;2,(O171-S171)*(IFERROR(INDEX('TaxCred&amp;Subs'!$J$66:$J$99,MATCH(1,($C171&amp;$D171='TaxCred&amp;Subs'!$D$66:$D$99)*($F171='TaxCred&amp;Subs'!$C$66:$C$99),0)),0)),0))),0)</f>
        <v>0</v>
      </c>
      <c r="R171" s="95">
        <f t="array" ref="R171">ROUND(IF(IFERROR(VALUE(RIGHT($AD171,1)),0)&gt;2,IF($C171=8,N171*IFERROR(INDEX('TaxCred&amp;Subs'!$K$139:$S$151,MATCH($C171&amp;$D171&amp;LEFT($AD171,7),'TaxCred&amp;Subs'!$E$139:$E$151,0),MATCH($H171,'TaxCred&amp;Subs'!$K$137:$S$137,0)),0),IF($C171=2,N171*IFERROR(INDEX('TaxCred&amp;Subs'!$K$139:$S$151,MATCH($C171&amp;$D171,'TaxCred&amp;Subs'!$D$139:$D$151,0),MATCH($H171,'TaxCred&amp;Subs'!$K$137:$S$137,0)),0),N171*IFERROR(INDEX('TaxCred&amp;Subs'!$K$139:$S$151,MATCH($C171&amp;$D171,'TaxCred&amp;Subs'!$C$139:$C$151,0),MATCH($H171,'TaxCred&amp;Subs'!$K$137:$S$137,0)),0))),0),0)</f>
        <v>0</v>
      </c>
      <c r="S171" s="95">
        <f t="array" ref="S171">ROUND(IF(IFERROR(VALUE(RIGHT($AD171,1)),0)&gt;2,IF($C171=8,O171*IFERROR(INDEX('TaxCred&amp;Subs'!$K$139:$S$151,MATCH($C171&amp;$D171&amp;LEFT($AD171,7),'TaxCred&amp;Subs'!$E$139:$E$151,0),MATCH($H171,'TaxCred&amp;Subs'!$K$137:$S$137,0)),0),IF($C171=2,O171*IFERROR(INDEX('TaxCred&amp;Subs'!$K$139:$S$151,MATCH($C171&amp;$D171,'TaxCred&amp;Subs'!$D$139:$D$151,0),MATCH($H171,'TaxCred&amp;Subs'!$K$137:$S$137,0)),0),O171*IFERROR(INDEX('TaxCred&amp;Subs'!$K$139:$S$151,MATCH($C171&amp;$D171,'TaxCred&amp;Subs'!$C$139:$C$151,0),MATCH($H171,'TaxCred&amp;Subs'!$K$137:$S$137,0)),0))),0),0)</f>
        <v>0</v>
      </c>
      <c r="T171" s="95">
        <f t="shared" si="11"/>
        <v>0</v>
      </c>
      <c r="U171" s="95">
        <f t="shared" si="12"/>
        <v>0</v>
      </c>
      <c r="V171" s="28" t="s">
        <v>222</v>
      </c>
      <c r="W171" s="31">
        <v>2020</v>
      </c>
      <c r="X171" s="28">
        <v>1</v>
      </c>
      <c r="Y171" s="28">
        <v>0</v>
      </c>
      <c r="Z171" s="196">
        <v>-2.1453721591526507E-4</v>
      </c>
      <c r="AA171" s="196">
        <v>-3.3005725525425394E-3</v>
      </c>
      <c r="AB171" s="28">
        <v>0</v>
      </c>
      <c r="AC171" s="28">
        <v>0</v>
      </c>
      <c r="AD171" s="28" t="s">
        <v>327</v>
      </c>
    </row>
    <row r="172" spans="2:30" ht="14.25" customHeight="1" x14ac:dyDescent="0.2">
      <c r="B172" s="7">
        <f t="shared" si="10"/>
        <v>148</v>
      </c>
      <c r="C172" s="28">
        <v>1</v>
      </c>
      <c r="D172" s="28">
        <v>4</v>
      </c>
      <c r="E172" s="28">
        <v>13</v>
      </c>
      <c r="F172" s="78">
        <v>2022</v>
      </c>
      <c r="G172" s="28">
        <v>2032</v>
      </c>
      <c r="H172" s="28">
        <v>7</v>
      </c>
      <c r="I172" s="28">
        <v>13</v>
      </c>
      <c r="J172" s="28">
        <v>0</v>
      </c>
      <c r="K172" s="28">
        <v>0</v>
      </c>
      <c r="L172" s="28">
        <v>0</v>
      </c>
      <c r="M172" s="156">
        <v>0.96</v>
      </c>
      <c r="N172" s="151">
        <v>6710</v>
      </c>
      <c r="O172" s="151">
        <v>3670</v>
      </c>
      <c r="P172" s="95">
        <f t="array" ref="P172">ROUND(IF($F172&lt;='TaxCred&amp;Subs'!$C$49,(IF($C172=2,IF($M172&gt;=IFERROR(INDEX('TaxCred&amp;Subs'!$L$12:$L$47,MATCH(1,($C172&amp;$D172='TaxCred&amp;Subs'!$E$12:$E$47)*($F172='TaxCred&amp;Subs'!$C$12:$C$47),0)
),9999),IFERROR(INDEX('TaxCred&amp;Subs'!$N$12:$N$47,MATCH(1,($C172&amp;$D172='TaxCred&amp;Subs'!$E$12:$E$47)*($F172='TaxCred&amp;Subs'!$C$12:$C$47),0)
),0),0),(IF($M172&gt;=IFERROR(INDEX('TaxCred&amp;Subs'!$H$12:$H$47,MATCH(1,($C172&amp;$D172='TaxCred&amp;Subs'!$D$12:$D$47)*($F172='TaxCred&amp;Subs'!$C$12:$C$47),0)
),9999),IFERROR(INDEX('TaxCred&amp;Subs'!$N$12:$N$47,MATCH(1,($C172&amp;$D172='TaxCred&amp;Subs'!$D$12:$D$47)*($F172='TaxCred&amp;Subs'!$C$12:$C$47),0)
),0),0)))),0)+IF(AND($C172=2,VALUE(RIGHT($AD172,1))&gt;2),(N172-R172)*(IFERROR(INDEX('TaxCred&amp;Subs'!$J$66:$J$99,MATCH(1,($C172&amp;$D172='TaxCred&amp;Subs'!$E$66:$E$99)*($F172='TaxCred&amp;Subs'!$C$66:$C$99),0)),0)),IF(AND($C172=1,VALUE(RIGHT($AD172,1))&gt;2),(N172-R172)*(IFERROR(INDEX('TaxCred&amp;Subs'!$J$66:$J$99,MATCH(1,($C172&amp;$D172='TaxCred&amp;Subs'!$D$66:$D$99)*($F172='TaxCred&amp;Subs'!$C$66:$C$99),0)),0)),IF($C172&gt;2,(N172-R172)*(IFERROR(INDEX('TaxCred&amp;Subs'!$J$66:$J$99,MATCH(1,($C172&amp;$D172='TaxCred&amp;Subs'!$D$66:$D$99)*($F172='TaxCred&amp;Subs'!$C$66:$C$99),0)),0)),0))),0)</f>
        <v>600</v>
      </c>
      <c r="Q172" s="95">
        <f t="array" ref="Q172">ROUND(IF(AND($C172=2,VALUE(RIGHT($AD172,1))&gt;2),(O172-S172)*(IFERROR(INDEX('TaxCred&amp;Subs'!$J$66:$J$99,MATCH(1,($C172&amp;$D172='TaxCred&amp;Subs'!$E$66:$E$99)*($F172='TaxCred&amp;Subs'!$C$66:$C$99),0)),0)),IF(AND($C172=1,VALUE(RIGHT($AD172,1))&gt;2),(O172-S172)*(IFERROR(INDEX('TaxCred&amp;Subs'!$J$66:$J$99,MATCH(1,($C172&amp;$D172='TaxCred&amp;Subs'!$D$66:$D$99)*($F172='TaxCred&amp;Subs'!$C$66:$C$99),0)),0)),IF($C172&gt;2,(O172-S172)*(IFERROR(INDEX('TaxCred&amp;Subs'!$J$66:$J$99,MATCH(1,($C172&amp;$D172='TaxCred&amp;Subs'!$D$66:$D$99)*($F172='TaxCred&amp;Subs'!$C$66:$C$99),0)),0)),0))),0)</f>
        <v>0</v>
      </c>
      <c r="R172" s="95">
        <f t="array" ref="R172">ROUND(IF(IFERROR(VALUE(RIGHT($AD172,1)),0)&gt;2,IF($C172=8,N172*IFERROR(INDEX('TaxCred&amp;Subs'!$K$139:$S$151,MATCH($C172&amp;$D172&amp;LEFT($AD172,7),'TaxCred&amp;Subs'!$E$139:$E$151,0),MATCH($H172,'TaxCred&amp;Subs'!$K$137:$S$137,0)),0),IF($C172=2,N172*IFERROR(INDEX('TaxCred&amp;Subs'!$K$139:$S$151,MATCH($C172&amp;$D172,'TaxCred&amp;Subs'!$D$139:$D$151,0),MATCH($H172,'TaxCred&amp;Subs'!$K$137:$S$137,0)),0),N172*IFERROR(INDEX('TaxCred&amp;Subs'!$K$139:$S$151,MATCH($C172&amp;$D172,'TaxCred&amp;Subs'!$C$139:$C$151,0),MATCH($H172,'TaxCred&amp;Subs'!$K$137:$S$137,0)),0))),0),0)</f>
        <v>0</v>
      </c>
      <c r="S172" s="95">
        <f t="array" ref="S172">ROUND(IF(IFERROR(VALUE(RIGHT($AD172,1)),0)&gt;2,IF($C172=8,O172*IFERROR(INDEX('TaxCred&amp;Subs'!$K$139:$S$151,MATCH($C172&amp;$D172&amp;LEFT($AD172,7),'TaxCred&amp;Subs'!$E$139:$E$151,0),MATCH($H172,'TaxCred&amp;Subs'!$K$137:$S$137,0)),0),IF($C172=2,O172*IFERROR(INDEX('TaxCred&amp;Subs'!$K$139:$S$151,MATCH($C172&amp;$D172,'TaxCred&amp;Subs'!$D$139:$D$151,0),MATCH($H172,'TaxCred&amp;Subs'!$K$137:$S$137,0)),0),O172*IFERROR(INDEX('TaxCred&amp;Subs'!$K$139:$S$151,MATCH($C172&amp;$D172,'TaxCred&amp;Subs'!$C$139:$C$151,0),MATCH($H172,'TaxCred&amp;Subs'!$K$137:$S$137,0)),0))),0),0)</f>
        <v>0</v>
      </c>
      <c r="T172" s="95">
        <f t="shared" si="11"/>
        <v>0</v>
      </c>
      <c r="U172" s="95">
        <f t="shared" si="12"/>
        <v>0</v>
      </c>
      <c r="V172" s="28" t="s">
        <v>222</v>
      </c>
      <c r="W172" s="31">
        <v>2020</v>
      </c>
      <c r="X172" s="28">
        <v>1</v>
      </c>
      <c r="Y172" s="28">
        <v>0</v>
      </c>
      <c r="Z172" s="196">
        <v>-2.1453721591526507E-4</v>
      </c>
      <c r="AA172" s="196">
        <v>-3.3005725525425394E-3</v>
      </c>
      <c r="AB172" s="28">
        <v>0</v>
      </c>
      <c r="AC172" s="28">
        <v>0</v>
      </c>
      <c r="AD172" s="28" t="s">
        <v>327</v>
      </c>
    </row>
    <row r="173" spans="2:30" ht="14.25" customHeight="1" x14ac:dyDescent="0.2">
      <c r="B173" s="7">
        <f t="shared" si="10"/>
        <v>149</v>
      </c>
      <c r="C173" s="28">
        <v>1</v>
      </c>
      <c r="D173" s="28">
        <v>4</v>
      </c>
      <c r="E173" s="28">
        <v>13</v>
      </c>
      <c r="F173" s="78">
        <v>2022</v>
      </c>
      <c r="G173" s="28">
        <v>2032</v>
      </c>
      <c r="H173" s="28">
        <v>8</v>
      </c>
      <c r="I173" s="28">
        <v>13</v>
      </c>
      <c r="J173" s="28">
        <v>0</v>
      </c>
      <c r="K173" s="28">
        <v>0</v>
      </c>
      <c r="L173" s="28">
        <v>0</v>
      </c>
      <c r="M173" s="156">
        <v>0.96</v>
      </c>
      <c r="N173" s="151">
        <v>6710</v>
      </c>
      <c r="O173" s="151">
        <v>3670</v>
      </c>
      <c r="P173" s="95">
        <f t="array" ref="P173">ROUND(IF($F173&lt;='TaxCred&amp;Subs'!$C$49,(IF($C173=2,IF($M173&gt;=IFERROR(INDEX('TaxCred&amp;Subs'!$L$12:$L$47,MATCH(1,($C173&amp;$D173='TaxCred&amp;Subs'!$E$12:$E$47)*($F173='TaxCred&amp;Subs'!$C$12:$C$47),0)
),9999),IFERROR(INDEX('TaxCred&amp;Subs'!$N$12:$N$47,MATCH(1,($C173&amp;$D173='TaxCred&amp;Subs'!$E$12:$E$47)*($F173='TaxCred&amp;Subs'!$C$12:$C$47),0)
),0),0),(IF($M173&gt;=IFERROR(INDEX('TaxCred&amp;Subs'!$H$12:$H$47,MATCH(1,($C173&amp;$D173='TaxCred&amp;Subs'!$D$12:$D$47)*($F173='TaxCred&amp;Subs'!$C$12:$C$47),0)
),9999),IFERROR(INDEX('TaxCred&amp;Subs'!$N$12:$N$47,MATCH(1,($C173&amp;$D173='TaxCred&amp;Subs'!$D$12:$D$47)*($F173='TaxCred&amp;Subs'!$C$12:$C$47),0)
),0),0)))),0)+IF(AND($C173=2,VALUE(RIGHT($AD173,1))&gt;2),(N173-R173)*(IFERROR(INDEX('TaxCred&amp;Subs'!$J$66:$J$99,MATCH(1,($C173&amp;$D173='TaxCred&amp;Subs'!$E$66:$E$99)*($F173='TaxCred&amp;Subs'!$C$66:$C$99),0)),0)),IF(AND($C173=1,VALUE(RIGHT($AD173,1))&gt;2),(N173-R173)*(IFERROR(INDEX('TaxCred&amp;Subs'!$J$66:$J$99,MATCH(1,($C173&amp;$D173='TaxCred&amp;Subs'!$D$66:$D$99)*($F173='TaxCred&amp;Subs'!$C$66:$C$99),0)),0)),IF($C173&gt;2,(N173-R173)*(IFERROR(INDEX('TaxCred&amp;Subs'!$J$66:$J$99,MATCH(1,($C173&amp;$D173='TaxCred&amp;Subs'!$D$66:$D$99)*($F173='TaxCred&amp;Subs'!$C$66:$C$99),0)),0)),0))),0)</f>
        <v>600</v>
      </c>
      <c r="Q173" s="95">
        <f t="array" ref="Q173">ROUND(IF(AND($C173=2,VALUE(RIGHT($AD173,1))&gt;2),(O173-S173)*(IFERROR(INDEX('TaxCred&amp;Subs'!$J$66:$J$99,MATCH(1,($C173&amp;$D173='TaxCred&amp;Subs'!$E$66:$E$99)*($F173='TaxCred&amp;Subs'!$C$66:$C$99),0)),0)),IF(AND($C173=1,VALUE(RIGHT($AD173,1))&gt;2),(O173-S173)*(IFERROR(INDEX('TaxCred&amp;Subs'!$J$66:$J$99,MATCH(1,($C173&amp;$D173='TaxCred&amp;Subs'!$D$66:$D$99)*($F173='TaxCred&amp;Subs'!$C$66:$C$99),0)),0)),IF($C173&gt;2,(O173-S173)*(IFERROR(INDEX('TaxCred&amp;Subs'!$J$66:$J$99,MATCH(1,($C173&amp;$D173='TaxCred&amp;Subs'!$D$66:$D$99)*($F173='TaxCred&amp;Subs'!$C$66:$C$99),0)),0)),0))),0)</f>
        <v>0</v>
      </c>
      <c r="R173" s="95">
        <f t="array" ref="R173">ROUND(IF(IFERROR(VALUE(RIGHT($AD173,1)),0)&gt;2,IF($C173=8,N173*IFERROR(INDEX('TaxCred&amp;Subs'!$K$139:$S$151,MATCH($C173&amp;$D173&amp;LEFT($AD173,7),'TaxCred&amp;Subs'!$E$139:$E$151,0),MATCH($H173,'TaxCred&amp;Subs'!$K$137:$S$137,0)),0),IF($C173=2,N173*IFERROR(INDEX('TaxCred&amp;Subs'!$K$139:$S$151,MATCH($C173&amp;$D173,'TaxCred&amp;Subs'!$D$139:$D$151,0),MATCH($H173,'TaxCred&amp;Subs'!$K$137:$S$137,0)),0),N173*IFERROR(INDEX('TaxCred&amp;Subs'!$K$139:$S$151,MATCH($C173&amp;$D173,'TaxCred&amp;Subs'!$C$139:$C$151,0),MATCH($H173,'TaxCred&amp;Subs'!$K$137:$S$137,0)),0))),0),0)</f>
        <v>262</v>
      </c>
      <c r="S173" s="95">
        <f t="array" ref="S173">ROUND(IF(IFERROR(VALUE(RIGHT($AD173,1)),0)&gt;2,IF($C173=8,O173*IFERROR(INDEX('TaxCred&amp;Subs'!$K$139:$S$151,MATCH($C173&amp;$D173&amp;LEFT($AD173,7),'TaxCred&amp;Subs'!$E$139:$E$151,0),MATCH($H173,'TaxCred&amp;Subs'!$K$137:$S$137,0)),0),IF($C173=2,O173*IFERROR(INDEX('TaxCred&amp;Subs'!$K$139:$S$151,MATCH($C173&amp;$D173,'TaxCred&amp;Subs'!$D$139:$D$151,0),MATCH($H173,'TaxCred&amp;Subs'!$K$137:$S$137,0)),0),O173*IFERROR(INDEX('TaxCred&amp;Subs'!$K$139:$S$151,MATCH($C173&amp;$D173,'TaxCred&amp;Subs'!$C$139:$C$151,0),MATCH($H173,'TaxCred&amp;Subs'!$K$137:$S$137,0)),0))),0),0)</f>
        <v>143</v>
      </c>
      <c r="T173" s="95">
        <f t="shared" si="11"/>
        <v>0</v>
      </c>
      <c r="U173" s="95">
        <f t="shared" si="12"/>
        <v>0</v>
      </c>
      <c r="V173" s="28" t="s">
        <v>222</v>
      </c>
      <c r="W173" s="31">
        <v>2020</v>
      </c>
      <c r="X173" s="28">
        <v>1</v>
      </c>
      <c r="Y173" s="28">
        <v>0</v>
      </c>
      <c r="Z173" s="196">
        <v>-2.1453721591526507E-4</v>
      </c>
      <c r="AA173" s="196">
        <v>-3.3005725525425394E-3</v>
      </c>
      <c r="AB173" s="28">
        <v>0</v>
      </c>
      <c r="AC173" s="28">
        <v>0</v>
      </c>
      <c r="AD173" s="28" t="s">
        <v>327</v>
      </c>
    </row>
    <row r="174" spans="2:30" ht="14.25" customHeight="1" x14ac:dyDescent="0.2">
      <c r="B174" s="7">
        <f t="shared" si="10"/>
        <v>150</v>
      </c>
      <c r="C174" s="28">
        <v>1</v>
      </c>
      <c r="D174" s="28">
        <v>4</v>
      </c>
      <c r="E174" s="28">
        <v>13</v>
      </c>
      <c r="F174" s="78">
        <v>2022</v>
      </c>
      <c r="G174" s="28">
        <v>2032</v>
      </c>
      <c r="H174" s="28">
        <v>9</v>
      </c>
      <c r="I174" s="28">
        <v>13</v>
      </c>
      <c r="J174" s="28">
        <v>0</v>
      </c>
      <c r="K174" s="28">
        <v>0</v>
      </c>
      <c r="L174" s="28">
        <v>0</v>
      </c>
      <c r="M174" s="156">
        <v>0.96</v>
      </c>
      <c r="N174" s="151">
        <v>6710</v>
      </c>
      <c r="O174" s="151">
        <v>3670</v>
      </c>
      <c r="P174" s="95">
        <f t="array" ref="P174">ROUND(IF($F174&lt;='TaxCred&amp;Subs'!$C$49,(IF($C174=2,IF($M174&gt;=IFERROR(INDEX('TaxCred&amp;Subs'!$L$12:$L$47,MATCH(1,($C174&amp;$D174='TaxCred&amp;Subs'!$E$12:$E$47)*($F174='TaxCred&amp;Subs'!$C$12:$C$47),0)
),9999),IFERROR(INDEX('TaxCred&amp;Subs'!$N$12:$N$47,MATCH(1,($C174&amp;$D174='TaxCred&amp;Subs'!$E$12:$E$47)*($F174='TaxCred&amp;Subs'!$C$12:$C$47),0)
),0),0),(IF($M174&gt;=IFERROR(INDEX('TaxCred&amp;Subs'!$H$12:$H$47,MATCH(1,($C174&amp;$D174='TaxCred&amp;Subs'!$D$12:$D$47)*($F174='TaxCred&amp;Subs'!$C$12:$C$47),0)
),9999),IFERROR(INDEX('TaxCred&amp;Subs'!$N$12:$N$47,MATCH(1,($C174&amp;$D174='TaxCred&amp;Subs'!$D$12:$D$47)*($F174='TaxCred&amp;Subs'!$C$12:$C$47),0)
),0),0)))),0)+IF(AND($C174=2,VALUE(RIGHT($AD174,1))&gt;2),(N174-R174)*(IFERROR(INDEX('TaxCred&amp;Subs'!$J$66:$J$99,MATCH(1,($C174&amp;$D174='TaxCred&amp;Subs'!$E$66:$E$99)*($F174='TaxCred&amp;Subs'!$C$66:$C$99),0)),0)),IF(AND($C174=1,VALUE(RIGHT($AD174,1))&gt;2),(N174-R174)*(IFERROR(INDEX('TaxCred&amp;Subs'!$J$66:$J$99,MATCH(1,($C174&amp;$D174='TaxCred&amp;Subs'!$D$66:$D$99)*($F174='TaxCred&amp;Subs'!$C$66:$C$99),0)),0)),IF($C174&gt;2,(N174-R174)*(IFERROR(INDEX('TaxCred&amp;Subs'!$J$66:$J$99,MATCH(1,($C174&amp;$D174='TaxCred&amp;Subs'!$D$66:$D$99)*($F174='TaxCred&amp;Subs'!$C$66:$C$99),0)),0)),0))),0)</f>
        <v>600</v>
      </c>
      <c r="Q174" s="95">
        <f t="array" ref="Q174">ROUND(IF(AND($C174=2,VALUE(RIGHT($AD174,1))&gt;2),(O174-S174)*(IFERROR(INDEX('TaxCred&amp;Subs'!$J$66:$J$99,MATCH(1,($C174&amp;$D174='TaxCred&amp;Subs'!$E$66:$E$99)*($F174='TaxCred&amp;Subs'!$C$66:$C$99),0)),0)),IF(AND($C174=1,VALUE(RIGHT($AD174,1))&gt;2),(O174-S174)*(IFERROR(INDEX('TaxCred&amp;Subs'!$J$66:$J$99,MATCH(1,($C174&amp;$D174='TaxCred&amp;Subs'!$D$66:$D$99)*($F174='TaxCred&amp;Subs'!$C$66:$C$99),0)),0)),IF($C174&gt;2,(O174-S174)*(IFERROR(INDEX('TaxCred&amp;Subs'!$J$66:$J$99,MATCH(1,($C174&amp;$D174='TaxCred&amp;Subs'!$D$66:$D$99)*($F174='TaxCred&amp;Subs'!$C$66:$C$99),0)),0)),0))),0)</f>
        <v>0</v>
      </c>
      <c r="R174" s="95">
        <f t="array" ref="R174">ROUND(IF(IFERROR(VALUE(RIGHT($AD174,1)),0)&gt;2,IF($C174=8,N174*IFERROR(INDEX('TaxCred&amp;Subs'!$K$139:$S$151,MATCH($C174&amp;$D174&amp;LEFT($AD174,7),'TaxCred&amp;Subs'!$E$139:$E$151,0),MATCH($H174,'TaxCred&amp;Subs'!$K$137:$S$137,0)),0),IF($C174=2,N174*IFERROR(INDEX('TaxCred&amp;Subs'!$K$139:$S$151,MATCH($C174&amp;$D174,'TaxCred&amp;Subs'!$D$139:$D$151,0),MATCH($H174,'TaxCred&amp;Subs'!$K$137:$S$137,0)),0),N174*IFERROR(INDEX('TaxCred&amp;Subs'!$K$139:$S$151,MATCH($C174&amp;$D174,'TaxCred&amp;Subs'!$C$139:$C$151,0),MATCH($H174,'TaxCred&amp;Subs'!$K$137:$S$137,0)),0))),0),0)</f>
        <v>75</v>
      </c>
      <c r="S174" s="95">
        <f t="array" ref="S174">ROUND(IF(IFERROR(VALUE(RIGHT($AD174,1)),0)&gt;2,IF($C174=8,O174*IFERROR(INDEX('TaxCred&amp;Subs'!$K$139:$S$151,MATCH($C174&amp;$D174&amp;LEFT($AD174,7),'TaxCred&amp;Subs'!$E$139:$E$151,0),MATCH($H174,'TaxCred&amp;Subs'!$K$137:$S$137,0)),0),IF($C174=2,O174*IFERROR(INDEX('TaxCred&amp;Subs'!$K$139:$S$151,MATCH($C174&amp;$D174,'TaxCred&amp;Subs'!$D$139:$D$151,0),MATCH($H174,'TaxCred&amp;Subs'!$K$137:$S$137,0)),0),O174*IFERROR(INDEX('TaxCred&amp;Subs'!$K$139:$S$151,MATCH($C174&amp;$D174,'TaxCred&amp;Subs'!$C$139:$C$151,0),MATCH($H174,'TaxCred&amp;Subs'!$K$137:$S$137,0)),0))),0),0)</f>
        <v>41</v>
      </c>
      <c r="T174" s="172">
        <f t="shared" si="11"/>
        <v>916.5</v>
      </c>
      <c r="U174" s="172">
        <f t="shared" si="12"/>
        <v>550.5</v>
      </c>
      <c r="V174" s="28" t="s">
        <v>222</v>
      </c>
      <c r="W174" s="31">
        <v>2020</v>
      </c>
      <c r="X174" s="28">
        <v>1</v>
      </c>
      <c r="Y174" s="28">
        <v>0</v>
      </c>
      <c r="Z174" s="196">
        <v>-2.1453721591526507E-4</v>
      </c>
      <c r="AA174" s="196">
        <v>-3.3005725525425394E-3</v>
      </c>
      <c r="AB174" s="28">
        <v>0</v>
      </c>
      <c r="AC174" s="28">
        <v>0</v>
      </c>
      <c r="AD174" s="28" t="s">
        <v>327</v>
      </c>
    </row>
    <row r="175" spans="2:30" ht="14.25" customHeight="1" x14ac:dyDescent="0.2">
      <c r="B175" s="7">
        <f t="shared" si="10"/>
        <v>151</v>
      </c>
      <c r="C175" s="28">
        <v>1</v>
      </c>
      <c r="D175" s="28">
        <v>4</v>
      </c>
      <c r="E175" s="28">
        <v>13</v>
      </c>
      <c r="F175" s="78">
        <v>2033</v>
      </c>
      <c r="G175" s="28">
        <v>2050</v>
      </c>
      <c r="H175" s="28">
        <v>1</v>
      </c>
      <c r="I175" s="28">
        <v>13</v>
      </c>
      <c r="J175" s="28">
        <v>0</v>
      </c>
      <c r="K175" s="28">
        <v>0</v>
      </c>
      <c r="L175" s="28">
        <v>0</v>
      </c>
      <c r="M175" s="156">
        <v>0.96</v>
      </c>
      <c r="N175" s="151">
        <v>6710</v>
      </c>
      <c r="O175" s="151">
        <v>3670</v>
      </c>
      <c r="P175" s="95">
        <f t="array" ref="P175">ROUND(IF($F175&lt;='TaxCred&amp;Subs'!$C$49,(IF($C175=2,IF($M175&gt;=IFERROR(INDEX('TaxCred&amp;Subs'!$L$12:$L$47,MATCH(1,($C175&amp;$D175='TaxCred&amp;Subs'!$E$12:$E$47)*($F175='TaxCred&amp;Subs'!$C$12:$C$47),0)
),9999),IFERROR(INDEX('TaxCred&amp;Subs'!$N$12:$N$47,MATCH(1,($C175&amp;$D175='TaxCred&amp;Subs'!$E$12:$E$47)*($F175='TaxCred&amp;Subs'!$C$12:$C$47),0)
),0),0),(IF($M175&gt;=IFERROR(INDEX('TaxCred&amp;Subs'!$H$12:$H$47,MATCH(1,($C175&amp;$D175='TaxCred&amp;Subs'!$D$12:$D$47)*($F175='TaxCred&amp;Subs'!$C$12:$C$47),0)
),9999),IFERROR(INDEX('TaxCred&amp;Subs'!$N$12:$N$47,MATCH(1,($C175&amp;$D175='TaxCred&amp;Subs'!$D$12:$D$47)*($F175='TaxCred&amp;Subs'!$C$12:$C$47),0)
),0),0)))),0)+IF(AND($C175=2,VALUE(RIGHT($AD175,1))&gt;2),(N175-R175)*(IFERROR(INDEX('TaxCred&amp;Subs'!$J$66:$J$99,MATCH(1,($C175&amp;$D175='TaxCred&amp;Subs'!$E$66:$E$99)*($F175='TaxCred&amp;Subs'!$C$66:$C$99),0)),0)),IF(AND($C175=1,VALUE(RIGHT($AD175,1))&gt;2),(N175-R175)*(IFERROR(INDEX('TaxCred&amp;Subs'!$J$66:$J$99,MATCH(1,($C175&amp;$D175='TaxCred&amp;Subs'!$D$66:$D$99)*($F175='TaxCred&amp;Subs'!$C$66:$C$99),0)),0)),IF($C175&gt;2,(N175-R175)*(IFERROR(INDEX('TaxCred&amp;Subs'!$J$66:$J$99,MATCH(1,($C175&amp;$D175='TaxCred&amp;Subs'!$D$66:$D$99)*($F175='TaxCred&amp;Subs'!$C$66:$C$99),0)),0)),0))),0)</f>
        <v>0</v>
      </c>
      <c r="Q175" s="95">
        <f t="array" ref="Q175">ROUND(IF(AND($C175=2,VALUE(RIGHT($AD175,1))&gt;2),(O175-S175)*(IFERROR(INDEX('TaxCred&amp;Subs'!$J$66:$J$99,MATCH(1,($C175&amp;$D175='TaxCred&amp;Subs'!$E$66:$E$99)*($F175='TaxCred&amp;Subs'!$C$66:$C$99),0)),0)),IF(AND($C175=1,VALUE(RIGHT($AD175,1))&gt;2),(O175-S175)*(IFERROR(INDEX('TaxCred&amp;Subs'!$J$66:$J$99,MATCH(1,($C175&amp;$D175='TaxCred&amp;Subs'!$D$66:$D$99)*($F175='TaxCred&amp;Subs'!$C$66:$C$99),0)),0)),IF($C175&gt;2,(O175-S175)*(IFERROR(INDEX('TaxCred&amp;Subs'!$J$66:$J$99,MATCH(1,($C175&amp;$D175='TaxCred&amp;Subs'!$D$66:$D$99)*($F175='TaxCred&amp;Subs'!$C$66:$C$99),0)),0)),0))),0)</f>
        <v>0</v>
      </c>
      <c r="R175" s="95">
        <f t="array" ref="R175">ROUND(IF(IFERROR(VALUE(RIGHT($AD175,1)),0)&gt;2,IF($C175=8,N175*IFERROR(INDEX('TaxCred&amp;Subs'!$K$139:$S$151,MATCH($C175&amp;$D175&amp;LEFT($AD175,7),'TaxCred&amp;Subs'!$E$139:$E$151,0),MATCH($H175,'TaxCred&amp;Subs'!$K$137:$S$137,0)),0),IF($C175=2,N175*IFERROR(INDEX('TaxCred&amp;Subs'!$K$139:$S$151,MATCH($C175&amp;$D175,'TaxCred&amp;Subs'!$D$139:$D$151,0),MATCH($H175,'TaxCred&amp;Subs'!$K$137:$S$137,0)),0),N175*IFERROR(INDEX('TaxCred&amp;Subs'!$K$139:$S$151,MATCH($C175&amp;$D175,'TaxCred&amp;Subs'!$C$139:$C$151,0),MATCH($H175,'TaxCred&amp;Subs'!$K$137:$S$137,0)),0))),0),0)</f>
        <v>896</v>
      </c>
      <c r="S175" s="95">
        <f t="array" ref="S175">ROUND(IF(IFERROR(VALUE(RIGHT($AD175,1)),0)&gt;2,IF($C175=8,O175*IFERROR(INDEX('TaxCred&amp;Subs'!$K$139:$S$151,MATCH($C175&amp;$D175&amp;LEFT($AD175,7),'TaxCred&amp;Subs'!$E$139:$E$151,0),MATCH($H175,'TaxCred&amp;Subs'!$K$137:$S$137,0)),0),IF($C175=2,O175*IFERROR(INDEX('TaxCred&amp;Subs'!$K$139:$S$151,MATCH($C175&amp;$D175,'TaxCred&amp;Subs'!$D$139:$D$151,0),MATCH($H175,'TaxCred&amp;Subs'!$K$137:$S$137,0)),0),O175*IFERROR(INDEX('TaxCred&amp;Subs'!$K$139:$S$151,MATCH($C175&amp;$D175,'TaxCred&amp;Subs'!$C$139:$C$151,0),MATCH($H175,'TaxCred&amp;Subs'!$K$137:$S$137,0)),0))),0),0)</f>
        <v>490</v>
      </c>
      <c r="T175" s="95">
        <f t="shared" si="11"/>
        <v>0</v>
      </c>
      <c r="U175" s="95">
        <f t="shared" si="12"/>
        <v>0</v>
      </c>
      <c r="V175" s="28" t="s">
        <v>222</v>
      </c>
      <c r="W175" s="31">
        <v>2020</v>
      </c>
      <c r="X175" s="28">
        <v>1</v>
      </c>
      <c r="Y175" s="28">
        <v>0</v>
      </c>
      <c r="Z175" s="196">
        <v>-2.1453721591526507E-4</v>
      </c>
      <c r="AA175" s="196">
        <v>-3.3005725525425394E-3</v>
      </c>
      <c r="AB175" s="28">
        <v>0</v>
      </c>
      <c r="AC175" s="28">
        <v>0</v>
      </c>
      <c r="AD175" s="28" t="s">
        <v>327</v>
      </c>
    </row>
    <row r="176" spans="2:30" ht="14.25" customHeight="1" x14ac:dyDescent="0.2">
      <c r="B176" s="7">
        <f t="shared" si="10"/>
        <v>152</v>
      </c>
      <c r="C176" s="28">
        <v>1</v>
      </c>
      <c r="D176" s="28">
        <v>4</v>
      </c>
      <c r="E176" s="28">
        <v>13</v>
      </c>
      <c r="F176" s="78">
        <v>2033</v>
      </c>
      <c r="G176" s="28">
        <v>2050</v>
      </c>
      <c r="H176" s="28">
        <v>2</v>
      </c>
      <c r="I176" s="28">
        <v>13</v>
      </c>
      <c r="J176" s="28">
        <v>0</v>
      </c>
      <c r="K176" s="28">
        <v>0</v>
      </c>
      <c r="L176" s="28">
        <v>0</v>
      </c>
      <c r="M176" s="156">
        <v>0.96</v>
      </c>
      <c r="N176" s="151">
        <v>6710</v>
      </c>
      <c r="O176" s="151">
        <v>3670</v>
      </c>
      <c r="P176" s="95">
        <f t="array" ref="P176">ROUND(IF($F176&lt;='TaxCred&amp;Subs'!$C$49,(IF($C176=2,IF($M176&gt;=IFERROR(INDEX('TaxCred&amp;Subs'!$L$12:$L$47,MATCH(1,($C176&amp;$D176='TaxCred&amp;Subs'!$E$12:$E$47)*($F176='TaxCred&amp;Subs'!$C$12:$C$47),0)
),9999),IFERROR(INDEX('TaxCred&amp;Subs'!$N$12:$N$47,MATCH(1,($C176&amp;$D176='TaxCred&amp;Subs'!$E$12:$E$47)*($F176='TaxCred&amp;Subs'!$C$12:$C$47),0)
),0),0),(IF($M176&gt;=IFERROR(INDEX('TaxCred&amp;Subs'!$H$12:$H$47,MATCH(1,($C176&amp;$D176='TaxCred&amp;Subs'!$D$12:$D$47)*($F176='TaxCred&amp;Subs'!$C$12:$C$47),0)
),9999),IFERROR(INDEX('TaxCred&amp;Subs'!$N$12:$N$47,MATCH(1,($C176&amp;$D176='TaxCred&amp;Subs'!$D$12:$D$47)*($F176='TaxCred&amp;Subs'!$C$12:$C$47),0)
),0),0)))),0)+IF(AND($C176=2,VALUE(RIGHT($AD176,1))&gt;2),(N176-R176)*(IFERROR(INDEX('TaxCred&amp;Subs'!$J$66:$J$99,MATCH(1,($C176&amp;$D176='TaxCred&amp;Subs'!$E$66:$E$99)*($F176='TaxCred&amp;Subs'!$C$66:$C$99),0)),0)),IF(AND($C176=1,VALUE(RIGHT($AD176,1))&gt;2),(N176-R176)*(IFERROR(INDEX('TaxCred&amp;Subs'!$J$66:$J$99,MATCH(1,($C176&amp;$D176='TaxCred&amp;Subs'!$D$66:$D$99)*($F176='TaxCred&amp;Subs'!$C$66:$C$99),0)),0)),IF($C176&gt;2,(N176-R176)*(IFERROR(INDEX('TaxCred&amp;Subs'!$J$66:$J$99,MATCH(1,($C176&amp;$D176='TaxCred&amp;Subs'!$D$66:$D$99)*($F176='TaxCred&amp;Subs'!$C$66:$C$99),0)),0)),0))),0)</f>
        <v>0</v>
      </c>
      <c r="Q176" s="95">
        <f t="array" ref="Q176">ROUND(IF(AND($C176=2,VALUE(RIGHT($AD176,1))&gt;2),(O176-S176)*(IFERROR(INDEX('TaxCred&amp;Subs'!$J$66:$J$99,MATCH(1,($C176&amp;$D176='TaxCred&amp;Subs'!$E$66:$E$99)*($F176='TaxCred&amp;Subs'!$C$66:$C$99),0)),0)),IF(AND($C176=1,VALUE(RIGHT($AD176,1))&gt;2),(O176-S176)*(IFERROR(INDEX('TaxCred&amp;Subs'!$J$66:$J$99,MATCH(1,($C176&amp;$D176='TaxCred&amp;Subs'!$D$66:$D$99)*($F176='TaxCred&amp;Subs'!$C$66:$C$99),0)),0)),IF($C176&gt;2,(O176-S176)*(IFERROR(INDEX('TaxCred&amp;Subs'!$J$66:$J$99,MATCH(1,($C176&amp;$D176='TaxCred&amp;Subs'!$D$66:$D$99)*($F176='TaxCred&amp;Subs'!$C$66:$C$99),0)),0)),0))),0)</f>
        <v>0</v>
      </c>
      <c r="R176" s="95">
        <f t="array" ref="R176">ROUND(IF(IFERROR(VALUE(RIGHT($AD176,1)),0)&gt;2,IF($C176=8,N176*IFERROR(INDEX('TaxCred&amp;Subs'!$K$139:$S$151,MATCH($C176&amp;$D176&amp;LEFT($AD176,7),'TaxCred&amp;Subs'!$E$139:$E$151,0),MATCH($H176,'TaxCred&amp;Subs'!$K$137:$S$137,0)),0),IF($C176=2,N176*IFERROR(INDEX('TaxCred&amp;Subs'!$K$139:$S$151,MATCH($C176&amp;$D176,'TaxCred&amp;Subs'!$D$139:$D$151,0),MATCH($H176,'TaxCred&amp;Subs'!$K$137:$S$137,0)),0),N176*IFERROR(INDEX('TaxCred&amp;Subs'!$K$139:$S$151,MATCH($C176&amp;$D176,'TaxCred&amp;Subs'!$C$139:$C$151,0),MATCH($H176,'TaxCred&amp;Subs'!$K$137:$S$137,0)),0))),0),0)</f>
        <v>661</v>
      </c>
      <c r="S176" s="95">
        <f t="array" ref="S176">ROUND(IF(IFERROR(VALUE(RIGHT($AD176,1)),0)&gt;2,IF($C176=8,O176*IFERROR(INDEX('TaxCred&amp;Subs'!$K$139:$S$151,MATCH($C176&amp;$D176&amp;LEFT($AD176,7),'TaxCred&amp;Subs'!$E$139:$E$151,0),MATCH($H176,'TaxCred&amp;Subs'!$K$137:$S$137,0)),0),IF($C176=2,O176*IFERROR(INDEX('TaxCred&amp;Subs'!$K$139:$S$151,MATCH($C176&amp;$D176,'TaxCred&amp;Subs'!$D$139:$D$151,0),MATCH($H176,'TaxCred&amp;Subs'!$K$137:$S$137,0)),0),O176*IFERROR(INDEX('TaxCred&amp;Subs'!$K$139:$S$151,MATCH($C176&amp;$D176,'TaxCred&amp;Subs'!$C$139:$C$151,0),MATCH($H176,'TaxCred&amp;Subs'!$K$137:$S$137,0)),0))),0),0)</f>
        <v>362</v>
      </c>
      <c r="T176" s="95">
        <f t="shared" si="11"/>
        <v>0</v>
      </c>
      <c r="U176" s="95">
        <f t="shared" si="12"/>
        <v>0</v>
      </c>
      <c r="V176" s="28" t="s">
        <v>222</v>
      </c>
      <c r="W176" s="31">
        <v>2020</v>
      </c>
      <c r="X176" s="28">
        <v>1</v>
      </c>
      <c r="Y176" s="28">
        <v>0</v>
      </c>
      <c r="Z176" s="196">
        <v>-2.1453721591526507E-4</v>
      </c>
      <c r="AA176" s="196">
        <v>-3.3005725525425394E-3</v>
      </c>
      <c r="AB176" s="28">
        <v>0</v>
      </c>
      <c r="AC176" s="28">
        <v>0</v>
      </c>
      <c r="AD176" s="28" t="s">
        <v>327</v>
      </c>
    </row>
    <row r="177" spans="2:31" ht="14.25" customHeight="1" x14ac:dyDescent="0.2">
      <c r="B177" s="7">
        <f t="shared" si="10"/>
        <v>153</v>
      </c>
      <c r="C177" s="28">
        <v>1</v>
      </c>
      <c r="D177" s="28">
        <v>4</v>
      </c>
      <c r="E177" s="28">
        <v>13</v>
      </c>
      <c r="F177" s="78">
        <v>2033</v>
      </c>
      <c r="G177" s="28">
        <v>2050</v>
      </c>
      <c r="H177" s="28">
        <v>3</v>
      </c>
      <c r="I177" s="28">
        <v>13</v>
      </c>
      <c r="J177" s="28">
        <v>0</v>
      </c>
      <c r="K177" s="28">
        <v>0</v>
      </c>
      <c r="L177" s="28">
        <v>0</v>
      </c>
      <c r="M177" s="156">
        <v>0.96</v>
      </c>
      <c r="N177" s="151">
        <v>6710</v>
      </c>
      <c r="O177" s="151">
        <v>3670</v>
      </c>
      <c r="P177" s="95">
        <f t="array" ref="P177">ROUND(IF($F177&lt;='TaxCred&amp;Subs'!$C$49,(IF($C177=2,IF($M177&gt;=IFERROR(INDEX('TaxCred&amp;Subs'!$L$12:$L$47,MATCH(1,($C177&amp;$D177='TaxCred&amp;Subs'!$E$12:$E$47)*($F177='TaxCred&amp;Subs'!$C$12:$C$47),0)
),9999),IFERROR(INDEX('TaxCred&amp;Subs'!$N$12:$N$47,MATCH(1,($C177&amp;$D177='TaxCred&amp;Subs'!$E$12:$E$47)*($F177='TaxCred&amp;Subs'!$C$12:$C$47),0)
),0),0),(IF($M177&gt;=IFERROR(INDEX('TaxCred&amp;Subs'!$H$12:$H$47,MATCH(1,($C177&amp;$D177='TaxCred&amp;Subs'!$D$12:$D$47)*($F177='TaxCred&amp;Subs'!$C$12:$C$47),0)
),9999),IFERROR(INDEX('TaxCred&amp;Subs'!$N$12:$N$47,MATCH(1,($C177&amp;$D177='TaxCred&amp;Subs'!$D$12:$D$47)*($F177='TaxCred&amp;Subs'!$C$12:$C$47),0)
),0),0)))),0)+IF(AND($C177=2,VALUE(RIGHT($AD177,1))&gt;2),(N177-R177)*(IFERROR(INDEX('TaxCred&amp;Subs'!$J$66:$J$99,MATCH(1,($C177&amp;$D177='TaxCred&amp;Subs'!$E$66:$E$99)*($F177='TaxCred&amp;Subs'!$C$66:$C$99),0)),0)),IF(AND($C177=1,VALUE(RIGHT($AD177,1))&gt;2),(N177-R177)*(IFERROR(INDEX('TaxCred&amp;Subs'!$J$66:$J$99,MATCH(1,($C177&amp;$D177='TaxCred&amp;Subs'!$D$66:$D$99)*($F177='TaxCred&amp;Subs'!$C$66:$C$99),0)),0)),IF($C177&gt;2,(N177-R177)*(IFERROR(INDEX('TaxCred&amp;Subs'!$J$66:$J$99,MATCH(1,($C177&amp;$D177='TaxCred&amp;Subs'!$D$66:$D$99)*($F177='TaxCred&amp;Subs'!$C$66:$C$99),0)),0)),0))),0)</f>
        <v>0</v>
      </c>
      <c r="Q177" s="95">
        <f t="array" ref="Q177">ROUND(IF(AND($C177=2,VALUE(RIGHT($AD177,1))&gt;2),(O177-S177)*(IFERROR(INDEX('TaxCred&amp;Subs'!$J$66:$J$99,MATCH(1,($C177&amp;$D177='TaxCred&amp;Subs'!$E$66:$E$99)*($F177='TaxCred&amp;Subs'!$C$66:$C$99),0)),0)),IF(AND($C177=1,VALUE(RIGHT($AD177,1))&gt;2),(O177-S177)*(IFERROR(INDEX('TaxCred&amp;Subs'!$J$66:$J$99,MATCH(1,($C177&amp;$D177='TaxCred&amp;Subs'!$D$66:$D$99)*($F177='TaxCred&amp;Subs'!$C$66:$C$99),0)),0)),IF($C177&gt;2,(O177-S177)*(IFERROR(INDEX('TaxCred&amp;Subs'!$J$66:$J$99,MATCH(1,($C177&amp;$D177='TaxCred&amp;Subs'!$D$66:$D$99)*($F177='TaxCred&amp;Subs'!$C$66:$C$99),0)),0)),0))),0)</f>
        <v>0</v>
      </c>
      <c r="R177" s="95">
        <f t="array" ref="R177">ROUND(IF(IFERROR(VALUE(RIGHT($AD177,1)),0)&gt;2,IF($C177=8,N177*IFERROR(INDEX('TaxCred&amp;Subs'!$K$139:$S$151,MATCH($C177&amp;$D177&amp;LEFT($AD177,7),'TaxCred&amp;Subs'!$E$139:$E$151,0),MATCH($H177,'TaxCred&amp;Subs'!$K$137:$S$137,0)),0),IF($C177=2,N177*IFERROR(INDEX('TaxCred&amp;Subs'!$K$139:$S$151,MATCH($C177&amp;$D177,'TaxCred&amp;Subs'!$D$139:$D$151,0),MATCH($H177,'TaxCred&amp;Subs'!$K$137:$S$137,0)),0),N177*IFERROR(INDEX('TaxCred&amp;Subs'!$K$139:$S$151,MATCH($C177&amp;$D177,'TaxCred&amp;Subs'!$C$139:$C$151,0),MATCH($H177,'TaxCred&amp;Subs'!$K$137:$S$137,0)),0))),0),0)</f>
        <v>300</v>
      </c>
      <c r="S177" s="95">
        <f t="array" ref="S177">ROUND(IF(IFERROR(VALUE(RIGHT($AD177,1)),0)&gt;2,IF($C177=8,O177*IFERROR(INDEX('TaxCred&amp;Subs'!$K$139:$S$151,MATCH($C177&amp;$D177&amp;LEFT($AD177,7),'TaxCred&amp;Subs'!$E$139:$E$151,0),MATCH($H177,'TaxCred&amp;Subs'!$K$137:$S$137,0)),0),IF($C177=2,O177*IFERROR(INDEX('TaxCred&amp;Subs'!$K$139:$S$151,MATCH($C177&amp;$D177,'TaxCred&amp;Subs'!$D$139:$D$151,0),MATCH($H177,'TaxCred&amp;Subs'!$K$137:$S$137,0)),0),O177*IFERROR(INDEX('TaxCred&amp;Subs'!$K$139:$S$151,MATCH($C177&amp;$D177,'TaxCred&amp;Subs'!$C$139:$C$151,0),MATCH($H177,'TaxCred&amp;Subs'!$K$137:$S$137,0)),0))),0),0)</f>
        <v>164</v>
      </c>
      <c r="T177" s="95">
        <f t="shared" si="11"/>
        <v>0</v>
      </c>
      <c r="U177" s="95">
        <f t="shared" si="12"/>
        <v>0</v>
      </c>
      <c r="V177" s="28" t="s">
        <v>222</v>
      </c>
      <c r="W177" s="31">
        <v>2020</v>
      </c>
      <c r="X177" s="28">
        <v>1</v>
      </c>
      <c r="Y177" s="28">
        <v>0</v>
      </c>
      <c r="Z177" s="196">
        <v>-2.1453721591526507E-4</v>
      </c>
      <c r="AA177" s="196">
        <v>-3.3005725525425394E-3</v>
      </c>
      <c r="AB177" s="28">
        <v>0</v>
      </c>
      <c r="AC177" s="28">
        <v>0</v>
      </c>
      <c r="AD177" s="28" t="s">
        <v>327</v>
      </c>
    </row>
    <row r="178" spans="2:31" ht="14.25" customHeight="1" x14ac:dyDescent="0.2">
      <c r="B178" s="7">
        <f t="shared" si="10"/>
        <v>154</v>
      </c>
      <c r="C178" s="28">
        <v>1</v>
      </c>
      <c r="D178" s="28">
        <v>4</v>
      </c>
      <c r="E178" s="28">
        <v>13</v>
      </c>
      <c r="F178" s="78">
        <v>2033</v>
      </c>
      <c r="G178" s="28">
        <v>2050</v>
      </c>
      <c r="H178" s="28">
        <v>4</v>
      </c>
      <c r="I178" s="28">
        <v>13</v>
      </c>
      <c r="J178" s="28">
        <v>0</v>
      </c>
      <c r="K178" s="28">
        <v>0</v>
      </c>
      <c r="L178" s="28">
        <v>0</v>
      </c>
      <c r="M178" s="156">
        <v>0.96</v>
      </c>
      <c r="N178" s="151">
        <v>6710</v>
      </c>
      <c r="O178" s="151">
        <v>3670</v>
      </c>
      <c r="P178" s="95">
        <f t="array" ref="P178">ROUND(IF($F178&lt;='TaxCred&amp;Subs'!$C$49,(IF($C178=2,IF($M178&gt;=IFERROR(INDEX('TaxCred&amp;Subs'!$L$12:$L$47,MATCH(1,($C178&amp;$D178='TaxCred&amp;Subs'!$E$12:$E$47)*($F178='TaxCred&amp;Subs'!$C$12:$C$47),0)
),9999),IFERROR(INDEX('TaxCred&amp;Subs'!$N$12:$N$47,MATCH(1,($C178&amp;$D178='TaxCred&amp;Subs'!$E$12:$E$47)*($F178='TaxCred&amp;Subs'!$C$12:$C$47),0)
),0),0),(IF($M178&gt;=IFERROR(INDEX('TaxCred&amp;Subs'!$H$12:$H$47,MATCH(1,($C178&amp;$D178='TaxCred&amp;Subs'!$D$12:$D$47)*($F178='TaxCred&amp;Subs'!$C$12:$C$47),0)
),9999),IFERROR(INDEX('TaxCred&amp;Subs'!$N$12:$N$47,MATCH(1,($C178&amp;$D178='TaxCred&amp;Subs'!$D$12:$D$47)*($F178='TaxCred&amp;Subs'!$C$12:$C$47),0)
),0),0)))),0)+IF(AND($C178=2,VALUE(RIGHT($AD178,1))&gt;2),(N178-R178)*(IFERROR(INDEX('TaxCred&amp;Subs'!$J$66:$J$99,MATCH(1,($C178&amp;$D178='TaxCred&amp;Subs'!$E$66:$E$99)*($F178='TaxCred&amp;Subs'!$C$66:$C$99),0)),0)),IF(AND($C178=1,VALUE(RIGHT($AD178,1))&gt;2),(N178-R178)*(IFERROR(INDEX('TaxCred&amp;Subs'!$J$66:$J$99,MATCH(1,($C178&amp;$D178='TaxCred&amp;Subs'!$D$66:$D$99)*($F178='TaxCred&amp;Subs'!$C$66:$C$99),0)),0)),IF($C178&gt;2,(N178-R178)*(IFERROR(INDEX('TaxCred&amp;Subs'!$J$66:$J$99,MATCH(1,($C178&amp;$D178='TaxCred&amp;Subs'!$D$66:$D$99)*($F178='TaxCred&amp;Subs'!$C$66:$C$99),0)),0)),0))),0)</f>
        <v>0</v>
      </c>
      <c r="Q178" s="95">
        <f t="array" ref="Q178">ROUND(IF(AND($C178=2,VALUE(RIGHT($AD178,1))&gt;2),(O178-S178)*(IFERROR(INDEX('TaxCred&amp;Subs'!$J$66:$J$99,MATCH(1,($C178&amp;$D178='TaxCred&amp;Subs'!$E$66:$E$99)*($F178='TaxCred&amp;Subs'!$C$66:$C$99),0)),0)),IF(AND($C178=1,VALUE(RIGHT($AD178,1))&gt;2),(O178-S178)*(IFERROR(INDEX('TaxCred&amp;Subs'!$J$66:$J$99,MATCH(1,($C178&amp;$D178='TaxCred&amp;Subs'!$D$66:$D$99)*($F178='TaxCred&amp;Subs'!$C$66:$C$99),0)),0)),IF($C178&gt;2,(O178-S178)*(IFERROR(INDEX('TaxCred&amp;Subs'!$J$66:$J$99,MATCH(1,($C178&amp;$D178='TaxCred&amp;Subs'!$D$66:$D$99)*($F178='TaxCred&amp;Subs'!$C$66:$C$99),0)),0)),0))),0)</f>
        <v>0</v>
      </c>
      <c r="R178" s="95">
        <f t="array" ref="R178">ROUND(IF(IFERROR(VALUE(RIGHT($AD178,1)),0)&gt;2,IF($C178=8,N178*IFERROR(INDEX('TaxCred&amp;Subs'!$K$139:$S$151,MATCH($C178&amp;$D178&amp;LEFT($AD178,7),'TaxCred&amp;Subs'!$E$139:$E$151,0),MATCH($H178,'TaxCred&amp;Subs'!$K$137:$S$137,0)),0),IF($C178=2,N178*IFERROR(INDEX('TaxCred&amp;Subs'!$K$139:$S$151,MATCH($C178&amp;$D178,'TaxCred&amp;Subs'!$D$139:$D$151,0),MATCH($H178,'TaxCred&amp;Subs'!$K$137:$S$137,0)),0),N178*IFERROR(INDEX('TaxCred&amp;Subs'!$K$139:$S$151,MATCH($C178&amp;$D178,'TaxCred&amp;Subs'!$C$139:$C$151,0),MATCH($H178,'TaxCred&amp;Subs'!$K$137:$S$137,0)),0))),0),0)</f>
        <v>236</v>
      </c>
      <c r="S178" s="95">
        <f t="array" ref="S178">ROUND(IF(IFERROR(VALUE(RIGHT($AD178,1)),0)&gt;2,IF($C178=8,O178*IFERROR(INDEX('TaxCred&amp;Subs'!$K$139:$S$151,MATCH($C178&amp;$D178&amp;LEFT($AD178,7),'TaxCred&amp;Subs'!$E$139:$E$151,0),MATCH($H178,'TaxCred&amp;Subs'!$K$137:$S$137,0)),0),IF($C178=2,O178*IFERROR(INDEX('TaxCred&amp;Subs'!$K$139:$S$151,MATCH($C178&amp;$D178,'TaxCred&amp;Subs'!$D$139:$D$151,0),MATCH($H178,'TaxCred&amp;Subs'!$K$137:$S$137,0)),0),O178*IFERROR(INDEX('TaxCred&amp;Subs'!$K$139:$S$151,MATCH($C178&amp;$D178,'TaxCred&amp;Subs'!$C$139:$C$151,0),MATCH($H178,'TaxCred&amp;Subs'!$K$137:$S$137,0)),0))),0),0)</f>
        <v>129</v>
      </c>
      <c r="T178" s="95">
        <f t="shared" si="11"/>
        <v>0</v>
      </c>
      <c r="U178" s="95">
        <f t="shared" si="12"/>
        <v>0</v>
      </c>
      <c r="V178" s="28" t="s">
        <v>222</v>
      </c>
      <c r="W178" s="31">
        <v>2020</v>
      </c>
      <c r="X178" s="28">
        <v>1</v>
      </c>
      <c r="Y178" s="28">
        <v>0</v>
      </c>
      <c r="Z178" s="196">
        <v>-2.1453721591526507E-4</v>
      </c>
      <c r="AA178" s="196">
        <v>-3.3005725525425394E-3</v>
      </c>
      <c r="AB178" s="28">
        <v>0</v>
      </c>
      <c r="AC178" s="28">
        <v>0</v>
      </c>
      <c r="AD178" s="28" t="s">
        <v>327</v>
      </c>
    </row>
    <row r="179" spans="2:31" ht="14.25" customHeight="1" x14ac:dyDescent="0.2">
      <c r="B179" s="7">
        <f t="shared" si="10"/>
        <v>155</v>
      </c>
      <c r="C179" s="28">
        <v>1</v>
      </c>
      <c r="D179" s="28">
        <v>4</v>
      </c>
      <c r="E179" s="28">
        <v>13</v>
      </c>
      <c r="F179" s="78">
        <v>2033</v>
      </c>
      <c r="G179" s="28">
        <v>2050</v>
      </c>
      <c r="H179" s="28">
        <v>5</v>
      </c>
      <c r="I179" s="28">
        <v>13</v>
      </c>
      <c r="J179" s="28">
        <v>0</v>
      </c>
      <c r="K179" s="28">
        <v>0</v>
      </c>
      <c r="L179" s="28">
        <v>0</v>
      </c>
      <c r="M179" s="156">
        <v>0.96</v>
      </c>
      <c r="N179" s="151">
        <v>6710</v>
      </c>
      <c r="O179" s="151">
        <v>3670</v>
      </c>
      <c r="P179" s="95">
        <f t="array" ref="P179">ROUND(IF($F179&lt;='TaxCred&amp;Subs'!$C$49,(IF($C179=2,IF($M179&gt;=IFERROR(INDEX('TaxCred&amp;Subs'!$L$12:$L$47,MATCH(1,($C179&amp;$D179='TaxCred&amp;Subs'!$E$12:$E$47)*($F179='TaxCred&amp;Subs'!$C$12:$C$47),0)
),9999),IFERROR(INDEX('TaxCred&amp;Subs'!$N$12:$N$47,MATCH(1,($C179&amp;$D179='TaxCred&amp;Subs'!$E$12:$E$47)*($F179='TaxCred&amp;Subs'!$C$12:$C$47),0)
),0),0),(IF($M179&gt;=IFERROR(INDEX('TaxCred&amp;Subs'!$H$12:$H$47,MATCH(1,($C179&amp;$D179='TaxCred&amp;Subs'!$D$12:$D$47)*($F179='TaxCred&amp;Subs'!$C$12:$C$47),0)
),9999),IFERROR(INDEX('TaxCred&amp;Subs'!$N$12:$N$47,MATCH(1,($C179&amp;$D179='TaxCred&amp;Subs'!$D$12:$D$47)*($F179='TaxCred&amp;Subs'!$C$12:$C$47),0)
),0),0)))),0)+IF(AND($C179=2,VALUE(RIGHT($AD179,1))&gt;2),(N179-R179)*(IFERROR(INDEX('TaxCred&amp;Subs'!$J$66:$J$99,MATCH(1,($C179&amp;$D179='TaxCred&amp;Subs'!$E$66:$E$99)*($F179='TaxCred&amp;Subs'!$C$66:$C$99),0)),0)),IF(AND($C179=1,VALUE(RIGHT($AD179,1))&gt;2),(N179-R179)*(IFERROR(INDEX('TaxCred&amp;Subs'!$J$66:$J$99,MATCH(1,($C179&amp;$D179='TaxCred&amp;Subs'!$D$66:$D$99)*($F179='TaxCred&amp;Subs'!$C$66:$C$99),0)),0)),IF($C179&gt;2,(N179-R179)*(IFERROR(INDEX('TaxCred&amp;Subs'!$J$66:$J$99,MATCH(1,($C179&amp;$D179='TaxCred&amp;Subs'!$D$66:$D$99)*($F179='TaxCred&amp;Subs'!$C$66:$C$99),0)),0)),0))),0)</f>
        <v>0</v>
      </c>
      <c r="Q179" s="95">
        <f t="array" ref="Q179">ROUND(IF(AND($C179=2,VALUE(RIGHT($AD179,1))&gt;2),(O179-S179)*(IFERROR(INDEX('TaxCred&amp;Subs'!$J$66:$J$99,MATCH(1,($C179&amp;$D179='TaxCred&amp;Subs'!$E$66:$E$99)*($F179='TaxCred&amp;Subs'!$C$66:$C$99),0)),0)),IF(AND($C179=1,VALUE(RIGHT($AD179,1))&gt;2),(O179-S179)*(IFERROR(INDEX('TaxCred&amp;Subs'!$J$66:$J$99,MATCH(1,($C179&amp;$D179='TaxCred&amp;Subs'!$D$66:$D$99)*($F179='TaxCred&amp;Subs'!$C$66:$C$99),0)),0)),IF($C179&gt;2,(O179-S179)*(IFERROR(INDEX('TaxCred&amp;Subs'!$J$66:$J$99,MATCH(1,($C179&amp;$D179='TaxCred&amp;Subs'!$D$66:$D$99)*($F179='TaxCred&amp;Subs'!$C$66:$C$99),0)),0)),0))),0)</f>
        <v>0</v>
      </c>
      <c r="R179" s="95">
        <f t="array" ref="R179">ROUND(IF(IFERROR(VALUE(RIGHT($AD179,1)),0)&gt;2,IF($C179=8,N179*IFERROR(INDEX('TaxCred&amp;Subs'!$K$139:$S$151,MATCH($C179&amp;$D179&amp;LEFT($AD179,7),'TaxCred&amp;Subs'!$E$139:$E$151,0),MATCH($H179,'TaxCred&amp;Subs'!$K$137:$S$137,0)),0),IF($C179=2,N179*IFERROR(INDEX('TaxCred&amp;Subs'!$K$139:$S$151,MATCH($C179&amp;$D179,'TaxCred&amp;Subs'!$D$139:$D$151,0),MATCH($H179,'TaxCred&amp;Subs'!$K$137:$S$137,0)),0),N179*IFERROR(INDEX('TaxCred&amp;Subs'!$K$139:$S$151,MATCH($C179&amp;$D179,'TaxCred&amp;Subs'!$C$139:$C$151,0),MATCH($H179,'TaxCred&amp;Subs'!$K$137:$S$137,0)),0))),0),0)</f>
        <v>58</v>
      </c>
      <c r="S179" s="95">
        <f t="array" ref="S179">ROUND(IF(IFERROR(VALUE(RIGHT($AD179,1)),0)&gt;2,IF($C179=8,O179*IFERROR(INDEX('TaxCred&amp;Subs'!$K$139:$S$151,MATCH($C179&amp;$D179&amp;LEFT($AD179,7),'TaxCred&amp;Subs'!$E$139:$E$151,0),MATCH($H179,'TaxCred&amp;Subs'!$K$137:$S$137,0)),0),IF($C179=2,O179*IFERROR(INDEX('TaxCred&amp;Subs'!$K$139:$S$151,MATCH($C179&amp;$D179,'TaxCred&amp;Subs'!$D$139:$D$151,0),MATCH($H179,'TaxCred&amp;Subs'!$K$137:$S$137,0)),0),O179*IFERROR(INDEX('TaxCred&amp;Subs'!$K$139:$S$151,MATCH($C179&amp;$D179,'TaxCred&amp;Subs'!$C$139:$C$151,0),MATCH($H179,'TaxCred&amp;Subs'!$K$137:$S$137,0)),0))),0),0)</f>
        <v>32</v>
      </c>
      <c r="T179" s="95">
        <f t="shared" si="11"/>
        <v>0</v>
      </c>
      <c r="U179" s="95">
        <f t="shared" si="12"/>
        <v>0</v>
      </c>
      <c r="V179" s="28" t="s">
        <v>222</v>
      </c>
      <c r="W179" s="31">
        <v>2020</v>
      </c>
      <c r="X179" s="28">
        <v>1</v>
      </c>
      <c r="Y179" s="28">
        <v>0</v>
      </c>
      <c r="Z179" s="196">
        <v>-2.1453721591526507E-4</v>
      </c>
      <c r="AA179" s="196">
        <v>-3.3005725525425394E-3</v>
      </c>
      <c r="AB179" s="28">
        <v>0</v>
      </c>
      <c r="AC179" s="28">
        <v>0</v>
      </c>
      <c r="AD179" s="28" t="s">
        <v>327</v>
      </c>
    </row>
    <row r="180" spans="2:31" ht="14.25" customHeight="1" x14ac:dyDescent="0.2">
      <c r="B180" s="7">
        <f t="shared" si="10"/>
        <v>156</v>
      </c>
      <c r="C180" s="28">
        <v>1</v>
      </c>
      <c r="D180" s="28">
        <v>4</v>
      </c>
      <c r="E180" s="28">
        <v>13</v>
      </c>
      <c r="F180" s="78">
        <v>2033</v>
      </c>
      <c r="G180" s="28">
        <v>2050</v>
      </c>
      <c r="H180" s="28">
        <v>6</v>
      </c>
      <c r="I180" s="28">
        <v>13</v>
      </c>
      <c r="J180" s="28">
        <v>0</v>
      </c>
      <c r="K180" s="28">
        <v>0</v>
      </c>
      <c r="L180" s="28">
        <v>0</v>
      </c>
      <c r="M180" s="156">
        <v>0.96</v>
      </c>
      <c r="N180" s="151">
        <v>6710</v>
      </c>
      <c r="O180" s="151">
        <v>3670</v>
      </c>
      <c r="P180" s="95">
        <f t="array" ref="P180">ROUND(IF($F180&lt;='TaxCred&amp;Subs'!$C$49,(IF($C180=2,IF($M180&gt;=IFERROR(INDEX('TaxCred&amp;Subs'!$L$12:$L$47,MATCH(1,($C180&amp;$D180='TaxCred&amp;Subs'!$E$12:$E$47)*($F180='TaxCred&amp;Subs'!$C$12:$C$47),0)
),9999),IFERROR(INDEX('TaxCred&amp;Subs'!$N$12:$N$47,MATCH(1,($C180&amp;$D180='TaxCred&amp;Subs'!$E$12:$E$47)*($F180='TaxCred&amp;Subs'!$C$12:$C$47),0)
),0),0),(IF($M180&gt;=IFERROR(INDEX('TaxCred&amp;Subs'!$H$12:$H$47,MATCH(1,($C180&amp;$D180='TaxCred&amp;Subs'!$D$12:$D$47)*($F180='TaxCred&amp;Subs'!$C$12:$C$47),0)
),9999),IFERROR(INDEX('TaxCred&amp;Subs'!$N$12:$N$47,MATCH(1,($C180&amp;$D180='TaxCred&amp;Subs'!$D$12:$D$47)*($F180='TaxCred&amp;Subs'!$C$12:$C$47),0)
),0),0)))),0)+IF(AND($C180=2,VALUE(RIGHT($AD180,1))&gt;2),(N180-R180)*(IFERROR(INDEX('TaxCred&amp;Subs'!$J$66:$J$99,MATCH(1,($C180&amp;$D180='TaxCred&amp;Subs'!$E$66:$E$99)*($F180='TaxCred&amp;Subs'!$C$66:$C$99),0)),0)),IF(AND($C180=1,VALUE(RIGHT($AD180,1))&gt;2),(N180-R180)*(IFERROR(INDEX('TaxCred&amp;Subs'!$J$66:$J$99,MATCH(1,($C180&amp;$D180='TaxCred&amp;Subs'!$D$66:$D$99)*($F180='TaxCred&amp;Subs'!$C$66:$C$99),0)),0)),IF($C180&gt;2,(N180-R180)*(IFERROR(INDEX('TaxCred&amp;Subs'!$J$66:$J$99,MATCH(1,($C180&amp;$D180='TaxCred&amp;Subs'!$D$66:$D$99)*($F180='TaxCred&amp;Subs'!$C$66:$C$99),0)),0)),0))),0)</f>
        <v>0</v>
      </c>
      <c r="Q180" s="95">
        <f t="array" ref="Q180">ROUND(IF(AND($C180=2,VALUE(RIGHT($AD180,1))&gt;2),(O180-S180)*(IFERROR(INDEX('TaxCred&amp;Subs'!$J$66:$J$99,MATCH(1,($C180&amp;$D180='TaxCred&amp;Subs'!$E$66:$E$99)*($F180='TaxCred&amp;Subs'!$C$66:$C$99),0)),0)),IF(AND($C180=1,VALUE(RIGHT($AD180,1))&gt;2),(O180-S180)*(IFERROR(INDEX('TaxCred&amp;Subs'!$J$66:$J$99,MATCH(1,($C180&amp;$D180='TaxCred&amp;Subs'!$D$66:$D$99)*($F180='TaxCred&amp;Subs'!$C$66:$C$99),0)),0)),IF($C180&gt;2,(O180-S180)*(IFERROR(INDEX('TaxCred&amp;Subs'!$J$66:$J$99,MATCH(1,($C180&amp;$D180='TaxCred&amp;Subs'!$D$66:$D$99)*($F180='TaxCred&amp;Subs'!$C$66:$C$99),0)),0)),0))),0)</f>
        <v>0</v>
      </c>
      <c r="R180" s="95">
        <f t="array" ref="R180">ROUND(IF(IFERROR(VALUE(RIGHT($AD180,1)),0)&gt;2,IF($C180=8,N180*IFERROR(INDEX('TaxCred&amp;Subs'!$K$139:$S$151,MATCH($C180&amp;$D180&amp;LEFT($AD180,7),'TaxCred&amp;Subs'!$E$139:$E$151,0),MATCH($H180,'TaxCred&amp;Subs'!$K$137:$S$137,0)),0),IF($C180=2,N180*IFERROR(INDEX('TaxCred&amp;Subs'!$K$139:$S$151,MATCH($C180&amp;$D180,'TaxCred&amp;Subs'!$D$139:$D$151,0),MATCH($H180,'TaxCred&amp;Subs'!$K$137:$S$137,0)),0),N180*IFERROR(INDEX('TaxCred&amp;Subs'!$K$139:$S$151,MATCH($C180&amp;$D180,'TaxCred&amp;Subs'!$C$139:$C$151,0),MATCH($H180,'TaxCred&amp;Subs'!$K$137:$S$137,0)),0))),0),0)</f>
        <v>0</v>
      </c>
      <c r="S180" s="95">
        <f t="array" ref="S180">ROUND(IF(IFERROR(VALUE(RIGHT($AD180,1)),0)&gt;2,IF($C180=8,O180*IFERROR(INDEX('TaxCred&amp;Subs'!$K$139:$S$151,MATCH($C180&amp;$D180&amp;LEFT($AD180,7),'TaxCred&amp;Subs'!$E$139:$E$151,0),MATCH($H180,'TaxCred&amp;Subs'!$K$137:$S$137,0)),0),IF($C180=2,O180*IFERROR(INDEX('TaxCred&amp;Subs'!$K$139:$S$151,MATCH($C180&amp;$D180,'TaxCred&amp;Subs'!$D$139:$D$151,0),MATCH($H180,'TaxCred&amp;Subs'!$K$137:$S$137,0)),0),O180*IFERROR(INDEX('TaxCred&amp;Subs'!$K$139:$S$151,MATCH($C180&amp;$D180,'TaxCred&amp;Subs'!$C$139:$C$151,0),MATCH($H180,'TaxCred&amp;Subs'!$K$137:$S$137,0)),0))),0),0)</f>
        <v>0</v>
      </c>
      <c r="T180" s="95">
        <f t="shared" si="11"/>
        <v>0</v>
      </c>
      <c r="U180" s="95">
        <f t="shared" si="12"/>
        <v>0</v>
      </c>
      <c r="V180" s="28" t="s">
        <v>222</v>
      </c>
      <c r="W180" s="31">
        <v>2020</v>
      </c>
      <c r="X180" s="28">
        <v>1</v>
      </c>
      <c r="Y180" s="28">
        <v>0</v>
      </c>
      <c r="Z180" s="196">
        <v>-2.1453721591526507E-4</v>
      </c>
      <c r="AA180" s="196">
        <v>-3.3005725525425394E-3</v>
      </c>
      <c r="AB180" s="28">
        <v>0</v>
      </c>
      <c r="AC180" s="28">
        <v>0</v>
      </c>
      <c r="AD180" s="28" t="s">
        <v>327</v>
      </c>
    </row>
    <row r="181" spans="2:31" ht="14.25" customHeight="1" x14ac:dyDescent="0.2">
      <c r="B181" s="7">
        <f t="shared" si="10"/>
        <v>157</v>
      </c>
      <c r="C181" s="28">
        <v>1</v>
      </c>
      <c r="D181" s="28">
        <v>4</v>
      </c>
      <c r="E181" s="28">
        <v>13</v>
      </c>
      <c r="F181" s="78">
        <v>2033</v>
      </c>
      <c r="G181" s="28">
        <v>2050</v>
      </c>
      <c r="H181" s="28">
        <v>7</v>
      </c>
      <c r="I181" s="28">
        <v>13</v>
      </c>
      <c r="J181" s="28">
        <v>0</v>
      </c>
      <c r="K181" s="28">
        <v>0</v>
      </c>
      <c r="L181" s="28">
        <v>0</v>
      </c>
      <c r="M181" s="156">
        <v>0.96</v>
      </c>
      <c r="N181" s="151">
        <v>6710</v>
      </c>
      <c r="O181" s="151">
        <v>3670</v>
      </c>
      <c r="P181" s="95">
        <f t="array" ref="P181">ROUND(IF($F181&lt;='TaxCred&amp;Subs'!$C$49,(IF($C181=2,IF($M181&gt;=IFERROR(INDEX('TaxCred&amp;Subs'!$L$12:$L$47,MATCH(1,($C181&amp;$D181='TaxCred&amp;Subs'!$E$12:$E$47)*($F181='TaxCred&amp;Subs'!$C$12:$C$47),0)
),9999),IFERROR(INDEX('TaxCred&amp;Subs'!$N$12:$N$47,MATCH(1,($C181&amp;$D181='TaxCred&amp;Subs'!$E$12:$E$47)*($F181='TaxCred&amp;Subs'!$C$12:$C$47),0)
),0),0),(IF($M181&gt;=IFERROR(INDEX('TaxCred&amp;Subs'!$H$12:$H$47,MATCH(1,($C181&amp;$D181='TaxCred&amp;Subs'!$D$12:$D$47)*($F181='TaxCred&amp;Subs'!$C$12:$C$47),0)
),9999),IFERROR(INDEX('TaxCred&amp;Subs'!$N$12:$N$47,MATCH(1,($C181&amp;$D181='TaxCred&amp;Subs'!$D$12:$D$47)*($F181='TaxCred&amp;Subs'!$C$12:$C$47),0)
),0),0)))),0)+IF(AND($C181=2,VALUE(RIGHT($AD181,1))&gt;2),(N181-R181)*(IFERROR(INDEX('TaxCred&amp;Subs'!$J$66:$J$99,MATCH(1,($C181&amp;$D181='TaxCred&amp;Subs'!$E$66:$E$99)*($F181='TaxCred&amp;Subs'!$C$66:$C$99),0)),0)),IF(AND($C181=1,VALUE(RIGHT($AD181,1))&gt;2),(N181-R181)*(IFERROR(INDEX('TaxCred&amp;Subs'!$J$66:$J$99,MATCH(1,($C181&amp;$D181='TaxCred&amp;Subs'!$D$66:$D$99)*($F181='TaxCred&amp;Subs'!$C$66:$C$99),0)),0)),IF($C181&gt;2,(N181-R181)*(IFERROR(INDEX('TaxCred&amp;Subs'!$J$66:$J$99,MATCH(1,($C181&amp;$D181='TaxCred&amp;Subs'!$D$66:$D$99)*($F181='TaxCred&amp;Subs'!$C$66:$C$99),0)),0)),0))),0)</f>
        <v>0</v>
      </c>
      <c r="Q181" s="95">
        <f t="array" ref="Q181">ROUND(IF(AND($C181=2,VALUE(RIGHT($AD181,1))&gt;2),(O181-S181)*(IFERROR(INDEX('TaxCred&amp;Subs'!$J$66:$J$99,MATCH(1,($C181&amp;$D181='TaxCred&amp;Subs'!$E$66:$E$99)*($F181='TaxCred&amp;Subs'!$C$66:$C$99),0)),0)),IF(AND($C181=1,VALUE(RIGHT($AD181,1))&gt;2),(O181-S181)*(IFERROR(INDEX('TaxCred&amp;Subs'!$J$66:$J$99,MATCH(1,($C181&amp;$D181='TaxCred&amp;Subs'!$D$66:$D$99)*($F181='TaxCred&amp;Subs'!$C$66:$C$99),0)),0)),IF($C181&gt;2,(O181-S181)*(IFERROR(INDEX('TaxCred&amp;Subs'!$J$66:$J$99,MATCH(1,($C181&amp;$D181='TaxCred&amp;Subs'!$D$66:$D$99)*($F181='TaxCred&amp;Subs'!$C$66:$C$99),0)),0)),0))),0)</f>
        <v>0</v>
      </c>
      <c r="R181" s="95">
        <f t="array" ref="R181">ROUND(IF(IFERROR(VALUE(RIGHT($AD181,1)),0)&gt;2,IF($C181=8,N181*IFERROR(INDEX('TaxCred&amp;Subs'!$K$139:$S$151,MATCH($C181&amp;$D181&amp;LEFT($AD181,7),'TaxCred&amp;Subs'!$E$139:$E$151,0),MATCH($H181,'TaxCred&amp;Subs'!$K$137:$S$137,0)),0),IF($C181=2,N181*IFERROR(INDEX('TaxCred&amp;Subs'!$K$139:$S$151,MATCH($C181&amp;$D181,'TaxCred&amp;Subs'!$D$139:$D$151,0),MATCH($H181,'TaxCred&amp;Subs'!$K$137:$S$137,0)),0),N181*IFERROR(INDEX('TaxCred&amp;Subs'!$K$139:$S$151,MATCH($C181&amp;$D181,'TaxCred&amp;Subs'!$C$139:$C$151,0),MATCH($H181,'TaxCred&amp;Subs'!$K$137:$S$137,0)),0))),0),0)</f>
        <v>0</v>
      </c>
      <c r="S181" s="95">
        <f t="array" ref="S181">ROUND(IF(IFERROR(VALUE(RIGHT($AD181,1)),0)&gt;2,IF($C181=8,O181*IFERROR(INDEX('TaxCred&amp;Subs'!$K$139:$S$151,MATCH($C181&amp;$D181&amp;LEFT($AD181,7),'TaxCred&amp;Subs'!$E$139:$E$151,0),MATCH($H181,'TaxCred&amp;Subs'!$K$137:$S$137,0)),0),IF($C181=2,O181*IFERROR(INDEX('TaxCred&amp;Subs'!$K$139:$S$151,MATCH($C181&amp;$D181,'TaxCred&amp;Subs'!$D$139:$D$151,0),MATCH($H181,'TaxCred&amp;Subs'!$K$137:$S$137,0)),0),O181*IFERROR(INDEX('TaxCred&amp;Subs'!$K$139:$S$151,MATCH($C181&amp;$D181,'TaxCred&amp;Subs'!$C$139:$C$151,0),MATCH($H181,'TaxCred&amp;Subs'!$K$137:$S$137,0)),0))),0),0)</f>
        <v>0</v>
      </c>
      <c r="T181" s="95">
        <f t="shared" si="11"/>
        <v>0</v>
      </c>
      <c r="U181" s="95">
        <f t="shared" si="12"/>
        <v>0</v>
      </c>
      <c r="V181" s="28" t="s">
        <v>222</v>
      </c>
      <c r="W181" s="31">
        <v>2020</v>
      </c>
      <c r="X181" s="28">
        <v>1</v>
      </c>
      <c r="Y181" s="28">
        <v>0</v>
      </c>
      <c r="Z181" s="196">
        <v>-2.1453721591526507E-4</v>
      </c>
      <c r="AA181" s="196">
        <v>-3.3005725525425394E-3</v>
      </c>
      <c r="AB181" s="28">
        <v>0</v>
      </c>
      <c r="AC181" s="28">
        <v>0</v>
      </c>
      <c r="AD181" s="28" t="s">
        <v>327</v>
      </c>
    </row>
    <row r="182" spans="2:31" ht="14.25" customHeight="1" x14ac:dyDescent="0.2">
      <c r="B182" s="7">
        <f t="shared" si="10"/>
        <v>158</v>
      </c>
      <c r="C182" s="28">
        <v>1</v>
      </c>
      <c r="D182" s="28">
        <v>4</v>
      </c>
      <c r="E182" s="28">
        <v>13</v>
      </c>
      <c r="F182" s="78">
        <v>2033</v>
      </c>
      <c r="G182" s="28">
        <v>2050</v>
      </c>
      <c r="H182" s="28">
        <v>8</v>
      </c>
      <c r="I182" s="28">
        <v>13</v>
      </c>
      <c r="J182" s="28">
        <v>0</v>
      </c>
      <c r="K182" s="28">
        <v>0</v>
      </c>
      <c r="L182" s="28">
        <v>0</v>
      </c>
      <c r="M182" s="156">
        <v>0.96</v>
      </c>
      <c r="N182" s="151">
        <v>6710</v>
      </c>
      <c r="O182" s="151">
        <v>3670</v>
      </c>
      <c r="P182" s="95">
        <f t="array" ref="P182">ROUND(IF($F182&lt;='TaxCred&amp;Subs'!$C$49,(IF($C182=2,IF($M182&gt;=IFERROR(INDEX('TaxCred&amp;Subs'!$L$12:$L$47,MATCH(1,($C182&amp;$D182='TaxCred&amp;Subs'!$E$12:$E$47)*($F182='TaxCred&amp;Subs'!$C$12:$C$47),0)
),9999),IFERROR(INDEX('TaxCred&amp;Subs'!$N$12:$N$47,MATCH(1,($C182&amp;$D182='TaxCred&amp;Subs'!$E$12:$E$47)*($F182='TaxCred&amp;Subs'!$C$12:$C$47),0)
),0),0),(IF($M182&gt;=IFERROR(INDEX('TaxCred&amp;Subs'!$H$12:$H$47,MATCH(1,($C182&amp;$D182='TaxCred&amp;Subs'!$D$12:$D$47)*($F182='TaxCred&amp;Subs'!$C$12:$C$47),0)
),9999),IFERROR(INDEX('TaxCred&amp;Subs'!$N$12:$N$47,MATCH(1,($C182&amp;$D182='TaxCred&amp;Subs'!$D$12:$D$47)*($F182='TaxCred&amp;Subs'!$C$12:$C$47),0)
),0),0)))),0)+IF(AND($C182=2,VALUE(RIGHT($AD182,1))&gt;2),(N182-R182)*(IFERROR(INDEX('TaxCred&amp;Subs'!$J$66:$J$99,MATCH(1,($C182&amp;$D182='TaxCred&amp;Subs'!$E$66:$E$99)*($F182='TaxCred&amp;Subs'!$C$66:$C$99),0)),0)),IF(AND($C182=1,VALUE(RIGHT($AD182,1))&gt;2),(N182-R182)*(IFERROR(INDEX('TaxCred&amp;Subs'!$J$66:$J$99,MATCH(1,($C182&amp;$D182='TaxCred&amp;Subs'!$D$66:$D$99)*($F182='TaxCred&amp;Subs'!$C$66:$C$99),0)),0)),IF($C182&gt;2,(N182-R182)*(IFERROR(INDEX('TaxCred&amp;Subs'!$J$66:$J$99,MATCH(1,($C182&amp;$D182='TaxCred&amp;Subs'!$D$66:$D$99)*($F182='TaxCred&amp;Subs'!$C$66:$C$99),0)),0)),0))),0)</f>
        <v>0</v>
      </c>
      <c r="Q182" s="95">
        <f t="array" ref="Q182">ROUND(IF(AND($C182=2,VALUE(RIGHT($AD182,1))&gt;2),(O182-S182)*(IFERROR(INDEX('TaxCred&amp;Subs'!$J$66:$J$99,MATCH(1,($C182&amp;$D182='TaxCred&amp;Subs'!$E$66:$E$99)*($F182='TaxCred&amp;Subs'!$C$66:$C$99),0)),0)),IF(AND($C182=1,VALUE(RIGHT($AD182,1))&gt;2),(O182-S182)*(IFERROR(INDEX('TaxCred&amp;Subs'!$J$66:$J$99,MATCH(1,($C182&amp;$D182='TaxCred&amp;Subs'!$D$66:$D$99)*($F182='TaxCred&amp;Subs'!$C$66:$C$99),0)),0)),IF($C182&gt;2,(O182-S182)*(IFERROR(INDEX('TaxCred&amp;Subs'!$J$66:$J$99,MATCH(1,($C182&amp;$D182='TaxCred&amp;Subs'!$D$66:$D$99)*($F182='TaxCred&amp;Subs'!$C$66:$C$99),0)),0)),0))),0)</f>
        <v>0</v>
      </c>
      <c r="R182" s="95">
        <f t="array" ref="R182">ROUND(IF(IFERROR(VALUE(RIGHT($AD182,1)),0)&gt;2,IF($C182=8,N182*IFERROR(INDEX('TaxCred&amp;Subs'!$K$139:$S$151,MATCH($C182&amp;$D182&amp;LEFT($AD182,7),'TaxCred&amp;Subs'!$E$139:$E$151,0),MATCH($H182,'TaxCred&amp;Subs'!$K$137:$S$137,0)),0),IF($C182=2,N182*IFERROR(INDEX('TaxCred&amp;Subs'!$K$139:$S$151,MATCH($C182&amp;$D182,'TaxCred&amp;Subs'!$D$139:$D$151,0),MATCH($H182,'TaxCred&amp;Subs'!$K$137:$S$137,0)),0),N182*IFERROR(INDEX('TaxCred&amp;Subs'!$K$139:$S$151,MATCH($C182&amp;$D182,'TaxCred&amp;Subs'!$C$139:$C$151,0),MATCH($H182,'TaxCred&amp;Subs'!$K$137:$S$137,0)),0))),0),0)</f>
        <v>262</v>
      </c>
      <c r="S182" s="95">
        <f t="array" ref="S182">ROUND(IF(IFERROR(VALUE(RIGHT($AD182,1)),0)&gt;2,IF($C182=8,O182*IFERROR(INDEX('TaxCred&amp;Subs'!$K$139:$S$151,MATCH($C182&amp;$D182&amp;LEFT($AD182,7),'TaxCred&amp;Subs'!$E$139:$E$151,0),MATCH($H182,'TaxCred&amp;Subs'!$K$137:$S$137,0)),0),IF($C182=2,O182*IFERROR(INDEX('TaxCred&amp;Subs'!$K$139:$S$151,MATCH($C182&amp;$D182,'TaxCred&amp;Subs'!$D$139:$D$151,0),MATCH($H182,'TaxCred&amp;Subs'!$K$137:$S$137,0)),0),O182*IFERROR(INDEX('TaxCred&amp;Subs'!$K$139:$S$151,MATCH($C182&amp;$D182,'TaxCred&amp;Subs'!$C$139:$C$151,0),MATCH($H182,'TaxCred&amp;Subs'!$K$137:$S$137,0)),0))),0),0)</f>
        <v>143</v>
      </c>
      <c r="T182" s="95">
        <f t="shared" si="11"/>
        <v>0</v>
      </c>
      <c r="U182" s="95">
        <f t="shared" si="12"/>
        <v>0</v>
      </c>
      <c r="V182" s="28" t="s">
        <v>222</v>
      </c>
      <c r="W182" s="31">
        <v>2020</v>
      </c>
      <c r="X182" s="28">
        <v>1</v>
      </c>
      <c r="Y182" s="28">
        <v>0</v>
      </c>
      <c r="Z182" s="196">
        <v>-2.1453721591526507E-4</v>
      </c>
      <c r="AA182" s="196">
        <v>-3.3005725525425394E-3</v>
      </c>
      <c r="AB182" s="28">
        <v>0</v>
      </c>
      <c r="AC182" s="28">
        <v>0</v>
      </c>
      <c r="AD182" s="28" t="s">
        <v>327</v>
      </c>
    </row>
    <row r="183" spans="2:31" ht="14.25" customHeight="1" x14ac:dyDescent="0.2">
      <c r="B183" s="7">
        <f t="shared" si="10"/>
        <v>159</v>
      </c>
      <c r="C183" s="28">
        <v>1</v>
      </c>
      <c r="D183" s="28">
        <v>4</v>
      </c>
      <c r="E183" s="28">
        <v>13</v>
      </c>
      <c r="F183" s="78">
        <v>2033</v>
      </c>
      <c r="G183" s="28">
        <v>2050</v>
      </c>
      <c r="H183" s="28">
        <v>9</v>
      </c>
      <c r="I183" s="28">
        <v>13</v>
      </c>
      <c r="J183" s="28">
        <v>0</v>
      </c>
      <c r="K183" s="28">
        <v>0</v>
      </c>
      <c r="L183" s="28">
        <v>0</v>
      </c>
      <c r="M183" s="156">
        <v>0.96</v>
      </c>
      <c r="N183" s="151">
        <v>6710</v>
      </c>
      <c r="O183" s="151">
        <v>3670</v>
      </c>
      <c r="P183" s="95">
        <f t="array" ref="P183">ROUND(IF($F183&lt;='TaxCred&amp;Subs'!$C$49,(IF($C183=2,IF($M183&gt;=IFERROR(INDEX('TaxCred&amp;Subs'!$L$12:$L$47,MATCH(1,($C183&amp;$D183='TaxCred&amp;Subs'!$E$12:$E$47)*($F183='TaxCred&amp;Subs'!$C$12:$C$47),0)
),9999),IFERROR(INDEX('TaxCred&amp;Subs'!$N$12:$N$47,MATCH(1,($C183&amp;$D183='TaxCred&amp;Subs'!$E$12:$E$47)*($F183='TaxCred&amp;Subs'!$C$12:$C$47),0)
),0),0),(IF($M183&gt;=IFERROR(INDEX('TaxCred&amp;Subs'!$H$12:$H$47,MATCH(1,($C183&amp;$D183='TaxCred&amp;Subs'!$D$12:$D$47)*($F183='TaxCred&amp;Subs'!$C$12:$C$47),0)
),9999),IFERROR(INDEX('TaxCred&amp;Subs'!$N$12:$N$47,MATCH(1,($C183&amp;$D183='TaxCred&amp;Subs'!$D$12:$D$47)*($F183='TaxCred&amp;Subs'!$C$12:$C$47),0)
),0),0)))),0)+IF(AND($C183=2,VALUE(RIGHT($AD183,1))&gt;2),(N183-R183)*(IFERROR(INDEX('TaxCred&amp;Subs'!$J$66:$J$99,MATCH(1,($C183&amp;$D183='TaxCred&amp;Subs'!$E$66:$E$99)*($F183='TaxCred&amp;Subs'!$C$66:$C$99),0)),0)),IF(AND($C183=1,VALUE(RIGHT($AD183,1))&gt;2),(N183-R183)*(IFERROR(INDEX('TaxCred&amp;Subs'!$J$66:$J$99,MATCH(1,($C183&amp;$D183='TaxCred&amp;Subs'!$D$66:$D$99)*($F183='TaxCred&amp;Subs'!$C$66:$C$99),0)),0)),IF($C183&gt;2,(N183-R183)*(IFERROR(INDEX('TaxCred&amp;Subs'!$J$66:$J$99,MATCH(1,($C183&amp;$D183='TaxCred&amp;Subs'!$D$66:$D$99)*($F183='TaxCred&amp;Subs'!$C$66:$C$99),0)),0)),0))),0)</f>
        <v>0</v>
      </c>
      <c r="Q183" s="95">
        <f t="array" ref="Q183">ROUND(IF(AND($C183=2,VALUE(RIGHT($AD183,1))&gt;2),(O183-S183)*(IFERROR(INDEX('TaxCred&amp;Subs'!$J$66:$J$99,MATCH(1,($C183&amp;$D183='TaxCred&amp;Subs'!$E$66:$E$99)*($F183='TaxCred&amp;Subs'!$C$66:$C$99),0)),0)),IF(AND($C183=1,VALUE(RIGHT($AD183,1))&gt;2),(O183-S183)*(IFERROR(INDEX('TaxCred&amp;Subs'!$J$66:$J$99,MATCH(1,($C183&amp;$D183='TaxCred&amp;Subs'!$D$66:$D$99)*($F183='TaxCred&amp;Subs'!$C$66:$C$99),0)),0)),IF($C183&gt;2,(O183-S183)*(IFERROR(INDEX('TaxCred&amp;Subs'!$J$66:$J$99,MATCH(1,($C183&amp;$D183='TaxCred&amp;Subs'!$D$66:$D$99)*($F183='TaxCred&amp;Subs'!$C$66:$C$99),0)),0)),0))),0)</f>
        <v>0</v>
      </c>
      <c r="R183" s="95">
        <f t="array" ref="R183">ROUND(IF(IFERROR(VALUE(RIGHT($AD183,1)),0)&gt;2,IF($C183=8,N183*IFERROR(INDEX('TaxCred&amp;Subs'!$K$139:$S$151,MATCH($C183&amp;$D183&amp;LEFT($AD183,7),'TaxCred&amp;Subs'!$E$139:$E$151,0),MATCH($H183,'TaxCred&amp;Subs'!$K$137:$S$137,0)),0),IF($C183=2,N183*IFERROR(INDEX('TaxCred&amp;Subs'!$K$139:$S$151,MATCH($C183&amp;$D183,'TaxCred&amp;Subs'!$D$139:$D$151,0),MATCH($H183,'TaxCred&amp;Subs'!$K$137:$S$137,0)),0),N183*IFERROR(INDEX('TaxCred&amp;Subs'!$K$139:$S$151,MATCH($C183&amp;$D183,'TaxCred&amp;Subs'!$C$139:$C$151,0),MATCH($H183,'TaxCred&amp;Subs'!$K$137:$S$137,0)),0))),0),0)</f>
        <v>75</v>
      </c>
      <c r="S183" s="95">
        <f t="array" ref="S183">ROUND(IF(IFERROR(VALUE(RIGHT($AD183,1)),0)&gt;2,IF($C183=8,O183*IFERROR(INDEX('TaxCred&amp;Subs'!$K$139:$S$151,MATCH($C183&amp;$D183&amp;LEFT($AD183,7),'TaxCred&amp;Subs'!$E$139:$E$151,0),MATCH($H183,'TaxCred&amp;Subs'!$K$137:$S$137,0)),0),IF($C183=2,O183*IFERROR(INDEX('TaxCred&amp;Subs'!$K$139:$S$151,MATCH($C183&amp;$D183,'TaxCred&amp;Subs'!$D$139:$D$151,0),MATCH($H183,'TaxCred&amp;Subs'!$K$137:$S$137,0)),0),O183*IFERROR(INDEX('TaxCred&amp;Subs'!$K$139:$S$151,MATCH($C183&amp;$D183,'TaxCred&amp;Subs'!$C$139:$C$151,0),MATCH($H183,'TaxCred&amp;Subs'!$K$137:$S$137,0)),0))),0),0)</f>
        <v>41</v>
      </c>
      <c r="T183" s="172">
        <f t="shared" si="11"/>
        <v>1006.5</v>
      </c>
      <c r="U183" s="172">
        <f t="shared" si="12"/>
        <v>550.5</v>
      </c>
      <c r="V183" s="28" t="s">
        <v>222</v>
      </c>
      <c r="W183" s="31">
        <v>2020</v>
      </c>
      <c r="X183" s="28">
        <v>1</v>
      </c>
      <c r="Y183" s="28">
        <v>0</v>
      </c>
      <c r="Z183" s="196">
        <v>-2.1453721591526507E-4</v>
      </c>
      <c r="AA183" s="196">
        <v>-3.3005725525425394E-3</v>
      </c>
      <c r="AB183" s="28">
        <v>0</v>
      </c>
      <c r="AC183" s="28">
        <v>0</v>
      </c>
      <c r="AD183" s="28" t="s">
        <v>327</v>
      </c>
    </row>
    <row r="184" spans="2:31" x14ac:dyDescent="0.2">
      <c r="B184" s="7">
        <f t="shared" si="10"/>
        <v>160</v>
      </c>
      <c r="C184" s="83">
        <v>1</v>
      </c>
      <c r="D184" s="83">
        <v>5</v>
      </c>
      <c r="E184" s="83">
        <v>14</v>
      </c>
      <c r="F184" s="32">
        <v>2020</v>
      </c>
      <c r="G184" s="83">
        <v>2050</v>
      </c>
      <c r="H184" s="83">
        <v>11</v>
      </c>
      <c r="I184" s="83">
        <v>14</v>
      </c>
      <c r="J184" s="83">
        <v>0</v>
      </c>
      <c r="K184" s="83">
        <v>0</v>
      </c>
      <c r="L184" s="83">
        <v>0</v>
      </c>
      <c r="M184" s="82">
        <v>0.83</v>
      </c>
      <c r="N184" s="160">
        <v>4885</v>
      </c>
      <c r="O184" s="160">
        <v>3035</v>
      </c>
      <c r="P184" s="95">
        <f t="array" ref="P184">ROUND(IF($F184&lt;='TaxCred&amp;Subs'!$C$49,(IF($C184=2,IF($M184&gt;=IFERROR(INDEX('TaxCred&amp;Subs'!$L$12:$L$47,MATCH(1,($C184&amp;$D184='TaxCred&amp;Subs'!$E$12:$E$47)*($F184='TaxCred&amp;Subs'!$C$12:$C$47),0)
),9999),IFERROR(INDEX('TaxCred&amp;Subs'!$N$12:$N$47,MATCH(1,($C184&amp;$D184='TaxCred&amp;Subs'!$E$12:$E$47)*($F184='TaxCred&amp;Subs'!$C$12:$C$47),0)
),0),0),(IF($M184&gt;=IFERROR(INDEX('TaxCred&amp;Subs'!$H$12:$H$47,MATCH(1,($C184&amp;$D184='TaxCred&amp;Subs'!$D$12:$D$47)*($F184='TaxCred&amp;Subs'!$C$12:$C$47),0)
),9999),IFERROR(INDEX('TaxCred&amp;Subs'!$N$12:$N$47,MATCH(1,($C184&amp;$D184='TaxCred&amp;Subs'!$D$12:$D$47)*($F184='TaxCred&amp;Subs'!$C$12:$C$47),0)
),0),0)))),0)+IF(AND($C184=2,VALUE(RIGHT($AD184,1))&gt;2),(N184-R184)*(IFERROR(INDEX('TaxCred&amp;Subs'!$J$66:$J$99,MATCH(1,($C184&amp;$D184='TaxCred&amp;Subs'!$E$66:$E$99)*($F184='TaxCred&amp;Subs'!$C$66:$C$99),0)),0)),IF(AND($C184=1,VALUE(RIGHT($AD184,1))&gt;2),(N184-R184)*(IFERROR(INDEX('TaxCred&amp;Subs'!$J$66:$J$99,MATCH(1,($C184&amp;$D184='TaxCred&amp;Subs'!$D$66:$D$99)*($F184='TaxCred&amp;Subs'!$C$66:$C$99),0)),0)),IF($C184&gt;2,(N184-R184)*(IFERROR(INDEX('TaxCred&amp;Subs'!$J$66:$J$99,MATCH(1,($C184&amp;$D184='TaxCred&amp;Subs'!$D$66:$D$99)*($F184='TaxCred&amp;Subs'!$C$66:$C$99),0)),0)),0))),0)</f>
        <v>0</v>
      </c>
      <c r="Q184" s="95">
        <f t="array" ref="Q184">ROUND(IF(AND($C184=2,VALUE(RIGHT($AD184,1))&gt;2),(O184-S184)*(IFERROR(INDEX('TaxCred&amp;Subs'!$J$66:$J$99,MATCH(1,($C184&amp;$D184='TaxCred&amp;Subs'!$E$66:$E$99)*($F184='TaxCred&amp;Subs'!$C$66:$C$99),0)),0)),IF(AND($C184=1,VALUE(RIGHT($AD184,1))&gt;2),(O184-S184)*(IFERROR(INDEX('TaxCred&amp;Subs'!$J$66:$J$99,MATCH(1,($C184&amp;$D184='TaxCred&amp;Subs'!$D$66:$D$99)*($F184='TaxCred&amp;Subs'!$C$66:$C$99),0)),0)),IF($C184&gt;2,(O184-S184)*(IFERROR(INDEX('TaxCred&amp;Subs'!$J$66:$J$99,MATCH(1,($C184&amp;$D184='TaxCred&amp;Subs'!$D$66:$D$99)*($F184='TaxCred&amp;Subs'!$C$66:$C$99),0)),0)),0))),0)</f>
        <v>0</v>
      </c>
      <c r="R184" s="95">
        <f t="array" ref="R184">ROUND(IF(IFERROR(VALUE(RIGHT($AD184,1)),0)&gt;2,IF($C184=8,N184*IFERROR(INDEX('TaxCred&amp;Subs'!$K$139:$S$151,MATCH($C184&amp;$D184&amp;LEFT($AD184,7),'TaxCred&amp;Subs'!$E$139:$E$151,0),MATCH($H184,'TaxCred&amp;Subs'!$K$137:$S$137,0)),0),IF($C184=2,N184*IFERROR(INDEX('TaxCred&amp;Subs'!$K$139:$S$151,MATCH($C184&amp;$D184,'TaxCred&amp;Subs'!$D$139:$D$151,0),MATCH($H184,'TaxCred&amp;Subs'!$K$137:$S$137,0)),0),N184*IFERROR(INDEX('TaxCred&amp;Subs'!$K$139:$S$151,MATCH($C184&amp;$D184,'TaxCred&amp;Subs'!$C$139:$C$151,0),MATCH($H184,'TaxCred&amp;Subs'!$K$137:$S$137,0)),0))),0),0)</f>
        <v>0</v>
      </c>
      <c r="S184" s="95">
        <f t="array" ref="S184">ROUND(IF(IFERROR(VALUE(RIGHT($AD184,1)),0)&gt;2,IF($C184=8,O184*IFERROR(INDEX('TaxCred&amp;Subs'!$K$139:$S$151,MATCH($C184&amp;$D184&amp;LEFT($AD184,7),'TaxCred&amp;Subs'!$E$139:$E$151,0),MATCH($H184,'TaxCred&amp;Subs'!$K$137:$S$137,0)),0),IF($C184=2,O184*IFERROR(INDEX('TaxCred&amp;Subs'!$K$139:$S$151,MATCH($C184&amp;$D184,'TaxCred&amp;Subs'!$D$139:$D$151,0),MATCH($H184,'TaxCred&amp;Subs'!$K$137:$S$137,0)),0),O184*IFERROR(INDEX('TaxCred&amp;Subs'!$K$139:$S$151,MATCH($C184&amp;$D184,'TaxCred&amp;Subs'!$C$139:$C$151,0),MATCH($H184,'TaxCred&amp;Subs'!$K$137:$S$137,0)),0))),0),0)</f>
        <v>0</v>
      </c>
      <c r="T184" s="95">
        <f t="shared" si="11"/>
        <v>0</v>
      </c>
      <c r="U184" s="95">
        <f t="shared" si="12"/>
        <v>0</v>
      </c>
      <c r="V184" s="83" t="s">
        <v>222</v>
      </c>
      <c r="W184" s="32">
        <v>2020</v>
      </c>
      <c r="X184" s="83">
        <v>1</v>
      </c>
      <c r="Y184" s="83">
        <v>0</v>
      </c>
      <c r="Z184" s="198">
        <v>-1.6333453306501829E-4</v>
      </c>
      <c r="AA184" s="198">
        <v>-2.5128389702310508E-3</v>
      </c>
      <c r="AB184" s="83">
        <v>0</v>
      </c>
      <c r="AC184" s="83">
        <v>0</v>
      </c>
      <c r="AD184" s="83" t="s">
        <v>202</v>
      </c>
      <c r="AE184" s="30" t="s">
        <v>226</v>
      </c>
    </row>
    <row r="185" spans="2:31" x14ac:dyDescent="0.2">
      <c r="B185" s="7">
        <f t="shared" si="10"/>
        <v>161</v>
      </c>
      <c r="C185" s="83">
        <v>1</v>
      </c>
      <c r="D185" s="83">
        <v>5</v>
      </c>
      <c r="E185" s="83">
        <v>15</v>
      </c>
      <c r="F185" s="32">
        <v>2020</v>
      </c>
      <c r="G185" s="83">
        <v>2050</v>
      </c>
      <c r="H185" s="83">
        <v>11</v>
      </c>
      <c r="I185" s="83">
        <v>15</v>
      </c>
      <c r="J185" s="83">
        <v>0</v>
      </c>
      <c r="K185" s="83">
        <v>0</v>
      </c>
      <c r="L185" s="83">
        <v>0</v>
      </c>
      <c r="M185" s="161">
        <v>0.85486999999999991</v>
      </c>
      <c r="N185" s="160">
        <v>5150</v>
      </c>
      <c r="O185" s="160">
        <v>3070</v>
      </c>
      <c r="P185" s="172">
        <f t="array" ref="P185">ROUND(IF($F185&lt;='TaxCred&amp;Subs'!$C$49,(IF($C185=2,IF($M185&gt;=IFERROR(INDEX('TaxCred&amp;Subs'!$L$12:$L$47,MATCH(1,($C185&amp;$D185='TaxCred&amp;Subs'!$E$12:$E$47)*($F185='TaxCred&amp;Subs'!$C$12:$C$47),0)
),9999),IFERROR(INDEX('TaxCred&amp;Subs'!$N$12:$N$47,MATCH(1,($C185&amp;$D185='TaxCred&amp;Subs'!$E$12:$E$47)*($F185='TaxCred&amp;Subs'!$C$12:$C$47),0)
),0),0),(IF($M185&gt;=IFERROR(INDEX('TaxCred&amp;Subs'!$H$12:$H$47,MATCH(1,($C185&amp;$D185='TaxCred&amp;Subs'!$D$12:$D$47)*($F185='TaxCred&amp;Subs'!$C$12:$C$47),0)
),9999),IFERROR(INDEX('TaxCred&amp;Subs'!$N$12:$N$47,MATCH(1,($C185&amp;$D185='TaxCred&amp;Subs'!$D$12:$D$47)*($F185='TaxCred&amp;Subs'!$C$12:$C$47),0)
),0),0)))),0)+IF(AND($C185=2,VALUE(RIGHT($AD185,1))&gt;2),(N185-R185)*(IFERROR(INDEX('TaxCred&amp;Subs'!$J$66:$J$99,MATCH(1,($C185&amp;$D185='TaxCred&amp;Subs'!$E$66:$E$99)*($F185='TaxCred&amp;Subs'!$C$66:$C$99),0)),0)),IF(AND($C185=1,VALUE(RIGHT($AD185,1))&gt;2),(N185-R185)*(IFERROR(INDEX('TaxCred&amp;Subs'!$J$66:$J$99,MATCH(1,($C185&amp;$D185='TaxCred&amp;Subs'!$D$66:$D$99)*($F185='TaxCred&amp;Subs'!$C$66:$C$99),0)),0)),IF($C185&gt;2,(N185-R185)*(IFERROR(INDEX('TaxCred&amp;Subs'!$J$66:$J$99,MATCH(1,($C185&amp;$D185='TaxCred&amp;Subs'!$D$66:$D$99)*($F185='TaxCred&amp;Subs'!$C$66:$C$99),0)),0)),0))),0)</f>
        <v>150</v>
      </c>
      <c r="Q185" s="95">
        <f t="array" ref="Q185">ROUND(IF(AND($C185=2,VALUE(RIGHT($AD185,1))&gt;2),(O185-S185)*(IFERROR(INDEX('TaxCred&amp;Subs'!$J$66:$J$99,MATCH(1,($C185&amp;$D185='TaxCred&amp;Subs'!$E$66:$E$99)*($F185='TaxCred&amp;Subs'!$C$66:$C$99),0)),0)),IF(AND($C185=1,VALUE(RIGHT($AD185,1))&gt;2),(O185-S185)*(IFERROR(INDEX('TaxCred&amp;Subs'!$J$66:$J$99,MATCH(1,($C185&amp;$D185='TaxCred&amp;Subs'!$D$66:$D$99)*($F185='TaxCred&amp;Subs'!$C$66:$C$99),0)),0)),IF($C185&gt;2,(O185-S185)*(IFERROR(INDEX('TaxCred&amp;Subs'!$J$66:$J$99,MATCH(1,($C185&amp;$D185='TaxCred&amp;Subs'!$D$66:$D$99)*($F185='TaxCred&amp;Subs'!$C$66:$C$99),0)),0)),0))),0)</f>
        <v>0</v>
      </c>
      <c r="R185" s="170">
        <f t="array" ref="R185">ROUND(IF(IFERROR(VALUE(RIGHT($AD185,1)),0)&gt;2,IF($C185=8,N185*IFERROR(INDEX('TaxCred&amp;Subs'!$K$139:$S$151,MATCH($C185&amp;$D185&amp;LEFT($AD185,7),'TaxCred&amp;Subs'!$E$139:$E$151,0),MATCH($H185,'TaxCred&amp;Subs'!$K$137:$S$137,0)),0),IF($C185=2,N185*IFERROR(INDEX('TaxCred&amp;Subs'!$K$139:$S$151,MATCH($C185&amp;$D185,'TaxCred&amp;Subs'!$D$139:$D$151,0),MATCH($H185,'TaxCred&amp;Subs'!$K$137:$S$137,0)),0),N185*IFERROR(INDEX('TaxCred&amp;Subs'!$K$139:$S$151,MATCH($C185&amp;$D185,'TaxCred&amp;Subs'!$C$139:$C$151,0),MATCH($H185,'TaxCred&amp;Subs'!$K$137:$S$137,0)),0))),0),0)</f>
        <v>0</v>
      </c>
      <c r="S185" s="170">
        <f t="array" ref="S185">ROUND(IF(IFERROR(VALUE(RIGHT($AD185,1)),0)&gt;2,IF($C185=8,O185*IFERROR(INDEX('TaxCred&amp;Subs'!$K$139:$S$151,MATCH($C185&amp;$D185&amp;LEFT($AD185,7),'TaxCred&amp;Subs'!$E$139:$E$151,0),MATCH($H185,'TaxCred&amp;Subs'!$K$137:$S$137,0)),0),IF($C185=2,O185*IFERROR(INDEX('TaxCred&amp;Subs'!$K$139:$S$151,MATCH($C185&amp;$D185,'TaxCred&amp;Subs'!$D$139:$D$151,0),MATCH($H185,'TaxCred&amp;Subs'!$K$137:$S$137,0)),0),O185*IFERROR(INDEX('TaxCred&amp;Subs'!$K$139:$S$151,MATCH($C185&amp;$D185,'TaxCred&amp;Subs'!$C$139:$C$151,0),MATCH($H185,'TaxCred&amp;Subs'!$K$137:$S$137,0)),0))),0),0)</f>
        <v>0</v>
      </c>
      <c r="T185" s="95">
        <f t="shared" si="11"/>
        <v>0</v>
      </c>
      <c r="U185" s="95">
        <f t="shared" si="12"/>
        <v>0</v>
      </c>
      <c r="V185" s="83" t="s">
        <v>222</v>
      </c>
      <c r="W185" s="32">
        <v>2020</v>
      </c>
      <c r="X185" s="83">
        <v>1</v>
      </c>
      <c r="Y185" s="83">
        <v>0</v>
      </c>
      <c r="Z185" s="198">
        <v>-1.6333453306501829E-4</v>
      </c>
      <c r="AA185" s="198">
        <v>-2.5128389702310508E-3</v>
      </c>
      <c r="AB185" s="83">
        <v>0</v>
      </c>
      <c r="AC185" s="83">
        <v>0</v>
      </c>
      <c r="AD185" s="83" t="s">
        <v>203</v>
      </c>
      <c r="AE185" s="30" t="s">
        <v>226</v>
      </c>
    </row>
    <row r="186" spans="2:31" x14ac:dyDescent="0.2">
      <c r="B186" s="7">
        <f t="shared" si="10"/>
        <v>162</v>
      </c>
      <c r="C186" s="83">
        <v>1</v>
      </c>
      <c r="D186" s="83">
        <v>5</v>
      </c>
      <c r="E186" s="83">
        <v>16</v>
      </c>
      <c r="F186" s="32">
        <v>2020</v>
      </c>
      <c r="G186" s="83">
        <v>2022</v>
      </c>
      <c r="H186" s="83">
        <v>11</v>
      </c>
      <c r="I186" s="83">
        <v>16</v>
      </c>
      <c r="J186" s="83">
        <v>0</v>
      </c>
      <c r="K186" s="83">
        <v>0</v>
      </c>
      <c r="L186" s="83">
        <v>0</v>
      </c>
      <c r="M186" s="82">
        <v>0.85</v>
      </c>
      <c r="N186" s="160">
        <v>5150</v>
      </c>
      <c r="O186" s="160">
        <v>3070</v>
      </c>
      <c r="P186" s="95">
        <f t="array" ref="P186">ROUND(IF($F186&lt;='TaxCred&amp;Subs'!$C$49,(IF($C186=2,IF($M186&gt;=IFERROR(INDEX('TaxCred&amp;Subs'!$L$12:$L$47,MATCH(1,($C186&amp;$D186='TaxCred&amp;Subs'!$E$12:$E$47)*($F186='TaxCred&amp;Subs'!$C$12:$C$47),0)
),9999),IFERROR(INDEX('TaxCred&amp;Subs'!$N$12:$N$47,MATCH(1,($C186&amp;$D186='TaxCred&amp;Subs'!$E$12:$E$47)*($F186='TaxCred&amp;Subs'!$C$12:$C$47),0)
),0),0),(IF($M186&gt;=IFERROR(INDEX('TaxCred&amp;Subs'!$H$12:$H$47,MATCH(1,($C186&amp;$D186='TaxCred&amp;Subs'!$D$12:$D$47)*($F186='TaxCred&amp;Subs'!$C$12:$C$47),0)
),9999),IFERROR(INDEX('TaxCred&amp;Subs'!$N$12:$N$47,MATCH(1,($C186&amp;$D186='TaxCred&amp;Subs'!$D$12:$D$47)*($F186='TaxCred&amp;Subs'!$C$12:$C$47),0)
),0),0)))),0)+IF(AND($C186=2,VALUE(RIGHT($AD186,1))&gt;2),(N186-R186)*(IFERROR(INDEX('TaxCred&amp;Subs'!$J$66:$J$99,MATCH(1,($C186&amp;$D186='TaxCred&amp;Subs'!$E$66:$E$99)*($F186='TaxCred&amp;Subs'!$C$66:$C$99),0)),0)),IF(AND($C186=1,VALUE(RIGHT($AD186,1))&gt;2),(N186-R186)*(IFERROR(INDEX('TaxCred&amp;Subs'!$J$66:$J$99,MATCH(1,($C186&amp;$D186='TaxCred&amp;Subs'!$D$66:$D$99)*($F186='TaxCred&amp;Subs'!$C$66:$C$99),0)),0)),IF($C186&gt;2,(N186-R186)*(IFERROR(INDEX('TaxCred&amp;Subs'!$J$66:$J$99,MATCH(1,($C186&amp;$D186='TaxCred&amp;Subs'!$D$66:$D$99)*($F186='TaxCred&amp;Subs'!$C$66:$C$99),0)),0)),0))),0)</f>
        <v>150</v>
      </c>
      <c r="Q186" s="95">
        <f t="array" ref="Q186">ROUND(IF(AND($C186=2,VALUE(RIGHT($AD186,1))&gt;2),(O186-S186)*(IFERROR(INDEX('TaxCred&amp;Subs'!$J$66:$J$99,MATCH(1,($C186&amp;$D186='TaxCred&amp;Subs'!$E$66:$E$99)*($F186='TaxCred&amp;Subs'!$C$66:$C$99),0)),0)),IF(AND($C186=1,VALUE(RIGHT($AD186,1))&gt;2),(O186-S186)*(IFERROR(INDEX('TaxCred&amp;Subs'!$J$66:$J$99,MATCH(1,($C186&amp;$D186='TaxCred&amp;Subs'!$D$66:$D$99)*($F186='TaxCred&amp;Subs'!$C$66:$C$99),0)),0)),IF($C186&gt;2,(O186-S186)*(IFERROR(INDEX('TaxCred&amp;Subs'!$J$66:$J$99,MATCH(1,($C186&amp;$D186='TaxCred&amp;Subs'!$D$66:$D$99)*($F186='TaxCred&amp;Subs'!$C$66:$C$99),0)),0)),0))),0)</f>
        <v>0</v>
      </c>
      <c r="R186" s="95">
        <f t="array" ref="R186">ROUND(IF(IFERROR(VALUE(RIGHT($AD186,1)),0)&gt;2,IF($C186=8,N186*IFERROR(INDEX('TaxCred&amp;Subs'!$K$139:$S$151,MATCH($C186&amp;$D186&amp;LEFT($AD186,7),'TaxCred&amp;Subs'!$E$139:$E$151,0),MATCH($H186,'TaxCred&amp;Subs'!$K$137:$S$137,0)),0),IF($C186=2,N186*IFERROR(INDEX('TaxCred&amp;Subs'!$K$139:$S$151,MATCH($C186&amp;$D186,'TaxCred&amp;Subs'!$D$139:$D$151,0),MATCH($H186,'TaxCred&amp;Subs'!$K$137:$S$137,0)),0),N186*IFERROR(INDEX('TaxCred&amp;Subs'!$K$139:$S$151,MATCH($C186&amp;$D186,'TaxCred&amp;Subs'!$C$139:$C$151,0),MATCH($H186,'TaxCred&amp;Subs'!$K$137:$S$137,0)),0))),0),0)</f>
        <v>0</v>
      </c>
      <c r="S186" s="95">
        <f t="array" ref="S186">ROUND(IF(IFERROR(VALUE(RIGHT($AD186,1)),0)&gt;2,IF($C186=8,O186*IFERROR(INDEX('TaxCred&amp;Subs'!$K$139:$S$151,MATCH($C186&amp;$D186&amp;LEFT($AD186,7),'TaxCred&amp;Subs'!$E$139:$E$151,0),MATCH($H186,'TaxCred&amp;Subs'!$K$137:$S$137,0)),0),IF($C186=2,O186*IFERROR(INDEX('TaxCred&amp;Subs'!$K$139:$S$151,MATCH($C186&amp;$D186,'TaxCred&amp;Subs'!$D$139:$D$151,0),MATCH($H186,'TaxCred&amp;Subs'!$K$137:$S$137,0)),0),O186*IFERROR(INDEX('TaxCred&amp;Subs'!$K$139:$S$151,MATCH($C186&amp;$D186,'TaxCred&amp;Subs'!$C$139:$C$151,0),MATCH($H186,'TaxCred&amp;Subs'!$K$137:$S$137,0)),0))),0),0)</f>
        <v>0</v>
      </c>
      <c r="T186" s="95">
        <f t="shared" si="11"/>
        <v>0</v>
      </c>
      <c r="U186" s="95">
        <f t="shared" si="12"/>
        <v>0</v>
      </c>
      <c r="V186" s="83" t="s">
        <v>222</v>
      </c>
      <c r="W186" s="32">
        <v>2020</v>
      </c>
      <c r="X186" s="83">
        <v>1</v>
      </c>
      <c r="Y186" s="83">
        <v>0</v>
      </c>
      <c r="Z186" s="198">
        <v>-2.0586783601680896E-4</v>
      </c>
      <c r="AA186" s="198">
        <v>-3.1671974771816762E-3</v>
      </c>
      <c r="AB186" s="83">
        <v>0</v>
      </c>
      <c r="AC186" s="83">
        <v>0</v>
      </c>
      <c r="AD186" s="83" t="s">
        <v>204</v>
      </c>
      <c r="AE186" s="30" t="s">
        <v>226</v>
      </c>
    </row>
    <row r="187" spans="2:31" ht="14.25" customHeight="1" x14ac:dyDescent="0.2">
      <c r="B187" s="7">
        <f t="shared" si="10"/>
        <v>163</v>
      </c>
      <c r="C187" s="83">
        <v>1</v>
      </c>
      <c r="D187" s="83">
        <v>5</v>
      </c>
      <c r="E187" s="83">
        <v>16</v>
      </c>
      <c r="F187" s="83">
        <v>2023</v>
      </c>
      <c r="G187" s="83">
        <v>2026</v>
      </c>
      <c r="H187" s="83">
        <v>11</v>
      </c>
      <c r="I187" s="83">
        <v>16</v>
      </c>
      <c r="J187" s="83">
        <v>0</v>
      </c>
      <c r="K187" s="83">
        <v>0</v>
      </c>
      <c r="L187" s="83">
        <v>0</v>
      </c>
      <c r="M187" s="82">
        <v>0.85</v>
      </c>
      <c r="N187" s="160">
        <v>5150</v>
      </c>
      <c r="O187" s="160">
        <v>3070</v>
      </c>
      <c r="P187" s="95">
        <f t="array" ref="P187">ROUND(IF($F187&lt;='TaxCred&amp;Subs'!$C$49,(IF($C187=2,IF($M187&gt;=IFERROR(INDEX('TaxCred&amp;Subs'!$L$12:$L$47,MATCH(1,($C187&amp;$D187='TaxCred&amp;Subs'!$E$12:$E$47)*($F187='TaxCred&amp;Subs'!$C$12:$C$47),0)
),9999),IFERROR(INDEX('TaxCred&amp;Subs'!$N$12:$N$47,MATCH(1,($C187&amp;$D187='TaxCred&amp;Subs'!$E$12:$E$47)*($F187='TaxCred&amp;Subs'!$C$12:$C$47),0)
),0),0),(IF($M187&gt;=IFERROR(INDEX('TaxCred&amp;Subs'!$H$12:$H$47,MATCH(1,($C187&amp;$D187='TaxCred&amp;Subs'!$D$12:$D$47)*($F187='TaxCred&amp;Subs'!$C$12:$C$47),0)
),9999),IFERROR(INDEX('TaxCred&amp;Subs'!$N$12:$N$47,MATCH(1,($C187&amp;$D187='TaxCred&amp;Subs'!$D$12:$D$47)*($F187='TaxCred&amp;Subs'!$C$12:$C$47),0)
),0),0)))),0)+IF(AND($C187=2,VALUE(RIGHT($AD187,1))&gt;2),(N187-R187)*(IFERROR(INDEX('TaxCred&amp;Subs'!$J$66:$J$99,MATCH(1,($C187&amp;$D187='TaxCred&amp;Subs'!$E$66:$E$99)*($F187='TaxCred&amp;Subs'!$C$66:$C$99),0)),0)),IF(AND($C187=1,VALUE(RIGHT($AD187,1))&gt;2),(N187-R187)*(IFERROR(INDEX('TaxCred&amp;Subs'!$J$66:$J$99,MATCH(1,($C187&amp;$D187='TaxCred&amp;Subs'!$D$66:$D$99)*($F187='TaxCred&amp;Subs'!$C$66:$C$99),0)),0)),IF($C187&gt;2,(N187-R187)*(IFERROR(INDEX('TaxCred&amp;Subs'!$J$66:$J$99,MATCH(1,($C187&amp;$D187='TaxCred&amp;Subs'!$D$66:$D$99)*($F187='TaxCred&amp;Subs'!$C$66:$C$99),0)),0)),0))),0)</f>
        <v>600</v>
      </c>
      <c r="Q187" s="95">
        <f t="array" ref="Q187">ROUND(IF(AND($C187=2,VALUE(RIGHT($AD187,1))&gt;2),(O187-S187)*(IFERROR(INDEX('TaxCred&amp;Subs'!$J$66:$J$99,MATCH(1,($C187&amp;$D187='TaxCred&amp;Subs'!$E$66:$E$99)*($F187='TaxCred&amp;Subs'!$C$66:$C$99),0)),0)),IF(AND($C187=1,VALUE(RIGHT($AD187,1))&gt;2),(O187-S187)*(IFERROR(INDEX('TaxCred&amp;Subs'!$J$66:$J$99,MATCH(1,($C187&amp;$D187='TaxCred&amp;Subs'!$D$66:$D$99)*($F187='TaxCred&amp;Subs'!$C$66:$C$99),0)),0)),IF($C187&gt;2,(O187-S187)*(IFERROR(INDEX('TaxCred&amp;Subs'!$J$66:$J$99,MATCH(1,($C187&amp;$D187='TaxCred&amp;Subs'!$D$66:$D$99)*($F187='TaxCred&amp;Subs'!$C$66:$C$99),0)),0)),0))),0)</f>
        <v>0</v>
      </c>
      <c r="R187" s="95">
        <f t="array" ref="R187">ROUND(IF(IFERROR(VALUE(RIGHT($AD187,1)),0)&gt;2,IF($C187=8,N187*IFERROR(INDEX('TaxCred&amp;Subs'!$K$139:$S$151,MATCH($C187&amp;$D187&amp;LEFT($AD187,7),'TaxCred&amp;Subs'!$E$139:$E$151,0),MATCH($H187,'TaxCred&amp;Subs'!$K$137:$S$137,0)),0),IF($C187=2,N187*IFERROR(INDEX('TaxCred&amp;Subs'!$K$139:$S$151,MATCH($C187&amp;$D187,'TaxCred&amp;Subs'!$D$139:$D$151,0),MATCH($H187,'TaxCred&amp;Subs'!$K$137:$S$137,0)),0),N187*IFERROR(INDEX('TaxCred&amp;Subs'!$K$139:$S$151,MATCH($C187&amp;$D187,'TaxCred&amp;Subs'!$C$139:$C$151,0),MATCH($H187,'TaxCred&amp;Subs'!$K$137:$S$137,0)),0))),0),0)</f>
        <v>0</v>
      </c>
      <c r="S187" s="95">
        <f t="array" ref="S187">ROUND(IF(IFERROR(VALUE(RIGHT($AD187,1)),0)&gt;2,IF($C187=8,O187*IFERROR(INDEX('TaxCred&amp;Subs'!$K$139:$S$151,MATCH($C187&amp;$D187&amp;LEFT($AD187,7),'TaxCred&amp;Subs'!$E$139:$E$151,0),MATCH($H187,'TaxCred&amp;Subs'!$K$137:$S$137,0)),0),IF($C187=2,O187*IFERROR(INDEX('TaxCred&amp;Subs'!$K$139:$S$151,MATCH($C187&amp;$D187,'TaxCred&amp;Subs'!$D$139:$D$151,0),MATCH($H187,'TaxCred&amp;Subs'!$K$137:$S$137,0)),0),O187*IFERROR(INDEX('TaxCred&amp;Subs'!$K$139:$S$151,MATCH($C187&amp;$D187,'TaxCred&amp;Subs'!$C$139:$C$151,0),MATCH($H187,'TaxCred&amp;Subs'!$K$137:$S$137,0)),0))),0),0)</f>
        <v>0</v>
      </c>
      <c r="T187" s="95">
        <f t="shared" si="11"/>
        <v>0</v>
      </c>
      <c r="U187" s="95">
        <f t="shared" si="12"/>
        <v>0</v>
      </c>
      <c r="V187" s="83" t="s">
        <v>222</v>
      </c>
      <c r="W187" s="32">
        <v>2020</v>
      </c>
      <c r="X187" s="83">
        <v>1</v>
      </c>
      <c r="Y187" s="83">
        <v>0</v>
      </c>
      <c r="Z187" s="198">
        <v>-2.0586783601680896E-4</v>
      </c>
      <c r="AA187" s="198">
        <v>-3.1671974771816762E-3</v>
      </c>
      <c r="AB187" s="83">
        <v>0</v>
      </c>
      <c r="AC187" s="83">
        <v>0</v>
      </c>
      <c r="AD187" s="83" t="s">
        <v>204</v>
      </c>
      <c r="AE187" s="30" t="s">
        <v>226</v>
      </c>
    </row>
    <row r="188" spans="2:31" ht="14.25" customHeight="1" x14ac:dyDescent="0.2">
      <c r="B188" s="7">
        <f t="shared" si="10"/>
        <v>164</v>
      </c>
      <c r="C188" s="83">
        <v>1</v>
      </c>
      <c r="D188" s="83">
        <v>5</v>
      </c>
      <c r="E188" s="83">
        <v>16</v>
      </c>
      <c r="F188" s="83">
        <v>2027</v>
      </c>
      <c r="G188" s="83">
        <v>2050</v>
      </c>
      <c r="H188" s="83">
        <v>11</v>
      </c>
      <c r="I188" s="83">
        <v>16</v>
      </c>
      <c r="J188" s="83">
        <v>0</v>
      </c>
      <c r="K188" s="83">
        <v>0</v>
      </c>
      <c r="L188" s="83">
        <v>0</v>
      </c>
      <c r="M188" s="82">
        <v>0.85</v>
      </c>
      <c r="N188" s="160">
        <v>5150</v>
      </c>
      <c r="O188" s="160">
        <v>3070</v>
      </c>
      <c r="P188" s="95">
        <f t="array" ref="P188">ROUND(IF($F188&lt;='TaxCred&amp;Subs'!$C$49,(IF($C188=2,IF($M188&gt;=IFERROR(INDEX('TaxCred&amp;Subs'!$L$12:$L$47,MATCH(1,($C188&amp;$D188='TaxCred&amp;Subs'!$E$12:$E$47)*($F188='TaxCred&amp;Subs'!$C$12:$C$47),0)
),9999),IFERROR(INDEX('TaxCred&amp;Subs'!$N$12:$N$47,MATCH(1,($C188&amp;$D188='TaxCred&amp;Subs'!$E$12:$E$47)*($F188='TaxCred&amp;Subs'!$C$12:$C$47),0)
),0),0),(IF($M188&gt;=IFERROR(INDEX('TaxCred&amp;Subs'!$H$12:$H$47,MATCH(1,($C188&amp;$D188='TaxCred&amp;Subs'!$D$12:$D$47)*($F188='TaxCred&amp;Subs'!$C$12:$C$47),0)
),9999),IFERROR(INDEX('TaxCred&amp;Subs'!$N$12:$N$47,MATCH(1,($C188&amp;$D188='TaxCred&amp;Subs'!$D$12:$D$47)*($F188='TaxCred&amp;Subs'!$C$12:$C$47),0)
),0),0)))),0)+IF(AND($C188=2,VALUE(RIGHT($AD188,1))&gt;2),(N188-R188)*(IFERROR(INDEX('TaxCred&amp;Subs'!$J$66:$J$99,MATCH(1,($C188&amp;$D188='TaxCred&amp;Subs'!$E$66:$E$99)*($F188='TaxCred&amp;Subs'!$C$66:$C$99),0)),0)),IF(AND($C188=1,VALUE(RIGHT($AD188,1))&gt;2),(N188-R188)*(IFERROR(INDEX('TaxCred&amp;Subs'!$J$66:$J$99,MATCH(1,($C188&amp;$D188='TaxCred&amp;Subs'!$D$66:$D$99)*($F188='TaxCred&amp;Subs'!$C$66:$C$99),0)),0)),IF($C188&gt;2,(N188-R188)*(IFERROR(INDEX('TaxCred&amp;Subs'!$J$66:$J$99,MATCH(1,($C188&amp;$D188='TaxCred&amp;Subs'!$D$66:$D$99)*($F188='TaxCred&amp;Subs'!$C$66:$C$99),0)),0)),0))),0)</f>
        <v>0</v>
      </c>
      <c r="Q188" s="95">
        <f t="array" ref="Q188">ROUND(IF(AND($C188=2,VALUE(RIGHT($AD188,1))&gt;2),(O188-S188)*(IFERROR(INDEX('TaxCred&amp;Subs'!$J$66:$J$99,MATCH(1,($C188&amp;$D188='TaxCred&amp;Subs'!$E$66:$E$99)*($F188='TaxCred&amp;Subs'!$C$66:$C$99),0)),0)),IF(AND($C188=1,VALUE(RIGHT($AD188,1))&gt;2),(O188-S188)*(IFERROR(INDEX('TaxCred&amp;Subs'!$J$66:$J$99,MATCH(1,($C188&amp;$D188='TaxCred&amp;Subs'!$D$66:$D$99)*($F188='TaxCred&amp;Subs'!$C$66:$C$99),0)),0)),IF($C188&gt;2,(O188-S188)*(IFERROR(INDEX('TaxCred&amp;Subs'!$J$66:$J$99,MATCH(1,($C188&amp;$D188='TaxCred&amp;Subs'!$D$66:$D$99)*($F188='TaxCred&amp;Subs'!$C$66:$C$99),0)),0)),0))),0)</f>
        <v>0</v>
      </c>
      <c r="R188" s="95">
        <f t="array" ref="R188">ROUND(IF(IFERROR(VALUE(RIGHT($AD188,1)),0)&gt;2,IF($C188=8,N188*IFERROR(INDEX('TaxCred&amp;Subs'!$K$139:$S$151,MATCH($C188&amp;$D188&amp;LEFT($AD188,7),'TaxCred&amp;Subs'!$E$139:$E$151,0),MATCH($H188,'TaxCred&amp;Subs'!$K$137:$S$137,0)),0),IF($C188=2,N188*IFERROR(INDEX('TaxCred&amp;Subs'!$K$139:$S$151,MATCH($C188&amp;$D188,'TaxCred&amp;Subs'!$D$139:$D$151,0),MATCH($H188,'TaxCred&amp;Subs'!$K$137:$S$137,0)),0),N188*IFERROR(INDEX('TaxCred&amp;Subs'!$K$139:$S$151,MATCH($C188&amp;$D188,'TaxCred&amp;Subs'!$C$139:$C$151,0),MATCH($H188,'TaxCred&amp;Subs'!$K$137:$S$137,0)),0))),0),0)</f>
        <v>0</v>
      </c>
      <c r="S188" s="95">
        <f t="array" ref="S188">ROUND(IF(IFERROR(VALUE(RIGHT($AD188,1)),0)&gt;2,IF($C188=8,O188*IFERROR(INDEX('TaxCred&amp;Subs'!$K$139:$S$151,MATCH($C188&amp;$D188&amp;LEFT($AD188,7),'TaxCred&amp;Subs'!$E$139:$E$151,0),MATCH($H188,'TaxCred&amp;Subs'!$K$137:$S$137,0)),0),IF($C188=2,O188*IFERROR(INDEX('TaxCred&amp;Subs'!$K$139:$S$151,MATCH($C188&amp;$D188,'TaxCred&amp;Subs'!$D$139:$D$151,0),MATCH($H188,'TaxCred&amp;Subs'!$K$137:$S$137,0)),0),O188*IFERROR(INDEX('TaxCred&amp;Subs'!$K$139:$S$151,MATCH($C188&amp;$D188,'TaxCred&amp;Subs'!$C$139:$C$151,0),MATCH($H188,'TaxCred&amp;Subs'!$K$137:$S$137,0)),0))),0),0)</f>
        <v>0</v>
      </c>
      <c r="T188" s="95">
        <f t="shared" si="11"/>
        <v>0</v>
      </c>
      <c r="U188" s="95">
        <f t="shared" si="12"/>
        <v>0</v>
      </c>
      <c r="V188" s="83" t="s">
        <v>222</v>
      </c>
      <c r="W188" s="32">
        <v>2020</v>
      </c>
      <c r="X188" s="83">
        <v>1</v>
      </c>
      <c r="Y188" s="83">
        <v>0</v>
      </c>
      <c r="Z188" s="198">
        <v>-2.0586783601680896E-4</v>
      </c>
      <c r="AA188" s="198">
        <v>-3.1671974771816762E-3</v>
      </c>
      <c r="AB188" s="83">
        <v>0</v>
      </c>
      <c r="AC188" s="83">
        <v>0</v>
      </c>
      <c r="AD188" s="83" t="s">
        <v>204</v>
      </c>
      <c r="AE188" s="30" t="s">
        <v>226</v>
      </c>
    </row>
    <row r="189" spans="2:31" x14ac:dyDescent="0.2">
      <c r="B189" s="7">
        <f t="shared" si="10"/>
        <v>165</v>
      </c>
      <c r="C189" s="83">
        <v>1</v>
      </c>
      <c r="D189" s="83">
        <v>5</v>
      </c>
      <c r="E189" s="83">
        <v>17</v>
      </c>
      <c r="F189" s="32">
        <v>2020</v>
      </c>
      <c r="G189" s="83">
        <v>2022</v>
      </c>
      <c r="H189" s="83">
        <v>11</v>
      </c>
      <c r="I189" s="83">
        <v>17</v>
      </c>
      <c r="J189" s="83">
        <v>0</v>
      </c>
      <c r="K189" s="83">
        <v>0</v>
      </c>
      <c r="L189" s="83">
        <v>0</v>
      </c>
      <c r="M189" s="161">
        <v>0.96700000000000008</v>
      </c>
      <c r="N189" s="160">
        <v>7625</v>
      </c>
      <c r="O189" s="160">
        <v>3630</v>
      </c>
      <c r="P189" s="95">
        <f t="array" ref="P189">ROUND(IF($F189&lt;='TaxCred&amp;Subs'!$C$49,(IF($C189=2,IF($M189&gt;=IFERROR(INDEX('TaxCred&amp;Subs'!$L$12:$L$47,MATCH(1,($C189&amp;$D189='TaxCred&amp;Subs'!$E$12:$E$47)*($F189='TaxCred&amp;Subs'!$C$12:$C$47),0)
),9999),IFERROR(INDEX('TaxCred&amp;Subs'!$N$12:$N$47,MATCH(1,($C189&amp;$D189='TaxCred&amp;Subs'!$E$12:$E$47)*($F189='TaxCred&amp;Subs'!$C$12:$C$47),0)
),0),0),(IF($M189&gt;=IFERROR(INDEX('TaxCred&amp;Subs'!$H$12:$H$47,MATCH(1,($C189&amp;$D189='TaxCred&amp;Subs'!$D$12:$D$47)*($F189='TaxCred&amp;Subs'!$C$12:$C$47),0)
),9999),IFERROR(INDEX('TaxCred&amp;Subs'!$N$12:$N$47,MATCH(1,($C189&amp;$D189='TaxCred&amp;Subs'!$D$12:$D$47)*($F189='TaxCred&amp;Subs'!$C$12:$C$47),0)
),0),0)))),0)+IF(AND($C189=2,VALUE(RIGHT($AD189,1))&gt;2),(N189-R189)*(IFERROR(INDEX('TaxCred&amp;Subs'!$J$66:$J$99,MATCH(1,($C189&amp;$D189='TaxCred&amp;Subs'!$E$66:$E$99)*($F189='TaxCred&amp;Subs'!$C$66:$C$99),0)),0)),IF(AND($C189=1,VALUE(RIGHT($AD189,1))&gt;2),(N189-R189)*(IFERROR(INDEX('TaxCred&amp;Subs'!$J$66:$J$99,MATCH(1,($C189&amp;$D189='TaxCred&amp;Subs'!$D$66:$D$99)*($F189='TaxCred&amp;Subs'!$C$66:$C$99),0)),0)),IF($C189&gt;2,(N189-R189)*(IFERROR(INDEX('TaxCred&amp;Subs'!$J$66:$J$99,MATCH(1,($C189&amp;$D189='TaxCred&amp;Subs'!$D$66:$D$99)*($F189='TaxCred&amp;Subs'!$C$66:$C$99),0)),0)),0))),0)</f>
        <v>150</v>
      </c>
      <c r="Q189" s="95">
        <f t="array" ref="Q189">ROUND(IF(AND($C189=2,VALUE(RIGHT($AD189,1))&gt;2),(O189-S189)*(IFERROR(INDEX('TaxCred&amp;Subs'!$J$66:$J$99,MATCH(1,($C189&amp;$D189='TaxCred&amp;Subs'!$E$66:$E$99)*($F189='TaxCred&amp;Subs'!$C$66:$C$99),0)),0)),IF(AND($C189=1,VALUE(RIGHT($AD189,1))&gt;2),(O189-S189)*(IFERROR(INDEX('TaxCred&amp;Subs'!$J$66:$J$99,MATCH(1,($C189&amp;$D189='TaxCred&amp;Subs'!$D$66:$D$99)*($F189='TaxCred&amp;Subs'!$C$66:$C$99),0)),0)),IF($C189&gt;2,(O189-S189)*(IFERROR(INDEX('TaxCred&amp;Subs'!$J$66:$J$99,MATCH(1,($C189&amp;$D189='TaxCred&amp;Subs'!$D$66:$D$99)*($F189='TaxCred&amp;Subs'!$C$66:$C$99),0)),0)),0))),0)</f>
        <v>0</v>
      </c>
      <c r="R189" s="95">
        <f t="array" ref="R189">ROUND(IF(IFERROR(VALUE(RIGHT($AD189,1)),0)&gt;2,IF($C189=8,N189*IFERROR(INDEX('TaxCred&amp;Subs'!$K$139:$S$151,MATCH($C189&amp;$D189&amp;LEFT($AD189,7),'TaxCred&amp;Subs'!$E$139:$E$151,0),MATCH($H189,'TaxCred&amp;Subs'!$K$137:$S$137,0)),0),IF($C189=2,N189*IFERROR(INDEX('TaxCred&amp;Subs'!$K$139:$S$151,MATCH($C189&amp;$D189,'TaxCred&amp;Subs'!$D$139:$D$151,0),MATCH($H189,'TaxCred&amp;Subs'!$K$137:$S$137,0)),0),N189*IFERROR(INDEX('TaxCred&amp;Subs'!$K$139:$S$151,MATCH($C189&amp;$D189,'TaxCred&amp;Subs'!$C$139:$C$151,0),MATCH($H189,'TaxCred&amp;Subs'!$K$137:$S$137,0)),0))),0),0)</f>
        <v>0</v>
      </c>
      <c r="S189" s="95">
        <f t="array" ref="S189">ROUND(IF(IFERROR(VALUE(RIGHT($AD189,1)),0)&gt;2,IF($C189=8,O189*IFERROR(INDEX('TaxCred&amp;Subs'!$K$139:$S$151,MATCH($C189&amp;$D189&amp;LEFT($AD189,7),'TaxCred&amp;Subs'!$E$139:$E$151,0),MATCH($H189,'TaxCred&amp;Subs'!$K$137:$S$137,0)),0),IF($C189=2,O189*IFERROR(INDEX('TaxCred&amp;Subs'!$K$139:$S$151,MATCH($C189&amp;$D189,'TaxCred&amp;Subs'!$D$139:$D$151,0),MATCH($H189,'TaxCred&amp;Subs'!$K$137:$S$137,0)),0),O189*IFERROR(INDEX('TaxCred&amp;Subs'!$K$139:$S$151,MATCH($C189&amp;$D189,'TaxCred&amp;Subs'!$C$139:$C$151,0),MATCH($H189,'TaxCred&amp;Subs'!$K$137:$S$137,0)),0))),0),0)</f>
        <v>0</v>
      </c>
      <c r="T189" s="95">
        <f t="shared" si="11"/>
        <v>0</v>
      </c>
      <c r="U189" s="95">
        <f t="shared" si="12"/>
        <v>0</v>
      </c>
      <c r="V189" s="83" t="s">
        <v>222</v>
      </c>
      <c r="W189" s="32">
        <v>2020</v>
      </c>
      <c r="X189" s="83">
        <v>1</v>
      </c>
      <c r="Y189" s="83">
        <v>0</v>
      </c>
      <c r="Z189" s="198">
        <v>-2.0586783601680896E-4</v>
      </c>
      <c r="AA189" s="198">
        <v>-3.1671974771816762E-3</v>
      </c>
      <c r="AB189" s="83">
        <v>0</v>
      </c>
      <c r="AC189" s="83">
        <v>0</v>
      </c>
      <c r="AD189" s="83" t="s">
        <v>328</v>
      </c>
      <c r="AE189" s="30" t="s">
        <v>226</v>
      </c>
    </row>
    <row r="190" spans="2:31" ht="14.25" customHeight="1" x14ac:dyDescent="0.2">
      <c r="B190" s="7">
        <f t="shared" si="10"/>
        <v>166</v>
      </c>
      <c r="C190" s="83">
        <v>1</v>
      </c>
      <c r="D190" s="83">
        <v>5</v>
      </c>
      <c r="E190" s="83">
        <v>17</v>
      </c>
      <c r="F190" s="83">
        <v>2023</v>
      </c>
      <c r="G190" s="32">
        <v>2026</v>
      </c>
      <c r="H190" s="83">
        <v>11</v>
      </c>
      <c r="I190" s="83">
        <v>17</v>
      </c>
      <c r="J190" s="83">
        <v>0</v>
      </c>
      <c r="K190" s="83">
        <v>0</v>
      </c>
      <c r="L190" s="83">
        <v>0</v>
      </c>
      <c r="M190" s="161">
        <v>0.96700000000000008</v>
      </c>
      <c r="N190" s="160">
        <v>7625</v>
      </c>
      <c r="O190" s="160">
        <v>3630</v>
      </c>
      <c r="P190" s="95">
        <f t="array" ref="P190">ROUND(IF($F190&lt;='TaxCred&amp;Subs'!$C$49,(IF($C190=2,IF($M190&gt;=IFERROR(INDEX('TaxCred&amp;Subs'!$L$12:$L$47,MATCH(1,($C190&amp;$D190='TaxCred&amp;Subs'!$E$12:$E$47)*($F190='TaxCred&amp;Subs'!$C$12:$C$47),0)
),9999),IFERROR(INDEX('TaxCred&amp;Subs'!$N$12:$N$47,MATCH(1,($C190&amp;$D190='TaxCred&amp;Subs'!$E$12:$E$47)*($F190='TaxCred&amp;Subs'!$C$12:$C$47),0)
),0),0),(IF($M190&gt;=IFERROR(INDEX('TaxCred&amp;Subs'!$H$12:$H$47,MATCH(1,($C190&amp;$D190='TaxCred&amp;Subs'!$D$12:$D$47)*($F190='TaxCred&amp;Subs'!$C$12:$C$47),0)
),9999),IFERROR(INDEX('TaxCred&amp;Subs'!$N$12:$N$47,MATCH(1,($C190&amp;$D190='TaxCred&amp;Subs'!$D$12:$D$47)*($F190='TaxCred&amp;Subs'!$C$12:$C$47),0)
),0),0)))),0)+IF(AND($C190=2,VALUE(RIGHT($AD190,1))&gt;2),(N190-R190)*(IFERROR(INDEX('TaxCred&amp;Subs'!$J$66:$J$99,MATCH(1,($C190&amp;$D190='TaxCred&amp;Subs'!$E$66:$E$99)*($F190='TaxCred&amp;Subs'!$C$66:$C$99),0)),0)),IF(AND($C190=1,VALUE(RIGHT($AD190,1))&gt;2),(N190-R190)*(IFERROR(INDEX('TaxCred&amp;Subs'!$J$66:$J$99,MATCH(1,($C190&amp;$D190='TaxCred&amp;Subs'!$D$66:$D$99)*($F190='TaxCred&amp;Subs'!$C$66:$C$99),0)),0)),IF($C190&gt;2,(N190-R190)*(IFERROR(INDEX('TaxCred&amp;Subs'!$J$66:$J$99,MATCH(1,($C190&amp;$D190='TaxCred&amp;Subs'!$D$66:$D$99)*($F190='TaxCred&amp;Subs'!$C$66:$C$99),0)),0)),0))),0)</f>
        <v>600</v>
      </c>
      <c r="Q190" s="95">
        <f t="array" ref="Q190">ROUND(IF(AND($C190=2,VALUE(RIGHT($AD190,1))&gt;2),(O190-S190)*(IFERROR(INDEX('TaxCred&amp;Subs'!$J$66:$J$99,MATCH(1,($C190&amp;$D190='TaxCred&amp;Subs'!$E$66:$E$99)*($F190='TaxCred&amp;Subs'!$C$66:$C$99),0)),0)),IF(AND($C190=1,VALUE(RIGHT($AD190,1))&gt;2),(O190-S190)*(IFERROR(INDEX('TaxCred&amp;Subs'!$J$66:$J$99,MATCH(1,($C190&amp;$D190='TaxCred&amp;Subs'!$D$66:$D$99)*($F190='TaxCred&amp;Subs'!$C$66:$C$99),0)),0)),IF($C190&gt;2,(O190-S190)*(IFERROR(INDEX('TaxCred&amp;Subs'!$J$66:$J$99,MATCH(1,($C190&amp;$D190='TaxCred&amp;Subs'!$D$66:$D$99)*($F190='TaxCred&amp;Subs'!$C$66:$C$99),0)),0)),0))),0)</f>
        <v>0</v>
      </c>
      <c r="R190" s="95">
        <f t="array" ref="R190">ROUND(IF(IFERROR(VALUE(RIGHT($AD190,1)),0)&gt;2,IF($C190=8,N190*IFERROR(INDEX('TaxCred&amp;Subs'!$K$139:$S$151,MATCH($C190&amp;$D190&amp;LEFT($AD190,7),'TaxCred&amp;Subs'!$E$139:$E$151,0),MATCH($H190,'TaxCred&amp;Subs'!$K$137:$S$137,0)),0),IF($C190=2,N190*IFERROR(INDEX('TaxCred&amp;Subs'!$K$139:$S$151,MATCH($C190&amp;$D190,'TaxCred&amp;Subs'!$D$139:$D$151,0),MATCH($H190,'TaxCred&amp;Subs'!$K$137:$S$137,0)),0),N190*IFERROR(INDEX('TaxCred&amp;Subs'!$K$139:$S$151,MATCH($C190&amp;$D190,'TaxCred&amp;Subs'!$C$139:$C$151,0),MATCH($H190,'TaxCred&amp;Subs'!$K$137:$S$137,0)),0))),0),0)</f>
        <v>0</v>
      </c>
      <c r="S190" s="95">
        <f t="array" ref="S190">ROUND(IF(IFERROR(VALUE(RIGHT($AD190,1)),0)&gt;2,IF($C190=8,O190*IFERROR(INDEX('TaxCred&amp;Subs'!$K$139:$S$151,MATCH($C190&amp;$D190&amp;LEFT($AD190,7),'TaxCred&amp;Subs'!$E$139:$E$151,0),MATCH($H190,'TaxCred&amp;Subs'!$K$137:$S$137,0)),0),IF($C190=2,O190*IFERROR(INDEX('TaxCred&amp;Subs'!$K$139:$S$151,MATCH($C190&amp;$D190,'TaxCred&amp;Subs'!$D$139:$D$151,0),MATCH($H190,'TaxCred&amp;Subs'!$K$137:$S$137,0)),0),O190*IFERROR(INDEX('TaxCred&amp;Subs'!$K$139:$S$151,MATCH($C190&amp;$D190,'TaxCred&amp;Subs'!$C$139:$C$151,0),MATCH($H190,'TaxCred&amp;Subs'!$K$137:$S$137,0)),0))),0),0)</f>
        <v>0</v>
      </c>
      <c r="T190" s="95">
        <f t="shared" si="11"/>
        <v>0</v>
      </c>
      <c r="U190" s="95">
        <f t="shared" si="12"/>
        <v>0</v>
      </c>
      <c r="V190" s="83" t="s">
        <v>222</v>
      </c>
      <c r="W190" s="32">
        <v>2020</v>
      </c>
      <c r="X190" s="83">
        <v>1</v>
      </c>
      <c r="Y190" s="83">
        <v>0</v>
      </c>
      <c r="Z190" s="198">
        <v>-2.0586783601680896E-4</v>
      </c>
      <c r="AA190" s="198">
        <v>-3.1671974771816762E-3</v>
      </c>
      <c r="AB190" s="83">
        <v>0</v>
      </c>
      <c r="AC190" s="83">
        <v>0</v>
      </c>
      <c r="AD190" s="83" t="s">
        <v>328</v>
      </c>
      <c r="AE190" s="30" t="s">
        <v>226</v>
      </c>
    </row>
    <row r="191" spans="2:31" ht="14.25" customHeight="1" x14ac:dyDescent="0.2">
      <c r="B191" s="7">
        <f t="shared" si="10"/>
        <v>167</v>
      </c>
      <c r="C191" s="83">
        <v>1</v>
      </c>
      <c r="D191" s="83">
        <v>5</v>
      </c>
      <c r="E191" s="83">
        <v>17</v>
      </c>
      <c r="F191" s="32">
        <v>2027</v>
      </c>
      <c r="G191" s="83">
        <v>2050</v>
      </c>
      <c r="H191" s="83">
        <v>11</v>
      </c>
      <c r="I191" s="83">
        <v>17</v>
      </c>
      <c r="J191" s="83">
        <v>0</v>
      </c>
      <c r="K191" s="83">
        <v>0</v>
      </c>
      <c r="L191" s="83">
        <v>0</v>
      </c>
      <c r="M191" s="161">
        <v>0.96700000000000008</v>
      </c>
      <c r="N191" s="160">
        <v>7625</v>
      </c>
      <c r="O191" s="160">
        <v>3630</v>
      </c>
      <c r="P191" s="172">
        <f t="array" ref="P191">ROUND(IF($F191&lt;='TaxCred&amp;Subs'!$C$49,(IF($C191=2,IF($M191&gt;=IFERROR(INDEX('TaxCred&amp;Subs'!$L$12:$L$47,MATCH(1,($C191&amp;$D191='TaxCred&amp;Subs'!$E$12:$E$47)*($F191='TaxCred&amp;Subs'!$C$12:$C$47),0)
),9999),IFERROR(INDEX('TaxCred&amp;Subs'!$N$12:$N$47,MATCH(1,($C191&amp;$D191='TaxCred&amp;Subs'!$E$12:$E$47)*($F191='TaxCred&amp;Subs'!$C$12:$C$47),0)
),0),0),(IF($M191&gt;=IFERROR(INDEX('TaxCred&amp;Subs'!$H$12:$H$47,MATCH(1,($C191&amp;$D191='TaxCred&amp;Subs'!$D$12:$D$47)*($F191='TaxCred&amp;Subs'!$C$12:$C$47),0)
),9999),IFERROR(INDEX('TaxCred&amp;Subs'!$N$12:$N$47,MATCH(1,($C191&amp;$D191='TaxCred&amp;Subs'!$D$12:$D$47)*($F191='TaxCred&amp;Subs'!$C$12:$C$47),0)
),0),0)))),0)+IF(AND($C191=2,VALUE(RIGHT($AD191,1))&gt;2),(N191-R191)*(IFERROR(INDEX('TaxCred&amp;Subs'!$J$66:$J$99,MATCH(1,($C191&amp;$D191='TaxCred&amp;Subs'!$E$66:$E$99)*($F191='TaxCred&amp;Subs'!$C$66:$C$99),0)),0)),IF(AND($C191=1,VALUE(RIGHT($AD191,1))&gt;2),(N191-R191)*(IFERROR(INDEX('TaxCred&amp;Subs'!$J$66:$J$99,MATCH(1,($C191&amp;$D191='TaxCred&amp;Subs'!$D$66:$D$99)*($F191='TaxCred&amp;Subs'!$C$66:$C$99),0)),0)),IF($C191&gt;2,(N191-R191)*(IFERROR(INDEX('TaxCred&amp;Subs'!$J$66:$J$99,MATCH(1,($C191&amp;$D191='TaxCred&amp;Subs'!$D$66:$D$99)*($F191='TaxCred&amp;Subs'!$C$66:$C$99),0)),0)),0))),0)</f>
        <v>600</v>
      </c>
      <c r="Q191" s="95">
        <f t="array" ref="Q191">ROUND(IF(AND($C191=2,VALUE(RIGHT($AD191,1))&gt;2),(O191-S191)*(IFERROR(INDEX('TaxCred&amp;Subs'!$J$66:$J$99,MATCH(1,($C191&amp;$D191='TaxCred&amp;Subs'!$E$66:$E$99)*($F191='TaxCred&amp;Subs'!$C$66:$C$99),0)),0)),IF(AND($C191=1,VALUE(RIGHT($AD191,1))&gt;2),(O191-S191)*(IFERROR(INDEX('TaxCred&amp;Subs'!$J$66:$J$99,MATCH(1,($C191&amp;$D191='TaxCred&amp;Subs'!$D$66:$D$99)*($F191='TaxCred&amp;Subs'!$C$66:$C$99),0)),0)),IF($C191&gt;2,(O191-S191)*(IFERROR(INDEX('TaxCred&amp;Subs'!$J$66:$J$99,MATCH(1,($C191&amp;$D191='TaxCred&amp;Subs'!$D$66:$D$99)*($F191='TaxCred&amp;Subs'!$C$66:$C$99),0)),0)),0))),0)</f>
        <v>0</v>
      </c>
      <c r="R191" s="95">
        <f t="array" ref="R191">ROUND(IF(IFERROR(VALUE(RIGHT($AD191,1)),0)&gt;2,IF($C191=8,N191*IFERROR(INDEX('TaxCred&amp;Subs'!$K$139:$S$151,MATCH($C191&amp;$D191&amp;LEFT($AD191,7),'TaxCred&amp;Subs'!$E$139:$E$151,0),MATCH($H191,'TaxCred&amp;Subs'!$K$137:$S$137,0)),0),IF($C191=2,N191*IFERROR(INDEX('TaxCred&amp;Subs'!$K$139:$S$151,MATCH($C191&amp;$D191,'TaxCred&amp;Subs'!$D$139:$D$151,0),MATCH($H191,'TaxCred&amp;Subs'!$K$137:$S$137,0)),0),N191*IFERROR(INDEX('TaxCred&amp;Subs'!$K$139:$S$151,MATCH($C191&amp;$D191,'TaxCred&amp;Subs'!$C$139:$C$151,0),MATCH($H191,'TaxCred&amp;Subs'!$K$137:$S$137,0)),0))),0),0)</f>
        <v>0</v>
      </c>
      <c r="S191" s="95">
        <f t="array" ref="S191">ROUND(IF(IFERROR(VALUE(RIGHT($AD191,1)),0)&gt;2,IF($C191=8,O191*IFERROR(INDEX('TaxCred&amp;Subs'!$K$139:$S$151,MATCH($C191&amp;$D191&amp;LEFT($AD191,7),'TaxCred&amp;Subs'!$E$139:$E$151,0),MATCH($H191,'TaxCred&amp;Subs'!$K$137:$S$137,0)),0),IF($C191=2,O191*IFERROR(INDEX('TaxCred&amp;Subs'!$K$139:$S$151,MATCH($C191&amp;$D191,'TaxCred&amp;Subs'!$D$139:$D$151,0),MATCH($H191,'TaxCred&amp;Subs'!$K$137:$S$137,0)),0),O191*IFERROR(INDEX('TaxCred&amp;Subs'!$K$139:$S$151,MATCH($C191&amp;$D191,'TaxCred&amp;Subs'!$C$139:$C$151,0),MATCH($H191,'TaxCred&amp;Subs'!$K$137:$S$137,0)),0))),0),0)</f>
        <v>0</v>
      </c>
      <c r="T191" s="95">
        <f t="shared" si="11"/>
        <v>0</v>
      </c>
      <c r="U191" s="95">
        <f t="shared" si="12"/>
        <v>0</v>
      </c>
      <c r="V191" s="83" t="s">
        <v>222</v>
      </c>
      <c r="W191" s="32">
        <v>2020</v>
      </c>
      <c r="X191" s="83">
        <v>1</v>
      </c>
      <c r="Y191" s="83">
        <v>0</v>
      </c>
      <c r="Z191" s="198">
        <v>-2.0586783601680896E-4</v>
      </c>
      <c r="AA191" s="198">
        <v>-3.1671974771816762E-3</v>
      </c>
      <c r="AB191" s="83">
        <v>0</v>
      </c>
      <c r="AC191" s="83">
        <v>0</v>
      </c>
      <c r="AD191" s="83" t="s">
        <v>328</v>
      </c>
      <c r="AE191" s="30" t="s">
        <v>226</v>
      </c>
    </row>
    <row r="192" spans="2:31" x14ac:dyDescent="0.2">
      <c r="B192" s="7">
        <f t="shared" si="10"/>
        <v>168</v>
      </c>
      <c r="C192" s="28">
        <v>1</v>
      </c>
      <c r="D192" s="28">
        <v>6</v>
      </c>
      <c r="E192" s="28">
        <v>18</v>
      </c>
      <c r="F192" s="96">
        <v>2020</v>
      </c>
      <c r="G192" s="31">
        <v>2028</v>
      </c>
      <c r="H192" s="28">
        <v>11</v>
      </c>
      <c r="I192" s="28">
        <v>18</v>
      </c>
      <c r="J192" s="28">
        <v>0</v>
      </c>
      <c r="K192" s="28">
        <v>0</v>
      </c>
      <c r="L192" s="28">
        <v>0</v>
      </c>
      <c r="M192" s="75">
        <v>0.8</v>
      </c>
      <c r="N192" s="151">
        <v>3690</v>
      </c>
      <c r="O192" s="151">
        <v>1080</v>
      </c>
      <c r="P192" s="95">
        <f t="array" ref="P192">ROUND(IF($F192&lt;='TaxCred&amp;Subs'!$C$49,(IF($C192=2,IF($M192&gt;=IFERROR(INDEX('TaxCred&amp;Subs'!$L$12:$L$47,MATCH(1,($C192&amp;$D192='TaxCred&amp;Subs'!$E$12:$E$47)*($F192='TaxCred&amp;Subs'!$C$12:$C$47),0)
),9999),IFERROR(INDEX('TaxCred&amp;Subs'!$N$12:$N$47,MATCH(1,($C192&amp;$D192='TaxCred&amp;Subs'!$E$12:$E$47)*($F192='TaxCred&amp;Subs'!$C$12:$C$47),0)
),0),0),(IF($M192&gt;=IFERROR(INDEX('TaxCred&amp;Subs'!$H$12:$H$47,MATCH(1,($C192&amp;$D192='TaxCred&amp;Subs'!$D$12:$D$47)*($F192='TaxCred&amp;Subs'!$C$12:$C$47),0)
),9999),IFERROR(INDEX('TaxCred&amp;Subs'!$N$12:$N$47,MATCH(1,($C192&amp;$D192='TaxCred&amp;Subs'!$D$12:$D$47)*($F192='TaxCred&amp;Subs'!$C$12:$C$47),0)
),0),0)))),0)+IF(AND($C192=2,VALUE(RIGHT($AD192,1))&gt;2),(N192-R192)*(IFERROR(INDEX('TaxCred&amp;Subs'!$J$66:$J$99,MATCH(1,($C192&amp;$D192='TaxCred&amp;Subs'!$E$66:$E$99)*($F192='TaxCred&amp;Subs'!$C$66:$C$99),0)),0)),IF(AND($C192=1,VALUE(RIGHT($AD192,1))&gt;2),(N192-R192)*(IFERROR(INDEX('TaxCred&amp;Subs'!$J$66:$J$99,MATCH(1,($C192&amp;$D192='TaxCred&amp;Subs'!$D$66:$D$99)*($F192='TaxCred&amp;Subs'!$C$66:$C$99),0)),0)),IF($C192&gt;2,(N192-R192)*(IFERROR(INDEX('TaxCred&amp;Subs'!$J$66:$J$99,MATCH(1,($C192&amp;$D192='TaxCred&amp;Subs'!$D$66:$D$99)*($F192='TaxCred&amp;Subs'!$C$66:$C$99),0)),0)),0))),0)</f>
        <v>0</v>
      </c>
      <c r="Q192" s="95">
        <f t="array" ref="Q192">ROUND(IF(AND($C192=2,VALUE(RIGHT($AD192,1))&gt;2),(O192-S192)*(IFERROR(INDEX('TaxCred&amp;Subs'!$J$66:$J$99,MATCH(1,($C192&amp;$D192='TaxCred&amp;Subs'!$E$66:$E$99)*($F192='TaxCred&amp;Subs'!$C$66:$C$99),0)),0)),IF(AND($C192=1,VALUE(RIGHT($AD192,1))&gt;2),(O192-S192)*(IFERROR(INDEX('TaxCred&amp;Subs'!$J$66:$J$99,MATCH(1,($C192&amp;$D192='TaxCred&amp;Subs'!$D$66:$D$99)*($F192='TaxCred&amp;Subs'!$C$66:$C$99),0)),0)),IF($C192&gt;2,(O192-S192)*(IFERROR(INDEX('TaxCred&amp;Subs'!$J$66:$J$99,MATCH(1,($C192&amp;$D192='TaxCred&amp;Subs'!$D$66:$D$99)*($F192='TaxCred&amp;Subs'!$C$66:$C$99),0)),0)),0))),0)</f>
        <v>0</v>
      </c>
      <c r="R192" s="95">
        <f t="array" ref="R192">ROUND(IF(IFERROR(VALUE(RIGHT($AD192,1)),0)&gt;2,IF($C192=8,N192*IFERROR(INDEX('TaxCred&amp;Subs'!$K$139:$S$151,MATCH($C192&amp;$D192&amp;LEFT($AD192,7),'TaxCred&amp;Subs'!$E$139:$E$151,0),MATCH($H192,'TaxCred&amp;Subs'!$K$137:$S$137,0)),0),IF($C192=2,N192*IFERROR(INDEX('TaxCred&amp;Subs'!$K$139:$S$151,MATCH($C192&amp;$D192,'TaxCred&amp;Subs'!$D$139:$D$151,0),MATCH($H192,'TaxCred&amp;Subs'!$K$137:$S$137,0)),0),N192*IFERROR(INDEX('TaxCred&amp;Subs'!$K$139:$S$151,MATCH($C192&amp;$D192,'TaxCred&amp;Subs'!$C$139:$C$151,0),MATCH($H192,'TaxCred&amp;Subs'!$K$137:$S$137,0)),0))),0),0)</f>
        <v>0</v>
      </c>
      <c r="S192" s="95">
        <f t="array" ref="S192">ROUND(IF(IFERROR(VALUE(RIGHT($AD192,1)),0)&gt;2,IF($C192=8,O192*IFERROR(INDEX('TaxCred&amp;Subs'!$K$139:$S$151,MATCH($C192&amp;$D192&amp;LEFT($AD192,7),'TaxCred&amp;Subs'!$E$139:$E$151,0),MATCH($H192,'TaxCred&amp;Subs'!$K$137:$S$137,0)),0),IF($C192=2,O192*IFERROR(INDEX('TaxCred&amp;Subs'!$K$139:$S$151,MATCH($C192&amp;$D192,'TaxCred&amp;Subs'!$D$139:$D$151,0),MATCH($H192,'TaxCred&amp;Subs'!$K$137:$S$137,0)),0),O192*IFERROR(INDEX('TaxCred&amp;Subs'!$K$139:$S$151,MATCH($C192&amp;$D192,'TaxCred&amp;Subs'!$C$139:$C$151,0),MATCH($H192,'TaxCred&amp;Subs'!$K$137:$S$137,0)),0))),0),0)</f>
        <v>0</v>
      </c>
      <c r="T192" s="95">
        <f t="shared" si="11"/>
        <v>0</v>
      </c>
      <c r="U192" s="95">
        <f t="shared" si="12"/>
        <v>0</v>
      </c>
      <c r="V192" s="28" t="s">
        <v>222</v>
      </c>
      <c r="W192" s="31">
        <v>2020</v>
      </c>
      <c r="X192" s="28">
        <v>1</v>
      </c>
      <c r="Y192" s="28">
        <v>0</v>
      </c>
      <c r="Z192" s="196">
        <v>-1.7826229580601737E-4</v>
      </c>
      <c r="AA192" s="196">
        <v>-2.7424968585541133E-3</v>
      </c>
      <c r="AB192" s="28">
        <v>0</v>
      </c>
      <c r="AC192" s="28">
        <v>0</v>
      </c>
      <c r="AD192" s="28" t="s">
        <v>323</v>
      </c>
      <c r="AE192" s="162"/>
    </row>
    <row r="193" spans="2:31" x14ac:dyDescent="0.2">
      <c r="B193" s="7">
        <f t="shared" si="10"/>
        <v>169</v>
      </c>
      <c r="C193" s="152">
        <v>1</v>
      </c>
      <c r="D193" s="152">
        <v>6</v>
      </c>
      <c r="E193" s="152">
        <v>18</v>
      </c>
      <c r="F193" s="153">
        <v>2029</v>
      </c>
      <c r="G193" s="152">
        <v>2050</v>
      </c>
      <c r="H193" s="152">
        <v>11</v>
      </c>
      <c r="I193" s="152">
        <v>18</v>
      </c>
      <c r="J193" s="152">
        <v>0</v>
      </c>
      <c r="K193" s="152">
        <v>0</v>
      </c>
      <c r="L193" s="152">
        <v>0</v>
      </c>
      <c r="M193" s="154">
        <v>0.95</v>
      </c>
      <c r="N193" s="155">
        <v>4150</v>
      </c>
      <c r="O193" s="155">
        <v>1220</v>
      </c>
      <c r="P193" s="41">
        <f t="array" ref="P193">ROUND(IF($F193&lt;='TaxCred&amp;Subs'!$C$49,(IF($C193=2,IF($M193&gt;=IFERROR(INDEX('TaxCred&amp;Subs'!$L$12:$L$47,MATCH(1,($C193&amp;$D193='TaxCred&amp;Subs'!$E$12:$E$47)*($F193='TaxCred&amp;Subs'!$C$12:$C$47),0)
),9999),IFERROR(INDEX('TaxCred&amp;Subs'!$N$12:$N$47,MATCH(1,($C193&amp;$D193='TaxCred&amp;Subs'!$E$12:$E$47)*($F193='TaxCred&amp;Subs'!$C$12:$C$47),0)
),0),0),(IF($M193&gt;=IFERROR(INDEX('TaxCred&amp;Subs'!$H$12:$H$47,MATCH(1,($C193&amp;$D193='TaxCred&amp;Subs'!$D$12:$D$47)*($F193='TaxCred&amp;Subs'!$C$12:$C$47),0)
),9999),IFERROR(INDEX('TaxCred&amp;Subs'!$N$12:$N$47,MATCH(1,($C193&amp;$D193='TaxCred&amp;Subs'!$D$12:$D$47)*($F193='TaxCred&amp;Subs'!$C$12:$C$47),0)
),0),0)))),0)+IF(AND($C193=2,VALUE(RIGHT($AD193,1))&gt;2),(N193-R193)*(IFERROR(INDEX('TaxCred&amp;Subs'!$J$66:$J$99,MATCH(1,($C193&amp;$D193='TaxCred&amp;Subs'!$E$66:$E$99)*($F193='TaxCred&amp;Subs'!$C$66:$C$99),0)),0)),IF(AND($C193=1,VALUE(RIGHT($AD193,1))&gt;2),(N193-R193)*(IFERROR(INDEX('TaxCred&amp;Subs'!$J$66:$J$99,MATCH(1,($C193&amp;$D193='TaxCred&amp;Subs'!$D$66:$D$99)*($F193='TaxCred&amp;Subs'!$C$66:$C$99),0)),0)),IF($C193&gt;2,(N193-R193)*(IFERROR(INDEX('TaxCred&amp;Subs'!$J$66:$J$99,MATCH(1,($C193&amp;$D193='TaxCred&amp;Subs'!$D$66:$D$99)*($F193='TaxCred&amp;Subs'!$C$66:$C$99),0)),0)),0))),0)</f>
        <v>0</v>
      </c>
      <c r="Q193" s="41">
        <f t="array" ref="Q193">ROUND(IF(AND($C193=2,VALUE(RIGHT($AD193,1))&gt;2),(O193-S193)*(IFERROR(INDEX('TaxCred&amp;Subs'!$J$66:$J$99,MATCH(1,($C193&amp;$D193='TaxCred&amp;Subs'!$E$66:$E$99)*($F193='TaxCred&amp;Subs'!$C$66:$C$99),0)),0)),IF(AND($C193=1,VALUE(RIGHT($AD193,1))&gt;2),(O193-S193)*(IFERROR(INDEX('TaxCred&amp;Subs'!$J$66:$J$99,MATCH(1,($C193&amp;$D193='TaxCred&amp;Subs'!$D$66:$D$99)*($F193='TaxCred&amp;Subs'!$C$66:$C$99),0)),0)),IF($C193&gt;2,(O193-S193)*(IFERROR(INDEX('TaxCred&amp;Subs'!$J$66:$J$99,MATCH(1,($C193&amp;$D193='TaxCred&amp;Subs'!$D$66:$D$99)*($F193='TaxCred&amp;Subs'!$C$66:$C$99),0)),0)),0))),0)</f>
        <v>0</v>
      </c>
      <c r="R193" s="41">
        <f t="array" ref="R193">ROUND(IF(IFERROR(VALUE(RIGHT($AD193,1)),0)&gt;2,IF($C193=8,N193*IFERROR(INDEX('TaxCred&amp;Subs'!$K$139:$S$151,MATCH($C193&amp;$D193&amp;LEFT($AD193,7),'TaxCred&amp;Subs'!$E$139:$E$151,0),MATCH($H193,'TaxCred&amp;Subs'!$K$137:$S$137,0)),0),IF($C193=2,N193*IFERROR(INDEX('TaxCred&amp;Subs'!$K$139:$S$151,MATCH($C193&amp;$D193,'TaxCred&amp;Subs'!$D$139:$D$151,0),MATCH($H193,'TaxCred&amp;Subs'!$K$137:$S$137,0)),0),N193*IFERROR(INDEX('TaxCred&amp;Subs'!$K$139:$S$151,MATCH($C193&amp;$D193,'TaxCred&amp;Subs'!$C$139:$C$151,0),MATCH($H193,'TaxCred&amp;Subs'!$K$137:$S$137,0)),0))),0),0)</f>
        <v>0</v>
      </c>
      <c r="S193" s="41">
        <f t="array" ref="S193">ROUND(IF(IFERROR(VALUE(RIGHT($AD193,1)),0)&gt;2,IF($C193=8,O193*IFERROR(INDEX('TaxCred&amp;Subs'!$K$139:$S$151,MATCH($C193&amp;$D193&amp;LEFT($AD193,7),'TaxCred&amp;Subs'!$E$139:$E$151,0),MATCH($H193,'TaxCred&amp;Subs'!$K$137:$S$137,0)),0),IF($C193=2,O193*IFERROR(INDEX('TaxCred&amp;Subs'!$K$139:$S$151,MATCH($C193&amp;$D193,'TaxCred&amp;Subs'!$D$139:$D$151,0),MATCH($H193,'TaxCred&amp;Subs'!$K$137:$S$137,0)),0),O193*IFERROR(INDEX('TaxCred&amp;Subs'!$K$139:$S$151,MATCH($C193&amp;$D193,'TaxCred&amp;Subs'!$C$139:$C$151,0),MATCH($H193,'TaxCred&amp;Subs'!$K$137:$S$137,0)),0))),0),0)</f>
        <v>0</v>
      </c>
      <c r="T193" s="41">
        <f t="shared" ref="T193" si="13">IF($H193=9,IF(R193&gt;0,(N193-P193)*0.15,0),0)</f>
        <v>0</v>
      </c>
      <c r="U193" s="41">
        <f t="shared" ref="U193" si="14">IF($H193=9,IF(S193&gt;0,(O193-Q193)*0.15,0),0)</f>
        <v>0</v>
      </c>
      <c r="V193" s="152" t="s">
        <v>222</v>
      </c>
      <c r="W193" s="152">
        <v>2020</v>
      </c>
      <c r="X193" s="152">
        <v>1</v>
      </c>
      <c r="Y193" s="152">
        <v>0</v>
      </c>
      <c r="Z193" s="194">
        <v>-1.7826229580601737E-4</v>
      </c>
      <c r="AA193" s="194">
        <v>-2.7424968585541133E-3</v>
      </c>
      <c r="AB193" s="152">
        <v>0</v>
      </c>
      <c r="AC193" s="152">
        <v>0</v>
      </c>
      <c r="AD193" s="152" t="s">
        <v>323</v>
      </c>
      <c r="AE193" s="162"/>
    </row>
    <row r="194" spans="2:31" x14ac:dyDescent="0.2">
      <c r="B194" s="7">
        <f t="shared" si="10"/>
        <v>170</v>
      </c>
      <c r="C194" s="28">
        <v>1</v>
      </c>
      <c r="D194" s="28">
        <v>6</v>
      </c>
      <c r="E194" s="28">
        <v>19</v>
      </c>
      <c r="F194" s="96">
        <v>2020</v>
      </c>
      <c r="G194" s="31">
        <v>2029</v>
      </c>
      <c r="H194" s="31">
        <v>11</v>
      </c>
      <c r="I194" s="28">
        <v>19</v>
      </c>
      <c r="J194" s="28">
        <v>0</v>
      </c>
      <c r="K194" s="28">
        <v>0</v>
      </c>
      <c r="L194" s="28">
        <v>0</v>
      </c>
      <c r="M194" s="156">
        <v>0.9</v>
      </c>
      <c r="N194" s="151">
        <v>4130</v>
      </c>
      <c r="O194" s="151">
        <v>1200</v>
      </c>
      <c r="P194" s="95">
        <f t="array" ref="P194">ROUND(IF($F194&lt;='TaxCred&amp;Subs'!$C$49,(IF($C194=2,IF($M194&gt;=IFERROR(INDEX('TaxCred&amp;Subs'!$L$12:$L$47,MATCH(1,($C194&amp;$D194='TaxCred&amp;Subs'!$E$12:$E$47)*($F194='TaxCred&amp;Subs'!$C$12:$C$47),0)
),9999),IFERROR(INDEX('TaxCred&amp;Subs'!$N$12:$N$47,MATCH(1,($C194&amp;$D194='TaxCred&amp;Subs'!$E$12:$E$47)*($F194='TaxCred&amp;Subs'!$C$12:$C$47),0)
),0),0),(IF($M194&gt;=IFERROR(INDEX('TaxCred&amp;Subs'!$H$12:$H$47,MATCH(1,($C194&amp;$D194='TaxCred&amp;Subs'!$D$12:$D$47)*($F194='TaxCred&amp;Subs'!$C$12:$C$47),0)
),9999),IFERROR(INDEX('TaxCred&amp;Subs'!$N$12:$N$47,MATCH(1,($C194&amp;$D194='TaxCred&amp;Subs'!$D$12:$D$47)*($F194='TaxCred&amp;Subs'!$C$12:$C$47),0)
),0),0)))),0)+IF(AND($C194=2,VALUE(RIGHT($AD194,1))&gt;2),(N194-R194)*(IFERROR(INDEX('TaxCred&amp;Subs'!$J$66:$J$99,MATCH(1,($C194&amp;$D194='TaxCred&amp;Subs'!$E$66:$E$99)*($F194='TaxCred&amp;Subs'!$C$66:$C$99),0)),0)),IF(AND($C194=1,VALUE(RIGHT($AD194,1))&gt;2),(N194-R194)*(IFERROR(INDEX('TaxCred&amp;Subs'!$J$66:$J$99,MATCH(1,($C194&amp;$D194='TaxCred&amp;Subs'!$D$66:$D$99)*($F194='TaxCred&amp;Subs'!$C$66:$C$99),0)),0)),IF($C194&gt;2,(N194-R194)*(IFERROR(INDEX('TaxCred&amp;Subs'!$J$66:$J$99,MATCH(1,($C194&amp;$D194='TaxCred&amp;Subs'!$D$66:$D$99)*($F194='TaxCred&amp;Subs'!$C$66:$C$99),0)),0)),0))),0)</f>
        <v>0</v>
      </c>
      <c r="Q194" s="95">
        <f t="array" ref="Q194">ROUND(IF(AND($C194=2,VALUE(RIGHT($AD194,1))&gt;2),(O194-S194)*(IFERROR(INDEX('TaxCred&amp;Subs'!$J$66:$J$99,MATCH(1,($C194&amp;$D194='TaxCred&amp;Subs'!$E$66:$E$99)*($F194='TaxCred&amp;Subs'!$C$66:$C$99),0)),0)),IF(AND($C194=1,VALUE(RIGHT($AD194,1))&gt;2),(O194-S194)*(IFERROR(INDEX('TaxCred&amp;Subs'!$J$66:$J$99,MATCH(1,($C194&amp;$D194='TaxCred&amp;Subs'!$D$66:$D$99)*($F194='TaxCred&amp;Subs'!$C$66:$C$99),0)),0)),IF($C194&gt;2,(O194-S194)*(IFERROR(INDEX('TaxCred&amp;Subs'!$J$66:$J$99,MATCH(1,($C194&amp;$D194='TaxCred&amp;Subs'!$D$66:$D$99)*($F194='TaxCred&amp;Subs'!$C$66:$C$99),0)),0)),0))),0)</f>
        <v>0</v>
      </c>
      <c r="R194" s="95">
        <f t="array" ref="R194">ROUND(IF(IFERROR(VALUE(RIGHT($AD194,1)),0)&gt;2,IF($C194=8,N194*IFERROR(INDEX('TaxCred&amp;Subs'!$K$139:$S$151,MATCH($C194&amp;$D194&amp;LEFT($AD194,7),'TaxCred&amp;Subs'!$E$139:$E$151,0),MATCH($H194,'TaxCred&amp;Subs'!$K$137:$S$137,0)),0),IF($C194=2,N194*IFERROR(INDEX('TaxCred&amp;Subs'!$K$139:$S$151,MATCH($C194&amp;$D194,'TaxCred&amp;Subs'!$D$139:$D$151,0),MATCH($H194,'TaxCred&amp;Subs'!$K$137:$S$137,0)),0),N194*IFERROR(INDEX('TaxCred&amp;Subs'!$K$139:$S$151,MATCH($C194&amp;$D194,'TaxCred&amp;Subs'!$C$139:$C$151,0),MATCH($H194,'TaxCred&amp;Subs'!$K$137:$S$137,0)),0))),0),0)</f>
        <v>0</v>
      </c>
      <c r="S194" s="95">
        <f t="array" ref="S194">ROUND(IF(IFERROR(VALUE(RIGHT($AD194,1)),0)&gt;2,IF($C194=8,O194*IFERROR(INDEX('TaxCred&amp;Subs'!$K$139:$S$151,MATCH($C194&amp;$D194&amp;LEFT($AD194,7),'TaxCred&amp;Subs'!$E$139:$E$151,0),MATCH($H194,'TaxCred&amp;Subs'!$K$137:$S$137,0)),0),IF($C194=2,O194*IFERROR(INDEX('TaxCred&amp;Subs'!$K$139:$S$151,MATCH($C194&amp;$D194,'TaxCred&amp;Subs'!$D$139:$D$151,0),MATCH($H194,'TaxCred&amp;Subs'!$K$137:$S$137,0)),0),O194*IFERROR(INDEX('TaxCred&amp;Subs'!$K$139:$S$151,MATCH($C194&amp;$D194,'TaxCred&amp;Subs'!$C$139:$C$151,0),MATCH($H194,'TaxCred&amp;Subs'!$K$137:$S$137,0)),0))),0),0)</f>
        <v>0</v>
      </c>
      <c r="T194" s="95">
        <f t="shared" si="11"/>
        <v>0</v>
      </c>
      <c r="U194" s="95">
        <f t="shared" si="12"/>
        <v>0</v>
      </c>
      <c r="V194" s="28" t="s">
        <v>222</v>
      </c>
      <c r="W194" s="31">
        <v>2020</v>
      </c>
      <c r="X194" s="28">
        <v>1</v>
      </c>
      <c r="Y194" s="28">
        <v>0</v>
      </c>
      <c r="Z194" s="196">
        <v>-1.7826229580601737E-4</v>
      </c>
      <c r="AA194" s="196">
        <v>-2.7424968585541133E-3</v>
      </c>
      <c r="AB194" s="28">
        <v>0</v>
      </c>
      <c r="AC194" s="28">
        <v>0</v>
      </c>
      <c r="AD194" s="28" t="s">
        <v>324</v>
      </c>
    </row>
    <row r="195" spans="2:31" ht="14.25" customHeight="1" x14ac:dyDescent="0.2">
      <c r="B195" s="7">
        <f t="shared" si="10"/>
        <v>171</v>
      </c>
      <c r="C195" s="152">
        <v>1</v>
      </c>
      <c r="D195" s="152">
        <v>6</v>
      </c>
      <c r="E195" s="152">
        <v>19</v>
      </c>
      <c r="F195" s="153">
        <v>2030</v>
      </c>
      <c r="G195" s="152">
        <v>2050</v>
      </c>
      <c r="H195" s="152">
        <v>11</v>
      </c>
      <c r="I195" s="152">
        <v>19</v>
      </c>
      <c r="J195" s="152">
        <v>0</v>
      </c>
      <c r="K195" s="152">
        <v>0</v>
      </c>
      <c r="L195" s="152">
        <v>0</v>
      </c>
      <c r="M195" s="154">
        <v>0.95</v>
      </c>
      <c r="N195" s="155">
        <v>4150</v>
      </c>
      <c r="O195" s="155">
        <v>1220</v>
      </c>
      <c r="P195" s="41">
        <f t="array" ref="P195">ROUND(IF($F195&lt;='TaxCred&amp;Subs'!$C$49,(IF($C195=2,IF($M195&gt;=IFERROR(INDEX('TaxCred&amp;Subs'!$L$12:$L$47,MATCH(1,($C195&amp;$D195='TaxCred&amp;Subs'!$E$12:$E$47)*($F195='TaxCred&amp;Subs'!$C$12:$C$47),0)
),9999),IFERROR(INDEX('TaxCred&amp;Subs'!$N$12:$N$47,MATCH(1,($C195&amp;$D195='TaxCred&amp;Subs'!$E$12:$E$47)*($F195='TaxCred&amp;Subs'!$C$12:$C$47),0)
),0),0),(IF($M195&gt;=IFERROR(INDEX('TaxCred&amp;Subs'!$H$12:$H$47,MATCH(1,($C195&amp;$D195='TaxCred&amp;Subs'!$D$12:$D$47)*($F195='TaxCred&amp;Subs'!$C$12:$C$47),0)
),9999),IFERROR(INDEX('TaxCred&amp;Subs'!$N$12:$N$47,MATCH(1,($C195&amp;$D195='TaxCred&amp;Subs'!$D$12:$D$47)*($F195='TaxCred&amp;Subs'!$C$12:$C$47),0)
),0),0)))),0)+IF(AND($C195=2,VALUE(RIGHT($AD195,1))&gt;2),(N195-R195)*(IFERROR(INDEX('TaxCred&amp;Subs'!$J$66:$J$99,MATCH(1,($C195&amp;$D195='TaxCred&amp;Subs'!$E$66:$E$99)*($F195='TaxCred&amp;Subs'!$C$66:$C$99),0)),0)),IF(AND($C195=1,VALUE(RIGHT($AD195,1))&gt;2),(N195-R195)*(IFERROR(INDEX('TaxCred&amp;Subs'!$J$66:$J$99,MATCH(1,($C195&amp;$D195='TaxCred&amp;Subs'!$D$66:$D$99)*($F195='TaxCred&amp;Subs'!$C$66:$C$99),0)),0)),IF($C195&gt;2,(N195-R195)*(IFERROR(INDEX('TaxCred&amp;Subs'!$J$66:$J$99,MATCH(1,($C195&amp;$D195='TaxCred&amp;Subs'!$D$66:$D$99)*($F195='TaxCred&amp;Subs'!$C$66:$C$99),0)),0)),0))),0)</f>
        <v>0</v>
      </c>
      <c r="Q195" s="41">
        <f t="array" ref="Q195">ROUND(IF(AND($C195=2,VALUE(RIGHT($AD195,1))&gt;2),(O195-S195)*(IFERROR(INDEX('TaxCred&amp;Subs'!$J$66:$J$99,MATCH(1,($C195&amp;$D195='TaxCred&amp;Subs'!$E$66:$E$99)*($F195='TaxCred&amp;Subs'!$C$66:$C$99),0)),0)),IF(AND($C195=1,VALUE(RIGHT($AD195,1))&gt;2),(O195-S195)*(IFERROR(INDEX('TaxCred&amp;Subs'!$J$66:$J$99,MATCH(1,($C195&amp;$D195='TaxCred&amp;Subs'!$D$66:$D$99)*($F195='TaxCred&amp;Subs'!$C$66:$C$99),0)),0)),IF($C195&gt;2,(O195-S195)*(IFERROR(INDEX('TaxCred&amp;Subs'!$J$66:$J$99,MATCH(1,($C195&amp;$D195='TaxCred&amp;Subs'!$D$66:$D$99)*($F195='TaxCred&amp;Subs'!$C$66:$C$99),0)),0)),0))),0)</f>
        <v>0</v>
      </c>
      <c r="R195" s="171">
        <f t="array" ref="R195">ROUND(IF(IFERROR(VALUE(RIGHT($AD195,1)),0)&gt;2,IF($C195=8,N195*IFERROR(INDEX('TaxCred&amp;Subs'!$K$139:$S$151,MATCH($C195&amp;$D195&amp;LEFT($AD195,7),'TaxCred&amp;Subs'!$E$139:$E$151,0),MATCH($H195,'TaxCred&amp;Subs'!$K$137:$S$137,0)),0),IF($C195=2,N195*IFERROR(INDEX('TaxCred&amp;Subs'!$K$139:$S$151,MATCH($C195&amp;$D195,'TaxCred&amp;Subs'!$D$139:$D$151,0),MATCH($H195,'TaxCred&amp;Subs'!$K$137:$S$137,0)),0),N195*IFERROR(INDEX('TaxCred&amp;Subs'!$K$139:$S$151,MATCH($C195&amp;$D195,'TaxCred&amp;Subs'!$C$139:$C$151,0),MATCH($H195,'TaxCred&amp;Subs'!$K$137:$S$137,0)),0))),0),0)</f>
        <v>0</v>
      </c>
      <c r="S195" s="171">
        <f t="array" ref="S195">ROUND(IF(IFERROR(VALUE(RIGHT($AD195,1)),0)&gt;2,IF($C195=8,O195*IFERROR(INDEX('TaxCred&amp;Subs'!$K$139:$S$151,MATCH($C195&amp;$D195&amp;LEFT($AD195,7),'TaxCred&amp;Subs'!$E$139:$E$151,0),MATCH($H195,'TaxCred&amp;Subs'!$K$137:$S$137,0)),0),IF($C195=2,O195*IFERROR(INDEX('TaxCred&amp;Subs'!$K$139:$S$151,MATCH($C195&amp;$D195,'TaxCred&amp;Subs'!$D$139:$D$151,0),MATCH($H195,'TaxCred&amp;Subs'!$K$137:$S$137,0)),0),O195*IFERROR(INDEX('TaxCred&amp;Subs'!$K$139:$S$151,MATCH($C195&amp;$D195,'TaxCred&amp;Subs'!$C$139:$C$151,0),MATCH($H195,'TaxCred&amp;Subs'!$K$137:$S$137,0)),0))),0),0)</f>
        <v>0</v>
      </c>
      <c r="T195" s="41">
        <f t="shared" si="11"/>
        <v>0</v>
      </c>
      <c r="U195" s="41">
        <f t="shared" si="12"/>
        <v>0</v>
      </c>
      <c r="V195" s="152" t="s">
        <v>222</v>
      </c>
      <c r="W195" s="152">
        <v>2020</v>
      </c>
      <c r="X195" s="152">
        <v>1</v>
      </c>
      <c r="Y195" s="152">
        <v>0</v>
      </c>
      <c r="Z195" s="194">
        <v>-1.7826229580601737E-4</v>
      </c>
      <c r="AA195" s="194">
        <v>-2.7424968585541133E-3</v>
      </c>
      <c r="AB195" s="152">
        <v>0</v>
      </c>
      <c r="AC195" s="152">
        <v>0</v>
      </c>
      <c r="AD195" s="152" t="s">
        <v>324</v>
      </c>
    </row>
    <row r="196" spans="2:31" x14ac:dyDescent="0.2">
      <c r="B196" s="7">
        <f t="shared" si="10"/>
        <v>172</v>
      </c>
      <c r="C196" s="28">
        <v>1</v>
      </c>
      <c r="D196" s="28">
        <v>6</v>
      </c>
      <c r="E196" s="28">
        <v>20</v>
      </c>
      <c r="F196" s="96">
        <v>2020</v>
      </c>
      <c r="G196" s="28">
        <v>2021</v>
      </c>
      <c r="H196" s="28">
        <v>1</v>
      </c>
      <c r="I196" s="28">
        <v>20</v>
      </c>
      <c r="J196" s="28">
        <v>0</v>
      </c>
      <c r="K196" s="28">
        <v>0</v>
      </c>
      <c r="L196" s="28">
        <v>0</v>
      </c>
      <c r="M196" s="75">
        <v>0.95</v>
      </c>
      <c r="N196" s="151">
        <v>4150</v>
      </c>
      <c r="O196" s="151">
        <v>1220</v>
      </c>
      <c r="P196" s="95">
        <f t="array" ref="P196">ROUND(IF($F196&lt;='TaxCred&amp;Subs'!$C$49,(IF($C196=2,IF($M196&gt;=IFERROR(INDEX('TaxCred&amp;Subs'!$L$12:$L$47,MATCH(1,($C196&amp;$D196='TaxCred&amp;Subs'!$E$12:$E$47)*($F196='TaxCred&amp;Subs'!$C$12:$C$47),0)
),9999),IFERROR(INDEX('TaxCred&amp;Subs'!$N$12:$N$47,MATCH(1,($C196&amp;$D196='TaxCred&amp;Subs'!$E$12:$E$47)*($F196='TaxCred&amp;Subs'!$C$12:$C$47),0)
),0),0),(IF($M196&gt;=IFERROR(INDEX('TaxCred&amp;Subs'!$H$12:$H$47,MATCH(1,($C196&amp;$D196='TaxCred&amp;Subs'!$D$12:$D$47)*($F196='TaxCred&amp;Subs'!$C$12:$C$47),0)
),9999),IFERROR(INDEX('TaxCred&amp;Subs'!$N$12:$N$47,MATCH(1,($C196&amp;$D196='TaxCred&amp;Subs'!$D$12:$D$47)*($F196='TaxCred&amp;Subs'!$C$12:$C$47),0)
),0),0)))),0)+IF(AND($C196=2,VALUE(RIGHT($AD196,1))&gt;2),(N196-R196)*(IFERROR(INDEX('TaxCred&amp;Subs'!$J$66:$J$99,MATCH(1,($C196&amp;$D196='TaxCred&amp;Subs'!$E$66:$E$99)*($F196='TaxCred&amp;Subs'!$C$66:$C$99),0)),0)),IF(AND($C196=1,VALUE(RIGHT($AD196,1))&gt;2),(N196-R196)*(IFERROR(INDEX('TaxCred&amp;Subs'!$J$66:$J$99,MATCH(1,($C196&amp;$D196='TaxCred&amp;Subs'!$D$66:$D$99)*($F196='TaxCred&amp;Subs'!$C$66:$C$99),0)),0)),IF($C196&gt;2,(N196-R196)*(IFERROR(INDEX('TaxCred&amp;Subs'!$J$66:$J$99,MATCH(1,($C196&amp;$D196='TaxCred&amp;Subs'!$D$66:$D$99)*($F196='TaxCred&amp;Subs'!$C$66:$C$99),0)),0)),0))),0)</f>
        <v>150</v>
      </c>
      <c r="Q196" s="95">
        <f t="array" ref="Q196">ROUND(IF(AND($C196=2,VALUE(RIGHT($AD196,1))&gt;2),(O196-S196)*(IFERROR(INDEX('TaxCred&amp;Subs'!$J$66:$J$99,MATCH(1,($C196&amp;$D196='TaxCred&amp;Subs'!$E$66:$E$99)*($F196='TaxCred&amp;Subs'!$C$66:$C$99),0)),0)),IF(AND($C196=1,VALUE(RIGHT($AD196,1))&gt;2),(O196-S196)*(IFERROR(INDEX('TaxCred&amp;Subs'!$J$66:$J$99,MATCH(1,($C196&amp;$D196='TaxCred&amp;Subs'!$D$66:$D$99)*($F196='TaxCred&amp;Subs'!$C$66:$C$99),0)),0)),IF($C196&gt;2,(O196-S196)*(IFERROR(INDEX('TaxCred&amp;Subs'!$J$66:$J$99,MATCH(1,($C196&amp;$D196='TaxCred&amp;Subs'!$D$66:$D$99)*($F196='TaxCred&amp;Subs'!$C$66:$C$99),0)),0)),0))),0)</f>
        <v>0</v>
      </c>
      <c r="R196" s="95">
        <f t="array" ref="R196">ROUND(IF(IFERROR(VALUE(RIGHT($AD196,1)),0)&gt;2,IF($C196=8,N196*IFERROR(INDEX('TaxCred&amp;Subs'!$K$139:$S$151,MATCH($C196&amp;$D196&amp;LEFT($AD196,7),'TaxCred&amp;Subs'!$E$139:$E$151,0),MATCH($H196,'TaxCred&amp;Subs'!$K$137:$S$137,0)),0),IF($C196=2,N196*IFERROR(INDEX('TaxCred&amp;Subs'!$K$139:$S$151,MATCH($C196&amp;$D196,'TaxCred&amp;Subs'!$D$139:$D$151,0),MATCH($H196,'TaxCred&amp;Subs'!$K$137:$S$137,0)),0),N196*IFERROR(INDEX('TaxCred&amp;Subs'!$K$139:$S$151,MATCH($C196&amp;$D196,'TaxCred&amp;Subs'!$C$139:$C$151,0),MATCH($H196,'TaxCred&amp;Subs'!$K$137:$S$137,0)),0))),0),0)</f>
        <v>0</v>
      </c>
      <c r="S196" s="95">
        <f t="array" ref="S196">ROUND(IF(IFERROR(VALUE(RIGHT($AD196,1)),0)&gt;2,IF($C196=8,O196*IFERROR(INDEX('TaxCred&amp;Subs'!$K$139:$S$151,MATCH($C196&amp;$D196&amp;LEFT($AD196,7),'TaxCred&amp;Subs'!$E$139:$E$151,0),MATCH($H196,'TaxCred&amp;Subs'!$K$137:$S$137,0)),0),IF($C196=2,O196*IFERROR(INDEX('TaxCred&amp;Subs'!$K$139:$S$151,MATCH($C196&amp;$D196,'TaxCred&amp;Subs'!$D$139:$D$151,0),MATCH($H196,'TaxCred&amp;Subs'!$K$137:$S$137,0)),0),O196*IFERROR(INDEX('TaxCred&amp;Subs'!$K$139:$S$151,MATCH($C196&amp;$D196,'TaxCred&amp;Subs'!$C$139:$C$151,0),MATCH($H196,'TaxCred&amp;Subs'!$K$137:$S$137,0)),0))),0),0)</f>
        <v>0</v>
      </c>
      <c r="T196" s="95">
        <f t="shared" si="11"/>
        <v>0</v>
      </c>
      <c r="U196" s="95">
        <f t="shared" si="12"/>
        <v>0</v>
      </c>
      <c r="V196" s="28" t="s">
        <v>222</v>
      </c>
      <c r="W196" s="31">
        <v>2020</v>
      </c>
      <c r="X196" s="28">
        <v>1</v>
      </c>
      <c r="Y196" s="28">
        <v>0</v>
      </c>
      <c r="Z196" s="196">
        <v>-2.0672359327549421E-4</v>
      </c>
      <c r="AA196" s="196">
        <v>-3.1803629734691416E-3</v>
      </c>
      <c r="AB196" s="28">
        <v>0</v>
      </c>
      <c r="AC196" s="28">
        <v>0</v>
      </c>
      <c r="AD196" s="28" t="s">
        <v>325</v>
      </c>
    </row>
    <row r="197" spans="2:31" ht="14.25" customHeight="1" x14ac:dyDescent="0.2">
      <c r="B197" s="7">
        <f t="shared" si="10"/>
        <v>173</v>
      </c>
      <c r="C197" s="28">
        <v>1</v>
      </c>
      <c r="D197" s="28">
        <v>6</v>
      </c>
      <c r="E197" s="28">
        <v>20</v>
      </c>
      <c r="F197" s="96">
        <v>2020</v>
      </c>
      <c r="G197" s="28">
        <v>2021</v>
      </c>
      <c r="H197" s="28">
        <v>2</v>
      </c>
      <c r="I197" s="28">
        <v>20</v>
      </c>
      <c r="J197" s="28">
        <v>0</v>
      </c>
      <c r="K197" s="28">
        <v>0</v>
      </c>
      <c r="L197" s="28">
        <v>0</v>
      </c>
      <c r="M197" s="75">
        <v>0.95</v>
      </c>
      <c r="N197" s="151">
        <v>4150</v>
      </c>
      <c r="O197" s="151">
        <v>1220</v>
      </c>
      <c r="P197" s="95">
        <f t="array" ref="P197">ROUND(IF($F197&lt;='TaxCred&amp;Subs'!$C$49,(IF($C197=2,IF($M197&gt;=IFERROR(INDEX('TaxCred&amp;Subs'!$L$12:$L$47,MATCH(1,($C197&amp;$D197='TaxCred&amp;Subs'!$E$12:$E$47)*($F197='TaxCred&amp;Subs'!$C$12:$C$47),0)
),9999),IFERROR(INDEX('TaxCred&amp;Subs'!$N$12:$N$47,MATCH(1,($C197&amp;$D197='TaxCred&amp;Subs'!$E$12:$E$47)*($F197='TaxCred&amp;Subs'!$C$12:$C$47),0)
),0),0),(IF($M197&gt;=IFERROR(INDEX('TaxCred&amp;Subs'!$H$12:$H$47,MATCH(1,($C197&amp;$D197='TaxCred&amp;Subs'!$D$12:$D$47)*($F197='TaxCred&amp;Subs'!$C$12:$C$47),0)
),9999),IFERROR(INDEX('TaxCred&amp;Subs'!$N$12:$N$47,MATCH(1,($C197&amp;$D197='TaxCred&amp;Subs'!$D$12:$D$47)*($F197='TaxCred&amp;Subs'!$C$12:$C$47),0)
),0),0)))),0)+IF(AND($C197=2,VALUE(RIGHT($AD197,1))&gt;2),(N197-R197)*(IFERROR(INDEX('TaxCred&amp;Subs'!$J$66:$J$99,MATCH(1,($C197&amp;$D197='TaxCred&amp;Subs'!$E$66:$E$99)*($F197='TaxCred&amp;Subs'!$C$66:$C$99),0)),0)),IF(AND($C197=1,VALUE(RIGHT($AD197,1))&gt;2),(N197-R197)*(IFERROR(INDEX('TaxCred&amp;Subs'!$J$66:$J$99,MATCH(1,($C197&amp;$D197='TaxCred&amp;Subs'!$D$66:$D$99)*($F197='TaxCred&amp;Subs'!$C$66:$C$99),0)),0)),IF($C197&gt;2,(N197-R197)*(IFERROR(INDEX('TaxCred&amp;Subs'!$J$66:$J$99,MATCH(1,($C197&amp;$D197='TaxCred&amp;Subs'!$D$66:$D$99)*($F197='TaxCred&amp;Subs'!$C$66:$C$99),0)),0)),0))),0)</f>
        <v>150</v>
      </c>
      <c r="Q197" s="95">
        <f t="array" ref="Q197">ROUND(IF(AND($C197=2,VALUE(RIGHT($AD197,1))&gt;2),(O197-S197)*(IFERROR(INDEX('TaxCred&amp;Subs'!$J$66:$J$99,MATCH(1,($C197&amp;$D197='TaxCred&amp;Subs'!$E$66:$E$99)*($F197='TaxCred&amp;Subs'!$C$66:$C$99),0)),0)),IF(AND($C197=1,VALUE(RIGHT($AD197,1))&gt;2),(O197-S197)*(IFERROR(INDEX('TaxCred&amp;Subs'!$J$66:$J$99,MATCH(1,($C197&amp;$D197='TaxCred&amp;Subs'!$D$66:$D$99)*($F197='TaxCred&amp;Subs'!$C$66:$C$99),0)),0)),IF($C197&gt;2,(O197-S197)*(IFERROR(INDEX('TaxCred&amp;Subs'!$J$66:$J$99,MATCH(1,($C197&amp;$D197='TaxCred&amp;Subs'!$D$66:$D$99)*($F197='TaxCred&amp;Subs'!$C$66:$C$99),0)),0)),0))),0)</f>
        <v>0</v>
      </c>
      <c r="R197" s="95">
        <f t="array" ref="R197">ROUND(IF(IFERROR(VALUE(RIGHT($AD197,1)),0)&gt;2,IF($C197=8,N197*IFERROR(INDEX('TaxCred&amp;Subs'!$K$139:$S$151,MATCH($C197&amp;$D197&amp;LEFT($AD197,7),'TaxCred&amp;Subs'!$E$139:$E$151,0),MATCH($H197,'TaxCred&amp;Subs'!$K$137:$S$137,0)),0),IF($C197=2,N197*IFERROR(INDEX('TaxCred&amp;Subs'!$K$139:$S$151,MATCH($C197&amp;$D197,'TaxCred&amp;Subs'!$D$139:$D$151,0),MATCH($H197,'TaxCred&amp;Subs'!$K$137:$S$137,0)),0),N197*IFERROR(INDEX('TaxCred&amp;Subs'!$K$139:$S$151,MATCH($C197&amp;$D197,'TaxCred&amp;Subs'!$C$139:$C$151,0),MATCH($H197,'TaxCred&amp;Subs'!$K$137:$S$137,0)),0))),0),0)</f>
        <v>0</v>
      </c>
      <c r="S197" s="95">
        <f t="array" ref="S197">ROUND(IF(IFERROR(VALUE(RIGHT($AD197,1)),0)&gt;2,IF($C197=8,O197*IFERROR(INDEX('TaxCred&amp;Subs'!$K$139:$S$151,MATCH($C197&amp;$D197&amp;LEFT($AD197,7),'TaxCred&amp;Subs'!$E$139:$E$151,0),MATCH($H197,'TaxCred&amp;Subs'!$K$137:$S$137,0)),0),IF($C197=2,O197*IFERROR(INDEX('TaxCred&amp;Subs'!$K$139:$S$151,MATCH($C197&amp;$D197,'TaxCred&amp;Subs'!$D$139:$D$151,0),MATCH($H197,'TaxCred&amp;Subs'!$K$137:$S$137,0)),0),O197*IFERROR(INDEX('TaxCred&amp;Subs'!$K$139:$S$151,MATCH($C197&amp;$D197,'TaxCred&amp;Subs'!$C$139:$C$151,0),MATCH($H197,'TaxCred&amp;Subs'!$K$137:$S$137,0)),0))),0),0)</f>
        <v>0</v>
      </c>
      <c r="T197" s="95">
        <f t="shared" si="11"/>
        <v>0</v>
      </c>
      <c r="U197" s="95">
        <f t="shared" si="12"/>
        <v>0</v>
      </c>
      <c r="V197" s="28" t="s">
        <v>222</v>
      </c>
      <c r="W197" s="31">
        <v>2020</v>
      </c>
      <c r="X197" s="28">
        <v>1</v>
      </c>
      <c r="Y197" s="28">
        <v>0</v>
      </c>
      <c r="Z197" s="196">
        <v>-2.0672359327549421E-4</v>
      </c>
      <c r="AA197" s="196">
        <v>-3.1803629734691416E-3</v>
      </c>
      <c r="AB197" s="28">
        <v>0</v>
      </c>
      <c r="AC197" s="28">
        <v>0</v>
      </c>
      <c r="AD197" s="28" t="s">
        <v>325</v>
      </c>
    </row>
    <row r="198" spans="2:31" ht="14.25" customHeight="1" x14ac:dyDescent="0.2">
      <c r="B198" s="7">
        <f t="shared" si="10"/>
        <v>174</v>
      </c>
      <c r="C198" s="28">
        <v>1</v>
      </c>
      <c r="D198" s="28">
        <v>6</v>
      </c>
      <c r="E198" s="28">
        <v>20</v>
      </c>
      <c r="F198" s="96">
        <v>2020</v>
      </c>
      <c r="G198" s="28">
        <v>2021</v>
      </c>
      <c r="H198" s="28">
        <v>3</v>
      </c>
      <c r="I198" s="28">
        <v>20</v>
      </c>
      <c r="J198" s="28">
        <v>0</v>
      </c>
      <c r="K198" s="28">
        <v>0</v>
      </c>
      <c r="L198" s="28">
        <v>0</v>
      </c>
      <c r="M198" s="75">
        <v>0.95</v>
      </c>
      <c r="N198" s="151">
        <v>4150</v>
      </c>
      <c r="O198" s="151">
        <v>1220</v>
      </c>
      <c r="P198" s="95">
        <f t="array" ref="P198">ROUND(IF($F198&lt;='TaxCred&amp;Subs'!$C$49,(IF($C198=2,IF($M198&gt;=IFERROR(INDEX('TaxCred&amp;Subs'!$L$12:$L$47,MATCH(1,($C198&amp;$D198='TaxCred&amp;Subs'!$E$12:$E$47)*($F198='TaxCred&amp;Subs'!$C$12:$C$47),0)
),9999),IFERROR(INDEX('TaxCred&amp;Subs'!$N$12:$N$47,MATCH(1,($C198&amp;$D198='TaxCred&amp;Subs'!$E$12:$E$47)*($F198='TaxCred&amp;Subs'!$C$12:$C$47),0)
),0),0),(IF($M198&gt;=IFERROR(INDEX('TaxCred&amp;Subs'!$H$12:$H$47,MATCH(1,($C198&amp;$D198='TaxCred&amp;Subs'!$D$12:$D$47)*($F198='TaxCred&amp;Subs'!$C$12:$C$47),0)
),9999),IFERROR(INDEX('TaxCred&amp;Subs'!$N$12:$N$47,MATCH(1,($C198&amp;$D198='TaxCred&amp;Subs'!$D$12:$D$47)*($F198='TaxCred&amp;Subs'!$C$12:$C$47),0)
),0),0)))),0)+IF(AND($C198=2,VALUE(RIGHT($AD198,1))&gt;2),(N198-R198)*(IFERROR(INDEX('TaxCred&amp;Subs'!$J$66:$J$99,MATCH(1,($C198&amp;$D198='TaxCred&amp;Subs'!$E$66:$E$99)*($F198='TaxCred&amp;Subs'!$C$66:$C$99),0)),0)),IF(AND($C198=1,VALUE(RIGHT($AD198,1))&gt;2),(N198-R198)*(IFERROR(INDEX('TaxCred&amp;Subs'!$J$66:$J$99,MATCH(1,($C198&amp;$D198='TaxCred&amp;Subs'!$D$66:$D$99)*($F198='TaxCred&amp;Subs'!$C$66:$C$99),0)),0)),IF($C198&gt;2,(N198-R198)*(IFERROR(INDEX('TaxCred&amp;Subs'!$J$66:$J$99,MATCH(1,($C198&amp;$D198='TaxCred&amp;Subs'!$D$66:$D$99)*($F198='TaxCred&amp;Subs'!$C$66:$C$99),0)),0)),0))),0)</f>
        <v>150</v>
      </c>
      <c r="Q198" s="95">
        <f t="array" ref="Q198">ROUND(IF(AND($C198=2,VALUE(RIGHT($AD198,1))&gt;2),(O198-S198)*(IFERROR(INDEX('TaxCred&amp;Subs'!$J$66:$J$99,MATCH(1,($C198&amp;$D198='TaxCred&amp;Subs'!$E$66:$E$99)*($F198='TaxCred&amp;Subs'!$C$66:$C$99),0)),0)),IF(AND($C198=1,VALUE(RIGHT($AD198,1))&gt;2),(O198-S198)*(IFERROR(INDEX('TaxCred&amp;Subs'!$J$66:$J$99,MATCH(1,($C198&amp;$D198='TaxCred&amp;Subs'!$D$66:$D$99)*($F198='TaxCred&amp;Subs'!$C$66:$C$99),0)),0)),IF($C198&gt;2,(O198-S198)*(IFERROR(INDEX('TaxCred&amp;Subs'!$J$66:$J$99,MATCH(1,($C198&amp;$D198='TaxCred&amp;Subs'!$D$66:$D$99)*($F198='TaxCred&amp;Subs'!$C$66:$C$99),0)),0)),0))),0)</f>
        <v>0</v>
      </c>
      <c r="R198" s="95">
        <f t="array" ref="R198">ROUND(IF(IFERROR(VALUE(RIGHT($AD198,1)),0)&gt;2,IF($C198=8,N198*IFERROR(INDEX('TaxCred&amp;Subs'!$K$139:$S$151,MATCH($C198&amp;$D198&amp;LEFT($AD198,7),'TaxCred&amp;Subs'!$E$139:$E$151,0),MATCH($H198,'TaxCred&amp;Subs'!$K$137:$S$137,0)),0),IF($C198=2,N198*IFERROR(INDEX('TaxCred&amp;Subs'!$K$139:$S$151,MATCH($C198&amp;$D198,'TaxCred&amp;Subs'!$D$139:$D$151,0),MATCH($H198,'TaxCred&amp;Subs'!$K$137:$S$137,0)),0),N198*IFERROR(INDEX('TaxCred&amp;Subs'!$K$139:$S$151,MATCH($C198&amp;$D198,'TaxCred&amp;Subs'!$C$139:$C$151,0),MATCH($H198,'TaxCred&amp;Subs'!$K$137:$S$137,0)),0))),0),0)</f>
        <v>0</v>
      </c>
      <c r="S198" s="95">
        <f t="array" ref="S198">ROUND(IF(IFERROR(VALUE(RIGHT($AD198,1)),0)&gt;2,IF($C198=8,O198*IFERROR(INDEX('TaxCred&amp;Subs'!$K$139:$S$151,MATCH($C198&amp;$D198&amp;LEFT($AD198,7),'TaxCred&amp;Subs'!$E$139:$E$151,0),MATCH($H198,'TaxCred&amp;Subs'!$K$137:$S$137,0)),0),IF($C198=2,O198*IFERROR(INDEX('TaxCred&amp;Subs'!$K$139:$S$151,MATCH($C198&amp;$D198,'TaxCred&amp;Subs'!$D$139:$D$151,0),MATCH($H198,'TaxCred&amp;Subs'!$K$137:$S$137,0)),0),O198*IFERROR(INDEX('TaxCred&amp;Subs'!$K$139:$S$151,MATCH($C198&amp;$D198,'TaxCred&amp;Subs'!$C$139:$C$151,0),MATCH($H198,'TaxCred&amp;Subs'!$K$137:$S$137,0)),0))),0),0)</f>
        <v>0</v>
      </c>
      <c r="T198" s="95">
        <f t="shared" si="11"/>
        <v>0</v>
      </c>
      <c r="U198" s="95">
        <f t="shared" si="12"/>
        <v>0</v>
      </c>
      <c r="V198" s="28" t="s">
        <v>222</v>
      </c>
      <c r="W198" s="31">
        <v>2020</v>
      </c>
      <c r="X198" s="28">
        <v>1</v>
      </c>
      <c r="Y198" s="28">
        <v>0</v>
      </c>
      <c r="Z198" s="196">
        <v>-2.0672359327549421E-4</v>
      </c>
      <c r="AA198" s="196">
        <v>-3.1803629734691416E-3</v>
      </c>
      <c r="AB198" s="28">
        <v>0</v>
      </c>
      <c r="AC198" s="28">
        <v>0</v>
      </c>
      <c r="AD198" s="28" t="s">
        <v>325</v>
      </c>
    </row>
    <row r="199" spans="2:31" ht="14.25" customHeight="1" x14ac:dyDescent="0.2">
      <c r="B199" s="7">
        <f t="shared" si="10"/>
        <v>175</v>
      </c>
      <c r="C199" s="28">
        <v>1</v>
      </c>
      <c r="D199" s="28">
        <v>6</v>
      </c>
      <c r="E199" s="28">
        <v>20</v>
      </c>
      <c r="F199" s="96">
        <v>2020</v>
      </c>
      <c r="G199" s="28">
        <v>2021</v>
      </c>
      <c r="H199" s="28">
        <v>4</v>
      </c>
      <c r="I199" s="28">
        <v>20</v>
      </c>
      <c r="J199" s="28">
        <v>0</v>
      </c>
      <c r="K199" s="28">
        <v>0</v>
      </c>
      <c r="L199" s="28">
        <v>0</v>
      </c>
      <c r="M199" s="75">
        <v>0.95</v>
      </c>
      <c r="N199" s="151">
        <v>4150</v>
      </c>
      <c r="O199" s="151">
        <v>1220</v>
      </c>
      <c r="P199" s="95">
        <f t="array" ref="P199">ROUND(IF($F199&lt;='TaxCred&amp;Subs'!$C$49,(IF($C199=2,IF($M199&gt;=IFERROR(INDEX('TaxCred&amp;Subs'!$L$12:$L$47,MATCH(1,($C199&amp;$D199='TaxCred&amp;Subs'!$E$12:$E$47)*($F199='TaxCred&amp;Subs'!$C$12:$C$47),0)
),9999),IFERROR(INDEX('TaxCred&amp;Subs'!$N$12:$N$47,MATCH(1,($C199&amp;$D199='TaxCred&amp;Subs'!$E$12:$E$47)*($F199='TaxCred&amp;Subs'!$C$12:$C$47),0)
),0),0),(IF($M199&gt;=IFERROR(INDEX('TaxCred&amp;Subs'!$H$12:$H$47,MATCH(1,($C199&amp;$D199='TaxCred&amp;Subs'!$D$12:$D$47)*($F199='TaxCred&amp;Subs'!$C$12:$C$47),0)
),9999),IFERROR(INDEX('TaxCred&amp;Subs'!$N$12:$N$47,MATCH(1,($C199&amp;$D199='TaxCred&amp;Subs'!$D$12:$D$47)*($F199='TaxCred&amp;Subs'!$C$12:$C$47),0)
),0),0)))),0)+IF(AND($C199=2,VALUE(RIGHT($AD199,1))&gt;2),(N199-R199)*(IFERROR(INDEX('TaxCred&amp;Subs'!$J$66:$J$99,MATCH(1,($C199&amp;$D199='TaxCred&amp;Subs'!$E$66:$E$99)*($F199='TaxCred&amp;Subs'!$C$66:$C$99),0)),0)),IF(AND($C199=1,VALUE(RIGHT($AD199,1))&gt;2),(N199-R199)*(IFERROR(INDEX('TaxCred&amp;Subs'!$J$66:$J$99,MATCH(1,($C199&amp;$D199='TaxCred&amp;Subs'!$D$66:$D$99)*($F199='TaxCred&amp;Subs'!$C$66:$C$99),0)),0)),IF($C199&gt;2,(N199-R199)*(IFERROR(INDEX('TaxCred&amp;Subs'!$J$66:$J$99,MATCH(1,($C199&amp;$D199='TaxCred&amp;Subs'!$D$66:$D$99)*($F199='TaxCred&amp;Subs'!$C$66:$C$99),0)),0)),0))),0)</f>
        <v>150</v>
      </c>
      <c r="Q199" s="95">
        <f t="array" ref="Q199">ROUND(IF(AND($C199=2,VALUE(RIGHT($AD199,1))&gt;2),(O199-S199)*(IFERROR(INDEX('TaxCred&amp;Subs'!$J$66:$J$99,MATCH(1,($C199&amp;$D199='TaxCred&amp;Subs'!$E$66:$E$99)*($F199='TaxCred&amp;Subs'!$C$66:$C$99),0)),0)),IF(AND($C199=1,VALUE(RIGHT($AD199,1))&gt;2),(O199-S199)*(IFERROR(INDEX('TaxCred&amp;Subs'!$J$66:$J$99,MATCH(1,($C199&amp;$D199='TaxCred&amp;Subs'!$D$66:$D$99)*($F199='TaxCred&amp;Subs'!$C$66:$C$99),0)),0)),IF($C199&gt;2,(O199-S199)*(IFERROR(INDEX('TaxCred&amp;Subs'!$J$66:$J$99,MATCH(1,($C199&amp;$D199='TaxCred&amp;Subs'!$D$66:$D$99)*($F199='TaxCred&amp;Subs'!$C$66:$C$99),0)),0)),0))),0)</f>
        <v>0</v>
      </c>
      <c r="R199" s="95">
        <f t="array" ref="R199">ROUND(IF(IFERROR(VALUE(RIGHT($AD199,1)),0)&gt;2,IF($C199=8,N199*IFERROR(INDEX('TaxCred&amp;Subs'!$K$139:$S$151,MATCH($C199&amp;$D199&amp;LEFT($AD199,7),'TaxCred&amp;Subs'!$E$139:$E$151,0),MATCH($H199,'TaxCred&amp;Subs'!$K$137:$S$137,0)),0),IF($C199=2,N199*IFERROR(INDEX('TaxCred&amp;Subs'!$K$139:$S$151,MATCH($C199&amp;$D199,'TaxCred&amp;Subs'!$D$139:$D$151,0),MATCH($H199,'TaxCred&amp;Subs'!$K$137:$S$137,0)),0),N199*IFERROR(INDEX('TaxCred&amp;Subs'!$K$139:$S$151,MATCH($C199&amp;$D199,'TaxCred&amp;Subs'!$C$139:$C$151,0),MATCH($H199,'TaxCred&amp;Subs'!$K$137:$S$137,0)),0))),0),0)</f>
        <v>0</v>
      </c>
      <c r="S199" s="95">
        <f t="array" ref="S199">ROUND(IF(IFERROR(VALUE(RIGHT($AD199,1)),0)&gt;2,IF($C199=8,O199*IFERROR(INDEX('TaxCred&amp;Subs'!$K$139:$S$151,MATCH($C199&amp;$D199&amp;LEFT($AD199,7),'TaxCred&amp;Subs'!$E$139:$E$151,0),MATCH($H199,'TaxCred&amp;Subs'!$K$137:$S$137,0)),0),IF($C199=2,O199*IFERROR(INDEX('TaxCred&amp;Subs'!$K$139:$S$151,MATCH($C199&amp;$D199,'TaxCred&amp;Subs'!$D$139:$D$151,0),MATCH($H199,'TaxCred&amp;Subs'!$K$137:$S$137,0)),0),O199*IFERROR(INDEX('TaxCred&amp;Subs'!$K$139:$S$151,MATCH($C199&amp;$D199,'TaxCred&amp;Subs'!$C$139:$C$151,0),MATCH($H199,'TaxCred&amp;Subs'!$K$137:$S$137,0)),0))),0),0)</f>
        <v>0</v>
      </c>
      <c r="T199" s="95">
        <f t="shared" si="11"/>
        <v>0</v>
      </c>
      <c r="U199" s="95">
        <f t="shared" si="12"/>
        <v>0</v>
      </c>
      <c r="V199" s="28" t="s">
        <v>222</v>
      </c>
      <c r="W199" s="31">
        <v>2020</v>
      </c>
      <c r="X199" s="28">
        <v>1</v>
      </c>
      <c r="Y199" s="28">
        <v>0</v>
      </c>
      <c r="Z199" s="196">
        <v>-2.0672359327549421E-4</v>
      </c>
      <c r="AA199" s="196">
        <v>-3.1803629734691416E-3</v>
      </c>
      <c r="AB199" s="28">
        <v>0</v>
      </c>
      <c r="AC199" s="28">
        <v>0</v>
      </c>
      <c r="AD199" s="28" t="s">
        <v>325</v>
      </c>
    </row>
    <row r="200" spans="2:31" ht="14.25" customHeight="1" x14ac:dyDescent="0.2">
      <c r="B200" s="7">
        <f t="shared" si="10"/>
        <v>176</v>
      </c>
      <c r="C200" s="28">
        <v>1</v>
      </c>
      <c r="D200" s="28">
        <v>6</v>
      </c>
      <c r="E200" s="28">
        <v>20</v>
      </c>
      <c r="F200" s="96">
        <v>2020</v>
      </c>
      <c r="G200" s="28">
        <v>2021</v>
      </c>
      <c r="H200" s="28">
        <v>5</v>
      </c>
      <c r="I200" s="31">
        <v>20</v>
      </c>
      <c r="J200" s="28">
        <v>0</v>
      </c>
      <c r="K200" s="28">
        <v>0</v>
      </c>
      <c r="L200" s="28">
        <v>0</v>
      </c>
      <c r="M200" s="75">
        <v>0.9</v>
      </c>
      <c r="N200" s="151">
        <v>4130</v>
      </c>
      <c r="O200" s="151">
        <v>1200</v>
      </c>
      <c r="P200" s="95">
        <f t="array" ref="P200">ROUND(IF($F200&lt;='TaxCred&amp;Subs'!$C$49,(IF($C200=2,IF($M200&gt;=IFERROR(INDEX('TaxCred&amp;Subs'!$L$12:$L$47,MATCH(1,($C200&amp;$D200='TaxCred&amp;Subs'!$E$12:$E$47)*($F200='TaxCred&amp;Subs'!$C$12:$C$47),0)
),9999),IFERROR(INDEX('TaxCred&amp;Subs'!$N$12:$N$47,MATCH(1,($C200&amp;$D200='TaxCred&amp;Subs'!$E$12:$E$47)*($F200='TaxCred&amp;Subs'!$C$12:$C$47),0)
),0),0),(IF($M200&gt;=IFERROR(INDEX('TaxCred&amp;Subs'!$H$12:$H$47,MATCH(1,($C200&amp;$D200='TaxCred&amp;Subs'!$D$12:$D$47)*($F200='TaxCred&amp;Subs'!$C$12:$C$47),0)
),9999),IFERROR(INDEX('TaxCred&amp;Subs'!$N$12:$N$47,MATCH(1,($C200&amp;$D200='TaxCred&amp;Subs'!$D$12:$D$47)*($F200='TaxCred&amp;Subs'!$C$12:$C$47),0)
),0),0)))),0)+IF(AND($C200=2,VALUE(RIGHT($AD200,1))&gt;2),(N200-R200)*(IFERROR(INDEX('TaxCred&amp;Subs'!$J$66:$J$99,MATCH(1,($C200&amp;$D200='TaxCred&amp;Subs'!$E$66:$E$99)*($F200='TaxCred&amp;Subs'!$C$66:$C$99),0)),0)),IF(AND($C200=1,VALUE(RIGHT($AD200,1))&gt;2),(N200-R200)*(IFERROR(INDEX('TaxCred&amp;Subs'!$J$66:$J$99,MATCH(1,($C200&amp;$D200='TaxCred&amp;Subs'!$D$66:$D$99)*($F200='TaxCred&amp;Subs'!$C$66:$C$99),0)),0)),IF($C200&gt;2,(N200-R200)*(IFERROR(INDEX('TaxCred&amp;Subs'!$J$66:$J$99,MATCH(1,($C200&amp;$D200='TaxCred&amp;Subs'!$D$66:$D$99)*($F200='TaxCred&amp;Subs'!$C$66:$C$99),0)),0)),0))),0)</f>
        <v>0</v>
      </c>
      <c r="Q200" s="95">
        <f t="array" ref="Q200">ROUND(IF(AND($C200=2,VALUE(RIGHT($AD200,1))&gt;2),(O200-S200)*(IFERROR(INDEX('TaxCred&amp;Subs'!$J$66:$J$99,MATCH(1,($C200&amp;$D200='TaxCred&amp;Subs'!$E$66:$E$99)*($F200='TaxCred&amp;Subs'!$C$66:$C$99),0)),0)),IF(AND($C200=1,VALUE(RIGHT($AD200,1))&gt;2),(O200-S200)*(IFERROR(INDEX('TaxCred&amp;Subs'!$J$66:$J$99,MATCH(1,($C200&amp;$D200='TaxCred&amp;Subs'!$D$66:$D$99)*($F200='TaxCred&amp;Subs'!$C$66:$C$99),0)),0)),IF($C200&gt;2,(O200-S200)*(IFERROR(INDEX('TaxCred&amp;Subs'!$J$66:$J$99,MATCH(1,($C200&amp;$D200='TaxCred&amp;Subs'!$D$66:$D$99)*($F200='TaxCred&amp;Subs'!$C$66:$C$99),0)),0)),0))),0)</f>
        <v>0</v>
      </c>
      <c r="R200" s="95">
        <f t="array" ref="R200">ROUND(IF(IFERROR(VALUE(RIGHT($AD200,1)),0)&gt;2,IF($C200=8,N200*IFERROR(INDEX('TaxCred&amp;Subs'!$K$139:$S$151,MATCH($C200&amp;$D200&amp;LEFT($AD200,7),'TaxCred&amp;Subs'!$E$139:$E$151,0),MATCH($H200,'TaxCred&amp;Subs'!$K$137:$S$137,0)),0),IF($C200=2,N200*IFERROR(INDEX('TaxCred&amp;Subs'!$K$139:$S$151,MATCH($C200&amp;$D200,'TaxCred&amp;Subs'!$D$139:$D$151,0),MATCH($H200,'TaxCred&amp;Subs'!$K$137:$S$137,0)),0),N200*IFERROR(INDEX('TaxCred&amp;Subs'!$K$139:$S$151,MATCH($C200&amp;$D200,'TaxCred&amp;Subs'!$C$139:$C$151,0),MATCH($H200,'TaxCred&amp;Subs'!$K$137:$S$137,0)),0))),0),0)</f>
        <v>0</v>
      </c>
      <c r="S200" s="95">
        <f t="array" ref="S200">ROUND(IF(IFERROR(VALUE(RIGHT($AD200,1)),0)&gt;2,IF($C200=8,O200*IFERROR(INDEX('TaxCred&amp;Subs'!$K$139:$S$151,MATCH($C200&amp;$D200&amp;LEFT($AD200,7),'TaxCred&amp;Subs'!$E$139:$E$151,0),MATCH($H200,'TaxCred&amp;Subs'!$K$137:$S$137,0)),0),IF($C200=2,O200*IFERROR(INDEX('TaxCred&amp;Subs'!$K$139:$S$151,MATCH($C200&amp;$D200,'TaxCred&amp;Subs'!$D$139:$D$151,0),MATCH($H200,'TaxCred&amp;Subs'!$K$137:$S$137,0)),0),O200*IFERROR(INDEX('TaxCred&amp;Subs'!$K$139:$S$151,MATCH($C200&amp;$D200,'TaxCred&amp;Subs'!$C$139:$C$151,0),MATCH($H200,'TaxCred&amp;Subs'!$K$137:$S$137,0)),0))),0),0)</f>
        <v>0</v>
      </c>
      <c r="T200" s="95">
        <f t="shared" si="11"/>
        <v>0</v>
      </c>
      <c r="U200" s="95">
        <f t="shared" si="12"/>
        <v>0</v>
      </c>
      <c r="V200" s="28" t="s">
        <v>222</v>
      </c>
      <c r="W200" s="31">
        <v>2020</v>
      </c>
      <c r="X200" s="28">
        <v>1</v>
      </c>
      <c r="Y200" s="28">
        <v>0</v>
      </c>
      <c r="Z200" s="196">
        <v>-2.0672359327549421E-4</v>
      </c>
      <c r="AA200" s="196">
        <v>-3.1803629734691416E-3</v>
      </c>
      <c r="AB200" s="28">
        <v>0</v>
      </c>
      <c r="AC200" s="28">
        <v>0</v>
      </c>
      <c r="AD200" s="28" t="s">
        <v>325</v>
      </c>
    </row>
    <row r="201" spans="2:31" ht="14.25" customHeight="1" x14ac:dyDescent="0.2">
      <c r="B201" s="7">
        <f t="shared" si="10"/>
        <v>177</v>
      </c>
      <c r="C201" s="28">
        <v>1</v>
      </c>
      <c r="D201" s="28">
        <v>6</v>
      </c>
      <c r="E201" s="28">
        <v>20</v>
      </c>
      <c r="F201" s="96">
        <v>2020</v>
      </c>
      <c r="G201" s="28">
        <v>2021</v>
      </c>
      <c r="H201" s="28">
        <v>6</v>
      </c>
      <c r="I201" s="31">
        <v>20</v>
      </c>
      <c r="J201" s="28">
        <v>0</v>
      </c>
      <c r="K201" s="28">
        <v>0</v>
      </c>
      <c r="L201" s="28">
        <v>0</v>
      </c>
      <c r="M201" s="75">
        <v>0.9</v>
      </c>
      <c r="N201" s="151">
        <v>4130</v>
      </c>
      <c r="O201" s="151">
        <v>1200</v>
      </c>
      <c r="P201" s="95">
        <f t="array" ref="P201">ROUND(IF($F201&lt;='TaxCred&amp;Subs'!$C$49,(IF($C201=2,IF($M201&gt;=IFERROR(INDEX('TaxCred&amp;Subs'!$L$12:$L$47,MATCH(1,($C201&amp;$D201='TaxCred&amp;Subs'!$E$12:$E$47)*($F201='TaxCred&amp;Subs'!$C$12:$C$47),0)
),9999),IFERROR(INDEX('TaxCred&amp;Subs'!$N$12:$N$47,MATCH(1,($C201&amp;$D201='TaxCred&amp;Subs'!$E$12:$E$47)*($F201='TaxCred&amp;Subs'!$C$12:$C$47),0)
),0),0),(IF($M201&gt;=IFERROR(INDEX('TaxCred&amp;Subs'!$H$12:$H$47,MATCH(1,($C201&amp;$D201='TaxCred&amp;Subs'!$D$12:$D$47)*($F201='TaxCred&amp;Subs'!$C$12:$C$47),0)
),9999),IFERROR(INDEX('TaxCred&amp;Subs'!$N$12:$N$47,MATCH(1,($C201&amp;$D201='TaxCred&amp;Subs'!$D$12:$D$47)*($F201='TaxCred&amp;Subs'!$C$12:$C$47),0)
),0),0)))),0)+IF(AND($C201=2,VALUE(RIGHT($AD201,1))&gt;2),(N201-R201)*(IFERROR(INDEX('TaxCred&amp;Subs'!$J$66:$J$99,MATCH(1,($C201&amp;$D201='TaxCred&amp;Subs'!$E$66:$E$99)*($F201='TaxCred&amp;Subs'!$C$66:$C$99),0)),0)),IF(AND($C201=1,VALUE(RIGHT($AD201,1))&gt;2),(N201-R201)*(IFERROR(INDEX('TaxCred&amp;Subs'!$J$66:$J$99,MATCH(1,($C201&amp;$D201='TaxCred&amp;Subs'!$D$66:$D$99)*($F201='TaxCred&amp;Subs'!$C$66:$C$99),0)),0)),IF($C201&gt;2,(N201-R201)*(IFERROR(INDEX('TaxCred&amp;Subs'!$J$66:$J$99,MATCH(1,($C201&amp;$D201='TaxCred&amp;Subs'!$D$66:$D$99)*($F201='TaxCred&amp;Subs'!$C$66:$C$99),0)),0)),0))),0)</f>
        <v>0</v>
      </c>
      <c r="Q201" s="95">
        <f t="array" ref="Q201">ROUND(IF(AND($C201=2,VALUE(RIGHT($AD201,1))&gt;2),(O201-S201)*(IFERROR(INDEX('TaxCred&amp;Subs'!$J$66:$J$99,MATCH(1,($C201&amp;$D201='TaxCred&amp;Subs'!$E$66:$E$99)*($F201='TaxCred&amp;Subs'!$C$66:$C$99),0)),0)),IF(AND($C201=1,VALUE(RIGHT($AD201,1))&gt;2),(O201-S201)*(IFERROR(INDEX('TaxCred&amp;Subs'!$J$66:$J$99,MATCH(1,($C201&amp;$D201='TaxCred&amp;Subs'!$D$66:$D$99)*($F201='TaxCred&amp;Subs'!$C$66:$C$99),0)),0)),IF($C201&gt;2,(O201-S201)*(IFERROR(INDEX('TaxCred&amp;Subs'!$J$66:$J$99,MATCH(1,($C201&amp;$D201='TaxCred&amp;Subs'!$D$66:$D$99)*($F201='TaxCred&amp;Subs'!$C$66:$C$99),0)),0)),0))),0)</f>
        <v>0</v>
      </c>
      <c r="R201" s="95">
        <f t="array" ref="R201">ROUND(IF(IFERROR(VALUE(RIGHT($AD201,1)),0)&gt;2,IF($C201=8,N201*IFERROR(INDEX('TaxCred&amp;Subs'!$K$139:$S$151,MATCH($C201&amp;$D201&amp;LEFT($AD201,7),'TaxCred&amp;Subs'!$E$139:$E$151,0),MATCH($H201,'TaxCred&amp;Subs'!$K$137:$S$137,0)),0),IF($C201=2,N201*IFERROR(INDEX('TaxCred&amp;Subs'!$K$139:$S$151,MATCH($C201&amp;$D201,'TaxCred&amp;Subs'!$D$139:$D$151,0),MATCH($H201,'TaxCred&amp;Subs'!$K$137:$S$137,0)),0),N201*IFERROR(INDEX('TaxCred&amp;Subs'!$K$139:$S$151,MATCH($C201&amp;$D201,'TaxCred&amp;Subs'!$C$139:$C$151,0),MATCH($H201,'TaxCred&amp;Subs'!$K$137:$S$137,0)),0))),0),0)</f>
        <v>0</v>
      </c>
      <c r="S201" s="95">
        <f t="array" ref="S201">ROUND(IF(IFERROR(VALUE(RIGHT($AD201,1)),0)&gt;2,IF($C201=8,O201*IFERROR(INDEX('TaxCred&amp;Subs'!$K$139:$S$151,MATCH($C201&amp;$D201&amp;LEFT($AD201,7),'TaxCred&amp;Subs'!$E$139:$E$151,0),MATCH($H201,'TaxCred&amp;Subs'!$K$137:$S$137,0)),0),IF($C201=2,O201*IFERROR(INDEX('TaxCred&amp;Subs'!$K$139:$S$151,MATCH($C201&amp;$D201,'TaxCred&amp;Subs'!$D$139:$D$151,0),MATCH($H201,'TaxCred&amp;Subs'!$K$137:$S$137,0)),0),O201*IFERROR(INDEX('TaxCred&amp;Subs'!$K$139:$S$151,MATCH($C201&amp;$D201,'TaxCred&amp;Subs'!$C$139:$C$151,0),MATCH($H201,'TaxCred&amp;Subs'!$K$137:$S$137,0)),0))),0),0)</f>
        <v>0</v>
      </c>
      <c r="T201" s="95">
        <f t="shared" si="11"/>
        <v>0</v>
      </c>
      <c r="U201" s="95">
        <f t="shared" si="12"/>
        <v>0</v>
      </c>
      <c r="V201" s="28" t="s">
        <v>222</v>
      </c>
      <c r="W201" s="31">
        <v>2020</v>
      </c>
      <c r="X201" s="28">
        <v>1</v>
      </c>
      <c r="Y201" s="28">
        <v>0</v>
      </c>
      <c r="Z201" s="196">
        <v>-2.0672359327549421E-4</v>
      </c>
      <c r="AA201" s="196">
        <v>-3.1803629734691416E-3</v>
      </c>
      <c r="AB201" s="28">
        <v>0</v>
      </c>
      <c r="AC201" s="28">
        <v>0</v>
      </c>
      <c r="AD201" s="28" t="s">
        <v>325</v>
      </c>
    </row>
    <row r="202" spans="2:31" ht="14.25" customHeight="1" x14ac:dyDescent="0.2">
      <c r="B202" s="7">
        <f t="shared" si="10"/>
        <v>178</v>
      </c>
      <c r="C202" s="28">
        <v>1</v>
      </c>
      <c r="D202" s="28">
        <v>6</v>
      </c>
      <c r="E202" s="28">
        <v>20</v>
      </c>
      <c r="F202" s="96">
        <v>2020</v>
      </c>
      <c r="G202" s="28">
        <v>2021</v>
      </c>
      <c r="H202" s="28">
        <v>7</v>
      </c>
      <c r="I202" s="31">
        <v>20</v>
      </c>
      <c r="J202" s="28">
        <v>0</v>
      </c>
      <c r="K202" s="28">
        <v>0</v>
      </c>
      <c r="L202" s="28">
        <v>0</v>
      </c>
      <c r="M202" s="75">
        <v>0.9</v>
      </c>
      <c r="N202" s="151">
        <v>4130</v>
      </c>
      <c r="O202" s="151">
        <v>1200</v>
      </c>
      <c r="P202" s="95">
        <f t="array" ref="P202">ROUND(IF($F202&lt;='TaxCred&amp;Subs'!$C$49,(IF($C202=2,IF($M202&gt;=IFERROR(INDEX('TaxCred&amp;Subs'!$L$12:$L$47,MATCH(1,($C202&amp;$D202='TaxCred&amp;Subs'!$E$12:$E$47)*($F202='TaxCred&amp;Subs'!$C$12:$C$47),0)
),9999),IFERROR(INDEX('TaxCred&amp;Subs'!$N$12:$N$47,MATCH(1,($C202&amp;$D202='TaxCred&amp;Subs'!$E$12:$E$47)*($F202='TaxCred&amp;Subs'!$C$12:$C$47),0)
),0),0),(IF($M202&gt;=IFERROR(INDEX('TaxCred&amp;Subs'!$H$12:$H$47,MATCH(1,($C202&amp;$D202='TaxCred&amp;Subs'!$D$12:$D$47)*($F202='TaxCred&amp;Subs'!$C$12:$C$47),0)
),9999),IFERROR(INDEX('TaxCred&amp;Subs'!$N$12:$N$47,MATCH(1,($C202&amp;$D202='TaxCred&amp;Subs'!$D$12:$D$47)*($F202='TaxCred&amp;Subs'!$C$12:$C$47),0)
),0),0)))),0)+IF(AND($C202=2,VALUE(RIGHT($AD202,1))&gt;2),(N202-R202)*(IFERROR(INDEX('TaxCred&amp;Subs'!$J$66:$J$99,MATCH(1,($C202&amp;$D202='TaxCred&amp;Subs'!$E$66:$E$99)*($F202='TaxCred&amp;Subs'!$C$66:$C$99),0)),0)),IF(AND($C202=1,VALUE(RIGHT($AD202,1))&gt;2),(N202-R202)*(IFERROR(INDEX('TaxCred&amp;Subs'!$J$66:$J$99,MATCH(1,($C202&amp;$D202='TaxCred&amp;Subs'!$D$66:$D$99)*($F202='TaxCred&amp;Subs'!$C$66:$C$99),0)),0)),IF($C202&gt;2,(N202-R202)*(IFERROR(INDEX('TaxCred&amp;Subs'!$J$66:$J$99,MATCH(1,($C202&amp;$D202='TaxCred&amp;Subs'!$D$66:$D$99)*($F202='TaxCred&amp;Subs'!$C$66:$C$99),0)),0)),0))),0)</f>
        <v>0</v>
      </c>
      <c r="Q202" s="95">
        <f t="array" ref="Q202">ROUND(IF(AND($C202=2,VALUE(RIGHT($AD202,1))&gt;2),(O202-S202)*(IFERROR(INDEX('TaxCred&amp;Subs'!$J$66:$J$99,MATCH(1,($C202&amp;$D202='TaxCred&amp;Subs'!$E$66:$E$99)*($F202='TaxCred&amp;Subs'!$C$66:$C$99),0)),0)),IF(AND($C202=1,VALUE(RIGHT($AD202,1))&gt;2),(O202-S202)*(IFERROR(INDEX('TaxCred&amp;Subs'!$J$66:$J$99,MATCH(1,($C202&amp;$D202='TaxCred&amp;Subs'!$D$66:$D$99)*($F202='TaxCred&amp;Subs'!$C$66:$C$99),0)),0)),IF($C202&gt;2,(O202-S202)*(IFERROR(INDEX('TaxCred&amp;Subs'!$J$66:$J$99,MATCH(1,($C202&amp;$D202='TaxCred&amp;Subs'!$D$66:$D$99)*($F202='TaxCred&amp;Subs'!$C$66:$C$99),0)),0)),0))),0)</f>
        <v>0</v>
      </c>
      <c r="R202" s="95">
        <f t="array" ref="R202">ROUND(IF(IFERROR(VALUE(RIGHT($AD202,1)),0)&gt;2,IF($C202=8,N202*IFERROR(INDEX('TaxCred&amp;Subs'!$K$139:$S$151,MATCH($C202&amp;$D202&amp;LEFT($AD202,7),'TaxCred&amp;Subs'!$E$139:$E$151,0),MATCH($H202,'TaxCred&amp;Subs'!$K$137:$S$137,0)),0),IF($C202=2,N202*IFERROR(INDEX('TaxCred&amp;Subs'!$K$139:$S$151,MATCH($C202&amp;$D202,'TaxCred&amp;Subs'!$D$139:$D$151,0),MATCH($H202,'TaxCred&amp;Subs'!$K$137:$S$137,0)),0),N202*IFERROR(INDEX('TaxCred&amp;Subs'!$K$139:$S$151,MATCH($C202&amp;$D202,'TaxCred&amp;Subs'!$C$139:$C$151,0),MATCH($H202,'TaxCred&amp;Subs'!$K$137:$S$137,0)),0))),0),0)</f>
        <v>0</v>
      </c>
      <c r="S202" s="95">
        <f t="array" ref="S202">ROUND(IF(IFERROR(VALUE(RIGHT($AD202,1)),0)&gt;2,IF($C202=8,O202*IFERROR(INDEX('TaxCred&amp;Subs'!$K$139:$S$151,MATCH($C202&amp;$D202&amp;LEFT($AD202,7),'TaxCred&amp;Subs'!$E$139:$E$151,0),MATCH($H202,'TaxCred&amp;Subs'!$K$137:$S$137,0)),0),IF($C202=2,O202*IFERROR(INDEX('TaxCred&amp;Subs'!$K$139:$S$151,MATCH($C202&amp;$D202,'TaxCred&amp;Subs'!$D$139:$D$151,0),MATCH($H202,'TaxCred&amp;Subs'!$K$137:$S$137,0)),0),O202*IFERROR(INDEX('TaxCred&amp;Subs'!$K$139:$S$151,MATCH($C202&amp;$D202,'TaxCred&amp;Subs'!$C$139:$C$151,0),MATCH($H202,'TaxCred&amp;Subs'!$K$137:$S$137,0)),0))),0),0)</f>
        <v>0</v>
      </c>
      <c r="T202" s="95">
        <f t="shared" si="11"/>
        <v>0</v>
      </c>
      <c r="U202" s="95">
        <f t="shared" si="12"/>
        <v>0</v>
      </c>
      <c r="V202" s="28" t="s">
        <v>222</v>
      </c>
      <c r="W202" s="31">
        <v>2020</v>
      </c>
      <c r="X202" s="28">
        <v>1</v>
      </c>
      <c r="Y202" s="28">
        <v>0</v>
      </c>
      <c r="Z202" s="196">
        <v>-2.0672359327549421E-4</v>
      </c>
      <c r="AA202" s="196">
        <v>-3.1803629734691416E-3</v>
      </c>
      <c r="AB202" s="28">
        <v>0</v>
      </c>
      <c r="AC202" s="28">
        <v>0</v>
      </c>
      <c r="AD202" s="28" t="s">
        <v>325</v>
      </c>
    </row>
    <row r="203" spans="2:31" ht="14.25" customHeight="1" x14ac:dyDescent="0.2">
      <c r="B203" s="7">
        <f t="shared" si="10"/>
        <v>179</v>
      </c>
      <c r="C203" s="28">
        <v>1</v>
      </c>
      <c r="D203" s="28">
        <v>6</v>
      </c>
      <c r="E203" s="28">
        <v>20</v>
      </c>
      <c r="F203" s="96">
        <v>2020</v>
      </c>
      <c r="G203" s="28">
        <v>2021</v>
      </c>
      <c r="H203" s="28">
        <v>8</v>
      </c>
      <c r="I203" s="31">
        <v>20</v>
      </c>
      <c r="J203" s="28">
        <v>0</v>
      </c>
      <c r="K203" s="28">
        <v>0</v>
      </c>
      <c r="L203" s="28">
        <v>0</v>
      </c>
      <c r="M203" s="75">
        <v>0.9</v>
      </c>
      <c r="N203" s="151">
        <v>4130</v>
      </c>
      <c r="O203" s="151">
        <v>1200</v>
      </c>
      <c r="P203" s="95">
        <f t="array" ref="P203">ROUND(IF($F203&lt;='TaxCred&amp;Subs'!$C$49,(IF($C203=2,IF($M203&gt;=IFERROR(INDEX('TaxCred&amp;Subs'!$L$12:$L$47,MATCH(1,($C203&amp;$D203='TaxCred&amp;Subs'!$E$12:$E$47)*($F203='TaxCred&amp;Subs'!$C$12:$C$47),0)
),9999),IFERROR(INDEX('TaxCred&amp;Subs'!$N$12:$N$47,MATCH(1,($C203&amp;$D203='TaxCred&amp;Subs'!$E$12:$E$47)*($F203='TaxCred&amp;Subs'!$C$12:$C$47),0)
),0),0),(IF($M203&gt;=IFERROR(INDEX('TaxCred&amp;Subs'!$H$12:$H$47,MATCH(1,($C203&amp;$D203='TaxCred&amp;Subs'!$D$12:$D$47)*($F203='TaxCred&amp;Subs'!$C$12:$C$47),0)
),9999),IFERROR(INDEX('TaxCred&amp;Subs'!$N$12:$N$47,MATCH(1,($C203&amp;$D203='TaxCred&amp;Subs'!$D$12:$D$47)*($F203='TaxCred&amp;Subs'!$C$12:$C$47),0)
),0),0)))),0)+IF(AND($C203=2,VALUE(RIGHT($AD203,1))&gt;2),(N203-R203)*(IFERROR(INDEX('TaxCred&amp;Subs'!$J$66:$J$99,MATCH(1,($C203&amp;$D203='TaxCred&amp;Subs'!$E$66:$E$99)*($F203='TaxCred&amp;Subs'!$C$66:$C$99),0)),0)),IF(AND($C203=1,VALUE(RIGHT($AD203,1))&gt;2),(N203-R203)*(IFERROR(INDEX('TaxCred&amp;Subs'!$J$66:$J$99,MATCH(1,($C203&amp;$D203='TaxCred&amp;Subs'!$D$66:$D$99)*($F203='TaxCred&amp;Subs'!$C$66:$C$99),0)),0)),IF($C203&gt;2,(N203-R203)*(IFERROR(INDEX('TaxCred&amp;Subs'!$J$66:$J$99,MATCH(1,($C203&amp;$D203='TaxCred&amp;Subs'!$D$66:$D$99)*($F203='TaxCred&amp;Subs'!$C$66:$C$99),0)),0)),0))),0)</f>
        <v>0</v>
      </c>
      <c r="Q203" s="95">
        <f t="array" ref="Q203">ROUND(IF(AND($C203=2,VALUE(RIGHT($AD203,1))&gt;2),(O203-S203)*(IFERROR(INDEX('TaxCred&amp;Subs'!$J$66:$J$99,MATCH(1,($C203&amp;$D203='TaxCred&amp;Subs'!$E$66:$E$99)*($F203='TaxCred&amp;Subs'!$C$66:$C$99),0)),0)),IF(AND($C203=1,VALUE(RIGHT($AD203,1))&gt;2),(O203-S203)*(IFERROR(INDEX('TaxCred&amp;Subs'!$J$66:$J$99,MATCH(1,($C203&amp;$D203='TaxCred&amp;Subs'!$D$66:$D$99)*($F203='TaxCred&amp;Subs'!$C$66:$C$99),0)),0)),IF($C203&gt;2,(O203-S203)*(IFERROR(INDEX('TaxCred&amp;Subs'!$J$66:$J$99,MATCH(1,($C203&amp;$D203='TaxCred&amp;Subs'!$D$66:$D$99)*($F203='TaxCred&amp;Subs'!$C$66:$C$99),0)),0)),0))),0)</f>
        <v>0</v>
      </c>
      <c r="R203" s="95">
        <f t="array" ref="R203">ROUND(IF(IFERROR(VALUE(RIGHT($AD203,1)),0)&gt;2,IF($C203=8,N203*IFERROR(INDEX('TaxCred&amp;Subs'!$K$139:$S$151,MATCH($C203&amp;$D203&amp;LEFT($AD203,7),'TaxCred&amp;Subs'!$E$139:$E$151,0),MATCH($H203,'TaxCred&amp;Subs'!$K$137:$S$137,0)),0),IF($C203=2,N203*IFERROR(INDEX('TaxCred&amp;Subs'!$K$139:$S$151,MATCH($C203&amp;$D203,'TaxCred&amp;Subs'!$D$139:$D$151,0),MATCH($H203,'TaxCred&amp;Subs'!$K$137:$S$137,0)),0),N203*IFERROR(INDEX('TaxCred&amp;Subs'!$K$139:$S$151,MATCH($C203&amp;$D203,'TaxCred&amp;Subs'!$C$139:$C$151,0),MATCH($H203,'TaxCred&amp;Subs'!$K$137:$S$137,0)),0))),0),0)</f>
        <v>0</v>
      </c>
      <c r="S203" s="95">
        <f t="array" ref="S203">ROUND(IF(IFERROR(VALUE(RIGHT($AD203,1)),0)&gt;2,IF($C203=8,O203*IFERROR(INDEX('TaxCred&amp;Subs'!$K$139:$S$151,MATCH($C203&amp;$D203&amp;LEFT($AD203,7),'TaxCred&amp;Subs'!$E$139:$E$151,0),MATCH($H203,'TaxCred&amp;Subs'!$K$137:$S$137,0)),0),IF($C203=2,O203*IFERROR(INDEX('TaxCred&amp;Subs'!$K$139:$S$151,MATCH($C203&amp;$D203,'TaxCred&amp;Subs'!$D$139:$D$151,0),MATCH($H203,'TaxCred&amp;Subs'!$K$137:$S$137,0)),0),O203*IFERROR(INDEX('TaxCred&amp;Subs'!$K$139:$S$151,MATCH($C203&amp;$D203,'TaxCred&amp;Subs'!$C$139:$C$151,0),MATCH($H203,'TaxCred&amp;Subs'!$K$137:$S$137,0)),0))),0),0)</f>
        <v>0</v>
      </c>
      <c r="T203" s="95">
        <f t="shared" si="11"/>
        <v>0</v>
      </c>
      <c r="U203" s="95">
        <f t="shared" si="12"/>
        <v>0</v>
      </c>
      <c r="V203" s="28" t="s">
        <v>222</v>
      </c>
      <c r="W203" s="31">
        <v>2020</v>
      </c>
      <c r="X203" s="28">
        <v>1</v>
      </c>
      <c r="Y203" s="28">
        <v>0</v>
      </c>
      <c r="Z203" s="196">
        <v>-2.0672359327549421E-4</v>
      </c>
      <c r="AA203" s="196">
        <v>-3.1803629734691416E-3</v>
      </c>
      <c r="AB203" s="28">
        <v>0</v>
      </c>
      <c r="AC203" s="28">
        <v>0</v>
      </c>
      <c r="AD203" s="28" t="s">
        <v>325</v>
      </c>
    </row>
    <row r="204" spans="2:31" ht="14.25" customHeight="1" x14ac:dyDescent="0.2">
      <c r="B204" s="7">
        <f t="shared" si="10"/>
        <v>180</v>
      </c>
      <c r="C204" s="28">
        <v>1</v>
      </c>
      <c r="D204" s="28">
        <v>6</v>
      </c>
      <c r="E204" s="28">
        <v>20</v>
      </c>
      <c r="F204" s="96">
        <v>2020</v>
      </c>
      <c r="G204" s="28">
        <v>2021</v>
      </c>
      <c r="H204" s="28">
        <v>9</v>
      </c>
      <c r="I204" s="31">
        <v>20</v>
      </c>
      <c r="J204" s="28">
        <v>0</v>
      </c>
      <c r="K204" s="28">
        <v>0</v>
      </c>
      <c r="L204" s="28">
        <v>0</v>
      </c>
      <c r="M204" s="75">
        <v>0.9</v>
      </c>
      <c r="N204" s="151">
        <v>4130</v>
      </c>
      <c r="O204" s="151">
        <v>1200</v>
      </c>
      <c r="P204" s="95">
        <f t="array" ref="P204">ROUND(IF($F204&lt;='TaxCred&amp;Subs'!$C$49,(IF($C204=2,IF($M204&gt;=IFERROR(INDEX('TaxCred&amp;Subs'!$L$12:$L$47,MATCH(1,($C204&amp;$D204='TaxCred&amp;Subs'!$E$12:$E$47)*($F204='TaxCred&amp;Subs'!$C$12:$C$47),0)
),9999),IFERROR(INDEX('TaxCred&amp;Subs'!$N$12:$N$47,MATCH(1,($C204&amp;$D204='TaxCred&amp;Subs'!$E$12:$E$47)*($F204='TaxCred&amp;Subs'!$C$12:$C$47),0)
),0),0),(IF($M204&gt;=IFERROR(INDEX('TaxCred&amp;Subs'!$H$12:$H$47,MATCH(1,($C204&amp;$D204='TaxCred&amp;Subs'!$D$12:$D$47)*($F204='TaxCred&amp;Subs'!$C$12:$C$47),0)
),9999),IFERROR(INDEX('TaxCred&amp;Subs'!$N$12:$N$47,MATCH(1,($C204&amp;$D204='TaxCred&amp;Subs'!$D$12:$D$47)*($F204='TaxCred&amp;Subs'!$C$12:$C$47),0)
),0),0)))),0)+IF(AND($C204=2,VALUE(RIGHT($AD204,1))&gt;2),(N204-R204)*(IFERROR(INDEX('TaxCred&amp;Subs'!$J$66:$J$99,MATCH(1,($C204&amp;$D204='TaxCred&amp;Subs'!$E$66:$E$99)*($F204='TaxCred&amp;Subs'!$C$66:$C$99),0)),0)),IF(AND($C204=1,VALUE(RIGHT($AD204,1))&gt;2),(N204-R204)*(IFERROR(INDEX('TaxCred&amp;Subs'!$J$66:$J$99,MATCH(1,($C204&amp;$D204='TaxCred&amp;Subs'!$D$66:$D$99)*($F204='TaxCred&amp;Subs'!$C$66:$C$99),0)),0)),IF($C204&gt;2,(N204-R204)*(IFERROR(INDEX('TaxCred&amp;Subs'!$J$66:$J$99,MATCH(1,($C204&amp;$D204='TaxCred&amp;Subs'!$D$66:$D$99)*($F204='TaxCred&amp;Subs'!$C$66:$C$99),0)),0)),0))),0)</f>
        <v>0</v>
      </c>
      <c r="Q204" s="95">
        <f t="array" ref="Q204">ROUND(IF(AND($C204=2,VALUE(RIGHT($AD204,1))&gt;2),(O204-S204)*(IFERROR(INDEX('TaxCred&amp;Subs'!$J$66:$J$99,MATCH(1,($C204&amp;$D204='TaxCred&amp;Subs'!$E$66:$E$99)*($F204='TaxCred&amp;Subs'!$C$66:$C$99),0)),0)),IF(AND($C204=1,VALUE(RIGHT($AD204,1))&gt;2),(O204-S204)*(IFERROR(INDEX('TaxCred&amp;Subs'!$J$66:$J$99,MATCH(1,($C204&amp;$D204='TaxCred&amp;Subs'!$D$66:$D$99)*($F204='TaxCred&amp;Subs'!$C$66:$C$99),0)),0)),IF($C204&gt;2,(O204-S204)*(IFERROR(INDEX('TaxCred&amp;Subs'!$J$66:$J$99,MATCH(1,($C204&amp;$D204='TaxCred&amp;Subs'!$D$66:$D$99)*($F204='TaxCred&amp;Subs'!$C$66:$C$99),0)),0)),0))),0)</f>
        <v>0</v>
      </c>
      <c r="R204" s="95">
        <f t="array" ref="R204">ROUND(IF(IFERROR(VALUE(RIGHT($AD204,1)),0)&gt;2,IF($C204=8,N204*IFERROR(INDEX('TaxCred&amp;Subs'!$K$139:$S$151,MATCH($C204&amp;$D204&amp;LEFT($AD204,7),'TaxCred&amp;Subs'!$E$139:$E$151,0),MATCH($H204,'TaxCred&amp;Subs'!$K$137:$S$137,0)),0),IF($C204=2,N204*IFERROR(INDEX('TaxCred&amp;Subs'!$K$139:$S$151,MATCH($C204&amp;$D204,'TaxCred&amp;Subs'!$D$139:$D$151,0),MATCH($H204,'TaxCred&amp;Subs'!$K$137:$S$137,0)),0),N204*IFERROR(INDEX('TaxCred&amp;Subs'!$K$139:$S$151,MATCH($C204&amp;$D204,'TaxCred&amp;Subs'!$C$139:$C$151,0),MATCH($H204,'TaxCred&amp;Subs'!$K$137:$S$137,0)),0))),0),0)</f>
        <v>0</v>
      </c>
      <c r="S204" s="95">
        <f t="array" ref="S204">ROUND(IF(IFERROR(VALUE(RIGHT($AD204,1)),0)&gt;2,IF($C204=8,O204*IFERROR(INDEX('TaxCred&amp;Subs'!$K$139:$S$151,MATCH($C204&amp;$D204&amp;LEFT($AD204,7),'TaxCred&amp;Subs'!$E$139:$E$151,0),MATCH($H204,'TaxCred&amp;Subs'!$K$137:$S$137,0)),0),IF($C204=2,O204*IFERROR(INDEX('TaxCred&amp;Subs'!$K$139:$S$151,MATCH($C204&amp;$D204,'TaxCred&amp;Subs'!$D$139:$D$151,0),MATCH($H204,'TaxCred&amp;Subs'!$K$137:$S$137,0)),0),O204*IFERROR(INDEX('TaxCred&amp;Subs'!$K$139:$S$151,MATCH($C204&amp;$D204,'TaxCred&amp;Subs'!$C$139:$C$151,0),MATCH($H204,'TaxCred&amp;Subs'!$K$137:$S$137,0)),0))),0),0)</f>
        <v>0</v>
      </c>
      <c r="T204" s="95">
        <f t="shared" si="11"/>
        <v>0</v>
      </c>
      <c r="U204" s="95">
        <f t="shared" si="12"/>
        <v>0</v>
      </c>
      <c r="V204" s="28" t="s">
        <v>222</v>
      </c>
      <c r="W204" s="31">
        <v>2020</v>
      </c>
      <c r="X204" s="28">
        <v>1</v>
      </c>
      <c r="Y204" s="28">
        <v>0</v>
      </c>
      <c r="Z204" s="196">
        <v>-2.0672359327549421E-4</v>
      </c>
      <c r="AA204" s="196">
        <v>-3.1803629734691416E-3</v>
      </c>
      <c r="AB204" s="28">
        <v>0</v>
      </c>
      <c r="AC204" s="28">
        <v>0</v>
      </c>
      <c r="AD204" s="28" t="s">
        <v>325</v>
      </c>
    </row>
    <row r="205" spans="2:31" ht="14.25" customHeight="1" x14ac:dyDescent="0.2">
      <c r="B205" s="7">
        <f t="shared" si="10"/>
        <v>181</v>
      </c>
      <c r="C205" s="28">
        <v>1</v>
      </c>
      <c r="D205" s="28">
        <v>6</v>
      </c>
      <c r="E205" s="28">
        <v>20</v>
      </c>
      <c r="F205" s="78">
        <v>2022</v>
      </c>
      <c r="G205" s="31">
        <v>2028</v>
      </c>
      <c r="H205" s="28">
        <v>1</v>
      </c>
      <c r="I205" s="28">
        <v>20</v>
      </c>
      <c r="J205" s="28">
        <v>0</v>
      </c>
      <c r="K205" s="28">
        <v>0</v>
      </c>
      <c r="L205" s="28">
        <v>0</v>
      </c>
      <c r="M205" s="75">
        <v>0.95</v>
      </c>
      <c r="N205" s="151">
        <v>4150</v>
      </c>
      <c r="O205" s="151">
        <v>1220</v>
      </c>
      <c r="P205" s="95">
        <f t="array" ref="P205">ROUND(IF($F205&lt;='TaxCred&amp;Subs'!$C$49,(IF($C205=2,IF($M205&gt;=IFERROR(INDEX('TaxCred&amp;Subs'!$L$12:$L$47,MATCH(1,($C205&amp;$D205='TaxCred&amp;Subs'!$E$12:$E$47)*($F205='TaxCred&amp;Subs'!$C$12:$C$47),0)
),9999),IFERROR(INDEX('TaxCred&amp;Subs'!$N$12:$N$47,MATCH(1,($C205&amp;$D205='TaxCred&amp;Subs'!$E$12:$E$47)*($F205='TaxCred&amp;Subs'!$C$12:$C$47),0)
),0),0),(IF($M205&gt;=IFERROR(INDEX('TaxCred&amp;Subs'!$H$12:$H$47,MATCH(1,($C205&amp;$D205='TaxCred&amp;Subs'!$D$12:$D$47)*($F205='TaxCred&amp;Subs'!$C$12:$C$47),0)
),9999),IFERROR(INDEX('TaxCred&amp;Subs'!$N$12:$N$47,MATCH(1,($C205&amp;$D205='TaxCred&amp;Subs'!$D$12:$D$47)*($F205='TaxCred&amp;Subs'!$C$12:$C$47),0)
),0),0)))),0)+IF(AND($C205=2,VALUE(RIGHT($AD205,1))&gt;2),(N205-R205)*(IFERROR(INDEX('TaxCred&amp;Subs'!$J$66:$J$99,MATCH(1,($C205&amp;$D205='TaxCred&amp;Subs'!$E$66:$E$99)*($F205='TaxCred&amp;Subs'!$C$66:$C$99),0)),0)),IF(AND($C205=1,VALUE(RIGHT($AD205,1))&gt;2),(N205-R205)*(IFERROR(INDEX('TaxCred&amp;Subs'!$J$66:$J$99,MATCH(1,($C205&amp;$D205='TaxCred&amp;Subs'!$D$66:$D$99)*($F205='TaxCred&amp;Subs'!$C$66:$C$99),0)),0)),IF($C205&gt;2,(N205-R205)*(IFERROR(INDEX('TaxCred&amp;Subs'!$J$66:$J$99,MATCH(1,($C205&amp;$D205='TaxCred&amp;Subs'!$D$66:$D$99)*($F205='TaxCred&amp;Subs'!$C$66:$C$99),0)),0)),0))),0)</f>
        <v>600</v>
      </c>
      <c r="Q205" s="95">
        <f t="array" ref="Q205">ROUND(IF(AND($C205=2,VALUE(RIGHT($AD205,1))&gt;2),(O205-S205)*(IFERROR(INDEX('TaxCred&amp;Subs'!$J$66:$J$99,MATCH(1,($C205&amp;$D205='TaxCred&amp;Subs'!$E$66:$E$99)*($F205='TaxCred&amp;Subs'!$C$66:$C$99),0)),0)),IF(AND($C205=1,VALUE(RIGHT($AD205,1))&gt;2),(O205-S205)*(IFERROR(INDEX('TaxCred&amp;Subs'!$J$66:$J$99,MATCH(1,($C205&amp;$D205='TaxCred&amp;Subs'!$D$66:$D$99)*($F205='TaxCred&amp;Subs'!$C$66:$C$99),0)),0)),IF($C205&gt;2,(O205-S205)*(IFERROR(INDEX('TaxCred&amp;Subs'!$J$66:$J$99,MATCH(1,($C205&amp;$D205='TaxCred&amp;Subs'!$D$66:$D$99)*($F205='TaxCred&amp;Subs'!$C$66:$C$99),0)),0)),0))),0)</f>
        <v>0</v>
      </c>
      <c r="R205" s="95">
        <f t="array" ref="R205">ROUND(IF(IFERROR(VALUE(RIGHT($AD205,1)),0)&gt;2,IF($C205=8,N205*IFERROR(INDEX('TaxCred&amp;Subs'!$K$139:$S$151,MATCH($C205&amp;$D205&amp;LEFT($AD205,7),'TaxCred&amp;Subs'!$E$139:$E$151,0),MATCH($H205,'TaxCred&amp;Subs'!$K$137:$S$137,0)),0),IF($C205=2,N205*IFERROR(INDEX('TaxCred&amp;Subs'!$K$139:$S$151,MATCH($C205&amp;$D205,'TaxCred&amp;Subs'!$D$139:$D$151,0),MATCH($H205,'TaxCred&amp;Subs'!$K$137:$S$137,0)),0),N205*IFERROR(INDEX('TaxCred&amp;Subs'!$K$139:$S$151,MATCH($C205&amp;$D205,'TaxCred&amp;Subs'!$C$139:$C$151,0),MATCH($H205,'TaxCred&amp;Subs'!$K$137:$S$137,0)),0))),0),0)</f>
        <v>0</v>
      </c>
      <c r="S205" s="95">
        <f t="array" ref="S205">ROUND(IF(IFERROR(VALUE(RIGHT($AD205,1)),0)&gt;2,IF($C205=8,O205*IFERROR(INDEX('TaxCred&amp;Subs'!$K$139:$S$151,MATCH($C205&amp;$D205&amp;LEFT($AD205,7),'TaxCred&amp;Subs'!$E$139:$E$151,0),MATCH($H205,'TaxCred&amp;Subs'!$K$137:$S$137,0)),0),IF($C205=2,O205*IFERROR(INDEX('TaxCred&amp;Subs'!$K$139:$S$151,MATCH($C205&amp;$D205,'TaxCred&amp;Subs'!$D$139:$D$151,0),MATCH($H205,'TaxCred&amp;Subs'!$K$137:$S$137,0)),0),O205*IFERROR(INDEX('TaxCred&amp;Subs'!$K$139:$S$151,MATCH($C205&amp;$D205,'TaxCred&amp;Subs'!$C$139:$C$151,0),MATCH($H205,'TaxCred&amp;Subs'!$K$137:$S$137,0)),0))),0),0)</f>
        <v>0</v>
      </c>
      <c r="T205" s="95">
        <f t="shared" si="11"/>
        <v>0</v>
      </c>
      <c r="U205" s="95">
        <f t="shared" si="12"/>
        <v>0</v>
      </c>
      <c r="V205" s="28" t="s">
        <v>222</v>
      </c>
      <c r="W205" s="31">
        <v>2020</v>
      </c>
      <c r="X205" s="28">
        <v>1</v>
      </c>
      <c r="Y205" s="28">
        <v>0</v>
      </c>
      <c r="Z205" s="196">
        <v>-2.0672359327549421E-4</v>
      </c>
      <c r="AA205" s="196">
        <v>-3.1803629734691416E-3</v>
      </c>
      <c r="AB205" s="28">
        <v>0</v>
      </c>
      <c r="AC205" s="28">
        <v>0</v>
      </c>
      <c r="AD205" s="28" t="s">
        <v>325</v>
      </c>
    </row>
    <row r="206" spans="2:31" ht="14.25" customHeight="1" x14ac:dyDescent="0.2">
      <c r="B206" s="7">
        <f t="shared" si="10"/>
        <v>182</v>
      </c>
      <c r="C206" s="28">
        <v>1</v>
      </c>
      <c r="D206" s="28">
        <v>6</v>
      </c>
      <c r="E206" s="28">
        <v>20</v>
      </c>
      <c r="F206" s="78">
        <v>2022</v>
      </c>
      <c r="G206" s="31">
        <v>2028</v>
      </c>
      <c r="H206" s="28">
        <v>2</v>
      </c>
      <c r="I206" s="28">
        <v>20</v>
      </c>
      <c r="J206" s="28">
        <v>0</v>
      </c>
      <c r="K206" s="28">
        <v>0</v>
      </c>
      <c r="L206" s="28">
        <v>0</v>
      </c>
      <c r="M206" s="75">
        <v>0.95</v>
      </c>
      <c r="N206" s="151">
        <v>4150</v>
      </c>
      <c r="O206" s="151">
        <v>1220</v>
      </c>
      <c r="P206" s="95">
        <f t="array" ref="P206">ROUND(IF($F206&lt;='TaxCred&amp;Subs'!$C$49,(IF($C206=2,IF($M206&gt;=IFERROR(INDEX('TaxCred&amp;Subs'!$L$12:$L$47,MATCH(1,($C206&amp;$D206='TaxCred&amp;Subs'!$E$12:$E$47)*($F206='TaxCred&amp;Subs'!$C$12:$C$47),0)
),9999),IFERROR(INDEX('TaxCred&amp;Subs'!$N$12:$N$47,MATCH(1,($C206&amp;$D206='TaxCred&amp;Subs'!$E$12:$E$47)*($F206='TaxCred&amp;Subs'!$C$12:$C$47),0)
),0),0),(IF($M206&gt;=IFERROR(INDEX('TaxCred&amp;Subs'!$H$12:$H$47,MATCH(1,($C206&amp;$D206='TaxCred&amp;Subs'!$D$12:$D$47)*($F206='TaxCred&amp;Subs'!$C$12:$C$47),0)
),9999),IFERROR(INDEX('TaxCred&amp;Subs'!$N$12:$N$47,MATCH(1,($C206&amp;$D206='TaxCred&amp;Subs'!$D$12:$D$47)*($F206='TaxCred&amp;Subs'!$C$12:$C$47),0)
),0),0)))),0)+IF(AND($C206=2,VALUE(RIGHT($AD206,1))&gt;2),(N206-R206)*(IFERROR(INDEX('TaxCred&amp;Subs'!$J$66:$J$99,MATCH(1,($C206&amp;$D206='TaxCred&amp;Subs'!$E$66:$E$99)*($F206='TaxCred&amp;Subs'!$C$66:$C$99),0)),0)),IF(AND($C206=1,VALUE(RIGHT($AD206,1))&gt;2),(N206-R206)*(IFERROR(INDEX('TaxCred&amp;Subs'!$J$66:$J$99,MATCH(1,($C206&amp;$D206='TaxCred&amp;Subs'!$D$66:$D$99)*($F206='TaxCred&amp;Subs'!$C$66:$C$99),0)),0)),IF($C206&gt;2,(N206-R206)*(IFERROR(INDEX('TaxCred&amp;Subs'!$J$66:$J$99,MATCH(1,($C206&amp;$D206='TaxCred&amp;Subs'!$D$66:$D$99)*($F206='TaxCred&amp;Subs'!$C$66:$C$99),0)),0)),0))),0)</f>
        <v>600</v>
      </c>
      <c r="Q206" s="95">
        <f t="array" ref="Q206">ROUND(IF(AND($C206=2,VALUE(RIGHT($AD206,1))&gt;2),(O206-S206)*(IFERROR(INDEX('TaxCred&amp;Subs'!$J$66:$J$99,MATCH(1,($C206&amp;$D206='TaxCred&amp;Subs'!$E$66:$E$99)*($F206='TaxCred&amp;Subs'!$C$66:$C$99),0)),0)),IF(AND($C206=1,VALUE(RIGHT($AD206,1))&gt;2),(O206-S206)*(IFERROR(INDEX('TaxCred&amp;Subs'!$J$66:$J$99,MATCH(1,($C206&amp;$D206='TaxCred&amp;Subs'!$D$66:$D$99)*($F206='TaxCred&amp;Subs'!$C$66:$C$99),0)),0)),IF($C206&gt;2,(O206-S206)*(IFERROR(INDEX('TaxCred&amp;Subs'!$J$66:$J$99,MATCH(1,($C206&amp;$D206='TaxCred&amp;Subs'!$D$66:$D$99)*($F206='TaxCred&amp;Subs'!$C$66:$C$99),0)),0)),0))),0)</f>
        <v>0</v>
      </c>
      <c r="R206" s="95">
        <f t="array" ref="R206">ROUND(IF(IFERROR(VALUE(RIGHT($AD206,1)),0)&gt;2,IF($C206=8,N206*IFERROR(INDEX('TaxCred&amp;Subs'!$K$139:$S$151,MATCH($C206&amp;$D206&amp;LEFT($AD206,7),'TaxCred&amp;Subs'!$E$139:$E$151,0),MATCH($H206,'TaxCred&amp;Subs'!$K$137:$S$137,0)),0),IF($C206=2,N206*IFERROR(INDEX('TaxCred&amp;Subs'!$K$139:$S$151,MATCH($C206&amp;$D206,'TaxCred&amp;Subs'!$D$139:$D$151,0),MATCH($H206,'TaxCred&amp;Subs'!$K$137:$S$137,0)),0),N206*IFERROR(INDEX('TaxCred&amp;Subs'!$K$139:$S$151,MATCH($C206&amp;$D206,'TaxCred&amp;Subs'!$C$139:$C$151,0),MATCH($H206,'TaxCred&amp;Subs'!$K$137:$S$137,0)),0))),0),0)</f>
        <v>0</v>
      </c>
      <c r="S206" s="95">
        <f t="array" ref="S206">ROUND(IF(IFERROR(VALUE(RIGHT($AD206,1)),0)&gt;2,IF($C206=8,O206*IFERROR(INDEX('TaxCred&amp;Subs'!$K$139:$S$151,MATCH($C206&amp;$D206&amp;LEFT($AD206,7),'TaxCred&amp;Subs'!$E$139:$E$151,0),MATCH($H206,'TaxCred&amp;Subs'!$K$137:$S$137,0)),0),IF($C206=2,O206*IFERROR(INDEX('TaxCred&amp;Subs'!$K$139:$S$151,MATCH($C206&amp;$D206,'TaxCred&amp;Subs'!$D$139:$D$151,0),MATCH($H206,'TaxCred&amp;Subs'!$K$137:$S$137,0)),0),O206*IFERROR(INDEX('TaxCred&amp;Subs'!$K$139:$S$151,MATCH($C206&amp;$D206,'TaxCred&amp;Subs'!$C$139:$C$151,0),MATCH($H206,'TaxCred&amp;Subs'!$K$137:$S$137,0)),0))),0),0)</f>
        <v>0</v>
      </c>
      <c r="T206" s="95">
        <f t="shared" si="11"/>
        <v>0</v>
      </c>
      <c r="U206" s="95">
        <f t="shared" si="12"/>
        <v>0</v>
      </c>
      <c r="V206" s="28" t="s">
        <v>222</v>
      </c>
      <c r="W206" s="31">
        <v>2020</v>
      </c>
      <c r="X206" s="28">
        <v>1</v>
      </c>
      <c r="Y206" s="28">
        <v>0</v>
      </c>
      <c r="Z206" s="196">
        <v>-2.0672359327549421E-4</v>
      </c>
      <c r="AA206" s="196">
        <v>-3.1803629734691416E-3</v>
      </c>
      <c r="AB206" s="28">
        <v>0</v>
      </c>
      <c r="AC206" s="28">
        <v>0</v>
      </c>
      <c r="AD206" s="28" t="s">
        <v>325</v>
      </c>
    </row>
    <row r="207" spans="2:31" ht="14.25" customHeight="1" x14ac:dyDescent="0.2">
      <c r="B207" s="7">
        <f t="shared" si="10"/>
        <v>183</v>
      </c>
      <c r="C207" s="28">
        <v>1</v>
      </c>
      <c r="D207" s="28">
        <v>6</v>
      </c>
      <c r="E207" s="28">
        <v>20</v>
      </c>
      <c r="F207" s="78">
        <v>2022</v>
      </c>
      <c r="G207" s="31">
        <v>2028</v>
      </c>
      <c r="H207" s="28">
        <v>3</v>
      </c>
      <c r="I207" s="28">
        <v>20</v>
      </c>
      <c r="J207" s="28">
        <v>0</v>
      </c>
      <c r="K207" s="28">
        <v>0</v>
      </c>
      <c r="L207" s="28">
        <v>0</v>
      </c>
      <c r="M207" s="75">
        <v>0.95</v>
      </c>
      <c r="N207" s="151">
        <v>4150</v>
      </c>
      <c r="O207" s="151">
        <v>1220</v>
      </c>
      <c r="P207" s="95">
        <f t="array" ref="P207">ROUND(IF($F207&lt;='TaxCred&amp;Subs'!$C$49,(IF($C207=2,IF($M207&gt;=IFERROR(INDEX('TaxCred&amp;Subs'!$L$12:$L$47,MATCH(1,($C207&amp;$D207='TaxCred&amp;Subs'!$E$12:$E$47)*($F207='TaxCred&amp;Subs'!$C$12:$C$47),0)
),9999),IFERROR(INDEX('TaxCred&amp;Subs'!$N$12:$N$47,MATCH(1,($C207&amp;$D207='TaxCred&amp;Subs'!$E$12:$E$47)*($F207='TaxCred&amp;Subs'!$C$12:$C$47),0)
),0),0),(IF($M207&gt;=IFERROR(INDEX('TaxCred&amp;Subs'!$H$12:$H$47,MATCH(1,($C207&amp;$D207='TaxCred&amp;Subs'!$D$12:$D$47)*($F207='TaxCred&amp;Subs'!$C$12:$C$47),0)
),9999),IFERROR(INDEX('TaxCred&amp;Subs'!$N$12:$N$47,MATCH(1,($C207&amp;$D207='TaxCred&amp;Subs'!$D$12:$D$47)*($F207='TaxCred&amp;Subs'!$C$12:$C$47),0)
),0),0)))),0)+IF(AND($C207=2,VALUE(RIGHT($AD207,1))&gt;2),(N207-R207)*(IFERROR(INDEX('TaxCred&amp;Subs'!$J$66:$J$99,MATCH(1,($C207&amp;$D207='TaxCred&amp;Subs'!$E$66:$E$99)*($F207='TaxCred&amp;Subs'!$C$66:$C$99),0)),0)),IF(AND($C207=1,VALUE(RIGHT($AD207,1))&gt;2),(N207-R207)*(IFERROR(INDEX('TaxCred&amp;Subs'!$J$66:$J$99,MATCH(1,($C207&amp;$D207='TaxCred&amp;Subs'!$D$66:$D$99)*($F207='TaxCred&amp;Subs'!$C$66:$C$99),0)),0)),IF($C207&gt;2,(N207-R207)*(IFERROR(INDEX('TaxCred&amp;Subs'!$J$66:$J$99,MATCH(1,($C207&amp;$D207='TaxCred&amp;Subs'!$D$66:$D$99)*($F207='TaxCred&amp;Subs'!$C$66:$C$99),0)),0)),0))),0)</f>
        <v>600</v>
      </c>
      <c r="Q207" s="95">
        <f t="array" ref="Q207">ROUND(IF(AND($C207=2,VALUE(RIGHT($AD207,1))&gt;2),(O207-S207)*(IFERROR(INDEX('TaxCred&amp;Subs'!$J$66:$J$99,MATCH(1,($C207&amp;$D207='TaxCred&amp;Subs'!$E$66:$E$99)*($F207='TaxCred&amp;Subs'!$C$66:$C$99),0)),0)),IF(AND($C207=1,VALUE(RIGHT($AD207,1))&gt;2),(O207-S207)*(IFERROR(INDEX('TaxCred&amp;Subs'!$J$66:$J$99,MATCH(1,($C207&amp;$D207='TaxCred&amp;Subs'!$D$66:$D$99)*($F207='TaxCred&amp;Subs'!$C$66:$C$99),0)),0)),IF($C207&gt;2,(O207-S207)*(IFERROR(INDEX('TaxCred&amp;Subs'!$J$66:$J$99,MATCH(1,($C207&amp;$D207='TaxCred&amp;Subs'!$D$66:$D$99)*($F207='TaxCred&amp;Subs'!$C$66:$C$99),0)),0)),0))),0)</f>
        <v>0</v>
      </c>
      <c r="R207" s="95">
        <f t="array" ref="R207">ROUND(IF(IFERROR(VALUE(RIGHT($AD207,1)),0)&gt;2,IF($C207=8,N207*IFERROR(INDEX('TaxCred&amp;Subs'!$K$139:$S$151,MATCH($C207&amp;$D207&amp;LEFT($AD207,7),'TaxCred&amp;Subs'!$E$139:$E$151,0),MATCH($H207,'TaxCred&amp;Subs'!$K$137:$S$137,0)),0),IF($C207=2,N207*IFERROR(INDEX('TaxCred&amp;Subs'!$K$139:$S$151,MATCH($C207&amp;$D207,'TaxCred&amp;Subs'!$D$139:$D$151,0),MATCH($H207,'TaxCred&amp;Subs'!$K$137:$S$137,0)),0),N207*IFERROR(INDEX('TaxCred&amp;Subs'!$K$139:$S$151,MATCH($C207&amp;$D207,'TaxCred&amp;Subs'!$C$139:$C$151,0),MATCH($H207,'TaxCred&amp;Subs'!$K$137:$S$137,0)),0))),0),0)</f>
        <v>0</v>
      </c>
      <c r="S207" s="95">
        <f t="array" ref="S207">ROUND(IF(IFERROR(VALUE(RIGHT($AD207,1)),0)&gt;2,IF($C207=8,O207*IFERROR(INDEX('TaxCred&amp;Subs'!$K$139:$S$151,MATCH($C207&amp;$D207&amp;LEFT($AD207,7),'TaxCred&amp;Subs'!$E$139:$E$151,0),MATCH($H207,'TaxCred&amp;Subs'!$K$137:$S$137,0)),0),IF($C207=2,O207*IFERROR(INDEX('TaxCred&amp;Subs'!$K$139:$S$151,MATCH($C207&amp;$D207,'TaxCred&amp;Subs'!$D$139:$D$151,0),MATCH($H207,'TaxCred&amp;Subs'!$K$137:$S$137,0)),0),O207*IFERROR(INDEX('TaxCred&amp;Subs'!$K$139:$S$151,MATCH($C207&amp;$D207,'TaxCred&amp;Subs'!$C$139:$C$151,0),MATCH($H207,'TaxCred&amp;Subs'!$K$137:$S$137,0)),0))),0),0)</f>
        <v>0</v>
      </c>
      <c r="T207" s="95">
        <f t="shared" si="11"/>
        <v>0</v>
      </c>
      <c r="U207" s="95">
        <f t="shared" si="12"/>
        <v>0</v>
      </c>
      <c r="V207" s="28" t="s">
        <v>222</v>
      </c>
      <c r="W207" s="31">
        <v>2020</v>
      </c>
      <c r="X207" s="28">
        <v>1</v>
      </c>
      <c r="Y207" s="28">
        <v>0</v>
      </c>
      <c r="Z207" s="196">
        <v>-2.0672359327549421E-4</v>
      </c>
      <c r="AA207" s="196">
        <v>-3.1803629734691416E-3</v>
      </c>
      <c r="AB207" s="28">
        <v>0</v>
      </c>
      <c r="AC207" s="28">
        <v>0</v>
      </c>
      <c r="AD207" s="28" t="s">
        <v>325</v>
      </c>
    </row>
    <row r="208" spans="2:31" ht="14.25" customHeight="1" x14ac:dyDescent="0.2">
      <c r="B208" s="7">
        <f t="shared" si="10"/>
        <v>184</v>
      </c>
      <c r="C208" s="28">
        <v>1</v>
      </c>
      <c r="D208" s="28">
        <v>6</v>
      </c>
      <c r="E208" s="28">
        <v>20</v>
      </c>
      <c r="F208" s="78">
        <v>2022</v>
      </c>
      <c r="G208" s="31">
        <v>2028</v>
      </c>
      <c r="H208" s="28">
        <v>4</v>
      </c>
      <c r="I208" s="28">
        <v>20</v>
      </c>
      <c r="J208" s="28">
        <v>0</v>
      </c>
      <c r="K208" s="28">
        <v>0</v>
      </c>
      <c r="L208" s="28">
        <v>0</v>
      </c>
      <c r="M208" s="75">
        <v>0.95</v>
      </c>
      <c r="N208" s="151">
        <v>4150</v>
      </c>
      <c r="O208" s="151">
        <v>1220</v>
      </c>
      <c r="P208" s="95">
        <f t="array" ref="P208">ROUND(IF($F208&lt;='TaxCred&amp;Subs'!$C$49,(IF($C208=2,IF($M208&gt;=IFERROR(INDEX('TaxCred&amp;Subs'!$L$12:$L$47,MATCH(1,($C208&amp;$D208='TaxCred&amp;Subs'!$E$12:$E$47)*($F208='TaxCred&amp;Subs'!$C$12:$C$47),0)
),9999),IFERROR(INDEX('TaxCred&amp;Subs'!$N$12:$N$47,MATCH(1,($C208&amp;$D208='TaxCred&amp;Subs'!$E$12:$E$47)*($F208='TaxCred&amp;Subs'!$C$12:$C$47),0)
),0),0),(IF($M208&gt;=IFERROR(INDEX('TaxCred&amp;Subs'!$H$12:$H$47,MATCH(1,($C208&amp;$D208='TaxCred&amp;Subs'!$D$12:$D$47)*($F208='TaxCred&amp;Subs'!$C$12:$C$47),0)
),9999),IFERROR(INDEX('TaxCred&amp;Subs'!$N$12:$N$47,MATCH(1,($C208&amp;$D208='TaxCred&amp;Subs'!$D$12:$D$47)*($F208='TaxCred&amp;Subs'!$C$12:$C$47),0)
),0),0)))),0)+IF(AND($C208=2,VALUE(RIGHT($AD208,1))&gt;2),(N208-R208)*(IFERROR(INDEX('TaxCred&amp;Subs'!$J$66:$J$99,MATCH(1,($C208&amp;$D208='TaxCred&amp;Subs'!$E$66:$E$99)*($F208='TaxCred&amp;Subs'!$C$66:$C$99),0)),0)),IF(AND($C208=1,VALUE(RIGHT($AD208,1))&gt;2),(N208-R208)*(IFERROR(INDEX('TaxCred&amp;Subs'!$J$66:$J$99,MATCH(1,($C208&amp;$D208='TaxCred&amp;Subs'!$D$66:$D$99)*($F208='TaxCred&amp;Subs'!$C$66:$C$99),0)),0)),IF($C208&gt;2,(N208-R208)*(IFERROR(INDEX('TaxCred&amp;Subs'!$J$66:$J$99,MATCH(1,($C208&amp;$D208='TaxCred&amp;Subs'!$D$66:$D$99)*($F208='TaxCred&amp;Subs'!$C$66:$C$99),0)),0)),0))),0)</f>
        <v>600</v>
      </c>
      <c r="Q208" s="95">
        <f t="array" ref="Q208">ROUND(IF(AND($C208=2,VALUE(RIGHT($AD208,1))&gt;2),(O208-S208)*(IFERROR(INDEX('TaxCred&amp;Subs'!$J$66:$J$99,MATCH(1,($C208&amp;$D208='TaxCred&amp;Subs'!$E$66:$E$99)*($F208='TaxCred&amp;Subs'!$C$66:$C$99),0)),0)),IF(AND($C208=1,VALUE(RIGHT($AD208,1))&gt;2),(O208-S208)*(IFERROR(INDEX('TaxCred&amp;Subs'!$J$66:$J$99,MATCH(1,($C208&amp;$D208='TaxCred&amp;Subs'!$D$66:$D$99)*($F208='TaxCred&amp;Subs'!$C$66:$C$99),0)),0)),IF($C208&gt;2,(O208-S208)*(IFERROR(INDEX('TaxCred&amp;Subs'!$J$66:$J$99,MATCH(1,($C208&amp;$D208='TaxCred&amp;Subs'!$D$66:$D$99)*($F208='TaxCred&amp;Subs'!$C$66:$C$99),0)),0)),0))),0)</f>
        <v>0</v>
      </c>
      <c r="R208" s="95">
        <f t="array" ref="R208">ROUND(IF(IFERROR(VALUE(RIGHT($AD208,1)),0)&gt;2,IF($C208=8,N208*IFERROR(INDEX('TaxCred&amp;Subs'!$K$139:$S$151,MATCH($C208&amp;$D208&amp;LEFT($AD208,7),'TaxCred&amp;Subs'!$E$139:$E$151,0),MATCH($H208,'TaxCred&amp;Subs'!$K$137:$S$137,0)),0),IF($C208=2,N208*IFERROR(INDEX('TaxCred&amp;Subs'!$K$139:$S$151,MATCH($C208&amp;$D208,'TaxCred&amp;Subs'!$D$139:$D$151,0),MATCH($H208,'TaxCred&amp;Subs'!$K$137:$S$137,0)),0),N208*IFERROR(INDEX('TaxCred&amp;Subs'!$K$139:$S$151,MATCH($C208&amp;$D208,'TaxCred&amp;Subs'!$C$139:$C$151,0),MATCH($H208,'TaxCred&amp;Subs'!$K$137:$S$137,0)),0))),0),0)</f>
        <v>0</v>
      </c>
      <c r="S208" s="95">
        <f t="array" ref="S208">ROUND(IF(IFERROR(VALUE(RIGHT($AD208,1)),0)&gt;2,IF($C208=8,O208*IFERROR(INDEX('TaxCred&amp;Subs'!$K$139:$S$151,MATCH($C208&amp;$D208&amp;LEFT($AD208,7),'TaxCred&amp;Subs'!$E$139:$E$151,0),MATCH($H208,'TaxCred&amp;Subs'!$K$137:$S$137,0)),0),IF($C208=2,O208*IFERROR(INDEX('TaxCred&amp;Subs'!$K$139:$S$151,MATCH($C208&amp;$D208,'TaxCred&amp;Subs'!$D$139:$D$151,0),MATCH($H208,'TaxCred&amp;Subs'!$K$137:$S$137,0)),0),O208*IFERROR(INDEX('TaxCred&amp;Subs'!$K$139:$S$151,MATCH($C208&amp;$D208,'TaxCred&amp;Subs'!$C$139:$C$151,0),MATCH($H208,'TaxCred&amp;Subs'!$K$137:$S$137,0)),0))),0),0)</f>
        <v>0</v>
      </c>
      <c r="T208" s="95">
        <f t="shared" si="11"/>
        <v>0</v>
      </c>
      <c r="U208" s="95">
        <f t="shared" si="12"/>
        <v>0</v>
      </c>
      <c r="V208" s="28" t="s">
        <v>222</v>
      </c>
      <c r="W208" s="31">
        <v>2020</v>
      </c>
      <c r="X208" s="28">
        <v>1</v>
      </c>
      <c r="Y208" s="28">
        <v>0</v>
      </c>
      <c r="Z208" s="196">
        <v>-2.0672359327549421E-4</v>
      </c>
      <c r="AA208" s="196">
        <v>-3.1803629734691416E-3</v>
      </c>
      <c r="AB208" s="28">
        <v>0</v>
      </c>
      <c r="AC208" s="28">
        <v>0</v>
      </c>
      <c r="AD208" s="28" t="s">
        <v>325</v>
      </c>
    </row>
    <row r="209" spans="2:31" ht="14.25" customHeight="1" x14ac:dyDescent="0.2">
      <c r="B209" s="7">
        <f t="shared" si="10"/>
        <v>185</v>
      </c>
      <c r="C209" s="28">
        <v>1</v>
      </c>
      <c r="D209" s="28">
        <v>6</v>
      </c>
      <c r="E209" s="28">
        <v>20</v>
      </c>
      <c r="F209" s="78">
        <v>2022</v>
      </c>
      <c r="G209" s="31">
        <v>2028</v>
      </c>
      <c r="H209" s="28">
        <v>5</v>
      </c>
      <c r="I209" s="28">
        <v>20</v>
      </c>
      <c r="J209" s="28">
        <v>0</v>
      </c>
      <c r="K209" s="28">
        <v>0</v>
      </c>
      <c r="L209" s="28">
        <v>0</v>
      </c>
      <c r="M209" s="75">
        <v>0.9</v>
      </c>
      <c r="N209" s="151">
        <v>4130</v>
      </c>
      <c r="O209" s="151">
        <v>1200</v>
      </c>
      <c r="P209" s="95">
        <f t="array" ref="P209">ROUND(IF($F209&lt;='TaxCred&amp;Subs'!$C$49,(IF($C209=2,IF($M209&gt;=IFERROR(INDEX('TaxCred&amp;Subs'!$L$12:$L$47,MATCH(1,($C209&amp;$D209='TaxCred&amp;Subs'!$E$12:$E$47)*($F209='TaxCred&amp;Subs'!$C$12:$C$47),0)
),9999),IFERROR(INDEX('TaxCred&amp;Subs'!$N$12:$N$47,MATCH(1,($C209&amp;$D209='TaxCred&amp;Subs'!$E$12:$E$47)*($F209='TaxCred&amp;Subs'!$C$12:$C$47),0)
),0),0),(IF($M209&gt;=IFERROR(INDEX('TaxCred&amp;Subs'!$H$12:$H$47,MATCH(1,($C209&amp;$D209='TaxCred&amp;Subs'!$D$12:$D$47)*($F209='TaxCred&amp;Subs'!$C$12:$C$47),0)
),9999),IFERROR(INDEX('TaxCred&amp;Subs'!$N$12:$N$47,MATCH(1,($C209&amp;$D209='TaxCred&amp;Subs'!$D$12:$D$47)*($F209='TaxCred&amp;Subs'!$C$12:$C$47),0)
),0),0)))),0)+IF(AND($C209=2,VALUE(RIGHT($AD209,1))&gt;2),(N209-R209)*(IFERROR(INDEX('TaxCred&amp;Subs'!$J$66:$J$99,MATCH(1,($C209&amp;$D209='TaxCred&amp;Subs'!$E$66:$E$99)*($F209='TaxCred&amp;Subs'!$C$66:$C$99),0)),0)),IF(AND($C209=1,VALUE(RIGHT($AD209,1))&gt;2),(N209-R209)*(IFERROR(INDEX('TaxCred&amp;Subs'!$J$66:$J$99,MATCH(1,($C209&amp;$D209='TaxCred&amp;Subs'!$D$66:$D$99)*($F209='TaxCred&amp;Subs'!$C$66:$C$99),0)),0)),IF($C209&gt;2,(N209-R209)*(IFERROR(INDEX('TaxCred&amp;Subs'!$J$66:$J$99,MATCH(1,($C209&amp;$D209='TaxCred&amp;Subs'!$D$66:$D$99)*($F209='TaxCred&amp;Subs'!$C$66:$C$99),0)),0)),0))),0)</f>
        <v>0</v>
      </c>
      <c r="Q209" s="95">
        <f t="array" ref="Q209">ROUND(IF(AND($C209=2,VALUE(RIGHT($AD209,1))&gt;2),(O209-S209)*(IFERROR(INDEX('TaxCred&amp;Subs'!$J$66:$J$99,MATCH(1,($C209&amp;$D209='TaxCred&amp;Subs'!$E$66:$E$99)*($F209='TaxCred&amp;Subs'!$C$66:$C$99),0)),0)),IF(AND($C209=1,VALUE(RIGHT($AD209,1))&gt;2),(O209-S209)*(IFERROR(INDEX('TaxCred&amp;Subs'!$J$66:$J$99,MATCH(1,($C209&amp;$D209='TaxCred&amp;Subs'!$D$66:$D$99)*($F209='TaxCred&amp;Subs'!$C$66:$C$99),0)),0)),IF($C209&gt;2,(O209-S209)*(IFERROR(INDEX('TaxCred&amp;Subs'!$J$66:$J$99,MATCH(1,($C209&amp;$D209='TaxCred&amp;Subs'!$D$66:$D$99)*($F209='TaxCred&amp;Subs'!$C$66:$C$99),0)),0)),0))),0)</f>
        <v>0</v>
      </c>
      <c r="R209" s="95">
        <f t="array" ref="R209">ROUND(IF(IFERROR(VALUE(RIGHT($AD209,1)),0)&gt;2,IF($C209=8,N209*IFERROR(INDEX('TaxCred&amp;Subs'!$K$139:$S$151,MATCH($C209&amp;$D209&amp;LEFT($AD209,7),'TaxCred&amp;Subs'!$E$139:$E$151,0),MATCH($H209,'TaxCred&amp;Subs'!$K$137:$S$137,0)),0),IF($C209=2,N209*IFERROR(INDEX('TaxCred&amp;Subs'!$K$139:$S$151,MATCH($C209&amp;$D209,'TaxCred&amp;Subs'!$D$139:$D$151,0),MATCH($H209,'TaxCred&amp;Subs'!$K$137:$S$137,0)),0),N209*IFERROR(INDEX('TaxCred&amp;Subs'!$K$139:$S$151,MATCH($C209&amp;$D209,'TaxCred&amp;Subs'!$C$139:$C$151,0),MATCH($H209,'TaxCred&amp;Subs'!$K$137:$S$137,0)),0))),0),0)</f>
        <v>0</v>
      </c>
      <c r="S209" s="95">
        <f t="array" ref="S209">ROUND(IF(IFERROR(VALUE(RIGHT($AD209,1)),0)&gt;2,IF($C209=8,O209*IFERROR(INDEX('TaxCred&amp;Subs'!$K$139:$S$151,MATCH($C209&amp;$D209&amp;LEFT($AD209,7),'TaxCred&amp;Subs'!$E$139:$E$151,0),MATCH($H209,'TaxCred&amp;Subs'!$K$137:$S$137,0)),0),IF($C209=2,O209*IFERROR(INDEX('TaxCred&amp;Subs'!$K$139:$S$151,MATCH($C209&amp;$D209,'TaxCred&amp;Subs'!$D$139:$D$151,0),MATCH($H209,'TaxCred&amp;Subs'!$K$137:$S$137,0)),0),O209*IFERROR(INDEX('TaxCred&amp;Subs'!$K$139:$S$151,MATCH($C209&amp;$D209,'TaxCred&amp;Subs'!$C$139:$C$151,0),MATCH($H209,'TaxCred&amp;Subs'!$K$137:$S$137,0)),0))),0),0)</f>
        <v>0</v>
      </c>
      <c r="T209" s="95">
        <f t="shared" si="11"/>
        <v>0</v>
      </c>
      <c r="U209" s="95">
        <f t="shared" si="12"/>
        <v>0</v>
      </c>
      <c r="V209" s="28" t="s">
        <v>222</v>
      </c>
      <c r="W209" s="31">
        <v>2020</v>
      </c>
      <c r="X209" s="28">
        <v>1</v>
      </c>
      <c r="Y209" s="28">
        <v>0</v>
      </c>
      <c r="Z209" s="196">
        <v>-2.0672359327549421E-4</v>
      </c>
      <c r="AA209" s="196">
        <v>-3.1803629734691416E-3</v>
      </c>
      <c r="AB209" s="28">
        <v>0</v>
      </c>
      <c r="AC209" s="28">
        <v>0</v>
      </c>
      <c r="AD209" s="28" t="s">
        <v>325</v>
      </c>
    </row>
    <row r="210" spans="2:31" ht="14.25" customHeight="1" x14ac:dyDescent="0.2">
      <c r="B210" s="7">
        <f t="shared" si="10"/>
        <v>186</v>
      </c>
      <c r="C210" s="28">
        <v>1</v>
      </c>
      <c r="D210" s="28">
        <v>6</v>
      </c>
      <c r="E210" s="28">
        <v>20</v>
      </c>
      <c r="F210" s="78">
        <v>2022</v>
      </c>
      <c r="G210" s="31">
        <v>2028</v>
      </c>
      <c r="H210" s="28">
        <v>6</v>
      </c>
      <c r="I210" s="28">
        <v>20</v>
      </c>
      <c r="J210" s="28">
        <v>0</v>
      </c>
      <c r="K210" s="28">
        <v>0</v>
      </c>
      <c r="L210" s="28">
        <v>0</v>
      </c>
      <c r="M210" s="75">
        <v>0.9</v>
      </c>
      <c r="N210" s="151">
        <v>4130</v>
      </c>
      <c r="O210" s="151">
        <v>1200</v>
      </c>
      <c r="P210" s="95">
        <f t="array" ref="P210">ROUND(IF($F210&lt;='TaxCred&amp;Subs'!$C$49,(IF($C210=2,IF($M210&gt;=IFERROR(INDEX('TaxCred&amp;Subs'!$L$12:$L$47,MATCH(1,($C210&amp;$D210='TaxCred&amp;Subs'!$E$12:$E$47)*($F210='TaxCred&amp;Subs'!$C$12:$C$47),0)
),9999),IFERROR(INDEX('TaxCred&amp;Subs'!$N$12:$N$47,MATCH(1,($C210&amp;$D210='TaxCred&amp;Subs'!$E$12:$E$47)*($F210='TaxCred&amp;Subs'!$C$12:$C$47),0)
),0),0),(IF($M210&gt;=IFERROR(INDEX('TaxCred&amp;Subs'!$H$12:$H$47,MATCH(1,($C210&amp;$D210='TaxCred&amp;Subs'!$D$12:$D$47)*($F210='TaxCred&amp;Subs'!$C$12:$C$47),0)
),9999),IFERROR(INDEX('TaxCred&amp;Subs'!$N$12:$N$47,MATCH(1,($C210&amp;$D210='TaxCred&amp;Subs'!$D$12:$D$47)*($F210='TaxCred&amp;Subs'!$C$12:$C$47),0)
),0),0)))),0)+IF(AND($C210=2,VALUE(RIGHT($AD210,1))&gt;2),(N210-R210)*(IFERROR(INDEX('TaxCred&amp;Subs'!$J$66:$J$99,MATCH(1,($C210&amp;$D210='TaxCred&amp;Subs'!$E$66:$E$99)*($F210='TaxCred&amp;Subs'!$C$66:$C$99),0)),0)),IF(AND($C210=1,VALUE(RIGHT($AD210,1))&gt;2),(N210-R210)*(IFERROR(INDEX('TaxCred&amp;Subs'!$J$66:$J$99,MATCH(1,($C210&amp;$D210='TaxCred&amp;Subs'!$D$66:$D$99)*($F210='TaxCred&amp;Subs'!$C$66:$C$99),0)),0)),IF($C210&gt;2,(N210-R210)*(IFERROR(INDEX('TaxCred&amp;Subs'!$J$66:$J$99,MATCH(1,($C210&amp;$D210='TaxCred&amp;Subs'!$D$66:$D$99)*($F210='TaxCred&amp;Subs'!$C$66:$C$99),0)),0)),0))),0)</f>
        <v>0</v>
      </c>
      <c r="Q210" s="95">
        <f t="array" ref="Q210">ROUND(IF(AND($C210=2,VALUE(RIGHT($AD210,1))&gt;2),(O210-S210)*(IFERROR(INDEX('TaxCred&amp;Subs'!$J$66:$J$99,MATCH(1,($C210&amp;$D210='TaxCred&amp;Subs'!$E$66:$E$99)*($F210='TaxCred&amp;Subs'!$C$66:$C$99),0)),0)),IF(AND($C210=1,VALUE(RIGHT($AD210,1))&gt;2),(O210-S210)*(IFERROR(INDEX('TaxCred&amp;Subs'!$J$66:$J$99,MATCH(1,($C210&amp;$D210='TaxCred&amp;Subs'!$D$66:$D$99)*($F210='TaxCred&amp;Subs'!$C$66:$C$99),0)),0)),IF($C210&gt;2,(O210-S210)*(IFERROR(INDEX('TaxCred&amp;Subs'!$J$66:$J$99,MATCH(1,($C210&amp;$D210='TaxCred&amp;Subs'!$D$66:$D$99)*($F210='TaxCred&amp;Subs'!$C$66:$C$99),0)),0)),0))),0)</f>
        <v>0</v>
      </c>
      <c r="R210" s="95">
        <f t="array" ref="R210">ROUND(IF(IFERROR(VALUE(RIGHT($AD210,1)),0)&gt;2,IF($C210=8,N210*IFERROR(INDEX('TaxCred&amp;Subs'!$K$139:$S$151,MATCH($C210&amp;$D210&amp;LEFT($AD210,7),'TaxCred&amp;Subs'!$E$139:$E$151,0),MATCH($H210,'TaxCred&amp;Subs'!$K$137:$S$137,0)),0),IF($C210=2,N210*IFERROR(INDEX('TaxCred&amp;Subs'!$K$139:$S$151,MATCH($C210&amp;$D210,'TaxCred&amp;Subs'!$D$139:$D$151,0),MATCH($H210,'TaxCred&amp;Subs'!$K$137:$S$137,0)),0),N210*IFERROR(INDEX('TaxCred&amp;Subs'!$K$139:$S$151,MATCH($C210&amp;$D210,'TaxCred&amp;Subs'!$C$139:$C$151,0),MATCH($H210,'TaxCred&amp;Subs'!$K$137:$S$137,0)),0))),0),0)</f>
        <v>0</v>
      </c>
      <c r="S210" s="95">
        <f t="array" ref="S210">ROUND(IF(IFERROR(VALUE(RIGHT($AD210,1)),0)&gt;2,IF($C210=8,O210*IFERROR(INDEX('TaxCred&amp;Subs'!$K$139:$S$151,MATCH($C210&amp;$D210&amp;LEFT($AD210,7),'TaxCred&amp;Subs'!$E$139:$E$151,0),MATCH($H210,'TaxCred&amp;Subs'!$K$137:$S$137,0)),0),IF($C210=2,O210*IFERROR(INDEX('TaxCred&amp;Subs'!$K$139:$S$151,MATCH($C210&amp;$D210,'TaxCred&amp;Subs'!$D$139:$D$151,0),MATCH($H210,'TaxCred&amp;Subs'!$K$137:$S$137,0)),0),O210*IFERROR(INDEX('TaxCred&amp;Subs'!$K$139:$S$151,MATCH($C210&amp;$D210,'TaxCred&amp;Subs'!$C$139:$C$151,0),MATCH($H210,'TaxCred&amp;Subs'!$K$137:$S$137,0)),0))),0),0)</f>
        <v>0</v>
      </c>
      <c r="T210" s="95">
        <f t="shared" si="11"/>
        <v>0</v>
      </c>
      <c r="U210" s="95">
        <f t="shared" si="12"/>
        <v>0</v>
      </c>
      <c r="V210" s="28" t="s">
        <v>222</v>
      </c>
      <c r="W210" s="31">
        <v>2020</v>
      </c>
      <c r="X210" s="28">
        <v>1</v>
      </c>
      <c r="Y210" s="28">
        <v>0</v>
      </c>
      <c r="Z210" s="196">
        <v>-2.0672359327549421E-4</v>
      </c>
      <c r="AA210" s="196">
        <v>-3.1803629734691416E-3</v>
      </c>
      <c r="AB210" s="28">
        <v>0</v>
      </c>
      <c r="AC210" s="28">
        <v>0</v>
      </c>
      <c r="AD210" s="28" t="s">
        <v>325</v>
      </c>
    </row>
    <row r="211" spans="2:31" ht="14.25" customHeight="1" x14ac:dyDescent="0.2">
      <c r="B211" s="7">
        <f t="shared" si="10"/>
        <v>187</v>
      </c>
      <c r="C211" s="28">
        <v>1</v>
      </c>
      <c r="D211" s="28">
        <v>6</v>
      </c>
      <c r="E211" s="28">
        <v>20</v>
      </c>
      <c r="F211" s="78">
        <v>2022</v>
      </c>
      <c r="G211" s="31">
        <v>2028</v>
      </c>
      <c r="H211" s="28">
        <v>7</v>
      </c>
      <c r="I211" s="28">
        <v>20</v>
      </c>
      <c r="J211" s="28">
        <v>0</v>
      </c>
      <c r="K211" s="28">
        <v>0</v>
      </c>
      <c r="L211" s="28">
        <v>0</v>
      </c>
      <c r="M211" s="75">
        <v>0.9</v>
      </c>
      <c r="N211" s="151">
        <v>4130</v>
      </c>
      <c r="O211" s="151">
        <v>1200</v>
      </c>
      <c r="P211" s="95">
        <f t="array" ref="P211">ROUND(IF($F211&lt;='TaxCred&amp;Subs'!$C$49,(IF($C211=2,IF($M211&gt;=IFERROR(INDEX('TaxCred&amp;Subs'!$L$12:$L$47,MATCH(1,($C211&amp;$D211='TaxCred&amp;Subs'!$E$12:$E$47)*($F211='TaxCred&amp;Subs'!$C$12:$C$47),0)
),9999),IFERROR(INDEX('TaxCred&amp;Subs'!$N$12:$N$47,MATCH(1,($C211&amp;$D211='TaxCred&amp;Subs'!$E$12:$E$47)*($F211='TaxCred&amp;Subs'!$C$12:$C$47),0)
),0),0),(IF($M211&gt;=IFERROR(INDEX('TaxCred&amp;Subs'!$H$12:$H$47,MATCH(1,($C211&amp;$D211='TaxCred&amp;Subs'!$D$12:$D$47)*($F211='TaxCred&amp;Subs'!$C$12:$C$47),0)
),9999),IFERROR(INDEX('TaxCred&amp;Subs'!$N$12:$N$47,MATCH(1,($C211&amp;$D211='TaxCred&amp;Subs'!$D$12:$D$47)*($F211='TaxCred&amp;Subs'!$C$12:$C$47),0)
),0),0)))),0)+IF(AND($C211=2,VALUE(RIGHT($AD211,1))&gt;2),(N211-R211)*(IFERROR(INDEX('TaxCred&amp;Subs'!$J$66:$J$99,MATCH(1,($C211&amp;$D211='TaxCred&amp;Subs'!$E$66:$E$99)*($F211='TaxCred&amp;Subs'!$C$66:$C$99),0)),0)),IF(AND($C211=1,VALUE(RIGHT($AD211,1))&gt;2),(N211-R211)*(IFERROR(INDEX('TaxCred&amp;Subs'!$J$66:$J$99,MATCH(1,($C211&amp;$D211='TaxCred&amp;Subs'!$D$66:$D$99)*($F211='TaxCred&amp;Subs'!$C$66:$C$99),0)),0)),IF($C211&gt;2,(N211-R211)*(IFERROR(INDEX('TaxCred&amp;Subs'!$J$66:$J$99,MATCH(1,($C211&amp;$D211='TaxCred&amp;Subs'!$D$66:$D$99)*($F211='TaxCred&amp;Subs'!$C$66:$C$99),0)),0)),0))),0)</f>
        <v>0</v>
      </c>
      <c r="Q211" s="95">
        <f t="array" ref="Q211">ROUND(IF(AND($C211=2,VALUE(RIGHT($AD211,1))&gt;2),(O211-S211)*(IFERROR(INDEX('TaxCred&amp;Subs'!$J$66:$J$99,MATCH(1,($C211&amp;$D211='TaxCred&amp;Subs'!$E$66:$E$99)*($F211='TaxCred&amp;Subs'!$C$66:$C$99),0)),0)),IF(AND($C211=1,VALUE(RIGHT($AD211,1))&gt;2),(O211-S211)*(IFERROR(INDEX('TaxCred&amp;Subs'!$J$66:$J$99,MATCH(1,($C211&amp;$D211='TaxCred&amp;Subs'!$D$66:$D$99)*($F211='TaxCred&amp;Subs'!$C$66:$C$99),0)),0)),IF($C211&gt;2,(O211-S211)*(IFERROR(INDEX('TaxCred&amp;Subs'!$J$66:$J$99,MATCH(1,($C211&amp;$D211='TaxCred&amp;Subs'!$D$66:$D$99)*($F211='TaxCred&amp;Subs'!$C$66:$C$99),0)),0)),0))),0)</f>
        <v>0</v>
      </c>
      <c r="R211" s="95">
        <f t="array" ref="R211">ROUND(IF(IFERROR(VALUE(RIGHT($AD211,1)),0)&gt;2,IF($C211=8,N211*IFERROR(INDEX('TaxCred&amp;Subs'!$K$139:$S$151,MATCH($C211&amp;$D211&amp;LEFT($AD211,7),'TaxCred&amp;Subs'!$E$139:$E$151,0),MATCH($H211,'TaxCred&amp;Subs'!$K$137:$S$137,0)),0),IF($C211=2,N211*IFERROR(INDEX('TaxCred&amp;Subs'!$K$139:$S$151,MATCH($C211&amp;$D211,'TaxCred&amp;Subs'!$D$139:$D$151,0),MATCH($H211,'TaxCred&amp;Subs'!$K$137:$S$137,0)),0),N211*IFERROR(INDEX('TaxCred&amp;Subs'!$K$139:$S$151,MATCH($C211&amp;$D211,'TaxCred&amp;Subs'!$C$139:$C$151,0),MATCH($H211,'TaxCred&amp;Subs'!$K$137:$S$137,0)),0))),0),0)</f>
        <v>0</v>
      </c>
      <c r="S211" s="95">
        <f t="array" ref="S211">ROUND(IF(IFERROR(VALUE(RIGHT($AD211,1)),0)&gt;2,IF($C211=8,O211*IFERROR(INDEX('TaxCred&amp;Subs'!$K$139:$S$151,MATCH($C211&amp;$D211&amp;LEFT($AD211,7),'TaxCred&amp;Subs'!$E$139:$E$151,0),MATCH($H211,'TaxCred&amp;Subs'!$K$137:$S$137,0)),0),IF($C211=2,O211*IFERROR(INDEX('TaxCred&amp;Subs'!$K$139:$S$151,MATCH($C211&amp;$D211,'TaxCred&amp;Subs'!$D$139:$D$151,0),MATCH($H211,'TaxCred&amp;Subs'!$K$137:$S$137,0)),0),O211*IFERROR(INDEX('TaxCred&amp;Subs'!$K$139:$S$151,MATCH($C211&amp;$D211,'TaxCred&amp;Subs'!$C$139:$C$151,0),MATCH($H211,'TaxCred&amp;Subs'!$K$137:$S$137,0)),0))),0),0)</f>
        <v>0</v>
      </c>
      <c r="T211" s="95">
        <f t="shared" si="11"/>
        <v>0</v>
      </c>
      <c r="U211" s="95">
        <f t="shared" si="12"/>
        <v>0</v>
      </c>
      <c r="V211" s="28" t="s">
        <v>222</v>
      </c>
      <c r="W211" s="31">
        <v>2020</v>
      </c>
      <c r="X211" s="28">
        <v>1</v>
      </c>
      <c r="Y211" s="28">
        <v>0</v>
      </c>
      <c r="Z211" s="196">
        <v>-2.0672359327549421E-4</v>
      </c>
      <c r="AA211" s="196">
        <v>-3.1803629734691416E-3</v>
      </c>
      <c r="AB211" s="28">
        <v>0</v>
      </c>
      <c r="AC211" s="28">
        <v>0</v>
      </c>
      <c r="AD211" s="28" t="s">
        <v>325</v>
      </c>
    </row>
    <row r="212" spans="2:31" ht="14.25" customHeight="1" x14ac:dyDescent="0.2">
      <c r="B212" s="7">
        <f t="shared" si="10"/>
        <v>188</v>
      </c>
      <c r="C212" s="28">
        <v>1</v>
      </c>
      <c r="D212" s="28">
        <v>6</v>
      </c>
      <c r="E212" s="28">
        <v>20</v>
      </c>
      <c r="F212" s="78">
        <v>2022</v>
      </c>
      <c r="G212" s="31">
        <v>2028</v>
      </c>
      <c r="H212" s="28">
        <v>8</v>
      </c>
      <c r="I212" s="28">
        <v>20</v>
      </c>
      <c r="J212" s="28">
        <v>0</v>
      </c>
      <c r="K212" s="28">
        <v>0</v>
      </c>
      <c r="L212" s="28">
        <v>0</v>
      </c>
      <c r="M212" s="75">
        <v>0.9</v>
      </c>
      <c r="N212" s="151">
        <v>4130</v>
      </c>
      <c r="O212" s="151">
        <v>1200</v>
      </c>
      <c r="P212" s="95">
        <f t="array" ref="P212">ROUND(IF($F212&lt;='TaxCred&amp;Subs'!$C$49,(IF($C212=2,IF($M212&gt;=IFERROR(INDEX('TaxCred&amp;Subs'!$L$12:$L$47,MATCH(1,($C212&amp;$D212='TaxCred&amp;Subs'!$E$12:$E$47)*($F212='TaxCred&amp;Subs'!$C$12:$C$47),0)
),9999),IFERROR(INDEX('TaxCred&amp;Subs'!$N$12:$N$47,MATCH(1,($C212&amp;$D212='TaxCred&amp;Subs'!$E$12:$E$47)*($F212='TaxCred&amp;Subs'!$C$12:$C$47),0)
),0),0),(IF($M212&gt;=IFERROR(INDEX('TaxCred&amp;Subs'!$H$12:$H$47,MATCH(1,($C212&amp;$D212='TaxCred&amp;Subs'!$D$12:$D$47)*($F212='TaxCred&amp;Subs'!$C$12:$C$47),0)
),9999),IFERROR(INDEX('TaxCred&amp;Subs'!$N$12:$N$47,MATCH(1,($C212&amp;$D212='TaxCred&amp;Subs'!$D$12:$D$47)*($F212='TaxCred&amp;Subs'!$C$12:$C$47),0)
),0),0)))),0)+IF(AND($C212=2,VALUE(RIGHT($AD212,1))&gt;2),(N212-R212)*(IFERROR(INDEX('TaxCred&amp;Subs'!$J$66:$J$99,MATCH(1,($C212&amp;$D212='TaxCred&amp;Subs'!$E$66:$E$99)*($F212='TaxCred&amp;Subs'!$C$66:$C$99),0)),0)),IF(AND($C212=1,VALUE(RIGHT($AD212,1))&gt;2),(N212-R212)*(IFERROR(INDEX('TaxCred&amp;Subs'!$J$66:$J$99,MATCH(1,($C212&amp;$D212='TaxCred&amp;Subs'!$D$66:$D$99)*($F212='TaxCred&amp;Subs'!$C$66:$C$99),0)),0)),IF($C212&gt;2,(N212-R212)*(IFERROR(INDEX('TaxCred&amp;Subs'!$J$66:$J$99,MATCH(1,($C212&amp;$D212='TaxCred&amp;Subs'!$D$66:$D$99)*($F212='TaxCred&amp;Subs'!$C$66:$C$99),0)),0)),0))),0)</f>
        <v>0</v>
      </c>
      <c r="Q212" s="95">
        <f t="array" ref="Q212">ROUND(IF(AND($C212=2,VALUE(RIGHT($AD212,1))&gt;2),(O212-S212)*(IFERROR(INDEX('TaxCred&amp;Subs'!$J$66:$J$99,MATCH(1,($C212&amp;$D212='TaxCred&amp;Subs'!$E$66:$E$99)*($F212='TaxCred&amp;Subs'!$C$66:$C$99),0)),0)),IF(AND($C212=1,VALUE(RIGHT($AD212,1))&gt;2),(O212-S212)*(IFERROR(INDEX('TaxCred&amp;Subs'!$J$66:$J$99,MATCH(1,($C212&amp;$D212='TaxCred&amp;Subs'!$D$66:$D$99)*($F212='TaxCred&amp;Subs'!$C$66:$C$99),0)),0)),IF($C212&gt;2,(O212-S212)*(IFERROR(INDEX('TaxCred&amp;Subs'!$J$66:$J$99,MATCH(1,($C212&amp;$D212='TaxCred&amp;Subs'!$D$66:$D$99)*($F212='TaxCred&amp;Subs'!$C$66:$C$99),0)),0)),0))),0)</f>
        <v>0</v>
      </c>
      <c r="R212" s="95">
        <f t="array" ref="R212">ROUND(IF(IFERROR(VALUE(RIGHT($AD212,1)),0)&gt;2,IF($C212=8,N212*IFERROR(INDEX('TaxCred&amp;Subs'!$K$139:$S$151,MATCH($C212&amp;$D212&amp;LEFT($AD212,7),'TaxCred&amp;Subs'!$E$139:$E$151,0),MATCH($H212,'TaxCred&amp;Subs'!$K$137:$S$137,0)),0),IF($C212=2,N212*IFERROR(INDEX('TaxCred&amp;Subs'!$K$139:$S$151,MATCH($C212&amp;$D212,'TaxCred&amp;Subs'!$D$139:$D$151,0),MATCH($H212,'TaxCred&amp;Subs'!$K$137:$S$137,0)),0),N212*IFERROR(INDEX('TaxCred&amp;Subs'!$K$139:$S$151,MATCH($C212&amp;$D212,'TaxCred&amp;Subs'!$C$139:$C$151,0),MATCH($H212,'TaxCred&amp;Subs'!$K$137:$S$137,0)),0))),0),0)</f>
        <v>0</v>
      </c>
      <c r="S212" s="95">
        <f t="array" ref="S212">ROUND(IF(IFERROR(VALUE(RIGHT($AD212,1)),0)&gt;2,IF($C212=8,O212*IFERROR(INDEX('TaxCred&amp;Subs'!$K$139:$S$151,MATCH($C212&amp;$D212&amp;LEFT($AD212,7),'TaxCred&amp;Subs'!$E$139:$E$151,0),MATCH($H212,'TaxCred&amp;Subs'!$K$137:$S$137,0)),0),IF($C212=2,O212*IFERROR(INDEX('TaxCred&amp;Subs'!$K$139:$S$151,MATCH($C212&amp;$D212,'TaxCred&amp;Subs'!$D$139:$D$151,0),MATCH($H212,'TaxCred&amp;Subs'!$K$137:$S$137,0)),0),O212*IFERROR(INDEX('TaxCred&amp;Subs'!$K$139:$S$151,MATCH($C212&amp;$D212,'TaxCred&amp;Subs'!$C$139:$C$151,0),MATCH($H212,'TaxCred&amp;Subs'!$K$137:$S$137,0)),0))),0),0)</f>
        <v>0</v>
      </c>
      <c r="T212" s="95">
        <f t="shared" si="11"/>
        <v>0</v>
      </c>
      <c r="U212" s="95">
        <f t="shared" si="12"/>
        <v>0</v>
      </c>
      <c r="V212" s="28" t="s">
        <v>222</v>
      </c>
      <c r="W212" s="31">
        <v>2020</v>
      </c>
      <c r="X212" s="28">
        <v>1</v>
      </c>
      <c r="Y212" s="28">
        <v>0</v>
      </c>
      <c r="Z212" s="196">
        <v>-2.0672359327549421E-4</v>
      </c>
      <c r="AA212" s="196">
        <v>-3.1803629734691416E-3</v>
      </c>
      <c r="AB212" s="28">
        <v>0</v>
      </c>
      <c r="AC212" s="28">
        <v>0</v>
      </c>
      <c r="AD212" s="28" t="s">
        <v>325</v>
      </c>
    </row>
    <row r="213" spans="2:31" ht="14.25" customHeight="1" x14ac:dyDescent="0.2">
      <c r="B213" s="7">
        <f t="shared" si="10"/>
        <v>189</v>
      </c>
      <c r="C213" s="28">
        <v>1</v>
      </c>
      <c r="D213" s="28">
        <v>6</v>
      </c>
      <c r="E213" s="28">
        <v>20</v>
      </c>
      <c r="F213" s="78">
        <v>2022</v>
      </c>
      <c r="G213" s="31">
        <v>2028</v>
      </c>
      <c r="H213" s="28">
        <v>9</v>
      </c>
      <c r="I213" s="28">
        <v>20</v>
      </c>
      <c r="J213" s="28">
        <v>0</v>
      </c>
      <c r="K213" s="28">
        <v>0</v>
      </c>
      <c r="L213" s="28">
        <v>0</v>
      </c>
      <c r="M213" s="75">
        <v>0.9</v>
      </c>
      <c r="N213" s="151">
        <v>4130</v>
      </c>
      <c r="O213" s="151">
        <v>1200</v>
      </c>
      <c r="P213" s="95">
        <f t="array" ref="P213">ROUND(IF($F213&lt;='TaxCred&amp;Subs'!$C$49,(IF($C213=2,IF($M213&gt;=IFERROR(INDEX('TaxCred&amp;Subs'!$L$12:$L$47,MATCH(1,($C213&amp;$D213='TaxCred&amp;Subs'!$E$12:$E$47)*($F213='TaxCred&amp;Subs'!$C$12:$C$47),0)
),9999),IFERROR(INDEX('TaxCred&amp;Subs'!$N$12:$N$47,MATCH(1,($C213&amp;$D213='TaxCred&amp;Subs'!$E$12:$E$47)*($F213='TaxCred&amp;Subs'!$C$12:$C$47),0)
),0),0),(IF($M213&gt;=IFERROR(INDEX('TaxCred&amp;Subs'!$H$12:$H$47,MATCH(1,($C213&amp;$D213='TaxCred&amp;Subs'!$D$12:$D$47)*($F213='TaxCred&amp;Subs'!$C$12:$C$47),0)
),9999),IFERROR(INDEX('TaxCred&amp;Subs'!$N$12:$N$47,MATCH(1,($C213&amp;$D213='TaxCred&amp;Subs'!$D$12:$D$47)*($F213='TaxCred&amp;Subs'!$C$12:$C$47),0)
),0),0)))),0)+IF(AND($C213=2,VALUE(RIGHT($AD213,1))&gt;2),(N213-R213)*(IFERROR(INDEX('TaxCred&amp;Subs'!$J$66:$J$99,MATCH(1,($C213&amp;$D213='TaxCred&amp;Subs'!$E$66:$E$99)*($F213='TaxCred&amp;Subs'!$C$66:$C$99),0)),0)),IF(AND($C213=1,VALUE(RIGHT($AD213,1))&gt;2),(N213-R213)*(IFERROR(INDEX('TaxCred&amp;Subs'!$J$66:$J$99,MATCH(1,($C213&amp;$D213='TaxCred&amp;Subs'!$D$66:$D$99)*($F213='TaxCred&amp;Subs'!$C$66:$C$99),0)),0)),IF($C213&gt;2,(N213-R213)*(IFERROR(INDEX('TaxCred&amp;Subs'!$J$66:$J$99,MATCH(1,($C213&amp;$D213='TaxCred&amp;Subs'!$D$66:$D$99)*($F213='TaxCred&amp;Subs'!$C$66:$C$99),0)),0)),0))),0)</f>
        <v>0</v>
      </c>
      <c r="Q213" s="95">
        <f t="array" ref="Q213">ROUND(IF(AND($C213=2,VALUE(RIGHT($AD213,1))&gt;2),(O213-S213)*(IFERROR(INDEX('TaxCred&amp;Subs'!$J$66:$J$99,MATCH(1,($C213&amp;$D213='TaxCred&amp;Subs'!$E$66:$E$99)*($F213='TaxCred&amp;Subs'!$C$66:$C$99),0)),0)),IF(AND($C213=1,VALUE(RIGHT($AD213,1))&gt;2),(O213-S213)*(IFERROR(INDEX('TaxCred&amp;Subs'!$J$66:$J$99,MATCH(1,($C213&amp;$D213='TaxCred&amp;Subs'!$D$66:$D$99)*($F213='TaxCred&amp;Subs'!$C$66:$C$99),0)),0)),IF($C213&gt;2,(O213-S213)*(IFERROR(INDEX('TaxCred&amp;Subs'!$J$66:$J$99,MATCH(1,($C213&amp;$D213='TaxCred&amp;Subs'!$D$66:$D$99)*($F213='TaxCred&amp;Subs'!$C$66:$C$99),0)),0)),0))),0)</f>
        <v>0</v>
      </c>
      <c r="R213" s="95">
        <f t="array" ref="R213">ROUND(IF(IFERROR(VALUE(RIGHT($AD213,1)),0)&gt;2,IF($C213=8,N213*IFERROR(INDEX('TaxCred&amp;Subs'!$K$139:$S$151,MATCH($C213&amp;$D213&amp;LEFT($AD213,7),'TaxCred&amp;Subs'!$E$139:$E$151,0),MATCH($H213,'TaxCred&amp;Subs'!$K$137:$S$137,0)),0),IF($C213=2,N213*IFERROR(INDEX('TaxCred&amp;Subs'!$K$139:$S$151,MATCH($C213&amp;$D213,'TaxCred&amp;Subs'!$D$139:$D$151,0),MATCH($H213,'TaxCred&amp;Subs'!$K$137:$S$137,0)),0),N213*IFERROR(INDEX('TaxCred&amp;Subs'!$K$139:$S$151,MATCH($C213&amp;$D213,'TaxCred&amp;Subs'!$C$139:$C$151,0),MATCH($H213,'TaxCred&amp;Subs'!$K$137:$S$137,0)),0))),0),0)</f>
        <v>0</v>
      </c>
      <c r="S213" s="95">
        <f t="array" ref="S213">ROUND(IF(IFERROR(VALUE(RIGHT($AD213,1)),0)&gt;2,IF($C213=8,O213*IFERROR(INDEX('TaxCred&amp;Subs'!$K$139:$S$151,MATCH($C213&amp;$D213&amp;LEFT($AD213,7),'TaxCred&amp;Subs'!$E$139:$E$151,0),MATCH($H213,'TaxCred&amp;Subs'!$K$137:$S$137,0)),0),IF($C213=2,O213*IFERROR(INDEX('TaxCred&amp;Subs'!$K$139:$S$151,MATCH($C213&amp;$D213,'TaxCred&amp;Subs'!$D$139:$D$151,0),MATCH($H213,'TaxCred&amp;Subs'!$K$137:$S$137,0)),0),O213*IFERROR(INDEX('TaxCred&amp;Subs'!$K$139:$S$151,MATCH($C213&amp;$D213,'TaxCred&amp;Subs'!$C$139:$C$151,0),MATCH($H213,'TaxCred&amp;Subs'!$K$137:$S$137,0)),0))),0),0)</f>
        <v>0</v>
      </c>
      <c r="T213" s="95">
        <f t="shared" si="11"/>
        <v>0</v>
      </c>
      <c r="U213" s="95">
        <f t="shared" si="12"/>
        <v>0</v>
      </c>
      <c r="V213" s="28" t="s">
        <v>222</v>
      </c>
      <c r="W213" s="31">
        <v>2020</v>
      </c>
      <c r="X213" s="28">
        <v>1</v>
      </c>
      <c r="Y213" s="28">
        <v>0</v>
      </c>
      <c r="Z213" s="196">
        <v>-2.0672359327549421E-4</v>
      </c>
      <c r="AA213" s="196">
        <v>-3.1803629734691416E-3</v>
      </c>
      <c r="AB213" s="28">
        <v>0</v>
      </c>
      <c r="AC213" s="28">
        <v>0</v>
      </c>
      <c r="AD213" s="28" t="s">
        <v>325</v>
      </c>
    </row>
    <row r="214" spans="2:31" ht="14.25" customHeight="1" x14ac:dyDescent="0.2">
      <c r="B214" s="7">
        <f t="shared" si="10"/>
        <v>190</v>
      </c>
      <c r="C214" s="28">
        <v>1</v>
      </c>
      <c r="D214" s="28">
        <v>6</v>
      </c>
      <c r="E214" s="28">
        <v>20</v>
      </c>
      <c r="F214" s="96">
        <v>2029</v>
      </c>
      <c r="G214" s="28">
        <v>2050</v>
      </c>
      <c r="H214" s="31">
        <v>11</v>
      </c>
      <c r="I214" s="28">
        <v>20</v>
      </c>
      <c r="J214" s="28">
        <v>0</v>
      </c>
      <c r="K214" s="28">
        <v>0</v>
      </c>
      <c r="L214" s="28">
        <v>0</v>
      </c>
      <c r="M214" s="75">
        <v>0.95</v>
      </c>
      <c r="N214" s="151">
        <v>4150</v>
      </c>
      <c r="O214" s="151">
        <v>1220</v>
      </c>
      <c r="P214" s="95">
        <f t="array" ref="P214">ROUND(IF($F214&lt;='TaxCred&amp;Subs'!$C$49,(IF($C214=2,IF($M214&gt;=IFERROR(INDEX('TaxCred&amp;Subs'!$L$12:$L$47,MATCH(1,($C214&amp;$D214='TaxCred&amp;Subs'!$E$12:$E$47)*($F214='TaxCred&amp;Subs'!$C$12:$C$47),0)
),9999),IFERROR(INDEX('TaxCred&amp;Subs'!$N$12:$N$47,MATCH(1,($C214&amp;$D214='TaxCred&amp;Subs'!$E$12:$E$47)*($F214='TaxCred&amp;Subs'!$C$12:$C$47),0)
),0),0),(IF($M214&gt;=IFERROR(INDEX('TaxCred&amp;Subs'!$H$12:$H$47,MATCH(1,($C214&amp;$D214='TaxCred&amp;Subs'!$D$12:$D$47)*($F214='TaxCred&amp;Subs'!$C$12:$C$47),0)
),9999),IFERROR(INDEX('TaxCred&amp;Subs'!$N$12:$N$47,MATCH(1,($C214&amp;$D214='TaxCred&amp;Subs'!$D$12:$D$47)*($F214='TaxCred&amp;Subs'!$C$12:$C$47),0)
),0),0)))),0)+IF(AND($C214=2,VALUE(RIGHT($AD214,1))&gt;2),(N214-R214)*(IFERROR(INDEX('TaxCred&amp;Subs'!$J$66:$J$99,MATCH(1,($C214&amp;$D214='TaxCred&amp;Subs'!$E$66:$E$99)*($F214='TaxCred&amp;Subs'!$C$66:$C$99),0)),0)),IF(AND($C214=1,VALUE(RIGHT($AD214,1))&gt;2),(N214-R214)*(IFERROR(INDEX('TaxCred&amp;Subs'!$J$66:$J$99,MATCH(1,($C214&amp;$D214='TaxCred&amp;Subs'!$D$66:$D$99)*($F214='TaxCred&amp;Subs'!$C$66:$C$99),0)),0)),IF($C214&gt;2,(N214-R214)*(IFERROR(INDEX('TaxCred&amp;Subs'!$J$66:$J$99,MATCH(1,($C214&amp;$D214='TaxCred&amp;Subs'!$D$66:$D$99)*($F214='TaxCred&amp;Subs'!$C$66:$C$99),0)),0)),0))),0)</f>
        <v>0</v>
      </c>
      <c r="Q214" s="95">
        <f t="array" ref="Q214">ROUND(IF(AND($C214=2,VALUE(RIGHT($AD214,1))&gt;2),(O214-S214)*(IFERROR(INDEX('TaxCred&amp;Subs'!$J$66:$J$99,MATCH(1,($C214&amp;$D214='TaxCred&amp;Subs'!$E$66:$E$99)*($F214='TaxCred&amp;Subs'!$C$66:$C$99),0)),0)),IF(AND($C214=1,VALUE(RIGHT($AD214,1))&gt;2),(O214-S214)*(IFERROR(INDEX('TaxCred&amp;Subs'!$J$66:$J$99,MATCH(1,($C214&amp;$D214='TaxCred&amp;Subs'!$D$66:$D$99)*($F214='TaxCred&amp;Subs'!$C$66:$C$99),0)),0)),IF($C214&gt;2,(O214-S214)*(IFERROR(INDEX('TaxCred&amp;Subs'!$J$66:$J$99,MATCH(1,($C214&amp;$D214='TaxCred&amp;Subs'!$D$66:$D$99)*($F214='TaxCred&amp;Subs'!$C$66:$C$99),0)),0)),0))),0)</f>
        <v>0</v>
      </c>
      <c r="R214" s="95">
        <f t="array" ref="R214">ROUND(IF(IFERROR(VALUE(RIGHT($AD214,1)),0)&gt;2,IF($C214=8,N214*IFERROR(INDEX('TaxCred&amp;Subs'!$K$139:$S$151,MATCH($C214&amp;$D214&amp;LEFT($AD214,7),'TaxCred&amp;Subs'!$E$139:$E$151,0),MATCH($H214,'TaxCred&amp;Subs'!$K$137:$S$137,0)),0),IF($C214=2,N214*IFERROR(INDEX('TaxCred&amp;Subs'!$K$139:$S$151,MATCH($C214&amp;$D214,'TaxCred&amp;Subs'!$D$139:$D$151,0),MATCH($H214,'TaxCred&amp;Subs'!$K$137:$S$137,0)),0),N214*IFERROR(INDEX('TaxCred&amp;Subs'!$K$139:$S$151,MATCH($C214&amp;$D214,'TaxCred&amp;Subs'!$C$139:$C$151,0),MATCH($H214,'TaxCred&amp;Subs'!$K$137:$S$137,0)),0))),0),0)</f>
        <v>0</v>
      </c>
      <c r="S214" s="95">
        <f t="array" ref="S214">ROUND(IF(IFERROR(VALUE(RIGHT($AD214,1)),0)&gt;2,IF($C214=8,O214*IFERROR(INDEX('TaxCred&amp;Subs'!$K$139:$S$151,MATCH($C214&amp;$D214&amp;LEFT($AD214,7),'TaxCred&amp;Subs'!$E$139:$E$151,0),MATCH($H214,'TaxCred&amp;Subs'!$K$137:$S$137,0)),0),IF($C214=2,O214*IFERROR(INDEX('TaxCred&amp;Subs'!$K$139:$S$151,MATCH($C214&amp;$D214,'TaxCred&amp;Subs'!$D$139:$D$151,0),MATCH($H214,'TaxCred&amp;Subs'!$K$137:$S$137,0)),0),O214*IFERROR(INDEX('TaxCred&amp;Subs'!$K$139:$S$151,MATCH($C214&amp;$D214,'TaxCred&amp;Subs'!$C$139:$C$151,0),MATCH($H214,'TaxCred&amp;Subs'!$K$137:$S$137,0)),0))),0),0)</f>
        <v>0</v>
      </c>
      <c r="T214" s="95">
        <f t="shared" si="11"/>
        <v>0</v>
      </c>
      <c r="U214" s="95">
        <f t="shared" si="12"/>
        <v>0</v>
      </c>
      <c r="V214" s="28" t="s">
        <v>222</v>
      </c>
      <c r="W214" s="31">
        <v>2020</v>
      </c>
      <c r="X214" s="28">
        <v>1</v>
      </c>
      <c r="Y214" s="28">
        <v>0</v>
      </c>
      <c r="Z214" s="228">
        <v>-1</v>
      </c>
      <c r="AA214" s="228">
        <v>-1</v>
      </c>
      <c r="AB214" s="28">
        <v>0</v>
      </c>
      <c r="AC214" s="28">
        <v>0</v>
      </c>
      <c r="AD214" s="28" t="s">
        <v>325</v>
      </c>
      <c r="AE214" s="44" t="s">
        <v>503</v>
      </c>
    </row>
    <row r="215" spans="2:31" x14ac:dyDescent="0.2">
      <c r="B215" s="7">
        <f t="shared" si="10"/>
        <v>191</v>
      </c>
      <c r="C215" s="28">
        <v>1</v>
      </c>
      <c r="D215" s="28">
        <v>6</v>
      </c>
      <c r="E215" s="28">
        <v>21</v>
      </c>
      <c r="F215" s="96">
        <v>2020</v>
      </c>
      <c r="G215" s="28">
        <v>2021</v>
      </c>
      <c r="H215" s="28">
        <v>11</v>
      </c>
      <c r="I215" s="28">
        <v>21</v>
      </c>
      <c r="J215" s="28">
        <v>0</v>
      </c>
      <c r="K215" s="28">
        <v>0</v>
      </c>
      <c r="L215" s="28">
        <v>0</v>
      </c>
      <c r="M215" s="75">
        <v>0.99</v>
      </c>
      <c r="N215" s="151">
        <v>4320</v>
      </c>
      <c r="O215" s="151">
        <v>1390</v>
      </c>
      <c r="P215" s="95">
        <f t="array" ref="P215">ROUND(IF($F215&lt;='TaxCred&amp;Subs'!$C$49,(IF($C215=2,IF($M215&gt;=IFERROR(INDEX('TaxCred&amp;Subs'!$L$12:$L$47,MATCH(1,($C215&amp;$D215='TaxCred&amp;Subs'!$E$12:$E$47)*($F215='TaxCred&amp;Subs'!$C$12:$C$47),0)
),9999),IFERROR(INDEX('TaxCred&amp;Subs'!$N$12:$N$47,MATCH(1,($C215&amp;$D215='TaxCred&amp;Subs'!$E$12:$E$47)*($F215='TaxCred&amp;Subs'!$C$12:$C$47),0)
),0),0),(IF($M215&gt;=IFERROR(INDEX('TaxCred&amp;Subs'!$H$12:$H$47,MATCH(1,($C215&amp;$D215='TaxCred&amp;Subs'!$D$12:$D$47)*($F215='TaxCred&amp;Subs'!$C$12:$C$47),0)
),9999),IFERROR(INDEX('TaxCred&amp;Subs'!$N$12:$N$47,MATCH(1,($C215&amp;$D215='TaxCred&amp;Subs'!$D$12:$D$47)*($F215='TaxCred&amp;Subs'!$C$12:$C$47),0)
),0),0)))),0)+IF(AND($C215=2,VALUE(RIGHT($AD215,1))&gt;2),(N215-R215)*(IFERROR(INDEX('TaxCred&amp;Subs'!$J$66:$J$99,MATCH(1,($C215&amp;$D215='TaxCred&amp;Subs'!$E$66:$E$99)*($F215='TaxCred&amp;Subs'!$C$66:$C$99),0)),0)),IF(AND($C215=1,VALUE(RIGHT($AD215,1))&gt;2),(N215-R215)*(IFERROR(INDEX('TaxCred&amp;Subs'!$J$66:$J$99,MATCH(1,($C215&amp;$D215='TaxCred&amp;Subs'!$D$66:$D$99)*($F215='TaxCred&amp;Subs'!$C$66:$C$99),0)),0)),IF($C215&gt;2,(N215-R215)*(IFERROR(INDEX('TaxCred&amp;Subs'!$J$66:$J$99,MATCH(1,($C215&amp;$D215='TaxCred&amp;Subs'!$D$66:$D$99)*($F215='TaxCred&amp;Subs'!$C$66:$C$99),0)),0)),0))),0)</f>
        <v>150</v>
      </c>
      <c r="Q215" s="95">
        <f t="array" ref="Q215">ROUND(IF(AND($C215=2,VALUE(RIGHT($AD215,1))&gt;2),(O215-S215)*(IFERROR(INDEX('TaxCred&amp;Subs'!$J$66:$J$99,MATCH(1,($C215&amp;$D215='TaxCred&amp;Subs'!$E$66:$E$99)*($F215='TaxCred&amp;Subs'!$C$66:$C$99),0)),0)),IF(AND($C215=1,VALUE(RIGHT($AD215,1))&gt;2),(O215-S215)*(IFERROR(INDEX('TaxCred&amp;Subs'!$J$66:$J$99,MATCH(1,($C215&amp;$D215='TaxCred&amp;Subs'!$D$66:$D$99)*($F215='TaxCred&amp;Subs'!$C$66:$C$99),0)),0)),IF($C215&gt;2,(O215-S215)*(IFERROR(INDEX('TaxCred&amp;Subs'!$J$66:$J$99,MATCH(1,($C215&amp;$D215='TaxCred&amp;Subs'!$D$66:$D$99)*($F215='TaxCred&amp;Subs'!$C$66:$C$99),0)),0)),0))),0)</f>
        <v>0</v>
      </c>
      <c r="R215" s="95">
        <f t="array" ref="R215">ROUND(IF(IFERROR(VALUE(RIGHT($AD215,1)),0)&gt;2,IF($C215=8,N215*IFERROR(INDEX('TaxCred&amp;Subs'!$K$139:$S$151,MATCH($C215&amp;$D215&amp;LEFT($AD215,7),'TaxCred&amp;Subs'!$E$139:$E$151,0),MATCH($H215,'TaxCred&amp;Subs'!$K$137:$S$137,0)),0),IF($C215=2,N215*IFERROR(INDEX('TaxCred&amp;Subs'!$K$139:$S$151,MATCH($C215&amp;$D215,'TaxCred&amp;Subs'!$D$139:$D$151,0),MATCH($H215,'TaxCred&amp;Subs'!$K$137:$S$137,0)),0),N215*IFERROR(INDEX('TaxCred&amp;Subs'!$K$139:$S$151,MATCH($C215&amp;$D215,'TaxCred&amp;Subs'!$C$139:$C$151,0),MATCH($H215,'TaxCred&amp;Subs'!$K$137:$S$137,0)),0))),0),0)</f>
        <v>0</v>
      </c>
      <c r="S215" s="95">
        <f t="array" ref="S215">ROUND(IF(IFERROR(VALUE(RIGHT($AD215,1)),0)&gt;2,IF($C215=8,O215*IFERROR(INDEX('TaxCred&amp;Subs'!$K$139:$S$151,MATCH($C215&amp;$D215&amp;LEFT($AD215,7),'TaxCred&amp;Subs'!$E$139:$E$151,0),MATCH($H215,'TaxCred&amp;Subs'!$K$137:$S$137,0)),0),IF($C215=2,O215*IFERROR(INDEX('TaxCred&amp;Subs'!$K$139:$S$151,MATCH($C215&amp;$D215,'TaxCred&amp;Subs'!$D$139:$D$151,0),MATCH($H215,'TaxCred&amp;Subs'!$K$137:$S$137,0)),0),O215*IFERROR(INDEX('TaxCred&amp;Subs'!$K$139:$S$151,MATCH($C215&amp;$D215,'TaxCred&amp;Subs'!$C$139:$C$151,0),MATCH($H215,'TaxCred&amp;Subs'!$K$137:$S$137,0)),0))),0),0)</f>
        <v>0</v>
      </c>
      <c r="T215" s="95">
        <f t="shared" ref="T215:T276" si="15">IF($H215=9,IF(R215&gt;0,(N215-P215)*0.15,0),0)</f>
        <v>0</v>
      </c>
      <c r="U215" s="95">
        <f t="shared" ref="U215:U276" si="16">IF($H215=9,IF(S215&gt;0,(O215-Q215)*0.15,0),0)</f>
        <v>0</v>
      </c>
      <c r="V215" s="28" t="s">
        <v>222</v>
      </c>
      <c r="W215" s="31">
        <v>2020</v>
      </c>
      <c r="X215" s="28">
        <v>1</v>
      </c>
      <c r="Y215" s="28">
        <v>0</v>
      </c>
      <c r="Z215" s="196">
        <v>-2.0672359327549421E-4</v>
      </c>
      <c r="AA215" s="196">
        <v>-3.1803629734691416E-3</v>
      </c>
      <c r="AB215" s="28">
        <v>0</v>
      </c>
      <c r="AC215" s="28">
        <v>0</v>
      </c>
      <c r="AD215" s="28" t="s">
        <v>326</v>
      </c>
    </row>
    <row r="216" spans="2:31" ht="14.25" customHeight="1" x14ac:dyDescent="0.2">
      <c r="B216" s="7">
        <f t="shared" si="10"/>
        <v>192</v>
      </c>
      <c r="C216" s="28">
        <v>1</v>
      </c>
      <c r="D216" s="28">
        <v>6</v>
      </c>
      <c r="E216" s="28">
        <v>21</v>
      </c>
      <c r="F216" s="78">
        <v>2022</v>
      </c>
      <c r="G216" s="28">
        <v>2032</v>
      </c>
      <c r="H216" s="28">
        <v>11</v>
      </c>
      <c r="I216" s="28">
        <v>21</v>
      </c>
      <c r="J216" s="28">
        <v>0</v>
      </c>
      <c r="K216" s="28">
        <v>0</v>
      </c>
      <c r="L216" s="28">
        <v>0</v>
      </c>
      <c r="M216" s="75">
        <v>0.99</v>
      </c>
      <c r="N216" s="151">
        <v>4320</v>
      </c>
      <c r="O216" s="151">
        <v>1390</v>
      </c>
      <c r="P216" s="95">
        <f t="array" ref="P216">ROUND(IF($F216&lt;='TaxCred&amp;Subs'!$C$49,(IF($C216=2,IF($M216&gt;=IFERROR(INDEX('TaxCred&amp;Subs'!$L$12:$L$47,MATCH(1,($C216&amp;$D216='TaxCred&amp;Subs'!$E$12:$E$47)*($F216='TaxCred&amp;Subs'!$C$12:$C$47),0)
),9999),IFERROR(INDEX('TaxCred&amp;Subs'!$N$12:$N$47,MATCH(1,($C216&amp;$D216='TaxCred&amp;Subs'!$E$12:$E$47)*($F216='TaxCred&amp;Subs'!$C$12:$C$47),0)
),0),0),(IF($M216&gt;=IFERROR(INDEX('TaxCred&amp;Subs'!$H$12:$H$47,MATCH(1,($C216&amp;$D216='TaxCred&amp;Subs'!$D$12:$D$47)*($F216='TaxCred&amp;Subs'!$C$12:$C$47),0)
),9999),IFERROR(INDEX('TaxCred&amp;Subs'!$N$12:$N$47,MATCH(1,($C216&amp;$D216='TaxCred&amp;Subs'!$D$12:$D$47)*($F216='TaxCred&amp;Subs'!$C$12:$C$47),0)
),0),0)))),0)+IF(AND($C216=2,VALUE(RIGHT($AD216,1))&gt;2),(N216-R216)*(IFERROR(INDEX('TaxCred&amp;Subs'!$J$66:$J$99,MATCH(1,($C216&amp;$D216='TaxCred&amp;Subs'!$E$66:$E$99)*($F216='TaxCred&amp;Subs'!$C$66:$C$99),0)),0)),IF(AND($C216=1,VALUE(RIGHT($AD216,1))&gt;2),(N216-R216)*(IFERROR(INDEX('TaxCred&amp;Subs'!$J$66:$J$99,MATCH(1,($C216&amp;$D216='TaxCred&amp;Subs'!$D$66:$D$99)*($F216='TaxCred&amp;Subs'!$C$66:$C$99),0)),0)),IF($C216&gt;2,(N216-R216)*(IFERROR(INDEX('TaxCred&amp;Subs'!$J$66:$J$99,MATCH(1,($C216&amp;$D216='TaxCred&amp;Subs'!$D$66:$D$99)*($F216='TaxCred&amp;Subs'!$C$66:$C$99),0)),0)),0))),0)</f>
        <v>600</v>
      </c>
      <c r="Q216" s="95">
        <f t="array" ref="Q216">ROUND(IF(AND($C216=2,VALUE(RIGHT($AD216,1))&gt;2),(O216-S216)*(IFERROR(INDEX('TaxCred&amp;Subs'!$J$66:$J$99,MATCH(1,($C216&amp;$D216='TaxCred&amp;Subs'!$E$66:$E$99)*($F216='TaxCred&amp;Subs'!$C$66:$C$99),0)),0)),IF(AND($C216=1,VALUE(RIGHT($AD216,1))&gt;2),(O216-S216)*(IFERROR(INDEX('TaxCred&amp;Subs'!$J$66:$J$99,MATCH(1,($C216&amp;$D216='TaxCred&amp;Subs'!$D$66:$D$99)*($F216='TaxCred&amp;Subs'!$C$66:$C$99),0)),0)),IF($C216&gt;2,(O216-S216)*(IFERROR(INDEX('TaxCred&amp;Subs'!$J$66:$J$99,MATCH(1,($C216&amp;$D216='TaxCred&amp;Subs'!$D$66:$D$99)*($F216='TaxCred&amp;Subs'!$C$66:$C$99),0)),0)),0))),0)</f>
        <v>0</v>
      </c>
      <c r="R216" s="95">
        <f t="array" ref="R216">ROUND(IF(IFERROR(VALUE(RIGHT($AD216,1)),0)&gt;2,IF($C216=8,N216*IFERROR(INDEX('TaxCred&amp;Subs'!$K$139:$S$151,MATCH($C216&amp;$D216&amp;LEFT($AD216,7),'TaxCred&amp;Subs'!$E$139:$E$151,0),MATCH($H216,'TaxCred&amp;Subs'!$K$137:$S$137,0)),0),IF($C216=2,N216*IFERROR(INDEX('TaxCred&amp;Subs'!$K$139:$S$151,MATCH($C216&amp;$D216,'TaxCred&amp;Subs'!$D$139:$D$151,0),MATCH($H216,'TaxCred&amp;Subs'!$K$137:$S$137,0)),0),N216*IFERROR(INDEX('TaxCred&amp;Subs'!$K$139:$S$151,MATCH($C216&amp;$D216,'TaxCred&amp;Subs'!$C$139:$C$151,0),MATCH($H216,'TaxCred&amp;Subs'!$K$137:$S$137,0)),0))),0),0)</f>
        <v>0</v>
      </c>
      <c r="S216" s="95">
        <f t="array" ref="S216">ROUND(IF(IFERROR(VALUE(RIGHT($AD216,1)),0)&gt;2,IF($C216=8,O216*IFERROR(INDEX('TaxCred&amp;Subs'!$K$139:$S$151,MATCH($C216&amp;$D216&amp;LEFT($AD216,7),'TaxCred&amp;Subs'!$E$139:$E$151,0),MATCH($H216,'TaxCred&amp;Subs'!$K$137:$S$137,0)),0),IF($C216=2,O216*IFERROR(INDEX('TaxCred&amp;Subs'!$K$139:$S$151,MATCH($C216&amp;$D216,'TaxCred&amp;Subs'!$D$139:$D$151,0),MATCH($H216,'TaxCred&amp;Subs'!$K$137:$S$137,0)),0),O216*IFERROR(INDEX('TaxCred&amp;Subs'!$K$139:$S$151,MATCH($C216&amp;$D216,'TaxCred&amp;Subs'!$C$139:$C$151,0),MATCH($H216,'TaxCred&amp;Subs'!$K$137:$S$137,0)),0))),0),0)</f>
        <v>0</v>
      </c>
      <c r="T216" s="95">
        <f t="shared" si="15"/>
        <v>0</v>
      </c>
      <c r="U216" s="95">
        <f t="shared" si="16"/>
        <v>0</v>
      </c>
      <c r="V216" s="28" t="s">
        <v>222</v>
      </c>
      <c r="W216" s="31">
        <v>2020</v>
      </c>
      <c r="X216" s="28">
        <v>1</v>
      </c>
      <c r="Y216" s="28">
        <v>0</v>
      </c>
      <c r="Z216" s="196">
        <v>-2.0672359327549421E-4</v>
      </c>
      <c r="AA216" s="196">
        <v>-3.1803629734691416E-3</v>
      </c>
      <c r="AB216" s="28">
        <v>0</v>
      </c>
      <c r="AC216" s="28">
        <v>0</v>
      </c>
      <c r="AD216" s="28" t="s">
        <v>326</v>
      </c>
    </row>
    <row r="217" spans="2:31" ht="14.25" customHeight="1" x14ac:dyDescent="0.2">
      <c r="B217" s="7">
        <f t="shared" si="10"/>
        <v>193</v>
      </c>
      <c r="C217" s="28">
        <v>1</v>
      </c>
      <c r="D217" s="28">
        <v>6</v>
      </c>
      <c r="E217" s="28">
        <v>21</v>
      </c>
      <c r="F217" s="78">
        <v>2033</v>
      </c>
      <c r="G217" s="28">
        <v>2050</v>
      </c>
      <c r="H217" s="28">
        <v>11</v>
      </c>
      <c r="I217" s="28">
        <v>21</v>
      </c>
      <c r="J217" s="28">
        <v>0</v>
      </c>
      <c r="K217" s="28">
        <v>0</v>
      </c>
      <c r="L217" s="28">
        <v>0</v>
      </c>
      <c r="M217" s="75">
        <v>0.99</v>
      </c>
      <c r="N217" s="151">
        <v>4320</v>
      </c>
      <c r="O217" s="151">
        <v>1390</v>
      </c>
      <c r="P217" s="95">
        <f t="array" ref="P217">ROUND(IF($F217&lt;='TaxCred&amp;Subs'!$C$49,(IF($C217=2,IF($M217&gt;=IFERROR(INDEX('TaxCred&amp;Subs'!$L$12:$L$47,MATCH(1,($C217&amp;$D217='TaxCred&amp;Subs'!$E$12:$E$47)*($F217='TaxCred&amp;Subs'!$C$12:$C$47),0)
),9999),IFERROR(INDEX('TaxCred&amp;Subs'!$N$12:$N$47,MATCH(1,($C217&amp;$D217='TaxCred&amp;Subs'!$E$12:$E$47)*($F217='TaxCred&amp;Subs'!$C$12:$C$47),0)
),0),0),(IF($M217&gt;=IFERROR(INDEX('TaxCred&amp;Subs'!$H$12:$H$47,MATCH(1,($C217&amp;$D217='TaxCred&amp;Subs'!$D$12:$D$47)*($F217='TaxCred&amp;Subs'!$C$12:$C$47),0)
),9999),IFERROR(INDEX('TaxCred&amp;Subs'!$N$12:$N$47,MATCH(1,($C217&amp;$D217='TaxCred&amp;Subs'!$D$12:$D$47)*($F217='TaxCred&amp;Subs'!$C$12:$C$47),0)
),0),0)))),0)+IF(AND($C217=2,VALUE(RIGHT($AD217,1))&gt;2),(N217-R217)*(IFERROR(INDEX('TaxCred&amp;Subs'!$J$66:$J$99,MATCH(1,($C217&amp;$D217='TaxCred&amp;Subs'!$E$66:$E$99)*($F217='TaxCred&amp;Subs'!$C$66:$C$99),0)),0)),IF(AND($C217=1,VALUE(RIGHT($AD217,1))&gt;2),(N217-R217)*(IFERROR(INDEX('TaxCred&amp;Subs'!$J$66:$J$99,MATCH(1,($C217&amp;$D217='TaxCred&amp;Subs'!$D$66:$D$99)*($F217='TaxCred&amp;Subs'!$C$66:$C$99),0)),0)),IF($C217&gt;2,(N217-R217)*(IFERROR(INDEX('TaxCred&amp;Subs'!$J$66:$J$99,MATCH(1,($C217&amp;$D217='TaxCred&amp;Subs'!$D$66:$D$99)*($F217='TaxCred&amp;Subs'!$C$66:$C$99),0)),0)),0))),0)</f>
        <v>0</v>
      </c>
      <c r="Q217" s="95">
        <f t="array" ref="Q217">ROUND(IF(AND($C217=2,VALUE(RIGHT($AD217,1))&gt;2),(O217-S217)*(IFERROR(INDEX('TaxCred&amp;Subs'!$J$66:$J$99,MATCH(1,($C217&amp;$D217='TaxCred&amp;Subs'!$E$66:$E$99)*($F217='TaxCred&amp;Subs'!$C$66:$C$99),0)),0)),IF(AND($C217=1,VALUE(RIGHT($AD217,1))&gt;2),(O217-S217)*(IFERROR(INDEX('TaxCred&amp;Subs'!$J$66:$J$99,MATCH(1,($C217&amp;$D217='TaxCred&amp;Subs'!$D$66:$D$99)*($F217='TaxCred&amp;Subs'!$C$66:$C$99),0)),0)),IF($C217&gt;2,(O217-S217)*(IFERROR(INDEX('TaxCred&amp;Subs'!$J$66:$J$99,MATCH(1,($C217&amp;$D217='TaxCred&amp;Subs'!$D$66:$D$99)*($F217='TaxCred&amp;Subs'!$C$66:$C$99),0)),0)),0))),0)</f>
        <v>0</v>
      </c>
      <c r="R217" s="95">
        <f t="array" ref="R217">ROUND(IF(IFERROR(VALUE(RIGHT($AD217,1)),0)&gt;2,IF($C217=8,N217*IFERROR(INDEX('TaxCred&amp;Subs'!$K$139:$S$151,MATCH($C217&amp;$D217&amp;LEFT($AD217,7),'TaxCred&amp;Subs'!$E$139:$E$151,0),MATCH($H217,'TaxCred&amp;Subs'!$K$137:$S$137,0)),0),IF($C217=2,N217*IFERROR(INDEX('TaxCred&amp;Subs'!$K$139:$S$151,MATCH($C217&amp;$D217,'TaxCred&amp;Subs'!$D$139:$D$151,0),MATCH($H217,'TaxCred&amp;Subs'!$K$137:$S$137,0)),0),N217*IFERROR(INDEX('TaxCred&amp;Subs'!$K$139:$S$151,MATCH($C217&amp;$D217,'TaxCred&amp;Subs'!$C$139:$C$151,0),MATCH($H217,'TaxCred&amp;Subs'!$K$137:$S$137,0)),0))),0),0)</f>
        <v>0</v>
      </c>
      <c r="S217" s="95">
        <f t="array" ref="S217">ROUND(IF(IFERROR(VALUE(RIGHT($AD217,1)),0)&gt;2,IF($C217=8,O217*IFERROR(INDEX('TaxCred&amp;Subs'!$K$139:$S$151,MATCH($C217&amp;$D217&amp;LEFT($AD217,7),'TaxCred&amp;Subs'!$E$139:$E$151,0),MATCH($H217,'TaxCred&amp;Subs'!$K$137:$S$137,0)),0),IF($C217=2,O217*IFERROR(INDEX('TaxCred&amp;Subs'!$K$139:$S$151,MATCH($C217&amp;$D217,'TaxCred&amp;Subs'!$D$139:$D$151,0),MATCH($H217,'TaxCred&amp;Subs'!$K$137:$S$137,0)),0),O217*IFERROR(INDEX('TaxCred&amp;Subs'!$K$139:$S$151,MATCH($C217&amp;$D217,'TaxCred&amp;Subs'!$C$139:$C$151,0),MATCH($H217,'TaxCred&amp;Subs'!$K$137:$S$137,0)),0))),0),0)</f>
        <v>0</v>
      </c>
      <c r="T217" s="95">
        <f t="shared" si="15"/>
        <v>0</v>
      </c>
      <c r="U217" s="95">
        <f t="shared" si="16"/>
        <v>0</v>
      </c>
      <c r="V217" s="28" t="s">
        <v>222</v>
      </c>
      <c r="W217" s="31">
        <v>2020</v>
      </c>
      <c r="X217" s="28">
        <v>1</v>
      </c>
      <c r="Y217" s="28">
        <v>0</v>
      </c>
      <c r="Z217" s="196">
        <v>-2.0672359327549421E-4</v>
      </c>
      <c r="AA217" s="196">
        <v>-3.1803629734691416E-3</v>
      </c>
      <c r="AB217" s="28">
        <v>0</v>
      </c>
      <c r="AC217" s="28">
        <v>0</v>
      </c>
      <c r="AD217" s="28" t="s">
        <v>326</v>
      </c>
    </row>
    <row r="218" spans="2:31" x14ac:dyDescent="0.2">
      <c r="B218" s="7">
        <f t="shared" si="10"/>
        <v>194</v>
      </c>
      <c r="C218" s="28">
        <v>1</v>
      </c>
      <c r="D218" s="28">
        <v>7</v>
      </c>
      <c r="E218" s="28">
        <v>22</v>
      </c>
      <c r="F218" s="96">
        <v>2020</v>
      </c>
      <c r="G218" s="28">
        <v>2050</v>
      </c>
      <c r="H218" s="28">
        <v>11</v>
      </c>
      <c r="I218" s="28">
        <v>22</v>
      </c>
      <c r="J218" s="28">
        <v>0</v>
      </c>
      <c r="K218" s="28">
        <v>0</v>
      </c>
      <c r="L218" s="28">
        <v>0</v>
      </c>
      <c r="M218" s="75">
        <v>0.83</v>
      </c>
      <c r="N218" s="151">
        <v>4885</v>
      </c>
      <c r="O218" s="151">
        <v>3035</v>
      </c>
      <c r="P218" s="95">
        <f t="array" ref="P218">ROUND(IF($F218&lt;='TaxCred&amp;Subs'!$C$49,(IF($C218=2,IF($M218&gt;=IFERROR(INDEX('TaxCred&amp;Subs'!$L$12:$L$47,MATCH(1,($C218&amp;$D218='TaxCred&amp;Subs'!$E$12:$E$47)*($F218='TaxCred&amp;Subs'!$C$12:$C$47),0)
),9999),IFERROR(INDEX('TaxCred&amp;Subs'!$N$12:$N$47,MATCH(1,($C218&amp;$D218='TaxCred&amp;Subs'!$E$12:$E$47)*($F218='TaxCred&amp;Subs'!$C$12:$C$47),0)
),0),0),(IF($M218&gt;=IFERROR(INDEX('TaxCred&amp;Subs'!$H$12:$H$47,MATCH(1,($C218&amp;$D218='TaxCred&amp;Subs'!$D$12:$D$47)*($F218='TaxCred&amp;Subs'!$C$12:$C$47),0)
),9999),IFERROR(INDEX('TaxCred&amp;Subs'!$N$12:$N$47,MATCH(1,($C218&amp;$D218='TaxCred&amp;Subs'!$D$12:$D$47)*($F218='TaxCred&amp;Subs'!$C$12:$C$47),0)
),0),0)))),0)+IF(AND($C218=2,VALUE(RIGHT($AD218,1))&gt;2),(N218-R218)*(IFERROR(INDEX('TaxCred&amp;Subs'!$J$66:$J$99,MATCH(1,($C218&amp;$D218='TaxCred&amp;Subs'!$E$66:$E$99)*($F218='TaxCred&amp;Subs'!$C$66:$C$99),0)),0)),IF(AND($C218=1,VALUE(RIGHT($AD218,1))&gt;2),(N218-R218)*(IFERROR(INDEX('TaxCred&amp;Subs'!$J$66:$J$99,MATCH(1,($C218&amp;$D218='TaxCred&amp;Subs'!$D$66:$D$99)*($F218='TaxCred&amp;Subs'!$C$66:$C$99),0)),0)),IF($C218&gt;2,(N218-R218)*(IFERROR(INDEX('TaxCred&amp;Subs'!$J$66:$J$99,MATCH(1,($C218&amp;$D218='TaxCred&amp;Subs'!$D$66:$D$99)*($F218='TaxCred&amp;Subs'!$C$66:$C$99),0)),0)),0))),0)</f>
        <v>0</v>
      </c>
      <c r="Q218" s="95">
        <f t="array" ref="Q218">ROUND(IF(AND($C218=2,VALUE(RIGHT($AD218,1))&gt;2),(O218-S218)*(IFERROR(INDEX('TaxCred&amp;Subs'!$J$66:$J$99,MATCH(1,($C218&amp;$D218='TaxCred&amp;Subs'!$E$66:$E$99)*($F218='TaxCred&amp;Subs'!$C$66:$C$99),0)),0)),IF(AND($C218=1,VALUE(RIGHT($AD218,1))&gt;2),(O218-S218)*(IFERROR(INDEX('TaxCred&amp;Subs'!$J$66:$J$99,MATCH(1,($C218&amp;$D218='TaxCred&amp;Subs'!$D$66:$D$99)*($F218='TaxCred&amp;Subs'!$C$66:$C$99),0)),0)),IF($C218&gt;2,(O218-S218)*(IFERROR(INDEX('TaxCred&amp;Subs'!$J$66:$J$99,MATCH(1,($C218&amp;$D218='TaxCred&amp;Subs'!$D$66:$D$99)*($F218='TaxCred&amp;Subs'!$C$66:$C$99),0)),0)),0))),0)</f>
        <v>0</v>
      </c>
      <c r="R218" s="95">
        <f t="array" ref="R218">ROUND(IF(IFERROR(VALUE(RIGHT($AD218,1)),0)&gt;2,IF($C218=8,N218*IFERROR(INDEX('TaxCred&amp;Subs'!$K$139:$S$151,MATCH($C218&amp;$D218&amp;LEFT($AD218,7),'TaxCred&amp;Subs'!$E$139:$E$151,0),MATCH($H218,'TaxCred&amp;Subs'!$K$137:$S$137,0)),0),IF($C218=2,N218*IFERROR(INDEX('TaxCred&amp;Subs'!$K$139:$S$151,MATCH($C218&amp;$D218,'TaxCred&amp;Subs'!$D$139:$D$151,0),MATCH($H218,'TaxCred&amp;Subs'!$K$137:$S$137,0)),0),N218*IFERROR(INDEX('TaxCred&amp;Subs'!$K$139:$S$151,MATCH($C218&amp;$D218,'TaxCred&amp;Subs'!$C$139:$C$151,0),MATCH($H218,'TaxCred&amp;Subs'!$K$137:$S$137,0)),0))),0),0)</f>
        <v>0</v>
      </c>
      <c r="S218" s="95">
        <f t="array" ref="S218">ROUND(IF(IFERROR(VALUE(RIGHT($AD218,1)),0)&gt;2,IF($C218=8,O218*IFERROR(INDEX('TaxCred&amp;Subs'!$K$139:$S$151,MATCH($C218&amp;$D218&amp;LEFT($AD218,7),'TaxCred&amp;Subs'!$E$139:$E$151,0),MATCH($H218,'TaxCred&amp;Subs'!$K$137:$S$137,0)),0),IF($C218=2,O218*IFERROR(INDEX('TaxCred&amp;Subs'!$K$139:$S$151,MATCH($C218&amp;$D218,'TaxCred&amp;Subs'!$D$139:$D$151,0),MATCH($H218,'TaxCred&amp;Subs'!$K$137:$S$137,0)),0),O218*IFERROR(INDEX('TaxCred&amp;Subs'!$K$139:$S$151,MATCH($C218&amp;$D218,'TaxCred&amp;Subs'!$C$139:$C$151,0),MATCH($H218,'TaxCred&amp;Subs'!$K$137:$S$137,0)),0))),0),0)</f>
        <v>0</v>
      </c>
      <c r="T218" s="95">
        <f t="shared" si="15"/>
        <v>0</v>
      </c>
      <c r="U218" s="95">
        <f t="shared" si="16"/>
        <v>0</v>
      </c>
      <c r="V218" s="28" t="s">
        <v>222</v>
      </c>
      <c r="W218" s="31">
        <v>2020</v>
      </c>
      <c r="X218" s="28">
        <v>1</v>
      </c>
      <c r="Y218" s="28">
        <v>0</v>
      </c>
      <c r="Z218" s="196">
        <v>-1.7036064696680306E-4</v>
      </c>
      <c r="AA218" s="196">
        <v>-2.6209330302585086E-3</v>
      </c>
      <c r="AB218" s="28">
        <v>0</v>
      </c>
      <c r="AC218" s="28">
        <v>0</v>
      </c>
      <c r="AD218" s="28" t="s">
        <v>205</v>
      </c>
    </row>
    <row r="219" spans="2:31" x14ac:dyDescent="0.2">
      <c r="B219" s="7">
        <f t="shared" ref="B219:B282" si="17">B218+1</f>
        <v>195</v>
      </c>
      <c r="C219" s="28">
        <v>1</v>
      </c>
      <c r="D219" s="28">
        <v>7</v>
      </c>
      <c r="E219" s="28">
        <v>23</v>
      </c>
      <c r="F219" s="96">
        <v>2020</v>
      </c>
      <c r="G219" s="28">
        <v>2050</v>
      </c>
      <c r="H219" s="28">
        <v>11</v>
      </c>
      <c r="I219" s="28">
        <v>23</v>
      </c>
      <c r="J219" s="28">
        <v>0</v>
      </c>
      <c r="K219" s="28">
        <v>0</v>
      </c>
      <c r="L219" s="28">
        <v>0</v>
      </c>
      <c r="M219" s="156">
        <v>0.85486999999999991</v>
      </c>
      <c r="N219" s="151">
        <v>5150</v>
      </c>
      <c r="O219" s="151">
        <v>3070</v>
      </c>
      <c r="P219" s="95">
        <f t="array" ref="P219">ROUND(IF($F219&lt;='TaxCred&amp;Subs'!$C$49,(IF($C219=2,IF($M219&gt;=IFERROR(INDEX('TaxCred&amp;Subs'!$L$12:$L$47,MATCH(1,($C219&amp;$D219='TaxCred&amp;Subs'!$E$12:$E$47)*($F219='TaxCred&amp;Subs'!$C$12:$C$47),0)
),9999),IFERROR(INDEX('TaxCred&amp;Subs'!$N$12:$N$47,MATCH(1,($C219&amp;$D219='TaxCred&amp;Subs'!$E$12:$E$47)*($F219='TaxCred&amp;Subs'!$C$12:$C$47),0)
),0),0),(IF($M219&gt;=IFERROR(INDEX('TaxCred&amp;Subs'!$H$12:$H$47,MATCH(1,($C219&amp;$D219='TaxCred&amp;Subs'!$D$12:$D$47)*($F219='TaxCred&amp;Subs'!$C$12:$C$47),0)
),9999),IFERROR(INDEX('TaxCred&amp;Subs'!$N$12:$N$47,MATCH(1,($C219&amp;$D219='TaxCred&amp;Subs'!$D$12:$D$47)*($F219='TaxCred&amp;Subs'!$C$12:$C$47),0)
),0),0)))),0)+IF(AND($C219=2,VALUE(RIGHT($AD219,1))&gt;2),(N219-R219)*(IFERROR(INDEX('TaxCred&amp;Subs'!$J$66:$J$99,MATCH(1,($C219&amp;$D219='TaxCred&amp;Subs'!$E$66:$E$99)*($F219='TaxCred&amp;Subs'!$C$66:$C$99),0)),0)),IF(AND($C219=1,VALUE(RIGHT($AD219,1))&gt;2),(N219-R219)*(IFERROR(INDEX('TaxCred&amp;Subs'!$J$66:$J$99,MATCH(1,($C219&amp;$D219='TaxCred&amp;Subs'!$D$66:$D$99)*($F219='TaxCred&amp;Subs'!$C$66:$C$99),0)),0)),IF($C219&gt;2,(N219-R219)*(IFERROR(INDEX('TaxCred&amp;Subs'!$J$66:$J$99,MATCH(1,($C219&amp;$D219='TaxCred&amp;Subs'!$D$66:$D$99)*($F219='TaxCred&amp;Subs'!$C$66:$C$99),0)),0)),0))),0)</f>
        <v>150</v>
      </c>
      <c r="Q219" s="95">
        <f t="array" ref="Q219">ROUND(IF(AND($C219=2,VALUE(RIGHT($AD219,1))&gt;2),(O219-S219)*(IFERROR(INDEX('TaxCred&amp;Subs'!$J$66:$J$99,MATCH(1,($C219&amp;$D219='TaxCred&amp;Subs'!$E$66:$E$99)*($F219='TaxCred&amp;Subs'!$C$66:$C$99),0)),0)),IF(AND($C219=1,VALUE(RIGHT($AD219,1))&gt;2),(O219-S219)*(IFERROR(INDEX('TaxCred&amp;Subs'!$J$66:$J$99,MATCH(1,($C219&amp;$D219='TaxCred&amp;Subs'!$D$66:$D$99)*($F219='TaxCred&amp;Subs'!$C$66:$C$99),0)),0)),IF($C219&gt;2,(O219-S219)*(IFERROR(INDEX('TaxCred&amp;Subs'!$J$66:$J$99,MATCH(1,($C219&amp;$D219='TaxCred&amp;Subs'!$D$66:$D$99)*($F219='TaxCred&amp;Subs'!$C$66:$C$99),0)),0)),0))),0)</f>
        <v>0</v>
      </c>
      <c r="R219" s="95">
        <f t="array" ref="R219">ROUND(IF(IFERROR(VALUE(RIGHT($AD219,1)),0)&gt;2,IF($C219=8,N219*IFERROR(INDEX('TaxCred&amp;Subs'!$K$139:$S$151,MATCH($C219&amp;$D219&amp;LEFT($AD219,7),'TaxCred&amp;Subs'!$E$139:$E$151,0),MATCH($H219,'TaxCred&amp;Subs'!$K$137:$S$137,0)),0),IF($C219=2,N219*IFERROR(INDEX('TaxCred&amp;Subs'!$K$139:$S$151,MATCH($C219&amp;$D219,'TaxCred&amp;Subs'!$D$139:$D$151,0),MATCH($H219,'TaxCred&amp;Subs'!$K$137:$S$137,0)),0),N219*IFERROR(INDEX('TaxCred&amp;Subs'!$K$139:$S$151,MATCH($C219&amp;$D219,'TaxCred&amp;Subs'!$C$139:$C$151,0),MATCH($H219,'TaxCred&amp;Subs'!$K$137:$S$137,0)),0))),0),0)</f>
        <v>0</v>
      </c>
      <c r="S219" s="95">
        <f t="array" ref="S219">ROUND(IF(IFERROR(VALUE(RIGHT($AD219,1)),0)&gt;2,IF($C219=8,O219*IFERROR(INDEX('TaxCred&amp;Subs'!$K$139:$S$151,MATCH($C219&amp;$D219&amp;LEFT($AD219,7),'TaxCred&amp;Subs'!$E$139:$E$151,0),MATCH($H219,'TaxCred&amp;Subs'!$K$137:$S$137,0)),0),IF($C219=2,O219*IFERROR(INDEX('TaxCred&amp;Subs'!$K$139:$S$151,MATCH($C219&amp;$D219,'TaxCred&amp;Subs'!$D$139:$D$151,0),MATCH($H219,'TaxCred&amp;Subs'!$K$137:$S$137,0)),0),O219*IFERROR(INDEX('TaxCred&amp;Subs'!$K$139:$S$151,MATCH($C219&amp;$D219,'TaxCred&amp;Subs'!$C$139:$C$151,0),MATCH($H219,'TaxCred&amp;Subs'!$K$137:$S$137,0)),0))),0),0)</f>
        <v>0</v>
      </c>
      <c r="T219" s="95">
        <f t="shared" si="15"/>
        <v>0</v>
      </c>
      <c r="U219" s="95">
        <f t="shared" si="16"/>
        <v>0</v>
      </c>
      <c r="V219" s="28" t="s">
        <v>222</v>
      </c>
      <c r="W219" s="31">
        <v>2020</v>
      </c>
      <c r="X219" s="28">
        <v>1</v>
      </c>
      <c r="Y219" s="28">
        <v>0</v>
      </c>
      <c r="Z219" s="196">
        <v>-1.7036064696680306E-4</v>
      </c>
      <c r="AA219" s="196">
        <v>-2.6209330302585086E-3</v>
      </c>
      <c r="AB219" s="28">
        <v>0</v>
      </c>
      <c r="AC219" s="28">
        <v>0</v>
      </c>
      <c r="AD219" s="28" t="s">
        <v>206</v>
      </c>
    </row>
    <row r="220" spans="2:31" x14ac:dyDescent="0.2">
      <c r="B220" s="7">
        <f t="shared" si="17"/>
        <v>196</v>
      </c>
      <c r="C220" s="28">
        <v>1</v>
      </c>
      <c r="D220" s="28">
        <v>7</v>
      </c>
      <c r="E220" s="28">
        <v>24</v>
      </c>
      <c r="F220" s="96">
        <v>2020</v>
      </c>
      <c r="G220" s="28">
        <v>2022</v>
      </c>
      <c r="H220" s="31">
        <v>11</v>
      </c>
      <c r="I220" s="28">
        <v>24</v>
      </c>
      <c r="J220" s="28">
        <v>0</v>
      </c>
      <c r="K220" s="28">
        <v>0</v>
      </c>
      <c r="L220" s="28">
        <v>0</v>
      </c>
      <c r="M220" s="75">
        <v>0.85</v>
      </c>
      <c r="N220" s="151">
        <v>5150</v>
      </c>
      <c r="O220" s="151">
        <v>3070</v>
      </c>
      <c r="P220" s="95">
        <f t="array" ref="P220">ROUND(IF($F220&lt;='TaxCred&amp;Subs'!$C$49,(IF($C220=2,IF($M220&gt;=IFERROR(INDEX('TaxCred&amp;Subs'!$L$12:$L$47,MATCH(1,($C220&amp;$D220='TaxCred&amp;Subs'!$E$12:$E$47)*($F220='TaxCred&amp;Subs'!$C$12:$C$47),0)
),9999),IFERROR(INDEX('TaxCred&amp;Subs'!$N$12:$N$47,MATCH(1,($C220&amp;$D220='TaxCred&amp;Subs'!$E$12:$E$47)*($F220='TaxCred&amp;Subs'!$C$12:$C$47),0)
),0),0),(IF($M220&gt;=IFERROR(INDEX('TaxCred&amp;Subs'!$H$12:$H$47,MATCH(1,($C220&amp;$D220='TaxCred&amp;Subs'!$D$12:$D$47)*($F220='TaxCred&amp;Subs'!$C$12:$C$47),0)
),9999),IFERROR(INDEX('TaxCred&amp;Subs'!$N$12:$N$47,MATCH(1,($C220&amp;$D220='TaxCred&amp;Subs'!$D$12:$D$47)*($F220='TaxCred&amp;Subs'!$C$12:$C$47),0)
),0),0)))),0)+IF(AND($C220=2,VALUE(RIGHT($AD220,1))&gt;2),(N220-R220)*(IFERROR(INDEX('TaxCred&amp;Subs'!$J$66:$J$99,MATCH(1,($C220&amp;$D220='TaxCred&amp;Subs'!$E$66:$E$99)*($F220='TaxCred&amp;Subs'!$C$66:$C$99),0)),0)),IF(AND($C220=1,VALUE(RIGHT($AD220,1))&gt;2),(N220-R220)*(IFERROR(INDEX('TaxCred&amp;Subs'!$J$66:$J$99,MATCH(1,($C220&amp;$D220='TaxCred&amp;Subs'!$D$66:$D$99)*($F220='TaxCred&amp;Subs'!$C$66:$C$99),0)),0)),IF($C220&gt;2,(N220-R220)*(IFERROR(INDEX('TaxCred&amp;Subs'!$J$66:$J$99,MATCH(1,($C220&amp;$D220='TaxCred&amp;Subs'!$D$66:$D$99)*($F220='TaxCred&amp;Subs'!$C$66:$C$99),0)),0)),0))),0)</f>
        <v>150</v>
      </c>
      <c r="Q220" s="95">
        <f t="array" ref="Q220">ROUND(IF(AND($C220=2,VALUE(RIGHT($AD220,1))&gt;2),(O220-S220)*(IFERROR(INDEX('TaxCred&amp;Subs'!$J$66:$J$99,MATCH(1,($C220&amp;$D220='TaxCred&amp;Subs'!$E$66:$E$99)*($F220='TaxCred&amp;Subs'!$C$66:$C$99),0)),0)),IF(AND($C220=1,VALUE(RIGHT($AD220,1))&gt;2),(O220-S220)*(IFERROR(INDEX('TaxCred&amp;Subs'!$J$66:$J$99,MATCH(1,($C220&amp;$D220='TaxCred&amp;Subs'!$D$66:$D$99)*($F220='TaxCred&amp;Subs'!$C$66:$C$99),0)),0)),IF($C220&gt;2,(O220-S220)*(IFERROR(INDEX('TaxCred&amp;Subs'!$J$66:$J$99,MATCH(1,($C220&amp;$D220='TaxCred&amp;Subs'!$D$66:$D$99)*($F220='TaxCred&amp;Subs'!$C$66:$C$99),0)),0)),0))),0)</f>
        <v>0</v>
      </c>
      <c r="R220" s="95">
        <f t="array" ref="R220">ROUND(IF(IFERROR(VALUE(RIGHT($AD220,1)),0)&gt;2,IF($C220=8,N220*IFERROR(INDEX('TaxCred&amp;Subs'!$K$139:$S$151,MATCH($C220&amp;$D220&amp;LEFT($AD220,7),'TaxCred&amp;Subs'!$E$139:$E$151,0),MATCH($H220,'TaxCred&amp;Subs'!$K$137:$S$137,0)),0),IF($C220=2,N220*IFERROR(INDEX('TaxCred&amp;Subs'!$K$139:$S$151,MATCH($C220&amp;$D220,'TaxCred&amp;Subs'!$D$139:$D$151,0),MATCH($H220,'TaxCred&amp;Subs'!$K$137:$S$137,0)),0),N220*IFERROR(INDEX('TaxCred&amp;Subs'!$K$139:$S$151,MATCH($C220&amp;$D220,'TaxCred&amp;Subs'!$C$139:$C$151,0),MATCH($H220,'TaxCred&amp;Subs'!$K$137:$S$137,0)),0))),0),0)</f>
        <v>0</v>
      </c>
      <c r="S220" s="95">
        <f t="array" ref="S220">ROUND(IF(IFERROR(VALUE(RIGHT($AD220,1)),0)&gt;2,IF($C220=8,O220*IFERROR(INDEX('TaxCred&amp;Subs'!$K$139:$S$151,MATCH($C220&amp;$D220&amp;LEFT($AD220,7),'TaxCred&amp;Subs'!$E$139:$E$151,0),MATCH($H220,'TaxCred&amp;Subs'!$K$137:$S$137,0)),0),IF($C220=2,O220*IFERROR(INDEX('TaxCred&amp;Subs'!$K$139:$S$151,MATCH($C220&amp;$D220,'TaxCred&amp;Subs'!$D$139:$D$151,0),MATCH($H220,'TaxCred&amp;Subs'!$K$137:$S$137,0)),0),O220*IFERROR(INDEX('TaxCred&amp;Subs'!$K$139:$S$151,MATCH($C220&amp;$D220,'TaxCred&amp;Subs'!$C$139:$C$151,0),MATCH($H220,'TaxCred&amp;Subs'!$K$137:$S$137,0)),0))),0),0)</f>
        <v>0</v>
      </c>
      <c r="T220" s="95">
        <f t="shared" si="15"/>
        <v>0</v>
      </c>
      <c r="U220" s="95">
        <f t="shared" si="16"/>
        <v>0</v>
      </c>
      <c r="V220" s="28" t="s">
        <v>222</v>
      </c>
      <c r="W220" s="31">
        <v>2020</v>
      </c>
      <c r="X220" s="28">
        <v>1</v>
      </c>
      <c r="Y220" s="28">
        <v>0</v>
      </c>
      <c r="Z220" s="196">
        <v>-2.1648257613059296E-4</v>
      </c>
      <c r="AA220" s="196">
        <v>-3.3305011712398917E-3</v>
      </c>
      <c r="AB220" s="28">
        <v>0</v>
      </c>
      <c r="AC220" s="28">
        <v>0</v>
      </c>
      <c r="AD220" s="28" t="s">
        <v>207</v>
      </c>
    </row>
    <row r="221" spans="2:31" ht="14.25" customHeight="1" x14ac:dyDescent="0.2">
      <c r="B221" s="7">
        <f t="shared" si="17"/>
        <v>197</v>
      </c>
      <c r="C221" s="28">
        <v>1</v>
      </c>
      <c r="D221" s="28">
        <v>7</v>
      </c>
      <c r="E221" s="28">
        <v>24</v>
      </c>
      <c r="F221" s="78">
        <v>2023</v>
      </c>
      <c r="G221" s="28">
        <v>2026</v>
      </c>
      <c r="H221" s="31">
        <v>11</v>
      </c>
      <c r="I221" s="28">
        <v>24</v>
      </c>
      <c r="J221" s="28">
        <v>0</v>
      </c>
      <c r="K221" s="28">
        <v>0</v>
      </c>
      <c r="L221" s="28">
        <v>0</v>
      </c>
      <c r="M221" s="75">
        <v>0.85</v>
      </c>
      <c r="N221" s="151">
        <v>5150</v>
      </c>
      <c r="O221" s="151">
        <v>3070</v>
      </c>
      <c r="P221" s="95">
        <f t="array" ref="P221">ROUND(IF($F221&lt;='TaxCred&amp;Subs'!$C$49,(IF($C221=2,IF($M221&gt;=IFERROR(INDEX('TaxCred&amp;Subs'!$L$12:$L$47,MATCH(1,($C221&amp;$D221='TaxCred&amp;Subs'!$E$12:$E$47)*($F221='TaxCred&amp;Subs'!$C$12:$C$47),0)
),9999),IFERROR(INDEX('TaxCred&amp;Subs'!$N$12:$N$47,MATCH(1,($C221&amp;$D221='TaxCred&amp;Subs'!$E$12:$E$47)*($F221='TaxCred&amp;Subs'!$C$12:$C$47),0)
),0),0),(IF($M221&gt;=IFERROR(INDEX('TaxCred&amp;Subs'!$H$12:$H$47,MATCH(1,($C221&amp;$D221='TaxCred&amp;Subs'!$D$12:$D$47)*($F221='TaxCred&amp;Subs'!$C$12:$C$47),0)
),9999),IFERROR(INDEX('TaxCred&amp;Subs'!$N$12:$N$47,MATCH(1,($C221&amp;$D221='TaxCred&amp;Subs'!$D$12:$D$47)*($F221='TaxCred&amp;Subs'!$C$12:$C$47),0)
),0),0)))),0)+IF(AND($C221=2,VALUE(RIGHT($AD221,1))&gt;2),(N221-R221)*(IFERROR(INDEX('TaxCred&amp;Subs'!$J$66:$J$99,MATCH(1,($C221&amp;$D221='TaxCred&amp;Subs'!$E$66:$E$99)*($F221='TaxCred&amp;Subs'!$C$66:$C$99),0)),0)),IF(AND($C221=1,VALUE(RIGHT($AD221,1))&gt;2),(N221-R221)*(IFERROR(INDEX('TaxCred&amp;Subs'!$J$66:$J$99,MATCH(1,($C221&amp;$D221='TaxCred&amp;Subs'!$D$66:$D$99)*($F221='TaxCred&amp;Subs'!$C$66:$C$99),0)),0)),IF($C221&gt;2,(N221-R221)*(IFERROR(INDEX('TaxCred&amp;Subs'!$J$66:$J$99,MATCH(1,($C221&amp;$D221='TaxCred&amp;Subs'!$D$66:$D$99)*($F221='TaxCred&amp;Subs'!$C$66:$C$99),0)),0)),0))),0)</f>
        <v>600</v>
      </c>
      <c r="Q221" s="95">
        <f t="array" ref="Q221">ROUND(IF(AND($C221=2,VALUE(RIGHT($AD221,1))&gt;2),(O221-S221)*(IFERROR(INDEX('TaxCred&amp;Subs'!$J$66:$J$99,MATCH(1,($C221&amp;$D221='TaxCred&amp;Subs'!$E$66:$E$99)*($F221='TaxCred&amp;Subs'!$C$66:$C$99),0)),0)),IF(AND($C221=1,VALUE(RIGHT($AD221,1))&gt;2),(O221-S221)*(IFERROR(INDEX('TaxCred&amp;Subs'!$J$66:$J$99,MATCH(1,($C221&amp;$D221='TaxCred&amp;Subs'!$D$66:$D$99)*($F221='TaxCred&amp;Subs'!$C$66:$C$99),0)),0)),IF($C221&gt;2,(O221-S221)*(IFERROR(INDEX('TaxCred&amp;Subs'!$J$66:$J$99,MATCH(1,($C221&amp;$D221='TaxCred&amp;Subs'!$D$66:$D$99)*($F221='TaxCred&amp;Subs'!$C$66:$C$99),0)),0)),0))),0)</f>
        <v>0</v>
      </c>
      <c r="R221" s="95">
        <f t="array" ref="R221">ROUND(IF(IFERROR(VALUE(RIGHT($AD221,1)),0)&gt;2,IF($C221=8,N221*IFERROR(INDEX('TaxCred&amp;Subs'!$K$139:$S$151,MATCH($C221&amp;$D221&amp;LEFT($AD221,7),'TaxCred&amp;Subs'!$E$139:$E$151,0),MATCH($H221,'TaxCred&amp;Subs'!$K$137:$S$137,0)),0),IF($C221=2,N221*IFERROR(INDEX('TaxCred&amp;Subs'!$K$139:$S$151,MATCH($C221&amp;$D221,'TaxCred&amp;Subs'!$D$139:$D$151,0),MATCH($H221,'TaxCred&amp;Subs'!$K$137:$S$137,0)),0),N221*IFERROR(INDEX('TaxCred&amp;Subs'!$K$139:$S$151,MATCH($C221&amp;$D221,'TaxCred&amp;Subs'!$C$139:$C$151,0),MATCH($H221,'TaxCred&amp;Subs'!$K$137:$S$137,0)),0))),0),0)</f>
        <v>0</v>
      </c>
      <c r="S221" s="95">
        <f t="array" ref="S221">ROUND(IF(IFERROR(VALUE(RIGHT($AD221,1)),0)&gt;2,IF($C221=8,O221*IFERROR(INDEX('TaxCred&amp;Subs'!$K$139:$S$151,MATCH($C221&amp;$D221&amp;LEFT($AD221,7),'TaxCred&amp;Subs'!$E$139:$E$151,0),MATCH($H221,'TaxCred&amp;Subs'!$K$137:$S$137,0)),0),IF($C221=2,O221*IFERROR(INDEX('TaxCred&amp;Subs'!$K$139:$S$151,MATCH($C221&amp;$D221,'TaxCred&amp;Subs'!$D$139:$D$151,0),MATCH($H221,'TaxCred&amp;Subs'!$K$137:$S$137,0)),0),O221*IFERROR(INDEX('TaxCred&amp;Subs'!$K$139:$S$151,MATCH($C221&amp;$D221,'TaxCred&amp;Subs'!$C$139:$C$151,0),MATCH($H221,'TaxCred&amp;Subs'!$K$137:$S$137,0)),0))),0),0)</f>
        <v>0</v>
      </c>
      <c r="T221" s="95">
        <f t="shared" si="15"/>
        <v>0</v>
      </c>
      <c r="U221" s="95">
        <f t="shared" si="16"/>
        <v>0</v>
      </c>
      <c r="V221" s="28" t="s">
        <v>222</v>
      </c>
      <c r="W221" s="31">
        <v>2020</v>
      </c>
      <c r="X221" s="28">
        <v>1</v>
      </c>
      <c r="Y221" s="28">
        <v>0</v>
      </c>
      <c r="Z221" s="196">
        <v>-2.1648257613059296E-4</v>
      </c>
      <c r="AA221" s="196">
        <v>-3.3305011712398917E-3</v>
      </c>
      <c r="AB221" s="28">
        <v>0</v>
      </c>
      <c r="AC221" s="28">
        <v>0</v>
      </c>
      <c r="AD221" s="28" t="s">
        <v>207</v>
      </c>
    </row>
    <row r="222" spans="2:31" ht="14.25" customHeight="1" x14ac:dyDescent="0.2">
      <c r="B222" s="7">
        <f t="shared" si="17"/>
        <v>198</v>
      </c>
      <c r="C222" s="28">
        <v>1</v>
      </c>
      <c r="D222" s="28">
        <v>7</v>
      </c>
      <c r="E222" s="28">
        <v>24</v>
      </c>
      <c r="F222" s="78">
        <v>2027</v>
      </c>
      <c r="G222" s="28">
        <v>2050</v>
      </c>
      <c r="H222" s="31">
        <v>11</v>
      </c>
      <c r="I222" s="28">
        <v>24</v>
      </c>
      <c r="J222" s="28">
        <v>0</v>
      </c>
      <c r="K222" s="28">
        <v>0</v>
      </c>
      <c r="L222" s="28">
        <v>0</v>
      </c>
      <c r="M222" s="75">
        <v>0.85</v>
      </c>
      <c r="N222" s="151">
        <v>5150</v>
      </c>
      <c r="O222" s="151">
        <v>3070</v>
      </c>
      <c r="P222" s="95">
        <f t="array" ref="P222">ROUND(IF($F222&lt;='TaxCred&amp;Subs'!$C$49,(IF($C222=2,IF($M222&gt;=IFERROR(INDEX('TaxCred&amp;Subs'!$L$12:$L$47,MATCH(1,($C222&amp;$D222='TaxCred&amp;Subs'!$E$12:$E$47)*($F222='TaxCred&amp;Subs'!$C$12:$C$47),0)
),9999),IFERROR(INDEX('TaxCred&amp;Subs'!$N$12:$N$47,MATCH(1,($C222&amp;$D222='TaxCred&amp;Subs'!$E$12:$E$47)*($F222='TaxCred&amp;Subs'!$C$12:$C$47),0)
),0),0),(IF($M222&gt;=IFERROR(INDEX('TaxCred&amp;Subs'!$H$12:$H$47,MATCH(1,($C222&amp;$D222='TaxCred&amp;Subs'!$D$12:$D$47)*($F222='TaxCred&amp;Subs'!$C$12:$C$47),0)
),9999),IFERROR(INDEX('TaxCred&amp;Subs'!$N$12:$N$47,MATCH(1,($C222&amp;$D222='TaxCred&amp;Subs'!$D$12:$D$47)*($F222='TaxCred&amp;Subs'!$C$12:$C$47),0)
),0),0)))),0)+IF(AND($C222=2,VALUE(RIGHT($AD222,1))&gt;2),(N222-R222)*(IFERROR(INDEX('TaxCred&amp;Subs'!$J$66:$J$99,MATCH(1,($C222&amp;$D222='TaxCred&amp;Subs'!$E$66:$E$99)*($F222='TaxCred&amp;Subs'!$C$66:$C$99),0)),0)),IF(AND($C222=1,VALUE(RIGHT($AD222,1))&gt;2),(N222-R222)*(IFERROR(INDEX('TaxCred&amp;Subs'!$J$66:$J$99,MATCH(1,($C222&amp;$D222='TaxCred&amp;Subs'!$D$66:$D$99)*($F222='TaxCred&amp;Subs'!$C$66:$C$99),0)),0)),IF($C222&gt;2,(N222-R222)*(IFERROR(INDEX('TaxCred&amp;Subs'!$J$66:$J$99,MATCH(1,($C222&amp;$D222='TaxCred&amp;Subs'!$D$66:$D$99)*($F222='TaxCred&amp;Subs'!$C$66:$C$99),0)),0)),0))),0)</f>
        <v>0</v>
      </c>
      <c r="Q222" s="95">
        <f t="array" ref="Q222">ROUND(IF(AND($C222=2,VALUE(RIGHT($AD222,1))&gt;2),(O222-S222)*(IFERROR(INDEX('TaxCred&amp;Subs'!$J$66:$J$99,MATCH(1,($C222&amp;$D222='TaxCred&amp;Subs'!$E$66:$E$99)*($F222='TaxCred&amp;Subs'!$C$66:$C$99),0)),0)),IF(AND($C222=1,VALUE(RIGHT($AD222,1))&gt;2),(O222-S222)*(IFERROR(INDEX('TaxCred&amp;Subs'!$J$66:$J$99,MATCH(1,($C222&amp;$D222='TaxCred&amp;Subs'!$D$66:$D$99)*($F222='TaxCred&amp;Subs'!$C$66:$C$99),0)),0)),IF($C222&gt;2,(O222-S222)*(IFERROR(INDEX('TaxCred&amp;Subs'!$J$66:$J$99,MATCH(1,($C222&amp;$D222='TaxCred&amp;Subs'!$D$66:$D$99)*($F222='TaxCred&amp;Subs'!$C$66:$C$99),0)),0)),0))),0)</f>
        <v>0</v>
      </c>
      <c r="R222" s="95">
        <f t="array" ref="R222">ROUND(IF(IFERROR(VALUE(RIGHT($AD222,1)),0)&gt;2,IF($C222=8,N222*IFERROR(INDEX('TaxCred&amp;Subs'!$K$139:$S$151,MATCH($C222&amp;$D222&amp;LEFT($AD222,7),'TaxCred&amp;Subs'!$E$139:$E$151,0),MATCH($H222,'TaxCred&amp;Subs'!$K$137:$S$137,0)),0),IF($C222=2,N222*IFERROR(INDEX('TaxCred&amp;Subs'!$K$139:$S$151,MATCH($C222&amp;$D222,'TaxCred&amp;Subs'!$D$139:$D$151,0),MATCH($H222,'TaxCred&amp;Subs'!$K$137:$S$137,0)),0),N222*IFERROR(INDEX('TaxCred&amp;Subs'!$K$139:$S$151,MATCH($C222&amp;$D222,'TaxCred&amp;Subs'!$C$139:$C$151,0),MATCH($H222,'TaxCred&amp;Subs'!$K$137:$S$137,0)),0))),0),0)</f>
        <v>0</v>
      </c>
      <c r="S222" s="95">
        <f t="array" ref="S222">ROUND(IF(IFERROR(VALUE(RIGHT($AD222,1)),0)&gt;2,IF($C222=8,O222*IFERROR(INDEX('TaxCred&amp;Subs'!$K$139:$S$151,MATCH($C222&amp;$D222&amp;LEFT($AD222,7),'TaxCred&amp;Subs'!$E$139:$E$151,0),MATCH($H222,'TaxCred&amp;Subs'!$K$137:$S$137,0)),0),IF($C222=2,O222*IFERROR(INDEX('TaxCred&amp;Subs'!$K$139:$S$151,MATCH($C222&amp;$D222,'TaxCred&amp;Subs'!$D$139:$D$151,0),MATCH($H222,'TaxCred&amp;Subs'!$K$137:$S$137,0)),0),O222*IFERROR(INDEX('TaxCred&amp;Subs'!$K$139:$S$151,MATCH($C222&amp;$D222,'TaxCred&amp;Subs'!$C$139:$C$151,0),MATCH($H222,'TaxCred&amp;Subs'!$K$137:$S$137,0)),0))),0),0)</f>
        <v>0</v>
      </c>
      <c r="T222" s="95">
        <f t="shared" si="15"/>
        <v>0</v>
      </c>
      <c r="U222" s="95">
        <f t="shared" si="16"/>
        <v>0</v>
      </c>
      <c r="V222" s="28" t="s">
        <v>222</v>
      </c>
      <c r="W222" s="31">
        <v>2020</v>
      </c>
      <c r="X222" s="28">
        <v>1</v>
      </c>
      <c r="Y222" s="28">
        <v>0</v>
      </c>
      <c r="Z222" s="196">
        <v>-2.1648257613059296E-4</v>
      </c>
      <c r="AA222" s="196">
        <v>-3.3305011712398917E-3</v>
      </c>
      <c r="AB222" s="28">
        <v>0</v>
      </c>
      <c r="AC222" s="28">
        <v>0</v>
      </c>
      <c r="AD222" s="28" t="s">
        <v>207</v>
      </c>
    </row>
    <row r="223" spans="2:31" x14ac:dyDescent="0.2">
      <c r="B223" s="7">
        <f t="shared" si="17"/>
        <v>199</v>
      </c>
      <c r="C223" s="28">
        <v>1</v>
      </c>
      <c r="D223" s="28">
        <v>7</v>
      </c>
      <c r="E223" s="28">
        <v>25</v>
      </c>
      <c r="F223" s="96">
        <v>2020</v>
      </c>
      <c r="G223" s="28">
        <v>2022</v>
      </c>
      <c r="H223" s="31">
        <v>11</v>
      </c>
      <c r="I223" s="28">
        <v>25</v>
      </c>
      <c r="J223" s="28">
        <v>0</v>
      </c>
      <c r="K223" s="28">
        <v>0</v>
      </c>
      <c r="L223" s="28">
        <v>0</v>
      </c>
      <c r="M223" s="156">
        <v>0.96700000000000008</v>
      </c>
      <c r="N223" s="151">
        <v>7625</v>
      </c>
      <c r="O223" s="151">
        <v>3630</v>
      </c>
      <c r="P223" s="95">
        <f t="array" ref="P223">ROUND(IF($F223&lt;='TaxCred&amp;Subs'!$C$49,(IF($C223=2,IF($M223&gt;=IFERROR(INDEX('TaxCred&amp;Subs'!$L$12:$L$47,MATCH(1,($C223&amp;$D223='TaxCred&amp;Subs'!$E$12:$E$47)*($F223='TaxCred&amp;Subs'!$C$12:$C$47),0)
),9999),IFERROR(INDEX('TaxCred&amp;Subs'!$N$12:$N$47,MATCH(1,($C223&amp;$D223='TaxCred&amp;Subs'!$E$12:$E$47)*($F223='TaxCred&amp;Subs'!$C$12:$C$47),0)
),0),0),(IF($M223&gt;=IFERROR(INDEX('TaxCred&amp;Subs'!$H$12:$H$47,MATCH(1,($C223&amp;$D223='TaxCred&amp;Subs'!$D$12:$D$47)*($F223='TaxCred&amp;Subs'!$C$12:$C$47),0)
),9999),IFERROR(INDEX('TaxCred&amp;Subs'!$N$12:$N$47,MATCH(1,($C223&amp;$D223='TaxCred&amp;Subs'!$D$12:$D$47)*($F223='TaxCred&amp;Subs'!$C$12:$C$47),0)
),0),0)))),0)+IF(AND($C223=2,VALUE(RIGHT($AD223,1))&gt;2),(N223-R223)*(IFERROR(INDEX('TaxCred&amp;Subs'!$J$66:$J$99,MATCH(1,($C223&amp;$D223='TaxCred&amp;Subs'!$E$66:$E$99)*($F223='TaxCred&amp;Subs'!$C$66:$C$99),0)),0)),IF(AND($C223=1,VALUE(RIGHT($AD223,1))&gt;2),(N223-R223)*(IFERROR(INDEX('TaxCred&amp;Subs'!$J$66:$J$99,MATCH(1,($C223&amp;$D223='TaxCred&amp;Subs'!$D$66:$D$99)*($F223='TaxCred&amp;Subs'!$C$66:$C$99),0)),0)),IF($C223&gt;2,(N223-R223)*(IFERROR(INDEX('TaxCred&amp;Subs'!$J$66:$J$99,MATCH(1,($C223&amp;$D223='TaxCred&amp;Subs'!$D$66:$D$99)*($F223='TaxCred&amp;Subs'!$C$66:$C$99),0)),0)),0))),0)</f>
        <v>150</v>
      </c>
      <c r="Q223" s="95">
        <f t="array" ref="Q223">ROUND(IF(AND($C223=2,VALUE(RIGHT($AD223,1))&gt;2),(O223-S223)*(IFERROR(INDEX('TaxCred&amp;Subs'!$J$66:$J$99,MATCH(1,($C223&amp;$D223='TaxCred&amp;Subs'!$E$66:$E$99)*($F223='TaxCred&amp;Subs'!$C$66:$C$99),0)),0)),IF(AND($C223=1,VALUE(RIGHT($AD223,1))&gt;2),(O223-S223)*(IFERROR(INDEX('TaxCred&amp;Subs'!$J$66:$J$99,MATCH(1,($C223&amp;$D223='TaxCred&amp;Subs'!$D$66:$D$99)*($F223='TaxCred&amp;Subs'!$C$66:$C$99),0)),0)),IF($C223&gt;2,(O223-S223)*(IFERROR(INDEX('TaxCred&amp;Subs'!$J$66:$J$99,MATCH(1,($C223&amp;$D223='TaxCred&amp;Subs'!$D$66:$D$99)*($F223='TaxCred&amp;Subs'!$C$66:$C$99),0)),0)),0))),0)</f>
        <v>0</v>
      </c>
      <c r="R223" s="95">
        <f t="array" ref="R223">ROUND(IF(IFERROR(VALUE(RIGHT($AD223,1)),0)&gt;2,IF($C223=8,N223*IFERROR(INDEX('TaxCred&amp;Subs'!$K$139:$S$151,MATCH($C223&amp;$D223&amp;LEFT($AD223,7),'TaxCred&amp;Subs'!$E$139:$E$151,0),MATCH($H223,'TaxCred&amp;Subs'!$K$137:$S$137,0)),0),IF($C223=2,N223*IFERROR(INDEX('TaxCred&amp;Subs'!$K$139:$S$151,MATCH($C223&amp;$D223,'TaxCred&amp;Subs'!$D$139:$D$151,0),MATCH($H223,'TaxCred&amp;Subs'!$K$137:$S$137,0)),0),N223*IFERROR(INDEX('TaxCred&amp;Subs'!$K$139:$S$151,MATCH($C223&amp;$D223,'TaxCred&amp;Subs'!$C$139:$C$151,0),MATCH($H223,'TaxCred&amp;Subs'!$K$137:$S$137,0)),0))),0),0)</f>
        <v>0</v>
      </c>
      <c r="S223" s="95">
        <f t="array" ref="S223">ROUND(IF(IFERROR(VALUE(RIGHT($AD223,1)),0)&gt;2,IF($C223=8,O223*IFERROR(INDEX('TaxCred&amp;Subs'!$K$139:$S$151,MATCH($C223&amp;$D223&amp;LEFT($AD223,7),'TaxCred&amp;Subs'!$E$139:$E$151,0),MATCH($H223,'TaxCred&amp;Subs'!$K$137:$S$137,0)),0),IF($C223=2,O223*IFERROR(INDEX('TaxCred&amp;Subs'!$K$139:$S$151,MATCH($C223&amp;$D223,'TaxCred&amp;Subs'!$D$139:$D$151,0),MATCH($H223,'TaxCred&amp;Subs'!$K$137:$S$137,0)),0),O223*IFERROR(INDEX('TaxCred&amp;Subs'!$K$139:$S$151,MATCH($C223&amp;$D223,'TaxCred&amp;Subs'!$C$139:$C$151,0),MATCH($H223,'TaxCred&amp;Subs'!$K$137:$S$137,0)),0))),0),0)</f>
        <v>0</v>
      </c>
      <c r="T223" s="95">
        <f t="shared" si="15"/>
        <v>0</v>
      </c>
      <c r="U223" s="95">
        <f t="shared" si="16"/>
        <v>0</v>
      </c>
      <c r="V223" s="28" t="s">
        <v>222</v>
      </c>
      <c r="W223" s="31">
        <v>2020</v>
      </c>
      <c r="X223" s="28">
        <v>1</v>
      </c>
      <c r="Y223" s="28">
        <v>0</v>
      </c>
      <c r="Z223" s="196">
        <v>-2.1648257613059296E-4</v>
      </c>
      <c r="AA223" s="196">
        <v>-3.3305011712398917E-3</v>
      </c>
      <c r="AB223" s="28">
        <v>0</v>
      </c>
      <c r="AC223" s="28">
        <v>0</v>
      </c>
      <c r="AD223" s="28" t="s">
        <v>329</v>
      </c>
    </row>
    <row r="224" spans="2:31" ht="14.25" customHeight="1" x14ac:dyDescent="0.2">
      <c r="B224" s="7">
        <f t="shared" si="17"/>
        <v>200</v>
      </c>
      <c r="C224" s="28">
        <v>1</v>
      </c>
      <c r="D224" s="28">
        <v>7</v>
      </c>
      <c r="E224" s="28">
        <v>25</v>
      </c>
      <c r="F224" s="78">
        <v>2023</v>
      </c>
      <c r="G224" s="28">
        <v>2032</v>
      </c>
      <c r="H224" s="31">
        <v>11</v>
      </c>
      <c r="I224" s="28">
        <v>25</v>
      </c>
      <c r="J224" s="28">
        <v>0</v>
      </c>
      <c r="K224" s="28">
        <v>0</v>
      </c>
      <c r="L224" s="28">
        <v>0</v>
      </c>
      <c r="M224" s="156">
        <v>0.96700000000000008</v>
      </c>
      <c r="N224" s="151">
        <v>7625</v>
      </c>
      <c r="O224" s="151">
        <v>3630</v>
      </c>
      <c r="P224" s="95">
        <f t="array" ref="P224">ROUND(IF($F224&lt;='TaxCred&amp;Subs'!$C$49,(IF($C224=2,IF($M224&gt;=IFERROR(INDEX('TaxCred&amp;Subs'!$L$12:$L$47,MATCH(1,($C224&amp;$D224='TaxCred&amp;Subs'!$E$12:$E$47)*($F224='TaxCred&amp;Subs'!$C$12:$C$47),0)
),9999),IFERROR(INDEX('TaxCred&amp;Subs'!$N$12:$N$47,MATCH(1,($C224&amp;$D224='TaxCred&amp;Subs'!$E$12:$E$47)*($F224='TaxCred&amp;Subs'!$C$12:$C$47),0)
),0),0),(IF($M224&gt;=IFERROR(INDEX('TaxCred&amp;Subs'!$H$12:$H$47,MATCH(1,($C224&amp;$D224='TaxCred&amp;Subs'!$D$12:$D$47)*($F224='TaxCred&amp;Subs'!$C$12:$C$47),0)
),9999),IFERROR(INDEX('TaxCred&amp;Subs'!$N$12:$N$47,MATCH(1,($C224&amp;$D224='TaxCred&amp;Subs'!$D$12:$D$47)*($F224='TaxCred&amp;Subs'!$C$12:$C$47),0)
),0),0)))),0)+IF(AND($C224=2,VALUE(RIGHT($AD224,1))&gt;2),(N224-R224)*(IFERROR(INDEX('TaxCred&amp;Subs'!$J$66:$J$99,MATCH(1,($C224&amp;$D224='TaxCred&amp;Subs'!$E$66:$E$99)*($F224='TaxCred&amp;Subs'!$C$66:$C$99),0)),0)),IF(AND($C224=1,VALUE(RIGHT($AD224,1))&gt;2),(N224-R224)*(IFERROR(INDEX('TaxCred&amp;Subs'!$J$66:$J$99,MATCH(1,($C224&amp;$D224='TaxCred&amp;Subs'!$D$66:$D$99)*($F224='TaxCred&amp;Subs'!$C$66:$C$99),0)),0)),IF($C224&gt;2,(N224-R224)*(IFERROR(INDEX('TaxCred&amp;Subs'!$J$66:$J$99,MATCH(1,($C224&amp;$D224='TaxCred&amp;Subs'!$D$66:$D$99)*($F224='TaxCred&amp;Subs'!$C$66:$C$99),0)),0)),0))),0)</f>
        <v>600</v>
      </c>
      <c r="Q224" s="95">
        <f t="array" ref="Q224">ROUND(IF(AND($C224=2,VALUE(RIGHT($AD224,1))&gt;2),(O224-S224)*(IFERROR(INDEX('TaxCred&amp;Subs'!$J$66:$J$99,MATCH(1,($C224&amp;$D224='TaxCred&amp;Subs'!$E$66:$E$99)*($F224='TaxCred&amp;Subs'!$C$66:$C$99),0)),0)),IF(AND($C224=1,VALUE(RIGHT($AD224,1))&gt;2),(O224-S224)*(IFERROR(INDEX('TaxCred&amp;Subs'!$J$66:$J$99,MATCH(1,($C224&amp;$D224='TaxCred&amp;Subs'!$D$66:$D$99)*($F224='TaxCred&amp;Subs'!$C$66:$C$99),0)),0)),IF($C224&gt;2,(O224-S224)*(IFERROR(INDEX('TaxCred&amp;Subs'!$J$66:$J$99,MATCH(1,($C224&amp;$D224='TaxCred&amp;Subs'!$D$66:$D$99)*($F224='TaxCred&amp;Subs'!$C$66:$C$99),0)),0)),0))),0)</f>
        <v>0</v>
      </c>
      <c r="R224" s="95">
        <f t="array" ref="R224">ROUND(IF(IFERROR(VALUE(RIGHT($AD224,1)),0)&gt;2,IF($C224=8,N224*IFERROR(INDEX('TaxCred&amp;Subs'!$K$139:$S$151,MATCH($C224&amp;$D224&amp;LEFT($AD224,7),'TaxCred&amp;Subs'!$E$139:$E$151,0),MATCH($H224,'TaxCred&amp;Subs'!$K$137:$S$137,0)),0),IF($C224=2,N224*IFERROR(INDEX('TaxCred&amp;Subs'!$K$139:$S$151,MATCH($C224&amp;$D224,'TaxCred&amp;Subs'!$D$139:$D$151,0),MATCH($H224,'TaxCred&amp;Subs'!$K$137:$S$137,0)),0),N224*IFERROR(INDEX('TaxCred&amp;Subs'!$K$139:$S$151,MATCH($C224&amp;$D224,'TaxCred&amp;Subs'!$C$139:$C$151,0),MATCH($H224,'TaxCred&amp;Subs'!$K$137:$S$137,0)),0))),0),0)</f>
        <v>0</v>
      </c>
      <c r="S224" s="95">
        <f t="array" ref="S224">ROUND(IF(IFERROR(VALUE(RIGHT($AD224,1)),0)&gt;2,IF($C224=8,O224*IFERROR(INDEX('TaxCred&amp;Subs'!$K$139:$S$151,MATCH($C224&amp;$D224&amp;LEFT($AD224,7),'TaxCred&amp;Subs'!$E$139:$E$151,0),MATCH($H224,'TaxCred&amp;Subs'!$K$137:$S$137,0)),0),IF($C224=2,O224*IFERROR(INDEX('TaxCred&amp;Subs'!$K$139:$S$151,MATCH($C224&amp;$D224,'TaxCred&amp;Subs'!$D$139:$D$151,0),MATCH($H224,'TaxCred&amp;Subs'!$K$137:$S$137,0)),0),O224*IFERROR(INDEX('TaxCred&amp;Subs'!$K$139:$S$151,MATCH($C224&amp;$D224,'TaxCred&amp;Subs'!$C$139:$C$151,0),MATCH($H224,'TaxCred&amp;Subs'!$K$137:$S$137,0)),0))),0),0)</f>
        <v>0</v>
      </c>
      <c r="T224" s="95">
        <f t="shared" si="15"/>
        <v>0</v>
      </c>
      <c r="U224" s="95">
        <f t="shared" si="16"/>
        <v>0</v>
      </c>
      <c r="V224" s="28" t="s">
        <v>222</v>
      </c>
      <c r="W224" s="31">
        <v>2020</v>
      </c>
      <c r="X224" s="28">
        <v>1</v>
      </c>
      <c r="Y224" s="28">
        <v>0</v>
      </c>
      <c r="Z224" s="196">
        <v>-2.1648257613059296E-4</v>
      </c>
      <c r="AA224" s="196">
        <v>-3.3305011712398917E-3</v>
      </c>
      <c r="AB224" s="28">
        <v>0</v>
      </c>
      <c r="AC224" s="28">
        <v>0</v>
      </c>
      <c r="AD224" s="28" t="s">
        <v>329</v>
      </c>
    </row>
    <row r="225" spans="2:31" ht="14.25" customHeight="1" x14ac:dyDescent="0.2">
      <c r="B225" s="7">
        <f t="shared" si="17"/>
        <v>201</v>
      </c>
      <c r="C225" s="28">
        <v>1</v>
      </c>
      <c r="D225" s="28">
        <v>7</v>
      </c>
      <c r="E225" s="28">
        <v>25</v>
      </c>
      <c r="F225" s="78">
        <v>2033</v>
      </c>
      <c r="G225" s="28">
        <v>2050</v>
      </c>
      <c r="H225" s="31">
        <v>11</v>
      </c>
      <c r="I225" s="28">
        <v>25</v>
      </c>
      <c r="J225" s="28">
        <v>0</v>
      </c>
      <c r="K225" s="28">
        <v>0</v>
      </c>
      <c r="L225" s="28">
        <v>0</v>
      </c>
      <c r="M225" s="156">
        <v>0.96700000000000008</v>
      </c>
      <c r="N225" s="151">
        <v>7625</v>
      </c>
      <c r="O225" s="151">
        <v>3630</v>
      </c>
      <c r="P225" s="95">
        <f t="array" ref="P225">ROUND(IF($F225&lt;='TaxCred&amp;Subs'!$C$49,(IF($C225=2,IF($M225&gt;=IFERROR(INDEX('TaxCred&amp;Subs'!$L$12:$L$47,MATCH(1,($C225&amp;$D225='TaxCred&amp;Subs'!$E$12:$E$47)*($F225='TaxCred&amp;Subs'!$C$12:$C$47),0)
),9999),IFERROR(INDEX('TaxCred&amp;Subs'!$N$12:$N$47,MATCH(1,($C225&amp;$D225='TaxCred&amp;Subs'!$E$12:$E$47)*($F225='TaxCred&amp;Subs'!$C$12:$C$47),0)
),0),0),(IF($M225&gt;=IFERROR(INDEX('TaxCred&amp;Subs'!$H$12:$H$47,MATCH(1,($C225&amp;$D225='TaxCred&amp;Subs'!$D$12:$D$47)*($F225='TaxCred&amp;Subs'!$C$12:$C$47),0)
),9999),IFERROR(INDEX('TaxCred&amp;Subs'!$N$12:$N$47,MATCH(1,($C225&amp;$D225='TaxCred&amp;Subs'!$D$12:$D$47)*($F225='TaxCred&amp;Subs'!$C$12:$C$47),0)
),0),0)))),0)+IF(AND($C225=2,VALUE(RIGHT($AD225,1))&gt;2),(N225-R225)*(IFERROR(INDEX('TaxCred&amp;Subs'!$J$66:$J$99,MATCH(1,($C225&amp;$D225='TaxCred&amp;Subs'!$E$66:$E$99)*($F225='TaxCred&amp;Subs'!$C$66:$C$99),0)),0)),IF(AND($C225=1,VALUE(RIGHT($AD225,1))&gt;2),(N225-R225)*(IFERROR(INDEX('TaxCred&amp;Subs'!$J$66:$J$99,MATCH(1,($C225&amp;$D225='TaxCred&amp;Subs'!$D$66:$D$99)*($F225='TaxCred&amp;Subs'!$C$66:$C$99),0)),0)),IF($C225&gt;2,(N225-R225)*(IFERROR(INDEX('TaxCred&amp;Subs'!$J$66:$J$99,MATCH(1,($C225&amp;$D225='TaxCred&amp;Subs'!$D$66:$D$99)*($F225='TaxCred&amp;Subs'!$C$66:$C$99),0)),0)),0))),0)</f>
        <v>0</v>
      </c>
      <c r="Q225" s="95">
        <f t="array" ref="Q225">ROUND(IF(AND($C225=2,VALUE(RIGHT($AD225,1))&gt;2),(O225-S225)*(IFERROR(INDEX('TaxCred&amp;Subs'!$J$66:$J$99,MATCH(1,($C225&amp;$D225='TaxCred&amp;Subs'!$E$66:$E$99)*($F225='TaxCred&amp;Subs'!$C$66:$C$99),0)),0)),IF(AND($C225=1,VALUE(RIGHT($AD225,1))&gt;2),(O225-S225)*(IFERROR(INDEX('TaxCred&amp;Subs'!$J$66:$J$99,MATCH(1,($C225&amp;$D225='TaxCred&amp;Subs'!$D$66:$D$99)*($F225='TaxCred&amp;Subs'!$C$66:$C$99),0)),0)),IF($C225&gt;2,(O225-S225)*(IFERROR(INDEX('TaxCred&amp;Subs'!$J$66:$J$99,MATCH(1,($C225&amp;$D225='TaxCred&amp;Subs'!$D$66:$D$99)*($F225='TaxCred&amp;Subs'!$C$66:$C$99),0)),0)),0))),0)</f>
        <v>0</v>
      </c>
      <c r="R225" s="95">
        <f t="array" ref="R225">ROUND(IF(IFERROR(VALUE(RIGHT($AD225,1)),0)&gt;2,IF($C225=8,N225*IFERROR(INDEX('TaxCred&amp;Subs'!$K$139:$S$151,MATCH($C225&amp;$D225&amp;LEFT($AD225,7),'TaxCred&amp;Subs'!$E$139:$E$151,0),MATCH($H225,'TaxCred&amp;Subs'!$K$137:$S$137,0)),0),IF($C225=2,N225*IFERROR(INDEX('TaxCred&amp;Subs'!$K$139:$S$151,MATCH($C225&amp;$D225,'TaxCred&amp;Subs'!$D$139:$D$151,0),MATCH($H225,'TaxCred&amp;Subs'!$K$137:$S$137,0)),0),N225*IFERROR(INDEX('TaxCred&amp;Subs'!$K$139:$S$151,MATCH($C225&amp;$D225,'TaxCred&amp;Subs'!$C$139:$C$151,0),MATCH($H225,'TaxCred&amp;Subs'!$K$137:$S$137,0)),0))),0),0)</f>
        <v>0</v>
      </c>
      <c r="S225" s="95">
        <f t="array" ref="S225">ROUND(IF(IFERROR(VALUE(RIGHT($AD225,1)),0)&gt;2,IF($C225=8,O225*IFERROR(INDEX('TaxCred&amp;Subs'!$K$139:$S$151,MATCH($C225&amp;$D225&amp;LEFT($AD225,7),'TaxCred&amp;Subs'!$E$139:$E$151,0),MATCH($H225,'TaxCred&amp;Subs'!$K$137:$S$137,0)),0),IF($C225=2,O225*IFERROR(INDEX('TaxCred&amp;Subs'!$K$139:$S$151,MATCH($C225&amp;$D225,'TaxCred&amp;Subs'!$D$139:$D$151,0),MATCH($H225,'TaxCred&amp;Subs'!$K$137:$S$137,0)),0),O225*IFERROR(INDEX('TaxCred&amp;Subs'!$K$139:$S$151,MATCH($C225&amp;$D225,'TaxCred&amp;Subs'!$C$139:$C$151,0),MATCH($H225,'TaxCred&amp;Subs'!$K$137:$S$137,0)),0))),0),0)</f>
        <v>0</v>
      </c>
      <c r="T225" s="95">
        <f t="shared" si="15"/>
        <v>0</v>
      </c>
      <c r="U225" s="95">
        <f t="shared" si="16"/>
        <v>0</v>
      </c>
      <c r="V225" s="28" t="s">
        <v>222</v>
      </c>
      <c r="W225" s="31">
        <v>2020</v>
      </c>
      <c r="X225" s="28">
        <v>1</v>
      </c>
      <c r="Y225" s="28">
        <v>0</v>
      </c>
      <c r="Z225" s="196">
        <v>-2.1648257613059296E-4</v>
      </c>
      <c r="AA225" s="196">
        <v>-3.3305011712398917E-3</v>
      </c>
      <c r="AB225" s="28">
        <v>0</v>
      </c>
      <c r="AC225" s="28">
        <v>0</v>
      </c>
      <c r="AD225" s="28" t="s">
        <v>329</v>
      </c>
    </row>
    <row r="226" spans="2:31" x14ac:dyDescent="0.2">
      <c r="B226" s="7">
        <f t="shared" si="17"/>
        <v>202</v>
      </c>
      <c r="C226" s="28">
        <v>1</v>
      </c>
      <c r="D226" s="28">
        <v>8</v>
      </c>
      <c r="E226" s="28">
        <v>26</v>
      </c>
      <c r="F226" s="96">
        <v>2020</v>
      </c>
      <c r="G226" s="31">
        <v>2050</v>
      </c>
      <c r="H226" s="28">
        <v>11</v>
      </c>
      <c r="I226" s="28">
        <v>26</v>
      </c>
      <c r="J226" s="28">
        <v>0</v>
      </c>
      <c r="K226" s="28">
        <v>0</v>
      </c>
      <c r="L226" s="28">
        <v>0</v>
      </c>
      <c r="M226" s="156">
        <v>0.86</v>
      </c>
      <c r="N226" s="151">
        <v>5510</v>
      </c>
      <c r="O226" s="151">
        <v>3590</v>
      </c>
      <c r="P226" s="95">
        <f t="array" ref="P226">ROUND(IF($F226&lt;='TaxCred&amp;Subs'!$C$49,(IF($C226=2,IF($M226&gt;=IFERROR(INDEX('TaxCred&amp;Subs'!$L$12:$L$47,MATCH(1,($C226&amp;$D226='TaxCred&amp;Subs'!$E$12:$E$47)*($F226='TaxCred&amp;Subs'!$C$12:$C$47),0)
),9999),IFERROR(INDEX('TaxCred&amp;Subs'!$N$12:$N$47,MATCH(1,($C226&amp;$D226='TaxCred&amp;Subs'!$E$12:$E$47)*($F226='TaxCred&amp;Subs'!$C$12:$C$47),0)
),0),0),(IF($M226&gt;=IFERROR(INDEX('TaxCred&amp;Subs'!$H$12:$H$47,MATCH(1,($C226&amp;$D226='TaxCred&amp;Subs'!$D$12:$D$47)*($F226='TaxCred&amp;Subs'!$C$12:$C$47),0)
),9999),IFERROR(INDEX('TaxCred&amp;Subs'!$N$12:$N$47,MATCH(1,($C226&amp;$D226='TaxCred&amp;Subs'!$D$12:$D$47)*($F226='TaxCred&amp;Subs'!$C$12:$C$47),0)
),0),0)))),0)+IF(AND($C226=2,VALUE(RIGHT($AD226,1))&gt;2),(N226-R226)*(IFERROR(INDEX('TaxCred&amp;Subs'!$J$66:$J$99,MATCH(1,($C226&amp;$D226='TaxCred&amp;Subs'!$E$66:$E$99)*($F226='TaxCred&amp;Subs'!$C$66:$C$99),0)),0)),IF(AND($C226=1,VALUE(RIGHT($AD226,1))&gt;2),(N226-R226)*(IFERROR(INDEX('TaxCred&amp;Subs'!$J$66:$J$99,MATCH(1,($C226&amp;$D226='TaxCred&amp;Subs'!$D$66:$D$99)*($F226='TaxCred&amp;Subs'!$C$66:$C$99),0)),0)),IF($C226&gt;2,(N226-R226)*(IFERROR(INDEX('TaxCred&amp;Subs'!$J$66:$J$99,MATCH(1,($C226&amp;$D226='TaxCred&amp;Subs'!$D$66:$D$99)*($F226='TaxCred&amp;Subs'!$C$66:$C$99),0)),0)),0))),0)</f>
        <v>0</v>
      </c>
      <c r="Q226" s="95">
        <f t="array" ref="Q226">ROUND(IF(AND($C226=2,VALUE(RIGHT($AD226,1))&gt;2),(O226-S226)*(IFERROR(INDEX('TaxCred&amp;Subs'!$J$66:$J$99,MATCH(1,($C226&amp;$D226='TaxCred&amp;Subs'!$E$66:$E$99)*($F226='TaxCred&amp;Subs'!$C$66:$C$99),0)),0)),IF(AND($C226=1,VALUE(RIGHT($AD226,1))&gt;2),(O226-S226)*(IFERROR(INDEX('TaxCred&amp;Subs'!$J$66:$J$99,MATCH(1,($C226&amp;$D226='TaxCred&amp;Subs'!$D$66:$D$99)*($F226='TaxCred&amp;Subs'!$C$66:$C$99),0)),0)),IF($C226&gt;2,(O226-S226)*(IFERROR(INDEX('TaxCred&amp;Subs'!$J$66:$J$99,MATCH(1,($C226&amp;$D226='TaxCred&amp;Subs'!$D$66:$D$99)*($F226='TaxCred&amp;Subs'!$C$66:$C$99),0)),0)),0))),0)</f>
        <v>0</v>
      </c>
      <c r="R226" s="95">
        <f t="array" ref="R226">ROUND(IF(IFERROR(VALUE(RIGHT($AD226,1)),0)&gt;2,IF($C226=8,N226*IFERROR(INDEX('TaxCred&amp;Subs'!$K$139:$S$151,MATCH($C226&amp;$D226&amp;LEFT($AD226,7),'TaxCred&amp;Subs'!$E$139:$E$151,0),MATCH($H226,'TaxCred&amp;Subs'!$K$137:$S$137,0)),0),IF($C226=2,N226*IFERROR(INDEX('TaxCred&amp;Subs'!$K$139:$S$151,MATCH($C226&amp;$D226,'TaxCred&amp;Subs'!$D$139:$D$151,0),MATCH($H226,'TaxCred&amp;Subs'!$K$137:$S$137,0)),0),N226*IFERROR(INDEX('TaxCred&amp;Subs'!$K$139:$S$151,MATCH($C226&amp;$D226,'TaxCred&amp;Subs'!$C$139:$C$151,0),MATCH($H226,'TaxCred&amp;Subs'!$K$137:$S$137,0)),0))),0),0)</f>
        <v>0</v>
      </c>
      <c r="S226" s="95">
        <f t="array" ref="S226">ROUND(IF(IFERROR(VALUE(RIGHT($AD226,1)),0)&gt;2,IF($C226=8,O226*IFERROR(INDEX('TaxCred&amp;Subs'!$K$139:$S$151,MATCH($C226&amp;$D226&amp;LEFT($AD226,7),'TaxCred&amp;Subs'!$E$139:$E$151,0),MATCH($H226,'TaxCred&amp;Subs'!$K$137:$S$137,0)),0),IF($C226=2,O226*IFERROR(INDEX('TaxCred&amp;Subs'!$K$139:$S$151,MATCH($C226&amp;$D226,'TaxCred&amp;Subs'!$D$139:$D$151,0),MATCH($H226,'TaxCred&amp;Subs'!$K$137:$S$137,0)),0),O226*IFERROR(INDEX('TaxCred&amp;Subs'!$K$139:$S$151,MATCH($C226&amp;$D226,'TaxCred&amp;Subs'!$C$139:$C$151,0),MATCH($H226,'TaxCred&amp;Subs'!$K$137:$S$137,0)),0))),0),0)</f>
        <v>0</v>
      </c>
      <c r="T226" s="95">
        <f t="shared" si="15"/>
        <v>0</v>
      </c>
      <c r="U226" s="95">
        <f t="shared" si="16"/>
        <v>0</v>
      </c>
      <c r="V226" s="28" t="s">
        <v>222</v>
      </c>
      <c r="W226" s="31">
        <v>2020</v>
      </c>
      <c r="X226" s="28">
        <v>1</v>
      </c>
      <c r="Y226" s="28">
        <v>0</v>
      </c>
      <c r="Z226" s="196">
        <v>-1.4910780140087843E-4</v>
      </c>
      <c r="AA226" s="196">
        <v>-2.2939661753981298E-3</v>
      </c>
      <c r="AB226" s="28">
        <v>0</v>
      </c>
      <c r="AC226" s="28">
        <v>0</v>
      </c>
      <c r="AD226" s="28" t="s">
        <v>358</v>
      </c>
      <c r="AE226" t="s">
        <v>359</v>
      </c>
    </row>
    <row r="227" spans="2:31" x14ac:dyDescent="0.2">
      <c r="B227" s="7">
        <f t="shared" si="17"/>
        <v>203</v>
      </c>
      <c r="C227" s="28">
        <v>1</v>
      </c>
      <c r="D227" s="28">
        <v>8</v>
      </c>
      <c r="E227" s="31">
        <v>27</v>
      </c>
      <c r="F227" s="96">
        <v>2020</v>
      </c>
      <c r="G227" s="28">
        <v>2022</v>
      </c>
      <c r="H227" s="31">
        <v>11</v>
      </c>
      <c r="I227" s="31">
        <v>27</v>
      </c>
      <c r="J227" s="28">
        <v>0</v>
      </c>
      <c r="K227" s="28">
        <v>0</v>
      </c>
      <c r="L227" s="28">
        <v>0</v>
      </c>
      <c r="M227" s="75">
        <v>0.87</v>
      </c>
      <c r="N227" s="151">
        <v>5600</v>
      </c>
      <c r="O227" s="151">
        <v>3680</v>
      </c>
      <c r="P227" s="95">
        <f t="array" ref="P227">ROUND(IF($F227&lt;='TaxCred&amp;Subs'!$C$49,(IF($C227=2,IF($M227&gt;=IFERROR(INDEX('TaxCred&amp;Subs'!$L$12:$L$47,MATCH(1,($C227&amp;$D227='TaxCred&amp;Subs'!$E$12:$E$47)*($F227='TaxCred&amp;Subs'!$C$12:$C$47),0)
),9999),IFERROR(INDEX('TaxCred&amp;Subs'!$N$12:$N$47,MATCH(1,($C227&amp;$D227='TaxCred&amp;Subs'!$E$12:$E$47)*($F227='TaxCred&amp;Subs'!$C$12:$C$47),0)
),0),0),(IF($M227&gt;=IFERROR(INDEX('TaxCred&amp;Subs'!$H$12:$H$47,MATCH(1,($C227&amp;$D227='TaxCred&amp;Subs'!$D$12:$D$47)*($F227='TaxCred&amp;Subs'!$C$12:$C$47),0)
),9999),IFERROR(INDEX('TaxCred&amp;Subs'!$N$12:$N$47,MATCH(1,($C227&amp;$D227='TaxCred&amp;Subs'!$D$12:$D$47)*($F227='TaxCred&amp;Subs'!$C$12:$C$47),0)
),0),0)))),0)+IF(AND($C227=2,VALUE(RIGHT($AD227,1))&gt;2),(N227-R227)*(IFERROR(INDEX('TaxCred&amp;Subs'!$J$66:$J$99,MATCH(1,($C227&amp;$D227='TaxCred&amp;Subs'!$E$66:$E$99)*($F227='TaxCred&amp;Subs'!$C$66:$C$99),0)),0)),IF(AND($C227=1,VALUE(RIGHT($AD227,1))&gt;2),(N227-R227)*(IFERROR(INDEX('TaxCred&amp;Subs'!$J$66:$J$99,MATCH(1,($C227&amp;$D227='TaxCred&amp;Subs'!$D$66:$D$99)*($F227='TaxCred&amp;Subs'!$C$66:$C$99),0)),0)),IF($C227&gt;2,(N227-R227)*(IFERROR(INDEX('TaxCred&amp;Subs'!$J$66:$J$99,MATCH(1,($C227&amp;$D227='TaxCred&amp;Subs'!$D$66:$D$99)*($F227='TaxCred&amp;Subs'!$C$66:$C$99),0)),0)),0))),0)</f>
        <v>150</v>
      </c>
      <c r="Q227" s="95">
        <f t="array" ref="Q227">ROUND(IF(AND($C227=2,VALUE(RIGHT($AD227,1))&gt;2),(O227-S227)*(IFERROR(INDEX('TaxCred&amp;Subs'!$J$66:$J$99,MATCH(1,($C227&amp;$D227='TaxCred&amp;Subs'!$E$66:$E$99)*($F227='TaxCred&amp;Subs'!$C$66:$C$99),0)),0)),IF(AND($C227=1,VALUE(RIGHT($AD227,1))&gt;2),(O227-S227)*(IFERROR(INDEX('TaxCred&amp;Subs'!$J$66:$J$99,MATCH(1,($C227&amp;$D227='TaxCred&amp;Subs'!$D$66:$D$99)*($F227='TaxCred&amp;Subs'!$C$66:$C$99),0)),0)),IF($C227&gt;2,(O227-S227)*(IFERROR(INDEX('TaxCred&amp;Subs'!$J$66:$J$99,MATCH(1,($C227&amp;$D227='TaxCred&amp;Subs'!$D$66:$D$99)*($F227='TaxCred&amp;Subs'!$C$66:$C$99),0)),0)),0))),0)</f>
        <v>0</v>
      </c>
      <c r="R227" s="95">
        <f t="array" ref="R227">ROUND(IF(IFERROR(VALUE(RIGHT($AD227,1)),0)&gt;2,IF($C227=8,N227*IFERROR(INDEX('TaxCred&amp;Subs'!$K$139:$S$151,MATCH($C227&amp;$D227&amp;LEFT($AD227,7),'TaxCred&amp;Subs'!$E$139:$E$151,0),MATCH($H227,'TaxCred&amp;Subs'!$K$137:$S$137,0)),0),IF($C227=2,N227*IFERROR(INDEX('TaxCred&amp;Subs'!$K$139:$S$151,MATCH($C227&amp;$D227,'TaxCred&amp;Subs'!$D$139:$D$151,0),MATCH($H227,'TaxCred&amp;Subs'!$K$137:$S$137,0)),0),N227*IFERROR(INDEX('TaxCred&amp;Subs'!$K$139:$S$151,MATCH($C227&amp;$D227,'TaxCred&amp;Subs'!$C$139:$C$151,0),MATCH($H227,'TaxCred&amp;Subs'!$K$137:$S$137,0)),0))),0),0)</f>
        <v>0</v>
      </c>
      <c r="S227" s="95">
        <f t="array" ref="S227">ROUND(IF(IFERROR(VALUE(RIGHT($AD227,1)),0)&gt;2,IF($C227=8,O227*IFERROR(INDEX('TaxCred&amp;Subs'!$K$139:$S$151,MATCH($C227&amp;$D227&amp;LEFT($AD227,7),'TaxCred&amp;Subs'!$E$139:$E$151,0),MATCH($H227,'TaxCred&amp;Subs'!$K$137:$S$137,0)),0),IF($C227=2,O227*IFERROR(INDEX('TaxCred&amp;Subs'!$K$139:$S$151,MATCH($C227&amp;$D227,'TaxCred&amp;Subs'!$D$139:$D$151,0),MATCH($H227,'TaxCred&amp;Subs'!$K$137:$S$137,0)),0),O227*IFERROR(INDEX('TaxCred&amp;Subs'!$K$139:$S$151,MATCH($C227&amp;$D227,'TaxCred&amp;Subs'!$C$139:$C$151,0),MATCH($H227,'TaxCred&amp;Subs'!$K$137:$S$137,0)),0))),0),0)</f>
        <v>0</v>
      </c>
      <c r="T227" s="95">
        <f t="shared" si="15"/>
        <v>0</v>
      </c>
      <c r="U227" s="95">
        <f t="shared" si="16"/>
        <v>0</v>
      </c>
      <c r="V227" s="28" t="s">
        <v>222</v>
      </c>
      <c r="W227" s="31">
        <v>2020</v>
      </c>
      <c r="X227" s="28">
        <v>1</v>
      </c>
      <c r="Y227" s="28">
        <v>0</v>
      </c>
      <c r="Z227" s="196">
        <v>-2.3512081462966476E-4</v>
      </c>
      <c r="AA227" s="196">
        <v>-3.6172433019948423E-3</v>
      </c>
      <c r="AB227" s="28">
        <v>0</v>
      </c>
      <c r="AC227" s="28">
        <v>0</v>
      </c>
      <c r="AD227" s="28" t="s">
        <v>360</v>
      </c>
    </row>
    <row r="228" spans="2:31" ht="14.25" customHeight="1" x14ac:dyDescent="0.2">
      <c r="B228" s="7">
        <f t="shared" si="17"/>
        <v>204</v>
      </c>
      <c r="C228" s="28">
        <v>1</v>
      </c>
      <c r="D228" s="28">
        <v>8</v>
      </c>
      <c r="E228" s="31">
        <v>27</v>
      </c>
      <c r="F228" s="78">
        <v>2023</v>
      </c>
      <c r="G228" s="28">
        <v>2026</v>
      </c>
      <c r="H228" s="31">
        <v>11</v>
      </c>
      <c r="I228" s="31">
        <v>27</v>
      </c>
      <c r="J228" s="28">
        <v>0</v>
      </c>
      <c r="K228" s="28">
        <v>0</v>
      </c>
      <c r="L228" s="28">
        <v>0</v>
      </c>
      <c r="M228" s="75">
        <v>0.87</v>
      </c>
      <c r="N228" s="151">
        <v>5600</v>
      </c>
      <c r="O228" s="151">
        <v>3680</v>
      </c>
      <c r="P228" s="95">
        <f t="array" ref="P228">ROUND(IF($F228&lt;='TaxCred&amp;Subs'!$C$49,(IF($C228=2,IF($M228&gt;=IFERROR(INDEX('TaxCred&amp;Subs'!$L$12:$L$47,MATCH(1,($C228&amp;$D228='TaxCred&amp;Subs'!$E$12:$E$47)*($F228='TaxCred&amp;Subs'!$C$12:$C$47),0)
),9999),IFERROR(INDEX('TaxCred&amp;Subs'!$N$12:$N$47,MATCH(1,($C228&amp;$D228='TaxCred&amp;Subs'!$E$12:$E$47)*($F228='TaxCred&amp;Subs'!$C$12:$C$47),0)
),0),0),(IF($M228&gt;=IFERROR(INDEX('TaxCred&amp;Subs'!$H$12:$H$47,MATCH(1,($C228&amp;$D228='TaxCred&amp;Subs'!$D$12:$D$47)*($F228='TaxCred&amp;Subs'!$C$12:$C$47),0)
),9999),IFERROR(INDEX('TaxCred&amp;Subs'!$N$12:$N$47,MATCH(1,($C228&amp;$D228='TaxCred&amp;Subs'!$D$12:$D$47)*($F228='TaxCred&amp;Subs'!$C$12:$C$47),0)
),0),0)))),0)+IF(AND($C228=2,VALUE(RIGHT($AD228,1))&gt;2),(N228-R228)*(IFERROR(INDEX('TaxCred&amp;Subs'!$J$66:$J$99,MATCH(1,($C228&amp;$D228='TaxCred&amp;Subs'!$E$66:$E$99)*($F228='TaxCred&amp;Subs'!$C$66:$C$99),0)),0)),IF(AND($C228=1,VALUE(RIGHT($AD228,1))&gt;2),(N228-R228)*(IFERROR(INDEX('TaxCred&amp;Subs'!$J$66:$J$99,MATCH(1,($C228&amp;$D228='TaxCred&amp;Subs'!$D$66:$D$99)*($F228='TaxCred&amp;Subs'!$C$66:$C$99),0)),0)),IF($C228&gt;2,(N228-R228)*(IFERROR(INDEX('TaxCred&amp;Subs'!$J$66:$J$99,MATCH(1,($C228&amp;$D228='TaxCred&amp;Subs'!$D$66:$D$99)*($F228='TaxCred&amp;Subs'!$C$66:$C$99),0)),0)),0))),0)</f>
        <v>600</v>
      </c>
      <c r="Q228" s="95">
        <f t="array" ref="Q228">ROUND(IF(AND($C228=2,VALUE(RIGHT($AD228,1))&gt;2),(O228-S228)*(IFERROR(INDEX('TaxCred&amp;Subs'!$J$66:$J$99,MATCH(1,($C228&amp;$D228='TaxCred&amp;Subs'!$E$66:$E$99)*($F228='TaxCred&amp;Subs'!$C$66:$C$99),0)),0)),IF(AND($C228=1,VALUE(RIGHT($AD228,1))&gt;2),(O228-S228)*(IFERROR(INDEX('TaxCred&amp;Subs'!$J$66:$J$99,MATCH(1,($C228&amp;$D228='TaxCred&amp;Subs'!$D$66:$D$99)*($F228='TaxCred&amp;Subs'!$C$66:$C$99),0)),0)),IF($C228&gt;2,(O228-S228)*(IFERROR(INDEX('TaxCred&amp;Subs'!$J$66:$J$99,MATCH(1,($C228&amp;$D228='TaxCred&amp;Subs'!$D$66:$D$99)*($F228='TaxCred&amp;Subs'!$C$66:$C$99),0)),0)),0))),0)</f>
        <v>0</v>
      </c>
      <c r="R228" s="95">
        <f t="array" ref="R228">ROUND(IF(IFERROR(VALUE(RIGHT($AD228,1)),0)&gt;2,IF($C228=8,N228*IFERROR(INDEX('TaxCred&amp;Subs'!$K$139:$S$151,MATCH($C228&amp;$D228&amp;LEFT($AD228,7),'TaxCred&amp;Subs'!$E$139:$E$151,0),MATCH($H228,'TaxCred&amp;Subs'!$K$137:$S$137,0)),0),IF($C228=2,N228*IFERROR(INDEX('TaxCred&amp;Subs'!$K$139:$S$151,MATCH($C228&amp;$D228,'TaxCred&amp;Subs'!$D$139:$D$151,0),MATCH($H228,'TaxCred&amp;Subs'!$K$137:$S$137,0)),0),N228*IFERROR(INDEX('TaxCred&amp;Subs'!$K$139:$S$151,MATCH($C228&amp;$D228,'TaxCred&amp;Subs'!$C$139:$C$151,0),MATCH($H228,'TaxCred&amp;Subs'!$K$137:$S$137,0)),0))),0),0)</f>
        <v>0</v>
      </c>
      <c r="S228" s="95">
        <f t="array" ref="S228">ROUND(IF(IFERROR(VALUE(RIGHT($AD228,1)),0)&gt;2,IF($C228=8,O228*IFERROR(INDEX('TaxCred&amp;Subs'!$K$139:$S$151,MATCH($C228&amp;$D228&amp;LEFT($AD228,7),'TaxCred&amp;Subs'!$E$139:$E$151,0),MATCH($H228,'TaxCred&amp;Subs'!$K$137:$S$137,0)),0),IF($C228=2,O228*IFERROR(INDEX('TaxCred&amp;Subs'!$K$139:$S$151,MATCH($C228&amp;$D228,'TaxCred&amp;Subs'!$D$139:$D$151,0),MATCH($H228,'TaxCred&amp;Subs'!$K$137:$S$137,0)),0),O228*IFERROR(INDEX('TaxCred&amp;Subs'!$K$139:$S$151,MATCH($C228&amp;$D228,'TaxCred&amp;Subs'!$C$139:$C$151,0),MATCH($H228,'TaxCred&amp;Subs'!$K$137:$S$137,0)),0))),0),0)</f>
        <v>0</v>
      </c>
      <c r="T228" s="95">
        <f t="shared" si="15"/>
        <v>0</v>
      </c>
      <c r="U228" s="95">
        <f t="shared" si="16"/>
        <v>0</v>
      </c>
      <c r="V228" s="28" t="s">
        <v>222</v>
      </c>
      <c r="W228" s="31">
        <v>2020</v>
      </c>
      <c r="X228" s="28">
        <v>1</v>
      </c>
      <c r="Y228" s="28">
        <v>0</v>
      </c>
      <c r="Z228" s="196">
        <v>-2.3512081462966476E-4</v>
      </c>
      <c r="AA228" s="196">
        <v>-3.6172433019948423E-3</v>
      </c>
      <c r="AB228" s="28">
        <v>0</v>
      </c>
      <c r="AC228" s="28">
        <v>0</v>
      </c>
      <c r="AD228" s="28" t="s">
        <v>360</v>
      </c>
    </row>
    <row r="229" spans="2:31" ht="14.25" customHeight="1" x14ac:dyDescent="0.2">
      <c r="B229" s="7">
        <f t="shared" si="17"/>
        <v>205</v>
      </c>
      <c r="C229" s="28">
        <v>1</v>
      </c>
      <c r="D229" s="28">
        <v>8</v>
      </c>
      <c r="E229" s="31">
        <v>27</v>
      </c>
      <c r="F229" s="78">
        <v>2027</v>
      </c>
      <c r="G229" s="28">
        <v>2050</v>
      </c>
      <c r="H229" s="31">
        <v>11</v>
      </c>
      <c r="I229" s="31">
        <v>27</v>
      </c>
      <c r="J229" s="28">
        <v>0</v>
      </c>
      <c r="K229" s="28">
        <v>0</v>
      </c>
      <c r="L229" s="28">
        <v>0</v>
      </c>
      <c r="M229" s="75">
        <v>0.87</v>
      </c>
      <c r="N229" s="151">
        <v>5600</v>
      </c>
      <c r="O229" s="151">
        <v>3680</v>
      </c>
      <c r="P229" s="95">
        <f t="array" ref="P229">ROUND(IF($F229&lt;='TaxCred&amp;Subs'!$C$49,(IF($C229=2,IF($M229&gt;=IFERROR(INDEX('TaxCred&amp;Subs'!$L$12:$L$47,MATCH(1,($C229&amp;$D229='TaxCred&amp;Subs'!$E$12:$E$47)*($F229='TaxCred&amp;Subs'!$C$12:$C$47),0)
),9999),IFERROR(INDEX('TaxCred&amp;Subs'!$N$12:$N$47,MATCH(1,($C229&amp;$D229='TaxCred&amp;Subs'!$E$12:$E$47)*($F229='TaxCred&amp;Subs'!$C$12:$C$47),0)
),0),0),(IF($M229&gt;=IFERROR(INDEX('TaxCred&amp;Subs'!$H$12:$H$47,MATCH(1,($C229&amp;$D229='TaxCred&amp;Subs'!$D$12:$D$47)*($F229='TaxCred&amp;Subs'!$C$12:$C$47),0)
),9999),IFERROR(INDEX('TaxCred&amp;Subs'!$N$12:$N$47,MATCH(1,($C229&amp;$D229='TaxCred&amp;Subs'!$D$12:$D$47)*($F229='TaxCred&amp;Subs'!$C$12:$C$47),0)
),0),0)))),0)+IF(AND($C229=2,VALUE(RIGHT($AD229,1))&gt;2),(N229-R229)*(IFERROR(INDEX('TaxCred&amp;Subs'!$J$66:$J$99,MATCH(1,($C229&amp;$D229='TaxCred&amp;Subs'!$E$66:$E$99)*($F229='TaxCred&amp;Subs'!$C$66:$C$99),0)),0)),IF(AND($C229=1,VALUE(RIGHT($AD229,1))&gt;2),(N229-R229)*(IFERROR(INDEX('TaxCred&amp;Subs'!$J$66:$J$99,MATCH(1,($C229&amp;$D229='TaxCred&amp;Subs'!$D$66:$D$99)*($F229='TaxCred&amp;Subs'!$C$66:$C$99),0)),0)),IF($C229&gt;2,(N229-R229)*(IFERROR(INDEX('TaxCred&amp;Subs'!$J$66:$J$99,MATCH(1,($C229&amp;$D229='TaxCred&amp;Subs'!$D$66:$D$99)*($F229='TaxCred&amp;Subs'!$C$66:$C$99),0)),0)),0))),0)</f>
        <v>0</v>
      </c>
      <c r="Q229" s="95">
        <f t="array" ref="Q229">ROUND(IF(AND($C229=2,VALUE(RIGHT($AD229,1))&gt;2),(O229-S229)*(IFERROR(INDEX('TaxCred&amp;Subs'!$J$66:$J$99,MATCH(1,($C229&amp;$D229='TaxCred&amp;Subs'!$E$66:$E$99)*($F229='TaxCred&amp;Subs'!$C$66:$C$99),0)),0)),IF(AND($C229=1,VALUE(RIGHT($AD229,1))&gt;2),(O229-S229)*(IFERROR(INDEX('TaxCred&amp;Subs'!$J$66:$J$99,MATCH(1,($C229&amp;$D229='TaxCred&amp;Subs'!$D$66:$D$99)*($F229='TaxCred&amp;Subs'!$C$66:$C$99),0)),0)),IF($C229&gt;2,(O229-S229)*(IFERROR(INDEX('TaxCred&amp;Subs'!$J$66:$J$99,MATCH(1,($C229&amp;$D229='TaxCred&amp;Subs'!$D$66:$D$99)*($F229='TaxCred&amp;Subs'!$C$66:$C$99),0)),0)),0))),0)</f>
        <v>0</v>
      </c>
      <c r="R229" s="95">
        <f t="array" ref="R229">ROUND(IF(IFERROR(VALUE(RIGHT($AD229,1)),0)&gt;2,IF($C229=8,N229*IFERROR(INDEX('TaxCred&amp;Subs'!$K$139:$S$151,MATCH($C229&amp;$D229&amp;LEFT($AD229,7),'TaxCred&amp;Subs'!$E$139:$E$151,0),MATCH($H229,'TaxCred&amp;Subs'!$K$137:$S$137,0)),0),IF($C229=2,N229*IFERROR(INDEX('TaxCred&amp;Subs'!$K$139:$S$151,MATCH($C229&amp;$D229,'TaxCred&amp;Subs'!$D$139:$D$151,0),MATCH($H229,'TaxCred&amp;Subs'!$K$137:$S$137,0)),0),N229*IFERROR(INDEX('TaxCred&amp;Subs'!$K$139:$S$151,MATCH($C229&amp;$D229,'TaxCred&amp;Subs'!$C$139:$C$151,0),MATCH($H229,'TaxCred&amp;Subs'!$K$137:$S$137,0)),0))),0),0)</f>
        <v>0</v>
      </c>
      <c r="S229" s="95">
        <f t="array" ref="S229">ROUND(IF(IFERROR(VALUE(RIGHT($AD229,1)),0)&gt;2,IF($C229=8,O229*IFERROR(INDEX('TaxCred&amp;Subs'!$K$139:$S$151,MATCH($C229&amp;$D229&amp;LEFT($AD229,7),'TaxCred&amp;Subs'!$E$139:$E$151,0),MATCH($H229,'TaxCred&amp;Subs'!$K$137:$S$137,0)),0),IF($C229=2,O229*IFERROR(INDEX('TaxCred&amp;Subs'!$K$139:$S$151,MATCH($C229&amp;$D229,'TaxCred&amp;Subs'!$D$139:$D$151,0),MATCH($H229,'TaxCred&amp;Subs'!$K$137:$S$137,0)),0),O229*IFERROR(INDEX('TaxCred&amp;Subs'!$K$139:$S$151,MATCH($C229&amp;$D229,'TaxCred&amp;Subs'!$C$139:$C$151,0),MATCH($H229,'TaxCred&amp;Subs'!$K$137:$S$137,0)),0))),0),0)</f>
        <v>0</v>
      </c>
      <c r="T229" s="95">
        <f t="shared" si="15"/>
        <v>0</v>
      </c>
      <c r="U229" s="95">
        <f t="shared" si="16"/>
        <v>0</v>
      </c>
      <c r="V229" s="28" t="s">
        <v>222</v>
      </c>
      <c r="W229" s="31">
        <v>2020</v>
      </c>
      <c r="X229" s="28">
        <v>1</v>
      </c>
      <c r="Y229" s="28">
        <v>0</v>
      </c>
      <c r="Z229" s="196">
        <v>-2.3512081462966476E-4</v>
      </c>
      <c r="AA229" s="196">
        <v>-3.6172433019948423E-3</v>
      </c>
      <c r="AB229" s="28">
        <v>0</v>
      </c>
      <c r="AC229" s="28">
        <v>0</v>
      </c>
      <c r="AD229" s="28" t="s">
        <v>360</v>
      </c>
    </row>
    <row r="230" spans="2:31" x14ac:dyDescent="0.2">
      <c r="B230" s="7">
        <f t="shared" si="17"/>
        <v>206</v>
      </c>
      <c r="C230" s="28">
        <v>1</v>
      </c>
      <c r="D230" s="28">
        <v>8</v>
      </c>
      <c r="E230" s="31">
        <v>28</v>
      </c>
      <c r="F230" s="96">
        <v>2020</v>
      </c>
      <c r="G230" s="28">
        <v>2022</v>
      </c>
      <c r="H230" s="31">
        <v>11</v>
      </c>
      <c r="I230" s="31">
        <v>28</v>
      </c>
      <c r="J230" s="28">
        <v>0</v>
      </c>
      <c r="K230" s="28">
        <v>0</v>
      </c>
      <c r="L230" s="28">
        <v>0</v>
      </c>
      <c r="M230" s="156">
        <v>0.88</v>
      </c>
      <c r="N230" s="151">
        <v>5690</v>
      </c>
      <c r="O230" s="151">
        <v>3770</v>
      </c>
      <c r="P230" s="95">
        <f t="array" ref="P230">ROUND(IF($F230&lt;='TaxCred&amp;Subs'!$C$49,(IF($C230=2,IF($M230&gt;=IFERROR(INDEX('TaxCred&amp;Subs'!$L$12:$L$47,MATCH(1,($C230&amp;$D230='TaxCred&amp;Subs'!$E$12:$E$47)*($F230='TaxCred&amp;Subs'!$C$12:$C$47),0)
),9999),IFERROR(INDEX('TaxCred&amp;Subs'!$N$12:$N$47,MATCH(1,($C230&amp;$D230='TaxCred&amp;Subs'!$E$12:$E$47)*($F230='TaxCred&amp;Subs'!$C$12:$C$47),0)
),0),0),(IF($M230&gt;=IFERROR(INDEX('TaxCred&amp;Subs'!$H$12:$H$47,MATCH(1,($C230&amp;$D230='TaxCred&amp;Subs'!$D$12:$D$47)*($F230='TaxCred&amp;Subs'!$C$12:$C$47),0)
),9999),IFERROR(INDEX('TaxCred&amp;Subs'!$N$12:$N$47,MATCH(1,($C230&amp;$D230='TaxCred&amp;Subs'!$D$12:$D$47)*($F230='TaxCred&amp;Subs'!$C$12:$C$47),0)
),0),0)))),0)+IF(AND($C230=2,VALUE(RIGHT($AD230,1))&gt;2),(N230-R230)*(IFERROR(INDEX('TaxCred&amp;Subs'!$J$66:$J$99,MATCH(1,($C230&amp;$D230='TaxCred&amp;Subs'!$E$66:$E$99)*($F230='TaxCred&amp;Subs'!$C$66:$C$99),0)),0)),IF(AND($C230=1,VALUE(RIGHT($AD230,1))&gt;2),(N230-R230)*(IFERROR(INDEX('TaxCred&amp;Subs'!$J$66:$J$99,MATCH(1,($C230&amp;$D230='TaxCred&amp;Subs'!$D$66:$D$99)*($F230='TaxCred&amp;Subs'!$C$66:$C$99),0)),0)),IF($C230&gt;2,(N230-R230)*(IFERROR(INDEX('TaxCred&amp;Subs'!$J$66:$J$99,MATCH(1,($C230&amp;$D230='TaxCred&amp;Subs'!$D$66:$D$99)*($F230='TaxCred&amp;Subs'!$C$66:$C$99),0)),0)),0))),0)</f>
        <v>150</v>
      </c>
      <c r="Q230" s="95">
        <f t="array" ref="Q230">ROUND(IF(AND($C230=2,VALUE(RIGHT($AD230,1))&gt;2),(O230-S230)*(IFERROR(INDEX('TaxCred&amp;Subs'!$J$66:$J$99,MATCH(1,($C230&amp;$D230='TaxCred&amp;Subs'!$E$66:$E$99)*($F230='TaxCred&amp;Subs'!$C$66:$C$99),0)),0)),IF(AND($C230=1,VALUE(RIGHT($AD230,1))&gt;2),(O230-S230)*(IFERROR(INDEX('TaxCred&amp;Subs'!$J$66:$J$99,MATCH(1,($C230&amp;$D230='TaxCred&amp;Subs'!$D$66:$D$99)*($F230='TaxCred&amp;Subs'!$C$66:$C$99),0)),0)),IF($C230&gt;2,(O230-S230)*(IFERROR(INDEX('TaxCred&amp;Subs'!$J$66:$J$99,MATCH(1,($C230&amp;$D230='TaxCred&amp;Subs'!$D$66:$D$99)*($F230='TaxCred&amp;Subs'!$C$66:$C$99),0)),0)),0))),0)</f>
        <v>0</v>
      </c>
      <c r="R230" s="95">
        <f t="array" ref="R230">ROUND(IF(IFERROR(VALUE(RIGHT($AD230,1)),0)&gt;2,IF($C230=8,N230*IFERROR(INDEX('TaxCred&amp;Subs'!$K$139:$S$151,MATCH($C230&amp;$D230&amp;LEFT($AD230,7),'TaxCred&amp;Subs'!$E$139:$E$151,0),MATCH($H230,'TaxCred&amp;Subs'!$K$137:$S$137,0)),0),IF($C230=2,N230*IFERROR(INDEX('TaxCred&amp;Subs'!$K$139:$S$151,MATCH($C230&amp;$D230,'TaxCred&amp;Subs'!$D$139:$D$151,0),MATCH($H230,'TaxCred&amp;Subs'!$K$137:$S$137,0)),0),N230*IFERROR(INDEX('TaxCred&amp;Subs'!$K$139:$S$151,MATCH($C230&amp;$D230,'TaxCred&amp;Subs'!$C$139:$C$151,0),MATCH($H230,'TaxCred&amp;Subs'!$K$137:$S$137,0)),0))),0),0)</f>
        <v>0</v>
      </c>
      <c r="S230" s="95">
        <f t="array" ref="S230">ROUND(IF(IFERROR(VALUE(RIGHT($AD230,1)),0)&gt;2,IF($C230=8,O230*IFERROR(INDEX('TaxCred&amp;Subs'!$K$139:$S$151,MATCH($C230&amp;$D230&amp;LEFT($AD230,7),'TaxCred&amp;Subs'!$E$139:$E$151,0),MATCH($H230,'TaxCred&amp;Subs'!$K$137:$S$137,0)),0),IF($C230=2,O230*IFERROR(INDEX('TaxCred&amp;Subs'!$K$139:$S$151,MATCH($C230&amp;$D230,'TaxCred&amp;Subs'!$D$139:$D$151,0),MATCH($H230,'TaxCred&amp;Subs'!$K$137:$S$137,0)),0),O230*IFERROR(INDEX('TaxCred&amp;Subs'!$K$139:$S$151,MATCH($C230&amp;$D230,'TaxCred&amp;Subs'!$C$139:$C$151,0),MATCH($H230,'TaxCred&amp;Subs'!$K$137:$S$137,0)),0))),0),0)</f>
        <v>0</v>
      </c>
      <c r="T230" s="95">
        <f t="shared" si="15"/>
        <v>0</v>
      </c>
      <c r="U230" s="95">
        <f t="shared" si="16"/>
        <v>0</v>
      </c>
      <c r="V230" s="28" t="s">
        <v>222</v>
      </c>
      <c r="W230" s="31">
        <v>2020</v>
      </c>
      <c r="X230" s="28">
        <v>1</v>
      </c>
      <c r="Y230" s="28">
        <v>0</v>
      </c>
      <c r="Z230" s="196">
        <v>-2.3512081462966476E-4</v>
      </c>
      <c r="AA230" s="196">
        <v>-3.6172433019948423E-3</v>
      </c>
      <c r="AB230" s="28">
        <v>0</v>
      </c>
      <c r="AC230" s="28">
        <v>0</v>
      </c>
      <c r="AD230" s="28" t="s">
        <v>361</v>
      </c>
    </row>
    <row r="231" spans="2:31" ht="14.25" customHeight="1" x14ac:dyDescent="0.2">
      <c r="B231" s="7">
        <f t="shared" si="17"/>
        <v>207</v>
      </c>
      <c r="C231" s="28">
        <v>1</v>
      </c>
      <c r="D231" s="28">
        <v>8</v>
      </c>
      <c r="E231" s="31">
        <v>28</v>
      </c>
      <c r="F231" s="78">
        <v>2023</v>
      </c>
      <c r="G231" s="31">
        <v>2026</v>
      </c>
      <c r="H231" s="31">
        <v>11</v>
      </c>
      <c r="I231" s="31">
        <v>28</v>
      </c>
      <c r="J231" s="28">
        <v>0</v>
      </c>
      <c r="K231" s="28">
        <v>0</v>
      </c>
      <c r="L231" s="28">
        <v>0</v>
      </c>
      <c r="M231" s="156">
        <v>0.88</v>
      </c>
      <c r="N231" s="151">
        <v>5690</v>
      </c>
      <c r="O231" s="151">
        <v>3770</v>
      </c>
      <c r="P231" s="95">
        <f t="array" ref="P231">ROUND(IF($F231&lt;='TaxCred&amp;Subs'!$C$49,(IF($C231=2,IF($M231&gt;=IFERROR(INDEX('TaxCred&amp;Subs'!$L$12:$L$47,MATCH(1,($C231&amp;$D231='TaxCred&amp;Subs'!$E$12:$E$47)*($F231='TaxCred&amp;Subs'!$C$12:$C$47),0)
),9999),IFERROR(INDEX('TaxCred&amp;Subs'!$N$12:$N$47,MATCH(1,($C231&amp;$D231='TaxCred&amp;Subs'!$E$12:$E$47)*($F231='TaxCred&amp;Subs'!$C$12:$C$47),0)
),0),0),(IF($M231&gt;=IFERROR(INDEX('TaxCred&amp;Subs'!$H$12:$H$47,MATCH(1,($C231&amp;$D231='TaxCred&amp;Subs'!$D$12:$D$47)*($F231='TaxCred&amp;Subs'!$C$12:$C$47),0)
),9999),IFERROR(INDEX('TaxCred&amp;Subs'!$N$12:$N$47,MATCH(1,($C231&amp;$D231='TaxCred&amp;Subs'!$D$12:$D$47)*($F231='TaxCred&amp;Subs'!$C$12:$C$47),0)
),0),0)))),0)+IF(AND($C231=2,VALUE(RIGHT($AD231,1))&gt;2),(N231-R231)*(IFERROR(INDEX('TaxCred&amp;Subs'!$J$66:$J$99,MATCH(1,($C231&amp;$D231='TaxCred&amp;Subs'!$E$66:$E$99)*($F231='TaxCred&amp;Subs'!$C$66:$C$99),0)),0)),IF(AND($C231=1,VALUE(RIGHT($AD231,1))&gt;2),(N231-R231)*(IFERROR(INDEX('TaxCred&amp;Subs'!$J$66:$J$99,MATCH(1,($C231&amp;$D231='TaxCred&amp;Subs'!$D$66:$D$99)*($F231='TaxCred&amp;Subs'!$C$66:$C$99),0)),0)),IF($C231&gt;2,(N231-R231)*(IFERROR(INDEX('TaxCred&amp;Subs'!$J$66:$J$99,MATCH(1,($C231&amp;$D231='TaxCred&amp;Subs'!$D$66:$D$99)*($F231='TaxCred&amp;Subs'!$C$66:$C$99),0)),0)),0))),0)</f>
        <v>600</v>
      </c>
      <c r="Q231" s="95">
        <f t="array" ref="Q231">ROUND(IF(AND($C231=2,VALUE(RIGHT($AD231,1))&gt;2),(O231-S231)*(IFERROR(INDEX('TaxCred&amp;Subs'!$J$66:$J$99,MATCH(1,($C231&amp;$D231='TaxCred&amp;Subs'!$E$66:$E$99)*($F231='TaxCred&amp;Subs'!$C$66:$C$99),0)),0)),IF(AND($C231=1,VALUE(RIGHT($AD231,1))&gt;2),(O231-S231)*(IFERROR(INDEX('TaxCred&amp;Subs'!$J$66:$J$99,MATCH(1,($C231&amp;$D231='TaxCred&amp;Subs'!$D$66:$D$99)*($F231='TaxCred&amp;Subs'!$C$66:$C$99),0)),0)),IF($C231&gt;2,(O231-S231)*(IFERROR(INDEX('TaxCred&amp;Subs'!$J$66:$J$99,MATCH(1,($C231&amp;$D231='TaxCred&amp;Subs'!$D$66:$D$99)*($F231='TaxCred&amp;Subs'!$C$66:$C$99),0)),0)),0))),0)</f>
        <v>0</v>
      </c>
      <c r="R231" s="95">
        <f t="array" ref="R231">ROUND(IF(IFERROR(VALUE(RIGHT($AD231,1)),0)&gt;2,IF($C231=8,N231*IFERROR(INDEX('TaxCred&amp;Subs'!$K$139:$S$151,MATCH($C231&amp;$D231&amp;LEFT($AD231,7),'TaxCred&amp;Subs'!$E$139:$E$151,0),MATCH($H231,'TaxCred&amp;Subs'!$K$137:$S$137,0)),0),IF($C231=2,N231*IFERROR(INDEX('TaxCred&amp;Subs'!$K$139:$S$151,MATCH($C231&amp;$D231,'TaxCred&amp;Subs'!$D$139:$D$151,0),MATCH($H231,'TaxCred&amp;Subs'!$K$137:$S$137,0)),0),N231*IFERROR(INDEX('TaxCred&amp;Subs'!$K$139:$S$151,MATCH($C231&amp;$D231,'TaxCred&amp;Subs'!$C$139:$C$151,0),MATCH($H231,'TaxCred&amp;Subs'!$K$137:$S$137,0)),0))),0),0)</f>
        <v>0</v>
      </c>
      <c r="S231" s="95">
        <f t="array" ref="S231">ROUND(IF(IFERROR(VALUE(RIGHT($AD231,1)),0)&gt;2,IF($C231=8,O231*IFERROR(INDEX('TaxCred&amp;Subs'!$K$139:$S$151,MATCH($C231&amp;$D231&amp;LEFT($AD231,7),'TaxCred&amp;Subs'!$E$139:$E$151,0),MATCH($H231,'TaxCred&amp;Subs'!$K$137:$S$137,0)),0),IF($C231=2,O231*IFERROR(INDEX('TaxCred&amp;Subs'!$K$139:$S$151,MATCH($C231&amp;$D231,'TaxCred&amp;Subs'!$D$139:$D$151,0),MATCH($H231,'TaxCred&amp;Subs'!$K$137:$S$137,0)),0),O231*IFERROR(INDEX('TaxCred&amp;Subs'!$K$139:$S$151,MATCH($C231&amp;$D231,'TaxCred&amp;Subs'!$C$139:$C$151,0),MATCH($H231,'TaxCred&amp;Subs'!$K$137:$S$137,0)),0))),0),0)</f>
        <v>0</v>
      </c>
      <c r="T231" s="95">
        <f t="shared" si="15"/>
        <v>0</v>
      </c>
      <c r="U231" s="95">
        <f t="shared" si="16"/>
        <v>0</v>
      </c>
      <c r="V231" s="28" t="s">
        <v>222</v>
      </c>
      <c r="W231" s="31">
        <v>2020</v>
      </c>
      <c r="X231" s="28">
        <v>1</v>
      </c>
      <c r="Y231" s="28">
        <v>0</v>
      </c>
      <c r="Z231" s="196">
        <v>-2.3512081462966476E-4</v>
      </c>
      <c r="AA231" s="196">
        <v>-3.6172433019948423E-3</v>
      </c>
      <c r="AB231" s="28">
        <v>0</v>
      </c>
      <c r="AC231" s="28">
        <v>0</v>
      </c>
      <c r="AD231" s="28" t="s">
        <v>361</v>
      </c>
    </row>
    <row r="232" spans="2:31" ht="14.25" customHeight="1" x14ac:dyDescent="0.2">
      <c r="B232" s="7">
        <f t="shared" si="17"/>
        <v>208</v>
      </c>
      <c r="C232" s="28">
        <v>1</v>
      </c>
      <c r="D232" s="28">
        <v>8</v>
      </c>
      <c r="E232" s="31">
        <v>28</v>
      </c>
      <c r="F232" s="96">
        <v>2027</v>
      </c>
      <c r="G232" s="28">
        <v>2050</v>
      </c>
      <c r="H232" s="31">
        <v>11</v>
      </c>
      <c r="I232" s="31">
        <v>28</v>
      </c>
      <c r="J232" s="28">
        <v>0</v>
      </c>
      <c r="K232" s="28">
        <v>0</v>
      </c>
      <c r="L232" s="28">
        <v>0</v>
      </c>
      <c r="M232" s="156">
        <v>0.88</v>
      </c>
      <c r="N232" s="151">
        <v>5690</v>
      </c>
      <c r="O232" s="151">
        <v>3770</v>
      </c>
      <c r="P232" s="95">
        <f t="array" ref="P232">ROUND(IF($F232&lt;='TaxCred&amp;Subs'!$C$49,(IF($C232=2,IF($M232&gt;=IFERROR(INDEX('TaxCred&amp;Subs'!$L$12:$L$47,MATCH(1,($C232&amp;$D232='TaxCred&amp;Subs'!$E$12:$E$47)*($F232='TaxCred&amp;Subs'!$C$12:$C$47),0)
),9999),IFERROR(INDEX('TaxCred&amp;Subs'!$N$12:$N$47,MATCH(1,($C232&amp;$D232='TaxCred&amp;Subs'!$E$12:$E$47)*($F232='TaxCred&amp;Subs'!$C$12:$C$47),0)
),0),0),(IF($M232&gt;=IFERROR(INDEX('TaxCred&amp;Subs'!$H$12:$H$47,MATCH(1,($C232&amp;$D232='TaxCred&amp;Subs'!$D$12:$D$47)*($F232='TaxCred&amp;Subs'!$C$12:$C$47),0)
),9999),IFERROR(INDEX('TaxCred&amp;Subs'!$N$12:$N$47,MATCH(1,($C232&amp;$D232='TaxCred&amp;Subs'!$D$12:$D$47)*($F232='TaxCred&amp;Subs'!$C$12:$C$47),0)
),0),0)))),0)+IF(AND($C232=2,VALUE(RIGHT($AD232,1))&gt;2),(N232-R232)*(IFERROR(INDEX('TaxCred&amp;Subs'!$J$66:$J$99,MATCH(1,($C232&amp;$D232='TaxCred&amp;Subs'!$E$66:$E$99)*($F232='TaxCred&amp;Subs'!$C$66:$C$99),0)),0)),IF(AND($C232=1,VALUE(RIGHT($AD232,1))&gt;2),(N232-R232)*(IFERROR(INDEX('TaxCred&amp;Subs'!$J$66:$J$99,MATCH(1,($C232&amp;$D232='TaxCred&amp;Subs'!$D$66:$D$99)*($F232='TaxCred&amp;Subs'!$C$66:$C$99),0)),0)),IF($C232&gt;2,(N232-R232)*(IFERROR(INDEX('TaxCred&amp;Subs'!$J$66:$J$99,MATCH(1,($C232&amp;$D232='TaxCred&amp;Subs'!$D$66:$D$99)*($F232='TaxCred&amp;Subs'!$C$66:$C$99),0)),0)),0))),0)</f>
        <v>0</v>
      </c>
      <c r="Q232" s="95">
        <f t="array" ref="Q232">ROUND(IF(AND($C232=2,VALUE(RIGHT($AD232,1))&gt;2),(O232-S232)*(IFERROR(INDEX('TaxCred&amp;Subs'!$J$66:$J$99,MATCH(1,($C232&amp;$D232='TaxCred&amp;Subs'!$E$66:$E$99)*($F232='TaxCred&amp;Subs'!$C$66:$C$99),0)),0)),IF(AND($C232=1,VALUE(RIGHT($AD232,1))&gt;2),(O232-S232)*(IFERROR(INDEX('TaxCred&amp;Subs'!$J$66:$J$99,MATCH(1,($C232&amp;$D232='TaxCred&amp;Subs'!$D$66:$D$99)*($F232='TaxCred&amp;Subs'!$C$66:$C$99),0)),0)),IF($C232&gt;2,(O232-S232)*(IFERROR(INDEX('TaxCred&amp;Subs'!$J$66:$J$99,MATCH(1,($C232&amp;$D232='TaxCred&amp;Subs'!$D$66:$D$99)*($F232='TaxCred&amp;Subs'!$C$66:$C$99),0)),0)),0))),0)</f>
        <v>0</v>
      </c>
      <c r="R232" s="95">
        <f t="array" ref="R232">ROUND(IF(IFERROR(VALUE(RIGHT($AD232,1)),0)&gt;2,IF($C232=8,N232*IFERROR(INDEX('TaxCred&amp;Subs'!$K$139:$S$151,MATCH($C232&amp;$D232&amp;LEFT($AD232,7),'TaxCred&amp;Subs'!$E$139:$E$151,0),MATCH($H232,'TaxCred&amp;Subs'!$K$137:$S$137,0)),0),IF($C232=2,N232*IFERROR(INDEX('TaxCred&amp;Subs'!$K$139:$S$151,MATCH($C232&amp;$D232,'TaxCred&amp;Subs'!$D$139:$D$151,0),MATCH($H232,'TaxCred&amp;Subs'!$K$137:$S$137,0)),0),N232*IFERROR(INDEX('TaxCred&amp;Subs'!$K$139:$S$151,MATCH($C232&amp;$D232,'TaxCred&amp;Subs'!$C$139:$C$151,0),MATCH($H232,'TaxCred&amp;Subs'!$K$137:$S$137,0)),0))),0),0)</f>
        <v>0</v>
      </c>
      <c r="S232" s="95">
        <f t="array" ref="S232">ROUND(IF(IFERROR(VALUE(RIGHT($AD232,1)),0)&gt;2,IF($C232=8,O232*IFERROR(INDEX('TaxCred&amp;Subs'!$K$139:$S$151,MATCH($C232&amp;$D232&amp;LEFT($AD232,7),'TaxCred&amp;Subs'!$E$139:$E$151,0),MATCH($H232,'TaxCred&amp;Subs'!$K$137:$S$137,0)),0),IF($C232=2,O232*IFERROR(INDEX('TaxCred&amp;Subs'!$K$139:$S$151,MATCH($C232&amp;$D232,'TaxCred&amp;Subs'!$D$139:$D$151,0),MATCH($H232,'TaxCred&amp;Subs'!$K$137:$S$137,0)),0),O232*IFERROR(INDEX('TaxCred&amp;Subs'!$K$139:$S$151,MATCH($C232&amp;$D232,'TaxCred&amp;Subs'!$C$139:$C$151,0),MATCH($H232,'TaxCred&amp;Subs'!$K$137:$S$137,0)),0))),0),0)</f>
        <v>0</v>
      </c>
      <c r="T232" s="95">
        <f t="shared" si="15"/>
        <v>0</v>
      </c>
      <c r="U232" s="95">
        <f t="shared" si="16"/>
        <v>0</v>
      </c>
      <c r="V232" s="28" t="s">
        <v>222</v>
      </c>
      <c r="W232" s="31">
        <v>2020</v>
      </c>
      <c r="X232" s="28">
        <v>1</v>
      </c>
      <c r="Y232" s="28">
        <v>0</v>
      </c>
      <c r="Z232" s="196">
        <v>-2.3512081462966476E-4</v>
      </c>
      <c r="AA232" s="196">
        <v>-3.6172433019948423E-3</v>
      </c>
      <c r="AB232" s="28">
        <v>0</v>
      </c>
      <c r="AC232" s="28">
        <v>0</v>
      </c>
      <c r="AD232" s="28" t="s">
        <v>361</v>
      </c>
    </row>
    <row r="233" spans="2:31" x14ac:dyDescent="0.2">
      <c r="B233" s="7">
        <f t="shared" si="17"/>
        <v>209</v>
      </c>
      <c r="C233" s="28">
        <v>1</v>
      </c>
      <c r="D233" s="28">
        <v>9</v>
      </c>
      <c r="E233" s="31">
        <v>29</v>
      </c>
      <c r="F233" s="96">
        <v>2020</v>
      </c>
      <c r="G233" s="31">
        <v>2050</v>
      </c>
      <c r="H233" s="28">
        <v>11</v>
      </c>
      <c r="I233" s="31">
        <v>29</v>
      </c>
      <c r="J233" s="28">
        <v>0</v>
      </c>
      <c r="K233" s="28">
        <v>0</v>
      </c>
      <c r="L233" s="28">
        <v>0</v>
      </c>
      <c r="M233" s="156">
        <v>0.71</v>
      </c>
      <c r="N233" s="151">
        <v>7090</v>
      </c>
      <c r="O233" s="151">
        <v>1670</v>
      </c>
      <c r="P233" s="95">
        <f t="array" ref="P233">ROUND(IF($F233&lt;='TaxCred&amp;Subs'!$C$49,(IF($C233=2,IF($M233&gt;=IFERROR(INDEX('TaxCred&amp;Subs'!$L$12:$L$47,MATCH(1,($C233&amp;$D233='TaxCred&amp;Subs'!$E$12:$E$47)*($F233='TaxCred&amp;Subs'!$C$12:$C$47),0)
),9999),IFERROR(INDEX('TaxCred&amp;Subs'!$N$12:$N$47,MATCH(1,($C233&amp;$D233='TaxCred&amp;Subs'!$E$12:$E$47)*($F233='TaxCred&amp;Subs'!$C$12:$C$47),0)
),0),0),(IF($M233&gt;=IFERROR(INDEX('TaxCred&amp;Subs'!$H$12:$H$47,MATCH(1,($C233&amp;$D233='TaxCred&amp;Subs'!$D$12:$D$47)*($F233='TaxCred&amp;Subs'!$C$12:$C$47),0)
),9999),IFERROR(INDEX('TaxCred&amp;Subs'!$N$12:$N$47,MATCH(1,($C233&amp;$D233='TaxCred&amp;Subs'!$D$12:$D$47)*($F233='TaxCred&amp;Subs'!$C$12:$C$47),0)
),0),0)))),0)+IF(AND($C233=2,VALUE(RIGHT($AD233,1))&gt;2),(N233-R233)*(IFERROR(INDEX('TaxCred&amp;Subs'!$J$66:$J$99,MATCH(1,($C233&amp;$D233='TaxCred&amp;Subs'!$E$66:$E$99)*($F233='TaxCred&amp;Subs'!$C$66:$C$99),0)),0)),IF(AND($C233=1,VALUE(RIGHT($AD233,1))&gt;2),(N233-R233)*(IFERROR(INDEX('TaxCred&amp;Subs'!$J$66:$J$99,MATCH(1,($C233&amp;$D233='TaxCred&amp;Subs'!$D$66:$D$99)*($F233='TaxCred&amp;Subs'!$C$66:$C$99),0)),0)),IF($C233&gt;2,(N233-R233)*(IFERROR(INDEX('TaxCred&amp;Subs'!$J$66:$J$99,MATCH(1,($C233&amp;$D233='TaxCred&amp;Subs'!$D$66:$D$99)*($F233='TaxCred&amp;Subs'!$C$66:$C$99),0)),0)),0))),0)</f>
        <v>0</v>
      </c>
      <c r="Q233" s="95">
        <f t="array" ref="Q233">ROUND(IF(AND($C233=2,VALUE(RIGHT($AD233,1))&gt;2),(O233-S233)*(IFERROR(INDEX('TaxCred&amp;Subs'!$J$66:$J$99,MATCH(1,($C233&amp;$D233='TaxCred&amp;Subs'!$E$66:$E$99)*($F233='TaxCred&amp;Subs'!$C$66:$C$99),0)),0)),IF(AND($C233=1,VALUE(RIGHT($AD233,1))&gt;2),(O233-S233)*(IFERROR(INDEX('TaxCred&amp;Subs'!$J$66:$J$99,MATCH(1,($C233&amp;$D233='TaxCred&amp;Subs'!$D$66:$D$99)*($F233='TaxCred&amp;Subs'!$C$66:$C$99),0)),0)),IF($C233&gt;2,(O233-S233)*(IFERROR(INDEX('TaxCred&amp;Subs'!$J$66:$J$99,MATCH(1,($C233&amp;$D233='TaxCred&amp;Subs'!$D$66:$D$99)*($F233='TaxCred&amp;Subs'!$C$66:$C$99),0)),0)),0))),0)</f>
        <v>0</v>
      </c>
      <c r="R233" s="95">
        <f t="array" ref="R233">ROUND(IF(IFERROR(VALUE(RIGHT($AD233,1)),0)&gt;2,IF($C233=8,N233*IFERROR(INDEX('TaxCred&amp;Subs'!$K$139:$S$151,MATCH($C233&amp;$D233&amp;LEFT($AD233,7),'TaxCred&amp;Subs'!$E$139:$E$151,0),MATCH($H233,'TaxCred&amp;Subs'!$K$137:$S$137,0)),0),IF($C233=2,N233*IFERROR(INDEX('TaxCred&amp;Subs'!$K$139:$S$151,MATCH($C233&amp;$D233,'TaxCred&amp;Subs'!$D$139:$D$151,0),MATCH($H233,'TaxCred&amp;Subs'!$K$137:$S$137,0)),0),N233*IFERROR(INDEX('TaxCred&amp;Subs'!$K$139:$S$151,MATCH($C233&amp;$D233,'TaxCred&amp;Subs'!$C$139:$C$151,0),MATCH($H233,'TaxCred&amp;Subs'!$K$137:$S$137,0)),0))),0),0)</f>
        <v>0</v>
      </c>
      <c r="S233" s="95">
        <f t="array" ref="S233">ROUND(IF(IFERROR(VALUE(RIGHT($AD233,1)),0)&gt;2,IF($C233=8,O233*IFERROR(INDEX('TaxCred&amp;Subs'!$K$139:$S$151,MATCH($C233&amp;$D233&amp;LEFT($AD233,7),'TaxCred&amp;Subs'!$E$139:$E$151,0),MATCH($H233,'TaxCred&amp;Subs'!$K$137:$S$137,0)),0),IF($C233=2,O233*IFERROR(INDEX('TaxCred&amp;Subs'!$K$139:$S$151,MATCH($C233&amp;$D233,'TaxCred&amp;Subs'!$D$139:$D$151,0),MATCH($H233,'TaxCred&amp;Subs'!$K$137:$S$137,0)),0),O233*IFERROR(INDEX('TaxCred&amp;Subs'!$K$139:$S$151,MATCH($C233&amp;$D233,'TaxCred&amp;Subs'!$C$139:$C$151,0),MATCH($H233,'TaxCred&amp;Subs'!$K$137:$S$137,0)),0))),0),0)</f>
        <v>0</v>
      </c>
      <c r="T233" s="95">
        <f t="shared" si="15"/>
        <v>0</v>
      </c>
      <c r="U233" s="95">
        <f t="shared" si="16"/>
        <v>0</v>
      </c>
      <c r="V233" s="28" t="s">
        <v>222</v>
      </c>
      <c r="W233" s="31">
        <v>2020</v>
      </c>
      <c r="X233" s="28">
        <v>1</v>
      </c>
      <c r="Y233" s="28">
        <v>0</v>
      </c>
      <c r="Z233" s="196">
        <v>-1.717333262156685E-4</v>
      </c>
      <c r="AA233" s="196">
        <v>-2.642051172548746E-3</v>
      </c>
      <c r="AB233" s="28">
        <v>0</v>
      </c>
      <c r="AC233" s="28">
        <v>0</v>
      </c>
      <c r="AD233" s="28" t="s">
        <v>333</v>
      </c>
    </row>
    <row r="234" spans="2:31" x14ac:dyDescent="0.2">
      <c r="B234" s="7">
        <f t="shared" si="17"/>
        <v>210</v>
      </c>
      <c r="C234" s="28">
        <v>1</v>
      </c>
      <c r="D234" s="28">
        <v>9</v>
      </c>
      <c r="E234" s="31">
        <v>30</v>
      </c>
      <c r="F234" s="78">
        <v>2020</v>
      </c>
      <c r="G234" s="28">
        <v>2020</v>
      </c>
      <c r="H234" s="28">
        <v>11</v>
      </c>
      <c r="I234" s="31">
        <v>30</v>
      </c>
      <c r="J234" s="28">
        <v>0</v>
      </c>
      <c r="K234" s="28">
        <v>0</v>
      </c>
      <c r="L234" s="28">
        <v>0</v>
      </c>
      <c r="M234" s="156">
        <v>0.8</v>
      </c>
      <c r="N234" s="151">
        <v>7710</v>
      </c>
      <c r="O234" s="151">
        <v>2300</v>
      </c>
      <c r="P234" s="95">
        <f t="array" ref="P234">ROUND(IF($F234&lt;='TaxCred&amp;Subs'!$C$49,(IF($C234=2,IF($M234&gt;=IFERROR(INDEX('TaxCred&amp;Subs'!$L$12:$L$47,MATCH(1,($C234&amp;$D234='TaxCred&amp;Subs'!$E$12:$E$47)*($F234='TaxCred&amp;Subs'!$C$12:$C$47),0)
),9999),IFERROR(INDEX('TaxCred&amp;Subs'!$N$12:$N$47,MATCH(1,($C234&amp;$D234='TaxCred&amp;Subs'!$E$12:$E$47)*($F234='TaxCred&amp;Subs'!$C$12:$C$47),0)
),0),0),(IF($M234&gt;=IFERROR(INDEX('TaxCred&amp;Subs'!$H$12:$H$47,MATCH(1,($C234&amp;$D234='TaxCred&amp;Subs'!$D$12:$D$47)*($F234='TaxCred&amp;Subs'!$C$12:$C$47),0)
),9999),IFERROR(INDEX('TaxCred&amp;Subs'!$N$12:$N$47,MATCH(1,($C234&amp;$D234='TaxCred&amp;Subs'!$D$12:$D$47)*($F234='TaxCred&amp;Subs'!$C$12:$C$47),0)
),0),0)))),0)+IF(AND($C234=2,VALUE(RIGHT($AD234,1))&gt;2),(N234-R234)*(IFERROR(INDEX('TaxCred&amp;Subs'!$J$66:$J$99,MATCH(1,($C234&amp;$D234='TaxCred&amp;Subs'!$E$66:$E$99)*($F234='TaxCred&amp;Subs'!$C$66:$C$99),0)),0)),IF(AND($C234=1,VALUE(RIGHT($AD234,1))&gt;2),(N234-R234)*(IFERROR(INDEX('TaxCred&amp;Subs'!$J$66:$J$99,MATCH(1,($C234&amp;$D234='TaxCred&amp;Subs'!$D$66:$D$99)*($F234='TaxCred&amp;Subs'!$C$66:$C$99),0)),0)),IF($C234&gt;2,(N234-R234)*(IFERROR(INDEX('TaxCred&amp;Subs'!$J$66:$J$99,MATCH(1,($C234&amp;$D234='TaxCred&amp;Subs'!$D$66:$D$99)*($F234='TaxCred&amp;Subs'!$C$66:$C$99),0)),0)),0))),0)</f>
        <v>300</v>
      </c>
      <c r="Q234" s="172">
        <f t="array" ref="Q234">ROUND(IF(AND($C234=2,VALUE(RIGHT($AD234,1))&gt;2),(O234-S234)*(IFERROR(INDEX('TaxCred&amp;Subs'!$J$66:$J$99,MATCH(1,($C234&amp;$D234='TaxCred&amp;Subs'!$E$66:$E$99)*($F234='TaxCred&amp;Subs'!$C$66:$C$99),0)),0)),IF(AND($C234=1,VALUE(RIGHT($AD234,1))&gt;2),(O234-S234)*(IFERROR(INDEX('TaxCred&amp;Subs'!$J$66:$J$99,MATCH(1,($C234&amp;$D234='TaxCred&amp;Subs'!$D$66:$D$99)*($F234='TaxCred&amp;Subs'!$C$66:$C$99),0)),0)),IF($C234&gt;2,(O234-S234)*(IFERROR(INDEX('TaxCred&amp;Subs'!$J$66:$J$99,MATCH(1,($C234&amp;$D234='TaxCred&amp;Subs'!$D$66:$D$99)*($F234='TaxCred&amp;Subs'!$C$66:$C$99),0)),0)),0))),0)</f>
        <v>0</v>
      </c>
      <c r="R234" s="95">
        <f t="array" ref="R234">ROUND(IF(IFERROR(VALUE(RIGHT($AD234,1)),0)&gt;2,IF($C234=8,N234*IFERROR(INDEX('TaxCred&amp;Subs'!$K$139:$S$151,MATCH($C234&amp;$D234&amp;LEFT($AD234,7),'TaxCred&amp;Subs'!$E$139:$E$151,0),MATCH($H234,'TaxCred&amp;Subs'!$K$137:$S$137,0)),0),IF($C234=2,N234*IFERROR(INDEX('TaxCred&amp;Subs'!$K$139:$S$151,MATCH($C234&amp;$D234,'TaxCred&amp;Subs'!$D$139:$D$151,0),MATCH($H234,'TaxCred&amp;Subs'!$K$137:$S$137,0)),0),N234*IFERROR(INDEX('TaxCred&amp;Subs'!$K$139:$S$151,MATCH($C234&amp;$D234,'TaxCred&amp;Subs'!$C$139:$C$151,0),MATCH($H234,'TaxCred&amp;Subs'!$K$137:$S$137,0)),0))),0),0)</f>
        <v>0</v>
      </c>
      <c r="S234" s="95">
        <f t="array" ref="S234">ROUND(IF(IFERROR(VALUE(RIGHT($AD234,1)),0)&gt;2,IF($C234=8,O234*IFERROR(INDEX('TaxCred&amp;Subs'!$K$139:$S$151,MATCH($C234&amp;$D234&amp;LEFT($AD234,7),'TaxCred&amp;Subs'!$E$139:$E$151,0),MATCH($H234,'TaxCred&amp;Subs'!$K$137:$S$137,0)),0),IF($C234=2,O234*IFERROR(INDEX('TaxCred&amp;Subs'!$K$139:$S$151,MATCH($C234&amp;$D234,'TaxCred&amp;Subs'!$D$139:$D$151,0),MATCH($H234,'TaxCred&amp;Subs'!$K$137:$S$137,0)),0),O234*IFERROR(INDEX('TaxCred&amp;Subs'!$K$139:$S$151,MATCH($C234&amp;$D234,'TaxCred&amp;Subs'!$C$139:$C$151,0),MATCH($H234,'TaxCred&amp;Subs'!$K$137:$S$137,0)),0))),0),0)</f>
        <v>0</v>
      </c>
      <c r="T234" s="95">
        <f t="shared" si="15"/>
        <v>0</v>
      </c>
      <c r="U234" s="95">
        <f t="shared" si="16"/>
        <v>0</v>
      </c>
      <c r="V234" s="28" t="s">
        <v>222</v>
      </c>
      <c r="W234" s="31">
        <v>2020</v>
      </c>
      <c r="X234" s="28">
        <v>1</v>
      </c>
      <c r="Y234" s="28">
        <v>0</v>
      </c>
      <c r="Z234" s="196">
        <v>-1.9525155246722056E-4</v>
      </c>
      <c r="AA234" s="196">
        <v>-3.0038700379572394E-3</v>
      </c>
      <c r="AB234" s="28">
        <v>0</v>
      </c>
      <c r="AC234" s="28">
        <v>0</v>
      </c>
      <c r="AD234" s="28" t="s">
        <v>334</v>
      </c>
    </row>
    <row r="235" spans="2:31" ht="14.25" customHeight="1" x14ac:dyDescent="0.2">
      <c r="B235" s="7">
        <f t="shared" si="17"/>
        <v>211</v>
      </c>
      <c r="C235" s="28">
        <v>1</v>
      </c>
      <c r="D235" s="28">
        <v>9</v>
      </c>
      <c r="E235" s="31">
        <v>30</v>
      </c>
      <c r="F235" s="78">
        <v>2021</v>
      </c>
      <c r="G235" s="28">
        <v>2022</v>
      </c>
      <c r="H235" s="28">
        <v>11</v>
      </c>
      <c r="I235" s="31">
        <v>30</v>
      </c>
      <c r="J235" s="28">
        <v>0</v>
      </c>
      <c r="K235" s="28">
        <v>0</v>
      </c>
      <c r="L235" s="28">
        <v>0</v>
      </c>
      <c r="M235" s="156">
        <v>0.8</v>
      </c>
      <c r="N235" s="151">
        <v>7710</v>
      </c>
      <c r="O235" s="151">
        <v>2300</v>
      </c>
      <c r="P235" s="172">
        <f t="array" ref="P235">ROUND(IF($F235&lt;='TaxCred&amp;Subs'!$C$49,(IF($C235=2,IF($M235&gt;=IFERROR(INDEX('TaxCred&amp;Subs'!$L$12:$L$47,MATCH(1,($C235&amp;$D235='TaxCred&amp;Subs'!$E$12:$E$47)*($F235='TaxCred&amp;Subs'!$C$12:$C$47),0)
),9999),IFERROR(INDEX('TaxCred&amp;Subs'!$N$12:$N$47,MATCH(1,($C235&amp;$D235='TaxCred&amp;Subs'!$E$12:$E$47)*($F235='TaxCred&amp;Subs'!$C$12:$C$47),0)
),0),0),(IF($M235&gt;=IFERROR(INDEX('TaxCred&amp;Subs'!$H$12:$H$47,MATCH(1,($C235&amp;$D235='TaxCred&amp;Subs'!$D$12:$D$47)*($F235='TaxCred&amp;Subs'!$C$12:$C$47),0)
),9999),IFERROR(INDEX('TaxCred&amp;Subs'!$N$12:$N$47,MATCH(1,($C235&amp;$D235='TaxCred&amp;Subs'!$D$12:$D$47)*($F235='TaxCred&amp;Subs'!$C$12:$C$47),0)
),0),0)))),0)+IF(AND($C235=2,VALUE(RIGHT($AD235,1))&gt;2),(N235-R235)*(IFERROR(INDEX('TaxCred&amp;Subs'!$J$66:$J$99,MATCH(1,($C235&amp;$D235='TaxCred&amp;Subs'!$E$66:$E$99)*($F235='TaxCred&amp;Subs'!$C$66:$C$99),0)),0)),IF(AND($C235=1,VALUE(RIGHT($AD235,1))&gt;2),(N235-R235)*(IFERROR(INDEX('TaxCred&amp;Subs'!$J$66:$J$99,MATCH(1,($C235&amp;$D235='TaxCred&amp;Subs'!$D$66:$D$99)*($F235='TaxCred&amp;Subs'!$C$66:$C$99),0)),0)),IF($C235&gt;2,(N235-R235)*(IFERROR(INDEX('TaxCred&amp;Subs'!$J$66:$J$99,MATCH(1,($C235&amp;$D235='TaxCred&amp;Subs'!$D$66:$D$99)*($F235='TaxCred&amp;Subs'!$C$66:$C$99),0)),0)),0))),0)</f>
        <v>2005</v>
      </c>
      <c r="Q235" s="172">
        <f t="array" ref="Q235">ROUND(IF(AND($C235=2,VALUE(RIGHT($AD235,1))&gt;2),(O235-S235)*(IFERROR(INDEX('TaxCred&amp;Subs'!$J$66:$J$99,MATCH(1,($C235&amp;$D235='TaxCred&amp;Subs'!$E$66:$E$99)*($F235='TaxCred&amp;Subs'!$C$66:$C$99),0)),0)),IF(AND($C235=1,VALUE(RIGHT($AD235,1))&gt;2),(O235-S235)*(IFERROR(INDEX('TaxCred&amp;Subs'!$J$66:$J$99,MATCH(1,($C235&amp;$D235='TaxCred&amp;Subs'!$D$66:$D$99)*($F235='TaxCred&amp;Subs'!$C$66:$C$99),0)),0)),IF($C235&gt;2,(O235-S235)*(IFERROR(INDEX('TaxCred&amp;Subs'!$J$66:$J$99,MATCH(1,($C235&amp;$D235='TaxCred&amp;Subs'!$D$66:$D$99)*($F235='TaxCred&amp;Subs'!$C$66:$C$99),0)),0)),0))),0)</f>
        <v>598</v>
      </c>
      <c r="R235" s="95">
        <f t="array" ref="R235">ROUND(IF(IFERROR(VALUE(RIGHT($AD235,1)),0)&gt;2,IF($C235=8,N235*IFERROR(INDEX('TaxCred&amp;Subs'!$K$139:$S$151,MATCH($C235&amp;$D235&amp;LEFT($AD235,7),'TaxCred&amp;Subs'!$E$139:$E$151,0),MATCH($H235,'TaxCred&amp;Subs'!$K$137:$S$137,0)),0),IF($C235=2,N235*IFERROR(INDEX('TaxCred&amp;Subs'!$K$139:$S$151,MATCH($C235&amp;$D235,'TaxCred&amp;Subs'!$D$139:$D$151,0),MATCH($H235,'TaxCred&amp;Subs'!$K$137:$S$137,0)),0),N235*IFERROR(INDEX('TaxCred&amp;Subs'!$K$139:$S$151,MATCH($C235&amp;$D235,'TaxCred&amp;Subs'!$C$139:$C$151,0),MATCH($H235,'TaxCred&amp;Subs'!$K$137:$S$137,0)),0))),0),0)</f>
        <v>0</v>
      </c>
      <c r="S235" s="95">
        <f t="array" ref="S235">ROUND(IF(IFERROR(VALUE(RIGHT($AD235,1)),0)&gt;2,IF($C235=8,O235*IFERROR(INDEX('TaxCred&amp;Subs'!$K$139:$S$151,MATCH($C235&amp;$D235&amp;LEFT($AD235,7),'TaxCred&amp;Subs'!$E$139:$E$151,0),MATCH($H235,'TaxCred&amp;Subs'!$K$137:$S$137,0)),0),IF($C235=2,O235*IFERROR(INDEX('TaxCred&amp;Subs'!$K$139:$S$151,MATCH($C235&amp;$D235,'TaxCred&amp;Subs'!$D$139:$D$151,0),MATCH($H235,'TaxCred&amp;Subs'!$K$137:$S$137,0)),0),O235*IFERROR(INDEX('TaxCred&amp;Subs'!$K$139:$S$151,MATCH($C235&amp;$D235,'TaxCred&amp;Subs'!$C$139:$C$151,0),MATCH($H235,'TaxCred&amp;Subs'!$K$137:$S$137,0)),0))),0),0)</f>
        <v>0</v>
      </c>
      <c r="T235" s="95">
        <f t="shared" si="15"/>
        <v>0</v>
      </c>
      <c r="U235" s="95">
        <f t="shared" si="16"/>
        <v>0</v>
      </c>
      <c r="V235" s="28" t="s">
        <v>222</v>
      </c>
      <c r="W235" s="31">
        <v>2020</v>
      </c>
      <c r="X235" s="28">
        <v>1</v>
      </c>
      <c r="Y235" s="28">
        <v>0</v>
      </c>
      <c r="Z235" s="196">
        <v>-1.9525155246722056E-4</v>
      </c>
      <c r="AA235" s="196">
        <v>-3.0038700379572394E-3</v>
      </c>
      <c r="AB235" s="28">
        <v>0</v>
      </c>
      <c r="AC235" s="28">
        <v>0</v>
      </c>
      <c r="AD235" s="28" t="s">
        <v>334</v>
      </c>
    </row>
    <row r="236" spans="2:31" ht="14.25" customHeight="1" x14ac:dyDescent="0.2">
      <c r="B236" s="7">
        <f t="shared" si="17"/>
        <v>212</v>
      </c>
      <c r="C236" s="28">
        <v>1</v>
      </c>
      <c r="D236" s="28">
        <v>9</v>
      </c>
      <c r="E236" s="31">
        <v>30</v>
      </c>
      <c r="F236" s="78">
        <v>2023</v>
      </c>
      <c r="G236" s="31">
        <v>2032</v>
      </c>
      <c r="H236" s="28">
        <v>11</v>
      </c>
      <c r="I236" s="31">
        <v>30</v>
      </c>
      <c r="J236" s="28">
        <v>0</v>
      </c>
      <c r="K236" s="28">
        <v>0</v>
      </c>
      <c r="L236" s="28">
        <v>0</v>
      </c>
      <c r="M236" s="156">
        <v>0.8</v>
      </c>
      <c r="N236" s="151">
        <v>7710</v>
      </c>
      <c r="O236" s="151">
        <v>2300</v>
      </c>
      <c r="P236" s="95">
        <f t="array" ref="P236">ROUND(IF($F236&lt;='TaxCred&amp;Subs'!$C$49,(IF($C236=2,IF($M236&gt;=IFERROR(INDEX('TaxCred&amp;Subs'!$L$12:$L$47,MATCH(1,($C236&amp;$D236='TaxCred&amp;Subs'!$E$12:$E$47)*($F236='TaxCred&amp;Subs'!$C$12:$C$47),0)
),9999),IFERROR(INDEX('TaxCred&amp;Subs'!$N$12:$N$47,MATCH(1,($C236&amp;$D236='TaxCred&amp;Subs'!$E$12:$E$47)*($F236='TaxCred&amp;Subs'!$C$12:$C$47),0)
),0),0),(IF($M236&gt;=IFERROR(INDEX('TaxCred&amp;Subs'!$H$12:$H$47,MATCH(1,($C236&amp;$D236='TaxCred&amp;Subs'!$D$12:$D$47)*($F236='TaxCred&amp;Subs'!$C$12:$C$47),0)
),9999),IFERROR(INDEX('TaxCred&amp;Subs'!$N$12:$N$47,MATCH(1,($C236&amp;$D236='TaxCred&amp;Subs'!$D$12:$D$47)*($F236='TaxCred&amp;Subs'!$C$12:$C$47),0)
),0),0)))),0)+IF(AND($C236=2,VALUE(RIGHT($AD236,1))&gt;2),(N236-R236)*(IFERROR(INDEX('TaxCred&amp;Subs'!$J$66:$J$99,MATCH(1,($C236&amp;$D236='TaxCred&amp;Subs'!$E$66:$E$99)*($F236='TaxCred&amp;Subs'!$C$66:$C$99),0)),0)),IF(AND($C236=1,VALUE(RIGHT($AD236,1))&gt;2),(N236-R236)*(IFERROR(INDEX('TaxCred&amp;Subs'!$J$66:$J$99,MATCH(1,($C236&amp;$D236='TaxCred&amp;Subs'!$D$66:$D$99)*($F236='TaxCred&amp;Subs'!$C$66:$C$99),0)),0)),IF($C236&gt;2,(N236-R236)*(IFERROR(INDEX('TaxCred&amp;Subs'!$J$66:$J$99,MATCH(1,($C236&amp;$D236='TaxCred&amp;Subs'!$D$66:$D$99)*($F236='TaxCred&amp;Subs'!$C$66:$C$99),0)),0)),0))),0)</f>
        <v>2000</v>
      </c>
      <c r="Q236" s="95">
        <f t="array" ref="Q236">ROUND(IF(AND($C236=2,VALUE(RIGHT($AD236,1))&gt;2),(O236-S236)*(IFERROR(INDEX('TaxCred&amp;Subs'!$J$66:$J$99,MATCH(1,($C236&amp;$D236='TaxCred&amp;Subs'!$E$66:$E$99)*($F236='TaxCred&amp;Subs'!$C$66:$C$99),0)),0)),IF(AND($C236=1,VALUE(RIGHT($AD236,1))&gt;2),(O236-S236)*(IFERROR(INDEX('TaxCred&amp;Subs'!$J$66:$J$99,MATCH(1,($C236&amp;$D236='TaxCred&amp;Subs'!$D$66:$D$99)*($F236='TaxCred&amp;Subs'!$C$66:$C$99),0)),0)),IF($C236&gt;2,(O236-S236)*(IFERROR(INDEX('TaxCred&amp;Subs'!$J$66:$J$99,MATCH(1,($C236&amp;$D236='TaxCred&amp;Subs'!$D$66:$D$99)*($F236='TaxCred&amp;Subs'!$C$66:$C$99),0)),0)),0))),0)</f>
        <v>0</v>
      </c>
      <c r="R236" s="95">
        <f t="array" ref="R236">ROUND(IF(IFERROR(VALUE(RIGHT($AD236,1)),0)&gt;2,IF($C236=8,N236*IFERROR(INDEX('TaxCred&amp;Subs'!$K$139:$S$151,MATCH($C236&amp;$D236&amp;LEFT($AD236,7),'TaxCred&amp;Subs'!$E$139:$E$151,0),MATCH($H236,'TaxCred&amp;Subs'!$K$137:$S$137,0)),0),IF($C236=2,N236*IFERROR(INDEX('TaxCred&amp;Subs'!$K$139:$S$151,MATCH($C236&amp;$D236,'TaxCred&amp;Subs'!$D$139:$D$151,0),MATCH($H236,'TaxCred&amp;Subs'!$K$137:$S$137,0)),0),N236*IFERROR(INDEX('TaxCred&amp;Subs'!$K$139:$S$151,MATCH($C236&amp;$D236,'TaxCred&amp;Subs'!$C$139:$C$151,0),MATCH($H236,'TaxCred&amp;Subs'!$K$137:$S$137,0)),0))),0),0)</f>
        <v>0</v>
      </c>
      <c r="S236" s="95">
        <f t="array" ref="S236">ROUND(IF(IFERROR(VALUE(RIGHT($AD236,1)),0)&gt;2,IF($C236=8,O236*IFERROR(INDEX('TaxCred&amp;Subs'!$K$139:$S$151,MATCH($C236&amp;$D236&amp;LEFT($AD236,7),'TaxCred&amp;Subs'!$E$139:$E$151,0),MATCH($H236,'TaxCred&amp;Subs'!$K$137:$S$137,0)),0),IF($C236=2,O236*IFERROR(INDEX('TaxCred&amp;Subs'!$K$139:$S$151,MATCH($C236&amp;$D236,'TaxCred&amp;Subs'!$D$139:$D$151,0),MATCH($H236,'TaxCred&amp;Subs'!$K$137:$S$137,0)),0),O236*IFERROR(INDEX('TaxCred&amp;Subs'!$K$139:$S$151,MATCH($C236&amp;$D236,'TaxCred&amp;Subs'!$C$139:$C$151,0),MATCH($H236,'TaxCred&amp;Subs'!$K$137:$S$137,0)),0))),0),0)</f>
        <v>0</v>
      </c>
      <c r="T236" s="95">
        <f t="shared" si="15"/>
        <v>0</v>
      </c>
      <c r="U236" s="95">
        <f t="shared" si="16"/>
        <v>0</v>
      </c>
      <c r="V236" s="28" t="s">
        <v>222</v>
      </c>
      <c r="W236" s="31">
        <v>2020</v>
      </c>
      <c r="X236" s="28">
        <v>1</v>
      </c>
      <c r="Y236" s="28">
        <v>0</v>
      </c>
      <c r="Z236" s="196">
        <v>-1.9525155246722056E-4</v>
      </c>
      <c r="AA236" s="196">
        <v>-3.0038700379572394E-3</v>
      </c>
      <c r="AB236" s="28">
        <v>0</v>
      </c>
      <c r="AC236" s="28">
        <v>0</v>
      </c>
      <c r="AD236" s="28" t="s">
        <v>334</v>
      </c>
    </row>
    <row r="237" spans="2:31" ht="14.25" customHeight="1" x14ac:dyDescent="0.2">
      <c r="B237" s="7">
        <f t="shared" si="17"/>
        <v>213</v>
      </c>
      <c r="C237" s="28">
        <v>1</v>
      </c>
      <c r="D237" s="28">
        <v>9</v>
      </c>
      <c r="E237" s="31">
        <v>30</v>
      </c>
      <c r="F237" s="96">
        <v>2033</v>
      </c>
      <c r="G237" s="31">
        <v>2050</v>
      </c>
      <c r="H237" s="28">
        <v>11</v>
      </c>
      <c r="I237" s="31">
        <v>30</v>
      </c>
      <c r="J237" s="28">
        <v>0</v>
      </c>
      <c r="K237" s="28">
        <v>0</v>
      </c>
      <c r="L237" s="28">
        <v>0</v>
      </c>
      <c r="M237" s="156">
        <v>0.8</v>
      </c>
      <c r="N237" s="151">
        <v>7710</v>
      </c>
      <c r="O237" s="151">
        <v>2300</v>
      </c>
      <c r="P237" s="95">
        <f t="array" ref="P237">ROUND(IF($F237&lt;='TaxCred&amp;Subs'!$C$49,(IF($C237=2,IF($M237&gt;=IFERROR(INDEX('TaxCred&amp;Subs'!$L$12:$L$47,MATCH(1,($C237&amp;$D237='TaxCred&amp;Subs'!$E$12:$E$47)*($F237='TaxCred&amp;Subs'!$C$12:$C$47),0)
),9999),IFERROR(INDEX('TaxCred&amp;Subs'!$N$12:$N$47,MATCH(1,($C237&amp;$D237='TaxCred&amp;Subs'!$E$12:$E$47)*($F237='TaxCred&amp;Subs'!$C$12:$C$47),0)
),0),0),(IF($M237&gt;=IFERROR(INDEX('TaxCred&amp;Subs'!$H$12:$H$47,MATCH(1,($C237&amp;$D237='TaxCred&amp;Subs'!$D$12:$D$47)*($F237='TaxCred&amp;Subs'!$C$12:$C$47),0)
),9999),IFERROR(INDEX('TaxCred&amp;Subs'!$N$12:$N$47,MATCH(1,($C237&amp;$D237='TaxCred&amp;Subs'!$D$12:$D$47)*($F237='TaxCred&amp;Subs'!$C$12:$C$47),0)
),0),0)))),0)+IF(AND($C237=2,VALUE(RIGHT($AD237,1))&gt;2),(N237-R237)*(IFERROR(INDEX('TaxCred&amp;Subs'!$J$66:$J$99,MATCH(1,($C237&amp;$D237='TaxCred&amp;Subs'!$E$66:$E$99)*($F237='TaxCred&amp;Subs'!$C$66:$C$99),0)),0)),IF(AND($C237=1,VALUE(RIGHT($AD237,1))&gt;2),(N237-R237)*(IFERROR(INDEX('TaxCred&amp;Subs'!$J$66:$J$99,MATCH(1,($C237&amp;$D237='TaxCred&amp;Subs'!$D$66:$D$99)*($F237='TaxCred&amp;Subs'!$C$66:$C$99),0)),0)),IF($C237&gt;2,(N237-R237)*(IFERROR(INDEX('TaxCred&amp;Subs'!$J$66:$J$99,MATCH(1,($C237&amp;$D237='TaxCred&amp;Subs'!$D$66:$D$99)*($F237='TaxCred&amp;Subs'!$C$66:$C$99),0)),0)),0))),0)</f>
        <v>0</v>
      </c>
      <c r="Q237" s="95">
        <f t="array" ref="Q237">ROUND(IF(AND($C237=2,VALUE(RIGHT($AD237,1))&gt;2),(O237-S237)*(IFERROR(INDEX('TaxCred&amp;Subs'!$J$66:$J$99,MATCH(1,($C237&amp;$D237='TaxCred&amp;Subs'!$E$66:$E$99)*($F237='TaxCred&amp;Subs'!$C$66:$C$99),0)),0)),IF(AND($C237=1,VALUE(RIGHT($AD237,1))&gt;2),(O237-S237)*(IFERROR(INDEX('TaxCred&amp;Subs'!$J$66:$J$99,MATCH(1,($C237&amp;$D237='TaxCred&amp;Subs'!$D$66:$D$99)*($F237='TaxCred&amp;Subs'!$C$66:$C$99),0)),0)),IF($C237&gt;2,(O237-S237)*(IFERROR(INDEX('TaxCred&amp;Subs'!$J$66:$J$99,MATCH(1,($C237&amp;$D237='TaxCred&amp;Subs'!$D$66:$D$99)*($F237='TaxCred&amp;Subs'!$C$66:$C$99),0)),0)),0))),0)</f>
        <v>0</v>
      </c>
      <c r="R237" s="95">
        <f t="array" ref="R237">ROUND(IF(IFERROR(VALUE(RIGHT($AD237,1)),0)&gt;2,IF($C237=8,N237*IFERROR(INDEX('TaxCred&amp;Subs'!$K$139:$S$151,MATCH($C237&amp;$D237&amp;LEFT($AD237,7),'TaxCred&amp;Subs'!$E$139:$E$151,0),MATCH($H237,'TaxCred&amp;Subs'!$K$137:$S$137,0)),0),IF($C237=2,N237*IFERROR(INDEX('TaxCred&amp;Subs'!$K$139:$S$151,MATCH($C237&amp;$D237,'TaxCred&amp;Subs'!$D$139:$D$151,0),MATCH($H237,'TaxCred&amp;Subs'!$K$137:$S$137,0)),0),N237*IFERROR(INDEX('TaxCred&amp;Subs'!$K$139:$S$151,MATCH($C237&amp;$D237,'TaxCred&amp;Subs'!$C$139:$C$151,0),MATCH($H237,'TaxCred&amp;Subs'!$K$137:$S$137,0)),0))),0),0)</f>
        <v>0</v>
      </c>
      <c r="S237" s="95">
        <f t="array" ref="S237">ROUND(IF(IFERROR(VALUE(RIGHT($AD237,1)),0)&gt;2,IF($C237=8,O237*IFERROR(INDEX('TaxCred&amp;Subs'!$K$139:$S$151,MATCH($C237&amp;$D237&amp;LEFT($AD237,7),'TaxCred&amp;Subs'!$E$139:$E$151,0),MATCH($H237,'TaxCred&amp;Subs'!$K$137:$S$137,0)),0),IF($C237=2,O237*IFERROR(INDEX('TaxCred&amp;Subs'!$K$139:$S$151,MATCH($C237&amp;$D237,'TaxCred&amp;Subs'!$D$139:$D$151,0),MATCH($H237,'TaxCred&amp;Subs'!$K$137:$S$137,0)),0),O237*IFERROR(INDEX('TaxCred&amp;Subs'!$K$139:$S$151,MATCH($C237&amp;$D237,'TaxCred&amp;Subs'!$C$139:$C$151,0),MATCH($H237,'TaxCred&amp;Subs'!$K$137:$S$137,0)),0))),0),0)</f>
        <v>0</v>
      </c>
      <c r="T237" s="95">
        <f t="shared" si="15"/>
        <v>0</v>
      </c>
      <c r="U237" s="95">
        <f t="shared" si="16"/>
        <v>0</v>
      </c>
      <c r="V237" s="28" t="s">
        <v>222</v>
      </c>
      <c r="W237" s="31">
        <v>2020</v>
      </c>
      <c r="X237" s="28">
        <v>1</v>
      </c>
      <c r="Y237" s="28">
        <v>0</v>
      </c>
      <c r="Z237" s="196">
        <v>-1.9525155246722056E-4</v>
      </c>
      <c r="AA237" s="196">
        <v>-3.0038700379572394E-3</v>
      </c>
      <c r="AB237" s="28">
        <v>0</v>
      </c>
      <c r="AC237" s="28">
        <v>0</v>
      </c>
      <c r="AD237" s="28" t="s">
        <v>334</v>
      </c>
    </row>
    <row r="238" spans="2:31" x14ac:dyDescent="0.2">
      <c r="B238" s="7">
        <f t="shared" si="17"/>
        <v>214</v>
      </c>
      <c r="C238" s="28">
        <v>1</v>
      </c>
      <c r="D238" s="28">
        <v>10</v>
      </c>
      <c r="E238" s="31">
        <v>31</v>
      </c>
      <c r="F238" s="96">
        <v>2020</v>
      </c>
      <c r="G238" s="28">
        <v>2050</v>
      </c>
      <c r="H238" s="28">
        <v>11</v>
      </c>
      <c r="I238" s="31">
        <v>31</v>
      </c>
      <c r="J238" s="28">
        <v>0</v>
      </c>
      <c r="K238" s="28">
        <v>0</v>
      </c>
      <c r="L238" s="28">
        <v>0</v>
      </c>
      <c r="M238" s="75">
        <v>3.2</v>
      </c>
      <c r="N238" s="151">
        <v>9175</v>
      </c>
      <c r="O238" s="151">
        <v>4820</v>
      </c>
      <c r="P238" s="95">
        <f t="array" ref="P238">ROUND(IF($F238&lt;='TaxCred&amp;Subs'!$C$49,(IF($C238=2,IF($M238&gt;=IFERROR(INDEX('TaxCred&amp;Subs'!$L$12:$L$47,MATCH(1,($C238&amp;$D238='TaxCred&amp;Subs'!$E$12:$E$47)*($F238='TaxCred&amp;Subs'!$C$12:$C$47),0)
),9999),IFERROR(INDEX('TaxCred&amp;Subs'!$N$12:$N$47,MATCH(1,($C238&amp;$D238='TaxCred&amp;Subs'!$E$12:$E$47)*($F238='TaxCred&amp;Subs'!$C$12:$C$47),0)
),0),0),(IF($M238&gt;=IFERROR(INDEX('TaxCred&amp;Subs'!$H$12:$H$47,MATCH(1,($C238&amp;$D238='TaxCred&amp;Subs'!$D$12:$D$47)*($F238='TaxCred&amp;Subs'!$C$12:$C$47),0)
),9999),IFERROR(INDEX('TaxCred&amp;Subs'!$N$12:$N$47,MATCH(1,($C238&amp;$D238='TaxCred&amp;Subs'!$D$12:$D$47)*($F238='TaxCred&amp;Subs'!$C$12:$C$47),0)
),0),0)))),0)+IF(AND($C238=2,VALUE(RIGHT($AD238,1))&gt;2),(N238-R238)*(IFERROR(INDEX('TaxCred&amp;Subs'!$J$66:$J$99,MATCH(1,($C238&amp;$D238='TaxCred&amp;Subs'!$E$66:$E$99)*($F238='TaxCred&amp;Subs'!$C$66:$C$99),0)),0)),IF(AND($C238=1,VALUE(RIGHT($AD238,1))&gt;2),(N238-R238)*(IFERROR(INDEX('TaxCred&amp;Subs'!$J$66:$J$99,MATCH(1,($C238&amp;$D238='TaxCred&amp;Subs'!$D$66:$D$99)*($F238='TaxCred&amp;Subs'!$C$66:$C$99),0)),0)),IF($C238&gt;2,(N238-R238)*(IFERROR(INDEX('TaxCred&amp;Subs'!$J$66:$J$99,MATCH(1,($C238&amp;$D238='TaxCred&amp;Subs'!$D$66:$D$99)*($F238='TaxCred&amp;Subs'!$C$66:$C$99),0)),0)),0))),0)</f>
        <v>0</v>
      </c>
      <c r="Q238" s="95">
        <f t="array" ref="Q238">ROUND(IF(AND($C238=2,VALUE(RIGHT($AD238,1))&gt;2),(O238-S238)*(IFERROR(INDEX('TaxCred&amp;Subs'!$J$66:$J$99,MATCH(1,($C238&amp;$D238='TaxCred&amp;Subs'!$E$66:$E$99)*($F238='TaxCred&amp;Subs'!$C$66:$C$99),0)),0)),IF(AND($C238=1,VALUE(RIGHT($AD238,1))&gt;2),(O238-S238)*(IFERROR(INDEX('TaxCred&amp;Subs'!$J$66:$J$99,MATCH(1,($C238&amp;$D238='TaxCred&amp;Subs'!$D$66:$D$99)*($F238='TaxCred&amp;Subs'!$C$66:$C$99),0)),0)),IF($C238&gt;2,(O238-S238)*(IFERROR(INDEX('TaxCred&amp;Subs'!$J$66:$J$99,MATCH(1,($C238&amp;$D238='TaxCred&amp;Subs'!$D$66:$D$99)*($F238='TaxCred&amp;Subs'!$C$66:$C$99),0)),0)),0))),0)</f>
        <v>0</v>
      </c>
      <c r="R238" s="95">
        <f t="array" ref="R238">ROUND(IF(IFERROR(VALUE(RIGHT($AD238,1)),0)&gt;2,IF($C238=8,N238*IFERROR(INDEX('TaxCred&amp;Subs'!$K$139:$S$151,MATCH($C238&amp;$D238&amp;LEFT($AD238,7),'TaxCred&amp;Subs'!$E$139:$E$151,0),MATCH($H238,'TaxCred&amp;Subs'!$K$137:$S$137,0)),0),IF($C238=2,N238*IFERROR(INDEX('TaxCred&amp;Subs'!$K$139:$S$151,MATCH($C238&amp;$D238,'TaxCred&amp;Subs'!$D$139:$D$151,0),MATCH($H238,'TaxCred&amp;Subs'!$K$137:$S$137,0)),0),N238*IFERROR(INDEX('TaxCred&amp;Subs'!$K$139:$S$151,MATCH($C238&amp;$D238,'TaxCred&amp;Subs'!$C$139:$C$151,0),MATCH($H238,'TaxCred&amp;Subs'!$K$137:$S$137,0)),0))),0),0)</f>
        <v>0</v>
      </c>
      <c r="S238" s="95">
        <f t="array" ref="S238">ROUND(IF(IFERROR(VALUE(RIGHT($AD238,1)),0)&gt;2,IF($C238=8,O238*IFERROR(INDEX('TaxCred&amp;Subs'!$K$139:$S$151,MATCH($C238&amp;$D238&amp;LEFT($AD238,7),'TaxCred&amp;Subs'!$E$139:$E$151,0),MATCH($H238,'TaxCred&amp;Subs'!$K$137:$S$137,0)),0),IF($C238=2,O238*IFERROR(INDEX('TaxCred&amp;Subs'!$K$139:$S$151,MATCH($C238&amp;$D238,'TaxCred&amp;Subs'!$D$139:$D$151,0),MATCH($H238,'TaxCred&amp;Subs'!$K$137:$S$137,0)),0),O238*IFERROR(INDEX('TaxCred&amp;Subs'!$K$139:$S$151,MATCH($C238&amp;$D238,'TaxCred&amp;Subs'!$C$139:$C$151,0),MATCH($H238,'TaxCred&amp;Subs'!$K$137:$S$137,0)),0))),0),0)</f>
        <v>0</v>
      </c>
      <c r="T238" s="95">
        <f t="shared" si="15"/>
        <v>0</v>
      </c>
      <c r="U238" s="95">
        <f t="shared" si="16"/>
        <v>0</v>
      </c>
      <c r="V238" s="28" t="s">
        <v>222</v>
      </c>
      <c r="W238" s="31">
        <v>2020</v>
      </c>
      <c r="X238" s="28">
        <v>1</v>
      </c>
      <c r="Y238" s="28">
        <v>0</v>
      </c>
      <c r="Z238" s="196">
        <v>-1.1617101682123598E-4</v>
      </c>
      <c r="AA238" s="196">
        <v>-1.7872464126343997E-3</v>
      </c>
      <c r="AB238" s="28">
        <v>0</v>
      </c>
      <c r="AC238" s="28">
        <v>0</v>
      </c>
      <c r="AD238" s="28" t="s">
        <v>208</v>
      </c>
    </row>
    <row r="239" spans="2:31" x14ac:dyDescent="0.2">
      <c r="B239" s="7">
        <f t="shared" si="17"/>
        <v>215</v>
      </c>
      <c r="C239" s="28">
        <v>1</v>
      </c>
      <c r="D239" s="28">
        <v>10</v>
      </c>
      <c r="E239" s="31">
        <v>32</v>
      </c>
      <c r="F239" s="96">
        <v>2020</v>
      </c>
      <c r="G239" s="28">
        <v>2050</v>
      </c>
      <c r="H239" s="28">
        <v>11</v>
      </c>
      <c r="I239" s="31">
        <v>32</v>
      </c>
      <c r="J239" s="28">
        <v>0</v>
      </c>
      <c r="K239" s="28">
        <v>0</v>
      </c>
      <c r="L239" s="28">
        <v>0</v>
      </c>
      <c r="M239" s="156">
        <v>3.6</v>
      </c>
      <c r="N239" s="151">
        <v>9500</v>
      </c>
      <c r="O239" s="151">
        <v>5470</v>
      </c>
      <c r="P239" s="95">
        <f t="array" ref="P239">ROUND(IF($F239&lt;='TaxCred&amp;Subs'!$C$49,(IF($C239=2,IF($M239&gt;=IFERROR(INDEX('TaxCred&amp;Subs'!$L$12:$L$47,MATCH(1,($C239&amp;$D239='TaxCred&amp;Subs'!$E$12:$E$47)*($F239='TaxCred&amp;Subs'!$C$12:$C$47),0)
),9999),IFERROR(INDEX('TaxCred&amp;Subs'!$N$12:$N$47,MATCH(1,($C239&amp;$D239='TaxCred&amp;Subs'!$E$12:$E$47)*($F239='TaxCred&amp;Subs'!$C$12:$C$47),0)
),0),0),(IF($M239&gt;=IFERROR(INDEX('TaxCred&amp;Subs'!$H$12:$H$47,MATCH(1,($C239&amp;$D239='TaxCred&amp;Subs'!$D$12:$D$47)*($F239='TaxCred&amp;Subs'!$C$12:$C$47),0)
),9999),IFERROR(INDEX('TaxCred&amp;Subs'!$N$12:$N$47,MATCH(1,($C239&amp;$D239='TaxCred&amp;Subs'!$D$12:$D$47)*($F239='TaxCred&amp;Subs'!$C$12:$C$47),0)
),0),0)))),0)+IF(AND($C239=2,VALUE(RIGHT($AD239,1))&gt;2),(N239-R239)*(IFERROR(INDEX('TaxCred&amp;Subs'!$J$66:$J$99,MATCH(1,($C239&amp;$D239='TaxCred&amp;Subs'!$E$66:$E$99)*($F239='TaxCred&amp;Subs'!$C$66:$C$99),0)),0)),IF(AND($C239=1,VALUE(RIGHT($AD239,1))&gt;2),(N239-R239)*(IFERROR(INDEX('TaxCred&amp;Subs'!$J$66:$J$99,MATCH(1,($C239&amp;$D239='TaxCred&amp;Subs'!$D$66:$D$99)*($F239='TaxCred&amp;Subs'!$C$66:$C$99),0)),0)),IF($C239&gt;2,(N239-R239)*(IFERROR(INDEX('TaxCred&amp;Subs'!$J$66:$J$99,MATCH(1,($C239&amp;$D239='TaxCred&amp;Subs'!$D$66:$D$99)*($F239='TaxCred&amp;Subs'!$C$66:$C$99),0)),0)),0))),0)</f>
        <v>0</v>
      </c>
      <c r="Q239" s="95">
        <f t="array" ref="Q239">ROUND(IF(AND($C239=2,VALUE(RIGHT($AD239,1))&gt;2),(O239-S239)*(IFERROR(INDEX('TaxCred&amp;Subs'!$J$66:$J$99,MATCH(1,($C239&amp;$D239='TaxCred&amp;Subs'!$E$66:$E$99)*($F239='TaxCred&amp;Subs'!$C$66:$C$99),0)),0)),IF(AND($C239=1,VALUE(RIGHT($AD239,1))&gt;2),(O239-S239)*(IFERROR(INDEX('TaxCred&amp;Subs'!$J$66:$J$99,MATCH(1,($C239&amp;$D239='TaxCred&amp;Subs'!$D$66:$D$99)*($F239='TaxCred&amp;Subs'!$C$66:$C$99),0)),0)),IF($C239&gt;2,(O239-S239)*(IFERROR(INDEX('TaxCred&amp;Subs'!$J$66:$J$99,MATCH(1,($C239&amp;$D239='TaxCred&amp;Subs'!$D$66:$D$99)*($F239='TaxCred&amp;Subs'!$C$66:$C$99),0)),0)),0))),0)</f>
        <v>0</v>
      </c>
      <c r="R239" s="95">
        <f t="array" ref="R239">ROUND(IF(IFERROR(VALUE(RIGHT($AD239,1)),0)&gt;2,IF($C239=8,N239*IFERROR(INDEX('TaxCred&amp;Subs'!$K$139:$S$151,MATCH($C239&amp;$D239&amp;LEFT($AD239,7),'TaxCred&amp;Subs'!$E$139:$E$151,0),MATCH($H239,'TaxCred&amp;Subs'!$K$137:$S$137,0)),0),IF($C239=2,N239*IFERROR(INDEX('TaxCred&amp;Subs'!$K$139:$S$151,MATCH($C239&amp;$D239,'TaxCred&amp;Subs'!$D$139:$D$151,0),MATCH($H239,'TaxCred&amp;Subs'!$K$137:$S$137,0)),0),N239*IFERROR(INDEX('TaxCred&amp;Subs'!$K$139:$S$151,MATCH($C239&amp;$D239,'TaxCred&amp;Subs'!$C$139:$C$151,0),MATCH($H239,'TaxCred&amp;Subs'!$K$137:$S$137,0)),0))),0),0)</f>
        <v>0</v>
      </c>
      <c r="S239" s="95">
        <f t="array" ref="S239">ROUND(IF(IFERROR(VALUE(RIGHT($AD239,1)),0)&gt;2,IF($C239=8,O239*IFERROR(INDEX('TaxCred&amp;Subs'!$K$139:$S$151,MATCH($C239&amp;$D239&amp;LEFT($AD239,7),'TaxCred&amp;Subs'!$E$139:$E$151,0),MATCH($H239,'TaxCred&amp;Subs'!$K$137:$S$137,0)),0),IF($C239=2,O239*IFERROR(INDEX('TaxCred&amp;Subs'!$K$139:$S$151,MATCH($C239&amp;$D239,'TaxCred&amp;Subs'!$D$139:$D$151,0),MATCH($H239,'TaxCred&amp;Subs'!$K$137:$S$137,0)),0),O239*IFERROR(INDEX('TaxCred&amp;Subs'!$K$139:$S$151,MATCH($C239&amp;$D239,'TaxCred&amp;Subs'!$C$139:$C$151,0),MATCH($H239,'TaxCred&amp;Subs'!$K$137:$S$137,0)),0))),0),0)</f>
        <v>0</v>
      </c>
      <c r="T239" s="95">
        <f t="shared" si="15"/>
        <v>0</v>
      </c>
      <c r="U239" s="95">
        <f t="shared" si="16"/>
        <v>0</v>
      </c>
      <c r="V239" s="28" t="s">
        <v>222</v>
      </c>
      <c r="W239" s="31">
        <v>2020</v>
      </c>
      <c r="X239" s="28">
        <v>1</v>
      </c>
      <c r="Y239" s="28">
        <v>0</v>
      </c>
      <c r="Z239" s="196">
        <v>-1.1617101682123598E-4</v>
      </c>
      <c r="AA239" s="196">
        <v>-1.7872464126343997E-3</v>
      </c>
      <c r="AB239" s="28">
        <v>0</v>
      </c>
      <c r="AC239" s="28">
        <v>0</v>
      </c>
      <c r="AD239" s="28" t="s">
        <v>209</v>
      </c>
    </row>
    <row r="240" spans="2:31" x14ac:dyDescent="0.2">
      <c r="B240" s="7">
        <f t="shared" si="17"/>
        <v>216</v>
      </c>
      <c r="C240" s="28">
        <v>1</v>
      </c>
      <c r="D240" s="28">
        <v>10</v>
      </c>
      <c r="E240" s="31">
        <v>33</v>
      </c>
      <c r="F240" s="96">
        <v>2020</v>
      </c>
      <c r="G240" s="28">
        <v>2021</v>
      </c>
      <c r="H240" s="28">
        <v>1</v>
      </c>
      <c r="I240" s="31">
        <v>33</v>
      </c>
      <c r="J240" s="28">
        <v>0</v>
      </c>
      <c r="K240" s="28">
        <v>0</v>
      </c>
      <c r="L240" s="28">
        <v>0</v>
      </c>
      <c r="M240" s="75">
        <v>3.6</v>
      </c>
      <c r="N240" s="151">
        <v>9500</v>
      </c>
      <c r="O240" s="151">
        <v>5410</v>
      </c>
      <c r="P240" s="95">
        <f t="array" ref="P240">ROUND(IF($F240&lt;='TaxCred&amp;Subs'!$C$49,(IF($C240=2,IF($M240&gt;=IFERROR(INDEX('TaxCred&amp;Subs'!$L$12:$L$47,MATCH(1,($C240&amp;$D240='TaxCred&amp;Subs'!$E$12:$E$47)*($F240='TaxCred&amp;Subs'!$C$12:$C$47),0)
),9999),IFERROR(INDEX('TaxCred&amp;Subs'!$N$12:$N$47,MATCH(1,($C240&amp;$D240='TaxCred&amp;Subs'!$E$12:$E$47)*($F240='TaxCred&amp;Subs'!$C$12:$C$47),0)
),0),0),(IF($M240&gt;=IFERROR(INDEX('TaxCred&amp;Subs'!$H$12:$H$47,MATCH(1,($C240&amp;$D240='TaxCred&amp;Subs'!$D$12:$D$47)*($F240='TaxCred&amp;Subs'!$C$12:$C$47),0)
),9999),IFERROR(INDEX('TaxCred&amp;Subs'!$N$12:$N$47,MATCH(1,($C240&amp;$D240='TaxCred&amp;Subs'!$D$12:$D$47)*($F240='TaxCred&amp;Subs'!$C$12:$C$47),0)
),0),0)))),0)+IF(AND($C240=2,VALUE(RIGHT($AD240,1))&gt;2),(N240-R240)*(IFERROR(INDEX('TaxCred&amp;Subs'!$J$66:$J$99,MATCH(1,($C240&amp;$D240='TaxCred&amp;Subs'!$E$66:$E$99)*($F240='TaxCred&amp;Subs'!$C$66:$C$99),0)),0)),IF(AND($C240=1,VALUE(RIGHT($AD240,1))&gt;2),(N240-R240)*(IFERROR(INDEX('TaxCred&amp;Subs'!$J$66:$J$99,MATCH(1,($C240&amp;$D240='TaxCred&amp;Subs'!$D$66:$D$99)*($F240='TaxCred&amp;Subs'!$C$66:$C$99),0)),0)),IF($C240&gt;2,(N240-R240)*(IFERROR(INDEX('TaxCred&amp;Subs'!$J$66:$J$99,MATCH(1,($C240&amp;$D240='TaxCred&amp;Subs'!$D$66:$D$99)*($F240='TaxCred&amp;Subs'!$C$66:$C$99),0)),0)),0))),0)</f>
        <v>1858</v>
      </c>
      <c r="Q240" s="95">
        <f t="array" ref="Q240">ROUND(IF(AND($C240=2,VALUE(RIGHT($AD240,1))&gt;2),(O240-S240)*(IFERROR(INDEX('TaxCred&amp;Subs'!$J$66:$J$99,MATCH(1,($C240&amp;$D240='TaxCred&amp;Subs'!$E$66:$E$99)*($F240='TaxCred&amp;Subs'!$C$66:$C$99),0)),0)),IF(AND($C240=1,VALUE(RIGHT($AD240,1))&gt;2),(O240-S240)*(IFERROR(INDEX('TaxCred&amp;Subs'!$J$66:$J$99,MATCH(1,($C240&amp;$D240='TaxCred&amp;Subs'!$D$66:$D$99)*($F240='TaxCred&amp;Subs'!$C$66:$C$99),0)),0)),IF($C240&gt;2,(O240-S240)*(IFERROR(INDEX('TaxCred&amp;Subs'!$J$66:$J$99,MATCH(1,($C240&amp;$D240='TaxCred&amp;Subs'!$D$66:$D$99)*($F240='TaxCred&amp;Subs'!$C$66:$C$99),0)),0)),0))),0)</f>
        <v>1058</v>
      </c>
      <c r="R240" s="95">
        <f t="array" ref="R240">ROUND(IF(IFERROR(VALUE(RIGHT($AD240,1)),0)&gt;2,IF($C240=8,N240*IFERROR(INDEX('TaxCred&amp;Subs'!$K$139:$S$151,MATCH($C240&amp;$D240&amp;LEFT($AD240,7),'TaxCred&amp;Subs'!$E$139:$E$151,0),MATCH($H240,'TaxCred&amp;Subs'!$K$137:$S$137,0)),0),IF($C240=2,N240*IFERROR(INDEX('TaxCred&amp;Subs'!$K$139:$S$151,MATCH($C240&amp;$D240,'TaxCred&amp;Subs'!$D$139:$D$151,0),MATCH($H240,'TaxCred&amp;Subs'!$K$137:$S$137,0)),0),N240*IFERROR(INDEX('TaxCred&amp;Subs'!$K$139:$S$151,MATCH($C240&amp;$D240,'TaxCred&amp;Subs'!$C$139:$C$151,0),MATCH($H240,'TaxCred&amp;Subs'!$K$137:$S$137,0)),0))),0),0)</f>
        <v>2355</v>
      </c>
      <c r="S240" s="95">
        <f t="array" ref="S240">ROUND(IF(IFERROR(VALUE(RIGHT($AD240,1)),0)&gt;2,IF($C240=8,O240*IFERROR(INDEX('TaxCred&amp;Subs'!$K$139:$S$151,MATCH($C240&amp;$D240&amp;LEFT($AD240,7),'TaxCred&amp;Subs'!$E$139:$E$151,0),MATCH($H240,'TaxCred&amp;Subs'!$K$137:$S$137,0)),0),IF($C240=2,O240*IFERROR(INDEX('TaxCred&amp;Subs'!$K$139:$S$151,MATCH($C240&amp;$D240,'TaxCred&amp;Subs'!$D$139:$D$151,0),MATCH($H240,'TaxCred&amp;Subs'!$K$137:$S$137,0)),0),O240*IFERROR(INDEX('TaxCred&amp;Subs'!$K$139:$S$151,MATCH($C240&amp;$D240,'TaxCred&amp;Subs'!$C$139:$C$151,0),MATCH($H240,'TaxCred&amp;Subs'!$K$137:$S$137,0)),0))),0),0)</f>
        <v>1341</v>
      </c>
      <c r="T240" s="95">
        <f t="shared" si="15"/>
        <v>0</v>
      </c>
      <c r="U240" s="95">
        <f t="shared" si="16"/>
        <v>0</v>
      </c>
      <c r="V240" s="28" t="s">
        <v>222</v>
      </c>
      <c r="W240" s="31">
        <v>2020</v>
      </c>
      <c r="X240" s="28">
        <v>1</v>
      </c>
      <c r="Y240" s="28">
        <v>0</v>
      </c>
      <c r="Z240" s="196">
        <v>-2.1513024844954491E-4</v>
      </c>
      <c r="AA240" s="196">
        <v>-3.3096961299929986E-3</v>
      </c>
      <c r="AB240" s="28">
        <v>0</v>
      </c>
      <c r="AC240" s="28">
        <v>0</v>
      </c>
      <c r="AD240" s="28" t="s">
        <v>336</v>
      </c>
    </row>
    <row r="241" spans="2:30" ht="14.25" customHeight="1" x14ac:dyDescent="0.2">
      <c r="B241" s="7">
        <f t="shared" si="17"/>
        <v>217</v>
      </c>
      <c r="C241" s="28">
        <v>1</v>
      </c>
      <c r="D241" s="28">
        <v>10</v>
      </c>
      <c r="E241" s="31">
        <v>33</v>
      </c>
      <c r="F241" s="96">
        <v>2020</v>
      </c>
      <c r="G241" s="28">
        <v>2021</v>
      </c>
      <c r="H241" s="28">
        <v>2</v>
      </c>
      <c r="I241" s="31">
        <v>33</v>
      </c>
      <c r="J241" s="28">
        <v>0</v>
      </c>
      <c r="K241" s="28">
        <v>0</v>
      </c>
      <c r="L241" s="28">
        <v>0</v>
      </c>
      <c r="M241" s="75">
        <v>3.6</v>
      </c>
      <c r="N241" s="151">
        <v>9500</v>
      </c>
      <c r="O241" s="151">
        <v>5410</v>
      </c>
      <c r="P241" s="95">
        <f t="array" ref="P241">ROUND(IF($F241&lt;='TaxCred&amp;Subs'!$C$49,(IF($C241=2,IF($M241&gt;=IFERROR(INDEX('TaxCred&amp;Subs'!$L$12:$L$47,MATCH(1,($C241&amp;$D241='TaxCred&amp;Subs'!$E$12:$E$47)*($F241='TaxCred&amp;Subs'!$C$12:$C$47),0)
),9999),IFERROR(INDEX('TaxCred&amp;Subs'!$N$12:$N$47,MATCH(1,($C241&amp;$D241='TaxCred&amp;Subs'!$E$12:$E$47)*($F241='TaxCred&amp;Subs'!$C$12:$C$47),0)
),0),0),(IF($M241&gt;=IFERROR(INDEX('TaxCred&amp;Subs'!$H$12:$H$47,MATCH(1,($C241&amp;$D241='TaxCred&amp;Subs'!$D$12:$D$47)*($F241='TaxCred&amp;Subs'!$C$12:$C$47),0)
),9999),IFERROR(INDEX('TaxCred&amp;Subs'!$N$12:$N$47,MATCH(1,($C241&amp;$D241='TaxCred&amp;Subs'!$D$12:$D$47)*($F241='TaxCred&amp;Subs'!$C$12:$C$47),0)
),0),0)))),0)+IF(AND($C241=2,VALUE(RIGHT($AD241,1))&gt;2),(N241-R241)*(IFERROR(INDEX('TaxCred&amp;Subs'!$J$66:$J$99,MATCH(1,($C241&amp;$D241='TaxCred&amp;Subs'!$E$66:$E$99)*($F241='TaxCred&amp;Subs'!$C$66:$C$99),0)),0)),IF(AND($C241=1,VALUE(RIGHT($AD241,1))&gt;2),(N241-R241)*(IFERROR(INDEX('TaxCred&amp;Subs'!$J$66:$J$99,MATCH(1,($C241&amp;$D241='TaxCred&amp;Subs'!$D$66:$D$99)*($F241='TaxCred&amp;Subs'!$C$66:$C$99),0)),0)),IF($C241&gt;2,(N241-R241)*(IFERROR(INDEX('TaxCred&amp;Subs'!$J$66:$J$99,MATCH(1,($C241&amp;$D241='TaxCred&amp;Subs'!$D$66:$D$99)*($F241='TaxCred&amp;Subs'!$C$66:$C$99),0)),0)),0))),0)</f>
        <v>2217</v>
      </c>
      <c r="Q241" s="95">
        <f t="array" ref="Q241">ROUND(IF(AND($C241=2,VALUE(RIGHT($AD241,1))&gt;2),(O241-S241)*(IFERROR(INDEX('TaxCred&amp;Subs'!$J$66:$J$99,MATCH(1,($C241&amp;$D241='TaxCred&amp;Subs'!$E$66:$E$99)*($F241='TaxCred&amp;Subs'!$C$66:$C$99),0)),0)),IF(AND($C241=1,VALUE(RIGHT($AD241,1))&gt;2),(O241-S241)*(IFERROR(INDEX('TaxCred&amp;Subs'!$J$66:$J$99,MATCH(1,($C241&amp;$D241='TaxCred&amp;Subs'!$D$66:$D$99)*($F241='TaxCred&amp;Subs'!$C$66:$C$99),0)),0)),IF($C241&gt;2,(O241-S241)*(IFERROR(INDEX('TaxCred&amp;Subs'!$J$66:$J$99,MATCH(1,($C241&amp;$D241='TaxCred&amp;Subs'!$D$66:$D$99)*($F241='TaxCred&amp;Subs'!$C$66:$C$99),0)),0)),0))),0)</f>
        <v>1263</v>
      </c>
      <c r="R241" s="95">
        <f t="array" ref="R241">ROUND(IF(IFERROR(VALUE(RIGHT($AD241,1)),0)&gt;2,IF($C241=8,N241*IFERROR(INDEX('TaxCred&amp;Subs'!$K$139:$S$151,MATCH($C241&amp;$D241&amp;LEFT($AD241,7),'TaxCred&amp;Subs'!$E$139:$E$151,0),MATCH($H241,'TaxCred&amp;Subs'!$K$137:$S$137,0)),0),IF($C241=2,N241*IFERROR(INDEX('TaxCred&amp;Subs'!$K$139:$S$151,MATCH($C241&amp;$D241,'TaxCred&amp;Subs'!$D$139:$D$151,0),MATCH($H241,'TaxCred&amp;Subs'!$K$137:$S$137,0)),0),N241*IFERROR(INDEX('TaxCred&amp;Subs'!$K$139:$S$151,MATCH($C241&amp;$D241,'TaxCred&amp;Subs'!$C$139:$C$151,0),MATCH($H241,'TaxCred&amp;Subs'!$K$137:$S$137,0)),0))),0),0)</f>
        <v>972</v>
      </c>
      <c r="S241" s="95">
        <f t="array" ref="S241">ROUND(IF(IFERROR(VALUE(RIGHT($AD241,1)),0)&gt;2,IF($C241=8,O241*IFERROR(INDEX('TaxCred&amp;Subs'!$K$139:$S$151,MATCH($C241&amp;$D241&amp;LEFT($AD241,7),'TaxCred&amp;Subs'!$E$139:$E$151,0),MATCH($H241,'TaxCred&amp;Subs'!$K$137:$S$137,0)),0),IF($C241=2,O241*IFERROR(INDEX('TaxCred&amp;Subs'!$K$139:$S$151,MATCH($C241&amp;$D241,'TaxCred&amp;Subs'!$D$139:$D$151,0),MATCH($H241,'TaxCred&amp;Subs'!$K$137:$S$137,0)),0),O241*IFERROR(INDEX('TaxCred&amp;Subs'!$K$139:$S$151,MATCH($C241&amp;$D241,'TaxCred&amp;Subs'!$C$139:$C$151,0),MATCH($H241,'TaxCred&amp;Subs'!$K$137:$S$137,0)),0))),0),0)</f>
        <v>553</v>
      </c>
      <c r="T241" s="95">
        <f t="shared" si="15"/>
        <v>0</v>
      </c>
      <c r="U241" s="95">
        <f t="shared" si="16"/>
        <v>0</v>
      </c>
      <c r="V241" s="28" t="s">
        <v>222</v>
      </c>
      <c r="W241" s="31">
        <v>2020</v>
      </c>
      <c r="X241" s="28">
        <v>1</v>
      </c>
      <c r="Y241" s="28">
        <v>0</v>
      </c>
      <c r="Z241" s="196">
        <v>-2.1513024844954491E-4</v>
      </c>
      <c r="AA241" s="196">
        <v>-3.3096961299929986E-3</v>
      </c>
      <c r="AB241" s="28">
        <v>0</v>
      </c>
      <c r="AC241" s="28">
        <v>0</v>
      </c>
      <c r="AD241" s="28" t="s">
        <v>336</v>
      </c>
    </row>
    <row r="242" spans="2:30" ht="14.25" customHeight="1" x14ac:dyDescent="0.2">
      <c r="B242" s="7">
        <f t="shared" si="17"/>
        <v>218</v>
      </c>
      <c r="C242" s="28">
        <v>1</v>
      </c>
      <c r="D242" s="28">
        <v>10</v>
      </c>
      <c r="E242" s="31">
        <v>33</v>
      </c>
      <c r="F242" s="96">
        <v>2020</v>
      </c>
      <c r="G242" s="28">
        <v>2021</v>
      </c>
      <c r="H242" s="28">
        <v>3</v>
      </c>
      <c r="I242" s="31">
        <v>33</v>
      </c>
      <c r="J242" s="28">
        <v>0</v>
      </c>
      <c r="K242" s="28">
        <v>0</v>
      </c>
      <c r="L242" s="28">
        <v>0</v>
      </c>
      <c r="M242" s="75">
        <v>3.6</v>
      </c>
      <c r="N242" s="151">
        <v>9500</v>
      </c>
      <c r="O242" s="151">
        <v>5410</v>
      </c>
      <c r="P242" s="95">
        <f t="array" ref="P242">ROUND(IF($F242&lt;='TaxCred&amp;Subs'!$C$49,(IF($C242=2,IF($M242&gt;=IFERROR(INDEX('TaxCred&amp;Subs'!$L$12:$L$47,MATCH(1,($C242&amp;$D242='TaxCred&amp;Subs'!$E$12:$E$47)*($F242='TaxCred&amp;Subs'!$C$12:$C$47),0)
),9999),IFERROR(INDEX('TaxCred&amp;Subs'!$N$12:$N$47,MATCH(1,($C242&amp;$D242='TaxCred&amp;Subs'!$E$12:$E$47)*($F242='TaxCred&amp;Subs'!$C$12:$C$47),0)
),0),0),(IF($M242&gt;=IFERROR(INDEX('TaxCred&amp;Subs'!$H$12:$H$47,MATCH(1,($C242&amp;$D242='TaxCred&amp;Subs'!$D$12:$D$47)*($F242='TaxCred&amp;Subs'!$C$12:$C$47),0)
),9999),IFERROR(INDEX('TaxCred&amp;Subs'!$N$12:$N$47,MATCH(1,($C242&amp;$D242='TaxCred&amp;Subs'!$D$12:$D$47)*($F242='TaxCred&amp;Subs'!$C$12:$C$47),0)
),0),0)))),0)+IF(AND($C242=2,VALUE(RIGHT($AD242,1))&gt;2),(N242-R242)*(IFERROR(INDEX('TaxCred&amp;Subs'!$J$66:$J$99,MATCH(1,($C242&amp;$D242='TaxCred&amp;Subs'!$E$66:$E$99)*($F242='TaxCred&amp;Subs'!$C$66:$C$99),0)),0)),IF(AND($C242=1,VALUE(RIGHT($AD242,1))&gt;2),(N242-R242)*(IFERROR(INDEX('TaxCred&amp;Subs'!$J$66:$J$99,MATCH(1,($C242&amp;$D242='TaxCred&amp;Subs'!$D$66:$D$99)*($F242='TaxCred&amp;Subs'!$C$66:$C$99),0)),0)),IF($C242&gt;2,(N242-R242)*(IFERROR(INDEX('TaxCred&amp;Subs'!$J$66:$J$99,MATCH(1,($C242&amp;$D242='TaxCred&amp;Subs'!$D$66:$D$99)*($F242='TaxCred&amp;Subs'!$C$66:$C$99),0)),0)),0))),0)</f>
        <v>2271</v>
      </c>
      <c r="Q242" s="95">
        <f t="array" ref="Q242">ROUND(IF(AND($C242=2,VALUE(RIGHT($AD242,1))&gt;2),(O242-S242)*(IFERROR(INDEX('TaxCred&amp;Subs'!$J$66:$J$99,MATCH(1,($C242&amp;$D242='TaxCred&amp;Subs'!$E$66:$E$99)*($F242='TaxCred&amp;Subs'!$C$66:$C$99),0)),0)),IF(AND($C242=1,VALUE(RIGHT($AD242,1))&gt;2),(O242-S242)*(IFERROR(INDEX('TaxCred&amp;Subs'!$J$66:$J$99,MATCH(1,($C242&amp;$D242='TaxCred&amp;Subs'!$D$66:$D$99)*($F242='TaxCred&amp;Subs'!$C$66:$C$99),0)),0)),IF($C242&gt;2,(O242-S242)*(IFERROR(INDEX('TaxCred&amp;Subs'!$J$66:$J$99,MATCH(1,($C242&amp;$D242='TaxCred&amp;Subs'!$D$66:$D$99)*($F242='TaxCred&amp;Subs'!$C$66:$C$99),0)),0)),0))),0)</f>
        <v>1293</v>
      </c>
      <c r="R242" s="95">
        <f t="array" ref="R242">ROUND(IF(IFERROR(VALUE(RIGHT($AD242,1)),0)&gt;2,IF($C242=8,N242*IFERROR(INDEX('TaxCred&amp;Subs'!$K$139:$S$151,MATCH($C242&amp;$D242&amp;LEFT($AD242,7),'TaxCred&amp;Subs'!$E$139:$E$151,0),MATCH($H242,'TaxCred&amp;Subs'!$K$137:$S$137,0)),0),IF($C242=2,N242*IFERROR(INDEX('TaxCred&amp;Subs'!$K$139:$S$151,MATCH($C242&amp;$D242,'TaxCred&amp;Subs'!$D$139:$D$151,0),MATCH($H242,'TaxCred&amp;Subs'!$K$137:$S$137,0)),0),N242*IFERROR(INDEX('TaxCred&amp;Subs'!$K$139:$S$151,MATCH($C242&amp;$D242,'TaxCred&amp;Subs'!$C$139:$C$151,0),MATCH($H242,'TaxCred&amp;Subs'!$K$137:$S$137,0)),0))),0),0)</f>
        <v>765</v>
      </c>
      <c r="S242" s="95">
        <f t="array" ref="S242">ROUND(IF(IFERROR(VALUE(RIGHT($AD242,1)),0)&gt;2,IF($C242=8,O242*IFERROR(INDEX('TaxCred&amp;Subs'!$K$139:$S$151,MATCH($C242&amp;$D242&amp;LEFT($AD242,7),'TaxCred&amp;Subs'!$E$139:$E$151,0),MATCH($H242,'TaxCred&amp;Subs'!$K$137:$S$137,0)),0),IF($C242=2,O242*IFERROR(INDEX('TaxCred&amp;Subs'!$K$139:$S$151,MATCH($C242&amp;$D242,'TaxCred&amp;Subs'!$D$139:$D$151,0),MATCH($H242,'TaxCred&amp;Subs'!$K$137:$S$137,0)),0),O242*IFERROR(INDEX('TaxCred&amp;Subs'!$K$139:$S$151,MATCH($C242&amp;$D242,'TaxCred&amp;Subs'!$C$139:$C$151,0),MATCH($H242,'TaxCred&amp;Subs'!$K$137:$S$137,0)),0))),0),0)</f>
        <v>436</v>
      </c>
      <c r="T242" s="95">
        <f t="shared" si="15"/>
        <v>0</v>
      </c>
      <c r="U242" s="95">
        <f t="shared" si="16"/>
        <v>0</v>
      </c>
      <c r="V242" s="28" t="s">
        <v>222</v>
      </c>
      <c r="W242" s="31">
        <v>2020</v>
      </c>
      <c r="X242" s="28">
        <v>1</v>
      </c>
      <c r="Y242" s="28">
        <v>0</v>
      </c>
      <c r="Z242" s="196">
        <v>-2.1513024844954491E-4</v>
      </c>
      <c r="AA242" s="196">
        <v>-3.3096961299929986E-3</v>
      </c>
      <c r="AB242" s="28">
        <v>0</v>
      </c>
      <c r="AC242" s="28">
        <v>0</v>
      </c>
      <c r="AD242" s="28" t="s">
        <v>336</v>
      </c>
    </row>
    <row r="243" spans="2:30" ht="14.25" customHeight="1" x14ac:dyDescent="0.2">
      <c r="B243" s="7">
        <f t="shared" si="17"/>
        <v>219</v>
      </c>
      <c r="C243" s="28">
        <v>1</v>
      </c>
      <c r="D243" s="28">
        <v>10</v>
      </c>
      <c r="E243" s="31">
        <v>33</v>
      </c>
      <c r="F243" s="96">
        <v>2020</v>
      </c>
      <c r="G243" s="28">
        <v>2021</v>
      </c>
      <c r="H243" s="28">
        <v>4</v>
      </c>
      <c r="I243" s="31">
        <v>33</v>
      </c>
      <c r="J243" s="28">
        <v>0</v>
      </c>
      <c r="K243" s="28">
        <v>0</v>
      </c>
      <c r="L243" s="28">
        <v>0</v>
      </c>
      <c r="M243" s="75">
        <v>3.6</v>
      </c>
      <c r="N243" s="151">
        <v>9500</v>
      </c>
      <c r="O243" s="151">
        <v>5410</v>
      </c>
      <c r="P243" s="95">
        <f t="array" ref="P243">ROUND(IF($F243&lt;='TaxCred&amp;Subs'!$C$49,(IF($C243=2,IF($M243&gt;=IFERROR(INDEX('TaxCred&amp;Subs'!$L$12:$L$47,MATCH(1,($C243&amp;$D243='TaxCred&amp;Subs'!$E$12:$E$47)*($F243='TaxCred&amp;Subs'!$C$12:$C$47),0)
),9999),IFERROR(INDEX('TaxCred&amp;Subs'!$N$12:$N$47,MATCH(1,($C243&amp;$D243='TaxCred&amp;Subs'!$E$12:$E$47)*($F243='TaxCred&amp;Subs'!$C$12:$C$47),0)
),0),0),(IF($M243&gt;=IFERROR(INDEX('TaxCred&amp;Subs'!$H$12:$H$47,MATCH(1,($C243&amp;$D243='TaxCred&amp;Subs'!$D$12:$D$47)*($F243='TaxCred&amp;Subs'!$C$12:$C$47),0)
),9999),IFERROR(INDEX('TaxCred&amp;Subs'!$N$12:$N$47,MATCH(1,($C243&amp;$D243='TaxCred&amp;Subs'!$D$12:$D$47)*($F243='TaxCred&amp;Subs'!$C$12:$C$47),0)
),0),0)))),0)+IF(AND($C243=2,VALUE(RIGHT($AD243,1))&gt;2),(N243-R243)*(IFERROR(INDEX('TaxCred&amp;Subs'!$J$66:$J$99,MATCH(1,($C243&amp;$D243='TaxCred&amp;Subs'!$E$66:$E$99)*($F243='TaxCred&amp;Subs'!$C$66:$C$99),0)),0)),IF(AND($C243=1,VALUE(RIGHT($AD243,1))&gt;2),(N243-R243)*(IFERROR(INDEX('TaxCred&amp;Subs'!$J$66:$J$99,MATCH(1,($C243&amp;$D243='TaxCred&amp;Subs'!$D$66:$D$99)*($F243='TaxCred&amp;Subs'!$C$66:$C$99),0)),0)),IF($C243&gt;2,(N243-R243)*(IFERROR(INDEX('TaxCred&amp;Subs'!$J$66:$J$99,MATCH(1,($C243&amp;$D243='TaxCred&amp;Subs'!$D$66:$D$99)*($F243='TaxCred&amp;Subs'!$C$66:$C$99),0)),0)),0))),0)</f>
        <v>2311</v>
      </c>
      <c r="Q243" s="95">
        <f t="array" ref="Q243">ROUND(IF(AND($C243=2,VALUE(RIGHT($AD243,1))&gt;2),(O243-S243)*(IFERROR(INDEX('TaxCred&amp;Subs'!$J$66:$J$99,MATCH(1,($C243&amp;$D243='TaxCred&amp;Subs'!$E$66:$E$99)*($F243='TaxCred&amp;Subs'!$C$66:$C$99),0)),0)),IF(AND($C243=1,VALUE(RIGHT($AD243,1))&gt;2),(O243-S243)*(IFERROR(INDEX('TaxCred&amp;Subs'!$J$66:$J$99,MATCH(1,($C243&amp;$D243='TaxCred&amp;Subs'!$D$66:$D$99)*($F243='TaxCred&amp;Subs'!$C$66:$C$99),0)),0)),IF($C243&gt;2,(O243-S243)*(IFERROR(INDEX('TaxCred&amp;Subs'!$J$66:$J$99,MATCH(1,($C243&amp;$D243='TaxCred&amp;Subs'!$D$66:$D$99)*($F243='TaxCred&amp;Subs'!$C$66:$C$99),0)),0)),0))),0)</f>
        <v>1316</v>
      </c>
      <c r="R243" s="95">
        <f t="array" ref="R243">ROUND(IF(IFERROR(VALUE(RIGHT($AD243,1)),0)&gt;2,IF($C243=8,N243*IFERROR(INDEX('TaxCred&amp;Subs'!$K$139:$S$151,MATCH($C243&amp;$D243&amp;LEFT($AD243,7),'TaxCred&amp;Subs'!$E$139:$E$151,0),MATCH($H243,'TaxCred&amp;Subs'!$K$137:$S$137,0)),0),IF($C243=2,N243*IFERROR(INDEX('TaxCred&amp;Subs'!$K$139:$S$151,MATCH($C243&amp;$D243,'TaxCred&amp;Subs'!$D$139:$D$151,0),MATCH($H243,'TaxCred&amp;Subs'!$K$137:$S$137,0)),0),N243*IFERROR(INDEX('TaxCred&amp;Subs'!$K$139:$S$151,MATCH($C243&amp;$D243,'TaxCred&amp;Subs'!$C$139:$C$151,0),MATCH($H243,'TaxCred&amp;Subs'!$K$137:$S$137,0)),0))),0),0)</f>
        <v>612</v>
      </c>
      <c r="S243" s="95">
        <f t="array" ref="S243">ROUND(IF(IFERROR(VALUE(RIGHT($AD243,1)),0)&gt;2,IF($C243=8,O243*IFERROR(INDEX('TaxCred&amp;Subs'!$K$139:$S$151,MATCH($C243&amp;$D243&amp;LEFT($AD243,7),'TaxCred&amp;Subs'!$E$139:$E$151,0),MATCH($H243,'TaxCred&amp;Subs'!$K$137:$S$137,0)),0),IF($C243=2,O243*IFERROR(INDEX('TaxCred&amp;Subs'!$K$139:$S$151,MATCH($C243&amp;$D243,'TaxCred&amp;Subs'!$D$139:$D$151,0),MATCH($H243,'TaxCred&amp;Subs'!$K$137:$S$137,0)),0),O243*IFERROR(INDEX('TaxCred&amp;Subs'!$K$139:$S$151,MATCH($C243&amp;$D243,'TaxCred&amp;Subs'!$C$139:$C$151,0),MATCH($H243,'TaxCred&amp;Subs'!$K$137:$S$137,0)),0))),0),0)</f>
        <v>349</v>
      </c>
      <c r="T243" s="95">
        <f t="shared" si="15"/>
        <v>0</v>
      </c>
      <c r="U243" s="95">
        <f t="shared" si="16"/>
        <v>0</v>
      </c>
      <c r="V243" s="28" t="s">
        <v>222</v>
      </c>
      <c r="W243" s="31">
        <v>2020</v>
      </c>
      <c r="X243" s="28">
        <v>1</v>
      </c>
      <c r="Y243" s="28">
        <v>0</v>
      </c>
      <c r="Z243" s="196">
        <v>-2.1513024844954491E-4</v>
      </c>
      <c r="AA243" s="196">
        <v>-3.3096961299929986E-3</v>
      </c>
      <c r="AB243" s="28">
        <v>0</v>
      </c>
      <c r="AC243" s="28">
        <v>0</v>
      </c>
      <c r="AD243" s="28" t="s">
        <v>336</v>
      </c>
    </row>
    <row r="244" spans="2:30" ht="14.25" customHeight="1" x14ac:dyDescent="0.2">
      <c r="B244" s="7">
        <f t="shared" si="17"/>
        <v>220</v>
      </c>
      <c r="C244" s="28">
        <v>1</v>
      </c>
      <c r="D244" s="28">
        <v>10</v>
      </c>
      <c r="E244" s="31">
        <v>33</v>
      </c>
      <c r="F244" s="96">
        <v>2020</v>
      </c>
      <c r="G244" s="28">
        <v>2021</v>
      </c>
      <c r="H244" s="28">
        <v>5</v>
      </c>
      <c r="I244" s="31">
        <v>33</v>
      </c>
      <c r="J244" s="28">
        <v>0</v>
      </c>
      <c r="K244" s="28">
        <v>0</v>
      </c>
      <c r="L244" s="28">
        <v>0</v>
      </c>
      <c r="M244" s="75">
        <v>3.6</v>
      </c>
      <c r="N244" s="151">
        <v>9500</v>
      </c>
      <c r="O244" s="151">
        <v>5410</v>
      </c>
      <c r="P244" s="95">
        <f t="array" ref="P244">ROUND(IF($F244&lt;='TaxCred&amp;Subs'!$C$49,(IF($C244=2,IF($M244&gt;=IFERROR(INDEX('TaxCred&amp;Subs'!$L$12:$L$47,MATCH(1,($C244&amp;$D244='TaxCred&amp;Subs'!$E$12:$E$47)*($F244='TaxCred&amp;Subs'!$C$12:$C$47),0)
),9999),IFERROR(INDEX('TaxCred&amp;Subs'!$N$12:$N$47,MATCH(1,($C244&amp;$D244='TaxCred&amp;Subs'!$E$12:$E$47)*($F244='TaxCred&amp;Subs'!$C$12:$C$47),0)
),0),0),(IF($M244&gt;=IFERROR(INDEX('TaxCred&amp;Subs'!$H$12:$H$47,MATCH(1,($C244&amp;$D244='TaxCred&amp;Subs'!$D$12:$D$47)*($F244='TaxCred&amp;Subs'!$C$12:$C$47),0)
),9999),IFERROR(INDEX('TaxCred&amp;Subs'!$N$12:$N$47,MATCH(1,($C244&amp;$D244='TaxCred&amp;Subs'!$D$12:$D$47)*($F244='TaxCred&amp;Subs'!$C$12:$C$47),0)
),0),0)))),0)+IF(AND($C244=2,VALUE(RIGHT($AD244,1))&gt;2),(N244-R244)*(IFERROR(INDEX('TaxCred&amp;Subs'!$J$66:$J$99,MATCH(1,($C244&amp;$D244='TaxCred&amp;Subs'!$E$66:$E$99)*($F244='TaxCred&amp;Subs'!$C$66:$C$99),0)),0)),IF(AND($C244=1,VALUE(RIGHT($AD244,1))&gt;2),(N244-R244)*(IFERROR(INDEX('TaxCred&amp;Subs'!$J$66:$J$99,MATCH(1,($C244&amp;$D244='TaxCred&amp;Subs'!$D$66:$D$99)*($F244='TaxCred&amp;Subs'!$C$66:$C$99),0)),0)),IF($C244&gt;2,(N244-R244)*(IFERROR(INDEX('TaxCred&amp;Subs'!$J$66:$J$99,MATCH(1,($C244&amp;$D244='TaxCred&amp;Subs'!$D$66:$D$99)*($F244='TaxCred&amp;Subs'!$C$66:$C$99),0)),0)),0))),0)</f>
        <v>2298</v>
      </c>
      <c r="Q244" s="95">
        <f t="array" ref="Q244">ROUND(IF(AND($C244=2,VALUE(RIGHT($AD244,1))&gt;2),(O244-S244)*(IFERROR(INDEX('TaxCred&amp;Subs'!$J$66:$J$99,MATCH(1,($C244&amp;$D244='TaxCred&amp;Subs'!$E$66:$E$99)*($F244='TaxCred&amp;Subs'!$C$66:$C$99),0)),0)),IF(AND($C244=1,VALUE(RIGHT($AD244,1))&gt;2),(O244-S244)*(IFERROR(INDEX('TaxCred&amp;Subs'!$J$66:$J$99,MATCH(1,($C244&amp;$D244='TaxCred&amp;Subs'!$D$66:$D$99)*($F244='TaxCred&amp;Subs'!$C$66:$C$99),0)),0)),IF($C244&gt;2,(O244-S244)*(IFERROR(INDEX('TaxCred&amp;Subs'!$J$66:$J$99,MATCH(1,($C244&amp;$D244='TaxCred&amp;Subs'!$D$66:$D$99)*($F244='TaxCred&amp;Subs'!$C$66:$C$99),0)),0)),0))),0)</f>
        <v>1309</v>
      </c>
      <c r="R244" s="95">
        <f t="array" ref="R244">ROUND(IF(IFERROR(VALUE(RIGHT($AD244,1)),0)&gt;2,IF($C244=8,N244*IFERROR(INDEX('TaxCred&amp;Subs'!$K$139:$S$151,MATCH($C244&amp;$D244&amp;LEFT($AD244,7),'TaxCred&amp;Subs'!$E$139:$E$151,0),MATCH($H244,'TaxCred&amp;Subs'!$K$137:$S$137,0)),0),IF($C244=2,N244*IFERROR(INDEX('TaxCred&amp;Subs'!$K$139:$S$151,MATCH($C244&amp;$D244,'TaxCred&amp;Subs'!$D$139:$D$151,0),MATCH($H244,'TaxCred&amp;Subs'!$K$137:$S$137,0)),0),N244*IFERROR(INDEX('TaxCred&amp;Subs'!$K$139:$S$151,MATCH($C244&amp;$D244,'TaxCred&amp;Subs'!$C$139:$C$151,0),MATCH($H244,'TaxCred&amp;Subs'!$K$137:$S$137,0)),0))),0),0)</f>
        <v>663</v>
      </c>
      <c r="S244" s="95">
        <f t="array" ref="S244">ROUND(IF(IFERROR(VALUE(RIGHT($AD244,1)),0)&gt;2,IF($C244=8,O244*IFERROR(INDEX('TaxCred&amp;Subs'!$K$139:$S$151,MATCH($C244&amp;$D244&amp;LEFT($AD244,7),'TaxCred&amp;Subs'!$E$139:$E$151,0),MATCH($H244,'TaxCred&amp;Subs'!$K$137:$S$137,0)),0),IF($C244=2,O244*IFERROR(INDEX('TaxCred&amp;Subs'!$K$139:$S$151,MATCH($C244&amp;$D244,'TaxCred&amp;Subs'!$D$139:$D$151,0),MATCH($H244,'TaxCred&amp;Subs'!$K$137:$S$137,0)),0),O244*IFERROR(INDEX('TaxCred&amp;Subs'!$K$139:$S$151,MATCH($C244&amp;$D244,'TaxCred&amp;Subs'!$C$139:$C$151,0),MATCH($H244,'TaxCred&amp;Subs'!$K$137:$S$137,0)),0))),0),0)</f>
        <v>377</v>
      </c>
      <c r="T244" s="95">
        <f t="shared" si="15"/>
        <v>0</v>
      </c>
      <c r="U244" s="95">
        <f t="shared" si="16"/>
        <v>0</v>
      </c>
      <c r="V244" s="28" t="s">
        <v>222</v>
      </c>
      <c r="W244" s="31">
        <v>2020</v>
      </c>
      <c r="X244" s="28">
        <v>1</v>
      </c>
      <c r="Y244" s="28">
        <v>0</v>
      </c>
      <c r="Z244" s="196">
        <v>-2.1513024844954491E-4</v>
      </c>
      <c r="AA244" s="196">
        <v>-3.3096961299929986E-3</v>
      </c>
      <c r="AB244" s="28">
        <v>0</v>
      </c>
      <c r="AC244" s="28">
        <v>0</v>
      </c>
      <c r="AD244" s="28" t="s">
        <v>336</v>
      </c>
    </row>
    <row r="245" spans="2:30" ht="14.25" customHeight="1" x14ac:dyDescent="0.2">
      <c r="B245" s="7">
        <f t="shared" si="17"/>
        <v>221</v>
      </c>
      <c r="C245" s="28">
        <v>1</v>
      </c>
      <c r="D245" s="28">
        <v>10</v>
      </c>
      <c r="E245" s="31">
        <v>33</v>
      </c>
      <c r="F245" s="96">
        <v>2020</v>
      </c>
      <c r="G245" s="28">
        <v>2021</v>
      </c>
      <c r="H245" s="28">
        <v>6</v>
      </c>
      <c r="I245" s="31">
        <v>33</v>
      </c>
      <c r="J245" s="28">
        <v>0</v>
      </c>
      <c r="K245" s="28">
        <v>0</v>
      </c>
      <c r="L245" s="28">
        <v>0</v>
      </c>
      <c r="M245" s="75">
        <v>3.6</v>
      </c>
      <c r="N245" s="151">
        <v>9500</v>
      </c>
      <c r="O245" s="151">
        <v>5410</v>
      </c>
      <c r="P245" s="95">
        <f t="array" ref="P245">ROUND(IF($F245&lt;='TaxCred&amp;Subs'!$C$49,(IF($C245=2,IF($M245&gt;=IFERROR(INDEX('TaxCred&amp;Subs'!$L$12:$L$47,MATCH(1,($C245&amp;$D245='TaxCred&amp;Subs'!$E$12:$E$47)*($F245='TaxCred&amp;Subs'!$C$12:$C$47),0)
),9999),IFERROR(INDEX('TaxCred&amp;Subs'!$N$12:$N$47,MATCH(1,($C245&amp;$D245='TaxCred&amp;Subs'!$E$12:$E$47)*($F245='TaxCred&amp;Subs'!$C$12:$C$47),0)
),0),0),(IF($M245&gt;=IFERROR(INDEX('TaxCred&amp;Subs'!$H$12:$H$47,MATCH(1,($C245&amp;$D245='TaxCred&amp;Subs'!$D$12:$D$47)*($F245='TaxCred&amp;Subs'!$C$12:$C$47),0)
),9999),IFERROR(INDEX('TaxCred&amp;Subs'!$N$12:$N$47,MATCH(1,($C245&amp;$D245='TaxCred&amp;Subs'!$D$12:$D$47)*($F245='TaxCred&amp;Subs'!$C$12:$C$47),0)
),0),0)))),0)+IF(AND($C245=2,VALUE(RIGHT($AD245,1))&gt;2),(N245-R245)*(IFERROR(INDEX('TaxCred&amp;Subs'!$J$66:$J$99,MATCH(1,($C245&amp;$D245='TaxCred&amp;Subs'!$E$66:$E$99)*($F245='TaxCred&amp;Subs'!$C$66:$C$99),0)),0)),IF(AND($C245=1,VALUE(RIGHT($AD245,1))&gt;2),(N245-R245)*(IFERROR(INDEX('TaxCred&amp;Subs'!$J$66:$J$99,MATCH(1,($C245&amp;$D245='TaxCred&amp;Subs'!$D$66:$D$99)*($F245='TaxCred&amp;Subs'!$C$66:$C$99),0)),0)),IF($C245&gt;2,(N245-R245)*(IFERROR(INDEX('TaxCred&amp;Subs'!$J$66:$J$99,MATCH(1,($C245&amp;$D245='TaxCred&amp;Subs'!$D$66:$D$99)*($F245='TaxCred&amp;Subs'!$C$66:$C$99),0)),0)),0))),0)</f>
        <v>2252</v>
      </c>
      <c r="Q245" s="95">
        <f t="array" ref="Q245">ROUND(IF(AND($C245=2,VALUE(RIGHT($AD245,1))&gt;2),(O245-S245)*(IFERROR(INDEX('TaxCred&amp;Subs'!$J$66:$J$99,MATCH(1,($C245&amp;$D245='TaxCred&amp;Subs'!$E$66:$E$99)*($F245='TaxCred&amp;Subs'!$C$66:$C$99),0)),0)),IF(AND($C245=1,VALUE(RIGHT($AD245,1))&gt;2),(O245-S245)*(IFERROR(INDEX('TaxCred&amp;Subs'!$J$66:$J$99,MATCH(1,($C245&amp;$D245='TaxCred&amp;Subs'!$D$66:$D$99)*($F245='TaxCred&amp;Subs'!$C$66:$C$99),0)),0)),IF($C245&gt;2,(O245-S245)*(IFERROR(INDEX('TaxCred&amp;Subs'!$J$66:$J$99,MATCH(1,($C245&amp;$D245='TaxCred&amp;Subs'!$D$66:$D$99)*($F245='TaxCred&amp;Subs'!$C$66:$C$99),0)),0)),0))),0)</f>
        <v>1283</v>
      </c>
      <c r="R245" s="95">
        <f t="array" ref="R245">ROUND(IF(IFERROR(VALUE(RIGHT($AD245,1)),0)&gt;2,IF($C245=8,N245*IFERROR(INDEX('TaxCred&amp;Subs'!$K$139:$S$151,MATCH($C245&amp;$D245&amp;LEFT($AD245,7),'TaxCred&amp;Subs'!$E$139:$E$151,0),MATCH($H245,'TaxCred&amp;Subs'!$K$137:$S$137,0)),0),IF($C245=2,N245*IFERROR(INDEX('TaxCred&amp;Subs'!$K$139:$S$151,MATCH($C245&amp;$D245,'TaxCred&amp;Subs'!$D$139:$D$151,0),MATCH($H245,'TaxCred&amp;Subs'!$K$137:$S$137,0)),0),N245*IFERROR(INDEX('TaxCred&amp;Subs'!$K$139:$S$151,MATCH($C245&amp;$D245,'TaxCred&amp;Subs'!$C$139:$C$151,0),MATCH($H245,'TaxCred&amp;Subs'!$K$137:$S$137,0)),0))),0),0)</f>
        <v>837</v>
      </c>
      <c r="S245" s="95">
        <f t="array" ref="S245">ROUND(IF(IFERROR(VALUE(RIGHT($AD245,1)),0)&gt;2,IF($C245=8,O245*IFERROR(INDEX('TaxCred&amp;Subs'!$K$139:$S$151,MATCH($C245&amp;$D245&amp;LEFT($AD245,7),'TaxCred&amp;Subs'!$E$139:$E$151,0),MATCH($H245,'TaxCred&amp;Subs'!$K$137:$S$137,0)),0),IF($C245=2,O245*IFERROR(INDEX('TaxCred&amp;Subs'!$K$139:$S$151,MATCH($C245&amp;$D245,'TaxCred&amp;Subs'!$D$139:$D$151,0),MATCH($H245,'TaxCred&amp;Subs'!$K$137:$S$137,0)),0),O245*IFERROR(INDEX('TaxCred&amp;Subs'!$K$139:$S$151,MATCH($C245&amp;$D245,'TaxCred&amp;Subs'!$C$139:$C$151,0),MATCH($H245,'TaxCred&amp;Subs'!$K$137:$S$137,0)),0))),0),0)</f>
        <v>477</v>
      </c>
      <c r="T245" s="95">
        <f t="shared" si="15"/>
        <v>0</v>
      </c>
      <c r="U245" s="95">
        <f t="shared" si="16"/>
        <v>0</v>
      </c>
      <c r="V245" s="28" t="s">
        <v>222</v>
      </c>
      <c r="W245" s="31">
        <v>2020</v>
      </c>
      <c r="X245" s="28">
        <v>1</v>
      </c>
      <c r="Y245" s="28">
        <v>0</v>
      </c>
      <c r="Z245" s="196">
        <v>-2.1513024844954491E-4</v>
      </c>
      <c r="AA245" s="196">
        <v>-3.3096961299929986E-3</v>
      </c>
      <c r="AB245" s="28">
        <v>0</v>
      </c>
      <c r="AC245" s="28">
        <v>0</v>
      </c>
      <c r="AD245" s="28" t="s">
        <v>336</v>
      </c>
    </row>
    <row r="246" spans="2:30" ht="14.25" customHeight="1" x14ac:dyDescent="0.2">
      <c r="B246" s="7">
        <f t="shared" si="17"/>
        <v>222</v>
      </c>
      <c r="C246" s="28">
        <v>1</v>
      </c>
      <c r="D246" s="28">
        <v>10</v>
      </c>
      <c r="E246" s="31">
        <v>33</v>
      </c>
      <c r="F246" s="96">
        <v>2020</v>
      </c>
      <c r="G246" s="28">
        <v>2021</v>
      </c>
      <c r="H246" s="28">
        <v>7</v>
      </c>
      <c r="I246" s="31">
        <v>33</v>
      </c>
      <c r="J246" s="28">
        <v>0</v>
      </c>
      <c r="K246" s="28">
        <v>0</v>
      </c>
      <c r="L246" s="28">
        <v>0</v>
      </c>
      <c r="M246" s="75">
        <v>3.6</v>
      </c>
      <c r="N246" s="151">
        <v>9500</v>
      </c>
      <c r="O246" s="151">
        <v>5410</v>
      </c>
      <c r="P246" s="95">
        <f t="array" ref="P246">ROUND(IF($F246&lt;='TaxCred&amp;Subs'!$C$49,(IF($C246=2,IF($M246&gt;=IFERROR(INDEX('TaxCred&amp;Subs'!$L$12:$L$47,MATCH(1,($C246&amp;$D246='TaxCred&amp;Subs'!$E$12:$E$47)*($F246='TaxCred&amp;Subs'!$C$12:$C$47),0)
),9999),IFERROR(INDEX('TaxCred&amp;Subs'!$N$12:$N$47,MATCH(1,($C246&amp;$D246='TaxCred&amp;Subs'!$E$12:$E$47)*($F246='TaxCred&amp;Subs'!$C$12:$C$47),0)
),0),0),(IF($M246&gt;=IFERROR(INDEX('TaxCred&amp;Subs'!$H$12:$H$47,MATCH(1,($C246&amp;$D246='TaxCred&amp;Subs'!$D$12:$D$47)*($F246='TaxCred&amp;Subs'!$C$12:$C$47),0)
),9999),IFERROR(INDEX('TaxCred&amp;Subs'!$N$12:$N$47,MATCH(1,($C246&amp;$D246='TaxCred&amp;Subs'!$D$12:$D$47)*($F246='TaxCred&amp;Subs'!$C$12:$C$47),0)
),0),0)))),0)+IF(AND($C246=2,VALUE(RIGHT($AD246,1))&gt;2),(N246-R246)*(IFERROR(INDEX('TaxCred&amp;Subs'!$J$66:$J$99,MATCH(1,($C246&amp;$D246='TaxCred&amp;Subs'!$E$66:$E$99)*($F246='TaxCred&amp;Subs'!$C$66:$C$99),0)),0)),IF(AND($C246=1,VALUE(RIGHT($AD246,1))&gt;2),(N246-R246)*(IFERROR(INDEX('TaxCred&amp;Subs'!$J$66:$J$99,MATCH(1,($C246&amp;$D246='TaxCred&amp;Subs'!$D$66:$D$99)*($F246='TaxCred&amp;Subs'!$C$66:$C$99),0)),0)),IF($C246&gt;2,(N246-R246)*(IFERROR(INDEX('TaxCred&amp;Subs'!$J$66:$J$99,MATCH(1,($C246&amp;$D246='TaxCred&amp;Subs'!$D$66:$D$99)*($F246='TaxCred&amp;Subs'!$C$66:$C$99),0)),0)),0))),0)</f>
        <v>2379</v>
      </c>
      <c r="Q246" s="95">
        <f t="array" ref="Q246">ROUND(IF(AND($C246=2,VALUE(RIGHT($AD246,1))&gt;2),(O246-S246)*(IFERROR(INDEX('TaxCred&amp;Subs'!$J$66:$J$99,MATCH(1,($C246&amp;$D246='TaxCred&amp;Subs'!$E$66:$E$99)*($F246='TaxCred&amp;Subs'!$C$66:$C$99),0)),0)),IF(AND($C246=1,VALUE(RIGHT($AD246,1))&gt;2),(O246-S246)*(IFERROR(INDEX('TaxCred&amp;Subs'!$J$66:$J$99,MATCH(1,($C246&amp;$D246='TaxCred&amp;Subs'!$D$66:$D$99)*($F246='TaxCred&amp;Subs'!$C$66:$C$99),0)),0)),IF($C246&gt;2,(O246-S246)*(IFERROR(INDEX('TaxCred&amp;Subs'!$J$66:$J$99,MATCH(1,($C246&amp;$D246='TaxCred&amp;Subs'!$D$66:$D$99)*($F246='TaxCred&amp;Subs'!$C$66:$C$99),0)),0)),0))),0)</f>
        <v>1355</v>
      </c>
      <c r="R246" s="95">
        <f t="array" ref="R246">ROUND(IF(IFERROR(VALUE(RIGHT($AD246,1)),0)&gt;2,IF($C246=8,N246*IFERROR(INDEX('TaxCred&amp;Subs'!$K$139:$S$151,MATCH($C246&amp;$D246&amp;LEFT($AD246,7),'TaxCred&amp;Subs'!$E$139:$E$151,0),MATCH($H246,'TaxCred&amp;Subs'!$K$137:$S$137,0)),0),IF($C246=2,N246*IFERROR(INDEX('TaxCred&amp;Subs'!$K$139:$S$151,MATCH($C246&amp;$D246,'TaxCred&amp;Subs'!$D$139:$D$151,0),MATCH($H246,'TaxCred&amp;Subs'!$K$137:$S$137,0)),0),N246*IFERROR(INDEX('TaxCred&amp;Subs'!$K$139:$S$151,MATCH($C246&amp;$D246,'TaxCred&amp;Subs'!$C$139:$C$151,0),MATCH($H246,'TaxCred&amp;Subs'!$K$137:$S$137,0)),0))),0),0)</f>
        <v>351</v>
      </c>
      <c r="S246" s="95">
        <f t="array" ref="S246">ROUND(IF(IFERROR(VALUE(RIGHT($AD246,1)),0)&gt;2,IF($C246=8,O246*IFERROR(INDEX('TaxCred&amp;Subs'!$K$139:$S$151,MATCH($C246&amp;$D246&amp;LEFT($AD246,7),'TaxCred&amp;Subs'!$E$139:$E$151,0),MATCH($H246,'TaxCred&amp;Subs'!$K$137:$S$137,0)),0),IF($C246=2,O246*IFERROR(INDEX('TaxCred&amp;Subs'!$K$139:$S$151,MATCH($C246&amp;$D246,'TaxCred&amp;Subs'!$D$139:$D$151,0),MATCH($H246,'TaxCred&amp;Subs'!$K$137:$S$137,0)),0),O246*IFERROR(INDEX('TaxCred&amp;Subs'!$K$139:$S$151,MATCH($C246&amp;$D246,'TaxCred&amp;Subs'!$C$139:$C$151,0),MATCH($H246,'TaxCred&amp;Subs'!$K$137:$S$137,0)),0))),0),0)</f>
        <v>200</v>
      </c>
      <c r="T246" s="95">
        <f t="shared" si="15"/>
        <v>0</v>
      </c>
      <c r="U246" s="95">
        <f t="shared" si="16"/>
        <v>0</v>
      </c>
      <c r="V246" s="28" t="s">
        <v>222</v>
      </c>
      <c r="W246" s="31">
        <v>2020</v>
      </c>
      <c r="X246" s="28">
        <v>1</v>
      </c>
      <c r="Y246" s="28">
        <v>0</v>
      </c>
      <c r="Z246" s="196">
        <v>-2.1513024844954491E-4</v>
      </c>
      <c r="AA246" s="196">
        <v>-3.3096961299929986E-3</v>
      </c>
      <c r="AB246" s="28">
        <v>0</v>
      </c>
      <c r="AC246" s="28">
        <v>0</v>
      </c>
      <c r="AD246" s="28" t="s">
        <v>336</v>
      </c>
    </row>
    <row r="247" spans="2:30" ht="14.25" customHeight="1" x14ac:dyDescent="0.2">
      <c r="B247" s="7">
        <f t="shared" si="17"/>
        <v>223</v>
      </c>
      <c r="C247" s="28">
        <v>1</v>
      </c>
      <c r="D247" s="28">
        <v>10</v>
      </c>
      <c r="E247" s="31">
        <v>33</v>
      </c>
      <c r="F247" s="96">
        <v>2020</v>
      </c>
      <c r="G247" s="28">
        <v>2021</v>
      </c>
      <c r="H247" s="28">
        <v>8</v>
      </c>
      <c r="I247" s="31">
        <v>33</v>
      </c>
      <c r="J247" s="28">
        <v>0</v>
      </c>
      <c r="K247" s="28">
        <v>0</v>
      </c>
      <c r="L247" s="28">
        <v>0</v>
      </c>
      <c r="M247" s="75">
        <v>3.6</v>
      </c>
      <c r="N247" s="151">
        <v>9500</v>
      </c>
      <c r="O247" s="151">
        <v>5410</v>
      </c>
      <c r="P247" s="95">
        <f t="array" ref="P247">ROUND(IF($F247&lt;='TaxCred&amp;Subs'!$C$49,(IF($C247=2,IF($M247&gt;=IFERROR(INDEX('TaxCred&amp;Subs'!$L$12:$L$47,MATCH(1,($C247&amp;$D247='TaxCred&amp;Subs'!$E$12:$E$47)*($F247='TaxCred&amp;Subs'!$C$12:$C$47),0)
),9999),IFERROR(INDEX('TaxCred&amp;Subs'!$N$12:$N$47,MATCH(1,($C247&amp;$D247='TaxCred&amp;Subs'!$E$12:$E$47)*($F247='TaxCred&amp;Subs'!$C$12:$C$47),0)
),0),0),(IF($M247&gt;=IFERROR(INDEX('TaxCred&amp;Subs'!$H$12:$H$47,MATCH(1,($C247&amp;$D247='TaxCred&amp;Subs'!$D$12:$D$47)*($F247='TaxCred&amp;Subs'!$C$12:$C$47),0)
),9999),IFERROR(INDEX('TaxCred&amp;Subs'!$N$12:$N$47,MATCH(1,($C247&amp;$D247='TaxCred&amp;Subs'!$D$12:$D$47)*($F247='TaxCred&amp;Subs'!$C$12:$C$47),0)
),0),0)))),0)+IF(AND($C247=2,VALUE(RIGHT($AD247,1))&gt;2),(N247-R247)*(IFERROR(INDEX('TaxCred&amp;Subs'!$J$66:$J$99,MATCH(1,($C247&amp;$D247='TaxCred&amp;Subs'!$E$66:$E$99)*($F247='TaxCred&amp;Subs'!$C$66:$C$99),0)),0)),IF(AND($C247=1,VALUE(RIGHT($AD247,1))&gt;2),(N247-R247)*(IFERROR(INDEX('TaxCred&amp;Subs'!$J$66:$J$99,MATCH(1,($C247&amp;$D247='TaxCred&amp;Subs'!$D$66:$D$99)*($F247='TaxCred&amp;Subs'!$C$66:$C$99),0)),0)),IF($C247&gt;2,(N247-R247)*(IFERROR(INDEX('TaxCred&amp;Subs'!$J$66:$J$99,MATCH(1,($C247&amp;$D247='TaxCred&amp;Subs'!$D$66:$D$99)*($F247='TaxCred&amp;Subs'!$C$66:$C$99),0)),0)),0))),0)</f>
        <v>2346</v>
      </c>
      <c r="Q247" s="95">
        <f t="array" ref="Q247">ROUND(IF(AND($C247=2,VALUE(RIGHT($AD247,1))&gt;2),(O247-S247)*(IFERROR(INDEX('TaxCred&amp;Subs'!$J$66:$J$99,MATCH(1,($C247&amp;$D247='TaxCred&amp;Subs'!$E$66:$E$99)*($F247='TaxCred&amp;Subs'!$C$66:$C$99),0)),0)),IF(AND($C247=1,VALUE(RIGHT($AD247,1))&gt;2),(O247-S247)*(IFERROR(INDEX('TaxCred&amp;Subs'!$J$66:$J$99,MATCH(1,($C247&amp;$D247='TaxCred&amp;Subs'!$D$66:$D$99)*($F247='TaxCred&amp;Subs'!$C$66:$C$99),0)),0)),IF($C247&gt;2,(O247-S247)*(IFERROR(INDEX('TaxCred&amp;Subs'!$J$66:$J$99,MATCH(1,($C247&amp;$D247='TaxCred&amp;Subs'!$D$66:$D$99)*($F247='TaxCred&amp;Subs'!$C$66:$C$99),0)),0)),0))),0)</f>
        <v>1336</v>
      </c>
      <c r="R247" s="95">
        <f t="array" ref="R247">ROUND(IF(IFERROR(VALUE(RIGHT($AD247,1)),0)&gt;2,IF($C247=8,N247*IFERROR(INDEX('TaxCred&amp;Subs'!$K$139:$S$151,MATCH($C247&amp;$D247&amp;LEFT($AD247,7),'TaxCred&amp;Subs'!$E$139:$E$151,0),MATCH($H247,'TaxCred&amp;Subs'!$K$137:$S$137,0)),0),IF($C247=2,N247*IFERROR(INDEX('TaxCred&amp;Subs'!$K$139:$S$151,MATCH($C247&amp;$D247,'TaxCred&amp;Subs'!$D$139:$D$151,0),MATCH($H247,'TaxCred&amp;Subs'!$K$137:$S$137,0)),0),N247*IFERROR(INDEX('TaxCred&amp;Subs'!$K$139:$S$151,MATCH($C247&amp;$D247,'TaxCred&amp;Subs'!$C$139:$C$151,0),MATCH($H247,'TaxCred&amp;Subs'!$K$137:$S$137,0)),0))),0),0)</f>
        <v>478</v>
      </c>
      <c r="S247" s="95">
        <f t="array" ref="S247">ROUND(IF(IFERROR(VALUE(RIGHT($AD247,1)),0)&gt;2,IF($C247=8,O247*IFERROR(INDEX('TaxCred&amp;Subs'!$K$139:$S$151,MATCH($C247&amp;$D247&amp;LEFT($AD247,7),'TaxCred&amp;Subs'!$E$139:$E$151,0),MATCH($H247,'TaxCred&amp;Subs'!$K$137:$S$137,0)),0),IF($C247=2,O247*IFERROR(INDEX('TaxCred&amp;Subs'!$K$139:$S$151,MATCH($C247&amp;$D247,'TaxCred&amp;Subs'!$D$139:$D$151,0),MATCH($H247,'TaxCred&amp;Subs'!$K$137:$S$137,0)),0),O247*IFERROR(INDEX('TaxCred&amp;Subs'!$K$139:$S$151,MATCH($C247&amp;$D247,'TaxCred&amp;Subs'!$C$139:$C$151,0),MATCH($H247,'TaxCred&amp;Subs'!$K$137:$S$137,0)),0))),0),0)</f>
        <v>272</v>
      </c>
      <c r="T247" s="95">
        <f t="shared" si="15"/>
        <v>0</v>
      </c>
      <c r="U247" s="95">
        <f t="shared" si="16"/>
        <v>0</v>
      </c>
      <c r="V247" s="28" t="s">
        <v>222</v>
      </c>
      <c r="W247" s="31">
        <v>2020</v>
      </c>
      <c r="X247" s="28">
        <v>1</v>
      </c>
      <c r="Y247" s="28">
        <v>0</v>
      </c>
      <c r="Z247" s="196">
        <v>-2.1513024844954491E-4</v>
      </c>
      <c r="AA247" s="196">
        <v>-3.3096961299929986E-3</v>
      </c>
      <c r="AB247" s="28">
        <v>0</v>
      </c>
      <c r="AC247" s="28">
        <v>0</v>
      </c>
      <c r="AD247" s="28" t="s">
        <v>336</v>
      </c>
    </row>
    <row r="248" spans="2:30" ht="14.25" customHeight="1" x14ac:dyDescent="0.2">
      <c r="B248" s="7">
        <f t="shared" si="17"/>
        <v>224</v>
      </c>
      <c r="C248" s="28">
        <v>1</v>
      </c>
      <c r="D248" s="28">
        <v>10</v>
      </c>
      <c r="E248" s="31">
        <v>33</v>
      </c>
      <c r="F248" s="96">
        <v>2020</v>
      </c>
      <c r="G248" s="28">
        <v>2021</v>
      </c>
      <c r="H248" s="28">
        <v>9</v>
      </c>
      <c r="I248" s="31">
        <v>33</v>
      </c>
      <c r="J248" s="28">
        <v>0</v>
      </c>
      <c r="K248" s="28">
        <v>0</v>
      </c>
      <c r="L248" s="28">
        <v>0</v>
      </c>
      <c r="M248" s="75">
        <v>3.6</v>
      </c>
      <c r="N248" s="151">
        <v>9500</v>
      </c>
      <c r="O248" s="151">
        <v>5410</v>
      </c>
      <c r="P248" s="95">
        <f t="array" ref="P248">ROUND(IF($F248&lt;='TaxCred&amp;Subs'!$C$49,(IF($C248=2,IF($M248&gt;=IFERROR(INDEX('TaxCred&amp;Subs'!$L$12:$L$47,MATCH(1,($C248&amp;$D248='TaxCred&amp;Subs'!$E$12:$E$47)*($F248='TaxCred&amp;Subs'!$C$12:$C$47),0)
),9999),IFERROR(INDEX('TaxCred&amp;Subs'!$N$12:$N$47,MATCH(1,($C248&amp;$D248='TaxCred&amp;Subs'!$E$12:$E$47)*($F248='TaxCred&amp;Subs'!$C$12:$C$47),0)
),0),0),(IF($M248&gt;=IFERROR(INDEX('TaxCred&amp;Subs'!$H$12:$H$47,MATCH(1,($C248&amp;$D248='TaxCred&amp;Subs'!$D$12:$D$47)*($F248='TaxCred&amp;Subs'!$C$12:$C$47),0)
),9999),IFERROR(INDEX('TaxCred&amp;Subs'!$N$12:$N$47,MATCH(1,($C248&amp;$D248='TaxCred&amp;Subs'!$D$12:$D$47)*($F248='TaxCred&amp;Subs'!$C$12:$C$47),0)
),0),0)))),0)+IF(AND($C248=2,VALUE(RIGHT($AD248,1))&gt;2),(N248-R248)*(IFERROR(INDEX('TaxCred&amp;Subs'!$J$66:$J$99,MATCH(1,($C248&amp;$D248='TaxCred&amp;Subs'!$E$66:$E$99)*($F248='TaxCred&amp;Subs'!$C$66:$C$99),0)),0)),IF(AND($C248=1,VALUE(RIGHT($AD248,1))&gt;2),(N248-R248)*(IFERROR(INDEX('TaxCred&amp;Subs'!$J$66:$J$99,MATCH(1,($C248&amp;$D248='TaxCred&amp;Subs'!$D$66:$D$99)*($F248='TaxCred&amp;Subs'!$C$66:$C$99),0)),0)),IF($C248&gt;2,(N248-R248)*(IFERROR(INDEX('TaxCred&amp;Subs'!$J$66:$J$99,MATCH(1,($C248&amp;$D248='TaxCred&amp;Subs'!$D$66:$D$99)*($F248='TaxCred&amp;Subs'!$C$66:$C$99),0)),0)),0))),0)</f>
        <v>2409</v>
      </c>
      <c r="Q248" s="95">
        <f t="array" ref="Q248">ROUND(IF(AND($C248=2,VALUE(RIGHT($AD248,1))&gt;2),(O248-S248)*(IFERROR(INDEX('TaxCred&amp;Subs'!$J$66:$J$99,MATCH(1,($C248&amp;$D248='TaxCred&amp;Subs'!$E$66:$E$99)*($F248='TaxCred&amp;Subs'!$C$66:$C$99),0)),0)),IF(AND($C248=1,VALUE(RIGHT($AD248,1))&gt;2),(O248-S248)*(IFERROR(INDEX('TaxCred&amp;Subs'!$J$66:$J$99,MATCH(1,($C248&amp;$D248='TaxCred&amp;Subs'!$D$66:$D$99)*($F248='TaxCred&amp;Subs'!$C$66:$C$99),0)),0)),IF($C248&gt;2,(O248-S248)*(IFERROR(INDEX('TaxCred&amp;Subs'!$J$66:$J$99,MATCH(1,($C248&amp;$D248='TaxCred&amp;Subs'!$D$66:$D$99)*($F248='TaxCred&amp;Subs'!$C$66:$C$99),0)),0)),0))),0)</f>
        <v>1372</v>
      </c>
      <c r="R248" s="95">
        <f t="array" ref="R248">ROUND(IF(IFERROR(VALUE(RIGHT($AD248,1)),0)&gt;2,IF($C248=8,N248*IFERROR(INDEX('TaxCred&amp;Subs'!$K$139:$S$151,MATCH($C248&amp;$D248&amp;LEFT($AD248,7),'TaxCred&amp;Subs'!$E$139:$E$151,0),MATCH($H248,'TaxCred&amp;Subs'!$K$137:$S$137,0)),0),IF($C248=2,N248*IFERROR(INDEX('TaxCred&amp;Subs'!$K$139:$S$151,MATCH($C248&amp;$D248,'TaxCred&amp;Subs'!$D$139:$D$151,0),MATCH($H248,'TaxCred&amp;Subs'!$K$137:$S$137,0)),0),N248*IFERROR(INDEX('TaxCred&amp;Subs'!$K$139:$S$151,MATCH($C248&amp;$D248,'TaxCred&amp;Subs'!$C$139:$C$151,0),MATCH($H248,'TaxCred&amp;Subs'!$K$137:$S$137,0)),0))),0),0)</f>
        <v>233</v>
      </c>
      <c r="S248" s="95">
        <f t="array" ref="S248">ROUND(IF(IFERROR(VALUE(RIGHT($AD248,1)),0)&gt;2,IF($C248=8,O248*IFERROR(INDEX('TaxCred&amp;Subs'!$K$139:$S$151,MATCH($C248&amp;$D248&amp;LEFT($AD248,7),'TaxCred&amp;Subs'!$E$139:$E$151,0),MATCH($H248,'TaxCred&amp;Subs'!$K$137:$S$137,0)),0),IF($C248=2,O248*IFERROR(INDEX('TaxCred&amp;Subs'!$K$139:$S$151,MATCH($C248&amp;$D248,'TaxCred&amp;Subs'!$D$139:$D$151,0),MATCH($H248,'TaxCred&amp;Subs'!$K$137:$S$137,0)),0),O248*IFERROR(INDEX('TaxCred&amp;Subs'!$K$139:$S$151,MATCH($C248&amp;$D248,'TaxCred&amp;Subs'!$C$139:$C$151,0),MATCH($H248,'TaxCred&amp;Subs'!$K$137:$S$137,0)),0))),0),0)</f>
        <v>133</v>
      </c>
      <c r="T248" s="172">
        <f t="shared" si="15"/>
        <v>1063.6499999999999</v>
      </c>
      <c r="U248" s="172">
        <f t="shared" si="16"/>
        <v>605.69999999999993</v>
      </c>
      <c r="V248" s="28" t="s">
        <v>222</v>
      </c>
      <c r="W248" s="31">
        <v>2020</v>
      </c>
      <c r="X248" s="28">
        <v>1</v>
      </c>
      <c r="Y248" s="28">
        <v>0</v>
      </c>
      <c r="Z248" s="196">
        <v>-2.1513024844954491E-4</v>
      </c>
      <c r="AA248" s="196">
        <v>-3.3096961299929986E-3</v>
      </c>
      <c r="AB248" s="28">
        <v>0</v>
      </c>
      <c r="AC248" s="28">
        <v>0</v>
      </c>
      <c r="AD248" s="28" t="s">
        <v>336</v>
      </c>
    </row>
    <row r="249" spans="2:30" ht="14.25" customHeight="1" x14ac:dyDescent="0.2">
      <c r="B249" s="7">
        <f t="shared" si="17"/>
        <v>225</v>
      </c>
      <c r="C249" s="28">
        <v>1</v>
      </c>
      <c r="D249" s="28">
        <v>10</v>
      </c>
      <c r="E249" s="31">
        <v>33</v>
      </c>
      <c r="F249" s="78">
        <v>2022</v>
      </c>
      <c r="G249" s="28">
        <v>2032</v>
      </c>
      <c r="H249" s="28">
        <v>1</v>
      </c>
      <c r="I249" s="31">
        <v>33</v>
      </c>
      <c r="J249" s="28">
        <v>0</v>
      </c>
      <c r="K249" s="28">
        <v>0</v>
      </c>
      <c r="L249" s="28">
        <v>0</v>
      </c>
      <c r="M249" s="75">
        <v>3.6</v>
      </c>
      <c r="N249" s="151">
        <v>9500</v>
      </c>
      <c r="O249" s="151">
        <v>5410</v>
      </c>
      <c r="P249" s="95">
        <f t="array" ref="P249">ROUND(IF($F249&lt;='TaxCred&amp;Subs'!$C$49,(IF($C249=2,IF($M249&gt;=IFERROR(INDEX('TaxCred&amp;Subs'!$L$12:$L$47,MATCH(1,($C249&amp;$D249='TaxCred&amp;Subs'!$E$12:$E$47)*($F249='TaxCred&amp;Subs'!$C$12:$C$47),0)
),9999),IFERROR(INDEX('TaxCred&amp;Subs'!$N$12:$N$47,MATCH(1,($C249&amp;$D249='TaxCred&amp;Subs'!$E$12:$E$47)*($F249='TaxCred&amp;Subs'!$C$12:$C$47),0)
),0),0),(IF($M249&gt;=IFERROR(INDEX('TaxCred&amp;Subs'!$H$12:$H$47,MATCH(1,($C249&amp;$D249='TaxCred&amp;Subs'!$D$12:$D$47)*($F249='TaxCred&amp;Subs'!$C$12:$C$47),0)
),9999),IFERROR(INDEX('TaxCred&amp;Subs'!$N$12:$N$47,MATCH(1,($C249&amp;$D249='TaxCred&amp;Subs'!$D$12:$D$47)*($F249='TaxCred&amp;Subs'!$C$12:$C$47),0)
),0),0)))),0)+IF(AND($C249=2,VALUE(RIGHT($AD249,1))&gt;2),(N249-R249)*(IFERROR(INDEX('TaxCred&amp;Subs'!$J$66:$J$99,MATCH(1,($C249&amp;$D249='TaxCred&amp;Subs'!$E$66:$E$99)*($F249='TaxCred&amp;Subs'!$C$66:$C$99),0)),0)),IF(AND($C249=1,VALUE(RIGHT($AD249,1))&gt;2),(N249-R249)*(IFERROR(INDEX('TaxCred&amp;Subs'!$J$66:$J$99,MATCH(1,($C249&amp;$D249='TaxCred&amp;Subs'!$D$66:$D$99)*($F249='TaxCred&amp;Subs'!$C$66:$C$99),0)),0)),IF($C249&gt;2,(N249-R249)*(IFERROR(INDEX('TaxCred&amp;Subs'!$J$66:$J$99,MATCH(1,($C249&amp;$D249='TaxCred&amp;Subs'!$D$66:$D$99)*($F249='TaxCred&amp;Subs'!$C$66:$C$99),0)),0)),0))),0)</f>
        <v>2144</v>
      </c>
      <c r="Q249" s="95">
        <f t="array" ref="Q249">ROUND(IF(AND($C249=2,VALUE(RIGHT($AD249,1))&gt;2),(O249-S249)*(IFERROR(INDEX('TaxCred&amp;Subs'!$J$66:$J$99,MATCH(1,($C249&amp;$D249='TaxCred&amp;Subs'!$E$66:$E$99)*($F249='TaxCred&amp;Subs'!$C$66:$C$99),0)),0)),IF(AND($C249=1,VALUE(RIGHT($AD249,1))&gt;2),(O249-S249)*(IFERROR(INDEX('TaxCred&amp;Subs'!$J$66:$J$99,MATCH(1,($C249&amp;$D249='TaxCred&amp;Subs'!$D$66:$D$99)*($F249='TaxCred&amp;Subs'!$C$66:$C$99),0)),0)),IF($C249&gt;2,(O249-S249)*(IFERROR(INDEX('TaxCred&amp;Subs'!$J$66:$J$99,MATCH(1,($C249&amp;$D249='TaxCred&amp;Subs'!$D$66:$D$99)*($F249='TaxCred&amp;Subs'!$C$66:$C$99),0)),0)),0))),0)</f>
        <v>1221</v>
      </c>
      <c r="R249" s="95">
        <f t="array" ref="R249">ROUND(IF(IFERROR(VALUE(RIGHT($AD249,1)),0)&gt;2,IF($C249=8,N249*IFERROR(INDEX('TaxCred&amp;Subs'!$K$139:$S$151,MATCH($C249&amp;$D249&amp;LEFT($AD249,7),'TaxCred&amp;Subs'!$E$139:$E$151,0),MATCH($H249,'TaxCred&amp;Subs'!$K$137:$S$137,0)),0),IF($C249=2,N249*IFERROR(INDEX('TaxCred&amp;Subs'!$K$139:$S$151,MATCH($C249&amp;$D249,'TaxCred&amp;Subs'!$D$139:$D$151,0),MATCH($H249,'TaxCred&amp;Subs'!$K$137:$S$137,0)),0),N249*IFERROR(INDEX('TaxCred&amp;Subs'!$K$139:$S$151,MATCH($C249&amp;$D249,'TaxCred&amp;Subs'!$C$139:$C$151,0),MATCH($H249,'TaxCred&amp;Subs'!$K$137:$S$137,0)),0))),0),0)</f>
        <v>2355</v>
      </c>
      <c r="S249" s="95">
        <f t="array" ref="S249">ROUND(IF(IFERROR(VALUE(RIGHT($AD249,1)),0)&gt;2,IF($C249=8,O249*IFERROR(INDEX('TaxCred&amp;Subs'!$K$139:$S$151,MATCH($C249&amp;$D249&amp;LEFT($AD249,7),'TaxCred&amp;Subs'!$E$139:$E$151,0),MATCH($H249,'TaxCred&amp;Subs'!$K$137:$S$137,0)),0),IF($C249=2,O249*IFERROR(INDEX('TaxCred&amp;Subs'!$K$139:$S$151,MATCH($C249&amp;$D249,'TaxCred&amp;Subs'!$D$139:$D$151,0),MATCH($H249,'TaxCred&amp;Subs'!$K$137:$S$137,0)),0),O249*IFERROR(INDEX('TaxCred&amp;Subs'!$K$139:$S$151,MATCH($C249&amp;$D249,'TaxCred&amp;Subs'!$C$139:$C$151,0),MATCH($H249,'TaxCred&amp;Subs'!$K$137:$S$137,0)),0))),0),0)</f>
        <v>1341</v>
      </c>
      <c r="T249" s="95">
        <f t="shared" si="15"/>
        <v>0</v>
      </c>
      <c r="U249" s="95">
        <f t="shared" si="16"/>
        <v>0</v>
      </c>
      <c r="V249" s="28" t="s">
        <v>222</v>
      </c>
      <c r="W249" s="31">
        <v>2020</v>
      </c>
      <c r="X249" s="28">
        <v>1</v>
      </c>
      <c r="Y249" s="28">
        <v>0</v>
      </c>
      <c r="Z249" s="196">
        <v>-2.1513024844954491E-4</v>
      </c>
      <c r="AA249" s="196">
        <v>-3.3096961299929986E-3</v>
      </c>
      <c r="AB249" s="28">
        <v>0</v>
      </c>
      <c r="AC249" s="28">
        <v>0</v>
      </c>
      <c r="AD249" s="28" t="s">
        <v>336</v>
      </c>
    </row>
    <row r="250" spans="2:30" ht="14.25" customHeight="1" x14ac:dyDescent="0.2">
      <c r="B250" s="7">
        <f t="shared" si="17"/>
        <v>226</v>
      </c>
      <c r="C250" s="28">
        <v>1</v>
      </c>
      <c r="D250" s="28">
        <v>10</v>
      </c>
      <c r="E250" s="31">
        <v>33</v>
      </c>
      <c r="F250" s="78">
        <v>2022</v>
      </c>
      <c r="G250" s="28">
        <v>2032</v>
      </c>
      <c r="H250" s="28">
        <v>2</v>
      </c>
      <c r="I250" s="31">
        <v>33</v>
      </c>
      <c r="J250" s="28">
        <v>0</v>
      </c>
      <c r="K250" s="28">
        <v>0</v>
      </c>
      <c r="L250" s="28">
        <v>0</v>
      </c>
      <c r="M250" s="75">
        <v>3.6</v>
      </c>
      <c r="N250" s="151">
        <v>9500</v>
      </c>
      <c r="O250" s="151">
        <v>5410</v>
      </c>
      <c r="P250" s="95">
        <f t="array" ref="P250">ROUND(IF($F250&lt;='TaxCred&amp;Subs'!$C$49,(IF($C250=2,IF($M250&gt;=IFERROR(INDEX('TaxCred&amp;Subs'!$L$12:$L$47,MATCH(1,($C250&amp;$D250='TaxCred&amp;Subs'!$E$12:$E$47)*($F250='TaxCred&amp;Subs'!$C$12:$C$47),0)
),9999),IFERROR(INDEX('TaxCred&amp;Subs'!$N$12:$N$47,MATCH(1,($C250&amp;$D250='TaxCred&amp;Subs'!$E$12:$E$47)*($F250='TaxCred&amp;Subs'!$C$12:$C$47),0)
),0),0),(IF($M250&gt;=IFERROR(INDEX('TaxCred&amp;Subs'!$H$12:$H$47,MATCH(1,($C250&amp;$D250='TaxCred&amp;Subs'!$D$12:$D$47)*($F250='TaxCred&amp;Subs'!$C$12:$C$47),0)
),9999),IFERROR(INDEX('TaxCred&amp;Subs'!$N$12:$N$47,MATCH(1,($C250&amp;$D250='TaxCred&amp;Subs'!$D$12:$D$47)*($F250='TaxCred&amp;Subs'!$C$12:$C$47),0)
),0),0)))),0)+IF(AND($C250=2,VALUE(RIGHT($AD250,1))&gt;2),(N250-R250)*(IFERROR(INDEX('TaxCred&amp;Subs'!$J$66:$J$99,MATCH(1,($C250&amp;$D250='TaxCred&amp;Subs'!$E$66:$E$99)*($F250='TaxCred&amp;Subs'!$C$66:$C$99),0)),0)),IF(AND($C250=1,VALUE(RIGHT($AD250,1))&gt;2),(N250-R250)*(IFERROR(INDEX('TaxCred&amp;Subs'!$J$66:$J$99,MATCH(1,($C250&amp;$D250='TaxCred&amp;Subs'!$D$66:$D$99)*($F250='TaxCred&amp;Subs'!$C$66:$C$99),0)),0)),IF($C250&gt;2,(N250-R250)*(IFERROR(INDEX('TaxCred&amp;Subs'!$J$66:$J$99,MATCH(1,($C250&amp;$D250='TaxCred&amp;Subs'!$D$66:$D$99)*($F250='TaxCred&amp;Subs'!$C$66:$C$99),0)),0)),0))),0)</f>
        <v>2558</v>
      </c>
      <c r="Q250" s="95">
        <f t="array" ref="Q250">ROUND(IF(AND($C250=2,VALUE(RIGHT($AD250,1))&gt;2),(O250-S250)*(IFERROR(INDEX('TaxCred&amp;Subs'!$J$66:$J$99,MATCH(1,($C250&amp;$D250='TaxCred&amp;Subs'!$E$66:$E$99)*($F250='TaxCred&amp;Subs'!$C$66:$C$99),0)),0)),IF(AND($C250=1,VALUE(RIGHT($AD250,1))&gt;2),(O250-S250)*(IFERROR(INDEX('TaxCred&amp;Subs'!$J$66:$J$99,MATCH(1,($C250&amp;$D250='TaxCred&amp;Subs'!$D$66:$D$99)*($F250='TaxCred&amp;Subs'!$C$66:$C$99),0)),0)),IF($C250&gt;2,(O250-S250)*(IFERROR(INDEX('TaxCred&amp;Subs'!$J$66:$J$99,MATCH(1,($C250&amp;$D250='TaxCred&amp;Subs'!$D$66:$D$99)*($F250='TaxCred&amp;Subs'!$C$66:$C$99),0)),0)),0))),0)</f>
        <v>1457</v>
      </c>
      <c r="R250" s="95">
        <f t="array" ref="R250">ROUND(IF(IFERROR(VALUE(RIGHT($AD250,1)),0)&gt;2,IF($C250=8,N250*IFERROR(INDEX('TaxCred&amp;Subs'!$K$139:$S$151,MATCH($C250&amp;$D250&amp;LEFT($AD250,7),'TaxCred&amp;Subs'!$E$139:$E$151,0),MATCH($H250,'TaxCred&amp;Subs'!$K$137:$S$137,0)),0),IF($C250=2,N250*IFERROR(INDEX('TaxCred&amp;Subs'!$K$139:$S$151,MATCH($C250&amp;$D250,'TaxCred&amp;Subs'!$D$139:$D$151,0),MATCH($H250,'TaxCred&amp;Subs'!$K$137:$S$137,0)),0),N250*IFERROR(INDEX('TaxCred&amp;Subs'!$K$139:$S$151,MATCH($C250&amp;$D250,'TaxCred&amp;Subs'!$C$139:$C$151,0),MATCH($H250,'TaxCred&amp;Subs'!$K$137:$S$137,0)),0))),0),0)</f>
        <v>972</v>
      </c>
      <c r="S250" s="95">
        <f t="array" ref="S250">ROUND(IF(IFERROR(VALUE(RIGHT($AD250,1)),0)&gt;2,IF($C250=8,O250*IFERROR(INDEX('TaxCred&amp;Subs'!$K$139:$S$151,MATCH($C250&amp;$D250&amp;LEFT($AD250,7),'TaxCred&amp;Subs'!$E$139:$E$151,0),MATCH($H250,'TaxCred&amp;Subs'!$K$137:$S$137,0)),0),IF($C250=2,O250*IFERROR(INDEX('TaxCred&amp;Subs'!$K$139:$S$151,MATCH($C250&amp;$D250,'TaxCred&amp;Subs'!$D$139:$D$151,0),MATCH($H250,'TaxCred&amp;Subs'!$K$137:$S$137,0)),0),O250*IFERROR(INDEX('TaxCred&amp;Subs'!$K$139:$S$151,MATCH($C250&amp;$D250,'TaxCred&amp;Subs'!$C$139:$C$151,0),MATCH($H250,'TaxCred&amp;Subs'!$K$137:$S$137,0)),0))),0),0)</f>
        <v>553</v>
      </c>
      <c r="T250" s="95">
        <f t="shared" si="15"/>
        <v>0</v>
      </c>
      <c r="U250" s="95">
        <f t="shared" si="16"/>
        <v>0</v>
      </c>
      <c r="V250" s="28" t="s">
        <v>222</v>
      </c>
      <c r="W250" s="31">
        <v>2020</v>
      </c>
      <c r="X250" s="28">
        <v>1</v>
      </c>
      <c r="Y250" s="28">
        <v>0</v>
      </c>
      <c r="Z250" s="196">
        <v>-2.1513024844954491E-4</v>
      </c>
      <c r="AA250" s="196">
        <v>-3.3096961299929986E-3</v>
      </c>
      <c r="AB250" s="28">
        <v>0</v>
      </c>
      <c r="AC250" s="28">
        <v>0</v>
      </c>
      <c r="AD250" s="28" t="s">
        <v>336</v>
      </c>
    </row>
    <row r="251" spans="2:30" ht="14.25" customHeight="1" x14ac:dyDescent="0.2">
      <c r="B251" s="7">
        <f t="shared" si="17"/>
        <v>227</v>
      </c>
      <c r="C251" s="28">
        <v>1</v>
      </c>
      <c r="D251" s="28">
        <v>10</v>
      </c>
      <c r="E251" s="31">
        <v>33</v>
      </c>
      <c r="F251" s="78">
        <v>2022</v>
      </c>
      <c r="G251" s="28">
        <v>2032</v>
      </c>
      <c r="H251" s="28">
        <v>3</v>
      </c>
      <c r="I251" s="31">
        <v>33</v>
      </c>
      <c r="J251" s="28">
        <v>0</v>
      </c>
      <c r="K251" s="28">
        <v>0</v>
      </c>
      <c r="L251" s="28">
        <v>0</v>
      </c>
      <c r="M251" s="75">
        <v>3.6</v>
      </c>
      <c r="N251" s="151">
        <v>9500</v>
      </c>
      <c r="O251" s="151">
        <v>5410</v>
      </c>
      <c r="P251" s="95">
        <f t="array" ref="P251">ROUND(IF($F251&lt;='TaxCred&amp;Subs'!$C$49,(IF($C251=2,IF($M251&gt;=IFERROR(INDEX('TaxCred&amp;Subs'!$L$12:$L$47,MATCH(1,($C251&amp;$D251='TaxCred&amp;Subs'!$E$12:$E$47)*($F251='TaxCred&amp;Subs'!$C$12:$C$47),0)
),9999),IFERROR(INDEX('TaxCred&amp;Subs'!$N$12:$N$47,MATCH(1,($C251&amp;$D251='TaxCred&amp;Subs'!$E$12:$E$47)*($F251='TaxCred&amp;Subs'!$C$12:$C$47),0)
),0),0),(IF($M251&gt;=IFERROR(INDEX('TaxCred&amp;Subs'!$H$12:$H$47,MATCH(1,($C251&amp;$D251='TaxCred&amp;Subs'!$D$12:$D$47)*($F251='TaxCred&amp;Subs'!$C$12:$C$47),0)
),9999),IFERROR(INDEX('TaxCred&amp;Subs'!$N$12:$N$47,MATCH(1,($C251&amp;$D251='TaxCred&amp;Subs'!$D$12:$D$47)*($F251='TaxCred&amp;Subs'!$C$12:$C$47),0)
),0),0)))),0)+IF(AND($C251=2,VALUE(RIGHT($AD251,1))&gt;2),(N251-R251)*(IFERROR(INDEX('TaxCred&amp;Subs'!$J$66:$J$99,MATCH(1,($C251&amp;$D251='TaxCred&amp;Subs'!$E$66:$E$99)*($F251='TaxCred&amp;Subs'!$C$66:$C$99),0)),0)),IF(AND($C251=1,VALUE(RIGHT($AD251,1))&gt;2),(N251-R251)*(IFERROR(INDEX('TaxCred&amp;Subs'!$J$66:$J$99,MATCH(1,($C251&amp;$D251='TaxCred&amp;Subs'!$D$66:$D$99)*($F251='TaxCred&amp;Subs'!$C$66:$C$99),0)),0)),IF($C251&gt;2,(N251-R251)*(IFERROR(INDEX('TaxCred&amp;Subs'!$J$66:$J$99,MATCH(1,($C251&amp;$D251='TaxCred&amp;Subs'!$D$66:$D$99)*($F251='TaxCred&amp;Subs'!$C$66:$C$99),0)),0)),0))),0)</f>
        <v>2621</v>
      </c>
      <c r="Q251" s="95">
        <f t="array" ref="Q251">ROUND(IF(AND($C251=2,VALUE(RIGHT($AD251,1))&gt;2),(O251-S251)*(IFERROR(INDEX('TaxCred&amp;Subs'!$J$66:$J$99,MATCH(1,($C251&amp;$D251='TaxCred&amp;Subs'!$E$66:$E$99)*($F251='TaxCred&amp;Subs'!$C$66:$C$99),0)),0)),IF(AND($C251=1,VALUE(RIGHT($AD251,1))&gt;2),(O251-S251)*(IFERROR(INDEX('TaxCred&amp;Subs'!$J$66:$J$99,MATCH(1,($C251&amp;$D251='TaxCred&amp;Subs'!$D$66:$D$99)*($F251='TaxCred&amp;Subs'!$C$66:$C$99),0)),0)),IF($C251&gt;2,(O251-S251)*(IFERROR(INDEX('TaxCred&amp;Subs'!$J$66:$J$99,MATCH(1,($C251&amp;$D251='TaxCred&amp;Subs'!$D$66:$D$99)*($F251='TaxCred&amp;Subs'!$C$66:$C$99),0)),0)),0))),0)</f>
        <v>1492</v>
      </c>
      <c r="R251" s="95">
        <f t="array" ref="R251">ROUND(IF(IFERROR(VALUE(RIGHT($AD251,1)),0)&gt;2,IF($C251=8,N251*IFERROR(INDEX('TaxCred&amp;Subs'!$K$139:$S$151,MATCH($C251&amp;$D251&amp;LEFT($AD251,7),'TaxCred&amp;Subs'!$E$139:$E$151,0),MATCH($H251,'TaxCred&amp;Subs'!$K$137:$S$137,0)),0),IF($C251=2,N251*IFERROR(INDEX('TaxCred&amp;Subs'!$K$139:$S$151,MATCH($C251&amp;$D251,'TaxCred&amp;Subs'!$D$139:$D$151,0),MATCH($H251,'TaxCred&amp;Subs'!$K$137:$S$137,0)),0),N251*IFERROR(INDEX('TaxCred&amp;Subs'!$K$139:$S$151,MATCH($C251&amp;$D251,'TaxCred&amp;Subs'!$C$139:$C$151,0),MATCH($H251,'TaxCred&amp;Subs'!$K$137:$S$137,0)),0))),0),0)</f>
        <v>765</v>
      </c>
      <c r="S251" s="95">
        <f t="array" ref="S251">ROUND(IF(IFERROR(VALUE(RIGHT($AD251,1)),0)&gt;2,IF($C251=8,O251*IFERROR(INDEX('TaxCred&amp;Subs'!$K$139:$S$151,MATCH($C251&amp;$D251&amp;LEFT($AD251,7),'TaxCred&amp;Subs'!$E$139:$E$151,0),MATCH($H251,'TaxCred&amp;Subs'!$K$137:$S$137,0)),0),IF($C251=2,O251*IFERROR(INDEX('TaxCred&amp;Subs'!$K$139:$S$151,MATCH($C251&amp;$D251,'TaxCred&amp;Subs'!$D$139:$D$151,0),MATCH($H251,'TaxCred&amp;Subs'!$K$137:$S$137,0)),0),O251*IFERROR(INDEX('TaxCred&amp;Subs'!$K$139:$S$151,MATCH($C251&amp;$D251,'TaxCred&amp;Subs'!$C$139:$C$151,0),MATCH($H251,'TaxCred&amp;Subs'!$K$137:$S$137,0)),0))),0),0)</f>
        <v>436</v>
      </c>
      <c r="T251" s="95">
        <f t="shared" si="15"/>
        <v>0</v>
      </c>
      <c r="U251" s="95">
        <f t="shared" si="16"/>
        <v>0</v>
      </c>
      <c r="V251" s="28" t="s">
        <v>222</v>
      </c>
      <c r="W251" s="31">
        <v>2020</v>
      </c>
      <c r="X251" s="28">
        <v>1</v>
      </c>
      <c r="Y251" s="28">
        <v>0</v>
      </c>
      <c r="Z251" s="196">
        <v>-2.1513024844954491E-4</v>
      </c>
      <c r="AA251" s="196">
        <v>-3.3096961299929986E-3</v>
      </c>
      <c r="AB251" s="28">
        <v>0</v>
      </c>
      <c r="AC251" s="28">
        <v>0</v>
      </c>
      <c r="AD251" s="28" t="s">
        <v>336</v>
      </c>
    </row>
    <row r="252" spans="2:30" ht="14.25" customHeight="1" x14ac:dyDescent="0.2">
      <c r="B252" s="7">
        <f t="shared" si="17"/>
        <v>228</v>
      </c>
      <c r="C252" s="28">
        <v>1</v>
      </c>
      <c r="D252" s="28">
        <v>10</v>
      </c>
      <c r="E252" s="31">
        <v>33</v>
      </c>
      <c r="F252" s="78">
        <v>2022</v>
      </c>
      <c r="G252" s="28">
        <v>2032</v>
      </c>
      <c r="H252" s="28">
        <v>4</v>
      </c>
      <c r="I252" s="31">
        <v>33</v>
      </c>
      <c r="J252" s="28">
        <v>0</v>
      </c>
      <c r="K252" s="28">
        <v>0</v>
      </c>
      <c r="L252" s="28">
        <v>0</v>
      </c>
      <c r="M252" s="75">
        <v>3.6</v>
      </c>
      <c r="N252" s="151">
        <v>9500</v>
      </c>
      <c r="O252" s="151">
        <v>5410</v>
      </c>
      <c r="P252" s="95">
        <f t="array" ref="P252">ROUND(IF($F252&lt;='TaxCred&amp;Subs'!$C$49,(IF($C252=2,IF($M252&gt;=IFERROR(INDEX('TaxCred&amp;Subs'!$L$12:$L$47,MATCH(1,($C252&amp;$D252='TaxCred&amp;Subs'!$E$12:$E$47)*($F252='TaxCred&amp;Subs'!$C$12:$C$47),0)
),9999),IFERROR(INDEX('TaxCred&amp;Subs'!$N$12:$N$47,MATCH(1,($C252&amp;$D252='TaxCred&amp;Subs'!$E$12:$E$47)*($F252='TaxCred&amp;Subs'!$C$12:$C$47),0)
),0),0),(IF($M252&gt;=IFERROR(INDEX('TaxCred&amp;Subs'!$H$12:$H$47,MATCH(1,($C252&amp;$D252='TaxCred&amp;Subs'!$D$12:$D$47)*($F252='TaxCred&amp;Subs'!$C$12:$C$47),0)
),9999),IFERROR(INDEX('TaxCred&amp;Subs'!$N$12:$N$47,MATCH(1,($C252&amp;$D252='TaxCred&amp;Subs'!$D$12:$D$47)*($F252='TaxCred&amp;Subs'!$C$12:$C$47),0)
),0),0)))),0)+IF(AND($C252=2,VALUE(RIGHT($AD252,1))&gt;2),(N252-R252)*(IFERROR(INDEX('TaxCred&amp;Subs'!$J$66:$J$99,MATCH(1,($C252&amp;$D252='TaxCred&amp;Subs'!$E$66:$E$99)*($F252='TaxCred&amp;Subs'!$C$66:$C$99),0)),0)),IF(AND($C252=1,VALUE(RIGHT($AD252,1))&gt;2),(N252-R252)*(IFERROR(INDEX('TaxCred&amp;Subs'!$J$66:$J$99,MATCH(1,($C252&amp;$D252='TaxCred&amp;Subs'!$D$66:$D$99)*($F252='TaxCred&amp;Subs'!$C$66:$C$99),0)),0)),IF($C252&gt;2,(N252-R252)*(IFERROR(INDEX('TaxCred&amp;Subs'!$J$66:$J$99,MATCH(1,($C252&amp;$D252='TaxCred&amp;Subs'!$D$66:$D$99)*($F252='TaxCred&amp;Subs'!$C$66:$C$99),0)),0)),0))),0)</f>
        <v>2666</v>
      </c>
      <c r="Q252" s="95">
        <f t="array" ref="Q252">ROUND(IF(AND($C252=2,VALUE(RIGHT($AD252,1))&gt;2),(O252-S252)*(IFERROR(INDEX('TaxCred&amp;Subs'!$J$66:$J$99,MATCH(1,($C252&amp;$D252='TaxCred&amp;Subs'!$E$66:$E$99)*($F252='TaxCred&amp;Subs'!$C$66:$C$99),0)),0)),IF(AND($C252=1,VALUE(RIGHT($AD252,1))&gt;2),(O252-S252)*(IFERROR(INDEX('TaxCred&amp;Subs'!$J$66:$J$99,MATCH(1,($C252&amp;$D252='TaxCred&amp;Subs'!$D$66:$D$99)*($F252='TaxCred&amp;Subs'!$C$66:$C$99),0)),0)),IF($C252&gt;2,(O252-S252)*(IFERROR(INDEX('TaxCred&amp;Subs'!$J$66:$J$99,MATCH(1,($C252&amp;$D252='TaxCred&amp;Subs'!$D$66:$D$99)*($F252='TaxCred&amp;Subs'!$C$66:$C$99),0)),0)),0))),0)</f>
        <v>1518</v>
      </c>
      <c r="R252" s="95">
        <f t="array" ref="R252">ROUND(IF(IFERROR(VALUE(RIGHT($AD252,1)),0)&gt;2,IF($C252=8,N252*IFERROR(INDEX('TaxCred&amp;Subs'!$K$139:$S$151,MATCH($C252&amp;$D252&amp;LEFT($AD252,7),'TaxCred&amp;Subs'!$E$139:$E$151,0),MATCH($H252,'TaxCred&amp;Subs'!$K$137:$S$137,0)),0),IF($C252=2,N252*IFERROR(INDEX('TaxCred&amp;Subs'!$K$139:$S$151,MATCH($C252&amp;$D252,'TaxCred&amp;Subs'!$D$139:$D$151,0),MATCH($H252,'TaxCred&amp;Subs'!$K$137:$S$137,0)),0),N252*IFERROR(INDEX('TaxCred&amp;Subs'!$K$139:$S$151,MATCH($C252&amp;$D252,'TaxCred&amp;Subs'!$C$139:$C$151,0),MATCH($H252,'TaxCred&amp;Subs'!$K$137:$S$137,0)),0))),0),0)</f>
        <v>612</v>
      </c>
      <c r="S252" s="95">
        <f t="array" ref="S252">ROUND(IF(IFERROR(VALUE(RIGHT($AD252,1)),0)&gt;2,IF($C252=8,O252*IFERROR(INDEX('TaxCred&amp;Subs'!$K$139:$S$151,MATCH($C252&amp;$D252&amp;LEFT($AD252,7),'TaxCred&amp;Subs'!$E$139:$E$151,0),MATCH($H252,'TaxCred&amp;Subs'!$K$137:$S$137,0)),0),IF($C252=2,O252*IFERROR(INDEX('TaxCred&amp;Subs'!$K$139:$S$151,MATCH($C252&amp;$D252,'TaxCred&amp;Subs'!$D$139:$D$151,0),MATCH($H252,'TaxCred&amp;Subs'!$K$137:$S$137,0)),0),O252*IFERROR(INDEX('TaxCred&amp;Subs'!$K$139:$S$151,MATCH($C252&amp;$D252,'TaxCred&amp;Subs'!$C$139:$C$151,0),MATCH($H252,'TaxCred&amp;Subs'!$K$137:$S$137,0)),0))),0),0)</f>
        <v>349</v>
      </c>
      <c r="T252" s="95">
        <f t="shared" si="15"/>
        <v>0</v>
      </c>
      <c r="U252" s="95">
        <f t="shared" si="16"/>
        <v>0</v>
      </c>
      <c r="V252" s="28" t="s">
        <v>222</v>
      </c>
      <c r="W252" s="31">
        <v>2020</v>
      </c>
      <c r="X252" s="28">
        <v>1</v>
      </c>
      <c r="Y252" s="28">
        <v>0</v>
      </c>
      <c r="Z252" s="196">
        <v>-2.1513024844954491E-4</v>
      </c>
      <c r="AA252" s="196">
        <v>-3.3096961299929986E-3</v>
      </c>
      <c r="AB252" s="28">
        <v>0</v>
      </c>
      <c r="AC252" s="28">
        <v>0</v>
      </c>
      <c r="AD252" s="28" t="s">
        <v>336</v>
      </c>
    </row>
    <row r="253" spans="2:30" ht="14.25" customHeight="1" x14ac:dyDescent="0.2">
      <c r="B253" s="7">
        <f t="shared" si="17"/>
        <v>229</v>
      </c>
      <c r="C253" s="28">
        <v>1</v>
      </c>
      <c r="D253" s="28">
        <v>10</v>
      </c>
      <c r="E253" s="31">
        <v>33</v>
      </c>
      <c r="F253" s="78">
        <v>2022</v>
      </c>
      <c r="G253" s="28">
        <v>2032</v>
      </c>
      <c r="H253" s="28">
        <v>5</v>
      </c>
      <c r="I253" s="31">
        <v>33</v>
      </c>
      <c r="J253" s="28">
        <v>0</v>
      </c>
      <c r="K253" s="28">
        <v>0</v>
      </c>
      <c r="L253" s="28">
        <v>0</v>
      </c>
      <c r="M253" s="75">
        <v>3.6</v>
      </c>
      <c r="N253" s="151">
        <v>9500</v>
      </c>
      <c r="O253" s="151">
        <v>5410</v>
      </c>
      <c r="P253" s="95">
        <f t="array" ref="P253">ROUND(IF($F253&lt;='TaxCred&amp;Subs'!$C$49,(IF($C253=2,IF($M253&gt;=IFERROR(INDEX('TaxCred&amp;Subs'!$L$12:$L$47,MATCH(1,($C253&amp;$D253='TaxCred&amp;Subs'!$E$12:$E$47)*($F253='TaxCred&amp;Subs'!$C$12:$C$47),0)
),9999),IFERROR(INDEX('TaxCred&amp;Subs'!$N$12:$N$47,MATCH(1,($C253&amp;$D253='TaxCred&amp;Subs'!$E$12:$E$47)*($F253='TaxCred&amp;Subs'!$C$12:$C$47),0)
),0),0),(IF($M253&gt;=IFERROR(INDEX('TaxCred&amp;Subs'!$H$12:$H$47,MATCH(1,($C253&amp;$D253='TaxCred&amp;Subs'!$D$12:$D$47)*($F253='TaxCred&amp;Subs'!$C$12:$C$47),0)
),9999),IFERROR(INDEX('TaxCred&amp;Subs'!$N$12:$N$47,MATCH(1,($C253&amp;$D253='TaxCred&amp;Subs'!$D$12:$D$47)*($F253='TaxCred&amp;Subs'!$C$12:$C$47),0)
),0),0)))),0)+IF(AND($C253=2,VALUE(RIGHT($AD253,1))&gt;2),(N253-R253)*(IFERROR(INDEX('TaxCred&amp;Subs'!$J$66:$J$99,MATCH(1,($C253&amp;$D253='TaxCred&amp;Subs'!$E$66:$E$99)*($F253='TaxCred&amp;Subs'!$C$66:$C$99),0)),0)),IF(AND($C253=1,VALUE(RIGHT($AD253,1))&gt;2),(N253-R253)*(IFERROR(INDEX('TaxCred&amp;Subs'!$J$66:$J$99,MATCH(1,($C253&amp;$D253='TaxCred&amp;Subs'!$D$66:$D$99)*($F253='TaxCred&amp;Subs'!$C$66:$C$99),0)),0)),IF($C253&gt;2,(N253-R253)*(IFERROR(INDEX('TaxCred&amp;Subs'!$J$66:$J$99,MATCH(1,($C253&amp;$D253='TaxCred&amp;Subs'!$D$66:$D$99)*($F253='TaxCred&amp;Subs'!$C$66:$C$99),0)),0)),0))),0)</f>
        <v>2651</v>
      </c>
      <c r="Q253" s="95">
        <f t="array" ref="Q253">ROUND(IF(AND($C253=2,VALUE(RIGHT($AD253,1))&gt;2),(O253-S253)*(IFERROR(INDEX('TaxCred&amp;Subs'!$J$66:$J$99,MATCH(1,($C253&amp;$D253='TaxCred&amp;Subs'!$E$66:$E$99)*($F253='TaxCred&amp;Subs'!$C$66:$C$99),0)),0)),IF(AND($C253=1,VALUE(RIGHT($AD253,1))&gt;2),(O253-S253)*(IFERROR(INDEX('TaxCred&amp;Subs'!$J$66:$J$99,MATCH(1,($C253&amp;$D253='TaxCred&amp;Subs'!$D$66:$D$99)*($F253='TaxCred&amp;Subs'!$C$66:$C$99),0)),0)),IF($C253&gt;2,(O253-S253)*(IFERROR(INDEX('TaxCred&amp;Subs'!$J$66:$J$99,MATCH(1,($C253&amp;$D253='TaxCred&amp;Subs'!$D$66:$D$99)*($F253='TaxCred&amp;Subs'!$C$66:$C$99),0)),0)),0))),0)</f>
        <v>1510</v>
      </c>
      <c r="R253" s="95">
        <f t="array" ref="R253">ROUND(IF(IFERROR(VALUE(RIGHT($AD253,1)),0)&gt;2,IF($C253=8,N253*IFERROR(INDEX('TaxCred&amp;Subs'!$K$139:$S$151,MATCH($C253&amp;$D253&amp;LEFT($AD253,7),'TaxCred&amp;Subs'!$E$139:$E$151,0),MATCH($H253,'TaxCred&amp;Subs'!$K$137:$S$137,0)),0),IF($C253=2,N253*IFERROR(INDEX('TaxCred&amp;Subs'!$K$139:$S$151,MATCH($C253&amp;$D253,'TaxCred&amp;Subs'!$D$139:$D$151,0),MATCH($H253,'TaxCred&amp;Subs'!$K$137:$S$137,0)),0),N253*IFERROR(INDEX('TaxCred&amp;Subs'!$K$139:$S$151,MATCH($C253&amp;$D253,'TaxCred&amp;Subs'!$C$139:$C$151,0),MATCH($H253,'TaxCred&amp;Subs'!$K$137:$S$137,0)),0))),0),0)</f>
        <v>663</v>
      </c>
      <c r="S253" s="95">
        <f t="array" ref="S253">ROUND(IF(IFERROR(VALUE(RIGHT($AD253,1)),0)&gt;2,IF($C253=8,O253*IFERROR(INDEX('TaxCred&amp;Subs'!$K$139:$S$151,MATCH($C253&amp;$D253&amp;LEFT($AD253,7),'TaxCred&amp;Subs'!$E$139:$E$151,0),MATCH($H253,'TaxCred&amp;Subs'!$K$137:$S$137,0)),0),IF($C253=2,O253*IFERROR(INDEX('TaxCred&amp;Subs'!$K$139:$S$151,MATCH($C253&amp;$D253,'TaxCred&amp;Subs'!$D$139:$D$151,0),MATCH($H253,'TaxCred&amp;Subs'!$K$137:$S$137,0)),0),O253*IFERROR(INDEX('TaxCred&amp;Subs'!$K$139:$S$151,MATCH($C253&amp;$D253,'TaxCred&amp;Subs'!$C$139:$C$151,0),MATCH($H253,'TaxCred&amp;Subs'!$K$137:$S$137,0)),0))),0),0)</f>
        <v>377</v>
      </c>
      <c r="T253" s="95">
        <f t="shared" si="15"/>
        <v>0</v>
      </c>
      <c r="U253" s="95">
        <f t="shared" si="16"/>
        <v>0</v>
      </c>
      <c r="V253" s="28" t="s">
        <v>222</v>
      </c>
      <c r="W253" s="31">
        <v>2020</v>
      </c>
      <c r="X253" s="28">
        <v>1</v>
      </c>
      <c r="Y253" s="28">
        <v>0</v>
      </c>
      <c r="Z253" s="196">
        <v>-2.1513024844954491E-4</v>
      </c>
      <c r="AA253" s="196">
        <v>-3.3096961299929986E-3</v>
      </c>
      <c r="AB253" s="28">
        <v>0</v>
      </c>
      <c r="AC253" s="28">
        <v>0</v>
      </c>
      <c r="AD253" s="28" t="s">
        <v>336</v>
      </c>
    </row>
    <row r="254" spans="2:30" ht="14.25" customHeight="1" x14ac:dyDescent="0.2">
      <c r="B254" s="7">
        <f t="shared" si="17"/>
        <v>230</v>
      </c>
      <c r="C254" s="28">
        <v>1</v>
      </c>
      <c r="D254" s="28">
        <v>10</v>
      </c>
      <c r="E254" s="31">
        <v>33</v>
      </c>
      <c r="F254" s="78">
        <v>2022</v>
      </c>
      <c r="G254" s="28">
        <v>2032</v>
      </c>
      <c r="H254" s="28">
        <v>6</v>
      </c>
      <c r="I254" s="31">
        <v>33</v>
      </c>
      <c r="J254" s="28">
        <v>0</v>
      </c>
      <c r="K254" s="28">
        <v>0</v>
      </c>
      <c r="L254" s="28">
        <v>0</v>
      </c>
      <c r="M254" s="75">
        <v>3.6</v>
      </c>
      <c r="N254" s="151">
        <v>9500</v>
      </c>
      <c r="O254" s="151">
        <v>5410</v>
      </c>
      <c r="P254" s="95">
        <f t="array" ref="P254">ROUND(IF($F254&lt;='TaxCred&amp;Subs'!$C$49,(IF($C254=2,IF($M254&gt;=IFERROR(INDEX('TaxCred&amp;Subs'!$L$12:$L$47,MATCH(1,($C254&amp;$D254='TaxCred&amp;Subs'!$E$12:$E$47)*($F254='TaxCred&amp;Subs'!$C$12:$C$47),0)
),9999),IFERROR(INDEX('TaxCred&amp;Subs'!$N$12:$N$47,MATCH(1,($C254&amp;$D254='TaxCred&amp;Subs'!$E$12:$E$47)*($F254='TaxCred&amp;Subs'!$C$12:$C$47),0)
),0),0),(IF($M254&gt;=IFERROR(INDEX('TaxCred&amp;Subs'!$H$12:$H$47,MATCH(1,($C254&amp;$D254='TaxCred&amp;Subs'!$D$12:$D$47)*($F254='TaxCred&amp;Subs'!$C$12:$C$47),0)
),9999),IFERROR(INDEX('TaxCred&amp;Subs'!$N$12:$N$47,MATCH(1,($C254&amp;$D254='TaxCred&amp;Subs'!$D$12:$D$47)*($F254='TaxCred&amp;Subs'!$C$12:$C$47),0)
),0),0)))),0)+IF(AND($C254=2,VALUE(RIGHT($AD254,1))&gt;2),(N254-R254)*(IFERROR(INDEX('TaxCred&amp;Subs'!$J$66:$J$99,MATCH(1,($C254&amp;$D254='TaxCred&amp;Subs'!$E$66:$E$99)*($F254='TaxCred&amp;Subs'!$C$66:$C$99),0)),0)),IF(AND($C254=1,VALUE(RIGHT($AD254,1))&gt;2),(N254-R254)*(IFERROR(INDEX('TaxCred&amp;Subs'!$J$66:$J$99,MATCH(1,($C254&amp;$D254='TaxCred&amp;Subs'!$D$66:$D$99)*($F254='TaxCred&amp;Subs'!$C$66:$C$99),0)),0)),IF($C254&gt;2,(N254-R254)*(IFERROR(INDEX('TaxCred&amp;Subs'!$J$66:$J$99,MATCH(1,($C254&amp;$D254='TaxCred&amp;Subs'!$D$66:$D$99)*($F254='TaxCred&amp;Subs'!$C$66:$C$99),0)),0)),0))),0)</f>
        <v>2599</v>
      </c>
      <c r="Q254" s="95">
        <f t="array" ref="Q254">ROUND(IF(AND($C254=2,VALUE(RIGHT($AD254,1))&gt;2),(O254-S254)*(IFERROR(INDEX('TaxCred&amp;Subs'!$J$66:$J$99,MATCH(1,($C254&amp;$D254='TaxCred&amp;Subs'!$E$66:$E$99)*($F254='TaxCred&amp;Subs'!$C$66:$C$99),0)),0)),IF(AND($C254=1,VALUE(RIGHT($AD254,1))&gt;2),(O254-S254)*(IFERROR(INDEX('TaxCred&amp;Subs'!$J$66:$J$99,MATCH(1,($C254&amp;$D254='TaxCred&amp;Subs'!$D$66:$D$99)*($F254='TaxCred&amp;Subs'!$C$66:$C$99),0)),0)),IF($C254&gt;2,(O254-S254)*(IFERROR(INDEX('TaxCred&amp;Subs'!$J$66:$J$99,MATCH(1,($C254&amp;$D254='TaxCred&amp;Subs'!$D$66:$D$99)*($F254='TaxCred&amp;Subs'!$C$66:$C$99),0)),0)),0))),0)</f>
        <v>1480</v>
      </c>
      <c r="R254" s="95">
        <f t="array" ref="R254">ROUND(IF(IFERROR(VALUE(RIGHT($AD254,1)),0)&gt;2,IF($C254=8,N254*IFERROR(INDEX('TaxCred&amp;Subs'!$K$139:$S$151,MATCH($C254&amp;$D254&amp;LEFT($AD254,7),'TaxCred&amp;Subs'!$E$139:$E$151,0),MATCH($H254,'TaxCred&amp;Subs'!$K$137:$S$137,0)),0),IF($C254=2,N254*IFERROR(INDEX('TaxCred&amp;Subs'!$K$139:$S$151,MATCH($C254&amp;$D254,'TaxCred&amp;Subs'!$D$139:$D$151,0),MATCH($H254,'TaxCred&amp;Subs'!$K$137:$S$137,0)),0),N254*IFERROR(INDEX('TaxCred&amp;Subs'!$K$139:$S$151,MATCH($C254&amp;$D254,'TaxCred&amp;Subs'!$C$139:$C$151,0),MATCH($H254,'TaxCred&amp;Subs'!$K$137:$S$137,0)),0))),0),0)</f>
        <v>837</v>
      </c>
      <c r="S254" s="95">
        <f t="array" ref="S254">ROUND(IF(IFERROR(VALUE(RIGHT($AD254,1)),0)&gt;2,IF($C254=8,O254*IFERROR(INDEX('TaxCred&amp;Subs'!$K$139:$S$151,MATCH($C254&amp;$D254&amp;LEFT($AD254,7),'TaxCred&amp;Subs'!$E$139:$E$151,0),MATCH($H254,'TaxCred&amp;Subs'!$K$137:$S$137,0)),0),IF($C254=2,O254*IFERROR(INDEX('TaxCred&amp;Subs'!$K$139:$S$151,MATCH($C254&amp;$D254,'TaxCred&amp;Subs'!$D$139:$D$151,0),MATCH($H254,'TaxCred&amp;Subs'!$K$137:$S$137,0)),0),O254*IFERROR(INDEX('TaxCred&amp;Subs'!$K$139:$S$151,MATCH($C254&amp;$D254,'TaxCred&amp;Subs'!$C$139:$C$151,0),MATCH($H254,'TaxCred&amp;Subs'!$K$137:$S$137,0)),0))),0),0)</f>
        <v>477</v>
      </c>
      <c r="T254" s="95">
        <f t="shared" si="15"/>
        <v>0</v>
      </c>
      <c r="U254" s="95">
        <f t="shared" si="16"/>
        <v>0</v>
      </c>
      <c r="V254" s="28" t="s">
        <v>222</v>
      </c>
      <c r="W254" s="31">
        <v>2020</v>
      </c>
      <c r="X254" s="28">
        <v>1</v>
      </c>
      <c r="Y254" s="28">
        <v>0</v>
      </c>
      <c r="Z254" s="196">
        <v>-2.1513024844954491E-4</v>
      </c>
      <c r="AA254" s="196">
        <v>-3.3096961299929986E-3</v>
      </c>
      <c r="AB254" s="28">
        <v>0</v>
      </c>
      <c r="AC254" s="28">
        <v>0</v>
      </c>
      <c r="AD254" s="28" t="s">
        <v>336</v>
      </c>
    </row>
    <row r="255" spans="2:30" ht="14.25" customHeight="1" x14ac:dyDescent="0.2">
      <c r="B255" s="7">
        <f t="shared" si="17"/>
        <v>231</v>
      </c>
      <c r="C255" s="28">
        <v>1</v>
      </c>
      <c r="D255" s="28">
        <v>10</v>
      </c>
      <c r="E255" s="31">
        <v>33</v>
      </c>
      <c r="F255" s="78">
        <v>2022</v>
      </c>
      <c r="G255" s="28">
        <v>2032</v>
      </c>
      <c r="H255" s="28">
        <v>7</v>
      </c>
      <c r="I255" s="31">
        <v>33</v>
      </c>
      <c r="J255" s="28">
        <v>0</v>
      </c>
      <c r="K255" s="28">
        <v>0</v>
      </c>
      <c r="L255" s="28">
        <v>0</v>
      </c>
      <c r="M255" s="75">
        <v>3.6</v>
      </c>
      <c r="N255" s="151">
        <v>9500</v>
      </c>
      <c r="O255" s="151">
        <v>5410</v>
      </c>
      <c r="P255" s="95">
        <f t="array" ref="P255">ROUND(IF($F255&lt;='TaxCred&amp;Subs'!$C$49,(IF($C255=2,IF($M255&gt;=IFERROR(INDEX('TaxCred&amp;Subs'!$L$12:$L$47,MATCH(1,($C255&amp;$D255='TaxCred&amp;Subs'!$E$12:$E$47)*($F255='TaxCred&amp;Subs'!$C$12:$C$47),0)
),9999),IFERROR(INDEX('TaxCred&amp;Subs'!$N$12:$N$47,MATCH(1,($C255&amp;$D255='TaxCred&amp;Subs'!$E$12:$E$47)*($F255='TaxCred&amp;Subs'!$C$12:$C$47),0)
),0),0),(IF($M255&gt;=IFERROR(INDEX('TaxCred&amp;Subs'!$H$12:$H$47,MATCH(1,($C255&amp;$D255='TaxCred&amp;Subs'!$D$12:$D$47)*($F255='TaxCred&amp;Subs'!$C$12:$C$47),0)
),9999),IFERROR(INDEX('TaxCred&amp;Subs'!$N$12:$N$47,MATCH(1,($C255&amp;$D255='TaxCred&amp;Subs'!$D$12:$D$47)*($F255='TaxCred&amp;Subs'!$C$12:$C$47),0)
),0),0)))),0)+IF(AND($C255=2,VALUE(RIGHT($AD255,1))&gt;2),(N255-R255)*(IFERROR(INDEX('TaxCred&amp;Subs'!$J$66:$J$99,MATCH(1,($C255&amp;$D255='TaxCred&amp;Subs'!$E$66:$E$99)*($F255='TaxCred&amp;Subs'!$C$66:$C$99),0)),0)),IF(AND($C255=1,VALUE(RIGHT($AD255,1))&gt;2),(N255-R255)*(IFERROR(INDEX('TaxCred&amp;Subs'!$J$66:$J$99,MATCH(1,($C255&amp;$D255='TaxCred&amp;Subs'!$D$66:$D$99)*($F255='TaxCred&amp;Subs'!$C$66:$C$99),0)),0)),IF($C255&gt;2,(N255-R255)*(IFERROR(INDEX('TaxCred&amp;Subs'!$J$66:$J$99,MATCH(1,($C255&amp;$D255='TaxCred&amp;Subs'!$D$66:$D$99)*($F255='TaxCred&amp;Subs'!$C$66:$C$99),0)),0)),0))),0)</f>
        <v>2745</v>
      </c>
      <c r="Q255" s="95">
        <f t="array" ref="Q255">ROUND(IF(AND($C255=2,VALUE(RIGHT($AD255,1))&gt;2),(O255-S255)*(IFERROR(INDEX('TaxCred&amp;Subs'!$J$66:$J$99,MATCH(1,($C255&amp;$D255='TaxCred&amp;Subs'!$E$66:$E$99)*($F255='TaxCred&amp;Subs'!$C$66:$C$99),0)),0)),IF(AND($C255=1,VALUE(RIGHT($AD255,1))&gt;2),(O255-S255)*(IFERROR(INDEX('TaxCred&amp;Subs'!$J$66:$J$99,MATCH(1,($C255&amp;$D255='TaxCred&amp;Subs'!$D$66:$D$99)*($F255='TaxCred&amp;Subs'!$C$66:$C$99),0)),0)),IF($C255&gt;2,(O255-S255)*(IFERROR(INDEX('TaxCred&amp;Subs'!$J$66:$J$99,MATCH(1,($C255&amp;$D255='TaxCred&amp;Subs'!$D$66:$D$99)*($F255='TaxCred&amp;Subs'!$C$66:$C$99),0)),0)),0))),0)</f>
        <v>1563</v>
      </c>
      <c r="R255" s="95">
        <f t="array" ref="R255">ROUND(IF(IFERROR(VALUE(RIGHT($AD255,1)),0)&gt;2,IF($C255=8,N255*IFERROR(INDEX('TaxCred&amp;Subs'!$K$139:$S$151,MATCH($C255&amp;$D255&amp;LEFT($AD255,7),'TaxCred&amp;Subs'!$E$139:$E$151,0),MATCH($H255,'TaxCred&amp;Subs'!$K$137:$S$137,0)),0),IF($C255=2,N255*IFERROR(INDEX('TaxCred&amp;Subs'!$K$139:$S$151,MATCH($C255&amp;$D255,'TaxCred&amp;Subs'!$D$139:$D$151,0),MATCH($H255,'TaxCred&amp;Subs'!$K$137:$S$137,0)),0),N255*IFERROR(INDEX('TaxCred&amp;Subs'!$K$139:$S$151,MATCH($C255&amp;$D255,'TaxCred&amp;Subs'!$C$139:$C$151,0),MATCH($H255,'TaxCred&amp;Subs'!$K$137:$S$137,0)),0))),0),0)</f>
        <v>351</v>
      </c>
      <c r="S255" s="95">
        <f t="array" ref="S255">ROUND(IF(IFERROR(VALUE(RIGHT($AD255,1)),0)&gt;2,IF($C255=8,O255*IFERROR(INDEX('TaxCred&amp;Subs'!$K$139:$S$151,MATCH($C255&amp;$D255&amp;LEFT($AD255,7),'TaxCred&amp;Subs'!$E$139:$E$151,0),MATCH($H255,'TaxCred&amp;Subs'!$K$137:$S$137,0)),0),IF($C255=2,O255*IFERROR(INDEX('TaxCred&amp;Subs'!$K$139:$S$151,MATCH($C255&amp;$D255,'TaxCred&amp;Subs'!$D$139:$D$151,0),MATCH($H255,'TaxCred&amp;Subs'!$K$137:$S$137,0)),0),O255*IFERROR(INDEX('TaxCred&amp;Subs'!$K$139:$S$151,MATCH($C255&amp;$D255,'TaxCred&amp;Subs'!$C$139:$C$151,0),MATCH($H255,'TaxCred&amp;Subs'!$K$137:$S$137,0)),0))),0),0)</f>
        <v>200</v>
      </c>
      <c r="T255" s="95">
        <f t="shared" si="15"/>
        <v>0</v>
      </c>
      <c r="U255" s="95">
        <f t="shared" si="16"/>
        <v>0</v>
      </c>
      <c r="V255" s="28" t="s">
        <v>222</v>
      </c>
      <c r="W255" s="31">
        <v>2020</v>
      </c>
      <c r="X255" s="28">
        <v>1</v>
      </c>
      <c r="Y255" s="28">
        <v>0</v>
      </c>
      <c r="Z255" s="196">
        <v>-2.1513024844954491E-4</v>
      </c>
      <c r="AA255" s="196">
        <v>-3.3096961299929986E-3</v>
      </c>
      <c r="AB255" s="28">
        <v>0</v>
      </c>
      <c r="AC255" s="28">
        <v>0</v>
      </c>
      <c r="AD255" s="28" t="s">
        <v>336</v>
      </c>
    </row>
    <row r="256" spans="2:30" ht="14.25" customHeight="1" x14ac:dyDescent="0.2">
      <c r="B256" s="7">
        <f t="shared" si="17"/>
        <v>232</v>
      </c>
      <c r="C256" s="28">
        <v>1</v>
      </c>
      <c r="D256" s="28">
        <v>10</v>
      </c>
      <c r="E256" s="31">
        <v>33</v>
      </c>
      <c r="F256" s="78">
        <v>2022</v>
      </c>
      <c r="G256" s="28">
        <v>2032</v>
      </c>
      <c r="H256" s="28">
        <v>8</v>
      </c>
      <c r="I256" s="31">
        <v>33</v>
      </c>
      <c r="J256" s="28">
        <v>0</v>
      </c>
      <c r="K256" s="28">
        <v>0</v>
      </c>
      <c r="L256" s="28">
        <v>0</v>
      </c>
      <c r="M256" s="75">
        <v>3.6</v>
      </c>
      <c r="N256" s="151">
        <v>9500</v>
      </c>
      <c r="O256" s="151">
        <v>5410</v>
      </c>
      <c r="P256" s="95">
        <f t="array" ref="P256">ROUND(IF($F256&lt;='TaxCred&amp;Subs'!$C$49,(IF($C256=2,IF($M256&gt;=IFERROR(INDEX('TaxCred&amp;Subs'!$L$12:$L$47,MATCH(1,($C256&amp;$D256='TaxCred&amp;Subs'!$E$12:$E$47)*($F256='TaxCred&amp;Subs'!$C$12:$C$47),0)
),9999),IFERROR(INDEX('TaxCred&amp;Subs'!$N$12:$N$47,MATCH(1,($C256&amp;$D256='TaxCred&amp;Subs'!$E$12:$E$47)*($F256='TaxCred&amp;Subs'!$C$12:$C$47),0)
),0),0),(IF($M256&gt;=IFERROR(INDEX('TaxCred&amp;Subs'!$H$12:$H$47,MATCH(1,($C256&amp;$D256='TaxCred&amp;Subs'!$D$12:$D$47)*($F256='TaxCred&amp;Subs'!$C$12:$C$47),0)
),9999),IFERROR(INDEX('TaxCred&amp;Subs'!$N$12:$N$47,MATCH(1,($C256&amp;$D256='TaxCred&amp;Subs'!$D$12:$D$47)*($F256='TaxCred&amp;Subs'!$C$12:$C$47),0)
),0),0)))),0)+IF(AND($C256=2,VALUE(RIGHT($AD256,1))&gt;2),(N256-R256)*(IFERROR(INDEX('TaxCred&amp;Subs'!$J$66:$J$99,MATCH(1,($C256&amp;$D256='TaxCred&amp;Subs'!$E$66:$E$99)*($F256='TaxCred&amp;Subs'!$C$66:$C$99),0)),0)),IF(AND($C256=1,VALUE(RIGHT($AD256,1))&gt;2),(N256-R256)*(IFERROR(INDEX('TaxCred&amp;Subs'!$J$66:$J$99,MATCH(1,($C256&amp;$D256='TaxCred&amp;Subs'!$D$66:$D$99)*($F256='TaxCred&amp;Subs'!$C$66:$C$99),0)),0)),IF($C256&gt;2,(N256-R256)*(IFERROR(INDEX('TaxCred&amp;Subs'!$J$66:$J$99,MATCH(1,($C256&amp;$D256='TaxCred&amp;Subs'!$D$66:$D$99)*($F256='TaxCred&amp;Subs'!$C$66:$C$99),0)),0)),0))),0)</f>
        <v>2707</v>
      </c>
      <c r="Q256" s="95">
        <f t="array" ref="Q256">ROUND(IF(AND($C256=2,VALUE(RIGHT($AD256,1))&gt;2),(O256-S256)*(IFERROR(INDEX('TaxCred&amp;Subs'!$J$66:$J$99,MATCH(1,($C256&amp;$D256='TaxCred&amp;Subs'!$E$66:$E$99)*($F256='TaxCred&amp;Subs'!$C$66:$C$99),0)),0)),IF(AND($C256=1,VALUE(RIGHT($AD256,1))&gt;2),(O256-S256)*(IFERROR(INDEX('TaxCred&amp;Subs'!$J$66:$J$99,MATCH(1,($C256&amp;$D256='TaxCred&amp;Subs'!$D$66:$D$99)*($F256='TaxCred&amp;Subs'!$C$66:$C$99),0)),0)),IF($C256&gt;2,(O256-S256)*(IFERROR(INDEX('TaxCred&amp;Subs'!$J$66:$J$99,MATCH(1,($C256&amp;$D256='TaxCred&amp;Subs'!$D$66:$D$99)*($F256='TaxCred&amp;Subs'!$C$66:$C$99),0)),0)),0))),0)</f>
        <v>1541</v>
      </c>
      <c r="R256" s="95">
        <f t="array" ref="R256">ROUND(IF(IFERROR(VALUE(RIGHT($AD256,1)),0)&gt;2,IF($C256=8,N256*IFERROR(INDEX('TaxCred&amp;Subs'!$K$139:$S$151,MATCH($C256&amp;$D256&amp;LEFT($AD256,7),'TaxCred&amp;Subs'!$E$139:$E$151,0),MATCH($H256,'TaxCred&amp;Subs'!$K$137:$S$137,0)),0),IF($C256=2,N256*IFERROR(INDEX('TaxCred&amp;Subs'!$K$139:$S$151,MATCH($C256&amp;$D256,'TaxCred&amp;Subs'!$D$139:$D$151,0),MATCH($H256,'TaxCred&amp;Subs'!$K$137:$S$137,0)),0),N256*IFERROR(INDEX('TaxCred&amp;Subs'!$K$139:$S$151,MATCH($C256&amp;$D256,'TaxCred&amp;Subs'!$C$139:$C$151,0),MATCH($H256,'TaxCred&amp;Subs'!$K$137:$S$137,0)),0))),0),0)</f>
        <v>478</v>
      </c>
      <c r="S256" s="95">
        <f t="array" ref="S256">ROUND(IF(IFERROR(VALUE(RIGHT($AD256,1)),0)&gt;2,IF($C256=8,O256*IFERROR(INDEX('TaxCred&amp;Subs'!$K$139:$S$151,MATCH($C256&amp;$D256&amp;LEFT($AD256,7),'TaxCred&amp;Subs'!$E$139:$E$151,0),MATCH($H256,'TaxCred&amp;Subs'!$K$137:$S$137,0)),0),IF($C256=2,O256*IFERROR(INDEX('TaxCred&amp;Subs'!$K$139:$S$151,MATCH($C256&amp;$D256,'TaxCred&amp;Subs'!$D$139:$D$151,0),MATCH($H256,'TaxCred&amp;Subs'!$K$137:$S$137,0)),0),O256*IFERROR(INDEX('TaxCred&amp;Subs'!$K$139:$S$151,MATCH($C256&amp;$D256,'TaxCred&amp;Subs'!$C$139:$C$151,0),MATCH($H256,'TaxCred&amp;Subs'!$K$137:$S$137,0)),0))),0),0)</f>
        <v>272</v>
      </c>
      <c r="T256" s="95">
        <f t="shared" si="15"/>
        <v>0</v>
      </c>
      <c r="U256" s="95">
        <f t="shared" si="16"/>
        <v>0</v>
      </c>
      <c r="V256" s="28" t="s">
        <v>222</v>
      </c>
      <c r="W256" s="31">
        <v>2020</v>
      </c>
      <c r="X256" s="28">
        <v>1</v>
      </c>
      <c r="Y256" s="28">
        <v>0</v>
      </c>
      <c r="Z256" s="196">
        <v>-2.1513024844954491E-4</v>
      </c>
      <c r="AA256" s="196">
        <v>-3.3096961299929986E-3</v>
      </c>
      <c r="AB256" s="28">
        <v>0</v>
      </c>
      <c r="AC256" s="28">
        <v>0</v>
      </c>
      <c r="AD256" s="28" t="s">
        <v>336</v>
      </c>
    </row>
    <row r="257" spans="2:30" ht="14.25" customHeight="1" x14ac:dyDescent="0.2">
      <c r="B257" s="7">
        <f t="shared" si="17"/>
        <v>233</v>
      </c>
      <c r="C257" s="28">
        <v>1</v>
      </c>
      <c r="D257" s="28">
        <v>10</v>
      </c>
      <c r="E257" s="31">
        <v>33</v>
      </c>
      <c r="F257" s="78">
        <v>2022</v>
      </c>
      <c r="G257" s="28">
        <v>2032</v>
      </c>
      <c r="H257" s="28">
        <v>9</v>
      </c>
      <c r="I257" s="31">
        <v>33</v>
      </c>
      <c r="J257" s="28">
        <v>0</v>
      </c>
      <c r="K257" s="28">
        <v>0</v>
      </c>
      <c r="L257" s="28">
        <v>0</v>
      </c>
      <c r="M257" s="75">
        <v>3.6</v>
      </c>
      <c r="N257" s="151">
        <v>9500</v>
      </c>
      <c r="O257" s="151">
        <v>5410</v>
      </c>
      <c r="P257" s="95">
        <f t="array" ref="P257">ROUND(IF($F257&lt;='TaxCred&amp;Subs'!$C$49,(IF($C257=2,IF($M257&gt;=IFERROR(INDEX('TaxCred&amp;Subs'!$L$12:$L$47,MATCH(1,($C257&amp;$D257='TaxCred&amp;Subs'!$E$12:$E$47)*($F257='TaxCred&amp;Subs'!$C$12:$C$47),0)
),9999),IFERROR(INDEX('TaxCred&amp;Subs'!$N$12:$N$47,MATCH(1,($C257&amp;$D257='TaxCred&amp;Subs'!$E$12:$E$47)*($F257='TaxCred&amp;Subs'!$C$12:$C$47),0)
),0),0),(IF($M257&gt;=IFERROR(INDEX('TaxCred&amp;Subs'!$H$12:$H$47,MATCH(1,($C257&amp;$D257='TaxCred&amp;Subs'!$D$12:$D$47)*($F257='TaxCred&amp;Subs'!$C$12:$C$47),0)
),9999),IFERROR(INDEX('TaxCred&amp;Subs'!$N$12:$N$47,MATCH(1,($C257&amp;$D257='TaxCred&amp;Subs'!$D$12:$D$47)*($F257='TaxCred&amp;Subs'!$C$12:$C$47),0)
),0),0)))),0)+IF(AND($C257=2,VALUE(RIGHT($AD257,1))&gt;2),(N257-R257)*(IFERROR(INDEX('TaxCred&amp;Subs'!$J$66:$J$99,MATCH(1,($C257&amp;$D257='TaxCred&amp;Subs'!$E$66:$E$99)*($F257='TaxCred&amp;Subs'!$C$66:$C$99),0)),0)),IF(AND($C257=1,VALUE(RIGHT($AD257,1))&gt;2),(N257-R257)*(IFERROR(INDEX('TaxCred&amp;Subs'!$J$66:$J$99,MATCH(1,($C257&amp;$D257='TaxCred&amp;Subs'!$D$66:$D$99)*($F257='TaxCred&amp;Subs'!$C$66:$C$99),0)),0)),IF($C257&gt;2,(N257-R257)*(IFERROR(INDEX('TaxCred&amp;Subs'!$J$66:$J$99,MATCH(1,($C257&amp;$D257='TaxCred&amp;Subs'!$D$66:$D$99)*($F257='TaxCred&amp;Subs'!$C$66:$C$99),0)),0)),0))),0)</f>
        <v>2780</v>
      </c>
      <c r="Q257" s="95">
        <f t="array" ref="Q257">ROUND(IF(AND($C257=2,VALUE(RIGHT($AD257,1))&gt;2),(O257-S257)*(IFERROR(INDEX('TaxCred&amp;Subs'!$J$66:$J$99,MATCH(1,($C257&amp;$D257='TaxCred&amp;Subs'!$E$66:$E$99)*($F257='TaxCred&amp;Subs'!$C$66:$C$99),0)),0)),IF(AND($C257=1,VALUE(RIGHT($AD257,1))&gt;2),(O257-S257)*(IFERROR(INDEX('TaxCred&amp;Subs'!$J$66:$J$99,MATCH(1,($C257&amp;$D257='TaxCred&amp;Subs'!$D$66:$D$99)*($F257='TaxCred&amp;Subs'!$C$66:$C$99),0)),0)),IF($C257&gt;2,(O257-S257)*(IFERROR(INDEX('TaxCred&amp;Subs'!$J$66:$J$99,MATCH(1,($C257&amp;$D257='TaxCred&amp;Subs'!$D$66:$D$99)*($F257='TaxCred&amp;Subs'!$C$66:$C$99),0)),0)),0))),0)</f>
        <v>1583</v>
      </c>
      <c r="R257" s="95">
        <f t="array" ref="R257">ROUND(IF(IFERROR(VALUE(RIGHT($AD257,1)),0)&gt;2,IF($C257=8,N257*IFERROR(INDEX('TaxCred&amp;Subs'!$K$139:$S$151,MATCH($C257&amp;$D257&amp;LEFT($AD257,7),'TaxCred&amp;Subs'!$E$139:$E$151,0),MATCH($H257,'TaxCred&amp;Subs'!$K$137:$S$137,0)),0),IF($C257=2,N257*IFERROR(INDEX('TaxCred&amp;Subs'!$K$139:$S$151,MATCH($C257&amp;$D257,'TaxCred&amp;Subs'!$D$139:$D$151,0),MATCH($H257,'TaxCred&amp;Subs'!$K$137:$S$137,0)),0),N257*IFERROR(INDEX('TaxCred&amp;Subs'!$K$139:$S$151,MATCH($C257&amp;$D257,'TaxCred&amp;Subs'!$C$139:$C$151,0),MATCH($H257,'TaxCred&amp;Subs'!$K$137:$S$137,0)),0))),0),0)</f>
        <v>233</v>
      </c>
      <c r="S257" s="95">
        <f t="array" ref="S257">ROUND(IF(IFERROR(VALUE(RIGHT($AD257,1)),0)&gt;2,IF($C257=8,O257*IFERROR(INDEX('TaxCred&amp;Subs'!$K$139:$S$151,MATCH($C257&amp;$D257&amp;LEFT($AD257,7),'TaxCred&amp;Subs'!$E$139:$E$151,0),MATCH($H257,'TaxCred&amp;Subs'!$K$137:$S$137,0)),0),IF($C257=2,O257*IFERROR(INDEX('TaxCred&amp;Subs'!$K$139:$S$151,MATCH($C257&amp;$D257,'TaxCred&amp;Subs'!$D$139:$D$151,0),MATCH($H257,'TaxCred&amp;Subs'!$K$137:$S$137,0)),0),O257*IFERROR(INDEX('TaxCred&amp;Subs'!$K$139:$S$151,MATCH($C257&amp;$D257,'TaxCred&amp;Subs'!$C$139:$C$151,0),MATCH($H257,'TaxCred&amp;Subs'!$K$137:$S$137,0)),0))),0),0)</f>
        <v>133</v>
      </c>
      <c r="T257" s="172">
        <f t="shared" si="15"/>
        <v>1008</v>
      </c>
      <c r="U257" s="172">
        <f t="shared" si="16"/>
        <v>574.04999999999995</v>
      </c>
      <c r="V257" s="28" t="s">
        <v>222</v>
      </c>
      <c r="W257" s="31">
        <v>2020</v>
      </c>
      <c r="X257" s="28">
        <v>1</v>
      </c>
      <c r="Y257" s="28">
        <v>0</v>
      </c>
      <c r="Z257" s="196">
        <v>-2.1513024844954491E-4</v>
      </c>
      <c r="AA257" s="196">
        <v>-3.3096961299929986E-3</v>
      </c>
      <c r="AB257" s="28">
        <v>0</v>
      </c>
      <c r="AC257" s="28">
        <v>0</v>
      </c>
      <c r="AD257" s="28" t="s">
        <v>336</v>
      </c>
    </row>
    <row r="258" spans="2:30" ht="14.25" customHeight="1" x14ac:dyDescent="0.2">
      <c r="B258" s="7">
        <f t="shared" si="17"/>
        <v>234</v>
      </c>
      <c r="C258" s="28">
        <v>1</v>
      </c>
      <c r="D258" s="28">
        <v>10</v>
      </c>
      <c r="E258" s="31">
        <v>33</v>
      </c>
      <c r="F258" s="78">
        <v>2033</v>
      </c>
      <c r="G258" s="28">
        <v>2033</v>
      </c>
      <c r="H258" s="28">
        <v>1</v>
      </c>
      <c r="I258" s="31">
        <v>33</v>
      </c>
      <c r="J258" s="28">
        <v>0</v>
      </c>
      <c r="K258" s="28">
        <v>0</v>
      </c>
      <c r="L258" s="28">
        <v>0</v>
      </c>
      <c r="M258" s="75">
        <v>3.6</v>
      </c>
      <c r="N258" s="151">
        <v>9500</v>
      </c>
      <c r="O258" s="151">
        <v>5410</v>
      </c>
      <c r="P258" s="95">
        <f t="array" ref="P258">ROUND(IF($F258&lt;='TaxCred&amp;Subs'!$C$49,(IF($C258=2,IF($M258&gt;=IFERROR(INDEX('TaxCred&amp;Subs'!$L$12:$L$47,MATCH(1,($C258&amp;$D258='TaxCred&amp;Subs'!$E$12:$E$47)*($F258='TaxCred&amp;Subs'!$C$12:$C$47),0)
),9999),IFERROR(INDEX('TaxCred&amp;Subs'!$N$12:$N$47,MATCH(1,($C258&amp;$D258='TaxCred&amp;Subs'!$E$12:$E$47)*($F258='TaxCred&amp;Subs'!$C$12:$C$47),0)
),0),0),(IF($M258&gt;=IFERROR(INDEX('TaxCred&amp;Subs'!$H$12:$H$47,MATCH(1,($C258&amp;$D258='TaxCred&amp;Subs'!$D$12:$D$47)*($F258='TaxCred&amp;Subs'!$C$12:$C$47),0)
),9999),IFERROR(INDEX('TaxCred&amp;Subs'!$N$12:$N$47,MATCH(1,($C258&amp;$D258='TaxCred&amp;Subs'!$D$12:$D$47)*($F258='TaxCred&amp;Subs'!$C$12:$C$47),0)
),0),0)))),0)+IF(AND($C258=2,VALUE(RIGHT($AD258,1))&gt;2),(N258-R258)*(IFERROR(INDEX('TaxCred&amp;Subs'!$J$66:$J$99,MATCH(1,($C258&amp;$D258='TaxCred&amp;Subs'!$E$66:$E$99)*($F258='TaxCred&amp;Subs'!$C$66:$C$99),0)),0)),IF(AND($C258=1,VALUE(RIGHT($AD258,1))&gt;2),(N258-R258)*(IFERROR(INDEX('TaxCred&amp;Subs'!$J$66:$J$99,MATCH(1,($C258&amp;$D258='TaxCred&amp;Subs'!$D$66:$D$99)*($F258='TaxCred&amp;Subs'!$C$66:$C$99),0)),0)),IF($C258&gt;2,(N258-R258)*(IFERROR(INDEX('TaxCred&amp;Subs'!$J$66:$J$99,MATCH(1,($C258&amp;$D258='TaxCred&amp;Subs'!$D$66:$D$99)*($F258='TaxCred&amp;Subs'!$C$66:$C$99),0)),0)),0))),0)</f>
        <v>1858</v>
      </c>
      <c r="Q258" s="95">
        <f t="array" ref="Q258">ROUND(IF(AND($C258=2,VALUE(RIGHT($AD258,1))&gt;2),(O258-S258)*(IFERROR(INDEX('TaxCred&amp;Subs'!$J$66:$J$99,MATCH(1,($C258&amp;$D258='TaxCred&amp;Subs'!$E$66:$E$99)*($F258='TaxCred&amp;Subs'!$C$66:$C$99),0)),0)),IF(AND($C258=1,VALUE(RIGHT($AD258,1))&gt;2),(O258-S258)*(IFERROR(INDEX('TaxCred&amp;Subs'!$J$66:$J$99,MATCH(1,($C258&amp;$D258='TaxCred&amp;Subs'!$D$66:$D$99)*($F258='TaxCred&amp;Subs'!$C$66:$C$99),0)),0)),IF($C258&gt;2,(O258-S258)*(IFERROR(INDEX('TaxCred&amp;Subs'!$J$66:$J$99,MATCH(1,($C258&amp;$D258='TaxCred&amp;Subs'!$D$66:$D$99)*($F258='TaxCred&amp;Subs'!$C$66:$C$99),0)),0)),0))),0)</f>
        <v>1058</v>
      </c>
      <c r="R258" s="95">
        <f t="array" ref="R258">ROUND(IF(IFERROR(VALUE(RIGHT($AD258,1)),0)&gt;2,IF($C258=8,N258*IFERROR(INDEX('TaxCred&amp;Subs'!$K$139:$S$151,MATCH($C258&amp;$D258&amp;LEFT($AD258,7),'TaxCred&amp;Subs'!$E$139:$E$151,0),MATCH($H258,'TaxCred&amp;Subs'!$K$137:$S$137,0)),0),IF($C258=2,N258*IFERROR(INDEX('TaxCred&amp;Subs'!$K$139:$S$151,MATCH($C258&amp;$D258,'TaxCred&amp;Subs'!$D$139:$D$151,0),MATCH($H258,'TaxCred&amp;Subs'!$K$137:$S$137,0)),0),N258*IFERROR(INDEX('TaxCred&amp;Subs'!$K$139:$S$151,MATCH($C258&amp;$D258,'TaxCred&amp;Subs'!$C$139:$C$151,0),MATCH($H258,'TaxCred&amp;Subs'!$K$137:$S$137,0)),0))),0),0)</f>
        <v>2355</v>
      </c>
      <c r="S258" s="95">
        <f t="array" ref="S258">ROUND(IF(IFERROR(VALUE(RIGHT($AD258,1)),0)&gt;2,IF($C258=8,O258*IFERROR(INDEX('TaxCred&amp;Subs'!$K$139:$S$151,MATCH($C258&amp;$D258&amp;LEFT($AD258,7),'TaxCred&amp;Subs'!$E$139:$E$151,0),MATCH($H258,'TaxCred&amp;Subs'!$K$137:$S$137,0)),0),IF($C258=2,O258*IFERROR(INDEX('TaxCred&amp;Subs'!$K$139:$S$151,MATCH($C258&amp;$D258,'TaxCred&amp;Subs'!$D$139:$D$151,0),MATCH($H258,'TaxCred&amp;Subs'!$K$137:$S$137,0)),0),O258*IFERROR(INDEX('TaxCred&amp;Subs'!$K$139:$S$151,MATCH($C258&amp;$D258,'TaxCred&amp;Subs'!$C$139:$C$151,0),MATCH($H258,'TaxCred&amp;Subs'!$K$137:$S$137,0)),0))),0),0)</f>
        <v>1341</v>
      </c>
      <c r="T258" s="95">
        <f t="shared" si="15"/>
        <v>0</v>
      </c>
      <c r="U258" s="95">
        <f t="shared" si="16"/>
        <v>0</v>
      </c>
      <c r="V258" s="28" t="s">
        <v>222</v>
      </c>
      <c r="W258" s="31">
        <v>2020</v>
      </c>
      <c r="X258" s="28">
        <v>1</v>
      </c>
      <c r="Y258" s="28">
        <v>0</v>
      </c>
      <c r="Z258" s="196">
        <v>-2.1513024844954491E-4</v>
      </c>
      <c r="AA258" s="196">
        <v>-3.3096961299929986E-3</v>
      </c>
      <c r="AB258" s="28">
        <v>0</v>
      </c>
      <c r="AC258" s="28">
        <v>0</v>
      </c>
      <c r="AD258" s="28" t="s">
        <v>336</v>
      </c>
    </row>
    <row r="259" spans="2:30" ht="14.25" customHeight="1" x14ac:dyDescent="0.2">
      <c r="B259" s="7">
        <f t="shared" si="17"/>
        <v>235</v>
      </c>
      <c r="C259" s="28">
        <v>1</v>
      </c>
      <c r="D259" s="28">
        <v>10</v>
      </c>
      <c r="E259" s="31">
        <v>33</v>
      </c>
      <c r="F259" s="78">
        <v>2033</v>
      </c>
      <c r="G259" s="28">
        <v>2033</v>
      </c>
      <c r="H259" s="28">
        <v>2</v>
      </c>
      <c r="I259" s="31">
        <v>33</v>
      </c>
      <c r="J259" s="28">
        <v>0</v>
      </c>
      <c r="K259" s="28">
        <v>0</v>
      </c>
      <c r="L259" s="28">
        <v>0</v>
      </c>
      <c r="M259" s="75">
        <v>3.6</v>
      </c>
      <c r="N259" s="151">
        <v>9500</v>
      </c>
      <c r="O259" s="151">
        <v>5410</v>
      </c>
      <c r="P259" s="95">
        <f t="array" ref="P259">ROUND(IF($F259&lt;='TaxCred&amp;Subs'!$C$49,(IF($C259=2,IF($M259&gt;=IFERROR(INDEX('TaxCred&amp;Subs'!$L$12:$L$47,MATCH(1,($C259&amp;$D259='TaxCred&amp;Subs'!$E$12:$E$47)*($F259='TaxCred&amp;Subs'!$C$12:$C$47),0)
),9999),IFERROR(INDEX('TaxCred&amp;Subs'!$N$12:$N$47,MATCH(1,($C259&amp;$D259='TaxCred&amp;Subs'!$E$12:$E$47)*($F259='TaxCred&amp;Subs'!$C$12:$C$47),0)
),0),0),(IF($M259&gt;=IFERROR(INDEX('TaxCred&amp;Subs'!$H$12:$H$47,MATCH(1,($C259&amp;$D259='TaxCred&amp;Subs'!$D$12:$D$47)*($F259='TaxCred&amp;Subs'!$C$12:$C$47),0)
),9999),IFERROR(INDEX('TaxCred&amp;Subs'!$N$12:$N$47,MATCH(1,($C259&amp;$D259='TaxCred&amp;Subs'!$D$12:$D$47)*($F259='TaxCred&amp;Subs'!$C$12:$C$47),0)
),0),0)))),0)+IF(AND($C259=2,VALUE(RIGHT($AD259,1))&gt;2),(N259-R259)*(IFERROR(INDEX('TaxCred&amp;Subs'!$J$66:$J$99,MATCH(1,($C259&amp;$D259='TaxCred&amp;Subs'!$E$66:$E$99)*($F259='TaxCred&amp;Subs'!$C$66:$C$99),0)),0)),IF(AND($C259=1,VALUE(RIGHT($AD259,1))&gt;2),(N259-R259)*(IFERROR(INDEX('TaxCred&amp;Subs'!$J$66:$J$99,MATCH(1,($C259&amp;$D259='TaxCred&amp;Subs'!$D$66:$D$99)*($F259='TaxCred&amp;Subs'!$C$66:$C$99),0)),0)),IF($C259&gt;2,(N259-R259)*(IFERROR(INDEX('TaxCred&amp;Subs'!$J$66:$J$99,MATCH(1,($C259&amp;$D259='TaxCred&amp;Subs'!$D$66:$D$99)*($F259='TaxCred&amp;Subs'!$C$66:$C$99),0)),0)),0))),0)</f>
        <v>2217</v>
      </c>
      <c r="Q259" s="95">
        <f t="array" ref="Q259">ROUND(IF(AND($C259=2,VALUE(RIGHT($AD259,1))&gt;2),(O259-S259)*(IFERROR(INDEX('TaxCred&amp;Subs'!$J$66:$J$99,MATCH(1,($C259&amp;$D259='TaxCred&amp;Subs'!$E$66:$E$99)*($F259='TaxCred&amp;Subs'!$C$66:$C$99),0)),0)),IF(AND($C259=1,VALUE(RIGHT($AD259,1))&gt;2),(O259-S259)*(IFERROR(INDEX('TaxCred&amp;Subs'!$J$66:$J$99,MATCH(1,($C259&amp;$D259='TaxCred&amp;Subs'!$D$66:$D$99)*($F259='TaxCred&amp;Subs'!$C$66:$C$99),0)),0)),IF($C259&gt;2,(O259-S259)*(IFERROR(INDEX('TaxCred&amp;Subs'!$J$66:$J$99,MATCH(1,($C259&amp;$D259='TaxCred&amp;Subs'!$D$66:$D$99)*($F259='TaxCred&amp;Subs'!$C$66:$C$99),0)),0)),0))),0)</f>
        <v>1263</v>
      </c>
      <c r="R259" s="95">
        <f t="array" ref="R259">ROUND(IF(IFERROR(VALUE(RIGHT($AD259,1)),0)&gt;2,IF($C259=8,N259*IFERROR(INDEX('TaxCred&amp;Subs'!$K$139:$S$151,MATCH($C259&amp;$D259&amp;LEFT($AD259,7),'TaxCred&amp;Subs'!$E$139:$E$151,0),MATCH($H259,'TaxCred&amp;Subs'!$K$137:$S$137,0)),0),IF($C259=2,N259*IFERROR(INDEX('TaxCred&amp;Subs'!$K$139:$S$151,MATCH($C259&amp;$D259,'TaxCred&amp;Subs'!$D$139:$D$151,0),MATCH($H259,'TaxCred&amp;Subs'!$K$137:$S$137,0)),0),N259*IFERROR(INDEX('TaxCred&amp;Subs'!$K$139:$S$151,MATCH($C259&amp;$D259,'TaxCred&amp;Subs'!$C$139:$C$151,0),MATCH($H259,'TaxCred&amp;Subs'!$K$137:$S$137,0)),0))),0),0)</f>
        <v>972</v>
      </c>
      <c r="S259" s="95">
        <f t="array" ref="S259">ROUND(IF(IFERROR(VALUE(RIGHT($AD259,1)),0)&gt;2,IF($C259=8,O259*IFERROR(INDEX('TaxCred&amp;Subs'!$K$139:$S$151,MATCH($C259&amp;$D259&amp;LEFT($AD259,7),'TaxCred&amp;Subs'!$E$139:$E$151,0),MATCH($H259,'TaxCred&amp;Subs'!$K$137:$S$137,0)),0),IF($C259=2,O259*IFERROR(INDEX('TaxCred&amp;Subs'!$K$139:$S$151,MATCH($C259&amp;$D259,'TaxCred&amp;Subs'!$D$139:$D$151,0),MATCH($H259,'TaxCred&amp;Subs'!$K$137:$S$137,0)),0),O259*IFERROR(INDEX('TaxCred&amp;Subs'!$K$139:$S$151,MATCH($C259&amp;$D259,'TaxCred&amp;Subs'!$C$139:$C$151,0),MATCH($H259,'TaxCred&amp;Subs'!$K$137:$S$137,0)),0))),0),0)</f>
        <v>553</v>
      </c>
      <c r="T259" s="95">
        <f t="shared" si="15"/>
        <v>0</v>
      </c>
      <c r="U259" s="95">
        <f t="shared" si="16"/>
        <v>0</v>
      </c>
      <c r="V259" s="28" t="s">
        <v>222</v>
      </c>
      <c r="W259" s="31">
        <v>2020</v>
      </c>
      <c r="X259" s="28">
        <v>1</v>
      </c>
      <c r="Y259" s="28">
        <v>0</v>
      </c>
      <c r="Z259" s="196">
        <v>-2.1513024844954491E-4</v>
      </c>
      <c r="AA259" s="196">
        <v>-3.3096961299929986E-3</v>
      </c>
      <c r="AB259" s="28">
        <v>0</v>
      </c>
      <c r="AC259" s="28">
        <v>0</v>
      </c>
      <c r="AD259" s="28" t="s">
        <v>336</v>
      </c>
    </row>
    <row r="260" spans="2:30" ht="14.25" customHeight="1" x14ac:dyDescent="0.2">
      <c r="B260" s="7">
        <f t="shared" si="17"/>
        <v>236</v>
      </c>
      <c r="C260" s="28">
        <v>1</v>
      </c>
      <c r="D260" s="28">
        <v>10</v>
      </c>
      <c r="E260" s="31">
        <v>33</v>
      </c>
      <c r="F260" s="78">
        <v>2033</v>
      </c>
      <c r="G260" s="28">
        <v>2033</v>
      </c>
      <c r="H260" s="28">
        <v>3</v>
      </c>
      <c r="I260" s="31">
        <v>33</v>
      </c>
      <c r="J260" s="28">
        <v>0</v>
      </c>
      <c r="K260" s="28">
        <v>0</v>
      </c>
      <c r="L260" s="28">
        <v>0</v>
      </c>
      <c r="M260" s="75">
        <v>3.6</v>
      </c>
      <c r="N260" s="151">
        <v>9500</v>
      </c>
      <c r="O260" s="151">
        <v>5410</v>
      </c>
      <c r="P260" s="95">
        <f t="array" ref="P260">ROUND(IF($F260&lt;='TaxCred&amp;Subs'!$C$49,(IF($C260=2,IF($M260&gt;=IFERROR(INDEX('TaxCred&amp;Subs'!$L$12:$L$47,MATCH(1,($C260&amp;$D260='TaxCred&amp;Subs'!$E$12:$E$47)*($F260='TaxCred&amp;Subs'!$C$12:$C$47),0)
),9999),IFERROR(INDEX('TaxCred&amp;Subs'!$N$12:$N$47,MATCH(1,($C260&amp;$D260='TaxCred&amp;Subs'!$E$12:$E$47)*($F260='TaxCred&amp;Subs'!$C$12:$C$47),0)
),0),0),(IF($M260&gt;=IFERROR(INDEX('TaxCred&amp;Subs'!$H$12:$H$47,MATCH(1,($C260&amp;$D260='TaxCred&amp;Subs'!$D$12:$D$47)*($F260='TaxCred&amp;Subs'!$C$12:$C$47),0)
),9999),IFERROR(INDEX('TaxCred&amp;Subs'!$N$12:$N$47,MATCH(1,($C260&amp;$D260='TaxCred&amp;Subs'!$D$12:$D$47)*($F260='TaxCred&amp;Subs'!$C$12:$C$47),0)
),0),0)))),0)+IF(AND($C260=2,VALUE(RIGHT($AD260,1))&gt;2),(N260-R260)*(IFERROR(INDEX('TaxCred&amp;Subs'!$J$66:$J$99,MATCH(1,($C260&amp;$D260='TaxCred&amp;Subs'!$E$66:$E$99)*($F260='TaxCred&amp;Subs'!$C$66:$C$99),0)),0)),IF(AND($C260=1,VALUE(RIGHT($AD260,1))&gt;2),(N260-R260)*(IFERROR(INDEX('TaxCred&amp;Subs'!$J$66:$J$99,MATCH(1,($C260&amp;$D260='TaxCred&amp;Subs'!$D$66:$D$99)*($F260='TaxCred&amp;Subs'!$C$66:$C$99),0)),0)),IF($C260&gt;2,(N260-R260)*(IFERROR(INDEX('TaxCred&amp;Subs'!$J$66:$J$99,MATCH(1,($C260&amp;$D260='TaxCred&amp;Subs'!$D$66:$D$99)*($F260='TaxCred&amp;Subs'!$C$66:$C$99),0)),0)),0))),0)</f>
        <v>2271</v>
      </c>
      <c r="Q260" s="95">
        <f t="array" ref="Q260">ROUND(IF(AND($C260=2,VALUE(RIGHT($AD260,1))&gt;2),(O260-S260)*(IFERROR(INDEX('TaxCred&amp;Subs'!$J$66:$J$99,MATCH(1,($C260&amp;$D260='TaxCred&amp;Subs'!$E$66:$E$99)*($F260='TaxCred&amp;Subs'!$C$66:$C$99),0)),0)),IF(AND($C260=1,VALUE(RIGHT($AD260,1))&gt;2),(O260-S260)*(IFERROR(INDEX('TaxCred&amp;Subs'!$J$66:$J$99,MATCH(1,($C260&amp;$D260='TaxCred&amp;Subs'!$D$66:$D$99)*($F260='TaxCred&amp;Subs'!$C$66:$C$99),0)),0)),IF($C260&gt;2,(O260-S260)*(IFERROR(INDEX('TaxCred&amp;Subs'!$J$66:$J$99,MATCH(1,($C260&amp;$D260='TaxCred&amp;Subs'!$D$66:$D$99)*($F260='TaxCred&amp;Subs'!$C$66:$C$99),0)),0)),0))),0)</f>
        <v>1293</v>
      </c>
      <c r="R260" s="95">
        <f t="array" ref="R260">ROUND(IF(IFERROR(VALUE(RIGHT($AD260,1)),0)&gt;2,IF($C260=8,N260*IFERROR(INDEX('TaxCred&amp;Subs'!$K$139:$S$151,MATCH($C260&amp;$D260&amp;LEFT($AD260,7),'TaxCred&amp;Subs'!$E$139:$E$151,0),MATCH($H260,'TaxCred&amp;Subs'!$K$137:$S$137,0)),0),IF($C260=2,N260*IFERROR(INDEX('TaxCred&amp;Subs'!$K$139:$S$151,MATCH($C260&amp;$D260,'TaxCred&amp;Subs'!$D$139:$D$151,0),MATCH($H260,'TaxCred&amp;Subs'!$K$137:$S$137,0)),0),N260*IFERROR(INDEX('TaxCred&amp;Subs'!$K$139:$S$151,MATCH($C260&amp;$D260,'TaxCred&amp;Subs'!$C$139:$C$151,0),MATCH($H260,'TaxCred&amp;Subs'!$K$137:$S$137,0)),0))),0),0)</f>
        <v>765</v>
      </c>
      <c r="S260" s="95">
        <f t="array" ref="S260">ROUND(IF(IFERROR(VALUE(RIGHT($AD260,1)),0)&gt;2,IF($C260=8,O260*IFERROR(INDEX('TaxCred&amp;Subs'!$K$139:$S$151,MATCH($C260&amp;$D260&amp;LEFT($AD260,7),'TaxCred&amp;Subs'!$E$139:$E$151,0),MATCH($H260,'TaxCred&amp;Subs'!$K$137:$S$137,0)),0),IF($C260=2,O260*IFERROR(INDEX('TaxCred&amp;Subs'!$K$139:$S$151,MATCH($C260&amp;$D260,'TaxCred&amp;Subs'!$D$139:$D$151,0),MATCH($H260,'TaxCred&amp;Subs'!$K$137:$S$137,0)),0),O260*IFERROR(INDEX('TaxCred&amp;Subs'!$K$139:$S$151,MATCH($C260&amp;$D260,'TaxCred&amp;Subs'!$C$139:$C$151,0),MATCH($H260,'TaxCred&amp;Subs'!$K$137:$S$137,0)),0))),0),0)</f>
        <v>436</v>
      </c>
      <c r="T260" s="95">
        <f t="shared" si="15"/>
        <v>0</v>
      </c>
      <c r="U260" s="95">
        <f t="shared" si="16"/>
        <v>0</v>
      </c>
      <c r="V260" s="28" t="s">
        <v>222</v>
      </c>
      <c r="W260" s="31">
        <v>2020</v>
      </c>
      <c r="X260" s="28">
        <v>1</v>
      </c>
      <c r="Y260" s="28">
        <v>0</v>
      </c>
      <c r="Z260" s="196">
        <v>-2.1513024844954491E-4</v>
      </c>
      <c r="AA260" s="196">
        <v>-3.3096961299929986E-3</v>
      </c>
      <c r="AB260" s="28">
        <v>0</v>
      </c>
      <c r="AC260" s="28">
        <v>0</v>
      </c>
      <c r="AD260" s="28" t="s">
        <v>336</v>
      </c>
    </row>
    <row r="261" spans="2:30" ht="14.25" customHeight="1" x14ac:dyDescent="0.2">
      <c r="B261" s="7">
        <f t="shared" si="17"/>
        <v>237</v>
      </c>
      <c r="C261" s="28">
        <v>1</v>
      </c>
      <c r="D261" s="28">
        <v>10</v>
      </c>
      <c r="E261" s="31">
        <v>33</v>
      </c>
      <c r="F261" s="78">
        <v>2033</v>
      </c>
      <c r="G261" s="28">
        <v>2033</v>
      </c>
      <c r="H261" s="28">
        <v>4</v>
      </c>
      <c r="I261" s="31">
        <v>33</v>
      </c>
      <c r="J261" s="28">
        <v>0</v>
      </c>
      <c r="K261" s="28">
        <v>0</v>
      </c>
      <c r="L261" s="28">
        <v>0</v>
      </c>
      <c r="M261" s="75">
        <v>3.6</v>
      </c>
      <c r="N261" s="151">
        <v>9500</v>
      </c>
      <c r="O261" s="151">
        <v>5410</v>
      </c>
      <c r="P261" s="95">
        <f t="array" ref="P261">ROUND(IF($F261&lt;='TaxCred&amp;Subs'!$C$49,(IF($C261=2,IF($M261&gt;=IFERROR(INDEX('TaxCred&amp;Subs'!$L$12:$L$47,MATCH(1,($C261&amp;$D261='TaxCred&amp;Subs'!$E$12:$E$47)*($F261='TaxCred&amp;Subs'!$C$12:$C$47),0)
),9999),IFERROR(INDEX('TaxCred&amp;Subs'!$N$12:$N$47,MATCH(1,($C261&amp;$D261='TaxCred&amp;Subs'!$E$12:$E$47)*($F261='TaxCred&amp;Subs'!$C$12:$C$47),0)
),0),0),(IF($M261&gt;=IFERROR(INDEX('TaxCred&amp;Subs'!$H$12:$H$47,MATCH(1,($C261&amp;$D261='TaxCred&amp;Subs'!$D$12:$D$47)*($F261='TaxCred&amp;Subs'!$C$12:$C$47),0)
),9999),IFERROR(INDEX('TaxCred&amp;Subs'!$N$12:$N$47,MATCH(1,($C261&amp;$D261='TaxCred&amp;Subs'!$D$12:$D$47)*($F261='TaxCred&amp;Subs'!$C$12:$C$47),0)
),0),0)))),0)+IF(AND($C261=2,VALUE(RIGHT($AD261,1))&gt;2),(N261-R261)*(IFERROR(INDEX('TaxCred&amp;Subs'!$J$66:$J$99,MATCH(1,($C261&amp;$D261='TaxCred&amp;Subs'!$E$66:$E$99)*($F261='TaxCred&amp;Subs'!$C$66:$C$99),0)),0)),IF(AND($C261=1,VALUE(RIGHT($AD261,1))&gt;2),(N261-R261)*(IFERROR(INDEX('TaxCred&amp;Subs'!$J$66:$J$99,MATCH(1,($C261&amp;$D261='TaxCred&amp;Subs'!$D$66:$D$99)*($F261='TaxCred&amp;Subs'!$C$66:$C$99),0)),0)),IF($C261&gt;2,(N261-R261)*(IFERROR(INDEX('TaxCred&amp;Subs'!$J$66:$J$99,MATCH(1,($C261&amp;$D261='TaxCred&amp;Subs'!$D$66:$D$99)*($F261='TaxCred&amp;Subs'!$C$66:$C$99),0)),0)),0))),0)</f>
        <v>2311</v>
      </c>
      <c r="Q261" s="95">
        <f t="array" ref="Q261">ROUND(IF(AND($C261=2,VALUE(RIGHT($AD261,1))&gt;2),(O261-S261)*(IFERROR(INDEX('TaxCred&amp;Subs'!$J$66:$J$99,MATCH(1,($C261&amp;$D261='TaxCred&amp;Subs'!$E$66:$E$99)*($F261='TaxCred&amp;Subs'!$C$66:$C$99),0)),0)),IF(AND($C261=1,VALUE(RIGHT($AD261,1))&gt;2),(O261-S261)*(IFERROR(INDEX('TaxCred&amp;Subs'!$J$66:$J$99,MATCH(1,($C261&amp;$D261='TaxCred&amp;Subs'!$D$66:$D$99)*($F261='TaxCred&amp;Subs'!$C$66:$C$99),0)),0)),IF($C261&gt;2,(O261-S261)*(IFERROR(INDEX('TaxCred&amp;Subs'!$J$66:$J$99,MATCH(1,($C261&amp;$D261='TaxCred&amp;Subs'!$D$66:$D$99)*($F261='TaxCred&amp;Subs'!$C$66:$C$99),0)),0)),0))),0)</f>
        <v>1316</v>
      </c>
      <c r="R261" s="95">
        <f t="array" ref="R261">ROUND(IF(IFERROR(VALUE(RIGHT($AD261,1)),0)&gt;2,IF($C261=8,N261*IFERROR(INDEX('TaxCred&amp;Subs'!$K$139:$S$151,MATCH($C261&amp;$D261&amp;LEFT($AD261,7),'TaxCred&amp;Subs'!$E$139:$E$151,0),MATCH($H261,'TaxCred&amp;Subs'!$K$137:$S$137,0)),0),IF($C261=2,N261*IFERROR(INDEX('TaxCred&amp;Subs'!$K$139:$S$151,MATCH($C261&amp;$D261,'TaxCred&amp;Subs'!$D$139:$D$151,0),MATCH($H261,'TaxCred&amp;Subs'!$K$137:$S$137,0)),0),N261*IFERROR(INDEX('TaxCred&amp;Subs'!$K$139:$S$151,MATCH($C261&amp;$D261,'TaxCred&amp;Subs'!$C$139:$C$151,0),MATCH($H261,'TaxCred&amp;Subs'!$K$137:$S$137,0)),0))),0),0)</f>
        <v>612</v>
      </c>
      <c r="S261" s="95">
        <f t="array" ref="S261">ROUND(IF(IFERROR(VALUE(RIGHT($AD261,1)),0)&gt;2,IF($C261=8,O261*IFERROR(INDEX('TaxCred&amp;Subs'!$K$139:$S$151,MATCH($C261&amp;$D261&amp;LEFT($AD261,7),'TaxCred&amp;Subs'!$E$139:$E$151,0),MATCH($H261,'TaxCred&amp;Subs'!$K$137:$S$137,0)),0),IF($C261=2,O261*IFERROR(INDEX('TaxCred&amp;Subs'!$K$139:$S$151,MATCH($C261&amp;$D261,'TaxCred&amp;Subs'!$D$139:$D$151,0),MATCH($H261,'TaxCred&amp;Subs'!$K$137:$S$137,0)),0),O261*IFERROR(INDEX('TaxCred&amp;Subs'!$K$139:$S$151,MATCH($C261&amp;$D261,'TaxCred&amp;Subs'!$C$139:$C$151,0),MATCH($H261,'TaxCred&amp;Subs'!$K$137:$S$137,0)),0))),0),0)</f>
        <v>349</v>
      </c>
      <c r="T261" s="95">
        <f t="shared" si="15"/>
        <v>0</v>
      </c>
      <c r="U261" s="95">
        <f t="shared" si="16"/>
        <v>0</v>
      </c>
      <c r="V261" s="28" t="s">
        <v>222</v>
      </c>
      <c r="W261" s="31">
        <v>2020</v>
      </c>
      <c r="X261" s="28">
        <v>1</v>
      </c>
      <c r="Y261" s="28">
        <v>0</v>
      </c>
      <c r="Z261" s="196">
        <v>-2.1513024844954491E-4</v>
      </c>
      <c r="AA261" s="196">
        <v>-3.3096961299929986E-3</v>
      </c>
      <c r="AB261" s="28">
        <v>0</v>
      </c>
      <c r="AC261" s="28">
        <v>0</v>
      </c>
      <c r="AD261" s="28" t="s">
        <v>336</v>
      </c>
    </row>
    <row r="262" spans="2:30" ht="14.25" customHeight="1" x14ac:dyDescent="0.2">
      <c r="B262" s="7">
        <f t="shared" si="17"/>
        <v>238</v>
      </c>
      <c r="C262" s="28">
        <v>1</v>
      </c>
      <c r="D262" s="28">
        <v>10</v>
      </c>
      <c r="E262" s="31">
        <v>33</v>
      </c>
      <c r="F262" s="78">
        <v>2033</v>
      </c>
      <c r="G262" s="28">
        <v>2033</v>
      </c>
      <c r="H262" s="28">
        <v>5</v>
      </c>
      <c r="I262" s="31">
        <v>33</v>
      </c>
      <c r="J262" s="28">
        <v>0</v>
      </c>
      <c r="K262" s="28">
        <v>0</v>
      </c>
      <c r="L262" s="28">
        <v>0</v>
      </c>
      <c r="M262" s="75">
        <v>3.6</v>
      </c>
      <c r="N262" s="151">
        <v>9500</v>
      </c>
      <c r="O262" s="151">
        <v>5410</v>
      </c>
      <c r="P262" s="95">
        <f t="array" ref="P262">ROUND(IF($F262&lt;='TaxCred&amp;Subs'!$C$49,(IF($C262=2,IF($M262&gt;=IFERROR(INDEX('TaxCred&amp;Subs'!$L$12:$L$47,MATCH(1,($C262&amp;$D262='TaxCred&amp;Subs'!$E$12:$E$47)*($F262='TaxCred&amp;Subs'!$C$12:$C$47),0)
),9999),IFERROR(INDEX('TaxCred&amp;Subs'!$N$12:$N$47,MATCH(1,($C262&amp;$D262='TaxCred&amp;Subs'!$E$12:$E$47)*($F262='TaxCred&amp;Subs'!$C$12:$C$47),0)
),0),0),(IF($M262&gt;=IFERROR(INDEX('TaxCred&amp;Subs'!$H$12:$H$47,MATCH(1,($C262&amp;$D262='TaxCred&amp;Subs'!$D$12:$D$47)*($F262='TaxCred&amp;Subs'!$C$12:$C$47),0)
),9999),IFERROR(INDEX('TaxCred&amp;Subs'!$N$12:$N$47,MATCH(1,($C262&amp;$D262='TaxCred&amp;Subs'!$D$12:$D$47)*($F262='TaxCred&amp;Subs'!$C$12:$C$47),0)
),0),0)))),0)+IF(AND($C262=2,VALUE(RIGHT($AD262,1))&gt;2),(N262-R262)*(IFERROR(INDEX('TaxCred&amp;Subs'!$J$66:$J$99,MATCH(1,($C262&amp;$D262='TaxCred&amp;Subs'!$E$66:$E$99)*($F262='TaxCred&amp;Subs'!$C$66:$C$99),0)),0)),IF(AND($C262=1,VALUE(RIGHT($AD262,1))&gt;2),(N262-R262)*(IFERROR(INDEX('TaxCred&amp;Subs'!$J$66:$J$99,MATCH(1,($C262&amp;$D262='TaxCred&amp;Subs'!$D$66:$D$99)*($F262='TaxCred&amp;Subs'!$C$66:$C$99),0)),0)),IF($C262&gt;2,(N262-R262)*(IFERROR(INDEX('TaxCred&amp;Subs'!$J$66:$J$99,MATCH(1,($C262&amp;$D262='TaxCred&amp;Subs'!$D$66:$D$99)*($F262='TaxCred&amp;Subs'!$C$66:$C$99),0)),0)),0))),0)</f>
        <v>2298</v>
      </c>
      <c r="Q262" s="95">
        <f t="array" ref="Q262">ROUND(IF(AND($C262=2,VALUE(RIGHT($AD262,1))&gt;2),(O262-S262)*(IFERROR(INDEX('TaxCred&amp;Subs'!$J$66:$J$99,MATCH(1,($C262&amp;$D262='TaxCred&amp;Subs'!$E$66:$E$99)*($F262='TaxCred&amp;Subs'!$C$66:$C$99),0)),0)),IF(AND($C262=1,VALUE(RIGHT($AD262,1))&gt;2),(O262-S262)*(IFERROR(INDEX('TaxCred&amp;Subs'!$J$66:$J$99,MATCH(1,($C262&amp;$D262='TaxCred&amp;Subs'!$D$66:$D$99)*($F262='TaxCred&amp;Subs'!$C$66:$C$99),0)),0)),IF($C262&gt;2,(O262-S262)*(IFERROR(INDEX('TaxCred&amp;Subs'!$J$66:$J$99,MATCH(1,($C262&amp;$D262='TaxCred&amp;Subs'!$D$66:$D$99)*($F262='TaxCred&amp;Subs'!$C$66:$C$99),0)),0)),0))),0)</f>
        <v>1309</v>
      </c>
      <c r="R262" s="95">
        <f t="array" ref="R262">ROUND(IF(IFERROR(VALUE(RIGHT($AD262,1)),0)&gt;2,IF($C262=8,N262*IFERROR(INDEX('TaxCred&amp;Subs'!$K$139:$S$151,MATCH($C262&amp;$D262&amp;LEFT($AD262,7),'TaxCred&amp;Subs'!$E$139:$E$151,0),MATCH($H262,'TaxCred&amp;Subs'!$K$137:$S$137,0)),0),IF($C262=2,N262*IFERROR(INDEX('TaxCred&amp;Subs'!$K$139:$S$151,MATCH($C262&amp;$D262,'TaxCred&amp;Subs'!$D$139:$D$151,0),MATCH($H262,'TaxCred&amp;Subs'!$K$137:$S$137,0)),0),N262*IFERROR(INDEX('TaxCred&amp;Subs'!$K$139:$S$151,MATCH($C262&amp;$D262,'TaxCred&amp;Subs'!$C$139:$C$151,0),MATCH($H262,'TaxCred&amp;Subs'!$K$137:$S$137,0)),0))),0),0)</f>
        <v>663</v>
      </c>
      <c r="S262" s="95">
        <f t="array" ref="S262">ROUND(IF(IFERROR(VALUE(RIGHT($AD262,1)),0)&gt;2,IF($C262=8,O262*IFERROR(INDEX('TaxCred&amp;Subs'!$K$139:$S$151,MATCH($C262&amp;$D262&amp;LEFT($AD262,7),'TaxCred&amp;Subs'!$E$139:$E$151,0),MATCH($H262,'TaxCred&amp;Subs'!$K$137:$S$137,0)),0),IF($C262=2,O262*IFERROR(INDEX('TaxCred&amp;Subs'!$K$139:$S$151,MATCH($C262&amp;$D262,'TaxCred&amp;Subs'!$D$139:$D$151,0),MATCH($H262,'TaxCred&amp;Subs'!$K$137:$S$137,0)),0),O262*IFERROR(INDEX('TaxCred&amp;Subs'!$K$139:$S$151,MATCH($C262&amp;$D262,'TaxCred&amp;Subs'!$C$139:$C$151,0),MATCH($H262,'TaxCred&amp;Subs'!$K$137:$S$137,0)),0))),0),0)</f>
        <v>377</v>
      </c>
      <c r="T262" s="95">
        <f t="shared" si="15"/>
        <v>0</v>
      </c>
      <c r="U262" s="95">
        <f t="shared" si="16"/>
        <v>0</v>
      </c>
      <c r="V262" s="28" t="s">
        <v>222</v>
      </c>
      <c r="W262" s="31">
        <v>2020</v>
      </c>
      <c r="X262" s="28">
        <v>1</v>
      </c>
      <c r="Y262" s="28">
        <v>0</v>
      </c>
      <c r="Z262" s="196">
        <v>-2.1513024844954491E-4</v>
      </c>
      <c r="AA262" s="196">
        <v>-3.3096961299929986E-3</v>
      </c>
      <c r="AB262" s="28">
        <v>0</v>
      </c>
      <c r="AC262" s="28">
        <v>0</v>
      </c>
      <c r="AD262" s="28" t="s">
        <v>336</v>
      </c>
    </row>
    <row r="263" spans="2:30" ht="14.25" customHeight="1" x14ac:dyDescent="0.2">
      <c r="B263" s="7">
        <f t="shared" si="17"/>
        <v>239</v>
      </c>
      <c r="C263" s="28">
        <v>1</v>
      </c>
      <c r="D263" s="28">
        <v>10</v>
      </c>
      <c r="E263" s="31">
        <v>33</v>
      </c>
      <c r="F263" s="78">
        <v>2033</v>
      </c>
      <c r="G263" s="28">
        <v>2033</v>
      </c>
      <c r="H263" s="28">
        <v>6</v>
      </c>
      <c r="I263" s="31">
        <v>33</v>
      </c>
      <c r="J263" s="28">
        <v>0</v>
      </c>
      <c r="K263" s="28">
        <v>0</v>
      </c>
      <c r="L263" s="28">
        <v>0</v>
      </c>
      <c r="M263" s="75">
        <v>3.6</v>
      </c>
      <c r="N263" s="151">
        <v>9500</v>
      </c>
      <c r="O263" s="151">
        <v>5410</v>
      </c>
      <c r="P263" s="95">
        <f t="array" ref="P263">ROUND(IF($F263&lt;='TaxCred&amp;Subs'!$C$49,(IF($C263=2,IF($M263&gt;=IFERROR(INDEX('TaxCred&amp;Subs'!$L$12:$L$47,MATCH(1,($C263&amp;$D263='TaxCred&amp;Subs'!$E$12:$E$47)*($F263='TaxCred&amp;Subs'!$C$12:$C$47),0)
),9999),IFERROR(INDEX('TaxCred&amp;Subs'!$N$12:$N$47,MATCH(1,($C263&amp;$D263='TaxCred&amp;Subs'!$E$12:$E$47)*($F263='TaxCred&amp;Subs'!$C$12:$C$47),0)
),0),0),(IF($M263&gt;=IFERROR(INDEX('TaxCred&amp;Subs'!$H$12:$H$47,MATCH(1,($C263&amp;$D263='TaxCred&amp;Subs'!$D$12:$D$47)*($F263='TaxCred&amp;Subs'!$C$12:$C$47),0)
),9999),IFERROR(INDEX('TaxCred&amp;Subs'!$N$12:$N$47,MATCH(1,($C263&amp;$D263='TaxCred&amp;Subs'!$D$12:$D$47)*($F263='TaxCred&amp;Subs'!$C$12:$C$47),0)
),0),0)))),0)+IF(AND($C263=2,VALUE(RIGHT($AD263,1))&gt;2),(N263-R263)*(IFERROR(INDEX('TaxCred&amp;Subs'!$J$66:$J$99,MATCH(1,($C263&amp;$D263='TaxCred&amp;Subs'!$E$66:$E$99)*($F263='TaxCred&amp;Subs'!$C$66:$C$99),0)),0)),IF(AND($C263=1,VALUE(RIGHT($AD263,1))&gt;2),(N263-R263)*(IFERROR(INDEX('TaxCred&amp;Subs'!$J$66:$J$99,MATCH(1,($C263&amp;$D263='TaxCred&amp;Subs'!$D$66:$D$99)*($F263='TaxCred&amp;Subs'!$C$66:$C$99),0)),0)),IF($C263&gt;2,(N263-R263)*(IFERROR(INDEX('TaxCred&amp;Subs'!$J$66:$J$99,MATCH(1,($C263&amp;$D263='TaxCred&amp;Subs'!$D$66:$D$99)*($F263='TaxCred&amp;Subs'!$C$66:$C$99),0)),0)),0))),0)</f>
        <v>2252</v>
      </c>
      <c r="Q263" s="95">
        <f t="array" ref="Q263">ROUND(IF(AND($C263=2,VALUE(RIGHT($AD263,1))&gt;2),(O263-S263)*(IFERROR(INDEX('TaxCred&amp;Subs'!$J$66:$J$99,MATCH(1,($C263&amp;$D263='TaxCred&amp;Subs'!$E$66:$E$99)*($F263='TaxCred&amp;Subs'!$C$66:$C$99),0)),0)),IF(AND($C263=1,VALUE(RIGHT($AD263,1))&gt;2),(O263-S263)*(IFERROR(INDEX('TaxCred&amp;Subs'!$J$66:$J$99,MATCH(1,($C263&amp;$D263='TaxCred&amp;Subs'!$D$66:$D$99)*($F263='TaxCred&amp;Subs'!$C$66:$C$99),0)),0)),IF($C263&gt;2,(O263-S263)*(IFERROR(INDEX('TaxCred&amp;Subs'!$J$66:$J$99,MATCH(1,($C263&amp;$D263='TaxCred&amp;Subs'!$D$66:$D$99)*($F263='TaxCred&amp;Subs'!$C$66:$C$99),0)),0)),0))),0)</f>
        <v>1283</v>
      </c>
      <c r="R263" s="95">
        <f t="array" ref="R263">ROUND(IF(IFERROR(VALUE(RIGHT($AD263,1)),0)&gt;2,IF($C263=8,N263*IFERROR(INDEX('TaxCred&amp;Subs'!$K$139:$S$151,MATCH($C263&amp;$D263&amp;LEFT($AD263,7),'TaxCred&amp;Subs'!$E$139:$E$151,0),MATCH($H263,'TaxCred&amp;Subs'!$K$137:$S$137,0)),0),IF($C263=2,N263*IFERROR(INDEX('TaxCred&amp;Subs'!$K$139:$S$151,MATCH($C263&amp;$D263,'TaxCred&amp;Subs'!$D$139:$D$151,0),MATCH($H263,'TaxCred&amp;Subs'!$K$137:$S$137,0)),0),N263*IFERROR(INDEX('TaxCred&amp;Subs'!$K$139:$S$151,MATCH($C263&amp;$D263,'TaxCred&amp;Subs'!$C$139:$C$151,0),MATCH($H263,'TaxCred&amp;Subs'!$K$137:$S$137,0)),0))),0),0)</f>
        <v>837</v>
      </c>
      <c r="S263" s="95">
        <f t="array" ref="S263">ROUND(IF(IFERROR(VALUE(RIGHT($AD263,1)),0)&gt;2,IF($C263=8,O263*IFERROR(INDEX('TaxCred&amp;Subs'!$K$139:$S$151,MATCH($C263&amp;$D263&amp;LEFT($AD263,7),'TaxCred&amp;Subs'!$E$139:$E$151,0),MATCH($H263,'TaxCred&amp;Subs'!$K$137:$S$137,0)),0),IF($C263=2,O263*IFERROR(INDEX('TaxCred&amp;Subs'!$K$139:$S$151,MATCH($C263&amp;$D263,'TaxCred&amp;Subs'!$D$139:$D$151,0),MATCH($H263,'TaxCred&amp;Subs'!$K$137:$S$137,0)),0),O263*IFERROR(INDEX('TaxCred&amp;Subs'!$K$139:$S$151,MATCH($C263&amp;$D263,'TaxCred&amp;Subs'!$C$139:$C$151,0),MATCH($H263,'TaxCred&amp;Subs'!$K$137:$S$137,0)),0))),0),0)</f>
        <v>477</v>
      </c>
      <c r="T263" s="95">
        <f t="shared" si="15"/>
        <v>0</v>
      </c>
      <c r="U263" s="95">
        <f t="shared" si="16"/>
        <v>0</v>
      </c>
      <c r="V263" s="28" t="s">
        <v>222</v>
      </c>
      <c r="W263" s="31">
        <v>2020</v>
      </c>
      <c r="X263" s="28">
        <v>1</v>
      </c>
      <c r="Y263" s="28">
        <v>0</v>
      </c>
      <c r="Z263" s="196">
        <v>-2.1513024844954491E-4</v>
      </c>
      <c r="AA263" s="196">
        <v>-3.3096961299929986E-3</v>
      </c>
      <c r="AB263" s="28">
        <v>0</v>
      </c>
      <c r="AC263" s="28">
        <v>0</v>
      </c>
      <c r="AD263" s="28" t="s">
        <v>336</v>
      </c>
    </row>
    <row r="264" spans="2:30" ht="14.25" customHeight="1" x14ac:dyDescent="0.2">
      <c r="B264" s="7">
        <f t="shared" si="17"/>
        <v>240</v>
      </c>
      <c r="C264" s="28">
        <v>1</v>
      </c>
      <c r="D264" s="28">
        <v>10</v>
      </c>
      <c r="E264" s="31">
        <v>33</v>
      </c>
      <c r="F264" s="78">
        <v>2033</v>
      </c>
      <c r="G264" s="28">
        <v>2033</v>
      </c>
      <c r="H264" s="28">
        <v>7</v>
      </c>
      <c r="I264" s="31">
        <v>33</v>
      </c>
      <c r="J264" s="28">
        <v>0</v>
      </c>
      <c r="K264" s="28">
        <v>0</v>
      </c>
      <c r="L264" s="28">
        <v>0</v>
      </c>
      <c r="M264" s="75">
        <v>3.6</v>
      </c>
      <c r="N264" s="151">
        <v>9500</v>
      </c>
      <c r="O264" s="151">
        <v>5410</v>
      </c>
      <c r="P264" s="95">
        <f t="array" ref="P264">ROUND(IF($F264&lt;='TaxCred&amp;Subs'!$C$49,(IF($C264=2,IF($M264&gt;=IFERROR(INDEX('TaxCred&amp;Subs'!$L$12:$L$47,MATCH(1,($C264&amp;$D264='TaxCred&amp;Subs'!$E$12:$E$47)*($F264='TaxCred&amp;Subs'!$C$12:$C$47),0)
),9999),IFERROR(INDEX('TaxCred&amp;Subs'!$N$12:$N$47,MATCH(1,($C264&amp;$D264='TaxCred&amp;Subs'!$E$12:$E$47)*($F264='TaxCred&amp;Subs'!$C$12:$C$47),0)
),0),0),(IF($M264&gt;=IFERROR(INDEX('TaxCred&amp;Subs'!$H$12:$H$47,MATCH(1,($C264&amp;$D264='TaxCred&amp;Subs'!$D$12:$D$47)*($F264='TaxCred&amp;Subs'!$C$12:$C$47),0)
),9999),IFERROR(INDEX('TaxCred&amp;Subs'!$N$12:$N$47,MATCH(1,($C264&amp;$D264='TaxCred&amp;Subs'!$D$12:$D$47)*($F264='TaxCred&amp;Subs'!$C$12:$C$47),0)
),0),0)))),0)+IF(AND($C264=2,VALUE(RIGHT($AD264,1))&gt;2),(N264-R264)*(IFERROR(INDEX('TaxCred&amp;Subs'!$J$66:$J$99,MATCH(1,($C264&amp;$D264='TaxCred&amp;Subs'!$E$66:$E$99)*($F264='TaxCred&amp;Subs'!$C$66:$C$99),0)),0)),IF(AND($C264=1,VALUE(RIGHT($AD264,1))&gt;2),(N264-R264)*(IFERROR(INDEX('TaxCred&amp;Subs'!$J$66:$J$99,MATCH(1,($C264&amp;$D264='TaxCred&amp;Subs'!$D$66:$D$99)*($F264='TaxCred&amp;Subs'!$C$66:$C$99),0)),0)),IF($C264&gt;2,(N264-R264)*(IFERROR(INDEX('TaxCred&amp;Subs'!$J$66:$J$99,MATCH(1,($C264&amp;$D264='TaxCred&amp;Subs'!$D$66:$D$99)*($F264='TaxCred&amp;Subs'!$C$66:$C$99),0)),0)),0))),0)</f>
        <v>2379</v>
      </c>
      <c r="Q264" s="95">
        <f t="array" ref="Q264">ROUND(IF(AND($C264=2,VALUE(RIGHT($AD264,1))&gt;2),(O264-S264)*(IFERROR(INDEX('TaxCred&amp;Subs'!$J$66:$J$99,MATCH(1,($C264&amp;$D264='TaxCred&amp;Subs'!$E$66:$E$99)*($F264='TaxCred&amp;Subs'!$C$66:$C$99),0)),0)),IF(AND($C264=1,VALUE(RIGHT($AD264,1))&gt;2),(O264-S264)*(IFERROR(INDEX('TaxCred&amp;Subs'!$J$66:$J$99,MATCH(1,($C264&amp;$D264='TaxCred&amp;Subs'!$D$66:$D$99)*($F264='TaxCred&amp;Subs'!$C$66:$C$99),0)),0)),IF($C264&gt;2,(O264-S264)*(IFERROR(INDEX('TaxCred&amp;Subs'!$J$66:$J$99,MATCH(1,($C264&amp;$D264='TaxCred&amp;Subs'!$D$66:$D$99)*($F264='TaxCred&amp;Subs'!$C$66:$C$99),0)),0)),0))),0)</f>
        <v>1355</v>
      </c>
      <c r="R264" s="95">
        <f t="array" ref="R264">ROUND(IF(IFERROR(VALUE(RIGHT($AD264,1)),0)&gt;2,IF($C264=8,N264*IFERROR(INDEX('TaxCred&amp;Subs'!$K$139:$S$151,MATCH($C264&amp;$D264&amp;LEFT($AD264,7),'TaxCred&amp;Subs'!$E$139:$E$151,0),MATCH($H264,'TaxCred&amp;Subs'!$K$137:$S$137,0)),0),IF($C264=2,N264*IFERROR(INDEX('TaxCred&amp;Subs'!$K$139:$S$151,MATCH($C264&amp;$D264,'TaxCred&amp;Subs'!$D$139:$D$151,0),MATCH($H264,'TaxCred&amp;Subs'!$K$137:$S$137,0)),0),N264*IFERROR(INDEX('TaxCred&amp;Subs'!$K$139:$S$151,MATCH($C264&amp;$D264,'TaxCred&amp;Subs'!$C$139:$C$151,0),MATCH($H264,'TaxCred&amp;Subs'!$K$137:$S$137,0)),0))),0),0)</f>
        <v>351</v>
      </c>
      <c r="S264" s="95">
        <f t="array" ref="S264">ROUND(IF(IFERROR(VALUE(RIGHT($AD264,1)),0)&gt;2,IF($C264=8,O264*IFERROR(INDEX('TaxCred&amp;Subs'!$K$139:$S$151,MATCH($C264&amp;$D264&amp;LEFT($AD264,7),'TaxCred&amp;Subs'!$E$139:$E$151,0),MATCH($H264,'TaxCred&amp;Subs'!$K$137:$S$137,0)),0),IF($C264=2,O264*IFERROR(INDEX('TaxCred&amp;Subs'!$K$139:$S$151,MATCH($C264&amp;$D264,'TaxCred&amp;Subs'!$D$139:$D$151,0),MATCH($H264,'TaxCred&amp;Subs'!$K$137:$S$137,0)),0),O264*IFERROR(INDEX('TaxCred&amp;Subs'!$K$139:$S$151,MATCH($C264&amp;$D264,'TaxCred&amp;Subs'!$C$139:$C$151,0),MATCH($H264,'TaxCred&amp;Subs'!$K$137:$S$137,0)),0))),0),0)</f>
        <v>200</v>
      </c>
      <c r="T264" s="95">
        <f t="shared" si="15"/>
        <v>0</v>
      </c>
      <c r="U264" s="95">
        <f t="shared" si="16"/>
        <v>0</v>
      </c>
      <c r="V264" s="28" t="s">
        <v>222</v>
      </c>
      <c r="W264" s="31">
        <v>2020</v>
      </c>
      <c r="X264" s="28">
        <v>1</v>
      </c>
      <c r="Y264" s="28">
        <v>0</v>
      </c>
      <c r="Z264" s="196">
        <v>-2.1513024844954491E-4</v>
      </c>
      <c r="AA264" s="196">
        <v>-3.3096961299929986E-3</v>
      </c>
      <c r="AB264" s="28">
        <v>0</v>
      </c>
      <c r="AC264" s="28">
        <v>0</v>
      </c>
      <c r="AD264" s="28" t="s">
        <v>336</v>
      </c>
    </row>
    <row r="265" spans="2:30" ht="14.25" customHeight="1" x14ac:dyDescent="0.2">
      <c r="B265" s="7">
        <f t="shared" si="17"/>
        <v>241</v>
      </c>
      <c r="C265" s="28">
        <v>1</v>
      </c>
      <c r="D265" s="28">
        <v>10</v>
      </c>
      <c r="E265" s="31">
        <v>33</v>
      </c>
      <c r="F265" s="78">
        <v>2033</v>
      </c>
      <c r="G265" s="28">
        <v>2033</v>
      </c>
      <c r="H265" s="28">
        <v>8</v>
      </c>
      <c r="I265" s="31">
        <v>33</v>
      </c>
      <c r="J265" s="28">
        <v>0</v>
      </c>
      <c r="K265" s="28">
        <v>0</v>
      </c>
      <c r="L265" s="28">
        <v>0</v>
      </c>
      <c r="M265" s="75">
        <v>3.6</v>
      </c>
      <c r="N265" s="151">
        <v>9500</v>
      </c>
      <c r="O265" s="151">
        <v>5410</v>
      </c>
      <c r="P265" s="95">
        <f t="array" ref="P265">ROUND(IF($F265&lt;='TaxCred&amp;Subs'!$C$49,(IF($C265=2,IF($M265&gt;=IFERROR(INDEX('TaxCred&amp;Subs'!$L$12:$L$47,MATCH(1,($C265&amp;$D265='TaxCred&amp;Subs'!$E$12:$E$47)*($F265='TaxCred&amp;Subs'!$C$12:$C$47),0)
),9999),IFERROR(INDEX('TaxCred&amp;Subs'!$N$12:$N$47,MATCH(1,($C265&amp;$D265='TaxCred&amp;Subs'!$E$12:$E$47)*($F265='TaxCred&amp;Subs'!$C$12:$C$47),0)
),0),0),(IF($M265&gt;=IFERROR(INDEX('TaxCred&amp;Subs'!$H$12:$H$47,MATCH(1,($C265&amp;$D265='TaxCred&amp;Subs'!$D$12:$D$47)*($F265='TaxCred&amp;Subs'!$C$12:$C$47),0)
),9999),IFERROR(INDEX('TaxCred&amp;Subs'!$N$12:$N$47,MATCH(1,($C265&amp;$D265='TaxCred&amp;Subs'!$D$12:$D$47)*($F265='TaxCred&amp;Subs'!$C$12:$C$47),0)
),0),0)))),0)+IF(AND($C265=2,VALUE(RIGHT($AD265,1))&gt;2),(N265-R265)*(IFERROR(INDEX('TaxCred&amp;Subs'!$J$66:$J$99,MATCH(1,($C265&amp;$D265='TaxCred&amp;Subs'!$E$66:$E$99)*($F265='TaxCred&amp;Subs'!$C$66:$C$99),0)),0)),IF(AND($C265=1,VALUE(RIGHT($AD265,1))&gt;2),(N265-R265)*(IFERROR(INDEX('TaxCred&amp;Subs'!$J$66:$J$99,MATCH(1,($C265&amp;$D265='TaxCred&amp;Subs'!$D$66:$D$99)*($F265='TaxCred&amp;Subs'!$C$66:$C$99),0)),0)),IF($C265&gt;2,(N265-R265)*(IFERROR(INDEX('TaxCred&amp;Subs'!$J$66:$J$99,MATCH(1,($C265&amp;$D265='TaxCred&amp;Subs'!$D$66:$D$99)*($F265='TaxCred&amp;Subs'!$C$66:$C$99),0)),0)),0))),0)</f>
        <v>2346</v>
      </c>
      <c r="Q265" s="95">
        <f t="array" ref="Q265">ROUND(IF(AND($C265=2,VALUE(RIGHT($AD265,1))&gt;2),(O265-S265)*(IFERROR(INDEX('TaxCred&amp;Subs'!$J$66:$J$99,MATCH(1,($C265&amp;$D265='TaxCred&amp;Subs'!$E$66:$E$99)*($F265='TaxCred&amp;Subs'!$C$66:$C$99),0)),0)),IF(AND($C265=1,VALUE(RIGHT($AD265,1))&gt;2),(O265-S265)*(IFERROR(INDEX('TaxCred&amp;Subs'!$J$66:$J$99,MATCH(1,($C265&amp;$D265='TaxCred&amp;Subs'!$D$66:$D$99)*($F265='TaxCred&amp;Subs'!$C$66:$C$99),0)),0)),IF($C265&gt;2,(O265-S265)*(IFERROR(INDEX('TaxCred&amp;Subs'!$J$66:$J$99,MATCH(1,($C265&amp;$D265='TaxCred&amp;Subs'!$D$66:$D$99)*($F265='TaxCred&amp;Subs'!$C$66:$C$99),0)),0)),0))),0)</f>
        <v>1336</v>
      </c>
      <c r="R265" s="95">
        <f t="array" ref="R265">ROUND(IF(IFERROR(VALUE(RIGHT($AD265,1)),0)&gt;2,IF($C265=8,N265*IFERROR(INDEX('TaxCred&amp;Subs'!$K$139:$S$151,MATCH($C265&amp;$D265&amp;LEFT($AD265,7),'TaxCred&amp;Subs'!$E$139:$E$151,0),MATCH($H265,'TaxCred&amp;Subs'!$K$137:$S$137,0)),0),IF($C265=2,N265*IFERROR(INDEX('TaxCred&amp;Subs'!$K$139:$S$151,MATCH($C265&amp;$D265,'TaxCred&amp;Subs'!$D$139:$D$151,0),MATCH($H265,'TaxCred&amp;Subs'!$K$137:$S$137,0)),0),N265*IFERROR(INDEX('TaxCred&amp;Subs'!$K$139:$S$151,MATCH($C265&amp;$D265,'TaxCred&amp;Subs'!$C$139:$C$151,0),MATCH($H265,'TaxCred&amp;Subs'!$K$137:$S$137,0)),0))),0),0)</f>
        <v>478</v>
      </c>
      <c r="S265" s="95">
        <f t="array" ref="S265">ROUND(IF(IFERROR(VALUE(RIGHT($AD265,1)),0)&gt;2,IF($C265=8,O265*IFERROR(INDEX('TaxCred&amp;Subs'!$K$139:$S$151,MATCH($C265&amp;$D265&amp;LEFT($AD265,7),'TaxCred&amp;Subs'!$E$139:$E$151,0),MATCH($H265,'TaxCred&amp;Subs'!$K$137:$S$137,0)),0),IF($C265=2,O265*IFERROR(INDEX('TaxCred&amp;Subs'!$K$139:$S$151,MATCH($C265&amp;$D265,'TaxCred&amp;Subs'!$D$139:$D$151,0),MATCH($H265,'TaxCred&amp;Subs'!$K$137:$S$137,0)),0),O265*IFERROR(INDEX('TaxCred&amp;Subs'!$K$139:$S$151,MATCH($C265&amp;$D265,'TaxCred&amp;Subs'!$C$139:$C$151,0),MATCH($H265,'TaxCred&amp;Subs'!$K$137:$S$137,0)),0))),0),0)</f>
        <v>272</v>
      </c>
      <c r="T265" s="95">
        <f t="shared" si="15"/>
        <v>0</v>
      </c>
      <c r="U265" s="95">
        <f t="shared" si="16"/>
        <v>0</v>
      </c>
      <c r="V265" s="28" t="s">
        <v>222</v>
      </c>
      <c r="W265" s="31">
        <v>2020</v>
      </c>
      <c r="X265" s="28">
        <v>1</v>
      </c>
      <c r="Y265" s="28">
        <v>0</v>
      </c>
      <c r="Z265" s="196">
        <v>-2.1513024844954491E-4</v>
      </c>
      <c r="AA265" s="196">
        <v>-3.3096961299929986E-3</v>
      </c>
      <c r="AB265" s="28">
        <v>0</v>
      </c>
      <c r="AC265" s="28">
        <v>0</v>
      </c>
      <c r="AD265" s="28" t="s">
        <v>336</v>
      </c>
    </row>
    <row r="266" spans="2:30" ht="14.25" customHeight="1" x14ac:dyDescent="0.2">
      <c r="B266" s="7">
        <f t="shared" si="17"/>
        <v>242</v>
      </c>
      <c r="C266" s="28">
        <v>1</v>
      </c>
      <c r="D266" s="28">
        <v>10</v>
      </c>
      <c r="E266" s="31">
        <v>33</v>
      </c>
      <c r="F266" s="78">
        <v>2033</v>
      </c>
      <c r="G266" s="28">
        <v>2033</v>
      </c>
      <c r="H266" s="28">
        <v>9</v>
      </c>
      <c r="I266" s="31">
        <v>33</v>
      </c>
      <c r="J266" s="28">
        <v>0</v>
      </c>
      <c r="K266" s="28">
        <v>0</v>
      </c>
      <c r="L266" s="28">
        <v>0</v>
      </c>
      <c r="M266" s="75">
        <v>3.6</v>
      </c>
      <c r="N266" s="151">
        <v>9500</v>
      </c>
      <c r="O266" s="151">
        <v>5410</v>
      </c>
      <c r="P266" s="95">
        <f t="array" ref="P266">ROUND(IF($F266&lt;='TaxCred&amp;Subs'!$C$49,(IF($C266=2,IF($M266&gt;=IFERROR(INDEX('TaxCred&amp;Subs'!$L$12:$L$47,MATCH(1,($C266&amp;$D266='TaxCred&amp;Subs'!$E$12:$E$47)*($F266='TaxCred&amp;Subs'!$C$12:$C$47),0)
),9999),IFERROR(INDEX('TaxCred&amp;Subs'!$N$12:$N$47,MATCH(1,($C266&amp;$D266='TaxCred&amp;Subs'!$E$12:$E$47)*($F266='TaxCred&amp;Subs'!$C$12:$C$47),0)
),0),0),(IF($M266&gt;=IFERROR(INDEX('TaxCred&amp;Subs'!$H$12:$H$47,MATCH(1,($C266&amp;$D266='TaxCred&amp;Subs'!$D$12:$D$47)*($F266='TaxCred&amp;Subs'!$C$12:$C$47),0)
),9999),IFERROR(INDEX('TaxCred&amp;Subs'!$N$12:$N$47,MATCH(1,($C266&amp;$D266='TaxCred&amp;Subs'!$D$12:$D$47)*($F266='TaxCred&amp;Subs'!$C$12:$C$47),0)
),0),0)))),0)+IF(AND($C266=2,VALUE(RIGHT($AD266,1))&gt;2),(N266-R266)*(IFERROR(INDEX('TaxCred&amp;Subs'!$J$66:$J$99,MATCH(1,($C266&amp;$D266='TaxCred&amp;Subs'!$E$66:$E$99)*($F266='TaxCred&amp;Subs'!$C$66:$C$99),0)),0)),IF(AND($C266=1,VALUE(RIGHT($AD266,1))&gt;2),(N266-R266)*(IFERROR(INDEX('TaxCred&amp;Subs'!$J$66:$J$99,MATCH(1,($C266&amp;$D266='TaxCred&amp;Subs'!$D$66:$D$99)*($F266='TaxCred&amp;Subs'!$C$66:$C$99),0)),0)),IF($C266&gt;2,(N266-R266)*(IFERROR(INDEX('TaxCred&amp;Subs'!$J$66:$J$99,MATCH(1,($C266&amp;$D266='TaxCred&amp;Subs'!$D$66:$D$99)*($F266='TaxCred&amp;Subs'!$C$66:$C$99),0)),0)),0))),0)</f>
        <v>2409</v>
      </c>
      <c r="Q266" s="95">
        <f t="array" ref="Q266">ROUND(IF(AND($C266=2,VALUE(RIGHT($AD266,1))&gt;2),(O266-S266)*(IFERROR(INDEX('TaxCred&amp;Subs'!$J$66:$J$99,MATCH(1,($C266&amp;$D266='TaxCred&amp;Subs'!$E$66:$E$99)*($F266='TaxCred&amp;Subs'!$C$66:$C$99),0)),0)),IF(AND($C266=1,VALUE(RIGHT($AD266,1))&gt;2),(O266-S266)*(IFERROR(INDEX('TaxCred&amp;Subs'!$J$66:$J$99,MATCH(1,($C266&amp;$D266='TaxCred&amp;Subs'!$D$66:$D$99)*($F266='TaxCred&amp;Subs'!$C$66:$C$99),0)),0)),IF($C266&gt;2,(O266-S266)*(IFERROR(INDEX('TaxCred&amp;Subs'!$J$66:$J$99,MATCH(1,($C266&amp;$D266='TaxCred&amp;Subs'!$D$66:$D$99)*($F266='TaxCred&amp;Subs'!$C$66:$C$99),0)),0)),0))),0)</f>
        <v>1372</v>
      </c>
      <c r="R266" s="95">
        <f t="array" ref="R266">ROUND(IF(IFERROR(VALUE(RIGHT($AD266,1)),0)&gt;2,IF($C266=8,N266*IFERROR(INDEX('TaxCred&amp;Subs'!$K$139:$S$151,MATCH($C266&amp;$D266&amp;LEFT($AD266,7),'TaxCred&amp;Subs'!$E$139:$E$151,0),MATCH($H266,'TaxCred&amp;Subs'!$K$137:$S$137,0)),0),IF($C266=2,N266*IFERROR(INDEX('TaxCred&amp;Subs'!$K$139:$S$151,MATCH($C266&amp;$D266,'TaxCred&amp;Subs'!$D$139:$D$151,0),MATCH($H266,'TaxCred&amp;Subs'!$K$137:$S$137,0)),0),N266*IFERROR(INDEX('TaxCred&amp;Subs'!$K$139:$S$151,MATCH($C266&amp;$D266,'TaxCred&amp;Subs'!$C$139:$C$151,0),MATCH($H266,'TaxCred&amp;Subs'!$K$137:$S$137,0)),0))),0),0)</f>
        <v>233</v>
      </c>
      <c r="S266" s="95">
        <f t="array" ref="S266">ROUND(IF(IFERROR(VALUE(RIGHT($AD266,1)),0)&gt;2,IF($C266=8,O266*IFERROR(INDEX('TaxCred&amp;Subs'!$K$139:$S$151,MATCH($C266&amp;$D266&amp;LEFT($AD266,7),'TaxCred&amp;Subs'!$E$139:$E$151,0),MATCH($H266,'TaxCred&amp;Subs'!$K$137:$S$137,0)),0),IF($C266=2,O266*IFERROR(INDEX('TaxCred&amp;Subs'!$K$139:$S$151,MATCH($C266&amp;$D266,'TaxCred&amp;Subs'!$D$139:$D$151,0),MATCH($H266,'TaxCred&amp;Subs'!$K$137:$S$137,0)),0),O266*IFERROR(INDEX('TaxCred&amp;Subs'!$K$139:$S$151,MATCH($C266&amp;$D266,'TaxCred&amp;Subs'!$C$139:$C$151,0),MATCH($H266,'TaxCred&amp;Subs'!$K$137:$S$137,0)),0))),0),0)</f>
        <v>133</v>
      </c>
      <c r="T266" s="172">
        <f t="shared" si="15"/>
        <v>1063.6499999999999</v>
      </c>
      <c r="U266" s="172">
        <f t="shared" si="16"/>
        <v>605.69999999999993</v>
      </c>
      <c r="V266" s="28" t="s">
        <v>222</v>
      </c>
      <c r="W266" s="31">
        <v>2020</v>
      </c>
      <c r="X266" s="28">
        <v>1</v>
      </c>
      <c r="Y266" s="28">
        <v>0</v>
      </c>
      <c r="Z266" s="196">
        <v>-2.1513024844954491E-4</v>
      </c>
      <c r="AA266" s="196">
        <v>-3.3096961299929986E-3</v>
      </c>
      <c r="AB266" s="28">
        <v>0</v>
      </c>
      <c r="AC266" s="28">
        <v>0</v>
      </c>
      <c r="AD266" s="28" t="s">
        <v>336</v>
      </c>
    </row>
    <row r="267" spans="2:30" ht="14.25" customHeight="1" x14ac:dyDescent="0.2">
      <c r="B267" s="7">
        <f t="shared" si="17"/>
        <v>243</v>
      </c>
      <c r="C267" s="28">
        <v>1</v>
      </c>
      <c r="D267" s="28">
        <v>10</v>
      </c>
      <c r="E267" s="31">
        <v>33</v>
      </c>
      <c r="F267" s="78">
        <v>2034</v>
      </c>
      <c r="G267" s="28">
        <v>2034</v>
      </c>
      <c r="H267" s="28">
        <v>1</v>
      </c>
      <c r="I267" s="31">
        <v>33</v>
      </c>
      <c r="J267" s="28">
        <v>0</v>
      </c>
      <c r="K267" s="28">
        <v>0</v>
      </c>
      <c r="L267" s="28">
        <v>0</v>
      </c>
      <c r="M267" s="75">
        <v>3.6</v>
      </c>
      <c r="N267" s="151">
        <v>9500</v>
      </c>
      <c r="O267" s="151">
        <v>5410</v>
      </c>
      <c r="P267" s="95">
        <f t="array" ref="P267">ROUND(IF($F267&lt;='TaxCred&amp;Subs'!$C$49,(IF($C267=2,IF($M267&gt;=IFERROR(INDEX('TaxCred&amp;Subs'!$L$12:$L$47,MATCH(1,($C267&amp;$D267='TaxCred&amp;Subs'!$E$12:$E$47)*($F267='TaxCred&amp;Subs'!$C$12:$C$47),0)
),9999),IFERROR(INDEX('TaxCred&amp;Subs'!$N$12:$N$47,MATCH(1,($C267&amp;$D267='TaxCred&amp;Subs'!$E$12:$E$47)*($F267='TaxCred&amp;Subs'!$C$12:$C$47),0)
),0),0),(IF($M267&gt;=IFERROR(INDEX('TaxCred&amp;Subs'!$H$12:$H$47,MATCH(1,($C267&amp;$D267='TaxCred&amp;Subs'!$D$12:$D$47)*($F267='TaxCred&amp;Subs'!$C$12:$C$47),0)
),9999),IFERROR(INDEX('TaxCred&amp;Subs'!$N$12:$N$47,MATCH(1,($C267&amp;$D267='TaxCred&amp;Subs'!$D$12:$D$47)*($F267='TaxCred&amp;Subs'!$C$12:$C$47),0)
),0),0)))),0)+IF(AND($C267=2,VALUE(RIGHT($AD267,1))&gt;2),(N267-R267)*(IFERROR(INDEX('TaxCred&amp;Subs'!$J$66:$J$99,MATCH(1,($C267&amp;$D267='TaxCred&amp;Subs'!$E$66:$E$99)*($F267='TaxCred&amp;Subs'!$C$66:$C$99),0)),0)),IF(AND($C267=1,VALUE(RIGHT($AD267,1))&gt;2),(N267-R267)*(IFERROR(INDEX('TaxCred&amp;Subs'!$J$66:$J$99,MATCH(1,($C267&amp;$D267='TaxCred&amp;Subs'!$D$66:$D$99)*($F267='TaxCred&amp;Subs'!$C$66:$C$99),0)),0)),IF($C267&gt;2,(N267-R267)*(IFERROR(INDEX('TaxCred&amp;Subs'!$J$66:$J$99,MATCH(1,($C267&amp;$D267='TaxCred&amp;Subs'!$D$66:$D$99)*($F267='TaxCred&amp;Subs'!$C$66:$C$99),0)),0)),0))),0)</f>
        <v>1572</v>
      </c>
      <c r="Q267" s="95">
        <f t="array" ref="Q267">ROUND(IF(AND($C267=2,VALUE(RIGHT($AD267,1))&gt;2),(O267-S267)*(IFERROR(INDEX('TaxCred&amp;Subs'!$J$66:$J$99,MATCH(1,($C267&amp;$D267='TaxCred&amp;Subs'!$E$66:$E$99)*($F267='TaxCred&amp;Subs'!$C$66:$C$99),0)),0)),IF(AND($C267=1,VALUE(RIGHT($AD267,1))&gt;2),(O267-S267)*(IFERROR(INDEX('TaxCred&amp;Subs'!$J$66:$J$99,MATCH(1,($C267&amp;$D267='TaxCred&amp;Subs'!$D$66:$D$99)*($F267='TaxCred&amp;Subs'!$C$66:$C$99),0)),0)),IF($C267&gt;2,(O267-S267)*(IFERROR(INDEX('TaxCred&amp;Subs'!$J$66:$J$99,MATCH(1,($C267&amp;$D267='TaxCred&amp;Subs'!$D$66:$D$99)*($F267='TaxCred&amp;Subs'!$C$66:$C$99),0)),0)),0))),0)</f>
        <v>895</v>
      </c>
      <c r="R267" s="95">
        <f t="array" ref="R267">ROUND(IF(IFERROR(VALUE(RIGHT($AD267,1)),0)&gt;2,IF($C267=8,N267*IFERROR(INDEX('TaxCred&amp;Subs'!$K$139:$S$151,MATCH($C267&amp;$D267&amp;LEFT($AD267,7),'TaxCred&amp;Subs'!$E$139:$E$151,0),MATCH($H267,'TaxCred&amp;Subs'!$K$137:$S$137,0)),0),IF($C267=2,N267*IFERROR(INDEX('TaxCred&amp;Subs'!$K$139:$S$151,MATCH($C267&amp;$D267,'TaxCred&amp;Subs'!$D$139:$D$151,0),MATCH($H267,'TaxCred&amp;Subs'!$K$137:$S$137,0)),0),N267*IFERROR(INDEX('TaxCred&amp;Subs'!$K$139:$S$151,MATCH($C267&amp;$D267,'TaxCred&amp;Subs'!$C$139:$C$151,0),MATCH($H267,'TaxCred&amp;Subs'!$K$137:$S$137,0)),0))),0),0)</f>
        <v>2355</v>
      </c>
      <c r="S267" s="95">
        <f t="array" ref="S267">ROUND(IF(IFERROR(VALUE(RIGHT($AD267,1)),0)&gt;2,IF($C267=8,O267*IFERROR(INDEX('TaxCred&amp;Subs'!$K$139:$S$151,MATCH($C267&amp;$D267&amp;LEFT($AD267,7),'TaxCred&amp;Subs'!$E$139:$E$151,0),MATCH($H267,'TaxCred&amp;Subs'!$K$137:$S$137,0)),0),IF($C267=2,O267*IFERROR(INDEX('TaxCred&amp;Subs'!$K$139:$S$151,MATCH($C267&amp;$D267,'TaxCred&amp;Subs'!$D$139:$D$151,0),MATCH($H267,'TaxCred&amp;Subs'!$K$137:$S$137,0)),0),O267*IFERROR(INDEX('TaxCred&amp;Subs'!$K$139:$S$151,MATCH($C267&amp;$D267,'TaxCred&amp;Subs'!$C$139:$C$151,0),MATCH($H267,'TaxCred&amp;Subs'!$K$137:$S$137,0)),0))),0),0)</f>
        <v>1341</v>
      </c>
      <c r="T267" s="95">
        <f t="shared" si="15"/>
        <v>0</v>
      </c>
      <c r="U267" s="95">
        <f t="shared" si="16"/>
        <v>0</v>
      </c>
      <c r="V267" s="28" t="s">
        <v>222</v>
      </c>
      <c r="W267" s="31">
        <v>2020</v>
      </c>
      <c r="X267" s="28">
        <v>1</v>
      </c>
      <c r="Y267" s="28">
        <v>0</v>
      </c>
      <c r="Z267" s="196">
        <v>-2.1513024844954491E-4</v>
      </c>
      <c r="AA267" s="196">
        <v>-3.3096961299929986E-3</v>
      </c>
      <c r="AB267" s="28">
        <v>0</v>
      </c>
      <c r="AC267" s="28">
        <v>0</v>
      </c>
      <c r="AD267" s="28" t="s">
        <v>336</v>
      </c>
    </row>
    <row r="268" spans="2:30" ht="14.25" customHeight="1" x14ac:dyDescent="0.2">
      <c r="B268" s="7">
        <f t="shared" si="17"/>
        <v>244</v>
      </c>
      <c r="C268" s="28">
        <v>1</v>
      </c>
      <c r="D268" s="28">
        <v>10</v>
      </c>
      <c r="E268" s="31">
        <v>33</v>
      </c>
      <c r="F268" s="78">
        <v>2034</v>
      </c>
      <c r="G268" s="28">
        <v>2034</v>
      </c>
      <c r="H268" s="28">
        <v>2</v>
      </c>
      <c r="I268" s="31">
        <v>33</v>
      </c>
      <c r="J268" s="28">
        <v>0</v>
      </c>
      <c r="K268" s="28">
        <v>0</v>
      </c>
      <c r="L268" s="28">
        <v>0</v>
      </c>
      <c r="M268" s="75">
        <v>3.6</v>
      </c>
      <c r="N268" s="151">
        <v>9500</v>
      </c>
      <c r="O268" s="151">
        <v>5410</v>
      </c>
      <c r="P268" s="95">
        <f t="array" ref="P268">ROUND(IF($F268&lt;='TaxCred&amp;Subs'!$C$49,(IF($C268=2,IF($M268&gt;=IFERROR(INDEX('TaxCred&amp;Subs'!$L$12:$L$47,MATCH(1,($C268&amp;$D268='TaxCred&amp;Subs'!$E$12:$E$47)*($F268='TaxCred&amp;Subs'!$C$12:$C$47),0)
),9999),IFERROR(INDEX('TaxCred&amp;Subs'!$N$12:$N$47,MATCH(1,($C268&amp;$D268='TaxCred&amp;Subs'!$E$12:$E$47)*($F268='TaxCred&amp;Subs'!$C$12:$C$47),0)
),0),0),(IF($M268&gt;=IFERROR(INDEX('TaxCred&amp;Subs'!$H$12:$H$47,MATCH(1,($C268&amp;$D268='TaxCred&amp;Subs'!$D$12:$D$47)*($F268='TaxCred&amp;Subs'!$C$12:$C$47),0)
),9999),IFERROR(INDEX('TaxCred&amp;Subs'!$N$12:$N$47,MATCH(1,($C268&amp;$D268='TaxCred&amp;Subs'!$D$12:$D$47)*($F268='TaxCred&amp;Subs'!$C$12:$C$47),0)
),0),0)))),0)+IF(AND($C268=2,VALUE(RIGHT($AD268,1))&gt;2),(N268-R268)*(IFERROR(INDEX('TaxCred&amp;Subs'!$J$66:$J$99,MATCH(1,($C268&amp;$D268='TaxCred&amp;Subs'!$E$66:$E$99)*($F268='TaxCred&amp;Subs'!$C$66:$C$99),0)),0)),IF(AND($C268=1,VALUE(RIGHT($AD268,1))&gt;2),(N268-R268)*(IFERROR(INDEX('TaxCred&amp;Subs'!$J$66:$J$99,MATCH(1,($C268&amp;$D268='TaxCred&amp;Subs'!$D$66:$D$99)*($F268='TaxCred&amp;Subs'!$C$66:$C$99),0)),0)),IF($C268&gt;2,(N268-R268)*(IFERROR(INDEX('TaxCred&amp;Subs'!$J$66:$J$99,MATCH(1,($C268&amp;$D268='TaxCred&amp;Subs'!$D$66:$D$99)*($F268='TaxCred&amp;Subs'!$C$66:$C$99),0)),0)),0))),0)</f>
        <v>1876</v>
      </c>
      <c r="Q268" s="95">
        <f t="array" ref="Q268">ROUND(IF(AND($C268=2,VALUE(RIGHT($AD268,1))&gt;2),(O268-S268)*(IFERROR(INDEX('TaxCred&amp;Subs'!$J$66:$J$99,MATCH(1,($C268&amp;$D268='TaxCred&amp;Subs'!$E$66:$E$99)*($F268='TaxCred&amp;Subs'!$C$66:$C$99),0)),0)),IF(AND($C268=1,VALUE(RIGHT($AD268,1))&gt;2),(O268-S268)*(IFERROR(INDEX('TaxCred&amp;Subs'!$J$66:$J$99,MATCH(1,($C268&amp;$D268='TaxCred&amp;Subs'!$D$66:$D$99)*($F268='TaxCred&amp;Subs'!$C$66:$C$99),0)),0)),IF($C268&gt;2,(O268-S268)*(IFERROR(INDEX('TaxCred&amp;Subs'!$J$66:$J$99,MATCH(1,($C268&amp;$D268='TaxCred&amp;Subs'!$D$66:$D$99)*($F268='TaxCred&amp;Subs'!$C$66:$C$99),0)),0)),0))),0)</f>
        <v>1069</v>
      </c>
      <c r="R268" s="95">
        <f t="array" ref="R268">ROUND(IF(IFERROR(VALUE(RIGHT($AD268,1)),0)&gt;2,IF($C268=8,N268*IFERROR(INDEX('TaxCred&amp;Subs'!$K$139:$S$151,MATCH($C268&amp;$D268&amp;LEFT($AD268,7),'TaxCred&amp;Subs'!$E$139:$E$151,0),MATCH($H268,'TaxCred&amp;Subs'!$K$137:$S$137,0)),0),IF($C268=2,N268*IFERROR(INDEX('TaxCred&amp;Subs'!$K$139:$S$151,MATCH($C268&amp;$D268,'TaxCred&amp;Subs'!$D$139:$D$151,0),MATCH($H268,'TaxCred&amp;Subs'!$K$137:$S$137,0)),0),N268*IFERROR(INDEX('TaxCred&amp;Subs'!$K$139:$S$151,MATCH($C268&amp;$D268,'TaxCred&amp;Subs'!$C$139:$C$151,0),MATCH($H268,'TaxCred&amp;Subs'!$K$137:$S$137,0)),0))),0),0)</f>
        <v>972</v>
      </c>
      <c r="S268" s="95">
        <f t="array" ref="S268">ROUND(IF(IFERROR(VALUE(RIGHT($AD268,1)),0)&gt;2,IF($C268=8,O268*IFERROR(INDEX('TaxCred&amp;Subs'!$K$139:$S$151,MATCH($C268&amp;$D268&amp;LEFT($AD268,7),'TaxCred&amp;Subs'!$E$139:$E$151,0),MATCH($H268,'TaxCred&amp;Subs'!$K$137:$S$137,0)),0),IF($C268=2,O268*IFERROR(INDEX('TaxCred&amp;Subs'!$K$139:$S$151,MATCH($C268&amp;$D268,'TaxCred&amp;Subs'!$D$139:$D$151,0),MATCH($H268,'TaxCred&amp;Subs'!$K$137:$S$137,0)),0),O268*IFERROR(INDEX('TaxCred&amp;Subs'!$K$139:$S$151,MATCH($C268&amp;$D268,'TaxCred&amp;Subs'!$C$139:$C$151,0),MATCH($H268,'TaxCred&amp;Subs'!$K$137:$S$137,0)),0))),0),0)</f>
        <v>553</v>
      </c>
      <c r="T268" s="95">
        <f t="shared" si="15"/>
        <v>0</v>
      </c>
      <c r="U268" s="95">
        <f t="shared" si="16"/>
        <v>0</v>
      </c>
      <c r="V268" s="28" t="s">
        <v>222</v>
      </c>
      <c r="W268" s="31">
        <v>2020</v>
      </c>
      <c r="X268" s="28">
        <v>1</v>
      </c>
      <c r="Y268" s="28">
        <v>0</v>
      </c>
      <c r="Z268" s="196">
        <v>-2.1513024844954491E-4</v>
      </c>
      <c r="AA268" s="196">
        <v>-3.3096961299929986E-3</v>
      </c>
      <c r="AB268" s="28">
        <v>0</v>
      </c>
      <c r="AC268" s="28">
        <v>0</v>
      </c>
      <c r="AD268" s="28" t="s">
        <v>336</v>
      </c>
    </row>
    <row r="269" spans="2:30" ht="14.25" customHeight="1" x14ac:dyDescent="0.2">
      <c r="B269" s="7">
        <f t="shared" si="17"/>
        <v>245</v>
      </c>
      <c r="C269" s="28">
        <v>1</v>
      </c>
      <c r="D269" s="28">
        <v>10</v>
      </c>
      <c r="E269" s="31">
        <v>33</v>
      </c>
      <c r="F269" s="78">
        <v>2034</v>
      </c>
      <c r="G269" s="28">
        <v>2034</v>
      </c>
      <c r="H269" s="28">
        <v>3</v>
      </c>
      <c r="I269" s="31">
        <v>33</v>
      </c>
      <c r="J269" s="28">
        <v>0</v>
      </c>
      <c r="K269" s="28">
        <v>0</v>
      </c>
      <c r="L269" s="28">
        <v>0</v>
      </c>
      <c r="M269" s="75">
        <v>3.6</v>
      </c>
      <c r="N269" s="151">
        <v>9500</v>
      </c>
      <c r="O269" s="151">
        <v>5410</v>
      </c>
      <c r="P269" s="95">
        <f t="array" ref="P269">ROUND(IF($F269&lt;='TaxCred&amp;Subs'!$C$49,(IF($C269=2,IF($M269&gt;=IFERROR(INDEX('TaxCred&amp;Subs'!$L$12:$L$47,MATCH(1,($C269&amp;$D269='TaxCred&amp;Subs'!$E$12:$E$47)*($F269='TaxCred&amp;Subs'!$C$12:$C$47),0)
),9999),IFERROR(INDEX('TaxCred&amp;Subs'!$N$12:$N$47,MATCH(1,($C269&amp;$D269='TaxCred&amp;Subs'!$E$12:$E$47)*($F269='TaxCred&amp;Subs'!$C$12:$C$47),0)
),0),0),(IF($M269&gt;=IFERROR(INDEX('TaxCred&amp;Subs'!$H$12:$H$47,MATCH(1,($C269&amp;$D269='TaxCred&amp;Subs'!$D$12:$D$47)*($F269='TaxCred&amp;Subs'!$C$12:$C$47),0)
),9999),IFERROR(INDEX('TaxCred&amp;Subs'!$N$12:$N$47,MATCH(1,($C269&amp;$D269='TaxCred&amp;Subs'!$D$12:$D$47)*($F269='TaxCred&amp;Subs'!$C$12:$C$47),0)
),0),0)))),0)+IF(AND($C269=2,VALUE(RIGHT($AD269,1))&gt;2),(N269-R269)*(IFERROR(INDEX('TaxCred&amp;Subs'!$J$66:$J$99,MATCH(1,($C269&amp;$D269='TaxCred&amp;Subs'!$E$66:$E$99)*($F269='TaxCred&amp;Subs'!$C$66:$C$99),0)),0)),IF(AND($C269=1,VALUE(RIGHT($AD269,1))&gt;2),(N269-R269)*(IFERROR(INDEX('TaxCred&amp;Subs'!$J$66:$J$99,MATCH(1,($C269&amp;$D269='TaxCred&amp;Subs'!$D$66:$D$99)*($F269='TaxCred&amp;Subs'!$C$66:$C$99),0)),0)),IF($C269&gt;2,(N269-R269)*(IFERROR(INDEX('TaxCred&amp;Subs'!$J$66:$J$99,MATCH(1,($C269&amp;$D269='TaxCred&amp;Subs'!$D$66:$D$99)*($F269='TaxCred&amp;Subs'!$C$66:$C$99),0)),0)),0))),0)</f>
        <v>1922</v>
      </c>
      <c r="Q269" s="95">
        <f t="array" ref="Q269">ROUND(IF(AND($C269=2,VALUE(RIGHT($AD269,1))&gt;2),(O269-S269)*(IFERROR(INDEX('TaxCred&amp;Subs'!$J$66:$J$99,MATCH(1,($C269&amp;$D269='TaxCred&amp;Subs'!$E$66:$E$99)*($F269='TaxCred&amp;Subs'!$C$66:$C$99),0)),0)),IF(AND($C269=1,VALUE(RIGHT($AD269,1))&gt;2),(O269-S269)*(IFERROR(INDEX('TaxCred&amp;Subs'!$J$66:$J$99,MATCH(1,($C269&amp;$D269='TaxCred&amp;Subs'!$D$66:$D$99)*($F269='TaxCred&amp;Subs'!$C$66:$C$99),0)),0)),IF($C269&gt;2,(O269-S269)*(IFERROR(INDEX('TaxCred&amp;Subs'!$J$66:$J$99,MATCH(1,($C269&amp;$D269='TaxCred&amp;Subs'!$D$66:$D$99)*($F269='TaxCred&amp;Subs'!$C$66:$C$99),0)),0)),0))),0)</f>
        <v>1094</v>
      </c>
      <c r="R269" s="95">
        <f t="array" ref="R269">ROUND(IF(IFERROR(VALUE(RIGHT($AD269,1)),0)&gt;2,IF($C269=8,N269*IFERROR(INDEX('TaxCred&amp;Subs'!$K$139:$S$151,MATCH($C269&amp;$D269&amp;LEFT($AD269,7),'TaxCred&amp;Subs'!$E$139:$E$151,0),MATCH($H269,'TaxCred&amp;Subs'!$K$137:$S$137,0)),0),IF($C269=2,N269*IFERROR(INDEX('TaxCred&amp;Subs'!$K$139:$S$151,MATCH($C269&amp;$D269,'TaxCred&amp;Subs'!$D$139:$D$151,0),MATCH($H269,'TaxCred&amp;Subs'!$K$137:$S$137,0)),0),N269*IFERROR(INDEX('TaxCred&amp;Subs'!$K$139:$S$151,MATCH($C269&amp;$D269,'TaxCred&amp;Subs'!$C$139:$C$151,0),MATCH($H269,'TaxCred&amp;Subs'!$K$137:$S$137,0)),0))),0),0)</f>
        <v>765</v>
      </c>
      <c r="S269" s="95">
        <f t="array" ref="S269">ROUND(IF(IFERROR(VALUE(RIGHT($AD269,1)),0)&gt;2,IF($C269=8,O269*IFERROR(INDEX('TaxCred&amp;Subs'!$K$139:$S$151,MATCH($C269&amp;$D269&amp;LEFT($AD269,7),'TaxCred&amp;Subs'!$E$139:$E$151,0),MATCH($H269,'TaxCred&amp;Subs'!$K$137:$S$137,0)),0),IF($C269=2,O269*IFERROR(INDEX('TaxCred&amp;Subs'!$K$139:$S$151,MATCH($C269&amp;$D269,'TaxCred&amp;Subs'!$D$139:$D$151,0),MATCH($H269,'TaxCred&amp;Subs'!$K$137:$S$137,0)),0),O269*IFERROR(INDEX('TaxCred&amp;Subs'!$K$139:$S$151,MATCH($C269&amp;$D269,'TaxCred&amp;Subs'!$C$139:$C$151,0),MATCH($H269,'TaxCred&amp;Subs'!$K$137:$S$137,0)),0))),0),0)</f>
        <v>436</v>
      </c>
      <c r="T269" s="95">
        <f t="shared" si="15"/>
        <v>0</v>
      </c>
      <c r="U269" s="95">
        <f t="shared" si="16"/>
        <v>0</v>
      </c>
      <c r="V269" s="28" t="s">
        <v>222</v>
      </c>
      <c r="W269" s="31">
        <v>2020</v>
      </c>
      <c r="X269" s="28">
        <v>1</v>
      </c>
      <c r="Y269" s="28">
        <v>0</v>
      </c>
      <c r="Z269" s="196">
        <v>-2.1513024844954491E-4</v>
      </c>
      <c r="AA269" s="196">
        <v>-3.3096961299929986E-3</v>
      </c>
      <c r="AB269" s="28">
        <v>0</v>
      </c>
      <c r="AC269" s="28">
        <v>0</v>
      </c>
      <c r="AD269" s="28" t="s">
        <v>336</v>
      </c>
    </row>
    <row r="270" spans="2:30" ht="14.25" customHeight="1" x14ac:dyDescent="0.2">
      <c r="B270" s="7">
        <f t="shared" si="17"/>
        <v>246</v>
      </c>
      <c r="C270" s="28">
        <v>1</v>
      </c>
      <c r="D270" s="28">
        <v>10</v>
      </c>
      <c r="E270" s="31">
        <v>33</v>
      </c>
      <c r="F270" s="78">
        <v>2034</v>
      </c>
      <c r="G270" s="28">
        <v>2034</v>
      </c>
      <c r="H270" s="28">
        <v>4</v>
      </c>
      <c r="I270" s="31">
        <v>33</v>
      </c>
      <c r="J270" s="28">
        <v>0</v>
      </c>
      <c r="K270" s="28">
        <v>0</v>
      </c>
      <c r="L270" s="28">
        <v>0</v>
      </c>
      <c r="M270" s="75">
        <v>3.6</v>
      </c>
      <c r="N270" s="151">
        <v>9500</v>
      </c>
      <c r="O270" s="151">
        <v>5410</v>
      </c>
      <c r="P270" s="95">
        <f t="array" ref="P270">ROUND(IF($F270&lt;='TaxCred&amp;Subs'!$C$49,(IF($C270=2,IF($M270&gt;=IFERROR(INDEX('TaxCred&amp;Subs'!$L$12:$L$47,MATCH(1,($C270&amp;$D270='TaxCred&amp;Subs'!$E$12:$E$47)*($F270='TaxCred&amp;Subs'!$C$12:$C$47),0)
),9999),IFERROR(INDEX('TaxCred&amp;Subs'!$N$12:$N$47,MATCH(1,($C270&amp;$D270='TaxCred&amp;Subs'!$E$12:$E$47)*($F270='TaxCred&amp;Subs'!$C$12:$C$47),0)
),0),0),(IF($M270&gt;=IFERROR(INDEX('TaxCred&amp;Subs'!$H$12:$H$47,MATCH(1,($C270&amp;$D270='TaxCred&amp;Subs'!$D$12:$D$47)*($F270='TaxCred&amp;Subs'!$C$12:$C$47),0)
),9999),IFERROR(INDEX('TaxCred&amp;Subs'!$N$12:$N$47,MATCH(1,($C270&amp;$D270='TaxCred&amp;Subs'!$D$12:$D$47)*($F270='TaxCred&amp;Subs'!$C$12:$C$47),0)
),0),0)))),0)+IF(AND($C270=2,VALUE(RIGHT($AD270,1))&gt;2),(N270-R270)*(IFERROR(INDEX('TaxCred&amp;Subs'!$J$66:$J$99,MATCH(1,($C270&amp;$D270='TaxCred&amp;Subs'!$E$66:$E$99)*($F270='TaxCred&amp;Subs'!$C$66:$C$99),0)),0)),IF(AND($C270=1,VALUE(RIGHT($AD270,1))&gt;2),(N270-R270)*(IFERROR(INDEX('TaxCred&amp;Subs'!$J$66:$J$99,MATCH(1,($C270&amp;$D270='TaxCred&amp;Subs'!$D$66:$D$99)*($F270='TaxCred&amp;Subs'!$C$66:$C$99),0)),0)),IF($C270&gt;2,(N270-R270)*(IFERROR(INDEX('TaxCred&amp;Subs'!$J$66:$J$99,MATCH(1,($C270&amp;$D270='TaxCred&amp;Subs'!$D$66:$D$99)*($F270='TaxCred&amp;Subs'!$C$66:$C$99),0)),0)),0))),0)</f>
        <v>1955</v>
      </c>
      <c r="Q270" s="95">
        <f t="array" ref="Q270">ROUND(IF(AND($C270=2,VALUE(RIGHT($AD270,1))&gt;2),(O270-S270)*(IFERROR(INDEX('TaxCred&amp;Subs'!$J$66:$J$99,MATCH(1,($C270&amp;$D270='TaxCred&amp;Subs'!$E$66:$E$99)*($F270='TaxCred&amp;Subs'!$C$66:$C$99),0)),0)),IF(AND($C270=1,VALUE(RIGHT($AD270,1))&gt;2),(O270-S270)*(IFERROR(INDEX('TaxCred&amp;Subs'!$J$66:$J$99,MATCH(1,($C270&amp;$D270='TaxCred&amp;Subs'!$D$66:$D$99)*($F270='TaxCred&amp;Subs'!$C$66:$C$99),0)),0)),IF($C270&gt;2,(O270-S270)*(IFERROR(INDEX('TaxCred&amp;Subs'!$J$66:$J$99,MATCH(1,($C270&amp;$D270='TaxCred&amp;Subs'!$D$66:$D$99)*($F270='TaxCred&amp;Subs'!$C$66:$C$99),0)),0)),0))),0)</f>
        <v>1113</v>
      </c>
      <c r="R270" s="95">
        <f t="array" ref="R270">ROUND(IF(IFERROR(VALUE(RIGHT($AD270,1)),0)&gt;2,IF($C270=8,N270*IFERROR(INDEX('TaxCred&amp;Subs'!$K$139:$S$151,MATCH($C270&amp;$D270&amp;LEFT($AD270,7),'TaxCred&amp;Subs'!$E$139:$E$151,0),MATCH($H270,'TaxCred&amp;Subs'!$K$137:$S$137,0)),0),IF($C270=2,N270*IFERROR(INDEX('TaxCred&amp;Subs'!$K$139:$S$151,MATCH($C270&amp;$D270,'TaxCred&amp;Subs'!$D$139:$D$151,0),MATCH($H270,'TaxCred&amp;Subs'!$K$137:$S$137,0)),0),N270*IFERROR(INDEX('TaxCred&amp;Subs'!$K$139:$S$151,MATCH($C270&amp;$D270,'TaxCred&amp;Subs'!$C$139:$C$151,0),MATCH($H270,'TaxCred&amp;Subs'!$K$137:$S$137,0)),0))),0),0)</f>
        <v>612</v>
      </c>
      <c r="S270" s="95">
        <f t="array" ref="S270">ROUND(IF(IFERROR(VALUE(RIGHT($AD270,1)),0)&gt;2,IF($C270=8,O270*IFERROR(INDEX('TaxCred&amp;Subs'!$K$139:$S$151,MATCH($C270&amp;$D270&amp;LEFT($AD270,7),'TaxCred&amp;Subs'!$E$139:$E$151,0),MATCH($H270,'TaxCred&amp;Subs'!$K$137:$S$137,0)),0),IF($C270=2,O270*IFERROR(INDEX('TaxCred&amp;Subs'!$K$139:$S$151,MATCH($C270&amp;$D270,'TaxCred&amp;Subs'!$D$139:$D$151,0),MATCH($H270,'TaxCred&amp;Subs'!$K$137:$S$137,0)),0),O270*IFERROR(INDEX('TaxCred&amp;Subs'!$K$139:$S$151,MATCH($C270&amp;$D270,'TaxCred&amp;Subs'!$C$139:$C$151,0),MATCH($H270,'TaxCred&amp;Subs'!$K$137:$S$137,0)),0))),0),0)</f>
        <v>349</v>
      </c>
      <c r="T270" s="95">
        <f t="shared" si="15"/>
        <v>0</v>
      </c>
      <c r="U270" s="95">
        <f t="shared" si="16"/>
        <v>0</v>
      </c>
      <c r="V270" s="28" t="s">
        <v>222</v>
      </c>
      <c r="W270" s="31">
        <v>2020</v>
      </c>
      <c r="X270" s="28">
        <v>1</v>
      </c>
      <c r="Y270" s="28">
        <v>0</v>
      </c>
      <c r="Z270" s="196">
        <v>-2.1513024844954491E-4</v>
      </c>
      <c r="AA270" s="196">
        <v>-3.3096961299929986E-3</v>
      </c>
      <c r="AB270" s="28">
        <v>0</v>
      </c>
      <c r="AC270" s="28">
        <v>0</v>
      </c>
      <c r="AD270" s="28" t="s">
        <v>336</v>
      </c>
    </row>
    <row r="271" spans="2:30" ht="14.25" customHeight="1" x14ac:dyDescent="0.2">
      <c r="B271" s="7">
        <f t="shared" si="17"/>
        <v>247</v>
      </c>
      <c r="C271" s="28">
        <v>1</v>
      </c>
      <c r="D271" s="28">
        <v>10</v>
      </c>
      <c r="E271" s="31">
        <v>33</v>
      </c>
      <c r="F271" s="78">
        <v>2034</v>
      </c>
      <c r="G271" s="28">
        <v>2034</v>
      </c>
      <c r="H271" s="28">
        <v>5</v>
      </c>
      <c r="I271" s="31">
        <v>33</v>
      </c>
      <c r="J271" s="28">
        <v>0</v>
      </c>
      <c r="K271" s="28">
        <v>0</v>
      </c>
      <c r="L271" s="28">
        <v>0</v>
      </c>
      <c r="M271" s="75">
        <v>3.6</v>
      </c>
      <c r="N271" s="151">
        <v>9500</v>
      </c>
      <c r="O271" s="151">
        <v>5410</v>
      </c>
      <c r="P271" s="95">
        <f t="array" ref="P271">ROUND(IF($F271&lt;='TaxCred&amp;Subs'!$C$49,(IF($C271=2,IF($M271&gt;=IFERROR(INDEX('TaxCred&amp;Subs'!$L$12:$L$47,MATCH(1,($C271&amp;$D271='TaxCred&amp;Subs'!$E$12:$E$47)*($F271='TaxCred&amp;Subs'!$C$12:$C$47),0)
),9999),IFERROR(INDEX('TaxCred&amp;Subs'!$N$12:$N$47,MATCH(1,($C271&amp;$D271='TaxCred&amp;Subs'!$E$12:$E$47)*($F271='TaxCred&amp;Subs'!$C$12:$C$47),0)
),0),0),(IF($M271&gt;=IFERROR(INDEX('TaxCred&amp;Subs'!$H$12:$H$47,MATCH(1,($C271&amp;$D271='TaxCred&amp;Subs'!$D$12:$D$47)*($F271='TaxCred&amp;Subs'!$C$12:$C$47),0)
),9999),IFERROR(INDEX('TaxCred&amp;Subs'!$N$12:$N$47,MATCH(1,($C271&amp;$D271='TaxCred&amp;Subs'!$D$12:$D$47)*($F271='TaxCred&amp;Subs'!$C$12:$C$47),0)
),0),0)))),0)+IF(AND($C271=2,VALUE(RIGHT($AD271,1))&gt;2),(N271-R271)*(IFERROR(INDEX('TaxCred&amp;Subs'!$J$66:$J$99,MATCH(1,($C271&amp;$D271='TaxCred&amp;Subs'!$E$66:$E$99)*($F271='TaxCred&amp;Subs'!$C$66:$C$99),0)),0)),IF(AND($C271=1,VALUE(RIGHT($AD271,1))&gt;2),(N271-R271)*(IFERROR(INDEX('TaxCred&amp;Subs'!$J$66:$J$99,MATCH(1,($C271&amp;$D271='TaxCred&amp;Subs'!$D$66:$D$99)*($F271='TaxCred&amp;Subs'!$C$66:$C$99),0)),0)),IF($C271&gt;2,(N271-R271)*(IFERROR(INDEX('TaxCred&amp;Subs'!$J$66:$J$99,MATCH(1,($C271&amp;$D271='TaxCred&amp;Subs'!$D$66:$D$99)*($F271='TaxCred&amp;Subs'!$C$66:$C$99),0)),0)),0))),0)</f>
        <v>1944</v>
      </c>
      <c r="Q271" s="95">
        <f t="array" ref="Q271">ROUND(IF(AND($C271=2,VALUE(RIGHT($AD271,1))&gt;2),(O271-S271)*(IFERROR(INDEX('TaxCred&amp;Subs'!$J$66:$J$99,MATCH(1,($C271&amp;$D271='TaxCred&amp;Subs'!$E$66:$E$99)*($F271='TaxCred&amp;Subs'!$C$66:$C$99),0)),0)),IF(AND($C271=1,VALUE(RIGHT($AD271,1))&gt;2),(O271-S271)*(IFERROR(INDEX('TaxCred&amp;Subs'!$J$66:$J$99,MATCH(1,($C271&amp;$D271='TaxCred&amp;Subs'!$D$66:$D$99)*($F271='TaxCred&amp;Subs'!$C$66:$C$99),0)),0)),IF($C271&gt;2,(O271-S271)*(IFERROR(INDEX('TaxCred&amp;Subs'!$J$66:$J$99,MATCH(1,($C271&amp;$D271='TaxCred&amp;Subs'!$D$66:$D$99)*($F271='TaxCred&amp;Subs'!$C$66:$C$99),0)),0)),0))),0)</f>
        <v>1107</v>
      </c>
      <c r="R271" s="95">
        <f t="array" ref="R271">ROUND(IF(IFERROR(VALUE(RIGHT($AD271,1)),0)&gt;2,IF($C271=8,N271*IFERROR(INDEX('TaxCred&amp;Subs'!$K$139:$S$151,MATCH($C271&amp;$D271&amp;LEFT($AD271,7),'TaxCred&amp;Subs'!$E$139:$E$151,0),MATCH($H271,'TaxCred&amp;Subs'!$K$137:$S$137,0)),0),IF($C271=2,N271*IFERROR(INDEX('TaxCred&amp;Subs'!$K$139:$S$151,MATCH($C271&amp;$D271,'TaxCred&amp;Subs'!$D$139:$D$151,0),MATCH($H271,'TaxCred&amp;Subs'!$K$137:$S$137,0)),0),N271*IFERROR(INDEX('TaxCred&amp;Subs'!$K$139:$S$151,MATCH($C271&amp;$D271,'TaxCred&amp;Subs'!$C$139:$C$151,0),MATCH($H271,'TaxCred&amp;Subs'!$K$137:$S$137,0)),0))),0),0)</f>
        <v>663</v>
      </c>
      <c r="S271" s="95">
        <f t="array" ref="S271">ROUND(IF(IFERROR(VALUE(RIGHT($AD271,1)),0)&gt;2,IF($C271=8,O271*IFERROR(INDEX('TaxCred&amp;Subs'!$K$139:$S$151,MATCH($C271&amp;$D271&amp;LEFT($AD271,7),'TaxCred&amp;Subs'!$E$139:$E$151,0),MATCH($H271,'TaxCred&amp;Subs'!$K$137:$S$137,0)),0),IF($C271=2,O271*IFERROR(INDEX('TaxCred&amp;Subs'!$K$139:$S$151,MATCH($C271&amp;$D271,'TaxCred&amp;Subs'!$D$139:$D$151,0),MATCH($H271,'TaxCred&amp;Subs'!$K$137:$S$137,0)),0),O271*IFERROR(INDEX('TaxCred&amp;Subs'!$K$139:$S$151,MATCH($C271&amp;$D271,'TaxCred&amp;Subs'!$C$139:$C$151,0),MATCH($H271,'TaxCred&amp;Subs'!$K$137:$S$137,0)),0))),0),0)</f>
        <v>377</v>
      </c>
      <c r="T271" s="95">
        <f t="shared" si="15"/>
        <v>0</v>
      </c>
      <c r="U271" s="95">
        <f t="shared" si="16"/>
        <v>0</v>
      </c>
      <c r="V271" s="28" t="s">
        <v>222</v>
      </c>
      <c r="W271" s="31">
        <v>2020</v>
      </c>
      <c r="X271" s="28">
        <v>1</v>
      </c>
      <c r="Y271" s="28">
        <v>0</v>
      </c>
      <c r="Z271" s="196">
        <v>-2.1513024844954491E-4</v>
      </c>
      <c r="AA271" s="196">
        <v>-3.3096961299929986E-3</v>
      </c>
      <c r="AB271" s="28">
        <v>0</v>
      </c>
      <c r="AC271" s="28">
        <v>0</v>
      </c>
      <c r="AD271" s="28" t="s">
        <v>336</v>
      </c>
    </row>
    <row r="272" spans="2:30" ht="14.25" customHeight="1" x14ac:dyDescent="0.2">
      <c r="B272" s="7">
        <f t="shared" si="17"/>
        <v>248</v>
      </c>
      <c r="C272" s="28">
        <v>1</v>
      </c>
      <c r="D272" s="28">
        <v>10</v>
      </c>
      <c r="E272" s="31">
        <v>33</v>
      </c>
      <c r="F272" s="78">
        <v>2034</v>
      </c>
      <c r="G272" s="28">
        <v>2034</v>
      </c>
      <c r="H272" s="28">
        <v>6</v>
      </c>
      <c r="I272" s="31">
        <v>33</v>
      </c>
      <c r="J272" s="28">
        <v>0</v>
      </c>
      <c r="K272" s="28">
        <v>0</v>
      </c>
      <c r="L272" s="28">
        <v>0</v>
      </c>
      <c r="M272" s="75">
        <v>3.6</v>
      </c>
      <c r="N272" s="151">
        <v>9500</v>
      </c>
      <c r="O272" s="151">
        <v>5410</v>
      </c>
      <c r="P272" s="95">
        <f t="array" ref="P272">ROUND(IF($F272&lt;='TaxCred&amp;Subs'!$C$49,(IF($C272=2,IF($M272&gt;=IFERROR(INDEX('TaxCred&amp;Subs'!$L$12:$L$47,MATCH(1,($C272&amp;$D272='TaxCred&amp;Subs'!$E$12:$E$47)*($F272='TaxCred&amp;Subs'!$C$12:$C$47),0)
),9999),IFERROR(INDEX('TaxCred&amp;Subs'!$N$12:$N$47,MATCH(1,($C272&amp;$D272='TaxCred&amp;Subs'!$E$12:$E$47)*($F272='TaxCred&amp;Subs'!$C$12:$C$47),0)
),0),0),(IF($M272&gt;=IFERROR(INDEX('TaxCred&amp;Subs'!$H$12:$H$47,MATCH(1,($C272&amp;$D272='TaxCred&amp;Subs'!$D$12:$D$47)*($F272='TaxCred&amp;Subs'!$C$12:$C$47),0)
),9999),IFERROR(INDEX('TaxCred&amp;Subs'!$N$12:$N$47,MATCH(1,($C272&amp;$D272='TaxCred&amp;Subs'!$D$12:$D$47)*($F272='TaxCred&amp;Subs'!$C$12:$C$47),0)
),0),0)))),0)+IF(AND($C272=2,VALUE(RIGHT($AD272,1))&gt;2),(N272-R272)*(IFERROR(INDEX('TaxCred&amp;Subs'!$J$66:$J$99,MATCH(1,($C272&amp;$D272='TaxCred&amp;Subs'!$E$66:$E$99)*($F272='TaxCred&amp;Subs'!$C$66:$C$99),0)),0)),IF(AND($C272=1,VALUE(RIGHT($AD272,1))&gt;2),(N272-R272)*(IFERROR(INDEX('TaxCred&amp;Subs'!$J$66:$J$99,MATCH(1,($C272&amp;$D272='TaxCred&amp;Subs'!$D$66:$D$99)*($F272='TaxCred&amp;Subs'!$C$66:$C$99),0)),0)),IF($C272&gt;2,(N272-R272)*(IFERROR(INDEX('TaxCred&amp;Subs'!$J$66:$J$99,MATCH(1,($C272&amp;$D272='TaxCred&amp;Subs'!$D$66:$D$99)*($F272='TaxCred&amp;Subs'!$C$66:$C$99),0)),0)),0))),0)</f>
        <v>1906</v>
      </c>
      <c r="Q272" s="95">
        <f t="array" ref="Q272">ROUND(IF(AND($C272=2,VALUE(RIGHT($AD272,1))&gt;2),(O272-S272)*(IFERROR(INDEX('TaxCred&amp;Subs'!$J$66:$J$99,MATCH(1,($C272&amp;$D272='TaxCred&amp;Subs'!$E$66:$E$99)*($F272='TaxCred&amp;Subs'!$C$66:$C$99),0)),0)),IF(AND($C272=1,VALUE(RIGHT($AD272,1))&gt;2),(O272-S272)*(IFERROR(INDEX('TaxCred&amp;Subs'!$J$66:$J$99,MATCH(1,($C272&amp;$D272='TaxCred&amp;Subs'!$D$66:$D$99)*($F272='TaxCred&amp;Subs'!$C$66:$C$99),0)),0)),IF($C272&gt;2,(O272-S272)*(IFERROR(INDEX('TaxCred&amp;Subs'!$J$66:$J$99,MATCH(1,($C272&amp;$D272='TaxCred&amp;Subs'!$D$66:$D$99)*($F272='TaxCred&amp;Subs'!$C$66:$C$99),0)),0)),0))),0)</f>
        <v>1085</v>
      </c>
      <c r="R272" s="95">
        <f t="array" ref="R272">ROUND(IF(IFERROR(VALUE(RIGHT($AD272,1)),0)&gt;2,IF($C272=8,N272*IFERROR(INDEX('TaxCred&amp;Subs'!$K$139:$S$151,MATCH($C272&amp;$D272&amp;LEFT($AD272,7),'TaxCred&amp;Subs'!$E$139:$E$151,0),MATCH($H272,'TaxCred&amp;Subs'!$K$137:$S$137,0)),0),IF($C272=2,N272*IFERROR(INDEX('TaxCred&amp;Subs'!$K$139:$S$151,MATCH($C272&amp;$D272,'TaxCred&amp;Subs'!$D$139:$D$151,0),MATCH($H272,'TaxCred&amp;Subs'!$K$137:$S$137,0)),0),N272*IFERROR(INDEX('TaxCred&amp;Subs'!$K$139:$S$151,MATCH($C272&amp;$D272,'TaxCred&amp;Subs'!$C$139:$C$151,0),MATCH($H272,'TaxCred&amp;Subs'!$K$137:$S$137,0)),0))),0),0)</f>
        <v>837</v>
      </c>
      <c r="S272" s="95">
        <f t="array" ref="S272">ROUND(IF(IFERROR(VALUE(RIGHT($AD272,1)),0)&gt;2,IF($C272=8,O272*IFERROR(INDEX('TaxCred&amp;Subs'!$K$139:$S$151,MATCH($C272&amp;$D272&amp;LEFT($AD272,7),'TaxCred&amp;Subs'!$E$139:$E$151,0),MATCH($H272,'TaxCred&amp;Subs'!$K$137:$S$137,0)),0),IF($C272=2,O272*IFERROR(INDEX('TaxCred&amp;Subs'!$K$139:$S$151,MATCH($C272&amp;$D272,'TaxCred&amp;Subs'!$D$139:$D$151,0),MATCH($H272,'TaxCred&amp;Subs'!$K$137:$S$137,0)),0),O272*IFERROR(INDEX('TaxCred&amp;Subs'!$K$139:$S$151,MATCH($C272&amp;$D272,'TaxCred&amp;Subs'!$C$139:$C$151,0),MATCH($H272,'TaxCred&amp;Subs'!$K$137:$S$137,0)),0))),0),0)</f>
        <v>477</v>
      </c>
      <c r="T272" s="95">
        <f t="shared" si="15"/>
        <v>0</v>
      </c>
      <c r="U272" s="95">
        <f t="shared" si="16"/>
        <v>0</v>
      </c>
      <c r="V272" s="28" t="s">
        <v>222</v>
      </c>
      <c r="W272" s="31">
        <v>2020</v>
      </c>
      <c r="X272" s="28">
        <v>1</v>
      </c>
      <c r="Y272" s="28">
        <v>0</v>
      </c>
      <c r="Z272" s="196">
        <v>-2.1513024844954491E-4</v>
      </c>
      <c r="AA272" s="196">
        <v>-3.3096961299929986E-3</v>
      </c>
      <c r="AB272" s="28">
        <v>0</v>
      </c>
      <c r="AC272" s="28">
        <v>0</v>
      </c>
      <c r="AD272" s="28" t="s">
        <v>336</v>
      </c>
    </row>
    <row r="273" spans="2:30" ht="14.25" customHeight="1" x14ac:dyDescent="0.2">
      <c r="B273" s="7">
        <f t="shared" si="17"/>
        <v>249</v>
      </c>
      <c r="C273" s="28">
        <v>1</v>
      </c>
      <c r="D273" s="28">
        <v>10</v>
      </c>
      <c r="E273" s="31">
        <v>33</v>
      </c>
      <c r="F273" s="78">
        <v>2034</v>
      </c>
      <c r="G273" s="28">
        <v>2034</v>
      </c>
      <c r="H273" s="28">
        <v>7</v>
      </c>
      <c r="I273" s="31">
        <v>33</v>
      </c>
      <c r="J273" s="28">
        <v>0</v>
      </c>
      <c r="K273" s="28">
        <v>0</v>
      </c>
      <c r="L273" s="28">
        <v>0</v>
      </c>
      <c r="M273" s="75">
        <v>3.6</v>
      </c>
      <c r="N273" s="151">
        <v>9500</v>
      </c>
      <c r="O273" s="151">
        <v>5410</v>
      </c>
      <c r="P273" s="95">
        <f t="array" ref="P273">ROUND(IF($F273&lt;='TaxCred&amp;Subs'!$C$49,(IF($C273=2,IF($M273&gt;=IFERROR(INDEX('TaxCred&amp;Subs'!$L$12:$L$47,MATCH(1,($C273&amp;$D273='TaxCred&amp;Subs'!$E$12:$E$47)*($F273='TaxCred&amp;Subs'!$C$12:$C$47),0)
),9999),IFERROR(INDEX('TaxCred&amp;Subs'!$N$12:$N$47,MATCH(1,($C273&amp;$D273='TaxCred&amp;Subs'!$E$12:$E$47)*($F273='TaxCred&amp;Subs'!$C$12:$C$47),0)
),0),0),(IF($M273&gt;=IFERROR(INDEX('TaxCred&amp;Subs'!$H$12:$H$47,MATCH(1,($C273&amp;$D273='TaxCred&amp;Subs'!$D$12:$D$47)*($F273='TaxCred&amp;Subs'!$C$12:$C$47),0)
),9999),IFERROR(INDEX('TaxCred&amp;Subs'!$N$12:$N$47,MATCH(1,($C273&amp;$D273='TaxCred&amp;Subs'!$D$12:$D$47)*($F273='TaxCred&amp;Subs'!$C$12:$C$47),0)
),0),0)))),0)+IF(AND($C273=2,VALUE(RIGHT($AD273,1))&gt;2),(N273-R273)*(IFERROR(INDEX('TaxCred&amp;Subs'!$J$66:$J$99,MATCH(1,($C273&amp;$D273='TaxCred&amp;Subs'!$E$66:$E$99)*($F273='TaxCred&amp;Subs'!$C$66:$C$99),0)),0)),IF(AND($C273=1,VALUE(RIGHT($AD273,1))&gt;2),(N273-R273)*(IFERROR(INDEX('TaxCred&amp;Subs'!$J$66:$J$99,MATCH(1,($C273&amp;$D273='TaxCred&amp;Subs'!$D$66:$D$99)*($F273='TaxCred&amp;Subs'!$C$66:$C$99),0)),0)),IF($C273&gt;2,(N273-R273)*(IFERROR(INDEX('TaxCred&amp;Subs'!$J$66:$J$99,MATCH(1,($C273&amp;$D273='TaxCred&amp;Subs'!$D$66:$D$99)*($F273='TaxCred&amp;Subs'!$C$66:$C$99),0)),0)),0))),0)</f>
        <v>2013</v>
      </c>
      <c r="Q273" s="95">
        <f t="array" ref="Q273">ROUND(IF(AND($C273=2,VALUE(RIGHT($AD273,1))&gt;2),(O273-S273)*(IFERROR(INDEX('TaxCred&amp;Subs'!$J$66:$J$99,MATCH(1,($C273&amp;$D273='TaxCred&amp;Subs'!$E$66:$E$99)*($F273='TaxCred&amp;Subs'!$C$66:$C$99),0)),0)),IF(AND($C273=1,VALUE(RIGHT($AD273,1))&gt;2),(O273-S273)*(IFERROR(INDEX('TaxCred&amp;Subs'!$J$66:$J$99,MATCH(1,($C273&amp;$D273='TaxCred&amp;Subs'!$D$66:$D$99)*($F273='TaxCred&amp;Subs'!$C$66:$C$99),0)),0)),IF($C273&gt;2,(O273-S273)*(IFERROR(INDEX('TaxCred&amp;Subs'!$J$66:$J$99,MATCH(1,($C273&amp;$D273='TaxCred&amp;Subs'!$D$66:$D$99)*($F273='TaxCred&amp;Subs'!$C$66:$C$99),0)),0)),0))),0)</f>
        <v>1146</v>
      </c>
      <c r="R273" s="95">
        <f t="array" ref="R273">ROUND(IF(IFERROR(VALUE(RIGHT($AD273,1)),0)&gt;2,IF($C273=8,N273*IFERROR(INDEX('TaxCred&amp;Subs'!$K$139:$S$151,MATCH($C273&amp;$D273&amp;LEFT($AD273,7),'TaxCred&amp;Subs'!$E$139:$E$151,0),MATCH($H273,'TaxCred&amp;Subs'!$K$137:$S$137,0)),0),IF($C273=2,N273*IFERROR(INDEX('TaxCred&amp;Subs'!$K$139:$S$151,MATCH($C273&amp;$D273,'TaxCred&amp;Subs'!$D$139:$D$151,0),MATCH($H273,'TaxCred&amp;Subs'!$K$137:$S$137,0)),0),N273*IFERROR(INDEX('TaxCred&amp;Subs'!$K$139:$S$151,MATCH($C273&amp;$D273,'TaxCred&amp;Subs'!$C$139:$C$151,0),MATCH($H273,'TaxCred&amp;Subs'!$K$137:$S$137,0)),0))),0),0)</f>
        <v>351</v>
      </c>
      <c r="S273" s="95">
        <f t="array" ref="S273">ROUND(IF(IFERROR(VALUE(RIGHT($AD273,1)),0)&gt;2,IF($C273=8,O273*IFERROR(INDEX('TaxCred&amp;Subs'!$K$139:$S$151,MATCH($C273&amp;$D273&amp;LEFT($AD273,7),'TaxCred&amp;Subs'!$E$139:$E$151,0),MATCH($H273,'TaxCred&amp;Subs'!$K$137:$S$137,0)),0),IF($C273=2,O273*IFERROR(INDEX('TaxCred&amp;Subs'!$K$139:$S$151,MATCH($C273&amp;$D273,'TaxCred&amp;Subs'!$D$139:$D$151,0),MATCH($H273,'TaxCred&amp;Subs'!$K$137:$S$137,0)),0),O273*IFERROR(INDEX('TaxCred&amp;Subs'!$K$139:$S$151,MATCH($C273&amp;$D273,'TaxCred&amp;Subs'!$C$139:$C$151,0),MATCH($H273,'TaxCred&amp;Subs'!$K$137:$S$137,0)),0))),0),0)</f>
        <v>200</v>
      </c>
      <c r="T273" s="95">
        <f t="shared" si="15"/>
        <v>0</v>
      </c>
      <c r="U273" s="95">
        <f t="shared" si="16"/>
        <v>0</v>
      </c>
      <c r="V273" s="28" t="s">
        <v>222</v>
      </c>
      <c r="W273" s="31">
        <v>2020</v>
      </c>
      <c r="X273" s="28">
        <v>1</v>
      </c>
      <c r="Y273" s="28">
        <v>0</v>
      </c>
      <c r="Z273" s="196">
        <v>-2.1513024844954491E-4</v>
      </c>
      <c r="AA273" s="196">
        <v>-3.3096961299929986E-3</v>
      </c>
      <c r="AB273" s="28">
        <v>0</v>
      </c>
      <c r="AC273" s="28">
        <v>0</v>
      </c>
      <c r="AD273" s="28" t="s">
        <v>336</v>
      </c>
    </row>
    <row r="274" spans="2:30" ht="14.25" customHeight="1" x14ac:dyDescent="0.2">
      <c r="B274" s="7">
        <f t="shared" si="17"/>
        <v>250</v>
      </c>
      <c r="C274" s="28">
        <v>1</v>
      </c>
      <c r="D274" s="28">
        <v>10</v>
      </c>
      <c r="E274" s="31">
        <v>33</v>
      </c>
      <c r="F274" s="78">
        <v>2034</v>
      </c>
      <c r="G274" s="28">
        <v>2034</v>
      </c>
      <c r="H274" s="28">
        <v>8</v>
      </c>
      <c r="I274" s="31">
        <v>33</v>
      </c>
      <c r="J274" s="28">
        <v>0</v>
      </c>
      <c r="K274" s="28">
        <v>0</v>
      </c>
      <c r="L274" s="28">
        <v>0</v>
      </c>
      <c r="M274" s="75">
        <v>3.6</v>
      </c>
      <c r="N274" s="151">
        <v>9500</v>
      </c>
      <c r="O274" s="151">
        <v>5410</v>
      </c>
      <c r="P274" s="95">
        <f t="array" ref="P274">ROUND(IF($F274&lt;='TaxCred&amp;Subs'!$C$49,(IF($C274=2,IF($M274&gt;=IFERROR(INDEX('TaxCred&amp;Subs'!$L$12:$L$47,MATCH(1,($C274&amp;$D274='TaxCred&amp;Subs'!$E$12:$E$47)*($F274='TaxCred&amp;Subs'!$C$12:$C$47),0)
),9999),IFERROR(INDEX('TaxCred&amp;Subs'!$N$12:$N$47,MATCH(1,($C274&amp;$D274='TaxCred&amp;Subs'!$E$12:$E$47)*($F274='TaxCred&amp;Subs'!$C$12:$C$47),0)
),0),0),(IF($M274&gt;=IFERROR(INDEX('TaxCred&amp;Subs'!$H$12:$H$47,MATCH(1,($C274&amp;$D274='TaxCred&amp;Subs'!$D$12:$D$47)*($F274='TaxCred&amp;Subs'!$C$12:$C$47),0)
),9999),IFERROR(INDEX('TaxCred&amp;Subs'!$N$12:$N$47,MATCH(1,($C274&amp;$D274='TaxCred&amp;Subs'!$D$12:$D$47)*($F274='TaxCred&amp;Subs'!$C$12:$C$47),0)
),0),0)))),0)+IF(AND($C274=2,VALUE(RIGHT($AD274,1))&gt;2),(N274-R274)*(IFERROR(INDEX('TaxCred&amp;Subs'!$J$66:$J$99,MATCH(1,($C274&amp;$D274='TaxCred&amp;Subs'!$E$66:$E$99)*($F274='TaxCred&amp;Subs'!$C$66:$C$99),0)),0)),IF(AND($C274=1,VALUE(RIGHT($AD274,1))&gt;2),(N274-R274)*(IFERROR(INDEX('TaxCred&amp;Subs'!$J$66:$J$99,MATCH(1,($C274&amp;$D274='TaxCred&amp;Subs'!$D$66:$D$99)*($F274='TaxCred&amp;Subs'!$C$66:$C$99),0)),0)),IF($C274&gt;2,(N274-R274)*(IFERROR(INDEX('TaxCred&amp;Subs'!$J$66:$J$99,MATCH(1,($C274&amp;$D274='TaxCred&amp;Subs'!$D$66:$D$99)*($F274='TaxCred&amp;Subs'!$C$66:$C$99),0)),0)),0))),0)</f>
        <v>1985</v>
      </c>
      <c r="Q274" s="95">
        <f t="array" ref="Q274">ROUND(IF(AND($C274=2,VALUE(RIGHT($AD274,1))&gt;2),(O274-S274)*(IFERROR(INDEX('TaxCred&amp;Subs'!$J$66:$J$99,MATCH(1,($C274&amp;$D274='TaxCred&amp;Subs'!$E$66:$E$99)*($F274='TaxCred&amp;Subs'!$C$66:$C$99),0)),0)),IF(AND($C274=1,VALUE(RIGHT($AD274,1))&gt;2),(O274-S274)*(IFERROR(INDEX('TaxCred&amp;Subs'!$J$66:$J$99,MATCH(1,($C274&amp;$D274='TaxCred&amp;Subs'!$D$66:$D$99)*($F274='TaxCred&amp;Subs'!$C$66:$C$99),0)),0)),IF($C274&gt;2,(O274-S274)*(IFERROR(INDEX('TaxCred&amp;Subs'!$J$66:$J$99,MATCH(1,($C274&amp;$D274='TaxCred&amp;Subs'!$D$66:$D$99)*($F274='TaxCred&amp;Subs'!$C$66:$C$99),0)),0)),0))),0)</f>
        <v>1130</v>
      </c>
      <c r="R274" s="95">
        <f t="array" ref="R274">ROUND(IF(IFERROR(VALUE(RIGHT($AD274,1)),0)&gt;2,IF($C274=8,N274*IFERROR(INDEX('TaxCred&amp;Subs'!$K$139:$S$151,MATCH($C274&amp;$D274&amp;LEFT($AD274,7),'TaxCred&amp;Subs'!$E$139:$E$151,0),MATCH($H274,'TaxCred&amp;Subs'!$K$137:$S$137,0)),0),IF($C274=2,N274*IFERROR(INDEX('TaxCred&amp;Subs'!$K$139:$S$151,MATCH($C274&amp;$D274,'TaxCred&amp;Subs'!$D$139:$D$151,0),MATCH($H274,'TaxCred&amp;Subs'!$K$137:$S$137,0)),0),N274*IFERROR(INDEX('TaxCred&amp;Subs'!$K$139:$S$151,MATCH($C274&amp;$D274,'TaxCred&amp;Subs'!$C$139:$C$151,0),MATCH($H274,'TaxCred&amp;Subs'!$K$137:$S$137,0)),0))),0),0)</f>
        <v>478</v>
      </c>
      <c r="S274" s="95">
        <f t="array" ref="S274">ROUND(IF(IFERROR(VALUE(RIGHT($AD274,1)),0)&gt;2,IF($C274=8,O274*IFERROR(INDEX('TaxCred&amp;Subs'!$K$139:$S$151,MATCH($C274&amp;$D274&amp;LEFT($AD274,7),'TaxCred&amp;Subs'!$E$139:$E$151,0),MATCH($H274,'TaxCred&amp;Subs'!$K$137:$S$137,0)),0),IF($C274=2,O274*IFERROR(INDEX('TaxCred&amp;Subs'!$K$139:$S$151,MATCH($C274&amp;$D274,'TaxCred&amp;Subs'!$D$139:$D$151,0),MATCH($H274,'TaxCred&amp;Subs'!$K$137:$S$137,0)),0),O274*IFERROR(INDEX('TaxCred&amp;Subs'!$K$139:$S$151,MATCH($C274&amp;$D274,'TaxCred&amp;Subs'!$C$139:$C$151,0),MATCH($H274,'TaxCred&amp;Subs'!$K$137:$S$137,0)),0))),0),0)</f>
        <v>272</v>
      </c>
      <c r="T274" s="95">
        <f t="shared" si="15"/>
        <v>0</v>
      </c>
      <c r="U274" s="95">
        <f t="shared" si="16"/>
        <v>0</v>
      </c>
      <c r="V274" s="28" t="s">
        <v>222</v>
      </c>
      <c r="W274" s="31">
        <v>2020</v>
      </c>
      <c r="X274" s="28">
        <v>1</v>
      </c>
      <c r="Y274" s="28">
        <v>0</v>
      </c>
      <c r="Z274" s="196">
        <v>-2.1513024844954491E-4</v>
      </c>
      <c r="AA274" s="196">
        <v>-3.3096961299929986E-3</v>
      </c>
      <c r="AB274" s="28">
        <v>0</v>
      </c>
      <c r="AC274" s="28">
        <v>0</v>
      </c>
      <c r="AD274" s="28" t="s">
        <v>336</v>
      </c>
    </row>
    <row r="275" spans="2:30" ht="14.25" customHeight="1" x14ac:dyDescent="0.2">
      <c r="B275" s="7">
        <f t="shared" si="17"/>
        <v>251</v>
      </c>
      <c r="C275" s="28">
        <v>1</v>
      </c>
      <c r="D275" s="28">
        <v>10</v>
      </c>
      <c r="E275" s="31">
        <v>33</v>
      </c>
      <c r="F275" s="78">
        <v>2034</v>
      </c>
      <c r="G275" s="28">
        <v>2034</v>
      </c>
      <c r="H275" s="28">
        <v>9</v>
      </c>
      <c r="I275" s="31">
        <v>33</v>
      </c>
      <c r="J275" s="28">
        <v>0</v>
      </c>
      <c r="K275" s="28">
        <v>0</v>
      </c>
      <c r="L275" s="28">
        <v>0</v>
      </c>
      <c r="M275" s="75">
        <v>3.6</v>
      </c>
      <c r="N275" s="151">
        <v>9500</v>
      </c>
      <c r="O275" s="151">
        <v>5410</v>
      </c>
      <c r="P275" s="95">
        <f t="array" ref="P275">ROUND(IF($F275&lt;='TaxCred&amp;Subs'!$C$49,(IF($C275=2,IF($M275&gt;=IFERROR(INDEX('TaxCred&amp;Subs'!$L$12:$L$47,MATCH(1,($C275&amp;$D275='TaxCred&amp;Subs'!$E$12:$E$47)*($F275='TaxCred&amp;Subs'!$C$12:$C$47),0)
),9999),IFERROR(INDEX('TaxCred&amp;Subs'!$N$12:$N$47,MATCH(1,($C275&amp;$D275='TaxCred&amp;Subs'!$E$12:$E$47)*($F275='TaxCred&amp;Subs'!$C$12:$C$47),0)
),0),0),(IF($M275&gt;=IFERROR(INDEX('TaxCred&amp;Subs'!$H$12:$H$47,MATCH(1,($C275&amp;$D275='TaxCred&amp;Subs'!$D$12:$D$47)*($F275='TaxCred&amp;Subs'!$C$12:$C$47),0)
),9999),IFERROR(INDEX('TaxCred&amp;Subs'!$N$12:$N$47,MATCH(1,($C275&amp;$D275='TaxCred&amp;Subs'!$D$12:$D$47)*($F275='TaxCred&amp;Subs'!$C$12:$C$47),0)
),0),0)))),0)+IF(AND($C275=2,VALUE(RIGHT($AD275,1))&gt;2),(N275-R275)*(IFERROR(INDEX('TaxCred&amp;Subs'!$J$66:$J$99,MATCH(1,($C275&amp;$D275='TaxCred&amp;Subs'!$E$66:$E$99)*($F275='TaxCred&amp;Subs'!$C$66:$C$99),0)),0)),IF(AND($C275=1,VALUE(RIGHT($AD275,1))&gt;2),(N275-R275)*(IFERROR(INDEX('TaxCred&amp;Subs'!$J$66:$J$99,MATCH(1,($C275&amp;$D275='TaxCred&amp;Subs'!$D$66:$D$99)*($F275='TaxCred&amp;Subs'!$C$66:$C$99),0)),0)),IF($C275&gt;2,(N275-R275)*(IFERROR(INDEX('TaxCred&amp;Subs'!$J$66:$J$99,MATCH(1,($C275&amp;$D275='TaxCred&amp;Subs'!$D$66:$D$99)*($F275='TaxCred&amp;Subs'!$C$66:$C$99),0)),0)),0))),0)</f>
        <v>2039</v>
      </c>
      <c r="Q275" s="95">
        <f t="array" ref="Q275">ROUND(IF(AND($C275=2,VALUE(RIGHT($AD275,1))&gt;2),(O275-S275)*(IFERROR(INDEX('TaxCred&amp;Subs'!$J$66:$J$99,MATCH(1,($C275&amp;$D275='TaxCred&amp;Subs'!$E$66:$E$99)*($F275='TaxCred&amp;Subs'!$C$66:$C$99),0)),0)),IF(AND($C275=1,VALUE(RIGHT($AD275,1))&gt;2),(O275-S275)*(IFERROR(INDEX('TaxCred&amp;Subs'!$J$66:$J$99,MATCH(1,($C275&amp;$D275='TaxCred&amp;Subs'!$D$66:$D$99)*($F275='TaxCred&amp;Subs'!$C$66:$C$99),0)),0)),IF($C275&gt;2,(O275-S275)*(IFERROR(INDEX('TaxCred&amp;Subs'!$J$66:$J$99,MATCH(1,($C275&amp;$D275='TaxCred&amp;Subs'!$D$66:$D$99)*($F275='TaxCred&amp;Subs'!$C$66:$C$99),0)),0)),0))),0)</f>
        <v>1161</v>
      </c>
      <c r="R275" s="95">
        <f t="array" ref="R275">ROUND(IF(IFERROR(VALUE(RIGHT($AD275,1)),0)&gt;2,IF($C275=8,N275*IFERROR(INDEX('TaxCred&amp;Subs'!$K$139:$S$151,MATCH($C275&amp;$D275&amp;LEFT($AD275,7),'TaxCred&amp;Subs'!$E$139:$E$151,0),MATCH($H275,'TaxCred&amp;Subs'!$K$137:$S$137,0)),0),IF($C275=2,N275*IFERROR(INDEX('TaxCred&amp;Subs'!$K$139:$S$151,MATCH($C275&amp;$D275,'TaxCred&amp;Subs'!$D$139:$D$151,0),MATCH($H275,'TaxCred&amp;Subs'!$K$137:$S$137,0)),0),N275*IFERROR(INDEX('TaxCred&amp;Subs'!$K$139:$S$151,MATCH($C275&amp;$D275,'TaxCred&amp;Subs'!$C$139:$C$151,0),MATCH($H275,'TaxCred&amp;Subs'!$K$137:$S$137,0)),0))),0),0)</f>
        <v>233</v>
      </c>
      <c r="S275" s="95">
        <f t="array" ref="S275">ROUND(IF(IFERROR(VALUE(RIGHT($AD275,1)),0)&gt;2,IF($C275=8,O275*IFERROR(INDEX('TaxCred&amp;Subs'!$K$139:$S$151,MATCH($C275&amp;$D275&amp;LEFT($AD275,7),'TaxCred&amp;Subs'!$E$139:$E$151,0),MATCH($H275,'TaxCred&amp;Subs'!$K$137:$S$137,0)),0),IF($C275=2,O275*IFERROR(INDEX('TaxCred&amp;Subs'!$K$139:$S$151,MATCH($C275&amp;$D275,'TaxCred&amp;Subs'!$D$139:$D$151,0),MATCH($H275,'TaxCred&amp;Subs'!$K$137:$S$137,0)),0),O275*IFERROR(INDEX('TaxCred&amp;Subs'!$K$139:$S$151,MATCH($C275&amp;$D275,'TaxCred&amp;Subs'!$C$139:$C$151,0),MATCH($H275,'TaxCred&amp;Subs'!$K$137:$S$137,0)),0))),0),0)</f>
        <v>133</v>
      </c>
      <c r="T275" s="172">
        <f t="shared" si="15"/>
        <v>1119.1499999999999</v>
      </c>
      <c r="U275" s="172">
        <f t="shared" si="16"/>
        <v>637.35</v>
      </c>
      <c r="V275" s="28" t="s">
        <v>222</v>
      </c>
      <c r="W275" s="31">
        <v>2020</v>
      </c>
      <c r="X275" s="28">
        <v>1</v>
      </c>
      <c r="Y275" s="28">
        <v>0</v>
      </c>
      <c r="Z275" s="196">
        <v>-2.1513024844954491E-4</v>
      </c>
      <c r="AA275" s="196">
        <v>-3.3096961299929986E-3</v>
      </c>
      <c r="AB275" s="28">
        <v>0</v>
      </c>
      <c r="AC275" s="28">
        <v>0</v>
      </c>
      <c r="AD275" s="28" t="s">
        <v>336</v>
      </c>
    </row>
    <row r="276" spans="2:30" ht="14.25" customHeight="1" x14ac:dyDescent="0.2">
      <c r="B276" s="7">
        <f t="shared" si="17"/>
        <v>252</v>
      </c>
      <c r="C276" s="28">
        <v>1</v>
      </c>
      <c r="D276" s="28">
        <v>10</v>
      </c>
      <c r="E276" s="31">
        <v>33</v>
      </c>
      <c r="F276" s="78">
        <v>2035</v>
      </c>
      <c r="G276" s="28">
        <v>2050</v>
      </c>
      <c r="H276" s="28">
        <v>1</v>
      </c>
      <c r="I276" s="31">
        <v>33</v>
      </c>
      <c r="J276" s="28">
        <v>0</v>
      </c>
      <c r="K276" s="28">
        <v>0</v>
      </c>
      <c r="L276" s="28">
        <v>0</v>
      </c>
      <c r="M276" s="75">
        <v>3.6</v>
      </c>
      <c r="N276" s="151">
        <v>9500</v>
      </c>
      <c r="O276" s="151">
        <v>5410</v>
      </c>
      <c r="P276" s="95">
        <f t="array" ref="P276">ROUND(IF($F276&lt;='TaxCred&amp;Subs'!$C$49,(IF($C276=2,IF($M276&gt;=IFERROR(INDEX('TaxCred&amp;Subs'!$L$12:$L$47,MATCH(1,($C276&amp;$D276='TaxCred&amp;Subs'!$E$12:$E$47)*($F276='TaxCred&amp;Subs'!$C$12:$C$47),0)
),9999),IFERROR(INDEX('TaxCred&amp;Subs'!$N$12:$N$47,MATCH(1,($C276&amp;$D276='TaxCred&amp;Subs'!$E$12:$E$47)*($F276='TaxCred&amp;Subs'!$C$12:$C$47),0)
),0),0),(IF($M276&gt;=IFERROR(INDEX('TaxCred&amp;Subs'!$H$12:$H$47,MATCH(1,($C276&amp;$D276='TaxCred&amp;Subs'!$D$12:$D$47)*($F276='TaxCred&amp;Subs'!$C$12:$C$47),0)
),9999),IFERROR(INDEX('TaxCred&amp;Subs'!$N$12:$N$47,MATCH(1,($C276&amp;$D276='TaxCred&amp;Subs'!$D$12:$D$47)*($F276='TaxCred&amp;Subs'!$C$12:$C$47),0)
),0),0)))),0)+IF(AND($C276=2,VALUE(RIGHT($AD276,1))&gt;2),(N276-R276)*(IFERROR(INDEX('TaxCred&amp;Subs'!$J$66:$J$99,MATCH(1,($C276&amp;$D276='TaxCred&amp;Subs'!$E$66:$E$99)*($F276='TaxCred&amp;Subs'!$C$66:$C$99),0)),0)),IF(AND($C276=1,VALUE(RIGHT($AD276,1))&gt;2),(N276-R276)*(IFERROR(INDEX('TaxCred&amp;Subs'!$J$66:$J$99,MATCH(1,($C276&amp;$D276='TaxCred&amp;Subs'!$D$66:$D$99)*($F276='TaxCred&amp;Subs'!$C$66:$C$99),0)),0)),IF($C276&gt;2,(N276-R276)*(IFERROR(INDEX('TaxCred&amp;Subs'!$J$66:$J$99,MATCH(1,($C276&amp;$D276='TaxCred&amp;Subs'!$D$66:$D$99)*($F276='TaxCred&amp;Subs'!$C$66:$C$99),0)),0)),0))),0)</f>
        <v>0</v>
      </c>
      <c r="Q276" s="95">
        <f t="array" ref="Q276">ROUND(IF(AND($C276=2,VALUE(RIGHT($AD276,1))&gt;2),(O276-S276)*(IFERROR(INDEX('TaxCred&amp;Subs'!$J$66:$J$99,MATCH(1,($C276&amp;$D276='TaxCred&amp;Subs'!$E$66:$E$99)*($F276='TaxCred&amp;Subs'!$C$66:$C$99),0)),0)),IF(AND($C276=1,VALUE(RIGHT($AD276,1))&gt;2),(O276-S276)*(IFERROR(INDEX('TaxCred&amp;Subs'!$J$66:$J$99,MATCH(1,($C276&amp;$D276='TaxCred&amp;Subs'!$D$66:$D$99)*($F276='TaxCred&amp;Subs'!$C$66:$C$99),0)),0)),IF($C276&gt;2,(O276-S276)*(IFERROR(INDEX('TaxCred&amp;Subs'!$J$66:$J$99,MATCH(1,($C276&amp;$D276='TaxCred&amp;Subs'!$D$66:$D$99)*($F276='TaxCred&amp;Subs'!$C$66:$C$99),0)),0)),0))),0)</f>
        <v>0</v>
      </c>
      <c r="R276" s="95">
        <f t="array" ref="R276">ROUND(IF(IFERROR(VALUE(RIGHT($AD276,1)),0)&gt;2,IF($C276=8,N276*IFERROR(INDEX('TaxCred&amp;Subs'!$K$139:$S$151,MATCH($C276&amp;$D276&amp;LEFT($AD276,7),'TaxCred&amp;Subs'!$E$139:$E$151,0),MATCH($H276,'TaxCred&amp;Subs'!$K$137:$S$137,0)),0),IF($C276=2,N276*IFERROR(INDEX('TaxCred&amp;Subs'!$K$139:$S$151,MATCH($C276&amp;$D276,'TaxCred&amp;Subs'!$D$139:$D$151,0),MATCH($H276,'TaxCred&amp;Subs'!$K$137:$S$137,0)),0),N276*IFERROR(INDEX('TaxCred&amp;Subs'!$K$139:$S$151,MATCH($C276&amp;$D276,'TaxCred&amp;Subs'!$C$139:$C$151,0),MATCH($H276,'TaxCred&amp;Subs'!$K$137:$S$137,0)),0))),0),0)</f>
        <v>2355</v>
      </c>
      <c r="S276" s="95">
        <f t="array" ref="S276">ROUND(IF(IFERROR(VALUE(RIGHT($AD276,1)),0)&gt;2,IF($C276=8,O276*IFERROR(INDEX('TaxCred&amp;Subs'!$K$139:$S$151,MATCH($C276&amp;$D276&amp;LEFT($AD276,7),'TaxCred&amp;Subs'!$E$139:$E$151,0),MATCH($H276,'TaxCred&amp;Subs'!$K$137:$S$137,0)),0),IF($C276=2,O276*IFERROR(INDEX('TaxCred&amp;Subs'!$K$139:$S$151,MATCH($C276&amp;$D276,'TaxCred&amp;Subs'!$D$139:$D$151,0),MATCH($H276,'TaxCred&amp;Subs'!$K$137:$S$137,0)),0),O276*IFERROR(INDEX('TaxCred&amp;Subs'!$K$139:$S$151,MATCH($C276&amp;$D276,'TaxCred&amp;Subs'!$C$139:$C$151,0),MATCH($H276,'TaxCred&amp;Subs'!$K$137:$S$137,0)),0))),0),0)</f>
        <v>1341</v>
      </c>
      <c r="T276" s="95">
        <f t="shared" si="15"/>
        <v>0</v>
      </c>
      <c r="U276" s="95">
        <f t="shared" si="16"/>
        <v>0</v>
      </c>
      <c r="V276" s="28" t="s">
        <v>222</v>
      </c>
      <c r="W276" s="31">
        <v>2020</v>
      </c>
      <c r="X276" s="28">
        <v>1</v>
      </c>
      <c r="Y276" s="28">
        <v>0</v>
      </c>
      <c r="Z276" s="196">
        <v>-2.1513024844954491E-4</v>
      </c>
      <c r="AA276" s="196">
        <v>-3.3096961299929986E-3</v>
      </c>
      <c r="AB276" s="28">
        <v>0</v>
      </c>
      <c r="AC276" s="28">
        <v>0</v>
      </c>
      <c r="AD276" s="28" t="s">
        <v>336</v>
      </c>
    </row>
    <row r="277" spans="2:30" ht="14.25" customHeight="1" x14ac:dyDescent="0.2">
      <c r="B277" s="7">
        <f t="shared" si="17"/>
        <v>253</v>
      </c>
      <c r="C277" s="28">
        <v>1</v>
      </c>
      <c r="D277" s="28">
        <v>10</v>
      </c>
      <c r="E277" s="31">
        <v>33</v>
      </c>
      <c r="F277" s="78">
        <v>2035</v>
      </c>
      <c r="G277" s="28">
        <v>2050</v>
      </c>
      <c r="H277" s="28">
        <v>2</v>
      </c>
      <c r="I277" s="31">
        <v>33</v>
      </c>
      <c r="J277" s="28">
        <v>0</v>
      </c>
      <c r="K277" s="28">
        <v>0</v>
      </c>
      <c r="L277" s="28">
        <v>0</v>
      </c>
      <c r="M277" s="75">
        <v>3.6</v>
      </c>
      <c r="N277" s="151">
        <v>9500</v>
      </c>
      <c r="O277" s="151">
        <v>5410</v>
      </c>
      <c r="P277" s="95">
        <f t="array" ref="P277">ROUND(IF($F277&lt;='TaxCred&amp;Subs'!$C$49,(IF($C277=2,IF($M277&gt;=IFERROR(INDEX('TaxCred&amp;Subs'!$L$12:$L$47,MATCH(1,($C277&amp;$D277='TaxCred&amp;Subs'!$E$12:$E$47)*($F277='TaxCred&amp;Subs'!$C$12:$C$47),0)
),9999),IFERROR(INDEX('TaxCred&amp;Subs'!$N$12:$N$47,MATCH(1,($C277&amp;$D277='TaxCred&amp;Subs'!$E$12:$E$47)*($F277='TaxCred&amp;Subs'!$C$12:$C$47),0)
),0),0),(IF($M277&gt;=IFERROR(INDEX('TaxCred&amp;Subs'!$H$12:$H$47,MATCH(1,($C277&amp;$D277='TaxCred&amp;Subs'!$D$12:$D$47)*($F277='TaxCred&amp;Subs'!$C$12:$C$47),0)
),9999),IFERROR(INDEX('TaxCred&amp;Subs'!$N$12:$N$47,MATCH(1,($C277&amp;$D277='TaxCred&amp;Subs'!$D$12:$D$47)*($F277='TaxCred&amp;Subs'!$C$12:$C$47),0)
),0),0)))),0)+IF(AND($C277=2,VALUE(RIGHT($AD277,1))&gt;2),(N277-R277)*(IFERROR(INDEX('TaxCred&amp;Subs'!$J$66:$J$99,MATCH(1,($C277&amp;$D277='TaxCred&amp;Subs'!$E$66:$E$99)*($F277='TaxCred&amp;Subs'!$C$66:$C$99),0)),0)),IF(AND($C277=1,VALUE(RIGHT($AD277,1))&gt;2),(N277-R277)*(IFERROR(INDEX('TaxCred&amp;Subs'!$J$66:$J$99,MATCH(1,($C277&amp;$D277='TaxCred&amp;Subs'!$D$66:$D$99)*($F277='TaxCred&amp;Subs'!$C$66:$C$99),0)),0)),IF($C277&gt;2,(N277-R277)*(IFERROR(INDEX('TaxCred&amp;Subs'!$J$66:$J$99,MATCH(1,($C277&amp;$D277='TaxCred&amp;Subs'!$D$66:$D$99)*($F277='TaxCred&amp;Subs'!$C$66:$C$99),0)),0)),0))),0)</f>
        <v>0</v>
      </c>
      <c r="Q277" s="95">
        <f t="array" ref="Q277">ROUND(IF(AND($C277=2,VALUE(RIGHT($AD277,1))&gt;2),(O277-S277)*(IFERROR(INDEX('TaxCred&amp;Subs'!$J$66:$J$99,MATCH(1,($C277&amp;$D277='TaxCred&amp;Subs'!$E$66:$E$99)*($F277='TaxCred&amp;Subs'!$C$66:$C$99),0)),0)),IF(AND($C277=1,VALUE(RIGHT($AD277,1))&gt;2),(O277-S277)*(IFERROR(INDEX('TaxCred&amp;Subs'!$J$66:$J$99,MATCH(1,($C277&amp;$D277='TaxCred&amp;Subs'!$D$66:$D$99)*($F277='TaxCred&amp;Subs'!$C$66:$C$99),0)),0)),IF($C277&gt;2,(O277-S277)*(IFERROR(INDEX('TaxCred&amp;Subs'!$J$66:$J$99,MATCH(1,($C277&amp;$D277='TaxCred&amp;Subs'!$D$66:$D$99)*($F277='TaxCred&amp;Subs'!$C$66:$C$99),0)),0)),0))),0)</f>
        <v>0</v>
      </c>
      <c r="R277" s="95">
        <f t="array" ref="R277">ROUND(IF(IFERROR(VALUE(RIGHT($AD277,1)),0)&gt;2,IF($C277=8,N277*IFERROR(INDEX('TaxCred&amp;Subs'!$K$139:$S$151,MATCH($C277&amp;$D277&amp;LEFT($AD277,7),'TaxCred&amp;Subs'!$E$139:$E$151,0),MATCH($H277,'TaxCred&amp;Subs'!$K$137:$S$137,0)),0),IF($C277=2,N277*IFERROR(INDEX('TaxCred&amp;Subs'!$K$139:$S$151,MATCH($C277&amp;$D277,'TaxCred&amp;Subs'!$D$139:$D$151,0),MATCH($H277,'TaxCred&amp;Subs'!$K$137:$S$137,0)),0),N277*IFERROR(INDEX('TaxCred&amp;Subs'!$K$139:$S$151,MATCH($C277&amp;$D277,'TaxCred&amp;Subs'!$C$139:$C$151,0),MATCH($H277,'TaxCred&amp;Subs'!$K$137:$S$137,0)),0))),0),0)</f>
        <v>972</v>
      </c>
      <c r="S277" s="95">
        <f t="array" ref="S277">ROUND(IF(IFERROR(VALUE(RIGHT($AD277,1)),0)&gt;2,IF($C277=8,O277*IFERROR(INDEX('TaxCred&amp;Subs'!$K$139:$S$151,MATCH($C277&amp;$D277&amp;LEFT($AD277,7),'TaxCred&amp;Subs'!$E$139:$E$151,0),MATCH($H277,'TaxCred&amp;Subs'!$K$137:$S$137,0)),0),IF($C277=2,O277*IFERROR(INDEX('TaxCred&amp;Subs'!$K$139:$S$151,MATCH($C277&amp;$D277,'TaxCred&amp;Subs'!$D$139:$D$151,0),MATCH($H277,'TaxCred&amp;Subs'!$K$137:$S$137,0)),0),O277*IFERROR(INDEX('TaxCred&amp;Subs'!$K$139:$S$151,MATCH($C277&amp;$D277,'TaxCred&amp;Subs'!$C$139:$C$151,0),MATCH($H277,'TaxCred&amp;Subs'!$K$137:$S$137,0)),0))),0),0)</f>
        <v>553</v>
      </c>
      <c r="T277" s="95">
        <f t="shared" ref="T277:T331" si="18">IF($H277=9,IF(R277&gt;0,(N277-P277)*0.15,0),0)</f>
        <v>0</v>
      </c>
      <c r="U277" s="95">
        <f t="shared" ref="U277:U331" si="19">IF($H277=9,IF(S277&gt;0,(O277-Q277)*0.15,0),0)</f>
        <v>0</v>
      </c>
      <c r="V277" s="28" t="s">
        <v>222</v>
      </c>
      <c r="W277" s="31">
        <v>2020</v>
      </c>
      <c r="X277" s="28">
        <v>1</v>
      </c>
      <c r="Y277" s="28">
        <v>0</v>
      </c>
      <c r="Z277" s="196">
        <v>-2.1513024844954491E-4</v>
      </c>
      <c r="AA277" s="196">
        <v>-3.3096961299929986E-3</v>
      </c>
      <c r="AB277" s="28">
        <v>0</v>
      </c>
      <c r="AC277" s="28">
        <v>0</v>
      </c>
      <c r="AD277" s="28" t="s">
        <v>336</v>
      </c>
    </row>
    <row r="278" spans="2:30" ht="14.25" customHeight="1" x14ac:dyDescent="0.2">
      <c r="B278" s="7">
        <f t="shared" si="17"/>
        <v>254</v>
      </c>
      <c r="C278" s="28">
        <v>1</v>
      </c>
      <c r="D278" s="28">
        <v>10</v>
      </c>
      <c r="E278" s="31">
        <v>33</v>
      </c>
      <c r="F278" s="78">
        <v>2035</v>
      </c>
      <c r="G278" s="28">
        <v>2050</v>
      </c>
      <c r="H278" s="28">
        <v>3</v>
      </c>
      <c r="I278" s="31">
        <v>33</v>
      </c>
      <c r="J278" s="28">
        <v>0</v>
      </c>
      <c r="K278" s="28">
        <v>0</v>
      </c>
      <c r="L278" s="28">
        <v>0</v>
      </c>
      <c r="M278" s="75">
        <v>3.6</v>
      </c>
      <c r="N278" s="151">
        <v>9500</v>
      </c>
      <c r="O278" s="151">
        <v>5410</v>
      </c>
      <c r="P278" s="95">
        <f t="array" ref="P278">ROUND(IF($F278&lt;='TaxCred&amp;Subs'!$C$49,(IF($C278=2,IF($M278&gt;=IFERROR(INDEX('TaxCred&amp;Subs'!$L$12:$L$47,MATCH(1,($C278&amp;$D278='TaxCred&amp;Subs'!$E$12:$E$47)*($F278='TaxCred&amp;Subs'!$C$12:$C$47),0)
),9999),IFERROR(INDEX('TaxCred&amp;Subs'!$N$12:$N$47,MATCH(1,($C278&amp;$D278='TaxCred&amp;Subs'!$E$12:$E$47)*($F278='TaxCred&amp;Subs'!$C$12:$C$47),0)
),0),0),(IF($M278&gt;=IFERROR(INDEX('TaxCred&amp;Subs'!$H$12:$H$47,MATCH(1,($C278&amp;$D278='TaxCred&amp;Subs'!$D$12:$D$47)*($F278='TaxCred&amp;Subs'!$C$12:$C$47),0)
),9999),IFERROR(INDEX('TaxCred&amp;Subs'!$N$12:$N$47,MATCH(1,($C278&amp;$D278='TaxCred&amp;Subs'!$D$12:$D$47)*($F278='TaxCred&amp;Subs'!$C$12:$C$47),0)
),0),0)))),0)+IF(AND($C278=2,VALUE(RIGHT($AD278,1))&gt;2),(N278-R278)*(IFERROR(INDEX('TaxCred&amp;Subs'!$J$66:$J$99,MATCH(1,($C278&amp;$D278='TaxCred&amp;Subs'!$E$66:$E$99)*($F278='TaxCred&amp;Subs'!$C$66:$C$99),0)),0)),IF(AND($C278=1,VALUE(RIGHT($AD278,1))&gt;2),(N278-R278)*(IFERROR(INDEX('TaxCred&amp;Subs'!$J$66:$J$99,MATCH(1,($C278&amp;$D278='TaxCred&amp;Subs'!$D$66:$D$99)*($F278='TaxCred&amp;Subs'!$C$66:$C$99),0)),0)),IF($C278&gt;2,(N278-R278)*(IFERROR(INDEX('TaxCred&amp;Subs'!$J$66:$J$99,MATCH(1,($C278&amp;$D278='TaxCred&amp;Subs'!$D$66:$D$99)*($F278='TaxCred&amp;Subs'!$C$66:$C$99),0)),0)),0))),0)</f>
        <v>0</v>
      </c>
      <c r="Q278" s="95">
        <f t="array" ref="Q278">ROUND(IF(AND($C278=2,VALUE(RIGHT($AD278,1))&gt;2),(O278-S278)*(IFERROR(INDEX('TaxCred&amp;Subs'!$J$66:$J$99,MATCH(1,($C278&amp;$D278='TaxCred&amp;Subs'!$E$66:$E$99)*($F278='TaxCred&amp;Subs'!$C$66:$C$99),0)),0)),IF(AND($C278=1,VALUE(RIGHT($AD278,1))&gt;2),(O278-S278)*(IFERROR(INDEX('TaxCred&amp;Subs'!$J$66:$J$99,MATCH(1,($C278&amp;$D278='TaxCred&amp;Subs'!$D$66:$D$99)*($F278='TaxCred&amp;Subs'!$C$66:$C$99),0)),0)),IF($C278&gt;2,(O278-S278)*(IFERROR(INDEX('TaxCred&amp;Subs'!$J$66:$J$99,MATCH(1,($C278&amp;$D278='TaxCred&amp;Subs'!$D$66:$D$99)*($F278='TaxCred&amp;Subs'!$C$66:$C$99),0)),0)),0))),0)</f>
        <v>0</v>
      </c>
      <c r="R278" s="95">
        <f t="array" ref="R278">ROUND(IF(IFERROR(VALUE(RIGHT($AD278,1)),0)&gt;2,IF($C278=8,N278*IFERROR(INDEX('TaxCred&amp;Subs'!$K$139:$S$151,MATCH($C278&amp;$D278&amp;LEFT($AD278,7),'TaxCred&amp;Subs'!$E$139:$E$151,0),MATCH($H278,'TaxCred&amp;Subs'!$K$137:$S$137,0)),0),IF($C278=2,N278*IFERROR(INDEX('TaxCred&amp;Subs'!$K$139:$S$151,MATCH($C278&amp;$D278,'TaxCred&amp;Subs'!$D$139:$D$151,0),MATCH($H278,'TaxCred&amp;Subs'!$K$137:$S$137,0)),0),N278*IFERROR(INDEX('TaxCred&amp;Subs'!$K$139:$S$151,MATCH($C278&amp;$D278,'TaxCred&amp;Subs'!$C$139:$C$151,0),MATCH($H278,'TaxCred&amp;Subs'!$K$137:$S$137,0)),0))),0),0)</f>
        <v>765</v>
      </c>
      <c r="S278" s="95">
        <f t="array" ref="S278">ROUND(IF(IFERROR(VALUE(RIGHT($AD278,1)),0)&gt;2,IF($C278=8,O278*IFERROR(INDEX('TaxCred&amp;Subs'!$K$139:$S$151,MATCH($C278&amp;$D278&amp;LEFT($AD278,7),'TaxCred&amp;Subs'!$E$139:$E$151,0),MATCH($H278,'TaxCred&amp;Subs'!$K$137:$S$137,0)),0),IF($C278=2,O278*IFERROR(INDEX('TaxCred&amp;Subs'!$K$139:$S$151,MATCH($C278&amp;$D278,'TaxCred&amp;Subs'!$D$139:$D$151,0),MATCH($H278,'TaxCred&amp;Subs'!$K$137:$S$137,0)),0),O278*IFERROR(INDEX('TaxCred&amp;Subs'!$K$139:$S$151,MATCH($C278&amp;$D278,'TaxCred&amp;Subs'!$C$139:$C$151,0),MATCH($H278,'TaxCred&amp;Subs'!$K$137:$S$137,0)),0))),0),0)</f>
        <v>436</v>
      </c>
      <c r="T278" s="95">
        <f t="shared" si="18"/>
        <v>0</v>
      </c>
      <c r="U278" s="95">
        <f t="shared" si="19"/>
        <v>0</v>
      </c>
      <c r="V278" s="28" t="s">
        <v>222</v>
      </c>
      <c r="W278" s="31">
        <v>2020</v>
      </c>
      <c r="X278" s="28">
        <v>1</v>
      </c>
      <c r="Y278" s="28">
        <v>0</v>
      </c>
      <c r="Z278" s="196">
        <v>-2.1513024844954491E-4</v>
      </c>
      <c r="AA278" s="196">
        <v>-3.3096961299929986E-3</v>
      </c>
      <c r="AB278" s="28">
        <v>0</v>
      </c>
      <c r="AC278" s="28">
        <v>0</v>
      </c>
      <c r="AD278" s="28" t="s">
        <v>336</v>
      </c>
    </row>
    <row r="279" spans="2:30" ht="14.25" customHeight="1" x14ac:dyDescent="0.2">
      <c r="B279" s="7">
        <f t="shared" si="17"/>
        <v>255</v>
      </c>
      <c r="C279" s="28">
        <v>1</v>
      </c>
      <c r="D279" s="28">
        <v>10</v>
      </c>
      <c r="E279" s="31">
        <v>33</v>
      </c>
      <c r="F279" s="78">
        <v>2035</v>
      </c>
      <c r="G279" s="28">
        <v>2050</v>
      </c>
      <c r="H279" s="28">
        <v>4</v>
      </c>
      <c r="I279" s="31">
        <v>33</v>
      </c>
      <c r="J279" s="28">
        <v>0</v>
      </c>
      <c r="K279" s="28">
        <v>0</v>
      </c>
      <c r="L279" s="28">
        <v>0</v>
      </c>
      <c r="M279" s="75">
        <v>3.6</v>
      </c>
      <c r="N279" s="151">
        <v>9500</v>
      </c>
      <c r="O279" s="151">
        <v>5410</v>
      </c>
      <c r="P279" s="95">
        <f t="array" ref="P279">ROUND(IF($F279&lt;='TaxCred&amp;Subs'!$C$49,(IF($C279=2,IF($M279&gt;=IFERROR(INDEX('TaxCred&amp;Subs'!$L$12:$L$47,MATCH(1,($C279&amp;$D279='TaxCred&amp;Subs'!$E$12:$E$47)*($F279='TaxCred&amp;Subs'!$C$12:$C$47),0)
),9999),IFERROR(INDEX('TaxCred&amp;Subs'!$N$12:$N$47,MATCH(1,($C279&amp;$D279='TaxCred&amp;Subs'!$E$12:$E$47)*($F279='TaxCred&amp;Subs'!$C$12:$C$47),0)
),0),0),(IF($M279&gt;=IFERROR(INDEX('TaxCred&amp;Subs'!$H$12:$H$47,MATCH(1,($C279&amp;$D279='TaxCred&amp;Subs'!$D$12:$D$47)*($F279='TaxCred&amp;Subs'!$C$12:$C$47),0)
),9999),IFERROR(INDEX('TaxCred&amp;Subs'!$N$12:$N$47,MATCH(1,($C279&amp;$D279='TaxCred&amp;Subs'!$D$12:$D$47)*($F279='TaxCred&amp;Subs'!$C$12:$C$47),0)
),0),0)))),0)+IF(AND($C279=2,VALUE(RIGHT($AD279,1))&gt;2),(N279-R279)*(IFERROR(INDEX('TaxCred&amp;Subs'!$J$66:$J$99,MATCH(1,($C279&amp;$D279='TaxCred&amp;Subs'!$E$66:$E$99)*($F279='TaxCred&amp;Subs'!$C$66:$C$99),0)),0)),IF(AND($C279=1,VALUE(RIGHT($AD279,1))&gt;2),(N279-R279)*(IFERROR(INDEX('TaxCred&amp;Subs'!$J$66:$J$99,MATCH(1,($C279&amp;$D279='TaxCred&amp;Subs'!$D$66:$D$99)*($F279='TaxCred&amp;Subs'!$C$66:$C$99),0)),0)),IF($C279&gt;2,(N279-R279)*(IFERROR(INDEX('TaxCred&amp;Subs'!$J$66:$J$99,MATCH(1,($C279&amp;$D279='TaxCred&amp;Subs'!$D$66:$D$99)*($F279='TaxCred&amp;Subs'!$C$66:$C$99),0)),0)),0))),0)</f>
        <v>0</v>
      </c>
      <c r="Q279" s="95">
        <f t="array" ref="Q279">ROUND(IF(AND($C279=2,VALUE(RIGHT($AD279,1))&gt;2),(O279-S279)*(IFERROR(INDEX('TaxCred&amp;Subs'!$J$66:$J$99,MATCH(1,($C279&amp;$D279='TaxCred&amp;Subs'!$E$66:$E$99)*($F279='TaxCred&amp;Subs'!$C$66:$C$99),0)),0)),IF(AND($C279=1,VALUE(RIGHT($AD279,1))&gt;2),(O279-S279)*(IFERROR(INDEX('TaxCred&amp;Subs'!$J$66:$J$99,MATCH(1,($C279&amp;$D279='TaxCred&amp;Subs'!$D$66:$D$99)*($F279='TaxCred&amp;Subs'!$C$66:$C$99),0)),0)),IF($C279&gt;2,(O279-S279)*(IFERROR(INDEX('TaxCred&amp;Subs'!$J$66:$J$99,MATCH(1,($C279&amp;$D279='TaxCred&amp;Subs'!$D$66:$D$99)*($F279='TaxCred&amp;Subs'!$C$66:$C$99),0)),0)),0))),0)</f>
        <v>0</v>
      </c>
      <c r="R279" s="95">
        <f t="array" ref="R279">ROUND(IF(IFERROR(VALUE(RIGHT($AD279,1)),0)&gt;2,IF($C279=8,N279*IFERROR(INDEX('TaxCred&amp;Subs'!$K$139:$S$151,MATCH($C279&amp;$D279&amp;LEFT($AD279,7),'TaxCred&amp;Subs'!$E$139:$E$151,0),MATCH($H279,'TaxCred&amp;Subs'!$K$137:$S$137,0)),0),IF($C279=2,N279*IFERROR(INDEX('TaxCred&amp;Subs'!$K$139:$S$151,MATCH($C279&amp;$D279,'TaxCred&amp;Subs'!$D$139:$D$151,0),MATCH($H279,'TaxCred&amp;Subs'!$K$137:$S$137,0)),0),N279*IFERROR(INDEX('TaxCred&amp;Subs'!$K$139:$S$151,MATCH($C279&amp;$D279,'TaxCred&amp;Subs'!$C$139:$C$151,0),MATCH($H279,'TaxCred&amp;Subs'!$K$137:$S$137,0)),0))),0),0)</f>
        <v>612</v>
      </c>
      <c r="S279" s="95">
        <f t="array" ref="S279">ROUND(IF(IFERROR(VALUE(RIGHT($AD279,1)),0)&gt;2,IF($C279=8,O279*IFERROR(INDEX('TaxCred&amp;Subs'!$K$139:$S$151,MATCH($C279&amp;$D279&amp;LEFT($AD279,7),'TaxCred&amp;Subs'!$E$139:$E$151,0),MATCH($H279,'TaxCred&amp;Subs'!$K$137:$S$137,0)),0),IF($C279=2,O279*IFERROR(INDEX('TaxCred&amp;Subs'!$K$139:$S$151,MATCH($C279&amp;$D279,'TaxCred&amp;Subs'!$D$139:$D$151,0),MATCH($H279,'TaxCred&amp;Subs'!$K$137:$S$137,0)),0),O279*IFERROR(INDEX('TaxCred&amp;Subs'!$K$139:$S$151,MATCH($C279&amp;$D279,'TaxCred&amp;Subs'!$C$139:$C$151,0),MATCH($H279,'TaxCred&amp;Subs'!$K$137:$S$137,0)),0))),0),0)</f>
        <v>349</v>
      </c>
      <c r="T279" s="95">
        <f t="shared" si="18"/>
        <v>0</v>
      </c>
      <c r="U279" s="95">
        <f t="shared" si="19"/>
        <v>0</v>
      </c>
      <c r="V279" s="28" t="s">
        <v>222</v>
      </c>
      <c r="W279" s="31">
        <v>2020</v>
      </c>
      <c r="X279" s="28">
        <v>1</v>
      </c>
      <c r="Y279" s="28">
        <v>0</v>
      </c>
      <c r="Z279" s="196">
        <v>-2.1513024844954491E-4</v>
      </c>
      <c r="AA279" s="196">
        <v>-3.3096961299929986E-3</v>
      </c>
      <c r="AB279" s="28">
        <v>0</v>
      </c>
      <c r="AC279" s="28">
        <v>0</v>
      </c>
      <c r="AD279" s="28" t="s">
        <v>336</v>
      </c>
    </row>
    <row r="280" spans="2:30" ht="14.25" customHeight="1" x14ac:dyDescent="0.2">
      <c r="B280" s="7">
        <f t="shared" si="17"/>
        <v>256</v>
      </c>
      <c r="C280" s="28">
        <v>1</v>
      </c>
      <c r="D280" s="28">
        <v>10</v>
      </c>
      <c r="E280" s="31">
        <v>33</v>
      </c>
      <c r="F280" s="78">
        <v>2035</v>
      </c>
      <c r="G280" s="28">
        <v>2050</v>
      </c>
      <c r="H280" s="28">
        <v>5</v>
      </c>
      <c r="I280" s="31">
        <v>33</v>
      </c>
      <c r="J280" s="28">
        <v>0</v>
      </c>
      <c r="K280" s="28">
        <v>0</v>
      </c>
      <c r="L280" s="28">
        <v>0</v>
      </c>
      <c r="M280" s="75">
        <v>3.6</v>
      </c>
      <c r="N280" s="151">
        <v>9500</v>
      </c>
      <c r="O280" s="151">
        <v>5410</v>
      </c>
      <c r="P280" s="95">
        <f t="array" ref="P280">ROUND(IF($F280&lt;='TaxCred&amp;Subs'!$C$49,(IF($C280=2,IF($M280&gt;=IFERROR(INDEX('TaxCred&amp;Subs'!$L$12:$L$47,MATCH(1,($C280&amp;$D280='TaxCred&amp;Subs'!$E$12:$E$47)*($F280='TaxCred&amp;Subs'!$C$12:$C$47),0)
),9999),IFERROR(INDEX('TaxCred&amp;Subs'!$N$12:$N$47,MATCH(1,($C280&amp;$D280='TaxCred&amp;Subs'!$E$12:$E$47)*($F280='TaxCred&amp;Subs'!$C$12:$C$47),0)
),0),0),(IF($M280&gt;=IFERROR(INDEX('TaxCred&amp;Subs'!$H$12:$H$47,MATCH(1,($C280&amp;$D280='TaxCred&amp;Subs'!$D$12:$D$47)*($F280='TaxCred&amp;Subs'!$C$12:$C$47),0)
),9999),IFERROR(INDEX('TaxCred&amp;Subs'!$N$12:$N$47,MATCH(1,($C280&amp;$D280='TaxCred&amp;Subs'!$D$12:$D$47)*($F280='TaxCred&amp;Subs'!$C$12:$C$47),0)
),0),0)))),0)+IF(AND($C280=2,VALUE(RIGHT($AD280,1))&gt;2),(N280-R280)*(IFERROR(INDEX('TaxCred&amp;Subs'!$J$66:$J$99,MATCH(1,($C280&amp;$D280='TaxCred&amp;Subs'!$E$66:$E$99)*($F280='TaxCred&amp;Subs'!$C$66:$C$99),0)),0)),IF(AND($C280=1,VALUE(RIGHT($AD280,1))&gt;2),(N280-R280)*(IFERROR(INDEX('TaxCred&amp;Subs'!$J$66:$J$99,MATCH(1,($C280&amp;$D280='TaxCred&amp;Subs'!$D$66:$D$99)*($F280='TaxCred&amp;Subs'!$C$66:$C$99),0)),0)),IF($C280&gt;2,(N280-R280)*(IFERROR(INDEX('TaxCred&amp;Subs'!$J$66:$J$99,MATCH(1,($C280&amp;$D280='TaxCred&amp;Subs'!$D$66:$D$99)*($F280='TaxCred&amp;Subs'!$C$66:$C$99),0)),0)),0))),0)</f>
        <v>0</v>
      </c>
      <c r="Q280" s="95">
        <f t="array" ref="Q280">ROUND(IF(AND($C280=2,VALUE(RIGHT($AD280,1))&gt;2),(O280-S280)*(IFERROR(INDEX('TaxCred&amp;Subs'!$J$66:$J$99,MATCH(1,($C280&amp;$D280='TaxCred&amp;Subs'!$E$66:$E$99)*($F280='TaxCred&amp;Subs'!$C$66:$C$99),0)),0)),IF(AND($C280=1,VALUE(RIGHT($AD280,1))&gt;2),(O280-S280)*(IFERROR(INDEX('TaxCred&amp;Subs'!$J$66:$J$99,MATCH(1,($C280&amp;$D280='TaxCred&amp;Subs'!$D$66:$D$99)*($F280='TaxCred&amp;Subs'!$C$66:$C$99),0)),0)),IF($C280&gt;2,(O280-S280)*(IFERROR(INDEX('TaxCred&amp;Subs'!$J$66:$J$99,MATCH(1,($C280&amp;$D280='TaxCred&amp;Subs'!$D$66:$D$99)*($F280='TaxCred&amp;Subs'!$C$66:$C$99),0)),0)),0))),0)</f>
        <v>0</v>
      </c>
      <c r="R280" s="95">
        <f t="array" ref="R280">ROUND(IF(IFERROR(VALUE(RIGHT($AD280,1)),0)&gt;2,IF($C280=8,N280*IFERROR(INDEX('TaxCred&amp;Subs'!$K$139:$S$151,MATCH($C280&amp;$D280&amp;LEFT($AD280,7),'TaxCred&amp;Subs'!$E$139:$E$151,0),MATCH($H280,'TaxCred&amp;Subs'!$K$137:$S$137,0)),0),IF($C280=2,N280*IFERROR(INDEX('TaxCred&amp;Subs'!$K$139:$S$151,MATCH($C280&amp;$D280,'TaxCred&amp;Subs'!$D$139:$D$151,0),MATCH($H280,'TaxCred&amp;Subs'!$K$137:$S$137,0)),0),N280*IFERROR(INDEX('TaxCred&amp;Subs'!$K$139:$S$151,MATCH($C280&amp;$D280,'TaxCred&amp;Subs'!$C$139:$C$151,0),MATCH($H280,'TaxCred&amp;Subs'!$K$137:$S$137,0)),0))),0),0)</f>
        <v>663</v>
      </c>
      <c r="S280" s="95">
        <f t="array" ref="S280">ROUND(IF(IFERROR(VALUE(RIGHT($AD280,1)),0)&gt;2,IF($C280=8,O280*IFERROR(INDEX('TaxCred&amp;Subs'!$K$139:$S$151,MATCH($C280&amp;$D280&amp;LEFT($AD280,7),'TaxCred&amp;Subs'!$E$139:$E$151,0),MATCH($H280,'TaxCred&amp;Subs'!$K$137:$S$137,0)),0),IF($C280=2,O280*IFERROR(INDEX('TaxCred&amp;Subs'!$K$139:$S$151,MATCH($C280&amp;$D280,'TaxCred&amp;Subs'!$D$139:$D$151,0),MATCH($H280,'TaxCred&amp;Subs'!$K$137:$S$137,0)),0),O280*IFERROR(INDEX('TaxCred&amp;Subs'!$K$139:$S$151,MATCH($C280&amp;$D280,'TaxCred&amp;Subs'!$C$139:$C$151,0),MATCH($H280,'TaxCred&amp;Subs'!$K$137:$S$137,0)),0))),0),0)</f>
        <v>377</v>
      </c>
      <c r="T280" s="95">
        <f t="shared" si="18"/>
        <v>0</v>
      </c>
      <c r="U280" s="95">
        <f t="shared" si="19"/>
        <v>0</v>
      </c>
      <c r="V280" s="28" t="s">
        <v>222</v>
      </c>
      <c r="W280" s="31">
        <v>2020</v>
      </c>
      <c r="X280" s="28">
        <v>1</v>
      </c>
      <c r="Y280" s="28">
        <v>0</v>
      </c>
      <c r="Z280" s="196">
        <v>-2.1513024844954491E-4</v>
      </c>
      <c r="AA280" s="196">
        <v>-3.3096961299929986E-3</v>
      </c>
      <c r="AB280" s="28">
        <v>0</v>
      </c>
      <c r="AC280" s="28">
        <v>0</v>
      </c>
      <c r="AD280" s="28" t="s">
        <v>336</v>
      </c>
    </row>
    <row r="281" spans="2:30" ht="14.25" customHeight="1" x14ac:dyDescent="0.2">
      <c r="B281" s="7">
        <f t="shared" si="17"/>
        <v>257</v>
      </c>
      <c r="C281" s="28">
        <v>1</v>
      </c>
      <c r="D281" s="28">
        <v>10</v>
      </c>
      <c r="E281" s="31">
        <v>33</v>
      </c>
      <c r="F281" s="78">
        <v>2035</v>
      </c>
      <c r="G281" s="28">
        <v>2050</v>
      </c>
      <c r="H281" s="28">
        <v>6</v>
      </c>
      <c r="I281" s="31">
        <v>33</v>
      </c>
      <c r="J281" s="28">
        <v>0</v>
      </c>
      <c r="K281" s="28">
        <v>0</v>
      </c>
      <c r="L281" s="28">
        <v>0</v>
      </c>
      <c r="M281" s="75">
        <v>3.6</v>
      </c>
      <c r="N281" s="151">
        <v>9500</v>
      </c>
      <c r="O281" s="151">
        <v>5410</v>
      </c>
      <c r="P281" s="95">
        <f t="array" ref="P281">ROUND(IF($F281&lt;='TaxCred&amp;Subs'!$C$49,(IF($C281=2,IF($M281&gt;=IFERROR(INDEX('TaxCred&amp;Subs'!$L$12:$L$47,MATCH(1,($C281&amp;$D281='TaxCred&amp;Subs'!$E$12:$E$47)*($F281='TaxCred&amp;Subs'!$C$12:$C$47),0)
),9999),IFERROR(INDEX('TaxCred&amp;Subs'!$N$12:$N$47,MATCH(1,($C281&amp;$D281='TaxCred&amp;Subs'!$E$12:$E$47)*($F281='TaxCred&amp;Subs'!$C$12:$C$47),0)
),0),0),(IF($M281&gt;=IFERROR(INDEX('TaxCred&amp;Subs'!$H$12:$H$47,MATCH(1,($C281&amp;$D281='TaxCred&amp;Subs'!$D$12:$D$47)*($F281='TaxCred&amp;Subs'!$C$12:$C$47),0)
),9999),IFERROR(INDEX('TaxCred&amp;Subs'!$N$12:$N$47,MATCH(1,($C281&amp;$D281='TaxCred&amp;Subs'!$D$12:$D$47)*($F281='TaxCred&amp;Subs'!$C$12:$C$47),0)
),0),0)))),0)+IF(AND($C281=2,VALUE(RIGHT($AD281,1))&gt;2),(N281-R281)*(IFERROR(INDEX('TaxCred&amp;Subs'!$J$66:$J$99,MATCH(1,($C281&amp;$D281='TaxCred&amp;Subs'!$E$66:$E$99)*($F281='TaxCred&amp;Subs'!$C$66:$C$99),0)),0)),IF(AND($C281=1,VALUE(RIGHT($AD281,1))&gt;2),(N281-R281)*(IFERROR(INDEX('TaxCred&amp;Subs'!$J$66:$J$99,MATCH(1,($C281&amp;$D281='TaxCred&amp;Subs'!$D$66:$D$99)*($F281='TaxCred&amp;Subs'!$C$66:$C$99),0)),0)),IF($C281&gt;2,(N281-R281)*(IFERROR(INDEX('TaxCred&amp;Subs'!$J$66:$J$99,MATCH(1,($C281&amp;$D281='TaxCred&amp;Subs'!$D$66:$D$99)*($F281='TaxCred&amp;Subs'!$C$66:$C$99),0)),0)),0))),0)</f>
        <v>0</v>
      </c>
      <c r="Q281" s="95">
        <f t="array" ref="Q281">ROUND(IF(AND($C281=2,VALUE(RIGHT($AD281,1))&gt;2),(O281-S281)*(IFERROR(INDEX('TaxCred&amp;Subs'!$J$66:$J$99,MATCH(1,($C281&amp;$D281='TaxCred&amp;Subs'!$E$66:$E$99)*($F281='TaxCred&amp;Subs'!$C$66:$C$99),0)),0)),IF(AND($C281=1,VALUE(RIGHT($AD281,1))&gt;2),(O281-S281)*(IFERROR(INDEX('TaxCred&amp;Subs'!$J$66:$J$99,MATCH(1,($C281&amp;$D281='TaxCred&amp;Subs'!$D$66:$D$99)*($F281='TaxCred&amp;Subs'!$C$66:$C$99),0)),0)),IF($C281&gt;2,(O281-S281)*(IFERROR(INDEX('TaxCred&amp;Subs'!$J$66:$J$99,MATCH(1,($C281&amp;$D281='TaxCred&amp;Subs'!$D$66:$D$99)*($F281='TaxCred&amp;Subs'!$C$66:$C$99),0)),0)),0))),0)</f>
        <v>0</v>
      </c>
      <c r="R281" s="95">
        <f t="array" ref="R281">ROUND(IF(IFERROR(VALUE(RIGHT($AD281,1)),0)&gt;2,IF($C281=8,N281*IFERROR(INDEX('TaxCred&amp;Subs'!$K$139:$S$151,MATCH($C281&amp;$D281&amp;LEFT($AD281,7),'TaxCred&amp;Subs'!$E$139:$E$151,0),MATCH($H281,'TaxCred&amp;Subs'!$K$137:$S$137,0)),0),IF($C281=2,N281*IFERROR(INDEX('TaxCred&amp;Subs'!$K$139:$S$151,MATCH($C281&amp;$D281,'TaxCred&amp;Subs'!$D$139:$D$151,0),MATCH($H281,'TaxCred&amp;Subs'!$K$137:$S$137,0)),0),N281*IFERROR(INDEX('TaxCred&amp;Subs'!$K$139:$S$151,MATCH($C281&amp;$D281,'TaxCred&amp;Subs'!$C$139:$C$151,0),MATCH($H281,'TaxCred&amp;Subs'!$K$137:$S$137,0)),0))),0),0)</f>
        <v>837</v>
      </c>
      <c r="S281" s="95">
        <f t="array" ref="S281">ROUND(IF(IFERROR(VALUE(RIGHT($AD281,1)),0)&gt;2,IF($C281=8,O281*IFERROR(INDEX('TaxCred&amp;Subs'!$K$139:$S$151,MATCH($C281&amp;$D281&amp;LEFT($AD281,7),'TaxCred&amp;Subs'!$E$139:$E$151,0),MATCH($H281,'TaxCred&amp;Subs'!$K$137:$S$137,0)),0),IF($C281=2,O281*IFERROR(INDEX('TaxCred&amp;Subs'!$K$139:$S$151,MATCH($C281&amp;$D281,'TaxCred&amp;Subs'!$D$139:$D$151,0),MATCH($H281,'TaxCred&amp;Subs'!$K$137:$S$137,0)),0),O281*IFERROR(INDEX('TaxCred&amp;Subs'!$K$139:$S$151,MATCH($C281&amp;$D281,'TaxCred&amp;Subs'!$C$139:$C$151,0),MATCH($H281,'TaxCred&amp;Subs'!$K$137:$S$137,0)),0))),0),0)</f>
        <v>477</v>
      </c>
      <c r="T281" s="95">
        <f t="shared" si="18"/>
        <v>0</v>
      </c>
      <c r="U281" s="95">
        <f t="shared" si="19"/>
        <v>0</v>
      </c>
      <c r="V281" s="28" t="s">
        <v>222</v>
      </c>
      <c r="W281" s="31">
        <v>2020</v>
      </c>
      <c r="X281" s="28">
        <v>1</v>
      </c>
      <c r="Y281" s="28">
        <v>0</v>
      </c>
      <c r="Z281" s="196">
        <v>-2.1513024844954491E-4</v>
      </c>
      <c r="AA281" s="196">
        <v>-3.3096961299929986E-3</v>
      </c>
      <c r="AB281" s="28">
        <v>0</v>
      </c>
      <c r="AC281" s="28">
        <v>0</v>
      </c>
      <c r="AD281" s="28" t="s">
        <v>336</v>
      </c>
    </row>
    <row r="282" spans="2:30" ht="14.25" customHeight="1" x14ac:dyDescent="0.2">
      <c r="B282" s="7">
        <f t="shared" si="17"/>
        <v>258</v>
      </c>
      <c r="C282" s="28">
        <v>1</v>
      </c>
      <c r="D282" s="28">
        <v>10</v>
      </c>
      <c r="E282" s="31">
        <v>33</v>
      </c>
      <c r="F282" s="78">
        <v>2035</v>
      </c>
      <c r="G282" s="28">
        <v>2050</v>
      </c>
      <c r="H282" s="28">
        <v>7</v>
      </c>
      <c r="I282" s="31">
        <v>33</v>
      </c>
      <c r="J282" s="28">
        <v>0</v>
      </c>
      <c r="K282" s="28">
        <v>0</v>
      </c>
      <c r="L282" s="28">
        <v>0</v>
      </c>
      <c r="M282" s="75">
        <v>3.6</v>
      </c>
      <c r="N282" s="151">
        <v>9500</v>
      </c>
      <c r="O282" s="151">
        <v>5410</v>
      </c>
      <c r="P282" s="95">
        <f t="array" ref="P282">ROUND(IF($F282&lt;='TaxCred&amp;Subs'!$C$49,(IF($C282=2,IF($M282&gt;=IFERROR(INDEX('TaxCred&amp;Subs'!$L$12:$L$47,MATCH(1,($C282&amp;$D282='TaxCred&amp;Subs'!$E$12:$E$47)*($F282='TaxCred&amp;Subs'!$C$12:$C$47),0)
),9999),IFERROR(INDEX('TaxCred&amp;Subs'!$N$12:$N$47,MATCH(1,($C282&amp;$D282='TaxCred&amp;Subs'!$E$12:$E$47)*($F282='TaxCred&amp;Subs'!$C$12:$C$47),0)
),0),0),(IF($M282&gt;=IFERROR(INDEX('TaxCred&amp;Subs'!$H$12:$H$47,MATCH(1,($C282&amp;$D282='TaxCred&amp;Subs'!$D$12:$D$47)*($F282='TaxCred&amp;Subs'!$C$12:$C$47),0)
),9999),IFERROR(INDEX('TaxCred&amp;Subs'!$N$12:$N$47,MATCH(1,($C282&amp;$D282='TaxCred&amp;Subs'!$D$12:$D$47)*($F282='TaxCred&amp;Subs'!$C$12:$C$47),0)
),0),0)))),0)+IF(AND($C282=2,VALUE(RIGHT($AD282,1))&gt;2),(N282-R282)*(IFERROR(INDEX('TaxCred&amp;Subs'!$J$66:$J$99,MATCH(1,($C282&amp;$D282='TaxCred&amp;Subs'!$E$66:$E$99)*($F282='TaxCred&amp;Subs'!$C$66:$C$99),0)),0)),IF(AND($C282=1,VALUE(RIGHT($AD282,1))&gt;2),(N282-R282)*(IFERROR(INDEX('TaxCred&amp;Subs'!$J$66:$J$99,MATCH(1,($C282&amp;$D282='TaxCred&amp;Subs'!$D$66:$D$99)*($F282='TaxCred&amp;Subs'!$C$66:$C$99),0)),0)),IF($C282&gt;2,(N282-R282)*(IFERROR(INDEX('TaxCred&amp;Subs'!$J$66:$J$99,MATCH(1,($C282&amp;$D282='TaxCred&amp;Subs'!$D$66:$D$99)*($F282='TaxCred&amp;Subs'!$C$66:$C$99),0)),0)),0))),0)</f>
        <v>0</v>
      </c>
      <c r="Q282" s="95">
        <f t="array" ref="Q282">ROUND(IF(AND($C282=2,VALUE(RIGHT($AD282,1))&gt;2),(O282-S282)*(IFERROR(INDEX('TaxCred&amp;Subs'!$J$66:$J$99,MATCH(1,($C282&amp;$D282='TaxCred&amp;Subs'!$E$66:$E$99)*($F282='TaxCred&amp;Subs'!$C$66:$C$99),0)),0)),IF(AND($C282=1,VALUE(RIGHT($AD282,1))&gt;2),(O282-S282)*(IFERROR(INDEX('TaxCred&amp;Subs'!$J$66:$J$99,MATCH(1,($C282&amp;$D282='TaxCred&amp;Subs'!$D$66:$D$99)*($F282='TaxCred&amp;Subs'!$C$66:$C$99),0)),0)),IF($C282&gt;2,(O282-S282)*(IFERROR(INDEX('TaxCred&amp;Subs'!$J$66:$J$99,MATCH(1,($C282&amp;$D282='TaxCred&amp;Subs'!$D$66:$D$99)*($F282='TaxCred&amp;Subs'!$C$66:$C$99),0)),0)),0))),0)</f>
        <v>0</v>
      </c>
      <c r="R282" s="95">
        <f t="array" ref="R282">ROUND(IF(IFERROR(VALUE(RIGHT($AD282,1)),0)&gt;2,IF($C282=8,N282*IFERROR(INDEX('TaxCred&amp;Subs'!$K$139:$S$151,MATCH($C282&amp;$D282&amp;LEFT($AD282,7),'TaxCred&amp;Subs'!$E$139:$E$151,0),MATCH($H282,'TaxCred&amp;Subs'!$K$137:$S$137,0)),0),IF($C282=2,N282*IFERROR(INDEX('TaxCred&amp;Subs'!$K$139:$S$151,MATCH($C282&amp;$D282,'TaxCred&amp;Subs'!$D$139:$D$151,0),MATCH($H282,'TaxCred&amp;Subs'!$K$137:$S$137,0)),0),N282*IFERROR(INDEX('TaxCred&amp;Subs'!$K$139:$S$151,MATCH($C282&amp;$D282,'TaxCred&amp;Subs'!$C$139:$C$151,0),MATCH($H282,'TaxCred&amp;Subs'!$K$137:$S$137,0)),0))),0),0)</f>
        <v>351</v>
      </c>
      <c r="S282" s="95">
        <f t="array" ref="S282">ROUND(IF(IFERROR(VALUE(RIGHT($AD282,1)),0)&gt;2,IF($C282=8,O282*IFERROR(INDEX('TaxCred&amp;Subs'!$K$139:$S$151,MATCH($C282&amp;$D282&amp;LEFT($AD282,7),'TaxCred&amp;Subs'!$E$139:$E$151,0),MATCH($H282,'TaxCred&amp;Subs'!$K$137:$S$137,0)),0),IF($C282=2,O282*IFERROR(INDEX('TaxCred&amp;Subs'!$K$139:$S$151,MATCH($C282&amp;$D282,'TaxCred&amp;Subs'!$D$139:$D$151,0),MATCH($H282,'TaxCred&amp;Subs'!$K$137:$S$137,0)),0),O282*IFERROR(INDEX('TaxCred&amp;Subs'!$K$139:$S$151,MATCH($C282&amp;$D282,'TaxCred&amp;Subs'!$C$139:$C$151,0),MATCH($H282,'TaxCred&amp;Subs'!$K$137:$S$137,0)),0))),0),0)</f>
        <v>200</v>
      </c>
      <c r="T282" s="95">
        <f t="shared" si="18"/>
        <v>0</v>
      </c>
      <c r="U282" s="95">
        <f t="shared" si="19"/>
        <v>0</v>
      </c>
      <c r="V282" s="28" t="s">
        <v>222</v>
      </c>
      <c r="W282" s="31">
        <v>2020</v>
      </c>
      <c r="X282" s="28">
        <v>1</v>
      </c>
      <c r="Y282" s="28">
        <v>0</v>
      </c>
      <c r="Z282" s="196">
        <v>-2.1513024844954491E-4</v>
      </c>
      <c r="AA282" s="196">
        <v>-3.3096961299929986E-3</v>
      </c>
      <c r="AB282" s="28">
        <v>0</v>
      </c>
      <c r="AC282" s="28">
        <v>0</v>
      </c>
      <c r="AD282" s="28" t="s">
        <v>336</v>
      </c>
    </row>
    <row r="283" spans="2:30" ht="14.25" customHeight="1" x14ac:dyDescent="0.2">
      <c r="B283" s="7">
        <f t="shared" ref="B283:B346" si="20">B282+1</f>
        <v>259</v>
      </c>
      <c r="C283" s="28">
        <v>1</v>
      </c>
      <c r="D283" s="28">
        <v>10</v>
      </c>
      <c r="E283" s="31">
        <v>33</v>
      </c>
      <c r="F283" s="78">
        <v>2035</v>
      </c>
      <c r="G283" s="28">
        <v>2050</v>
      </c>
      <c r="H283" s="28">
        <v>8</v>
      </c>
      <c r="I283" s="31">
        <v>33</v>
      </c>
      <c r="J283" s="28">
        <v>0</v>
      </c>
      <c r="K283" s="28">
        <v>0</v>
      </c>
      <c r="L283" s="28">
        <v>0</v>
      </c>
      <c r="M283" s="75">
        <v>3.6</v>
      </c>
      <c r="N283" s="151">
        <v>9500</v>
      </c>
      <c r="O283" s="151">
        <v>5410</v>
      </c>
      <c r="P283" s="95">
        <f t="array" ref="P283">ROUND(IF($F283&lt;='TaxCred&amp;Subs'!$C$49,(IF($C283=2,IF($M283&gt;=IFERROR(INDEX('TaxCred&amp;Subs'!$L$12:$L$47,MATCH(1,($C283&amp;$D283='TaxCred&amp;Subs'!$E$12:$E$47)*($F283='TaxCred&amp;Subs'!$C$12:$C$47),0)
),9999),IFERROR(INDEX('TaxCred&amp;Subs'!$N$12:$N$47,MATCH(1,($C283&amp;$D283='TaxCred&amp;Subs'!$E$12:$E$47)*($F283='TaxCred&amp;Subs'!$C$12:$C$47),0)
),0),0),(IF($M283&gt;=IFERROR(INDEX('TaxCred&amp;Subs'!$H$12:$H$47,MATCH(1,($C283&amp;$D283='TaxCred&amp;Subs'!$D$12:$D$47)*($F283='TaxCred&amp;Subs'!$C$12:$C$47),0)
),9999),IFERROR(INDEX('TaxCred&amp;Subs'!$N$12:$N$47,MATCH(1,($C283&amp;$D283='TaxCred&amp;Subs'!$D$12:$D$47)*($F283='TaxCred&amp;Subs'!$C$12:$C$47),0)
),0),0)))),0)+IF(AND($C283=2,VALUE(RIGHT($AD283,1))&gt;2),(N283-R283)*(IFERROR(INDEX('TaxCred&amp;Subs'!$J$66:$J$99,MATCH(1,($C283&amp;$D283='TaxCred&amp;Subs'!$E$66:$E$99)*($F283='TaxCred&amp;Subs'!$C$66:$C$99),0)),0)),IF(AND($C283=1,VALUE(RIGHT($AD283,1))&gt;2),(N283-R283)*(IFERROR(INDEX('TaxCred&amp;Subs'!$J$66:$J$99,MATCH(1,($C283&amp;$D283='TaxCred&amp;Subs'!$D$66:$D$99)*($F283='TaxCred&amp;Subs'!$C$66:$C$99),0)),0)),IF($C283&gt;2,(N283-R283)*(IFERROR(INDEX('TaxCred&amp;Subs'!$J$66:$J$99,MATCH(1,($C283&amp;$D283='TaxCred&amp;Subs'!$D$66:$D$99)*($F283='TaxCred&amp;Subs'!$C$66:$C$99),0)),0)),0))),0)</f>
        <v>0</v>
      </c>
      <c r="Q283" s="95">
        <f t="array" ref="Q283">ROUND(IF(AND($C283=2,VALUE(RIGHT($AD283,1))&gt;2),(O283-S283)*(IFERROR(INDEX('TaxCred&amp;Subs'!$J$66:$J$99,MATCH(1,($C283&amp;$D283='TaxCred&amp;Subs'!$E$66:$E$99)*($F283='TaxCred&amp;Subs'!$C$66:$C$99),0)),0)),IF(AND($C283=1,VALUE(RIGHT($AD283,1))&gt;2),(O283-S283)*(IFERROR(INDEX('TaxCred&amp;Subs'!$J$66:$J$99,MATCH(1,($C283&amp;$D283='TaxCred&amp;Subs'!$D$66:$D$99)*($F283='TaxCred&amp;Subs'!$C$66:$C$99),0)),0)),IF($C283&gt;2,(O283-S283)*(IFERROR(INDEX('TaxCred&amp;Subs'!$J$66:$J$99,MATCH(1,($C283&amp;$D283='TaxCred&amp;Subs'!$D$66:$D$99)*($F283='TaxCred&amp;Subs'!$C$66:$C$99),0)),0)),0))),0)</f>
        <v>0</v>
      </c>
      <c r="R283" s="95">
        <f t="array" ref="R283">ROUND(IF(IFERROR(VALUE(RIGHT($AD283,1)),0)&gt;2,IF($C283=8,N283*IFERROR(INDEX('TaxCred&amp;Subs'!$K$139:$S$151,MATCH($C283&amp;$D283&amp;LEFT($AD283,7),'TaxCred&amp;Subs'!$E$139:$E$151,0),MATCH($H283,'TaxCred&amp;Subs'!$K$137:$S$137,0)),0),IF($C283=2,N283*IFERROR(INDEX('TaxCred&amp;Subs'!$K$139:$S$151,MATCH($C283&amp;$D283,'TaxCred&amp;Subs'!$D$139:$D$151,0),MATCH($H283,'TaxCred&amp;Subs'!$K$137:$S$137,0)),0),N283*IFERROR(INDEX('TaxCred&amp;Subs'!$K$139:$S$151,MATCH($C283&amp;$D283,'TaxCred&amp;Subs'!$C$139:$C$151,0),MATCH($H283,'TaxCred&amp;Subs'!$K$137:$S$137,0)),0))),0),0)</f>
        <v>478</v>
      </c>
      <c r="S283" s="95">
        <f t="array" ref="S283">ROUND(IF(IFERROR(VALUE(RIGHT($AD283,1)),0)&gt;2,IF($C283=8,O283*IFERROR(INDEX('TaxCred&amp;Subs'!$K$139:$S$151,MATCH($C283&amp;$D283&amp;LEFT($AD283,7),'TaxCred&amp;Subs'!$E$139:$E$151,0),MATCH($H283,'TaxCred&amp;Subs'!$K$137:$S$137,0)),0),IF($C283=2,O283*IFERROR(INDEX('TaxCred&amp;Subs'!$K$139:$S$151,MATCH($C283&amp;$D283,'TaxCred&amp;Subs'!$D$139:$D$151,0),MATCH($H283,'TaxCred&amp;Subs'!$K$137:$S$137,0)),0),O283*IFERROR(INDEX('TaxCred&amp;Subs'!$K$139:$S$151,MATCH($C283&amp;$D283,'TaxCred&amp;Subs'!$C$139:$C$151,0),MATCH($H283,'TaxCred&amp;Subs'!$K$137:$S$137,0)),0))),0),0)</f>
        <v>272</v>
      </c>
      <c r="T283" s="95">
        <f t="shared" si="18"/>
        <v>0</v>
      </c>
      <c r="U283" s="95">
        <f t="shared" si="19"/>
        <v>0</v>
      </c>
      <c r="V283" s="28" t="s">
        <v>222</v>
      </c>
      <c r="W283" s="31">
        <v>2020</v>
      </c>
      <c r="X283" s="28">
        <v>1</v>
      </c>
      <c r="Y283" s="28">
        <v>0</v>
      </c>
      <c r="Z283" s="196">
        <v>-2.1513024844954491E-4</v>
      </c>
      <c r="AA283" s="196">
        <v>-3.3096961299929986E-3</v>
      </c>
      <c r="AB283" s="28">
        <v>0</v>
      </c>
      <c r="AC283" s="28">
        <v>0</v>
      </c>
      <c r="AD283" s="28" t="s">
        <v>336</v>
      </c>
    </row>
    <row r="284" spans="2:30" ht="14.25" customHeight="1" x14ac:dyDescent="0.2">
      <c r="B284" s="7">
        <f t="shared" si="20"/>
        <v>260</v>
      </c>
      <c r="C284" s="28">
        <v>1</v>
      </c>
      <c r="D284" s="28">
        <v>10</v>
      </c>
      <c r="E284" s="31">
        <v>33</v>
      </c>
      <c r="F284" s="78">
        <v>2035</v>
      </c>
      <c r="G284" s="28">
        <v>2050</v>
      </c>
      <c r="H284" s="28">
        <v>9</v>
      </c>
      <c r="I284" s="31">
        <v>33</v>
      </c>
      <c r="J284" s="28">
        <v>0</v>
      </c>
      <c r="K284" s="28">
        <v>0</v>
      </c>
      <c r="L284" s="28">
        <v>0</v>
      </c>
      <c r="M284" s="75">
        <v>3.6</v>
      </c>
      <c r="N284" s="151">
        <v>9500</v>
      </c>
      <c r="O284" s="151">
        <v>5410</v>
      </c>
      <c r="P284" s="95">
        <f t="array" ref="P284">ROUND(IF($F284&lt;='TaxCred&amp;Subs'!$C$49,(IF($C284=2,IF($M284&gt;=IFERROR(INDEX('TaxCred&amp;Subs'!$L$12:$L$47,MATCH(1,($C284&amp;$D284='TaxCred&amp;Subs'!$E$12:$E$47)*($F284='TaxCred&amp;Subs'!$C$12:$C$47),0)
),9999),IFERROR(INDEX('TaxCred&amp;Subs'!$N$12:$N$47,MATCH(1,($C284&amp;$D284='TaxCred&amp;Subs'!$E$12:$E$47)*($F284='TaxCred&amp;Subs'!$C$12:$C$47),0)
),0),0),(IF($M284&gt;=IFERROR(INDEX('TaxCred&amp;Subs'!$H$12:$H$47,MATCH(1,($C284&amp;$D284='TaxCred&amp;Subs'!$D$12:$D$47)*($F284='TaxCred&amp;Subs'!$C$12:$C$47),0)
),9999),IFERROR(INDEX('TaxCred&amp;Subs'!$N$12:$N$47,MATCH(1,($C284&amp;$D284='TaxCred&amp;Subs'!$D$12:$D$47)*($F284='TaxCred&amp;Subs'!$C$12:$C$47),0)
),0),0)))),0)+IF(AND($C284=2,VALUE(RIGHT($AD284,1))&gt;2),(N284-R284)*(IFERROR(INDEX('TaxCred&amp;Subs'!$J$66:$J$99,MATCH(1,($C284&amp;$D284='TaxCred&amp;Subs'!$E$66:$E$99)*($F284='TaxCred&amp;Subs'!$C$66:$C$99),0)),0)),IF(AND($C284=1,VALUE(RIGHT($AD284,1))&gt;2),(N284-R284)*(IFERROR(INDEX('TaxCred&amp;Subs'!$J$66:$J$99,MATCH(1,($C284&amp;$D284='TaxCred&amp;Subs'!$D$66:$D$99)*($F284='TaxCred&amp;Subs'!$C$66:$C$99),0)),0)),IF($C284&gt;2,(N284-R284)*(IFERROR(INDEX('TaxCred&amp;Subs'!$J$66:$J$99,MATCH(1,($C284&amp;$D284='TaxCred&amp;Subs'!$D$66:$D$99)*($F284='TaxCred&amp;Subs'!$C$66:$C$99),0)),0)),0))),0)</f>
        <v>0</v>
      </c>
      <c r="Q284" s="95">
        <f t="array" ref="Q284">ROUND(IF(AND($C284=2,VALUE(RIGHT($AD284,1))&gt;2),(O284-S284)*(IFERROR(INDEX('TaxCred&amp;Subs'!$J$66:$J$99,MATCH(1,($C284&amp;$D284='TaxCred&amp;Subs'!$E$66:$E$99)*($F284='TaxCred&amp;Subs'!$C$66:$C$99),0)),0)),IF(AND($C284=1,VALUE(RIGHT($AD284,1))&gt;2),(O284-S284)*(IFERROR(INDEX('TaxCred&amp;Subs'!$J$66:$J$99,MATCH(1,($C284&amp;$D284='TaxCred&amp;Subs'!$D$66:$D$99)*($F284='TaxCred&amp;Subs'!$C$66:$C$99),0)),0)),IF($C284&gt;2,(O284-S284)*(IFERROR(INDEX('TaxCred&amp;Subs'!$J$66:$J$99,MATCH(1,($C284&amp;$D284='TaxCred&amp;Subs'!$D$66:$D$99)*($F284='TaxCred&amp;Subs'!$C$66:$C$99),0)),0)),0))),0)</f>
        <v>0</v>
      </c>
      <c r="R284" s="95">
        <f t="array" ref="R284">ROUND(IF(IFERROR(VALUE(RIGHT($AD284,1)),0)&gt;2,IF($C284=8,N284*IFERROR(INDEX('TaxCred&amp;Subs'!$K$139:$S$151,MATCH($C284&amp;$D284&amp;LEFT($AD284,7),'TaxCred&amp;Subs'!$E$139:$E$151,0),MATCH($H284,'TaxCred&amp;Subs'!$K$137:$S$137,0)),0),IF($C284=2,N284*IFERROR(INDEX('TaxCred&amp;Subs'!$K$139:$S$151,MATCH($C284&amp;$D284,'TaxCred&amp;Subs'!$D$139:$D$151,0),MATCH($H284,'TaxCred&amp;Subs'!$K$137:$S$137,0)),0),N284*IFERROR(INDEX('TaxCred&amp;Subs'!$K$139:$S$151,MATCH($C284&amp;$D284,'TaxCred&amp;Subs'!$C$139:$C$151,0),MATCH($H284,'TaxCred&amp;Subs'!$K$137:$S$137,0)),0))),0),0)</f>
        <v>233</v>
      </c>
      <c r="S284" s="95">
        <f t="array" ref="S284">ROUND(IF(IFERROR(VALUE(RIGHT($AD284,1)),0)&gt;2,IF($C284=8,O284*IFERROR(INDEX('TaxCred&amp;Subs'!$K$139:$S$151,MATCH($C284&amp;$D284&amp;LEFT($AD284,7),'TaxCred&amp;Subs'!$E$139:$E$151,0),MATCH($H284,'TaxCred&amp;Subs'!$K$137:$S$137,0)),0),IF($C284=2,O284*IFERROR(INDEX('TaxCred&amp;Subs'!$K$139:$S$151,MATCH($C284&amp;$D284,'TaxCred&amp;Subs'!$D$139:$D$151,0),MATCH($H284,'TaxCred&amp;Subs'!$K$137:$S$137,0)),0),O284*IFERROR(INDEX('TaxCred&amp;Subs'!$K$139:$S$151,MATCH($C284&amp;$D284,'TaxCred&amp;Subs'!$C$139:$C$151,0),MATCH($H284,'TaxCred&amp;Subs'!$K$137:$S$137,0)),0))),0),0)</f>
        <v>133</v>
      </c>
      <c r="T284" s="172">
        <f t="shared" si="18"/>
        <v>1425</v>
      </c>
      <c r="U284" s="172">
        <f t="shared" si="19"/>
        <v>811.5</v>
      </c>
      <c r="V284" s="28" t="s">
        <v>222</v>
      </c>
      <c r="W284" s="31">
        <v>2020</v>
      </c>
      <c r="X284" s="28">
        <v>1</v>
      </c>
      <c r="Y284" s="28">
        <v>0</v>
      </c>
      <c r="Z284" s="196">
        <v>-2.1513024844954491E-4</v>
      </c>
      <c r="AA284" s="196">
        <v>-3.3096961299929986E-3</v>
      </c>
      <c r="AB284" s="28">
        <v>0</v>
      </c>
      <c r="AC284" s="28">
        <v>0</v>
      </c>
      <c r="AD284" s="28" t="s">
        <v>336</v>
      </c>
    </row>
    <row r="285" spans="2:30" x14ac:dyDescent="0.2">
      <c r="B285" s="7">
        <f t="shared" si="20"/>
        <v>261</v>
      </c>
      <c r="C285" s="28">
        <v>1</v>
      </c>
      <c r="D285" s="28">
        <v>10</v>
      </c>
      <c r="E285" s="31">
        <v>34</v>
      </c>
      <c r="F285" s="96">
        <v>2020</v>
      </c>
      <c r="G285" s="28">
        <v>2021</v>
      </c>
      <c r="H285" s="28">
        <v>1</v>
      </c>
      <c r="I285" s="31">
        <v>34</v>
      </c>
      <c r="J285" s="28">
        <v>0</v>
      </c>
      <c r="K285" s="28">
        <v>0</v>
      </c>
      <c r="L285" s="28">
        <v>0</v>
      </c>
      <c r="M285" s="75">
        <v>4.5</v>
      </c>
      <c r="N285" s="151">
        <v>10027.5</v>
      </c>
      <c r="O285" s="151">
        <v>6530</v>
      </c>
      <c r="P285" s="95">
        <f t="array" ref="P285">ROUND(IF($F285&lt;='TaxCred&amp;Subs'!$C$49,(IF($C285=2,IF($M285&gt;=IFERROR(INDEX('TaxCred&amp;Subs'!$L$12:$L$47,MATCH(1,($C285&amp;$D285='TaxCred&amp;Subs'!$E$12:$E$47)*($F285='TaxCred&amp;Subs'!$C$12:$C$47),0)
),9999),IFERROR(INDEX('TaxCred&amp;Subs'!$N$12:$N$47,MATCH(1,($C285&amp;$D285='TaxCred&amp;Subs'!$E$12:$E$47)*($F285='TaxCred&amp;Subs'!$C$12:$C$47),0)
),0),0),(IF($M285&gt;=IFERROR(INDEX('TaxCred&amp;Subs'!$H$12:$H$47,MATCH(1,($C285&amp;$D285='TaxCred&amp;Subs'!$D$12:$D$47)*($F285='TaxCred&amp;Subs'!$C$12:$C$47),0)
),9999),IFERROR(INDEX('TaxCred&amp;Subs'!$N$12:$N$47,MATCH(1,($C285&amp;$D285='TaxCred&amp;Subs'!$D$12:$D$47)*($F285='TaxCred&amp;Subs'!$C$12:$C$47),0)
),0),0)))),0)+IF(AND($C285=2,VALUE(RIGHT($AD285,1))&gt;2),(N285-R285)*(IFERROR(INDEX('TaxCred&amp;Subs'!$J$66:$J$99,MATCH(1,($C285&amp;$D285='TaxCred&amp;Subs'!$E$66:$E$99)*($F285='TaxCred&amp;Subs'!$C$66:$C$99),0)),0)),IF(AND($C285=1,VALUE(RIGHT($AD285,1))&gt;2),(N285-R285)*(IFERROR(INDEX('TaxCred&amp;Subs'!$J$66:$J$99,MATCH(1,($C285&amp;$D285='TaxCred&amp;Subs'!$D$66:$D$99)*($F285='TaxCred&amp;Subs'!$C$66:$C$99),0)),0)),IF($C285&gt;2,(N285-R285)*(IFERROR(INDEX('TaxCred&amp;Subs'!$J$66:$J$99,MATCH(1,($C285&amp;$D285='TaxCred&amp;Subs'!$D$66:$D$99)*($F285='TaxCred&amp;Subs'!$C$66:$C$99),0)),0)),0))),0)</f>
        <v>1961</v>
      </c>
      <c r="Q285" s="95">
        <f t="array" ref="Q285">ROUND(IF(AND($C285=2,VALUE(RIGHT($AD285,1))&gt;2),(O285-S285)*(IFERROR(INDEX('TaxCred&amp;Subs'!$J$66:$J$99,MATCH(1,($C285&amp;$D285='TaxCred&amp;Subs'!$E$66:$E$99)*($F285='TaxCred&amp;Subs'!$C$66:$C$99),0)),0)),IF(AND($C285=1,VALUE(RIGHT($AD285,1))&gt;2),(O285-S285)*(IFERROR(INDEX('TaxCred&amp;Subs'!$J$66:$J$99,MATCH(1,($C285&amp;$D285='TaxCred&amp;Subs'!$D$66:$D$99)*($F285='TaxCred&amp;Subs'!$C$66:$C$99),0)),0)),IF($C285&gt;2,(O285-S285)*(IFERROR(INDEX('TaxCred&amp;Subs'!$J$66:$J$99,MATCH(1,($C285&amp;$D285='TaxCred&amp;Subs'!$D$66:$D$99)*($F285='TaxCred&amp;Subs'!$C$66:$C$99),0)),0)),0))),0)</f>
        <v>1277</v>
      </c>
      <c r="R285" s="95">
        <f t="array" ref="R285">ROUND(IF(IFERROR(VALUE(RIGHT($AD285,1)),0)&gt;2,IF($C285=8,N285*IFERROR(INDEX('TaxCred&amp;Subs'!$K$139:$S$151,MATCH($C285&amp;$D285&amp;LEFT($AD285,7),'TaxCred&amp;Subs'!$E$139:$E$151,0),MATCH($H285,'TaxCred&amp;Subs'!$K$137:$S$137,0)),0),IF($C285=2,N285*IFERROR(INDEX('TaxCred&amp;Subs'!$K$139:$S$151,MATCH($C285&amp;$D285,'TaxCred&amp;Subs'!$D$139:$D$151,0),MATCH($H285,'TaxCred&amp;Subs'!$K$137:$S$137,0)),0),N285*IFERROR(INDEX('TaxCred&amp;Subs'!$K$139:$S$151,MATCH($C285&amp;$D285,'TaxCred&amp;Subs'!$C$139:$C$151,0),MATCH($H285,'TaxCred&amp;Subs'!$K$137:$S$137,0)),0))),0),0)</f>
        <v>2486</v>
      </c>
      <c r="S285" s="95">
        <f t="array" ref="S285">ROUND(IF(IFERROR(VALUE(RIGHT($AD285,1)),0)&gt;2,IF($C285=8,O285*IFERROR(INDEX('TaxCred&amp;Subs'!$K$139:$S$151,MATCH($C285&amp;$D285&amp;LEFT($AD285,7),'TaxCred&amp;Subs'!$E$139:$E$151,0),MATCH($H285,'TaxCred&amp;Subs'!$K$137:$S$137,0)),0),IF($C285=2,O285*IFERROR(INDEX('TaxCred&amp;Subs'!$K$139:$S$151,MATCH($C285&amp;$D285,'TaxCred&amp;Subs'!$D$139:$D$151,0),MATCH($H285,'TaxCred&amp;Subs'!$K$137:$S$137,0)),0),O285*IFERROR(INDEX('TaxCred&amp;Subs'!$K$139:$S$151,MATCH($C285&amp;$D285,'TaxCred&amp;Subs'!$C$139:$C$151,0),MATCH($H285,'TaxCred&amp;Subs'!$K$137:$S$137,0)),0))),0),0)</f>
        <v>1619</v>
      </c>
      <c r="T285" s="95">
        <f t="shared" si="18"/>
        <v>0</v>
      </c>
      <c r="U285" s="95">
        <f t="shared" si="19"/>
        <v>0</v>
      </c>
      <c r="V285" s="28" t="s">
        <v>222</v>
      </c>
      <c r="W285" s="31">
        <v>2020</v>
      </c>
      <c r="X285" s="28">
        <v>1</v>
      </c>
      <c r="Y285" s="28">
        <v>0</v>
      </c>
      <c r="Z285" s="196">
        <v>-2.1513024844954491E-4</v>
      </c>
      <c r="AA285" s="196">
        <v>-3.3096961299929986E-3</v>
      </c>
      <c r="AB285" s="28">
        <v>0</v>
      </c>
      <c r="AC285" s="28">
        <v>0</v>
      </c>
      <c r="AD285" s="28" t="s">
        <v>337</v>
      </c>
    </row>
    <row r="286" spans="2:30" ht="14.25" customHeight="1" x14ac:dyDescent="0.2">
      <c r="B286" s="7">
        <f t="shared" si="20"/>
        <v>262</v>
      </c>
      <c r="C286" s="28">
        <v>1</v>
      </c>
      <c r="D286" s="28">
        <v>10</v>
      </c>
      <c r="E286" s="31">
        <v>34</v>
      </c>
      <c r="F286" s="96">
        <v>2020</v>
      </c>
      <c r="G286" s="28">
        <v>2021</v>
      </c>
      <c r="H286" s="28">
        <v>2</v>
      </c>
      <c r="I286" s="31">
        <v>34</v>
      </c>
      <c r="J286" s="28">
        <v>0</v>
      </c>
      <c r="K286" s="28">
        <v>0</v>
      </c>
      <c r="L286" s="28">
        <v>0</v>
      </c>
      <c r="M286" s="75">
        <v>4.5</v>
      </c>
      <c r="N286" s="151">
        <v>10027.5</v>
      </c>
      <c r="O286" s="151">
        <v>6530</v>
      </c>
      <c r="P286" s="95">
        <f t="array" ref="P286">ROUND(IF($F286&lt;='TaxCred&amp;Subs'!$C$49,(IF($C286=2,IF($M286&gt;=IFERROR(INDEX('TaxCred&amp;Subs'!$L$12:$L$47,MATCH(1,($C286&amp;$D286='TaxCred&amp;Subs'!$E$12:$E$47)*($F286='TaxCred&amp;Subs'!$C$12:$C$47),0)
),9999),IFERROR(INDEX('TaxCred&amp;Subs'!$N$12:$N$47,MATCH(1,($C286&amp;$D286='TaxCred&amp;Subs'!$E$12:$E$47)*($F286='TaxCred&amp;Subs'!$C$12:$C$47),0)
),0),0),(IF($M286&gt;=IFERROR(INDEX('TaxCred&amp;Subs'!$H$12:$H$47,MATCH(1,($C286&amp;$D286='TaxCred&amp;Subs'!$D$12:$D$47)*($F286='TaxCred&amp;Subs'!$C$12:$C$47),0)
),9999),IFERROR(INDEX('TaxCred&amp;Subs'!$N$12:$N$47,MATCH(1,($C286&amp;$D286='TaxCred&amp;Subs'!$D$12:$D$47)*($F286='TaxCred&amp;Subs'!$C$12:$C$47),0)
),0),0)))),0)+IF(AND($C286=2,VALUE(RIGHT($AD286,1))&gt;2),(N286-R286)*(IFERROR(INDEX('TaxCred&amp;Subs'!$J$66:$J$99,MATCH(1,($C286&amp;$D286='TaxCred&amp;Subs'!$E$66:$E$99)*($F286='TaxCred&amp;Subs'!$C$66:$C$99),0)),0)),IF(AND($C286=1,VALUE(RIGHT($AD286,1))&gt;2),(N286-R286)*(IFERROR(INDEX('TaxCred&amp;Subs'!$J$66:$J$99,MATCH(1,($C286&amp;$D286='TaxCred&amp;Subs'!$D$66:$D$99)*($F286='TaxCred&amp;Subs'!$C$66:$C$99),0)),0)),IF($C286&gt;2,(N286-R286)*(IFERROR(INDEX('TaxCred&amp;Subs'!$J$66:$J$99,MATCH(1,($C286&amp;$D286='TaxCred&amp;Subs'!$D$66:$D$99)*($F286='TaxCred&amp;Subs'!$C$66:$C$99),0)),0)),0))),0)</f>
        <v>2340</v>
      </c>
      <c r="Q286" s="95">
        <f t="array" ref="Q286">ROUND(IF(AND($C286=2,VALUE(RIGHT($AD286,1))&gt;2),(O286-S286)*(IFERROR(INDEX('TaxCred&amp;Subs'!$J$66:$J$99,MATCH(1,($C286&amp;$D286='TaxCred&amp;Subs'!$E$66:$E$99)*($F286='TaxCred&amp;Subs'!$C$66:$C$99),0)),0)),IF(AND($C286=1,VALUE(RIGHT($AD286,1))&gt;2),(O286-S286)*(IFERROR(INDEX('TaxCred&amp;Subs'!$J$66:$J$99,MATCH(1,($C286&amp;$D286='TaxCred&amp;Subs'!$D$66:$D$99)*($F286='TaxCred&amp;Subs'!$C$66:$C$99),0)),0)),IF($C286&gt;2,(O286-S286)*(IFERROR(INDEX('TaxCred&amp;Subs'!$J$66:$J$99,MATCH(1,($C286&amp;$D286='TaxCred&amp;Subs'!$D$66:$D$99)*($F286='TaxCred&amp;Subs'!$C$66:$C$99),0)),0)),0))),0)</f>
        <v>1524</v>
      </c>
      <c r="R286" s="95">
        <f t="array" ref="R286">ROUND(IF(IFERROR(VALUE(RIGHT($AD286,1)),0)&gt;2,IF($C286=8,N286*IFERROR(INDEX('TaxCred&amp;Subs'!$K$139:$S$151,MATCH($C286&amp;$D286&amp;LEFT($AD286,7),'TaxCred&amp;Subs'!$E$139:$E$151,0),MATCH($H286,'TaxCred&amp;Subs'!$K$137:$S$137,0)),0),IF($C286=2,N286*IFERROR(INDEX('TaxCred&amp;Subs'!$K$139:$S$151,MATCH($C286&amp;$D286,'TaxCred&amp;Subs'!$D$139:$D$151,0),MATCH($H286,'TaxCred&amp;Subs'!$K$137:$S$137,0)),0),N286*IFERROR(INDEX('TaxCred&amp;Subs'!$K$139:$S$151,MATCH($C286&amp;$D286,'TaxCred&amp;Subs'!$C$139:$C$151,0),MATCH($H286,'TaxCred&amp;Subs'!$K$137:$S$137,0)),0))),0),0)</f>
        <v>1026</v>
      </c>
      <c r="S286" s="95">
        <f t="array" ref="S286">ROUND(IF(IFERROR(VALUE(RIGHT($AD286,1)),0)&gt;2,IF($C286=8,O286*IFERROR(INDEX('TaxCred&amp;Subs'!$K$139:$S$151,MATCH($C286&amp;$D286&amp;LEFT($AD286,7),'TaxCred&amp;Subs'!$E$139:$E$151,0),MATCH($H286,'TaxCred&amp;Subs'!$K$137:$S$137,0)),0),IF($C286=2,O286*IFERROR(INDEX('TaxCred&amp;Subs'!$K$139:$S$151,MATCH($C286&amp;$D286,'TaxCred&amp;Subs'!$D$139:$D$151,0),MATCH($H286,'TaxCred&amp;Subs'!$K$137:$S$137,0)),0),O286*IFERROR(INDEX('TaxCred&amp;Subs'!$K$139:$S$151,MATCH($C286&amp;$D286,'TaxCred&amp;Subs'!$C$139:$C$151,0),MATCH($H286,'TaxCred&amp;Subs'!$K$137:$S$137,0)),0))),0),0)</f>
        <v>668</v>
      </c>
      <c r="T286" s="95">
        <f t="shared" si="18"/>
        <v>0</v>
      </c>
      <c r="U286" s="95">
        <f t="shared" si="19"/>
        <v>0</v>
      </c>
      <c r="V286" s="28" t="s">
        <v>222</v>
      </c>
      <c r="W286" s="31">
        <v>2020</v>
      </c>
      <c r="X286" s="28">
        <v>1</v>
      </c>
      <c r="Y286" s="28">
        <v>0</v>
      </c>
      <c r="Z286" s="196">
        <v>-2.1513024844954491E-4</v>
      </c>
      <c r="AA286" s="196">
        <v>-3.3096961299929986E-3</v>
      </c>
      <c r="AB286" s="28">
        <v>0</v>
      </c>
      <c r="AC286" s="28">
        <v>0</v>
      </c>
      <c r="AD286" s="28" t="s">
        <v>337</v>
      </c>
    </row>
    <row r="287" spans="2:30" ht="14.25" customHeight="1" x14ac:dyDescent="0.2">
      <c r="B287" s="7">
        <f t="shared" si="20"/>
        <v>263</v>
      </c>
      <c r="C287" s="28">
        <v>1</v>
      </c>
      <c r="D287" s="28">
        <v>10</v>
      </c>
      <c r="E287" s="31">
        <v>34</v>
      </c>
      <c r="F287" s="96">
        <v>2020</v>
      </c>
      <c r="G287" s="28">
        <v>2021</v>
      </c>
      <c r="H287" s="28">
        <v>3</v>
      </c>
      <c r="I287" s="31">
        <v>34</v>
      </c>
      <c r="J287" s="28">
        <v>0</v>
      </c>
      <c r="K287" s="28">
        <v>0</v>
      </c>
      <c r="L287" s="28">
        <v>0</v>
      </c>
      <c r="M287" s="75">
        <v>4.5</v>
      </c>
      <c r="N287" s="151">
        <v>10027.5</v>
      </c>
      <c r="O287" s="151">
        <v>6530</v>
      </c>
      <c r="P287" s="95">
        <f t="array" ref="P287">ROUND(IF($F287&lt;='TaxCred&amp;Subs'!$C$49,(IF($C287=2,IF($M287&gt;=IFERROR(INDEX('TaxCred&amp;Subs'!$L$12:$L$47,MATCH(1,($C287&amp;$D287='TaxCred&amp;Subs'!$E$12:$E$47)*($F287='TaxCred&amp;Subs'!$C$12:$C$47),0)
),9999),IFERROR(INDEX('TaxCred&amp;Subs'!$N$12:$N$47,MATCH(1,($C287&amp;$D287='TaxCred&amp;Subs'!$E$12:$E$47)*($F287='TaxCred&amp;Subs'!$C$12:$C$47),0)
),0),0),(IF($M287&gt;=IFERROR(INDEX('TaxCred&amp;Subs'!$H$12:$H$47,MATCH(1,($C287&amp;$D287='TaxCred&amp;Subs'!$D$12:$D$47)*($F287='TaxCred&amp;Subs'!$C$12:$C$47),0)
),9999),IFERROR(INDEX('TaxCred&amp;Subs'!$N$12:$N$47,MATCH(1,($C287&amp;$D287='TaxCred&amp;Subs'!$D$12:$D$47)*($F287='TaxCred&amp;Subs'!$C$12:$C$47),0)
),0),0)))),0)+IF(AND($C287=2,VALUE(RIGHT($AD287,1))&gt;2),(N287-R287)*(IFERROR(INDEX('TaxCred&amp;Subs'!$J$66:$J$99,MATCH(1,($C287&amp;$D287='TaxCred&amp;Subs'!$E$66:$E$99)*($F287='TaxCred&amp;Subs'!$C$66:$C$99),0)),0)),IF(AND($C287=1,VALUE(RIGHT($AD287,1))&gt;2),(N287-R287)*(IFERROR(INDEX('TaxCred&amp;Subs'!$J$66:$J$99,MATCH(1,($C287&amp;$D287='TaxCred&amp;Subs'!$D$66:$D$99)*($F287='TaxCred&amp;Subs'!$C$66:$C$99),0)),0)),IF($C287&gt;2,(N287-R287)*(IFERROR(INDEX('TaxCred&amp;Subs'!$J$66:$J$99,MATCH(1,($C287&amp;$D287='TaxCred&amp;Subs'!$D$66:$D$99)*($F287='TaxCred&amp;Subs'!$C$66:$C$99),0)),0)),0))),0)</f>
        <v>2397</v>
      </c>
      <c r="Q287" s="95">
        <f t="array" ref="Q287">ROUND(IF(AND($C287=2,VALUE(RIGHT($AD287,1))&gt;2),(O287-S287)*(IFERROR(INDEX('TaxCred&amp;Subs'!$J$66:$J$99,MATCH(1,($C287&amp;$D287='TaxCred&amp;Subs'!$E$66:$E$99)*($F287='TaxCred&amp;Subs'!$C$66:$C$99),0)),0)),IF(AND($C287=1,VALUE(RIGHT($AD287,1))&gt;2),(O287-S287)*(IFERROR(INDEX('TaxCred&amp;Subs'!$J$66:$J$99,MATCH(1,($C287&amp;$D287='TaxCred&amp;Subs'!$D$66:$D$99)*($F287='TaxCred&amp;Subs'!$C$66:$C$99),0)),0)),IF($C287&gt;2,(O287-S287)*(IFERROR(INDEX('TaxCred&amp;Subs'!$J$66:$J$99,MATCH(1,($C287&amp;$D287='TaxCred&amp;Subs'!$D$66:$D$99)*($F287='TaxCred&amp;Subs'!$C$66:$C$99),0)),0)),0))),0)</f>
        <v>1561</v>
      </c>
      <c r="R287" s="95">
        <f t="array" ref="R287">ROUND(IF(IFERROR(VALUE(RIGHT($AD287,1)),0)&gt;2,IF($C287=8,N287*IFERROR(INDEX('TaxCred&amp;Subs'!$K$139:$S$151,MATCH($C287&amp;$D287&amp;LEFT($AD287,7),'TaxCred&amp;Subs'!$E$139:$E$151,0),MATCH($H287,'TaxCred&amp;Subs'!$K$137:$S$137,0)),0),IF($C287=2,N287*IFERROR(INDEX('TaxCred&amp;Subs'!$K$139:$S$151,MATCH($C287&amp;$D287,'TaxCred&amp;Subs'!$D$139:$D$151,0),MATCH($H287,'TaxCred&amp;Subs'!$K$137:$S$137,0)),0),N287*IFERROR(INDEX('TaxCred&amp;Subs'!$K$139:$S$151,MATCH($C287&amp;$D287,'TaxCred&amp;Subs'!$C$139:$C$151,0),MATCH($H287,'TaxCred&amp;Subs'!$K$137:$S$137,0)),0))),0),0)</f>
        <v>807</v>
      </c>
      <c r="S287" s="95">
        <f t="array" ref="S287">ROUND(IF(IFERROR(VALUE(RIGHT($AD287,1)),0)&gt;2,IF($C287=8,O287*IFERROR(INDEX('TaxCred&amp;Subs'!$K$139:$S$151,MATCH($C287&amp;$D287&amp;LEFT($AD287,7),'TaxCred&amp;Subs'!$E$139:$E$151,0),MATCH($H287,'TaxCred&amp;Subs'!$K$137:$S$137,0)),0),IF($C287=2,O287*IFERROR(INDEX('TaxCred&amp;Subs'!$K$139:$S$151,MATCH($C287&amp;$D287,'TaxCred&amp;Subs'!$D$139:$D$151,0),MATCH($H287,'TaxCred&amp;Subs'!$K$137:$S$137,0)),0),O287*IFERROR(INDEX('TaxCred&amp;Subs'!$K$139:$S$151,MATCH($C287&amp;$D287,'TaxCred&amp;Subs'!$C$139:$C$151,0),MATCH($H287,'TaxCred&amp;Subs'!$K$137:$S$137,0)),0))),0),0)</f>
        <v>526</v>
      </c>
      <c r="T287" s="95">
        <f t="shared" si="18"/>
        <v>0</v>
      </c>
      <c r="U287" s="95">
        <f t="shared" si="19"/>
        <v>0</v>
      </c>
      <c r="V287" s="28" t="s">
        <v>222</v>
      </c>
      <c r="W287" s="31">
        <v>2020</v>
      </c>
      <c r="X287" s="28">
        <v>1</v>
      </c>
      <c r="Y287" s="28">
        <v>0</v>
      </c>
      <c r="Z287" s="196">
        <v>-2.1513024844954491E-4</v>
      </c>
      <c r="AA287" s="196">
        <v>-3.3096961299929986E-3</v>
      </c>
      <c r="AB287" s="28">
        <v>0</v>
      </c>
      <c r="AC287" s="28">
        <v>0</v>
      </c>
      <c r="AD287" s="28" t="s">
        <v>337</v>
      </c>
    </row>
    <row r="288" spans="2:30" ht="14.25" customHeight="1" x14ac:dyDescent="0.2">
      <c r="B288" s="7">
        <f t="shared" si="20"/>
        <v>264</v>
      </c>
      <c r="C288" s="28">
        <v>1</v>
      </c>
      <c r="D288" s="28">
        <v>10</v>
      </c>
      <c r="E288" s="31">
        <v>34</v>
      </c>
      <c r="F288" s="96">
        <v>2020</v>
      </c>
      <c r="G288" s="28">
        <v>2021</v>
      </c>
      <c r="H288" s="28">
        <v>4</v>
      </c>
      <c r="I288" s="31">
        <v>34</v>
      </c>
      <c r="J288" s="28">
        <v>0</v>
      </c>
      <c r="K288" s="28">
        <v>0</v>
      </c>
      <c r="L288" s="28">
        <v>0</v>
      </c>
      <c r="M288" s="75">
        <v>4.5</v>
      </c>
      <c r="N288" s="151">
        <v>10027.5</v>
      </c>
      <c r="O288" s="151">
        <v>6530</v>
      </c>
      <c r="P288" s="95">
        <f t="array" ref="P288">ROUND(IF($F288&lt;='TaxCred&amp;Subs'!$C$49,(IF($C288=2,IF($M288&gt;=IFERROR(INDEX('TaxCred&amp;Subs'!$L$12:$L$47,MATCH(1,($C288&amp;$D288='TaxCred&amp;Subs'!$E$12:$E$47)*($F288='TaxCred&amp;Subs'!$C$12:$C$47),0)
),9999),IFERROR(INDEX('TaxCred&amp;Subs'!$N$12:$N$47,MATCH(1,($C288&amp;$D288='TaxCred&amp;Subs'!$E$12:$E$47)*($F288='TaxCred&amp;Subs'!$C$12:$C$47),0)
),0),0),(IF($M288&gt;=IFERROR(INDEX('TaxCred&amp;Subs'!$H$12:$H$47,MATCH(1,($C288&amp;$D288='TaxCred&amp;Subs'!$D$12:$D$47)*($F288='TaxCred&amp;Subs'!$C$12:$C$47),0)
),9999),IFERROR(INDEX('TaxCred&amp;Subs'!$N$12:$N$47,MATCH(1,($C288&amp;$D288='TaxCred&amp;Subs'!$D$12:$D$47)*($F288='TaxCred&amp;Subs'!$C$12:$C$47),0)
),0),0)))),0)+IF(AND($C288=2,VALUE(RIGHT($AD288,1))&gt;2),(N288-R288)*(IFERROR(INDEX('TaxCred&amp;Subs'!$J$66:$J$99,MATCH(1,($C288&amp;$D288='TaxCred&amp;Subs'!$E$66:$E$99)*($F288='TaxCred&amp;Subs'!$C$66:$C$99),0)),0)),IF(AND($C288=1,VALUE(RIGHT($AD288,1))&gt;2),(N288-R288)*(IFERROR(INDEX('TaxCred&amp;Subs'!$J$66:$J$99,MATCH(1,($C288&amp;$D288='TaxCred&amp;Subs'!$D$66:$D$99)*($F288='TaxCred&amp;Subs'!$C$66:$C$99),0)),0)),IF($C288&gt;2,(N288-R288)*(IFERROR(INDEX('TaxCred&amp;Subs'!$J$66:$J$99,MATCH(1,($C288&amp;$D288='TaxCred&amp;Subs'!$D$66:$D$99)*($F288='TaxCred&amp;Subs'!$C$66:$C$99),0)),0)),0))),0)</f>
        <v>2439</v>
      </c>
      <c r="Q288" s="95">
        <f t="array" ref="Q288">ROUND(IF(AND($C288=2,VALUE(RIGHT($AD288,1))&gt;2),(O288-S288)*(IFERROR(INDEX('TaxCred&amp;Subs'!$J$66:$J$99,MATCH(1,($C288&amp;$D288='TaxCred&amp;Subs'!$E$66:$E$99)*($F288='TaxCred&amp;Subs'!$C$66:$C$99),0)),0)),IF(AND($C288=1,VALUE(RIGHT($AD288,1))&gt;2),(O288-S288)*(IFERROR(INDEX('TaxCred&amp;Subs'!$J$66:$J$99,MATCH(1,($C288&amp;$D288='TaxCred&amp;Subs'!$D$66:$D$99)*($F288='TaxCred&amp;Subs'!$C$66:$C$99),0)),0)),IF($C288&gt;2,(O288-S288)*(IFERROR(INDEX('TaxCred&amp;Subs'!$J$66:$J$99,MATCH(1,($C288&amp;$D288='TaxCred&amp;Subs'!$D$66:$D$99)*($F288='TaxCred&amp;Subs'!$C$66:$C$99),0)),0)),0))),0)</f>
        <v>1588</v>
      </c>
      <c r="R288" s="95">
        <f t="array" ref="R288">ROUND(IF(IFERROR(VALUE(RIGHT($AD288,1)),0)&gt;2,IF($C288=8,N288*IFERROR(INDEX('TaxCred&amp;Subs'!$K$139:$S$151,MATCH($C288&amp;$D288&amp;LEFT($AD288,7),'TaxCred&amp;Subs'!$E$139:$E$151,0),MATCH($H288,'TaxCred&amp;Subs'!$K$137:$S$137,0)),0),IF($C288=2,N288*IFERROR(INDEX('TaxCred&amp;Subs'!$K$139:$S$151,MATCH($C288&amp;$D288,'TaxCred&amp;Subs'!$D$139:$D$151,0),MATCH($H288,'TaxCred&amp;Subs'!$K$137:$S$137,0)),0),N288*IFERROR(INDEX('TaxCred&amp;Subs'!$K$139:$S$151,MATCH($C288&amp;$D288,'TaxCred&amp;Subs'!$C$139:$C$151,0),MATCH($H288,'TaxCred&amp;Subs'!$K$137:$S$137,0)),0))),0),0)</f>
        <v>646</v>
      </c>
      <c r="S288" s="95">
        <f t="array" ref="S288">ROUND(IF(IFERROR(VALUE(RIGHT($AD288,1)),0)&gt;2,IF($C288=8,O288*IFERROR(INDEX('TaxCred&amp;Subs'!$K$139:$S$151,MATCH($C288&amp;$D288&amp;LEFT($AD288,7),'TaxCred&amp;Subs'!$E$139:$E$151,0),MATCH($H288,'TaxCred&amp;Subs'!$K$137:$S$137,0)),0),IF($C288=2,O288*IFERROR(INDEX('TaxCred&amp;Subs'!$K$139:$S$151,MATCH($C288&amp;$D288,'TaxCred&amp;Subs'!$D$139:$D$151,0),MATCH($H288,'TaxCred&amp;Subs'!$K$137:$S$137,0)),0),O288*IFERROR(INDEX('TaxCred&amp;Subs'!$K$139:$S$151,MATCH($C288&amp;$D288,'TaxCred&amp;Subs'!$C$139:$C$151,0),MATCH($H288,'TaxCred&amp;Subs'!$K$137:$S$137,0)),0))),0),0)</f>
        <v>421</v>
      </c>
      <c r="T288" s="95">
        <f t="shared" si="18"/>
        <v>0</v>
      </c>
      <c r="U288" s="95">
        <f t="shared" si="19"/>
        <v>0</v>
      </c>
      <c r="V288" s="28" t="s">
        <v>222</v>
      </c>
      <c r="W288" s="31">
        <v>2020</v>
      </c>
      <c r="X288" s="28">
        <v>1</v>
      </c>
      <c r="Y288" s="28">
        <v>0</v>
      </c>
      <c r="Z288" s="196">
        <v>-2.1513024844954491E-4</v>
      </c>
      <c r="AA288" s="196">
        <v>-3.3096961299929986E-3</v>
      </c>
      <c r="AB288" s="28">
        <v>0</v>
      </c>
      <c r="AC288" s="28">
        <v>0</v>
      </c>
      <c r="AD288" s="28" t="s">
        <v>337</v>
      </c>
    </row>
    <row r="289" spans="2:30" ht="14.25" customHeight="1" x14ac:dyDescent="0.2">
      <c r="B289" s="7">
        <f t="shared" si="20"/>
        <v>265</v>
      </c>
      <c r="C289" s="28">
        <v>1</v>
      </c>
      <c r="D289" s="28">
        <v>10</v>
      </c>
      <c r="E289" s="31">
        <v>34</v>
      </c>
      <c r="F289" s="96">
        <v>2020</v>
      </c>
      <c r="G289" s="28">
        <v>2021</v>
      </c>
      <c r="H289" s="28">
        <v>5</v>
      </c>
      <c r="I289" s="31">
        <v>34</v>
      </c>
      <c r="J289" s="28">
        <v>0</v>
      </c>
      <c r="K289" s="28">
        <v>0</v>
      </c>
      <c r="L289" s="28">
        <v>0</v>
      </c>
      <c r="M289" s="75">
        <v>4.5</v>
      </c>
      <c r="N289" s="151">
        <v>10027.5</v>
      </c>
      <c r="O289" s="151">
        <v>6530</v>
      </c>
      <c r="P289" s="95">
        <f t="array" ref="P289">ROUND(IF($F289&lt;='TaxCred&amp;Subs'!$C$49,(IF($C289=2,IF($M289&gt;=IFERROR(INDEX('TaxCred&amp;Subs'!$L$12:$L$47,MATCH(1,($C289&amp;$D289='TaxCred&amp;Subs'!$E$12:$E$47)*($F289='TaxCred&amp;Subs'!$C$12:$C$47),0)
),9999),IFERROR(INDEX('TaxCred&amp;Subs'!$N$12:$N$47,MATCH(1,($C289&amp;$D289='TaxCred&amp;Subs'!$E$12:$E$47)*($F289='TaxCred&amp;Subs'!$C$12:$C$47),0)
),0),0),(IF($M289&gt;=IFERROR(INDEX('TaxCred&amp;Subs'!$H$12:$H$47,MATCH(1,($C289&amp;$D289='TaxCred&amp;Subs'!$D$12:$D$47)*($F289='TaxCred&amp;Subs'!$C$12:$C$47),0)
),9999),IFERROR(INDEX('TaxCred&amp;Subs'!$N$12:$N$47,MATCH(1,($C289&amp;$D289='TaxCred&amp;Subs'!$D$12:$D$47)*($F289='TaxCred&amp;Subs'!$C$12:$C$47),0)
),0),0)))),0)+IF(AND($C289=2,VALUE(RIGHT($AD289,1))&gt;2),(N289-R289)*(IFERROR(INDEX('TaxCred&amp;Subs'!$J$66:$J$99,MATCH(1,($C289&amp;$D289='TaxCred&amp;Subs'!$E$66:$E$99)*($F289='TaxCred&amp;Subs'!$C$66:$C$99),0)),0)),IF(AND($C289=1,VALUE(RIGHT($AD289,1))&gt;2),(N289-R289)*(IFERROR(INDEX('TaxCred&amp;Subs'!$J$66:$J$99,MATCH(1,($C289&amp;$D289='TaxCred&amp;Subs'!$D$66:$D$99)*($F289='TaxCred&amp;Subs'!$C$66:$C$99),0)),0)),IF($C289&gt;2,(N289-R289)*(IFERROR(INDEX('TaxCred&amp;Subs'!$J$66:$J$99,MATCH(1,($C289&amp;$D289='TaxCred&amp;Subs'!$D$66:$D$99)*($F289='TaxCred&amp;Subs'!$C$66:$C$99),0)),0)),0))),0)</f>
        <v>2425</v>
      </c>
      <c r="Q289" s="95">
        <f t="array" ref="Q289">ROUND(IF(AND($C289=2,VALUE(RIGHT($AD289,1))&gt;2),(O289-S289)*(IFERROR(INDEX('TaxCred&amp;Subs'!$J$66:$J$99,MATCH(1,($C289&amp;$D289='TaxCred&amp;Subs'!$E$66:$E$99)*($F289='TaxCred&amp;Subs'!$C$66:$C$99),0)),0)),IF(AND($C289=1,VALUE(RIGHT($AD289,1))&gt;2),(O289-S289)*(IFERROR(INDEX('TaxCred&amp;Subs'!$J$66:$J$99,MATCH(1,($C289&amp;$D289='TaxCred&amp;Subs'!$D$66:$D$99)*($F289='TaxCred&amp;Subs'!$C$66:$C$99),0)),0)),IF($C289&gt;2,(O289-S289)*(IFERROR(INDEX('TaxCred&amp;Subs'!$J$66:$J$99,MATCH(1,($C289&amp;$D289='TaxCred&amp;Subs'!$D$66:$D$99)*($F289='TaxCred&amp;Subs'!$C$66:$C$99),0)),0)),0))),0)</f>
        <v>1580</v>
      </c>
      <c r="R289" s="95">
        <f t="array" ref="R289">ROUND(IF(IFERROR(VALUE(RIGHT($AD289,1)),0)&gt;2,IF($C289=8,N289*IFERROR(INDEX('TaxCred&amp;Subs'!$K$139:$S$151,MATCH($C289&amp;$D289&amp;LEFT($AD289,7),'TaxCred&amp;Subs'!$E$139:$E$151,0),MATCH($H289,'TaxCred&amp;Subs'!$K$137:$S$137,0)),0),IF($C289=2,N289*IFERROR(INDEX('TaxCred&amp;Subs'!$K$139:$S$151,MATCH($C289&amp;$D289,'TaxCred&amp;Subs'!$D$139:$D$151,0),MATCH($H289,'TaxCred&amp;Subs'!$K$137:$S$137,0)),0),N289*IFERROR(INDEX('TaxCred&amp;Subs'!$K$139:$S$151,MATCH($C289&amp;$D289,'TaxCred&amp;Subs'!$C$139:$C$151,0),MATCH($H289,'TaxCred&amp;Subs'!$K$137:$S$137,0)),0))),0),0)</f>
        <v>699</v>
      </c>
      <c r="S289" s="95">
        <f t="array" ref="S289">ROUND(IF(IFERROR(VALUE(RIGHT($AD289,1)),0)&gt;2,IF($C289=8,O289*IFERROR(INDEX('TaxCred&amp;Subs'!$K$139:$S$151,MATCH($C289&amp;$D289&amp;LEFT($AD289,7),'TaxCred&amp;Subs'!$E$139:$E$151,0),MATCH($H289,'TaxCred&amp;Subs'!$K$137:$S$137,0)),0),IF($C289=2,O289*IFERROR(INDEX('TaxCred&amp;Subs'!$K$139:$S$151,MATCH($C289&amp;$D289,'TaxCred&amp;Subs'!$D$139:$D$151,0),MATCH($H289,'TaxCred&amp;Subs'!$K$137:$S$137,0)),0),O289*IFERROR(INDEX('TaxCred&amp;Subs'!$K$139:$S$151,MATCH($C289&amp;$D289,'TaxCred&amp;Subs'!$C$139:$C$151,0),MATCH($H289,'TaxCred&amp;Subs'!$K$137:$S$137,0)),0))),0),0)</f>
        <v>455</v>
      </c>
      <c r="T289" s="95">
        <f t="shared" si="18"/>
        <v>0</v>
      </c>
      <c r="U289" s="95">
        <f t="shared" si="19"/>
        <v>0</v>
      </c>
      <c r="V289" s="28" t="s">
        <v>222</v>
      </c>
      <c r="W289" s="31">
        <v>2020</v>
      </c>
      <c r="X289" s="28">
        <v>1</v>
      </c>
      <c r="Y289" s="28">
        <v>0</v>
      </c>
      <c r="Z289" s="196">
        <v>-2.1513024844954491E-4</v>
      </c>
      <c r="AA289" s="196">
        <v>-3.3096961299929986E-3</v>
      </c>
      <c r="AB289" s="28">
        <v>0</v>
      </c>
      <c r="AC289" s="28">
        <v>0</v>
      </c>
      <c r="AD289" s="28" t="s">
        <v>337</v>
      </c>
    </row>
    <row r="290" spans="2:30" ht="14.25" customHeight="1" x14ac:dyDescent="0.2">
      <c r="B290" s="7">
        <f t="shared" si="20"/>
        <v>266</v>
      </c>
      <c r="C290" s="28">
        <v>1</v>
      </c>
      <c r="D290" s="28">
        <v>10</v>
      </c>
      <c r="E290" s="31">
        <v>34</v>
      </c>
      <c r="F290" s="96">
        <v>2020</v>
      </c>
      <c r="G290" s="28">
        <v>2021</v>
      </c>
      <c r="H290" s="28">
        <v>6</v>
      </c>
      <c r="I290" s="31">
        <v>34</v>
      </c>
      <c r="J290" s="28">
        <v>0</v>
      </c>
      <c r="K290" s="28">
        <v>0</v>
      </c>
      <c r="L290" s="28">
        <v>0</v>
      </c>
      <c r="M290" s="75">
        <v>4.5</v>
      </c>
      <c r="N290" s="151">
        <v>10027.5</v>
      </c>
      <c r="O290" s="151">
        <v>6530</v>
      </c>
      <c r="P290" s="95">
        <f t="array" ref="P290">ROUND(IF($F290&lt;='TaxCred&amp;Subs'!$C$49,(IF($C290=2,IF($M290&gt;=IFERROR(INDEX('TaxCred&amp;Subs'!$L$12:$L$47,MATCH(1,($C290&amp;$D290='TaxCred&amp;Subs'!$E$12:$E$47)*($F290='TaxCred&amp;Subs'!$C$12:$C$47),0)
),9999),IFERROR(INDEX('TaxCred&amp;Subs'!$N$12:$N$47,MATCH(1,($C290&amp;$D290='TaxCred&amp;Subs'!$E$12:$E$47)*($F290='TaxCred&amp;Subs'!$C$12:$C$47),0)
),0),0),(IF($M290&gt;=IFERROR(INDEX('TaxCred&amp;Subs'!$H$12:$H$47,MATCH(1,($C290&amp;$D290='TaxCred&amp;Subs'!$D$12:$D$47)*($F290='TaxCred&amp;Subs'!$C$12:$C$47),0)
),9999),IFERROR(INDEX('TaxCred&amp;Subs'!$N$12:$N$47,MATCH(1,($C290&amp;$D290='TaxCred&amp;Subs'!$D$12:$D$47)*($F290='TaxCred&amp;Subs'!$C$12:$C$47),0)
),0),0)))),0)+IF(AND($C290=2,VALUE(RIGHT($AD290,1))&gt;2),(N290-R290)*(IFERROR(INDEX('TaxCred&amp;Subs'!$J$66:$J$99,MATCH(1,($C290&amp;$D290='TaxCred&amp;Subs'!$E$66:$E$99)*($F290='TaxCred&amp;Subs'!$C$66:$C$99),0)),0)),IF(AND($C290=1,VALUE(RIGHT($AD290,1))&gt;2),(N290-R290)*(IFERROR(INDEX('TaxCred&amp;Subs'!$J$66:$J$99,MATCH(1,($C290&amp;$D290='TaxCred&amp;Subs'!$D$66:$D$99)*($F290='TaxCred&amp;Subs'!$C$66:$C$99),0)),0)),IF($C290&gt;2,(N290-R290)*(IFERROR(INDEX('TaxCred&amp;Subs'!$J$66:$J$99,MATCH(1,($C290&amp;$D290='TaxCred&amp;Subs'!$D$66:$D$99)*($F290='TaxCred&amp;Subs'!$C$66:$C$99),0)),0)),0))),0)</f>
        <v>2377</v>
      </c>
      <c r="Q290" s="95">
        <f t="array" ref="Q290">ROUND(IF(AND($C290=2,VALUE(RIGHT($AD290,1))&gt;2),(O290-S290)*(IFERROR(INDEX('TaxCred&amp;Subs'!$J$66:$J$99,MATCH(1,($C290&amp;$D290='TaxCred&amp;Subs'!$E$66:$E$99)*($F290='TaxCred&amp;Subs'!$C$66:$C$99),0)),0)),IF(AND($C290=1,VALUE(RIGHT($AD290,1))&gt;2),(O290-S290)*(IFERROR(INDEX('TaxCred&amp;Subs'!$J$66:$J$99,MATCH(1,($C290&amp;$D290='TaxCred&amp;Subs'!$D$66:$D$99)*($F290='TaxCred&amp;Subs'!$C$66:$C$99),0)),0)),IF($C290&gt;2,(O290-S290)*(IFERROR(INDEX('TaxCred&amp;Subs'!$J$66:$J$99,MATCH(1,($C290&amp;$D290='TaxCred&amp;Subs'!$D$66:$D$99)*($F290='TaxCred&amp;Subs'!$C$66:$C$99),0)),0)),0))),0)</f>
        <v>1548</v>
      </c>
      <c r="R290" s="95">
        <f t="array" ref="R290">ROUND(IF(IFERROR(VALUE(RIGHT($AD290,1)),0)&gt;2,IF($C290=8,N290*IFERROR(INDEX('TaxCred&amp;Subs'!$K$139:$S$151,MATCH($C290&amp;$D290&amp;LEFT($AD290,7),'TaxCred&amp;Subs'!$E$139:$E$151,0),MATCH($H290,'TaxCred&amp;Subs'!$K$137:$S$137,0)),0),IF($C290=2,N290*IFERROR(INDEX('TaxCred&amp;Subs'!$K$139:$S$151,MATCH($C290&amp;$D290,'TaxCred&amp;Subs'!$D$139:$D$151,0),MATCH($H290,'TaxCred&amp;Subs'!$K$137:$S$137,0)),0),N290*IFERROR(INDEX('TaxCred&amp;Subs'!$K$139:$S$151,MATCH($C290&amp;$D290,'TaxCred&amp;Subs'!$C$139:$C$151,0),MATCH($H290,'TaxCred&amp;Subs'!$K$137:$S$137,0)),0))),0),0)</f>
        <v>884</v>
      </c>
      <c r="S290" s="95">
        <f t="array" ref="S290">ROUND(IF(IFERROR(VALUE(RIGHT($AD290,1)),0)&gt;2,IF($C290=8,O290*IFERROR(INDEX('TaxCred&amp;Subs'!$K$139:$S$151,MATCH($C290&amp;$D290&amp;LEFT($AD290,7),'TaxCred&amp;Subs'!$E$139:$E$151,0),MATCH($H290,'TaxCred&amp;Subs'!$K$137:$S$137,0)),0),IF($C290=2,O290*IFERROR(INDEX('TaxCred&amp;Subs'!$K$139:$S$151,MATCH($C290&amp;$D290,'TaxCred&amp;Subs'!$D$139:$D$151,0),MATCH($H290,'TaxCred&amp;Subs'!$K$137:$S$137,0)),0),O290*IFERROR(INDEX('TaxCred&amp;Subs'!$K$139:$S$151,MATCH($C290&amp;$D290,'TaxCred&amp;Subs'!$C$139:$C$151,0),MATCH($H290,'TaxCred&amp;Subs'!$K$137:$S$137,0)),0))),0),0)</f>
        <v>576</v>
      </c>
      <c r="T290" s="95">
        <f t="shared" si="18"/>
        <v>0</v>
      </c>
      <c r="U290" s="95">
        <f t="shared" si="19"/>
        <v>0</v>
      </c>
      <c r="V290" s="28" t="s">
        <v>222</v>
      </c>
      <c r="W290" s="31">
        <v>2020</v>
      </c>
      <c r="X290" s="28">
        <v>1</v>
      </c>
      <c r="Y290" s="28">
        <v>0</v>
      </c>
      <c r="Z290" s="196">
        <v>-2.1513024844954491E-4</v>
      </c>
      <c r="AA290" s="196">
        <v>-3.3096961299929986E-3</v>
      </c>
      <c r="AB290" s="28">
        <v>0</v>
      </c>
      <c r="AC290" s="28">
        <v>0</v>
      </c>
      <c r="AD290" s="28" t="s">
        <v>337</v>
      </c>
    </row>
    <row r="291" spans="2:30" ht="14.25" customHeight="1" x14ac:dyDescent="0.2">
      <c r="B291" s="7">
        <f t="shared" si="20"/>
        <v>267</v>
      </c>
      <c r="C291" s="28">
        <v>1</v>
      </c>
      <c r="D291" s="28">
        <v>10</v>
      </c>
      <c r="E291" s="31">
        <v>34</v>
      </c>
      <c r="F291" s="96">
        <v>2020</v>
      </c>
      <c r="G291" s="28">
        <v>2021</v>
      </c>
      <c r="H291" s="28">
        <v>7</v>
      </c>
      <c r="I291" s="31">
        <v>34</v>
      </c>
      <c r="J291" s="28">
        <v>0</v>
      </c>
      <c r="K291" s="28">
        <v>0</v>
      </c>
      <c r="L291" s="28">
        <v>0</v>
      </c>
      <c r="M291" s="75">
        <v>4.5</v>
      </c>
      <c r="N291" s="151">
        <v>10027.5</v>
      </c>
      <c r="O291" s="151">
        <v>6530</v>
      </c>
      <c r="P291" s="95">
        <f t="array" ref="P291">ROUND(IF($F291&lt;='TaxCred&amp;Subs'!$C$49,(IF($C291=2,IF($M291&gt;=IFERROR(INDEX('TaxCred&amp;Subs'!$L$12:$L$47,MATCH(1,($C291&amp;$D291='TaxCred&amp;Subs'!$E$12:$E$47)*($F291='TaxCred&amp;Subs'!$C$12:$C$47),0)
),9999),IFERROR(INDEX('TaxCred&amp;Subs'!$N$12:$N$47,MATCH(1,($C291&amp;$D291='TaxCred&amp;Subs'!$E$12:$E$47)*($F291='TaxCred&amp;Subs'!$C$12:$C$47),0)
),0),0),(IF($M291&gt;=IFERROR(INDEX('TaxCred&amp;Subs'!$H$12:$H$47,MATCH(1,($C291&amp;$D291='TaxCred&amp;Subs'!$D$12:$D$47)*($F291='TaxCred&amp;Subs'!$C$12:$C$47),0)
),9999),IFERROR(INDEX('TaxCred&amp;Subs'!$N$12:$N$47,MATCH(1,($C291&amp;$D291='TaxCred&amp;Subs'!$D$12:$D$47)*($F291='TaxCred&amp;Subs'!$C$12:$C$47),0)
),0),0)))),0)+IF(AND($C291=2,VALUE(RIGHT($AD291,1))&gt;2),(N291-R291)*(IFERROR(INDEX('TaxCred&amp;Subs'!$J$66:$J$99,MATCH(1,($C291&amp;$D291='TaxCred&amp;Subs'!$E$66:$E$99)*($F291='TaxCred&amp;Subs'!$C$66:$C$99),0)),0)),IF(AND($C291=1,VALUE(RIGHT($AD291,1))&gt;2),(N291-R291)*(IFERROR(INDEX('TaxCred&amp;Subs'!$J$66:$J$99,MATCH(1,($C291&amp;$D291='TaxCred&amp;Subs'!$D$66:$D$99)*($F291='TaxCred&amp;Subs'!$C$66:$C$99),0)),0)),IF($C291&gt;2,(N291-R291)*(IFERROR(INDEX('TaxCred&amp;Subs'!$J$66:$J$99,MATCH(1,($C291&amp;$D291='TaxCred&amp;Subs'!$D$66:$D$99)*($F291='TaxCred&amp;Subs'!$C$66:$C$99),0)),0)),0))),0)</f>
        <v>2511</v>
      </c>
      <c r="Q291" s="95">
        <f t="array" ref="Q291">ROUND(IF(AND($C291=2,VALUE(RIGHT($AD291,1))&gt;2),(O291-S291)*(IFERROR(INDEX('TaxCred&amp;Subs'!$J$66:$J$99,MATCH(1,($C291&amp;$D291='TaxCred&amp;Subs'!$E$66:$E$99)*($F291='TaxCred&amp;Subs'!$C$66:$C$99),0)),0)),IF(AND($C291=1,VALUE(RIGHT($AD291,1))&gt;2),(O291-S291)*(IFERROR(INDEX('TaxCred&amp;Subs'!$J$66:$J$99,MATCH(1,($C291&amp;$D291='TaxCred&amp;Subs'!$D$66:$D$99)*($F291='TaxCred&amp;Subs'!$C$66:$C$99),0)),0)),IF($C291&gt;2,(O291-S291)*(IFERROR(INDEX('TaxCred&amp;Subs'!$J$66:$J$99,MATCH(1,($C291&amp;$D291='TaxCred&amp;Subs'!$D$66:$D$99)*($F291='TaxCred&amp;Subs'!$C$66:$C$99),0)),0)),0))),0)</f>
        <v>1635</v>
      </c>
      <c r="R291" s="95">
        <f t="array" ref="R291">ROUND(IF(IFERROR(VALUE(RIGHT($AD291,1)),0)&gt;2,IF($C291=8,N291*IFERROR(INDEX('TaxCred&amp;Subs'!$K$139:$S$151,MATCH($C291&amp;$D291&amp;LEFT($AD291,7),'TaxCred&amp;Subs'!$E$139:$E$151,0),MATCH($H291,'TaxCred&amp;Subs'!$K$137:$S$137,0)),0),IF($C291=2,N291*IFERROR(INDEX('TaxCred&amp;Subs'!$K$139:$S$151,MATCH($C291&amp;$D291,'TaxCred&amp;Subs'!$D$139:$D$151,0),MATCH($H291,'TaxCred&amp;Subs'!$K$137:$S$137,0)),0),N291*IFERROR(INDEX('TaxCred&amp;Subs'!$K$139:$S$151,MATCH($C291&amp;$D291,'TaxCred&amp;Subs'!$C$139:$C$151,0),MATCH($H291,'TaxCred&amp;Subs'!$K$137:$S$137,0)),0))),0),0)</f>
        <v>370</v>
      </c>
      <c r="S291" s="95">
        <f t="array" ref="S291">ROUND(IF(IFERROR(VALUE(RIGHT($AD291,1)),0)&gt;2,IF($C291=8,O291*IFERROR(INDEX('TaxCred&amp;Subs'!$K$139:$S$151,MATCH($C291&amp;$D291&amp;LEFT($AD291,7),'TaxCred&amp;Subs'!$E$139:$E$151,0),MATCH($H291,'TaxCred&amp;Subs'!$K$137:$S$137,0)),0),IF($C291=2,O291*IFERROR(INDEX('TaxCred&amp;Subs'!$K$139:$S$151,MATCH($C291&amp;$D291,'TaxCred&amp;Subs'!$D$139:$D$151,0),MATCH($H291,'TaxCred&amp;Subs'!$K$137:$S$137,0)),0),O291*IFERROR(INDEX('TaxCred&amp;Subs'!$K$139:$S$151,MATCH($C291&amp;$D291,'TaxCred&amp;Subs'!$C$139:$C$151,0),MATCH($H291,'TaxCred&amp;Subs'!$K$137:$S$137,0)),0))),0),0)</f>
        <v>241</v>
      </c>
      <c r="T291" s="95">
        <f t="shared" si="18"/>
        <v>0</v>
      </c>
      <c r="U291" s="95">
        <f t="shared" si="19"/>
        <v>0</v>
      </c>
      <c r="V291" s="28" t="s">
        <v>222</v>
      </c>
      <c r="W291" s="31">
        <v>2020</v>
      </c>
      <c r="X291" s="28">
        <v>1</v>
      </c>
      <c r="Y291" s="28">
        <v>0</v>
      </c>
      <c r="Z291" s="196">
        <v>-2.1513024844954491E-4</v>
      </c>
      <c r="AA291" s="196">
        <v>-3.3096961299929986E-3</v>
      </c>
      <c r="AB291" s="28">
        <v>0</v>
      </c>
      <c r="AC291" s="28">
        <v>0</v>
      </c>
      <c r="AD291" s="28" t="s">
        <v>337</v>
      </c>
    </row>
    <row r="292" spans="2:30" ht="14.25" customHeight="1" x14ac:dyDescent="0.2">
      <c r="B292" s="7">
        <f t="shared" si="20"/>
        <v>268</v>
      </c>
      <c r="C292" s="28">
        <v>1</v>
      </c>
      <c r="D292" s="28">
        <v>10</v>
      </c>
      <c r="E292" s="31">
        <v>34</v>
      </c>
      <c r="F292" s="96">
        <v>2020</v>
      </c>
      <c r="G292" s="28">
        <v>2021</v>
      </c>
      <c r="H292" s="28">
        <v>8</v>
      </c>
      <c r="I292" s="31">
        <v>34</v>
      </c>
      <c r="J292" s="28">
        <v>0</v>
      </c>
      <c r="K292" s="28">
        <v>0</v>
      </c>
      <c r="L292" s="28">
        <v>0</v>
      </c>
      <c r="M292" s="75">
        <v>4.5</v>
      </c>
      <c r="N292" s="151">
        <v>10027.5</v>
      </c>
      <c r="O292" s="151">
        <v>6530</v>
      </c>
      <c r="P292" s="95">
        <f t="array" ref="P292">ROUND(IF($F292&lt;='TaxCred&amp;Subs'!$C$49,(IF($C292=2,IF($M292&gt;=IFERROR(INDEX('TaxCred&amp;Subs'!$L$12:$L$47,MATCH(1,($C292&amp;$D292='TaxCred&amp;Subs'!$E$12:$E$47)*($F292='TaxCred&amp;Subs'!$C$12:$C$47),0)
),9999),IFERROR(INDEX('TaxCred&amp;Subs'!$N$12:$N$47,MATCH(1,($C292&amp;$D292='TaxCred&amp;Subs'!$E$12:$E$47)*($F292='TaxCred&amp;Subs'!$C$12:$C$47),0)
),0),0),(IF($M292&gt;=IFERROR(INDEX('TaxCred&amp;Subs'!$H$12:$H$47,MATCH(1,($C292&amp;$D292='TaxCred&amp;Subs'!$D$12:$D$47)*($F292='TaxCred&amp;Subs'!$C$12:$C$47),0)
),9999),IFERROR(INDEX('TaxCred&amp;Subs'!$N$12:$N$47,MATCH(1,($C292&amp;$D292='TaxCred&amp;Subs'!$D$12:$D$47)*($F292='TaxCred&amp;Subs'!$C$12:$C$47),0)
),0),0)))),0)+IF(AND($C292=2,VALUE(RIGHT($AD292,1))&gt;2),(N292-R292)*(IFERROR(INDEX('TaxCred&amp;Subs'!$J$66:$J$99,MATCH(1,($C292&amp;$D292='TaxCred&amp;Subs'!$E$66:$E$99)*($F292='TaxCred&amp;Subs'!$C$66:$C$99),0)),0)),IF(AND($C292=1,VALUE(RIGHT($AD292,1))&gt;2),(N292-R292)*(IFERROR(INDEX('TaxCred&amp;Subs'!$J$66:$J$99,MATCH(1,($C292&amp;$D292='TaxCred&amp;Subs'!$D$66:$D$99)*($F292='TaxCred&amp;Subs'!$C$66:$C$99),0)),0)),IF($C292&gt;2,(N292-R292)*(IFERROR(INDEX('TaxCred&amp;Subs'!$J$66:$J$99,MATCH(1,($C292&amp;$D292='TaxCred&amp;Subs'!$D$66:$D$99)*($F292='TaxCred&amp;Subs'!$C$66:$C$99),0)),0)),0))),0)</f>
        <v>2476</v>
      </c>
      <c r="Q292" s="95">
        <f t="array" ref="Q292">ROUND(IF(AND($C292=2,VALUE(RIGHT($AD292,1))&gt;2),(O292-S292)*(IFERROR(INDEX('TaxCred&amp;Subs'!$J$66:$J$99,MATCH(1,($C292&amp;$D292='TaxCred&amp;Subs'!$E$66:$E$99)*($F292='TaxCred&amp;Subs'!$C$66:$C$99),0)),0)),IF(AND($C292=1,VALUE(RIGHT($AD292,1))&gt;2),(O292-S292)*(IFERROR(INDEX('TaxCred&amp;Subs'!$J$66:$J$99,MATCH(1,($C292&amp;$D292='TaxCred&amp;Subs'!$D$66:$D$99)*($F292='TaxCred&amp;Subs'!$C$66:$C$99),0)),0)),IF($C292&gt;2,(O292-S292)*(IFERROR(INDEX('TaxCred&amp;Subs'!$J$66:$J$99,MATCH(1,($C292&amp;$D292='TaxCred&amp;Subs'!$D$66:$D$99)*($F292='TaxCred&amp;Subs'!$C$66:$C$99),0)),0)),0))),0)</f>
        <v>1613</v>
      </c>
      <c r="R292" s="95">
        <f t="array" ref="R292">ROUND(IF(IFERROR(VALUE(RIGHT($AD292,1)),0)&gt;2,IF($C292=8,N292*IFERROR(INDEX('TaxCred&amp;Subs'!$K$139:$S$151,MATCH($C292&amp;$D292&amp;LEFT($AD292,7),'TaxCred&amp;Subs'!$E$139:$E$151,0),MATCH($H292,'TaxCred&amp;Subs'!$K$137:$S$137,0)),0),IF($C292=2,N292*IFERROR(INDEX('TaxCred&amp;Subs'!$K$139:$S$151,MATCH($C292&amp;$D292,'TaxCred&amp;Subs'!$D$139:$D$151,0),MATCH($H292,'TaxCred&amp;Subs'!$K$137:$S$137,0)),0),N292*IFERROR(INDEX('TaxCred&amp;Subs'!$K$139:$S$151,MATCH($C292&amp;$D292,'TaxCred&amp;Subs'!$C$139:$C$151,0),MATCH($H292,'TaxCred&amp;Subs'!$K$137:$S$137,0)),0))),0),0)</f>
        <v>504</v>
      </c>
      <c r="S292" s="95">
        <f t="array" ref="S292">ROUND(IF(IFERROR(VALUE(RIGHT($AD292,1)),0)&gt;2,IF($C292=8,O292*IFERROR(INDEX('TaxCred&amp;Subs'!$K$139:$S$151,MATCH($C292&amp;$D292&amp;LEFT($AD292,7),'TaxCred&amp;Subs'!$E$139:$E$151,0),MATCH($H292,'TaxCred&amp;Subs'!$K$137:$S$137,0)),0),IF($C292=2,O292*IFERROR(INDEX('TaxCred&amp;Subs'!$K$139:$S$151,MATCH($C292&amp;$D292,'TaxCred&amp;Subs'!$D$139:$D$151,0),MATCH($H292,'TaxCred&amp;Subs'!$K$137:$S$137,0)),0),O292*IFERROR(INDEX('TaxCred&amp;Subs'!$K$139:$S$151,MATCH($C292&amp;$D292,'TaxCred&amp;Subs'!$C$139:$C$151,0),MATCH($H292,'TaxCred&amp;Subs'!$K$137:$S$137,0)),0))),0),0)</f>
        <v>328</v>
      </c>
      <c r="T292" s="95">
        <f t="shared" si="18"/>
        <v>0</v>
      </c>
      <c r="U292" s="95">
        <f t="shared" si="19"/>
        <v>0</v>
      </c>
      <c r="V292" s="28" t="s">
        <v>222</v>
      </c>
      <c r="W292" s="31">
        <v>2020</v>
      </c>
      <c r="X292" s="28">
        <v>1</v>
      </c>
      <c r="Y292" s="28">
        <v>0</v>
      </c>
      <c r="Z292" s="196">
        <v>-2.1513024844954491E-4</v>
      </c>
      <c r="AA292" s="196">
        <v>-3.3096961299929986E-3</v>
      </c>
      <c r="AB292" s="28">
        <v>0</v>
      </c>
      <c r="AC292" s="28">
        <v>0</v>
      </c>
      <c r="AD292" s="28" t="s">
        <v>337</v>
      </c>
    </row>
    <row r="293" spans="2:30" ht="14.25" customHeight="1" x14ac:dyDescent="0.2">
      <c r="B293" s="7">
        <f t="shared" si="20"/>
        <v>269</v>
      </c>
      <c r="C293" s="28">
        <v>1</v>
      </c>
      <c r="D293" s="28">
        <v>10</v>
      </c>
      <c r="E293" s="31">
        <v>34</v>
      </c>
      <c r="F293" s="96">
        <v>2020</v>
      </c>
      <c r="G293" s="28">
        <v>2021</v>
      </c>
      <c r="H293" s="28">
        <v>9</v>
      </c>
      <c r="I293" s="31">
        <v>34</v>
      </c>
      <c r="J293" s="28">
        <v>0</v>
      </c>
      <c r="K293" s="28">
        <v>0</v>
      </c>
      <c r="L293" s="28">
        <v>0</v>
      </c>
      <c r="M293" s="75">
        <v>4.5</v>
      </c>
      <c r="N293" s="151">
        <v>10027.5</v>
      </c>
      <c r="O293" s="151">
        <v>6530</v>
      </c>
      <c r="P293" s="95">
        <f t="array" ref="P293">ROUND(IF($F293&lt;='TaxCred&amp;Subs'!$C$49,(IF($C293=2,IF($M293&gt;=IFERROR(INDEX('TaxCred&amp;Subs'!$L$12:$L$47,MATCH(1,($C293&amp;$D293='TaxCred&amp;Subs'!$E$12:$E$47)*($F293='TaxCred&amp;Subs'!$C$12:$C$47),0)
),9999),IFERROR(INDEX('TaxCred&amp;Subs'!$N$12:$N$47,MATCH(1,($C293&amp;$D293='TaxCred&amp;Subs'!$E$12:$E$47)*($F293='TaxCred&amp;Subs'!$C$12:$C$47),0)
),0),0),(IF($M293&gt;=IFERROR(INDEX('TaxCred&amp;Subs'!$H$12:$H$47,MATCH(1,($C293&amp;$D293='TaxCred&amp;Subs'!$D$12:$D$47)*($F293='TaxCred&amp;Subs'!$C$12:$C$47),0)
),9999),IFERROR(INDEX('TaxCred&amp;Subs'!$N$12:$N$47,MATCH(1,($C293&amp;$D293='TaxCred&amp;Subs'!$D$12:$D$47)*($F293='TaxCred&amp;Subs'!$C$12:$C$47),0)
),0),0)))),0)+IF(AND($C293=2,VALUE(RIGHT($AD293,1))&gt;2),(N293-R293)*(IFERROR(INDEX('TaxCred&amp;Subs'!$J$66:$J$99,MATCH(1,($C293&amp;$D293='TaxCred&amp;Subs'!$E$66:$E$99)*($F293='TaxCred&amp;Subs'!$C$66:$C$99),0)),0)),IF(AND($C293=1,VALUE(RIGHT($AD293,1))&gt;2),(N293-R293)*(IFERROR(INDEX('TaxCred&amp;Subs'!$J$66:$J$99,MATCH(1,($C293&amp;$D293='TaxCred&amp;Subs'!$D$66:$D$99)*($F293='TaxCred&amp;Subs'!$C$66:$C$99),0)),0)),IF($C293&gt;2,(N293-R293)*(IFERROR(INDEX('TaxCred&amp;Subs'!$J$66:$J$99,MATCH(1,($C293&amp;$D293='TaxCred&amp;Subs'!$D$66:$D$99)*($F293='TaxCred&amp;Subs'!$C$66:$C$99),0)),0)),0))),0)</f>
        <v>2543</v>
      </c>
      <c r="Q293" s="95">
        <f t="array" ref="Q293">ROUND(IF(AND($C293=2,VALUE(RIGHT($AD293,1))&gt;2),(O293-S293)*(IFERROR(INDEX('TaxCred&amp;Subs'!$J$66:$J$99,MATCH(1,($C293&amp;$D293='TaxCred&amp;Subs'!$E$66:$E$99)*($F293='TaxCred&amp;Subs'!$C$66:$C$99),0)),0)),IF(AND($C293=1,VALUE(RIGHT($AD293,1))&gt;2),(O293-S293)*(IFERROR(INDEX('TaxCred&amp;Subs'!$J$66:$J$99,MATCH(1,($C293&amp;$D293='TaxCred&amp;Subs'!$D$66:$D$99)*($F293='TaxCred&amp;Subs'!$C$66:$C$99),0)),0)),IF($C293&gt;2,(O293-S293)*(IFERROR(INDEX('TaxCred&amp;Subs'!$J$66:$J$99,MATCH(1,($C293&amp;$D293='TaxCred&amp;Subs'!$D$66:$D$99)*($F293='TaxCred&amp;Subs'!$C$66:$C$99),0)),0)),0))),0)</f>
        <v>1656</v>
      </c>
      <c r="R293" s="95">
        <f t="array" ref="R293">ROUND(IF(IFERROR(VALUE(RIGHT($AD293,1)),0)&gt;2,IF($C293=8,N293*IFERROR(INDEX('TaxCred&amp;Subs'!$K$139:$S$151,MATCH($C293&amp;$D293&amp;LEFT($AD293,7),'TaxCred&amp;Subs'!$E$139:$E$151,0),MATCH($H293,'TaxCred&amp;Subs'!$K$137:$S$137,0)),0),IF($C293=2,N293*IFERROR(INDEX('TaxCred&amp;Subs'!$K$139:$S$151,MATCH($C293&amp;$D293,'TaxCred&amp;Subs'!$D$139:$D$151,0),MATCH($H293,'TaxCred&amp;Subs'!$K$137:$S$137,0)),0),N293*IFERROR(INDEX('TaxCred&amp;Subs'!$K$139:$S$151,MATCH($C293&amp;$D293,'TaxCred&amp;Subs'!$C$139:$C$151,0),MATCH($H293,'TaxCred&amp;Subs'!$K$137:$S$137,0)),0))),0),0)</f>
        <v>246</v>
      </c>
      <c r="S293" s="95">
        <f t="array" ref="S293">ROUND(IF(IFERROR(VALUE(RIGHT($AD293,1)),0)&gt;2,IF($C293=8,O293*IFERROR(INDEX('TaxCred&amp;Subs'!$K$139:$S$151,MATCH($C293&amp;$D293&amp;LEFT($AD293,7),'TaxCred&amp;Subs'!$E$139:$E$151,0),MATCH($H293,'TaxCred&amp;Subs'!$K$137:$S$137,0)),0),IF($C293=2,O293*IFERROR(INDEX('TaxCred&amp;Subs'!$K$139:$S$151,MATCH($C293&amp;$D293,'TaxCred&amp;Subs'!$D$139:$D$151,0),MATCH($H293,'TaxCred&amp;Subs'!$K$137:$S$137,0)),0),O293*IFERROR(INDEX('TaxCred&amp;Subs'!$K$139:$S$151,MATCH($C293&amp;$D293,'TaxCred&amp;Subs'!$C$139:$C$151,0),MATCH($H293,'TaxCred&amp;Subs'!$K$137:$S$137,0)),0))),0),0)</f>
        <v>160</v>
      </c>
      <c r="T293" s="172">
        <f t="shared" si="18"/>
        <v>1122.675</v>
      </c>
      <c r="U293" s="172">
        <f t="shared" si="19"/>
        <v>731.1</v>
      </c>
      <c r="V293" s="28" t="s">
        <v>222</v>
      </c>
      <c r="W293" s="31">
        <v>2020</v>
      </c>
      <c r="X293" s="28">
        <v>1</v>
      </c>
      <c r="Y293" s="28">
        <v>0</v>
      </c>
      <c r="Z293" s="196">
        <v>-2.1513024844954491E-4</v>
      </c>
      <c r="AA293" s="196">
        <v>-3.3096961299929986E-3</v>
      </c>
      <c r="AB293" s="28">
        <v>0</v>
      </c>
      <c r="AC293" s="28">
        <v>0</v>
      </c>
      <c r="AD293" s="28" t="s">
        <v>337</v>
      </c>
    </row>
    <row r="294" spans="2:30" ht="14.25" customHeight="1" x14ac:dyDescent="0.2">
      <c r="B294" s="7">
        <f t="shared" si="20"/>
        <v>270</v>
      </c>
      <c r="C294" s="28">
        <v>1</v>
      </c>
      <c r="D294" s="28">
        <v>10</v>
      </c>
      <c r="E294" s="31">
        <v>34</v>
      </c>
      <c r="F294" s="78">
        <v>2022</v>
      </c>
      <c r="G294" s="28">
        <v>2032</v>
      </c>
      <c r="H294" s="28">
        <v>1</v>
      </c>
      <c r="I294" s="31">
        <v>34</v>
      </c>
      <c r="J294" s="28">
        <v>0</v>
      </c>
      <c r="K294" s="28">
        <v>0</v>
      </c>
      <c r="L294" s="28">
        <v>0</v>
      </c>
      <c r="M294" s="75">
        <v>4.5</v>
      </c>
      <c r="N294" s="151">
        <v>10027.5</v>
      </c>
      <c r="O294" s="151">
        <v>6530</v>
      </c>
      <c r="P294" s="95">
        <f t="array" ref="P294">ROUND(IF($F294&lt;='TaxCred&amp;Subs'!$C$49,(IF($C294=2,IF($M294&gt;=IFERROR(INDEX('TaxCred&amp;Subs'!$L$12:$L$47,MATCH(1,($C294&amp;$D294='TaxCred&amp;Subs'!$E$12:$E$47)*($F294='TaxCred&amp;Subs'!$C$12:$C$47),0)
),9999),IFERROR(INDEX('TaxCred&amp;Subs'!$N$12:$N$47,MATCH(1,($C294&amp;$D294='TaxCred&amp;Subs'!$E$12:$E$47)*($F294='TaxCred&amp;Subs'!$C$12:$C$47),0)
),0),0),(IF($M294&gt;=IFERROR(INDEX('TaxCred&amp;Subs'!$H$12:$H$47,MATCH(1,($C294&amp;$D294='TaxCred&amp;Subs'!$D$12:$D$47)*($F294='TaxCred&amp;Subs'!$C$12:$C$47),0)
),9999),IFERROR(INDEX('TaxCred&amp;Subs'!$N$12:$N$47,MATCH(1,($C294&amp;$D294='TaxCred&amp;Subs'!$D$12:$D$47)*($F294='TaxCred&amp;Subs'!$C$12:$C$47),0)
),0),0)))),0)+IF(AND($C294=2,VALUE(RIGHT($AD294,1))&gt;2),(N294-R294)*(IFERROR(INDEX('TaxCred&amp;Subs'!$J$66:$J$99,MATCH(1,($C294&amp;$D294='TaxCred&amp;Subs'!$E$66:$E$99)*($F294='TaxCred&amp;Subs'!$C$66:$C$99),0)),0)),IF(AND($C294=1,VALUE(RIGHT($AD294,1))&gt;2),(N294-R294)*(IFERROR(INDEX('TaxCred&amp;Subs'!$J$66:$J$99,MATCH(1,($C294&amp;$D294='TaxCred&amp;Subs'!$D$66:$D$99)*($F294='TaxCred&amp;Subs'!$C$66:$C$99),0)),0)),IF($C294&gt;2,(N294-R294)*(IFERROR(INDEX('TaxCred&amp;Subs'!$J$66:$J$99,MATCH(1,($C294&amp;$D294='TaxCred&amp;Subs'!$D$66:$D$99)*($F294='TaxCred&amp;Subs'!$C$66:$C$99),0)),0)),0))),0)</f>
        <v>2262</v>
      </c>
      <c r="Q294" s="95">
        <f t="array" ref="Q294">ROUND(IF(AND($C294=2,VALUE(RIGHT($AD294,1))&gt;2),(O294-S294)*(IFERROR(INDEX('TaxCred&amp;Subs'!$J$66:$J$99,MATCH(1,($C294&amp;$D294='TaxCred&amp;Subs'!$E$66:$E$99)*($F294='TaxCred&amp;Subs'!$C$66:$C$99),0)),0)),IF(AND($C294=1,VALUE(RIGHT($AD294,1))&gt;2),(O294-S294)*(IFERROR(INDEX('TaxCred&amp;Subs'!$J$66:$J$99,MATCH(1,($C294&amp;$D294='TaxCred&amp;Subs'!$D$66:$D$99)*($F294='TaxCred&amp;Subs'!$C$66:$C$99),0)),0)),IF($C294&gt;2,(O294-S294)*(IFERROR(INDEX('TaxCred&amp;Subs'!$J$66:$J$99,MATCH(1,($C294&amp;$D294='TaxCred&amp;Subs'!$D$66:$D$99)*($F294='TaxCred&amp;Subs'!$C$66:$C$99),0)),0)),0))),0)</f>
        <v>1473</v>
      </c>
      <c r="R294" s="95">
        <f t="array" ref="R294">ROUND(IF(IFERROR(VALUE(RIGHT($AD294,1)),0)&gt;2,IF($C294=8,N294*IFERROR(INDEX('TaxCred&amp;Subs'!$K$139:$S$151,MATCH($C294&amp;$D294&amp;LEFT($AD294,7),'TaxCred&amp;Subs'!$E$139:$E$151,0),MATCH($H294,'TaxCred&amp;Subs'!$K$137:$S$137,0)),0),IF($C294=2,N294*IFERROR(INDEX('TaxCred&amp;Subs'!$K$139:$S$151,MATCH($C294&amp;$D294,'TaxCred&amp;Subs'!$D$139:$D$151,0),MATCH($H294,'TaxCred&amp;Subs'!$K$137:$S$137,0)),0),N294*IFERROR(INDEX('TaxCred&amp;Subs'!$K$139:$S$151,MATCH($C294&amp;$D294,'TaxCred&amp;Subs'!$C$139:$C$151,0),MATCH($H294,'TaxCred&amp;Subs'!$K$137:$S$137,0)),0))),0),0)</f>
        <v>2486</v>
      </c>
      <c r="S294" s="95">
        <f t="array" ref="S294">ROUND(IF(IFERROR(VALUE(RIGHT($AD294,1)),0)&gt;2,IF($C294=8,O294*IFERROR(INDEX('TaxCred&amp;Subs'!$K$139:$S$151,MATCH($C294&amp;$D294&amp;LEFT($AD294,7),'TaxCred&amp;Subs'!$E$139:$E$151,0),MATCH($H294,'TaxCred&amp;Subs'!$K$137:$S$137,0)),0),IF($C294=2,O294*IFERROR(INDEX('TaxCred&amp;Subs'!$K$139:$S$151,MATCH($C294&amp;$D294,'TaxCred&amp;Subs'!$D$139:$D$151,0),MATCH($H294,'TaxCred&amp;Subs'!$K$137:$S$137,0)),0),O294*IFERROR(INDEX('TaxCred&amp;Subs'!$K$139:$S$151,MATCH($C294&amp;$D294,'TaxCred&amp;Subs'!$C$139:$C$151,0),MATCH($H294,'TaxCred&amp;Subs'!$K$137:$S$137,0)),0))),0),0)</f>
        <v>1619</v>
      </c>
      <c r="T294" s="95">
        <f t="shared" si="18"/>
        <v>0</v>
      </c>
      <c r="U294" s="95">
        <f t="shared" si="19"/>
        <v>0</v>
      </c>
      <c r="V294" s="28" t="s">
        <v>222</v>
      </c>
      <c r="W294" s="31">
        <v>2020</v>
      </c>
      <c r="X294" s="28">
        <v>1</v>
      </c>
      <c r="Y294" s="28">
        <v>0</v>
      </c>
      <c r="Z294" s="196">
        <v>-2.1513024844954491E-4</v>
      </c>
      <c r="AA294" s="196">
        <v>-3.3096961299929986E-3</v>
      </c>
      <c r="AB294" s="28">
        <v>0</v>
      </c>
      <c r="AC294" s="28">
        <v>0</v>
      </c>
      <c r="AD294" s="28" t="s">
        <v>337</v>
      </c>
    </row>
    <row r="295" spans="2:30" ht="14.25" customHeight="1" x14ac:dyDescent="0.2">
      <c r="B295" s="7">
        <f t="shared" si="20"/>
        <v>271</v>
      </c>
      <c r="C295" s="28">
        <v>1</v>
      </c>
      <c r="D295" s="28">
        <v>10</v>
      </c>
      <c r="E295" s="31">
        <v>34</v>
      </c>
      <c r="F295" s="78">
        <v>2022</v>
      </c>
      <c r="G295" s="28">
        <v>2032</v>
      </c>
      <c r="H295" s="28">
        <v>2</v>
      </c>
      <c r="I295" s="31">
        <v>34</v>
      </c>
      <c r="J295" s="28">
        <v>0</v>
      </c>
      <c r="K295" s="28">
        <v>0</v>
      </c>
      <c r="L295" s="28">
        <v>0</v>
      </c>
      <c r="M295" s="75">
        <v>4.5</v>
      </c>
      <c r="N295" s="151">
        <v>10027.5</v>
      </c>
      <c r="O295" s="151">
        <v>6530</v>
      </c>
      <c r="P295" s="95">
        <f t="array" ref="P295">ROUND(IF($F295&lt;='TaxCred&amp;Subs'!$C$49,(IF($C295=2,IF($M295&gt;=IFERROR(INDEX('TaxCred&amp;Subs'!$L$12:$L$47,MATCH(1,($C295&amp;$D295='TaxCred&amp;Subs'!$E$12:$E$47)*($F295='TaxCred&amp;Subs'!$C$12:$C$47),0)
),9999),IFERROR(INDEX('TaxCred&amp;Subs'!$N$12:$N$47,MATCH(1,($C295&amp;$D295='TaxCred&amp;Subs'!$E$12:$E$47)*($F295='TaxCred&amp;Subs'!$C$12:$C$47),0)
),0),0),(IF($M295&gt;=IFERROR(INDEX('TaxCred&amp;Subs'!$H$12:$H$47,MATCH(1,($C295&amp;$D295='TaxCred&amp;Subs'!$D$12:$D$47)*($F295='TaxCred&amp;Subs'!$C$12:$C$47),0)
),9999),IFERROR(INDEX('TaxCred&amp;Subs'!$N$12:$N$47,MATCH(1,($C295&amp;$D295='TaxCred&amp;Subs'!$D$12:$D$47)*($F295='TaxCred&amp;Subs'!$C$12:$C$47),0)
),0),0)))),0)+IF(AND($C295=2,VALUE(RIGHT($AD295,1))&gt;2),(N295-R295)*(IFERROR(INDEX('TaxCred&amp;Subs'!$J$66:$J$99,MATCH(1,($C295&amp;$D295='TaxCred&amp;Subs'!$E$66:$E$99)*($F295='TaxCred&amp;Subs'!$C$66:$C$99),0)),0)),IF(AND($C295=1,VALUE(RIGHT($AD295,1))&gt;2),(N295-R295)*(IFERROR(INDEX('TaxCred&amp;Subs'!$J$66:$J$99,MATCH(1,($C295&amp;$D295='TaxCred&amp;Subs'!$D$66:$D$99)*($F295='TaxCred&amp;Subs'!$C$66:$C$99),0)),0)),IF($C295&gt;2,(N295-R295)*(IFERROR(INDEX('TaxCred&amp;Subs'!$J$66:$J$99,MATCH(1,($C295&amp;$D295='TaxCred&amp;Subs'!$D$66:$D$99)*($F295='TaxCred&amp;Subs'!$C$66:$C$99),0)),0)),0))),0)</f>
        <v>2700</v>
      </c>
      <c r="Q295" s="95">
        <f t="array" ref="Q295">ROUND(IF(AND($C295=2,VALUE(RIGHT($AD295,1))&gt;2),(O295-S295)*(IFERROR(INDEX('TaxCred&amp;Subs'!$J$66:$J$99,MATCH(1,($C295&amp;$D295='TaxCred&amp;Subs'!$E$66:$E$99)*($F295='TaxCred&amp;Subs'!$C$66:$C$99),0)),0)),IF(AND($C295=1,VALUE(RIGHT($AD295,1))&gt;2),(O295-S295)*(IFERROR(INDEX('TaxCred&amp;Subs'!$J$66:$J$99,MATCH(1,($C295&amp;$D295='TaxCred&amp;Subs'!$D$66:$D$99)*($F295='TaxCred&amp;Subs'!$C$66:$C$99),0)),0)),IF($C295&gt;2,(O295-S295)*(IFERROR(INDEX('TaxCred&amp;Subs'!$J$66:$J$99,MATCH(1,($C295&amp;$D295='TaxCred&amp;Subs'!$D$66:$D$99)*($F295='TaxCred&amp;Subs'!$C$66:$C$99),0)),0)),0))),0)</f>
        <v>1759</v>
      </c>
      <c r="R295" s="95">
        <f t="array" ref="R295">ROUND(IF(IFERROR(VALUE(RIGHT($AD295,1)),0)&gt;2,IF($C295=8,N295*IFERROR(INDEX('TaxCred&amp;Subs'!$K$139:$S$151,MATCH($C295&amp;$D295&amp;LEFT($AD295,7),'TaxCred&amp;Subs'!$E$139:$E$151,0),MATCH($H295,'TaxCred&amp;Subs'!$K$137:$S$137,0)),0),IF($C295=2,N295*IFERROR(INDEX('TaxCred&amp;Subs'!$K$139:$S$151,MATCH($C295&amp;$D295,'TaxCred&amp;Subs'!$D$139:$D$151,0),MATCH($H295,'TaxCred&amp;Subs'!$K$137:$S$137,0)),0),N295*IFERROR(INDEX('TaxCred&amp;Subs'!$K$139:$S$151,MATCH($C295&amp;$D295,'TaxCred&amp;Subs'!$C$139:$C$151,0),MATCH($H295,'TaxCred&amp;Subs'!$K$137:$S$137,0)),0))),0),0)</f>
        <v>1026</v>
      </c>
      <c r="S295" s="95">
        <f t="array" ref="S295">ROUND(IF(IFERROR(VALUE(RIGHT($AD295,1)),0)&gt;2,IF($C295=8,O295*IFERROR(INDEX('TaxCred&amp;Subs'!$K$139:$S$151,MATCH($C295&amp;$D295&amp;LEFT($AD295,7),'TaxCred&amp;Subs'!$E$139:$E$151,0),MATCH($H295,'TaxCred&amp;Subs'!$K$137:$S$137,0)),0),IF($C295=2,O295*IFERROR(INDEX('TaxCred&amp;Subs'!$K$139:$S$151,MATCH($C295&amp;$D295,'TaxCred&amp;Subs'!$D$139:$D$151,0),MATCH($H295,'TaxCred&amp;Subs'!$K$137:$S$137,0)),0),O295*IFERROR(INDEX('TaxCred&amp;Subs'!$K$139:$S$151,MATCH($C295&amp;$D295,'TaxCred&amp;Subs'!$C$139:$C$151,0),MATCH($H295,'TaxCred&amp;Subs'!$K$137:$S$137,0)),0))),0),0)</f>
        <v>668</v>
      </c>
      <c r="T295" s="95">
        <f t="shared" si="18"/>
        <v>0</v>
      </c>
      <c r="U295" s="95">
        <f t="shared" si="19"/>
        <v>0</v>
      </c>
      <c r="V295" s="28" t="s">
        <v>222</v>
      </c>
      <c r="W295" s="31">
        <v>2020</v>
      </c>
      <c r="X295" s="28">
        <v>1</v>
      </c>
      <c r="Y295" s="28">
        <v>0</v>
      </c>
      <c r="Z295" s="196">
        <v>-2.1513024844954491E-4</v>
      </c>
      <c r="AA295" s="196">
        <v>-3.3096961299929986E-3</v>
      </c>
      <c r="AB295" s="28">
        <v>0</v>
      </c>
      <c r="AC295" s="28">
        <v>0</v>
      </c>
      <c r="AD295" s="28" t="s">
        <v>337</v>
      </c>
    </row>
    <row r="296" spans="2:30" ht="14.25" customHeight="1" x14ac:dyDescent="0.2">
      <c r="B296" s="7">
        <f t="shared" si="20"/>
        <v>272</v>
      </c>
      <c r="C296" s="28">
        <v>1</v>
      </c>
      <c r="D296" s="28">
        <v>10</v>
      </c>
      <c r="E296" s="31">
        <v>34</v>
      </c>
      <c r="F296" s="78">
        <v>2022</v>
      </c>
      <c r="G296" s="28">
        <v>2032</v>
      </c>
      <c r="H296" s="28">
        <v>3</v>
      </c>
      <c r="I296" s="31">
        <v>34</v>
      </c>
      <c r="J296" s="28">
        <v>0</v>
      </c>
      <c r="K296" s="28">
        <v>0</v>
      </c>
      <c r="L296" s="28">
        <v>0</v>
      </c>
      <c r="M296" s="75">
        <v>4.5</v>
      </c>
      <c r="N296" s="151">
        <v>10027.5</v>
      </c>
      <c r="O296" s="151">
        <v>6530</v>
      </c>
      <c r="P296" s="95">
        <f t="array" ref="P296">ROUND(IF($F296&lt;='TaxCred&amp;Subs'!$C$49,(IF($C296=2,IF($M296&gt;=IFERROR(INDEX('TaxCred&amp;Subs'!$L$12:$L$47,MATCH(1,($C296&amp;$D296='TaxCred&amp;Subs'!$E$12:$E$47)*($F296='TaxCred&amp;Subs'!$C$12:$C$47),0)
),9999),IFERROR(INDEX('TaxCred&amp;Subs'!$N$12:$N$47,MATCH(1,($C296&amp;$D296='TaxCred&amp;Subs'!$E$12:$E$47)*($F296='TaxCred&amp;Subs'!$C$12:$C$47),0)
),0),0),(IF($M296&gt;=IFERROR(INDEX('TaxCred&amp;Subs'!$H$12:$H$47,MATCH(1,($C296&amp;$D296='TaxCred&amp;Subs'!$D$12:$D$47)*($F296='TaxCred&amp;Subs'!$C$12:$C$47),0)
),9999),IFERROR(INDEX('TaxCred&amp;Subs'!$N$12:$N$47,MATCH(1,($C296&amp;$D296='TaxCred&amp;Subs'!$D$12:$D$47)*($F296='TaxCred&amp;Subs'!$C$12:$C$47),0)
),0),0)))),0)+IF(AND($C296=2,VALUE(RIGHT($AD296,1))&gt;2),(N296-R296)*(IFERROR(INDEX('TaxCred&amp;Subs'!$J$66:$J$99,MATCH(1,($C296&amp;$D296='TaxCred&amp;Subs'!$E$66:$E$99)*($F296='TaxCred&amp;Subs'!$C$66:$C$99),0)),0)),IF(AND($C296=1,VALUE(RIGHT($AD296,1))&gt;2),(N296-R296)*(IFERROR(INDEX('TaxCred&amp;Subs'!$J$66:$J$99,MATCH(1,($C296&amp;$D296='TaxCred&amp;Subs'!$D$66:$D$99)*($F296='TaxCred&amp;Subs'!$C$66:$C$99),0)),0)),IF($C296&gt;2,(N296-R296)*(IFERROR(INDEX('TaxCred&amp;Subs'!$J$66:$J$99,MATCH(1,($C296&amp;$D296='TaxCred&amp;Subs'!$D$66:$D$99)*($F296='TaxCred&amp;Subs'!$C$66:$C$99),0)),0)),0))),0)</f>
        <v>2766</v>
      </c>
      <c r="Q296" s="95">
        <f t="array" ref="Q296">ROUND(IF(AND($C296=2,VALUE(RIGHT($AD296,1))&gt;2),(O296-S296)*(IFERROR(INDEX('TaxCred&amp;Subs'!$J$66:$J$99,MATCH(1,($C296&amp;$D296='TaxCred&amp;Subs'!$E$66:$E$99)*($F296='TaxCred&amp;Subs'!$C$66:$C$99),0)),0)),IF(AND($C296=1,VALUE(RIGHT($AD296,1))&gt;2),(O296-S296)*(IFERROR(INDEX('TaxCred&amp;Subs'!$J$66:$J$99,MATCH(1,($C296&amp;$D296='TaxCred&amp;Subs'!$D$66:$D$99)*($F296='TaxCred&amp;Subs'!$C$66:$C$99),0)),0)),IF($C296&gt;2,(O296-S296)*(IFERROR(INDEX('TaxCred&amp;Subs'!$J$66:$J$99,MATCH(1,($C296&amp;$D296='TaxCred&amp;Subs'!$D$66:$D$99)*($F296='TaxCred&amp;Subs'!$C$66:$C$99),0)),0)),0))),0)</f>
        <v>1801</v>
      </c>
      <c r="R296" s="95">
        <f t="array" ref="R296">ROUND(IF(IFERROR(VALUE(RIGHT($AD296,1)),0)&gt;2,IF($C296=8,N296*IFERROR(INDEX('TaxCred&amp;Subs'!$K$139:$S$151,MATCH($C296&amp;$D296&amp;LEFT($AD296,7),'TaxCred&amp;Subs'!$E$139:$E$151,0),MATCH($H296,'TaxCred&amp;Subs'!$K$137:$S$137,0)),0),IF($C296=2,N296*IFERROR(INDEX('TaxCred&amp;Subs'!$K$139:$S$151,MATCH($C296&amp;$D296,'TaxCred&amp;Subs'!$D$139:$D$151,0),MATCH($H296,'TaxCred&amp;Subs'!$K$137:$S$137,0)),0),N296*IFERROR(INDEX('TaxCred&amp;Subs'!$K$139:$S$151,MATCH($C296&amp;$D296,'TaxCred&amp;Subs'!$C$139:$C$151,0),MATCH($H296,'TaxCred&amp;Subs'!$K$137:$S$137,0)),0))),0),0)</f>
        <v>807</v>
      </c>
      <c r="S296" s="95">
        <f t="array" ref="S296">ROUND(IF(IFERROR(VALUE(RIGHT($AD296,1)),0)&gt;2,IF($C296=8,O296*IFERROR(INDEX('TaxCred&amp;Subs'!$K$139:$S$151,MATCH($C296&amp;$D296&amp;LEFT($AD296,7),'TaxCred&amp;Subs'!$E$139:$E$151,0),MATCH($H296,'TaxCred&amp;Subs'!$K$137:$S$137,0)),0),IF($C296=2,O296*IFERROR(INDEX('TaxCred&amp;Subs'!$K$139:$S$151,MATCH($C296&amp;$D296,'TaxCred&amp;Subs'!$D$139:$D$151,0),MATCH($H296,'TaxCred&amp;Subs'!$K$137:$S$137,0)),0),O296*IFERROR(INDEX('TaxCred&amp;Subs'!$K$139:$S$151,MATCH($C296&amp;$D296,'TaxCred&amp;Subs'!$C$139:$C$151,0),MATCH($H296,'TaxCred&amp;Subs'!$K$137:$S$137,0)),0))),0),0)</f>
        <v>526</v>
      </c>
      <c r="T296" s="95">
        <f t="shared" si="18"/>
        <v>0</v>
      </c>
      <c r="U296" s="95">
        <f t="shared" si="19"/>
        <v>0</v>
      </c>
      <c r="V296" s="28" t="s">
        <v>222</v>
      </c>
      <c r="W296" s="31">
        <v>2020</v>
      </c>
      <c r="X296" s="28">
        <v>1</v>
      </c>
      <c r="Y296" s="28">
        <v>0</v>
      </c>
      <c r="Z296" s="196">
        <v>-2.1513024844954491E-4</v>
      </c>
      <c r="AA296" s="196">
        <v>-3.3096961299929986E-3</v>
      </c>
      <c r="AB296" s="28">
        <v>0</v>
      </c>
      <c r="AC296" s="28">
        <v>0</v>
      </c>
      <c r="AD296" s="28" t="s">
        <v>337</v>
      </c>
    </row>
    <row r="297" spans="2:30" ht="14.25" customHeight="1" x14ac:dyDescent="0.2">
      <c r="B297" s="7">
        <f t="shared" si="20"/>
        <v>273</v>
      </c>
      <c r="C297" s="28">
        <v>1</v>
      </c>
      <c r="D297" s="28">
        <v>10</v>
      </c>
      <c r="E297" s="31">
        <v>34</v>
      </c>
      <c r="F297" s="78">
        <v>2022</v>
      </c>
      <c r="G297" s="28">
        <v>2032</v>
      </c>
      <c r="H297" s="28">
        <v>4</v>
      </c>
      <c r="I297" s="31">
        <v>34</v>
      </c>
      <c r="J297" s="28">
        <v>0</v>
      </c>
      <c r="K297" s="28">
        <v>0</v>
      </c>
      <c r="L297" s="28">
        <v>0</v>
      </c>
      <c r="M297" s="75">
        <v>4.5</v>
      </c>
      <c r="N297" s="151">
        <v>10027.5</v>
      </c>
      <c r="O297" s="151">
        <v>6530</v>
      </c>
      <c r="P297" s="95">
        <f t="array" ref="P297">ROUND(IF($F297&lt;='TaxCred&amp;Subs'!$C$49,(IF($C297=2,IF($M297&gt;=IFERROR(INDEX('TaxCred&amp;Subs'!$L$12:$L$47,MATCH(1,($C297&amp;$D297='TaxCred&amp;Subs'!$E$12:$E$47)*($F297='TaxCred&amp;Subs'!$C$12:$C$47),0)
),9999),IFERROR(INDEX('TaxCred&amp;Subs'!$N$12:$N$47,MATCH(1,($C297&amp;$D297='TaxCred&amp;Subs'!$E$12:$E$47)*($F297='TaxCred&amp;Subs'!$C$12:$C$47),0)
),0),0),(IF($M297&gt;=IFERROR(INDEX('TaxCred&amp;Subs'!$H$12:$H$47,MATCH(1,($C297&amp;$D297='TaxCred&amp;Subs'!$D$12:$D$47)*($F297='TaxCred&amp;Subs'!$C$12:$C$47),0)
),9999),IFERROR(INDEX('TaxCred&amp;Subs'!$N$12:$N$47,MATCH(1,($C297&amp;$D297='TaxCred&amp;Subs'!$D$12:$D$47)*($F297='TaxCred&amp;Subs'!$C$12:$C$47),0)
),0),0)))),0)+IF(AND($C297=2,VALUE(RIGHT($AD297,1))&gt;2),(N297-R297)*(IFERROR(INDEX('TaxCred&amp;Subs'!$J$66:$J$99,MATCH(1,($C297&amp;$D297='TaxCred&amp;Subs'!$E$66:$E$99)*($F297='TaxCred&amp;Subs'!$C$66:$C$99),0)),0)),IF(AND($C297=1,VALUE(RIGHT($AD297,1))&gt;2),(N297-R297)*(IFERROR(INDEX('TaxCred&amp;Subs'!$J$66:$J$99,MATCH(1,($C297&amp;$D297='TaxCred&amp;Subs'!$D$66:$D$99)*($F297='TaxCred&amp;Subs'!$C$66:$C$99),0)),0)),IF($C297&gt;2,(N297-R297)*(IFERROR(INDEX('TaxCred&amp;Subs'!$J$66:$J$99,MATCH(1,($C297&amp;$D297='TaxCred&amp;Subs'!$D$66:$D$99)*($F297='TaxCred&amp;Subs'!$C$66:$C$99),0)),0)),0))),0)</f>
        <v>2814</v>
      </c>
      <c r="Q297" s="95">
        <f t="array" ref="Q297">ROUND(IF(AND($C297=2,VALUE(RIGHT($AD297,1))&gt;2),(O297-S297)*(IFERROR(INDEX('TaxCred&amp;Subs'!$J$66:$J$99,MATCH(1,($C297&amp;$D297='TaxCred&amp;Subs'!$E$66:$E$99)*($F297='TaxCred&amp;Subs'!$C$66:$C$99),0)),0)),IF(AND($C297=1,VALUE(RIGHT($AD297,1))&gt;2),(O297-S297)*(IFERROR(INDEX('TaxCred&amp;Subs'!$J$66:$J$99,MATCH(1,($C297&amp;$D297='TaxCred&amp;Subs'!$D$66:$D$99)*($F297='TaxCred&amp;Subs'!$C$66:$C$99),0)),0)),IF($C297&gt;2,(O297-S297)*(IFERROR(INDEX('TaxCred&amp;Subs'!$J$66:$J$99,MATCH(1,($C297&amp;$D297='TaxCred&amp;Subs'!$D$66:$D$99)*($F297='TaxCred&amp;Subs'!$C$66:$C$99),0)),0)),0))),0)</f>
        <v>1833</v>
      </c>
      <c r="R297" s="95">
        <f t="array" ref="R297">ROUND(IF(IFERROR(VALUE(RIGHT($AD297,1)),0)&gt;2,IF($C297=8,N297*IFERROR(INDEX('TaxCred&amp;Subs'!$K$139:$S$151,MATCH($C297&amp;$D297&amp;LEFT($AD297,7),'TaxCred&amp;Subs'!$E$139:$E$151,0),MATCH($H297,'TaxCred&amp;Subs'!$K$137:$S$137,0)),0),IF($C297=2,N297*IFERROR(INDEX('TaxCred&amp;Subs'!$K$139:$S$151,MATCH($C297&amp;$D297,'TaxCred&amp;Subs'!$D$139:$D$151,0),MATCH($H297,'TaxCred&amp;Subs'!$K$137:$S$137,0)),0),N297*IFERROR(INDEX('TaxCred&amp;Subs'!$K$139:$S$151,MATCH($C297&amp;$D297,'TaxCred&amp;Subs'!$C$139:$C$151,0),MATCH($H297,'TaxCred&amp;Subs'!$K$137:$S$137,0)),0))),0),0)</f>
        <v>646</v>
      </c>
      <c r="S297" s="95">
        <f t="array" ref="S297">ROUND(IF(IFERROR(VALUE(RIGHT($AD297,1)),0)&gt;2,IF($C297=8,O297*IFERROR(INDEX('TaxCred&amp;Subs'!$K$139:$S$151,MATCH($C297&amp;$D297&amp;LEFT($AD297,7),'TaxCred&amp;Subs'!$E$139:$E$151,0),MATCH($H297,'TaxCred&amp;Subs'!$K$137:$S$137,0)),0),IF($C297=2,O297*IFERROR(INDEX('TaxCred&amp;Subs'!$K$139:$S$151,MATCH($C297&amp;$D297,'TaxCred&amp;Subs'!$D$139:$D$151,0),MATCH($H297,'TaxCred&amp;Subs'!$K$137:$S$137,0)),0),O297*IFERROR(INDEX('TaxCred&amp;Subs'!$K$139:$S$151,MATCH($C297&amp;$D297,'TaxCred&amp;Subs'!$C$139:$C$151,0),MATCH($H297,'TaxCred&amp;Subs'!$K$137:$S$137,0)),0))),0),0)</f>
        <v>421</v>
      </c>
      <c r="T297" s="95">
        <f t="shared" si="18"/>
        <v>0</v>
      </c>
      <c r="U297" s="95">
        <f t="shared" si="19"/>
        <v>0</v>
      </c>
      <c r="V297" s="28" t="s">
        <v>222</v>
      </c>
      <c r="W297" s="31">
        <v>2020</v>
      </c>
      <c r="X297" s="28">
        <v>1</v>
      </c>
      <c r="Y297" s="28">
        <v>0</v>
      </c>
      <c r="Z297" s="196">
        <v>-2.1513024844954491E-4</v>
      </c>
      <c r="AA297" s="196">
        <v>-3.3096961299929986E-3</v>
      </c>
      <c r="AB297" s="28">
        <v>0</v>
      </c>
      <c r="AC297" s="28">
        <v>0</v>
      </c>
      <c r="AD297" s="28" t="s">
        <v>337</v>
      </c>
    </row>
    <row r="298" spans="2:30" ht="14.25" customHeight="1" x14ac:dyDescent="0.2">
      <c r="B298" s="7">
        <f t="shared" si="20"/>
        <v>274</v>
      </c>
      <c r="C298" s="28">
        <v>1</v>
      </c>
      <c r="D298" s="28">
        <v>10</v>
      </c>
      <c r="E298" s="31">
        <v>34</v>
      </c>
      <c r="F298" s="78">
        <v>2022</v>
      </c>
      <c r="G298" s="28">
        <v>2032</v>
      </c>
      <c r="H298" s="28">
        <v>5</v>
      </c>
      <c r="I298" s="31">
        <v>34</v>
      </c>
      <c r="J298" s="28">
        <v>0</v>
      </c>
      <c r="K298" s="28">
        <v>0</v>
      </c>
      <c r="L298" s="28">
        <v>0</v>
      </c>
      <c r="M298" s="75">
        <v>4.5</v>
      </c>
      <c r="N298" s="151">
        <v>10027.5</v>
      </c>
      <c r="O298" s="151">
        <v>6530</v>
      </c>
      <c r="P298" s="95">
        <f t="array" ref="P298">ROUND(IF($F298&lt;='TaxCred&amp;Subs'!$C$49,(IF($C298=2,IF($M298&gt;=IFERROR(INDEX('TaxCred&amp;Subs'!$L$12:$L$47,MATCH(1,($C298&amp;$D298='TaxCred&amp;Subs'!$E$12:$E$47)*($F298='TaxCred&amp;Subs'!$C$12:$C$47),0)
),9999),IFERROR(INDEX('TaxCred&amp;Subs'!$N$12:$N$47,MATCH(1,($C298&amp;$D298='TaxCred&amp;Subs'!$E$12:$E$47)*($F298='TaxCred&amp;Subs'!$C$12:$C$47),0)
),0),0),(IF($M298&gt;=IFERROR(INDEX('TaxCred&amp;Subs'!$H$12:$H$47,MATCH(1,($C298&amp;$D298='TaxCred&amp;Subs'!$D$12:$D$47)*($F298='TaxCred&amp;Subs'!$C$12:$C$47),0)
),9999),IFERROR(INDEX('TaxCred&amp;Subs'!$N$12:$N$47,MATCH(1,($C298&amp;$D298='TaxCred&amp;Subs'!$D$12:$D$47)*($F298='TaxCred&amp;Subs'!$C$12:$C$47),0)
),0),0)))),0)+IF(AND($C298=2,VALUE(RIGHT($AD298,1))&gt;2),(N298-R298)*(IFERROR(INDEX('TaxCred&amp;Subs'!$J$66:$J$99,MATCH(1,($C298&amp;$D298='TaxCred&amp;Subs'!$E$66:$E$99)*($F298='TaxCred&amp;Subs'!$C$66:$C$99),0)),0)),IF(AND($C298=1,VALUE(RIGHT($AD298,1))&gt;2),(N298-R298)*(IFERROR(INDEX('TaxCred&amp;Subs'!$J$66:$J$99,MATCH(1,($C298&amp;$D298='TaxCred&amp;Subs'!$D$66:$D$99)*($F298='TaxCred&amp;Subs'!$C$66:$C$99),0)),0)),IF($C298&gt;2,(N298-R298)*(IFERROR(INDEX('TaxCred&amp;Subs'!$J$66:$J$99,MATCH(1,($C298&amp;$D298='TaxCred&amp;Subs'!$D$66:$D$99)*($F298='TaxCred&amp;Subs'!$C$66:$C$99),0)),0)),0))),0)</f>
        <v>2799</v>
      </c>
      <c r="Q298" s="95">
        <f t="array" ref="Q298">ROUND(IF(AND($C298=2,VALUE(RIGHT($AD298,1))&gt;2),(O298-S298)*(IFERROR(INDEX('TaxCred&amp;Subs'!$J$66:$J$99,MATCH(1,($C298&amp;$D298='TaxCred&amp;Subs'!$E$66:$E$99)*($F298='TaxCred&amp;Subs'!$C$66:$C$99),0)),0)),IF(AND($C298=1,VALUE(RIGHT($AD298,1))&gt;2),(O298-S298)*(IFERROR(INDEX('TaxCred&amp;Subs'!$J$66:$J$99,MATCH(1,($C298&amp;$D298='TaxCred&amp;Subs'!$D$66:$D$99)*($F298='TaxCred&amp;Subs'!$C$66:$C$99),0)),0)),IF($C298&gt;2,(O298-S298)*(IFERROR(INDEX('TaxCred&amp;Subs'!$J$66:$J$99,MATCH(1,($C298&amp;$D298='TaxCred&amp;Subs'!$D$66:$D$99)*($F298='TaxCred&amp;Subs'!$C$66:$C$99),0)),0)),0))),0)</f>
        <v>1823</v>
      </c>
      <c r="R298" s="95">
        <f t="array" ref="R298">ROUND(IF(IFERROR(VALUE(RIGHT($AD298,1)),0)&gt;2,IF($C298=8,N298*IFERROR(INDEX('TaxCred&amp;Subs'!$K$139:$S$151,MATCH($C298&amp;$D298&amp;LEFT($AD298,7),'TaxCred&amp;Subs'!$E$139:$E$151,0),MATCH($H298,'TaxCred&amp;Subs'!$K$137:$S$137,0)),0),IF($C298=2,N298*IFERROR(INDEX('TaxCred&amp;Subs'!$K$139:$S$151,MATCH($C298&amp;$D298,'TaxCred&amp;Subs'!$D$139:$D$151,0),MATCH($H298,'TaxCred&amp;Subs'!$K$137:$S$137,0)),0),N298*IFERROR(INDEX('TaxCred&amp;Subs'!$K$139:$S$151,MATCH($C298&amp;$D298,'TaxCred&amp;Subs'!$C$139:$C$151,0),MATCH($H298,'TaxCred&amp;Subs'!$K$137:$S$137,0)),0))),0),0)</f>
        <v>699</v>
      </c>
      <c r="S298" s="95">
        <f t="array" ref="S298">ROUND(IF(IFERROR(VALUE(RIGHT($AD298,1)),0)&gt;2,IF($C298=8,O298*IFERROR(INDEX('TaxCred&amp;Subs'!$K$139:$S$151,MATCH($C298&amp;$D298&amp;LEFT($AD298,7),'TaxCred&amp;Subs'!$E$139:$E$151,0),MATCH($H298,'TaxCred&amp;Subs'!$K$137:$S$137,0)),0),IF($C298=2,O298*IFERROR(INDEX('TaxCred&amp;Subs'!$K$139:$S$151,MATCH($C298&amp;$D298,'TaxCred&amp;Subs'!$D$139:$D$151,0),MATCH($H298,'TaxCred&amp;Subs'!$K$137:$S$137,0)),0),O298*IFERROR(INDEX('TaxCred&amp;Subs'!$K$139:$S$151,MATCH($C298&amp;$D298,'TaxCred&amp;Subs'!$C$139:$C$151,0),MATCH($H298,'TaxCred&amp;Subs'!$K$137:$S$137,0)),0))),0),0)</f>
        <v>455</v>
      </c>
      <c r="T298" s="95">
        <f t="shared" si="18"/>
        <v>0</v>
      </c>
      <c r="U298" s="95">
        <f t="shared" si="19"/>
        <v>0</v>
      </c>
      <c r="V298" s="28" t="s">
        <v>222</v>
      </c>
      <c r="W298" s="31">
        <v>2020</v>
      </c>
      <c r="X298" s="28">
        <v>1</v>
      </c>
      <c r="Y298" s="28">
        <v>0</v>
      </c>
      <c r="Z298" s="196">
        <v>-2.1513024844954491E-4</v>
      </c>
      <c r="AA298" s="196">
        <v>-3.3096961299929986E-3</v>
      </c>
      <c r="AB298" s="28">
        <v>0</v>
      </c>
      <c r="AC298" s="28">
        <v>0</v>
      </c>
      <c r="AD298" s="28" t="s">
        <v>337</v>
      </c>
    </row>
    <row r="299" spans="2:30" ht="14.25" customHeight="1" x14ac:dyDescent="0.2">
      <c r="B299" s="7">
        <f t="shared" si="20"/>
        <v>275</v>
      </c>
      <c r="C299" s="28">
        <v>1</v>
      </c>
      <c r="D299" s="28">
        <v>10</v>
      </c>
      <c r="E299" s="31">
        <v>34</v>
      </c>
      <c r="F299" s="78">
        <v>2022</v>
      </c>
      <c r="G299" s="28">
        <v>2032</v>
      </c>
      <c r="H299" s="28">
        <v>6</v>
      </c>
      <c r="I299" s="31">
        <v>34</v>
      </c>
      <c r="J299" s="28">
        <v>0</v>
      </c>
      <c r="K299" s="28">
        <v>0</v>
      </c>
      <c r="L299" s="28">
        <v>0</v>
      </c>
      <c r="M299" s="75">
        <v>4.5</v>
      </c>
      <c r="N299" s="151">
        <v>10027.5</v>
      </c>
      <c r="O299" s="151">
        <v>6530</v>
      </c>
      <c r="P299" s="95">
        <f t="array" ref="P299">ROUND(IF($F299&lt;='TaxCred&amp;Subs'!$C$49,(IF($C299=2,IF($M299&gt;=IFERROR(INDEX('TaxCred&amp;Subs'!$L$12:$L$47,MATCH(1,($C299&amp;$D299='TaxCred&amp;Subs'!$E$12:$E$47)*($F299='TaxCred&amp;Subs'!$C$12:$C$47),0)
),9999),IFERROR(INDEX('TaxCred&amp;Subs'!$N$12:$N$47,MATCH(1,($C299&amp;$D299='TaxCred&amp;Subs'!$E$12:$E$47)*($F299='TaxCred&amp;Subs'!$C$12:$C$47),0)
),0),0),(IF($M299&gt;=IFERROR(INDEX('TaxCred&amp;Subs'!$H$12:$H$47,MATCH(1,($C299&amp;$D299='TaxCred&amp;Subs'!$D$12:$D$47)*($F299='TaxCred&amp;Subs'!$C$12:$C$47),0)
),9999),IFERROR(INDEX('TaxCred&amp;Subs'!$N$12:$N$47,MATCH(1,($C299&amp;$D299='TaxCred&amp;Subs'!$D$12:$D$47)*($F299='TaxCred&amp;Subs'!$C$12:$C$47),0)
),0),0)))),0)+IF(AND($C299=2,VALUE(RIGHT($AD299,1))&gt;2),(N299-R299)*(IFERROR(INDEX('TaxCred&amp;Subs'!$J$66:$J$99,MATCH(1,($C299&amp;$D299='TaxCred&amp;Subs'!$E$66:$E$99)*($F299='TaxCred&amp;Subs'!$C$66:$C$99),0)),0)),IF(AND($C299=1,VALUE(RIGHT($AD299,1))&gt;2),(N299-R299)*(IFERROR(INDEX('TaxCred&amp;Subs'!$J$66:$J$99,MATCH(1,($C299&amp;$D299='TaxCred&amp;Subs'!$D$66:$D$99)*($F299='TaxCred&amp;Subs'!$C$66:$C$99),0)),0)),IF($C299&gt;2,(N299-R299)*(IFERROR(INDEX('TaxCred&amp;Subs'!$J$66:$J$99,MATCH(1,($C299&amp;$D299='TaxCred&amp;Subs'!$D$66:$D$99)*($F299='TaxCred&amp;Subs'!$C$66:$C$99),0)),0)),0))),0)</f>
        <v>2743</v>
      </c>
      <c r="Q299" s="95">
        <f t="array" ref="Q299">ROUND(IF(AND($C299=2,VALUE(RIGHT($AD299,1))&gt;2),(O299-S299)*(IFERROR(INDEX('TaxCred&amp;Subs'!$J$66:$J$99,MATCH(1,($C299&amp;$D299='TaxCred&amp;Subs'!$E$66:$E$99)*($F299='TaxCred&amp;Subs'!$C$66:$C$99),0)),0)),IF(AND($C299=1,VALUE(RIGHT($AD299,1))&gt;2),(O299-S299)*(IFERROR(INDEX('TaxCred&amp;Subs'!$J$66:$J$99,MATCH(1,($C299&amp;$D299='TaxCred&amp;Subs'!$D$66:$D$99)*($F299='TaxCred&amp;Subs'!$C$66:$C$99),0)),0)),IF($C299&gt;2,(O299-S299)*(IFERROR(INDEX('TaxCred&amp;Subs'!$J$66:$J$99,MATCH(1,($C299&amp;$D299='TaxCred&amp;Subs'!$D$66:$D$99)*($F299='TaxCred&amp;Subs'!$C$66:$C$99),0)),0)),0))),0)</f>
        <v>1786</v>
      </c>
      <c r="R299" s="95">
        <f t="array" ref="R299">ROUND(IF(IFERROR(VALUE(RIGHT($AD299,1)),0)&gt;2,IF($C299=8,N299*IFERROR(INDEX('TaxCred&amp;Subs'!$K$139:$S$151,MATCH($C299&amp;$D299&amp;LEFT($AD299,7),'TaxCred&amp;Subs'!$E$139:$E$151,0),MATCH($H299,'TaxCred&amp;Subs'!$K$137:$S$137,0)),0),IF($C299=2,N299*IFERROR(INDEX('TaxCred&amp;Subs'!$K$139:$S$151,MATCH($C299&amp;$D299,'TaxCred&amp;Subs'!$D$139:$D$151,0),MATCH($H299,'TaxCred&amp;Subs'!$K$137:$S$137,0)),0),N299*IFERROR(INDEX('TaxCred&amp;Subs'!$K$139:$S$151,MATCH($C299&amp;$D299,'TaxCred&amp;Subs'!$C$139:$C$151,0),MATCH($H299,'TaxCred&amp;Subs'!$K$137:$S$137,0)),0))),0),0)</f>
        <v>884</v>
      </c>
      <c r="S299" s="95">
        <f t="array" ref="S299">ROUND(IF(IFERROR(VALUE(RIGHT($AD299,1)),0)&gt;2,IF($C299=8,O299*IFERROR(INDEX('TaxCred&amp;Subs'!$K$139:$S$151,MATCH($C299&amp;$D299&amp;LEFT($AD299,7),'TaxCred&amp;Subs'!$E$139:$E$151,0),MATCH($H299,'TaxCred&amp;Subs'!$K$137:$S$137,0)),0),IF($C299=2,O299*IFERROR(INDEX('TaxCred&amp;Subs'!$K$139:$S$151,MATCH($C299&amp;$D299,'TaxCred&amp;Subs'!$D$139:$D$151,0),MATCH($H299,'TaxCred&amp;Subs'!$K$137:$S$137,0)),0),O299*IFERROR(INDEX('TaxCred&amp;Subs'!$K$139:$S$151,MATCH($C299&amp;$D299,'TaxCred&amp;Subs'!$C$139:$C$151,0),MATCH($H299,'TaxCred&amp;Subs'!$K$137:$S$137,0)),0))),0),0)</f>
        <v>576</v>
      </c>
      <c r="T299" s="95">
        <f t="shared" si="18"/>
        <v>0</v>
      </c>
      <c r="U299" s="95">
        <f t="shared" si="19"/>
        <v>0</v>
      </c>
      <c r="V299" s="28" t="s">
        <v>222</v>
      </c>
      <c r="W299" s="31">
        <v>2020</v>
      </c>
      <c r="X299" s="28">
        <v>1</v>
      </c>
      <c r="Y299" s="28">
        <v>0</v>
      </c>
      <c r="Z299" s="196">
        <v>-2.1513024844954491E-4</v>
      </c>
      <c r="AA299" s="196">
        <v>-3.3096961299929986E-3</v>
      </c>
      <c r="AB299" s="28">
        <v>0</v>
      </c>
      <c r="AC299" s="28">
        <v>0</v>
      </c>
      <c r="AD299" s="28" t="s">
        <v>337</v>
      </c>
    </row>
    <row r="300" spans="2:30" ht="14.25" customHeight="1" x14ac:dyDescent="0.2">
      <c r="B300" s="7">
        <f t="shared" si="20"/>
        <v>276</v>
      </c>
      <c r="C300" s="28">
        <v>1</v>
      </c>
      <c r="D300" s="28">
        <v>10</v>
      </c>
      <c r="E300" s="31">
        <v>34</v>
      </c>
      <c r="F300" s="78">
        <v>2022</v>
      </c>
      <c r="G300" s="28">
        <v>2032</v>
      </c>
      <c r="H300" s="28">
        <v>7</v>
      </c>
      <c r="I300" s="31">
        <v>34</v>
      </c>
      <c r="J300" s="28">
        <v>0</v>
      </c>
      <c r="K300" s="28">
        <v>0</v>
      </c>
      <c r="L300" s="28">
        <v>0</v>
      </c>
      <c r="M300" s="75">
        <v>4.5</v>
      </c>
      <c r="N300" s="151">
        <v>10027.5</v>
      </c>
      <c r="O300" s="151">
        <v>6530</v>
      </c>
      <c r="P300" s="95">
        <f t="array" ref="P300">ROUND(IF($F300&lt;='TaxCred&amp;Subs'!$C$49,(IF($C300=2,IF($M300&gt;=IFERROR(INDEX('TaxCred&amp;Subs'!$L$12:$L$47,MATCH(1,($C300&amp;$D300='TaxCred&amp;Subs'!$E$12:$E$47)*($F300='TaxCred&amp;Subs'!$C$12:$C$47),0)
),9999),IFERROR(INDEX('TaxCred&amp;Subs'!$N$12:$N$47,MATCH(1,($C300&amp;$D300='TaxCred&amp;Subs'!$E$12:$E$47)*($F300='TaxCred&amp;Subs'!$C$12:$C$47),0)
),0),0),(IF($M300&gt;=IFERROR(INDEX('TaxCred&amp;Subs'!$H$12:$H$47,MATCH(1,($C300&amp;$D300='TaxCred&amp;Subs'!$D$12:$D$47)*($F300='TaxCred&amp;Subs'!$C$12:$C$47),0)
),9999),IFERROR(INDEX('TaxCred&amp;Subs'!$N$12:$N$47,MATCH(1,($C300&amp;$D300='TaxCred&amp;Subs'!$D$12:$D$47)*($F300='TaxCred&amp;Subs'!$C$12:$C$47),0)
),0),0)))),0)+IF(AND($C300=2,VALUE(RIGHT($AD300,1))&gt;2),(N300-R300)*(IFERROR(INDEX('TaxCred&amp;Subs'!$J$66:$J$99,MATCH(1,($C300&amp;$D300='TaxCred&amp;Subs'!$E$66:$E$99)*($F300='TaxCred&amp;Subs'!$C$66:$C$99),0)),0)),IF(AND($C300=1,VALUE(RIGHT($AD300,1))&gt;2),(N300-R300)*(IFERROR(INDEX('TaxCred&amp;Subs'!$J$66:$J$99,MATCH(1,($C300&amp;$D300='TaxCred&amp;Subs'!$D$66:$D$99)*($F300='TaxCred&amp;Subs'!$C$66:$C$99),0)),0)),IF($C300&gt;2,(N300-R300)*(IFERROR(INDEX('TaxCred&amp;Subs'!$J$66:$J$99,MATCH(1,($C300&amp;$D300='TaxCred&amp;Subs'!$D$66:$D$99)*($F300='TaxCred&amp;Subs'!$C$66:$C$99),0)),0)),0))),0)</f>
        <v>2897</v>
      </c>
      <c r="Q300" s="95">
        <f t="array" ref="Q300">ROUND(IF(AND($C300=2,VALUE(RIGHT($AD300,1))&gt;2),(O300-S300)*(IFERROR(INDEX('TaxCred&amp;Subs'!$J$66:$J$99,MATCH(1,($C300&amp;$D300='TaxCred&amp;Subs'!$E$66:$E$99)*($F300='TaxCred&amp;Subs'!$C$66:$C$99),0)),0)),IF(AND($C300=1,VALUE(RIGHT($AD300,1))&gt;2),(O300-S300)*(IFERROR(INDEX('TaxCred&amp;Subs'!$J$66:$J$99,MATCH(1,($C300&amp;$D300='TaxCred&amp;Subs'!$D$66:$D$99)*($F300='TaxCred&amp;Subs'!$C$66:$C$99),0)),0)),IF($C300&gt;2,(O300-S300)*(IFERROR(INDEX('TaxCred&amp;Subs'!$J$66:$J$99,MATCH(1,($C300&amp;$D300='TaxCred&amp;Subs'!$D$66:$D$99)*($F300='TaxCred&amp;Subs'!$C$66:$C$99),0)),0)),0))),0)</f>
        <v>1887</v>
      </c>
      <c r="R300" s="95">
        <f t="array" ref="R300">ROUND(IF(IFERROR(VALUE(RIGHT($AD300,1)),0)&gt;2,IF($C300=8,N300*IFERROR(INDEX('TaxCred&amp;Subs'!$K$139:$S$151,MATCH($C300&amp;$D300&amp;LEFT($AD300,7),'TaxCred&amp;Subs'!$E$139:$E$151,0),MATCH($H300,'TaxCred&amp;Subs'!$K$137:$S$137,0)),0),IF($C300=2,N300*IFERROR(INDEX('TaxCred&amp;Subs'!$K$139:$S$151,MATCH($C300&amp;$D300,'TaxCred&amp;Subs'!$D$139:$D$151,0),MATCH($H300,'TaxCred&amp;Subs'!$K$137:$S$137,0)),0),N300*IFERROR(INDEX('TaxCred&amp;Subs'!$K$139:$S$151,MATCH($C300&amp;$D300,'TaxCred&amp;Subs'!$C$139:$C$151,0),MATCH($H300,'TaxCred&amp;Subs'!$K$137:$S$137,0)),0))),0),0)</f>
        <v>370</v>
      </c>
      <c r="S300" s="95">
        <f t="array" ref="S300">ROUND(IF(IFERROR(VALUE(RIGHT($AD300,1)),0)&gt;2,IF($C300=8,O300*IFERROR(INDEX('TaxCred&amp;Subs'!$K$139:$S$151,MATCH($C300&amp;$D300&amp;LEFT($AD300,7),'TaxCred&amp;Subs'!$E$139:$E$151,0),MATCH($H300,'TaxCred&amp;Subs'!$K$137:$S$137,0)),0),IF($C300=2,O300*IFERROR(INDEX('TaxCred&amp;Subs'!$K$139:$S$151,MATCH($C300&amp;$D300,'TaxCred&amp;Subs'!$D$139:$D$151,0),MATCH($H300,'TaxCred&amp;Subs'!$K$137:$S$137,0)),0),O300*IFERROR(INDEX('TaxCred&amp;Subs'!$K$139:$S$151,MATCH($C300&amp;$D300,'TaxCred&amp;Subs'!$C$139:$C$151,0),MATCH($H300,'TaxCred&amp;Subs'!$K$137:$S$137,0)),0))),0),0)</f>
        <v>241</v>
      </c>
      <c r="T300" s="95">
        <f t="shared" si="18"/>
        <v>0</v>
      </c>
      <c r="U300" s="95">
        <f t="shared" si="19"/>
        <v>0</v>
      </c>
      <c r="V300" s="28" t="s">
        <v>222</v>
      </c>
      <c r="W300" s="31">
        <v>2020</v>
      </c>
      <c r="X300" s="28">
        <v>1</v>
      </c>
      <c r="Y300" s="28">
        <v>0</v>
      </c>
      <c r="Z300" s="196">
        <v>-2.1513024844954491E-4</v>
      </c>
      <c r="AA300" s="196">
        <v>-3.3096961299929986E-3</v>
      </c>
      <c r="AB300" s="28">
        <v>0</v>
      </c>
      <c r="AC300" s="28">
        <v>0</v>
      </c>
      <c r="AD300" s="28" t="s">
        <v>337</v>
      </c>
    </row>
    <row r="301" spans="2:30" ht="14.25" customHeight="1" x14ac:dyDescent="0.2">
      <c r="B301" s="7">
        <f t="shared" si="20"/>
        <v>277</v>
      </c>
      <c r="C301" s="28">
        <v>1</v>
      </c>
      <c r="D301" s="28">
        <v>10</v>
      </c>
      <c r="E301" s="31">
        <v>34</v>
      </c>
      <c r="F301" s="78">
        <v>2022</v>
      </c>
      <c r="G301" s="28">
        <v>2032</v>
      </c>
      <c r="H301" s="28">
        <v>8</v>
      </c>
      <c r="I301" s="31">
        <v>34</v>
      </c>
      <c r="J301" s="28">
        <v>0</v>
      </c>
      <c r="K301" s="28">
        <v>0</v>
      </c>
      <c r="L301" s="28">
        <v>0</v>
      </c>
      <c r="M301" s="75">
        <v>4.5</v>
      </c>
      <c r="N301" s="151">
        <v>10027.5</v>
      </c>
      <c r="O301" s="151">
        <v>6530</v>
      </c>
      <c r="P301" s="95">
        <f t="array" ref="P301">ROUND(IF($F301&lt;='TaxCred&amp;Subs'!$C$49,(IF($C301=2,IF($M301&gt;=IFERROR(INDEX('TaxCred&amp;Subs'!$L$12:$L$47,MATCH(1,($C301&amp;$D301='TaxCred&amp;Subs'!$E$12:$E$47)*($F301='TaxCred&amp;Subs'!$C$12:$C$47),0)
),9999),IFERROR(INDEX('TaxCred&amp;Subs'!$N$12:$N$47,MATCH(1,($C301&amp;$D301='TaxCred&amp;Subs'!$E$12:$E$47)*($F301='TaxCred&amp;Subs'!$C$12:$C$47),0)
),0),0),(IF($M301&gt;=IFERROR(INDEX('TaxCred&amp;Subs'!$H$12:$H$47,MATCH(1,($C301&amp;$D301='TaxCred&amp;Subs'!$D$12:$D$47)*($F301='TaxCred&amp;Subs'!$C$12:$C$47),0)
),9999),IFERROR(INDEX('TaxCred&amp;Subs'!$N$12:$N$47,MATCH(1,($C301&amp;$D301='TaxCred&amp;Subs'!$D$12:$D$47)*($F301='TaxCred&amp;Subs'!$C$12:$C$47),0)
),0),0)))),0)+IF(AND($C301=2,VALUE(RIGHT($AD301,1))&gt;2),(N301-R301)*(IFERROR(INDEX('TaxCred&amp;Subs'!$J$66:$J$99,MATCH(1,($C301&amp;$D301='TaxCred&amp;Subs'!$E$66:$E$99)*($F301='TaxCred&amp;Subs'!$C$66:$C$99),0)),0)),IF(AND($C301=1,VALUE(RIGHT($AD301,1))&gt;2),(N301-R301)*(IFERROR(INDEX('TaxCred&amp;Subs'!$J$66:$J$99,MATCH(1,($C301&amp;$D301='TaxCred&amp;Subs'!$D$66:$D$99)*($F301='TaxCred&amp;Subs'!$C$66:$C$99),0)),0)),IF($C301&gt;2,(N301-R301)*(IFERROR(INDEX('TaxCred&amp;Subs'!$J$66:$J$99,MATCH(1,($C301&amp;$D301='TaxCred&amp;Subs'!$D$66:$D$99)*($F301='TaxCred&amp;Subs'!$C$66:$C$99),0)),0)),0))),0)</f>
        <v>2857</v>
      </c>
      <c r="Q301" s="95">
        <f t="array" ref="Q301">ROUND(IF(AND($C301=2,VALUE(RIGHT($AD301,1))&gt;2),(O301-S301)*(IFERROR(INDEX('TaxCred&amp;Subs'!$J$66:$J$99,MATCH(1,($C301&amp;$D301='TaxCred&amp;Subs'!$E$66:$E$99)*($F301='TaxCred&amp;Subs'!$C$66:$C$99),0)),0)),IF(AND($C301=1,VALUE(RIGHT($AD301,1))&gt;2),(O301-S301)*(IFERROR(INDEX('TaxCred&amp;Subs'!$J$66:$J$99,MATCH(1,($C301&amp;$D301='TaxCred&amp;Subs'!$D$66:$D$99)*($F301='TaxCred&amp;Subs'!$C$66:$C$99),0)),0)),IF($C301&gt;2,(O301-S301)*(IFERROR(INDEX('TaxCred&amp;Subs'!$J$66:$J$99,MATCH(1,($C301&amp;$D301='TaxCred&amp;Subs'!$D$66:$D$99)*($F301='TaxCred&amp;Subs'!$C$66:$C$99),0)),0)),0))),0)</f>
        <v>1861</v>
      </c>
      <c r="R301" s="95">
        <f t="array" ref="R301">ROUND(IF(IFERROR(VALUE(RIGHT($AD301,1)),0)&gt;2,IF($C301=8,N301*IFERROR(INDEX('TaxCred&amp;Subs'!$K$139:$S$151,MATCH($C301&amp;$D301&amp;LEFT($AD301,7),'TaxCred&amp;Subs'!$E$139:$E$151,0),MATCH($H301,'TaxCred&amp;Subs'!$K$137:$S$137,0)),0),IF($C301=2,N301*IFERROR(INDEX('TaxCred&amp;Subs'!$K$139:$S$151,MATCH($C301&amp;$D301,'TaxCred&amp;Subs'!$D$139:$D$151,0),MATCH($H301,'TaxCred&amp;Subs'!$K$137:$S$137,0)),0),N301*IFERROR(INDEX('TaxCred&amp;Subs'!$K$139:$S$151,MATCH($C301&amp;$D301,'TaxCred&amp;Subs'!$C$139:$C$151,0),MATCH($H301,'TaxCred&amp;Subs'!$K$137:$S$137,0)),0))),0),0)</f>
        <v>504</v>
      </c>
      <c r="S301" s="95">
        <f t="array" ref="S301">ROUND(IF(IFERROR(VALUE(RIGHT($AD301,1)),0)&gt;2,IF($C301=8,O301*IFERROR(INDEX('TaxCred&amp;Subs'!$K$139:$S$151,MATCH($C301&amp;$D301&amp;LEFT($AD301,7),'TaxCred&amp;Subs'!$E$139:$E$151,0),MATCH($H301,'TaxCred&amp;Subs'!$K$137:$S$137,0)),0),IF($C301=2,O301*IFERROR(INDEX('TaxCred&amp;Subs'!$K$139:$S$151,MATCH($C301&amp;$D301,'TaxCred&amp;Subs'!$D$139:$D$151,0),MATCH($H301,'TaxCred&amp;Subs'!$K$137:$S$137,0)),0),O301*IFERROR(INDEX('TaxCred&amp;Subs'!$K$139:$S$151,MATCH($C301&amp;$D301,'TaxCred&amp;Subs'!$C$139:$C$151,0),MATCH($H301,'TaxCred&amp;Subs'!$K$137:$S$137,0)),0))),0),0)</f>
        <v>328</v>
      </c>
      <c r="T301" s="95">
        <f t="shared" si="18"/>
        <v>0</v>
      </c>
      <c r="U301" s="95">
        <f t="shared" si="19"/>
        <v>0</v>
      </c>
      <c r="V301" s="28" t="s">
        <v>222</v>
      </c>
      <c r="W301" s="31">
        <v>2020</v>
      </c>
      <c r="X301" s="28">
        <v>1</v>
      </c>
      <c r="Y301" s="28">
        <v>0</v>
      </c>
      <c r="Z301" s="196">
        <v>-2.1513024844954491E-4</v>
      </c>
      <c r="AA301" s="196">
        <v>-3.3096961299929986E-3</v>
      </c>
      <c r="AB301" s="28">
        <v>0</v>
      </c>
      <c r="AC301" s="28">
        <v>0</v>
      </c>
      <c r="AD301" s="28" t="s">
        <v>337</v>
      </c>
    </row>
    <row r="302" spans="2:30" ht="14.25" customHeight="1" x14ac:dyDescent="0.2">
      <c r="B302" s="7">
        <f t="shared" si="20"/>
        <v>278</v>
      </c>
      <c r="C302" s="28">
        <v>1</v>
      </c>
      <c r="D302" s="28">
        <v>10</v>
      </c>
      <c r="E302" s="31">
        <v>34</v>
      </c>
      <c r="F302" s="78">
        <v>2022</v>
      </c>
      <c r="G302" s="28">
        <v>2032</v>
      </c>
      <c r="H302" s="28">
        <v>9</v>
      </c>
      <c r="I302" s="31">
        <v>34</v>
      </c>
      <c r="J302" s="28">
        <v>0</v>
      </c>
      <c r="K302" s="28">
        <v>0</v>
      </c>
      <c r="L302" s="28">
        <v>0</v>
      </c>
      <c r="M302" s="75">
        <v>4.5</v>
      </c>
      <c r="N302" s="151">
        <v>10027.5</v>
      </c>
      <c r="O302" s="151">
        <v>6530</v>
      </c>
      <c r="P302" s="95">
        <f t="array" ref="P302">ROUND(IF($F302&lt;='TaxCred&amp;Subs'!$C$49,(IF($C302=2,IF($M302&gt;=IFERROR(INDEX('TaxCred&amp;Subs'!$L$12:$L$47,MATCH(1,($C302&amp;$D302='TaxCred&amp;Subs'!$E$12:$E$47)*($F302='TaxCred&amp;Subs'!$C$12:$C$47),0)
),9999),IFERROR(INDEX('TaxCred&amp;Subs'!$N$12:$N$47,MATCH(1,($C302&amp;$D302='TaxCred&amp;Subs'!$E$12:$E$47)*($F302='TaxCred&amp;Subs'!$C$12:$C$47),0)
),0),0),(IF($M302&gt;=IFERROR(INDEX('TaxCred&amp;Subs'!$H$12:$H$47,MATCH(1,($C302&amp;$D302='TaxCred&amp;Subs'!$D$12:$D$47)*($F302='TaxCred&amp;Subs'!$C$12:$C$47),0)
),9999),IFERROR(INDEX('TaxCred&amp;Subs'!$N$12:$N$47,MATCH(1,($C302&amp;$D302='TaxCred&amp;Subs'!$D$12:$D$47)*($F302='TaxCred&amp;Subs'!$C$12:$C$47),0)
),0),0)))),0)+IF(AND($C302=2,VALUE(RIGHT($AD302,1))&gt;2),(N302-R302)*(IFERROR(INDEX('TaxCred&amp;Subs'!$J$66:$J$99,MATCH(1,($C302&amp;$D302='TaxCred&amp;Subs'!$E$66:$E$99)*($F302='TaxCred&amp;Subs'!$C$66:$C$99),0)),0)),IF(AND($C302=1,VALUE(RIGHT($AD302,1))&gt;2),(N302-R302)*(IFERROR(INDEX('TaxCred&amp;Subs'!$J$66:$J$99,MATCH(1,($C302&amp;$D302='TaxCred&amp;Subs'!$D$66:$D$99)*($F302='TaxCred&amp;Subs'!$C$66:$C$99),0)),0)),IF($C302&gt;2,(N302-R302)*(IFERROR(INDEX('TaxCred&amp;Subs'!$J$66:$J$99,MATCH(1,($C302&amp;$D302='TaxCred&amp;Subs'!$D$66:$D$99)*($F302='TaxCred&amp;Subs'!$C$66:$C$99),0)),0)),0))),0)</f>
        <v>2934</v>
      </c>
      <c r="Q302" s="95">
        <f t="array" ref="Q302">ROUND(IF(AND($C302=2,VALUE(RIGHT($AD302,1))&gt;2),(O302-S302)*(IFERROR(INDEX('TaxCred&amp;Subs'!$J$66:$J$99,MATCH(1,($C302&amp;$D302='TaxCred&amp;Subs'!$E$66:$E$99)*($F302='TaxCred&amp;Subs'!$C$66:$C$99),0)),0)),IF(AND($C302=1,VALUE(RIGHT($AD302,1))&gt;2),(O302-S302)*(IFERROR(INDEX('TaxCred&amp;Subs'!$J$66:$J$99,MATCH(1,($C302&amp;$D302='TaxCred&amp;Subs'!$D$66:$D$99)*($F302='TaxCred&amp;Subs'!$C$66:$C$99),0)),0)),IF($C302&gt;2,(O302-S302)*(IFERROR(INDEX('TaxCred&amp;Subs'!$J$66:$J$99,MATCH(1,($C302&amp;$D302='TaxCred&amp;Subs'!$D$66:$D$99)*($F302='TaxCred&amp;Subs'!$C$66:$C$99),0)),0)),0))),0)</f>
        <v>1911</v>
      </c>
      <c r="R302" s="95">
        <f t="array" ref="R302">ROUND(IF(IFERROR(VALUE(RIGHT($AD302,1)),0)&gt;2,IF($C302=8,N302*IFERROR(INDEX('TaxCred&amp;Subs'!$K$139:$S$151,MATCH($C302&amp;$D302&amp;LEFT($AD302,7),'TaxCred&amp;Subs'!$E$139:$E$151,0),MATCH($H302,'TaxCred&amp;Subs'!$K$137:$S$137,0)),0),IF($C302=2,N302*IFERROR(INDEX('TaxCred&amp;Subs'!$K$139:$S$151,MATCH($C302&amp;$D302,'TaxCred&amp;Subs'!$D$139:$D$151,0),MATCH($H302,'TaxCred&amp;Subs'!$K$137:$S$137,0)),0),N302*IFERROR(INDEX('TaxCred&amp;Subs'!$K$139:$S$151,MATCH($C302&amp;$D302,'TaxCred&amp;Subs'!$C$139:$C$151,0),MATCH($H302,'TaxCred&amp;Subs'!$K$137:$S$137,0)),0))),0),0)</f>
        <v>246</v>
      </c>
      <c r="S302" s="95">
        <f t="array" ref="S302">ROUND(IF(IFERROR(VALUE(RIGHT($AD302,1)),0)&gt;2,IF($C302=8,O302*IFERROR(INDEX('TaxCred&amp;Subs'!$K$139:$S$151,MATCH($C302&amp;$D302&amp;LEFT($AD302,7),'TaxCred&amp;Subs'!$E$139:$E$151,0),MATCH($H302,'TaxCred&amp;Subs'!$K$137:$S$137,0)),0),IF($C302=2,O302*IFERROR(INDEX('TaxCred&amp;Subs'!$K$139:$S$151,MATCH($C302&amp;$D302,'TaxCred&amp;Subs'!$D$139:$D$151,0),MATCH($H302,'TaxCred&amp;Subs'!$K$137:$S$137,0)),0),O302*IFERROR(INDEX('TaxCred&amp;Subs'!$K$139:$S$151,MATCH($C302&amp;$D302,'TaxCred&amp;Subs'!$C$139:$C$151,0),MATCH($H302,'TaxCred&amp;Subs'!$K$137:$S$137,0)),0))),0),0)</f>
        <v>160</v>
      </c>
      <c r="T302" s="172">
        <f t="shared" si="18"/>
        <v>1064.0249999999999</v>
      </c>
      <c r="U302" s="172">
        <f t="shared" si="19"/>
        <v>692.85</v>
      </c>
      <c r="V302" s="28" t="s">
        <v>222</v>
      </c>
      <c r="W302" s="31">
        <v>2020</v>
      </c>
      <c r="X302" s="28">
        <v>1</v>
      </c>
      <c r="Y302" s="28">
        <v>0</v>
      </c>
      <c r="Z302" s="196">
        <v>-2.1513024844954491E-4</v>
      </c>
      <c r="AA302" s="196">
        <v>-3.3096961299929986E-3</v>
      </c>
      <c r="AB302" s="28">
        <v>0</v>
      </c>
      <c r="AC302" s="28">
        <v>0</v>
      </c>
      <c r="AD302" s="28" t="s">
        <v>337</v>
      </c>
    </row>
    <row r="303" spans="2:30" ht="14.25" customHeight="1" x14ac:dyDescent="0.2">
      <c r="B303" s="7">
        <f t="shared" si="20"/>
        <v>279</v>
      </c>
      <c r="C303" s="28">
        <v>1</v>
      </c>
      <c r="D303" s="28">
        <v>10</v>
      </c>
      <c r="E303" s="31">
        <v>34</v>
      </c>
      <c r="F303" s="78">
        <v>2033</v>
      </c>
      <c r="G303" s="28">
        <v>2033</v>
      </c>
      <c r="H303" s="28">
        <v>1</v>
      </c>
      <c r="I303" s="31">
        <v>34</v>
      </c>
      <c r="J303" s="28">
        <v>0</v>
      </c>
      <c r="K303" s="28">
        <v>0</v>
      </c>
      <c r="L303" s="28">
        <v>0</v>
      </c>
      <c r="M303" s="75">
        <v>4.5</v>
      </c>
      <c r="N303" s="151">
        <v>10027.5</v>
      </c>
      <c r="O303" s="151">
        <v>6530</v>
      </c>
      <c r="P303" s="95">
        <f t="array" ref="P303">ROUND(IF($F303&lt;='TaxCred&amp;Subs'!$C$49,(IF($C303=2,IF($M303&gt;=IFERROR(INDEX('TaxCred&amp;Subs'!$L$12:$L$47,MATCH(1,($C303&amp;$D303='TaxCred&amp;Subs'!$E$12:$E$47)*($F303='TaxCred&amp;Subs'!$C$12:$C$47),0)
),9999),IFERROR(INDEX('TaxCred&amp;Subs'!$N$12:$N$47,MATCH(1,($C303&amp;$D303='TaxCred&amp;Subs'!$E$12:$E$47)*($F303='TaxCred&amp;Subs'!$C$12:$C$47),0)
),0),0),(IF($M303&gt;=IFERROR(INDEX('TaxCred&amp;Subs'!$H$12:$H$47,MATCH(1,($C303&amp;$D303='TaxCred&amp;Subs'!$D$12:$D$47)*($F303='TaxCred&amp;Subs'!$C$12:$C$47),0)
),9999),IFERROR(INDEX('TaxCred&amp;Subs'!$N$12:$N$47,MATCH(1,($C303&amp;$D303='TaxCred&amp;Subs'!$D$12:$D$47)*($F303='TaxCred&amp;Subs'!$C$12:$C$47),0)
),0),0)))),0)+IF(AND($C303=2,VALUE(RIGHT($AD303,1))&gt;2),(N303-R303)*(IFERROR(INDEX('TaxCred&amp;Subs'!$J$66:$J$99,MATCH(1,($C303&amp;$D303='TaxCred&amp;Subs'!$E$66:$E$99)*($F303='TaxCred&amp;Subs'!$C$66:$C$99),0)),0)),IF(AND($C303=1,VALUE(RIGHT($AD303,1))&gt;2),(N303-R303)*(IFERROR(INDEX('TaxCred&amp;Subs'!$J$66:$J$99,MATCH(1,($C303&amp;$D303='TaxCred&amp;Subs'!$D$66:$D$99)*($F303='TaxCred&amp;Subs'!$C$66:$C$99),0)),0)),IF($C303&gt;2,(N303-R303)*(IFERROR(INDEX('TaxCred&amp;Subs'!$J$66:$J$99,MATCH(1,($C303&amp;$D303='TaxCred&amp;Subs'!$D$66:$D$99)*($F303='TaxCred&amp;Subs'!$C$66:$C$99),0)),0)),0))),0)</f>
        <v>1961</v>
      </c>
      <c r="Q303" s="95">
        <f t="array" ref="Q303">ROUND(IF(AND($C303=2,VALUE(RIGHT($AD303,1))&gt;2),(O303-S303)*(IFERROR(INDEX('TaxCred&amp;Subs'!$J$66:$J$99,MATCH(1,($C303&amp;$D303='TaxCred&amp;Subs'!$E$66:$E$99)*($F303='TaxCred&amp;Subs'!$C$66:$C$99),0)),0)),IF(AND($C303=1,VALUE(RIGHT($AD303,1))&gt;2),(O303-S303)*(IFERROR(INDEX('TaxCred&amp;Subs'!$J$66:$J$99,MATCH(1,($C303&amp;$D303='TaxCred&amp;Subs'!$D$66:$D$99)*($F303='TaxCred&amp;Subs'!$C$66:$C$99),0)),0)),IF($C303&gt;2,(O303-S303)*(IFERROR(INDEX('TaxCred&amp;Subs'!$J$66:$J$99,MATCH(1,($C303&amp;$D303='TaxCred&amp;Subs'!$D$66:$D$99)*($F303='TaxCred&amp;Subs'!$C$66:$C$99),0)),0)),0))),0)</f>
        <v>1277</v>
      </c>
      <c r="R303" s="95">
        <f t="array" ref="R303">ROUND(IF(IFERROR(VALUE(RIGHT($AD303,1)),0)&gt;2,IF($C303=8,N303*IFERROR(INDEX('TaxCred&amp;Subs'!$K$139:$S$151,MATCH($C303&amp;$D303&amp;LEFT($AD303,7),'TaxCred&amp;Subs'!$E$139:$E$151,0),MATCH($H303,'TaxCred&amp;Subs'!$K$137:$S$137,0)),0),IF($C303=2,N303*IFERROR(INDEX('TaxCred&amp;Subs'!$K$139:$S$151,MATCH($C303&amp;$D303,'TaxCred&amp;Subs'!$D$139:$D$151,0),MATCH($H303,'TaxCred&amp;Subs'!$K$137:$S$137,0)),0),N303*IFERROR(INDEX('TaxCred&amp;Subs'!$K$139:$S$151,MATCH($C303&amp;$D303,'TaxCred&amp;Subs'!$C$139:$C$151,0),MATCH($H303,'TaxCred&amp;Subs'!$K$137:$S$137,0)),0))),0),0)</f>
        <v>2486</v>
      </c>
      <c r="S303" s="95">
        <f t="array" ref="S303">ROUND(IF(IFERROR(VALUE(RIGHT($AD303,1)),0)&gt;2,IF($C303=8,O303*IFERROR(INDEX('TaxCred&amp;Subs'!$K$139:$S$151,MATCH($C303&amp;$D303&amp;LEFT($AD303,7),'TaxCred&amp;Subs'!$E$139:$E$151,0),MATCH($H303,'TaxCred&amp;Subs'!$K$137:$S$137,0)),0),IF($C303=2,O303*IFERROR(INDEX('TaxCred&amp;Subs'!$K$139:$S$151,MATCH($C303&amp;$D303,'TaxCred&amp;Subs'!$D$139:$D$151,0),MATCH($H303,'TaxCred&amp;Subs'!$K$137:$S$137,0)),0),O303*IFERROR(INDEX('TaxCred&amp;Subs'!$K$139:$S$151,MATCH($C303&amp;$D303,'TaxCred&amp;Subs'!$C$139:$C$151,0),MATCH($H303,'TaxCred&amp;Subs'!$K$137:$S$137,0)),0))),0),0)</f>
        <v>1619</v>
      </c>
      <c r="T303" s="95">
        <f t="shared" si="18"/>
        <v>0</v>
      </c>
      <c r="U303" s="95">
        <f t="shared" si="19"/>
        <v>0</v>
      </c>
      <c r="V303" s="28" t="s">
        <v>222</v>
      </c>
      <c r="W303" s="31">
        <v>2020</v>
      </c>
      <c r="X303" s="28">
        <v>1</v>
      </c>
      <c r="Y303" s="28">
        <v>0</v>
      </c>
      <c r="Z303" s="196">
        <v>-2.1513024844954491E-4</v>
      </c>
      <c r="AA303" s="196">
        <v>-3.3096961299929986E-3</v>
      </c>
      <c r="AB303" s="28">
        <v>0</v>
      </c>
      <c r="AC303" s="28">
        <v>0</v>
      </c>
      <c r="AD303" s="28" t="s">
        <v>337</v>
      </c>
    </row>
    <row r="304" spans="2:30" ht="14.25" customHeight="1" x14ac:dyDescent="0.2">
      <c r="B304" s="7">
        <f t="shared" si="20"/>
        <v>280</v>
      </c>
      <c r="C304" s="28">
        <v>1</v>
      </c>
      <c r="D304" s="28">
        <v>10</v>
      </c>
      <c r="E304" s="31">
        <v>34</v>
      </c>
      <c r="F304" s="78">
        <v>2033</v>
      </c>
      <c r="G304" s="28">
        <v>2033</v>
      </c>
      <c r="H304" s="28">
        <v>2</v>
      </c>
      <c r="I304" s="31">
        <v>34</v>
      </c>
      <c r="J304" s="28">
        <v>0</v>
      </c>
      <c r="K304" s="28">
        <v>0</v>
      </c>
      <c r="L304" s="28">
        <v>0</v>
      </c>
      <c r="M304" s="75">
        <v>4.5</v>
      </c>
      <c r="N304" s="151">
        <v>10027.5</v>
      </c>
      <c r="O304" s="151">
        <v>6530</v>
      </c>
      <c r="P304" s="95">
        <f t="array" ref="P304">ROUND(IF($F304&lt;='TaxCred&amp;Subs'!$C$49,(IF($C304=2,IF($M304&gt;=IFERROR(INDEX('TaxCred&amp;Subs'!$L$12:$L$47,MATCH(1,($C304&amp;$D304='TaxCred&amp;Subs'!$E$12:$E$47)*($F304='TaxCred&amp;Subs'!$C$12:$C$47),0)
),9999),IFERROR(INDEX('TaxCred&amp;Subs'!$N$12:$N$47,MATCH(1,($C304&amp;$D304='TaxCred&amp;Subs'!$E$12:$E$47)*($F304='TaxCred&amp;Subs'!$C$12:$C$47),0)
),0),0),(IF($M304&gt;=IFERROR(INDEX('TaxCred&amp;Subs'!$H$12:$H$47,MATCH(1,($C304&amp;$D304='TaxCred&amp;Subs'!$D$12:$D$47)*($F304='TaxCred&amp;Subs'!$C$12:$C$47),0)
),9999),IFERROR(INDEX('TaxCred&amp;Subs'!$N$12:$N$47,MATCH(1,($C304&amp;$D304='TaxCred&amp;Subs'!$D$12:$D$47)*($F304='TaxCred&amp;Subs'!$C$12:$C$47),0)
),0),0)))),0)+IF(AND($C304=2,VALUE(RIGHT($AD304,1))&gt;2),(N304-R304)*(IFERROR(INDEX('TaxCred&amp;Subs'!$J$66:$J$99,MATCH(1,($C304&amp;$D304='TaxCred&amp;Subs'!$E$66:$E$99)*($F304='TaxCred&amp;Subs'!$C$66:$C$99),0)),0)),IF(AND($C304=1,VALUE(RIGHT($AD304,1))&gt;2),(N304-R304)*(IFERROR(INDEX('TaxCred&amp;Subs'!$J$66:$J$99,MATCH(1,($C304&amp;$D304='TaxCred&amp;Subs'!$D$66:$D$99)*($F304='TaxCred&amp;Subs'!$C$66:$C$99),0)),0)),IF($C304&gt;2,(N304-R304)*(IFERROR(INDEX('TaxCred&amp;Subs'!$J$66:$J$99,MATCH(1,($C304&amp;$D304='TaxCred&amp;Subs'!$D$66:$D$99)*($F304='TaxCred&amp;Subs'!$C$66:$C$99),0)),0)),0))),0)</f>
        <v>2340</v>
      </c>
      <c r="Q304" s="95">
        <f t="array" ref="Q304">ROUND(IF(AND($C304=2,VALUE(RIGHT($AD304,1))&gt;2),(O304-S304)*(IFERROR(INDEX('TaxCred&amp;Subs'!$J$66:$J$99,MATCH(1,($C304&amp;$D304='TaxCred&amp;Subs'!$E$66:$E$99)*($F304='TaxCred&amp;Subs'!$C$66:$C$99),0)),0)),IF(AND($C304=1,VALUE(RIGHT($AD304,1))&gt;2),(O304-S304)*(IFERROR(INDEX('TaxCred&amp;Subs'!$J$66:$J$99,MATCH(1,($C304&amp;$D304='TaxCred&amp;Subs'!$D$66:$D$99)*($F304='TaxCred&amp;Subs'!$C$66:$C$99),0)),0)),IF($C304&gt;2,(O304-S304)*(IFERROR(INDEX('TaxCred&amp;Subs'!$J$66:$J$99,MATCH(1,($C304&amp;$D304='TaxCred&amp;Subs'!$D$66:$D$99)*($F304='TaxCred&amp;Subs'!$C$66:$C$99),0)),0)),0))),0)</f>
        <v>1524</v>
      </c>
      <c r="R304" s="95">
        <f t="array" ref="R304">ROUND(IF(IFERROR(VALUE(RIGHT($AD304,1)),0)&gt;2,IF($C304=8,N304*IFERROR(INDEX('TaxCred&amp;Subs'!$K$139:$S$151,MATCH($C304&amp;$D304&amp;LEFT($AD304,7),'TaxCred&amp;Subs'!$E$139:$E$151,0),MATCH($H304,'TaxCred&amp;Subs'!$K$137:$S$137,0)),0),IF($C304=2,N304*IFERROR(INDEX('TaxCred&amp;Subs'!$K$139:$S$151,MATCH($C304&amp;$D304,'TaxCred&amp;Subs'!$D$139:$D$151,0),MATCH($H304,'TaxCred&amp;Subs'!$K$137:$S$137,0)),0),N304*IFERROR(INDEX('TaxCred&amp;Subs'!$K$139:$S$151,MATCH($C304&amp;$D304,'TaxCred&amp;Subs'!$C$139:$C$151,0),MATCH($H304,'TaxCred&amp;Subs'!$K$137:$S$137,0)),0))),0),0)</f>
        <v>1026</v>
      </c>
      <c r="S304" s="95">
        <f t="array" ref="S304">ROUND(IF(IFERROR(VALUE(RIGHT($AD304,1)),0)&gt;2,IF($C304=8,O304*IFERROR(INDEX('TaxCred&amp;Subs'!$K$139:$S$151,MATCH($C304&amp;$D304&amp;LEFT($AD304,7),'TaxCred&amp;Subs'!$E$139:$E$151,0),MATCH($H304,'TaxCred&amp;Subs'!$K$137:$S$137,0)),0),IF($C304=2,O304*IFERROR(INDEX('TaxCred&amp;Subs'!$K$139:$S$151,MATCH($C304&amp;$D304,'TaxCred&amp;Subs'!$D$139:$D$151,0),MATCH($H304,'TaxCred&amp;Subs'!$K$137:$S$137,0)),0),O304*IFERROR(INDEX('TaxCred&amp;Subs'!$K$139:$S$151,MATCH($C304&amp;$D304,'TaxCred&amp;Subs'!$C$139:$C$151,0),MATCH($H304,'TaxCred&amp;Subs'!$K$137:$S$137,0)),0))),0),0)</f>
        <v>668</v>
      </c>
      <c r="T304" s="95">
        <f t="shared" si="18"/>
        <v>0</v>
      </c>
      <c r="U304" s="95">
        <f t="shared" si="19"/>
        <v>0</v>
      </c>
      <c r="V304" s="28" t="s">
        <v>222</v>
      </c>
      <c r="W304" s="31">
        <v>2020</v>
      </c>
      <c r="X304" s="28">
        <v>1</v>
      </c>
      <c r="Y304" s="28">
        <v>0</v>
      </c>
      <c r="Z304" s="196">
        <v>-2.1513024844954491E-4</v>
      </c>
      <c r="AA304" s="196">
        <v>-3.3096961299929986E-3</v>
      </c>
      <c r="AB304" s="28">
        <v>0</v>
      </c>
      <c r="AC304" s="28">
        <v>0</v>
      </c>
      <c r="AD304" s="28" t="s">
        <v>337</v>
      </c>
    </row>
    <row r="305" spans="2:30" ht="14.25" customHeight="1" x14ac:dyDescent="0.2">
      <c r="B305" s="7">
        <f t="shared" si="20"/>
        <v>281</v>
      </c>
      <c r="C305" s="28">
        <v>1</v>
      </c>
      <c r="D305" s="28">
        <v>10</v>
      </c>
      <c r="E305" s="31">
        <v>34</v>
      </c>
      <c r="F305" s="78">
        <v>2033</v>
      </c>
      <c r="G305" s="28">
        <v>2033</v>
      </c>
      <c r="H305" s="28">
        <v>3</v>
      </c>
      <c r="I305" s="31">
        <v>34</v>
      </c>
      <c r="J305" s="28">
        <v>0</v>
      </c>
      <c r="K305" s="28">
        <v>0</v>
      </c>
      <c r="L305" s="28">
        <v>0</v>
      </c>
      <c r="M305" s="75">
        <v>4.5</v>
      </c>
      <c r="N305" s="151">
        <v>10027.5</v>
      </c>
      <c r="O305" s="151">
        <v>6530</v>
      </c>
      <c r="P305" s="95">
        <f t="array" ref="P305">ROUND(IF($F305&lt;='TaxCred&amp;Subs'!$C$49,(IF($C305=2,IF($M305&gt;=IFERROR(INDEX('TaxCred&amp;Subs'!$L$12:$L$47,MATCH(1,($C305&amp;$D305='TaxCred&amp;Subs'!$E$12:$E$47)*($F305='TaxCred&amp;Subs'!$C$12:$C$47),0)
),9999),IFERROR(INDEX('TaxCred&amp;Subs'!$N$12:$N$47,MATCH(1,($C305&amp;$D305='TaxCred&amp;Subs'!$E$12:$E$47)*($F305='TaxCred&amp;Subs'!$C$12:$C$47),0)
),0),0),(IF($M305&gt;=IFERROR(INDEX('TaxCred&amp;Subs'!$H$12:$H$47,MATCH(1,($C305&amp;$D305='TaxCred&amp;Subs'!$D$12:$D$47)*($F305='TaxCred&amp;Subs'!$C$12:$C$47),0)
),9999),IFERROR(INDEX('TaxCred&amp;Subs'!$N$12:$N$47,MATCH(1,($C305&amp;$D305='TaxCred&amp;Subs'!$D$12:$D$47)*($F305='TaxCred&amp;Subs'!$C$12:$C$47),0)
),0),0)))),0)+IF(AND($C305=2,VALUE(RIGHT($AD305,1))&gt;2),(N305-R305)*(IFERROR(INDEX('TaxCred&amp;Subs'!$J$66:$J$99,MATCH(1,($C305&amp;$D305='TaxCred&amp;Subs'!$E$66:$E$99)*($F305='TaxCred&amp;Subs'!$C$66:$C$99),0)),0)),IF(AND($C305=1,VALUE(RIGHT($AD305,1))&gt;2),(N305-R305)*(IFERROR(INDEX('TaxCred&amp;Subs'!$J$66:$J$99,MATCH(1,($C305&amp;$D305='TaxCred&amp;Subs'!$D$66:$D$99)*($F305='TaxCred&amp;Subs'!$C$66:$C$99),0)),0)),IF($C305&gt;2,(N305-R305)*(IFERROR(INDEX('TaxCred&amp;Subs'!$J$66:$J$99,MATCH(1,($C305&amp;$D305='TaxCred&amp;Subs'!$D$66:$D$99)*($F305='TaxCred&amp;Subs'!$C$66:$C$99),0)),0)),0))),0)</f>
        <v>2397</v>
      </c>
      <c r="Q305" s="95">
        <f t="array" ref="Q305">ROUND(IF(AND($C305=2,VALUE(RIGHT($AD305,1))&gt;2),(O305-S305)*(IFERROR(INDEX('TaxCred&amp;Subs'!$J$66:$J$99,MATCH(1,($C305&amp;$D305='TaxCred&amp;Subs'!$E$66:$E$99)*($F305='TaxCred&amp;Subs'!$C$66:$C$99),0)),0)),IF(AND($C305=1,VALUE(RIGHT($AD305,1))&gt;2),(O305-S305)*(IFERROR(INDEX('TaxCred&amp;Subs'!$J$66:$J$99,MATCH(1,($C305&amp;$D305='TaxCred&amp;Subs'!$D$66:$D$99)*($F305='TaxCred&amp;Subs'!$C$66:$C$99),0)),0)),IF($C305&gt;2,(O305-S305)*(IFERROR(INDEX('TaxCred&amp;Subs'!$J$66:$J$99,MATCH(1,($C305&amp;$D305='TaxCred&amp;Subs'!$D$66:$D$99)*($F305='TaxCred&amp;Subs'!$C$66:$C$99),0)),0)),0))),0)</f>
        <v>1561</v>
      </c>
      <c r="R305" s="95">
        <f t="array" ref="R305">ROUND(IF(IFERROR(VALUE(RIGHT($AD305,1)),0)&gt;2,IF($C305=8,N305*IFERROR(INDEX('TaxCred&amp;Subs'!$K$139:$S$151,MATCH($C305&amp;$D305&amp;LEFT($AD305,7),'TaxCred&amp;Subs'!$E$139:$E$151,0),MATCH($H305,'TaxCred&amp;Subs'!$K$137:$S$137,0)),0),IF($C305=2,N305*IFERROR(INDEX('TaxCred&amp;Subs'!$K$139:$S$151,MATCH($C305&amp;$D305,'TaxCred&amp;Subs'!$D$139:$D$151,0),MATCH($H305,'TaxCred&amp;Subs'!$K$137:$S$137,0)),0),N305*IFERROR(INDEX('TaxCred&amp;Subs'!$K$139:$S$151,MATCH($C305&amp;$D305,'TaxCred&amp;Subs'!$C$139:$C$151,0),MATCH($H305,'TaxCred&amp;Subs'!$K$137:$S$137,0)),0))),0),0)</f>
        <v>807</v>
      </c>
      <c r="S305" s="95">
        <f t="array" ref="S305">ROUND(IF(IFERROR(VALUE(RIGHT($AD305,1)),0)&gt;2,IF($C305=8,O305*IFERROR(INDEX('TaxCred&amp;Subs'!$K$139:$S$151,MATCH($C305&amp;$D305&amp;LEFT($AD305,7),'TaxCred&amp;Subs'!$E$139:$E$151,0),MATCH($H305,'TaxCred&amp;Subs'!$K$137:$S$137,0)),0),IF($C305=2,O305*IFERROR(INDEX('TaxCred&amp;Subs'!$K$139:$S$151,MATCH($C305&amp;$D305,'TaxCred&amp;Subs'!$D$139:$D$151,0),MATCH($H305,'TaxCred&amp;Subs'!$K$137:$S$137,0)),0),O305*IFERROR(INDEX('TaxCred&amp;Subs'!$K$139:$S$151,MATCH($C305&amp;$D305,'TaxCred&amp;Subs'!$C$139:$C$151,0),MATCH($H305,'TaxCred&amp;Subs'!$K$137:$S$137,0)),0))),0),0)</f>
        <v>526</v>
      </c>
      <c r="T305" s="95">
        <f t="shared" si="18"/>
        <v>0</v>
      </c>
      <c r="U305" s="95">
        <f t="shared" si="19"/>
        <v>0</v>
      </c>
      <c r="V305" s="28" t="s">
        <v>222</v>
      </c>
      <c r="W305" s="31">
        <v>2020</v>
      </c>
      <c r="X305" s="28">
        <v>1</v>
      </c>
      <c r="Y305" s="28">
        <v>0</v>
      </c>
      <c r="Z305" s="196">
        <v>-2.1513024844954491E-4</v>
      </c>
      <c r="AA305" s="196">
        <v>-3.3096961299929986E-3</v>
      </c>
      <c r="AB305" s="28">
        <v>0</v>
      </c>
      <c r="AC305" s="28">
        <v>0</v>
      </c>
      <c r="AD305" s="28" t="s">
        <v>337</v>
      </c>
    </row>
    <row r="306" spans="2:30" ht="14.25" customHeight="1" x14ac:dyDescent="0.2">
      <c r="B306" s="7">
        <f t="shared" si="20"/>
        <v>282</v>
      </c>
      <c r="C306" s="28">
        <v>1</v>
      </c>
      <c r="D306" s="28">
        <v>10</v>
      </c>
      <c r="E306" s="31">
        <v>34</v>
      </c>
      <c r="F306" s="78">
        <v>2033</v>
      </c>
      <c r="G306" s="28">
        <v>2033</v>
      </c>
      <c r="H306" s="28">
        <v>4</v>
      </c>
      <c r="I306" s="31">
        <v>34</v>
      </c>
      <c r="J306" s="28">
        <v>0</v>
      </c>
      <c r="K306" s="28">
        <v>0</v>
      </c>
      <c r="L306" s="28">
        <v>0</v>
      </c>
      <c r="M306" s="75">
        <v>4.5</v>
      </c>
      <c r="N306" s="151">
        <v>10027.5</v>
      </c>
      <c r="O306" s="151">
        <v>6530</v>
      </c>
      <c r="P306" s="95">
        <f t="array" ref="P306">ROUND(IF($F306&lt;='TaxCred&amp;Subs'!$C$49,(IF($C306=2,IF($M306&gt;=IFERROR(INDEX('TaxCred&amp;Subs'!$L$12:$L$47,MATCH(1,($C306&amp;$D306='TaxCred&amp;Subs'!$E$12:$E$47)*($F306='TaxCred&amp;Subs'!$C$12:$C$47),0)
),9999),IFERROR(INDEX('TaxCred&amp;Subs'!$N$12:$N$47,MATCH(1,($C306&amp;$D306='TaxCred&amp;Subs'!$E$12:$E$47)*($F306='TaxCred&amp;Subs'!$C$12:$C$47),0)
),0),0),(IF($M306&gt;=IFERROR(INDEX('TaxCred&amp;Subs'!$H$12:$H$47,MATCH(1,($C306&amp;$D306='TaxCred&amp;Subs'!$D$12:$D$47)*($F306='TaxCred&amp;Subs'!$C$12:$C$47),0)
),9999),IFERROR(INDEX('TaxCred&amp;Subs'!$N$12:$N$47,MATCH(1,($C306&amp;$D306='TaxCred&amp;Subs'!$D$12:$D$47)*($F306='TaxCred&amp;Subs'!$C$12:$C$47),0)
),0),0)))),0)+IF(AND($C306=2,VALUE(RIGHT($AD306,1))&gt;2),(N306-R306)*(IFERROR(INDEX('TaxCred&amp;Subs'!$J$66:$J$99,MATCH(1,($C306&amp;$D306='TaxCred&amp;Subs'!$E$66:$E$99)*($F306='TaxCred&amp;Subs'!$C$66:$C$99),0)),0)),IF(AND($C306=1,VALUE(RIGHT($AD306,1))&gt;2),(N306-R306)*(IFERROR(INDEX('TaxCred&amp;Subs'!$J$66:$J$99,MATCH(1,($C306&amp;$D306='TaxCred&amp;Subs'!$D$66:$D$99)*($F306='TaxCred&amp;Subs'!$C$66:$C$99),0)),0)),IF($C306&gt;2,(N306-R306)*(IFERROR(INDEX('TaxCred&amp;Subs'!$J$66:$J$99,MATCH(1,($C306&amp;$D306='TaxCred&amp;Subs'!$D$66:$D$99)*($F306='TaxCred&amp;Subs'!$C$66:$C$99),0)),0)),0))),0)</f>
        <v>2439</v>
      </c>
      <c r="Q306" s="95">
        <f t="array" ref="Q306">ROUND(IF(AND($C306=2,VALUE(RIGHT($AD306,1))&gt;2),(O306-S306)*(IFERROR(INDEX('TaxCred&amp;Subs'!$J$66:$J$99,MATCH(1,($C306&amp;$D306='TaxCred&amp;Subs'!$E$66:$E$99)*($F306='TaxCred&amp;Subs'!$C$66:$C$99),0)),0)),IF(AND($C306=1,VALUE(RIGHT($AD306,1))&gt;2),(O306-S306)*(IFERROR(INDEX('TaxCred&amp;Subs'!$J$66:$J$99,MATCH(1,($C306&amp;$D306='TaxCred&amp;Subs'!$D$66:$D$99)*($F306='TaxCred&amp;Subs'!$C$66:$C$99),0)),0)),IF($C306&gt;2,(O306-S306)*(IFERROR(INDEX('TaxCred&amp;Subs'!$J$66:$J$99,MATCH(1,($C306&amp;$D306='TaxCred&amp;Subs'!$D$66:$D$99)*($F306='TaxCred&amp;Subs'!$C$66:$C$99),0)),0)),0))),0)</f>
        <v>1588</v>
      </c>
      <c r="R306" s="95">
        <f t="array" ref="R306">ROUND(IF(IFERROR(VALUE(RIGHT($AD306,1)),0)&gt;2,IF($C306=8,N306*IFERROR(INDEX('TaxCred&amp;Subs'!$K$139:$S$151,MATCH($C306&amp;$D306&amp;LEFT($AD306,7),'TaxCred&amp;Subs'!$E$139:$E$151,0),MATCH($H306,'TaxCred&amp;Subs'!$K$137:$S$137,0)),0),IF($C306=2,N306*IFERROR(INDEX('TaxCred&amp;Subs'!$K$139:$S$151,MATCH($C306&amp;$D306,'TaxCred&amp;Subs'!$D$139:$D$151,0),MATCH($H306,'TaxCred&amp;Subs'!$K$137:$S$137,0)),0),N306*IFERROR(INDEX('TaxCred&amp;Subs'!$K$139:$S$151,MATCH($C306&amp;$D306,'TaxCred&amp;Subs'!$C$139:$C$151,0),MATCH($H306,'TaxCred&amp;Subs'!$K$137:$S$137,0)),0))),0),0)</f>
        <v>646</v>
      </c>
      <c r="S306" s="95">
        <f t="array" ref="S306">ROUND(IF(IFERROR(VALUE(RIGHT($AD306,1)),0)&gt;2,IF($C306=8,O306*IFERROR(INDEX('TaxCred&amp;Subs'!$K$139:$S$151,MATCH($C306&amp;$D306&amp;LEFT($AD306,7),'TaxCred&amp;Subs'!$E$139:$E$151,0),MATCH($H306,'TaxCred&amp;Subs'!$K$137:$S$137,0)),0),IF($C306=2,O306*IFERROR(INDEX('TaxCred&amp;Subs'!$K$139:$S$151,MATCH($C306&amp;$D306,'TaxCred&amp;Subs'!$D$139:$D$151,0),MATCH($H306,'TaxCred&amp;Subs'!$K$137:$S$137,0)),0),O306*IFERROR(INDEX('TaxCred&amp;Subs'!$K$139:$S$151,MATCH($C306&amp;$D306,'TaxCred&amp;Subs'!$C$139:$C$151,0),MATCH($H306,'TaxCred&amp;Subs'!$K$137:$S$137,0)),0))),0),0)</f>
        <v>421</v>
      </c>
      <c r="T306" s="95">
        <f t="shared" si="18"/>
        <v>0</v>
      </c>
      <c r="U306" s="95">
        <f t="shared" si="19"/>
        <v>0</v>
      </c>
      <c r="V306" s="28" t="s">
        <v>222</v>
      </c>
      <c r="W306" s="31">
        <v>2020</v>
      </c>
      <c r="X306" s="28">
        <v>1</v>
      </c>
      <c r="Y306" s="28">
        <v>0</v>
      </c>
      <c r="Z306" s="196">
        <v>-2.1513024844954491E-4</v>
      </c>
      <c r="AA306" s="196">
        <v>-3.3096961299929986E-3</v>
      </c>
      <c r="AB306" s="28">
        <v>0</v>
      </c>
      <c r="AC306" s="28">
        <v>0</v>
      </c>
      <c r="AD306" s="28" t="s">
        <v>337</v>
      </c>
    </row>
    <row r="307" spans="2:30" ht="14.25" customHeight="1" x14ac:dyDescent="0.2">
      <c r="B307" s="7">
        <f t="shared" si="20"/>
        <v>283</v>
      </c>
      <c r="C307" s="28">
        <v>1</v>
      </c>
      <c r="D307" s="28">
        <v>10</v>
      </c>
      <c r="E307" s="31">
        <v>34</v>
      </c>
      <c r="F307" s="78">
        <v>2033</v>
      </c>
      <c r="G307" s="28">
        <v>2033</v>
      </c>
      <c r="H307" s="28">
        <v>5</v>
      </c>
      <c r="I307" s="31">
        <v>34</v>
      </c>
      <c r="J307" s="28">
        <v>0</v>
      </c>
      <c r="K307" s="28">
        <v>0</v>
      </c>
      <c r="L307" s="28">
        <v>0</v>
      </c>
      <c r="M307" s="75">
        <v>4.5</v>
      </c>
      <c r="N307" s="151">
        <v>10027.5</v>
      </c>
      <c r="O307" s="151">
        <v>6530</v>
      </c>
      <c r="P307" s="95">
        <f t="array" ref="P307">ROUND(IF($F307&lt;='TaxCred&amp;Subs'!$C$49,(IF($C307=2,IF($M307&gt;=IFERROR(INDEX('TaxCred&amp;Subs'!$L$12:$L$47,MATCH(1,($C307&amp;$D307='TaxCred&amp;Subs'!$E$12:$E$47)*($F307='TaxCred&amp;Subs'!$C$12:$C$47),0)
),9999),IFERROR(INDEX('TaxCred&amp;Subs'!$N$12:$N$47,MATCH(1,($C307&amp;$D307='TaxCred&amp;Subs'!$E$12:$E$47)*($F307='TaxCred&amp;Subs'!$C$12:$C$47),0)
),0),0),(IF($M307&gt;=IFERROR(INDEX('TaxCred&amp;Subs'!$H$12:$H$47,MATCH(1,($C307&amp;$D307='TaxCred&amp;Subs'!$D$12:$D$47)*($F307='TaxCred&amp;Subs'!$C$12:$C$47),0)
),9999),IFERROR(INDEX('TaxCred&amp;Subs'!$N$12:$N$47,MATCH(1,($C307&amp;$D307='TaxCred&amp;Subs'!$D$12:$D$47)*($F307='TaxCred&amp;Subs'!$C$12:$C$47),0)
),0),0)))),0)+IF(AND($C307=2,VALUE(RIGHT($AD307,1))&gt;2),(N307-R307)*(IFERROR(INDEX('TaxCred&amp;Subs'!$J$66:$J$99,MATCH(1,($C307&amp;$D307='TaxCred&amp;Subs'!$E$66:$E$99)*($F307='TaxCred&amp;Subs'!$C$66:$C$99),0)),0)),IF(AND($C307=1,VALUE(RIGHT($AD307,1))&gt;2),(N307-R307)*(IFERROR(INDEX('TaxCred&amp;Subs'!$J$66:$J$99,MATCH(1,($C307&amp;$D307='TaxCred&amp;Subs'!$D$66:$D$99)*($F307='TaxCred&amp;Subs'!$C$66:$C$99),0)),0)),IF($C307&gt;2,(N307-R307)*(IFERROR(INDEX('TaxCred&amp;Subs'!$J$66:$J$99,MATCH(1,($C307&amp;$D307='TaxCred&amp;Subs'!$D$66:$D$99)*($F307='TaxCred&amp;Subs'!$C$66:$C$99),0)),0)),0))),0)</f>
        <v>2425</v>
      </c>
      <c r="Q307" s="95">
        <f t="array" ref="Q307">ROUND(IF(AND($C307=2,VALUE(RIGHT($AD307,1))&gt;2),(O307-S307)*(IFERROR(INDEX('TaxCred&amp;Subs'!$J$66:$J$99,MATCH(1,($C307&amp;$D307='TaxCred&amp;Subs'!$E$66:$E$99)*($F307='TaxCred&amp;Subs'!$C$66:$C$99),0)),0)),IF(AND($C307=1,VALUE(RIGHT($AD307,1))&gt;2),(O307-S307)*(IFERROR(INDEX('TaxCred&amp;Subs'!$J$66:$J$99,MATCH(1,($C307&amp;$D307='TaxCred&amp;Subs'!$D$66:$D$99)*($F307='TaxCred&amp;Subs'!$C$66:$C$99),0)),0)),IF($C307&gt;2,(O307-S307)*(IFERROR(INDEX('TaxCred&amp;Subs'!$J$66:$J$99,MATCH(1,($C307&amp;$D307='TaxCred&amp;Subs'!$D$66:$D$99)*($F307='TaxCred&amp;Subs'!$C$66:$C$99),0)),0)),0))),0)</f>
        <v>1580</v>
      </c>
      <c r="R307" s="95">
        <f t="array" ref="R307">ROUND(IF(IFERROR(VALUE(RIGHT($AD307,1)),0)&gt;2,IF($C307=8,N307*IFERROR(INDEX('TaxCred&amp;Subs'!$K$139:$S$151,MATCH($C307&amp;$D307&amp;LEFT($AD307,7),'TaxCred&amp;Subs'!$E$139:$E$151,0),MATCH($H307,'TaxCred&amp;Subs'!$K$137:$S$137,0)),0),IF($C307=2,N307*IFERROR(INDEX('TaxCred&amp;Subs'!$K$139:$S$151,MATCH($C307&amp;$D307,'TaxCred&amp;Subs'!$D$139:$D$151,0),MATCH($H307,'TaxCred&amp;Subs'!$K$137:$S$137,0)),0),N307*IFERROR(INDEX('TaxCred&amp;Subs'!$K$139:$S$151,MATCH($C307&amp;$D307,'TaxCred&amp;Subs'!$C$139:$C$151,0),MATCH($H307,'TaxCred&amp;Subs'!$K$137:$S$137,0)),0))),0),0)</f>
        <v>699</v>
      </c>
      <c r="S307" s="95">
        <f t="array" ref="S307">ROUND(IF(IFERROR(VALUE(RIGHT($AD307,1)),0)&gt;2,IF($C307=8,O307*IFERROR(INDEX('TaxCred&amp;Subs'!$K$139:$S$151,MATCH($C307&amp;$D307&amp;LEFT($AD307,7),'TaxCred&amp;Subs'!$E$139:$E$151,0),MATCH($H307,'TaxCred&amp;Subs'!$K$137:$S$137,0)),0),IF($C307=2,O307*IFERROR(INDEX('TaxCred&amp;Subs'!$K$139:$S$151,MATCH($C307&amp;$D307,'TaxCred&amp;Subs'!$D$139:$D$151,0),MATCH($H307,'TaxCred&amp;Subs'!$K$137:$S$137,0)),0),O307*IFERROR(INDEX('TaxCred&amp;Subs'!$K$139:$S$151,MATCH($C307&amp;$D307,'TaxCred&amp;Subs'!$C$139:$C$151,0),MATCH($H307,'TaxCred&amp;Subs'!$K$137:$S$137,0)),0))),0),0)</f>
        <v>455</v>
      </c>
      <c r="T307" s="95">
        <f t="shared" si="18"/>
        <v>0</v>
      </c>
      <c r="U307" s="95">
        <f t="shared" si="19"/>
        <v>0</v>
      </c>
      <c r="V307" s="28" t="s">
        <v>222</v>
      </c>
      <c r="W307" s="31">
        <v>2020</v>
      </c>
      <c r="X307" s="28">
        <v>1</v>
      </c>
      <c r="Y307" s="28">
        <v>0</v>
      </c>
      <c r="Z307" s="196">
        <v>-2.1513024844954491E-4</v>
      </c>
      <c r="AA307" s="196">
        <v>-3.3096961299929986E-3</v>
      </c>
      <c r="AB307" s="28">
        <v>0</v>
      </c>
      <c r="AC307" s="28">
        <v>0</v>
      </c>
      <c r="AD307" s="28" t="s">
        <v>337</v>
      </c>
    </row>
    <row r="308" spans="2:30" ht="14.25" customHeight="1" x14ac:dyDescent="0.2">
      <c r="B308" s="7">
        <f t="shared" si="20"/>
        <v>284</v>
      </c>
      <c r="C308" s="28">
        <v>1</v>
      </c>
      <c r="D308" s="28">
        <v>10</v>
      </c>
      <c r="E308" s="31">
        <v>34</v>
      </c>
      <c r="F308" s="78">
        <v>2033</v>
      </c>
      <c r="G308" s="28">
        <v>2033</v>
      </c>
      <c r="H308" s="28">
        <v>6</v>
      </c>
      <c r="I308" s="31">
        <v>34</v>
      </c>
      <c r="J308" s="28">
        <v>0</v>
      </c>
      <c r="K308" s="28">
        <v>0</v>
      </c>
      <c r="L308" s="28">
        <v>0</v>
      </c>
      <c r="M308" s="75">
        <v>4.5</v>
      </c>
      <c r="N308" s="151">
        <v>10027.5</v>
      </c>
      <c r="O308" s="151">
        <v>6530</v>
      </c>
      <c r="P308" s="95">
        <f t="array" ref="P308">ROUND(IF($F308&lt;='TaxCred&amp;Subs'!$C$49,(IF($C308=2,IF($M308&gt;=IFERROR(INDEX('TaxCred&amp;Subs'!$L$12:$L$47,MATCH(1,($C308&amp;$D308='TaxCred&amp;Subs'!$E$12:$E$47)*($F308='TaxCred&amp;Subs'!$C$12:$C$47),0)
),9999),IFERROR(INDEX('TaxCred&amp;Subs'!$N$12:$N$47,MATCH(1,($C308&amp;$D308='TaxCred&amp;Subs'!$E$12:$E$47)*($F308='TaxCred&amp;Subs'!$C$12:$C$47),0)
),0),0),(IF($M308&gt;=IFERROR(INDEX('TaxCred&amp;Subs'!$H$12:$H$47,MATCH(1,($C308&amp;$D308='TaxCred&amp;Subs'!$D$12:$D$47)*($F308='TaxCred&amp;Subs'!$C$12:$C$47),0)
),9999),IFERROR(INDEX('TaxCred&amp;Subs'!$N$12:$N$47,MATCH(1,($C308&amp;$D308='TaxCred&amp;Subs'!$D$12:$D$47)*($F308='TaxCred&amp;Subs'!$C$12:$C$47),0)
),0),0)))),0)+IF(AND($C308=2,VALUE(RIGHT($AD308,1))&gt;2),(N308-R308)*(IFERROR(INDEX('TaxCred&amp;Subs'!$J$66:$J$99,MATCH(1,($C308&amp;$D308='TaxCred&amp;Subs'!$E$66:$E$99)*($F308='TaxCred&amp;Subs'!$C$66:$C$99),0)),0)),IF(AND($C308=1,VALUE(RIGHT($AD308,1))&gt;2),(N308-R308)*(IFERROR(INDEX('TaxCred&amp;Subs'!$J$66:$J$99,MATCH(1,($C308&amp;$D308='TaxCred&amp;Subs'!$D$66:$D$99)*($F308='TaxCred&amp;Subs'!$C$66:$C$99),0)),0)),IF($C308&gt;2,(N308-R308)*(IFERROR(INDEX('TaxCred&amp;Subs'!$J$66:$J$99,MATCH(1,($C308&amp;$D308='TaxCred&amp;Subs'!$D$66:$D$99)*($F308='TaxCred&amp;Subs'!$C$66:$C$99),0)),0)),0))),0)</f>
        <v>2377</v>
      </c>
      <c r="Q308" s="95">
        <f t="array" ref="Q308">ROUND(IF(AND($C308=2,VALUE(RIGHT($AD308,1))&gt;2),(O308-S308)*(IFERROR(INDEX('TaxCred&amp;Subs'!$J$66:$J$99,MATCH(1,($C308&amp;$D308='TaxCred&amp;Subs'!$E$66:$E$99)*($F308='TaxCred&amp;Subs'!$C$66:$C$99),0)),0)),IF(AND($C308=1,VALUE(RIGHT($AD308,1))&gt;2),(O308-S308)*(IFERROR(INDEX('TaxCred&amp;Subs'!$J$66:$J$99,MATCH(1,($C308&amp;$D308='TaxCred&amp;Subs'!$D$66:$D$99)*($F308='TaxCred&amp;Subs'!$C$66:$C$99),0)),0)),IF($C308&gt;2,(O308-S308)*(IFERROR(INDEX('TaxCred&amp;Subs'!$J$66:$J$99,MATCH(1,($C308&amp;$D308='TaxCred&amp;Subs'!$D$66:$D$99)*($F308='TaxCred&amp;Subs'!$C$66:$C$99),0)),0)),0))),0)</f>
        <v>1548</v>
      </c>
      <c r="R308" s="95">
        <f t="array" ref="R308">ROUND(IF(IFERROR(VALUE(RIGHT($AD308,1)),0)&gt;2,IF($C308=8,N308*IFERROR(INDEX('TaxCred&amp;Subs'!$K$139:$S$151,MATCH($C308&amp;$D308&amp;LEFT($AD308,7),'TaxCred&amp;Subs'!$E$139:$E$151,0),MATCH($H308,'TaxCred&amp;Subs'!$K$137:$S$137,0)),0),IF($C308=2,N308*IFERROR(INDEX('TaxCred&amp;Subs'!$K$139:$S$151,MATCH($C308&amp;$D308,'TaxCred&amp;Subs'!$D$139:$D$151,0),MATCH($H308,'TaxCred&amp;Subs'!$K$137:$S$137,0)),0),N308*IFERROR(INDEX('TaxCred&amp;Subs'!$K$139:$S$151,MATCH($C308&amp;$D308,'TaxCred&amp;Subs'!$C$139:$C$151,0),MATCH($H308,'TaxCred&amp;Subs'!$K$137:$S$137,0)),0))),0),0)</f>
        <v>884</v>
      </c>
      <c r="S308" s="95">
        <f t="array" ref="S308">ROUND(IF(IFERROR(VALUE(RIGHT($AD308,1)),0)&gt;2,IF($C308=8,O308*IFERROR(INDEX('TaxCred&amp;Subs'!$K$139:$S$151,MATCH($C308&amp;$D308&amp;LEFT($AD308,7),'TaxCred&amp;Subs'!$E$139:$E$151,0),MATCH($H308,'TaxCred&amp;Subs'!$K$137:$S$137,0)),0),IF($C308=2,O308*IFERROR(INDEX('TaxCred&amp;Subs'!$K$139:$S$151,MATCH($C308&amp;$D308,'TaxCred&amp;Subs'!$D$139:$D$151,0),MATCH($H308,'TaxCred&amp;Subs'!$K$137:$S$137,0)),0),O308*IFERROR(INDEX('TaxCred&amp;Subs'!$K$139:$S$151,MATCH($C308&amp;$D308,'TaxCred&amp;Subs'!$C$139:$C$151,0),MATCH($H308,'TaxCred&amp;Subs'!$K$137:$S$137,0)),0))),0),0)</f>
        <v>576</v>
      </c>
      <c r="T308" s="95">
        <f t="shared" si="18"/>
        <v>0</v>
      </c>
      <c r="U308" s="95">
        <f t="shared" si="19"/>
        <v>0</v>
      </c>
      <c r="V308" s="28" t="s">
        <v>222</v>
      </c>
      <c r="W308" s="31">
        <v>2020</v>
      </c>
      <c r="X308" s="28">
        <v>1</v>
      </c>
      <c r="Y308" s="28">
        <v>0</v>
      </c>
      <c r="Z308" s="196">
        <v>-2.1513024844954491E-4</v>
      </c>
      <c r="AA308" s="196">
        <v>-3.3096961299929986E-3</v>
      </c>
      <c r="AB308" s="28">
        <v>0</v>
      </c>
      <c r="AC308" s="28">
        <v>0</v>
      </c>
      <c r="AD308" s="28" t="s">
        <v>337</v>
      </c>
    </row>
    <row r="309" spans="2:30" ht="14.25" customHeight="1" x14ac:dyDescent="0.2">
      <c r="B309" s="7">
        <f t="shared" si="20"/>
        <v>285</v>
      </c>
      <c r="C309" s="28">
        <v>1</v>
      </c>
      <c r="D309" s="28">
        <v>10</v>
      </c>
      <c r="E309" s="31">
        <v>34</v>
      </c>
      <c r="F309" s="78">
        <v>2033</v>
      </c>
      <c r="G309" s="28">
        <v>2033</v>
      </c>
      <c r="H309" s="28">
        <v>7</v>
      </c>
      <c r="I309" s="31">
        <v>34</v>
      </c>
      <c r="J309" s="28">
        <v>0</v>
      </c>
      <c r="K309" s="28">
        <v>0</v>
      </c>
      <c r="L309" s="28">
        <v>0</v>
      </c>
      <c r="M309" s="75">
        <v>4.5</v>
      </c>
      <c r="N309" s="151">
        <v>10027.5</v>
      </c>
      <c r="O309" s="151">
        <v>6530</v>
      </c>
      <c r="P309" s="95">
        <f t="array" ref="P309">ROUND(IF($F309&lt;='TaxCred&amp;Subs'!$C$49,(IF($C309=2,IF($M309&gt;=IFERROR(INDEX('TaxCred&amp;Subs'!$L$12:$L$47,MATCH(1,($C309&amp;$D309='TaxCred&amp;Subs'!$E$12:$E$47)*($F309='TaxCred&amp;Subs'!$C$12:$C$47),0)
),9999),IFERROR(INDEX('TaxCred&amp;Subs'!$N$12:$N$47,MATCH(1,($C309&amp;$D309='TaxCred&amp;Subs'!$E$12:$E$47)*($F309='TaxCred&amp;Subs'!$C$12:$C$47),0)
),0),0),(IF($M309&gt;=IFERROR(INDEX('TaxCred&amp;Subs'!$H$12:$H$47,MATCH(1,($C309&amp;$D309='TaxCred&amp;Subs'!$D$12:$D$47)*($F309='TaxCred&amp;Subs'!$C$12:$C$47),0)
),9999),IFERROR(INDEX('TaxCred&amp;Subs'!$N$12:$N$47,MATCH(1,($C309&amp;$D309='TaxCred&amp;Subs'!$D$12:$D$47)*($F309='TaxCred&amp;Subs'!$C$12:$C$47),0)
),0),0)))),0)+IF(AND($C309=2,VALUE(RIGHT($AD309,1))&gt;2),(N309-R309)*(IFERROR(INDEX('TaxCred&amp;Subs'!$J$66:$J$99,MATCH(1,($C309&amp;$D309='TaxCred&amp;Subs'!$E$66:$E$99)*($F309='TaxCred&amp;Subs'!$C$66:$C$99),0)),0)),IF(AND($C309=1,VALUE(RIGHT($AD309,1))&gt;2),(N309-R309)*(IFERROR(INDEX('TaxCred&amp;Subs'!$J$66:$J$99,MATCH(1,($C309&amp;$D309='TaxCred&amp;Subs'!$D$66:$D$99)*($F309='TaxCred&amp;Subs'!$C$66:$C$99),0)),0)),IF($C309&gt;2,(N309-R309)*(IFERROR(INDEX('TaxCred&amp;Subs'!$J$66:$J$99,MATCH(1,($C309&amp;$D309='TaxCred&amp;Subs'!$D$66:$D$99)*($F309='TaxCred&amp;Subs'!$C$66:$C$99),0)),0)),0))),0)</f>
        <v>2511</v>
      </c>
      <c r="Q309" s="95">
        <f t="array" ref="Q309">ROUND(IF(AND($C309=2,VALUE(RIGHT($AD309,1))&gt;2),(O309-S309)*(IFERROR(INDEX('TaxCred&amp;Subs'!$J$66:$J$99,MATCH(1,($C309&amp;$D309='TaxCred&amp;Subs'!$E$66:$E$99)*($F309='TaxCred&amp;Subs'!$C$66:$C$99),0)),0)),IF(AND($C309=1,VALUE(RIGHT($AD309,1))&gt;2),(O309-S309)*(IFERROR(INDEX('TaxCred&amp;Subs'!$J$66:$J$99,MATCH(1,($C309&amp;$D309='TaxCred&amp;Subs'!$D$66:$D$99)*($F309='TaxCred&amp;Subs'!$C$66:$C$99),0)),0)),IF($C309&gt;2,(O309-S309)*(IFERROR(INDEX('TaxCred&amp;Subs'!$J$66:$J$99,MATCH(1,($C309&amp;$D309='TaxCred&amp;Subs'!$D$66:$D$99)*($F309='TaxCred&amp;Subs'!$C$66:$C$99),0)),0)),0))),0)</f>
        <v>1635</v>
      </c>
      <c r="R309" s="95">
        <f t="array" ref="R309">ROUND(IF(IFERROR(VALUE(RIGHT($AD309,1)),0)&gt;2,IF($C309=8,N309*IFERROR(INDEX('TaxCred&amp;Subs'!$K$139:$S$151,MATCH($C309&amp;$D309&amp;LEFT($AD309,7),'TaxCred&amp;Subs'!$E$139:$E$151,0),MATCH($H309,'TaxCred&amp;Subs'!$K$137:$S$137,0)),0),IF($C309=2,N309*IFERROR(INDEX('TaxCred&amp;Subs'!$K$139:$S$151,MATCH($C309&amp;$D309,'TaxCred&amp;Subs'!$D$139:$D$151,0),MATCH($H309,'TaxCred&amp;Subs'!$K$137:$S$137,0)),0),N309*IFERROR(INDEX('TaxCred&amp;Subs'!$K$139:$S$151,MATCH($C309&amp;$D309,'TaxCred&amp;Subs'!$C$139:$C$151,0),MATCH($H309,'TaxCred&amp;Subs'!$K$137:$S$137,0)),0))),0),0)</f>
        <v>370</v>
      </c>
      <c r="S309" s="95">
        <f t="array" ref="S309">ROUND(IF(IFERROR(VALUE(RIGHT($AD309,1)),0)&gt;2,IF($C309=8,O309*IFERROR(INDEX('TaxCred&amp;Subs'!$K$139:$S$151,MATCH($C309&amp;$D309&amp;LEFT($AD309,7),'TaxCred&amp;Subs'!$E$139:$E$151,0),MATCH($H309,'TaxCred&amp;Subs'!$K$137:$S$137,0)),0),IF($C309=2,O309*IFERROR(INDEX('TaxCred&amp;Subs'!$K$139:$S$151,MATCH($C309&amp;$D309,'TaxCred&amp;Subs'!$D$139:$D$151,0),MATCH($H309,'TaxCred&amp;Subs'!$K$137:$S$137,0)),0),O309*IFERROR(INDEX('TaxCred&amp;Subs'!$K$139:$S$151,MATCH($C309&amp;$D309,'TaxCred&amp;Subs'!$C$139:$C$151,0),MATCH($H309,'TaxCred&amp;Subs'!$K$137:$S$137,0)),0))),0),0)</f>
        <v>241</v>
      </c>
      <c r="T309" s="95">
        <f t="shared" si="18"/>
        <v>0</v>
      </c>
      <c r="U309" s="95">
        <f t="shared" si="19"/>
        <v>0</v>
      </c>
      <c r="V309" s="28" t="s">
        <v>222</v>
      </c>
      <c r="W309" s="31">
        <v>2020</v>
      </c>
      <c r="X309" s="28">
        <v>1</v>
      </c>
      <c r="Y309" s="28">
        <v>0</v>
      </c>
      <c r="Z309" s="196">
        <v>-2.1513024844954491E-4</v>
      </c>
      <c r="AA309" s="196">
        <v>-3.3096961299929986E-3</v>
      </c>
      <c r="AB309" s="28">
        <v>0</v>
      </c>
      <c r="AC309" s="28">
        <v>0</v>
      </c>
      <c r="AD309" s="28" t="s">
        <v>337</v>
      </c>
    </row>
    <row r="310" spans="2:30" ht="14.25" customHeight="1" x14ac:dyDescent="0.2">
      <c r="B310" s="7">
        <f t="shared" si="20"/>
        <v>286</v>
      </c>
      <c r="C310" s="28">
        <v>1</v>
      </c>
      <c r="D310" s="28">
        <v>10</v>
      </c>
      <c r="E310" s="31">
        <v>34</v>
      </c>
      <c r="F310" s="78">
        <v>2033</v>
      </c>
      <c r="G310" s="28">
        <v>2033</v>
      </c>
      <c r="H310" s="28">
        <v>8</v>
      </c>
      <c r="I310" s="31">
        <v>34</v>
      </c>
      <c r="J310" s="28">
        <v>0</v>
      </c>
      <c r="K310" s="28">
        <v>0</v>
      </c>
      <c r="L310" s="28">
        <v>0</v>
      </c>
      <c r="M310" s="75">
        <v>4.5</v>
      </c>
      <c r="N310" s="151">
        <v>10027.5</v>
      </c>
      <c r="O310" s="151">
        <v>6530</v>
      </c>
      <c r="P310" s="95">
        <f t="array" ref="P310">ROUND(IF($F310&lt;='TaxCred&amp;Subs'!$C$49,(IF($C310=2,IF($M310&gt;=IFERROR(INDEX('TaxCred&amp;Subs'!$L$12:$L$47,MATCH(1,($C310&amp;$D310='TaxCred&amp;Subs'!$E$12:$E$47)*($F310='TaxCred&amp;Subs'!$C$12:$C$47),0)
),9999),IFERROR(INDEX('TaxCred&amp;Subs'!$N$12:$N$47,MATCH(1,($C310&amp;$D310='TaxCred&amp;Subs'!$E$12:$E$47)*($F310='TaxCred&amp;Subs'!$C$12:$C$47),0)
),0),0),(IF($M310&gt;=IFERROR(INDEX('TaxCred&amp;Subs'!$H$12:$H$47,MATCH(1,($C310&amp;$D310='TaxCred&amp;Subs'!$D$12:$D$47)*($F310='TaxCred&amp;Subs'!$C$12:$C$47),0)
),9999),IFERROR(INDEX('TaxCred&amp;Subs'!$N$12:$N$47,MATCH(1,($C310&amp;$D310='TaxCred&amp;Subs'!$D$12:$D$47)*($F310='TaxCred&amp;Subs'!$C$12:$C$47),0)
),0),0)))),0)+IF(AND($C310=2,VALUE(RIGHT($AD310,1))&gt;2),(N310-R310)*(IFERROR(INDEX('TaxCred&amp;Subs'!$J$66:$J$99,MATCH(1,($C310&amp;$D310='TaxCred&amp;Subs'!$E$66:$E$99)*($F310='TaxCred&amp;Subs'!$C$66:$C$99),0)),0)),IF(AND($C310=1,VALUE(RIGHT($AD310,1))&gt;2),(N310-R310)*(IFERROR(INDEX('TaxCred&amp;Subs'!$J$66:$J$99,MATCH(1,($C310&amp;$D310='TaxCred&amp;Subs'!$D$66:$D$99)*($F310='TaxCred&amp;Subs'!$C$66:$C$99),0)),0)),IF($C310&gt;2,(N310-R310)*(IFERROR(INDEX('TaxCred&amp;Subs'!$J$66:$J$99,MATCH(1,($C310&amp;$D310='TaxCred&amp;Subs'!$D$66:$D$99)*($F310='TaxCred&amp;Subs'!$C$66:$C$99),0)),0)),0))),0)</f>
        <v>2476</v>
      </c>
      <c r="Q310" s="95">
        <f t="array" ref="Q310">ROUND(IF(AND($C310=2,VALUE(RIGHT($AD310,1))&gt;2),(O310-S310)*(IFERROR(INDEX('TaxCred&amp;Subs'!$J$66:$J$99,MATCH(1,($C310&amp;$D310='TaxCred&amp;Subs'!$E$66:$E$99)*($F310='TaxCred&amp;Subs'!$C$66:$C$99),0)),0)),IF(AND($C310=1,VALUE(RIGHT($AD310,1))&gt;2),(O310-S310)*(IFERROR(INDEX('TaxCred&amp;Subs'!$J$66:$J$99,MATCH(1,($C310&amp;$D310='TaxCred&amp;Subs'!$D$66:$D$99)*($F310='TaxCred&amp;Subs'!$C$66:$C$99),0)),0)),IF($C310&gt;2,(O310-S310)*(IFERROR(INDEX('TaxCred&amp;Subs'!$J$66:$J$99,MATCH(1,($C310&amp;$D310='TaxCred&amp;Subs'!$D$66:$D$99)*($F310='TaxCred&amp;Subs'!$C$66:$C$99),0)),0)),0))),0)</f>
        <v>1613</v>
      </c>
      <c r="R310" s="95">
        <f t="array" ref="R310">ROUND(IF(IFERROR(VALUE(RIGHT($AD310,1)),0)&gt;2,IF($C310=8,N310*IFERROR(INDEX('TaxCred&amp;Subs'!$K$139:$S$151,MATCH($C310&amp;$D310&amp;LEFT($AD310,7),'TaxCred&amp;Subs'!$E$139:$E$151,0),MATCH($H310,'TaxCred&amp;Subs'!$K$137:$S$137,0)),0),IF($C310=2,N310*IFERROR(INDEX('TaxCred&amp;Subs'!$K$139:$S$151,MATCH($C310&amp;$D310,'TaxCred&amp;Subs'!$D$139:$D$151,0),MATCH($H310,'TaxCred&amp;Subs'!$K$137:$S$137,0)),0),N310*IFERROR(INDEX('TaxCred&amp;Subs'!$K$139:$S$151,MATCH($C310&amp;$D310,'TaxCred&amp;Subs'!$C$139:$C$151,0),MATCH($H310,'TaxCred&amp;Subs'!$K$137:$S$137,0)),0))),0),0)</f>
        <v>504</v>
      </c>
      <c r="S310" s="95">
        <f t="array" ref="S310">ROUND(IF(IFERROR(VALUE(RIGHT($AD310,1)),0)&gt;2,IF($C310=8,O310*IFERROR(INDEX('TaxCred&amp;Subs'!$K$139:$S$151,MATCH($C310&amp;$D310&amp;LEFT($AD310,7),'TaxCred&amp;Subs'!$E$139:$E$151,0),MATCH($H310,'TaxCred&amp;Subs'!$K$137:$S$137,0)),0),IF($C310=2,O310*IFERROR(INDEX('TaxCred&amp;Subs'!$K$139:$S$151,MATCH($C310&amp;$D310,'TaxCred&amp;Subs'!$D$139:$D$151,0),MATCH($H310,'TaxCred&amp;Subs'!$K$137:$S$137,0)),0),O310*IFERROR(INDEX('TaxCred&amp;Subs'!$K$139:$S$151,MATCH($C310&amp;$D310,'TaxCred&amp;Subs'!$C$139:$C$151,0),MATCH($H310,'TaxCred&amp;Subs'!$K$137:$S$137,0)),0))),0),0)</f>
        <v>328</v>
      </c>
      <c r="T310" s="95">
        <f t="shared" si="18"/>
        <v>0</v>
      </c>
      <c r="U310" s="95">
        <f t="shared" si="19"/>
        <v>0</v>
      </c>
      <c r="V310" s="28" t="s">
        <v>222</v>
      </c>
      <c r="W310" s="31">
        <v>2020</v>
      </c>
      <c r="X310" s="28">
        <v>1</v>
      </c>
      <c r="Y310" s="28">
        <v>0</v>
      </c>
      <c r="Z310" s="196">
        <v>-2.1513024844954491E-4</v>
      </c>
      <c r="AA310" s="196">
        <v>-3.3096961299929986E-3</v>
      </c>
      <c r="AB310" s="28">
        <v>0</v>
      </c>
      <c r="AC310" s="28">
        <v>0</v>
      </c>
      <c r="AD310" s="28" t="s">
        <v>337</v>
      </c>
    </row>
    <row r="311" spans="2:30" ht="14.25" customHeight="1" x14ac:dyDescent="0.2">
      <c r="B311" s="7">
        <f t="shared" si="20"/>
        <v>287</v>
      </c>
      <c r="C311" s="28">
        <v>1</v>
      </c>
      <c r="D311" s="28">
        <v>10</v>
      </c>
      <c r="E311" s="31">
        <v>34</v>
      </c>
      <c r="F311" s="78">
        <v>2033</v>
      </c>
      <c r="G311" s="28">
        <v>2033</v>
      </c>
      <c r="H311" s="28">
        <v>9</v>
      </c>
      <c r="I311" s="31">
        <v>34</v>
      </c>
      <c r="J311" s="28">
        <v>0</v>
      </c>
      <c r="K311" s="28">
        <v>0</v>
      </c>
      <c r="L311" s="28">
        <v>0</v>
      </c>
      <c r="M311" s="75">
        <v>4.5</v>
      </c>
      <c r="N311" s="151">
        <v>10027.5</v>
      </c>
      <c r="O311" s="151">
        <v>6530</v>
      </c>
      <c r="P311" s="95">
        <f t="array" ref="P311">ROUND(IF($F311&lt;='TaxCred&amp;Subs'!$C$49,(IF($C311=2,IF($M311&gt;=IFERROR(INDEX('TaxCred&amp;Subs'!$L$12:$L$47,MATCH(1,($C311&amp;$D311='TaxCred&amp;Subs'!$E$12:$E$47)*($F311='TaxCred&amp;Subs'!$C$12:$C$47),0)
),9999),IFERROR(INDEX('TaxCred&amp;Subs'!$N$12:$N$47,MATCH(1,($C311&amp;$D311='TaxCred&amp;Subs'!$E$12:$E$47)*($F311='TaxCred&amp;Subs'!$C$12:$C$47),0)
),0),0),(IF($M311&gt;=IFERROR(INDEX('TaxCred&amp;Subs'!$H$12:$H$47,MATCH(1,($C311&amp;$D311='TaxCred&amp;Subs'!$D$12:$D$47)*($F311='TaxCred&amp;Subs'!$C$12:$C$47),0)
),9999),IFERROR(INDEX('TaxCred&amp;Subs'!$N$12:$N$47,MATCH(1,($C311&amp;$D311='TaxCred&amp;Subs'!$D$12:$D$47)*($F311='TaxCred&amp;Subs'!$C$12:$C$47),0)
),0),0)))),0)+IF(AND($C311=2,VALUE(RIGHT($AD311,1))&gt;2),(N311-R311)*(IFERROR(INDEX('TaxCred&amp;Subs'!$J$66:$J$99,MATCH(1,($C311&amp;$D311='TaxCred&amp;Subs'!$E$66:$E$99)*($F311='TaxCred&amp;Subs'!$C$66:$C$99),0)),0)),IF(AND($C311=1,VALUE(RIGHT($AD311,1))&gt;2),(N311-R311)*(IFERROR(INDEX('TaxCred&amp;Subs'!$J$66:$J$99,MATCH(1,($C311&amp;$D311='TaxCred&amp;Subs'!$D$66:$D$99)*($F311='TaxCred&amp;Subs'!$C$66:$C$99),0)),0)),IF($C311&gt;2,(N311-R311)*(IFERROR(INDEX('TaxCred&amp;Subs'!$J$66:$J$99,MATCH(1,($C311&amp;$D311='TaxCred&amp;Subs'!$D$66:$D$99)*($F311='TaxCred&amp;Subs'!$C$66:$C$99),0)),0)),0))),0)</f>
        <v>2543</v>
      </c>
      <c r="Q311" s="95">
        <f t="array" ref="Q311">ROUND(IF(AND($C311=2,VALUE(RIGHT($AD311,1))&gt;2),(O311-S311)*(IFERROR(INDEX('TaxCred&amp;Subs'!$J$66:$J$99,MATCH(1,($C311&amp;$D311='TaxCred&amp;Subs'!$E$66:$E$99)*($F311='TaxCred&amp;Subs'!$C$66:$C$99),0)),0)),IF(AND($C311=1,VALUE(RIGHT($AD311,1))&gt;2),(O311-S311)*(IFERROR(INDEX('TaxCred&amp;Subs'!$J$66:$J$99,MATCH(1,($C311&amp;$D311='TaxCred&amp;Subs'!$D$66:$D$99)*($F311='TaxCred&amp;Subs'!$C$66:$C$99),0)),0)),IF($C311&gt;2,(O311-S311)*(IFERROR(INDEX('TaxCred&amp;Subs'!$J$66:$J$99,MATCH(1,($C311&amp;$D311='TaxCred&amp;Subs'!$D$66:$D$99)*($F311='TaxCred&amp;Subs'!$C$66:$C$99),0)),0)),0))),0)</f>
        <v>1656</v>
      </c>
      <c r="R311" s="95">
        <f t="array" ref="R311">ROUND(IF(IFERROR(VALUE(RIGHT($AD311,1)),0)&gt;2,IF($C311=8,N311*IFERROR(INDEX('TaxCred&amp;Subs'!$K$139:$S$151,MATCH($C311&amp;$D311&amp;LEFT($AD311,7),'TaxCred&amp;Subs'!$E$139:$E$151,0),MATCH($H311,'TaxCred&amp;Subs'!$K$137:$S$137,0)),0),IF($C311=2,N311*IFERROR(INDEX('TaxCred&amp;Subs'!$K$139:$S$151,MATCH($C311&amp;$D311,'TaxCred&amp;Subs'!$D$139:$D$151,0),MATCH($H311,'TaxCred&amp;Subs'!$K$137:$S$137,0)),0),N311*IFERROR(INDEX('TaxCred&amp;Subs'!$K$139:$S$151,MATCH($C311&amp;$D311,'TaxCred&amp;Subs'!$C$139:$C$151,0),MATCH($H311,'TaxCred&amp;Subs'!$K$137:$S$137,0)),0))),0),0)</f>
        <v>246</v>
      </c>
      <c r="S311" s="95">
        <f t="array" ref="S311">ROUND(IF(IFERROR(VALUE(RIGHT($AD311,1)),0)&gt;2,IF($C311=8,O311*IFERROR(INDEX('TaxCred&amp;Subs'!$K$139:$S$151,MATCH($C311&amp;$D311&amp;LEFT($AD311,7),'TaxCred&amp;Subs'!$E$139:$E$151,0),MATCH($H311,'TaxCred&amp;Subs'!$K$137:$S$137,0)),0),IF($C311=2,O311*IFERROR(INDEX('TaxCred&amp;Subs'!$K$139:$S$151,MATCH($C311&amp;$D311,'TaxCred&amp;Subs'!$D$139:$D$151,0),MATCH($H311,'TaxCred&amp;Subs'!$K$137:$S$137,0)),0),O311*IFERROR(INDEX('TaxCred&amp;Subs'!$K$139:$S$151,MATCH($C311&amp;$D311,'TaxCred&amp;Subs'!$C$139:$C$151,0),MATCH($H311,'TaxCred&amp;Subs'!$K$137:$S$137,0)),0))),0),0)</f>
        <v>160</v>
      </c>
      <c r="T311" s="172">
        <f t="shared" si="18"/>
        <v>1122.675</v>
      </c>
      <c r="U311" s="172">
        <f t="shared" si="19"/>
        <v>731.1</v>
      </c>
      <c r="V311" s="28" t="s">
        <v>222</v>
      </c>
      <c r="W311" s="31">
        <v>2020</v>
      </c>
      <c r="X311" s="28">
        <v>1</v>
      </c>
      <c r="Y311" s="28">
        <v>0</v>
      </c>
      <c r="Z311" s="196">
        <v>-2.1513024844954491E-4</v>
      </c>
      <c r="AA311" s="196">
        <v>-3.3096961299929986E-3</v>
      </c>
      <c r="AB311" s="28">
        <v>0</v>
      </c>
      <c r="AC311" s="28">
        <v>0</v>
      </c>
      <c r="AD311" s="28" t="s">
        <v>337</v>
      </c>
    </row>
    <row r="312" spans="2:30" ht="14.25" customHeight="1" x14ac:dyDescent="0.2">
      <c r="B312" s="7">
        <f t="shared" si="20"/>
        <v>288</v>
      </c>
      <c r="C312" s="28">
        <v>1</v>
      </c>
      <c r="D312" s="28">
        <v>10</v>
      </c>
      <c r="E312" s="31">
        <v>34</v>
      </c>
      <c r="F312" s="78">
        <v>2034</v>
      </c>
      <c r="G312" s="28">
        <v>2034</v>
      </c>
      <c r="H312" s="28">
        <v>1</v>
      </c>
      <c r="I312" s="31">
        <v>34</v>
      </c>
      <c r="J312" s="28">
        <v>0</v>
      </c>
      <c r="K312" s="28">
        <v>0</v>
      </c>
      <c r="L312" s="28">
        <v>0</v>
      </c>
      <c r="M312" s="75">
        <v>4.5</v>
      </c>
      <c r="N312" s="151">
        <v>10027.5</v>
      </c>
      <c r="O312" s="151">
        <v>6530</v>
      </c>
      <c r="P312" s="95">
        <f t="array" ref="P312">ROUND(IF($F312&lt;='TaxCred&amp;Subs'!$C$49,(IF($C312=2,IF($M312&gt;=IFERROR(INDEX('TaxCred&amp;Subs'!$L$12:$L$47,MATCH(1,($C312&amp;$D312='TaxCred&amp;Subs'!$E$12:$E$47)*($F312='TaxCred&amp;Subs'!$C$12:$C$47),0)
),9999),IFERROR(INDEX('TaxCred&amp;Subs'!$N$12:$N$47,MATCH(1,($C312&amp;$D312='TaxCred&amp;Subs'!$E$12:$E$47)*($F312='TaxCred&amp;Subs'!$C$12:$C$47),0)
),0),0),(IF($M312&gt;=IFERROR(INDEX('TaxCred&amp;Subs'!$H$12:$H$47,MATCH(1,($C312&amp;$D312='TaxCred&amp;Subs'!$D$12:$D$47)*($F312='TaxCred&amp;Subs'!$C$12:$C$47),0)
),9999),IFERROR(INDEX('TaxCred&amp;Subs'!$N$12:$N$47,MATCH(1,($C312&amp;$D312='TaxCred&amp;Subs'!$D$12:$D$47)*($F312='TaxCred&amp;Subs'!$C$12:$C$47),0)
),0),0)))),0)+IF(AND($C312=2,VALUE(RIGHT($AD312,1))&gt;2),(N312-R312)*(IFERROR(INDEX('TaxCred&amp;Subs'!$J$66:$J$99,MATCH(1,($C312&amp;$D312='TaxCred&amp;Subs'!$E$66:$E$99)*($F312='TaxCred&amp;Subs'!$C$66:$C$99),0)),0)),IF(AND($C312=1,VALUE(RIGHT($AD312,1))&gt;2),(N312-R312)*(IFERROR(INDEX('TaxCred&amp;Subs'!$J$66:$J$99,MATCH(1,($C312&amp;$D312='TaxCred&amp;Subs'!$D$66:$D$99)*($F312='TaxCred&amp;Subs'!$C$66:$C$99),0)),0)),IF($C312&gt;2,(N312-R312)*(IFERROR(INDEX('TaxCred&amp;Subs'!$J$66:$J$99,MATCH(1,($C312&amp;$D312='TaxCred&amp;Subs'!$D$66:$D$99)*($F312='TaxCred&amp;Subs'!$C$66:$C$99),0)),0)),0))),0)</f>
        <v>1659</v>
      </c>
      <c r="Q312" s="95">
        <f t="array" ref="Q312">ROUND(IF(AND($C312=2,VALUE(RIGHT($AD312,1))&gt;2),(O312-S312)*(IFERROR(INDEX('TaxCred&amp;Subs'!$J$66:$J$99,MATCH(1,($C312&amp;$D312='TaxCred&amp;Subs'!$E$66:$E$99)*($F312='TaxCred&amp;Subs'!$C$66:$C$99),0)),0)),IF(AND($C312=1,VALUE(RIGHT($AD312,1))&gt;2),(O312-S312)*(IFERROR(INDEX('TaxCred&amp;Subs'!$J$66:$J$99,MATCH(1,($C312&amp;$D312='TaxCred&amp;Subs'!$D$66:$D$99)*($F312='TaxCred&amp;Subs'!$C$66:$C$99),0)),0)),IF($C312&gt;2,(O312-S312)*(IFERROR(INDEX('TaxCred&amp;Subs'!$J$66:$J$99,MATCH(1,($C312&amp;$D312='TaxCred&amp;Subs'!$D$66:$D$99)*($F312='TaxCred&amp;Subs'!$C$66:$C$99),0)),0)),0))),0)</f>
        <v>1080</v>
      </c>
      <c r="R312" s="95">
        <f t="array" ref="R312">ROUND(IF(IFERROR(VALUE(RIGHT($AD312,1)),0)&gt;2,IF($C312=8,N312*IFERROR(INDEX('TaxCred&amp;Subs'!$K$139:$S$151,MATCH($C312&amp;$D312&amp;LEFT($AD312,7),'TaxCred&amp;Subs'!$E$139:$E$151,0),MATCH($H312,'TaxCred&amp;Subs'!$K$137:$S$137,0)),0),IF($C312=2,N312*IFERROR(INDEX('TaxCred&amp;Subs'!$K$139:$S$151,MATCH($C312&amp;$D312,'TaxCred&amp;Subs'!$D$139:$D$151,0),MATCH($H312,'TaxCred&amp;Subs'!$K$137:$S$137,0)),0),N312*IFERROR(INDEX('TaxCred&amp;Subs'!$K$139:$S$151,MATCH($C312&amp;$D312,'TaxCred&amp;Subs'!$C$139:$C$151,0),MATCH($H312,'TaxCred&amp;Subs'!$K$137:$S$137,0)),0))),0),0)</f>
        <v>2486</v>
      </c>
      <c r="S312" s="95">
        <f t="array" ref="S312">ROUND(IF(IFERROR(VALUE(RIGHT($AD312,1)),0)&gt;2,IF($C312=8,O312*IFERROR(INDEX('TaxCred&amp;Subs'!$K$139:$S$151,MATCH($C312&amp;$D312&amp;LEFT($AD312,7),'TaxCred&amp;Subs'!$E$139:$E$151,0),MATCH($H312,'TaxCred&amp;Subs'!$K$137:$S$137,0)),0),IF($C312=2,O312*IFERROR(INDEX('TaxCred&amp;Subs'!$K$139:$S$151,MATCH($C312&amp;$D312,'TaxCred&amp;Subs'!$D$139:$D$151,0),MATCH($H312,'TaxCred&amp;Subs'!$K$137:$S$137,0)),0),O312*IFERROR(INDEX('TaxCred&amp;Subs'!$K$139:$S$151,MATCH($C312&amp;$D312,'TaxCred&amp;Subs'!$C$139:$C$151,0),MATCH($H312,'TaxCred&amp;Subs'!$K$137:$S$137,0)),0))),0),0)</f>
        <v>1619</v>
      </c>
      <c r="T312" s="95">
        <f t="shared" si="18"/>
        <v>0</v>
      </c>
      <c r="U312" s="95">
        <f t="shared" si="19"/>
        <v>0</v>
      </c>
      <c r="V312" s="28" t="s">
        <v>222</v>
      </c>
      <c r="W312" s="31">
        <v>2020</v>
      </c>
      <c r="X312" s="28">
        <v>1</v>
      </c>
      <c r="Y312" s="28">
        <v>0</v>
      </c>
      <c r="Z312" s="196">
        <v>-2.1513024844954491E-4</v>
      </c>
      <c r="AA312" s="196">
        <v>-3.3096961299929986E-3</v>
      </c>
      <c r="AB312" s="28">
        <v>0</v>
      </c>
      <c r="AC312" s="28">
        <v>0</v>
      </c>
      <c r="AD312" s="28" t="s">
        <v>337</v>
      </c>
    </row>
    <row r="313" spans="2:30" ht="14.25" customHeight="1" x14ac:dyDescent="0.2">
      <c r="B313" s="7">
        <f t="shared" si="20"/>
        <v>289</v>
      </c>
      <c r="C313" s="28">
        <v>1</v>
      </c>
      <c r="D313" s="28">
        <v>10</v>
      </c>
      <c r="E313" s="31">
        <v>34</v>
      </c>
      <c r="F313" s="78">
        <v>2034</v>
      </c>
      <c r="G313" s="28">
        <v>2034</v>
      </c>
      <c r="H313" s="28">
        <v>2</v>
      </c>
      <c r="I313" s="31">
        <v>34</v>
      </c>
      <c r="J313" s="28">
        <v>0</v>
      </c>
      <c r="K313" s="28">
        <v>0</v>
      </c>
      <c r="L313" s="28">
        <v>0</v>
      </c>
      <c r="M313" s="75">
        <v>4.5</v>
      </c>
      <c r="N313" s="151">
        <v>10027.5</v>
      </c>
      <c r="O313" s="151">
        <v>6530</v>
      </c>
      <c r="P313" s="95">
        <f t="array" ref="P313">ROUND(IF($F313&lt;='TaxCred&amp;Subs'!$C$49,(IF($C313=2,IF($M313&gt;=IFERROR(INDEX('TaxCred&amp;Subs'!$L$12:$L$47,MATCH(1,($C313&amp;$D313='TaxCred&amp;Subs'!$E$12:$E$47)*($F313='TaxCred&amp;Subs'!$C$12:$C$47),0)
),9999),IFERROR(INDEX('TaxCred&amp;Subs'!$N$12:$N$47,MATCH(1,($C313&amp;$D313='TaxCred&amp;Subs'!$E$12:$E$47)*($F313='TaxCred&amp;Subs'!$C$12:$C$47),0)
),0),0),(IF($M313&gt;=IFERROR(INDEX('TaxCred&amp;Subs'!$H$12:$H$47,MATCH(1,($C313&amp;$D313='TaxCred&amp;Subs'!$D$12:$D$47)*($F313='TaxCred&amp;Subs'!$C$12:$C$47),0)
),9999),IFERROR(INDEX('TaxCred&amp;Subs'!$N$12:$N$47,MATCH(1,($C313&amp;$D313='TaxCred&amp;Subs'!$D$12:$D$47)*($F313='TaxCred&amp;Subs'!$C$12:$C$47),0)
),0),0)))),0)+IF(AND($C313=2,VALUE(RIGHT($AD313,1))&gt;2),(N313-R313)*(IFERROR(INDEX('TaxCred&amp;Subs'!$J$66:$J$99,MATCH(1,($C313&amp;$D313='TaxCred&amp;Subs'!$E$66:$E$99)*($F313='TaxCred&amp;Subs'!$C$66:$C$99),0)),0)),IF(AND($C313=1,VALUE(RIGHT($AD313,1))&gt;2),(N313-R313)*(IFERROR(INDEX('TaxCred&amp;Subs'!$J$66:$J$99,MATCH(1,($C313&amp;$D313='TaxCred&amp;Subs'!$D$66:$D$99)*($F313='TaxCred&amp;Subs'!$C$66:$C$99),0)),0)),IF($C313&gt;2,(N313-R313)*(IFERROR(INDEX('TaxCred&amp;Subs'!$J$66:$J$99,MATCH(1,($C313&amp;$D313='TaxCred&amp;Subs'!$D$66:$D$99)*($F313='TaxCred&amp;Subs'!$C$66:$C$99),0)),0)),0))),0)</f>
        <v>1980</v>
      </c>
      <c r="Q313" s="95">
        <f t="array" ref="Q313">ROUND(IF(AND($C313=2,VALUE(RIGHT($AD313,1))&gt;2),(O313-S313)*(IFERROR(INDEX('TaxCred&amp;Subs'!$J$66:$J$99,MATCH(1,($C313&amp;$D313='TaxCred&amp;Subs'!$E$66:$E$99)*($F313='TaxCred&amp;Subs'!$C$66:$C$99),0)),0)),IF(AND($C313=1,VALUE(RIGHT($AD313,1))&gt;2),(O313-S313)*(IFERROR(INDEX('TaxCred&amp;Subs'!$J$66:$J$99,MATCH(1,($C313&amp;$D313='TaxCred&amp;Subs'!$D$66:$D$99)*($F313='TaxCred&amp;Subs'!$C$66:$C$99),0)),0)),IF($C313&gt;2,(O313-S313)*(IFERROR(INDEX('TaxCred&amp;Subs'!$J$66:$J$99,MATCH(1,($C313&amp;$D313='TaxCred&amp;Subs'!$D$66:$D$99)*($F313='TaxCred&amp;Subs'!$C$66:$C$99),0)),0)),0))),0)</f>
        <v>1290</v>
      </c>
      <c r="R313" s="95">
        <f t="array" ref="R313">ROUND(IF(IFERROR(VALUE(RIGHT($AD313,1)),0)&gt;2,IF($C313=8,N313*IFERROR(INDEX('TaxCred&amp;Subs'!$K$139:$S$151,MATCH($C313&amp;$D313&amp;LEFT($AD313,7),'TaxCred&amp;Subs'!$E$139:$E$151,0),MATCH($H313,'TaxCred&amp;Subs'!$K$137:$S$137,0)),0),IF($C313=2,N313*IFERROR(INDEX('TaxCred&amp;Subs'!$K$139:$S$151,MATCH($C313&amp;$D313,'TaxCred&amp;Subs'!$D$139:$D$151,0),MATCH($H313,'TaxCred&amp;Subs'!$K$137:$S$137,0)),0),N313*IFERROR(INDEX('TaxCred&amp;Subs'!$K$139:$S$151,MATCH($C313&amp;$D313,'TaxCred&amp;Subs'!$C$139:$C$151,0),MATCH($H313,'TaxCred&amp;Subs'!$K$137:$S$137,0)),0))),0),0)</f>
        <v>1026</v>
      </c>
      <c r="S313" s="95">
        <f t="array" ref="S313">ROUND(IF(IFERROR(VALUE(RIGHT($AD313,1)),0)&gt;2,IF($C313=8,O313*IFERROR(INDEX('TaxCred&amp;Subs'!$K$139:$S$151,MATCH($C313&amp;$D313&amp;LEFT($AD313,7),'TaxCred&amp;Subs'!$E$139:$E$151,0),MATCH($H313,'TaxCred&amp;Subs'!$K$137:$S$137,0)),0),IF($C313=2,O313*IFERROR(INDEX('TaxCred&amp;Subs'!$K$139:$S$151,MATCH($C313&amp;$D313,'TaxCred&amp;Subs'!$D$139:$D$151,0),MATCH($H313,'TaxCred&amp;Subs'!$K$137:$S$137,0)),0),O313*IFERROR(INDEX('TaxCred&amp;Subs'!$K$139:$S$151,MATCH($C313&amp;$D313,'TaxCred&amp;Subs'!$C$139:$C$151,0),MATCH($H313,'TaxCred&amp;Subs'!$K$137:$S$137,0)),0))),0),0)</f>
        <v>668</v>
      </c>
      <c r="T313" s="95">
        <f t="shared" si="18"/>
        <v>0</v>
      </c>
      <c r="U313" s="95">
        <f t="shared" si="19"/>
        <v>0</v>
      </c>
      <c r="V313" s="28" t="s">
        <v>222</v>
      </c>
      <c r="W313" s="31">
        <v>2020</v>
      </c>
      <c r="X313" s="28">
        <v>1</v>
      </c>
      <c r="Y313" s="28">
        <v>0</v>
      </c>
      <c r="Z313" s="196">
        <v>-2.1513024844954491E-4</v>
      </c>
      <c r="AA313" s="196">
        <v>-3.3096961299929986E-3</v>
      </c>
      <c r="AB313" s="28">
        <v>0</v>
      </c>
      <c r="AC313" s="28">
        <v>0</v>
      </c>
      <c r="AD313" s="28" t="s">
        <v>337</v>
      </c>
    </row>
    <row r="314" spans="2:30" ht="14.25" customHeight="1" x14ac:dyDescent="0.2">
      <c r="B314" s="7">
        <f t="shared" si="20"/>
        <v>290</v>
      </c>
      <c r="C314" s="28">
        <v>1</v>
      </c>
      <c r="D314" s="28">
        <v>10</v>
      </c>
      <c r="E314" s="31">
        <v>34</v>
      </c>
      <c r="F314" s="78">
        <v>2034</v>
      </c>
      <c r="G314" s="28">
        <v>2034</v>
      </c>
      <c r="H314" s="28">
        <v>3</v>
      </c>
      <c r="I314" s="31">
        <v>34</v>
      </c>
      <c r="J314" s="28">
        <v>0</v>
      </c>
      <c r="K314" s="28">
        <v>0</v>
      </c>
      <c r="L314" s="28">
        <v>0</v>
      </c>
      <c r="M314" s="75">
        <v>4.5</v>
      </c>
      <c r="N314" s="151">
        <v>10027.5</v>
      </c>
      <c r="O314" s="151">
        <v>6530</v>
      </c>
      <c r="P314" s="95">
        <f t="array" ref="P314">ROUND(IF($F314&lt;='TaxCred&amp;Subs'!$C$49,(IF($C314=2,IF($M314&gt;=IFERROR(INDEX('TaxCred&amp;Subs'!$L$12:$L$47,MATCH(1,($C314&amp;$D314='TaxCred&amp;Subs'!$E$12:$E$47)*($F314='TaxCred&amp;Subs'!$C$12:$C$47),0)
),9999),IFERROR(INDEX('TaxCred&amp;Subs'!$N$12:$N$47,MATCH(1,($C314&amp;$D314='TaxCred&amp;Subs'!$E$12:$E$47)*($F314='TaxCred&amp;Subs'!$C$12:$C$47),0)
),0),0),(IF($M314&gt;=IFERROR(INDEX('TaxCred&amp;Subs'!$H$12:$H$47,MATCH(1,($C314&amp;$D314='TaxCred&amp;Subs'!$D$12:$D$47)*($F314='TaxCred&amp;Subs'!$C$12:$C$47),0)
),9999),IFERROR(INDEX('TaxCred&amp;Subs'!$N$12:$N$47,MATCH(1,($C314&amp;$D314='TaxCred&amp;Subs'!$D$12:$D$47)*($F314='TaxCred&amp;Subs'!$C$12:$C$47),0)
),0),0)))),0)+IF(AND($C314=2,VALUE(RIGHT($AD314,1))&gt;2),(N314-R314)*(IFERROR(INDEX('TaxCred&amp;Subs'!$J$66:$J$99,MATCH(1,($C314&amp;$D314='TaxCred&amp;Subs'!$E$66:$E$99)*($F314='TaxCred&amp;Subs'!$C$66:$C$99),0)),0)),IF(AND($C314=1,VALUE(RIGHT($AD314,1))&gt;2),(N314-R314)*(IFERROR(INDEX('TaxCred&amp;Subs'!$J$66:$J$99,MATCH(1,($C314&amp;$D314='TaxCred&amp;Subs'!$D$66:$D$99)*($F314='TaxCred&amp;Subs'!$C$66:$C$99),0)),0)),IF($C314&gt;2,(N314-R314)*(IFERROR(INDEX('TaxCred&amp;Subs'!$J$66:$J$99,MATCH(1,($C314&amp;$D314='TaxCred&amp;Subs'!$D$66:$D$99)*($F314='TaxCred&amp;Subs'!$C$66:$C$99),0)),0)),0))),0)</f>
        <v>2029</v>
      </c>
      <c r="Q314" s="95">
        <f t="array" ref="Q314">ROUND(IF(AND($C314=2,VALUE(RIGHT($AD314,1))&gt;2),(O314-S314)*(IFERROR(INDEX('TaxCred&amp;Subs'!$J$66:$J$99,MATCH(1,($C314&amp;$D314='TaxCred&amp;Subs'!$E$66:$E$99)*($F314='TaxCred&amp;Subs'!$C$66:$C$99),0)),0)),IF(AND($C314=1,VALUE(RIGHT($AD314,1))&gt;2),(O314-S314)*(IFERROR(INDEX('TaxCred&amp;Subs'!$J$66:$J$99,MATCH(1,($C314&amp;$D314='TaxCred&amp;Subs'!$D$66:$D$99)*($F314='TaxCred&amp;Subs'!$C$66:$C$99),0)),0)),IF($C314&gt;2,(O314-S314)*(IFERROR(INDEX('TaxCred&amp;Subs'!$J$66:$J$99,MATCH(1,($C314&amp;$D314='TaxCred&amp;Subs'!$D$66:$D$99)*($F314='TaxCred&amp;Subs'!$C$66:$C$99),0)),0)),0))),0)</f>
        <v>1321</v>
      </c>
      <c r="R314" s="95">
        <f t="array" ref="R314">ROUND(IF(IFERROR(VALUE(RIGHT($AD314,1)),0)&gt;2,IF($C314=8,N314*IFERROR(INDEX('TaxCred&amp;Subs'!$K$139:$S$151,MATCH($C314&amp;$D314&amp;LEFT($AD314,7),'TaxCred&amp;Subs'!$E$139:$E$151,0),MATCH($H314,'TaxCred&amp;Subs'!$K$137:$S$137,0)),0),IF($C314=2,N314*IFERROR(INDEX('TaxCred&amp;Subs'!$K$139:$S$151,MATCH($C314&amp;$D314,'TaxCred&amp;Subs'!$D$139:$D$151,0),MATCH($H314,'TaxCred&amp;Subs'!$K$137:$S$137,0)),0),N314*IFERROR(INDEX('TaxCred&amp;Subs'!$K$139:$S$151,MATCH($C314&amp;$D314,'TaxCred&amp;Subs'!$C$139:$C$151,0),MATCH($H314,'TaxCred&amp;Subs'!$K$137:$S$137,0)),0))),0),0)</f>
        <v>807</v>
      </c>
      <c r="S314" s="95">
        <f t="array" ref="S314">ROUND(IF(IFERROR(VALUE(RIGHT($AD314,1)),0)&gt;2,IF($C314=8,O314*IFERROR(INDEX('TaxCred&amp;Subs'!$K$139:$S$151,MATCH($C314&amp;$D314&amp;LEFT($AD314,7),'TaxCred&amp;Subs'!$E$139:$E$151,0),MATCH($H314,'TaxCred&amp;Subs'!$K$137:$S$137,0)),0),IF($C314=2,O314*IFERROR(INDEX('TaxCred&amp;Subs'!$K$139:$S$151,MATCH($C314&amp;$D314,'TaxCred&amp;Subs'!$D$139:$D$151,0),MATCH($H314,'TaxCred&amp;Subs'!$K$137:$S$137,0)),0),O314*IFERROR(INDEX('TaxCred&amp;Subs'!$K$139:$S$151,MATCH($C314&amp;$D314,'TaxCred&amp;Subs'!$C$139:$C$151,0),MATCH($H314,'TaxCred&amp;Subs'!$K$137:$S$137,0)),0))),0),0)</f>
        <v>526</v>
      </c>
      <c r="T314" s="95">
        <f t="shared" si="18"/>
        <v>0</v>
      </c>
      <c r="U314" s="95">
        <f t="shared" si="19"/>
        <v>0</v>
      </c>
      <c r="V314" s="28" t="s">
        <v>222</v>
      </c>
      <c r="W314" s="31">
        <v>2020</v>
      </c>
      <c r="X314" s="28">
        <v>1</v>
      </c>
      <c r="Y314" s="28">
        <v>0</v>
      </c>
      <c r="Z314" s="196">
        <v>-2.1513024844954491E-4</v>
      </c>
      <c r="AA314" s="196">
        <v>-3.3096961299929986E-3</v>
      </c>
      <c r="AB314" s="28">
        <v>0</v>
      </c>
      <c r="AC314" s="28">
        <v>0</v>
      </c>
      <c r="AD314" s="28" t="s">
        <v>337</v>
      </c>
    </row>
    <row r="315" spans="2:30" ht="14.25" customHeight="1" x14ac:dyDescent="0.2">
      <c r="B315" s="7">
        <f t="shared" si="20"/>
        <v>291</v>
      </c>
      <c r="C315" s="28">
        <v>1</v>
      </c>
      <c r="D315" s="28">
        <v>10</v>
      </c>
      <c r="E315" s="31">
        <v>34</v>
      </c>
      <c r="F315" s="78">
        <v>2034</v>
      </c>
      <c r="G315" s="28">
        <v>2034</v>
      </c>
      <c r="H315" s="28">
        <v>4</v>
      </c>
      <c r="I315" s="31">
        <v>34</v>
      </c>
      <c r="J315" s="28">
        <v>0</v>
      </c>
      <c r="K315" s="28">
        <v>0</v>
      </c>
      <c r="L315" s="28">
        <v>0</v>
      </c>
      <c r="M315" s="75">
        <v>4.5</v>
      </c>
      <c r="N315" s="151">
        <v>10027.5</v>
      </c>
      <c r="O315" s="151">
        <v>6530</v>
      </c>
      <c r="P315" s="95">
        <f t="array" ref="P315">ROUND(IF($F315&lt;='TaxCred&amp;Subs'!$C$49,(IF($C315=2,IF($M315&gt;=IFERROR(INDEX('TaxCred&amp;Subs'!$L$12:$L$47,MATCH(1,($C315&amp;$D315='TaxCred&amp;Subs'!$E$12:$E$47)*($F315='TaxCred&amp;Subs'!$C$12:$C$47),0)
),9999),IFERROR(INDEX('TaxCred&amp;Subs'!$N$12:$N$47,MATCH(1,($C315&amp;$D315='TaxCred&amp;Subs'!$E$12:$E$47)*($F315='TaxCred&amp;Subs'!$C$12:$C$47),0)
),0),0),(IF($M315&gt;=IFERROR(INDEX('TaxCred&amp;Subs'!$H$12:$H$47,MATCH(1,($C315&amp;$D315='TaxCred&amp;Subs'!$D$12:$D$47)*($F315='TaxCred&amp;Subs'!$C$12:$C$47),0)
),9999),IFERROR(INDEX('TaxCred&amp;Subs'!$N$12:$N$47,MATCH(1,($C315&amp;$D315='TaxCred&amp;Subs'!$D$12:$D$47)*($F315='TaxCred&amp;Subs'!$C$12:$C$47),0)
),0),0)))),0)+IF(AND($C315=2,VALUE(RIGHT($AD315,1))&gt;2),(N315-R315)*(IFERROR(INDEX('TaxCred&amp;Subs'!$J$66:$J$99,MATCH(1,($C315&amp;$D315='TaxCred&amp;Subs'!$E$66:$E$99)*($F315='TaxCred&amp;Subs'!$C$66:$C$99),0)),0)),IF(AND($C315=1,VALUE(RIGHT($AD315,1))&gt;2),(N315-R315)*(IFERROR(INDEX('TaxCred&amp;Subs'!$J$66:$J$99,MATCH(1,($C315&amp;$D315='TaxCred&amp;Subs'!$D$66:$D$99)*($F315='TaxCred&amp;Subs'!$C$66:$C$99),0)),0)),IF($C315&gt;2,(N315-R315)*(IFERROR(INDEX('TaxCred&amp;Subs'!$J$66:$J$99,MATCH(1,($C315&amp;$D315='TaxCred&amp;Subs'!$D$66:$D$99)*($F315='TaxCred&amp;Subs'!$C$66:$C$99),0)),0)),0))),0)</f>
        <v>2064</v>
      </c>
      <c r="Q315" s="95">
        <f t="array" ref="Q315">ROUND(IF(AND($C315=2,VALUE(RIGHT($AD315,1))&gt;2),(O315-S315)*(IFERROR(INDEX('TaxCred&amp;Subs'!$J$66:$J$99,MATCH(1,($C315&amp;$D315='TaxCred&amp;Subs'!$E$66:$E$99)*($F315='TaxCred&amp;Subs'!$C$66:$C$99),0)),0)),IF(AND($C315=1,VALUE(RIGHT($AD315,1))&gt;2),(O315-S315)*(IFERROR(INDEX('TaxCred&amp;Subs'!$J$66:$J$99,MATCH(1,($C315&amp;$D315='TaxCred&amp;Subs'!$D$66:$D$99)*($F315='TaxCred&amp;Subs'!$C$66:$C$99),0)),0)),IF($C315&gt;2,(O315-S315)*(IFERROR(INDEX('TaxCred&amp;Subs'!$J$66:$J$99,MATCH(1,($C315&amp;$D315='TaxCred&amp;Subs'!$D$66:$D$99)*($F315='TaxCred&amp;Subs'!$C$66:$C$99),0)),0)),0))),0)</f>
        <v>1344</v>
      </c>
      <c r="R315" s="95">
        <f t="array" ref="R315">ROUND(IF(IFERROR(VALUE(RIGHT($AD315,1)),0)&gt;2,IF($C315=8,N315*IFERROR(INDEX('TaxCred&amp;Subs'!$K$139:$S$151,MATCH($C315&amp;$D315&amp;LEFT($AD315,7),'TaxCred&amp;Subs'!$E$139:$E$151,0),MATCH($H315,'TaxCred&amp;Subs'!$K$137:$S$137,0)),0),IF($C315=2,N315*IFERROR(INDEX('TaxCred&amp;Subs'!$K$139:$S$151,MATCH($C315&amp;$D315,'TaxCred&amp;Subs'!$D$139:$D$151,0),MATCH($H315,'TaxCred&amp;Subs'!$K$137:$S$137,0)),0),N315*IFERROR(INDEX('TaxCred&amp;Subs'!$K$139:$S$151,MATCH($C315&amp;$D315,'TaxCred&amp;Subs'!$C$139:$C$151,0),MATCH($H315,'TaxCred&amp;Subs'!$K$137:$S$137,0)),0))),0),0)</f>
        <v>646</v>
      </c>
      <c r="S315" s="95">
        <f t="array" ref="S315">ROUND(IF(IFERROR(VALUE(RIGHT($AD315,1)),0)&gt;2,IF($C315=8,O315*IFERROR(INDEX('TaxCred&amp;Subs'!$K$139:$S$151,MATCH($C315&amp;$D315&amp;LEFT($AD315,7),'TaxCred&amp;Subs'!$E$139:$E$151,0),MATCH($H315,'TaxCred&amp;Subs'!$K$137:$S$137,0)),0),IF($C315=2,O315*IFERROR(INDEX('TaxCred&amp;Subs'!$K$139:$S$151,MATCH($C315&amp;$D315,'TaxCred&amp;Subs'!$D$139:$D$151,0),MATCH($H315,'TaxCred&amp;Subs'!$K$137:$S$137,0)),0),O315*IFERROR(INDEX('TaxCred&amp;Subs'!$K$139:$S$151,MATCH($C315&amp;$D315,'TaxCred&amp;Subs'!$C$139:$C$151,0),MATCH($H315,'TaxCred&amp;Subs'!$K$137:$S$137,0)),0))),0),0)</f>
        <v>421</v>
      </c>
      <c r="T315" s="95">
        <f t="shared" si="18"/>
        <v>0</v>
      </c>
      <c r="U315" s="95">
        <f t="shared" si="19"/>
        <v>0</v>
      </c>
      <c r="V315" s="28" t="s">
        <v>222</v>
      </c>
      <c r="W315" s="31">
        <v>2020</v>
      </c>
      <c r="X315" s="28">
        <v>1</v>
      </c>
      <c r="Y315" s="28">
        <v>0</v>
      </c>
      <c r="Z315" s="196">
        <v>-2.1513024844954491E-4</v>
      </c>
      <c r="AA315" s="196">
        <v>-3.3096961299929986E-3</v>
      </c>
      <c r="AB315" s="28">
        <v>0</v>
      </c>
      <c r="AC315" s="28">
        <v>0</v>
      </c>
      <c r="AD315" s="28" t="s">
        <v>337</v>
      </c>
    </row>
    <row r="316" spans="2:30" ht="14.25" customHeight="1" x14ac:dyDescent="0.2">
      <c r="B316" s="7">
        <f t="shared" si="20"/>
        <v>292</v>
      </c>
      <c r="C316" s="28">
        <v>1</v>
      </c>
      <c r="D316" s="28">
        <v>10</v>
      </c>
      <c r="E316" s="31">
        <v>34</v>
      </c>
      <c r="F316" s="78">
        <v>2034</v>
      </c>
      <c r="G316" s="28">
        <v>2034</v>
      </c>
      <c r="H316" s="28">
        <v>5</v>
      </c>
      <c r="I316" s="31">
        <v>34</v>
      </c>
      <c r="J316" s="28">
        <v>0</v>
      </c>
      <c r="K316" s="28">
        <v>0</v>
      </c>
      <c r="L316" s="28">
        <v>0</v>
      </c>
      <c r="M316" s="75">
        <v>4.5</v>
      </c>
      <c r="N316" s="151">
        <v>10027.5</v>
      </c>
      <c r="O316" s="151">
        <v>6530</v>
      </c>
      <c r="P316" s="95">
        <f t="array" ref="P316">ROUND(IF($F316&lt;='TaxCred&amp;Subs'!$C$49,(IF($C316=2,IF($M316&gt;=IFERROR(INDEX('TaxCred&amp;Subs'!$L$12:$L$47,MATCH(1,($C316&amp;$D316='TaxCred&amp;Subs'!$E$12:$E$47)*($F316='TaxCred&amp;Subs'!$C$12:$C$47),0)
),9999),IFERROR(INDEX('TaxCred&amp;Subs'!$N$12:$N$47,MATCH(1,($C316&amp;$D316='TaxCred&amp;Subs'!$E$12:$E$47)*($F316='TaxCred&amp;Subs'!$C$12:$C$47),0)
),0),0),(IF($M316&gt;=IFERROR(INDEX('TaxCred&amp;Subs'!$H$12:$H$47,MATCH(1,($C316&amp;$D316='TaxCred&amp;Subs'!$D$12:$D$47)*($F316='TaxCred&amp;Subs'!$C$12:$C$47),0)
),9999),IFERROR(INDEX('TaxCred&amp;Subs'!$N$12:$N$47,MATCH(1,($C316&amp;$D316='TaxCred&amp;Subs'!$D$12:$D$47)*($F316='TaxCred&amp;Subs'!$C$12:$C$47),0)
),0),0)))),0)+IF(AND($C316=2,VALUE(RIGHT($AD316,1))&gt;2),(N316-R316)*(IFERROR(INDEX('TaxCred&amp;Subs'!$J$66:$J$99,MATCH(1,($C316&amp;$D316='TaxCred&amp;Subs'!$E$66:$E$99)*($F316='TaxCred&amp;Subs'!$C$66:$C$99),0)),0)),IF(AND($C316=1,VALUE(RIGHT($AD316,1))&gt;2),(N316-R316)*(IFERROR(INDEX('TaxCred&amp;Subs'!$J$66:$J$99,MATCH(1,($C316&amp;$D316='TaxCred&amp;Subs'!$D$66:$D$99)*($F316='TaxCred&amp;Subs'!$C$66:$C$99),0)),0)),IF($C316&gt;2,(N316-R316)*(IFERROR(INDEX('TaxCred&amp;Subs'!$J$66:$J$99,MATCH(1,($C316&amp;$D316='TaxCred&amp;Subs'!$D$66:$D$99)*($F316='TaxCred&amp;Subs'!$C$66:$C$99),0)),0)),0))),0)</f>
        <v>2052</v>
      </c>
      <c r="Q316" s="95">
        <f t="array" ref="Q316">ROUND(IF(AND($C316=2,VALUE(RIGHT($AD316,1))&gt;2),(O316-S316)*(IFERROR(INDEX('TaxCred&amp;Subs'!$J$66:$J$99,MATCH(1,($C316&amp;$D316='TaxCred&amp;Subs'!$E$66:$E$99)*($F316='TaxCred&amp;Subs'!$C$66:$C$99),0)),0)),IF(AND($C316=1,VALUE(RIGHT($AD316,1))&gt;2),(O316-S316)*(IFERROR(INDEX('TaxCred&amp;Subs'!$J$66:$J$99,MATCH(1,($C316&amp;$D316='TaxCred&amp;Subs'!$D$66:$D$99)*($F316='TaxCred&amp;Subs'!$C$66:$C$99),0)),0)),IF($C316&gt;2,(O316-S316)*(IFERROR(INDEX('TaxCred&amp;Subs'!$J$66:$J$99,MATCH(1,($C316&amp;$D316='TaxCred&amp;Subs'!$D$66:$D$99)*($F316='TaxCred&amp;Subs'!$C$66:$C$99),0)),0)),0))),0)</f>
        <v>1337</v>
      </c>
      <c r="R316" s="95">
        <f t="array" ref="R316">ROUND(IF(IFERROR(VALUE(RIGHT($AD316,1)),0)&gt;2,IF($C316=8,N316*IFERROR(INDEX('TaxCred&amp;Subs'!$K$139:$S$151,MATCH($C316&amp;$D316&amp;LEFT($AD316,7),'TaxCred&amp;Subs'!$E$139:$E$151,0),MATCH($H316,'TaxCred&amp;Subs'!$K$137:$S$137,0)),0),IF($C316=2,N316*IFERROR(INDEX('TaxCred&amp;Subs'!$K$139:$S$151,MATCH($C316&amp;$D316,'TaxCred&amp;Subs'!$D$139:$D$151,0),MATCH($H316,'TaxCred&amp;Subs'!$K$137:$S$137,0)),0),N316*IFERROR(INDEX('TaxCred&amp;Subs'!$K$139:$S$151,MATCH($C316&amp;$D316,'TaxCred&amp;Subs'!$C$139:$C$151,0),MATCH($H316,'TaxCred&amp;Subs'!$K$137:$S$137,0)),0))),0),0)</f>
        <v>699</v>
      </c>
      <c r="S316" s="95">
        <f t="array" ref="S316">ROUND(IF(IFERROR(VALUE(RIGHT($AD316,1)),0)&gt;2,IF($C316=8,O316*IFERROR(INDEX('TaxCred&amp;Subs'!$K$139:$S$151,MATCH($C316&amp;$D316&amp;LEFT($AD316,7),'TaxCred&amp;Subs'!$E$139:$E$151,0),MATCH($H316,'TaxCred&amp;Subs'!$K$137:$S$137,0)),0),IF($C316=2,O316*IFERROR(INDEX('TaxCred&amp;Subs'!$K$139:$S$151,MATCH($C316&amp;$D316,'TaxCred&amp;Subs'!$D$139:$D$151,0),MATCH($H316,'TaxCred&amp;Subs'!$K$137:$S$137,0)),0),O316*IFERROR(INDEX('TaxCred&amp;Subs'!$K$139:$S$151,MATCH($C316&amp;$D316,'TaxCred&amp;Subs'!$C$139:$C$151,0),MATCH($H316,'TaxCred&amp;Subs'!$K$137:$S$137,0)),0))),0),0)</f>
        <v>455</v>
      </c>
      <c r="T316" s="95">
        <f t="shared" si="18"/>
        <v>0</v>
      </c>
      <c r="U316" s="95">
        <f t="shared" si="19"/>
        <v>0</v>
      </c>
      <c r="V316" s="28" t="s">
        <v>222</v>
      </c>
      <c r="W316" s="31">
        <v>2020</v>
      </c>
      <c r="X316" s="28">
        <v>1</v>
      </c>
      <c r="Y316" s="28">
        <v>0</v>
      </c>
      <c r="Z316" s="196">
        <v>-2.1513024844954491E-4</v>
      </c>
      <c r="AA316" s="196">
        <v>-3.3096961299929986E-3</v>
      </c>
      <c r="AB316" s="28">
        <v>0</v>
      </c>
      <c r="AC316" s="28">
        <v>0</v>
      </c>
      <c r="AD316" s="28" t="s">
        <v>337</v>
      </c>
    </row>
    <row r="317" spans="2:30" ht="14.25" customHeight="1" x14ac:dyDescent="0.2">
      <c r="B317" s="7">
        <f t="shared" si="20"/>
        <v>293</v>
      </c>
      <c r="C317" s="28">
        <v>1</v>
      </c>
      <c r="D317" s="28">
        <v>10</v>
      </c>
      <c r="E317" s="31">
        <v>34</v>
      </c>
      <c r="F317" s="78">
        <v>2034</v>
      </c>
      <c r="G317" s="28">
        <v>2034</v>
      </c>
      <c r="H317" s="28">
        <v>6</v>
      </c>
      <c r="I317" s="31">
        <v>34</v>
      </c>
      <c r="J317" s="28">
        <v>0</v>
      </c>
      <c r="K317" s="28">
        <v>0</v>
      </c>
      <c r="L317" s="28">
        <v>0</v>
      </c>
      <c r="M317" s="75">
        <v>4.5</v>
      </c>
      <c r="N317" s="151">
        <v>10027.5</v>
      </c>
      <c r="O317" s="151">
        <v>6530</v>
      </c>
      <c r="P317" s="95">
        <f t="array" ref="P317">ROUND(IF($F317&lt;='TaxCred&amp;Subs'!$C$49,(IF($C317=2,IF($M317&gt;=IFERROR(INDEX('TaxCred&amp;Subs'!$L$12:$L$47,MATCH(1,($C317&amp;$D317='TaxCred&amp;Subs'!$E$12:$E$47)*($F317='TaxCred&amp;Subs'!$C$12:$C$47),0)
),9999),IFERROR(INDEX('TaxCred&amp;Subs'!$N$12:$N$47,MATCH(1,($C317&amp;$D317='TaxCred&amp;Subs'!$E$12:$E$47)*($F317='TaxCred&amp;Subs'!$C$12:$C$47),0)
),0),0),(IF($M317&gt;=IFERROR(INDEX('TaxCred&amp;Subs'!$H$12:$H$47,MATCH(1,($C317&amp;$D317='TaxCred&amp;Subs'!$D$12:$D$47)*($F317='TaxCred&amp;Subs'!$C$12:$C$47),0)
),9999),IFERROR(INDEX('TaxCred&amp;Subs'!$N$12:$N$47,MATCH(1,($C317&amp;$D317='TaxCred&amp;Subs'!$D$12:$D$47)*($F317='TaxCred&amp;Subs'!$C$12:$C$47),0)
),0),0)))),0)+IF(AND($C317=2,VALUE(RIGHT($AD317,1))&gt;2),(N317-R317)*(IFERROR(INDEX('TaxCred&amp;Subs'!$J$66:$J$99,MATCH(1,($C317&amp;$D317='TaxCred&amp;Subs'!$E$66:$E$99)*($F317='TaxCred&amp;Subs'!$C$66:$C$99),0)),0)),IF(AND($C317=1,VALUE(RIGHT($AD317,1))&gt;2),(N317-R317)*(IFERROR(INDEX('TaxCred&amp;Subs'!$J$66:$J$99,MATCH(1,($C317&amp;$D317='TaxCred&amp;Subs'!$D$66:$D$99)*($F317='TaxCred&amp;Subs'!$C$66:$C$99),0)),0)),IF($C317&gt;2,(N317-R317)*(IFERROR(INDEX('TaxCred&amp;Subs'!$J$66:$J$99,MATCH(1,($C317&amp;$D317='TaxCred&amp;Subs'!$D$66:$D$99)*($F317='TaxCred&amp;Subs'!$C$66:$C$99),0)),0)),0))),0)</f>
        <v>2012</v>
      </c>
      <c r="Q317" s="95">
        <f t="array" ref="Q317">ROUND(IF(AND($C317=2,VALUE(RIGHT($AD317,1))&gt;2),(O317-S317)*(IFERROR(INDEX('TaxCred&amp;Subs'!$J$66:$J$99,MATCH(1,($C317&amp;$D317='TaxCred&amp;Subs'!$E$66:$E$99)*($F317='TaxCred&amp;Subs'!$C$66:$C$99),0)),0)),IF(AND($C317=1,VALUE(RIGHT($AD317,1))&gt;2),(O317-S317)*(IFERROR(INDEX('TaxCred&amp;Subs'!$J$66:$J$99,MATCH(1,($C317&amp;$D317='TaxCred&amp;Subs'!$D$66:$D$99)*($F317='TaxCred&amp;Subs'!$C$66:$C$99),0)),0)),IF($C317&gt;2,(O317-S317)*(IFERROR(INDEX('TaxCred&amp;Subs'!$J$66:$J$99,MATCH(1,($C317&amp;$D317='TaxCred&amp;Subs'!$D$66:$D$99)*($F317='TaxCred&amp;Subs'!$C$66:$C$99),0)),0)),0))),0)</f>
        <v>1310</v>
      </c>
      <c r="R317" s="95">
        <f t="array" ref="R317">ROUND(IF(IFERROR(VALUE(RIGHT($AD317,1)),0)&gt;2,IF($C317=8,N317*IFERROR(INDEX('TaxCred&amp;Subs'!$K$139:$S$151,MATCH($C317&amp;$D317&amp;LEFT($AD317,7),'TaxCred&amp;Subs'!$E$139:$E$151,0),MATCH($H317,'TaxCred&amp;Subs'!$K$137:$S$137,0)),0),IF($C317=2,N317*IFERROR(INDEX('TaxCred&amp;Subs'!$K$139:$S$151,MATCH($C317&amp;$D317,'TaxCred&amp;Subs'!$D$139:$D$151,0),MATCH($H317,'TaxCred&amp;Subs'!$K$137:$S$137,0)),0),N317*IFERROR(INDEX('TaxCred&amp;Subs'!$K$139:$S$151,MATCH($C317&amp;$D317,'TaxCred&amp;Subs'!$C$139:$C$151,0),MATCH($H317,'TaxCred&amp;Subs'!$K$137:$S$137,0)),0))),0),0)</f>
        <v>884</v>
      </c>
      <c r="S317" s="95">
        <f t="array" ref="S317">ROUND(IF(IFERROR(VALUE(RIGHT($AD317,1)),0)&gt;2,IF($C317=8,O317*IFERROR(INDEX('TaxCred&amp;Subs'!$K$139:$S$151,MATCH($C317&amp;$D317&amp;LEFT($AD317,7),'TaxCred&amp;Subs'!$E$139:$E$151,0),MATCH($H317,'TaxCred&amp;Subs'!$K$137:$S$137,0)),0),IF($C317=2,O317*IFERROR(INDEX('TaxCred&amp;Subs'!$K$139:$S$151,MATCH($C317&amp;$D317,'TaxCred&amp;Subs'!$D$139:$D$151,0),MATCH($H317,'TaxCred&amp;Subs'!$K$137:$S$137,0)),0),O317*IFERROR(INDEX('TaxCred&amp;Subs'!$K$139:$S$151,MATCH($C317&amp;$D317,'TaxCred&amp;Subs'!$C$139:$C$151,0),MATCH($H317,'TaxCred&amp;Subs'!$K$137:$S$137,0)),0))),0),0)</f>
        <v>576</v>
      </c>
      <c r="T317" s="95">
        <f t="shared" si="18"/>
        <v>0</v>
      </c>
      <c r="U317" s="95">
        <f t="shared" si="19"/>
        <v>0</v>
      </c>
      <c r="V317" s="28" t="s">
        <v>222</v>
      </c>
      <c r="W317" s="31">
        <v>2020</v>
      </c>
      <c r="X317" s="28">
        <v>1</v>
      </c>
      <c r="Y317" s="28">
        <v>0</v>
      </c>
      <c r="Z317" s="196">
        <v>-2.1513024844954491E-4</v>
      </c>
      <c r="AA317" s="196">
        <v>-3.3096961299929986E-3</v>
      </c>
      <c r="AB317" s="28">
        <v>0</v>
      </c>
      <c r="AC317" s="28">
        <v>0</v>
      </c>
      <c r="AD317" s="28" t="s">
        <v>337</v>
      </c>
    </row>
    <row r="318" spans="2:30" ht="14.25" customHeight="1" x14ac:dyDescent="0.2">
      <c r="B318" s="7">
        <f t="shared" si="20"/>
        <v>294</v>
      </c>
      <c r="C318" s="28">
        <v>1</v>
      </c>
      <c r="D318" s="28">
        <v>10</v>
      </c>
      <c r="E318" s="31">
        <v>34</v>
      </c>
      <c r="F318" s="78">
        <v>2034</v>
      </c>
      <c r="G318" s="28">
        <v>2034</v>
      </c>
      <c r="H318" s="28">
        <v>7</v>
      </c>
      <c r="I318" s="31">
        <v>34</v>
      </c>
      <c r="J318" s="28">
        <v>0</v>
      </c>
      <c r="K318" s="28">
        <v>0</v>
      </c>
      <c r="L318" s="28">
        <v>0</v>
      </c>
      <c r="M318" s="75">
        <v>4.5</v>
      </c>
      <c r="N318" s="151">
        <v>10027.5</v>
      </c>
      <c r="O318" s="151">
        <v>6530</v>
      </c>
      <c r="P318" s="95">
        <f t="array" ref="P318">ROUND(IF($F318&lt;='TaxCred&amp;Subs'!$C$49,(IF($C318=2,IF($M318&gt;=IFERROR(INDEX('TaxCred&amp;Subs'!$L$12:$L$47,MATCH(1,($C318&amp;$D318='TaxCred&amp;Subs'!$E$12:$E$47)*($F318='TaxCred&amp;Subs'!$C$12:$C$47),0)
),9999),IFERROR(INDEX('TaxCred&amp;Subs'!$N$12:$N$47,MATCH(1,($C318&amp;$D318='TaxCred&amp;Subs'!$E$12:$E$47)*($F318='TaxCred&amp;Subs'!$C$12:$C$47),0)
),0),0),(IF($M318&gt;=IFERROR(INDEX('TaxCred&amp;Subs'!$H$12:$H$47,MATCH(1,($C318&amp;$D318='TaxCred&amp;Subs'!$D$12:$D$47)*($F318='TaxCred&amp;Subs'!$C$12:$C$47),0)
),9999),IFERROR(INDEX('TaxCred&amp;Subs'!$N$12:$N$47,MATCH(1,($C318&amp;$D318='TaxCred&amp;Subs'!$D$12:$D$47)*($F318='TaxCred&amp;Subs'!$C$12:$C$47),0)
),0),0)))),0)+IF(AND($C318=2,VALUE(RIGHT($AD318,1))&gt;2),(N318-R318)*(IFERROR(INDEX('TaxCred&amp;Subs'!$J$66:$J$99,MATCH(1,($C318&amp;$D318='TaxCred&amp;Subs'!$E$66:$E$99)*($F318='TaxCred&amp;Subs'!$C$66:$C$99),0)),0)),IF(AND($C318=1,VALUE(RIGHT($AD318,1))&gt;2),(N318-R318)*(IFERROR(INDEX('TaxCred&amp;Subs'!$J$66:$J$99,MATCH(1,($C318&amp;$D318='TaxCred&amp;Subs'!$D$66:$D$99)*($F318='TaxCred&amp;Subs'!$C$66:$C$99),0)),0)),IF($C318&gt;2,(N318-R318)*(IFERROR(INDEX('TaxCred&amp;Subs'!$J$66:$J$99,MATCH(1,($C318&amp;$D318='TaxCred&amp;Subs'!$D$66:$D$99)*($F318='TaxCred&amp;Subs'!$C$66:$C$99),0)),0)),0))),0)</f>
        <v>2125</v>
      </c>
      <c r="Q318" s="95">
        <f t="array" ref="Q318">ROUND(IF(AND($C318=2,VALUE(RIGHT($AD318,1))&gt;2),(O318-S318)*(IFERROR(INDEX('TaxCred&amp;Subs'!$J$66:$J$99,MATCH(1,($C318&amp;$D318='TaxCred&amp;Subs'!$E$66:$E$99)*($F318='TaxCred&amp;Subs'!$C$66:$C$99),0)),0)),IF(AND($C318=1,VALUE(RIGHT($AD318,1))&gt;2),(O318-S318)*(IFERROR(INDEX('TaxCred&amp;Subs'!$J$66:$J$99,MATCH(1,($C318&amp;$D318='TaxCred&amp;Subs'!$D$66:$D$99)*($F318='TaxCred&amp;Subs'!$C$66:$C$99),0)),0)),IF($C318&gt;2,(O318-S318)*(IFERROR(INDEX('TaxCred&amp;Subs'!$J$66:$J$99,MATCH(1,($C318&amp;$D318='TaxCred&amp;Subs'!$D$66:$D$99)*($F318='TaxCred&amp;Subs'!$C$66:$C$99),0)),0)),0))),0)</f>
        <v>1384</v>
      </c>
      <c r="R318" s="95">
        <f t="array" ref="R318">ROUND(IF(IFERROR(VALUE(RIGHT($AD318,1)),0)&gt;2,IF($C318=8,N318*IFERROR(INDEX('TaxCred&amp;Subs'!$K$139:$S$151,MATCH($C318&amp;$D318&amp;LEFT($AD318,7),'TaxCred&amp;Subs'!$E$139:$E$151,0),MATCH($H318,'TaxCred&amp;Subs'!$K$137:$S$137,0)),0),IF($C318=2,N318*IFERROR(INDEX('TaxCred&amp;Subs'!$K$139:$S$151,MATCH($C318&amp;$D318,'TaxCred&amp;Subs'!$D$139:$D$151,0),MATCH($H318,'TaxCred&amp;Subs'!$K$137:$S$137,0)),0),N318*IFERROR(INDEX('TaxCred&amp;Subs'!$K$139:$S$151,MATCH($C318&amp;$D318,'TaxCred&amp;Subs'!$C$139:$C$151,0),MATCH($H318,'TaxCred&amp;Subs'!$K$137:$S$137,0)),0))),0),0)</f>
        <v>370</v>
      </c>
      <c r="S318" s="95">
        <f t="array" ref="S318">ROUND(IF(IFERROR(VALUE(RIGHT($AD318,1)),0)&gt;2,IF($C318=8,O318*IFERROR(INDEX('TaxCred&amp;Subs'!$K$139:$S$151,MATCH($C318&amp;$D318&amp;LEFT($AD318,7),'TaxCred&amp;Subs'!$E$139:$E$151,0),MATCH($H318,'TaxCred&amp;Subs'!$K$137:$S$137,0)),0),IF($C318=2,O318*IFERROR(INDEX('TaxCred&amp;Subs'!$K$139:$S$151,MATCH($C318&amp;$D318,'TaxCred&amp;Subs'!$D$139:$D$151,0),MATCH($H318,'TaxCred&amp;Subs'!$K$137:$S$137,0)),0),O318*IFERROR(INDEX('TaxCred&amp;Subs'!$K$139:$S$151,MATCH($C318&amp;$D318,'TaxCred&amp;Subs'!$C$139:$C$151,0),MATCH($H318,'TaxCred&amp;Subs'!$K$137:$S$137,0)),0))),0),0)</f>
        <v>241</v>
      </c>
      <c r="T318" s="95">
        <f t="shared" si="18"/>
        <v>0</v>
      </c>
      <c r="U318" s="95">
        <f t="shared" si="19"/>
        <v>0</v>
      </c>
      <c r="V318" s="28" t="s">
        <v>222</v>
      </c>
      <c r="W318" s="31">
        <v>2020</v>
      </c>
      <c r="X318" s="28">
        <v>1</v>
      </c>
      <c r="Y318" s="28">
        <v>0</v>
      </c>
      <c r="Z318" s="196">
        <v>-2.1513024844954491E-4</v>
      </c>
      <c r="AA318" s="196">
        <v>-3.3096961299929986E-3</v>
      </c>
      <c r="AB318" s="28">
        <v>0</v>
      </c>
      <c r="AC318" s="28">
        <v>0</v>
      </c>
      <c r="AD318" s="28" t="s">
        <v>337</v>
      </c>
    </row>
    <row r="319" spans="2:30" ht="14.25" customHeight="1" x14ac:dyDescent="0.2">
      <c r="B319" s="7">
        <f t="shared" si="20"/>
        <v>295</v>
      </c>
      <c r="C319" s="28">
        <v>1</v>
      </c>
      <c r="D319" s="28">
        <v>10</v>
      </c>
      <c r="E319" s="31">
        <v>34</v>
      </c>
      <c r="F319" s="78">
        <v>2034</v>
      </c>
      <c r="G319" s="28">
        <v>2034</v>
      </c>
      <c r="H319" s="28">
        <v>8</v>
      </c>
      <c r="I319" s="31">
        <v>34</v>
      </c>
      <c r="J319" s="28">
        <v>0</v>
      </c>
      <c r="K319" s="28">
        <v>0</v>
      </c>
      <c r="L319" s="28">
        <v>0</v>
      </c>
      <c r="M319" s="75">
        <v>4.5</v>
      </c>
      <c r="N319" s="151">
        <v>10027.5</v>
      </c>
      <c r="O319" s="151">
        <v>6530</v>
      </c>
      <c r="P319" s="95">
        <f t="array" ref="P319">ROUND(IF($F319&lt;='TaxCred&amp;Subs'!$C$49,(IF($C319=2,IF($M319&gt;=IFERROR(INDEX('TaxCred&amp;Subs'!$L$12:$L$47,MATCH(1,($C319&amp;$D319='TaxCred&amp;Subs'!$E$12:$E$47)*($F319='TaxCred&amp;Subs'!$C$12:$C$47),0)
),9999),IFERROR(INDEX('TaxCred&amp;Subs'!$N$12:$N$47,MATCH(1,($C319&amp;$D319='TaxCred&amp;Subs'!$E$12:$E$47)*($F319='TaxCred&amp;Subs'!$C$12:$C$47),0)
),0),0),(IF($M319&gt;=IFERROR(INDEX('TaxCred&amp;Subs'!$H$12:$H$47,MATCH(1,($C319&amp;$D319='TaxCred&amp;Subs'!$D$12:$D$47)*($F319='TaxCred&amp;Subs'!$C$12:$C$47),0)
),9999),IFERROR(INDEX('TaxCred&amp;Subs'!$N$12:$N$47,MATCH(1,($C319&amp;$D319='TaxCred&amp;Subs'!$D$12:$D$47)*($F319='TaxCred&amp;Subs'!$C$12:$C$47),0)
),0),0)))),0)+IF(AND($C319=2,VALUE(RIGHT($AD319,1))&gt;2),(N319-R319)*(IFERROR(INDEX('TaxCred&amp;Subs'!$J$66:$J$99,MATCH(1,($C319&amp;$D319='TaxCred&amp;Subs'!$E$66:$E$99)*($F319='TaxCred&amp;Subs'!$C$66:$C$99),0)),0)),IF(AND($C319=1,VALUE(RIGHT($AD319,1))&gt;2),(N319-R319)*(IFERROR(INDEX('TaxCred&amp;Subs'!$J$66:$J$99,MATCH(1,($C319&amp;$D319='TaxCred&amp;Subs'!$D$66:$D$99)*($F319='TaxCred&amp;Subs'!$C$66:$C$99),0)),0)),IF($C319&gt;2,(N319-R319)*(IFERROR(INDEX('TaxCred&amp;Subs'!$J$66:$J$99,MATCH(1,($C319&amp;$D319='TaxCred&amp;Subs'!$D$66:$D$99)*($F319='TaxCred&amp;Subs'!$C$66:$C$99),0)),0)),0))),0)</f>
        <v>2095</v>
      </c>
      <c r="Q319" s="95">
        <f t="array" ref="Q319">ROUND(IF(AND($C319=2,VALUE(RIGHT($AD319,1))&gt;2),(O319-S319)*(IFERROR(INDEX('TaxCred&amp;Subs'!$J$66:$J$99,MATCH(1,($C319&amp;$D319='TaxCred&amp;Subs'!$E$66:$E$99)*($F319='TaxCred&amp;Subs'!$C$66:$C$99),0)),0)),IF(AND($C319=1,VALUE(RIGHT($AD319,1))&gt;2),(O319-S319)*(IFERROR(INDEX('TaxCred&amp;Subs'!$J$66:$J$99,MATCH(1,($C319&amp;$D319='TaxCred&amp;Subs'!$D$66:$D$99)*($F319='TaxCred&amp;Subs'!$C$66:$C$99),0)),0)),IF($C319&gt;2,(O319-S319)*(IFERROR(INDEX('TaxCred&amp;Subs'!$J$66:$J$99,MATCH(1,($C319&amp;$D319='TaxCred&amp;Subs'!$D$66:$D$99)*($F319='TaxCred&amp;Subs'!$C$66:$C$99),0)),0)),0))),0)</f>
        <v>1364</v>
      </c>
      <c r="R319" s="95">
        <f t="array" ref="R319">ROUND(IF(IFERROR(VALUE(RIGHT($AD319,1)),0)&gt;2,IF($C319=8,N319*IFERROR(INDEX('TaxCred&amp;Subs'!$K$139:$S$151,MATCH($C319&amp;$D319&amp;LEFT($AD319,7),'TaxCred&amp;Subs'!$E$139:$E$151,0),MATCH($H319,'TaxCred&amp;Subs'!$K$137:$S$137,0)),0),IF($C319=2,N319*IFERROR(INDEX('TaxCred&amp;Subs'!$K$139:$S$151,MATCH($C319&amp;$D319,'TaxCred&amp;Subs'!$D$139:$D$151,0),MATCH($H319,'TaxCred&amp;Subs'!$K$137:$S$137,0)),0),N319*IFERROR(INDEX('TaxCred&amp;Subs'!$K$139:$S$151,MATCH($C319&amp;$D319,'TaxCred&amp;Subs'!$C$139:$C$151,0),MATCH($H319,'TaxCred&amp;Subs'!$K$137:$S$137,0)),0))),0),0)</f>
        <v>504</v>
      </c>
      <c r="S319" s="95">
        <f t="array" ref="S319">ROUND(IF(IFERROR(VALUE(RIGHT($AD319,1)),0)&gt;2,IF($C319=8,O319*IFERROR(INDEX('TaxCred&amp;Subs'!$K$139:$S$151,MATCH($C319&amp;$D319&amp;LEFT($AD319,7),'TaxCred&amp;Subs'!$E$139:$E$151,0),MATCH($H319,'TaxCred&amp;Subs'!$K$137:$S$137,0)),0),IF($C319=2,O319*IFERROR(INDEX('TaxCred&amp;Subs'!$K$139:$S$151,MATCH($C319&amp;$D319,'TaxCred&amp;Subs'!$D$139:$D$151,0),MATCH($H319,'TaxCred&amp;Subs'!$K$137:$S$137,0)),0),O319*IFERROR(INDEX('TaxCred&amp;Subs'!$K$139:$S$151,MATCH($C319&amp;$D319,'TaxCred&amp;Subs'!$C$139:$C$151,0),MATCH($H319,'TaxCred&amp;Subs'!$K$137:$S$137,0)),0))),0),0)</f>
        <v>328</v>
      </c>
      <c r="T319" s="95">
        <f t="shared" si="18"/>
        <v>0</v>
      </c>
      <c r="U319" s="95">
        <f t="shared" si="19"/>
        <v>0</v>
      </c>
      <c r="V319" s="28" t="s">
        <v>222</v>
      </c>
      <c r="W319" s="31">
        <v>2020</v>
      </c>
      <c r="X319" s="28">
        <v>1</v>
      </c>
      <c r="Y319" s="28">
        <v>0</v>
      </c>
      <c r="Z319" s="196">
        <v>-2.1513024844954491E-4</v>
      </c>
      <c r="AA319" s="196">
        <v>-3.3096961299929986E-3</v>
      </c>
      <c r="AB319" s="28">
        <v>0</v>
      </c>
      <c r="AC319" s="28">
        <v>0</v>
      </c>
      <c r="AD319" s="28" t="s">
        <v>337</v>
      </c>
    </row>
    <row r="320" spans="2:30" ht="14.25" customHeight="1" x14ac:dyDescent="0.2">
      <c r="B320" s="7">
        <f t="shared" si="20"/>
        <v>296</v>
      </c>
      <c r="C320" s="28">
        <v>1</v>
      </c>
      <c r="D320" s="28">
        <v>10</v>
      </c>
      <c r="E320" s="31">
        <v>34</v>
      </c>
      <c r="F320" s="78">
        <v>2034</v>
      </c>
      <c r="G320" s="28">
        <v>2034</v>
      </c>
      <c r="H320" s="28">
        <v>9</v>
      </c>
      <c r="I320" s="31">
        <v>34</v>
      </c>
      <c r="J320" s="28">
        <v>0</v>
      </c>
      <c r="K320" s="28">
        <v>0</v>
      </c>
      <c r="L320" s="28">
        <v>0</v>
      </c>
      <c r="M320" s="75">
        <v>4.5</v>
      </c>
      <c r="N320" s="151">
        <v>10027.5</v>
      </c>
      <c r="O320" s="151">
        <v>6530</v>
      </c>
      <c r="P320" s="95">
        <f t="array" ref="P320">ROUND(IF($F320&lt;='TaxCred&amp;Subs'!$C$49,(IF($C320=2,IF($M320&gt;=IFERROR(INDEX('TaxCred&amp;Subs'!$L$12:$L$47,MATCH(1,($C320&amp;$D320='TaxCred&amp;Subs'!$E$12:$E$47)*($F320='TaxCred&amp;Subs'!$C$12:$C$47),0)
),9999),IFERROR(INDEX('TaxCred&amp;Subs'!$N$12:$N$47,MATCH(1,($C320&amp;$D320='TaxCred&amp;Subs'!$E$12:$E$47)*($F320='TaxCred&amp;Subs'!$C$12:$C$47),0)
),0),0),(IF($M320&gt;=IFERROR(INDEX('TaxCred&amp;Subs'!$H$12:$H$47,MATCH(1,($C320&amp;$D320='TaxCred&amp;Subs'!$D$12:$D$47)*($F320='TaxCred&amp;Subs'!$C$12:$C$47),0)
),9999),IFERROR(INDEX('TaxCred&amp;Subs'!$N$12:$N$47,MATCH(1,($C320&amp;$D320='TaxCred&amp;Subs'!$D$12:$D$47)*($F320='TaxCred&amp;Subs'!$C$12:$C$47),0)
),0),0)))),0)+IF(AND($C320=2,VALUE(RIGHT($AD320,1))&gt;2),(N320-R320)*(IFERROR(INDEX('TaxCred&amp;Subs'!$J$66:$J$99,MATCH(1,($C320&amp;$D320='TaxCred&amp;Subs'!$E$66:$E$99)*($F320='TaxCred&amp;Subs'!$C$66:$C$99),0)),0)),IF(AND($C320=1,VALUE(RIGHT($AD320,1))&gt;2),(N320-R320)*(IFERROR(INDEX('TaxCred&amp;Subs'!$J$66:$J$99,MATCH(1,($C320&amp;$D320='TaxCred&amp;Subs'!$D$66:$D$99)*($F320='TaxCred&amp;Subs'!$C$66:$C$99),0)),0)),IF($C320&gt;2,(N320-R320)*(IFERROR(INDEX('TaxCred&amp;Subs'!$J$66:$J$99,MATCH(1,($C320&amp;$D320='TaxCred&amp;Subs'!$D$66:$D$99)*($F320='TaxCred&amp;Subs'!$C$66:$C$99),0)),0)),0))),0)</f>
        <v>2152</v>
      </c>
      <c r="Q320" s="95">
        <f t="array" ref="Q320">ROUND(IF(AND($C320=2,VALUE(RIGHT($AD320,1))&gt;2),(O320-S320)*(IFERROR(INDEX('TaxCred&amp;Subs'!$J$66:$J$99,MATCH(1,($C320&amp;$D320='TaxCred&amp;Subs'!$E$66:$E$99)*($F320='TaxCred&amp;Subs'!$C$66:$C$99),0)),0)),IF(AND($C320=1,VALUE(RIGHT($AD320,1))&gt;2),(O320-S320)*(IFERROR(INDEX('TaxCred&amp;Subs'!$J$66:$J$99,MATCH(1,($C320&amp;$D320='TaxCred&amp;Subs'!$D$66:$D$99)*($F320='TaxCred&amp;Subs'!$C$66:$C$99),0)),0)),IF($C320&gt;2,(O320-S320)*(IFERROR(INDEX('TaxCred&amp;Subs'!$J$66:$J$99,MATCH(1,($C320&amp;$D320='TaxCred&amp;Subs'!$D$66:$D$99)*($F320='TaxCred&amp;Subs'!$C$66:$C$99),0)),0)),0))),0)</f>
        <v>1401</v>
      </c>
      <c r="R320" s="95">
        <f t="array" ref="R320">ROUND(IF(IFERROR(VALUE(RIGHT($AD320,1)),0)&gt;2,IF($C320=8,N320*IFERROR(INDEX('TaxCred&amp;Subs'!$K$139:$S$151,MATCH($C320&amp;$D320&amp;LEFT($AD320,7),'TaxCred&amp;Subs'!$E$139:$E$151,0),MATCH($H320,'TaxCred&amp;Subs'!$K$137:$S$137,0)),0),IF($C320=2,N320*IFERROR(INDEX('TaxCred&amp;Subs'!$K$139:$S$151,MATCH($C320&amp;$D320,'TaxCred&amp;Subs'!$D$139:$D$151,0),MATCH($H320,'TaxCred&amp;Subs'!$K$137:$S$137,0)),0),N320*IFERROR(INDEX('TaxCred&amp;Subs'!$K$139:$S$151,MATCH($C320&amp;$D320,'TaxCred&amp;Subs'!$C$139:$C$151,0),MATCH($H320,'TaxCred&amp;Subs'!$K$137:$S$137,0)),0))),0),0)</f>
        <v>246</v>
      </c>
      <c r="S320" s="95">
        <f t="array" ref="S320">ROUND(IF(IFERROR(VALUE(RIGHT($AD320,1)),0)&gt;2,IF($C320=8,O320*IFERROR(INDEX('TaxCred&amp;Subs'!$K$139:$S$151,MATCH($C320&amp;$D320&amp;LEFT($AD320,7),'TaxCred&amp;Subs'!$E$139:$E$151,0),MATCH($H320,'TaxCred&amp;Subs'!$K$137:$S$137,0)),0),IF($C320=2,O320*IFERROR(INDEX('TaxCred&amp;Subs'!$K$139:$S$151,MATCH($C320&amp;$D320,'TaxCred&amp;Subs'!$D$139:$D$151,0),MATCH($H320,'TaxCred&amp;Subs'!$K$137:$S$137,0)),0),O320*IFERROR(INDEX('TaxCred&amp;Subs'!$K$139:$S$151,MATCH($C320&amp;$D320,'TaxCred&amp;Subs'!$C$139:$C$151,0),MATCH($H320,'TaxCred&amp;Subs'!$K$137:$S$137,0)),0))),0),0)</f>
        <v>160</v>
      </c>
      <c r="T320" s="172">
        <f t="shared" si="18"/>
        <v>1181.325</v>
      </c>
      <c r="U320" s="172">
        <f t="shared" si="19"/>
        <v>769.35</v>
      </c>
      <c r="V320" s="28" t="s">
        <v>222</v>
      </c>
      <c r="W320" s="31">
        <v>2020</v>
      </c>
      <c r="X320" s="28">
        <v>1</v>
      </c>
      <c r="Y320" s="28">
        <v>0</v>
      </c>
      <c r="Z320" s="196">
        <v>-2.1513024844954491E-4</v>
      </c>
      <c r="AA320" s="196">
        <v>-3.3096961299929986E-3</v>
      </c>
      <c r="AB320" s="28">
        <v>0</v>
      </c>
      <c r="AC320" s="28">
        <v>0</v>
      </c>
      <c r="AD320" s="28" t="s">
        <v>337</v>
      </c>
    </row>
    <row r="321" spans="2:31" ht="14.25" customHeight="1" x14ac:dyDescent="0.2">
      <c r="B321" s="7">
        <f t="shared" si="20"/>
        <v>297</v>
      </c>
      <c r="C321" s="28">
        <v>1</v>
      </c>
      <c r="D321" s="28">
        <v>10</v>
      </c>
      <c r="E321" s="31">
        <v>34</v>
      </c>
      <c r="F321" s="78">
        <v>2035</v>
      </c>
      <c r="G321" s="28">
        <v>2050</v>
      </c>
      <c r="H321" s="28">
        <v>1</v>
      </c>
      <c r="I321" s="31">
        <v>34</v>
      </c>
      <c r="J321" s="28">
        <v>0</v>
      </c>
      <c r="K321" s="28">
        <v>0</v>
      </c>
      <c r="L321" s="28">
        <v>0</v>
      </c>
      <c r="M321" s="75">
        <v>4.5</v>
      </c>
      <c r="N321" s="151">
        <v>10027.5</v>
      </c>
      <c r="O321" s="151">
        <v>6530</v>
      </c>
      <c r="P321" s="95">
        <f t="array" ref="P321">ROUND(IF($F321&lt;='TaxCred&amp;Subs'!$C$49,(IF($C321=2,IF($M321&gt;=IFERROR(INDEX('TaxCred&amp;Subs'!$L$12:$L$47,MATCH(1,($C321&amp;$D321='TaxCred&amp;Subs'!$E$12:$E$47)*($F321='TaxCred&amp;Subs'!$C$12:$C$47),0)
),9999),IFERROR(INDEX('TaxCred&amp;Subs'!$N$12:$N$47,MATCH(1,($C321&amp;$D321='TaxCred&amp;Subs'!$E$12:$E$47)*($F321='TaxCred&amp;Subs'!$C$12:$C$47),0)
),0),0),(IF($M321&gt;=IFERROR(INDEX('TaxCred&amp;Subs'!$H$12:$H$47,MATCH(1,($C321&amp;$D321='TaxCred&amp;Subs'!$D$12:$D$47)*($F321='TaxCred&amp;Subs'!$C$12:$C$47),0)
),9999),IFERROR(INDEX('TaxCred&amp;Subs'!$N$12:$N$47,MATCH(1,($C321&amp;$D321='TaxCred&amp;Subs'!$D$12:$D$47)*($F321='TaxCred&amp;Subs'!$C$12:$C$47),0)
),0),0)))),0)+IF(AND($C321=2,VALUE(RIGHT($AD321,1))&gt;2),(N321-R321)*(IFERROR(INDEX('TaxCred&amp;Subs'!$J$66:$J$99,MATCH(1,($C321&amp;$D321='TaxCred&amp;Subs'!$E$66:$E$99)*($F321='TaxCred&amp;Subs'!$C$66:$C$99),0)),0)),IF(AND($C321=1,VALUE(RIGHT($AD321,1))&gt;2),(N321-R321)*(IFERROR(INDEX('TaxCred&amp;Subs'!$J$66:$J$99,MATCH(1,($C321&amp;$D321='TaxCred&amp;Subs'!$D$66:$D$99)*($F321='TaxCred&amp;Subs'!$C$66:$C$99),0)),0)),IF($C321&gt;2,(N321-R321)*(IFERROR(INDEX('TaxCred&amp;Subs'!$J$66:$J$99,MATCH(1,($C321&amp;$D321='TaxCred&amp;Subs'!$D$66:$D$99)*($F321='TaxCred&amp;Subs'!$C$66:$C$99),0)),0)),0))),0)</f>
        <v>0</v>
      </c>
      <c r="Q321" s="95">
        <f t="array" ref="Q321">ROUND(IF(AND($C321=2,VALUE(RIGHT($AD321,1))&gt;2),(O321-S321)*(IFERROR(INDEX('TaxCred&amp;Subs'!$J$66:$J$99,MATCH(1,($C321&amp;$D321='TaxCred&amp;Subs'!$E$66:$E$99)*($F321='TaxCred&amp;Subs'!$C$66:$C$99),0)),0)),IF(AND($C321=1,VALUE(RIGHT($AD321,1))&gt;2),(O321-S321)*(IFERROR(INDEX('TaxCred&amp;Subs'!$J$66:$J$99,MATCH(1,($C321&amp;$D321='TaxCred&amp;Subs'!$D$66:$D$99)*($F321='TaxCred&amp;Subs'!$C$66:$C$99),0)),0)),IF($C321&gt;2,(O321-S321)*(IFERROR(INDEX('TaxCred&amp;Subs'!$J$66:$J$99,MATCH(1,($C321&amp;$D321='TaxCred&amp;Subs'!$D$66:$D$99)*($F321='TaxCred&amp;Subs'!$C$66:$C$99),0)),0)),0))),0)</f>
        <v>0</v>
      </c>
      <c r="R321" s="95">
        <f t="array" ref="R321">ROUND(IF(IFERROR(VALUE(RIGHT($AD321,1)),0)&gt;2,IF($C321=8,N321*IFERROR(INDEX('TaxCred&amp;Subs'!$K$139:$S$151,MATCH($C321&amp;$D321&amp;LEFT($AD321,7),'TaxCred&amp;Subs'!$E$139:$E$151,0),MATCH($H321,'TaxCred&amp;Subs'!$K$137:$S$137,0)),0),IF($C321=2,N321*IFERROR(INDEX('TaxCred&amp;Subs'!$K$139:$S$151,MATCH($C321&amp;$D321,'TaxCred&amp;Subs'!$D$139:$D$151,0),MATCH($H321,'TaxCred&amp;Subs'!$K$137:$S$137,0)),0),N321*IFERROR(INDEX('TaxCred&amp;Subs'!$K$139:$S$151,MATCH($C321&amp;$D321,'TaxCred&amp;Subs'!$C$139:$C$151,0),MATCH($H321,'TaxCred&amp;Subs'!$K$137:$S$137,0)),0))),0),0)</f>
        <v>2486</v>
      </c>
      <c r="S321" s="95">
        <f t="array" ref="S321">ROUND(IF(IFERROR(VALUE(RIGHT($AD321,1)),0)&gt;2,IF($C321=8,O321*IFERROR(INDEX('TaxCred&amp;Subs'!$K$139:$S$151,MATCH($C321&amp;$D321&amp;LEFT($AD321,7),'TaxCred&amp;Subs'!$E$139:$E$151,0),MATCH($H321,'TaxCred&amp;Subs'!$K$137:$S$137,0)),0),IF($C321=2,O321*IFERROR(INDEX('TaxCred&amp;Subs'!$K$139:$S$151,MATCH($C321&amp;$D321,'TaxCred&amp;Subs'!$D$139:$D$151,0),MATCH($H321,'TaxCred&amp;Subs'!$K$137:$S$137,0)),0),O321*IFERROR(INDEX('TaxCred&amp;Subs'!$K$139:$S$151,MATCH($C321&amp;$D321,'TaxCred&amp;Subs'!$C$139:$C$151,0),MATCH($H321,'TaxCred&amp;Subs'!$K$137:$S$137,0)),0))),0),0)</f>
        <v>1619</v>
      </c>
      <c r="T321" s="95">
        <f t="shared" si="18"/>
        <v>0</v>
      </c>
      <c r="U321" s="95">
        <f t="shared" si="19"/>
        <v>0</v>
      </c>
      <c r="V321" s="28" t="s">
        <v>222</v>
      </c>
      <c r="W321" s="31">
        <v>2020</v>
      </c>
      <c r="X321" s="28">
        <v>1</v>
      </c>
      <c r="Y321" s="28">
        <v>0</v>
      </c>
      <c r="Z321" s="196">
        <v>-2.1513024844954491E-4</v>
      </c>
      <c r="AA321" s="196">
        <v>-3.3096961299929986E-3</v>
      </c>
      <c r="AB321" s="28">
        <v>0</v>
      </c>
      <c r="AC321" s="28">
        <v>0</v>
      </c>
      <c r="AD321" s="28" t="s">
        <v>337</v>
      </c>
    </row>
    <row r="322" spans="2:31" ht="14.25" customHeight="1" x14ac:dyDescent="0.2">
      <c r="B322" s="7">
        <f t="shared" si="20"/>
        <v>298</v>
      </c>
      <c r="C322" s="28">
        <v>1</v>
      </c>
      <c r="D322" s="28">
        <v>10</v>
      </c>
      <c r="E322" s="31">
        <v>34</v>
      </c>
      <c r="F322" s="78">
        <v>2035</v>
      </c>
      <c r="G322" s="28">
        <v>2050</v>
      </c>
      <c r="H322" s="28">
        <v>2</v>
      </c>
      <c r="I322" s="31">
        <v>34</v>
      </c>
      <c r="J322" s="28">
        <v>0</v>
      </c>
      <c r="K322" s="28">
        <v>0</v>
      </c>
      <c r="L322" s="28">
        <v>0</v>
      </c>
      <c r="M322" s="75">
        <v>4.5</v>
      </c>
      <c r="N322" s="151">
        <v>10027.5</v>
      </c>
      <c r="O322" s="151">
        <v>6530</v>
      </c>
      <c r="P322" s="95">
        <f t="array" ref="P322">ROUND(IF($F322&lt;='TaxCred&amp;Subs'!$C$49,(IF($C322=2,IF($M322&gt;=IFERROR(INDEX('TaxCred&amp;Subs'!$L$12:$L$47,MATCH(1,($C322&amp;$D322='TaxCred&amp;Subs'!$E$12:$E$47)*($F322='TaxCred&amp;Subs'!$C$12:$C$47),0)
),9999),IFERROR(INDEX('TaxCred&amp;Subs'!$N$12:$N$47,MATCH(1,($C322&amp;$D322='TaxCred&amp;Subs'!$E$12:$E$47)*($F322='TaxCred&amp;Subs'!$C$12:$C$47),0)
),0),0),(IF($M322&gt;=IFERROR(INDEX('TaxCred&amp;Subs'!$H$12:$H$47,MATCH(1,($C322&amp;$D322='TaxCred&amp;Subs'!$D$12:$D$47)*($F322='TaxCred&amp;Subs'!$C$12:$C$47),0)
),9999),IFERROR(INDEX('TaxCred&amp;Subs'!$N$12:$N$47,MATCH(1,($C322&amp;$D322='TaxCred&amp;Subs'!$D$12:$D$47)*($F322='TaxCred&amp;Subs'!$C$12:$C$47),0)
),0),0)))),0)+IF(AND($C322=2,VALUE(RIGHT($AD322,1))&gt;2),(N322-R322)*(IFERROR(INDEX('TaxCred&amp;Subs'!$J$66:$J$99,MATCH(1,($C322&amp;$D322='TaxCred&amp;Subs'!$E$66:$E$99)*($F322='TaxCred&amp;Subs'!$C$66:$C$99),0)),0)),IF(AND($C322=1,VALUE(RIGHT($AD322,1))&gt;2),(N322-R322)*(IFERROR(INDEX('TaxCred&amp;Subs'!$J$66:$J$99,MATCH(1,($C322&amp;$D322='TaxCred&amp;Subs'!$D$66:$D$99)*($F322='TaxCred&amp;Subs'!$C$66:$C$99),0)),0)),IF($C322&gt;2,(N322-R322)*(IFERROR(INDEX('TaxCred&amp;Subs'!$J$66:$J$99,MATCH(1,($C322&amp;$D322='TaxCred&amp;Subs'!$D$66:$D$99)*($F322='TaxCred&amp;Subs'!$C$66:$C$99),0)),0)),0))),0)</f>
        <v>0</v>
      </c>
      <c r="Q322" s="95">
        <f t="array" ref="Q322">ROUND(IF(AND($C322=2,VALUE(RIGHT($AD322,1))&gt;2),(O322-S322)*(IFERROR(INDEX('TaxCred&amp;Subs'!$J$66:$J$99,MATCH(1,($C322&amp;$D322='TaxCred&amp;Subs'!$E$66:$E$99)*($F322='TaxCred&amp;Subs'!$C$66:$C$99),0)),0)),IF(AND($C322=1,VALUE(RIGHT($AD322,1))&gt;2),(O322-S322)*(IFERROR(INDEX('TaxCred&amp;Subs'!$J$66:$J$99,MATCH(1,($C322&amp;$D322='TaxCred&amp;Subs'!$D$66:$D$99)*($F322='TaxCred&amp;Subs'!$C$66:$C$99),0)),0)),IF($C322&gt;2,(O322-S322)*(IFERROR(INDEX('TaxCred&amp;Subs'!$J$66:$J$99,MATCH(1,($C322&amp;$D322='TaxCred&amp;Subs'!$D$66:$D$99)*($F322='TaxCred&amp;Subs'!$C$66:$C$99),0)),0)),0))),0)</f>
        <v>0</v>
      </c>
      <c r="R322" s="95">
        <f t="array" ref="R322">ROUND(IF(IFERROR(VALUE(RIGHT($AD322,1)),0)&gt;2,IF($C322=8,N322*IFERROR(INDEX('TaxCred&amp;Subs'!$K$139:$S$151,MATCH($C322&amp;$D322&amp;LEFT($AD322,7),'TaxCred&amp;Subs'!$E$139:$E$151,0),MATCH($H322,'TaxCred&amp;Subs'!$K$137:$S$137,0)),0),IF($C322=2,N322*IFERROR(INDEX('TaxCred&amp;Subs'!$K$139:$S$151,MATCH($C322&amp;$D322,'TaxCred&amp;Subs'!$D$139:$D$151,0),MATCH($H322,'TaxCred&amp;Subs'!$K$137:$S$137,0)),0),N322*IFERROR(INDEX('TaxCred&amp;Subs'!$K$139:$S$151,MATCH($C322&amp;$D322,'TaxCred&amp;Subs'!$C$139:$C$151,0),MATCH($H322,'TaxCred&amp;Subs'!$K$137:$S$137,0)),0))),0),0)</f>
        <v>1026</v>
      </c>
      <c r="S322" s="95">
        <f t="array" ref="S322">ROUND(IF(IFERROR(VALUE(RIGHT($AD322,1)),0)&gt;2,IF($C322=8,O322*IFERROR(INDEX('TaxCred&amp;Subs'!$K$139:$S$151,MATCH($C322&amp;$D322&amp;LEFT($AD322,7),'TaxCred&amp;Subs'!$E$139:$E$151,0),MATCH($H322,'TaxCred&amp;Subs'!$K$137:$S$137,0)),0),IF($C322=2,O322*IFERROR(INDEX('TaxCred&amp;Subs'!$K$139:$S$151,MATCH($C322&amp;$D322,'TaxCred&amp;Subs'!$D$139:$D$151,0),MATCH($H322,'TaxCred&amp;Subs'!$K$137:$S$137,0)),0),O322*IFERROR(INDEX('TaxCred&amp;Subs'!$K$139:$S$151,MATCH($C322&amp;$D322,'TaxCred&amp;Subs'!$C$139:$C$151,0),MATCH($H322,'TaxCred&amp;Subs'!$K$137:$S$137,0)),0))),0),0)</f>
        <v>668</v>
      </c>
      <c r="T322" s="95">
        <f t="shared" si="18"/>
        <v>0</v>
      </c>
      <c r="U322" s="95">
        <f t="shared" si="19"/>
        <v>0</v>
      </c>
      <c r="V322" s="28" t="s">
        <v>222</v>
      </c>
      <c r="W322" s="31">
        <v>2020</v>
      </c>
      <c r="X322" s="28">
        <v>1</v>
      </c>
      <c r="Y322" s="28">
        <v>0</v>
      </c>
      <c r="Z322" s="196">
        <v>-2.1513024844954491E-4</v>
      </c>
      <c r="AA322" s="196">
        <v>-3.3096961299929986E-3</v>
      </c>
      <c r="AB322" s="28">
        <v>0</v>
      </c>
      <c r="AC322" s="28">
        <v>0</v>
      </c>
      <c r="AD322" s="28" t="s">
        <v>337</v>
      </c>
    </row>
    <row r="323" spans="2:31" ht="14.25" customHeight="1" x14ac:dyDescent="0.2">
      <c r="B323" s="7">
        <f t="shared" si="20"/>
        <v>299</v>
      </c>
      <c r="C323" s="28">
        <v>1</v>
      </c>
      <c r="D323" s="28">
        <v>10</v>
      </c>
      <c r="E323" s="31">
        <v>34</v>
      </c>
      <c r="F323" s="78">
        <v>2035</v>
      </c>
      <c r="G323" s="28">
        <v>2050</v>
      </c>
      <c r="H323" s="28">
        <v>3</v>
      </c>
      <c r="I323" s="31">
        <v>34</v>
      </c>
      <c r="J323" s="28">
        <v>0</v>
      </c>
      <c r="K323" s="28">
        <v>0</v>
      </c>
      <c r="L323" s="28">
        <v>0</v>
      </c>
      <c r="M323" s="75">
        <v>4.5</v>
      </c>
      <c r="N323" s="151">
        <v>10027.5</v>
      </c>
      <c r="O323" s="151">
        <v>6530</v>
      </c>
      <c r="P323" s="95">
        <f t="array" ref="P323">ROUND(IF($F323&lt;='TaxCred&amp;Subs'!$C$49,(IF($C323=2,IF($M323&gt;=IFERROR(INDEX('TaxCred&amp;Subs'!$L$12:$L$47,MATCH(1,($C323&amp;$D323='TaxCred&amp;Subs'!$E$12:$E$47)*($F323='TaxCred&amp;Subs'!$C$12:$C$47),0)
),9999),IFERROR(INDEX('TaxCred&amp;Subs'!$N$12:$N$47,MATCH(1,($C323&amp;$D323='TaxCred&amp;Subs'!$E$12:$E$47)*($F323='TaxCred&amp;Subs'!$C$12:$C$47),0)
),0),0),(IF($M323&gt;=IFERROR(INDEX('TaxCred&amp;Subs'!$H$12:$H$47,MATCH(1,($C323&amp;$D323='TaxCred&amp;Subs'!$D$12:$D$47)*($F323='TaxCred&amp;Subs'!$C$12:$C$47),0)
),9999),IFERROR(INDEX('TaxCred&amp;Subs'!$N$12:$N$47,MATCH(1,($C323&amp;$D323='TaxCred&amp;Subs'!$D$12:$D$47)*($F323='TaxCred&amp;Subs'!$C$12:$C$47),0)
),0),0)))),0)+IF(AND($C323=2,VALUE(RIGHT($AD323,1))&gt;2),(N323-R323)*(IFERROR(INDEX('TaxCred&amp;Subs'!$J$66:$J$99,MATCH(1,($C323&amp;$D323='TaxCred&amp;Subs'!$E$66:$E$99)*($F323='TaxCred&amp;Subs'!$C$66:$C$99),0)),0)),IF(AND($C323=1,VALUE(RIGHT($AD323,1))&gt;2),(N323-R323)*(IFERROR(INDEX('TaxCred&amp;Subs'!$J$66:$J$99,MATCH(1,($C323&amp;$D323='TaxCred&amp;Subs'!$D$66:$D$99)*($F323='TaxCred&amp;Subs'!$C$66:$C$99),0)),0)),IF($C323&gt;2,(N323-R323)*(IFERROR(INDEX('TaxCred&amp;Subs'!$J$66:$J$99,MATCH(1,($C323&amp;$D323='TaxCred&amp;Subs'!$D$66:$D$99)*($F323='TaxCred&amp;Subs'!$C$66:$C$99),0)),0)),0))),0)</f>
        <v>0</v>
      </c>
      <c r="Q323" s="95">
        <f t="array" ref="Q323">ROUND(IF(AND($C323=2,VALUE(RIGHT($AD323,1))&gt;2),(O323-S323)*(IFERROR(INDEX('TaxCred&amp;Subs'!$J$66:$J$99,MATCH(1,($C323&amp;$D323='TaxCred&amp;Subs'!$E$66:$E$99)*($F323='TaxCred&amp;Subs'!$C$66:$C$99),0)),0)),IF(AND($C323=1,VALUE(RIGHT($AD323,1))&gt;2),(O323-S323)*(IFERROR(INDEX('TaxCred&amp;Subs'!$J$66:$J$99,MATCH(1,($C323&amp;$D323='TaxCred&amp;Subs'!$D$66:$D$99)*($F323='TaxCred&amp;Subs'!$C$66:$C$99),0)),0)),IF($C323&gt;2,(O323-S323)*(IFERROR(INDEX('TaxCred&amp;Subs'!$J$66:$J$99,MATCH(1,($C323&amp;$D323='TaxCred&amp;Subs'!$D$66:$D$99)*($F323='TaxCred&amp;Subs'!$C$66:$C$99),0)),0)),0))),0)</f>
        <v>0</v>
      </c>
      <c r="R323" s="95">
        <f t="array" ref="R323">ROUND(IF(IFERROR(VALUE(RIGHT($AD323,1)),0)&gt;2,IF($C323=8,N323*IFERROR(INDEX('TaxCred&amp;Subs'!$K$139:$S$151,MATCH($C323&amp;$D323&amp;LEFT($AD323,7),'TaxCred&amp;Subs'!$E$139:$E$151,0),MATCH($H323,'TaxCred&amp;Subs'!$K$137:$S$137,0)),0),IF($C323=2,N323*IFERROR(INDEX('TaxCred&amp;Subs'!$K$139:$S$151,MATCH($C323&amp;$D323,'TaxCred&amp;Subs'!$D$139:$D$151,0),MATCH($H323,'TaxCred&amp;Subs'!$K$137:$S$137,0)),0),N323*IFERROR(INDEX('TaxCred&amp;Subs'!$K$139:$S$151,MATCH($C323&amp;$D323,'TaxCred&amp;Subs'!$C$139:$C$151,0),MATCH($H323,'TaxCred&amp;Subs'!$K$137:$S$137,0)),0))),0),0)</f>
        <v>807</v>
      </c>
      <c r="S323" s="95">
        <f t="array" ref="S323">ROUND(IF(IFERROR(VALUE(RIGHT($AD323,1)),0)&gt;2,IF($C323=8,O323*IFERROR(INDEX('TaxCred&amp;Subs'!$K$139:$S$151,MATCH($C323&amp;$D323&amp;LEFT($AD323,7),'TaxCred&amp;Subs'!$E$139:$E$151,0),MATCH($H323,'TaxCred&amp;Subs'!$K$137:$S$137,0)),0),IF($C323=2,O323*IFERROR(INDEX('TaxCred&amp;Subs'!$K$139:$S$151,MATCH($C323&amp;$D323,'TaxCred&amp;Subs'!$D$139:$D$151,0),MATCH($H323,'TaxCred&amp;Subs'!$K$137:$S$137,0)),0),O323*IFERROR(INDEX('TaxCred&amp;Subs'!$K$139:$S$151,MATCH($C323&amp;$D323,'TaxCred&amp;Subs'!$C$139:$C$151,0),MATCH($H323,'TaxCred&amp;Subs'!$K$137:$S$137,0)),0))),0),0)</f>
        <v>526</v>
      </c>
      <c r="T323" s="95">
        <f t="shared" si="18"/>
        <v>0</v>
      </c>
      <c r="U323" s="95">
        <f t="shared" si="19"/>
        <v>0</v>
      </c>
      <c r="V323" s="28" t="s">
        <v>222</v>
      </c>
      <c r="W323" s="31">
        <v>2020</v>
      </c>
      <c r="X323" s="28">
        <v>1</v>
      </c>
      <c r="Y323" s="28">
        <v>0</v>
      </c>
      <c r="Z323" s="196">
        <v>-2.1513024844954491E-4</v>
      </c>
      <c r="AA323" s="196">
        <v>-3.3096961299929986E-3</v>
      </c>
      <c r="AB323" s="28">
        <v>0</v>
      </c>
      <c r="AC323" s="28">
        <v>0</v>
      </c>
      <c r="AD323" s="28" t="s">
        <v>337</v>
      </c>
    </row>
    <row r="324" spans="2:31" ht="14.25" customHeight="1" x14ac:dyDescent="0.2">
      <c r="B324" s="7">
        <f t="shared" si="20"/>
        <v>300</v>
      </c>
      <c r="C324" s="28">
        <v>1</v>
      </c>
      <c r="D324" s="28">
        <v>10</v>
      </c>
      <c r="E324" s="31">
        <v>34</v>
      </c>
      <c r="F324" s="78">
        <v>2035</v>
      </c>
      <c r="G324" s="28">
        <v>2050</v>
      </c>
      <c r="H324" s="28">
        <v>4</v>
      </c>
      <c r="I324" s="31">
        <v>34</v>
      </c>
      <c r="J324" s="28">
        <v>0</v>
      </c>
      <c r="K324" s="28">
        <v>0</v>
      </c>
      <c r="L324" s="28">
        <v>0</v>
      </c>
      <c r="M324" s="75">
        <v>4.5</v>
      </c>
      <c r="N324" s="151">
        <v>10027.5</v>
      </c>
      <c r="O324" s="151">
        <v>6530</v>
      </c>
      <c r="P324" s="95">
        <f t="array" ref="P324">ROUND(IF($F324&lt;='TaxCred&amp;Subs'!$C$49,(IF($C324=2,IF($M324&gt;=IFERROR(INDEX('TaxCred&amp;Subs'!$L$12:$L$47,MATCH(1,($C324&amp;$D324='TaxCred&amp;Subs'!$E$12:$E$47)*($F324='TaxCred&amp;Subs'!$C$12:$C$47),0)
),9999),IFERROR(INDEX('TaxCred&amp;Subs'!$N$12:$N$47,MATCH(1,($C324&amp;$D324='TaxCred&amp;Subs'!$E$12:$E$47)*($F324='TaxCred&amp;Subs'!$C$12:$C$47),0)
),0),0),(IF($M324&gt;=IFERROR(INDEX('TaxCred&amp;Subs'!$H$12:$H$47,MATCH(1,($C324&amp;$D324='TaxCred&amp;Subs'!$D$12:$D$47)*($F324='TaxCred&amp;Subs'!$C$12:$C$47),0)
),9999),IFERROR(INDEX('TaxCred&amp;Subs'!$N$12:$N$47,MATCH(1,($C324&amp;$D324='TaxCred&amp;Subs'!$D$12:$D$47)*($F324='TaxCred&amp;Subs'!$C$12:$C$47),0)
),0),0)))),0)+IF(AND($C324=2,VALUE(RIGHT($AD324,1))&gt;2),(N324-R324)*(IFERROR(INDEX('TaxCred&amp;Subs'!$J$66:$J$99,MATCH(1,($C324&amp;$D324='TaxCred&amp;Subs'!$E$66:$E$99)*($F324='TaxCred&amp;Subs'!$C$66:$C$99),0)),0)),IF(AND($C324=1,VALUE(RIGHT($AD324,1))&gt;2),(N324-R324)*(IFERROR(INDEX('TaxCred&amp;Subs'!$J$66:$J$99,MATCH(1,($C324&amp;$D324='TaxCred&amp;Subs'!$D$66:$D$99)*($F324='TaxCred&amp;Subs'!$C$66:$C$99),0)),0)),IF($C324&gt;2,(N324-R324)*(IFERROR(INDEX('TaxCred&amp;Subs'!$J$66:$J$99,MATCH(1,($C324&amp;$D324='TaxCred&amp;Subs'!$D$66:$D$99)*($F324='TaxCred&amp;Subs'!$C$66:$C$99),0)),0)),0))),0)</f>
        <v>0</v>
      </c>
      <c r="Q324" s="95">
        <f t="array" ref="Q324">ROUND(IF(AND($C324=2,VALUE(RIGHT($AD324,1))&gt;2),(O324-S324)*(IFERROR(INDEX('TaxCred&amp;Subs'!$J$66:$J$99,MATCH(1,($C324&amp;$D324='TaxCred&amp;Subs'!$E$66:$E$99)*($F324='TaxCred&amp;Subs'!$C$66:$C$99),0)),0)),IF(AND($C324=1,VALUE(RIGHT($AD324,1))&gt;2),(O324-S324)*(IFERROR(INDEX('TaxCred&amp;Subs'!$J$66:$J$99,MATCH(1,($C324&amp;$D324='TaxCred&amp;Subs'!$D$66:$D$99)*($F324='TaxCred&amp;Subs'!$C$66:$C$99),0)),0)),IF($C324&gt;2,(O324-S324)*(IFERROR(INDEX('TaxCred&amp;Subs'!$J$66:$J$99,MATCH(1,($C324&amp;$D324='TaxCred&amp;Subs'!$D$66:$D$99)*($F324='TaxCred&amp;Subs'!$C$66:$C$99),0)),0)),0))),0)</f>
        <v>0</v>
      </c>
      <c r="R324" s="95">
        <f t="array" ref="R324">ROUND(IF(IFERROR(VALUE(RIGHT($AD324,1)),0)&gt;2,IF($C324=8,N324*IFERROR(INDEX('TaxCred&amp;Subs'!$K$139:$S$151,MATCH($C324&amp;$D324&amp;LEFT($AD324,7),'TaxCred&amp;Subs'!$E$139:$E$151,0),MATCH($H324,'TaxCred&amp;Subs'!$K$137:$S$137,0)),0),IF($C324=2,N324*IFERROR(INDEX('TaxCred&amp;Subs'!$K$139:$S$151,MATCH($C324&amp;$D324,'TaxCred&amp;Subs'!$D$139:$D$151,0),MATCH($H324,'TaxCred&amp;Subs'!$K$137:$S$137,0)),0),N324*IFERROR(INDEX('TaxCred&amp;Subs'!$K$139:$S$151,MATCH($C324&amp;$D324,'TaxCred&amp;Subs'!$C$139:$C$151,0),MATCH($H324,'TaxCred&amp;Subs'!$K$137:$S$137,0)),0))),0),0)</f>
        <v>646</v>
      </c>
      <c r="S324" s="95">
        <f t="array" ref="S324">ROUND(IF(IFERROR(VALUE(RIGHT($AD324,1)),0)&gt;2,IF($C324=8,O324*IFERROR(INDEX('TaxCred&amp;Subs'!$K$139:$S$151,MATCH($C324&amp;$D324&amp;LEFT($AD324,7),'TaxCred&amp;Subs'!$E$139:$E$151,0),MATCH($H324,'TaxCred&amp;Subs'!$K$137:$S$137,0)),0),IF($C324=2,O324*IFERROR(INDEX('TaxCred&amp;Subs'!$K$139:$S$151,MATCH($C324&amp;$D324,'TaxCred&amp;Subs'!$D$139:$D$151,0),MATCH($H324,'TaxCred&amp;Subs'!$K$137:$S$137,0)),0),O324*IFERROR(INDEX('TaxCred&amp;Subs'!$K$139:$S$151,MATCH($C324&amp;$D324,'TaxCred&amp;Subs'!$C$139:$C$151,0),MATCH($H324,'TaxCred&amp;Subs'!$K$137:$S$137,0)),0))),0),0)</f>
        <v>421</v>
      </c>
      <c r="T324" s="95">
        <f t="shared" si="18"/>
        <v>0</v>
      </c>
      <c r="U324" s="95">
        <f t="shared" si="19"/>
        <v>0</v>
      </c>
      <c r="V324" s="28" t="s">
        <v>222</v>
      </c>
      <c r="W324" s="31">
        <v>2020</v>
      </c>
      <c r="X324" s="28">
        <v>1</v>
      </c>
      <c r="Y324" s="28">
        <v>0</v>
      </c>
      <c r="Z324" s="196">
        <v>-2.1513024844954491E-4</v>
      </c>
      <c r="AA324" s="196">
        <v>-3.3096961299929986E-3</v>
      </c>
      <c r="AB324" s="28">
        <v>0</v>
      </c>
      <c r="AC324" s="28">
        <v>0</v>
      </c>
      <c r="AD324" s="28" t="s">
        <v>337</v>
      </c>
    </row>
    <row r="325" spans="2:31" ht="14.25" customHeight="1" x14ac:dyDescent="0.2">
      <c r="B325" s="7">
        <f t="shared" si="20"/>
        <v>301</v>
      </c>
      <c r="C325" s="28">
        <v>1</v>
      </c>
      <c r="D325" s="28">
        <v>10</v>
      </c>
      <c r="E325" s="31">
        <v>34</v>
      </c>
      <c r="F325" s="78">
        <v>2035</v>
      </c>
      <c r="G325" s="28">
        <v>2050</v>
      </c>
      <c r="H325" s="28">
        <v>5</v>
      </c>
      <c r="I325" s="31">
        <v>34</v>
      </c>
      <c r="J325" s="28">
        <v>0</v>
      </c>
      <c r="K325" s="28">
        <v>0</v>
      </c>
      <c r="L325" s="28">
        <v>0</v>
      </c>
      <c r="M325" s="75">
        <v>4.5</v>
      </c>
      <c r="N325" s="151">
        <v>10027.5</v>
      </c>
      <c r="O325" s="151">
        <v>6530</v>
      </c>
      <c r="P325" s="95">
        <f t="array" ref="P325">ROUND(IF($F325&lt;='TaxCred&amp;Subs'!$C$49,(IF($C325=2,IF($M325&gt;=IFERROR(INDEX('TaxCred&amp;Subs'!$L$12:$L$47,MATCH(1,($C325&amp;$D325='TaxCred&amp;Subs'!$E$12:$E$47)*($F325='TaxCred&amp;Subs'!$C$12:$C$47),0)
),9999),IFERROR(INDEX('TaxCred&amp;Subs'!$N$12:$N$47,MATCH(1,($C325&amp;$D325='TaxCred&amp;Subs'!$E$12:$E$47)*($F325='TaxCred&amp;Subs'!$C$12:$C$47),0)
),0),0),(IF($M325&gt;=IFERROR(INDEX('TaxCred&amp;Subs'!$H$12:$H$47,MATCH(1,($C325&amp;$D325='TaxCred&amp;Subs'!$D$12:$D$47)*($F325='TaxCred&amp;Subs'!$C$12:$C$47),0)
),9999),IFERROR(INDEX('TaxCred&amp;Subs'!$N$12:$N$47,MATCH(1,($C325&amp;$D325='TaxCred&amp;Subs'!$D$12:$D$47)*($F325='TaxCred&amp;Subs'!$C$12:$C$47),0)
),0),0)))),0)+IF(AND($C325=2,VALUE(RIGHT($AD325,1))&gt;2),(N325-R325)*(IFERROR(INDEX('TaxCred&amp;Subs'!$J$66:$J$99,MATCH(1,($C325&amp;$D325='TaxCred&amp;Subs'!$E$66:$E$99)*($F325='TaxCred&amp;Subs'!$C$66:$C$99),0)),0)),IF(AND($C325=1,VALUE(RIGHT($AD325,1))&gt;2),(N325-R325)*(IFERROR(INDEX('TaxCred&amp;Subs'!$J$66:$J$99,MATCH(1,($C325&amp;$D325='TaxCred&amp;Subs'!$D$66:$D$99)*($F325='TaxCred&amp;Subs'!$C$66:$C$99),0)),0)),IF($C325&gt;2,(N325-R325)*(IFERROR(INDEX('TaxCred&amp;Subs'!$J$66:$J$99,MATCH(1,($C325&amp;$D325='TaxCred&amp;Subs'!$D$66:$D$99)*($F325='TaxCred&amp;Subs'!$C$66:$C$99),0)),0)),0))),0)</f>
        <v>0</v>
      </c>
      <c r="Q325" s="95">
        <f t="array" ref="Q325">ROUND(IF(AND($C325=2,VALUE(RIGHT($AD325,1))&gt;2),(O325-S325)*(IFERROR(INDEX('TaxCred&amp;Subs'!$J$66:$J$99,MATCH(1,($C325&amp;$D325='TaxCred&amp;Subs'!$E$66:$E$99)*($F325='TaxCred&amp;Subs'!$C$66:$C$99),0)),0)),IF(AND($C325=1,VALUE(RIGHT($AD325,1))&gt;2),(O325-S325)*(IFERROR(INDEX('TaxCred&amp;Subs'!$J$66:$J$99,MATCH(1,($C325&amp;$D325='TaxCred&amp;Subs'!$D$66:$D$99)*($F325='TaxCred&amp;Subs'!$C$66:$C$99),0)),0)),IF($C325&gt;2,(O325-S325)*(IFERROR(INDEX('TaxCred&amp;Subs'!$J$66:$J$99,MATCH(1,($C325&amp;$D325='TaxCred&amp;Subs'!$D$66:$D$99)*($F325='TaxCred&amp;Subs'!$C$66:$C$99),0)),0)),0))),0)</f>
        <v>0</v>
      </c>
      <c r="R325" s="95">
        <f t="array" ref="R325">ROUND(IF(IFERROR(VALUE(RIGHT($AD325,1)),0)&gt;2,IF($C325=8,N325*IFERROR(INDEX('TaxCred&amp;Subs'!$K$139:$S$151,MATCH($C325&amp;$D325&amp;LEFT($AD325,7),'TaxCred&amp;Subs'!$E$139:$E$151,0),MATCH($H325,'TaxCred&amp;Subs'!$K$137:$S$137,0)),0),IF($C325=2,N325*IFERROR(INDEX('TaxCred&amp;Subs'!$K$139:$S$151,MATCH($C325&amp;$D325,'TaxCred&amp;Subs'!$D$139:$D$151,0),MATCH($H325,'TaxCred&amp;Subs'!$K$137:$S$137,0)),0),N325*IFERROR(INDEX('TaxCred&amp;Subs'!$K$139:$S$151,MATCH($C325&amp;$D325,'TaxCred&amp;Subs'!$C$139:$C$151,0),MATCH($H325,'TaxCred&amp;Subs'!$K$137:$S$137,0)),0))),0),0)</f>
        <v>699</v>
      </c>
      <c r="S325" s="95">
        <f t="array" ref="S325">ROUND(IF(IFERROR(VALUE(RIGHT($AD325,1)),0)&gt;2,IF($C325=8,O325*IFERROR(INDEX('TaxCred&amp;Subs'!$K$139:$S$151,MATCH($C325&amp;$D325&amp;LEFT($AD325,7),'TaxCred&amp;Subs'!$E$139:$E$151,0),MATCH($H325,'TaxCred&amp;Subs'!$K$137:$S$137,0)),0),IF($C325=2,O325*IFERROR(INDEX('TaxCred&amp;Subs'!$K$139:$S$151,MATCH($C325&amp;$D325,'TaxCred&amp;Subs'!$D$139:$D$151,0),MATCH($H325,'TaxCred&amp;Subs'!$K$137:$S$137,0)),0),O325*IFERROR(INDEX('TaxCred&amp;Subs'!$K$139:$S$151,MATCH($C325&amp;$D325,'TaxCred&amp;Subs'!$C$139:$C$151,0),MATCH($H325,'TaxCred&amp;Subs'!$K$137:$S$137,0)),0))),0),0)</f>
        <v>455</v>
      </c>
      <c r="T325" s="95">
        <f t="shared" si="18"/>
        <v>0</v>
      </c>
      <c r="U325" s="95">
        <f t="shared" si="19"/>
        <v>0</v>
      </c>
      <c r="V325" s="28" t="s">
        <v>222</v>
      </c>
      <c r="W325" s="31">
        <v>2020</v>
      </c>
      <c r="X325" s="28">
        <v>1</v>
      </c>
      <c r="Y325" s="28">
        <v>0</v>
      </c>
      <c r="Z325" s="196">
        <v>-2.1513024844954491E-4</v>
      </c>
      <c r="AA325" s="196">
        <v>-3.3096961299929986E-3</v>
      </c>
      <c r="AB325" s="28">
        <v>0</v>
      </c>
      <c r="AC325" s="28">
        <v>0</v>
      </c>
      <c r="AD325" s="28" t="s">
        <v>337</v>
      </c>
    </row>
    <row r="326" spans="2:31" ht="14.25" customHeight="1" x14ac:dyDescent="0.2">
      <c r="B326" s="7">
        <f t="shared" si="20"/>
        <v>302</v>
      </c>
      <c r="C326" s="28">
        <v>1</v>
      </c>
      <c r="D326" s="28">
        <v>10</v>
      </c>
      <c r="E326" s="31">
        <v>34</v>
      </c>
      <c r="F326" s="78">
        <v>2035</v>
      </c>
      <c r="G326" s="28">
        <v>2050</v>
      </c>
      <c r="H326" s="28">
        <v>6</v>
      </c>
      <c r="I326" s="31">
        <v>34</v>
      </c>
      <c r="J326" s="28">
        <v>0</v>
      </c>
      <c r="K326" s="28">
        <v>0</v>
      </c>
      <c r="L326" s="28">
        <v>0</v>
      </c>
      <c r="M326" s="75">
        <v>4.5</v>
      </c>
      <c r="N326" s="151">
        <v>10027.5</v>
      </c>
      <c r="O326" s="151">
        <v>6530</v>
      </c>
      <c r="P326" s="95">
        <f t="array" ref="P326">ROUND(IF($F326&lt;='TaxCred&amp;Subs'!$C$49,(IF($C326=2,IF($M326&gt;=IFERROR(INDEX('TaxCred&amp;Subs'!$L$12:$L$47,MATCH(1,($C326&amp;$D326='TaxCred&amp;Subs'!$E$12:$E$47)*($F326='TaxCred&amp;Subs'!$C$12:$C$47),0)
),9999),IFERROR(INDEX('TaxCred&amp;Subs'!$N$12:$N$47,MATCH(1,($C326&amp;$D326='TaxCred&amp;Subs'!$E$12:$E$47)*($F326='TaxCred&amp;Subs'!$C$12:$C$47),0)
),0),0),(IF($M326&gt;=IFERROR(INDEX('TaxCred&amp;Subs'!$H$12:$H$47,MATCH(1,($C326&amp;$D326='TaxCred&amp;Subs'!$D$12:$D$47)*($F326='TaxCred&amp;Subs'!$C$12:$C$47),0)
),9999),IFERROR(INDEX('TaxCred&amp;Subs'!$N$12:$N$47,MATCH(1,($C326&amp;$D326='TaxCred&amp;Subs'!$D$12:$D$47)*($F326='TaxCred&amp;Subs'!$C$12:$C$47),0)
),0),0)))),0)+IF(AND($C326=2,VALUE(RIGHT($AD326,1))&gt;2),(N326-R326)*(IFERROR(INDEX('TaxCred&amp;Subs'!$J$66:$J$99,MATCH(1,($C326&amp;$D326='TaxCred&amp;Subs'!$E$66:$E$99)*($F326='TaxCred&amp;Subs'!$C$66:$C$99),0)),0)),IF(AND($C326=1,VALUE(RIGHT($AD326,1))&gt;2),(N326-R326)*(IFERROR(INDEX('TaxCred&amp;Subs'!$J$66:$J$99,MATCH(1,($C326&amp;$D326='TaxCred&amp;Subs'!$D$66:$D$99)*($F326='TaxCred&amp;Subs'!$C$66:$C$99),0)),0)),IF($C326&gt;2,(N326-R326)*(IFERROR(INDEX('TaxCred&amp;Subs'!$J$66:$J$99,MATCH(1,($C326&amp;$D326='TaxCred&amp;Subs'!$D$66:$D$99)*($F326='TaxCred&amp;Subs'!$C$66:$C$99),0)),0)),0))),0)</f>
        <v>0</v>
      </c>
      <c r="Q326" s="95">
        <f t="array" ref="Q326">ROUND(IF(AND($C326=2,VALUE(RIGHT($AD326,1))&gt;2),(O326-S326)*(IFERROR(INDEX('TaxCred&amp;Subs'!$J$66:$J$99,MATCH(1,($C326&amp;$D326='TaxCred&amp;Subs'!$E$66:$E$99)*($F326='TaxCred&amp;Subs'!$C$66:$C$99),0)),0)),IF(AND($C326=1,VALUE(RIGHT($AD326,1))&gt;2),(O326-S326)*(IFERROR(INDEX('TaxCred&amp;Subs'!$J$66:$J$99,MATCH(1,($C326&amp;$D326='TaxCred&amp;Subs'!$D$66:$D$99)*($F326='TaxCred&amp;Subs'!$C$66:$C$99),0)),0)),IF($C326&gt;2,(O326-S326)*(IFERROR(INDEX('TaxCred&amp;Subs'!$J$66:$J$99,MATCH(1,($C326&amp;$D326='TaxCred&amp;Subs'!$D$66:$D$99)*($F326='TaxCred&amp;Subs'!$C$66:$C$99),0)),0)),0))),0)</f>
        <v>0</v>
      </c>
      <c r="R326" s="95">
        <f t="array" ref="R326">ROUND(IF(IFERROR(VALUE(RIGHT($AD326,1)),0)&gt;2,IF($C326=8,N326*IFERROR(INDEX('TaxCred&amp;Subs'!$K$139:$S$151,MATCH($C326&amp;$D326&amp;LEFT($AD326,7),'TaxCred&amp;Subs'!$E$139:$E$151,0),MATCH($H326,'TaxCred&amp;Subs'!$K$137:$S$137,0)),0),IF($C326=2,N326*IFERROR(INDEX('TaxCred&amp;Subs'!$K$139:$S$151,MATCH($C326&amp;$D326,'TaxCred&amp;Subs'!$D$139:$D$151,0),MATCH($H326,'TaxCred&amp;Subs'!$K$137:$S$137,0)),0),N326*IFERROR(INDEX('TaxCred&amp;Subs'!$K$139:$S$151,MATCH($C326&amp;$D326,'TaxCred&amp;Subs'!$C$139:$C$151,0),MATCH($H326,'TaxCred&amp;Subs'!$K$137:$S$137,0)),0))),0),0)</f>
        <v>884</v>
      </c>
      <c r="S326" s="95">
        <f t="array" ref="S326">ROUND(IF(IFERROR(VALUE(RIGHT($AD326,1)),0)&gt;2,IF($C326=8,O326*IFERROR(INDEX('TaxCred&amp;Subs'!$K$139:$S$151,MATCH($C326&amp;$D326&amp;LEFT($AD326,7),'TaxCred&amp;Subs'!$E$139:$E$151,0),MATCH($H326,'TaxCred&amp;Subs'!$K$137:$S$137,0)),0),IF($C326=2,O326*IFERROR(INDEX('TaxCred&amp;Subs'!$K$139:$S$151,MATCH($C326&amp;$D326,'TaxCred&amp;Subs'!$D$139:$D$151,0),MATCH($H326,'TaxCred&amp;Subs'!$K$137:$S$137,0)),0),O326*IFERROR(INDEX('TaxCred&amp;Subs'!$K$139:$S$151,MATCH($C326&amp;$D326,'TaxCred&amp;Subs'!$C$139:$C$151,0),MATCH($H326,'TaxCred&amp;Subs'!$K$137:$S$137,0)),0))),0),0)</f>
        <v>576</v>
      </c>
      <c r="T326" s="95">
        <f t="shared" si="18"/>
        <v>0</v>
      </c>
      <c r="U326" s="95">
        <f t="shared" si="19"/>
        <v>0</v>
      </c>
      <c r="V326" s="28" t="s">
        <v>222</v>
      </c>
      <c r="W326" s="31">
        <v>2020</v>
      </c>
      <c r="X326" s="28">
        <v>1</v>
      </c>
      <c r="Y326" s="28">
        <v>0</v>
      </c>
      <c r="Z326" s="196">
        <v>-2.1513024844954491E-4</v>
      </c>
      <c r="AA326" s="196">
        <v>-3.3096961299929986E-3</v>
      </c>
      <c r="AB326" s="28">
        <v>0</v>
      </c>
      <c r="AC326" s="28">
        <v>0</v>
      </c>
      <c r="AD326" s="28" t="s">
        <v>337</v>
      </c>
    </row>
    <row r="327" spans="2:31" ht="14.25" customHeight="1" x14ac:dyDescent="0.2">
      <c r="B327" s="7">
        <f t="shared" si="20"/>
        <v>303</v>
      </c>
      <c r="C327" s="28">
        <v>1</v>
      </c>
      <c r="D327" s="28">
        <v>10</v>
      </c>
      <c r="E327" s="31">
        <v>34</v>
      </c>
      <c r="F327" s="78">
        <v>2035</v>
      </c>
      <c r="G327" s="28">
        <v>2050</v>
      </c>
      <c r="H327" s="28">
        <v>7</v>
      </c>
      <c r="I327" s="31">
        <v>34</v>
      </c>
      <c r="J327" s="28">
        <v>0</v>
      </c>
      <c r="K327" s="28">
        <v>0</v>
      </c>
      <c r="L327" s="28">
        <v>0</v>
      </c>
      <c r="M327" s="75">
        <v>4.5</v>
      </c>
      <c r="N327" s="151">
        <v>10027.5</v>
      </c>
      <c r="O327" s="151">
        <v>6530</v>
      </c>
      <c r="P327" s="95">
        <f t="array" ref="P327">ROUND(IF($F327&lt;='TaxCred&amp;Subs'!$C$49,(IF($C327=2,IF($M327&gt;=IFERROR(INDEX('TaxCred&amp;Subs'!$L$12:$L$47,MATCH(1,($C327&amp;$D327='TaxCred&amp;Subs'!$E$12:$E$47)*($F327='TaxCred&amp;Subs'!$C$12:$C$47),0)
),9999),IFERROR(INDEX('TaxCred&amp;Subs'!$N$12:$N$47,MATCH(1,($C327&amp;$D327='TaxCred&amp;Subs'!$E$12:$E$47)*($F327='TaxCred&amp;Subs'!$C$12:$C$47),0)
),0),0),(IF($M327&gt;=IFERROR(INDEX('TaxCred&amp;Subs'!$H$12:$H$47,MATCH(1,($C327&amp;$D327='TaxCred&amp;Subs'!$D$12:$D$47)*($F327='TaxCred&amp;Subs'!$C$12:$C$47),0)
),9999),IFERROR(INDEX('TaxCred&amp;Subs'!$N$12:$N$47,MATCH(1,($C327&amp;$D327='TaxCred&amp;Subs'!$D$12:$D$47)*($F327='TaxCred&amp;Subs'!$C$12:$C$47),0)
),0),0)))),0)+IF(AND($C327=2,VALUE(RIGHT($AD327,1))&gt;2),(N327-R327)*(IFERROR(INDEX('TaxCred&amp;Subs'!$J$66:$J$99,MATCH(1,($C327&amp;$D327='TaxCred&amp;Subs'!$E$66:$E$99)*($F327='TaxCred&amp;Subs'!$C$66:$C$99),0)),0)),IF(AND($C327=1,VALUE(RIGHT($AD327,1))&gt;2),(N327-R327)*(IFERROR(INDEX('TaxCred&amp;Subs'!$J$66:$J$99,MATCH(1,($C327&amp;$D327='TaxCred&amp;Subs'!$D$66:$D$99)*($F327='TaxCred&amp;Subs'!$C$66:$C$99),0)),0)),IF($C327&gt;2,(N327-R327)*(IFERROR(INDEX('TaxCred&amp;Subs'!$J$66:$J$99,MATCH(1,($C327&amp;$D327='TaxCred&amp;Subs'!$D$66:$D$99)*($F327='TaxCred&amp;Subs'!$C$66:$C$99),0)),0)),0))),0)</f>
        <v>0</v>
      </c>
      <c r="Q327" s="95">
        <f t="array" ref="Q327">ROUND(IF(AND($C327=2,VALUE(RIGHT($AD327,1))&gt;2),(O327-S327)*(IFERROR(INDEX('TaxCred&amp;Subs'!$J$66:$J$99,MATCH(1,($C327&amp;$D327='TaxCred&amp;Subs'!$E$66:$E$99)*($F327='TaxCred&amp;Subs'!$C$66:$C$99),0)),0)),IF(AND($C327=1,VALUE(RIGHT($AD327,1))&gt;2),(O327-S327)*(IFERROR(INDEX('TaxCred&amp;Subs'!$J$66:$J$99,MATCH(1,($C327&amp;$D327='TaxCred&amp;Subs'!$D$66:$D$99)*($F327='TaxCred&amp;Subs'!$C$66:$C$99),0)),0)),IF($C327&gt;2,(O327-S327)*(IFERROR(INDEX('TaxCred&amp;Subs'!$J$66:$J$99,MATCH(1,($C327&amp;$D327='TaxCred&amp;Subs'!$D$66:$D$99)*($F327='TaxCred&amp;Subs'!$C$66:$C$99),0)),0)),0))),0)</f>
        <v>0</v>
      </c>
      <c r="R327" s="95">
        <f t="array" ref="R327">ROUND(IF(IFERROR(VALUE(RIGHT($AD327,1)),0)&gt;2,IF($C327=8,N327*IFERROR(INDEX('TaxCred&amp;Subs'!$K$139:$S$151,MATCH($C327&amp;$D327&amp;LEFT($AD327,7),'TaxCred&amp;Subs'!$E$139:$E$151,0),MATCH($H327,'TaxCred&amp;Subs'!$K$137:$S$137,0)),0),IF($C327=2,N327*IFERROR(INDEX('TaxCred&amp;Subs'!$K$139:$S$151,MATCH($C327&amp;$D327,'TaxCred&amp;Subs'!$D$139:$D$151,0),MATCH($H327,'TaxCred&amp;Subs'!$K$137:$S$137,0)),0),N327*IFERROR(INDEX('TaxCred&amp;Subs'!$K$139:$S$151,MATCH($C327&amp;$D327,'TaxCred&amp;Subs'!$C$139:$C$151,0),MATCH($H327,'TaxCred&amp;Subs'!$K$137:$S$137,0)),0))),0),0)</f>
        <v>370</v>
      </c>
      <c r="S327" s="95">
        <f t="array" ref="S327">ROUND(IF(IFERROR(VALUE(RIGHT($AD327,1)),0)&gt;2,IF($C327=8,O327*IFERROR(INDEX('TaxCred&amp;Subs'!$K$139:$S$151,MATCH($C327&amp;$D327&amp;LEFT($AD327,7),'TaxCred&amp;Subs'!$E$139:$E$151,0),MATCH($H327,'TaxCred&amp;Subs'!$K$137:$S$137,0)),0),IF($C327=2,O327*IFERROR(INDEX('TaxCred&amp;Subs'!$K$139:$S$151,MATCH($C327&amp;$D327,'TaxCred&amp;Subs'!$D$139:$D$151,0),MATCH($H327,'TaxCred&amp;Subs'!$K$137:$S$137,0)),0),O327*IFERROR(INDEX('TaxCred&amp;Subs'!$K$139:$S$151,MATCH($C327&amp;$D327,'TaxCred&amp;Subs'!$C$139:$C$151,0),MATCH($H327,'TaxCred&amp;Subs'!$K$137:$S$137,0)),0))),0),0)</f>
        <v>241</v>
      </c>
      <c r="T327" s="95">
        <f t="shared" si="18"/>
        <v>0</v>
      </c>
      <c r="U327" s="95">
        <f t="shared" si="19"/>
        <v>0</v>
      </c>
      <c r="V327" s="28" t="s">
        <v>222</v>
      </c>
      <c r="W327" s="31">
        <v>2020</v>
      </c>
      <c r="X327" s="28">
        <v>1</v>
      </c>
      <c r="Y327" s="28">
        <v>0</v>
      </c>
      <c r="Z327" s="196">
        <v>-2.1513024844954491E-4</v>
      </c>
      <c r="AA327" s="196">
        <v>-3.3096961299929986E-3</v>
      </c>
      <c r="AB327" s="28">
        <v>0</v>
      </c>
      <c r="AC327" s="28">
        <v>0</v>
      </c>
      <c r="AD327" s="28" t="s">
        <v>337</v>
      </c>
    </row>
    <row r="328" spans="2:31" ht="14.25" customHeight="1" x14ac:dyDescent="0.2">
      <c r="B328" s="7">
        <f t="shared" si="20"/>
        <v>304</v>
      </c>
      <c r="C328" s="28">
        <v>1</v>
      </c>
      <c r="D328" s="28">
        <v>10</v>
      </c>
      <c r="E328" s="31">
        <v>34</v>
      </c>
      <c r="F328" s="78">
        <v>2035</v>
      </c>
      <c r="G328" s="28">
        <v>2050</v>
      </c>
      <c r="H328" s="28">
        <v>8</v>
      </c>
      <c r="I328" s="31">
        <v>34</v>
      </c>
      <c r="J328" s="28">
        <v>0</v>
      </c>
      <c r="K328" s="28">
        <v>0</v>
      </c>
      <c r="L328" s="28">
        <v>0</v>
      </c>
      <c r="M328" s="75">
        <v>4.5</v>
      </c>
      <c r="N328" s="151">
        <v>10027.5</v>
      </c>
      <c r="O328" s="151">
        <v>6530</v>
      </c>
      <c r="P328" s="95">
        <f t="array" ref="P328">ROUND(IF($F328&lt;='TaxCred&amp;Subs'!$C$49,(IF($C328=2,IF($M328&gt;=IFERROR(INDEX('TaxCred&amp;Subs'!$L$12:$L$47,MATCH(1,($C328&amp;$D328='TaxCred&amp;Subs'!$E$12:$E$47)*($F328='TaxCred&amp;Subs'!$C$12:$C$47),0)
),9999),IFERROR(INDEX('TaxCred&amp;Subs'!$N$12:$N$47,MATCH(1,($C328&amp;$D328='TaxCred&amp;Subs'!$E$12:$E$47)*($F328='TaxCred&amp;Subs'!$C$12:$C$47),0)
),0),0),(IF($M328&gt;=IFERROR(INDEX('TaxCred&amp;Subs'!$H$12:$H$47,MATCH(1,($C328&amp;$D328='TaxCred&amp;Subs'!$D$12:$D$47)*($F328='TaxCred&amp;Subs'!$C$12:$C$47),0)
),9999),IFERROR(INDEX('TaxCred&amp;Subs'!$N$12:$N$47,MATCH(1,($C328&amp;$D328='TaxCred&amp;Subs'!$D$12:$D$47)*($F328='TaxCred&amp;Subs'!$C$12:$C$47),0)
),0),0)))),0)+IF(AND($C328=2,VALUE(RIGHT($AD328,1))&gt;2),(N328-R328)*(IFERROR(INDEX('TaxCred&amp;Subs'!$J$66:$J$99,MATCH(1,($C328&amp;$D328='TaxCred&amp;Subs'!$E$66:$E$99)*($F328='TaxCred&amp;Subs'!$C$66:$C$99),0)),0)),IF(AND($C328=1,VALUE(RIGHT($AD328,1))&gt;2),(N328-R328)*(IFERROR(INDEX('TaxCred&amp;Subs'!$J$66:$J$99,MATCH(1,($C328&amp;$D328='TaxCred&amp;Subs'!$D$66:$D$99)*($F328='TaxCred&amp;Subs'!$C$66:$C$99),0)),0)),IF($C328&gt;2,(N328-R328)*(IFERROR(INDEX('TaxCred&amp;Subs'!$J$66:$J$99,MATCH(1,($C328&amp;$D328='TaxCred&amp;Subs'!$D$66:$D$99)*($F328='TaxCred&amp;Subs'!$C$66:$C$99),0)),0)),0))),0)</f>
        <v>0</v>
      </c>
      <c r="Q328" s="95">
        <f t="array" ref="Q328">ROUND(IF(AND($C328=2,VALUE(RIGHT($AD328,1))&gt;2),(O328-S328)*(IFERROR(INDEX('TaxCred&amp;Subs'!$J$66:$J$99,MATCH(1,($C328&amp;$D328='TaxCred&amp;Subs'!$E$66:$E$99)*($F328='TaxCred&amp;Subs'!$C$66:$C$99),0)),0)),IF(AND($C328=1,VALUE(RIGHT($AD328,1))&gt;2),(O328-S328)*(IFERROR(INDEX('TaxCred&amp;Subs'!$J$66:$J$99,MATCH(1,($C328&amp;$D328='TaxCred&amp;Subs'!$D$66:$D$99)*($F328='TaxCred&amp;Subs'!$C$66:$C$99),0)),0)),IF($C328&gt;2,(O328-S328)*(IFERROR(INDEX('TaxCred&amp;Subs'!$J$66:$J$99,MATCH(1,($C328&amp;$D328='TaxCred&amp;Subs'!$D$66:$D$99)*($F328='TaxCred&amp;Subs'!$C$66:$C$99),0)),0)),0))),0)</f>
        <v>0</v>
      </c>
      <c r="R328" s="95">
        <f t="array" ref="R328">ROUND(IF(IFERROR(VALUE(RIGHT($AD328,1)),0)&gt;2,IF($C328=8,N328*IFERROR(INDEX('TaxCred&amp;Subs'!$K$139:$S$151,MATCH($C328&amp;$D328&amp;LEFT($AD328,7),'TaxCred&amp;Subs'!$E$139:$E$151,0),MATCH($H328,'TaxCred&amp;Subs'!$K$137:$S$137,0)),0),IF($C328=2,N328*IFERROR(INDEX('TaxCred&amp;Subs'!$K$139:$S$151,MATCH($C328&amp;$D328,'TaxCred&amp;Subs'!$D$139:$D$151,0),MATCH($H328,'TaxCred&amp;Subs'!$K$137:$S$137,0)),0),N328*IFERROR(INDEX('TaxCred&amp;Subs'!$K$139:$S$151,MATCH($C328&amp;$D328,'TaxCred&amp;Subs'!$C$139:$C$151,0),MATCH($H328,'TaxCred&amp;Subs'!$K$137:$S$137,0)),0))),0),0)</f>
        <v>504</v>
      </c>
      <c r="S328" s="95">
        <f t="array" ref="S328">ROUND(IF(IFERROR(VALUE(RIGHT($AD328,1)),0)&gt;2,IF($C328=8,O328*IFERROR(INDEX('TaxCred&amp;Subs'!$K$139:$S$151,MATCH($C328&amp;$D328&amp;LEFT($AD328,7),'TaxCred&amp;Subs'!$E$139:$E$151,0),MATCH($H328,'TaxCred&amp;Subs'!$K$137:$S$137,0)),0),IF($C328=2,O328*IFERROR(INDEX('TaxCred&amp;Subs'!$K$139:$S$151,MATCH($C328&amp;$D328,'TaxCred&amp;Subs'!$D$139:$D$151,0),MATCH($H328,'TaxCred&amp;Subs'!$K$137:$S$137,0)),0),O328*IFERROR(INDEX('TaxCred&amp;Subs'!$K$139:$S$151,MATCH($C328&amp;$D328,'TaxCred&amp;Subs'!$C$139:$C$151,0),MATCH($H328,'TaxCred&amp;Subs'!$K$137:$S$137,0)),0))),0),0)</f>
        <v>328</v>
      </c>
      <c r="T328" s="95">
        <f t="shared" si="18"/>
        <v>0</v>
      </c>
      <c r="U328" s="95">
        <f t="shared" si="19"/>
        <v>0</v>
      </c>
      <c r="V328" s="28" t="s">
        <v>222</v>
      </c>
      <c r="W328" s="31">
        <v>2020</v>
      </c>
      <c r="X328" s="28">
        <v>1</v>
      </c>
      <c r="Y328" s="28">
        <v>0</v>
      </c>
      <c r="Z328" s="196">
        <v>-2.1513024844954491E-4</v>
      </c>
      <c r="AA328" s="196">
        <v>-3.3096961299929986E-3</v>
      </c>
      <c r="AB328" s="28">
        <v>0</v>
      </c>
      <c r="AC328" s="28">
        <v>0</v>
      </c>
      <c r="AD328" s="28" t="s">
        <v>337</v>
      </c>
    </row>
    <row r="329" spans="2:31" ht="14.25" customHeight="1" x14ac:dyDescent="0.2">
      <c r="B329" s="7">
        <f t="shared" si="20"/>
        <v>305</v>
      </c>
      <c r="C329" s="28">
        <v>1</v>
      </c>
      <c r="D329" s="28">
        <v>10</v>
      </c>
      <c r="E329" s="31">
        <v>34</v>
      </c>
      <c r="F329" s="78">
        <v>2035</v>
      </c>
      <c r="G329" s="28">
        <v>2050</v>
      </c>
      <c r="H329" s="28">
        <v>9</v>
      </c>
      <c r="I329" s="31">
        <v>34</v>
      </c>
      <c r="J329" s="28">
        <v>0</v>
      </c>
      <c r="K329" s="28">
        <v>0</v>
      </c>
      <c r="L329" s="28">
        <v>0</v>
      </c>
      <c r="M329" s="75">
        <v>4.5</v>
      </c>
      <c r="N329" s="151">
        <v>10027.5</v>
      </c>
      <c r="O329" s="151">
        <v>6530</v>
      </c>
      <c r="P329" s="95">
        <f t="array" ref="P329">ROUND(IF($F329&lt;='TaxCred&amp;Subs'!$C$49,(IF($C329=2,IF($M329&gt;=IFERROR(INDEX('TaxCred&amp;Subs'!$L$12:$L$47,MATCH(1,($C329&amp;$D329='TaxCred&amp;Subs'!$E$12:$E$47)*($F329='TaxCred&amp;Subs'!$C$12:$C$47),0)
),9999),IFERROR(INDEX('TaxCred&amp;Subs'!$N$12:$N$47,MATCH(1,($C329&amp;$D329='TaxCred&amp;Subs'!$E$12:$E$47)*($F329='TaxCred&amp;Subs'!$C$12:$C$47),0)
),0),0),(IF($M329&gt;=IFERROR(INDEX('TaxCred&amp;Subs'!$H$12:$H$47,MATCH(1,($C329&amp;$D329='TaxCred&amp;Subs'!$D$12:$D$47)*($F329='TaxCred&amp;Subs'!$C$12:$C$47),0)
),9999),IFERROR(INDEX('TaxCred&amp;Subs'!$N$12:$N$47,MATCH(1,($C329&amp;$D329='TaxCred&amp;Subs'!$D$12:$D$47)*($F329='TaxCred&amp;Subs'!$C$12:$C$47),0)
),0),0)))),0)+IF(AND($C329=2,VALUE(RIGHT($AD329,1))&gt;2),(N329-R329)*(IFERROR(INDEX('TaxCred&amp;Subs'!$J$66:$J$99,MATCH(1,($C329&amp;$D329='TaxCred&amp;Subs'!$E$66:$E$99)*($F329='TaxCred&amp;Subs'!$C$66:$C$99),0)),0)),IF(AND($C329=1,VALUE(RIGHT($AD329,1))&gt;2),(N329-R329)*(IFERROR(INDEX('TaxCred&amp;Subs'!$J$66:$J$99,MATCH(1,($C329&amp;$D329='TaxCred&amp;Subs'!$D$66:$D$99)*($F329='TaxCred&amp;Subs'!$C$66:$C$99),0)),0)),IF($C329&gt;2,(N329-R329)*(IFERROR(INDEX('TaxCred&amp;Subs'!$J$66:$J$99,MATCH(1,($C329&amp;$D329='TaxCred&amp;Subs'!$D$66:$D$99)*($F329='TaxCred&amp;Subs'!$C$66:$C$99),0)),0)),0))),0)</f>
        <v>0</v>
      </c>
      <c r="Q329" s="95">
        <f t="array" ref="Q329">ROUND(IF(AND($C329=2,VALUE(RIGHT($AD329,1))&gt;2),(O329-S329)*(IFERROR(INDEX('TaxCred&amp;Subs'!$J$66:$J$99,MATCH(1,($C329&amp;$D329='TaxCred&amp;Subs'!$E$66:$E$99)*($F329='TaxCred&amp;Subs'!$C$66:$C$99),0)),0)),IF(AND($C329=1,VALUE(RIGHT($AD329,1))&gt;2),(O329-S329)*(IFERROR(INDEX('TaxCred&amp;Subs'!$J$66:$J$99,MATCH(1,($C329&amp;$D329='TaxCred&amp;Subs'!$D$66:$D$99)*($F329='TaxCred&amp;Subs'!$C$66:$C$99),0)),0)),IF($C329&gt;2,(O329-S329)*(IFERROR(INDEX('TaxCred&amp;Subs'!$J$66:$J$99,MATCH(1,($C329&amp;$D329='TaxCred&amp;Subs'!$D$66:$D$99)*($F329='TaxCred&amp;Subs'!$C$66:$C$99),0)),0)),0))),0)</f>
        <v>0</v>
      </c>
      <c r="R329" s="95">
        <f t="array" ref="R329">ROUND(IF(IFERROR(VALUE(RIGHT($AD329,1)),0)&gt;2,IF($C329=8,N329*IFERROR(INDEX('TaxCred&amp;Subs'!$K$139:$S$151,MATCH($C329&amp;$D329&amp;LEFT($AD329,7),'TaxCred&amp;Subs'!$E$139:$E$151,0),MATCH($H329,'TaxCred&amp;Subs'!$K$137:$S$137,0)),0),IF($C329=2,N329*IFERROR(INDEX('TaxCred&amp;Subs'!$K$139:$S$151,MATCH($C329&amp;$D329,'TaxCred&amp;Subs'!$D$139:$D$151,0),MATCH($H329,'TaxCred&amp;Subs'!$K$137:$S$137,0)),0),N329*IFERROR(INDEX('TaxCred&amp;Subs'!$K$139:$S$151,MATCH($C329&amp;$D329,'TaxCred&amp;Subs'!$C$139:$C$151,0),MATCH($H329,'TaxCred&amp;Subs'!$K$137:$S$137,0)),0))),0),0)</f>
        <v>246</v>
      </c>
      <c r="S329" s="95">
        <f t="array" ref="S329">ROUND(IF(IFERROR(VALUE(RIGHT($AD329,1)),0)&gt;2,IF($C329=8,O329*IFERROR(INDEX('TaxCred&amp;Subs'!$K$139:$S$151,MATCH($C329&amp;$D329&amp;LEFT($AD329,7),'TaxCred&amp;Subs'!$E$139:$E$151,0),MATCH($H329,'TaxCred&amp;Subs'!$K$137:$S$137,0)),0),IF($C329=2,O329*IFERROR(INDEX('TaxCred&amp;Subs'!$K$139:$S$151,MATCH($C329&amp;$D329,'TaxCred&amp;Subs'!$D$139:$D$151,0),MATCH($H329,'TaxCred&amp;Subs'!$K$137:$S$137,0)),0),O329*IFERROR(INDEX('TaxCred&amp;Subs'!$K$139:$S$151,MATCH($C329&amp;$D329,'TaxCred&amp;Subs'!$C$139:$C$151,0),MATCH($H329,'TaxCred&amp;Subs'!$K$137:$S$137,0)),0))),0),0)</f>
        <v>160</v>
      </c>
      <c r="T329" s="172">
        <f t="shared" si="18"/>
        <v>1504.125</v>
      </c>
      <c r="U329" s="172">
        <f t="shared" si="19"/>
        <v>979.5</v>
      </c>
      <c r="V329" s="28" t="s">
        <v>222</v>
      </c>
      <c r="W329" s="31">
        <v>2020</v>
      </c>
      <c r="X329" s="28">
        <v>1</v>
      </c>
      <c r="Y329" s="28">
        <v>0</v>
      </c>
      <c r="Z329" s="196">
        <v>-2.1513024844954491E-4</v>
      </c>
      <c r="AA329" s="196">
        <v>-3.3096961299929986E-3</v>
      </c>
      <c r="AB329" s="28">
        <v>0</v>
      </c>
      <c r="AC329" s="28">
        <v>0</v>
      </c>
      <c r="AD329" s="28" t="s">
        <v>337</v>
      </c>
    </row>
    <row r="330" spans="2:31" x14ac:dyDescent="0.2">
      <c r="B330" s="7">
        <f t="shared" si="20"/>
        <v>306</v>
      </c>
      <c r="C330" s="28">
        <v>1</v>
      </c>
      <c r="D330" s="28">
        <v>11</v>
      </c>
      <c r="E330" s="31">
        <v>35</v>
      </c>
      <c r="F330" s="96">
        <v>2020</v>
      </c>
      <c r="G330" s="28">
        <v>2050</v>
      </c>
      <c r="H330" s="28">
        <v>11</v>
      </c>
      <c r="I330" s="31">
        <v>35</v>
      </c>
      <c r="J330" s="28">
        <v>0</v>
      </c>
      <c r="K330" s="28">
        <v>0</v>
      </c>
      <c r="L330" s="28">
        <v>0</v>
      </c>
      <c r="M330" s="75">
        <v>1.3</v>
      </c>
      <c r="N330" s="79">
        <v>6800</v>
      </c>
      <c r="O330" s="79">
        <v>11600</v>
      </c>
      <c r="P330" s="95">
        <f t="array" ref="P330">ROUND(IF($F330&lt;='TaxCred&amp;Subs'!$C$49,(IF($C330=2,IF($M330&gt;=IFERROR(INDEX('TaxCred&amp;Subs'!$L$12:$L$47,MATCH(1,($C330&amp;$D330='TaxCred&amp;Subs'!$E$12:$E$47)*($F330='TaxCred&amp;Subs'!$C$12:$C$47),0)
),9999),IFERROR(INDEX('TaxCred&amp;Subs'!$N$12:$N$47,MATCH(1,($C330&amp;$D330='TaxCred&amp;Subs'!$E$12:$E$47)*($F330='TaxCred&amp;Subs'!$C$12:$C$47),0)
),0),0),(IF($M330&gt;=IFERROR(INDEX('TaxCred&amp;Subs'!$H$12:$H$47,MATCH(1,($C330&amp;$D330='TaxCred&amp;Subs'!$D$12:$D$47)*($F330='TaxCred&amp;Subs'!$C$12:$C$47),0)
),9999),IFERROR(INDEX('TaxCred&amp;Subs'!$N$12:$N$47,MATCH(1,($C330&amp;$D330='TaxCred&amp;Subs'!$D$12:$D$47)*($F330='TaxCred&amp;Subs'!$C$12:$C$47),0)
),0),0)))),0)+IF(AND($C330=2,VALUE(RIGHT($AD330,1))&gt;2),(N330-R330)*(IFERROR(INDEX('TaxCred&amp;Subs'!$J$66:$J$99,MATCH(1,($C330&amp;$D330='TaxCred&amp;Subs'!$E$66:$E$99)*($F330='TaxCred&amp;Subs'!$C$66:$C$99),0)),0)),IF(AND($C330=1,VALUE(RIGHT($AD330,1))&gt;2),(N330-R330)*(IFERROR(INDEX('TaxCred&amp;Subs'!$J$66:$J$99,MATCH(1,($C330&amp;$D330='TaxCred&amp;Subs'!$D$66:$D$99)*($F330='TaxCred&amp;Subs'!$C$66:$C$99),0)),0)),IF($C330&gt;2,(N330-R330)*(IFERROR(INDEX('TaxCred&amp;Subs'!$J$66:$J$99,MATCH(1,($C330&amp;$D330='TaxCred&amp;Subs'!$D$66:$D$99)*($F330='TaxCred&amp;Subs'!$C$66:$C$99),0)),0)),0))),0)</f>
        <v>0</v>
      </c>
      <c r="Q330" s="95">
        <f t="array" ref="Q330">ROUND(IF(AND($C330=2,VALUE(RIGHT($AD330,1))&gt;2),(O330-S330)*(IFERROR(INDEX('TaxCred&amp;Subs'!$J$66:$J$99,MATCH(1,($C330&amp;$D330='TaxCred&amp;Subs'!$E$66:$E$99)*($F330='TaxCred&amp;Subs'!$C$66:$C$99),0)),0)),IF(AND($C330=1,VALUE(RIGHT($AD330,1))&gt;2),(O330-S330)*(IFERROR(INDEX('TaxCred&amp;Subs'!$J$66:$J$99,MATCH(1,($C330&amp;$D330='TaxCred&amp;Subs'!$D$66:$D$99)*($F330='TaxCred&amp;Subs'!$C$66:$C$99),0)),0)),IF($C330&gt;2,(O330-S330)*(IFERROR(INDEX('TaxCred&amp;Subs'!$J$66:$J$99,MATCH(1,($C330&amp;$D330='TaxCred&amp;Subs'!$D$66:$D$99)*($F330='TaxCred&amp;Subs'!$C$66:$C$99),0)),0)),0))),0)</f>
        <v>0</v>
      </c>
      <c r="R330" s="95">
        <f t="array" ref="R330">ROUND(IF(IFERROR(VALUE(RIGHT($AD330,1)),0)&gt;2,IF($C330=8,N330*IFERROR(INDEX('TaxCred&amp;Subs'!$K$139:$S$151,MATCH($C330&amp;$D330&amp;LEFT($AD330,7),'TaxCred&amp;Subs'!$E$139:$E$151,0),MATCH($H330,'TaxCred&amp;Subs'!$K$137:$S$137,0)),0),IF($C330=2,N330*IFERROR(INDEX('TaxCred&amp;Subs'!$K$139:$S$151,MATCH($C330&amp;$D330,'TaxCred&amp;Subs'!$D$139:$D$151,0),MATCH($H330,'TaxCred&amp;Subs'!$K$137:$S$137,0)),0),N330*IFERROR(INDEX('TaxCred&amp;Subs'!$K$139:$S$151,MATCH($C330&amp;$D330,'TaxCred&amp;Subs'!$C$139:$C$151,0),MATCH($H330,'TaxCred&amp;Subs'!$K$137:$S$137,0)),0))),0),0)</f>
        <v>0</v>
      </c>
      <c r="S330" s="95">
        <f t="array" ref="S330">ROUND(IF(IFERROR(VALUE(RIGHT($AD330,1)),0)&gt;2,IF($C330=8,O330*IFERROR(INDEX('TaxCred&amp;Subs'!$K$139:$S$151,MATCH($C330&amp;$D330&amp;LEFT($AD330,7),'TaxCred&amp;Subs'!$E$139:$E$151,0),MATCH($H330,'TaxCred&amp;Subs'!$K$137:$S$137,0)),0),IF($C330=2,O330*IFERROR(INDEX('TaxCred&amp;Subs'!$K$139:$S$151,MATCH($C330&amp;$D330,'TaxCred&amp;Subs'!$D$139:$D$151,0),MATCH($H330,'TaxCred&amp;Subs'!$K$137:$S$137,0)),0),O330*IFERROR(INDEX('TaxCred&amp;Subs'!$K$139:$S$151,MATCH($C330&amp;$D330,'TaxCred&amp;Subs'!$C$139:$C$151,0),MATCH($H330,'TaxCred&amp;Subs'!$K$137:$S$137,0)),0))),0),0)</f>
        <v>0</v>
      </c>
      <c r="T330" s="95">
        <f t="shared" si="18"/>
        <v>0</v>
      </c>
      <c r="U330" s="95">
        <f t="shared" si="19"/>
        <v>0</v>
      </c>
      <c r="V330" s="28" t="s">
        <v>222</v>
      </c>
      <c r="W330" s="31">
        <v>2020</v>
      </c>
      <c r="X330" s="28">
        <v>1</v>
      </c>
      <c r="Y330" s="28">
        <v>0</v>
      </c>
      <c r="Z330" s="196">
        <v>-1.8813884097842274E-4</v>
      </c>
      <c r="AA330" s="196">
        <v>-2.89444370736035E-3</v>
      </c>
      <c r="AB330" s="28">
        <v>0</v>
      </c>
      <c r="AC330" s="28">
        <v>0</v>
      </c>
      <c r="AD330" s="28" t="s">
        <v>338</v>
      </c>
    </row>
    <row r="331" spans="2:31" ht="14.25" customHeight="1" x14ac:dyDescent="0.2">
      <c r="B331" s="7">
        <f t="shared" si="20"/>
        <v>307</v>
      </c>
      <c r="C331" s="28">
        <v>2</v>
      </c>
      <c r="D331" s="28">
        <v>1</v>
      </c>
      <c r="E331" s="28">
        <v>1</v>
      </c>
      <c r="F331" s="96">
        <v>2020</v>
      </c>
      <c r="G331" s="31">
        <v>2026</v>
      </c>
      <c r="H331" s="28">
        <v>11</v>
      </c>
      <c r="I331" s="96">
        <v>36</v>
      </c>
      <c r="J331" s="28">
        <v>-1</v>
      </c>
      <c r="K331" s="28">
        <v>0</v>
      </c>
      <c r="L331" s="28">
        <v>0</v>
      </c>
      <c r="M331" s="75">
        <v>3.1946072684642441</v>
      </c>
      <c r="N331" s="151">
        <v>560</v>
      </c>
      <c r="O331" s="151">
        <v>405</v>
      </c>
      <c r="P331" s="95">
        <f t="array" ref="P331">ROUND(IF($F331&lt;='TaxCred&amp;Subs'!$C$49,(IF($C331=2,IF($M331&gt;=IFERROR(INDEX('TaxCred&amp;Subs'!$L$12:$L$47,MATCH(1,($C331&amp;$D331='TaxCred&amp;Subs'!$E$12:$E$47)*($F331='TaxCred&amp;Subs'!$C$12:$C$47),0)
),9999),IFERROR(INDEX('TaxCred&amp;Subs'!$N$12:$N$47,MATCH(1,($C331&amp;$D331='TaxCred&amp;Subs'!$E$12:$E$47)*($F331='TaxCred&amp;Subs'!$C$12:$C$47),0)
),0),0),(IF($M331&gt;=IFERROR(INDEX('TaxCred&amp;Subs'!$H$12:$H$47,MATCH(1,($C331&amp;$D331='TaxCred&amp;Subs'!$D$12:$D$47)*($F331='TaxCred&amp;Subs'!$C$12:$C$47),0)
),9999),IFERROR(INDEX('TaxCred&amp;Subs'!$N$12:$N$47,MATCH(1,($C331&amp;$D331='TaxCred&amp;Subs'!$D$12:$D$47)*($F331='TaxCred&amp;Subs'!$C$12:$C$47),0)
),0),0)))),0)+IF(AND($C331=2,VALUE(RIGHT($AD331,1))&gt;2),(N331-R331)*(IFERROR(INDEX('TaxCred&amp;Subs'!$J$66:$J$99,MATCH(1,($C331&amp;$D331='TaxCred&amp;Subs'!$E$66:$E$99)*($F331='TaxCred&amp;Subs'!$C$66:$C$99),0)),0)),IF(AND($C331=1,VALUE(RIGHT($AD331,1))&gt;2),(N331-R331)*(IFERROR(INDEX('TaxCred&amp;Subs'!$J$66:$J$99,MATCH(1,($C331&amp;$D331='TaxCred&amp;Subs'!$D$66:$D$99)*($F331='TaxCred&amp;Subs'!$C$66:$C$99),0)),0)),IF($C331&gt;2,(N331-R331)*(IFERROR(INDEX('TaxCred&amp;Subs'!$J$66:$J$99,MATCH(1,($C331&amp;$D331='TaxCred&amp;Subs'!$D$66:$D$99)*($F331='TaxCred&amp;Subs'!$C$66:$C$99),0)),0)),0))),0)</f>
        <v>0</v>
      </c>
      <c r="Q331" s="95">
        <f t="array" ref="Q331">ROUND(IF(AND($C331=2,VALUE(RIGHT($AD331,1))&gt;2),(O331-S331)*(IFERROR(INDEX('TaxCred&amp;Subs'!$J$66:$J$99,MATCH(1,($C331&amp;$D331='TaxCred&amp;Subs'!$E$66:$E$99)*($F331='TaxCred&amp;Subs'!$C$66:$C$99),0)),0)),IF(AND($C331=1,VALUE(RIGHT($AD331,1))&gt;2),(O331-S331)*(IFERROR(INDEX('TaxCred&amp;Subs'!$J$66:$J$99,MATCH(1,($C331&amp;$D331='TaxCred&amp;Subs'!$D$66:$D$99)*($F331='TaxCred&amp;Subs'!$C$66:$C$99),0)),0)),IF($C331&gt;2,(O331-S331)*(IFERROR(INDEX('TaxCred&amp;Subs'!$J$66:$J$99,MATCH(1,($C331&amp;$D331='TaxCred&amp;Subs'!$D$66:$D$99)*($F331='TaxCred&amp;Subs'!$C$66:$C$99),0)),0)),0))),0)</f>
        <v>0</v>
      </c>
      <c r="R331" s="95">
        <f t="array" ref="R331">ROUND(IF(IFERROR(VALUE(RIGHT($AD331,1)),0)&gt;2,IF($C331=8,N331*IFERROR(INDEX('TaxCred&amp;Subs'!$K$139:$S$151,MATCH($C331&amp;$D331&amp;LEFT($AD331,7),'TaxCred&amp;Subs'!$E$139:$E$151,0),MATCH($H331,'TaxCred&amp;Subs'!$K$137:$S$137,0)),0),IF($C331=2,N331*IFERROR(INDEX('TaxCred&amp;Subs'!$K$139:$S$151,MATCH($C331&amp;$D331,'TaxCred&amp;Subs'!$D$139:$D$151,0),MATCH($H331,'TaxCred&amp;Subs'!$K$137:$S$137,0)),0),N331*IFERROR(INDEX('TaxCred&amp;Subs'!$K$139:$S$151,MATCH($C331&amp;$D331,'TaxCred&amp;Subs'!$C$139:$C$151,0),MATCH($H331,'TaxCred&amp;Subs'!$K$137:$S$137,0)),0))),0),0)</f>
        <v>0</v>
      </c>
      <c r="S331" s="95">
        <f t="array" ref="S331">ROUND(IF(IFERROR(VALUE(RIGHT($AD331,1)),0)&gt;2,IF($C331=8,O331*IFERROR(INDEX('TaxCred&amp;Subs'!$K$139:$S$151,MATCH($C331&amp;$D331&amp;LEFT($AD331,7),'TaxCred&amp;Subs'!$E$139:$E$151,0),MATCH($H331,'TaxCred&amp;Subs'!$K$137:$S$137,0)),0),IF($C331=2,O331*IFERROR(INDEX('TaxCred&amp;Subs'!$K$139:$S$151,MATCH($C331&amp;$D331,'TaxCred&amp;Subs'!$D$139:$D$151,0),MATCH($H331,'TaxCred&amp;Subs'!$K$137:$S$137,0)),0),O331*IFERROR(INDEX('TaxCred&amp;Subs'!$K$139:$S$151,MATCH($C331&amp;$D331,'TaxCred&amp;Subs'!$C$139:$C$151,0),MATCH($H331,'TaxCred&amp;Subs'!$K$137:$S$137,0)),0))),0),0)</f>
        <v>0</v>
      </c>
      <c r="T331" s="95">
        <f t="shared" si="18"/>
        <v>0</v>
      </c>
      <c r="U331" s="95">
        <f t="shared" si="19"/>
        <v>0</v>
      </c>
      <c r="V331" s="28" t="s">
        <v>222</v>
      </c>
      <c r="W331" s="31">
        <v>2020</v>
      </c>
      <c r="X331" s="28">
        <v>1</v>
      </c>
      <c r="Y331" s="28">
        <v>0</v>
      </c>
      <c r="Z331" s="196">
        <v>-5.7147920636683091E-3</v>
      </c>
      <c r="AA331" s="196">
        <v>-8.7919877902589372E-2</v>
      </c>
      <c r="AB331" s="28">
        <v>0</v>
      </c>
      <c r="AC331" s="28">
        <v>0</v>
      </c>
      <c r="AD331" s="28" t="s">
        <v>362</v>
      </c>
    </row>
    <row r="332" spans="2:31" ht="14.25" customHeight="1" x14ac:dyDescent="0.2">
      <c r="B332" s="7">
        <f t="shared" si="20"/>
        <v>308</v>
      </c>
      <c r="C332" s="152">
        <v>2</v>
      </c>
      <c r="D332" s="152">
        <v>1</v>
      </c>
      <c r="E332" s="152">
        <v>1</v>
      </c>
      <c r="F332" s="153">
        <v>2027</v>
      </c>
      <c r="G332" s="152">
        <v>2050</v>
      </c>
      <c r="H332" s="152">
        <v>11</v>
      </c>
      <c r="I332" s="153">
        <v>36</v>
      </c>
      <c r="J332" s="152">
        <v>-1</v>
      </c>
      <c r="K332" s="152">
        <v>0</v>
      </c>
      <c r="L332" s="152">
        <v>0</v>
      </c>
      <c r="M332" s="154">
        <v>4.6893317702227435</v>
      </c>
      <c r="N332" s="155">
        <v>687.89808917197456</v>
      </c>
      <c r="O332" s="155">
        <v>529.93630573248413</v>
      </c>
      <c r="P332" s="41">
        <f t="array" ref="P332">ROUND(IF($F332&lt;='TaxCred&amp;Subs'!$C$49,(IF($C332=2,IF($M332&gt;=IFERROR(INDEX('TaxCred&amp;Subs'!$L$12:$L$47,MATCH(1,($C332&amp;$D332='TaxCred&amp;Subs'!$E$12:$E$47)*($F332='TaxCred&amp;Subs'!$C$12:$C$47),0)
),9999),IFERROR(INDEX('TaxCred&amp;Subs'!$N$12:$N$47,MATCH(1,($C332&amp;$D332='TaxCred&amp;Subs'!$E$12:$E$47)*($F332='TaxCred&amp;Subs'!$C$12:$C$47),0)
),0),0),(IF($M332&gt;=IFERROR(INDEX('TaxCred&amp;Subs'!$H$12:$H$47,MATCH(1,($C332&amp;$D332='TaxCred&amp;Subs'!$D$12:$D$47)*($F332='TaxCred&amp;Subs'!$C$12:$C$47),0)
),9999),IFERROR(INDEX('TaxCred&amp;Subs'!$N$12:$N$47,MATCH(1,($C332&amp;$D332='TaxCred&amp;Subs'!$D$12:$D$47)*($F332='TaxCred&amp;Subs'!$C$12:$C$47),0)
),0),0)))),0)+IF(AND($C332=2,VALUE(RIGHT($AD332,1))&gt;2),(N332-R332)*(IFERROR(INDEX('TaxCred&amp;Subs'!$J$66:$J$99,MATCH(1,($C332&amp;$D332='TaxCred&amp;Subs'!$E$66:$E$99)*($F332='TaxCred&amp;Subs'!$C$66:$C$99),0)),0)),IF(AND($C332=1,VALUE(RIGHT($AD332,1))&gt;2),(N332-R332)*(IFERROR(INDEX('TaxCred&amp;Subs'!$J$66:$J$99,MATCH(1,($C332&amp;$D332='TaxCred&amp;Subs'!$D$66:$D$99)*($F332='TaxCred&amp;Subs'!$C$66:$C$99),0)),0)),IF($C332&gt;2,(N332-R332)*(IFERROR(INDEX('TaxCred&amp;Subs'!$J$66:$J$99,MATCH(1,($C332&amp;$D332='TaxCred&amp;Subs'!$D$66:$D$99)*($F332='TaxCred&amp;Subs'!$C$66:$C$99),0)),0)),0))),0)</f>
        <v>0</v>
      </c>
      <c r="Q332" s="41">
        <f t="array" ref="Q332">ROUND(IF(AND($C332=2,VALUE(RIGHT($AD332,1))&gt;2),(O332-S332)*(IFERROR(INDEX('TaxCred&amp;Subs'!$J$66:$J$99,MATCH(1,($C332&amp;$D332='TaxCred&amp;Subs'!$E$66:$E$99)*($F332='TaxCred&amp;Subs'!$C$66:$C$99),0)),0)),IF(AND($C332=1,VALUE(RIGHT($AD332,1))&gt;2),(O332-S332)*(IFERROR(INDEX('TaxCred&amp;Subs'!$J$66:$J$99,MATCH(1,($C332&amp;$D332='TaxCred&amp;Subs'!$D$66:$D$99)*($F332='TaxCred&amp;Subs'!$C$66:$C$99),0)),0)),IF($C332&gt;2,(O332-S332)*(IFERROR(INDEX('TaxCred&amp;Subs'!$J$66:$J$99,MATCH(1,($C332&amp;$D332='TaxCred&amp;Subs'!$D$66:$D$99)*($F332='TaxCred&amp;Subs'!$C$66:$C$99),0)),0)),0))),0)</f>
        <v>0</v>
      </c>
      <c r="R332" s="41">
        <f t="array" ref="R332">ROUND(IF(IFERROR(VALUE(RIGHT($AD332,1)),0)&gt;2,IF($C332=8,N332*IFERROR(INDEX('TaxCred&amp;Subs'!$K$139:$S$151,MATCH($C332&amp;$D332&amp;LEFT($AD332,7),'TaxCred&amp;Subs'!$E$139:$E$151,0),MATCH($H332,'TaxCred&amp;Subs'!$K$137:$S$137,0)),0),IF($C332=2,N332*IFERROR(INDEX('TaxCred&amp;Subs'!$K$139:$S$151,MATCH($C332&amp;$D332,'TaxCred&amp;Subs'!$D$139:$D$151,0),MATCH($H332,'TaxCred&amp;Subs'!$K$137:$S$137,0)),0),N332*IFERROR(INDEX('TaxCred&amp;Subs'!$K$139:$S$151,MATCH($C332&amp;$D332,'TaxCred&amp;Subs'!$C$139:$C$151,0),MATCH($H332,'TaxCred&amp;Subs'!$K$137:$S$137,0)),0))),0),0)</f>
        <v>0</v>
      </c>
      <c r="S332" s="41">
        <f t="array" ref="S332">ROUND(IF(IFERROR(VALUE(RIGHT($AD332,1)),0)&gt;2,IF($C332=8,O332*IFERROR(INDEX('TaxCred&amp;Subs'!$K$139:$S$151,MATCH($C332&amp;$D332&amp;LEFT($AD332,7),'TaxCred&amp;Subs'!$E$139:$E$151,0),MATCH($H332,'TaxCred&amp;Subs'!$K$137:$S$137,0)),0),IF($C332=2,O332*IFERROR(INDEX('TaxCred&amp;Subs'!$K$139:$S$151,MATCH($C332&amp;$D332,'TaxCred&amp;Subs'!$D$139:$D$151,0),MATCH($H332,'TaxCred&amp;Subs'!$K$137:$S$137,0)),0),O332*IFERROR(INDEX('TaxCred&amp;Subs'!$K$139:$S$151,MATCH($C332&amp;$D332,'TaxCred&amp;Subs'!$C$139:$C$151,0),MATCH($H332,'TaxCred&amp;Subs'!$K$137:$S$137,0)),0))),0),0)</f>
        <v>0</v>
      </c>
      <c r="T332" s="41">
        <f t="shared" ref="T332:T395" si="21">IF($H332=9,IF(R332&gt;0,(N332-P332)*0.15,0),0)</f>
        <v>0</v>
      </c>
      <c r="U332" s="41">
        <f t="shared" ref="U332:U395" si="22">IF($H332=9,IF(S332&gt;0,(O332-Q332)*0.15,0),0)</f>
        <v>0</v>
      </c>
      <c r="V332" s="152" t="s">
        <v>222</v>
      </c>
      <c r="W332" s="152">
        <v>2020</v>
      </c>
      <c r="X332" s="152">
        <v>1</v>
      </c>
      <c r="Y332" s="152">
        <v>0</v>
      </c>
      <c r="Z332" s="194">
        <v>-5.7147920636683091E-3</v>
      </c>
      <c r="AA332" s="194">
        <v>-8.7919877902589372E-2</v>
      </c>
      <c r="AB332" s="152">
        <v>0</v>
      </c>
      <c r="AC332" s="152">
        <v>0</v>
      </c>
      <c r="AD332" s="152" t="s">
        <v>362</v>
      </c>
    </row>
    <row r="333" spans="2:31" ht="14.25" customHeight="1" x14ac:dyDescent="0.2">
      <c r="B333" s="7">
        <f t="shared" si="20"/>
        <v>309</v>
      </c>
      <c r="C333" s="28">
        <v>2</v>
      </c>
      <c r="D333" s="28">
        <v>1</v>
      </c>
      <c r="E333" s="31">
        <v>2</v>
      </c>
      <c r="F333" s="96">
        <v>2020</v>
      </c>
      <c r="G333" s="31">
        <v>2023</v>
      </c>
      <c r="H333" s="28">
        <v>11</v>
      </c>
      <c r="I333" s="96">
        <v>37</v>
      </c>
      <c r="J333" s="28">
        <v>-1</v>
      </c>
      <c r="K333" s="28">
        <v>0</v>
      </c>
      <c r="L333" s="28">
        <v>0</v>
      </c>
      <c r="M333" s="75">
        <v>3.5169988276670576</v>
      </c>
      <c r="N333" s="151">
        <v>565</v>
      </c>
      <c r="O333" s="151">
        <v>410</v>
      </c>
      <c r="P333" s="95">
        <f t="array" ref="P333">ROUND(IF($F333&lt;='TaxCred&amp;Subs'!$C$49,(IF($C333=2,IF($M333&gt;=IFERROR(INDEX('TaxCred&amp;Subs'!$L$12:$L$47,MATCH(1,($C333&amp;$D333='TaxCred&amp;Subs'!$E$12:$E$47)*($F333='TaxCred&amp;Subs'!$C$12:$C$47),0)
),9999),IFERROR(INDEX('TaxCred&amp;Subs'!$N$12:$N$47,MATCH(1,($C333&amp;$D333='TaxCred&amp;Subs'!$E$12:$E$47)*($F333='TaxCred&amp;Subs'!$C$12:$C$47),0)
),0),0),(IF($M333&gt;=IFERROR(INDEX('TaxCred&amp;Subs'!$H$12:$H$47,MATCH(1,($C333&amp;$D333='TaxCred&amp;Subs'!$D$12:$D$47)*($F333='TaxCred&amp;Subs'!$C$12:$C$47),0)
),9999),IFERROR(INDEX('TaxCred&amp;Subs'!$N$12:$N$47,MATCH(1,($C333&amp;$D333='TaxCred&amp;Subs'!$D$12:$D$47)*($F333='TaxCred&amp;Subs'!$C$12:$C$47),0)
),0),0)))),0)+IF(AND($C333=2,VALUE(RIGHT($AD333,1))&gt;2),(N333-R333)*(IFERROR(INDEX('TaxCred&amp;Subs'!$J$66:$J$99,MATCH(1,($C333&amp;$D333='TaxCred&amp;Subs'!$E$66:$E$99)*($F333='TaxCred&amp;Subs'!$C$66:$C$99),0)),0)),IF(AND($C333=1,VALUE(RIGHT($AD333,1))&gt;2),(N333-R333)*(IFERROR(INDEX('TaxCred&amp;Subs'!$J$66:$J$99,MATCH(1,($C333&amp;$D333='TaxCred&amp;Subs'!$D$66:$D$99)*($F333='TaxCred&amp;Subs'!$C$66:$C$99),0)),0)),IF($C333&gt;2,(N333-R333)*(IFERROR(INDEX('TaxCred&amp;Subs'!$J$66:$J$99,MATCH(1,($C333&amp;$D333='TaxCred&amp;Subs'!$D$66:$D$99)*($F333='TaxCred&amp;Subs'!$C$66:$C$99),0)),0)),0))),0)</f>
        <v>0</v>
      </c>
      <c r="Q333" s="95">
        <f t="array" ref="Q333">ROUND(IF(AND($C333=2,VALUE(RIGHT($AD333,1))&gt;2),(O333-S333)*(IFERROR(INDEX('TaxCred&amp;Subs'!$J$66:$J$99,MATCH(1,($C333&amp;$D333='TaxCred&amp;Subs'!$E$66:$E$99)*($F333='TaxCred&amp;Subs'!$C$66:$C$99),0)),0)),IF(AND($C333=1,VALUE(RIGHT($AD333,1))&gt;2),(O333-S333)*(IFERROR(INDEX('TaxCred&amp;Subs'!$J$66:$J$99,MATCH(1,($C333&amp;$D333='TaxCred&amp;Subs'!$D$66:$D$99)*($F333='TaxCred&amp;Subs'!$C$66:$C$99),0)),0)),IF($C333&gt;2,(O333-S333)*(IFERROR(INDEX('TaxCred&amp;Subs'!$J$66:$J$99,MATCH(1,($C333&amp;$D333='TaxCred&amp;Subs'!$D$66:$D$99)*($F333='TaxCred&amp;Subs'!$C$66:$C$99),0)),0)),0))),0)</f>
        <v>0</v>
      </c>
      <c r="R333" s="95">
        <f t="array" ref="R333">ROUND(IF(IFERROR(VALUE(RIGHT($AD333,1)),0)&gt;2,IF($C333=8,N333*IFERROR(INDEX('TaxCred&amp;Subs'!$K$139:$S$151,MATCH($C333&amp;$D333&amp;LEFT($AD333,7),'TaxCred&amp;Subs'!$E$139:$E$151,0),MATCH($H333,'TaxCred&amp;Subs'!$K$137:$S$137,0)),0),IF($C333=2,N333*IFERROR(INDEX('TaxCred&amp;Subs'!$K$139:$S$151,MATCH($C333&amp;$D333,'TaxCred&amp;Subs'!$D$139:$D$151,0),MATCH($H333,'TaxCred&amp;Subs'!$K$137:$S$137,0)),0),N333*IFERROR(INDEX('TaxCred&amp;Subs'!$K$139:$S$151,MATCH($C333&amp;$D333,'TaxCred&amp;Subs'!$C$139:$C$151,0),MATCH($H333,'TaxCred&amp;Subs'!$K$137:$S$137,0)),0))),0),0)</f>
        <v>0</v>
      </c>
      <c r="S333" s="95">
        <f t="array" ref="S333">ROUND(IF(IFERROR(VALUE(RIGHT($AD333,1)),0)&gt;2,IF($C333=8,O333*IFERROR(INDEX('TaxCred&amp;Subs'!$K$139:$S$151,MATCH($C333&amp;$D333&amp;LEFT($AD333,7),'TaxCred&amp;Subs'!$E$139:$E$151,0),MATCH($H333,'TaxCred&amp;Subs'!$K$137:$S$137,0)),0),IF($C333=2,O333*IFERROR(INDEX('TaxCred&amp;Subs'!$K$139:$S$151,MATCH($C333&amp;$D333,'TaxCred&amp;Subs'!$D$139:$D$151,0),MATCH($H333,'TaxCred&amp;Subs'!$K$137:$S$137,0)),0),O333*IFERROR(INDEX('TaxCred&amp;Subs'!$K$139:$S$151,MATCH($C333&amp;$D333,'TaxCred&amp;Subs'!$C$139:$C$151,0),MATCH($H333,'TaxCred&amp;Subs'!$K$137:$S$137,0)),0))),0),0)</f>
        <v>0</v>
      </c>
      <c r="T333" s="95">
        <f t="shared" si="21"/>
        <v>0</v>
      </c>
      <c r="U333" s="95">
        <f t="shared" si="22"/>
        <v>0</v>
      </c>
      <c r="V333" s="28" t="s">
        <v>222</v>
      </c>
      <c r="W333" s="31">
        <v>2020</v>
      </c>
      <c r="X333" s="28">
        <v>1</v>
      </c>
      <c r="Y333" s="28">
        <v>0</v>
      </c>
      <c r="Z333" s="196">
        <v>-6.7792130678753244E-3</v>
      </c>
      <c r="AA333" s="196">
        <v>-0.10429558565962037</v>
      </c>
      <c r="AB333" s="28">
        <v>0</v>
      </c>
      <c r="AC333" s="28">
        <v>0</v>
      </c>
      <c r="AD333" s="28" t="s">
        <v>364</v>
      </c>
      <c r="AE333" t="s">
        <v>363</v>
      </c>
    </row>
    <row r="334" spans="2:31" ht="14.25" customHeight="1" x14ac:dyDescent="0.2">
      <c r="B334" s="7">
        <f t="shared" si="20"/>
        <v>310</v>
      </c>
      <c r="C334" s="152">
        <v>2</v>
      </c>
      <c r="D334" s="152">
        <v>1</v>
      </c>
      <c r="E334" s="152">
        <v>2</v>
      </c>
      <c r="F334" s="153">
        <v>2024</v>
      </c>
      <c r="G334" s="152">
        <v>2026</v>
      </c>
      <c r="H334" s="152">
        <v>11</v>
      </c>
      <c r="I334" s="153">
        <v>37</v>
      </c>
      <c r="J334" s="152">
        <v>-1</v>
      </c>
      <c r="K334" s="152">
        <v>0</v>
      </c>
      <c r="L334" s="152">
        <v>0</v>
      </c>
      <c r="M334" s="154">
        <v>4.3083235638921451</v>
      </c>
      <c r="N334" s="155">
        <v>620</v>
      </c>
      <c r="O334" s="155">
        <v>465</v>
      </c>
      <c r="P334" s="41">
        <f t="array" ref="P334">ROUND(IF($F334&lt;='TaxCred&amp;Subs'!$C$49,(IF($C334=2,IF($M334&gt;=IFERROR(INDEX('TaxCred&amp;Subs'!$L$12:$L$47,MATCH(1,($C334&amp;$D334='TaxCred&amp;Subs'!$E$12:$E$47)*($F334='TaxCred&amp;Subs'!$C$12:$C$47),0)
),9999),IFERROR(INDEX('TaxCred&amp;Subs'!$N$12:$N$47,MATCH(1,($C334&amp;$D334='TaxCred&amp;Subs'!$E$12:$E$47)*($F334='TaxCred&amp;Subs'!$C$12:$C$47),0)
),0),0),(IF($M334&gt;=IFERROR(INDEX('TaxCred&amp;Subs'!$H$12:$H$47,MATCH(1,($C334&amp;$D334='TaxCred&amp;Subs'!$D$12:$D$47)*($F334='TaxCred&amp;Subs'!$C$12:$C$47),0)
),9999),IFERROR(INDEX('TaxCred&amp;Subs'!$N$12:$N$47,MATCH(1,($C334&amp;$D334='TaxCred&amp;Subs'!$D$12:$D$47)*($F334='TaxCred&amp;Subs'!$C$12:$C$47),0)
),0),0)))),0)+IF(AND($C334=2,VALUE(RIGHT($AD334,1))&gt;2),(N334-R334)*(IFERROR(INDEX('TaxCred&amp;Subs'!$J$66:$J$99,MATCH(1,($C334&amp;$D334='TaxCred&amp;Subs'!$E$66:$E$99)*($F334='TaxCred&amp;Subs'!$C$66:$C$99),0)),0)),IF(AND($C334=1,VALUE(RIGHT($AD334,1))&gt;2),(N334-R334)*(IFERROR(INDEX('TaxCred&amp;Subs'!$J$66:$J$99,MATCH(1,($C334&amp;$D334='TaxCred&amp;Subs'!$D$66:$D$99)*($F334='TaxCred&amp;Subs'!$C$66:$C$99),0)),0)),IF($C334&gt;2,(N334-R334)*(IFERROR(INDEX('TaxCred&amp;Subs'!$J$66:$J$99,MATCH(1,($C334&amp;$D334='TaxCred&amp;Subs'!$D$66:$D$99)*($F334='TaxCred&amp;Subs'!$C$66:$C$99),0)),0)),0))),0)</f>
        <v>0</v>
      </c>
      <c r="Q334" s="41">
        <f t="array" ref="Q334">ROUND(IF(AND($C334=2,VALUE(RIGHT($AD334,1))&gt;2),(O334-S334)*(IFERROR(INDEX('TaxCred&amp;Subs'!$J$66:$J$99,MATCH(1,($C334&amp;$D334='TaxCred&amp;Subs'!$E$66:$E$99)*($F334='TaxCred&amp;Subs'!$C$66:$C$99),0)),0)),IF(AND($C334=1,VALUE(RIGHT($AD334,1))&gt;2),(O334-S334)*(IFERROR(INDEX('TaxCred&amp;Subs'!$J$66:$J$99,MATCH(1,($C334&amp;$D334='TaxCred&amp;Subs'!$D$66:$D$99)*($F334='TaxCred&amp;Subs'!$C$66:$C$99),0)),0)),IF($C334&gt;2,(O334-S334)*(IFERROR(INDEX('TaxCred&amp;Subs'!$J$66:$J$99,MATCH(1,($C334&amp;$D334='TaxCred&amp;Subs'!$D$66:$D$99)*($F334='TaxCred&amp;Subs'!$C$66:$C$99),0)),0)),0))),0)</f>
        <v>0</v>
      </c>
      <c r="R334" s="41">
        <f t="array" ref="R334">ROUND(IF(IFERROR(VALUE(RIGHT($AD334,1)),0)&gt;2,IF($C334=8,N334*IFERROR(INDEX('TaxCred&amp;Subs'!$K$139:$S$151,MATCH($C334&amp;$D334&amp;LEFT($AD334,7),'TaxCred&amp;Subs'!$E$139:$E$151,0),MATCH($H334,'TaxCred&amp;Subs'!$K$137:$S$137,0)),0),IF($C334=2,N334*IFERROR(INDEX('TaxCred&amp;Subs'!$K$139:$S$151,MATCH($C334&amp;$D334,'TaxCred&amp;Subs'!$D$139:$D$151,0),MATCH($H334,'TaxCred&amp;Subs'!$K$137:$S$137,0)),0),N334*IFERROR(INDEX('TaxCred&amp;Subs'!$K$139:$S$151,MATCH($C334&amp;$D334,'TaxCred&amp;Subs'!$C$139:$C$151,0),MATCH($H334,'TaxCred&amp;Subs'!$K$137:$S$137,0)),0))),0),0)</f>
        <v>0</v>
      </c>
      <c r="S334" s="41">
        <f t="array" ref="S334">ROUND(IF(IFERROR(VALUE(RIGHT($AD334,1)),0)&gt;2,IF($C334=8,O334*IFERROR(INDEX('TaxCred&amp;Subs'!$K$139:$S$151,MATCH($C334&amp;$D334&amp;LEFT($AD334,7),'TaxCred&amp;Subs'!$E$139:$E$151,0),MATCH($H334,'TaxCred&amp;Subs'!$K$137:$S$137,0)),0),IF($C334=2,O334*IFERROR(INDEX('TaxCred&amp;Subs'!$K$139:$S$151,MATCH($C334&amp;$D334,'TaxCred&amp;Subs'!$D$139:$D$151,0),MATCH($H334,'TaxCred&amp;Subs'!$K$137:$S$137,0)),0),O334*IFERROR(INDEX('TaxCred&amp;Subs'!$K$139:$S$151,MATCH($C334&amp;$D334,'TaxCred&amp;Subs'!$C$139:$C$151,0),MATCH($H334,'TaxCred&amp;Subs'!$K$137:$S$137,0)),0))),0),0)</f>
        <v>0</v>
      </c>
      <c r="T334" s="41">
        <f t="shared" si="21"/>
        <v>0</v>
      </c>
      <c r="U334" s="41">
        <f t="shared" si="22"/>
        <v>0</v>
      </c>
      <c r="V334" s="152" t="s">
        <v>222</v>
      </c>
      <c r="W334" s="152">
        <v>2020</v>
      </c>
      <c r="X334" s="152">
        <v>1</v>
      </c>
      <c r="Y334" s="152">
        <v>0</v>
      </c>
      <c r="Z334" s="194">
        <v>-6.7792130678753244E-3</v>
      </c>
      <c r="AA334" s="194">
        <v>-0.10429558565962037</v>
      </c>
      <c r="AB334" s="152">
        <v>0</v>
      </c>
      <c r="AC334" s="152">
        <v>0</v>
      </c>
      <c r="AD334" s="152" t="s">
        <v>364</v>
      </c>
    </row>
    <row r="335" spans="2:31" ht="14.25" customHeight="1" x14ac:dyDescent="0.2">
      <c r="B335" s="7">
        <f t="shared" si="20"/>
        <v>311</v>
      </c>
      <c r="C335" s="152">
        <v>2</v>
      </c>
      <c r="D335" s="152">
        <v>1</v>
      </c>
      <c r="E335" s="152">
        <v>2</v>
      </c>
      <c r="F335" s="153">
        <v>2027</v>
      </c>
      <c r="G335" s="152">
        <v>2050</v>
      </c>
      <c r="H335" s="152">
        <v>11</v>
      </c>
      <c r="I335" s="153">
        <v>37</v>
      </c>
      <c r="J335" s="152">
        <v>-1</v>
      </c>
      <c r="K335" s="152">
        <v>0</v>
      </c>
      <c r="L335" s="152">
        <v>0</v>
      </c>
      <c r="M335" s="154">
        <v>4.3083235638921451</v>
      </c>
      <c r="N335" s="155">
        <v>620</v>
      </c>
      <c r="O335" s="155">
        <v>465</v>
      </c>
      <c r="P335" s="41">
        <f t="array" ref="P335">ROUND(IF($F335&lt;='TaxCred&amp;Subs'!$C$49,(IF($C335=2,IF($M335&gt;=IFERROR(INDEX('TaxCred&amp;Subs'!$L$12:$L$47,MATCH(1,($C335&amp;$D335='TaxCred&amp;Subs'!$E$12:$E$47)*($F335='TaxCred&amp;Subs'!$C$12:$C$47),0)
),9999),IFERROR(INDEX('TaxCred&amp;Subs'!$N$12:$N$47,MATCH(1,($C335&amp;$D335='TaxCred&amp;Subs'!$E$12:$E$47)*($F335='TaxCred&amp;Subs'!$C$12:$C$47),0)
),0),0),(IF($M335&gt;=IFERROR(INDEX('TaxCred&amp;Subs'!$H$12:$H$47,MATCH(1,($C335&amp;$D335='TaxCred&amp;Subs'!$D$12:$D$47)*($F335='TaxCred&amp;Subs'!$C$12:$C$47),0)
),9999),IFERROR(INDEX('TaxCred&amp;Subs'!$N$12:$N$47,MATCH(1,($C335&amp;$D335='TaxCred&amp;Subs'!$D$12:$D$47)*($F335='TaxCred&amp;Subs'!$C$12:$C$47),0)
),0),0)))),0)+IF(AND($C335=2,VALUE(RIGHT($AD335,1))&gt;2),(N335-R335)*(IFERROR(INDEX('TaxCred&amp;Subs'!$J$66:$J$99,MATCH(1,($C335&amp;$D335='TaxCred&amp;Subs'!$E$66:$E$99)*($F335='TaxCred&amp;Subs'!$C$66:$C$99),0)),0)),IF(AND($C335=1,VALUE(RIGHT($AD335,1))&gt;2),(N335-R335)*(IFERROR(INDEX('TaxCred&amp;Subs'!$J$66:$J$99,MATCH(1,($C335&amp;$D335='TaxCred&amp;Subs'!$D$66:$D$99)*($F335='TaxCred&amp;Subs'!$C$66:$C$99),0)),0)),IF($C335&gt;2,(N335-R335)*(IFERROR(INDEX('TaxCred&amp;Subs'!$J$66:$J$99,MATCH(1,($C335&amp;$D335='TaxCred&amp;Subs'!$D$66:$D$99)*($F335='TaxCred&amp;Subs'!$C$66:$C$99),0)),0)),0))),0)</f>
        <v>0</v>
      </c>
      <c r="Q335" s="41">
        <f t="array" ref="Q335">ROUND(IF(AND($C335=2,VALUE(RIGHT($AD335,1))&gt;2),(O335-S335)*(IFERROR(INDEX('TaxCred&amp;Subs'!$J$66:$J$99,MATCH(1,($C335&amp;$D335='TaxCred&amp;Subs'!$E$66:$E$99)*($F335='TaxCred&amp;Subs'!$C$66:$C$99),0)),0)),IF(AND($C335=1,VALUE(RIGHT($AD335,1))&gt;2),(O335-S335)*(IFERROR(INDEX('TaxCred&amp;Subs'!$J$66:$J$99,MATCH(1,($C335&amp;$D335='TaxCred&amp;Subs'!$D$66:$D$99)*($F335='TaxCred&amp;Subs'!$C$66:$C$99),0)),0)),IF($C335&gt;2,(O335-S335)*(IFERROR(INDEX('TaxCred&amp;Subs'!$J$66:$J$99,MATCH(1,($C335&amp;$D335='TaxCred&amp;Subs'!$D$66:$D$99)*($F335='TaxCred&amp;Subs'!$C$66:$C$99),0)),0)),0))),0)</f>
        <v>0</v>
      </c>
      <c r="R335" s="41">
        <f t="array" ref="R335">ROUND(IF(IFERROR(VALUE(RIGHT($AD335,1)),0)&gt;2,IF($C335=8,N335*IFERROR(INDEX('TaxCred&amp;Subs'!$K$139:$S$151,MATCH($C335&amp;$D335&amp;LEFT($AD335,7),'TaxCred&amp;Subs'!$E$139:$E$151,0),MATCH($H335,'TaxCred&amp;Subs'!$K$137:$S$137,0)),0),IF($C335=2,N335*IFERROR(INDEX('TaxCred&amp;Subs'!$K$139:$S$151,MATCH($C335&amp;$D335,'TaxCred&amp;Subs'!$D$139:$D$151,0),MATCH($H335,'TaxCred&amp;Subs'!$K$137:$S$137,0)),0),N335*IFERROR(INDEX('TaxCred&amp;Subs'!$K$139:$S$151,MATCH($C335&amp;$D335,'TaxCred&amp;Subs'!$C$139:$C$151,0),MATCH($H335,'TaxCred&amp;Subs'!$K$137:$S$137,0)),0))),0),0)</f>
        <v>0</v>
      </c>
      <c r="S335" s="41">
        <f t="array" ref="S335">ROUND(IF(IFERROR(VALUE(RIGHT($AD335,1)),0)&gt;2,IF($C335=8,O335*IFERROR(INDEX('TaxCred&amp;Subs'!$K$139:$S$151,MATCH($C335&amp;$D335&amp;LEFT($AD335,7),'TaxCred&amp;Subs'!$E$139:$E$151,0),MATCH($H335,'TaxCred&amp;Subs'!$K$137:$S$137,0)),0),IF($C335=2,O335*IFERROR(INDEX('TaxCred&amp;Subs'!$K$139:$S$151,MATCH($C335&amp;$D335,'TaxCred&amp;Subs'!$D$139:$D$151,0),MATCH($H335,'TaxCred&amp;Subs'!$K$137:$S$137,0)),0),O335*IFERROR(INDEX('TaxCred&amp;Subs'!$K$139:$S$151,MATCH($C335&amp;$D335,'TaxCred&amp;Subs'!$C$139:$C$151,0),MATCH($H335,'TaxCred&amp;Subs'!$K$137:$S$137,0)),0))),0),0)</f>
        <v>0</v>
      </c>
      <c r="T335" s="41">
        <f t="shared" si="21"/>
        <v>0</v>
      </c>
      <c r="U335" s="41">
        <f t="shared" si="22"/>
        <v>0</v>
      </c>
      <c r="V335" s="152" t="s">
        <v>222</v>
      </c>
      <c r="W335" s="152">
        <v>2020</v>
      </c>
      <c r="X335" s="152">
        <v>1</v>
      </c>
      <c r="Y335" s="152">
        <v>0</v>
      </c>
      <c r="Z335" s="195">
        <v>-1</v>
      </c>
      <c r="AA335" s="195">
        <v>-1</v>
      </c>
      <c r="AB335" s="152">
        <v>0</v>
      </c>
      <c r="AC335" s="152">
        <v>0</v>
      </c>
      <c r="AD335" s="152" t="s">
        <v>364</v>
      </c>
      <c r="AE335" s="44" t="s">
        <v>483</v>
      </c>
    </row>
    <row r="336" spans="2:31" ht="14.25" customHeight="1" x14ac:dyDescent="0.2">
      <c r="B336" s="7">
        <f t="shared" si="20"/>
        <v>312</v>
      </c>
      <c r="C336" s="28">
        <v>2</v>
      </c>
      <c r="D336" s="28">
        <v>1</v>
      </c>
      <c r="E336" s="31">
        <v>3</v>
      </c>
      <c r="F336" s="96">
        <v>2020</v>
      </c>
      <c r="G336" s="31">
        <v>2026</v>
      </c>
      <c r="H336" s="28">
        <v>11</v>
      </c>
      <c r="I336" s="96">
        <v>38</v>
      </c>
      <c r="J336" s="28">
        <v>-1</v>
      </c>
      <c r="K336" s="28">
        <v>0</v>
      </c>
      <c r="L336" s="28">
        <v>0</v>
      </c>
      <c r="M336" s="156">
        <v>4.601406799531067</v>
      </c>
      <c r="N336" s="151">
        <v>675</v>
      </c>
      <c r="O336" s="151">
        <v>520</v>
      </c>
      <c r="P336" s="95">
        <f t="array" ref="P336">ROUND(IF($F336&lt;='TaxCred&amp;Subs'!$C$49,(IF($C336=2,IF($M336&gt;=IFERROR(INDEX('TaxCred&amp;Subs'!$L$12:$L$47,MATCH(1,($C336&amp;$D336='TaxCred&amp;Subs'!$E$12:$E$47)*($F336='TaxCred&amp;Subs'!$C$12:$C$47),0)
),9999),IFERROR(INDEX('TaxCred&amp;Subs'!$N$12:$N$47,MATCH(1,($C336&amp;$D336='TaxCred&amp;Subs'!$E$12:$E$47)*($F336='TaxCred&amp;Subs'!$C$12:$C$47),0)
),0),0),(IF($M336&gt;=IFERROR(INDEX('TaxCred&amp;Subs'!$H$12:$H$47,MATCH(1,($C336&amp;$D336='TaxCred&amp;Subs'!$D$12:$D$47)*($F336='TaxCred&amp;Subs'!$C$12:$C$47),0)
),9999),IFERROR(INDEX('TaxCred&amp;Subs'!$N$12:$N$47,MATCH(1,($C336&amp;$D336='TaxCred&amp;Subs'!$D$12:$D$47)*($F336='TaxCred&amp;Subs'!$C$12:$C$47),0)
),0),0)))),0)+IF(AND($C336=2,VALUE(RIGHT($AD336,1))&gt;2),(N336-R336)*(IFERROR(INDEX('TaxCred&amp;Subs'!$J$66:$J$99,MATCH(1,($C336&amp;$D336='TaxCred&amp;Subs'!$E$66:$E$99)*($F336='TaxCred&amp;Subs'!$C$66:$C$99),0)),0)),IF(AND($C336=1,VALUE(RIGHT($AD336,1))&gt;2),(N336-R336)*(IFERROR(INDEX('TaxCred&amp;Subs'!$J$66:$J$99,MATCH(1,($C336&amp;$D336='TaxCred&amp;Subs'!$D$66:$D$99)*($F336='TaxCred&amp;Subs'!$C$66:$C$99),0)),0)),IF($C336&gt;2,(N336-R336)*(IFERROR(INDEX('TaxCred&amp;Subs'!$J$66:$J$99,MATCH(1,($C336&amp;$D336='TaxCred&amp;Subs'!$D$66:$D$99)*($F336='TaxCred&amp;Subs'!$C$66:$C$99),0)),0)),0))),0)</f>
        <v>0</v>
      </c>
      <c r="Q336" s="95">
        <f t="array" ref="Q336">ROUND(IF(AND($C336=2,VALUE(RIGHT($AD336,1))&gt;2),(O336-S336)*(IFERROR(INDEX('TaxCred&amp;Subs'!$J$66:$J$99,MATCH(1,($C336&amp;$D336='TaxCred&amp;Subs'!$E$66:$E$99)*($F336='TaxCred&amp;Subs'!$C$66:$C$99),0)),0)),IF(AND($C336=1,VALUE(RIGHT($AD336,1))&gt;2),(O336-S336)*(IFERROR(INDEX('TaxCred&amp;Subs'!$J$66:$J$99,MATCH(1,($C336&amp;$D336='TaxCred&amp;Subs'!$D$66:$D$99)*($F336='TaxCred&amp;Subs'!$C$66:$C$99),0)),0)),IF($C336&gt;2,(O336-S336)*(IFERROR(INDEX('TaxCred&amp;Subs'!$J$66:$J$99,MATCH(1,($C336&amp;$D336='TaxCred&amp;Subs'!$D$66:$D$99)*($F336='TaxCred&amp;Subs'!$C$66:$C$99),0)),0)),0))),0)</f>
        <v>0</v>
      </c>
      <c r="R336" s="95">
        <f t="array" ref="R336">ROUND(IF(IFERROR(VALUE(RIGHT($AD336,1)),0)&gt;2,IF($C336=8,N336*IFERROR(INDEX('TaxCred&amp;Subs'!$K$139:$S$151,MATCH($C336&amp;$D336&amp;LEFT($AD336,7),'TaxCred&amp;Subs'!$E$139:$E$151,0),MATCH($H336,'TaxCred&amp;Subs'!$K$137:$S$137,0)),0),IF($C336=2,N336*IFERROR(INDEX('TaxCred&amp;Subs'!$K$139:$S$151,MATCH($C336&amp;$D336,'TaxCred&amp;Subs'!$D$139:$D$151,0),MATCH($H336,'TaxCred&amp;Subs'!$K$137:$S$137,0)),0),N336*IFERROR(INDEX('TaxCred&amp;Subs'!$K$139:$S$151,MATCH($C336&amp;$D336,'TaxCred&amp;Subs'!$C$139:$C$151,0),MATCH($H336,'TaxCred&amp;Subs'!$K$137:$S$137,0)),0))),0),0)</f>
        <v>0</v>
      </c>
      <c r="S336" s="95">
        <f t="array" ref="S336">ROUND(IF(IFERROR(VALUE(RIGHT($AD336,1)),0)&gt;2,IF($C336=8,O336*IFERROR(INDEX('TaxCred&amp;Subs'!$K$139:$S$151,MATCH($C336&amp;$D336&amp;LEFT($AD336,7),'TaxCred&amp;Subs'!$E$139:$E$151,0),MATCH($H336,'TaxCred&amp;Subs'!$K$137:$S$137,0)),0),IF($C336=2,O336*IFERROR(INDEX('TaxCred&amp;Subs'!$K$139:$S$151,MATCH($C336&amp;$D336,'TaxCred&amp;Subs'!$D$139:$D$151,0),MATCH($H336,'TaxCred&amp;Subs'!$K$137:$S$137,0)),0),O336*IFERROR(INDEX('TaxCred&amp;Subs'!$K$139:$S$151,MATCH($C336&amp;$D336,'TaxCred&amp;Subs'!$C$139:$C$151,0),MATCH($H336,'TaxCred&amp;Subs'!$K$137:$S$137,0)),0))),0),0)</f>
        <v>0</v>
      </c>
      <c r="T336" s="95">
        <f t="shared" si="21"/>
        <v>0</v>
      </c>
      <c r="U336" s="95">
        <f t="shared" si="22"/>
        <v>0</v>
      </c>
      <c r="V336" s="28" t="s">
        <v>222</v>
      </c>
      <c r="W336" s="31">
        <v>2020</v>
      </c>
      <c r="X336" s="28">
        <v>1</v>
      </c>
      <c r="Y336" s="28">
        <v>0</v>
      </c>
      <c r="Z336" s="196">
        <v>-6.7792130678753244E-3</v>
      </c>
      <c r="AA336" s="196">
        <v>-0.10429558565962037</v>
      </c>
      <c r="AB336" s="28">
        <v>0</v>
      </c>
      <c r="AC336" s="28">
        <v>0</v>
      </c>
      <c r="AD336" s="28" t="s">
        <v>365</v>
      </c>
    </row>
    <row r="337" spans="2:31" ht="14.25" customHeight="1" x14ac:dyDescent="0.2">
      <c r="B337" s="7">
        <f t="shared" si="20"/>
        <v>313</v>
      </c>
      <c r="C337" s="152">
        <v>2</v>
      </c>
      <c r="D337" s="152">
        <v>1</v>
      </c>
      <c r="E337" s="152">
        <v>3</v>
      </c>
      <c r="F337" s="153">
        <v>2027</v>
      </c>
      <c r="G337" s="152">
        <v>2050</v>
      </c>
      <c r="H337" s="152">
        <v>11</v>
      </c>
      <c r="I337" s="153">
        <v>38</v>
      </c>
      <c r="J337" s="152">
        <v>-1</v>
      </c>
      <c r="K337" s="152">
        <v>0</v>
      </c>
      <c r="L337" s="152">
        <v>0</v>
      </c>
      <c r="M337" s="154">
        <v>4.601406799531067</v>
      </c>
      <c r="N337" s="155">
        <v>675</v>
      </c>
      <c r="O337" s="155">
        <v>520</v>
      </c>
      <c r="P337" s="41">
        <f t="array" ref="P337">ROUND(IF($F337&lt;='TaxCred&amp;Subs'!$C$49,(IF($C337=2,IF($M337&gt;=IFERROR(INDEX('TaxCred&amp;Subs'!$L$12:$L$47,MATCH(1,($C337&amp;$D337='TaxCred&amp;Subs'!$E$12:$E$47)*($F337='TaxCred&amp;Subs'!$C$12:$C$47),0)
),9999),IFERROR(INDEX('TaxCred&amp;Subs'!$N$12:$N$47,MATCH(1,($C337&amp;$D337='TaxCred&amp;Subs'!$E$12:$E$47)*($F337='TaxCred&amp;Subs'!$C$12:$C$47),0)
),0),0),(IF($M337&gt;=IFERROR(INDEX('TaxCred&amp;Subs'!$H$12:$H$47,MATCH(1,($C337&amp;$D337='TaxCred&amp;Subs'!$D$12:$D$47)*($F337='TaxCred&amp;Subs'!$C$12:$C$47),0)
),9999),IFERROR(INDEX('TaxCred&amp;Subs'!$N$12:$N$47,MATCH(1,($C337&amp;$D337='TaxCred&amp;Subs'!$D$12:$D$47)*($F337='TaxCred&amp;Subs'!$C$12:$C$47),0)
),0),0)))),0)+IF(AND($C337=2,VALUE(RIGHT($AD337,1))&gt;2),(N337-R337)*(IFERROR(INDEX('TaxCred&amp;Subs'!$J$66:$J$99,MATCH(1,($C337&amp;$D337='TaxCred&amp;Subs'!$E$66:$E$99)*($F337='TaxCred&amp;Subs'!$C$66:$C$99),0)),0)),IF(AND($C337=1,VALUE(RIGHT($AD337,1))&gt;2),(N337-R337)*(IFERROR(INDEX('TaxCred&amp;Subs'!$J$66:$J$99,MATCH(1,($C337&amp;$D337='TaxCred&amp;Subs'!$D$66:$D$99)*($F337='TaxCred&amp;Subs'!$C$66:$C$99),0)),0)),IF($C337&gt;2,(N337-R337)*(IFERROR(INDEX('TaxCred&amp;Subs'!$J$66:$J$99,MATCH(1,($C337&amp;$D337='TaxCred&amp;Subs'!$D$66:$D$99)*($F337='TaxCred&amp;Subs'!$C$66:$C$99),0)),0)),0))),0)</f>
        <v>0</v>
      </c>
      <c r="Q337" s="41">
        <f t="array" ref="Q337">ROUND(IF(AND($C337=2,VALUE(RIGHT($AD337,1))&gt;2),(O337-S337)*(IFERROR(INDEX('TaxCred&amp;Subs'!$J$66:$J$99,MATCH(1,($C337&amp;$D337='TaxCred&amp;Subs'!$E$66:$E$99)*($F337='TaxCred&amp;Subs'!$C$66:$C$99),0)),0)),IF(AND($C337=1,VALUE(RIGHT($AD337,1))&gt;2),(O337-S337)*(IFERROR(INDEX('TaxCred&amp;Subs'!$J$66:$J$99,MATCH(1,($C337&amp;$D337='TaxCred&amp;Subs'!$D$66:$D$99)*($F337='TaxCred&amp;Subs'!$C$66:$C$99),0)),0)),IF($C337&gt;2,(O337-S337)*(IFERROR(INDEX('TaxCred&amp;Subs'!$J$66:$J$99,MATCH(1,($C337&amp;$D337='TaxCred&amp;Subs'!$D$66:$D$99)*($F337='TaxCred&amp;Subs'!$C$66:$C$99),0)),0)),0))),0)</f>
        <v>0</v>
      </c>
      <c r="R337" s="41">
        <f t="array" ref="R337">ROUND(IF(IFERROR(VALUE(RIGHT($AD337,1)),0)&gt;2,IF($C337=8,N337*IFERROR(INDEX('TaxCred&amp;Subs'!$K$139:$S$151,MATCH($C337&amp;$D337&amp;LEFT($AD337,7),'TaxCred&amp;Subs'!$E$139:$E$151,0),MATCH($H337,'TaxCred&amp;Subs'!$K$137:$S$137,0)),0),IF($C337=2,N337*IFERROR(INDEX('TaxCred&amp;Subs'!$K$139:$S$151,MATCH($C337&amp;$D337,'TaxCred&amp;Subs'!$D$139:$D$151,0),MATCH($H337,'TaxCred&amp;Subs'!$K$137:$S$137,0)),0),N337*IFERROR(INDEX('TaxCred&amp;Subs'!$K$139:$S$151,MATCH($C337&amp;$D337,'TaxCred&amp;Subs'!$C$139:$C$151,0),MATCH($H337,'TaxCred&amp;Subs'!$K$137:$S$137,0)),0))),0),0)</f>
        <v>0</v>
      </c>
      <c r="S337" s="41">
        <f t="array" ref="S337">ROUND(IF(IFERROR(VALUE(RIGHT($AD337,1)),0)&gt;2,IF($C337=8,O337*IFERROR(INDEX('TaxCred&amp;Subs'!$K$139:$S$151,MATCH($C337&amp;$D337&amp;LEFT($AD337,7),'TaxCred&amp;Subs'!$E$139:$E$151,0),MATCH($H337,'TaxCred&amp;Subs'!$K$137:$S$137,0)),0),IF($C337=2,O337*IFERROR(INDEX('TaxCred&amp;Subs'!$K$139:$S$151,MATCH($C337&amp;$D337,'TaxCred&amp;Subs'!$D$139:$D$151,0),MATCH($H337,'TaxCred&amp;Subs'!$K$137:$S$137,0)),0),O337*IFERROR(INDEX('TaxCred&amp;Subs'!$K$139:$S$151,MATCH($C337&amp;$D337,'TaxCred&amp;Subs'!$C$139:$C$151,0),MATCH($H337,'TaxCred&amp;Subs'!$K$137:$S$137,0)),0))),0),0)</f>
        <v>0</v>
      </c>
      <c r="T337" s="41">
        <f t="shared" si="21"/>
        <v>0</v>
      </c>
      <c r="U337" s="41">
        <f t="shared" si="22"/>
        <v>0</v>
      </c>
      <c r="V337" s="152" t="s">
        <v>222</v>
      </c>
      <c r="W337" s="152">
        <v>2020</v>
      </c>
      <c r="X337" s="152">
        <v>1</v>
      </c>
      <c r="Y337" s="152">
        <v>0</v>
      </c>
      <c r="Z337" s="195">
        <v>-1</v>
      </c>
      <c r="AA337" s="195">
        <v>-1</v>
      </c>
      <c r="AB337" s="152">
        <v>0</v>
      </c>
      <c r="AC337" s="152">
        <v>0</v>
      </c>
      <c r="AD337" s="152" t="s">
        <v>365</v>
      </c>
      <c r="AE337" s="44" t="s">
        <v>483</v>
      </c>
    </row>
    <row r="338" spans="2:31" ht="14.25" customHeight="1" x14ac:dyDescent="0.2">
      <c r="B338" s="7">
        <f t="shared" si="20"/>
        <v>314</v>
      </c>
      <c r="C338" s="28">
        <v>2</v>
      </c>
      <c r="D338" s="28">
        <v>2</v>
      </c>
      <c r="E338" s="31">
        <v>4</v>
      </c>
      <c r="F338" s="96">
        <v>2020</v>
      </c>
      <c r="G338" s="28">
        <v>2022</v>
      </c>
      <c r="H338" s="28">
        <v>1</v>
      </c>
      <c r="I338" s="96">
        <v>39</v>
      </c>
      <c r="J338" s="28">
        <v>0</v>
      </c>
      <c r="K338" s="28">
        <v>0</v>
      </c>
      <c r="L338" s="28">
        <v>0</v>
      </c>
      <c r="M338" s="75">
        <v>3.8100820633059791</v>
      </c>
      <c r="N338" s="151">
        <v>5250</v>
      </c>
      <c r="O338" s="151">
        <v>2580</v>
      </c>
      <c r="P338" s="95">
        <f t="array" ref="P338">ROUND(IF($F338&lt;='TaxCred&amp;Subs'!$C$49,(IF($C338=2,IF($M338&gt;=IFERROR(INDEX('TaxCred&amp;Subs'!$L$12:$L$47,MATCH(1,($C338&amp;$D338='TaxCred&amp;Subs'!$E$12:$E$47)*($F338='TaxCred&amp;Subs'!$C$12:$C$47),0)
),9999),IFERROR(INDEX('TaxCred&amp;Subs'!$N$12:$N$47,MATCH(1,($C338&amp;$D338='TaxCred&amp;Subs'!$E$12:$E$47)*($F338='TaxCred&amp;Subs'!$C$12:$C$47),0)
),0),0),(IF($M338&gt;=IFERROR(INDEX('TaxCred&amp;Subs'!$H$12:$H$47,MATCH(1,($C338&amp;$D338='TaxCred&amp;Subs'!$D$12:$D$47)*($F338='TaxCred&amp;Subs'!$C$12:$C$47),0)
),9999),IFERROR(INDEX('TaxCred&amp;Subs'!$N$12:$N$47,MATCH(1,($C338&amp;$D338='TaxCred&amp;Subs'!$D$12:$D$47)*($F338='TaxCred&amp;Subs'!$C$12:$C$47),0)
),0),0)))),0)+IF(AND($C338=2,VALUE(RIGHT($AD338,1))&gt;2),(N338-R338)*(IFERROR(INDEX('TaxCred&amp;Subs'!$J$66:$J$99,MATCH(1,($C338&amp;$D338='TaxCred&amp;Subs'!$E$66:$E$99)*($F338='TaxCred&amp;Subs'!$C$66:$C$99),0)),0)),IF(AND($C338=1,VALUE(RIGHT($AD338,1))&gt;2),(N338-R338)*(IFERROR(INDEX('TaxCred&amp;Subs'!$J$66:$J$99,MATCH(1,($C338&amp;$D338='TaxCred&amp;Subs'!$D$66:$D$99)*($F338='TaxCred&amp;Subs'!$C$66:$C$99),0)),0)),IF($C338&gt;2,(N338-R338)*(IFERROR(INDEX('TaxCred&amp;Subs'!$J$66:$J$99,MATCH(1,($C338&amp;$D338='TaxCred&amp;Subs'!$D$66:$D$99)*($F338='TaxCred&amp;Subs'!$C$66:$C$99),0)),0)),0))),0)</f>
        <v>0</v>
      </c>
      <c r="Q338" s="95">
        <f t="array" ref="Q338">ROUND(IF(AND($C338=2,VALUE(RIGHT($AD338,1))&gt;2),(O338-S338)*(IFERROR(INDEX('TaxCred&amp;Subs'!$J$66:$J$99,MATCH(1,($C338&amp;$D338='TaxCred&amp;Subs'!$E$66:$E$99)*($F338='TaxCred&amp;Subs'!$C$66:$C$99),0)),0)),IF(AND($C338=1,VALUE(RIGHT($AD338,1))&gt;2),(O338-S338)*(IFERROR(INDEX('TaxCred&amp;Subs'!$J$66:$J$99,MATCH(1,($C338&amp;$D338='TaxCred&amp;Subs'!$D$66:$D$99)*($F338='TaxCred&amp;Subs'!$C$66:$C$99),0)),0)),IF($C338&gt;2,(O338-S338)*(IFERROR(INDEX('TaxCred&amp;Subs'!$J$66:$J$99,MATCH(1,($C338&amp;$D338='TaxCred&amp;Subs'!$D$66:$D$99)*($F338='TaxCred&amp;Subs'!$C$66:$C$99),0)),0)),0))),0)</f>
        <v>0</v>
      </c>
      <c r="R338" s="95">
        <f t="array" ref="R338">ROUND(IF(IFERROR(VALUE(RIGHT($AD338,1)),0)&gt;2,IF($C338=8,N338*IFERROR(INDEX('TaxCred&amp;Subs'!$K$139:$S$151,MATCH($C338&amp;$D338&amp;LEFT($AD338,7),'TaxCred&amp;Subs'!$E$139:$E$151,0),MATCH($H338,'TaxCred&amp;Subs'!$K$137:$S$137,0)),0),IF($C338=2,N338*IFERROR(INDEX('TaxCred&amp;Subs'!$K$139:$S$151,MATCH($C338&amp;$D338,'TaxCred&amp;Subs'!$D$139:$D$151,0),MATCH($H338,'TaxCred&amp;Subs'!$K$137:$S$137,0)),0),N338*IFERROR(INDEX('TaxCred&amp;Subs'!$K$139:$S$151,MATCH($C338&amp;$D338,'TaxCred&amp;Subs'!$C$139:$C$151,0),MATCH($H338,'TaxCred&amp;Subs'!$K$137:$S$137,0)),0))),0),0)</f>
        <v>0</v>
      </c>
      <c r="S338" s="95">
        <f t="array" ref="S338">ROUND(IF(IFERROR(VALUE(RIGHT($AD338,1)),0)&gt;2,IF($C338=8,O338*IFERROR(INDEX('TaxCred&amp;Subs'!$K$139:$S$151,MATCH($C338&amp;$D338&amp;LEFT($AD338,7),'TaxCred&amp;Subs'!$E$139:$E$151,0),MATCH($H338,'TaxCred&amp;Subs'!$K$137:$S$137,0)),0),IF($C338=2,O338*IFERROR(INDEX('TaxCred&amp;Subs'!$K$139:$S$151,MATCH($C338&amp;$D338,'TaxCred&amp;Subs'!$D$139:$D$151,0),MATCH($H338,'TaxCred&amp;Subs'!$K$137:$S$137,0)),0),O338*IFERROR(INDEX('TaxCred&amp;Subs'!$K$139:$S$151,MATCH($C338&amp;$D338,'TaxCred&amp;Subs'!$C$139:$C$151,0),MATCH($H338,'TaxCred&amp;Subs'!$K$137:$S$137,0)),0))),0),0)</f>
        <v>0</v>
      </c>
      <c r="T338" s="95">
        <f t="shared" si="21"/>
        <v>0</v>
      </c>
      <c r="U338" s="95">
        <f t="shared" si="22"/>
        <v>0</v>
      </c>
      <c r="V338" s="28" t="s">
        <v>222</v>
      </c>
      <c r="W338" s="31">
        <v>2020</v>
      </c>
      <c r="X338" s="28">
        <v>1</v>
      </c>
      <c r="Y338" s="28">
        <v>0</v>
      </c>
      <c r="Z338" s="196">
        <v>-4.9780125479181817E-3</v>
      </c>
      <c r="AA338" s="196">
        <v>-7.6584808429510487E-2</v>
      </c>
      <c r="AB338" s="28">
        <v>0</v>
      </c>
      <c r="AC338" s="28">
        <v>0</v>
      </c>
      <c r="AD338" s="28" t="s">
        <v>347</v>
      </c>
    </row>
    <row r="339" spans="2:31" ht="14.25" customHeight="1" x14ac:dyDescent="0.2">
      <c r="B339" s="7">
        <f t="shared" si="20"/>
        <v>315</v>
      </c>
      <c r="C339" s="28">
        <v>2</v>
      </c>
      <c r="D339" s="28">
        <v>2</v>
      </c>
      <c r="E339" s="31">
        <v>4</v>
      </c>
      <c r="F339" s="96">
        <v>2020</v>
      </c>
      <c r="G339" s="28">
        <v>2022</v>
      </c>
      <c r="H339" s="28">
        <v>2</v>
      </c>
      <c r="I339" s="96">
        <v>39</v>
      </c>
      <c r="J339" s="28">
        <v>0</v>
      </c>
      <c r="K339" s="28">
        <v>0</v>
      </c>
      <c r="L339" s="28">
        <v>0</v>
      </c>
      <c r="M339" s="75">
        <v>3.8100820633059791</v>
      </c>
      <c r="N339" s="151">
        <v>5250</v>
      </c>
      <c r="O339" s="151">
        <v>2580</v>
      </c>
      <c r="P339" s="95">
        <f t="array" ref="P339">ROUND(IF($F339&lt;='TaxCred&amp;Subs'!$C$49,(IF($C339=2,IF($M339&gt;=IFERROR(INDEX('TaxCred&amp;Subs'!$L$12:$L$47,MATCH(1,($C339&amp;$D339='TaxCred&amp;Subs'!$E$12:$E$47)*($F339='TaxCred&amp;Subs'!$C$12:$C$47),0)
),9999),IFERROR(INDEX('TaxCred&amp;Subs'!$N$12:$N$47,MATCH(1,($C339&amp;$D339='TaxCred&amp;Subs'!$E$12:$E$47)*($F339='TaxCred&amp;Subs'!$C$12:$C$47),0)
),0),0),(IF($M339&gt;=IFERROR(INDEX('TaxCred&amp;Subs'!$H$12:$H$47,MATCH(1,($C339&amp;$D339='TaxCred&amp;Subs'!$D$12:$D$47)*($F339='TaxCred&amp;Subs'!$C$12:$C$47),0)
),9999),IFERROR(INDEX('TaxCred&amp;Subs'!$N$12:$N$47,MATCH(1,($C339&amp;$D339='TaxCred&amp;Subs'!$D$12:$D$47)*($F339='TaxCred&amp;Subs'!$C$12:$C$47),0)
),0),0)))),0)+IF(AND($C339=2,VALUE(RIGHT($AD339,1))&gt;2),(N339-R339)*(IFERROR(INDEX('TaxCred&amp;Subs'!$J$66:$J$99,MATCH(1,($C339&amp;$D339='TaxCred&amp;Subs'!$E$66:$E$99)*($F339='TaxCred&amp;Subs'!$C$66:$C$99),0)),0)),IF(AND($C339=1,VALUE(RIGHT($AD339,1))&gt;2),(N339-R339)*(IFERROR(INDEX('TaxCred&amp;Subs'!$J$66:$J$99,MATCH(1,($C339&amp;$D339='TaxCred&amp;Subs'!$D$66:$D$99)*($F339='TaxCred&amp;Subs'!$C$66:$C$99),0)),0)),IF($C339&gt;2,(N339-R339)*(IFERROR(INDEX('TaxCred&amp;Subs'!$J$66:$J$99,MATCH(1,($C339&amp;$D339='TaxCred&amp;Subs'!$D$66:$D$99)*($F339='TaxCred&amp;Subs'!$C$66:$C$99),0)),0)),0))),0)</f>
        <v>0</v>
      </c>
      <c r="Q339" s="95">
        <f t="array" ref="Q339">ROUND(IF(AND($C339=2,VALUE(RIGHT($AD339,1))&gt;2),(O339-S339)*(IFERROR(INDEX('TaxCred&amp;Subs'!$J$66:$J$99,MATCH(1,($C339&amp;$D339='TaxCred&amp;Subs'!$E$66:$E$99)*($F339='TaxCred&amp;Subs'!$C$66:$C$99),0)),0)),IF(AND($C339=1,VALUE(RIGHT($AD339,1))&gt;2),(O339-S339)*(IFERROR(INDEX('TaxCred&amp;Subs'!$J$66:$J$99,MATCH(1,($C339&amp;$D339='TaxCred&amp;Subs'!$D$66:$D$99)*($F339='TaxCred&amp;Subs'!$C$66:$C$99),0)),0)),IF($C339&gt;2,(O339-S339)*(IFERROR(INDEX('TaxCred&amp;Subs'!$J$66:$J$99,MATCH(1,($C339&amp;$D339='TaxCred&amp;Subs'!$D$66:$D$99)*($F339='TaxCred&amp;Subs'!$C$66:$C$99),0)),0)),0))),0)</f>
        <v>0</v>
      </c>
      <c r="R339" s="95">
        <f t="array" ref="R339">ROUND(IF(IFERROR(VALUE(RIGHT($AD339,1)),0)&gt;2,IF($C339=8,N339*IFERROR(INDEX('TaxCred&amp;Subs'!$K$139:$S$151,MATCH($C339&amp;$D339&amp;LEFT($AD339,7),'TaxCred&amp;Subs'!$E$139:$E$151,0),MATCH($H339,'TaxCred&amp;Subs'!$K$137:$S$137,0)),0),IF($C339=2,N339*IFERROR(INDEX('TaxCred&amp;Subs'!$K$139:$S$151,MATCH($C339&amp;$D339,'TaxCred&amp;Subs'!$D$139:$D$151,0),MATCH($H339,'TaxCred&amp;Subs'!$K$137:$S$137,0)),0),N339*IFERROR(INDEX('TaxCred&amp;Subs'!$K$139:$S$151,MATCH($C339&amp;$D339,'TaxCred&amp;Subs'!$C$139:$C$151,0),MATCH($H339,'TaxCred&amp;Subs'!$K$137:$S$137,0)),0))),0),0)</f>
        <v>0</v>
      </c>
      <c r="S339" s="95">
        <f t="array" ref="S339">ROUND(IF(IFERROR(VALUE(RIGHT($AD339,1)),0)&gt;2,IF($C339=8,O339*IFERROR(INDEX('TaxCred&amp;Subs'!$K$139:$S$151,MATCH($C339&amp;$D339&amp;LEFT($AD339,7),'TaxCred&amp;Subs'!$E$139:$E$151,0),MATCH($H339,'TaxCred&amp;Subs'!$K$137:$S$137,0)),0),IF($C339=2,O339*IFERROR(INDEX('TaxCred&amp;Subs'!$K$139:$S$151,MATCH($C339&amp;$D339,'TaxCred&amp;Subs'!$D$139:$D$151,0),MATCH($H339,'TaxCred&amp;Subs'!$K$137:$S$137,0)),0),O339*IFERROR(INDEX('TaxCred&amp;Subs'!$K$139:$S$151,MATCH($C339&amp;$D339,'TaxCred&amp;Subs'!$C$139:$C$151,0),MATCH($H339,'TaxCred&amp;Subs'!$K$137:$S$137,0)),0))),0),0)</f>
        <v>0</v>
      </c>
      <c r="T339" s="95">
        <f t="shared" si="21"/>
        <v>0</v>
      </c>
      <c r="U339" s="95">
        <f t="shared" si="22"/>
        <v>0</v>
      </c>
      <c r="V339" s="28" t="s">
        <v>222</v>
      </c>
      <c r="W339" s="31">
        <v>2020</v>
      </c>
      <c r="X339" s="28">
        <v>1</v>
      </c>
      <c r="Y339" s="28">
        <v>0</v>
      </c>
      <c r="Z339" s="196">
        <v>-4.9780125479181817E-3</v>
      </c>
      <c r="AA339" s="196">
        <v>-7.6584808429510487E-2</v>
      </c>
      <c r="AB339" s="28">
        <v>0</v>
      </c>
      <c r="AC339" s="28">
        <v>0</v>
      </c>
      <c r="AD339" s="28" t="s">
        <v>347</v>
      </c>
    </row>
    <row r="340" spans="2:31" ht="14.25" customHeight="1" x14ac:dyDescent="0.2">
      <c r="B340" s="7">
        <f t="shared" si="20"/>
        <v>316</v>
      </c>
      <c r="C340" s="28">
        <v>2</v>
      </c>
      <c r="D340" s="28">
        <v>2</v>
      </c>
      <c r="E340" s="31">
        <v>4</v>
      </c>
      <c r="F340" s="96">
        <v>2020</v>
      </c>
      <c r="G340" s="28">
        <v>2022</v>
      </c>
      <c r="H340" s="28">
        <v>3</v>
      </c>
      <c r="I340" s="96">
        <v>39</v>
      </c>
      <c r="J340" s="28">
        <v>0</v>
      </c>
      <c r="K340" s="28">
        <v>0</v>
      </c>
      <c r="L340" s="28">
        <v>0</v>
      </c>
      <c r="M340" s="75">
        <v>3.8100820633059791</v>
      </c>
      <c r="N340" s="151">
        <v>5250</v>
      </c>
      <c r="O340" s="151">
        <v>2580</v>
      </c>
      <c r="P340" s="95">
        <f t="array" ref="P340">ROUND(IF($F340&lt;='TaxCred&amp;Subs'!$C$49,(IF($C340=2,IF($M340&gt;=IFERROR(INDEX('TaxCred&amp;Subs'!$L$12:$L$47,MATCH(1,($C340&amp;$D340='TaxCred&amp;Subs'!$E$12:$E$47)*($F340='TaxCred&amp;Subs'!$C$12:$C$47),0)
),9999),IFERROR(INDEX('TaxCred&amp;Subs'!$N$12:$N$47,MATCH(1,($C340&amp;$D340='TaxCred&amp;Subs'!$E$12:$E$47)*($F340='TaxCred&amp;Subs'!$C$12:$C$47),0)
),0),0),(IF($M340&gt;=IFERROR(INDEX('TaxCred&amp;Subs'!$H$12:$H$47,MATCH(1,($C340&amp;$D340='TaxCred&amp;Subs'!$D$12:$D$47)*($F340='TaxCred&amp;Subs'!$C$12:$C$47),0)
),9999),IFERROR(INDEX('TaxCred&amp;Subs'!$N$12:$N$47,MATCH(1,($C340&amp;$D340='TaxCred&amp;Subs'!$D$12:$D$47)*($F340='TaxCred&amp;Subs'!$C$12:$C$47),0)
),0),0)))),0)+IF(AND($C340=2,VALUE(RIGHT($AD340,1))&gt;2),(N340-R340)*(IFERROR(INDEX('TaxCred&amp;Subs'!$J$66:$J$99,MATCH(1,($C340&amp;$D340='TaxCred&amp;Subs'!$E$66:$E$99)*($F340='TaxCred&amp;Subs'!$C$66:$C$99),0)),0)),IF(AND($C340=1,VALUE(RIGHT($AD340,1))&gt;2),(N340-R340)*(IFERROR(INDEX('TaxCred&amp;Subs'!$J$66:$J$99,MATCH(1,($C340&amp;$D340='TaxCred&amp;Subs'!$D$66:$D$99)*($F340='TaxCred&amp;Subs'!$C$66:$C$99),0)),0)),IF($C340&gt;2,(N340-R340)*(IFERROR(INDEX('TaxCred&amp;Subs'!$J$66:$J$99,MATCH(1,($C340&amp;$D340='TaxCred&amp;Subs'!$D$66:$D$99)*($F340='TaxCred&amp;Subs'!$C$66:$C$99),0)),0)),0))),0)</f>
        <v>0</v>
      </c>
      <c r="Q340" s="95">
        <f t="array" ref="Q340">ROUND(IF(AND($C340=2,VALUE(RIGHT($AD340,1))&gt;2),(O340-S340)*(IFERROR(INDEX('TaxCred&amp;Subs'!$J$66:$J$99,MATCH(1,($C340&amp;$D340='TaxCred&amp;Subs'!$E$66:$E$99)*($F340='TaxCred&amp;Subs'!$C$66:$C$99),0)),0)),IF(AND($C340=1,VALUE(RIGHT($AD340,1))&gt;2),(O340-S340)*(IFERROR(INDEX('TaxCred&amp;Subs'!$J$66:$J$99,MATCH(1,($C340&amp;$D340='TaxCred&amp;Subs'!$D$66:$D$99)*($F340='TaxCred&amp;Subs'!$C$66:$C$99),0)),0)),IF($C340&gt;2,(O340-S340)*(IFERROR(INDEX('TaxCred&amp;Subs'!$J$66:$J$99,MATCH(1,($C340&amp;$D340='TaxCred&amp;Subs'!$D$66:$D$99)*($F340='TaxCred&amp;Subs'!$C$66:$C$99),0)),0)),0))),0)</f>
        <v>0</v>
      </c>
      <c r="R340" s="95">
        <f t="array" ref="R340">ROUND(IF(IFERROR(VALUE(RIGHT($AD340,1)),0)&gt;2,IF($C340=8,N340*IFERROR(INDEX('TaxCred&amp;Subs'!$K$139:$S$151,MATCH($C340&amp;$D340&amp;LEFT($AD340,7),'TaxCred&amp;Subs'!$E$139:$E$151,0),MATCH($H340,'TaxCred&amp;Subs'!$K$137:$S$137,0)),0),IF($C340=2,N340*IFERROR(INDEX('TaxCred&amp;Subs'!$K$139:$S$151,MATCH($C340&amp;$D340,'TaxCred&amp;Subs'!$D$139:$D$151,0),MATCH($H340,'TaxCred&amp;Subs'!$K$137:$S$137,0)),0),N340*IFERROR(INDEX('TaxCred&amp;Subs'!$K$139:$S$151,MATCH($C340&amp;$D340,'TaxCred&amp;Subs'!$C$139:$C$151,0),MATCH($H340,'TaxCred&amp;Subs'!$K$137:$S$137,0)),0))),0),0)</f>
        <v>0</v>
      </c>
      <c r="S340" s="95">
        <f t="array" ref="S340">ROUND(IF(IFERROR(VALUE(RIGHT($AD340,1)),0)&gt;2,IF($C340=8,O340*IFERROR(INDEX('TaxCred&amp;Subs'!$K$139:$S$151,MATCH($C340&amp;$D340&amp;LEFT($AD340,7),'TaxCred&amp;Subs'!$E$139:$E$151,0),MATCH($H340,'TaxCred&amp;Subs'!$K$137:$S$137,0)),0),IF($C340=2,O340*IFERROR(INDEX('TaxCred&amp;Subs'!$K$139:$S$151,MATCH($C340&amp;$D340,'TaxCred&amp;Subs'!$D$139:$D$151,0),MATCH($H340,'TaxCred&amp;Subs'!$K$137:$S$137,0)),0),O340*IFERROR(INDEX('TaxCred&amp;Subs'!$K$139:$S$151,MATCH($C340&amp;$D340,'TaxCred&amp;Subs'!$C$139:$C$151,0),MATCH($H340,'TaxCred&amp;Subs'!$K$137:$S$137,0)),0))),0),0)</f>
        <v>0</v>
      </c>
      <c r="T340" s="95">
        <f t="shared" si="21"/>
        <v>0</v>
      </c>
      <c r="U340" s="95">
        <f t="shared" si="22"/>
        <v>0</v>
      </c>
      <c r="V340" s="28" t="s">
        <v>222</v>
      </c>
      <c r="W340" s="31">
        <v>2020</v>
      </c>
      <c r="X340" s="28">
        <v>1</v>
      </c>
      <c r="Y340" s="28">
        <v>0</v>
      </c>
      <c r="Z340" s="196">
        <v>-4.9780125479181817E-3</v>
      </c>
      <c r="AA340" s="196">
        <v>-7.6584808429510487E-2</v>
      </c>
      <c r="AB340" s="28">
        <v>0</v>
      </c>
      <c r="AC340" s="28">
        <v>0</v>
      </c>
      <c r="AD340" s="28" t="s">
        <v>347</v>
      </c>
    </row>
    <row r="341" spans="2:31" ht="14.25" customHeight="1" x14ac:dyDescent="0.2">
      <c r="B341" s="7">
        <f t="shared" si="20"/>
        <v>317</v>
      </c>
      <c r="C341" s="28">
        <v>2</v>
      </c>
      <c r="D341" s="28">
        <v>2</v>
      </c>
      <c r="E341" s="31">
        <v>4</v>
      </c>
      <c r="F341" s="96">
        <v>2020</v>
      </c>
      <c r="G341" s="28">
        <v>2022</v>
      </c>
      <c r="H341" s="28">
        <v>4</v>
      </c>
      <c r="I341" s="96">
        <v>39</v>
      </c>
      <c r="J341" s="28">
        <v>0</v>
      </c>
      <c r="K341" s="28">
        <v>0</v>
      </c>
      <c r="L341" s="28">
        <v>0</v>
      </c>
      <c r="M341" s="75">
        <v>3.8100820633059791</v>
      </c>
      <c r="N341" s="151">
        <v>5250</v>
      </c>
      <c r="O341" s="151">
        <v>2580</v>
      </c>
      <c r="P341" s="95">
        <f t="array" ref="P341">ROUND(IF($F341&lt;='TaxCred&amp;Subs'!$C$49,(IF($C341=2,IF($M341&gt;=IFERROR(INDEX('TaxCred&amp;Subs'!$L$12:$L$47,MATCH(1,($C341&amp;$D341='TaxCred&amp;Subs'!$E$12:$E$47)*($F341='TaxCred&amp;Subs'!$C$12:$C$47),0)
),9999),IFERROR(INDEX('TaxCred&amp;Subs'!$N$12:$N$47,MATCH(1,($C341&amp;$D341='TaxCred&amp;Subs'!$E$12:$E$47)*($F341='TaxCred&amp;Subs'!$C$12:$C$47),0)
),0),0),(IF($M341&gt;=IFERROR(INDEX('TaxCred&amp;Subs'!$H$12:$H$47,MATCH(1,($C341&amp;$D341='TaxCred&amp;Subs'!$D$12:$D$47)*($F341='TaxCred&amp;Subs'!$C$12:$C$47),0)
),9999),IFERROR(INDEX('TaxCred&amp;Subs'!$N$12:$N$47,MATCH(1,($C341&amp;$D341='TaxCred&amp;Subs'!$D$12:$D$47)*($F341='TaxCred&amp;Subs'!$C$12:$C$47),0)
),0),0)))),0)+IF(AND($C341=2,VALUE(RIGHT($AD341,1))&gt;2),(N341-R341)*(IFERROR(INDEX('TaxCred&amp;Subs'!$J$66:$J$99,MATCH(1,($C341&amp;$D341='TaxCred&amp;Subs'!$E$66:$E$99)*($F341='TaxCred&amp;Subs'!$C$66:$C$99),0)),0)),IF(AND($C341=1,VALUE(RIGHT($AD341,1))&gt;2),(N341-R341)*(IFERROR(INDEX('TaxCred&amp;Subs'!$J$66:$J$99,MATCH(1,($C341&amp;$D341='TaxCred&amp;Subs'!$D$66:$D$99)*($F341='TaxCred&amp;Subs'!$C$66:$C$99),0)),0)),IF($C341&gt;2,(N341-R341)*(IFERROR(INDEX('TaxCred&amp;Subs'!$J$66:$J$99,MATCH(1,($C341&amp;$D341='TaxCred&amp;Subs'!$D$66:$D$99)*($F341='TaxCred&amp;Subs'!$C$66:$C$99),0)),0)),0))),0)</f>
        <v>0</v>
      </c>
      <c r="Q341" s="95">
        <f t="array" ref="Q341">ROUND(IF(AND($C341=2,VALUE(RIGHT($AD341,1))&gt;2),(O341-S341)*(IFERROR(INDEX('TaxCred&amp;Subs'!$J$66:$J$99,MATCH(1,($C341&amp;$D341='TaxCred&amp;Subs'!$E$66:$E$99)*($F341='TaxCred&amp;Subs'!$C$66:$C$99),0)),0)),IF(AND($C341=1,VALUE(RIGHT($AD341,1))&gt;2),(O341-S341)*(IFERROR(INDEX('TaxCred&amp;Subs'!$J$66:$J$99,MATCH(1,($C341&amp;$D341='TaxCred&amp;Subs'!$D$66:$D$99)*($F341='TaxCred&amp;Subs'!$C$66:$C$99),0)),0)),IF($C341&gt;2,(O341-S341)*(IFERROR(INDEX('TaxCred&amp;Subs'!$J$66:$J$99,MATCH(1,($C341&amp;$D341='TaxCred&amp;Subs'!$D$66:$D$99)*($F341='TaxCred&amp;Subs'!$C$66:$C$99),0)),0)),0))),0)</f>
        <v>0</v>
      </c>
      <c r="R341" s="95">
        <f t="array" ref="R341">ROUND(IF(IFERROR(VALUE(RIGHT($AD341,1)),0)&gt;2,IF($C341=8,N341*IFERROR(INDEX('TaxCred&amp;Subs'!$K$139:$S$151,MATCH($C341&amp;$D341&amp;LEFT($AD341,7),'TaxCred&amp;Subs'!$E$139:$E$151,0),MATCH($H341,'TaxCred&amp;Subs'!$K$137:$S$137,0)),0),IF($C341=2,N341*IFERROR(INDEX('TaxCred&amp;Subs'!$K$139:$S$151,MATCH($C341&amp;$D341,'TaxCred&amp;Subs'!$D$139:$D$151,0),MATCH($H341,'TaxCred&amp;Subs'!$K$137:$S$137,0)),0),N341*IFERROR(INDEX('TaxCred&amp;Subs'!$K$139:$S$151,MATCH($C341&amp;$D341,'TaxCred&amp;Subs'!$C$139:$C$151,0),MATCH($H341,'TaxCred&amp;Subs'!$K$137:$S$137,0)),0))),0),0)</f>
        <v>0</v>
      </c>
      <c r="S341" s="95">
        <f t="array" ref="S341">ROUND(IF(IFERROR(VALUE(RIGHT($AD341,1)),0)&gt;2,IF($C341=8,O341*IFERROR(INDEX('TaxCred&amp;Subs'!$K$139:$S$151,MATCH($C341&amp;$D341&amp;LEFT($AD341,7),'TaxCred&amp;Subs'!$E$139:$E$151,0),MATCH($H341,'TaxCred&amp;Subs'!$K$137:$S$137,0)),0),IF($C341=2,O341*IFERROR(INDEX('TaxCred&amp;Subs'!$K$139:$S$151,MATCH($C341&amp;$D341,'TaxCred&amp;Subs'!$D$139:$D$151,0),MATCH($H341,'TaxCred&amp;Subs'!$K$137:$S$137,0)),0),O341*IFERROR(INDEX('TaxCred&amp;Subs'!$K$139:$S$151,MATCH($C341&amp;$D341,'TaxCred&amp;Subs'!$C$139:$C$151,0),MATCH($H341,'TaxCred&amp;Subs'!$K$137:$S$137,0)),0))),0),0)</f>
        <v>0</v>
      </c>
      <c r="T341" s="95">
        <f t="shared" si="21"/>
        <v>0</v>
      </c>
      <c r="U341" s="95">
        <f t="shared" si="22"/>
        <v>0</v>
      </c>
      <c r="V341" s="28" t="s">
        <v>222</v>
      </c>
      <c r="W341" s="31">
        <v>2020</v>
      </c>
      <c r="X341" s="28">
        <v>1</v>
      </c>
      <c r="Y341" s="28">
        <v>0</v>
      </c>
      <c r="Z341" s="196">
        <v>-4.9780125479181817E-3</v>
      </c>
      <c r="AA341" s="196">
        <v>-7.6584808429510487E-2</v>
      </c>
      <c r="AB341" s="28">
        <v>0</v>
      </c>
      <c r="AC341" s="28">
        <v>0</v>
      </c>
      <c r="AD341" s="28" t="s">
        <v>347</v>
      </c>
    </row>
    <row r="342" spans="2:31" ht="14.25" customHeight="1" x14ac:dyDescent="0.2">
      <c r="B342" s="7">
        <f t="shared" si="20"/>
        <v>318</v>
      </c>
      <c r="C342" s="28">
        <v>2</v>
      </c>
      <c r="D342" s="28">
        <v>2</v>
      </c>
      <c r="E342" s="31">
        <v>4</v>
      </c>
      <c r="F342" s="96">
        <v>2020</v>
      </c>
      <c r="G342" s="28">
        <v>2022</v>
      </c>
      <c r="H342" s="28">
        <v>5</v>
      </c>
      <c r="I342" s="96">
        <v>39</v>
      </c>
      <c r="J342" s="28">
        <v>0</v>
      </c>
      <c r="K342" s="28">
        <v>0</v>
      </c>
      <c r="L342" s="28">
        <v>0</v>
      </c>
      <c r="M342" s="75">
        <v>4.1031652989449006</v>
      </c>
      <c r="N342" s="151">
        <v>5310</v>
      </c>
      <c r="O342" s="151">
        <v>2680</v>
      </c>
      <c r="P342" s="95">
        <f t="array" ref="P342">ROUND(IF($F342&lt;='TaxCred&amp;Subs'!$C$49,(IF($C342=2,IF($M342&gt;=IFERROR(INDEX('TaxCred&amp;Subs'!$L$12:$L$47,MATCH(1,($C342&amp;$D342='TaxCred&amp;Subs'!$E$12:$E$47)*($F342='TaxCred&amp;Subs'!$C$12:$C$47),0)
),9999),IFERROR(INDEX('TaxCred&amp;Subs'!$N$12:$N$47,MATCH(1,($C342&amp;$D342='TaxCred&amp;Subs'!$E$12:$E$47)*($F342='TaxCred&amp;Subs'!$C$12:$C$47),0)
),0),0),(IF($M342&gt;=IFERROR(INDEX('TaxCred&amp;Subs'!$H$12:$H$47,MATCH(1,($C342&amp;$D342='TaxCred&amp;Subs'!$D$12:$D$47)*($F342='TaxCred&amp;Subs'!$C$12:$C$47),0)
),9999),IFERROR(INDEX('TaxCred&amp;Subs'!$N$12:$N$47,MATCH(1,($C342&amp;$D342='TaxCred&amp;Subs'!$D$12:$D$47)*($F342='TaxCred&amp;Subs'!$C$12:$C$47),0)
),0),0)))),0)+IF(AND($C342=2,VALUE(RIGHT($AD342,1))&gt;2),(N342-R342)*(IFERROR(INDEX('TaxCred&amp;Subs'!$J$66:$J$99,MATCH(1,($C342&amp;$D342='TaxCred&amp;Subs'!$E$66:$E$99)*($F342='TaxCred&amp;Subs'!$C$66:$C$99),0)),0)),IF(AND($C342=1,VALUE(RIGHT($AD342,1))&gt;2),(N342-R342)*(IFERROR(INDEX('TaxCred&amp;Subs'!$J$66:$J$99,MATCH(1,($C342&amp;$D342='TaxCred&amp;Subs'!$D$66:$D$99)*($F342='TaxCred&amp;Subs'!$C$66:$C$99),0)),0)),IF($C342&gt;2,(N342-R342)*(IFERROR(INDEX('TaxCred&amp;Subs'!$J$66:$J$99,MATCH(1,($C342&amp;$D342='TaxCred&amp;Subs'!$D$66:$D$99)*($F342='TaxCred&amp;Subs'!$C$66:$C$99),0)),0)),0))),0)</f>
        <v>0</v>
      </c>
      <c r="Q342" s="95">
        <f t="array" ref="Q342">ROUND(IF(AND($C342=2,VALUE(RIGHT($AD342,1))&gt;2),(O342-S342)*(IFERROR(INDEX('TaxCred&amp;Subs'!$J$66:$J$99,MATCH(1,($C342&amp;$D342='TaxCred&amp;Subs'!$E$66:$E$99)*($F342='TaxCred&amp;Subs'!$C$66:$C$99),0)),0)),IF(AND($C342=1,VALUE(RIGHT($AD342,1))&gt;2),(O342-S342)*(IFERROR(INDEX('TaxCred&amp;Subs'!$J$66:$J$99,MATCH(1,($C342&amp;$D342='TaxCred&amp;Subs'!$D$66:$D$99)*($F342='TaxCred&amp;Subs'!$C$66:$C$99),0)),0)),IF($C342&gt;2,(O342-S342)*(IFERROR(INDEX('TaxCred&amp;Subs'!$J$66:$J$99,MATCH(1,($C342&amp;$D342='TaxCred&amp;Subs'!$D$66:$D$99)*($F342='TaxCred&amp;Subs'!$C$66:$C$99),0)),0)),0))),0)</f>
        <v>0</v>
      </c>
      <c r="R342" s="95">
        <f t="array" ref="R342">ROUND(IF(IFERROR(VALUE(RIGHT($AD342,1)),0)&gt;2,IF($C342=8,N342*IFERROR(INDEX('TaxCred&amp;Subs'!$K$139:$S$151,MATCH($C342&amp;$D342&amp;LEFT($AD342,7),'TaxCred&amp;Subs'!$E$139:$E$151,0),MATCH($H342,'TaxCred&amp;Subs'!$K$137:$S$137,0)),0),IF($C342=2,N342*IFERROR(INDEX('TaxCred&amp;Subs'!$K$139:$S$151,MATCH($C342&amp;$D342,'TaxCred&amp;Subs'!$D$139:$D$151,0),MATCH($H342,'TaxCred&amp;Subs'!$K$137:$S$137,0)),0),N342*IFERROR(INDEX('TaxCred&amp;Subs'!$K$139:$S$151,MATCH($C342&amp;$D342,'TaxCred&amp;Subs'!$C$139:$C$151,0),MATCH($H342,'TaxCred&amp;Subs'!$K$137:$S$137,0)),0))),0),0)</f>
        <v>0</v>
      </c>
      <c r="S342" s="95">
        <f t="array" ref="S342">ROUND(IF(IFERROR(VALUE(RIGHT($AD342,1)),0)&gt;2,IF($C342=8,O342*IFERROR(INDEX('TaxCred&amp;Subs'!$K$139:$S$151,MATCH($C342&amp;$D342&amp;LEFT($AD342,7),'TaxCred&amp;Subs'!$E$139:$E$151,0),MATCH($H342,'TaxCred&amp;Subs'!$K$137:$S$137,0)),0),IF($C342=2,O342*IFERROR(INDEX('TaxCred&amp;Subs'!$K$139:$S$151,MATCH($C342&amp;$D342,'TaxCred&amp;Subs'!$D$139:$D$151,0),MATCH($H342,'TaxCred&amp;Subs'!$K$137:$S$137,0)),0),O342*IFERROR(INDEX('TaxCred&amp;Subs'!$K$139:$S$151,MATCH($C342&amp;$D342,'TaxCred&amp;Subs'!$C$139:$C$151,0),MATCH($H342,'TaxCred&amp;Subs'!$K$137:$S$137,0)),0))),0),0)</f>
        <v>0</v>
      </c>
      <c r="T342" s="95">
        <f t="shared" si="21"/>
        <v>0</v>
      </c>
      <c r="U342" s="95">
        <f t="shared" si="22"/>
        <v>0</v>
      </c>
      <c r="V342" s="28" t="s">
        <v>222</v>
      </c>
      <c r="W342" s="31">
        <v>2020</v>
      </c>
      <c r="X342" s="28">
        <v>1</v>
      </c>
      <c r="Y342" s="28">
        <v>0</v>
      </c>
      <c r="Z342" s="196">
        <v>-4.9780125479181817E-3</v>
      </c>
      <c r="AA342" s="196">
        <v>-7.6584808429510487E-2</v>
      </c>
      <c r="AB342" s="28">
        <v>0</v>
      </c>
      <c r="AC342" s="28">
        <v>0</v>
      </c>
      <c r="AD342" s="28" t="s">
        <v>347</v>
      </c>
    </row>
    <row r="343" spans="2:31" ht="14.25" customHeight="1" x14ac:dyDescent="0.2">
      <c r="B343" s="7">
        <f t="shared" si="20"/>
        <v>319</v>
      </c>
      <c r="C343" s="28">
        <v>2</v>
      </c>
      <c r="D343" s="28">
        <v>2</v>
      </c>
      <c r="E343" s="31">
        <v>4</v>
      </c>
      <c r="F343" s="96">
        <v>2020</v>
      </c>
      <c r="G343" s="28">
        <v>2022</v>
      </c>
      <c r="H343" s="28">
        <v>6</v>
      </c>
      <c r="I343" s="96">
        <v>39</v>
      </c>
      <c r="J343" s="28">
        <v>0</v>
      </c>
      <c r="K343" s="28">
        <v>0</v>
      </c>
      <c r="L343" s="28">
        <v>0</v>
      </c>
      <c r="M343" s="75">
        <v>4.1031652989449006</v>
      </c>
      <c r="N343" s="151">
        <v>5310</v>
      </c>
      <c r="O343" s="151">
        <v>2680</v>
      </c>
      <c r="P343" s="95">
        <f t="array" ref="P343">ROUND(IF($F343&lt;='TaxCred&amp;Subs'!$C$49,(IF($C343=2,IF($M343&gt;=IFERROR(INDEX('TaxCred&amp;Subs'!$L$12:$L$47,MATCH(1,($C343&amp;$D343='TaxCred&amp;Subs'!$E$12:$E$47)*($F343='TaxCred&amp;Subs'!$C$12:$C$47),0)
),9999),IFERROR(INDEX('TaxCred&amp;Subs'!$N$12:$N$47,MATCH(1,($C343&amp;$D343='TaxCred&amp;Subs'!$E$12:$E$47)*($F343='TaxCred&amp;Subs'!$C$12:$C$47),0)
),0),0),(IF($M343&gt;=IFERROR(INDEX('TaxCred&amp;Subs'!$H$12:$H$47,MATCH(1,($C343&amp;$D343='TaxCred&amp;Subs'!$D$12:$D$47)*($F343='TaxCred&amp;Subs'!$C$12:$C$47),0)
),9999),IFERROR(INDEX('TaxCred&amp;Subs'!$N$12:$N$47,MATCH(1,($C343&amp;$D343='TaxCred&amp;Subs'!$D$12:$D$47)*($F343='TaxCred&amp;Subs'!$C$12:$C$47),0)
),0),0)))),0)+IF(AND($C343=2,VALUE(RIGHT($AD343,1))&gt;2),(N343-R343)*(IFERROR(INDEX('TaxCred&amp;Subs'!$J$66:$J$99,MATCH(1,($C343&amp;$D343='TaxCred&amp;Subs'!$E$66:$E$99)*($F343='TaxCred&amp;Subs'!$C$66:$C$99),0)),0)),IF(AND($C343=1,VALUE(RIGHT($AD343,1))&gt;2),(N343-R343)*(IFERROR(INDEX('TaxCred&amp;Subs'!$J$66:$J$99,MATCH(1,($C343&amp;$D343='TaxCred&amp;Subs'!$D$66:$D$99)*($F343='TaxCred&amp;Subs'!$C$66:$C$99),0)),0)),IF($C343&gt;2,(N343-R343)*(IFERROR(INDEX('TaxCred&amp;Subs'!$J$66:$J$99,MATCH(1,($C343&amp;$D343='TaxCred&amp;Subs'!$D$66:$D$99)*($F343='TaxCred&amp;Subs'!$C$66:$C$99),0)),0)),0))),0)</f>
        <v>0</v>
      </c>
      <c r="Q343" s="95">
        <f t="array" ref="Q343">ROUND(IF(AND($C343=2,VALUE(RIGHT($AD343,1))&gt;2),(O343-S343)*(IFERROR(INDEX('TaxCred&amp;Subs'!$J$66:$J$99,MATCH(1,($C343&amp;$D343='TaxCred&amp;Subs'!$E$66:$E$99)*($F343='TaxCred&amp;Subs'!$C$66:$C$99),0)),0)),IF(AND($C343=1,VALUE(RIGHT($AD343,1))&gt;2),(O343-S343)*(IFERROR(INDEX('TaxCred&amp;Subs'!$J$66:$J$99,MATCH(1,($C343&amp;$D343='TaxCred&amp;Subs'!$D$66:$D$99)*($F343='TaxCred&amp;Subs'!$C$66:$C$99),0)),0)),IF($C343&gt;2,(O343-S343)*(IFERROR(INDEX('TaxCred&amp;Subs'!$J$66:$J$99,MATCH(1,($C343&amp;$D343='TaxCred&amp;Subs'!$D$66:$D$99)*($F343='TaxCred&amp;Subs'!$C$66:$C$99),0)),0)),0))),0)</f>
        <v>0</v>
      </c>
      <c r="R343" s="95">
        <f t="array" ref="R343">ROUND(IF(IFERROR(VALUE(RIGHT($AD343,1)),0)&gt;2,IF($C343=8,N343*IFERROR(INDEX('TaxCred&amp;Subs'!$K$139:$S$151,MATCH($C343&amp;$D343&amp;LEFT($AD343,7),'TaxCred&amp;Subs'!$E$139:$E$151,0),MATCH($H343,'TaxCred&amp;Subs'!$K$137:$S$137,0)),0),IF($C343=2,N343*IFERROR(INDEX('TaxCred&amp;Subs'!$K$139:$S$151,MATCH($C343&amp;$D343,'TaxCred&amp;Subs'!$D$139:$D$151,0),MATCH($H343,'TaxCred&amp;Subs'!$K$137:$S$137,0)),0),N343*IFERROR(INDEX('TaxCred&amp;Subs'!$K$139:$S$151,MATCH($C343&amp;$D343,'TaxCred&amp;Subs'!$C$139:$C$151,0),MATCH($H343,'TaxCred&amp;Subs'!$K$137:$S$137,0)),0))),0),0)</f>
        <v>0</v>
      </c>
      <c r="S343" s="95">
        <f t="array" ref="S343">ROUND(IF(IFERROR(VALUE(RIGHT($AD343,1)),0)&gt;2,IF($C343=8,O343*IFERROR(INDEX('TaxCred&amp;Subs'!$K$139:$S$151,MATCH($C343&amp;$D343&amp;LEFT($AD343,7),'TaxCred&amp;Subs'!$E$139:$E$151,0),MATCH($H343,'TaxCred&amp;Subs'!$K$137:$S$137,0)),0),IF($C343=2,O343*IFERROR(INDEX('TaxCred&amp;Subs'!$K$139:$S$151,MATCH($C343&amp;$D343,'TaxCred&amp;Subs'!$D$139:$D$151,0),MATCH($H343,'TaxCred&amp;Subs'!$K$137:$S$137,0)),0),O343*IFERROR(INDEX('TaxCred&amp;Subs'!$K$139:$S$151,MATCH($C343&amp;$D343,'TaxCred&amp;Subs'!$C$139:$C$151,0),MATCH($H343,'TaxCred&amp;Subs'!$K$137:$S$137,0)),0))),0),0)</f>
        <v>0</v>
      </c>
      <c r="T343" s="95">
        <f t="shared" si="21"/>
        <v>0</v>
      </c>
      <c r="U343" s="95">
        <f t="shared" si="22"/>
        <v>0</v>
      </c>
      <c r="V343" s="28" t="s">
        <v>222</v>
      </c>
      <c r="W343" s="31">
        <v>2020</v>
      </c>
      <c r="X343" s="28">
        <v>1</v>
      </c>
      <c r="Y343" s="28">
        <v>0</v>
      </c>
      <c r="Z343" s="196">
        <v>-4.9780125479181817E-3</v>
      </c>
      <c r="AA343" s="196">
        <v>-7.6584808429510487E-2</v>
      </c>
      <c r="AB343" s="28">
        <v>0</v>
      </c>
      <c r="AC343" s="28">
        <v>0</v>
      </c>
      <c r="AD343" s="28" t="s">
        <v>347</v>
      </c>
    </row>
    <row r="344" spans="2:31" ht="14.25" customHeight="1" x14ac:dyDescent="0.2">
      <c r="B344" s="7">
        <f t="shared" si="20"/>
        <v>320</v>
      </c>
      <c r="C344" s="28">
        <v>2</v>
      </c>
      <c r="D344" s="28">
        <v>2</v>
      </c>
      <c r="E344" s="31">
        <v>4</v>
      </c>
      <c r="F344" s="96">
        <v>2020</v>
      </c>
      <c r="G344" s="28">
        <v>2022</v>
      </c>
      <c r="H344" s="28">
        <v>7</v>
      </c>
      <c r="I344" s="96">
        <v>39</v>
      </c>
      <c r="J344" s="28">
        <v>0</v>
      </c>
      <c r="K344" s="28">
        <v>0</v>
      </c>
      <c r="L344" s="28">
        <v>0</v>
      </c>
      <c r="M344" s="75">
        <v>4.1031652989449006</v>
      </c>
      <c r="N344" s="151">
        <v>5310</v>
      </c>
      <c r="O344" s="151">
        <v>2680</v>
      </c>
      <c r="P344" s="95">
        <f t="array" ref="P344">ROUND(IF($F344&lt;='TaxCred&amp;Subs'!$C$49,(IF($C344=2,IF($M344&gt;=IFERROR(INDEX('TaxCred&amp;Subs'!$L$12:$L$47,MATCH(1,($C344&amp;$D344='TaxCred&amp;Subs'!$E$12:$E$47)*($F344='TaxCred&amp;Subs'!$C$12:$C$47),0)
),9999),IFERROR(INDEX('TaxCred&amp;Subs'!$N$12:$N$47,MATCH(1,($C344&amp;$D344='TaxCred&amp;Subs'!$E$12:$E$47)*($F344='TaxCred&amp;Subs'!$C$12:$C$47),0)
),0),0),(IF($M344&gt;=IFERROR(INDEX('TaxCred&amp;Subs'!$H$12:$H$47,MATCH(1,($C344&amp;$D344='TaxCred&amp;Subs'!$D$12:$D$47)*($F344='TaxCred&amp;Subs'!$C$12:$C$47),0)
),9999),IFERROR(INDEX('TaxCred&amp;Subs'!$N$12:$N$47,MATCH(1,($C344&amp;$D344='TaxCred&amp;Subs'!$D$12:$D$47)*($F344='TaxCred&amp;Subs'!$C$12:$C$47),0)
),0),0)))),0)+IF(AND($C344=2,VALUE(RIGHT($AD344,1))&gt;2),(N344-R344)*(IFERROR(INDEX('TaxCred&amp;Subs'!$J$66:$J$99,MATCH(1,($C344&amp;$D344='TaxCred&amp;Subs'!$E$66:$E$99)*($F344='TaxCred&amp;Subs'!$C$66:$C$99),0)),0)),IF(AND($C344=1,VALUE(RIGHT($AD344,1))&gt;2),(N344-R344)*(IFERROR(INDEX('TaxCred&amp;Subs'!$J$66:$J$99,MATCH(1,($C344&amp;$D344='TaxCred&amp;Subs'!$D$66:$D$99)*($F344='TaxCred&amp;Subs'!$C$66:$C$99),0)),0)),IF($C344&gt;2,(N344-R344)*(IFERROR(INDEX('TaxCred&amp;Subs'!$J$66:$J$99,MATCH(1,($C344&amp;$D344='TaxCred&amp;Subs'!$D$66:$D$99)*($F344='TaxCred&amp;Subs'!$C$66:$C$99),0)),0)),0))),0)</f>
        <v>0</v>
      </c>
      <c r="Q344" s="95">
        <f t="array" ref="Q344">ROUND(IF(AND($C344=2,VALUE(RIGHT($AD344,1))&gt;2),(O344-S344)*(IFERROR(INDEX('TaxCred&amp;Subs'!$J$66:$J$99,MATCH(1,($C344&amp;$D344='TaxCred&amp;Subs'!$E$66:$E$99)*($F344='TaxCred&amp;Subs'!$C$66:$C$99),0)),0)),IF(AND($C344=1,VALUE(RIGHT($AD344,1))&gt;2),(O344-S344)*(IFERROR(INDEX('TaxCred&amp;Subs'!$J$66:$J$99,MATCH(1,($C344&amp;$D344='TaxCred&amp;Subs'!$D$66:$D$99)*($F344='TaxCred&amp;Subs'!$C$66:$C$99),0)),0)),IF($C344&gt;2,(O344-S344)*(IFERROR(INDEX('TaxCred&amp;Subs'!$J$66:$J$99,MATCH(1,($C344&amp;$D344='TaxCred&amp;Subs'!$D$66:$D$99)*($F344='TaxCred&amp;Subs'!$C$66:$C$99),0)),0)),0))),0)</f>
        <v>0</v>
      </c>
      <c r="R344" s="95">
        <f t="array" ref="R344">ROUND(IF(IFERROR(VALUE(RIGHT($AD344,1)),0)&gt;2,IF($C344=8,N344*IFERROR(INDEX('TaxCred&amp;Subs'!$K$139:$S$151,MATCH($C344&amp;$D344&amp;LEFT($AD344,7),'TaxCred&amp;Subs'!$E$139:$E$151,0),MATCH($H344,'TaxCred&amp;Subs'!$K$137:$S$137,0)),0),IF($C344=2,N344*IFERROR(INDEX('TaxCred&amp;Subs'!$K$139:$S$151,MATCH($C344&amp;$D344,'TaxCred&amp;Subs'!$D$139:$D$151,0),MATCH($H344,'TaxCred&amp;Subs'!$K$137:$S$137,0)),0),N344*IFERROR(INDEX('TaxCred&amp;Subs'!$K$139:$S$151,MATCH($C344&amp;$D344,'TaxCred&amp;Subs'!$C$139:$C$151,0),MATCH($H344,'TaxCred&amp;Subs'!$K$137:$S$137,0)),0))),0),0)</f>
        <v>0</v>
      </c>
      <c r="S344" s="95">
        <f t="array" ref="S344">ROUND(IF(IFERROR(VALUE(RIGHT($AD344,1)),0)&gt;2,IF($C344=8,O344*IFERROR(INDEX('TaxCred&amp;Subs'!$K$139:$S$151,MATCH($C344&amp;$D344&amp;LEFT($AD344,7),'TaxCred&amp;Subs'!$E$139:$E$151,0),MATCH($H344,'TaxCred&amp;Subs'!$K$137:$S$137,0)),0),IF($C344=2,O344*IFERROR(INDEX('TaxCred&amp;Subs'!$K$139:$S$151,MATCH($C344&amp;$D344,'TaxCred&amp;Subs'!$D$139:$D$151,0),MATCH($H344,'TaxCred&amp;Subs'!$K$137:$S$137,0)),0),O344*IFERROR(INDEX('TaxCred&amp;Subs'!$K$139:$S$151,MATCH($C344&amp;$D344,'TaxCred&amp;Subs'!$C$139:$C$151,0),MATCH($H344,'TaxCred&amp;Subs'!$K$137:$S$137,0)),0))),0),0)</f>
        <v>0</v>
      </c>
      <c r="T344" s="95">
        <f t="shared" si="21"/>
        <v>0</v>
      </c>
      <c r="U344" s="95">
        <f t="shared" si="22"/>
        <v>0</v>
      </c>
      <c r="V344" s="28" t="s">
        <v>222</v>
      </c>
      <c r="W344" s="31">
        <v>2020</v>
      </c>
      <c r="X344" s="28">
        <v>1</v>
      </c>
      <c r="Y344" s="28">
        <v>0</v>
      </c>
      <c r="Z344" s="196">
        <v>-4.9780125479181817E-3</v>
      </c>
      <c r="AA344" s="196">
        <v>-7.6584808429510487E-2</v>
      </c>
      <c r="AB344" s="28">
        <v>0</v>
      </c>
      <c r="AC344" s="28">
        <v>0</v>
      </c>
      <c r="AD344" s="28" t="s">
        <v>347</v>
      </c>
    </row>
    <row r="345" spans="2:31" ht="14.25" customHeight="1" x14ac:dyDescent="0.2">
      <c r="B345" s="7">
        <f t="shared" si="20"/>
        <v>321</v>
      </c>
      <c r="C345" s="28">
        <v>2</v>
      </c>
      <c r="D345" s="28">
        <v>2</v>
      </c>
      <c r="E345" s="31">
        <v>4</v>
      </c>
      <c r="F345" s="96">
        <v>2020</v>
      </c>
      <c r="G345" s="28">
        <v>2022</v>
      </c>
      <c r="H345" s="28">
        <v>8</v>
      </c>
      <c r="I345" s="96">
        <v>39</v>
      </c>
      <c r="J345" s="28">
        <v>0</v>
      </c>
      <c r="K345" s="28">
        <v>0</v>
      </c>
      <c r="L345" s="28">
        <v>0</v>
      </c>
      <c r="M345" s="75">
        <v>4.1031652989449006</v>
      </c>
      <c r="N345" s="151">
        <v>5310</v>
      </c>
      <c r="O345" s="151">
        <v>2680</v>
      </c>
      <c r="P345" s="95">
        <f t="array" ref="P345">ROUND(IF($F345&lt;='TaxCred&amp;Subs'!$C$49,(IF($C345=2,IF($M345&gt;=IFERROR(INDEX('TaxCred&amp;Subs'!$L$12:$L$47,MATCH(1,($C345&amp;$D345='TaxCred&amp;Subs'!$E$12:$E$47)*($F345='TaxCred&amp;Subs'!$C$12:$C$47),0)
),9999),IFERROR(INDEX('TaxCred&amp;Subs'!$N$12:$N$47,MATCH(1,($C345&amp;$D345='TaxCred&amp;Subs'!$E$12:$E$47)*($F345='TaxCred&amp;Subs'!$C$12:$C$47),0)
),0),0),(IF($M345&gt;=IFERROR(INDEX('TaxCred&amp;Subs'!$H$12:$H$47,MATCH(1,($C345&amp;$D345='TaxCred&amp;Subs'!$D$12:$D$47)*($F345='TaxCred&amp;Subs'!$C$12:$C$47),0)
),9999),IFERROR(INDEX('TaxCred&amp;Subs'!$N$12:$N$47,MATCH(1,($C345&amp;$D345='TaxCred&amp;Subs'!$D$12:$D$47)*($F345='TaxCred&amp;Subs'!$C$12:$C$47),0)
),0),0)))),0)+IF(AND($C345=2,VALUE(RIGHT($AD345,1))&gt;2),(N345-R345)*(IFERROR(INDEX('TaxCred&amp;Subs'!$J$66:$J$99,MATCH(1,($C345&amp;$D345='TaxCred&amp;Subs'!$E$66:$E$99)*($F345='TaxCred&amp;Subs'!$C$66:$C$99),0)),0)),IF(AND($C345=1,VALUE(RIGHT($AD345,1))&gt;2),(N345-R345)*(IFERROR(INDEX('TaxCred&amp;Subs'!$J$66:$J$99,MATCH(1,($C345&amp;$D345='TaxCred&amp;Subs'!$D$66:$D$99)*($F345='TaxCred&amp;Subs'!$C$66:$C$99),0)),0)),IF($C345&gt;2,(N345-R345)*(IFERROR(INDEX('TaxCred&amp;Subs'!$J$66:$J$99,MATCH(1,($C345&amp;$D345='TaxCred&amp;Subs'!$D$66:$D$99)*($F345='TaxCred&amp;Subs'!$C$66:$C$99),0)),0)),0))),0)</f>
        <v>0</v>
      </c>
      <c r="Q345" s="95">
        <f t="array" ref="Q345">ROUND(IF(AND($C345=2,VALUE(RIGHT($AD345,1))&gt;2),(O345-S345)*(IFERROR(INDEX('TaxCred&amp;Subs'!$J$66:$J$99,MATCH(1,($C345&amp;$D345='TaxCred&amp;Subs'!$E$66:$E$99)*($F345='TaxCred&amp;Subs'!$C$66:$C$99),0)),0)),IF(AND($C345=1,VALUE(RIGHT($AD345,1))&gt;2),(O345-S345)*(IFERROR(INDEX('TaxCred&amp;Subs'!$J$66:$J$99,MATCH(1,($C345&amp;$D345='TaxCred&amp;Subs'!$D$66:$D$99)*($F345='TaxCred&amp;Subs'!$C$66:$C$99),0)),0)),IF($C345&gt;2,(O345-S345)*(IFERROR(INDEX('TaxCred&amp;Subs'!$J$66:$J$99,MATCH(1,($C345&amp;$D345='TaxCred&amp;Subs'!$D$66:$D$99)*($F345='TaxCred&amp;Subs'!$C$66:$C$99),0)),0)),0))),0)</f>
        <v>0</v>
      </c>
      <c r="R345" s="95">
        <f t="array" ref="R345">ROUND(IF(IFERROR(VALUE(RIGHT($AD345,1)),0)&gt;2,IF($C345=8,N345*IFERROR(INDEX('TaxCred&amp;Subs'!$K$139:$S$151,MATCH($C345&amp;$D345&amp;LEFT($AD345,7),'TaxCred&amp;Subs'!$E$139:$E$151,0),MATCH($H345,'TaxCred&amp;Subs'!$K$137:$S$137,0)),0),IF($C345=2,N345*IFERROR(INDEX('TaxCred&amp;Subs'!$K$139:$S$151,MATCH($C345&amp;$D345,'TaxCred&amp;Subs'!$D$139:$D$151,0),MATCH($H345,'TaxCred&amp;Subs'!$K$137:$S$137,0)),0),N345*IFERROR(INDEX('TaxCred&amp;Subs'!$K$139:$S$151,MATCH($C345&amp;$D345,'TaxCred&amp;Subs'!$C$139:$C$151,0),MATCH($H345,'TaxCred&amp;Subs'!$K$137:$S$137,0)),0))),0),0)</f>
        <v>0</v>
      </c>
      <c r="S345" s="95">
        <f t="array" ref="S345">ROUND(IF(IFERROR(VALUE(RIGHT($AD345,1)),0)&gt;2,IF($C345=8,O345*IFERROR(INDEX('TaxCred&amp;Subs'!$K$139:$S$151,MATCH($C345&amp;$D345&amp;LEFT($AD345,7),'TaxCred&amp;Subs'!$E$139:$E$151,0),MATCH($H345,'TaxCred&amp;Subs'!$K$137:$S$137,0)),0),IF($C345=2,O345*IFERROR(INDEX('TaxCred&amp;Subs'!$K$139:$S$151,MATCH($C345&amp;$D345,'TaxCred&amp;Subs'!$D$139:$D$151,0),MATCH($H345,'TaxCred&amp;Subs'!$K$137:$S$137,0)),0),O345*IFERROR(INDEX('TaxCred&amp;Subs'!$K$139:$S$151,MATCH($C345&amp;$D345,'TaxCred&amp;Subs'!$C$139:$C$151,0),MATCH($H345,'TaxCred&amp;Subs'!$K$137:$S$137,0)),0))),0),0)</f>
        <v>0</v>
      </c>
      <c r="T345" s="95">
        <f t="shared" si="21"/>
        <v>0</v>
      </c>
      <c r="U345" s="95">
        <f t="shared" si="22"/>
        <v>0</v>
      </c>
      <c r="V345" s="28" t="s">
        <v>222</v>
      </c>
      <c r="W345" s="31">
        <v>2020</v>
      </c>
      <c r="X345" s="28">
        <v>1</v>
      </c>
      <c r="Y345" s="28">
        <v>0</v>
      </c>
      <c r="Z345" s="196">
        <v>-4.9780125479181817E-3</v>
      </c>
      <c r="AA345" s="196">
        <v>-7.6584808429510487E-2</v>
      </c>
      <c r="AB345" s="28">
        <v>0</v>
      </c>
      <c r="AC345" s="28">
        <v>0</v>
      </c>
      <c r="AD345" s="28" t="s">
        <v>347</v>
      </c>
    </row>
    <row r="346" spans="2:31" ht="14.25" customHeight="1" x14ac:dyDescent="0.2">
      <c r="B346" s="7">
        <f t="shared" si="20"/>
        <v>322</v>
      </c>
      <c r="C346" s="28">
        <v>2</v>
      </c>
      <c r="D346" s="28">
        <v>2</v>
      </c>
      <c r="E346" s="31">
        <v>4</v>
      </c>
      <c r="F346" s="96">
        <v>2020</v>
      </c>
      <c r="G346" s="28">
        <v>2022</v>
      </c>
      <c r="H346" s="28">
        <v>9</v>
      </c>
      <c r="I346" s="96">
        <v>39</v>
      </c>
      <c r="J346" s="28">
        <v>0</v>
      </c>
      <c r="K346" s="28">
        <v>0</v>
      </c>
      <c r="L346" s="28">
        <v>0</v>
      </c>
      <c r="M346" s="75">
        <v>4.1031652989449006</v>
      </c>
      <c r="N346" s="151">
        <v>5310</v>
      </c>
      <c r="O346" s="151">
        <v>2680</v>
      </c>
      <c r="P346" s="95">
        <f t="array" ref="P346">ROUND(IF($F346&lt;='TaxCred&amp;Subs'!$C$49,(IF($C346=2,IF($M346&gt;=IFERROR(INDEX('TaxCred&amp;Subs'!$L$12:$L$47,MATCH(1,($C346&amp;$D346='TaxCred&amp;Subs'!$E$12:$E$47)*($F346='TaxCred&amp;Subs'!$C$12:$C$47),0)
),9999),IFERROR(INDEX('TaxCred&amp;Subs'!$N$12:$N$47,MATCH(1,($C346&amp;$D346='TaxCred&amp;Subs'!$E$12:$E$47)*($F346='TaxCred&amp;Subs'!$C$12:$C$47),0)
),0),0),(IF($M346&gt;=IFERROR(INDEX('TaxCred&amp;Subs'!$H$12:$H$47,MATCH(1,($C346&amp;$D346='TaxCred&amp;Subs'!$D$12:$D$47)*($F346='TaxCred&amp;Subs'!$C$12:$C$47),0)
),9999),IFERROR(INDEX('TaxCred&amp;Subs'!$N$12:$N$47,MATCH(1,($C346&amp;$D346='TaxCred&amp;Subs'!$D$12:$D$47)*($F346='TaxCred&amp;Subs'!$C$12:$C$47),0)
),0),0)))),0)+IF(AND($C346=2,VALUE(RIGHT($AD346,1))&gt;2),(N346-R346)*(IFERROR(INDEX('TaxCred&amp;Subs'!$J$66:$J$99,MATCH(1,($C346&amp;$D346='TaxCred&amp;Subs'!$E$66:$E$99)*($F346='TaxCred&amp;Subs'!$C$66:$C$99),0)),0)),IF(AND($C346=1,VALUE(RIGHT($AD346,1))&gt;2),(N346-R346)*(IFERROR(INDEX('TaxCred&amp;Subs'!$J$66:$J$99,MATCH(1,($C346&amp;$D346='TaxCred&amp;Subs'!$D$66:$D$99)*($F346='TaxCred&amp;Subs'!$C$66:$C$99),0)),0)),IF($C346&gt;2,(N346-R346)*(IFERROR(INDEX('TaxCred&amp;Subs'!$J$66:$J$99,MATCH(1,($C346&amp;$D346='TaxCred&amp;Subs'!$D$66:$D$99)*($F346='TaxCred&amp;Subs'!$C$66:$C$99),0)),0)),0))),0)</f>
        <v>0</v>
      </c>
      <c r="Q346" s="95">
        <f t="array" ref="Q346">ROUND(IF(AND($C346=2,VALUE(RIGHT($AD346,1))&gt;2),(O346-S346)*(IFERROR(INDEX('TaxCred&amp;Subs'!$J$66:$J$99,MATCH(1,($C346&amp;$D346='TaxCred&amp;Subs'!$E$66:$E$99)*($F346='TaxCred&amp;Subs'!$C$66:$C$99),0)),0)),IF(AND($C346=1,VALUE(RIGHT($AD346,1))&gt;2),(O346-S346)*(IFERROR(INDEX('TaxCred&amp;Subs'!$J$66:$J$99,MATCH(1,($C346&amp;$D346='TaxCred&amp;Subs'!$D$66:$D$99)*($F346='TaxCred&amp;Subs'!$C$66:$C$99),0)),0)),IF($C346&gt;2,(O346-S346)*(IFERROR(INDEX('TaxCred&amp;Subs'!$J$66:$J$99,MATCH(1,($C346&amp;$D346='TaxCred&amp;Subs'!$D$66:$D$99)*($F346='TaxCred&amp;Subs'!$C$66:$C$99),0)),0)),0))),0)</f>
        <v>0</v>
      </c>
      <c r="R346" s="95">
        <f t="array" ref="R346">ROUND(IF(IFERROR(VALUE(RIGHT($AD346,1)),0)&gt;2,IF($C346=8,N346*IFERROR(INDEX('TaxCred&amp;Subs'!$K$139:$S$151,MATCH($C346&amp;$D346&amp;LEFT($AD346,7),'TaxCred&amp;Subs'!$E$139:$E$151,0),MATCH($H346,'TaxCred&amp;Subs'!$K$137:$S$137,0)),0),IF($C346=2,N346*IFERROR(INDEX('TaxCred&amp;Subs'!$K$139:$S$151,MATCH($C346&amp;$D346,'TaxCred&amp;Subs'!$D$139:$D$151,0),MATCH($H346,'TaxCred&amp;Subs'!$K$137:$S$137,0)),0),N346*IFERROR(INDEX('TaxCred&amp;Subs'!$K$139:$S$151,MATCH($C346&amp;$D346,'TaxCred&amp;Subs'!$C$139:$C$151,0),MATCH($H346,'TaxCred&amp;Subs'!$K$137:$S$137,0)),0))),0),0)</f>
        <v>0</v>
      </c>
      <c r="S346" s="95">
        <f t="array" ref="S346">ROUND(IF(IFERROR(VALUE(RIGHT($AD346,1)),0)&gt;2,IF($C346=8,O346*IFERROR(INDEX('TaxCred&amp;Subs'!$K$139:$S$151,MATCH($C346&amp;$D346&amp;LEFT($AD346,7),'TaxCred&amp;Subs'!$E$139:$E$151,0),MATCH($H346,'TaxCred&amp;Subs'!$K$137:$S$137,0)),0),IF($C346=2,O346*IFERROR(INDEX('TaxCred&amp;Subs'!$K$139:$S$151,MATCH($C346&amp;$D346,'TaxCred&amp;Subs'!$D$139:$D$151,0),MATCH($H346,'TaxCred&amp;Subs'!$K$137:$S$137,0)),0),O346*IFERROR(INDEX('TaxCred&amp;Subs'!$K$139:$S$151,MATCH($C346&amp;$D346,'TaxCred&amp;Subs'!$C$139:$C$151,0),MATCH($H346,'TaxCred&amp;Subs'!$K$137:$S$137,0)),0))),0),0)</f>
        <v>0</v>
      </c>
      <c r="T346" s="95">
        <f t="shared" si="21"/>
        <v>0</v>
      </c>
      <c r="U346" s="95">
        <f t="shared" si="22"/>
        <v>0</v>
      </c>
      <c r="V346" s="28" t="s">
        <v>222</v>
      </c>
      <c r="W346" s="31">
        <v>2020</v>
      </c>
      <c r="X346" s="28">
        <v>1</v>
      </c>
      <c r="Y346" s="28">
        <v>0</v>
      </c>
      <c r="Z346" s="196">
        <v>-4.9780125479181817E-3</v>
      </c>
      <c r="AA346" s="196">
        <v>-7.6584808429510487E-2</v>
      </c>
      <c r="AB346" s="28">
        <v>0</v>
      </c>
      <c r="AC346" s="28">
        <v>0</v>
      </c>
      <c r="AD346" s="28" t="s">
        <v>347</v>
      </c>
    </row>
    <row r="347" spans="2:31" ht="14.25" customHeight="1" x14ac:dyDescent="0.2">
      <c r="B347" s="7">
        <f t="shared" ref="B347:B410" si="23">B346+1</f>
        <v>323</v>
      </c>
      <c r="C347" s="28">
        <v>2</v>
      </c>
      <c r="D347" s="28">
        <v>2</v>
      </c>
      <c r="E347" s="31">
        <v>4</v>
      </c>
      <c r="F347" s="78">
        <v>2023</v>
      </c>
      <c r="G347" s="28">
        <v>2050</v>
      </c>
      <c r="H347" s="28">
        <v>1</v>
      </c>
      <c r="I347" s="96">
        <v>39</v>
      </c>
      <c r="J347" s="28">
        <v>0</v>
      </c>
      <c r="K347" s="28">
        <v>0</v>
      </c>
      <c r="L347" s="28">
        <v>0</v>
      </c>
      <c r="M347" s="156">
        <v>4.1340161658542609</v>
      </c>
      <c r="N347" s="151">
        <v>5310</v>
      </c>
      <c r="O347" s="151">
        <v>2680</v>
      </c>
      <c r="P347" s="95">
        <f t="array" ref="P347">ROUND(IF($F347&lt;='TaxCred&amp;Subs'!$C$49,(IF($C347=2,IF($M347&gt;=IFERROR(INDEX('TaxCred&amp;Subs'!$L$12:$L$47,MATCH(1,($C347&amp;$D347='TaxCred&amp;Subs'!$E$12:$E$47)*($F347='TaxCred&amp;Subs'!$C$12:$C$47),0)
),9999),IFERROR(INDEX('TaxCred&amp;Subs'!$N$12:$N$47,MATCH(1,($C347&amp;$D347='TaxCred&amp;Subs'!$E$12:$E$47)*($F347='TaxCred&amp;Subs'!$C$12:$C$47),0)
),0),0),(IF($M347&gt;=IFERROR(INDEX('TaxCred&amp;Subs'!$H$12:$H$47,MATCH(1,($C347&amp;$D347='TaxCred&amp;Subs'!$D$12:$D$47)*($F347='TaxCred&amp;Subs'!$C$12:$C$47),0)
),9999),IFERROR(INDEX('TaxCred&amp;Subs'!$N$12:$N$47,MATCH(1,($C347&amp;$D347='TaxCred&amp;Subs'!$D$12:$D$47)*($F347='TaxCred&amp;Subs'!$C$12:$C$47),0)
),0),0)))),0)+IF(AND($C347=2,VALUE(RIGHT($AD347,1))&gt;2),(N347-R347)*(IFERROR(INDEX('TaxCred&amp;Subs'!$J$66:$J$99,MATCH(1,($C347&amp;$D347='TaxCred&amp;Subs'!$E$66:$E$99)*($F347='TaxCred&amp;Subs'!$C$66:$C$99),0)),0)),IF(AND($C347=1,VALUE(RIGHT($AD347,1))&gt;2),(N347-R347)*(IFERROR(INDEX('TaxCred&amp;Subs'!$J$66:$J$99,MATCH(1,($C347&amp;$D347='TaxCred&amp;Subs'!$D$66:$D$99)*($F347='TaxCred&amp;Subs'!$C$66:$C$99),0)),0)),IF($C347&gt;2,(N347-R347)*(IFERROR(INDEX('TaxCred&amp;Subs'!$J$66:$J$99,MATCH(1,($C347&amp;$D347='TaxCred&amp;Subs'!$D$66:$D$99)*($F347='TaxCred&amp;Subs'!$C$66:$C$99),0)),0)),0))),0)</f>
        <v>0</v>
      </c>
      <c r="Q347" s="95">
        <f t="array" ref="Q347">ROUND(IF(AND($C347=2,VALUE(RIGHT($AD347,1))&gt;2),(O347-S347)*(IFERROR(INDEX('TaxCred&amp;Subs'!$J$66:$J$99,MATCH(1,($C347&amp;$D347='TaxCred&amp;Subs'!$E$66:$E$99)*($F347='TaxCred&amp;Subs'!$C$66:$C$99),0)),0)),IF(AND($C347=1,VALUE(RIGHT($AD347,1))&gt;2),(O347-S347)*(IFERROR(INDEX('TaxCred&amp;Subs'!$J$66:$J$99,MATCH(1,($C347&amp;$D347='TaxCred&amp;Subs'!$D$66:$D$99)*($F347='TaxCred&amp;Subs'!$C$66:$C$99),0)),0)),IF($C347&gt;2,(O347-S347)*(IFERROR(INDEX('TaxCred&amp;Subs'!$J$66:$J$99,MATCH(1,($C347&amp;$D347='TaxCred&amp;Subs'!$D$66:$D$99)*($F347='TaxCred&amp;Subs'!$C$66:$C$99),0)),0)),0))),0)</f>
        <v>0</v>
      </c>
      <c r="R347" s="95">
        <f t="array" ref="R347">ROUND(IF(IFERROR(VALUE(RIGHT($AD347,1)),0)&gt;2,IF($C347=8,N347*IFERROR(INDEX('TaxCred&amp;Subs'!$K$139:$S$151,MATCH($C347&amp;$D347&amp;LEFT($AD347,7),'TaxCred&amp;Subs'!$E$139:$E$151,0),MATCH($H347,'TaxCred&amp;Subs'!$K$137:$S$137,0)),0),IF($C347=2,N347*IFERROR(INDEX('TaxCred&amp;Subs'!$K$139:$S$151,MATCH($C347&amp;$D347,'TaxCred&amp;Subs'!$D$139:$D$151,0),MATCH($H347,'TaxCred&amp;Subs'!$K$137:$S$137,0)),0),N347*IFERROR(INDEX('TaxCred&amp;Subs'!$K$139:$S$151,MATCH($C347&amp;$D347,'TaxCred&amp;Subs'!$C$139:$C$151,0),MATCH($H347,'TaxCred&amp;Subs'!$K$137:$S$137,0)),0))),0),0)</f>
        <v>0</v>
      </c>
      <c r="S347" s="95">
        <f t="array" ref="S347">ROUND(IF(IFERROR(VALUE(RIGHT($AD347,1)),0)&gt;2,IF($C347=8,O347*IFERROR(INDEX('TaxCred&amp;Subs'!$K$139:$S$151,MATCH($C347&amp;$D347&amp;LEFT($AD347,7),'TaxCred&amp;Subs'!$E$139:$E$151,0),MATCH($H347,'TaxCred&amp;Subs'!$K$137:$S$137,0)),0),IF($C347=2,O347*IFERROR(INDEX('TaxCred&amp;Subs'!$K$139:$S$151,MATCH($C347&amp;$D347,'TaxCred&amp;Subs'!$D$139:$D$151,0),MATCH($H347,'TaxCred&amp;Subs'!$K$137:$S$137,0)),0),O347*IFERROR(INDEX('TaxCred&amp;Subs'!$K$139:$S$151,MATCH($C347&amp;$D347,'TaxCred&amp;Subs'!$C$139:$C$151,0),MATCH($H347,'TaxCred&amp;Subs'!$K$137:$S$137,0)),0))),0),0)</f>
        <v>0</v>
      </c>
      <c r="T347" s="95">
        <f t="shared" si="21"/>
        <v>0</v>
      </c>
      <c r="U347" s="95">
        <f t="shared" si="22"/>
        <v>0</v>
      </c>
      <c r="V347" s="28" t="s">
        <v>222</v>
      </c>
      <c r="W347" s="31">
        <v>2020</v>
      </c>
      <c r="X347" s="28">
        <v>1</v>
      </c>
      <c r="Y347" s="28">
        <v>0</v>
      </c>
      <c r="Z347" s="196">
        <v>-4.9780125479181817E-3</v>
      </c>
      <c r="AA347" s="196">
        <v>-7.6584808429510487E-2</v>
      </c>
      <c r="AB347" s="28">
        <v>0</v>
      </c>
      <c r="AC347" s="28">
        <v>0</v>
      </c>
      <c r="AD347" s="28" t="s">
        <v>347</v>
      </c>
    </row>
    <row r="348" spans="2:31" ht="14.25" customHeight="1" x14ac:dyDescent="0.2">
      <c r="B348" s="7">
        <f t="shared" si="23"/>
        <v>324</v>
      </c>
      <c r="C348" s="28">
        <v>2</v>
      </c>
      <c r="D348" s="28">
        <v>2</v>
      </c>
      <c r="E348" s="31">
        <v>4</v>
      </c>
      <c r="F348" s="78">
        <v>2023</v>
      </c>
      <c r="G348" s="28">
        <v>2050</v>
      </c>
      <c r="H348" s="28">
        <v>2</v>
      </c>
      <c r="I348" s="96">
        <v>39</v>
      </c>
      <c r="J348" s="28">
        <v>0</v>
      </c>
      <c r="K348" s="28">
        <v>0</v>
      </c>
      <c r="L348" s="28">
        <v>0</v>
      </c>
      <c r="M348" s="156">
        <v>4.1340161658542609</v>
      </c>
      <c r="N348" s="151">
        <v>5310</v>
      </c>
      <c r="O348" s="151">
        <v>2680</v>
      </c>
      <c r="P348" s="95">
        <f t="array" ref="P348">ROUND(IF($F348&lt;='TaxCred&amp;Subs'!$C$49,(IF($C348=2,IF($M348&gt;=IFERROR(INDEX('TaxCred&amp;Subs'!$L$12:$L$47,MATCH(1,($C348&amp;$D348='TaxCred&amp;Subs'!$E$12:$E$47)*($F348='TaxCred&amp;Subs'!$C$12:$C$47),0)
),9999),IFERROR(INDEX('TaxCred&amp;Subs'!$N$12:$N$47,MATCH(1,($C348&amp;$D348='TaxCred&amp;Subs'!$E$12:$E$47)*($F348='TaxCred&amp;Subs'!$C$12:$C$47),0)
),0),0),(IF($M348&gt;=IFERROR(INDEX('TaxCred&amp;Subs'!$H$12:$H$47,MATCH(1,($C348&amp;$D348='TaxCred&amp;Subs'!$D$12:$D$47)*($F348='TaxCred&amp;Subs'!$C$12:$C$47),0)
),9999),IFERROR(INDEX('TaxCred&amp;Subs'!$N$12:$N$47,MATCH(1,($C348&amp;$D348='TaxCred&amp;Subs'!$D$12:$D$47)*($F348='TaxCred&amp;Subs'!$C$12:$C$47),0)
),0),0)))),0)+IF(AND($C348=2,VALUE(RIGHT($AD348,1))&gt;2),(N348-R348)*(IFERROR(INDEX('TaxCred&amp;Subs'!$J$66:$J$99,MATCH(1,($C348&amp;$D348='TaxCred&amp;Subs'!$E$66:$E$99)*($F348='TaxCred&amp;Subs'!$C$66:$C$99),0)),0)),IF(AND($C348=1,VALUE(RIGHT($AD348,1))&gt;2),(N348-R348)*(IFERROR(INDEX('TaxCred&amp;Subs'!$J$66:$J$99,MATCH(1,($C348&amp;$D348='TaxCred&amp;Subs'!$D$66:$D$99)*($F348='TaxCred&amp;Subs'!$C$66:$C$99),0)),0)),IF($C348&gt;2,(N348-R348)*(IFERROR(INDEX('TaxCred&amp;Subs'!$J$66:$J$99,MATCH(1,($C348&amp;$D348='TaxCred&amp;Subs'!$D$66:$D$99)*($F348='TaxCred&amp;Subs'!$C$66:$C$99),0)),0)),0))),0)</f>
        <v>0</v>
      </c>
      <c r="Q348" s="95">
        <f t="array" ref="Q348">ROUND(IF(AND($C348=2,VALUE(RIGHT($AD348,1))&gt;2),(O348-S348)*(IFERROR(INDEX('TaxCred&amp;Subs'!$J$66:$J$99,MATCH(1,($C348&amp;$D348='TaxCred&amp;Subs'!$E$66:$E$99)*($F348='TaxCred&amp;Subs'!$C$66:$C$99),0)),0)),IF(AND($C348=1,VALUE(RIGHT($AD348,1))&gt;2),(O348-S348)*(IFERROR(INDEX('TaxCred&amp;Subs'!$J$66:$J$99,MATCH(1,($C348&amp;$D348='TaxCred&amp;Subs'!$D$66:$D$99)*($F348='TaxCred&amp;Subs'!$C$66:$C$99),0)),0)),IF($C348&gt;2,(O348-S348)*(IFERROR(INDEX('TaxCred&amp;Subs'!$J$66:$J$99,MATCH(1,($C348&amp;$D348='TaxCred&amp;Subs'!$D$66:$D$99)*($F348='TaxCred&amp;Subs'!$C$66:$C$99),0)),0)),0))),0)</f>
        <v>0</v>
      </c>
      <c r="R348" s="95">
        <f t="array" ref="R348">ROUND(IF(IFERROR(VALUE(RIGHT($AD348,1)),0)&gt;2,IF($C348=8,N348*IFERROR(INDEX('TaxCred&amp;Subs'!$K$139:$S$151,MATCH($C348&amp;$D348&amp;LEFT($AD348,7),'TaxCred&amp;Subs'!$E$139:$E$151,0),MATCH($H348,'TaxCred&amp;Subs'!$K$137:$S$137,0)),0),IF($C348=2,N348*IFERROR(INDEX('TaxCred&amp;Subs'!$K$139:$S$151,MATCH($C348&amp;$D348,'TaxCred&amp;Subs'!$D$139:$D$151,0),MATCH($H348,'TaxCred&amp;Subs'!$K$137:$S$137,0)),0),N348*IFERROR(INDEX('TaxCred&amp;Subs'!$K$139:$S$151,MATCH($C348&amp;$D348,'TaxCred&amp;Subs'!$C$139:$C$151,0),MATCH($H348,'TaxCred&amp;Subs'!$K$137:$S$137,0)),0))),0),0)</f>
        <v>0</v>
      </c>
      <c r="S348" s="95">
        <f t="array" ref="S348">ROUND(IF(IFERROR(VALUE(RIGHT($AD348,1)),0)&gt;2,IF($C348=8,O348*IFERROR(INDEX('TaxCred&amp;Subs'!$K$139:$S$151,MATCH($C348&amp;$D348&amp;LEFT($AD348,7),'TaxCred&amp;Subs'!$E$139:$E$151,0),MATCH($H348,'TaxCred&amp;Subs'!$K$137:$S$137,0)),0),IF($C348=2,O348*IFERROR(INDEX('TaxCred&amp;Subs'!$K$139:$S$151,MATCH($C348&amp;$D348,'TaxCred&amp;Subs'!$D$139:$D$151,0),MATCH($H348,'TaxCred&amp;Subs'!$K$137:$S$137,0)),0),O348*IFERROR(INDEX('TaxCred&amp;Subs'!$K$139:$S$151,MATCH($C348&amp;$D348,'TaxCred&amp;Subs'!$C$139:$C$151,0),MATCH($H348,'TaxCred&amp;Subs'!$K$137:$S$137,0)),0))),0),0)</f>
        <v>0</v>
      </c>
      <c r="T348" s="95">
        <f t="shared" si="21"/>
        <v>0</v>
      </c>
      <c r="U348" s="95">
        <f t="shared" si="22"/>
        <v>0</v>
      </c>
      <c r="V348" s="28" t="s">
        <v>222</v>
      </c>
      <c r="W348" s="31">
        <v>2020</v>
      </c>
      <c r="X348" s="28">
        <v>1</v>
      </c>
      <c r="Y348" s="28">
        <v>0</v>
      </c>
      <c r="Z348" s="196">
        <v>-4.9780125479181817E-3</v>
      </c>
      <c r="AA348" s="196">
        <v>-7.6584808429510487E-2</v>
      </c>
      <c r="AB348" s="28">
        <v>0</v>
      </c>
      <c r="AC348" s="28">
        <v>0</v>
      </c>
      <c r="AD348" s="28" t="s">
        <v>347</v>
      </c>
    </row>
    <row r="349" spans="2:31" ht="14.25" customHeight="1" x14ac:dyDescent="0.2">
      <c r="B349" s="7">
        <f t="shared" si="23"/>
        <v>325</v>
      </c>
      <c r="C349" s="28">
        <v>2</v>
      </c>
      <c r="D349" s="28">
        <v>2</v>
      </c>
      <c r="E349" s="31">
        <v>4</v>
      </c>
      <c r="F349" s="78">
        <v>2023</v>
      </c>
      <c r="G349" s="28">
        <v>2050</v>
      </c>
      <c r="H349" s="28">
        <v>3</v>
      </c>
      <c r="I349" s="96">
        <v>39</v>
      </c>
      <c r="J349" s="28">
        <v>0</v>
      </c>
      <c r="K349" s="28">
        <v>0</v>
      </c>
      <c r="L349" s="28">
        <v>0</v>
      </c>
      <c r="M349" s="156">
        <v>4.1340161658542609</v>
      </c>
      <c r="N349" s="151">
        <v>5310</v>
      </c>
      <c r="O349" s="151">
        <v>2680</v>
      </c>
      <c r="P349" s="95">
        <f t="array" ref="P349">ROUND(IF($F349&lt;='TaxCred&amp;Subs'!$C$49,(IF($C349=2,IF($M349&gt;=IFERROR(INDEX('TaxCred&amp;Subs'!$L$12:$L$47,MATCH(1,($C349&amp;$D349='TaxCred&amp;Subs'!$E$12:$E$47)*($F349='TaxCred&amp;Subs'!$C$12:$C$47),0)
),9999),IFERROR(INDEX('TaxCred&amp;Subs'!$N$12:$N$47,MATCH(1,($C349&amp;$D349='TaxCred&amp;Subs'!$E$12:$E$47)*($F349='TaxCred&amp;Subs'!$C$12:$C$47),0)
),0),0),(IF($M349&gt;=IFERROR(INDEX('TaxCred&amp;Subs'!$H$12:$H$47,MATCH(1,($C349&amp;$D349='TaxCred&amp;Subs'!$D$12:$D$47)*($F349='TaxCred&amp;Subs'!$C$12:$C$47),0)
),9999),IFERROR(INDEX('TaxCred&amp;Subs'!$N$12:$N$47,MATCH(1,($C349&amp;$D349='TaxCred&amp;Subs'!$D$12:$D$47)*($F349='TaxCred&amp;Subs'!$C$12:$C$47),0)
),0),0)))),0)+IF(AND($C349=2,VALUE(RIGHT($AD349,1))&gt;2),(N349-R349)*(IFERROR(INDEX('TaxCred&amp;Subs'!$J$66:$J$99,MATCH(1,($C349&amp;$D349='TaxCred&amp;Subs'!$E$66:$E$99)*($F349='TaxCred&amp;Subs'!$C$66:$C$99),0)),0)),IF(AND($C349=1,VALUE(RIGHT($AD349,1))&gt;2),(N349-R349)*(IFERROR(INDEX('TaxCred&amp;Subs'!$J$66:$J$99,MATCH(1,($C349&amp;$D349='TaxCred&amp;Subs'!$D$66:$D$99)*($F349='TaxCred&amp;Subs'!$C$66:$C$99),0)),0)),IF($C349&gt;2,(N349-R349)*(IFERROR(INDEX('TaxCred&amp;Subs'!$J$66:$J$99,MATCH(1,($C349&amp;$D349='TaxCred&amp;Subs'!$D$66:$D$99)*($F349='TaxCred&amp;Subs'!$C$66:$C$99),0)),0)),0))),0)</f>
        <v>0</v>
      </c>
      <c r="Q349" s="95">
        <f t="array" ref="Q349">ROUND(IF(AND($C349=2,VALUE(RIGHT($AD349,1))&gt;2),(O349-S349)*(IFERROR(INDEX('TaxCred&amp;Subs'!$J$66:$J$99,MATCH(1,($C349&amp;$D349='TaxCred&amp;Subs'!$E$66:$E$99)*($F349='TaxCred&amp;Subs'!$C$66:$C$99),0)),0)),IF(AND($C349=1,VALUE(RIGHT($AD349,1))&gt;2),(O349-S349)*(IFERROR(INDEX('TaxCred&amp;Subs'!$J$66:$J$99,MATCH(1,($C349&amp;$D349='TaxCred&amp;Subs'!$D$66:$D$99)*($F349='TaxCred&amp;Subs'!$C$66:$C$99),0)),0)),IF($C349&gt;2,(O349-S349)*(IFERROR(INDEX('TaxCred&amp;Subs'!$J$66:$J$99,MATCH(1,($C349&amp;$D349='TaxCred&amp;Subs'!$D$66:$D$99)*($F349='TaxCred&amp;Subs'!$C$66:$C$99),0)),0)),0))),0)</f>
        <v>0</v>
      </c>
      <c r="R349" s="95">
        <f t="array" ref="R349">ROUND(IF(IFERROR(VALUE(RIGHT($AD349,1)),0)&gt;2,IF($C349=8,N349*IFERROR(INDEX('TaxCred&amp;Subs'!$K$139:$S$151,MATCH($C349&amp;$D349&amp;LEFT($AD349,7),'TaxCred&amp;Subs'!$E$139:$E$151,0),MATCH($H349,'TaxCred&amp;Subs'!$K$137:$S$137,0)),0),IF($C349=2,N349*IFERROR(INDEX('TaxCred&amp;Subs'!$K$139:$S$151,MATCH($C349&amp;$D349,'TaxCred&amp;Subs'!$D$139:$D$151,0),MATCH($H349,'TaxCred&amp;Subs'!$K$137:$S$137,0)),0),N349*IFERROR(INDEX('TaxCred&amp;Subs'!$K$139:$S$151,MATCH($C349&amp;$D349,'TaxCred&amp;Subs'!$C$139:$C$151,0),MATCH($H349,'TaxCred&amp;Subs'!$K$137:$S$137,0)),0))),0),0)</f>
        <v>0</v>
      </c>
      <c r="S349" s="95">
        <f t="array" ref="S349">ROUND(IF(IFERROR(VALUE(RIGHT($AD349,1)),0)&gt;2,IF($C349=8,O349*IFERROR(INDEX('TaxCred&amp;Subs'!$K$139:$S$151,MATCH($C349&amp;$D349&amp;LEFT($AD349,7),'TaxCred&amp;Subs'!$E$139:$E$151,0),MATCH($H349,'TaxCred&amp;Subs'!$K$137:$S$137,0)),0),IF($C349=2,O349*IFERROR(INDEX('TaxCred&amp;Subs'!$K$139:$S$151,MATCH($C349&amp;$D349,'TaxCred&amp;Subs'!$D$139:$D$151,0),MATCH($H349,'TaxCred&amp;Subs'!$K$137:$S$137,0)),0),O349*IFERROR(INDEX('TaxCred&amp;Subs'!$K$139:$S$151,MATCH($C349&amp;$D349,'TaxCred&amp;Subs'!$C$139:$C$151,0),MATCH($H349,'TaxCred&amp;Subs'!$K$137:$S$137,0)),0))),0),0)</f>
        <v>0</v>
      </c>
      <c r="T349" s="95">
        <f t="shared" si="21"/>
        <v>0</v>
      </c>
      <c r="U349" s="95">
        <f t="shared" si="22"/>
        <v>0</v>
      </c>
      <c r="V349" s="28" t="s">
        <v>222</v>
      </c>
      <c r="W349" s="31">
        <v>2020</v>
      </c>
      <c r="X349" s="28">
        <v>1</v>
      </c>
      <c r="Y349" s="28">
        <v>0</v>
      </c>
      <c r="Z349" s="196">
        <v>-4.9780125479181817E-3</v>
      </c>
      <c r="AA349" s="196">
        <v>-7.6584808429510487E-2</v>
      </c>
      <c r="AB349" s="28">
        <v>0</v>
      </c>
      <c r="AC349" s="28">
        <v>0</v>
      </c>
      <c r="AD349" s="28" t="s">
        <v>347</v>
      </c>
    </row>
    <row r="350" spans="2:31" ht="14.25" customHeight="1" x14ac:dyDescent="0.2">
      <c r="B350" s="7">
        <f t="shared" si="23"/>
        <v>326</v>
      </c>
      <c r="C350" s="28">
        <v>2</v>
      </c>
      <c r="D350" s="28">
        <v>2</v>
      </c>
      <c r="E350" s="31">
        <v>4</v>
      </c>
      <c r="F350" s="78">
        <v>2023</v>
      </c>
      <c r="G350" s="28">
        <v>2050</v>
      </c>
      <c r="H350" s="28">
        <v>4</v>
      </c>
      <c r="I350" s="96">
        <v>39</v>
      </c>
      <c r="J350" s="28">
        <v>0</v>
      </c>
      <c r="K350" s="28">
        <v>0</v>
      </c>
      <c r="L350" s="28">
        <v>0</v>
      </c>
      <c r="M350" s="156">
        <v>4.1340161658542609</v>
      </c>
      <c r="N350" s="151">
        <v>5310</v>
      </c>
      <c r="O350" s="151">
        <v>2680</v>
      </c>
      <c r="P350" s="95">
        <f t="array" ref="P350">ROUND(IF($F350&lt;='TaxCred&amp;Subs'!$C$49,(IF($C350=2,IF($M350&gt;=IFERROR(INDEX('TaxCred&amp;Subs'!$L$12:$L$47,MATCH(1,($C350&amp;$D350='TaxCred&amp;Subs'!$E$12:$E$47)*($F350='TaxCred&amp;Subs'!$C$12:$C$47),0)
),9999),IFERROR(INDEX('TaxCred&amp;Subs'!$N$12:$N$47,MATCH(1,($C350&amp;$D350='TaxCred&amp;Subs'!$E$12:$E$47)*($F350='TaxCred&amp;Subs'!$C$12:$C$47),0)
),0),0),(IF($M350&gt;=IFERROR(INDEX('TaxCred&amp;Subs'!$H$12:$H$47,MATCH(1,($C350&amp;$D350='TaxCred&amp;Subs'!$D$12:$D$47)*($F350='TaxCred&amp;Subs'!$C$12:$C$47),0)
),9999),IFERROR(INDEX('TaxCred&amp;Subs'!$N$12:$N$47,MATCH(1,($C350&amp;$D350='TaxCred&amp;Subs'!$D$12:$D$47)*($F350='TaxCred&amp;Subs'!$C$12:$C$47),0)
),0),0)))),0)+IF(AND($C350=2,VALUE(RIGHT($AD350,1))&gt;2),(N350-R350)*(IFERROR(INDEX('TaxCred&amp;Subs'!$J$66:$J$99,MATCH(1,($C350&amp;$D350='TaxCred&amp;Subs'!$E$66:$E$99)*($F350='TaxCred&amp;Subs'!$C$66:$C$99),0)),0)),IF(AND($C350=1,VALUE(RIGHT($AD350,1))&gt;2),(N350-R350)*(IFERROR(INDEX('TaxCred&amp;Subs'!$J$66:$J$99,MATCH(1,($C350&amp;$D350='TaxCred&amp;Subs'!$D$66:$D$99)*($F350='TaxCred&amp;Subs'!$C$66:$C$99),0)),0)),IF($C350&gt;2,(N350-R350)*(IFERROR(INDEX('TaxCred&amp;Subs'!$J$66:$J$99,MATCH(1,($C350&amp;$D350='TaxCred&amp;Subs'!$D$66:$D$99)*($F350='TaxCred&amp;Subs'!$C$66:$C$99),0)),0)),0))),0)</f>
        <v>0</v>
      </c>
      <c r="Q350" s="95">
        <f t="array" ref="Q350">ROUND(IF(AND($C350=2,VALUE(RIGHT($AD350,1))&gt;2),(O350-S350)*(IFERROR(INDEX('TaxCred&amp;Subs'!$J$66:$J$99,MATCH(1,($C350&amp;$D350='TaxCred&amp;Subs'!$E$66:$E$99)*($F350='TaxCred&amp;Subs'!$C$66:$C$99),0)),0)),IF(AND($C350=1,VALUE(RIGHT($AD350,1))&gt;2),(O350-S350)*(IFERROR(INDEX('TaxCred&amp;Subs'!$J$66:$J$99,MATCH(1,($C350&amp;$D350='TaxCred&amp;Subs'!$D$66:$D$99)*($F350='TaxCred&amp;Subs'!$C$66:$C$99),0)),0)),IF($C350&gt;2,(O350-S350)*(IFERROR(INDEX('TaxCred&amp;Subs'!$J$66:$J$99,MATCH(1,($C350&amp;$D350='TaxCred&amp;Subs'!$D$66:$D$99)*($F350='TaxCred&amp;Subs'!$C$66:$C$99),0)),0)),0))),0)</f>
        <v>0</v>
      </c>
      <c r="R350" s="95">
        <f t="array" ref="R350">ROUND(IF(IFERROR(VALUE(RIGHT($AD350,1)),0)&gt;2,IF($C350=8,N350*IFERROR(INDEX('TaxCred&amp;Subs'!$K$139:$S$151,MATCH($C350&amp;$D350&amp;LEFT($AD350,7),'TaxCred&amp;Subs'!$E$139:$E$151,0),MATCH($H350,'TaxCred&amp;Subs'!$K$137:$S$137,0)),0),IF($C350=2,N350*IFERROR(INDEX('TaxCred&amp;Subs'!$K$139:$S$151,MATCH($C350&amp;$D350,'TaxCred&amp;Subs'!$D$139:$D$151,0),MATCH($H350,'TaxCred&amp;Subs'!$K$137:$S$137,0)),0),N350*IFERROR(INDEX('TaxCred&amp;Subs'!$K$139:$S$151,MATCH($C350&amp;$D350,'TaxCred&amp;Subs'!$C$139:$C$151,0),MATCH($H350,'TaxCred&amp;Subs'!$K$137:$S$137,0)),0))),0),0)</f>
        <v>0</v>
      </c>
      <c r="S350" s="95">
        <f t="array" ref="S350">ROUND(IF(IFERROR(VALUE(RIGHT($AD350,1)),0)&gt;2,IF($C350=8,O350*IFERROR(INDEX('TaxCred&amp;Subs'!$K$139:$S$151,MATCH($C350&amp;$D350&amp;LEFT($AD350,7),'TaxCred&amp;Subs'!$E$139:$E$151,0),MATCH($H350,'TaxCred&amp;Subs'!$K$137:$S$137,0)),0),IF($C350=2,O350*IFERROR(INDEX('TaxCred&amp;Subs'!$K$139:$S$151,MATCH($C350&amp;$D350,'TaxCred&amp;Subs'!$D$139:$D$151,0),MATCH($H350,'TaxCred&amp;Subs'!$K$137:$S$137,0)),0),O350*IFERROR(INDEX('TaxCred&amp;Subs'!$K$139:$S$151,MATCH($C350&amp;$D350,'TaxCred&amp;Subs'!$C$139:$C$151,0),MATCH($H350,'TaxCred&amp;Subs'!$K$137:$S$137,0)),0))),0),0)</f>
        <v>0</v>
      </c>
      <c r="T350" s="95">
        <f t="shared" si="21"/>
        <v>0</v>
      </c>
      <c r="U350" s="95">
        <f t="shared" si="22"/>
        <v>0</v>
      </c>
      <c r="V350" s="28" t="s">
        <v>222</v>
      </c>
      <c r="W350" s="31">
        <v>2020</v>
      </c>
      <c r="X350" s="28">
        <v>1</v>
      </c>
      <c r="Y350" s="28">
        <v>0</v>
      </c>
      <c r="Z350" s="196">
        <v>-4.9780125479181817E-3</v>
      </c>
      <c r="AA350" s="196">
        <v>-7.6584808429510487E-2</v>
      </c>
      <c r="AB350" s="28">
        <v>0</v>
      </c>
      <c r="AC350" s="28">
        <v>0</v>
      </c>
      <c r="AD350" s="28" t="s">
        <v>347</v>
      </c>
    </row>
    <row r="351" spans="2:31" ht="14.25" customHeight="1" x14ac:dyDescent="0.2">
      <c r="B351" s="7">
        <f t="shared" si="23"/>
        <v>327</v>
      </c>
      <c r="C351" s="28">
        <v>2</v>
      </c>
      <c r="D351" s="28">
        <v>2</v>
      </c>
      <c r="E351" s="31">
        <v>4</v>
      </c>
      <c r="F351" s="78">
        <v>2023</v>
      </c>
      <c r="G351" s="28">
        <v>2050</v>
      </c>
      <c r="H351" s="28">
        <v>5</v>
      </c>
      <c r="I351" s="96">
        <v>39</v>
      </c>
      <c r="J351" s="28">
        <v>0</v>
      </c>
      <c r="K351" s="28">
        <v>0</v>
      </c>
      <c r="L351" s="28">
        <v>0</v>
      </c>
      <c r="M351" s="156">
        <v>4.4116739680385022</v>
      </c>
      <c r="N351" s="151">
        <v>5520</v>
      </c>
      <c r="O351" s="151">
        <v>3110</v>
      </c>
      <c r="P351" s="95">
        <f t="array" ref="P351">ROUND(IF($F351&lt;='TaxCred&amp;Subs'!$C$49,(IF($C351=2,IF($M351&gt;=IFERROR(INDEX('TaxCred&amp;Subs'!$L$12:$L$47,MATCH(1,($C351&amp;$D351='TaxCred&amp;Subs'!$E$12:$E$47)*($F351='TaxCred&amp;Subs'!$C$12:$C$47),0)
),9999),IFERROR(INDEX('TaxCred&amp;Subs'!$N$12:$N$47,MATCH(1,($C351&amp;$D351='TaxCred&amp;Subs'!$E$12:$E$47)*($F351='TaxCred&amp;Subs'!$C$12:$C$47),0)
),0),0),(IF($M351&gt;=IFERROR(INDEX('TaxCred&amp;Subs'!$H$12:$H$47,MATCH(1,($C351&amp;$D351='TaxCred&amp;Subs'!$D$12:$D$47)*($F351='TaxCred&amp;Subs'!$C$12:$C$47),0)
),9999),IFERROR(INDEX('TaxCred&amp;Subs'!$N$12:$N$47,MATCH(1,($C351&amp;$D351='TaxCred&amp;Subs'!$D$12:$D$47)*($F351='TaxCred&amp;Subs'!$C$12:$C$47),0)
),0),0)))),0)+IF(AND($C351=2,VALUE(RIGHT($AD351,1))&gt;2),(N351-R351)*(IFERROR(INDEX('TaxCred&amp;Subs'!$J$66:$J$99,MATCH(1,($C351&amp;$D351='TaxCred&amp;Subs'!$E$66:$E$99)*($F351='TaxCred&amp;Subs'!$C$66:$C$99),0)),0)),IF(AND($C351=1,VALUE(RIGHT($AD351,1))&gt;2),(N351-R351)*(IFERROR(INDEX('TaxCred&amp;Subs'!$J$66:$J$99,MATCH(1,($C351&amp;$D351='TaxCred&amp;Subs'!$D$66:$D$99)*($F351='TaxCred&amp;Subs'!$C$66:$C$99),0)),0)),IF($C351&gt;2,(N351-R351)*(IFERROR(INDEX('TaxCred&amp;Subs'!$J$66:$J$99,MATCH(1,($C351&amp;$D351='TaxCred&amp;Subs'!$D$66:$D$99)*($F351='TaxCred&amp;Subs'!$C$66:$C$99),0)),0)),0))),0)</f>
        <v>0</v>
      </c>
      <c r="Q351" s="95">
        <f t="array" ref="Q351">ROUND(IF(AND($C351=2,VALUE(RIGHT($AD351,1))&gt;2),(O351-S351)*(IFERROR(INDEX('TaxCred&amp;Subs'!$J$66:$J$99,MATCH(1,($C351&amp;$D351='TaxCred&amp;Subs'!$E$66:$E$99)*($F351='TaxCred&amp;Subs'!$C$66:$C$99),0)),0)),IF(AND($C351=1,VALUE(RIGHT($AD351,1))&gt;2),(O351-S351)*(IFERROR(INDEX('TaxCred&amp;Subs'!$J$66:$J$99,MATCH(1,($C351&amp;$D351='TaxCred&amp;Subs'!$D$66:$D$99)*($F351='TaxCred&amp;Subs'!$C$66:$C$99),0)),0)),IF($C351&gt;2,(O351-S351)*(IFERROR(INDEX('TaxCred&amp;Subs'!$J$66:$J$99,MATCH(1,($C351&amp;$D351='TaxCred&amp;Subs'!$D$66:$D$99)*($F351='TaxCred&amp;Subs'!$C$66:$C$99),0)),0)),0))),0)</f>
        <v>0</v>
      </c>
      <c r="R351" s="95">
        <f t="array" ref="R351">ROUND(IF(IFERROR(VALUE(RIGHT($AD351,1)),0)&gt;2,IF($C351=8,N351*IFERROR(INDEX('TaxCred&amp;Subs'!$K$139:$S$151,MATCH($C351&amp;$D351&amp;LEFT($AD351,7),'TaxCred&amp;Subs'!$E$139:$E$151,0),MATCH($H351,'TaxCred&amp;Subs'!$K$137:$S$137,0)),0),IF($C351=2,N351*IFERROR(INDEX('TaxCred&amp;Subs'!$K$139:$S$151,MATCH($C351&amp;$D351,'TaxCred&amp;Subs'!$D$139:$D$151,0),MATCH($H351,'TaxCred&amp;Subs'!$K$137:$S$137,0)),0),N351*IFERROR(INDEX('TaxCred&amp;Subs'!$K$139:$S$151,MATCH($C351&amp;$D351,'TaxCred&amp;Subs'!$C$139:$C$151,0),MATCH($H351,'TaxCred&amp;Subs'!$K$137:$S$137,0)),0))),0),0)</f>
        <v>0</v>
      </c>
      <c r="S351" s="95">
        <f t="array" ref="S351">ROUND(IF(IFERROR(VALUE(RIGHT($AD351,1)),0)&gt;2,IF($C351=8,O351*IFERROR(INDEX('TaxCred&amp;Subs'!$K$139:$S$151,MATCH($C351&amp;$D351&amp;LEFT($AD351,7),'TaxCred&amp;Subs'!$E$139:$E$151,0),MATCH($H351,'TaxCred&amp;Subs'!$K$137:$S$137,0)),0),IF($C351=2,O351*IFERROR(INDEX('TaxCred&amp;Subs'!$K$139:$S$151,MATCH($C351&amp;$D351,'TaxCred&amp;Subs'!$D$139:$D$151,0),MATCH($H351,'TaxCred&amp;Subs'!$K$137:$S$137,0)),0),O351*IFERROR(INDEX('TaxCred&amp;Subs'!$K$139:$S$151,MATCH($C351&amp;$D351,'TaxCred&amp;Subs'!$C$139:$C$151,0),MATCH($H351,'TaxCred&amp;Subs'!$K$137:$S$137,0)),0))),0),0)</f>
        <v>0</v>
      </c>
      <c r="T351" s="95">
        <f t="shared" si="21"/>
        <v>0</v>
      </c>
      <c r="U351" s="95">
        <f t="shared" si="22"/>
        <v>0</v>
      </c>
      <c r="V351" s="28" t="s">
        <v>222</v>
      </c>
      <c r="W351" s="31">
        <v>2020</v>
      </c>
      <c r="X351" s="28">
        <v>1</v>
      </c>
      <c r="Y351" s="28">
        <v>0</v>
      </c>
      <c r="Z351" s="196">
        <v>-4.9780125479181817E-3</v>
      </c>
      <c r="AA351" s="196">
        <v>-7.6584808429510487E-2</v>
      </c>
      <c r="AB351" s="28">
        <v>0</v>
      </c>
      <c r="AC351" s="28">
        <v>0</v>
      </c>
      <c r="AD351" s="28" t="s">
        <v>347</v>
      </c>
    </row>
    <row r="352" spans="2:31" ht="14.25" customHeight="1" x14ac:dyDescent="0.2">
      <c r="B352" s="7">
        <f t="shared" si="23"/>
        <v>328</v>
      </c>
      <c r="C352" s="28">
        <v>2</v>
      </c>
      <c r="D352" s="28">
        <v>2</v>
      </c>
      <c r="E352" s="31">
        <v>4</v>
      </c>
      <c r="F352" s="78">
        <v>2023</v>
      </c>
      <c r="G352" s="28">
        <v>2050</v>
      </c>
      <c r="H352" s="28">
        <v>6</v>
      </c>
      <c r="I352" s="96">
        <v>39</v>
      </c>
      <c r="J352" s="28">
        <v>0</v>
      </c>
      <c r="K352" s="28">
        <v>0</v>
      </c>
      <c r="L352" s="28">
        <v>0</v>
      </c>
      <c r="M352" s="156">
        <v>4.4116739680385022</v>
      </c>
      <c r="N352" s="151">
        <v>5520</v>
      </c>
      <c r="O352" s="151">
        <v>3110</v>
      </c>
      <c r="P352" s="95">
        <f t="array" ref="P352">ROUND(IF($F352&lt;='TaxCred&amp;Subs'!$C$49,(IF($C352=2,IF($M352&gt;=IFERROR(INDEX('TaxCred&amp;Subs'!$L$12:$L$47,MATCH(1,($C352&amp;$D352='TaxCred&amp;Subs'!$E$12:$E$47)*($F352='TaxCred&amp;Subs'!$C$12:$C$47),0)
),9999),IFERROR(INDEX('TaxCred&amp;Subs'!$N$12:$N$47,MATCH(1,($C352&amp;$D352='TaxCred&amp;Subs'!$E$12:$E$47)*($F352='TaxCred&amp;Subs'!$C$12:$C$47),0)
),0),0),(IF($M352&gt;=IFERROR(INDEX('TaxCred&amp;Subs'!$H$12:$H$47,MATCH(1,($C352&amp;$D352='TaxCred&amp;Subs'!$D$12:$D$47)*($F352='TaxCred&amp;Subs'!$C$12:$C$47),0)
),9999),IFERROR(INDEX('TaxCred&amp;Subs'!$N$12:$N$47,MATCH(1,($C352&amp;$D352='TaxCred&amp;Subs'!$D$12:$D$47)*($F352='TaxCred&amp;Subs'!$C$12:$C$47),0)
),0),0)))),0)+IF(AND($C352=2,VALUE(RIGHT($AD352,1))&gt;2),(N352-R352)*(IFERROR(INDEX('TaxCred&amp;Subs'!$J$66:$J$99,MATCH(1,($C352&amp;$D352='TaxCred&amp;Subs'!$E$66:$E$99)*($F352='TaxCred&amp;Subs'!$C$66:$C$99),0)),0)),IF(AND($C352=1,VALUE(RIGHT($AD352,1))&gt;2),(N352-R352)*(IFERROR(INDEX('TaxCred&amp;Subs'!$J$66:$J$99,MATCH(1,($C352&amp;$D352='TaxCred&amp;Subs'!$D$66:$D$99)*($F352='TaxCred&amp;Subs'!$C$66:$C$99),0)),0)),IF($C352&gt;2,(N352-R352)*(IFERROR(INDEX('TaxCred&amp;Subs'!$J$66:$J$99,MATCH(1,($C352&amp;$D352='TaxCred&amp;Subs'!$D$66:$D$99)*($F352='TaxCred&amp;Subs'!$C$66:$C$99),0)),0)),0))),0)</f>
        <v>0</v>
      </c>
      <c r="Q352" s="95">
        <f t="array" ref="Q352">ROUND(IF(AND($C352=2,VALUE(RIGHT($AD352,1))&gt;2),(O352-S352)*(IFERROR(INDEX('TaxCred&amp;Subs'!$J$66:$J$99,MATCH(1,($C352&amp;$D352='TaxCred&amp;Subs'!$E$66:$E$99)*($F352='TaxCred&amp;Subs'!$C$66:$C$99),0)),0)),IF(AND($C352=1,VALUE(RIGHT($AD352,1))&gt;2),(O352-S352)*(IFERROR(INDEX('TaxCred&amp;Subs'!$J$66:$J$99,MATCH(1,($C352&amp;$D352='TaxCred&amp;Subs'!$D$66:$D$99)*($F352='TaxCred&amp;Subs'!$C$66:$C$99),0)),0)),IF($C352&gt;2,(O352-S352)*(IFERROR(INDEX('TaxCred&amp;Subs'!$J$66:$J$99,MATCH(1,($C352&amp;$D352='TaxCred&amp;Subs'!$D$66:$D$99)*($F352='TaxCred&amp;Subs'!$C$66:$C$99),0)),0)),0))),0)</f>
        <v>0</v>
      </c>
      <c r="R352" s="95">
        <f t="array" ref="R352">ROUND(IF(IFERROR(VALUE(RIGHT($AD352,1)),0)&gt;2,IF($C352=8,N352*IFERROR(INDEX('TaxCred&amp;Subs'!$K$139:$S$151,MATCH($C352&amp;$D352&amp;LEFT($AD352,7),'TaxCred&amp;Subs'!$E$139:$E$151,0),MATCH($H352,'TaxCred&amp;Subs'!$K$137:$S$137,0)),0),IF($C352=2,N352*IFERROR(INDEX('TaxCred&amp;Subs'!$K$139:$S$151,MATCH($C352&amp;$D352,'TaxCred&amp;Subs'!$D$139:$D$151,0),MATCH($H352,'TaxCred&amp;Subs'!$K$137:$S$137,0)),0),N352*IFERROR(INDEX('TaxCred&amp;Subs'!$K$139:$S$151,MATCH($C352&amp;$D352,'TaxCred&amp;Subs'!$C$139:$C$151,0),MATCH($H352,'TaxCred&amp;Subs'!$K$137:$S$137,0)),0))),0),0)</f>
        <v>0</v>
      </c>
      <c r="S352" s="95">
        <f t="array" ref="S352">ROUND(IF(IFERROR(VALUE(RIGHT($AD352,1)),0)&gt;2,IF($C352=8,O352*IFERROR(INDEX('TaxCred&amp;Subs'!$K$139:$S$151,MATCH($C352&amp;$D352&amp;LEFT($AD352,7),'TaxCred&amp;Subs'!$E$139:$E$151,0),MATCH($H352,'TaxCred&amp;Subs'!$K$137:$S$137,0)),0),IF($C352=2,O352*IFERROR(INDEX('TaxCred&amp;Subs'!$K$139:$S$151,MATCH($C352&amp;$D352,'TaxCred&amp;Subs'!$D$139:$D$151,0),MATCH($H352,'TaxCred&amp;Subs'!$K$137:$S$137,0)),0),O352*IFERROR(INDEX('TaxCred&amp;Subs'!$K$139:$S$151,MATCH($C352&amp;$D352,'TaxCred&amp;Subs'!$C$139:$C$151,0),MATCH($H352,'TaxCred&amp;Subs'!$K$137:$S$137,0)),0))),0),0)</f>
        <v>0</v>
      </c>
      <c r="T352" s="95">
        <f t="shared" si="21"/>
        <v>0</v>
      </c>
      <c r="U352" s="95">
        <f t="shared" si="22"/>
        <v>0</v>
      </c>
      <c r="V352" s="28" t="s">
        <v>222</v>
      </c>
      <c r="W352" s="31">
        <v>2020</v>
      </c>
      <c r="X352" s="28">
        <v>1</v>
      </c>
      <c r="Y352" s="28">
        <v>0</v>
      </c>
      <c r="Z352" s="196">
        <v>-4.9780125479181817E-3</v>
      </c>
      <c r="AA352" s="196">
        <v>-7.6584808429510487E-2</v>
      </c>
      <c r="AB352" s="28">
        <v>0</v>
      </c>
      <c r="AC352" s="28">
        <v>0</v>
      </c>
      <c r="AD352" s="28" t="s">
        <v>347</v>
      </c>
    </row>
    <row r="353" spans="2:30" ht="14.25" customHeight="1" x14ac:dyDescent="0.2">
      <c r="B353" s="7">
        <f t="shared" si="23"/>
        <v>329</v>
      </c>
      <c r="C353" s="28">
        <v>2</v>
      </c>
      <c r="D353" s="28">
        <v>2</v>
      </c>
      <c r="E353" s="31">
        <v>4</v>
      </c>
      <c r="F353" s="78">
        <v>2023</v>
      </c>
      <c r="G353" s="28">
        <v>2050</v>
      </c>
      <c r="H353" s="28">
        <v>7</v>
      </c>
      <c r="I353" s="96">
        <v>39</v>
      </c>
      <c r="J353" s="28">
        <v>0</v>
      </c>
      <c r="K353" s="28">
        <v>0</v>
      </c>
      <c r="L353" s="28">
        <v>0</v>
      </c>
      <c r="M353" s="156">
        <v>4.4116739680385022</v>
      </c>
      <c r="N353" s="151">
        <v>5520</v>
      </c>
      <c r="O353" s="151">
        <v>3110</v>
      </c>
      <c r="P353" s="95">
        <f t="array" ref="P353">ROUND(IF($F353&lt;='TaxCred&amp;Subs'!$C$49,(IF($C353=2,IF($M353&gt;=IFERROR(INDEX('TaxCred&amp;Subs'!$L$12:$L$47,MATCH(1,($C353&amp;$D353='TaxCred&amp;Subs'!$E$12:$E$47)*($F353='TaxCred&amp;Subs'!$C$12:$C$47),0)
),9999),IFERROR(INDEX('TaxCred&amp;Subs'!$N$12:$N$47,MATCH(1,($C353&amp;$D353='TaxCred&amp;Subs'!$E$12:$E$47)*($F353='TaxCred&amp;Subs'!$C$12:$C$47),0)
),0),0),(IF($M353&gt;=IFERROR(INDEX('TaxCred&amp;Subs'!$H$12:$H$47,MATCH(1,($C353&amp;$D353='TaxCred&amp;Subs'!$D$12:$D$47)*($F353='TaxCred&amp;Subs'!$C$12:$C$47),0)
),9999),IFERROR(INDEX('TaxCred&amp;Subs'!$N$12:$N$47,MATCH(1,($C353&amp;$D353='TaxCred&amp;Subs'!$D$12:$D$47)*($F353='TaxCred&amp;Subs'!$C$12:$C$47),0)
),0),0)))),0)+IF(AND($C353=2,VALUE(RIGHT($AD353,1))&gt;2),(N353-R353)*(IFERROR(INDEX('TaxCred&amp;Subs'!$J$66:$J$99,MATCH(1,($C353&amp;$D353='TaxCred&amp;Subs'!$E$66:$E$99)*($F353='TaxCred&amp;Subs'!$C$66:$C$99),0)),0)),IF(AND($C353=1,VALUE(RIGHT($AD353,1))&gt;2),(N353-R353)*(IFERROR(INDEX('TaxCred&amp;Subs'!$J$66:$J$99,MATCH(1,($C353&amp;$D353='TaxCred&amp;Subs'!$D$66:$D$99)*($F353='TaxCred&amp;Subs'!$C$66:$C$99),0)),0)),IF($C353&gt;2,(N353-R353)*(IFERROR(INDEX('TaxCred&amp;Subs'!$J$66:$J$99,MATCH(1,($C353&amp;$D353='TaxCred&amp;Subs'!$D$66:$D$99)*($F353='TaxCred&amp;Subs'!$C$66:$C$99),0)),0)),0))),0)</f>
        <v>0</v>
      </c>
      <c r="Q353" s="95">
        <f t="array" ref="Q353">ROUND(IF(AND($C353=2,VALUE(RIGHT($AD353,1))&gt;2),(O353-S353)*(IFERROR(INDEX('TaxCred&amp;Subs'!$J$66:$J$99,MATCH(1,($C353&amp;$D353='TaxCred&amp;Subs'!$E$66:$E$99)*($F353='TaxCred&amp;Subs'!$C$66:$C$99),0)),0)),IF(AND($C353=1,VALUE(RIGHT($AD353,1))&gt;2),(O353-S353)*(IFERROR(INDEX('TaxCred&amp;Subs'!$J$66:$J$99,MATCH(1,($C353&amp;$D353='TaxCred&amp;Subs'!$D$66:$D$99)*($F353='TaxCred&amp;Subs'!$C$66:$C$99),0)),0)),IF($C353&gt;2,(O353-S353)*(IFERROR(INDEX('TaxCred&amp;Subs'!$J$66:$J$99,MATCH(1,($C353&amp;$D353='TaxCred&amp;Subs'!$D$66:$D$99)*($F353='TaxCred&amp;Subs'!$C$66:$C$99),0)),0)),0))),0)</f>
        <v>0</v>
      </c>
      <c r="R353" s="95">
        <f t="array" ref="R353">ROUND(IF(IFERROR(VALUE(RIGHT($AD353,1)),0)&gt;2,IF($C353=8,N353*IFERROR(INDEX('TaxCred&amp;Subs'!$K$139:$S$151,MATCH($C353&amp;$D353&amp;LEFT($AD353,7),'TaxCred&amp;Subs'!$E$139:$E$151,0),MATCH($H353,'TaxCred&amp;Subs'!$K$137:$S$137,0)),0),IF($C353=2,N353*IFERROR(INDEX('TaxCred&amp;Subs'!$K$139:$S$151,MATCH($C353&amp;$D353,'TaxCred&amp;Subs'!$D$139:$D$151,0),MATCH($H353,'TaxCred&amp;Subs'!$K$137:$S$137,0)),0),N353*IFERROR(INDEX('TaxCred&amp;Subs'!$K$139:$S$151,MATCH($C353&amp;$D353,'TaxCred&amp;Subs'!$C$139:$C$151,0),MATCH($H353,'TaxCred&amp;Subs'!$K$137:$S$137,0)),0))),0),0)</f>
        <v>0</v>
      </c>
      <c r="S353" s="95">
        <f t="array" ref="S353">ROUND(IF(IFERROR(VALUE(RIGHT($AD353,1)),0)&gt;2,IF($C353=8,O353*IFERROR(INDEX('TaxCred&amp;Subs'!$K$139:$S$151,MATCH($C353&amp;$D353&amp;LEFT($AD353,7),'TaxCred&amp;Subs'!$E$139:$E$151,0),MATCH($H353,'TaxCred&amp;Subs'!$K$137:$S$137,0)),0),IF($C353=2,O353*IFERROR(INDEX('TaxCred&amp;Subs'!$K$139:$S$151,MATCH($C353&amp;$D353,'TaxCred&amp;Subs'!$D$139:$D$151,0),MATCH($H353,'TaxCred&amp;Subs'!$K$137:$S$137,0)),0),O353*IFERROR(INDEX('TaxCred&amp;Subs'!$K$139:$S$151,MATCH($C353&amp;$D353,'TaxCred&amp;Subs'!$C$139:$C$151,0),MATCH($H353,'TaxCred&amp;Subs'!$K$137:$S$137,0)),0))),0),0)</f>
        <v>0</v>
      </c>
      <c r="T353" s="95">
        <f t="shared" si="21"/>
        <v>0</v>
      </c>
      <c r="U353" s="95">
        <f t="shared" si="22"/>
        <v>0</v>
      </c>
      <c r="V353" s="28" t="s">
        <v>222</v>
      </c>
      <c r="W353" s="31">
        <v>2020</v>
      </c>
      <c r="X353" s="28">
        <v>1</v>
      </c>
      <c r="Y353" s="28">
        <v>0</v>
      </c>
      <c r="Z353" s="196">
        <v>-4.9780125479181817E-3</v>
      </c>
      <c r="AA353" s="196">
        <v>-7.6584808429510487E-2</v>
      </c>
      <c r="AB353" s="28">
        <v>0</v>
      </c>
      <c r="AC353" s="28">
        <v>0</v>
      </c>
      <c r="AD353" s="28" t="s">
        <v>347</v>
      </c>
    </row>
    <row r="354" spans="2:30" ht="14.25" customHeight="1" x14ac:dyDescent="0.2">
      <c r="B354" s="7">
        <f t="shared" si="23"/>
        <v>330</v>
      </c>
      <c r="C354" s="28">
        <v>2</v>
      </c>
      <c r="D354" s="28">
        <v>2</v>
      </c>
      <c r="E354" s="31">
        <v>4</v>
      </c>
      <c r="F354" s="78">
        <v>2023</v>
      </c>
      <c r="G354" s="28">
        <v>2050</v>
      </c>
      <c r="H354" s="28">
        <v>8</v>
      </c>
      <c r="I354" s="96">
        <v>39</v>
      </c>
      <c r="J354" s="28">
        <v>0</v>
      </c>
      <c r="K354" s="28">
        <v>0</v>
      </c>
      <c r="L354" s="28">
        <v>0</v>
      </c>
      <c r="M354" s="156">
        <v>4.4116739680385022</v>
      </c>
      <c r="N354" s="151">
        <v>5520</v>
      </c>
      <c r="O354" s="151">
        <v>3110</v>
      </c>
      <c r="P354" s="95">
        <f t="array" ref="P354">ROUND(IF($F354&lt;='TaxCred&amp;Subs'!$C$49,(IF($C354=2,IF($M354&gt;=IFERROR(INDEX('TaxCred&amp;Subs'!$L$12:$L$47,MATCH(1,($C354&amp;$D354='TaxCred&amp;Subs'!$E$12:$E$47)*($F354='TaxCred&amp;Subs'!$C$12:$C$47),0)
),9999),IFERROR(INDEX('TaxCred&amp;Subs'!$N$12:$N$47,MATCH(1,($C354&amp;$D354='TaxCred&amp;Subs'!$E$12:$E$47)*($F354='TaxCred&amp;Subs'!$C$12:$C$47),0)
),0),0),(IF($M354&gt;=IFERROR(INDEX('TaxCred&amp;Subs'!$H$12:$H$47,MATCH(1,($C354&amp;$D354='TaxCred&amp;Subs'!$D$12:$D$47)*($F354='TaxCred&amp;Subs'!$C$12:$C$47),0)
),9999),IFERROR(INDEX('TaxCred&amp;Subs'!$N$12:$N$47,MATCH(1,($C354&amp;$D354='TaxCred&amp;Subs'!$D$12:$D$47)*($F354='TaxCred&amp;Subs'!$C$12:$C$47),0)
),0),0)))),0)+IF(AND($C354=2,VALUE(RIGHT($AD354,1))&gt;2),(N354-R354)*(IFERROR(INDEX('TaxCred&amp;Subs'!$J$66:$J$99,MATCH(1,($C354&amp;$D354='TaxCred&amp;Subs'!$E$66:$E$99)*($F354='TaxCred&amp;Subs'!$C$66:$C$99),0)),0)),IF(AND($C354=1,VALUE(RIGHT($AD354,1))&gt;2),(N354-R354)*(IFERROR(INDEX('TaxCred&amp;Subs'!$J$66:$J$99,MATCH(1,($C354&amp;$D354='TaxCred&amp;Subs'!$D$66:$D$99)*($F354='TaxCred&amp;Subs'!$C$66:$C$99),0)),0)),IF($C354&gt;2,(N354-R354)*(IFERROR(INDEX('TaxCred&amp;Subs'!$J$66:$J$99,MATCH(1,($C354&amp;$D354='TaxCred&amp;Subs'!$D$66:$D$99)*($F354='TaxCred&amp;Subs'!$C$66:$C$99),0)),0)),0))),0)</f>
        <v>0</v>
      </c>
      <c r="Q354" s="95">
        <f t="array" ref="Q354">ROUND(IF(AND($C354=2,VALUE(RIGHT($AD354,1))&gt;2),(O354-S354)*(IFERROR(INDEX('TaxCred&amp;Subs'!$J$66:$J$99,MATCH(1,($C354&amp;$D354='TaxCred&amp;Subs'!$E$66:$E$99)*($F354='TaxCred&amp;Subs'!$C$66:$C$99),0)),0)),IF(AND($C354=1,VALUE(RIGHT($AD354,1))&gt;2),(O354-S354)*(IFERROR(INDEX('TaxCred&amp;Subs'!$J$66:$J$99,MATCH(1,($C354&amp;$D354='TaxCred&amp;Subs'!$D$66:$D$99)*($F354='TaxCred&amp;Subs'!$C$66:$C$99),0)),0)),IF($C354&gt;2,(O354-S354)*(IFERROR(INDEX('TaxCred&amp;Subs'!$J$66:$J$99,MATCH(1,($C354&amp;$D354='TaxCred&amp;Subs'!$D$66:$D$99)*($F354='TaxCred&amp;Subs'!$C$66:$C$99),0)),0)),0))),0)</f>
        <v>0</v>
      </c>
      <c r="R354" s="95">
        <f t="array" ref="R354">ROUND(IF(IFERROR(VALUE(RIGHT($AD354,1)),0)&gt;2,IF($C354=8,N354*IFERROR(INDEX('TaxCred&amp;Subs'!$K$139:$S$151,MATCH($C354&amp;$D354&amp;LEFT($AD354,7),'TaxCred&amp;Subs'!$E$139:$E$151,0),MATCH($H354,'TaxCred&amp;Subs'!$K$137:$S$137,0)),0),IF($C354=2,N354*IFERROR(INDEX('TaxCred&amp;Subs'!$K$139:$S$151,MATCH($C354&amp;$D354,'TaxCred&amp;Subs'!$D$139:$D$151,0),MATCH($H354,'TaxCred&amp;Subs'!$K$137:$S$137,0)),0),N354*IFERROR(INDEX('TaxCred&amp;Subs'!$K$139:$S$151,MATCH($C354&amp;$D354,'TaxCred&amp;Subs'!$C$139:$C$151,0),MATCH($H354,'TaxCred&amp;Subs'!$K$137:$S$137,0)),0))),0),0)</f>
        <v>0</v>
      </c>
      <c r="S354" s="95">
        <f t="array" ref="S354">ROUND(IF(IFERROR(VALUE(RIGHT($AD354,1)),0)&gt;2,IF($C354=8,O354*IFERROR(INDEX('TaxCred&amp;Subs'!$K$139:$S$151,MATCH($C354&amp;$D354&amp;LEFT($AD354,7),'TaxCred&amp;Subs'!$E$139:$E$151,0),MATCH($H354,'TaxCred&amp;Subs'!$K$137:$S$137,0)),0),IF($C354=2,O354*IFERROR(INDEX('TaxCred&amp;Subs'!$K$139:$S$151,MATCH($C354&amp;$D354,'TaxCred&amp;Subs'!$D$139:$D$151,0),MATCH($H354,'TaxCred&amp;Subs'!$K$137:$S$137,0)),0),O354*IFERROR(INDEX('TaxCred&amp;Subs'!$K$139:$S$151,MATCH($C354&amp;$D354,'TaxCred&amp;Subs'!$C$139:$C$151,0),MATCH($H354,'TaxCred&amp;Subs'!$K$137:$S$137,0)),0))),0),0)</f>
        <v>0</v>
      </c>
      <c r="T354" s="95">
        <f t="shared" si="21"/>
        <v>0</v>
      </c>
      <c r="U354" s="95">
        <f t="shared" si="22"/>
        <v>0</v>
      </c>
      <c r="V354" s="28" t="s">
        <v>222</v>
      </c>
      <c r="W354" s="31">
        <v>2020</v>
      </c>
      <c r="X354" s="28">
        <v>1</v>
      </c>
      <c r="Y354" s="28">
        <v>0</v>
      </c>
      <c r="Z354" s="196">
        <v>-4.9780125479181817E-3</v>
      </c>
      <c r="AA354" s="196">
        <v>-7.6584808429510487E-2</v>
      </c>
      <c r="AB354" s="28">
        <v>0</v>
      </c>
      <c r="AC354" s="28">
        <v>0</v>
      </c>
      <c r="AD354" s="28" t="s">
        <v>347</v>
      </c>
    </row>
    <row r="355" spans="2:30" ht="14.25" customHeight="1" x14ac:dyDescent="0.2">
      <c r="B355" s="7">
        <f t="shared" si="23"/>
        <v>331</v>
      </c>
      <c r="C355" s="28">
        <v>2</v>
      </c>
      <c r="D355" s="28">
        <v>2</v>
      </c>
      <c r="E355" s="31">
        <v>4</v>
      </c>
      <c r="F355" s="78">
        <v>2023</v>
      </c>
      <c r="G355" s="28">
        <v>2050</v>
      </c>
      <c r="H355" s="28">
        <v>9</v>
      </c>
      <c r="I355" s="96">
        <v>39</v>
      </c>
      <c r="J355" s="28">
        <v>0</v>
      </c>
      <c r="K355" s="28">
        <v>0</v>
      </c>
      <c r="L355" s="28">
        <v>0</v>
      </c>
      <c r="M355" s="156">
        <v>4.4116739680385022</v>
      </c>
      <c r="N355" s="151">
        <v>5520</v>
      </c>
      <c r="O355" s="151">
        <v>3110</v>
      </c>
      <c r="P355" s="95">
        <f t="array" ref="P355">ROUND(IF($F355&lt;='TaxCred&amp;Subs'!$C$49,(IF($C355=2,IF($M355&gt;=IFERROR(INDEX('TaxCred&amp;Subs'!$L$12:$L$47,MATCH(1,($C355&amp;$D355='TaxCred&amp;Subs'!$E$12:$E$47)*($F355='TaxCred&amp;Subs'!$C$12:$C$47),0)
),9999),IFERROR(INDEX('TaxCred&amp;Subs'!$N$12:$N$47,MATCH(1,($C355&amp;$D355='TaxCred&amp;Subs'!$E$12:$E$47)*($F355='TaxCred&amp;Subs'!$C$12:$C$47),0)
),0),0),(IF($M355&gt;=IFERROR(INDEX('TaxCred&amp;Subs'!$H$12:$H$47,MATCH(1,($C355&amp;$D355='TaxCred&amp;Subs'!$D$12:$D$47)*($F355='TaxCred&amp;Subs'!$C$12:$C$47),0)
),9999),IFERROR(INDEX('TaxCred&amp;Subs'!$N$12:$N$47,MATCH(1,($C355&amp;$D355='TaxCred&amp;Subs'!$D$12:$D$47)*($F355='TaxCred&amp;Subs'!$C$12:$C$47),0)
),0),0)))),0)+IF(AND($C355=2,VALUE(RIGHT($AD355,1))&gt;2),(N355-R355)*(IFERROR(INDEX('TaxCred&amp;Subs'!$J$66:$J$99,MATCH(1,($C355&amp;$D355='TaxCred&amp;Subs'!$E$66:$E$99)*($F355='TaxCred&amp;Subs'!$C$66:$C$99),0)),0)),IF(AND($C355=1,VALUE(RIGHT($AD355,1))&gt;2),(N355-R355)*(IFERROR(INDEX('TaxCred&amp;Subs'!$J$66:$J$99,MATCH(1,($C355&amp;$D355='TaxCred&amp;Subs'!$D$66:$D$99)*($F355='TaxCred&amp;Subs'!$C$66:$C$99),0)),0)),IF($C355&gt;2,(N355-R355)*(IFERROR(INDEX('TaxCred&amp;Subs'!$J$66:$J$99,MATCH(1,($C355&amp;$D355='TaxCred&amp;Subs'!$D$66:$D$99)*($F355='TaxCred&amp;Subs'!$C$66:$C$99),0)),0)),0))),0)</f>
        <v>0</v>
      </c>
      <c r="Q355" s="95">
        <f t="array" ref="Q355">ROUND(IF(AND($C355=2,VALUE(RIGHT($AD355,1))&gt;2),(O355-S355)*(IFERROR(INDEX('TaxCred&amp;Subs'!$J$66:$J$99,MATCH(1,($C355&amp;$D355='TaxCred&amp;Subs'!$E$66:$E$99)*($F355='TaxCred&amp;Subs'!$C$66:$C$99),0)),0)),IF(AND($C355=1,VALUE(RIGHT($AD355,1))&gt;2),(O355-S355)*(IFERROR(INDEX('TaxCred&amp;Subs'!$J$66:$J$99,MATCH(1,($C355&amp;$D355='TaxCred&amp;Subs'!$D$66:$D$99)*($F355='TaxCred&amp;Subs'!$C$66:$C$99),0)),0)),IF($C355&gt;2,(O355-S355)*(IFERROR(INDEX('TaxCred&amp;Subs'!$J$66:$J$99,MATCH(1,($C355&amp;$D355='TaxCred&amp;Subs'!$D$66:$D$99)*($F355='TaxCred&amp;Subs'!$C$66:$C$99),0)),0)),0))),0)</f>
        <v>0</v>
      </c>
      <c r="R355" s="95">
        <f t="array" ref="R355">ROUND(IF(IFERROR(VALUE(RIGHT($AD355,1)),0)&gt;2,IF($C355=8,N355*IFERROR(INDEX('TaxCred&amp;Subs'!$K$139:$S$151,MATCH($C355&amp;$D355&amp;LEFT($AD355,7),'TaxCred&amp;Subs'!$E$139:$E$151,0),MATCH($H355,'TaxCred&amp;Subs'!$K$137:$S$137,0)),0),IF($C355=2,N355*IFERROR(INDEX('TaxCred&amp;Subs'!$K$139:$S$151,MATCH($C355&amp;$D355,'TaxCred&amp;Subs'!$D$139:$D$151,0),MATCH($H355,'TaxCred&amp;Subs'!$K$137:$S$137,0)),0),N355*IFERROR(INDEX('TaxCred&amp;Subs'!$K$139:$S$151,MATCH($C355&amp;$D355,'TaxCred&amp;Subs'!$C$139:$C$151,0),MATCH($H355,'TaxCred&amp;Subs'!$K$137:$S$137,0)),0))),0),0)</f>
        <v>0</v>
      </c>
      <c r="S355" s="95">
        <f t="array" ref="S355">ROUND(IF(IFERROR(VALUE(RIGHT($AD355,1)),0)&gt;2,IF($C355=8,O355*IFERROR(INDEX('TaxCred&amp;Subs'!$K$139:$S$151,MATCH($C355&amp;$D355&amp;LEFT($AD355,7),'TaxCred&amp;Subs'!$E$139:$E$151,0),MATCH($H355,'TaxCred&amp;Subs'!$K$137:$S$137,0)),0),IF($C355=2,O355*IFERROR(INDEX('TaxCred&amp;Subs'!$K$139:$S$151,MATCH($C355&amp;$D355,'TaxCred&amp;Subs'!$D$139:$D$151,0),MATCH($H355,'TaxCred&amp;Subs'!$K$137:$S$137,0)),0),O355*IFERROR(INDEX('TaxCred&amp;Subs'!$K$139:$S$151,MATCH($C355&amp;$D355,'TaxCred&amp;Subs'!$C$139:$C$151,0),MATCH($H355,'TaxCred&amp;Subs'!$K$137:$S$137,0)),0))),0),0)</f>
        <v>0</v>
      </c>
      <c r="T355" s="95">
        <f t="shared" si="21"/>
        <v>0</v>
      </c>
      <c r="U355" s="95">
        <f t="shared" si="22"/>
        <v>0</v>
      </c>
      <c r="V355" s="28" t="s">
        <v>222</v>
      </c>
      <c r="W355" s="31">
        <v>2020</v>
      </c>
      <c r="X355" s="28">
        <v>1</v>
      </c>
      <c r="Y355" s="28">
        <v>0</v>
      </c>
      <c r="Z355" s="196">
        <v>-4.9780125479181817E-3</v>
      </c>
      <c r="AA355" s="196">
        <v>-7.6584808429510487E-2</v>
      </c>
      <c r="AB355" s="28">
        <v>0</v>
      </c>
      <c r="AC355" s="28">
        <v>0</v>
      </c>
      <c r="AD355" s="28" t="s">
        <v>347</v>
      </c>
    </row>
    <row r="356" spans="2:30" ht="14.25" customHeight="1" x14ac:dyDescent="0.2">
      <c r="B356" s="7">
        <f t="shared" si="23"/>
        <v>332</v>
      </c>
      <c r="C356" s="28">
        <v>2</v>
      </c>
      <c r="D356" s="28">
        <v>2</v>
      </c>
      <c r="E356" s="31">
        <v>5</v>
      </c>
      <c r="F356" s="96">
        <v>2020</v>
      </c>
      <c r="G356" s="31">
        <v>2029</v>
      </c>
      <c r="H356" s="28">
        <v>1</v>
      </c>
      <c r="I356" s="96">
        <v>40</v>
      </c>
      <c r="J356" s="28">
        <v>0</v>
      </c>
      <c r="K356" s="28">
        <v>0</v>
      </c>
      <c r="L356" s="28">
        <v>0</v>
      </c>
      <c r="M356" s="156">
        <v>4.1324736225087921</v>
      </c>
      <c r="N356" s="151">
        <v>5320</v>
      </c>
      <c r="O356" s="151">
        <v>2700</v>
      </c>
      <c r="P356" s="95">
        <f t="array" ref="P356">ROUND(IF($F356&lt;='TaxCred&amp;Subs'!$C$49,(IF($C356=2,IF($M356&gt;=IFERROR(INDEX('TaxCred&amp;Subs'!$L$12:$L$47,MATCH(1,($C356&amp;$D356='TaxCred&amp;Subs'!$E$12:$E$47)*($F356='TaxCred&amp;Subs'!$C$12:$C$47),0)
),9999),IFERROR(INDEX('TaxCred&amp;Subs'!$N$12:$N$47,MATCH(1,($C356&amp;$D356='TaxCred&amp;Subs'!$E$12:$E$47)*($F356='TaxCred&amp;Subs'!$C$12:$C$47),0)
),0),0),(IF($M356&gt;=IFERROR(INDEX('TaxCred&amp;Subs'!$H$12:$H$47,MATCH(1,($C356&amp;$D356='TaxCred&amp;Subs'!$D$12:$D$47)*($F356='TaxCred&amp;Subs'!$C$12:$C$47),0)
),9999),IFERROR(INDEX('TaxCred&amp;Subs'!$N$12:$N$47,MATCH(1,($C356&amp;$D356='TaxCred&amp;Subs'!$D$12:$D$47)*($F356='TaxCred&amp;Subs'!$C$12:$C$47),0)
),0),0)))),0)+IF(AND($C356=2,VALUE(RIGHT($AD356,1))&gt;2),(N356-R356)*(IFERROR(INDEX('TaxCred&amp;Subs'!$J$66:$J$99,MATCH(1,($C356&amp;$D356='TaxCred&amp;Subs'!$E$66:$E$99)*($F356='TaxCred&amp;Subs'!$C$66:$C$99),0)),0)),IF(AND($C356=1,VALUE(RIGHT($AD356,1))&gt;2),(N356-R356)*(IFERROR(INDEX('TaxCred&amp;Subs'!$J$66:$J$99,MATCH(1,($C356&amp;$D356='TaxCred&amp;Subs'!$D$66:$D$99)*($F356='TaxCred&amp;Subs'!$C$66:$C$99),0)),0)),IF($C356&gt;2,(N356-R356)*(IFERROR(INDEX('TaxCred&amp;Subs'!$J$66:$J$99,MATCH(1,($C356&amp;$D356='TaxCred&amp;Subs'!$D$66:$D$99)*($F356='TaxCred&amp;Subs'!$C$66:$C$99),0)),0)),0))),0)</f>
        <v>0</v>
      </c>
      <c r="Q356" s="95">
        <f t="array" ref="Q356">ROUND(IF(AND($C356=2,VALUE(RIGHT($AD356,1))&gt;2),(O356-S356)*(IFERROR(INDEX('TaxCred&amp;Subs'!$J$66:$J$99,MATCH(1,($C356&amp;$D356='TaxCred&amp;Subs'!$E$66:$E$99)*($F356='TaxCred&amp;Subs'!$C$66:$C$99),0)),0)),IF(AND($C356=1,VALUE(RIGHT($AD356,1))&gt;2),(O356-S356)*(IFERROR(INDEX('TaxCred&amp;Subs'!$J$66:$J$99,MATCH(1,($C356&amp;$D356='TaxCred&amp;Subs'!$D$66:$D$99)*($F356='TaxCred&amp;Subs'!$C$66:$C$99),0)),0)),IF($C356&gt;2,(O356-S356)*(IFERROR(INDEX('TaxCred&amp;Subs'!$J$66:$J$99,MATCH(1,($C356&amp;$D356='TaxCred&amp;Subs'!$D$66:$D$99)*($F356='TaxCred&amp;Subs'!$C$66:$C$99),0)),0)),0))),0)</f>
        <v>0</v>
      </c>
      <c r="R356" s="95">
        <f t="array" ref="R356">ROUND(IF(IFERROR(VALUE(RIGHT($AD356,1)),0)&gt;2,IF($C356=8,N356*IFERROR(INDEX('TaxCred&amp;Subs'!$K$139:$S$151,MATCH($C356&amp;$D356&amp;LEFT($AD356,7),'TaxCred&amp;Subs'!$E$139:$E$151,0),MATCH($H356,'TaxCred&amp;Subs'!$K$137:$S$137,0)),0),IF($C356=2,N356*IFERROR(INDEX('TaxCred&amp;Subs'!$K$139:$S$151,MATCH($C356&amp;$D356,'TaxCred&amp;Subs'!$D$139:$D$151,0),MATCH($H356,'TaxCred&amp;Subs'!$K$137:$S$137,0)),0),N356*IFERROR(INDEX('TaxCred&amp;Subs'!$K$139:$S$151,MATCH($C356&amp;$D356,'TaxCred&amp;Subs'!$C$139:$C$151,0),MATCH($H356,'TaxCred&amp;Subs'!$K$137:$S$137,0)),0))),0),0)</f>
        <v>0</v>
      </c>
      <c r="S356" s="95">
        <f t="array" ref="S356">ROUND(IF(IFERROR(VALUE(RIGHT($AD356,1)),0)&gt;2,IF($C356=8,O356*IFERROR(INDEX('TaxCred&amp;Subs'!$K$139:$S$151,MATCH($C356&amp;$D356&amp;LEFT($AD356,7),'TaxCred&amp;Subs'!$E$139:$E$151,0),MATCH($H356,'TaxCred&amp;Subs'!$K$137:$S$137,0)),0),IF($C356=2,O356*IFERROR(INDEX('TaxCred&amp;Subs'!$K$139:$S$151,MATCH($C356&amp;$D356,'TaxCred&amp;Subs'!$D$139:$D$151,0),MATCH($H356,'TaxCred&amp;Subs'!$K$137:$S$137,0)),0),O356*IFERROR(INDEX('TaxCred&amp;Subs'!$K$139:$S$151,MATCH($C356&amp;$D356,'TaxCred&amp;Subs'!$C$139:$C$151,0),MATCH($H356,'TaxCred&amp;Subs'!$K$137:$S$137,0)),0))),0),0)</f>
        <v>0</v>
      </c>
      <c r="T356" s="95">
        <f t="shared" si="21"/>
        <v>0</v>
      </c>
      <c r="U356" s="95">
        <f t="shared" si="22"/>
        <v>0</v>
      </c>
      <c r="V356" s="28" t="s">
        <v>222</v>
      </c>
      <c r="W356" s="31">
        <v>2020</v>
      </c>
      <c r="X356" s="28">
        <v>1</v>
      </c>
      <c r="Y356" s="28">
        <v>0</v>
      </c>
      <c r="Z356" s="196">
        <v>-4.9780125479181817E-3</v>
      </c>
      <c r="AA356" s="196">
        <v>-7.6584808429510487E-2</v>
      </c>
      <c r="AB356" s="28">
        <v>0</v>
      </c>
      <c r="AC356" s="28">
        <v>0</v>
      </c>
      <c r="AD356" s="28" t="s">
        <v>348</v>
      </c>
    </row>
    <row r="357" spans="2:30" ht="14.25" customHeight="1" x14ac:dyDescent="0.2">
      <c r="B357" s="7">
        <f t="shared" si="23"/>
        <v>333</v>
      </c>
      <c r="C357" s="28">
        <v>2</v>
      </c>
      <c r="D357" s="28">
        <v>2</v>
      </c>
      <c r="E357" s="31">
        <v>5</v>
      </c>
      <c r="F357" s="96">
        <v>2020</v>
      </c>
      <c r="G357" s="31">
        <v>2029</v>
      </c>
      <c r="H357" s="28">
        <v>2</v>
      </c>
      <c r="I357" s="96">
        <v>40</v>
      </c>
      <c r="J357" s="28">
        <v>0</v>
      </c>
      <c r="K357" s="28">
        <v>0</v>
      </c>
      <c r="L357" s="28">
        <v>0</v>
      </c>
      <c r="M357" s="156">
        <v>4.1324736225087921</v>
      </c>
      <c r="N357" s="151">
        <v>5320</v>
      </c>
      <c r="O357" s="151">
        <v>2700</v>
      </c>
      <c r="P357" s="95">
        <f t="array" ref="P357">ROUND(IF($F357&lt;='TaxCred&amp;Subs'!$C$49,(IF($C357=2,IF($M357&gt;=IFERROR(INDEX('TaxCred&amp;Subs'!$L$12:$L$47,MATCH(1,($C357&amp;$D357='TaxCred&amp;Subs'!$E$12:$E$47)*($F357='TaxCred&amp;Subs'!$C$12:$C$47),0)
),9999),IFERROR(INDEX('TaxCred&amp;Subs'!$N$12:$N$47,MATCH(1,($C357&amp;$D357='TaxCred&amp;Subs'!$E$12:$E$47)*($F357='TaxCred&amp;Subs'!$C$12:$C$47),0)
),0),0),(IF($M357&gt;=IFERROR(INDEX('TaxCred&amp;Subs'!$H$12:$H$47,MATCH(1,($C357&amp;$D357='TaxCred&amp;Subs'!$D$12:$D$47)*($F357='TaxCred&amp;Subs'!$C$12:$C$47),0)
),9999),IFERROR(INDEX('TaxCred&amp;Subs'!$N$12:$N$47,MATCH(1,($C357&amp;$D357='TaxCred&amp;Subs'!$D$12:$D$47)*($F357='TaxCred&amp;Subs'!$C$12:$C$47),0)
),0),0)))),0)+IF(AND($C357=2,VALUE(RIGHT($AD357,1))&gt;2),(N357-R357)*(IFERROR(INDEX('TaxCred&amp;Subs'!$J$66:$J$99,MATCH(1,($C357&amp;$D357='TaxCred&amp;Subs'!$E$66:$E$99)*($F357='TaxCred&amp;Subs'!$C$66:$C$99),0)),0)),IF(AND($C357=1,VALUE(RIGHT($AD357,1))&gt;2),(N357-R357)*(IFERROR(INDEX('TaxCred&amp;Subs'!$J$66:$J$99,MATCH(1,($C357&amp;$D357='TaxCred&amp;Subs'!$D$66:$D$99)*($F357='TaxCred&amp;Subs'!$C$66:$C$99),0)),0)),IF($C357&gt;2,(N357-R357)*(IFERROR(INDEX('TaxCred&amp;Subs'!$J$66:$J$99,MATCH(1,($C357&amp;$D357='TaxCred&amp;Subs'!$D$66:$D$99)*($F357='TaxCred&amp;Subs'!$C$66:$C$99),0)),0)),0))),0)</f>
        <v>0</v>
      </c>
      <c r="Q357" s="95">
        <f t="array" ref="Q357">ROUND(IF(AND($C357=2,VALUE(RIGHT($AD357,1))&gt;2),(O357-S357)*(IFERROR(INDEX('TaxCred&amp;Subs'!$J$66:$J$99,MATCH(1,($C357&amp;$D357='TaxCred&amp;Subs'!$E$66:$E$99)*($F357='TaxCred&amp;Subs'!$C$66:$C$99),0)),0)),IF(AND($C357=1,VALUE(RIGHT($AD357,1))&gt;2),(O357-S357)*(IFERROR(INDEX('TaxCred&amp;Subs'!$J$66:$J$99,MATCH(1,($C357&amp;$D357='TaxCred&amp;Subs'!$D$66:$D$99)*($F357='TaxCred&amp;Subs'!$C$66:$C$99),0)),0)),IF($C357&gt;2,(O357-S357)*(IFERROR(INDEX('TaxCred&amp;Subs'!$J$66:$J$99,MATCH(1,($C357&amp;$D357='TaxCred&amp;Subs'!$D$66:$D$99)*($F357='TaxCred&amp;Subs'!$C$66:$C$99),0)),0)),0))),0)</f>
        <v>0</v>
      </c>
      <c r="R357" s="95">
        <f t="array" ref="R357">ROUND(IF(IFERROR(VALUE(RIGHT($AD357,1)),0)&gt;2,IF($C357=8,N357*IFERROR(INDEX('TaxCred&amp;Subs'!$K$139:$S$151,MATCH($C357&amp;$D357&amp;LEFT($AD357,7),'TaxCred&amp;Subs'!$E$139:$E$151,0),MATCH($H357,'TaxCred&amp;Subs'!$K$137:$S$137,0)),0),IF($C357=2,N357*IFERROR(INDEX('TaxCred&amp;Subs'!$K$139:$S$151,MATCH($C357&amp;$D357,'TaxCred&amp;Subs'!$D$139:$D$151,0),MATCH($H357,'TaxCred&amp;Subs'!$K$137:$S$137,0)),0),N357*IFERROR(INDEX('TaxCred&amp;Subs'!$K$139:$S$151,MATCH($C357&amp;$D357,'TaxCred&amp;Subs'!$C$139:$C$151,0),MATCH($H357,'TaxCred&amp;Subs'!$K$137:$S$137,0)),0))),0),0)</f>
        <v>0</v>
      </c>
      <c r="S357" s="95">
        <f t="array" ref="S357">ROUND(IF(IFERROR(VALUE(RIGHT($AD357,1)),0)&gt;2,IF($C357=8,O357*IFERROR(INDEX('TaxCred&amp;Subs'!$K$139:$S$151,MATCH($C357&amp;$D357&amp;LEFT($AD357,7),'TaxCred&amp;Subs'!$E$139:$E$151,0),MATCH($H357,'TaxCred&amp;Subs'!$K$137:$S$137,0)),0),IF($C357=2,O357*IFERROR(INDEX('TaxCred&amp;Subs'!$K$139:$S$151,MATCH($C357&amp;$D357,'TaxCred&amp;Subs'!$D$139:$D$151,0),MATCH($H357,'TaxCred&amp;Subs'!$K$137:$S$137,0)),0),O357*IFERROR(INDEX('TaxCred&amp;Subs'!$K$139:$S$151,MATCH($C357&amp;$D357,'TaxCred&amp;Subs'!$C$139:$C$151,0),MATCH($H357,'TaxCred&amp;Subs'!$K$137:$S$137,0)),0))),0),0)</f>
        <v>0</v>
      </c>
      <c r="T357" s="95">
        <f t="shared" si="21"/>
        <v>0</v>
      </c>
      <c r="U357" s="95">
        <f t="shared" si="22"/>
        <v>0</v>
      </c>
      <c r="V357" s="28" t="s">
        <v>222</v>
      </c>
      <c r="W357" s="31">
        <v>2020</v>
      </c>
      <c r="X357" s="28">
        <v>1</v>
      </c>
      <c r="Y357" s="28">
        <v>0</v>
      </c>
      <c r="Z357" s="196">
        <v>-4.9780125479181817E-3</v>
      </c>
      <c r="AA357" s="196">
        <v>-7.6584808429510487E-2</v>
      </c>
      <c r="AB357" s="28">
        <v>0</v>
      </c>
      <c r="AC357" s="28">
        <v>0</v>
      </c>
      <c r="AD357" s="28" t="s">
        <v>348</v>
      </c>
    </row>
    <row r="358" spans="2:30" ht="14.25" customHeight="1" x14ac:dyDescent="0.2">
      <c r="B358" s="7">
        <f t="shared" si="23"/>
        <v>334</v>
      </c>
      <c r="C358" s="28">
        <v>2</v>
      </c>
      <c r="D358" s="28">
        <v>2</v>
      </c>
      <c r="E358" s="31">
        <v>5</v>
      </c>
      <c r="F358" s="96">
        <v>2020</v>
      </c>
      <c r="G358" s="31">
        <v>2029</v>
      </c>
      <c r="H358" s="28">
        <v>3</v>
      </c>
      <c r="I358" s="96">
        <v>40</v>
      </c>
      <c r="J358" s="28">
        <v>0</v>
      </c>
      <c r="K358" s="28">
        <v>0</v>
      </c>
      <c r="L358" s="28">
        <v>0</v>
      </c>
      <c r="M358" s="156">
        <v>4.1324736225087921</v>
      </c>
      <c r="N358" s="151">
        <v>5320</v>
      </c>
      <c r="O358" s="151">
        <v>2700</v>
      </c>
      <c r="P358" s="95">
        <f t="array" ref="P358">ROUND(IF($F358&lt;='TaxCred&amp;Subs'!$C$49,(IF($C358=2,IF($M358&gt;=IFERROR(INDEX('TaxCred&amp;Subs'!$L$12:$L$47,MATCH(1,($C358&amp;$D358='TaxCred&amp;Subs'!$E$12:$E$47)*($F358='TaxCred&amp;Subs'!$C$12:$C$47),0)
),9999),IFERROR(INDEX('TaxCred&amp;Subs'!$N$12:$N$47,MATCH(1,($C358&amp;$D358='TaxCred&amp;Subs'!$E$12:$E$47)*($F358='TaxCred&amp;Subs'!$C$12:$C$47),0)
),0),0),(IF($M358&gt;=IFERROR(INDEX('TaxCred&amp;Subs'!$H$12:$H$47,MATCH(1,($C358&amp;$D358='TaxCred&amp;Subs'!$D$12:$D$47)*($F358='TaxCred&amp;Subs'!$C$12:$C$47),0)
),9999),IFERROR(INDEX('TaxCred&amp;Subs'!$N$12:$N$47,MATCH(1,($C358&amp;$D358='TaxCred&amp;Subs'!$D$12:$D$47)*($F358='TaxCred&amp;Subs'!$C$12:$C$47),0)
),0),0)))),0)+IF(AND($C358=2,VALUE(RIGHT($AD358,1))&gt;2),(N358-R358)*(IFERROR(INDEX('TaxCred&amp;Subs'!$J$66:$J$99,MATCH(1,($C358&amp;$D358='TaxCred&amp;Subs'!$E$66:$E$99)*($F358='TaxCred&amp;Subs'!$C$66:$C$99),0)),0)),IF(AND($C358=1,VALUE(RIGHT($AD358,1))&gt;2),(N358-R358)*(IFERROR(INDEX('TaxCred&amp;Subs'!$J$66:$J$99,MATCH(1,($C358&amp;$D358='TaxCred&amp;Subs'!$D$66:$D$99)*($F358='TaxCred&amp;Subs'!$C$66:$C$99),0)),0)),IF($C358&gt;2,(N358-R358)*(IFERROR(INDEX('TaxCred&amp;Subs'!$J$66:$J$99,MATCH(1,($C358&amp;$D358='TaxCred&amp;Subs'!$D$66:$D$99)*($F358='TaxCred&amp;Subs'!$C$66:$C$99),0)),0)),0))),0)</f>
        <v>0</v>
      </c>
      <c r="Q358" s="95">
        <f t="array" ref="Q358">ROUND(IF(AND($C358=2,VALUE(RIGHT($AD358,1))&gt;2),(O358-S358)*(IFERROR(INDEX('TaxCred&amp;Subs'!$J$66:$J$99,MATCH(1,($C358&amp;$D358='TaxCred&amp;Subs'!$E$66:$E$99)*($F358='TaxCred&amp;Subs'!$C$66:$C$99),0)),0)),IF(AND($C358=1,VALUE(RIGHT($AD358,1))&gt;2),(O358-S358)*(IFERROR(INDEX('TaxCred&amp;Subs'!$J$66:$J$99,MATCH(1,($C358&amp;$D358='TaxCred&amp;Subs'!$D$66:$D$99)*($F358='TaxCred&amp;Subs'!$C$66:$C$99),0)),0)),IF($C358&gt;2,(O358-S358)*(IFERROR(INDEX('TaxCred&amp;Subs'!$J$66:$J$99,MATCH(1,($C358&amp;$D358='TaxCred&amp;Subs'!$D$66:$D$99)*($F358='TaxCred&amp;Subs'!$C$66:$C$99),0)),0)),0))),0)</f>
        <v>0</v>
      </c>
      <c r="R358" s="95">
        <f t="array" ref="R358">ROUND(IF(IFERROR(VALUE(RIGHT($AD358,1)),0)&gt;2,IF($C358=8,N358*IFERROR(INDEX('TaxCred&amp;Subs'!$K$139:$S$151,MATCH($C358&amp;$D358&amp;LEFT($AD358,7),'TaxCred&amp;Subs'!$E$139:$E$151,0),MATCH($H358,'TaxCred&amp;Subs'!$K$137:$S$137,0)),0),IF($C358=2,N358*IFERROR(INDEX('TaxCred&amp;Subs'!$K$139:$S$151,MATCH($C358&amp;$D358,'TaxCred&amp;Subs'!$D$139:$D$151,0),MATCH($H358,'TaxCred&amp;Subs'!$K$137:$S$137,0)),0),N358*IFERROR(INDEX('TaxCred&amp;Subs'!$K$139:$S$151,MATCH($C358&amp;$D358,'TaxCred&amp;Subs'!$C$139:$C$151,0),MATCH($H358,'TaxCred&amp;Subs'!$K$137:$S$137,0)),0))),0),0)</f>
        <v>0</v>
      </c>
      <c r="S358" s="95">
        <f t="array" ref="S358">ROUND(IF(IFERROR(VALUE(RIGHT($AD358,1)),0)&gt;2,IF($C358=8,O358*IFERROR(INDEX('TaxCred&amp;Subs'!$K$139:$S$151,MATCH($C358&amp;$D358&amp;LEFT($AD358,7),'TaxCred&amp;Subs'!$E$139:$E$151,0),MATCH($H358,'TaxCred&amp;Subs'!$K$137:$S$137,0)),0),IF($C358=2,O358*IFERROR(INDEX('TaxCred&amp;Subs'!$K$139:$S$151,MATCH($C358&amp;$D358,'TaxCred&amp;Subs'!$D$139:$D$151,0),MATCH($H358,'TaxCred&amp;Subs'!$K$137:$S$137,0)),0),O358*IFERROR(INDEX('TaxCred&amp;Subs'!$K$139:$S$151,MATCH($C358&amp;$D358,'TaxCred&amp;Subs'!$C$139:$C$151,0),MATCH($H358,'TaxCred&amp;Subs'!$K$137:$S$137,0)),0))),0),0)</f>
        <v>0</v>
      </c>
      <c r="T358" s="95">
        <f t="shared" si="21"/>
        <v>0</v>
      </c>
      <c r="U358" s="95">
        <f t="shared" si="22"/>
        <v>0</v>
      </c>
      <c r="V358" s="28" t="s">
        <v>222</v>
      </c>
      <c r="W358" s="31">
        <v>2020</v>
      </c>
      <c r="X358" s="28">
        <v>1</v>
      </c>
      <c r="Y358" s="28">
        <v>0</v>
      </c>
      <c r="Z358" s="196">
        <v>-4.9780125479181817E-3</v>
      </c>
      <c r="AA358" s="196">
        <v>-7.6584808429510487E-2</v>
      </c>
      <c r="AB358" s="28">
        <v>0</v>
      </c>
      <c r="AC358" s="28">
        <v>0</v>
      </c>
      <c r="AD358" s="28" t="s">
        <v>348</v>
      </c>
    </row>
    <row r="359" spans="2:30" ht="14.25" customHeight="1" x14ac:dyDescent="0.2">
      <c r="B359" s="7">
        <f t="shared" si="23"/>
        <v>335</v>
      </c>
      <c r="C359" s="28">
        <v>2</v>
      </c>
      <c r="D359" s="28">
        <v>2</v>
      </c>
      <c r="E359" s="31">
        <v>5</v>
      </c>
      <c r="F359" s="96">
        <v>2020</v>
      </c>
      <c r="G359" s="31">
        <v>2029</v>
      </c>
      <c r="H359" s="28">
        <v>4</v>
      </c>
      <c r="I359" s="96">
        <v>40</v>
      </c>
      <c r="J359" s="28">
        <v>0</v>
      </c>
      <c r="K359" s="28">
        <v>0</v>
      </c>
      <c r="L359" s="28">
        <v>0</v>
      </c>
      <c r="M359" s="156">
        <v>4.1324736225087921</v>
      </c>
      <c r="N359" s="151">
        <v>5320</v>
      </c>
      <c r="O359" s="151">
        <v>2700</v>
      </c>
      <c r="P359" s="95">
        <f t="array" ref="P359">ROUND(IF($F359&lt;='TaxCred&amp;Subs'!$C$49,(IF($C359=2,IF($M359&gt;=IFERROR(INDEX('TaxCred&amp;Subs'!$L$12:$L$47,MATCH(1,($C359&amp;$D359='TaxCred&amp;Subs'!$E$12:$E$47)*($F359='TaxCred&amp;Subs'!$C$12:$C$47),0)
),9999),IFERROR(INDEX('TaxCred&amp;Subs'!$N$12:$N$47,MATCH(1,($C359&amp;$D359='TaxCred&amp;Subs'!$E$12:$E$47)*($F359='TaxCred&amp;Subs'!$C$12:$C$47),0)
),0),0),(IF($M359&gt;=IFERROR(INDEX('TaxCred&amp;Subs'!$H$12:$H$47,MATCH(1,($C359&amp;$D359='TaxCred&amp;Subs'!$D$12:$D$47)*($F359='TaxCred&amp;Subs'!$C$12:$C$47),0)
),9999),IFERROR(INDEX('TaxCred&amp;Subs'!$N$12:$N$47,MATCH(1,($C359&amp;$D359='TaxCred&amp;Subs'!$D$12:$D$47)*($F359='TaxCred&amp;Subs'!$C$12:$C$47),0)
),0),0)))),0)+IF(AND($C359=2,VALUE(RIGHT($AD359,1))&gt;2),(N359-R359)*(IFERROR(INDEX('TaxCred&amp;Subs'!$J$66:$J$99,MATCH(1,($C359&amp;$D359='TaxCred&amp;Subs'!$E$66:$E$99)*($F359='TaxCred&amp;Subs'!$C$66:$C$99),0)),0)),IF(AND($C359=1,VALUE(RIGHT($AD359,1))&gt;2),(N359-R359)*(IFERROR(INDEX('TaxCred&amp;Subs'!$J$66:$J$99,MATCH(1,($C359&amp;$D359='TaxCred&amp;Subs'!$D$66:$D$99)*($F359='TaxCred&amp;Subs'!$C$66:$C$99),0)),0)),IF($C359&gt;2,(N359-R359)*(IFERROR(INDEX('TaxCred&amp;Subs'!$J$66:$J$99,MATCH(1,($C359&amp;$D359='TaxCred&amp;Subs'!$D$66:$D$99)*($F359='TaxCred&amp;Subs'!$C$66:$C$99),0)),0)),0))),0)</f>
        <v>0</v>
      </c>
      <c r="Q359" s="95">
        <f t="array" ref="Q359">ROUND(IF(AND($C359=2,VALUE(RIGHT($AD359,1))&gt;2),(O359-S359)*(IFERROR(INDEX('TaxCred&amp;Subs'!$J$66:$J$99,MATCH(1,($C359&amp;$D359='TaxCred&amp;Subs'!$E$66:$E$99)*($F359='TaxCred&amp;Subs'!$C$66:$C$99),0)),0)),IF(AND($C359=1,VALUE(RIGHT($AD359,1))&gt;2),(O359-S359)*(IFERROR(INDEX('TaxCred&amp;Subs'!$J$66:$J$99,MATCH(1,($C359&amp;$D359='TaxCred&amp;Subs'!$D$66:$D$99)*($F359='TaxCred&amp;Subs'!$C$66:$C$99),0)),0)),IF($C359&gt;2,(O359-S359)*(IFERROR(INDEX('TaxCred&amp;Subs'!$J$66:$J$99,MATCH(1,($C359&amp;$D359='TaxCred&amp;Subs'!$D$66:$D$99)*($F359='TaxCred&amp;Subs'!$C$66:$C$99),0)),0)),0))),0)</f>
        <v>0</v>
      </c>
      <c r="R359" s="95">
        <f t="array" ref="R359">ROUND(IF(IFERROR(VALUE(RIGHT($AD359,1)),0)&gt;2,IF($C359=8,N359*IFERROR(INDEX('TaxCred&amp;Subs'!$K$139:$S$151,MATCH($C359&amp;$D359&amp;LEFT($AD359,7),'TaxCred&amp;Subs'!$E$139:$E$151,0),MATCH($H359,'TaxCred&amp;Subs'!$K$137:$S$137,0)),0),IF($C359=2,N359*IFERROR(INDEX('TaxCred&amp;Subs'!$K$139:$S$151,MATCH($C359&amp;$D359,'TaxCred&amp;Subs'!$D$139:$D$151,0),MATCH($H359,'TaxCred&amp;Subs'!$K$137:$S$137,0)),0),N359*IFERROR(INDEX('TaxCred&amp;Subs'!$K$139:$S$151,MATCH($C359&amp;$D359,'TaxCred&amp;Subs'!$C$139:$C$151,0),MATCH($H359,'TaxCred&amp;Subs'!$K$137:$S$137,0)),0))),0),0)</f>
        <v>0</v>
      </c>
      <c r="S359" s="95">
        <f t="array" ref="S359">ROUND(IF(IFERROR(VALUE(RIGHT($AD359,1)),0)&gt;2,IF($C359=8,O359*IFERROR(INDEX('TaxCred&amp;Subs'!$K$139:$S$151,MATCH($C359&amp;$D359&amp;LEFT($AD359,7),'TaxCred&amp;Subs'!$E$139:$E$151,0),MATCH($H359,'TaxCred&amp;Subs'!$K$137:$S$137,0)),0),IF($C359=2,O359*IFERROR(INDEX('TaxCred&amp;Subs'!$K$139:$S$151,MATCH($C359&amp;$D359,'TaxCred&amp;Subs'!$D$139:$D$151,0),MATCH($H359,'TaxCred&amp;Subs'!$K$137:$S$137,0)),0),O359*IFERROR(INDEX('TaxCred&amp;Subs'!$K$139:$S$151,MATCH($C359&amp;$D359,'TaxCred&amp;Subs'!$C$139:$C$151,0),MATCH($H359,'TaxCred&amp;Subs'!$K$137:$S$137,0)),0))),0),0)</f>
        <v>0</v>
      </c>
      <c r="T359" s="95">
        <f t="shared" si="21"/>
        <v>0</v>
      </c>
      <c r="U359" s="95">
        <f t="shared" si="22"/>
        <v>0</v>
      </c>
      <c r="V359" s="28" t="s">
        <v>222</v>
      </c>
      <c r="W359" s="31">
        <v>2020</v>
      </c>
      <c r="X359" s="28">
        <v>1</v>
      </c>
      <c r="Y359" s="28">
        <v>0</v>
      </c>
      <c r="Z359" s="196">
        <v>-4.9780125479181817E-3</v>
      </c>
      <c r="AA359" s="196">
        <v>-7.6584808429510487E-2</v>
      </c>
      <c r="AB359" s="28">
        <v>0</v>
      </c>
      <c r="AC359" s="28">
        <v>0</v>
      </c>
      <c r="AD359" s="28" t="s">
        <v>348</v>
      </c>
    </row>
    <row r="360" spans="2:30" ht="14.25" customHeight="1" x14ac:dyDescent="0.2">
      <c r="B360" s="7">
        <f t="shared" si="23"/>
        <v>336</v>
      </c>
      <c r="C360" s="28">
        <v>2</v>
      </c>
      <c r="D360" s="28">
        <v>2</v>
      </c>
      <c r="E360" s="31">
        <v>5</v>
      </c>
      <c r="F360" s="96">
        <v>2020</v>
      </c>
      <c r="G360" s="31">
        <v>2029</v>
      </c>
      <c r="H360" s="28">
        <v>5</v>
      </c>
      <c r="I360" s="96">
        <v>40</v>
      </c>
      <c r="J360" s="28">
        <v>0</v>
      </c>
      <c r="K360" s="28">
        <v>0</v>
      </c>
      <c r="L360" s="28">
        <v>0</v>
      </c>
      <c r="M360" s="156">
        <v>4.2790152403282535</v>
      </c>
      <c r="N360" s="151">
        <v>5390</v>
      </c>
      <c r="O360" s="151">
        <v>2850</v>
      </c>
      <c r="P360" s="95">
        <f t="array" ref="P360">ROUND(IF($F360&lt;='TaxCred&amp;Subs'!$C$49,(IF($C360=2,IF($M360&gt;=IFERROR(INDEX('TaxCred&amp;Subs'!$L$12:$L$47,MATCH(1,($C360&amp;$D360='TaxCred&amp;Subs'!$E$12:$E$47)*($F360='TaxCred&amp;Subs'!$C$12:$C$47),0)
),9999),IFERROR(INDEX('TaxCred&amp;Subs'!$N$12:$N$47,MATCH(1,($C360&amp;$D360='TaxCred&amp;Subs'!$E$12:$E$47)*($F360='TaxCred&amp;Subs'!$C$12:$C$47),0)
),0),0),(IF($M360&gt;=IFERROR(INDEX('TaxCred&amp;Subs'!$H$12:$H$47,MATCH(1,($C360&amp;$D360='TaxCred&amp;Subs'!$D$12:$D$47)*($F360='TaxCred&amp;Subs'!$C$12:$C$47),0)
),9999),IFERROR(INDEX('TaxCred&amp;Subs'!$N$12:$N$47,MATCH(1,($C360&amp;$D360='TaxCred&amp;Subs'!$D$12:$D$47)*($F360='TaxCred&amp;Subs'!$C$12:$C$47),0)
),0),0)))),0)+IF(AND($C360=2,VALUE(RIGHT($AD360,1))&gt;2),(N360-R360)*(IFERROR(INDEX('TaxCred&amp;Subs'!$J$66:$J$99,MATCH(1,($C360&amp;$D360='TaxCred&amp;Subs'!$E$66:$E$99)*($F360='TaxCred&amp;Subs'!$C$66:$C$99),0)),0)),IF(AND($C360=1,VALUE(RIGHT($AD360,1))&gt;2),(N360-R360)*(IFERROR(INDEX('TaxCred&amp;Subs'!$J$66:$J$99,MATCH(1,($C360&amp;$D360='TaxCred&amp;Subs'!$D$66:$D$99)*($F360='TaxCred&amp;Subs'!$C$66:$C$99),0)),0)),IF($C360&gt;2,(N360-R360)*(IFERROR(INDEX('TaxCred&amp;Subs'!$J$66:$J$99,MATCH(1,($C360&amp;$D360='TaxCred&amp;Subs'!$D$66:$D$99)*($F360='TaxCred&amp;Subs'!$C$66:$C$99),0)),0)),0))),0)</f>
        <v>0</v>
      </c>
      <c r="Q360" s="95">
        <f t="array" ref="Q360">ROUND(IF(AND($C360=2,VALUE(RIGHT($AD360,1))&gt;2),(O360-S360)*(IFERROR(INDEX('TaxCred&amp;Subs'!$J$66:$J$99,MATCH(1,($C360&amp;$D360='TaxCred&amp;Subs'!$E$66:$E$99)*($F360='TaxCred&amp;Subs'!$C$66:$C$99),0)),0)),IF(AND($C360=1,VALUE(RIGHT($AD360,1))&gt;2),(O360-S360)*(IFERROR(INDEX('TaxCred&amp;Subs'!$J$66:$J$99,MATCH(1,($C360&amp;$D360='TaxCred&amp;Subs'!$D$66:$D$99)*($F360='TaxCred&amp;Subs'!$C$66:$C$99),0)),0)),IF($C360&gt;2,(O360-S360)*(IFERROR(INDEX('TaxCred&amp;Subs'!$J$66:$J$99,MATCH(1,($C360&amp;$D360='TaxCred&amp;Subs'!$D$66:$D$99)*($F360='TaxCred&amp;Subs'!$C$66:$C$99),0)),0)),0))),0)</f>
        <v>0</v>
      </c>
      <c r="R360" s="95">
        <f t="array" ref="R360">ROUND(IF(IFERROR(VALUE(RIGHT($AD360,1)),0)&gt;2,IF($C360=8,N360*IFERROR(INDEX('TaxCred&amp;Subs'!$K$139:$S$151,MATCH($C360&amp;$D360&amp;LEFT($AD360,7),'TaxCred&amp;Subs'!$E$139:$E$151,0),MATCH($H360,'TaxCred&amp;Subs'!$K$137:$S$137,0)),0),IF($C360=2,N360*IFERROR(INDEX('TaxCred&amp;Subs'!$K$139:$S$151,MATCH($C360&amp;$D360,'TaxCred&amp;Subs'!$D$139:$D$151,0),MATCH($H360,'TaxCred&amp;Subs'!$K$137:$S$137,0)),0),N360*IFERROR(INDEX('TaxCred&amp;Subs'!$K$139:$S$151,MATCH($C360&amp;$D360,'TaxCred&amp;Subs'!$C$139:$C$151,0),MATCH($H360,'TaxCred&amp;Subs'!$K$137:$S$137,0)),0))),0),0)</f>
        <v>0</v>
      </c>
      <c r="S360" s="95">
        <f t="array" ref="S360">ROUND(IF(IFERROR(VALUE(RIGHT($AD360,1)),0)&gt;2,IF($C360=8,O360*IFERROR(INDEX('TaxCred&amp;Subs'!$K$139:$S$151,MATCH($C360&amp;$D360&amp;LEFT($AD360,7),'TaxCred&amp;Subs'!$E$139:$E$151,0),MATCH($H360,'TaxCred&amp;Subs'!$K$137:$S$137,0)),0),IF($C360=2,O360*IFERROR(INDEX('TaxCred&amp;Subs'!$K$139:$S$151,MATCH($C360&amp;$D360,'TaxCred&amp;Subs'!$D$139:$D$151,0),MATCH($H360,'TaxCred&amp;Subs'!$K$137:$S$137,0)),0),O360*IFERROR(INDEX('TaxCred&amp;Subs'!$K$139:$S$151,MATCH($C360&amp;$D360,'TaxCred&amp;Subs'!$C$139:$C$151,0),MATCH($H360,'TaxCred&amp;Subs'!$K$137:$S$137,0)),0))),0),0)</f>
        <v>0</v>
      </c>
      <c r="T360" s="95">
        <f t="shared" si="21"/>
        <v>0</v>
      </c>
      <c r="U360" s="95">
        <f t="shared" si="22"/>
        <v>0</v>
      </c>
      <c r="V360" s="28" t="s">
        <v>222</v>
      </c>
      <c r="W360" s="31">
        <v>2020</v>
      </c>
      <c r="X360" s="28">
        <v>1</v>
      </c>
      <c r="Y360" s="28">
        <v>0</v>
      </c>
      <c r="Z360" s="196">
        <v>-4.9780125479181817E-3</v>
      </c>
      <c r="AA360" s="196">
        <v>-7.6584808429510487E-2</v>
      </c>
      <c r="AB360" s="28">
        <v>0</v>
      </c>
      <c r="AC360" s="28">
        <v>0</v>
      </c>
      <c r="AD360" s="28" t="s">
        <v>348</v>
      </c>
    </row>
    <row r="361" spans="2:30" ht="14.25" customHeight="1" x14ac:dyDescent="0.2">
      <c r="B361" s="7">
        <f t="shared" si="23"/>
        <v>337</v>
      </c>
      <c r="C361" s="28">
        <v>2</v>
      </c>
      <c r="D361" s="28">
        <v>2</v>
      </c>
      <c r="E361" s="31">
        <v>5</v>
      </c>
      <c r="F361" s="96">
        <v>2020</v>
      </c>
      <c r="G361" s="31">
        <v>2029</v>
      </c>
      <c r="H361" s="28">
        <v>6</v>
      </c>
      <c r="I361" s="96">
        <v>40</v>
      </c>
      <c r="J361" s="28">
        <v>0</v>
      </c>
      <c r="K361" s="28">
        <v>0</v>
      </c>
      <c r="L361" s="28">
        <v>0</v>
      </c>
      <c r="M361" s="156">
        <v>4.2790152403282535</v>
      </c>
      <c r="N361" s="151">
        <v>5390</v>
      </c>
      <c r="O361" s="151">
        <v>2850</v>
      </c>
      <c r="P361" s="95">
        <f t="array" ref="P361">ROUND(IF($F361&lt;='TaxCred&amp;Subs'!$C$49,(IF($C361=2,IF($M361&gt;=IFERROR(INDEX('TaxCred&amp;Subs'!$L$12:$L$47,MATCH(1,($C361&amp;$D361='TaxCred&amp;Subs'!$E$12:$E$47)*($F361='TaxCred&amp;Subs'!$C$12:$C$47),0)
),9999),IFERROR(INDEX('TaxCred&amp;Subs'!$N$12:$N$47,MATCH(1,($C361&amp;$D361='TaxCred&amp;Subs'!$E$12:$E$47)*($F361='TaxCred&amp;Subs'!$C$12:$C$47),0)
),0),0),(IF($M361&gt;=IFERROR(INDEX('TaxCred&amp;Subs'!$H$12:$H$47,MATCH(1,($C361&amp;$D361='TaxCred&amp;Subs'!$D$12:$D$47)*($F361='TaxCred&amp;Subs'!$C$12:$C$47),0)
),9999),IFERROR(INDEX('TaxCred&amp;Subs'!$N$12:$N$47,MATCH(1,($C361&amp;$D361='TaxCred&amp;Subs'!$D$12:$D$47)*($F361='TaxCred&amp;Subs'!$C$12:$C$47),0)
),0),0)))),0)+IF(AND($C361=2,VALUE(RIGHT($AD361,1))&gt;2),(N361-R361)*(IFERROR(INDEX('TaxCred&amp;Subs'!$J$66:$J$99,MATCH(1,($C361&amp;$D361='TaxCred&amp;Subs'!$E$66:$E$99)*($F361='TaxCred&amp;Subs'!$C$66:$C$99),0)),0)),IF(AND($C361=1,VALUE(RIGHT($AD361,1))&gt;2),(N361-R361)*(IFERROR(INDEX('TaxCred&amp;Subs'!$J$66:$J$99,MATCH(1,($C361&amp;$D361='TaxCred&amp;Subs'!$D$66:$D$99)*($F361='TaxCred&amp;Subs'!$C$66:$C$99),0)),0)),IF($C361&gt;2,(N361-R361)*(IFERROR(INDEX('TaxCred&amp;Subs'!$J$66:$J$99,MATCH(1,($C361&amp;$D361='TaxCred&amp;Subs'!$D$66:$D$99)*($F361='TaxCred&amp;Subs'!$C$66:$C$99),0)),0)),0))),0)</f>
        <v>0</v>
      </c>
      <c r="Q361" s="95">
        <f t="array" ref="Q361">ROUND(IF(AND($C361=2,VALUE(RIGHT($AD361,1))&gt;2),(O361-S361)*(IFERROR(INDEX('TaxCred&amp;Subs'!$J$66:$J$99,MATCH(1,($C361&amp;$D361='TaxCred&amp;Subs'!$E$66:$E$99)*($F361='TaxCred&amp;Subs'!$C$66:$C$99),0)),0)),IF(AND($C361=1,VALUE(RIGHT($AD361,1))&gt;2),(O361-S361)*(IFERROR(INDEX('TaxCred&amp;Subs'!$J$66:$J$99,MATCH(1,($C361&amp;$D361='TaxCred&amp;Subs'!$D$66:$D$99)*($F361='TaxCred&amp;Subs'!$C$66:$C$99),0)),0)),IF($C361&gt;2,(O361-S361)*(IFERROR(INDEX('TaxCred&amp;Subs'!$J$66:$J$99,MATCH(1,($C361&amp;$D361='TaxCred&amp;Subs'!$D$66:$D$99)*($F361='TaxCred&amp;Subs'!$C$66:$C$99),0)),0)),0))),0)</f>
        <v>0</v>
      </c>
      <c r="R361" s="95">
        <f t="array" ref="R361">ROUND(IF(IFERROR(VALUE(RIGHT($AD361,1)),0)&gt;2,IF($C361=8,N361*IFERROR(INDEX('TaxCred&amp;Subs'!$K$139:$S$151,MATCH($C361&amp;$D361&amp;LEFT($AD361,7),'TaxCred&amp;Subs'!$E$139:$E$151,0),MATCH($H361,'TaxCred&amp;Subs'!$K$137:$S$137,0)),0),IF($C361=2,N361*IFERROR(INDEX('TaxCred&amp;Subs'!$K$139:$S$151,MATCH($C361&amp;$D361,'TaxCred&amp;Subs'!$D$139:$D$151,0),MATCH($H361,'TaxCred&amp;Subs'!$K$137:$S$137,0)),0),N361*IFERROR(INDEX('TaxCred&amp;Subs'!$K$139:$S$151,MATCH($C361&amp;$D361,'TaxCred&amp;Subs'!$C$139:$C$151,0),MATCH($H361,'TaxCred&amp;Subs'!$K$137:$S$137,0)),0))),0),0)</f>
        <v>0</v>
      </c>
      <c r="S361" s="95">
        <f t="array" ref="S361">ROUND(IF(IFERROR(VALUE(RIGHT($AD361,1)),0)&gt;2,IF($C361=8,O361*IFERROR(INDEX('TaxCred&amp;Subs'!$K$139:$S$151,MATCH($C361&amp;$D361&amp;LEFT($AD361,7),'TaxCred&amp;Subs'!$E$139:$E$151,0),MATCH($H361,'TaxCred&amp;Subs'!$K$137:$S$137,0)),0),IF($C361=2,O361*IFERROR(INDEX('TaxCred&amp;Subs'!$K$139:$S$151,MATCH($C361&amp;$D361,'TaxCred&amp;Subs'!$D$139:$D$151,0),MATCH($H361,'TaxCred&amp;Subs'!$K$137:$S$137,0)),0),O361*IFERROR(INDEX('TaxCred&amp;Subs'!$K$139:$S$151,MATCH($C361&amp;$D361,'TaxCred&amp;Subs'!$C$139:$C$151,0),MATCH($H361,'TaxCred&amp;Subs'!$K$137:$S$137,0)),0))),0),0)</f>
        <v>0</v>
      </c>
      <c r="T361" s="95">
        <f t="shared" si="21"/>
        <v>0</v>
      </c>
      <c r="U361" s="95">
        <f t="shared" si="22"/>
        <v>0</v>
      </c>
      <c r="V361" s="28" t="s">
        <v>222</v>
      </c>
      <c r="W361" s="31">
        <v>2020</v>
      </c>
      <c r="X361" s="28">
        <v>1</v>
      </c>
      <c r="Y361" s="28">
        <v>0</v>
      </c>
      <c r="Z361" s="196">
        <v>-4.9780125479181817E-3</v>
      </c>
      <c r="AA361" s="196">
        <v>-7.6584808429510487E-2</v>
      </c>
      <c r="AB361" s="28">
        <v>0</v>
      </c>
      <c r="AC361" s="28">
        <v>0</v>
      </c>
      <c r="AD361" s="28" t="s">
        <v>348</v>
      </c>
    </row>
    <row r="362" spans="2:30" ht="14.25" customHeight="1" x14ac:dyDescent="0.2">
      <c r="B362" s="7">
        <f t="shared" si="23"/>
        <v>338</v>
      </c>
      <c r="C362" s="28">
        <v>2</v>
      </c>
      <c r="D362" s="28">
        <v>2</v>
      </c>
      <c r="E362" s="31">
        <v>5</v>
      </c>
      <c r="F362" s="96">
        <v>2020</v>
      </c>
      <c r="G362" s="31">
        <v>2029</v>
      </c>
      <c r="H362" s="28">
        <v>7</v>
      </c>
      <c r="I362" s="96">
        <v>40</v>
      </c>
      <c r="J362" s="28">
        <v>0</v>
      </c>
      <c r="K362" s="28">
        <v>0</v>
      </c>
      <c r="L362" s="28">
        <v>0</v>
      </c>
      <c r="M362" s="156">
        <v>4.2790152403282535</v>
      </c>
      <c r="N362" s="151">
        <v>5390</v>
      </c>
      <c r="O362" s="151">
        <v>2850</v>
      </c>
      <c r="P362" s="95">
        <f t="array" ref="P362">ROUND(IF($F362&lt;='TaxCred&amp;Subs'!$C$49,(IF($C362=2,IF($M362&gt;=IFERROR(INDEX('TaxCred&amp;Subs'!$L$12:$L$47,MATCH(1,($C362&amp;$D362='TaxCred&amp;Subs'!$E$12:$E$47)*($F362='TaxCred&amp;Subs'!$C$12:$C$47),0)
),9999),IFERROR(INDEX('TaxCred&amp;Subs'!$N$12:$N$47,MATCH(1,($C362&amp;$D362='TaxCred&amp;Subs'!$E$12:$E$47)*($F362='TaxCred&amp;Subs'!$C$12:$C$47),0)
),0),0),(IF($M362&gt;=IFERROR(INDEX('TaxCred&amp;Subs'!$H$12:$H$47,MATCH(1,($C362&amp;$D362='TaxCred&amp;Subs'!$D$12:$D$47)*($F362='TaxCred&amp;Subs'!$C$12:$C$47),0)
),9999),IFERROR(INDEX('TaxCred&amp;Subs'!$N$12:$N$47,MATCH(1,($C362&amp;$D362='TaxCred&amp;Subs'!$D$12:$D$47)*($F362='TaxCred&amp;Subs'!$C$12:$C$47),0)
),0),0)))),0)+IF(AND($C362=2,VALUE(RIGHT($AD362,1))&gt;2),(N362-R362)*(IFERROR(INDEX('TaxCred&amp;Subs'!$J$66:$J$99,MATCH(1,($C362&amp;$D362='TaxCred&amp;Subs'!$E$66:$E$99)*($F362='TaxCred&amp;Subs'!$C$66:$C$99),0)),0)),IF(AND($C362=1,VALUE(RIGHT($AD362,1))&gt;2),(N362-R362)*(IFERROR(INDEX('TaxCred&amp;Subs'!$J$66:$J$99,MATCH(1,($C362&amp;$D362='TaxCred&amp;Subs'!$D$66:$D$99)*($F362='TaxCred&amp;Subs'!$C$66:$C$99),0)),0)),IF($C362&gt;2,(N362-R362)*(IFERROR(INDEX('TaxCred&amp;Subs'!$J$66:$J$99,MATCH(1,($C362&amp;$D362='TaxCred&amp;Subs'!$D$66:$D$99)*($F362='TaxCred&amp;Subs'!$C$66:$C$99),0)),0)),0))),0)</f>
        <v>0</v>
      </c>
      <c r="Q362" s="95">
        <f t="array" ref="Q362">ROUND(IF(AND($C362=2,VALUE(RIGHT($AD362,1))&gt;2),(O362-S362)*(IFERROR(INDEX('TaxCred&amp;Subs'!$J$66:$J$99,MATCH(1,($C362&amp;$D362='TaxCred&amp;Subs'!$E$66:$E$99)*($F362='TaxCred&amp;Subs'!$C$66:$C$99),0)),0)),IF(AND($C362=1,VALUE(RIGHT($AD362,1))&gt;2),(O362-S362)*(IFERROR(INDEX('TaxCred&amp;Subs'!$J$66:$J$99,MATCH(1,($C362&amp;$D362='TaxCred&amp;Subs'!$D$66:$D$99)*($F362='TaxCred&amp;Subs'!$C$66:$C$99),0)),0)),IF($C362&gt;2,(O362-S362)*(IFERROR(INDEX('TaxCred&amp;Subs'!$J$66:$J$99,MATCH(1,($C362&amp;$D362='TaxCred&amp;Subs'!$D$66:$D$99)*($F362='TaxCred&amp;Subs'!$C$66:$C$99),0)),0)),0))),0)</f>
        <v>0</v>
      </c>
      <c r="R362" s="95">
        <f t="array" ref="R362">ROUND(IF(IFERROR(VALUE(RIGHT($AD362,1)),0)&gt;2,IF($C362=8,N362*IFERROR(INDEX('TaxCred&amp;Subs'!$K$139:$S$151,MATCH($C362&amp;$D362&amp;LEFT($AD362,7),'TaxCred&amp;Subs'!$E$139:$E$151,0),MATCH($H362,'TaxCred&amp;Subs'!$K$137:$S$137,0)),0),IF($C362=2,N362*IFERROR(INDEX('TaxCred&amp;Subs'!$K$139:$S$151,MATCH($C362&amp;$D362,'TaxCred&amp;Subs'!$D$139:$D$151,0),MATCH($H362,'TaxCred&amp;Subs'!$K$137:$S$137,0)),0),N362*IFERROR(INDEX('TaxCred&amp;Subs'!$K$139:$S$151,MATCH($C362&amp;$D362,'TaxCred&amp;Subs'!$C$139:$C$151,0),MATCH($H362,'TaxCred&amp;Subs'!$K$137:$S$137,0)),0))),0),0)</f>
        <v>0</v>
      </c>
      <c r="S362" s="95">
        <f t="array" ref="S362">ROUND(IF(IFERROR(VALUE(RIGHT($AD362,1)),0)&gt;2,IF($C362=8,O362*IFERROR(INDEX('TaxCred&amp;Subs'!$K$139:$S$151,MATCH($C362&amp;$D362&amp;LEFT($AD362,7),'TaxCred&amp;Subs'!$E$139:$E$151,0),MATCH($H362,'TaxCred&amp;Subs'!$K$137:$S$137,0)),0),IF($C362=2,O362*IFERROR(INDEX('TaxCred&amp;Subs'!$K$139:$S$151,MATCH($C362&amp;$D362,'TaxCred&amp;Subs'!$D$139:$D$151,0),MATCH($H362,'TaxCred&amp;Subs'!$K$137:$S$137,0)),0),O362*IFERROR(INDEX('TaxCred&amp;Subs'!$K$139:$S$151,MATCH($C362&amp;$D362,'TaxCred&amp;Subs'!$C$139:$C$151,0),MATCH($H362,'TaxCred&amp;Subs'!$K$137:$S$137,0)),0))),0),0)</f>
        <v>0</v>
      </c>
      <c r="T362" s="95">
        <f t="shared" si="21"/>
        <v>0</v>
      </c>
      <c r="U362" s="95">
        <f t="shared" si="22"/>
        <v>0</v>
      </c>
      <c r="V362" s="28" t="s">
        <v>222</v>
      </c>
      <c r="W362" s="31">
        <v>2020</v>
      </c>
      <c r="X362" s="28">
        <v>1</v>
      </c>
      <c r="Y362" s="28">
        <v>0</v>
      </c>
      <c r="Z362" s="196">
        <v>-4.9780125479181817E-3</v>
      </c>
      <c r="AA362" s="196">
        <v>-7.6584808429510487E-2</v>
      </c>
      <c r="AB362" s="28">
        <v>0</v>
      </c>
      <c r="AC362" s="28">
        <v>0</v>
      </c>
      <c r="AD362" s="28" t="s">
        <v>348</v>
      </c>
    </row>
    <row r="363" spans="2:30" ht="14.25" customHeight="1" x14ac:dyDescent="0.2">
      <c r="B363" s="7">
        <f t="shared" si="23"/>
        <v>339</v>
      </c>
      <c r="C363" s="28">
        <v>2</v>
      </c>
      <c r="D363" s="28">
        <v>2</v>
      </c>
      <c r="E363" s="31">
        <v>5</v>
      </c>
      <c r="F363" s="96">
        <v>2020</v>
      </c>
      <c r="G363" s="31">
        <v>2029</v>
      </c>
      <c r="H363" s="28">
        <v>8</v>
      </c>
      <c r="I363" s="96">
        <v>40</v>
      </c>
      <c r="J363" s="28">
        <v>0</v>
      </c>
      <c r="K363" s="28">
        <v>0</v>
      </c>
      <c r="L363" s="28">
        <v>0</v>
      </c>
      <c r="M363" s="156">
        <v>4.2790152403282535</v>
      </c>
      <c r="N363" s="151">
        <v>5390</v>
      </c>
      <c r="O363" s="151">
        <v>2850</v>
      </c>
      <c r="P363" s="95">
        <f t="array" ref="P363">ROUND(IF($F363&lt;='TaxCred&amp;Subs'!$C$49,(IF($C363=2,IF($M363&gt;=IFERROR(INDEX('TaxCred&amp;Subs'!$L$12:$L$47,MATCH(1,($C363&amp;$D363='TaxCred&amp;Subs'!$E$12:$E$47)*($F363='TaxCred&amp;Subs'!$C$12:$C$47),0)
),9999),IFERROR(INDEX('TaxCred&amp;Subs'!$N$12:$N$47,MATCH(1,($C363&amp;$D363='TaxCred&amp;Subs'!$E$12:$E$47)*($F363='TaxCred&amp;Subs'!$C$12:$C$47),0)
),0),0),(IF($M363&gt;=IFERROR(INDEX('TaxCred&amp;Subs'!$H$12:$H$47,MATCH(1,($C363&amp;$D363='TaxCred&amp;Subs'!$D$12:$D$47)*($F363='TaxCred&amp;Subs'!$C$12:$C$47),0)
),9999),IFERROR(INDEX('TaxCred&amp;Subs'!$N$12:$N$47,MATCH(1,($C363&amp;$D363='TaxCred&amp;Subs'!$D$12:$D$47)*($F363='TaxCred&amp;Subs'!$C$12:$C$47),0)
),0),0)))),0)+IF(AND($C363=2,VALUE(RIGHT($AD363,1))&gt;2),(N363-R363)*(IFERROR(INDEX('TaxCred&amp;Subs'!$J$66:$J$99,MATCH(1,($C363&amp;$D363='TaxCred&amp;Subs'!$E$66:$E$99)*($F363='TaxCred&amp;Subs'!$C$66:$C$99),0)),0)),IF(AND($C363=1,VALUE(RIGHT($AD363,1))&gt;2),(N363-R363)*(IFERROR(INDEX('TaxCred&amp;Subs'!$J$66:$J$99,MATCH(1,($C363&amp;$D363='TaxCred&amp;Subs'!$D$66:$D$99)*($F363='TaxCred&amp;Subs'!$C$66:$C$99),0)),0)),IF($C363&gt;2,(N363-R363)*(IFERROR(INDEX('TaxCred&amp;Subs'!$J$66:$J$99,MATCH(1,($C363&amp;$D363='TaxCred&amp;Subs'!$D$66:$D$99)*($F363='TaxCred&amp;Subs'!$C$66:$C$99),0)),0)),0))),0)</f>
        <v>0</v>
      </c>
      <c r="Q363" s="95">
        <f t="array" ref="Q363">ROUND(IF(AND($C363=2,VALUE(RIGHT($AD363,1))&gt;2),(O363-S363)*(IFERROR(INDEX('TaxCred&amp;Subs'!$J$66:$J$99,MATCH(1,($C363&amp;$D363='TaxCred&amp;Subs'!$E$66:$E$99)*($F363='TaxCred&amp;Subs'!$C$66:$C$99),0)),0)),IF(AND($C363=1,VALUE(RIGHT($AD363,1))&gt;2),(O363-S363)*(IFERROR(INDEX('TaxCred&amp;Subs'!$J$66:$J$99,MATCH(1,($C363&amp;$D363='TaxCred&amp;Subs'!$D$66:$D$99)*($F363='TaxCred&amp;Subs'!$C$66:$C$99),0)),0)),IF($C363&gt;2,(O363-S363)*(IFERROR(INDEX('TaxCred&amp;Subs'!$J$66:$J$99,MATCH(1,($C363&amp;$D363='TaxCred&amp;Subs'!$D$66:$D$99)*($F363='TaxCred&amp;Subs'!$C$66:$C$99),0)),0)),0))),0)</f>
        <v>0</v>
      </c>
      <c r="R363" s="95">
        <f t="array" ref="R363">ROUND(IF(IFERROR(VALUE(RIGHT($AD363,1)),0)&gt;2,IF($C363=8,N363*IFERROR(INDEX('TaxCred&amp;Subs'!$K$139:$S$151,MATCH($C363&amp;$D363&amp;LEFT($AD363,7),'TaxCred&amp;Subs'!$E$139:$E$151,0),MATCH($H363,'TaxCred&amp;Subs'!$K$137:$S$137,0)),0),IF($C363=2,N363*IFERROR(INDEX('TaxCred&amp;Subs'!$K$139:$S$151,MATCH($C363&amp;$D363,'TaxCred&amp;Subs'!$D$139:$D$151,0),MATCH($H363,'TaxCred&amp;Subs'!$K$137:$S$137,0)),0),N363*IFERROR(INDEX('TaxCred&amp;Subs'!$K$139:$S$151,MATCH($C363&amp;$D363,'TaxCred&amp;Subs'!$C$139:$C$151,0),MATCH($H363,'TaxCred&amp;Subs'!$K$137:$S$137,0)),0))),0),0)</f>
        <v>0</v>
      </c>
      <c r="S363" s="95">
        <f t="array" ref="S363">ROUND(IF(IFERROR(VALUE(RIGHT($AD363,1)),0)&gt;2,IF($C363=8,O363*IFERROR(INDEX('TaxCred&amp;Subs'!$K$139:$S$151,MATCH($C363&amp;$D363&amp;LEFT($AD363,7),'TaxCred&amp;Subs'!$E$139:$E$151,0),MATCH($H363,'TaxCred&amp;Subs'!$K$137:$S$137,0)),0),IF($C363=2,O363*IFERROR(INDEX('TaxCred&amp;Subs'!$K$139:$S$151,MATCH($C363&amp;$D363,'TaxCred&amp;Subs'!$D$139:$D$151,0),MATCH($H363,'TaxCred&amp;Subs'!$K$137:$S$137,0)),0),O363*IFERROR(INDEX('TaxCred&amp;Subs'!$K$139:$S$151,MATCH($C363&amp;$D363,'TaxCred&amp;Subs'!$C$139:$C$151,0),MATCH($H363,'TaxCred&amp;Subs'!$K$137:$S$137,0)),0))),0),0)</f>
        <v>0</v>
      </c>
      <c r="T363" s="95">
        <f t="shared" si="21"/>
        <v>0</v>
      </c>
      <c r="U363" s="95">
        <f t="shared" si="22"/>
        <v>0</v>
      </c>
      <c r="V363" s="28" t="s">
        <v>222</v>
      </c>
      <c r="W363" s="31">
        <v>2020</v>
      </c>
      <c r="X363" s="28">
        <v>1</v>
      </c>
      <c r="Y363" s="28">
        <v>0</v>
      </c>
      <c r="Z363" s="196">
        <v>-4.9780125479181817E-3</v>
      </c>
      <c r="AA363" s="196">
        <v>-7.6584808429510487E-2</v>
      </c>
      <c r="AB363" s="28">
        <v>0</v>
      </c>
      <c r="AC363" s="28">
        <v>0</v>
      </c>
      <c r="AD363" s="28" t="s">
        <v>348</v>
      </c>
    </row>
    <row r="364" spans="2:30" ht="14.25" customHeight="1" x14ac:dyDescent="0.2">
      <c r="B364" s="7">
        <f t="shared" si="23"/>
        <v>340</v>
      </c>
      <c r="C364" s="28">
        <v>2</v>
      </c>
      <c r="D364" s="28">
        <v>2</v>
      </c>
      <c r="E364" s="31">
        <v>5</v>
      </c>
      <c r="F364" s="96">
        <v>2020</v>
      </c>
      <c r="G364" s="31">
        <v>2029</v>
      </c>
      <c r="H364" s="28">
        <v>9</v>
      </c>
      <c r="I364" s="96">
        <v>40</v>
      </c>
      <c r="J364" s="28">
        <v>0</v>
      </c>
      <c r="K364" s="28">
        <v>0</v>
      </c>
      <c r="L364" s="28">
        <v>0</v>
      </c>
      <c r="M364" s="156">
        <v>4.2790152403282535</v>
      </c>
      <c r="N364" s="151">
        <v>5390</v>
      </c>
      <c r="O364" s="151">
        <v>2850</v>
      </c>
      <c r="P364" s="95">
        <f t="array" ref="P364">ROUND(IF($F364&lt;='TaxCred&amp;Subs'!$C$49,(IF($C364=2,IF($M364&gt;=IFERROR(INDEX('TaxCred&amp;Subs'!$L$12:$L$47,MATCH(1,($C364&amp;$D364='TaxCred&amp;Subs'!$E$12:$E$47)*($F364='TaxCred&amp;Subs'!$C$12:$C$47),0)
),9999),IFERROR(INDEX('TaxCred&amp;Subs'!$N$12:$N$47,MATCH(1,($C364&amp;$D364='TaxCred&amp;Subs'!$E$12:$E$47)*($F364='TaxCred&amp;Subs'!$C$12:$C$47),0)
),0),0),(IF($M364&gt;=IFERROR(INDEX('TaxCred&amp;Subs'!$H$12:$H$47,MATCH(1,($C364&amp;$D364='TaxCred&amp;Subs'!$D$12:$D$47)*($F364='TaxCred&amp;Subs'!$C$12:$C$47),0)
),9999),IFERROR(INDEX('TaxCred&amp;Subs'!$N$12:$N$47,MATCH(1,($C364&amp;$D364='TaxCred&amp;Subs'!$D$12:$D$47)*($F364='TaxCred&amp;Subs'!$C$12:$C$47),0)
),0),0)))),0)+IF(AND($C364=2,VALUE(RIGHT($AD364,1))&gt;2),(N364-R364)*(IFERROR(INDEX('TaxCred&amp;Subs'!$J$66:$J$99,MATCH(1,($C364&amp;$D364='TaxCred&amp;Subs'!$E$66:$E$99)*($F364='TaxCred&amp;Subs'!$C$66:$C$99),0)),0)),IF(AND($C364=1,VALUE(RIGHT($AD364,1))&gt;2),(N364-R364)*(IFERROR(INDEX('TaxCred&amp;Subs'!$J$66:$J$99,MATCH(1,($C364&amp;$D364='TaxCred&amp;Subs'!$D$66:$D$99)*($F364='TaxCred&amp;Subs'!$C$66:$C$99),0)),0)),IF($C364&gt;2,(N364-R364)*(IFERROR(INDEX('TaxCred&amp;Subs'!$J$66:$J$99,MATCH(1,($C364&amp;$D364='TaxCred&amp;Subs'!$D$66:$D$99)*($F364='TaxCred&amp;Subs'!$C$66:$C$99),0)),0)),0))),0)</f>
        <v>0</v>
      </c>
      <c r="Q364" s="95">
        <f t="array" ref="Q364">ROUND(IF(AND($C364=2,VALUE(RIGHT($AD364,1))&gt;2),(O364-S364)*(IFERROR(INDEX('TaxCred&amp;Subs'!$J$66:$J$99,MATCH(1,($C364&amp;$D364='TaxCred&amp;Subs'!$E$66:$E$99)*($F364='TaxCred&amp;Subs'!$C$66:$C$99),0)),0)),IF(AND($C364=1,VALUE(RIGHT($AD364,1))&gt;2),(O364-S364)*(IFERROR(INDEX('TaxCred&amp;Subs'!$J$66:$J$99,MATCH(1,($C364&amp;$D364='TaxCred&amp;Subs'!$D$66:$D$99)*($F364='TaxCred&amp;Subs'!$C$66:$C$99),0)),0)),IF($C364&gt;2,(O364-S364)*(IFERROR(INDEX('TaxCred&amp;Subs'!$J$66:$J$99,MATCH(1,($C364&amp;$D364='TaxCred&amp;Subs'!$D$66:$D$99)*($F364='TaxCred&amp;Subs'!$C$66:$C$99),0)),0)),0))),0)</f>
        <v>0</v>
      </c>
      <c r="R364" s="95">
        <f t="array" ref="R364">ROUND(IF(IFERROR(VALUE(RIGHT($AD364,1)),0)&gt;2,IF($C364=8,N364*IFERROR(INDEX('TaxCred&amp;Subs'!$K$139:$S$151,MATCH($C364&amp;$D364&amp;LEFT($AD364,7),'TaxCred&amp;Subs'!$E$139:$E$151,0),MATCH($H364,'TaxCred&amp;Subs'!$K$137:$S$137,0)),0),IF($C364=2,N364*IFERROR(INDEX('TaxCred&amp;Subs'!$K$139:$S$151,MATCH($C364&amp;$D364,'TaxCred&amp;Subs'!$D$139:$D$151,0),MATCH($H364,'TaxCred&amp;Subs'!$K$137:$S$137,0)),0),N364*IFERROR(INDEX('TaxCred&amp;Subs'!$K$139:$S$151,MATCH($C364&amp;$D364,'TaxCred&amp;Subs'!$C$139:$C$151,0),MATCH($H364,'TaxCred&amp;Subs'!$K$137:$S$137,0)),0))),0),0)</f>
        <v>0</v>
      </c>
      <c r="S364" s="95">
        <f t="array" ref="S364">ROUND(IF(IFERROR(VALUE(RIGHT($AD364,1)),0)&gt;2,IF($C364=8,O364*IFERROR(INDEX('TaxCred&amp;Subs'!$K$139:$S$151,MATCH($C364&amp;$D364&amp;LEFT($AD364,7),'TaxCred&amp;Subs'!$E$139:$E$151,0),MATCH($H364,'TaxCred&amp;Subs'!$K$137:$S$137,0)),0),IF($C364=2,O364*IFERROR(INDEX('TaxCred&amp;Subs'!$K$139:$S$151,MATCH($C364&amp;$D364,'TaxCred&amp;Subs'!$D$139:$D$151,0),MATCH($H364,'TaxCred&amp;Subs'!$K$137:$S$137,0)),0),O364*IFERROR(INDEX('TaxCred&amp;Subs'!$K$139:$S$151,MATCH($C364&amp;$D364,'TaxCred&amp;Subs'!$C$139:$C$151,0),MATCH($H364,'TaxCred&amp;Subs'!$K$137:$S$137,0)),0))),0),0)</f>
        <v>0</v>
      </c>
      <c r="T364" s="95">
        <f t="shared" si="21"/>
        <v>0</v>
      </c>
      <c r="U364" s="95">
        <f t="shared" si="22"/>
        <v>0</v>
      </c>
      <c r="V364" s="28" t="s">
        <v>222</v>
      </c>
      <c r="W364" s="31">
        <v>2020</v>
      </c>
      <c r="X364" s="28">
        <v>1</v>
      </c>
      <c r="Y364" s="28">
        <v>0</v>
      </c>
      <c r="Z364" s="196">
        <v>-4.9780125479181817E-3</v>
      </c>
      <c r="AA364" s="196">
        <v>-7.6584808429510487E-2</v>
      </c>
      <c r="AB364" s="28">
        <v>0</v>
      </c>
      <c r="AC364" s="28">
        <v>0</v>
      </c>
      <c r="AD364" s="28" t="s">
        <v>348</v>
      </c>
    </row>
    <row r="365" spans="2:30" ht="14.25" customHeight="1" x14ac:dyDescent="0.2">
      <c r="B365" s="7">
        <f t="shared" si="23"/>
        <v>341</v>
      </c>
      <c r="C365" s="28">
        <v>2</v>
      </c>
      <c r="D365" s="28">
        <v>2</v>
      </c>
      <c r="E365" s="31">
        <v>5</v>
      </c>
      <c r="F365" s="96">
        <v>2030</v>
      </c>
      <c r="G365" s="28">
        <v>2050</v>
      </c>
      <c r="H365" s="28">
        <v>1</v>
      </c>
      <c r="I365" s="96">
        <v>40</v>
      </c>
      <c r="J365" s="28">
        <v>0</v>
      </c>
      <c r="K365" s="28">
        <v>0</v>
      </c>
      <c r="L365" s="28">
        <v>0</v>
      </c>
      <c r="M365" s="75">
        <v>4.2203985932004695</v>
      </c>
      <c r="N365" s="151">
        <v>5350</v>
      </c>
      <c r="O365" s="151">
        <v>2760</v>
      </c>
      <c r="P365" s="95">
        <f t="array" ref="P365">ROUND(IF($F365&lt;='TaxCred&amp;Subs'!$C$49,(IF($C365=2,IF($M365&gt;=IFERROR(INDEX('TaxCred&amp;Subs'!$L$12:$L$47,MATCH(1,($C365&amp;$D365='TaxCred&amp;Subs'!$E$12:$E$47)*($F365='TaxCred&amp;Subs'!$C$12:$C$47),0)
),9999),IFERROR(INDEX('TaxCred&amp;Subs'!$N$12:$N$47,MATCH(1,($C365&amp;$D365='TaxCred&amp;Subs'!$E$12:$E$47)*($F365='TaxCred&amp;Subs'!$C$12:$C$47),0)
),0),0),(IF($M365&gt;=IFERROR(INDEX('TaxCred&amp;Subs'!$H$12:$H$47,MATCH(1,($C365&amp;$D365='TaxCred&amp;Subs'!$D$12:$D$47)*($F365='TaxCred&amp;Subs'!$C$12:$C$47),0)
),9999),IFERROR(INDEX('TaxCred&amp;Subs'!$N$12:$N$47,MATCH(1,($C365&amp;$D365='TaxCred&amp;Subs'!$D$12:$D$47)*($F365='TaxCred&amp;Subs'!$C$12:$C$47),0)
),0),0)))),0)+IF(AND($C365=2,VALUE(RIGHT($AD365,1))&gt;2),(N365-R365)*(IFERROR(INDEX('TaxCred&amp;Subs'!$J$66:$J$99,MATCH(1,($C365&amp;$D365='TaxCred&amp;Subs'!$E$66:$E$99)*($F365='TaxCred&amp;Subs'!$C$66:$C$99),0)),0)),IF(AND($C365=1,VALUE(RIGHT($AD365,1))&gt;2),(N365-R365)*(IFERROR(INDEX('TaxCred&amp;Subs'!$J$66:$J$99,MATCH(1,($C365&amp;$D365='TaxCred&amp;Subs'!$D$66:$D$99)*($F365='TaxCred&amp;Subs'!$C$66:$C$99),0)),0)),IF($C365&gt;2,(N365-R365)*(IFERROR(INDEX('TaxCred&amp;Subs'!$J$66:$J$99,MATCH(1,($C365&amp;$D365='TaxCred&amp;Subs'!$D$66:$D$99)*($F365='TaxCred&amp;Subs'!$C$66:$C$99),0)),0)),0))),0)</f>
        <v>0</v>
      </c>
      <c r="Q365" s="95">
        <f t="array" ref="Q365">ROUND(IF(AND($C365=2,VALUE(RIGHT($AD365,1))&gt;2),(O365-S365)*(IFERROR(INDEX('TaxCred&amp;Subs'!$J$66:$J$99,MATCH(1,($C365&amp;$D365='TaxCred&amp;Subs'!$E$66:$E$99)*($F365='TaxCred&amp;Subs'!$C$66:$C$99),0)),0)),IF(AND($C365=1,VALUE(RIGHT($AD365,1))&gt;2),(O365-S365)*(IFERROR(INDEX('TaxCred&amp;Subs'!$J$66:$J$99,MATCH(1,($C365&amp;$D365='TaxCred&amp;Subs'!$D$66:$D$99)*($F365='TaxCred&amp;Subs'!$C$66:$C$99),0)),0)),IF($C365&gt;2,(O365-S365)*(IFERROR(INDEX('TaxCred&amp;Subs'!$J$66:$J$99,MATCH(1,($C365&amp;$D365='TaxCred&amp;Subs'!$D$66:$D$99)*($F365='TaxCred&amp;Subs'!$C$66:$C$99),0)),0)),0))),0)</f>
        <v>0</v>
      </c>
      <c r="R365" s="95">
        <f t="array" ref="R365">ROUND(IF(IFERROR(VALUE(RIGHT($AD365,1)),0)&gt;2,IF($C365=8,N365*IFERROR(INDEX('TaxCred&amp;Subs'!$K$139:$S$151,MATCH($C365&amp;$D365&amp;LEFT($AD365,7),'TaxCred&amp;Subs'!$E$139:$E$151,0),MATCH($H365,'TaxCred&amp;Subs'!$K$137:$S$137,0)),0),IF($C365=2,N365*IFERROR(INDEX('TaxCred&amp;Subs'!$K$139:$S$151,MATCH($C365&amp;$D365,'TaxCred&amp;Subs'!$D$139:$D$151,0),MATCH($H365,'TaxCred&amp;Subs'!$K$137:$S$137,0)),0),N365*IFERROR(INDEX('TaxCred&amp;Subs'!$K$139:$S$151,MATCH($C365&amp;$D365,'TaxCred&amp;Subs'!$C$139:$C$151,0),MATCH($H365,'TaxCred&amp;Subs'!$K$137:$S$137,0)),0))),0),0)</f>
        <v>0</v>
      </c>
      <c r="S365" s="95">
        <f t="array" ref="S365">ROUND(IF(IFERROR(VALUE(RIGHT($AD365,1)),0)&gt;2,IF($C365=8,O365*IFERROR(INDEX('TaxCred&amp;Subs'!$K$139:$S$151,MATCH($C365&amp;$D365&amp;LEFT($AD365,7),'TaxCred&amp;Subs'!$E$139:$E$151,0),MATCH($H365,'TaxCred&amp;Subs'!$K$137:$S$137,0)),0),IF($C365=2,O365*IFERROR(INDEX('TaxCred&amp;Subs'!$K$139:$S$151,MATCH($C365&amp;$D365,'TaxCred&amp;Subs'!$D$139:$D$151,0),MATCH($H365,'TaxCred&amp;Subs'!$K$137:$S$137,0)),0),O365*IFERROR(INDEX('TaxCred&amp;Subs'!$K$139:$S$151,MATCH($C365&amp;$D365,'TaxCred&amp;Subs'!$C$139:$C$151,0),MATCH($H365,'TaxCred&amp;Subs'!$K$137:$S$137,0)),0))),0),0)</f>
        <v>0</v>
      </c>
      <c r="T365" s="95">
        <f t="shared" si="21"/>
        <v>0</v>
      </c>
      <c r="U365" s="95">
        <f t="shared" si="22"/>
        <v>0</v>
      </c>
      <c r="V365" s="28" t="s">
        <v>222</v>
      </c>
      <c r="W365" s="31">
        <v>2020</v>
      </c>
      <c r="X365" s="28">
        <v>1</v>
      </c>
      <c r="Y365" s="28">
        <v>0</v>
      </c>
      <c r="Z365" s="196">
        <v>-4.9780125479181817E-3</v>
      </c>
      <c r="AA365" s="196">
        <v>-7.6584808429510487E-2</v>
      </c>
      <c r="AB365" s="28">
        <v>0</v>
      </c>
      <c r="AC365" s="28">
        <v>0</v>
      </c>
      <c r="AD365" s="28" t="s">
        <v>348</v>
      </c>
    </row>
    <row r="366" spans="2:30" ht="14.25" customHeight="1" x14ac:dyDescent="0.2">
      <c r="B366" s="7">
        <f t="shared" si="23"/>
        <v>342</v>
      </c>
      <c r="C366" s="28">
        <v>2</v>
      </c>
      <c r="D366" s="28">
        <v>2</v>
      </c>
      <c r="E366" s="31">
        <v>5</v>
      </c>
      <c r="F366" s="96">
        <v>2030</v>
      </c>
      <c r="G366" s="28">
        <v>2050</v>
      </c>
      <c r="H366" s="28">
        <v>2</v>
      </c>
      <c r="I366" s="96">
        <v>40</v>
      </c>
      <c r="J366" s="28">
        <v>0</v>
      </c>
      <c r="K366" s="28">
        <v>0</v>
      </c>
      <c r="L366" s="28">
        <v>0</v>
      </c>
      <c r="M366" s="75">
        <v>4.2203985932004695</v>
      </c>
      <c r="N366" s="151">
        <v>5350</v>
      </c>
      <c r="O366" s="151">
        <v>2760</v>
      </c>
      <c r="P366" s="95">
        <f t="array" ref="P366">ROUND(IF($F366&lt;='TaxCred&amp;Subs'!$C$49,(IF($C366=2,IF($M366&gt;=IFERROR(INDEX('TaxCred&amp;Subs'!$L$12:$L$47,MATCH(1,($C366&amp;$D366='TaxCred&amp;Subs'!$E$12:$E$47)*($F366='TaxCred&amp;Subs'!$C$12:$C$47),0)
),9999),IFERROR(INDEX('TaxCred&amp;Subs'!$N$12:$N$47,MATCH(1,($C366&amp;$D366='TaxCred&amp;Subs'!$E$12:$E$47)*($F366='TaxCred&amp;Subs'!$C$12:$C$47),0)
),0),0),(IF($M366&gt;=IFERROR(INDEX('TaxCred&amp;Subs'!$H$12:$H$47,MATCH(1,($C366&amp;$D366='TaxCred&amp;Subs'!$D$12:$D$47)*($F366='TaxCred&amp;Subs'!$C$12:$C$47),0)
),9999),IFERROR(INDEX('TaxCred&amp;Subs'!$N$12:$N$47,MATCH(1,($C366&amp;$D366='TaxCred&amp;Subs'!$D$12:$D$47)*($F366='TaxCred&amp;Subs'!$C$12:$C$47),0)
),0),0)))),0)+IF(AND($C366=2,VALUE(RIGHT($AD366,1))&gt;2),(N366-R366)*(IFERROR(INDEX('TaxCred&amp;Subs'!$J$66:$J$99,MATCH(1,($C366&amp;$D366='TaxCred&amp;Subs'!$E$66:$E$99)*($F366='TaxCred&amp;Subs'!$C$66:$C$99),0)),0)),IF(AND($C366=1,VALUE(RIGHT($AD366,1))&gt;2),(N366-R366)*(IFERROR(INDEX('TaxCred&amp;Subs'!$J$66:$J$99,MATCH(1,($C366&amp;$D366='TaxCred&amp;Subs'!$D$66:$D$99)*($F366='TaxCred&amp;Subs'!$C$66:$C$99),0)),0)),IF($C366&gt;2,(N366-R366)*(IFERROR(INDEX('TaxCred&amp;Subs'!$J$66:$J$99,MATCH(1,($C366&amp;$D366='TaxCred&amp;Subs'!$D$66:$D$99)*($F366='TaxCred&amp;Subs'!$C$66:$C$99),0)),0)),0))),0)</f>
        <v>0</v>
      </c>
      <c r="Q366" s="95">
        <f t="array" ref="Q366">ROUND(IF(AND($C366=2,VALUE(RIGHT($AD366,1))&gt;2),(O366-S366)*(IFERROR(INDEX('TaxCred&amp;Subs'!$J$66:$J$99,MATCH(1,($C366&amp;$D366='TaxCred&amp;Subs'!$E$66:$E$99)*($F366='TaxCred&amp;Subs'!$C$66:$C$99),0)),0)),IF(AND($C366=1,VALUE(RIGHT($AD366,1))&gt;2),(O366-S366)*(IFERROR(INDEX('TaxCred&amp;Subs'!$J$66:$J$99,MATCH(1,($C366&amp;$D366='TaxCred&amp;Subs'!$D$66:$D$99)*($F366='TaxCred&amp;Subs'!$C$66:$C$99),0)),0)),IF($C366&gt;2,(O366-S366)*(IFERROR(INDEX('TaxCred&amp;Subs'!$J$66:$J$99,MATCH(1,($C366&amp;$D366='TaxCred&amp;Subs'!$D$66:$D$99)*($F366='TaxCred&amp;Subs'!$C$66:$C$99),0)),0)),0))),0)</f>
        <v>0</v>
      </c>
      <c r="R366" s="95">
        <f t="array" ref="R366">ROUND(IF(IFERROR(VALUE(RIGHT($AD366,1)),0)&gt;2,IF($C366=8,N366*IFERROR(INDEX('TaxCred&amp;Subs'!$K$139:$S$151,MATCH($C366&amp;$D366&amp;LEFT($AD366,7),'TaxCred&amp;Subs'!$E$139:$E$151,0),MATCH($H366,'TaxCred&amp;Subs'!$K$137:$S$137,0)),0),IF($C366=2,N366*IFERROR(INDEX('TaxCred&amp;Subs'!$K$139:$S$151,MATCH($C366&amp;$D366,'TaxCred&amp;Subs'!$D$139:$D$151,0),MATCH($H366,'TaxCred&amp;Subs'!$K$137:$S$137,0)),0),N366*IFERROR(INDEX('TaxCred&amp;Subs'!$K$139:$S$151,MATCH($C366&amp;$D366,'TaxCred&amp;Subs'!$C$139:$C$151,0),MATCH($H366,'TaxCred&amp;Subs'!$K$137:$S$137,0)),0))),0),0)</f>
        <v>0</v>
      </c>
      <c r="S366" s="95">
        <f t="array" ref="S366">ROUND(IF(IFERROR(VALUE(RIGHT($AD366,1)),0)&gt;2,IF($C366=8,O366*IFERROR(INDEX('TaxCred&amp;Subs'!$K$139:$S$151,MATCH($C366&amp;$D366&amp;LEFT($AD366,7),'TaxCred&amp;Subs'!$E$139:$E$151,0),MATCH($H366,'TaxCred&amp;Subs'!$K$137:$S$137,0)),0),IF($C366=2,O366*IFERROR(INDEX('TaxCred&amp;Subs'!$K$139:$S$151,MATCH($C366&amp;$D366,'TaxCred&amp;Subs'!$D$139:$D$151,0),MATCH($H366,'TaxCred&amp;Subs'!$K$137:$S$137,0)),0),O366*IFERROR(INDEX('TaxCred&amp;Subs'!$K$139:$S$151,MATCH($C366&amp;$D366,'TaxCred&amp;Subs'!$C$139:$C$151,0),MATCH($H366,'TaxCred&amp;Subs'!$K$137:$S$137,0)),0))),0),0)</f>
        <v>0</v>
      </c>
      <c r="T366" s="95">
        <f t="shared" si="21"/>
        <v>0</v>
      </c>
      <c r="U366" s="95">
        <f t="shared" si="22"/>
        <v>0</v>
      </c>
      <c r="V366" s="28" t="s">
        <v>222</v>
      </c>
      <c r="W366" s="31">
        <v>2020</v>
      </c>
      <c r="X366" s="28">
        <v>1</v>
      </c>
      <c r="Y366" s="28">
        <v>0</v>
      </c>
      <c r="Z366" s="196">
        <v>-4.9780125479181817E-3</v>
      </c>
      <c r="AA366" s="196">
        <v>-7.6584808429510487E-2</v>
      </c>
      <c r="AB366" s="28">
        <v>0</v>
      </c>
      <c r="AC366" s="28">
        <v>0</v>
      </c>
      <c r="AD366" s="28" t="s">
        <v>348</v>
      </c>
    </row>
    <row r="367" spans="2:30" ht="14.25" customHeight="1" x14ac:dyDescent="0.2">
      <c r="B367" s="7">
        <f t="shared" si="23"/>
        <v>343</v>
      </c>
      <c r="C367" s="28">
        <v>2</v>
      </c>
      <c r="D367" s="28">
        <v>2</v>
      </c>
      <c r="E367" s="31">
        <v>5</v>
      </c>
      <c r="F367" s="96">
        <v>2030</v>
      </c>
      <c r="G367" s="28">
        <v>2050</v>
      </c>
      <c r="H367" s="28">
        <v>3</v>
      </c>
      <c r="I367" s="96">
        <v>40</v>
      </c>
      <c r="J367" s="28">
        <v>0</v>
      </c>
      <c r="K367" s="28">
        <v>0</v>
      </c>
      <c r="L367" s="28">
        <v>0</v>
      </c>
      <c r="M367" s="75">
        <v>4.2203985932004695</v>
      </c>
      <c r="N367" s="151">
        <v>5350</v>
      </c>
      <c r="O367" s="151">
        <v>2760</v>
      </c>
      <c r="P367" s="95">
        <f t="array" ref="P367">ROUND(IF($F367&lt;='TaxCred&amp;Subs'!$C$49,(IF($C367=2,IF($M367&gt;=IFERROR(INDEX('TaxCred&amp;Subs'!$L$12:$L$47,MATCH(1,($C367&amp;$D367='TaxCred&amp;Subs'!$E$12:$E$47)*($F367='TaxCred&amp;Subs'!$C$12:$C$47),0)
),9999),IFERROR(INDEX('TaxCred&amp;Subs'!$N$12:$N$47,MATCH(1,($C367&amp;$D367='TaxCred&amp;Subs'!$E$12:$E$47)*($F367='TaxCred&amp;Subs'!$C$12:$C$47),0)
),0),0),(IF($M367&gt;=IFERROR(INDEX('TaxCred&amp;Subs'!$H$12:$H$47,MATCH(1,($C367&amp;$D367='TaxCred&amp;Subs'!$D$12:$D$47)*($F367='TaxCred&amp;Subs'!$C$12:$C$47),0)
),9999),IFERROR(INDEX('TaxCred&amp;Subs'!$N$12:$N$47,MATCH(1,($C367&amp;$D367='TaxCred&amp;Subs'!$D$12:$D$47)*($F367='TaxCred&amp;Subs'!$C$12:$C$47),0)
),0),0)))),0)+IF(AND($C367=2,VALUE(RIGHT($AD367,1))&gt;2),(N367-R367)*(IFERROR(INDEX('TaxCred&amp;Subs'!$J$66:$J$99,MATCH(1,($C367&amp;$D367='TaxCred&amp;Subs'!$E$66:$E$99)*($F367='TaxCred&amp;Subs'!$C$66:$C$99),0)),0)),IF(AND($C367=1,VALUE(RIGHT($AD367,1))&gt;2),(N367-R367)*(IFERROR(INDEX('TaxCred&amp;Subs'!$J$66:$J$99,MATCH(1,($C367&amp;$D367='TaxCred&amp;Subs'!$D$66:$D$99)*($F367='TaxCred&amp;Subs'!$C$66:$C$99),0)),0)),IF($C367&gt;2,(N367-R367)*(IFERROR(INDEX('TaxCred&amp;Subs'!$J$66:$J$99,MATCH(1,($C367&amp;$D367='TaxCred&amp;Subs'!$D$66:$D$99)*($F367='TaxCred&amp;Subs'!$C$66:$C$99),0)),0)),0))),0)</f>
        <v>0</v>
      </c>
      <c r="Q367" s="95">
        <f t="array" ref="Q367">ROUND(IF(AND($C367=2,VALUE(RIGHT($AD367,1))&gt;2),(O367-S367)*(IFERROR(INDEX('TaxCred&amp;Subs'!$J$66:$J$99,MATCH(1,($C367&amp;$D367='TaxCred&amp;Subs'!$E$66:$E$99)*($F367='TaxCred&amp;Subs'!$C$66:$C$99),0)),0)),IF(AND($C367=1,VALUE(RIGHT($AD367,1))&gt;2),(O367-S367)*(IFERROR(INDEX('TaxCred&amp;Subs'!$J$66:$J$99,MATCH(1,($C367&amp;$D367='TaxCred&amp;Subs'!$D$66:$D$99)*($F367='TaxCred&amp;Subs'!$C$66:$C$99),0)),0)),IF($C367&gt;2,(O367-S367)*(IFERROR(INDEX('TaxCred&amp;Subs'!$J$66:$J$99,MATCH(1,($C367&amp;$D367='TaxCred&amp;Subs'!$D$66:$D$99)*($F367='TaxCred&amp;Subs'!$C$66:$C$99),0)),0)),0))),0)</f>
        <v>0</v>
      </c>
      <c r="R367" s="95">
        <f t="array" ref="R367">ROUND(IF(IFERROR(VALUE(RIGHT($AD367,1)),0)&gt;2,IF($C367=8,N367*IFERROR(INDEX('TaxCred&amp;Subs'!$K$139:$S$151,MATCH($C367&amp;$D367&amp;LEFT($AD367,7),'TaxCred&amp;Subs'!$E$139:$E$151,0),MATCH($H367,'TaxCred&amp;Subs'!$K$137:$S$137,0)),0),IF($C367=2,N367*IFERROR(INDEX('TaxCred&amp;Subs'!$K$139:$S$151,MATCH($C367&amp;$D367,'TaxCred&amp;Subs'!$D$139:$D$151,0),MATCH($H367,'TaxCred&amp;Subs'!$K$137:$S$137,0)),0),N367*IFERROR(INDEX('TaxCred&amp;Subs'!$K$139:$S$151,MATCH($C367&amp;$D367,'TaxCred&amp;Subs'!$C$139:$C$151,0),MATCH($H367,'TaxCred&amp;Subs'!$K$137:$S$137,0)),0))),0),0)</f>
        <v>0</v>
      </c>
      <c r="S367" s="95">
        <f t="array" ref="S367">ROUND(IF(IFERROR(VALUE(RIGHT($AD367,1)),0)&gt;2,IF($C367=8,O367*IFERROR(INDEX('TaxCred&amp;Subs'!$K$139:$S$151,MATCH($C367&amp;$D367&amp;LEFT($AD367,7),'TaxCred&amp;Subs'!$E$139:$E$151,0),MATCH($H367,'TaxCred&amp;Subs'!$K$137:$S$137,0)),0),IF($C367=2,O367*IFERROR(INDEX('TaxCred&amp;Subs'!$K$139:$S$151,MATCH($C367&amp;$D367,'TaxCred&amp;Subs'!$D$139:$D$151,0),MATCH($H367,'TaxCred&amp;Subs'!$K$137:$S$137,0)),0),O367*IFERROR(INDEX('TaxCred&amp;Subs'!$K$139:$S$151,MATCH($C367&amp;$D367,'TaxCred&amp;Subs'!$C$139:$C$151,0),MATCH($H367,'TaxCred&amp;Subs'!$K$137:$S$137,0)),0))),0),0)</f>
        <v>0</v>
      </c>
      <c r="T367" s="95">
        <f t="shared" si="21"/>
        <v>0</v>
      </c>
      <c r="U367" s="95">
        <f t="shared" si="22"/>
        <v>0</v>
      </c>
      <c r="V367" s="28" t="s">
        <v>222</v>
      </c>
      <c r="W367" s="31">
        <v>2020</v>
      </c>
      <c r="X367" s="28">
        <v>1</v>
      </c>
      <c r="Y367" s="28">
        <v>0</v>
      </c>
      <c r="Z367" s="196">
        <v>-4.9780125479181817E-3</v>
      </c>
      <c r="AA367" s="196">
        <v>-7.6584808429510487E-2</v>
      </c>
      <c r="AB367" s="28">
        <v>0</v>
      </c>
      <c r="AC367" s="28">
        <v>0</v>
      </c>
      <c r="AD367" s="28" t="s">
        <v>348</v>
      </c>
    </row>
    <row r="368" spans="2:30" ht="14.25" customHeight="1" x14ac:dyDescent="0.2">
      <c r="B368" s="7">
        <f t="shared" si="23"/>
        <v>344</v>
      </c>
      <c r="C368" s="28">
        <v>2</v>
      </c>
      <c r="D368" s="28">
        <v>2</v>
      </c>
      <c r="E368" s="31">
        <v>5</v>
      </c>
      <c r="F368" s="96">
        <v>2030</v>
      </c>
      <c r="G368" s="28">
        <v>2050</v>
      </c>
      <c r="H368" s="28">
        <v>4</v>
      </c>
      <c r="I368" s="96">
        <v>40</v>
      </c>
      <c r="J368" s="28">
        <v>0</v>
      </c>
      <c r="K368" s="28">
        <v>0</v>
      </c>
      <c r="L368" s="28">
        <v>0</v>
      </c>
      <c r="M368" s="75">
        <v>4.2203985932004695</v>
      </c>
      <c r="N368" s="151">
        <v>5350</v>
      </c>
      <c r="O368" s="151">
        <v>2760</v>
      </c>
      <c r="P368" s="95">
        <f t="array" ref="P368">ROUND(IF($F368&lt;='TaxCred&amp;Subs'!$C$49,(IF($C368=2,IF($M368&gt;=IFERROR(INDEX('TaxCred&amp;Subs'!$L$12:$L$47,MATCH(1,($C368&amp;$D368='TaxCred&amp;Subs'!$E$12:$E$47)*($F368='TaxCred&amp;Subs'!$C$12:$C$47),0)
),9999),IFERROR(INDEX('TaxCred&amp;Subs'!$N$12:$N$47,MATCH(1,($C368&amp;$D368='TaxCred&amp;Subs'!$E$12:$E$47)*($F368='TaxCred&amp;Subs'!$C$12:$C$47),0)
),0),0),(IF($M368&gt;=IFERROR(INDEX('TaxCred&amp;Subs'!$H$12:$H$47,MATCH(1,($C368&amp;$D368='TaxCred&amp;Subs'!$D$12:$D$47)*($F368='TaxCred&amp;Subs'!$C$12:$C$47),0)
),9999),IFERROR(INDEX('TaxCred&amp;Subs'!$N$12:$N$47,MATCH(1,($C368&amp;$D368='TaxCred&amp;Subs'!$D$12:$D$47)*($F368='TaxCred&amp;Subs'!$C$12:$C$47),0)
),0),0)))),0)+IF(AND($C368=2,VALUE(RIGHT($AD368,1))&gt;2),(N368-R368)*(IFERROR(INDEX('TaxCred&amp;Subs'!$J$66:$J$99,MATCH(1,($C368&amp;$D368='TaxCred&amp;Subs'!$E$66:$E$99)*($F368='TaxCred&amp;Subs'!$C$66:$C$99),0)),0)),IF(AND($C368=1,VALUE(RIGHT($AD368,1))&gt;2),(N368-R368)*(IFERROR(INDEX('TaxCred&amp;Subs'!$J$66:$J$99,MATCH(1,($C368&amp;$D368='TaxCred&amp;Subs'!$D$66:$D$99)*($F368='TaxCred&amp;Subs'!$C$66:$C$99),0)),0)),IF($C368&gt;2,(N368-R368)*(IFERROR(INDEX('TaxCred&amp;Subs'!$J$66:$J$99,MATCH(1,($C368&amp;$D368='TaxCred&amp;Subs'!$D$66:$D$99)*($F368='TaxCred&amp;Subs'!$C$66:$C$99),0)),0)),0))),0)</f>
        <v>0</v>
      </c>
      <c r="Q368" s="95">
        <f t="array" ref="Q368">ROUND(IF(AND($C368=2,VALUE(RIGHT($AD368,1))&gt;2),(O368-S368)*(IFERROR(INDEX('TaxCred&amp;Subs'!$J$66:$J$99,MATCH(1,($C368&amp;$D368='TaxCred&amp;Subs'!$E$66:$E$99)*($F368='TaxCred&amp;Subs'!$C$66:$C$99),0)),0)),IF(AND($C368=1,VALUE(RIGHT($AD368,1))&gt;2),(O368-S368)*(IFERROR(INDEX('TaxCred&amp;Subs'!$J$66:$J$99,MATCH(1,($C368&amp;$D368='TaxCred&amp;Subs'!$D$66:$D$99)*($F368='TaxCred&amp;Subs'!$C$66:$C$99),0)),0)),IF($C368&gt;2,(O368-S368)*(IFERROR(INDEX('TaxCred&amp;Subs'!$J$66:$J$99,MATCH(1,($C368&amp;$D368='TaxCred&amp;Subs'!$D$66:$D$99)*($F368='TaxCred&amp;Subs'!$C$66:$C$99),0)),0)),0))),0)</f>
        <v>0</v>
      </c>
      <c r="R368" s="95">
        <f t="array" ref="R368">ROUND(IF(IFERROR(VALUE(RIGHT($AD368,1)),0)&gt;2,IF($C368=8,N368*IFERROR(INDEX('TaxCred&amp;Subs'!$K$139:$S$151,MATCH($C368&amp;$D368&amp;LEFT($AD368,7),'TaxCred&amp;Subs'!$E$139:$E$151,0),MATCH($H368,'TaxCred&amp;Subs'!$K$137:$S$137,0)),0),IF($C368=2,N368*IFERROR(INDEX('TaxCred&amp;Subs'!$K$139:$S$151,MATCH($C368&amp;$D368,'TaxCred&amp;Subs'!$D$139:$D$151,0),MATCH($H368,'TaxCred&amp;Subs'!$K$137:$S$137,0)),0),N368*IFERROR(INDEX('TaxCred&amp;Subs'!$K$139:$S$151,MATCH($C368&amp;$D368,'TaxCred&amp;Subs'!$C$139:$C$151,0),MATCH($H368,'TaxCred&amp;Subs'!$K$137:$S$137,0)),0))),0),0)</f>
        <v>0</v>
      </c>
      <c r="S368" s="95">
        <f t="array" ref="S368">ROUND(IF(IFERROR(VALUE(RIGHT($AD368,1)),0)&gt;2,IF($C368=8,O368*IFERROR(INDEX('TaxCred&amp;Subs'!$K$139:$S$151,MATCH($C368&amp;$D368&amp;LEFT($AD368,7),'TaxCred&amp;Subs'!$E$139:$E$151,0),MATCH($H368,'TaxCred&amp;Subs'!$K$137:$S$137,0)),0),IF($C368=2,O368*IFERROR(INDEX('TaxCred&amp;Subs'!$K$139:$S$151,MATCH($C368&amp;$D368,'TaxCred&amp;Subs'!$D$139:$D$151,0),MATCH($H368,'TaxCred&amp;Subs'!$K$137:$S$137,0)),0),O368*IFERROR(INDEX('TaxCred&amp;Subs'!$K$139:$S$151,MATCH($C368&amp;$D368,'TaxCred&amp;Subs'!$C$139:$C$151,0),MATCH($H368,'TaxCred&amp;Subs'!$K$137:$S$137,0)),0))),0),0)</f>
        <v>0</v>
      </c>
      <c r="T368" s="95">
        <f t="shared" si="21"/>
        <v>0</v>
      </c>
      <c r="U368" s="95">
        <f t="shared" si="22"/>
        <v>0</v>
      </c>
      <c r="V368" s="28" t="s">
        <v>222</v>
      </c>
      <c r="W368" s="31">
        <v>2020</v>
      </c>
      <c r="X368" s="28">
        <v>1</v>
      </c>
      <c r="Y368" s="28">
        <v>0</v>
      </c>
      <c r="Z368" s="196">
        <v>-4.9780125479181817E-3</v>
      </c>
      <c r="AA368" s="196">
        <v>-7.6584808429510487E-2</v>
      </c>
      <c r="AB368" s="28">
        <v>0</v>
      </c>
      <c r="AC368" s="28">
        <v>0</v>
      </c>
      <c r="AD368" s="28" t="s">
        <v>348</v>
      </c>
    </row>
    <row r="369" spans="2:30" ht="14.25" customHeight="1" x14ac:dyDescent="0.2">
      <c r="B369" s="7">
        <f t="shared" si="23"/>
        <v>345</v>
      </c>
      <c r="C369" s="28">
        <v>2</v>
      </c>
      <c r="D369" s="28">
        <v>2</v>
      </c>
      <c r="E369" s="31">
        <v>5</v>
      </c>
      <c r="F369" s="96">
        <v>2030</v>
      </c>
      <c r="G369" s="28">
        <v>2050</v>
      </c>
      <c r="H369" s="28">
        <v>5</v>
      </c>
      <c r="I369" s="96">
        <v>40</v>
      </c>
      <c r="J369" s="28">
        <v>0</v>
      </c>
      <c r="K369" s="28">
        <v>0</v>
      </c>
      <c r="L369" s="28">
        <v>0</v>
      </c>
      <c r="M369" s="75">
        <v>4.425556858147714</v>
      </c>
      <c r="N369" s="151">
        <v>5570</v>
      </c>
      <c r="O369" s="151">
        <v>3190</v>
      </c>
      <c r="P369" s="95">
        <f t="array" ref="P369">ROUND(IF($F369&lt;='TaxCred&amp;Subs'!$C$49,(IF($C369=2,IF($M369&gt;=IFERROR(INDEX('TaxCred&amp;Subs'!$L$12:$L$47,MATCH(1,($C369&amp;$D369='TaxCred&amp;Subs'!$E$12:$E$47)*($F369='TaxCred&amp;Subs'!$C$12:$C$47),0)
),9999),IFERROR(INDEX('TaxCred&amp;Subs'!$N$12:$N$47,MATCH(1,($C369&amp;$D369='TaxCred&amp;Subs'!$E$12:$E$47)*($F369='TaxCred&amp;Subs'!$C$12:$C$47),0)
),0),0),(IF($M369&gt;=IFERROR(INDEX('TaxCred&amp;Subs'!$H$12:$H$47,MATCH(1,($C369&amp;$D369='TaxCred&amp;Subs'!$D$12:$D$47)*($F369='TaxCred&amp;Subs'!$C$12:$C$47),0)
),9999),IFERROR(INDEX('TaxCred&amp;Subs'!$N$12:$N$47,MATCH(1,($C369&amp;$D369='TaxCred&amp;Subs'!$D$12:$D$47)*($F369='TaxCred&amp;Subs'!$C$12:$C$47),0)
),0),0)))),0)+IF(AND($C369=2,VALUE(RIGHT($AD369,1))&gt;2),(N369-R369)*(IFERROR(INDEX('TaxCred&amp;Subs'!$J$66:$J$99,MATCH(1,($C369&amp;$D369='TaxCred&amp;Subs'!$E$66:$E$99)*($F369='TaxCred&amp;Subs'!$C$66:$C$99),0)),0)),IF(AND($C369=1,VALUE(RIGHT($AD369,1))&gt;2),(N369-R369)*(IFERROR(INDEX('TaxCred&amp;Subs'!$J$66:$J$99,MATCH(1,($C369&amp;$D369='TaxCred&amp;Subs'!$D$66:$D$99)*($F369='TaxCred&amp;Subs'!$C$66:$C$99),0)),0)),IF($C369&gt;2,(N369-R369)*(IFERROR(INDEX('TaxCred&amp;Subs'!$J$66:$J$99,MATCH(1,($C369&amp;$D369='TaxCred&amp;Subs'!$D$66:$D$99)*($F369='TaxCred&amp;Subs'!$C$66:$C$99),0)),0)),0))),0)</f>
        <v>0</v>
      </c>
      <c r="Q369" s="95">
        <f t="array" ref="Q369">ROUND(IF(AND($C369=2,VALUE(RIGHT($AD369,1))&gt;2),(O369-S369)*(IFERROR(INDEX('TaxCred&amp;Subs'!$J$66:$J$99,MATCH(1,($C369&amp;$D369='TaxCred&amp;Subs'!$E$66:$E$99)*($F369='TaxCred&amp;Subs'!$C$66:$C$99),0)),0)),IF(AND($C369=1,VALUE(RIGHT($AD369,1))&gt;2),(O369-S369)*(IFERROR(INDEX('TaxCred&amp;Subs'!$J$66:$J$99,MATCH(1,($C369&amp;$D369='TaxCred&amp;Subs'!$D$66:$D$99)*($F369='TaxCred&amp;Subs'!$C$66:$C$99),0)),0)),IF($C369&gt;2,(O369-S369)*(IFERROR(INDEX('TaxCred&amp;Subs'!$J$66:$J$99,MATCH(1,($C369&amp;$D369='TaxCred&amp;Subs'!$D$66:$D$99)*($F369='TaxCred&amp;Subs'!$C$66:$C$99),0)),0)),0))),0)</f>
        <v>0</v>
      </c>
      <c r="R369" s="95">
        <f t="array" ref="R369">ROUND(IF(IFERROR(VALUE(RIGHT($AD369,1)),0)&gt;2,IF($C369=8,N369*IFERROR(INDEX('TaxCred&amp;Subs'!$K$139:$S$151,MATCH($C369&amp;$D369&amp;LEFT($AD369,7),'TaxCred&amp;Subs'!$E$139:$E$151,0),MATCH($H369,'TaxCred&amp;Subs'!$K$137:$S$137,0)),0),IF($C369=2,N369*IFERROR(INDEX('TaxCred&amp;Subs'!$K$139:$S$151,MATCH($C369&amp;$D369,'TaxCred&amp;Subs'!$D$139:$D$151,0),MATCH($H369,'TaxCred&amp;Subs'!$K$137:$S$137,0)),0),N369*IFERROR(INDEX('TaxCred&amp;Subs'!$K$139:$S$151,MATCH($C369&amp;$D369,'TaxCred&amp;Subs'!$C$139:$C$151,0),MATCH($H369,'TaxCred&amp;Subs'!$K$137:$S$137,0)),0))),0),0)</f>
        <v>0</v>
      </c>
      <c r="S369" s="95">
        <f t="array" ref="S369">ROUND(IF(IFERROR(VALUE(RIGHT($AD369,1)),0)&gt;2,IF($C369=8,O369*IFERROR(INDEX('TaxCred&amp;Subs'!$K$139:$S$151,MATCH($C369&amp;$D369&amp;LEFT($AD369,7),'TaxCred&amp;Subs'!$E$139:$E$151,0),MATCH($H369,'TaxCred&amp;Subs'!$K$137:$S$137,0)),0),IF($C369=2,O369*IFERROR(INDEX('TaxCred&amp;Subs'!$K$139:$S$151,MATCH($C369&amp;$D369,'TaxCred&amp;Subs'!$D$139:$D$151,0),MATCH($H369,'TaxCred&amp;Subs'!$K$137:$S$137,0)),0),O369*IFERROR(INDEX('TaxCred&amp;Subs'!$K$139:$S$151,MATCH($C369&amp;$D369,'TaxCred&amp;Subs'!$C$139:$C$151,0),MATCH($H369,'TaxCred&amp;Subs'!$K$137:$S$137,0)),0))),0),0)</f>
        <v>0</v>
      </c>
      <c r="T369" s="95">
        <f t="shared" si="21"/>
        <v>0</v>
      </c>
      <c r="U369" s="95">
        <f t="shared" si="22"/>
        <v>0</v>
      </c>
      <c r="V369" s="28" t="s">
        <v>222</v>
      </c>
      <c r="W369" s="31">
        <v>2020</v>
      </c>
      <c r="X369" s="28">
        <v>1</v>
      </c>
      <c r="Y369" s="28">
        <v>0</v>
      </c>
      <c r="Z369" s="196">
        <v>-4.9780125479181817E-3</v>
      </c>
      <c r="AA369" s="196">
        <v>-7.6584808429510487E-2</v>
      </c>
      <c r="AB369" s="28">
        <v>0</v>
      </c>
      <c r="AC369" s="28">
        <v>0</v>
      </c>
      <c r="AD369" s="28" t="s">
        <v>348</v>
      </c>
    </row>
    <row r="370" spans="2:30" ht="14.25" customHeight="1" x14ac:dyDescent="0.2">
      <c r="B370" s="7">
        <f t="shared" si="23"/>
        <v>346</v>
      </c>
      <c r="C370" s="28">
        <v>2</v>
      </c>
      <c r="D370" s="28">
        <v>2</v>
      </c>
      <c r="E370" s="31">
        <v>5</v>
      </c>
      <c r="F370" s="96">
        <v>2030</v>
      </c>
      <c r="G370" s="28">
        <v>2050</v>
      </c>
      <c r="H370" s="28">
        <v>6</v>
      </c>
      <c r="I370" s="96">
        <v>40</v>
      </c>
      <c r="J370" s="28">
        <v>0</v>
      </c>
      <c r="K370" s="28">
        <v>0</v>
      </c>
      <c r="L370" s="28">
        <v>0</v>
      </c>
      <c r="M370" s="75">
        <v>4.425556858147714</v>
      </c>
      <c r="N370" s="151">
        <v>5570</v>
      </c>
      <c r="O370" s="151">
        <v>3190</v>
      </c>
      <c r="P370" s="95">
        <f t="array" ref="P370">ROUND(IF($F370&lt;='TaxCred&amp;Subs'!$C$49,(IF($C370=2,IF($M370&gt;=IFERROR(INDEX('TaxCred&amp;Subs'!$L$12:$L$47,MATCH(1,($C370&amp;$D370='TaxCred&amp;Subs'!$E$12:$E$47)*($F370='TaxCred&amp;Subs'!$C$12:$C$47),0)
),9999),IFERROR(INDEX('TaxCred&amp;Subs'!$N$12:$N$47,MATCH(1,($C370&amp;$D370='TaxCred&amp;Subs'!$E$12:$E$47)*($F370='TaxCred&amp;Subs'!$C$12:$C$47),0)
),0),0),(IF($M370&gt;=IFERROR(INDEX('TaxCred&amp;Subs'!$H$12:$H$47,MATCH(1,($C370&amp;$D370='TaxCred&amp;Subs'!$D$12:$D$47)*($F370='TaxCred&amp;Subs'!$C$12:$C$47),0)
),9999),IFERROR(INDEX('TaxCred&amp;Subs'!$N$12:$N$47,MATCH(1,($C370&amp;$D370='TaxCred&amp;Subs'!$D$12:$D$47)*($F370='TaxCred&amp;Subs'!$C$12:$C$47),0)
),0),0)))),0)+IF(AND($C370=2,VALUE(RIGHT($AD370,1))&gt;2),(N370-R370)*(IFERROR(INDEX('TaxCred&amp;Subs'!$J$66:$J$99,MATCH(1,($C370&amp;$D370='TaxCred&amp;Subs'!$E$66:$E$99)*($F370='TaxCred&amp;Subs'!$C$66:$C$99),0)),0)),IF(AND($C370=1,VALUE(RIGHT($AD370,1))&gt;2),(N370-R370)*(IFERROR(INDEX('TaxCred&amp;Subs'!$J$66:$J$99,MATCH(1,($C370&amp;$D370='TaxCred&amp;Subs'!$D$66:$D$99)*($F370='TaxCred&amp;Subs'!$C$66:$C$99),0)),0)),IF($C370&gt;2,(N370-R370)*(IFERROR(INDEX('TaxCred&amp;Subs'!$J$66:$J$99,MATCH(1,($C370&amp;$D370='TaxCred&amp;Subs'!$D$66:$D$99)*($F370='TaxCred&amp;Subs'!$C$66:$C$99),0)),0)),0))),0)</f>
        <v>0</v>
      </c>
      <c r="Q370" s="95">
        <f t="array" ref="Q370">ROUND(IF(AND($C370=2,VALUE(RIGHT($AD370,1))&gt;2),(O370-S370)*(IFERROR(INDEX('TaxCred&amp;Subs'!$J$66:$J$99,MATCH(1,($C370&amp;$D370='TaxCred&amp;Subs'!$E$66:$E$99)*($F370='TaxCred&amp;Subs'!$C$66:$C$99),0)),0)),IF(AND($C370=1,VALUE(RIGHT($AD370,1))&gt;2),(O370-S370)*(IFERROR(INDEX('TaxCred&amp;Subs'!$J$66:$J$99,MATCH(1,($C370&amp;$D370='TaxCred&amp;Subs'!$D$66:$D$99)*($F370='TaxCred&amp;Subs'!$C$66:$C$99),0)),0)),IF($C370&gt;2,(O370-S370)*(IFERROR(INDEX('TaxCred&amp;Subs'!$J$66:$J$99,MATCH(1,($C370&amp;$D370='TaxCred&amp;Subs'!$D$66:$D$99)*($F370='TaxCred&amp;Subs'!$C$66:$C$99),0)),0)),0))),0)</f>
        <v>0</v>
      </c>
      <c r="R370" s="95">
        <f t="array" ref="R370">ROUND(IF(IFERROR(VALUE(RIGHT($AD370,1)),0)&gt;2,IF($C370=8,N370*IFERROR(INDEX('TaxCred&amp;Subs'!$K$139:$S$151,MATCH($C370&amp;$D370&amp;LEFT($AD370,7),'TaxCred&amp;Subs'!$E$139:$E$151,0),MATCH($H370,'TaxCred&amp;Subs'!$K$137:$S$137,0)),0),IF($C370=2,N370*IFERROR(INDEX('TaxCred&amp;Subs'!$K$139:$S$151,MATCH($C370&amp;$D370,'TaxCred&amp;Subs'!$D$139:$D$151,0),MATCH($H370,'TaxCred&amp;Subs'!$K$137:$S$137,0)),0),N370*IFERROR(INDEX('TaxCred&amp;Subs'!$K$139:$S$151,MATCH($C370&amp;$D370,'TaxCred&amp;Subs'!$C$139:$C$151,0),MATCH($H370,'TaxCred&amp;Subs'!$K$137:$S$137,0)),0))),0),0)</f>
        <v>0</v>
      </c>
      <c r="S370" s="95">
        <f t="array" ref="S370">ROUND(IF(IFERROR(VALUE(RIGHT($AD370,1)),0)&gt;2,IF($C370=8,O370*IFERROR(INDEX('TaxCred&amp;Subs'!$K$139:$S$151,MATCH($C370&amp;$D370&amp;LEFT($AD370,7),'TaxCred&amp;Subs'!$E$139:$E$151,0),MATCH($H370,'TaxCred&amp;Subs'!$K$137:$S$137,0)),0),IF($C370=2,O370*IFERROR(INDEX('TaxCred&amp;Subs'!$K$139:$S$151,MATCH($C370&amp;$D370,'TaxCred&amp;Subs'!$D$139:$D$151,0),MATCH($H370,'TaxCred&amp;Subs'!$K$137:$S$137,0)),0),O370*IFERROR(INDEX('TaxCred&amp;Subs'!$K$139:$S$151,MATCH($C370&amp;$D370,'TaxCred&amp;Subs'!$C$139:$C$151,0),MATCH($H370,'TaxCred&amp;Subs'!$K$137:$S$137,0)),0))),0),0)</f>
        <v>0</v>
      </c>
      <c r="T370" s="95">
        <f t="shared" si="21"/>
        <v>0</v>
      </c>
      <c r="U370" s="95">
        <f t="shared" si="22"/>
        <v>0</v>
      </c>
      <c r="V370" s="28" t="s">
        <v>222</v>
      </c>
      <c r="W370" s="31">
        <v>2020</v>
      </c>
      <c r="X370" s="28">
        <v>1</v>
      </c>
      <c r="Y370" s="28">
        <v>0</v>
      </c>
      <c r="Z370" s="196">
        <v>-4.9780125479181817E-3</v>
      </c>
      <c r="AA370" s="196">
        <v>-7.6584808429510487E-2</v>
      </c>
      <c r="AB370" s="28">
        <v>0</v>
      </c>
      <c r="AC370" s="28">
        <v>0</v>
      </c>
      <c r="AD370" s="28" t="s">
        <v>348</v>
      </c>
    </row>
    <row r="371" spans="2:30" ht="14.25" customHeight="1" x14ac:dyDescent="0.2">
      <c r="B371" s="7">
        <f t="shared" si="23"/>
        <v>347</v>
      </c>
      <c r="C371" s="28">
        <v>2</v>
      </c>
      <c r="D371" s="28">
        <v>2</v>
      </c>
      <c r="E371" s="31">
        <v>5</v>
      </c>
      <c r="F371" s="96">
        <v>2030</v>
      </c>
      <c r="G371" s="28">
        <v>2050</v>
      </c>
      <c r="H371" s="28">
        <v>7</v>
      </c>
      <c r="I371" s="96">
        <v>40</v>
      </c>
      <c r="J371" s="28">
        <v>0</v>
      </c>
      <c r="K371" s="28">
        <v>0</v>
      </c>
      <c r="L371" s="28">
        <v>0</v>
      </c>
      <c r="M371" s="75">
        <v>4.425556858147714</v>
      </c>
      <c r="N371" s="151">
        <v>5570</v>
      </c>
      <c r="O371" s="151">
        <v>3190</v>
      </c>
      <c r="P371" s="95">
        <f t="array" ref="P371">ROUND(IF($F371&lt;='TaxCred&amp;Subs'!$C$49,(IF($C371=2,IF($M371&gt;=IFERROR(INDEX('TaxCred&amp;Subs'!$L$12:$L$47,MATCH(1,($C371&amp;$D371='TaxCred&amp;Subs'!$E$12:$E$47)*($F371='TaxCred&amp;Subs'!$C$12:$C$47),0)
),9999),IFERROR(INDEX('TaxCred&amp;Subs'!$N$12:$N$47,MATCH(1,($C371&amp;$D371='TaxCred&amp;Subs'!$E$12:$E$47)*($F371='TaxCred&amp;Subs'!$C$12:$C$47),0)
),0),0),(IF($M371&gt;=IFERROR(INDEX('TaxCred&amp;Subs'!$H$12:$H$47,MATCH(1,($C371&amp;$D371='TaxCred&amp;Subs'!$D$12:$D$47)*($F371='TaxCred&amp;Subs'!$C$12:$C$47),0)
),9999),IFERROR(INDEX('TaxCred&amp;Subs'!$N$12:$N$47,MATCH(1,($C371&amp;$D371='TaxCred&amp;Subs'!$D$12:$D$47)*($F371='TaxCred&amp;Subs'!$C$12:$C$47),0)
),0),0)))),0)+IF(AND($C371=2,VALUE(RIGHT($AD371,1))&gt;2),(N371-R371)*(IFERROR(INDEX('TaxCred&amp;Subs'!$J$66:$J$99,MATCH(1,($C371&amp;$D371='TaxCred&amp;Subs'!$E$66:$E$99)*($F371='TaxCred&amp;Subs'!$C$66:$C$99),0)),0)),IF(AND($C371=1,VALUE(RIGHT($AD371,1))&gt;2),(N371-R371)*(IFERROR(INDEX('TaxCred&amp;Subs'!$J$66:$J$99,MATCH(1,($C371&amp;$D371='TaxCred&amp;Subs'!$D$66:$D$99)*($F371='TaxCred&amp;Subs'!$C$66:$C$99),0)),0)),IF($C371&gt;2,(N371-R371)*(IFERROR(INDEX('TaxCred&amp;Subs'!$J$66:$J$99,MATCH(1,($C371&amp;$D371='TaxCred&amp;Subs'!$D$66:$D$99)*($F371='TaxCred&amp;Subs'!$C$66:$C$99),0)),0)),0))),0)</f>
        <v>0</v>
      </c>
      <c r="Q371" s="95">
        <f t="array" ref="Q371">ROUND(IF(AND($C371=2,VALUE(RIGHT($AD371,1))&gt;2),(O371-S371)*(IFERROR(INDEX('TaxCred&amp;Subs'!$J$66:$J$99,MATCH(1,($C371&amp;$D371='TaxCred&amp;Subs'!$E$66:$E$99)*($F371='TaxCred&amp;Subs'!$C$66:$C$99),0)),0)),IF(AND($C371=1,VALUE(RIGHT($AD371,1))&gt;2),(O371-S371)*(IFERROR(INDEX('TaxCred&amp;Subs'!$J$66:$J$99,MATCH(1,($C371&amp;$D371='TaxCred&amp;Subs'!$D$66:$D$99)*($F371='TaxCred&amp;Subs'!$C$66:$C$99),0)),0)),IF($C371&gt;2,(O371-S371)*(IFERROR(INDEX('TaxCred&amp;Subs'!$J$66:$J$99,MATCH(1,($C371&amp;$D371='TaxCred&amp;Subs'!$D$66:$D$99)*($F371='TaxCred&amp;Subs'!$C$66:$C$99),0)),0)),0))),0)</f>
        <v>0</v>
      </c>
      <c r="R371" s="95">
        <f t="array" ref="R371">ROUND(IF(IFERROR(VALUE(RIGHT($AD371,1)),0)&gt;2,IF($C371=8,N371*IFERROR(INDEX('TaxCred&amp;Subs'!$K$139:$S$151,MATCH($C371&amp;$D371&amp;LEFT($AD371,7),'TaxCred&amp;Subs'!$E$139:$E$151,0),MATCH($H371,'TaxCred&amp;Subs'!$K$137:$S$137,0)),0),IF($C371=2,N371*IFERROR(INDEX('TaxCred&amp;Subs'!$K$139:$S$151,MATCH($C371&amp;$D371,'TaxCred&amp;Subs'!$D$139:$D$151,0),MATCH($H371,'TaxCred&amp;Subs'!$K$137:$S$137,0)),0),N371*IFERROR(INDEX('TaxCred&amp;Subs'!$K$139:$S$151,MATCH($C371&amp;$D371,'TaxCred&amp;Subs'!$C$139:$C$151,0),MATCH($H371,'TaxCred&amp;Subs'!$K$137:$S$137,0)),0))),0),0)</f>
        <v>0</v>
      </c>
      <c r="S371" s="95">
        <f t="array" ref="S371">ROUND(IF(IFERROR(VALUE(RIGHT($AD371,1)),0)&gt;2,IF($C371=8,O371*IFERROR(INDEX('TaxCred&amp;Subs'!$K$139:$S$151,MATCH($C371&amp;$D371&amp;LEFT($AD371,7),'TaxCred&amp;Subs'!$E$139:$E$151,0),MATCH($H371,'TaxCred&amp;Subs'!$K$137:$S$137,0)),0),IF($C371=2,O371*IFERROR(INDEX('TaxCred&amp;Subs'!$K$139:$S$151,MATCH($C371&amp;$D371,'TaxCred&amp;Subs'!$D$139:$D$151,0),MATCH($H371,'TaxCred&amp;Subs'!$K$137:$S$137,0)),0),O371*IFERROR(INDEX('TaxCred&amp;Subs'!$K$139:$S$151,MATCH($C371&amp;$D371,'TaxCred&amp;Subs'!$C$139:$C$151,0),MATCH($H371,'TaxCred&amp;Subs'!$K$137:$S$137,0)),0))),0),0)</f>
        <v>0</v>
      </c>
      <c r="T371" s="95">
        <f t="shared" si="21"/>
        <v>0</v>
      </c>
      <c r="U371" s="95">
        <f t="shared" si="22"/>
        <v>0</v>
      </c>
      <c r="V371" s="28" t="s">
        <v>222</v>
      </c>
      <c r="W371" s="31">
        <v>2020</v>
      </c>
      <c r="X371" s="28">
        <v>1</v>
      </c>
      <c r="Y371" s="28">
        <v>0</v>
      </c>
      <c r="Z371" s="196">
        <v>-4.9780125479181817E-3</v>
      </c>
      <c r="AA371" s="196">
        <v>-7.6584808429510487E-2</v>
      </c>
      <c r="AB371" s="28">
        <v>0</v>
      </c>
      <c r="AC371" s="28">
        <v>0</v>
      </c>
      <c r="AD371" s="28" t="s">
        <v>348</v>
      </c>
    </row>
    <row r="372" spans="2:30" ht="14.25" customHeight="1" x14ac:dyDescent="0.2">
      <c r="B372" s="7">
        <f t="shared" si="23"/>
        <v>348</v>
      </c>
      <c r="C372" s="28">
        <v>2</v>
      </c>
      <c r="D372" s="28">
        <v>2</v>
      </c>
      <c r="E372" s="31">
        <v>5</v>
      </c>
      <c r="F372" s="96">
        <v>2030</v>
      </c>
      <c r="G372" s="28">
        <v>2050</v>
      </c>
      <c r="H372" s="28">
        <v>8</v>
      </c>
      <c r="I372" s="96">
        <v>40</v>
      </c>
      <c r="J372" s="28">
        <v>0</v>
      </c>
      <c r="K372" s="28">
        <v>0</v>
      </c>
      <c r="L372" s="28">
        <v>0</v>
      </c>
      <c r="M372" s="75">
        <v>4.425556858147714</v>
      </c>
      <c r="N372" s="151">
        <v>5570</v>
      </c>
      <c r="O372" s="151">
        <v>3190</v>
      </c>
      <c r="P372" s="95">
        <f t="array" ref="P372">ROUND(IF($F372&lt;='TaxCred&amp;Subs'!$C$49,(IF($C372=2,IF($M372&gt;=IFERROR(INDEX('TaxCred&amp;Subs'!$L$12:$L$47,MATCH(1,($C372&amp;$D372='TaxCred&amp;Subs'!$E$12:$E$47)*($F372='TaxCred&amp;Subs'!$C$12:$C$47),0)
),9999),IFERROR(INDEX('TaxCred&amp;Subs'!$N$12:$N$47,MATCH(1,($C372&amp;$D372='TaxCred&amp;Subs'!$E$12:$E$47)*($F372='TaxCred&amp;Subs'!$C$12:$C$47),0)
),0),0),(IF($M372&gt;=IFERROR(INDEX('TaxCred&amp;Subs'!$H$12:$H$47,MATCH(1,($C372&amp;$D372='TaxCred&amp;Subs'!$D$12:$D$47)*($F372='TaxCred&amp;Subs'!$C$12:$C$47),0)
),9999),IFERROR(INDEX('TaxCred&amp;Subs'!$N$12:$N$47,MATCH(1,($C372&amp;$D372='TaxCred&amp;Subs'!$D$12:$D$47)*($F372='TaxCred&amp;Subs'!$C$12:$C$47),0)
),0),0)))),0)+IF(AND($C372=2,VALUE(RIGHT($AD372,1))&gt;2),(N372-R372)*(IFERROR(INDEX('TaxCred&amp;Subs'!$J$66:$J$99,MATCH(1,($C372&amp;$D372='TaxCred&amp;Subs'!$E$66:$E$99)*($F372='TaxCred&amp;Subs'!$C$66:$C$99),0)),0)),IF(AND($C372=1,VALUE(RIGHT($AD372,1))&gt;2),(N372-R372)*(IFERROR(INDEX('TaxCred&amp;Subs'!$J$66:$J$99,MATCH(1,($C372&amp;$D372='TaxCred&amp;Subs'!$D$66:$D$99)*($F372='TaxCred&amp;Subs'!$C$66:$C$99),0)),0)),IF($C372&gt;2,(N372-R372)*(IFERROR(INDEX('TaxCred&amp;Subs'!$J$66:$J$99,MATCH(1,($C372&amp;$D372='TaxCred&amp;Subs'!$D$66:$D$99)*($F372='TaxCred&amp;Subs'!$C$66:$C$99),0)),0)),0))),0)</f>
        <v>0</v>
      </c>
      <c r="Q372" s="95">
        <f t="array" ref="Q372">ROUND(IF(AND($C372=2,VALUE(RIGHT($AD372,1))&gt;2),(O372-S372)*(IFERROR(INDEX('TaxCred&amp;Subs'!$J$66:$J$99,MATCH(1,($C372&amp;$D372='TaxCred&amp;Subs'!$E$66:$E$99)*($F372='TaxCred&amp;Subs'!$C$66:$C$99),0)),0)),IF(AND($C372=1,VALUE(RIGHT($AD372,1))&gt;2),(O372-S372)*(IFERROR(INDEX('TaxCred&amp;Subs'!$J$66:$J$99,MATCH(1,($C372&amp;$D372='TaxCred&amp;Subs'!$D$66:$D$99)*($F372='TaxCred&amp;Subs'!$C$66:$C$99),0)),0)),IF($C372&gt;2,(O372-S372)*(IFERROR(INDEX('TaxCred&amp;Subs'!$J$66:$J$99,MATCH(1,($C372&amp;$D372='TaxCred&amp;Subs'!$D$66:$D$99)*($F372='TaxCred&amp;Subs'!$C$66:$C$99),0)),0)),0))),0)</f>
        <v>0</v>
      </c>
      <c r="R372" s="95">
        <f t="array" ref="R372">ROUND(IF(IFERROR(VALUE(RIGHT($AD372,1)),0)&gt;2,IF($C372=8,N372*IFERROR(INDEX('TaxCred&amp;Subs'!$K$139:$S$151,MATCH($C372&amp;$D372&amp;LEFT($AD372,7),'TaxCred&amp;Subs'!$E$139:$E$151,0),MATCH($H372,'TaxCred&amp;Subs'!$K$137:$S$137,0)),0),IF($C372=2,N372*IFERROR(INDEX('TaxCred&amp;Subs'!$K$139:$S$151,MATCH($C372&amp;$D372,'TaxCred&amp;Subs'!$D$139:$D$151,0),MATCH($H372,'TaxCred&amp;Subs'!$K$137:$S$137,0)),0),N372*IFERROR(INDEX('TaxCred&amp;Subs'!$K$139:$S$151,MATCH($C372&amp;$D372,'TaxCred&amp;Subs'!$C$139:$C$151,0),MATCH($H372,'TaxCred&amp;Subs'!$K$137:$S$137,0)),0))),0),0)</f>
        <v>0</v>
      </c>
      <c r="S372" s="95">
        <f t="array" ref="S372">ROUND(IF(IFERROR(VALUE(RIGHT($AD372,1)),0)&gt;2,IF($C372=8,O372*IFERROR(INDEX('TaxCred&amp;Subs'!$K$139:$S$151,MATCH($C372&amp;$D372&amp;LEFT($AD372,7),'TaxCred&amp;Subs'!$E$139:$E$151,0),MATCH($H372,'TaxCred&amp;Subs'!$K$137:$S$137,0)),0),IF($C372=2,O372*IFERROR(INDEX('TaxCred&amp;Subs'!$K$139:$S$151,MATCH($C372&amp;$D372,'TaxCred&amp;Subs'!$D$139:$D$151,0),MATCH($H372,'TaxCred&amp;Subs'!$K$137:$S$137,0)),0),O372*IFERROR(INDEX('TaxCred&amp;Subs'!$K$139:$S$151,MATCH($C372&amp;$D372,'TaxCred&amp;Subs'!$C$139:$C$151,0),MATCH($H372,'TaxCred&amp;Subs'!$K$137:$S$137,0)),0))),0),0)</f>
        <v>0</v>
      </c>
      <c r="T372" s="95">
        <f t="shared" si="21"/>
        <v>0</v>
      </c>
      <c r="U372" s="95">
        <f t="shared" si="22"/>
        <v>0</v>
      </c>
      <c r="V372" s="28" t="s">
        <v>222</v>
      </c>
      <c r="W372" s="31">
        <v>2020</v>
      </c>
      <c r="X372" s="28">
        <v>1</v>
      </c>
      <c r="Y372" s="28">
        <v>0</v>
      </c>
      <c r="Z372" s="196">
        <v>-4.9780125479181817E-3</v>
      </c>
      <c r="AA372" s="196">
        <v>-7.6584808429510487E-2</v>
      </c>
      <c r="AB372" s="28">
        <v>0</v>
      </c>
      <c r="AC372" s="28">
        <v>0</v>
      </c>
      <c r="AD372" s="28" t="s">
        <v>348</v>
      </c>
    </row>
    <row r="373" spans="2:30" ht="14.25" customHeight="1" x14ac:dyDescent="0.2">
      <c r="B373" s="7">
        <f t="shared" si="23"/>
        <v>349</v>
      </c>
      <c r="C373" s="28">
        <v>2</v>
      </c>
      <c r="D373" s="28">
        <v>2</v>
      </c>
      <c r="E373" s="31">
        <v>5</v>
      </c>
      <c r="F373" s="96">
        <v>2030</v>
      </c>
      <c r="G373" s="28">
        <v>2050</v>
      </c>
      <c r="H373" s="28">
        <v>9</v>
      </c>
      <c r="I373" s="96">
        <v>40</v>
      </c>
      <c r="J373" s="28">
        <v>0</v>
      </c>
      <c r="K373" s="28">
        <v>0</v>
      </c>
      <c r="L373" s="28">
        <v>0</v>
      </c>
      <c r="M373" s="75">
        <v>4.425556858147714</v>
      </c>
      <c r="N373" s="151">
        <v>5570</v>
      </c>
      <c r="O373" s="151">
        <v>3190</v>
      </c>
      <c r="P373" s="95">
        <f t="array" ref="P373">ROUND(IF($F373&lt;='TaxCred&amp;Subs'!$C$49,(IF($C373=2,IF($M373&gt;=IFERROR(INDEX('TaxCred&amp;Subs'!$L$12:$L$47,MATCH(1,($C373&amp;$D373='TaxCred&amp;Subs'!$E$12:$E$47)*($F373='TaxCred&amp;Subs'!$C$12:$C$47),0)
),9999),IFERROR(INDEX('TaxCred&amp;Subs'!$N$12:$N$47,MATCH(1,($C373&amp;$D373='TaxCred&amp;Subs'!$E$12:$E$47)*($F373='TaxCred&amp;Subs'!$C$12:$C$47),0)
),0),0),(IF($M373&gt;=IFERROR(INDEX('TaxCred&amp;Subs'!$H$12:$H$47,MATCH(1,($C373&amp;$D373='TaxCred&amp;Subs'!$D$12:$D$47)*($F373='TaxCred&amp;Subs'!$C$12:$C$47),0)
),9999),IFERROR(INDEX('TaxCred&amp;Subs'!$N$12:$N$47,MATCH(1,($C373&amp;$D373='TaxCred&amp;Subs'!$D$12:$D$47)*($F373='TaxCred&amp;Subs'!$C$12:$C$47),0)
),0),0)))),0)+IF(AND($C373=2,VALUE(RIGHT($AD373,1))&gt;2),(N373-R373)*(IFERROR(INDEX('TaxCred&amp;Subs'!$J$66:$J$99,MATCH(1,($C373&amp;$D373='TaxCred&amp;Subs'!$E$66:$E$99)*($F373='TaxCred&amp;Subs'!$C$66:$C$99),0)),0)),IF(AND($C373=1,VALUE(RIGHT($AD373,1))&gt;2),(N373-R373)*(IFERROR(INDEX('TaxCred&amp;Subs'!$J$66:$J$99,MATCH(1,($C373&amp;$D373='TaxCred&amp;Subs'!$D$66:$D$99)*($F373='TaxCred&amp;Subs'!$C$66:$C$99),0)),0)),IF($C373&gt;2,(N373-R373)*(IFERROR(INDEX('TaxCred&amp;Subs'!$J$66:$J$99,MATCH(1,($C373&amp;$D373='TaxCred&amp;Subs'!$D$66:$D$99)*($F373='TaxCred&amp;Subs'!$C$66:$C$99),0)),0)),0))),0)</f>
        <v>0</v>
      </c>
      <c r="Q373" s="95">
        <f t="array" ref="Q373">ROUND(IF(AND($C373=2,VALUE(RIGHT($AD373,1))&gt;2),(O373-S373)*(IFERROR(INDEX('TaxCred&amp;Subs'!$J$66:$J$99,MATCH(1,($C373&amp;$D373='TaxCred&amp;Subs'!$E$66:$E$99)*($F373='TaxCred&amp;Subs'!$C$66:$C$99),0)),0)),IF(AND($C373=1,VALUE(RIGHT($AD373,1))&gt;2),(O373-S373)*(IFERROR(INDEX('TaxCred&amp;Subs'!$J$66:$J$99,MATCH(1,($C373&amp;$D373='TaxCred&amp;Subs'!$D$66:$D$99)*($F373='TaxCred&amp;Subs'!$C$66:$C$99),0)),0)),IF($C373&gt;2,(O373-S373)*(IFERROR(INDEX('TaxCred&amp;Subs'!$J$66:$J$99,MATCH(1,($C373&amp;$D373='TaxCred&amp;Subs'!$D$66:$D$99)*($F373='TaxCred&amp;Subs'!$C$66:$C$99),0)),0)),0))),0)</f>
        <v>0</v>
      </c>
      <c r="R373" s="95">
        <f t="array" ref="R373">ROUND(IF(IFERROR(VALUE(RIGHT($AD373,1)),0)&gt;2,IF($C373=8,N373*IFERROR(INDEX('TaxCred&amp;Subs'!$K$139:$S$151,MATCH($C373&amp;$D373&amp;LEFT($AD373,7),'TaxCred&amp;Subs'!$E$139:$E$151,0),MATCH($H373,'TaxCred&amp;Subs'!$K$137:$S$137,0)),0),IF($C373=2,N373*IFERROR(INDEX('TaxCred&amp;Subs'!$K$139:$S$151,MATCH($C373&amp;$D373,'TaxCred&amp;Subs'!$D$139:$D$151,0),MATCH($H373,'TaxCred&amp;Subs'!$K$137:$S$137,0)),0),N373*IFERROR(INDEX('TaxCred&amp;Subs'!$K$139:$S$151,MATCH($C373&amp;$D373,'TaxCred&amp;Subs'!$C$139:$C$151,0),MATCH($H373,'TaxCred&amp;Subs'!$K$137:$S$137,0)),0))),0),0)</f>
        <v>0</v>
      </c>
      <c r="S373" s="95">
        <f t="array" ref="S373">ROUND(IF(IFERROR(VALUE(RIGHT($AD373,1)),0)&gt;2,IF($C373=8,O373*IFERROR(INDEX('TaxCred&amp;Subs'!$K$139:$S$151,MATCH($C373&amp;$D373&amp;LEFT($AD373,7),'TaxCred&amp;Subs'!$E$139:$E$151,0),MATCH($H373,'TaxCred&amp;Subs'!$K$137:$S$137,0)),0),IF($C373=2,O373*IFERROR(INDEX('TaxCred&amp;Subs'!$K$139:$S$151,MATCH($C373&amp;$D373,'TaxCred&amp;Subs'!$D$139:$D$151,0),MATCH($H373,'TaxCred&amp;Subs'!$K$137:$S$137,0)),0),O373*IFERROR(INDEX('TaxCred&amp;Subs'!$K$139:$S$151,MATCH($C373&amp;$D373,'TaxCred&amp;Subs'!$C$139:$C$151,0),MATCH($H373,'TaxCred&amp;Subs'!$K$137:$S$137,0)),0))),0),0)</f>
        <v>0</v>
      </c>
      <c r="T373" s="95">
        <f t="shared" si="21"/>
        <v>0</v>
      </c>
      <c r="U373" s="95">
        <f t="shared" si="22"/>
        <v>0</v>
      </c>
      <c r="V373" s="28" t="s">
        <v>222</v>
      </c>
      <c r="W373" s="31">
        <v>2020</v>
      </c>
      <c r="X373" s="28">
        <v>1</v>
      </c>
      <c r="Y373" s="28">
        <v>0</v>
      </c>
      <c r="Z373" s="196">
        <v>-4.9780125479181817E-3</v>
      </c>
      <c r="AA373" s="196">
        <v>-7.6584808429510487E-2</v>
      </c>
      <c r="AB373" s="28">
        <v>0</v>
      </c>
      <c r="AC373" s="28">
        <v>0</v>
      </c>
      <c r="AD373" s="28" t="s">
        <v>348</v>
      </c>
    </row>
    <row r="374" spans="2:30" ht="14.25" customHeight="1" x14ac:dyDescent="0.2">
      <c r="B374" s="7">
        <f t="shared" si="23"/>
        <v>350</v>
      </c>
      <c r="C374" s="28">
        <v>2</v>
      </c>
      <c r="D374" s="28">
        <v>2</v>
      </c>
      <c r="E374" s="31">
        <v>6</v>
      </c>
      <c r="F374" s="96">
        <v>2020</v>
      </c>
      <c r="G374" s="28">
        <v>2022</v>
      </c>
      <c r="H374" s="31">
        <v>11</v>
      </c>
      <c r="I374" s="96">
        <v>41</v>
      </c>
      <c r="J374" s="28">
        <v>0</v>
      </c>
      <c r="K374" s="28">
        <v>0</v>
      </c>
      <c r="L374" s="28">
        <v>0</v>
      </c>
      <c r="M374" s="75">
        <v>4.3962485345838216</v>
      </c>
      <c r="N374" s="151">
        <v>5520</v>
      </c>
      <c r="O374" s="151">
        <v>3110</v>
      </c>
      <c r="P374" s="95">
        <f t="array" ref="P374">ROUND(IF($F374&lt;='TaxCred&amp;Subs'!$C$49,(IF($C374=2,IF($M374&gt;=IFERROR(INDEX('TaxCred&amp;Subs'!$L$12:$L$47,MATCH(1,($C374&amp;$D374='TaxCred&amp;Subs'!$E$12:$E$47)*($F374='TaxCred&amp;Subs'!$C$12:$C$47),0)
),9999),IFERROR(INDEX('TaxCred&amp;Subs'!$N$12:$N$47,MATCH(1,($C374&amp;$D374='TaxCred&amp;Subs'!$E$12:$E$47)*($F374='TaxCred&amp;Subs'!$C$12:$C$47),0)
),0),0),(IF($M374&gt;=IFERROR(INDEX('TaxCred&amp;Subs'!$H$12:$H$47,MATCH(1,($C374&amp;$D374='TaxCred&amp;Subs'!$D$12:$D$47)*($F374='TaxCred&amp;Subs'!$C$12:$C$47),0)
),9999),IFERROR(INDEX('TaxCred&amp;Subs'!$N$12:$N$47,MATCH(1,($C374&amp;$D374='TaxCred&amp;Subs'!$D$12:$D$47)*($F374='TaxCred&amp;Subs'!$C$12:$C$47),0)
),0),0)))),0)+IF(AND($C374=2,VALUE(RIGHT($AD374,1))&gt;2),(N374-R374)*(IFERROR(INDEX('TaxCred&amp;Subs'!$J$66:$J$99,MATCH(1,($C374&amp;$D374='TaxCred&amp;Subs'!$E$66:$E$99)*($F374='TaxCred&amp;Subs'!$C$66:$C$99),0)),0)),IF(AND($C374=1,VALUE(RIGHT($AD374,1))&gt;2),(N374-R374)*(IFERROR(INDEX('TaxCred&amp;Subs'!$J$66:$J$99,MATCH(1,($C374&amp;$D374='TaxCred&amp;Subs'!$D$66:$D$99)*($F374='TaxCred&amp;Subs'!$C$66:$C$99),0)),0)),IF($C374&gt;2,(N374-R374)*(IFERROR(INDEX('TaxCred&amp;Subs'!$J$66:$J$99,MATCH(1,($C374&amp;$D374='TaxCred&amp;Subs'!$D$66:$D$99)*($F374='TaxCred&amp;Subs'!$C$66:$C$99),0)),0)),0))),0)</f>
        <v>0</v>
      </c>
      <c r="Q374" s="95">
        <f t="array" ref="Q374">ROUND(IF(AND($C374=2,VALUE(RIGHT($AD374,1))&gt;2),(O374-S374)*(IFERROR(INDEX('TaxCred&amp;Subs'!$J$66:$J$99,MATCH(1,($C374&amp;$D374='TaxCred&amp;Subs'!$E$66:$E$99)*($F374='TaxCred&amp;Subs'!$C$66:$C$99),0)),0)),IF(AND($C374=1,VALUE(RIGHT($AD374,1))&gt;2),(O374-S374)*(IFERROR(INDEX('TaxCred&amp;Subs'!$J$66:$J$99,MATCH(1,($C374&amp;$D374='TaxCred&amp;Subs'!$D$66:$D$99)*($F374='TaxCred&amp;Subs'!$C$66:$C$99),0)),0)),IF($C374&gt;2,(O374-S374)*(IFERROR(INDEX('TaxCred&amp;Subs'!$J$66:$J$99,MATCH(1,($C374&amp;$D374='TaxCred&amp;Subs'!$D$66:$D$99)*($F374='TaxCred&amp;Subs'!$C$66:$C$99),0)),0)),0))),0)</f>
        <v>0</v>
      </c>
      <c r="R374" s="95">
        <f t="array" ref="R374">ROUND(IF(IFERROR(VALUE(RIGHT($AD374,1)),0)&gt;2,IF($C374=8,N374*IFERROR(INDEX('TaxCred&amp;Subs'!$K$139:$S$151,MATCH($C374&amp;$D374&amp;LEFT($AD374,7),'TaxCred&amp;Subs'!$E$139:$E$151,0),MATCH($H374,'TaxCred&amp;Subs'!$K$137:$S$137,0)),0),IF($C374=2,N374*IFERROR(INDEX('TaxCred&amp;Subs'!$K$139:$S$151,MATCH($C374&amp;$D374,'TaxCred&amp;Subs'!$D$139:$D$151,0),MATCH($H374,'TaxCred&amp;Subs'!$K$137:$S$137,0)),0),N374*IFERROR(INDEX('TaxCred&amp;Subs'!$K$139:$S$151,MATCH($C374&amp;$D374,'TaxCred&amp;Subs'!$C$139:$C$151,0),MATCH($H374,'TaxCred&amp;Subs'!$K$137:$S$137,0)),0))),0),0)</f>
        <v>0</v>
      </c>
      <c r="S374" s="95">
        <f t="array" ref="S374">ROUND(IF(IFERROR(VALUE(RIGHT($AD374,1)),0)&gt;2,IF($C374=8,O374*IFERROR(INDEX('TaxCred&amp;Subs'!$K$139:$S$151,MATCH($C374&amp;$D374&amp;LEFT($AD374,7),'TaxCred&amp;Subs'!$E$139:$E$151,0),MATCH($H374,'TaxCred&amp;Subs'!$K$137:$S$137,0)),0),IF($C374=2,O374*IFERROR(INDEX('TaxCred&amp;Subs'!$K$139:$S$151,MATCH($C374&amp;$D374,'TaxCred&amp;Subs'!$D$139:$D$151,0),MATCH($H374,'TaxCred&amp;Subs'!$K$137:$S$137,0)),0),O374*IFERROR(INDEX('TaxCred&amp;Subs'!$K$139:$S$151,MATCH($C374&amp;$D374,'TaxCred&amp;Subs'!$C$139:$C$151,0),MATCH($H374,'TaxCred&amp;Subs'!$K$137:$S$137,0)),0))),0),0)</f>
        <v>0</v>
      </c>
      <c r="T374" s="95">
        <f t="shared" si="21"/>
        <v>0</v>
      </c>
      <c r="U374" s="95">
        <f t="shared" si="22"/>
        <v>0</v>
      </c>
      <c r="V374" s="28" t="s">
        <v>222</v>
      </c>
      <c r="W374" s="31">
        <v>2020</v>
      </c>
      <c r="X374" s="28">
        <v>1</v>
      </c>
      <c r="Y374" s="28">
        <v>0</v>
      </c>
      <c r="Z374" s="196">
        <v>-5.5122391377509595E-3</v>
      </c>
      <c r="AA374" s="196">
        <v>-8.4803679042322444E-2</v>
      </c>
      <c r="AB374" s="28">
        <v>0</v>
      </c>
      <c r="AC374" s="28">
        <v>0</v>
      </c>
      <c r="AD374" s="28" t="s">
        <v>349</v>
      </c>
    </row>
    <row r="375" spans="2:30" ht="14.25" customHeight="1" x14ac:dyDescent="0.2">
      <c r="B375" s="7">
        <f t="shared" si="23"/>
        <v>351</v>
      </c>
      <c r="C375" s="28">
        <v>2</v>
      </c>
      <c r="D375" s="28">
        <v>2</v>
      </c>
      <c r="E375" s="31">
        <v>6</v>
      </c>
      <c r="F375" s="78">
        <v>2023</v>
      </c>
      <c r="G375" s="28">
        <v>2032</v>
      </c>
      <c r="H375" s="31">
        <v>11</v>
      </c>
      <c r="I375" s="96">
        <v>41</v>
      </c>
      <c r="J375" s="28">
        <v>0</v>
      </c>
      <c r="K375" s="28">
        <v>0</v>
      </c>
      <c r="L375" s="28">
        <v>0</v>
      </c>
      <c r="M375" s="75">
        <v>4.6893317702227435</v>
      </c>
      <c r="N375" s="151">
        <v>5880</v>
      </c>
      <c r="O375" s="151">
        <v>3750</v>
      </c>
      <c r="P375" s="95">
        <f t="array" ref="P375">ROUND(IF($F375&lt;='TaxCred&amp;Subs'!$C$49,(IF($C375=2,IF($M375&gt;=IFERROR(INDEX('TaxCred&amp;Subs'!$L$12:$L$47,MATCH(1,($C375&amp;$D375='TaxCred&amp;Subs'!$E$12:$E$47)*($F375='TaxCred&amp;Subs'!$C$12:$C$47),0)
),9999),IFERROR(INDEX('TaxCred&amp;Subs'!$N$12:$N$47,MATCH(1,($C375&amp;$D375='TaxCred&amp;Subs'!$E$12:$E$47)*($F375='TaxCred&amp;Subs'!$C$12:$C$47),0)
),0),0),(IF($M375&gt;=IFERROR(INDEX('TaxCred&amp;Subs'!$H$12:$H$47,MATCH(1,($C375&amp;$D375='TaxCred&amp;Subs'!$D$12:$D$47)*($F375='TaxCred&amp;Subs'!$C$12:$C$47),0)
),9999),IFERROR(INDEX('TaxCred&amp;Subs'!$N$12:$N$47,MATCH(1,($C375&amp;$D375='TaxCred&amp;Subs'!$D$12:$D$47)*($F375='TaxCred&amp;Subs'!$C$12:$C$47),0)
),0),0)))),0)+IF(AND($C375=2,VALUE(RIGHT($AD375,1))&gt;2),(N375-R375)*(IFERROR(INDEX('TaxCred&amp;Subs'!$J$66:$J$99,MATCH(1,($C375&amp;$D375='TaxCred&amp;Subs'!$E$66:$E$99)*($F375='TaxCred&amp;Subs'!$C$66:$C$99),0)),0)),IF(AND($C375=1,VALUE(RIGHT($AD375,1))&gt;2),(N375-R375)*(IFERROR(INDEX('TaxCred&amp;Subs'!$J$66:$J$99,MATCH(1,($C375&amp;$D375='TaxCred&amp;Subs'!$D$66:$D$99)*($F375='TaxCred&amp;Subs'!$C$66:$C$99),0)),0)),IF($C375&gt;2,(N375-R375)*(IFERROR(INDEX('TaxCred&amp;Subs'!$J$66:$J$99,MATCH(1,($C375&amp;$D375='TaxCred&amp;Subs'!$D$66:$D$99)*($F375='TaxCred&amp;Subs'!$C$66:$C$99),0)),0)),0))),0)</f>
        <v>2000</v>
      </c>
      <c r="Q375" s="95">
        <f t="array" ref="Q375">ROUND(IF(AND($C375=2,VALUE(RIGHT($AD375,1))&gt;2),(O375-S375)*(IFERROR(INDEX('TaxCred&amp;Subs'!$J$66:$J$99,MATCH(1,($C375&amp;$D375='TaxCred&amp;Subs'!$E$66:$E$99)*($F375='TaxCred&amp;Subs'!$C$66:$C$99),0)),0)),IF(AND($C375=1,VALUE(RIGHT($AD375,1))&gt;2),(O375-S375)*(IFERROR(INDEX('TaxCred&amp;Subs'!$J$66:$J$99,MATCH(1,($C375&amp;$D375='TaxCred&amp;Subs'!$D$66:$D$99)*($F375='TaxCred&amp;Subs'!$C$66:$C$99),0)),0)),IF($C375&gt;2,(O375-S375)*(IFERROR(INDEX('TaxCred&amp;Subs'!$J$66:$J$99,MATCH(1,($C375&amp;$D375='TaxCred&amp;Subs'!$D$66:$D$99)*($F375='TaxCred&amp;Subs'!$C$66:$C$99),0)),0)),0))),0)</f>
        <v>0</v>
      </c>
      <c r="R375" s="95">
        <f t="array" ref="R375">ROUND(IF(IFERROR(VALUE(RIGHT($AD375,1)),0)&gt;2,IF($C375=8,N375*IFERROR(INDEX('TaxCred&amp;Subs'!$K$139:$S$151,MATCH($C375&amp;$D375&amp;LEFT($AD375,7),'TaxCred&amp;Subs'!$E$139:$E$151,0),MATCH($H375,'TaxCred&amp;Subs'!$K$137:$S$137,0)),0),IF($C375=2,N375*IFERROR(INDEX('TaxCred&amp;Subs'!$K$139:$S$151,MATCH($C375&amp;$D375,'TaxCred&amp;Subs'!$D$139:$D$151,0),MATCH($H375,'TaxCred&amp;Subs'!$K$137:$S$137,0)),0),N375*IFERROR(INDEX('TaxCred&amp;Subs'!$K$139:$S$151,MATCH($C375&amp;$D375,'TaxCred&amp;Subs'!$C$139:$C$151,0),MATCH($H375,'TaxCred&amp;Subs'!$K$137:$S$137,0)),0))),0),0)</f>
        <v>0</v>
      </c>
      <c r="S375" s="95">
        <f t="array" ref="S375">ROUND(IF(IFERROR(VALUE(RIGHT($AD375,1)),0)&gt;2,IF($C375=8,O375*IFERROR(INDEX('TaxCred&amp;Subs'!$K$139:$S$151,MATCH($C375&amp;$D375&amp;LEFT($AD375,7),'TaxCred&amp;Subs'!$E$139:$E$151,0),MATCH($H375,'TaxCred&amp;Subs'!$K$137:$S$137,0)),0),IF($C375=2,O375*IFERROR(INDEX('TaxCred&amp;Subs'!$K$139:$S$151,MATCH($C375&amp;$D375,'TaxCred&amp;Subs'!$D$139:$D$151,0),MATCH($H375,'TaxCred&amp;Subs'!$K$137:$S$137,0)),0),O375*IFERROR(INDEX('TaxCred&amp;Subs'!$K$139:$S$151,MATCH($C375&amp;$D375,'TaxCred&amp;Subs'!$C$139:$C$151,0),MATCH($H375,'TaxCred&amp;Subs'!$K$137:$S$137,0)),0))),0),0)</f>
        <v>0</v>
      </c>
      <c r="T375" s="95">
        <f t="shared" si="21"/>
        <v>0</v>
      </c>
      <c r="U375" s="95">
        <f t="shared" si="22"/>
        <v>0</v>
      </c>
      <c r="V375" s="28" t="s">
        <v>222</v>
      </c>
      <c r="W375" s="31">
        <v>2020</v>
      </c>
      <c r="X375" s="28">
        <v>1</v>
      </c>
      <c r="Y375" s="28">
        <v>0</v>
      </c>
      <c r="Z375" s="196">
        <v>-5.5122391377509595E-3</v>
      </c>
      <c r="AA375" s="196">
        <v>-8.4803679042322444E-2</v>
      </c>
      <c r="AB375" s="28">
        <v>0</v>
      </c>
      <c r="AC375" s="28">
        <v>0</v>
      </c>
      <c r="AD375" s="28" t="s">
        <v>349</v>
      </c>
    </row>
    <row r="376" spans="2:30" ht="14.25" customHeight="1" x14ac:dyDescent="0.2">
      <c r="B376" s="7">
        <f t="shared" si="23"/>
        <v>352</v>
      </c>
      <c r="C376" s="28">
        <v>2</v>
      </c>
      <c r="D376" s="28">
        <v>2</v>
      </c>
      <c r="E376" s="31">
        <v>6</v>
      </c>
      <c r="F376" s="78">
        <v>2033</v>
      </c>
      <c r="G376" s="28">
        <v>2050</v>
      </c>
      <c r="H376" s="31">
        <v>11</v>
      </c>
      <c r="I376" s="96">
        <v>41</v>
      </c>
      <c r="J376" s="28">
        <v>0</v>
      </c>
      <c r="K376" s="28">
        <v>0</v>
      </c>
      <c r="L376" s="28">
        <v>0</v>
      </c>
      <c r="M376" s="75">
        <v>4.6893317702227435</v>
      </c>
      <c r="N376" s="151">
        <v>5880</v>
      </c>
      <c r="O376" s="151">
        <v>3750</v>
      </c>
      <c r="P376" s="95">
        <f t="array" ref="P376">ROUND(IF($F376&lt;='TaxCred&amp;Subs'!$C$49,(IF($C376=2,IF($M376&gt;=IFERROR(INDEX('TaxCred&amp;Subs'!$L$12:$L$47,MATCH(1,($C376&amp;$D376='TaxCred&amp;Subs'!$E$12:$E$47)*($F376='TaxCred&amp;Subs'!$C$12:$C$47),0)
),9999),IFERROR(INDEX('TaxCred&amp;Subs'!$N$12:$N$47,MATCH(1,($C376&amp;$D376='TaxCred&amp;Subs'!$E$12:$E$47)*($F376='TaxCred&amp;Subs'!$C$12:$C$47),0)
),0),0),(IF($M376&gt;=IFERROR(INDEX('TaxCred&amp;Subs'!$H$12:$H$47,MATCH(1,($C376&amp;$D376='TaxCred&amp;Subs'!$D$12:$D$47)*($F376='TaxCred&amp;Subs'!$C$12:$C$47),0)
),9999),IFERROR(INDEX('TaxCred&amp;Subs'!$N$12:$N$47,MATCH(1,($C376&amp;$D376='TaxCred&amp;Subs'!$D$12:$D$47)*($F376='TaxCred&amp;Subs'!$C$12:$C$47),0)
),0),0)))),0)+IF(AND($C376=2,VALUE(RIGHT($AD376,1))&gt;2),(N376-R376)*(IFERROR(INDEX('TaxCred&amp;Subs'!$J$66:$J$99,MATCH(1,($C376&amp;$D376='TaxCred&amp;Subs'!$E$66:$E$99)*($F376='TaxCred&amp;Subs'!$C$66:$C$99),0)),0)),IF(AND($C376=1,VALUE(RIGHT($AD376,1))&gt;2),(N376-R376)*(IFERROR(INDEX('TaxCred&amp;Subs'!$J$66:$J$99,MATCH(1,($C376&amp;$D376='TaxCred&amp;Subs'!$D$66:$D$99)*($F376='TaxCred&amp;Subs'!$C$66:$C$99),0)),0)),IF($C376&gt;2,(N376-R376)*(IFERROR(INDEX('TaxCred&amp;Subs'!$J$66:$J$99,MATCH(1,($C376&amp;$D376='TaxCred&amp;Subs'!$D$66:$D$99)*($F376='TaxCred&amp;Subs'!$C$66:$C$99),0)),0)),0))),0)</f>
        <v>0</v>
      </c>
      <c r="Q376" s="95">
        <f t="array" ref="Q376">ROUND(IF(AND($C376=2,VALUE(RIGHT($AD376,1))&gt;2),(O376-S376)*(IFERROR(INDEX('TaxCred&amp;Subs'!$J$66:$J$99,MATCH(1,($C376&amp;$D376='TaxCred&amp;Subs'!$E$66:$E$99)*($F376='TaxCred&amp;Subs'!$C$66:$C$99),0)),0)),IF(AND($C376=1,VALUE(RIGHT($AD376,1))&gt;2),(O376-S376)*(IFERROR(INDEX('TaxCred&amp;Subs'!$J$66:$J$99,MATCH(1,($C376&amp;$D376='TaxCred&amp;Subs'!$D$66:$D$99)*($F376='TaxCred&amp;Subs'!$C$66:$C$99),0)),0)),IF($C376&gt;2,(O376-S376)*(IFERROR(INDEX('TaxCred&amp;Subs'!$J$66:$J$99,MATCH(1,($C376&amp;$D376='TaxCred&amp;Subs'!$D$66:$D$99)*($F376='TaxCred&amp;Subs'!$C$66:$C$99),0)),0)),0))),0)</f>
        <v>0</v>
      </c>
      <c r="R376" s="95">
        <f t="array" ref="R376">ROUND(IF(IFERROR(VALUE(RIGHT($AD376,1)),0)&gt;2,IF($C376=8,N376*IFERROR(INDEX('TaxCred&amp;Subs'!$K$139:$S$151,MATCH($C376&amp;$D376&amp;LEFT($AD376,7),'TaxCred&amp;Subs'!$E$139:$E$151,0),MATCH($H376,'TaxCred&amp;Subs'!$K$137:$S$137,0)),0),IF($C376=2,N376*IFERROR(INDEX('TaxCred&amp;Subs'!$K$139:$S$151,MATCH($C376&amp;$D376,'TaxCred&amp;Subs'!$D$139:$D$151,0),MATCH($H376,'TaxCred&amp;Subs'!$K$137:$S$137,0)),0),N376*IFERROR(INDEX('TaxCred&amp;Subs'!$K$139:$S$151,MATCH($C376&amp;$D376,'TaxCred&amp;Subs'!$C$139:$C$151,0),MATCH($H376,'TaxCred&amp;Subs'!$K$137:$S$137,0)),0))),0),0)</f>
        <v>0</v>
      </c>
      <c r="S376" s="95">
        <f t="array" ref="S376">ROUND(IF(IFERROR(VALUE(RIGHT($AD376,1)),0)&gt;2,IF($C376=8,O376*IFERROR(INDEX('TaxCred&amp;Subs'!$K$139:$S$151,MATCH($C376&amp;$D376&amp;LEFT($AD376,7),'TaxCred&amp;Subs'!$E$139:$E$151,0),MATCH($H376,'TaxCred&amp;Subs'!$K$137:$S$137,0)),0),IF($C376=2,O376*IFERROR(INDEX('TaxCred&amp;Subs'!$K$139:$S$151,MATCH($C376&amp;$D376,'TaxCred&amp;Subs'!$D$139:$D$151,0),MATCH($H376,'TaxCred&amp;Subs'!$K$137:$S$137,0)),0),O376*IFERROR(INDEX('TaxCred&amp;Subs'!$K$139:$S$151,MATCH($C376&amp;$D376,'TaxCred&amp;Subs'!$C$139:$C$151,0),MATCH($H376,'TaxCred&amp;Subs'!$K$137:$S$137,0)),0))),0),0)</f>
        <v>0</v>
      </c>
      <c r="T376" s="95">
        <f t="shared" si="21"/>
        <v>0</v>
      </c>
      <c r="U376" s="95">
        <f t="shared" si="22"/>
        <v>0</v>
      </c>
      <c r="V376" s="28" t="s">
        <v>222</v>
      </c>
      <c r="W376" s="31">
        <v>2020</v>
      </c>
      <c r="X376" s="28">
        <v>1</v>
      </c>
      <c r="Y376" s="28">
        <v>0</v>
      </c>
      <c r="Z376" s="196">
        <v>-5.5122391377509595E-3</v>
      </c>
      <c r="AA376" s="196">
        <v>-8.4803679042322444E-2</v>
      </c>
      <c r="AB376" s="28">
        <v>0</v>
      </c>
      <c r="AC376" s="28">
        <v>0</v>
      </c>
      <c r="AD376" s="28" t="s">
        <v>349</v>
      </c>
    </row>
    <row r="377" spans="2:30" ht="14.25" customHeight="1" x14ac:dyDescent="0.2">
      <c r="B377" s="7">
        <f t="shared" si="23"/>
        <v>353</v>
      </c>
      <c r="C377" s="28">
        <v>2</v>
      </c>
      <c r="D377" s="28">
        <v>2</v>
      </c>
      <c r="E377" s="31">
        <v>7</v>
      </c>
      <c r="F377" s="96">
        <v>2020</v>
      </c>
      <c r="G377" s="28">
        <v>2021</v>
      </c>
      <c r="H377" s="28">
        <v>1</v>
      </c>
      <c r="I377" s="96">
        <v>42</v>
      </c>
      <c r="J377" s="28">
        <v>0</v>
      </c>
      <c r="K377" s="28">
        <v>0</v>
      </c>
      <c r="L377" s="28">
        <v>0</v>
      </c>
      <c r="M377" s="156">
        <v>4.9824150058616645</v>
      </c>
      <c r="N377" s="151">
        <v>5980</v>
      </c>
      <c r="O377" s="151">
        <v>3950</v>
      </c>
      <c r="P377" s="95">
        <f t="array" ref="P377">ROUND(IF($F377&lt;='TaxCred&amp;Subs'!$C$49,(IF($C377=2,IF($M377&gt;=IFERROR(INDEX('TaxCred&amp;Subs'!$L$12:$L$47,MATCH(1,($C377&amp;$D377='TaxCred&amp;Subs'!$E$12:$E$47)*($F377='TaxCred&amp;Subs'!$C$12:$C$47),0)
),9999),IFERROR(INDEX('TaxCred&amp;Subs'!$N$12:$N$47,MATCH(1,($C377&amp;$D377='TaxCred&amp;Subs'!$E$12:$E$47)*($F377='TaxCred&amp;Subs'!$C$12:$C$47),0)
),0),0),(IF($M377&gt;=IFERROR(INDEX('TaxCred&amp;Subs'!$H$12:$H$47,MATCH(1,($C377&amp;$D377='TaxCred&amp;Subs'!$D$12:$D$47)*($F377='TaxCred&amp;Subs'!$C$12:$C$47),0)
),9999),IFERROR(INDEX('TaxCred&amp;Subs'!$N$12:$N$47,MATCH(1,($C377&amp;$D377='TaxCred&amp;Subs'!$D$12:$D$47)*($F377='TaxCred&amp;Subs'!$C$12:$C$47),0)
),0),0)))),0)+IF(AND($C377=2,VALUE(RIGHT($AD377,1))&gt;2),(N377-R377)*(IFERROR(INDEX('TaxCred&amp;Subs'!$J$66:$J$99,MATCH(1,($C377&amp;$D377='TaxCred&amp;Subs'!$E$66:$E$99)*($F377='TaxCred&amp;Subs'!$C$66:$C$99),0)),0)),IF(AND($C377=1,VALUE(RIGHT($AD377,1))&gt;2),(N377-R377)*(IFERROR(INDEX('TaxCred&amp;Subs'!$J$66:$J$99,MATCH(1,($C377&amp;$D377='TaxCred&amp;Subs'!$D$66:$D$99)*($F377='TaxCred&amp;Subs'!$C$66:$C$99),0)),0)),IF($C377&gt;2,(N377-R377)*(IFERROR(INDEX('TaxCred&amp;Subs'!$J$66:$J$99,MATCH(1,($C377&amp;$D377='TaxCred&amp;Subs'!$D$66:$D$99)*($F377='TaxCred&amp;Subs'!$C$66:$C$99),0)),0)),0))),0)</f>
        <v>300</v>
      </c>
      <c r="Q377" s="95">
        <f t="array" ref="Q377">ROUND(IF(AND($C377=2,VALUE(RIGHT($AD377,1))&gt;2),(O377-S377)*(IFERROR(INDEX('TaxCred&amp;Subs'!$J$66:$J$99,MATCH(1,($C377&amp;$D377='TaxCred&amp;Subs'!$E$66:$E$99)*($F377='TaxCred&amp;Subs'!$C$66:$C$99),0)),0)),IF(AND($C377=1,VALUE(RIGHT($AD377,1))&gt;2),(O377-S377)*(IFERROR(INDEX('TaxCred&amp;Subs'!$J$66:$J$99,MATCH(1,($C377&amp;$D377='TaxCred&amp;Subs'!$D$66:$D$99)*($F377='TaxCred&amp;Subs'!$C$66:$C$99),0)),0)),IF($C377&gt;2,(O377-S377)*(IFERROR(INDEX('TaxCred&amp;Subs'!$J$66:$J$99,MATCH(1,($C377&amp;$D377='TaxCred&amp;Subs'!$D$66:$D$99)*($F377='TaxCred&amp;Subs'!$C$66:$C$99),0)),0)),0))),0)</f>
        <v>0</v>
      </c>
      <c r="R377" s="95">
        <f t="array" ref="R377">ROUND(IF(IFERROR(VALUE(RIGHT($AD377,1)),0)&gt;2,IF($C377=8,N377*IFERROR(INDEX('TaxCred&amp;Subs'!$K$139:$S$151,MATCH($C377&amp;$D377&amp;LEFT($AD377,7),'TaxCred&amp;Subs'!$E$139:$E$151,0),MATCH($H377,'TaxCred&amp;Subs'!$K$137:$S$137,0)),0),IF($C377=2,N377*IFERROR(INDEX('TaxCred&amp;Subs'!$K$139:$S$151,MATCH($C377&amp;$D377,'TaxCred&amp;Subs'!$D$139:$D$151,0),MATCH($H377,'TaxCred&amp;Subs'!$K$137:$S$137,0)),0),N377*IFERROR(INDEX('TaxCred&amp;Subs'!$K$139:$S$151,MATCH($C377&amp;$D377,'TaxCred&amp;Subs'!$C$139:$C$151,0),MATCH($H377,'TaxCred&amp;Subs'!$K$137:$S$137,0)),0))),0),0)</f>
        <v>214</v>
      </c>
      <c r="S377" s="95">
        <f t="array" ref="S377">ROUND(IF(IFERROR(VALUE(RIGHT($AD377,1)),0)&gt;2,IF($C377=8,O377*IFERROR(INDEX('TaxCred&amp;Subs'!$K$139:$S$151,MATCH($C377&amp;$D377&amp;LEFT($AD377,7),'TaxCred&amp;Subs'!$E$139:$E$151,0),MATCH($H377,'TaxCred&amp;Subs'!$K$137:$S$137,0)),0),IF($C377=2,O377*IFERROR(INDEX('TaxCred&amp;Subs'!$K$139:$S$151,MATCH($C377&amp;$D377,'TaxCred&amp;Subs'!$D$139:$D$151,0),MATCH($H377,'TaxCred&amp;Subs'!$K$137:$S$137,0)),0),O377*IFERROR(INDEX('TaxCred&amp;Subs'!$K$139:$S$151,MATCH($C377&amp;$D377,'TaxCred&amp;Subs'!$C$139:$C$151,0),MATCH($H377,'TaxCred&amp;Subs'!$K$137:$S$137,0)),0))),0),0)</f>
        <v>141</v>
      </c>
      <c r="T377" s="95">
        <f t="shared" si="21"/>
        <v>0</v>
      </c>
      <c r="U377" s="95">
        <f t="shared" si="22"/>
        <v>0</v>
      </c>
      <c r="V377" s="28" t="s">
        <v>222</v>
      </c>
      <c r="W377" s="31">
        <v>2020</v>
      </c>
      <c r="X377" s="28">
        <v>1</v>
      </c>
      <c r="Y377" s="28">
        <v>0</v>
      </c>
      <c r="Z377" s="196">
        <v>-5.5122391377509595E-3</v>
      </c>
      <c r="AA377" s="196">
        <v>-8.4803679042322444E-2</v>
      </c>
      <c r="AB377" s="28">
        <v>0</v>
      </c>
      <c r="AC377" s="28">
        <v>0</v>
      </c>
      <c r="AD377" s="28" t="s">
        <v>350</v>
      </c>
    </row>
    <row r="378" spans="2:30" ht="14.25" customHeight="1" x14ac:dyDescent="0.2">
      <c r="B378" s="7">
        <f t="shared" si="23"/>
        <v>354</v>
      </c>
      <c r="C378" s="28">
        <v>2</v>
      </c>
      <c r="D378" s="28">
        <v>2</v>
      </c>
      <c r="E378" s="31">
        <v>7</v>
      </c>
      <c r="F378" s="96">
        <v>2020</v>
      </c>
      <c r="G378" s="28">
        <v>2021</v>
      </c>
      <c r="H378" s="28">
        <v>2</v>
      </c>
      <c r="I378" s="96">
        <v>42</v>
      </c>
      <c r="J378" s="28">
        <v>0</v>
      </c>
      <c r="K378" s="28">
        <v>0</v>
      </c>
      <c r="L378" s="28">
        <v>0</v>
      </c>
      <c r="M378" s="156">
        <v>4.9824150058616645</v>
      </c>
      <c r="N378" s="151">
        <v>5980</v>
      </c>
      <c r="O378" s="151">
        <v>3950</v>
      </c>
      <c r="P378" s="95">
        <f t="array" ref="P378">ROUND(IF($F378&lt;='TaxCred&amp;Subs'!$C$49,(IF($C378=2,IF($M378&gt;=IFERROR(INDEX('TaxCred&amp;Subs'!$L$12:$L$47,MATCH(1,($C378&amp;$D378='TaxCred&amp;Subs'!$E$12:$E$47)*($F378='TaxCred&amp;Subs'!$C$12:$C$47),0)
),9999),IFERROR(INDEX('TaxCred&amp;Subs'!$N$12:$N$47,MATCH(1,($C378&amp;$D378='TaxCred&amp;Subs'!$E$12:$E$47)*($F378='TaxCred&amp;Subs'!$C$12:$C$47),0)
),0),0),(IF($M378&gt;=IFERROR(INDEX('TaxCred&amp;Subs'!$H$12:$H$47,MATCH(1,($C378&amp;$D378='TaxCred&amp;Subs'!$D$12:$D$47)*($F378='TaxCred&amp;Subs'!$C$12:$C$47),0)
),9999),IFERROR(INDEX('TaxCred&amp;Subs'!$N$12:$N$47,MATCH(1,($C378&amp;$D378='TaxCred&amp;Subs'!$D$12:$D$47)*($F378='TaxCred&amp;Subs'!$C$12:$C$47),0)
),0),0)))),0)+IF(AND($C378=2,VALUE(RIGHT($AD378,1))&gt;2),(N378-R378)*(IFERROR(INDEX('TaxCred&amp;Subs'!$J$66:$J$99,MATCH(1,($C378&amp;$D378='TaxCred&amp;Subs'!$E$66:$E$99)*($F378='TaxCred&amp;Subs'!$C$66:$C$99),0)),0)),IF(AND($C378=1,VALUE(RIGHT($AD378,1))&gt;2),(N378-R378)*(IFERROR(INDEX('TaxCred&amp;Subs'!$J$66:$J$99,MATCH(1,($C378&amp;$D378='TaxCred&amp;Subs'!$D$66:$D$99)*($F378='TaxCred&amp;Subs'!$C$66:$C$99),0)),0)),IF($C378&gt;2,(N378-R378)*(IFERROR(INDEX('TaxCred&amp;Subs'!$J$66:$J$99,MATCH(1,($C378&amp;$D378='TaxCred&amp;Subs'!$D$66:$D$99)*($F378='TaxCred&amp;Subs'!$C$66:$C$99),0)),0)),0))),0)</f>
        <v>300</v>
      </c>
      <c r="Q378" s="95">
        <f t="array" ref="Q378">ROUND(IF(AND($C378=2,VALUE(RIGHT($AD378,1))&gt;2),(O378-S378)*(IFERROR(INDEX('TaxCred&amp;Subs'!$J$66:$J$99,MATCH(1,($C378&amp;$D378='TaxCred&amp;Subs'!$E$66:$E$99)*($F378='TaxCred&amp;Subs'!$C$66:$C$99),0)),0)),IF(AND($C378=1,VALUE(RIGHT($AD378,1))&gt;2),(O378-S378)*(IFERROR(INDEX('TaxCred&amp;Subs'!$J$66:$J$99,MATCH(1,($C378&amp;$D378='TaxCred&amp;Subs'!$D$66:$D$99)*($F378='TaxCred&amp;Subs'!$C$66:$C$99),0)),0)),IF($C378&gt;2,(O378-S378)*(IFERROR(INDEX('TaxCred&amp;Subs'!$J$66:$J$99,MATCH(1,($C378&amp;$D378='TaxCred&amp;Subs'!$D$66:$D$99)*($F378='TaxCred&amp;Subs'!$C$66:$C$99),0)),0)),0))),0)</f>
        <v>0</v>
      </c>
      <c r="R378" s="95">
        <f t="array" ref="R378">ROUND(IF(IFERROR(VALUE(RIGHT($AD378,1)),0)&gt;2,IF($C378=8,N378*IFERROR(INDEX('TaxCred&amp;Subs'!$K$139:$S$151,MATCH($C378&amp;$D378&amp;LEFT($AD378,7),'TaxCred&amp;Subs'!$E$139:$E$151,0),MATCH($H378,'TaxCred&amp;Subs'!$K$137:$S$137,0)),0),IF($C378=2,N378*IFERROR(INDEX('TaxCred&amp;Subs'!$K$139:$S$151,MATCH($C378&amp;$D378,'TaxCred&amp;Subs'!$D$139:$D$151,0),MATCH($H378,'TaxCred&amp;Subs'!$K$137:$S$137,0)),0),N378*IFERROR(INDEX('TaxCred&amp;Subs'!$K$139:$S$151,MATCH($C378&amp;$D378,'TaxCred&amp;Subs'!$C$139:$C$151,0),MATCH($H378,'TaxCred&amp;Subs'!$K$137:$S$137,0)),0))),0),0)</f>
        <v>251</v>
      </c>
      <c r="S378" s="95">
        <f t="array" ref="S378">ROUND(IF(IFERROR(VALUE(RIGHT($AD378,1)),0)&gt;2,IF($C378=8,O378*IFERROR(INDEX('TaxCred&amp;Subs'!$K$139:$S$151,MATCH($C378&amp;$D378&amp;LEFT($AD378,7),'TaxCred&amp;Subs'!$E$139:$E$151,0),MATCH($H378,'TaxCred&amp;Subs'!$K$137:$S$137,0)),0),IF($C378=2,O378*IFERROR(INDEX('TaxCred&amp;Subs'!$K$139:$S$151,MATCH($C378&amp;$D378,'TaxCred&amp;Subs'!$D$139:$D$151,0),MATCH($H378,'TaxCred&amp;Subs'!$K$137:$S$137,0)),0),O378*IFERROR(INDEX('TaxCred&amp;Subs'!$K$139:$S$151,MATCH($C378&amp;$D378,'TaxCred&amp;Subs'!$C$139:$C$151,0),MATCH($H378,'TaxCred&amp;Subs'!$K$137:$S$137,0)),0))),0),0)</f>
        <v>166</v>
      </c>
      <c r="T378" s="95">
        <f t="shared" si="21"/>
        <v>0</v>
      </c>
      <c r="U378" s="95">
        <f t="shared" si="22"/>
        <v>0</v>
      </c>
      <c r="V378" s="28" t="s">
        <v>222</v>
      </c>
      <c r="W378" s="31">
        <v>2020</v>
      </c>
      <c r="X378" s="28">
        <v>1</v>
      </c>
      <c r="Y378" s="28">
        <v>0</v>
      </c>
      <c r="Z378" s="196">
        <v>-5.5122391377509595E-3</v>
      </c>
      <c r="AA378" s="196">
        <v>-8.4803679042322444E-2</v>
      </c>
      <c r="AB378" s="28">
        <v>0</v>
      </c>
      <c r="AC378" s="28">
        <v>0</v>
      </c>
      <c r="AD378" s="28" t="s">
        <v>350</v>
      </c>
    </row>
    <row r="379" spans="2:30" ht="14.25" customHeight="1" x14ac:dyDescent="0.2">
      <c r="B379" s="7">
        <f t="shared" si="23"/>
        <v>355</v>
      </c>
      <c r="C379" s="28">
        <v>2</v>
      </c>
      <c r="D379" s="28">
        <v>2</v>
      </c>
      <c r="E379" s="31">
        <v>7</v>
      </c>
      <c r="F379" s="96">
        <v>2020</v>
      </c>
      <c r="G379" s="28">
        <v>2021</v>
      </c>
      <c r="H379" s="28">
        <v>3</v>
      </c>
      <c r="I379" s="96">
        <v>42</v>
      </c>
      <c r="J379" s="28">
        <v>0</v>
      </c>
      <c r="K379" s="28">
        <v>0</v>
      </c>
      <c r="L379" s="28">
        <v>0</v>
      </c>
      <c r="M379" s="156">
        <v>4.9824150058616645</v>
      </c>
      <c r="N379" s="151">
        <v>5980</v>
      </c>
      <c r="O379" s="151">
        <v>3950</v>
      </c>
      <c r="P379" s="95">
        <f t="array" ref="P379">ROUND(IF($F379&lt;='TaxCred&amp;Subs'!$C$49,(IF($C379=2,IF($M379&gt;=IFERROR(INDEX('TaxCred&amp;Subs'!$L$12:$L$47,MATCH(1,($C379&amp;$D379='TaxCred&amp;Subs'!$E$12:$E$47)*($F379='TaxCred&amp;Subs'!$C$12:$C$47),0)
),9999),IFERROR(INDEX('TaxCred&amp;Subs'!$N$12:$N$47,MATCH(1,($C379&amp;$D379='TaxCred&amp;Subs'!$E$12:$E$47)*($F379='TaxCred&amp;Subs'!$C$12:$C$47),0)
),0),0),(IF($M379&gt;=IFERROR(INDEX('TaxCred&amp;Subs'!$H$12:$H$47,MATCH(1,($C379&amp;$D379='TaxCred&amp;Subs'!$D$12:$D$47)*($F379='TaxCred&amp;Subs'!$C$12:$C$47),0)
),9999),IFERROR(INDEX('TaxCred&amp;Subs'!$N$12:$N$47,MATCH(1,($C379&amp;$D379='TaxCred&amp;Subs'!$D$12:$D$47)*($F379='TaxCred&amp;Subs'!$C$12:$C$47),0)
),0),0)))),0)+IF(AND($C379=2,VALUE(RIGHT($AD379,1))&gt;2),(N379-R379)*(IFERROR(INDEX('TaxCred&amp;Subs'!$J$66:$J$99,MATCH(1,($C379&amp;$D379='TaxCred&amp;Subs'!$E$66:$E$99)*($F379='TaxCred&amp;Subs'!$C$66:$C$99),0)),0)),IF(AND($C379=1,VALUE(RIGHT($AD379,1))&gt;2),(N379-R379)*(IFERROR(INDEX('TaxCred&amp;Subs'!$J$66:$J$99,MATCH(1,($C379&amp;$D379='TaxCred&amp;Subs'!$D$66:$D$99)*($F379='TaxCred&amp;Subs'!$C$66:$C$99),0)),0)),IF($C379&gt;2,(N379-R379)*(IFERROR(INDEX('TaxCred&amp;Subs'!$J$66:$J$99,MATCH(1,($C379&amp;$D379='TaxCred&amp;Subs'!$D$66:$D$99)*($F379='TaxCred&amp;Subs'!$C$66:$C$99),0)),0)),0))),0)</f>
        <v>300</v>
      </c>
      <c r="Q379" s="95">
        <f t="array" ref="Q379">ROUND(IF(AND($C379=2,VALUE(RIGHT($AD379,1))&gt;2),(O379-S379)*(IFERROR(INDEX('TaxCred&amp;Subs'!$J$66:$J$99,MATCH(1,($C379&amp;$D379='TaxCred&amp;Subs'!$E$66:$E$99)*($F379='TaxCred&amp;Subs'!$C$66:$C$99),0)),0)),IF(AND($C379=1,VALUE(RIGHT($AD379,1))&gt;2),(O379-S379)*(IFERROR(INDEX('TaxCred&amp;Subs'!$J$66:$J$99,MATCH(1,($C379&amp;$D379='TaxCred&amp;Subs'!$D$66:$D$99)*($F379='TaxCred&amp;Subs'!$C$66:$C$99),0)),0)),IF($C379&gt;2,(O379-S379)*(IFERROR(INDEX('TaxCred&amp;Subs'!$J$66:$J$99,MATCH(1,($C379&amp;$D379='TaxCred&amp;Subs'!$D$66:$D$99)*($F379='TaxCred&amp;Subs'!$C$66:$C$99),0)),0)),0))),0)</f>
        <v>0</v>
      </c>
      <c r="R379" s="95">
        <f t="array" ref="R379">ROUND(IF(IFERROR(VALUE(RIGHT($AD379,1)),0)&gt;2,IF($C379=8,N379*IFERROR(INDEX('TaxCred&amp;Subs'!$K$139:$S$151,MATCH($C379&amp;$D379&amp;LEFT($AD379,7),'TaxCred&amp;Subs'!$E$139:$E$151,0),MATCH($H379,'TaxCred&amp;Subs'!$K$137:$S$137,0)),0),IF($C379=2,N379*IFERROR(INDEX('TaxCred&amp;Subs'!$K$139:$S$151,MATCH($C379&amp;$D379,'TaxCred&amp;Subs'!$D$139:$D$151,0),MATCH($H379,'TaxCred&amp;Subs'!$K$137:$S$137,0)),0),N379*IFERROR(INDEX('TaxCred&amp;Subs'!$K$139:$S$151,MATCH($C379&amp;$D379,'TaxCred&amp;Subs'!$C$139:$C$151,0),MATCH($H379,'TaxCred&amp;Subs'!$K$137:$S$137,0)),0))),0),0)</f>
        <v>205</v>
      </c>
      <c r="S379" s="95">
        <f t="array" ref="S379">ROUND(IF(IFERROR(VALUE(RIGHT($AD379,1)),0)&gt;2,IF($C379=8,O379*IFERROR(INDEX('TaxCred&amp;Subs'!$K$139:$S$151,MATCH($C379&amp;$D379&amp;LEFT($AD379,7),'TaxCred&amp;Subs'!$E$139:$E$151,0),MATCH($H379,'TaxCred&amp;Subs'!$K$137:$S$137,0)),0),IF($C379=2,O379*IFERROR(INDEX('TaxCred&amp;Subs'!$K$139:$S$151,MATCH($C379&amp;$D379,'TaxCred&amp;Subs'!$D$139:$D$151,0),MATCH($H379,'TaxCred&amp;Subs'!$K$137:$S$137,0)),0),O379*IFERROR(INDEX('TaxCred&amp;Subs'!$K$139:$S$151,MATCH($C379&amp;$D379,'TaxCred&amp;Subs'!$C$139:$C$151,0),MATCH($H379,'TaxCred&amp;Subs'!$K$137:$S$137,0)),0))),0),0)</f>
        <v>135</v>
      </c>
      <c r="T379" s="95">
        <f t="shared" si="21"/>
        <v>0</v>
      </c>
      <c r="U379" s="95">
        <f t="shared" si="22"/>
        <v>0</v>
      </c>
      <c r="V379" s="28" t="s">
        <v>222</v>
      </c>
      <c r="W379" s="31">
        <v>2020</v>
      </c>
      <c r="X379" s="28">
        <v>1</v>
      </c>
      <c r="Y379" s="28">
        <v>0</v>
      </c>
      <c r="Z379" s="196">
        <v>-5.5122391377509595E-3</v>
      </c>
      <c r="AA379" s="196">
        <v>-8.4803679042322444E-2</v>
      </c>
      <c r="AB379" s="28">
        <v>0</v>
      </c>
      <c r="AC379" s="28">
        <v>0</v>
      </c>
      <c r="AD379" s="28" t="s">
        <v>350</v>
      </c>
    </row>
    <row r="380" spans="2:30" ht="14.25" customHeight="1" x14ac:dyDescent="0.2">
      <c r="B380" s="7">
        <f t="shared" si="23"/>
        <v>356</v>
      </c>
      <c r="C380" s="28">
        <v>2</v>
      </c>
      <c r="D380" s="28">
        <v>2</v>
      </c>
      <c r="E380" s="31">
        <v>7</v>
      </c>
      <c r="F380" s="96">
        <v>2020</v>
      </c>
      <c r="G380" s="28">
        <v>2021</v>
      </c>
      <c r="H380" s="28">
        <v>4</v>
      </c>
      <c r="I380" s="96">
        <v>42</v>
      </c>
      <c r="J380" s="28">
        <v>0</v>
      </c>
      <c r="K380" s="28">
        <v>0</v>
      </c>
      <c r="L380" s="28">
        <v>0</v>
      </c>
      <c r="M380" s="156">
        <v>4.9824150058616645</v>
      </c>
      <c r="N380" s="151">
        <v>5980</v>
      </c>
      <c r="O380" s="151">
        <v>3950</v>
      </c>
      <c r="P380" s="95">
        <f t="array" ref="P380">ROUND(IF($F380&lt;='TaxCred&amp;Subs'!$C$49,(IF($C380=2,IF($M380&gt;=IFERROR(INDEX('TaxCred&amp;Subs'!$L$12:$L$47,MATCH(1,($C380&amp;$D380='TaxCred&amp;Subs'!$E$12:$E$47)*($F380='TaxCred&amp;Subs'!$C$12:$C$47),0)
),9999),IFERROR(INDEX('TaxCred&amp;Subs'!$N$12:$N$47,MATCH(1,($C380&amp;$D380='TaxCred&amp;Subs'!$E$12:$E$47)*($F380='TaxCred&amp;Subs'!$C$12:$C$47),0)
),0),0),(IF($M380&gt;=IFERROR(INDEX('TaxCred&amp;Subs'!$H$12:$H$47,MATCH(1,($C380&amp;$D380='TaxCred&amp;Subs'!$D$12:$D$47)*($F380='TaxCred&amp;Subs'!$C$12:$C$47),0)
),9999),IFERROR(INDEX('TaxCred&amp;Subs'!$N$12:$N$47,MATCH(1,($C380&amp;$D380='TaxCred&amp;Subs'!$D$12:$D$47)*($F380='TaxCred&amp;Subs'!$C$12:$C$47),0)
),0),0)))),0)+IF(AND($C380=2,VALUE(RIGHT($AD380,1))&gt;2),(N380-R380)*(IFERROR(INDEX('TaxCred&amp;Subs'!$J$66:$J$99,MATCH(1,($C380&amp;$D380='TaxCred&amp;Subs'!$E$66:$E$99)*($F380='TaxCred&amp;Subs'!$C$66:$C$99),0)),0)),IF(AND($C380=1,VALUE(RIGHT($AD380,1))&gt;2),(N380-R380)*(IFERROR(INDEX('TaxCred&amp;Subs'!$J$66:$J$99,MATCH(1,($C380&amp;$D380='TaxCred&amp;Subs'!$D$66:$D$99)*($F380='TaxCred&amp;Subs'!$C$66:$C$99),0)),0)),IF($C380&gt;2,(N380-R380)*(IFERROR(INDEX('TaxCred&amp;Subs'!$J$66:$J$99,MATCH(1,($C380&amp;$D380='TaxCred&amp;Subs'!$D$66:$D$99)*($F380='TaxCred&amp;Subs'!$C$66:$C$99),0)),0)),0))),0)</f>
        <v>300</v>
      </c>
      <c r="Q380" s="95">
        <f t="array" ref="Q380">ROUND(IF(AND($C380=2,VALUE(RIGHT($AD380,1))&gt;2),(O380-S380)*(IFERROR(INDEX('TaxCred&amp;Subs'!$J$66:$J$99,MATCH(1,($C380&amp;$D380='TaxCred&amp;Subs'!$E$66:$E$99)*($F380='TaxCred&amp;Subs'!$C$66:$C$99),0)),0)),IF(AND($C380=1,VALUE(RIGHT($AD380,1))&gt;2),(O380-S380)*(IFERROR(INDEX('TaxCred&amp;Subs'!$J$66:$J$99,MATCH(1,($C380&amp;$D380='TaxCred&amp;Subs'!$D$66:$D$99)*($F380='TaxCred&amp;Subs'!$C$66:$C$99),0)),0)),IF($C380&gt;2,(O380-S380)*(IFERROR(INDEX('TaxCred&amp;Subs'!$J$66:$J$99,MATCH(1,($C380&amp;$D380='TaxCred&amp;Subs'!$D$66:$D$99)*($F380='TaxCred&amp;Subs'!$C$66:$C$99),0)),0)),0))),0)</f>
        <v>0</v>
      </c>
      <c r="R380" s="95">
        <f t="array" ref="R380">ROUND(IF(IFERROR(VALUE(RIGHT($AD380,1)),0)&gt;2,IF($C380=8,N380*IFERROR(INDEX('TaxCred&amp;Subs'!$K$139:$S$151,MATCH($C380&amp;$D380&amp;LEFT($AD380,7),'TaxCred&amp;Subs'!$E$139:$E$151,0),MATCH($H380,'TaxCred&amp;Subs'!$K$137:$S$137,0)),0),IF($C380=2,N380*IFERROR(INDEX('TaxCred&amp;Subs'!$K$139:$S$151,MATCH($C380&amp;$D380,'TaxCred&amp;Subs'!$D$139:$D$151,0),MATCH($H380,'TaxCred&amp;Subs'!$K$137:$S$137,0)),0),N380*IFERROR(INDEX('TaxCred&amp;Subs'!$K$139:$S$151,MATCH($C380&amp;$D380,'TaxCred&amp;Subs'!$C$139:$C$151,0),MATCH($H380,'TaxCred&amp;Subs'!$K$137:$S$137,0)),0))),0),0)</f>
        <v>173</v>
      </c>
      <c r="S380" s="95">
        <f t="array" ref="S380">ROUND(IF(IFERROR(VALUE(RIGHT($AD380,1)),0)&gt;2,IF($C380=8,O380*IFERROR(INDEX('TaxCred&amp;Subs'!$K$139:$S$151,MATCH($C380&amp;$D380&amp;LEFT($AD380,7),'TaxCred&amp;Subs'!$E$139:$E$151,0),MATCH($H380,'TaxCred&amp;Subs'!$K$137:$S$137,0)),0),IF($C380=2,O380*IFERROR(INDEX('TaxCred&amp;Subs'!$K$139:$S$151,MATCH($C380&amp;$D380,'TaxCred&amp;Subs'!$D$139:$D$151,0),MATCH($H380,'TaxCred&amp;Subs'!$K$137:$S$137,0)),0),O380*IFERROR(INDEX('TaxCred&amp;Subs'!$K$139:$S$151,MATCH($C380&amp;$D380,'TaxCred&amp;Subs'!$C$139:$C$151,0),MATCH($H380,'TaxCred&amp;Subs'!$K$137:$S$137,0)),0))),0),0)</f>
        <v>115</v>
      </c>
      <c r="T380" s="95">
        <f t="shared" si="21"/>
        <v>0</v>
      </c>
      <c r="U380" s="95">
        <f t="shared" si="22"/>
        <v>0</v>
      </c>
      <c r="V380" s="28" t="s">
        <v>222</v>
      </c>
      <c r="W380" s="31">
        <v>2020</v>
      </c>
      <c r="X380" s="28">
        <v>1</v>
      </c>
      <c r="Y380" s="28">
        <v>0</v>
      </c>
      <c r="Z380" s="196">
        <v>-5.5122391377509595E-3</v>
      </c>
      <c r="AA380" s="196">
        <v>-8.4803679042322444E-2</v>
      </c>
      <c r="AB380" s="28">
        <v>0</v>
      </c>
      <c r="AC380" s="28">
        <v>0</v>
      </c>
      <c r="AD380" s="28" t="s">
        <v>350</v>
      </c>
    </row>
    <row r="381" spans="2:30" ht="14.25" customHeight="1" x14ac:dyDescent="0.2">
      <c r="B381" s="7">
        <f t="shared" si="23"/>
        <v>357</v>
      </c>
      <c r="C381" s="28">
        <v>2</v>
      </c>
      <c r="D381" s="28">
        <v>2</v>
      </c>
      <c r="E381" s="31">
        <v>7</v>
      </c>
      <c r="F381" s="96">
        <v>2020</v>
      </c>
      <c r="G381" s="28">
        <v>2021</v>
      </c>
      <c r="H381" s="28">
        <v>5</v>
      </c>
      <c r="I381" s="96">
        <v>42</v>
      </c>
      <c r="J381" s="28">
        <v>0</v>
      </c>
      <c r="K381" s="28">
        <v>0</v>
      </c>
      <c r="L381" s="28">
        <v>0</v>
      </c>
      <c r="M381" s="156">
        <v>4.9824150058616645</v>
      </c>
      <c r="N381" s="151">
        <v>5980</v>
      </c>
      <c r="O381" s="151">
        <v>3950</v>
      </c>
      <c r="P381" s="95">
        <f t="array" ref="P381">ROUND(IF($F381&lt;='TaxCred&amp;Subs'!$C$49,(IF($C381=2,IF($M381&gt;=IFERROR(INDEX('TaxCred&amp;Subs'!$L$12:$L$47,MATCH(1,($C381&amp;$D381='TaxCred&amp;Subs'!$E$12:$E$47)*($F381='TaxCred&amp;Subs'!$C$12:$C$47),0)
),9999),IFERROR(INDEX('TaxCred&amp;Subs'!$N$12:$N$47,MATCH(1,($C381&amp;$D381='TaxCred&amp;Subs'!$E$12:$E$47)*($F381='TaxCred&amp;Subs'!$C$12:$C$47),0)
),0),0),(IF($M381&gt;=IFERROR(INDEX('TaxCred&amp;Subs'!$H$12:$H$47,MATCH(1,($C381&amp;$D381='TaxCred&amp;Subs'!$D$12:$D$47)*($F381='TaxCred&amp;Subs'!$C$12:$C$47),0)
),9999),IFERROR(INDEX('TaxCred&amp;Subs'!$N$12:$N$47,MATCH(1,($C381&amp;$D381='TaxCred&amp;Subs'!$D$12:$D$47)*($F381='TaxCred&amp;Subs'!$C$12:$C$47),0)
),0),0)))),0)+IF(AND($C381=2,VALUE(RIGHT($AD381,1))&gt;2),(N381-R381)*(IFERROR(INDEX('TaxCred&amp;Subs'!$J$66:$J$99,MATCH(1,($C381&amp;$D381='TaxCred&amp;Subs'!$E$66:$E$99)*($F381='TaxCred&amp;Subs'!$C$66:$C$99),0)),0)),IF(AND($C381=1,VALUE(RIGHT($AD381,1))&gt;2),(N381-R381)*(IFERROR(INDEX('TaxCred&amp;Subs'!$J$66:$J$99,MATCH(1,($C381&amp;$D381='TaxCred&amp;Subs'!$D$66:$D$99)*($F381='TaxCred&amp;Subs'!$C$66:$C$99),0)),0)),IF($C381&gt;2,(N381-R381)*(IFERROR(INDEX('TaxCred&amp;Subs'!$J$66:$J$99,MATCH(1,($C381&amp;$D381='TaxCred&amp;Subs'!$D$66:$D$99)*($F381='TaxCred&amp;Subs'!$C$66:$C$99),0)),0)),0))),0)</f>
        <v>300</v>
      </c>
      <c r="Q381" s="95">
        <f t="array" ref="Q381">ROUND(IF(AND($C381=2,VALUE(RIGHT($AD381,1))&gt;2),(O381-S381)*(IFERROR(INDEX('TaxCred&amp;Subs'!$J$66:$J$99,MATCH(1,($C381&amp;$D381='TaxCred&amp;Subs'!$E$66:$E$99)*($F381='TaxCred&amp;Subs'!$C$66:$C$99),0)),0)),IF(AND($C381=1,VALUE(RIGHT($AD381,1))&gt;2),(O381-S381)*(IFERROR(INDEX('TaxCred&amp;Subs'!$J$66:$J$99,MATCH(1,($C381&amp;$D381='TaxCred&amp;Subs'!$D$66:$D$99)*($F381='TaxCred&amp;Subs'!$C$66:$C$99),0)),0)),IF($C381&gt;2,(O381-S381)*(IFERROR(INDEX('TaxCred&amp;Subs'!$J$66:$J$99,MATCH(1,($C381&amp;$D381='TaxCred&amp;Subs'!$D$66:$D$99)*($F381='TaxCred&amp;Subs'!$C$66:$C$99),0)),0)),0))),0)</f>
        <v>0</v>
      </c>
      <c r="R381" s="95">
        <f t="array" ref="R381">ROUND(IF(IFERROR(VALUE(RIGHT($AD381,1)),0)&gt;2,IF($C381=8,N381*IFERROR(INDEX('TaxCred&amp;Subs'!$K$139:$S$151,MATCH($C381&amp;$D381&amp;LEFT($AD381,7),'TaxCred&amp;Subs'!$E$139:$E$151,0),MATCH($H381,'TaxCred&amp;Subs'!$K$137:$S$137,0)),0),IF($C381=2,N381*IFERROR(INDEX('TaxCred&amp;Subs'!$K$139:$S$151,MATCH($C381&amp;$D381,'TaxCred&amp;Subs'!$D$139:$D$151,0),MATCH($H381,'TaxCred&amp;Subs'!$K$137:$S$137,0)),0),N381*IFERROR(INDEX('TaxCred&amp;Subs'!$K$139:$S$151,MATCH($C381&amp;$D381,'TaxCred&amp;Subs'!$C$139:$C$151,0),MATCH($H381,'TaxCred&amp;Subs'!$K$137:$S$137,0)),0))),0),0)</f>
        <v>142</v>
      </c>
      <c r="S381" s="95">
        <f t="array" ref="S381">ROUND(IF(IFERROR(VALUE(RIGHT($AD381,1)),0)&gt;2,IF($C381=8,O381*IFERROR(INDEX('TaxCred&amp;Subs'!$K$139:$S$151,MATCH($C381&amp;$D381&amp;LEFT($AD381,7),'TaxCred&amp;Subs'!$E$139:$E$151,0),MATCH($H381,'TaxCred&amp;Subs'!$K$137:$S$137,0)),0),IF($C381=2,O381*IFERROR(INDEX('TaxCred&amp;Subs'!$K$139:$S$151,MATCH($C381&amp;$D381,'TaxCred&amp;Subs'!$D$139:$D$151,0),MATCH($H381,'TaxCred&amp;Subs'!$K$137:$S$137,0)),0),O381*IFERROR(INDEX('TaxCred&amp;Subs'!$K$139:$S$151,MATCH($C381&amp;$D381,'TaxCred&amp;Subs'!$C$139:$C$151,0),MATCH($H381,'TaxCred&amp;Subs'!$K$137:$S$137,0)),0))),0),0)</f>
        <v>94</v>
      </c>
      <c r="T381" s="95">
        <f t="shared" si="21"/>
        <v>0</v>
      </c>
      <c r="U381" s="95">
        <f t="shared" si="22"/>
        <v>0</v>
      </c>
      <c r="V381" s="28" t="s">
        <v>222</v>
      </c>
      <c r="W381" s="31">
        <v>2020</v>
      </c>
      <c r="X381" s="28">
        <v>1</v>
      </c>
      <c r="Y381" s="28">
        <v>0</v>
      </c>
      <c r="Z381" s="196">
        <v>-5.5122391377509595E-3</v>
      </c>
      <c r="AA381" s="196">
        <v>-8.4803679042322444E-2</v>
      </c>
      <c r="AB381" s="28">
        <v>0</v>
      </c>
      <c r="AC381" s="28">
        <v>0</v>
      </c>
      <c r="AD381" s="28" t="s">
        <v>350</v>
      </c>
    </row>
    <row r="382" spans="2:30" ht="14.25" customHeight="1" x14ac:dyDescent="0.2">
      <c r="B382" s="7">
        <f t="shared" si="23"/>
        <v>358</v>
      </c>
      <c r="C382" s="28">
        <v>2</v>
      </c>
      <c r="D382" s="28">
        <v>2</v>
      </c>
      <c r="E382" s="31">
        <v>7</v>
      </c>
      <c r="F382" s="96">
        <v>2020</v>
      </c>
      <c r="G382" s="28">
        <v>2021</v>
      </c>
      <c r="H382" s="28">
        <v>6</v>
      </c>
      <c r="I382" s="96">
        <v>42</v>
      </c>
      <c r="J382" s="28">
        <v>0</v>
      </c>
      <c r="K382" s="28">
        <v>0</v>
      </c>
      <c r="L382" s="28">
        <v>0</v>
      </c>
      <c r="M382" s="156">
        <v>4.9824150058616645</v>
      </c>
      <c r="N382" s="151">
        <v>5980</v>
      </c>
      <c r="O382" s="151">
        <v>3950</v>
      </c>
      <c r="P382" s="95">
        <f t="array" ref="P382">ROUND(IF($F382&lt;='TaxCred&amp;Subs'!$C$49,(IF($C382=2,IF($M382&gt;=IFERROR(INDEX('TaxCred&amp;Subs'!$L$12:$L$47,MATCH(1,($C382&amp;$D382='TaxCred&amp;Subs'!$E$12:$E$47)*($F382='TaxCred&amp;Subs'!$C$12:$C$47),0)
),9999),IFERROR(INDEX('TaxCred&amp;Subs'!$N$12:$N$47,MATCH(1,($C382&amp;$D382='TaxCred&amp;Subs'!$E$12:$E$47)*($F382='TaxCred&amp;Subs'!$C$12:$C$47),0)
),0),0),(IF($M382&gt;=IFERROR(INDEX('TaxCred&amp;Subs'!$H$12:$H$47,MATCH(1,($C382&amp;$D382='TaxCred&amp;Subs'!$D$12:$D$47)*($F382='TaxCred&amp;Subs'!$C$12:$C$47),0)
),9999),IFERROR(INDEX('TaxCred&amp;Subs'!$N$12:$N$47,MATCH(1,($C382&amp;$D382='TaxCred&amp;Subs'!$D$12:$D$47)*($F382='TaxCred&amp;Subs'!$C$12:$C$47),0)
),0),0)))),0)+IF(AND($C382=2,VALUE(RIGHT($AD382,1))&gt;2),(N382-R382)*(IFERROR(INDEX('TaxCred&amp;Subs'!$J$66:$J$99,MATCH(1,($C382&amp;$D382='TaxCred&amp;Subs'!$E$66:$E$99)*($F382='TaxCred&amp;Subs'!$C$66:$C$99),0)),0)),IF(AND($C382=1,VALUE(RIGHT($AD382,1))&gt;2),(N382-R382)*(IFERROR(INDEX('TaxCred&amp;Subs'!$J$66:$J$99,MATCH(1,($C382&amp;$D382='TaxCred&amp;Subs'!$D$66:$D$99)*($F382='TaxCred&amp;Subs'!$C$66:$C$99),0)),0)),IF($C382&gt;2,(N382-R382)*(IFERROR(INDEX('TaxCred&amp;Subs'!$J$66:$J$99,MATCH(1,($C382&amp;$D382='TaxCred&amp;Subs'!$D$66:$D$99)*($F382='TaxCred&amp;Subs'!$C$66:$C$99),0)),0)),0))),0)</f>
        <v>300</v>
      </c>
      <c r="Q382" s="95">
        <f t="array" ref="Q382">ROUND(IF(AND($C382=2,VALUE(RIGHT($AD382,1))&gt;2),(O382-S382)*(IFERROR(INDEX('TaxCred&amp;Subs'!$J$66:$J$99,MATCH(1,($C382&amp;$D382='TaxCred&amp;Subs'!$E$66:$E$99)*($F382='TaxCred&amp;Subs'!$C$66:$C$99),0)),0)),IF(AND($C382=1,VALUE(RIGHT($AD382,1))&gt;2),(O382-S382)*(IFERROR(INDEX('TaxCred&amp;Subs'!$J$66:$J$99,MATCH(1,($C382&amp;$D382='TaxCred&amp;Subs'!$D$66:$D$99)*($F382='TaxCred&amp;Subs'!$C$66:$C$99),0)),0)),IF($C382&gt;2,(O382-S382)*(IFERROR(INDEX('TaxCred&amp;Subs'!$J$66:$J$99,MATCH(1,($C382&amp;$D382='TaxCred&amp;Subs'!$D$66:$D$99)*($F382='TaxCred&amp;Subs'!$C$66:$C$99),0)),0)),0))),0)</f>
        <v>0</v>
      </c>
      <c r="R382" s="95">
        <f t="array" ref="R382">ROUND(IF(IFERROR(VALUE(RIGHT($AD382,1)),0)&gt;2,IF($C382=8,N382*IFERROR(INDEX('TaxCred&amp;Subs'!$K$139:$S$151,MATCH($C382&amp;$D382&amp;LEFT($AD382,7),'TaxCred&amp;Subs'!$E$139:$E$151,0),MATCH($H382,'TaxCred&amp;Subs'!$K$137:$S$137,0)),0),IF($C382=2,N382*IFERROR(INDEX('TaxCred&amp;Subs'!$K$139:$S$151,MATCH($C382&amp;$D382,'TaxCred&amp;Subs'!$D$139:$D$151,0),MATCH($H382,'TaxCred&amp;Subs'!$K$137:$S$137,0)),0),N382*IFERROR(INDEX('TaxCred&amp;Subs'!$K$139:$S$151,MATCH($C382&amp;$D382,'TaxCred&amp;Subs'!$C$139:$C$151,0),MATCH($H382,'TaxCred&amp;Subs'!$K$137:$S$137,0)),0))),0),0)</f>
        <v>49</v>
      </c>
      <c r="S382" s="95">
        <f t="array" ref="S382">ROUND(IF(IFERROR(VALUE(RIGHT($AD382,1)),0)&gt;2,IF($C382=8,O382*IFERROR(INDEX('TaxCred&amp;Subs'!$K$139:$S$151,MATCH($C382&amp;$D382&amp;LEFT($AD382,7),'TaxCred&amp;Subs'!$E$139:$E$151,0),MATCH($H382,'TaxCred&amp;Subs'!$K$137:$S$137,0)),0),IF($C382=2,O382*IFERROR(INDEX('TaxCred&amp;Subs'!$K$139:$S$151,MATCH($C382&amp;$D382,'TaxCred&amp;Subs'!$D$139:$D$151,0),MATCH($H382,'TaxCred&amp;Subs'!$K$137:$S$137,0)),0),O382*IFERROR(INDEX('TaxCred&amp;Subs'!$K$139:$S$151,MATCH($C382&amp;$D382,'TaxCred&amp;Subs'!$C$139:$C$151,0),MATCH($H382,'TaxCred&amp;Subs'!$K$137:$S$137,0)),0))),0),0)</f>
        <v>32</v>
      </c>
      <c r="T382" s="95">
        <f t="shared" si="21"/>
        <v>0</v>
      </c>
      <c r="U382" s="95">
        <f t="shared" si="22"/>
        <v>0</v>
      </c>
      <c r="V382" s="28" t="s">
        <v>222</v>
      </c>
      <c r="W382" s="31">
        <v>2020</v>
      </c>
      <c r="X382" s="28">
        <v>1</v>
      </c>
      <c r="Y382" s="28">
        <v>0</v>
      </c>
      <c r="Z382" s="196">
        <v>-5.5122391377509595E-3</v>
      </c>
      <c r="AA382" s="196">
        <v>-8.4803679042322444E-2</v>
      </c>
      <c r="AB382" s="28">
        <v>0</v>
      </c>
      <c r="AC382" s="28">
        <v>0</v>
      </c>
      <c r="AD382" s="28" t="s">
        <v>350</v>
      </c>
    </row>
    <row r="383" spans="2:30" ht="14.25" customHeight="1" x14ac:dyDescent="0.2">
      <c r="B383" s="7">
        <f t="shared" si="23"/>
        <v>359</v>
      </c>
      <c r="C383" s="28">
        <v>2</v>
      </c>
      <c r="D383" s="28">
        <v>2</v>
      </c>
      <c r="E383" s="31">
        <v>7</v>
      </c>
      <c r="F383" s="96">
        <v>2020</v>
      </c>
      <c r="G383" s="28">
        <v>2021</v>
      </c>
      <c r="H383" s="28">
        <v>7</v>
      </c>
      <c r="I383" s="96">
        <v>42</v>
      </c>
      <c r="J383" s="28">
        <v>0</v>
      </c>
      <c r="K383" s="28">
        <v>0</v>
      </c>
      <c r="L383" s="28">
        <v>0</v>
      </c>
      <c r="M383" s="156">
        <v>4.9824150058616645</v>
      </c>
      <c r="N383" s="151">
        <v>5980</v>
      </c>
      <c r="O383" s="151">
        <v>3950</v>
      </c>
      <c r="P383" s="95">
        <f t="array" ref="P383">ROUND(IF($F383&lt;='TaxCred&amp;Subs'!$C$49,(IF($C383=2,IF($M383&gt;=IFERROR(INDEX('TaxCred&amp;Subs'!$L$12:$L$47,MATCH(1,($C383&amp;$D383='TaxCred&amp;Subs'!$E$12:$E$47)*($F383='TaxCred&amp;Subs'!$C$12:$C$47),0)
),9999),IFERROR(INDEX('TaxCred&amp;Subs'!$N$12:$N$47,MATCH(1,($C383&amp;$D383='TaxCred&amp;Subs'!$E$12:$E$47)*($F383='TaxCred&amp;Subs'!$C$12:$C$47),0)
),0),0),(IF($M383&gt;=IFERROR(INDEX('TaxCred&amp;Subs'!$H$12:$H$47,MATCH(1,($C383&amp;$D383='TaxCred&amp;Subs'!$D$12:$D$47)*($F383='TaxCred&amp;Subs'!$C$12:$C$47),0)
),9999),IFERROR(INDEX('TaxCred&amp;Subs'!$N$12:$N$47,MATCH(1,($C383&amp;$D383='TaxCred&amp;Subs'!$D$12:$D$47)*($F383='TaxCred&amp;Subs'!$C$12:$C$47),0)
),0),0)))),0)+IF(AND($C383=2,VALUE(RIGHT($AD383,1))&gt;2),(N383-R383)*(IFERROR(INDEX('TaxCred&amp;Subs'!$J$66:$J$99,MATCH(1,($C383&amp;$D383='TaxCred&amp;Subs'!$E$66:$E$99)*($F383='TaxCred&amp;Subs'!$C$66:$C$99),0)),0)),IF(AND($C383=1,VALUE(RIGHT($AD383,1))&gt;2),(N383-R383)*(IFERROR(INDEX('TaxCred&amp;Subs'!$J$66:$J$99,MATCH(1,($C383&amp;$D383='TaxCred&amp;Subs'!$D$66:$D$99)*($F383='TaxCred&amp;Subs'!$C$66:$C$99),0)),0)),IF($C383&gt;2,(N383-R383)*(IFERROR(INDEX('TaxCred&amp;Subs'!$J$66:$J$99,MATCH(1,($C383&amp;$D383='TaxCred&amp;Subs'!$D$66:$D$99)*($F383='TaxCred&amp;Subs'!$C$66:$C$99),0)),0)),0))),0)</f>
        <v>300</v>
      </c>
      <c r="Q383" s="95">
        <f t="array" ref="Q383">ROUND(IF(AND($C383=2,VALUE(RIGHT($AD383,1))&gt;2),(O383-S383)*(IFERROR(INDEX('TaxCred&amp;Subs'!$J$66:$J$99,MATCH(1,($C383&amp;$D383='TaxCred&amp;Subs'!$E$66:$E$99)*($F383='TaxCred&amp;Subs'!$C$66:$C$99),0)),0)),IF(AND($C383=1,VALUE(RIGHT($AD383,1))&gt;2),(O383-S383)*(IFERROR(INDEX('TaxCred&amp;Subs'!$J$66:$J$99,MATCH(1,($C383&amp;$D383='TaxCred&amp;Subs'!$D$66:$D$99)*($F383='TaxCred&amp;Subs'!$C$66:$C$99),0)),0)),IF($C383&gt;2,(O383-S383)*(IFERROR(INDEX('TaxCred&amp;Subs'!$J$66:$J$99,MATCH(1,($C383&amp;$D383='TaxCred&amp;Subs'!$D$66:$D$99)*($F383='TaxCred&amp;Subs'!$C$66:$C$99),0)),0)),0))),0)</f>
        <v>0</v>
      </c>
      <c r="R383" s="95">
        <f t="array" ref="R383">ROUND(IF(IFERROR(VALUE(RIGHT($AD383,1)),0)&gt;2,IF($C383=8,N383*IFERROR(INDEX('TaxCred&amp;Subs'!$K$139:$S$151,MATCH($C383&amp;$D383&amp;LEFT($AD383,7),'TaxCred&amp;Subs'!$E$139:$E$151,0),MATCH($H383,'TaxCred&amp;Subs'!$K$137:$S$137,0)),0),IF($C383=2,N383*IFERROR(INDEX('TaxCred&amp;Subs'!$K$139:$S$151,MATCH($C383&amp;$D383,'TaxCred&amp;Subs'!$D$139:$D$151,0),MATCH($H383,'TaxCred&amp;Subs'!$K$137:$S$137,0)),0),N383*IFERROR(INDEX('TaxCred&amp;Subs'!$K$139:$S$151,MATCH($C383&amp;$D383,'TaxCred&amp;Subs'!$C$139:$C$151,0),MATCH($H383,'TaxCred&amp;Subs'!$K$137:$S$137,0)),0))),0),0)</f>
        <v>662</v>
      </c>
      <c r="S383" s="95">
        <f t="array" ref="S383">ROUND(IF(IFERROR(VALUE(RIGHT($AD383,1)),0)&gt;2,IF($C383=8,O383*IFERROR(INDEX('TaxCred&amp;Subs'!$K$139:$S$151,MATCH($C383&amp;$D383&amp;LEFT($AD383,7),'TaxCred&amp;Subs'!$E$139:$E$151,0),MATCH($H383,'TaxCred&amp;Subs'!$K$137:$S$137,0)),0),IF($C383=2,O383*IFERROR(INDEX('TaxCred&amp;Subs'!$K$139:$S$151,MATCH($C383&amp;$D383,'TaxCred&amp;Subs'!$D$139:$D$151,0),MATCH($H383,'TaxCred&amp;Subs'!$K$137:$S$137,0)),0),O383*IFERROR(INDEX('TaxCred&amp;Subs'!$K$139:$S$151,MATCH($C383&amp;$D383,'TaxCred&amp;Subs'!$C$139:$C$151,0),MATCH($H383,'TaxCred&amp;Subs'!$K$137:$S$137,0)),0))),0),0)</f>
        <v>437</v>
      </c>
      <c r="T383" s="95">
        <f t="shared" si="21"/>
        <v>0</v>
      </c>
      <c r="U383" s="95">
        <f t="shared" si="22"/>
        <v>0</v>
      </c>
      <c r="V383" s="28" t="s">
        <v>222</v>
      </c>
      <c r="W383" s="31">
        <v>2020</v>
      </c>
      <c r="X383" s="28">
        <v>1</v>
      </c>
      <c r="Y383" s="28">
        <v>0</v>
      </c>
      <c r="Z383" s="196">
        <v>-5.5122391377509595E-3</v>
      </c>
      <c r="AA383" s="196">
        <v>-8.4803679042322444E-2</v>
      </c>
      <c r="AB383" s="28">
        <v>0</v>
      </c>
      <c r="AC383" s="28">
        <v>0</v>
      </c>
      <c r="AD383" s="28" t="s">
        <v>350</v>
      </c>
    </row>
    <row r="384" spans="2:30" ht="14.25" customHeight="1" x14ac:dyDescent="0.2">
      <c r="B384" s="7">
        <f t="shared" si="23"/>
        <v>360</v>
      </c>
      <c r="C384" s="28">
        <v>2</v>
      </c>
      <c r="D384" s="28">
        <v>2</v>
      </c>
      <c r="E384" s="31">
        <v>7</v>
      </c>
      <c r="F384" s="96">
        <v>2020</v>
      </c>
      <c r="G384" s="28">
        <v>2021</v>
      </c>
      <c r="H384" s="28">
        <v>8</v>
      </c>
      <c r="I384" s="96">
        <v>42</v>
      </c>
      <c r="J384" s="28">
        <v>0</v>
      </c>
      <c r="K384" s="28">
        <v>0</v>
      </c>
      <c r="L384" s="28">
        <v>0</v>
      </c>
      <c r="M384" s="156">
        <v>4.9824150058616645</v>
      </c>
      <c r="N384" s="151">
        <v>5980</v>
      </c>
      <c r="O384" s="151">
        <v>3950</v>
      </c>
      <c r="P384" s="95">
        <f t="array" ref="P384">ROUND(IF($F384&lt;='TaxCred&amp;Subs'!$C$49,(IF($C384=2,IF($M384&gt;=IFERROR(INDEX('TaxCred&amp;Subs'!$L$12:$L$47,MATCH(1,($C384&amp;$D384='TaxCred&amp;Subs'!$E$12:$E$47)*($F384='TaxCred&amp;Subs'!$C$12:$C$47),0)
),9999),IFERROR(INDEX('TaxCred&amp;Subs'!$N$12:$N$47,MATCH(1,($C384&amp;$D384='TaxCred&amp;Subs'!$E$12:$E$47)*($F384='TaxCred&amp;Subs'!$C$12:$C$47),0)
),0),0),(IF($M384&gt;=IFERROR(INDEX('TaxCred&amp;Subs'!$H$12:$H$47,MATCH(1,($C384&amp;$D384='TaxCred&amp;Subs'!$D$12:$D$47)*($F384='TaxCred&amp;Subs'!$C$12:$C$47),0)
),9999),IFERROR(INDEX('TaxCred&amp;Subs'!$N$12:$N$47,MATCH(1,($C384&amp;$D384='TaxCred&amp;Subs'!$D$12:$D$47)*($F384='TaxCred&amp;Subs'!$C$12:$C$47),0)
),0),0)))),0)+IF(AND($C384=2,VALUE(RIGHT($AD384,1))&gt;2),(N384-R384)*(IFERROR(INDEX('TaxCred&amp;Subs'!$J$66:$J$99,MATCH(1,($C384&amp;$D384='TaxCred&amp;Subs'!$E$66:$E$99)*($F384='TaxCred&amp;Subs'!$C$66:$C$99),0)),0)),IF(AND($C384=1,VALUE(RIGHT($AD384,1))&gt;2),(N384-R384)*(IFERROR(INDEX('TaxCred&amp;Subs'!$J$66:$J$99,MATCH(1,($C384&amp;$D384='TaxCred&amp;Subs'!$D$66:$D$99)*($F384='TaxCred&amp;Subs'!$C$66:$C$99),0)),0)),IF($C384&gt;2,(N384-R384)*(IFERROR(INDEX('TaxCred&amp;Subs'!$J$66:$J$99,MATCH(1,($C384&amp;$D384='TaxCred&amp;Subs'!$D$66:$D$99)*($F384='TaxCred&amp;Subs'!$C$66:$C$99),0)),0)),0))),0)</f>
        <v>300</v>
      </c>
      <c r="Q384" s="95">
        <f t="array" ref="Q384">ROUND(IF(AND($C384=2,VALUE(RIGHT($AD384,1))&gt;2),(O384-S384)*(IFERROR(INDEX('TaxCred&amp;Subs'!$J$66:$J$99,MATCH(1,($C384&amp;$D384='TaxCred&amp;Subs'!$E$66:$E$99)*($F384='TaxCred&amp;Subs'!$C$66:$C$99),0)),0)),IF(AND($C384=1,VALUE(RIGHT($AD384,1))&gt;2),(O384-S384)*(IFERROR(INDEX('TaxCred&amp;Subs'!$J$66:$J$99,MATCH(1,($C384&amp;$D384='TaxCred&amp;Subs'!$D$66:$D$99)*($F384='TaxCred&amp;Subs'!$C$66:$C$99),0)),0)),IF($C384&gt;2,(O384-S384)*(IFERROR(INDEX('TaxCred&amp;Subs'!$J$66:$J$99,MATCH(1,($C384&amp;$D384='TaxCred&amp;Subs'!$D$66:$D$99)*($F384='TaxCred&amp;Subs'!$C$66:$C$99),0)),0)),0))),0)</f>
        <v>0</v>
      </c>
      <c r="R384" s="95">
        <f t="array" ref="R384">ROUND(IF(IFERROR(VALUE(RIGHT($AD384,1)),0)&gt;2,IF($C384=8,N384*IFERROR(INDEX('TaxCred&amp;Subs'!$K$139:$S$151,MATCH($C384&amp;$D384&amp;LEFT($AD384,7),'TaxCred&amp;Subs'!$E$139:$E$151,0),MATCH($H384,'TaxCred&amp;Subs'!$K$137:$S$137,0)),0),IF($C384=2,N384*IFERROR(INDEX('TaxCred&amp;Subs'!$K$139:$S$151,MATCH($C384&amp;$D384,'TaxCred&amp;Subs'!$D$139:$D$151,0),MATCH($H384,'TaxCred&amp;Subs'!$K$137:$S$137,0)),0),N384*IFERROR(INDEX('TaxCred&amp;Subs'!$K$139:$S$151,MATCH($C384&amp;$D384,'TaxCred&amp;Subs'!$C$139:$C$151,0),MATCH($H384,'TaxCred&amp;Subs'!$K$137:$S$137,0)),0))),0),0)</f>
        <v>186</v>
      </c>
      <c r="S384" s="95">
        <f t="array" ref="S384">ROUND(IF(IFERROR(VALUE(RIGHT($AD384,1)),0)&gt;2,IF($C384=8,O384*IFERROR(INDEX('TaxCred&amp;Subs'!$K$139:$S$151,MATCH($C384&amp;$D384&amp;LEFT($AD384,7),'TaxCred&amp;Subs'!$E$139:$E$151,0),MATCH($H384,'TaxCred&amp;Subs'!$K$137:$S$137,0)),0),IF($C384=2,O384*IFERROR(INDEX('TaxCred&amp;Subs'!$K$139:$S$151,MATCH($C384&amp;$D384,'TaxCred&amp;Subs'!$D$139:$D$151,0),MATCH($H384,'TaxCred&amp;Subs'!$K$137:$S$137,0)),0),O384*IFERROR(INDEX('TaxCred&amp;Subs'!$K$139:$S$151,MATCH($C384&amp;$D384,'TaxCred&amp;Subs'!$C$139:$C$151,0),MATCH($H384,'TaxCred&amp;Subs'!$K$137:$S$137,0)),0))),0),0)</f>
        <v>123</v>
      </c>
      <c r="T384" s="95">
        <f t="shared" si="21"/>
        <v>0</v>
      </c>
      <c r="U384" s="95">
        <f t="shared" si="22"/>
        <v>0</v>
      </c>
      <c r="V384" s="28" t="s">
        <v>222</v>
      </c>
      <c r="W384" s="31">
        <v>2020</v>
      </c>
      <c r="X384" s="28">
        <v>1</v>
      </c>
      <c r="Y384" s="28">
        <v>0</v>
      </c>
      <c r="Z384" s="196">
        <v>-5.5122391377509595E-3</v>
      </c>
      <c r="AA384" s="196">
        <v>-8.4803679042322444E-2</v>
      </c>
      <c r="AB384" s="28">
        <v>0</v>
      </c>
      <c r="AC384" s="28">
        <v>0</v>
      </c>
      <c r="AD384" s="28" t="s">
        <v>350</v>
      </c>
    </row>
    <row r="385" spans="2:30" ht="14.25" customHeight="1" x14ac:dyDescent="0.2">
      <c r="B385" s="7">
        <f t="shared" si="23"/>
        <v>361</v>
      </c>
      <c r="C385" s="28">
        <v>2</v>
      </c>
      <c r="D385" s="28">
        <v>2</v>
      </c>
      <c r="E385" s="31">
        <v>7</v>
      </c>
      <c r="F385" s="96">
        <v>2020</v>
      </c>
      <c r="G385" s="28">
        <v>2021</v>
      </c>
      <c r="H385" s="28">
        <v>9</v>
      </c>
      <c r="I385" s="96">
        <v>42</v>
      </c>
      <c r="J385" s="28">
        <v>0</v>
      </c>
      <c r="K385" s="28">
        <v>0</v>
      </c>
      <c r="L385" s="28">
        <v>0</v>
      </c>
      <c r="M385" s="156">
        <v>4.9824150058616645</v>
      </c>
      <c r="N385" s="151">
        <v>5980</v>
      </c>
      <c r="O385" s="151">
        <v>3950</v>
      </c>
      <c r="P385" s="95">
        <f t="array" ref="P385">ROUND(IF($F385&lt;='TaxCred&amp;Subs'!$C$49,(IF($C385=2,IF($M385&gt;=IFERROR(INDEX('TaxCred&amp;Subs'!$L$12:$L$47,MATCH(1,($C385&amp;$D385='TaxCred&amp;Subs'!$E$12:$E$47)*($F385='TaxCred&amp;Subs'!$C$12:$C$47),0)
),9999),IFERROR(INDEX('TaxCred&amp;Subs'!$N$12:$N$47,MATCH(1,($C385&amp;$D385='TaxCred&amp;Subs'!$E$12:$E$47)*($F385='TaxCred&amp;Subs'!$C$12:$C$47),0)
),0),0),(IF($M385&gt;=IFERROR(INDEX('TaxCred&amp;Subs'!$H$12:$H$47,MATCH(1,($C385&amp;$D385='TaxCred&amp;Subs'!$D$12:$D$47)*($F385='TaxCred&amp;Subs'!$C$12:$C$47),0)
),9999),IFERROR(INDEX('TaxCred&amp;Subs'!$N$12:$N$47,MATCH(1,($C385&amp;$D385='TaxCred&amp;Subs'!$D$12:$D$47)*($F385='TaxCred&amp;Subs'!$C$12:$C$47),0)
),0),0)))),0)+IF(AND($C385=2,VALUE(RIGHT($AD385,1))&gt;2),(N385-R385)*(IFERROR(INDEX('TaxCred&amp;Subs'!$J$66:$J$99,MATCH(1,($C385&amp;$D385='TaxCred&amp;Subs'!$E$66:$E$99)*($F385='TaxCred&amp;Subs'!$C$66:$C$99),0)),0)),IF(AND($C385=1,VALUE(RIGHT($AD385,1))&gt;2),(N385-R385)*(IFERROR(INDEX('TaxCred&amp;Subs'!$J$66:$J$99,MATCH(1,($C385&amp;$D385='TaxCred&amp;Subs'!$D$66:$D$99)*($F385='TaxCred&amp;Subs'!$C$66:$C$99),0)),0)),IF($C385&gt;2,(N385-R385)*(IFERROR(INDEX('TaxCred&amp;Subs'!$J$66:$J$99,MATCH(1,($C385&amp;$D385='TaxCred&amp;Subs'!$D$66:$D$99)*($F385='TaxCred&amp;Subs'!$C$66:$C$99),0)),0)),0))),0)</f>
        <v>300</v>
      </c>
      <c r="Q385" s="95">
        <f t="array" ref="Q385">ROUND(IF(AND($C385=2,VALUE(RIGHT($AD385,1))&gt;2),(O385-S385)*(IFERROR(INDEX('TaxCred&amp;Subs'!$J$66:$J$99,MATCH(1,($C385&amp;$D385='TaxCred&amp;Subs'!$E$66:$E$99)*($F385='TaxCred&amp;Subs'!$C$66:$C$99),0)),0)),IF(AND($C385=1,VALUE(RIGHT($AD385,1))&gt;2),(O385-S385)*(IFERROR(INDEX('TaxCred&amp;Subs'!$J$66:$J$99,MATCH(1,($C385&amp;$D385='TaxCred&amp;Subs'!$D$66:$D$99)*($F385='TaxCred&amp;Subs'!$C$66:$C$99),0)),0)),IF($C385&gt;2,(O385-S385)*(IFERROR(INDEX('TaxCred&amp;Subs'!$J$66:$J$99,MATCH(1,($C385&amp;$D385='TaxCred&amp;Subs'!$D$66:$D$99)*($F385='TaxCred&amp;Subs'!$C$66:$C$99),0)),0)),0))),0)</f>
        <v>0</v>
      </c>
      <c r="R385" s="95">
        <f t="array" ref="R385">ROUND(IF(IFERROR(VALUE(RIGHT($AD385,1)),0)&gt;2,IF($C385=8,N385*IFERROR(INDEX('TaxCred&amp;Subs'!$K$139:$S$151,MATCH($C385&amp;$D385&amp;LEFT($AD385,7),'TaxCred&amp;Subs'!$E$139:$E$151,0),MATCH($H385,'TaxCred&amp;Subs'!$K$137:$S$137,0)),0),IF($C385=2,N385*IFERROR(INDEX('TaxCred&amp;Subs'!$K$139:$S$151,MATCH($C385&amp;$D385,'TaxCred&amp;Subs'!$D$139:$D$151,0),MATCH($H385,'TaxCred&amp;Subs'!$K$137:$S$137,0)),0),N385*IFERROR(INDEX('TaxCred&amp;Subs'!$K$139:$S$151,MATCH($C385&amp;$D385,'TaxCred&amp;Subs'!$C$139:$C$151,0),MATCH($H385,'TaxCred&amp;Subs'!$K$137:$S$137,0)),0))),0),0)</f>
        <v>375</v>
      </c>
      <c r="S385" s="95">
        <f t="array" ref="S385">ROUND(IF(IFERROR(VALUE(RIGHT($AD385,1)),0)&gt;2,IF($C385=8,O385*IFERROR(INDEX('TaxCred&amp;Subs'!$K$139:$S$151,MATCH($C385&amp;$D385&amp;LEFT($AD385,7),'TaxCred&amp;Subs'!$E$139:$E$151,0),MATCH($H385,'TaxCred&amp;Subs'!$K$137:$S$137,0)),0),IF($C385=2,O385*IFERROR(INDEX('TaxCred&amp;Subs'!$K$139:$S$151,MATCH($C385&amp;$D385,'TaxCred&amp;Subs'!$D$139:$D$151,0),MATCH($H385,'TaxCred&amp;Subs'!$K$137:$S$137,0)),0),O385*IFERROR(INDEX('TaxCred&amp;Subs'!$K$139:$S$151,MATCH($C385&amp;$D385,'TaxCred&amp;Subs'!$C$139:$C$151,0),MATCH($H385,'TaxCred&amp;Subs'!$K$137:$S$137,0)),0))),0),0)</f>
        <v>248</v>
      </c>
      <c r="T385" s="172">
        <f t="shared" si="21"/>
        <v>852</v>
      </c>
      <c r="U385" s="172">
        <f t="shared" si="22"/>
        <v>592.5</v>
      </c>
      <c r="V385" s="28" t="s">
        <v>222</v>
      </c>
      <c r="W385" s="31">
        <v>2020</v>
      </c>
      <c r="X385" s="28">
        <v>1</v>
      </c>
      <c r="Y385" s="28">
        <v>0</v>
      </c>
      <c r="Z385" s="196">
        <v>-5.5122391377509595E-3</v>
      </c>
      <c r="AA385" s="196">
        <v>-8.4803679042322444E-2</v>
      </c>
      <c r="AB385" s="28">
        <v>0</v>
      </c>
      <c r="AC385" s="28">
        <v>0</v>
      </c>
      <c r="AD385" s="28" t="s">
        <v>350</v>
      </c>
    </row>
    <row r="386" spans="2:30" ht="14.25" customHeight="1" x14ac:dyDescent="0.2">
      <c r="B386" s="7">
        <f t="shared" si="23"/>
        <v>362</v>
      </c>
      <c r="C386" s="28">
        <v>2</v>
      </c>
      <c r="D386" s="28">
        <v>2</v>
      </c>
      <c r="E386" s="31">
        <v>7</v>
      </c>
      <c r="F386" s="78">
        <v>2022</v>
      </c>
      <c r="G386" s="28">
        <v>2032</v>
      </c>
      <c r="H386" s="28">
        <v>1</v>
      </c>
      <c r="I386" s="96">
        <v>42</v>
      </c>
      <c r="J386" s="28">
        <v>0</v>
      </c>
      <c r="K386" s="28">
        <v>0</v>
      </c>
      <c r="L386" s="28">
        <v>0</v>
      </c>
      <c r="M386" s="156">
        <v>4.9824150058616645</v>
      </c>
      <c r="N386" s="151">
        <v>5980</v>
      </c>
      <c r="O386" s="151">
        <v>3950</v>
      </c>
      <c r="P386" s="95">
        <f t="array" ref="P386">ROUND(IF($F386&lt;='TaxCred&amp;Subs'!$C$49,(IF($C386=2,IF($M386&gt;=IFERROR(INDEX('TaxCred&amp;Subs'!$L$12:$L$47,MATCH(1,($C386&amp;$D386='TaxCred&amp;Subs'!$E$12:$E$47)*($F386='TaxCred&amp;Subs'!$C$12:$C$47),0)
),9999),IFERROR(INDEX('TaxCred&amp;Subs'!$N$12:$N$47,MATCH(1,($C386&amp;$D386='TaxCred&amp;Subs'!$E$12:$E$47)*($F386='TaxCred&amp;Subs'!$C$12:$C$47),0)
),0),0),(IF($M386&gt;=IFERROR(INDEX('TaxCred&amp;Subs'!$H$12:$H$47,MATCH(1,($C386&amp;$D386='TaxCred&amp;Subs'!$D$12:$D$47)*($F386='TaxCred&amp;Subs'!$C$12:$C$47),0)
),9999),IFERROR(INDEX('TaxCred&amp;Subs'!$N$12:$N$47,MATCH(1,($C386&amp;$D386='TaxCred&amp;Subs'!$D$12:$D$47)*($F386='TaxCred&amp;Subs'!$C$12:$C$47),0)
),0),0)))),0)+IF(AND($C386=2,VALUE(RIGHT($AD386,1))&gt;2),(N386-R386)*(IFERROR(INDEX('TaxCred&amp;Subs'!$J$66:$J$99,MATCH(1,($C386&amp;$D386='TaxCred&amp;Subs'!$E$66:$E$99)*($F386='TaxCred&amp;Subs'!$C$66:$C$99),0)),0)),IF(AND($C386=1,VALUE(RIGHT($AD386,1))&gt;2),(N386-R386)*(IFERROR(INDEX('TaxCred&amp;Subs'!$J$66:$J$99,MATCH(1,($C386&amp;$D386='TaxCred&amp;Subs'!$D$66:$D$99)*($F386='TaxCred&amp;Subs'!$C$66:$C$99),0)),0)),IF($C386&gt;2,(N386-R386)*(IFERROR(INDEX('TaxCred&amp;Subs'!$J$66:$J$99,MATCH(1,($C386&amp;$D386='TaxCred&amp;Subs'!$D$66:$D$99)*($F386='TaxCred&amp;Subs'!$C$66:$C$99),0)),0)),0))),0)</f>
        <v>2000</v>
      </c>
      <c r="Q386" s="95">
        <f t="array" ref="Q386">ROUND(IF(AND($C386=2,VALUE(RIGHT($AD386,1))&gt;2),(O386-S386)*(IFERROR(INDEX('TaxCred&amp;Subs'!$J$66:$J$99,MATCH(1,($C386&amp;$D386='TaxCred&amp;Subs'!$E$66:$E$99)*($F386='TaxCred&amp;Subs'!$C$66:$C$99),0)),0)),IF(AND($C386=1,VALUE(RIGHT($AD386,1))&gt;2),(O386-S386)*(IFERROR(INDEX('TaxCred&amp;Subs'!$J$66:$J$99,MATCH(1,($C386&amp;$D386='TaxCred&amp;Subs'!$D$66:$D$99)*($F386='TaxCred&amp;Subs'!$C$66:$C$99),0)),0)),IF($C386&gt;2,(O386-S386)*(IFERROR(INDEX('TaxCred&amp;Subs'!$J$66:$J$99,MATCH(1,($C386&amp;$D386='TaxCred&amp;Subs'!$D$66:$D$99)*($F386='TaxCred&amp;Subs'!$C$66:$C$99),0)),0)),0))),0)</f>
        <v>0</v>
      </c>
      <c r="R386" s="95">
        <f t="array" ref="R386">ROUND(IF(IFERROR(VALUE(RIGHT($AD386,1)),0)&gt;2,IF($C386=8,N386*IFERROR(INDEX('TaxCred&amp;Subs'!$K$139:$S$151,MATCH($C386&amp;$D386&amp;LEFT($AD386,7),'TaxCred&amp;Subs'!$E$139:$E$151,0),MATCH($H386,'TaxCred&amp;Subs'!$K$137:$S$137,0)),0),IF($C386=2,N386*IFERROR(INDEX('TaxCred&amp;Subs'!$K$139:$S$151,MATCH($C386&amp;$D386,'TaxCred&amp;Subs'!$D$139:$D$151,0),MATCH($H386,'TaxCred&amp;Subs'!$K$137:$S$137,0)),0),N386*IFERROR(INDEX('TaxCred&amp;Subs'!$K$139:$S$151,MATCH($C386&amp;$D386,'TaxCred&amp;Subs'!$C$139:$C$151,0),MATCH($H386,'TaxCred&amp;Subs'!$K$137:$S$137,0)),0))),0),0)</f>
        <v>214</v>
      </c>
      <c r="S386" s="95">
        <f t="array" ref="S386">ROUND(IF(IFERROR(VALUE(RIGHT($AD386,1)),0)&gt;2,IF($C386=8,O386*IFERROR(INDEX('TaxCred&amp;Subs'!$K$139:$S$151,MATCH($C386&amp;$D386&amp;LEFT($AD386,7),'TaxCred&amp;Subs'!$E$139:$E$151,0),MATCH($H386,'TaxCred&amp;Subs'!$K$137:$S$137,0)),0),IF($C386=2,O386*IFERROR(INDEX('TaxCred&amp;Subs'!$K$139:$S$151,MATCH($C386&amp;$D386,'TaxCred&amp;Subs'!$D$139:$D$151,0),MATCH($H386,'TaxCred&amp;Subs'!$K$137:$S$137,0)),0),O386*IFERROR(INDEX('TaxCred&amp;Subs'!$K$139:$S$151,MATCH($C386&amp;$D386,'TaxCred&amp;Subs'!$C$139:$C$151,0),MATCH($H386,'TaxCred&amp;Subs'!$K$137:$S$137,0)),0))),0),0)</f>
        <v>141</v>
      </c>
      <c r="T386" s="95">
        <f t="shared" si="21"/>
        <v>0</v>
      </c>
      <c r="U386" s="95">
        <f t="shared" si="22"/>
        <v>0</v>
      </c>
      <c r="V386" s="28" t="s">
        <v>222</v>
      </c>
      <c r="W386" s="31">
        <v>2020</v>
      </c>
      <c r="X386" s="28">
        <v>1</v>
      </c>
      <c r="Y386" s="28">
        <v>0</v>
      </c>
      <c r="Z386" s="196">
        <v>-5.5122391377509595E-3</v>
      </c>
      <c r="AA386" s="196">
        <v>-8.4803679042322444E-2</v>
      </c>
      <c r="AB386" s="28">
        <v>0</v>
      </c>
      <c r="AC386" s="28">
        <v>0</v>
      </c>
      <c r="AD386" s="28" t="s">
        <v>350</v>
      </c>
    </row>
    <row r="387" spans="2:30" ht="14.25" customHeight="1" x14ac:dyDescent="0.2">
      <c r="B387" s="7">
        <f t="shared" si="23"/>
        <v>363</v>
      </c>
      <c r="C387" s="28">
        <v>2</v>
      </c>
      <c r="D387" s="28">
        <v>2</v>
      </c>
      <c r="E387" s="31">
        <v>7</v>
      </c>
      <c r="F387" s="78">
        <v>2022</v>
      </c>
      <c r="G387" s="28">
        <v>2032</v>
      </c>
      <c r="H387" s="28">
        <v>2</v>
      </c>
      <c r="I387" s="96">
        <v>42</v>
      </c>
      <c r="J387" s="28">
        <v>0</v>
      </c>
      <c r="K387" s="28">
        <v>0</v>
      </c>
      <c r="L387" s="28">
        <v>0</v>
      </c>
      <c r="M387" s="156">
        <v>4.9824150058616645</v>
      </c>
      <c r="N387" s="151">
        <v>5980</v>
      </c>
      <c r="O387" s="151">
        <v>3950</v>
      </c>
      <c r="P387" s="95">
        <f t="array" ref="P387">ROUND(IF($F387&lt;='TaxCred&amp;Subs'!$C$49,(IF($C387=2,IF($M387&gt;=IFERROR(INDEX('TaxCred&amp;Subs'!$L$12:$L$47,MATCH(1,($C387&amp;$D387='TaxCred&amp;Subs'!$E$12:$E$47)*($F387='TaxCred&amp;Subs'!$C$12:$C$47),0)
),9999),IFERROR(INDEX('TaxCred&amp;Subs'!$N$12:$N$47,MATCH(1,($C387&amp;$D387='TaxCred&amp;Subs'!$E$12:$E$47)*($F387='TaxCred&amp;Subs'!$C$12:$C$47),0)
),0),0),(IF($M387&gt;=IFERROR(INDEX('TaxCred&amp;Subs'!$H$12:$H$47,MATCH(1,($C387&amp;$D387='TaxCred&amp;Subs'!$D$12:$D$47)*($F387='TaxCred&amp;Subs'!$C$12:$C$47),0)
),9999),IFERROR(INDEX('TaxCred&amp;Subs'!$N$12:$N$47,MATCH(1,($C387&amp;$D387='TaxCred&amp;Subs'!$D$12:$D$47)*($F387='TaxCred&amp;Subs'!$C$12:$C$47),0)
),0),0)))),0)+IF(AND($C387=2,VALUE(RIGHT($AD387,1))&gt;2),(N387-R387)*(IFERROR(INDEX('TaxCred&amp;Subs'!$J$66:$J$99,MATCH(1,($C387&amp;$D387='TaxCred&amp;Subs'!$E$66:$E$99)*($F387='TaxCred&amp;Subs'!$C$66:$C$99),0)),0)),IF(AND($C387=1,VALUE(RIGHT($AD387,1))&gt;2),(N387-R387)*(IFERROR(INDEX('TaxCred&amp;Subs'!$J$66:$J$99,MATCH(1,($C387&amp;$D387='TaxCred&amp;Subs'!$D$66:$D$99)*($F387='TaxCred&amp;Subs'!$C$66:$C$99),0)),0)),IF($C387&gt;2,(N387-R387)*(IFERROR(INDEX('TaxCred&amp;Subs'!$J$66:$J$99,MATCH(1,($C387&amp;$D387='TaxCred&amp;Subs'!$D$66:$D$99)*($F387='TaxCred&amp;Subs'!$C$66:$C$99),0)),0)),0))),0)</f>
        <v>2000</v>
      </c>
      <c r="Q387" s="95">
        <f t="array" ref="Q387">ROUND(IF(AND($C387=2,VALUE(RIGHT($AD387,1))&gt;2),(O387-S387)*(IFERROR(INDEX('TaxCred&amp;Subs'!$J$66:$J$99,MATCH(1,($C387&amp;$D387='TaxCred&amp;Subs'!$E$66:$E$99)*($F387='TaxCred&amp;Subs'!$C$66:$C$99),0)),0)),IF(AND($C387=1,VALUE(RIGHT($AD387,1))&gt;2),(O387-S387)*(IFERROR(INDEX('TaxCred&amp;Subs'!$J$66:$J$99,MATCH(1,($C387&amp;$D387='TaxCred&amp;Subs'!$D$66:$D$99)*($F387='TaxCred&amp;Subs'!$C$66:$C$99),0)),0)),IF($C387&gt;2,(O387-S387)*(IFERROR(INDEX('TaxCred&amp;Subs'!$J$66:$J$99,MATCH(1,($C387&amp;$D387='TaxCred&amp;Subs'!$D$66:$D$99)*($F387='TaxCred&amp;Subs'!$C$66:$C$99),0)),0)),0))),0)</f>
        <v>0</v>
      </c>
      <c r="R387" s="95">
        <f t="array" ref="R387">ROUND(IF(IFERROR(VALUE(RIGHT($AD387,1)),0)&gt;2,IF($C387=8,N387*IFERROR(INDEX('TaxCred&amp;Subs'!$K$139:$S$151,MATCH($C387&amp;$D387&amp;LEFT($AD387,7),'TaxCred&amp;Subs'!$E$139:$E$151,0),MATCH($H387,'TaxCred&amp;Subs'!$K$137:$S$137,0)),0),IF($C387=2,N387*IFERROR(INDEX('TaxCred&amp;Subs'!$K$139:$S$151,MATCH($C387&amp;$D387,'TaxCred&amp;Subs'!$D$139:$D$151,0),MATCH($H387,'TaxCred&amp;Subs'!$K$137:$S$137,0)),0),N387*IFERROR(INDEX('TaxCred&amp;Subs'!$K$139:$S$151,MATCH($C387&amp;$D387,'TaxCred&amp;Subs'!$C$139:$C$151,0),MATCH($H387,'TaxCred&amp;Subs'!$K$137:$S$137,0)),0))),0),0)</f>
        <v>251</v>
      </c>
      <c r="S387" s="95">
        <f t="array" ref="S387">ROUND(IF(IFERROR(VALUE(RIGHT($AD387,1)),0)&gt;2,IF($C387=8,O387*IFERROR(INDEX('TaxCred&amp;Subs'!$K$139:$S$151,MATCH($C387&amp;$D387&amp;LEFT($AD387,7),'TaxCred&amp;Subs'!$E$139:$E$151,0),MATCH($H387,'TaxCred&amp;Subs'!$K$137:$S$137,0)),0),IF($C387=2,O387*IFERROR(INDEX('TaxCred&amp;Subs'!$K$139:$S$151,MATCH($C387&amp;$D387,'TaxCred&amp;Subs'!$D$139:$D$151,0),MATCH($H387,'TaxCred&amp;Subs'!$K$137:$S$137,0)),0),O387*IFERROR(INDEX('TaxCred&amp;Subs'!$K$139:$S$151,MATCH($C387&amp;$D387,'TaxCred&amp;Subs'!$C$139:$C$151,0),MATCH($H387,'TaxCred&amp;Subs'!$K$137:$S$137,0)),0))),0),0)</f>
        <v>166</v>
      </c>
      <c r="T387" s="95">
        <f t="shared" si="21"/>
        <v>0</v>
      </c>
      <c r="U387" s="95">
        <f t="shared" si="22"/>
        <v>0</v>
      </c>
      <c r="V387" s="28" t="s">
        <v>222</v>
      </c>
      <c r="W387" s="31">
        <v>2020</v>
      </c>
      <c r="X387" s="28">
        <v>1</v>
      </c>
      <c r="Y387" s="28">
        <v>0</v>
      </c>
      <c r="Z387" s="196">
        <v>-5.5122391377509595E-3</v>
      </c>
      <c r="AA387" s="196">
        <v>-8.4803679042322444E-2</v>
      </c>
      <c r="AB387" s="28">
        <v>0</v>
      </c>
      <c r="AC387" s="28">
        <v>0</v>
      </c>
      <c r="AD387" s="28" t="s">
        <v>350</v>
      </c>
    </row>
    <row r="388" spans="2:30" ht="14.25" customHeight="1" x14ac:dyDescent="0.2">
      <c r="B388" s="7">
        <f t="shared" si="23"/>
        <v>364</v>
      </c>
      <c r="C388" s="28">
        <v>2</v>
      </c>
      <c r="D388" s="28">
        <v>2</v>
      </c>
      <c r="E388" s="31">
        <v>7</v>
      </c>
      <c r="F388" s="78">
        <v>2022</v>
      </c>
      <c r="G388" s="28">
        <v>2032</v>
      </c>
      <c r="H388" s="28">
        <v>3</v>
      </c>
      <c r="I388" s="96">
        <v>42</v>
      </c>
      <c r="J388" s="28">
        <v>0</v>
      </c>
      <c r="K388" s="28">
        <v>0</v>
      </c>
      <c r="L388" s="28">
        <v>0</v>
      </c>
      <c r="M388" s="156">
        <v>4.9824150058616645</v>
      </c>
      <c r="N388" s="151">
        <v>5980</v>
      </c>
      <c r="O388" s="151">
        <v>3950</v>
      </c>
      <c r="P388" s="95">
        <f t="array" ref="P388">ROUND(IF($F388&lt;='TaxCred&amp;Subs'!$C$49,(IF($C388=2,IF($M388&gt;=IFERROR(INDEX('TaxCred&amp;Subs'!$L$12:$L$47,MATCH(1,($C388&amp;$D388='TaxCred&amp;Subs'!$E$12:$E$47)*($F388='TaxCred&amp;Subs'!$C$12:$C$47),0)
),9999),IFERROR(INDEX('TaxCred&amp;Subs'!$N$12:$N$47,MATCH(1,($C388&amp;$D388='TaxCred&amp;Subs'!$E$12:$E$47)*($F388='TaxCred&amp;Subs'!$C$12:$C$47),0)
),0),0),(IF($M388&gt;=IFERROR(INDEX('TaxCred&amp;Subs'!$H$12:$H$47,MATCH(1,($C388&amp;$D388='TaxCred&amp;Subs'!$D$12:$D$47)*($F388='TaxCred&amp;Subs'!$C$12:$C$47),0)
),9999),IFERROR(INDEX('TaxCred&amp;Subs'!$N$12:$N$47,MATCH(1,($C388&amp;$D388='TaxCred&amp;Subs'!$D$12:$D$47)*($F388='TaxCred&amp;Subs'!$C$12:$C$47),0)
),0),0)))),0)+IF(AND($C388=2,VALUE(RIGHT($AD388,1))&gt;2),(N388-R388)*(IFERROR(INDEX('TaxCred&amp;Subs'!$J$66:$J$99,MATCH(1,($C388&amp;$D388='TaxCred&amp;Subs'!$E$66:$E$99)*($F388='TaxCred&amp;Subs'!$C$66:$C$99),0)),0)),IF(AND($C388=1,VALUE(RIGHT($AD388,1))&gt;2),(N388-R388)*(IFERROR(INDEX('TaxCred&amp;Subs'!$J$66:$J$99,MATCH(1,($C388&amp;$D388='TaxCred&amp;Subs'!$D$66:$D$99)*($F388='TaxCred&amp;Subs'!$C$66:$C$99),0)),0)),IF($C388&gt;2,(N388-R388)*(IFERROR(INDEX('TaxCred&amp;Subs'!$J$66:$J$99,MATCH(1,($C388&amp;$D388='TaxCred&amp;Subs'!$D$66:$D$99)*($F388='TaxCred&amp;Subs'!$C$66:$C$99),0)),0)),0))),0)</f>
        <v>2000</v>
      </c>
      <c r="Q388" s="95">
        <f t="array" ref="Q388">ROUND(IF(AND($C388=2,VALUE(RIGHT($AD388,1))&gt;2),(O388-S388)*(IFERROR(INDEX('TaxCred&amp;Subs'!$J$66:$J$99,MATCH(1,($C388&amp;$D388='TaxCred&amp;Subs'!$E$66:$E$99)*($F388='TaxCred&amp;Subs'!$C$66:$C$99),0)),0)),IF(AND($C388=1,VALUE(RIGHT($AD388,1))&gt;2),(O388-S388)*(IFERROR(INDEX('TaxCred&amp;Subs'!$J$66:$J$99,MATCH(1,($C388&amp;$D388='TaxCred&amp;Subs'!$D$66:$D$99)*($F388='TaxCred&amp;Subs'!$C$66:$C$99),0)),0)),IF($C388&gt;2,(O388-S388)*(IFERROR(INDEX('TaxCred&amp;Subs'!$J$66:$J$99,MATCH(1,($C388&amp;$D388='TaxCred&amp;Subs'!$D$66:$D$99)*($F388='TaxCred&amp;Subs'!$C$66:$C$99),0)),0)),0))),0)</f>
        <v>0</v>
      </c>
      <c r="R388" s="95">
        <f t="array" ref="R388">ROUND(IF(IFERROR(VALUE(RIGHT($AD388,1)),0)&gt;2,IF($C388=8,N388*IFERROR(INDEX('TaxCred&amp;Subs'!$K$139:$S$151,MATCH($C388&amp;$D388&amp;LEFT($AD388,7),'TaxCred&amp;Subs'!$E$139:$E$151,0),MATCH($H388,'TaxCred&amp;Subs'!$K$137:$S$137,0)),0),IF($C388=2,N388*IFERROR(INDEX('TaxCred&amp;Subs'!$K$139:$S$151,MATCH($C388&amp;$D388,'TaxCred&amp;Subs'!$D$139:$D$151,0),MATCH($H388,'TaxCred&amp;Subs'!$K$137:$S$137,0)),0),N388*IFERROR(INDEX('TaxCred&amp;Subs'!$K$139:$S$151,MATCH($C388&amp;$D388,'TaxCred&amp;Subs'!$C$139:$C$151,0),MATCH($H388,'TaxCred&amp;Subs'!$K$137:$S$137,0)),0))),0),0)</f>
        <v>205</v>
      </c>
      <c r="S388" s="95">
        <f t="array" ref="S388">ROUND(IF(IFERROR(VALUE(RIGHT($AD388,1)),0)&gt;2,IF($C388=8,O388*IFERROR(INDEX('TaxCred&amp;Subs'!$K$139:$S$151,MATCH($C388&amp;$D388&amp;LEFT($AD388,7),'TaxCred&amp;Subs'!$E$139:$E$151,0),MATCH($H388,'TaxCred&amp;Subs'!$K$137:$S$137,0)),0),IF($C388=2,O388*IFERROR(INDEX('TaxCred&amp;Subs'!$K$139:$S$151,MATCH($C388&amp;$D388,'TaxCred&amp;Subs'!$D$139:$D$151,0),MATCH($H388,'TaxCred&amp;Subs'!$K$137:$S$137,0)),0),O388*IFERROR(INDEX('TaxCred&amp;Subs'!$K$139:$S$151,MATCH($C388&amp;$D388,'TaxCred&amp;Subs'!$C$139:$C$151,0),MATCH($H388,'TaxCred&amp;Subs'!$K$137:$S$137,0)),0))),0),0)</f>
        <v>135</v>
      </c>
      <c r="T388" s="95">
        <f t="shared" si="21"/>
        <v>0</v>
      </c>
      <c r="U388" s="95">
        <f t="shared" si="22"/>
        <v>0</v>
      </c>
      <c r="V388" s="28" t="s">
        <v>222</v>
      </c>
      <c r="W388" s="31">
        <v>2020</v>
      </c>
      <c r="X388" s="28">
        <v>1</v>
      </c>
      <c r="Y388" s="28">
        <v>0</v>
      </c>
      <c r="Z388" s="196">
        <v>-5.5122391377509595E-3</v>
      </c>
      <c r="AA388" s="196">
        <v>-8.4803679042322444E-2</v>
      </c>
      <c r="AB388" s="28">
        <v>0</v>
      </c>
      <c r="AC388" s="28">
        <v>0</v>
      </c>
      <c r="AD388" s="28" t="s">
        <v>350</v>
      </c>
    </row>
    <row r="389" spans="2:30" ht="14.25" customHeight="1" x14ac:dyDescent="0.2">
      <c r="B389" s="7">
        <f t="shared" si="23"/>
        <v>365</v>
      </c>
      <c r="C389" s="28">
        <v>2</v>
      </c>
      <c r="D389" s="28">
        <v>2</v>
      </c>
      <c r="E389" s="31">
        <v>7</v>
      </c>
      <c r="F389" s="78">
        <v>2022</v>
      </c>
      <c r="G389" s="28">
        <v>2032</v>
      </c>
      <c r="H389" s="28">
        <v>4</v>
      </c>
      <c r="I389" s="96">
        <v>42</v>
      </c>
      <c r="J389" s="28">
        <v>0</v>
      </c>
      <c r="K389" s="28">
        <v>0</v>
      </c>
      <c r="L389" s="28">
        <v>0</v>
      </c>
      <c r="M389" s="156">
        <v>4.9824150058616645</v>
      </c>
      <c r="N389" s="151">
        <v>5980</v>
      </c>
      <c r="O389" s="151">
        <v>3950</v>
      </c>
      <c r="P389" s="95">
        <f t="array" ref="P389">ROUND(IF($F389&lt;='TaxCred&amp;Subs'!$C$49,(IF($C389=2,IF($M389&gt;=IFERROR(INDEX('TaxCred&amp;Subs'!$L$12:$L$47,MATCH(1,($C389&amp;$D389='TaxCred&amp;Subs'!$E$12:$E$47)*($F389='TaxCred&amp;Subs'!$C$12:$C$47),0)
),9999),IFERROR(INDEX('TaxCred&amp;Subs'!$N$12:$N$47,MATCH(1,($C389&amp;$D389='TaxCred&amp;Subs'!$E$12:$E$47)*($F389='TaxCred&amp;Subs'!$C$12:$C$47),0)
),0),0),(IF($M389&gt;=IFERROR(INDEX('TaxCred&amp;Subs'!$H$12:$H$47,MATCH(1,($C389&amp;$D389='TaxCred&amp;Subs'!$D$12:$D$47)*($F389='TaxCred&amp;Subs'!$C$12:$C$47),0)
),9999),IFERROR(INDEX('TaxCred&amp;Subs'!$N$12:$N$47,MATCH(1,($C389&amp;$D389='TaxCred&amp;Subs'!$D$12:$D$47)*($F389='TaxCred&amp;Subs'!$C$12:$C$47),0)
),0),0)))),0)+IF(AND($C389=2,VALUE(RIGHT($AD389,1))&gt;2),(N389-R389)*(IFERROR(INDEX('TaxCred&amp;Subs'!$J$66:$J$99,MATCH(1,($C389&amp;$D389='TaxCred&amp;Subs'!$E$66:$E$99)*($F389='TaxCred&amp;Subs'!$C$66:$C$99),0)),0)),IF(AND($C389=1,VALUE(RIGHT($AD389,1))&gt;2),(N389-R389)*(IFERROR(INDEX('TaxCred&amp;Subs'!$J$66:$J$99,MATCH(1,($C389&amp;$D389='TaxCred&amp;Subs'!$D$66:$D$99)*($F389='TaxCred&amp;Subs'!$C$66:$C$99),0)),0)),IF($C389&gt;2,(N389-R389)*(IFERROR(INDEX('TaxCred&amp;Subs'!$J$66:$J$99,MATCH(1,($C389&amp;$D389='TaxCred&amp;Subs'!$D$66:$D$99)*($F389='TaxCred&amp;Subs'!$C$66:$C$99),0)),0)),0))),0)</f>
        <v>2000</v>
      </c>
      <c r="Q389" s="95">
        <f t="array" ref="Q389">ROUND(IF(AND($C389=2,VALUE(RIGHT($AD389,1))&gt;2),(O389-S389)*(IFERROR(INDEX('TaxCred&amp;Subs'!$J$66:$J$99,MATCH(1,($C389&amp;$D389='TaxCred&amp;Subs'!$E$66:$E$99)*($F389='TaxCred&amp;Subs'!$C$66:$C$99),0)),0)),IF(AND($C389=1,VALUE(RIGHT($AD389,1))&gt;2),(O389-S389)*(IFERROR(INDEX('TaxCred&amp;Subs'!$J$66:$J$99,MATCH(1,($C389&amp;$D389='TaxCred&amp;Subs'!$D$66:$D$99)*($F389='TaxCred&amp;Subs'!$C$66:$C$99),0)),0)),IF($C389&gt;2,(O389-S389)*(IFERROR(INDEX('TaxCred&amp;Subs'!$J$66:$J$99,MATCH(1,($C389&amp;$D389='TaxCred&amp;Subs'!$D$66:$D$99)*($F389='TaxCred&amp;Subs'!$C$66:$C$99),0)),0)),0))),0)</f>
        <v>0</v>
      </c>
      <c r="R389" s="95">
        <f t="array" ref="R389">ROUND(IF(IFERROR(VALUE(RIGHT($AD389,1)),0)&gt;2,IF($C389=8,N389*IFERROR(INDEX('TaxCred&amp;Subs'!$K$139:$S$151,MATCH($C389&amp;$D389&amp;LEFT($AD389,7),'TaxCred&amp;Subs'!$E$139:$E$151,0),MATCH($H389,'TaxCred&amp;Subs'!$K$137:$S$137,0)),0),IF($C389=2,N389*IFERROR(INDEX('TaxCred&amp;Subs'!$K$139:$S$151,MATCH($C389&amp;$D389,'TaxCred&amp;Subs'!$D$139:$D$151,0),MATCH($H389,'TaxCred&amp;Subs'!$K$137:$S$137,0)),0),N389*IFERROR(INDEX('TaxCred&amp;Subs'!$K$139:$S$151,MATCH($C389&amp;$D389,'TaxCred&amp;Subs'!$C$139:$C$151,0),MATCH($H389,'TaxCred&amp;Subs'!$K$137:$S$137,0)),0))),0),0)</f>
        <v>173</v>
      </c>
      <c r="S389" s="95">
        <f t="array" ref="S389">ROUND(IF(IFERROR(VALUE(RIGHT($AD389,1)),0)&gt;2,IF($C389=8,O389*IFERROR(INDEX('TaxCred&amp;Subs'!$K$139:$S$151,MATCH($C389&amp;$D389&amp;LEFT($AD389,7),'TaxCred&amp;Subs'!$E$139:$E$151,0),MATCH($H389,'TaxCred&amp;Subs'!$K$137:$S$137,0)),0),IF($C389=2,O389*IFERROR(INDEX('TaxCred&amp;Subs'!$K$139:$S$151,MATCH($C389&amp;$D389,'TaxCred&amp;Subs'!$D$139:$D$151,0),MATCH($H389,'TaxCred&amp;Subs'!$K$137:$S$137,0)),0),O389*IFERROR(INDEX('TaxCred&amp;Subs'!$K$139:$S$151,MATCH($C389&amp;$D389,'TaxCred&amp;Subs'!$C$139:$C$151,0),MATCH($H389,'TaxCred&amp;Subs'!$K$137:$S$137,0)),0))),0),0)</f>
        <v>115</v>
      </c>
      <c r="T389" s="95">
        <f t="shared" si="21"/>
        <v>0</v>
      </c>
      <c r="U389" s="95">
        <f t="shared" si="22"/>
        <v>0</v>
      </c>
      <c r="V389" s="28" t="s">
        <v>222</v>
      </c>
      <c r="W389" s="31">
        <v>2020</v>
      </c>
      <c r="X389" s="28">
        <v>1</v>
      </c>
      <c r="Y389" s="28">
        <v>0</v>
      </c>
      <c r="Z389" s="196">
        <v>-5.5122391377509595E-3</v>
      </c>
      <c r="AA389" s="196">
        <v>-8.4803679042322444E-2</v>
      </c>
      <c r="AB389" s="28">
        <v>0</v>
      </c>
      <c r="AC389" s="28">
        <v>0</v>
      </c>
      <c r="AD389" s="28" t="s">
        <v>350</v>
      </c>
    </row>
    <row r="390" spans="2:30" ht="14.25" customHeight="1" x14ac:dyDescent="0.2">
      <c r="B390" s="7">
        <f t="shared" si="23"/>
        <v>366</v>
      </c>
      <c r="C390" s="28">
        <v>2</v>
      </c>
      <c r="D390" s="28">
        <v>2</v>
      </c>
      <c r="E390" s="31">
        <v>7</v>
      </c>
      <c r="F390" s="78">
        <v>2022</v>
      </c>
      <c r="G390" s="28">
        <v>2032</v>
      </c>
      <c r="H390" s="28">
        <v>5</v>
      </c>
      <c r="I390" s="96">
        <v>42</v>
      </c>
      <c r="J390" s="28">
        <v>0</v>
      </c>
      <c r="K390" s="28">
        <v>0</v>
      </c>
      <c r="L390" s="28">
        <v>0</v>
      </c>
      <c r="M390" s="156">
        <v>4.9824150058616645</v>
      </c>
      <c r="N390" s="151">
        <v>5980</v>
      </c>
      <c r="O390" s="151">
        <v>3950</v>
      </c>
      <c r="P390" s="95">
        <f t="array" ref="P390">ROUND(IF($F390&lt;='TaxCred&amp;Subs'!$C$49,(IF($C390=2,IF($M390&gt;=IFERROR(INDEX('TaxCred&amp;Subs'!$L$12:$L$47,MATCH(1,($C390&amp;$D390='TaxCred&amp;Subs'!$E$12:$E$47)*($F390='TaxCred&amp;Subs'!$C$12:$C$47),0)
),9999),IFERROR(INDEX('TaxCred&amp;Subs'!$N$12:$N$47,MATCH(1,($C390&amp;$D390='TaxCred&amp;Subs'!$E$12:$E$47)*($F390='TaxCred&amp;Subs'!$C$12:$C$47),0)
),0),0),(IF($M390&gt;=IFERROR(INDEX('TaxCred&amp;Subs'!$H$12:$H$47,MATCH(1,($C390&amp;$D390='TaxCred&amp;Subs'!$D$12:$D$47)*($F390='TaxCred&amp;Subs'!$C$12:$C$47),0)
),9999),IFERROR(INDEX('TaxCred&amp;Subs'!$N$12:$N$47,MATCH(1,($C390&amp;$D390='TaxCred&amp;Subs'!$D$12:$D$47)*($F390='TaxCred&amp;Subs'!$C$12:$C$47),0)
),0),0)))),0)+IF(AND($C390=2,VALUE(RIGHT($AD390,1))&gt;2),(N390-R390)*(IFERROR(INDEX('TaxCred&amp;Subs'!$J$66:$J$99,MATCH(1,($C390&amp;$D390='TaxCred&amp;Subs'!$E$66:$E$99)*($F390='TaxCred&amp;Subs'!$C$66:$C$99),0)),0)),IF(AND($C390=1,VALUE(RIGHT($AD390,1))&gt;2),(N390-R390)*(IFERROR(INDEX('TaxCred&amp;Subs'!$J$66:$J$99,MATCH(1,($C390&amp;$D390='TaxCred&amp;Subs'!$D$66:$D$99)*($F390='TaxCred&amp;Subs'!$C$66:$C$99),0)),0)),IF($C390&gt;2,(N390-R390)*(IFERROR(INDEX('TaxCred&amp;Subs'!$J$66:$J$99,MATCH(1,($C390&amp;$D390='TaxCred&amp;Subs'!$D$66:$D$99)*($F390='TaxCred&amp;Subs'!$C$66:$C$99),0)),0)),0))),0)</f>
        <v>2000</v>
      </c>
      <c r="Q390" s="95">
        <f t="array" ref="Q390">ROUND(IF(AND($C390=2,VALUE(RIGHT($AD390,1))&gt;2),(O390-S390)*(IFERROR(INDEX('TaxCred&amp;Subs'!$J$66:$J$99,MATCH(1,($C390&amp;$D390='TaxCred&amp;Subs'!$E$66:$E$99)*($F390='TaxCred&amp;Subs'!$C$66:$C$99),0)),0)),IF(AND($C390=1,VALUE(RIGHT($AD390,1))&gt;2),(O390-S390)*(IFERROR(INDEX('TaxCred&amp;Subs'!$J$66:$J$99,MATCH(1,($C390&amp;$D390='TaxCred&amp;Subs'!$D$66:$D$99)*($F390='TaxCred&amp;Subs'!$C$66:$C$99),0)),0)),IF($C390&gt;2,(O390-S390)*(IFERROR(INDEX('TaxCred&amp;Subs'!$J$66:$J$99,MATCH(1,($C390&amp;$D390='TaxCred&amp;Subs'!$D$66:$D$99)*($F390='TaxCred&amp;Subs'!$C$66:$C$99),0)),0)),0))),0)</f>
        <v>0</v>
      </c>
      <c r="R390" s="95">
        <f t="array" ref="R390">ROUND(IF(IFERROR(VALUE(RIGHT($AD390,1)),0)&gt;2,IF($C390=8,N390*IFERROR(INDEX('TaxCred&amp;Subs'!$K$139:$S$151,MATCH($C390&amp;$D390&amp;LEFT($AD390,7),'TaxCred&amp;Subs'!$E$139:$E$151,0),MATCH($H390,'TaxCred&amp;Subs'!$K$137:$S$137,0)),0),IF($C390=2,N390*IFERROR(INDEX('TaxCred&amp;Subs'!$K$139:$S$151,MATCH($C390&amp;$D390,'TaxCred&amp;Subs'!$D$139:$D$151,0),MATCH($H390,'TaxCred&amp;Subs'!$K$137:$S$137,0)),0),N390*IFERROR(INDEX('TaxCred&amp;Subs'!$K$139:$S$151,MATCH($C390&amp;$D390,'TaxCred&amp;Subs'!$C$139:$C$151,0),MATCH($H390,'TaxCred&amp;Subs'!$K$137:$S$137,0)),0))),0),0)</f>
        <v>142</v>
      </c>
      <c r="S390" s="95">
        <f t="array" ref="S390">ROUND(IF(IFERROR(VALUE(RIGHT($AD390,1)),0)&gt;2,IF($C390=8,O390*IFERROR(INDEX('TaxCred&amp;Subs'!$K$139:$S$151,MATCH($C390&amp;$D390&amp;LEFT($AD390,7),'TaxCred&amp;Subs'!$E$139:$E$151,0),MATCH($H390,'TaxCred&amp;Subs'!$K$137:$S$137,0)),0),IF($C390=2,O390*IFERROR(INDEX('TaxCred&amp;Subs'!$K$139:$S$151,MATCH($C390&amp;$D390,'TaxCred&amp;Subs'!$D$139:$D$151,0),MATCH($H390,'TaxCred&amp;Subs'!$K$137:$S$137,0)),0),O390*IFERROR(INDEX('TaxCred&amp;Subs'!$K$139:$S$151,MATCH($C390&amp;$D390,'TaxCred&amp;Subs'!$C$139:$C$151,0),MATCH($H390,'TaxCred&amp;Subs'!$K$137:$S$137,0)),0))),0),0)</f>
        <v>94</v>
      </c>
      <c r="T390" s="95">
        <f t="shared" si="21"/>
        <v>0</v>
      </c>
      <c r="U390" s="95">
        <f t="shared" si="22"/>
        <v>0</v>
      </c>
      <c r="V390" s="28" t="s">
        <v>222</v>
      </c>
      <c r="W390" s="31">
        <v>2020</v>
      </c>
      <c r="X390" s="28">
        <v>1</v>
      </c>
      <c r="Y390" s="28">
        <v>0</v>
      </c>
      <c r="Z390" s="196">
        <v>-5.5122391377509595E-3</v>
      </c>
      <c r="AA390" s="196">
        <v>-8.4803679042322444E-2</v>
      </c>
      <c r="AB390" s="28">
        <v>0</v>
      </c>
      <c r="AC390" s="28">
        <v>0</v>
      </c>
      <c r="AD390" s="28" t="s">
        <v>350</v>
      </c>
    </row>
    <row r="391" spans="2:30" ht="14.25" customHeight="1" x14ac:dyDescent="0.2">
      <c r="B391" s="7">
        <f t="shared" si="23"/>
        <v>367</v>
      </c>
      <c r="C391" s="28">
        <v>2</v>
      </c>
      <c r="D391" s="28">
        <v>2</v>
      </c>
      <c r="E391" s="31">
        <v>7</v>
      </c>
      <c r="F391" s="78">
        <v>2022</v>
      </c>
      <c r="G391" s="28">
        <v>2032</v>
      </c>
      <c r="H391" s="28">
        <v>6</v>
      </c>
      <c r="I391" s="96">
        <v>42</v>
      </c>
      <c r="J391" s="28">
        <v>0</v>
      </c>
      <c r="K391" s="28">
        <v>0</v>
      </c>
      <c r="L391" s="28">
        <v>0</v>
      </c>
      <c r="M391" s="156">
        <v>4.9824150058616645</v>
      </c>
      <c r="N391" s="151">
        <v>5980</v>
      </c>
      <c r="O391" s="151">
        <v>3950</v>
      </c>
      <c r="P391" s="95">
        <f t="array" ref="P391">ROUND(IF($F391&lt;='TaxCred&amp;Subs'!$C$49,(IF($C391=2,IF($M391&gt;=IFERROR(INDEX('TaxCred&amp;Subs'!$L$12:$L$47,MATCH(1,($C391&amp;$D391='TaxCred&amp;Subs'!$E$12:$E$47)*($F391='TaxCred&amp;Subs'!$C$12:$C$47),0)
),9999),IFERROR(INDEX('TaxCred&amp;Subs'!$N$12:$N$47,MATCH(1,($C391&amp;$D391='TaxCred&amp;Subs'!$E$12:$E$47)*($F391='TaxCred&amp;Subs'!$C$12:$C$47),0)
),0),0),(IF($M391&gt;=IFERROR(INDEX('TaxCred&amp;Subs'!$H$12:$H$47,MATCH(1,($C391&amp;$D391='TaxCred&amp;Subs'!$D$12:$D$47)*($F391='TaxCred&amp;Subs'!$C$12:$C$47),0)
),9999),IFERROR(INDEX('TaxCred&amp;Subs'!$N$12:$N$47,MATCH(1,($C391&amp;$D391='TaxCred&amp;Subs'!$D$12:$D$47)*($F391='TaxCred&amp;Subs'!$C$12:$C$47),0)
),0),0)))),0)+IF(AND($C391=2,VALUE(RIGHT($AD391,1))&gt;2),(N391-R391)*(IFERROR(INDEX('TaxCred&amp;Subs'!$J$66:$J$99,MATCH(1,($C391&amp;$D391='TaxCred&amp;Subs'!$E$66:$E$99)*($F391='TaxCred&amp;Subs'!$C$66:$C$99),0)),0)),IF(AND($C391=1,VALUE(RIGHT($AD391,1))&gt;2),(N391-R391)*(IFERROR(INDEX('TaxCred&amp;Subs'!$J$66:$J$99,MATCH(1,($C391&amp;$D391='TaxCred&amp;Subs'!$D$66:$D$99)*($F391='TaxCred&amp;Subs'!$C$66:$C$99),0)),0)),IF($C391&gt;2,(N391-R391)*(IFERROR(INDEX('TaxCred&amp;Subs'!$J$66:$J$99,MATCH(1,($C391&amp;$D391='TaxCred&amp;Subs'!$D$66:$D$99)*($F391='TaxCred&amp;Subs'!$C$66:$C$99),0)),0)),0))),0)</f>
        <v>2000</v>
      </c>
      <c r="Q391" s="95">
        <f t="array" ref="Q391">ROUND(IF(AND($C391=2,VALUE(RIGHT($AD391,1))&gt;2),(O391-S391)*(IFERROR(INDEX('TaxCred&amp;Subs'!$J$66:$J$99,MATCH(1,($C391&amp;$D391='TaxCred&amp;Subs'!$E$66:$E$99)*($F391='TaxCred&amp;Subs'!$C$66:$C$99),0)),0)),IF(AND($C391=1,VALUE(RIGHT($AD391,1))&gt;2),(O391-S391)*(IFERROR(INDEX('TaxCred&amp;Subs'!$J$66:$J$99,MATCH(1,($C391&amp;$D391='TaxCred&amp;Subs'!$D$66:$D$99)*($F391='TaxCred&amp;Subs'!$C$66:$C$99),0)),0)),IF($C391&gt;2,(O391-S391)*(IFERROR(INDEX('TaxCred&amp;Subs'!$J$66:$J$99,MATCH(1,($C391&amp;$D391='TaxCred&amp;Subs'!$D$66:$D$99)*($F391='TaxCred&amp;Subs'!$C$66:$C$99),0)),0)),0))),0)</f>
        <v>0</v>
      </c>
      <c r="R391" s="95">
        <f t="array" ref="R391">ROUND(IF(IFERROR(VALUE(RIGHT($AD391,1)),0)&gt;2,IF($C391=8,N391*IFERROR(INDEX('TaxCred&amp;Subs'!$K$139:$S$151,MATCH($C391&amp;$D391&amp;LEFT($AD391,7),'TaxCred&amp;Subs'!$E$139:$E$151,0),MATCH($H391,'TaxCred&amp;Subs'!$K$137:$S$137,0)),0),IF($C391=2,N391*IFERROR(INDEX('TaxCred&amp;Subs'!$K$139:$S$151,MATCH($C391&amp;$D391,'TaxCred&amp;Subs'!$D$139:$D$151,0),MATCH($H391,'TaxCred&amp;Subs'!$K$137:$S$137,0)),0),N391*IFERROR(INDEX('TaxCred&amp;Subs'!$K$139:$S$151,MATCH($C391&amp;$D391,'TaxCred&amp;Subs'!$C$139:$C$151,0),MATCH($H391,'TaxCred&amp;Subs'!$K$137:$S$137,0)),0))),0),0)</f>
        <v>49</v>
      </c>
      <c r="S391" s="95">
        <f t="array" ref="S391">ROUND(IF(IFERROR(VALUE(RIGHT($AD391,1)),0)&gt;2,IF($C391=8,O391*IFERROR(INDEX('TaxCred&amp;Subs'!$K$139:$S$151,MATCH($C391&amp;$D391&amp;LEFT($AD391,7),'TaxCred&amp;Subs'!$E$139:$E$151,0),MATCH($H391,'TaxCred&amp;Subs'!$K$137:$S$137,0)),0),IF($C391=2,O391*IFERROR(INDEX('TaxCred&amp;Subs'!$K$139:$S$151,MATCH($C391&amp;$D391,'TaxCred&amp;Subs'!$D$139:$D$151,0),MATCH($H391,'TaxCred&amp;Subs'!$K$137:$S$137,0)),0),O391*IFERROR(INDEX('TaxCred&amp;Subs'!$K$139:$S$151,MATCH($C391&amp;$D391,'TaxCred&amp;Subs'!$C$139:$C$151,0),MATCH($H391,'TaxCred&amp;Subs'!$K$137:$S$137,0)),0))),0),0)</f>
        <v>32</v>
      </c>
      <c r="T391" s="95">
        <f t="shared" si="21"/>
        <v>0</v>
      </c>
      <c r="U391" s="95">
        <f t="shared" si="22"/>
        <v>0</v>
      </c>
      <c r="V391" s="28" t="s">
        <v>222</v>
      </c>
      <c r="W391" s="31">
        <v>2020</v>
      </c>
      <c r="X391" s="28">
        <v>1</v>
      </c>
      <c r="Y391" s="28">
        <v>0</v>
      </c>
      <c r="Z391" s="196">
        <v>-5.5122391377509595E-3</v>
      </c>
      <c r="AA391" s="196">
        <v>-8.4803679042322444E-2</v>
      </c>
      <c r="AB391" s="28">
        <v>0</v>
      </c>
      <c r="AC391" s="28">
        <v>0</v>
      </c>
      <c r="AD391" s="28" t="s">
        <v>350</v>
      </c>
    </row>
    <row r="392" spans="2:30" ht="14.25" customHeight="1" x14ac:dyDescent="0.2">
      <c r="B392" s="7">
        <f t="shared" si="23"/>
        <v>368</v>
      </c>
      <c r="C392" s="28">
        <v>2</v>
      </c>
      <c r="D392" s="28">
        <v>2</v>
      </c>
      <c r="E392" s="31">
        <v>7</v>
      </c>
      <c r="F392" s="78">
        <v>2022</v>
      </c>
      <c r="G392" s="28">
        <v>2032</v>
      </c>
      <c r="H392" s="28">
        <v>7</v>
      </c>
      <c r="I392" s="96">
        <v>42</v>
      </c>
      <c r="J392" s="28">
        <v>0</v>
      </c>
      <c r="K392" s="28">
        <v>0</v>
      </c>
      <c r="L392" s="28">
        <v>0</v>
      </c>
      <c r="M392" s="156">
        <v>4.9824150058616645</v>
      </c>
      <c r="N392" s="151">
        <v>5980</v>
      </c>
      <c r="O392" s="151">
        <v>3950</v>
      </c>
      <c r="P392" s="95">
        <f t="array" ref="P392">ROUND(IF($F392&lt;='TaxCred&amp;Subs'!$C$49,(IF($C392=2,IF($M392&gt;=IFERROR(INDEX('TaxCred&amp;Subs'!$L$12:$L$47,MATCH(1,($C392&amp;$D392='TaxCred&amp;Subs'!$E$12:$E$47)*($F392='TaxCred&amp;Subs'!$C$12:$C$47),0)
),9999),IFERROR(INDEX('TaxCred&amp;Subs'!$N$12:$N$47,MATCH(1,($C392&amp;$D392='TaxCred&amp;Subs'!$E$12:$E$47)*($F392='TaxCred&amp;Subs'!$C$12:$C$47),0)
),0),0),(IF($M392&gt;=IFERROR(INDEX('TaxCred&amp;Subs'!$H$12:$H$47,MATCH(1,($C392&amp;$D392='TaxCred&amp;Subs'!$D$12:$D$47)*($F392='TaxCred&amp;Subs'!$C$12:$C$47),0)
),9999),IFERROR(INDEX('TaxCred&amp;Subs'!$N$12:$N$47,MATCH(1,($C392&amp;$D392='TaxCred&amp;Subs'!$D$12:$D$47)*($F392='TaxCred&amp;Subs'!$C$12:$C$47),0)
),0),0)))),0)+IF(AND($C392=2,VALUE(RIGHT($AD392,1))&gt;2),(N392-R392)*(IFERROR(INDEX('TaxCred&amp;Subs'!$J$66:$J$99,MATCH(1,($C392&amp;$D392='TaxCred&amp;Subs'!$E$66:$E$99)*($F392='TaxCred&amp;Subs'!$C$66:$C$99),0)),0)),IF(AND($C392=1,VALUE(RIGHT($AD392,1))&gt;2),(N392-R392)*(IFERROR(INDEX('TaxCred&amp;Subs'!$J$66:$J$99,MATCH(1,($C392&amp;$D392='TaxCred&amp;Subs'!$D$66:$D$99)*($F392='TaxCred&amp;Subs'!$C$66:$C$99),0)),0)),IF($C392&gt;2,(N392-R392)*(IFERROR(INDEX('TaxCred&amp;Subs'!$J$66:$J$99,MATCH(1,($C392&amp;$D392='TaxCred&amp;Subs'!$D$66:$D$99)*($F392='TaxCred&amp;Subs'!$C$66:$C$99),0)),0)),0))),0)</f>
        <v>2000</v>
      </c>
      <c r="Q392" s="95">
        <f t="array" ref="Q392">ROUND(IF(AND($C392=2,VALUE(RIGHT($AD392,1))&gt;2),(O392-S392)*(IFERROR(INDEX('TaxCred&amp;Subs'!$J$66:$J$99,MATCH(1,($C392&amp;$D392='TaxCred&amp;Subs'!$E$66:$E$99)*($F392='TaxCred&amp;Subs'!$C$66:$C$99),0)),0)),IF(AND($C392=1,VALUE(RIGHT($AD392,1))&gt;2),(O392-S392)*(IFERROR(INDEX('TaxCred&amp;Subs'!$J$66:$J$99,MATCH(1,($C392&amp;$D392='TaxCred&amp;Subs'!$D$66:$D$99)*($F392='TaxCred&amp;Subs'!$C$66:$C$99),0)),0)),IF($C392&gt;2,(O392-S392)*(IFERROR(INDEX('TaxCred&amp;Subs'!$J$66:$J$99,MATCH(1,($C392&amp;$D392='TaxCred&amp;Subs'!$D$66:$D$99)*($F392='TaxCred&amp;Subs'!$C$66:$C$99),0)),0)),0))),0)</f>
        <v>0</v>
      </c>
      <c r="R392" s="95">
        <f t="array" ref="R392">ROUND(IF(IFERROR(VALUE(RIGHT($AD392,1)),0)&gt;2,IF($C392=8,N392*IFERROR(INDEX('TaxCred&amp;Subs'!$K$139:$S$151,MATCH($C392&amp;$D392&amp;LEFT($AD392,7),'TaxCred&amp;Subs'!$E$139:$E$151,0),MATCH($H392,'TaxCred&amp;Subs'!$K$137:$S$137,0)),0),IF($C392=2,N392*IFERROR(INDEX('TaxCred&amp;Subs'!$K$139:$S$151,MATCH($C392&amp;$D392,'TaxCred&amp;Subs'!$D$139:$D$151,0),MATCH($H392,'TaxCred&amp;Subs'!$K$137:$S$137,0)),0),N392*IFERROR(INDEX('TaxCred&amp;Subs'!$K$139:$S$151,MATCH($C392&amp;$D392,'TaxCred&amp;Subs'!$C$139:$C$151,0),MATCH($H392,'TaxCred&amp;Subs'!$K$137:$S$137,0)),0))),0),0)</f>
        <v>662</v>
      </c>
      <c r="S392" s="95">
        <f t="array" ref="S392">ROUND(IF(IFERROR(VALUE(RIGHT($AD392,1)),0)&gt;2,IF($C392=8,O392*IFERROR(INDEX('TaxCred&amp;Subs'!$K$139:$S$151,MATCH($C392&amp;$D392&amp;LEFT($AD392,7),'TaxCred&amp;Subs'!$E$139:$E$151,0),MATCH($H392,'TaxCred&amp;Subs'!$K$137:$S$137,0)),0),IF($C392=2,O392*IFERROR(INDEX('TaxCred&amp;Subs'!$K$139:$S$151,MATCH($C392&amp;$D392,'TaxCred&amp;Subs'!$D$139:$D$151,0),MATCH($H392,'TaxCred&amp;Subs'!$K$137:$S$137,0)),0),O392*IFERROR(INDEX('TaxCred&amp;Subs'!$K$139:$S$151,MATCH($C392&amp;$D392,'TaxCred&amp;Subs'!$C$139:$C$151,0),MATCH($H392,'TaxCred&amp;Subs'!$K$137:$S$137,0)),0))),0),0)</f>
        <v>437</v>
      </c>
      <c r="T392" s="95">
        <f t="shared" si="21"/>
        <v>0</v>
      </c>
      <c r="U392" s="95">
        <f t="shared" si="22"/>
        <v>0</v>
      </c>
      <c r="V392" s="28" t="s">
        <v>222</v>
      </c>
      <c r="W392" s="31">
        <v>2020</v>
      </c>
      <c r="X392" s="28">
        <v>1</v>
      </c>
      <c r="Y392" s="28">
        <v>0</v>
      </c>
      <c r="Z392" s="196">
        <v>-5.5122391377509595E-3</v>
      </c>
      <c r="AA392" s="196">
        <v>-8.4803679042322444E-2</v>
      </c>
      <c r="AB392" s="28">
        <v>0</v>
      </c>
      <c r="AC392" s="28">
        <v>0</v>
      </c>
      <c r="AD392" s="28" t="s">
        <v>350</v>
      </c>
    </row>
    <row r="393" spans="2:30" ht="14.25" customHeight="1" x14ac:dyDescent="0.2">
      <c r="B393" s="7">
        <f t="shared" si="23"/>
        <v>369</v>
      </c>
      <c r="C393" s="28">
        <v>2</v>
      </c>
      <c r="D393" s="28">
        <v>2</v>
      </c>
      <c r="E393" s="31">
        <v>7</v>
      </c>
      <c r="F393" s="78">
        <v>2022</v>
      </c>
      <c r="G393" s="28">
        <v>2032</v>
      </c>
      <c r="H393" s="28">
        <v>8</v>
      </c>
      <c r="I393" s="96">
        <v>42</v>
      </c>
      <c r="J393" s="28">
        <v>0</v>
      </c>
      <c r="K393" s="28">
        <v>0</v>
      </c>
      <c r="L393" s="28">
        <v>0</v>
      </c>
      <c r="M393" s="156">
        <v>4.9824150058616645</v>
      </c>
      <c r="N393" s="151">
        <v>5980</v>
      </c>
      <c r="O393" s="151">
        <v>3950</v>
      </c>
      <c r="P393" s="95">
        <f t="array" ref="P393">ROUND(IF($F393&lt;='TaxCred&amp;Subs'!$C$49,(IF($C393=2,IF($M393&gt;=IFERROR(INDEX('TaxCred&amp;Subs'!$L$12:$L$47,MATCH(1,($C393&amp;$D393='TaxCred&amp;Subs'!$E$12:$E$47)*($F393='TaxCred&amp;Subs'!$C$12:$C$47),0)
),9999),IFERROR(INDEX('TaxCred&amp;Subs'!$N$12:$N$47,MATCH(1,($C393&amp;$D393='TaxCred&amp;Subs'!$E$12:$E$47)*($F393='TaxCred&amp;Subs'!$C$12:$C$47),0)
),0),0),(IF($M393&gt;=IFERROR(INDEX('TaxCred&amp;Subs'!$H$12:$H$47,MATCH(1,($C393&amp;$D393='TaxCred&amp;Subs'!$D$12:$D$47)*($F393='TaxCred&amp;Subs'!$C$12:$C$47),0)
),9999),IFERROR(INDEX('TaxCred&amp;Subs'!$N$12:$N$47,MATCH(1,($C393&amp;$D393='TaxCred&amp;Subs'!$D$12:$D$47)*($F393='TaxCred&amp;Subs'!$C$12:$C$47),0)
),0),0)))),0)+IF(AND($C393=2,VALUE(RIGHT($AD393,1))&gt;2),(N393-R393)*(IFERROR(INDEX('TaxCred&amp;Subs'!$J$66:$J$99,MATCH(1,($C393&amp;$D393='TaxCred&amp;Subs'!$E$66:$E$99)*($F393='TaxCred&amp;Subs'!$C$66:$C$99),0)),0)),IF(AND($C393=1,VALUE(RIGHT($AD393,1))&gt;2),(N393-R393)*(IFERROR(INDEX('TaxCred&amp;Subs'!$J$66:$J$99,MATCH(1,($C393&amp;$D393='TaxCred&amp;Subs'!$D$66:$D$99)*($F393='TaxCred&amp;Subs'!$C$66:$C$99),0)),0)),IF($C393&gt;2,(N393-R393)*(IFERROR(INDEX('TaxCred&amp;Subs'!$J$66:$J$99,MATCH(1,($C393&amp;$D393='TaxCred&amp;Subs'!$D$66:$D$99)*($F393='TaxCred&amp;Subs'!$C$66:$C$99),0)),0)),0))),0)</f>
        <v>2000</v>
      </c>
      <c r="Q393" s="95">
        <f t="array" ref="Q393">ROUND(IF(AND($C393=2,VALUE(RIGHT($AD393,1))&gt;2),(O393-S393)*(IFERROR(INDEX('TaxCred&amp;Subs'!$J$66:$J$99,MATCH(1,($C393&amp;$D393='TaxCred&amp;Subs'!$E$66:$E$99)*($F393='TaxCred&amp;Subs'!$C$66:$C$99),0)),0)),IF(AND($C393=1,VALUE(RIGHT($AD393,1))&gt;2),(O393-S393)*(IFERROR(INDEX('TaxCred&amp;Subs'!$J$66:$J$99,MATCH(1,($C393&amp;$D393='TaxCred&amp;Subs'!$D$66:$D$99)*($F393='TaxCred&amp;Subs'!$C$66:$C$99),0)),0)),IF($C393&gt;2,(O393-S393)*(IFERROR(INDEX('TaxCred&amp;Subs'!$J$66:$J$99,MATCH(1,($C393&amp;$D393='TaxCred&amp;Subs'!$D$66:$D$99)*($F393='TaxCred&amp;Subs'!$C$66:$C$99),0)),0)),0))),0)</f>
        <v>0</v>
      </c>
      <c r="R393" s="95">
        <f t="array" ref="R393">ROUND(IF(IFERROR(VALUE(RIGHT($AD393,1)),0)&gt;2,IF($C393=8,N393*IFERROR(INDEX('TaxCred&amp;Subs'!$K$139:$S$151,MATCH($C393&amp;$D393&amp;LEFT($AD393,7),'TaxCred&amp;Subs'!$E$139:$E$151,0),MATCH($H393,'TaxCred&amp;Subs'!$K$137:$S$137,0)),0),IF($C393=2,N393*IFERROR(INDEX('TaxCred&amp;Subs'!$K$139:$S$151,MATCH($C393&amp;$D393,'TaxCred&amp;Subs'!$D$139:$D$151,0),MATCH($H393,'TaxCred&amp;Subs'!$K$137:$S$137,0)),0),N393*IFERROR(INDEX('TaxCred&amp;Subs'!$K$139:$S$151,MATCH($C393&amp;$D393,'TaxCred&amp;Subs'!$C$139:$C$151,0),MATCH($H393,'TaxCred&amp;Subs'!$K$137:$S$137,0)),0))),0),0)</f>
        <v>186</v>
      </c>
      <c r="S393" s="95">
        <f t="array" ref="S393">ROUND(IF(IFERROR(VALUE(RIGHT($AD393,1)),0)&gt;2,IF($C393=8,O393*IFERROR(INDEX('TaxCred&amp;Subs'!$K$139:$S$151,MATCH($C393&amp;$D393&amp;LEFT($AD393,7),'TaxCred&amp;Subs'!$E$139:$E$151,0),MATCH($H393,'TaxCred&amp;Subs'!$K$137:$S$137,0)),0),IF($C393=2,O393*IFERROR(INDEX('TaxCred&amp;Subs'!$K$139:$S$151,MATCH($C393&amp;$D393,'TaxCred&amp;Subs'!$D$139:$D$151,0),MATCH($H393,'TaxCred&amp;Subs'!$K$137:$S$137,0)),0),O393*IFERROR(INDEX('TaxCred&amp;Subs'!$K$139:$S$151,MATCH($C393&amp;$D393,'TaxCred&amp;Subs'!$C$139:$C$151,0),MATCH($H393,'TaxCred&amp;Subs'!$K$137:$S$137,0)),0))),0),0)</f>
        <v>123</v>
      </c>
      <c r="T393" s="95">
        <f t="shared" si="21"/>
        <v>0</v>
      </c>
      <c r="U393" s="95">
        <f t="shared" si="22"/>
        <v>0</v>
      </c>
      <c r="V393" s="28" t="s">
        <v>222</v>
      </c>
      <c r="W393" s="31">
        <v>2020</v>
      </c>
      <c r="X393" s="28">
        <v>1</v>
      </c>
      <c r="Y393" s="28">
        <v>0</v>
      </c>
      <c r="Z393" s="196">
        <v>-5.5122391377509595E-3</v>
      </c>
      <c r="AA393" s="196">
        <v>-8.4803679042322444E-2</v>
      </c>
      <c r="AB393" s="28">
        <v>0</v>
      </c>
      <c r="AC393" s="28">
        <v>0</v>
      </c>
      <c r="AD393" s="28" t="s">
        <v>350</v>
      </c>
    </row>
    <row r="394" spans="2:30" ht="14.25" customHeight="1" x14ac:dyDescent="0.2">
      <c r="B394" s="7">
        <f t="shared" si="23"/>
        <v>370</v>
      </c>
      <c r="C394" s="28">
        <v>2</v>
      </c>
      <c r="D394" s="28">
        <v>2</v>
      </c>
      <c r="E394" s="31">
        <v>7</v>
      </c>
      <c r="F394" s="78">
        <v>2022</v>
      </c>
      <c r="G394" s="28">
        <v>2032</v>
      </c>
      <c r="H394" s="28">
        <v>9</v>
      </c>
      <c r="I394" s="96">
        <v>42</v>
      </c>
      <c r="J394" s="28">
        <v>0</v>
      </c>
      <c r="K394" s="28">
        <v>0</v>
      </c>
      <c r="L394" s="28">
        <v>0</v>
      </c>
      <c r="M394" s="156">
        <v>4.9824150058616645</v>
      </c>
      <c r="N394" s="151">
        <v>5980</v>
      </c>
      <c r="O394" s="151">
        <v>3950</v>
      </c>
      <c r="P394" s="95">
        <f t="array" ref="P394">ROUND(IF($F394&lt;='TaxCred&amp;Subs'!$C$49,(IF($C394=2,IF($M394&gt;=IFERROR(INDEX('TaxCred&amp;Subs'!$L$12:$L$47,MATCH(1,($C394&amp;$D394='TaxCred&amp;Subs'!$E$12:$E$47)*($F394='TaxCred&amp;Subs'!$C$12:$C$47),0)
),9999),IFERROR(INDEX('TaxCred&amp;Subs'!$N$12:$N$47,MATCH(1,($C394&amp;$D394='TaxCred&amp;Subs'!$E$12:$E$47)*($F394='TaxCred&amp;Subs'!$C$12:$C$47),0)
),0),0),(IF($M394&gt;=IFERROR(INDEX('TaxCred&amp;Subs'!$H$12:$H$47,MATCH(1,($C394&amp;$D394='TaxCred&amp;Subs'!$D$12:$D$47)*($F394='TaxCred&amp;Subs'!$C$12:$C$47),0)
),9999),IFERROR(INDEX('TaxCred&amp;Subs'!$N$12:$N$47,MATCH(1,($C394&amp;$D394='TaxCred&amp;Subs'!$D$12:$D$47)*($F394='TaxCred&amp;Subs'!$C$12:$C$47),0)
),0),0)))),0)+IF(AND($C394=2,VALUE(RIGHT($AD394,1))&gt;2),(N394-R394)*(IFERROR(INDEX('TaxCred&amp;Subs'!$J$66:$J$99,MATCH(1,($C394&amp;$D394='TaxCred&amp;Subs'!$E$66:$E$99)*($F394='TaxCred&amp;Subs'!$C$66:$C$99),0)),0)),IF(AND($C394=1,VALUE(RIGHT($AD394,1))&gt;2),(N394-R394)*(IFERROR(INDEX('TaxCred&amp;Subs'!$J$66:$J$99,MATCH(1,($C394&amp;$D394='TaxCred&amp;Subs'!$D$66:$D$99)*($F394='TaxCred&amp;Subs'!$C$66:$C$99),0)),0)),IF($C394&gt;2,(N394-R394)*(IFERROR(INDEX('TaxCred&amp;Subs'!$J$66:$J$99,MATCH(1,($C394&amp;$D394='TaxCred&amp;Subs'!$D$66:$D$99)*($F394='TaxCred&amp;Subs'!$C$66:$C$99),0)),0)),0))),0)</f>
        <v>2000</v>
      </c>
      <c r="Q394" s="95">
        <f t="array" ref="Q394">ROUND(IF(AND($C394=2,VALUE(RIGHT($AD394,1))&gt;2),(O394-S394)*(IFERROR(INDEX('TaxCred&amp;Subs'!$J$66:$J$99,MATCH(1,($C394&amp;$D394='TaxCred&amp;Subs'!$E$66:$E$99)*($F394='TaxCred&amp;Subs'!$C$66:$C$99),0)),0)),IF(AND($C394=1,VALUE(RIGHT($AD394,1))&gt;2),(O394-S394)*(IFERROR(INDEX('TaxCred&amp;Subs'!$J$66:$J$99,MATCH(1,($C394&amp;$D394='TaxCred&amp;Subs'!$D$66:$D$99)*($F394='TaxCred&amp;Subs'!$C$66:$C$99),0)),0)),IF($C394&gt;2,(O394-S394)*(IFERROR(INDEX('TaxCred&amp;Subs'!$J$66:$J$99,MATCH(1,($C394&amp;$D394='TaxCred&amp;Subs'!$D$66:$D$99)*($F394='TaxCred&amp;Subs'!$C$66:$C$99),0)),0)),0))),0)</f>
        <v>0</v>
      </c>
      <c r="R394" s="95">
        <f t="array" ref="R394">ROUND(IF(IFERROR(VALUE(RIGHT($AD394,1)),0)&gt;2,IF($C394=8,N394*IFERROR(INDEX('TaxCred&amp;Subs'!$K$139:$S$151,MATCH($C394&amp;$D394&amp;LEFT($AD394,7),'TaxCred&amp;Subs'!$E$139:$E$151,0),MATCH($H394,'TaxCred&amp;Subs'!$K$137:$S$137,0)),0),IF($C394=2,N394*IFERROR(INDEX('TaxCred&amp;Subs'!$K$139:$S$151,MATCH($C394&amp;$D394,'TaxCred&amp;Subs'!$D$139:$D$151,0),MATCH($H394,'TaxCred&amp;Subs'!$K$137:$S$137,0)),0),N394*IFERROR(INDEX('TaxCred&amp;Subs'!$K$139:$S$151,MATCH($C394&amp;$D394,'TaxCred&amp;Subs'!$C$139:$C$151,0),MATCH($H394,'TaxCred&amp;Subs'!$K$137:$S$137,0)),0))),0),0)</f>
        <v>375</v>
      </c>
      <c r="S394" s="95">
        <f t="array" ref="S394">ROUND(IF(IFERROR(VALUE(RIGHT($AD394,1)),0)&gt;2,IF($C394=8,O394*IFERROR(INDEX('TaxCred&amp;Subs'!$K$139:$S$151,MATCH($C394&amp;$D394&amp;LEFT($AD394,7),'TaxCred&amp;Subs'!$E$139:$E$151,0),MATCH($H394,'TaxCred&amp;Subs'!$K$137:$S$137,0)),0),IF($C394=2,O394*IFERROR(INDEX('TaxCred&amp;Subs'!$K$139:$S$151,MATCH($C394&amp;$D394,'TaxCred&amp;Subs'!$D$139:$D$151,0),MATCH($H394,'TaxCred&amp;Subs'!$K$137:$S$137,0)),0),O394*IFERROR(INDEX('TaxCred&amp;Subs'!$K$139:$S$151,MATCH($C394&amp;$D394,'TaxCred&amp;Subs'!$C$139:$C$151,0),MATCH($H394,'TaxCred&amp;Subs'!$K$137:$S$137,0)),0))),0),0)</f>
        <v>248</v>
      </c>
      <c r="T394" s="172">
        <f t="shared" si="21"/>
        <v>597</v>
      </c>
      <c r="U394" s="172">
        <f t="shared" si="22"/>
        <v>592.5</v>
      </c>
      <c r="V394" s="28" t="s">
        <v>222</v>
      </c>
      <c r="W394" s="31">
        <v>2020</v>
      </c>
      <c r="X394" s="28">
        <v>1</v>
      </c>
      <c r="Y394" s="28">
        <v>0</v>
      </c>
      <c r="Z394" s="196">
        <v>-5.5122391377509595E-3</v>
      </c>
      <c r="AA394" s="196">
        <v>-8.4803679042322444E-2</v>
      </c>
      <c r="AB394" s="28">
        <v>0</v>
      </c>
      <c r="AC394" s="28">
        <v>0</v>
      </c>
      <c r="AD394" s="28" t="s">
        <v>350</v>
      </c>
    </row>
    <row r="395" spans="2:30" ht="14.25" customHeight="1" x14ac:dyDescent="0.2">
      <c r="B395" s="7">
        <f t="shared" si="23"/>
        <v>371</v>
      </c>
      <c r="C395" s="28">
        <v>2</v>
      </c>
      <c r="D395" s="28">
        <v>2</v>
      </c>
      <c r="E395" s="31">
        <v>7</v>
      </c>
      <c r="F395" s="78">
        <v>2033</v>
      </c>
      <c r="G395" s="28">
        <v>2050</v>
      </c>
      <c r="H395" s="28">
        <v>1</v>
      </c>
      <c r="I395" s="96">
        <v>42</v>
      </c>
      <c r="J395" s="28">
        <v>0</v>
      </c>
      <c r="K395" s="28">
        <v>0</v>
      </c>
      <c r="L395" s="28">
        <v>0</v>
      </c>
      <c r="M395" s="156">
        <v>4.9824150058616645</v>
      </c>
      <c r="N395" s="151">
        <v>5980</v>
      </c>
      <c r="O395" s="151">
        <v>3950</v>
      </c>
      <c r="P395" s="95">
        <f t="array" ref="P395">ROUND(IF($F395&lt;='TaxCred&amp;Subs'!$C$49,(IF($C395=2,IF($M395&gt;=IFERROR(INDEX('TaxCred&amp;Subs'!$L$12:$L$47,MATCH(1,($C395&amp;$D395='TaxCred&amp;Subs'!$E$12:$E$47)*($F395='TaxCred&amp;Subs'!$C$12:$C$47),0)
),9999),IFERROR(INDEX('TaxCred&amp;Subs'!$N$12:$N$47,MATCH(1,($C395&amp;$D395='TaxCred&amp;Subs'!$E$12:$E$47)*($F395='TaxCred&amp;Subs'!$C$12:$C$47),0)
),0),0),(IF($M395&gt;=IFERROR(INDEX('TaxCred&amp;Subs'!$H$12:$H$47,MATCH(1,($C395&amp;$D395='TaxCred&amp;Subs'!$D$12:$D$47)*($F395='TaxCred&amp;Subs'!$C$12:$C$47),0)
),9999),IFERROR(INDEX('TaxCred&amp;Subs'!$N$12:$N$47,MATCH(1,($C395&amp;$D395='TaxCred&amp;Subs'!$D$12:$D$47)*($F395='TaxCred&amp;Subs'!$C$12:$C$47),0)
),0),0)))),0)+IF(AND($C395=2,VALUE(RIGHT($AD395,1))&gt;2),(N395-R395)*(IFERROR(INDEX('TaxCred&amp;Subs'!$J$66:$J$99,MATCH(1,($C395&amp;$D395='TaxCred&amp;Subs'!$E$66:$E$99)*($F395='TaxCred&amp;Subs'!$C$66:$C$99),0)),0)),IF(AND($C395=1,VALUE(RIGHT($AD395,1))&gt;2),(N395-R395)*(IFERROR(INDEX('TaxCred&amp;Subs'!$J$66:$J$99,MATCH(1,($C395&amp;$D395='TaxCred&amp;Subs'!$D$66:$D$99)*($F395='TaxCred&amp;Subs'!$C$66:$C$99),0)),0)),IF($C395&gt;2,(N395-R395)*(IFERROR(INDEX('TaxCred&amp;Subs'!$J$66:$J$99,MATCH(1,($C395&amp;$D395='TaxCred&amp;Subs'!$D$66:$D$99)*($F395='TaxCred&amp;Subs'!$C$66:$C$99),0)),0)),0))),0)</f>
        <v>0</v>
      </c>
      <c r="Q395" s="95">
        <f t="array" ref="Q395">ROUND(IF(AND($C395=2,VALUE(RIGHT($AD395,1))&gt;2),(O395-S395)*(IFERROR(INDEX('TaxCred&amp;Subs'!$J$66:$J$99,MATCH(1,($C395&amp;$D395='TaxCred&amp;Subs'!$E$66:$E$99)*($F395='TaxCred&amp;Subs'!$C$66:$C$99),0)),0)),IF(AND($C395=1,VALUE(RIGHT($AD395,1))&gt;2),(O395-S395)*(IFERROR(INDEX('TaxCred&amp;Subs'!$J$66:$J$99,MATCH(1,($C395&amp;$D395='TaxCred&amp;Subs'!$D$66:$D$99)*($F395='TaxCred&amp;Subs'!$C$66:$C$99),0)),0)),IF($C395&gt;2,(O395-S395)*(IFERROR(INDEX('TaxCred&amp;Subs'!$J$66:$J$99,MATCH(1,($C395&amp;$D395='TaxCred&amp;Subs'!$D$66:$D$99)*($F395='TaxCred&amp;Subs'!$C$66:$C$99),0)),0)),0))),0)</f>
        <v>0</v>
      </c>
      <c r="R395" s="95">
        <f t="array" ref="R395">ROUND(IF(IFERROR(VALUE(RIGHT($AD395,1)),0)&gt;2,IF($C395=8,N395*IFERROR(INDEX('TaxCred&amp;Subs'!$K$139:$S$151,MATCH($C395&amp;$D395&amp;LEFT($AD395,7),'TaxCred&amp;Subs'!$E$139:$E$151,0),MATCH($H395,'TaxCred&amp;Subs'!$K$137:$S$137,0)),0),IF($C395=2,N395*IFERROR(INDEX('TaxCred&amp;Subs'!$K$139:$S$151,MATCH($C395&amp;$D395,'TaxCred&amp;Subs'!$D$139:$D$151,0),MATCH($H395,'TaxCred&amp;Subs'!$K$137:$S$137,0)),0),N395*IFERROR(INDEX('TaxCred&amp;Subs'!$K$139:$S$151,MATCH($C395&amp;$D395,'TaxCred&amp;Subs'!$C$139:$C$151,0),MATCH($H395,'TaxCred&amp;Subs'!$K$137:$S$137,0)),0))),0),0)</f>
        <v>214</v>
      </c>
      <c r="S395" s="95">
        <f t="array" ref="S395">ROUND(IF(IFERROR(VALUE(RIGHT($AD395,1)),0)&gt;2,IF($C395=8,O395*IFERROR(INDEX('TaxCred&amp;Subs'!$K$139:$S$151,MATCH($C395&amp;$D395&amp;LEFT($AD395,7),'TaxCred&amp;Subs'!$E$139:$E$151,0),MATCH($H395,'TaxCred&amp;Subs'!$K$137:$S$137,0)),0),IF($C395=2,O395*IFERROR(INDEX('TaxCred&amp;Subs'!$K$139:$S$151,MATCH($C395&amp;$D395,'TaxCred&amp;Subs'!$D$139:$D$151,0),MATCH($H395,'TaxCred&amp;Subs'!$K$137:$S$137,0)),0),O395*IFERROR(INDEX('TaxCred&amp;Subs'!$K$139:$S$151,MATCH($C395&amp;$D395,'TaxCred&amp;Subs'!$C$139:$C$151,0),MATCH($H395,'TaxCred&amp;Subs'!$K$137:$S$137,0)),0))),0),0)</f>
        <v>141</v>
      </c>
      <c r="T395" s="95">
        <f t="shared" si="21"/>
        <v>0</v>
      </c>
      <c r="U395" s="95">
        <f t="shared" si="22"/>
        <v>0</v>
      </c>
      <c r="V395" s="28" t="s">
        <v>222</v>
      </c>
      <c r="W395" s="31">
        <v>2020</v>
      </c>
      <c r="X395" s="28">
        <v>1</v>
      </c>
      <c r="Y395" s="28">
        <v>0</v>
      </c>
      <c r="Z395" s="196">
        <v>-5.5122391377509595E-3</v>
      </c>
      <c r="AA395" s="196">
        <v>-8.4803679042322444E-2</v>
      </c>
      <c r="AB395" s="28">
        <v>0</v>
      </c>
      <c r="AC395" s="28">
        <v>0</v>
      </c>
      <c r="AD395" s="28" t="s">
        <v>350</v>
      </c>
    </row>
    <row r="396" spans="2:30" ht="14.25" customHeight="1" x14ac:dyDescent="0.2">
      <c r="B396" s="7">
        <f t="shared" si="23"/>
        <v>372</v>
      </c>
      <c r="C396" s="28">
        <v>2</v>
      </c>
      <c r="D396" s="28">
        <v>2</v>
      </c>
      <c r="E396" s="31">
        <v>7</v>
      </c>
      <c r="F396" s="78">
        <v>2033</v>
      </c>
      <c r="G396" s="28">
        <v>2050</v>
      </c>
      <c r="H396" s="28">
        <v>2</v>
      </c>
      <c r="I396" s="96">
        <v>42</v>
      </c>
      <c r="J396" s="28">
        <v>0</v>
      </c>
      <c r="K396" s="28">
        <v>0</v>
      </c>
      <c r="L396" s="28">
        <v>0</v>
      </c>
      <c r="M396" s="156">
        <v>4.9824150058616645</v>
      </c>
      <c r="N396" s="151">
        <v>5980</v>
      </c>
      <c r="O396" s="151">
        <v>3950</v>
      </c>
      <c r="P396" s="95">
        <f t="array" ref="P396">ROUND(IF($F396&lt;='TaxCred&amp;Subs'!$C$49,(IF($C396=2,IF($M396&gt;=IFERROR(INDEX('TaxCred&amp;Subs'!$L$12:$L$47,MATCH(1,($C396&amp;$D396='TaxCred&amp;Subs'!$E$12:$E$47)*($F396='TaxCred&amp;Subs'!$C$12:$C$47),0)
),9999),IFERROR(INDEX('TaxCred&amp;Subs'!$N$12:$N$47,MATCH(1,($C396&amp;$D396='TaxCred&amp;Subs'!$E$12:$E$47)*($F396='TaxCred&amp;Subs'!$C$12:$C$47),0)
),0),0),(IF($M396&gt;=IFERROR(INDEX('TaxCred&amp;Subs'!$H$12:$H$47,MATCH(1,($C396&amp;$D396='TaxCred&amp;Subs'!$D$12:$D$47)*($F396='TaxCred&amp;Subs'!$C$12:$C$47),0)
),9999),IFERROR(INDEX('TaxCred&amp;Subs'!$N$12:$N$47,MATCH(1,($C396&amp;$D396='TaxCred&amp;Subs'!$D$12:$D$47)*($F396='TaxCred&amp;Subs'!$C$12:$C$47),0)
),0),0)))),0)+IF(AND($C396=2,VALUE(RIGHT($AD396,1))&gt;2),(N396-R396)*(IFERROR(INDEX('TaxCred&amp;Subs'!$J$66:$J$99,MATCH(1,($C396&amp;$D396='TaxCred&amp;Subs'!$E$66:$E$99)*($F396='TaxCred&amp;Subs'!$C$66:$C$99),0)),0)),IF(AND($C396=1,VALUE(RIGHT($AD396,1))&gt;2),(N396-R396)*(IFERROR(INDEX('TaxCred&amp;Subs'!$J$66:$J$99,MATCH(1,($C396&amp;$D396='TaxCred&amp;Subs'!$D$66:$D$99)*($F396='TaxCred&amp;Subs'!$C$66:$C$99),0)),0)),IF($C396&gt;2,(N396-R396)*(IFERROR(INDEX('TaxCred&amp;Subs'!$J$66:$J$99,MATCH(1,($C396&amp;$D396='TaxCred&amp;Subs'!$D$66:$D$99)*($F396='TaxCred&amp;Subs'!$C$66:$C$99),0)),0)),0))),0)</f>
        <v>0</v>
      </c>
      <c r="Q396" s="95">
        <f t="array" ref="Q396">ROUND(IF(AND($C396=2,VALUE(RIGHT($AD396,1))&gt;2),(O396-S396)*(IFERROR(INDEX('TaxCred&amp;Subs'!$J$66:$J$99,MATCH(1,($C396&amp;$D396='TaxCred&amp;Subs'!$E$66:$E$99)*($F396='TaxCred&amp;Subs'!$C$66:$C$99),0)),0)),IF(AND($C396=1,VALUE(RIGHT($AD396,1))&gt;2),(O396-S396)*(IFERROR(INDEX('TaxCred&amp;Subs'!$J$66:$J$99,MATCH(1,($C396&amp;$D396='TaxCred&amp;Subs'!$D$66:$D$99)*($F396='TaxCred&amp;Subs'!$C$66:$C$99),0)),0)),IF($C396&gt;2,(O396-S396)*(IFERROR(INDEX('TaxCred&amp;Subs'!$J$66:$J$99,MATCH(1,($C396&amp;$D396='TaxCred&amp;Subs'!$D$66:$D$99)*($F396='TaxCred&amp;Subs'!$C$66:$C$99),0)),0)),0))),0)</f>
        <v>0</v>
      </c>
      <c r="R396" s="95">
        <f t="array" ref="R396">ROUND(IF(IFERROR(VALUE(RIGHT($AD396,1)),0)&gt;2,IF($C396=8,N396*IFERROR(INDEX('TaxCred&amp;Subs'!$K$139:$S$151,MATCH($C396&amp;$D396&amp;LEFT($AD396,7),'TaxCred&amp;Subs'!$E$139:$E$151,0),MATCH($H396,'TaxCred&amp;Subs'!$K$137:$S$137,0)),0),IF($C396=2,N396*IFERROR(INDEX('TaxCred&amp;Subs'!$K$139:$S$151,MATCH($C396&amp;$D396,'TaxCred&amp;Subs'!$D$139:$D$151,0),MATCH($H396,'TaxCred&amp;Subs'!$K$137:$S$137,0)),0),N396*IFERROR(INDEX('TaxCred&amp;Subs'!$K$139:$S$151,MATCH($C396&amp;$D396,'TaxCred&amp;Subs'!$C$139:$C$151,0),MATCH($H396,'TaxCred&amp;Subs'!$K$137:$S$137,0)),0))),0),0)</f>
        <v>251</v>
      </c>
      <c r="S396" s="95">
        <f t="array" ref="S396">ROUND(IF(IFERROR(VALUE(RIGHT($AD396,1)),0)&gt;2,IF($C396=8,O396*IFERROR(INDEX('TaxCred&amp;Subs'!$K$139:$S$151,MATCH($C396&amp;$D396&amp;LEFT($AD396,7),'TaxCred&amp;Subs'!$E$139:$E$151,0),MATCH($H396,'TaxCred&amp;Subs'!$K$137:$S$137,0)),0),IF($C396=2,O396*IFERROR(INDEX('TaxCred&amp;Subs'!$K$139:$S$151,MATCH($C396&amp;$D396,'TaxCred&amp;Subs'!$D$139:$D$151,0),MATCH($H396,'TaxCred&amp;Subs'!$K$137:$S$137,0)),0),O396*IFERROR(INDEX('TaxCred&amp;Subs'!$K$139:$S$151,MATCH($C396&amp;$D396,'TaxCred&amp;Subs'!$C$139:$C$151,0),MATCH($H396,'TaxCred&amp;Subs'!$K$137:$S$137,0)),0))),0),0)</f>
        <v>166</v>
      </c>
      <c r="T396" s="95">
        <f t="shared" ref="T396:T459" si="24">IF($H396=9,IF(R396&gt;0,(N396-P396)*0.15,0),0)</f>
        <v>0</v>
      </c>
      <c r="U396" s="95">
        <f t="shared" ref="U396:U459" si="25">IF($H396=9,IF(S396&gt;0,(O396-Q396)*0.15,0),0)</f>
        <v>0</v>
      </c>
      <c r="V396" s="28" t="s">
        <v>222</v>
      </c>
      <c r="W396" s="31">
        <v>2020</v>
      </c>
      <c r="X396" s="28">
        <v>1</v>
      </c>
      <c r="Y396" s="28">
        <v>0</v>
      </c>
      <c r="Z396" s="196">
        <v>-5.5122391377509595E-3</v>
      </c>
      <c r="AA396" s="196">
        <v>-8.4803679042322444E-2</v>
      </c>
      <c r="AB396" s="28">
        <v>0</v>
      </c>
      <c r="AC396" s="28">
        <v>0</v>
      </c>
      <c r="AD396" s="28" t="s">
        <v>350</v>
      </c>
    </row>
    <row r="397" spans="2:30" ht="14.25" customHeight="1" x14ac:dyDescent="0.2">
      <c r="B397" s="7">
        <f t="shared" si="23"/>
        <v>373</v>
      </c>
      <c r="C397" s="28">
        <v>2</v>
      </c>
      <c r="D397" s="28">
        <v>2</v>
      </c>
      <c r="E397" s="31">
        <v>7</v>
      </c>
      <c r="F397" s="78">
        <v>2033</v>
      </c>
      <c r="G397" s="28">
        <v>2050</v>
      </c>
      <c r="H397" s="28">
        <v>3</v>
      </c>
      <c r="I397" s="96">
        <v>42</v>
      </c>
      <c r="J397" s="28">
        <v>0</v>
      </c>
      <c r="K397" s="28">
        <v>0</v>
      </c>
      <c r="L397" s="28">
        <v>0</v>
      </c>
      <c r="M397" s="156">
        <v>4.9824150058616645</v>
      </c>
      <c r="N397" s="151">
        <v>5980</v>
      </c>
      <c r="O397" s="151">
        <v>3950</v>
      </c>
      <c r="P397" s="95">
        <f t="array" ref="P397">ROUND(IF($F397&lt;='TaxCred&amp;Subs'!$C$49,(IF($C397=2,IF($M397&gt;=IFERROR(INDEX('TaxCred&amp;Subs'!$L$12:$L$47,MATCH(1,($C397&amp;$D397='TaxCred&amp;Subs'!$E$12:$E$47)*($F397='TaxCred&amp;Subs'!$C$12:$C$47),0)
),9999),IFERROR(INDEX('TaxCred&amp;Subs'!$N$12:$N$47,MATCH(1,($C397&amp;$D397='TaxCred&amp;Subs'!$E$12:$E$47)*($F397='TaxCred&amp;Subs'!$C$12:$C$47),0)
),0),0),(IF($M397&gt;=IFERROR(INDEX('TaxCred&amp;Subs'!$H$12:$H$47,MATCH(1,($C397&amp;$D397='TaxCred&amp;Subs'!$D$12:$D$47)*($F397='TaxCred&amp;Subs'!$C$12:$C$47),0)
),9999),IFERROR(INDEX('TaxCred&amp;Subs'!$N$12:$N$47,MATCH(1,($C397&amp;$D397='TaxCred&amp;Subs'!$D$12:$D$47)*($F397='TaxCred&amp;Subs'!$C$12:$C$47),0)
),0),0)))),0)+IF(AND($C397=2,VALUE(RIGHT($AD397,1))&gt;2),(N397-R397)*(IFERROR(INDEX('TaxCred&amp;Subs'!$J$66:$J$99,MATCH(1,($C397&amp;$D397='TaxCred&amp;Subs'!$E$66:$E$99)*($F397='TaxCred&amp;Subs'!$C$66:$C$99),0)),0)),IF(AND($C397=1,VALUE(RIGHT($AD397,1))&gt;2),(N397-R397)*(IFERROR(INDEX('TaxCred&amp;Subs'!$J$66:$J$99,MATCH(1,($C397&amp;$D397='TaxCred&amp;Subs'!$D$66:$D$99)*($F397='TaxCred&amp;Subs'!$C$66:$C$99),0)),0)),IF($C397&gt;2,(N397-R397)*(IFERROR(INDEX('TaxCred&amp;Subs'!$J$66:$J$99,MATCH(1,($C397&amp;$D397='TaxCred&amp;Subs'!$D$66:$D$99)*($F397='TaxCred&amp;Subs'!$C$66:$C$99),0)),0)),0))),0)</f>
        <v>0</v>
      </c>
      <c r="Q397" s="95">
        <f t="array" ref="Q397">ROUND(IF(AND($C397=2,VALUE(RIGHT($AD397,1))&gt;2),(O397-S397)*(IFERROR(INDEX('TaxCred&amp;Subs'!$J$66:$J$99,MATCH(1,($C397&amp;$D397='TaxCred&amp;Subs'!$E$66:$E$99)*($F397='TaxCred&amp;Subs'!$C$66:$C$99),0)),0)),IF(AND($C397=1,VALUE(RIGHT($AD397,1))&gt;2),(O397-S397)*(IFERROR(INDEX('TaxCred&amp;Subs'!$J$66:$J$99,MATCH(1,($C397&amp;$D397='TaxCred&amp;Subs'!$D$66:$D$99)*($F397='TaxCred&amp;Subs'!$C$66:$C$99),0)),0)),IF($C397&gt;2,(O397-S397)*(IFERROR(INDEX('TaxCred&amp;Subs'!$J$66:$J$99,MATCH(1,($C397&amp;$D397='TaxCred&amp;Subs'!$D$66:$D$99)*($F397='TaxCred&amp;Subs'!$C$66:$C$99),0)),0)),0))),0)</f>
        <v>0</v>
      </c>
      <c r="R397" s="95">
        <f t="array" ref="R397">ROUND(IF(IFERROR(VALUE(RIGHT($AD397,1)),0)&gt;2,IF($C397=8,N397*IFERROR(INDEX('TaxCred&amp;Subs'!$K$139:$S$151,MATCH($C397&amp;$D397&amp;LEFT($AD397,7),'TaxCred&amp;Subs'!$E$139:$E$151,0),MATCH($H397,'TaxCred&amp;Subs'!$K$137:$S$137,0)),0),IF($C397=2,N397*IFERROR(INDEX('TaxCred&amp;Subs'!$K$139:$S$151,MATCH($C397&amp;$D397,'TaxCred&amp;Subs'!$D$139:$D$151,0),MATCH($H397,'TaxCred&amp;Subs'!$K$137:$S$137,0)),0),N397*IFERROR(INDEX('TaxCred&amp;Subs'!$K$139:$S$151,MATCH($C397&amp;$D397,'TaxCred&amp;Subs'!$C$139:$C$151,0),MATCH($H397,'TaxCred&amp;Subs'!$K$137:$S$137,0)),0))),0),0)</f>
        <v>205</v>
      </c>
      <c r="S397" s="95">
        <f t="array" ref="S397">ROUND(IF(IFERROR(VALUE(RIGHT($AD397,1)),0)&gt;2,IF($C397=8,O397*IFERROR(INDEX('TaxCred&amp;Subs'!$K$139:$S$151,MATCH($C397&amp;$D397&amp;LEFT($AD397,7),'TaxCred&amp;Subs'!$E$139:$E$151,0),MATCH($H397,'TaxCred&amp;Subs'!$K$137:$S$137,0)),0),IF($C397=2,O397*IFERROR(INDEX('TaxCred&amp;Subs'!$K$139:$S$151,MATCH($C397&amp;$D397,'TaxCred&amp;Subs'!$D$139:$D$151,0),MATCH($H397,'TaxCred&amp;Subs'!$K$137:$S$137,0)),0),O397*IFERROR(INDEX('TaxCred&amp;Subs'!$K$139:$S$151,MATCH($C397&amp;$D397,'TaxCred&amp;Subs'!$C$139:$C$151,0),MATCH($H397,'TaxCred&amp;Subs'!$K$137:$S$137,0)),0))),0),0)</f>
        <v>135</v>
      </c>
      <c r="T397" s="95">
        <f t="shared" si="24"/>
        <v>0</v>
      </c>
      <c r="U397" s="95">
        <f t="shared" si="25"/>
        <v>0</v>
      </c>
      <c r="V397" s="28" t="s">
        <v>222</v>
      </c>
      <c r="W397" s="31">
        <v>2020</v>
      </c>
      <c r="X397" s="28">
        <v>1</v>
      </c>
      <c r="Y397" s="28">
        <v>0</v>
      </c>
      <c r="Z397" s="196">
        <v>-5.5122391377509595E-3</v>
      </c>
      <c r="AA397" s="196">
        <v>-8.4803679042322444E-2</v>
      </c>
      <c r="AB397" s="28">
        <v>0</v>
      </c>
      <c r="AC397" s="28">
        <v>0</v>
      </c>
      <c r="AD397" s="28" t="s">
        <v>350</v>
      </c>
    </row>
    <row r="398" spans="2:30" ht="14.25" customHeight="1" x14ac:dyDescent="0.2">
      <c r="B398" s="7">
        <f t="shared" si="23"/>
        <v>374</v>
      </c>
      <c r="C398" s="28">
        <v>2</v>
      </c>
      <c r="D398" s="28">
        <v>2</v>
      </c>
      <c r="E398" s="31">
        <v>7</v>
      </c>
      <c r="F398" s="78">
        <v>2033</v>
      </c>
      <c r="G398" s="28">
        <v>2050</v>
      </c>
      <c r="H398" s="28">
        <v>4</v>
      </c>
      <c r="I398" s="96">
        <v>42</v>
      </c>
      <c r="J398" s="28">
        <v>0</v>
      </c>
      <c r="K398" s="28">
        <v>0</v>
      </c>
      <c r="L398" s="28">
        <v>0</v>
      </c>
      <c r="M398" s="156">
        <v>4.9824150058616645</v>
      </c>
      <c r="N398" s="151">
        <v>5980</v>
      </c>
      <c r="O398" s="151">
        <v>3950</v>
      </c>
      <c r="P398" s="95">
        <f t="array" ref="P398">ROUND(IF($F398&lt;='TaxCred&amp;Subs'!$C$49,(IF($C398=2,IF($M398&gt;=IFERROR(INDEX('TaxCred&amp;Subs'!$L$12:$L$47,MATCH(1,($C398&amp;$D398='TaxCred&amp;Subs'!$E$12:$E$47)*($F398='TaxCred&amp;Subs'!$C$12:$C$47),0)
),9999),IFERROR(INDEX('TaxCred&amp;Subs'!$N$12:$N$47,MATCH(1,($C398&amp;$D398='TaxCred&amp;Subs'!$E$12:$E$47)*($F398='TaxCred&amp;Subs'!$C$12:$C$47),0)
),0),0),(IF($M398&gt;=IFERROR(INDEX('TaxCred&amp;Subs'!$H$12:$H$47,MATCH(1,($C398&amp;$D398='TaxCred&amp;Subs'!$D$12:$D$47)*($F398='TaxCred&amp;Subs'!$C$12:$C$47),0)
),9999),IFERROR(INDEX('TaxCred&amp;Subs'!$N$12:$N$47,MATCH(1,($C398&amp;$D398='TaxCred&amp;Subs'!$D$12:$D$47)*($F398='TaxCred&amp;Subs'!$C$12:$C$47),0)
),0),0)))),0)+IF(AND($C398=2,VALUE(RIGHT($AD398,1))&gt;2),(N398-R398)*(IFERROR(INDEX('TaxCred&amp;Subs'!$J$66:$J$99,MATCH(1,($C398&amp;$D398='TaxCred&amp;Subs'!$E$66:$E$99)*($F398='TaxCred&amp;Subs'!$C$66:$C$99),0)),0)),IF(AND($C398=1,VALUE(RIGHT($AD398,1))&gt;2),(N398-R398)*(IFERROR(INDEX('TaxCred&amp;Subs'!$J$66:$J$99,MATCH(1,($C398&amp;$D398='TaxCred&amp;Subs'!$D$66:$D$99)*($F398='TaxCred&amp;Subs'!$C$66:$C$99),0)),0)),IF($C398&gt;2,(N398-R398)*(IFERROR(INDEX('TaxCred&amp;Subs'!$J$66:$J$99,MATCH(1,($C398&amp;$D398='TaxCred&amp;Subs'!$D$66:$D$99)*($F398='TaxCred&amp;Subs'!$C$66:$C$99),0)),0)),0))),0)</f>
        <v>0</v>
      </c>
      <c r="Q398" s="95">
        <f t="array" ref="Q398">ROUND(IF(AND($C398=2,VALUE(RIGHT($AD398,1))&gt;2),(O398-S398)*(IFERROR(INDEX('TaxCred&amp;Subs'!$J$66:$J$99,MATCH(1,($C398&amp;$D398='TaxCred&amp;Subs'!$E$66:$E$99)*($F398='TaxCred&amp;Subs'!$C$66:$C$99),0)),0)),IF(AND($C398=1,VALUE(RIGHT($AD398,1))&gt;2),(O398-S398)*(IFERROR(INDEX('TaxCred&amp;Subs'!$J$66:$J$99,MATCH(1,($C398&amp;$D398='TaxCred&amp;Subs'!$D$66:$D$99)*($F398='TaxCred&amp;Subs'!$C$66:$C$99),0)),0)),IF($C398&gt;2,(O398-S398)*(IFERROR(INDEX('TaxCred&amp;Subs'!$J$66:$J$99,MATCH(1,($C398&amp;$D398='TaxCred&amp;Subs'!$D$66:$D$99)*($F398='TaxCred&amp;Subs'!$C$66:$C$99),0)),0)),0))),0)</f>
        <v>0</v>
      </c>
      <c r="R398" s="95">
        <f t="array" ref="R398">ROUND(IF(IFERROR(VALUE(RIGHT($AD398,1)),0)&gt;2,IF($C398=8,N398*IFERROR(INDEX('TaxCred&amp;Subs'!$K$139:$S$151,MATCH($C398&amp;$D398&amp;LEFT($AD398,7),'TaxCred&amp;Subs'!$E$139:$E$151,0),MATCH($H398,'TaxCred&amp;Subs'!$K$137:$S$137,0)),0),IF($C398=2,N398*IFERROR(INDEX('TaxCred&amp;Subs'!$K$139:$S$151,MATCH($C398&amp;$D398,'TaxCred&amp;Subs'!$D$139:$D$151,0),MATCH($H398,'TaxCred&amp;Subs'!$K$137:$S$137,0)),0),N398*IFERROR(INDEX('TaxCred&amp;Subs'!$K$139:$S$151,MATCH($C398&amp;$D398,'TaxCred&amp;Subs'!$C$139:$C$151,0),MATCH($H398,'TaxCred&amp;Subs'!$K$137:$S$137,0)),0))),0),0)</f>
        <v>173</v>
      </c>
      <c r="S398" s="95">
        <f t="array" ref="S398">ROUND(IF(IFERROR(VALUE(RIGHT($AD398,1)),0)&gt;2,IF($C398=8,O398*IFERROR(INDEX('TaxCred&amp;Subs'!$K$139:$S$151,MATCH($C398&amp;$D398&amp;LEFT($AD398,7),'TaxCred&amp;Subs'!$E$139:$E$151,0),MATCH($H398,'TaxCred&amp;Subs'!$K$137:$S$137,0)),0),IF($C398=2,O398*IFERROR(INDEX('TaxCred&amp;Subs'!$K$139:$S$151,MATCH($C398&amp;$D398,'TaxCred&amp;Subs'!$D$139:$D$151,0),MATCH($H398,'TaxCred&amp;Subs'!$K$137:$S$137,0)),0),O398*IFERROR(INDEX('TaxCred&amp;Subs'!$K$139:$S$151,MATCH($C398&amp;$D398,'TaxCred&amp;Subs'!$C$139:$C$151,0),MATCH($H398,'TaxCred&amp;Subs'!$K$137:$S$137,0)),0))),0),0)</f>
        <v>115</v>
      </c>
      <c r="T398" s="95">
        <f t="shared" si="24"/>
        <v>0</v>
      </c>
      <c r="U398" s="95">
        <f t="shared" si="25"/>
        <v>0</v>
      </c>
      <c r="V398" s="28" t="s">
        <v>222</v>
      </c>
      <c r="W398" s="31">
        <v>2020</v>
      </c>
      <c r="X398" s="28">
        <v>1</v>
      </c>
      <c r="Y398" s="28">
        <v>0</v>
      </c>
      <c r="Z398" s="196">
        <v>-5.5122391377509595E-3</v>
      </c>
      <c r="AA398" s="196">
        <v>-8.4803679042322444E-2</v>
      </c>
      <c r="AB398" s="28">
        <v>0</v>
      </c>
      <c r="AC398" s="28">
        <v>0</v>
      </c>
      <c r="AD398" s="28" t="s">
        <v>350</v>
      </c>
    </row>
    <row r="399" spans="2:30" ht="14.25" customHeight="1" x14ac:dyDescent="0.2">
      <c r="B399" s="7">
        <f t="shared" si="23"/>
        <v>375</v>
      </c>
      <c r="C399" s="28">
        <v>2</v>
      </c>
      <c r="D399" s="28">
        <v>2</v>
      </c>
      <c r="E399" s="31">
        <v>7</v>
      </c>
      <c r="F399" s="78">
        <v>2033</v>
      </c>
      <c r="G399" s="28">
        <v>2050</v>
      </c>
      <c r="H399" s="28">
        <v>5</v>
      </c>
      <c r="I399" s="96">
        <v>42</v>
      </c>
      <c r="J399" s="28">
        <v>0</v>
      </c>
      <c r="K399" s="28">
        <v>0</v>
      </c>
      <c r="L399" s="28">
        <v>0</v>
      </c>
      <c r="M399" s="156">
        <v>4.9824150058616645</v>
      </c>
      <c r="N399" s="151">
        <v>5980</v>
      </c>
      <c r="O399" s="151">
        <v>3950</v>
      </c>
      <c r="P399" s="95">
        <f t="array" ref="P399">ROUND(IF($F399&lt;='TaxCred&amp;Subs'!$C$49,(IF($C399=2,IF($M399&gt;=IFERROR(INDEX('TaxCred&amp;Subs'!$L$12:$L$47,MATCH(1,($C399&amp;$D399='TaxCred&amp;Subs'!$E$12:$E$47)*($F399='TaxCred&amp;Subs'!$C$12:$C$47),0)
),9999),IFERROR(INDEX('TaxCred&amp;Subs'!$N$12:$N$47,MATCH(1,($C399&amp;$D399='TaxCred&amp;Subs'!$E$12:$E$47)*($F399='TaxCred&amp;Subs'!$C$12:$C$47),0)
),0),0),(IF($M399&gt;=IFERROR(INDEX('TaxCred&amp;Subs'!$H$12:$H$47,MATCH(1,($C399&amp;$D399='TaxCred&amp;Subs'!$D$12:$D$47)*($F399='TaxCred&amp;Subs'!$C$12:$C$47),0)
),9999),IFERROR(INDEX('TaxCred&amp;Subs'!$N$12:$N$47,MATCH(1,($C399&amp;$D399='TaxCred&amp;Subs'!$D$12:$D$47)*($F399='TaxCred&amp;Subs'!$C$12:$C$47),0)
),0),0)))),0)+IF(AND($C399=2,VALUE(RIGHT($AD399,1))&gt;2),(N399-R399)*(IFERROR(INDEX('TaxCred&amp;Subs'!$J$66:$J$99,MATCH(1,($C399&amp;$D399='TaxCred&amp;Subs'!$E$66:$E$99)*($F399='TaxCred&amp;Subs'!$C$66:$C$99),0)),0)),IF(AND($C399=1,VALUE(RIGHT($AD399,1))&gt;2),(N399-R399)*(IFERROR(INDEX('TaxCred&amp;Subs'!$J$66:$J$99,MATCH(1,($C399&amp;$D399='TaxCred&amp;Subs'!$D$66:$D$99)*($F399='TaxCred&amp;Subs'!$C$66:$C$99),0)),0)),IF($C399&gt;2,(N399-R399)*(IFERROR(INDEX('TaxCred&amp;Subs'!$J$66:$J$99,MATCH(1,($C399&amp;$D399='TaxCred&amp;Subs'!$D$66:$D$99)*($F399='TaxCred&amp;Subs'!$C$66:$C$99),0)),0)),0))),0)</f>
        <v>0</v>
      </c>
      <c r="Q399" s="95">
        <f t="array" ref="Q399">ROUND(IF(AND($C399=2,VALUE(RIGHT($AD399,1))&gt;2),(O399-S399)*(IFERROR(INDEX('TaxCred&amp;Subs'!$J$66:$J$99,MATCH(1,($C399&amp;$D399='TaxCred&amp;Subs'!$E$66:$E$99)*($F399='TaxCred&amp;Subs'!$C$66:$C$99),0)),0)),IF(AND($C399=1,VALUE(RIGHT($AD399,1))&gt;2),(O399-S399)*(IFERROR(INDEX('TaxCred&amp;Subs'!$J$66:$J$99,MATCH(1,($C399&amp;$D399='TaxCred&amp;Subs'!$D$66:$D$99)*($F399='TaxCred&amp;Subs'!$C$66:$C$99),0)),0)),IF($C399&gt;2,(O399-S399)*(IFERROR(INDEX('TaxCred&amp;Subs'!$J$66:$J$99,MATCH(1,($C399&amp;$D399='TaxCred&amp;Subs'!$D$66:$D$99)*($F399='TaxCred&amp;Subs'!$C$66:$C$99),0)),0)),0))),0)</f>
        <v>0</v>
      </c>
      <c r="R399" s="95">
        <f t="array" ref="R399">ROUND(IF(IFERROR(VALUE(RIGHT($AD399,1)),0)&gt;2,IF($C399=8,N399*IFERROR(INDEX('TaxCred&amp;Subs'!$K$139:$S$151,MATCH($C399&amp;$D399&amp;LEFT($AD399,7),'TaxCred&amp;Subs'!$E$139:$E$151,0),MATCH($H399,'TaxCred&amp;Subs'!$K$137:$S$137,0)),0),IF($C399=2,N399*IFERROR(INDEX('TaxCred&amp;Subs'!$K$139:$S$151,MATCH($C399&amp;$D399,'TaxCred&amp;Subs'!$D$139:$D$151,0),MATCH($H399,'TaxCred&amp;Subs'!$K$137:$S$137,0)),0),N399*IFERROR(INDEX('TaxCred&amp;Subs'!$K$139:$S$151,MATCH($C399&amp;$D399,'TaxCred&amp;Subs'!$C$139:$C$151,0),MATCH($H399,'TaxCred&amp;Subs'!$K$137:$S$137,0)),0))),0),0)</f>
        <v>142</v>
      </c>
      <c r="S399" s="95">
        <f t="array" ref="S399">ROUND(IF(IFERROR(VALUE(RIGHT($AD399,1)),0)&gt;2,IF($C399=8,O399*IFERROR(INDEX('TaxCred&amp;Subs'!$K$139:$S$151,MATCH($C399&amp;$D399&amp;LEFT($AD399,7),'TaxCred&amp;Subs'!$E$139:$E$151,0),MATCH($H399,'TaxCred&amp;Subs'!$K$137:$S$137,0)),0),IF($C399=2,O399*IFERROR(INDEX('TaxCred&amp;Subs'!$K$139:$S$151,MATCH($C399&amp;$D399,'TaxCred&amp;Subs'!$D$139:$D$151,0),MATCH($H399,'TaxCred&amp;Subs'!$K$137:$S$137,0)),0),O399*IFERROR(INDEX('TaxCred&amp;Subs'!$K$139:$S$151,MATCH($C399&amp;$D399,'TaxCred&amp;Subs'!$C$139:$C$151,0),MATCH($H399,'TaxCred&amp;Subs'!$K$137:$S$137,0)),0))),0),0)</f>
        <v>94</v>
      </c>
      <c r="T399" s="95">
        <f t="shared" si="24"/>
        <v>0</v>
      </c>
      <c r="U399" s="95">
        <f t="shared" si="25"/>
        <v>0</v>
      </c>
      <c r="V399" s="28" t="s">
        <v>222</v>
      </c>
      <c r="W399" s="31">
        <v>2020</v>
      </c>
      <c r="X399" s="28">
        <v>1</v>
      </c>
      <c r="Y399" s="28">
        <v>0</v>
      </c>
      <c r="Z399" s="196">
        <v>-5.5122391377509595E-3</v>
      </c>
      <c r="AA399" s="196">
        <v>-8.4803679042322444E-2</v>
      </c>
      <c r="AB399" s="28">
        <v>0</v>
      </c>
      <c r="AC399" s="28">
        <v>0</v>
      </c>
      <c r="AD399" s="28" t="s">
        <v>350</v>
      </c>
    </row>
    <row r="400" spans="2:30" ht="14.25" customHeight="1" x14ac:dyDescent="0.2">
      <c r="B400" s="7">
        <f t="shared" si="23"/>
        <v>376</v>
      </c>
      <c r="C400" s="28">
        <v>2</v>
      </c>
      <c r="D400" s="28">
        <v>2</v>
      </c>
      <c r="E400" s="31">
        <v>7</v>
      </c>
      <c r="F400" s="78">
        <v>2033</v>
      </c>
      <c r="G400" s="28">
        <v>2050</v>
      </c>
      <c r="H400" s="28">
        <v>6</v>
      </c>
      <c r="I400" s="96">
        <v>42</v>
      </c>
      <c r="J400" s="28">
        <v>0</v>
      </c>
      <c r="K400" s="28">
        <v>0</v>
      </c>
      <c r="L400" s="28">
        <v>0</v>
      </c>
      <c r="M400" s="156">
        <v>4.9824150058616645</v>
      </c>
      <c r="N400" s="151">
        <v>5980</v>
      </c>
      <c r="O400" s="151">
        <v>3950</v>
      </c>
      <c r="P400" s="95">
        <f t="array" ref="P400">ROUND(IF($F400&lt;='TaxCred&amp;Subs'!$C$49,(IF($C400=2,IF($M400&gt;=IFERROR(INDEX('TaxCred&amp;Subs'!$L$12:$L$47,MATCH(1,($C400&amp;$D400='TaxCred&amp;Subs'!$E$12:$E$47)*($F400='TaxCred&amp;Subs'!$C$12:$C$47),0)
),9999),IFERROR(INDEX('TaxCred&amp;Subs'!$N$12:$N$47,MATCH(1,($C400&amp;$D400='TaxCred&amp;Subs'!$E$12:$E$47)*($F400='TaxCred&amp;Subs'!$C$12:$C$47),0)
),0),0),(IF($M400&gt;=IFERROR(INDEX('TaxCred&amp;Subs'!$H$12:$H$47,MATCH(1,($C400&amp;$D400='TaxCred&amp;Subs'!$D$12:$D$47)*($F400='TaxCred&amp;Subs'!$C$12:$C$47),0)
),9999),IFERROR(INDEX('TaxCred&amp;Subs'!$N$12:$N$47,MATCH(1,($C400&amp;$D400='TaxCred&amp;Subs'!$D$12:$D$47)*($F400='TaxCred&amp;Subs'!$C$12:$C$47),0)
),0),0)))),0)+IF(AND($C400=2,VALUE(RIGHT($AD400,1))&gt;2),(N400-R400)*(IFERROR(INDEX('TaxCred&amp;Subs'!$J$66:$J$99,MATCH(1,($C400&amp;$D400='TaxCred&amp;Subs'!$E$66:$E$99)*($F400='TaxCred&amp;Subs'!$C$66:$C$99),0)),0)),IF(AND($C400=1,VALUE(RIGHT($AD400,1))&gt;2),(N400-R400)*(IFERROR(INDEX('TaxCred&amp;Subs'!$J$66:$J$99,MATCH(1,($C400&amp;$D400='TaxCred&amp;Subs'!$D$66:$D$99)*($F400='TaxCred&amp;Subs'!$C$66:$C$99),0)),0)),IF($C400&gt;2,(N400-R400)*(IFERROR(INDEX('TaxCred&amp;Subs'!$J$66:$J$99,MATCH(1,($C400&amp;$D400='TaxCred&amp;Subs'!$D$66:$D$99)*($F400='TaxCred&amp;Subs'!$C$66:$C$99),0)),0)),0))),0)</f>
        <v>0</v>
      </c>
      <c r="Q400" s="95">
        <f t="array" ref="Q400">ROUND(IF(AND($C400=2,VALUE(RIGHT($AD400,1))&gt;2),(O400-S400)*(IFERROR(INDEX('TaxCred&amp;Subs'!$J$66:$J$99,MATCH(1,($C400&amp;$D400='TaxCred&amp;Subs'!$E$66:$E$99)*($F400='TaxCred&amp;Subs'!$C$66:$C$99),0)),0)),IF(AND($C400=1,VALUE(RIGHT($AD400,1))&gt;2),(O400-S400)*(IFERROR(INDEX('TaxCred&amp;Subs'!$J$66:$J$99,MATCH(1,($C400&amp;$D400='TaxCred&amp;Subs'!$D$66:$D$99)*($F400='TaxCred&amp;Subs'!$C$66:$C$99),0)),0)),IF($C400&gt;2,(O400-S400)*(IFERROR(INDEX('TaxCred&amp;Subs'!$J$66:$J$99,MATCH(1,($C400&amp;$D400='TaxCred&amp;Subs'!$D$66:$D$99)*($F400='TaxCred&amp;Subs'!$C$66:$C$99),0)),0)),0))),0)</f>
        <v>0</v>
      </c>
      <c r="R400" s="95">
        <f t="array" ref="R400">ROUND(IF(IFERROR(VALUE(RIGHT($AD400,1)),0)&gt;2,IF($C400=8,N400*IFERROR(INDEX('TaxCred&amp;Subs'!$K$139:$S$151,MATCH($C400&amp;$D400&amp;LEFT($AD400,7),'TaxCred&amp;Subs'!$E$139:$E$151,0),MATCH($H400,'TaxCred&amp;Subs'!$K$137:$S$137,0)),0),IF($C400=2,N400*IFERROR(INDEX('TaxCred&amp;Subs'!$K$139:$S$151,MATCH($C400&amp;$D400,'TaxCred&amp;Subs'!$D$139:$D$151,0),MATCH($H400,'TaxCred&amp;Subs'!$K$137:$S$137,0)),0),N400*IFERROR(INDEX('TaxCred&amp;Subs'!$K$139:$S$151,MATCH($C400&amp;$D400,'TaxCred&amp;Subs'!$C$139:$C$151,0),MATCH($H400,'TaxCred&amp;Subs'!$K$137:$S$137,0)),0))),0),0)</f>
        <v>49</v>
      </c>
      <c r="S400" s="95">
        <f t="array" ref="S400">ROUND(IF(IFERROR(VALUE(RIGHT($AD400,1)),0)&gt;2,IF($C400=8,O400*IFERROR(INDEX('TaxCred&amp;Subs'!$K$139:$S$151,MATCH($C400&amp;$D400&amp;LEFT($AD400,7),'TaxCred&amp;Subs'!$E$139:$E$151,0),MATCH($H400,'TaxCred&amp;Subs'!$K$137:$S$137,0)),0),IF($C400=2,O400*IFERROR(INDEX('TaxCred&amp;Subs'!$K$139:$S$151,MATCH($C400&amp;$D400,'TaxCred&amp;Subs'!$D$139:$D$151,0),MATCH($H400,'TaxCred&amp;Subs'!$K$137:$S$137,0)),0),O400*IFERROR(INDEX('TaxCred&amp;Subs'!$K$139:$S$151,MATCH($C400&amp;$D400,'TaxCred&amp;Subs'!$C$139:$C$151,0),MATCH($H400,'TaxCred&amp;Subs'!$K$137:$S$137,0)),0))),0),0)</f>
        <v>32</v>
      </c>
      <c r="T400" s="95">
        <f t="shared" si="24"/>
        <v>0</v>
      </c>
      <c r="U400" s="95">
        <f t="shared" si="25"/>
        <v>0</v>
      </c>
      <c r="V400" s="28" t="s">
        <v>222</v>
      </c>
      <c r="W400" s="31">
        <v>2020</v>
      </c>
      <c r="X400" s="28">
        <v>1</v>
      </c>
      <c r="Y400" s="28">
        <v>0</v>
      </c>
      <c r="Z400" s="196">
        <v>-5.5122391377509595E-3</v>
      </c>
      <c r="AA400" s="196">
        <v>-8.4803679042322444E-2</v>
      </c>
      <c r="AB400" s="28">
        <v>0</v>
      </c>
      <c r="AC400" s="28">
        <v>0</v>
      </c>
      <c r="AD400" s="28" t="s">
        <v>350</v>
      </c>
    </row>
    <row r="401" spans="2:30" ht="14.25" customHeight="1" x14ac:dyDescent="0.2">
      <c r="B401" s="7">
        <f t="shared" si="23"/>
        <v>377</v>
      </c>
      <c r="C401" s="28">
        <v>2</v>
      </c>
      <c r="D401" s="28">
        <v>2</v>
      </c>
      <c r="E401" s="31">
        <v>7</v>
      </c>
      <c r="F401" s="78">
        <v>2033</v>
      </c>
      <c r="G401" s="28">
        <v>2050</v>
      </c>
      <c r="H401" s="28">
        <v>7</v>
      </c>
      <c r="I401" s="96">
        <v>42</v>
      </c>
      <c r="J401" s="28">
        <v>0</v>
      </c>
      <c r="K401" s="28">
        <v>0</v>
      </c>
      <c r="L401" s="28">
        <v>0</v>
      </c>
      <c r="M401" s="156">
        <v>4.9824150058616645</v>
      </c>
      <c r="N401" s="151">
        <v>5980</v>
      </c>
      <c r="O401" s="151">
        <v>3950</v>
      </c>
      <c r="P401" s="95">
        <f t="array" ref="P401">ROUND(IF($F401&lt;='TaxCred&amp;Subs'!$C$49,(IF($C401=2,IF($M401&gt;=IFERROR(INDEX('TaxCred&amp;Subs'!$L$12:$L$47,MATCH(1,($C401&amp;$D401='TaxCred&amp;Subs'!$E$12:$E$47)*($F401='TaxCred&amp;Subs'!$C$12:$C$47),0)
),9999),IFERROR(INDEX('TaxCred&amp;Subs'!$N$12:$N$47,MATCH(1,($C401&amp;$D401='TaxCred&amp;Subs'!$E$12:$E$47)*($F401='TaxCred&amp;Subs'!$C$12:$C$47),0)
),0),0),(IF($M401&gt;=IFERROR(INDEX('TaxCred&amp;Subs'!$H$12:$H$47,MATCH(1,($C401&amp;$D401='TaxCred&amp;Subs'!$D$12:$D$47)*($F401='TaxCred&amp;Subs'!$C$12:$C$47),0)
),9999),IFERROR(INDEX('TaxCred&amp;Subs'!$N$12:$N$47,MATCH(1,($C401&amp;$D401='TaxCred&amp;Subs'!$D$12:$D$47)*($F401='TaxCred&amp;Subs'!$C$12:$C$47),0)
),0),0)))),0)+IF(AND($C401=2,VALUE(RIGHT($AD401,1))&gt;2),(N401-R401)*(IFERROR(INDEX('TaxCred&amp;Subs'!$J$66:$J$99,MATCH(1,($C401&amp;$D401='TaxCred&amp;Subs'!$E$66:$E$99)*($F401='TaxCred&amp;Subs'!$C$66:$C$99),0)),0)),IF(AND($C401=1,VALUE(RIGHT($AD401,1))&gt;2),(N401-R401)*(IFERROR(INDEX('TaxCred&amp;Subs'!$J$66:$J$99,MATCH(1,($C401&amp;$D401='TaxCred&amp;Subs'!$D$66:$D$99)*($F401='TaxCred&amp;Subs'!$C$66:$C$99),0)),0)),IF($C401&gt;2,(N401-R401)*(IFERROR(INDEX('TaxCred&amp;Subs'!$J$66:$J$99,MATCH(1,($C401&amp;$D401='TaxCred&amp;Subs'!$D$66:$D$99)*($F401='TaxCred&amp;Subs'!$C$66:$C$99),0)),0)),0))),0)</f>
        <v>0</v>
      </c>
      <c r="Q401" s="95">
        <f t="array" ref="Q401">ROUND(IF(AND($C401=2,VALUE(RIGHT($AD401,1))&gt;2),(O401-S401)*(IFERROR(INDEX('TaxCred&amp;Subs'!$J$66:$J$99,MATCH(1,($C401&amp;$D401='TaxCred&amp;Subs'!$E$66:$E$99)*($F401='TaxCred&amp;Subs'!$C$66:$C$99),0)),0)),IF(AND($C401=1,VALUE(RIGHT($AD401,1))&gt;2),(O401-S401)*(IFERROR(INDEX('TaxCred&amp;Subs'!$J$66:$J$99,MATCH(1,($C401&amp;$D401='TaxCred&amp;Subs'!$D$66:$D$99)*($F401='TaxCred&amp;Subs'!$C$66:$C$99),0)),0)),IF($C401&gt;2,(O401-S401)*(IFERROR(INDEX('TaxCred&amp;Subs'!$J$66:$J$99,MATCH(1,($C401&amp;$D401='TaxCred&amp;Subs'!$D$66:$D$99)*($F401='TaxCred&amp;Subs'!$C$66:$C$99),0)),0)),0))),0)</f>
        <v>0</v>
      </c>
      <c r="R401" s="95">
        <f t="array" ref="R401">ROUND(IF(IFERROR(VALUE(RIGHT($AD401,1)),0)&gt;2,IF($C401=8,N401*IFERROR(INDEX('TaxCred&amp;Subs'!$K$139:$S$151,MATCH($C401&amp;$D401&amp;LEFT($AD401,7),'TaxCred&amp;Subs'!$E$139:$E$151,0),MATCH($H401,'TaxCred&amp;Subs'!$K$137:$S$137,0)),0),IF($C401=2,N401*IFERROR(INDEX('TaxCred&amp;Subs'!$K$139:$S$151,MATCH($C401&amp;$D401,'TaxCred&amp;Subs'!$D$139:$D$151,0),MATCH($H401,'TaxCred&amp;Subs'!$K$137:$S$137,0)),0),N401*IFERROR(INDEX('TaxCred&amp;Subs'!$K$139:$S$151,MATCH($C401&amp;$D401,'TaxCred&amp;Subs'!$C$139:$C$151,0),MATCH($H401,'TaxCred&amp;Subs'!$K$137:$S$137,0)),0))),0),0)</f>
        <v>662</v>
      </c>
      <c r="S401" s="95">
        <f t="array" ref="S401">ROUND(IF(IFERROR(VALUE(RIGHT($AD401,1)),0)&gt;2,IF($C401=8,O401*IFERROR(INDEX('TaxCred&amp;Subs'!$K$139:$S$151,MATCH($C401&amp;$D401&amp;LEFT($AD401,7),'TaxCred&amp;Subs'!$E$139:$E$151,0),MATCH($H401,'TaxCred&amp;Subs'!$K$137:$S$137,0)),0),IF($C401=2,O401*IFERROR(INDEX('TaxCred&amp;Subs'!$K$139:$S$151,MATCH($C401&amp;$D401,'TaxCred&amp;Subs'!$D$139:$D$151,0),MATCH($H401,'TaxCred&amp;Subs'!$K$137:$S$137,0)),0),O401*IFERROR(INDEX('TaxCred&amp;Subs'!$K$139:$S$151,MATCH($C401&amp;$D401,'TaxCred&amp;Subs'!$C$139:$C$151,0),MATCH($H401,'TaxCred&amp;Subs'!$K$137:$S$137,0)),0))),0),0)</f>
        <v>437</v>
      </c>
      <c r="T401" s="95">
        <f t="shared" si="24"/>
        <v>0</v>
      </c>
      <c r="U401" s="95">
        <f t="shared" si="25"/>
        <v>0</v>
      </c>
      <c r="V401" s="28" t="s">
        <v>222</v>
      </c>
      <c r="W401" s="31">
        <v>2020</v>
      </c>
      <c r="X401" s="28">
        <v>1</v>
      </c>
      <c r="Y401" s="28">
        <v>0</v>
      </c>
      <c r="Z401" s="196">
        <v>-5.5122391377509595E-3</v>
      </c>
      <c r="AA401" s="196">
        <v>-8.4803679042322444E-2</v>
      </c>
      <c r="AB401" s="28">
        <v>0</v>
      </c>
      <c r="AC401" s="28">
        <v>0</v>
      </c>
      <c r="AD401" s="28" t="s">
        <v>350</v>
      </c>
    </row>
    <row r="402" spans="2:30" ht="14.25" customHeight="1" x14ac:dyDescent="0.2">
      <c r="B402" s="7">
        <f t="shared" si="23"/>
        <v>378</v>
      </c>
      <c r="C402" s="28">
        <v>2</v>
      </c>
      <c r="D402" s="28">
        <v>2</v>
      </c>
      <c r="E402" s="31">
        <v>7</v>
      </c>
      <c r="F402" s="78">
        <v>2033</v>
      </c>
      <c r="G402" s="28">
        <v>2050</v>
      </c>
      <c r="H402" s="28">
        <v>8</v>
      </c>
      <c r="I402" s="96">
        <v>42</v>
      </c>
      <c r="J402" s="28">
        <v>0</v>
      </c>
      <c r="K402" s="28">
        <v>0</v>
      </c>
      <c r="L402" s="28">
        <v>0</v>
      </c>
      <c r="M402" s="156">
        <v>4.9824150058616645</v>
      </c>
      <c r="N402" s="151">
        <v>5980</v>
      </c>
      <c r="O402" s="151">
        <v>3950</v>
      </c>
      <c r="P402" s="95">
        <f t="array" ref="P402">ROUND(IF($F402&lt;='TaxCred&amp;Subs'!$C$49,(IF($C402=2,IF($M402&gt;=IFERROR(INDEX('TaxCred&amp;Subs'!$L$12:$L$47,MATCH(1,($C402&amp;$D402='TaxCred&amp;Subs'!$E$12:$E$47)*($F402='TaxCred&amp;Subs'!$C$12:$C$47),0)
),9999),IFERROR(INDEX('TaxCred&amp;Subs'!$N$12:$N$47,MATCH(1,($C402&amp;$D402='TaxCred&amp;Subs'!$E$12:$E$47)*($F402='TaxCred&amp;Subs'!$C$12:$C$47),0)
),0),0),(IF($M402&gt;=IFERROR(INDEX('TaxCred&amp;Subs'!$H$12:$H$47,MATCH(1,($C402&amp;$D402='TaxCred&amp;Subs'!$D$12:$D$47)*($F402='TaxCred&amp;Subs'!$C$12:$C$47),0)
),9999),IFERROR(INDEX('TaxCred&amp;Subs'!$N$12:$N$47,MATCH(1,($C402&amp;$D402='TaxCred&amp;Subs'!$D$12:$D$47)*($F402='TaxCred&amp;Subs'!$C$12:$C$47),0)
),0),0)))),0)+IF(AND($C402=2,VALUE(RIGHT($AD402,1))&gt;2),(N402-R402)*(IFERROR(INDEX('TaxCred&amp;Subs'!$J$66:$J$99,MATCH(1,($C402&amp;$D402='TaxCred&amp;Subs'!$E$66:$E$99)*($F402='TaxCred&amp;Subs'!$C$66:$C$99),0)),0)),IF(AND($C402=1,VALUE(RIGHT($AD402,1))&gt;2),(N402-R402)*(IFERROR(INDEX('TaxCred&amp;Subs'!$J$66:$J$99,MATCH(1,($C402&amp;$D402='TaxCred&amp;Subs'!$D$66:$D$99)*($F402='TaxCred&amp;Subs'!$C$66:$C$99),0)),0)),IF($C402&gt;2,(N402-R402)*(IFERROR(INDEX('TaxCred&amp;Subs'!$J$66:$J$99,MATCH(1,($C402&amp;$D402='TaxCred&amp;Subs'!$D$66:$D$99)*($F402='TaxCred&amp;Subs'!$C$66:$C$99),0)),0)),0))),0)</f>
        <v>0</v>
      </c>
      <c r="Q402" s="95">
        <f t="array" ref="Q402">ROUND(IF(AND($C402=2,VALUE(RIGHT($AD402,1))&gt;2),(O402-S402)*(IFERROR(INDEX('TaxCred&amp;Subs'!$J$66:$J$99,MATCH(1,($C402&amp;$D402='TaxCred&amp;Subs'!$E$66:$E$99)*($F402='TaxCred&amp;Subs'!$C$66:$C$99),0)),0)),IF(AND($C402=1,VALUE(RIGHT($AD402,1))&gt;2),(O402-S402)*(IFERROR(INDEX('TaxCred&amp;Subs'!$J$66:$J$99,MATCH(1,($C402&amp;$D402='TaxCred&amp;Subs'!$D$66:$D$99)*($F402='TaxCred&amp;Subs'!$C$66:$C$99),0)),0)),IF($C402&gt;2,(O402-S402)*(IFERROR(INDEX('TaxCred&amp;Subs'!$J$66:$J$99,MATCH(1,($C402&amp;$D402='TaxCred&amp;Subs'!$D$66:$D$99)*($F402='TaxCred&amp;Subs'!$C$66:$C$99),0)),0)),0))),0)</f>
        <v>0</v>
      </c>
      <c r="R402" s="95">
        <f t="array" ref="R402">ROUND(IF(IFERROR(VALUE(RIGHT($AD402,1)),0)&gt;2,IF($C402=8,N402*IFERROR(INDEX('TaxCred&amp;Subs'!$K$139:$S$151,MATCH($C402&amp;$D402&amp;LEFT($AD402,7),'TaxCred&amp;Subs'!$E$139:$E$151,0),MATCH($H402,'TaxCred&amp;Subs'!$K$137:$S$137,0)),0),IF($C402=2,N402*IFERROR(INDEX('TaxCred&amp;Subs'!$K$139:$S$151,MATCH($C402&amp;$D402,'TaxCred&amp;Subs'!$D$139:$D$151,0),MATCH($H402,'TaxCred&amp;Subs'!$K$137:$S$137,0)),0),N402*IFERROR(INDEX('TaxCred&amp;Subs'!$K$139:$S$151,MATCH($C402&amp;$D402,'TaxCred&amp;Subs'!$C$139:$C$151,0),MATCH($H402,'TaxCred&amp;Subs'!$K$137:$S$137,0)),0))),0),0)</f>
        <v>186</v>
      </c>
      <c r="S402" s="95">
        <f t="array" ref="S402">ROUND(IF(IFERROR(VALUE(RIGHT($AD402,1)),0)&gt;2,IF($C402=8,O402*IFERROR(INDEX('TaxCred&amp;Subs'!$K$139:$S$151,MATCH($C402&amp;$D402&amp;LEFT($AD402,7),'TaxCred&amp;Subs'!$E$139:$E$151,0),MATCH($H402,'TaxCred&amp;Subs'!$K$137:$S$137,0)),0),IF($C402=2,O402*IFERROR(INDEX('TaxCred&amp;Subs'!$K$139:$S$151,MATCH($C402&amp;$D402,'TaxCred&amp;Subs'!$D$139:$D$151,0),MATCH($H402,'TaxCred&amp;Subs'!$K$137:$S$137,0)),0),O402*IFERROR(INDEX('TaxCred&amp;Subs'!$K$139:$S$151,MATCH($C402&amp;$D402,'TaxCred&amp;Subs'!$C$139:$C$151,0),MATCH($H402,'TaxCred&amp;Subs'!$K$137:$S$137,0)),0))),0),0)</f>
        <v>123</v>
      </c>
      <c r="T402" s="95">
        <f t="shared" si="24"/>
        <v>0</v>
      </c>
      <c r="U402" s="95">
        <f t="shared" si="25"/>
        <v>0</v>
      </c>
      <c r="V402" s="28" t="s">
        <v>222</v>
      </c>
      <c r="W402" s="31">
        <v>2020</v>
      </c>
      <c r="X402" s="28">
        <v>1</v>
      </c>
      <c r="Y402" s="28">
        <v>0</v>
      </c>
      <c r="Z402" s="196">
        <v>-5.5122391377509595E-3</v>
      </c>
      <c r="AA402" s="196">
        <v>-8.4803679042322444E-2</v>
      </c>
      <c r="AB402" s="28">
        <v>0</v>
      </c>
      <c r="AC402" s="28">
        <v>0</v>
      </c>
      <c r="AD402" s="28" t="s">
        <v>350</v>
      </c>
    </row>
    <row r="403" spans="2:30" ht="14.25" customHeight="1" x14ac:dyDescent="0.2">
      <c r="B403" s="7">
        <f t="shared" si="23"/>
        <v>379</v>
      </c>
      <c r="C403" s="28">
        <v>2</v>
      </c>
      <c r="D403" s="28">
        <v>2</v>
      </c>
      <c r="E403" s="31">
        <v>7</v>
      </c>
      <c r="F403" s="78">
        <v>2033</v>
      </c>
      <c r="G403" s="28">
        <v>2050</v>
      </c>
      <c r="H403" s="28">
        <v>9</v>
      </c>
      <c r="I403" s="96">
        <v>42</v>
      </c>
      <c r="J403" s="28">
        <v>0</v>
      </c>
      <c r="K403" s="28">
        <v>0</v>
      </c>
      <c r="L403" s="28">
        <v>0</v>
      </c>
      <c r="M403" s="156">
        <v>4.9824150058616645</v>
      </c>
      <c r="N403" s="151">
        <v>5980</v>
      </c>
      <c r="O403" s="151">
        <v>3950</v>
      </c>
      <c r="P403" s="95">
        <f t="array" ref="P403">ROUND(IF($F403&lt;='TaxCred&amp;Subs'!$C$49,(IF($C403=2,IF($M403&gt;=IFERROR(INDEX('TaxCred&amp;Subs'!$L$12:$L$47,MATCH(1,($C403&amp;$D403='TaxCred&amp;Subs'!$E$12:$E$47)*($F403='TaxCred&amp;Subs'!$C$12:$C$47),0)
),9999),IFERROR(INDEX('TaxCred&amp;Subs'!$N$12:$N$47,MATCH(1,($C403&amp;$D403='TaxCred&amp;Subs'!$E$12:$E$47)*($F403='TaxCred&amp;Subs'!$C$12:$C$47),0)
),0),0),(IF($M403&gt;=IFERROR(INDEX('TaxCred&amp;Subs'!$H$12:$H$47,MATCH(1,($C403&amp;$D403='TaxCred&amp;Subs'!$D$12:$D$47)*($F403='TaxCred&amp;Subs'!$C$12:$C$47),0)
),9999),IFERROR(INDEX('TaxCred&amp;Subs'!$N$12:$N$47,MATCH(1,($C403&amp;$D403='TaxCred&amp;Subs'!$D$12:$D$47)*($F403='TaxCred&amp;Subs'!$C$12:$C$47),0)
),0),0)))),0)+IF(AND($C403=2,VALUE(RIGHT($AD403,1))&gt;2),(N403-R403)*(IFERROR(INDEX('TaxCred&amp;Subs'!$J$66:$J$99,MATCH(1,($C403&amp;$D403='TaxCred&amp;Subs'!$E$66:$E$99)*($F403='TaxCred&amp;Subs'!$C$66:$C$99),0)),0)),IF(AND($C403=1,VALUE(RIGHT($AD403,1))&gt;2),(N403-R403)*(IFERROR(INDEX('TaxCred&amp;Subs'!$J$66:$J$99,MATCH(1,($C403&amp;$D403='TaxCred&amp;Subs'!$D$66:$D$99)*($F403='TaxCred&amp;Subs'!$C$66:$C$99),0)),0)),IF($C403&gt;2,(N403-R403)*(IFERROR(INDEX('TaxCred&amp;Subs'!$J$66:$J$99,MATCH(1,($C403&amp;$D403='TaxCred&amp;Subs'!$D$66:$D$99)*($F403='TaxCred&amp;Subs'!$C$66:$C$99),0)),0)),0))),0)</f>
        <v>0</v>
      </c>
      <c r="Q403" s="95">
        <f t="array" ref="Q403">ROUND(IF(AND($C403=2,VALUE(RIGHT($AD403,1))&gt;2),(O403-S403)*(IFERROR(INDEX('TaxCred&amp;Subs'!$J$66:$J$99,MATCH(1,($C403&amp;$D403='TaxCred&amp;Subs'!$E$66:$E$99)*($F403='TaxCred&amp;Subs'!$C$66:$C$99),0)),0)),IF(AND($C403=1,VALUE(RIGHT($AD403,1))&gt;2),(O403-S403)*(IFERROR(INDEX('TaxCred&amp;Subs'!$J$66:$J$99,MATCH(1,($C403&amp;$D403='TaxCred&amp;Subs'!$D$66:$D$99)*($F403='TaxCred&amp;Subs'!$C$66:$C$99),0)),0)),IF($C403&gt;2,(O403-S403)*(IFERROR(INDEX('TaxCred&amp;Subs'!$J$66:$J$99,MATCH(1,($C403&amp;$D403='TaxCred&amp;Subs'!$D$66:$D$99)*($F403='TaxCred&amp;Subs'!$C$66:$C$99),0)),0)),0))),0)</f>
        <v>0</v>
      </c>
      <c r="R403" s="95">
        <f t="array" ref="R403">ROUND(IF(IFERROR(VALUE(RIGHT($AD403,1)),0)&gt;2,IF($C403=8,N403*IFERROR(INDEX('TaxCred&amp;Subs'!$K$139:$S$151,MATCH($C403&amp;$D403&amp;LEFT($AD403,7),'TaxCred&amp;Subs'!$E$139:$E$151,0),MATCH($H403,'TaxCred&amp;Subs'!$K$137:$S$137,0)),0),IF($C403=2,N403*IFERROR(INDEX('TaxCred&amp;Subs'!$K$139:$S$151,MATCH($C403&amp;$D403,'TaxCred&amp;Subs'!$D$139:$D$151,0),MATCH($H403,'TaxCred&amp;Subs'!$K$137:$S$137,0)),0),N403*IFERROR(INDEX('TaxCred&amp;Subs'!$K$139:$S$151,MATCH($C403&amp;$D403,'TaxCred&amp;Subs'!$C$139:$C$151,0),MATCH($H403,'TaxCred&amp;Subs'!$K$137:$S$137,0)),0))),0),0)</f>
        <v>375</v>
      </c>
      <c r="S403" s="95">
        <f t="array" ref="S403">ROUND(IF(IFERROR(VALUE(RIGHT($AD403,1)),0)&gt;2,IF($C403=8,O403*IFERROR(INDEX('TaxCred&amp;Subs'!$K$139:$S$151,MATCH($C403&amp;$D403&amp;LEFT($AD403,7),'TaxCred&amp;Subs'!$E$139:$E$151,0),MATCH($H403,'TaxCred&amp;Subs'!$K$137:$S$137,0)),0),IF($C403=2,O403*IFERROR(INDEX('TaxCred&amp;Subs'!$K$139:$S$151,MATCH($C403&amp;$D403,'TaxCred&amp;Subs'!$D$139:$D$151,0),MATCH($H403,'TaxCred&amp;Subs'!$K$137:$S$137,0)),0),O403*IFERROR(INDEX('TaxCred&amp;Subs'!$K$139:$S$151,MATCH($C403&amp;$D403,'TaxCred&amp;Subs'!$C$139:$C$151,0),MATCH($H403,'TaxCred&amp;Subs'!$K$137:$S$137,0)),0))),0),0)</f>
        <v>248</v>
      </c>
      <c r="T403" s="172">
        <f t="shared" si="24"/>
        <v>897</v>
      </c>
      <c r="U403" s="172">
        <f t="shared" si="25"/>
        <v>592.5</v>
      </c>
      <c r="V403" s="28" t="s">
        <v>222</v>
      </c>
      <c r="W403" s="31">
        <v>2020</v>
      </c>
      <c r="X403" s="28">
        <v>1</v>
      </c>
      <c r="Y403" s="28">
        <v>0</v>
      </c>
      <c r="Z403" s="196">
        <v>-5.5122391377509595E-3</v>
      </c>
      <c r="AA403" s="196">
        <v>-8.4803679042322444E-2</v>
      </c>
      <c r="AB403" s="28">
        <v>0</v>
      </c>
      <c r="AC403" s="28">
        <v>0</v>
      </c>
      <c r="AD403" s="28" t="s">
        <v>350</v>
      </c>
    </row>
    <row r="404" spans="2:30" ht="14.25" customHeight="1" x14ac:dyDescent="0.2">
      <c r="B404" s="7">
        <f t="shared" si="23"/>
        <v>380</v>
      </c>
      <c r="C404" s="28">
        <v>2</v>
      </c>
      <c r="D404" s="28">
        <v>3</v>
      </c>
      <c r="E404" s="31">
        <v>8</v>
      </c>
      <c r="F404" s="96">
        <v>2020</v>
      </c>
      <c r="G404" s="28">
        <v>2022</v>
      </c>
      <c r="H404" s="28">
        <v>11</v>
      </c>
      <c r="I404" s="96">
        <v>43</v>
      </c>
      <c r="J404" s="28">
        <v>2</v>
      </c>
      <c r="K404" s="28">
        <v>0</v>
      </c>
      <c r="L404" s="28">
        <v>0</v>
      </c>
      <c r="M404" s="75">
        <v>4.1031652989449006</v>
      </c>
      <c r="N404" s="151">
        <v>3365</v>
      </c>
      <c r="O404" s="79">
        <v>0</v>
      </c>
      <c r="P404" s="95">
        <f t="array" ref="P404">ROUND(IF($F404&lt;='TaxCred&amp;Subs'!$C$49,(IF($C404=2,IF($M404&gt;=IFERROR(INDEX('TaxCred&amp;Subs'!$L$12:$L$47,MATCH(1,($C404&amp;$D404='TaxCred&amp;Subs'!$E$12:$E$47)*($F404='TaxCred&amp;Subs'!$C$12:$C$47),0)
),9999),IFERROR(INDEX('TaxCred&amp;Subs'!$N$12:$N$47,MATCH(1,($C404&amp;$D404='TaxCred&amp;Subs'!$E$12:$E$47)*($F404='TaxCred&amp;Subs'!$C$12:$C$47),0)
),0),0),(IF($M404&gt;=IFERROR(INDEX('TaxCred&amp;Subs'!$H$12:$H$47,MATCH(1,($C404&amp;$D404='TaxCred&amp;Subs'!$D$12:$D$47)*($F404='TaxCred&amp;Subs'!$C$12:$C$47),0)
),9999),IFERROR(INDEX('TaxCred&amp;Subs'!$N$12:$N$47,MATCH(1,($C404&amp;$D404='TaxCred&amp;Subs'!$D$12:$D$47)*($F404='TaxCred&amp;Subs'!$C$12:$C$47),0)
),0),0)))),0)+IF(AND($C404=2,VALUE(RIGHT($AD404,1))&gt;2),(N404-R404)*(IFERROR(INDEX('TaxCred&amp;Subs'!$J$66:$J$99,MATCH(1,($C404&amp;$D404='TaxCred&amp;Subs'!$E$66:$E$99)*($F404='TaxCred&amp;Subs'!$C$66:$C$99),0)),0)),IF(AND($C404=1,VALUE(RIGHT($AD404,1))&gt;2),(N404-R404)*(IFERROR(INDEX('TaxCred&amp;Subs'!$J$66:$J$99,MATCH(1,($C404&amp;$D404='TaxCred&amp;Subs'!$D$66:$D$99)*($F404='TaxCred&amp;Subs'!$C$66:$C$99),0)),0)),IF($C404&gt;2,(N404-R404)*(IFERROR(INDEX('TaxCred&amp;Subs'!$J$66:$J$99,MATCH(1,($C404&amp;$D404='TaxCred&amp;Subs'!$D$66:$D$99)*($F404='TaxCred&amp;Subs'!$C$66:$C$99),0)),0)),0))),0)</f>
        <v>0</v>
      </c>
      <c r="Q404" s="95">
        <f t="array" ref="Q404">ROUND(IF(AND($C404=2,VALUE(RIGHT($AD404,1))&gt;2),(O404-S404)*(IFERROR(INDEX('TaxCred&amp;Subs'!$J$66:$J$99,MATCH(1,($C404&amp;$D404='TaxCred&amp;Subs'!$E$66:$E$99)*($F404='TaxCred&amp;Subs'!$C$66:$C$99),0)),0)),IF(AND($C404=1,VALUE(RIGHT($AD404,1))&gt;2),(O404-S404)*(IFERROR(INDEX('TaxCred&amp;Subs'!$J$66:$J$99,MATCH(1,($C404&amp;$D404='TaxCred&amp;Subs'!$D$66:$D$99)*($F404='TaxCred&amp;Subs'!$C$66:$C$99),0)),0)),IF($C404&gt;2,(O404-S404)*(IFERROR(INDEX('TaxCred&amp;Subs'!$J$66:$J$99,MATCH(1,($C404&amp;$D404='TaxCred&amp;Subs'!$D$66:$D$99)*($F404='TaxCred&amp;Subs'!$C$66:$C$99),0)),0)),0))),0)</f>
        <v>0</v>
      </c>
      <c r="R404" s="95">
        <f t="array" ref="R404">ROUND(IF(IFERROR(VALUE(RIGHT($AD404,1)),0)&gt;2,IF($C404=8,N404*IFERROR(INDEX('TaxCred&amp;Subs'!$K$139:$S$151,MATCH($C404&amp;$D404&amp;LEFT($AD404,7),'TaxCred&amp;Subs'!$E$139:$E$151,0),MATCH($H404,'TaxCred&amp;Subs'!$K$137:$S$137,0)),0),IF($C404=2,N404*IFERROR(INDEX('TaxCred&amp;Subs'!$K$139:$S$151,MATCH($C404&amp;$D404,'TaxCred&amp;Subs'!$D$139:$D$151,0),MATCH($H404,'TaxCred&amp;Subs'!$K$137:$S$137,0)),0),N404*IFERROR(INDEX('TaxCred&amp;Subs'!$K$139:$S$151,MATCH($C404&amp;$D404,'TaxCred&amp;Subs'!$C$139:$C$151,0),MATCH($H404,'TaxCred&amp;Subs'!$K$137:$S$137,0)),0))),0),0)</f>
        <v>0</v>
      </c>
      <c r="S404" s="95">
        <f t="array" ref="S404">ROUND(IF(IFERROR(VALUE(RIGHT($AD404,1)),0)&gt;2,IF($C404=8,O404*IFERROR(INDEX('TaxCred&amp;Subs'!$K$139:$S$151,MATCH($C404&amp;$D404&amp;LEFT($AD404,7),'TaxCred&amp;Subs'!$E$139:$E$151,0),MATCH($H404,'TaxCred&amp;Subs'!$K$137:$S$137,0)),0),IF($C404=2,O404*IFERROR(INDEX('TaxCred&amp;Subs'!$K$139:$S$151,MATCH($C404&amp;$D404,'TaxCred&amp;Subs'!$D$139:$D$151,0),MATCH($H404,'TaxCred&amp;Subs'!$K$137:$S$137,0)),0),O404*IFERROR(INDEX('TaxCred&amp;Subs'!$K$139:$S$151,MATCH($C404&amp;$D404,'TaxCred&amp;Subs'!$C$139:$C$151,0),MATCH($H404,'TaxCred&amp;Subs'!$K$137:$S$137,0)),0))),0),0)</f>
        <v>0</v>
      </c>
      <c r="T404" s="95">
        <f t="shared" si="24"/>
        <v>0</v>
      </c>
      <c r="U404" s="95">
        <f t="shared" si="25"/>
        <v>0</v>
      </c>
      <c r="V404" s="28" t="s">
        <v>222</v>
      </c>
      <c r="W404" s="31">
        <v>2020</v>
      </c>
      <c r="X404" s="28">
        <v>1</v>
      </c>
      <c r="Y404" s="28">
        <v>0</v>
      </c>
      <c r="Z404" s="196">
        <v>-1.6872967825092632E-4</v>
      </c>
      <c r="AA404" s="196">
        <v>-2.5958412038604049E-3</v>
      </c>
      <c r="AB404" s="28">
        <v>0</v>
      </c>
      <c r="AC404" s="28">
        <v>0</v>
      </c>
      <c r="AD404" s="28" t="s">
        <v>195</v>
      </c>
    </row>
    <row r="405" spans="2:30" ht="14.25" customHeight="1" x14ac:dyDescent="0.2">
      <c r="B405" s="7">
        <f t="shared" si="23"/>
        <v>381</v>
      </c>
      <c r="C405" s="78">
        <v>2</v>
      </c>
      <c r="D405" s="78">
        <v>3</v>
      </c>
      <c r="E405" s="96">
        <v>8</v>
      </c>
      <c r="F405" s="78">
        <v>2023</v>
      </c>
      <c r="G405" s="78">
        <v>2050</v>
      </c>
      <c r="H405" s="78">
        <v>11</v>
      </c>
      <c r="I405" s="96">
        <v>43</v>
      </c>
      <c r="J405" s="78">
        <v>2</v>
      </c>
      <c r="K405" s="78">
        <v>0</v>
      </c>
      <c r="L405" s="78">
        <v>0</v>
      </c>
      <c r="M405" s="164">
        <v>4.3962485345838216</v>
      </c>
      <c r="N405" s="159">
        <v>3405</v>
      </c>
      <c r="O405" s="163">
        <v>0</v>
      </c>
      <c r="P405" s="95">
        <f t="array" ref="P405">ROUND(IF($F405&lt;='TaxCred&amp;Subs'!$C$49,(IF($C405=2,IF($M405&gt;=IFERROR(INDEX('TaxCred&amp;Subs'!$L$12:$L$47,MATCH(1,($C405&amp;$D405='TaxCred&amp;Subs'!$E$12:$E$47)*($F405='TaxCred&amp;Subs'!$C$12:$C$47),0)
),9999),IFERROR(INDEX('TaxCred&amp;Subs'!$N$12:$N$47,MATCH(1,($C405&amp;$D405='TaxCred&amp;Subs'!$E$12:$E$47)*($F405='TaxCred&amp;Subs'!$C$12:$C$47),0)
),0),0),(IF($M405&gt;=IFERROR(INDEX('TaxCred&amp;Subs'!$H$12:$H$47,MATCH(1,($C405&amp;$D405='TaxCred&amp;Subs'!$D$12:$D$47)*($F405='TaxCred&amp;Subs'!$C$12:$C$47),0)
),9999),IFERROR(INDEX('TaxCred&amp;Subs'!$N$12:$N$47,MATCH(1,($C405&amp;$D405='TaxCred&amp;Subs'!$D$12:$D$47)*($F405='TaxCred&amp;Subs'!$C$12:$C$47),0)
),0),0)))),0)+IF(AND($C405=2,VALUE(RIGHT($AD405,1))&gt;2),(N405-R405)*(IFERROR(INDEX('TaxCred&amp;Subs'!$J$66:$J$99,MATCH(1,($C405&amp;$D405='TaxCred&amp;Subs'!$E$66:$E$99)*($F405='TaxCred&amp;Subs'!$C$66:$C$99),0)),0)),IF(AND($C405=1,VALUE(RIGHT($AD405,1))&gt;2),(N405-R405)*(IFERROR(INDEX('TaxCred&amp;Subs'!$J$66:$J$99,MATCH(1,($C405&amp;$D405='TaxCred&amp;Subs'!$D$66:$D$99)*($F405='TaxCred&amp;Subs'!$C$66:$C$99),0)),0)),IF($C405&gt;2,(N405-R405)*(IFERROR(INDEX('TaxCred&amp;Subs'!$J$66:$J$99,MATCH(1,($C405&amp;$D405='TaxCred&amp;Subs'!$D$66:$D$99)*($F405='TaxCred&amp;Subs'!$C$66:$C$99),0)),0)),0))),0)</f>
        <v>0</v>
      </c>
      <c r="Q405" s="95">
        <f t="array" ref="Q405">ROUND(IF(AND($C405=2,VALUE(RIGHT($AD405,1))&gt;2),(O405-S405)*(IFERROR(INDEX('TaxCred&amp;Subs'!$J$66:$J$99,MATCH(1,($C405&amp;$D405='TaxCred&amp;Subs'!$E$66:$E$99)*($F405='TaxCred&amp;Subs'!$C$66:$C$99),0)),0)),IF(AND($C405=1,VALUE(RIGHT($AD405,1))&gt;2),(O405-S405)*(IFERROR(INDEX('TaxCred&amp;Subs'!$J$66:$J$99,MATCH(1,($C405&amp;$D405='TaxCred&amp;Subs'!$D$66:$D$99)*($F405='TaxCred&amp;Subs'!$C$66:$C$99),0)),0)),IF($C405&gt;2,(O405-S405)*(IFERROR(INDEX('TaxCred&amp;Subs'!$J$66:$J$99,MATCH(1,($C405&amp;$D405='TaxCred&amp;Subs'!$D$66:$D$99)*($F405='TaxCred&amp;Subs'!$C$66:$C$99),0)),0)),0))),0)</f>
        <v>0</v>
      </c>
      <c r="R405" s="95">
        <f t="array" ref="R405">ROUND(IF(IFERROR(VALUE(RIGHT($AD405,1)),0)&gt;2,IF($C405=8,N405*IFERROR(INDEX('TaxCred&amp;Subs'!$K$139:$S$151,MATCH($C405&amp;$D405&amp;LEFT($AD405,7),'TaxCred&amp;Subs'!$E$139:$E$151,0),MATCH($H405,'TaxCred&amp;Subs'!$K$137:$S$137,0)),0),IF($C405=2,N405*IFERROR(INDEX('TaxCred&amp;Subs'!$K$139:$S$151,MATCH($C405&amp;$D405,'TaxCred&amp;Subs'!$D$139:$D$151,0),MATCH($H405,'TaxCred&amp;Subs'!$K$137:$S$137,0)),0),N405*IFERROR(INDEX('TaxCred&amp;Subs'!$K$139:$S$151,MATCH($C405&amp;$D405,'TaxCred&amp;Subs'!$C$139:$C$151,0),MATCH($H405,'TaxCred&amp;Subs'!$K$137:$S$137,0)),0))),0),0)</f>
        <v>0</v>
      </c>
      <c r="S405" s="95">
        <f t="array" ref="S405">ROUND(IF(IFERROR(VALUE(RIGHT($AD405,1)),0)&gt;2,IF($C405=8,O405*IFERROR(INDEX('TaxCred&amp;Subs'!$K$139:$S$151,MATCH($C405&amp;$D405&amp;LEFT($AD405,7),'TaxCred&amp;Subs'!$E$139:$E$151,0),MATCH($H405,'TaxCred&amp;Subs'!$K$137:$S$137,0)),0),IF($C405=2,O405*IFERROR(INDEX('TaxCred&amp;Subs'!$K$139:$S$151,MATCH($C405&amp;$D405,'TaxCred&amp;Subs'!$D$139:$D$151,0),MATCH($H405,'TaxCred&amp;Subs'!$K$137:$S$137,0)),0),O405*IFERROR(INDEX('TaxCred&amp;Subs'!$K$139:$S$151,MATCH($C405&amp;$D405,'TaxCred&amp;Subs'!$C$139:$C$151,0),MATCH($H405,'TaxCred&amp;Subs'!$K$137:$S$137,0)),0))),0),0)</f>
        <v>0</v>
      </c>
      <c r="T405" s="95">
        <f t="shared" si="24"/>
        <v>0</v>
      </c>
      <c r="U405" s="95">
        <f t="shared" si="25"/>
        <v>0</v>
      </c>
      <c r="V405" s="78" t="s">
        <v>222</v>
      </c>
      <c r="W405" s="96">
        <v>2020</v>
      </c>
      <c r="X405" s="78">
        <v>1</v>
      </c>
      <c r="Y405" s="78">
        <v>0</v>
      </c>
      <c r="Z405" s="197">
        <v>-1.6872967825092632E-4</v>
      </c>
      <c r="AA405" s="197">
        <v>-2.5958412038604049E-3</v>
      </c>
      <c r="AB405" s="78">
        <v>0</v>
      </c>
      <c r="AC405" s="78">
        <v>0</v>
      </c>
      <c r="AD405" s="78" t="s">
        <v>195</v>
      </c>
    </row>
    <row r="406" spans="2:30" ht="14.25" customHeight="1" x14ac:dyDescent="0.2">
      <c r="B406" s="7">
        <f t="shared" si="23"/>
        <v>382</v>
      </c>
      <c r="C406" s="28">
        <v>2</v>
      </c>
      <c r="D406" s="28">
        <v>3</v>
      </c>
      <c r="E406" s="31">
        <v>9</v>
      </c>
      <c r="F406" s="96">
        <v>2020</v>
      </c>
      <c r="G406" s="31">
        <v>2021</v>
      </c>
      <c r="H406" s="28">
        <v>11</v>
      </c>
      <c r="I406" s="96">
        <v>44</v>
      </c>
      <c r="J406" s="28">
        <v>3</v>
      </c>
      <c r="K406" s="28">
        <v>0</v>
      </c>
      <c r="L406" s="28">
        <v>0</v>
      </c>
      <c r="M406" s="75">
        <v>4.484173505275499</v>
      </c>
      <c r="N406" s="151">
        <v>2135</v>
      </c>
      <c r="O406" s="79">
        <v>0</v>
      </c>
      <c r="P406" s="95">
        <f t="array" ref="P406">ROUND(IF($F406&lt;='TaxCred&amp;Subs'!$C$49,(IF($C406=2,IF($M406&gt;=IFERROR(INDEX('TaxCred&amp;Subs'!$L$12:$L$47,MATCH(1,($C406&amp;$D406='TaxCred&amp;Subs'!$E$12:$E$47)*($F406='TaxCred&amp;Subs'!$C$12:$C$47),0)
),9999),IFERROR(INDEX('TaxCred&amp;Subs'!$N$12:$N$47,MATCH(1,($C406&amp;$D406='TaxCred&amp;Subs'!$E$12:$E$47)*($F406='TaxCred&amp;Subs'!$C$12:$C$47),0)
),0),0),(IF($M406&gt;=IFERROR(INDEX('TaxCred&amp;Subs'!$H$12:$H$47,MATCH(1,($C406&amp;$D406='TaxCred&amp;Subs'!$D$12:$D$47)*($F406='TaxCred&amp;Subs'!$C$12:$C$47),0)
),9999),IFERROR(INDEX('TaxCred&amp;Subs'!$N$12:$N$47,MATCH(1,($C406&amp;$D406='TaxCred&amp;Subs'!$D$12:$D$47)*($F406='TaxCred&amp;Subs'!$C$12:$C$47),0)
),0),0)))),0)+IF(AND($C406=2,VALUE(RIGHT($AD406,1))&gt;2),(N406-R406)*(IFERROR(INDEX('TaxCred&amp;Subs'!$J$66:$J$99,MATCH(1,($C406&amp;$D406='TaxCred&amp;Subs'!$E$66:$E$99)*($F406='TaxCred&amp;Subs'!$C$66:$C$99),0)),0)),IF(AND($C406=1,VALUE(RIGHT($AD406,1))&gt;2),(N406-R406)*(IFERROR(INDEX('TaxCred&amp;Subs'!$J$66:$J$99,MATCH(1,($C406&amp;$D406='TaxCred&amp;Subs'!$D$66:$D$99)*($F406='TaxCred&amp;Subs'!$C$66:$C$99),0)),0)),IF($C406&gt;2,(N406-R406)*(IFERROR(INDEX('TaxCred&amp;Subs'!$J$66:$J$99,MATCH(1,($C406&amp;$D406='TaxCred&amp;Subs'!$D$66:$D$99)*($F406='TaxCred&amp;Subs'!$C$66:$C$99),0)),0)),0))),0)</f>
        <v>150</v>
      </c>
      <c r="Q406" s="95">
        <f t="array" ref="Q406">ROUND(IF(AND($C406=2,VALUE(RIGHT($AD406,1))&gt;2),(O406-S406)*(IFERROR(INDEX('TaxCred&amp;Subs'!$J$66:$J$99,MATCH(1,($C406&amp;$D406='TaxCred&amp;Subs'!$E$66:$E$99)*($F406='TaxCred&amp;Subs'!$C$66:$C$99),0)),0)),IF(AND($C406=1,VALUE(RIGHT($AD406,1))&gt;2),(O406-S406)*(IFERROR(INDEX('TaxCred&amp;Subs'!$J$66:$J$99,MATCH(1,($C406&amp;$D406='TaxCred&amp;Subs'!$D$66:$D$99)*($F406='TaxCred&amp;Subs'!$C$66:$C$99),0)),0)),IF($C406&gt;2,(O406-S406)*(IFERROR(INDEX('TaxCred&amp;Subs'!$J$66:$J$99,MATCH(1,($C406&amp;$D406='TaxCred&amp;Subs'!$D$66:$D$99)*($F406='TaxCred&amp;Subs'!$C$66:$C$99),0)),0)),0))),0)</f>
        <v>0</v>
      </c>
      <c r="R406" s="95">
        <f t="array" ref="R406">ROUND(IF(IFERROR(VALUE(RIGHT($AD406,1)),0)&gt;2,IF($C406=8,N406*IFERROR(INDEX('TaxCred&amp;Subs'!$K$139:$S$151,MATCH($C406&amp;$D406&amp;LEFT($AD406,7),'TaxCred&amp;Subs'!$E$139:$E$151,0),MATCH($H406,'TaxCred&amp;Subs'!$K$137:$S$137,0)),0),IF($C406=2,N406*IFERROR(INDEX('TaxCred&amp;Subs'!$K$139:$S$151,MATCH($C406&amp;$D406,'TaxCred&amp;Subs'!$D$139:$D$151,0),MATCH($H406,'TaxCred&amp;Subs'!$K$137:$S$137,0)),0),N406*IFERROR(INDEX('TaxCred&amp;Subs'!$K$139:$S$151,MATCH($C406&amp;$D406,'TaxCred&amp;Subs'!$C$139:$C$151,0),MATCH($H406,'TaxCred&amp;Subs'!$K$137:$S$137,0)),0))),0),0)</f>
        <v>0</v>
      </c>
      <c r="S406" s="95">
        <f t="array" ref="S406">ROUND(IF(IFERROR(VALUE(RIGHT($AD406,1)),0)&gt;2,IF($C406=8,O406*IFERROR(INDEX('TaxCred&amp;Subs'!$K$139:$S$151,MATCH($C406&amp;$D406&amp;LEFT($AD406,7),'TaxCred&amp;Subs'!$E$139:$E$151,0),MATCH($H406,'TaxCred&amp;Subs'!$K$137:$S$137,0)),0),IF($C406=2,O406*IFERROR(INDEX('TaxCred&amp;Subs'!$K$139:$S$151,MATCH($C406&amp;$D406,'TaxCred&amp;Subs'!$D$139:$D$151,0),MATCH($H406,'TaxCred&amp;Subs'!$K$137:$S$137,0)),0),O406*IFERROR(INDEX('TaxCred&amp;Subs'!$K$139:$S$151,MATCH($C406&amp;$D406,'TaxCred&amp;Subs'!$C$139:$C$151,0),MATCH($H406,'TaxCred&amp;Subs'!$K$137:$S$137,0)),0))),0),0)</f>
        <v>0</v>
      </c>
      <c r="T406" s="95">
        <f t="shared" si="24"/>
        <v>0</v>
      </c>
      <c r="U406" s="95">
        <f t="shared" si="25"/>
        <v>0</v>
      </c>
      <c r="V406" s="28" t="s">
        <v>222</v>
      </c>
      <c r="W406" s="31">
        <v>2020</v>
      </c>
      <c r="X406" s="28">
        <v>1</v>
      </c>
      <c r="Y406" s="28">
        <v>0</v>
      </c>
      <c r="Z406" s="196">
        <v>-1.6872967825092632E-4</v>
      </c>
      <c r="AA406" s="196">
        <v>-2.5958412038604049E-3</v>
      </c>
      <c r="AB406" s="28">
        <v>0</v>
      </c>
      <c r="AC406" s="28">
        <v>0</v>
      </c>
      <c r="AD406" s="28" t="s">
        <v>196</v>
      </c>
    </row>
    <row r="407" spans="2:30" ht="14.25" customHeight="1" x14ac:dyDescent="0.2">
      <c r="B407" s="7">
        <f t="shared" si="23"/>
        <v>383</v>
      </c>
      <c r="C407" s="152">
        <v>2</v>
      </c>
      <c r="D407" s="152">
        <v>3</v>
      </c>
      <c r="E407" s="152">
        <v>9</v>
      </c>
      <c r="F407" s="153">
        <v>2022</v>
      </c>
      <c r="G407" s="152">
        <v>2022</v>
      </c>
      <c r="H407" s="152">
        <v>11</v>
      </c>
      <c r="I407" s="153">
        <v>44</v>
      </c>
      <c r="J407" s="152">
        <v>3</v>
      </c>
      <c r="K407" s="152">
        <v>0</v>
      </c>
      <c r="L407" s="152">
        <v>0</v>
      </c>
      <c r="M407" s="154">
        <v>4.484173505275499</v>
      </c>
      <c r="N407" s="155">
        <v>2135</v>
      </c>
      <c r="O407" s="155">
        <v>0</v>
      </c>
      <c r="P407" s="41">
        <f t="array" ref="P407">ROUND(IF($F407&lt;='TaxCred&amp;Subs'!$C$49,(IF($C407=2,IF($M407&gt;=IFERROR(INDEX('TaxCred&amp;Subs'!$L$12:$L$47,MATCH(1,($C407&amp;$D407='TaxCred&amp;Subs'!$E$12:$E$47)*($F407='TaxCred&amp;Subs'!$C$12:$C$47),0)
),9999),IFERROR(INDEX('TaxCred&amp;Subs'!$N$12:$N$47,MATCH(1,($C407&amp;$D407='TaxCred&amp;Subs'!$E$12:$E$47)*($F407='TaxCred&amp;Subs'!$C$12:$C$47),0)
),0),0),(IF($M407&gt;=IFERROR(INDEX('TaxCred&amp;Subs'!$H$12:$H$47,MATCH(1,($C407&amp;$D407='TaxCred&amp;Subs'!$D$12:$D$47)*($F407='TaxCred&amp;Subs'!$C$12:$C$47),0)
),9999),IFERROR(INDEX('TaxCred&amp;Subs'!$N$12:$N$47,MATCH(1,($C407&amp;$D407='TaxCred&amp;Subs'!$D$12:$D$47)*($F407='TaxCred&amp;Subs'!$C$12:$C$47),0)
),0),0)))),0)+IF(AND($C407=2,VALUE(RIGHT($AD407,1))&gt;2),(N407-R407)*(IFERROR(INDEX('TaxCred&amp;Subs'!$J$66:$J$99,MATCH(1,($C407&amp;$D407='TaxCred&amp;Subs'!$E$66:$E$99)*($F407='TaxCred&amp;Subs'!$C$66:$C$99),0)),0)),IF(AND($C407=1,VALUE(RIGHT($AD407,1))&gt;2),(N407-R407)*(IFERROR(INDEX('TaxCred&amp;Subs'!$J$66:$J$99,MATCH(1,($C407&amp;$D407='TaxCred&amp;Subs'!$D$66:$D$99)*($F407='TaxCred&amp;Subs'!$C$66:$C$99),0)),0)),IF($C407&gt;2,(N407-R407)*(IFERROR(INDEX('TaxCred&amp;Subs'!$J$66:$J$99,MATCH(1,($C407&amp;$D407='TaxCred&amp;Subs'!$D$66:$D$99)*($F407='TaxCred&amp;Subs'!$C$66:$C$99),0)),0)),0))),0)</f>
        <v>1000</v>
      </c>
      <c r="Q407" s="41">
        <f t="array" ref="Q407">ROUND(IF(AND($C407=2,VALUE(RIGHT($AD407,1))&gt;2),(O407-S407)*(IFERROR(INDEX('TaxCred&amp;Subs'!$J$66:$J$99,MATCH(1,($C407&amp;$D407='TaxCred&amp;Subs'!$E$66:$E$99)*($F407='TaxCred&amp;Subs'!$C$66:$C$99),0)),0)),IF(AND($C407=1,VALUE(RIGHT($AD407,1))&gt;2),(O407-S407)*(IFERROR(INDEX('TaxCred&amp;Subs'!$J$66:$J$99,MATCH(1,($C407&amp;$D407='TaxCred&amp;Subs'!$D$66:$D$99)*($F407='TaxCred&amp;Subs'!$C$66:$C$99),0)),0)),IF($C407&gt;2,(O407-S407)*(IFERROR(INDEX('TaxCred&amp;Subs'!$J$66:$J$99,MATCH(1,($C407&amp;$D407='TaxCred&amp;Subs'!$D$66:$D$99)*($F407='TaxCred&amp;Subs'!$C$66:$C$99),0)),0)),0))),0)</f>
        <v>0</v>
      </c>
      <c r="R407" s="41">
        <f t="array" ref="R407">ROUND(IF(IFERROR(VALUE(RIGHT($AD407,1)),0)&gt;2,IF($C407=8,N407*IFERROR(INDEX('TaxCred&amp;Subs'!$K$139:$S$151,MATCH($C407&amp;$D407&amp;LEFT($AD407,7),'TaxCred&amp;Subs'!$E$139:$E$151,0),MATCH($H407,'TaxCred&amp;Subs'!$K$137:$S$137,0)),0),IF($C407=2,N407*IFERROR(INDEX('TaxCred&amp;Subs'!$K$139:$S$151,MATCH($C407&amp;$D407,'TaxCred&amp;Subs'!$D$139:$D$151,0),MATCH($H407,'TaxCred&amp;Subs'!$K$137:$S$137,0)),0),N407*IFERROR(INDEX('TaxCred&amp;Subs'!$K$139:$S$151,MATCH($C407&amp;$D407,'TaxCred&amp;Subs'!$C$139:$C$151,0),MATCH($H407,'TaxCred&amp;Subs'!$K$137:$S$137,0)),0))),0),0)</f>
        <v>0</v>
      </c>
      <c r="S407" s="41">
        <f t="array" ref="S407">ROUND(IF(IFERROR(VALUE(RIGHT($AD407,1)),0)&gt;2,IF($C407=8,O407*IFERROR(INDEX('TaxCred&amp;Subs'!$K$139:$S$151,MATCH($C407&amp;$D407&amp;LEFT($AD407,7),'TaxCred&amp;Subs'!$E$139:$E$151,0),MATCH($H407,'TaxCred&amp;Subs'!$K$137:$S$137,0)),0),IF($C407=2,O407*IFERROR(INDEX('TaxCred&amp;Subs'!$K$139:$S$151,MATCH($C407&amp;$D407,'TaxCred&amp;Subs'!$D$139:$D$151,0),MATCH($H407,'TaxCred&amp;Subs'!$K$137:$S$137,0)),0),O407*IFERROR(INDEX('TaxCred&amp;Subs'!$K$139:$S$151,MATCH($C407&amp;$D407,'TaxCred&amp;Subs'!$C$139:$C$151,0),MATCH($H407,'TaxCred&amp;Subs'!$K$137:$S$137,0)),0))),0),0)</f>
        <v>0</v>
      </c>
      <c r="T407" s="41">
        <f t="shared" si="24"/>
        <v>0</v>
      </c>
      <c r="U407" s="41">
        <f t="shared" si="25"/>
        <v>0</v>
      </c>
      <c r="V407" s="152" t="s">
        <v>222</v>
      </c>
      <c r="W407" s="152">
        <v>2020</v>
      </c>
      <c r="X407" s="152">
        <v>1</v>
      </c>
      <c r="Y407" s="152">
        <v>0</v>
      </c>
      <c r="Z407" s="194">
        <v>-1.6872967825092632E-4</v>
      </c>
      <c r="AA407" s="194">
        <v>-2.5958412038604049E-3</v>
      </c>
      <c r="AB407" s="152">
        <v>0</v>
      </c>
      <c r="AC407" s="152">
        <v>0</v>
      </c>
      <c r="AD407" s="152" t="s">
        <v>196</v>
      </c>
    </row>
    <row r="408" spans="2:30" ht="14.25" customHeight="1" x14ac:dyDescent="0.2">
      <c r="B408" s="7">
        <f t="shared" si="23"/>
        <v>384</v>
      </c>
      <c r="C408" s="28">
        <v>2</v>
      </c>
      <c r="D408" s="28">
        <v>3</v>
      </c>
      <c r="E408" s="31">
        <v>9</v>
      </c>
      <c r="F408" s="78">
        <v>2023</v>
      </c>
      <c r="G408" s="28">
        <v>2032</v>
      </c>
      <c r="H408" s="28">
        <v>11</v>
      </c>
      <c r="I408" s="96">
        <v>44</v>
      </c>
      <c r="J408" s="28">
        <v>3</v>
      </c>
      <c r="K408" s="28">
        <v>0</v>
      </c>
      <c r="L408" s="28">
        <v>0</v>
      </c>
      <c r="M408" s="156">
        <v>4.6893317702227435</v>
      </c>
      <c r="N408" s="151">
        <v>3470</v>
      </c>
      <c r="O408" s="79">
        <v>0</v>
      </c>
      <c r="P408" s="95">
        <f t="array" ref="P408">ROUND(IF($F408&lt;='TaxCred&amp;Subs'!$C$49,(IF($C408=2,IF($M408&gt;=IFERROR(INDEX('TaxCred&amp;Subs'!$L$12:$L$47,MATCH(1,($C408&amp;$D408='TaxCred&amp;Subs'!$E$12:$E$47)*($F408='TaxCred&amp;Subs'!$C$12:$C$47),0)
),9999),IFERROR(INDEX('TaxCred&amp;Subs'!$N$12:$N$47,MATCH(1,($C408&amp;$D408='TaxCred&amp;Subs'!$E$12:$E$47)*($F408='TaxCred&amp;Subs'!$C$12:$C$47),0)
),0),0),(IF($M408&gt;=IFERROR(INDEX('TaxCred&amp;Subs'!$H$12:$H$47,MATCH(1,($C408&amp;$D408='TaxCred&amp;Subs'!$D$12:$D$47)*($F408='TaxCred&amp;Subs'!$C$12:$C$47),0)
),9999),IFERROR(INDEX('TaxCred&amp;Subs'!$N$12:$N$47,MATCH(1,($C408&amp;$D408='TaxCred&amp;Subs'!$D$12:$D$47)*($F408='TaxCred&amp;Subs'!$C$12:$C$47),0)
),0),0)))),0)+IF(AND($C408=2,VALUE(RIGHT($AD408,1))&gt;2),(N408-R408)*(IFERROR(INDEX('TaxCred&amp;Subs'!$J$66:$J$99,MATCH(1,($C408&amp;$D408='TaxCred&amp;Subs'!$E$66:$E$99)*($F408='TaxCred&amp;Subs'!$C$66:$C$99),0)),0)),IF(AND($C408=1,VALUE(RIGHT($AD408,1))&gt;2),(N408-R408)*(IFERROR(INDEX('TaxCred&amp;Subs'!$J$66:$J$99,MATCH(1,($C408&amp;$D408='TaxCred&amp;Subs'!$D$66:$D$99)*($F408='TaxCred&amp;Subs'!$C$66:$C$99),0)),0)),IF($C408&gt;2,(N408-R408)*(IFERROR(INDEX('TaxCred&amp;Subs'!$J$66:$J$99,MATCH(1,($C408&amp;$D408='TaxCred&amp;Subs'!$D$66:$D$99)*($F408='TaxCred&amp;Subs'!$C$66:$C$99),0)),0)),0))),0)</f>
        <v>1000</v>
      </c>
      <c r="Q408" s="95">
        <f t="array" ref="Q408">ROUND(IF(AND($C408=2,VALUE(RIGHT($AD408,1))&gt;2),(O408-S408)*(IFERROR(INDEX('TaxCred&amp;Subs'!$J$66:$J$99,MATCH(1,($C408&amp;$D408='TaxCred&amp;Subs'!$E$66:$E$99)*($F408='TaxCred&amp;Subs'!$C$66:$C$99),0)),0)),IF(AND($C408=1,VALUE(RIGHT($AD408,1))&gt;2),(O408-S408)*(IFERROR(INDEX('TaxCred&amp;Subs'!$J$66:$J$99,MATCH(1,($C408&amp;$D408='TaxCred&amp;Subs'!$D$66:$D$99)*($F408='TaxCred&amp;Subs'!$C$66:$C$99),0)),0)),IF($C408&gt;2,(O408-S408)*(IFERROR(INDEX('TaxCred&amp;Subs'!$J$66:$J$99,MATCH(1,($C408&amp;$D408='TaxCred&amp;Subs'!$D$66:$D$99)*($F408='TaxCred&amp;Subs'!$C$66:$C$99),0)),0)),0))),0)</f>
        <v>0</v>
      </c>
      <c r="R408" s="170">
        <f t="array" ref="R408">ROUND(IF(IFERROR(VALUE(RIGHT($AD408,1)),0)&gt;2,IF($C408=8,N408*IFERROR(INDEX('TaxCred&amp;Subs'!$K$139:$S$151,MATCH($C408&amp;$D408&amp;LEFT($AD408,7),'TaxCred&amp;Subs'!$E$139:$E$151,0),MATCH($H408,'TaxCred&amp;Subs'!$K$137:$S$137,0)),0),IF($C408=2,N408*IFERROR(INDEX('TaxCred&amp;Subs'!$K$139:$S$151,MATCH($C408&amp;$D408,'TaxCred&amp;Subs'!$D$139:$D$151,0),MATCH($H408,'TaxCred&amp;Subs'!$K$137:$S$137,0)),0),N408*IFERROR(INDEX('TaxCred&amp;Subs'!$K$139:$S$151,MATCH($C408&amp;$D408,'TaxCred&amp;Subs'!$C$139:$C$151,0),MATCH($H408,'TaxCred&amp;Subs'!$K$137:$S$137,0)),0))),0),0)</f>
        <v>0</v>
      </c>
      <c r="S408" s="170">
        <f t="array" ref="S408">ROUND(IF(IFERROR(VALUE(RIGHT($AD408,1)),0)&gt;2,IF($C408=8,O408*IFERROR(INDEX('TaxCred&amp;Subs'!$K$139:$S$151,MATCH($C408&amp;$D408&amp;LEFT($AD408,7),'TaxCred&amp;Subs'!$E$139:$E$151,0),MATCH($H408,'TaxCred&amp;Subs'!$K$137:$S$137,0)),0),IF($C408=2,O408*IFERROR(INDEX('TaxCred&amp;Subs'!$K$139:$S$151,MATCH($C408&amp;$D408,'TaxCred&amp;Subs'!$D$139:$D$151,0),MATCH($H408,'TaxCred&amp;Subs'!$K$137:$S$137,0)),0),O408*IFERROR(INDEX('TaxCred&amp;Subs'!$K$139:$S$151,MATCH($C408&amp;$D408,'TaxCred&amp;Subs'!$C$139:$C$151,0),MATCH($H408,'TaxCred&amp;Subs'!$K$137:$S$137,0)),0))),0),0)</f>
        <v>0</v>
      </c>
      <c r="T408" s="95">
        <f t="shared" si="24"/>
        <v>0</v>
      </c>
      <c r="U408" s="95">
        <f t="shared" si="25"/>
        <v>0</v>
      </c>
      <c r="V408" s="28" t="s">
        <v>222</v>
      </c>
      <c r="W408" s="31">
        <v>2020</v>
      </c>
      <c r="X408" s="28">
        <v>1</v>
      </c>
      <c r="Y408" s="28">
        <v>0</v>
      </c>
      <c r="Z408" s="196">
        <v>-1.6872967825092632E-4</v>
      </c>
      <c r="AA408" s="196">
        <v>-2.5958412038604049E-3</v>
      </c>
      <c r="AB408" s="28">
        <v>0</v>
      </c>
      <c r="AC408" s="28">
        <v>0</v>
      </c>
      <c r="AD408" s="28" t="s">
        <v>196</v>
      </c>
    </row>
    <row r="409" spans="2:30" ht="14.25" customHeight="1" x14ac:dyDescent="0.2">
      <c r="B409" s="7">
        <f t="shared" si="23"/>
        <v>385</v>
      </c>
      <c r="C409" s="28">
        <v>2</v>
      </c>
      <c r="D409" s="28">
        <v>3</v>
      </c>
      <c r="E409" s="31">
        <v>9</v>
      </c>
      <c r="F409" s="78">
        <v>2033</v>
      </c>
      <c r="G409" s="31">
        <v>2039</v>
      </c>
      <c r="H409" s="28">
        <v>11</v>
      </c>
      <c r="I409" s="96">
        <v>44</v>
      </c>
      <c r="J409" s="28">
        <v>3</v>
      </c>
      <c r="K409" s="28">
        <v>0</v>
      </c>
      <c r="L409" s="28">
        <v>0</v>
      </c>
      <c r="M409" s="156">
        <v>4.6893317702227435</v>
      </c>
      <c r="N409" s="151">
        <v>3470</v>
      </c>
      <c r="O409" s="79">
        <v>0</v>
      </c>
      <c r="P409" s="95">
        <f t="array" ref="P409">ROUND(IF($F409&lt;='TaxCred&amp;Subs'!$C$49,(IF($C409=2,IF($M409&gt;=IFERROR(INDEX('TaxCred&amp;Subs'!$L$12:$L$47,MATCH(1,($C409&amp;$D409='TaxCred&amp;Subs'!$E$12:$E$47)*($F409='TaxCred&amp;Subs'!$C$12:$C$47),0)
),9999),IFERROR(INDEX('TaxCred&amp;Subs'!$N$12:$N$47,MATCH(1,($C409&amp;$D409='TaxCred&amp;Subs'!$E$12:$E$47)*($F409='TaxCred&amp;Subs'!$C$12:$C$47),0)
),0),0),(IF($M409&gt;=IFERROR(INDEX('TaxCred&amp;Subs'!$H$12:$H$47,MATCH(1,($C409&amp;$D409='TaxCred&amp;Subs'!$D$12:$D$47)*($F409='TaxCred&amp;Subs'!$C$12:$C$47),0)
),9999),IFERROR(INDEX('TaxCred&amp;Subs'!$N$12:$N$47,MATCH(1,($C409&amp;$D409='TaxCred&amp;Subs'!$D$12:$D$47)*($F409='TaxCred&amp;Subs'!$C$12:$C$47),0)
),0),0)))),0)+IF(AND($C409=2,VALUE(RIGHT($AD409,1))&gt;2),(N409-R409)*(IFERROR(INDEX('TaxCred&amp;Subs'!$J$66:$J$99,MATCH(1,($C409&amp;$D409='TaxCred&amp;Subs'!$E$66:$E$99)*($F409='TaxCred&amp;Subs'!$C$66:$C$99),0)),0)),IF(AND($C409=1,VALUE(RIGHT($AD409,1))&gt;2),(N409-R409)*(IFERROR(INDEX('TaxCred&amp;Subs'!$J$66:$J$99,MATCH(1,($C409&amp;$D409='TaxCred&amp;Subs'!$D$66:$D$99)*($F409='TaxCred&amp;Subs'!$C$66:$C$99),0)),0)),IF($C409&gt;2,(N409-R409)*(IFERROR(INDEX('TaxCred&amp;Subs'!$J$66:$J$99,MATCH(1,($C409&amp;$D409='TaxCred&amp;Subs'!$D$66:$D$99)*($F409='TaxCred&amp;Subs'!$C$66:$C$99),0)),0)),0))),0)</f>
        <v>0</v>
      </c>
      <c r="Q409" s="95">
        <f t="array" ref="Q409">ROUND(IF(AND($C409=2,VALUE(RIGHT($AD409,1))&gt;2),(O409-S409)*(IFERROR(INDEX('TaxCred&amp;Subs'!$J$66:$J$99,MATCH(1,($C409&amp;$D409='TaxCred&amp;Subs'!$E$66:$E$99)*($F409='TaxCred&amp;Subs'!$C$66:$C$99),0)),0)),IF(AND($C409=1,VALUE(RIGHT($AD409,1))&gt;2),(O409-S409)*(IFERROR(INDEX('TaxCred&amp;Subs'!$J$66:$J$99,MATCH(1,($C409&amp;$D409='TaxCred&amp;Subs'!$D$66:$D$99)*($F409='TaxCred&amp;Subs'!$C$66:$C$99),0)),0)),IF($C409&gt;2,(O409-S409)*(IFERROR(INDEX('TaxCred&amp;Subs'!$J$66:$J$99,MATCH(1,($C409&amp;$D409='TaxCred&amp;Subs'!$D$66:$D$99)*($F409='TaxCred&amp;Subs'!$C$66:$C$99),0)),0)),0))),0)</f>
        <v>0</v>
      </c>
      <c r="R409" s="170">
        <f t="array" ref="R409">ROUND(IF(IFERROR(VALUE(RIGHT($AD409,1)),0)&gt;2,IF($C409=8,N409*IFERROR(INDEX('TaxCred&amp;Subs'!$K$139:$S$151,MATCH($C409&amp;$D409&amp;LEFT($AD409,7),'TaxCred&amp;Subs'!$E$139:$E$151,0),MATCH($H409,'TaxCred&amp;Subs'!$K$137:$S$137,0)),0),IF($C409=2,N409*IFERROR(INDEX('TaxCred&amp;Subs'!$K$139:$S$151,MATCH($C409&amp;$D409,'TaxCred&amp;Subs'!$D$139:$D$151,0),MATCH($H409,'TaxCred&amp;Subs'!$K$137:$S$137,0)),0),N409*IFERROR(INDEX('TaxCred&amp;Subs'!$K$139:$S$151,MATCH($C409&amp;$D409,'TaxCred&amp;Subs'!$C$139:$C$151,0),MATCH($H409,'TaxCred&amp;Subs'!$K$137:$S$137,0)),0))),0),0)</f>
        <v>0</v>
      </c>
      <c r="S409" s="170">
        <f t="array" ref="S409">ROUND(IF(IFERROR(VALUE(RIGHT($AD409,1)),0)&gt;2,IF($C409=8,O409*IFERROR(INDEX('TaxCred&amp;Subs'!$K$139:$S$151,MATCH($C409&amp;$D409&amp;LEFT($AD409,7),'TaxCred&amp;Subs'!$E$139:$E$151,0),MATCH($H409,'TaxCred&amp;Subs'!$K$137:$S$137,0)),0),IF($C409=2,O409*IFERROR(INDEX('TaxCred&amp;Subs'!$K$139:$S$151,MATCH($C409&amp;$D409,'TaxCred&amp;Subs'!$D$139:$D$151,0),MATCH($H409,'TaxCred&amp;Subs'!$K$137:$S$137,0)),0),O409*IFERROR(INDEX('TaxCred&amp;Subs'!$K$139:$S$151,MATCH($C409&amp;$D409,'TaxCred&amp;Subs'!$C$139:$C$151,0),MATCH($H409,'TaxCred&amp;Subs'!$K$137:$S$137,0)),0))),0),0)</f>
        <v>0</v>
      </c>
      <c r="T409" s="95">
        <f t="shared" si="24"/>
        <v>0</v>
      </c>
      <c r="U409" s="95">
        <f t="shared" si="25"/>
        <v>0</v>
      </c>
      <c r="V409" s="28" t="s">
        <v>222</v>
      </c>
      <c r="W409" s="31">
        <v>2020</v>
      </c>
      <c r="X409" s="28">
        <v>1</v>
      </c>
      <c r="Y409" s="28">
        <v>0</v>
      </c>
      <c r="Z409" s="196">
        <v>-1.6872967825092632E-4</v>
      </c>
      <c r="AA409" s="196">
        <v>-2.5958412038604049E-3</v>
      </c>
      <c r="AB409" s="28">
        <v>0</v>
      </c>
      <c r="AC409" s="28">
        <v>0</v>
      </c>
      <c r="AD409" s="28" t="s">
        <v>196</v>
      </c>
    </row>
    <row r="410" spans="2:30" ht="14.25" customHeight="1" x14ac:dyDescent="0.2">
      <c r="B410" s="7">
        <f t="shared" si="23"/>
        <v>386</v>
      </c>
      <c r="C410" s="152">
        <v>2</v>
      </c>
      <c r="D410" s="152">
        <v>3</v>
      </c>
      <c r="E410" s="152">
        <v>9</v>
      </c>
      <c r="F410" s="153">
        <v>2040</v>
      </c>
      <c r="G410" s="152">
        <v>2050</v>
      </c>
      <c r="H410" s="152">
        <v>11</v>
      </c>
      <c r="I410" s="153">
        <v>44</v>
      </c>
      <c r="J410" s="152">
        <v>3</v>
      </c>
      <c r="K410" s="152">
        <v>0</v>
      </c>
      <c r="L410" s="152">
        <v>0</v>
      </c>
      <c r="M410" s="154">
        <v>4.835873388042204</v>
      </c>
      <c r="N410" s="155">
        <v>3620</v>
      </c>
      <c r="O410" s="155">
        <v>0</v>
      </c>
      <c r="P410" s="41">
        <f t="array" ref="P410">ROUND(IF($F410&lt;='TaxCred&amp;Subs'!$C$49,(IF($C410=2,IF($M410&gt;=IFERROR(INDEX('TaxCred&amp;Subs'!$L$12:$L$47,MATCH(1,($C410&amp;$D410='TaxCred&amp;Subs'!$E$12:$E$47)*($F410='TaxCred&amp;Subs'!$C$12:$C$47),0)
),9999),IFERROR(INDEX('TaxCred&amp;Subs'!$N$12:$N$47,MATCH(1,($C410&amp;$D410='TaxCred&amp;Subs'!$E$12:$E$47)*($F410='TaxCred&amp;Subs'!$C$12:$C$47),0)
),0),0),(IF($M410&gt;=IFERROR(INDEX('TaxCred&amp;Subs'!$H$12:$H$47,MATCH(1,($C410&amp;$D410='TaxCred&amp;Subs'!$D$12:$D$47)*($F410='TaxCred&amp;Subs'!$C$12:$C$47),0)
),9999),IFERROR(INDEX('TaxCred&amp;Subs'!$N$12:$N$47,MATCH(1,($C410&amp;$D410='TaxCred&amp;Subs'!$D$12:$D$47)*($F410='TaxCred&amp;Subs'!$C$12:$C$47),0)
),0),0)))),0)+IF(AND($C410=2,VALUE(RIGHT($AD410,1))&gt;2),(N410-R410)*(IFERROR(INDEX('TaxCred&amp;Subs'!$J$66:$J$99,MATCH(1,($C410&amp;$D410='TaxCred&amp;Subs'!$E$66:$E$99)*($F410='TaxCred&amp;Subs'!$C$66:$C$99),0)),0)),IF(AND($C410=1,VALUE(RIGHT($AD410,1))&gt;2),(N410-R410)*(IFERROR(INDEX('TaxCred&amp;Subs'!$J$66:$J$99,MATCH(1,($C410&amp;$D410='TaxCred&amp;Subs'!$D$66:$D$99)*($F410='TaxCred&amp;Subs'!$C$66:$C$99),0)),0)),IF($C410&gt;2,(N410-R410)*(IFERROR(INDEX('TaxCred&amp;Subs'!$J$66:$J$99,MATCH(1,($C410&amp;$D410='TaxCred&amp;Subs'!$D$66:$D$99)*($F410='TaxCred&amp;Subs'!$C$66:$C$99),0)),0)),0))),0)</f>
        <v>0</v>
      </c>
      <c r="Q410" s="41">
        <f t="array" ref="Q410">ROUND(IF(AND($C410=2,VALUE(RIGHT($AD410,1))&gt;2),(O410-S410)*(IFERROR(INDEX('TaxCred&amp;Subs'!$J$66:$J$99,MATCH(1,($C410&amp;$D410='TaxCred&amp;Subs'!$E$66:$E$99)*($F410='TaxCred&amp;Subs'!$C$66:$C$99),0)),0)),IF(AND($C410=1,VALUE(RIGHT($AD410,1))&gt;2),(O410-S410)*(IFERROR(INDEX('TaxCred&amp;Subs'!$J$66:$J$99,MATCH(1,($C410&amp;$D410='TaxCred&amp;Subs'!$D$66:$D$99)*($F410='TaxCred&amp;Subs'!$C$66:$C$99),0)),0)),IF($C410&gt;2,(O410-S410)*(IFERROR(INDEX('TaxCred&amp;Subs'!$J$66:$J$99,MATCH(1,($C410&amp;$D410='TaxCred&amp;Subs'!$D$66:$D$99)*($F410='TaxCred&amp;Subs'!$C$66:$C$99),0)),0)),0))),0)</f>
        <v>0</v>
      </c>
      <c r="R410" s="171">
        <f t="array" ref="R410">ROUND(IF(IFERROR(VALUE(RIGHT($AD410,1)),0)&gt;2,IF($C410=8,N410*IFERROR(INDEX('TaxCred&amp;Subs'!$K$139:$S$151,MATCH($C410&amp;$D410&amp;LEFT($AD410,7),'TaxCred&amp;Subs'!$E$139:$E$151,0),MATCH($H410,'TaxCred&amp;Subs'!$K$137:$S$137,0)),0),IF($C410=2,N410*IFERROR(INDEX('TaxCred&amp;Subs'!$K$139:$S$151,MATCH($C410&amp;$D410,'TaxCred&amp;Subs'!$D$139:$D$151,0),MATCH($H410,'TaxCred&amp;Subs'!$K$137:$S$137,0)),0),N410*IFERROR(INDEX('TaxCred&amp;Subs'!$K$139:$S$151,MATCH($C410&amp;$D410,'TaxCred&amp;Subs'!$C$139:$C$151,0),MATCH($H410,'TaxCred&amp;Subs'!$K$137:$S$137,0)),0))),0),0)</f>
        <v>0</v>
      </c>
      <c r="S410" s="171">
        <f t="array" ref="S410">ROUND(IF(IFERROR(VALUE(RIGHT($AD410,1)),0)&gt;2,IF($C410=8,O410*IFERROR(INDEX('TaxCred&amp;Subs'!$K$139:$S$151,MATCH($C410&amp;$D410&amp;LEFT($AD410,7),'TaxCred&amp;Subs'!$E$139:$E$151,0),MATCH($H410,'TaxCred&amp;Subs'!$K$137:$S$137,0)),0),IF($C410=2,O410*IFERROR(INDEX('TaxCred&amp;Subs'!$K$139:$S$151,MATCH($C410&amp;$D410,'TaxCred&amp;Subs'!$D$139:$D$151,0),MATCH($H410,'TaxCred&amp;Subs'!$K$137:$S$137,0)),0),O410*IFERROR(INDEX('TaxCred&amp;Subs'!$K$139:$S$151,MATCH($C410&amp;$D410,'TaxCred&amp;Subs'!$C$139:$C$151,0),MATCH($H410,'TaxCred&amp;Subs'!$K$137:$S$137,0)),0))),0),0)</f>
        <v>0</v>
      </c>
      <c r="T410" s="41">
        <f t="shared" si="24"/>
        <v>0</v>
      </c>
      <c r="U410" s="41">
        <f t="shared" si="25"/>
        <v>0</v>
      </c>
      <c r="V410" s="152" t="s">
        <v>222</v>
      </c>
      <c r="W410" s="152">
        <v>2020</v>
      </c>
      <c r="X410" s="152">
        <v>1</v>
      </c>
      <c r="Y410" s="152">
        <v>0</v>
      </c>
      <c r="Z410" s="194">
        <v>-1.6872967825092632E-4</v>
      </c>
      <c r="AA410" s="194">
        <v>-2.5958412038604049E-3</v>
      </c>
      <c r="AB410" s="152">
        <v>0</v>
      </c>
      <c r="AC410" s="152">
        <v>0</v>
      </c>
      <c r="AD410" s="152" t="s">
        <v>196</v>
      </c>
    </row>
    <row r="411" spans="2:30" ht="14.25" customHeight="1" x14ac:dyDescent="0.2">
      <c r="B411" s="7">
        <f t="shared" ref="B411:B474" si="26">B410+1</f>
        <v>387</v>
      </c>
      <c r="C411" s="28">
        <v>2</v>
      </c>
      <c r="D411" s="28">
        <v>3</v>
      </c>
      <c r="E411" s="31">
        <v>10</v>
      </c>
      <c r="F411" s="96">
        <v>2020</v>
      </c>
      <c r="G411" s="28">
        <v>2021</v>
      </c>
      <c r="H411" s="28">
        <v>1</v>
      </c>
      <c r="I411" s="96">
        <v>45</v>
      </c>
      <c r="J411" s="28">
        <v>4</v>
      </c>
      <c r="K411" s="28">
        <v>0</v>
      </c>
      <c r="L411" s="28">
        <v>0</v>
      </c>
      <c r="M411" s="75">
        <v>4.3962485345838216</v>
      </c>
      <c r="N411" s="151">
        <v>3405</v>
      </c>
      <c r="O411" s="79">
        <v>0</v>
      </c>
      <c r="P411" s="95">
        <f t="array" ref="P411">ROUND(IF($F411&lt;='TaxCred&amp;Subs'!$C$49,(IF($C411=2,IF($M411&gt;=IFERROR(INDEX('TaxCred&amp;Subs'!$L$12:$L$47,MATCH(1,($C411&amp;$D411='TaxCred&amp;Subs'!$E$12:$E$47)*($F411='TaxCred&amp;Subs'!$C$12:$C$47),0)
),9999),IFERROR(INDEX('TaxCred&amp;Subs'!$N$12:$N$47,MATCH(1,($C411&amp;$D411='TaxCred&amp;Subs'!$E$12:$E$47)*($F411='TaxCred&amp;Subs'!$C$12:$C$47),0)
),0),0),(IF($M411&gt;=IFERROR(INDEX('TaxCred&amp;Subs'!$H$12:$H$47,MATCH(1,($C411&amp;$D411='TaxCred&amp;Subs'!$D$12:$D$47)*($F411='TaxCred&amp;Subs'!$C$12:$C$47),0)
),9999),IFERROR(INDEX('TaxCred&amp;Subs'!$N$12:$N$47,MATCH(1,($C411&amp;$D411='TaxCred&amp;Subs'!$D$12:$D$47)*($F411='TaxCred&amp;Subs'!$C$12:$C$47),0)
),0),0)))),0)+IF(AND($C411=2,VALUE(RIGHT($AD411,1))&gt;2),(N411-R411)*(IFERROR(INDEX('TaxCred&amp;Subs'!$J$66:$J$99,MATCH(1,($C411&amp;$D411='TaxCred&amp;Subs'!$E$66:$E$99)*($F411='TaxCred&amp;Subs'!$C$66:$C$99),0)),0)),IF(AND($C411=1,VALUE(RIGHT($AD411,1))&gt;2),(N411-R411)*(IFERROR(INDEX('TaxCred&amp;Subs'!$J$66:$J$99,MATCH(1,($C411&amp;$D411='TaxCred&amp;Subs'!$D$66:$D$99)*($F411='TaxCred&amp;Subs'!$C$66:$C$99),0)),0)),IF($C411&gt;2,(N411-R411)*(IFERROR(INDEX('TaxCred&amp;Subs'!$J$66:$J$99,MATCH(1,($C411&amp;$D411='TaxCred&amp;Subs'!$D$66:$D$99)*($F411='TaxCred&amp;Subs'!$C$66:$C$99),0)),0)),0))),0)</f>
        <v>150</v>
      </c>
      <c r="Q411" s="95">
        <f t="array" ref="Q411">ROUND(IF(AND($C411=2,VALUE(RIGHT($AD411,1))&gt;2),(O411-S411)*(IFERROR(INDEX('TaxCred&amp;Subs'!$J$66:$J$99,MATCH(1,($C411&amp;$D411='TaxCred&amp;Subs'!$E$66:$E$99)*($F411='TaxCred&amp;Subs'!$C$66:$C$99),0)),0)),IF(AND($C411=1,VALUE(RIGHT($AD411,1))&gt;2),(O411-S411)*(IFERROR(INDEX('TaxCred&amp;Subs'!$J$66:$J$99,MATCH(1,($C411&amp;$D411='TaxCred&amp;Subs'!$D$66:$D$99)*($F411='TaxCred&amp;Subs'!$C$66:$C$99),0)),0)),IF($C411&gt;2,(O411-S411)*(IFERROR(INDEX('TaxCred&amp;Subs'!$J$66:$J$99,MATCH(1,($C411&amp;$D411='TaxCred&amp;Subs'!$D$66:$D$99)*($F411='TaxCred&amp;Subs'!$C$66:$C$99),0)),0)),0))),0)</f>
        <v>0</v>
      </c>
      <c r="R411" s="170">
        <f t="array" ref="R411">ROUND(IF(IFERROR(VALUE(RIGHT($AD411,1)),0)&gt;2,IF($C411=8,N411*IFERROR(INDEX('TaxCred&amp;Subs'!$K$139:$S$151,MATCH($C411&amp;$D411&amp;LEFT($AD411,7),'TaxCred&amp;Subs'!$E$139:$E$151,0),MATCH($H411,'TaxCred&amp;Subs'!$K$137:$S$137,0)),0),IF($C411=2,N411*IFERROR(INDEX('TaxCred&amp;Subs'!$K$139:$S$151,MATCH($C411&amp;$D411,'TaxCred&amp;Subs'!$D$139:$D$151,0),MATCH($H411,'TaxCred&amp;Subs'!$K$137:$S$137,0)),0),N411*IFERROR(INDEX('TaxCred&amp;Subs'!$K$139:$S$151,MATCH($C411&amp;$D411,'TaxCred&amp;Subs'!$C$139:$C$151,0),MATCH($H411,'TaxCred&amp;Subs'!$K$137:$S$137,0)),0))),0),0)</f>
        <v>492</v>
      </c>
      <c r="S411" s="170">
        <f t="array" ref="S411">ROUND(IF(IFERROR(VALUE(RIGHT($AD411,1)),0)&gt;2,IF($C411=8,O411*IFERROR(INDEX('TaxCred&amp;Subs'!$K$139:$S$151,MATCH($C411&amp;$D411&amp;LEFT($AD411,7),'TaxCred&amp;Subs'!$E$139:$E$151,0),MATCH($H411,'TaxCred&amp;Subs'!$K$137:$S$137,0)),0),IF($C411=2,O411*IFERROR(INDEX('TaxCred&amp;Subs'!$K$139:$S$151,MATCH($C411&amp;$D411,'TaxCred&amp;Subs'!$D$139:$D$151,0),MATCH($H411,'TaxCred&amp;Subs'!$K$137:$S$137,0)),0),O411*IFERROR(INDEX('TaxCred&amp;Subs'!$K$139:$S$151,MATCH($C411&amp;$D411,'TaxCred&amp;Subs'!$C$139:$C$151,0),MATCH($H411,'TaxCred&amp;Subs'!$K$137:$S$137,0)),0))),0),0)</f>
        <v>0</v>
      </c>
      <c r="T411" s="95">
        <f t="shared" si="24"/>
        <v>0</v>
      </c>
      <c r="U411" s="95">
        <f t="shared" si="25"/>
        <v>0</v>
      </c>
      <c r="V411" s="28" t="s">
        <v>222</v>
      </c>
      <c r="W411" s="31">
        <v>2020</v>
      </c>
      <c r="X411" s="28">
        <v>1</v>
      </c>
      <c r="Y411" s="28">
        <v>0</v>
      </c>
      <c r="Z411" s="196">
        <v>-2.0762472774284713E-4</v>
      </c>
      <c r="AA411" s="196">
        <v>-3.1942265806591866E-3</v>
      </c>
      <c r="AB411" s="28">
        <v>0</v>
      </c>
      <c r="AC411" s="28">
        <v>0</v>
      </c>
      <c r="AD411" s="28" t="s">
        <v>197</v>
      </c>
    </row>
    <row r="412" spans="2:30" ht="14.25" customHeight="1" x14ac:dyDescent="0.2">
      <c r="B412" s="7">
        <f t="shared" si="26"/>
        <v>388</v>
      </c>
      <c r="C412" s="28">
        <v>2</v>
      </c>
      <c r="D412" s="28">
        <v>3</v>
      </c>
      <c r="E412" s="31">
        <v>10</v>
      </c>
      <c r="F412" s="96">
        <v>2020</v>
      </c>
      <c r="G412" s="28">
        <v>2021</v>
      </c>
      <c r="H412" s="28">
        <v>2</v>
      </c>
      <c r="I412" s="96">
        <v>45</v>
      </c>
      <c r="J412" s="28">
        <v>4</v>
      </c>
      <c r="K412" s="28">
        <v>0</v>
      </c>
      <c r="L412" s="28">
        <v>0</v>
      </c>
      <c r="M412" s="75">
        <v>4.3962485345838216</v>
      </c>
      <c r="N412" s="151">
        <v>3405</v>
      </c>
      <c r="O412" s="79">
        <v>0</v>
      </c>
      <c r="P412" s="95">
        <f t="array" ref="P412">ROUND(IF($F412&lt;='TaxCred&amp;Subs'!$C$49,(IF($C412=2,IF($M412&gt;=IFERROR(INDEX('TaxCred&amp;Subs'!$L$12:$L$47,MATCH(1,($C412&amp;$D412='TaxCred&amp;Subs'!$E$12:$E$47)*($F412='TaxCred&amp;Subs'!$C$12:$C$47),0)
),9999),IFERROR(INDEX('TaxCred&amp;Subs'!$N$12:$N$47,MATCH(1,($C412&amp;$D412='TaxCred&amp;Subs'!$E$12:$E$47)*($F412='TaxCred&amp;Subs'!$C$12:$C$47),0)
),0),0),(IF($M412&gt;=IFERROR(INDEX('TaxCred&amp;Subs'!$H$12:$H$47,MATCH(1,($C412&amp;$D412='TaxCred&amp;Subs'!$D$12:$D$47)*($F412='TaxCred&amp;Subs'!$C$12:$C$47),0)
),9999),IFERROR(INDEX('TaxCred&amp;Subs'!$N$12:$N$47,MATCH(1,($C412&amp;$D412='TaxCred&amp;Subs'!$D$12:$D$47)*($F412='TaxCred&amp;Subs'!$C$12:$C$47),0)
),0),0)))),0)+IF(AND($C412=2,VALUE(RIGHT($AD412,1))&gt;2),(N412-R412)*(IFERROR(INDEX('TaxCred&amp;Subs'!$J$66:$J$99,MATCH(1,($C412&amp;$D412='TaxCred&amp;Subs'!$E$66:$E$99)*($F412='TaxCred&amp;Subs'!$C$66:$C$99),0)),0)),IF(AND($C412=1,VALUE(RIGHT($AD412,1))&gt;2),(N412-R412)*(IFERROR(INDEX('TaxCred&amp;Subs'!$J$66:$J$99,MATCH(1,($C412&amp;$D412='TaxCred&amp;Subs'!$D$66:$D$99)*($F412='TaxCred&amp;Subs'!$C$66:$C$99),0)),0)),IF($C412&gt;2,(N412-R412)*(IFERROR(INDEX('TaxCred&amp;Subs'!$J$66:$J$99,MATCH(1,($C412&amp;$D412='TaxCred&amp;Subs'!$D$66:$D$99)*($F412='TaxCred&amp;Subs'!$C$66:$C$99),0)),0)),0))),0)</f>
        <v>150</v>
      </c>
      <c r="Q412" s="95">
        <f t="array" ref="Q412">ROUND(IF(AND($C412=2,VALUE(RIGHT($AD412,1))&gt;2),(O412-S412)*(IFERROR(INDEX('TaxCred&amp;Subs'!$J$66:$J$99,MATCH(1,($C412&amp;$D412='TaxCred&amp;Subs'!$E$66:$E$99)*($F412='TaxCred&amp;Subs'!$C$66:$C$99),0)),0)),IF(AND($C412=1,VALUE(RIGHT($AD412,1))&gt;2),(O412-S412)*(IFERROR(INDEX('TaxCred&amp;Subs'!$J$66:$J$99,MATCH(1,($C412&amp;$D412='TaxCred&amp;Subs'!$D$66:$D$99)*($F412='TaxCred&amp;Subs'!$C$66:$C$99),0)),0)),IF($C412&gt;2,(O412-S412)*(IFERROR(INDEX('TaxCred&amp;Subs'!$J$66:$J$99,MATCH(1,($C412&amp;$D412='TaxCred&amp;Subs'!$D$66:$D$99)*($F412='TaxCred&amp;Subs'!$C$66:$C$99),0)),0)),0))),0)</f>
        <v>0</v>
      </c>
      <c r="R412" s="170">
        <f t="array" ref="R412">ROUND(IF(IFERROR(VALUE(RIGHT($AD412,1)),0)&gt;2,IF($C412=8,N412*IFERROR(INDEX('TaxCred&amp;Subs'!$K$139:$S$151,MATCH($C412&amp;$D412&amp;LEFT($AD412,7),'TaxCred&amp;Subs'!$E$139:$E$151,0),MATCH($H412,'TaxCred&amp;Subs'!$K$137:$S$137,0)),0),IF($C412=2,N412*IFERROR(INDEX('TaxCred&amp;Subs'!$K$139:$S$151,MATCH($C412&amp;$D412,'TaxCred&amp;Subs'!$D$139:$D$151,0),MATCH($H412,'TaxCred&amp;Subs'!$K$137:$S$137,0)),0),N412*IFERROR(INDEX('TaxCred&amp;Subs'!$K$139:$S$151,MATCH($C412&amp;$D412,'TaxCred&amp;Subs'!$C$139:$C$151,0),MATCH($H412,'TaxCred&amp;Subs'!$K$137:$S$137,0)),0))),0),0)</f>
        <v>178</v>
      </c>
      <c r="S412" s="170">
        <f t="array" ref="S412">ROUND(IF(IFERROR(VALUE(RIGHT($AD412,1)),0)&gt;2,IF($C412=8,O412*IFERROR(INDEX('TaxCred&amp;Subs'!$K$139:$S$151,MATCH($C412&amp;$D412&amp;LEFT($AD412,7),'TaxCred&amp;Subs'!$E$139:$E$151,0),MATCH($H412,'TaxCred&amp;Subs'!$K$137:$S$137,0)),0),IF($C412=2,O412*IFERROR(INDEX('TaxCred&amp;Subs'!$K$139:$S$151,MATCH($C412&amp;$D412,'TaxCred&amp;Subs'!$D$139:$D$151,0),MATCH($H412,'TaxCred&amp;Subs'!$K$137:$S$137,0)),0),O412*IFERROR(INDEX('TaxCred&amp;Subs'!$K$139:$S$151,MATCH($C412&amp;$D412,'TaxCred&amp;Subs'!$C$139:$C$151,0),MATCH($H412,'TaxCred&amp;Subs'!$K$137:$S$137,0)),0))),0),0)</f>
        <v>0</v>
      </c>
      <c r="T412" s="95">
        <f t="shared" si="24"/>
        <v>0</v>
      </c>
      <c r="U412" s="95">
        <f t="shared" si="25"/>
        <v>0</v>
      </c>
      <c r="V412" s="28" t="s">
        <v>222</v>
      </c>
      <c r="W412" s="31">
        <v>2020</v>
      </c>
      <c r="X412" s="28">
        <v>1</v>
      </c>
      <c r="Y412" s="28">
        <v>0</v>
      </c>
      <c r="Z412" s="196">
        <v>-2.0762472774284713E-4</v>
      </c>
      <c r="AA412" s="196">
        <v>-3.1942265806591866E-3</v>
      </c>
      <c r="AB412" s="28">
        <v>0</v>
      </c>
      <c r="AC412" s="28">
        <v>0</v>
      </c>
      <c r="AD412" s="28" t="s">
        <v>197</v>
      </c>
    </row>
    <row r="413" spans="2:30" ht="14.25" customHeight="1" x14ac:dyDescent="0.2">
      <c r="B413" s="7">
        <f t="shared" si="26"/>
        <v>389</v>
      </c>
      <c r="C413" s="28">
        <v>2</v>
      </c>
      <c r="D413" s="28">
        <v>3</v>
      </c>
      <c r="E413" s="31">
        <v>10</v>
      </c>
      <c r="F413" s="96">
        <v>2020</v>
      </c>
      <c r="G413" s="28">
        <v>2021</v>
      </c>
      <c r="H413" s="28">
        <v>3</v>
      </c>
      <c r="I413" s="96">
        <v>45</v>
      </c>
      <c r="J413" s="28">
        <v>4</v>
      </c>
      <c r="K413" s="28">
        <v>0</v>
      </c>
      <c r="L413" s="28">
        <v>0</v>
      </c>
      <c r="M413" s="75">
        <v>4.3962485345838216</v>
      </c>
      <c r="N413" s="151">
        <v>3405</v>
      </c>
      <c r="O413" s="79">
        <v>0</v>
      </c>
      <c r="P413" s="95">
        <f t="array" ref="P413">ROUND(IF($F413&lt;='TaxCred&amp;Subs'!$C$49,(IF($C413=2,IF($M413&gt;=IFERROR(INDEX('TaxCred&amp;Subs'!$L$12:$L$47,MATCH(1,($C413&amp;$D413='TaxCred&amp;Subs'!$E$12:$E$47)*($F413='TaxCred&amp;Subs'!$C$12:$C$47),0)
),9999),IFERROR(INDEX('TaxCred&amp;Subs'!$N$12:$N$47,MATCH(1,($C413&amp;$D413='TaxCred&amp;Subs'!$E$12:$E$47)*($F413='TaxCred&amp;Subs'!$C$12:$C$47),0)
),0),0),(IF($M413&gt;=IFERROR(INDEX('TaxCred&amp;Subs'!$H$12:$H$47,MATCH(1,($C413&amp;$D413='TaxCred&amp;Subs'!$D$12:$D$47)*($F413='TaxCred&amp;Subs'!$C$12:$C$47),0)
),9999),IFERROR(INDEX('TaxCred&amp;Subs'!$N$12:$N$47,MATCH(1,($C413&amp;$D413='TaxCred&amp;Subs'!$D$12:$D$47)*($F413='TaxCred&amp;Subs'!$C$12:$C$47),0)
),0),0)))),0)+IF(AND($C413=2,VALUE(RIGHT($AD413,1))&gt;2),(N413-R413)*(IFERROR(INDEX('TaxCred&amp;Subs'!$J$66:$J$99,MATCH(1,($C413&amp;$D413='TaxCred&amp;Subs'!$E$66:$E$99)*($F413='TaxCred&amp;Subs'!$C$66:$C$99),0)),0)),IF(AND($C413=1,VALUE(RIGHT($AD413,1))&gt;2),(N413-R413)*(IFERROR(INDEX('TaxCred&amp;Subs'!$J$66:$J$99,MATCH(1,($C413&amp;$D413='TaxCred&amp;Subs'!$D$66:$D$99)*($F413='TaxCred&amp;Subs'!$C$66:$C$99),0)),0)),IF($C413&gt;2,(N413-R413)*(IFERROR(INDEX('TaxCred&amp;Subs'!$J$66:$J$99,MATCH(1,($C413&amp;$D413='TaxCred&amp;Subs'!$D$66:$D$99)*($F413='TaxCred&amp;Subs'!$C$66:$C$99),0)),0)),0))),0)</f>
        <v>150</v>
      </c>
      <c r="Q413" s="95">
        <f t="array" ref="Q413">ROUND(IF(AND($C413=2,VALUE(RIGHT($AD413,1))&gt;2),(O413-S413)*(IFERROR(INDEX('TaxCred&amp;Subs'!$J$66:$J$99,MATCH(1,($C413&amp;$D413='TaxCred&amp;Subs'!$E$66:$E$99)*($F413='TaxCred&amp;Subs'!$C$66:$C$99),0)),0)),IF(AND($C413=1,VALUE(RIGHT($AD413,1))&gt;2),(O413-S413)*(IFERROR(INDEX('TaxCred&amp;Subs'!$J$66:$J$99,MATCH(1,($C413&amp;$D413='TaxCred&amp;Subs'!$D$66:$D$99)*($F413='TaxCred&amp;Subs'!$C$66:$C$99),0)),0)),IF($C413&gt;2,(O413-S413)*(IFERROR(INDEX('TaxCred&amp;Subs'!$J$66:$J$99,MATCH(1,($C413&amp;$D413='TaxCred&amp;Subs'!$D$66:$D$99)*($F413='TaxCred&amp;Subs'!$C$66:$C$99),0)),0)),0))),0)</f>
        <v>0</v>
      </c>
      <c r="R413" s="170">
        <f t="array" ref="R413">ROUND(IF(IFERROR(VALUE(RIGHT($AD413,1)),0)&gt;2,IF($C413=8,N413*IFERROR(INDEX('TaxCred&amp;Subs'!$K$139:$S$151,MATCH($C413&amp;$D413&amp;LEFT($AD413,7),'TaxCred&amp;Subs'!$E$139:$E$151,0),MATCH($H413,'TaxCred&amp;Subs'!$K$137:$S$137,0)),0),IF($C413=2,N413*IFERROR(INDEX('TaxCred&amp;Subs'!$K$139:$S$151,MATCH($C413&amp;$D413,'TaxCred&amp;Subs'!$D$139:$D$151,0),MATCH($H413,'TaxCred&amp;Subs'!$K$137:$S$137,0)),0),N413*IFERROR(INDEX('TaxCred&amp;Subs'!$K$139:$S$151,MATCH($C413&amp;$D413,'TaxCred&amp;Subs'!$C$139:$C$151,0),MATCH($H413,'TaxCred&amp;Subs'!$K$137:$S$137,0)),0))),0),0)</f>
        <v>269</v>
      </c>
      <c r="S413" s="170">
        <f t="array" ref="S413">ROUND(IF(IFERROR(VALUE(RIGHT($AD413,1)),0)&gt;2,IF($C413=8,O413*IFERROR(INDEX('TaxCred&amp;Subs'!$K$139:$S$151,MATCH($C413&amp;$D413&amp;LEFT($AD413,7),'TaxCred&amp;Subs'!$E$139:$E$151,0),MATCH($H413,'TaxCred&amp;Subs'!$K$137:$S$137,0)),0),IF($C413=2,O413*IFERROR(INDEX('TaxCred&amp;Subs'!$K$139:$S$151,MATCH($C413&amp;$D413,'TaxCred&amp;Subs'!$D$139:$D$151,0),MATCH($H413,'TaxCred&amp;Subs'!$K$137:$S$137,0)),0),O413*IFERROR(INDEX('TaxCred&amp;Subs'!$K$139:$S$151,MATCH($C413&amp;$D413,'TaxCred&amp;Subs'!$C$139:$C$151,0),MATCH($H413,'TaxCred&amp;Subs'!$K$137:$S$137,0)),0))),0),0)</f>
        <v>0</v>
      </c>
      <c r="T413" s="95">
        <f t="shared" si="24"/>
        <v>0</v>
      </c>
      <c r="U413" s="95">
        <f t="shared" si="25"/>
        <v>0</v>
      </c>
      <c r="V413" s="28" t="s">
        <v>222</v>
      </c>
      <c r="W413" s="31">
        <v>2020</v>
      </c>
      <c r="X413" s="28">
        <v>1</v>
      </c>
      <c r="Y413" s="28">
        <v>0</v>
      </c>
      <c r="Z413" s="196">
        <v>-2.0762472774284713E-4</v>
      </c>
      <c r="AA413" s="196">
        <v>-3.1942265806591866E-3</v>
      </c>
      <c r="AB413" s="28">
        <v>0</v>
      </c>
      <c r="AC413" s="28">
        <v>0</v>
      </c>
      <c r="AD413" s="28" t="s">
        <v>197</v>
      </c>
    </row>
    <row r="414" spans="2:30" ht="14.25" customHeight="1" x14ac:dyDescent="0.2">
      <c r="B414" s="7">
        <f t="shared" si="26"/>
        <v>390</v>
      </c>
      <c r="C414" s="28">
        <v>2</v>
      </c>
      <c r="D414" s="28">
        <v>3</v>
      </c>
      <c r="E414" s="31">
        <v>10</v>
      </c>
      <c r="F414" s="96">
        <v>2020</v>
      </c>
      <c r="G414" s="28">
        <v>2021</v>
      </c>
      <c r="H414" s="28">
        <v>4</v>
      </c>
      <c r="I414" s="96">
        <v>45</v>
      </c>
      <c r="J414" s="28">
        <v>4</v>
      </c>
      <c r="K414" s="28">
        <v>0</v>
      </c>
      <c r="L414" s="28">
        <v>0</v>
      </c>
      <c r="M414" s="75">
        <v>4.3962485345838216</v>
      </c>
      <c r="N414" s="151">
        <v>3405</v>
      </c>
      <c r="O414" s="79">
        <v>0</v>
      </c>
      <c r="P414" s="95">
        <f t="array" ref="P414">ROUND(IF($F414&lt;='TaxCred&amp;Subs'!$C$49,(IF($C414=2,IF($M414&gt;=IFERROR(INDEX('TaxCred&amp;Subs'!$L$12:$L$47,MATCH(1,($C414&amp;$D414='TaxCred&amp;Subs'!$E$12:$E$47)*($F414='TaxCred&amp;Subs'!$C$12:$C$47),0)
),9999),IFERROR(INDEX('TaxCred&amp;Subs'!$N$12:$N$47,MATCH(1,($C414&amp;$D414='TaxCred&amp;Subs'!$E$12:$E$47)*($F414='TaxCred&amp;Subs'!$C$12:$C$47),0)
),0),0),(IF($M414&gt;=IFERROR(INDEX('TaxCred&amp;Subs'!$H$12:$H$47,MATCH(1,($C414&amp;$D414='TaxCred&amp;Subs'!$D$12:$D$47)*($F414='TaxCred&amp;Subs'!$C$12:$C$47),0)
),9999),IFERROR(INDEX('TaxCred&amp;Subs'!$N$12:$N$47,MATCH(1,($C414&amp;$D414='TaxCred&amp;Subs'!$D$12:$D$47)*($F414='TaxCred&amp;Subs'!$C$12:$C$47),0)
),0),0)))),0)+IF(AND($C414=2,VALUE(RIGHT($AD414,1))&gt;2),(N414-R414)*(IFERROR(INDEX('TaxCred&amp;Subs'!$J$66:$J$99,MATCH(1,($C414&amp;$D414='TaxCred&amp;Subs'!$E$66:$E$99)*($F414='TaxCred&amp;Subs'!$C$66:$C$99),0)),0)),IF(AND($C414=1,VALUE(RIGHT($AD414,1))&gt;2),(N414-R414)*(IFERROR(INDEX('TaxCred&amp;Subs'!$J$66:$J$99,MATCH(1,($C414&amp;$D414='TaxCred&amp;Subs'!$D$66:$D$99)*($F414='TaxCred&amp;Subs'!$C$66:$C$99),0)),0)),IF($C414&gt;2,(N414-R414)*(IFERROR(INDEX('TaxCred&amp;Subs'!$J$66:$J$99,MATCH(1,($C414&amp;$D414='TaxCred&amp;Subs'!$D$66:$D$99)*($F414='TaxCred&amp;Subs'!$C$66:$C$99),0)),0)),0))),0)</f>
        <v>150</v>
      </c>
      <c r="Q414" s="95">
        <f t="array" ref="Q414">ROUND(IF(AND($C414=2,VALUE(RIGHT($AD414,1))&gt;2),(O414-S414)*(IFERROR(INDEX('TaxCred&amp;Subs'!$J$66:$J$99,MATCH(1,($C414&amp;$D414='TaxCred&amp;Subs'!$E$66:$E$99)*($F414='TaxCred&amp;Subs'!$C$66:$C$99),0)),0)),IF(AND($C414=1,VALUE(RIGHT($AD414,1))&gt;2),(O414-S414)*(IFERROR(INDEX('TaxCred&amp;Subs'!$J$66:$J$99,MATCH(1,($C414&amp;$D414='TaxCred&amp;Subs'!$D$66:$D$99)*($F414='TaxCred&amp;Subs'!$C$66:$C$99),0)),0)),IF($C414&gt;2,(O414-S414)*(IFERROR(INDEX('TaxCred&amp;Subs'!$J$66:$J$99,MATCH(1,($C414&amp;$D414='TaxCred&amp;Subs'!$D$66:$D$99)*($F414='TaxCred&amp;Subs'!$C$66:$C$99),0)),0)),0))),0)</f>
        <v>0</v>
      </c>
      <c r="R414" s="170">
        <f t="array" ref="R414">ROUND(IF(IFERROR(VALUE(RIGHT($AD414,1)),0)&gt;2,IF($C414=8,N414*IFERROR(INDEX('TaxCred&amp;Subs'!$K$139:$S$151,MATCH($C414&amp;$D414&amp;LEFT($AD414,7),'TaxCred&amp;Subs'!$E$139:$E$151,0),MATCH($H414,'TaxCred&amp;Subs'!$K$137:$S$137,0)),0),IF($C414=2,N414*IFERROR(INDEX('TaxCred&amp;Subs'!$K$139:$S$151,MATCH($C414&amp;$D414,'TaxCred&amp;Subs'!$D$139:$D$151,0),MATCH($H414,'TaxCred&amp;Subs'!$K$137:$S$137,0)),0),N414*IFERROR(INDEX('TaxCred&amp;Subs'!$K$139:$S$151,MATCH($C414&amp;$D414,'TaxCred&amp;Subs'!$C$139:$C$151,0),MATCH($H414,'TaxCred&amp;Subs'!$K$137:$S$137,0)),0))),0),0)</f>
        <v>164</v>
      </c>
      <c r="S414" s="170">
        <f t="array" ref="S414">ROUND(IF(IFERROR(VALUE(RIGHT($AD414,1)),0)&gt;2,IF($C414=8,O414*IFERROR(INDEX('TaxCred&amp;Subs'!$K$139:$S$151,MATCH($C414&amp;$D414&amp;LEFT($AD414,7),'TaxCred&amp;Subs'!$E$139:$E$151,0),MATCH($H414,'TaxCred&amp;Subs'!$K$137:$S$137,0)),0),IF($C414=2,O414*IFERROR(INDEX('TaxCred&amp;Subs'!$K$139:$S$151,MATCH($C414&amp;$D414,'TaxCred&amp;Subs'!$D$139:$D$151,0),MATCH($H414,'TaxCred&amp;Subs'!$K$137:$S$137,0)),0),O414*IFERROR(INDEX('TaxCred&amp;Subs'!$K$139:$S$151,MATCH($C414&amp;$D414,'TaxCred&amp;Subs'!$C$139:$C$151,0),MATCH($H414,'TaxCred&amp;Subs'!$K$137:$S$137,0)),0))),0),0)</f>
        <v>0</v>
      </c>
      <c r="T414" s="95">
        <f t="shared" si="24"/>
        <v>0</v>
      </c>
      <c r="U414" s="95">
        <f t="shared" si="25"/>
        <v>0</v>
      </c>
      <c r="V414" s="28" t="s">
        <v>222</v>
      </c>
      <c r="W414" s="31">
        <v>2020</v>
      </c>
      <c r="X414" s="28">
        <v>1</v>
      </c>
      <c r="Y414" s="28">
        <v>0</v>
      </c>
      <c r="Z414" s="196">
        <v>-2.0762472774284713E-4</v>
      </c>
      <c r="AA414" s="196">
        <v>-3.1942265806591866E-3</v>
      </c>
      <c r="AB414" s="28">
        <v>0</v>
      </c>
      <c r="AC414" s="28">
        <v>0</v>
      </c>
      <c r="AD414" s="28" t="s">
        <v>197</v>
      </c>
    </row>
    <row r="415" spans="2:30" ht="14.25" customHeight="1" x14ac:dyDescent="0.2">
      <c r="B415" s="7">
        <f t="shared" si="26"/>
        <v>391</v>
      </c>
      <c r="C415" s="28">
        <v>2</v>
      </c>
      <c r="D415" s="28">
        <v>3</v>
      </c>
      <c r="E415" s="31">
        <v>10</v>
      </c>
      <c r="F415" s="96">
        <v>2020</v>
      </c>
      <c r="G415" s="28">
        <v>2021</v>
      </c>
      <c r="H415" s="28">
        <v>5</v>
      </c>
      <c r="I415" s="96">
        <v>45</v>
      </c>
      <c r="J415" s="28">
        <v>4</v>
      </c>
      <c r="K415" s="28">
        <v>0</v>
      </c>
      <c r="L415" s="28">
        <v>0</v>
      </c>
      <c r="M415" s="75">
        <v>4.3962485345838216</v>
      </c>
      <c r="N415" s="151">
        <v>3405</v>
      </c>
      <c r="O415" s="79">
        <v>0</v>
      </c>
      <c r="P415" s="95">
        <f t="array" ref="P415">ROUND(IF($F415&lt;='TaxCred&amp;Subs'!$C$49,(IF($C415=2,IF($M415&gt;=IFERROR(INDEX('TaxCred&amp;Subs'!$L$12:$L$47,MATCH(1,($C415&amp;$D415='TaxCred&amp;Subs'!$E$12:$E$47)*($F415='TaxCred&amp;Subs'!$C$12:$C$47),0)
),9999),IFERROR(INDEX('TaxCred&amp;Subs'!$N$12:$N$47,MATCH(1,($C415&amp;$D415='TaxCred&amp;Subs'!$E$12:$E$47)*($F415='TaxCred&amp;Subs'!$C$12:$C$47),0)
),0),0),(IF($M415&gt;=IFERROR(INDEX('TaxCred&amp;Subs'!$H$12:$H$47,MATCH(1,($C415&amp;$D415='TaxCred&amp;Subs'!$D$12:$D$47)*($F415='TaxCred&amp;Subs'!$C$12:$C$47),0)
),9999),IFERROR(INDEX('TaxCred&amp;Subs'!$N$12:$N$47,MATCH(1,($C415&amp;$D415='TaxCred&amp;Subs'!$D$12:$D$47)*($F415='TaxCred&amp;Subs'!$C$12:$C$47),0)
),0),0)))),0)+IF(AND($C415=2,VALUE(RIGHT($AD415,1))&gt;2),(N415-R415)*(IFERROR(INDEX('TaxCred&amp;Subs'!$J$66:$J$99,MATCH(1,($C415&amp;$D415='TaxCred&amp;Subs'!$E$66:$E$99)*($F415='TaxCred&amp;Subs'!$C$66:$C$99),0)),0)),IF(AND($C415=1,VALUE(RIGHT($AD415,1))&gt;2),(N415-R415)*(IFERROR(INDEX('TaxCred&amp;Subs'!$J$66:$J$99,MATCH(1,($C415&amp;$D415='TaxCred&amp;Subs'!$D$66:$D$99)*($F415='TaxCred&amp;Subs'!$C$66:$C$99),0)),0)),IF($C415&gt;2,(N415-R415)*(IFERROR(INDEX('TaxCred&amp;Subs'!$J$66:$J$99,MATCH(1,($C415&amp;$D415='TaxCred&amp;Subs'!$D$66:$D$99)*($F415='TaxCred&amp;Subs'!$C$66:$C$99),0)),0)),0))),0)</f>
        <v>150</v>
      </c>
      <c r="Q415" s="95">
        <f t="array" ref="Q415">ROUND(IF(AND($C415=2,VALUE(RIGHT($AD415,1))&gt;2),(O415-S415)*(IFERROR(INDEX('TaxCred&amp;Subs'!$J$66:$J$99,MATCH(1,($C415&amp;$D415='TaxCred&amp;Subs'!$E$66:$E$99)*($F415='TaxCred&amp;Subs'!$C$66:$C$99),0)),0)),IF(AND($C415=1,VALUE(RIGHT($AD415,1))&gt;2),(O415-S415)*(IFERROR(INDEX('TaxCred&amp;Subs'!$J$66:$J$99,MATCH(1,($C415&amp;$D415='TaxCred&amp;Subs'!$D$66:$D$99)*($F415='TaxCred&amp;Subs'!$C$66:$C$99),0)),0)),IF($C415&gt;2,(O415-S415)*(IFERROR(INDEX('TaxCred&amp;Subs'!$J$66:$J$99,MATCH(1,($C415&amp;$D415='TaxCred&amp;Subs'!$D$66:$D$99)*($F415='TaxCred&amp;Subs'!$C$66:$C$99),0)),0)),0))),0)</f>
        <v>0</v>
      </c>
      <c r="R415" s="170">
        <f t="array" ref="R415">ROUND(IF(IFERROR(VALUE(RIGHT($AD415,1)),0)&gt;2,IF($C415=8,N415*IFERROR(INDEX('TaxCred&amp;Subs'!$K$139:$S$151,MATCH($C415&amp;$D415&amp;LEFT($AD415,7),'TaxCred&amp;Subs'!$E$139:$E$151,0),MATCH($H415,'TaxCred&amp;Subs'!$K$137:$S$137,0)),0),IF($C415=2,N415*IFERROR(INDEX('TaxCred&amp;Subs'!$K$139:$S$151,MATCH($C415&amp;$D415,'TaxCred&amp;Subs'!$D$139:$D$151,0),MATCH($H415,'TaxCred&amp;Subs'!$K$137:$S$137,0)),0),N415*IFERROR(INDEX('TaxCred&amp;Subs'!$K$139:$S$151,MATCH($C415&amp;$D415,'TaxCred&amp;Subs'!$C$139:$C$151,0),MATCH($H415,'TaxCred&amp;Subs'!$K$137:$S$137,0)),0))),0),0)</f>
        <v>74</v>
      </c>
      <c r="S415" s="170">
        <f t="array" ref="S415">ROUND(IF(IFERROR(VALUE(RIGHT($AD415,1)),0)&gt;2,IF($C415=8,O415*IFERROR(INDEX('TaxCred&amp;Subs'!$K$139:$S$151,MATCH($C415&amp;$D415&amp;LEFT($AD415,7),'TaxCred&amp;Subs'!$E$139:$E$151,0),MATCH($H415,'TaxCred&amp;Subs'!$K$137:$S$137,0)),0),IF($C415=2,O415*IFERROR(INDEX('TaxCred&amp;Subs'!$K$139:$S$151,MATCH($C415&amp;$D415,'TaxCred&amp;Subs'!$D$139:$D$151,0),MATCH($H415,'TaxCred&amp;Subs'!$K$137:$S$137,0)),0),O415*IFERROR(INDEX('TaxCred&amp;Subs'!$K$139:$S$151,MATCH($C415&amp;$D415,'TaxCred&amp;Subs'!$C$139:$C$151,0),MATCH($H415,'TaxCred&amp;Subs'!$K$137:$S$137,0)),0))),0),0)</f>
        <v>0</v>
      </c>
      <c r="T415" s="95">
        <f t="shared" si="24"/>
        <v>0</v>
      </c>
      <c r="U415" s="95">
        <f t="shared" si="25"/>
        <v>0</v>
      </c>
      <c r="V415" s="28" t="s">
        <v>222</v>
      </c>
      <c r="W415" s="31">
        <v>2020</v>
      </c>
      <c r="X415" s="28">
        <v>1</v>
      </c>
      <c r="Y415" s="28">
        <v>0</v>
      </c>
      <c r="Z415" s="196">
        <v>-2.0762472774284713E-4</v>
      </c>
      <c r="AA415" s="196">
        <v>-3.1942265806591866E-3</v>
      </c>
      <c r="AB415" s="28">
        <v>0</v>
      </c>
      <c r="AC415" s="28">
        <v>0</v>
      </c>
      <c r="AD415" s="28" t="s">
        <v>197</v>
      </c>
    </row>
    <row r="416" spans="2:30" ht="14.25" customHeight="1" x14ac:dyDescent="0.2">
      <c r="B416" s="7">
        <f t="shared" si="26"/>
        <v>392</v>
      </c>
      <c r="C416" s="28">
        <v>2</v>
      </c>
      <c r="D416" s="28">
        <v>3</v>
      </c>
      <c r="E416" s="31">
        <v>10</v>
      </c>
      <c r="F416" s="96">
        <v>2020</v>
      </c>
      <c r="G416" s="28">
        <v>2021</v>
      </c>
      <c r="H416" s="28">
        <v>6</v>
      </c>
      <c r="I416" s="96">
        <v>45</v>
      </c>
      <c r="J416" s="28">
        <v>4</v>
      </c>
      <c r="K416" s="28">
        <v>0</v>
      </c>
      <c r="L416" s="28">
        <v>0</v>
      </c>
      <c r="M416" s="75">
        <v>4.3962485345838216</v>
      </c>
      <c r="N416" s="151">
        <v>3405</v>
      </c>
      <c r="O416" s="79">
        <v>0</v>
      </c>
      <c r="P416" s="95">
        <f t="array" ref="P416">ROUND(IF($F416&lt;='TaxCred&amp;Subs'!$C$49,(IF($C416=2,IF($M416&gt;=IFERROR(INDEX('TaxCred&amp;Subs'!$L$12:$L$47,MATCH(1,($C416&amp;$D416='TaxCred&amp;Subs'!$E$12:$E$47)*($F416='TaxCred&amp;Subs'!$C$12:$C$47),0)
),9999),IFERROR(INDEX('TaxCred&amp;Subs'!$N$12:$N$47,MATCH(1,($C416&amp;$D416='TaxCred&amp;Subs'!$E$12:$E$47)*($F416='TaxCred&amp;Subs'!$C$12:$C$47),0)
),0),0),(IF($M416&gt;=IFERROR(INDEX('TaxCred&amp;Subs'!$H$12:$H$47,MATCH(1,($C416&amp;$D416='TaxCred&amp;Subs'!$D$12:$D$47)*($F416='TaxCred&amp;Subs'!$C$12:$C$47),0)
),9999),IFERROR(INDEX('TaxCred&amp;Subs'!$N$12:$N$47,MATCH(1,($C416&amp;$D416='TaxCred&amp;Subs'!$D$12:$D$47)*($F416='TaxCred&amp;Subs'!$C$12:$C$47),0)
),0),0)))),0)+IF(AND($C416=2,VALUE(RIGHT($AD416,1))&gt;2),(N416-R416)*(IFERROR(INDEX('TaxCred&amp;Subs'!$J$66:$J$99,MATCH(1,($C416&amp;$D416='TaxCred&amp;Subs'!$E$66:$E$99)*($F416='TaxCred&amp;Subs'!$C$66:$C$99),0)),0)),IF(AND($C416=1,VALUE(RIGHT($AD416,1))&gt;2),(N416-R416)*(IFERROR(INDEX('TaxCred&amp;Subs'!$J$66:$J$99,MATCH(1,($C416&amp;$D416='TaxCred&amp;Subs'!$D$66:$D$99)*($F416='TaxCred&amp;Subs'!$C$66:$C$99),0)),0)),IF($C416&gt;2,(N416-R416)*(IFERROR(INDEX('TaxCred&amp;Subs'!$J$66:$J$99,MATCH(1,($C416&amp;$D416='TaxCred&amp;Subs'!$D$66:$D$99)*($F416='TaxCred&amp;Subs'!$C$66:$C$99),0)),0)),0))),0)</f>
        <v>150</v>
      </c>
      <c r="Q416" s="95">
        <f t="array" ref="Q416">ROUND(IF(AND($C416=2,VALUE(RIGHT($AD416,1))&gt;2),(O416-S416)*(IFERROR(INDEX('TaxCred&amp;Subs'!$J$66:$J$99,MATCH(1,($C416&amp;$D416='TaxCred&amp;Subs'!$E$66:$E$99)*($F416='TaxCred&amp;Subs'!$C$66:$C$99),0)),0)),IF(AND($C416=1,VALUE(RIGHT($AD416,1))&gt;2),(O416-S416)*(IFERROR(INDEX('TaxCred&amp;Subs'!$J$66:$J$99,MATCH(1,($C416&amp;$D416='TaxCred&amp;Subs'!$D$66:$D$99)*($F416='TaxCred&amp;Subs'!$C$66:$C$99),0)),0)),IF($C416&gt;2,(O416-S416)*(IFERROR(INDEX('TaxCred&amp;Subs'!$J$66:$J$99,MATCH(1,($C416&amp;$D416='TaxCred&amp;Subs'!$D$66:$D$99)*($F416='TaxCred&amp;Subs'!$C$66:$C$99),0)),0)),0))),0)</f>
        <v>0</v>
      </c>
      <c r="R416" s="170">
        <f t="array" ref="R416">ROUND(IF(IFERROR(VALUE(RIGHT($AD416,1)),0)&gt;2,IF($C416=8,N416*IFERROR(INDEX('TaxCred&amp;Subs'!$K$139:$S$151,MATCH($C416&amp;$D416&amp;LEFT($AD416,7),'TaxCred&amp;Subs'!$E$139:$E$151,0),MATCH($H416,'TaxCred&amp;Subs'!$K$137:$S$137,0)),0),IF($C416=2,N416*IFERROR(INDEX('TaxCred&amp;Subs'!$K$139:$S$151,MATCH($C416&amp;$D416,'TaxCred&amp;Subs'!$D$139:$D$151,0),MATCH($H416,'TaxCred&amp;Subs'!$K$137:$S$137,0)),0),N416*IFERROR(INDEX('TaxCred&amp;Subs'!$K$139:$S$151,MATCH($C416&amp;$D416,'TaxCred&amp;Subs'!$C$139:$C$151,0),MATCH($H416,'TaxCred&amp;Subs'!$K$137:$S$137,0)),0))),0),0)</f>
        <v>0</v>
      </c>
      <c r="S416" s="170">
        <f t="array" ref="S416">ROUND(IF(IFERROR(VALUE(RIGHT($AD416,1)),0)&gt;2,IF($C416=8,O416*IFERROR(INDEX('TaxCred&amp;Subs'!$K$139:$S$151,MATCH($C416&amp;$D416&amp;LEFT($AD416,7),'TaxCred&amp;Subs'!$E$139:$E$151,0),MATCH($H416,'TaxCred&amp;Subs'!$K$137:$S$137,0)),0),IF($C416=2,O416*IFERROR(INDEX('TaxCred&amp;Subs'!$K$139:$S$151,MATCH($C416&amp;$D416,'TaxCred&amp;Subs'!$D$139:$D$151,0),MATCH($H416,'TaxCred&amp;Subs'!$K$137:$S$137,0)),0),O416*IFERROR(INDEX('TaxCred&amp;Subs'!$K$139:$S$151,MATCH($C416&amp;$D416,'TaxCred&amp;Subs'!$C$139:$C$151,0),MATCH($H416,'TaxCred&amp;Subs'!$K$137:$S$137,0)),0))),0),0)</f>
        <v>0</v>
      </c>
      <c r="T416" s="95">
        <f t="shared" si="24"/>
        <v>0</v>
      </c>
      <c r="U416" s="95">
        <f t="shared" si="25"/>
        <v>0</v>
      </c>
      <c r="V416" s="28" t="s">
        <v>222</v>
      </c>
      <c r="W416" s="31">
        <v>2020</v>
      </c>
      <c r="X416" s="28">
        <v>1</v>
      </c>
      <c r="Y416" s="28">
        <v>0</v>
      </c>
      <c r="Z416" s="196">
        <v>-2.0762472774284713E-4</v>
      </c>
      <c r="AA416" s="196">
        <v>-3.1942265806591866E-3</v>
      </c>
      <c r="AB416" s="28">
        <v>0</v>
      </c>
      <c r="AC416" s="28">
        <v>0</v>
      </c>
      <c r="AD416" s="28" t="s">
        <v>197</v>
      </c>
    </row>
    <row r="417" spans="2:30" ht="14.25" customHeight="1" x14ac:dyDescent="0.2">
      <c r="B417" s="7">
        <f t="shared" si="26"/>
        <v>393</v>
      </c>
      <c r="C417" s="28">
        <v>2</v>
      </c>
      <c r="D417" s="28">
        <v>3</v>
      </c>
      <c r="E417" s="31">
        <v>10</v>
      </c>
      <c r="F417" s="96">
        <v>2020</v>
      </c>
      <c r="G417" s="28">
        <v>2021</v>
      </c>
      <c r="H417" s="28">
        <v>7</v>
      </c>
      <c r="I417" s="96">
        <v>45</v>
      </c>
      <c r="J417" s="28">
        <v>4</v>
      </c>
      <c r="K417" s="28">
        <v>0</v>
      </c>
      <c r="L417" s="28">
        <v>0</v>
      </c>
      <c r="M417" s="75">
        <v>4.3962485345838216</v>
      </c>
      <c r="N417" s="151">
        <v>3405</v>
      </c>
      <c r="O417" s="79">
        <v>0</v>
      </c>
      <c r="P417" s="95">
        <f t="array" ref="P417">ROUND(IF($F417&lt;='TaxCred&amp;Subs'!$C$49,(IF($C417=2,IF($M417&gt;=IFERROR(INDEX('TaxCred&amp;Subs'!$L$12:$L$47,MATCH(1,($C417&amp;$D417='TaxCred&amp;Subs'!$E$12:$E$47)*($F417='TaxCred&amp;Subs'!$C$12:$C$47),0)
),9999),IFERROR(INDEX('TaxCred&amp;Subs'!$N$12:$N$47,MATCH(1,($C417&amp;$D417='TaxCred&amp;Subs'!$E$12:$E$47)*($F417='TaxCred&amp;Subs'!$C$12:$C$47),0)
),0),0),(IF($M417&gt;=IFERROR(INDEX('TaxCred&amp;Subs'!$H$12:$H$47,MATCH(1,($C417&amp;$D417='TaxCred&amp;Subs'!$D$12:$D$47)*($F417='TaxCred&amp;Subs'!$C$12:$C$47),0)
),9999),IFERROR(INDEX('TaxCred&amp;Subs'!$N$12:$N$47,MATCH(1,($C417&amp;$D417='TaxCred&amp;Subs'!$D$12:$D$47)*($F417='TaxCred&amp;Subs'!$C$12:$C$47),0)
),0),0)))),0)+IF(AND($C417=2,VALUE(RIGHT($AD417,1))&gt;2),(N417-R417)*(IFERROR(INDEX('TaxCred&amp;Subs'!$J$66:$J$99,MATCH(1,($C417&amp;$D417='TaxCred&amp;Subs'!$E$66:$E$99)*($F417='TaxCred&amp;Subs'!$C$66:$C$99),0)),0)),IF(AND($C417=1,VALUE(RIGHT($AD417,1))&gt;2),(N417-R417)*(IFERROR(INDEX('TaxCred&amp;Subs'!$J$66:$J$99,MATCH(1,($C417&amp;$D417='TaxCred&amp;Subs'!$D$66:$D$99)*($F417='TaxCred&amp;Subs'!$C$66:$C$99),0)),0)),IF($C417&gt;2,(N417-R417)*(IFERROR(INDEX('TaxCred&amp;Subs'!$J$66:$J$99,MATCH(1,($C417&amp;$D417='TaxCred&amp;Subs'!$D$66:$D$99)*($F417='TaxCred&amp;Subs'!$C$66:$C$99),0)),0)),0))),0)</f>
        <v>150</v>
      </c>
      <c r="Q417" s="95">
        <f t="array" ref="Q417">ROUND(IF(AND($C417=2,VALUE(RIGHT($AD417,1))&gt;2),(O417-S417)*(IFERROR(INDEX('TaxCred&amp;Subs'!$J$66:$J$99,MATCH(1,($C417&amp;$D417='TaxCred&amp;Subs'!$E$66:$E$99)*($F417='TaxCred&amp;Subs'!$C$66:$C$99),0)),0)),IF(AND($C417=1,VALUE(RIGHT($AD417,1))&gt;2),(O417-S417)*(IFERROR(INDEX('TaxCred&amp;Subs'!$J$66:$J$99,MATCH(1,($C417&amp;$D417='TaxCred&amp;Subs'!$D$66:$D$99)*($F417='TaxCred&amp;Subs'!$C$66:$C$99),0)),0)),IF($C417&gt;2,(O417-S417)*(IFERROR(INDEX('TaxCred&amp;Subs'!$J$66:$J$99,MATCH(1,($C417&amp;$D417='TaxCred&amp;Subs'!$D$66:$D$99)*($F417='TaxCred&amp;Subs'!$C$66:$C$99),0)),0)),0))),0)</f>
        <v>0</v>
      </c>
      <c r="R417" s="170">
        <f t="array" ref="R417">ROUND(IF(IFERROR(VALUE(RIGHT($AD417,1)),0)&gt;2,IF($C417=8,N417*IFERROR(INDEX('TaxCred&amp;Subs'!$K$139:$S$151,MATCH($C417&amp;$D417&amp;LEFT($AD417,7),'TaxCred&amp;Subs'!$E$139:$E$151,0),MATCH($H417,'TaxCred&amp;Subs'!$K$137:$S$137,0)),0),IF($C417=2,N417*IFERROR(INDEX('TaxCred&amp;Subs'!$K$139:$S$151,MATCH($C417&amp;$D417,'TaxCred&amp;Subs'!$D$139:$D$151,0),MATCH($H417,'TaxCred&amp;Subs'!$K$137:$S$137,0)),0),N417*IFERROR(INDEX('TaxCred&amp;Subs'!$K$139:$S$151,MATCH($C417&amp;$D417,'TaxCred&amp;Subs'!$C$139:$C$151,0),MATCH($H417,'TaxCred&amp;Subs'!$K$137:$S$137,0)),0))),0),0)</f>
        <v>659</v>
      </c>
      <c r="S417" s="170">
        <f t="array" ref="S417">ROUND(IF(IFERROR(VALUE(RIGHT($AD417,1)),0)&gt;2,IF($C417=8,O417*IFERROR(INDEX('TaxCred&amp;Subs'!$K$139:$S$151,MATCH($C417&amp;$D417&amp;LEFT($AD417,7),'TaxCred&amp;Subs'!$E$139:$E$151,0),MATCH($H417,'TaxCred&amp;Subs'!$K$137:$S$137,0)),0),IF($C417=2,O417*IFERROR(INDEX('TaxCred&amp;Subs'!$K$139:$S$151,MATCH($C417&amp;$D417,'TaxCred&amp;Subs'!$D$139:$D$151,0),MATCH($H417,'TaxCred&amp;Subs'!$K$137:$S$137,0)),0),O417*IFERROR(INDEX('TaxCred&amp;Subs'!$K$139:$S$151,MATCH($C417&amp;$D417,'TaxCred&amp;Subs'!$C$139:$C$151,0),MATCH($H417,'TaxCred&amp;Subs'!$K$137:$S$137,0)),0))),0),0)</f>
        <v>0</v>
      </c>
      <c r="T417" s="95">
        <f t="shared" si="24"/>
        <v>0</v>
      </c>
      <c r="U417" s="95">
        <f t="shared" si="25"/>
        <v>0</v>
      </c>
      <c r="V417" s="28" t="s">
        <v>222</v>
      </c>
      <c r="W417" s="31">
        <v>2020</v>
      </c>
      <c r="X417" s="28">
        <v>1</v>
      </c>
      <c r="Y417" s="28">
        <v>0</v>
      </c>
      <c r="Z417" s="196">
        <v>-2.0762472774284713E-4</v>
      </c>
      <c r="AA417" s="196">
        <v>-3.1942265806591866E-3</v>
      </c>
      <c r="AB417" s="28">
        <v>0</v>
      </c>
      <c r="AC417" s="28">
        <v>0</v>
      </c>
      <c r="AD417" s="28" t="s">
        <v>197</v>
      </c>
    </row>
    <row r="418" spans="2:30" ht="14.25" customHeight="1" x14ac:dyDescent="0.2">
      <c r="B418" s="7">
        <f t="shared" si="26"/>
        <v>394</v>
      </c>
      <c r="C418" s="28">
        <v>2</v>
      </c>
      <c r="D418" s="28">
        <v>3</v>
      </c>
      <c r="E418" s="31">
        <v>10</v>
      </c>
      <c r="F418" s="96">
        <v>2020</v>
      </c>
      <c r="G418" s="28">
        <v>2021</v>
      </c>
      <c r="H418" s="28">
        <v>8</v>
      </c>
      <c r="I418" s="96">
        <v>45</v>
      </c>
      <c r="J418" s="28">
        <v>4</v>
      </c>
      <c r="K418" s="28">
        <v>0</v>
      </c>
      <c r="L418" s="28">
        <v>0</v>
      </c>
      <c r="M418" s="75">
        <v>4.3962485345838216</v>
      </c>
      <c r="N418" s="151">
        <v>3405</v>
      </c>
      <c r="O418" s="79">
        <v>0</v>
      </c>
      <c r="P418" s="95">
        <f t="array" ref="P418">ROUND(IF($F418&lt;='TaxCred&amp;Subs'!$C$49,(IF($C418=2,IF($M418&gt;=IFERROR(INDEX('TaxCred&amp;Subs'!$L$12:$L$47,MATCH(1,($C418&amp;$D418='TaxCred&amp;Subs'!$E$12:$E$47)*($F418='TaxCred&amp;Subs'!$C$12:$C$47),0)
),9999),IFERROR(INDEX('TaxCred&amp;Subs'!$N$12:$N$47,MATCH(1,($C418&amp;$D418='TaxCred&amp;Subs'!$E$12:$E$47)*($F418='TaxCred&amp;Subs'!$C$12:$C$47),0)
),0),0),(IF($M418&gt;=IFERROR(INDEX('TaxCred&amp;Subs'!$H$12:$H$47,MATCH(1,($C418&amp;$D418='TaxCred&amp;Subs'!$D$12:$D$47)*($F418='TaxCred&amp;Subs'!$C$12:$C$47),0)
),9999),IFERROR(INDEX('TaxCred&amp;Subs'!$N$12:$N$47,MATCH(1,($C418&amp;$D418='TaxCred&amp;Subs'!$D$12:$D$47)*($F418='TaxCred&amp;Subs'!$C$12:$C$47),0)
),0),0)))),0)+IF(AND($C418=2,VALUE(RIGHT($AD418,1))&gt;2),(N418-R418)*(IFERROR(INDEX('TaxCred&amp;Subs'!$J$66:$J$99,MATCH(1,($C418&amp;$D418='TaxCred&amp;Subs'!$E$66:$E$99)*($F418='TaxCred&amp;Subs'!$C$66:$C$99),0)),0)),IF(AND($C418=1,VALUE(RIGHT($AD418,1))&gt;2),(N418-R418)*(IFERROR(INDEX('TaxCred&amp;Subs'!$J$66:$J$99,MATCH(1,($C418&amp;$D418='TaxCred&amp;Subs'!$D$66:$D$99)*($F418='TaxCred&amp;Subs'!$C$66:$C$99),0)),0)),IF($C418&gt;2,(N418-R418)*(IFERROR(INDEX('TaxCred&amp;Subs'!$J$66:$J$99,MATCH(1,($C418&amp;$D418='TaxCred&amp;Subs'!$D$66:$D$99)*($F418='TaxCred&amp;Subs'!$C$66:$C$99),0)),0)),0))),0)</f>
        <v>150</v>
      </c>
      <c r="Q418" s="95">
        <f t="array" ref="Q418">ROUND(IF(AND($C418=2,VALUE(RIGHT($AD418,1))&gt;2),(O418-S418)*(IFERROR(INDEX('TaxCred&amp;Subs'!$J$66:$J$99,MATCH(1,($C418&amp;$D418='TaxCred&amp;Subs'!$E$66:$E$99)*($F418='TaxCred&amp;Subs'!$C$66:$C$99),0)),0)),IF(AND($C418=1,VALUE(RIGHT($AD418,1))&gt;2),(O418-S418)*(IFERROR(INDEX('TaxCred&amp;Subs'!$J$66:$J$99,MATCH(1,($C418&amp;$D418='TaxCred&amp;Subs'!$D$66:$D$99)*($F418='TaxCred&amp;Subs'!$C$66:$C$99),0)),0)),IF($C418&gt;2,(O418-S418)*(IFERROR(INDEX('TaxCred&amp;Subs'!$J$66:$J$99,MATCH(1,($C418&amp;$D418='TaxCred&amp;Subs'!$D$66:$D$99)*($F418='TaxCred&amp;Subs'!$C$66:$C$99),0)),0)),0))),0)</f>
        <v>0</v>
      </c>
      <c r="R418" s="170">
        <f t="array" ref="R418">ROUND(IF(IFERROR(VALUE(RIGHT($AD418,1)),0)&gt;2,IF($C418=8,N418*IFERROR(INDEX('TaxCred&amp;Subs'!$K$139:$S$151,MATCH($C418&amp;$D418&amp;LEFT($AD418,7),'TaxCred&amp;Subs'!$E$139:$E$151,0),MATCH($H418,'TaxCred&amp;Subs'!$K$137:$S$137,0)),0),IF($C418=2,N418*IFERROR(INDEX('TaxCred&amp;Subs'!$K$139:$S$151,MATCH($C418&amp;$D418,'TaxCred&amp;Subs'!$D$139:$D$151,0),MATCH($H418,'TaxCred&amp;Subs'!$K$137:$S$137,0)),0),N418*IFERROR(INDEX('TaxCred&amp;Subs'!$K$139:$S$151,MATCH($C418&amp;$D418,'TaxCred&amp;Subs'!$C$139:$C$151,0),MATCH($H418,'TaxCred&amp;Subs'!$K$137:$S$137,0)),0))),0),0)</f>
        <v>157</v>
      </c>
      <c r="S418" s="170">
        <f t="array" ref="S418">ROUND(IF(IFERROR(VALUE(RIGHT($AD418,1)),0)&gt;2,IF($C418=8,O418*IFERROR(INDEX('TaxCred&amp;Subs'!$K$139:$S$151,MATCH($C418&amp;$D418&amp;LEFT($AD418,7),'TaxCred&amp;Subs'!$E$139:$E$151,0),MATCH($H418,'TaxCred&amp;Subs'!$K$137:$S$137,0)),0),IF($C418=2,O418*IFERROR(INDEX('TaxCred&amp;Subs'!$K$139:$S$151,MATCH($C418&amp;$D418,'TaxCred&amp;Subs'!$D$139:$D$151,0),MATCH($H418,'TaxCred&amp;Subs'!$K$137:$S$137,0)),0),O418*IFERROR(INDEX('TaxCred&amp;Subs'!$K$139:$S$151,MATCH($C418&amp;$D418,'TaxCred&amp;Subs'!$C$139:$C$151,0),MATCH($H418,'TaxCred&amp;Subs'!$K$137:$S$137,0)),0))),0),0)</f>
        <v>0</v>
      </c>
      <c r="T418" s="95">
        <f t="shared" si="24"/>
        <v>0</v>
      </c>
      <c r="U418" s="95">
        <f t="shared" si="25"/>
        <v>0</v>
      </c>
      <c r="V418" s="28" t="s">
        <v>222</v>
      </c>
      <c r="W418" s="31">
        <v>2020</v>
      </c>
      <c r="X418" s="28">
        <v>1</v>
      </c>
      <c r="Y418" s="28">
        <v>0</v>
      </c>
      <c r="Z418" s="196">
        <v>-2.0762472774284713E-4</v>
      </c>
      <c r="AA418" s="196">
        <v>-3.1942265806591866E-3</v>
      </c>
      <c r="AB418" s="28">
        <v>0</v>
      </c>
      <c r="AC418" s="28">
        <v>0</v>
      </c>
      <c r="AD418" s="28" t="s">
        <v>197</v>
      </c>
    </row>
    <row r="419" spans="2:30" ht="14.25" customHeight="1" x14ac:dyDescent="0.2">
      <c r="B419" s="7">
        <f t="shared" si="26"/>
        <v>395</v>
      </c>
      <c r="C419" s="28">
        <v>2</v>
      </c>
      <c r="D419" s="28">
        <v>3</v>
      </c>
      <c r="E419" s="31">
        <v>10</v>
      </c>
      <c r="F419" s="96">
        <v>2020</v>
      </c>
      <c r="G419" s="28">
        <v>2021</v>
      </c>
      <c r="H419" s="28">
        <v>9</v>
      </c>
      <c r="I419" s="96">
        <v>45</v>
      </c>
      <c r="J419" s="28">
        <v>4</v>
      </c>
      <c r="K419" s="28">
        <v>0</v>
      </c>
      <c r="L419" s="28">
        <v>0</v>
      </c>
      <c r="M419" s="75">
        <v>4.3962485345838216</v>
      </c>
      <c r="N419" s="151">
        <v>3405</v>
      </c>
      <c r="O419" s="79">
        <v>0</v>
      </c>
      <c r="P419" s="95">
        <f t="array" ref="P419">ROUND(IF($F419&lt;='TaxCred&amp;Subs'!$C$49,(IF($C419=2,IF($M419&gt;=IFERROR(INDEX('TaxCred&amp;Subs'!$L$12:$L$47,MATCH(1,($C419&amp;$D419='TaxCred&amp;Subs'!$E$12:$E$47)*($F419='TaxCred&amp;Subs'!$C$12:$C$47),0)
),9999),IFERROR(INDEX('TaxCred&amp;Subs'!$N$12:$N$47,MATCH(1,($C419&amp;$D419='TaxCred&amp;Subs'!$E$12:$E$47)*($F419='TaxCred&amp;Subs'!$C$12:$C$47),0)
),0),0),(IF($M419&gt;=IFERROR(INDEX('TaxCred&amp;Subs'!$H$12:$H$47,MATCH(1,($C419&amp;$D419='TaxCred&amp;Subs'!$D$12:$D$47)*($F419='TaxCred&amp;Subs'!$C$12:$C$47),0)
),9999),IFERROR(INDEX('TaxCred&amp;Subs'!$N$12:$N$47,MATCH(1,($C419&amp;$D419='TaxCred&amp;Subs'!$D$12:$D$47)*($F419='TaxCred&amp;Subs'!$C$12:$C$47),0)
),0),0)))),0)+IF(AND($C419=2,VALUE(RIGHT($AD419,1))&gt;2),(N419-R419)*(IFERROR(INDEX('TaxCred&amp;Subs'!$J$66:$J$99,MATCH(1,($C419&amp;$D419='TaxCred&amp;Subs'!$E$66:$E$99)*($F419='TaxCred&amp;Subs'!$C$66:$C$99),0)),0)),IF(AND($C419=1,VALUE(RIGHT($AD419,1))&gt;2),(N419-R419)*(IFERROR(INDEX('TaxCred&amp;Subs'!$J$66:$J$99,MATCH(1,($C419&amp;$D419='TaxCred&amp;Subs'!$D$66:$D$99)*($F419='TaxCred&amp;Subs'!$C$66:$C$99),0)),0)),IF($C419&gt;2,(N419-R419)*(IFERROR(INDEX('TaxCred&amp;Subs'!$J$66:$J$99,MATCH(1,($C419&amp;$D419='TaxCred&amp;Subs'!$D$66:$D$99)*($F419='TaxCred&amp;Subs'!$C$66:$C$99),0)),0)),0))),0)</f>
        <v>150</v>
      </c>
      <c r="Q419" s="95">
        <f t="array" ref="Q419">ROUND(IF(AND($C419=2,VALUE(RIGHT($AD419,1))&gt;2),(O419-S419)*(IFERROR(INDEX('TaxCred&amp;Subs'!$J$66:$J$99,MATCH(1,($C419&amp;$D419='TaxCred&amp;Subs'!$E$66:$E$99)*($F419='TaxCred&amp;Subs'!$C$66:$C$99),0)),0)),IF(AND($C419=1,VALUE(RIGHT($AD419,1))&gt;2),(O419-S419)*(IFERROR(INDEX('TaxCred&amp;Subs'!$J$66:$J$99,MATCH(1,($C419&amp;$D419='TaxCred&amp;Subs'!$D$66:$D$99)*($F419='TaxCred&amp;Subs'!$C$66:$C$99),0)),0)),IF($C419&gt;2,(O419-S419)*(IFERROR(INDEX('TaxCred&amp;Subs'!$J$66:$J$99,MATCH(1,($C419&amp;$D419='TaxCred&amp;Subs'!$D$66:$D$99)*($F419='TaxCred&amp;Subs'!$C$66:$C$99),0)),0)),0))),0)</f>
        <v>0</v>
      </c>
      <c r="R419" s="170">
        <f t="array" ref="R419">ROUND(IF(IFERROR(VALUE(RIGHT($AD419,1)),0)&gt;2,IF($C419=8,N419*IFERROR(INDEX('TaxCred&amp;Subs'!$K$139:$S$151,MATCH($C419&amp;$D419&amp;LEFT($AD419,7),'TaxCred&amp;Subs'!$E$139:$E$151,0),MATCH($H419,'TaxCred&amp;Subs'!$K$137:$S$137,0)),0),IF($C419=2,N419*IFERROR(INDEX('TaxCred&amp;Subs'!$K$139:$S$151,MATCH($C419&amp;$D419,'TaxCred&amp;Subs'!$D$139:$D$151,0),MATCH($H419,'TaxCred&amp;Subs'!$K$137:$S$137,0)),0),N419*IFERROR(INDEX('TaxCred&amp;Subs'!$K$139:$S$151,MATCH($C419&amp;$D419,'TaxCred&amp;Subs'!$C$139:$C$151,0),MATCH($H419,'TaxCred&amp;Subs'!$K$137:$S$137,0)),0))),0),0)</f>
        <v>378</v>
      </c>
      <c r="S419" s="170">
        <f t="array" ref="S419">ROUND(IF(IFERROR(VALUE(RIGHT($AD419,1)),0)&gt;2,IF($C419=8,O419*IFERROR(INDEX('TaxCred&amp;Subs'!$K$139:$S$151,MATCH($C419&amp;$D419&amp;LEFT($AD419,7),'TaxCred&amp;Subs'!$E$139:$E$151,0),MATCH($H419,'TaxCred&amp;Subs'!$K$137:$S$137,0)),0),IF($C419=2,O419*IFERROR(INDEX('TaxCred&amp;Subs'!$K$139:$S$151,MATCH($C419&amp;$D419,'TaxCred&amp;Subs'!$D$139:$D$151,0),MATCH($H419,'TaxCred&amp;Subs'!$K$137:$S$137,0)),0),O419*IFERROR(INDEX('TaxCred&amp;Subs'!$K$139:$S$151,MATCH($C419&amp;$D419,'TaxCred&amp;Subs'!$C$139:$C$151,0),MATCH($H419,'TaxCred&amp;Subs'!$K$137:$S$137,0)),0))),0),0)</f>
        <v>0</v>
      </c>
      <c r="T419" s="172">
        <f t="shared" si="24"/>
        <v>488.25</v>
      </c>
      <c r="U419" s="95">
        <f t="shared" si="25"/>
        <v>0</v>
      </c>
      <c r="V419" s="28" t="s">
        <v>222</v>
      </c>
      <c r="W419" s="31">
        <v>2020</v>
      </c>
      <c r="X419" s="28">
        <v>1</v>
      </c>
      <c r="Y419" s="28">
        <v>0</v>
      </c>
      <c r="Z419" s="196">
        <v>-2.0762472774284713E-4</v>
      </c>
      <c r="AA419" s="196">
        <v>-3.1942265806591866E-3</v>
      </c>
      <c r="AB419" s="28">
        <v>0</v>
      </c>
      <c r="AC419" s="28">
        <v>0</v>
      </c>
      <c r="AD419" s="28" t="s">
        <v>197</v>
      </c>
    </row>
    <row r="420" spans="2:30" ht="14.25" customHeight="1" x14ac:dyDescent="0.2">
      <c r="B420" s="7">
        <f t="shared" si="26"/>
        <v>396</v>
      </c>
      <c r="C420" s="28">
        <v>2</v>
      </c>
      <c r="D420" s="28">
        <v>3</v>
      </c>
      <c r="E420" s="31">
        <v>10</v>
      </c>
      <c r="F420" s="78">
        <v>2022</v>
      </c>
      <c r="G420" s="28">
        <v>2022</v>
      </c>
      <c r="H420" s="28">
        <v>1</v>
      </c>
      <c r="I420" s="96">
        <v>45</v>
      </c>
      <c r="J420" s="28">
        <v>4</v>
      </c>
      <c r="K420" s="28">
        <v>0</v>
      </c>
      <c r="L420" s="28">
        <v>0</v>
      </c>
      <c r="M420" s="75">
        <v>4.3962485345838216</v>
      </c>
      <c r="N420" s="151">
        <v>3405</v>
      </c>
      <c r="O420" s="79">
        <v>0</v>
      </c>
      <c r="P420" s="95">
        <f t="array" ref="P420">ROUND(IF($F420&lt;='TaxCred&amp;Subs'!$C$49,(IF($C420=2,IF($M420&gt;=IFERROR(INDEX('TaxCred&amp;Subs'!$L$12:$L$47,MATCH(1,($C420&amp;$D420='TaxCred&amp;Subs'!$E$12:$E$47)*($F420='TaxCred&amp;Subs'!$C$12:$C$47),0)
),9999),IFERROR(INDEX('TaxCred&amp;Subs'!$N$12:$N$47,MATCH(1,($C420&amp;$D420='TaxCred&amp;Subs'!$E$12:$E$47)*($F420='TaxCred&amp;Subs'!$C$12:$C$47),0)
),0),0),(IF($M420&gt;=IFERROR(INDEX('TaxCred&amp;Subs'!$H$12:$H$47,MATCH(1,($C420&amp;$D420='TaxCred&amp;Subs'!$D$12:$D$47)*($F420='TaxCred&amp;Subs'!$C$12:$C$47),0)
),9999),IFERROR(INDEX('TaxCred&amp;Subs'!$N$12:$N$47,MATCH(1,($C420&amp;$D420='TaxCred&amp;Subs'!$D$12:$D$47)*($F420='TaxCred&amp;Subs'!$C$12:$C$47),0)
),0),0)))),0)+IF(AND($C420=2,VALUE(RIGHT($AD420,1))&gt;2),(N420-R420)*(IFERROR(INDEX('TaxCred&amp;Subs'!$J$66:$J$99,MATCH(1,($C420&amp;$D420='TaxCred&amp;Subs'!$E$66:$E$99)*($F420='TaxCred&amp;Subs'!$C$66:$C$99),0)),0)),IF(AND($C420=1,VALUE(RIGHT($AD420,1))&gt;2),(N420-R420)*(IFERROR(INDEX('TaxCred&amp;Subs'!$J$66:$J$99,MATCH(1,($C420&amp;$D420='TaxCred&amp;Subs'!$D$66:$D$99)*($F420='TaxCred&amp;Subs'!$C$66:$C$99),0)),0)),IF($C420&gt;2,(N420-R420)*(IFERROR(INDEX('TaxCred&amp;Subs'!$J$66:$J$99,MATCH(1,($C420&amp;$D420='TaxCred&amp;Subs'!$D$66:$D$99)*($F420='TaxCred&amp;Subs'!$C$66:$C$99),0)),0)),0))),0)</f>
        <v>1000</v>
      </c>
      <c r="Q420" s="95">
        <f t="array" ref="Q420">ROUND(IF(AND($C420=2,VALUE(RIGHT($AD420,1))&gt;2),(O420-S420)*(IFERROR(INDEX('TaxCred&amp;Subs'!$J$66:$J$99,MATCH(1,($C420&amp;$D420='TaxCred&amp;Subs'!$E$66:$E$99)*($F420='TaxCred&amp;Subs'!$C$66:$C$99),0)),0)),IF(AND($C420=1,VALUE(RIGHT($AD420,1))&gt;2),(O420-S420)*(IFERROR(INDEX('TaxCred&amp;Subs'!$J$66:$J$99,MATCH(1,($C420&amp;$D420='TaxCred&amp;Subs'!$D$66:$D$99)*($F420='TaxCred&amp;Subs'!$C$66:$C$99),0)),0)),IF($C420&gt;2,(O420-S420)*(IFERROR(INDEX('TaxCred&amp;Subs'!$J$66:$J$99,MATCH(1,($C420&amp;$D420='TaxCred&amp;Subs'!$D$66:$D$99)*($F420='TaxCred&amp;Subs'!$C$66:$C$99),0)),0)),0))),0)</f>
        <v>0</v>
      </c>
      <c r="R420" s="170">
        <f t="array" ref="R420">ROUND(IF(IFERROR(VALUE(RIGHT($AD420,1)),0)&gt;2,IF($C420=8,N420*IFERROR(INDEX('TaxCred&amp;Subs'!$K$139:$S$151,MATCH($C420&amp;$D420&amp;LEFT($AD420,7),'TaxCred&amp;Subs'!$E$139:$E$151,0),MATCH($H420,'TaxCred&amp;Subs'!$K$137:$S$137,0)),0),IF($C420=2,N420*IFERROR(INDEX('TaxCred&amp;Subs'!$K$139:$S$151,MATCH($C420&amp;$D420,'TaxCred&amp;Subs'!$D$139:$D$151,0),MATCH($H420,'TaxCred&amp;Subs'!$K$137:$S$137,0)),0),N420*IFERROR(INDEX('TaxCred&amp;Subs'!$K$139:$S$151,MATCH($C420&amp;$D420,'TaxCred&amp;Subs'!$C$139:$C$151,0),MATCH($H420,'TaxCred&amp;Subs'!$K$137:$S$137,0)),0))),0),0)</f>
        <v>492</v>
      </c>
      <c r="S420" s="170">
        <f t="array" ref="S420">ROUND(IF(IFERROR(VALUE(RIGHT($AD420,1)),0)&gt;2,IF($C420=8,O420*IFERROR(INDEX('TaxCred&amp;Subs'!$K$139:$S$151,MATCH($C420&amp;$D420&amp;LEFT($AD420,7),'TaxCred&amp;Subs'!$E$139:$E$151,0),MATCH($H420,'TaxCred&amp;Subs'!$K$137:$S$137,0)),0),IF($C420=2,O420*IFERROR(INDEX('TaxCred&amp;Subs'!$K$139:$S$151,MATCH($C420&amp;$D420,'TaxCred&amp;Subs'!$D$139:$D$151,0),MATCH($H420,'TaxCred&amp;Subs'!$K$137:$S$137,0)),0),O420*IFERROR(INDEX('TaxCred&amp;Subs'!$K$139:$S$151,MATCH($C420&amp;$D420,'TaxCred&amp;Subs'!$C$139:$C$151,0),MATCH($H420,'TaxCred&amp;Subs'!$K$137:$S$137,0)),0))),0),0)</f>
        <v>0</v>
      </c>
      <c r="T420" s="95">
        <f t="shared" si="24"/>
        <v>0</v>
      </c>
      <c r="U420" s="95">
        <f t="shared" si="25"/>
        <v>0</v>
      </c>
      <c r="V420" s="28" t="s">
        <v>222</v>
      </c>
      <c r="W420" s="31">
        <v>2020</v>
      </c>
      <c r="X420" s="28">
        <v>1</v>
      </c>
      <c r="Y420" s="28">
        <v>0</v>
      </c>
      <c r="Z420" s="196">
        <v>-2.0762472774284713E-4</v>
      </c>
      <c r="AA420" s="196">
        <v>-3.1942265806591866E-3</v>
      </c>
      <c r="AB420" s="28">
        <v>0</v>
      </c>
      <c r="AC420" s="28">
        <v>0</v>
      </c>
      <c r="AD420" s="28" t="s">
        <v>197</v>
      </c>
    </row>
    <row r="421" spans="2:30" ht="14.25" customHeight="1" x14ac:dyDescent="0.2">
      <c r="B421" s="7">
        <f t="shared" si="26"/>
        <v>397</v>
      </c>
      <c r="C421" s="28">
        <v>2</v>
      </c>
      <c r="D421" s="28">
        <v>3</v>
      </c>
      <c r="E421" s="31">
        <v>10</v>
      </c>
      <c r="F421" s="78">
        <v>2022</v>
      </c>
      <c r="G421" s="28">
        <v>2022</v>
      </c>
      <c r="H421" s="28">
        <v>2</v>
      </c>
      <c r="I421" s="96">
        <v>45</v>
      </c>
      <c r="J421" s="28">
        <v>4</v>
      </c>
      <c r="K421" s="28">
        <v>0</v>
      </c>
      <c r="L421" s="28">
        <v>0</v>
      </c>
      <c r="M421" s="75">
        <v>4.3962485345838216</v>
      </c>
      <c r="N421" s="151">
        <v>3405</v>
      </c>
      <c r="O421" s="79">
        <v>0</v>
      </c>
      <c r="P421" s="95">
        <f t="array" ref="P421">ROUND(IF($F421&lt;='TaxCred&amp;Subs'!$C$49,(IF($C421=2,IF($M421&gt;=IFERROR(INDEX('TaxCred&amp;Subs'!$L$12:$L$47,MATCH(1,($C421&amp;$D421='TaxCred&amp;Subs'!$E$12:$E$47)*($F421='TaxCred&amp;Subs'!$C$12:$C$47),0)
),9999),IFERROR(INDEX('TaxCred&amp;Subs'!$N$12:$N$47,MATCH(1,($C421&amp;$D421='TaxCred&amp;Subs'!$E$12:$E$47)*($F421='TaxCred&amp;Subs'!$C$12:$C$47),0)
),0),0),(IF($M421&gt;=IFERROR(INDEX('TaxCred&amp;Subs'!$H$12:$H$47,MATCH(1,($C421&amp;$D421='TaxCred&amp;Subs'!$D$12:$D$47)*($F421='TaxCred&amp;Subs'!$C$12:$C$47),0)
),9999),IFERROR(INDEX('TaxCred&amp;Subs'!$N$12:$N$47,MATCH(1,($C421&amp;$D421='TaxCred&amp;Subs'!$D$12:$D$47)*($F421='TaxCred&amp;Subs'!$C$12:$C$47),0)
),0),0)))),0)+IF(AND($C421=2,VALUE(RIGHT($AD421,1))&gt;2),(N421-R421)*(IFERROR(INDEX('TaxCred&amp;Subs'!$J$66:$J$99,MATCH(1,($C421&amp;$D421='TaxCred&amp;Subs'!$E$66:$E$99)*($F421='TaxCred&amp;Subs'!$C$66:$C$99),0)),0)),IF(AND($C421=1,VALUE(RIGHT($AD421,1))&gt;2),(N421-R421)*(IFERROR(INDEX('TaxCred&amp;Subs'!$J$66:$J$99,MATCH(1,($C421&amp;$D421='TaxCred&amp;Subs'!$D$66:$D$99)*($F421='TaxCred&amp;Subs'!$C$66:$C$99),0)),0)),IF($C421&gt;2,(N421-R421)*(IFERROR(INDEX('TaxCred&amp;Subs'!$J$66:$J$99,MATCH(1,($C421&amp;$D421='TaxCred&amp;Subs'!$D$66:$D$99)*($F421='TaxCred&amp;Subs'!$C$66:$C$99),0)),0)),0))),0)</f>
        <v>1000</v>
      </c>
      <c r="Q421" s="95">
        <f t="array" ref="Q421">ROUND(IF(AND($C421=2,VALUE(RIGHT($AD421,1))&gt;2),(O421-S421)*(IFERROR(INDEX('TaxCred&amp;Subs'!$J$66:$J$99,MATCH(1,($C421&amp;$D421='TaxCred&amp;Subs'!$E$66:$E$99)*($F421='TaxCred&amp;Subs'!$C$66:$C$99),0)),0)),IF(AND($C421=1,VALUE(RIGHT($AD421,1))&gt;2),(O421-S421)*(IFERROR(INDEX('TaxCred&amp;Subs'!$J$66:$J$99,MATCH(1,($C421&amp;$D421='TaxCred&amp;Subs'!$D$66:$D$99)*($F421='TaxCred&amp;Subs'!$C$66:$C$99),0)),0)),IF($C421&gt;2,(O421-S421)*(IFERROR(INDEX('TaxCred&amp;Subs'!$J$66:$J$99,MATCH(1,($C421&amp;$D421='TaxCred&amp;Subs'!$D$66:$D$99)*($F421='TaxCred&amp;Subs'!$C$66:$C$99),0)),0)),0))),0)</f>
        <v>0</v>
      </c>
      <c r="R421" s="170">
        <f t="array" ref="R421">ROUND(IF(IFERROR(VALUE(RIGHT($AD421,1)),0)&gt;2,IF($C421=8,N421*IFERROR(INDEX('TaxCred&amp;Subs'!$K$139:$S$151,MATCH($C421&amp;$D421&amp;LEFT($AD421,7),'TaxCred&amp;Subs'!$E$139:$E$151,0),MATCH($H421,'TaxCred&amp;Subs'!$K$137:$S$137,0)),0),IF($C421=2,N421*IFERROR(INDEX('TaxCred&amp;Subs'!$K$139:$S$151,MATCH($C421&amp;$D421,'TaxCred&amp;Subs'!$D$139:$D$151,0),MATCH($H421,'TaxCred&amp;Subs'!$K$137:$S$137,0)),0),N421*IFERROR(INDEX('TaxCred&amp;Subs'!$K$139:$S$151,MATCH($C421&amp;$D421,'TaxCred&amp;Subs'!$C$139:$C$151,0),MATCH($H421,'TaxCred&amp;Subs'!$K$137:$S$137,0)),0))),0),0)</f>
        <v>178</v>
      </c>
      <c r="S421" s="170">
        <f t="array" ref="S421">ROUND(IF(IFERROR(VALUE(RIGHT($AD421,1)),0)&gt;2,IF($C421=8,O421*IFERROR(INDEX('TaxCred&amp;Subs'!$K$139:$S$151,MATCH($C421&amp;$D421&amp;LEFT($AD421,7),'TaxCred&amp;Subs'!$E$139:$E$151,0),MATCH($H421,'TaxCred&amp;Subs'!$K$137:$S$137,0)),0),IF($C421=2,O421*IFERROR(INDEX('TaxCred&amp;Subs'!$K$139:$S$151,MATCH($C421&amp;$D421,'TaxCred&amp;Subs'!$D$139:$D$151,0),MATCH($H421,'TaxCred&amp;Subs'!$K$137:$S$137,0)),0),O421*IFERROR(INDEX('TaxCred&amp;Subs'!$K$139:$S$151,MATCH($C421&amp;$D421,'TaxCred&amp;Subs'!$C$139:$C$151,0),MATCH($H421,'TaxCred&amp;Subs'!$K$137:$S$137,0)),0))),0),0)</f>
        <v>0</v>
      </c>
      <c r="T421" s="95">
        <f t="shared" si="24"/>
        <v>0</v>
      </c>
      <c r="U421" s="95">
        <f t="shared" si="25"/>
        <v>0</v>
      </c>
      <c r="V421" s="28" t="s">
        <v>222</v>
      </c>
      <c r="W421" s="31">
        <v>2020</v>
      </c>
      <c r="X421" s="28">
        <v>1</v>
      </c>
      <c r="Y421" s="28">
        <v>0</v>
      </c>
      <c r="Z421" s="196">
        <v>-2.0762472774284713E-4</v>
      </c>
      <c r="AA421" s="196">
        <v>-3.1942265806591866E-3</v>
      </c>
      <c r="AB421" s="28">
        <v>0</v>
      </c>
      <c r="AC421" s="28">
        <v>0</v>
      </c>
      <c r="AD421" s="28" t="s">
        <v>197</v>
      </c>
    </row>
    <row r="422" spans="2:30" ht="14.25" customHeight="1" x14ac:dyDescent="0.2">
      <c r="B422" s="7">
        <f t="shared" si="26"/>
        <v>398</v>
      </c>
      <c r="C422" s="28">
        <v>2</v>
      </c>
      <c r="D422" s="28">
        <v>3</v>
      </c>
      <c r="E422" s="31">
        <v>10</v>
      </c>
      <c r="F422" s="78">
        <v>2022</v>
      </c>
      <c r="G422" s="28">
        <v>2022</v>
      </c>
      <c r="H422" s="28">
        <v>3</v>
      </c>
      <c r="I422" s="96">
        <v>45</v>
      </c>
      <c r="J422" s="28">
        <v>4</v>
      </c>
      <c r="K422" s="28">
        <v>0</v>
      </c>
      <c r="L422" s="28">
        <v>0</v>
      </c>
      <c r="M422" s="75">
        <v>4.3962485345838216</v>
      </c>
      <c r="N422" s="151">
        <v>3405</v>
      </c>
      <c r="O422" s="79">
        <v>0</v>
      </c>
      <c r="P422" s="95">
        <f t="array" ref="P422">ROUND(IF($F422&lt;='TaxCred&amp;Subs'!$C$49,(IF($C422=2,IF($M422&gt;=IFERROR(INDEX('TaxCred&amp;Subs'!$L$12:$L$47,MATCH(1,($C422&amp;$D422='TaxCred&amp;Subs'!$E$12:$E$47)*($F422='TaxCred&amp;Subs'!$C$12:$C$47),0)
),9999),IFERROR(INDEX('TaxCred&amp;Subs'!$N$12:$N$47,MATCH(1,($C422&amp;$D422='TaxCred&amp;Subs'!$E$12:$E$47)*($F422='TaxCred&amp;Subs'!$C$12:$C$47),0)
),0),0),(IF($M422&gt;=IFERROR(INDEX('TaxCred&amp;Subs'!$H$12:$H$47,MATCH(1,($C422&amp;$D422='TaxCred&amp;Subs'!$D$12:$D$47)*($F422='TaxCred&amp;Subs'!$C$12:$C$47),0)
),9999),IFERROR(INDEX('TaxCred&amp;Subs'!$N$12:$N$47,MATCH(1,($C422&amp;$D422='TaxCred&amp;Subs'!$D$12:$D$47)*($F422='TaxCred&amp;Subs'!$C$12:$C$47),0)
),0),0)))),0)+IF(AND($C422=2,VALUE(RIGHT($AD422,1))&gt;2),(N422-R422)*(IFERROR(INDEX('TaxCred&amp;Subs'!$J$66:$J$99,MATCH(1,($C422&amp;$D422='TaxCred&amp;Subs'!$E$66:$E$99)*($F422='TaxCred&amp;Subs'!$C$66:$C$99),0)),0)),IF(AND($C422=1,VALUE(RIGHT($AD422,1))&gt;2),(N422-R422)*(IFERROR(INDEX('TaxCred&amp;Subs'!$J$66:$J$99,MATCH(1,($C422&amp;$D422='TaxCred&amp;Subs'!$D$66:$D$99)*($F422='TaxCred&amp;Subs'!$C$66:$C$99),0)),0)),IF($C422&gt;2,(N422-R422)*(IFERROR(INDEX('TaxCred&amp;Subs'!$J$66:$J$99,MATCH(1,($C422&amp;$D422='TaxCred&amp;Subs'!$D$66:$D$99)*($F422='TaxCred&amp;Subs'!$C$66:$C$99),0)),0)),0))),0)</f>
        <v>1000</v>
      </c>
      <c r="Q422" s="95">
        <f t="array" ref="Q422">ROUND(IF(AND($C422=2,VALUE(RIGHT($AD422,1))&gt;2),(O422-S422)*(IFERROR(INDEX('TaxCred&amp;Subs'!$J$66:$J$99,MATCH(1,($C422&amp;$D422='TaxCred&amp;Subs'!$E$66:$E$99)*($F422='TaxCred&amp;Subs'!$C$66:$C$99),0)),0)),IF(AND($C422=1,VALUE(RIGHT($AD422,1))&gt;2),(O422-S422)*(IFERROR(INDEX('TaxCred&amp;Subs'!$J$66:$J$99,MATCH(1,($C422&amp;$D422='TaxCred&amp;Subs'!$D$66:$D$99)*($F422='TaxCred&amp;Subs'!$C$66:$C$99),0)),0)),IF($C422&gt;2,(O422-S422)*(IFERROR(INDEX('TaxCred&amp;Subs'!$J$66:$J$99,MATCH(1,($C422&amp;$D422='TaxCred&amp;Subs'!$D$66:$D$99)*($F422='TaxCred&amp;Subs'!$C$66:$C$99),0)),0)),0))),0)</f>
        <v>0</v>
      </c>
      <c r="R422" s="170">
        <f t="array" ref="R422">ROUND(IF(IFERROR(VALUE(RIGHT($AD422,1)),0)&gt;2,IF($C422=8,N422*IFERROR(INDEX('TaxCred&amp;Subs'!$K$139:$S$151,MATCH($C422&amp;$D422&amp;LEFT($AD422,7),'TaxCred&amp;Subs'!$E$139:$E$151,0),MATCH($H422,'TaxCred&amp;Subs'!$K$137:$S$137,0)),0),IF($C422=2,N422*IFERROR(INDEX('TaxCred&amp;Subs'!$K$139:$S$151,MATCH($C422&amp;$D422,'TaxCred&amp;Subs'!$D$139:$D$151,0),MATCH($H422,'TaxCred&amp;Subs'!$K$137:$S$137,0)),0),N422*IFERROR(INDEX('TaxCred&amp;Subs'!$K$139:$S$151,MATCH($C422&amp;$D422,'TaxCred&amp;Subs'!$C$139:$C$151,0),MATCH($H422,'TaxCred&amp;Subs'!$K$137:$S$137,0)),0))),0),0)</f>
        <v>269</v>
      </c>
      <c r="S422" s="170">
        <f t="array" ref="S422">ROUND(IF(IFERROR(VALUE(RIGHT($AD422,1)),0)&gt;2,IF($C422=8,O422*IFERROR(INDEX('TaxCred&amp;Subs'!$K$139:$S$151,MATCH($C422&amp;$D422&amp;LEFT($AD422,7),'TaxCred&amp;Subs'!$E$139:$E$151,0),MATCH($H422,'TaxCred&amp;Subs'!$K$137:$S$137,0)),0),IF($C422=2,O422*IFERROR(INDEX('TaxCred&amp;Subs'!$K$139:$S$151,MATCH($C422&amp;$D422,'TaxCred&amp;Subs'!$D$139:$D$151,0),MATCH($H422,'TaxCred&amp;Subs'!$K$137:$S$137,0)),0),O422*IFERROR(INDEX('TaxCred&amp;Subs'!$K$139:$S$151,MATCH($C422&amp;$D422,'TaxCred&amp;Subs'!$C$139:$C$151,0),MATCH($H422,'TaxCred&amp;Subs'!$K$137:$S$137,0)),0))),0),0)</f>
        <v>0</v>
      </c>
      <c r="T422" s="95">
        <f t="shared" si="24"/>
        <v>0</v>
      </c>
      <c r="U422" s="95">
        <f t="shared" si="25"/>
        <v>0</v>
      </c>
      <c r="V422" s="28" t="s">
        <v>222</v>
      </c>
      <c r="W422" s="31">
        <v>2020</v>
      </c>
      <c r="X422" s="28">
        <v>1</v>
      </c>
      <c r="Y422" s="28">
        <v>0</v>
      </c>
      <c r="Z422" s="196">
        <v>-2.0762472774284713E-4</v>
      </c>
      <c r="AA422" s="196">
        <v>-3.1942265806591866E-3</v>
      </c>
      <c r="AB422" s="28">
        <v>0</v>
      </c>
      <c r="AC422" s="28">
        <v>0</v>
      </c>
      <c r="AD422" s="28" t="s">
        <v>197</v>
      </c>
    </row>
    <row r="423" spans="2:30" ht="14.25" customHeight="1" x14ac:dyDescent="0.2">
      <c r="B423" s="7">
        <f t="shared" si="26"/>
        <v>399</v>
      </c>
      <c r="C423" s="28">
        <v>2</v>
      </c>
      <c r="D423" s="28">
        <v>3</v>
      </c>
      <c r="E423" s="31">
        <v>10</v>
      </c>
      <c r="F423" s="78">
        <v>2022</v>
      </c>
      <c r="G423" s="28">
        <v>2022</v>
      </c>
      <c r="H423" s="28">
        <v>4</v>
      </c>
      <c r="I423" s="96">
        <v>45</v>
      </c>
      <c r="J423" s="28">
        <v>4</v>
      </c>
      <c r="K423" s="28">
        <v>0</v>
      </c>
      <c r="L423" s="28">
        <v>0</v>
      </c>
      <c r="M423" s="75">
        <v>4.3962485345838216</v>
      </c>
      <c r="N423" s="151">
        <v>3405</v>
      </c>
      <c r="O423" s="79">
        <v>0</v>
      </c>
      <c r="P423" s="95">
        <f t="array" ref="P423">ROUND(IF($F423&lt;='TaxCred&amp;Subs'!$C$49,(IF($C423=2,IF($M423&gt;=IFERROR(INDEX('TaxCred&amp;Subs'!$L$12:$L$47,MATCH(1,($C423&amp;$D423='TaxCred&amp;Subs'!$E$12:$E$47)*($F423='TaxCred&amp;Subs'!$C$12:$C$47),0)
),9999),IFERROR(INDEX('TaxCred&amp;Subs'!$N$12:$N$47,MATCH(1,($C423&amp;$D423='TaxCred&amp;Subs'!$E$12:$E$47)*($F423='TaxCred&amp;Subs'!$C$12:$C$47),0)
),0),0),(IF($M423&gt;=IFERROR(INDEX('TaxCred&amp;Subs'!$H$12:$H$47,MATCH(1,($C423&amp;$D423='TaxCred&amp;Subs'!$D$12:$D$47)*($F423='TaxCred&amp;Subs'!$C$12:$C$47),0)
),9999),IFERROR(INDEX('TaxCred&amp;Subs'!$N$12:$N$47,MATCH(1,($C423&amp;$D423='TaxCred&amp;Subs'!$D$12:$D$47)*($F423='TaxCred&amp;Subs'!$C$12:$C$47),0)
),0),0)))),0)+IF(AND($C423=2,VALUE(RIGHT($AD423,1))&gt;2),(N423-R423)*(IFERROR(INDEX('TaxCred&amp;Subs'!$J$66:$J$99,MATCH(1,($C423&amp;$D423='TaxCred&amp;Subs'!$E$66:$E$99)*($F423='TaxCred&amp;Subs'!$C$66:$C$99),0)),0)),IF(AND($C423=1,VALUE(RIGHT($AD423,1))&gt;2),(N423-R423)*(IFERROR(INDEX('TaxCred&amp;Subs'!$J$66:$J$99,MATCH(1,($C423&amp;$D423='TaxCred&amp;Subs'!$D$66:$D$99)*($F423='TaxCred&amp;Subs'!$C$66:$C$99),0)),0)),IF($C423&gt;2,(N423-R423)*(IFERROR(INDEX('TaxCred&amp;Subs'!$J$66:$J$99,MATCH(1,($C423&amp;$D423='TaxCred&amp;Subs'!$D$66:$D$99)*($F423='TaxCred&amp;Subs'!$C$66:$C$99),0)),0)),0))),0)</f>
        <v>1000</v>
      </c>
      <c r="Q423" s="95">
        <f t="array" ref="Q423">ROUND(IF(AND($C423=2,VALUE(RIGHT($AD423,1))&gt;2),(O423-S423)*(IFERROR(INDEX('TaxCred&amp;Subs'!$J$66:$J$99,MATCH(1,($C423&amp;$D423='TaxCred&amp;Subs'!$E$66:$E$99)*($F423='TaxCred&amp;Subs'!$C$66:$C$99),0)),0)),IF(AND($C423=1,VALUE(RIGHT($AD423,1))&gt;2),(O423-S423)*(IFERROR(INDEX('TaxCred&amp;Subs'!$J$66:$J$99,MATCH(1,($C423&amp;$D423='TaxCred&amp;Subs'!$D$66:$D$99)*($F423='TaxCred&amp;Subs'!$C$66:$C$99),0)),0)),IF($C423&gt;2,(O423-S423)*(IFERROR(INDEX('TaxCred&amp;Subs'!$J$66:$J$99,MATCH(1,($C423&amp;$D423='TaxCred&amp;Subs'!$D$66:$D$99)*($F423='TaxCred&amp;Subs'!$C$66:$C$99),0)),0)),0))),0)</f>
        <v>0</v>
      </c>
      <c r="R423" s="170">
        <f t="array" ref="R423">ROUND(IF(IFERROR(VALUE(RIGHT($AD423,1)),0)&gt;2,IF($C423=8,N423*IFERROR(INDEX('TaxCred&amp;Subs'!$K$139:$S$151,MATCH($C423&amp;$D423&amp;LEFT($AD423,7),'TaxCred&amp;Subs'!$E$139:$E$151,0),MATCH($H423,'TaxCred&amp;Subs'!$K$137:$S$137,0)),0),IF($C423=2,N423*IFERROR(INDEX('TaxCred&amp;Subs'!$K$139:$S$151,MATCH($C423&amp;$D423,'TaxCred&amp;Subs'!$D$139:$D$151,0),MATCH($H423,'TaxCred&amp;Subs'!$K$137:$S$137,0)),0),N423*IFERROR(INDEX('TaxCred&amp;Subs'!$K$139:$S$151,MATCH($C423&amp;$D423,'TaxCred&amp;Subs'!$C$139:$C$151,0),MATCH($H423,'TaxCred&amp;Subs'!$K$137:$S$137,0)),0))),0),0)</f>
        <v>164</v>
      </c>
      <c r="S423" s="170">
        <f t="array" ref="S423">ROUND(IF(IFERROR(VALUE(RIGHT($AD423,1)),0)&gt;2,IF($C423=8,O423*IFERROR(INDEX('TaxCred&amp;Subs'!$K$139:$S$151,MATCH($C423&amp;$D423&amp;LEFT($AD423,7),'TaxCred&amp;Subs'!$E$139:$E$151,0),MATCH($H423,'TaxCred&amp;Subs'!$K$137:$S$137,0)),0),IF($C423=2,O423*IFERROR(INDEX('TaxCred&amp;Subs'!$K$139:$S$151,MATCH($C423&amp;$D423,'TaxCred&amp;Subs'!$D$139:$D$151,0),MATCH($H423,'TaxCred&amp;Subs'!$K$137:$S$137,0)),0),O423*IFERROR(INDEX('TaxCred&amp;Subs'!$K$139:$S$151,MATCH($C423&amp;$D423,'TaxCred&amp;Subs'!$C$139:$C$151,0),MATCH($H423,'TaxCred&amp;Subs'!$K$137:$S$137,0)),0))),0),0)</f>
        <v>0</v>
      </c>
      <c r="T423" s="95">
        <f t="shared" si="24"/>
        <v>0</v>
      </c>
      <c r="U423" s="95">
        <f t="shared" si="25"/>
        <v>0</v>
      </c>
      <c r="V423" s="28" t="s">
        <v>222</v>
      </c>
      <c r="W423" s="31">
        <v>2020</v>
      </c>
      <c r="X423" s="28">
        <v>1</v>
      </c>
      <c r="Y423" s="28">
        <v>0</v>
      </c>
      <c r="Z423" s="196">
        <v>-2.0762472774284713E-4</v>
      </c>
      <c r="AA423" s="196">
        <v>-3.1942265806591866E-3</v>
      </c>
      <c r="AB423" s="28">
        <v>0</v>
      </c>
      <c r="AC423" s="28">
        <v>0</v>
      </c>
      <c r="AD423" s="28" t="s">
        <v>197</v>
      </c>
    </row>
    <row r="424" spans="2:30" ht="14.25" customHeight="1" x14ac:dyDescent="0.2">
      <c r="B424" s="7">
        <f t="shared" si="26"/>
        <v>400</v>
      </c>
      <c r="C424" s="28">
        <v>2</v>
      </c>
      <c r="D424" s="28">
        <v>3</v>
      </c>
      <c r="E424" s="31">
        <v>10</v>
      </c>
      <c r="F424" s="78">
        <v>2022</v>
      </c>
      <c r="G424" s="28">
        <v>2022</v>
      </c>
      <c r="H424" s="28">
        <v>5</v>
      </c>
      <c r="I424" s="96">
        <v>45</v>
      </c>
      <c r="J424" s="28">
        <v>4</v>
      </c>
      <c r="K424" s="28">
        <v>0</v>
      </c>
      <c r="L424" s="28">
        <v>0</v>
      </c>
      <c r="M424" s="75">
        <v>4.3962485345838216</v>
      </c>
      <c r="N424" s="151">
        <v>3405</v>
      </c>
      <c r="O424" s="79">
        <v>0</v>
      </c>
      <c r="P424" s="95">
        <f t="array" ref="P424">ROUND(IF($F424&lt;='TaxCred&amp;Subs'!$C$49,(IF($C424=2,IF($M424&gt;=IFERROR(INDEX('TaxCred&amp;Subs'!$L$12:$L$47,MATCH(1,($C424&amp;$D424='TaxCred&amp;Subs'!$E$12:$E$47)*($F424='TaxCred&amp;Subs'!$C$12:$C$47),0)
),9999),IFERROR(INDEX('TaxCred&amp;Subs'!$N$12:$N$47,MATCH(1,($C424&amp;$D424='TaxCred&amp;Subs'!$E$12:$E$47)*($F424='TaxCred&amp;Subs'!$C$12:$C$47),0)
),0),0),(IF($M424&gt;=IFERROR(INDEX('TaxCred&amp;Subs'!$H$12:$H$47,MATCH(1,($C424&amp;$D424='TaxCred&amp;Subs'!$D$12:$D$47)*($F424='TaxCred&amp;Subs'!$C$12:$C$47),0)
),9999),IFERROR(INDEX('TaxCred&amp;Subs'!$N$12:$N$47,MATCH(1,($C424&amp;$D424='TaxCred&amp;Subs'!$D$12:$D$47)*($F424='TaxCred&amp;Subs'!$C$12:$C$47),0)
),0),0)))),0)+IF(AND($C424=2,VALUE(RIGHT($AD424,1))&gt;2),(N424-R424)*(IFERROR(INDEX('TaxCred&amp;Subs'!$J$66:$J$99,MATCH(1,($C424&amp;$D424='TaxCred&amp;Subs'!$E$66:$E$99)*($F424='TaxCred&amp;Subs'!$C$66:$C$99),0)),0)),IF(AND($C424=1,VALUE(RIGHT($AD424,1))&gt;2),(N424-R424)*(IFERROR(INDEX('TaxCred&amp;Subs'!$J$66:$J$99,MATCH(1,($C424&amp;$D424='TaxCred&amp;Subs'!$D$66:$D$99)*($F424='TaxCred&amp;Subs'!$C$66:$C$99),0)),0)),IF($C424&gt;2,(N424-R424)*(IFERROR(INDEX('TaxCred&amp;Subs'!$J$66:$J$99,MATCH(1,($C424&amp;$D424='TaxCred&amp;Subs'!$D$66:$D$99)*($F424='TaxCred&amp;Subs'!$C$66:$C$99),0)),0)),0))),0)</f>
        <v>1000</v>
      </c>
      <c r="Q424" s="95">
        <f t="array" ref="Q424">ROUND(IF(AND($C424=2,VALUE(RIGHT($AD424,1))&gt;2),(O424-S424)*(IFERROR(INDEX('TaxCred&amp;Subs'!$J$66:$J$99,MATCH(1,($C424&amp;$D424='TaxCred&amp;Subs'!$E$66:$E$99)*($F424='TaxCred&amp;Subs'!$C$66:$C$99),0)),0)),IF(AND($C424=1,VALUE(RIGHT($AD424,1))&gt;2),(O424-S424)*(IFERROR(INDEX('TaxCred&amp;Subs'!$J$66:$J$99,MATCH(1,($C424&amp;$D424='TaxCred&amp;Subs'!$D$66:$D$99)*($F424='TaxCred&amp;Subs'!$C$66:$C$99),0)),0)),IF($C424&gt;2,(O424-S424)*(IFERROR(INDEX('TaxCred&amp;Subs'!$J$66:$J$99,MATCH(1,($C424&amp;$D424='TaxCred&amp;Subs'!$D$66:$D$99)*($F424='TaxCred&amp;Subs'!$C$66:$C$99),0)),0)),0))),0)</f>
        <v>0</v>
      </c>
      <c r="R424" s="170">
        <f t="array" ref="R424">ROUND(IF(IFERROR(VALUE(RIGHT($AD424,1)),0)&gt;2,IF($C424=8,N424*IFERROR(INDEX('TaxCred&amp;Subs'!$K$139:$S$151,MATCH($C424&amp;$D424&amp;LEFT($AD424,7),'TaxCred&amp;Subs'!$E$139:$E$151,0),MATCH($H424,'TaxCred&amp;Subs'!$K$137:$S$137,0)),0),IF($C424=2,N424*IFERROR(INDEX('TaxCred&amp;Subs'!$K$139:$S$151,MATCH($C424&amp;$D424,'TaxCred&amp;Subs'!$D$139:$D$151,0),MATCH($H424,'TaxCred&amp;Subs'!$K$137:$S$137,0)),0),N424*IFERROR(INDEX('TaxCred&amp;Subs'!$K$139:$S$151,MATCH($C424&amp;$D424,'TaxCred&amp;Subs'!$C$139:$C$151,0),MATCH($H424,'TaxCred&amp;Subs'!$K$137:$S$137,0)),0))),0),0)</f>
        <v>74</v>
      </c>
      <c r="S424" s="170">
        <f t="array" ref="S424">ROUND(IF(IFERROR(VALUE(RIGHT($AD424,1)),0)&gt;2,IF($C424=8,O424*IFERROR(INDEX('TaxCred&amp;Subs'!$K$139:$S$151,MATCH($C424&amp;$D424&amp;LEFT($AD424,7),'TaxCred&amp;Subs'!$E$139:$E$151,0),MATCH($H424,'TaxCred&amp;Subs'!$K$137:$S$137,0)),0),IF($C424=2,O424*IFERROR(INDEX('TaxCred&amp;Subs'!$K$139:$S$151,MATCH($C424&amp;$D424,'TaxCred&amp;Subs'!$D$139:$D$151,0),MATCH($H424,'TaxCred&amp;Subs'!$K$137:$S$137,0)),0),O424*IFERROR(INDEX('TaxCred&amp;Subs'!$K$139:$S$151,MATCH($C424&amp;$D424,'TaxCred&amp;Subs'!$C$139:$C$151,0),MATCH($H424,'TaxCred&amp;Subs'!$K$137:$S$137,0)),0))),0),0)</f>
        <v>0</v>
      </c>
      <c r="T424" s="95">
        <f t="shared" si="24"/>
        <v>0</v>
      </c>
      <c r="U424" s="95">
        <f t="shared" si="25"/>
        <v>0</v>
      </c>
      <c r="V424" s="28" t="s">
        <v>222</v>
      </c>
      <c r="W424" s="31">
        <v>2020</v>
      </c>
      <c r="X424" s="28">
        <v>1</v>
      </c>
      <c r="Y424" s="28">
        <v>0</v>
      </c>
      <c r="Z424" s="196">
        <v>-2.0762472774284713E-4</v>
      </c>
      <c r="AA424" s="196">
        <v>-3.1942265806591866E-3</v>
      </c>
      <c r="AB424" s="28">
        <v>0</v>
      </c>
      <c r="AC424" s="28">
        <v>0</v>
      </c>
      <c r="AD424" s="28" t="s">
        <v>197</v>
      </c>
    </row>
    <row r="425" spans="2:30" ht="14.25" customHeight="1" x14ac:dyDescent="0.2">
      <c r="B425" s="7">
        <f t="shared" si="26"/>
        <v>401</v>
      </c>
      <c r="C425" s="28">
        <v>2</v>
      </c>
      <c r="D425" s="28">
        <v>3</v>
      </c>
      <c r="E425" s="31">
        <v>10</v>
      </c>
      <c r="F425" s="78">
        <v>2022</v>
      </c>
      <c r="G425" s="28">
        <v>2022</v>
      </c>
      <c r="H425" s="28">
        <v>6</v>
      </c>
      <c r="I425" s="96">
        <v>45</v>
      </c>
      <c r="J425" s="28">
        <v>4</v>
      </c>
      <c r="K425" s="28">
        <v>0</v>
      </c>
      <c r="L425" s="28">
        <v>0</v>
      </c>
      <c r="M425" s="75">
        <v>4.3962485345838216</v>
      </c>
      <c r="N425" s="151">
        <v>3405</v>
      </c>
      <c r="O425" s="79">
        <v>0</v>
      </c>
      <c r="P425" s="95">
        <f t="array" ref="P425">ROUND(IF($F425&lt;='TaxCred&amp;Subs'!$C$49,(IF($C425=2,IF($M425&gt;=IFERROR(INDEX('TaxCred&amp;Subs'!$L$12:$L$47,MATCH(1,($C425&amp;$D425='TaxCred&amp;Subs'!$E$12:$E$47)*($F425='TaxCred&amp;Subs'!$C$12:$C$47),0)
),9999),IFERROR(INDEX('TaxCred&amp;Subs'!$N$12:$N$47,MATCH(1,($C425&amp;$D425='TaxCred&amp;Subs'!$E$12:$E$47)*($F425='TaxCred&amp;Subs'!$C$12:$C$47),0)
),0),0),(IF($M425&gt;=IFERROR(INDEX('TaxCred&amp;Subs'!$H$12:$H$47,MATCH(1,($C425&amp;$D425='TaxCred&amp;Subs'!$D$12:$D$47)*($F425='TaxCred&amp;Subs'!$C$12:$C$47),0)
),9999),IFERROR(INDEX('TaxCred&amp;Subs'!$N$12:$N$47,MATCH(1,($C425&amp;$D425='TaxCred&amp;Subs'!$D$12:$D$47)*($F425='TaxCred&amp;Subs'!$C$12:$C$47),0)
),0),0)))),0)+IF(AND($C425=2,VALUE(RIGHT($AD425,1))&gt;2),(N425-R425)*(IFERROR(INDEX('TaxCred&amp;Subs'!$J$66:$J$99,MATCH(1,($C425&amp;$D425='TaxCred&amp;Subs'!$E$66:$E$99)*($F425='TaxCred&amp;Subs'!$C$66:$C$99),0)),0)),IF(AND($C425=1,VALUE(RIGHT($AD425,1))&gt;2),(N425-R425)*(IFERROR(INDEX('TaxCred&amp;Subs'!$J$66:$J$99,MATCH(1,($C425&amp;$D425='TaxCred&amp;Subs'!$D$66:$D$99)*($F425='TaxCred&amp;Subs'!$C$66:$C$99),0)),0)),IF($C425&gt;2,(N425-R425)*(IFERROR(INDEX('TaxCred&amp;Subs'!$J$66:$J$99,MATCH(1,($C425&amp;$D425='TaxCred&amp;Subs'!$D$66:$D$99)*($F425='TaxCred&amp;Subs'!$C$66:$C$99),0)),0)),0))),0)</f>
        <v>1000</v>
      </c>
      <c r="Q425" s="95">
        <f t="array" ref="Q425">ROUND(IF(AND($C425=2,VALUE(RIGHT($AD425,1))&gt;2),(O425-S425)*(IFERROR(INDEX('TaxCred&amp;Subs'!$J$66:$J$99,MATCH(1,($C425&amp;$D425='TaxCred&amp;Subs'!$E$66:$E$99)*($F425='TaxCred&amp;Subs'!$C$66:$C$99),0)),0)),IF(AND($C425=1,VALUE(RIGHT($AD425,1))&gt;2),(O425-S425)*(IFERROR(INDEX('TaxCred&amp;Subs'!$J$66:$J$99,MATCH(1,($C425&amp;$D425='TaxCred&amp;Subs'!$D$66:$D$99)*($F425='TaxCred&amp;Subs'!$C$66:$C$99),0)),0)),IF($C425&gt;2,(O425-S425)*(IFERROR(INDEX('TaxCred&amp;Subs'!$J$66:$J$99,MATCH(1,($C425&amp;$D425='TaxCred&amp;Subs'!$D$66:$D$99)*($F425='TaxCred&amp;Subs'!$C$66:$C$99),0)),0)),0))),0)</f>
        <v>0</v>
      </c>
      <c r="R425" s="170">
        <f t="array" ref="R425">ROUND(IF(IFERROR(VALUE(RIGHT($AD425,1)),0)&gt;2,IF($C425=8,N425*IFERROR(INDEX('TaxCred&amp;Subs'!$K$139:$S$151,MATCH($C425&amp;$D425&amp;LEFT($AD425,7),'TaxCred&amp;Subs'!$E$139:$E$151,0),MATCH($H425,'TaxCred&amp;Subs'!$K$137:$S$137,0)),0),IF($C425=2,N425*IFERROR(INDEX('TaxCred&amp;Subs'!$K$139:$S$151,MATCH($C425&amp;$D425,'TaxCred&amp;Subs'!$D$139:$D$151,0),MATCH($H425,'TaxCred&amp;Subs'!$K$137:$S$137,0)),0),N425*IFERROR(INDEX('TaxCred&amp;Subs'!$K$139:$S$151,MATCH($C425&amp;$D425,'TaxCred&amp;Subs'!$C$139:$C$151,0),MATCH($H425,'TaxCred&amp;Subs'!$K$137:$S$137,0)),0))),0),0)</f>
        <v>0</v>
      </c>
      <c r="S425" s="170">
        <f t="array" ref="S425">ROUND(IF(IFERROR(VALUE(RIGHT($AD425,1)),0)&gt;2,IF($C425=8,O425*IFERROR(INDEX('TaxCred&amp;Subs'!$K$139:$S$151,MATCH($C425&amp;$D425&amp;LEFT($AD425,7),'TaxCred&amp;Subs'!$E$139:$E$151,0),MATCH($H425,'TaxCred&amp;Subs'!$K$137:$S$137,0)),0),IF($C425=2,O425*IFERROR(INDEX('TaxCred&amp;Subs'!$K$139:$S$151,MATCH($C425&amp;$D425,'TaxCred&amp;Subs'!$D$139:$D$151,0),MATCH($H425,'TaxCred&amp;Subs'!$K$137:$S$137,0)),0),O425*IFERROR(INDEX('TaxCred&amp;Subs'!$K$139:$S$151,MATCH($C425&amp;$D425,'TaxCred&amp;Subs'!$C$139:$C$151,0),MATCH($H425,'TaxCred&amp;Subs'!$K$137:$S$137,0)),0))),0),0)</f>
        <v>0</v>
      </c>
      <c r="T425" s="95">
        <f t="shared" si="24"/>
        <v>0</v>
      </c>
      <c r="U425" s="95">
        <f t="shared" si="25"/>
        <v>0</v>
      </c>
      <c r="V425" s="28" t="s">
        <v>222</v>
      </c>
      <c r="W425" s="31">
        <v>2020</v>
      </c>
      <c r="X425" s="28">
        <v>1</v>
      </c>
      <c r="Y425" s="28">
        <v>0</v>
      </c>
      <c r="Z425" s="196">
        <v>-2.0762472774284713E-4</v>
      </c>
      <c r="AA425" s="196">
        <v>-3.1942265806591866E-3</v>
      </c>
      <c r="AB425" s="28">
        <v>0</v>
      </c>
      <c r="AC425" s="28">
        <v>0</v>
      </c>
      <c r="AD425" s="28" t="s">
        <v>197</v>
      </c>
    </row>
    <row r="426" spans="2:30" ht="14.25" customHeight="1" x14ac:dyDescent="0.2">
      <c r="B426" s="7">
        <f t="shared" si="26"/>
        <v>402</v>
      </c>
      <c r="C426" s="28">
        <v>2</v>
      </c>
      <c r="D426" s="28">
        <v>3</v>
      </c>
      <c r="E426" s="31">
        <v>10</v>
      </c>
      <c r="F426" s="78">
        <v>2022</v>
      </c>
      <c r="G426" s="28">
        <v>2022</v>
      </c>
      <c r="H426" s="28">
        <v>7</v>
      </c>
      <c r="I426" s="96">
        <v>45</v>
      </c>
      <c r="J426" s="28">
        <v>4</v>
      </c>
      <c r="K426" s="28">
        <v>0</v>
      </c>
      <c r="L426" s="28">
        <v>0</v>
      </c>
      <c r="M426" s="75">
        <v>4.3962485345838216</v>
      </c>
      <c r="N426" s="151">
        <v>3405</v>
      </c>
      <c r="O426" s="79">
        <v>0</v>
      </c>
      <c r="P426" s="95">
        <f t="array" ref="P426">ROUND(IF($F426&lt;='TaxCred&amp;Subs'!$C$49,(IF($C426=2,IF($M426&gt;=IFERROR(INDEX('TaxCred&amp;Subs'!$L$12:$L$47,MATCH(1,($C426&amp;$D426='TaxCred&amp;Subs'!$E$12:$E$47)*($F426='TaxCred&amp;Subs'!$C$12:$C$47),0)
),9999),IFERROR(INDEX('TaxCred&amp;Subs'!$N$12:$N$47,MATCH(1,($C426&amp;$D426='TaxCred&amp;Subs'!$E$12:$E$47)*($F426='TaxCred&amp;Subs'!$C$12:$C$47),0)
),0),0),(IF($M426&gt;=IFERROR(INDEX('TaxCred&amp;Subs'!$H$12:$H$47,MATCH(1,($C426&amp;$D426='TaxCred&amp;Subs'!$D$12:$D$47)*($F426='TaxCred&amp;Subs'!$C$12:$C$47),0)
),9999),IFERROR(INDEX('TaxCred&amp;Subs'!$N$12:$N$47,MATCH(1,($C426&amp;$D426='TaxCred&amp;Subs'!$D$12:$D$47)*($F426='TaxCred&amp;Subs'!$C$12:$C$47),0)
),0),0)))),0)+IF(AND($C426=2,VALUE(RIGHT($AD426,1))&gt;2),(N426-R426)*(IFERROR(INDEX('TaxCred&amp;Subs'!$J$66:$J$99,MATCH(1,($C426&amp;$D426='TaxCred&amp;Subs'!$E$66:$E$99)*($F426='TaxCred&amp;Subs'!$C$66:$C$99),0)),0)),IF(AND($C426=1,VALUE(RIGHT($AD426,1))&gt;2),(N426-R426)*(IFERROR(INDEX('TaxCred&amp;Subs'!$J$66:$J$99,MATCH(1,($C426&amp;$D426='TaxCred&amp;Subs'!$D$66:$D$99)*($F426='TaxCred&amp;Subs'!$C$66:$C$99),0)),0)),IF($C426&gt;2,(N426-R426)*(IFERROR(INDEX('TaxCred&amp;Subs'!$J$66:$J$99,MATCH(1,($C426&amp;$D426='TaxCred&amp;Subs'!$D$66:$D$99)*($F426='TaxCred&amp;Subs'!$C$66:$C$99),0)),0)),0))),0)</f>
        <v>1000</v>
      </c>
      <c r="Q426" s="95">
        <f t="array" ref="Q426">ROUND(IF(AND($C426=2,VALUE(RIGHT($AD426,1))&gt;2),(O426-S426)*(IFERROR(INDEX('TaxCred&amp;Subs'!$J$66:$J$99,MATCH(1,($C426&amp;$D426='TaxCred&amp;Subs'!$E$66:$E$99)*($F426='TaxCred&amp;Subs'!$C$66:$C$99),0)),0)),IF(AND($C426=1,VALUE(RIGHT($AD426,1))&gt;2),(O426-S426)*(IFERROR(INDEX('TaxCred&amp;Subs'!$J$66:$J$99,MATCH(1,($C426&amp;$D426='TaxCred&amp;Subs'!$D$66:$D$99)*($F426='TaxCred&amp;Subs'!$C$66:$C$99),0)),0)),IF($C426&gt;2,(O426-S426)*(IFERROR(INDEX('TaxCred&amp;Subs'!$J$66:$J$99,MATCH(1,($C426&amp;$D426='TaxCred&amp;Subs'!$D$66:$D$99)*($F426='TaxCred&amp;Subs'!$C$66:$C$99),0)),0)),0))),0)</f>
        <v>0</v>
      </c>
      <c r="R426" s="170">
        <f t="array" ref="R426">ROUND(IF(IFERROR(VALUE(RIGHT($AD426,1)),0)&gt;2,IF($C426=8,N426*IFERROR(INDEX('TaxCred&amp;Subs'!$K$139:$S$151,MATCH($C426&amp;$D426&amp;LEFT($AD426,7),'TaxCred&amp;Subs'!$E$139:$E$151,0),MATCH($H426,'TaxCred&amp;Subs'!$K$137:$S$137,0)),0),IF($C426=2,N426*IFERROR(INDEX('TaxCred&amp;Subs'!$K$139:$S$151,MATCH($C426&amp;$D426,'TaxCred&amp;Subs'!$D$139:$D$151,0),MATCH($H426,'TaxCred&amp;Subs'!$K$137:$S$137,0)),0),N426*IFERROR(INDEX('TaxCred&amp;Subs'!$K$139:$S$151,MATCH($C426&amp;$D426,'TaxCred&amp;Subs'!$C$139:$C$151,0),MATCH($H426,'TaxCred&amp;Subs'!$K$137:$S$137,0)),0))),0),0)</f>
        <v>659</v>
      </c>
      <c r="S426" s="170">
        <f t="array" ref="S426">ROUND(IF(IFERROR(VALUE(RIGHT($AD426,1)),0)&gt;2,IF($C426=8,O426*IFERROR(INDEX('TaxCred&amp;Subs'!$K$139:$S$151,MATCH($C426&amp;$D426&amp;LEFT($AD426,7),'TaxCred&amp;Subs'!$E$139:$E$151,0),MATCH($H426,'TaxCred&amp;Subs'!$K$137:$S$137,0)),0),IF($C426=2,O426*IFERROR(INDEX('TaxCred&amp;Subs'!$K$139:$S$151,MATCH($C426&amp;$D426,'TaxCred&amp;Subs'!$D$139:$D$151,0),MATCH($H426,'TaxCred&amp;Subs'!$K$137:$S$137,0)),0),O426*IFERROR(INDEX('TaxCred&amp;Subs'!$K$139:$S$151,MATCH($C426&amp;$D426,'TaxCred&amp;Subs'!$C$139:$C$151,0),MATCH($H426,'TaxCred&amp;Subs'!$K$137:$S$137,0)),0))),0),0)</f>
        <v>0</v>
      </c>
      <c r="T426" s="95">
        <f t="shared" si="24"/>
        <v>0</v>
      </c>
      <c r="U426" s="95">
        <f t="shared" si="25"/>
        <v>0</v>
      </c>
      <c r="V426" s="28" t="s">
        <v>222</v>
      </c>
      <c r="W426" s="31">
        <v>2020</v>
      </c>
      <c r="X426" s="28">
        <v>1</v>
      </c>
      <c r="Y426" s="28">
        <v>0</v>
      </c>
      <c r="Z426" s="196">
        <v>-2.0762472774284713E-4</v>
      </c>
      <c r="AA426" s="196">
        <v>-3.1942265806591866E-3</v>
      </c>
      <c r="AB426" s="28">
        <v>0</v>
      </c>
      <c r="AC426" s="28">
        <v>0</v>
      </c>
      <c r="AD426" s="28" t="s">
        <v>197</v>
      </c>
    </row>
    <row r="427" spans="2:30" ht="14.25" customHeight="1" x14ac:dyDescent="0.2">
      <c r="B427" s="7">
        <f t="shared" si="26"/>
        <v>403</v>
      </c>
      <c r="C427" s="28">
        <v>2</v>
      </c>
      <c r="D427" s="28">
        <v>3</v>
      </c>
      <c r="E427" s="31">
        <v>10</v>
      </c>
      <c r="F427" s="78">
        <v>2022</v>
      </c>
      <c r="G427" s="28">
        <v>2022</v>
      </c>
      <c r="H427" s="28">
        <v>8</v>
      </c>
      <c r="I427" s="96">
        <v>45</v>
      </c>
      <c r="J427" s="28">
        <v>4</v>
      </c>
      <c r="K427" s="28">
        <v>0</v>
      </c>
      <c r="L427" s="28">
        <v>0</v>
      </c>
      <c r="M427" s="75">
        <v>4.3962485345838216</v>
      </c>
      <c r="N427" s="151">
        <v>3405</v>
      </c>
      <c r="O427" s="79">
        <v>0</v>
      </c>
      <c r="P427" s="95">
        <f t="array" ref="P427">ROUND(IF($F427&lt;='TaxCred&amp;Subs'!$C$49,(IF($C427=2,IF($M427&gt;=IFERROR(INDEX('TaxCred&amp;Subs'!$L$12:$L$47,MATCH(1,($C427&amp;$D427='TaxCred&amp;Subs'!$E$12:$E$47)*($F427='TaxCred&amp;Subs'!$C$12:$C$47),0)
),9999),IFERROR(INDEX('TaxCred&amp;Subs'!$N$12:$N$47,MATCH(1,($C427&amp;$D427='TaxCred&amp;Subs'!$E$12:$E$47)*($F427='TaxCred&amp;Subs'!$C$12:$C$47),0)
),0),0),(IF($M427&gt;=IFERROR(INDEX('TaxCred&amp;Subs'!$H$12:$H$47,MATCH(1,($C427&amp;$D427='TaxCred&amp;Subs'!$D$12:$D$47)*($F427='TaxCred&amp;Subs'!$C$12:$C$47),0)
),9999),IFERROR(INDEX('TaxCred&amp;Subs'!$N$12:$N$47,MATCH(1,($C427&amp;$D427='TaxCred&amp;Subs'!$D$12:$D$47)*($F427='TaxCred&amp;Subs'!$C$12:$C$47),0)
),0),0)))),0)+IF(AND($C427=2,VALUE(RIGHT($AD427,1))&gt;2),(N427-R427)*(IFERROR(INDEX('TaxCred&amp;Subs'!$J$66:$J$99,MATCH(1,($C427&amp;$D427='TaxCred&amp;Subs'!$E$66:$E$99)*($F427='TaxCred&amp;Subs'!$C$66:$C$99),0)),0)),IF(AND($C427=1,VALUE(RIGHT($AD427,1))&gt;2),(N427-R427)*(IFERROR(INDEX('TaxCred&amp;Subs'!$J$66:$J$99,MATCH(1,($C427&amp;$D427='TaxCred&amp;Subs'!$D$66:$D$99)*($F427='TaxCred&amp;Subs'!$C$66:$C$99),0)),0)),IF($C427&gt;2,(N427-R427)*(IFERROR(INDEX('TaxCred&amp;Subs'!$J$66:$J$99,MATCH(1,($C427&amp;$D427='TaxCred&amp;Subs'!$D$66:$D$99)*($F427='TaxCred&amp;Subs'!$C$66:$C$99),0)),0)),0))),0)</f>
        <v>1000</v>
      </c>
      <c r="Q427" s="95">
        <f t="array" ref="Q427">ROUND(IF(AND($C427=2,VALUE(RIGHT($AD427,1))&gt;2),(O427-S427)*(IFERROR(INDEX('TaxCred&amp;Subs'!$J$66:$J$99,MATCH(1,($C427&amp;$D427='TaxCred&amp;Subs'!$E$66:$E$99)*($F427='TaxCred&amp;Subs'!$C$66:$C$99),0)),0)),IF(AND($C427=1,VALUE(RIGHT($AD427,1))&gt;2),(O427-S427)*(IFERROR(INDEX('TaxCred&amp;Subs'!$J$66:$J$99,MATCH(1,($C427&amp;$D427='TaxCred&amp;Subs'!$D$66:$D$99)*($F427='TaxCred&amp;Subs'!$C$66:$C$99),0)),0)),IF($C427&gt;2,(O427-S427)*(IFERROR(INDEX('TaxCred&amp;Subs'!$J$66:$J$99,MATCH(1,($C427&amp;$D427='TaxCred&amp;Subs'!$D$66:$D$99)*($F427='TaxCred&amp;Subs'!$C$66:$C$99),0)),0)),0))),0)</f>
        <v>0</v>
      </c>
      <c r="R427" s="170">
        <f t="array" ref="R427">ROUND(IF(IFERROR(VALUE(RIGHT($AD427,1)),0)&gt;2,IF($C427=8,N427*IFERROR(INDEX('TaxCred&amp;Subs'!$K$139:$S$151,MATCH($C427&amp;$D427&amp;LEFT($AD427,7),'TaxCred&amp;Subs'!$E$139:$E$151,0),MATCH($H427,'TaxCred&amp;Subs'!$K$137:$S$137,0)),0),IF($C427=2,N427*IFERROR(INDEX('TaxCred&amp;Subs'!$K$139:$S$151,MATCH($C427&amp;$D427,'TaxCred&amp;Subs'!$D$139:$D$151,0),MATCH($H427,'TaxCred&amp;Subs'!$K$137:$S$137,0)),0),N427*IFERROR(INDEX('TaxCred&amp;Subs'!$K$139:$S$151,MATCH($C427&amp;$D427,'TaxCred&amp;Subs'!$C$139:$C$151,0),MATCH($H427,'TaxCred&amp;Subs'!$K$137:$S$137,0)),0))),0),0)</f>
        <v>157</v>
      </c>
      <c r="S427" s="170">
        <f t="array" ref="S427">ROUND(IF(IFERROR(VALUE(RIGHT($AD427,1)),0)&gt;2,IF($C427=8,O427*IFERROR(INDEX('TaxCred&amp;Subs'!$K$139:$S$151,MATCH($C427&amp;$D427&amp;LEFT($AD427,7),'TaxCred&amp;Subs'!$E$139:$E$151,0),MATCH($H427,'TaxCred&amp;Subs'!$K$137:$S$137,0)),0),IF($C427=2,O427*IFERROR(INDEX('TaxCred&amp;Subs'!$K$139:$S$151,MATCH($C427&amp;$D427,'TaxCred&amp;Subs'!$D$139:$D$151,0),MATCH($H427,'TaxCred&amp;Subs'!$K$137:$S$137,0)),0),O427*IFERROR(INDEX('TaxCred&amp;Subs'!$K$139:$S$151,MATCH($C427&amp;$D427,'TaxCred&amp;Subs'!$C$139:$C$151,0),MATCH($H427,'TaxCred&amp;Subs'!$K$137:$S$137,0)),0))),0),0)</f>
        <v>0</v>
      </c>
      <c r="T427" s="95">
        <f t="shared" si="24"/>
        <v>0</v>
      </c>
      <c r="U427" s="95">
        <f t="shared" si="25"/>
        <v>0</v>
      </c>
      <c r="V427" s="28" t="s">
        <v>222</v>
      </c>
      <c r="W427" s="31">
        <v>2020</v>
      </c>
      <c r="X427" s="28">
        <v>1</v>
      </c>
      <c r="Y427" s="28">
        <v>0</v>
      </c>
      <c r="Z427" s="196">
        <v>-2.0762472774284713E-4</v>
      </c>
      <c r="AA427" s="196">
        <v>-3.1942265806591866E-3</v>
      </c>
      <c r="AB427" s="28">
        <v>0</v>
      </c>
      <c r="AC427" s="28">
        <v>0</v>
      </c>
      <c r="AD427" s="28" t="s">
        <v>197</v>
      </c>
    </row>
    <row r="428" spans="2:30" ht="14.25" customHeight="1" x14ac:dyDescent="0.2">
      <c r="B428" s="7">
        <f t="shared" si="26"/>
        <v>404</v>
      </c>
      <c r="C428" s="28">
        <v>2</v>
      </c>
      <c r="D428" s="28">
        <v>3</v>
      </c>
      <c r="E428" s="31">
        <v>10</v>
      </c>
      <c r="F428" s="78">
        <v>2022</v>
      </c>
      <c r="G428" s="28">
        <v>2022</v>
      </c>
      <c r="H428" s="28">
        <v>9</v>
      </c>
      <c r="I428" s="96">
        <v>45</v>
      </c>
      <c r="J428" s="28">
        <v>4</v>
      </c>
      <c r="K428" s="28">
        <v>0</v>
      </c>
      <c r="L428" s="28">
        <v>0</v>
      </c>
      <c r="M428" s="75">
        <v>4.3962485345838216</v>
      </c>
      <c r="N428" s="151">
        <v>3405</v>
      </c>
      <c r="O428" s="79">
        <v>0</v>
      </c>
      <c r="P428" s="95">
        <f t="array" ref="P428">ROUND(IF($F428&lt;='TaxCred&amp;Subs'!$C$49,(IF($C428=2,IF($M428&gt;=IFERROR(INDEX('TaxCred&amp;Subs'!$L$12:$L$47,MATCH(1,($C428&amp;$D428='TaxCred&amp;Subs'!$E$12:$E$47)*($F428='TaxCred&amp;Subs'!$C$12:$C$47),0)
),9999),IFERROR(INDEX('TaxCred&amp;Subs'!$N$12:$N$47,MATCH(1,($C428&amp;$D428='TaxCred&amp;Subs'!$E$12:$E$47)*($F428='TaxCred&amp;Subs'!$C$12:$C$47),0)
),0),0),(IF($M428&gt;=IFERROR(INDEX('TaxCred&amp;Subs'!$H$12:$H$47,MATCH(1,($C428&amp;$D428='TaxCred&amp;Subs'!$D$12:$D$47)*($F428='TaxCred&amp;Subs'!$C$12:$C$47),0)
),9999),IFERROR(INDEX('TaxCred&amp;Subs'!$N$12:$N$47,MATCH(1,($C428&amp;$D428='TaxCred&amp;Subs'!$D$12:$D$47)*($F428='TaxCred&amp;Subs'!$C$12:$C$47),0)
),0),0)))),0)+IF(AND($C428=2,VALUE(RIGHT($AD428,1))&gt;2),(N428-R428)*(IFERROR(INDEX('TaxCred&amp;Subs'!$J$66:$J$99,MATCH(1,($C428&amp;$D428='TaxCred&amp;Subs'!$E$66:$E$99)*($F428='TaxCred&amp;Subs'!$C$66:$C$99),0)),0)),IF(AND($C428=1,VALUE(RIGHT($AD428,1))&gt;2),(N428-R428)*(IFERROR(INDEX('TaxCred&amp;Subs'!$J$66:$J$99,MATCH(1,($C428&amp;$D428='TaxCred&amp;Subs'!$D$66:$D$99)*($F428='TaxCred&amp;Subs'!$C$66:$C$99),0)),0)),IF($C428&gt;2,(N428-R428)*(IFERROR(INDEX('TaxCred&amp;Subs'!$J$66:$J$99,MATCH(1,($C428&amp;$D428='TaxCred&amp;Subs'!$D$66:$D$99)*($F428='TaxCred&amp;Subs'!$C$66:$C$99),0)),0)),0))),0)</f>
        <v>1000</v>
      </c>
      <c r="Q428" s="95">
        <f t="array" ref="Q428">ROUND(IF(AND($C428=2,VALUE(RIGHT($AD428,1))&gt;2),(O428-S428)*(IFERROR(INDEX('TaxCred&amp;Subs'!$J$66:$J$99,MATCH(1,($C428&amp;$D428='TaxCred&amp;Subs'!$E$66:$E$99)*($F428='TaxCred&amp;Subs'!$C$66:$C$99),0)),0)),IF(AND($C428=1,VALUE(RIGHT($AD428,1))&gt;2),(O428-S428)*(IFERROR(INDEX('TaxCred&amp;Subs'!$J$66:$J$99,MATCH(1,($C428&amp;$D428='TaxCred&amp;Subs'!$D$66:$D$99)*($F428='TaxCred&amp;Subs'!$C$66:$C$99),0)),0)),IF($C428&gt;2,(O428-S428)*(IFERROR(INDEX('TaxCred&amp;Subs'!$J$66:$J$99,MATCH(1,($C428&amp;$D428='TaxCred&amp;Subs'!$D$66:$D$99)*($F428='TaxCred&amp;Subs'!$C$66:$C$99),0)),0)),0))),0)</f>
        <v>0</v>
      </c>
      <c r="R428" s="170">
        <f t="array" ref="R428">ROUND(IF(IFERROR(VALUE(RIGHT($AD428,1)),0)&gt;2,IF($C428=8,N428*IFERROR(INDEX('TaxCred&amp;Subs'!$K$139:$S$151,MATCH($C428&amp;$D428&amp;LEFT($AD428,7),'TaxCred&amp;Subs'!$E$139:$E$151,0),MATCH($H428,'TaxCred&amp;Subs'!$K$137:$S$137,0)),0),IF($C428=2,N428*IFERROR(INDEX('TaxCred&amp;Subs'!$K$139:$S$151,MATCH($C428&amp;$D428,'TaxCred&amp;Subs'!$D$139:$D$151,0),MATCH($H428,'TaxCred&amp;Subs'!$K$137:$S$137,0)),0),N428*IFERROR(INDEX('TaxCred&amp;Subs'!$K$139:$S$151,MATCH($C428&amp;$D428,'TaxCred&amp;Subs'!$C$139:$C$151,0),MATCH($H428,'TaxCred&amp;Subs'!$K$137:$S$137,0)),0))),0),0)</f>
        <v>378</v>
      </c>
      <c r="S428" s="170">
        <f t="array" ref="S428">ROUND(IF(IFERROR(VALUE(RIGHT($AD428,1)),0)&gt;2,IF($C428=8,O428*IFERROR(INDEX('TaxCred&amp;Subs'!$K$139:$S$151,MATCH($C428&amp;$D428&amp;LEFT($AD428,7),'TaxCred&amp;Subs'!$E$139:$E$151,0),MATCH($H428,'TaxCred&amp;Subs'!$K$137:$S$137,0)),0),IF($C428=2,O428*IFERROR(INDEX('TaxCred&amp;Subs'!$K$139:$S$151,MATCH($C428&amp;$D428,'TaxCred&amp;Subs'!$D$139:$D$151,0),MATCH($H428,'TaxCred&amp;Subs'!$K$137:$S$137,0)),0),O428*IFERROR(INDEX('TaxCred&amp;Subs'!$K$139:$S$151,MATCH($C428&amp;$D428,'TaxCred&amp;Subs'!$C$139:$C$151,0),MATCH($H428,'TaxCred&amp;Subs'!$K$137:$S$137,0)),0))),0),0)</f>
        <v>0</v>
      </c>
      <c r="T428" s="172">
        <f t="shared" si="24"/>
        <v>360.75</v>
      </c>
      <c r="U428" s="95">
        <f t="shared" si="25"/>
        <v>0</v>
      </c>
      <c r="V428" s="28" t="s">
        <v>222</v>
      </c>
      <c r="W428" s="31">
        <v>2020</v>
      </c>
      <c r="X428" s="28">
        <v>1</v>
      </c>
      <c r="Y428" s="28">
        <v>0</v>
      </c>
      <c r="Z428" s="196">
        <v>-2.0762472774284713E-4</v>
      </c>
      <c r="AA428" s="196">
        <v>-3.1942265806591866E-3</v>
      </c>
      <c r="AB428" s="28">
        <v>0</v>
      </c>
      <c r="AC428" s="28">
        <v>0</v>
      </c>
      <c r="AD428" s="28" t="s">
        <v>197</v>
      </c>
    </row>
    <row r="429" spans="2:30" ht="14.25" customHeight="1" x14ac:dyDescent="0.2">
      <c r="B429" s="7">
        <f t="shared" si="26"/>
        <v>405</v>
      </c>
      <c r="C429" s="28">
        <v>2</v>
      </c>
      <c r="D429" s="28">
        <v>3</v>
      </c>
      <c r="E429" s="31">
        <v>10</v>
      </c>
      <c r="F429" s="78">
        <v>2023</v>
      </c>
      <c r="G429" s="28">
        <v>2032</v>
      </c>
      <c r="H429" s="28">
        <v>1</v>
      </c>
      <c r="I429" s="96">
        <v>45</v>
      </c>
      <c r="J429" s="28">
        <v>4</v>
      </c>
      <c r="K429" s="28">
        <v>0</v>
      </c>
      <c r="L429" s="28">
        <v>0</v>
      </c>
      <c r="M429" s="75">
        <v>4.6893317702227435</v>
      </c>
      <c r="N429" s="151">
        <v>3470</v>
      </c>
      <c r="O429" s="79">
        <v>0</v>
      </c>
      <c r="P429" s="95">
        <f t="array" ref="P429">ROUND(IF($F429&lt;='TaxCred&amp;Subs'!$C$49,(IF($C429=2,IF($M429&gt;=IFERROR(INDEX('TaxCred&amp;Subs'!$L$12:$L$47,MATCH(1,($C429&amp;$D429='TaxCred&amp;Subs'!$E$12:$E$47)*($F429='TaxCred&amp;Subs'!$C$12:$C$47),0)
),9999),IFERROR(INDEX('TaxCred&amp;Subs'!$N$12:$N$47,MATCH(1,($C429&amp;$D429='TaxCred&amp;Subs'!$E$12:$E$47)*($F429='TaxCred&amp;Subs'!$C$12:$C$47),0)
),0),0),(IF($M429&gt;=IFERROR(INDEX('TaxCred&amp;Subs'!$H$12:$H$47,MATCH(1,($C429&amp;$D429='TaxCred&amp;Subs'!$D$12:$D$47)*($F429='TaxCred&amp;Subs'!$C$12:$C$47),0)
),9999),IFERROR(INDEX('TaxCred&amp;Subs'!$N$12:$N$47,MATCH(1,($C429&amp;$D429='TaxCred&amp;Subs'!$D$12:$D$47)*($F429='TaxCred&amp;Subs'!$C$12:$C$47),0)
),0),0)))),0)+IF(AND($C429=2,VALUE(RIGHT($AD429,1))&gt;2),(N429-R429)*(IFERROR(INDEX('TaxCred&amp;Subs'!$J$66:$J$99,MATCH(1,($C429&amp;$D429='TaxCred&amp;Subs'!$E$66:$E$99)*($F429='TaxCred&amp;Subs'!$C$66:$C$99),0)),0)),IF(AND($C429=1,VALUE(RIGHT($AD429,1))&gt;2),(N429-R429)*(IFERROR(INDEX('TaxCred&amp;Subs'!$J$66:$J$99,MATCH(1,($C429&amp;$D429='TaxCred&amp;Subs'!$D$66:$D$99)*($F429='TaxCred&amp;Subs'!$C$66:$C$99),0)),0)),IF($C429&gt;2,(N429-R429)*(IFERROR(INDEX('TaxCred&amp;Subs'!$J$66:$J$99,MATCH(1,($C429&amp;$D429='TaxCred&amp;Subs'!$D$66:$D$99)*($F429='TaxCred&amp;Subs'!$C$66:$C$99),0)),0)),0))),0)</f>
        <v>1000</v>
      </c>
      <c r="Q429" s="95">
        <f t="array" ref="Q429">ROUND(IF(AND($C429=2,VALUE(RIGHT($AD429,1))&gt;2),(O429-S429)*(IFERROR(INDEX('TaxCred&amp;Subs'!$J$66:$J$99,MATCH(1,($C429&amp;$D429='TaxCred&amp;Subs'!$E$66:$E$99)*($F429='TaxCred&amp;Subs'!$C$66:$C$99),0)),0)),IF(AND($C429=1,VALUE(RIGHT($AD429,1))&gt;2),(O429-S429)*(IFERROR(INDEX('TaxCred&amp;Subs'!$J$66:$J$99,MATCH(1,($C429&amp;$D429='TaxCred&amp;Subs'!$D$66:$D$99)*($F429='TaxCred&amp;Subs'!$C$66:$C$99),0)),0)),IF($C429&gt;2,(O429-S429)*(IFERROR(INDEX('TaxCred&amp;Subs'!$J$66:$J$99,MATCH(1,($C429&amp;$D429='TaxCred&amp;Subs'!$D$66:$D$99)*($F429='TaxCred&amp;Subs'!$C$66:$C$99),0)),0)),0))),0)</f>
        <v>0</v>
      </c>
      <c r="R429" s="170">
        <f t="array" ref="R429">ROUND(IF(IFERROR(VALUE(RIGHT($AD429,1)),0)&gt;2,IF($C429=8,N429*IFERROR(INDEX('TaxCred&amp;Subs'!$K$139:$S$151,MATCH($C429&amp;$D429&amp;LEFT($AD429,7),'TaxCred&amp;Subs'!$E$139:$E$151,0),MATCH($H429,'TaxCred&amp;Subs'!$K$137:$S$137,0)),0),IF($C429=2,N429*IFERROR(INDEX('TaxCred&amp;Subs'!$K$139:$S$151,MATCH($C429&amp;$D429,'TaxCred&amp;Subs'!$D$139:$D$151,0),MATCH($H429,'TaxCred&amp;Subs'!$K$137:$S$137,0)),0),N429*IFERROR(INDEX('TaxCred&amp;Subs'!$K$139:$S$151,MATCH($C429&amp;$D429,'TaxCred&amp;Subs'!$C$139:$C$151,0),MATCH($H429,'TaxCred&amp;Subs'!$K$137:$S$137,0)),0))),0),0)</f>
        <v>501</v>
      </c>
      <c r="S429" s="170">
        <f t="array" ref="S429">ROUND(IF(IFERROR(VALUE(RIGHT($AD429,1)),0)&gt;2,IF($C429=8,O429*IFERROR(INDEX('TaxCred&amp;Subs'!$K$139:$S$151,MATCH($C429&amp;$D429&amp;LEFT($AD429,7),'TaxCred&amp;Subs'!$E$139:$E$151,0),MATCH($H429,'TaxCred&amp;Subs'!$K$137:$S$137,0)),0),IF($C429=2,O429*IFERROR(INDEX('TaxCred&amp;Subs'!$K$139:$S$151,MATCH($C429&amp;$D429,'TaxCred&amp;Subs'!$D$139:$D$151,0),MATCH($H429,'TaxCred&amp;Subs'!$K$137:$S$137,0)),0),O429*IFERROR(INDEX('TaxCred&amp;Subs'!$K$139:$S$151,MATCH($C429&amp;$D429,'TaxCred&amp;Subs'!$C$139:$C$151,0),MATCH($H429,'TaxCred&amp;Subs'!$K$137:$S$137,0)),0))),0),0)</f>
        <v>0</v>
      </c>
      <c r="T429" s="95">
        <f t="shared" si="24"/>
        <v>0</v>
      </c>
      <c r="U429" s="95">
        <f t="shared" si="25"/>
        <v>0</v>
      </c>
      <c r="V429" s="28" t="s">
        <v>222</v>
      </c>
      <c r="W429" s="31">
        <v>2020</v>
      </c>
      <c r="X429" s="28">
        <v>1</v>
      </c>
      <c r="Y429" s="28">
        <v>0</v>
      </c>
      <c r="Z429" s="196">
        <v>-2.0762472774284713E-4</v>
      </c>
      <c r="AA429" s="196">
        <v>-3.1942265806591866E-3</v>
      </c>
      <c r="AB429" s="28">
        <v>0</v>
      </c>
      <c r="AC429" s="28">
        <v>0</v>
      </c>
      <c r="AD429" s="28" t="s">
        <v>197</v>
      </c>
    </row>
    <row r="430" spans="2:30" ht="14.25" customHeight="1" x14ac:dyDescent="0.2">
      <c r="B430" s="7">
        <f t="shared" si="26"/>
        <v>406</v>
      </c>
      <c r="C430" s="28">
        <v>2</v>
      </c>
      <c r="D430" s="28">
        <v>3</v>
      </c>
      <c r="E430" s="31">
        <v>10</v>
      </c>
      <c r="F430" s="78">
        <v>2023</v>
      </c>
      <c r="G430" s="28">
        <v>2032</v>
      </c>
      <c r="H430" s="28">
        <v>2</v>
      </c>
      <c r="I430" s="96">
        <v>45</v>
      </c>
      <c r="J430" s="28">
        <v>4</v>
      </c>
      <c r="K430" s="28">
        <v>0</v>
      </c>
      <c r="L430" s="28">
        <v>0</v>
      </c>
      <c r="M430" s="75">
        <v>4.6893317702227435</v>
      </c>
      <c r="N430" s="151">
        <v>3470</v>
      </c>
      <c r="O430" s="79">
        <v>0</v>
      </c>
      <c r="P430" s="95">
        <f t="array" ref="P430">ROUND(IF($F430&lt;='TaxCred&amp;Subs'!$C$49,(IF($C430=2,IF($M430&gt;=IFERROR(INDEX('TaxCred&amp;Subs'!$L$12:$L$47,MATCH(1,($C430&amp;$D430='TaxCred&amp;Subs'!$E$12:$E$47)*($F430='TaxCred&amp;Subs'!$C$12:$C$47),0)
),9999),IFERROR(INDEX('TaxCred&amp;Subs'!$N$12:$N$47,MATCH(1,($C430&amp;$D430='TaxCred&amp;Subs'!$E$12:$E$47)*($F430='TaxCred&amp;Subs'!$C$12:$C$47),0)
),0),0),(IF($M430&gt;=IFERROR(INDEX('TaxCred&amp;Subs'!$H$12:$H$47,MATCH(1,($C430&amp;$D430='TaxCred&amp;Subs'!$D$12:$D$47)*($F430='TaxCred&amp;Subs'!$C$12:$C$47),0)
),9999),IFERROR(INDEX('TaxCred&amp;Subs'!$N$12:$N$47,MATCH(1,($C430&amp;$D430='TaxCred&amp;Subs'!$D$12:$D$47)*($F430='TaxCred&amp;Subs'!$C$12:$C$47),0)
),0),0)))),0)+IF(AND($C430=2,VALUE(RIGHT($AD430,1))&gt;2),(N430-R430)*(IFERROR(INDEX('TaxCred&amp;Subs'!$J$66:$J$99,MATCH(1,($C430&amp;$D430='TaxCred&amp;Subs'!$E$66:$E$99)*($F430='TaxCred&amp;Subs'!$C$66:$C$99),0)),0)),IF(AND($C430=1,VALUE(RIGHT($AD430,1))&gt;2),(N430-R430)*(IFERROR(INDEX('TaxCred&amp;Subs'!$J$66:$J$99,MATCH(1,($C430&amp;$D430='TaxCred&amp;Subs'!$D$66:$D$99)*($F430='TaxCred&amp;Subs'!$C$66:$C$99),0)),0)),IF($C430&gt;2,(N430-R430)*(IFERROR(INDEX('TaxCred&amp;Subs'!$J$66:$J$99,MATCH(1,($C430&amp;$D430='TaxCred&amp;Subs'!$D$66:$D$99)*($F430='TaxCred&amp;Subs'!$C$66:$C$99),0)),0)),0))),0)</f>
        <v>1000</v>
      </c>
      <c r="Q430" s="95">
        <f t="array" ref="Q430">ROUND(IF(AND($C430=2,VALUE(RIGHT($AD430,1))&gt;2),(O430-S430)*(IFERROR(INDEX('TaxCred&amp;Subs'!$J$66:$J$99,MATCH(1,($C430&amp;$D430='TaxCred&amp;Subs'!$E$66:$E$99)*($F430='TaxCred&amp;Subs'!$C$66:$C$99),0)),0)),IF(AND($C430=1,VALUE(RIGHT($AD430,1))&gt;2),(O430-S430)*(IFERROR(INDEX('TaxCred&amp;Subs'!$J$66:$J$99,MATCH(1,($C430&amp;$D430='TaxCred&amp;Subs'!$D$66:$D$99)*($F430='TaxCred&amp;Subs'!$C$66:$C$99),0)),0)),IF($C430&gt;2,(O430-S430)*(IFERROR(INDEX('TaxCred&amp;Subs'!$J$66:$J$99,MATCH(1,($C430&amp;$D430='TaxCred&amp;Subs'!$D$66:$D$99)*($F430='TaxCred&amp;Subs'!$C$66:$C$99),0)),0)),0))),0)</f>
        <v>0</v>
      </c>
      <c r="R430" s="170">
        <f t="array" ref="R430">ROUND(IF(IFERROR(VALUE(RIGHT($AD430,1)),0)&gt;2,IF($C430=8,N430*IFERROR(INDEX('TaxCred&amp;Subs'!$K$139:$S$151,MATCH($C430&amp;$D430&amp;LEFT($AD430,7),'TaxCred&amp;Subs'!$E$139:$E$151,0),MATCH($H430,'TaxCred&amp;Subs'!$K$137:$S$137,0)),0),IF($C430=2,N430*IFERROR(INDEX('TaxCred&amp;Subs'!$K$139:$S$151,MATCH($C430&amp;$D430,'TaxCred&amp;Subs'!$D$139:$D$151,0),MATCH($H430,'TaxCred&amp;Subs'!$K$137:$S$137,0)),0),N430*IFERROR(INDEX('TaxCred&amp;Subs'!$K$139:$S$151,MATCH($C430&amp;$D430,'TaxCred&amp;Subs'!$C$139:$C$151,0),MATCH($H430,'TaxCred&amp;Subs'!$K$137:$S$137,0)),0))),0),0)</f>
        <v>182</v>
      </c>
      <c r="S430" s="170">
        <f t="array" ref="S430">ROUND(IF(IFERROR(VALUE(RIGHT($AD430,1)),0)&gt;2,IF($C430=8,O430*IFERROR(INDEX('TaxCred&amp;Subs'!$K$139:$S$151,MATCH($C430&amp;$D430&amp;LEFT($AD430,7),'TaxCred&amp;Subs'!$E$139:$E$151,0),MATCH($H430,'TaxCred&amp;Subs'!$K$137:$S$137,0)),0),IF($C430=2,O430*IFERROR(INDEX('TaxCred&amp;Subs'!$K$139:$S$151,MATCH($C430&amp;$D430,'TaxCred&amp;Subs'!$D$139:$D$151,0),MATCH($H430,'TaxCred&amp;Subs'!$K$137:$S$137,0)),0),O430*IFERROR(INDEX('TaxCred&amp;Subs'!$K$139:$S$151,MATCH($C430&amp;$D430,'TaxCred&amp;Subs'!$C$139:$C$151,0),MATCH($H430,'TaxCred&amp;Subs'!$K$137:$S$137,0)),0))),0),0)</f>
        <v>0</v>
      </c>
      <c r="T430" s="95">
        <f t="shared" si="24"/>
        <v>0</v>
      </c>
      <c r="U430" s="95">
        <f t="shared" si="25"/>
        <v>0</v>
      </c>
      <c r="V430" s="28" t="s">
        <v>222</v>
      </c>
      <c r="W430" s="31">
        <v>2020</v>
      </c>
      <c r="X430" s="28">
        <v>1</v>
      </c>
      <c r="Y430" s="28">
        <v>0</v>
      </c>
      <c r="Z430" s="196">
        <v>-2.0762472774284713E-4</v>
      </c>
      <c r="AA430" s="196">
        <v>-3.1942265806591866E-3</v>
      </c>
      <c r="AB430" s="28">
        <v>0</v>
      </c>
      <c r="AC430" s="28">
        <v>0</v>
      </c>
      <c r="AD430" s="28" t="s">
        <v>197</v>
      </c>
    </row>
    <row r="431" spans="2:30" ht="14.25" customHeight="1" x14ac:dyDescent="0.2">
      <c r="B431" s="7">
        <f t="shared" si="26"/>
        <v>407</v>
      </c>
      <c r="C431" s="28">
        <v>2</v>
      </c>
      <c r="D431" s="28">
        <v>3</v>
      </c>
      <c r="E431" s="31">
        <v>10</v>
      </c>
      <c r="F431" s="78">
        <v>2023</v>
      </c>
      <c r="G431" s="28">
        <v>2032</v>
      </c>
      <c r="H431" s="28">
        <v>3</v>
      </c>
      <c r="I431" s="96">
        <v>45</v>
      </c>
      <c r="J431" s="28">
        <v>4</v>
      </c>
      <c r="K431" s="28">
        <v>0</v>
      </c>
      <c r="L431" s="28">
        <v>0</v>
      </c>
      <c r="M431" s="75">
        <v>4.6893317702227435</v>
      </c>
      <c r="N431" s="151">
        <v>3470</v>
      </c>
      <c r="O431" s="79">
        <v>0</v>
      </c>
      <c r="P431" s="95">
        <f t="array" ref="P431">ROUND(IF($F431&lt;='TaxCred&amp;Subs'!$C$49,(IF($C431=2,IF($M431&gt;=IFERROR(INDEX('TaxCred&amp;Subs'!$L$12:$L$47,MATCH(1,($C431&amp;$D431='TaxCred&amp;Subs'!$E$12:$E$47)*($F431='TaxCred&amp;Subs'!$C$12:$C$47),0)
),9999),IFERROR(INDEX('TaxCred&amp;Subs'!$N$12:$N$47,MATCH(1,($C431&amp;$D431='TaxCred&amp;Subs'!$E$12:$E$47)*($F431='TaxCred&amp;Subs'!$C$12:$C$47),0)
),0),0),(IF($M431&gt;=IFERROR(INDEX('TaxCred&amp;Subs'!$H$12:$H$47,MATCH(1,($C431&amp;$D431='TaxCred&amp;Subs'!$D$12:$D$47)*($F431='TaxCred&amp;Subs'!$C$12:$C$47),0)
),9999),IFERROR(INDEX('TaxCred&amp;Subs'!$N$12:$N$47,MATCH(1,($C431&amp;$D431='TaxCred&amp;Subs'!$D$12:$D$47)*($F431='TaxCred&amp;Subs'!$C$12:$C$47),0)
),0),0)))),0)+IF(AND($C431=2,VALUE(RIGHT($AD431,1))&gt;2),(N431-R431)*(IFERROR(INDEX('TaxCred&amp;Subs'!$J$66:$J$99,MATCH(1,($C431&amp;$D431='TaxCred&amp;Subs'!$E$66:$E$99)*($F431='TaxCred&amp;Subs'!$C$66:$C$99),0)),0)),IF(AND($C431=1,VALUE(RIGHT($AD431,1))&gt;2),(N431-R431)*(IFERROR(INDEX('TaxCred&amp;Subs'!$J$66:$J$99,MATCH(1,($C431&amp;$D431='TaxCred&amp;Subs'!$D$66:$D$99)*($F431='TaxCred&amp;Subs'!$C$66:$C$99),0)),0)),IF($C431&gt;2,(N431-R431)*(IFERROR(INDEX('TaxCred&amp;Subs'!$J$66:$J$99,MATCH(1,($C431&amp;$D431='TaxCred&amp;Subs'!$D$66:$D$99)*($F431='TaxCred&amp;Subs'!$C$66:$C$99),0)),0)),0))),0)</f>
        <v>1000</v>
      </c>
      <c r="Q431" s="95">
        <f t="array" ref="Q431">ROUND(IF(AND($C431=2,VALUE(RIGHT($AD431,1))&gt;2),(O431-S431)*(IFERROR(INDEX('TaxCred&amp;Subs'!$J$66:$J$99,MATCH(1,($C431&amp;$D431='TaxCred&amp;Subs'!$E$66:$E$99)*($F431='TaxCred&amp;Subs'!$C$66:$C$99),0)),0)),IF(AND($C431=1,VALUE(RIGHT($AD431,1))&gt;2),(O431-S431)*(IFERROR(INDEX('TaxCred&amp;Subs'!$J$66:$J$99,MATCH(1,($C431&amp;$D431='TaxCred&amp;Subs'!$D$66:$D$99)*($F431='TaxCred&amp;Subs'!$C$66:$C$99),0)),0)),IF($C431&gt;2,(O431-S431)*(IFERROR(INDEX('TaxCred&amp;Subs'!$J$66:$J$99,MATCH(1,($C431&amp;$D431='TaxCred&amp;Subs'!$D$66:$D$99)*($F431='TaxCred&amp;Subs'!$C$66:$C$99),0)),0)),0))),0)</f>
        <v>0</v>
      </c>
      <c r="R431" s="170">
        <f t="array" ref="R431">ROUND(IF(IFERROR(VALUE(RIGHT($AD431,1)),0)&gt;2,IF($C431=8,N431*IFERROR(INDEX('TaxCred&amp;Subs'!$K$139:$S$151,MATCH($C431&amp;$D431&amp;LEFT($AD431,7),'TaxCred&amp;Subs'!$E$139:$E$151,0),MATCH($H431,'TaxCred&amp;Subs'!$K$137:$S$137,0)),0),IF($C431=2,N431*IFERROR(INDEX('TaxCred&amp;Subs'!$K$139:$S$151,MATCH($C431&amp;$D431,'TaxCred&amp;Subs'!$D$139:$D$151,0),MATCH($H431,'TaxCred&amp;Subs'!$K$137:$S$137,0)),0),N431*IFERROR(INDEX('TaxCred&amp;Subs'!$K$139:$S$151,MATCH($C431&amp;$D431,'TaxCred&amp;Subs'!$C$139:$C$151,0),MATCH($H431,'TaxCred&amp;Subs'!$K$137:$S$137,0)),0))),0),0)</f>
        <v>274</v>
      </c>
      <c r="S431" s="170">
        <f t="array" ref="S431">ROUND(IF(IFERROR(VALUE(RIGHT($AD431,1)),0)&gt;2,IF($C431=8,O431*IFERROR(INDEX('TaxCred&amp;Subs'!$K$139:$S$151,MATCH($C431&amp;$D431&amp;LEFT($AD431,7),'TaxCred&amp;Subs'!$E$139:$E$151,0),MATCH($H431,'TaxCred&amp;Subs'!$K$137:$S$137,0)),0),IF($C431=2,O431*IFERROR(INDEX('TaxCred&amp;Subs'!$K$139:$S$151,MATCH($C431&amp;$D431,'TaxCred&amp;Subs'!$D$139:$D$151,0),MATCH($H431,'TaxCred&amp;Subs'!$K$137:$S$137,0)),0),O431*IFERROR(INDEX('TaxCred&amp;Subs'!$K$139:$S$151,MATCH($C431&amp;$D431,'TaxCred&amp;Subs'!$C$139:$C$151,0),MATCH($H431,'TaxCred&amp;Subs'!$K$137:$S$137,0)),0))),0),0)</f>
        <v>0</v>
      </c>
      <c r="T431" s="95">
        <f t="shared" si="24"/>
        <v>0</v>
      </c>
      <c r="U431" s="95">
        <f t="shared" si="25"/>
        <v>0</v>
      </c>
      <c r="V431" s="28" t="s">
        <v>222</v>
      </c>
      <c r="W431" s="31">
        <v>2020</v>
      </c>
      <c r="X431" s="28">
        <v>1</v>
      </c>
      <c r="Y431" s="28">
        <v>0</v>
      </c>
      <c r="Z431" s="196">
        <v>-2.0762472774284713E-4</v>
      </c>
      <c r="AA431" s="196">
        <v>-3.1942265806591866E-3</v>
      </c>
      <c r="AB431" s="28">
        <v>0</v>
      </c>
      <c r="AC431" s="28">
        <v>0</v>
      </c>
      <c r="AD431" s="28" t="s">
        <v>197</v>
      </c>
    </row>
    <row r="432" spans="2:30" ht="14.25" customHeight="1" x14ac:dyDescent="0.2">
      <c r="B432" s="7">
        <f t="shared" si="26"/>
        <v>408</v>
      </c>
      <c r="C432" s="28">
        <v>2</v>
      </c>
      <c r="D432" s="28">
        <v>3</v>
      </c>
      <c r="E432" s="31">
        <v>10</v>
      </c>
      <c r="F432" s="78">
        <v>2023</v>
      </c>
      <c r="G432" s="28">
        <v>2032</v>
      </c>
      <c r="H432" s="28">
        <v>4</v>
      </c>
      <c r="I432" s="96">
        <v>45</v>
      </c>
      <c r="J432" s="28">
        <v>4</v>
      </c>
      <c r="K432" s="28">
        <v>0</v>
      </c>
      <c r="L432" s="28">
        <v>0</v>
      </c>
      <c r="M432" s="75">
        <v>4.6893317702227435</v>
      </c>
      <c r="N432" s="151">
        <v>3470</v>
      </c>
      <c r="O432" s="79">
        <v>0</v>
      </c>
      <c r="P432" s="95">
        <f t="array" ref="P432">ROUND(IF($F432&lt;='TaxCred&amp;Subs'!$C$49,(IF($C432=2,IF($M432&gt;=IFERROR(INDEX('TaxCred&amp;Subs'!$L$12:$L$47,MATCH(1,($C432&amp;$D432='TaxCred&amp;Subs'!$E$12:$E$47)*($F432='TaxCred&amp;Subs'!$C$12:$C$47),0)
),9999),IFERROR(INDEX('TaxCred&amp;Subs'!$N$12:$N$47,MATCH(1,($C432&amp;$D432='TaxCred&amp;Subs'!$E$12:$E$47)*($F432='TaxCred&amp;Subs'!$C$12:$C$47),0)
),0),0),(IF($M432&gt;=IFERROR(INDEX('TaxCred&amp;Subs'!$H$12:$H$47,MATCH(1,($C432&amp;$D432='TaxCred&amp;Subs'!$D$12:$D$47)*($F432='TaxCred&amp;Subs'!$C$12:$C$47),0)
),9999),IFERROR(INDEX('TaxCred&amp;Subs'!$N$12:$N$47,MATCH(1,($C432&amp;$D432='TaxCred&amp;Subs'!$D$12:$D$47)*($F432='TaxCred&amp;Subs'!$C$12:$C$47),0)
),0),0)))),0)+IF(AND($C432=2,VALUE(RIGHT($AD432,1))&gt;2),(N432-R432)*(IFERROR(INDEX('TaxCred&amp;Subs'!$J$66:$J$99,MATCH(1,($C432&amp;$D432='TaxCred&amp;Subs'!$E$66:$E$99)*($F432='TaxCred&amp;Subs'!$C$66:$C$99),0)),0)),IF(AND($C432=1,VALUE(RIGHT($AD432,1))&gt;2),(N432-R432)*(IFERROR(INDEX('TaxCred&amp;Subs'!$J$66:$J$99,MATCH(1,($C432&amp;$D432='TaxCred&amp;Subs'!$D$66:$D$99)*($F432='TaxCred&amp;Subs'!$C$66:$C$99),0)),0)),IF($C432&gt;2,(N432-R432)*(IFERROR(INDEX('TaxCred&amp;Subs'!$J$66:$J$99,MATCH(1,($C432&amp;$D432='TaxCred&amp;Subs'!$D$66:$D$99)*($F432='TaxCred&amp;Subs'!$C$66:$C$99),0)),0)),0))),0)</f>
        <v>1000</v>
      </c>
      <c r="Q432" s="95">
        <f t="array" ref="Q432">ROUND(IF(AND($C432=2,VALUE(RIGHT($AD432,1))&gt;2),(O432-S432)*(IFERROR(INDEX('TaxCred&amp;Subs'!$J$66:$J$99,MATCH(1,($C432&amp;$D432='TaxCred&amp;Subs'!$E$66:$E$99)*($F432='TaxCred&amp;Subs'!$C$66:$C$99),0)),0)),IF(AND($C432=1,VALUE(RIGHT($AD432,1))&gt;2),(O432-S432)*(IFERROR(INDEX('TaxCred&amp;Subs'!$J$66:$J$99,MATCH(1,($C432&amp;$D432='TaxCred&amp;Subs'!$D$66:$D$99)*($F432='TaxCred&amp;Subs'!$C$66:$C$99),0)),0)),IF($C432&gt;2,(O432-S432)*(IFERROR(INDEX('TaxCred&amp;Subs'!$J$66:$J$99,MATCH(1,($C432&amp;$D432='TaxCred&amp;Subs'!$D$66:$D$99)*($F432='TaxCred&amp;Subs'!$C$66:$C$99),0)),0)),0))),0)</f>
        <v>0</v>
      </c>
      <c r="R432" s="170">
        <f t="array" ref="R432">ROUND(IF(IFERROR(VALUE(RIGHT($AD432,1)),0)&gt;2,IF($C432=8,N432*IFERROR(INDEX('TaxCred&amp;Subs'!$K$139:$S$151,MATCH($C432&amp;$D432&amp;LEFT($AD432,7),'TaxCred&amp;Subs'!$E$139:$E$151,0),MATCH($H432,'TaxCred&amp;Subs'!$K$137:$S$137,0)),0),IF($C432=2,N432*IFERROR(INDEX('TaxCred&amp;Subs'!$K$139:$S$151,MATCH($C432&amp;$D432,'TaxCred&amp;Subs'!$D$139:$D$151,0),MATCH($H432,'TaxCred&amp;Subs'!$K$137:$S$137,0)),0),N432*IFERROR(INDEX('TaxCred&amp;Subs'!$K$139:$S$151,MATCH($C432&amp;$D432,'TaxCred&amp;Subs'!$C$139:$C$151,0),MATCH($H432,'TaxCred&amp;Subs'!$K$137:$S$137,0)),0))),0),0)</f>
        <v>167</v>
      </c>
      <c r="S432" s="170">
        <f t="array" ref="S432">ROUND(IF(IFERROR(VALUE(RIGHT($AD432,1)),0)&gt;2,IF($C432=8,O432*IFERROR(INDEX('TaxCred&amp;Subs'!$K$139:$S$151,MATCH($C432&amp;$D432&amp;LEFT($AD432,7),'TaxCred&amp;Subs'!$E$139:$E$151,0),MATCH($H432,'TaxCred&amp;Subs'!$K$137:$S$137,0)),0),IF($C432=2,O432*IFERROR(INDEX('TaxCred&amp;Subs'!$K$139:$S$151,MATCH($C432&amp;$D432,'TaxCred&amp;Subs'!$D$139:$D$151,0),MATCH($H432,'TaxCred&amp;Subs'!$K$137:$S$137,0)),0),O432*IFERROR(INDEX('TaxCred&amp;Subs'!$K$139:$S$151,MATCH($C432&amp;$D432,'TaxCred&amp;Subs'!$C$139:$C$151,0),MATCH($H432,'TaxCred&amp;Subs'!$K$137:$S$137,0)),0))),0),0)</f>
        <v>0</v>
      </c>
      <c r="T432" s="95">
        <f t="shared" si="24"/>
        <v>0</v>
      </c>
      <c r="U432" s="95">
        <f t="shared" si="25"/>
        <v>0</v>
      </c>
      <c r="V432" s="28" t="s">
        <v>222</v>
      </c>
      <c r="W432" s="31">
        <v>2020</v>
      </c>
      <c r="X432" s="28">
        <v>1</v>
      </c>
      <c r="Y432" s="28">
        <v>0</v>
      </c>
      <c r="Z432" s="196">
        <v>-2.0762472774284713E-4</v>
      </c>
      <c r="AA432" s="196">
        <v>-3.1942265806591866E-3</v>
      </c>
      <c r="AB432" s="28">
        <v>0</v>
      </c>
      <c r="AC432" s="28">
        <v>0</v>
      </c>
      <c r="AD432" s="28" t="s">
        <v>197</v>
      </c>
    </row>
    <row r="433" spans="2:30" ht="14.25" customHeight="1" x14ac:dyDescent="0.2">
      <c r="B433" s="7">
        <f t="shared" si="26"/>
        <v>409</v>
      </c>
      <c r="C433" s="28">
        <v>2</v>
      </c>
      <c r="D433" s="28">
        <v>3</v>
      </c>
      <c r="E433" s="31">
        <v>10</v>
      </c>
      <c r="F433" s="78">
        <v>2023</v>
      </c>
      <c r="G433" s="28">
        <v>2032</v>
      </c>
      <c r="H433" s="28">
        <v>5</v>
      </c>
      <c r="I433" s="96">
        <v>45</v>
      </c>
      <c r="J433" s="28">
        <v>4</v>
      </c>
      <c r="K433" s="28">
        <v>0</v>
      </c>
      <c r="L433" s="28">
        <v>0</v>
      </c>
      <c r="M433" s="75">
        <v>4.6893317702227435</v>
      </c>
      <c r="N433" s="151">
        <v>3470</v>
      </c>
      <c r="O433" s="79">
        <v>0</v>
      </c>
      <c r="P433" s="95">
        <f t="array" ref="P433">ROUND(IF($F433&lt;='TaxCred&amp;Subs'!$C$49,(IF($C433=2,IF($M433&gt;=IFERROR(INDEX('TaxCred&amp;Subs'!$L$12:$L$47,MATCH(1,($C433&amp;$D433='TaxCred&amp;Subs'!$E$12:$E$47)*($F433='TaxCred&amp;Subs'!$C$12:$C$47),0)
),9999),IFERROR(INDEX('TaxCred&amp;Subs'!$N$12:$N$47,MATCH(1,($C433&amp;$D433='TaxCred&amp;Subs'!$E$12:$E$47)*($F433='TaxCred&amp;Subs'!$C$12:$C$47),0)
),0),0),(IF($M433&gt;=IFERROR(INDEX('TaxCred&amp;Subs'!$H$12:$H$47,MATCH(1,($C433&amp;$D433='TaxCred&amp;Subs'!$D$12:$D$47)*($F433='TaxCred&amp;Subs'!$C$12:$C$47),0)
),9999),IFERROR(INDEX('TaxCred&amp;Subs'!$N$12:$N$47,MATCH(1,($C433&amp;$D433='TaxCred&amp;Subs'!$D$12:$D$47)*($F433='TaxCred&amp;Subs'!$C$12:$C$47),0)
),0),0)))),0)+IF(AND($C433=2,VALUE(RIGHT($AD433,1))&gt;2),(N433-R433)*(IFERROR(INDEX('TaxCred&amp;Subs'!$J$66:$J$99,MATCH(1,($C433&amp;$D433='TaxCred&amp;Subs'!$E$66:$E$99)*($F433='TaxCred&amp;Subs'!$C$66:$C$99),0)),0)),IF(AND($C433=1,VALUE(RIGHT($AD433,1))&gt;2),(N433-R433)*(IFERROR(INDEX('TaxCred&amp;Subs'!$J$66:$J$99,MATCH(1,($C433&amp;$D433='TaxCred&amp;Subs'!$D$66:$D$99)*($F433='TaxCred&amp;Subs'!$C$66:$C$99),0)),0)),IF($C433&gt;2,(N433-R433)*(IFERROR(INDEX('TaxCred&amp;Subs'!$J$66:$J$99,MATCH(1,($C433&amp;$D433='TaxCred&amp;Subs'!$D$66:$D$99)*($F433='TaxCred&amp;Subs'!$C$66:$C$99),0)),0)),0))),0)</f>
        <v>1000</v>
      </c>
      <c r="Q433" s="95">
        <f t="array" ref="Q433">ROUND(IF(AND($C433=2,VALUE(RIGHT($AD433,1))&gt;2),(O433-S433)*(IFERROR(INDEX('TaxCred&amp;Subs'!$J$66:$J$99,MATCH(1,($C433&amp;$D433='TaxCred&amp;Subs'!$E$66:$E$99)*($F433='TaxCred&amp;Subs'!$C$66:$C$99),0)),0)),IF(AND($C433=1,VALUE(RIGHT($AD433,1))&gt;2),(O433-S433)*(IFERROR(INDEX('TaxCred&amp;Subs'!$J$66:$J$99,MATCH(1,($C433&amp;$D433='TaxCred&amp;Subs'!$D$66:$D$99)*($F433='TaxCred&amp;Subs'!$C$66:$C$99),0)),0)),IF($C433&gt;2,(O433-S433)*(IFERROR(INDEX('TaxCred&amp;Subs'!$J$66:$J$99,MATCH(1,($C433&amp;$D433='TaxCred&amp;Subs'!$D$66:$D$99)*($F433='TaxCred&amp;Subs'!$C$66:$C$99),0)),0)),0))),0)</f>
        <v>0</v>
      </c>
      <c r="R433" s="170">
        <f t="array" ref="R433">ROUND(IF(IFERROR(VALUE(RIGHT($AD433,1)),0)&gt;2,IF($C433=8,N433*IFERROR(INDEX('TaxCred&amp;Subs'!$K$139:$S$151,MATCH($C433&amp;$D433&amp;LEFT($AD433,7),'TaxCred&amp;Subs'!$E$139:$E$151,0),MATCH($H433,'TaxCred&amp;Subs'!$K$137:$S$137,0)),0),IF($C433=2,N433*IFERROR(INDEX('TaxCred&amp;Subs'!$K$139:$S$151,MATCH($C433&amp;$D433,'TaxCred&amp;Subs'!$D$139:$D$151,0),MATCH($H433,'TaxCred&amp;Subs'!$K$137:$S$137,0)),0),N433*IFERROR(INDEX('TaxCred&amp;Subs'!$K$139:$S$151,MATCH($C433&amp;$D433,'TaxCred&amp;Subs'!$C$139:$C$151,0),MATCH($H433,'TaxCred&amp;Subs'!$K$137:$S$137,0)),0))),0),0)</f>
        <v>76</v>
      </c>
      <c r="S433" s="170">
        <f t="array" ref="S433">ROUND(IF(IFERROR(VALUE(RIGHT($AD433,1)),0)&gt;2,IF($C433=8,O433*IFERROR(INDEX('TaxCred&amp;Subs'!$K$139:$S$151,MATCH($C433&amp;$D433&amp;LEFT($AD433,7),'TaxCred&amp;Subs'!$E$139:$E$151,0),MATCH($H433,'TaxCred&amp;Subs'!$K$137:$S$137,0)),0),IF($C433=2,O433*IFERROR(INDEX('TaxCred&amp;Subs'!$K$139:$S$151,MATCH($C433&amp;$D433,'TaxCred&amp;Subs'!$D$139:$D$151,0),MATCH($H433,'TaxCred&amp;Subs'!$K$137:$S$137,0)),0),O433*IFERROR(INDEX('TaxCred&amp;Subs'!$K$139:$S$151,MATCH($C433&amp;$D433,'TaxCred&amp;Subs'!$C$139:$C$151,0),MATCH($H433,'TaxCred&amp;Subs'!$K$137:$S$137,0)),0))),0),0)</f>
        <v>0</v>
      </c>
      <c r="T433" s="95">
        <f t="shared" si="24"/>
        <v>0</v>
      </c>
      <c r="U433" s="95">
        <f t="shared" si="25"/>
        <v>0</v>
      </c>
      <c r="V433" s="28" t="s">
        <v>222</v>
      </c>
      <c r="W433" s="31">
        <v>2020</v>
      </c>
      <c r="X433" s="28">
        <v>1</v>
      </c>
      <c r="Y433" s="28">
        <v>0</v>
      </c>
      <c r="Z433" s="196">
        <v>-2.0762472774284713E-4</v>
      </c>
      <c r="AA433" s="196">
        <v>-3.1942265806591866E-3</v>
      </c>
      <c r="AB433" s="28">
        <v>0</v>
      </c>
      <c r="AC433" s="28">
        <v>0</v>
      </c>
      <c r="AD433" s="28" t="s">
        <v>197</v>
      </c>
    </row>
    <row r="434" spans="2:30" ht="14.25" customHeight="1" x14ac:dyDescent="0.2">
      <c r="B434" s="7">
        <f t="shared" si="26"/>
        <v>410</v>
      </c>
      <c r="C434" s="28">
        <v>2</v>
      </c>
      <c r="D434" s="28">
        <v>3</v>
      </c>
      <c r="E434" s="31">
        <v>10</v>
      </c>
      <c r="F434" s="78">
        <v>2023</v>
      </c>
      <c r="G434" s="28">
        <v>2032</v>
      </c>
      <c r="H434" s="28">
        <v>6</v>
      </c>
      <c r="I434" s="96">
        <v>45</v>
      </c>
      <c r="J434" s="28">
        <v>4</v>
      </c>
      <c r="K434" s="28">
        <v>0</v>
      </c>
      <c r="L434" s="28">
        <v>0</v>
      </c>
      <c r="M434" s="75">
        <v>4.6893317702227435</v>
      </c>
      <c r="N434" s="151">
        <v>3470</v>
      </c>
      <c r="O434" s="79">
        <v>0</v>
      </c>
      <c r="P434" s="95">
        <f t="array" ref="P434">ROUND(IF($F434&lt;='TaxCred&amp;Subs'!$C$49,(IF($C434=2,IF($M434&gt;=IFERROR(INDEX('TaxCred&amp;Subs'!$L$12:$L$47,MATCH(1,($C434&amp;$D434='TaxCred&amp;Subs'!$E$12:$E$47)*($F434='TaxCred&amp;Subs'!$C$12:$C$47),0)
),9999),IFERROR(INDEX('TaxCred&amp;Subs'!$N$12:$N$47,MATCH(1,($C434&amp;$D434='TaxCred&amp;Subs'!$E$12:$E$47)*($F434='TaxCred&amp;Subs'!$C$12:$C$47),0)
),0),0),(IF($M434&gt;=IFERROR(INDEX('TaxCred&amp;Subs'!$H$12:$H$47,MATCH(1,($C434&amp;$D434='TaxCred&amp;Subs'!$D$12:$D$47)*($F434='TaxCred&amp;Subs'!$C$12:$C$47),0)
),9999),IFERROR(INDEX('TaxCred&amp;Subs'!$N$12:$N$47,MATCH(1,($C434&amp;$D434='TaxCred&amp;Subs'!$D$12:$D$47)*($F434='TaxCred&amp;Subs'!$C$12:$C$47),0)
),0),0)))),0)+IF(AND($C434=2,VALUE(RIGHT($AD434,1))&gt;2),(N434-R434)*(IFERROR(INDEX('TaxCred&amp;Subs'!$J$66:$J$99,MATCH(1,($C434&amp;$D434='TaxCred&amp;Subs'!$E$66:$E$99)*($F434='TaxCred&amp;Subs'!$C$66:$C$99),0)),0)),IF(AND($C434=1,VALUE(RIGHT($AD434,1))&gt;2),(N434-R434)*(IFERROR(INDEX('TaxCred&amp;Subs'!$J$66:$J$99,MATCH(1,($C434&amp;$D434='TaxCred&amp;Subs'!$D$66:$D$99)*($F434='TaxCred&amp;Subs'!$C$66:$C$99),0)),0)),IF($C434&gt;2,(N434-R434)*(IFERROR(INDEX('TaxCred&amp;Subs'!$J$66:$J$99,MATCH(1,($C434&amp;$D434='TaxCred&amp;Subs'!$D$66:$D$99)*($F434='TaxCred&amp;Subs'!$C$66:$C$99),0)),0)),0))),0)</f>
        <v>1000</v>
      </c>
      <c r="Q434" s="95">
        <f t="array" ref="Q434">ROUND(IF(AND($C434=2,VALUE(RIGHT($AD434,1))&gt;2),(O434-S434)*(IFERROR(INDEX('TaxCred&amp;Subs'!$J$66:$J$99,MATCH(1,($C434&amp;$D434='TaxCred&amp;Subs'!$E$66:$E$99)*($F434='TaxCred&amp;Subs'!$C$66:$C$99),0)),0)),IF(AND($C434=1,VALUE(RIGHT($AD434,1))&gt;2),(O434-S434)*(IFERROR(INDEX('TaxCred&amp;Subs'!$J$66:$J$99,MATCH(1,($C434&amp;$D434='TaxCred&amp;Subs'!$D$66:$D$99)*($F434='TaxCred&amp;Subs'!$C$66:$C$99),0)),0)),IF($C434&gt;2,(O434-S434)*(IFERROR(INDEX('TaxCred&amp;Subs'!$J$66:$J$99,MATCH(1,($C434&amp;$D434='TaxCred&amp;Subs'!$D$66:$D$99)*($F434='TaxCred&amp;Subs'!$C$66:$C$99),0)),0)),0))),0)</f>
        <v>0</v>
      </c>
      <c r="R434" s="170">
        <f t="array" ref="R434">ROUND(IF(IFERROR(VALUE(RIGHT($AD434,1)),0)&gt;2,IF($C434=8,N434*IFERROR(INDEX('TaxCred&amp;Subs'!$K$139:$S$151,MATCH($C434&amp;$D434&amp;LEFT($AD434,7),'TaxCred&amp;Subs'!$E$139:$E$151,0),MATCH($H434,'TaxCred&amp;Subs'!$K$137:$S$137,0)),0),IF($C434=2,N434*IFERROR(INDEX('TaxCred&amp;Subs'!$K$139:$S$151,MATCH($C434&amp;$D434,'TaxCred&amp;Subs'!$D$139:$D$151,0),MATCH($H434,'TaxCred&amp;Subs'!$K$137:$S$137,0)),0),N434*IFERROR(INDEX('TaxCred&amp;Subs'!$K$139:$S$151,MATCH($C434&amp;$D434,'TaxCred&amp;Subs'!$C$139:$C$151,0),MATCH($H434,'TaxCred&amp;Subs'!$K$137:$S$137,0)),0))),0),0)</f>
        <v>0</v>
      </c>
      <c r="S434" s="170">
        <f t="array" ref="S434">ROUND(IF(IFERROR(VALUE(RIGHT($AD434,1)),0)&gt;2,IF($C434=8,O434*IFERROR(INDEX('TaxCred&amp;Subs'!$K$139:$S$151,MATCH($C434&amp;$D434&amp;LEFT($AD434,7),'TaxCred&amp;Subs'!$E$139:$E$151,0),MATCH($H434,'TaxCred&amp;Subs'!$K$137:$S$137,0)),0),IF($C434=2,O434*IFERROR(INDEX('TaxCred&amp;Subs'!$K$139:$S$151,MATCH($C434&amp;$D434,'TaxCred&amp;Subs'!$D$139:$D$151,0),MATCH($H434,'TaxCred&amp;Subs'!$K$137:$S$137,0)),0),O434*IFERROR(INDEX('TaxCred&amp;Subs'!$K$139:$S$151,MATCH($C434&amp;$D434,'TaxCred&amp;Subs'!$C$139:$C$151,0),MATCH($H434,'TaxCred&amp;Subs'!$K$137:$S$137,0)),0))),0),0)</f>
        <v>0</v>
      </c>
      <c r="T434" s="95">
        <f t="shared" si="24"/>
        <v>0</v>
      </c>
      <c r="U434" s="95">
        <f t="shared" si="25"/>
        <v>0</v>
      </c>
      <c r="V434" s="28" t="s">
        <v>222</v>
      </c>
      <c r="W434" s="31">
        <v>2020</v>
      </c>
      <c r="X434" s="28">
        <v>1</v>
      </c>
      <c r="Y434" s="28">
        <v>0</v>
      </c>
      <c r="Z434" s="196">
        <v>-2.0762472774284713E-4</v>
      </c>
      <c r="AA434" s="196">
        <v>-3.1942265806591866E-3</v>
      </c>
      <c r="AB434" s="28">
        <v>0</v>
      </c>
      <c r="AC434" s="28">
        <v>0</v>
      </c>
      <c r="AD434" s="28" t="s">
        <v>197</v>
      </c>
    </row>
    <row r="435" spans="2:30" ht="14.25" customHeight="1" x14ac:dyDescent="0.2">
      <c r="B435" s="7">
        <f t="shared" si="26"/>
        <v>411</v>
      </c>
      <c r="C435" s="28">
        <v>2</v>
      </c>
      <c r="D435" s="28">
        <v>3</v>
      </c>
      <c r="E435" s="31">
        <v>10</v>
      </c>
      <c r="F435" s="78">
        <v>2023</v>
      </c>
      <c r="G435" s="28">
        <v>2032</v>
      </c>
      <c r="H435" s="28">
        <v>7</v>
      </c>
      <c r="I435" s="96">
        <v>45</v>
      </c>
      <c r="J435" s="28">
        <v>4</v>
      </c>
      <c r="K435" s="28">
        <v>0</v>
      </c>
      <c r="L435" s="28">
        <v>0</v>
      </c>
      <c r="M435" s="75">
        <v>4.6893317702227435</v>
      </c>
      <c r="N435" s="151">
        <v>3470</v>
      </c>
      <c r="O435" s="79">
        <v>0</v>
      </c>
      <c r="P435" s="95">
        <f t="array" ref="P435">ROUND(IF($F435&lt;='TaxCred&amp;Subs'!$C$49,(IF($C435=2,IF($M435&gt;=IFERROR(INDEX('TaxCred&amp;Subs'!$L$12:$L$47,MATCH(1,($C435&amp;$D435='TaxCred&amp;Subs'!$E$12:$E$47)*($F435='TaxCred&amp;Subs'!$C$12:$C$47),0)
),9999),IFERROR(INDEX('TaxCred&amp;Subs'!$N$12:$N$47,MATCH(1,($C435&amp;$D435='TaxCred&amp;Subs'!$E$12:$E$47)*($F435='TaxCred&amp;Subs'!$C$12:$C$47),0)
),0),0),(IF($M435&gt;=IFERROR(INDEX('TaxCred&amp;Subs'!$H$12:$H$47,MATCH(1,($C435&amp;$D435='TaxCred&amp;Subs'!$D$12:$D$47)*($F435='TaxCred&amp;Subs'!$C$12:$C$47),0)
),9999),IFERROR(INDEX('TaxCred&amp;Subs'!$N$12:$N$47,MATCH(1,($C435&amp;$D435='TaxCred&amp;Subs'!$D$12:$D$47)*($F435='TaxCred&amp;Subs'!$C$12:$C$47),0)
),0),0)))),0)+IF(AND($C435=2,VALUE(RIGHT($AD435,1))&gt;2),(N435-R435)*(IFERROR(INDEX('TaxCred&amp;Subs'!$J$66:$J$99,MATCH(1,($C435&amp;$D435='TaxCred&amp;Subs'!$E$66:$E$99)*($F435='TaxCred&amp;Subs'!$C$66:$C$99),0)),0)),IF(AND($C435=1,VALUE(RIGHT($AD435,1))&gt;2),(N435-R435)*(IFERROR(INDEX('TaxCred&amp;Subs'!$J$66:$J$99,MATCH(1,($C435&amp;$D435='TaxCred&amp;Subs'!$D$66:$D$99)*($F435='TaxCred&amp;Subs'!$C$66:$C$99),0)),0)),IF($C435&gt;2,(N435-R435)*(IFERROR(INDEX('TaxCred&amp;Subs'!$J$66:$J$99,MATCH(1,($C435&amp;$D435='TaxCred&amp;Subs'!$D$66:$D$99)*($F435='TaxCred&amp;Subs'!$C$66:$C$99),0)),0)),0))),0)</f>
        <v>1000</v>
      </c>
      <c r="Q435" s="95">
        <f t="array" ref="Q435">ROUND(IF(AND($C435=2,VALUE(RIGHT($AD435,1))&gt;2),(O435-S435)*(IFERROR(INDEX('TaxCred&amp;Subs'!$J$66:$J$99,MATCH(1,($C435&amp;$D435='TaxCred&amp;Subs'!$E$66:$E$99)*($F435='TaxCred&amp;Subs'!$C$66:$C$99),0)),0)),IF(AND($C435=1,VALUE(RIGHT($AD435,1))&gt;2),(O435-S435)*(IFERROR(INDEX('TaxCred&amp;Subs'!$J$66:$J$99,MATCH(1,($C435&amp;$D435='TaxCred&amp;Subs'!$D$66:$D$99)*($F435='TaxCred&amp;Subs'!$C$66:$C$99),0)),0)),IF($C435&gt;2,(O435-S435)*(IFERROR(INDEX('TaxCred&amp;Subs'!$J$66:$J$99,MATCH(1,($C435&amp;$D435='TaxCred&amp;Subs'!$D$66:$D$99)*($F435='TaxCred&amp;Subs'!$C$66:$C$99),0)),0)),0))),0)</f>
        <v>0</v>
      </c>
      <c r="R435" s="170">
        <f t="array" ref="R435">ROUND(IF(IFERROR(VALUE(RIGHT($AD435,1)),0)&gt;2,IF($C435=8,N435*IFERROR(INDEX('TaxCred&amp;Subs'!$K$139:$S$151,MATCH($C435&amp;$D435&amp;LEFT($AD435,7),'TaxCred&amp;Subs'!$E$139:$E$151,0),MATCH($H435,'TaxCred&amp;Subs'!$K$137:$S$137,0)),0),IF($C435=2,N435*IFERROR(INDEX('TaxCred&amp;Subs'!$K$139:$S$151,MATCH($C435&amp;$D435,'TaxCred&amp;Subs'!$D$139:$D$151,0),MATCH($H435,'TaxCred&amp;Subs'!$K$137:$S$137,0)),0),N435*IFERROR(INDEX('TaxCred&amp;Subs'!$K$139:$S$151,MATCH($C435&amp;$D435,'TaxCred&amp;Subs'!$C$139:$C$151,0),MATCH($H435,'TaxCred&amp;Subs'!$K$137:$S$137,0)),0))),0),0)</f>
        <v>672</v>
      </c>
      <c r="S435" s="170">
        <f t="array" ref="S435">ROUND(IF(IFERROR(VALUE(RIGHT($AD435,1)),0)&gt;2,IF($C435=8,O435*IFERROR(INDEX('TaxCred&amp;Subs'!$K$139:$S$151,MATCH($C435&amp;$D435&amp;LEFT($AD435,7),'TaxCred&amp;Subs'!$E$139:$E$151,0),MATCH($H435,'TaxCred&amp;Subs'!$K$137:$S$137,0)),0),IF($C435=2,O435*IFERROR(INDEX('TaxCred&amp;Subs'!$K$139:$S$151,MATCH($C435&amp;$D435,'TaxCred&amp;Subs'!$D$139:$D$151,0),MATCH($H435,'TaxCred&amp;Subs'!$K$137:$S$137,0)),0),O435*IFERROR(INDEX('TaxCred&amp;Subs'!$K$139:$S$151,MATCH($C435&amp;$D435,'TaxCred&amp;Subs'!$C$139:$C$151,0),MATCH($H435,'TaxCred&amp;Subs'!$K$137:$S$137,0)),0))),0),0)</f>
        <v>0</v>
      </c>
      <c r="T435" s="95">
        <f t="shared" si="24"/>
        <v>0</v>
      </c>
      <c r="U435" s="95">
        <f t="shared" si="25"/>
        <v>0</v>
      </c>
      <c r="V435" s="28" t="s">
        <v>222</v>
      </c>
      <c r="W435" s="31">
        <v>2020</v>
      </c>
      <c r="X435" s="28">
        <v>1</v>
      </c>
      <c r="Y435" s="28">
        <v>0</v>
      </c>
      <c r="Z435" s="196">
        <v>-2.0762472774284713E-4</v>
      </c>
      <c r="AA435" s="196">
        <v>-3.1942265806591866E-3</v>
      </c>
      <c r="AB435" s="28">
        <v>0</v>
      </c>
      <c r="AC435" s="28">
        <v>0</v>
      </c>
      <c r="AD435" s="28" t="s">
        <v>197</v>
      </c>
    </row>
    <row r="436" spans="2:30" ht="14.25" customHeight="1" x14ac:dyDescent="0.2">
      <c r="B436" s="7">
        <f t="shared" si="26"/>
        <v>412</v>
      </c>
      <c r="C436" s="28">
        <v>2</v>
      </c>
      <c r="D436" s="28">
        <v>3</v>
      </c>
      <c r="E436" s="31">
        <v>10</v>
      </c>
      <c r="F436" s="78">
        <v>2023</v>
      </c>
      <c r="G436" s="28">
        <v>2032</v>
      </c>
      <c r="H436" s="28">
        <v>8</v>
      </c>
      <c r="I436" s="96">
        <v>45</v>
      </c>
      <c r="J436" s="28">
        <v>4</v>
      </c>
      <c r="K436" s="28">
        <v>0</v>
      </c>
      <c r="L436" s="28">
        <v>0</v>
      </c>
      <c r="M436" s="75">
        <v>4.6893317702227435</v>
      </c>
      <c r="N436" s="151">
        <v>3470</v>
      </c>
      <c r="O436" s="79">
        <v>0</v>
      </c>
      <c r="P436" s="95">
        <f t="array" ref="P436">ROUND(IF($F436&lt;='TaxCred&amp;Subs'!$C$49,(IF($C436=2,IF($M436&gt;=IFERROR(INDEX('TaxCred&amp;Subs'!$L$12:$L$47,MATCH(1,($C436&amp;$D436='TaxCred&amp;Subs'!$E$12:$E$47)*($F436='TaxCred&amp;Subs'!$C$12:$C$47),0)
),9999),IFERROR(INDEX('TaxCred&amp;Subs'!$N$12:$N$47,MATCH(1,($C436&amp;$D436='TaxCred&amp;Subs'!$E$12:$E$47)*($F436='TaxCred&amp;Subs'!$C$12:$C$47),0)
),0),0),(IF($M436&gt;=IFERROR(INDEX('TaxCred&amp;Subs'!$H$12:$H$47,MATCH(1,($C436&amp;$D436='TaxCred&amp;Subs'!$D$12:$D$47)*($F436='TaxCred&amp;Subs'!$C$12:$C$47),0)
),9999),IFERROR(INDEX('TaxCred&amp;Subs'!$N$12:$N$47,MATCH(1,($C436&amp;$D436='TaxCred&amp;Subs'!$D$12:$D$47)*($F436='TaxCred&amp;Subs'!$C$12:$C$47),0)
),0),0)))),0)+IF(AND($C436=2,VALUE(RIGHT($AD436,1))&gt;2),(N436-R436)*(IFERROR(INDEX('TaxCred&amp;Subs'!$J$66:$J$99,MATCH(1,($C436&amp;$D436='TaxCred&amp;Subs'!$E$66:$E$99)*($F436='TaxCred&amp;Subs'!$C$66:$C$99),0)),0)),IF(AND($C436=1,VALUE(RIGHT($AD436,1))&gt;2),(N436-R436)*(IFERROR(INDEX('TaxCred&amp;Subs'!$J$66:$J$99,MATCH(1,($C436&amp;$D436='TaxCred&amp;Subs'!$D$66:$D$99)*($F436='TaxCred&amp;Subs'!$C$66:$C$99),0)),0)),IF($C436&gt;2,(N436-R436)*(IFERROR(INDEX('TaxCred&amp;Subs'!$J$66:$J$99,MATCH(1,($C436&amp;$D436='TaxCred&amp;Subs'!$D$66:$D$99)*($F436='TaxCred&amp;Subs'!$C$66:$C$99),0)),0)),0))),0)</f>
        <v>1000</v>
      </c>
      <c r="Q436" s="95">
        <f t="array" ref="Q436">ROUND(IF(AND($C436=2,VALUE(RIGHT($AD436,1))&gt;2),(O436-S436)*(IFERROR(INDEX('TaxCred&amp;Subs'!$J$66:$J$99,MATCH(1,($C436&amp;$D436='TaxCred&amp;Subs'!$E$66:$E$99)*($F436='TaxCred&amp;Subs'!$C$66:$C$99),0)),0)),IF(AND($C436=1,VALUE(RIGHT($AD436,1))&gt;2),(O436-S436)*(IFERROR(INDEX('TaxCred&amp;Subs'!$J$66:$J$99,MATCH(1,($C436&amp;$D436='TaxCred&amp;Subs'!$D$66:$D$99)*($F436='TaxCred&amp;Subs'!$C$66:$C$99),0)),0)),IF($C436&gt;2,(O436-S436)*(IFERROR(INDEX('TaxCred&amp;Subs'!$J$66:$J$99,MATCH(1,($C436&amp;$D436='TaxCred&amp;Subs'!$D$66:$D$99)*($F436='TaxCred&amp;Subs'!$C$66:$C$99),0)),0)),0))),0)</f>
        <v>0</v>
      </c>
      <c r="R436" s="170">
        <f t="array" ref="R436">ROUND(IF(IFERROR(VALUE(RIGHT($AD436,1)),0)&gt;2,IF($C436=8,N436*IFERROR(INDEX('TaxCred&amp;Subs'!$K$139:$S$151,MATCH($C436&amp;$D436&amp;LEFT($AD436,7),'TaxCred&amp;Subs'!$E$139:$E$151,0),MATCH($H436,'TaxCred&amp;Subs'!$K$137:$S$137,0)),0),IF($C436=2,N436*IFERROR(INDEX('TaxCred&amp;Subs'!$K$139:$S$151,MATCH($C436&amp;$D436,'TaxCred&amp;Subs'!$D$139:$D$151,0),MATCH($H436,'TaxCred&amp;Subs'!$K$137:$S$137,0)),0),N436*IFERROR(INDEX('TaxCred&amp;Subs'!$K$139:$S$151,MATCH($C436&amp;$D436,'TaxCred&amp;Subs'!$C$139:$C$151,0),MATCH($H436,'TaxCred&amp;Subs'!$K$137:$S$137,0)),0))),0),0)</f>
        <v>160</v>
      </c>
      <c r="S436" s="170">
        <f t="array" ref="S436">ROUND(IF(IFERROR(VALUE(RIGHT($AD436,1)),0)&gt;2,IF($C436=8,O436*IFERROR(INDEX('TaxCred&amp;Subs'!$K$139:$S$151,MATCH($C436&amp;$D436&amp;LEFT($AD436,7),'TaxCred&amp;Subs'!$E$139:$E$151,0),MATCH($H436,'TaxCred&amp;Subs'!$K$137:$S$137,0)),0),IF($C436=2,O436*IFERROR(INDEX('TaxCred&amp;Subs'!$K$139:$S$151,MATCH($C436&amp;$D436,'TaxCred&amp;Subs'!$D$139:$D$151,0),MATCH($H436,'TaxCred&amp;Subs'!$K$137:$S$137,0)),0),O436*IFERROR(INDEX('TaxCred&amp;Subs'!$K$139:$S$151,MATCH($C436&amp;$D436,'TaxCred&amp;Subs'!$C$139:$C$151,0),MATCH($H436,'TaxCred&amp;Subs'!$K$137:$S$137,0)),0))),0),0)</f>
        <v>0</v>
      </c>
      <c r="T436" s="95">
        <f t="shared" si="24"/>
        <v>0</v>
      </c>
      <c r="U436" s="95">
        <f t="shared" si="25"/>
        <v>0</v>
      </c>
      <c r="V436" s="28" t="s">
        <v>222</v>
      </c>
      <c r="W436" s="31">
        <v>2020</v>
      </c>
      <c r="X436" s="28">
        <v>1</v>
      </c>
      <c r="Y436" s="28">
        <v>0</v>
      </c>
      <c r="Z436" s="196">
        <v>-2.0762472774284713E-4</v>
      </c>
      <c r="AA436" s="196">
        <v>-3.1942265806591866E-3</v>
      </c>
      <c r="AB436" s="28">
        <v>0</v>
      </c>
      <c r="AC436" s="28">
        <v>0</v>
      </c>
      <c r="AD436" s="28" t="s">
        <v>197</v>
      </c>
    </row>
    <row r="437" spans="2:30" ht="14.25" customHeight="1" x14ac:dyDescent="0.2">
      <c r="B437" s="7">
        <f t="shared" si="26"/>
        <v>413</v>
      </c>
      <c r="C437" s="28">
        <v>2</v>
      </c>
      <c r="D437" s="28">
        <v>3</v>
      </c>
      <c r="E437" s="31">
        <v>10</v>
      </c>
      <c r="F437" s="78">
        <v>2023</v>
      </c>
      <c r="G437" s="28">
        <v>2032</v>
      </c>
      <c r="H437" s="28">
        <v>9</v>
      </c>
      <c r="I437" s="96">
        <v>45</v>
      </c>
      <c r="J437" s="28">
        <v>4</v>
      </c>
      <c r="K437" s="28">
        <v>0</v>
      </c>
      <c r="L437" s="28">
        <v>0</v>
      </c>
      <c r="M437" s="75">
        <v>4.6893317702227435</v>
      </c>
      <c r="N437" s="151">
        <v>3470</v>
      </c>
      <c r="O437" s="79">
        <v>0</v>
      </c>
      <c r="P437" s="95">
        <f t="array" ref="P437">ROUND(IF($F437&lt;='TaxCred&amp;Subs'!$C$49,(IF($C437=2,IF($M437&gt;=IFERROR(INDEX('TaxCred&amp;Subs'!$L$12:$L$47,MATCH(1,($C437&amp;$D437='TaxCred&amp;Subs'!$E$12:$E$47)*($F437='TaxCred&amp;Subs'!$C$12:$C$47),0)
),9999),IFERROR(INDEX('TaxCred&amp;Subs'!$N$12:$N$47,MATCH(1,($C437&amp;$D437='TaxCred&amp;Subs'!$E$12:$E$47)*($F437='TaxCred&amp;Subs'!$C$12:$C$47),0)
),0),0),(IF($M437&gt;=IFERROR(INDEX('TaxCred&amp;Subs'!$H$12:$H$47,MATCH(1,($C437&amp;$D437='TaxCred&amp;Subs'!$D$12:$D$47)*($F437='TaxCred&amp;Subs'!$C$12:$C$47),0)
),9999),IFERROR(INDEX('TaxCred&amp;Subs'!$N$12:$N$47,MATCH(1,($C437&amp;$D437='TaxCred&amp;Subs'!$D$12:$D$47)*($F437='TaxCred&amp;Subs'!$C$12:$C$47),0)
),0),0)))),0)+IF(AND($C437=2,VALUE(RIGHT($AD437,1))&gt;2),(N437-R437)*(IFERROR(INDEX('TaxCred&amp;Subs'!$J$66:$J$99,MATCH(1,($C437&amp;$D437='TaxCred&amp;Subs'!$E$66:$E$99)*($F437='TaxCred&amp;Subs'!$C$66:$C$99),0)),0)),IF(AND($C437=1,VALUE(RIGHT($AD437,1))&gt;2),(N437-R437)*(IFERROR(INDEX('TaxCred&amp;Subs'!$J$66:$J$99,MATCH(1,($C437&amp;$D437='TaxCred&amp;Subs'!$D$66:$D$99)*($F437='TaxCred&amp;Subs'!$C$66:$C$99),0)),0)),IF($C437&gt;2,(N437-R437)*(IFERROR(INDEX('TaxCred&amp;Subs'!$J$66:$J$99,MATCH(1,($C437&amp;$D437='TaxCred&amp;Subs'!$D$66:$D$99)*($F437='TaxCred&amp;Subs'!$C$66:$C$99),0)),0)),0))),0)</f>
        <v>1000</v>
      </c>
      <c r="Q437" s="95">
        <f t="array" ref="Q437">ROUND(IF(AND($C437=2,VALUE(RIGHT($AD437,1))&gt;2),(O437-S437)*(IFERROR(INDEX('TaxCred&amp;Subs'!$J$66:$J$99,MATCH(1,($C437&amp;$D437='TaxCred&amp;Subs'!$E$66:$E$99)*($F437='TaxCred&amp;Subs'!$C$66:$C$99),0)),0)),IF(AND($C437=1,VALUE(RIGHT($AD437,1))&gt;2),(O437-S437)*(IFERROR(INDEX('TaxCred&amp;Subs'!$J$66:$J$99,MATCH(1,($C437&amp;$D437='TaxCred&amp;Subs'!$D$66:$D$99)*($F437='TaxCred&amp;Subs'!$C$66:$C$99),0)),0)),IF($C437&gt;2,(O437-S437)*(IFERROR(INDEX('TaxCred&amp;Subs'!$J$66:$J$99,MATCH(1,($C437&amp;$D437='TaxCred&amp;Subs'!$D$66:$D$99)*($F437='TaxCred&amp;Subs'!$C$66:$C$99),0)),0)),0))),0)</f>
        <v>0</v>
      </c>
      <c r="R437" s="170">
        <f t="array" ref="R437">ROUND(IF(IFERROR(VALUE(RIGHT($AD437,1)),0)&gt;2,IF($C437=8,N437*IFERROR(INDEX('TaxCred&amp;Subs'!$K$139:$S$151,MATCH($C437&amp;$D437&amp;LEFT($AD437,7),'TaxCred&amp;Subs'!$E$139:$E$151,0),MATCH($H437,'TaxCred&amp;Subs'!$K$137:$S$137,0)),0),IF($C437=2,N437*IFERROR(INDEX('TaxCred&amp;Subs'!$K$139:$S$151,MATCH($C437&amp;$D437,'TaxCred&amp;Subs'!$D$139:$D$151,0),MATCH($H437,'TaxCred&amp;Subs'!$K$137:$S$137,0)),0),N437*IFERROR(INDEX('TaxCred&amp;Subs'!$K$139:$S$151,MATCH($C437&amp;$D437,'TaxCred&amp;Subs'!$C$139:$C$151,0),MATCH($H437,'TaxCred&amp;Subs'!$K$137:$S$137,0)),0))),0),0)</f>
        <v>385</v>
      </c>
      <c r="S437" s="170">
        <f t="array" ref="S437">ROUND(IF(IFERROR(VALUE(RIGHT($AD437,1)),0)&gt;2,IF($C437=8,O437*IFERROR(INDEX('TaxCred&amp;Subs'!$K$139:$S$151,MATCH($C437&amp;$D437&amp;LEFT($AD437,7),'TaxCred&amp;Subs'!$E$139:$E$151,0),MATCH($H437,'TaxCred&amp;Subs'!$K$137:$S$137,0)),0),IF($C437=2,O437*IFERROR(INDEX('TaxCred&amp;Subs'!$K$139:$S$151,MATCH($C437&amp;$D437,'TaxCred&amp;Subs'!$D$139:$D$151,0),MATCH($H437,'TaxCred&amp;Subs'!$K$137:$S$137,0)),0),O437*IFERROR(INDEX('TaxCred&amp;Subs'!$K$139:$S$151,MATCH($C437&amp;$D437,'TaxCred&amp;Subs'!$C$139:$C$151,0),MATCH($H437,'TaxCred&amp;Subs'!$K$137:$S$137,0)),0))),0),0)</f>
        <v>0</v>
      </c>
      <c r="T437" s="172">
        <f t="shared" si="24"/>
        <v>370.5</v>
      </c>
      <c r="U437" s="95">
        <f t="shared" si="25"/>
        <v>0</v>
      </c>
      <c r="V437" s="28" t="s">
        <v>222</v>
      </c>
      <c r="W437" s="31">
        <v>2020</v>
      </c>
      <c r="X437" s="28">
        <v>1</v>
      </c>
      <c r="Y437" s="28">
        <v>0</v>
      </c>
      <c r="Z437" s="196">
        <v>-2.0762472774284713E-4</v>
      </c>
      <c r="AA437" s="196">
        <v>-3.1942265806591866E-3</v>
      </c>
      <c r="AB437" s="28">
        <v>0</v>
      </c>
      <c r="AC437" s="28">
        <v>0</v>
      </c>
      <c r="AD437" s="28" t="s">
        <v>197</v>
      </c>
    </row>
    <row r="438" spans="2:30" ht="14.25" customHeight="1" x14ac:dyDescent="0.2">
      <c r="B438" s="7">
        <f t="shared" si="26"/>
        <v>414</v>
      </c>
      <c r="C438" s="28">
        <v>2</v>
      </c>
      <c r="D438" s="28">
        <v>3</v>
      </c>
      <c r="E438" s="31">
        <v>10</v>
      </c>
      <c r="F438" s="78">
        <v>2033</v>
      </c>
      <c r="G438" s="28">
        <v>2050</v>
      </c>
      <c r="H438" s="28">
        <v>1</v>
      </c>
      <c r="I438" s="96">
        <v>45</v>
      </c>
      <c r="J438" s="28">
        <v>4</v>
      </c>
      <c r="K438" s="28">
        <v>0</v>
      </c>
      <c r="L438" s="28">
        <v>0</v>
      </c>
      <c r="M438" s="75">
        <v>4.6893317702227435</v>
      </c>
      <c r="N438" s="151">
        <v>3470</v>
      </c>
      <c r="O438" s="79">
        <v>0</v>
      </c>
      <c r="P438" s="95">
        <f t="array" ref="P438">ROUND(IF($F438&lt;='TaxCred&amp;Subs'!$C$49,(IF($C438=2,IF($M438&gt;=IFERROR(INDEX('TaxCred&amp;Subs'!$L$12:$L$47,MATCH(1,($C438&amp;$D438='TaxCred&amp;Subs'!$E$12:$E$47)*($F438='TaxCred&amp;Subs'!$C$12:$C$47),0)
),9999),IFERROR(INDEX('TaxCred&amp;Subs'!$N$12:$N$47,MATCH(1,($C438&amp;$D438='TaxCred&amp;Subs'!$E$12:$E$47)*($F438='TaxCred&amp;Subs'!$C$12:$C$47),0)
),0),0),(IF($M438&gt;=IFERROR(INDEX('TaxCred&amp;Subs'!$H$12:$H$47,MATCH(1,($C438&amp;$D438='TaxCred&amp;Subs'!$D$12:$D$47)*($F438='TaxCred&amp;Subs'!$C$12:$C$47),0)
),9999),IFERROR(INDEX('TaxCred&amp;Subs'!$N$12:$N$47,MATCH(1,($C438&amp;$D438='TaxCred&amp;Subs'!$D$12:$D$47)*($F438='TaxCred&amp;Subs'!$C$12:$C$47),0)
),0),0)))),0)+IF(AND($C438=2,VALUE(RIGHT($AD438,1))&gt;2),(N438-R438)*(IFERROR(INDEX('TaxCred&amp;Subs'!$J$66:$J$99,MATCH(1,($C438&amp;$D438='TaxCred&amp;Subs'!$E$66:$E$99)*($F438='TaxCred&amp;Subs'!$C$66:$C$99),0)),0)),IF(AND($C438=1,VALUE(RIGHT($AD438,1))&gt;2),(N438-R438)*(IFERROR(INDEX('TaxCred&amp;Subs'!$J$66:$J$99,MATCH(1,($C438&amp;$D438='TaxCred&amp;Subs'!$D$66:$D$99)*($F438='TaxCred&amp;Subs'!$C$66:$C$99),0)),0)),IF($C438&gt;2,(N438-R438)*(IFERROR(INDEX('TaxCred&amp;Subs'!$J$66:$J$99,MATCH(1,($C438&amp;$D438='TaxCred&amp;Subs'!$D$66:$D$99)*($F438='TaxCred&amp;Subs'!$C$66:$C$99),0)),0)),0))),0)</f>
        <v>0</v>
      </c>
      <c r="Q438" s="95">
        <f t="array" ref="Q438">ROUND(IF(AND($C438=2,VALUE(RIGHT($AD438,1))&gt;2),(O438-S438)*(IFERROR(INDEX('TaxCred&amp;Subs'!$J$66:$J$99,MATCH(1,($C438&amp;$D438='TaxCred&amp;Subs'!$E$66:$E$99)*($F438='TaxCred&amp;Subs'!$C$66:$C$99),0)),0)),IF(AND($C438=1,VALUE(RIGHT($AD438,1))&gt;2),(O438-S438)*(IFERROR(INDEX('TaxCred&amp;Subs'!$J$66:$J$99,MATCH(1,($C438&amp;$D438='TaxCred&amp;Subs'!$D$66:$D$99)*($F438='TaxCred&amp;Subs'!$C$66:$C$99),0)),0)),IF($C438&gt;2,(O438-S438)*(IFERROR(INDEX('TaxCred&amp;Subs'!$J$66:$J$99,MATCH(1,($C438&amp;$D438='TaxCred&amp;Subs'!$D$66:$D$99)*($F438='TaxCred&amp;Subs'!$C$66:$C$99),0)),0)),0))),0)</f>
        <v>0</v>
      </c>
      <c r="R438" s="170">
        <f t="array" ref="R438">ROUND(IF(IFERROR(VALUE(RIGHT($AD438,1)),0)&gt;2,IF($C438=8,N438*IFERROR(INDEX('TaxCred&amp;Subs'!$K$139:$S$151,MATCH($C438&amp;$D438&amp;LEFT($AD438,7),'TaxCred&amp;Subs'!$E$139:$E$151,0),MATCH($H438,'TaxCred&amp;Subs'!$K$137:$S$137,0)),0),IF($C438=2,N438*IFERROR(INDEX('TaxCred&amp;Subs'!$K$139:$S$151,MATCH($C438&amp;$D438,'TaxCred&amp;Subs'!$D$139:$D$151,0),MATCH($H438,'TaxCred&amp;Subs'!$K$137:$S$137,0)),0),N438*IFERROR(INDEX('TaxCred&amp;Subs'!$K$139:$S$151,MATCH($C438&amp;$D438,'TaxCred&amp;Subs'!$C$139:$C$151,0),MATCH($H438,'TaxCred&amp;Subs'!$K$137:$S$137,0)),0))),0),0)</f>
        <v>501</v>
      </c>
      <c r="S438" s="170">
        <f t="array" ref="S438">ROUND(IF(IFERROR(VALUE(RIGHT($AD438,1)),0)&gt;2,IF($C438=8,O438*IFERROR(INDEX('TaxCred&amp;Subs'!$K$139:$S$151,MATCH($C438&amp;$D438&amp;LEFT($AD438,7),'TaxCred&amp;Subs'!$E$139:$E$151,0),MATCH($H438,'TaxCred&amp;Subs'!$K$137:$S$137,0)),0),IF($C438=2,O438*IFERROR(INDEX('TaxCred&amp;Subs'!$K$139:$S$151,MATCH($C438&amp;$D438,'TaxCred&amp;Subs'!$D$139:$D$151,0),MATCH($H438,'TaxCred&amp;Subs'!$K$137:$S$137,0)),0),O438*IFERROR(INDEX('TaxCred&amp;Subs'!$K$139:$S$151,MATCH($C438&amp;$D438,'TaxCred&amp;Subs'!$C$139:$C$151,0),MATCH($H438,'TaxCred&amp;Subs'!$K$137:$S$137,0)),0))),0),0)</f>
        <v>0</v>
      </c>
      <c r="T438" s="95">
        <f t="shared" si="24"/>
        <v>0</v>
      </c>
      <c r="U438" s="95">
        <f t="shared" si="25"/>
        <v>0</v>
      </c>
      <c r="V438" s="28" t="s">
        <v>222</v>
      </c>
      <c r="W438" s="31">
        <v>2020</v>
      </c>
      <c r="X438" s="28">
        <v>1</v>
      </c>
      <c r="Y438" s="28">
        <v>0</v>
      </c>
      <c r="Z438" s="196">
        <v>-2.0762472774284713E-4</v>
      </c>
      <c r="AA438" s="196">
        <v>-3.1942265806591866E-3</v>
      </c>
      <c r="AB438" s="28">
        <v>0</v>
      </c>
      <c r="AC438" s="28">
        <v>0</v>
      </c>
      <c r="AD438" s="28" t="s">
        <v>197</v>
      </c>
    </row>
    <row r="439" spans="2:30" ht="14.25" customHeight="1" x14ac:dyDescent="0.2">
      <c r="B439" s="7">
        <f t="shared" si="26"/>
        <v>415</v>
      </c>
      <c r="C439" s="28">
        <v>2</v>
      </c>
      <c r="D439" s="28">
        <v>3</v>
      </c>
      <c r="E439" s="31">
        <v>10</v>
      </c>
      <c r="F439" s="78">
        <v>2033</v>
      </c>
      <c r="G439" s="28">
        <v>2050</v>
      </c>
      <c r="H439" s="28">
        <v>2</v>
      </c>
      <c r="I439" s="96">
        <v>45</v>
      </c>
      <c r="J439" s="28">
        <v>4</v>
      </c>
      <c r="K439" s="28">
        <v>0</v>
      </c>
      <c r="L439" s="28">
        <v>0</v>
      </c>
      <c r="M439" s="75">
        <v>4.6893317702227435</v>
      </c>
      <c r="N439" s="151">
        <v>3470</v>
      </c>
      <c r="O439" s="79">
        <v>0</v>
      </c>
      <c r="P439" s="95">
        <f t="array" ref="P439">ROUND(IF($F439&lt;='TaxCred&amp;Subs'!$C$49,(IF($C439=2,IF($M439&gt;=IFERROR(INDEX('TaxCred&amp;Subs'!$L$12:$L$47,MATCH(1,($C439&amp;$D439='TaxCred&amp;Subs'!$E$12:$E$47)*($F439='TaxCred&amp;Subs'!$C$12:$C$47),0)
),9999),IFERROR(INDEX('TaxCred&amp;Subs'!$N$12:$N$47,MATCH(1,($C439&amp;$D439='TaxCred&amp;Subs'!$E$12:$E$47)*($F439='TaxCred&amp;Subs'!$C$12:$C$47),0)
),0),0),(IF($M439&gt;=IFERROR(INDEX('TaxCred&amp;Subs'!$H$12:$H$47,MATCH(1,($C439&amp;$D439='TaxCred&amp;Subs'!$D$12:$D$47)*($F439='TaxCred&amp;Subs'!$C$12:$C$47),0)
),9999),IFERROR(INDEX('TaxCred&amp;Subs'!$N$12:$N$47,MATCH(1,($C439&amp;$D439='TaxCred&amp;Subs'!$D$12:$D$47)*($F439='TaxCred&amp;Subs'!$C$12:$C$47),0)
),0),0)))),0)+IF(AND($C439=2,VALUE(RIGHT($AD439,1))&gt;2),(N439-R439)*(IFERROR(INDEX('TaxCred&amp;Subs'!$J$66:$J$99,MATCH(1,($C439&amp;$D439='TaxCred&amp;Subs'!$E$66:$E$99)*($F439='TaxCred&amp;Subs'!$C$66:$C$99),0)),0)),IF(AND($C439=1,VALUE(RIGHT($AD439,1))&gt;2),(N439-R439)*(IFERROR(INDEX('TaxCred&amp;Subs'!$J$66:$J$99,MATCH(1,($C439&amp;$D439='TaxCred&amp;Subs'!$D$66:$D$99)*($F439='TaxCred&amp;Subs'!$C$66:$C$99),0)),0)),IF($C439&gt;2,(N439-R439)*(IFERROR(INDEX('TaxCred&amp;Subs'!$J$66:$J$99,MATCH(1,($C439&amp;$D439='TaxCred&amp;Subs'!$D$66:$D$99)*($F439='TaxCred&amp;Subs'!$C$66:$C$99),0)),0)),0))),0)</f>
        <v>0</v>
      </c>
      <c r="Q439" s="95">
        <f t="array" ref="Q439">ROUND(IF(AND($C439=2,VALUE(RIGHT($AD439,1))&gt;2),(O439-S439)*(IFERROR(INDEX('TaxCred&amp;Subs'!$J$66:$J$99,MATCH(1,($C439&amp;$D439='TaxCred&amp;Subs'!$E$66:$E$99)*($F439='TaxCred&amp;Subs'!$C$66:$C$99),0)),0)),IF(AND($C439=1,VALUE(RIGHT($AD439,1))&gt;2),(O439-S439)*(IFERROR(INDEX('TaxCred&amp;Subs'!$J$66:$J$99,MATCH(1,($C439&amp;$D439='TaxCred&amp;Subs'!$D$66:$D$99)*($F439='TaxCred&amp;Subs'!$C$66:$C$99),0)),0)),IF($C439&gt;2,(O439-S439)*(IFERROR(INDEX('TaxCred&amp;Subs'!$J$66:$J$99,MATCH(1,($C439&amp;$D439='TaxCred&amp;Subs'!$D$66:$D$99)*($F439='TaxCred&amp;Subs'!$C$66:$C$99),0)),0)),0))),0)</f>
        <v>0</v>
      </c>
      <c r="R439" s="170">
        <f t="array" ref="R439">ROUND(IF(IFERROR(VALUE(RIGHT($AD439,1)),0)&gt;2,IF($C439=8,N439*IFERROR(INDEX('TaxCred&amp;Subs'!$K$139:$S$151,MATCH($C439&amp;$D439&amp;LEFT($AD439,7),'TaxCred&amp;Subs'!$E$139:$E$151,0),MATCH($H439,'TaxCred&amp;Subs'!$K$137:$S$137,0)),0),IF($C439=2,N439*IFERROR(INDEX('TaxCred&amp;Subs'!$K$139:$S$151,MATCH($C439&amp;$D439,'TaxCred&amp;Subs'!$D$139:$D$151,0),MATCH($H439,'TaxCred&amp;Subs'!$K$137:$S$137,0)),0),N439*IFERROR(INDEX('TaxCred&amp;Subs'!$K$139:$S$151,MATCH($C439&amp;$D439,'TaxCred&amp;Subs'!$C$139:$C$151,0),MATCH($H439,'TaxCred&amp;Subs'!$K$137:$S$137,0)),0))),0),0)</f>
        <v>182</v>
      </c>
      <c r="S439" s="170">
        <f t="array" ref="S439">ROUND(IF(IFERROR(VALUE(RIGHT($AD439,1)),0)&gt;2,IF($C439=8,O439*IFERROR(INDEX('TaxCred&amp;Subs'!$K$139:$S$151,MATCH($C439&amp;$D439&amp;LEFT($AD439,7),'TaxCred&amp;Subs'!$E$139:$E$151,0),MATCH($H439,'TaxCred&amp;Subs'!$K$137:$S$137,0)),0),IF($C439=2,O439*IFERROR(INDEX('TaxCred&amp;Subs'!$K$139:$S$151,MATCH($C439&amp;$D439,'TaxCred&amp;Subs'!$D$139:$D$151,0),MATCH($H439,'TaxCred&amp;Subs'!$K$137:$S$137,0)),0),O439*IFERROR(INDEX('TaxCred&amp;Subs'!$K$139:$S$151,MATCH($C439&amp;$D439,'TaxCred&amp;Subs'!$C$139:$C$151,0),MATCH($H439,'TaxCred&amp;Subs'!$K$137:$S$137,0)),0))),0),0)</f>
        <v>0</v>
      </c>
      <c r="T439" s="95">
        <f t="shared" si="24"/>
        <v>0</v>
      </c>
      <c r="U439" s="95">
        <f t="shared" si="25"/>
        <v>0</v>
      </c>
      <c r="V439" s="28" t="s">
        <v>222</v>
      </c>
      <c r="W439" s="31">
        <v>2020</v>
      </c>
      <c r="X439" s="28">
        <v>1</v>
      </c>
      <c r="Y439" s="28">
        <v>0</v>
      </c>
      <c r="Z439" s="196">
        <v>-2.0762472774284713E-4</v>
      </c>
      <c r="AA439" s="196">
        <v>-3.1942265806591866E-3</v>
      </c>
      <c r="AB439" s="28">
        <v>0</v>
      </c>
      <c r="AC439" s="28">
        <v>0</v>
      </c>
      <c r="AD439" s="28" t="s">
        <v>197</v>
      </c>
    </row>
    <row r="440" spans="2:30" ht="14.25" customHeight="1" x14ac:dyDescent="0.2">
      <c r="B440" s="7">
        <f t="shared" si="26"/>
        <v>416</v>
      </c>
      <c r="C440" s="28">
        <v>2</v>
      </c>
      <c r="D440" s="28">
        <v>3</v>
      </c>
      <c r="E440" s="31">
        <v>10</v>
      </c>
      <c r="F440" s="78">
        <v>2033</v>
      </c>
      <c r="G440" s="28">
        <v>2050</v>
      </c>
      <c r="H440" s="28">
        <v>3</v>
      </c>
      <c r="I440" s="96">
        <v>45</v>
      </c>
      <c r="J440" s="28">
        <v>4</v>
      </c>
      <c r="K440" s="28">
        <v>0</v>
      </c>
      <c r="L440" s="28">
        <v>0</v>
      </c>
      <c r="M440" s="75">
        <v>4.6893317702227435</v>
      </c>
      <c r="N440" s="151">
        <v>3470</v>
      </c>
      <c r="O440" s="79">
        <v>0</v>
      </c>
      <c r="P440" s="95">
        <f t="array" ref="P440">ROUND(IF($F440&lt;='TaxCred&amp;Subs'!$C$49,(IF($C440=2,IF($M440&gt;=IFERROR(INDEX('TaxCred&amp;Subs'!$L$12:$L$47,MATCH(1,($C440&amp;$D440='TaxCred&amp;Subs'!$E$12:$E$47)*($F440='TaxCred&amp;Subs'!$C$12:$C$47),0)
),9999),IFERROR(INDEX('TaxCred&amp;Subs'!$N$12:$N$47,MATCH(1,($C440&amp;$D440='TaxCred&amp;Subs'!$E$12:$E$47)*($F440='TaxCred&amp;Subs'!$C$12:$C$47),0)
),0),0),(IF($M440&gt;=IFERROR(INDEX('TaxCred&amp;Subs'!$H$12:$H$47,MATCH(1,($C440&amp;$D440='TaxCred&amp;Subs'!$D$12:$D$47)*($F440='TaxCred&amp;Subs'!$C$12:$C$47),0)
),9999),IFERROR(INDEX('TaxCred&amp;Subs'!$N$12:$N$47,MATCH(1,($C440&amp;$D440='TaxCred&amp;Subs'!$D$12:$D$47)*($F440='TaxCred&amp;Subs'!$C$12:$C$47),0)
),0),0)))),0)+IF(AND($C440=2,VALUE(RIGHT($AD440,1))&gt;2),(N440-R440)*(IFERROR(INDEX('TaxCred&amp;Subs'!$J$66:$J$99,MATCH(1,($C440&amp;$D440='TaxCred&amp;Subs'!$E$66:$E$99)*($F440='TaxCred&amp;Subs'!$C$66:$C$99),0)),0)),IF(AND($C440=1,VALUE(RIGHT($AD440,1))&gt;2),(N440-R440)*(IFERROR(INDEX('TaxCred&amp;Subs'!$J$66:$J$99,MATCH(1,($C440&amp;$D440='TaxCred&amp;Subs'!$D$66:$D$99)*($F440='TaxCred&amp;Subs'!$C$66:$C$99),0)),0)),IF($C440&gt;2,(N440-R440)*(IFERROR(INDEX('TaxCred&amp;Subs'!$J$66:$J$99,MATCH(1,($C440&amp;$D440='TaxCred&amp;Subs'!$D$66:$D$99)*($F440='TaxCred&amp;Subs'!$C$66:$C$99),0)),0)),0))),0)</f>
        <v>0</v>
      </c>
      <c r="Q440" s="95">
        <f t="array" ref="Q440">ROUND(IF(AND($C440=2,VALUE(RIGHT($AD440,1))&gt;2),(O440-S440)*(IFERROR(INDEX('TaxCred&amp;Subs'!$J$66:$J$99,MATCH(1,($C440&amp;$D440='TaxCred&amp;Subs'!$E$66:$E$99)*($F440='TaxCred&amp;Subs'!$C$66:$C$99),0)),0)),IF(AND($C440=1,VALUE(RIGHT($AD440,1))&gt;2),(O440-S440)*(IFERROR(INDEX('TaxCred&amp;Subs'!$J$66:$J$99,MATCH(1,($C440&amp;$D440='TaxCred&amp;Subs'!$D$66:$D$99)*($F440='TaxCred&amp;Subs'!$C$66:$C$99),0)),0)),IF($C440&gt;2,(O440-S440)*(IFERROR(INDEX('TaxCred&amp;Subs'!$J$66:$J$99,MATCH(1,($C440&amp;$D440='TaxCred&amp;Subs'!$D$66:$D$99)*($F440='TaxCred&amp;Subs'!$C$66:$C$99),0)),0)),0))),0)</f>
        <v>0</v>
      </c>
      <c r="R440" s="170">
        <f t="array" ref="R440">ROUND(IF(IFERROR(VALUE(RIGHT($AD440,1)),0)&gt;2,IF($C440=8,N440*IFERROR(INDEX('TaxCred&amp;Subs'!$K$139:$S$151,MATCH($C440&amp;$D440&amp;LEFT($AD440,7),'TaxCred&amp;Subs'!$E$139:$E$151,0),MATCH($H440,'TaxCred&amp;Subs'!$K$137:$S$137,0)),0),IF($C440=2,N440*IFERROR(INDEX('TaxCred&amp;Subs'!$K$139:$S$151,MATCH($C440&amp;$D440,'TaxCred&amp;Subs'!$D$139:$D$151,0),MATCH($H440,'TaxCred&amp;Subs'!$K$137:$S$137,0)),0),N440*IFERROR(INDEX('TaxCred&amp;Subs'!$K$139:$S$151,MATCH($C440&amp;$D440,'TaxCred&amp;Subs'!$C$139:$C$151,0),MATCH($H440,'TaxCred&amp;Subs'!$K$137:$S$137,0)),0))),0),0)</f>
        <v>274</v>
      </c>
      <c r="S440" s="170">
        <f t="array" ref="S440">ROUND(IF(IFERROR(VALUE(RIGHT($AD440,1)),0)&gt;2,IF($C440=8,O440*IFERROR(INDEX('TaxCred&amp;Subs'!$K$139:$S$151,MATCH($C440&amp;$D440&amp;LEFT($AD440,7),'TaxCred&amp;Subs'!$E$139:$E$151,0),MATCH($H440,'TaxCred&amp;Subs'!$K$137:$S$137,0)),0),IF($C440=2,O440*IFERROR(INDEX('TaxCred&amp;Subs'!$K$139:$S$151,MATCH($C440&amp;$D440,'TaxCred&amp;Subs'!$D$139:$D$151,0),MATCH($H440,'TaxCred&amp;Subs'!$K$137:$S$137,0)),0),O440*IFERROR(INDEX('TaxCred&amp;Subs'!$K$139:$S$151,MATCH($C440&amp;$D440,'TaxCred&amp;Subs'!$C$139:$C$151,0),MATCH($H440,'TaxCred&amp;Subs'!$K$137:$S$137,0)),0))),0),0)</f>
        <v>0</v>
      </c>
      <c r="T440" s="95">
        <f t="shared" si="24"/>
        <v>0</v>
      </c>
      <c r="U440" s="95">
        <f t="shared" si="25"/>
        <v>0</v>
      </c>
      <c r="V440" s="28" t="s">
        <v>222</v>
      </c>
      <c r="W440" s="31">
        <v>2020</v>
      </c>
      <c r="X440" s="28">
        <v>1</v>
      </c>
      <c r="Y440" s="28">
        <v>0</v>
      </c>
      <c r="Z440" s="196">
        <v>-2.0762472774284713E-4</v>
      </c>
      <c r="AA440" s="196">
        <v>-3.1942265806591866E-3</v>
      </c>
      <c r="AB440" s="28">
        <v>0</v>
      </c>
      <c r="AC440" s="28">
        <v>0</v>
      </c>
      <c r="AD440" s="28" t="s">
        <v>197</v>
      </c>
    </row>
    <row r="441" spans="2:30" ht="14.25" customHeight="1" x14ac:dyDescent="0.2">
      <c r="B441" s="7">
        <f t="shared" si="26"/>
        <v>417</v>
      </c>
      <c r="C441" s="28">
        <v>2</v>
      </c>
      <c r="D441" s="28">
        <v>3</v>
      </c>
      <c r="E441" s="31">
        <v>10</v>
      </c>
      <c r="F441" s="78">
        <v>2033</v>
      </c>
      <c r="G441" s="28">
        <v>2050</v>
      </c>
      <c r="H441" s="28">
        <v>4</v>
      </c>
      <c r="I441" s="96">
        <v>45</v>
      </c>
      <c r="J441" s="28">
        <v>4</v>
      </c>
      <c r="K441" s="28">
        <v>0</v>
      </c>
      <c r="L441" s="28">
        <v>0</v>
      </c>
      <c r="M441" s="75">
        <v>4.6893317702227435</v>
      </c>
      <c r="N441" s="151">
        <v>3470</v>
      </c>
      <c r="O441" s="79">
        <v>0</v>
      </c>
      <c r="P441" s="95">
        <f t="array" ref="P441">ROUND(IF($F441&lt;='TaxCred&amp;Subs'!$C$49,(IF($C441=2,IF($M441&gt;=IFERROR(INDEX('TaxCred&amp;Subs'!$L$12:$L$47,MATCH(1,($C441&amp;$D441='TaxCred&amp;Subs'!$E$12:$E$47)*($F441='TaxCred&amp;Subs'!$C$12:$C$47),0)
),9999),IFERROR(INDEX('TaxCred&amp;Subs'!$N$12:$N$47,MATCH(1,($C441&amp;$D441='TaxCred&amp;Subs'!$E$12:$E$47)*($F441='TaxCred&amp;Subs'!$C$12:$C$47),0)
),0),0),(IF($M441&gt;=IFERROR(INDEX('TaxCred&amp;Subs'!$H$12:$H$47,MATCH(1,($C441&amp;$D441='TaxCred&amp;Subs'!$D$12:$D$47)*($F441='TaxCred&amp;Subs'!$C$12:$C$47),0)
),9999),IFERROR(INDEX('TaxCred&amp;Subs'!$N$12:$N$47,MATCH(1,($C441&amp;$D441='TaxCred&amp;Subs'!$D$12:$D$47)*($F441='TaxCred&amp;Subs'!$C$12:$C$47),0)
),0),0)))),0)+IF(AND($C441=2,VALUE(RIGHT($AD441,1))&gt;2),(N441-R441)*(IFERROR(INDEX('TaxCred&amp;Subs'!$J$66:$J$99,MATCH(1,($C441&amp;$D441='TaxCred&amp;Subs'!$E$66:$E$99)*($F441='TaxCred&amp;Subs'!$C$66:$C$99),0)),0)),IF(AND($C441=1,VALUE(RIGHT($AD441,1))&gt;2),(N441-R441)*(IFERROR(INDEX('TaxCred&amp;Subs'!$J$66:$J$99,MATCH(1,($C441&amp;$D441='TaxCred&amp;Subs'!$D$66:$D$99)*($F441='TaxCred&amp;Subs'!$C$66:$C$99),0)),0)),IF($C441&gt;2,(N441-R441)*(IFERROR(INDEX('TaxCred&amp;Subs'!$J$66:$J$99,MATCH(1,($C441&amp;$D441='TaxCred&amp;Subs'!$D$66:$D$99)*($F441='TaxCred&amp;Subs'!$C$66:$C$99),0)),0)),0))),0)</f>
        <v>0</v>
      </c>
      <c r="Q441" s="95">
        <f t="array" ref="Q441">ROUND(IF(AND($C441=2,VALUE(RIGHT($AD441,1))&gt;2),(O441-S441)*(IFERROR(INDEX('TaxCred&amp;Subs'!$J$66:$J$99,MATCH(1,($C441&amp;$D441='TaxCred&amp;Subs'!$E$66:$E$99)*($F441='TaxCred&amp;Subs'!$C$66:$C$99),0)),0)),IF(AND($C441=1,VALUE(RIGHT($AD441,1))&gt;2),(O441-S441)*(IFERROR(INDEX('TaxCred&amp;Subs'!$J$66:$J$99,MATCH(1,($C441&amp;$D441='TaxCred&amp;Subs'!$D$66:$D$99)*($F441='TaxCred&amp;Subs'!$C$66:$C$99),0)),0)),IF($C441&gt;2,(O441-S441)*(IFERROR(INDEX('TaxCred&amp;Subs'!$J$66:$J$99,MATCH(1,($C441&amp;$D441='TaxCred&amp;Subs'!$D$66:$D$99)*($F441='TaxCred&amp;Subs'!$C$66:$C$99),0)),0)),0))),0)</f>
        <v>0</v>
      </c>
      <c r="R441" s="170">
        <f t="array" ref="R441">ROUND(IF(IFERROR(VALUE(RIGHT($AD441,1)),0)&gt;2,IF($C441=8,N441*IFERROR(INDEX('TaxCred&amp;Subs'!$K$139:$S$151,MATCH($C441&amp;$D441&amp;LEFT($AD441,7),'TaxCred&amp;Subs'!$E$139:$E$151,0),MATCH($H441,'TaxCred&amp;Subs'!$K$137:$S$137,0)),0),IF($C441=2,N441*IFERROR(INDEX('TaxCred&amp;Subs'!$K$139:$S$151,MATCH($C441&amp;$D441,'TaxCred&amp;Subs'!$D$139:$D$151,0),MATCH($H441,'TaxCred&amp;Subs'!$K$137:$S$137,0)),0),N441*IFERROR(INDEX('TaxCred&amp;Subs'!$K$139:$S$151,MATCH($C441&amp;$D441,'TaxCred&amp;Subs'!$C$139:$C$151,0),MATCH($H441,'TaxCred&amp;Subs'!$K$137:$S$137,0)),0))),0),0)</f>
        <v>167</v>
      </c>
      <c r="S441" s="170">
        <f t="array" ref="S441">ROUND(IF(IFERROR(VALUE(RIGHT($AD441,1)),0)&gt;2,IF($C441=8,O441*IFERROR(INDEX('TaxCred&amp;Subs'!$K$139:$S$151,MATCH($C441&amp;$D441&amp;LEFT($AD441,7),'TaxCred&amp;Subs'!$E$139:$E$151,0),MATCH($H441,'TaxCred&amp;Subs'!$K$137:$S$137,0)),0),IF($C441=2,O441*IFERROR(INDEX('TaxCred&amp;Subs'!$K$139:$S$151,MATCH($C441&amp;$D441,'TaxCred&amp;Subs'!$D$139:$D$151,0),MATCH($H441,'TaxCred&amp;Subs'!$K$137:$S$137,0)),0),O441*IFERROR(INDEX('TaxCred&amp;Subs'!$K$139:$S$151,MATCH($C441&amp;$D441,'TaxCred&amp;Subs'!$C$139:$C$151,0),MATCH($H441,'TaxCred&amp;Subs'!$K$137:$S$137,0)),0))),0),0)</f>
        <v>0</v>
      </c>
      <c r="T441" s="95">
        <f t="shared" si="24"/>
        <v>0</v>
      </c>
      <c r="U441" s="95">
        <f t="shared" si="25"/>
        <v>0</v>
      </c>
      <c r="V441" s="28" t="s">
        <v>222</v>
      </c>
      <c r="W441" s="31">
        <v>2020</v>
      </c>
      <c r="X441" s="28">
        <v>1</v>
      </c>
      <c r="Y441" s="28">
        <v>0</v>
      </c>
      <c r="Z441" s="196">
        <v>-2.0762472774284713E-4</v>
      </c>
      <c r="AA441" s="196">
        <v>-3.1942265806591866E-3</v>
      </c>
      <c r="AB441" s="28">
        <v>0</v>
      </c>
      <c r="AC441" s="28">
        <v>0</v>
      </c>
      <c r="AD441" s="28" t="s">
        <v>197</v>
      </c>
    </row>
    <row r="442" spans="2:30" ht="14.25" customHeight="1" x14ac:dyDescent="0.2">
      <c r="B442" s="7">
        <f t="shared" si="26"/>
        <v>418</v>
      </c>
      <c r="C442" s="28">
        <v>2</v>
      </c>
      <c r="D442" s="28">
        <v>3</v>
      </c>
      <c r="E442" s="31">
        <v>10</v>
      </c>
      <c r="F442" s="78">
        <v>2033</v>
      </c>
      <c r="G442" s="28">
        <v>2050</v>
      </c>
      <c r="H442" s="28">
        <v>5</v>
      </c>
      <c r="I442" s="96">
        <v>45</v>
      </c>
      <c r="J442" s="28">
        <v>4</v>
      </c>
      <c r="K442" s="28">
        <v>0</v>
      </c>
      <c r="L442" s="28">
        <v>0</v>
      </c>
      <c r="M442" s="75">
        <v>4.6893317702227435</v>
      </c>
      <c r="N442" s="151">
        <v>3470</v>
      </c>
      <c r="O442" s="79">
        <v>0</v>
      </c>
      <c r="P442" s="95">
        <f t="array" ref="P442">ROUND(IF($F442&lt;='TaxCred&amp;Subs'!$C$49,(IF($C442=2,IF($M442&gt;=IFERROR(INDEX('TaxCred&amp;Subs'!$L$12:$L$47,MATCH(1,($C442&amp;$D442='TaxCred&amp;Subs'!$E$12:$E$47)*($F442='TaxCred&amp;Subs'!$C$12:$C$47),0)
),9999),IFERROR(INDEX('TaxCred&amp;Subs'!$N$12:$N$47,MATCH(1,($C442&amp;$D442='TaxCred&amp;Subs'!$E$12:$E$47)*($F442='TaxCred&amp;Subs'!$C$12:$C$47),0)
),0),0),(IF($M442&gt;=IFERROR(INDEX('TaxCred&amp;Subs'!$H$12:$H$47,MATCH(1,($C442&amp;$D442='TaxCred&amp;Subs'!$D$12:$D$47)*($F442='TaxCred&amp;Subs'!$C$12:$C$47),0)
),9999),IFERROR(INDEX('TaxCred&amp;Subs'!$N$12:$N$47,MATCH(1,($C442&amp;$D442='TaxCred&amp;Subs'!$D$12:$D$47)*($F442='TaxCred&amp;Subs'!$C$12:$C$47),0)
),0),0)))),0)+IF(AND($C442=2,VALUE(RIGHT($AD442,1))&gt;2),(N442-R442)*(IFERROR(INDEX('TaxCred&amp;Subs'!$J$66:$J$99,MATCH(1,($C442&amp;$D442='TaxCred&amp;Subs'!$E$66:$E$99)*($F442='TaxCred&amp;Subs'!$C$66:$C$99),0)),0)),IF(AND($C442=1,VALUE(RIGHT($AD442,1))&gt;2),(N442-R442)*(IFERROR(INDEX('TaxCred&amp;Subs'!$J$66:$J$99,MATCH(1,($C442&amp;$D442='TaxCred&amp;Subs'!$D$66:$D$99)*($F442='TaxCred&amp;Subs'!$C$66:$C$99),0)),0)),IF($C442&gt;2,(N442-R442)*(IFERROR(INDEX('TaxCred&amp;Subs'!$J$66:$J$99,MATCH(1,($C442&amp;$D442='TaxCred&amp;Subs'!$D$66:$D$99)*($F442='TaxCred&amp;Subs'!$C$66:$C$99),0)),0)),0))),0)</f>
        <v>0</v>
      </c>
      <c r="Q442" s="95">
        <f t="array" ref="Q442">ROUND(IF(AND($C442=2,VALUE(RIGHT($AD442,1))&gt;2),(O442-S442)*(IFERROR(INDEX('TaxCred&amp;Subs'!$J$66:$J$99,MATCH(1,($C442&amp;$D442='TaxCred&amp;Subs'!$E$66:$E$99)*($F442='TaxCred&amp;Subs'!$C$66:$C$99),0)),0)),IF(AND($C442=1,VALUE(RIGHT($AD442,1))&gt;2),(O442-S442)*(IFERROR(INDEX('TaxCred&amp;Subs'!$J$66:$J$99,MATCH(1,($C442&amp;$D442='TaxCred&amp;Subs'!$D$66:$D$99)*($F442='TaxCred&amp;Subs'!$C$66:$C$99),0)),0)),IF($C442&gt;2,(O442-S442)*(IFERROR(INDEX('TaxCred&amp;Subs'!$J$66:$J$99,MATCH(1,($C442&amp;$D442='TaxCred&amp;Subs'!$D$66:$D$99)*($F442='TaxCred&amp;Subs'!$C$66:$C$99),0)),0)),0))),0)</f>
        <v>0</v>
      </c>
      <c r="R442" s="170">
        <f t="array" ref="R442">ROUND(IF(IFERROR(VALUE(RIGHT($AD442,1)),0)&gt;2,IF($C442=8,N442*IFERROR(INDEX('TaxCred&amp;Subs'!$K$139:$S$151,MATCH($C442&amp;$D442&amp;LEFT($AD442,7),'TaxCred&amp;Subs'!$E$139:$E$151,0),MATCH($H442,'TaxCred&amp;Subs'!$K$137:$S$137,0)),0),IF($C442=2,N442*IFERROR(INDEX('TaxCred&amp;Subs'!$K$139:$S$151,MATCH($C442&amp;$D442,'TaxCred&amp;Subs'!$D$139:$D$151,0),MATCH($H442,'TaxCred&amp;Subs'!$K$137:$S$137,0)),0),N442*IFERROR(INDEX('TaxCred&amp;Subs'!$K$139:$S$151,MATCH($C442&amp;$D442,'TaxCred&amp;Subs'!$C$139:$C$151,0),MATCH($H442,'TaxCred&amp;Subs'!$K$137:$S$137,0)),0))),0),0)</f>
        <v>76</v>
      </c>
      <c r="S442" s="170">
        <f t="array" ref="S442">ROUND(IF(IFERROR(VALUE(RIGHT($AD442,1)),0)&gt;2,IF($C442=8,O442*IFERROR(INDEX('TaxCred&amp;Subs'!$K$139:$S$151,MATCH($C442&amp;$D442&amp;LEFT($AD442,7),'TaxCred&amp;Subs'!$E$139:$E$151,0),MATCH($H442,'TaxCred&amp;Subs'!$K$137:$S$137,0)),0),IF($C442=2,O442*IFERROR(INDEX('TaxCred&amp;Subs'!$K$139:$S$151,MATCH($C442&amp;$D442,'TaxCred&amp;Subs'!$D$139:$D$151,0),MATCH($H442,'TaxCred&amp;Subs'!$K$137:$S$137,0)),0),O442*IFERROR(INDEX('TaxCred&amp;Subs'!$K$139:$S$151,MATCH($C442&amp;$D442,'TaxCred&amp;Subs'!$C$139:$C$151,0),MATCH($H442,'TaxCred&amp;Subs'!$K$137:$S$137,0)),0))),0),0)</f>
        <v>0</v>
      </c>
      <c r="T442" s="95">
        <f t="shared" si="24"/>
        <v>0</v>
      </c>
      <c r="U442" s="95">
        <f t="shared" si="25"/>
        <v>0</v>
      </c>
      <c r="V442" s="28" t="s">
        <v>222</v>
      </c>
      <c r="W442" s="31">
        <v>2020</v>
      </c>
      <c r="X442" s="28">
        <v>1</v>
      </c>
      <c r="Y442" s="28">
        <v>0</v>
      </c>
      <c r="Z442" s="196">
        <v>-2.0762472774284713E-4</v>
      </c>
      <c r="AA442" s="196">
        <v>-3.1942265806591866E-3</v>
      </c>
      <c r="AB442" s="28">
        <v>0</v>
      </c>
      <c r="AC442" s="28">
        <v>0</v>
      </c>
      <c r="AD442" s="28" t="s">
        <v>197</v>
      </c>
    </row>
    <row r="443" spans="2:30" ht="14.25" customHeight="1" x14ac:dyDescent="0.2">
      <c r="B443" s="7">
        <f t="shared" si="26"/>
        <v>419</v>
      </c>
      <c r="C443" s="28">
        <v>2</v>
      </c>
      <c r="D443" s="28">
        <v>3</v>
      </c>
      <c r="E443" s="31">
        <v>10</v>
      </c>
      <c r="F443" s="78">
        <v>2033</v>
      </c>
      <c r="G443" s="28">
        <v>2050</v>
      </c>
      <c r="H443" s="28">
        <v>6</v>
      </c>
      <c r="I443" s="96">
        <v>45</v>
      </c>
      <c r="J443" s="28">
        <v>4</v>
      </c>
      <c r="K443" s="28">
        <v>0</v>
      </c>
      <c r="L443" s="28">
        <v>0</v>
      </c>
      <c r="M443" s="75">
        <v>4.6893317702227435</v>
      </c>
      <c r="N443" s="151">
        <v>3470</v>
      </c>
      <c r="O443" s="79">
        <v>0</v>
      </c>
      <c r="P443" s="95">
        <f t="array" ref="P443">ROUND(IF($F443&lt;='TaxCred&amp;Subs'!$C$49,(IF($C443=2,IF($M443&gt;=IFERROR(INDEX('TaxCred&amp;Subs'!$L$12:$L$47,MATCH(1,($C443&amp;$D443='TaxCred&amp;Subs'!$E$12:$E$47)*($F443='TaxCred&amp;Subs'!$C$12:$C$47),0)
),9999),IFERROR(INDEX('TaxCred&amp;Subs'!$N$12:$N$47,MATCH(1,($C443&amp;$D443='TaxCred&amp;Subs'!$E$12:$E$47)*($F443='TaxCred&amp;Subs'!$C$12:$C$47),0)
),0),0),(IF($M443&gt;=IFERROR(INDEX('TaxCred&amp;Subs'!$H$12:$H$47,MATCH(1,($C443&amp;$D443='TaxCred&amp;Subs'!$D$12:$D$47)*($F443='TaxCred&amp;Subs'!$C$12:$C$47),0)
),9999),IFERROR(INDEX('TaxCred&amp;Subs'!$N$12:$N$47,MATCH(1,($C443&amp;$D443='TaxCred&amp;Subs'!$D$12:$D$47)*($F443='TaxCred&amp;Subs'!$C$12:$C$47),0)
),0),0)))),0)+IF(AND($C443=2,VALUE(RIGHT($AD443,1))&gt;2),(N443-R443)*(IFERROR(INDEX('TaxCred&amp;Subs'!$J$66:$J$99,MATCH(1,($C443&amp;$D443='TaxCred&amp;Subs'!$E$66:$E$99)*($F443='TaxCred&amp;Subs'!$C$66:$C$99),0)),0)),IF(AND($C443=1,VALUE(RIGHT($AD443,1))&gt;2),(N443-R443)*(IFERROR(INDEX('TaxCred&amp;Subs'!$J$66:$J$99,MATCH(1,($C443&amp;$D443='TaxCred&amp;Subs'!$D$66:$D$99)*($F443='TaxCred&amp;Subs'!$C$66:$C$99),0)),0)),IF($C443&gt;2,(N443-R443)*(IFERROR(INDEX('TaxCred&amp;Subs'!$J$66:$J$99,MATCH(1,($C443&amp;$D443='TaxCred&amp;Subs'!$D$66:$D$99)*($F443='TaxCred&amp;Subs'!$C$66:$C$99),0)),0)),0))),0)</f>
        <v>0</v>
      </c>
      <c r="Q443" s="95">
        <f t="array" ref="Q443">ROUND(IF(AND($C443=2,VALUE(RIGHT($AD443,1))&gt;2),(O443-S443)*(IFERROR(INDEX('TaxCred&amp;Subs'!$J$66:$J$99,MATCH(1,($C443&amp;$D443='TaxCred&amp;Subs'!$E$66:$E$99)*($F443='TaxCred&amp;Subs'!$C$66:$C$99),0)),0)),IF(AND($C443=1,VALUE(RIGHT($AD443,1))&gt;2),(O443-S443)*(IFERROR(INDEX('TaxCred&amp;Subs'!$J$66:$J$99,MATCH(1,($C443&amp;$D443='TaxCred&amp;Subs'!$D$66:$D$99)*($F443='TaxCred&amp;Subs'!$C$66:$C$99),0)),0)),IF($C443&gt;2,(O443-S443)*(IFERROR(INDEX('TaxCred&amp;Subs'!$J$66:$J$99,MATCH(1,($C443&amp;$D443='TaxCred&amp;Subs'!$D$66:$D$99)*($F443='TaxCred&amp;Subs'!$C$66:$C$99),0)),0)),0))),0)</f>
        <v>0</v>
      </c>
      <c r="R443" s="170">
        <f t="array" ref="R443">ROUND(IF(IFERROR(VALUE(RIGHT($AD443,1)),0)&gt;2,IF($C443=8,N443*IFERROR(INDEX('TaxCred&amp;Subs'!$K$139:$S$151,MATCH($C443&amp;$D443&amp;LEFT($AD443,7),'TaxCred&amp;Subs'!$E$139:$E$151,0),MATCH($H443,'TaxCred&amp;Subs'!$K$137:$S$137,0)),0),IF($C443=2,N443*IFERROR(INDEX('TaxCred&amp;Subs'!$K$139:$S$151,MATCH($C443&amp;$D443,'TaxCred&amp;Subs'!$D$139:$D$151,0),MATCH($H443,'TaxCred&amp;Subs'!$K$137:$S$137,0)),0),N443*IFERROR(INDEX('TaxCred&amp;Subs'!$K$139:$S$151,MATCH($C443&amp;$D443,'TaxCred&amp;Subs'!$C$139:$C$151,0),MATCH($H443,'TaxCred&amp;Subs'!$K$137:$S$137,0)),0))),0),0)</f>
        <v>0</v>
      </c>
      <c r="S443" s="170">
        <f t="array" ref="S443">ROUND(IF(IFERROR(VALUE(RIGHT($AD443,1)),0)&gt;2,IF($C443=8,O443*IFERROR(INDEX('TaxCred&amp;Subs'!$K$139:$S$151,MATCH($C443&amp;$D443&amp;LEFT($AD443,7),'TaxCred&amp;Subs'!$E$139:$E$151,0),MATCH($H443,'TaxCred&amp;Subs'!$K$137:$S$137,0)),0),IF($C443=2,O443*IFERROR(INDEX('TaxCred&amp;Subs'!$K$139:$S$151,MATCH($C443&amp;$D443,'TaxCred&amp;Subs'!$D$139:$D$151,0),MATCH($H443,'TaxCred&amp;Subs'!$K$137:$S$137,0)),0),O443*IFERROR(INDEX('TaxCred&amp;Subs'!$K$139:$S$151,MATCH($C443&amp;$D443,'TaxCred&amp;Subs'!$C$139:$C$151,0),MATCH($H443,'TaxCred&amp;Subs'!$K$137:$S$137,0)),0))),0),0)</f>
        <v>0</v>
      </c>
      <c r="T443" s="95">
        <f t="shared" si="24"/>
        <v>0</v>
      </c>
      <c r="U443" s="95">
        <f t="shared" si="25"/>
        <v>0</v>
      </c>
      <c r="V443" s="28" t="s">
        <v>222</v>
      </c>
      <c r="W443" s="31">
        <v>2020</v>
      </c>
      <c r="X443" s="28">
        <v>1</v>
      </c>
      <c r="Y443" s="28">
        <v>0</v>
      </c>
      <c r="Z443" s="196">
        <v>-2.0762472774284713E-4</v>
      </c>
      <c r="AA443" s="196">
        <v>-3.1942265806591866E-3</v>
      </c>
      <c r="AB443" s="28">
        <v>0</v>
      </c>
      <c r="AC443" s="28">
        <v>0</v>
      </c>
      <c r="AD443" s="28" t="s">
        <v>197</v>
      </c>
    </row>
    <row r="444" spans="2:30" ht="14.25" customHeight="1" x14ac:dyDescent="0.2">
      <c r="B444" s="7">
        <f t="shared" si="26"/>
        <v>420</v>
      </c>
      <c r="C444" s="28">
        <v>2</v>
      </c>
      <c r="D444" s="28">
        <v>3</v>
      </c>
      <c r="E444" s="31">
        <v>10</v>
      </c>
      <c r="F444" s="78">
        <v>2033</v>
      </c>
      <c r="G444" s="28">
        <v>2050</v>
      </c>
      <c r="H444" s="28">
        <v>7</v>
      </c>
      <c r="I444" s="96">
        <v>45</v>
      </c>
      <c r="J444" s="28">
        <v>4</v>
      </c>
      <c r="K444" s="28">
        <v>0</v>
      </c>
      <c r="L444" s="28">
        <v>0</v>
      </c>
      <c r="M444" s="75">
        <v>4.6893317702227435</v>
      </c>
      <c r="N444" s="151">
        <v>3470</v>
      </c>
      <c r="O444" s="79">
        <v>0</v>
      </c>
      <c r="P444" s="95">
        <f t="array" ref="P444">ROUND(IF($F444&lt;='TaxCred&amp;Subs'!$C$49,(IF($C444=2,IF($M444&gt;=IFERROR(INDEX('TaxCred&amp;Subs'!$L$12:$L$47,MATCH(1,($C444&amp;$D444='TaxCred&amp;Subs'!$E$12:$E$47)*($F444='TaxCred&amp;Subs'!$C$12:$C$47),0)
),9999),IFERROR(INDEX('TaxCred&amp;Subs'!$N$12:$N$47,MATCH(1,($C444&amp;$D444='TaxCred&amp;Subs'!$E$12:$E$47)*($F444='TaxCred&amp;Subs'!$C$12:$C$47),0)
),0),0),(IF($M444&gt;=IFERROR(INDEX('TaxCred&amp;Subs'!$H$12:$H$47,MATCH(1,($C444&amp;$D444='TaxCred&amp;Subs'!$D$12:$D$47)*($F444='TaxCred&amp;Subs'!$C$12:$C$47),0)
),9999),IFERROR(INDEX('TaxCred&amp;Subs'!$N$12:$N$47,MATCH(1,($C444&amp;$D444='TaxCred&amp;Subs'!$D$12:$D$47)*($F444='TaxCred&amp;Subs'!$C$12:$C$47),0)
),0),0)))),0)+IF(AND($C444=2,VALUE(RIGHT($AD444,1))&gt;2),(N444-R444)*(IFERROR(INDEX('TaxCred&amp;Subs'!$J$66:$J$99,MATCH(1,($C444&amp;$D444='TaxCred&amp;Subs'!$E$66:$E$99)*($F444='TaxCred&amp;Subs'!$C$66:$C$99),0)),0)),IF(AND($C444=1,VALUE(RIGHT($AD444,1))&gt;2),(N444-R444)*(IFERROR(INDEX('TaxCred&amp;Subs'!$J$66:$J$99,MATCH(1,($C444&amp;$D444='TaxCred&amp;Subs'!$D$66:$D$99)*($F444='TaxCred&amp;Subs'!$C$66:$C$99),0)),0)),IF($C444&gt;2,(N444-R444)*(IFERROR(INDEX('TaxCred&amp;Subs'!$J$66:$J$99,MATCH(1,($C444&amp;$D444='TaxCred&amp;Subs'!$D$66:$D$99)*($F444='TaxCred&amp;Subs'!$C$66:$C$99),0)),0)),0))),0)</f>
        <v>0</v>
      </c>
      <c r="Q444" s="95">
        <f t="array" ref="Q444">ROUND(IF(AND($C444=2,VALUE(RIGHT($AD444,1))&gt;2),(O444-S444)*(IFERROR(INDEX('TaxCred&amp;Subs'!$J$66:$J$99,MATCH(1,($C444&amp;$D444='TaxCred&amp;Subs'!$E$66:$E$99)*($F444='TaxCred&amp;Subs'!$C$66:$C$99),0)),0)),IF(AND($C444=1,VALUE(RIGHT($AD444,1))&gt;2),(O444-S444)*(IFERROR(INDEX('TaxCred&amp;Subs'!$J$66:$J$99,MATCH(1,($C444&amp;$D444='TaxCred&amp;Subs'!$D$66:$D$99)*($F444='TaxCred&amp;Subs'!$C$66:$C$99),0)),0)),IF($C444&gt;2,(O444-S444)*(IFERROR(INDEX('TaxCred&amp;Subs'!$J$66:$J$99,MATCH(1,($C444&amp;$D444='TaxCred&amp;Subs'!$D$66:$D$99)*($F444='TaxCred&amp;Subs'!$C$66:$C$99),0)),0)),0))),0)</f>
        <v>0</v>
      </c>
      <c r="R444" s="170">
        <f t="array" ref="R444">ROUND(IF(IFERROR(VALUE(RIGHT($AD444,1)),0)&gt;2,IF($C444=8,N444*IFERROR(INDEX('TaxCred&amp;Subs'!$K$139:$S$151,MATCH($C444&amp;$D444&amp;LEFT($AD444,7),'TaxCred&amp;Subs'!$E$139:$E$151,0),MATCH($H444,'TaxCred&amp;Subs'!$K$137:$S$137,0)),0),IF($C444=2,N444*IFERROR(INDEX('TaxCred&amp;Subs'!$K$139:$S$151,MATCH($C444&amp;$D444,'TaxCred&amp;Subs'!$D$139:$D$151,0),MATCH($H444,'TaxCred&amp;Subs'!$K$137:$S$137,0)),0),N444*IFERROR(INDEX('TaxCred&amp;Subs'!$K$139:$S$151,MATCH($C444&amp;$D444,'TaxCred&amp;Subs'!$C$139:$C$151,0),MATCH($H444,'TaxCred&amp;Subs'!$K$137:$S$137,0)),0))),0),0)</f>
        <v>672</v>
      </c>
      <c r="S444" s="170">
        <f t="array" ref="S444">ROUND(IF(IFERROR(VALUE(RIGHT($AD444,1)),0)&gt;2,IF($C444=8,O444*IFERROR(INDEX('TaxCred&amp;Subs'!$K$139:$S$151,MATCH($C444&amp;$D444&amp;LEFT($AD444,7),'TaxCred&amp;Subs'!$E$139:$E$151,0),MATCH($H444,'TaxCred&amp;Subs'!$K$137:$S$137,0)),0),IF($C444=2,O444*IFERROR(INDEX('TaxCred&amp;Subs'!$K$139:$S$151,MATCH($C444&amp;$D444,'TaxCred&amp;Subs'!$D$139:$D$151,0),MATCH($H444,'TaxCred&amp;Subs'!$K$137:$S$137,0)),0),O444*IFERROR(INDEX('TaxCred&amp;Subs'!$K$139:$S$151,MATCH($C444&amp;$D444,'TaxCred&amp;Subs'!$C$139:$C$151,0),MATCH($H444,'TaxCred&amp;Subs'!$K$137:$S$137,0)),0))),0),0)</f>
        <v>0</v>
      </c>
      <c r="T444" s="95">
        <f t="shared" si="24"/>
        <v>0</v>
      </c>
      <c r="U444" s="95">
        <f t="shared" si="25"/>
        <v>0</v>
      </c>
      <c r="V444" s="28" t="s">
        <v>222</v>
      </c>
      <c r="W444" s="31">
        <v>2020</v>
      </c>
      <c r="X444" s="28">
        <v>1</v>
      </c>
      <c r="Y444" s="28">
        <v>0</v>
      </c>
      <c r="Z444" s="196">
        <v>-2.0762472774284713E-4</v>
      </c>
      <c r="AA444" s="196">
        <v>-3.1942265806591866E-3</v>
      </c>
      <c r="AB444" s="28">
        <v>0</v>
      </c>
      <c r="AC444" s="28">
        <v>0</v>
      </c>
      <c r="AD444" s="28" t="s">
        <v>197</v>
      </c>
    </row>
    <row r="445" spans="2:30" ht="14.25" customHeight="1" x14ac:dyDescent="0.2">
      <c r="B445" s="7">
        <f t="shared" si="26"/>
        <v>421</v>
      </c>
      <c r="C445" s="28">
        <v>2</v>
      </c>
      <c r="D445" s="28">
        <v>3</v>
      </c>
      <c r="E445" s="31">
        <v>10</v>
      </c>
      <c r="F445" s="78">
        <v>2033</v>
      </c>
      <c r="G445" s="28">
        <v>2050</v>
      </c>
      <c r="H445" s="28">
        <v>8</v>
      </c>
      <c r="I445" s="96">
        <v>45</v>
      </c>
      <c r="J445" s="28">
        <v>4</v>
      </c>
      <c r="K445" s="28">
        <v>0</v>
      </c>
      <c r="L445" s="28">
        <v>0</v>
      </c>
      <c r="M445" s="75">
        <v>4.6893317702227435</v>
      </c>
      <c r="N445" s="151">
        <v>3470</v>
      </c>
      <c r="O445" s="79">
        <v>0</v>
      </c>
      <c r="P445" s="95">
        <f t="array" ref="P445">ROUND(IF($F445&lt;='TaxCred&amp;Subs'!$C$49,(IF($C445=2,IF($M445&gt;=IFERROR(INDEX('TaxCred&amp;Subs'!$L$12:$L$47,MATCH(1,($C445&amp;$D445='TaxCred&amp;Subs'!$E$12:$E$47)*($F445='TaxCred&amp;Subs'!$C$12:$C$47),0)
),9999),IFERROR(INDEX('TaxCred&amp;Subs'!$N$12:$N$47,MATCH(1,($C445&amp;$D445='TaxCred&amp;Subs'!$E$12:$E$47)*($F445='TaxCred&amp;Subs'!$C$12:$C$47),0)
),0),0),(IF($M445&gt;=IFERROR(INDEX('TaxCred&amp;Subs'!$H$12:$H$47,MATCH(1,($C445&amp;$D445='TaxCred&amp;Subs'!$D$12:$D$47)*($F445='TaxCred&amp;Subs'!$C$12:$C$47),0)
),9999),IFERROR(INDEX('TaxCred&amp;Subs'!$N$12:$N$47,MATCH(1,($C445&amp;$D445='TaxCred&amp;Subs'!$D$12:$D$47)*($F445='TaxCred&amp;Subs'!$C$12:$C$47),0)
),0),0)))),0)+IF(AND($C445=2,VALUE(RIGHT($AD445,1))&gt;2),(N445-R445)*(IFERROR(INDEX('TaxCred&amp;Subs'!$J$66:$J$99,MATCH(1,($C445&amp;$D445='TaxCred&amp;Subs'!$E$66:$E$99)*($F445='TaxCred&amp;Subs'!$C$66:$C$99),0)),0)),IF(AND($C445=1,VALUE(RIGHT($AD445,1))&gt;2),(N445-R445)*(IFERROR(INDEX('TaxCred&amp;Subs'!$J$66:$J$99,MATCH(1,($C445&amp;$D445='TaxCred&amp;Subs'!$D$66:$D$99)*($F445='TaxCred&amp;Subs'!$C$66:$C$99),0)),0)),IF($C445&gt;2,(N445-R445)*(IFERROR(INDEX('TaxCred&amp;Subs'!$J$66:$J$99,MATCH(1,($C445&amp;$D445='TaxCred&amp;Subs'!$D$66:$D$99)*($F445='TaxCred&amp;Subs'!$C$66:$C$99),0)),0)),0))),0)</f>
        <v>0</v>
      </c>
      <c r="Q445" s="95">
        <f t="array" ref="Q445">ROUND(IF(AND($C445=2,VALUE(RIGHT($AD445,1))&gt;2),(O445-S445)*(IFERROR(INDEX('TaxCred&amp;Subs'!$J$66:$J$99,MATCH(1,($C445&amp;$D445='TaxCred&amp;Subs'!$E$66:$E$99)*($F445='TaxCred&amp;Subs'!$C$66:$C$99),0)),0)),IF(AND($C445=1,VALUE(RIGHT($AD445,1))&gt;2),(O445-S445)*(IFERROR(INDEX('TaxCred&amp;Subs'!$J$66:$J$99,MATCH(1,($C445&amp;$D445='TaxCred&amp;Subs'!$D$66:$D$99)*($F445='TaxCred&amp;Subs'!$C$66:$C$99),0)),0)),IF($C445&gt;2,(O445-S445)*(IFERROR(INDEX('TaxCred&amp;Subs'!$J$66:$J$99,MATCH(1,($C445&amp;$D445='TaxCred&amp;Subs'!$D$66:$D$99)*($F445='TaxCred&amp;Subs'!$C$66:$C$99),0)),0)),0))),0)</f>
        <v>0</v>
      </c>
      <c r="R445" s="170">
        <f t="array" ref="R445">ROUND(IF(IFERROR(VALUE(RIGHT($AD445,1)),0)&gt;2,IF($C445=8,N445*IFERROR(INDEX('TaxCred&amp;Subs'!$K$139:$S$151,MATCH($C445&amp;$D445&amp;LEFT($AD445,7),'TaxCred&amp;Subs'!$E$139:$E$151,0),MATCH($H445,'TaxCred&amp;Subs'!$K$137:$S$137,0)),0),IF($C445=2,N445*IFERROR(INDEX('TaxCred&amp;Subs'!$K$139:$S$151,MATCH($C445&amp;$D445,'TaxCred&amp;Subs'!$D$139:$D$151,0),MATCH($H445,'TaxCred&amp;Subs'!$K$137:$S$137,0)),0),N445*IFERROR(INDEX('TaxCred&amp;Subs'!$K$139:$S$151,MATCH($C445&amp;$D445,'TaxCred&amp;Subs'!$C$139:$C$151,0),MATCH($H445,'TaxCred&amp;Subs'!$K$137:$S$137,0)),0))),0),0)</f>
        <v>160</v>
      </c>
      <c r="S445" s="170">
        <f t="array" ref="S445">ROUND(IF(IFERROR(VALUE(RIGHT($AD445,1)),0)&gt;2,IF($C445=8,O445*IFERROR(INDEX('TaxCred&amp;Subs'!$K$139:$S$151,MATCH($C445&amp;$D445&amp;LEFT($AD445,7),'TaxCred&amp;Subs'!$E$139:$E$151,0),MATCH($H445,'TaxCred&amp;Subs'!$K$137:$S$137,0)),0),IF($C445=2,O445*IFERROR(INDEX('TaxCred&amp;Subs'!$K$139:$S$151,MATCH($C445&amp;$D445,'TaxCred&amp;Subs'!$D$139:$D$151,0),MATCH($H445,'TaxCred&amp;Subs'!$K$137:$S$137,0)),0),O445*IFERROR(INDEX('TaxCred&amp;Subs'!$K$139:$S$151,MATCH($C445&amp;$D445,'TaxCred&amp;Subs'!$C$139:$C$151,0),MATCH($H445,'TaxCred&amp;Subs'!$K$137:$S$137,0)),0))),0),0)</f>
        <v>0</v>
      </c>
      <c r="T445" s="95">
        <f t="shared" si="24"/>
        <v>0</v>
      </c>
      <c r="U445" s="95">
        <f t="shared" si="25"/>
        <v>0</v>
      </c>
      <c r="V445" s="28" t="s">
        <v>222</v>
      </c>
      <c r="W445" s="31">
        <v>2020</v>
      </c>
      <c r="X445" s="28">
        <v>1</v>
      </c>
      <c r="Y445" s="28">
        <v>0</v>
      </c>
      <c r="Z445" s="196">
        <v>-2.0762472774284713E-4</v>
      </c>
      <c r="AA445" s="196">
        <v>-3.1942265806591866E-3</v>
      </c>
      <c r="AB445" s="28">
        <v>0</v>
      </c>
      <c r="AC445" s="28">
        <v>0</v>
      </c>
      <c r="AD445" s="28" t="s">
        <v>197</v>
      </c>
    </row>
    <row r="446" spans="2:30" ht="14.25" customHeight="1" x14ac:dyDescent="0.2">
      <c r="B446" s="7">
        <f t="shared" si="26"/>
        <v>422</v>
      </c>
      <c r="C446" s="28">
        <v>2</v>
      </c>
      <c r="D446" s="28">
        <v>3</v>
      </c>
      <c r="E446" s="31">
        <v>10</v>
      </c>
      <c r="F446" s="78">
        <v>2033</v>
      </c>
      <c r="G446" s="28">
        <v>2050</v>
      </c>
      <c r="H446" s="28">
        <v>9</v>
      </c>
      <c r="I446" s="96">
        <v>45</v>
      </c>
      <c r="J446" s="28">
        <v>4</v>
      </c>
      <c r="K446" s="28">
        <v>0</v>
      </c>
      <c r="L446" s="28">
        <v>0</v>
      </c>
      <c r="M446" s="75">
        <v>4.6893317702227435</v>
      </c>
      <c r="N446" s="151">
        <v>3470</v>
      </c>
      <c r="O446" s="79">
        <v>0</v>
      </c>
      <c r="P446" s="95">
        <f t="array" ref="P446">ROUND(IF($F446&lt;='TaxCred&amp;Subs'!$C$49,(IF($C446=2,IF($M446&gt;=IFERROR(INDEX('TaxCred&amp;Subs'!$L$12:$L$47,MATCH(1,($C446&amp;$D446='TaxCred&amp;Subs'!$E$12:$E$47)*($F446='TaxCred&amp;Subs'!$C$12:$C$47),0)
),9999),IFERROR(INDEX('TaxCred&amp;Subs'!$N$12:$N$47,MATCH(1,($C446&amp;$D446='TaxCred&amp;Subs'!$E$12:$E$47)*($F446='TaxCred&amp;Subs'!$C$12:$C$47),0)
),0),0),(IF($M446&gt;=IFERROR(INDEX('TaxCred&amp;Subs'!$H$12:$H$47,MATCH(1,($C446&amp;$D446='TaxCred&amp;Subs'!$D$12:$D$47)*($F446='TaxCred&amp;Subs'!$C$12:$C$47),0)
),9999),IFERROR(INDEX('TaxCred&amp;Subs'!$N$12:$N$47,MATCH(1,($C446&amp;$D446='TaxCred&amp;Subs'!$D$12:$D$47)*($F446='TaxCred&amp;Subs'!$C$12:$C$47),0)
),0),0)))),0)+IF(AND($C446=2,VALUE(RIGHT($AD446,1))&gt;2),(N446-R446)*(IFERROR(INDEX('TaxCred&amp;Subs'!$J$66:$J$99,MATCH(1,($C446&amp;$D446='TaxCred&amp;Subs'!$E$66:$E$99)*($F446='TaxCred&amp;Subs'!$C$66:$C$99),0)),0)),IF(AND($C446=1,VALUE(RIGHT($AD446,1))&gt;2),(N446-R446)*(IFERROR(INDEX('TaxCred&amp;Subs'!$J$66:$J$99,MATCH(1,($C446&amp;$D446='TaxCred&amp;Subs'!$D$66:$D$99)*($F446='TaxCred&amp;Subs'!$C$66:$C$99),0)),0)),IF($C446&gt;2,(N446-R446)*(IFERROR(INDEX('TaxCred&amp;Subs'!$J$66:$J$99,MATCH(1,($C446&amp;$D446='TaxCred&amp;Subs'!$D$66:$D$99)*($F446='TaxCred&amp;Subs'!$C$66:$C$99),0)),0)),0))),0)</f>
        <v>0</v>
      </c>
      <c r="Q446" s="95">
        <f t="array" ref="Q446">ROUND(IF(AND($C446=2,VALUE(RIGHT($AD446,1))&gt;2),(O446-S446)*(IFERROR(INDEX('TaxCred&amp;Subs'!$J$66:$J$99,MATCH(1,($C446&amp;$D446='TaxCred&amp;Subs'!$E$66:$E$99)*($F446='TaxCred&amp;Subs'!$C$66:$C$99),0)),0)),IF(AND($C446=1,VALUE(RIGHT($AD446,1))&gt;2),(O446-S446)*(IFERROR(INDEX('TaxCred&amp;Subs'!$J$66:$J$99,MATCH(1,($C446&amp;$D446='TaxCred&amp;Subs'!$D$66:$D$99)*($F446='TaxCred&amp;Subs'!$C$66:$C$99),0)),0)),IF($C446&gt;2,(O446-S446)*(IFERROR(INDEX('TaxCred&amp;Subs'!$J$66:$J$99,MATCH(1,($C446&amp;$D446='TaxCred&amp;Subs'!$D$66:$D$99)*($F446='TaxCred&amp;Subs'!$C$66:$C$99),0)),0)),0))),0)</f>
        <v>0</v>
      </c>
      <c r="R446" s="170">
        <f t="array" ref="R446">ROUND(IF(IFERROR(VALUE(RIGHT($AD446,1)),0)&gt;2,IF($C446=8,N446*IFERROR(INDEX('TaxCred&amp;Subs'!$K$139:$S$151,MATCH($C446&amp;$D446&amp;LEFT($AD446,7),'TaxCred&amp;Subs'!$E$139:$E$151,0),MATCH($H446,'TaxCred&amp;Subs'!$K$137:$S$137,0)),0),IF($C446=2,N446*IFERROR(INDEX('TaxCred&amp;Subs'!$K$139:$S$151,MATCH($C446&amp;$D446,'TaxCred&amp;Subs'!$D$139:$D$151,0),MATCH($H446,'TaxCred&amp;Subs'!$K$137:$S$137,0)),0),N446*IFERROR(INDEX('TaxCred&amp;Subs'!$K$139:$S$151,MATCH($C446&amp;$D446,'TaxCred&amp;Subs'!$C$139:$C$151,0),MATCH($H446,'TaxCred&amp;Subs'!$K$137:$S$137,0)),0))),0),0)</f>
        <v>385</v>
      </c>
      <c r="S446" s="170">
        <f t="array" ref="S446">ROUND(IF(IFERROR(VALUE(RIGHT($AD446,1)),0)&gt;2,IF($C446=8,O446*IFERROR(INDEX('TaxCred&amp;Subs'!$K$139:$S$151,MATCH($C446&amp;$D446&amp;LEFT($AD446,7),'TaxCred&amp;Subs'!$E$139:$E$151,0),MATCH($H446,'TaxCred&amp;Subs'!$K$137:$S$137,0)),0),IF($C446=2,O446*IFERROR(INDEX('TaxCred&amp;Subs'!$K$139:$S$151,MATCH($C446&amp;$D446,'TaxCred&amp;Subs'!$D$139:$D$151,0),MATCH($H446,'TaxCred&amp;Subs'!$K$137:$S$137,0)),0),O446*IFERROR(INDEX('TaxCred&amp;Subs'!$K$139:$S$151,MATCH($C446&amp;$D446,'TaxCred&amp;Subs'!$C$139:$C$151,0),MATCH($H446,'TaxCred&amp;Subs'!$K$137:$S$137,0)),0))),0),0)</f>
        <v>0</v>
      </c>
      <c r="T446" s="172">
        <f t="shared" si="24"/>
        <v>520.5</v>
      </c>
      <c r="U446" s="95">
        <f t="shared" si="25"/>
        <v>0</v>
      </c>
      <c r="V446" s="28" t="s">
        <v>222</v>
      </c>
      <c r="W446" s="31">
        <v>2020</v>
      </c>
      <c r="X446" s="28">
        <v>1</v>
      </c>
      <c r="Y446" s="28">
        <v>0</v>
      </c>
      <c r="Z446" s="196">
        <v>-2.0762472774284713E-4</v>
      </c>
      <c r="AA446" s="196">
        <v>-3.1942265806591866E-3</v>
      </c>
      <c r="AB446" s="28">
        <v>0</v>
      </c>
      <c r="AC446" s="28">
        <v>0</v>
      </c>
      <c r="AD446" s="28" t="s">
        <v>197</v>
      </c>
    </row>
    <row r="447" spans="2:30" ht="14.25" customHeight="1" x14ac:dyDescent="0.2">
      <c r="B447" s="7">
        <f t="shared" si="26"/>
        <v>423</v>
      </c>
      <c r="C447" s="28">
        <v>2</v>
      </c>
      <c r="D447" s="28">
        <v>3</v>
      </c>
      <c r="E447" s="31">
        <v>11</v>
      </c>
      <c r="F447" s="96">
        <v>2020</v>
      </c>
      <c r="G447" s="28">
        <v>2021</v>
      </c>
      <c r="H447" s="28">
        <v>1</v>
      </c>
      <c r="I447" s="96">
        <v>46</v>
      </c>
      <c r="J447" s="28">
        <v>5</v>
      </c>
      <c r="K447" s="28">
        <v>0</v>
      </c>
      <c r="L447" s="28">
        <v>0</v>
      </c>
      <c r="M447" s="156">
        <v>6.6329363855124335</v>
      </c>
      <c r="N447" s="151">
        <v>4310</v>
      </c>
      <c r="O447" s="79">
        <v>0</v>
      </c>
      <c r="P447" s="95">
        <f t="array" ref="P447">ROUND(IF($F447&lt;='TaxCred&amp;Subs'!$C$49,(IF($C447=2,IF($M447&gt;=IFERROR(INDEX('TaxCred&amp;Subs'!$L$12:$L$47,MATCH(1,($C447&amp;$D447='TaxCred&amp;Subs'!$E$12:$E$47)*($F447='TaxCred&amp;Subs'!$C$12:$C$47),0)
),9999),IFERROR(INDEX('TaxCred&amp;Subs'!$N$12:$N$47,MATCH(1,($C447&amp;$D447='TaxCred&amp;Subs'!$E$12:$E$47)*($F447='TaxCred&amp;Subs'!$C$12:$C$47),0)
),0),0),(IF($M447&gt;=IFERROR(INDEX('TaxCred&amp;Subs'!$H$12:$H$47,MATCH(1,($C447&amp;$D447='TaxCred&amp;Subs'!$D$12:$D$47)*($F447='TaxCred&amp;Subs'!$C$12:$C$47),0)
),9999),IFERROR(INDEX('TaxCred&amp;Subs'!$N$12:$N$47,MATCH(1,($C447&amp;$D447='TaxCred&amp;Subs'!$D$12:$D$47)*($F447='TaxCred&amp;Subs'!$C$12:$C$47),0)
),0),0)))),0)+IF(AND($C447=2,VALUE(RIGHT($AD447,1))&gt;2),(N447-R447)*(IFERROR(INDEX('TaxCred&amp;Subs'!$J$66:$J$99,MATCH(1,($C447&amp;$D447='TaxCred&amp;Subs'!$E$66:$E$99)*($F447='TaxCred&amp;Subs'!$C$66:$C$99),0)),0)),IF(AND($C447=1,VALUE(RIGHT($AD447,1))&gt;2),(N447-R447)*(IFERROR(INDEX('TaxCred&amp;Subs'!$J$66:$J$99,MATCH(1,($C447&amp;$D447='TaxCred&amp;Subs'!$D$66:$D$99)*($F447='TaxCred&amp;Subs'!$C$66:$C$99),0)),0)),IF($C447&gt;2,(N447-R447)*(IFERROR(INDEX('TaxCred&amp;Subs'!$J$66:$J$99,MATCH(1,($C447&amp;$D447='TaxCred&amp;Subs'!$D$66:$D$99)*($F447='TaxCred&amp;Subs'!$C$66:$C$99),0)),0)),0))),0)</f>
        <v>150</v>
      </c>
      <c r="Q447" s="95">
        <f t="array" ref="Q447">ROUND(IF(AND($C447=2,VALUE(RIGHT($AD447,1))&gt;2),(O447-S447)*(IFERROR(INDEX('TaxCred&amp;Subs'!$J$66:$J$99,MATCH(1,($C447&amp;$D447='TaxCred&amp;Subs'!$E$66:$E$99)*($F447='TaxCred&amp;Subs'!$C$66:$C$99),0)),0)),IF(AND($C447=1,VALUE(RIGHT($AD447,1))&gt;2),(O447-S447)*(IFERROR(INDEX('TaxCred&amp;Subs'!$J$66:$J$99,MATCH(1,($C447&amp;$D447='TaxCred&amp;Subs'!$D$66:$D$99)*($F447='TaxCred&amp;Subs'!$C$66:$C$99),0)),0)),IF($C447&gt;2,(O447-S447)*(IFERROR(INDEX('TaxCred&amp;Subs'!$J$66:$J$99,MATCH(1,($C447&amp;$D447='TaxCred&amp;Subs'!$D$66:$D$99)*($F447='TaxCred&amp;Subs'!$C$66:$C$99),0)),0)),0))),0)</f>
        <v>0</v>
      </c>
      <c r="R447" s="170">
        <f t="array" ref="R447">ROUND(IF(IFERROR(VALUE(RIGHT($AD447,1)),0)&gt;2,IF($C447=8,N447*IFERROR(INDEX('TaxCred&amp;Subs'!$K$139:$S$151,MATCH($C447&amp;$D447&amp;LEFT($AD447,7),'TaxCred&amp;Subs'!$E$139:$E$151,0),MATCH($H447,'TaxCred&amp;Subs'!$K$137:$S$137,0)),0),IF($C447=2,N447*IFERROR(INDEX('TaxCred&amp;Subs'!$K$139:$S$151,MATCH($C447&amp;$D447,'TaxCred&amp;Subs'!$D$139:$D$151,0),MATCH($H447,'TaxCred&amp;Subs'!$K$137:$S$137,0)),0),N447*IFERROR(INDEX('TaxCred&amp;Subs'!$K$139:$S$151,MATCH($C447&amp;$D447,'TaxCred&amp;Subs'!$C$139:$C$151,0),MATCH($H447,'TaxCred&amp;Subs'!$K$137:$S$137,0)),0))),0),0)</f>
        <v>622</v>
      </c>
      <c r="S447" s="170">
        <f t="array" ref="S447">ROUND(IF(IFERROR(VALUE(RIGHT($AD447,1)),0)&gt;2,IF($C447=8,O447*IFERROR(INDEX('TaxCred&amp;Subs'!$K$139:$S$151,MATCH($C447&amp;$D447&amp;LEFT($AD447,7),'TaxCred&amp;Subs'!$E$139:$E$151,0),MATCH($H447,'TaxCred&amp;Subs'!$K$137:$S$137,0)),0),IF($C447=2,O447*IFERROR(INDEX('TaxCred&amp;Subs'!$K$139:$S$151,MATCH($C447&amp;$D447,'TaxCred&amp;Subs'!$D$139:$D$151,0),MATCH($H447,'TaxCred&amp;Subs'!$K$137:$S$137,0)),0),O447*IFERROR(INDEX('TaxCred&amp;Subs'!$K$139:$S$151,MATCH($C447&amp;$D447,'TaxCred&amp;Subs'!$C$139:$C$151,0),MATCH($H447,'TaxCred&amp;Subs'!$K$137:$S$137,0)),0))),0),0)</f>
        <v>0</v>
      </c>
      <c r="T447" s="95">
        <f t="shared" si="24"/>
        <v>0</v>
      </c>
      <c r="U447" s="95">
        <f t="shared" si="25"/>
        <v>0</v>
      </c>
      <c r="V447" s="28" t="s">
        <v>222</v>
      </c>
      <c r="W447" s="31">
        <v>2020</v>
      </c>
      <c r="X447" s="28">
        <v>1</v>
      </c>
      <c r="Y447" s="28">
        <v>0</v>
      </c>
      <c r="Z447" s="196">
        <v>-2.0762472774284713E-4</v>
      </c>
      <c r="AA447" s="196">
        <v>-3.1942265806591866E-3</v>
      </c>
      <c r="AB447" s="28">
        <v>0</v>
      </c>
      <c r="AC447" s="28">
        <v>0</v>
      </c>
      <c r="AD447" s="28" t="s">
        <v>198</v>
      </c>
    </row>
    <row r="448" spans="2:30" ht="14.25" customHeight="1" x14ac:dyDescent="0.2">
      <c r="B448" s="7">
        <f t="shared" si="26"/>
        <v>424</v>
      </c>
      <c r="C448" s="28">
        <v>2</v>
      </c>
      <c r="D448" s="28">
        <v>3</v>
      </c>
      <c r="E448" s="31">
        <v>11</v>
      </c>
      <c r="F448" s="96">
        <v>2020</v>
      </c>
      <c r="G448" s="28">
        <v>2021</v>
      </c>
      <c r="H448" s="28">
        <v>2</v>
      </c>
      <c r="I448" s="96">
        <v>46</v>
      </c>
      <c r="J448" s="28">
        <v>5</v>
      </c>
      <c r="K448" s="28">
        <v>0</v>
      </c>
      <c r="L448" s="28">
        <v>0</v>
      </c>
      <c r="M448" s="156">
        <v>6.6329363855124335</v>
      </c>
      <c r="N448" s="151">
        <v>4310</v>
      </c>
      <c r="O448" s="79">
        <v>0</v>
      </c>
      <c r="P448" s="95">
        <f t="array" ref="P448">ROUND(IF($F448&lt;='TaxCred&amp;Subs'!$C$49,(IF($C448=2,IF($M448&gt;=IFERROR(INDEX('TaxCred&amp;Subs'!$L$12:$L$47,MATCH(1,($C448&amp;$D448='TaxCred&amp;Subs'!$E$12:$E$47)*($F448='TaxCred&amp;Subs'!$C$12:$C$47),0)
),9999),IFERROR(INDEX('TaxCred&amp;Subs'!$N$12:$N$47,MATCH(1,($C448&amp;$D448='TaxCred&amp;Subs'!$E$12:$E$47)*($F448='TaxCred&amp;Subs'!$C$12:$C$47),0)
),0),0),(IF($M448&gt;=IFERROR(INDEX('TaxCred&amp;Subs'!$H$12:$H$47,MATCH(1,($C448&amp;$D448='TaxCred&amp;Subs'!$D$12:$D$47)*($F448='TaxCred&amp;Subs'!$C$12:$C$47),0)
),9999),IFERROR(INDEX('TaxCred&amp;Subs'!$N$12:$N$47,MATCH(1,($C448&amp;$D448='TaxCred&amp;Subs'!$D$12:$D$47)*($F448='TaxCred&amp;Subs'!$C$12:$C$47),0)
),0),0)))),0)+IF(AND($C448=2,VALUE(RIGHT($AD448,1))&gt;2),(N448-R448)*(IFERROR(INDEX('TaxCred&amp;Subs'!$J$66:$J$99,MATCH(1,($C448&amp;$D448='TaxCred&amp;Subs'!$E$66:$E$99)*($F448='TaxCred&amp;Subs'!$C$66:$C$99),0)),0)),IF(AND($C448=1,VALUE(RIGHT($AD448,1))&gt;2),(N448-R448)*(IFERROR(INDEX('TaxCred&amp;Subs'!$J$66:$J$99,MATCH(1,($C448&amp;$D448='TaxCred&amp;Subs'!$D$66:$D$99)*($F448='TaxCred&amp;Subs'!$C$66:$C$99),0)),0)),IF($C448&gt;2,(N448-R448)*(IFERROR(INDEX('TaxCred&amp;Subs'!$J$66:$J$99,MATCH(1,($C448&amp;$D448='TaxCred&amp;Subs'!$D$66:$D$99)*($F448='TaxCred&amp;Subs'!$C$66:$C$99),0)),0)),0))),0)</f>
        <v>150</v>
      </c>
      <c r="Q448" s="95">
        <f t="array" ref="Q448">ROUND(IF(AND($C448=2,VALUE(RIGHT($AD448,1))&gt;2),(O448-S448)*(IFERROR(INDEX('TaxCred&amp;Subs'!$J$66:$J$99,MATCH(1,($C448&amp;$D448='TaxCred&amp;Subs'!$E$66:$E$99)*($F448='TaxCred&amp;Subs'!$C$66:$C$99),0)),0)),IF(AND($C448=1,VALUE(RIGHT($AD448,1))&gt;2),(O448-S448)*(IFERROR(INDEX('TaxCred&amp;Subs'!$J$66:$J$99,MATCH(1,($C448&amp;$D448='TaxCred&amp;Subs'!$D$66:$D$99)*($F448='TaxCred&amp;Subs'!$C$66:$C$99),0)),0)),IF($C448&gt;2,(O448-S448)*(IFERROR(INDEX('TaxCred&amp;Subs'!$J$66:$J$99,MATCH(1,($C448&amp;$D448='TaxCred&amp;Subs'!$D$66:$D$99)*($F448='TaxCred&amp;Subs'!$C$66:$C$99),0)),0)),0))),0)</f>
        <v>0</v>
      </c>
      <c r="R448" s="170">
        <f t="array" ref="R448">ROUND(IF(IFERROR(VALUE(RIGHT($AD448,1)),0)&gt;2,IF($C448=8,N448*IFERROR(INDEX('TaxCred&amp;Subs'!$K$139:$S$151,MATCH($C448&amp;$D448&amp;LEFT($AD448,7),'TaxCred&amp;Subs'!$E$139:$E$151,0),MATCH($H448,'TaxCred&amp;Subs'!$K$137:$S$137,0)),0),IF($C448=2,N448*IFERROR(INDEX('TaxCred&amp;Subs'!$K$139:$S$151,MATCH($C448&amp;$D448,'TaxCred&amp;Subs'!$D$139:$D$151,0),MATCH($H448,'TaxCred&amp;Subs'!$K$137:$S$137,0)),0),N448*IFERROR(INDEX('TaxCred&amp;Subs'!$K$139:$S$151,MATCH($C448&amp;$D448,'TaxCred&amp;Subs'!$C$139:$C$151,0),MATCH($H448,'TaxCred&amp;Subs'!$K$137:$S$137,0)),0))),0),0)</f>
        <v>225</v>
      </c>
      <c r="S448" s="170">
        <f t="array" ref="S448">ROUND(IF(IFERROR(VALUE(RIGHT($AD448,1)),0)&gt;2,IF($C448=8,O448*IFERROR(INDEX('TaxCred&amp;Subs'!$K$139:$S$151,MATCH($C448&amp;$D448&amp;LEFT($AD448,7),'TaxCred&amp;Subs'!$E$139:$E$151,0),MATCH($H448,'TaxCred&amp;Subs'!$K$137:$S$137,0)),0),IF($C448=2,O448*IFERROR(INDEX('TaxCred&amp;Subs'!$K$139:$S$151,MATCH($C448&amp;$D448,'TaxCred&amp;Subs'!$D$139:$D$151,0),MATCH($H448,'TaxCred&amp;Subs'!$K$137:$S$137,0)),0),O448*IFERROR(INDEX('TaxCred&amp;Subs'!$K$139:$S$151,MATCH($C448&amp;$D448,'TaxCred&amp;Subs'!$C$139:$C$151,0),MATCH($H448,'TaxCred&amp;Subs'!$K$137:$S$137,0)),0))),0),0)</f>
        <v>0</v>
      </c>
      <c r="T448" s="95">
        <f t="shared" si="24"/>
        <v>0</v>
      </c>
      <c r="U448" s="95">
        <f t="shared" si="25"/>
        <v>0</v>
      </c>
      <c r="V448" s="28" t="s">
        <v>222</v>
      </c>
      <c r="W448" s="31">
        <v>2020</v>
      </c>
      <c r="X448" s="28">
        <v>1</v>
      </c>
      <c r="Y448" s="28">
        <v>0</v>
      </c>
      <c r="Z448" s="196">
        <v>-2.0762472774284713E-4</v>
      </c>
      <c r="AA448" s="196">
        <v>-3.1942265806591866E-3</v>
      </c>
      <c r="AB448" s="28">
        <v>0</v>
      </c>
      <c r="AC448" s="28">
        <v>0</v>
      </c>
      <c r="AD448" s="28" t="s">
        <v>198</v>
      </c>
    </row>
    <row r="449" spans="2:30" ht="14.25" customHeight="1" x14ac:dyDescent="0.2">
      <c r="B449" s="7">
        <f t="shared" si="26"/>
        <v>425</v>
      </c>
      <c r="C449" s="28">
        <v>2</v>
      </c>
      <c r="D449" s="28">
        <v>3</v>
      </c>
      <c r="E449" s="31">
        <v>11</v>
      </c>
      <c r="F449" s="96">
        <v>2020</v>
      </c>
      <c r="G449" s="28">
        <v>2021</v>
      </c>
      <c r="H449" s="28">
        <v>3</v>
      </c>
      <c r="I449" s="96">
        <v>46</v>
      </c>
      <c r="J449" s="28">
        <v>5</v>
      </c>
      <c r="K449" s="28">
        <v>0</v>
      </c>
      <c r="L449" s="28">
        <v>0</v>
      </c>
      <c r="M449" s="156">
        <v>6.6329363855124335</v>
      </c>
      <c r="N449" s="151">
        <v>4310</v>
      </c>
      <c r="O449" s="79">
        <v>0</v>
      </c>
      <c r="P449" s="95">
        <f t="array" ref="P449">ROUND(IF($F449&lt;='TaxCred&amp;Subs'!$C$49,(IF($C449=2,IF($M449&gt;=IFERROR(INDEX('TaxCred&amp;Subs'!$L$12:$L$47,MATCH(1,($C449&amp;$D449='TaxCred&amp;Subs'!$E$12:$E$47)*($F449='TaxCred&amp;Subs'!$C$12:$C$47),0)
),9999),IFERROR(INDEX('TaxCred&amp;Subs'!$N$12:$N$47,MATCH(1,($C449&amp;$D449='TaxCred&amp;Subs'!$E$12:$E$47)*($F449='TaxCred&amp;Subs'!$C$12:$C$47),0)
),0),0),(IF($M449&gt;=IFERROR(INDEX('TaxCred&amp;Subs'!$H$12:$H$47,MATCH(1,($C449&amp;$D449='TaxCred&amp;Subs'!$D$12:$D$47)*($F449='TaxCred&amp;Subs'!$C$12:$C$47),0)
),9999),IFERROR(INDEX('TaxCred&amp;Subs'!$N$12:$N$47,MATCH(1,($C449&amp;$D449='TaxCred&amp;Subs'!$D$12:$D$47)*($F449='TaxCred&amp;Subs'!$C$12:$C$47),0)
),0),0)))),0)+IF(AND($C449=2,VALUE(RIGHT($AD449,1))&gt;2),(N449-R449)*(IFERROR(INDEX('TaxCred&amp;Subs'!$J$66:$J$99,MATCH(1,($C449&amp;$D449='TaxCred&amp;Subs'!$E$66:$E$99)*($F449='TaxCred&amp;Subs'!$C$66:$C$99),0)),0)),IF(AND($C449=1,VALUE(RIGHT($AD449,1))&gt;2),(N449-R449)*(IFERROR(INDEX('TaxCred&amp;Subs'!$J$66:$J$99,MATCH(1,($C449&amp;$D449='TaxCred&amp;Subs'!$D$66:$D$99)*($F449='TaxCred&amp;Subs'!$C$66:$C$99),0)),0)),IF($C449&gt;2,(N449-R449)*(IFERROR(INDEX('TaxCred&amp;Subs'!$J$66:$J$99,MATCH(1,($C449&amp;$D449='TaxCred&amp;Subs'!$D$66:$D$99)*($F449='TaxCred&amp;Subs'!$C$66:$C$99),0)),0)),0))),0)</f>
        <v>150</v>
      </c>
      <c r="Q449" s="95">
        <f t="array" ref="Q449">ROUND(IF(AND($C449=2,VALUE(RIGHT($AD449,1))&gt;2),(O449-S449)*(IFERROR(INDEX('TaxCred&amp;Subs'!$J$66:$J$99,MATCH(1,($C449&amp;$D449='TaxCred&amp;Subs'!$E$66:$E$99)*($F449='TaxCred&amp;Subs'!$C$66:$C$99),0)),0)),IF(AND($C449=1,VALUE(RIGHT($AD449,1))&gt;2),(O449-S449)*(IFERROR(INDEX('TaxCred&amp;Subs'!$J$66:$J$99,MATCH(1,($C449&amp;$D449='TaxCred&amp;Subs'!$D$66:$D$99)*($F449='TaxCred&amp;Subs'!$C$66:$C$99),0)),0)),IF($C449&gt;2,(O449-S449)*(IFERROR(INDEX('TaxCred&amp;Subs'!$J$66:$J$99,MATCH(1,($C449&amp;$D449='TaxCred&amp;Subs'!$D$66:$D$99)*($F449='TaxCred&amp;Subs'!$C$66:$C$99),0)),0)),0))),0)</f>
        <v>0</v>
      </c>
      <c r="R449" s="170">
        <f t="array" ref="R449">ROUND(IF(IFERROR(VALUE(RIGHT($AD449,1)),0)&gt;2,IF($C449=8,N449*IFERROR(INDEX('TaxCred&amp;Subs'!$K$139:$S$151,MATCH($C449&amp;$D449&amp;LEFT($AD449,7),'TaxCred&amp;Subs'!$E$139:$E$151,0),MATCH($H449,'TaxCred&amp;Subs'!$K$137:$S$137,0)),0),IF($C449=2,N449*IFERROR(INDEX('TaxCred&amp;Subs'!$K$139:$S$151,MATCH($C449&amp;$D449,'TaxCred&amp;Subs'!$D$139:$D$151,0),MATCH($H449,'TaxCred&amp;Subs'!$K$137:$S$137,0)),0),N449*IFERROR(INDEX('TaxCred&amp;Subs'!$K$139:$S$151,MATCH($C449&amp;$D449,'TaxCred&amp;Subs'!$C$139:$C$151,0),MATCH($H449,'TaxCred&amp;Subs'!$K$137:$S$137,0)),0))),0),0)</f>
        <v>341</v>
      </c>
      <c r="S449" s="170">
        <f t="array" ref="S449">ROUND(IF(IFERROR(VALUE(RIGHT($AD449,1)),0)&gt;2,IF($C449=8,O449*IFERROR(INDEX('TaxCred&amp;Subs'!$K$139:$S$151,MATCH($C449&amp;$D449&amp;LEFT($AD449,7),'TaxCred&amp;Subs'!$E$139:$E$151,0),MATCH($H449,'TaxCred&amp;Subs'!$K$137:$S$137,0)),0),IF($C449=2,O449*IFERROR(INDEX('TaxCred&amp;Subs'!$K$139:$S$151,MATCH($C449&amp;$D449,'TaxCred&amp;Subs'!$D$139:$D$151,0),MATCH($H449,'TaxCred&amp;Subs'!$K$137:$S$137,0)),0),O449*IFERROR(INDEX('TaxCred&amp;Subs'!$K$139:$S$151,MATCH($C449&amp;$D449,'TaxCred&amp;Subs'!$C$139:$C$151,0),MATCH($H449,'TaxCred&amp;Subs'!$K$137:$S$137,0)),0))),0),0)</f>
        <v>0</v>
      </c>
      <c r="T449" s="95">
        <f t="shared" si="24"/>
        <v>0</v>
      </c>
      <c r="U449" s="95">
        <f t="shared" si="25"/>
        <v>0</v>
      </c>
      <c r="V449" s="28" t="s">
        <v>222</v>
      </c>
      <c r="W449" s="31">
        <v>2020</v>
      </c>
      <c r="X449" s="28">
        <v>1</v>
      </c>
      <c r="Y449" s="28">
        <v>0</v>
      </c>
      <c r="Z449" s="196">
        <v>-2.0762472774284713E-4</v>
      </c>
      <c r="AA449" s="196">
        <v>-3.1942265806591866E-3</v>
      </c>
      <c r="AB449" s="28">
        <v>0</v>
      </c>
      <c r="AC449" s="28">
        <v>0</v>
      </c>
      <c r="AD449" s="28" t="s">
        <v>198</v>
      </c>
    </row>
    <row r="450" spans="2:30" ht="14.25" customHeight="1" x14ac:dyDescent="0.2">
      <c r="B450" s="7">
        <f t="shared" si="26"/>
        <v>426</v>
      </c>
      <c r="C450" s="28">
        <v>2</v>
      </c>
      <c r="D450" s="28">
        <v>3</v>
      </c>
      <c r="E450" s="31">
        <v>11</v>
      </c>
      <c r="F450" s="96">
        <v>2020</v>
      </c>
      <c r="G450" s="28">
        <v>2021</v>
      </c>
      <c r="H450" s="28">
        <v>4</v>
      </c>
      <c r="I450" s="96">
        <v>46</v>
      </c>
      <c r="J450" s="28">
        <v>5</v>
      </c>
      <c r="K450" s="28">
        <v>0</v>
      </c>
      <c r="L450" s="28">
        <v>0</v>
      </c>
      <c r="M450" s="156">
        <v>6.6329363855124335</v>
      </c>
      <c r="N450" s="151">
        <v>4310</v>
      </c>
      <c r="O450" s="79">
        <v>0</v>
      </c>
      <c r="P450" s="95">
        <f t="array" ref="P450">ROUND(IF($F450&lt;='TaxCred&amp;Subs'!$C$49,(IF($C450=2,IF($M450&gt;=IFERROR(INDEX('TaxCred&amp;Subs'!$L$12:$L$47,MATCH(1,($C450&amp;$D450='TaxCred&amp;Subs'!$E$12:$E$47)*($F450='TaxCred&amp;Subs'!$C$12:$C$47),0)
),9999),IFERROR(INDEX('TaxCred&amp;Subs'!$N$12:$N$47,MATCH(1,($C450&amp;$D450='TaxCred&amp;Subs'!$E$12:$E$47)*($F450='TaxCred&amp;Subs'!$C$12:$C$47),0)
),0),0),(IF($M450&gt;=IFERROR(INDEX('TaxCred&amp;Subs'!$H$12:$H$47,MATCH(1,($C450&amp;$D450='TaxCred&amp;Subs'!$D$12:$D$47)*($F450='TaxCred&amp;Subs'!$C$12:$C$47),0)
),9999),IFERROR(INDEX('TaxCred&amp;Subs'!$N$12:$N$47,MATCH(1,($C450&amp;$D450='TaxCred&amp;Subs'!$D$12:$D$47)*($F450='TaxCred&amp;Subs'!$C$12:$C$47),0)
),0),0)))),0)+IF(AND($C450=2,VALUE(RIGHT($AD450,1))&gt;2),(N450-R450)*(IFERROR(INDEX('TaxCred&amp;Subs'!$J$66:$J$99,MATCH(1,($C450&amp;$D450='TaxCred&amp;Subs'!$E$66:$E$99)*($F450='TaxCred&amp;Subs'!$C$66:$C$99),0)),0)),IF(AND($C450=1,VALUE(RIGHT($AD450,1))&gt;2),(N450-R450)*(IFERROR(INDEX('TaxCred&amp;Subs'!$J$66:$J$99,MATCH(1,($C450&amp;$D450='TaxCred&amp;Subs'!$D$66:$D$99)*($F450='TaxCred&amp;Subs'!$C$66:$C$99),0)),0)),IF($C450&gt;2,(N450-R450)*(IFERROR(INDEX('TaxCred&amp;Subs'!$J$66:$J$99,MATCH(1,($C450&amp;$D450='TaxCred&amp;Subs'!$D$66:$D$99)*($F450='TaxCred&amp;Subs'!$C$66:$C$99),0)),0)),0))),0)</f>
        <v>150</v>
      </c>
      <c r="Q450" s="95">
        <f t="array" ref="Q450">ROUND(IF(AND($C450=2,VALUE(RIGHT($AD450,1))&gt;2),(O450-S450)*(IFERROR(INDEX('TaxCred&amp;Subs'!$J$66:$J$99,MATCH(1,($C450&amp;$D450='TaxCred&amp;Subs'!$E$66:$E$99)*($F450='TaxCred&amp;Subs'!$C$66:$C$99),0)),0)),IF(AND($C450=1,VALUE(RIGHT($AD450,1))&gt;2),(O450-S450)*(IFERROR(INDEX('TaxCred&amp;Subs'!$J$66:$J$99,MATCH(1,($C450&amp;$D450='TaxCred&amp;Subs'!$D$66:$D$99)*($F450='TaxCred&amp;Subs'!$C$66:$C$99),0)),0)),IF($C450&gt;2,(O450-S450)*(IFERROR(INDEX('TaxCred&amp;Subs'!$J$66:$J$99,MATCH(1,($C450&amp;$D450='TaxCred&amp;Subs'!$D$66:$D$99)*($F450='TaxCred&amp;Subs'!$C$66:$C$99),0)),0)),0))),0)</f>
        <v>0</v>
      </c>
      <c r="R450" s="170">
        <f t="array" ref="R450">ROUND(IF(IFERROR(VALUE(RIGHT($AD450,1)),0)&gt;2,IF($C450=8,N450*IFERROR(INDEX('TaxCred&amp;Subs'!$K$139:$S$151,MATCH($C450&amp;$D450&amp;LEFT($AD450,7),'TaxCred&amp;Subs'!$E$139:$E$151,0),MATCH($H450,'TaxCred&amp;Subs'!$K$137:$S$137,0)),0),IF($C450=2,N450*IFERROR(INDEX('TaxCred&amp;Subs'!$K$139:$S$151,MATCH($C450&amp;$D450,'TaxCred&amp;Subs'!$D$139:$D$151,0),MATCH($H450,'TaxCred&amp;Subs'!$K$137:$S$137,0)),0),N450*IFERROR(INDEX('TaxCred&amp;Subs'!$K$139:$S$151,MATCH($C450&amp;$D450,'TaxCred&amp;Subs'!$C$139:$C$151,0),MATCH($H450,'TaxCred&amp;Subs'!$K$137:$S$137,0)),0))),0),0)</f>
        <v>208</v>
      </c>
      <c r="S450" s="170">
        <f t="array" ref="S450">ROUND(IF(IFERROR(VALUE(RIGHT($AD450,1)),0)&gt;2,IF($C450=8,O450*IFERROR(INDEX('TaxCred&amp;Subs'!$K$139:$S$151,MATCH($C450&amp;$D450&amp;LEFT($AD450,7),'TaxCred&amp;Subs'!$E$139:$E$151,0),MATCH($H450,'TaxCred&amp;Subs'!$K$137:$S$137,0)),0),IF($C450=2,O450*IFERROR(INDEX('TaxCred&amp;Subs'!$K$139:$S$151,MATCH($C450&amp;$D450,'TaxCred&amp;Subs'!$D$139:$D$151,0),MATCH($H450,'TaxCred&amp;Subs'!$K$137:$S$137,0)),0),O450*IFERROR(INDEX('TaxCred&amp;Subs'!$K$139:$S$151,MATCH($C450&amp;$D450,'TaxCred&amp;Subs'!$C$139:$C$151,0),MATCH($H450,'TaxCred&amp;Subs'!$K$137:$S$137,0)),0))),0),0)</f>
        <v>0</v>
      </c>
      <c r="T450" s="95">
        <f t="shared" si="24"/>
        <v>0</v>
      </c>
      <c r="U450" s="95">
        <f t="shared" si="25"/>
        <v>0</v>
      </c>
      <c r="V450" s="28" t="s">
        <v>222</v>
      </c>
      <c r="W450" s="31">
        <v>2020</v>
      </c>
      <c r="X450" s="28">
        <v>1</v>
      </c>
      <c r="Y450" s="28">
        <v>0</v>
      </c>
      <c r="Z450" s="196">
        <v>-2.0762472774284713E-4</v>
      </c>
      <c r="AA450" s="196">
        <v>-3.1942265806591866E-3</v>
      </c>
      <c r="AB450" s="28">
        <v>0</v>
      </c>
      <c r="AC450" s="28">
        <v>0</v>
      </c>
      <c r="AD450" s="28" t="s">
        <v>198</v>
      </c>
    </row>
    <row r="451" spans="2:30" ht="14.25" customHeight="1" x14ac:dyDescent="0.2">
      <c r="B451" s="7">
        <f t="shared" si="26"/>
        <v>427</v>
      </c>
      <c r="C451" s="28">
        <v>2</v>
      </c>
      <c r="D451" s="28">
        <v>3</v>
      </c>
      <c r="E451" s="31">
        <v>11</v>
      </c>
      <c r="F451" s="96">
        <v>2020</v>
      </c>
      <c r="G451" s="28">
        <v>2021</v>
      </c>
      <c r="H451" s="28">
        <v>5</v>
      </c>
      <c r="I451" s="96">
        <v>46</v>
      </c>
      <c r="J451" s="28">
        <v>5</v>
      </c>
      <c r="K451" s="28">
        <v>0</v>
      </c>
      <c r="L451" s="28">
        <v>0</v>
      </c>
      <c r="M451" s="156">
        <v>6.6329363855124335</v>
      </c>
      <c r="N451" s="151">
        <v>4310</v>
      </c>
      <c r="O451" s="79">
        <v>0</v>
      </c>
      <c r="P451" s="95">
        <f t="array" ref="P451">ROUND(IF($F451&lt;='TaxCred&amp;Subs'!$C$49,(IF($C451=2,IF($M451&gt;=IFERROR(INDEX('TaxCred&amp;Subs'!$L$12:$L$47,MATCH(1,($C451&amp;$D451='TaxCred&amp;Subs'!$E$12:$E$47)*($F451='TaxCred&amp;Subs'!$C$12:$C$47),0)
),9999),IFERROR(INDEX('TaxCred&amp;Subs'!$N$12:$N$47,MATCH(1,($C451&amp;$D451='TaxCred&amp;Subs'!$E$12:$E$47)*($F451='TaxCred&amp;Subs'!$C$12:$C$47),0)
),0),0),(IF($M451&gt;=IFERROR(INDEX('TaxCred&amp;Subs'!$H$12:$H$47,MATCH(1,($C451&amp;$D451='TaxCred&amp;Subs'!$D$12:$D$47)*($F451='TaxCred&amp;Subs'!$C$12:$C$47),0)
),9999),IFERROR(INDEX('TaxCred&amp;Subs'!$N$12:$N$47,MATCH(1,($C451&amp;$D451='TaxCred&amp;Subs'!$D$12:$D$47)*($F451='TaxCred&amp;Subs'!$C$12:$C$47),0)
),0),0)))),0)+IF(AND($C451=2,VALUE(RIGHT($AD451,1))&gt;2),(N451-R451)*(IFERROR(INDEX('TaxCred&amp;Subs'!$J$66:$J$99,MATCH(1,($C451&amp;$D451='TaxCred&amp;Subs'!$E$66:$E$99)*($F451='TaxCred&amp;Subs'!$C$66:$C$99),0)),0)),IF(AND($C451=1,VALUE(RIGHT($AD451,1))&gt;2),(N451-R451)*(IFERROR(INDEX('TaxCred&amp;Subs'!$J$66:$J$99,MATCH(1,($C451&amp;$D451='TaxCred&amp;Subs'!$D$66:$D$99)*($F451='TaxCred&amp;Subs'!$C$66:$C$99),0)),0)),IF($C451&gt;2,(N451-R451)*(IFERROR(INDEX('TaxCred&amp;Subs'!$J$66:$J$99,MATCH(1,($C451&amp;$D451='TaxCred&amp;Subs'!$D$66:$D$99)*($F451='TaxCred&amp;Subs'!$C$66:$C$99),0)),0)),0))),0)</f>
        <v>150</v>
      </c>
      <c r="Q451" s="95">
        <f t="array" ref="Q451">ROUND(IF(AND($C451=2,VALUE(RIGHT($AD451,1))&gt;2),(O451-S451)*(IFERROR(INDEX('TaxCred&amp;Subs'!$J$66:$J$99,MATCH(1,($C451&amp;$D451='TaxCred&amp;Subs'!$E$66:$E$99)*($F451='TaxCred&amp;Subs'!$C$66:$C$99),0)),0)),IF(AND($C451=1,VALUE(RIGHT($AD451,1))&gt;2),(O451-S451)*(IFERROR(INDEX('TaxCred&amp;Subs'!$J$66:$J$99,MATCH(1,($C451&amp;$D451='TaxCred&amp;Subs'!$D$66:$D$99)*($F451='TaxCred&amp;Subs'!$C$66:$C$99),0)),0)),IF($C451&gt;2,(O451-S451)*(IFERROR(INDEX('TaxCred&amp;Subs'!$J$66:$J$99,MATCH(1,($C451&amp;$D451='TaxCred&amp;Subs'!$D$66:$D$99)*($F451='TaxCred&amp;Subs'!$C$66:$C$99),0)),0)),0))),0)</f>
        <v>0</v>
      </c>
      <c r="R451" s="170">
        <f t="array" ref="R451">ROUND(IF(IFERROR(VALUE(RIGHT($AD451,1)),0)&gt;2,IF($C451=8,N451*IFERROR(INDEX('TaxCred&amp;Subs'!$K$139:$S$151,MATCH($C451&amp;$D451&amp;LEFT($AD451,7),'TaxCred&amp;Subs'!$E$139:$E$151,0),MATCH($H451,'TaxCred&amp;Subs'!$K$137:$S$137,0)),0),IF($C451=2,N451*IFERROR(INDEX('TaxCred&amp;Subs'!$K$139:$S$151,MATCH($C451&amp;$D451,'TaxCred&amp;Subs'!$D$139:$D$151,0),MATCH($H451,'TaxCred&amp;Subs'!$K$137:$S$137,0)),0),N451*IFERROR(INDEX('TaxCred&amp;Subs'!$K$139:$S$151,MATCH($C451&amp;$D451,'TaxCred&amp;Subs'!$C$139:$C$151,0),MATCH($H451,'TaxCred&amp;Subs'!$K$137:$S$137,0)),0))),0),0)</f>
        <v>94</v>
      </c>
      <c r="S451" s="170">
        <f t="array" ref="S451">ROUND(IF(IFERROR(VALUE(RIGHT($AD451,1)),0)&gt;2,IF($C451=8,O451*IFERROR(INDEX('TaxCred&amp;Subs'!$K$139:$S$151,MATCH($C451&amp;$D451&amp;LEFT($AD451,7),'TaxCred&amp;Subs'!$E$139:$E$151,0),MATCH($H451,'TaxCred&amp;Subs'!$K$137:$S$137,0)),0),IF($C451=2,O451*IFERROR(INDEX('TaxCred&amp;Subs'!$K$139:$S$151,MATCH($C451&amp;$D451,'TaxCred&amp;Subs'!$D$139:$D$151,0),MATCH($H451,'TaxCred&amp;Subs'!$K$137:$S$137,0)),0),O451*IFERROR(INDEX('TaxCred&amp;Subs'!$K$139:$S$151,MATCH($C451&amp;$D451,'TaxCred&amp;Subs'!$C$139:$C$151,0),MATCH($H451,'TaxCred&amp;Subs'!$K$137:$S$137,0)),0))),0),0)</f>
        <v>0</v>
      </c>
      <c r="T451" s="95">
        <f t="shared" si="24"/>
        <v>0</v>
      </c>
      <c r="U451" s="95">
        <f t="shared" si="25"/>
        <v>0</v>
      </c>
      <c r="V451" s="28" t="s">
        <v>222</v>
      </c>
      <c r="W451" s="31">
        <v>2020</v>
      </c>
      <c r="X451" s="28">
        <v>1</v>
      </c>
      <c r="Y451" s="28">
        <v>0</v>
      </c>
      <c r="Z451" s="196">
        <v>-2.0762472774284713E-4</v>
      </c>
      <c r="AA451" s="196">
        <v>-3.1942265806591866E-3</v>
      </c>
      <c r="AB451" s="28">
        <v>0</v>
      </c>
      <c r="AC451" s="28">
        <v>0</v>
      </c>
      <c r="AD451" s="28" t="s">
        <v>198</v>
      </c>
    </row>
    <row r="452" spans="2:30" ht="14.25" customHeight="1" x14ac:dyDescent="0.2">
      <c r="B452" s="7">
        <f t="shared" si="26"/>
        <v>428</v>
      </c>
      <c r="C452" s="28">
        <v>2</v>
      </c>
      <c r="D452" s="28">
        <v>3</v>
      </c>
      <c r="E452" s="31">
        <v>11</v>
      </c>
      <c r="F452" s="96">
        <v>2020</v>
      </c>
      <c r="G452" s="28">
        <v>2021</v>
      </c>
      <c r="H452" s="28">
        <v>6</v>
      </c>
      <c r="I452" s="96">
        <v>46</v>
      </c>
      <c r="J452" s="28">
        <v>5</v>
      </c>
      <c r="K452" s="28">
        <v>0</v>
      </c>
      <c r="L452" s="28">
        <v>0</v>
      </c>
      <c r="M452" s="156">
        <v>6.6329363855124335</v>
      </c>
      <c r="N452" s="151">
        <v>4310</v>
      </c>
      <c r="O452" s="79">
        <v>0</v>
      </c>
      <c r="P452" s="95">
        <f t="array" ref="P452">ROUND(IF($F452&lt;='TaxCred&amp;Subs'!$C$49,(IF($C452=2,IF($M452&gt;=IFERROR(INDEX('TaxCred&amp;Subs'!$L$12:$L$47,MATCH(1,($C452&amp;$D452='TaxCred&amp;Subs'!$E$12:$E$47)*($F452='TaxCred&amp;Subs'!$C$12:$C$47),0)
),9999),IFERROR(INDEX('TaxCred&amp;Subs'!$N$12:$N$47,MATCH(1,($C452&amp;$D452='TaxCred&amp;Subs'!$E$12:$E$47)*($F452='TaxCred&amp;Subs'!$C$12:$C$47),0)
),0),0),(IF($M452&gt;=IFERROR(INDEX('TaxCred&amp;Subs'!$H$12:$H$47,MATCH(1,($C452&amp;$D452='TaxCred&amp;Subs'!$D$12:$D$47)*($F452='TaxCred&amp;Subs'!$C$12:$C$47),0)
),9999),IFERROR(INDEX('TaxCred&amp;Subs'!$N$12:$N$47,MATCH(1,($C452&amp;$D452='TaxCred&amp;Subs'!$D$12:$D$47)*($F452='TaxCred&amp;Subs'!$C$12:$C$47),0)
),0),0)))),0)+IF(AND($C452=2,VALUE(RIGHT($AD452,1))&gt;2),(N452-R452)*(IFERROR(INDEX('TaxCred&amp;Subs'!$J$66:$J$99,MATCH(1,($C452&amp;$D452='TaxCred&amp;Subs'!$E$66:$E$99)*($F452='TaxCred&amp;Subs'!$C$66:$C$99),0)),0)),IF(AND($C452=1,VALUE(RIGHT($AD452,1))&gt;2),(N452-R452)*(IFERROR(INDEX('TaxCred&amp;Subs'!$J$66:$J$99,MATCH(1,($C452&amp;$D452='TaxCred&amp;Subs'!$D$66:$D$99)*($F452='TaxCred&amp;Subs'!$C$66:$C$99),0)),0)),IF($C452&gt;2,(N452-R452)*(IFERROR(INDEX('TaxCred&amp;Subs'!$J$66:$J$99,MATCH(1,($C452&amp;$D452='TaxCred&amp;Subs'!$D$66:$D$99)*($F452='TaxCred&amp;Subs'!$C$66:$C$99),0)),0)),0))),0)</f>
        <v>150</v>
      </c>
      <c r="Q452" s="95">
        <f t="array" ref="Q452">ROUND(IF(AND($C452=2,VALUE(RIGHT($AD452,1))&gt;2),(O452-S452)*(IFERROR(INDEX('TaxCred&amp;Subs'!$J$66:$J$99,MATCH(1,($C452&amp;$D452='TaxCred&amp;Subs'!$E$66:$E$99)*($F452='TaxCred&amp;Subs'!$C$66:$C$99),0)),0)),IF(AND($C452=1,VALUE(RIGHT($AD452,1))&gt;2),(O452-S452)*(IFERROR(INDEX('TaxCred&amp;Subs'!$J$66:$J$99,MATCH(1,($C452&amp;$D452='TaxCred&amp;Subs'!$D$66:$D$99)*($F452='TaxCred&amp;Subs'!$C$66:$C$99),0)),0)),IF($C452&gt;2,(O452-S452)*(IFERROR(INDEX('TaxCred&amp;Subs'!$J$66:$J$99,MATCH(1,($C452&amp;$D452='TaxCred&amp;Subs'!$D$66:$D$99)*($F452='TaxCred&amp;Subs'!$C$66:$C$99),0)),0)),0))),0)</f>
        <v>0</v>
      </c>
      <c r="R452" s="170">
        <f t="array" ref="R452">ROUND(IF(IFERROR(VALUE(RIGHT($AD452,1)),0)&gt;2,IF($C452=8,N452*IFERROR(INDEX('TaxCred&amp;Subs'!$K$139:$S$151,MATCH($C452&amp;$D452&amp;LEFT($AD452,7),'TaxCred&amp;Subs'!$E$139:$E$151,0),MATCH($H452,'TaxCred&amp;Subs'!$K$137:$S$137,0)),0),IF($C452=2,N452*IFERROR(INDEX('TaxCred&amp;Subs'!$K$139:$S$151,MATCH($C452&amp;$D452,'TaxCred&amp;Subs'!$D$139:$D$151,0),MATCH($H452,'TaxCred&amp;Subs'!$K$137:$S$137,0)),0),N452*IFERROR(INDEX('TaxCred&amp;Subs'!$K$139:$S$151,MATCH($C452&amp;$D452,'TaxCred&amp;Subs'!$C$139:$C$151,0),MATCH($H452,'TaxCred&amp;Subs'!$K$137:$S$137,0)),0))),0),0)</f>
        <v>0</v>
      </c>
      <c r="S452" s="170">
        <f t="array" ref="S452">ROUND(IF(IFERROR(VALUE(RIGHT($AD452,1)),0)&gt;2,IF($C452=8,O452*IFERROR(INDEX('TaxCred&amp;Subs'!$K$139:$S$151,MATCH($C452&amp;$D452&amp;LEFT($AD452,7),'TaxCred&amp;Subs'!$E$139:$E$151,0),MATCH($H452,'TaxCred&amp;Subs'!$K$137:$S$137,0)),0),IF($C452=2,O452*IFERROR(INDEX('TaxCred&amp;Subs'!$K$139:$S$151,MATCH($C452&amp;$D452,'TaxCred&amp;Subs'!$D$139:$D$151,0),MATCH($H452,'TaxCred&amp;Subs'!$K$137:$S$137,0)),0),O452*IFERROR(INDEX('TaxCred&amp;Subs'!$K$139:$S$151,MATCH($C452&amp;$D452,'TaxCred&amp;Subs'!$C$139:$C$151,0),MATCH($H452,'TaxCred&amp;Subs'!$K$137:$S$137,0)),0))),0),0)</f>
        <v>0</v>
      </c>
      <c r="T452" s="95">
        <f t="shared" si="24"/>
        <v>0</v>
      </c>
      <c r="U452" s="95">
        <f t="shared" si="25"/>
        <v>0</v>
      </c>
      <c r="V452" s="28" t="s">
        <v>222</v>
      </c>
      <c r="W452" s="31">
        <v>2020</v>
      </c>
      <c r="X452" s="28">
        <v>1</v>
      </c>
      <c r="Y452" s="28">
        <v>0</v>
      </c>
      <c r="Z452" s="196">
        <v>-2.0762472774284713E-4</v>
      </c>
      <c r="AA452" s="196">
        <v>-3.1942265806591866E-3</v>
      </c>
      <c r="AB452" s="28">
        <v>0</v>
      </c>
      <c r="AC452" s="28">
        <v>0</v>
      </c>
      <c r="AD452" s="28" t="s">
        <v>198</v>
      </c>
    </row>
    <row r="453" spans="2:30" ht="14.25" customHeight="1" x14ac:dyDescent="0.2">
      <c r="B453" s="7">
        <f t="shared" si="26"/>
        <v>429</v>
      </c>
      <c r="C453" s="28">
        <v>2</v>
      </c>
      <c r="D453" s="28">
        <v>3</v>
      </c>
      <c r="E453" s="31">
        <v>11</v>
      </c>
      <c r="F453" s="96">
        <v>2020</v>
      </c>
      <c r="G453" s="28">
        <v>2021</v>
      </c>
      <c r="H453" s="28">
        <v>7</v>
      </c>
      <c r="I453" s="96">
        <v>46</v>
      </c>
      <c r="J453" s="28">
        <v>5</v>
      </c>
      <c r="K453" s="28">
        <v>0</v>
      </c>
      <c r="L453" s="28">
        <v>0</v>
      </c>
      <c r="M453" s="156">
        <v>6.6329363855124335</v>
      </c>
      <c r="N453" s="151">
        <v>4310</v>
      </c>
      <c r="O453" s="79">
        <v>0</v>
      </c>
      <c r="P453" s="95">
        <f t="array" ref="P453">ROUND(IF($F453&lt;='TaxCred&amp;Subs'!$C$49,(IF($C453=2,IF($M453&gt;=IFERROR(INDEX('TaxCred&amp;Subs'!$L$12:$L$47,MATCH(1,($C453&amp;$D453='TaxCred&amp;Subs'!$E$12:$E$47)*($F453='TaxCred&amp;Subs'!$C$12:$C$47),0)
),9999),IFERROR(INDEX('TaxCred&amp;Subs'!$N$12:$N$47,MATCH(1,($C453&amp;$D453='TaxCred&amp;Subs'!$E$12:$E$47)*($F453='TaxCred&amp;Subs'!$C$12:$C$47),0)
),0),0),(IF($M453&gt;=IFERROR(INDEX('TaxCred&amp;Subs'!$H$12:$H$47,MATCH(1,($C453&amp;$D453='TaxCred&amp;Subs'!$D$12:$D$47)*($F453='TaxCred&amp;Subs'!$C$12:$C$47),0)
),9999),IFERROR(INDEX('TaxCred&amp;Subs'!$N$12:$N$47,MATCH(1,($C453&amp;$D453='TaxCred&amp;Subs'!$D$12:$D$47)*($F453='TaxCred&amp;Subs'!$C$12:$C$47),0)
),0),0)))),0)+IF(AND($C453=2,VALUE(RIGHT($AD453,1))&gt;2),(N453-R453)*(IFERROR(INDEX('TaxCred&amp;Subs'!$J$66:$J$99,MATCH(1,($C453&amp;$D453='TaxCred&amp;Subs'!$E$66:$E$99)*($F453='TaxCred&amp;Subs'!$C$66:$C$99),0)),0)),IF(AND($C453=1,VALUE(RIGHT($AD453,1))&gt;2),(N453-R453)*(IFERROR(INDEX('TaxCred&amp;Subs'!$J$66:$J$99,MATCH(1,($C453&amp;$D453='TaxCred&amp;Subs'!$D$66:$D$99)*($F453='TaxCred&amp;Subs'!$C$66:$C$99),0)),0)),IF($C453&gt;2,(N453-R453)*(IFERROR(INDEX('TaxCred&amp;Subs'!$J$66:$J$99,MATCH(1,($C453&amp;$D453='TaxCred&amp;Subs'!$D$66:$D$99)*($F453='TaxCred&amp;Subs'!$C$66:$C$99),0)),0)),0))),0)</f>
        <v>150</v>
      </c>
      <c r="Q453" s="95">
        <f t="array" ref="Q453">ROUND(IF(AND($C453=2,VALUE(RIGHT($AD453,1))&gt;2),(O453-S453)*(IFERROR(INDEX('TaxCred&amp;Subs'!$J$66:$J$99,MATCH(1,($C453&amp;$D453='TaxCred&amp;Subs'!$E$66:$E$99)*($F453='TaxCred&amp;Subs'!$C$66:$C$99),0)),0)),IF(AND($C453=1,VALUE(RIGHT($AD453,1))&gt;2),(O453-S453)*(IFERROR(INDEX('TaxCred&amp;Subs'!$J$66:$J$99,MATCH(1,($C453&amp;$D453='TaxCred&amp;Subs'!$D$66:$D$99)*($F453='TaxCred&amp;Subs'!$C$66:$C$99),0)),0)),IF($C453&gt;2,(O453-S453)*(IFERROR(INDEX('TaxCred&amp;Subs'!$J$66:$J$99,MATCH(1,($C453&amp;$D453='TaxCred&amp;Subs'!$D$66:$D$99)*($F453='TaxCred&amp;Subs'!$C$66:$C$99),0)),0)),0))),0)</f>
        <v>0</v>
      </c>
      <c r="R453" s="170">
        <f t="array" ref="R453">ROUND(IF(IFERROR(VALUE(RIGHT($AD453,1)),0)&gt;2,IF($C453=8,N453*IFERROR(INDEX('TaxCred&amp;Subs'!$K$139:$S$151,MATCH($C453&amp;$D453&amp;LEFT($AD453,7),'TaxCred&amp;Subs'!$E$139:$E$151,0),MATCH($H453,'TaxCred&amp;Subs'!$K$137:$S$137,0)),0),IF($C453=2,N453*IFERROR(INDEX('TaxCred&amp;Subs'!$K$139:$S$151,MATCH($C453&amp;$D453,'TaxCred&amp;Subs'!$D$139:$D$151,0),MATCH($H453,'TaxCred&amp;Subs'!$K$137:$S$137,0)),0),N453*IFERROR(INDEX('TaxCred&amp;Subs'!$K$139:$S$151,MATCH($C453&amp;$D453,'TaxCred&amp;Subs'!$C$139:$C$151,0),MATCH($H453,'TaxCred&amp;Subs'!$K$137:$S$137,0)),0))),0),0)</f>
        <v>835</v>
      </c>
      <c r="S453" s="170">
        <f t="array" ref="S453">ROUND(IF(IFERROR(VALUE(RIGHT($AD453,1)),0)&gt;2,IF($C453=8,O453*IFERROR(INDEX('TaxCred&amp;Subs'!$K$139:$S$151,MATCH($C453&amp;$D453&amp;LEFT($AD453,7),'TaxCred&amp;Subs'!$E$139:$E$151,0),MATCH($H453,'TaxCred&amp;Subs'!$K$137:$S$137,0)),0),IF($C453=2,O453*IFERROR(INDEX('TaxCred&amp;Subs'!$K$139:$S$151,MATCH($C453&amp;$D453,'TaxCred&amp;Subs'!$D$139:$D$151,0),MATCH($H453,'TaxCred&amp;Subs'!$K$137:$S$137,0)),0),O453*IFERROR(INDEX('TaxCred&amp;Subs'!$K$139:$S$151,MATCH($C453&amp;$D453,'TaxCred&amp;Subs'!$C$139:$C$151,0),MATCH($H453,'TaxCred&amp;Subs'!$K$137:$S$137,0)),0))),0),0)</f>
        <v>0</v>
      </c>
      <c r="T453" s="95">
        <f t="shared" si="24"/>
        <v>0</v>
      </c>
      <c r="U453" s="95">
        <f t="shared" si="25"/>
        <v>0</v>
      </c>
      <c r="V453" s="28" t="s">
        <v>222</v>
      </c>
      <c r="W453" s="31">
        <v>2020</v>
      </c>
      <c r="X453" s="28">
        <v>1</v>
      </c>
      <c r="Y453" s="28">
        <v>0</v>
      </c>
      <c r="Z453" s="196">
        <v>-2.0762472774284713E-4</v>
      </c>
      <c r="AA453" s="196">
        <v>-3.1942265806591866E-3</v>
      </c>
      <c r="AB453" s="28">
        <v>0</v>
      </c>
      <c r="AC453" s="28">
        <v>0</v>
      </c>
      <c r="AD453" s="28" t="s">
        <v>198</v>
      </c>
    </row>
    <row r="454" spans="2:30" ht="14.25" customHeight="1" x14ac:dyDescent="0.2">
      <c r="B454" s="7">
        <f t="shared" si="26"/>
        <v>430</v>
      </c>
      <c r="C454" s="28">
        <v>2</v>
      </c>
      <c r="D454" s="28">
        <v>3</v>
      </c>
      <c r="E454" s="31">
        <v>11</v>
      </c>
      <c r="F454" s="96">
        <v>2020</v>
      </c>
      <c r="G454" s="28">
        <v>2021</v>
      </c>
      <c r="H454" s="28">
        <v>8</v>
      </c>
      <c r="I454" s="96">
        <v>46</v>
      </c>
      <c r="J454" s="28">
        <v>5</v>
      </c>
      <c r="K454" s="28">
        <v>0</v>
      </c>
      <c r="L454" s="28">
        <v>0</v>
      </c>
      <c r="M454" s="156">
        <v>6.6329363855124335</v>
      </c>
      <c r="N454" s="151">
        <v>4310</v>
      </c>
      <c r="O454" s="79">
        <v>0</v>
      </c>
      <c r="P454" s="95">
        <f t="array" ref="P454">ROUND(IF($F454&lt;='TaxCred&amp;Subs'!$C$49,(IF($C454=2,IF($M454&gt;=IFERROR(INDEX('TaxCred&amp;Subs'!$L$12:$L$47,MATCH(1,($C454&amp;$D454='TaxCred&amp;Subs'!$E$12:$E$47)*($F454='TaxCred&amp;Subs'!$C$12:$C$47),0)
),9999),IFERROR(INDEX('TaxCred&amp;Subs'!$N$12:$N$47,MATCH(1,($C454&amp;$D454='TaxCred&amp;Subs'!$E$12:$E$47)*($F454='TaxCred&amp;Subs'!$C$12:$C$47),0)
),0),0),(IF($M454&gt;=IFERROR(INDEX('TaxCred&amp;Subs'!$H$12:$H$47,MATCH(1,($C454&amp;$D454='TaxCred&amp;Subs'!$D$12:$D$47)*($F454='TaxCred&amp;Subs'!$C$12:$C$47),0)
),9999),IFERROR(INDEX('TaxCred&amp;Subs'!$N$12:$N$47,MATCH(1,($C454&amp;$D454='TaxCred&amp;Subs'!$D$12:$D$47)*($F454='TaxCred&amp;Subs'!$C$12:$C$47),0)
),0),0)))),0)+IF(AND($C454=2,VALUE(RIGHT($AD454,1))&gt;2),(N454-R454)*(IFERROR(INDEX('TaxCred&amp;Subs'!$J$66:$J$99,MATCH(1,($C454&amp;$D454='TaxCred&amp;Subs'!$E$66:$E$99)*($F454='TaxCred&amp;Subs'!$C$66:$C$99),0)),0)),IF(AND($C454=1,VALUE(RIGHT($AD454,1))&gt;2),(N454-R454)*(IFERROR(INDEX('TaxCred&amp;Subs'!$J$66:$J$99,MATCH(1,($C454&amp;$D454='TaxCred&amp;Subs'!$D$66:$D$99)*($F454='TaxCred&amp;Subs'!$C$66:$C$99),0)),0)),IF($C454&gt;2,(N454-R454)*(IFERROR(INDEX('TaxCred&amp;Subs'!$J$66:$J$99,MATCH(1,($C454&amp;$D454='TaxCred&amp;Subs'!$D$66:$D$99)*($F454='TaxCred&amp;Subs'!$C$66:$C$99),0)),0)),0))),0)</f>
        <v>150</v>
      </c>
      <c r="Q454" s="95">
        <f t="array" ref="Q454">ROUND(IF(AND($C454=2,VALUE(RIGHT($AD454,1))&gt;2),(O454-S454)*(IFERROR(INDEX('TaxCred&amp;Subs'!$J$66:$J$99,MATCH(1,($C454&amp;$D454='TaxCred&amp;Subs'!$E$66:$E$99)*($F454='TaxCred&amp;Subs'!$C$66:$C$99),0)),0)),IF(AND($C454=1,VALUE(RIGHT($AD454,1))&gt;2),(O454-S454)*(IFERROR(INDEX('TaxCred&amp;Subs'!$J$66:$J$99,MATCH(1,($C454&amp;$D454='TaxCred&amp;Subs'!$D$66:$D$99)*($F454='TaxCred&amp;Subs'!$C$66:$C$99),0)),0)),IF($C454&gt;2,(O454-S454)*(IFERROR(INDEX('TaxCred&amp;Subs'!$J$66:$J$99,MATCH(1,($C454&amp;$D454='TaxCred&amp;Subs'!$D$66:$D$99)*($F454='TaxCred&amp;Subs'!$C$66:$C$99),0)),0)),0))),0)</f>
        <v>0</v>
      </c>
      <c r="R454" s="170">
        <f t="array" ref="R454">ROUND(IF(IFERROR(VALUE(RIGHT($AD454,1)),0)&gt;2,IF($C454=8,N454*IFERROR(INDEX('TaxCred&amp;Subs'!$K$139:$S$151,MATCH($C454&amp;$D454&amp;LEFT($AD454,7),'TaxCred&amp;Subs'!$E$139:$E$151,0),MATCH($H454,'TaxCred&amp;Subs'!$K$137:$S$137,0)),0),IF($C454=2,N454*IFERROR(INDEX('TaxCred&amp;Subs'!$K$139:$S$151,MATCH($C454&amp;$D454,'TaxCred&amp;Subs'!$D$139:$D$151,0),MATCH($H454,'TaxCred&amp;Subs'!$K$137:$S$137,0)),0),N454*IFERROR(INDEX('TaxCred&amp;Subs'!$K$139:$S$151,MATCH($C454&amp;$D454,'TaxCred&amp;Subs'!$C$139:$C$151,0),MATCH($H454,'TaxCred&amp;Subs'!$K$137:$S$137,0)),0))),0),0)</f>
        <v>199</v>
      </c>
      <c r="S454" s="170">
        <f t="array" ref="S454">ROUND(IF(IFERROR(VALUE(RIGHT($AD454,1)),0)&gt;2,IF($C454=8,O454*IFERROR(INDEX('TaxCred&amp;Subs'!$K$139:$S$151,MATCH($C454&amp;$D454&amp;LEFT($AD454,7),'TaxCred&amp;Subs'!$E$139:$E$151,0),MATCH($H454,'TaxCred&amp;Subs'!$K$137:$S$137,0)),0),IF($C454=2,O454*IFERROR(INDEX('TaxCred&amp;Subs'!$K$139:$S$151,MATCH($C454&amp;$D454,'TaxCred&amp;Subs'!$D$139:$D$151,0),MATCH($H454,'TaxCred&amp;Subs'!$K$137:$S$137,0)),0),O454*IFERROR(INDEX('TaxCred&amp;Subs'!$K$139:$S$151,MATCH($C454&amp;$D454,'TaxCred&amp;Subs'!$C$139:$C$151,0),MATCH($H454,'TaxCred&amp;Subs'!$K$137:$S$137,0)),0))),0),0)</f>
        <v>0</v>
      </c>
      <c r="T454" s="95">
        <f t="shared" si="24"/>
        <v>0</v>
      </c>
      <c r="U454" s="95">
        <f t="shared" si="25"/>
        <v>0</v>
      </c>
      <c r="V454" s="28" t="s">
        <v>222</v>
      </c>
      <c r="W454" s="31">
        <v>2020</v>
      </c>
      <c r="X454" s="28">
        <v>1</v>
      </c>
      <c r="Y454" s="28">
        <v>0</v>
      </c>
      <c r="Z454" s="196">
        <v>-2.0762472774284713E-4</v>
      </c>
      <c r="AA454" s="196">
        <v>-3.1942265806591866E-3</v>
      </c>
      <c r="AB454" s="28">
        <v>0</v>
      </c>
      <c r="AC454" s="28">
        <v>0</v>
      </c>
      <c r="AD454" s="28" t="s">
        <v>198</v>
      </c>
    </row>
    <row r="455" spans="2:30" ht="14.25" customHeight="1" x14ac:dyDescent="0.2">
      <c r="B455" s="7">
        <f t="shared" si="26"/>
        <v>431</v>
      </c>
      <c r="C455" s="28">
        <v>2</v>
      </c>
      <c r="D455" s="28">
        <v>3</v>
      </c>
      <c r="E455" s="31">
        <v>11</v>
      </c>
      <c r="F455" s="96">
        <v>2020</v>
      </c>
      <c r="G455" s="28">
        <v>2021</v>
      </c>
      <c r="H455" s="28">
        <v>9</v>
      </c>
      <c r="I455" s="96">
        <v>46</v>
      </c>
      <c r="J455" s="28">
        <v>5</v>
      </c>
      <c r="K455" s="28">
        <v>0</v>
      </c>
      <c r="L455" s="28">
        <v>0</v>
      </c>
      <c r="M455" s="156">
        <v>6.6329363855124335</v>
      </c>
      <c r="N455" s="151">
        <v>4310</v>
      </c>
      <c r="O455" s="79">
        <v>0</v>
      </c>
      <c r="P455" s="95">
        <f t="array" ref="P455">ROUND(IF($F455&lt;='TaxCred&amp;Subs'!$C$49,(IF($C455=2,IF($M455&gt;=IFERROR(INDEX('TaxCred&amp;Subs'!$L$12:$L$47,MATCH(1,($C455&amp;$D455='TaxCred&amp;Subs'!$E$12:$E$47)*($F455='TaxCred&amp;Subs'!$C$12:$C$47),0)
),9999),IFERROR(INDEX('TaxCred&amp;Subs'!$N$12:$N$47,MATCH(1,($C455&amp;$D455='TaxCred&amp;Subs'!$E$12:$E$47)*($F455='TaxCred&amp;Subs'!$C$12:$C$47),0)
),0),0),(IF($M455&gt;=IFERROR(INDEX('TaxCred&amp;Subs'!$H$12:$H$47,MATCH(1,($C455&amp;$D455='TaxCred&amp;Subs'!$D$12:$D$47)*($F455='TaxCred&amp;Subs'!$C$12:$C$47),0)
),9999),IFERROR(INDEX('TaxCred&amp;Subs'!$N$12:$N$47,MATCH(1,($C455&amp;$D455='TaxCred&amp;Subs'!$D$12:$D$47)*($F455='TaxCred&amp;Subs'!$C$12:$C$47),0)
),0),0)))),0)+IF(AND($C455=2,VALUE(RIGHT($AD455,1))&gt;2),(N455-R455)*(IFERROR(INDEX('TaxCred&amp;Subs'!$J$66:$J$99,MATCH(1,($C455&amp;$D455='TaxCred&amp;Subs'!$E$66:$E$99)*($F455='TaxCred&amp;Subs'!$C$66:$C$99),0)),0)),IF(AND($C455=1,VALUE(RIGHT($AD455,1))&gt;2),(N455-R455)*(IFERROR(INDEX('TaxCred&amp;Subs'!$J$66:$J$99,MATCH(1,($C455&amp;$D455='TaxCred&amp;Subs'!$D$66:$D$99)*($F455='TaxCred&amp;Subs'!$C$66:$C$99),0)),0)),IF($C455&gt;2,(N455-R455)*(IFERROR(INDEX('TaxCred&amp;Subs'!$J$66:$J$99,MATCH(1,($C455&amp;$D455='TaxCred&amp;Subs'!$D$66:$D$99)*($F455='TaxCred&amp;Subs'!$C$66:$C$99),0)),0)),0))),0)</f>
        <v>150</v>
      </c>
      <c r="Q455" s="95">
        <f t="array" ref="Q455">ROUND(IF(AND($C455=2,VALUE(RIGHT($AD455,1))&gt;2),(O455-S455)*(IFERROR(INDEX('TaxCred&amp;Subs'!$J$66:$J$99,MATCH(1,($C455&amp;$D455='TaxCred&amp;Subs'!$E$66:$E$99)*($F455='TaxCred&amp;Subs'!$C$66:$C$99),0)),0)),IF(AND($C455=1,VALUE(RIGHT($AD455,1))&gt;2),(O455-S455)*(IFERROR(INDEX('TaxCred&amp;Subs'!$J$66:$J$99,MATCH(1,($C455&amp;$D455='TaxCred&amp;Subs'!$D$66:$D$99)*($F455='TaxCred&amp;Subs'!$C$66:$C$99),0)),0)),IF($C455&gt;2,(O455-S455)*(IFERROR(INDEX('TaxCred&amp;Subs'!$J$66:$J$99,MATCH(1,($C455&amp;$D455='TaxCred&amp;Subs'!$D$66:$D$99)*($F455='TaxCred&amp;Subs'!$C$66:$C$99),0)),0)),0))),0)</f>
        <v>0</v>
      </c>
      <c r="R455" s="170">
        <f t="array" ref="R455">ROUND(IF(IFERROR(VALUE(RIGHT($AD455,1)),0)&gt;2,IF($C455=8,N455*IFERROR(INDEX('TaxCred&amp;Subs'!$K$139:$S$151,MATCH($C455&amp;$D455&amp;LEFT($AD455,7),'TaxCred&amp;Subs'!$E$139:$E$151,0),MATCH($H455,'TaxCred&amp;Subs'!$K$137:$S$137,0)),0),IF($C455=2,N455*IFERROR(INDEX('TaxCred&amp;Subs'!$K$139:$S$151,MATCH($C455&amp;$D455,'TaxCred&amp;Subs'!$D$139:$D$151,0),MATCH($H455,'TaxCred&amp;Subs'!$K$137:$S$137,0)),0),N455*IFERROR(INDEX('TaxCred&amp;Subs'!$K$139:$S$151,MATCH($C455&amp;$D455,'TaxCred&amp;Subs'!$C$139:$C$151,0),MATCH($H455,'TaxCred&amp;Subs'!$K$137:$S$137,0)),0))),0),0)</f>
        <v>479</v>
      </c>
      <c r="S455" s="170">
        <f t="array" ref="S455">ROUND(IF(IFERROR(VALUE(RIGHT($AD455,1)),0)&gt;2,IF($C455=8,O455*IFERROR(INDEX('TaxCred&amp;Subs'!$K$139:$S$151,MATCH($C455&amp;$D455&amp;LEFT($AD455,7),'TaxCred&amp;Subs'!$E$139:$E$151,0),MATCH($H455,'TaxCred&amp;Subs'!$K$137:$S$137,0)),0),IF($C455=2,O455*IFERROR(INDEX('TaxCred&amp;Subs'!$K$139:$S$151,MATCH($C455&amp;$D455,'TaxCred&amp;Subs'!$D$139:$D$151,0),MATCH($H455,'TaxCred&amp;Subs'!$K$137:$S$137,0)),0),O455*IFERROR(INDEX('TaxCred&amp;Subs'!$K$139:$S$151,MATCH($C455&amp;$D455,'TaxCred&amp;Subs'!$C$139:$C$151,0),MATCH($H455,'TaxCred&amp;Subs'!$K$137:$S$137,0)),0))),0),0)</f>
        <v>0</v>
      </c>
      <c r="T455" s="172">
        <f t="shared" si="24"/>
        <v>624</v>
      </c>
      <c r="U455" s="95">
        <f t="shared" si="25"/>
        <v>0</v>
      </c>
      <c r="V455" s="28" t="s">
        <v>222</v>
      </c>
      <c r="W455" s="31">
        <v>2020</v>
      </c>
      <c r="X455" s="28">
        <v>1</v>
      </c>
      <c r="Y455" s="28">
        <v>0</v>
      </c>
      <c r="Z455" s="196">
        <v>-2.0762472774284713E-4</v>
      </c>
      <c r="AA455" s="196">
        <v>-3.1942265806591866E-3</v>
      </c>
      <c r="AB455" s="28">
        <v>0</v>
      </c>
      <c r="AC455" s="28">
        <v>0</v>
      </c>
      <c r="AD455" s="28" t="s">
        <v>198</v>
      </c>
    </row>
    <row r="456" spans="2:30" ht="14.25" customHeight="1" x14ac:dyDescent="0.2">
      <c r="B456" s="7">
        <f t="shared" si="26"/>
        <v>432</v>
      </c>
      <c r="C456" s="28">
        <v>2</v>
      </c>
      <c r="D456" s="28">
        <v>3</v>
      </c>
      <c r="E456" s="31">
        <v>11</v>
      </c>
      <c r="F456" s="78">
        <v>2022</v>
      </c>
      <c r="G456" s="28">
        <v>2032</v>
      </c>
      <c r="H456" s="28">
        <v>1</v>
      </c>
      <c r="I456" s="96">
        <v>46</v>
      </c>
      <c r="J456" s="28">
        <v>5</v>
      </c>
      <c r="K456" s="28">
        <v>0</v>
      </c>
      <c r="L456" s="28">
        <v>0</v>
      </c>
      <c r="M456" s="156">
        <v>6.6329363855124335</v>
      </c>
      <c r="N456" s="151">
        <v>4310</v>
      </c>
      <c r="O456" s="79">
        <v>0</v>
      </c>
      <c r="P456" s="95">
        <f t="array" ref="P456">ROUND(IF($F456&lt;='TaxCred&amp;Subs'!$C$49,(IF($C456=2,IF($M456&gt;=IFERROR(INDEX('TaxCred&amp;Subs'!$L$12:$L$47,MATCH(1,($C456&amp;$D456='TaxCred&amp;Subs'!$E$12:$E$47)*($F456='TaxCred&amp;Subs'!$C$12:$C$47),0)
),9999),IFERROR(INDEX('TaxCred&amp;Subs'!$N$12:$N$47,MATCH(1,($C456&amp;$D456='TaxCred&amp;Subs'!$E$12:$E$47)*($F456='TaxCred&amp;Subs'!$C$12:$C$47),0)
),0),0),(IF($M456&gt;=IFERROR(INDEX('TaxCred&amp;Subs'!$H$12:$H$47,MATCH(1,($C456&amp;$D456='TaxCred&amp;Subs'!$D$12:$D$47)*($F456='TaxCred&amp;Subs'!$C$12:$C$47),0)
),9999),IFERROR(INDEX('TaxCred&amp;Subs'!$N$12:$N$47,MATCH(1,($C456&amp;$D456='TaxCred&amp;Subs'!$D$12:$D$47)*($F456='TaxCred&amp;Subs'!$C$12:$C$47),0)
),0),0)))),0)+IF(AND($C456=2,VALUE(RIGHT($AD456,1))&gt;2),(N456-R456)*(IFERROR(INDEX('TaxCred&amp;Subs'!$J$66:$J$99,MATCH(1,($C456&amp;$D456='TaxCred&amp;Subs'!$E$66:$E$99)*($F456='TaxCred&amp;Subs'!$C$66:$C$99),0)),0)),IF(AND($C456=1,VALUE(RIGHT($AD456,1))&gt;2),(N456-R456)*(IFERROR(INDEX('TaxCred&amp;Subs'!$J$66:$J$99,MATCH(1,($C456&amp;$D456='TaxCred&amp;Subs'!$D$66:$D$99)*($F456='TaxCred&amp;Subs'!$C$66:$C$99),0)),0)),IF($C456&gt;2,(N456-R456)*(IFERROR(INDEX('TaxCred&amp;Subs'!$J$66:$J$99,MATCH(1,($C456&amp;$D456='TaxCred&amp;Subs'!$D$66:$D$99)*($F456='TaxCred&amp;Subs'!$C$66:$C$99),0)),0)),0))),0)</f>
        <v>1000</v>
      </c>
      <c r="Q456" s="95">
        <f t="array" ref="Q456">ROUND(IF(AND($C456=2,VALUE(RIGHT($AD456,1))&gt;2),(O456-S456)*(IFERROR(INDEX('TaxCred&amp;Subs'!$J$66:$J$99,MATCH(1,($C456&amp;$D456='TaxCred&amp;Subs'!$E$66:$E$99)*($F456='TaxCred&amp;Subs'!$C$66:$C$99),0)),0)),IF(AND($C456=1,VALUE(RIGHT($AD456,1))&gt;2),(O456-S456)*(IFERROR(INDEX('TaxCred&amp;Subs'!$J$66:$J$99,MATCH(1,($C456&amp;$D456='TaxCred&amp;Subs'!$D$66:$D$99)*($F456='TaxCred&amp;Subs'!$C$66:$C$99),0)),0)),IF($C456&gt;2,(O456-S456)*(IFERROR(INDEX('TaxCred&amp;Subs'!$J$66:$J$99,MATCH(1,($C456&amp;$D456='TaxCred&amp;Subs'!$D$66:$D$99)*($F456='TaxCred&amp;Subs'!$C$66:$C$99),0)),0)),0))),0)</f>
        <v>0</v>
      </c>
      <c r="R456" s="170">
        <f t="array" ref="R456">ROUND(IF(IFERROR(VALUE(RIGHT($AD456,1)),0)&gt;2,IF($C456=8,N456*IFERROR(INDEX('TaxCred&amp;Subs'!$K$139:$S$151,MATCH($C456&amp;$D456&amp;LEFT($AD456,7),'TaxCred&amp;Subs'!$E$139:$E$151,0),MATCH($H456,'TaxCred&amp;Subs'!$K$137:$S$137,0)),0),IF($C456=2,N456*IFERROR(INDEX('TaxCred&amp;Subs'!$K$139:$S$151,MATCH($C456&amp;$D456,'TaxCred&amp;Subs'!$D$139:$D$151,0),MATCH($H456,'TaxCred&amp;Subs'!$K$137:$S$137,0)),0),N456*IFERROR(INDEX('TaxCred&amp;Subs'!$K$139:$S$151,MATCH($C456&amp;$D456,'TaxCred&amp;Subs'!$C$139:$C$151,0),MATCH($H456,'TaxCred&amp;Subs'!$K$137:$S$137,0)),0))),0),0)</f>
        <v>622</v>
      </c>
      <c r="S456" s="170">
        <f t="array" ref="S456">ROUND(IF(IFERROR(VALUE(RIGHT($AD456,1)),0)&gt;2,IF($C456=8,O456*IFERROR(INDEX('TaxCred&amp;Subs'!$K$139:$S$151,MATCH($C456&amp;$D456&amp;LEFT($AD456,7),'TaxCred&amp;Subs'!$E$139:$E$151,0),MATCH($H456,'TaxCred&amp;Subs'!$K$137:$S$137,0)),0),IF($C456=2,O456*IFERROR(INDEX('TaxCred&amp;Subs'!$K$139:$S$151,MATCH($C456&amp;$D456,'TaxCred&amp;Subs'!$D$139:$D$151,0),MATCH($H456,'TaxCred&amp;Subs'!$K$137:$S$137,0)),0),O456*IFERROR(INDEX('TaxCred&amp;Subs'!$K$139:$S$151,MATCH($C456&amp;$D456,'TaxCred&amp;Subs'!$C$139:$C$151,0),MATCH($H456,'TaxCred&amp;Subs'!$K$137:$S$137,0)),0))),0),0)</f>
        <v>0</v>
      </c>
      <c r="T456" s="95">
        <f t="shared" si="24"/>
        <v>0</v>
      </c>
      <c r="U456" s="95">
        <f t="shared" si="25"/>
        <v>0</v>
      </c>
      <c r="V456" s="28" t="s">
        <v>222</v>
      </c>
      <c r="W456" s="31">
        <v>2020</v>
      </c>
      <c r="X456" s="28">
        <v>1</v>
      </c>
      <c r="Y456" s="28">
        <v>0</v>
      </c>
      <c r="Z456" s="196">
        <v>-2.0762472774284713E-4</v>
      </c>
      <c r="AA456" s="196">
        <v>-3.1942265806591866E-3</v>
      </c>
      <c r="AB456" s="28">
        <v>0</v>
      </c>
      <c r="AC456" s="28">
        <v>0</v>
      </c>
      <c r="AD456" s="28" t="s">
        <v>198</v>
      </c>
    </row>
    <row r="457" spans="2:30" ht="14.25" customHeight="1" x14ac:dyDescent="0.2">
      <c r="B457" s="7">
        <f t="shared" si="26"/>
        <v>433</v>
      </c>
      <c r="C457" s="28">
        <v>2</v>
      </c>
      <c r="D457" s="28">
        <v>3</v>
      </c>
      <c r="E457" s="31">
        <v>11</v>
      </c>
      <c r="F457" s="78">
        <v>2022</v>
      </c>
      <c r="G457" s="28">
        <v>2032</v>
      </c>
      <c r="H457" s="28">
        <v>2</v>
      </c>
      <c r="I457" s="96">
        <v>46</v>
      </c>
      <c r="J457" s="28">
        <v>5</v>
      </c>
      <c r="K457" s="28">
        <v>0</v>
      </c>
      <c r="L457" s="28">
        <v>0</v>
      </c>
      <c r="M457" s="156">
        <v>6.6329363855124335</v>
      </c>
      <c r="N457" s="151">
        <v>4310</v>
      </c>
      <c r="O457" s="79">
        <v>0</v>
      </c>
      <c r="P457" s="95">
        <f t="array" ref="P457">ROUND(IF($F457&lt;='TaxCred&amp;Subs'!$C$49,(IF($C457=2,IF($M457&gt;=IFERROR(INDEX('TaxCred&amp;Subs'!$L$12:$L$47,MATCH(1,($C457&amp;$D457='TaxCred&amp;Subs'!$E$12:$E$47)*($F457='TaxCred&amp;Subs'!$C$12:$C$47),0)
),9999),IFERROR(INDEX('TaxCred&amp;Subs'!$N$12:$N$47,MATCH(1,($C457&amp;$D457='TaxCred&amp;Subs'!$E$12:$E$47)*($F457='TaxCred&amp;Subs'!$C$12:$C$47),0)
),0),0),(IF($M457&gt;=IFERROR(INDEX('TaxCred&amp;Subs'!$H$12:$H$47,MATCH(1,($C457&amp;$D457='TaxCred&amp;Subs'!$D$12:$D$47)*($F457='TaxCred&amp;Subs'!$C$12:$C$47),0)
),9999),IFERROR(INDEX('TaxCred&amp;Subs'!$N$12:$N$47,MATCH(1,($C457&amp;$D457='TaxCred&amp;Subs'!$D$12:$D$47)*($F457='TaxCred&amp;Subs'!$C$12:$C$47),0)
),0),0)))),0)+IF(AND($C457=2,VALUE(RIGHT($AD457,1))&gt;2),(N457-R457)*(IFERROR(INDEX('TaxCred&amp;Subs'!$J$66:$J$99,MATCH(1,($C457&amp;$D457='TaxCred&amp;Subs'!$E$66:$E$99)*($F457='TaxCred&amp;Subs'!$C$66:$C$99),0)),0)),IF(AND($C457=1,VALUE(RIGHT($AD457,1))&gt;2),(N457-R457)*(IFERROR(INDEX('TaxCred&amp;Subs'!$J$66:$J$99,MATCH(1,($C457&amp;$D457='TaxCred&amp;Subs'!$D$66:$D$99)*($F457='TaxCred&amp;Subs'!$C$66:$C$99),0)),0)),IF($C457&gt;2,(N457-R457)*(IFERROR(INDEX('TaxCred&amp;Subs'!$J$66:$J$99,MATCH(1,($C457&amp;$D457='TaxCred&amp;Subs'!$D$66:$D$99)*($F457='TaxCred&amp;Subs'!$C$66:$C$99),0)),0)),0))),0)</f>
        <v>1000</v>
      </c>
      <c r="Q457" s="95">
        <f t="array" ref="Q457">ROUND(IF(AND($C457=2,VALUE(RIGHT($AD457,1))&gt;2),(O457-S457)*(IFERROR(INDEX('TaxCred&amp;Subs'!$J$66:$J$99,MATCH(1,($C457&amp;$D457='TaxCred&amp;Subs'!$E$66:$E$99)*($F457='TaxCred&amp;Subs'!$C$66:$C$99),0)),0)),IF(AND($C457=1,VALUE(RIGHT($AD457,1))&gt;2),(O457-S457)*(IFERROR(INDEX('TaxCred&amp;Subs'!$J$66:$J$99,MATCH(1,($C457&amp;$D457='TaxCred&amp;Subs'!$D$66:$D$99)*($F457='TaxCred&amp;Subs'!$C$66:$C$99),0)),0)),IF($C457&gt;2,(O457-S457)*(IFERROR(INDEX('TaxCred&amp;Subs'!$J$66:$J$99,MATCH(1,($C457&amp;$D457='TaxCred&amp;Subs'!$D$66:$D$99)*($F457='TaxCred&amp;Subs'!$C$66:$C$99),0)),0)),0))),0)</f>
        <v>0</v>
      </c>
      <c r="R457" s="170">
        <f t="array" ref="R457">ROUND(IF(IFERROR(VALUE(RIGHT($AD457,1)),0)&gt;2,IF($C457=8,N457*IFERROR(INDEX('TaxCred&amp;Subs'!$K$139:$S$151,MATCH($C457&amp;$D457&amp;LEFT($AD457,7),'TaxCred&amp;Subs'!$E$139:$E$151,0),MATCH($H457,'TaxCred&amp;Subs'!$K$137:$S$137,0)),0),IF($C457=2,N457*IFERROR(INDEX('TaxCred&amp;Subs'!$K$139:$S$151,MATCH($C457&amp;$D457,'TaxCred&amp;Subs'!$D$139:$D$151,0),MATCH($H457,'TaxCred&amp;Subs'!$K$137:$S$137,0)),0),N457*IFERROR(INDEX('TaxCred&amp;Subs'!$K$139:$S$151,MATCH($C457&amp;$D457,'TaxCred&amp;Subs'!$C$139:$C$151,0),MATCH($H457,'TaxCred&amp;Subs'!$K$137:$S$137,0)),0))),0),0)</f>
        <v>225</v>
      </c>
      <c r="S457" s="170">
        <f t="array" ref="S457">ROUND(IF(IFERROR(VALUE(RIGHT($AD457,1)),0)&gt;2,IF($C457=8,O457*IFERROR(INDEX('TaxCred&amp;Subs'!$K$139:$S$151,MATCH($C457&amp;$D457&amp;LEFT($AD457,7),'TaxCred&amp;Subs'!$E$139:$E$151,0),MATCH($H457,'TaxCred&amp;Subs'!$K$137:$S$137,0)),0),IF($C457=2,O457*IFERROR(INDEX('TaxCred&amp;Subs'!$K$139:$S$151,MATCH($C457&amp;$D457,'TaxCred&amp;Subs'!$D$139:$D$151,0),MATCH($H457,'TaxCred&amp;Subs'!$K$137:$S$137,0)),0),O457*IFERROR(INDEX('TaxCred&amp;Subs'!$K$139:$S$151,MATCH($C457&amp;$D457,'TaxCred&amp;Subs'!$C$139:$C$151,0),MATCH($H457,'TaxCred&amp;Subs'!$K$137:$S$137,0)),0))),0),0)</f>
        <v>0</v>
      </c>
      <c r="T457" s="95">
        <f t="shared" si="24"/>
        <v>0</v>
      </c>
      <c r="U457" s="95">
        <f t="shared" si="25"/>
        <v>0</v>
      </c>
      <c r="V457" s="28" t="s">
        <v>222</v>
      </c>
      <c r="W457" s="31">
        <v>2020</v>
      </c>
      <c r="X457" s="28">
        <v>1</v>
      </c>
      <c r="Y457" s="28">
        <v>0</v>
      </c>
      <c r="Z457" s="196">
        <v>-2.0762472774284713E-4</v>
      </c>
      <c r="AA457" s="196">
        <v>-3.1942265806591866E-3</v>
      </c>
      <c r="AB457" s="28">
        <v>0</v>
      </c>
      <c r="AC457" s="28">
        <v>0</v>
      </c>
      <c r="AD457" s="28" t="s">
        <v>198</v>
      </c>
    </row>
    <row r="458" spans="2:30" ht="14.25" customHeight="1" x14ac:dyDescent="0.2">
      <c r="B458" s="7">
        <f t="shared" si="26"/>
        <v>434</v>
      </c>
      <c r="C458" s="28">
        <v>2</v>
      </c>
      <c r="D458" s="28">
        <v>3</v>
      </c>
      <c r="E458" s="31">
        <v>11</v>
      </c>
      <c r="F458" s="78">
        <v>2022</v>
      </c>
      <c r="G458" s="28">
        <v>2032</v>
      </c>
      <c r="H458" s="28">
        <v>3</v>
      </c>
      <c r="I458" s="96">
        <v>46</v>
      </c>
      <c r="J458" s="28">
        <v>5</v>
      </c>
      <c r="K458" s="28">
        <v>0</v>
      </c>
      <c r="L458" s="28">
        <v>0</v>
      </c>
      <c r="M458" s="156">
        <v>6.6329363855124335</v>
      </c>
      <c r="N458" s="151">
        <v>4310</v>
      </c>
      <c r="O458" s="79">
        <v>0</v>
      </c>
      <c r="P458" s="95">
        <f t="array" ref="P458">ROUND(IF($F458&lt;='TaxCred&amp;Subs'!$C$49,(IF($C458=2,IF($M458&gt;=IFERROR(INDEX('TaxCred&amp;Subs'!$L$12:$L$47,MATCH(1,($C458&amp;$D458='TaxCred&amp;Subs'!$E$12:$E$47)*($F458='TaxCred&amp;Subs'!$C$12:$C$47),0)
),9999),IFERROR(INDEX('TaxCred&amp;Subs'!$N$12:$N$47,MATCH(1,($C458&amp;$D458='TaxCred&amp;Subs'!$E$12:$E$47)*($F458='TaxCred&amp;Subs'!$C$12:$C$47),0)
),0),0),(IF($M458&gt;=IFERROR(INDEX('TaxCred&amp;Subs'!$H$12:$H$47,MATCH(1,($C458&amp;$D458='TaxCred&amp;Subs'!$D$12:$D$47)*($F458='TaxCred&amp;Subs'!$C$12:$C$47),0)
),9999),IFERROR(INDEX('TaxCred&amp;Subs'!$N$12:$N$47,MATCH(1,($C458&amp;$D458='TaxCred&amp;Subs'!$D$12:$D$47)*($F458='TaxCred&amp;Subs'!$C$12:$C$47),0)
),0),0)))),0)+IF(AND($C458=2,VALUE(RIGHT($AD458,1))&gt;2),(N458-R458)*(IFERROR(INDEX('TaxCred&amp;Subs'!$J$66:$J$99,MATCH(1,($C458&amp;$D458='TaxCred&amp;Subs'!$E$66:$E$99)*($F458='TaxCred&amp;Subs'!$C$66:$C$99),0)),0)),IF(AND($C458=1,VALUE(RIGHT($AD458,1))&gt;2),(N458-R458)*(IFERROR(INDEX('TaxCred&amp;Subs'!$J$66:$J$99,MATCH(1,($C458&amp;$D458='TaxCred&amp;Subs'!$D$66:$D$99)*($F458='TaxCred&amp;Subs'!$C$66:$C$99),0)),0)),IF($C458&gt;2,(N458-R458)*(IFERROR(INDEX('TaxCred&amp;Subs'!$J$66:$J$99,MATCH(1,($C458&amp;$D458='TaxCred&amp;Subs'!$D$66:$D$99)*($F458='TaxCred&amp;Subs'!$C$66:$C$99),0)),0)),0))),0)</f>
        <v>1000</v>
      </c>
      <c r="Q458" s="95">
        <f t="array" ref="Q458">ROUND(IF(AND($C458=2,VALUE(RIGHT($AD458,1))&gt;2),(O458-S458)*(IFERROR(INDEX('TaxCred&amp;Subs'!$J$66:$J$99,MATCH(1,($C458&amp;$D458='TaxCred&amp;Subs'!$E$66:$E$99)*($F458='TaxCred&amp;Subs'!$C$66:$C$99),0)),0)),IF(AND($C458=1,VALUE(RIGHT($AD458,1))&gt;2),(O458-S458)*(IFERROR(INDEX('TaxCred&amp;Subs'!$J$66:$J$99,MATCH(1,($C458&amp;$D458='TaxCred&amp;Subs'!$D$66:$D$99)*($F458='TaxCred&amp;Subs'!$C$66:$C$99),0)),0)),IF($C458&gt;2,(O458-S458)*(IFERROR(INDEX('TaxCred&amp;Subs'!$J$66:$J$99,MATCH(1,($C458&amp;$D458='TaxCred&amp;Subs'!$D$66:$D$99)*($F458='TaxCred&amp;Subs'!$C$66:$C$99),0)),0)),0))),0)</f>
        <v>0</v>
      </c>
      <c r="R458" s="170">
        <f t="array" ref="R458">ROUND(IF(IFERROR(VALUE(RIGHT($AD458,1)),0)&gt;2,IF($C458=8,N458*IFERROR(INDEX('TaxCred&amp;Subs'!$K$139:$S$151,MATCH($C458&amp;$D458&amp;LEFT($AD458,7),'TaxCred&amp;Subs'!$E$139:$E$151,0),MATCH($H458,'TaxCred&amp;Subs'!$K$137:$S$137,0)),0),IF($C458=2,N458*IFERROR(INDEX('TaxCred&amp;Subs'!$K$139:$S$151,MATCH($C458&amp;$D458,'TaxCred&amp;Subs'!$D$139:$D$151,0),MATCH($H458,'TaxCred&amp;Subs'!$K$137:$S$137,0)),0),N458*IFERROR(INDEX('TaxCred&amp;Subs'!$K$139:$S$151,MATCH($C458&amp;$D458,'TaxCred&amp;Subs'!$C$139:$C$151,0),MATCH($H458,'TaxCred&amp;Subs'!$K$137:$S$137,0)),0))),0),0)</f>
        <v>341</v>
      </c>
      <c r="S458" s="170">
        <f t="array" ref="S458">ROUND(IF(IFERROR(VALUE(RIGHT($AD458,1)),0)&gt;2,IF($C458=8,O458*IFERROR(INDEX('TaxCred&amp;Subs'!$K$139:$S$151,MATCH($C458&amp;$D458&amp;LEFT($AD458,7),'TaxCred&amp;Subs'!$E$139:$E$151,0),MATCH($H458,'TaxCred&amp;Subs'!$K$137:$S$137,0)),0),IF($C458=2,O458*IFERROR(INDEX('TaxCred&amp;Subs'!$K$139:$S$151,MATCH($C458&amp;$D458,'TaxCred&amp;Subs'!$D$139:$D$151,0),MATCH($H458,'TaxCred&amp;Subs'!$K$137:$S$137,0)),0),O458*IFERROR(INDEX('TaxCred&amp;Subs'!$K$139:$S$151,MATCH($C458&amp;$D458,'TaxCred&amp;Subs'!$C$139:$C$151,0),MATCH($H458,'TaxCred&amp;Subs'!$K$137:$S$137,0)),0))),0),0)</f>
        <v>0</v>
      </c>
      <c r="T458" s="95">
        <f t="shared" si="24"/>
        <v>0</v>
      </c>
      <c r="U458" s="95">
        <f t="shared" si="25"/>
        <v>0</v>
      </c>
      <c r="V458" s="28" t="s">
        <v>222</v>
      </c>
      <c r="W458" s="31">
        <v>2020</v>
      </c>
      <c r="X458" s="28">
        <v>1</v>
      </c>
      <c r="Y458" s="28">
        <v>0</v>
      </c>
      <c r="Z458" s="196">
        <v>-2.0762472774284713E-4</v>
      </c>
      <c r="AA458" s="196">
        <v>-3.1942265806591866E-3</v>
      </c>
      <c r="AB458" s="28">
        <v>0</v>
      </c>
      <c r="AC458" s="28">
        <v>0</v>
      </c>
      <c r="AD458" s="28" t="s">
        <v>198</v>
      </c>
    </row>
    <row r="459" spans="2:30" ht="14.25" customHeight="1" x14ac:dyDescent="0.2">
      <c r="B459" s="7">
        <f t="shared" si="26"/>
        <v>435</v>
      </c>
      <c r="C459" s="28">
        <v>2</v>
      </c>
      <c r="D459" s="28">
        <v>3</v>
      </c>
      <c r="E459" s="31">
        <v>11</v>
      </c>
      <c r="F459" s="78">
        <v>2022</v>
      </c>
      <c r="G459" s="28">
        <v>2032</v>
      </c>
      <c r="H459" s="28">
        <v>4</v>
      </c>
      <c r="I459" s="96">
        <v>46</v>
      </c>
      <c r="J459" s="28">
        <v>5</v>
      </c>
      <c r="K459" s="28">
        <v>0</v>
      </c>
      <c r="L459" s="28">
        <v>0</v>
      </c>
      <c r="M459" s="156">
        <v>6.6329363855124335</v>
      </c>
      <c r="N459" s="151">
        <v>4310</v>
      </c>
      <c r="O459" s="79">
        <v>0</v>
      </c>
      <c r="P459" s="95">
        <f t="array" ref="P459">ROUND(IF($F459&lt;='TaxCred&amp;Subs'!$C$49,(IF($C459=2,IF($M459&gt;=IFERROR(INDEX('TaxCred&amp;Subs'!$L$12:$L$47,MATCH(1,($C459&amp;$D459='TaxCred&amp;Subs'!$E$12:$E$47)*($F459='TaxCred&amp;Subs'!$C$12:$C$47),0)
),9999),IFERROR(INDEX('TaxCred&amp;Subs'!$N$12:$N$47,MATCH(1,($C459&amp;$D459='TaxCred&amp;Subs'!$E$12:$E$47)*($F459='TaxCred&amp;Subs'!$C$12:$C$47),0)
),0),0),(IF($M459&gt;=IFERROR(INDEX('TaxCred&amp;Subs'!$H$12:$H$47,MATCH(1,($C459&amp;$D459='TaxCred&amp;Subs'!$D$12:$D$47)*($F459='TaxCred&amp;Subs'!$C$12:$C$47),0)
),9999),IFERROR(INDEX('TaxCred&amp;Subs'!$N$12:$N$47,MATCH(1,($C459&amp;$D459='TaxCred&amp;Subs'!$D$12:$D$47)*($F459='TaxCred&amp;Subs'!$C$12:$C$47),0)
),0),0)))),0)+IF(AND($C459=2,VALUE(RIGHT($AD459,1))&gt;2),(N459-R459)*(IFERROR(INDEX('TaxCred&amp;Subs'!$J$66:$J$99,MATCH(1,($C459&amp;$D459='TaxCred&amp;Subs'!$E$66:$E$99)*($F459='TaxCred&amp;Subs'!$C$66:$C$99),0)),0)),IF(AND($C459=1,VALUE(RIGHT($AD459,1))&gt;2),(N459-R459)*(IFERROR(INDEX('TaxCred&amp;Subs'!$J$66:$J$99,MATCH(1,($C459&amp;$D459='TaxCred&amp;Subs'!$D$66:$D$99)*($F459='TaxCred&amp;Subs'!$C$66:$C$99),0)),0)),IF($C459&gt;2,(N459-R459)*(IFERROR(INDEX('TaxCred&amp;Subs'!$J$66:$J$99,MATCH(1,($C459&amp;$D459='TaxCred&amp;Subs'!$D$66:$D$99)*($F459='TaxCred&amp;Subs'!$C$66:$C$99),0)),0)),0))),0)</f>
        <v>1000</v>
      </c>
      <c r="Q459" s="95">
        <f t="array" ref="Q459">ROUND(IF(AND($C459=2,VALUE(RIGHT($AD459,1))&gt;2),(O459-S459)*(IFERROR(INDEX('TaxCred&amp;Subs'!$J$66:$J$99,MATCH(1,($C459&amp;$D459='TaxCred&amp;Subs'!$E$66:$E$99)*($F459='TaxCred&amp;Subs'!$C$66:$C$99),0)),0)),IF(AND($C459=1,VALUE(RIGHT($AD459,1))&gt;2),(O459-S459)*(IFERROR(INDEX('TaxCred&amp;Subs'!$J$66:$J$99,MATCH(1,($C459&amp;$D459='TaxCred&amp;Subs'!$D$66:$D$99)*($F459='TaxCred&amp;Subs'!$C$66:$C$99),0)),0)),IF($C459&gt;2,(O459-S459)*(IFERROR(INDEX('TaxCred&amp;Subs'!$J$66:$J$99,MATCH(1,($C459&amp;$D459='TaxCred&amp;Subs'!$D$66:$D$99)*($F459='TaxCred&amp;Subs'!$C$66:$C$99),0)),0)),0))),0)</f>
        <v>0</v>
      </c>
      <c r="R459" s="170">
        <f t="array" ref="R459">ROUND(IF(IFERROR(VALUE(RIGHT($AD459,1)),0)&gt;2,IF($C459=8,N459*IFERROR(INDEX('TaxCred&amp;Subs'!$K$139:$S$151,MATCH($C459&amp;$D459&amp;LEFT($AD459,7),'TaxCred&amp;Subs'!$E$139:$E$151,0),MATCH($H459,'TaxCred&amp;Subs'!$K$137:$S$137,0)),0),IF($C459=2,N459*IFERROR(INDEX('TaxCred&amp;Subs'!$K$139:$S$151,MATCH($C459&amp;$D459,'TaxCred&amp;Subs'!$D$139:$D$151,0),MATCH($H459,'TaxCred&amp;Subs'!$K$137:$S$137,0)),0),N459*IFERROR(INDEX('TaxCred&amp;Subs'!$K$139:$S$151,MATCH($C459&amp;$D459,'TaxCred&amp;Subs'!$C$139:$C$151,0),MATCH($H459,'TaxCred&amp;Subs'!$K$137:$S$137,0)),0))),0),0)</f>
        <v>208</v>
      </c>
      <c r="S459" s="170">
        <f t="array" ref="S459">ROUND(IF(IFERROR(VALUE(RIGHT($AD459,1)),0)&gt;2,IF($C459=8,O459*IFERROR(INDEX('TaxCred&amp;Subs'!$K$139:$S$151,MATCH($C459&amp;$D459&amp;LEFT($AD459,7),'TaxCred&amp;Subs'!$E$139:$E$151,0),MATCH($H459,'TaxCred&amp;Subs'!$K$137:$S$137,0)),0),IF($C459=2,O459*IFERROR(INDEX('TaxCred&amp;Subs'!$K$139:$S$151,MATCH($C459&amp;$D459,'TaxCred&amp;Subs'!$D$139:$D$151,0),MATCH($H459,'TaxCred&amp;Subs'!$K$137:$S$137,0)),0),O459*IFERROR(INDEX('TaxCred&amp;Subs'!$K$139:$S$151,MATCH($C459&amp;$D459,'TaxCred&amp;Subs'!$C$139:$C$151,0),MATCH($H459,'TaxCred&amp;Subs'!$K$137:$S$137,0)),0))),0),0)</f>
        <v>0</v>
      </c>
      <c r="T459" s="95">
        <f t="shared" si="24"/>
        <v>0</v>
      </c>
      <c r="U459" s="95">
        <f t="shared" si="25"/>
        <v>0</v>
      </c>
      <c r="V459" s="28" t="s">
        <v>222</v>
      </c>
      <c r="W459" s="31">
        <v>2020</v>
      </c>
      <c r="X459" s="28">
        <v>1</v>
      </c>
      <c r="Y459" s="28">
        <v>0</v>
      </c>
      <c r="Z459" s="196">
        <v>-2.0762472774284713E-4</v>
      </c>
      <c r="AA459" s="196">
        <v>-3.1942265806591866E-3</v>
      </c>
      <c r="AB459" s="28">
        <v>0</v>
      </c>
      <c r="AC459" s="28">
        <v>0</v>
      </c>
      <c r="AD459" s="28" t="s">
        <v>198</v>
      </c>
    </row>
    <row r="460" spans="2:30" ht="14.25" customHeight="1" x14ac:dyDescent="0.2">
      <c r="B460" s="7">
        <f t="shared" si="26"/>
        <v>436</v>
      </c>
      <c r="C460" s="28">
        <v>2</v>
      </c>
      <c r="D460" s="28">
        <v>3</v>
      </c>
      <c r="E460" s="31">
        <v>11</v>
      </c>
      <c r="F460" s="78">
        <v>2022</v>
      </c>
      <c r="G460" s="28">
        <v>2032</v>
      </c>
      <c r="H460" s="28">
        <v>5</v>
      </c>
      <c r="I460" s="96">
        <v>46</v>
      </c>
      <c r="J460" s="28">
        <v>5</v>
      </c>
      <c r="K460" s="28">
        <v>0</v>
      </c>
      <c r="L460" s="28">
        <v>0</v>
      </c>
      <c r="M460" s="156">
        <v>6.6329363855124335</v>
      </c>
      <c r="N460" s="151">
        <v>4310</v>
      </c>
      <c r="O460" s="79">
        <v>0</v>
      </c>
      <c r="P460" s="95">
        <f t="array" ref="P460">ROUND(IF($F460&lt;='TaxCred&amp;Subs'!$C$49,(IF($C460=2,IF($M460&gt;=IFERROR(INDEX('TaxCred&amp;Subs'!$L$12:$L$47,MATCH(1,($C460&amp;$D460='TaxCred&amp;Subs'!$E$12:$E$47)*($F460='TaxCred&amp;Subs'!$C$12:$C$47),0)
),9999),IFERROR(INDEX('TaxCred&amp;Subs'!$N$12:$N$47,MATCH(1,($C460&amp;$D460='TaxCred&amp;Subs'!$E$12:$E$47)*($F460='TaxCred&amp;Subs'!$C$12:$C$47),0)
),0),0),(IF($M460&gt;=IFERROR(INDEX('TaxCred&amp;Subs'!$H$12:$H$47,MATCH(1,($C460&amp;$D460='TaxCred&amp;Subs'!$D$12:$D$47)*($F460='TaxCred&amp;Subs'!$C$12:$C$47),0)
),9999),IFERROR(INDEX('TaxCred&amp;Subs'!$N$12:$N$47,MATCH(1,($C460&amp;$D460='TaxCred&amp;Subs'!$D$12:$D$47)*($F460='TaxCred&amp;Subs'!$C$12:$C$47),0)
),0),0)))),0)+IF(AND($C460=2,VALUE(RIGHT($AD460,1))&gt;2),(N460-R460)*(IFERROR(INDEX('TaxCred&amp;Subs'!$J$66:$J$99,MATCH(1,($C460&amp;$D460='TaxCred&amp;Subs'!$E$66:$E$99)*($F460='TaxCred&amp;Subs'!$C$66:$C$99),0)),0)),IF(AND($C460=1,VALUE(RIGHT($AD460,1))&gt;2),(N460-R460)*(IFERROR(INDEX('TaxCred&amp;Subs'!$J$66:$J$99,MATCH(1,($C460&amp;$D460='TaxCred&amp;Subs'!$D$66:$D$99)*($F460='TaxCred&amp;Subs'!$C$66:$C$99),0)),0)),IF($C460&gt;2,(N460-R460)*(IFERROR(INDEX('TaxCred&amp;Subs'!$J$66:$J$99,MATCH(1,($C460&amp;$D460='TaxCred&amp;Subs'!$D$66:$D$99)*($F460='TaxCred&amp;Subs'!$C$66:$C$99),0)),0)),0))),0)</f>
        <v>1000</v>
      </c>
      <c r="Q460" s="95">
        <f t="array" ref="Q460">ROUND(IF(AND($C460=2,VALUE(RIGHT($AD460,1))&gt;2),(O460-S460)*(IFERROR(INDEX('TaxCred&amp;Subs'!$J$66:$J$99,MATCH(1,($C460&amp;$D460='TaxCred&amp;Subs'!$E$66:$E$99)*($F460='TaxCred&amp;Subs'!$C$66:$C$99),0)),0)),IF(AND($C460=1,VALUE(RIGHT($AD460,1))&gt;2),(O460-S460)*(IFERROR(INDEX('TaxCred&amp;Subs'!$J$66:$J$99,MATCH(1,($C460&amp;$D460='TaxCred&amp;Subs'!$D$66:$D$99)*($F460='TaxCred&amp;Subs'!$C$66:$C$99),0)),0)),IF($C460&gt;2,(O460-S460)*(IFERROR(INDEX('TaxCred&amp;Subs'!$J$66:$J$99,MATCH(1,($C460&amp;$D460='TaxCred&amp;Subs'!$D$66:$D$99)*($F460='TaxCred&amp;Subs'!$C$66:$C$99),0)),0)),0))),0)</f>
        <v>0</v>
      </c>
      <c r="R460" s="170">
        <f t="array" ref="R460">ROUND(IF(IFERROR(VALUE(RIGHT($AD460,1)),0)&gt;2,IF($C460=8,N460*IFERROR(INDEX('TaxCred&amp;Subs'!$K$139:$S$151,MATCH($C460&amp;$D460&amp;LEFT($AD460,7),'TaxCred&amp;Subs'!$E$139:$E$151,0),MATCH($H460,'TaxCred&amp;Subs'!$K$137:$S$137,0)),0),IF($C460=2,N460*IFERROR(INDEX('TaxCred&amp;Subs'!$K$139:$S$151,MATCH($C460&amp;$D460,'TaxCred&amp;Subs'!$D$139:$D$151,0),MATCH($H460,'TaxCred&amp;Subs'!$K$137:$S$137,0)),0),N460*IFERROR(INDEX('TaxCred&amp;Subs'!$K$139:$S$151,MATCH($C460&amp;$D460,'TaxCred&amp;Subs'!$C$139:$C$151,0),MATCH($H460,'TaxCred&amp;Subs'!$K$137:$S$137,0)),0))),0),0)</f>
        <v>94</v>
      </c>
      <c r="S460" s="170">
        <f t="array" ref="S460">ROUND(IF(IFERROR(VALUE(RIGHT($AD460,1)),0)&gt;2,IF($C460=8,O460*IFERROR(INDEX('TaxCred&amp;Subs'!$K$139:$S$151,MATCH($C460&amp;$D460&amp;LEFT($AD460,7),'TaxCred&amp;Subs'!$E$139:$E$151,0),MATCH($H460,'TaxCred&amp;Subs'!$K$137:$S$137,0)),0),IF($C460=2,O460*IFERROR(INDEX('TaxCred&amp;Subs'!$K$139:$S$151,MATCH($C460&amp;$D460,'TaxCred&amp;Subs'!$D$139:$D$151,0),MATCH($H460,'TaxCred&amp;Subs'!$K$137:$S$137,0)),0),O460*IFERROR(INDEX('TaxCred&amp;Subs'!$K$139:$S$151,MATCH($C460&amp;$D460,'TaxCred&amp;Subs'!$C$139:$C$151,0),MATCH($H460,'TaxCred&amp;Subs'!$K$137:$S$137,0)),0))),0),0)</f>
        <v>0</v>
      </c>
      <c r="T460" s="95">
        <f t="shared" ref="T460:T523" si="27">IF($H460=9,IF(R460&gt;0,(N460-P460)*0.15,0),0)</f>
        <v>0</v>
      </c>
      <c r="U460" s="95">
        <f t="shared" ref="U460:U523" si="28">IF($H460=9,IF(S460&gt;0,(O460-Q460)*0.15,0),0)</f>
        <v>0</v>
      </c>
      <c r="V460" s="28" t="s">
        <v>222</v>
      </c>
      <c r="W460" s="31">
        <v>2020</v>
      </c>
      <c r="X460" s="28">
        <v>1</v>
      </c>
      <c r="Y460" s="28">
        <v>0</v>
      </c>
      <c r="Z460" s="196">
        <v>-2.0762472774284713E-4</v>
      </c>
      <c r="AA460" s="196">
        <v>-3.1942265806591866E-3</v>
      </c>
      <c r="AB460" s="28">
        <v>0</v>
      </c>
      <c r="AC460" s="28">
        <v>0</v>
      </c>
      <c r="AD460" s="28" t="s">
        <v>198</v>
      </c>
    </row>
    <row r="461" spans="2:30" ht="14.25" customHeight="1" x14ac:dyDescent="0.2">
      <c r="B461" s="7">
        <f t="shared" si="26"/>
        <v>437</v>
      </c>
      <c r="C461" s="28">
        <v>2</v>
      </c>
      <c r="D461" s="28">
        <v>3</v>
      </c>
      <c r="E461" s="31">
        <v>11</v>
      </c>
      <c r="F461" s="78">
        <v>2022</v>
      </c>
      <c r="G461" s="28">
        <v>2032</v>
      </c>
      <c r="H461" s="28">
        <v>6</v>
      </c>
      <c r="I461" s="96">
        <v>46</v>
      </c>
      <c r="J461" s="28">
        <v>5</v>
      </c>
      <c r="K461" s="28">
        <v>0</v>
      </c>
      <c r="L461" s="28">
        <v>0</v>
      </c>
      <c r="M461" s="156">
        <v>6.6329363855124335</v>
      </c>
      <c r="N461" s="151">
        <v>4310</v>
      </c>
      <c r="O461" s="79">
        <v>0</v>
      </c>
      <c r="P461" s="95">
        <f t="array" ref="P461">ROUND(IF($F461&lt;='TaxCred&amp;Subs'!$C$49,(IF($C461=2,IF($M461&gt;=IFERROR(INDEX('TaxCred&amp;Subs'!$L$12:$L$47,MATCH(1,($C461&amp;$D461='TaxCred&amp;Subs'!$E$12:$E$47)*($F461='TaxCred&amp;Subs'!$C$12:$C$47),0)
),9999),IFERROR(INDEX('TaxCred&amp;Subs'!$N$12:$N$47,MATCH(1,($C461&amp;$D461='TaxCred&amp;Subs'!$E$12:$E$47)*($F461='TaxCred&amp;Subs'!$C$12:$C$47),0)
),0),0),(IF($M461&gt;=IFERROR(INDEX('TaxCred&amp;Subs'!$H$12:$H$47,MATCH(1,($C461&amp;$D461='TaxCred&amp;Subs'!$D$12:$D$47)*($F461='TaxCred&amp;Subs'!$C$12:$C$47),0)
),9999),IFERROR(INDEX('TaxCred&amp;Subs'!$N$12:$N$47,MATCH(1,($C461&amp;$D461='TaxCred&amp;Subs'!$D$12:$D$47)*($F461='TaxCred&amp;Subs'!$C$12:$C$47),0)
),0),0)))),0)+IF(AND($C461=2,VALUE(RIGHT($AD461,1))&gt;2),(N461-R461)*(IFERROR(INDEX('TaxCred&amp;Subs'!$J$66:$J$99,MATCH(1,($C461&amp;$D461='TaxCred&amp;Subs'!$E$66:$E$99)*($F461='TaxCred&amp;Subs'!$C$66:$C$99),0)),0)),IF(AND($C461=1,VALUE(RIGHT($AD461,1))&gt;2),(N461-R461)*(IFERROR(INDEX('TaxCred&amp;Subs'!$J$66:$J$99,MATCH(1,($C461&amp;$D461='TaxCred&amp;Subs'!$D$66:$D$99)*($F461='TaxCred&amp;Subs'!$C$66:$C$99),0)),0)),IF($C461&gt;2,(N461-R461)*(IFERROR(INDEX('TaxCred&amp;Subs'!$J$66:$J$99,MATCH(1,($C461&amp;$D461='TaxCred&amp;Subs'!$D$66:$D$99)*($F461='TaxCred&amp;Subs'!$C$66:$C$99),0)),0)),0))),0)</f>
        <v>1000</v>
      </c>
      <c r="Q461" s="95">
        <f t="array" ref="Q461">ROUND(IF(AND($C461=2,VALUE(RIGHT($AD461,1))&gt;2),(O461-S461)*(IFERROR(INDEX('TaxCred&amp;Subs'!$J$66:$J$99,MATCH(1,($C461&amp;$D461='TaxCred&amp;Subs'!$E$66:$E$99)*($F461='TaxCred&amp;Subs'!$C$66:$C$99),0)),0)),IF(AND($C461=1,VALUE(RIGHT($AD461,1))&gt;2),(O461-S461)*(IFERROR(INDEX('TaxCred&amp;Subs'!$J$66:$J$99,MATCH(1,($C461&amp;$D461='TaxCred&amp;Subs'!$D$66:$D$99)*($F461='TaxCred&amp;Subs'!$C$66:$C$99),0)),0)),IF($C461&gt;2,(O461-S461)*(IFERROR(INDEX('TaxCred&amp;Subs'!$J$66:$J$99,MATCH(1,($C461&amp;$D461='TaxCred&amp;Subs'!$D$66:$D$99)*($F461='TaxCred&amp;Subs'!$C$66:$C$99),0)),0)),0))),0)</f>
        <v>0</v>
      </c>
      <c r="R461" s="170">
        <f t="array" ref="R461">ROUND(IF(IFERROR(VALUE(RIGHT($AD461,1)),0)&gt;2,IF($C461=8,N461*IFERROR(INDEX('TaxCred&amp;Subs'!$K$139:$S$151,MATCH($C461&amp;$D461&amp;LEFT($AD461,7),'TaxCred&amp;Subs'!$E$139:$E$151,0),MATCH($H461,'TaxCred&amp;Subs'!$K$137:$S$137,0)),0),IF($C461=2,N461*IFERROR(INDEX('TaxCred&amp;Subs'!$K$139:$S$151,MATCH($C461&amp;$D461,'TaxCred&amp;Subs'!$D$139:$D$151,0),MATCH($H461,'TaxCred&amp;Subs'!$K$137:$S$137,0)),0),N461*IFERROR(INDEX('TaxCred&amp;Subs'!$K$139:$S$151,MATCH($C461&amp;$D461,'TaxCred&amp;Subs'!$C$139:$C$151,0),MATCH($H461,'TaxCred&amp;Subs'!$K$137:$S$137,0)),0))),0),0)</f>
        <v>0</v>
      </c>
      <c r="S461" s="170">
        <f t="array" ref="S461">ROUND(IF(IFERROR(VALUE(RIGHT($AD461,1)),0)&gt;2,IF($C461=8,O461*IFERROR(INDEX('TaxCred&amp;Subs'!$K$139:$S$151,MATCH($C461&amp;$D461&amp;LEFT($AD461,7),'TaxCred&amp;Subs'!$E$139:$E$151,0),MATCH($H461,'TaxCred&amp;Subs'!$K$137:$S$137,0)),0),IF($C461=2,O461*IFERROR(INDEX('TaxCred&amp;Subs'!$K$139:$S$151,MATCH($C461&amp;$D461,'TaxCred&amp;Subs'!$D$139:$D$151,0),MATCH($H461,'TaxCred&amp;Subs'!$K$137:$S$137,0)),0),O461*IFERROR(INDEX('TaxCred&amp;Subs'!$K$139:$S$151,MATCH($C461&amp;$D461,'TaxCred&amp;Subs'!$C$139:$C$151,0),MATCH($H461,'TaxCred&amp;Subs'!$K$137:$S$137,0)),0))),0),0)</f>
        <v>0</v>
      </c>
      <c r="T461" s="95">
        <f t="shared" si="27"/>
        <v>0</v>
      </c>
      <c r="U461" s="95">
        <f t="shared" si="28"/>
        <v>0</v>
      </c>
      <c r="V461" s="28" t="s">
        <v>222</v>
      </c>
      <c r="W461" s="31">
        <v>2020</v>
      </c>
      <c r="X461" s="28">
        <v>1</v>
      </c>
      <c r="Y461" s="28">
        <v>0</v>
      </c>
      <c r="Z461" s="196">
        <v>-2.0762472774284713E-4</v>
      </c>
      <c r="AA461" s="196">
        <v>-3.1942265806591866E-3</v>
      </c>
      <c r="AB461" s="28">
        <v>0</v>
      </c>
      <c r="AC461" s="28">
        <v>0</v>
      </c>
      <c r="AD461" s="28" t="s">
        <v>198</v>
      </c>
    </row>
    <row r="462" spans="2:30" ht="14.25" customHeight="1" x14ac:dyDescent="0.2">
      <c r="B462" s="7">
        <f t="shared" si="26"/>
        <v>438</v>
      </c>
      <c r="C462" s="28">
        <v>2</v>
      </c>
      <c r="D462" s="28">
        <v>3</v>
      </c>
      <c r="E462" s="31">
        <v>11</v>
      </c>
      <c r="F462" s="78">
        <v>2022</v>
      </c>
      <c r="G462" s="28">
        <v>2032</v>
      </c>
      <c r="H462" s="28">
        <v>7</v>
      </c>
      <c r="I462" s="96">
        <v>46</v>
      </c>
      <c r="J462" s="28">
        <v>5</v>
      </c>
      <c r="K462" s="28">
        <v>0</v>
      </c>
      <c r="L462" s="28">
        <v>0</v>
      </c>
      <c r="M462" s="156">
        <v>6.6329363855124335</v>
      </c>
      <c r="N462" s="151">
        <v>4310</v>
      </c>
      <c r="O462" s="79">
        <v>0</v>
      </c>
      <c r="P462" s="95">
        <f t="array" ref="P462">ROUND(IF($F462&lt;='TaxCred&amp;Subs'!$C$49,(IF($C462=2,IF($M462&gt;=IFERROR(INDEX('TaxCred&amp;Subs'!$L$12:$L$47,MATCH(1,($C462&amp;$D462='TaxCred&amp;Subs'!$E$12:$E$47)*($F462='TaxCred&amp;Subs'!$C$12:$C$47),0)
),9999),IFERROR(INDEX('TaxCred&amp;Subs'!$N$12:$N$47,MATCH(1,($C462&amp;$D462='TaxCred&amp;Subs'!$E$12:$E$47)*($F462='TaxCred&amp;Subs'!$C$12:$C$47),0)
),0),0),(IF($M462&gt;=IFERROR(INDEX('TaxCred&amp;Subs'!$H$12:$H$47,MATCH(1,($C462&amp;$D462='TaxCred&amp;Subs'!$D$12:$D$47)*($F462='TaxCred&amp;Subs'!$C$12:$C$47),0)
),9999),IFERROR(INDEX('TaxCred&amp;Subs'!$N$12:$N$47,MATCH(1,($C462&amp;$D462='TaxCred&amp;Subs'!$D$12:$D$47)*($F462='TaxCred&amp;Subs'!$C$12:$C$47),0)
),0),0)))),0)+IF(AND($C462=2,VALUE(RIGHT($AD462,1))&gt;2),(N462-R462)*(IFERROR(INDEX('TaxCred&amp;Subs'!$J$66:$J$99,MATCH(1,($C462&amp;$D462='TaxCred&amp;Subs'!$E$66:$E$99)*($F462='TaxCred&amp;Subs'!$C$66:$C$99),0)),0)),IF(AND($C462=1,VALUE(RIGHT($AD462,1))&gt;2),(N462-R462)*(IFERROR(INDEX('TaxCred&amp;Subs'!$J$66:$J$99,MATCH(1,($C462&amp;$D462='TaxCred&amp;Subs'!$D$66:$D$99)*($F462='TaxCred&amp;Subs'!$C$66:$C$99),0)),0)),IF($C462&gt;2,(N462-R462)*(IFERROR(INDEX('TaxCred&amp;Subs'!$J$66:$J$99,MATCH(1,($C462&amp;$D462='TaxCred&amp;Subs'!$D$66:$D$99)*($F462='TaxCred&amp;Subs'!$C$66:$C$99),0)),0)),0))),0)</f>
        <v>1000</v>
      </c>
      <c r="Q462" s="95">
        <f t="array" ref="Q462">ROUND(IF(AND($C462=2,VALUE(RIGHT($AD462,1))&gt;2),(O462-S462)*(IFERROR(INDEX('TaxCred&amp;Subs'!$J$66:$J$99,MATCH(1,($C462&amp;$D462='TaxCred&amp;Subs'!$E$66:$E$99)*($F462='TaxCred&amp;Subs'!$C$66:$C$99),0)),0)),IF(AND($C462=1,VALUE(RIGHT($AD462,1))&gt;2),(O462-S462)*(IFERROR(INDEX('TaxCred&amp;Subs'!$J$66:$J$99,MATCH(1,($C462&amp;$D462='TaxCred&amp;Subs'!$D$66:$D$99)*($F462='TaxCred&amp;Subs'!$C$66:$C$99),0)),0)),IF($C462&gt;2,(O462-S462)*(IFERROR(INDEX('TaxCred&amp;Subs'!$J$66:$J$99,MATCH(1,($C462&amp;$D462='TaxCred&amp;Subs'!$D$66:$D$99)*($F462='TaxCred&amp;Subs'!$C$66:$C$99),0)),0)),0))),0)</f>
        <v>0</v>
      </c>
      <c r="R462" s="170">
        <f t="array" ref="R462">ROUND(IF(IFERROR(VALUE(RIGHT($AD462,1)),0)&gt;2,IF($C462=8,N462*IFERROR(INDEX('TaxCred&amp;Subs'!$K$139:$S$151,MATCH($C462&amp;$D462&amp;LEFT($AD462,7),'TaxCred&amp;Subs'!$E$139:$E$151,0),MATCH($H462,'TaxCred&amp;Subs'!$K$137:$S$137,0)),0),IF($C462=2,N462*IFERROR(INDEX('TaxCred&amp;Subs'!$K$139:$S$151,MATCH($C462&amp;$D462,'TaxCred&amp;Subs'!$D$139:$D$151,0),MATCH($H462,'TaxCred&amp;Subs'!$K$137:$S$137,0)),0),N462*IFERROR(INDEX('TaxCred&amp;Subs'!$K$139:$S$151,MATCH($C462&amp;$D462,'TaxCred&amp;Subs'!$C$139:$C$151,0),MATCH($H462,'TaxCred&amp;Subs'!$K$137:$S$137,0)),0))),0),0)</f>
        <v>835</v>
      </c>
      <c r="S462" s="170">
        <f t="array" ref="S462">ROUND(IF(IFERROR(VALUE(RIGHT($AD462,1)),0)&gt;2,IF($C462=8,O462*IFERROR(INDEX('TaxCred&amp;Subs'!$K$139:$S$151,MATCH($C462&amp;$D462&amp;LEFT($AD462,7),'TaxCred&amp;Subs'!$E$139:$E$151,0),MATCH($H462,'TaxCred&amp;Subs'!$K$137:$S$137,0)),0),IF($C462=2,O462*IFERROR(INDEX('TaxCred&amp;Subs'!$K$139:$S$151,MATCH($C462&amp;$D462,'TaxCred&amp;Subs'!$D$139:$D$151,0),MATCH($H462,'TaxCred&amp;Subs'!$K$137:$S$137,0)),0),O462*IFERROR(INDEX('TaxCred&amp;Subs'!$K$139:$S$151,MATCH($C462&amp;$D462,'TaxCred&amp;Subs'!$C$139:$C$151,0),MATCH($H462,'TaxCred&amp;Subs'!$K$137:$S$137,0)),0))),0),0)</f>
        <v>0</v>
      </c>
      <c r="T462" s="95">
        <f t="shared" si="27"/>
        <v>0</v>
      </c>
      <c r="U462" s="95">
        <f t="shared" si="28"/>
        <v>0</v>
      </c>
      <c r="V462" s="28" t="s">
        <v>222</v>
      </c>
      <c r="W462" s="31">
        <v>2020</v>
      </c>
      <c r="X462" s="28">
        <v>1</v>
      </c>
      <c r="Y462" s="28">
        <v>0</v>
      </c>
      <c r="Z462" s="196">
        <v>-2.0762472774284713E-4</v>
      </c>
      <c r="AA462" s="196">
        <v>-3.1942265806591866E-3</v>
      </c>
      <c r="AB462" s="28">
        <v>0</v>
      </c>
      <c r="AC462" s="28">
        <v>0</v>
      </c>
      <c r="AD462" s="28" t="s">
        <v>198</v>
      </c>
    </row>
    <row r="463" spans="2:30" ht="14.25" customHeight="1" x14ac:dyDescent="0.2">
      <c r="B463" s="7">
        <f t="shared" si="26"/>
        <v>439</v>
      </c>
      <c r="C463" s="28">
        <v>2</v>
      </c>
      <c r="D463" s="28">
        <v>3</v>
      </c>
      <c r="E463" s="31">
        <v>11</v>
      </c>
      <c r="F463" s="78">
        <v>2022</v>
      </c>
      <c r="G463" s="28">
        <v>2032</v>
      </c>
      <c r="H463" s="28">
        <v>8</v>
      </c>
      <c r="I463" s="96">
        <v>46</v>
      </c>
      <c r="J463" s="28">
        <v>5</v>
      </c>
      <c r="K463" s="28">
        <v>0</v>
      </c>
      <c r="L463" s="28">
        <v>0</v>
      </c>
      <c r="M463" s="156">
        <v>6.6329363855124335</v>
      </c>
      <c r="N463" s="151">
        <v>4310</v>
      </c>
      <c r="O463" s="79">
        <v>0</v>
      </c>
      <c r="P463" s="95">
        <f t="array" ref="P463">ROUND(IF($F463&lt;='TaxCred&amp;Subs'!$C$49,(IF($C463=2,IF($M463&gt;=IFERROR(INDEX('TaxCred&amp;Subs'!$L$12:$L$47,MATCH(1,($C463&amp;$D463='TaxCred&amp;Subs'!$E$12:$E$47)*($F463='TaxCred&amp;Subs'!$C$12:$C$47),0)
),9999),IFERROR(INDEX('TaxCred&amp;Subs'!$N$12:$N$47,MATCH(1,($C463&amp;$D463='TaxCred&amp;Subs'!$E$12:$E$47)*($F463='TaxCred&amp;Subs'!$C$12:$C$47),0)
),0),0),(IF($M463&gt;=IFERROR(INDEX('TaxCred&amp;Subs'!$H$12:$H$47,MATCH(1,($C463&amp;$D463='TaxCred&amp;Subs'!$D$12:$D$47)*($F463='TaxCred&amp;Subs'!$C$12:$C$47),0)
),9999),IFERROR(INDEX('TaxCred&amp;Subs'!$N$12:$N$47,MATCH(1,($C463&amp;$D463='TaxCred&amp;Subs'!$D$12:$D$47)*($F463='TaxCred&amp;Subs'!$C$12:$C$47),0)
),0),0)))),0)+IF(AND($C463=2,VALUE(RIGHT($AD463,1))&gt;2),(N463-R463)*(IFERROR(INDEX('TaxCred&amp;Subs'!$J$66:$J$99,MATCH(1,($C463&amp;$D463='TaxCred&amp;Subs'!$E$66:$E$99)*($F463='TaxCred&amp;Subs'!$C$66:$C$99),0)),0)),IF(AND($C463=1,VALUE(RIGHT($AD463,1))&gt;2),(N463-R463)*(IFERROR(INDEX('TaxCred&amp;Subs'!$J$66:$J$99,MATCH(1,($C463&amp;$D463='TaxCred&amp;Subs'!$D$66:$D$99)*($F463='TaxCred&amp;Subs'!$C$66:$C$99),0)),0)),IF($C463&gt;2,(N463-R463)*(IFERROR(INDEX('TaxCred&amp;Subs'!$J$66:$J$99,MATCH(1,($C463&amp;$D463='TaxCred&amp;Subs'!$D$66:$D$99)*($F463='TaxCred&amp;Subs'!$C$66:$C$99),0)),0)),0))),0)</f>
        <v>1000</v>
      </c>
      <c r="Q463" s="95">
        <f t="array" ref="Q463">ROUND(IF(AND($C463=2,VALUE(RIGHT($AD463,1))&gt;2),(O463-S463)*(IFERROR(INDEX('TaxCred&amp;Subs'!$J$66:$J$99,MATCH(1,($C463&amp;$D463='TaxCred&amp;Subs'!$E$66:$E$99)*($F463='TaxCred&amp;Subs'!$C$66:$C$99),0)),0)),IF(AND($C463=1,VALUE(RIGHT($AD463,1))&gt;2),(O463-S463)*(IFERROR(INDEX('TaxCred&amp;Subs'!$J$66:$J$99,MATCH(1,($C463&amp;$D463='TaxCred&amp;Subs'!$D$66:$D$99)*($F463='TaxCred&amp;Subs'!$C$66:$C$99),0)),0)),IF($C463&gt;2,(O463-S463)*(IFERROR(INDEX('TaxCred&amp;Subs'!$J$66:$J$99,MATCH(1,($C463&amp;$D463='TaxCred&amp;Subs'!$D$66:$D$99)*($F463='TaxCred&amp;Subs'!$C$66:$C$99),0)),0)),0))),0)</f>
        <v>0</v>
      </c>
      <c r="R463" s="170">
        <f t="array" ref="R463">ROUND(IF(IFERROR(VALUE(RIGHT($AD463,1)),0)&gt;2,IF($C463=8,N463*IFERROR(INDEX('TaxCred&amp;Subs'!$K$139:$S$151,MATCH($C463&amp;$D463&amp;LEFT($AD463,7),'TaxCred&amp;Subs'!$E$139:$E$151,0),MATCH($H463,'TaxCred&amp;Subs'!$K$137:$S$137,0)),0),IF($C463=2,N463*IFERROR(INDEX('TaxCred&amp;Subs'!$K$139:$S$151,MATCH($C463&amp;$D463,'TaxCred&amp;Subs'!$D$139:$D$151,0),MATCH($H463,'TaxCred&amp;Subs'!$K$137:$S$137,0)),0),N463*IFERROR(INDEX('TaxCred&amp;Subs'!$K$139:$S$151,MATCH($C463&amp;$D463,'TaxCred&amp;Subs'!$C$139:$C$151,0),MATCH($H463,'TaxCred&amp;Subs'!$K$137:$S$137,0)),0))),0),0)</f>
        <v>199</v>
      </c>
      <c r="S463" s="170">
        <f t="array" ref="S463">ROUND(IF(IFERROR(VALUE(RIGHT($AD463,1)),0)&gt;2,IF($C463=8,O463*IFERROR(INDEX('TaxCred&amp;Subs'!$K$139:$S$151,MATCH($C463&amp;$D463&amp;LEFT($AD463,7),'TaxCred&amp;Subs'!$E$139:$E$151,0),MATCH($H463,'TaxCred&amp;Subs'!$K$137:$S$137,0)),0),IF($C463=2,O463*IFERROR(INDEX('TaxCred&amp;Subs'!$K$139:$S$151,MATCH($C463&amp;$D463,'TaxCred&amp;Subs'!$D$139:$D$151,0),MATCH($H463,'TaxCred&amp;Subs'!$K$137:$S$137,0)),0),O463*IFERROR(INDEX('TaxCred&amp;Subs'!$K$139:$S$151,MATCH($C463&amp;$D463,'TaxCred&amp;Subs'!$C$139:$C$151,0),MATCH($H463,'TaxCred&amp;Subs'!$K$137:$S$137,0)),0))),0),0)</f>
        <v>0</v>
      </c>
      <c r="T463" s="95">
        <f t="shared" si="27"/>
        <v>0</v>
      </c>
      <c r="U463" s="95">
        <f t="shared" si="28"/>
        <v>0</v>
      </c>
      <c r="V463" s="28" t="s">
        <v>222</v>
      </c>
      <c r="W463" s="31">
        <v>2020</v>
      </c>
      <c r="X463" s="28">
        <v>1</v>
      </c>
      <c r="Y463" s="28">
        <v>0</v>
      </c>
      <c r="Z463" s="196">
        <v>-2.0762472774284713E-4</v>
      </c>
      <c r="AA463" s="196">
        <v>-3.1942265806591866E-3</v>
      </c>
      <c r="AB463" s="28">
        <v>0</v>
      </c>
      <c r="AC463" s="28">
        <v>0</v>
      </c>
      <c r="AD463" s="28" t="s">
        <v>198</v>
      </c>
    </row>
    <row r="464" spans="2:30" ht="14.25" customHeight="1" x14ac:dyDescent="0.2">
      <c r="B464" s="7">
        <f t="shared" si="26"/>
        <v>440</v>
      </c>
      <c r="C464" s="28">
        <v>2</v>
      </c>
      <c r="D464" s="28">
        <v>3</v>
      </c>
      <c r="E464" s="31">
        <v>11</v>
      </c>
      <c r="F464" s="78">
        <v>2022</v>
      </c>
      <c r="G464" s="28">
        <v>2032</v>
      </c>
      <c r="H464" s="28">
        <v>9</v>
      </c>
      <c r="I464" s="96">
        <v>46</v>
      </c>
      <c r="J464" s="28">
        <v>5</v>
      </c>
      <c r="K464" s="28">
        <v>0</v>
      </c>
      <c r="L464" s="28">
        <v>0</v>
      </c>
      <c r="M464" s="156">
        <v>6.6329363855124335</v>
      </c>
      <c r="N464" s="151">
        <v>4310</v>
      </c>
      <c r="O464" s="79">
        <v>0</v>
      </c>
      <c r="P464" s="95">
        <f t="array" ref="P464">ROUND(IF($F464&lt;='TaxCred&amp;Subs'!$C$49,(IF($C464=2,IF($M464&gt;=IFERROR(INDEX('TaxCred&amp;Subs'!$L$12:$L$47,MATCH(1,($C464&amp;$D464='TaxCred&amp;Subs'!$E$12:$E$47)*($F464='TaxCred&amp;Subs'!$C$12:$C$47),0)
),9999),IFERROR(INDEX('TaxCred&amp;Subs'!$N$12:$N$47,MATCH(1,($C464&amp;$D464='TaxCred&amp;Subs'!$E$12:$E$47)*($F464='TaxCred&amp;Subs'!$C$12:$C$47),0)
),0),0),(IF($M464&gt;=IFERROR(INDEX('TaxCred&amp;Subs'!$H$12:$H$47,MATCH(1,($C464&amp;$D464='TaxCred&amp;Subs'!$D$12:$D$47)*($F464='TaxCred&amp;Subs'!$C$12:$C$47),0)
),9999),IFERROR(INDEX('TaxCred&amp;Subs'!$N$12:$N$47,MATCH(1,($C464&amp;$D464='TaxCred&amp;Subs'!$D$12:$D$47)*($F464='TaxCred&amp;Subs'!$C$12:$C$47),0)
),0),0)))),0)+IF(AND($C464=2,VALUE(RIGHT($AD464,1))&gt;2),(N464-R464)*(IFERROR(INDEX('TaxCred&amp;Subs'!$J$66:$J$99,MATCH(1,($C464&amp;$D464='TaxCred&amp;Subs'!$E$66:$E$99)*($F464='TaxCred&amp;Subs'!$C$66:$C$99),0)),0)),IF(AND($C464=1,VALUE(RIGHT($AD464,1))&gt;2),(N464-R464)*(IFERROR(INDEX('TaxCred&amp;Subs'!$J$66:$J$99,MATCH(1,($C464&amp;$D464='TaxCred&amp;Subs'!$D$66:$D$99)*($F464='TaxCred&amp;Subs'!$C$66:$C$99),0)),0)),IF($C464&gt;2,(N464-R464)*(IFERROR(INDEX('TaxCred&amp;Subs'!$J$66:$J$99,MATCH(1,($C464&amp;$D464='TaxCred&amp;Subs'!$D$66:$D$99)*($F464='TaxCred&amp;Subs'!$C$66:$C$99),0)),0)),0))),0)</f>
        <v>1000</v>
      </c>
      <c r="Q464" s="95">
        <f t="array" ref="Q464">ROUND(IF(AND($C464=2,VALUE(RIGHT($AD464,1))&gt;2),(O464-S464)*(IFERROR(INDEX('TaxCred&amp;Subs'!$J$66:$J$99,MATCH(1,($C464&amp;$D464='TaxCred&amp;Subs'!$E$66:$E$99)*($F464='TaxCred&amp;Subs'!$C$66:$C$99),0)),0)),IF(AND($C464=1,VALUE(RIGHT($AD464,1))&gt;2),(O464-S464)*(IFERROR(INDEX('TaxCred&amp;Subs'!$J$66:$J$99,MATCH(1,($C464&amp;$D464='TaxCred&amp;Subs'!$D$66:$D$99)*($F464='TaxCred&amp;Subs'!$C$66:$C$99),0)),0)),IF($C464&gt;2,(O464-S464)*(IFERROR(INDEX('TaxCred&amp;Subs'!$J$66:$J$99,MATCH(1,($C464&amp;$D464='TaxCred&amp;Subs'!$D$66:$D$99)*($F464='TaxCred&amp;Subs'!$C$66:$C$99),0)),0)),0))),0)</f>
        <v>0</v>
      </c>
      <c r="R464" s="170">
        <f t="array" ref="R464">ROUND(IF(IFERROR(VALUE(RIGHT($AD464,1)),0)&gt;2,IF($C464=8,N464*IFERROR(INDEX('TaxCred&amp;Subs'!$K$139:$S$151,MATCH($C464&amp;$D464&amp;LEFT($AD464,7),'TaxCred&amp;Subs'!$E$139:$E$151,0),MATCH($H464,'TaxCred&amp;Subs'!$K$137:$S$137,0)),0),IF($C464=2,N464*IFERROR(INDEX('TaxCred&amp;Subs'!$K$139:$S$151,MATCH($C464&amp;$D464,'TaxCred&amp;Subs'!$D$139:$D$151,0),MATCH($H464,'TaxCred&amp;Subs'!$K$137:$S$137,0)),0),N464*IFERROR(INDEX('TaxCred&amp;Subs'!$K$139:$S$151,MATCH($C464&amp;$D464,'TaxCred&amp;Subs'!$C$139:$C$151,0),MATCH($H464,'TaxCred&amp;Subs'!$K$137:$S$137,0)),0))),0),0)</f>
        <v>479</v>
      </c>
      <c r="S464" s="170">
        <f t="array" ref="S464">ROUND(IF(IFERROR(VALUE(RIGHT($AD464,1)),0)&gt;2,IF($C464=8,O464*IFERROR(INDEX('TaxCred&amp;Subs'!$K$139:$S$151,MATCH($C464&amp;$D464&amp;LEFT($AD464,7),'TaxCred&amp;Subs'!$E$139:$E$151,0),MATCH($H464,'TaxCred&amp;Subs'!$K$137:$S$137,0)),0),IF($C464=2,O464*IFERROR(INDEX('TaxCred&amp;Subs'!$K$139:$S$151,MATCH($C464&amp;$D464,'TaxCred&amp;Subs'!$D$139:$D$151,0),MATCH($H464,'TaxCred&amp;Subs'!$K$137:$S$137,0)),0),O464*IFERROR(INDEX('TaxCred&amp;Subs'!$K$139:$S$151,MATCH($C464&amp;$D464,'TaxCred&amp;Subs'!$C$139:$C$151,0),MATCH($H464,'TaxCred&amp;Subs'!$K$137:$S$137,0)),0))),0),0)</f>
        <v>0</v>
      </c>
      <c r="T464" s="172">
        <f t="shared" si="27"/>
        <v>496.5</v>
      </c>
      <c r="U464" s="95">
        <f t="shared" si="28"/>
        <v>0</v>
      </c>
      <c r="V464" s="28" t="s">
        <v>222</v>
      </c>
      <c r="W464" s="31">
        <v>2020</v>
      </c>
      <c r="X464" s="28">
        <v>1</v>
      </c>
      <c r="Y464" s="28">
        <v>0</v>
      </c>
      <c r="Z464" s="196">
        <v>-2.0762472774284713E-4</v>
      </c>
      <c r="AA464" s="196">
        <v>-3.1942265806591866E-3</v>
      </c>
      <c r="AB464" s="28">
        <v>0</v>
      </c>
      <c r="AC464" s="28">
        <v>0</v>
      </c>
      <c r="AD464" s="28" t="s">
        <v>198</v>
      </c>
    </row>
    <row r="465" spans="2:30" ht="14.25" customHeight="1" x14ac:dyDescent="0.2">
      <c r="B465" s="7">
        <f t="shared" si="26"/>
        <v>441</v>
      </c>
      <c r="C465" s="28">
        <v>2</v>
      </c>
      <c r="D465" s="28">
        <v>3</v>
      </c>
      <c r="E465" s="31">
        <v>11</v>
      </c>
      <c r="F465" s="78">
        <v>2033</v>
      </c>
      <c r="G465" s="28">
        <v>2050</v>
      </c>
      <c r="H465" s="28">
        <v>1</v>
      </c>
      <c r="I465" s="96">
        <v>46</v>
      </c>
      <c r="J465" s="28">
        <v>5</v>
      </c>
      <c r="K465" s="28">
        <v>0</v>
      </c>
      <c r="L465" s="28">
        <v>0</v>
      </c>
      <c r="M465" s="156">
        <v>6.6329363855124335</v>
      </c>
      <c r="N465" s="151">
        <v>4310</v>
      </c>
      <c r="O465" s="79">
        <v>0</v>
      </c>
      <c r="P465" s="95">
        <f t="array" ref="P465">ROUND(IF($F465&lt;='TaxCred&amp;Subs'!$C$49,(IF($C465=2,IF($M465&gt;=IFERROR(INDEX('TaxCred&amp;Subs'!$L$12:$L$47,MATCH(1,($C465&amp;$D465='TaxCred&amp;Subs'!$E$12:$E$47)*($F465='TaxCred&amp;Subs'!$C$12:$C$47),0)
),9999),IFERROR(INDEX('TaxCred&amp;Subs'!$N$12:$N$47,MATCH(1,($C465&amp;$D465='TaxCred&amp;Subs'!$E$12:$E$47)*($F465='TaxCred&amp;Subs'!$C$12:$C$47),0)
),0),0),(IF($M465&gt;=IFERROR(INDEX('TaxCred&amp;Subs'!$H$12:$H$47,MATCH(1,($C465&amp;$D465='TaxCred&amp;Subs'!$D$12:$D$47)*($F465='TaxCred&amp;Subs'!$C$12:$C$47),0)
),9999),IFERROR(INDEX('TaxCred&amp;Subs'!$N$12:$N$47,MATCH(1,($C465&amp;$D465='TaxCred&amp;Subs'!$D$12:$D$47)*($F465='TaxCred&amp;Subs'!$C$12:$C$47),0)
),0),0)))),0)+IF(AND($C465=2,VALUE(RIGHT($AD465,1))&gt;2),(N465-R465)*(IFERROR(INDEX('TaxCred&amp;Subs'!$J$66:$J$99,MATCH(1,($C465&amp;$D465='TaxCred&amp;Subs'!$E$66:$E$99)*($F465='TaxCred&amp;Subs'!$C$66:$C$99),0)),0)),IF(AND($C465=1,VALUE(RIGHT($AD465,1))&gt;2),(N465-R465)*(IFERROR(INDEX('TaxCred&amp;Subs'!$J$66:$J$99,MATCH(1,($C465&amp;$D465='TaxCred&amp;Subs'!$D$66:$D$99)*($F465='TaxCred&amp;Subs'!$C$66:$C$99),0)),0)),IF($C465&gt;2,(N465-R465)*(IFERROR(INDEX('TaxCred&amp;Subs'!$J$66:$J$99,MATCH(1,($C465&amp;$D465='TaxCred&amp;Subs'!$D$66:$D$99)*($F465='TaxCred&amp;Subs'!$C$66:$C$99),0)),0)),0))),0)</f>
        <v>0</v>
      </c>
      <c r="Q465" s="95">
        <f t="array" ref="Q465">ROUND(IF(AND($C465=2,VALUE(RIGHT($AD465,1))&gt;2),(O465-S465)*(IFERROR(INDEX('TaxCred&amp;Subs'!$J$66:$J$99,MATCH(1,($C465&amp;$D465='TaxCred&amp;Subs'!$E$66:$E$99)*($F465='TaxCred&amp;Subs'!$C$66:$C$99),0)),0)),IF(AND($C465=1,VALUE(RIGHT($AD465,1))&gt;2),(O465-S465)*(IFERROR(INDEX('TaxCred&amp;Subs'!$J$66:$J$99,MATCH(1,($C465&amp;$D465='TaxCred&amp;Subs'!$D$66:$D$99)*($F465='TaxCred&amp;Subs'!$C$66:$C$99),0)),0)),IF($C465&gt;2,(O465-S465)*(IFERROR(INDEX('TaxCred&amp;Subs'!$J$66:$J$99,MATCH(1,($C465&amp;$D465='TaxCred&amp;Subs'!$D$66:$D$99)*($F465='TaxCred&amp;Subs'!$C$66:$C$99),0)),0)),0))),0)</f>
        <v>0</v>
      </c>
      <c r="R465" s="170">
        <f t="array" ref="R465">ROUND(IF(IFERROR(VALUE(RIGHT($AD465,1)),0)&gt;2,IF($C465=8,N465*IFERROR(INDEX('TaxCred&amp;Subs'!$K$139:$S$151,MATCH($C465&amp;$D465&amp;LEFT($AD465,7),'TaxCred&amp;Subs'!$E$139:$E$151,0),MATCH($H465,'TaxCred&amp;Subs'!$K$137:$S$137,0)),0),IF($C465=2,N465*IFERROR(INDEX('TaxCred&amp;Subs'!$K$139:$S$151,MATCH($C465&amp;$D465,'TaxCred&amp;Subs'!$D$139:$D$151,0),MATCH($H465,'TaxCred&amp;Subs'!$K$137:$S$137,0)),0),N465*IFERROR(INDEX('TaxCred&amp;Subs'!$K$139:$S$151,MATCH($C465&amp;$D465,'TaxCred&amp;Subs'!$C$139:$C$151,0),MATCH($H465,'TaxCred&amp;Subs'!$K$137:$S$137,0)),0))),0),0)</f>
        <v>622</v>
      </c>
      <c r="S465" s="170">
        <f t="array" ref="S465">ROUND(IF(IFERROR(VALUE(RIGHT($AD465,1)),0)&gt;2,IF($C465=8,O465*IFERROR(INDEX('TaxCred&amp;Subs'!$K$139:$S$151,MATCH($C465&amp;$D465&amp;LEFT($AD465,7),'TaxCred&amp;Subs'!$E$139:$E$151,0),MATCH($H465,'TaxCred&amp;Subs'!$K$137:$S$137,0)),0),IF($C465=2,O465*IFERROR(INDEX('TaxCred&amp;Subs'!$K$139:$S$151,MATCH($C465&amp;$D465,'TaxCred&amp;Subs'!$D$139:$D$151,0),MATCH($H465,'TaxCred&amp;Subs'!$K$137:$S$137,0)),0),O465*IFERROR(INDEX('TaxCred&amp;Subs'!$K$139:$S$151,MATCH($C465&amp;$D465,'TaxCred&amp;Subs'!$C$139:$C$151,0),MATCH($H465,'TaxCred&amp;Subs'!$K$137:$S$137,0)),0))),0),0)</f>
        <v>0</v>
      </c>
      <c r="T465" s="95">
        <f t="shared" si="27"/>
        <v>0</v>
      </c>
      <c r="U465" s="95">
        <f t="shared" si="28"/>
        <v>0</v>
      </c>
      <c r="V465" s="28" t="s">
        <v>222</v>
      </c>
      <c r="W465" s="31">
        <v>2020</v>
      </c>
      <c r="X465" s="28">
        <v>1</v>
      </c>
      <c r="Y465" s="28">
        <v>0</v>
      </c>
      <c r="Z465" s="196">
        <v>-2.0762472774284713E-4</v>
      </c>
      <c r="AA465" s="196">
        <v>-3.1942265806591866E-3</v>
      </c>
      <c r="AB465" s="28">
        <v>0</v>
      </c>
      <c r="AC465" s="28">
        <v>0</v>
      </c>
      <c r="AD465" s="28" t="s">
        <v>198</v>
      </c>
    </row>
    <row r="466" spans="2:30" ht="14.25" customHeight="1" x14ac:dyDescent="0.2">
      <c r="B466" s="7">
        <f t="shared" si="26"/>
        <v>442</v>
      </c>
      <c r="C466" s="28">
        <v>2</v>
      </c>
      <c r="D466" s="28">
        <v>3</v>
      </c>
      <c r="E466" s="31">
        <v>11</v>
      </c>
      <c r="F466" s="78">
        <v>2033</v>
      </c>
      <c r="G466" s="28">
        <v>2050</v>
      </c>
      <c r="H466" s="28">
        <v>2</v>
      </c>
      <c r="I466" s="96">
        <v>46</v>
      </c>
      <c r="J466" s="28">
        <v>5</v>
      </c>
      <c r="K466" s="28">
        <v>0</v>
      </c>
      <c r="L466" s="28">
        <v>0</v>
      </c>
      <c r="M466" s="156">
        <v>6.6329363855124335</v>
      </c>
      <c r="N466" s="151">
        <v>4310</v>
      </c>
      <c r="O466" s="79">
        <v>0</v>
      </c>
      <c r="P466" s="95">
        <f t="array" ref="P466">ROUND(IF($F466&lt;='TaxCred&amp;Subs'!$C$49,(IF($C466=2,IF($M466&gt;=IFERROR(INDEX('TaxCred&amp;Subs'!$L$12:$L$47,MATCH(1,($C466&amp;$D466='TaxCred&amp;Subs'!$E$12:$E$47)*($F466='TaxCred&amp;Subs'!$C$12:$C$47),0)
),9999),IFERROR(INDEX('TaxCred&amp;Subs'!$N$12:$N$47,MATCH(1,($C466&amp;$D466='TaxCred&amp;Subs'!$E$12:$E$47)*($F466='TaxCred&amp;Subs'!$C$12:$C$47),0)
),0),0),(IF($M466&gt;=IFERROR(INDEX('TaxCred&amp;Subs'!$H$12:$H$47,MATCH(1,($C466&amp;$D466='TaxCred&amp;Subs'!$D$12:$D$47)*($F466='TaxCred&amp;Subs'!$C$12:$C$47),0)
),9999),IFERROR(INDEX('TaxCred&amp;Subs'!$N$12:$N$47,MATCH(1,($C466&amp;$D466='TaxCred&amp;Subs'!$D$12:$D$47)*($F466='TaxCred&amp;Subs'!$C$12:$C$47),0)
),0),0)))),0)+IF(AND($C466=2,VALUE(RIGHT($AD466,1))&gt;2),(N466-R466)*(IFERROR(INDEX('TaxCred&amp;Subs'!$J$66:$J$99,MATCH(1,($C466&amp;$D466='TaxCred&amp;Subs'!$E$66:$E$99)*($F466='TaxCred&amp;Subs'!$C$66:$C$99),0)),0)),IF(AND($C466=1,VALUE(RIGHT($AD466,1))&gt;2),(N466-R466)*(IFERROR(INDEX('TaxCred&amp;Subs'!$J$66:$J$99,MATCH(1,($C466&amp;$D466='TaxCred&amp;Subs'!$D$66:$D$99)*($F466='TaxCred&amp;Subs'!$C$66:$C$99),0)),0)),IF($C466&gt;2,(N466-R466)*(IFERROR(INDEX('TaxCred&amp;Subs'!$J$66:$J$99,MATCH(1,($C466&amp;$D466='TaxCred&amp;Subs'!$D$66:$D$99)*($F466='TaxCred&amp;Subs'!$C$66:$C$99),0)),0)),0))),0)</f>
        <v>0</v>
      </c>
      <c r="Q466" s="95">
        <f t="array" ref="Q466">ROUND(IF(AND($C466=2,VALUE(RIGHT($AD466,1))&gt;2),(O466-S466)*(IFERROR(INDEX('TaxCred&amp;Subs'!$J$66:$J$99,MATCH(1,($C466&amp;$D466='TaxCred&amp;Subs'!$E$66:$E$99)*($F466='TaxCred&amp;Subs'!$C$66:$C$99),0)),0)),IF(AND($C466=1,VALUE(RIGHT($AD466,1))&gt;2),(O466-S466)*(IFERROR(INDEX('TaxCred&amp;Subs'!$J$66:$J$99,MATCH(1,($C466&amp;$D466='TaxCred&amp;Subs'!$D$66:$D$99)*($F466='TaxCred&amp;Subs'!$C$66:$C$99),0)),0)),IF($C466&gt;2,(O466-S466)*(IFERROR(INDEX('TaxCred&amp;Subs'!$J$66:$J$99,MATCH(1,($C466&amp;$D466='TaxCred&amp;Subs'!$D$66:$D$99)*($F466='TaxCred&amp;Subs'!$C$66:$C$99),0)),0)),0))),0)</f>
        <v>0</v>
      </c>
      <c r="R466" s="170">
        <f t="array" ref="R466">ROUND(IF(IFERROR(VALUE(RIGHT($AD466,1)),0)&gt;2,IF($C466=8,N466*IFERROR(INDEX('TaxCred&amp;Subs'!$K$139:$S$151,MATCH($C466&amp;$D466&amp;LEFT($AD466,7),'TaxCred&amp;Subs'!$E$139:$E$151,0),MATCH($H466,'TaxCred&amp;Subs'!$K$137:$S$137,0)),0),IF($C466=2,N466*IFERROR(INDEX('TaxCred&amp;Subs'!$K$139:$S$151,MATCH($C466&amp;$D466,'TaxCred&amp;Subs'!$D$139:$D$151,0),MATCH($H466,'TaxCred&amp;Subs'!$K$137:$S$137,0)),0),N466*IFERROR(INDEX('TaxCred&amp;Subs'!$K$139:$S$151,MATCH($C466&amp;$D466,'TaxCred&amp;Subs'!$C$139:$C$151,0),MATCH($H466,'TaxCred&amp;Subs'!$K$137:$S$137,0)),0))),0),0)</f>
        <v>225</v>
      </c>
      <c r="S466" s="170">
        <f t="array" ref="S466">ROUND(IF(IFERROR(VALUE(RIGHT($AD466,1)),0)&gt;2,IF($C466=8,O466*IFERROR(INDEX('TaxCred&amp;Subs'!$K$139:$S$151,MATCH($C466&amp;$D466&amp;LEFT($AD466,7),'TaxCred&amp;Subs'!$E$139:$E$151,0),MATCH($H466,'TaxCred&amp;Subs'!$K$137:$S$137,0)),0),IF($C466=2,O466*IFERROR(INDEX('TaxCred&amp;Subs'!$K$139:$S$151,MATCH($C466&amp;$D466,'TaxCred&amp;Subs'!$D$139:$D$151,0),MATCH($H466,'TaxCred&amp;Subs'!$K$137:$S$137,0)),0),O466*IFERROR(INDEX('TaxCred&amp;Subs'!$K$139:$S$151,MATCH($C466&amp;$D466,'TaxCred&amp;Subs'!$C$139:$C$151,0),MATCH($H466,'TaxCred&amp;Subs'!$K$137:$S$137,0)),0))),0),0)</f>
        <v>0</v>
      </c>
      <c r="T466" s="95">
        <f t="shared" si="27"/>
        <v>0</v>
      </c>
      <c r="U466" s="95">
        <f t="shared" si="28"/>
        <v>0</v>
      </c>
      <c r="V466" s="28" t="s">
        <v>222</v>
      </c>
      <c r="W466" s="31">
        <v>2020</v>
      </c>
      <c r="X466" s="28">
        <v>1</v>
      </c>
      <c r="Y466" s="28">
        <v>0</v>
      </c>
      <c r="Z466" s="196">
        <v>-2.0762472774284713E-4</v>
      </c>
      <c r="AA466" s="196">
        <v>-3.1942265806591866E-3</v>
      </c>
      <c r="AB466" s="28">
        <v>0</v>
      </c>
      <c r="AC466" s="28">
        <v>0</v>
      </c>
      <c r="AD466" s="28" t="s">
        <v>198</v>
      </c>
    </row>
    <row r="467" spans="2:30" ht="14.25" customHeight="1" x14ac:dyDescent="0.2">
      <c r="B467" s="7">
        <f t="shared" si="26"/>
        <v>443</v>
      </c>
      <c r="C467" s="28">
        <v>2</v>
      </c>
      <c r="D467" s="28">
        <v>3</v>
      </c>
      <c r="E467" s="31">
        <v>11</v>
      </c>
      <c r="F467" s="78">
        <v>2033</v>
      </c>
      <c r="G467" s="28">
        <v>2050</v>
      </c>
      <c r="H467" s="28">
        <v>3</v>
      </c>
      <c r="I467" s="96">
        <v>46</v>
      </c>
      <c r="J467" s="28">
        <v>5</v>
      </c>
      <c r="K467" s="28">
        <v>0</v>
      </c>
      <c r="L467" s="28">
        <v>0</v>
      </c>
      <c r="M467" s="156">
        <v>6.6329363855124335</v>
      </c>
      <c r="N467" s="151">
        <v>4310</v>
      </c>
      <c r="O467" s="79">
        <v>0</v>
      </c>
      <c r="P467" s="95">
        <f t="array" ref="P467">ROUND(IF($F467&lt;='TaxCred&amp;Subs'!$C$49,(IF($C467=2,IF($M467&gt;=IFERROR(INDEX('TaxCred&amp;Subs'!$L$12:$L$47,MATCH(1,($C467&amp;$D467='TaxCred&amp;Subs'!$E$12:$E$47)*($F467='TaxCred&amp;Subs'!$C$12:$C$47),0)
),9999),IFERROR(INDEX('TaxCred&amp;Subs'!$N$12:$N$47,MATCH(1,($C467&amp;$D467='TaxCred&amp;Subs'!$E$12:$E$47)*($F467='TaxCred&amp;Subs'!$C$12:$C$47),0)
),0),0),(IF($M467&gt;=IFERROR(INDEX('TaxCred&amp;Subs'!$H$12:$H$47,MATCH(1,($C467&amp;$D467='TaxCred&amp;Subs'!$D$12:$D$47)*($F467='TaxCred&amp;Subs'!$C$12:$C$47),0)
),9999),IFERROR(INDEX('TaxCred&amp;Subs'!$N$12:$N$47,MATCH(1,($C467&amp;$D467='TaxCred&amp;Subs'!$D$12:$D$47)*($F467='TaxCred&amp;Subs'!$C$12:$C$47),0)
),0),0)))),0)+IF(AND($C467=2,VALUE(RIGHT($AD467,1))&gt;2),(N467-R467)*(IFERROR(INDEX('TaxCred&amp;Subs'!$J$66:$J$99,MATCH(1,($C467&amp;$D467='TaxCred&amp;Subs'!$E$66:$E$99)*($F467='TaxCred&amp;Subs'!$C$66:$C$99),0)),0)),IF(AND($C467=1,VALUE(RIGHT($AD467,1))&gt;2),(N467-R467)*(IFERROR(INDEX('TaxCred&amp;Subs'!$J$66:$J$99,MATCH(1,($C467&amp;$D467='TaxCred&amp;Subs'!$D$66:$D$99)*($F467='TaxCred&amp;Subs'!$C$66:$C$99),0)),0)),IF($C467&gt;2,(N467-R467)*(IFERROR(INDEX('TaxCred&amp;Subs'!$J$66:$J$99,MATCH(1,($C467&amp;$D467='TaxCred&amp;Subs'!$D$66:$D$99)*($F467='TaxCred&amp;Subs'!$C$66:$C$99),0)),0)),0))),0)</f>
        <v>0</v>
      </c>
      <c r="Q467" s="95">
        <f t="array" ref="Q467">ROUND(IF(AND($C467=2,VALUE(RIGHT($AD467,1))&gt;2),(O467-S467)*(IFERROR(INDEX('TaxCred&amp;Subs'!$J$66:$J$99,MATCH(1,($C467&amp;$D467='TaxCred&amp;Subs'!$E$66:$E$99)*($F467='TaxCred&amp;Subs'!$C$66:$C$99),0)),0)),IF(AND($C467=1,VALUE(RIGHT($AD467,1))&gt;2),(O467-S467)*(IFERROR(INDEX('TaxCred&amp;Subs'!$J$66:$J$99,MATCH(1,($C467&amp;$D467='TaxCred&amp;Subs'!$D$66:$D$99)*($F467='TaxCred&amp;Subs'!$C$66:$C$99),0)),0)),IF($C467&gt;2,(O467-S467)*(IFERROR(INDEX('TaxCred&amp;Subs'!$J$66:$J$99,MATCH(1,($C467&amp;$D467='TaxCred&amp;Subs'!$D$66:$D$99)*($F467='TaxCred&amp;Subs'!$C$66:$C$99),0)),0)),0))),0)</f>
        <v>0</v>
      </c>
      <c r="R467" s="170">
        <f t="array" ref="R467">ROUND(IF(IFERROR(VALUE(RIGHT($AD467,1)),0)&gt;2,IF($C467=8,N467*IFERROR(INDEX('TaxCred&amp;Subs'!$K$139:$S$151,MATCH($C467&amp;$D467&amp;LEFT($AD467,7),'TaxCred&amp;Subs'!$E$139:$E$151,0),MATCH($H467,'TaxCred&amp;Subs'!$K$137:$S$137,0)),0),IF($C467=2,N467*IFERROR(INDEX('TaxCred&amp;Subs'!$K$139:$S$151,MATCH($C467&amp;$D467,'TaxCred&amp;Subs'!$D$139:$D$151,0),MATCH($H467,'TaxCred&amp;Subs'!$K$137:$S$137,0)),0),N467*IFERROR(INDEX('TaxCred&amp;Subs'!$K$139:$S$151,MATCH($C467&amp;$D467,'TaxCred&amp;Subs'!$C$139:$C$151,0),MATCH($H467,'TaxCred&amp;Subs'!$K$137:$S$137,0)),0))),0),0)</f>
        <v>341</v>
      </c>
      <c r="S467" s="170">
        <f t="array" ref="S467">ROUND(IF(IFERROR(VALUE(RIGHT($AD467,1)),0)&gt;2,IF($C467=8,O467*IFERROR(INDEX('TaxCred&amp;Subs'!$K$139:$S$151,MATCH($C467&amp;$D467&amp;LEFT($AD467,7),'TaxCred&amp;Subs'!$E$139:$E$151,0),MATCH($H467,'TaxCred&amp;Subs'!$K$137:$S$137,0)),0),IF($C467=2,O467*IFERROR(INDEX('TaxCred&amp;Subs'!$K$139:$S$151,MATCH($C467&amp;$D467,'TaxCred&amp;Subs'!$D$139:$D$151,0),MATCH($H467,'TaxCred&amp;Subs'!$K$137:$S$137,0)),0),O467*IFERROR(INDEX('TaxCred&amp;Subs'!$K$139:$S$151,MATCH($C467&amp;$D467,'TaxCred&amp;Subs'!$C$139:$C$151,0),MATCH($H467,'TaxCred&amp;Subs'!$K$137:$S$137,0)),0))),0),0)</f>
        <v>0</v>
      </c>
      <c r="T467" s="95">
        <f t="shared" si="27"/>
        <v>0</v>
      </c>
      <c r="U467" s="95">
        <f t="shared" si="28"/>
        <v>0</v>
      </c>
      <c r="V467" s="28" t="s">
        <v>222</v>
      </c>
      <c r="W467" s="31">
        <v>2020</v>
      </c>
      <c r="X467" s="28">
        <v>1</v>
      </c>
      <c r="Y467" s="28">
        <v>0</v>
      </c>
      <c r="Z467" s="196">
        <v>-2.0762472774284713E-4</v>
      </c>
      <c r="AA467" s="196">
        <v>-3.1942265806591866E-3</v>
      </c>
      <c r="AB467" s="28">
        <v>0</v>
      </c>
      <c r="AC467" s="28">
        <v>0</v>
      </c>
      <c r="AD467" s="28" t="s">
        <v>198</v>
      </c>
    </row>
    <row r="468" spans="2:30" ht="14.25" customHeight="1" x14ac:dyDescent="0.2">
      <c r="B468" s="7">
        <f t="shared" si="26"/>
        <v>444</v>
      </c>
      <c r="C468" s="28">
        <v>2</v>
      </c>
      <c r="D468" s="28">
        <v>3</v>
      </c>
      <c r="E468" s="31">
        <v>11</v>
      </c>
      <c r="F468" s="78">
        <v>2033</v>
      </c>
      <c r="G468" s="28">
        <v>2050</v>
      </c>
      <c r="H468" s="28">
        <v>4</v>
      </c>
      <c r="I468" s="96">
        <v>46</v>
      </c>
      <c r="J468" s="28">
        <v>5</v>
      </c>
      <c r="K468" s="28">
        <v>0</v>
      </c>
      <c r="L468" s="28">
        <v>0</v>
      </c>
      <c r="M468" s="156">
        <v>6.6329363855124335</v>
      </c>
      <c r="N468" s="151">
        <v>4310</v>
      </c>
      <c r="O468" s="79">
        <v>0</v>
      </c>
      <c r="P468" s="95">
        <f t="array" ref="P468">ROUND(IF($F468&lt;='TaxCred&amp;Subs'!$C$49,(IF($C468=2,IF($M468&gt;=IFERROR(INDEX('TaxCred&amp;Subs'!$L$12:$L$47,MATCH(1,($C468&amp;$D468='TaxCred&amp;Subs'!$E$12:$E$47)*($F468='TaxCred&amp;Subs'!$C$12:$C$47),0)
),9999),IFERROR(INDEX('TaxCred&amp;Subs'!$N$12:$N$47,MATCH(1,($C468&amp;$D468='TaxCred&amp;Subs'!$E$12:$E$47)*($F468='TaxCred&amp;Subs'!$C$12:$C$47),0)
),0),0),(IF($M468&gt;=IFERROR(INDEX('TaxCred&amp;Subs'!$H$12:$H$47,MATCH(1,($C468&amp;$D468='TaxCred&amp;Subs'!$D$12:$D$47)*($F468='TaxCred&amp;Subs'!$C$12:$C$47),0)
),9999),IFERROR(INDEX('TaxCred&amp;Subs'!$N$12:$N$47,MATCH(1,($C468&amp;$D468='TaxCred&amp;Subs'!$D$12:$D$47)*($F468='TaxCred&amp;Subs'!$C$12:$C$47),0)
),0),0)))),0)+IF(AND($C468=2,VALUE(RIGHT($AD468,1))&gt;2),(N468-R468)*(IFERROR(INDEX('TaxCred&amp;Subs'!$J$66:$J$99,MATCH(1,($C468&amp;$D468='TaxCred&amp;Subs'!$E$66:$E$99)*($F468='TaxCred&amp;Subs'!$C$66:$C$99),0)),0)),IF(AND($C468=1,VALUE(RIGHT($AD468,1))&gt;2),(N468-R468)*(IFERROR(INDEX('TaxCred&amp;Subs'!$J$66:$J$99,MATCH(1,($C468&amp;$D468='TaxCred&amp;Subs'!$D$66:$D$99)*($F468='TaxCred&amp;Subs'!$C$66:$C$99),0)),0)),IF($C468&gt;2,(N468-R468)*(IFERROR(INDEX('TaxCred&amp;Subs'!$J$66:$J$99,MATCH(1,($C468&amp;$D468='TaxCred&amp;Subs'!$D$66:$D$99)*($F468='TaxCred&amp;Subs'!$C$66:$C$99),0)),0)),0))),0)</f>
        <v>0</v>
      </c>
      <c r="Q468" s="95">
        <f t="array" ref="Q468">ROUND(IF(AND($C468=2,VALUE(RIGHT($AD468,1))&gt;2),(O468-S468)*(IFERROR(INDEX('TaxCred&amp;Subs'!$J$66:$J$99,MATCH(1,($C468&amp;$D468='TaxCred&amp;Subs'!$E$66:$E$99)*($F468='TaxCred&amp;Subs'!$C$66:$C$99),0)),0)),IF(AND($C468=1,VALUE(RIGHT($AD468,1))&gt;2),(O468-S468)*(IFERROR(INDEX('TaxCred&amp;Subs'!$J$66:$J$99,MATCH(1,($C468&amp;$D468='TaxCred&amp;Subs'!$D$66:$D$99)*($F468='TaxCred&amp;Subs'!$C$66:$C$99),0)),0)),IF($C468&gt;2,(O468-S468)*(IFERROR(INDEX('TaxCred&amp;Subs'!$J$66:$J$99,MATCH(1,($C468&amp;$D468='TaxCred&amp;Subs'!$D$66:$D$99)*($F468='TaxCred&amp;Subs'!$C$66:$C$99),0)),0)),0))),0)</f>
        <v>0</v>
      </c>
      <c r="R468" s="170">
        <f t="array" ref="R468">ROUND(IF(IFERROR(VALUE(RIGHT($AD468,1)),0)&gt;2,IF($C468=8,N468*IFERROR(INDEX('TaxCred&amp;Subs'!$K$139:$S$151,MATCH($C468&amp;$D468&amp;LEFT($AD468,7),'TaxCred&amp;Subs'!$E$139:$E$151,0),MATCH($H468,'TaxCred&amp;Subs'!$K$137:$S$137,0)),0),IF($C468=2,N468*IFERROR(INDEX('TaxCred&amp;Subs'!$K$139:$S$151,MATCH($C468&amp;$D468,'TaxCred&amp;Subs'!$D$139:$D$151,0),MATCH($H468,'TaxCred&amp;Subs'!$K$137:$S$137,0)),0),N468*IFERROR(INDEX('TaxCred&amp;Subs'!$K$139:$S$151,MATCH($C468&amp;$D468,'TaxCred&amp;Subs'!$C$139:$C$151,0),MATCH($H468,'TaxCred&amp;Subs'!$K$137:$S$137,0)),0))),0),0)</f>
        <v>208</v>
      </c>
      <c r="S468" s="170">
        <f t="array" ref="S468">ROUND(IF(IFERROR(VALUE(RIGHT($AD468,1)),0)&gt;2,IF($C468=8,O468*IFERROR(INDEX('TaxCred&amp;Subs'!$K$139:$S$151,MATCH($C468&amp;$D468&amp;LEFT($AD468,7),'TaxCred&amp;Subs'!$E$139:$E$151,0),MATCH($H468,'TaxCred&amp;Subs'!$K$137:$S$137,0)),0),IF($C468=2,O468*IFERROR(INDEX('TaxCred&amp;Subs'!$K$139:$S$151,MATCH($C468&amp;$D468,'TaxCred&amp;Subs'!$D$139:$D$151,0),MATCH($H468,'TaxCred&amp;Subs'!$K$137:$S$137,0)),0),O468*IFERROR(INDEX('TaxCred&amp;Subs'!$K$139:$S$151,MATCH($C468&amp;$D468,'TaxCred&amp;Subs'!$C$139:$C$151,0),MATCH($H468,'TaxCred&amp;Subs'!$K$137:$S$137,0)),0))),0),0)</f>
        <v>0</v>
      </c>
      <c r="T468" s="95">
        <f t="shared" si="27"/>
        <v>0</v>
      </c>
      <c r="U468" s="95">
        <f t="shared" si="28"/>
        <v>0</v>
      </c>
      <c r="V468" s="28" t="s">
        <v>222</v>
      </c>
      <c r="W468" s="31">
        <v>2020</v>
      </c>
      <c r="X468" s="28">
        <v>1</v>
      </c>
      <c r="Y468" s="28">
        <v>0</v>
      </c>
      <c r="Z468" s="196">
        <v>-2.0762472774284713E-4</v>
      </c>
      <c r="AA468" s="196">
        <v>-3.1942265806591866E-3</v>
      </c>
      <c r="AB468" s="28">
        <v>0</v>
      </c>
      <c r="AC468" s="28">
        <v>0</v>
      </c>
      <c r="AD468" s="28" t="s">
        <v>198</v>
      </c>
    </row>
    <row r="469" spans="2:30" ht="14.25" customHeight="1" x14ac:dyDescent="0.2">
      <c r="B469" s="7">
        <f t="shared" si="26"/>
        <v>445</v>
      </c>
      <c r="C469" s="28">
        <v>2</v>
      </c>
      <c r="D469" s="28">
        <v>3</v>
      </c>
      <c r="E469" s="31">
        <v>11</v>
      </c>
      <c r="F469" s="78">
        <v>2033</v>
      </c>
      <c r="G469" s="28">
        <v>2050</v>
      </c>
      <c r="H469" s="28">
        <v>5</v>
      </c>
      <c r="I469" s="96">
        <v>46</v>
      </c>
      <c r="J469" s="28">
        <v>5</v>
      </c>
      <c r="K469" s="28">
        <v>0</v>
      </c>
      <c r="L469" s="28">
        <v>0</v>
      </c>
      <c r="M469" s="156">
        <v>6.6329363855124335</v>
      </c>
      <c r="N469" s="151">
        <v>4310</v>
      </c>
      <c r="O469" s="79">
        <v>0</v>
      </c>
      <c r="P469" s="95">
        <f t="array" ref="P469">ROUND(IF($F469&lt;='TaxCred&amp;Subs'!$C$49,(IF($C469=2,IF($M469&gt;=IFERROR(INDEX('TaxCred&amp;Subs'!$L$12:$L$47,MATCH(1,($C469&amp;$D469='TaxCred&amp;Subs'!$E$12:$E$47)*($F469='TaxCred&amp;Subs'!$C$12:$C$47),0)
),9999),IFERROR(INDEX('TaxCred&amp;Subs'!$N$12:$N$47,MATCH(1,($C469&amp;$D469='TaxCred&amp;Subs'!$E$12:$E$47)*($F469='TaxCred&amp;Subs'!$C$12:$C$47),0)
),0),0),(IF($M469&gt;=IFERROR(INDEX('TaxCred&amp;Subs'!$H$12:$H$47,MATCH(1,($C469&amp;$D469='TaxCred&amp;Subs'!$D$12:$D$47)*($F469='TaxCred&amp;Subs'!$C$12:$C$47),0)
),9999),IFERROR(INDEX('TaxCred&amp;Subs'!$N$12:$N$47,MATCH(1,($C469&amp;$D469='TaxCred&amp;Subs'!$D$12:$D$47)*($F469='TaxCred&amp;Subs'!$C$12:$C$47),0)
),0),0)))),0)+IF(AND($C469=2,VALUE(RIGHT($AD469,1))&gt;2),(N469-R469)*(IFERROR(INDEX('TaxCred&amp;Subs'!$J$66:$J$99,MATCH(1,($C469&amp;$D469='TaxCred&amp;Subs'!$E$66:$E$99)*($F469='TaxCred&amp;Subs'!$C$66:$C$99),0)),0)),IF(AND($C469=1,VALUE(RIGHT($AD469,1))&gt;2),(N469-R469)*(IFERROR(INDEX('TaxCred&amp;Subs'!$J$66:$J$99,MATCH(1,($C469&amp;$D469='TaxCred&amp;Subs'!$D$66:$D$99)*($F469='TaxCred&amp;Subs'!$C$66:$C$99),0)),0)),IF($C469&gt;2,(N469-R469)*(IFERROR(INDEX('TaxCred&amp;Subs'!$J$66:$J$99,MATCH(1,($C469&amp;$D469='TaxCred&amp;Subs'!$D$66:$D$99)*($F469='TaxCred&amp;Subs'!$C$66:$C$99),0)),0)),0))),0)</f>
        <v>0</v>
      </c>
      <c r="Q469" s="95">
        <f t="array" ref="Q469">ROUND(IF(AND($C469=2,VALUE(RIGHT($AD469,1))&gt;2),(O469-S469)*(IFERROR(INDEX('TaxCred&amp;Subs'!$J$66:$J$99,MATCH(1,($C469&amp;$D469='TaxCred&amp;Subs'!$E$66:$E$99)*($F469='TaxCred&amp;Subs'!$C$66:$C$99),0)),0)),IF(AND($C469=1,VALUE(RIGHT($AD469,1))&gt;2),(O469-S469)*(IFERROR(INDEX('TaxCred&amp;Subs'!$J$66:$J$99,MATCH(1,($C469&amp;$D469='TaxCred&amp;Subs'!$D$66:$D$99)*($F469='TaxCred&amp;Subs'!$C$66:$C$99),0)),0)),IF($C469&gt;2,(O469-S469)*(IFERROR(INDEX('TaxCred&amp;Subs'!$J$66:$J$99,MATCH(1,($C469&amp;$D469='TaxCred&amp;Subs'!$D$66:$D$99)*($F469='TaxCred&amp;Subs'!$C$66:$C$99),0)),0)),0))),0)</f>
        <v>0</v>
      </c>
      <c r="R469" s="170">
        <f t="array" ref="R469">ROUND(IF(IFERROR(VALUE(RIGHT($AD469,1)),0)&gt;2,IF($C469=8,N469*IFERROR(INDEX('TaxCred&amp;Subs'!$K$139:$S$151,MATCH($C469&amp;$D469&amp;LEFT($AD469,7),'TaxCred&amp;Subs'!$E$139:$E$151,0),MATCH($H469,'TaxCred&amp;Subs'!$K$137:$S$137,0)),0),IF($C469=2,N469*IFERROR(INDEX('TaxCred&amp;Subs'!$K$139:$S$151,MATCH($C469&amp;$D469,'TaxCred&amp;Subs'!$D$139:$D$151,0),MATCH($H469,'TaxCred&amp;Subs'!$K$137:$S$137,0)),0),N469*IFERROR(INDEX('TaxCred&amp;Subs'!$K$139:$S$151,MATCH($C469&amp;$D469,'TaxCred&amp;Subs'!$C$139:$C$151,0),MATCH($H469,'TaxCred&amp;Subs'!$K$137:$S$137,0)),0))),0),0)</f>
        <v>94</v>
      </c>
      <c r="S469" s="170">
        <f t="array" ref="S469">ROUND(IF(IFERROR(VALUE(RIGHT($AD469,1)),0)&gt;2,IF($C469=8,O469*IFERROR(INDEX('TaxCred&amp;Subs'!$K$139:$S$151,MATCH($C469&amp;$D469&amp;LEFT($AD469,7),'TaxCred&amp;Subs'!$E$139:$E$151,0),MATCH($H469,'TaxCred&amp;Subs'!$K$137:$S$137,0)),0),IF($C469=2,O469*IFERROR(INDEX('TaxCred&amp;Subs'!$K$139:$S$151,MATCH($C469&amp;$D469,'TaxCred&amp;Subs'!$D$139:$D$151,0),MATCH($H469,'TaxCred&amp;Subs'!$K$137:$S$137,0)),0),O469*IFERROR(INDEX('TaxCred&amp;Subs'!$K$139:$S$151,MATCH($C469&amp;$D469,'TaxCred&amp;Subs'!$C$139:$C$151,0),MATCH($H469,'TaxCred&amp;Subs'!$K$137:$S$137,0)),0))),0),0)</f>
        <v>0</v>
      </c>
      <c r="T469" s="95">
        <f t="shared" si="27"/>
        <v>0</v>
      </c>
      <c r="U469" s="95">
        <f t="shared" si="28"/>
        <v>0</v>
      </c>
      <c r="V469" s="28" t="s">
        <v>222</v>
      </c>
      <c r="W469" s="31">
        <v>2020</v>
      </c>
      <c r="X469" s="28">
        <v>1</v>
      </c>
      <c r="Y469" s="28">
        <v>0</v>
      </c>
      <c r="Z469" s="196">
        <v>-2.0762472774284713E-4</v>
      </c>
      <c r="AA469" s="196">
        <v>-3.1942265806591866E-3</v>
      </c>
      <c r="AB469" s="28">
        <v>0</v>
      </c>
      <c r="AC469" s="28">
        <v>0</v>
      </c>
      <c r="AD469" s="28" t="s">
        <v>198</v>
      </c>
    </row>
    <row r="470" spans="2:30" ht="14.25" customHeight="1" x14ac:dyDescent="0.2">
      <c r="B470" s="7">
        <f t="shared" si="26"/>
        <v>446</v>
      </c>
      <c r="C470" s="28">
        <v>2</v>
      </c>
      <c r="D470" s="28">
        <v>3</v>
      </c>
      <c r="E470" s="31">
        <v>11</v>
      </c>
      <c r="F470" s="78">
        <v>2033</v>
      </c>
      <c r="G470" s="28">
        <v>2050</v>
      </c>
      <c r="H470" s="28">
        <v>6</v>
      </c>
      <c r="I470" s="96">
        <v>46</v>
      </c>
      <c r="J470" s="28">
        <v>5</v>
      </c>
      <c r="K470" s="28">
        <v>0</v>
      </c>
      <c r="L470" s="28">
        <v>0</v>
      </c>
      <c r="M470" s="156">
        <v>6.6329363855124335</v>
      </c>
      <c r="N470" s="151">
        <v>4310</v>
      </c>
      <c r="O470" s="79">
        <v>0</v>
      </c>
      <c r="P470" s="95">
        <f t="array" ref="P470">ROUND(IF($F470&lt;='TaxCred&amp;Subs'!$C$49,(IF($C470=2,IF($M470&gt;=IFERROR(INDEX('TaxCred&amp;Subs'!$L$12:$L$47,MATCH(1,($C470&amp;$D470='TaxCred&amp;Subs'!$E$12:$E$47)*($F470='TaxCred&amp;Subs'!$C$12:$C$47),0)
),9999),IFERROR(INDEX('TaxCred&amp;Subs'!$N$12:$N$47,MATCH(1,($C470&amp;$D470='TaxCred&amp;Subs'!$E$12:$E$47)*($F470='TaxCred&amp;Subs'!$C$12:$C$47),0)
),0),0),(IF($M470&gt;=IFERROR(INDEX('TaxCred&amp;Subs'!$H$12:$H$47,MATCH(1,($C470&amp;$D470='TaxCred&amp;Subs'!$D$12:$D$47)*($F470='TaxCred&amp;Subs'!$C$12:$C$47),0)
),9999),IFERROR(INDEX('TaxCred&amp;Subs'!$N$12:$N$47,MATCH(1,($C470&amp;$D470='TaxCred&amp;Subs'!$D$12:$D$47)*($F470='TaxCred&amp;Subs'!$C$12:$C$47),0)
),0),0)))),0)+IF(AND($C470=2,VALUE(RIGHT($AD470,1))&gt;2),(N470-R470)*(IFERROR(INDEX('TaxCred&amp;Subs'!$J$66:$J$99,MATCH(1,($C470&amp;$D470='TaxCred&amp;Subs'!$E$66:$E$99)*($F470='TaxCred&amp;Subs'!$C$66:$C$99),0)),0)),IF(AND($C470=1,VALUE(RIGHT($AD470,1))&gt;2),(N470-R470)*(IFERROR(INDEX('TaxCred&amp;Subs'!$J$66:$J$99,MATCH(1,($C470&amp;$D470='TaxCred&amp;Subs'!$D$66:$D$99)*($F470='TaxCred&amp;Subs'!$C$66:$C$99),0)),0)),IF($C470&gt;2,(N470-R470)*(IFERROR(INDEX('TaxCred&amp;Subs'!$J$66:$J$99,MATCH(1,($C470&amp;$D470='TaxCred&amp;Subs'!$D$66:$D$99)*($F470='TaxCred&amp;Subs'!$C$66:$C$99),0)),0)),0))),0)</f>
        <v>0</v>
      </c>
      <c r="Q470" s="95">
        <f t="array" ref="Q470">ROUND(IF(AND($C470=2,VALUE(RIGHT($AD470,1))&gt;2),(O470-S470)*(IFERROR(INDEX('TaxCred&amp;Subs'!$J$66:$J$99,MATCH(1,($C470&amp;$D470='TaxCred&amp;Subs'!$E$66:$E$99)*($F470='TaxCred&amp;Subs'!$C$66:$C$99),0)),0)),IF(AND($C470=1,VALUE(RIGHT($AD470,1))&gt;2),(O470-S470)*(IFERROR(INDEX('TaxCred&amp;Subs'!$J$66:$J$99,MATCH(1,($C470&amp;$D470='TaxCred&amp;Subs'!$D$66:$D$99)*($F470='TaxCred&amp;Subs'!$C$66:$C$99),0)),0)),IF($C470&gt;2,(O470-S470)*(IFERROR(INDEX('TaxCred&amp;Subs'!$J$66:$J$99,MATCH(1,($C470&amp;$D470='TaxCred&amp;Subs'!$D$66:$D$99)*($F470='TaxCred&amp;Subs'!$C$66:$C$99),0)),0)),0))),0)</f>
        <v>0</v>
      </c>
      <c r="R470" s="170">
        <f t="array" ref="R470">ROUND(IF(IFERROR(VALUE(RIGHT($AD470,1)),0)&gt;2,IF($C470=8,N470*IFERROR(INDEX('TaxCred&amp;Subs'!$K$139:$S$151,MATCH($C470&amp;$D470&amp;LEFT($AD470,7),'TaxCred&amp;Subs'!$E$139:$E$151,0),MATCH($H470,'TaxCred&amp;Subs'!$K$137:$S$137,0)),0),IF($C470=2,N470*IFERROR(INDEX('TaxCred&amp;Subs'!$K$139:$S$151,MATCH($C470&amp;$D470,'TaxCred&amp;Subs'!$D$139:$D$151,0),MATCH($H470,'TaxCred&amp;Subs'!$K$137:$S$137,0)),0),N470*IFERROR(INDEX('TaxCred&amp;Subs'!$K$139:$S$151,MATCH($C470&amp;$D470,'TaxCred&amp;Subs'!$C$139:$C$151,0),MATCH($H470,'TaxCred&amp;Subs'!$K$137:$S$137,0)),0))),0),0)</f>
        <v>0</v>
      </c>
      <c r="S470" s="170">
        <f t="array" ref="S470">ROUND(IF(IFERROR(VALUE(RIGHT($AD470,1)),0)&gt;2,IF($C470=8,O470*IFERROR(INDEX('TaxCred&amp;Subs'!$K$139:$S$151,MATCH($C470&amp;$D470&amp;LEFT($AD470,7),'TaxCred&amp;Subs'!$E$139:$E$151,0),MATCH($H470,'TaxCred&amp;Subs'!$K$137:$S$137,0)),0),IF($C470=2,O470*IFERROR(INDEX('TaxCred&amp;Subs'!$K$139:$S$151,MATCH($C470&amp;$D470,'TaxCred&amp;Subs'!$D$139:$D$151,0),MATCH($H470,'TaxCred&amp;Subs'!$K$137:$S$137,0)),0),O470*IFERROR(INDEX('TaxCred&amp;Subs'!$K$139:$S$151,MATCH($C470&amp;$D470,'TaxCred&amp;Subs'!$C$139:$C$151,0),MATCH($H470,'TaxCred&amp;Subs'!$K$137:$S$137,0)),0))),0),0)</f>
        <v>0</v>
      </c>
      <c r="T470" s="95">
        <f t="shared" si="27"/>
        <v>0</v>
      </c>
      <c r="U470" s="95">
        <f t="shared" si="28"/>
        <v>0</v>
      </c>
      <c r="V470" s="28" t="s">
        <v>222</v>
      </c>
      <c r="W470" s="31">
        <v>2020</v>
      </c>
      <c r="X470" s="28">
        <v>1</v>
      </c>
      <c r="Y470" s="28">
        <v>0</v>
      </c>
      <c r="Z470" s="196">
        <v>-2.0762472774284713E-4</v>
      </c>
      <c r="AA470" s="196">
        <v>-3.1942265806591866E-3</v>
      </c>
      <c r="AB470" s="28">
        <v>0</v>
      </c>
      <c r="AC470" s="28">
        <v>0</v>
      </c>
      <c r="AD470" s="28" t="s">
        <v>198</v>
      </c>
    </row>
    <row r="471" spans="2:30" ht="14.25" customHeight="1" x14ac:dyDescent="0.2">
      <c r="B471" s="7">
        <f t="shared" si="26"/>
        <v>447</v>
      </c>
      <c r="C471" s="28">
        <v>2</v>
      </c>
      <c r="D471" s="28">
        <v>3</v>
      </c>
      <c r="E471" s="31">
        <v>11</v>
      </c>
      <c r="F471" s="78">
        <v>2033</v>
      </c>
      <c r="G471" s="28">
        <v>2050</v>
      </c>
      <c r="H471" s="28">
        <v>7</v>
      </c>
      <c r="I471" s="96">
        <v>46</v>
      </c>
      <c r="J471" s="28">
        <v>5</v>
      </c>
      <c r="K471" s="28">
        <v>0</v>
      </c>
      <c r="L471" s="28">
        <v>0</v>
      </c>
      <c r="M471" s="156">
        <v>6.6329363855124335</v>
      </c>
      <c r="N471" s="151">
        <v>4310</v>
      </c>
      <c r="O471" s="79">
        <v>0</v>
      </c>
      <c r="P471" s="95">
        <f t="array" ref="P471">ROUND(IF($F471&lt;='TaxCred&amp;Subs'!$C$49,(IF($C471=2,IF($M471&gt;=IFERROR(INDEX('TaxCred&amp;Subs'!$L$12:$L$47,MATCH(1,($C471&amp;$D471='TaxCred&amp;Subs'!$E$12:$E$47)*($F471='TaxCred&amp;Subs'!$C$12:$C$47),0)
),9999),IFERROR(INDEX('TaxCred&amp;Subs'!$N$12:$N$47,MATCH(1,($C471&amp;$D471='TaxCred&amp;Subs'!$E$12:$E$47)*($F471='TaxCred&amp;Subs'!$C$12:$C$47),0)
),0),0),(IF($M471&gt;=IFERROR(INDEX('TaxCred&amp;Subs'!$H$12:$H$47,MATCH(1,($C471&amp;$D471='TaxCred&amp;Subs'!$D$12:$D$47)*($F471='TaxCred&amp;Subs'!$C$12:$C$47),0)
),9999),IFERROR(INDEX('TaxCred&amp;Subs'!$N$12:$N$47,MATCH(1,($C471&amp;$D471='TaxCred&amp;Subs'!$D$12:$D$47)*($F471='TaxCred&amp;Subs'!$C$12:$C$47),0)
),0),0)))),0)+IF(AND($C471=2,VALUE(RIGHT($AD471,1))&gt;2),(N471-R471)*(IFERROR(INDEX('TaxCred&amp;Subs'!$J$66:$J$99,MATCH(1,($C471&amp;$D471='TaxCred&amp;Subs'!$E$66:$E$99)*($F471='TaxCred&amp;Subs'!$C$66:$C$99),0)),0)),IF(AND($C471=1,VALUE(RIGHT($AD471,1))&gt;2),(N471-R471)*(IFERROR(INDEX('TaxCred&amp;Subs'!$J$66:$J$99,MATCH(1,($C471&amp;$D471='TaxCred&amp;Subs'!$D$66:$D$99)*($F471='TaxCred&amp;Subs'!$C$66:$C$99),0)),0)),IF($C471&gt;2,(N471-R471)*(IFERROR(INDEX('TaxCred&amp;Subs'!$J$66:$J$99,MATCH(1,($C471&amp;$D471='TaxCred&amp;Subs'!$D$66:$D$99)*($F471='TaxCred&amp;Subs'!$C$66:$C$99),0)),0)),0))),0)</f>
        <v>0</v>
      </c>
      <c r="Q471" s="95">
        <f t="array" ref="Q471">ROUND(IF(AND($C471=2,VALUE(RIGHT($AD471,1))&gt;2),(O471-S471)*(IFERROR(INDEX('TaxCred&amp;Subs'!$J$66:$J$99,MATCH(1,($C471&amp;$D471='TaxCred&amp;Subs'!$E$66:$E$99)*($F471='TaxCred&amp;Subs'!$C$66:$C$99),0)),0)),IF(AND($C471=1,VALUE(RIGHT($AD471,1))&gt;2),(O471-S471)*(IFERROR(INDEX('TaxCred&amp;Subs'!$J$66:$J$99,MATCH(1,($C471&amp;$D471='TaxCred&amp;Subs'!$D$66:$D$99)*($F471='TaxCred&amp;Subs'!$C$66:$C$99),0)),0)),IF($C471&gt;2,(O471-S471)*(IFERROR(INDEX('TaxCred&amp;Subs'!$J$66:$J$99,MATCH(1,($C471&amp;$D471='TaxCred&amp;Subs'!$D$66:$D$99)*($F471='TaxCred&amp;Subs'!$C$66:$C$99),0)),0)),0))),0)</f>
        <v>0</v>
      </c>
      <c r="R471" s="170">
        <f t="array" ref="R471">ROUND(IF(IFERROR(VALUE(RIGHT($AD471,1)),0)&gt;2,IF($C471=8,N471*IFERROR(INDEX('TaxCred&amp;Subs'!$K$139:$S$151,MATCH($C471&amp;$D471&amp;LEFT($AD471,7),'TaxCred&amp;Subs'!$E$139:$E$151,0),MATCH($H471,'TaxCred&amp;Subs'!$K$137:$S$137,0)),0),IF($C471=2,N471*IFERROR(INDEX('TaxCred&amp;Subs'!$K$139:$S$151,MATCH($C471&amp;$D471,'TaxCred&amp;Subs'!$D$139:$D$151,0),MATCH($H471,'TaxCred&amp;Subs'!$K$137:$S$137,0)),0),N471*IFERROR(INDEX('TaxCred&amp;Subs'!$K$139:$S$151,MATCH($C471&amp;$D471,'TaxCred&amp;Subs'!$C$139:$C$151,0),MATCH($H471,'TaxCred&amp;Subs'!$K$137:$S$137,0)),0))),0),0)</f>
        <v>835</v>
      </c>
      <c r="S471" s="170">
        <f t="array" ref="S471">ROUND(IF(IFERROR(VALUE(RIGHT($AD471,1)),0)&gt;2,IF($C471=8,O471*IFERROR(INDEX('TaxCred&amp;Subs'!$K$139:$S$151,MATCH($C471&amp;$D471&amp;LEFT($AD471,7),'TaxCred&amp;Subs'!$E$139:$E$151,0),MATCH($H471,'TaxCred&amp;Subs'!$K$137:$S$137,0)),0),IF($C471=2,O471*IFERROR(INDEX('TaxCred&amp;Subs'!$K$139:$S$151,MATCH($C471&amp;$D471,'TaxCred&amp;Subs'!$D$139:$D$151,0),MATCH($H471,'TaxCred&amp;Subs'!$K$137:$S$137,0)),0),O471*IFERROR(INDEX('TaxCred&amp;Subs'!$K$139:$S$151,MATCH($C471&amp;$D471,'TaxCred&amp;Subs'!$C$139:$C$151,0),MATCH($H471,'TaxCred&amp;Subs'!$K$137:$S$137,0)),0))),0),0)</f>
        <v>0</v>
      </c>
      <c r="T471" s="95">
        <f t="shared" si="27"/>
        <v>0</v>
      </c>
      <c r="U471" s="95">
        <f t="shared" si="28"/>
        <v>0</v>
      </c>
      <c r="V471" s="28" t="s">
        <v>222</v>
      </c>
      <c r="W471" s="31">
        <v>2020</v>
      </c>
      <c r="X471" s="28">
        <v>1</v>
      </c>
      <c r="Y471" s="28">
        <v>0</v>
      </c>
      <c r="Z471" s="196">
        <v>-2.0762472774284713E-4</v>
      </c>
      <c r="AA471" s="196">
        <v>-3.1942265806591866E-3</v>
      </c>
      <c r="AB471" s="28">
        <v>0</v>
      </c>
      <c r="AC471" s="28">
        <v>0</v>
      </c>
      <c r="AD471" s="28" t="s">
        <v>198</v>
      </c>
    </row>
    <row r="472" spans="2:30" ht="14.25" customHeight="1" x14ac:dyDescent="0.2">
      <c r="B472" s="7">
        <f t="shared" si="26"/>
        <v>448</v>
      </c>
      <c r="C472" s="28">
        <v>2</v>
      </c>
      <c r="D472" s="28">
        <v>3</v>
      </c>
      <c r="E472" s="31">
        <v>11</v>
      </c>
      <c r="F472" s="78">
        <v>2033</v>
      </c>
      <c r="G472" s="28">
        <v>2050</v>
      </c>
      <c r="H472" s="28">
        <v>8</v>
      </c>
      <c r="I472" s="96">
        <v>46</v>
      </c>
      <c r="J472" s="28">
        <v>5</v>
      </c>
      <c r="K472" s="28">
        <v>0</v>
      </c>
      <c r="L472" s="28">
        <v>0</v>
      </c>
      <c r="M472" s="156">
        <v>6.6329363855124335</v>
      </c>
      <c r="N472" s="151">
        <v>4310</v>
      </c>
      <c r="O472" s="79">
        <v>0</v>
      </c>
      <c r="P472" s="95">
        <f t="array" ref="P472">ROUND(IF($F472&lt;='TaxCred&amp;Subs'!$C$49,(IF($C472=2,IF($M472&gt;=IFERROR(INDEX('TaxCred&amp;Subs'!$L$12:$L$47,MATCH(1,($C472&amp;$D472='TaxCred&amp;Subs'!$E$12:$E$47)*($F472='TaxCred&amp;Subs'!$C$12:$C$47),0)
),9999),IFERROR(INDEX('TaxCred&amp;Subs'!$N$12:$N$47,MATCH(1,($C472&amp;$D472='TaxCred&amp;Subs'!$E$12:$E$47)*($F472='TaxCred&amp;Subs'!$C$12:$C$47),0)
),0),0),(IF($M472&gt;=IFERROR(INDEX('TaxCred&amp;Subs'!$H$12:$H$47,MATCH(1,($C472&amp;$D472='TaxCred&amp;Subs'!$D$12:$D$47)*($F472='TaxCred&amp;Subs'!$C$12:$C$47),0)
),9999),IFERROR(INDEX('TaxCred&amp;Subs'!$N$12:$N$47,MATCH(1,($C472&amp;$D472='TaxCred&amp;Subs'!$D$12:$D$47)*($F472='TaxCred&amp;Subs'!$C$12:$C$47),0)
),0),0)))),0)+IF(AND($C472=2,VALUE(RIGHT($AD472,1))&gt;2),(N472-R472)*(IFERROR(INDEX('TaxCred&amp;Subs'!$J$66:$J$99,MATCH(1,($C472&amp;$D472='TaxCred&amp;Subs'!$E$66:$E$99)*($F472='TaxCred&amp;Subs'!$C$66:$C$99),0)),0)),IF(AND($C472=1,VALUE(RIGHT($AD472,1))&gt;2),(N472-R472)*(IFERROR(INDEX('TaxCred&amp;Subs'!$J$66:$J$99,MATCH(1,($C472&amp;$D472='TaxCred&amp;Subs'!$D$66:$D$99)*($F472='TaxCred&amp;Subs'!$C$66:$C$99),0)),0)),IF($C472&gt;2,(N472-R472)*(IFERROR(INDEX('TaxCred&amp;Subs'!$J$66:$J$99,MATCH(1,($C472&amp;$D472='TaxCred&amp;Subs'!$D$66:$D$99)*($F472='TaxCred&amp;Subs'!$C$66:$C$99),0)),0)),0))),0)</f>
        <v>0</v>
      </c>
      <c r="Q472" s="95">
        <f t="array" ref="Q472">ROUND(IF(AND($C472=2,VALUE(RIGHT($AD472,1))&gt;2),(O472-S472)*(IFERROR(INDEX('TaxCred&amp;Subs'!$J$66:$J$99,MATCH(1,($C472&amp;$D472='TaxCred&amp;Subs'!$E$66:$E$99)*($F472='TaxCred&amp;Subs'!$C$66:$C$99),0)),0)),IF(AND($C472=1,VALUE(RIGHT($AD472,1))&gt;2),(O472-S472)*(IFERROR(INDEX('TaxCred&amp;Subs'!$J$66:$J$99,MATCH(1,($C472&amp;$D472='TaxCred&amp;Subs'!$D$66:$D$99)*($F472='TaxCred&amp;Subs'!$C$66:$C$99),0)),0)),IF($C472&gt;2,(O472-S472)*(IFERROR(INDEX('TaxCred&amp;Subs'!$J$66:$J$99,MATCH(1,($C472&amp;$D472='TaxCred&amp;Subs'!$D$66:$D$99)*($F472='TaxCred&amp;Subs'!$C$66:$C$99),0)),0)),0))),0)</f>
        <v>0</v>
      </c>
      <c r="R472" s="170">
        <f t="array" ref="R472">ROUND(IF(IFERROR(VALUE(RIGHT($AD472,1)),0)&gt;2,IF($C472=8,N472*IFERROR(INDEX('TaxCred&amp;Subs'!$K$139:$S$151,MATCH($C472&amp;$D472&amp;LEFT($AD472,7),'TaxCred&amp;Subs'!$E$139:$E$151,0),MATCH($H472,'TaxCred&amp;Subs'!$K$137:$S$137,0)),0),IF($C472=2,N472*IFERROR(INDEX('TaxCred&amp;Subs'!$K$139:$S$151,MATCH($C472&amp;$D472,'TaxCred&amp;Subs'!$D$139:$D$151,0),MATCH($H472,'TaxCred&amp;Subs'!$K$137:$S$137,0)),0),N472*IFERROR(INDEX('TaxCred&amp;Subs'!$K$139:$S$151,MATCH($C472&amp;$D472,'TaxCred&amp;Subs'!$C$139:$C$151,0),MATCH($H472,'TaxCred&amp;Subs'!$K$137:$S$137,0)),0))),0),0)</f>
        <v>199</v>
      </c>
      <c r="S472" s="170">
        <f t="array" ref="S472">ROUND(IF(IFERROR(VALUE(RIGHT($AD472,1)),0)&gt;2,IF($C472=8,O472*IFERROR(INDEX('TaxCred&amp;Subs'!$K$139:$S$151,MATCH($C472&amp;$D472&amp;LEFT($AD472,7),'TaxCred&amp;Subs'!$E$139:$E$151,0),MATCH($H472,'TaxCred&amp;Subs'!$K$137:$S$137,0)),0),IF($C472=2,O472*IFERROR(INDEX('TaxCred&amp;Subs'!$K$139:$S$151,MATCH($C472&amp;$D472,'TaxCred&amp;Subs'!$D$139:$D$151,0),MATCH($H472,'TaxCred&amp;Subs'!$K$137:$S$137,0)),0),O472*IFERROR(INDEX('TaxCred&amp;Subs'!$K$139:$S$151,MATCH($C472&amp;$D472,'TaxCred&amp;Subs'!$C$139:$C$151,0),MATCH($H472,'TaxCred&amp;Subs'!$K$137:$S$137,0)),0))),0),0)</f>
        <v>0</v>
      </c>
      <c r="T472" s="95">
        <f t="shared" si="27"/>
        <v>0</v>
      </c>
      <c r="U472" s="95">
        <f t="shared" si="28"/>
        <v>0</v>
      </c>
      <c r="V472" s="28" t="s">
        <v>222</v>
      </c>
      <c r="W472" s="31">
        <v>2020</v>
      </c>
      <c r="X472" s="28">
        <v>1</v>
      </c>
      <c r="Y472" s="28">
        <v>0</v>
      </c>
      <c r="Z472" s="196">
        <v>-2.0762472774284713E-4</v>
      </c>
      <c r="AA472" s="196">
        <v>-3.1942265806591866E-3</v>
      </c>
      <c r="AB472" s="28">
        <v>0</v>
      </c>
      <c r="AC472" s="28">
        <v>0</v>
      </c>
      <c r="AD472" s="28" t="s">
        <v>198</v>
      </c>
    </row>
    <row r="473" spans="2:30" ht="14.25" customHeight="1" x14ac:dyDescent="0.2">
      <c r="B473" s="7">
        <f t="shared" si="26"/>
        <v>449</v>
      </c>
      <c r="C473" s="28">
        <v>2</v>
      </c>
      <c r="D473" s="28">
        <v>3</v>
      </c>
      <c r="E473" s="31">
        <v>11</v>
      </c>
      <c r="F473" s="78">
        <v>2033</v>
      </c>
      <c r="G473" s="28">
        <v>2050</v>
      </c>
      <c r="H473" s="28">
        <v>9</v>
      </c>
      <c r="I473" s="96">
        <v>46</v>
      </c>
      <c r="J473" s="28">
        <v>5</v>
      </c>
      <c r="K473" s="28">
        <v>0</v>
      </c>
      <c r="L473" s="28">
        <v>0</v>
      </c>
      <c r="M473" s="156">
        <v>6.6329363855124335</v>
      </c>
      <c r="N473" s="151">
        <v>4310</v>
      </c>
      <c r="O473" s="79">
        <v>0</v>
      </c>
      <c r="P473" s="95">
        <f t="array" ref="P473">ROUND(IF($F473&lt;='TaxCred&amp;Subs'!$C$49,(IF($C473=2,IF($M473&gt;=IFERROR(INDEX('TaxCred&amp;Subs'!$L$12:$L$47,MATCH(1,($C473&amp;$D473='TaxCred&amp;Subs'!$E$12:$E$47)*($F473='TaxCred&amp;Subs'!$C$12:$C$47),0)
),9999),IFERROR(INDEX('TaxCred&amp;Subs'!$N$12:$N$47,MATCH(1,($C473&amp;$D473='TaxCred&amp;Subs'!$E$12:$E$47)*($F473='TaxCred&amp;Subs'!$C$12:$C$47),0)
),0),0),(IF($M473&gt;=IFERROR(INDEX('TaxCred&amp;Subs'!$H$12:$H$47,MATCH(1,($C473&amp;$D473='TaxCred&amp;Subs'!$D$12:$D$47)*($F473='TaxCred&amp;Subs'!$C$12:$C$47),0)
),9999),IFERROR(INDEX('TaxCred&amp;Subs'!$N$12:$N$47,MATCH(1,($C473&amp;$D473='TaxCred&amp;Subs'!$D$12:$D$47)*($F473='TaxCred&amp;Subs'!$C$12:$C$47),0)
),0),0)))),0)+IF(AND($C473=2,VALUE(RIGHT($AD473,1))&gt;2),(N473-R473)*(IFERROR(INDEX('TaxCred&amp;Subs'!$J$66:$J$99,MATCH(1,($C473&amp;$D473='TaxCred&amp;Subs'!$E$66:$E$99)*($F473='TaxCred&amp;Subs'!$C$66:$C$99),0)),0)),IF(AND($C473=1,VALUE(RIGHT($AD473,1))&gt;2),(N473-R473)*(IFERROR(INDEX('TaxCred&amp;Subs'!$J$66:$J$99,MATCH(1,($C473&amp;$D473='TaxCred&amp;Subs'!$D$66:$D$99)*($F473='TaxCred&amp;Subs'!$C$66:$C$99),0)),0)),IF($C473&gt;2,(N473-R473)*(IFERROR(INDEX('TaxCred&amp;Subs'!$J$66:$J$99,MATCH(1,($C473&amp;$D473='TaxCred&amp;Subs'!$D$66:$D$99)*($F473='TaxCred&amp;Subs'!$C$66:$C$99),0)),0)),0))),0)</f>
        <v>0</v>
      </c>
      <c r="Q473" s="95">
        <f t="array" ref="Q473">ROUND(IF(AND($C473=2,VALUE(RIGHT($AD473,1))&gt;2),(O473-S473)*(IFERROR(INDEX('TaxCred&amp;Subs'!$J$66:$J$99,MATCH(1,($C473&amp;$D473='TaxCred&amp;Subs'!$E$66:$E$99)*($F473='TaxCred&amp;Subs'!$C$66:$C$99),0)),0)),IF(AND($C473=1,VALUE(RIGHT($AD473,1))&gt;2),(O473-S473)*(IFERROR(INDEX('TaxCred&amp;Subs'!$J$66:$J$99,MATCH(1,($C473&amp;$D473='TaxCred&amp;Subs'!$D$66:$D$99)*($F473='TaxCred&amp;Subs'!$C$66:$C$99),0)),0)),IF($C473&gt;2,(O473-S473)*(IFERROR(INDEX('TaxCred&amp;Subs'!$J$66:$J$99,MATCH(1,($C473&amp;$D473='TaxCred&amp;Subs'!$D$66:$D$99)*($F473='TaxCred&amp;Subs'!$C$66:$C$99),0)),0)),0))),0)</f>
        <v>0</v>
      </c>
      <c r="R473" s="170">
        <f t="array" ref="R473">ROUND(IF(IFERROR(VALUE(RIGHT($AD473,1)),0)&gt;2,IF($C473=8,N473*IFERROR(INDEX('TaxCred&amp;Subs'!$K$139:$S$151,MATCH($C473&amp;$D473&amp;LEFT($AD473,7),'TaxCred&amp;Subs'!$E$139:$E$151,0),MATCH($H473,'TaxCred&amp;Subs'!$K$137:$S$137,0)),0),IF($C473=2,N473*IFERROR(INDEX('TaxCred&amp;Subs'!$K$139:$S$151,MATCH($C473&amp;$D473,'TaxCred&amp;Subs'!$D$139:$D$151,0),MATCH($H473,'TaxCred&amp;Subs'!$K$137:$S$137,0)),0),N473*IFERROR(INDEX('TaxCred&amp;Subs'!$K$139:$S$151,MATCH($C473&amp;$D473,'TaxCred&amp;Subs'!$C$139:$C$151,0),MATCH($H473,'TaxCred&amp;Subs'!$K$137:$S$137,0)),0))),0),0)</f>
        <v>479</v>
      </c>
      <c r="S473" s="170">
        <f t="array" ref="S473">ROUND(IF(IFERROR(VALUE(RIGHT($AD473,1)),0)&gt;2,IF($C473=8,O473*IFERROR(INDEX('TaxCred&amp;Subs'!$K$139:$S$151,MATCH($C473&amp;$D473&amp;LEFT($AD473,7),'TaxCred&amp;Subs'!$E$139:$E$151,0),MATCH($H473,'TaxCred&amp;Subs'!$K$137:$S$137,0)),0),IF($C473=2,O473*IFERROR(INDEX('TaxCred&amp;Subs'!$K$139:$S$151,MATCH($C473&amp;$D473,'TaxCred&amp;Subs'!$D$139:$D$151,0),MATCH($H473,'TaxCred&amp;Subs'!$K$137:$S$137,0)),0),O473*IFERROR(INDEX('TaxCred&amp;Subs'!$K$139:$S$151,MATCH($C473&amp;$D473,'TaxCred&amp;Subs'!$C$139:$C$151,0),MATCH($H473,'TaxCred&amp;Subs'!$K$137:$S$137,0)),0))),0),0)</f>
        <v>0</v>
      </c>
      <c r="T473" s="172">
        <f t="shared" si="27"/>
        <v>646.5</v>
      </c>
      <c r="U473" s="95">
        <f t="shared" si="28"/>
        <v>0</v>
      </c>
      <c r="V473" s="28" t="s">
        <v>222</v>
      </c>
      <c r="W473" s="31">
        <v>2020</v>
      </c>
      <c r="X473" s="28">
        <v>1</v>
      </c>
      <c r="Y473" s="28">
        <v>0</v>
      </c>
      <c r="Z473" s="196">
        <v>-2.0762472774284713E-4</v>
      </c>
      <c r="AA473" s="196">
        <v>-3.1942265806591866E-3</v>
      </c>
      <c r="AB473" s="28">
        <v>0</v>
      </c>
      <c r="AC473" s="28">
        <v>0</v>
      </c>
      <c r="AD473" s="28" t="s">
        <v>198</v>
      </c>
    </row>
    <row r="474" spans="2:30" ht="14.25" customHeight="1" x14ac:dyDescent="0.2">
      <c r="B474" s="7">
        <f t="shared" si="26"/>
        <v>450</v>
      </c>
      <c r="C474" s="28">
        <v>2</v>
      </c>
      <c r="D474" s="28">
        <v>4</v>
      </c>
      <c r="E474" s="31">
        <v>12</v>
      </c>
      <c r="F474" s="96">
        <v>2020</v>
      </c>
      <c r="G474" s="28">
        <v>2050</v>
      </c>
      <c r="H474" s="28">
        <v>11</v>
      </c>
      <c r="I474" s="96">
        <v>47</v>
      </c>
      <c r="J474" s="31">
        <v>31</v>
      </c>
      <c r="K474" s="28">
        <v>0</v>
      </c>
      <c r="L474" s="28">
        <v>0</v>
      </c>
      <c r="M474" s="75">
        <v>14.1</v>
      </c>
      <c r="N474" s="151">
        <v>9175</v>
      </c>
      <c r="O474" s="79">
        <v>0</v>
      </c>
      <c r="P474" s="95">
        <f t="array" ref="P474">ROUND(IF($F474&lt;='TaxCred&amp;Subs'!$C$49,(IF($C474=2,IF($M474&gt;=IFERROR(INDEX('TaxCred&amp;Subs'!$L$12:$L$47,MATCH(1,($C474&amp;$D474='TaxCred&amp;Subs'!$E$12:$E$47)*($F474='TaxCred&amp;Subs'!$C$12:$C$47),0)
),9999),IFERROR(INDEX('TaxCred&amp;Subs'!$N$12:$N$47,MATCH(1,($C474&amp;$D474='TaxCred&amp;Subs'!$E$12:$E$47)*($F474='TaxCred&amp;Subs'!$C$12:$C$47),0)
),0),0),(IF($M474&gt;=IFERROR(INDEX('TaxCred&amp;Subs'!$H$12:$H$47,MATCH(1,($C474&amp;$D474='TaxCred&amp;Subs'!$D$12:$D$47)*($F474='TaxCred&amp;Subs'!$C$12:$C$47),0)
),9999),IFERROR(INDEX('TaxCred&amp;Subs'!$N$12:$N$47,MATCH(1,($C474&amp;$D474='TaxCred&amp;Subs'!$D$12:$D$47)*($F474='TaxCred&amp;Subs'!$C$12:$C$47),0)
),0),0)))),0)+IF(AND($C474=2,VALUE(RIGHT($AD474,1))&gt;2),(N474-R474)*(IFERROR(INDEX('TaxCred&amp;Subs'!$J$66:$J$99,MATCH(1,($C474&amp;$D474='TaxCred&amp;Subs'!$E$66:$E$99)*($F474='TaxCred&amp;Subs'!$C$66:$C$99),0)),0)),IF(AND($C474=1,VALUE(RIGHT($AD474,1))&gt;2),(N474-R474)*(IFERROR(INDEX('TaxCred&amp;Subs'!$J$66:$J$99,MATCH(1,($C474&amp;$D474='TaxCred&amp;Subs'!$D$66:$D$99)*($F474='TaxCred&amp;Subs'!$C$66:$C$99),0)),0)),IF($C474&gt;2,(N474-R474)*(IFERROR(INDEX('TaxCred&amp;Subs'!$J$66:$J$99,MATCH(1,($C474&amp;$D474='TaxCred&amp;Subs'!$D$66:$D$99)*($F474='TaxCred&amp;Subs'!$C$66:$C$99),0)),0)),0))),0)</f>
        <v>0</v>
      </c>
      <c r="Q474" s="95">
        <f t="array" ref="Q474">ROUND(IF(AND($C474=2,VALUE(RIGHT($AD474,1))&gt;2),(O474-S474)*(IFERROR(INDEX('TaxCred&amp;Subs'!$J$66:$J$99,MATCH(1,($C474&amp;$D474='TaxCred&amp;Subs'!$E$66:$E$99)*($F474='TaxCred&amp;Subs'!$C$66:$C$99),0)),0)),IF(AND($C474=1,VALUE(RIGHT($AD474,1))&gt;2),(O474-S474)*(IFERROR(INDEX('TaxCred&amp;Subs'!$J$66:$J$99,MATCH(1,($C474&amp;$D474='TaxCred&amp;Subs'!$D$66:$D$99)*($F474='TaxCred&amp;Subs'!$C$66:$C$99),0)),0)),IF($C474&gt;2,(O474-S474)*(IFERROR(INDEX('TaxCred&amp;Subs'!$J$66:$J$99,MATCH(1,($C474&amp;$D474='TaxCred&amp;Subs'!$D$66:$D$99)*($F474='TaxCred&amp;Subs'!$C$66:$C$99),0)),0)),0))),0)</f>
        <v>0</v>
      </c>
      <c r="R474" s="170">
        <f t="array" ref="R474">ROUND(IF(IFERROR(VALUE(RIGHT($AD474,1)),0)&gt;2,IF($C474=8,N474*IFERROR(INDEX('TaxCred&amp;Subs'!$K$139:$S$151,MATCH($C474&amp;$D474&amp;LEFT($AD474,7),'TaxCred&amp;Subs'!$E$139:$E$151,0),MATCH($H474,'TaxCred&amp;Subs'!$K$137:$S$137,0)),0),IF($C474=2,N474*IFERROR(INDEX('TaxCred&amp;Subs'!$K$139:$S$151,MATCH($C474&amp;$D474,'TaxCred&amp;Subs'!$D$139:$D$151,0),MATCH($H474,'TaxCred&amp;Subs'!$K$137:$S$137,0)),0),N474*IFERROR(INDEX('TaxCred&amp;Subs'!$K$139:$S$151,MATCH($C474&amp;$D474,'TaxCred&amp;Subs'!$C$139:$C$151,0),MATCH($H474,'TaxCred&amp;Subs'!$K$137:$S$137,0)),0))),0),0)</f>
        <v>0</v>
      </c>
      <c r="S474" s="170">
        <f t="array" ref="S474">ROUND(IF(IFERROR(VALUE(RIGHT($AD474,1)),0)&gt;2,IF($C474=8,O474*IFERROR(INDEX('TaxCred&amp;Subs'!$K$139:$S$151,MATCH($C474&amp;$D474&amp;LEFT($AD474,7),'TaxCred&amp;Subs'!$E$139:$E$151,0),MATCH($H474,'TaxCred&amp;Subs'!$K$137:$S$137,0)),0),IF($C474=2,O474*IFERROR(INDEX('TaxCred&amp;Subs'!$K$139:$S$151,MATCH($C474&amp;$D474,'TaxCred&amp;Subs'!$D$139:$D$151,0),MATCH($H474,'TaxCred&amp;Subs'!$K$137:$S$137,0)),0),O474*IFERROR(INDEX('TaxCred&amp;Subs'!$K$139:$S$151,MATCH($C474&amp;$D474,'TaxCred&amp;Subs'!$C$139:$C$151,0),MATCH($H474,'TaxCred&amp;Subs'!$K$137:$S$137,0)),0))),0),0)</f>
        <v>0</v>
      </c>
      <c r="T474" s="95">
        <f t="shared" si="27"/>
        <v>0</v>
      </c>
      <c r="U474" s="95">
        <f t="shared" si="28"/>
        <v>0</v>
      </c>
      <c r="V474" s="28" t="s">
        <v>222</v>
      </c>
      <c r="W474" s="31">
        <v>2020</v>
      </c>
      <c r="X474" s="28">
        <v>1</v>
      </c>
      <c r="Y474" s="28">
        <v>0</v>
      </c>
      <c r="Z474" s="196">
        <v>-1.1617101682123598E-4</v>
      </c>
      <c r="AA474" s="196">
        <v>-1.7872464126343997E-3</v>
      </c>
      <c r="AB474" s="28">
        <v>0</v>
      </c>
      <c r="AC474" s="28">
        <v>0</v>
      </c>
      <c r="AD474" s="28" t="s">
        <v>208</v>
      </c>
    </row>
    <row r="475" spans="2:30" ht="14.25" customHeight="1" x14ac:dyDescent="0.2">
      <c r="B475" s="7">
        <f t="shared" ref="B475:B538" si="29">B474+1</f>
        <v>451</v>
      </c>
      <c r="C475" s="28">
        <v>2</v>
      </c>
      <c r="D475" s="28">
        <v>4</v>
      </c>
      <c r="E475" s="31">
        <v>13</v>
      </c>
      <c r="F475" s="96">
        <v>2020</v>
      </c>
      <c r="G475" s="28">
        <v>2050</v>
      </c>
      <c r="H475" s="28">
        <v>11</v>
      </c>
      <c r="I475" s="96">
        <v>48</v>
      </c>
      <c r="J475" s="31">
        <v>32</v>
      </c>
      <c r="K475" s="28">
        <v>0</v>
      </c>
      <c r="L475" s="28">
        <v>0</v>
      </c>
      <c r="M475" s="156">
        <v>17.25</v>
      </c>
      <c r="N475" s="151">
        <v>9500</v>
      </c>
      <c r="O475" s="79">
        <v>0</v>
      </c>
      <c r="P475" s="95">
        <f t="array" ref="P475">ROUND(IF($F475&lt;='TaxCred&amp;Subs'!$C$49,(IF($C475=2,IF($M475&gt;=IFERROR(INDEX('TaxCred&amp;Subs'!$L$12:$L$47,MATCH(1,($C475&amp;$D475='TaxCred&amp;Subs'!$E$12:$E$47)*($F475='TaxCred&amp;Subs'!$C$12:$C$47),0)
),9999),IFERROR(INDEX('TaxCred&amp;Subs'!$N$12:$N$47,MATCH(1,($C475&amp;$D475='TaxCred&amp;Subs'!$E$12:$E$47)*($F475='TaxCred&amp;Subs'!$C$12:$C$47),0)
),0),0),(IF($M475&gt;=IFERROR(INDEX('TaxCred&amp;Subs'!$H$12:$H$47,MATCH(1,($C475&amp;$D475='TaxCred&amp;Subs'!$D$12:$D$47)*($F475='TaxCred&amp;Subs'!$C$12:$C$47),0)
),9999),IFERROR(INDEX('TaxCred&amp;Subs'!$N$12:$N$47,MATCH(1,($C475&amp;$D475='TaxCred&amp;Subs'!$D$12:$D$47)*($F475='TaxCred&amp;Subs'!$C$12:$C$47),0)
),0),0)))),0)+IF(AND($C475=2,VALUE(RIGHT($AD475,1))&gt;2),(N475-R475)*(IFERROR(INDEX('TaxCred&amp;Subs'!$J$66:$J$99,MATCH(1,($C475&amp;$D475='TaxCred&amp;Subs'!$E$66:$E$99)*($F475='TaxCred&amp;Subs'!$C$66:$C$99),0)),0)),IF(AND($C475=1,VALUE(RIGHT($AD475,1))&gt;2),(N475-R475)*(IFERROR(INDEX('TaxCred&amp;Subs'!$J$66:$J$99,MATCH(1,($C475&amp;$D475='TaxCred&amp;Subs'!$D$66:$D$99)*($F475='TaxCred&amp;Subs'!$C$66:$C$99),0)),0)),IF($C475&gt;2,(N475-R475)*(IFERROR(INDEX('TaxCred&amp;Subs'!$J$66:$J$99,MATCH(1,($C475&amp;$D475='TaxCred&amp;Subs'!$D$66:$D$99)*($F475='TaxCred&amp;Subs'!$C$66:$C$99),0)),0)),0))),0)</f>
        <v>0</v>
      </c>
      <c r="Q475" s="95">
        <f t="array" ref="Q475">ROUND(IF(AND($C475=2,VALUE(RIGHT($AD475,1))&gt;2),(O475-S475)*(IFERROR(INDEX('TaxCred&amp;Subs'!$J$66:$J$99,MATCH(1,($C475&amp;$D475='TaxCred&amp;Subs'!$E$66:$E$99)*($F475='TaxCred&amp;Subs'!$C$66:$C$99),0)),0)),IF(AND($C475=1,VALUE(RIGHT($AD475,1))&gt;2),(O475-S475)*(IFERROR(INDEX('TaxCred&amp;Subs'!$J$66:$J$99,MATCH(1,($C475&amp;$D475='TaxCred&amp;Subs'!$D$66:$D$99)*($F475='TaxCred&amp;Subs'!$C$66:$C$99),0)),0)),IF($C475&gt;2,(O475-S475)*(IFERROR(INDEX('TaxCred&amp;Subs'!$J$66:$J$99,MATCH(1,($C475&amp;$D475='TaxCred&amp;Subs'!$D$66:$D$99)*($F475='TaxCred&amp;Subs'!$C$66:$C$99),0)),0)),0))),0)</f>
        <v>0</v>
      </c>
      <c r="R475" s="170">
        <f t="array" ref="R475">ROUND(IF(IFERROR(VALUE(RIGHT($AD475,1)),0)&gt;2,IF($C475=8,N475*IFERROR(INDEX('TaxCred&amp;Subs'!$K$139:$S$151,MATCH($C475&amp;$D475&amp;LEFT($AD475,7),'TaxCred&amp;Subs'!$E$139:$E$151,0),MATCH($H475,'TaxCred&amp;Subs'!$K$137:$S$137,0)),0),IF($C475=2,N475*IFERROR(INDEX('TaxCred&amp;Subs'!$K$139:$S$151,MATCH($C475&amp;$D475,'TaxCred&amp;Subs'!$D$139:$D$151,0),MATCH($H475,'TaxCred&amp;Subs'!$K$137:$S$137,0)),0),N475*IFERROR(INDEX('TaxCred&amp;Subs'!$K$139:$S$151,MATCH($C475&amp;$D475,'TaxCred&amp;Subs'!$C$139:$C$151,0),MATCH($H475,'TaxCred&amp;Subs'!$K$137:$S$137,0)),0))),0),0)</f>
        <v>0</v>
      </c>
      <c r="S475" s="170">
        <f t="array" ref="S475">ROUND(IF(IFERROR(VALUE(RIGHT($AD475,1)),0)&gt;2,IF($C475=8,O475*IFERROR(INDEX('TaxCred&amp;Subs'!$K$139:$S$151,MATCH($C475&amp;$D475&amp;LEFT($AD475,7),'TaxCred&amp;Subs'!$E$139:$E$151,0),MATCH($H475,'TaxCred&amp;Subs'!$K$137:$S$137,0)),0),IF($C475=2,O475*IFERROR(INDEX('TaxCred&amp;Subs'!$K$139:$S$151,MATCH($C475&amp;$D475,'TaxCred&amp;Subs'!$D$139:$D$151,0),MATCH($H475,'TaxCred&amp;Subs'!$K$137:$S$137,0)),0),O475*IFERROR(INDEX('TaxCred&amp;Subs'!$K$139:$S$151,MATCH($C475&amp;$D475,'TaxCred&amp;Subs'!$C$139:$C$151,0),MATCH($H475,'TaxCred&amp;Subs'!$K$137:$S$137,0)),0))),0),0)</f>
        <v>0</v>
      </c>
      <c r="T475" s="95">
        <f t="shared" si="27"/>
        <v>0</v>
      </c>
      <c r="U475" s="95">
        <f t="shared" si="28"/>
        <v>0</v>
      </c>
      <c r="V475" s="28" t="s">
        <v>222</v>
      </c>
      <c r="W475" s="31">
        <v>2020</v>
      </c>
      <c r="X475" s="28">
        <v>1</v>
      </c>
      <c r="Y475" s="28">
        <v>0</v>
      </c>
      <c r="Z475" s="196">
        <v>-1.1617101682123598E-4</v>
      </c>
      <c r="AA475" s="196">
        <v>-1.7872464126343997E-3</v>
      </c>
      <c r="AB475" s="28">
        <v>0</v>
      </c>
      <c r="AC475" s="28">
        <v>0</v>
      </c>
      <c r="AD475" s="28" t="s">
        <v>209</v>
      </c>
    </row>
    <row r="476" spans="2:30" ht="14.25" customHeight="1" x14ac:dyDescent="0.2">
      <c r="B476" s="7">
        <f t="shared" si="29"/>
        <v>452</v>
      </c>
      <c r="C476" s="28">
        <v>2</v>
      </c>
      <c r="D476" s="28">
        <v>4</v>
      </c>
      <c r="E476" s="31">
        <v>14</v>
      </c>
      <c r="F476" s="96">
        <v>2020</v>
      </c>
      <c r="G476" s="28">
        <v>2021</v>
      </c>
      <c r="H476" s="28">
        <v>1</v>
      </c>
      <c r="I476" s="96">
        <v>49</v>
      </c>
      <c r="J476" s="31">
        <v>33</v>
      </c>
      <c r="K476" s="28">
        <v>0</v>
      </c>
      <c r="L476" s="28">
        <v>0</v>
      </c>
      <c r="M476" s="75">
        <v>17.100000000000001</v>
      </c>
      <c r="N476" s="151">
        <v>9500</v>
      </c>
      <c r="O476" s="79">
        <v>0</v>
      </c>
      <c r="P476" s="95">
        <f t="array" ref="P476">ROUND(IF($F476&lt;='TaxCred&amp;Subs'!$C$49,(IF($C476=2,IF($M476&gt;=IFERROR(INDEX('TaxCred&amp;Subs'!$L$12:$L$47,MATCH(1,($C476&amp;$D476='TaxCred&amp;Subs'!$E$12:$E$47)*($F476='TaxCred&amp;Subs'!$C$12:$C$47),0)
),9999),IFERROR(INDEX('TaxCred&amp;Subs'!$N$12:$N$47,MATCH(1,($C476&amp;$D476='TaxCred&amp;Subs'!$E$12:$E$47)*($F476='TaxCred&amp;Subs'!$C$12:$C$47),0)
),0),0),(IF($M476&gt;=IFERROR(INDEX('TaxCred&amp;Subs'!$H$12:$H$47,MATCH(1,($C476&amp;$D476='TaxCred&amp;Subs'!$D$12:$D$47)*($F476='TaxCred&amp;Subs'!$C$12:$C$47),0)
),9999),IFERROR(INDEX('TaxCred&amp;Subs'!$N$12:$N$47,MATCH(1,($C476&amp;$D476='TaxCred&amp;Subs'!$D$12:$D$47)*($F476='TaxCred&amp;Subs'!$C$12:$C$47),0)
),0),0)))),0)+IF(AND($C476=2,VALUE(RIGHT($AD476,1))&gt;2),(N476-R476)*(IFERROR(INDEX('TaxCred&amp;Subs'!$J$66:$J$99,MATCH(1,($C476&amp;$D476='TaxCred&amp;Subs'!$E$66:$E$99)*($F476='TaxCred&amp;Subs'!$C$66:$C$99),0)),0)),IF(AND($C476=1,VALUE(RIGHT($AD476,1))&gt;2),(N476-R476)*(IFERROR(INDEX('TaxCred&amp;Subs'!$J$66:$J$99,MATCH(1,($C476&amp;$D476='TaxCred&amp;Subs'!$D$66:$D$99)*($F476='TaxCred&amp;Subs'!$C$66:$C$99),0)),0)),IF($C476&gt;2,(N476-R476)*(IFERROR(INDEX('TaxCred&amp;Subs'!$J$66:$J$99,MATCH(1,($C476&amp;$D476='TaxCred&amp;Subs'!$D$66:$D$99)*($F476='TaxCred&amp;Subs'!$C$66:$C$99),0)),0)),0))),0)</f>
        <v>1858</v>
      </c>
      <c r="Q476" s="95">
        <f t="array" ref="Q476">ROUND(IF(AND($C476=2,VALUE(RIGHT($AD476,1))&gt;2),(O476-S476)*(IFERROR(INDEX('TaxCred&amp;Subs'!$J$66:$J$99,MATCH(1,($C476&amp;$D476='TaxCred&amp;Subs'!$E$66:$E$99)*($F476='TaxCred&amp;Subs'!$C$66:$C$99),0)),0)),IF(AND($C476=1,VALUE(RIGHT($AD476,1))&gt;2),(O476-S476)*(IFERROR(INDEX('TaxCred&amp;Subs'!$J$66:$J$99,MATCH(1,($C476&amp;$D476='TaxCred&amp;Subs'!$D$66:$D$99)*($F476='TaxCred&amp;Subs'!$C$66:$C$99),0)),0)),IF($C476&gt;2,(O476-S476)*(IFERROR(INDEX('TaxCred&amp;Subs'!$J$66:$J$99,MATCH(1,($C476&amp;$D476='TaxCred&amp;Subs'!$D$66:$D$99)*($F476='TaxCred&amp;Subs'!$C$66:$C$99),0)),0)),0))),0)</f>
        <v>0</v>
      </c>
      <c r="R476" s="170">
        <f t="array" ref="R476">ROUND(IF(IFERROR(VALUE(RIGHT($AD476,1)),0)&gt;2,IF($C476=8,N476*IFERROR(INDEX('TaxCred&amp;Subs'!$K$139:$S$151,MATCH($C476&amp;$D476&amp;LEFT($AD476,7),'TaxCred&amp;Subs'!$E$139:$E$151,0),MATCH($H476,'TaxCred&amp;Subs'!$K$137:$S$137,0)),0),IF($C476=2,N476*IFERROR(INDEX('TaxCred&amp;Subs'!$K$139:$S$151,MATCH($C476&amp;$D476,'TaxCred&amp;Subs'!$D$139:$D$151,0),MATCH($H476,'TaxCred&amp;Subs'!$K$137:$S$137,0)),0),N476*IFERROR(INDEX('TaxCred&amp;Subs'!$K$139:$S$151,MATCH($C476&amp;$D476,'TaxCred&amp;Subs'!$C$139:$C$151,0),MATCH($H476,'TaxCred&amp;Subs'!$K$137:$S$137,0)),0))),0),0)</f>
        <v>2355</v>
      </c>
      <c r="S476" s="170">
        <f t="array" ref="S476">ROUND(IF(IFERROR(VALUE(RIGHT($AD476,1)),0)&gt;2,IF($C476=8,O476*IFERROR(INDEX('TaxCred&amp;Subs'!$K$139:$S$151,MATCH($C476&amp;$D476&amp;LEFT($AD476,7),'TaxCred&amp;Subs'!$E$139:$E$151,0),MATCH($H476,'TaxCred&amp;Subs'!$K$137:$S$137,0)),0),IF($C476=2,O476*IFERROR(INDEX('TaxCred&amp;Subs'!$K$139:$S$151,MATCH($C476&amp;$D476,'TaxCred&amp;Subs'!$D$139:$D$151,0),MATCH($H476,'TaxCred&amp;Subs'!$K$137:$S$137,0)),0),O476*IFERROR(INDEX('TaxCred&amp;Subs'!$K$139:$S$151,MATCH($C476&amp;$D476,'TaxCred&amp;Subs'!$C$139:$C$151,0),MATCH($H476,'TaxCred&amp;Subs'!$K$137:$S$137,0)),0))),0),0)</f>
        <v>0</v>
      </c>
      <c r="T476" s="95">
        <f t="shared" si="27"/>
        <v>0</v>
      </c>
      <c r="U476" s="95">
        <f t="shared" si="28"/>
        <v>0</v>
      </c>
      <c r="V476" s="28" t="s">
        <v>222</v>
      </c>
      <c r="W476" s="31">
        <v>2020</v>
      </c>
      <c r="X476" s="28">
        <v>1</v>
      </c>
      <c r="Y476" s="28">
        <v>0</v>
      </c>
      <c r="Z476" s="196">
        <v>-2.1513024844954491E-4</v>
      </c>
      <c r="AA476" s="196">
        <v>-3.3096961299929986E-3</v>
      </c>
      <c r="AB476" s="28">
        <v>0</v>
      </c>
      <c r="AC476" s="28">
        <v>0</v>
      </c>
      <c r="AD476" s="28" t="s">
        <v>336</v>
      </c>
    </row>
    <row r="477" spans="2:30" ht="14.25" customHeight="1" x14ac:dyDescent="0.2">
      <c r="B477" s="7">
        <f t="shared" si="29"/>
        <v>453</v>
      </c>
      <c r="C477" s="28">
        <v>2</v>
      </c>
      <c r="D477" s="28">
        <v>4</v>
      </c>
      <c r="E477" s="31">
        <v>14</v>
      </c>
      <c r="F477" s="96">
        <v>2020</v>
      </c>
      <c r="G477" s="28">
        <v>2021</v>
      </c>
      <c r="H477" s="28">
        <v>2</v>
      </c>
      <c r="I477" s="96">
        <v>49</v>
      </c>
      <c r="J477" s="31">
        <v>33</v>
      </c>
      <c r="K477" s="28">
        <v>0</v>
      </c>
      <c r="L477" s="28">
        <v>0</v>
      </c>
      <c r="M477" s="75">
        <v>17.100000000000001</v>
      </c>
      <c r="N477" s="151">
        <v>9500</v>
      </c>
      <c r="O477" s="79">
        <v>0</v>
      </c>
      <c r="P477" s="95">
        <f t="array" ref="P477">ROUND(IF($F477&lt;='TaxCred&amp;Subs'!$C$49,(IF($C477=2,IF($M477&gt;=IFERROR(INDEX('TaxCred&amp;Subs'!$L$12:$L$47,MATCH(1,($C477&amp;$D477='TaxCred&amp;Subs'!$E$12:$E$47)*($F477='TaxCred&amp;Subs'!$C$12:$C$47),0)
),9999),IFERROR(INDEX('TaxCred&amp;Subs'!$N$12:$N$47,MATCH(1,($C477&amp;$D477='TaxCred&amp;Subs'!$E$12:$E$47)*($F477='TaxCred&amp;Subs'!$C$12:$C$47),0)
),0),0),(IF($M477&gt;=IFERROR(INDEX('TaxCred&amp;Subs'!$H$12:$H$47,MATCH(1,($C477&amp;$D477='TaxCred&amp;Subs'!$D$12:$D$47)*($F477='TaxCred&amp;Subs'!$C$12:$C$47),0)
),9999),IFERROR(INDEX('TaxCred&amp;Subs'!$N$12:$N$47,MATCH(1,($C477&amp;$D477='TaxCred&amp;Subs'!$D$12:$D$47)*($F477='TaxCred&amp;Subs'!$C$12:$C$47),0)
),0),0)))),0)+IF(AND($C477=2,VALUE(RIGHT($AD477,1))&gt;2),(N477-R477)*(IFERROR(INDEX('TaxCred&amp;Subs'!$J$66:$J$99,MATCH(1,($C477&amp;$D477='TaxCred&amp;Subs'!$E$66:$E$99)*($F477='TaxCred&amp;Subs'!$C$66:$C$99),0)),0)),IF(AND($C477=1,VALUE(RIGHT($AD477,1))&gt;2),(N477-R477)*(IFERROR(INDEX('TaxCred&amp;Subs'!$J$66:$J$99,MATCH(1,($C477&amp;$D477='TaxCred&amp;Subs'!$D$66:$D$99)*($F477='TaxCred&amp;Subs'!$C$66:$C$99),0)),0)),IF($C477&gt;2,(N477-R477)*(IFERROR(INDEX('TaxCred&amp;Subs'!$J$66:$J$99,MATCH(1,($C477&amp;$D477='TaxCred&amp;Subs'!$D$66:$D$99)*($F477='TaxCred&amp;Subs'!$C$66:$C$99),0)),0)),0))),0)</f>
        <v>2217</v>
      </c>
      <c r="Q477" s="95">
        <f t="array" ref="Q477">ROUND(IF(AND($C477=2,VALUE(RIGHT($AD477,1))&gt;2),(O477-S477)*(IFERROR(INDEX('TaxCred&amp;Subs'!$J$66:$J$99,MATCH(1,($C477&amp;$D477='TaxCred&amp;Subs'!$E$66:$E$99)*($F477='TaxCred&amp;Subs'!$C$66:$C$99),0)),0)),IF(AND($C477=1,VALUE(RIGHT($AD477,1))&gt;2),(O477-S477)*(IFERROR(INDEX('TaxCred&amp;Subs'!$J$66:$J$99,MATCH(1,($C477&amp;$D477='TaxCred&amp;Subs'!$D$66:$D$99)*($F477='TaxCred&amp;Subs'!$C$66:$C$99),0)),0)),IF($C477&gt;2,(O477-S477)*(IFERROR(INDEX('TaxCred&amp;Subs'!$J$66:$J$99,MATCH(1,($C477&amp;$D477='TaxCred&amp;Subs'!$D$66:$D$99)*($F477='TaxCred&amp;Subs'!$C$66:$C$99),0)),0)),0))),0)</f>
        <v>0</v>
      </c>
      <c r="R477" s="170">
        <f t="array" ref="R477">ROUND(IF(IFERROR(VALUE(RIGHT($AD477,1)),0)&gt;2,IF($C477=8,N477*IFERROR(INDEX('TaxCred&amp;Subs'!$K$139:$S$151,MATCH($C477&amp;$D477&amp;LEFT($AD477,7),'TaxCred&amp;Subs'!$E$139:$E$151,0),MATCH($H477,'TaxCred&amp;Subs'!$K$137:$S$137,0)),0),IF($C477=2,N477*IFERROR(INDEX('TaxCred&amp;Subs'!$K$139:$S$151,MATCH($C477&amp;$D477,'TaxCred&amp;Subs'!$D$139:$D$151,0),MATCH($H477,'TaxCred&amp;Subs'!$K$137:$S$137,0)),0),N477*IFERROR(INDEX('TaxCred&amp;Subs'!$K$139:$S$151,MATCH($C477&amp;$D477,'TaxCred&amp;Subs'!$C$139:$C$151,0),MATCH($H477,'TaxCred&amp;Subs'!$K$137:$S$137,0)),0))),0),0)</f>
        <v>972</v>
      </c>
      <c r="S477" s="170">
        <f t="array" ref="S477">ROUND(IF(IFERROR(VALUE(RIGHT($AD477,1)),0)&gt;2,IF($C477=8,O477*IFERROR(INDEX('TaxCred&amp;Subs'!$K$139:$S$151,MATCH($C477&amp;$D477&amp;LEFT($AD477,7),'TaxCred&amp;Subs'!$E$139:$E$151,0),MATCH($H477,'TaxCred&amp;Subs'!$K$137:$S$137,0)),0),IF($C477=2,O477*IFERROR(INDEX('TaxCred&amp;Subs'!$K$139:$S$151,MATCH($C477&amp;$D477,'TaxCred&amp;Subs'!$D$139:$D$151,0),MATCH($H477,'TaxCred&amp;Subs'!$K$137:$S$137,0)),0),O477*IFERROR(INDEX('TaxCred&amp;Subs'!$K$139:$S$151,MATCH($C477&amp;$D477,'TaxCred&amp;Subs'!$C$139:$C$151,0),MATCH($H477,'TaxCred&amp;Subs'!$K$137:$S$137,0)),0))),0),0)</f>
        <v>0</v>
      </c>
      <c r="T477" s="95">
        <f t="shared" si="27"/>
        <v>0</v>
      </c>
      <c r="U477" s="95">
        <f t="shared" si="28"/>
        <v>0</v>
      </c>
      <c r="V477" s="28" t="s">
        <v>222</v>
      </c>
      <c r="W477" s="31">
        <v>2020</v>
      </c>
      <c r="X477" s="28">
        <v>1</v>
      </c>
      <c r="Y477" s="28">
        <v>0</v>
      </c>
      <c r="Z477" s="196">
        <v>-2.1513024844954491E-4</v>
      </c>
      <c r="AA477" s="196">
        <v>-3.3096961299929986E-3</v>
      </c>
      <c r="AB477" s="28">
        <v>0</v>
      </c>
      <c r="AC477" s="28">
        <v>0</v>
      </c>
      <c r="AD477" s="28" t="s">
        <v>336</v>
      </c>
    </row>
    <row r="478" spans="2:30" ht="14.25" customHeight="1" x14ac:dyDescent="0.2">
      <c r="B478" s="7">
        <f t="shared" si="29"/>
        <v>454</v>
      </c>
      <c r="C478" s="28">
        <v>2</v>
      </c>
      <c r="D478" s="28">
        <v>4</v>
      </c>
      <c r="E478" s="31">
        <v>14</v>
      </c>
      <c r="F478" s="96">
        <v>2020</v>
      </c>
      <c r="G478" s="28">
        <v>2021</v>
      </c>
      <c r="H478" s="28">
        <v>3</v>
      </c>
      <c r="I478" s="96">
        <v>49</v>
      </c>
      <c r="J478" s="31">
        <v>33</v>
      </c>
      <c r="K478" s="28">
        <v>0</v>
      </c>
      <c r="L478" s="28">
        <v>0</v>
      </c>
      <c r="M478" s="75">
        <v>17.100000000000001</v>
      </c>
      <c r="N478" s="151">
        <v>9500</v>
      </c>
      <c r="O478" s="79">
        <v>0</v>
      </c>
      <c r="P478" s="95">
        <f t="array" ref="P478">ROUND(IF($F478&lt;='TaxCred&amp;Subs'!$C$49,(IF($C478=2,IF($M478&gt;=IFERROR(INDEX('TaxCred&amp;Subs'!$L$12:$L$47,MATCH(1,($C478&amp;$D478='TaxCred&amp;Subs'!$E$12:$E$47)*($F478='TaxCred&amp;Subs'!$C$12:$C$47),0)
),9999),IFERROR(INDEX('TaxCred&amp;Subs'!$N$12:$N$47,MATCH(1,($C478&amp;$D478='TaxCred&amp;Subs'!$E$12:$E$47)*($F478='TaxCred&amp;Subs'!$C$12:$C$47),0)
),0),0),(IF($M478&gt;=IFERROR(INDEX('TaxCred&amp;Subs'!$H$12:$H$47,MATCH(1,($C478&amp;$D478='TaxCred&amp;Subs'!$D$12:$D$47)*($F478='TaxCred&amp;Subs'!$C$12:$C$47),0)
),9999),IFERROR(INDEX('TaxCred&amp;Subs'!$N$12:$N$47,MATCH(1,($C478&amp;$D478='TaxCred&amp;Subs'!$D$12:$D$47)*($F478='TaxCred&amp;Subs'!$C$12:$C$47),0)
),0),0)))),0)+IF(AND($C478=2,VALUE(RIGHT($AD478,1))&gt;2),(N478-R478)*(IFERROR(INDEX('TaxCred&amp;Subs'!$J$66:$J$99,MATCH(1,($C478&amp;$D478='TaxCred&amp;Subs'!$E$66:$E$99)*($F478='TaxCred&amp;Subs'!$C$66:$C$99),0)),0)),IF(AND($C478=1,VALUE(RIGHT($AD478,1))&gt;2),(N478-R478)*(IFERROR(INDEX('TaxCred&amp;Subs'!$J$66:$J$99,MATCH(1,($C478&amp;$D478='TaxCred&amp;Subs'!$D$66:$D$99)*($F478='TaxCred&amp;Subs'!$C$66:$C$99),0)),0)),IF($C478&gt;2,(N478-R478)*(IFERROR(INDEX('TaxCred&amp;Subs'!$J$66:$J$99,MATCH(1,($C478&amp;$D478='TaxCred&amp;Subs'!$D$66:$D$99)*($F478='TaxCred&amp;Subs'!$C$66:$C$99),0)),0)),0))),0)</f>
        <v>2271</v>
      </c>
      <c r="Q478" s="95">
        <f t="array" ref="Q478">ROUND(IF(AND($C478=2,VALUE(RIGHT($AD478,1))&gt;2),(O478-S478)*(IFERROR(INDEX('TaxCred&amp;Subs'!$J$66:$J$99,MATCH(1,($C478&amp;$D478='TaxCred&amp;Subs'!$E$66:$E$99)*($F478='TaxCred&amp;Subs'!$C$66:$C$99),0)),0)),IF(AND($C478=1,VALUE(RIGHT($AD478,1))&gt;2),(O478-S478)*(IFERROR(INDEX('TaxCred&amp;Subs'!$J$66:$J$99,MATCH(1,($C478&amp;$D478='TaxCred&amp;Subs'!$D$66:$D$99)*($F478='TaxCred&amp;Subs'!$C$66:$C$99),0)),0)),IF($C478&gt;2,(O478-S478)*(IFERROR(INDEX('TaxCred&amp;Subs'!$J$66:$J$99,MATCH(1,($C478&amp;$D478='TaxCred&amp;Subs'!$D$66:$D$99)*($F478='TaxCred&amp;Subs'!$C$66:$C$99),0)),0)),0))),0)</f>
        <v>0</v>
      </c>
      <c r="R478" s="170">
        <f t="array" ref="R478">ROUND(IF(IFERROR(VALUE(RIGHT($AD478,1)),0)&gt;2,IF($C478=8,N478*IFERROR(INDEX('TaxCred&amp;Subs'!$K$139:$S$151,MATCH($C478&amp;$D478&amp;LEFT($AD478,7),'TaxCred&amp;Subs'!$E$139:$E$151,0),MATCH($H478,'TaxCred&amp;Subs'!$K$137:$S$137,0)),0),IF($C478=2,N478*IFERROR(INDEX('TaxCred&amp;Subs'!$K$139:$S$151,MATCH($C478&amp;$D478,'TaxCred&amp;Subs'!$D$139:$D$151,0),MATCH($H478,'TaxCred&amp;Subs'!$K$137:$S$137,0)),0),N478*IFERROR(INDEX('TaxCred&amp;Subs'!$K$139:$S$151,MATCH($C478&amp;$D478,'TaxCred&amp;Subs'!$C$139:$C$151,0),MATCH($H478,'TaxCred&amp;Subs'!$K$137:$S$137,0)),0))),0),0)</f>
        <v>765</v>
      </c>
      <c r="S478" s="170">
        <f t="array" ref="S478">ROUND(IF(IFERROR(VALUE(RIGHT($AD478,1)),0)&gt;2,IF($C478=8,O478*IFERROR(INDEX('TaxCred&amp;Subs'!$K$139:$S$151,MATCH($C478&amp;$D478&amp;LEFT($AD478,7),'TaxCred&amp;Subs'!$E$139:$E$151,0),MATCH($H478,'TaxCred&amp;Subs'!$K$137:$S$137,0)),0),IF($C478=2,O478*IFERROR(INDEX('TaxCred&amp;Subs'!$K$139:$S$151,MATCH($C478&amp;$D478,'TaxCred&amp;Subs'!$D$139:$D$151,0),MATCH($H478,'TaxCred&amp;Subs'!$K$137:$S$137,0)),0),O478*IFERROR(INDEX('TaxCred&amp;Subs'!$K$139:$S$151,MATCH($C478&amp;$D478,'TaxCred&amp;Subs'!$C$139:$C$151,0),MATCH($H478,'TaxCred&amp;Subs'!$K$137:$S$137,0)),0))),0),0)</f>
        <v>0</v>
      </c>
      <c r="T478" s="95">
        <f t="shared" si="27"/>
        <v>0</v>
      </c>
      <c r="U478" s="95">
        <f t="shared" si="28"/>
        <v>0</v>
      </c>
      <c r="V478" s="28" t="s">
        <v>222</v>
      </c>
      <c r="W478" s="31">
        <v>2020</v>
      </c>
      <c r="X478" s="28">
        <v>1</v>
      </c>
      <c r="Y478" s="28">
        <v>0</v>
      </c>
      <c r="Z478" s="196">
        <v>-2.1513024844954491E-4</v>
      </c>
      <c r="AA478" s="196">
        <v>-3.3096961299929986E-3</v>
      </c>
      <c r="AB478" s="28">
        <v>0</v>
      </c>
      <c r="AC478" s="28">
        <v>0</v>
      </c>
      <c r="AD478" s="28" t="s">
        <v>336</v>
      </c>
    </row>
    <row r="479" spans="2:30" ht="14.25" customHeight="1" x14ac:dyDescent="0.2">
      <c r="B479" s="7">
        <f t="shared" si="29"/>
        <v>455</v>
      </c>
      <c r="C479" s="28">
        <v>2</v>
      </c>
      <c r="D479" s="28">
        <v>4</v>
      </c>
      <c r="E479" s="31">
        <v>14</v>
      </c>
      <c r="F479" s="96">
        <v>2020</v>
      </c>
      <c r="G479" s="28">
        <v>2021</v>
      </c>
      <c r="H479" s="28">
        <v>4</v>
      </c>
      <c r="I479" s="96">
        <v>49</v>
      </c>
      <c r="J479" s="31">
        <v>33</v>
      </c>
      <c r="K479" s="28">
        <v>0</v>
      </c>
      <c r="L479" s="28">
        <v>0</v>
      </c>
      <c r="M479" s="75">
        <v>17.100000000000001</v>
      </c>
      <c r="N479" s="151">
        <v>9500</v>
      </c>
      <c r="O479" s="79">
        <v>0</v>
      </c>
      <c r="P479" s="95">
        <f t="array" ref="P479">ROUND(IF($F479&lt;='TaxCred&amp;Subs'!$C$49,(IF($C479=2,IF($M479&gt;=IFERROR(INDEX('TaxCred&amp;Subs'!$L$12:$L$47,MATCH(1,($C479&amp;$D479='TaxCred&amp;Subs'!$E$12:$E$47)*($F479='TaxCred&amp;Subs'!$C$12:$C$47),0)
),9999),IFERROR(INDEX('TaxCred&amp;Subs'!$N$12:$N$47,MATCH(1,($C479&amp;$D479='TaxCred&amp;Subs'!$E$12:$E$47)*($F479='TaxCred&amp;Subs'!$C$12:$C$47),0)
),0),0),(IF($M479&gt;=IFERROR(INDEX('TaxCred&amp;Subs'!$H$12:$H$47,MATCH(1,($C479&amp;$D479='TaxCred&amp;Subs'!$D$12:$D$47)*($F479='TaxCred&amp;Subs'!$C$12:$C$47),0)
),9999),IFERROR(INDEX('TaxCred&amp;Subs'!$N$12:$N$47,MATCH(1,($C479&amp;$D479='TaxCred&amp;Subs'!$D$12:$D$47)*($F479='TaxCred&amp;Subs'!$C$12:$C$47),0)
),0),0)))),0)+IF(AND($C479=2,VALUE(RIGHT($AD479,1))&gt;2),(N479-R479)*(IFERROR(INDEX('TaxCred&amp;Subs'!$J$66:$J$99,MATCH(1,($C479&amp;$D479='TaxCred&amp;Subs'!$E$66:$E$99)*($F479='TaxCred&amp;Subs'!$C$66:$C$99),0)),0)),IF(AND($C479=1,VALUE(RIGHT($AD479,1))&gt;2),(N479-R479)*(IFERROR(INDEX('TaxCred&amp;Subs'!$J$66:$J$99,MATCH(1,($C479&amp;$D479='TaxCred&amp;Subs'!$D$66:$D$99)*($F479='TaxCred&amp;Subs'!$C$66:$C$99),0)),0)),IF($C479&gt;2,(N479-R479)*(IFERROR(INDEX('TaxCred&amp;Subs'!$J$66:$J$99,MATCH(1,($C479&amp;$D479='TaxCred&amp;Subs'!$D$66:$D$99)*($F479='TaxCred&amp;Subs'!$C$66:$C$99),0)),0)),0))),0)</f>
        <v>2311</v>
      </c>
      <c r="Q479" s="95">
        <f t="array" ref="Q479">ROUND(IF(AND($C479=2,VALUE(RIGHT($AD479,1))&gt;2),(O479-S479)*(IFERROR(INDEX('TaxCred&amp;Subs'!$J$66:$J$99,MATCH(1,($C479&amp;$D479='TaxCred&amp;Subs'!$E$66:$E$99)*($F479='TaxCred&amp;Subs'!$C$66:$C$99),0)),0)),IF(AND($C479=1,VALUE(RIGHT($AD479,1))&gt;2),(O479-S479)*(IFERROR(INDEX('TaxCred&amp;Subs'!$J$66:$J$99,MATCH(1,($C479&amp;$D479='TaxCred&amp;Subs'!$D$66:$D$99)*($F479='TaxCred&amp;Subs'!$C$66:$C$99),0)),0)),IF($C479&gt;2,(O479-S479)*(IFERROR(INDEX('TaxCred&amp;Subs'!$J$66:$J$99,MATCH(1,($C479&amp;$D479='TaxCred&amp;Subs'!$D$66:$D$99)*($F479='TaxCred&amp;Subs'!$C$66:$C$99),0)),0)),0))),0)</f>
        <v>0</v>
      </c>
      <c r="R479" s="170">
        <f t="array" ref="R479">ROUND(IF(IFERROR(VALUE(RIGHT($AD479,1)),0)&gt;2,IF($C479=8,N479*IFERROR(INDEX('TaxCred&amp;Subs'!$K$139:$S$151,MATCH($C479&amp;$D479&amp;LEFT($AD479,7),'TaxCred&amp;Subs'!$E$139:$E$151,0),MATCH($H479,'TaxCred&amp;Subs'!$K$137:$S$137,0)),0),IF($C479=2,N479*IFERROR(INDEX('TaxCred&amp;Subs'!$K$139:$S$151,MATCH($C479&amp;$D479,'TaxCred&amp;Subs'!$D$139:$D$151,0),MATCH($H479,'TaxCred&amp;Subs'!$K$137:$S$137,0)),0),N479*IFERROR(INDEX('TaxCred&amp;Subs'!$K$139:$S$151,MATCH($C479&amp;$D479,'TaxCred&amp;Subs'!$C$139:$C$151,0),MATCH($H479,'TaxCred&amp;Subs'!$K$137:$S$137,0)),0))),0),0)</f>
        <v>612</v>
      </c>
      <c r="S479" s="170">
        <f t="array" ref="S479">ROUND(IF(IFERROR(VALUE(RIGHT($AD479,1)),0)&gt;2,IF($C479=8,O479*IFERROR(INDEX('TaxCred&amp;Subs'!$K$139:$S$151,MATCH($C479&amp;$D479&amp;LEFT($AD479,7),'TaxCred&amp;Subs'!$E$139:$E$151,0),MATCH($H479,'TaxCred&amp;Subs'!$K$137:$S$137,0)),0),IF($C479=2,O479*IFERROR(INDEX('TaxCred&amp;Subs'!$K$139:$S$151,MATCH($C479&amp;$D479,'TaxCred&amp;Subs'!$D$139:$D$151,0),MATCH($H479,'TaxCred&amp;Subs'!$K$137:$S$137,0)),0),O479*IFERROR(INDEX('TaxCred&amp;Subs'!$K$139:$S$151,MATCH($C479&amp;$D479,'TaxCred&amp;Subs'!$C$139:$C$151,0),MATCH($H479,'TaxCred&amp;Subs'!$K$137:$S$137,0)),0))),0),0)</f>
        <v>0</v>
      </c>
      <c r="T479" s="95">
        <f t="shared" si="27"/>
        <v>0</v>
      </c>
      <c r="U479" s="95">
        <f t="shared" si="28"/>
        <v>0</v>
      </c>
      <c r="V479" s="28" t="s">
        <v>222</v>
      </c>
      <c r="W479" s="31">
        <v>2020</v>
      </c>
      <c r="X479" s="28">
        <v>1</v>
      </c>
      <c r="Y479" s="28">
        <v>0</v>
      </c>
      <c r="Z479" s="196">
        <v>-2.1513024844954491E-4</v>
      </c>
      <c r="AA479" s="196">
        <v>-3.3096961299929986E-3</v>
      </c>
      <c r="AB479" s="28">
        <v>0</v>
      </c>
      <c r="AC479" s="28">
        <v>0</v>
      </c>
      <c r="AD479" s="28" t="s">
        <v>336</v>
      </c>
    </row>
    <row r="480" spans="2:30" ht="14.25" customHeight="1" x14ac:dyDescent="0.2">
      <c r="B480" s="7">
        <f t="shared" si="29"/>
        <v>456</v>
      </c>
      <c r="C480" s="28">
        <v>2</v>
      </c>
      <c r="D480" s="28">
        <v>4</v>
      </c>
      <c r="E480" s="31">
        <v>14</v>
      </c>
      <c r="F480" s="96">
        <v>2020</v>
      </c>
      <c r="G480" s="28">
        <v>2021</v>
      </c>
      <c r="H480" s="28">
        <v>5</v>
      </c>
      <c r="I480" s="96">
        <v>49</v>
      </c>
      <c r="J480" s="31">
        <v>33</v>
      </c>
      <c r="K480" s="28">
        <v>0</v>
      </c>
      <c r="L480" s="28">
        <v>0</v>
      </c>
      <c r="M480" s="75">
        <v>17.100000000000001</v>
      </c>
      <c r="N480" s="151">
        <v>9500</v>
      </c>
      <c r="O480" s="79">
        <v>0</v>
      </c>
      <c r="P480" s="95">
        <f t="array" ref="P480">ROUND(IF($F480&lt;='TaxCred&amp;Subs'!$C$49,(IF($C480=2,IF($M480&gt;=IFERROR(INDEX('TaxCred&amp;Subs'!$L$12:$L$47,MATCH(1,($C480&amp;$D480='TaxCred&amp;Subs'!$E$12:$E$47)*($F480='TaxCred&amp;Subs'!$C$12:$C$47),0)
),9999),IFERROR(INDEX('TaxCred&amp;Subs'!$N$12:$N$47,MATCH(1,($C480&amp;$D480='TaxCred&amp;Subs'!$E$12:$E$47)*($F480='TaxCred&amp;Subs'!$C$12:$C$47),0)
),0),0),(IF($M480&gt;=IFERROR(INDEX('TaxCred&amp;Subs'!$H$12:$H$47,MATCH(1,($C480&amp;$D480='TaxCred&amp;Subs'!$D$12:$D$47)*($F480='TaxCred&amp;Subs'!$C$12:$C$47),0)
),9999),IFERROR(INDEX('TaxCred&amp;Subs'!$N$12:$N$47,MATCH(1,($C480&amp;$D480='TaxCred&amp;Subs'!$D$12:$D$47)*($F480='TaxCred&amp;Subs'!$C$12:$C$47),0)
),0),0)))),0)+IF(AND($C480=2,VALUE(RIGHT($AD480,1))&gt;2),(N480-R480)*(IFERROR(INDEX('TaxCred&amp;Subs'!$J$66:$J$99,MATCH(1,($C480&amp;$D480='TaxCred&amp;Subs'!$E$66:$E$99)*($F480='TaxCred&amp;Subs'!$C$66:$C$99),0)),0)),IF(AND($C480=1,VALUE(RIGHT($AD480,1))&gt;2),(N480-R480)*(IFERROR(INDEX('TaxCred&amp;Subs'!$J$66:$J$99,MATCH(1,($C480&amp;$D480='TaxCred&amp;Subs'!$D$66:$D$99)*($F480='TaxCred&amp;Subs'!$C$66:$C$99),0)),0)),IF($C480&gt;2,(N480-R480)*(IFERROR(INDEX('TaxCred&amp;Subs'!$J$66:$J$99,MATCH(1,($C480&amp;$D480='TaxCred&amp;Subs'!$D$66:$D$99)*($F480='TaxCred&amp;Subs'!$C$66:$C$99),0)),0)),0))),0)</f>
        <v>2298</v>
      </c>
      <c r="Q480" s="95">
        <f t="array" ref="Q480">ROUND(IF(AND($C480=2,VALUE(RIGHT($AD480,1))&gt;2),(O480-S480)*(IFERROR(INDEX('TaxCred&amp;Subs'!$J$66:$J$99,MATCH(1,($C480&amp;$D480='TaxCred&amp;Subs'!$E$66:$E$99)*($F480='TaxCred&amp;Subs'!$C$66:$C$99),0)),0)),IF(AND($C480=1,VALUE(RIGHT($AD480,1))&gt;2),(O480-S480)*(IFERROR(INDEX('TaxCred&amp;Subs'!$J$66:$J$99,MATCH(1,($C480&amp;$D480='TaxCred&amp;Subs'!$D$66:$D$99)*($F480='TaxCred&amp;Subs'!$C$66:$C$99),0)),0)),IF($C480&gt;2,(O480-S480)*(IFERROR(INDEX('TaxCred&amp;Subs'!$J$66:$J$99,MATCH(1,($C480&amp;$D480='TaxCred&amp;Subs'!$D$66:$D$99)*($F480='TaxCred&amp;Subs'!$C$66:$C$99),0)),0)),0))),0)</f>
        <v>0</v>
      </c>
      <c r="R480" s="170">
        <f t="array" ref="R480">ROUND(IF(IFERROR(VALUE(RIGHT($AD480,1)),0)&gt;2,IF($C480=8,N480*IFERROR(INDEX('TaxCred&amp;Subs'!$K$139:$S$151,MATCH($C480&amp;$D480&amp;LEFT($AD480,7),'TaxCred&amp;Subs'!$E$139:$E$151,0),MATCH($H480,'TaxCred&amp;Subs'!$K$137:$S$137,0)),0),IF($C480=2,N480*IFERROR(INDEX('TaxCred&amp;Subs'!$K$139:$S$151,MATCH($C480&amp;$D480,'TaxCred&amp;Subs'!$D$139:$D$151,0),MATCH($H480,'TaxCred&amp;Subs'!$K$137:$S$137,0)),0),N480*IFERROR(INDEX('TaxCred&amp;Subs'!$K$139:$S$151,MATCH($C480&amp;$D480,'TaxCred&amp;Subs'!$C$139:$C$151,0),MATCH($H480,'TaxCred&amp;Subs'!$K$137:$S$137,0)),0))),0),0)</f>
        <v>663</v>
      </c>
      <c r="S480" s="170">
        <f t="array" ref="S480">ROUND(IF(IFERROR(VALUE(RIGHT($AD480,1)),0)&gt;2,IF($C480=8,O480*IFERROR(INDEX('TaxCred&amp;Subs'!$K$139:$S$151,MATCH($C480&amp;$D480&amp;LEFT($AD480,7),'TaxCred&amp;Subs'!$E$139:$E$151,0),MATCH($H480,'TaxCred&amp;Subs'!$K$137:$S$137,0)),0),IF($C480=2,O480*IFERROR(INDEX('TaxCred&amp;Subs'!$K$139:$S$151,MATCH($C480&amp;$D480,'TaxCred&amp;Subs'!$D$139:$D$151,0),MATCH($H480,'TaxCred&amp;Subs'!$K$137:$S$137,0)),0),O480*IFERROR(INDEX('TaxCred&amp;Subs'!$K$139:$S$151,MATCH($C480&amp;$D480,'TaxCred&amp;Subs'!$C$139:$C$151,0),MATCH($H480,'TaxCred&amp;Subs'!$K$137:$S$137,0)),0))),0),0)</f>
        <v>0</v>
      </c>
      <c r="T480" s="95">
        <f t="shared" si="27"/>
        <v>0</v>
      </c>
      <c r="U480" s="95">
        <f t="shared" si="28"/>
        <v>0</v>
      </c>
      <c r="V480" s="28" t="s">
        <v>222</v>
      </c>
      <c r="W480" s="31">
        <v>2020</v>
      </c>
      <c r="X480" s="28">
        <v>1</v>
      </c>
      <c r="Y480" s="28">
        <v>0</v>
      </c>
      <c r="Z480" s="196">
        <v>-2.1513024844954491E-4</v>
      </c>
      <c r="AA480" s="196">
        <v>-3.3096961299929986E-3</v>
      </c>
      <c r="AB480" s="28">
        <v>0</v>
      </c>
      <c r="AC480" s="28">
        <v>0</v>
      </c>
      <c r="AD480" s="28" t="s">
        <v>336</v>
      </c>
    </row>
    <row r="481" spans="2:30" ht="14.25" customHeight="1" x14ac:dyDescent="0.2">
      <c r="B481" s="7">
        <f t="shared" si="29"/>
        <v>457</v>
      </c>
      <c r="C481" s="28">
        <v>2</v>
      </c>
      <c r="D481" s="28">
        <v>4</v>
      </c>
      <c r="E481" s="31">
        <v>14</v>
      </c>
      <c r="F481" s="96">
        <v>2020</v>
      </c>
      <c r="G481" s="28">
        <v>2021</v>
      </c>
      <c r="H481" s="28">
        <v>6</v>
      </c>
      <c r="I481" s="96">
        <v>49</v>
      </c>
      <c r="J481" s="31">
        <v>33</v>
      </c>
      <c r="K481" s="28">
        <v>0</v>
      </c>
      <c r="L481" s="28">
        <v>0</v>
      </c>
      <c r="M481" s="75">
        <v>17.100000000000001</v>
      </c>
      <c r="N481" s="151">
        <v>9500</v>
      </c>
      <c r="O481" s="79">
        <v>0</v>
      </c>
      <c r="P481" s="95">
        <f t="array" ref="P481">ROUND(IF($F481&lt;='TaxCred&amp;Subs'!$C$49,(IF($C481=2,IF($M481&gt;=IFERROR(INDEX('TaxCred&amp;Subs'!$L$12:$L$47,MATCH(1,($C481&amp;$D481='TaxCred&amp;Subs'!$E$12:$E$47)*($F481='TaxCred&amp;Subs'!$C$12:$C$47),0)
),9999),IFERROR(INDEX('TaxCred&amp;Subs'!$N$12:$N$47,MATCH(1,($C481&amp;$D481='TaxCred&amp;Subs'!$E$12:$E$47)*($F481='TaxCred&amp;Subs'!$C$12:$C$47),0)
),0),0),(IF($M481&gt;=IFERROR(INDEX('TaxCred&amp;Subs'!$H$12:$H$47,MATCH(1,($C481&amp;$D481='TaxCred&amp;Subs'!$D$12:$D$47)*($F481='TaxCred&amp;Subs'!$C$12:$C$47),0)
),9999),IFERROR(INDEX('TaxCred&amp;Subs'!$N$12:$N$47,MATCH(1,($C481&amp;$D481='TaxCred&amp;Subs'!$D$12:$D$47)*($F481='TaxCred&amp;Subs'!$C$12:$C$47),0)
),0),0)))),0)+IF(AND($C481=2,VALUE(RIGHT($AD481,1))&gt;2),(N481-R481)*(IFERROR(INDEX('TaxCred&amp;Subs'!$J$66:$J$99,MATCH(1,($C481&amp;$D481='TaxCred&amp;Subs'!$E$66:$E$99)*($F481='TaxCred&amp;Subs'!$C$66:$C$99),0)),0)),IF(AND($C481=1,VALUE(RIGHT($AD481,1))&gt;2),(N481-R481)*(IFERROR(INDEX('TaxCred&amp;Subs'!$J$66:$J$99,MATCH(1,($C481&amp;$D481='TaxCred&amp;Subs'!$D$66:$D$99)*($F481='TaxCred&amp;Subs'!$C$66:$C$99),0)),0)),IF($C481&gt;2,(N481-R481)*(IFERROR(INDEX('TaxCred&amp;Subs'!$J$66:$J$99,MATCH(1,($C481&amp;$D481='TaxCred&amp;Subs'!$D$66:$D$99)*($F481='TaxCred&amp;Subs'!$C$66:$C$99),0)),0)),0))),0)</f>
        <v>2252</v>
      </c>
      <c r="Q481" s="95">
        <f t="array" ref="Q481">ROUND(IF(AND($C481=2,VALUE(RIGHT($AD481,1))&gt;2),(O481-S481)*(IFERROR(INDEX('TaxCred&amp;Subs'!$J$66:$J$99,MATCH(1,($C481&amp;$D481='TaxCred&amp;Subs'!$E$66:$E$99)*($F481='TaxCred&amp;Subs'!$C$66:$C$99),0)),0)),IF(AND($C481=1,VALUE(RIGHT($AD481,1))&gt;2),(O481-S481)*(IFERROR(INDEX('TaxCred&amp;Subs'!$J$66:$J$99,MATCH(1,($C481&amp;$D481='TaxCred&amp;Subs'!$D$66:$D$99)*($F481='TaxCred&amp;Subs'!$C$66:$C$99),0)),0)),IF($C481&gt;2,(O481-S481)*(IFERROR(INDEX('TaxCred&amp;Subs'!$J$66:$J$99,MATCH(1,($C481&amp;$D481='TaxCred&amp;Subs'!$D$66:$D$99)*($F481='TaxCred&amp;Subs'!$C$66:$C$99),0)),0)),0))),0)</f>
        <v>0</v>
      </c>
      <c r="R481" s="170">
        <f t="array" ref="R481">ROUND(IF(IFERROR(VALUE(RIGHT($AD481,1)),0)&gt;2,IF($C481=8,N481*IFERROR(INDEX('TaxCred&amp;Subs'!$K$139:$S$151,MATCH($C481&amp;$D481&amp;LEFT($AD481,7),'TaxCred&amp;Subs'!$E$139:$E$151,0),MATCH($H481,'TaxCred&amp;Subs'!$K$137:$S$137,0)),0),IF($C481=2,N481*IFERROR(INDEX('TaxCred&amp;Subs'!$K$139:$S$151,MATCH($C481&amp;$D481,'TaxCred&amp;Subs'!$D$139:$D$151,0),MATCH($H481,'TaxCred&amp;Subs'!$K$137:$S$137,0)),0),N481*IFERROR(INDEX('TaxCred&amp;Subs'!$K$139:$S$151,MATCH($C481&amp;$D481,'TaxCred&amp;Subs'!$C$139:$C$151,0),MATCH($H481,'TaxCred&amp;Subs'!$K$137:$S$137,0)),0))),0),0)</f>
        <v>837</v>
      </c>
      <c r="S481" s="170">
        <f t="array" ref="S481">ROUND(IF(IFERROR(VALUE(RIGHT($AD481,1)),0)&gt;2,IF($C481=8,O481*IFERROR(INDEX('TaxCred&amp;Subs'!$K$139:$S$151,MATCH($C481&amp;$D481&amp;LEFT($AD481,7),'TaxCred&amp;Subs'!$E$139:$E$151,0),MATCH($H481,'TaxCred&amp;Subs'!$K$137:$S$137,0)),0),IF($C481=2,O481*IFERROR(INDEX('TaxCred&amp;Subs'!$K$139:$S$151,MATCH($C481&amp;$D481,'TaxCred&amp;Subs'!$D$139:$D$151,0),MATCH($H481,'TaxCred&amp;Subs'!$K$137:$S$137,0)),0),O481*IFERROR(INDEX('TaxCred&amp;Subs'!$K$139:$S$151,MATCH($C481&amp;$D481,'TaxCred&amp;Subs'!$C$139:$C$151,0),MATCH($H481,'TaxCred&amp;Subs'!$K$137:$S$137,0)),0))),0),0)</f>
        <v>0</v>
      </c>
      <c r="T481" s="95">
        <f t="shared" si="27"/>
        <v>0</v>
      </c>
      <c r="U481" s="95">
        <f t="shared" si="28"/>
        <v>0</v>
      </c>
      <c r="V481" s="28" t="s">
        <v>222</v>
      </c>
      <c r="W481" s="31">
        <v>2020</v>
      </c>
      <c r="X481" s="28">
        <v>1</v>
      </c>
      <c r="Y481" s="28">
        <v>0</v>
      </c>
      <c r="Z481" s="196">
        <v>-2.1513024844954491E-4</v>
      </c>
      <c r="AA481" s="196">
        <v>-3.3096961299929986E-3</v>
      </c>
      <c r="AB481" s="28">
        <v>0</v>
      </c>
      <c r="AC481" s="28">
        <v>0</v>
      </c>
      <c r="AD481" s="28" t="s">
        <v>336</v>
      </c>
    </row>
    <row r="482" spans="2:30" ht="14.25" customHeight="1" x14ac:dyDescent="0.2">
      <c r="B482" s="7">
        <f t="shared" si="29"/>
        <v>458</v>
      </c>
      <c r="C482" s="28">
        <v>2</v>
      </c>
      <c r="D482" s="28">
        <v>4</v>
      </c>
      <c r="E482" s="31">
        <v>14</v>
      </c>
      <c r="F482" s="96">
        <v>2020</v>
      </c>
      <c r="G482" s="28">
        <v>2021</v>
      </c>
      <c r="H482" s="28">
        <v>7</v>
      </c>
      <c r="I482" s="96">
        <v>49</v>
      </c>
      <c r="J482" s="31">
        <v>33</v>
      </c>
      <c r="K482" s="28">
        <v>0</v>
      </c>
      <c r="L482" s="28">
        <v>0</v>
      </c>
      <c r="M482" s="75">
        <v>17.100000000000001</v>
      </c>
      <c r="N482" s="151">
        <v>9500</v>
      </c>
      <c r="O482" s="79">
        <v>0</v>
      </c>
      <c r="P482" s="95">
        <f t="array" ref="P482">ROUND(IF($F482&lt;='TaxCred&amp;Subs'!$C$49,(IF($C482=2,IF($M482&gt;=IFERROR(INDEX('TaxCred&amp;Subs'!$L$12:$L$47,MATCH(1,($C482&amp;$D482='TaxCred&amp;Subs'!$E$12:$E$47)*($F482='TaxCred&amp;Subs'!$C$12:$C$47),0)
),9999),IFERROR(INDEX('TaxCred&amp;Subs'!$N$12:$N$47,MATCH(1,($C482&amp;$D482='TaxCred&amp;Subs'!$E$12:$E$47)*($F482='TaxCred&amp;Subs'!$C$12:$C$47),0)
),0),0),(IF($M482&gt;=IFERROR(INDEX('TaxCred&amp;Subs'!$H$12:$H$47,MATCH(1,($C482&amp;$D482='TaxCred&amp;Subs'!$D$12:$D$47)*($F482='TaxCred&amp;Subs'!$C$12:$C$47),0)
),9999),IFERROR(INDEX('TaxCred&amp;Subs'!$N$12:$N$47,MATCH(1,($C482&amp;$D482='TaxCred&amp;Subs'!$D$12:$D$47)*($F482='TaxCred&amp;Subs'!$C$12:$C$47),0)
),0),0)))),0)+IF(AND($C482=2,VALUE(RIGHT($AD482,1))&gt;2),(N482-R482)*(IFERROR(INDEX('TaxCred&amp;Subs'!$J$66:$J$99,MATCH(1,($C482&amp;$D482='TaxCred&amp;Subs'!$E$66:$E$99)*($F482='TaxCred&amp;Subs'!$C$66:$C$99),0)),0)),IF(AND($C482=1,VALUE(RIGHT($AD482,1))&gt;2),(N482-R482)*(IFERROR(INDEX('TaxCred&amp;Subs'!$J$66:$J$99,MATCH(1,($C482&amp;$D482='TaxCred&amp;Subs'!$D$66:$D$99)*($F482='TaxCred&amp;Subs'!$C$66:$C$99),0)),0)),IF($C482&gt;2,(N482-R482)*(IFERROR(INDEX('TaxCred&amp;Subs'!$J$66:$J$99,MATCH(1,($C482&amp;$D482='TaxCred&amp;Subs'!$D$66:$D$99)*($F482='TaxCred&amp;Subs'!$C$66:$C$99),0)),0)),0))),0)</f>
        <v>2379</v>
      </c>
      <c r="Q482" s="95">
        <f t="array" ref="Q482">ROUND(IF(AND($C482=2,VALUE(RIGHT($AD482,1))&gt;2),(O482-S482)*(IFERROR(INDEX('TaxCred&amp;Subs'!$J$66:$J$99,MATCH(1,($C482&amp;$D482='TaxCred&amp;Subs'!$E$66:$E$99)*($F482='TaxCred&amp;Subs'!$C$66:$C$99),0)),0)),IF(AND($C482=1,VALUE(RIGHT($AD482,1))&gt;2),(O482-S482)*(IFERROR(INDEX('TaxCred&amp;Subs'!$J$66:$J$99,MATCH(1,($C482&amp;$D482='TaxCred&amp;Subs'!$D$66:$D$99)*($F482='TaxCred&amp;Subs'!$C$66:$C$99),0)),0)),IF($C482&gt;2,(O482-S482)*(IFERROR(INDEX('TaxCred&amp;Subs'!$J$66:$J$99,MATCH(1,($C482&amp;$D482='TaxCred&amp;Subs'!$D$66:$D$99)*($F482='TaxCred&amp;Subs'!$C$66:$C$99),0)),0)),0))),0)</f>
        <v>0</v>
      </c>
      <c r="R482" s="170">
        <f t="array" ref="R482">ROUND(IF(IFERROR(VALUE(RIGHT($AD482,1)),0)&gt;2,IF($C482=8,N482*IFERROR(INDEX('TaxCred&amp;Subs'!$K$139:$S$151,MATCH($C482&amp;$D482&amp;LEFT($AD482,7),'TaxCred&amp;Subs'!$E$139:$E$151,0),MATCH($H482,'TaxCred&amp;Subs'!$K$137:$S$137,0)),0),IF($C482=2,N482*IFERROR(INDEX('TaxCred&amp;Subs'!$K$139:$S$151,MATCH($C482&amp;$D482,'TaxCred&amp;Subs'!$D$139:$D$151,0),MATCH($H482,'TaxCred&amp;Subs'!$K$137:$S$137,0)),0),N482*IFERROR(INDEX('TaxCred&amp;Subs'!$K$139:$S$151,MATCH($C482&amp;$D482,'TaxCred&amp;Subs'!$C$139:$C$151,0),MATCH($H482,'TaxCred&amp;Subs'!$K$137:$S$137,0)),0))),0),0)</f>
        <v>351</v>
      </c>
      <c r="S482" s="170">
        <f t="array" ref="S482">ROUND(IF(IFERROR(VALUE(RIGHT($AD482,1)),0)&gt;2,IF($C482=8,O482*IFERROR(INDEX('TaxCred&amp;Subs'!$K$139:$S$151,MATCH($C482&amp;$D482&amp;LEFT($AD482,7),'TaxCred&amp;Subs'!$E$139:$E$151,0),MATCH($H482,'TaxCred&amp;Subs'!$K$137:$S$137,0)),0),IF($C482=2,O482*IFERROR(INDEX('TaxCred&amp;Subs'!$K$139:$S$151,MATCH($C482&amp;$D482,'TaxCred&amp;Subs'!$D$139:$D$151,0),MATCH($H482,'TaxCred&amp;Subs'!$K$137:$S$137,0)),0),O482*IFERROR(INDEX('TaxCred&amp;Subs'!$K$139:$S$151,MATCH($C482&amp;$D482,'TaxCred&amp;Subs'!$C$139:$C$151,0),MATCH($H482,'TaxCred&amp;Subs'!$K$137:$S$137,0)),0))),0),0)</f>
        <v>0</v>
      </c>
      <c r="T482" s="95">
        <f t="shared" si="27"/>
        <v>0</v>
      </c>
      <c r="U482" s="95">
        <f t="shared" si="28"/>
        <v>0</v>
      </c>
      <c r="V482" s="28" t="s">
        <v>222</v>
      </c>
      <c r="W482" s="31">
        <v>2020</v>
      </c>
      <c r="X482" s="28">
        <v>1</v>
      </c>
      <c r="Y482" s="28">
        <v>0</v>
      </c>
      <c r="Z482" s="196">
        <v>-2.1513024844954491E-4</v>
      </c>
      <c r="AA482" s="196">
        <v>-3.3096961299929986E-3</v>
      </c>
      <c r="AB482" s="28">
        <v>0</v>
      </c>
      <c r="AC482" s="28">
        <v>0</v>
      </c>
      <c r="AD482" s="28" t="s">
        <v>336</v>
      </c>
    </row>
    <row r="483" spans="2:30" ht="14.25" customHeight="1" x14ac:dyDescent="0.2">
      <c r="B483" s="7">
        <f t="shared" si="29"/>
        <v>459</v>
      </c>
      <c r="C483" s="28">
        <v>2</v>
      </c>
      <c r="D483" s="28">
        <v>4</v>
      </c>
      <c r="E483" s="31">
        <v>14</v>
      </c>
      <c r="F483" s="96">
        <v>2020</v>
      </c>
      <c r="G483" s="28">
        <v>2021</v>
      </c>
      <c r="H483" s="28">
        <v>8</v>
      </c>
      <c r="I483" s="96">
        <v>49</v>
      </c>
      <c r="J483" s="31">
        <v>33</v>
      </c>
      <c r="K483" s="28">
        <v>0</v>
      </c>
      <c r="L483" s="28">
        <v>0</v>
      </c>
      <c r="M483" s="75">
        <v>17.100000000000001</v>
      </c>
      <c r="N483" s="151">
        <v>9500</v>
      </c>
      <c r="O483" s="79">
        <v>0</v>
      </c>
      <c r="P483" s="95">
        <f t="array" ref="P483">ROUND(IF($F483&lt;='TaxCred&amp;Subs'!$C$49,(IF($C483=2,IF($M483&gt;=IFERROR(INDEX('TaxCred&amp;Subs'!$L$12:$L$47,MATCH(1,($C483&amp;$D483='TaxCred&amp;Subs'!$E$12:$E$47)*($F483='TaxCred&amp;Subs'!$C$12:$C$47),0)
),9999),IFERROR(INDEX('TaxCred&amp;Subs'!$N$12:$N$47,MATCH(1,($C483&amp;$D483='TaxCred&amp;Subs'!$E$12:$E$47)*($F483='TaxCred&amp;Subs'!$C$12:$C$47),0)
),0),0),(IF($M483&gt;=IFERROR(INDEX('TaxCred&amp;Subs'!$H$12:$H$47,MATCH(1,($C483&amp;$D483='TaxCred&amp;Subs'!$D$12:$D$47)*($F483='TaxCred&amp;Subs'!$C$12:$C$47),0)
),9999),IFERROR(INDEX('TaxCred&amp;Subs'!$N$12:$N$47,MATCH(1,($C483&amp;$D483='TaxCred&amp;Subs'!$D$12:$D$47)*($F483='TaxCred&amp;Subs'!$C$12:$C$47),0)
),0),0)))),0)+IF(AND($C483=2,VALUE(RIGHT($AD483,1))&gt;2),(N483-R483)*(IFERROR(INDEX('TaxCred&amp;Subs'!$J$66:$J$99,MATCH(1,($C483&amp;$D483='TaxCred&amp;Subs'!$E$66:$E$99)*($F483='TaxCred&amp;Subs'!$C$66:$C$99),0)),0)),IF(AND($C483=1,VALUE(RIGHT($AD483,1))&gt;2),(N483-R483)*(IFERROR(INDEX('TaxCred&amp;Subs'!$J$66:$J$99,MATCH(1,($C483&amp;$D483='TaxCred&amp;Subs'!$D$66:$D$99)*($F483='TaxCred&amp;Subs'!$C$66:$C$99),0)),0)),IF($C483&gt;2,(N483-R483)*(IFERROR(INDEX('TaxCred&amp;Subs'!$J$66:$J$99,MATCH(1,($C483&amp;$D483='TaxCred&amp;Subs'!$D$66:$D$99)*($F483='TaxCred&amp;Subs'!$C$66:$C$99),0)),0)),0))),0)</f>
        <v>2346</v>
      </c>
      <c r="Q483" s="95">
        <f t="array" ref="Q483">ROUND(IF(AND($C483=2,VALUE(RIGHT($AD483,1))&gt;2),(O483-S483)*(IFERROR(INDEX('TaxCred&amp;Subs'!$J$66:$J$99,MATCH(1,($C483&amp;$D483='TaxCred&amp;Subs'!$E$66:$E$99)*($F483='TaxCred&amp;Subs'!$C$66:$C$99),0)),0)),IF(AND($C483=1,VALUE(RIGHT($AD483,1))&gt;2),(O483-S483)*(IFERROR(INDEX('TaxCred&amp;Subs'!$J$66:$J$99,MATCH(1,($C483&amp;$D483='TaxCred&amp;Subs'!$D$66:$D$99)*($F483='TaxCred&amp;Subs'!$C$66:$C$99),0)),0)),IF($C483&gt;2,(O483-S483)*(IFERROR(INDEX('TaxCred&amp;Subs'!$J$66:$J$99,MATCH(1,($C483&amp;$D483='TaxCred&amp;Subs'!$D$66:$D$99)*($F483='TaxCred&amp;Subs'!$C$66:$C$99),0)),0)),0))),0)</f>
        <v>0</v>
      </c>
      <c r="R483" s="170">
        <f t="array" ref="R483">ROUND(IF(IFERROR(VALUE(RIGHT($AD483,1)),0)&gt;2,IF($C483=8,N483*IFERROR(INDEX('TaxCred&amp;Subs'!$K$139:$S$151,MATCH($C483&amp;$D483&amp;LEFT($AD483,7),'TaxCred&amp;Subs'!$E$139:$E$151,0),MATCH($H483,'TaxCred&amp;Subs'!$K$137:$S$137,0)),0),IF($C483=2,N483*IFERROR(INDEX('TaxCred&amp;Subs'!$K$139:$S$151,MATCH($C483&amp;$D483,'TaxCred&amp;Subs'!$D$139:$D$151,0),MATCH($H483,'TaxCred&amp;Subs'!$K$137:$S$137,0)),0),N483*IFERROR(INDEX('TaxCred&amp;Subs'!$K$139:$S$151,MATCH($C483&amp;$D483,'TaxCred&amp;Subs'!$C$139:$C$151,0),MATCH($H483,'TaxCred&amp;Subs'!$K$137:$S$137,0)),0))),0),0)</f>
        <v>478</v>
      </c>
      <c r="S483" s="170">
        <f t="array" ref="S483">ROUND(IF(IFERROR(VALUE(RIGHT($AD483,1)),0)&gt;2,IF($C483=8,O483*IFERROR(INDEX('TaxCred&amp;Subs'!$K$139:$S$151,MATCH($C483&amp;$D483&amp;LEFT($AD483,7),'TaxCred&amp;Subs'!$E$139:$E$151,0),MATCH($H483,'TaxCred&amp;Subs'!$K$137:$S$137,0)),0),IF($C483=2,O483*IFERROR(INDEX('TaxCred&amp;Subs'!$K$139:$S$151,MATCH($C483&amp;$D483,'TaxCred&amp;Subs'!$D$139:$D$151,0),MATCH($H483,'TaxCred&amp;Subs'!$K$137:$S$137,0)),0),O483*IFERROR(INDEX('TaxCred&amp;Subs'!$K$139:$S$151,MATCH($C483&amp;$D483,'TaxCred&amp;Subs'!$C$139:$C$151,0),MATCH($H483,'TaxCred&amp;Subs'!$K$137:$S$137,0)),0))),0),0)</f>
        <v>0</v>
      </c>
      <c r="T483" s="95">
        <f t="shared" si="27"/>
        <v>0</v>
      </c>
      <c r="U483" s="95">
        <f t="shared" si="28"/>
        <v>0</v>
      </c>
      <c r="V483" s="28" t="s">
        <v>222</v>
      </c>
      <c r="W483" s="31">
        <v>2020</v>
      </c>
      <c r="X483" s="28">
        <v>1</v>
      </c>
      <c r="Y483" s="28">
        <v>0</v>
      </c>
      <c r="Z483" s="196">
        <v>-2.1513024844954491E-4</v>
      </c>
      <c r="AA483" s="196">
        <v>-3.3096961299929986E-3</v>
      </c>
      <c r="AB483" s="28">
        <v>0</v>
      </c>
      <c r="AC483" s="28">
        <v>0</v>
      </c>
      <c r="AD483" s="28" t="s">
        <v>336</v>
      </c>
    </row>
    <row r="484" spans="2:30" ht="14.25" customHeight="1" x14ac:dyDescent="0.2">
      <c r="B484" s="7">
        <f t="shared" si="29"/>
        <v>460</v>
      </c>
      <c r="C484" s="28">
        <v>2</v>
      </c>
      <c r="D484" s="28">
        <v>4</v>
      </c>
      <c r="E484" s="31">
        <v>14</v>
      </c>
      <c r="F484" s="96">
        <v>2020</v>
      </c>
      <c r="G484" s="28">
        <v>2021</v>
      </c>
      <c r="H484" s="28">
        <v>9</v>
      </c>
      <c r="I484" s="96">
        <v>49</v>
      </c>
      <c r="J484" s="31">
        <v>33</v>
      </c>
      <c r="K484" s="28">
        <v>0</v>
      </c>
      <c r="L484" s="28">
        <v>0</v>
      </c>
      <c r="M484" s="75">
        <v>17.100000000000001</v>
      </c>
      <c r="N484" s="151">
        <v>9500</v>
      </c>
      <c r="O484" s="79">
        <v>0</v>
      </c>
      <c r="P484" s="95">
        <f t="array" ref="P484">ROUND(IF($F484&lt;='TaxCred&amp;Subs'!$C$49,(IF($C484=2,IF($M484&gt;=IFERROR(INDEX('TaxCred&amp;Subs'!$L$12:$L$47,MATCH(1,($C484&amp;$D484='TaxCred&amp;Subs'!$E$12:$E$47)*($F484='TaxCred&amp;Subs'!$C$12:$C$47),0)
),9999),IFERROR(INDEX('TaxCred&amp;Subs'!$N$12:$N$47,MATCH(1,($C484&amp;$D484='TaxCred&amp;Subs'!$E$12:$E$47)*($F484='TaxCred&amp;Subs'!$C$12:$C$47),0)
),0),0),(IF($M484&gt;=IFERROR(INDEX('TaxCred&amp;Subs'!$H$12:$H$47,MATCH(1,($C484&amp;$D484='TaxCred&amp;Subs'!$D$12:$D$47)*($F484='TaxCred&amp;Subs'!$C$12:$C$47),0)
),9999),IFERROR(INDEX('TaxCred&amp;Subs'!$N$12:$N$47,MATCH(1,($C484&amp;$D484='TaxCred&amp;Subs'!$D$12:$D$47)*($F484='TaxCred&amp;Subs'!$C$12:$C$47),0)
),0),0)))),0)+IF(AND($C484=2,VALUE(RIGHT($AD484,1))&gt;2),(N484-R484)*(IFERROR(INDEX('TaxCred&amp;Subs'!$J$66:$J$99,MATCH(1,($C484&amp;$D484='TaxCred&amp;Subs'!$E$66:$E$99)*($F484='TaxCred&amp;Subs'!$C$66:$C$99),0)),0)),IF(AND($C484=1,VALUE(RIGHT($AD484,1))&gt;2),(N484-R484)*(IFERROR(INDEX('TaxCred&amp;Subs'!$J$66:$J$99,MATCH(1,($C484&amp;$D484='TaxCred&amp;Subs'!$D$66:$D$99)*($F484='TaxCred&amp;Subs'!$C$66:$C$99),0)),0)),IF($C484&gt;2,(N484-R484)*(IFERROR(INDEX('TaxCred&amp;Subs'!$J$66:$J$99,MATCH(1,($C484&amp;$D484='TaxCred&amp;Subs'!$D$66:$D$99)*($F484='TaxCred&amp;Subs'!$C$66:$C$99),0)),0)),0))),0)</f>
        <v>2409</v>
      </c>
      <c r="Q484" s="95">
        <f t="array" ref="Q484">ROUND(IF(AND($C484=2,VALUE(RIGHT($AD484,1))&gt;2),(O484-S484)*(IFERROR(INDEX('TaxCred&amp;Subs'!$J$66:$J$99,MATCH(1,($C484&amp;$D484='TaxCred&amp;Subs'!$E$66:$E$99)*($F484='TaxCred&amp;Subs'!$C$66:$C$99),0)),0)),IF(AND($C484=1,VALUE(RIGHT($AD484,1))&gt;2),(O484-S484)*(IFERROR(INDEX('TaxCred&amp;Subs'!$J$66:$J$99,MATCH(1,($C484&amp;$D484='TaxCred&amp;Subs'!$D$66:$D$99)*($F484='TaxCred&amp;Subs'!$C$66:$C$99),0)),0)),IF($C484&gt;2,(O484-S484)*(IFERROR(INDEX('TaxCred&amp;Subs'!$J$66:$J$99,MATCH(1,($C484&amp;$D484='TaxCred&amp;Subs'!$D$66:$D$99)*($F484='TaxCred&amp;Subs'!$C$66:$C$99),0)),0)),0))),0)</f>
        <v>0</v>
      </c>
      <c r="R484" s="170">
        <f t="array" ref="R484">ROUND(IF(IFERROR(VALUE(RIGHT($AD484,1)),0)&gt;2,IF($C484=8,N484*IFERROR(INDEX('TaxCred&amp;Subs'!$K$139:$S$151,MATCH($C484&amp;$D484&amp;LEFT($AD484,7),'TaxCred&amp;Subs'!$E$139:$E$151,0),MATCH($H484,'TaxCred&amp;Subs'!$K$137:$S$137,0)),0),IF($C484=2,N484*IFERROR(INDEX('TaxCred&amp;Subs'!$K$139:$S$151,MATCH($C484&amp;$D484,'TaxCred&amp;Subs'!$D$139:$D$151,0),MATCH($H484,'TaxCred&amp;Subs'!$K$137:$S$137,0)),0),N484*IFERROR(INDEX('TaxCred&amp;Subs'!$K$139:$S$151,MATCH($C484&amp;$D484,'TaxCred&amp;Subs'!$C$139:$C$151,0),MATCH($H484,'TaxCred&amp;Subs'!$K$137:$S$137,0)),0))),0),0)</f>
        <v>233</v>
      </c>
      <c r="S484" s="170">
        <f t="array" ref="S484">ROUND(IF(IFERROR(VALUE(RIGHT($AD484,1)),0)&gt;2,IF($C484=8,O484*IFERROR(INDEX('TaxCred&amp;Subs'!$K$139:$S$151,MATCH($C484&amp;$D484&amp;LEFT($AD484,7),'TaxCred&amp;Subs'!$E$139:$E$151,0),MATCH($H484,'TaxCred&amp;Subs'!$K$137:$S$137,0)),0),IF($C484=2,O484*IFERROR(INDEX('TaxCred&amp;Subs'!$K$139:$S$151,MATCH($C484&amp;$D484,'TaxCred&amp;Subs'!$D$139:$D$151,0),MATCH($H484,'TaxCred&amp;Subs'!$K$137:$S$137,0)),0),O484*IFERROR(INDEX('TaxCred&amp;Subs'!$K$139:$S$151,MATCH($C484&amp;$D484,'TaxCred&amp;Subs'!$C$139:$C$151,0),MATCH($H484,'TaxCred&amp;Subs'!$K$137:$S$137,0)),0))),0),0)</f>
        <v>0</v>
      </c>
      <c r="T484" s="172">
        <f t="shared" si="27"/>
        <v>1063.6499999999999</v>
      </c>
      <c r="U484" s="95">
        <f t="shared" si="28"/>
        <v>0</v>
      </c>
      <c r="V484" s="28" t="s">
        <v>222</v>
      </c>
      <c r="W484" s="31">
        <v>2020</v>
      </c>
      <c r="X484" s="28">
        <v>1</v>
      </c>
      <c r="Y484" s="28">
        <v>0</v>
      </c>
      <c r="Z484" s="196">
        <v>-2.1513024844954491E-4</v>
      </c>
      <c r="AA484" s="196">
        <v>-3.3096961299929986E-3</v>
      </c>
      <c r="AB484" s="28">
        <v>0</v>
      </c>
      <c r="AC484" s="28">
        <v>0</v>
      </c>
      <c r="AD484" s="28" t="s">
        <v>336</v>
      </c>
    </row>
    <row r="485" spans="2:30" ht="14.25" customHeight="1" x14ac:dyDescent="0.2">
      <c r="B485" s="7">
        <f t="shared" si="29"/>
        <v>461</v>
      </c>
      <c r="C485" s="28">
        <v>2</v>
      </c>
      <c r="D485" s="28">
        <v>4</v>
      </c>
      <c r="E485" s="31">
        <v>14</v>
      </c>
      <c r="F485" s="78">
        <v>2022</v>
      </c>
      <c r="G485" s="28">
        <v>2032</v>
      </c>
      <c r="H485" s="28">
        <v>1</v>
      </c>
      <c r="I485" s="96">
        <v>49</v>
      </c>
      <c r="J485" s="31">
        <v>33</v>
      </c>
      <c r="K485" s="28">
        <v>0</v>
      </c>
      <c r="L485" s="28">
        <v>0</v>
      </c>
      <c r="M485" s="75">
        <v>17.100000000000001</v>
      </c>
      <c r="N485" s="151">
        <v>9500</v>
      </c>
      <c r="O485" s="79">
        <v>0</v>
      </c>
      <c r="P485" s="95">
        <f t="array" ref="P485">ROUND(IF($F485&lt;='TaxCred&amp;Subs'!$C$49,(IF($C485=2,IF($M485&gt;=IFERROR(INDEX('TaxCred&amp;Subs'!$L$12:$L$47,MATCH(1,($C485&amp;$D485='TaxCred&amp;Subs'!$E$12:$E$47)*($F485='TaxCred&amp;Subs'!$C$12:$C$47),0)
),9999),IFERROR(INDEX('TaxCred&amp;Subs'!$N$12:$N$47,MATCH(1,($C485&amp;$D485='TaxCred&amp;Subs'!$E$12:$E$47)*($F485='TaxCred&amp;Subs'!$C$12:$C$47),0)
),0),0),(IF($M485&gt;=IFERROR(INDEX('TaxCred&amp;Subs'!$H$12:$H$47,MATCH(1,($C485&amp;$D485='TaxCred&amp;Subs'!$D$12:$D$47)*($F485='TaxCred&amp;Subs'!$C$12:$C$47),0)
),9999),IFERROR(INDEX('TaxCred&amp;Subs'!$N$12:$N$47,MATCH(1,($C485&amp;$D485='TaxCred&amp;Subs'!$D$12:$D$47)*($F485='TaxCred&amp;Subs'!$C$12:$C$47),0)
),0),0)))),0)+IF(AND($C485=2,VALUE(RIGHT($AD485,1))&gt;2),(N485-R485)*(IFERROR(INDEX('TaxCred&amp;Subs'!$J$66:$J$99,MATCH(1,($C485&amp;$D485='TaxCred&amp;Subs'!$E$66:$E$99)*($F485='TaxCred&amp;Subs'!$C$66:$C$99),0)),0)),IF(AND($C485=1,VALUE(RIGHT($AD485,1))&gt;2),(N485-R485)*(IFERROR(INDEX('TaxCred&amp;Subs'!$J$66:$J$99,MATCH(1,($C485&amp;$D485='TaxCred&amp;Subs'!$D$66:$D$99)*($F485='TaxCred&amp;Subs'!$C$66:$C$99),0)),0)),IF($C485&gt;2,(N485-R485)*(IFERROR(INDEX('TaxCred&amp;Subs'!$J$66:$J$99,MATCH(1,($C485&amp;$D485='TaxCred&amp;Subs'!$D$66:$D$99)*($F485='TaxCred&amp;Subs'!$C$66:$C$99),0)),0)),0))),0)</f>
        <v>2144</v>
      </c>
      <c r="Q485" s="95">
        <f t="array" ref="Q485">ROUND(IF(AND($C485=2,VALUE(RIGHT($AD485,1))&gt;2),(O485-S485)*(IFERROR(INDEX('TaxCred&amp;Subs'!$J$66:$J$99,MATCH(1,($C485&amp;$D485='TaxCred&amp;Subs'!$E$66:$E$99)*($F485='TaxCred&amp;Subs'!$C$66:$C$99),0)),0)),IF(AND($C485=1,VALUE(RIGHT($AD485,1))&gt;2),(O485-S485)*(IFERROR(INDEX('TaxCred&amp;Subs'!$J$66:$J$99,MATCH(1,($C485&amp;$D485='TaxCred&amp;Subs'!$D$66:$D$99)*($F485='TaxCred&amp;Subs'!$C$66:$C$99),0)),0)),IF($C485&gt;2,(O485-S485)*(IFERROR(INDEX('TaxCred&amp;Subs'!$J$66:$J$99,MATCH(1,($C485&amp;$D485='TaxCred&amp;Subs'!$D$66:$D$99)*($F485='TaxCred&amp;Subs'!$C$66:$C$99),0)),0)),0))),0)</f>
        <v>0</v>
      </c>
      <c r="R485" s="170">
        <f t="array" ref="R485">ROUND(IF(IFERROR(VALUE(RIGHT($AD485,1)),0)&gt;2,IF($C485=8,N485*IFERROR(INDEX('TaxCred&amp;Subs'!$K$139:$S$151,MATCH($C485&amp;$D485&amp;LEFT($AD485,7),'TaxCred&amp;Subs'!$E$139:$E$151,0),MATCH($H485,'TaxCred&amp;Subs'!$K$137:$S$137,0)),0),IF($C485=2,N485*IFERROR(INDEX('TaxCred&amp;Subs'!$K$139:$S$151,MATCH($C485&amp;$D485,'TaxCred&amp;Subs'!$D$139:$D$151,0),MATCH($H485,'TaxCred&amp;Subs'!$K$137:$S$137,0)),0),N485*IFERROR(INDEX('TaxCred&amp;Subs'!$K$139:$S$151,MATCH($C485&amp;$D485,'TaxCred&amp;Subs'!$C$139:$C$151,0),MATCH($H485,'TaxCred&amp;Subs'!$K$137:$S$137,0)),0))),0),0)</f>
        <v>2355</v>
      </c>
      <c r="S485" s="170">
        <f t="array" ref="S485">ROUND(IF(IFERROR(VALUE(RIGHT($AD485,1)),0)&gt;2,IF($C485=8,O485*IFERROR(INDEX('TaxCred&amp;Subs'!$K$139:$S$151,MATCH($C485&amp;$D485&amp;LEFT($AD485,7),'TaxCred&amp;Subs'!$E$139:$E$151,0),MATCH($H485,'TaxCred&amp;Subs'!$K$137:$S$137,0)),0),IF($C485=2,O485*IFERROR(INDEX('TaxCred&amp;Subs'!$K$139:$S$151,MATCH($C485&amp;$D485,'TaxCred&amp;Subs'!$D$139:$D$151,0),MATCH($H485,'TaxCred&amp;Subs'!$K$137:$S$137,0)),0),O485*IFERROR(INDEX('TaxCred&amp;Subs'!$K$139:$S$151,MATCH($C485&amp;$D485,'TaxCred&amp;Subs'!$C$139:$C$151,0),MATCH($H485,'TaxCred&amp;Subs'!$K$137:$S$137,0)),0))),0),0)</f>
        <v>0</v>
      </c>
      <c r="T485" s="95">
        <f t="shared" si="27"/>
        <v>0</v>
      </c>
      <c r="U485" s="95">
        <f t="shared" si="28"/>
        <v>0</v>
      </c>
      <c r="V485" s="28" t="s">
        <v>222</v>
      </c>
      <c r="W485" s="31">
        <v>2020</v>
      </c>
      <c r="X485" s="28">
        <v>1</v>
      </c>
      <c r="Y485" s="28">
        <v>0</v>
      </c>
      <c r="Z485" s="196">
        <v>-2.1513024844954491E-4</v>
      </c>
      <c r="AA485" s="196">
        <v>-3.3096961299929986E-3</v>
      </c>
      <c r="AB485" s="28">
        <v>0</v>
      </c>
      <c r="AC485" s="28">
        <v>0</v>
      </c>
      <c r="AD485" s="28" t="s">
        <v>336</v>
      </c>
    </row>
    <row r="486" spans="2:30" ht="14.25" customHeight="1" x14ac:dyDescent="0.2">
      <c r="B486" s="7">
        <f t="shared" si="29"/>
        <v>462</v>
      </c>
      <c r="C486" s="28">
        <v>2</v>
      </c>
      <c r="D486" s="28">
        <v>4</v>
      </c>
      <c r="E486" s="31">
        <v>14</v>
      </c>
      <c r="F486" s="78">
        <v>2022</v>
      </c>
      <c r="G486" s="28">
        <v>2032</v>
      </c>
      <c r="H486" s="28">
        <v>2</v>
      </c>
      <c r="I486" s="96">
        <v>49</v>
      </c>
      <c r="J486" s="31">
        <v>33</v>
      </c>
      <c r="K486" s="28">
        <v>0</v>
      </c>
      <c r="L486" s="28">
        <v>0</v>
      </c>
      <c r="M486" s="75">
        <v>17.100000000000001</v>
      </c>
      <c r="N486" s="151">
        <v>9500</v>
      </c>
      <c r="O486" s="79">
        <v>0</v>
      </c>
      <c r="P486" s="95">
        <f t="array" ref="P486">ROUND(IF($F486&lt;='TaxCred&amp;Subs'!$C$49,(IF($C486=2,IF($M486&gt;=IFERROR(INDEX('TaxCred&amp;Subs'!$L$12:$L$47,MATCH(1,($C486&amp;$D486='TaxCred&amp;Subs'!$E$12:$E$47)*($F486='TaxCred&amp;Subs'!$C$12:$C$47),0)
),9999),IFERROR(INDEX('TaxCred&amp;Subs'!$N$12:$N$47,MATCH(1,($C486&amp;$D486='TaxCred&amp;Subs'!$E$12:$E$47)*($F486='TaxCred&amp;Subs'!$C$12:$C$47),0)
),0),0),(IF($M486&gt;=IFERROR(INDEX('TaxCred&amp;Subs'!$H$12:$H$47,MATCH(1,($C486&amp;$D486='TaxCred&amp;Subs'!$D$12:$D$47)*($F486='TaxCred&amp;Subs'!$C$12:$C$47),0)
),9999),IFERROR(INDEX('TaxCred&amp;Subs'!$N$12:$N$47,MATCH(1,($C486&amp;$D486='TaxCred&amp;Subs'!$D$12:$D$47)*($F486='TaxCred&amp;Subs'!$C$12:$C$47),0)
),0),0)))),0)+IF(AND($C486=2,VALUE(RIGHT($AD486,1))&gt;2),(N486-R486)*(IFERROR(INDEX('TaxCred&amp;Subs'!$J$66:$J$99,MATCH(1,($C486&amp;$D486='TaxCred&amp;Subs'!$E$66:$E$99)*($F486='TaxCred&amp;Subs'!$C$66:$C$99),0)),0)),IF(AND($C486=1,VALUE(RIGHT($AD486,1))&gt;2),(N486-R486)*(IFERROR(INDEX('TaxCred&amp;Subs'!$J$66:$J$99,MATCH(1,($C486&amp;$D486='TaxCred&amp;Subs'!$D$66:$D$99)*($F486='TaxCred&amp;Subs'!$C$66:$C$99),0)),0)),IF($C486&gt;2,(N486-R486)*(IFERROR(INDEX('TaxCred&amp;Subs'!$J$66:$J$99,MATCH(1,($C486&amp;$D486='TaxCred&amp;Subs'!$D$66:$D$99)*($F486='TaxCred&amp;Subs'!$C$66:$C$99),0)),0)),0))),0)</f>
        <v>2558</v>
      </c>
      <c r="Q486" s="95">
        <f t="array" ref="Q486">ROUND(IF(AND($C486=2,VALUE(RIGHT($AD486,1))&gt;2),(O486-S486)*(IFERROR(INDEX('TaxCred&amp;Subs'!$J$66:$J$99,MATCH(1,($C486&amp;$D486='TaxCred&amp;Subs'!$E$66:$E$99)*($F486='TaxCred&amp;Subs'!$C$66:$C$99),0)),0)),IF(AND($C486=1,VALUE(RIGHT($AD486,1))&gt;2),(O486-S486)*(IFERROR(INDEX('TaxCred&amp;Subs'!$J$66:$J$99,MATCH(1,($C486&amp;$D486='TaxCred&amp;Subs'!$D$66:$D$99)*($F486='TaxCred&amp;Subs'!$C$66:$C$99),0)),0)),IF($C486&gt;2,(O486-S486)*(IFERROR(INDEX('TaxCred&amp;Subs'!$J$66:$J$99,MATCH(1,($C486&amp;$D486='TaxCred&amp;Subs'!$D$66:$D$99)*($F486='TaxCred&amp;Subs'!$C$66:$C$99),0)),0)),0))),0)</f>
        <v>0</v>
      </c>
      <c r="R486" s="170">
        <f t="array" ref="R486">ROUND(IF(IFERROR(VALUE(RIGHT($AD486,1)),0)&gt;2,IF($C486=8,N486*IFERROR(INDEX('TaxCred&amp;Subs'!$K$139:$S$151,MATCH($C486&amp;$D486&amp;LEFT($AD486,7),'TaxCred&amp;Subs'!$E$139:$E$151,0),MATCH($H486,'TaxCred&amp;Subs'!$K$137:$S$137,0)),0),IF($C486=2,N486*IFERROR(INDEX('TaxCred&amp;Subs'!$K$139:$S$151,MATCH($C486&amp;$D486,'TaxCred&amp;Subs'!$D$139:$D$151,0),MATCH($H486,'TaxCred&amp;Subs'!$K$137:$S$137,0)),0),N486*IFERROR(INDEX('TaxCred&amp;Subs'!$K$139:$S$151,MATCH($C486&amp;$D486,'TaxCred&amp;Subs'!$C$139:$C$151,0),MATCH($H486,'TaxCred&amp;Subs'!$K$137:$S$137,0)),0))),0),0)</f>
        <v>972</v>
      </c>
      <c r="S486" s="170">
        <f t="array" ref="S486">ROUND(IF(IFERROR(VALUE(RIGHT($AD486,1)),0)&gt;2,IF($C486=8,O486*IFERROR(INDEX('TaxCred&amp;Subs'!$K$139:$S$151,MATCH($C486&amp;$D486&amp;LEFT($AD486,7),'TaxCred&amp;Subs'!$E$139:$E$151,0),MATCH($H486,'TaxCred&amp;Subs'!$K$137:$S$137,0)),0),IF($C486=2,O486*IFERROR(INDEX('TaxCred&amp;Subs'!$K$139:$S$151,MATCH($C486&amp;$D486,'TaxCred&amp;Subs'!$D$139:$D$151,0),MATCH($H486,'TaxCred&amp;Subs'!$K$137:$S$137,0)),0),O486*IFERROR(INDEX('TaxCred&amp;Subs'!$K$139:$S$151,MATCH($C486&amp;$D486,'TaxCred&amp;Subs'!$C$139:$C$151,0),MATCH($H486,'TaxCred&amp;Subs'!$K$137:$S$137,0)),0))),0),0)</f>
        <v>0</v>
      </c>
      <c r="T486" s="95">
        <f t="shared" si="27"/>
        <v>0</v>
      </c>
      <c r="U486" s="95">
        <f t="shared" si="28"/>
        <v>0</v>
      </c>
      <c r="V486" s="28" t="s">
        <v>222</v>
      </c>
      <c r="W486" s="31">
        <v>2020</v>
      </c>
      <c r="X486" s="28">
        <v>1</v>
      </c>
      <c r="Y486" s="28">
        <v>0</v>
      </c>
      <c r="Z486" s="196">
        <v>-2.1513024844954491E-4</v>
      </c>
      <c r="AA486" s="196">
        <v>-3.3096961299929986E-3</v>
      </c>
      <c r="AB486" s="28">
        <v>0</v>
      </c>
      <c r="AC486" s="28">
        <v>0</v>
      </c>
      <c r="AD486" s="28" t="s">
        <v>336</v>
      </c>
    </row>
    <row r="487" spans="2:30" ht="14.25" customHeight="1" x14ac:dyDescent="0.2">
      <c r="B487" s="7">
        <f t="shared" si="29"/>
        <v>463</v>
      </c>
      <c r="C487" s="28">
        <v>2</v>
      </c>
      <c r="D487" s="28">
        <v>4</v>
      </c>
      <c r="E487" s="31">
        <v>14</v>
      </c>
      <c r="F487" s="78">
        <v>2022</v>
      </c>
      <c r="G487" s="28">
        <v>2032</v>
      </c>
      <c r="H487" s="28">
        <v>3</v>
      </c>
      <c r="I487" s="96">
        <v>49</v>
      </c>
      <c r="J487" s="31">
        <v>33</v>
      </c>
      <c r="K487" s="28">
        <v>0</v>
      </c>
      <c r="L487" s="28">
        <v>0</v>
      </c>
      <c r="M487" s="75">
        <v>17.100000000000001</v>
      </c>
      <c r="N487" s="151">
        <v>9500</v>
      </c>
      <c r="O487" s="79">
        <v>0</v>
      </c>
      <c r="P487" s="95">
        <f t="array" ref="P487">ROUND(IF($F487&lt;='TaxCred&amp;Subs'!$C$49,(IF($C487=2,IF($M487&gt;=IFERROR(INDEX('TaxCred&amp;Subs'!$L$12:$L$47,MATCH(1,($C487&amp;$D487='TaxCred&amp;Subs'!$E$12:$E$47)*($F487='TaxCred&amp;Subs'!$C$12:$C$47),0)
),9999),IFERROR(INDEX('TaxCred&amp;Subs'!$N$12:$N$47,MATCH(1,($C487&amp;$D487='TaxCred&amp;Subs'!$E$12:$E$47)*($F487='TaxCred&amp;Subs'!$C$12:$C$47),0)
),0),0),(IF($M487&gt;=IFERROR(INDEX('TaxCred&amp;Subs'!$H$12:$H$47,MATCH(1,($C487&amp;$D487='TaxCred&amp;Subs'!$D$12:$D$47)*($F487='TaxCred&amp;Subs'!$C$12:$C$47),0)
),9999),IFERROR(INDEX('TaxCred&amp;Subs'!$N$12:$N$47,MATCH(1,($C487&amp;$D487='TaxCred&amp;Subs'!$D$12:$D$47)*($F487='TaxCred&amp;Subs'!$C$12:$C$47),0)
),0),0)))),0)+IF(AND($C487=2,VALUE(RIGHT($AD487,1))&gt;2),(N487-R487)*(IFERROR(INDEX('TaxCred&amp;Subs'!$J$66:$J$99,MATCH(1,($C487&amp;$D487='TaxCred&amp;Subs'!$E$66:$E$99)*($F487='TaxCred&amp;Subs'!$C$66:$C$99),0)),0)),IF(AND($C487=1,VALUE(RIGHT($AD487,1))&gt;2),(N487-R487)*(IFERROR(INDEX('TaxCred&amp;Subs'!$J$66:$J$99,MATCH(1,($C487&amp;$D487='TaxCred&amp;Subs'!$D$66:$D$99)*($F487='TaxCred&amp;Subs'!$C$66:$C$99),0)),0)),IF($C487&gt;2,(N487-R487)*(IFERROR(INDEX('TaxCred&amp;Subs'!$J$66:$J$99,MATCH(1,($C487&amp;$D487='TaxCred&amp;Subs'!$D$66:$D$99)*($F487='TaxCred&amp;Subs'!$C$66:$C$99),0)),0)),0))),0)</f>
        <v>2621</v>
      </c>
      <c r="Q487" s="95">
        <f t="array" ref="Q487">ROUND(IF(AND($C487=2,VALUE(RIGHT($AD487,1))&gt;2),(O487-S487)*(IFERROR(INDEX('TaxCred&amp;Subs'!$J$66:$J$99,MATCH(1,($C487&amp;$D487='TaxCred&amp;Subs'!$E$66:$E$99)*($F487='TaxCred&amp;Subs'!$C$66:$C$99),0)),0)),IF(AND($C487=1,VALUE(RIGHT($AD487,1))&gt;2),(O487-S487)*(IFERROR(INDEX('TaxCred&amp;Subs'!$J$66:$J$99,MATCH(1,($C487&amp;$D487='TaxCred&amp;Subs'!$D$66:$D$99)*($F487='TaxCred&amp;Subs'!$C$66:$C$99),0)),0)),IF($C487&gt;2,(O487-S487)*(IFERROR(INDEX('TaxCred&amp;Subs'!$J$66:$J$99,MATCH(1,($C487&amp;$D487='TaxCred&amp;Subs'!$D$66:$D$99)*($F487='TaxCred&amp;Subs'!$C$66:$C$99),0)),0)),0))),0)</f>
        <v>0</v>
      </c>
      <c r="R487" s="170">
        <f t="array" ref="R487">ROUND(IF(IFERROR(VALUE(RIGHT($AD487,1)),0)&gt;2,IF($C487=8,N487*IFERROR(INDEX('TaxCred&amp;Subs'!$K$139:$S$151,MATCH($C487&amp;$D487&amp;LEFT($AD487,7),'TaxCred&amp;Subs'!$E$139:$E$151,0),MATCH($H487,'TaxCred&amp;Subs'!$K$137:$S$137,0)),0),IF($C487=2,N487*IFERROR(INDEX('TaxCred&amp;Subs'!$K$139:$S$151,MATCH($C487&amp;$D487,'TaxCred&amp;Subs'!$D$139:$D$151,0),MATCH($H487,'TaxCred&amp;Subs'!$K$137:$S$137,0)),0),N487*IFERROR(INDEX('TaxCred&amp;Subs'!$K$139:$S$151,MATCH($C487&amp;$D487,'TaxCred&amp;Subs'!$C$139:$C$151,0),MATCH($H487,'TaxCred&amp;Subs'!$K$137:$S$137,0)),0))),0),0)</f>
        <v>765</v>
      </c>
      <c r="S487" s="170">
        <f t="array" ref="S487">ROUND(IF(IFERROR(VALUE(RIGHT($AD487,1)),0)&gt;2,IF($C487=8,O487*IFERROR(INDEX('TaxCred&amp;Subs'!$K$139:$S$151,MATCH($C487&amp;$D487&amp;LEFT($AD487,7),'TaxCred&amp;Subs'!$E$139:$E$151,0),MATCH($H487,'TaxCred&amp;Subs'!$K$137:$S$137,0)),0),IF($C487=2,O487*IFERROR(INDEX('TaxCred&amp;Subs'!$K$139:$S$151,MATCH($C487&amp;$D487,'TaxCred&amp;Subs'!$D$139:$D$151,0),MATCH($H487,'TaxCred&amp;Subs'!$K$137:$S$137,0)),0),O487*IFERROR(INDEX('TaxCred&amp;Subs'!$K$139:$S$151,MATCH($C487&amp;$D487,'TaxCred&amp;Subs'!$C$139:$C$151,0),MATCH($H487,'TaxCred&amp;Subs'!$K$137:$S$137,0)),0))),0),0)</f>
        <v>0</v>
      </c>
      <c r="T487" s="95">
        <f t="shared" si="27"/>
        <v>0</v>
      </c>
      <c r="U487" s="95">
        <f t="shared" si="28"/>
        <v>0</v>
      </c>
      <c r="V487" s="28" t="s">
        <v>222</v>
      </c>
      <c r="W487" s="31">
        <v>2020</v>
      </c>
      <c r="X487" s="28">
        <v>1</v>
      </c>
      <c r="Y487" s="28">
        <v>0</v>
      </c>
      <c r="Z487" s="196">
        <v>-2.1513024844954491E-4</v>
      </c>
      <c r="AA487" s="196">
        <v>-3.3096961299929986E-3</v>
      </c>
      <c r="AB487" s="28">
        <v>0</v>
      </c>
      <c r="AC487" s="28">
        <v>0</v>
      </c>
      <c r="AD487" s="28" t="s">
        <v>336</v>
      </c>
    </row>
    <row r="488" spans="2:30" ht="14.25" customHeight="1" x14ac:dyDescent="0.2">
      <c r="B488" s="7">
        <f t="shared" si="29"/>
        <v>464</v>
      </c>
      <c r="C488" s="28">
        <v>2</v>
      </c>
      <c r="D488" s="28">
        <v>4</v>
      </c>
      <c r="E488" s="31">
        <v>14</v>
      </c>
      <c r="F488" s="78">
        <v>2022</v>
      </c>
      <c r="G488" s="28">
        <v>2032</v>
      </c>
      <c r="H488" s="28">
        <v>4</v>
      </c>
      <c r="I488" s="96">
        <v>49</v>
      </c>
      <c r="J488" s="31">
        <v>33</v>
      </c>
      <c r="K488" s="28">
        <v>0</v>
      </c>
      <c r="L488" s="28">
        <v>0</v>
      </c>
      <c r="M488" s="75">
        <v>17.100000000000001</v>
      </c>
      <c r="N488" s="151">
        <v>9500</v>
      </c>
      <c r="O488" s="79">
        <v>0</v>
      </c>
      <c r="P488" s="95">
        <f t="array" ref="P488">ROUND(IF($F488&lt;='TaxCred&amp;Subs'!$C$49,(IF($C488=2,IF($M488&gt;=IFERROR(INDEX('TaxCred&amp;Subs'!$L$12:$L$47,MATCH(1,($C488&amp;$D488='TaxCred&amp;Subs'!$E$12:$E$47)*($F488='TaxCred&amp;Subs'!$C$12:$C$47),0)
),9999),IFERROR(INDEX('TaxCred&amp;Subs'!$N$12:$N$47,MATCH(1,($C488&amp;$D488='TaxCred&amp;Subs'!$E$12:$E$47)*($F488='TaxCred&amp;Subs'!$C$12:$C$47),0)
),0),0),(IF($M488&gt;=IFERROR(INDEX('TaxCred&amp;Subs'!$H$12:$H$47,MATCH(1,($C488&amp;$D488='TaxCred&amp;Subs'!$D$12:$D$47)*($F488='TaxCred&amp;Subs'!$C$12:$C$47),0)
),9999),IFERROR(INDEX('TaxCred&amp;Subs'!$N$12:$N$47,MATCH(1,($C488&amp;$D488='TaxCred&amp;Subs'!$D$12:$D$47)*($F488='TaxCred&amp;Subs'!$C$12:$C$47),0)
),0),0)))),0)+IF(AND($C488=2,VALUE(RIGHT($AD488,1))&gt;2),(N488-R488)*(IFERROR(INDEX('TaxCred&amp;Subs'!$J$66:$J$99,MATCH(1,($C488&amp;$D488='TaxCred&amp;Subs'!$E$66:$E$99)*($F488='TaxCred&amp;Subs'!$C$66:$C$99),0)),0)),IF(AND($C488=1,VALUE(RIGHT($AD488,1))&gt;2),(N488-R488)*(IFERROR(INDEX('TaxCred&amp;Subs'!$J$66:$J$99,MATCH(1,($C488&amp;$D488='TaxCred&amp;Subs'!$D$66:$D$99)*($F488='TaxCred&amp;Subs'!$C$66:$C$99),0)),0)),IF($C488&gt;2,(N488-R488)*(IFERROR(INDEX('TaxCred&amp;Subs'!$J$66:$J$99,MATCH(1,($C488&amp;$D488='TaxCred&amp;Subs'!$D$66:$D$99)*($F488='TaxCred&amp;Subs'!$C$66:$C$99),0)),0)),0))),0)</f>
        <v>2666</v>
      </c>
      <c r="Q488" s="95">
        <f t="array" ref="Q488">ROUND(IF(AND($C488=2,VALUE(RIGHT($AD488,1))&gt;2),(O488-S488)*(IFERROR(INDEX('TaxCred&amp;Subs'!$J$66:$J$99,MATCH(1,($C488&amp;$D488='TaxCred&amp;Subs'!$E$66:$E$99)*($F488='TaxCred&amp;Subs'!$C$66:$C$99),0)),0)),IF(AND($C488=1,VALUE(RIGHT($AD488,1))&gt;2),(O488-S488)*(IFERROR(INDEX('TaxCred&amp;Subs'!$J$66:$J$99,MATCH(1,($C488&amp;$D488='TaxCred&amp;Subs'!$D$66:$D$99)*($F488='TaxCred&amp;Subs'!$C$66:$C$99),0)),0)),IF($C488&gt;2,(O488-S488)*(IFERROR(INDEX('TaxCred&amp;Subs'!$J$66:$J$99,MATCH(1,($C488&amp;$D488='TaxCred&amp;Subs'!$D$66:$D$99)*($F488='TaxCred&amp;Subs'!$C$66:$C$99),0)),0)),0))),0)</f>
        <v>0</v>
      </c>
      <c r="R488" s="170">
        <f t="array" ref="R488">ROUND(IF(IFERROR(VALUE(RIGHT($AD488,1)),0)&gt;2,IF($C488=8,N488*IFERROR(INDEX('TaxCred&amp;Subs'!$K$139:$S$151,MATCH($C488&amp;$D488&amp;LEFT($AD488,7),'TaxCred&amp;Subs'!$E$139:$E$151,0),MATCH($H488,'TaxCred&amp;Subs'!$K$137:$S$137,0)),0),IF($C488=2,N488*IFERROR(INDEX('TaxCred&amp;Subs'!$K$139:$S$151,MATCH($C488&amp;$D488,'TaxCred&amp;Subs'!$D$139:$D$151,0),MATCH($H488,'TaxCred&amp;Subs'!$K$137:$S$137,0)),0),N488*IFERROR(INDEX('TaxCred&amp;Subs'!$K$139:$S$151,MATCH($C488&amp;$D488,'TaxCred&amp;Subs'!$C$139:$C$151,0),MATCH($H488,'TaxCred&amp;Subs'!$K$137:$S$137,0)),0))),0),0)</f>
        <v>612</v>
      </c>
      <c r="S488" s="170">
        <f t="array" ref="S488">ROUND(IF(IFERROR(VALUE(RIGHT($AD488,1)),0)&gt;2,IF($C488=8,O488*IFERROR(INDEX('TaxCred&amp;Subs'!$K$139:$S$151,MATCH($C488&amp;$D488&amp;LEFT($AD488,7),'TaxCred&amp;Subs'!$E$139:$E$151,0),MATCH($H488,'TaxCred&amp;Subs'!$K$137:$S$137,0)),0),IF($C488=2,O488*IFERROR(INDEX('TaxCred&amp;Subs'!$K$139:$S$151,MATCH($C488&amp;$D488,'TaxCred&amp;Subs'!$D$139:$D$151,0),MATCH($H488,'TaxCred&amp;Subs'!$K$137:$S$137,0)),0),O488*IFERROR(INDEX('TaxCred&amp;Subs'!$K$139:$S$151,MATCH($C488&amp;$D488,'TaxCred&amp;Subs'!$C$139:$C$151,0),MATCH($H488,'TaxCred&amp;Subs'!$K$137:$S$137,0)),0))),0),0)</f>
        <v>0</v>
      </c>
      <c r="T488" s="95">
        <f t="shared" si="27"/>
        <v>0</v>
      </c>
      <c r="U488" s="95">
        <f t="shared" si="28"/>
        <v>0</v>
      </c>
      <c r="V488" s="28" t="s">
        <v>222</v>
      </c>
      <c r="W488" s="31">
        <v>2020</v>
      </c>
      <c r="X488" s="28">
        <v>1</v>
      </c>
      <c r="Y488" s="28">
        <v>0</v>
      </c>
      <c r="Z488" s="196">
        <v>-2.1513024844954491E-4</v>
      </c>
      <c r="AA488" s="196">
        <v>-3.3096961299929986E-3</v>
      </c>
      <c r="AB488" s="28">
        <v>0</v>
      </c>
      <c r="AC488" s="28">
        <v>0</v>
      </c>
      <c r="AD488" s="28" t="s">
        <v>336</v>
      </c>
    </row>
    <row r="489" spans="2:30" ht="14.25" customHeight="1" x14ac:dyDescent="0.2">
      <c r="B489" s="7">
        <f t="shared" si="29"/>
        <v>465</v>
      </c>
      <c r="C489" s="28">
        <v>2</v>
      </c>
      <c r="D489" s="28">
        <v>4</v>
      </c>
      <c r="E489" s="31">
        <v>14</v>
      </c>
      <c r="F489" s="78">
        <v>2022</v>
      </c>
      <c r="G489" s="28">
        <v>2032</v>
      </c>
      <c r="H489" s="28">
        <v>5</v>
      </c>
      <c r="I489" s="96">
        <v>49</v>
      </c>
      <c r="J489" s="31">
        <v>33</v>
      </c>
      <c r="K489" s="28">
        <v>0</v>
      </c>
      <c r="L489" s="28">
        <v>0</v>
      </c>
      <c r="M489" s="75">
        <v>17.100000000000001</v>
      </c>
      <c r="N489" s="151">
        <v>9500</v>
      </c>
      <c r="O489" s="79">
        <v>0</v>
      </c>
      <c r="P489" s="95">
        <f t="array" ref="P489">ROUND(IF($F489&lt;='TaxCred&amp;Subs'!$C$49,(IF($C489=2,IF($M489&gt;=IFERROR(INDEX('TaxCred&amp;Subs'!$L$12:$L$47,MATCH(1,($C489&amp;$D489='TaxCred&amp;Subs'!$E$12:$E$47)*($F489='TaxCred&amp;Subs'!$C$12:$C$47),0)
),9999),IFERROR(INDEX('TaxCred&amp;Subs'!$N$12:$N$47,MATCH(1,($C489&amp;$D489='TaxCred&amp;Subs'!$E$12:$E$47)*($F489='TaxCred&amp;Subs'!$C$12:$C$47),0)
),0),0),(IF($M489&gt;=IFERROR(INDEX('TaxCred&amp;Subs'!$H$12:$H$47,MATCH(1,($C489&amp;$D489='TaxCred&amp;Subs'!$D$12:$D$47)*($F489='TaxCred&amp;Subs'!$C$12:$C$47),0)
),9999),IFERROR(INDEX('TaxCred&amp;Subs'!$N$12:$N$47,MATCH(1,($C489&amp;$D489='TaxCred&amp;Subs'!$D$12:$D$47)*($F489='TaxCred&amp;Subs'!$C$12:$C$47),0)
),0),0)))),0)+IF(AND($C489=2,VALUE(RIGHT($AD489,1))&gt;2),(N489-R489)*(IFERROR(INDEX('TaxCred&amp;Subs'!$J$66:$J$99,MATCH(1,($C489&amp;$D489='TaxCred&amp;Subs'!$E$66:$E$99)*($F489='TaxCred&amp;Subs'!$C$66:$C$99),0)),0)),IF(AND($C489=1,VALUE(RIGHT($AD489,1))&gt;2),(N489-R489)*(IFERROR(INDEX('TaxCred&amp;Subs'!$J$66:$J$99,MATCH(1,($C489&amp;$D489='TaxCred&amp;Subs'!$D$66:$D$99)*($F489='TaxCred&amp;Subs'!$C$66:$C$99),0)),0)),IF($C489&gt;2,(N489-R489)*(IFERROR(INDEX('TaxCred&amp;Subs'!$J$66:$J$99,MATCH(1,($C489&amp;$D489='TaxCred&amp;Subs'!$D$66:$D$99)*($F489='TaxCred&amp;Subs'!$C$66:$C$99),0)),0)),0))),0)</f>
        <v>2651</v>
      </c>
      <c r="Q489" s="95">
        <f t="array" ref="Q489">ROUND(IF(AND($C489=2,VALUE(RIGHT($AD489,1))&gt;2),(O489-S489)*(IFERROR(INDEX('TaxCred&amp;Subs'!$J$66:$J$99,MATCH(1,($C489&amp;$D489='TaxCred&amp;Subs'!$E$66:$E$99)*($F489='TaxCred&amp;Subs'!$C$66:$C$99),0)),0)),IF(AND($C489=1,VALUE(RIGHT($AD489,1))&gt;2),(O489-S489)*(IFERROR(INDEX('TaxCred&amp;Subs'!$J$66:$J$99,MATCH(1,($C489&amp;$D489='TaxCred&amp;Subs'!$D$66:$D$99)*($F489='TaxCred&amp;Subs'!$C$66:$C$99),0)),0)),IF($C489&gt;2,(O489-S489)*(IFERROR(INDEX('TaxCred&amp;Subs'!$J$66:$J$99,MATCH(1,($C489&amp;$D489='TaxCred&amp;Subs'!$D$66:$D$99)*($F489='TaxCred&amp;Subs'!$C$66:$C$99),0)),0)),0))),0)</f>
        <v>0</v>
      </c>
      <c r="R489" s="170">
        <f t="array" ref="R489">ROUND(IF(IFERROR(VALUE(RIGHT($AD489,1)),0)&gt;2,IF($C489=8,N489*IFERROR(INDEX('TaxCred&amp;Subs'!$K$139:$S$151,MATCH($C489&amp;$D489&amp;LEFT($AD489,7),'TaxCred&amp;Subs'!$E$139:$E$151,0),MATCH($H489,'TaxCred&amp;Subs'!$K$137:$S$137,0)),0),IF($C489=2,N489*IFERROR(INDEX('TaxCred&amp;Subs'!$K$139:$S$151,MATCH($C489&amp;$D489,'TaxCred&amp;Subs'!$D$139:$D$151,0),MATCH($H489,'TaxCred&amp;Subs'!$K$137:$S$137,0)),0),N489*IFERROR(INDEX('TaxCred&amp;Subs'!$K$139:$S$151,MATCH($C489&amp;$D489,'TaxCred&amp;Subs'!$C$139:$C$151,0),MATCH($H489,'TaxCred&amp;Subs'!$K$137:$S$137,0)),0))),0),0)</f>
        <v>663</v>
      </c>
      <c r="S489" s="170">
        <f t="array" ref="S489">ROUND(IF(IFERROR(VALUE(RIGHT($AD489,1)),0)&gt;2,IF($C489=8,O489*IFERROR(INDEX('TaxCred&amp;Subs'!$K$139:$S$151,MATCH($C489&amp;$D489&amp;LEFT($AD489,7),'TaxCred&amp;Subs'!$E$139:$E$151,0),MATCH($H489,'TaxCred&amp;Subs'!$K$137:$S$137,0)),0),IF($C489=2,O489*IFERROR(INDEX('TaxCred&amp;Subs'!$K$139:$S$151,MATCH($C489&amp;$D489,'TaxCred&amp;Subs'!$D$139:$D$151,0),MATCH($H489,'TaxCred&amp;Subs'!$K$137:$S$137,0)),0),O489*IFERROR(INDEX('TaxCred&amp;Subs'!$K$139:$S$151,MATCH($C489&amp;$D489,'TaxCred&amp;Subs'!$C$139:$C$151,0),MATCH($H489,'TaxCred&amp;Subs'!$K$137:$S$137,0)),0))),0),0)</f>
        <v>0</v>
      </c>
      <c r="T489" s="95">
        <f t="shared" si="27"/>
        <v>0</v>
      </c>
      <c r="U489" s="95">
        <f t="shared" si="28"/>
        <v>0</v>
      </c>
      <c r="V489" s="28" t="s">
        <v>222</v>
      </c>
      <c r="W489" s="31">
        <v>2020</v>
      </c>
      <c r="X489" s="28">
        <v>1</v>
      </c>
      <c r="Y489" s="28">
        <v>0</v>
      </c>
      <c r="Z489" s="196">
        <v>-2.1513024844954491E-4</v>
      </c>
      <c r="AA489" s="196">
        <v>-3.3096961299929986E-3</v>
      </c>
      <c r="AB489" s="28">
        <v>0</v>
      </c>
      <c r="AC489" s="28">
        <v>0</v>
      </c>
      <c r="AD489" s="28" t="s">
        <v>336</v>
      </c>
    </row>
    <row r="490" spans="2:30" ht="14.25" customHeight="1" x14ac:dyDescent="0.2">
      <c r="B490" s="7">
        <f t="shared" si="29"/>
        <v>466</v>
      </c>
      <c r="C490" s="28">
        <v>2</v>
      </c>
      <c r="D490" s="28">
        <v>4</v>
      </c>
      <c r="E490" s="31">
        <v>14</v>
      </c>
      <c r="F490" s="78">
        <v>2022</v>
      </c>
      <c r="G490" s="28">
        <v>2032</v>
      </c>
      <c r="H490" s="28">
        <v>6</v>
      </c>
      <c r="I490" s="96">
        <v>49</v>
      </c>
      <c r="J490" s="31">
        <v>33</v>
      </c>
      <c r="K490" s="28">
        <v>0</v>
      </c>
      <c r="L490" s="28">
        <v>0</v>
      </c>
      <c r="M490" s="75">
        <v>17.100000000000001</v>
      </c>
      <c r="N490" s="151">
        <v>9500</v>
      </c>
      <c r="O490" s="79">
        <v>0</v>
      </c>
      <c r="P490" s="95">
        <f t="array" ref="P490">ROUND(IF($F490&lt;='TaxCred&amp;Subs'!$C$49,(IF($C490=2,IF($M490&gt;=IFERROR(INDEX('TaxCred&amp;Subs'!$L$12:$L$47,MATCH(1,($C490&amp;$D490='TaxCred&amp;Subs'!$E$12:$E$47)*($F490='TaxCred&amp;Subs'!$C$12:$C$47),0)
),9999),IFERROR(INDEX('TaxCred&amp;Subs'!$N$12:$N$47,MATCH(1,($C490&amp;$D490='TaxCred&amp;Subs'!$E$12:$E$47)*($F490='TaxCred&amp;Subs'!$C$12:$C$47),0)
),0),0),(IF($M490&gt;=IFERROR(INDEX('TaxCred&amp;Subs'!$H$12:$H$47,MATCH(1,($C490&amp;$D490='TaxCred&amp;Subs'!$D$12:$D$47)*($F490='TaxCred&amp;Subs'!$C$12:$C$47),0)
),9999),IFERROR(INDEX('TaxCred&amp;Subs'!$N$12:$N$47,MATCH(1,($C490&amp;$D490='TaxCred&amp;Subs'!$D$12:$D$47)*($F490='TaxCred&amp;Subs'!$C$12:$C$47),0)
),0),0)))),0)+IF(AND($C490=2,VALUE(RIGHT($AD490,1))&gt;2),(N490-R490)*(IFERROR(INDEX('TaxCred&amp;Subs'!$J$66:$J$99,MATCH(1,($C490&amp;$D490='TaxCred&amp;Subs'!$E$66:$E$99)*($F490='TaxCred&amp;Subs'!$C$66:$C$99),0)),0)),IF(AND($C490=1,VALUE(RIGHT($AD490,1))&gt;2),(N490-R490)*(IFERROR(INDEX('TaxCred&amp;Subs'!$J$66:$J$99,MATCH(1,($C490&amp;$D490='TaxCred&amp;Subs'!$D$66:$D$99)*($F490='TaxCred&amp;Subs'!$C$66:$C$99),0)),0)),IF($C490&gt;2,(N490-R490)*(IFERROR(INDEX('TaxCred&amp;Subs'!$J$66:$J$99,MATCH(1,($C490&amp;$D490='TaxCred&amp;Subs'!$D$66:$D$99)*($F490='TaxCred&amp;Subs'!$C$66:$C$99),0)),0)),0))),0)</f>
        <v>2599</v>
      </c>
      <c r="Q490" s="95">
        <f t="array" ref="Q490">ROUND(IF(AND($C490=2,VALUE(RIGHT($AD490,1))&gt;2),(O490-S490)*(IFERROR(INDEX('TaxCred&amp;Subs'!$J$66:$J$99,MATCH(1,($C490&amp;$D490='TaxCred&amp;Subs'!$E$66:$E$99)*($F490='TaxCred&amp;Subs'!$C$66:$C$99),0)),0)),IF(AND($C490=1,VALUE(RIGHT($AD490,1))&gt;2),(O490-S490)*(IFERROR(INDEX('TaxCred&amp;Subs'!$J$66:$J$99,MATCH(1,($C490&amp;$D490='TaxCred&amp;Subs'!$D$66:$D$99)*($F490='TaxCred&amp;Subs'!$C$66:$C$99),0)),0)),IF($C490&gt;2,(O490-S490)*(IFERROR(INDEX('TaxCred&amp;Subs'!$J$66:$J$99,MATCH(1,($C490&amp;$D490='TaxCred&amp;Subs'!$D$66:$D$99)*($F490='TaxCred&amp;Subs'!$C$66:$C$99),0)),0)),0))),0)</f>
        <v>0</v>
      </c>
      <c r="R490" s="170">
        <f t="array" ref="R490">ROUND(IF(IFERROR(VALUE(RIGHT($AD490,1)),0)&gt;2,IF($C490=8,N490*IFERROR(INDEX('TaxCred&amp;Subs'!$K$139:$S$151,MATCH($C490&amp;$D490&amp;LEFT($AD490,7),'TaxCred&amp;Subs'!$E$139:$E$151,0),MATCH($H490,'TaxCred&amp;Subs'!$K$137:$S$137,0)),0),IF($C490=2,N490*IFERROR(INDEX('TaxCred&amp;Subs'!$K$139:$S$151,MATCH($C490&amp;$D490,'TaxCred&amp;Subs'!$D$139:$D$151,0),MATCH($H490,'TaxCred&amp;Subs'!$K$137:$S$137,0)),0),N490*IFERROR(INDEX('TaxCred&amp;Subs'!$K$139:$S$151,MATCH($C490&amp;$D490,'TaxCred&amp;Subs'!$C$139:$C$151,0),MATCH($H490,'TaxCred&amp;Subs'!$K$137:$S$137,0)),0))),0),0)</f>
        <v>837</v>
      </c>
      <c r="S490" s="170">
        <f t="array" ref="S490">ROUND(IF(IFERROR(VALUE(RIGHT($AD490,1)),0)&gt;2,IF($C490=8,O490*IFERROR(INDEX('TaxCred&amp;Subs'!$K$139:$S$151,MATCH($C490&amp;$D490&amp;LEFT($AD490,7),'TaxCred&amp;Subs'!$E$139:$E$151,0),MATCH($H490,'TaxCred&amp;Subs'!$K$137:$S$137,0)),0),IF($C490=2,O490*IFERROR(INDEX('TaxCred&amp;Subs'!$K$139:$S$151,MATCH($C490&amp;$D490,'TaxCred&amp;Subs'!$D$139:$D$151,0),MATCH($H490,'TaxCred&amp;Subs'!$K$137:$S$137,0)),0),O490*IFERROR(INDEX('TaxCred&amp;Subs'!$K$139:$S$151,MATCH($C490&amp;$D490,'TaxCred&amp;Subs'!$C$139:$C$151,0),MATCH($H490,'TaxCred&amp;Subs'!$K$137:$S$137,0)),0))),0),0)</f>
        <v>0</v>
      </c>
      <c r="T490" s="95">
        <f t="shared" si="27"/>
        <v>0</v>
      </c>
      <c r="U490" s="95">
        <f t="shared" si="28"/>
        <v>0</v>
      </c>
      <c r="V490" s="28" t="s">
        <v>222</v>
      </c>
      <c r="W490" s="31">
        <v>2020</v>
      </c>
      <c r="X490" s="28">
        <v>1</v>
      </c>
      <c r="Y490" s="28">
        <v>0</v>
      </c>
      <c r="Z490" s="196">
        <v>-2.1513024844954491E-4</v>
      </c>
      <c r="AA490" s="196">
        <v>-3.3096961299929986E-3</v>
      </c>
      <c r="AB490" s="28">
        <v>0</v>
      </c>
      <c r="AC490" s="28">
        <v>0</v>
      </c>
      <c r="AD490" s="28" t="s">
        <v>336</v>
      </c>
    </row>
    <row r="491" spans="2:30" ht="14.25" customHeight="1" x14ac:dyDescent="0.2">
      <c r="B491" s="7">
        <f t="shared" si="29"/>
        <v>467</v>
      </c>
      <c r="C491" s="28">
        <v>2</v>
      </c>
      <c r="D491" s="28">
        <v>4</v>
      </c>
      <c r="E491" s="31">
        <v>14</v>
      </c>
      <c r="F491" s="78">
        <v>2022</v>
      </c>
      <c r="G491" s="28">
        <v>2032</v>
      </c>
      <c r="H491" s="28">
        <v>7</v>
      </c>
      <c r="I491" s="96">
        <v>49</v>
      </c>
      <c r="J491" s="31">
        <v>33</v>
      </c>
      <c r="K491" s="28">
        <v>0</v>
      </c>
      <c r="L491" s="28">
        <v>0</v>
      </c>
      <c r="M491" s="75">
        <v>17.100000000000001</v>
      </c>
      <c r="N491" s="151">
        <v>9500</v>
      </c>
      <c r="O491" s="79">
        <v>0</v>
      </c>
      <c r="P491" s="95">
        <f t="array" ref="P491">ROUND(IF($F491&lt;='TaxCred&amp;Subs'!$C$49,(IF($C491=2,IF($M491&gt;=IFERROR(INDEX('TaxCred&amp;Subs'!$L$12:$L$47,MATCH(1,($C491&amp;$D491='TaxCred&amp;Subs'!$E$12:$E$47)*($F491='TaxCred&amp;Subs'!$C$12:$C$47),0)
),9999),IFERROR(INDEX('TaxCred&amp;Subs'!$N$12:$N$47,MATCH(1,($C491&amp;$D491='TaxCred&amp;Subs'!$E$12:$E$47)*($F491='TaxCred&amp;Subs'!$C$12:$C$47),0)
),0),0),(IF($M491&gt;=IFERROR(INDEX('TaxCred&amp;Subs'!$H$12:$H$47,MATCH(1,($C491&amp;$D491='TaxCred&amp;Subs'!$D$12:$D$47)*($F491='TaxCred&amp;Subs'!$C$12:$C$47),0)
),9999),IFERROR(INDEX('TaxCred&amp;Subs'!$N$12:$N$47,MATCH(1,($C491&amp;$D491='TaxCred&amp;Subs'!$D$12:$D$47)*($F491='TaxCred&amp;Subs'!$C$12:$C$47),0)
),0),0)))),0)+IF(AND($C491=2,VALUE(RIGHT($AD491,1))&gt;2),(N491-R491)*(IFERROR(INDEX('TaxCred&amp;Subs'!$J$66:$J$99,MATCH(1,($C491&amp;$D491='TaxCred&amp;Subs'!$E$66:$E$99)*($F491='TaxCred&amp;Subs'!$C$66:$C$99),0)),0)),IF(AND($C491=1,VALUE(RIGHT($AD491,1))&gt;2),(N491-R491)*(IFERROR(INDEX('TaxCred&amp;Subs'!$J$66:$J$99,MATCH(1,($C491&amp;$D491='TaxCred&amp;Subs'!$D$66:$D$99)*($F491='TaxCred&amp;Subs'!$C$66:$C$99),0)),0)),IF($C491&gt;2,(N491-R491)*(IFERROR(INDEX('TaxCred&amp;Subs'!$J$66:$J$99,MATCH(1,($C491&amp;$D491='TaxCred&amp;Subs'!$D$66:$D$99)*($F491='TaxCred&amp;Subs'!$C$66:$C$99),0)),0)),0))),0)</f>
        <v>2745</v>
      </c>
      <c r="Q491" s="95">
        <f t="array" ref="Q491">ROUND(IF(AND($C491=2,VALUE(RIGHT($AD491,1))&gt;2),(O491-S491)*(IFERROR(INDEX('TaxCred&amp;Subs'!$J$66:$J$99,MATCH(1,($C491&amp;$D491='TaxCred&amp;Subs'!$E$66:$E$99)*($F491='TaxCred&amp;Subs'!$C$66:$C$99),0)),0)),IF(AND($C491=1,VALUE(RIGHT($AD491,1))&gt;2),(O491-S491)*(IFERROR(INDEX('TaxCred&amp;Subs'!$J$66:$J$99,MATCH(1,($C491&amp;$D491='TaxCred&amp;Subs'!$D$66:$D$99)*($F491='TaxCred&amp;Subs'!$C$66:$C$99),0)),0)),IF($C491&gt;2,(O491-S491)*(IFERROR(INDEX('TaxCred&amp;Subs'!$J$66:$J$99,MATCH(1,($C491&amp;$D491='TaxCred&amp;Subs'!$D$66:$D$99)*($F491='TaxCred&amp;Subs'!$C$66:$C$99),0)),0)),0))),0)</f>
        <v>0</v>
      </c>
      <c r="R491" s="170">
        <f t="array" ref="R491">ROUND(IF(IFERROR(VALUE(RIGHT($AD491,1)),0)&gt;2,IF($C491=8,N491*IFERROR(INDEX('TaxCred&amp;Subs'!$K$139:$S$151,MATCH($C491&amp;$D491&amp;LEFT($AD491,7),'TaxCred&amp;Subs'!$E$139:$E$151,0),MATCH($H491,'TaxCred&amp;Subs'!$K$137:$S$137,0)),0),IF($C491=2,N491*IFERROR(INDEX('TaxCred&amp;Subs'!$K$139:$S$151,MATCH($C491&amp;$D491,'TaxCred&amp;Subs'!$D$139:$D$151,0),MATCH($H491,'TaxCred&amp;Subs'!$K$137:$S$137,0)),0),N491*IFERROR(INDEX('TaxCred&amp;Subs'!$K$139:$S$151,MATCH($C491&amp;$D491,'TaxCred&amp;Subs'!$C$139:$C$151,0),MATCH($H491,'TaxCred&amp;Subs'!$K$137:$S$137,0)),0))),0),0)</f>
        <v>351</v>
      </c>
      <c r="S491" s="170">
        <f t="array" ref="S491">ROUND(IF(IFERROR(VALUE(RIGHT($AD491,1)),0)&gt;2,IF($C491=8,O491*IFERROR(INDEX('TaxCred&amp;Subs'!$K$139:$S$151,MATCH($C491&amp;$D491&amp;LEFT($AD491,7),'TaxCred&amp;Subs'!$E$139:$E$151,0),MATCH($H491,'TaxCred&amp;Subs'!$K$137:$S$137,0)),0),IF($C491=2,O491*IFERROR(INDEX('TaxCred&amp;Subs'!$K$139:$S$151,MATCH($C491&amp;$D491,'TaxCred&amp;Subs'!$D$139:$D$151,0),MATCH($H491,'TaxCred&amp;Subs'!$K$137:$S$137,0)),0),O491*IFERROR(INDEX('TaxCred&amp;Subs'!$K$139:$S$151,MATCH($C491&amp;$D491,'TaxCred&amp;Subs'!$C$139:$C$151,0),MATCH($H491,'TaxCred&amp;Subs'!$K$137:$S$137,0)),0))),0),0)</f>
        <v>0</v>
      </c>
      <c r="T491" s="95">
        <f t="shared" si="27"/>
        <v>0</v>
      </c>
      <c r="U491" s="95">
        <f t="shared" si="28"/>
        <v>0</v>
      </c>
      <c r="V491" s="28" t="s">
        <v>222</v>
      </c>
      <c r="W491" s="31">
        <v>2020</v>
      </c>
      <c r="X491" s="28">
        <v>1</v>
      </c>
      <c r="Y491" s="28">
        <v>0</v>
      </c>
      <c r="Z491" s="196">
        <v>-2.1513024844954491E-4</v>
      </c>
      <c r="AA491" s="196">
        <v>-3.3096961299929986E-3</v>
      </c>
      <c r="AB491" s="28">
        <v>0</v>
      </c>
      <c r="AC491" s="28">
        <v>0</v>
      </c>
      <c r="AD491" s="28" t="s">
        <v>336</v>
      </c>
    </row>
    <row r="492" spans="2:30" ht="14.25" customHeight="1" x14ac:dyDescent="0.2">
      <c r="B492" s="7">
        <f t="shared" si="29"/>
        <v>468</v>
      </c>
      <c r="C492" s="28">
        <v>2</v>
      </c>
      <c r="D492" s="28">
        <v>4</v>
      </c>
      <c r="E492" s="31">
        <v>14</v>
      </c>
      <c r="F492" s="78">
        <v>2022</v>
      </c>
      <c r="G492" s="28">
        <v>2032</v>
      </c>
      <c r="H492" s="28">
        <v>8</v>
      </c>
      <c r="I492" s="96">
        <v>49</v>
      </c>
      <c r="J492" s="31">
        <v>33</v>
      </c>
      <c r="K492" s="28">
        <v>0</v>
      </c>
      <c r="L492" s="28">
        <v>0</v>
      </c>
      <c r="M492" s="75">
        <v>17.100000000000001</v>
      </c>
      <c r="N492" s="151">
        <v>9500</v>
      </c>
      <c r="O492" s="79">
        <v>0</v>
      </c>
      <c r="P492" s="95">
        <f t="array" ref="P492">ROUND(IF($F492&lt;='TaxCred&amp;Subs'!$C$49,(IF($C492=2,IF($M492&gt;=IFERROR(INDEX('TaxCred&amp;Subs'!$L$12:$L$47,MATCH(1,($C492&amp;$D492='TaxCred&amp;Subs'!$E$12:$E$47)*($F492='TaxCred&amp;Subs'!$C$12:$C$47),0)
),9999),IFERROR(INDEX('TaxCred&amp;Subs'!$N$12:$N$47,MATCH(1,($C492&amp;$D492='TaxCred&amp;Subs'!$E$12:$E$47)*($F492='TaxCred&amp;Subs'!$C$12:$C$47),0)
),0),0),(IF($M492&gt;=IFERROR(INDEX('TaxCred&amp;Subs'!$H$12:$H$47,MATCH(1,($C492&amp;$D492='TaxCred&amp;Subs'!$D$12:$D$47)*($F492='TaxCred&amp;Subs'!$C$12:$C$47),0)
),9999),IFERROR(INDEX('TaxCred&amp;Subs'!$N$12:$N$47,MATCH(1,($C492&amp;$D492='TaxCred&amp;Subs'!$D$12:$D$47)*($F492='TaxCred&amp;Subs'!$C$12:$C$47),0)
),0),0)))),0)+IF(AND($C492=2,VALUE(RIGHT($AD492,1))&gt;2),(N492-R492)*(IFERROR(INDEX('TaxCred&amp;Subs'!$J$66:$J$99,MATCH(1,($C492&amp;$D492='TaxCred&amp;Subs'!$E$66:$E$99)*($F492='TaxCred&amp;Subs'!$C$66:$C$99),0)),0)),IF(AND($C492=1,VALUE(RIGHT($AD492,1))&gt;2),(N492-R492)*(IFERROR(INDEX('TaxCred&amp;Subs'!$J$66:$J$99,MATCH(1,($C492&amp;$D492='TaxCred&amp;Subs'!$D$66:$D$99)*($F492='TaxCred&amp;Subs'!$C$66:$C$99),0)),0)),IF($C492&gt;2,(N492-R492)*(IFERROR(INDEX('TaxCred&amp;Subs'!$J$66:$J$99,MATCH(1,($C492&amp;$D492='TaxCred&amp;Subs'!$D$66:$D$99)*($F492='TaxCred&amp;Subs'!$C$66:$C$99),0)),0)),0))),0)</f>
        <v>2707</v>
      </c>
      <c r="Q492" s="95">
        <f t="array" ref="Q492">ROUND(IF(AND($C492=2,VALUE(RIGHT($AD492,1))&gt;2),(O492-S492)*(IFERROR(INDEX('TaxCred&amp;Subs'!$J$66:$J$99,MATCH(1,($C492&amp;$D492='TaxCred&amp;Subs'!$E$66:$E$99)*($F492='TaxCred&amp;Subs'!$C$66:$C$99),0)),0)),IF(AND($C492=1,VALUE(RIGHT($AD492,1))&gt;2),(O492-S492)*(IFERROR(INDEX('TaxCred&amp;Subs'!$J$66:$J$99,MATCH(1,($C492&amp;$D492='TaxCred&amp;Subs'!$D$66:$D$99)*($F492='TaxCred&amp;Subs'!$C$66:$C$99),0)),0)),IF($C492&gt;2,(O492-S492)*(IFERROR(INDEX('TaxCred&amp;Subs'!$J$66:$J$99,MATCH(1,($C492&amp;$D492='TaxCred&amp;Subs'!$D$66:$D$99)*($F492='TaxCred&amp;Subs'!$C$66:$C$99),0)),0)),0))),0)</f>
        <v>0</v>
      </c>
      <c r="R492" s="170">
        <f t="array" ref="R492">ROUND(IF(IFERROR(VALUE(RIGHT($AD492,1)),0)&gt;2,IF($C492=8,N492*IFERROR(INDEX('TaxCred&amp;Subs'!$K$139:$S$151,MATCH($C492&amp;$D492&amp;LEFT($AD492,7),'TaxCred&amp;Subs'!$E$139:$E$151,0),MATCH($H492,'TaxCred&amp;Subs'!$K$137:$S$137,0)),0),IF($C492=2,N492*IFERROR(INDEX('TaxCred&amp;Subs'!$K$139:$S$151,MATCH($C492&amp;$D492,'TaxCred&amp;Subs'!$D$139:$D$151,0),MATCH($H492,'TaxCred&amp;Subs'!$K$137:$S$137,0)),0),N492*IFERROR(INDEX('TaxCred&amp;Subs'!$K$139:$S$151,MATCH($C492&amp;$D492,'TaxCred&amp;Subs'!$C$139:$C$151,0),MATCH($H492,'TaxCred&amp;Subs'!$K$137:$S$137,0)),0))),0),0)</f>
        <v>478</v>
      </c>
      <c r="S492" s="170">
        <f t="array" ref="S492">ROUND(IF(IFERROR(VALUE(RIGHT($AD492,1)),0)&gt;2,IF($C492=8,O492*IFERROR(INDEX('TaxCred&amp;Subs'!$K$139:$S$151,MATCH($C492&amp;$D492&amp;LEFT($AD492,7),'TaxCred&amp;Subs'!$E$139:$E$151,0),MATCH($H492,'TaxCred&amp;Subs'!$K$137:$S$137,0)),0),IF($C492=2,O492*IFERROR(INDEX('TaxCred&amp;Subs'!$K$139:$S$151,MATCH($C492&amp;$D492,'TaxCred&amp;Subs'!$D$139:$D$151,0),MATCH($H492,'TaxCred&amp;Subs'!$K$137:$S$137,0)),0),O492*IFERROR(INDEX('TaxCred&amp;Subs'!$K$139:$S$151,MATCH($C492&amp;$D492,'TaxCred&amp;Subs'!$C$139:$C$151,0),MATCH($H492,'TaxCred&amp;Subs'!$K$137:$S$137,0)),0))),0),0)</f>
        <v>0</v>
      </c>
      <c r="T492" s="95">
        <f t="shared" si="27"/>
        <v>0</v>
      </c>
      <c r="U492" s="95">
        <f t="shared" si="28"/>
        <v>0</v>
      </c>
      <c r="V492" s="28" t="s">
        <v>222</v>
      </c>
      <c r="W492" s="31">
        <v>2020</v>
      </c>
      <c r="X492" s="28">
        <v>1</v>
      </c>
      <c r="Y492" s="28">
        <v>0</v>
      </c>
      <c r="Z492" s="196">
        <v>-2.1513024844954491E-4</v>
      </c>
      <c r="AA492" s="196">
        <v>-3.3096961299929986E-3</v>
      </c>
      <c r="AB492" s="28">
        <v>0</v>
      </c>
      <c r="AC492" s="28">
        <v>0</v>
      </c>
      <c r="AD492" s="28" t="s">
        <v>336</v>
      </c>
    </row>
    <row r="493" spans="2:30" ht="14.25" customHeight="1" x14ac:dyDescent="0.2">
      <c r="B493" s="7">
        <f t="shared" si="29"/>
        <v>469</v>
      </c>
      <c r="C493" s="28">
        <v>2</v>
      </c>
      <c r="D493" s="28">
        <v>4</v>
      </c>
      <c r="E493" s="31">
        <v>14</v>
      </c>
      <c r="F493" s="78">
        <v>2022</v>
      </c>
      <c r="G493" s="28">
        <v>2032</v>
      </c>
      <c r="H493" s="28">
        <v>9</v>
      </c>
      <c r="I493" s="96">
        <v>49</v>
      </c>
      <c r="J493" s="31">
        <v>33</v>
      </c>
      <c r="K493" s="28">
        <v>0</v>
      </c>
      <c r="L493" s="28">
        <v>0</v>
      </c>
      <c r="M493" s="75">
        <v>17.100000000000001</v>
      </c>
      <c r="N493" s="151">
        <v>9500</v>
      </c>
      <c r="O493" s="79">
        <v>0</v>
      </c>
      <c r="P493" s="95">
        <f t="array" ref="P493">ROUND(IF($F493&lt;='TaxCred&amp;Subs'!$C$49,(IF($C493=2,IF($M493&gt;=IFERROR(INDEX('TaxCred&amp;Subs'!$L$12:$L$47,MATCH(1,($C493&amp;$D493='TaxCred&amp;Subs'!$E$12:$E$47)*($F493='TaxCred&amp;Subs'!$C$12:$C$47),0)
),9999),IFERROR(INDEX('TaxCred&amp;Subs'!$N$12:$N$47,MATCH(1,($C493&amp;$D493='TaxCred&amp;Subs'!$E$12:$E$47)*($F493='TaxCred&amp;Subs'!$C$12:$C$47),0)
),0),0),(IF($M493&gt;=IFERROR(INDEX('TaxCred&amp;Subs'!$H$12:$H$47,MATCH(1,($C493&amp;$D493='TaxCred&amp;Subs'!$D$12:$D$47)*($F493='TaxCred&amp;Subs'!$C$12:$C$47),0)
),9999),IFERROR(INDEX('TaxCred&amp;Subs'!$N$12:$N$47,MATCH(1,($C493&amp;$D493='TaxCred&amp;Subs'!$D$12:$D$47)*($F493='TaxCred&amp;Subs'!$C$12:$C$47),0)
),0),0)))),0)+IF(AND($C493=2,VALUE(RIGHT($AD493,1))&gt;2),(N493-R493)*(IFERROR(INDEX('TaxCred&amp;Subs'!$J$66:$J$99,MATCH(1,($C493&amp;$D493='TaxCred&amp;Subs'!$E$66:$E$99)*($F493='TaxCred&amp;Subs'!$C$66:$C$99),0)),0)),IF(AND($C493=1,VALUE(RIGHT($AD493,1))&gt;2),(N493-R493)*(IFERROR(INDEX('TaxCred&amp;Subs'!$J$66:$J$99,MATCH(1,($C493&amp;$D493='TaxCred&amp;Subs'!$D$66:$D$99)*($F493='TaxCred&amp;Subs'!$C$66:$C$99),0)),0)),IF($C493&gt;2,(N493-R493)*(IFERROR(INDEX('TaxCred&amp;Subs'!$J$66:$J$99,MATCH(1,($C493&amp;$D493='TaxCred&amp;Subs'!$D$66:$D$99)*($F493='TaxCred&amp;Subs'!$C$66:$C$99),0)),0)),0))),0)</f>
        <v>2780</v>
      </c>
      <c r="Q493" s="95">
        <f t="array" ref="Q493">ROUND(IF(AND($C493=2,VALUE(RIGHT($AD493,1))&gt;2),(O493-S493)*(IFERROR(INDEX('TaxCred&amp;Subs'!$J$66:$J$99,MATCH(1,($C493&amp;$D493='TaxCred&amp;Subs'!$E$66:$E$99)*($F493='TaxCred&amp;Subs'!$C$66:$C$99),0)),0)),IF(AND($C493=1,VALUE(RIGHT($AD493,1))&gt;2),(O493-S493)*(IFERROR(INDEX('TaxCred&amp;Subs'!$J$66:$J$99,MATCH(1,($C493&amp;$D493='TaxCred&amp;Subs'!$D$66:$D$99)*($F493='TaxCred&amp;Subs'!$C$66:$C$99),0)),0)),IF($C493&gt;2,(O493-S493)*(IFERROR(INDEX('TaxCred&amp;Subs'!$J$66:$J$99,MATCH(1,($C493&amp;$D493='TaxCred&amp;Subs'!$D$66:$D$99)*($F493='TaxCred&amp;Subs'!$C$66:$C$99),0)),0)),0))),0)</f>
        <v>0</v>
      </c>
      <c r="R493" s="170">
        <f t="array" ref="R493">ROUND(IF(IFERROR(VALUE(RIGHT($AD493,1)),0)&gt;2,IF($C493=8,N493*IFERROR(INDEX('TaxCred&amp;Subs'!$K$139:$S$151,MATCH($C493&amp;$D493&amp;LEFT($AD493,7),'TaxCred&amp;Subs'!$E$139:$E$151,0),MATCH($H493,'TaxCred&amp;Subs'!$K$137:$S$137,0)),0),IF($C493=2,N493*IFERROR(INDEX('TaxCred&amp;Subs'!$K$139:$S$151,MATCH($C493&amp;$D493,'TaxCred&amp;Subs'!$D$139:$D$151,0),MATCH($H493,'TaxCred&amp;Subs'!$K$137:$S$137,0)),0),N493*IFERROR(INDEX('TaxCred&amp;Subs'!$K$139:$S$151,MATCH($C493&amp;$D493,'TaxCred&amp;Subs'!$C$139:$C$151,0),MATCH($H493,'TaxCred&amp;Subs'!$K$137:$S$137,0)),0))),0),0)</f>
        <v>233</v>
      </c>
      <c r="S493" s="170">
        <f t="array" ref="S493">ROUND(IF(IFERROR(VALUE(RIGHT($AD493,1)),0)&gt;2,IF($C493=8,O493*IFERROR(INDEX('TaxCred&amp;Subs'!$K$139:$S$151,MATCH($C493&amp;$D493&amp;LEFT($AD493,7),'TaxCred&amp;Subs'!$E$139:$E$151,0),MATCH($H493,'TaxCred&amp;Subs'!$K$137:$S$137,0)),0),IF($C493=2,O493*IFERROR(INDEX('TaxCred&amp;Subs'!$K$139:$S$151,MATCH($C493&amp;$D493,'TaxCred&amp;Subs'!$D$139:$D$151,0),MATCH($H493,'TaxCred&amp;Subs'!$K$137:$S$137,0)),0),O493*IFERROR(INDEX('TaxCred&amp;Subs'!$K$139:$S$151,MATCH($C493&amp;$D493,'TaxCred&amp;Subs'!$C$139:$C$151,0),MATCH($H493,'TaxCred&amp;Subs'!$K$137:$S$137,0)),0))),0),0)</f>
        <v>0</v>
      </c>
      <c r="T493" s="172">
        <f t="shared" si="27"/>
        <v>1008</v>
      </c>
      <c r="U493" s="95">
        <f t="shared" si="28"/>
        <v>0</v>
      </c>
      <c r="V493" s="28" t="s">
        <v>222</v>
      </c>
      <c r="W493" s="31">
        <v>2020</v>
      </c>
      <c r="X493" s="28">
        <v>1</v>
      </c>
      <c r="Y493" s="28">
        <v>0</v>
      </c>
      <c r="Z493" s="196">
        <v>-2.1513024844954491E-4</v>
      </c>
      <c r="AA493" s="196">
        <v>-3.3096961299929986E-3</v>
      </c>
      <c r="AB493" s="28">
        <v>0</v>
      </c>
      <c r="AC493" s="28">
        <v>0</v>
      </c>
      <c r="AD493" s="28" t="s">
        <v>336</v>
      </c>
    </row>
    <row r="494" spans="2:30" ht="14.25" customHeight="1" x14ac:dyDescent="0.2">
      <c r="B494" s="7">
        <f t="shared" si="29"/>
        <v>470</v>
      </c>
      <c r="C494" s="28">
        <v>2</v>
      </c>
      <c r="D494" s="28">
        <v>4</v>
      </c>
      <c r="E494" s="31">
        <v>14</v>
      </c>
      <c r="F494" s="78">
        <v>2033</v>
      </c>
      <c r="G494" s="28">
        <v>2033</v>
      </c>
      <c r="H494" s="28">
        <v>1</v>
      </c>
      <c r="I494" s="96">
        <v>49</v>
      </c>
      <c r="J494" s="31">
        <v>33</v>
      </c>
      <c r="K494" s="28">
        <v>0</v>
      </c>
      <c r="L494" s="28">
        <v>0</v>
      </c>
      <c r="M494" s="75">
        <v>17.100000000000001</v>
      </c>
      <c r="N494" s="151">
        <v>9500</v>
      </c>
      <c r="O494" s="79">
        <v>0</v>
      </c>
      <c r="P494" s="95">
        <f t="array" ref="P494">ROUND(IF($F494&lt;='TaxCred&amp;Subs'!$C$49,(IF($C494=2,IF($M494&gt;=IFERROR(INDEX('TaxCred&amp;Subs'!$L$12:$L$47,MATCH(1,($C494&amp;$D494='TaxCred&amp;Subs'!$E$12:$E$47)*($F494='TaxCred&amp;Subs'!$C$12:$C$47),0)
),9999),IFERROR(INDEX('TaxCred&amp;Subs'!$N$12:$N$47,MATCH(1,($C494&amp;$D494='TaxCred&amp;Subs'!$E$12:$E$47)*($F494='TaxCred&amp;Subs'!$C$12:$C$47),0)
),0),0),(IF($M494&gt;=IFERROR(INDEX('TaxCred&amp;Subs'!$H$12:$H$47,MATCH(1,($C494&amp;$D494='TaxCred&amp;Subs'!$D$12:$D$47)*($F494='TaxCred&amp;Subs'!$C$12:$C$47),0)
),9999),IFERROR(INDEX('TaxCred&amp;Subs'!$N$12:$N$47,MATCH(1,($C494&amp;$D494='TaxCred&amp;Subs'!$D$12:$D$47)*($F494='TaxCred&amp;Subs'!$C$12:$C$47),0)
),0),0)))),0)+IF(AND($C494=2,VALUE(RIGHT($AD494,1))&gt;2),(N494-R494)*(IFERROR(INDEX('TaxCred&amp;Subs'!$J$66:$J$99,MATCH(1,($C494&amp;$D494='TaxCred&amp;Subs'!$E$66:$E$99)*($F494='TaxCred&amp;Subs'!$C$66:$C$99),0)),0)),IF(AND($C494=1,VALUE(RIGHT($AD494,1))&gt;2),(N494-R494)*(IFERROR(INDEX('TaxCred&amp;Subs'!$J$66:$J$99,MATCH(1,($C494&amp;$D494='TaxCred&amp;Subs'!$D$66:$D$99)*($F494='TaxCred&amp;Subs'!$C$66:$C$99),0)),0)),IF($C494&gt;2,(N494-R494)*(IFERROR(INDEX('TaxCred&amp;Subs'!$J$66:$J$99,MATCH(1,($C494&amp;$D494='TaxCred&amp;Subs'!$D$66:$D$99)*($F494='TaxCred&amp;Subs'!$C$66:$C$99),0)),0)),0))),0)</f>
        <v>1858</v>
      </c>
      <c r="Q494" s="95">
        <f t="array" ref="Q494">ROUND(IF(AND($C494=2,VALUE(RIGHT($AD494,1))&gt;2),(O494-S494)*(IFERROR(INDEX('TaxCred&amp;Subs'!$J$66:$J$99,MATCH(1,($C494&amp;$D494='TaxCred&amp;Subs'!$E$66:$E$99)*($F494='TaxCred&amp;Subs'!$C$66:$C$99),0)),0)),IF(AND($C494=1,VALUE(RIGHT($AD494,1))&gt;2),(O494-S494)*(IFERROR(INDEX('TaxCred&amp;Subs'!$J$66:$J$99,MATCH(1,($C494&amp;$D494='TaxCred&amp;Subs'!$D$66:$D$99)*($F494='TaxCred&amp;Subs'!$C$66:$C$99),0)),0)),IF($C494&gt;2,(O494-S494)*(IFERROR(INDEX('TaxCred&amp;Subs'!$J$66:$J$99,MATCH(1,($C494&amp;$D494='TaxCred&amp;Subs'!$D$66:$D$99)*($F494='TaxCred&amp;Subs'!$C$66:$C$99),0)),0)),0))),0)</f>
        <v>0</v>
      </c>
      <c r="R494" s="170">
        <f t="array" ref="R494">ROUND(IF(IFERROR(VALUE(RIGHT($AD494,1)),0)&gt;2,IF($C494=8,N494*IFERROR(INDEX('TaxCred&amp;Subs'!$K$139:$S$151,MATCH($C494&amp;$D494&amp;LEFT($AD494,7),'TaxCred&amp;Subs'!$E$139:$E$151,0),MATCH($H494,'TaxCred&amp;Subs'!$K$137:$S$137,0)),0),IF($C494=2,N494*IFERROR(INDEX('TaxCred&amp;Subs'!$K$139:$S$151,MATCH($C494&amp;$D494,'TaxCred&amp;Subs'!$D$139:$D$151,0),MATCH($H494,'TaxCred&amp;Subs'!$K$137:$S$137,0)),0),N494*IFERROR(INDEX('TaxCred&amp;Subs'!$K$139:$S$151,MATCH($C494&amp;$D494,'TaxCred&amp;Subs'!$C$139:$C$151,0),MATCH($H494,'TaxCred&amp;Subs'!$K$137:$S$137,0)),0))),0),0)</f>
        <v>2355</v>
      </c>
      <c r="S494" s="170">
        <f t="array" ref="S494">ROUND(IF(IFERROR(VALUE(RIGHT($AD494,1)),0)&gt;2,IF($C494=8,O494*IFERROR(INDEX('TaxCred&amp;Subs'!$K$139:$S$151,MATCH($C494&amp;$D494&amp;LEFT($AD494,7),'TaxCred&amp;Subs'!$E$139:$E$151,0),MATCH($H494,'TaxCred&amp;Subs'!$K$137:$S$137,0)),0),IF($C494=2,O494*IFERROR(INDEX('TaxCred&amp;Subs'!$K$139:$S$151,MATCH($C494&amp;$D494,'TaxCred&amp;Subs'!$D$139:$D$151,0),MATCH($H494,'TaxCred&amp;Subs'!$K$137:$S$137,0)),0),O494*IFERROR(INDEX('TaxCred&amp;Subs'!$K$139:$S$151,MATCH($C494&amp;$D494,'TaxCred&amp;Subs'!$C$139:$C$151,0),MATCH($H494,'TaxCred&amp;Subs'!$K$137:$S$137,0)),0))),0),0)</f>
        <v>0</v>
      </c>
      <c r="T494" s="95">
        <f t="shared" si="27"/>
        <v>0</v>
      </c>
      <c r="U494" s="95">
        <f t="shared" si="28"/>
        <v>0</v>
      </c>
      <c r="V494" s="28" t="s">
        <v>222</v>
      </c>
      <c r="W494" s="31">
        <v>2020</v>
      </c>
      <c r="X494" s="28">
        <v>1</v>
      </c>
      <c r="Y494" s="28">
        <v>0</v>
      </c>
      <c r="Z494" s="196">
        <v>-2.1513024844954491E-4</v>
      </c>
      <c r="AA494" s="196">
        <v>-3.3096961299929986E-3</v>
      </c>
      <c r="AB494" s="28">
        <v>0</v>
      </c>
      <c r="AC494" s="28">
        <v>0</v>
      </c>
      <c r="AD494" s="28" t="s">
        <v>336</v>
      </c>
    </row>
    <row r="495" spans="2:30" ht="14.25" customHeight="1" x14ac:dyDescent="0.2">
      <c r="B495" s="7">
        <f t="shared" si="29"/>
        <v>471</v>
      </c>
      <c r="C495" s="28">
        <v>2</v>
      </c>
      <c r="D495" s="28">
        <v>4</v>
      </c>
      <c r="E495" s="31">
        <v>14</v>
      </c>
      <c r="F495" s="78">
        <v>2033</v>
      </c>
      <c r="G495" s="28">
        <v>2033</v>
      </c>
      <c r="H495" s="28">
        <v>2</v>
      </c>
      <c r="I495" s="96">
        <v>49</v>
      </c>
      <c r="J495" s="31">
        <v>33</v>
      </c>
      <c r="K495" s="28">
        <v>0</v>
      </c>
      <c r="L495" s="28">
        <v>0</v>
      </c>
      <c r="M495" s="75">
        <v>17.100000000000001</v>
      </c>
      <c r="N495" s="151">
        <v>9500</v>
      </c>
      <c r="O495" s="79">
        <v>0</v>
      </c>
      <c r="P495" s="95">
        <f t="array" ref="P495">ROUND(IF($F495&lt;='TaxCred&amp;Subs'!$C$49,(IF($C495=2,IF($M495&gt;=IFERROR(INDEX('TaxCred&amp;Subs'!$L$12:$L$47,MATCH(1,($C495&amp;$D495='TaxCred&amp;Subs'!$E$12:$E$47)*($F495='TaxCred&amp;Subs'!$C$12:$C$47),0)
),9999),IFERROR(INDEX('TaxCred&amp;Subs'!$N$12:$N$47,MATCH(1,($C495&amp;$D495='TaxCred&amp;Subs'!$E$12:$E$47)*($F495='TaxCred&amp;Subs'!$C$12:$C$47),0)
),0),0),(IF($M495&gt;=IFERROR(INDEX('TaxCred&amp;Subs'!$H$12:$H$47,MATCH(1,($C495&amp;$D495='TaxCred&amp;Subs'!$D$12:$D$47)*($F495='TaxCred&amp;Subs'!$C$12:$C$47),0)
),9999),IFERROR(INDEX('TaxCred&amp;Subs'!$N$12:$N$47,MATCH(1,($C495&amp;$D495='TaxCred&amp;Subs'!$D$12:$D$47)*($F495='TaxCred&amp;Subs'!$C$12:$C$47),0)
),0),0)))),0)+IF(AND($C495=2,VALUE(RIGHT($AD495,1))&gt;2),(N495-R495)*(IFERROR(INDEX('TaxCred&amp;Subs'!$J$66:$J$99,MATCH(1,($C495&amp;$D495='TaxCred&amp;Subs'!$E$66:$E$99)*($F495='TaxCred&amp;Subs'!$C$66:$C$99),0)),0)),IF(AND($C495=1,VALUE(RIGHT($AD495,1))&gt;2),(N495-R495)*(IFERROR(INDEX('TaxCred&amp;Subs'!$J$66:$J$99,MATCH(1,($C495&amp;$D495='TaxCred&amp;Subs'!$D$66:$D$99)*($F495='TaxCred&amp;Subs'!$C$66:$C$99),0)),0)),IF($C495&gt;2,(N495-R495)*(IFERROR(INDEX('TaxCred&amp;Subs'!$J$66:$J$99,MATCH(1,($C495&amp;$D495='TaxCred&amp;Subs'!$D$66:$D$99)*($F495='TaxCred&amp;Subs'!$C$66:$C$99),0)),0)),0))),0)</f>
        <v>2217</v>
      </c>
      <c r="Q495" s="95">
        <f t="array" ref="Q495">ROUND(IF(AND($C495=2,VALUE(RIGHT($AD495,1))&gt;2),(O495-S495)*(IFERROR(INDEX('TaxCred&amp;Subs'!$J$66:$J$99,MATCH(1,($C495&amp;$D495='TaxCred&amp;Subs'!$E$66:$E$99)*($F495='TaxCred&amp;Subs'!$C$66:$C$99),0)),0)),IF(AND($C495=1,VALUE(RIGHT($AD495,1))&gt;2),(O495-S495)*(IFERROR(INDEX('TaxCred&amp;Subs'!$J$66:$J$99,MATCH(1,($C495&amp;$D495='TaxCred&amp;Subs'!$D$66:$D$99)*($F495='TaxCred&amp;Subs'!$C$66:$C$99),0)),0)),IF($C495&gt;2,(O495-S495)*(IFERROR(INDEX('TaxCred&amp;Subs'!$J$66:$J$99,MATCH(1,($C495&amp;$D495='TaxCred&amp;Subs'!$D$66:$D$99)*($F495='TaxCred&amp;Subs'!$C$66:$C$99),0)),0)),0))),0)</f>
        <v>0</v>
      </c>
      <c r="R495" s="170">
        <f t="array" ref="R495">ROUND(IF(IFERROR(VALUE(RIGHT($AD495,1)),0)&gt;2,IF($C495=8,N495*IFERROR(INDEX('TaxCred&amp;Subs'!$K$139:$S$151,MATCH($C495&amp;$D495&amp;LEFT($AD495,7),'TaxCred&amp;Subs'!$E$139:$E$151,0),MATCH($H495,'TaxCred&amp;Subs'!$K$137:$S$137,0)),0),IF($C495=2,N495*IFERROR(INDEX('TaxCred&amp;Subs'!$K$139:$S$151,MATCH($C495&amp;$D495,'TaxCred&amp;Subs'!$D$139:$D$151,0),MATCH($H495,'TaxCred&amp;Subs'!$K$137:$S$137,0)),0),N495*IFERROR(INDEX('TaxCred&amp;Subs'!$K$139:$S$151,MATCH($C495&amp;$D495,'TaxCred&amp;Subs'!$C$139:$C$151,0),MATCH($H495,'TaxCred&amp;Subs'!$K$137:$S$137,0)),0))),0),0)</f>
        <v>972</v>
      </c>
      <c r="S495" s="170">
        <f t="array" ref="S495">ROUND(IF(IFERROR(VALUE(RIGHT($AD495,1)),0)&gt;2,IF($C495=8,O495*IFERROR(INDEX('TaxCred&amp;Subs'!$K$139:$S$151,MATCH($C495&amp;$D495&amp;LEFT($AD495,7),'TaxCred&amp;Subs'!$E$139:$E$151,0),MATCH($H495,'TaxCred&amp;Subs'!$K$137:$S$137,0)),0),IF($C495=2,O495*IFERROR(INDEX('TaxCred&amp;Subs'!$K$139:$S$151,MATCH($C495&amp;$D495,'TaxCred&amp;Subs'!$D$139:$D$151,0),MATCH($H495,'TaxCred&amp;Subs'!$K$137:$S$137,0)),0),O495*IFERROR(INDEX('TaxCred&amp;Subs'!$K$139:$S$151,MATCH($C495&amp;$D495,'TaxCred&amp;Subs'!$C$139:$C$151,0),MATCH($H495,'TaxCred&amp;Subs'!$K$137:$S$137,0)),0))),0),0)</f>
        <v>0</v>
      </c>
      <c r="T495" s="95">
        <f t="shared" si="27"/>
        <v>0</v>
      </c>
      <c r="U495" s="95">
        <f t="shared" si="28"/>
        <v>0</v>
      </c>
      <c r="V495" s="28" t="s">
        <v>222</v>
      </c>
      <c r="W495" s="31">
        <v>2020</v>
      </c>
      <c r="X495" s="28">
        <v>1</v>
      </c>
      <c r="Y495" s="28">
        <v>0</v>
      </c>
      <c r="Z495" s="196">
        <v>-2.1513024844954491E-4</v>
      </c>
      <c r="AA495" s="196">
        <v>-3.3096961299929986E-3</v>
      </c>
      <c r="AB495" s="28">
        <v>0</v>
      </c>
      <c r="AC495" s="28">
        <v>0</v>
      </c>
      <c r="AD495" s="28" t="s">
        <v>336</v>
      </c>
    </row>
    <row r="496" spans="2:30" ht="14.25" customHeight="1" x14ac:dyDescent="0.2">
      <c r="B496" s="7">
        <f t="shared" si="29"/>
        <v>472</v>
      </c>
      <c r="C496" s="28">
        <v>2</v>
      </c>
      <c r="D496" s="28">
        <v>4</v>
      </c>
      <c r="E496" s="31">
        <v>14</v>
      </c>
      <c r="F496" s="78">
        <v>2033</v>
      </c>
      <c r="G496" s="28">
        <v>2033</v>
      </c>
      <c r="H496" s="28">
        <v>3</v>
      </c>
      <c r="I496" s="96">
        <v>49</v>
      </c>
      <c r="J496" s="31">
        <v>33</v>
      </c>
      <c r="K496" s="28">
        <v>0</v>
      </c>
      <c r="L496" s="28">
        <v>0</v>
      </c>
      <c r="M496" s="75">
        <v>17.100000000000001</v>
      </c>
      <c r="N496" s="151">
        <v>9500</v>
      </c>
      <c r="O496" s="79">
        <v>0</v>
      </c>
      <c r="P496" s="95">
        <f t="array" ref="P496">ROUND(IF($F496&lt;='TaxCred&amp;Subs'!$C$49,(IF($C496=2,IF($M496&gt;=IFERROR(INDEX('TaxCred&amp;Subs'!$L$12:$L$47,MATCH(1,($C496&amp;$D496='TaxCred&amp;Subs'!$E$12:$E$47)*($F496='TaxCred&amp;Subs'!$C$12:$C$47),0)
),9999),IFERROR(INDEX('TaxCred&amp;Subs'!$N$12:$N$47,MATCH(1,($C496&amp;$D496='TaxCred&amp;Subs'!$E$12:$E$47)*($F496='TaxCred&amp;Subs'!$C$12:$C$47),0)
),0),0),(IF($M496&gt;=IFERROR(INDEX('TaxCred&amp;Subs'!$H$12:$H$47,MATCH(1,($C496&amp;$D496='TaxCred&amp;Subs'!$D$12:$D$47)*($F496='TaxCred&amp;Subs'!$C$12:$C$47),0)
),9999),IFERROR(INDEX('TaxCred&amp;Subs'!$N$12:$N$47,MATCH(1,($C496&amp;$D496='TaxCred&amp;Subs'!$D$12:$D$47)*($F496='TaxCred&amp;Subs'!$C$12:$C$47),0)
),0),0)))),0)+IF(AND($C496=2,VALUE(RIGHT($AD496,1))&gt;2),(N496-R496)*(IFERROR(INDEX('TaxCred&amp;Subs'!$J$66:$J$99,MATCH(1,($C496&amp;$D496='TaxCred&amp;Subs'!$E$66:$E$99)*($F496='TaxCred&amp;Subs'!$C$66:$C$99),0)),0)),IF(AND($C496=1,VALUE(RIGHT($AD496,1))&gt;2),(N496-R496)*(IFERROR(INDEX('TaxCred&amp;Subs'!$J$66:$J$99,MATCH(1,($C496&amp;$D496='TaxCred&amp;Subs'!$D$66:$D$99)*($F496='TaxCred&amp;Subs'!$C$66:$C$99),0)),0)),IF($C496&gt;2,(N496-R496)*(IFERROR(INDEX('TaxCred&amp;Subs'!$J$66:$J$99,MATCH(1,($C496&amp;$D496='TaxCred&amp;Subs'!$D$66:$D$99)*($F496='TaxCred&amp;Subs'!$C$66:$C$99),0)),0)),0))),0)</f>
        <v>2271</v>
      </c>
      <c r="Q496" s="95">
        <f t="array" ref="Q496">ROUND(IF(AND($C496=2,VALUE(RIGHT($AD496,1))&gt;2),(O496-S496)*(IFERROR(INDEX('TaxCred&amp;Subs'!$J$66:$J$99,MATCH(1,($C496&amp;$D496='TaxCred&amp;Subs'!$E$66:$E$99)*($F496='TaxCred&amp;Subs'!$C$66:$C$99),0)),0)),IF(AND($C496=1,VALUE(RIGHT($AD496,1))&gt;2),(O496-S496)*(IFERROR(INDEX('TaxCred&amp;Subs'!$J$66:$J$99,MATCH(1,($C496&amp;$D496='TaxCred&amp;Subs'!$D$66:$D$99)*($F496='TaxCred&amp;Subs'!$C$66:$C$99),0)),0)),IF($C496&gt;2,(O496-S496)*(IFERROR(INDEX('TaxCred&amp;Subs'!$J$66:$J$99,MATCH(1,($C496&amp;$D496='TaxCred&amp;Subs'!$D$66:$D$99)*($F496='TaxCred&amp;Subs'!$C$66:$C$99),0)),0)),0))),0)</f>
        <v>0</v>
      </c>
      <c r="R496" s="170">
        <f t="array" ref="R496">ROUND(IF(IFERROR(VALUE(RIGHT($AD496,1)),0)&gt;2,IF($C496=8,N496*IFERROR(INDEX('TaxCred&amp;Subs'!$K$139:$S$151,MATCH($C496&amp;$D496&amp;LEFT($AD496,7),'TaxCred&amp;Subs'!$E$139:$E$151,0),MATCH($H496,'TaxCred&amp;Subs'!$K$137:$S$137,0)),0),IF($C496=2,N496*IFERROR(INDEX('TaxCred&amp;Subs'!$K$139:$S$151,MATCH($C496&amp;$D496,'TaxCred&amp;Subs'!$D$139:$D$151,0),MATCH($H496,'TaxCred&amp;Subs'!$K$137:$S$137,0)),0),N496*IFERROR(INDEX('TaxCred&amp;Subs'!$K$139:$S$151,MATCH($C496&amp;$D496,'TaxCred&amp;Subs'!$C$139:$C$151,0),MATCH($H496,'TaxCred&amp;Subs'!$K$137:$S$137,0)),0))),0),0)</f>
        <v>765</v>
      </c>
      <c r="S496" s="170">
        <f t="array" ref="S496">ROUND(IF(IFERROR(VALUE(RIGHT($AD496,1)),0)&gt;2,IF($C496=8,O496*IFERROR(INDEX('TaxCred&amp;Subs'!$K$139:$S$151,MATCH($C496&amp;$D496&amp;LEFT($AD496,7),'TaxCred&amp;Subs'!$E$139:$E$151,0),MATCH($H496,'TaxCred&amp;Subs'!$K$137:$S$137,0)),0),IF($C496=2,O496*IFERROR(INDEX('TaxCred&amp;Subs'!$K$139:$S$151,MATCH($C496&amp;$D496,'TaxCred&amp;Subs'!$D$139:$D$151,0),MATCH($H496,'TaxCred&amp;Subs'!$K$137:$S$137,0)),0),O496*IFERROR(INDEX('TaxCred&amp;Subs'!$K$139:$S$151,MATCH($C496&amp;$D496,'TaxCred&amp;Subs'!$C$139:$C$151,0),MATCH($H496,'TaxCred&amp;Subs'!$K$137:$S$137,0)),0))),0),0)</f>
        <v>0</v>
      </c>
      <c r="T496" s="95">
        <f t="shared" si="27"/>
        <v>0</v>
      </c>
      <c r="U496" s="95">
        <f t="shared" si="28"/>
        <v>0</v>
      </c>
      <c r="V496" s="28" t="s">
        <v>222</v>
      </c>
      <c r="W496" s="31">
        <v>2020</v>
      </c>
      <c r="X496" s="28">
        <v>1</v>
      </c>
      <c r="Y496" s="28">
        <v>0</v>
      </c>
      <c r="Z496" s="196">
        <v>-2.1513024844954491E-4</v>
      </c>
      <c r="AA496" s="196">
        <v>-3.3096961299929986E-3</v>
      </c>
      <c r="AB496" s="28">
        <v>0</v>
      </c>
      <c r="AC496" s="28">
        <v>0</v>
      </c>
      <c r="AD496" s="28" t="s">
        <v>336</v>
      </c>
    </row>
    <row r="497" spans="2:30" ht="14.25" customHeight="1" x14ac:dyDescent="0.2">
      <c r="B497" s="7">
        <f t="shared" si="29"/>
        <v>473</v>
      </c>
      <c r="C497" s="28">
        <v>2</v>
      </c>
      <c r="D497" s="28">
        <v>4</v>
      </c>
      <c r="E497" s="31">
        <v>14</v>
      </c>
      <c r="F497" s="78">
        <v>2033</v>
      </c>
      <c r="G497" s="28">
        <v>2033</v>
      </c>
      <c r="H497" s="28">
        <v>4</v>
      </c>
      <c r="I497" s="96">
        <v>49</v>
      </c>
      <c r="J497" s="31">
        <v>33</v>
      </c>
      <c r="K497" s="28">
        <v>0</v>
      </c>
      <c r="L497" s="28">
        <v>0</v>
      </c>
      <c r="M497" s="75">
        <v>17.100000000000001</v>
      </c>
      <c r="N497" s="151">
        <v>9500</v>
      </c>
      <c r="O497" s="79">
        <v>0</v>
      </c>
      <c r="P497" s="95">
        <f t="array" ref="P497">ROUND(IF($F497&lt;='TaxCred&amp;Subs'!$C$49,(IF($C497=2,IF($M497&gt;=IFERROR(INDEX('TaxCred&amp;Subs'!$L$12:$L$47,MATCH(1,($C497&amp;$D497='TaxCred&amp;Subs'!$E$12:$E$47)*($F497='TaxCred&amp;Subs'!$C$12:$C$47),0)
),9999),IFERROR(INDEX('TaxCred&amp;Subs'!$N$12:$N$47,MATCH(1,($C497&amp;$D497='TaxCred&amp;Subs'!$E$12:$E$47)*($F497='TaxCred&amp;Subs'!$C$12:$C$47),0)
),0),0),(IF($M497&gt;=IFERROR(INDEX('TaxCred&amp;Subs'!$H$12:$H$47,MATCH(1,($C497&amp;$D497='TaxCred&amp;Subs'!$D$12:$D$47)*($F497='TaxCred&amp;Subs'!$C$12:$C$47),0)
),9999),IFERROR(INDEX('TaxCred&amp;Subs'!$N$12:$N$47,MATCH(1,($C497&amp;$D497='TaxCred&amp;Subs'!$D$12:$D$47)*($F497='TaxCred&amp;Subs'!$C$12:$C$47),0)
),0),0)))),0)+IF(AND($C497=2,VALUE(RIGHT($AD497,1))&gt;2),(N497-R497)*(IFERROR(INDEX('TaxCred&amp;Subs'!$J$66:$J$99,MATCH(1,($C497&amp;$D497='TaxCred&amp;Subs'!$E$66:$E$99)*($F497='TaxCred&amp;Subs'!$C$66:$C$99),0)),0)),IF(AND($C497=1,VALUE(RIGHT($AD497,1))&gt;2),(N497-R497)*(IFERROR(INDEX('TaxCred&amp;Subs'!$J$66:$J$99,MATCH(1,($C497&amp;$D497='TaxCred&amp;Subs'!$D$66:$D$99)*($F497='TaxCred&amp;Subs'!$C$66:$C$99),0)),0)),IF($C497&gt;2,(N497-R497)*(IFERROR(INDEX('TaxCred&amp;Subs'!$J$66:$J$99,MATCH(1,($C497&amp;$D497='TaxCred&amp;Subs'!$D$66:$D$99)*($F497='TaxCred&amp;Subs'!$C$66:$C$99),0)),0)),0))),0)</f>
        <v>2311</v>
      </c>
      <c r="Q497" s="95">
        <f t="array" ref="Q497">ROUND(IF(AND($C497=2,VALUE(RIGHT($AD497,1))&gt;2),(O497-S497)*(IFERROR(INDEX('TaxCred&amp;Subs'!$J$66:$J$99,MATCH(1,($C497&amp;$D497='TaxCred&amp;Subs'!$E$66:$E$99)*($F497='TaxCred&amp;Subs'!$C$66:$C$99),0)),0)),IF(AND($C497=1,VALUE(RIGHT($AD497,1))&gt;2),(O497-S497)*(IFERROR(INDEX('TaxCred&amp;Subs'!$J$66:$J$99,MATCH(1,($C497&amp;$D497='TaxCred&amp;Subs'!$D$66:$D$99)*($F497='TaxCred&amp;Subs'!$C$66:$C$99),0)),0)),IF($C497&gt;2,(O497-S497)*(IFERROR(INDEX('TaxCred&amp;Subs'!$J$66:$J$99,MATCH(1,($C497&amp;$D497='TaxCred&amp;Subs'!$D$66:$D$99)*($F497='TaxCred&amp;Subs'!$C$66:$C$99),0)),0)),0))),0)</f>
        <v>0</v>
      </c>
      <c r="R497" s="170">
        <f t="array" ref="R497">ROUND(IF(IFERROR(VALUE(RIGHT($AD497,1)),0)&gt;2,IF($C497=8,N497*IFERROR(INDEX('TaxCred&amp;Subs'!$K$139:$S$151,MATCH($C497&amp;$D497&amp;LEFT($AD497,7),'TaxCred&amp;Subs'!$E$139:$E$151,0),MATCH($H497,'TaxCred&amp;Subs'!$K$137:$S$137,0)),0),IF($C497=2,N497*IFERROR(INDEX('TaxCred&amp;Subs'!$K$139:$S$151,MATCH($C497&amp;$D497,'TaxCred&amp;Subs'!$D$139:$D$151,0),MATCH($H497,'TaxCred&amp;Subs'!$K$137:$S$137,0)),0),N497*IFERROR(INDEX('TaxCred&amp;Subs'!$K$139:$S$151,MATCH($C497&amp;$D497,'TaxCred&amp;Subs'!$C$139:$C$151,0),MATCH($H497,'TaxCred&amp;Subs'!$K$137:$S$137,0)),0))),0),0)</f>
        <v>612</v>
      </c>
      <c r="S497" s="170">
        <f t="array" ref="S497">ROUND(IF(IFERROR(VALUE(RIGHT($AD497,1)),0)&gt;2,IF($C497=8,O497*IFERROR(INDEX('TaxCred&amp;Subs'!$K$139:$S$151,MATCH($C497&amp;$D497&amp;LEFT($AD497,7),'TaxCred&amp;Subs'!$E$139:$E$151,0),MATCH($H497,'TaxCred&amp;Subs'!$K$137:$S$137,0)),0),IF($C497=2,O497*IFERROR(INDEX('TaxCred&amp;Subs'!$K$139:$S$151,MATCH($C497&amp;$D497,'TaxCred&amp;Subs'!$D$139:$D$151,0),MATCH($H497,'TaxCred&amp;Subs'!$K$137:$S$137,0)),0),O497*IFERROR(INDEX('TaxCred&amp;Subs'!$K$139:$S$151,MATCH($C497&amp;$D497,'TaxCred&amp;Subs'!$C$139:$C$151,0),MATCH($H497,'TaxCred&amp;Subs'!$K$137:$S$137,0)),0))),0),0)</f>
        <v>0</v>
      </c>
      <c r="T497" s="95">
        <f t="shared" si="27"/>
        <v>0</v>
      </c>
      <c r="U497" s="95">
        <f t="shared" si="28"/>
        <v>0</v>
      </c>
      <c r="V497" s="28" t="s">
        <v>222</v>
      </c>
      <c r="W497" s="31">
        <v>2020</v>
      </c>
      <c r="X497" s="28">
        <v>1</v>
      </c>
      <c r="Y497" s="28">
        <v>0</v>
      </c>
      <c r="Z497" s="196">
        <v>-2.1513024844954491E-4</v>
      </c>
      <c r="AA497" s="196">
        <v>-3.3096961299929986E-3</v>
      </c>
      <c r="AB497" s="28">
        <v>0</v>
      </c>
      <c r="AC497" s="28">
        <v>0</v>
      </c>
      <c r="AD497" s="28" t="s">
        <v>336</v>
      </c>
    </row>
    <row r="498" spans="2:30" ht="14.25" customHeight="1" x14ac:dyDescent="0.2">
      <c r="B498" s="7">
        <f t="shared" si="29"/>
        <v>474</v>
      </c>
      <c r="C498" s="28">
        <v>2</v>
      </c>
      <c r="D498" s="28">
        <v>4</v>
      </c>
      <c r="E498" s="31">
        <v>14</v>
      </c>
      <c r="F498" s="78">
        <v>2033</v>
      </c>
      <c r="G498" s="28">
        <v>2033</v>
      </c>
      <c r="H498" s="28">
        <v>5</v>
      </c>
      <c r="I498" s="96">
        <v>49</v>
      </c>
      <c r="J498" s="31">
        <v>33</v>
      </c>
      <c r="K498" s="28">
        <v>0</v>
      </c>
      <c r="L498" s="28">
        <v>0</v>
      </c>
      <c r="M498" s="75">
        <v>17.100000000000001</v>
      </c>
      <c r="N498" s="151">
        <v>9500</v>
      </c>
      <c r="O498" s="79">
        <v>0</v>
      </c>
      <c r="P498" s="95">
        <f t="array" ref="P498">ROUND(IF($F498&lt;='TaxCred&amp;Subs'!$C$49,(IF($C498=2,IF($M498&gt;=IFERROR(INDEX('TaxCred&amp;Subs'!$L$12:$L$47,MATCH(1,($C498&amp;$D498='TaxCred&amp;Subs'!$E$12:$E$47)*($F498='TaxCred&amp;Subs'!$C$12:$C$47),0)
),9999),IFERROR(INDEX('TaxCred&amp;Subs'!$N$12:$N$47,MATCH(1,($C498&amp;$D498='TaxCred&amp;Subs'!$E$12:$E$47)*($F498='TaxCred&amp;Subs'!$C$12:$C$47),0)
),0),0),(IF($M498&gt;=IFERROR(INDEX('TaxCred&amp;Subs'!$H$12:$H$47,MATCH(1,($C498&amp;$D498='TaxCred&amp;Subs'!$D$12:$D$47)*($F498='TaxCred&amp;Subs'!$C$12:$C$47),0)
),9999),IFERROR(INDEX('TaxCred&amp;Subs'!$N$12:$N$47,MATCH(1,($C498&amp;$D498='TaxCred&amp;Subs'!$D$12:$D$47)*($F498='TaxCred&amp;Subs'!$C$12:$C$47),0)
),0),0)))),0)+IF(AND($C498=2,VALUE(RIGHT($AD498,1))&gt;2),(N498-R498)*(IFERROR(INDEX('TaxCred&amp;Subs'!$J$66:$J$99,MATCH(1,($C498&amp;$D498='TaxCred&amp;Subs'!$E$66:$E$99)*($F498='TaxCred&amp;Subs'!$C$66:$C$99),0)),0)),IF(AND($C498=1,VALUE(RIGHT($AD498,1))&gt;2),(N498-R498)*(IFERROR(INDEX('TaxCred&amp;Subs'!$J$66:$J$99,MATCH(1,($C498&amp;$D498='TaxCred&amp;Subs'!$D$66:$D$99)*($F498='TaxCred&amp;Subs'!$C$66:$C$99),0)),0)),IF($C498&gt;2,(N498-R498)*(IFERROR(INDEX('TaxCred&amp;Subs'!$J$66:$J$99,MATCH(1,($C498&amp;$D498='TaxCred&amp;Subs'!$D$66:$D$99)*($F498='TaxCred&amp;Subs'!$C$66:$C$99),0)),0)),0))),0)</f>
        <v>2298</v>
      </c>
      <c r="Q498" s="95">
        <f t="array" ref="Q498">ROUND(IF(AND($C498=2,VALUE(RIGHT($AD498,1))&gt;2),(O498-S498)*(IFERROR(INDEX('TaxCred&amp;Subs'!$J$66:$J$99,MATCH(1,($C498&amp;$D498='TaxCred&amp;Subs'!$E$66:$E$99)*($F498='TaxCred&amp;Subs'!$C$66:$C$99),0)),0)),IF(AND($C498=1,VALUE(RIGHT($AD498,1))&gt;2),(O498-S498)*(IFERROR(INDEX('TaxCred&amp;Subs'!$J$66:$J$99,MATCH(1,($C498&amp;$D498='TaxCred&amp;Subs'!$D$66:$D$99)*($F498='TaxCred&amp;Subs'!$C$66:$C$99),0)),0)),IF($C498&gt;2,(O498-S498)*(IFERROR(INDEX('TaxCred&amp;Subs'!$J$66:$J$99,MATCH(1,($C498&amp;$D498='TaxCred&amp;Subs'!$D$66:$D$99)*($F498='TaxCred&amp;Subs'!$C$66:$C$99),0)),0)),0))),0)</f>
        <v>0</v>
      </c>
      <c r="R498" s="170">
        <f t="array" ref="R498">ROUND(IF(IFERROR(VALUE(RIGHT($AD498,1)),0)&gt;2,IF($C498=8,N498*IFERROR(INDEX('TaxCred&amp;Subs'!$K$139:$S$151,MATCH($C498&amp;$D498&amp;LEFT($AD498,7),'TaxCred&amp;Subs'!$E$139:$E$151,0),MATCH($H498,'TaxCred&amp;Subs'!$K$137:$S$137,0)),0),IF($C498=2,N498*IFERROR(INDEX('TaxCred&amp;Subs'!$K$139:$S$151,MATCH($C498&amp;$D498,'TaxCred&amp;Subs'!$D$139:$D$151,0),MATCH($H498,'TaxCred&amp;Subs'!$K$137:$S$137,0)),0),N498*IFERROR(INDEX('TaxCred&amp;Subs'!$K$139:$S$151,MATCH($C498&amp;$D498,'TaxCred&amp;Subs'!$C$139:$C$151,0),MATCH($H498,'TaxCred&amp;Subs'!$K$137:$S$137,0)),0))),0),0)</f>
        <v>663</v>
      </c>
      <c r="S498" s="170">
        <f t="array" ref="S498">ROUND(IF(IFERROR(VALUE(RIGHT($AD498,1)),0)&gt;2,IF($C498=8,O498*IFERROR(INDEX('TaxCred&amp;Subs'!$K$139:$S$151,MATCH($C498&amp;$D498&amp;LEFT($AD498,7),'TaxCred&amp;Subs'!$E$139:$E$151,0),MATCH($H498,'TaxCred&amp;Subs'!$K$137:$S$137,0)),0),IF($C498=2,O498*IFERROR(INDEX('TaxCred&amp;Subs'!$K$139:$S$151,MATCH($C498&amp;$D498,'TaxCred&amp;Subs'!$D$139:$D$151,0),MATCH($H498,'TaxCred&amp;Subs'!$K$137:$S$137,0)),0),O498*IFERROR(INDEX('TaxCred&amp;Subs'!$K$139:$S$151,MATCH($C498&amp;$D498,'TaxCred&amp;Subs'!$C$139:$C$151,0),MATCH($H498,'TaxCred&amp;Subs'!$K$137:$S$137,0)),0))),0),0)</f>
        <v>0</v>
      </c>
      <c r="T498" s="95">
        <f t="shared" si="27"/>
        <v>0</v>
      </c>
      <c r="U498" s="95">
        <f t="shared" si="28"/>
        <v>0</v>
      </c>
      <c r="V498" s="28" t="s">
        <v>222</v>
      </c>
      <c r="W498" s="31">
        <v>2020</v>
      </c>
      <c r="X498" s="28">
        <v>1</v>
      </c>
      <c r="Y498" s="28">
        <v>0</v>
      </c>
      <c r="Z498" s="196">
        <v>-2.1513024844954491E-4</v>
      </c>
      <c r="AA498" s="196">
        <v>-3.3096961299929986E-3</v>
      </c>
      <c r="AB498" s="28">
        <v>0</v>
      </c>
      <c r="AC498" s="28">
        <v>0</v>
      </c>
      <c r="AD498" s="28" t="s">
        <v>336</v>
      </c>
    </row>
    <row r="499" spans="2:30" ht="14.25" customHeight="1" x14ac:dyDescent="0.2">
      <c r="B499" s="7">
        <f t="shared" si="29"/>
        <v>475</v>
      </c>
      <c r="C499" s="28">
        <v>2</v>
      </c>
      <c r="D499" s="28">
        <v>4</v>
      </c>
      <c r="E499" s="31">
        <v>14</v>
      </c>
      <c r="F499" s="78">
        <v>2033</v>
      </c>
      <c r="G499" s="28">
        <v>2033</v>
      </c>
      <c r="H499" s="28">
        <v>6</v>
      </c>
      <c r="I499" s="96">
        <v>49</v>
      </c>
      <c r="J499" s="31">
        <v>33</v>
      </c>
      <c r="K499" s="28">
        <v>0</v>
      </c>
      <c r="L499" s="28">
        <v>0</v>
      </c>
      <c r="M499" s="75">
        <v>17.100000000000001</v>
      </c>
      <c r="N499" s="151">
        <v>9500</v>
      </c>
      <c r="O499" s="79">
        <v>0</v>
      </c>
      <c r="P499" s="95">
        <f t="array" ref="P499">ROUND(IF($F499&lt;='TaxCred&amp;Subs'!$C$49,(IF($C499=2,IF($M499&gt;=IFERROR(INDEX('TaxCred&amp;Subs'!$L$12:$L$47,MATCH(1,($C499&amp;$D499='TaxCred&amp;Subs'!$E$12:$E$47)*($F499='TaxCred&amp;Subs'!$C$12:$C$47),0)
),9999),IFERROR(INDEX('TaxCred&amp;Subs'!$N$12:$N$47,MATCH(1,($C499&amp;$D499='TaxCred&amp;Subs'!$E$12:$E$47)*($F499='TaxCred&amp;Subs'!$C$12:$C$47),0)
),0),0),(IF($M499&gt;=IFERROR(INDEX('TaxCred&amp;Subs'!$H$12:$H$47,MATCH(1,($C499&amp;$D499='TaxCred&amp;Subs'!$D$12:$D$47)*($F499='TaxCred&amp;Subs'!$C$12:$C$47),0)
),9999),IFERROR(INDEX('TaxCred&amp;Subs'!$N$12:$N$47,MATCH(1,($C499&amp;$D499='TaxCred&amp;Subs'!$D$12:$D$47)*($F499='TaxCred&amp;Subs'!$C$12:$C$47),0)
),0),0)))),0)+IF(AND($C499=2,VALUE(RIGHT($AD499,1))&gt;2),(N499-R499)*(IFERROR(INDEX('TaxCred&amp;Subs'!$J$66:$J$99,MATCH(1,($C499&amp;$D499='TaxCred&amp;Subs'!$E$66:$E$99)*($F499='TaxCred&amp;Subs'!$C$66:$C$99),0)),0)),IF(AND($C499=1,VALUE(RIGHT($AD499,1))&gt;2),(N499-R499)*(IFERROR(INDEX('TaxCred&amp;Subs'!$J$66:$J$99,MATCH(1,($C499&amp;$D499='TaxCred&amp;Subs'!$D$66:$D$99)*($F499='TaxCred&amp;Subs'!$C$66:$C$99),0)),0)),IF($C499&gt;2,(N499-R499)*(IFERROR(INDEX('TaxCred&amp;Subs'!$J$66:$J$99,MATCH(1,($C499&amp;$D499='TaxCred&amp;Subs'!$D$66:$D$99)*($F499='TaxCred&amp;Subs'!$C$66:$C$99),0)),0)),0))),0)</f>
        <v>2252</v>
      </c>
      <c r="Q499" s="95">
        <f t="array" ref="Q499">ROUND(IF(AND($C499=2,VALUE(RIGHT($AD499,1))&gt;2),(O499-S499)*(IFERROR(INDEX('TaxCred&amp;Subs'!$J$66:$J$99,MATCH(1,($C499&amp;$D499='TaxCred&amp;Subs'!$E$66:$E$99)*($F499='TaxCred&amp;Subs'!$C$66:$C$99),0)),0)),IF(AND($C499=1,VALUE(RIGHT($AD499,1))&gt;2),(O499-S499)*(IFERROR(INDEX('TaxCred&amp;Subs'!$J$66:$J$99,MATCH(1,($C499&amp;$D499='TaxCred&amp;Subs'!$D$66:$D$99)*($F499='TaxCred&amp;Subs'!$C$66:$C$99),0)),0)),IF($C499&gt;2,(O499-S499)*(IFERROR(INDEX('TaxCred&amp;Subs'!$J$66:$J$99,MATCH(1,($C499&amp;$D499='TaxCred&amp;Subs'!$D$66:$D$99)*($F499='TaxCred&amp;Subs'!$C$66:$C$99),0)),0)),0))),0)</f>
        <v>0</v>
      </c>
      <c r="R499" s="170">
        <f t="array" ref="R499">ROUND(IF(IFERROR(VALUE(RIGHT($AD499,1)),0)&gt;2,IF($C499=8,N499*IFERROR(INDEX('TaxCred&amp;Subs'!$K$139:$S$151,MATCH($C499&amp;$D499&amp;LEFT($AD499,7),'TaxCred&amp;Subs'!$E$139:$E$151,0),MATCH($H499,'TaxCred&amp;Subs'!$K$137:$S$137,0)),0),IF($C499=2,N499*IFERROR(INDEX('TaxCred&amp;Subs'!$K$139:$S$151,MATCH($C499&amp;$D499,'TaxCred&amp;Subs'!$D$139:$D$151,0),MATCH($H499,'TaxCred&amp;Subs'!$K$137:$S$137,0)),0),N499*IFERROR(INDEX('TaxCred&amp;Subs'!$K$139:$S$151,MATCH($C499&amp;$D499,'TaxCred&amp;Subs'!$C$139:$C$151,0),MATCH($H499,'TaxCred&amp;Subs'!$K$137:$S$137,0)),0))),0),0)</f>
        <v>837</v>
      </c>
      <c r="S499" s="170">
        <f t="array" ref="S499">ROUND(IF(IFERROR(VALUE(RIGHT($AD499,1)),0)&gt;2,IF($C499=8,O499*IFERROR(INDEX('TaxCred&amp;Subs'!$K$139:$S$151,MATCH($C499&amp;$D499&amp;LEFT($AD499,7),'TaxCred&amp;Subs'!$E$139:$E$151,0),MATCH($H499,'TaxCred&amp;Subs'!$K$137:$S$137,0)),0),IF($C499=2,O499*IFERROR(INDEX('TaxCred&amp;Subs'!$K$139:$S$151,MATCH($C499&amp;$D499,'TaxCred&amp;Subs'!$D$139:$D$151,0),MATCH($H499,'TaxCred&amp;Subs'!$K$137:$S$137,0)),0),O499*IFERROR(INDEX('TaxCred&amp;Subs'!$K$139:$S$151,MATCH($C499&amp;$D499,'TaxCred&amp;Subs'!$C$139:$C$151,0),MATCH($H499,'TaxCred&amp;Subs'!$K$137:$S$137,0)),0))),0),0)</f>
        <v>0</v>
      </c>
      <c r="T499" s="95">
        <f t="shared" si="27"/>
        <v>0</v>
      </c>
      <c r="U499" s="95">
        <f t="shared" si="28"/>
        <v>0</v>
      </c>
      <c r="V499" s="28" t="s">
        <v>222</v>
      </c>
      <c r="W499" s="31">
        <v>2020</v>
      </c>
      <c r="X499" s="28">
        <v>1</v>
      </c>
      <c r="Y499" s="28">
        <v>0</v>
      </c>
      <c r="Z499" s="196">
        <v>-2.1513024844954491E-4</v>
      </c>
      <c r="AA499" s="196">
        <v>-3.3096961299929986E-3</v>
      </c>
      <c r="AB499" s="28">
        <v>0</v>
      </c>
      <c r="AC499" s="28">
        <v>0</v>
      </c>
      <c r="AD499" s="28" t="s">
        <v>336</v>
      </c>
    </row>
    <row r="500" spans="2:30" ht="14.25" customHeight="1" x14ac:dyDescent="0.2">
      <c r="B500" s="7">
        <f t="shared" si="29"/>
        <v>476</v>
      </c>
      <c r="C500" s="28">
        <v>2</v>
      </c>
      <c r="D500" s="28">
        <v>4</v>
      </c>
      <c r="E500" s="31">
        <v>14</v>
      </c>
      <c r="F500" s="78">
        <v>2033</v>
      </c>
      <c r="G500" s="28">
        <v>2033</v>
      </c>
      <c r="H500" s="28">
        <v>7</v>
      </c>
      <c r="I500" s="96">
        <v>49</v>
      </c>
      <c r="J500" s="31">
        <v>33</v>
      </c>
      <c r="K500" s="28">
        <v>0</v>
      </c>
      <c r="L500" s="28">
        <v>0</v>
      </c>
      <c r="M500" s="75">
        <v>17.100000000000001</v>
      </c>
      <c r="N500" s="151">
        <v>9500</v>
      </c>
      <c r="O500" s="79">
        <v>0</v>
      </c>
      <c r="P500" s="95">
        <f t="array" ref="P500">ROUND(IF($F500&lt;='TaxCred&amp;Subs'!$C$49,(IF($C500=2,IF($M500&gt;=IFERROR(INDEX('TaxCred&amp;Subs'!$L$12:$L$47,MATCH(1,($C500&amp;$D500='TaxCred&amp;Subs'!$E$12:$E$47)*($F500='TaxCred&amp;Subs'!$C$12:$C$47),0)
),9999),IFERROR(INDEX('TaxCred&amp;Subs'!$N$12:$N$47,MATCH(1,($C500&amp;$D500='TaxCred&amp;Subs'!$E$12:$E$47)*($F500='TaxCred&amp;Subs'!$C$12:$C$47),0)
),0),0),(IF($M500&gt;=IFERROR(INDEX('TaxCred&amp;Subs'!$H$12:$H$47,MATCH(1,($C500&amp;$D500='TaxCred&amp;Subs'!$D$12:$D$47)*($F500='TaxCred&amp;Subs'!$C$12:$C$47),0)
),9999),IFERROR(INDEX('TaxCred&amp;Subs'!$N$12:$N$47,MATCH(1,($C500&amp;$D500='TaxCred&amp;Subs'!$D$12:$D$47)*($F500='TaxCred&amp;Subs'!$C$12:$C$47),0)
),0),0)))),0)+IF(AND($C500=2,VALUE(RIGHT($AD500,1))&gt;2),(N500-R500)*(IFERROR(INDEX('TaxCred&amp;Subs'!$J$66:$J$99,MATCH(1,($C500&amp;$D500='TaxCred&amp;Subs'!$E$66:$E$99)*($F500='TaxCred&amp;Subs'!$C$66:$C$99),0)),0)),IF(AND($C500=1,VALUE(RIGHT($AD500,1))&gt;2),(N500-R500)*(IFERROR(INDEX('TaxCred&amp;Subs'!$J$66:$J$99,MATCH(1,($C500&amp;$D500='TaxCred&amp;Subs'!$D$66:$D$99)*($F500='TaxCred&amp;Subs'!$C$66:$C$99),0)),0)),IF($C500&gt;2,(N500-R500)*(IFERROR(INDEX('TaxCred&amp;Subs'!$J$66:$J$99,MATCH(1,($C500&amp;$D500='TaxCred&amp;Subs'!$D$66:$D$99)*($F500='TaxCred&amp;Subs'!$C$66:$C$99),0)),0)),0))),0)</f>
        <v>2379</v>
      </c>
      <c r="Q500" s="95">
        <f t="array" ref="Q500">ROUND(IF(AND($C500=2,VALUE(RIGHT($AD500,1))&gt;2),(O500-S500)*(IFERROR(INDEX('TaxCred&amp;Subs'!$J$66:$J$99,MATCH(1,($C500&amp;$D500='TaxCred&amp;Subs'!$E$66:$E$99)*($F500='TaxCred&amp;Subs'!$C$66:$C$99),0)),0)),IF(AND($C500=1,VALUE(RIGHT($AD500,1))&gt;2),(O500-S500)*(IFERROR(INDEX('TaxCred&amp;Subs'!$J$66:$J$99,MATCH(1,($C500&amp;$D500='TaxCred&amp;Subs'!$D$66:$D$99)*($F500='TaxCred&amp;Subs'!$C$66:$C$99),0)),0)),IF($C500&gt;2,(O500-S500)*(IFERROR(INDEX('TaxCred&amp;Subs'!$J$66:$J$99,MATCH(1,($C500&amp;$D500='TaxCred&amp;Subs'!$D$66:$D$99)*($F500='TaxCred&amp;Subs'!$C$66:$C$99),0)),0)),0))),0)</f>
        <v>0</v>
      </c>
      <c r="R500" s="170">
        <f t="array" ref="R500">ROUND(IF(IFERROR(VALUE(RIGHT($AD500,1)),0)&gt;2,IF($C500=8,N500*IFERROR(INDEX('TaxCred&amp;Subs'!$K$139:$S$151,MATCH($C500&amp;$D500&amp;LEFT($AD500,7),'TaxCred&amp;Subs'!$E$139:$E$151,0),MATCH($H500,'TaxCred&amp;Subs'!$K$137:$S$137,0)),0),IF($C500=2,N500*IFERROR(INDEX('TaxCred&amp;Subs'!$K$139:$S$151,MATCH($C500&amp;$D500,'TaxCred&amp;Subs'!$D$139:$D$151,0),MATCH($H500,'TaxCred&amp;Subs'!$K$137:$S$137,0)),0),N500*IFERROR(INDEX('TaxCred&amp;Subs'!$K$139:$S$151,MATCH($C500&amp;$D500,'TaxCred&amp;Subs'!$C$139:$C$151,0),MATCH($H500,'TaxCred&amp;Subs'!$K$137:$S$137,0)),0))),0),0)</f>
        <v>351</v>
      </c>
      <c r="S500" s="170">
        <f t="array" ref="S500">ROUND(IF(IFERROR(VALUE(RIGHT($AD500,1)),0)&gt;2,IF($C500=8,O500*IFERROR(INDEX('TaxCred&amp;Subs'!$K$139:$S$151,MATCH($C500&amp;$D500&amp;LEFT($AD500,7),'TaxCred&amp;Subs'!$E$139:$E$151,0),MATCH($H500,'TaxCred&amp;Subs'!$K$137:$S$137,0)),0),IF($C500=2,O500*IFERROR(INDEX('TaxCred&amp;Subs'!$K$139:$S$151,MATCH($C500&amp;$D500,'TaxCred&amp;Subs'!$D$139:$D$151,0),MATCH($H500,'TaxCred&amp;Subs'!$K$137:$S$137,0)),0),O500*IFERROR(INDEX('TaxCred&amp;Subs'!$K$139:$S$151,MATCH($C500&amp;$D500,'TaxCred&amp;Subs'!$C$139:$C$151,0),MATCH($H500,'TaxCred&amp;Subs'!$K$137:$S$137,0)),0))),0),0)</f>
        <v>0</v>
      </c>
      <c r="T500" s="95">
        <f t="shared" si="27"/>
        <v>0</v>
      </c>
      <c r="U500" s="95">
        <f t="shared" si="28"/>
        <v>0</v>
      </c>
      <c r="V500" s="28" t="s">
        <v>222</v>
      </c>
      <c r="W500" s="31">
        <v>2020</v>
      </c>
      <c r="X500" s="28">
        <v>1</v>
      </c>
      <c r="Y500" s="28">
        <v>0</v>
      </c>
      <c r="Z500" s="196">
        <v>-2.1513024844954491E-4</v>
      </c>
      <c r="AA500" s="196">
        <v>-3.3096961299929986E-3</v>
      </c>
      <c r="AB500" s="28">
        <v>0</v>
      </c>
      <c r="AC500" s="28">
        <v>0</v>
      </c>
      <c r="AD500" s="28" t="s">
        <v>336</v>
      </c>
    </row>
    <row r="501" spans="2:30" ht="14.25" customHeight="1" x14ac:dyDescent="0.2">
      <c r="B501" s="7">
        <f t="shared" si="29"/>
        <v>477</v>
      </c>
      <c r="C501" s="28">
        <v>2</v>
      </c>
      <c r="D501" s="28">
        <v>4</v>
      </c>
      <c r="E501" s="31">
        <v>14</v>
      </c>
      <c r="F501" s="78">
        <v>2033</v>
      </c>
      <c r="G501" s="28">
        <v>2033</v>
      </c>
      <c r="H501" s="28">
        <v>8</v>
      </c>
      <c r="I501" s="96">
        <v>49</v>
      </c>
      <c r="J501" s="31">
        <v>33</v>
      </c>
      <c r="K501" s="28">
        <v>0</v>
      </c>
      <c r="L501" s="28">
        <v>0</v>
      </c>
      <c r="M501" s="75">
        <v>17.100000000000001</v>
      </c>
      <c r="N501" s="151">
        <v>9500</v>
      </c>
      <c r="O501" s="79">
        <v>0</v>
      </c>
      <c r="P501" s="95">
        <f t="array" ref="P501">ROUND(IF($F501&lt;='TaxCred&amp;Subs'!$C$49,(IF($C501=2,IF($M501&gt;=IFERROR(INDEX('TaxCred&amp;Subs'!$L$12:$L$47,MATCH(1,($C501&amp;$D501='TaxCred&amp;Subs'!$E$12:$E$47)*($F501='TaxCred&amp;Subs'!$C$12:$C$47),0)
),9999),IFERROR(INDEX('TaxCred&amp;Subs'!$N$12:$N$47,MATCH(1,($C501&amp;$D501='TaxCred&amp;Subs'!$E$12:$E$47)*($F501='TaxCred&amp;Subs'!$C$12:$C$47),0)
),0),0),(IF($M501&gt;=IFERROR(INDEX('TaxCred&amp;Subs'!$H$12:$H$47,MATCH(1,($C501&amp;$D501='TaxCred&amp;Subs'!$D$12:$D$47)*($F501='TaxCred&amp;Subs'!$C$12:$C$47),0)
),9999),IFERROR(INDEX('TaxCred&amp;Subs'!$N$12:$N$47,MATCH(1,($C501&amp;$D501='TaxCred&amp;Subs'!$D$12:$D$47)*($F501='TaxCred&amp;Subs'!$C$12:$C$47),0)
),0),0)))),0)+IF(AND($C501=2,VALUE(RIGHT($AD501,1))&gt;2),(N501-R501)*(IFERROR(INDEX('TaxCred&amp;Subs'!$J$66:$J$99,MATCH(1,($C501&amp;$D501='TaxCred&amp;Subs'!$E$66:$E$99)*($F501='TaxCred&amp;Subs'!$C$66:$C$99),0)),0)),IF(AND($C501=1,VALUE(RIGHT($AD501,1))&gt;2),(N501-R501)*(IFERROR(INDEX('TaxCred&amp;Subs'!$J$66:$J$99,MATCH(1,($C501&amp;$D501='TaxCred&amp;Subs'!$D$66:$D$99)*($F501='TaxCred&amp;Subs'!$C$66:$C$99),0)),0)),IF($C501&gt;2,(N501-R501)*(IFERROR(INDEX('TaxCred&amp;Subs'!$J$66:$J$99,MATCH(1,($C501&amp;$D501='TaxCred&amp;Subs'!$D$66:$D$99)*($F501='TaxCred&amp;Subs'!$C$66:$C$99),0)),0)),0))),0)</f>
        <v>2346</v>
      </c>
      <c r="Q501" s="95">
        <f t="array" ref="Q501">ROUND(IF(AND($C501=2,VALUE(RIGHT($AD501,1))&gt;2),(O501-S501)*(IFERROR(INDEX('TaxCred&amp;Subs'!$J$66:$J$99,MATCH(1,($C501&amp;$D501='TaxCred&amp;Subs'!$E$66:$E$99)*($F501='TaxCred&amp;Subs'!$C$66:$C$99),0)),0)),IF(AND($C501=1,VALUE(RIGHT($AD501,1))&gt;2),(O501-S501)*(IFERROR(INDEX('TaxCred&amp;Subs'!$J$66:$J$99,MATCH(1,($C501&amp;$D501='TaxCred&amp;Subs'!$D$66:$D$99)*($F501='TaxCred&amp;Subs'!$C$66:$C$99),0)),0)),IF($C501&gt;2,(O501-S501)*(IFERROR(INDEX('TaxCred&amp;Subs'!$J$66:$J$99,MATCH(1,($C501&amp;$D501='TaxCred&amp;Subs'!$D$66:$D$99)*($F501='TaxCred&amp;Subs'!$C$66:$C$99),0)),0)),0))),0)</f>
        <v>0</v>
      </c>
      <c r="R501" s="170">
        <f t="array" ref="R501">ROUND(IF(IFERROR(VALUE(RIGHT($AD501,1)),0)&gt;2,IF($C501=8,N501*IFERROR(INDEX('TaxCred&amp;Subs'!$K$139:$S$151,MATCH($C501&amp;$D501&amp;LEFT($AD501,7),'TaxCred&amp;Subs'!$E$139:$E$151,0),MATCH($H501,'TaxCred&amp;Subs'!$K$137:$S$137,0)),0),IF($C501=2,N501*IFERROR(INDEX('TaxCred&amp;Subs'!$K$139:$S$151,MATCH($C501&amp;$D501,'TaxCred&amp;Subs'!$D$139:$D$151,0),MATCH($H501,'TaxCred&amp;Subs'!$K$137:$S$137,0)),0),N501*IFERROR(INDEX('TaxCred&amp;Subs'!$K$139:$S$151,MATCH($C501&amp;$D501,'TaxCred&amp;Subs'!$C$139:$C$151,0),MATCH($H501,'TaxCred&amp;Subs'!$K$137:$S$137,0)),0))),0),0)</f>
        <v>478</v>
      </c>
      <c r="S501" s="170">
        <f t="array" ref="S501">ROUND(IF(IFERROR(VALUE(RIGHT($AD501,1)),0)&gt;2,IF($C501=8,O501*IFERROR(INDEX('TaxCred&amp;Subs'!$K$139:$S$151,MATCH($C501&amp;$D501&amp;LEFT($AD501,7),'TaxCred&amp;Subs'!$E$139:$E$151,0),MATCH($H501,'TaxCred&amp;Subs'!$K$137:$S$137,0)),0),IF($C501=2,O501*IFERROR(INDEX('TaxCred&amp;Subs'!$K$139:$S$151,MATCH($C501&amp;$D501,'TaxCred&amp;Subs'!$D$139:$D$151,0),MATCH($H501,'TaxCred&amp;Subs'!$K$137:$S$137,0)),0),O501*IFERROR(INDEX('TaxCred&amp;Subs'!$K$139:$S$151,MATCH($C501&amp;$D501,'TaxCred&amp;Subs'!$C$139:$C$151,0),MATCH($H501,'TaxCred&amp;Subs'!$K$137:$S$137,0)),0))),0),0)</f>
        <v>0</v>
      </c>
      <c r="T501" s="95">
        <f t="shared" si="27"/>
        <v>0</v>
      </c>
      <c r="U501" s="95">
        <f t="shared" si="28"/>
        <v>0</v>
      </c>
      <c r="V501" s="28" t="s">
        <v>222</v>
      </c>
      <c r="W501" s="31">
        <v>2020</v>
      </c>
      <c r="X501" s="28">
        <v>1</v>
      </c>
      <c r="Y501" s="28">
        <v>0</v>
      </c>
      <c r="Z501" s="196">
        <v>-2.1513024844954491E-4</v>
      </c>
      <c r="AA501" s="196">
        <v>-3.3096961299929986E-3</v>
      </c>
      <c r="AB501" s="28">
        <v>0</v>
      </c>
      <c r="AC501" s="28">
        <v>0</v>
      </c>
      <c r="AD501" s="28" t="s">
        <v>336</v>
      </c>
    </row>
    <row r="502" spans="2:30" ht="14.25" customHeight="1" x14ac:dyDescent="0.2">
      <c r="B502" s="7">
        <f t="shared" si="29"/>
        <v>478</v>
      </c>
      <c r="C502" s="28">
        <v>2</v>
      </c>
      <c r="D502" s="28">
        <v>4</v>
      </c>
      <c r="E502" s="31">
        <v>14</v>
      </c>
      <c r="F502" s="78">
        <v>2033</v>
      </c>
      <c r="G502" s="28">
        <v>2033</v>
      </c>
      <c r="H502" s="28">
        <v>9</v>
      </c>
      <c r="I502" s="96">
        <v>49</v>
      </c>
      <c r="J502" s="31">
        <v>33</v>
      </c>
      <c r="K502" s="28">
        <v>0</v>
      </c>
      <c r="L502" s="28">
        <v>0</v>
      </c>
      <c r="M502" s="75">
        <v>17.100000000000001</v>
      </c>
      <c r="N502" s="151">
        <v>9500</v>
      </c>
      <c r="O502" s="79">
        <v>0</v>
      </c>
      <c r="P502" s="95">
        <f t="array" ref="P502">ROUND(IF($F502&lt;='TaxCred&amp;Subs'!$C$49,(IF($C502=2,IF($M502&gt;=IFERROR(INDEX('TaxCred&amp;Subs'!$L$12:$L$47,MATCH(1,($C502&amp;$D502='TaxCred&amp;Subs'!$E$12:$E$47)*($F502='TaxCred&amp;Subs'!$C$12:$C$47),0)
),9999),IFERROR(INDEX('TaxCred&amp;Subs'!$N$12:$N$47,MATCH(1,($C502&amp;$D502='TaxCred&amp;Subs'!$E$12:$E$47)*($F502='TaxCred&amp;Subs'!$C$12:$C$47),0)
),0),0),(IF($M502&gt;=IFERROR(INDEX('TaxCred&amp;Subs'!$H$12:$H$47,MATCH(1,($C502&amp;$D502='TaxCred&amp;Subs'!$D$12:$D$47)*($F502='TaxCred&amp;Subs'!$C$12:$C$47),0)
),9999),IFERROR(INDEX('TaxCred&amp;Subs'!$N$12:$N$47,MATCH(1,($C502&amp;$D502='TaxCred&amp;Subs'!$D$12:$D$47)*($F502='TaxCred&amp;Subs'!$C$12:$C$47),0)
),0),0)))),0)+IF(AND($C502=2,VALUE(RIGHT($AD502,1))&gt;2),(N502-R502)*(IFERROR(INDEX('TaxCred&amp;Subs'!$J$66:$J$99,MATCH(1,($C502&amp;$D502='TaxCred&amp;Subs'!$E$66:$E$99)*($F502='TaxCred&amp;Subs'!$C$66:$C$99),0)),0)),IF(AND($C502=1,VALUE(RIGHT($AD502,1))&gt;2),(N502-R502)*(IFERROR(INDEX('TaxCred&amp;Subs'!$J$66:$J$99,MATCH(1,($C502&amp;$D502='TaxCred&amp;Subs'!$D$66:$D$99)*($F502='TaxCred&amp;Subs'!$C$66:$C$99),0)),0)),IF($C502&gt;2,(N502-R502)*(IFERROR(INDEX('TaxCred&amp;Subs'!$J$66:$J$99,MATCH(1,($C502&amp;$D502='TaxCred&amp;Subs'!$D$66:$D$99)*($F502='TaxCred&amp;Subs'!$C$66:$C$99),0)),0)),0))),0)</f>
        <v>2409</v>
      </c>
      <c r="Q502" s="95">
        <f t="array" ref="Q502">ROUND(IF(AND($C502=2,VALUE(RIGHT($AD502,1))&gt;2),(O502-S502)*(IFERROR(INDEX('TaxCred&amp;Subs'!$J$66:$J$99,MATCH(1,($C502&amp;$D502='TaxCred&amp;Subs'!$E$66:$E$99)*($F502='TaxCred&amp;Subs'!$C$66:$C$99),0)),0)),IF(AND($C502=1,VALUE(RIGHT($AD502,1))&gt;2),(O502-S502)*(IFERROR(INDEX('TaxCred&amp;Subs'!$J$66:$J$99,MATCH(1,($C502&amp;$D502='TaxCred&amp;Subs'!$D$66:$D$99)*($F502='TaxCred&amp;Subs'!$C$66:$C$99),0)),0)),IF($C502&gt;2,(O502-S502)*(IFERROR(INDEX('TaxCred&amp;Subs'!$J$66:$J$99,MATCH(1,($C502&amp;$D502='TaxCred&amp;Subs'!$D$66:$D$99)*($F502='TaxCred&amp;Subs'!$C$66:$C$99),0)),0)),0))),0)</f>
        <v>0</v>
      </c>
      <c r="R502" s="170">
        <f t="array" ref="R502">ROUND(IF(IFERROR(VALUE(RIGHT($AD502,1)),0)&gt;2,IF($C502=8,N502*IFERROR(INDEX('TaxCred&amp;Subs'!$K$139:$S$151,MATCH($C502&amp;$D502&amp;LEFT($AD502,7),'TaxCred&amp;Subs'!$E$139:$E$151,0),MATCH($H502,'TaxCred&amp;Subs'!$K$137:$S$137,0)),0),IF($C502=2,N502*IFERROR(INDEX('TaxCred&amp;Subs'!$K$139:$S$151,MATCH($C502&amp;$D502,'TaxCred&amp;Subs'!$D$139:$D$151,0),MATCH($H502,'TaxCred&amp;Subs'!$K$137:$S$137,0)),0),N502*IFERROR(INDEX('TaxCred&amp;Subs'!$K$139:$S$151,MATCH($C502&amp;$D502,'TaxCred&amp;Subs'!$C$139:$C$151,0),MATCH($H502,'TaxCred&amp;Subs'!$K$137:$S$137,0)),0))),0),0)</f>
        <v>233</v>
      </c>
      <c r="S502" s="170">
        <f t="array" ref="S502">ROUND(IF(IFERROR(VALUE(RIGHT($AD502,1)),0)&gt;2,IF($C502=8,O502*IFERROR(INDEX('TaxCred&amp;Subs'!$K$139:$S$151,MATCH($C502&amp;$D502&amp;LEFT($AD502,7),'TaxCred&amp;Subs'!$E$139:$E$151,0),MATCH($H502,'TaxCred&amp;Subs'!$K$137:$S$137,0)),0),IF($C502=2,O502*IFERROR(INDEX('TaxCred&amp;Subs'!$K$139:$S$151,MATCH($C502&amp;$D502,'TaxCred&amp;Subs'!$D$139:$D$151,0),MATCH($H502,'TaxCred&amp;Subs'!$K$137:$S$137,0)),0),O502*IFERROR(INDEX('TaxCred&amp;Subs'!$K$139:$S$151,MATCH($C502&amp;$D502,'TaxCred&amp;Subs'!$C$139:$C$151,0),MATCH($H502,'TaxCred&amp;Subs'!$K$137:$S$137,0)),0))),0),0)</f>
        <v>0</v>
      </c>
      <c r="T502" s="172">
        <f t="shared" si="27"/>
        <v>1063.6499999999999</v>
      </c>
      <c r="U502" s="95">
        <f t="shared" si="28"/>
        <v>0</v>
      </c>
      <c r="V502" s="28" t="s">
        <v>222</v>
      </c>
      <c r="W502" s="31">
        <v>2020</v>
      </c>
      <c r="X502" s="28">
        <v>1</v>
      </c>
      <c r="Y502" s="28">
        <v>0</v>
      </c>
      <c r="Z502" s="196">
        <v>-2.1513024844954491E-4</v>
      </c>
      <c r="AA502" s="196">
        <v>-3.3096961299929986E-3</v>
      </c>
      <c r="AB502" s="28">
        <v>0</v>
      </c>
      <c r="AC502" s="28">
        <v>0</v>
      </c>
      <c r="AD502" s="28" t="s">
        <v>336</v>
      </c>
    </row>
    <row r="503" spans="2:30" ht="14.25" customHeight="1" x14ac:dyDescent="0.2">
      <c r="B503" s="7">
        <f t="shared" si="29"/>
        <v>479</v>
      </c>
      <c r="C503" s="28">
        <v>2</v>
      </c>
      <c r="D503" s="28">
        <v>4</v>
      </c>
      <c r="E503" s="31">
        <v>14</v>
      </c>
      <c r="F503" s="78">
        <v>2034</v>
      </c>
      <c r="G503" s="28">
        <v>2034</v>
      </c>
      <c r="H503" s="28">
        <v>1</v>
      </c>
      <c r="I503" s="96">
        <v>49</v>
      </c>
      <c r="J503" s="31">
        <v>33</v>
      </c>
      <c r="K503" s="28">
        <v>0</v>
      </c>
      <c r="L503" s="28">
        <v>0</v>
      </c>
      <c r="M503" s="75">
        <v>17.100000000000001</v>
      </c>
      <c r="N503" s="151">
        <v>9500</v>
      </c>
      <c r="O503" s="79">
        <v>0</v>
      </c>
      <c r="P503" s="95">
        <f t="array" ref="P503">ROUND(IF($F503&lt;='TaxCred&amp;Subs'!$C$49,(IF($C503=2,IF($M503&gt;=IFERROR(INDEX('TaxCred&amp;Subs'!$L$12:$L$47,MATCH(1,($C503&amp;$D503='TaxCred&amp;Subs'!$E$12:$E$47)*($F503='TaxCred&amp;Subs'!$C$12:$C$47),0)
),9999),IFERROR(INDEX('TaxCred&amp;Subs'!$N$12:$N$47,MATCH(1,($C503&amp;$D503='TaxCred&amp;Subs'!$E$12:$E$47)*($F503='TaxCred&amp;Subs'!$C$12:$C$47),0)
),0),0),(IF($M503&gt;=IFERROR(INDEX('TaxCred&amp;Subs'!$H$12:$H$47,MATCH(1,($C503&amp;$D503='TaxCred&amp;Subs'!$D$12:$D$47)*($F503='TaxCred&amp;Subs'!$C$12:$C$47),0)
),9999),IFERROR(INDEX('TaxCred&amp;Subs'!$N$12:$N$47,MATCH(1,($C503&amp;$D503='TaxCred&amp;Subs'!$D$12:$D$47)*($F503='TaxCred&amp;Subs'!$C$12:$C$47),0)
),0),0)))),0)+IF(AND($C503=2,VALUE(RIGHT($AD503,1))&gt;2),(N503-R503)*(IFERROR(INDEX('TaxCred&amp;Subs'!$J$66:$J$99,MATCH(1,($C503&amp;$D503='TaxCred&amp;Subs'!$E$66:$E$99)*($F503='TaxCred&amp;Subs'!$C$66:$C$99),0)),0)),IF(AND($C503=1,VALUE(RIGHT($AD503,1))&gt;2),(N503-R503)*(IFERROR(INDEX('TaxCred&amp;Subs'!$J$66:$J$99,MATCH(1,($C503&amp;$D503='TaxCred&amp;Subs'!$D$66:$D$99)*($F503='TaxCred&amp;Subs'!$C$66:$C$99),0)),0)),IF($C503&gt;2,(N503-R503)*(IFERROR(INDEX('TaxCred&amp;Subs'!$J$66:$J$99,MATCH(1,($C503&amp;$D503='TaxCred&amp;Subs'!$D$66:$D$99)*($F503='TaxCred&amp;Subs'!$C$66:$C$99),0)),0)),0))),0)</f>
        <v>1572</v>
      </c>
      <c r="Q503" s="95">
        <f t="array" ref="Q503">ROUND(IF(AND($C503=2,VALUE(RIGHT($AD503,1))&gt;2),(O503-S503)*(IFERROR(INDEX('TaxCred&amp;Subs'!$J$66:$J$99,MATCH(1,($C503&amp;$D503='TaxCred&amp;Subs'!$E$66:$E$99)*($F503='TaxCred&amp;Subs'!$C$66:$C$99),0)),0)),IF(AND($C503=1,VALUE(RIGHT($AD503,1))&gt;2),(O503-S503)*(IFERROR(INDEX('TaxCred&amp;Subs'!$J$66:$J$99,MATCH(1,($C503&amp;$D503='TaxCred&amp;Subs'!$D$66:$D$99)*($F503='TaxCred&amp;Subs'!$C$66:$C$99),0)),0)),IF($C503&gt;2,(O503-S503)*(IFERROR(INDEX('TaxCred&amp;Subs'!$J$66:$J$99,MATCH(1,($C503&amp;$D503='TaxCred&amp;Subs'!$D$66:$D$99)*($F503='TaxCred&amp;Subs'!$C$66:$C$99),0)),0)),0))),0)</f>
        <v>0</v>
      </c>
      <c r="R503" s="170">
        <f t="array" ref="R503">ROUND(IF(IFERROR(VALUE(RIGHT($AD503,1)),0)&gt;2,IF($C503=8,N503*IFERROR(INDEX('TaxCred&amp;Subs'!$K$139:$S$151,MATCH($C503&amp;$D503&amp;LEFT($AD503,7),'TaxCred&amp;Subs'!$E$139:$E$151,0),MATCH($H503,'TaxCred&amp;Subs'!$K$137:$S$137,0)),0),IF($C503=2,N503*IFERROR(INDEX('TaxCred&amp;Subs'!$K$139:$S$151,MATCH($C503&amp;$D503,'TaxCred&amp;Subs'!$D$139:$D$151,0),MATCH($H503,'TaxCred&amp;Subs'!$K$137:$S$137,0)),0),N503*IFERROR(INDEX('TaxCred&amp;Subs'!$K$139:$S$151,MATCH($C503&amp;$D503,'TaxCred&amp;Subs'!$C$139:$C$151,0),MATCH($H503,'TaxCred&amp;Subs'!$K$137:$S$137,0)),0))),0),0)</f>
        <v>2355</v>
      </c>
      <c r="S503" s="170">
        <f t="array" ref="S503">ROUND(IF(IFERROR(VALUE(RIGHT($AD503,1)),0)&gt;2,IF($C503=8,O503*IFERROR(INDEX('TaxCred&amp;Subs'!$K$139:$S$151,MATCH($C503&amp;$D503&amp;LEFT($AD503,7),'TaxCred&amp;Subs'!$E$139:$E$151,0),MATCH($H503,'TaxCred&amp;Subs'!$K$137:$S$137,0)),0),IF($C503=2,O503*IFERROR(INDEX('TaxCred&amp;Subs'!$K$139:$S$151,MATCH($C503&amp;$D503,'TaxCred&amp;Subs'!$D$139:$D$151,0),MATCH($H503,'TaxCred&amp;Subs'!$K$137:$S$137,0)),0),O503*IFERROR(INDEX('TaxCred&amp;Subs'!$K$139:$S$151,MATCH($C503&amp;$D503,'TaxCred&amp;Subs'!$C$139:$C$151,0),MATCH($H503,'TaxCred&amp;Subs'!$K$137:$S$137,0)),0))),0),0)</f>
        <v>0</v>
      </c>
      <c r="T503" s="95">
        <f t="shared" si="27"/>
        <v>0</v>
      </c>
      <c r="U503" s="95">
        <f t="shared" si="28"/>
        <v>0</v>
      </c>
      <c r="V503" s="28" t="s">
        <v>222</v>
      </c>
      <c r="W503" s="31">
        <v>2020</v>
      </c>
      <c r="X503" s="28">
        <v>1</v>
      </c>
      <c r="Y503" s="28">
        <v>0</v>
      </c>
      <c r="Z503" s="196">
        <v>-2.1513024844954491E-4</v>
      </c>
      <c r="AA503" s="196">
        <v>-3.3096961299929986E-3</v>
      </c>
      <c r="AB503" s="28">
        <v>0</v>
      </c>
      <c r="AC503" s="28">
        <v>0</v>
      </c>
      <c r="AD503" s="28" t="s">
        <v>336</v>
      </c>
    </row>
    <row r="504" spans="2:30" ht="14.25" customHeight="1" x14ac:dyDescent="0.2">
      <c r="B504" s="7">
        <f t="shared" si="29"/>
        <v>480</v>
      </c>
      <c r="C504" s="28">
        <v>2</v>
      </c>
      <c r="D504" s="28">
        <v>4</v>
      </c>
      <c r="E504" s="31">
        <v>14</v>
      </c>
      <c r="F504" s="78">
        <v>2034</v>
      </c>
      <c r="G504" s="28">
        <v>2034</v>
      </c>
      <c r="H504" s="28">
        <v>2</v>
      </c>
      <c r="I504" s="96">
        <v>49</v>
      </c>
      <c r="J504" s="31">
        <v>33</v>
      </c>
      <c r="K504" s="28">
        <v>0</v>
      </c>
      <c r="L504" s="28">
        <v>0</v>
      </c>
      <c r="M504" s="75">
        <v>17.100000000000001</v>
      </c>
      <c r="N504" s="151">
        <v>9500</v>
      </c>
      <c r="O504" s="79">
        <v>0</v>
      </c>
      <c r="P504" s="95">
        <f t="array" ref="P504">ROUND(IF($F504&lt;='TaxCred&amp;Subs'!$C$49,(IF($C504=2,IF($M504&gt;=IFERROR(INDEX('TaxCred&amp;Subs'!$L$12:$L$47,MATCH(1,($C504&amp;$D504='TaxCred&amp;Subs'!$E$12:$E$47)*($F504='TaxCred&amp;Subs'!$C$12:$C$47),0)
),9999),IFERROR(INDEX('TaxCred&amp;Subs'!$N$12:$N$47,MATCH(1,($C504&amp;$D504='TaxCred&amp;Subs'!$E$12:$E$47)*($F504='TaxCred&amp;Subs'!$C$12:$C$47),0)
),0),0),(IF($M504&gt;=IFERROR(INDEX('TaxCred&amp;Subs'!$H$12:$H$47,MATCH(1,($C504&amp;$D504='TaxCred&amp;Subs'!$D$12:$D$47)*($F504='TaxCred&amp;Subs'!$C$12:$C$47),0)
),9999),IFERROR(INDEX('TaxCred&amp;Subs'!$N$12:$N$47,MATCH(1,($C504&amp;$D504='TaxCred&amp;Subs'!$D$12:$D$47)*($F504='TaxCred&amp;Subs'!$C$12:$C$47),0)
),0),0)))),0)+IF(AND($C504=2,VALUE(RIGHT($AD504,1))&gt;2),(N504-R504)*(IFERROR(INDEX('TaxCred&amp;Subs'!$J$66:$J$99,MATCH(1,($C504&amp;$D504='TaxCred&amp;Subs'!$E$66:$E$99)*($F504='TaxCred&amp;Subs'!$C$66:$C$99),0)),0)),IF(AND($C504=1,VALUE(RIGHT($AD504,1))&gt;2),(N504-R504)*(IFERROR(INDEX('TaxCred&amp;Subs'!$J$66:$J$99,MATCH(1,($C504&amp;$D504='TaxCred&amp;Subs'!$D$66:$D$99)*($F504='TaxCred&amp;Subs'!$C$66:$C$99),0)),0)),IF($C504&gt;2,(N504-R504)*(IFERROR(INDEX('TaxCred&amp;Subs'!$J$66:$J$99,MATCH(1,($C504&amp;$D504='TaxCred&amp;Subs'!$D$66:$D$99)*($F504='TaxCred&amp;Subs'!$C$66:$C$99),0)),0)),0))),0)</f>
        <v>1876</v>
      </c>
      <c r="Q504" s="95">
        <f t="array" ref="Q504">ROUND(IF(AND($C504=2,VALUE(RIGHT($AD504,1))&gt;2),(O504-S504)*(IFERROR(INDEX('TaxCred&amp;Subs'!$J$66:$J$99,MATCH(1,($C504&amp;$D504='TaxCred&amp;Subs'!$E$66:$E$99)*($F504='TaxCred&amp;Subs'!$C$66:$C$99),0)),0)),IF(AND($C504=1,VALUE(RIGHT($AD504,1))&gt;2),(O504-S504)*(IFERROR(INDEX('TaxCred&amp;Subs'!$J$66:$J$99,MATCH(1,($C504&amp;$D504='TaxCred&amp;Subs'!$D$66:$D$99)*($F504='TaxCred&amp;Subs'!$C$66:$C$99),0)),0)),IF($C504&gt;2,(O504-S504)*(IFERROR(INDEX('TaxCred&amp;Subs'!$J$66:$J$99,MATCH(1,($C504&amp;$D504='TaxCred&amp;Subs'!$D$66:$D$99)*($F504='TaxCred&amp;Subs'!$C$66:$C$99),0)),0)),0))),0)</f>
        <v>0</v>
      </c>
      <c r="R504" s="170">
        <f t="array" ref="R504">ROUND(IF(IFERROR(VALUE(RIGHT($AD504,1)),0)&gt;2,IF($C504=8,N504*IFERROR(INDEX('TaxCred&amp;Subs'!$K$139:$S$151,MATCH($C504&amp;$D504&amp;LEFT($AD504,7),'TaxCred&amp;Subs'!$E$139:$E$151,0),MATCH($H504,'TaxCred&amp;Subs'!$K$137:$S$137,0)),0),IF($C504=2,N504*IFERROR(INDEX('TaxCred&amp;Subs'!$K$139:$S$151,MATCH($C504&amp;$D504,'TaxCred&amp;Subs'!$D$139:$D$151,0),MATCH($H504,'TaxCred&amp;Subs'!$K$137:$S$137,0)),0),N504*IFERROR(INDEX('TaxCred&amp;Subs'!$K$139:$S$151,MATCH($C504&amp;$D504,'TaxCred&amp;Subs'!$C$139:$C$151,0),MATCH($H504,'TaxCred&amp;Subs'!$K$137:$S$137,0)),0))),0),0)</f>
        <v>972</v>
      </c>
      <c r="S504" s="170">
        <f t="array" ref="S504">ROUND(IF(IFERROR(VALUE(RIGHT($AD504,1)),0)&gt;2,IF($C504=8,O504*IFERROR(INDEX('TaxCred&amp;Subs'!$K$139:$S$151,MATCH($C504&amp;$D504&amp;LEFT($AD504,7),'TaxCred&amp;Subs'!$E$139:$E$151,0),MATCH($H504,'TaxCred&amp;Subs'!$K$137:$S$137,0)),0),IF($C504=2,O504*IFERROR(INDEX('TaxCred&amp;Subs'!$K$139:$S$151,MATCH($C504&amp;$D504,'TaxCred&amp;Subs'!$D$139:$D$151,0),MATCH($H504,'TaxCred&amp;Subs'!$K$137:$S$137,0)),0),O504*IFERROR(INDEX('TaxCred&amp;Subs'!$K$139:$S$151,MATCH($C504&amp;$D504,'TaxCred&amp;Subs'!$C$139:$C$151,0),MATCH($H504,'TaxCred&amp;Subs'!$K$137:$S$137,0)),0))),0),0)</f>
        <v>0</v>
      </c>
      <c r="T504" s="95">
        <f t="shared" si="27"/>
        <v>0</v>
      </c>
      <c r="U504" s="95">
        <f t="shared" si="28"/>
        <v>0</v>
      </c>
      <c r="V504" s="28" t="s">
        <v>222</v>
      </c>
      <c r="W504" s="31">
        <v>2020</v>
      </c>
      <c r="X504" s="28">
        <v>1</v>
      </c>
      <c r="Y504" s="28">
        <v>0</v>
      </c>
      <c r="Z504" s="196">
        <v>-2.1513024844954491E-4</v>
      </c>
      <c r="AA504" s="196">
        <v>-3.3096961299929986E-3</v>
      </c>
      <c r="AB504" s="28">
        <v>0</v>
      </c>
      <c r="AC504" s="28">
        <v>0</v>
      </c>
      <c r="AD504" s="28" t="s">
        <v>336</v>
      </c>
    </row>
    <row r="505" spans="2:30" ht="14.25" customHeight="1" x14ac:dyDescent="0.2">
      <c r="B505" s="7">
        <f t="shared" si="29"/>
        <v>481</v>
      </c>
      <c r="C505" s="28">
        <v>2</v>
      </c>
      <c r="D505" s="28">
        <v>4</v>
      </c>
      <c r="E505" s="31">
        <v>14</v>
      </c>
      <c r="F505" s="78">
        <v>2034</v>
      </c>
      <c r="G505" s="28">
        <v>2034</v>
      </c>
      <c r="H505" s="28">
        <v>3</v>
      </c>
      <c r="I505" s="96">
        <v>49</v>
      </c>
      <c r="J505" s="31">
        <v>33</v>
      </c>
      <c r="K505" s="28">
        <v>0</v>
      </c>
      <c r="L505" s="28">
        <v>0</v>
      </c>
      <c r="M505" s="75">
        <v>17.100000000000001</v>
      </c>
      <c r="N505" s="151">
        <v>9500</v>
      </c>
      <c r="O505" s="79">
        <v>0</v>
      </c>
      <c r="P505" s="95">
        <f t="array" ref="P505">ROUND(IF($F505&lt;='TaxCred&amp;Subs'!$C$49,(IF($C505=2,IF($M505&gt;=IFERROR(INDEX('TaxCred&amp;Subs'!$L$12:$L$47,MATCH(1,($C505&amp;$D505='TaxCred&amp;Subs'!$E$12:$E$47)*($F505='TaxCred&amp;Subs'!$C$12:$C$47),0)
),9999),IFERROR(INDEX('TaxCred&amp;Subs'!$N$12:$N$47,MATCH(1,($C505&amp;$D505='TaxCred&amp;Subs'!$E$12:$E$47)*($F505='TaxCred&amp;Subs'!$C$12:$C$47),0)
),0),0),(IF($M505&gt;=IFERROR(INDEX('TaxCred&amp;Subs'!$H$12:$H$47,MATCH(1,($C505&amp;$D505='TaxCred&amp;Subs'!$D$12:$D$47)*($F505='TaxCred&amp;Subs'!$C$12:$C$47),0)
),9999),IFERROR(INDEX('TaxCred&amp;Subs'!$N$12:$N$47,MATCH(1,($C505&amp;$D505='TaxCred&amp;Subs'!$D$12:$D$47)*($F505='TaxCred&amp;Subs'!$C$12:$C$47),0)
),0),0)))),0)+IF(AND($C505=2,VALUE(RIGHT($AD505,1))&gt;2),(N505-R505)*(IFERROR(INDEX('TaxCred&amp;Subs'!$J$66:$J$99,MATCH(1,($C505&amp;$D505='TaxCred&amp;Subs'!$E$66:$E$99)*($F505='TaxCred&amp;Subs'!$C$66:$C$99),0)),0)),IF(AND($C505=1,VALUE(RIGHT($AD505,1))&gt;2),(N505-R505)*(IFERROR(INDEX('TaxCred&amp;Subs'!$J$66:$J$99,MATCH(1,($C505&amp;$D505='TaxCred&amp;Subs'!$D$66:$D$99)*($F505='TaxCred&amp;Subs'!$C$66:$C$99),0)),0)),IF($C505&gt;2,(N505-R505)*(IFERROR(INDEX('TaxCred&amp;Subs'!$J$66:$J$99,MATCH(1,($C505&amp;$D505='TaxCred&amp;Subs'!$D$66:$D$99)*($F505='TaxCred&amp;Subs'!$C$66:$C$99),0)),0)),0))),0)</f>
        <v>1922</v>
      </c>
      <c r="Q505" s="95">
        <f t="array" ref="Q505">ROUND(IF(AND($C505=2,VALUE(RIGHT($AD505,1))&gt;2),(O505-S505)*(IFERROR(INDEX('TaxCred&amp;Subs'!$J$66:$J$99,MATCH(1,($C505&amp;$D505='TaxCred&amp;Subs'!$E$66:$E$99)*($F505='TaxCred&amp;Subs'!$C$66:$C$99),0)),0)),IF(AND($C505=1,VALUE(RIGHT($AD505,1))&gt;2),(O505-S505)*(IFERROR(INDEX('TaxCred&amp;Subs'!$J$66:$J$99,MATCH(1,($C505&amp;$D505='TaxCred&amp;Subs'!$D$66:$D$99)*($F505='TaxCred&amp;Subs'!$C$66:$C$99),0)),0)),IF($C505&gt;2,(O505-S505)*(IFERROR(INDEX('TaxCred&amp;Subs'!$J$66:$J$99,MATCH(1,($C505&amp;$D505='TaxCred&amp;Subs'!$D$66:$D$99)*($F505='TaxCred&amp;Subs'!$C$66:$C$99),0)),0)),0))),0)</f>
        <v>0</v>
      </c>
      <c r="R505" s="170">
        <f t="array" ref="R505">ROUND(IF(IFERROR(VALUE(RIGHT($AD505,1)),0)&gt;2,IF($C505=8,N505*IFERROR(INDEX('TaxCred&amp;Subs'!$K$139:$S$151,MATCH($C505&amp;$D505&amp;LEFT($AD505,7),'TaxCred&amp;Subs'!$E$139:$E$151,0),MATCH($H505,'TaxCred&amp;Subs'!$K$137:$S$137,0)),0),IF($C505=2,N505*IFERROR(INDEX('TaxCred&amp;Subs'!$K$139:$S$151,MATCH($C505&amp;$D505,'TaxCred&amp;Subs'!$D$139:$D$151,0),MATCH($H505,'TaxCred&amp;Subs'!$K$137:$S$137,0)),0),N505*IFERROR(INDEX('TaxCred&amp;Subs'!$K$139:$S$151,MATCH($C505&amp;$D505,'TaxCred&amp;Subs'!$C$139:$C$151,0),MATCH($H505,'TaxCred&amp;Subs'!$K$137:$S$137,0)),0))),0),0)</f>
        <v>765</v>
      </c>
      <c r="S505" s="170">
        <f t="array" ref="S505">ROUND(IF(IFERROR(VALUE(RIGHT($AD505,1)),0)&gt;2,IF($C505=8,O505*IFERROR(INDEX('TaxCred&amp;Subs'!$K$139:$S$151,MATCH($C505&amp;$D505&amp;LEFT($AD505,7),'TaxCred&amp;Subs'!$E$139:$E$151,0),MATCH($H505,'TaxCred&amp;Subs'!$K$137:$S$137,0)),0),IF($C505=2,O505*IFERROR(INDEX('TaxCred&amp;Subs'!$K$139:$S$151,MATCH($C505&amp;$D505,'TaxCred&amp;Subs'!$D$139:$D$151,0),MATCH($H505,'TaxCred&amp;Subs'!$K$137:$S$137,0)),0),O505*IFERROR(INDEX('TaxCred&amp;Subs'!$K$139:$S$151,MATCH($C505&amp;$D505,'TaxCred&amp;Subs'!$C$139:$C$151,0),MATCH($H505,'TaxCred&amp;Subs'!$K$137:$S$137,0)),0))),0),0)</f>
        <v>0</v>
      </c>
      <c r="T505" s="95">
        <f t="shared" si="27"/>
        <v>0</v>
      </c>
      <c r="U505" s="95">
        <f t="shared" si="28"/>
        <v>0</v>
      </c>
      <c r="V505" s="28" t="s">
        <v>222</v>
      </c>
      <c r="W505" s="31">
        <v>2020</v>
      </c>
      <c r="X505" s="28">
        <v>1</v>
      </c>
      <c r="Y505" s="28">
        <v>0</v>
      </c>
      <c r="Z505" s="196">
        <v>-2.1513024844954491E-4</v>
      </c>
      <c r="AA505" s="196">
        <v>-3.3096961299929986E-3</v>
      </c>
      <c r="AB505" s="28">
        <v>0</v>
      </c>
      <c r="AC505" s="28">
        <v>0</v>
      </c>
      <c r="AD505" s="28" t="s">
        <v>336</v>
      </c>
    </row>
    <row r="506" spans="2:30" ht="14.25" customHeight="1" x14ac:dyDescent="0.2">
      <c r="B506" s="7">
        <f t="shared" si="29"/>
        <v>482</v>
      </c>
      <c r="C506" s="28">
        <v>2</v>
      </c>
      <c r="D506" s="28">
        <v>4</v>
      </c>
      <c r="E506" s="31">
        <v>14</v>
      </c>
      <c r="F506" s="78">
        <v>2034</v>
      </c>
      <c r="G506" s="28">
        <v>2034</v>
      </c>
      <c r="H506" s="28">
        <v>4</v>
      </c>
      <c r="I506" s="96">
        <v>49</v>
      </c>
      <c r="J506" s="31">
        <v>33</v>
      </c>
      <c r="K506" s="28">
        <v>0</v>
      </c>
      <c r="L506" s="28">
        <v>0</v>
      </c>
      <c r="M506" s="75">
        <v>17.100000000000001</v>
      </c>
      <c r="N506" s="151">
        <v>9500</v>
      </c>
      <c r="O506" s="79">
        <v>0</v>
      </c>
      <c r="P506" s="95">
        <f t="array" ref="P506">ROUND(IF($F506&lt;='TaxCred&amp;Subs'!$C$49,(IF($C506=2,IF($M506&gt;=IFERROR(INDEX('TaxCred&amp;Subs'!$L$12:$L$47,MATCH(1,($C506&amp;$D506='TaxCred&amp;Subs'!$E$12:$E$47)*($F506='TaxCred&amp;Subs'!$C$12:$C$47),0)
),9999),IFERROR(INDEX('TaxCred&amp;Subs'!$N$12:$N$47,MATCH(1,($C506&amp;$D506='TaxCred&amp;Subs'!$E$12:$E$47)*($F506='TaxCred&amp;Subs'!$C$12:$C$47),0)
),0),0),(IF($M506&gt;=IFERROR(INDEX('TaxCred&amp;Subs'!$H$12:$H$47,MATCH(1,($C506&amp;$D506='TaxCred&amp;Subs'!$D$12:$D$47)*($F506='TaxCred&amp;Subs'!$C$12:$C$47),0)
),9999),IFERROR(INDEX('TaxCred&amp;Subs'!$N$12:$N$47,MATCH(1,($C506&amp;$D506='TaxCred&amp;Subs'!$D$12:$D$47)*($F506='TaxCred&amp;Subs'!$C$12:$C$47),0)
),0),0)))),0)+IF(AND($C506=2,VALUE(RIGHT($AD506,1))&gt;2),(N506-R506)*(IFERROR(INDEX('TaxCred&amp;Subs'!$J$66:$J$99,MATCH(1,($C506&amp;$D506='TaxCred&amp;Subs'!$E$66:$E$99)*($F506='TaxCred&amp;Subs'!$C$66:$C$99),0)),0)),IF(AND($C506=1,VALUE(RIGHT($AD506,1))&gt;2),(N506-R506)*(IFERROR(INDEX('TaxCred&amp;Subs'!$J$66:$J$99,MATCH(1,($C506&amp;$D506='TaxCred&amp;Subs'!$D$66:$D$99)*($F506='TaxCred&amp;Subs'!$C$66:$C$99),0)),0)),IF($C506&gt;2,(N506-R506)*(IFERROR(INDEX('TaxCred&amp;Subs'!$J$66:$J$99,MATCH(1,($C506&amp;$D506='TaxCred&amp;Subs'!$D$66:$D$99)*($F506='TaxCred&amp;Subs'!$C$66:$C$99),0)),0)),0))),0)</f>
        <v>1955</v>
      </c>
      <c r="Q506" s="95">
        <f t="array" ref="Q506">ROUND(IF(AND($C506=2,VALUE(RIGHT($AD506,1))&gt;2),(O506-S506)*(IFERROR(INDEX('TaxCred&amp;Subs'!$J$66:$J$99,MATCH(1,($C506&amp;$D506='TaxCred&amp;Subs'!$E$66:$E$99)*($F506='TaxCred&amp;Subs'!$C$66:$C$99),0)),0)),IF(AND($C506=1,VALUE(RIGHT($AD506,1))&gt;2),(O506-S506)*(IFERROR(INDEX('TaxCred&amp;Subs'!$J$66:$J$99,MATCH(1,($C506&amp;$D506='TaxCred&amp;Subs'!$D$66:$D$99)*($F506='TaxCred&amp;Subs'!$C$66:$C$99),0)),0)),IF($C506&gt;2,(O506-S506)*(IFERROR(INDEX('TaxCred&amp;Subs'!$J$66:$J$99,MATCH(1,($C506&amp;$D506='TaxCred&amp;Subs'!$D$66:$D$99)*($F506='TaxCred&amp;Subs'!$C$66:$C$99),0)),0)),0))),0)</f>
        <v>0</v>
      </c>
      <c r="R506" s="170">
        <f t="array" ref="R506">ROUND(IF(IFERROR(VALUE(RIGHT($AD506,1)),0)&gt;2,IF($C506=8,N506*IFERROR(INDEX('TaxCred&amp;Subs'!$K$139:$S$151,MATCH($C506&amp;$D506&amp;LEFT($AD506,7),'TaxCred&amp;Subs'!$E$139:$E$151,0),MATCH($H506,'TaxCred&amp;Subs'!$K$137:$S$137,0)),0),IF($C506=2,N506*IFERROR(INDEX('TaxCred&amp;Subs'!$K$139:$S$151,MATCH($C506&amp;$D506,'TaxCred&amp;Subs'!$D$139:$D$151,0),MATCH($H506,'TaxCred&amp;Subs'!$K$137:$S$137,0)),0),N506*IFERROR(INDEX('TaxCred&amp;Subs'!$K$139:$S$151,MATCH($C506&amp;$D506,'TaxCred&amp;Subs'!$C$139:$C$151,0),MATCH($H506,'TaxCred&amp;Subs'!$K$137:$S$137,0)),0))),0),0)</f>
        <v>612</v>
      </c>
      <c r="S506" s="170">
        <f t="array" ref="S506">ROUND(IF(IFERROR(VALUE(RIGHT($AD506,1)),0)&gt;2,IF($C506=8,O506*IFERROR(INDEX('TaxCred&amp;Subs'!$K$139:$S$151,MATCH($C506&amp;$D506&amp;LEFT($AD506,7),'TaxCred&amp;Subs'!$E$139:$E$151,0),MATCH($H506,'TaxCred&amp;Subs'!$K$137:$S$137,0)),0),IF($C506=2,O506*IFERROR(INDEX('TaxCred&amp;Subs'!$K$139:$S$151,MATCH($C506&amp;$D506,'TaxCred&amp;Subs'!$D$139:$D$151,0),MATCH($H506,'TaxCred&amp;Subs'!$K$137:$S$137,0)),0),O506*IFERROR(INDEX('TaxCred&amp;Subs'!$K$139:$S$151,MATCH($C506&amp;$D506,'TaxCred&amp;Subs'!$C$139:$C$151,0),MATCH($H506,'TaxCred&amp;Subs'!$K$137:$S$137,0)),0))),0),0)</f>
        <v>0</v>
      </c>
      <c r="T506" s="95">
        <f t="shared" si="27"/>
        <v>0</v>
      </c>
      <c r="U506" s="95">
        <f t="shared" si="28"/>
        <v>0</v>
      </c>
      <c r="V506" s="28" t="s">
        <v>222</v>
      </c>
      <c r="W506" s="31">
        <v>2020</v>
      </c>
      <c r="X506" s="28">
        <v>1</v>
      </c>
      <c r="Y506" s="28">
        <v>0</v>
      </c>
      <c r="Z506" s="196">
        <v>-2.1513024844954491E-4</v>
      </c>
      <c r="AA506" s="196">
        <v>-3.3096961299929986E-3</v>
      </c>
      <c r="AB506" s="28">
        <v>0</v>
      </c>
      <c r="AC506" s="28">
        <v>0</v>
      </c>
      <c r="AD506" s="28" t="s">
        <v>336</v>
      </c>
    </row>
    <row r="507" spans="2:30" ht="14.25" customHeight="1" x14ac:dyDescent="0.2">
      <c r="B507" s="7">
        <f t="shared" si="29"/>
        <v>483</v>
      </c>
      <c r="C507" s="28">
        <v>2</v>
      </c>
      <c r="D507" s="28">
        <v>4</v>
      </c>
      <c r="E507" s="31">
        <v>14</v>
      </c>
      <c r="F507" s="78">
        <v>2034</v>
      </c>
      <c r="G507" s="28">
        <v>2034</v>
      </c>
      <c r="H507" s="28">
        <v>5</v>
      </c>
      <c r="I507" s="96">
        <v>49</v>
      </c>
      <c r="J507" s="31">
        <v>33</v>
      </c>
      <c r="K507" s="28">
        <v>0</v>
      </c>
      <c r="L507" s="28">
        <v>0</v>
      </c>
      <c r="M507" s="75">
        <v>17.100000000000001</v>
      </c>
      <c r="N507" s="151">
        <v>9500</v>
      </c>
      <c r="O507" s="79">
        <v>0</v>
      </c>
      <c r="P507" s="95">
        <f t="array" ref="P507">ROUND(IF($F507&lt;='TaxCred&amp;Subs'!$C$49,(IF($C507=2,IF($M507&gt;=IFERROR(INDEX('TaxCred&amp;Subs'!$L$12:$L$47,MATCH(1,($C507&amp;$D507='TaxCred&amp;Subs'!$E$12:$E$47)*($F507='TaxCred&amp;Subs'!$C$12:$C$47),0)
),9999),IFERROR(INDEX('TaxCred&amp;Subs'!$N$12:$N$47,MATCH(1,($C507&amp;$D507='TaxCred&amp;Subs'!$E$12:$E$47)*($F507='TaxCred&amp;Subs'!$C$12:$C$47),0)
),0),0),(IF($M507&gt;=IFERROR(INDEX('TaxCred&amp;Subs'!$H$12:$H$47,MATCH(1,($C507&amp;$D507='TaxCred&amp;Subs'!$D$12:$D$47)*($F507='TaxCred&amp;Subs'!$C$12:$C$47),0)
),9999),IFERROR(INDEX('TaxCred&amp;Subs'!$N$12:$N$47,MATCH(1,($C507&amp;$D507='TaxCred&amp;Subs'!$D$12:$D$47)*($F507='TaxCred&amp;Subs'!$C$12:$C$47),0)
),0),0)))),0)+IF(AND($C507=2,VALUE(RIGHT($AD507,1))&gt;2),(N507-R507)*(IFERROR(INDEX('TaxCred&amp;Subs'!$J$66:$J$99,MATCH(1,($C507&amp;$D507='TaxCred&amp;Subs'!$E$66:$E$99)*($F507='TaxCred&amp;Subs'!$C$66:$C$99),0)),0)),IF(AND($C507=1,VALUE(RIGHT($AD507,1))&gt;2),(N507-R507)*(IFERROR(INDEX('TaxCred&amp;Subs'!$J$66:$J$99,MATCH(1,($C507&amp;$D507='TaxCred&amp;Subs'!$D$66:$D$99)*($F507='TaxCred&amp;Subs'!$C$66:$C$99),0)),0)),IF($C507&gt;2,(N507-R507)*(IFERROR(INDEX('TaxCred&amp;Subs'!$J$66:$J$99,MATCH(1,($C507&amp;$D507='TaxCred&amp;Subs'!$D$66:$D$99)*($F507='TaxCred&amp;Subs'!$C$66:$C$99),0)),0)),0))),0)</f>
        <v>1944</v>
      </c>
      <c r="Q507" s="95">
        <f t="array" ref="Q507">ROUND(IF(AND($C507=2,VALUE(RIGHT($AD507,1))&gt;2),(O507-S507)*(IFERROR(INDEX('TaxCred&amp;Subs'!$J$66:$J$99,MATCH(1,($C507&amp;$D507='TaxCred&amp;Subs'!$E$66:$E$99)*($F507='TaxCred&amp;Subs'!$C$66:$C$99),0)),0)),IF(AND($C507=1,VALUE(RIGHT($AD507,1))&gt;2),(O507-S507)*(IFERROR(INDEX('TaxCred&amp;Subs'!$J$66:$J$99,MATCH(1,($C507&amp;$D507='TaxCred&amp;Subs'!$D$66:$D$99)*($F507='TaxCred&amp;Subs'!$C$66:$C$99),0)),0)),IF($C507&gt;2,(O507-S507)*(IFERROR(INDEX('TaxCred&amp;Subs'!$J$66:$J$99,MATCH(1,($C507&amp;$D507='TaxCred&amp;Subs'!$D$66:$D$99)*($F507='TaxCred&amp;Subs'!$C$66:$C$99),0)),0)),0))),0)</f>
        <v>0</v>
      </c>
      <c r="R507" s="170">
        <f t="array" ref="R507">ROUND(IF(IFERROR(VALUE(RIGHT($AD507,1)),0)&gt;2,IF($C507=8,N507*IFERROR(INDEX('TaxCred&amp;Subs'!$K$139:$S$151,MATCH($C507&amp;$D507&amp;LEFT($AD507,7),'TaxCred&amp;Subs'!$E$139:$E$151,0),MATCH($H507,'TaxCred&amp;Subs'!$K$137:$S$137,0)),0),IF($C507=2,N507*IFERROR(INDEX('TaxCred&amp;Subs'!$K$139:$S$151,MATCH($C507&amp;$D507,'TaxCred&amp;Subs'!$D$139:$D$151,0),MATCH($H507,'TaxCred&amp;Subs'!$K$137:$S$137,0)),0),N507*IFERROR(INDEX('TaxCred&amp;Subs'!$K$139:$S$151,MATCH($C507&amp;$D507,'TaxCred&amp;Subs'!$C$139:$C$151,0),MATCH($H507,'TaxCred&amp;Subs'!$K$137:$S$137,0)),0))),0),0)</f>
        <v>663</v>
      </c>
      <c r="S507" s="170">
        <f t="array" ref="S507">ROUND(IF(IFERROR(VALUE(RIGHT($AD507,1)),0)&gt;2,IF($C507=8,O507*IFERROR(INDEX('TaxCred&amp;Subs'!$K$139:$S$151,MATCH($C507&amp;$D507&amp;LEFT($AD507,7),'TaxCred&amp;Subs'!$E$139:$E$151,0),MATCH($H507,'TaxCred&amp;Subs'!$K$137:$S$137,0)),0),IF($C507=2,O507*IFERROR(INDEX('TaxCred&amp;Subs'!$K$139:$S$151,MATCH($C507&amp;$D507,'TaxCred&amp;Subs'!$D$139:$D$151,0),MATCH($H507,'TaxCred&amp;Subs'!$K$137:$S$137,0)),0),O507*IFERROR(INDEX('TaxCred&amp;Subs'!$K$139:$S$151,MATCH($C507&amp;$D507,'TaxCred&amp;Subs'!$C$139:$C$151,0),MATCH($H507,'TaxCred&amp;Subs'!$K$137:$S$137,0)),0))),0),0)</f>
        <v>0</v>
      </c>
      <c r="T507" s="95">
        <f t="shared" si="27"/>
        <v>0</v>
      </c>
      <c r="U507" s="95">
        <f t="shared" si="28"/>
        <v>0</v>
      </c>
      <c r="V507" s="28" t="s">
        <v>222</v>
      </c>
      <c r="W507" s="31">
        <v>2020</v>
      </c>
      <c r="X507" s="28">
        <v>1</v>
      </c>
      <c r="Y507" s="28">
        <v>0</v>
      </c>
      <c r="Z507" s="196">
        <v>-2.1513024844954491E-4</v>
      </c>
      <c r="AA507" s="196">
        <v>-3.3096961299929986E-3</v>
      </c>
      <c r="AB507" s="28">
        <v>0</v>
      </c>
      <c r="AC507" s="28">
        <v>0</v>
      </c>
      <c r="AD507" s="28" t="s">
        <v>336</v>
      </c>
    </row>
    <row r="508" spans="2:30" ht="14.25" customHeight="1" x14ac:dyDescent="0.2">
      <c r="B508" s="7">
        <f t="shared" si="29"/>
        <v>484</v>
      </c>
      <c r="C508" s="28">
        <v>2</v>
      </c>
      <c r="D508" s="28">
        <v>4</v>
      </c>
      <c r="E508" s="31">
        <v>14</v>
      </c>
      <c r="F508" s="78">
        <v>2034</v>
      </c>
      <c r="G508" s="28">
        <v>2034</v>
      </c>
      <c r="H508" s="28">
        <v>6</v>
      </c>
      <c r="I508" s="96">
        <v>49</v>
      </c>
      <c r="J508" s="31">
        <v>33</v>
      </c>
      <c r="K508" s="28">
        <v>0</v>
      </c>
      <c r="L508" s="28">
        <v>0</v>
      </c>
      <c r="M508" s="75">
        <v>17.100000000000001</v>
      </c>
      <c r="N508" s="151">
        <v>9500</v>
      </c>
      <c r="O508" s="79">
        <v>0</v>
      </c>
      <c r="P508" s="95">
        <f t="array" ref="P508">ROUND(IF($F508&lt;='TaxCred&amp;Subs'!$C$49,(IF($C508=2,IF($M508&gt;=IFERROR(INDEX('TaxCred&amp;Subs'!$L$12:$L$47,MATCH(1,($C508&amp;$D508='TaxCred&amp;Subs'!$E$12:$E$47)*($F508='TaxCred&amp;Subs'!$C$12:$C$47),0)
),9999),IFERROR(INDEX('TaxCred&amp;Subs'!$N$12:$N$47,MATCH(1,($C508&amp;$D508='TaxCred&amp;Subs'!$E$12:$E$47)*($F508='TaxCred&amp;Subs'!$C$12:$C$47),0)
),0),0),(IF($M508&gt;=IFERROR(INDEX('TaxCred&amp;Subs'!$H$12:$H$47,MATCH(1,($C508&amp;$D508='TaxCred&amp;Subs'!$D$12:$D$47)*($F508='TaxCred&amp;Subs'!$C$12:$C$47),0)
),9999),IFERROR(INDEX('TaxCred&amp;Subs'!$N$12:$N$47,MATCH(1,($C508&amp;$D508='TaxCred&amp;Subs'!$D$12:$D$47)*($F508='TaxCred&amp;Subs'!$C$12:$C$47),0)
),0),0)))),0)+IF(AND($C508=2,VALUE(RIGHT($AD508,1))&gt;2),(N508-R508)*(IFERROR(INDEX('TaxCred&amp;Subs'!$J$66:$J$99,MATCH(1,($C508&amp;$D508='TaxCred&amp;Subs'!$E$66:$E$99)*($F508='TaxCred&amp;Subs'!$C$66:$C$99),0)),0)),IF(AND($C508=1,VALUE(RIGHT($AD508,1))&gt;2),(N508-R508)*(IFERROR(INDEX('TaxCred&amp;Subs'!$J$66:$J$99,MATCH(1,($C508&amp;$D508='TaxCred&amp;Subs'!$D$66:$D$99)*($F508='TaxCred&amp;Subs'!$C$66:$C$99),0)),0)),IF($C508&gt;2,(N508-R508)*(IFERROR(INDEX('TaxCred&amp;Subs'!$J$66:$J$99,MATCH(1,($C508&amp;$D508='TaxCred&amp;Subs'!$D$66:$D$99)*($F508='TaxCred&amp;Subs'!$C$66:$C$99),0)),0)),0))),0)</f>
        <v>1906</v>
      </c>
      <c r="Q508" s="95">
        <f t="array" ref="Q508">ROUND(IF(AND($C508=2,VALUE(RIGHT($AD508,1))&gt;2),(O508-S508)*(IFERROR(INDEX('TaxCred&amp;Subs'!$J$66:$J$99,MATCH(1,($C508&amp;$D508='TaxCred&amp;Subs'!$E$66:$E$99)*($F508='TaxCred&amp;Subs'!$C$66:$C$99),0)),0)),IF(AND($C508=1,VALUE(RIGHT($AD508,1))&gt;2),(O508-S508)*(IFERROR(INDEX('TaxCred&amp;Subs'!$J$66:$J$99,MATCH(1,($C508&amp;$D508='TaxCred&amp;Subs'!$D$66:$D$99)*($F508='TaxCred&amp;Subs'!$C$66:$C$99),0)),0)),IF($C508&gt;2,(O508-S508)*(IFERROR(INDEX('TaxCred&amp;Subs'!$J$66:$J$99,MATCH(1,($C508&amp;$D508='TaxCred&amp;Subs'!$D$66:$D$99)*($F508='TaxCred&amp;Subs'!$C$66:$C$99),0)),0)),0))),0)</f>
        <v>0</v>
      </c>
      <c r="R508" s="170">
        <f t="array" ref="R508">ROUND(IF(IFERROR(VALUE(RIGHT($AD508,1)),0)&gt;2,IF($C508=8,N508*IFERROR(INDEX('TaxCred&amp;Subs'!$K$139:$S$151,MATCH($C508&amp;$D508&amp;LEFT($AD508,7),'TaxCred&amp;Subs'!$E$139:$E$151,0),MATCH($H508,'TaxCred&amp;Subs'!$K$137:$S$137,0)),0),IF($C508=2,N508*IFERROR(INDEX('TaxCred&amp;Subs'!$K$139:$S$151,MATCH($C508&amp;$D508,'TaxCred&amp;Subs'!$D$139:$D$151,0),MATCH($H508,'TaxCred&amp;Subs'!$K$137:$S$137,0)),0),N508*IFERROR(INDEX('TaxCred&amp;Subs'!$K$139:$S$151,MATCH($C508&amp;$D508,'TaxCred&amp;Subs'!$C$139:$C$151,0),MATCH($H508,'TaxCred&amp;Subs'!$K$137:$S$137,0)),0))),0),0)</f>
        <v>837</v>
      </c>
      <c r="S508" s="170">
        <f t="array" ref="S508">ROUND(IF(IFERROR(VALUE(RIGHT($AD508,1)),0)&gt;2,IF($C508=8,O508*IFERROR(INDEX('TaxCred&amp;Subs'!$K$139:$S$151,MATCH($C508&amp;$D508&amp;LEFT($AD508,7),'TaxCred&amp;Subs'!$E$139:$E$151,0),MATCH($H508,'TaxCred&amp;Subs'!$K$137:$S$137,0)),0),IF($C508=2,O508*IFERROR(INDEX('TaxCred&amp;Subs'!$K$139:$S$151,MATCH($C508&amp;$D508,'TaxCred&amp;Subs'!$D$139:$D$151,0),MATCH($H508,'TaxCred&amp;Subs'!$K$137:$S$137,0)),0),O508*IFERROR(INDEX('TaxCred&amp;Subs'!$K$139:$S$151,MATCH($C508&amp;$D508,'TaxCred&amp;Subs'!$C$139:$C$151,0),MATCH($H508,'TaxCred&amp;Subs'!$K$137:$S$137,0)),0))),0),0)</f>
        <v>0</v>
      </c>
      <c r="T508" s="95">
        <f t="shared" si="27"/>
        <v>0</v>
      </c>
      <c r="U508" s="95">
        <f t="shared" si="28"/>
        <v>0</v>
      </c>
      <c r="V508" s="28" t="s">
        <v>222</v>
      </c>
      <c r="W508" s="31">
        <v>2020</v>
      </c>
      <c r="X508" s="28">
        <v>1</v>
      </c>
      <c r="Y508" s="28">
        <v>0</v>
      </c>
      <c r="Z508" s="196">
        <v>-2.1513024844954491E-4</v>
      </c>
      <c r="AA508" s="196">
        <v>-3.3096961299929986E-3</v>
      </c>
      <c r="AB508" s="28">
        <v>0</v>
      </c>
      <c r="AC508" s="28">
        <v>0</v>
      </c>
      <c r="AD508" s="28" t="s">
        <v>336</v>
      </c>
    </row>
    <row r="509" spans="2:30" ht="14.25" customHeight="1" x14ac:dyDescent="0.2">
      <c r="B509" s="7">
        <f t="shared" si="29"/>
        <v>485</v>
      </c>
      <c r="C509" s="28">
        <v>2</v>
      </c>
      <c r="D509" s="28">
        <v>4</v>
      </c>
      <c r="E509" s="31">
        <v>14</v>
      </c>
      <c r="F509" s="78">
        <v>2034</v>
      </c>
      <c r="G509" s="28">
        <v>2034</v>
      </c>
      <c r="H509" s="28">
        <v>7</v>
      </c>
      <c r="I509" s="96">
        <v>49</v>
      </c>
      <c r="J509" s="31">
        <v>33</v>
      </c>
      <c r="K509" s="28">
        <v>0</v>
      </c>
      <c r="L509" s="28">
        <v>0</v>
      </c>
      <c r="M509" s="75">
        <v>17.100000000000001</v>
      </c>
      <c r="N509" s="151">
        <v>9500</v>
      </c>
      <c r="O509" s="79">
        <v>0</v>
      </c>
      <c r="P509" s="95">
        <f t="array" ref="P509">ROUND(IF($F509&lt;='TaxCred&amp;Subs'!$C$49,(IF($C509=2,IF($M509&gt;=IFERROR(INDEX('TaxCred&amp;Subs'!$L$12:$L$47,MATCH(1,($C509&amp;$D509='TaxCred&amp;Subs'!$E$12:$E$47)*($F509='TaxCred&amp;Subs'!$C$12:$C$47),0)
),9999),IFERROR(INDEX('TaxCred&amp;Subs'!$N$12:$N$47,MATCH(1,($C509&amp;$D509='TaxCred&amp;Subs'!$E$12:$E$47)*($F509='TaxCred&amp;Subs'!$C$12:$C$47),0)
),0),0),(IF($M509&gt;=IFERROR(INDEX('TaxCred&amp;Subs'!$H$12:$H$47,MATCH(1,($C509&amp;$D509='TaxCred&amp;Subs'!$D$12:$D$47)*($F509='TaxCred&amp;Subs'!$C$12:$C$47),0)
),9999),IFERROR(INDEX('TaxCred&amp;Subs'!$N$12:$N$47,MATCH(1,($C509&amp;$D509='TaxCred&amp;Subs'!$D$12:$D$47)*($F509='TaxCred&amp;Subs'!$C$12:$C$47),0)
),0),0)))),0)+IF(AND($C509=2,VALUE(RIGHT($AD509,1))&gt;2),(N509-R509)*(IFERROR(INDEX('TaxCred&amp;Subs'!$J$66:$J$99,MATCH(1,($C509&amp;$D509='TaxCred&amp;Subs'!$E$66:$E$99)*($F509='TaxCred&amp;Subs'!$C$66:$C$99),0)),0)),IF(AND($C509=1,VALUE(RIGHT($AD509,1))&gt;2),(N509-R509)*(IFERROR(INDEX('TaxCred&amp;Subs'!$J$66:$J$99,MATCH(1,($C509&amp;$D509='TaxCred&amp;Subs'!$D$66:$D$99)*($F509='TaxCred&amp;Subs'!$C$66:$C$99),0)),0)),IF($C509&gt;2,(N509-R509)*(IFERROR(INDEX('TaxCred&amp;Subs'!$J$66:$J$99,MATCH(1,($C509&amp;$D509='TaxCred&amp;Subs'!$D$66:$D$99)*($F509='TaxCred&amp;Subs'!$C$66:$C$99),0)),0)),0))),0)</f>
        <v>2013</v>
      </c>
      <c r="Q509" s="95">
        <f t="array" ref="Q509">ROUND(IF(AND($C509=2,VALUE(RIGHT($AD509,1))&gt;2),(O509-S509)*(IFERROR(INDEX('TaxCred&amp;Subs'!$J$66:$J$99,MATCH(1,($C509&amp;$D509='TaxCred&amp;Subs'!$E$66:$E$99)*($F509='TaxCred&amp;Subs'!$C$66:$C$99),0)),0)),IF(AND($C509=1,VALUE(RIGHT($AD509,1))&gt;2),(O509-S509)*(IFERROR(INDEX('TaxCred&amp;Subs'!$J$66:$J$99,MATCH(1,($C509&amp;$D509='TaxCred&amp;Subs'!$D$66:$D$99)*($F509='TaxCred&amp;Subs'!$C$66:$C$99),0)),0)),IF($C509&gt;2,(O509-S509)*(IFERROR(INDEX('TaxCred&amp;Subs'!$J$66:$J$99,MATCH(1,($C509&amp;$D509='TaxCred&amp;Subs'!$D$66:$D$99)*($F509='TaxCred&amp;Subs'!$C$66:$C$99),0)),0)),0))),0)</f>
        <v>0</v>
      </c>
      <c r="R509" s="170">
        <f t="array" ref="R509">ROUND(IF(IFERROR(VALUE(RIGHT($AD509,1)),0)&gt;2,IF($C509=8,N509*IFERROR(INDEX('TaxCred&amp;Subs'!$K$139:$S$151,MATCH($C509&amp;$D509&amp;LEFT($AD509,7),'TaxCred&amp;Subs'!$E$139:$E$151,0),MATCH($H509,'TaxCred&amp;Subs'!$K$137:$S$137,0)),0),IF($C509=2,N509*IFERROR(INDEX('TaxCred&amp;Subs'!$K$139:$S$151,MATCH($C509&amp;$D509,'TaxCred&amp;Subs'!$D$139:$D$151,0),MATCH($H509,'TaxCred&amp;Subs'!$K$137:$S$137,0)),0),N509*IFERROR(INDEX('TaxCred&amp;Subs'!$K$139:$S$151,MATCH($C509&amp;$D509,'TaxCred&amp;Subs'!$C$139:$C$151,0),MATCH($H509,'TaxCred&amp;Subs'!$K$137:$S$137,0)),0))),0),0)</f>
        <v>351</v>
      </c>
      <c r="S509" s="170">
        <f t="array" ref="S509">ROUND(IF(IFERROR(VALUE(RIGHT($AD509,1)),0)&gt;2,IF($C509=8,O509*IFERROR(INDEX('TaxCred&amp;Subs'!$K$139:$S$151,MATCH($C509&amp;$D509&amp;LEFT($AD509,7),'TaxCred&amp;Subs'!$E$139:$E$151,0),MATCH($H509,'TaxCred&amp;Subs'!$K$137:$S$137,0)),0),IF($C509=2,O509*IFERROR(INDEX('TaxCred&amp;Subs'!$K$139:$S$151,MATCH($C509&amp;$D509,'TaxCred&amp;Subs'!$D$139:$D$151,0),MATCH($H509,'TaxCred&amp;Subs'!$K$137:$S$137,0)),0),O509*IFERROR(INDEX('TaxCred&amp;Subs'!$K$139:$S$151,MATCH($C509&amp;$D509,'TaxCred&amp;Subs'!$C$139:$C$151,0),MATCH($H509,'TaxCred&amp;Subs'!$K$137:$S$137,0)),0))),0),0)</f>
        <v>0</v>
      </c>
      <c r="T509" s="95">
        <f t="shared" si="27"/>
        <v>0</v>
      </c>
      <c r="U509" s="95">
        <f t="shared" si="28"/>
        <v>0</v>
      </c>
      <c r="V509" s="28" t="s">
        <v>222</v>
      </c>
      <c r="W509" s="31">
        <v>2020</v>
      </c>
      <c r="X509" s="28">
        <v>1</v>
      </c>
      <c r="Y509" s="28">
        <v>0</v>
      </c>
      <c r="Z509" s="196">
        <v>-2.1513024844954491E-4</v>
      </c>
      <c r="AA509" s="196">
        <v>-3.3096961299929986E-3</v>
      </c>
      <c r="AB509" s="28">
        <v>0</v>
      </c>
      <c r="AC509" s="28">
        <v>0</v>
      </c>
      <c r="AD509" s="28" t="s">
        <v>336</v>
      </c>
    </row>
    <row r="510" spans="2:30" ht="14.25" customHeight="1" x14ac:dyDescent="0.2">
      <c r="B510" s="7">
        <f t="shared" si="29"/>
        <v>486</v>
      </c>
      <c r="C510" s="28">
        <v>2</v>
      </c>
      <c r="D510" s="28">
        <v>4</v>
      </c>
      <c r="E510" s="31">
        <v>14</v>
      </c>
      <c r="F510" s="78">
        <v>2034</v>
      </c>
      <c r="G510" s="28">
        <v>2034</v>
      </c>
      <c r="H510" s="28">
        <v>8</v>
      </c>
      <c r="I510" s="96">
        <v>49</v>
      </c>
      <c r="J510" s="31">
        <v>33</v>
      </c>
      <c r="K510" s="28">
        <v>0</v>
      </c>
      <c r="L510" s="28">
        <v>0</v>
      </c>
      <c r="M510" s="75">
        <v>17.100000000000001</v>
      </c>
      <c r="N510" s="151">
        <v>9500</v>
      </c>
      <c r="O510" s="79">
        <v>0</v>
      </c>
      <c r="P510" s="95">
        <f t="array" ref="P510">ROUND(IF($F510&lt;='TaxCred&amp;Subs'!$C$49,(IF($C510=2,IF($M510&gt;=IFERROR(INDEX('TaxCred&amp;Subs'!$L$12:$L$47,MATCH(1,($C510&amp;$D510='TaxCred&amp;Subs'!$E$12:$E$47)*($F510='TaxCred&amp;Subs'!$C$12:$C$47),0)
),9999),IFERROR(INDEX('TaxCred&amp;Subs'!$N$12:$N$47,MATCH(1,($C510&amp;$D510='TaxCred&amp;Subs'!$E$12:$E$47)*($F510='TaxCred&amp;Subs'!$C$12:$C$47),0)
),0),0),(IF($M510&gt;=IFERROR(INDEX('TaxCred&amp;Subs'!$H$12:$H$47,MATCH(1,($C510&amp;$D510='TaxCred&amp;Subs'!$D$12:$D$47)*($F510='TaxCred&amp;Subs'!$C$12:$C$47),0)
),9999),IFERROR(INDEX('TaxCred&amp;Subs'!$N$12:$N$47,MATCH(1,($C510&amp;$D510='TaxCred&amp;Subs'!$D$12:$D$47)*($F510='TaxCred&amp;Subs'!$C$12:$C$47),0)
),0),0)))),0)+IF(AND($C510=2,VALUE(RIGHT($AD510,1))&gt;2),(N510-R510)*(IFERROR(INDEX('TaxCred&amp;Subs'!$J$66:$J$99,MATCH(1,($C510&amp;$D510='TaxCred&amp;Subs'!$E$66:$E$99)*($F510='TaxCred&amp;Subs'!$C$66:$C$99),0)),0)),IF(AND($C510=1,VALUE(RIGHT($AD510,1))&gt;2),(N510-R510)*(IFERROR(INDEX('TaxCred&amp;Subs'!$J$66:$J$99,MATCH(1,($C510&amp;$D510='TaxCred&amp;Subs'!$D$66:$D$99)*($F510='TaxCred&amp;Subs'!$C$66:$C$99),0)),0)),IF($C510&gt;2,(N510-R510)*(IFERROR(INDEX('TaxCred&amp;Subs'!$J$66:$J$99,MATCH(1,($C510&amp;$D510='TaxCred&amp;Subs'!$D$66:$D$99)*($F510='TaxCred&amp;Subs'!$C$66:$C$99),0)),0)),0))),0)</f>
        <v>1985</v>
      </c>
      <c r="Q510" s="95">
        <f t="array" ref="Q510">ROUND(IF(AND($C510=2,VALUE(RIGHT($AD510,1))&gt;2),(O510-S510)*(IFERROR(INDEX('TaxCred&amp;Subs'!$J$66:$J$99,MATCH(1,($C510&amp;$D510='TaxCred&amp;Subs'!$E$66:$E$99)*($F510='TaxCred&amp;Subs'!$C$66:$C$99),0)),0)),IF(AND($C510=1,VALUE(RIGHT($AD510,1))&gt;2),(O510-S510)*(IFERROR(INDEX('TaxCred&amp;Subs'!$J$66:$J$99,MATCH(1,($C510&amp;$D510='TaxCred&amp;Subs'!$D$66:$D$99)*($F510='TaxCred&amp;Subs'!$C$66:$C$99),0)),0)),IF($C510&gt;2,(O510-S510)*(IFERROR(INDEX('TaxCred&amp;Subs'!$J$66:$J$99,MATCH(1,($C510&amp;$D510='TaxCred&amp;Subs'!$D$66:$D$99)*($F510='TaxCred&amp;Subs'!$C$66:$C$99),0)),0)),0))),0)</f>
        <v>0</v>
      </c>
      <c r="R510" s="170">
        <f t="array" ref="R510">ROUND(IF(IFERROR(VALUE(RIGHT($AD510,1)),0)&gt;2,IF($C510=8,N510*IFERROR(INDEX('TaxCred&amp;Subs'!$K$139:$S$151,MATCH($C510&amp;$D510&amp;LEFT($AD510,7),'TaxCred&amp;Subs'!$E$139:$E$151,0),MATCH($H510,'TaxCred&amp;Subs'!$K$137:$S$137,0)),0),IF($C510=2,N510*IFERROR(INDEX('TaxCred&amp;Subs'!$K$139:$S$151,MATCH($C510&amp;$D510,'TaxCred&amp;Subs'!$D$139:$D$151,0),MATCH($H510,'TaxCred&amp;Subs'!$K$137:$S$137,0)),0),N510*IFERROR(INDEX('TaxCred&amp;Subs'!$K$139:$S$151,MATCH($C510&amp;$D510,'TaxCred&amp;Subs'!$C$139:$C$151,0),MATCH($H510,'TaxCred&amp;Subs'!$K$137:$S$137,0)),0))),0),0)</f>
        <v>478</v>
      </c>
      <c r="S510" s="170">
        <f t="array" ref="S510">ROUND(IF(IFERROR(VALUE(RIGHT($AD510,1)),0)&gt;2,IF($C510=8,O510*IFERROR(INDEX('TaxCred&amp;Subs'!$K$139:$S$151,MATCH($C510&amp;$D510&amp;LEFT($AD510,7),'TaxCred&amp;Subs'!$E$139:$E$151,0),MATCH($H510,'TaxCred&amp;Subs'!$K$137:$S$137,0)),0),IF($C510=2,O510*IFERROR(INDEX('TaxCred&amp;Subs'!$K$139:$S$151,MATCH($C510&amp;$D510,'TaxCred&amp;Subs'!$D$139:$D$151,0),MATCH($H510,'TaxCred&amp;Subs'!$K$137:$S$137,0)),0),O510*IFERROR(INDEX('TaxCred&amp;Subs'!$K$139:$S$151,MATCH($C510&amp;$D510,'TaxCred&amp;Subs'!$C$139:$C$151,0),MATCH($H510,'TaxCred&amp;Subs'!$K$137:$S$137,0)),0))),0),0)</f>
        <v>0</v>
      </c>
      <c r="T510" s="95">
        <f t="shared" si="27"/>
        <v>0</v>
      </c>
      <c r="U510" s="95">
        <f t="shared" si="28"/>
        <v>0</v>
      </c>
      <c r="V510" s="28" t="s">
        <v>222</v>
      </c>
      <c r="W510" s="31">
        <v>2020</v>
      </c>
      <c r="X510" s="28">
        <v>1</v>
      </c>
      <c r="Y510" s="28">
        <v>0</v>
      </c>
      <c r="Z510" s="196">
        <v>-2.1513024844954491E-4</v>
      </c>
      <c r="AA510" s="196">
        <v>-3.3096961299929986E-3</v>
      </c>
      <c r="AB510" s="28">
        <v>0</v>
      </c>
      <c r="AC510" s="28">
        <v>0</v>
      </c>
      <c r="AD510" s="28" t="s">
        <v>336</v>
      </c>
    </row>
    <row r="511" spans="2:30" ht="14.25" customHeight="1" x14ac:dyDescent="0.2">
      <c r="B511" s="7">
        <f t="shared" si="29"/>
        <v>487</v>
      </c>
      <c r="C511" s="28">
        <v>2</v>
      </c>
      <c r="D511" s="28">
        <v>4</v>
      </c>
      <c r="E511" s="31">
        <v>14</v>
      </c>
      <c r="F511" s="78">
        <v>2034</v>
      </c>
      <c r="G511" s="28">
        <v>2034</v>
      </c>
      <c r="H511" s="28">
        <v>9</v>
      </c>
      <c r="I511" s="96">
        <v>49</v>
      </c>
      <c r="J511" s="31">
        <v>33</v>
      </c>
      <c r="K511" s="28">
        <v>0</v>
      </c>
      <c r="L511" s="28">
        <v>0</v>
      </c>
      <c r="M511" s="75">
        <v>17.100000000000001</v>
      </c>
      <c r="N511" s="151">
        <v>9500</v>
      </c>
      <c r="O511" s="79">
        <v>0</v>
      </c>
      <c r="P511" s="95">
        <f t="array" ref="P511">ROUND(IF($F511&lt;='TaxCred&amp;Subs'!$C$49,(IF($C511=2,IF($M511&gt;=IFERROR(INDEX('TaxCred&amp;Subs'!$L$12:$L$47,MATCH(1,($C511&amp;$D511='TaxCred&amp;Subs'!$E$12:$E$47)*($F511='TaxCred&amp;Subs'!$C$12:$C$47),0)
),9999),IFERROR(INDEX('TaxCred&amp;Subs'!$N$12:$N$47,MATCH(1,($C511&amp;$D511='TaxCred&amp;Subs'!$E$12:$E$47)*($F511='TaxCred&amp;Subs'!$C$12:$C$47),0)
),0),0),(IF($M511&gt;=IFERROR(INDEX('TaxCred&amp;Subs'!$H$12:$H$47,MATCH(1,($C511&amp;$D511='TaxCred&amp;Subs'!$D$12:$D$47)*($F511='TaxCred&amp;Subs'!$C$12:$C$47),0)
),9999),IFERROR(INDEX('TaxCred&amp;Subs'!$N$12:$N$47,MATCH(1,($C511&amp;$D511='TaxCred&amp;Subs'!$D$12:$D$47)*($F511='TaxCred&amp;Subs'!$C$12:$C$47),0)
),0),0)))),0)+IF(AND($C511=2,VALUE(RIGHT($AD511,1))&gt;2),(N511-R511)*(IFERROR(INDEX('TaxCred&amp;Subs'!$J$66:$J$99,MATCH(1,($C511&amp;$D511='TaxCred&amp;Subs'!$E$66:$E$99)*($F511='TaxCred&amp;Subs'!$C$66:$C$99),0)),0)),IF(AND($C511=1,VALUE(RIGHT($AD511,1))&gt;2),(N511-R511)*(IFERROR(INDEX('TaxCred&amp;Subs'!$J$66:$J$99,MATCH(1,($C511&amp;$D511='TaxCred&amp;Subs'!$D$66:$D$99)*($F511='TaxCred&amp;Subs'!$C$66:$C$99),0)),0)),IF($C511&gt;2,(N511-R511)*(IFERROR(INDEX('TaxCred&amp;Subs'!$J$66:$J$99,MATCH(1,($C511&amp;$D511='TaxCred&amp;Subs'!$D$66:$D$99)*($F511='TaxCred&amp;Subs'!$C$66:$C$99),0)),0)),0))),0)</f>
        <v>2039</v>
      </c>
      <c r="Q511" s="95">
        <f t="array" ref="Q511">ROUND(IF(AND($C511=2,VALUE(RIGHT($AD511,1))&gt;2),(O511-S511)*(IFERROR(INDEX('TaxCred&amp;Subs'!$J$66:$J$99,MATCH(1,($C511&amp;$D511='TaxCred&amp;Subs'!$E$66:$E$99)*($F511='TaxCred&amp;Subs'!$C$66:$C$99),0)),0)),IF(AND($C511=1,VALUE(RIGHT($AD511,1))&gt;2),(O511-S511)*(IFERROR(INDEX('TaxCred&amp;Subs'!$J$66:$J$99,MATCH(1,($C511&amp;$D511='TaxCred&amp;Subs'!$D$66:$D$99)*($F511='TaxCred&amp;Subs'!$C$66:$C$99),0)),0)),IF($C511&gt;2,(O511-S511)*(IFERROR(INDEX('TaxCred&amp;Subs'!$J$66:$J$99,MATCH(1,($C511&amp;$D511='TaxCred&amp;Subs'!$D$66:$D$99)*($F511='TaxCred&amp;Subs'!$C$66:$C$99),0)),0)),0))),0)</f>
        <v>0</v>
      </c>
      <c r="R511" s="170">
        <f t="array" ref="R511">ROUND(IF(IFERROR(VALUE(RIGHT($AD511,1)),0)&gt;2,IF($C511=8,N511*IFERROR(INDEX('TaxCred&amp;Subs'!$K$139:$S$151,MATCH($C511&amp;$D511&amp;LEFT($AD511,7),'TaxCred&amp;Subs'!$E$139:$E$151,0),MATCH($H511,'TaxCred&amp;Subs'!$K$137:$S$137,0)),0),IF($C511=2,N511*IFERROR(INDEX('TaxCred&amp;Subs'!$K$139:$S$151,MATCH($C511&amp;$D511,'TaxCred&amp;Subs'!$D$139:$D$151,0),MATCH($H511,'TaxCred&amp;Subs'!$K$137:$S$137,0)),0),N511*IFERROR(INDEX('TaxCred&amp;Subs'!$K$139:$S$151,MATCH($C511&amp;$D511,'TaxCred&amp;Subs'!$C$139:$C$151,0),MATCH($H511,'TaxCred&amp;Subs'!$K$137:$S$137,0)),0))),0),0)</f>
        <v>233</v>
      </c>
      <c r="S511" s="170">
        <f t="array" ref="S511">ROUND(IF(IFERROR(VALUE(RIGHT($AD511,1)),0)&gt;2,IF($C511=8,O511*IFERROR(INDEX('TaxCred&amp;Subs'!$K$139:$S$151,MATCH($C511&amp;$D511&amp;LEFT($AD511,7),'TaxCred&amp;Subs'!$E$139:$E$151,0),MATCH($H511,'TaxCred&amp;Subs'!$K$137:$S$137,0)),0),IF($C511=2,O511*IFERROR(INDEX('TaxCred&amp;Subs'!$K$139:$S$151,MATCH($C511&amp;$D511,'TaxCred&amp;Subs'!$D$139:$D$151,0),MATCH($H511,'TaxCred&amp;Subs'!$K$137:$S$137,0)),0),O511*IFERROR(INDEX('TaxCred&amp;Subs'!$K$139:$S$151,MATCH($C511&amp;$D511,'TaxCred&amp;Subs'!$C$139:$C$151,0),MATCH($H511,'TaxCred&amp;Subs'!$K$137:$S$137,0)),0))),0),0)</f>
        <v>0</v>
      </c>
      <c r="T511" s="172">
        <f t="shared" si="27"/>
        <v>1119.1499999999999</v>
      </c>
      <c r="U511" s="95">
        <f t="shared" si="28"/>
        <v>0</v>
      </c>
      <c r="V511" s="28" t="s">
        <v>222</v>
      </c>
      <c r="W511" s="31">
        <v>2020</v>
      </c>
      <c r="X511" s="28">
        <v>1</v>
      </c>
      <c r="Y511" s="28">
        <v>0</v>
      </c>
      <c r="Z511" s="196">
        <v>-2.1513024844954491E-4</v>
      </c>
      <c r="AA511" s="196">
        <v>-3.3096961299929986E-3</v>
      </c>
      <c r="AB511" s="28">
        <v>0</v>
      </c>
      <c r="AC511" s="28">
        <v>0</v>
      </c>
      <c r="AD511" s="28" t="s">
        <v>336</v>
      </c>
    </row>
    <row r="512" spans="2:30" ht="14.25" customHeight="1" x14ac:dyDescent="0.2">
      <c r="B512" s="7">
        <f t="shared" si="29"/>
        <v>488</v>
      </c>
      <c r="C512" s="28">
        <v>2</v>
      </c>
      <c r="D512" s="28">
        <v>4</v>
      </c>
      <c r="E512" s="31">
        <v>14</v>
      </c>
      <c r="F512" s="78">
        <v>2035</v>
      </c>
      <c r="G512" s="28">
        <v>2050</v>
      </c>
      <c r="H512" s="28">
        <v>1</v>
      </c>
      <c r="I512" s="96">
        <v>49</v>
      </c>
      <c r="J512" s="31">
        <v>33</v>
      </c>
      <c r="K512" s="28">
        <v>0</v>
      </c>
      <c r="L512" s="28">
        <v>0</v>
      </c>
      <c r="M512" s="75">
        <v>17.100000000000001</v>
      </c>
      <c r="N512" s="151">
        <v>9500</v>
      </c>
      <c r="O512" s="79">
        <v>0</v>
      </c>
      <c r="P512" s="95">
        <f t="array" ref="P512">ROUND(IF($F512&lt;='TaxCred&amp;Subs'!$C$49,(IF($C512=2,IF($M512&gt;=IFERROR(INDEX('TaxCred&amp;Subs'!$L$12:$L$47,MATCH(1,($C512&amp;$D512='TaxCred&amp;Subs'!$E$12:$E$47)*($F512='TaxCred&amp;Subs'!$C$12:$C$47),0)
),9999),IFERROR(INDEX('TaxCred&amp;Subs'!$N$12:$N$47,MATCH(1,($C512&amp;$D512='TaxCred&amp;Subs'!$E$12:$E$47)*($F512='TaxCred&amp;Subs'!$C$12:$C$47),0)
),0),0),(IF($M512&gt;=IFERROR(INDEX('TaxCred&amp;Subs'!$H$12:$H$47,MATCH(1,($C512&amp;$D512='TaxCred&amp;Subs'!$D$12:$D$47)*($F512='TaxCred&amp;Subs'!$C$12:$C$47),0)
),9999),IFERROR(INDEX('TaxCred&amp;Subs'!$N$12:$N$47,MATCH(1,($C512&amp;$D512='TaxCred&amp;Subs'!$D$12:$D$47)*($F512='TaxCred&amp;Subs'!$C$12:$C$47),0)
),0),0)))),0)+IF(AND($C512=2,VALUE(RIGHT($AD512,1))&gt;2),(N512-R512)*(IFERROR(INDEX('TaxCred&amp;Subs'!$J$66:$J$99,MATCH(1,($C512&amp;$D512='TaxCred&amp;Subs'!$E$66:$E$99)*($F512='TaxCred&amp;Subs'!$C$66:$C$99),0)),0)),IF(AND($C512=1,VALUE(RIGHT($AD512,1))&gt;2),(N512-R512)*(IFERROR(INDEX('TaxCred&amp;Subs'!$J$66:$J$99,MATCH(1,($C512&amp;$D512='TaxCred&amp;Subs'!$D$66:$D$99)*($F512='TaxCred&amp;Subs'!$C$66:$C$99),0)),0)),IF($C512&gt;2,(N512-R512)*(IFERROR(INDEX('TaxCred&amp;Subs'!$J$66:$J$99,MATCH(1,($C512&amp;$D512='TaxCred&amp;Subs'!$D$66:$D$99)*($F512='TaxCred&amp;Subs'!$C$66:$C$99),0)),0)),0))),0)</f>
        <v>0</v>
      </c>
      <c r="Q512" s="95">
        <f t="array" ref="Q512">ROUND(IF(AND($C512=2,VALUE(RIGHT($AD512,1))&gt;2),(O512-S512)*(IFERROR(INDEX('TaxCred&amp;Subs'!$J$66:$J$99,MATCH(1,($C512&amp;$D512='TaxCred&amp;Subs'!$E$66:$E$99)*($F512='TaxCred&amp;Subs'!$C$66:$C$99),0)),0)),IF(AND($C512=1,VALUE(RIGHT($AD512,1))&gt;2),(O512-S512)*(IFERROR(INDEX('TaxCred&amp;Subs'!$J$66:$J$99,MATCH(1,($C512&amp;$D512='TaxCred&amp;Subs'!$D$66:$D$99)*($F512='TaxCred&amp;Subs'!$C$66:$C$99),0)),0)),IF($C512&gt;2,(O512-S512)*(IFERROR(INDEX('TaxCred&amp;Subs'!$J$66:$J$99,MATCH(1,($C512&amp;$D512='TaxCred&amp;Subs'!$D$66:$D$99)*($F512='TaxCred&amp;Subs'!$C$66:$C$99),0)),0)),0))),0)</f>
        <v>0</v>
      </c>
      <c r="R512" s="170">
        <f t="array" ref="R512">ROUND(IF(IFERROR(VALUE(RIGHT($AD512,1)),0)&gt;2,IF($C512=8,N512*IFERROR(INDEX('TaxCred&amp;Subs'!$K$139:$S$151,MATCH($C512&amp;$D512&amp;LEFT($AD512,7),'TaxCred&amp;Subs'!$E$139:$E$151,0),MATCH($H512,'TaxCred&amp;Subs'!$K$137:$S$137,0)),0),IF($C512=2,N512*IFERROR(INDEX('TaxCred&amp;Subs'!$K$139:$S$151,MATCH($C512&amp;$D512,'TaxCred&amp;Subs'!$D$139:$D$151,0),MATCH($H512,'TaxCred&amp;Subs'!$K$137:$S$137,0)),0),N512*IFERROR(INDEX('TaxCred&amp;Subs'!$K$139:$S$151,MATCH($C512&amp;$D512,'TaxCred&amp;Subs'!$C$139:$C$151,0),MATCH($H512,'TaxCred&amp;Subs'!$K$137:$S$137,0)),0))),0),0)</f>
        <v>2355</v>
      </c>
      <c r="S512" s="170">
        <f t="array" ref="S512">ROUND(IF(IFERROR(VALUE(RIGHT($AD512,1)),0)&gt;2,IF($C512=8,O512*IFERROR(INDEX('TaxCred&amp;Subs'!$K$139:$S$151,MATCH($C512&amp;$D512&amp;LEFT($AD512,7),'TaxCred&amp;Subs'!$E$139:$E$151,0),MATCH($H512,'TaxCred&amp;Subs'!$K$137:$S$137,0)),0),IF($C512=2,O512*IFERROR(INDEX('TaxCred&amp;Subs'!$K$139:$S$151,MATCH($C512&amp;$D512,'TaxCred&amp;Subs'!$D$139:$D$151,0),MATCH($H512,'TaxCred&amp;Subs'!$K$137:$S$137,0)),0),O512*IFERROR(INDEX('TaxCred&amp;Subs'!$K$139:$S$151,MATCH($C512&amp;$D512,'TaxCred&amp;Subs'!$C$139:$C$151,0),MATCH($H512,'TaxCred&amp;Subs'!$K$137:$S$137,0)),0))),0),0)</f>
        <v>0</v>
      </c>
      <c r="T512" s="95">
        <f t="shared" si="27"/>
        <v>0</v>
      </c>
      <c r="U512" s="95">
        <f t="shared" si="28"/>
        <v>0</v>
      </c>
      <c r="V512" s="28" t="s">
        <v>222</v>
      </c>
      <c r="W512" s="31">
        <v>2020</v>
      </c>
      <c r="X512" s="28">
        <v>1</v>
      </c>
      <c r="Y512" s="28">
        <v>0</v>
      </c>
      <c r="Z512" s="196">
        <v>-2.1513024844954491E-4</v>
      </c>
      <c r="AA512" s="196">
        <v>-3.3096961299929986E-3</v>
      </c>
      <c r="AB512" s="28">
        <v>0</v>
      </c>
      <c r="AC512" s="28">
        <v>0</v>
      </c>
      <c r="AD512" s="28" t="s">
        <v>336</v>
      </c>
    </row>
    <row r="513" spans="2:30" ht="14.25" customHeight="1" x14ac:dyDescent="0.2">
      <c r="B513" s="7">
        <f t="shared" si="29"/>
        <v>489</v>
      </c>
      <c r="C513" s="28">
        <v>2</v>
      </c>
      <c r="D513" s="28">
        <v>4</v>
      </c>
      <c r="E513" s="31">
        <v>14</v>
      </c>
      <c r="F513" s="78">
        <v>2035</v>
      </c>
      <c r="G513" s="28">
        <v>2050</v>
      </c>
      <c r="H513" s="28">
        <v>2</v>
      </c>
      <c r="I513" s="96">
        <v>49</v>
      </c>
      <c r="J513" s="31">
        <v>33</v>
      </c>
      <c r="K513" s="28">
        <v>0</v>
      </c>
      <c r="L513" s="28">
        <v>0</v>
      </c>
      <c r="M513" s="75">
        <v>17.100000000000001</v>
      </c>
      <c r="N513" s="151">
        <v>9500</v>
      </c>
      <c r="O513" s="79">
        <v>0</v>
      </c>
      <c r="P513" s="95">
        <f t="array" ref="P513">ROUND(IF($F513&lt;='TaxCred&amp;Subs'!$C$49,(IF($C513=2,IF($M513&gt;=IFERROR(INDEX('TaxCred&amp;Subs'!$L$12:$L$47,MATCH(1,($C513&amp;$D513='TaxCred&amp;Subs'!$E$12:$E$47)*($F513='TaxCred&amp;Subs'!$C$12:$C$47),0)
),9999),IFERROR(INDEX('TaxCred&amp;Subs'!$N$12:$N$47,MATCH(1,($C513&amp;$D513='TaxCred&amp;Subs'!$E$12:$E$47)*($F513='TaxCred&amp;Subs'!$C$12:$C$47),0)
),0),0),(IF($M513&gt;=IFERROR(INDEX('TaxCred&amp;Subs'!$H$12:$H$47,MATCH(1,($C513&amp;$D513='TaxCred&amp;Subs'!$D$12:$D$47)*($F513='TaxCred&amp;Subs'!$C$12:$C$47),0)
),9999),IFERROR(INDEX('TaxCred&amp;Subs'!$N$12:$N$47,MATCH(1,($C513&amp;$D513='TaxCred&amp;Subs'!$D$12:$D$47)*($F513='TaxCred&amp;Subs'!$C$12:$C$47),0)
),0),0)))),0)+IF(AND($C513=2,VALUE(RIGHT($AD513,1))&gt;2),(N513-R513)*(IFERROR(INDEX('TaxCred&amp;Subs'!$J$66:$J$99,MATCH(1,($C513&amp;$D513='TaxCred&amp;Subs'!$E$66:$E$99)*($F513='TaxCred&amp;Subs'!$C$66:$C$99),0)),0)),IF(AND($C513=1,VALUE(RIGHT($AD513,1))&gt;2),(N513-R513)*(IFERROR(INDEX('TaxCred&amp;Subs'!$J$66:$J$99,MATCH(1,($C513&amp;$D513='TaxCred&amp;Subs'!$D$66:$D$99)*($F513='TaxCred&amp;Subs'!$C$66:$C$99),0)),0)),IF($C513&gt;2,(N513-R513)*(IFERROR(INDEX('TaxCred&amp;Subs'!$J$66:$J$99,MATCH(1,($C513&amp;$D513='TaxCred&amp;Subs'!$D$66:$D$99)*($F513='TaxCred&amp;Subs'!$C$66:$C$99),0)),0)),0))),0)</f>
        <v>0</v>
      </c>
      <c r="Q513" s="95">
        <f t="array" ref="Q513">ROUND(IF(AND($C513=2,VALUE(RIGHT($AD513,1))&gt;2),(O513-S513)*(IFERROR(INDEX('TaxCred&amp;Subs'!$J$66:$J$99,MATCH(1,($C513&amp;$D513='TaxCred&amp;Subs'!$E$66:$E$99)*($F513='TaxCred&amp;Subs'!$C$66:$C$99),0)),0)),IF(AND($C513=1,VALUE(RIGHT($AD513,1))&gt;2),(O513-S513)*(IFERROR(INDEX('TaxCred&amp;Subs'!$J$66:$J$99,MATCH(1,($C513&amp;$D513='TaxCred&amp;Subs'!$D$66:$D$99)*($F513='TaxCred&amp;Subs'!$C$66:$C$99),0)),0)),IF($C513&gt;2,(O513-S513)*(IFERROR(INDEX('TaxCred&amp;Subs'!$J$66:$J$99,MATCH(1,($C513&amp;$D513='TaxCred&amp;Subs'!$D$66:$D$99)*($F513='TaxCred&amp;Subs'!$C$66:$C$99),0)),0)),0))),0)</f>
        <v>0</v>
      </c>
      <c r="R513" s="170">
        <f t="array" ref="R513">ROUND(IF(IFERROR(VALUE(RIGHT($AD513,1)),0)&gt;2,IF($C513=8,N513*IFERROR(INDEX('TaxCred&amp;Subs'!$K$139:$S$151,MATCH($C513&amp;$D513&amp;LEFT($AD513,7),'TaxCred&amp;Subs'!$E$139:$E$151,0),MATCH($H513,'TaxCred&amp;Subs'!$K$137:$S$137,0)),0),IF($C513=2,N513*IFERROR(INDEX('TaxCred&amp;Subs'!$K$139:$S$151,MATCH($C513&amp;$D513,'TaxCred&amp;Subs'!$D$139:$D$151,0),MATCH($H513,'TaxCred&amp;Subs'!$K$137:$S$137,0)),0),N513*IFERROR(INDEX('TaxCred&amp;Subs'!$K$139:$S$151,MATCH($C513&amp;$D513,'TaxCred&amp;Subs'!$C$139:$C$151,0),MATCH($H513,'TaxCred&amp;Subs'!$K$137:$S$137,0)),0))),0),0)</f>
        <v>972</v>
      </c>
      <c r="S513" s="170">
        <f t="array" ref="S513">ROUND(IF(IFERROR(VALUE(RIGHT($AD513,1)),0)&gt;2,IF($C513=8,O513*IFERROR(INDEX('TaxCred&amp;Subs'!$K$139:$S$151,MATCH($C513&amp;$D513&amp;LEFT($AD513,7),'TaxCred&amp;Subs'!$E$139:$E$151,0),MATCH($H513,'TaxCred&amp;Subs'!$K$137:$S$137,0)),0),IF($C513=2,O513*IFERROR(INDEX('TaxCred&amp;Subs'!$K$139:$S$151,MATCH($C513&amp;$D513,'TaxCred&amp;Subs'!$D$139:$D$151,0),MATCH($H513,'TaxCred&amp;Subs'!$K$137:$S$137,0)),0),O513*IFERROR(INDEX('TaxCred&amp;Subs'!$K$139:$S$151,MATCH($C513&amp;$D513,'TaxCred&amp;Subs'!$C$139:$C$151,0),MATCH($H513,'TaxCred&amp;Subs'!$K$137:$S$137,0)),0))),0),0)</f>
        <v>0</v>
      </c>
      <c r="T513" s="95">
        <f t="shared" si="27"/>
        <v>0</v>
      </c>
      <c r="U513" s="95">
        <f t="shared" si="28"/>
        <v>0</v>
      </c>
      <c r="V513" s="28" t="s">
        <v>222</v>
      </c>
      <c r="W513" s="31">
        <v>2020</v>
      </c>
      <c r="X513" s="28">
        <v>1</v>
      </c>
      <c r="Y513" s="28">
        <v>0</v>
      </c>
      <c r="Z513" s="196">
        <v>-2.1513024844954491E-4</v>
      </c>
      <c r="AA513" s="196">
        <v>-3.3096961299929986E-3</v>
      </c>
      <c r="AB513" s="28">
        <v>0</v>
      </c>
      <c r="AC513" s="28">
        <v>0</v>
      </c>
      <c r="AD513" s="28" t="s">
        <v>336</v>
      </c>
    </row>
    <row r="514" spans="2:30" ht="14.25" customHeight="1" x14ac:dyDescent="0.2">
      <c r="B514" s="7">
        <f t="shared" si="29"/>
        <v>490</v>
      </c>
      <c r="C514" s="28">
        <v>2</v>
      </c>
      <c r="D514" s="28">
        <v>4</v>
      </c>
      <c r="E514" s="31">
        <v>14</v>
      </c>
      <c r="F514" s="78">
        <v>2035</v>
      </c>
      <c r="G514" s="28">
        <v>2050</v>
      </c>
      <c r="H514" s="28">
        <v>3</v>
      </c>
      <c r="I514" s="96">
        <v>49</v>
      </c>
      <c r="J514" s="31">
        <v>33</v>
      </c>
      <c r="K514" s="28">
        <v>0</v>
      </c>
      <c r="L514" s="28">
        <v>0</v>
      </c>
      <c r="M514" s="75">
        <v>17.100000000000001</v>
      </c>
      <c r="N514" s="151">
        <v>9500</v>
      </c>
      <c r="O514" s="79">
        <v>0</v>
      </c>
      <c r="P514" s="95">
        <f t="array" ref="P514">ROUND(IF($F514&lt;='TaxCred&amp;Subs'!$C$49,(IF($C514=2,IF($M514&gt;=IFERROR(INDEX('TaxCred&amp;Subs'!$L$12:$L$47,MATCH(1,($C514&amp;$D514='TaxCred&amp;Subs'!$E$12:$E$47)*($F514='TaxCred&amp;Subs'!$C$12:$C$47),0)
),9999),IFERROR(INDEX('TaxCred&amp;Subs'!$N$12:$N$47,MATCH(1,($C514&amp;$D514='TaxCred&amp;Subs'!$E$12:$E$47)*($F514='TaxCred&amp;Subs'!$C$12:$C$47),0)
),0),0),(IF($M514&gt;=IFERROR(INDEX('TaxCred&amp;Subs'!$H$12:$H$47,MATCH(1,($C514&amp;$D514='TaxCred&amp;Subs'!$D$12:$D$47)*($F514='TaxCred&amp;Subs'!$C$12:$C$47),0)
),9999),IFERROR(INDEX('TaxCred&amp;Subs'!$N$12:$N$47,MATCH(1,($C514&amp;$D514='TaxCred&amp;Subs'!$D$12:$D$47)*($F514='TaxCred&amp;Subs'!$C$12:$C$47),0)
),0),0)))),0)+IF(AND($C514=2,VALUE(RIGHT($AD514,1))&gt;2),(N514-R514)*(IFERROR(INDEX('TaxCred&amp;Subs'!$J$66:$J$99,MATCH(1,($C514&amp;$D514='TaxCred&amp;Subs'!$E$66:$E$99)*($F514='TaxCred&amp;Subs'!$C$66:$C$99),0)),0)),IF(AND($C514=1,VALUE(RIGHT($AD514,1))&gt;2),(N514-R514)*(IFERROR(INDEX('TaxCred&amp;Subs'!$J$66:$J$99,MATCH(1,($C514&amp;$D514='TaxCred&amp;Subs'!$D$66:$D$99)*($F514='TaxCred&amp;Subs'!$C$66:$C$99),0)),0)),IF($C514&gt;2,(N514-R514)*(IFERROR(INDEX('TaxCred&amp;Subs'!$J$66:$J$99,MATCH(1,($C514&amp;$D514='TaxCred&amp;Subs'!$D$66:$D$99)*($F514='TaxCred&amp;Subs'!$C$66:$C$99),0)),0)),0))),0)</f>
        <v>0</v>
      </c>
      <c r="Q514" s="95">
        <f t="array" ref="Q514">ROUND(IF(AND($C514=2,VALUE(RIGHT($AD514,1))&gt;2),(O514-S514)*(IFERROR(INDEX('TaxCred&amp;Subs'!$J$66:$J$99,MATCH(1,($C514&amp;$D514='TaxCred&amp;Subs'!$E$66:$E$99)*($F514='TaxCred&amp;Subs'!$C$66:$C$99),0)),0)),IF(AND($C514=1,VALUE(RIGHT($AD514,1))&gt;2),(O514-S514)*(IFERROR(INDEX('TaxCred&amp;Subs'!$J$66:$J$99,MATCH(1,($C514&amp;$D514='TaxCred&amp;Subs'!$D$66:$D$99)*($F514='TaxCred&amp;Subs'!$C$66:$C$99),0)),0)),IF($C514&gt;2,(O514-S514)*(IFERROR(INDEX('TaxCred&amp;Subs'!$J$66:$J$99,MATCH(1,($C514&amp;$D514='TaxCred&amp;Subs'!$D$66:$D$99)*($F514='TaxCred&amp;Subs'!$C$66:$C$99),0)),0)),0))),0)</f>
        <v>0</v>
      </c>
      <c r="R514" s="170">
        <f t="array" ref="R514">ROUND(IF(IFERROR(VALUE(RIGHT($AD514,1)),0)&gt;2,IF($C514=8,N514*IFERROR(INDEX('TaxCred&amp;Subs'!$K$139:$S$151,MATCH($C514&amp;$D514&amp;LEFT($AD514,7),'TaxCred&amp;Subs'!$E$139:$E$151,0),MATCH($H514,'TaxCred&amp;Subs'!$K$137:$S$137,0)),0),IF($C514=2,N514*IFERROR(INDEX('TaxCred&amp;Subs'!$K$139:$S$151,MATCH($C514&amp;$D514,'TaxCred&amp;Subs'!$D$139:$D$151,0),MATCH($H514,'TaxCred&amp;Subs'!$K$137:$S$137,0)),0),N514*IFERROR(INDEX('TaxCred&amp;Subs'!$K$139:$S$151,MATCH($C514&amp;$D514,'TaxCred&amp;Subs'!$C$139:$C$151,0),MATCH($H514,'TaxCred&amp;Subs'!$K$137:$S$137,0)),0))),0),0)</f>
        <v>765</v>
      </c>
      <c r="S514" s="170">
        <f t="array" ref="S514">ROUND(IF(IFERROR(VALUE(RIGHT($AD514,1)),0)&gt;2,IF($C514=8,O514*IFERROR(INDEX('TaxCred&amp;Subs'!$K$139:$S$151,MATCH($C514&amp;$D514&amp;LEFT($AD514,7),'TaxCred&amp;Subs'!$E$139:$E$151,0),MATCH($H514,'TaxCred&amp;Subs'!$K$137:$S$137,0)),0),IF($C514=2,O514*IFERROR(INDEX('TaxCred&amp;Subs'!$K$139:$S$151,MATCH($C514&amp;$D514,'TaxCred&amp;Subs'!$D$139:$D$151,0),MATCH($H514,'TaxCred&amp;Subs'!$K$137:$S$137,0)),0),O514*IFERROR(INDEX('TaxCred&amp;Subs'!$K$139:$S$151,MATCH($C514&amp;$D514,'TaxCred&amp;Subs'!$C$139:$C$151,0),MATCH($H514,'TaxCred&amp;Subs'!$K$137:$S$137,0)),0))),0),0)</f>
        <v>0</v>
      </c>
      <c r="T514" s="95">
        <f t="shared" si="27"/>
        <v>0</v>
      </c>
      <c r="U514" s="95">
        <f t="shared" si="28"/>
        <v>0</v>
      </c>
      <c r="V514" s="28" t="s">
        <v>222</v>
      </c>
      <c r="W514" s="31">
        <v>2020</v>
      </c>
      <c r="X514" s="28">
        <v>1</v>
      </c>
      <c r="Y514" s="28">
        <v>0</v>
      </c>
      <c r="Z514" s="196">
        <v>-2.1513024844954491E-4</v>
      </c>
      <c r="AA514" s="196">
        <v>-3.3096961299929986E-3</v>
      </c>
      <c r="AB514" s="28">
        <v>0</v>
      </c>
      <c r="AC514" s="28">
        <v>0</v>
      </c>
      <c r="AD514" s="28" t="s">
        <v>336</v>
      </c>
    </row>
    <row r="515" spans="2:30" ht="14.25" customHeight="1" x14ac:dyDescent="0.2">
      <c r="B515" s="7">
        <f t="shared" si="29"/>
        <v>491</v>
      </c>
      <c r="C515" s="28">
        <v>2</v>
      </c>
      <c r="D515" s="28">
        <v>4</v>
      </c>
      <c r="E515" s="31">
        <v>14</v>
      </c>
      <c r="F515" s="78">
        <v>2035</v>
      </c>
      <c r="G515" s="28">
        <v>2050</v>
      </c>
      <c r="H515" s="28">
        <v>4</v>
      </c>
      <c r="I515" s="96">
        <v>49</v>
      </c>
      <c r="J515" s="31">
        <v>33</v>
      </c>
      <c r="K515" s="28">
        <v>0</v>
      </c>
      <c r="L515" s="28">
        <v>0</v>
      </c>
      <c r="M515" s="75">
        <v>17.100000000000001</v>
      </c>
      <c r="N515" s="151">
        <v>9500</v>
      </c>
      <c r="O515" s="79">
        <v>0</v>
      </c>
      <c r="P515" s="95">
        <f t="array" ref="P515">ROUND(IF($F515&lt;='TaxCred&amp;Subs'!$C$49,(IF($C515=2,IF($M515&gt;=IFERROR(INDEX('TaxCred&amp;Subs'!$L$12:$L$47,MATCH(1,($C515&amp;$D515='TaxCred&amp;Subs'!$E$12:$E$47)*($F515='TaxCred&amp;Subs'!$C$12:$C$47),0)
),9999),IFERROR(INDEX('TaxCred&amp;Subs'!$N$12:$N$47,MATCH(1,($C515&amp;$D515='TaxCred&amp;Subs'!$E$12:$E$47)*($F515='TaxCred&amp;Subs'!$C$12:$C$47),0)
),0),0),(IF($M515&gt;=IFERROR(INDEX('TaxCred&amp;Subs'!$H$12:$H$47,MATCH(1,($C515&amp;$D515='TaxCred&amp;Subs'!$D$12:$D$47)*($F515='TaxCred&amp;Subs'!$C$12:$C$47),0)
),9999),IFERROR(INDEX('TaxCred&amp;Subs'!$N$12:$N$47,MATCH(1,($C515&amp;$D515='TaxCred&amp;Subs'!$D$12:$D$47)*($F515='TaxCred&amp;Subs'!$C$12:$C$47),0)
),0),0)))),0)+IF(AND($C515=2,VALUE(RIGHT($AD515,1))&gt;2),(N515-R515)*(IFERROR(INDEX('TaxCred&amp;Subs'!$J$66:$J$99,MATCH(1,($C515&amp;$D515='TaxCred&amp;Subs'!$E$66:$E$99)*($F515='TaxCred&amp;Subs'!$C$66:$C$99),0)),0)),IF(AND($C515=1,VALUE(RIGHT($AD515,1))&gt;2),(N515-R515)*(IFERROR(INDEX('TaxCred&amp;Subs'!$J$66:$J$99,MATCH(1,($C515&amp;$D515='TaxCred&amp;Subs'!$D$66:$D$99)*($F515='TaxCred&amp;Subs'!$C$66:$C$99),0)),0)),IF($C515&gt;2,(N515-R515)*(IFERROR(INDEX('TaxCred&amp;Subs'!$J$66:$J$99,MATCH(1,($C515&amp;$D515='TaxCred&amp;Subs'!$D$66:$D$99)*($F515='TaxCred&amp;Subs'!$C$66:$C$99),0)),0)),0))),0)</f>
        <v>0</v>
      </c>
      <c r="Q515" s="95">
        <f t="array" ref="Q515">ROUND(IF(AND($C515=2,VALUE(RIGHT($AD515,1))&gt;2),(O515-S515)*(IFERROR(INDEX('TaxCred&amp;Subs'!$J$66:$J$99,MATCH(1,($C515&amp;$D515='TaxCred&amp;Subs'!$E$66:$E$99)*($F515='TaxCred&amp;Subs'!$C$66:$C$99),0)),0)),IF(AND($C515=1,VALUE(RIGHT($AD515,1))&gt;2),(O515-S515)*(IFERROR(INDEX('TaxCred&amp;Subs'!$J$66:$J$99,MATCH(1,($C515&amp;$D515='TaxCred&amp;Subs'!$D$66:$D$99)*($F515='TaxCred&amp;Subs'!$C$66:$C$99),0)),0)),IF($C515&gt;2,(O515-S515)*(IFERROR(INDEX('TaxCred&amp;Subs'!$J$66:$J$99,MATCH(1,($C515&amp;$D515='TaxCred&amp;Subs'!$D$66:$D$99)*($F515='TaxCred&amp;Subs'!$C$66:$C$99),0)),0)),0))),0)</f>
        <v>0</v>
      </c>
      <c r="R515" s="170">
        <f t="array" ref="R515">ROUND(IF(IFERROR(VALUE(RIGHT($AD515,1)),0)&gt;2,IF($C515=8,N515*IFERROR(INDEX('TaxCred&amp;Subs'!$K$139:$S$151,MATCH($C515&amp;$D515&amp;LEFT($AD515,7),'TaxCred&amp;Subs'!$E$139:$E$151,0),MATCH($H515,'TaxCred&amp;Subs'!$K$137:$S$137,0)),0),IF($C515=2,N515*IFERROR(INDEX('TaxCred&amp;Subs'!$K$139:$S$151,MATCH($C515&amp;$D515,'TaxCred&amp;Subs'!$D$139:$D$151,0),MATCH($H515,'TaxCred&amp;Subs'!$K$137:$S$137,0)),0),N515*IFERROR(INDEX('TaxCred&amp;Subs'!$K$139:$S$151,MATCH($C515&amp;$D515,'TaxCred&amp;Subs'!$C$139:$C$151,0),MATCH($H515,'TaxCred&amp;Subs'!$K$137:$S$137,0)),0))),0),0)</f>
        <v>612</v>
      </c>
      <c r="S515" s="170">
        <f t="array" ref="S515">ROUND(IF(IFERROR(VALUE(RIGHT($AD515,1)),0)&gt;2,IF($C515=8,O515*IFERROR(INDEX('TaxCred&amp;Subs'!$K$139:$S$151,MATCH($C515&amp;$D515&amp;LEFT($AD515,7),'TaxCred&amp;Subs'!$E$139:$E$151,0),MATCH($H515,'TaxCred&amp;Subs'!$K$137:$S$137,0)),0),IF($C515=2,O515*IFERROR(INDEX('TaxCred&amp;Subs'!$K$139:$S$151,MATCH($C515&amp;$D515,'TaxCred&amp;Subs'!$D$139:$D$151,0),MATCH($H515,'TaxCred&amp;Subs'!$K$137:$S$137,0)),0),O515*IFERROR(INDEX('TaxCred&amp;Subs'!$K$139:$S$151,MATCH($C515&amp;$D515,'TaxCred&amp;Subs'!$C$139:$C$151,0),MATCH($H515,'TaxCred&amp;Subs'!$K$137:$S$137,0)),0))),0),0)</f>
        <v>0</v>
      </c>
      <c r="T515" s="95">
        <f t="shared" si="27"/>
        <v>0</v>
      </c>
      <c r="U515" s="95">
        <f t="shared" si="28"/>
        <v>0</v>
      </c>
      <c r="V515" s="28" t="s">
        <v>222</v>
      </c>
      <c r="W515" s="31">
        <v>2020</v>
      </c>
      <c r="X515" s="28">
        <v>1</v>
      </c>
      <c r="Y515" s="28">
        <v>0</v>
      </c>
      <c r="Z515" s="196">
        <v>-2.1513024844954491E-4</v>
      </c>
      <c r="AA515" s="196">
        <v>-3.3096961299929986E-3</v>
      </c>
      <c r="AB515" s="28">
        <v>0</v>
      </c>
      <c r="AC515" s="28">
        <v>0</v>
      </c>
      <c r="AD515" s="28" t="s">
        <v>336</v>
      </c>
    </row>
    <row r="516" spans="2:30" ht="14.25" customHeight="1" x14ac:dyDescent="0.2">
      <c r="B516" s="7">
        <f t="shared" si="29"/>
        <v>492</v>
      </c>
      <c r="C516" s="28">
        <v>2</v>
      </c>
      <c r="D516" s="28">
        <v>4</v>
      </c>
      <c r="E516" s="31">
        <v>14</v>
      </c>
      <c r="F516" s="78">
        <v>2035</v>
      </c>
      <c r="G516" s="28">
        <v>2050</v>
      </c>
      <c r="H516" s="28">
        <v>5</v>
      </c>
      <c r="I516" s="96">
        <v>49</v>
      </c>
      <c r="J516" s="31">
        <v>33</v>
      </c>
      <c r="K516" s="28">
        <v>0</v>
      </c>
      <c r="L516" s="28">
        <v>0</v>
      </c>
      <c r="M516" s="75">
        <v>17.100000000000001</v>
      </c>
      <c r="N516" s="151">
        <v>9500</v>
      </c>
      <c r="O516" s="79">
        <v>0</v>
      </c>
      <c r="P516" s="95">
        <f t="array" ref="P516">ROUND(IF($F516&lt;='TaxCred&amp;Subs'!$C$49,(IF($C516=2,IF($M516&gt;=IFERROR(INDEX('TaxCred&amp;Subs'!$L$12:$L$47,MATCH(1,($C516&amp;$D516='TaxCred&amp;Subs'!$E$12:$E$47)*($F516='TaxCred&amp;Subs'!$C$12:$C$47),0)
),9999),IFERROR(INDEX('TaxCred&amp;Subs'!$N$12:$N$47,MATCH(1,($C516&amp;$D516='TaxCred&amp;Subs'!$E$12:$E$47)*($F516='TaxCred&amp;Subs'!$C$12:$C$47),0)
),0),0),(IF($M516&gt;=IFERROR(INDEX('TaxCred&amp;Subs'!$H$12:$H$47,MATCH(1,($C516&amp;$D516='TaxCred&amp;Subs'!$D$12:$D$47)*($F516='TaxCred&amp;Subs'!$C$12:$C$47),0)
),9999),IFERROR(INDEX('TaxCred&amp;Subs'!$N$12:$N$47,MATCH(1,($C516&amp;$D516='TaxCred&amp;Subs'!$D$12:$D$47)*($F516='TaxCred&amp;Subs'!$C$12:$C$47),0)
),0),0)))),0)+IF(AND($C516=2,VALUE(RIGHT($AD516,1))&gt;2),(N516-R516)*(IFERROR(INDEX('TaxCred&amp;Subs'!$J$66:$J$99,MATCH(1,($C516&amp;$D516='TaxCred&amp;Subs'!$E$66:$E$99)*($F516='TaxCred&amp;Subs'!$C$66:$C$99),0)),0)),IF(AND($C516=1,VALUE(RIGHT($AD516,1))&gt;2),(N516-R516)*(IFERROR(INDEX('TaxCred&amp;Subs'!$J$66:$J$99,MATCH(1,($C516&amp;$D516='TaxCred&amp;Subs'!$D$66:$D$99)*($F516='TaxCred&amp;Subs'!$C$66:$C$99),0)),0)),IF($C516&gt;2,(N516-R516)*(IFERROR(INDEX('TaxCred&amp;Subs'!$J$66:$J$99,MATCH(1,($C516&amp;$D516='TaxCred&amp;Subs'!$D$66:$D$99)*($F516='TaxCred&amp;Subs'!$C$66:$C$99),0)),0)),0))),0)</f>
        <v>0</v>
      </c>
      <c r="Q516" s="95">
        <f t="array" ref="Q516">ROUND(IF(AND($C516=2,VALUE(RIGHT($AD516,1))&gt;2),(O516-S516)*(IFERROR(INDEX('TaxCred&amp;Subs'!$J$66:$J$99,MATCH(1,($C516&amp;$D516='TaxCred&amp;Subs'!$E$66:$E$99)*($F516='TaxCred&amp;Subs'!$C$66:$C$99),0)),0)),IF(AND($C516=1,VALUE(RIGHT($AD516,1))&gt;2),(O516-S516)*(IFERROR(INDEX('TaxCred&amp;Subs'!$J$66:$J$99,MATCH(1,($C516&amp;$D516='TaxCred&amp;Subs'!$D$66:$D$99)*($F516='TaxCred&amp;Subs'!$C$66:$C$99),0)),0)),IF($C516&gt;2,(O516-S516)*(IFERROR(INDEX('TaxCred&amp;Subs'!$J$66:$J$99,MATCH(1,($C516&amp;$D516='TaxCred&amp;Subs'!$D$66:$D$99)*($F516='TaxCred&amp;Subs'!$C$66:$C$99),0)),0)),0))),0)</f>
        <v>0</v>
      </c>
      <c r="R516" s="170">
        <f t="array" ref="R516">ROUND(IF(IFERROR(VALUE(RIGHT($AD516,1)),0)&gt;2,IF($C516=8,N516*IFERROR(INDEX('TaxCred&amp;Subs'!$K$139:$S$151,MATCH($C516&amp;$D516&amp;LEFT($AD516,7),'TaxCred&amp;Subs'!$E$139:$E$151,0),MATCH($H516,'TaxCred&amp;Subs'!$K$137:$S$137,0)),0),IF($C516=2,N516*IFERROR(INDEX('TaxCred&amp;Subs'!$K$139:$S$151,MATCH($C516&amp;$D516,'TaxCred&amp;Subs'!$D$139:$D$151,0),MATCH($H516,'TaxCred&amp;Subs'!$K$137:$S$137,0)),0),N516*IFERROR(INDEX('TaxCred&amp;Subs'!$K$139:$S$151,MATCH($C516&amp;$D516,'TaxCred&amp;Subs'!$C$139:$C$151,0),MATCH($H516,'TaxCred&amp;Subs'!$K$137:$S$137,0)),0))),0),0)</f>
        <v>663</v>
      </c>
      <c r="S516" s="170">
        <f t="array" ref="S516">ROUND(IF(IFERROR(VALUE(RIGHT($AD516,1)),0)&gt;2,IF($C516=8,O516*IFERROR(INDEX('TaxCred&amp;Subs'!$K$139:$S$151,MATCH($C516&amp;$D516&amp;LEFT($AD516,7),'TaxCred&amp;Subs'!$E$139:$E$151,0),MATCH($H516,'TaxCred&amp;Subs'!$K$137:$S$137,0)),0),IF($C516=2,O516*IFERROR(INDEX('TaxCred&amp;Subs'!$K$139:$S$151,MATCH($C516&amp;$D516,'TaxCred&amp;Subs'!$D$139:$D$151,0),MATCH($H516,'TaxCred&amp;Subs'!$K$137:$S$137,0)),0),O516*IFERROR(INDEX('TaxCred&amp;Subs'!$K$139:$S$151,MATCH($C516&amp;$D516,'TaxCred&amp;Subs'!$C$139:$C$151,0),MATCH($H516,'TaxCred&amp;Subs'!$K$137:$S$137,0)),0))),0),0)</f>
        <v>0</v>
      </c>
      <c r="T516" s="95">
        <f t="shared" si="27"/>
        <v>0</v>
      </c>
      <c r="U516" s="95">
        <f t="shared" si="28"/>
        <v>0</v>
      </c>
      <c r="V516" s="28" t="s">
        <v>222</v>
      </c>
      <c r="W516" s="31">
        <v>2020</v>
      </c>
      <c r="X516" s="28">
        <v>1</v>
      </c>
      <c r="Y516" s="28">
        <v>0</v>
      </c>
      <c r="Z516" s="196">
        <v>-2.1513024844954491E-4</v>
      </c>
      <c r="AA516" s="196">
        <v>-3.3096961299929986E-3</v>
      </c>
      <c r="AB516" s="28">
        <v>0</v>
      </c>
      <c r="AC516" s="28">
        <v>0</v>
      </c>
      <c r="AD516" s="28" t="s">
        <v>336</v>
      </c>
    </row>
    <row r="517" spans="2:30" ht="14.25" customHeight="1" x14ac:dyDescent="0.2">
      <c r="B517" s="7">
        <f t="shared" si="29"/>
        <v>493</v>
      </c>
      <c r="C517" s="28">
        <v>2</v>
      </c>
      <c r="D517" s="28">
        <v>4</v>
      </c>
      <c r="E517" s="31">
        <v>14</v>
      </c>
      <c r="F517" s="78">
        <v>2035</v>
      </c>
      <c r="G517" s="28">
        <v>2050</v>
      </c>
      <c r="H517" s="28">
        <v>6</v>
      </c>
      <c r="I517" s="96">
        <v>49</v>
      </c>
      <c r="J517" s="31">
        <v>33</v>
      </c>
      <c r="K517" s="28">
        <v>0</v>
      </c>
      <c r="L517" s="28">
        <v>0</v>
      </c>
      <c r="M517" s="75">
        <v>17.100000000000001</v>
      </c>
      <c r="N517" s="151">
        <v>9500</v>
      </c>
      <c r="O517" s="79">
        <v>0</v>
      </c>
      <c r="P517" s="95">
        <f t="array" ref="P517">ROUND(IF($F517&lt;='TaxCred&amp;Subs'!$C$49,(IF($C517=2,IF($M517&gt;=IFERROR(INDEX('TaxCred&amp;Subs'!$L$12:$L$47,MATCH(1,($C517&amp;$D517='TaxCred&amp;Subs'!$E$12:$E$47)*($F517='TaxCred&amp;Subs'!$C$12:$C$47),0)
),9999),IFERROR(INDEX('TaxCred&amp;Subs'!$N$12:$N$47,MATCH(1,($C517&amp;$D517='TaxCred&amp;Subs'!$E$12:$E$47)*($F517='TaxCred&amp;Subs'!$C$12:$C$47),0)
),0),0),(IF($M517&gt;=IFERROR(INDEX('TaxCred&amp;Subs'!$H$12:$H$47,MATCH(1,($C517&amp;$D517='TaxCred&amp;Subs'!$D$12:$D$47)*($F517='TaxCred&amp;Subs'!$C$12:$C$47),0)
),9999),IFERROR(INDEX('TaxCred&amp;Subs'!$N$12:$N$47,MATCH(1,($C517&amp;$D517='TaxCred&amp;Subs'!$D$12:$D$47)*($F517='TaxCred&amp;Subs'!$C$12:$C$47),0)
),0),0)))),0)+IF(AND($C517=2,VALUE(RIGHT($AD517,1))&gt;2),(N517-R517)*(IFERROR(INDEX('TaxCred&amp;Subs'!$J$66:$J$99,MATCH(1,($C517&amp;$D517='TaxCred&amp;Subs'!$E$66:$E$99)*($F517='TaxCred&amp;Subs'!$C$66:$C$99),0)),0)),IF(AND($C517=1,VALUE(RIGHT($AD517,1))&gt;2),(N517-R517)*(IFERROR(INDEX('TaxCred&amp;Subs'!$J$66:$J$99,MATCH(1,($C517&amp;$D517='TaxCred&amp;Subs'!$D$66:$D$99)*($F517='TaxCred&amp;Subs'!$C$66:$C$99),0)),0)),IF($C517&gt;2,(N517-R517)*(IFERROR(INDEX('TaxCred&amp;Subs'!$J$66:$J$99,MATCH(1,($C517&amp;$D517='TaxCred&amp;Subs'!$D$66:$D$99)*($F517='TaxCred&amp;Subs'!$C$66:$C$99),0)),0)),0))),0)</f>
        <v>0</v>
      </c>
      <c r="Q517" s="95">
        <f t="array" ref="Q517">ROUND(IF(AND($C517=2,VALUE(RIGHT($AD517,1))&gt;2),(O517-S517)*(IFERROR(INDEX('TaxCred&amp;Subs'!$J$66:$J$99,MATCH(1,($C517&amp;$D517='TaxCred&amp;Subs'!$E$66:$E$99)*($F517='TaxCred&amp;Subs'!$C$66:$C$99),0)),0)),IF(AND($C517=1,VALUE(RIGHT($AD517,1))&gt;2),(O517-S517)*(IFERROR(INDEX('TaxCred&amp;Subs'!$J$66:$J$99,MATCH(1,($C517&amp;$D517='TaxCred&amp;Subs'!$D$66:$D$99)*($F517='TaxCred&amp;Subs'!$C$66:$C$99),0)),0)),IF($C517&gt;2,(O517-S517)*(IFERROR(INDEX('TaxCred&amp;Subs'!$J$66:$J$99,MATCH(1,($C517&amp;$D517='TaxCred&amp;Subs'!$D$66:$D$99)*($F517='TaxCred&amp;Subs'!$C$66:$C$99),0)),0)),0))),0)</f>
        <v>0</v>
      </c>
      <c r="R517" s="170">
        <f t="array" ref="R517">ROUND(IF(IFERROR(VALUE(RIGHT($AD517,1)),0)&gt;2,IF($C517=8,N517*IFERROR(INDEX('TaxCred&amp;Subs'!$K$139:$S$151,MATCH($C517&amp;$D517&amp;LEFT($AD517,7),'TaxCred&amp;Subs'!$E$139:$E$151,0),MATCH($H517,'TaxCred&amp;Subs'!$K$137:$S$137,0)),0),IF($C517=2,N517*IFERROR(INDEX('TaxCred&amp;Subs'!$K$139:$S$151,MATCH($C517&amp;$D517,'TaxCred&amp;Subs'!$D$139:$D$151,0),MATCH($H517,'TaxCred&amp;Subs'!$K$137:$S$137,0)),0),N517*IFERROR(INDEX('TaxCred&amp;Subs'!$K$139:$S$151,MATCH($C517&amp;$D517,'TaxCred&amp;Subs'!$C$139:$C$151,0),MATCH($H517,'TaxCred&amp;Subs'!$K$137:$S$137,0)),0))),0),0)</f>
        <v>837</v>
      </c>
      <c r="S517" s="170">
        <f t="array" ref="S517">ROUND(IF(IFERROR(VALUE(RIGHT($AD517,1)),0)&gt;2,IF($C517=8,O517*IFERROR(INDEX('TaxCred&amp;Subs'!$K$139:$S$151,MATCH($C517&amp;$D517&amp;LEFT($AD517,7),'TaxCred&amp;Subs'!$E$139:$E$151,0),MATCH($H517,'TaxCred&amp;Subs'!$K$137:$S$137,0)),0),IF($C517=2,O517*IFERROR(INDEX('TaxCred&amp;Subs'!$K$139:$S$151,MATCH($C517&amp;$D517,'TaxCred&amp;Subs'!$D$139:$D$151,0),MATCH($H517,'TaxCred&amp;Subs'!$K$137:$S$137,0)),0),O517*IFERROR(INDEX('TaxCred&amp;Subs'!$K$139:$S$151,MATCH($C517&amp;$D517,'TaxCred&amp;Subs'!$C$139:$C$151,0),MATCH($H517,'TaxCred&amp;Subs'!$K$137:$S$137,0)),0))),0),0)</f>
        <v>0</v>
      </c>
      <c r="T517" s="95">
        <f t="shared" si="27"/>
        <v>0</v>
      </c>
      <c r="U517" s="95">
        <f t="shared" si="28"/>
        <v>0</v>
      </c>
      <c r="V517" s="28" t="s">
        <v>222</v>
      </c>
      <c r="W517" s="31">
        <v>2020</v>
      </c>
      <c r="X517" s="28">
        <v>1</v>
      </c>
      <c r="Y517" s="28">
        <v>0</v>
      </c>
      <c r="Z517" s="196">
        <v>-2.1513024844954491E-4</v>
      </c>
      <c r="AA517" s="196">
        <v>-3.3096961299929986E-3</v>
      </c>
      <c r="AB517" s="28">
        <v>0</v>
      </c>
      <c r="AC517" s="28">
        <v>0</v>
      </c>
      <c r="AD517" s="28" t="s">
        <v>336</v>
      </c>
    </row>
    <row r="518" spans="2:30" ht="14.25" customHeight="1" x14ac:dyDescent="0.2">
      <c r="B518" s="7">
        <f t="shared" si="29"/>
        <v>494</v>
      </c>
      <c r="C518" s="28">
        <v>2</v>
      </c>
      <c r="D518" s="28">
        <v>4</v>
      </c>
      <c r="E518" s="31">
        <v>14</v>
      </c>
      <c r="F518" s="78">
        <v>2035</v>
      </c>
      <c r="G518" s="28">
        <v>2050</v>
      </c>
      <c r="H518" s="28">
        <v>7</v>
      </c>
      <c r="I518" s="96">
        <v>49</v>
      </c>
      <c r="J518" s="31">
        <v>33</v>
      </c>
      <c r="K518" s="28">
        <v>0</v>
      </c>
      <c r="L518" s="28">
        <v>0</v>
      </c>
      <c r="M518" s="75">
        <v>17.100000000000001</v>
      </c>
      <c r="N518" s="151">
        <v>9500</v>
      </c>
      <c r="O518" s="79">
        <v>0</v>
      </c>
      <c r="P518" s="95">
        <f t="array" ref="P518">ROUND(IF($F518&lt;='TaxCred&amp;Subs'!$C$49,(IF($C518=2,IF($M518&gt;=IFERROR(INDEX('TaxCred&amp;Subs'!$L$12:$L$47,MATCH(1,($C518&amp;$D518='TaxCred&amp;Subs'!$E$12:$E$47)*($F518='TaxCred&amp;Subs'!$C$12:$C$47),0)
),9999),IFERROR(INDEX('TaxCred&amp;Subs'!$N$12:$N$47,MATCH(1,($C518&amp;$D518='TaxCred&amp;Subs'!$E$12:$E$47)*($F518='TaxCred&amp;Subs'!$C$12:$C$47),0)
),0),0),(IF($M518&gt;=IFERROR(INDEX('TaxCred&amp;Subs'!$H$12:$H$47,MATCH(1,($C518&amp;$D518='TaxCred&amp;Subs'!$D$12:$D$47)*($F518='TaxCred&amp;Subs'!$C$12:$C$47),0)
),9999),IFERROR(INDEX('TaxCred&amp;Subs'!$N$12:$N$47,MATCH(1,($C518&amp;$D518='TaxCred&amp;Subs'!$D$12:$D$47)*($F518='TaxCred&amp;Subs'!$C$12:$C$47),0)
),0),0)))),0)+IF(AND($C518=2,VALUE(RIGHT($AD518,1))&gt;2),(N518-R518)*(IFERROR(INDEX('TaxCred&amp;Subs'!$J$66:$J$99,MATCH(1,($C518&amp;$D518='TaxCred&amp;Subs'!$E$66:$E$99)*($F518='TaxCred&amp;Subs'!$C$66:$C$99),0)),0)),IF(AND($C518=1,VALUE(RIGHT($AD518,1))&gt;2),(N518-R518)*(IFERROR(INDEX('TaxCred&amp;Subs'!$J$66:$J$99,MATCH(1,($C518&amp;$D518='TaxCred&amp;Subs'!$D$66:$D$99)*($F518='TaxCred&amp;Subs'!$C$66:$C$99),0)),0)),IF($C518&gt;2,(N518-R518)*(IFERROR(INDEX('TaxCred&amp;Subs'!$J$66:$J$99,MATCH(1,($C518&amp;$D518='TaxCred&amp;Subs'!$D$66:$D$99)*($F518='TaxCred&amp;Subs'!$C$66:$C$99),0)),0)),0))),0)</f>
        <v>0</v>
      </c>
      <c r="Q518" s="95">
        <f t="array" ref="Q518">ROUND(IF(AND($C518=2,VALUE(RIGHT($AD518,1))&gt;2),(O518-S518)*(IFERROR(INDEX('TaxCred&amp;Subs'!$J$66:$J$99,MATCH(1,($C518&amp;$D518='TaxCred&amp;Subs'!$E$66:$E$99)*($F518='TaxCred&amp;Subs'!$C$66:$C$99),0)),0)),IF(AND($C518=1,VALUE(RIGHT($AD518,1))&gt;2),(O518-S518)*(IFERROR(INDEX('TaxCred&amp;Subs'!$J$66:$J$99,MATCH(1,($C518&amp;$D518='TaxCred&amp;Subs'!$D$66:$D$99)*($F518='TaxCred&amp;Subs'!$C$66:$C$99),0)),0)),IF($C518&gt;2,(O518-S518)*(IFERROR(INDEX('TaxCred&amp;Subs'!$J$66:$J$99,MATCH(1,($C518&amp;$D518='TaxCred&amp;Subs'!$D$66:$D$99)*($F518='TaxCred&amp;Subs'!$C$66:$C$99),0)),0)),0))),0)</f>
        <v>0</v>
      </c>
      <c r="R518" s="170">
        <f t="array" ref="R518">ROUND(IF(IFERROR(VALUE(RIGHT($AD518,1)),0)&gt;2,IF($C518=8,N518*IFERROR(INDEX('TaxCred&amp;Subs'!$K$139:$S$151,MATCH($C518&amp;$D518&amp;LEFT($AD518,7),'TaxCred&amp;Subs'!$E$139:$E$151,0),MATCH($H518,'TaxCred&amp;Subs'!$K$137:$S$137,0)),0),IF($C518=2,N518*IFERROR(INDEX('TaxCred&amp;Subs'!$K$139:$S$151,MATCH($C518&amp;$D518,'TaxCred&amp;Subs'!$D$139:$D$151,0),MATCH($H518,'TaxCred&amp;Subs'!$K$137:$S$137,0)),0),N518*IFERROR(INDEX('TaxCred&amp;Subs'!$K$139:$S$151,MATCH($C518&amp;$D518,'TaxCred&amp;Subs'!$C$139:$C$151,0),MATCH($H518,'TaxCred&amp;Subs'!$K$137:$S$137,0)),0))),0),0)</f>
        <v>351</v>
      </c>
      <c r="S518" s="170">
        <f t="array" ref="S518">ROUND(IF(IFERROR(VALUE(RIGHT($AD518,1)),0)&gt;2,IF($C518=8,O518*IFERROR(INDEX('TaxCred&amp;Subs'!$K$139:$S$151,MATCH($C518&amp;$D518&amp;LEFT($AD518,7),'TaxCred&amp;Subs'!$E$139:$E$151,0),MATCH($H518,'TaxCred&amp;Subs'!$K$137:$S$137,0)),0),IF($C518=2,O518*IFERROR(INDEX('TaxCred&amp;Subs'!$K$139:$S$151,MATCH($C518&amp;$D518,'TaxCred&amp;Subs'!$D$139:$D$151,0),MATCH($H518,'TaxCred&amp;Subs'!$K$137:$S$137,0)),0),O518*IFERROR(INDEX('TaxCred&amp;Subs'!$K$139:$S$151,MATCH($C518&amp;$D518,'TaxCred&amp;Subs'!$C$139:$C$151,0),MATCH($H518,'TaxCred&amp;Subs'!$K$137:$S$137,0)),0))),0),0)</f>
        <v>0</v>
      </c>
      <c r="T518" s="95">
        <f t="shared" si="27"/>
        <v>0</v>
      </c>
      <c r="U518" s="95">
        <f t="shared" si="28"/>
        <v>0</v>
      </c>
      <c r="V518" s="28" t="s">
        <v>222</v>
      </c>
      <c r="W518" s="31">
        <v>2020</v>
      </c>
      <c r="X518" s="28">
        <v>1</v>
      </c>
      <c r="Y518" s="28">
        <v>0</v>
      </c>
      <c r="Z518" s="196">
        <v>-2.1513024844954491E-4</v>
      </c>
      <c r="AA518" s="196">
        <v>-3.3096961299929986E-3</v>
      </c>
      <c r="AB518" s="28">
        <v>0</v>
      </c>
      <c r="AC518" s="28">
        <v>0</v>
      </c>
      <c r="AD518" s="28" t="s">
        <v>336</v>
      </c>
    </row>
    <row r="519" spans="2:30" ht="14.25" customHeight="1" x14ac:dyDescent="0.2">
      <c r="B519" s="7">
        <f t="shared" si="29"/>
        <v>495</v>
      </c>
      <c r="C519" s="28">
        <v>2</v>
      </c>
      <c r="D519" s="28">
        <v>4</v>
      </c>
      <c r="E519" s="31">
        <v>14</v>
      </c>
      <c r="F519" s="78">
        <v>2035</v>
      </c>
      <c r="G519" s="28">
        <v>2050</v>
      </c>
      <c r="H519" s="28">
        <v>8</v>
      </c>
      <c r="I519" s="96">
        <v>49</v>
      </c>
      <c r="J519" s="31">
        <v>33</v>
      </c>
      <c r="K519" s="28">
        <v>0</v>
      </c>
      <c r="L519" s="28">
        <v>0</v>
      </c>
      <c r="M519" s="75">
        <v>17.100000000000001</v>
      </c>
      <c r="N519" s="151">
        <v>9500</v>
      </c>
      <c r="O519" s="79">
        <v>0</v>
      </c>
      <c r="P519" s="95">
        <f t="array" ref="P519">ROUND(IF($F519&lt;='TaxCred&amp;Subs'!$C$49,(IF($C519=2,IF($M519&gt;=IFERROR(INDEX('TaxCred&amp;Subs'!$L$12:$L$47,MATCH(1,($C519&amp;$D519='TaxCred&amp;Subs'!$E$12:$E$47)*($F519='TaxCred&amp;Subs'!$C$12:$C$47),0)
),9999),IFERROR(INDEX('TaxCred&amp;Subs'!$N$12:$N$47,MATCH(1,($C519&amp;$D519='TaxCred&amp;Subs'!$E$12:$E$47)*($F519='TaxCred&amp;Subs'!$C$12:$C$47),0)
),0),0),(IF($M519&gt;=IFERROR(INDEX('TaxCred&amp;Subs'!$H$12:$H$47,MATCH(1,($C519&amp;$D519='TaxCred&amp;Subs'!$D$12:$D$47)*($F519='TaxCred&amp;Subs'!$C$12:$C$47),0)
),9999),IFERROR(INDEX('TaxCred&amp;Subs'!$N$12:$N$47,MATCH(1,($C519&amp;$D519='TaxCred&amp;Subs'!$D$12:$D$47)*($F519='TaxCred&amp;Subs'!$C$12:$C$47),0)
),0),0)))),0)+IF(AND($C519=2,VALUE(RIGHT($AD519,1))&gt;2),(N519-R519)*(IFERROR(INDEX('TaxCred&amp;Subs'!$J$66:$J$99,MATCH(1,($C519&amp;$D519='TaxCred&amp;Subs'!$E$66:$E$99)*($F519='TaxCred&amp;Subs'!$C$66:$C$99),0)),0)),IF(AND($C519=1,VALUE(RIGHT($AD519,1))&gt;2),(N519-R519)*(IFERROR(INDEX('TaxCred&amp;Subs'!$J$66:$J$99,MATCH(1,($C519&amp;$D519='TaxCred&amp;Subs'!$D$66:$D$99)*($F519='TaxCred&amp;Subs'!$C$66:$C$99),0)),0)),IF($C519&gt;2,(N519-R519)*(IFERROR(INDEX('TaxCred&amp;Subs'!$J$66:$J$99,MATCH(1,($C519&amp;$D519='TaxCred&amp;Subs'!$D$66:$D$99)*($F519='TaxCred&amp;Subs'!$C$66:$C$99),0)),0)),0))),0)</f>
        <v>0</v>
      </c>
      <c r="Q519" s="95">
        <f t="array" ref="Q519">ROUND(IF(AND($C519=2,VALUE(RIGHT($AD519,1))&gt;2),(O519-S519)*(IFERROR(INDEX('TaxCred&amp;Subs'!$J$66:$J$99,MATCH(1,($C519&amp;$D519='TaxCred&amp;Subs'!$E$66:$E$99)*($F519='TaxCred&amp;Subs'!$C$66:$C$99),0)),0)),IF(AND($C519=1,VALUE(RIGHT($AD519,1))&gt;2),(O519-S519)*(IFERROR(INDEX('TaxCred&amp;Subs'!$J$66:$J$99,MATCH(1,($C519&amp;$D519='TaxCred&amp;Subs'!$D$66:$D$99)*($F519='TaxCred&amp;Subs'!$C$66:$C$99),0)),0)),IF($C519&gt;2,(O519-S519)*(IFERROR(INDEX('TaxCred&amp;Subs'!$J$66:$J$99,MATCH(1,($C519&amp;$D519='TaxCred&amp;Subs'!$D$66:$D$99)*($F519='TaxCred&amp;Subs'!$C$66:$C$99),0)),0)),0))),0)</f>
        <v>0</v>
      </c>
      <c r="R519" s="170">
        <f t="array" ref="R519">ROUND(IF(IFERROR(VALUE(RIGHT($AD519,1)),0)&gt;2,IF($C519=8,N519*IFERROR(INDEX('TaxCred&amp;Subs'!$K$139:$S$151,MATCH($C519&amp;$D519&amp;LEFT($AD519,7),'TaxCred&amp;Subs'!$E$139:$E$151,0),MATCH($H519,'TaxCred&amp;Subs'!$K$137:$S$137,0)),0),IF($C519=2,N519*IFERROR(INDEX('TaxCred&amp;Subs'!$K$139:$S$151,MATCH($C519&amp;$D519,'TaxCred&amp;Subs'!$D$139:$D$151,0),MATCH($H519,'TaxCred&amp;Subs'!$K$137:$S$137,0)),0),N519*IFERROR(INDEX('TaxCred&amp;Subs'!$K$139:$S$151,MATCH($C519&amp;$D519,'TaxCred&amp;Subs'!$C$139:$C$151,0),MATCH($H519,'TaxCred&amp;Subs'!$K$137:$S$137,0)),0))),0),0)</f>
        <v>478</v>
      </c>
      <c r="S519" s="170">
        <f t="array" ref="S519">ROUND(IF(IFERROR(VALUE(RIGHT($AD519,1)),0)&gt;2,IF($C519=8,O519*IFERROR(INDEX('TaxCred&amp;Subs'!$K$139:$S$151,MATCH($C519&amp;$D519&amp;LEFT($AD519,7),'TaxCred&amp;Subs'!$E$139:$E$151,0),MATCH($H519,'TaxCred&amp;Subs'!$K$137:$S$137,0)),0),IF($C519=2,O519*IFERROR(INDEX('TaxCred&amp;Subs'!$K$139:$S$151,MATCH($C519&amp;$D519,'TaxCred&amp;Subs'!$D$139:$D$151,0),MATCH($H519,'TaxCred&amp;Subs'!$K$137:$S$137,0)),0),O519*IFERROR(INDEX('TaxCred&amp;Subs'!$K$139:$S$151,MATCH($C519&amp;$D519,'TaxCred&amp;Subs'!$C$139:$C$151,0),MATCH($H519,'TaxCred&amp;Subs'!$K$137:$S$137,0)),0))),0),0)</f>
        <v>0</v>
      </c>
      <c r="T519" s="95">
        <f t="shared" si="27"/>
        <v>0</v>
      </c>
      <c r="U519" s="95">
        <f t="shared" si="28"/>
        <v>0</v>
      </c>
      <c r="V519" s="28" t="s">
        <v>222</v>
      </c>
      <c r="W519" s="31">
        <v>2020</v>
      </c>
      <c r="X519" s="28">
        <v>1</v>
      </c>
      <c r="Y519" s="28">
        <v>0</v>
      </c>
      <c r="Z519" s="196">
        <v>-2.1513024844954491E-4</v>
      </c>
      <c r="AA519" s="196">
        <v>-3.3096961299929986E-3</v>
      </c>
      <c r="AB519" s="28">
        <v>0</v>
      </c>
      <c r="AC519" s="28">
        <v>0</v>
      </c>
      <c r="AD519" s="28" t="s">
        <v>336</v>
      </c>
    </row>
    <row r="520" spans="2:30" ht="14.25" customHeight="1" x14ac:dyDescent="0.2">
      <c r="B520" s="7">
        <f t="shared" si="29"/>
        <v>496</v>
      </c>
      <c r="C520" s="28">
        <v>2</v>
      </c>
      <c r="D520" s="28">
        <v>4</v>
      </c>
      <c r="E520" s="31">
        <v>14</v>
      </c>
      <c r="F520" s="78">
        <v>2035</v>
      </c>
      <c r="G520" s="28">
        <v>2050</v>
      </c>
      <c r="H520" s="28">
        <v>9</v>
      </c>
      <c r="I520" s="96">
        <v>49</v>
      </c>
      <c r="J520" s="31">
        <v>33</v>
      </c>
      <c r="K520" s="28">
        <v>0</v>
      </c>
      <c r="L520" s="28">
        <v>0</v>
      </c>
      <c r="M520" s="75">
        <v>17.100000000000001</v>
      </c>
      <c r="N520" s="151">
        <v>9500</v>
      </c>
      <c r="O520" s="79">
        <v>0</v>
      </c>
      <c r="P520" s="95">
        <f t="array" ref="P520">ROUND(IF($F520&lt;='TaxCred&amp;Subs'!$C$49,(IF($C520=2,IF($M520&gt;=IFERROR(INDEX('TaxCred&amp;Subs'!$L$12:$L$47,MATCH(1,($C520&amp;$D520='TaxCred&amp;Subs'!$E$12:$E$47)*($F520='TaxCred&amp;Subs'!$C$12:$C$47),0)
),9999),IFERROR(INDEX('TaxCred&amp;Subs'!$N$12:$N$47,MATCH(1,($C520&amp;$D520='TaxCred&amp;Subs'!$E$12:$E$47)*($F520='TaxCred&amp;Subs'!$C$12:$C$47),0)
),0),0),(IF($M520&gt;=IFERROR(INDEX('TaxCred&amp;Subs'!$H$12:$H$47,MATCH(1,($C520&amp;$D520='TaxCred&amp;Subs'!$D$12:$D$47)*($F520='TaxCred&amp;Subs'!$C$12:$C$47),0)
),9999),IFERROR(INDEX('TaxCred&amp;Subs'!$N$12:$N$47,MATCH(1,($C520&amp;$D520='TaxCred&amp;Subs'!$D$12:$D$47)*($F520='TaxCred&amp;Subs'!$C$12:$C$47),0)
),0),0)))),0)+IF(AND($C520=2,VALUE(RIGHT($AD520,1))&gt;2),(N520-R520)*(IFERROR(INDEX('TaxCred&amp;Subs'!$J$66:$J$99,MATCH(1,($C520&amp;$D520='TaxCred&amp;Subs'!$E$66:$E$99)*($F520='TaxCred&amp;Subs'!$C$66:$C$99),0)),0)),IF(AND($C520=1,VALUE(RIGHT($AD520,1))&gt;2),(N520-R520)*(IFERROR(INDEX('TaxCred&amp;Subs'!$J$66:$J$99,MATCH(1,($C520&amp;$D520='TaxCred&amp;Subs'!$D$66:$D$99)*($F520='TaxCred&amp;Subs'!$C$66:$C$99),0)),0)),IF($C520&gt;2,(N520-R520)*(IFERROR(INDEX('TaxCred&amp;Subs'!$J$66:$J$99,MATCH(1,($C520&amp;$D520='TaxCred&amp;Subs'!$D$66:$D$99)*($F520='TaxCred&amp;Subs'!$C$66:$C$99),0)),0)),0))),0)</f>
        <v>0</v>
      </c>
      <c r="Q520" s="95">
        <f t="array" ref="Q520">ROUND(IF(AND($C520=2,VALUE(RIGHT($AD520,1))&gt;2),(O520-S520)*(IFERROR(INDEX('TaxCred&amp;Subs'!$J$66:$J$99,MATCH(1,($C520&amp;$D520='TaxCred&amp;Subs'!$E$66:$E$99)*($F520='TaxCred&amp;Subs'!$C$66:$C$99),0)),0)),IF(AND($C520=1,VALUE(RIGHT($AD520,1))&gt;2),(O520-S520)*(IFERROR(INDEX('TaxCred&amp;Subs'!$J$66:$J$99,MATCH(1,($C520&amp;$D520='TaxCred&amp;Subs'!$D$66:$D$99)*($F520='TaxCred&amp;Subs'!$C$66:$C$99),0)),0)),IF($C520&gt;2,(O520-S520)*(IFERROR(INDEX('TaxCred&amp;Subs'!$J$66:$J$99,MATCH(1,($C520&amp;$D520='TaxCred&amp;Subs'!$D$66:$D$99)*($F520='TaxCred&amp;Subs'!$C$66:$C$99),0)),0)),0))),0)</f>
        <v>0</v>
      </c>
      <c r="R520" s="170">
        <f t="array" ref="R520">ROUND(IF(IFERROR(VALUE(RIGHT($AD520,1)),0)&gt;2,IF($C520=8,N520*IFERROR(INDEX('TaxCred&amp;Subs'!$K$139:$S$151,MATCH($C520&amp;$D520&amp;LEFT($AD520,7),'TaxCred&amp;Subs'!$E$139:$E$151,0),MATCH($H520,'TaxCred&amp;Subs'!$K$137:$S$137,0)),0),IF($C520=2,N520*IFERROR(INDEX('TaxCred&amp;Subs'!$K$139:$S$151,MATCH($C520&amp;$D520,'TaxCred&amp;Subs'!$D$139:$D$151,0),MATCH($H520,'TaxCred&amp;Subs'!$K$137:$S$137,0)),0),N520*IFERROR(INDEX('TaxCred&amp;Subs'!$K$139:$S$151,MATCH($C520&amp;$D520,'TaxCred&amp;Subs'!$C$139:$C$151,0),MATCH($H520,'TaxCred&amp;Subs'!$K$137:$S$137,0)),0))),0),0)</f>
        <v>233</v>
      </c>
      <c r="S520" s="170">
        <f t="array" ref="S520">ROUND(IF(IFERROR(VALUE(RIGHT($AD520,1)),0)&gt;2,IF($C520=8,O520*IFERROR(INDEX('TaxCred&amp;Subs'!$K$139:$S$151,MATCH($C520&amp;$D520&amp;LEFT($AD520,7),'TaxCred&amp;Subs'!$E$139:$E$151,0),MATCH($H520,'TaxCred&amp;Subs'!$K$137:$S$137,0)),0),IF($C520=2,O520*IFERROR(INDEX('TaxCred&amp;Subs'!$K$139:$S$151,MATCH($C520&amp;$D520,'TaxCred&amp;Subs'!$D$139:$D$151,0),MATCH($H520,'TaxCred&amp;Subs'!$K$137:$S$137,0)),0),O520*IFERROR(INDEX('TaxCred&amp;Subs'!$K$139:$S$151,MATCH($C520&amp;$D520,'TaxCred&amp;Subs'!$C$139:$C$151,0),MATCH($H520,'TaxCred&amp;Subs'!$K$137:$S$137,0)),0))),0),0)</f>
        <v>0</v>
      </c>
      <c r="T520" s="172">
        <f t="shared" si="27"/>
        <v>1425</v>
      </c>
      <c r="U520" s="95">
        <f t="shared" si="28"/>
        <v>0</v>
      </c>
      <c r="V520" s="28" t="s">
        <v>222</v>
      </c>
      <c r="W520" s="31">
        <v>2020</v>
      </c>
      <c r="X520" s="28">
        <v>1</v>
      </c>
      <c r="Y520" s="28">
        <v>0</v>
      </c>
      <c r="Z520" s="196">
        <v>-2.1513024844954491E-4</v>
      </c>
      <c r="AA520" s="196">
        <v>-3.3096961299929986E-3</v>
      </c>
      <c r="AB520" s="28">
        <v>0</v>
      </c>
      <c r="AC520" s="28">
        <v>0</v>
      </c>
      <c r="AD520" s="28" t="s">
        <v>336</v>
      </c>
    </row>
    <row r="521" spans="2:30" ht="14.25" customHeight="1" x14ac:dyDescent="0.2">
      <c r="B521" s="7">
        <f t="shared" si="29"/>
        <v>497</v>
      </c>
      <c r="C521" s="28">
        <v>2</v>
      </c>
      <c r="D521" s="28">
        <v>4</v>
      </c>
      <c r="E521" s="31">
        <v>15</v>
      </c>
      <c r="F521" s="96">
        <v>2020</v>
      </c>
      <c r="G521" s="28">
        <v>2021</v>
      </c>
      <c r="H521" s="28">
        <v>1</v>
      </c>
      <c r="I521" s="96">
        <v>50</v>
      </c>
      <c r="J521" s="31">
        <v>34</v>
      </c>
      <c r="K521" s="28">
        <v>0</v>
      </c>
      <c r="L521" s="28">
        <v>0</v>
      </c>
      <c r="M521" s="156">
        <v>22.03</v>
      </c>
      <c r="N521" s="151">
        <v>10027.5</v>
      </c>
      <c r="O521" s="79">
        <v>0</v>
      </c>
      <c r="P521" s="95">
        <f t="array" ref="P521">ROUND(IF($F521&lt;='TaxCred&amp;Subs'!$C$49,(IF($C521=2,IF($M521&gt;=IFERROR(INDEX('TaxCred&amp;Subs'!$L$12:$L$47,MATCH(1,($C521&amp;$D521='TaxCred&amp;Subs'!$E$12:$E$47)*($F521='TaxCred&amp;Subs'!$C$12:$C$47),0)
),9999),IFERROR(INDEX('TaxCred&amp;Subs'!$N$12:$N$47,MATCH(1,($C521&amp;$D521='TaxCred&amp;Subs'!$E$12:$E$47)*($F521='TaxCred&amp;Subs'!$C$12:$C$47),0)
),0),0),(IF($M521&gt;=IFERROR(INDEX('TaxCred&amp;Subs'!$H$12:$H$47,MATCH(1,($C521&amp;$D521='TaxCred&amp;Subs'!$D$12:$D$47)*($F521='TaxCred&amp;Subs'!$C$12:$C$47),0)
),9999),IFERROR(INDEX('TaxCred&amp;Subs'!$N$12:$N$47,MATCH(1,($C521&amp;$D521='TaxCred&amp;Subs'!$D$12:$D$47)*($F521='TaxCred&amp;Subs'!$C$12:$C$47),0)
),0),0)))),0)+IF(AND($C521=2,VALUE(RIGHT($AD521,1))&gt;2),(N521-R521)*(IFERROR(INDEX('TaxCred&amp;Subs'!$J$66:$J$99,MATCH(1,($C521&amp;$D521='TaxCred&amp;Subs'!$E$66:$E$99)*($F521='TaxCred&amp;Subs'!$C$66:$C$99),0)),0)),IF(AND($C521=1,VALUE(RIGHT($AD521,1))&gt;2),(N521-R521)*(IFERROR(INDEX('TaxCred&amp;Subs'!$J$66:$J$99,MATCH(1,($C521&amp;$D521='TaxCred&amp;Subs'!$D$66:$D$99)*($F521='TaxCred&amp;Subs'!$C$66:$C$99),0)),0)),IF($C521&gt;2,(N521-R521)*(IFERROR(INDEX('TaxCred&amp;Subs'!$J$66:$J$99,MATCH(1,($C521&amp;$D521='TaxCred&amp;Subs'!$D$66:$D$99)*($F521='TaxCred&amp;Subs'!$C$66:$C$99),0)),0)),0))),0)</f>
        <v>1961</v>
      </c>
      <c r="Q521" s="95">
        <f t="array" ref="Q521">ROUND(IF(AND($C521=2,VALUE(RIGHT($AD521,1))&gt;2),(O521-S521)*(IFERROR(INDEX('TaxCred&amp;Subs'!$J$66:$J$99,MATCH(1,($C521&amp;$D521='TaxCred&amp;Subs'!$E$66:$E$99)*($F521='TaxCred&amp;Subs'!$C$66:$C$99),0)),0)),IF(AND($C521=1,VALUE(RIGHT($AD521,1))&gt;2),(O521-S521)*(IFERROR(INDEX('TaxCred&amp;Subs'!$J$66:$J$99,MATCH(1,($C521&amp;$D521='TaxCred&amp;Subs'!$D$66:$D$99)*($F521='TaxCred&amp;Subs'!$C$66:$C$99),0)),0)),IF($C521&gt;2,(O521-S521)*(IFERROR(INDEX('TaxCred&amp;Subs'!$J$66:$J$99,MATCH(1,($C521&amp;$D521='TaxCred&amp;Subs'!$D$66:$D$99)*($F521='TaxCred&amp;Subs'!$C$66:$C$99),0)),0)),0))),0)</f>
        <v>0</v>
      </c>
      <c r="R521" s="170">
        <f t="array" ref="R521">ROUND(IF(IFERROR(VALUE(RIGHT($AD521,1)),0)&gt;2,IF($C521=8,N521*IFERROR(INDEX('TaxCred&amp;Subs'!$K$139:$S$151,MATCH($C521&amp;$D521&amp;LEFT($AD521,7),'TaxCred&amp;Subs'!$E$139:$E$151,0),MATCH($H521,'TaxCred&amp;Subs'!$K$137:$S$137,0)),0),IF($C521=2,N521*IFERROR(INDEX('TaxCred&amp;Subs'!$K$139:$S$151,MATCH($C521&amp;$D521,'TaxCred&amp;Subs'!$D$139:$D$151,0),MATCH($H521,'TaxCred&amp;Subs'!$K$137:$S$137,0)),0),N521*IFERROR(INDEX('TaxCred&amp;Subs'!$K$139:$S$151,MATCH($C521&amp;$D521,'TaxCred&amp;Subs'!$C$139:$C$151,0),MATCH($H521,'TaxCred&amp;Subs'!$K$137:$S$137,0)),0))),0),0)</f>
        <v>2486</v>
      </c>
      <c r="S521" s="170">
        <f t="array" ref="S521">ROUND(IF(IFERROR(VALUE(RIGHT($AD521,1)),0)&gt;2,IF($C521=8,O521*IFERROR(INDEX('TaxCred&amp;Subs'!$K$139:$S$151,MATCH($C521&amp;$D521&amp;LEFT($AD521,7),'TaxCred&amp;Subs'!$E$139:$E$151,0),MATCH($H521,'TaxCred&amp;Subs'!$K$137:$S$137,0)),0),IF($C521=2,O521*IFERROR(INDEX('TaxCred&amp;Subs'!$K$139:$S$151,MATCH($C521&amp;$D521,'TaxCred&amp;Subs'!$D$139:$D$151,0),MATCH($H521,'TaxCred&amp;Subs'!$K$137:$S$137,0)),0),O521*IFERROR(INDEX('TaxCred&amp;Subs'!$K$139:$S$151,MATCH($C521&amp;$D521,'TaxCred&amp;Subs'!$C$139:$C$151,0),MATCH($H521,'TaxCred&amp;Subs'!$K$137:$S$137,0)),0))),0),0)</f>
        <v>0</v>
      </c>
      <c r="T521" s="95">
        <f t="shared" si="27"/>
        <v>0</v>
      </c>
      <c r="U521" s="95">
        <f t="shared" si="28"/>
        <v>0</v>
      </c>
      <c r="V521" s="28" t="s">
        <v>222</v>
      </c>
      <c r="W521" s="31">
        <v>2020</v>
      </c>
      <c r="X521" s="28">
        <v>1</v>
      </c>
      <c r="Y521" s="28">
        <v>0</v>
      </c>
      <c r="Z521" s="196">
        <v>-2.1513024844954491E-4</v>
      </c>
      <c r="AA521" s="196">
        <v>-3.3096961299929986E-3</v>
      </c>
      <c r="AB521" s="28">
        <v>0</v>
      </c>
      <c r="AC521" s="28">
        <v>0</v>
      </c>
      <c r="AD521" s="28" t="s">
        <v>337</v>
      </c>
    </row>
    <row r="522" spans="2:30" ht="14.25" customHeight="1" x14ac:dyDescent="0.2">
      <c r="B522" s="7">
        <f t="shared" si="29"/>
        <v>498</v>
      </c>
      <c r="C522" s="28">
        <v>2</v>
      </c>
      <c r="D522" s="28">
        <v>4</v>
      </c>
      <c r="E522" s="31">
        <v>15</v>
      </c>
      <c r="F522" s="96">
        <v>2020</v>
      </c>
      <c r="G522" s="28">
        <v>2021</v>
      </c>
      <c r="H522" s="28">
        <v>2</v>
      </c>
      <c r="I522" s="96">
        <v>50</v>
      </c>
      <c r="J522" s="31">
        <v>34</v>
      </c>
      <c r="K522" s="28">
        <v>0</v>
      </c>
      <c r="L522" s="28">
        <v>0</v>
      </c>
      <c r="M522" s="156">
        <v>22.03</v>
      </c>
      <c r="N522" s="151">
        <v>10027.5</v>
      </c>
      <c r="O522" s="79">
        <v>0</v>
      </c>
      <c r="P522" s="95">
        <f t="array" ref="P522">ROUND(IF($F522&lt;='TaxCred&amp;Subs'!$C$49,(IF($C522=2,IF($M522&gt;=IFERROR(INDEX('TaxCred&amp;Subs'!$L$12:$L$47,MATCH(1,($C522&amp;$D522='TaxCred&amp;Subs'!$E$12:$E$47)*($F522='TaxCred&amp;Subs'!$C$12:$C$47),0)
),9999),IFERROR(INDEX('TaxCred&amp;Subs'!$N$12:$N$47,MATCH(1,($C522&amp;$D522='TaxCred&amp;Subs'!$E$12:$E$47)*($F522='TaxCred&amp;Subs'!$C$12:$C$47),0)
),0),0),(IF($M522&gt;=IFERROR(INDEX('TaxCred&amp;Subs'!$H$12:$H$47,MATCH(1,($C522&amp;$D522='TaxCred&amp;Subs'!$D$12:$D$47)*($F522='TaxCred&amp;Subs'!$C$12:$C$47),0)
),9999),IFERROR(INDEX('TaxCred&amp;Subs'!$N$12:$N$47,MATCH(1,($C522&amp;$D522='TaxCred&amp;Subs'!$D$12:$D$47)*($F522='TaxCred&amp;Subs'!$C$12:$C$47),0)
),0),0)))),0)+IF(AND($C522=2,VALUE(RIGHT($AD522,1))&gt;2),(N522-R522)*(IFERROR(INDEX('TaxCred&amp;Subs'!$J$66:$J$99,MATCH(1,($C522&amp;$D522='TaxCred&amp;Subs'!$E$66:$E$99)*($F522='TaxCred&amp;Subs'!$C$66:$C$99),0)),0)),IF(AND($C522=1,VALUE(RIGHT($AD522,1))&gt;2),(N522-R522)*(IFERROR(INDEX('TaxCred&amp;Subs'!$J$66:$J$99,MATCH(1,($C522&amp;$D522='TaxCred&amp;Subs'!$D$66:$D$99)*($F522='TaxCred&amp;Subs'!$C$66:$C$99),0)),0)),IF($C522&gt;2,(N522-R522)*(IFERROR(INDEX('TaxCred&amp;Subs'!$J$66:$J$99,MATCH(1,($C522&amp;$D522='TaxCred&amp;Subs'!$D$66:$D$99)*($F522='TaxCred&amp;Subs'!$C$66:$C$99),0)),0)),0))),0)</f>
        <v>2340</v>
      </c>
      <c r="Q522" s="95">
        <f t="array" ref="Q522">ROUND(IF(AND($C522=2,VALUE(RIGHT($AD522,1))&gt;2),(O522-S522)*(IFERROR(INDEX('TaxCred&amp;Subs'!$J$66:$J$99,MATCH(1,($C522&amp;$D522='TaxCred&amp;Subs'!$E$66:$E$99)*($F522='TaxCred&amp;Subs'!$C$66:$C$99),0)),0)),IF(AND($C522=1,VALUE(RIGHT($AD522,1))&gt;2),(O522-S522)*(IFERROR(INDEX('TaxCred&amp;Subs'!$J$66:$J$99,MATCH(1,($C522&amp;$D522='TaxCred&amp;Subs'!$D$66:$D$99)*($F522='TaxCred&amp;Subs'!$C$66:$C$99),0)),0)),IF($C522&gt;2,(O522-S522)*(IFERROR(INDEX('TaxCred&amp;Subs'!$J$66:$J$99,MATCH(1,($C522&amp;$D522='TaxCred&amp;Subs'!$D$66:$D$99)*($F522='TaxCred&amp;Subs'!$C$66:$C$99),0)),0)),0))),0)</f>
        <v>0</v>
      </c>
      <c r="R522" s="170">
        <f t="array" ref="R522">ROUND(IF(IFERROR(VALUE(RIGHT($AD522,1)),0)&gt;2,IF($C522=8,N522*IFERROR(INDEX('TaxCred&amp;Subs'!$K$139:$S$151,MATCH($C522&amp;$D522&amp;LEFT($AD522,7),'TaxCred&amp;Subs'!$E$139:$E$151,0),MATCH($H522,'TaxCred&amp;Subs'!$K$137:$S$137,0)),0),IF($C522=2,N522*IFERROR(INDEX('TaxCred&amp;Subs'!$K$139:$S$151,MATCH($C522&amp;$D522,'TaxCred&amp;Subs'!$D$139:$D$151,0),MATCH($H522,'TaxCred&amp;Subs'!$K$137:$S$137,0)),0),N522*IFERROR(INDEX('TaxCred&amp;Subs'!$K$139:$S$151,MATCH($C522&amp;$D522,'TaxCred&amp;Subs'!$C$139:$C$151,0),MATCH($H522,'TaxCred&amp;Subs'!$K$137:$S$137,0)),0))),0),0)</f>
        <v>1026</v>
      </c>
      <c r="S522" s="170">
        <f t="array" ref="S522">ROUND(IF(IFERROR(VALUE(RIGHT($AD522,1)),0)&gt;2,IF($C522=8,O522*IFERROR(INDEX('TaxCred&amp;Subs'!$K$139:$S$151,MATCH($C522&amp;$D522&amp;LEFT($AD522,7),'TaxCred&amp;Subs'!$E$139:$E$151,0),MATCH($H522,'TaxCred&amp;Subs'!$K$137:$S$137,0)),0),IF($C522=2,O522*IFERROR(INDEX('TaxCred&amp;Subs'!$K$139:$S$151,MATCH($C522&amp;$D522,'TaxCred&amp;Subs'!$D$139:$D$151,0),MATCH($H522,'TaxCred&amp;Subs'!$K$137:$S$137,0)),0),O522*IFERROR(INDEX('TaxCred&amp;Subs'!$K$139:$S$151,MATCH($C522&amp;$D522,'TaxCred&amp;Subs'!$C$139:$C$151,0),MATCH($H522,'TaxCred&amp;Subs'!$K$137:$S$137,0)),0))),0),0)</f>
        <v>0</v>
      </c>
      <c r="T522" s="95">
        <f t="shared" si="27"/>
        <v>0</v>
      </c>
      <c r="U522" s="95">
        <f t="shared" si="28"/>
        <v>0</v>
      </c>
      <c r="V522" s="28" t="s">
        <v>222</v>
      </c>
      <c r="W522" s="31">
        <v>2020</v>
      </c>
      <c r="X522" s="28">
        <v>1</v>
      </c>
      <c r="Y522" s="28">
        <v>0</v>
      </c>
      <c r="Z522" s="196">
        <v>-2.1513024844954491E-4</v>
      </c>
      <c r="AA522" s="196">
        <v>-3.3096961299929986E-3</v>
      </c>
      <c r="AB522" s="28">
        <v>0</v>
      </c>
      <c r="AC522" s="28">
        <v>0</v>
      </c>
      <c r="AD522" s="28" t="s">
        <v>337</v>
      </c>
    </row>
    <row r="523" spans="2:30" ht="14.25" customHeight="1" x14ac:dyDescent="0.2">
      <c r="B523" s="7">
        <f t="shared" si="29"/>
        <v>499</v>
      </c>
      <c r="C523" s="28">
        <v>2</v>
      </c>
      <c r="D523" s="28">
        <v>4</v>
      </c>
      <c r="E523" s="31">
        <v>15</v>
      </c>
      <c r="F523" s="96">
        <v>2020</v>
      </c>
      <c r="G523" s="28">
        <v>2021</v>
      </c>
      <c r="H523" s="28">
        <v>3</v>
      </c>
      <c r="I523" s="96">
        <v>50</v>
      </c>
      <c r="J523" s="31">
        <v>34</v>
      </c>
      <c r="K523" s="28">
        <v>0</v>
      </c>
      <c r="L523" s="28">
        <v>0</v>
      </c>
      <c r="M523" s="156">
        <v>22.03</v>
      </c>
      <c r="N523" s="151">
        <v>10027.5</v>
      </c>
      <c r="O523" s="79">
        <v>0</v>
      </c>
      <c r="P523" s="95">
        <f t="array" ref="P523">ROUND(IF($F523&lt;='TaxCred&amp;Subs'!$C$49,(IF($C523=2,IF($M523&gt;=IFERROR(INDEX('TaxCred&amp;Subs'!$L$12:$L$47,MATCH(1,($C523&amp;$D523='TaxCred&amp;Subs'!$E$12:$E$47)*($F523='TaxCred&amp;Subs'!$C$12:$C$47),0)
),9999),IFERROR(INDEX('TaxCred&amp;Subs'!$N$12:$N$47,MATCH(1,($C523&amp;$D523='TaxCred&amp;Subs'!$E$12:$E$47)*($F523='TaxCred&amp;Subs'!$C$12:$C$47),0)
),0),0),(IF($M523&gt;=IFERROR(INDEX('TaxCred&amp;Subs'!$H$12:$H$47,MATCH(1,($C523&amp;$D523='TaxCred&amp;Subs'!$D$12:$D$47)*($F523='TaxCred&amp;Subs'!$C$12:$C$47),0)
),9999),IFERROR(INDEX('TaxCred&amp;Subs'!$N$12:$N$47,MATCH(1,($C523&amp;$D523='TaxCred&amp;Subs'!$D$12:$D$47)*($F523='TaxCred&amp;Subs'!$C$12:$C$47),0)
),0),0)))),0)+IF(AND($C523=2,VALUE(RIGHT($AD523,1))&gt;2),(N523-R523)*(IFERROR(INDEX('TaxCred&amp;Subs'!$J$66:$J$99,MATCH(1,($C523&amp;$D523='TaxCred&amp;Subs'!$E$66:$E$99)*($F523='TaxCred&amp;Subs'!$C$66:$C$99),0)),0)),IF(AND($C523=1,VALUE(RIGHT($AD523,1))&gt;2),(N523-R523)*(IFERROR(INDEX('TaxCred&amp;Subs'!$J$66:$J$99,MATCH(1,($C523&amp;$D523='TaxCred&amp;Subs'!$D$66:$D$99)*($F523='TaxCred&amp;Subs'!$C$66:$C$99),0)),0)),IF($C523&gt;2,(N523-R523)*(IFERROR(INDEX('TaxCred&amp;Subs'!$J$66:$J$99,MATCH(1,($C523&amp;$D523='TaxCred&amp;Subs'!$D$66:$D$99)*($F523='TaxCred&amp;Subs'!$C$66:$C$99),0)),0)),0))),0)</f>
        <v>2397</v>
      </c>
      <c r="Q523" s="95">
        <f t="array" ref="Q523">ROUND(IF(AND($C523=2,VALUE(RIGHT($AD523,1))&gt;2),(O523-S523)*(IFERROR(INDEX('TaxCred&amp;Subs'!$J$66:$J$99,MATCH(1,($C523&amp;$D523='TaxCred&amp;Subs'!$E$66:$E$99)*($F523='TaxCred&amp;Subs'!$C$66:$C$99),0)),0)),IF(AND($C523=1,VALUE(RIGHT($AD523,1))&gt;2),(O523-S523)*(IFERROR(INDEX('TaxCred&amp;Subs'!$J$66:$J$99,MATCH(1,($C523&amp;$D523='TaxCred&amp;Subs'!$D$66:$D$99)*($F523='TaxCred&amp;Subs'!$C$66:$C$99),0)),0)),IF($C523&gt;2,(O523-S523)*(IFERROR(INDEX('TaxCred&amp;Subs'!$J$66:$J$99,MATCH(1,($C523&amp;$D523='TaxCred&amp;Subs'!$D$66:$D$99)*($F523='TaxCred&amp;Subs'!$C$66:$C$99),0)),0)),0))),0)</f>
        <v>0</v>
      </c>
      <c r="R523" s="170">
        <f t="array" ref="R523">ROUND(IF(IFERROR(VALUE(RIGHT($AD523,1)),0)&gt;2,IF($C523=8,N523*IFERROR(INDEX('TaxCred&amp;Subs'!$K$139:$S$151,MATCH($C523&amp;$D523&amp;LEFT($AD523,7),'TaxCred&amp;Subs'!$E$139:$E$151,0),MATCH($H523,'TaxCred&amp;Subs'!$K$137:$S$137,0)),0),IF($C523=2,N523*IFERROR(INDEX('TaxCred&amp;Subs'!$K$139:$S$151,MATCH($C523&amp;$D523,'TaxCred&amp;Subs'!$D$139:$D$151,0),MATCH($H523,'TaxCred&amp;Subs'!$K$137:$S$137,0)),0),N523*IFERROR(INDEX('TaxCred&amp;Subs'!$K$139:$S$151,MATCH($C523&amp;$D523,'TaxCred&amp;Subs'!$C$139:$C$151,0),MATCH($H523,'TaxCred&amp;Subs'!$K$137:$S$137,0)),0))),0),0)</f>
        <v>807</v>
      </c>
      <c r="S523" s="170">
        <f t="array" ref="S523">ROUND(IF(IFERROR(VALUE(RIGHT($AD523,1)),0)&gt;2,IF($C523=8,O523*IFERROR(INDEX('TaxCred&amp;Subs'!$K$139:$S$151,MATCH($C523&amp;$D523&amp;LEFT($AD523,7),'TaxCred&amp;Subs'!$E$139:$E$151,0),MATCH($H523,'TaxCred&amp;Subs'!$K$137:$S$137,0)),0),IF($C523=2,O523*IFERROR(INDEX('TaxCred&amp;Subs'!$K$139:$S$151,MATCH($C523&amp;$D523,'TaxCred&amp;Subs'!$D$139:$D$151,0),MATCH($H523,'TaxCred&amp;Subs'!$K$137:$S$137,0)),0),O523*IFERROR(INDEX('TaxCred&amp;Subs'!$K$139:$S$151,MATCH($C523&amp;$D523,'TaxCred&amp;Subs'!$C$139:$C$151,0),MATCH($H523,'TaxCred&amp;Subs'!$K$137:$S$137,0)),0))),0),0)</f>
        <v>0</v>
      </c>
      <c r="T523" s="95">
        <f t="shared" si="27"/>
        <v>0</v>
      </c>
      <c r="U523" s="95">
        <f t="shared" si="28"/>
        <v>0</v>
      </c>
      <c r="V523" s="28" t="s">
        <v>222</v>
      </c>
      <c r="W523" s="31">
        <v>2020</v>
      </c>
      <c r="X523" s="28">
        <v>1</v>
      </c>
      <c r="Y523" s="28">
        <v>0</v>
      </c>
      <c r="Z523" s="196">
        <v>-2.1513024844954491E-4</v>
      </c>
      <c r="AA523" s="196">
        <v>-3.3096961299929986E-3</v>
      </c>
      <c r="AB523" s="28">
        <v>0</v>
      </c>
      <c r="AC523" s="28">
        <v>0</v>
      </c>
      <c r="AD523" s="28" t="s">
        <v>337</v>
      </c>
    </row>
    <row r="524" spans="2:30" ht="14.25" customHeight="1" x14ac:dyDescent="0.2">
      <c r="B524" s="7">
        <f t="shared" si="29"/>
        <v>500</v>
      </c>
      <c r="C524" s="28">
        <v>2</v>
      </c>
      <c r="D524" s="28">
        <v>4</v>
      </c>
      <c r="E524" s="31">
        <v>15</v>
      </c>
      <c r="F524" s="96">
        <v>2020</v>
      </c>
      <c r="G524" s="28">
        <v>2021</v>
      </c>
      <c r="H524" s="28">
        <v>4</v>
      </c>
      <c r="I524" s="96">
        <v>50</v>
      </c>
      <c r="J524" s="31">
        <v>34</v>
      </c>
      <c r="K524" s="28">
        <v>0</v>
      </c>
      <c r="L524" s="28">
        <v>0</v>
      </c>
      <c r="M524" s="156">
        <v>22.03</v>
      </c>
      <c r="N524" s="151">
        <v>10027.5</v>
      </c>
      <c r="O524" s="79">
        <v>0</v>
      </c>
      <c r="P524" s="95">
        <f t="array" ref="P524">ROUND(IF($F524&lt;='TaxCred&amp;Subs'!$C$49,(IF($C524=2,IF($M524&gt;=IFERROR(INDEX('TaxCred&amp;Subs'!$L$12:$L$47,MATCH(1,($C524&amp;$D524='TaxCred&amp;Subs'!$E$12:$E$47)*($F524='TaxCred&amp;Subs'!$C$12:$C$47),0)
),9999),IFERROR(INDEX('TaxCred&amp;Subs'!$N$12:$N$47,MATCH(1,($C524&amp;$D524='TaxCred&amp;Subs'!$E$12:$E$47)*($F524='TaxCred&amp;Subs'!$C$12:$C$47),0)
),0),0),(IF($M524&gt;=IFERROR(INDEX('TaxCred&amp;Subs'!$H$12:$H$47,MATCH(1,($C524&amp;$D524='TaxCred&amp;Subs'!$D$12:$D$47)*($F524='TaxCred&amp;Subs'!$C$12:$C$47),0)
),9999),IFERROR(INDEX('TaxCred&amp;Subs'!$N$12:$N$47,MATCH(1,($C524&amp;$D524='TaxCred&amp;Subs'!$D$12:$D$47)*($F524='TaxCred&amp;Subs'!$C$12:$C$47),0)
),0),0)))),0)+IF(AND($C524=2,VALUE(RIGHT($AD524,1))&gt;2),(N524-R524)*(IFERROR(INDEX('TaxCred&amp;Subs'!$J$66:$J$99,MATCH(1,($C524&amp;$D524='TaxCred&amp;Subs'!$E$66:$E$99)*($F524='TaxCred&amp;Subs'!$C$66:$C$99),0)),0)),IF(AND($C524=1,VALUE(RIGHT($AD524,1))&gt;2),(N524-R524)*(IFERROR(INDEX('TaxCred&amp;Subs'!$J$66:$J$99,MATCH(1,($C524&amp;$D524='TaxCred&amp;Subs'!$D$66:$D$99)*($F524='TaxCred&amp;Subs'!$C$66:$C$99),0)),0)),IF($C524&gt;2,(N524-R524)*(IFERROR(INDEX('TaxCred&amp;Subs'!$J$66:$J$99,MATCH(1,($C524&amp;$D524='TaxCred&amp;Subs'!$D$66:$D$99)*($F524='TaxCred&amp;Subs'!$C$66:$C$99),0)),0)),0))),0)</f>
        <v>2439</v>
      </c>
      <c r="Q524" s="95">
        <f t="array" ref="Q524">ROUND(IF(AND($C524=2,VALUE(RIGHT($AD524,1))&gt;2),(O524-S524)*(IFERROR(INDEX('TaxCred&amp;Subs'!$J$66:$J$99,MATCH(1,($C524&amp;$D524='TaxCred&amp;Subs'!$E$66:$E$99)*($F524='TaxCred&amp;Subs'!$C$66:$C$99),0)),0)),IF(AND($C524=1,VALUE(RIGHT($AD524,1))&gt;2),(O524-S524)*(IFERROR(INDEX('TaxCred&amp;Subs'!$J$66:$J$99,MATCH(1,($C524&amp;$D524='TaxCred&amp;Subs'!$D$66:$D$99)*($F524='TaxCred&amp;Subs'!$C$66:$C$99),0)),0)),IF($C524&gt;2,(O524-S524)*(IFERROR(INDEX('TaxCred&amp;Subs'!$J$66:$J$99,MATCH(1,($C524&amp;$D524='TaxCred&amp;Subs'!$D$66:$D$99)*($F524='TaxCred&amp;Subs'!$C$66:$C$99),0)),0)),0))),0)</f>
        <v>0</v>
      </c>
      <c r="R524" s="170">
        <f t="array" ref="R524">ROUND(IF(IFERROR(VALUE(RIGHT($AD524,1)),0)&gt;2,IF($C524=8,N524*IFERROR(INDEX('TaxCred&amp;Subs'!$K$139:$S$151,MATCH($C524&amp;$D524&amp;LEFT($AD524,7),'TaxCred&amp;Subs'!$E$139:$E$151,0),MATCH($H524,'TaxCred&amp;Subs'!$K$137:$S$137,0)),0),IF($C524=2,N524*IFERROR(INDEX('TaxCred&amp;Subs'!$K$139:$S$151,MATCH($C524&amp;$D524,'TaxCred&amp;Subs'!$D$139:$D$151,0),MATCH($H524,'TaxCred&amp;Subs'!$K$137:$S$137,0)),0),N524*IFERROR(INDEX('TaxCred&amp;Subs'!$K$139:$S$151,MATCH($C524&amp;$D524,'TaxCred&amp;Subs'!$C$139:$C$151,0),MATCH($H524,'TaxCred&amp;Subs'!$K$137:$S$137,0)),0))),0),0)</f>
        <v>646</v>
      </c>
      <c r="S524" s="170">
        <f t="array" ref="S524">ROUND(IF(IFERROR(VALUE(RIGHT($AD524,1)),0)&gt;2,IF($C524=8,O524*IFERROR(INDEX('TaxCred&amp;Subs'!$K$139:$S$151,MATCH($C524&amp;$D524&amp;LEFT($AD524,7),'TaxCred&amp;Subs'!$E$139:$E$151,0),MATCH($H524,'TaxCred&amp;Subs'!$K$137:$S$137,0)),0),IF($C524=2,O524*IFERROR(INDEX('TaxCred&amp;Subs'!$K$139:$S$151,MATCH($C524&amp;$D524,'TaxCred&amp;Subs'!$D$139:$D$151,0),MATCH($H524,'TaxCred&amp;Subs'!$K$137:$S$137,0)),0),O524*IFERROR(INDEX('TaxCred&amp;Subs'!$K$139:$S$151,MATCH($C524&amp;$D524,'TaxCred&amp;Subs'!$C$139:$C$151,0),MATCH($H524,'TaxCred&amp;Subs'!$K$137:$S$137,0)),0))),0),0)</f>
        <v>0</v>
      </c>
      <c r="T524" s="95">
        <f t="shared" ref="T524:T579" si="30">IF($H524=9,IF(R524&gt;0,(N524-P524)*0.15,0),0)</f>
        <v>0</v>
      </c>
      <c r="U524" s="95">
        <f t="shared" ref="U524:U579" si="31">IF($H524=9,IF(S524&gt;0,(O524-Q524)*0.15,0),0)</f>
        <v>0</v>
      </c>
      <c r="V524" s="28" t="s">
        <v>222</v>
      </c>
      <c r="W524" s="31">
        <v>2020</v>
      </c>
      <c r="X524" s="28">
        <v>1</v>
      </c>
      <c r="Y524" s="28">
        <v>0</v>
      </c>
      <c r="Z524" s="196">
        <v>-2.1513024844954491E-4</v>
      </c>
      <c r="AA524" s="196">
        <v>-3.3096961299929986E-3</v>
      </c>
      <c r="AB524" s="28">
        <v>0</v>
      </c>
      <c r="AC524" s="28">
        <v>0</v>
      </c>
      <c r="AD524" s="28" t="s">
        <v>337</v>
      </c>
    </row>
    <row r="525" spans="2:30" ht="14.25" customHeight="1" x14ac:dyDescent="0.2">
      <c r="B525" s="7">
        <f t="shared" si="29"/>
        <v>501</v>
      </c>
      <c r="C525" s="28">
        <v>2</v>
      </c>
      <c r="D525" s="28">
        <v>4</v>
      </c>
      <c r="E525" s="31">
        <v>15</v>
      </c>
      <c r="F525" s="96">
        <v>2020</v>
      </c>
      <c r="G525" s="28">
        <v>2021</v>
      </c>
      <c r="H525" s="28">
        <v>5</v>
      </c>
      <c r="I525" s="96">
        <v>50</v>
      </c>
      <c r="J525" s="31">
        <v>34</v>
      </c>
      <c r="K525" s="28">
        <v>0</v>
      </c>
      <c r="L525" s="28">
        <v>0</v>
      </c>
      <c r="M525" s="156">
        <v>22.03</v>
      </c>
      <c r="N525" s="151">
        <v>10027.5</v>
      </c>
      <c r="O525" s="79">
        <v>0</v>
      </c>
      <c r="P525" s="95">
        <f t="array" ref="P525">ROUND(IF($F525&lt;='TaxCred&amp;Subs'!$C$49,(IF($C525=2,IF($M525&gt;=IFERROR(INDEX('TaxCred&amp;Subs'!$L$12:$L$47,MATCH(1,($C525&amp;$D525='TaxCred&amp;Subs'!$E$12:$E$47)*($F525='TaxCred&amp;Subs'!$C$12:$C$47),0)
),9999),IFERROR(INDEX('TaxCred&amp;Subs'!$N$12:$N$47,MATCH(1,($C525&amp;$D525='TaxCred&amp;Subs'!$E$12:$E$47)*($F525='TaxCred&amp;Subs'!$C$12:$C$47),0)
),0),0),(IF($M525&gt;=IFERROR(INDEX('TaxCred&amp;Subs'!$H$12:$H$47,MATCH(1,($C525&amp;$D525='TaxCred&amp;Subs'!$D$12:$D$47)*($F525='TaxCred&amp;Subs'!$C$12:$C$47),0)
),9999),IFERROR(INDEX('TaxCred&amp;Subs'!$N$12:$N$47,MATCH(1,($C525&amp;$D525='TaxCred&amp;Subs'!$D$12:$D$47)*($F525='TaxCred&amp;Subs'!$C$12:$C$47),0)
),0),0)))),0)+IF(AND($C525=2,VALUE(RIGHT($AD525,1))&gt;2),(N525-R525)*(IFERROR(INDEX('TaxCred&amp;Subs'!$J$66:$J$99,MATCH(1,($C525&amp;$D525='TaxCred&amp;Subs'!$E$66:$E$99)*($F525='TaxCred&amp;Subs'!$C$66:$C$99),0)),0)),IF(AND($C525=1,VALUE(RIGHT($AD525,1))&gt;2),(N525-R525)*(IFERROR(INDEX('TaxCred&amp;Subs'!$J$66:$J$99,MATCH(1,($C525&amp;$D525='TaxCred&amp;Subs'!$D$66:$D$99)*($F525='TaxCred&amp;Subs'!$C$66:$C$99),0)),0)),IF($C525&gt;2,(N525-R525)*(IFERROR(INDEX('TaxCred&amp;Subs'!$J$66:$J$99,MATCH(1,($C525&amp;$D525='TaxCred&amp;Subs'!$D$66:$D$99)*($F525='TaxCred&amp;Subs'!$C$66:$C$99),0)),0)),0))),0)</f>
        <v>2425</v>
      </c>
      <c r="Q525" s="95">
        <f t="array" ref="Q525">ROUND(IF(AND($C525=2,VALUE(RIGHT($AD525,1))&gt;2),(O525-S525)*(IFERROR(INDEX('TaxCred&amp;Subs'!$J$66:$J$99,MATCH(1,($C525&amp;$D525='TaxCred&amp;Subs'!$E$66:$E$99)*($F525='TaxCred&amp;Subs'!$C$66:$C$99),0)),0)),IF(AND($C525=1,VALUE(RIGHT($AD525,1))&gt;2),(O525-S525)*(IFERROR(INDEX('TaxCred&amp;Subs'!$J$66:$J$99,MATCH(1,($C525&amp;$D525='TaxCred&amp;Subs'!$D$66:$D$99)*($F525='TaxCred&amp;Subs'!$C$66:$C$99),0)),0)),IF($C525&gt;2,(O525-S525)*(IFERROR(INDEX('TaxCred&amp;Subs'!$J$66:$J$99,MATCH(1,($C525&amp;$D525='TaxCred&amp;Subs'!$D$66:$D$99)*($F525='TaxCred&amp;Subs'!$C$66:$C$99),0)),0)),0))),0)</f>
        <v>0</v>
      </c>
      <c r="R525" s="170">
        <f t="array" ref="R525">ROUND(IF(IFERROR(VALUE(RIGHT($AD525,1)),0)&gt;2,IF($C525=8,N525*IFERROR(INDEX('TaxCred&amp;Subs'!$K$139:$S$151,MATCH($C525&amp;$D525&amp;LEFT($AD525,7),'TaxCred&amp;Subs'!$E$139:$E$151,0),MATCH($H525,'TaxCred&amp;Subs'!$K$137:$S$137,0)),0),IF($C525=2,N525*IFERROR(INDEX('TaxCred&amp;Subs'!$K$139:$S$151,MATCH($C525&amp;$D525,'TaxCred&amp;Subs'!$D$139:$D$151,0),MATCH($H525,'TaxCred&amp;Subs'!$K$137:$S$137,0)),0),N525*IFERROR(INDEX('TaxCred&amp;Subs'!$K$139:$S$151,MATCH($C525&amp;$D525,'TaxCred&amp;Subs'!$C$139:$C$151,0),MATCH($H525,'TaxCred&amp;Subs'!$K$137:$S$137,0)),0))),0),0)</f>
        <v>699</v>
      </c>
      <c r="S525" s="170">
        <f t="array" ref="S525">ROUND(IF(IFERROR(VALUE(RIGHT($AD525,1)),0)&gt;2,IF($C525=8,O525*IFERROR(INDEX('TaxCred&amp;Subs'!$K$139:$S$151,MATCH($C525&amp;$D525&amp;LEFT($AD525,7),'TaxCred&amp;Subs'!$E$139:$E$151,0),MATCH($H525,'TaxCred&amp;Subs'!$K$137:$S$137,0)),0),IF($C525=2,O525*IFERROR(INDEX('TaxCred&amp;Subs'!$K$139:$S$151,MATCH($C525&amp;$D525,'TaxCred&amp;Subs'!$D$139:$D$151,0),MATCH($H525,'TaxCred&amp;Subs'!$K$137:$S$137,0)),0),O525*IFERROR(INDEX('TaxCred&amp;Subs'!$K$139:$S$151,MATCH($C525&amp;$D525,'TaxCred&amp;Subs'!$C$139:$C$151,0),MATCH($H525,'TaxCred&amp;Subs'!$K$137:$S$137,0)),0))),0),0)</f>
        <v>0</v>
      </c>
      <c r="T525" s="95">
        <f t="shared" si="30"/>
        <v>0</v>
      </c>
      <c r="U525" s="95">
        <f t="shared" si="31"/>
        <v>0</v>
      </c>
      <c r="V525" s="28" t="s">
        <v>222</v>
      </c>
      <c r="W525" s="31">
        <v>2020</v>
      </c>
      <c r="X525" s="28">
        <v>1</v>
      </c>
      <c r="Y525" s="28">
        <v>0</v>
      </c>
      <c r="Z525" s="196">
        <v>-2.1513024844954491E-4</v>
      </c>
      <c r="AA525" s="196">
        <v>-3.3096961299929986E-3</v>
      </c>
      <c r="AB525" s="28">
        <v>0</v>
      </c>
      <c r="AC525" s="28">
        <v>0</v>
      </c>
      <c r="AD525" s="28" t="s">
        <v>337</v>
      </c>
    </row>
    <row r="526" spans="2:30" ht="14.25" customHeight="1" x14ac:dyDescent="0.2">
      <c r="B526" s="7">
        <f t="shared" si="29"/>
        <v>502</v>
      </c>
      <c r="C526" s="28">
        <v>2</v>
      </c>
      <c r="D526" s="28">
        <v>4</v>
      </c>
      <c r="E526" s="31">
        <v>15</v>
      </c>
      <c r="F526" s="96">
        <v>2020</v>
      </c>
      <c r="G526" s="28">
        <v>2021</v>
      </c>
      <c r="H526" s="28">
        <v>6</v>
      </c>
      <c r="I526" s="96">
        <v>50</v>
      </c>
      <c r="J526" s="31">
        <v>34</v>
      </c>
      <c r="K526" s="28">
        <v>0</v>
      </c>
      <c r="L526" s="28">
        <v>0</v>
      </c>
      <c r="M526" s="156">
        <v>22.03</v>
      </c>
      <c r="N526" s="151">
        <v>10027.5</v>
      </c>
      <c r="O526" s="79">
        <v>0</v>
      </c>
      <c r="P526" s="95">
        <f t="array" ref="P526">ROUND(IF($F526&lt;='TaxCred&amp;Subs'!$C$49,(IF($C526=2,IF($M526&gt;=IFERROR(INDEX('TaxCred&amp;Subs'!$L$12:$L$47,MATCH(1,($C526&amp;$D526='TaxCred&amp;Subs'!$E$12:$E$47)*($F526='TaxCred&amp;Subs'!$C$12:$C$47),0)
),9999),IFERROR(INDEX('TaxCred&amp;Subs'!$N$12:$N$47,MATCH(1,($C526&amp;$D526='TaxCred&amp;Subs'!$E$12:$E$47)*($F526='TaxCred&amp;Subs'!$C$12:$C$47),0)
),0),0),(IF($M526&gt;=IFERROR(INDEX('TaxCred&amp;Subs'!$H$12:$H$47,MATCH(1,($C526&amp;$D526='TaxCred&amp;Subs'!$D$12:$D$47)*($F526='TaxCred&amp;Subs'!$C$12:$C$47),0)
),9999),IFERROR(INDEX('TaxCred&amp;Subs'!$N$12:$N$47,MATCH(1,($C526&amp;$D526='TaxCred&amp;Subs'!$D$12:$D$47)*($F526='TaxCred&amp;Subs'!$C$12:$C$47),0)
),0),0)))),0)+IF(AND($C526=2,VALUE(RIGHT($AD526,1))&gt;2),(N526-R526)*(IFERROR(INDEX('TaxCred&amp;Subs'!$J$66:$J$99,MATCH(1,($C526&amp;$D526='TaxCred&amp;Subs'!$E$66:$E$99)*($F526='TaxCred&amp;Subs'!$C$66:$C$99),0)),0)),IF(AND($C526=1,VALUE(RIGHT($AD526,1))&gt;2),(N526-R526)*(IFERROR(INDEX('TaxCred&amp;Subs'!$J$66:$J$99,MATCH(1,($C526&amp;$D526='TaxCred&amp;Subs'!$D$66:$D$99)*($F526='TaxCred&amp;Subs'!$C$66:$C$99),0)),0)),IF($C526&gt;2,(N526-R526)*(IFERROR(INDEX('TaxCred&amp;Subs'!$J$66:$J$99,MATCH(1,($C526&amp;$D526='TaxCred&amp;Subs'!$D$66:$D$99)*($F526='TaxCred&amp;Subs'!$C$66:$C$99),0)),0)),0))),0)</f>
        <v>2377</v>
      </c>
      <c r="Q526" s="95">
        <f t="array" ref="Q526">ROUND(IF(AND($C526=2,VALUE(RIGHT($AD526,1))&gt;2),(O526-S526)*(IFERROR(INDEX('TaxCred&amp;Subs'!$J$66:$J$99,MATCH(1,($C526&amp;$D526='TaxCred&amp;Subs'!$E$66:$E$99)*($F526='TaxCred&amp;Subs'!$C$66:$C$99),0)),0)),IF(AND($C526=1,VALUE(RIGHT($AD526,1))&gt;2),(O526-S526)*(IFERROR(INDEX('TaxCred&amp;Subs'!$J$66:$J$99,MATCH(1,($C526&amp;$D526='TaxCred&amp;Subs'!$D$66:$D$99)*($F526='TaxCred&amp;Subs'!$C$66:$C$99),0)),0)),IF($C526&gt;2,(O526-S526)*(IFERROR(INDEX('TaxCred&amp;Subs'!$J$66:$J$99,MATCH(1,($C526&amp;$D526='TaxCred&amp;Subs'!$D$66:$D$99)*($F526='TaxCred&amp;Subs'!$C$66:$C$99),0)),0)),0))),0)</f>
        <v>0</v>
      </c>
      <c r="R526" s="170">
        <f t="array" ref="R526">ROUND(IF(IFERROR(VALUE(RIGHT($AD526,1)),0)&gt;2,IF($C526=8,N526*IFERROR(INDEX('TaxCred&amp;Subs'!$K$139:$S$151,MATCH($C526&amp;$D526&amp;LEFT($AD526,7),'TaxCred&amp;Subs'!$E$139:$E$151,0),MATCH($H526,'TaxCred&amp;Subs'!$K$137:$S$137,0)),0),IF($C526=2,N526*IFERROR(INDEX('TaxCred&amp;Subs'!$K$139:$S$151,MATCH($C526&amp;$D526,'TaxCred&amp;Subs'!$D$139:$D$151,0),MATCH($H526,'TaxCred&amp;Subs'!$K$137:$S$137,0)),0),N526*IFERROR(INDEX('TaxCred&amp;Subs'!$K$139:$S$151,MATCH($C526&amp;$D526,'TaxCred&amp;Subs'!$C$139:$C$151,0),MATCH($H526,'TaxCred&amp;Subs'!$K$137:$S$137,0)),0))),0),0)</f>
        <v>884</v>
      </c>
      <c r="S526" s="170">
        <f t="array" ref="S526">ROUND(IF(IFERROR(VALUE(RIGHT($AD526,1)),0)&gt;2,IF($C526=8,O526*IFERROR(INDEX('TaxCred&amp;Subs'!$K$139:$S$151,MATCH($C526&amp;$D526&amp;LEFT($AD526,7),'TaxCred&amp;Subs'!$E$139:$E$151,0),MATCH($H526,'TaxCred&amp;Subs'!$K$137:$S$137,0)),0),IF($C526=2,O526*IFERROR(INDEX('TaxCred&amp;Subs'!$K$139:$S$151,MATCH($C526&amp;$D526,'TaxCred&amp;Subs'!$D$139:$D$151,0),MATCH($H526,'TaxCred&amp;Subs'!$K$137:$S$137,0)),0),O526*IFERROR(INDEX('TaxCred&amp;Subs'!$K$139:$S$151,MATCH($C526&amp;$D526,'TaxCred&amp;Subs'!$C$139:$C$151,0),MATCH($H526,'TaxCred&amp;Subs'!$K$137:$S$137,0)),0))),0),0)</f>
        <v>0</v>
      </c>
      <c r="T526" s="95">
        <f t="shared" si="30"/>
        <v>0</v>
      </c>
      <c r="U526" s="95">
        <f t="shared" si="31"/>
        <v>0</v>
      </c>
      <c r="V526" s="28" t="s">
        <v>222</v>
      </c>
      <c r="W526" s="31">
        <v>2020</v>
      </c>
      <c r="X526" s="28">
        <v>1</v>
      </c>
      <c r="Y526" s="28">
        <v>0</v>
      </c>
      <c r="Z526" s="196">
        <v>-2.1513024844954491E-4</v>
      </c>
      <c r="AA526" s="196">
        <v>-3.3096961299929986E-3</v>
      </c>
      <c r="AB526" s="28">
        <v>0</v>
      </c>
      <c r="AC526" s="28">
        <v>0</v>
      </c>
      <c r="AD526" s="28" t="s">
        <v>337</v>
      </c>
    </row>
    <row r="527" spans="2:30" ht="14.25" customHeight="1" x14ac:dyDescent="0.2">
      <c r="B527" s="7">
        <f t="shared" si="29"/>
        <v>503</v>
      </c>
      <c r="C527" s="28">
        <v>2</v>
      </c>
      <c r="D527" s="28">
        <v>4</v>
      </c>
      <c r="E527" s="31">
        <v>15</v>
      </c>
      <c r="F527" s="96">
        <v>2020</v>
      </c>
      <c r="G527" s="28">
        <v>2021</v>
      </c>
      <c r="H527" s="28">
        <v>7</v>
      </c>
      <c r="I527" s="96">
        <v>50</v>
      </c>
      <c r="J527" s="31">
        <v>34</v>
      </c>
      <c r="K527" s="28">
        <v>0</v>
      </c>
      <c r="L527" s="28">
        <v>0</v>
      </c>
      <c r="M527" s="156">
        <v>22.03</v>
      </c>
      <c r="N527" s="151">
        <v>10027.5</v>
      </c>
      <c r="O527" s="79">
        <v>0</v>
      </c>
      <c r="P527" s="95">
        <f t="array" ref="P527">ROUND(IF($F527&lt;='TaxCred&amp;Subs'!$C$49,(IF($C527=2,IF($M527&gt;=IFERROR(INDEX('TaxCred&amp;Subs'!$L$12:$L$47,MATCH(1,($C527&amp;$D527='TaxCred&amp;Subs'!$E$12:$E$47)*($F527='TaxCred&amp;Subs'!$C$12:$C$47),0)
),9999),IFERROR(INDEX('TaxCred&amp;Subs'!$N$12:$N$47,MATCH(1,($C527&amp;$D527='TaxCred&amp;Subs'!$E$12:$E$47)*($F527='TaxCred&amp;Subs'!$C$12:$C$47),0)
),0),0),(IF($M527&gt;=IFERROR(INDEX('TaxCred&amp;Subs'!$H$12:$H$47,MATCH(1,($C527&amp;$D527='TaxCred&amp;Subs'!$D$12:$D$47)*($F527='TaxCred&amp;Subs'!$C$12:$C$47),0)
),9999),IFERROR(INDEX('TaxCred&amp;Subs'!$N$12:$N$47,MATCH(1,($C527&amp;$D527='TaxCred&amp;Subs'!$D$12:$D$47)*($F527='TaxCred&amp;Subs'!$C$12:$C$47),0)
),0),0)))),0)+IF(AND($C527=2,VALUE(RIGHT($AD527,1))&gt;2),(N527-R527)*(IFERROR(INDEX('TaxCred&amp;Subs'!$J$66:$J$99,MATCH(1,($C527&amp;$D527='TaxCred&amp;Subs'!$E$66:$E$99)*($F527='TaxCred&amp;Subs'!$C$66:$C$99),0)),0)),IF(AND($C527=1,VALUE(RIGHT($AD527,1))&gt;2),(N527-R527)*(IFERROR(INDEX('TaxCred&amp;Subs'!$J$66:$J$99,MATCH(1,($C527&amp;$D527='TaxCred&amp;Subs'!$D$66:$D$99)*($F527='TaxCred&amp;Subs'!$C$66:$C$99),0)),0)),IF($C527&gt;2,(N527-R527)*(IFERROR(INDEX('TaxCred&amp;Subs'!$J$66:$J$99,MATCH(1,($C527&amp;$D527='TaxCred&amp;Subs'!$D$66:$D$99)*($F527='TaxCred&amp;Subs'!$C$66:$C$99),0)),0)),0))),0)</f>
        <v>2511</v>
      </c>
      <c r="Q527" s="95">
        <f t="array" ref="Q527">ROUND(IF(AND($C527=2,VALUE(RIGHT($AD527,1))&gt;2),(O527-S527)*(IFERROR(INDEX('TaxCred&amp;Subs'!$J$66:$J$99,MATCH(1,($C527&amp;$D527='TaxCred&amp;Subs'!$E$66:$E$99)*($F527='TaxCred&amp;Subs'!$C$66:$C$99),0)),0)),IF(AND($C527=1,VALUE(RIGHT($AD527,1))&gt;2),(O527-S527)*(IFERROR(INDEX('TaxCred&amp;Subs'!$J$66:$J$99,MATCH(1,($C527&amp;$D527='TaxCred&amp;Subs'!$D$66:$D$99)*($F527='TaxCred&amp;Subs'!$C$66:$C$99),0)),0)),IF($C527&gt;2,(O527-S527)*(IFERROR(INDEX('TaxCred&amp;Subs'!$J$66:$J$99,MATCH(1,($C527&amp;$D527='TaxCred&amp;Subs'!$D$66:$D$99)*($F527='TaxCred&amp;Subs'!$C$66:$C$99),0)),0)),0))),0)</f>
        <v>0</v>
      </c>
      <c r="R527" s="170">
        <f t="array" ref="R527">ROUND(IF(IFERROR(VALUE(RIGHT($AD527,1)),0)&gt;2,IF($C527=8,N527*IFERROR(INDEX('TaxCred&amp;Subs'!$K$139:$S$151,MATCH($C527&amp;$D527&amp;LEFT($AD527,7),'TaxCred&amp;Subs'!$E$139:$E$151,0),MATCH($H527,'TaxCred&amp;Subs'!$K$137:$S$137,0)),0),IF($C527=2,N527*IFERROR(INDEX('TaxCred&amp;Subs'!$K$139:$S$151,MATCH($C527&amp;$D527,'TaxCred&amp;Subs'!$D$139:$D$151,0),MATCH($H527,'TaxCred&amp;Subs'!$K$137:$S$137,0)),0),N527*IFERROR(INDEX('TaxCred&amp;Subs'!$K$139:$S$151,MATCH($C527&amp;$D527,'TaxCred&amp;Subs'!$C$139:$C$151,0),MATCH($H527,'TaxCred&amp;Subs'!$K$137:$S$137,0)),0))),0),0)</f>
        <v>370</v>
      </c>
      <c r="S527" s="170">
        <f t="array" ref="S527">ROUND(IF(IFERROR(VALUE(RIGHT($AD527,1)),0)&gt;2,IF($C527=8,O527*IFERROR(INDEX('TaxCred&amp;Subs'!$K$139:$S$151,MATCH($C527&amp;$D527&amp;LEFT($AD527,7),'TaxCred&amp;Subs'!$E$139:$E$151,0),MATCH($H527,'TaxCred&amp;Subs'!$K$137:$S$137,0)),0),IF($C527=2,O527*IFERROR(INDEX('TaxCred&amp;Subs'!$K$139:$S$151,MATCH($C527&amp;$D527,'TaxCred&amp;Subs'!$D$139:$D$151,0),MATCH($H527,'TaxCred&amp;Subs'!$K$137:$S$137,0)),0),O527*IFERROR(INDEX('TaxCred&amp;Subs'!$K$139:$S$151,MATCH($C527&amp;$D527,'TaxCred&amp;Subs'!$C$139:$C$151,0),MATCH($H527,'TaxCred&amp;Subs'!$K$137:$S$137,0)),0))),0),0)</f>
        <v>0</v>
      </c>
      <c r="T527" s="95">
        <f t="shared" si="30"/>
        <v>0</v>
      </c>
      <c r="U527" s="95">
        <f t="shared" si="31"/>
        <v>0</v>
      </c>
      <c r="V527" s="28" t="s">
        <v>222</v>
      </c>
      <c r="W527" s="31">
        <v>2020</v>
      </c>
      <c r="X527" s="28">
        <v>1</v>
      </c>
      <c r="Y527" s="28">
        <v>0</v>
      </c>
      <c r="Z527" s="196">
        <v>-2.1513024844954491E-4</v>
      </c>
      <c r="AA527" s="196">
        <v>-3.3096961299929986E-3</v>
      </c>
      <c r="AB527" s="28">
        <v>0</v>
      </c>
      <c r="AC527" s="28">
        <v>0</v>
      </c>
      <c r="AD527" s="28" t="s">
        <v>337</v>
      </c>
    </row>
    <row r="528" spans="2:30" ht="14.25" customHeight="1" x14ac:dyDescent="0.2">
      <c r="B528" s="7">
        <f t="shared" si="29"/>
        <v>504</v>
      </c>
      <c r="C528" s="28">
        <v>2</v>
      </c>
      <c r="D528" s="28">
        <v>4</v>
      </c>
      <c r="E528" s="31">
        <v>15</v>
      </c>
      <c r="F528" s="96">
        <v>2020</v>
      </c>
      <c r="G528" s="28">
        <v>2021</v>
      </c>
      <c r="H528" s="28">
        <v>8</v>
      </c>
      <c r="I528" s="96">
        <v>50</v>
      </c>
      <c r="J528" s="31">
        <v>34</v>
      </c>
      <c r="K528" s="28">
        <v>0</v>
      </c>
      <c r="L528" s="28">
        <v>0</v>
      </c>
      <c r="M528" s="156">
        <v>22.03</v>
      </c>
      <c r="N528" s="151">
        <v>10027.5</v>
      </c>
      <c r="O528" s="79">
        <v>0</v>
      </c>
      <c r="P528" s="95">
        <f t="array" ref="P528">ROUND(IF($F528&lt;='TaxCred&amp;Subs'!$C$49,(IF($C528=2,IF($M528&gt;=IFERROR(INDEX('TaxCred&amp;Subs'!$L$12:$L$47,MATCH(1,($C528&amp;$D528='TaxCred&amp;Subs'!$E$12:$E$47)*($F528='TaxCred&amp;Subs'!$C$12:$C$47),0)
),9999),IFERROR(INDEX('TaxCred&amp;Subs'!$N$12:$N$47,MATCH(1,($C528&amp;$D528='TaxCred&amp;Subs'!$E$12:$E$47)*($F528='TaxCred&amp;Subs'!$C$12:$C$47),0)
),0),0),(IF($M528&gt;=IFERROR(INDEX('TaxCred&amp;Subs'!$H$12:$H$47,MATCH(1,($C528&amp;$D528='TaxCred&amp;Subs'!$D$12:$D$47)*($F528='TaxCred&amp;Subs'!$C$12:$C$47),0)
),9999),IFERROR(INDEX('TaxCred&amp;Subs'!$N$12:$N$47,MATCH(1,($C528&amp;$D528='TaxCred&amp;Subs'!$D$12:$D$47)*($F528='TaxCred&amp;Subs'!$C$12:$C$47),0)
),0),0)))),0)+IF(AND($C528=2,VALUE(RIGHT($AD528,1))&gt;2),(N528-R528)*(IFERROR(INDEX('TaxCred&amp;Subs'!$J$66:$J$99,MATCH(1,($C528&amp;$D528='TaxCred&amp;Subs'!$E$66:$E$99)*($F528='TaxCred&amp;Subs'!$C$66:$C$99),0)),0)),IF(AND($C528=1,VALUE(RIGHT($AD528,1))&gt;2),(N528-R528)*(IFERROR(INDEX('TaxCred&amp;Subs'!$J$66:$J$99,MATCH(1,($C528&amp;$D528='TaxCred&amp;Subs'!$D$66:$D$99)*($F528='TaxCred&amp;Subs'!$C$66:$C$99),0)),0)),IF($C528&gt;2,(N528-R528)*(IFERROR(INDEX('TaxCred&amp;Subs'!$J$66:$J$99,MATCH(1,($C528&amp;$D528='TaxCred&amp;Subs'!$D$66:$D$99)*($F528='TaxCred&amp;Subs'!$C$66:$C$99),0)),0)),0))),0)</f>
        <v>2476</v>
      </c>
      <c r="Q528" s="95">
        <f t="array" ref="Q528">ROUND(IF(AND($C528=2,VALUE(RIGHT($AD528,1))&gt;2),(O528-S528)*(IFERROR(INDEX('TaxCred&amp;Subs'!$J$66:$J$99,MATCH(1,($C528&amp;$D528='TaxCred&amp;Subs'!$E$66:$E$99)*($F528='TaxCred&amp;Subs'!$C$66:$C$99),0)),0)),IF(AND($C528=1,VALUE(RIGHT($AD528,1))&gt;2),(O528-S528)*(IFERROR(INDEX('TaxCred&amp;Subs'!$J$66:$J$99,MATCH(1,($C528&amp;$D528='TaxCred&amp;Subs'!$D$66:$D$99)*($F528='TaxCred&amp;Subs'!$C$66:$C$99),0)),0)),IF($C528&gt;2,(O528-S528)*(IFERROR(INDEX('TaxCred&amp;Subs'!$J$66:$J$99,MATCH(1,($C528&amp;$D528='TaxCred&amp;Subs'!$D$66:$D$99)*($F528='TaxCred&amp;Subs'!$C$66:$C$99),0)),0)),0))),0)</f>
        <v>0</v>
      </c>
      <c r="R528" s="170">
        <f t="array" ref="R528">ROUND(IF(IFERROR(VALUE(RIGHT($AD528,1)),0)&gt;2,IF($C528=8,N528*IFERROR(INDEX('TaxCred&amp;Subs'!$K$139:$S$151,MATCH($C528&amp;$D528&amp;LEFT($AD528,7),'TaxCred&amp;Subs'!$E$139:$E$151,0),MATCH($H528,'TaxCred&amp;Subs'!$K$137:$S$137,0)),0),IF($C528=2,N528*IFERROR(INDEX('TaxCred&amp;Subs'!$K$139:$S$151,MATCH($C528&amp;$D528,'TaxCred&amp;Subs'!$D$139:$D$151,0),MATCH($H528,'TaxCred&amp;Subs'!$K$137:$S$137,0)),0),N528*IFERROR(INDEX('TaxCred&amp;Subs'!$K$139:$S$151,MATCH($C528&amp;$D528,'TaxCred&amp;Subs'!$C$139:$C$151,0),MATCH($H528,'TaxCred&amp;Subs'!$K$137:$S$137,0)),0))),0),0)</f>
        <v>504</v>
      </c>
      <c r="S528" s="170">
        <f t="array" ref="S528">ROUND(IF(IFERROR(VALUE(RIGHT($AD528,1)),0)&gt;2,IF($C528=8,O528*IFERROR(INDEX('TaxCred&amp;Subs'!$K$139:$S$151,MATCH($C528&amp;$D528&amp;LEFT($AD528,7),'TaxCred&amp;Subs'!$E$139:$E$151,0),MATCH($H528,'TaxCred&amp;Subs'!$K$137:$S$137,0)),0),IF($C528=2,O528*IFERROR(INDEX('TaxCred&amp;Subs'!$K$139:$S$151,MATCH($C528&amp;$D528,'TaxCred&amp;Subs'!$D$139:$D$151,0),MATCH($H528,'TaxCred&amp;Subs'!$K$137:$S$137,0)),0),O528*IFERROR(INDEX('TaxCred&amp;Subs'!$K$139:$S$151,MATCH($C528&amp;$D528,'TaxCred&amp;Subs'!$C$139:$C$151,0),MATCH($H528,'TaxCred&amp;Subs'!$K$137:$S$137,0)),0))),0),0)</f>
        <v>0</v>
      </c>
      <c r="T528" s="95">
        <f t="shared" si="30"/>
        <v>0</v>
      </c>
      <c r="U528" s="95">
        <f t="shared" si="31"/>
        <v>0</v>
      </c>
      <c r="V528" s="28" t="s">
        <v>222</v>
      </c>
      <c r="W528" s="31">
        <v>2020</v>
      </c>
      <c r="X528" s="28">
        <v>1</v>
      </c>
      <c r="Y528" s="28">
        <v>0</v>
      </c>
      <c r="Z528" s="196">
        <v>-2.1513024844954491E-4</v>
      </c>
      <c r="AA528" s="196">
        <v>-3.3096961299929986E-3</v>
      </c>
      <c r="AB528" s="28">
        <v>0</v>
      </c>
      <c r="AC528" s="28">
        <v>0</v>
      </c>
      <c r="AD528" s="28" t="s">
        <v>337</v>
      </c>
    </row>
    <row r="529" spans="2:30" ht="14.25" customHeight="1" x14ac:dyDescent="0.2">
      <c r="B529" s="7">
        <f t="shared" si="29"/>
        <v>505</v>
      </c>
      <c r="C529" s="28">
        <v>2</v>
      </c>
      <c r="D529" s="28">
        <v>4</v>
      </c>
      <c r="E529" s="31">
        <v>15</v>
      </c>
      <c r="F529" s="96">
        <v>2020</v>
      </c>
      <c r="G529" s="28">
        <v>2021</v>
      </c>
      <c r="H529" s="28">
        <v>9</v>
      </c>
      <c r="I529" s="96">
        <v>50</v>
      </c>
      <c r="J529" s="31">
        <v>34</v>
      </c>
      <c r="K529" s="28">
        <v>0</v>
      </c>
      <c r="L529" s="28">
        <v>0</v>
      </c>
      <c r="M529" s="156">
        <v>22.03</v>
      </c>
      <c r="N529" s="151">
        <v>10027.5</v>
      </c>
      <c r="O529" s="79">
        <v>0</v>
      </c>
      <c r="P529" s="95">
        <f t="array" ref="P529">ROUND(IF($F529&lt;='TaxCred&amp;Subs'!$C$49,(IF($C529=2,IF($M529&gt;=IFERROR(INDEX('TaxCred&amp;Subs'!$L$12:$L$47,MATCH(1,($C529&amp;$D529='TaxCred&amp;Subs'!$E$12:$E$47)*($F529='TaxCred&amp;Subs'!$C$12:$C$47),0)
),9999),IFERROR(INDEX('TaxCred&amp;Subs'!$N$12:$N$47,MATCH(1,($C529&amp;$D529='TaxCred&amp;Subs'!$E$12:$E$47)*($F529='TaxCred&amp;Subs'!$C$12:$C$47),0)
),0),0),(IF($M529&gt;=IFERROR(INDEX('TaxCred&amp;Subs'!$H$12:$H$47,MATCH(1,($C529&amp;$D529='TaxCred&amp;Subs'!$D$12:$D$47)*($F529='TaxCred&amp;Subs'!$C$12:$C$47),0)
),9999),IFERROR(INDEX('TaxCred&amp;Subs'!$N$12:$N$47,MATCH(1,($C529&amp;$D529='TaxCred&amp;Subs'!$D$12:$D$47)*($F529='TaxCred&amp;Subs'!$C$12:$C$47),0)
),0),0)))),0)+IF(AND($C529=2,VALUE(RIGHT($AD529,1))&gt;2),(N529-R529)*(IFERROR(INDEX('TaxCred&amp;Subs'!$J$66:$J$99,MATCH(1,($C529&amp;$D529='TaxCred&amp;Subs'!$E$66:$E$99)*($F529='TaxCred&amp;Subs'!$C$66:$C$99),0)),0)),IF(AND($C529=1,VALUE(RIGHT($AD529,1))&gt;2),(N529-R529)*(IFERROR(INDEX('TaxCred&amp;Subs'!$J$66:$J$99,MATCH(1,($C529&amp;$D529='TaxCred&amp;Subs'!$D$66:$D$99)*($F529='TaxCred&amp;Subs'!$C$66:$C$99),0)),0)),IF($C529&gt;2,(N529-R529)*(IFERROR(INDEX('TaxCred&amp;Subs'!$J$66:$J$99,MATCH(1,($C529&amp;$D529='TaxCred&amp;Subs'!$D$66:$D$99)*($F529='TaxCred&amp;Subs'!$C$66:$C$99),0)),0)),0))),0)</f>
        <v>2543</v>
      </c>
      <c r="Q529" s="95">
        <f t="array" ref="Q529">ROUND(IF(AND($C529=2,VALUE(RIGHT($AD529,1))&gt;2),(O529-S529)*(IFERROR(INDEX('TaxCred&amp;Subs'!$J$66:$J$99,MATCH(1,($C529&amp;$D529='TaxCred&amp;Subs'!$E$66:$E$99)*($F529='TaxCred&amp;Subs'!$C$66:$C$99),0)),0)),IF(AND($C529=1,VALUE(RIGHT($AD529,1))&gt;2),(O529-S529)*(IFERROR(INDEX('TaxCred&amp;Subs'!$J$66:$J$99,MATCH(1,($C529&amp;$D529='TaxCred&amp;Subs'!$D$66:$D$99)*($F529='TaxCred&amp;Subs'!$C$66:$C$99),0)),0)),IF($C529&gt;2,(O529-S529)*(IFERROR(INDEX('TaxCred&amp;Subs'!$J$66:$J$99,MATCH(1,($C529&amp;$D529='TaxCred&amp;Subs'!$D$66:$D$99)*($F529='TaxCred&amp;Subs'!$C$66:$C$99),0)),0)),0))),0)</f>
        <v>0</v>
      </c>
      <c r="R529" s="170">
        <f t="array" ref="R529">ROUND(IF(IFERROR(VALUE(RIGHT($AD529,1)),0)&gt;2,IF($C529=8,N529*IFERROR(INDEX('TaxCred&amp;Subs'!$K$139:$S$151,MATCH($C529&amp;$D529&amp;LEFT($AD529,7),'TaxCred&amp;Subs'!$E$139:$E$151,0),MATCH($H529,'TaxCred&amp;Subs'!$K$137:$S$137,0)),0),IF($C529=2,N529*IFERROR(INDEX('TaxCred&amp;Subs'!$K$139:$S$151,MATCH($C529&amp;$D529,'TaxCred&amp;Subs'!$D$139:$D$151,0),MATCH($H529,'TaxCred&amp;Subs'!$K$137:$S$137,0)),0),N529*IFERROR(INDEX('TaxCred&amp;Subs'!$K$139:$S$151,MATCH($C529&amp;$D529,'TaxCred&amp;Subs'!$C$139:$C$151,0),MATCH($H529,'TaxCred&amp;Subs'!$K$137:$S$137,0)),0))),0),0)</f>
        <v>246</v>
      </c>
      <c r="S529" s="170">
        <f t="array" ref="S529">ROUND(IF(IFERROR(VALUE(RIGHT($AD529,1)),0)&gt;2,IF($C529=8,O529*IFERROR(INDEX('TaxCred&amp;Subs'!$K$139:$S$151,MATCH($C529&amp;$D529&amp;LEFT($AD529,7),'TaxCred&amp;Subs'!$E$139:$E$151,0),MATCH($H529,'TaxCred&amp;Subs'!$K$137:$S$137,0)),0),IF($C529=2,O529*IFERROR(INDEX('TaxCred&amp;Subs'!$K$139:$S$151,MATCH($C529&amp;$D529,'TaxCred&amp;Subs'!$D$139:$D$151,0),MATCH($H529,'TaxCred&amp;Subs'!$K$137:$S$137,0)),0),O529*IFERROR(INDEX('TaxCred&amp;Subs'!$K$139:$S$151,MATCH($C529&amp;$D529,'TaxCred&amp;Subs'!$C$139:$C$151,0),MATCH($H529,'TaxCred&amp;Subs'!$K$137:$S$137,0)),0))),0),0)</f>
        <v>0</v>
      </c>
      <c r="T529" s="172">
        <f t="shared" si="30"/>
        <v>1122.675</v>
      </c>
      <c r="U529" s="95">
        <f t="shared" si="31"/>
        <v>0</v>
      </c>
      <c r="V529" s="28" t="s">
        <v>222</v>
      </c>
      <c r="W529" s="31">
        <v>2020</v>
      </c>
      <c r="X529" s="28">
        <v>1</v>
      </c>
      <c r="Y529" s="28">
        <v>0</v>
      </c>
      <c r="Z529" s="196">
        <v>-2.1513024844954491E-4</v>
      </c>
      <c r="AA529" s="196">
        <v>-3.3096961299929986E-3</v>
      </c>
      <c r="AB529" s="28">
        <v>0</v>
      </c>
      <c r="AC529" s="28">
        <v>0</v>
      </c>
      <c r="AD529" s="28" t="s">
        <v>337</v>
      </c>
    </row>
    <row r="530" spans="2:30" ht="14.25" customHeight="1" x14ac:dyDescent="0.2">
      <c r="B530" s="7">
        <f t="shared" si="29"/>
        <v>506</v>
      </c>
      <c r="C530" s="28">
        <v>2</v>
      </c>
      <c r="D530" s="28">
        <v>4</v>
      </c>
      <c r="E530" s="31">
        <v>15</v>
      </c>
      <c r="F530" s="78">
        <v>2022</v>
      </c>
      <c r="G530" s="28">
        <v>2032</v>
      </c>
      <c r="H530" s="28">
        <v>1</v>
      </c>
      <c r="I530" s="96">
        <v>50</v>
      </c>
      <c r="J530" s="31">
        <v>34</v>
      </c>
      <c r="K530" s="28">
        <v>0</v>
      </c>
      <c r="L530" s="28">
        <v>0</v>
      </c>
      <c r="M530" s="156">
        <v>22.03</v>
      </c>
      <c r="N530" s="151">
        <v>10027.5</v>
      </c>
      <c r="O530" s="79">
        <v>0</v>
      </c>
      <c r="P530" s="95">
        <f t="array" ref="P530">ROUND(IF($F530&lt;='TaxCred&amp;Subs'!$C$49,(IF($C530=2,IF($M530&gt;=IFERROR(INDEX('TaxCred&amp;Subs'!$L$12:$L$47,MATCH(1,($C530&amp;$D530='TaxCred&amp;Subs'!$E$12:$E$47)*($F530='TaxCred&amp;Subs'!$C$12:$C$47),0)
),9999),IFERROR(INDEX('TaxCred&amp;Subs'!$N$12:$N$47,MATCH(1,($C530&amp;$D530='TaxCred&amp;Subs'!$E$12:$E$47)*($F530='TaxCred&amp;Subs'!$C$12:$C$47),0)
),0),0),(IF($M530&gt;=IFERROR(INDEX('TaxCred&amp;Subs'!$H$12:$H$47,MATCH(1,($C530&amp;$D530='TaxCred&amp;Subs'!$D$12:$D$47)*($F530='TaxCred&amp;Subs'!$C$12:$C$47),0)
),9999),IFERROR(INDEX('TaxCred&amp;Subs'!$N$12:$N$47,MATCH(1,($C530&amp;$D530='TaxCred&amp;Subs'!$D$12:$D$47)*($F530='TaxCred&amp;Subs'!$C$12:$C$47),0)
),0),0)))),0)+IF(AND($C530=2,VALUE(RIGHT($AD530,1))&gt;2),(N530-R530)*(IFERROR(INDEX('TaxCred&amp;Subs'!$J$66:$J$99,MATCH(1,($C530&amp;$D530='TaxCred&amp;Subs'!$E$66:$E$99)*($F530='TaxCred&amp;Subs'!$C$66:$C$99),0)),0)),IF(AND($C530=1,VALUE(RIGHT($AD530,1))&gt;2),(N530-R530)*(IFERROR(INDEX('TaxCred&amp;Subs'!$J$66:$J$99,MATCH(1,($C530&amp;$D530='TaxCred&amp;Subs'!$D$66:$D$99)*($F530='TaxCred&amp;Subs'!$C$66:$C$99),0)),0)),IF($C530&gt;2,(N530-R530)*(IFERROR(INDEX('TaxCred&amp;Subs'!$J$66:$J$99,MATCH(1,($C530&amp;$D530='TaxCred&amp;Subs'!$D$66:$D$99)*($F530='TaxCred&amp;Subs'!$C$66:$C$99),0)),0)),0))),0)</f>
        <v>2262</v>
      </c>
      <c r="Q530" s="95">
        <f t="array" ref="Q530">ROUND(IF(AND($C530=2,VALUE(RIGHT($AD530,1))&gt;2),(O530-S530)*(IFERROR(INDEX('TaxCred&amp;Subs'!$J$66:$J$99,MATCH(1,($C530&amp;$D530='TaxCred&amp;Subs'!$E$66:$E$99)*($F530='TaxCred&amp;Subs'!$C$66:$C$99),0)),0)),IF(AND($C530=1,VALUE(RIGHT($AD530,1))&gt;2),(O530-S530)*(IFERROR(INDEX('TaxCred&amp;Subs'!$J$66:$J$99,MATCH(1,($C530&amp;$D530='TaxCred&amp;Subs'!$D$66:$D$99)*($F530='TaxCred&amp;Subs'!$C$66:$C$99),0)),0)),IF($C530&gt;2,(O530-S530)*(IFERROR(INDEX('TaxCred&amp;Subs'!$J$66:$J$99,MATCH(1,($C530&amp;$D530='TaxCred&amp;Subs'!$D$66:$D$99)*($F530='TaxCred&amp;Subs'!$C$66:$C$99),0)),0)),0))),0)</f>
        <v>0</v>
      </c>
      <c r="R530" s="170">
        <f t="array" ref="R530">ROUND(IF(IFERROR(VALUE(RIGHT($AD530,1)),0)&gt;2,IF($C530=8,N530*IFERROR(INDEX('TaxCred&amp;Subs'!$K$139:$S$151,MATCH($C530&amp;$D530&amp;LEFT($AD530,7),'TaxCred&amp;Subs'!$E$139:$E$151,0),MATCH($H530,'TaxCred&amp;Subs'!$K$137:$S$137,0)),0),IF($C530=2,N530*IFERROR(INDEX('TaxCred&amp;Subs'!$K$139:$S$151,MATCH($C530&amp;$D530,'TaxCred&amp;Subs'!$D$139:$D$151,0),MATCH($H530,'TaxCred&amp;Subs'!$K$137:$S$137,0)),0),N530*IFERROR(INDEX('TaxCred&amp;Subs'!$K$139:$S$151,MATCH($C530&amp;$D530,'TaxCred&amp;Subs'!$C$139:$C$151,0),MATCH($H530,'TaxCred&amp;Subs'!$K$137:$S$137,0)),0))),0),0)</f>
        <v>2486</v>
      </c>
      <c r="S530" s="170">
        <f t="array" ref="S530">ROUND(IF(IFERROR(VALUE(RIGHT($AD530,1)),0)&gt;2,IF($C530=8,O530*IFERROR(INDEX('TaxCred&amp;Subs'!$K$139:$S$151,MATCH($C530&amp;$D530&amp;LEFT($AD530,7),'TaxCred&amp;Subs'!$E$139:$E$151,0),MATCH($H530,'TaxCred&amp;Subs'!$K$137:$S$137,0)),0),IF($C530=2,O530*IFERROR(INDEX('TaxCred&amp;Subs'!$K$139:$S$151,MATCH($C530&amp;$D530,'TaxCred&amp;Subs'!$D$139:$D$151,0),MATCH($H530,'TaxCred&amp;Subs'!$K$137:$S$137,0)),0),O530*IFERROR(INDEX('TaxCred&amp;Subs'!$K$139:$S$151,MATCH($C530&amp;$D530,'TaxCred&amp;Subs'!$C$139:$C$151,0),MATCH($H530,'TaxCred&amp;Subs'!$K$137:$S$137,0)),0))),0),0)</f>
        <v>0</v>
      </c>
      <c r="T530" s="95">
        <f t="shared" si="30"/>
        <v>0</v>
      </c>
      <c r="U530" s="95">
        <f t="shared" si="31"/>
        <v>0</v>
      </c>
      <c r="V530" s="28" t="s">
        <v>222</v>
      </c>
      <c r="W530" s="31">
        <v>2020</v>
      </c>
      <c r="X530" s="28">
        <v>1</v>
      </c>
      <c r="Y530" s="28">
        <v>0</v>
      </c>
      <c r="Z530" s="196">
        <v>-2.1513024844954491E-4</v>
      </c>
      <c r="AA530" s="196">
        <v>-3.3096961299929986E-3</v>
      </c>
      <c r="AB530" s="28">
        <v>0</v>
      </c>
      <c r="AC530" s="28">
        <v>0</v>
      </c>
      <c r="AD530" s="28" t="s">
        <v>337</v>
      </c>
    </row>
    <row r="531" spans="2:30" ht="14.25" customHeight="1" x14ac:dyDescent="0.2">
      <c r="B531" s="7">
        <f t="shared" si="29"/>
        <v>507</v>
      </c>
      <c r="C531" s="28">
        <v>2</v>
      </c>
      <c r="D531" s="28">
        <v>4</v>
      </c>
      <c r="E531" s="31">
        <v>15</v>
      </c>
      <c r="F531" s="78">
        <v>2022</v>
      </c>
      <c r="G531" s="28">
        <v>2032</v>
      </c>
      <c r="H531" s="28">
        <v>2</v>
      </c>
      <c r="I531" s="96">
        <v>50</v>
      </c>
      <c r="J531" s="31">
        <v>34</v>
      </c>
      <c r="K531" s="28">
        <v>0</v>
      </c>
      <c r="L531" s="28">
        <v>0</v>
      </c>
      <c r="M531" s="156">
        <v>22.03</v>
      </c>
      <c r="N531" s="151">
        <v>10027.5</v>
      </c>
      <c r="O531" s="79">
        <v>0</v>
      </c>
      <c r="P531" s="95">
        <f t="array" ref="P531">ROUND(IF($F531&lt;='TaxCred&amp;Subs'!$C$49,(IF($C531=2,IF($M531&gt;=IFERROR(INDEX('TaxCred&amp;Subs'!$L$12:$L$47,MATCH(1,($C531&amp;$D531='TaxCred&amp;Subs'!$E$12:$E$47)*($F531='TaxCred&amp;Subs'!$C$12:$C$47),0)
),9999),IFERROR(INDEX('TaxCred&amp;Subs'!$N$12:$N$47,MATCH(1,($C531&amp;$D531='TaxCred&amp;Subs'!$E$12:$E$47)*($F531='TaxCred&amp;Subs'!$C$12:$C$47),0)
),0),0),(IF($M531&gt;=IFERROR(INDEX('TaxCred&amp;Subs'!$H$12:$H$47,MATCH(1,($C531&amp;$D531='TaxCred&amp;Subs'!$D$12:$D$47)*($F531='TaxCred&amp;Subs'!$C$12:$C$47),0)
),9999),IFERROR(INDEX('TaxCred&amp;Subs'!$N$12:$N$47,MATCH(1,($C531&amp;$D531='TaxCred&amp;Subs'!$D$12:$D$47)*($F531='TaxCred&amp;Subs'!$C$12:$C$47),0)
),0),0)))),0)+IF(AND($C531=2,VALUE(RIGHT($AD531,1))&gt;2),(N531-R531)*(IFERROR(INDEX('TaxCred&amp;Subs'!$J$66:$J$99,MATCH(1,($C531&amp;$D531='TaxCred&amp;Subs'!$E$66:$E$99)*($F531='TaxCred&amp;Subs'!$C$66:$C$99),0)),0)),IF(AND($C531=1,VALUE(RIGHT($AD531,1))&gt;2),(N531-R531)*(IFERROR(INDEX('TaxCred&amp;Subs'!$J$66:$J$99,MATCH(1,($C531&amp;$D531='TaxCred&amp;Subs'!$D$66:$D$99)*($F531='TaxCred&amp;Subs'!$C$66:$C$99),0)),0)),IF($C531&gt;2,(N531-R531)*(IFERROR(INDEX('TaxCred&amp;Subs'!$J$66:$J$99,MATCH(1,($C531&amp;$D531='TaxCred&amp;Subs'!$D$66:$D$99)*($F531='TaxCred&amp;Subs'!$C$66:$C$99),0)),0)),0))),0)</f>
        <v>2700</v>
      </c>
      <c r="Q531" s="95">
        <f t="array" ref="Q531">ROUND(IF(AND($C531=2,VALUE(RIGHT($AD531,1))&gt;2),(O531-S531)*(IFERROR(INDEX('TaxCred&amp;Subs'!$J$66:$J$99,MATCH(1,($C531&amp;$D531='TaxCred&amp;Subs'!$E$66:$E$99)*($F531='TaxCred&amp;Subs'!$C$66:$C$99),0)),0)),IF(AND($C531=1,VALUE(RIGHT($AD531,1))&gt;2),(O531-S531)*(IFERROR(INDEX('TaxCred&amp;Subs'!$J$66:$J$99,MATCH(1,($C531&amp;$D531='TaxCred&amp;Subs'!$D$66:$D$99)*($F531='TaxCred&amp;Subs'!$C$66:$C$99),0)),0)),IF($C531&gt;2,(O531-S531)*(IFERROR(INDEX('TaxCred&amp;Subs'!$J$66:$J$99,MATCH(1,($C531&amp;$D531='TaxCred&amp;Subs'!$D$66:$D$99)*($F531='TaxCred&amp;Subs'!$C$66:$C$99),0)),0)),0))),0)</f>
        <v>0</v>
      </c>
      <c r="R531" s="170">
        <f t="array" ref="R531">ROUND(IF(IFERROR(VALUE(RIGHT($AD531,1)),0)&gt;2,IF($C531=8,N531*IFERROR(INDEX('TaxCred&amp;Subs'!$K$139:$S$151,MATCH($C531&amp;$D531&amp;LEFT($AD531,7),'TaxCred&amp;Subs'!$E$139:$E$151,0),MATCH($H531,'TaxCred&amp;Subs'!$K$137:$S$137,0)),0),IF($C531=2,N531*IFERROR(INDEX('TaxCred&amp;Subs'!$K$139:$S$151,MATCH($C531&amp;$D531,'TaxCred&amp;Subs'!$D$139:$D$151,0),MATCH($H531,'TaxCred&amp;Subs'!$K$137:$S$137,0)),0),N531*IFERROR(INDEX('TaxCred&amp;Subs'!$K$139:$S$151,MATCH($C531&amp;$D531,'TaxCred&amp;Subs'!$C$139:$C$151,0),MATCH($H531,'TaxCred&amp;Subs'!$K$137:$S$137,0)),0))),0),0)</f>
        <v>1026</v>
      </c>
      <c r="S531" s="170">
        <f t="array" ref="S531">ROUND(IF(IFERROR(VALUE(RIGHT($AD531,1)),0)&gt;2,IF($C531=8,O531*IFERROR(INDEX('TaxCred&amp;Subs'!$K$139:$S$151,MATCH($C531&amp;$D531&amp;LEFT($AD531,7),'TaxCred&amp;Subs'!$E$139:$E$151,0),MATCH($H531,'TaxCred&amp;Subs'!$K$137:$S$137,0)),0),IF($C531=2,O531*IFERROR(INDEX('TaxCred&amp;Subs'!$K$139:$S$151,MATCH($C531&amp;$D531,'TaxCred&amp;Subs'!$D$139:$D$151,0),MATCH($H531,'TaxCred&amp;Subs'!$K$137:$S$137,0)),0),O531*IFERROR(INDEX('TaxCred&amp;Subs'!$K$139:$S$151,MATCH($C531&amp;$D531,'TaxCred&amp;Subs'!$C$139:$C$151,0),MATCH($H531,'TaxCred&amp;Subs'!$K$137:$S$137,0)),0))),0),0)</f>
        <v>0</v>
      </c>
      <c r="T531" s="95">
        <f t="shared" si="30"/>
        <v>0</v>
      </c>
      <c r="U531" s="95">
        <f t="shared" si="31"/>
        <v>0</v>
      </c>
      <c r="V531" s="28" t="s">
        <v>222</v>
      </c>
      <c r="W531" s="31">
        <v>2020</v>
      </c>
      <c r="X531" s="28">
        <v>1</v>
      </c>
      <c r="Y531" s="28">
        <v>0</v>
      </c>
      <c r="Z531" s="196">
        <v>-2.1513024844954491E-4</v>
      </c>
      <c r="AA531" s="196">
        <v>-3.3096961299929986E-3</v>
      </c>
      <c r="AB531" s="28">
        <v>0</v>
      </c>
      <c r="AC531" s="28">
        <v>0</v>
      </c>
      <c r="AD531" s="28" t="s">
        <v>337</v>
      </c>
    </row>
    <row r="532" spans="2:30" ht="14.25" customHeight="1" x14ac:dyDescent="0.2">
      <c r="B532" s="7">
        <f t="shared" si="29"/>
        <v>508</v>
      </c>
      <c r="C532" s="28">
        <v>2</v>
      </c>
      <c r="D532" s="28">
        <v>4</v>
      </c>
      <c r="E532" s="31">
        <v>15</v>
      </c>
      <c r="F532" s="78">
        <v>2022</v>
      </c>
      <c r="G532" s="28">
        <v>2032</v>
      </c>
      <c r="H532" s="28">
        <v>3</v>
      </c>
      <c r="I532" s="96">
        <v>50</v>
      </c>
      <c r="J532" s="31">
        <v>34</v>
      </c>
      <c r="K532" s="28">
        <v>0</v>
      </c>
      <c r="L532" s="28">
        <v>0</v>
      </c>
      <c r="M532" s="156">
        <v>22.03</v>
      </c>
      <c r="N532" s="151">
        <v>10027.5</v>
      </c>
      <c r="O532" s="79">
        <v>0</v>
      </c>
      <c r="P532" s="95">
        <f t="array" ref="P532">ROUND(IF($F532&lt;='TaxCred&amp;Subs'!$C$49,(IF($C532=2,IF($M532&gt;=IFERROR(INDEX('TaxCred&amp;Subs'!$L$12:$L$47,MATCH(1,($C532&amp;$D532='TaxCred&amp;Subs'!$E$12:$E$47)*($F532='TaxCred&amp;Subs'!$C$12:$C$47),0)
),9999),IFERROR(INDEX('TaxCred&amp;Subs'!$N$12:$N$47,MATCH(1,($C532&amp;$D532='TaxCred&amp;Subs'!$E$12:$E$47)*($F532='TaxCred&amp;Subs'!$C$12:$C$47),0)
),0),0),(IF($M532&gt;=IFERROR(INDEX('TaxCred&amp;Subs'!$H$12:$H$47,MATCH(1,($C532&amp;$D532='TaxCred&amp;Subs'!$D$12:$D$47)*($F532='TaxCred&amp;Subs'!$C$12:$C$47),0)
),9999),IFERROR(INDEX('TaxCred&amp;Subs'!$N$12:$N$47,MATCH(1,($C532&amp;$D532='TaxCred&amp;Subs'!$D$12:$D$47)*($F532='TaxCred&amp;Subs'!$C$12:$C$47),0)
),0),0)))),0)+IF(AND($C532=2,VALUE(RIGHT($AD532,1))&gt;2),(N532-R532)*(IFERROR(INDEX('TaxCred&amp;Subs'!$J$66:$J$99,MATCH(1,($C532&amp;$D532='TaxCred&amp;Subs'!$E$66:$E$99)*($F532='TaxCred&amp;Subs'!$C$66:$C$99),0)),0)),IF(AND($C532=1,VALUE(RIGHT($AD532,1))&gt;2),(N532-R532)*(IFERROR(INDEX('TaxCred&amp;Subs'!$J$66:$J$99,MATCH(1,($C532&amp;$D532='TaxCred&amp;Subs'!$D$66:$D$99)*($F532='TaxCred&amp;Subs'!$C$66:$C$99),0)),0)),IF($C532&gt;2,(N532-R532)*(IFERROR(INDEX('TaxCred&amp;Subs'!$J$66:$J$99,MATCH(1,($C532&amp;$D532='TaxCred&amp;Subs'!$D$66:$D$99)*($F532='TaxCred&amp;Subs'!$C$66:$C$99),0)),0)),0))),0)</f>
        <v>2766</v>
      </c>
      <c r="Q532" s="95">
        <f t="array" ref="Q532">ROUND(IF(AND($C532=2,VALUE(RIGHT($AD532,1))&gt;2),(O532-S532)*(IFERROR(INDEX('TaxCred&amp;Subs'!$J$66:$J$99,MATCH(1,($C532&amp;$D532='TaxCred&amp;Subs'!$E$66:$E$99)*($F532='TaxCred&amp;Subs'!$C$66:$C$99),0)),0)),IF(AND($C532=1,VALUE(RIGHT($AD532,1))&gt;2),(O532-S532)*(IFERROR(INDEX('TaxCred&amp;Subs'!$J$66:$J$99,MATCH(1,($C532&amp;$D532='TaxCred&amp;Subs'!$D$66:$D$99)*($F532='TaxCred&amp;Subs'!$C$66:$C$99),0)),0)),IF($C532&gt;2,(O532-S532)*(IFERROR(INDEX('TaxCred&amp;Subs'!$J$66:$J$99,MATCH(1,($C532&amp;$D532='TaxCred&amp;Subs'!$D$66:$D$99)*($F532='TaxCred&amp;Subs'!$C$66:$C$99),0)),0)),0))),0)</f>
        <v>0</v>
      </c>
      <c r="R532" s="170">
        <f t="array" ref="R532">ROUND(IF(IFERROR(VALUE(RIGHT($AD532,1)),0)&gt;2,IF($C532=8,N532*IFERROR(INDEX('TaxCred&amp;Subs'!$K$139:$S$151,MATCH($C532&amp;$D532&amp;LEFT($AD532,7),'TaxCred&amp;Subs'!$E$139:$E$151,0),MATCH($H532,'TaxCred&amp;Subs'!$K$137:$S$137,0)),0),IF($C532=2,N532*IFERROR(INDEX('TaxCred&amp;Subs'!$K$139:$S$151,MATCH($C532&amp;$D532,'TaxCred&amp;Subs'!$D$139:$D$151,0),MATCH($H532,'TaxCred&amp;Subs'!$K$137:$S$137,0)),0),N532*IFERROR(INDEX('TaxCred&amp;Subs'!$K$139:$S$151,MATCH($C532&amp;$D532,'TaxCred&amp;Subs'!$C$139:$C$151,0),MATCH($H532,'TaxCred&amp;Subs'!$K$137:$S$137,0)),0))),0),0)</f>
        <v>807</v>
      </c>
      <c r="S532" s="170">
        <f t="array" ref="S532">ROUND(IF(IFERROR(VALUE(RIGHT($AD532,1)),0)&gt;2,IF($C532=8,O532*IFERROR(INDEX('TaxCred&amp;Subs'!$K$139:$S$151,MATCH($C532&amp;$D532&amp;LEFT($AD532,7),'TaxCred&amp;Subs'!$E$139:$E$151,0),MATCH($H532,'TaxCred&amp;Subs'!$K$137:$S$137,0)),0),IF($C532=2,O532*IFERROR(INDEX('TaxCred&amp;Subs'!$K$139:$S$151,MATCH($C532&amp;$D532,'TaxCred&amp;Subs'!$D$139:$D$151,0),MATCH($H532,'TaxCred&amp;Subs'!$K$137:$S$137,0)),0),O532*IFERROR(INDEX('TaxCred&amp;Subs'!$K$139:$S$151,MATCH($C532&amp;$D532,'TaxCred&amp;Subs'!$C$139:$C$151,0),MATCH($H532,'TaxCred&amp;Subs'!$K$137:$S$137,0)),0))),0),0)</f>
        <v>0</v>
      </c>
      <c r="T532" s="95">
        <f t="shared" si="30"/>
        <v>0</v>
      </c>
      <c r="U532" s="95">
        <f t="shared" si="31"/>
        <v>0</v>
      </c>
      <c r="V532" s="28" t="s">
        <v>222</v>
      </c>
      <c r="W532" s="31">
        <v>2020</v>
      </c>
      <c r="X532" s="28">
        <v>1</v>
      </c>
      <c r="Y532" s="28">
        <v>0</v>
      </c>
      <c r="Z532" s="196">
        <v>-2.1513024844954491E-4</v>
      </c>
      <c r="AA532" s="196">
        <v>-3.3096961299929986E-3</v>
      </c>
      <c r="AB532" s="28">
        <v>0</v>
      </c>
      <c r="AC532" s="28">
        <v>0</v>
      </c>
      <c r="AD532" s="28" t="s">
        <v>337</v>
      </c>
    </row>
    <row r="533" spans="2:30" ht="14.25" customHeight="1" x14ac:dyDescent="0.2">
      <c r="B533" s="7">
        <f t="shared" si="29"/>
        <v>509</v>
      </c>
      <c r="C533" s="28">
        <v>2</v>
      </c>
      <c r="D533" s="28">
        <v>4</v>
      </c>
      <c r="E533" s="31">
        <v>15</v>
      </c>
      <c r="F533" s="78">
        <v>2022</v>
      </c>
      <c r="G533" s="28">
        <v>2032</v>
      </c>
      <c r="H533" s="28">
        <v>4</v>
      </c>
      <c r="I533" s="96">
        <v>50</v>
      </c>
      <c r="J533" s="31">
        <v>34</v>
      </c>
      <c r="K533" s="28">
        <v>0</v>
      </c>
      <c r="L533" s="28">
        <v>0</v>
      </c>
      <c r="M533" s="156">
        <v>22.03</v>
      </c>
      <c r="N533" s="151">
        <v>10027.5</v>
      </c>
      <c r="O533" s="79">
        <v>0</v>
      </c>
      <c r="P533" s="95">
        <f t="array" ref="P533">ROUND(IF($F533&lt;='TaxCred&amp;Subs'!$C$49,(IF($C533=2,IF($M533&gt;=IFERROR(INDEX('TaxCred&amp;Subs'!$L$12:$L$47,MATCH(1,($C533&amp;$D533='TaxCred&amp;Subs'!$E$12:$E$47)*($F533='TaxCred&amp;Subs'!$C$12:$C$47),0)
),9999),IFERROR(INDEX('TaxCred&amp;Subs'!$N$12:$N$47,MATCH(1,($C533&amp;$D533='TaxCred&amp;Subs'!$E$12:$E$47)*($F533='TaxCred&amp;Subs'!$C$12:$C$47),0)
),0),0),(IF($M533&gt;=IFERROR(INDEX('TaxCred&amp;Subs'!$H$12:$H$47,MATCH(1,($C533&amp;$D533='TaxCred&amp;Subs'!$D$12:$D$47)*($F533='TaxCred&amp;Subs'!$C$12:$C$47),0)
),9999),IFERROR(INDEX('TaxCred&amp;Subs'!$N$12:$N$47,MATCH(1,($C533&amp;$D533='TaxCred&amp;Subs'!$D$12:$D$47)*($F533='TaxCred&amp;Subs'!$C$12:$C$47),0)
),0),0)))),0)+IF(AND($C533=2,VALUE(RIGHT($AD533,1))&gt;2),(N533-R533)*(IFERROR(INDEX('TaxCred&amp;Subs'!$J$66:$J$99,MATCH(1,($C533&amp;$D533='TaxCred&amp;Subs'!$E$66:$E$99)*($F533='TaxCred&amp;Subs'!$C$66:$C$99),0)),0)),IF(AND($C533=1,VALUE(RIGHT($AD533,1))&gt;2),(N533-R533)*(IFERROR(INDEX('TaxCred&amp;Subs'!$J$66:$J$99,MATCH(1,($C533&amp;$D533='TaxCred&amp;Subs'!$D$66:$D$99)*($F533='TaxCred&amp;Subs'!$C$66:$C$99),0)),0)),IF($C533&gt;2,(N533-R533)*(IFERROR(INDEX('TaxCred&amp;Subs'!$J$66:$J$99,MATCH(1,($C533&amp;$D533='TaxCred&amp;Subs'!$D$66:$D$99)*($F533='TaxCred&amp;Subs'!$C$66:$C$99),0)),0)),0))),0)</f>
        <v>2814</v>
      </c>
      <c r="Q533" s="95">
        <f t="array" ref="Q533">ROUND(IF(AND($C533=2,VALUE(RIGHT($AD533,1))&gt;2),(O533-S533)*(IFERROR(INDEX('TaxCred&amp;Subs'!$J$66:$J$99,MATCH(1,($C533&amp;$D533='TaxCred&amp;Subs'!$E$66:$E$99)*($F533='TaxCred&amp;Subs'!$C$66:$C$99),0)),0)),IF(AND($C533=1,VALUE(RIGHT($AD533,1))&gt;2),(O533-S533)*(IFERROR(INDEX('TaxCred&amp;Subs'!$J$66:$J$99,MATCH(1,($C533&amp;$D533='TaxCred&amp;Subs'!$D$66:$D$99)*($F533='TaxCred&amp;Subs'!$C$66:$C$99),0)),0)),IF($C533&gt;2,(O533-S533)*(IFERROR(INDEX('TaxCred&amp;Subs'!$J$66:$J$99,MATCH(1,($C533&amp;$D533='TaxCred&amp;Subs'!$D$66:$D$99)*($F533='TaxCred&amp;Subs'!$C$66:$C$99),0)),0)),0))),0)</f>
        <v>0</v>
      </c>
      <c r="R533" s="170">
        <f t="array" ref="R533">ROUND(IF(IFERROR(VALUE(RIGHT($AD533,1)),0)&gt;2,IF($C533=8,N533*IFERROR(INDEX('TaxCred&amp;Subs'!$K$139:$S$151,MATCH($C533&amp;$D533&amp;LEFT($AD533,7),'TaxCred&amp;Subs'!$E$139:$E$151,0),MATCH($H533,'TaxCred&amp;Subs'!$K$137:$S$137,0)),0),IF($C533=2,N533*IFERROR(INDEX('TaxCred&amp;Subs'!$K$139:$S$151,MATCH($C533&amp;$D533,'TaxCred&amp;Subs'!$D$139:$D$151,0),MATCH($H533,'TaxCred&amp;Subs'!$K$137:$S$137,0)),0),N533*IFERROR(INDEX('TaxCred&amp;Subs'!$K$139:$S$151,MATCH($C533&amp;$D533,'TaxCred&amp;Subs'!$C$139:$C$151,0),MATCH($H533,'TaxCred&amp;Subs'!$K$137:$S$137,0)),0))),0),0)</f>
        <v>646</v>
      </c>
      <c r="S533" s="170">
        <f t="array" ref="S533">ROUND(IF(IFERROR(VALUE(RIGHT($AD533,1)),0)&gt;2,IF($C533=8,O533*IFERROR(INDEX('TaxCred&amp;Subs'!$K$139:$S$151,MATCH($C533&amp;$D533&amp;LEFT($AD533,7),'TaxCred&amp;Subs'!$E$139:$E$151,0),MATCH($H533,'TaxCred&amp;Subs'!$K$137:$S$137,0)),0),IF($C533=2,O533*IFERROR(INDEX('TaxCred&amp;Subs'!$K$139:$S$151,MATCH($C533&amp;$D533,'TaxCred&amp;Subs'!$D$139:$D$151,0),MATCH($H533,'TaxCred&amp;Subs'!$K$137:$S$137,0)),0),O533*IFERROR(INDEX('TaxCred&amp;Subs'!$K$139:$S$151,MATCH($C533&amp;$D533,'TaxCred&amp;Subs'!$C$139:$C$151,0),MATCH($H533,'TaxCred&amp;Subs'!$K$137:$S$137,0)),0))),0),0)</f>
        <v>0</v>
      </c>
      <c r="T533" s="95">
        <f t="shared" si="30"/>
        <v>0</v>
      </c>
      <c r="U533" s="95">
        <f t="shared" si="31"/>
        <v>0</v>
      </c>
      <c r="V533" s="28" t="s">
        <v>222</v>
      </c>
      <c r="W533" s="31">
        <v>2020</v>
      </c>
      <c r="X533" s="28">
        <v>1</v>
      </c>
      <c r="Y533" s="28">
        <v>0</v>
      </c>
      <c r="Z533" s="196">
        <v>-2.1513024844954491E-4</v>
      </c>
      <c r="AA533" s="196">
        <v>-3.3096961299929986E-3</v>
      </c>
      <c r="AB533" s="28">
        <v>0</v>
      </c>
      <c r="AC533" s="28">
        <v>0</v>
      </c>
      <c r="AD533" s="28" t="s">
        <v>337</v>
      </c>
    </row>
    <row r="534" spans="2:30" ht="14.25" customHeight="1" x14ac:dyDescent="0.2">
      <c r="B534" s="7">
        <f t="shared" si="29"/>
        <v>510</v>
      </c>
      <c r="C534" s="28">
        <v>2</v>
      </c>
      <c r="D534" s="28">
        <v>4</v>
      </c>
      <c r="E534" s="31">
        <v>15</v>
      </c>
      <c r="F534" s="78">
        <v>2022</v>
      </c>
      <c r="G534" s="28">
        <v>2032</v>
      </c>
      <c r="H534" s="28">
        <v>5</v>
      </c>
      <c r="I534" s="96">
        <v>50</v>
      </c>
      <c r="J534" s="31">
        <v>34</v>
      </c>
      <c r="K534" s="28">
        <v>0</v>
      </c>
      <c r="L534" s="28">
        <v>0</v>
      </c>
      <c r="M534" s="156">
        <v>22.03</v>
      </c>
      <c r="N534" s="151">
        <v>10027.5</v>
      </c>
      <c r="O534" s="79">
        <v>0</v>
      </c>
      <c r="P534" s="95">
        <f t="array" ref="P534">ROUND(IF($F534&lt;='TaxCred&amp;Subs'!$C$49,(IF($C534=2,IF($M534&gt;=IFERROR(INDEX('TaxCred&amp;Subs'!$L$12:$L$47,MATCH(1,($C534&amp;$D534='TaxCred&amp;Subs'!$E$12:$E$47)*($F534='TaxCred&amp;Subs'!$C$12:$C$47),0)
),9999),IFERROR(INDEX('TaxCred&amp;Subs'!$N$12:$N$47,MATCH(1,($C534&amp;$D534='TaxCred&amp;Subs'!$E$12:$E$47)*($F534='TaxCred&amp;Subs'!$C$12:$C$47),0)
),0),0),(IF($M534&gt;=IFERROR(INDEX('TaxCred&amp;Subs'!$H$12:$H$47,MATCH(1,($C534&amp;$D534='TaxCred&amp;Subs'!$D$12:$D$47)*($F534='TaxCred&amp;Subs'!$C$12:$C$47),0)
),9999),IFERROR(INDEX('TaxCred&amp;Subs'!$N$12:$N$47,MATCH(1,($C534&amp;$D534='TaxCred&amp;Subs'!$D$12:$D$47)*($F534='TaxCred&amp;Subs'!$C$12:$C$47),0)
),0),0)))),0)+IF(AND($C534=2,VALUE(RIGHT($AD534,1))&gt;2),(N534-R534)*(IFERROR(INDEX('TaxCred&amp;Subs'!$J$66:$J$99,MATCH(1,($C534&amp;$D534='TaxCred&amp;Subs'!$E$66:$E$99)*($F534='TaxCred&amp;Subs'!$C$66:$C$99),0)),0)),IF(AND($C534=1,VALUE(RIGHT($AD534,1))&gt;2),(N534-R534)*(IFERROR(INDEX('TaxCred&amp;Subs'!$J$66:$J$99,MATCH(1,($C534&amp;$D534='TaxCred&amp;Subs'!$D$66:$D$99)*($F534='TaxCred&amp;Subs'!$C$66:$C$99),0)),0)),IF($C534&gt;2,(N534-R534)*(IFERROR(INDEX('TaxCred&amp;Subs'!$J$66:$J$99,MATCH(1,($C534&amp;$D534='TaxCred&amp;Subs'!$D$66:$D$99)*($F534='TaxCred&amp;Subs'!$C$66:$C$99),0)),0)),0))),0)</f>
        <v>2799</v>
      </c>
      <c r="Q534" s="95">
        <f t="array" ref="Q534">ROUND(IF(AND($C534=2,VALUE(RIGHT($AD534,1))&gt;2),(O534-S534)*(IFERROR(INDEX('TaxCred&amp;Subs'!$J$66:$J$99,MATCH(1,($C534&amp;$D534='TaxCred&amp;Subs'!$E$66:$E$99)*($F534='TaxCred&amp;Subs'!$C$66:$C$99),0)),0)),IF(AND($C534=1,VALUE(RIGHT($AD534,1))&gt;2),(O534-S534)*(IFERROR(INDEX('TaxCred&amp;Subs'!$J$66:$J$99,MATCH(1,($C534&amp;$D534='TaxCred&amp;Subs'!$D$66:$D$99)*($F534='TaxCred&amp;Subs'!$C$66:$C$99),0)),0)),IF($C534&gt;2,(O534-S534)*(IFERROR(INDEX('TaxCred&amp;Subs'!$J$66:$J$99,MATCH(1,($C534&amp;$D534='TaxCred&amp;Subs'!$D$66:$D$99)*($F534='TaxCred&amp;Subs'!$C$66:$C$99),0)),0)),0))),0)</f>
        <v>0</v>
      </c>
      <c r="R534" s="170">
        <f t="array" ref="R534">ROUND(IF(IFERROR(VALUE(RIGHT($AD534,1)),0)&gt;2,IF($C534=8,N534*IFERROR(INDEX('TaxCred&amp;Subs'!$K$139:$S$151,MATCH($C534&amp;$D534&amp;LEFT($AD534,7),'TaxCred&amp;Subs'!$E$139:$E$151,0),MATCH($H534,'TaxCred&amp;Subs'!$K$137:$S$137,0)),0),IF($C534=2,N534*IFERROR(INDEX('TaxCred&amp;Subs'!$K$139:$S$151,MATCH($C534&amp;$D534,'TaxCred&amp;Subs'!$D$139:$D$151,0),MATCH($H534,'TaxCred&amp;Subs'!$K$137:$S$137,0)),0),N534*IFERROR(INDEX('TaxCred&amp;Subs'!$K$139:$S$151,MATCH($C534&amp;$D534,'TaxCred&amp;Subs'!$C$139:$C$151,0),MATCH($H534,'TaxCred&amp;Subs'!$K$137:$S$137,0)),0))),0),0)</f>
        <v>699</v>
      </c>
      <c r="S534" s="170">
        <f t="array" ref="S534">ROUND(IF(IFERROR(VALUE(RIGHT($AD534,1)),0)&gt;2,IF($C534=8,O534*IFERROR(INDEX('TaxCred&amp;Subs'!$K$139:$S$151,MATCH($C534&amp;$D534&amp;LEFT($AD534,7),'TaxCred&amp;Subs'!$E$139:$E$151,0),MATCH($H534,'TaxCred&amp;Subs'!$K$137:$S$137,0)),0),IF($C534=2,O534*IFERROR(INDEX('TaxCred&amp;Subs'!$K$139:$S$151,MATCH($C534&amp;$D534,'TaxCred&amp;Subs'!$D$139:$D$151,0),MATCH($H534,'TaxCred&amp;Subs'!$K$137:$S$137,0)),0),O534*IFERROR(INDEX('TaxCred&amp;Subs'!$K$139:$S$151,MATCH($C534&amp;$D534,'TaxCred&amp;Subs'!$C$139:$C$151,0),MATCH($H534,'TaxCred&amp;Subs'!$K$137:$S$137,0)),0))),0),0)</f>
        <v>0</v>
      </c>
      <c r="T534" s="95">
        <f t="shared" si="30"/>
        <v>0</v>
      </c>
      <c r="U534" s="95">
        <f t="shared" si="31"/>
        <v>0</v>
      </c>
      <c r="V534" s="28" t="s">
        <v>222</v>
      </c>
      <c r="W534" s="31">
        <v>2020</v>
      </c>
      <c r="X534" s="28">
        <v>1</v>
      </c>
      <c r="Y534" s="28">
        <v>0</v>
      </c>
      <c r="Z534" s="196">
        <v>-2.1513024844954491E-4</v>
      </c>
      <c r="AA534" s="196">
        <v>-3.3096961299929986E-3</v>
      </c>
      <c r="AB534" s="28">
        <v>0</v>
      </c>
      <c r="AC534" s="28">
        <v>0</v>
      </c>
      <c r="AD534" s="28" t="s">
        <v>337</v>
      </c>
    </row>
    <row r="535" spans="2:30" ht="14.25" customHeight="1" x14ac:dyDescent="0.2">
      <c r="B535" s="7">
        <f t="shared" si="29"/>
        <v>511</v>
      </c>
      <c r="C535" s="28">
        <v>2</v>
      </c>
      <c r="D535" s="28">
        <v>4</v>
      </c>
      <c r="E535" s="31">
        <v>15</v>
      </c>
      <c r="F535" s="78">
        <v>2022</v>
      </c>
      <c r="G535" s="28">
        <v>2032</v>
      </c>
      <c r="H535" s="28">
        <v>6</v>
      </c>
      <c r="I535" s="96">
        <v>50</v>
      </c>
      <c r="J535" s="31">
        <v>34</v>
      </c>
      <c r="K535" s="28">
        <v>0</v>
      </c>
      <c r="L535" s="28">
        <v>0</v>
      </c>
      <c r="M535" s="156">
        <v>22.03</v>
      </c>
      <c r="N535" s="151">
        <v>10027.5</v>
      </c>
      <c r="O535" s="79">
        <v>0</v>
      </c>
      <c r="P535" s="95">
        <f t="array" ref="P535">ROUND(IF($F535&lt;='TaxCred&amp;Subs'!$C$49,(IF($C535=2,IF($M535&gt;=IFERROR(INDEX('TaxCred&amp;Subs'!$L$12:$L$47,MATCH(1,($C535&amp;$D535='TaxCred&amp;Subs'!$E$12:$E$47)*($F535='TaxCred&amp;Subs'!$C$12:$C$47),0)
),9999),IFERROR(INDEX('TaxCred&amp;Subs'!$N$12:$N$47,MATCH(1,($C535&amp;$D535='TaxCred&amp;Subs'!$E$12:$E$47)*($F535='TaxCred&amp;Subs'!$C$12:$C$47),0)
),0),0),(IF($M535&gt;=IFERROR(INDEX('TaxCred&amp;Subs'!$H$12:$H$47,MATCH(1,($C535&amp;$D535='TaxCred&amp;Subs'!$D$12:$D$47)*($F535='TaxCred&amp;Subs'!$C$12:$C$47),0)
),9999),IFERROR(INDEX('TaxCred&amp;Subs'!$N$12:$N$47,MATCH(1,($C535&amp;$D535='TaxCred&amp;Subs'!$D$12:$D$47)*($F535='TaxCred&amp;Subs'!$C$12:$C$47),0)
),0),0)))),0)+IF(AND($C535=2,VALUE(RIGHT($AD535,1))&gt;2),(N535-R535)*(IFERROR(INDEX('TaxCred&amp;Subs'!$J$66:$J$99,MATCH(1,($C535&amp;$D535='TaxCred&amp;Subs'!$E$66:$E$99)*($F535='TaxCred&amp;Subs'!$C$66:$C$99),0)),0)),IF(AND($C535=1,VALUE(RIGHT($AD535,1))&gt;2),(N535-R535)*(IFERROR(INDEX('TaxCred&amp;Subs'!$J$66:$J$99,MATCH(1,($C535&amp;$D535='TaxCred&amp;Subs'!$D$66:$D$99)*($F535='TaxCred&amp;Subs'!$C$66:$C$99),0)),0)),IF($C535&gt;2,(N535-R535)*(IFERROR(INDEX('TaxCred&amp;Subs'!$J$66:$J$99,MATCH(1,($C535&amp;$D535='TaxCred&amp;Subs'!$D$66:$D$99)*($F535='TaxCred&amp;Subs'!$C$66:$C$99),0)),0)),0))),0)</f>
        <v>2743</v>
      </c>
      <c r="Q535" s="95">
        <f t="array" ref="Q535">ROUND(IF(AND($C535=2,VALUE(RIGHT($AD535,1))&gt;2),(O535-S535)*(IFERROR(INDEX('TaxCred&amp;Subs'!$J$66:$J$99,MATCH(1,($C535&amp;$D535='TaxCred&amp;Subs'!$E$66:$E$99)*($F535='TaxCred&amp;Subs'!$C$66:$C$99),0)),0)),IF(AND($C535=1,VALUE(RIGHT($AD535,1))&gt;2),(O535-S535)*(IFERROR(INDEX('TaxCred&amp;Subs'!$J$66:$J$99,MATCH(1,($C535&amp;$D535='TaxCred&amp;Subs'!$D$66:$D$99)*($F535='TaxCred&amp;Subs'!$C$66:$C$99),0)),0)),IF($C535&gt;2,(O535-S535)*(IFERROR(INDEX('TaxCred&amp;Subs'!$J$66:$J$99,MATCH(1,($C535&amp;$D535='TaxCred&amp;Subs'!$D$66:$D$99)*($F535='TaxCred&amp;Subs'!$C$66:$C$99),0)),0)),0))),0)</f>
        <v>0</v>
      </c>
      <c r="R535" s="170">
        <f t="array" ref="R535">ROUND(IF(IFERROR(VALUE(RIGHT($AD535,1)),0)&gt;2,IF($C535=8,N535*IFERROR(INDEX('TaxCred&amp;Subs'!$K$139:$S$151,MATCH($C535&amp;$D535&amp;LEFT($AD535,7),'TaxCred&amp;Subs'!$E$139:$E$151,0),MATCH($H535,'TaxCred&amp;Subs'!$K$137:$S$137,0)),0),IF($C535=2,N535*IFERROR(INDEX('TaxCred&amp;Subs'!$K$139:$S$151,MATCH($C535&amp;$D535,'TaxCred&amp;Subs'!$D$139:$D$151,0),MATCH($H535,'TaxCred&amp;Subs'!$K$137:$S$137,0)),0),N535*IFERROR(INDEX('TaxCred&amp;Subs'!$K$139:$S$151,MATCH($C535&amp;$D535,'TaxCred&amp;Subs'!$C$139:$C$151,0),MATCH($H535,'TaxCred&amp;Subs'!$K$137:$S$137,0)),0))),0),0)</f>
        <v>884</v>
      </c>
      <c r="S535" s="170">
        <f t="array" ref="S535">ROUND(IF(IFERROR(VALUE(RIGHT($AD535,1)),0)&gt;2,IF($C535=8,O535*IFERROR(INDEX('TaxCred&amp;Subs'!$K$139:$S$151,MATCH($C535&amp;$D535&amp;LEFT($AD535,7),'TaxCred&amp;Subs'!$E$139:$E$151,0),MATCH($H535,'TaxCred&amp;Subs'!$K$137:$S$137,0)),0),IF($C535=2,O535*IFERROR(INDEX('TaxCred&amp;Subs'!$K$139:$S$151,MATCH($C535&amp;$D535,'TaxCred&amp;Subs'!$D$139:$D$151,0),MATCH($H535,'TaxCred&amp;Subs'!$K$137:$S$137,0)),0),O535*IFERROR(INDEX('TaxCred&amp;Subs'!$K$139:$S$151,MATCH($C535&amp;$D535,'TaxCred&amp;Subs'!$C$139:$C$151,0),MATCH($H535,'TaxCred&amp;Subs'!$K$137:$S$137,0)),0))),0),0)</f>
        <v>0</v>
      </c>
      <c r="T535" s="95">
        <f t="shared" si="30"/>
        <v>0</v>
      </c>
      <c r="U535" s="95">
        <f t="shared" si="31"/>
        <v>0</v>
      </c>
      <c r="V535" s="28" t="s">
        <v>222</v>
      </c>
      <c r="W535" s="31">
        <v>2020</v>
      </c>
      <c r="X535" s="28">
        <v>1</v>
      </c>
      <c r="Y535" s="28">
        <v>0</v>
      </c>
      <c r="Z535" s="196">
        <v>-2.1513024844954491E-4</v>
      </c>
      <c r="AA535" s="196">
        <v>-3.3096961299929986E-3</v>
      </c>
      <c r="AB535" s="28">
        <v>0</v>
      </c>
      <c r="AC535" s="28">
        <v>0</v>
      </c>
      <c r="AD535" s="28" t="s">
        <v>337</v>
      </c>
    </row>
    <row r="536" spans="2:30" ht="14.25" customHeight="1" x14ac:dyDescent="0.2">
      <c r="B536" s="7">
        <f t="shared" si="29"/>
        <v>512</v>
      </c>
      <c r="C536" s="28">
        <v>2</v>
      </c>
      <c r="D536" s="28">
        <v>4</v>
      </c>
      <c r="E536" s="31">
        <v>15</v>
      </c>
      <c r="F536" s="78">
        <v>2022</v>
      </c>
      <c r="G536" s="28">
        <v>2032</v>
      </c>
      <c r="H536" s="28">
        <v>7</v>
      </c>
      <c r="I536" s="96">
        <v>50</v>
      </c>
      <c r="J536" s="31">
        <v>34</v>
      </c>
      <c r="K536" s="28">
        <v>0</v>
      </c>
      <c r="L536" s="28">
        <v>0</v>
      </c>
      <c r="M536" s="156">
        <v>22.03</v>
      </c>
      <c r="N536" s="151">
        <v>10027.5</v>
      </c>
      <c r="O536" s="79">
        <v>0</v>
      </c>
      <c r="P536" s="95">
        <f t="array" ref="P536">ROUND(IF($F536&lt;='TaxCred&amp;Subs'!$C$49,(IF($C536=2,IF($M536&gt;=IFERROR(INDEX('TaxCred&amp;Subs'!$L$12:$L$47,MATCH(1,($C536&amp;$D536='TaxCred&amp;Subs'!$E$12:$E$47)*($F536='TaxCred&amp;Subs'!$C$12:$C$47),0)
),9999),IFERROR(INDEX('TaxCred&amp;Subs'!$N$12:$N$47,MATCH(1,($C536&amp;$D536='TaxCred&amp;Subs'!$E$12:$E$47)*($F536='TaxCred&amp;Subs'!$C$12:$C$47),0)
),0),0),(IF($M536&gt;=IFERROR(INDEX('TaxCred&amp;Subs'!$H$12:$H$47,MATCH(1,($C536&amp;$D536='TaxCred&amp;Subs'!$D$12:$D$47)*($F536='TaxCred&amp;Subs'!$C$12:$C$47),0)
),9999),IFERROR(INDEX('TaxCred&amp;Subs'!$N$12:$N$47,MATCH(1,($C536&amp;$D536='TaxCred&amp;Subs'!$D$12:$D$47)*($F536='TaxCred&amp;Subs'!$C$12:$C$47),0)
),0),0)))),0)+IF(AND($C536=2,VALUE(RIGHT($AD536,1))&gt;2),(N536-R536)*(IFERROR(INDEX('TaxCred&amp;Subs'!$J$66:$J$99,MATCH(1,($C536&amp;$D536='TaxCred&amp;Subs'!$E$66:$E$99)*($F536='TaxCred&amp;Subs'!$C$66:$C$99),0)),0)),IF(AND($C536=1,VALUE(RIGHT($AD536,1))&gt;2),(N536-R536)*(IFERROR(INDEX('TaxCred&amp;Subs'!$J$66:$J$99,MATCH(1,($C536&amp;$D536='TaxCred&amp;Subs'!$D$66:$D$99)*($F536='TaxCred&amp;Subs'!$C$66:$C$99),0)),0)),IF($C536&gt;2,(N536-R536)*(IFERROR(INDEX('TaxCred&amp;Subs'!$J$66:$J$99,MATCH(1,($C536&amp;$D536='TaxCred&amp;Subs'!$D$66:$D$99)*($F536='TaxCred&amp;Subs'!$C$66:$C$99),0)),0)),0))),0)</f>
        <v>2897</v>
      </c>
      <c r="Q536" s="95">
        <f t="array" ref="Q536">ROUND(IF(AND($C536=2,VALUE(RIGHT($AD536,1))&gt;2),(O536-S536)*(IFERROR(INDEX('TaxCred&amp;Subs'!$J$66:$J$99,MATCH(1,($C536&amp;$D536='TaxCred&amp;Subs'!$E$66:$E$99)*($F536='TaxCred&amp;Subs'!$C$66:$C$99),0)),0)),IF(AND($C536=1,VALUE(RIGHT($AD536,1))&gt;2),(O536-S536)*(IFERROR(INDEX('TaxCred&amp;Subs'!$J$66:$J$99,MATCH(1,($C536&amp;$D536='TaxCred&amp;Subs'!$D$66:$D$99)*($F536='TaxCred&amp;Subs'!$C$66:$C$99),0)),0)),IF($C536&gt;2,(O536-S536)*(IFERROR(INDEX('TaxCred&amp;Subs'!$J$66:$J$99,MATCH(1,($C536&amp;$D536='TaxCred&amp;Subs'!$D$66:$D$99)*($F536='TaxCred&amp;Subs'!$C$66:$C$99),0)),0)),0))),0)</f>
        <v>0</v>
      </c>
      <c r="R536" s="170">
        <f t="array" ref="R536">ROUND(IF(IFERROR(VALUE(RIGHT($AD536,1)),0)&gt;2,IF($C536=8,N536*IFERROR(INDEX('TaxCred&amp;Subs'!$K$139:$S$151,MATCH($C536&amp;$D536&amp;LEFT($AD536,7),'TaxCred&amp;Subs'!$E$139:$E$151,0),MATCH($H536,'TaxCred&amp;Subs'!$K$137:$S$137,0)),0),IF($C536=2,N536*IFERROR(INDEX('TaxCred&amp;Subs'!$K$139:$S$151,MATCH($C536&amp;$D536,'TaxCred&amp;Subs'!$D$139:$D$151,0),MATCH($H536,'TaxCred&amp;Subs'!$K$137:$S$137,0)),0),N536*IFERROR(INDEX('TaxCred&amp;Subs'!$K$139:$S$151,MATCH($C536&amp;$D536,'TaxCred&amp;Subs'!$C$139:$C$151,0),MATCH($H536,'TaxCred&amp;Subs'!$K$137:$S$137,0)),0))),0),0)</f>
        <v>370</v>
      </c>
      <c r="S536" s="170">
        <f t="array" ref="S536">ROUND(IF(IFERROR(VALUE(RIGHT($AD536,1)),0)&gt;2,IF($C536=8,O536*IFERROR(INDEX('TaxCred&amp;Subs'!$K$139:$S$151,MATCH($C536&amp;$D536&amp;LEFT($AD536,7),'TaxCred&amp;Subs'!$E$139:$E$151,0),MATCH($H536,'TaxCred&amp;Subs'!$K$137:$S$137,0)),0),IF($C536=2,O536*IFERROR(INDEX('TaxCred&amp;Subs'!$K$139:$S$151,MATCH($C536&amp;$D536,'TaxCred&amp;Subs'!$D$139:$D$151,0),MATCH($H536,'TaxCred&amp;Subs'!$K$137:$S$137,0)),0),O536*IFERROR(INDEX('TaxCred&amp;Subs'!$K$139:$S$151,MATCH($C536&amp;$D536,'TaxCred&amp;Subs'!$C$139:$C$151,0),MATCH($H536,'TaxCred&amp;Subs'!$K$137:$S$137,0)),0))),0),0)</f>
        <v>0</v>
      </c>
      <c r="T536" s="95">
        <f t="shared" si="30"/>
        <v>0</v>
      </c>
      <c r="U536" s="95">
        <f t="shared" si="31"/>
        <v>0</v>
      </c>
      <c r="V536" s="28" t="s">
        <v>222</v>
      </c>
      <c r="W536" s="31">
        <v>2020</v>
      </c>
      <c r="X536" s="28">
        <v>1</v>
      </c>
      <c r="Y536" s="28">
        <v>0</v>
      </c>
      <c r="Z536" s="196">
        <v>-2.1513024844954491E-4</v>
      </c>
      <c r="AA536" s="196">
        <v>-3.3096961299929986E-3</v>
      </c>
      <c r="AB536" s="28">
        <v>0</v>
      </c>
      <c r="AC536" s="28">
        <v>0</v>
      </c>
      <c r="AD536" s="28" t="s">
        <v>337</v>
      </c>
    </row>
    <row r="537" spans="2:30" ht="14.25" customHeight="1" x14ac:dyDescent="0.2">
      <c r="B537" s="7">
        <f t="shared" si="29"/>
        <v>513</v>
      </c>
      <c r="C537" s="28">
        <v>2</v>
      </c>
      <c r="D537" s="28">
        <v>4</v>
      </c>
      <c r="E537" s="31">
        <v>15</v>
      </c>
      <c r="F537" s="78">
        <v>2022</v>
      </c>
      <c r="G537" s="28">
        <v>2032</v>
      </c>
      <c r="H537" s="28">
        <v>8</v>
      </c>
      <c r="I537" s="96">
        <v>50</v>
      </c>
      <c r="J537" s="31">
        <v>34</v>
      </c>
      <c r="K537" s="28">
        <v>0</v>
      </c>
      <c r="L537" s="28">
        <v>0</v>
      </c>
      <c r="M537" s="156">
        <v>22.03</v>
      </c>
      <c r="N537" s="151">
        <v>10027.5</v>
      </c>
      <c r="O537" s="79">
        <v>0</v>
      </c>
      <c r="P537" s="95">
        <f t="array" ref="P537">ROUND(IF($F537&lt;='TaxCred&amp;Subs'!$C$49,(IF($C537=2,IF($M537&gt;=IFERROR(INDEX('TaxCred&amp;Subs'!$L$12:$L$47,MATCH(1,($C537&amp;$D537='TaxCred&amp;Subs'!$E$12:$E$47)*($F537='TaxCred&amp;Subs'!$C$12:$C$47),0)
),9999),IFERROR(INDEX('TaxCred&amp;Subs'!$N$12:$N$47,MATCH(1,($C537&amp;$D537='TaxCred&amp;Subs'!$E$12:$E$47)*($F537='TaxCred&amp;Subs'!$C$12:$C$47),0)
),0),0),(IF($M537&gt;=IFERROR(INDEX('TaxCred&amp;Subs'!$H$12:$H$47,MATCH(1,($C537&amp;$D537='TaxCred&amp;Subs'!$D$12:$D$47)*($F537='TaxCred&amp;Subs'!$C$12:$C$47),0)
),9999),IFERROR(INDEX('TaxCred&amp;Subs'!$N$12:$N$47,MATCH(1,($C537&amp;$D537='TaxCred&amp;Subs'!$D$12:$D$47)*($F537='TaxCred&amp;Subs'!$C$12:$C$47),0)
),0),0)))),0)+IF(AND($C537=2,VALUE(RIGHT($AD537,1))&gt;2),(N537-R537)*(IFERROR(INDEX('TaxCred&amp;Subs'!$J$66:$J$99,MATCH(1,($C537&amp;$D537='TaxCred&amp;Subs'!$E$66:$E$99)*($F537='TaxCred&amp;Subs'!$C$66:$C$99),0)),0)),IF(AND($C537=1,VALUE(RIGHT($AD537,1))&gt;2),(N537-R537)*(IFERROR(INDEX('TaxCred&amp;Subs'!$J$66:$J$99,MATCH(1,($C537&amp;$D537='TaxCred&amp;Subs'!$D$66:$D$99)*($F537='TaxCred&amp;Subs'!$C$66:$C$99),0)),0)),IF($C537&gt;2,(N537-R537)*(IFERROR(INDEX('TaxCred&amp;Subs'!$J$66:$J$99,MATCH(1,($C537&amp;$D537='TaxCred&amp;Subs'!$D$66:$D$99)*($F537='TaxCred&amp;Subs'!$C$66:$C$99),0)),0)),0))),0)</f>
        <v>2857</v>
      </c>
      <c r="Q537" s="95">
        <f t="array" ref="Q537">ROUND(IF(AND($C537=2,VALUE(RIGHT($AD537,1))&gt;2),(O537-S537)*(IFERROR(INDEX('TaxCred&amp;Subs'!$J$66:$J$99,MATCH(1,($C537&amp;$D537='TaxCred&amp;Subs'!$E$66:$E$99)*($F537='TaxCred&amp;Subs'!$C$66:$C$99),0)),0)),IF(AND($C537=1,VALUE(RIGHT($AD537,1))&gt;2),(O537-S537)*(IFERROR(INDEX('TaxCred&amp;Subs'!$J$66:$J$99,MATCH(1,($C537&amp;$D537='TaxCred&amp;Subs'!$D$66:$D$99)*($F537='TaxCred&amp;Subs'!$C$66:$C$99),0)),0)),IF($C537&gt;2,(O537-S537)*(IFERROR(INDEX('TaxCred&amp;Subs'!$J$66:$J$99,MATCH(1,($C537&amp;$D537='TaxCred&amp;Subs'!$D$66:$D$99)*($F537='TaxCred&amp;Subs'!$C$66:$C$99),0)),0)),0))),0)</f>
        <v>0</v>
      </c>
      <c r="R537" s="170">
        <f t="array" ref="R537">ROUND(IF(IFERROR(VALUE(RIGHT($AD537,1)),0)&gt;2,IF($C537=8,N537*IFERROR(INDEX('TaxCred&amp;Subs'!$K$139:$S$151,MATCH($C537&amp;$D537&amp;LEFT($AD537,7),'TaxCred&amp;Subs'!$E$139:$E$151,0),MATCH($H537,'TaxCred&amp;Subs'!$K$137:$S$137,0)),0),IF($C537=2,N537*IFERROR(INDEX('TaxCred&amp;Subs'!$K$139:$S$151,MATCH($C537&amp;$D537,'TaxCred&amp;Subs'!$D$139:$D$151,0),MATCH($H537,'TaxCred&amp;Subs'!$K$137:$S$137,0)),0),N537*IFERROR(INDEX('TaxCred&amp;Subs'!$K$139:$S$151,MATCH($C537&amp;$D537,'TaxCred&amp;Subs'!$C$139:$C$151,0),MATCH($H537,'TaxCred&amp;Subs'!$K$137:$S$137,0)),0))),0),0)</f>
        <v>504</v>
      </c>
      <c r="S537" s="170">
        <f t="array" ref="S537">ROUND(IF(IFERROR(VALUE(RIGHT($AD537,1)),0)&gt;2,IF($C537=8,O537*IFERROR(INDEX('TaxCred&amp;Subs'!$K$139:$S$151,MATCH($C537&amp;$D537&amp;LEFT($AD537,7),'TaxCred&amp;Subs'!$E$139:$E$151,0),MATCH($H537,'TaxCred&amp;Subs'!$K$137:$S$137,0)),0),IF($C537=2,O537*IFERROR(INDEX('TaxCred&amp;Subs'!$K$139:$S$151,MATCH($C537&amp;$D537,'TaxCred&amp;Subs'!$D$139:$D$151,0),MATCH($H537,'TaxCred&amp;Subs'!$K$137:$S$137,0)),0),O537*IFERROR(INDEX('TaxCred&amp;Subs'!$K$139:$S$151,MATCH($C537&amp;$D537,'TaxCred&amp;Subs'!$C$139:$C$151,0),MATCH($H537,'TaxCred&amp;Subs'!$K$137:$S$137,0)),0))),0),0)</f>
        <v>0</v>
      </c>
      <c r="T537" s="95">
        <f t="shared" si="30"/>
        <v>0</v>
      </c>
      <c r="U537" s="95">
        <f t="shared" si="31"/>
        <v>0</v>
      </c>
      <c r="V537" s="28" t="s">
        <v>222</v>
      </c>
      <c r="W537" s="31">
        <v>2020</v>
      </c>
      <c r="X537" s="28">
        <v>1</v>
      </c>
      <c r="Y537" s="28">
        <v>0</v>
      </c>
      <c r="Z537" s="196">
        <v>-2.1513024844954491E-4</v>
      </c>
      <c r="AA537" s="196">
        <v>-3.3096961299929986E-3</v>
      </c>
      <c r="AB537" s="28">
        <v>0</v>
      </c>
      <c r="AC537" s="28">
        <v>0</v>
      </c>
      <c r="AD537" s="28" t="s">
        <v>337</v>
      </c>
    </row>
    <row r="538" spans="2:30" ht="14.25" customHeight="1" x14ac:dyDescent="0.2">
      <c r="B538" s="7">
        <f t="shared" si="29"/>
        <v>514</v>
      </c>
      <c r="C538" s="28">
        <v>2</v>
      </c>
      <c r="D538" s="28">
        <v>4</v>
      </c>
      <c r="E538" s="31">
        <v>15</v>
      </c>
      <c r="F538" s="78">
        <v>2022</v>
      </c>
      <c r="G538" s="28">
        <v>2032</v>
      </c>
      <c r="H538" s="28">
        <v>9</v>
      </c>
      <c r="I538" s="96">
        <v>50</v>
      </c>
      <c r="J538" s="31">
        <v>34</v>
      </c>
      <c r="K538" s="28">
        <v>0</v>
      </c>
      <c r="L538" s="28">
        <v>0</v>
      </c>
      <c r="M538" s="156">
        <v>22.03</v>
      </c>
      <c r="N538" s="151">
        <v>10027.5</v>
      </c>
      <c r="O538" s="79">
        <v>0</v>
      </c>
      <c r="P538" s="95">
        <f t="array" ref="P538">ROUND(IF($F538&lt;='TaxCred&amp;Subs'!$C$49,(IF($C538=2,IF($M538&gt;=IFERROR(INDEX('TaxCred&amp;Subs'!$L$12:$L$47,MATCH(1,($C538&amp;$D538='TaxCred&amp;Subs'!$E$12:$E$47)*($F538='TaxCred&amp;Subs'!$C$12:$C$47),0)
),9999),IFERROR(INDEX('TaxCred&amp;Subs'!$N$12:$N$47,MATCH(1,($C538&amp;$D538='TaxCred&amp;Subs'!$E$12:$E$47)*($F538='TaxCred&amp;Subs'!$C$12:$C$47),0)
),0),0),(IF($M538&gt;=IFERROR(INDEX('TaxCred&amp;Subs'!$H$12:$H$47,MATCH(1,($C538&amp;$D538='TaxCred&amp;Subs'!$D$12:$D$47)*($F538='TaxCred&amp;Subs'!$C$12:$C$47),0)
),9999),IFERROR(INDEX('TaxCred&amp;Subs'!$N$12:$N$47,MATCH(1,($C538&amp;$D538='TaxCred&amp;Subs'!$D$12:$D$47)*($F538='TaxCred&amp;Subs'!$C$12:$C$47),0)
),0),0)))),0)+IF(AND($C538=2,VALUE(RIGHT($AD538,1))&gt;2),(N538-R538)*(IFERROR(INDEX('TaxCred&amp;Subs'!$J$66:$J$99,MATCH(1,($C538&amp;$D538='TaxCred&amp;Subs'!$E$66:$E$99)*($F538='TaxCred&amp;Subs'!$C$66:$C$99),0)),0)),IF(AND($C538=1,VALUE(RIGHT($AD538,1))&gt;2),(N538-R538)*(IFERROR(INDEX('TaxCred&amp;Subs'!$J$66:$J$99,MATCH(1,($C538&amp;$D538='TaxCred&amp;Subs'!$D$66:$D$99)*($F538='TaxCred&amp;Subs'!$C$66:$C$99),0)),0)),IF($C538&gt;2,(N538-R538)*(IFERROR(INDEX('TaxCred&amp;Subs'!$J$66:$J$99,MATCH(1,($C538&amp;$D538='TaxCred&amp;Subs'!$D$66:$D$99)*($F538='TaxCred&amp;Subs'!$C$66:$C$99),0)),0)),0))),0)</f>
        <v>2934</v>
      </c>
      <c r="Q538" s="95">
        <f t="array" ref="Q538">ROUND(IF(AND($C538=2,VALUE(RIGHT($AD538,1))&gt;2),(O538-S538)*(IFERROR(INDEX('TaxCred&amp;Subs'!$J$66:$J$99,MATCH(1,($C538&amp;$D538='TaxCred&amp;Subs'!$E$66:$E$99)*($F538='TaxCred&amp;Subs'!$C$66:$C$99),0)),0)),IF(AND($C538=1,VALUE(RIGHT($AD538,1))&gt;2),(O538-S538)*(IFERROR(INDEX('TaxCred&amp;Subs'!$J$66:$J$99,MATCH(1,($C538&amp;$D538='TaxCred&amp;Subs'!$D$66:$D$99)*($F538='TaxCred&amp;Subs'!$C$66:$C$99),0)),0)),IF($C538&gt;2,(O538-S538)*(IFERROR(INDEX('TaxCred&amp;Subs'!$J$66:$J$99,MATCH(1,($C538&amp;$D538='TaxCred&amp;Subs'!$D$66:$D$99)*($F538='TaxCred&amp;Subs'!$C$66:$C$99),0)),0)),0))),0)</f>
        <v>0</v>
      </c>
      <c r="R538" s="170">
        <f t="array" ref="R538">ROUND(IF(IFERROR(VALUE(RIGHT($AD538,1)),0)&gt;2,IF($C538=8,N538*IFERROR(INDEX('TaxCred&amp;Subs'!$K$139:$S$151,MATCH($C538&amp;$D538&amp;LEFT($AD538,7),'TaxCred&amp;Subs'!$E$139:$E$151,0),MATCH($H538,'TaxCred&amp;Subs'!$K$137:$S$137,0)),0),IF($C538=2,N538*IFERROR(INDEX('TaxCred&amp;Subs'!$K$139:$S$151,MATCH($C538&amp;$D538,'TaxCred&amp;Subs'!$D$139:$D$151,0),MATCH($H538,'TaxCred&amp;Subs'!$K$137:$S$137,0)),0),N538*IFERROR(INDEX('TaxCred&amp;Subs'!$K$139:$S$151,MATCH($C538&amp;$D538,'TaxCred&amp;Subs'!$C$139:$C$151,0),MATCH($H538,'TaxCred&amp;Subs'!$K$137:$S$137,0)),0))),0),0)</f>
        <v>246</v>
      </c>
      <c r="S538" s="170">
        <f t="array" ref="S538">ROUND(IF(IFERROR(VALUE(RIGHT($AD538,1)),0)&gt;2,IF($C538=8,O538*IFERROR(INDEX('TaxCred&amp;Subs'!$K$139:$S$151,MATCH($C538&amp;$D538&amp;LEFT($AD538,7),'TaxCred&amp;Subs'!$E$139:$E$151,0),MATCH($H538,'TaxCred&amp;Subs'!$K$137:$S$137,0)),0),IF($C538=2,O538*IFERROR(INDEX('TaxCred&amp;Subs'!$K$139:$S$151,MATCH($C538&amp;$D538,'TaxCred&amp;Subs'!$D$139:$D$151,0),MATCH($H538,'TaxCred&amp;Subs'!$K$137:$S$137,0)),0),O538*IFERROR(INDEX('TaxCred&amp;Subs'!$K$139:$S$151,MATCH($C538&amp;$D538,'TaxCred&amp;Subs'!$C$139:$C$151,0),MATCH($H538,'TaxCred&amp;Subs'!$K$137:$S$137,0)),0))),0),0)</f>
        <v>0</v>
      </c>
      <c r="T538" s="172">
        <f t="shared" si="30"/>
        <v>1064.0249999999999</v>
      </c>
      <c r="U538" s="95">
        <f t="shared" si="31"/>
        <v>0</v>
      </c>
      <c r="V538" s="28" t="s">
        <v>222</v>
      </c>
      <c r="W538" s="31">
        <v>2020</v>
      </c>
      <c r="X538" s="28">
        <v>1</v>
      </c>
      <c r="Y538" s="28">
        <v>0</v>
      </c>
      <c r="Z538" s="196">
        <v>-2.1513024844954491E-4</v>
      </c>
      <c r="AA538" s="196">
        <v>-3.3096961299929986E-3</v>
      </c>
      <c r="AB538" s="28">
        <v>0</v>
      </c>
      <c r="AC538" s="28">
        <v>0</v>
      </c>
      <c r="AD538" s="28" t="s">
        <v>337</v>
      </c>
    </row>
    <row r="539" spans="2:30" ht="14.25" customHeight="1" x14ac:dyDescent="0.2">
      <c r="B539" s="7">
        <f t="shared" ref="B539:B602" si="32">B538+1</f>
        <v>515</v>
      </c>
      <c r="C539" s="28">
        <v>2</v>
      </c>
      <c r="D539" s="28">
        <v>4</v>
      </c>
      <c r="E539" s="31">
        <v>15</v>
      </c>
      <c r="F539" s="78">
        <v>2033</v>
      </c>
      <c r="G539" s="28">
        <v>2033</v>
      </c>
      <c r="H539" s="28">
        <v>1</v>
      </c>
      <c r="I539" s="96">
        <v>50</v>
      </c>
      <c r="J539" s="31">
        <v>34</v>
      </c>
      <c r="K539" s="28">
        <v>0</v>
      </c>
      <c r="L539" s="28">
        <v>0</v>
      </c>
      <c r="M539" s="156">
        <v>22.03</v>
      </c>
      <c r="N539" s="151">
        <v>10027.5</v>
      </c>
      <c r="O539" s="79">
        <v>0</v>
      </c>
      <c r="P539" s="95">
        <f t="array" ref="P539">ROUND(IF($F539&lt;='TaxCred&amp;Subs'!$C$49,(IF($C539=2,IF($M539&gt;=IFERROR(INDEX('TaxCred&amp;Subs'!$L$12:$L$47,MATCH(1,($C539&amp;$D539='TaxCred&amp;Subs'!$E$12:$E$47)*($F539='TaxCred&amp;Subs'!$C$12:$C$47),0)
),9999),IFERROR(INDEX('TaxCred&amp;Subs'!$N$12:$N$47,MATCH(1,($C539&amp;$D539='TaxCred&amp;Subs'!$E$12:$E$47)*($F539='TaxCred&amp;Subs'!$C$12:$C$47),0)
),0),0),(IF($M539&gt;=IFERROR(INDEX('TaxCred&amp;Subs'!$H$12:$H$47,MATCH(1,($C539&amp;$D539='TaxCred&amp;Subs'!$D$12:$D$47)*($F539='TaxCred&amp;Subs'!$C$12:$C$47),0)
),9999),IFERROR(INDEX('TaxCred&amp;Subs'!$N$12:$N$47,MATCH(1,($C539&amp;$D539='TaxCred&amp;Subs'!$D$12:$D$47)*($F539='TaxCred&amp;Subs'!$C$12:$C$47),0)
),0),0)))),0)+IF(AND($C539=2,VALUE(RIGHT($AD539,1))&gt;2),(N539-R539)*(IFERROR(INDEX('TaxCred&amp;Subs'!$J$66:$J$99,MATCH(1,($C539&amp;$D539='TaxCred&amp;Subs'!$E$66:$E$99)*($F539='TaxCred&amp;Subs'!$C$66:$C$99),0)),0)),IF(AND($C539=1,VALUE(RIGHT($AD539,1))&gt;2),(N539-R539)*(IFERROR(INDEX('TaxCred&amp;Subs'!$J$66:$J$99,MATCH(1,($C539&amp;$D539='TaxCred&amp;Subs'!$D$66:$D$99)*($F539='TaxCred&amp;Subs'!$C$66:$C$99),0)),0)),IF($C539&gt;2,(N539-R539)*(IFERROR(INDEX('TaxCred&amp;Subs'!$J$66:$J$99,MATCH(1,($C539&amp;$D539='TaxCred&amp;Subs'!$D$66:$D$99)*($F539='TaxCred&amp;Subs'!$C$66:$C$99),0)),0)),0))),0)</f>
        <v>1961</v>
      </c>
      <c r="Q539" s="95">
        <f t="array" ref="Q539">ROUND(IF(AND($C539=2,VALUE(RIGHT($AD539,1))&gt;2),(O539-S539)*(IFERROR(INDEX('TaxCred&amp;Subs'!$J$66:$J$99,MATCH(1,($C539&amp;$D539='TaxCred&amp;Subs'!$E$66:$E$99)*($F539='TaxCred&amp;Subs'!$C$66:$C$99),0)),0)),IF(AND($C539=1,VALUE(RIGHT($AD539,1))&gt;2),(O539-S539)*(IFERROR(INDEX('TaxCred&amp;Subs'!$J$66:$J$99,MATCH(1,($C539&amp;$D539='TaxCred&amp;Subs'!$D$66:$D$99)*($F539='TaxCred&amp;Subs'!$C$66:$C$99),0)),0)),IF($C539&gt;2,(O539-S539)*(IFERROR(INDEX('TaxCred&amp;Subs'!$J$66:$J$99,MATCH(1,($C539&amp;$D539='TaxCred&amp;Subs'!$D$66:$D$99)*($F539='TaxCred&amp;Subs'!$C$66:$C$99),0)),0)),0))),0)</f>
        <v>0</v>
      </c>
      <c r="R539" s="170">
        <f t="array" ref="R539">ROUND(IF(IFERROR(VALUE(RIGHT($AD539,1)),0)&gt;2,IF($C539=8,N539*IFERROR(INDEX('TaxCred&amp;Subs'!$K$139:$S$151,MATCH($C539&amp;$D539&amp;LEFT($AD539,7),'TaxCred&amp;Subs'!$E$139:$E$151,0),MATCH($H539,'TaxCred&amp;Subs'!$K$137:$S$137,0)),0),IF($C539=2,N539*IFERROR(INDEX('TaxCred&amp;Subs'!$K$139:$S$151,MATCH($C539&amp;$D539,'TaxCred&amp;Subs'!$D$139:$D$151,0),MATCH($H539,'TaxCred&amp;Subs'!$K$137:$S$137,0)),0),N539*IFERROR(INDEX('TaxCred&amp;Subs'!$K$139:$S$151,MATCH($C539&amp;$D539,'TaxCred&amp;Subs'!$C$139:$C$151,0),MATCH($H539,'TaxCred&amp;Subs'!$K$137:$S$137,0)),0))),0),0)</f>
        <v>2486</v>
      </c>
      <c r="S539" s="170">
        <f t="array" ref="S539">ROUND(IF(IFERROR(VALUE(RIGHT($AD539,1)),0)&gt;2,IF($C539=8,O539*IFERROR(INDEX('TaxCred&amp;Subs'!$K$139:$S$151,MATCH($C539&amp;$D539&amp;LEFT($AD539,7),'TaxCred&amp;Subs'!$E$139:$E$151,0),MATCH($H539,'TaxCred&amp;Subs'!$K$137:$S$137,0)),0),IF($C539=2,O539*IFERROR(INDEX('TaxCred&amp;Subs'!$K$139:$S$151,MATCH($C539&amp;$D539,'TaxCred&amp;Subs'!$D$139:$D$151,0),MATCH($H539,'TaxCred&amp;Subs'!$K$137:$S$137,0)),0),O539*IFERROR(INDEX('TaxCred&amp;Subs'!$K$139:$S$151,MATCH($C539&amp;$D539,'TaxCred&amp;Subs'!$C$139:$C$151,0),MATCH($H539,'TaxCred&amp;Subs'!$K$137:$S$137,0)),0))),0),0)</f>
        <v>0</v>
      </c>
      <c r="T539" s="95">
        <f t="shared" si="30"/>
        <v>0</v>
      </c>
      <c r="U539" s="95">
        <f t="shared" si="31"/>
        <v>0</v>
      </c>
      <c r="V539" s="28" t="s">
        <v>222</v>
      </c>
      <c r="W539" s="31">
        <v>2020</v>
      </c>
      <c r="X539" s="28">
        <v>1</v>
      </c>
      <c r="Y539" s="28">
        <v>0</v>
      </c>
      <c r="Z539" s="196">
        <v>-2.1513024844954491E-4</v>
      </c>
      <c r="AA539" s="196">
        <v>-3.3096961299929986E-3</v>
      </c>
      <c r="AB539" s="28">
        <v>0</v>
      </c>
      <c r="AC539" s="28">
        <v>0</v>
      </c>
      <c r="AD539" s="28" t="s">
        <v>337</v>
      </c>
    </row>
    <row r="540" spans="2:30" ht="14.25" customHeight="1" x14ac:dyDescent="0.2">
      <c r="B540" s="7">
        <f t="shared" si="32"/>
        <v>516</v>
      </c>
      <c r="C540" s="28">
        <v>2</v>
      </c>
      <c r="D540" s="28">
        <v>4</v>
      </c>
      <c r="E540" s="31">
        <v>15</v>
      </c>
      <c r="F540" s="78">
        <v>2033</v>
      </c>
      <c r="G540" s="28">
        <v>2033</v>
      </c>
      <c r="H540" s="28">
        <v>2</v>
      </c>
      <c r="I540" s="96">
        <v>50</v>
      </c>
      <c r="J540" s="31">
        <v>34</v>
      </c>
      <c r="K540" s="28">
        <v>0</v>
      </c>
      <c r="L540" s="28">
        <v>0</v>
      </c>
      <c r="M540" s="156">
        <v>22.03</v>
      </c>
      <c r="N540" s="151">
        <v>10027.5</v>
      </c>
      <c r="O540" s="79">
        <v>0</v>
      </c>
      <c r="P540" s="95">
        <f t="array" ref="P540">ROUND(IF($F540&lt;='TaxCred&amp;Subs'!$C$49,(IF($C540=2,IF($M540&gt;=IFERROR(INDEX('TaxCred&amp;Subs'!$L$12:$L$47,MATCH(1,($C540&amp;$D540='TaxCred&amp;Subs'!$E$12:$E$47)*($F540='TaxCred&amp;Subs'!$C$12:$C$47),0)
),9999),IFERROR(INDEX('TaxCred&amp;Subs'!$N$12:$N$47,MATCH(1,($C540&amp;$D540='TaxCred&amp;Subs'!$E$12:$E$47)*($F540='TaxCred&amp;Subs'!$C$12:$C$47),0)
),0),0),(IF($M540&gt;=IFERROR(INDEX('TaxCred&amp;Subs'!$H$12:$H$47,MATCH(1,($C540&amp;$D540='TaxCred&amp;Subs'!$D$12:$D$47)*($F540='TaxCred&amp;Subs'!$C$12:$C$47),0)
),9999),IFERROR(INDEX('TaxCred&amp;Subs'!$N$12:$N$47,MATCH(1,($C540&amp;$D540='TaxCred&amp;Subs'!$D$12:$D$47)*($F540='TaxCred&amp;Subs'!$C$12:$C$47),0)
),0),0)))),0)+IF(AND($C540=2,VALUE(RIGHT($AD540,1))&gt;2),(N540-R540)*(IFERROR(INDEX('TaxCred&amp;Subs'!$J$66:$J$99,MATCH(1,($C540&amp;$D540='TaxCred&amp;Subs'!$E$66:$E$99)*($F540='TaxCred&amp;Subs'!$C$66:$C$99),0)),0)),IF(AND($C540=1,VALUE(RIGHT($AD540,1))&gt;2),(N540-R540)*(IFERROR(INDEX('TaxCred&amp;Subs'!$J$66:$J$99,MATCH(1,($C540&amp;$D540='TaxCred&amp;Subs'!$D$66:$D$99)*($F540='TaxCred&amp;Subs'!$C$66:$C$99),0)),0)),IF($C540&gt;2,(N540-R540)*(IFERROR(INDEX('TaxCred&amp;Subs'!$J$66:$J$99,MATCH(1,($C540&amp;$D540='TaxCred&amp;Subs'!$D$66:$D$99)*($F540='TaxCred&amp;Subs'!$C$66:$C$99),0)),0)),0))),0)</f>
        <v>2340</v>
      </c>
      <c r="Q540" s="95">
        <f t="array" ref="Q540">ROUND(IF(AND($C540=2,VALUE(RIGHT($AD540,1))&gt;2),(O540-S540)*(IFERROR(INDEX('TaxCred&amp;Subs'!$J$66:$J$99,MATCH(1,($C540&amp;$D540='TaxCred&amp;Subs'!$E$66:$E$99)*($F540='TaxCred&amp;Subs'!$C$66:$C$99),0)),0)),IF(AND($C540=1,VALUE(RIGHT($AD540,1))&gt;2),(O540-S540)*(IFERROR(INDEX('TaxCred&amp;Subs'!$J$66:$J$99,MATCH(1,($C540&amp;$D540='TaxCred&amp;Subs'!$D$66:$D$99)*($F540='TaxCred&amp;Subs'!$C$66:$C$99),0)),0)),IF($C540&gt;2,(O540-S540)*(IFERROR(INDEX('TaxCred&amp;Subs'!$J$66:$J$99,MATCH(1,($C540&amp;$D540='TaxCred&amp;Subs'!$D$66:$D$99)*($F540='TaxCred&amp;Subs'!$C$66:$C$99),0)),0)),0))),0)</f>
        <v>0</v>
      </c>
      <c r="R540" s="170">
        <f t="array" ref="R540">ROUND(IF(IFERROR(VALUE(RIGHT($AD540,1)),0)&gt;2,IF($C540=8,N540*IFERROR(INDEX('TaxCred&amp;Subs'!$K$139:$S$151,MATCH($C540&amp;$D540&amp;LEFT($AD540,7),'TaxCred&amp;Subs'!$E$139:$E$151,0),MATCH($H540,'TaxCred&amp;Subs'!$K$137:$S$137,0)),0),IF($C540=2,N540*IFERROR(INDEX('TaxCred&amp;Subs'!$K$139:$S$151,MATCH($C540&amp;$D540,'TaxCred&amp;Subs'!$D$139:$D$151,0),MATCH($H540,'TaxCred&amp;Subs'!$K$137:$S$137,0)),0),N540*IFERROR(INDEX('TaxCred&amp;Subs'!$K$139:$S$151,MATCH($C540&amp;$D540,'TaxCred&amp;Subs'!$C$139:$C$151,0),MATCH($H540,'TaxCred&amp;Subs'!$K$137:$S$137,0)),0))),0),0)</f>
        <v>1026</v>
      </c>
      <c r="S540" s="170">
        <f t="array" ref="S540">ROUND(IF(IFERROR(VALUE(RIGHT($AD540,1)),0)&gt;2,IF($C540=8,O540*IFERROR(INDEX('TaxCred&amp;Subs'!$K$139:$S$151,MATCH($C540&amp;$D540&amp;LEFT($AD540,7),'TaxCred&amp;Subs'!$E$139:$E$151,0),MATCH($H540,'TaxCred&amp;Subs'!$K$137:$S$137,0)),0),IF($C540=2,O540*IFERROR(INDEX('TaxCred&amp;Subs'!$K$139:$S$151,MATCH($C540&amp;$D540,'TaxCred&amp;Subs'!$D$139:$D$151,0),MATCH($H540,'TaxCred&amp;Subs'!$K$137:$S$137,0)),0),O540*IFERROR(INDEX('TaxCred&amp;Subs'!$K$139:$S$151,MATCH($C540&amp;$D540,'TaxCred&amp;Subs'!$C$139:$C$151,0),MATCH($H540,'TaxCred&amp;Subs'!$K$137:$S$137,0)),0))),0),0)</f>
        <v>0</v>
      </c>
      <c r="T540" s="95">
        <f t="shared" si="30"/>
        <v>0</v>
      </c>
      <c r="U540" s="95">
        <f t="shared" si="31"/>
        <v>0</v>
      </c>
      <c r="V540" s="28" t="s">
        <v>222</v>
      </c>
      <c r="W540" s="31">
        <v>2020</v>
      </c>
      <c r="X540" s="28">
        <v>1</v>
      </c>
      <c r="Y540" s="28">
        <v>0</v>
      </c>
      <c r="Z540" s="196">
        <v>-2.1513024844954491E-4</v>
      </c>
      <c r="AA540" s="196">
        <v>-3.3096961299929986E-3</v>
      </c>
      <c r="AB540" s="28">
        <v>0</v>
      </c>
      <c r="AC540" s="28">
        <v>0</v>
      </c>
      <c r="AD540" s="28" t="s">
        <v>337</v>
      </c>
    </row>
    <row r="541" spans="2:30" ht="14.25" customHeight="1" x14ac:dyDescent="0.2">
      <c r="B541" s="7">
        <f t="shared" si="32"/>
        <v>517</v>
      </c>
      <c r="C541" s="28">
        <v>2</v>
      </c>
      <c r="D541" s="28">
        <v>4</v>
      </c>
      <c r="E541" s="31">
        <v>15</v>
      </c>
      <c r="F541" s="78">
        <v>2033</v>
      </c>
      <c r="G541" s="28">
        <v>2033</v>
      </c>
      <c r="H541" s="28">
        <v>3</v>
      </c>
      <c r="I541" s="96">
        <v>50</v>
      </c>
      <c r="J541" s="31">
        <v>34</v>
      </c>
      <c r="K541" s="28">
        <v>0</v>
      </c>
      <c r="L541" s="28">
        <v>0</v>
      </c>
      <c r="M541" s="156">
        <v>22.03</v>
      </c>
      <c r="N541" s="151">
        <v>10027.5</v>
      </c>
      <c r="O541" s="79">
        <v>0</v>
      </c>
      <c r="P541" s="95">
        <f t="array" ref="P541">ROUND(IF($F541&lt;='TaxCred&amp;Subs'!$C$49,(IF($C541=2,IF($M541&gt;=IFERROR(INDEX('TaxCred&amp;Subs'!$L$12:$L$47,MATCH(1,($C541&amp;$D541='TaxCred&amp;Subs'!$E$12:$E$47)*($F541='TaxCred&amp;Subs'!$C$12:$C$47),0)
),9999),IFERROR(INDEX('TaxCred&amp;Subs'!$N$12:$N$47,MATCH(1,($C541&amp;$D541='TaxCred&amp;Subs'!$E$12:$E$47)*($F541='TaxCred&amp;Subs'!$C$12:$C$47),0)
),0),0),(IF($M541&gt;=IFERROR(INDEX('TaxCred&amp;Subs'!$H$12:$H$47,MATCH(1,($C541&amp;$D541='TaxCred&amp;Subs'!$D$12:$D$47)*($F541='TaxCred&amp;Subs'!$C$12:$C$47),0)
),9999),IFERROR(INDEX('TaxCred&amp;Subs'!$N$12:$N$47,MATCH(1,($C541&amp;$D541='TaxCred&amp;Subs'!$D$12:$D$47)*($F541='TaxCred&amp;Subs'!$C$12:$C$47),0)
),0),0)))),0)+IF(AND($C541=2,VALUE(RIGHT($AD541,1))&gt;2),(N541-R541)*(IFERROR(INDEX('TaxCred&amp;Subs'!$J$66:$J$99,MATCH(1,($C541&amp;$D541='TaxCred&amp;Subs'!$E$66:$E$99)*($F541='TaxCred&amp;Subs'!$C$66:$C$99),0)),0)),IF(AND($C541=1,VALUE(RIGHT($AD541,1))&gt;2),(N541-R541)*(IFERROR(INDEX('TaxCred&amp;Subs'!$J$66:$J$99,MATCH(1,($C541&amp;$D541='TaxCred&amp;Subs'!$D$66:$D$99)*($F541='TaxCred&amp;Subs'!$C$66:$C$99),0)),0)),IF($C541&gt;2,(N541-R541)*(IFERROR(INDEX('TaxCred&amp;Subs'!$J$66:$J$99,MATCH(1,($C541&amp;$D541='TaxCred&amp;Subs'!$D$66:$D$99)*($F541='TaxCred&amp;Subs'!$C$66:$C$99),0)),0)),0))),0)</f>
        <v>2397</v>
      </c>
      <c r="Q541" s="95">
        <f t="array" ref="Q541">ROUND(IF(AND($C541=2,VALUE(RIGHT($AD541,1))&gt;2),(O541-S541)*(IFERROR(INDEX('TaxCred&amp;Subs'!$J$66:$J$99,MATCH(1,($C541&amp;$D541='TaxCred&amp;Subs'!$E$66:$E$99)*($F541='TaxCred&amp;Subs'!$C$66:$C$99),0)),0)),IF(AND($C541=1,VALUE(RIGHT($AD541,1))&gt;2),(O541-S541)*(IFERROR(INDEX('TaxCred&amp;Subs'!$J$66:$J$99,MATCH(1,($C541&amp;$D541='TaxCred&amp;Subs'!$D$66:$D$99)*($F541='TaxCred&amp;Subs'!$C$66:$C$99),0)),0)),IF($C541&gt;2,(O541-S541)*(IFERROR(INDEX('TaxCred&amp;Subs'!$J$66:$J$99,MATCH(1,($C541&amp;$D541='TaxCred&amp;Subs'!$D$66:$D$99)*($F541='TaxCred&amp;Subs'!$C$66:$C$99),0)),0)),0))),0)</f>
        <v>0</v>
      </c>
      <c r="R541" s="170">
        <f t="array" ref="R541">ROUND(IF(IFERROR(VALUE(RIGHT($AD541,1)),0)&gt;2,IF($C541=8,N541*IFERROR(INDEX('TaxCred&amp;Subs'!$K$139:$S$151,MATCH($C541&amp;$D541&amp;LEFT($AD541,7),'TaxCred&amp;Subs'!$E$139:$E$151,0),MATCH($H541,'TaxCred&amp;Subs'!$K$137:$S$137,0)),0),IF($C541=2,N541*IFERROR(INDEX('TaxCred&amp;Subs'!$K$139:$S$151,MATCH($C541&amp;$D541,'TaxCred&amp;Subs'!$D$139:$D$151,0),MATCH($H541,'TaxCred&amp;Subs'!$K$137:$S$137,0)),0),N541*IFERROR(INDEX('TaxCred&amp;Subs'!$K$139:$S$151,MATCH($C541&amp;$D541,'TaxCred&amp;Subs'!$C$139:$C$151,0),MATCH($H541,'TaxCred&amp;Subs'!$K$137:$S$137,0)),0))),0),0)</f>
        <v>807</v>
      </c>
      <c r="S541" s="170">
        <f t="array" ref="S541">ROUND(IF(IFERROR(VALUE(RIGHT($AD541,1)),0)&gt;2,IF($C541=8,O541*IFERROR(INDEX('TaxCred&amp;Subs'!$K$139:$S$151,MATCH($C541&amp;$D541&amp;LEFT($AD541,7),'TaxCred&amp;Subs'!$E$139:$E$151,0),MATCH($H541,'TaxCred&amp;Subs'!$K$137:$S$137,0)),0),IF($C541=2,O541*IFERROR(INDEX('TaxCred&amp;Subs'!$K$139:$S$151,MATCH($C541&amp;$D541,'TaxCred&amp;Subs'!$D$139:$D$151,0),MATCH($H541,'TaxCred&amp;Subs'!$K$137:$S$137,0)),0),O541*IFERROR(INDEX('TaxCred&amp;Subs'!$K$139:$S$151,MATCH($C541&amp;$D541,'TaxCred&amp;Subs'!$C$139:$C$151,0),MATCH($H541,'TaxCred&amp;Subs'!$K$137:$S$137,0)),0))),0),0)</f>
        <v>0</v>
      </c>
      <c r="T541" s="95">
        <f t="shared" si="30"/>
        <v>0</v>
      </c>
      <c r="U541" s="95">
        <f t="shared" si="31"/>
        <v>0</v>
      </c>
      <c r="V541" s="28" t="s">
        <v>222</v>
      </c>
      <c r="W541" s="31">
        <v>2020</v>
      </c>
      <c r="X541" s="28">
        <v>1</v>
      </c>
      <c r="Y541" s="28">
        <v>0</v>
      </c>
      <c r="Z541" s="196">
        <v>-2.1513024844954491E-4</v>
      </c>
      <c r="AA541" s="196">
        <v>-3.3096961299929986E-3</v>
      </c>
      <c r="AB541" s="28">
        <v>0</v>
      </c>
      <c r="AC541" s="28">
        <v>0</v>
      </c>
      <c r="AD541" s="28" t="s">
        <v>337</v>
      </c>
    </row>
    <row r="542" spans="2:30" ht="14.25" customHeight="1" x14ac:dyDescent="0.2">
      <c r="B542" s="7">
        <f t="shared" si="32"/>
        <v>518</v>
      </c>
      <c r="C542" s="28">
        <v>2</v>
      </c>
      <c r="D542" s="28">
        <v>4</v>
      </c>
      <c r="E542" s="31">
        <v>15</v>
      </c>
      <c r="F542" s="78">
        <v>2033</v>
      </c>
      <c r="G542" s="28">
        <v>2033</v>
      </c>
      <c r="H542" s="28">
        <v>4</v>
      </c>
      <c r="I542" s="96">
        <v>50</v>
      </c>
      <c r="J542" s="31">
        <v>34</v>
      </c>
      <c r="K542" s="28">
        <v>0</v>
      </c>
      <c r="L542" s="28">
        <v>0</v>
      </c>
      <c r="M542" s="156">
        <v>22.03</v>
      </c>
      <c r="N542" s="151">
        <v>10027.5</v>
      </c>
      <c r="O542" s="79">
        <v>0</v>
      </c>
      <c r="P542" s="95">
        <f t="array" ref="P542">ROUND(IF($F542&lt;='TaxCred&amp;Subs'!$C$49,(IF($C542=2,IF($M542&gt;=IFERROR(INDEX('TaxCred&amp;Subs'!$L$12:$L$47,MATCH(1,($C542&amp;$D542='TaxCred&amp;Subs'!$E$12:$E$47)*($F542='TaxCred&amp;Subs'!$C$12:$C$47),0)
),9999),IFERROR(INDEX('TaxCred&amp;Subs'!$N$12:$N$47,MATCH(1,($C542&amp;$D542='TaxCred&amp;Subs'!$E$12:$E$47)*($F542='TaxCred&amp;Subs'!$C$12:$C$47),0)
),0),0),(IF($M542&gt;=IFERROR(INDEX('TaxCred&amp;Subs'!$H$12:$H$47,MATCH(1,($C542&amp;$D542='TaxCred&amp;Subs'!$D$12:$D$47)*($F542='TaxCred&amp;Subs'!$C$12:$C$47),0)
),9999),IFERROR(INDEX('TaxCred&amp;Subs'!$N$12:$N$47,MATCH(1,($C542&amp;$D542='TaxCred&amp;Subs'!$D$12:$D$47)*($F542='TaxCred&amp;Subs'!$C$12:$C$47),0)
),0),0)))),0)+IF(AND($C542=2,VALUE(RIGHT($AD542,1))&gt;2),(N542-R542)*(IFERROR(INDEX('TaxCred&amp;Subs'!$J$66:$J$99,MATCH(1,($C542&amp;$D542='TaxCred&amp;Subs'!$E$66:$E$99)*($F542='TaxCred&amp;Subs'!$C$66:$C$99),0)),0)),IF(AND($C542=1,VALUE(RIGHT($AD542,1))&gt;2),(N542-R542)*(IFERROR(INDEX('TaxCred&amp;Subs'!$J$66:$J$99,MATCH(1,($C542&amp;$D542='TaxCred&amp;Subs'!$D$66:$D$99)*($F542='TaxCred&amp;Subs'!$C$66:$C$99),0)),0)),IF($C542&gt;2,(N542-R542)*(IFERROR(INDEX('TaxCred&amp;Subs'!$J$66:$J$99,MATCH(1,($C542&amp;$D542='TaxCred&amp;Subs'!$D$66:$D$99)*($F542='TaxCred&amp;Subs'!$C$66:$C$99),0)),0)),0))),0)</f>
        <v>2439</v>
      </c>
      <c r="Q542" s="95">
        <f t="array" ref="Q542">ROUND(IF(AND($C542=2,VALUE(RIGHT($AD542,1))&gt;2),(O542-S542)*(IFERROR(INDEX('TaxCred&amp;Subs'!$J$66:$J$99,MATCH(1,($C542&amp;$D542='TaxCred&amp;Subs'!$E$66:$E$99)*($F542='TaxCred&amp;Subs'!$C$66:$C$99),0)),0)),IF(AND($C542=1,VALUE(RIGHT($AD542,1))&gt;2),(O542-S542)*(IFERROR(INDEX('TaxCred&amp;Subs'!$J$66:$J$99,MATCH(1,($C542&amp;$D542='TaxCred&amp;Subs'!$D$66:$D$99)*($F542='TaxCred&amp;Subs'!$C$66:$C$99),0)),0)),IF($C542&gt;2,(O542-S542)*(IFERROR(INDEX('TaxCred&amp;Subs'!$J$66:$J$99,MATCH(1,($C542&amp;$D542='TaxCred&amp;Subs'!$D$66:$D$99)*($F542='TaxCred&amp;Subs'!$C$66:$C$99),0)),0)),0))),0)</f>
        <v>0</v>
      </c>
      <c r="R542" s="170">
        <f t="array" ref="R542">ROUND(IF(IFERROR(VALUE(RIGHT($AD542,1)),0)&gt;2,IF($C542=8,N542*IFERROR(INDEX('TaxCred&amp;Subs'!$K$139:$S$151,MATCH($C542&amp;$D542&amp;LEFT($AD542,7),'TaxCred&amp;Subs'!$E$139:$E$151,0),MATCH($H542,'TaxCred&amp;Subs'!$K$137:$S$137,0)),0),IF($C542=2,N542*IFERROR(INDEX('TaxCred&amp;Subs'!$K$139:$S$151,MATCH($C542&amp;$D542,'TaxCred&amp;Subs'!$D$139:$D$151,0),MATCH($H542,'TaxCred&amp;Subs'!$K$137:$S$137,0)),0),N542*IFERROR(INDEX('TaxCred&amp;Subs'!$K$139:$S$151,MATCH($C542&amp;$D542,'TaxCred&amp;Subs'!$C$139:$C$151,0),MATCH($H542,'TaxCred&amp;Subs'!$K$137:$S$137,0)),0))),0),0)</f>
        <v>646</v>
      </c>
      <c r="S542" s="170">
        <f t="array" ref="S542">ROUND(IF(IFERROR(VALUE(RIGHT($AD542,1)),0)&gt;2,IF($C542=8,O542*IFERROR(INDEX('TaxCred&amp;Subs'!$K$139:$S$151,MATCH($C542&amp;$D542&amp;LEFT($AD542,7),'TaxCred&amp;Subs'!$E$139:$E$151,0),MATCH($H542,'TaxCred&amp;Subs'!$K$137:$S$137,0)),0),IF($C542=2,O542*IFERROR(INDEX('TaxCred&amp;Subs'!$K$139:$S$151,MATCH($C542&amp;$D542,'TaxCred&amp;Subs'!$D$139:$D$151,0),MATCH($H542,'TaxCred&amp;Subs'!$K$137:$S$137,0)),0),O542*IFERROR(INDEX('TaxCred&amp;Subs'!$K$139:$S$151,MATCH($C542&amp;$D542,'TaxCred&amp;Subs'!$C$139:$C$151,0),MATCH($H542,'TaxCred&amp;Subs'!$K$137:$S$137,0)),0))),0),0)</f>
        <v>0</v>
      </c>
      <c r="T542" s="95">
        <f t="shared" si="30"/>
        <v>0</v>
      </c>
      <c r="U542" s="95">
        <f t="shared" si="31"/>
        <v>0</v>
      </c>
      <c r="V542" s="28" t="s">
        <v>222</v>
      </c>
      <c r="W542" s="31">
        <v>2020</v>
      </c>
      <c r="X542" s="28">
        <v>1</v>
      </c>
      <c r="Y542" s="28">
        <v>0</v>
      </c>
      <c r="Z542" s="196">
        <v>-2.1513024844954491E-4</v>
      </c>
      <c r="AA542" s="196">
        <v>-3.3096961299929986E-3</v>
      </c>
      <c r="AB542" s="28">
        <v>0</v>
      </c>
      <c r="AC542" s="28">
        <v>0</v>
      </c>
      <c r="AD542" s="28" t="s">
        <v>337</v>
      </c>
    </row>
    <row r="543" spans="2:30" ht="14.25" customHeight="1" x14ac:dyDescent="0.2">
      <c r="B543" s="7">
        <f t="shared" si="32"/>
        <v>519</v>
      </c>
      <c r="C543" s="28">
        <v>2</v>
      </c>
      <c r="D543" s="28">
        <v>4</v>
      </c>
      <c r="E543" s="31">
        <v>15</v>
      </c>
      <c r="F543" s="78">
        <v>2033</v>
      </c>
      <c r="G543" s="28">
        <v>2033</v>
      </c>
      <c r="H543" s="28">
        <v>5</v>
      </c>
      <c r="I543" s="96">
        <v>50</v>
      </c>
      <c r="J543" s="31">
        <v>34</v>
      </c>
      <c r="K543" s="28">
        <v>0</v>
      </c>
      <c r="L543" s="28">
        <v>0</v>
      </c>
      <c r="M543" s="156">
        <v>22.03</v>
      </c>
      <c r="N543" s="151">
        <v>10027.5</v>
      </c>
      <c r="O543" s="79">
        <v>0</v>
      </c>
      <c r="P543" s="95">
        <f t="array" ref="P543">ROUND(IF($F543&lt;='TaxCred&amp;Subs'!$C$49,(IF($C543=2,IF($M543&gt;=IFERROR(INDEX('TaxCred&amp;Subs'!$L$12:$L$47,MATCH(1,($C543&amp;$D543='TaxCred&amp;Subs'!$E$12:$E$47)*($F543='TaxCred&amp;Subs'!$C$12:$C$47),0)
),9999),IFERROR(INDEX('TaxCred&amp;Subs'!$N$12:$N$47,MATCH(1,($C543&amp;$D543='TaxCred&amp;Subs'!$E$12:$E$47)*($F543='TaxCred&amp;Subs'!$C$12:$C$47),0)
),0),0),(IF($M543&gt;=IFERROR(INDEX('TaxCred&amp;Subs'!$H$12:$H$47,MATCH(1,($C543&amp;$D543='TaxCred&amp;Subs'!$D$12:$D$47)*($F543='TaxCred&amp;Subs'!$C$12:$C$47),0)
),9999),IFERROR(INDEX('TaxCred&amp;Subs'!$N$12:$N$47,MATCH(1,($C543&amp;$D543='TaxCred&amp;Subs'!$D$12:$D$47)*($F543='TaxCred&amp;Subs'!$C$12:$C$47),0)
),0),0)))),0)+IF(AND($C543=2,VALUE(RIGHT($AD543,1))&gt;2),(N543-R543)*(IFERROR(INDEX('TaxCred&amp;Subs'!$J$66:$J$99,MATCH(1,($C543&amp;$D543='TaxCred&amp;Subs'!$E$66:$E$99)*($F543='TaxCred&amp;Subs'!$C$66:$C$99),0)),0)),IF(AND($C543=1,VALUE(RIGHT($AD543,1))&gt;2),(N543-R543)*(IFERROR(INDEX('TaxCred&amp;Subs'!$J$66:$J$99,MATCH(1,($C543&amp;$D543='TaxCred&amp;Subs'!$D$66:$D$99)*($F543='TaxCred&amp;Subs'!$C$66:$C$99),0)),0)),IF($C543&gt;2,(N543-R543)*(IFERROR(INDEX('TaxCred&amp;Subs'!$J$66:$J$99,MATCH(1,($C543&amp;$D543='TaxCred&amp;Subs'!$D$66:$D$99)*($F543='TaxCred&amp;Subs'!$C$66:$C$99),0)),0)),0))),0)</f>
        <v>2425</v>
      </c>
      <c r="Q543" s="95">
        <f t="array" ref="Q543">ROUND(IF(AND($C543=2,VALUE(RIGHT($AD543,1))&gt;2),(O543-S543)*(IFERROR(INDEX('TaxCred&amp;Subs'!$J$66:$J$99,MATCH(1,($C543&amp;$D543='TaxCred&amp;Subs'!$E$66:$E$99)*($F543='TaxCred&amp;Subs'!$C$66:$C$99),0)),0)),IF(AND($C543=1,VALUE(RIGHT($AD543,1))&gt;2),(O543-S543)*(IFERROR(INDEX('TaxCred&amp;Subs'!$J$66:$J$99,MATCH(1,($C543&amp;$D543='TaxCred&amp;Subs'!$D$66:$D$99)*($F543='TaxCred&amp;Subs'!$C$66:$C$99),0)),0)),IF($C543&gt;2,(O543-S543)*(IFERROR(INDEX('TaxCred&amp;Subs'!$J$66:$J$99,MATCH(1,($C543&amp;$D543='TaxCred&amp;Subs'!$D$66:$D$99)*($F543='TaxCred&amp;Subs'!$C$66:$C$99),0)),0)),0))),0)</f>
        <v>0</v>
      </c>
      <c r="R543" s="170">
        <f t="array" ref="R543">ROUND(IF(IFERROR(VALUE(RIGHT($AD543,1)),0)&gt;2,IF($C543=8,N543*IFERROR(INDEX('TaxCred&amp;Subs'!$K$139:$S$151,MATCH($C543&amp;$D543&amp;LEFT($AD543,7),'TaxCred&amp;Subs'!$E$139:$E$151,0),MATCH($H543,'TaxCred&amp;Subs'!$K$137:$S$137,0)),0),IF($C543=2,N543*IFERROR(INDEX('TaxCred&amp;Subs'!$K$139:$S$151,MATCH($C543&amp;$D543,'TaxCred&amp;Subs'!$D$139:$D$151,0),MATCH($H543,'TaxCred&amp;Subs'!$K$137:$S$137,0)),0),N543*IFERROR(INDEX('TaxCred&amp;Subs'!$K$139:$S$151,MATCH($C543&amp;$D543,'TaxCred&amp;Subs'!$C$139:$C$151,0),MATCH($H543,'TaxCred&amp;Subs'!$K$137:$S$137,0)),0))),0),0)</f>
        <v>699</v>
      </c>
      <c r="S543" s="170">
        <f t="array" ref="S543">ROUND(IF(IFERROR(VALUE(RIGHT($AD543,1)),0)&gt;2,IF($C543=8,O543*IFERROR(INDEX('TaxCred&amp;Subs'!$K$139:$S$151,MATCH($C543&amp;$D543&amp;LEFT($AD543,7),'TaxCred&amp;Subs'!$E$139:$E$151,0),MATCH($H543,'TaxCred&amp;Subs'!$K$137:$S$137,0)),0),IF($C543=2,O543*IFERROR(INDEX('TaxCred&amp;Subs'!$K$139:$S$151,MATCH($C543&amp;$D543,'TaxCred&amp;Subs'!$D$139:$D$151,0),MATCH($H543,'TaxCred&amp;Subs'!$K$137:$S$137,0)),0),O543*IFERROR(INDEX('TaxCred&amp;Subs'!$K$139:$S$151,MATCH($C543&amp;$D543,'TaxCred&amp;Subs'!$C$139:$C$151,0),MATCH($H543,'TaxCred&amp;Subs'!$K$137:$S$137,0)),0))),0),0)</f>
        <v>0</v>
      </c>
      <c r="T543" s="95">
        <f t="shared" si="30"/>
        <v>0</v>
      </c>
      <c r="U543" s="95">
        <f t="shared" si="31"/>
        <v>0</v>
      </c>
      <c r="V543" s="28" t="s">
        <v>222</v>
      </c>
      <c r="W543" s="31">
        <v>2020</v>
      </c>
      <c r="X543" s="28">
        <v>1</v>
      </c>
      <c r="Y543" s="28">
        <v>0</v>
      </c>
      <c r="Z543" s="196">
        <v>-2.1513024844954491E-4</v>
      </c>
      <c r="AA543" s="196">
        <v>-3.3096961299929986E-3</v>
      </c>
      <c r="AB543" s="28">
        <v>0</v>
      </c>
      <c r="AC543" s="28">
        <v>0</v>
      </c>
      <c r="AD543" s="28" t="s">
        <v>337</v>
      </c>
    </row>
    <row r="544" spans="2:30" ht="14.25" customHeight="1" x14ac:dyDescent="0.2">
      <c r="B544" s="7">
        <f t="shared" si="32"/>
        <v>520</v>
      </c>
      <c r="C544" s="28">
        <v>2</v>
      </c>
      <c r="D544" s="28">
        <v>4</v>
      </c>
      <c r="E544" s="31">
        <v>15</v>
      </c>
      <c r="F544" s="78">
        <v>2033</v>
      </c>
      <c r="G544" s="28">
        <v>2033</v>
      </c>
      <c r="H544" s="28">
        <v>6</v>
      </c>
      <c r="I544" s="96">
        <v>50</v>
      </c>
      <c r="J544" s="31">
        <v>34</v>
      </c>
      <c r="K544" s="28">
        <v>0</v>
      </c>
      <c r="L544" s="28">
        <v>0</v>
      </c>
      <c r="M544" s="156">
        <v>22.03</v>
      </c>
      <c r="N544" s="151">
        <v>10027.5</v>
      </c>
      <c r="O544" s="79">
        <v>0</v>
      </c>
      <c r="P544" s="95">
        <f t="array" ref="P544">ROUND(IF($F544&lt;='TaxCred&amp;Subs'!$C$49,(IF($C544=2,IF($M544&gt;=IFERROR(INDEX('TaxCred&amp;Subs'!$L$12:$L$47,MATCH(1,($C544&amp;$D544='TaxCred&amp;Subs'!$E$12:$E$47)*($F544='TaxCred&amp;Subs'!$C$12:$C$47),0)
),9999),IFERROR(INDEX('TaxCred&amp;Subs'!$N$12:$N$47,MATCH(1,($C544&amp;$D544='TaxCred&amp;Subs'!$E$12:$E$47)*($F544='TaxCred&amp;Subs'!$C$12:$C$47),0)
),0),0),(IF($M544&gt;=IFERROR(INDEX('TaxCred&amp;Subs'!$H$12:$H$47,MATCH(1,($C544&amp;$D544='TaxCred&amp;Subs'!$D$12:$D$47)*($F544='TaxCred&amp;Subs'!$C$12:$C$47),0)
),9999),IFERROR(INDEX('TaxCred&amp;Subs'!$N$12:$N$47,MATCH(1,($C544&amp;$D544='TaxCred&amp;Subs'!$D$12:$D$47)*($F544='TaxCred&amp;Subs'!$C$12:$C$47),0)
),0),0)))),0)+IF(AND($C544=2,VALUE(RIGHT($AD544,1))&gt;2),(N544-R544)*(IFERROR(INDEX('TaxCred&amp;Subs'!$J$66:$J$99,MATCH(1,($C544&amp;$D544='TaxCred&amp;Subs'!$E$66:$E$99)*($F544='TaxCred&amp;Subs'!$C$66:$C$99),0)),0)),IF(AND($C544=1,VALUE(RIGHT($AD544,1))&gt;2),(N544-R544)*(IFERROR(INDEX('TaxCred&amp;Subs'!$J$66:$J$99,MATCH(1,($C544&amp;$D544='TaxCred&amp;Subs'!$D$66:$D$99)*($F544='TaxCred&amp;Subs'!$C$66:$C$99),0)),0)),IF($C544&gt;2,(N544-R544)*(IFERROR(INDEX('TaxCred&amp;Subs'!$J$66:$J$99,MATCH(1,($C544&amp;$D544='TaxCred&amp;Subs'!$D$66:$D$99)*($F544='TaxCred&amp;Subs'!$C$66:$C$99),0)),0)),0))),0)</f>
        <v>2377</v>
      </c>
      <c r="Q544" s="95">
        <f t="array" ref="Q544">ROUND(IF(AND($C544=2,VALUE(RIGHT($AD544,1))&gt;2),(O544-S544)*(IFERROR(INDEX('TaxCred&amp;Subs'!$J$66:$J$99,MATCH(1,($C544&amp;$D544='TaxCred&amp;Subs'!$E$66:$E$99)*($F544='TaxCred&amp;Subs'!$C$66:$C$99),0)),0)),IF(AND($C544=1,VALUE(RIGHT($AD544,1))&gt;2),(O544-S544)*(IFERROR(INDEX('TaxCred&amp;Subs'!$J$66:$J$99,MATCH(1,($C544&amp;$D544='TaxCred&amp;Subs'!$D$66:$D$99)*($F544='TaxCred&amp;Subs'!$C$66:$C$99),0)),0)),IF($C544&gt;2,(O544-S544)*(IFERROR(INDEX('TaxCred&amp;Subs'!$J$66:$J$99,MATCH(1,($C544&amp;$D544='TaxCred&amp;Subs'!$D$66:$D$99)*($F544='TaxCred&amp;Subs'!$C$66:$C$99),0)),0)),0))),0)</f>
        <v>0</v>
      </c>
      <c r="R544" s="170">
        <f t="array" ref="R544">ROUND(IF(IFERROR(VALUE(RIGHT($AD544,1)),0)&gt;2,IF($C544=8,N544*IFERROR(INDEX('TaxCred&amp;Subs'!$K$139:$S$151,MATCH($C544&amp;$D544&amp;LEFT($AD544,7),'TaxCred&amp;Subs'!$E$139:$E$151,0),MATCH($H544,'TaxCred&amp;Subs'!$K$137:$S$137,0)),0),IF($C544=2,N544*IFERROR(INDEX('TaxCred&amp;Subs'!$K$139:$S$151,MATCH($C544&amp;$D544,'TaxCred&amp;Subs'!$D$139:$D$151,0),MATCH($H544,'TaxCred&amp;Subs'!$K$137:$S$137,0)),0),N544*IFERROR(INDEX('TaxCred&amp;Subs'!$K$139:$S$151,MATCH($C544&amp;$D544,'TaxCred&amp;Subs'!$C$139:$C$151,0),MATCH($H544,'TaxCred&amp;Subs'!$K$137:$S$137,0)),0))),0),0)</f>
        <v>884</v>
      </c>
      <c r="S544" s="170">
        <f t="array" ref="S544">ROUND(IF(IFERROR(VALUE(RIGHT($AD544,1)),0)&gt;2,IF($C544=8,O544*IFERROR(INDEX('TaxCred&amp;Subs'!$K$139:$S$151,MATCH($C544&amp;$D544&amp;LEFT($AD544,7),'TaxCred&amp;Subs'!$E$139:$E$151,0),MATCH($H544,'TaxCred&amp;Subs'!$K$137:$S$137,0)),0),IF($C544=2,O544*IFERROR(INDEX('TaxCred&amp;Subs'!$K$139:$S$151,MATCH($C544&amp;$D544,'TaxCred&amp;Subs'!$D$139:$D$151,0),MATCH($H544,'TaxCred&amp;Subs'!$K$137:$S$137,0)),0),O544*IFERROR(INDEX('TaxCred&amp;Subs'!$K$139:$S$151,MATCH($C544&amp;$D544,'TaxCred&amp;Subs'!$C$139:$C$151,0),MATCH($H544,'TaxCred&amp;Subs'!$K$137:$S$137,0)),0))),0),0)</f>
        <v>0</v>
      </c>
      <c r="T544" s="95">
        <f t="shared" si="30"/>
        <v>0</v>
      </c>
      <c r="U544" s="95">
        <f t="shared" si="31"/>
        <v>0</v>
      </c>
      <c r="V544" s="28" t="s">
        <v>222</v>
      </c>
      <c r="W544" s="31">
        <v>2020</v>
      </c>
      <c r="X544" s="28">
        <v>1</v>
      </c>
      <c r="Y544" s="28">
        <v>0</v>
      </c>
      <c r="Z544" s="196">
        <v>-2.1513024844954491E-4</v>
      </c>
      <c r="AA544" s="196">
        <v>-3.3096961299929986E-3</v>
      </c>
      <c r="AB544" s="28">
        <v>0</v>
      </c>
      <c r="AC544" s="28">
        <v>0</v>
      </c>
      <c r="AD544" s="28" t="s">
        <v>337</v>
      </c>
    </row>
    <row r="545" spans="2:30" ht="14.25" customHeight="1" x14ac:dyDescent="0.2">
      <c r="B545" s="7">
        <f t="shared" si="32"/>
        <v>521</v>
      </c>
      <c r="C545" s="28">
        <v>2</v>
      </c>
      <c r="D545" s="28">
        <v>4</v>
      </c>
      <c r="E545" s="31">
        <v>15</v>
      </c>
      <c r="F545" s="78">
        <v>2033</v>
      </c>
      <c r="G545" s="28">
        <v>2033</v>
      </c>
      <c r="H545" s="28">
        <v>7</v>
      </c>
      <c r="I545" s="96">
        <v>50</v>
      </c>
      <c r="J545" s="31">
        <v>34</v>
      </c>
      <c r="K545" s="28">
        <v>0</v>
      </c>
      <c r="L545" s="28">
        <v>0</v>
      </c>
      <c r="M545" s="156">
        <v>22.03</v>
      </c>
      <c r="N545" s="151">
        <v>10027.5</v>
      </c>
      <c r="O545" s="79">
        <v>0</v>
      </c>
      <c r="P545" s="95">
        <f t="array" ref="P545">ROUND(IF($F545&lt;='TaxCred&amp;Subs'!$C$49,(IF($C545=2,IF($M545&gt;=IFERROR(INDEX('TaxCred&amp;Subs'!$L$12:$L$47,MATCH(1,($C545&amp;$D545='TaxCred&amp;Subs'!$E$12:$E$47)*($F545='TaxCred&amp;Subs'!$C$12:$C$47),0)
),9999),IFERROR(INDEX('TaxCred&amp;Subs'!$N$12:$N$47,MATCH(1,($C545&amp;$D545='TaxCred&amp;Subs'!$E$12:$E$47)*($F545='TaxCred&amp;Subs'!$C$12:$C$47),0)
),0),0),(IF($M545&gt;=IFERROR(INDEX('TaxCred&amp;Subs'!$H$12:$H$47,MATCH(1,($C545&amp;$D545='TaxCred&amp;Subs'!$D$12:$D$47)*($F545='TaxCred&amp;Subs'!$C$12:$C$47),0)
),9999),IFERROR(INDEX('TaxCred&amp;Subs'!$N$12:$N$47,MATCH(1,($C545&amp;$D545='TaxCred&amp;Subs'!$D$12:$D$47)*($F545='TaxCred&amp;Subs'!$C$12:$C$47),0)
),0),0)))),0)+IF(AND($C545=2,VALUE(RIGHT($AD545,1))&gt;2),(N545-R545)*(IFERROR(INDEX('TaxCred&amp;Subs'!$J$66:$J$99,MATCH(1,($C545&amp;$D545='TaxCred&amp;Subs'!$E$66:$E$99)*($F545='TaxCred&amp;Subs'!$C$66:$C$99),0)),0)),IF(AND($C545=1,VALUE(RIGHT($AD545,1))&gt;2),(N545-R545)*(IFERROR(INDEX('TaxCred&amp;Subs'!$J$66:$J$99,MATCH(1,($C545&amp;$D545='TaxCred&amp;Subs'!$D$66:$D$99)*($F545='TaxCred&amp;Subs'!$C$66:$C$99),0)),0)),IF($C545&gt;2,(N545-R545)*(IFERROR(INDEX('TaxCred&amp;Subs'!$J$66:$J$99,MATCH(1,($C545&amp;$D545='TaxCred&amp;Subs'!$D$66:$D$99)*($F545='TaxCred&amp;Subs'!$C$66:$C$99),0)),0)),0))),0)</f>
        <v>2511</v>
      </c>
      <c r="Q545" s="95">
        <f t="array" ref="Q545">ROUND(IF(AND($C545=2,VALUE(RIGHT($AD545,1))&gt;2),(O545-S545)*(IFERROR(INDEX('TaxCred&amp;Subs'!$J$66:$J$99,MATCH(1,($C545&amp;$D545='TaxCred&amp;Subs'!$E$66:$E$99)*($F545='TaxCred&amp;Subs'!$C$66:$C$99),0)),0)),IF(AND($C545=1,VALUE(RIGHT($AD545,1))&gt;2),(O545-S545)*(IFERROR(INDEX('TaxCred&amp;Subs'!$J$66:$J$99,MATCH(1,($C545&amp;$D545='TaxCred&amp;Subs'!$D$66:$D$99)*($F545='TaxCred&amp;Subs'!$C$66:$C$99),0)),0)),IF($C545&gt;2,(O545-S545)*(IFERROR(INDEX('TaxCred&amp;Subs'!$J$66:$J$99,MATCH(1,($C545&amp;$D545='TaxCred&amp;Subs'!$D$66:$D$99)*($F545='TaxCred&amp;Subs'!$C$66:$C$99),0)),0)),0))),0)</f>
        <v>0</v>
      </c>
      <c r="R545" s="170">
        <f t="array" ref="R545">ROUND(IF(IFERROR(VALUE(RIGHT($AD545,1)),0)&gt;2,IF($C545=8,N545*IFERROR(INDEX('TaxCred&amp;Subs'!$K$139:$S$151,MATCH($C545&amp;$D545&amp;LEFT($AD545,7),'TaxCred&amp;Subs'!$E$139:$E$151,0),MATCH($H545,'TaxCred&amp;Subs'!$K$137:$S$137,0)),0),IF($C545=2,N545*IFERROR(INDEX('TaxCred&amp;Subs'!$K$139:$S$151,MATCH($C545&amp;$D545,'TaxCred&amp;Subs'!$D$139:$D$151,0),MATCH($H545,'TaxCred&amp;Subs'!$K$137:$S$137,0)),0),N545*IFERROR(INDEX('TaxCred&amp;Subs'!$K$139:$S$151,MATCH($C545&amp;$D545,'TaxCred&amp;Subs'!$C$139:$C$151,0),MATCH($H545,'TaxCred&amp;Subs'!$K$137:$S$137,0)),0))),0),0)</f>
        <v>370</v>
      </c>
      <c r="S545" s="170">
        <f t="array" ref="S545">ROUND(IF(IFERROR(VALUE(RIGHT($AD545,1)),0)&gt;2,IF($C545=8,O545*IFERROR(INDEX('TaxCred&amp;Subs'!$K$139:$S$151,MATCH($C545&amp;$D545&amp;LEFT($AD545,7),'TaxCred&amp;Subs'!$E$139:$E$151,0),MATCH($H545,'TaxCred&amp;Subs'!$K$137:$S$137,0)),0),IF($C545=2,O545*IFERROR(INDEX('TaxCred&amp;Subs'!$K$139:$S$151,MATCH($C545&amp;$D545,'TaxCred&amp;Subs'!$D$139:$D$151,0),MATCH($H545,'TaxCred&amp;Subs'!$K$137:$S$137,0)),0),O545*IFERROR(INDEX('TaxCred&amp;Subs'!$K$139:$S$151,MATCH($C545&amp;$D545,'TaxCred&amp;Subs'!$C$139:$C$151,0),MATCH($H545,'TaxCred&amp;Subs'!$K$137:$S$137,0)),0))),0),0)</f>
        <v>0</v>
      </c>
      <c r="T545" s="95">
        <f t="shared" si="30"/>
        <v>0</v>
      </c>
      <c r="U545" s="95">
        <f t="shared" si="31"/>
        <v>0</v>
      </c>
      <c r="V545" s="28" t="s">
        <v>222</v>
      </c>
      <c r="W545" s="31">
        <v>2020</v>
      </c>
      <c r="X545" s="28">
        <v>1</v>
      </c>
      <c r="Y545" s="28">
        <v>0</v>
      </c>
      <c r="Z545" s="196">
        <v>-2.1513024844954491E-4</v>
      </c>
      <c r="AA545" s="196">
        <v>-3.3096961299929986E-3</v>
      </c>
      <c r="AB545" s="28">
        <v>0</v>
      </c>
      <c r="AC545" s="28">
        <v>0</v>
      </c>
      <c r="AD545" s="28" t="s">
        <v>337</v>
      </c>
    </row>
    <row r="546" spans="2:30" ht="14.25" customHeight="1" x14ac:dyDescent="0.2">
      <c r="B546" s="7">
        <f t="shared" si="32"/>
        <v>522</v>
      </c>
      <c r="C546" s="28">
        <v>2</v>
      </c>
      <c r="D546" s="28">
        <v>4</v>
      </c>
      <c r="E546" s="31">
        <v>15</v>
      </c>
      <c r="F546" s="78">
        <v>2033</v>
      </c>
      <c r="G546" s="28">
        <v>2033</v>
      </c>
      <c r="H546" s="28">
        <v>8</v>
      </c>
      <c r="I546" s="96">
        <v>50</v>
      </c>
      <c r="J546" s="31">
        <v>34</v>
      </c>
      <c r="K546" s="28">
        <v>0</v>
      </c>
      <c r="L546" s="28">
        <v>0</v>
      </c>
      <c r="M546" s="156">
        <v>22.03</v>
      </c>
      <c r="N546" s="151">
        <v>10027.5</v>
      </c>
      <c r="O546" s="79">
        <v>0</v>
      </c>
      <c r="P546" s="95">
        <f t="array" ref="P546">ROUND(IF($F546&lt;='TaxCred&amp;Subs'!$C$49,(IF($C546=2,IF($M546&gt;=IFERROR(INDEX('TaxCred&amp;Subs'!$L$12:$L$47,MATCH(1,($C546&amp;$D546='TaxCred&amp;Subs'!$E$12:$E$47)*($F546='TaxCred&amp;Subs'!$C$12:$C$47),0)
),9999),IFERROR(INDEX('TaxCred&amp;Subs'!$N$12:$N$47,MATCH(1,($C546&amp;$D546='TaxCred&amp;Subs'!$E$12:$E$47)*($F546='TaxCred&amp;Subs'!$C$12:$C$47),0)
),0),0),(IF($M546&gt;=IFERROR(INDEX('TaxCred&amp;Subs'!$H$12:$H$47,MATCH(1,($C546&amp;$D546='TaxCred&amp;Subs'!$D$12:$D$47)*($F546='TaxCred&amp;Subs'!$C$12:$C$47),0)
),9999),IFERROR(INDEX('TaxCred&amp;Subs'!$N$12:$N$47,MATCH(1,($C546&amp;$D546='TaxCred&amp;Subs'!$D$12:$D$47)*($F546='TaxCred&amp;Subs'!$C$12:$C$47),0)
),0),0)))),0)+IF(AND($C546=2,VALUE(RIGHT($AD546,1))&gt;2),(N546-R546)*(IFERROR(INDEX('TaxCred&amp;Subs'!$J$66:$J$99,MATCH(1,($C546&amp;$D546='TaxCred&amp;Subs'!$E$66:$E$99)*($F546='TaxCred&amp;Subs'!$C$66:$C$99),0)),0)),IF(AND($C546=1,VALUE(RIGHT($AD546,1))&gt;2),(N546-R546)*(IFERROR(INDEX('TaxCred&amp;Subs'!$J$66:$J$99,MATCH(1,($C546&amp;$D546='TaxCred&amp;Subs'!$D$66:$D$99)*($F546='TaxCred&amp;Subs'!$C$66:$C$99),0)),0)),IF($C546&gt;2,(N546-R546)*(IFERROR(INDEX('TaxCred&amp;Subs'!$J$66:$J$99,MATCH(1,($C546&amp;$D546='TaxCred&amp;Subs'!$D$66:$D$99)*($F546='TaxCred&amp;Subs'!$C$66:$C$99),0)),0)),0))),0)</f>
        <v>2476</v>
      </c>
      <c r="Q546" s="95">
        <f t="array" ref="Q546">ROUND(IF(AND($C546=2,VALUE(RIGHT($AD546,1))&gt;2),(O546-S546)*(IFERROR(INDEX('TaxCred&amp;Subs'!$J$66:$J$99,MATCH(1,($C546&amp;$D546='TaxCred&amp;Subs'!$E$66:$E$99)*($F546='TaxCred&amp;Subs'!$C$66:$C$99),0)),0)),IF(AND($C546=1,VALUE(RIGHT($AD546,1))&gt;2),(O546-S546)*(IFERROR(INDEX('TaxCred&amp;Subs'!$J$66:$J$99,MATCH(1,($C546&amp;$D546='TaxCred&amp;Subs'!$D$66:$D$99)*($F546='TaxCred&amp;Subs'!$C$66:$C$99),0)),0)),IF($C546&gt;2,(O546-S546)*(IFERROR(INDEX('TaxCred&amp;Subs'!$J$66:$J$99,MATCH(1,($C546&amp;$D546='TaxCred&amp;Subs'!$D$66:$D$99)*($F546='TaxCred&amp;Subs'!$C$66:$C$99),0)),0)),0))),0)</f>
        <v>0</v>
      </c>
      <c r="R546" s="170">
        <f t="array" ref="R546">ROUND(IF(IFERROR(VALUE(RIGHT($AD546,1)),0)&gt;2,IF($C546=8,N546*IFERROR(INDEX('TaxCred&amp;Subs'!$K$139:$S$151,MATCH($C546&amp;$D546&amp;LEFT($AD546,7),'TaxCred&amp;Subs'!$E$139:$E$151,0),MATCH($H546,'TaxCred&amp;Subs'!$K$137:$S$137,0)),0),IF($C546=2,N546*IFERROR(INDEX('TaxCred&amp;Subs'!$K$139:$S$151,MATCH($C546&amp;$D546,'TaxCred&amp;Subs'!$D$139:$D$151,0),MATCH($H546,'TaxCred&amp;Subs'!$K$137:$S$137,0)),0),N546*IFERROR(INDEX('TaxCred&amp;Subs'!$K$139:$S$151,MATCH($C546&amp;$D546,'TaxCred&amp;Subs'!$C$139:$C$151,0),MATCH($H546,'TaxCred&amp;Subs'!$K$137:$S$137,0)),0))),0),0)</f>
        <v>504</v>
      </c>
      <c r="S546" s="170">
        <f t="array" ref="S546">ROUND(IF(IFERROR(VALUE(RIGHT($AD546,1)),0)&gt;2,IF($C546=8,O546*IFERROR(INDEX('TaxCred&amp;Subs'!$K$139:$S$151,MATCH($C546&amp;$D546&amp;LEFT($AD546,7),'TaxCred&amp;Subs'!$E$139:$E$151,0),MATCH($H546,'TaxCred&amp;Subs'!$K$137:$S$137,0)),0),IF($C546=2,O546*IFERROR(INDEX('TaxCred&amp;Subs'!$K$139:$S$151,MATCH($C546&amp;$D546,'TaxCred&amp;Subs'!$D$139:$D$151,0),MATCH($H546,'TaxCred&amp;Subs'!$K$137:$S$137,0)),0),O546*IFERROR(INDEX('TaxCred&amp;Subs'!$K$139:$S$151,MATCH($C546&amp;$D546,'TaxCred&amp;Subs'!$C$139:$C$151,0),MATCH($H546,'TaxCred&amp;Subs'!$K$137:$S$137,0)),0))),0),0)</f>
        <v>0</v>
      </c>
      <c r="T546" s="95">
        <f t="shared" si="30"/>
        <v>0</v>
      </c>
      <c r="U546" s="95">
        <f t="shared" si="31"/>
        <v>0</v>
      </c>
      <c r="V546" s="28" t="s">
        <v>222</v>
      </c>
      <c r="W546" s="31">
        <v>2020</v>
      </c>
      <c r="X546" s="28">
        <v>1</v>
      </c>
      <c r="Y546" s="28">
        <v>0</v>
      </c>
      <c r="Z546" s="196">
        <v>-2.1513024844954491E-4</v>
      </c>
      <c r="AA546" s="196">
        <v>-3.3096961299929986E-3</v>
      </c>
      <c r="AB546" s="28">
        <v>0</v>
      </c>
      <c r="AC546" s="28">
        <v>0</v>
      </c>
      <c r="AD546" s="28" t="s">
        <v>337</v>
      </c>
    </row>
    <row r="547" spans="2:30" ht="14.25" customHeight="1" x14ac:dyDescent="0.2">
      <c r="B547" s="7">
        <f t="shared" si="32"/>
        <v>523</v>
      </c>
      <c r="C547" s="28">
        <v>2</v>
      </c>
      <c r="D547" s="28">
        <v>4</v>
      </c>
      <c r="E547" s="31">
        <v>15</v>
      </c>
      <c r="F547" s="78">
        <v>2033</v>
      </c>
      <c r="G547" s="28">
        <v>2033</v>
      </c>
      <c r="H547" s="28">
        <v>9</v>
      </c>
      <c r="I547" s="96">
        <v>50</v>
      </c>
      <c r="J547" s="31">
        <v>34</v>
      </c>
      <c r="K547" s="28">
        <v>0</v>
      </c>
      <c r="L547" s="28">
        <v>0</v>
      </c>
      <c r="M547" s="156">
        <v>22.03</v>
      </c>
      <c r="N547" s="151">
        <v>10027.5</v>
      </c>
      <c r="O547" s="79">
        <v>0</v>
      </c>
      <c r="P547" s="95">
        <f t="array" ref="P547">ROUND(IF($F547&lt;='TaxCred&amp;Subs'!$C$49,(IF($C547=2,IF($M547&gt;=IFERROR(INDEX('TaxCred&amp;Subs'!$L$12:$L$47,MATCH(1,($C547&amp;$D547='TaxCred&amp;Subs'!$E$12:$E$47)*($F547='TaxCred&amp;Subs'!$C$12:$C$47),0)
),9999),IFERROR(INDEX('TaxCred&amp;Subs'!$N$12:$N$47,MATCH(1,($C547&amp;$D547='TaxCred&amp;Subs'!$E$12:$E$47)*($F547='TaxCred&amp;Subs'!$C$12:$C$47),0)
),0),0),(IF($M547&gt;=IFERROR(INDEX('TaxCred&amp;Subs'!$H$12:$H$47,MATCH(1,($C547&amp;$D547='TaxCred&amp;Subs'!$D$12:$D$47)*($F547='TaxCred&amp;Subs'!$C$12:$C$47),0)
),9999),IFERROR(INDEX('TaxCred&amp;Subs'!$N$12:$N$47,MATCH(1,($C547&amp;$D547='TaxCred&amp;Subs'!$D$12:$D$47)*($F547='TaxCred&amp;Subs'!$C$12:$C$47),0)
),0),0)))),0)+IF(AND($C547=2,VALUE(RIGHT($AD547,1))&gt;2),(N547-R547)*(IFERROR(INDEX('TaxCred&amp;Subs'!$J$66:$J$99,MATCH(1,($C547&amp;$D547='TaxCred&amp;Subs'!$E$66:$E$99)*($F547='TaxCred&amp;Subs'!$C$66:$C$99),0)),0)),IF(AND($C547=1,VALUE(RIGHT($AD547,1))&gt;2),(N547-R547)*(IFERROR(INDEX('TaxCred&amp;Subs'!$J$66:$J$99,MATCH(1,($C547&amp;$D547='TaxCred&amp;Subs'!$D$66:$D$99)*($F547='TaxCred&amp;Subs'!$C$66:$C$99),0)),0)),IF($C547&gt;2,(N547-R547)*(IFERROR(INDEX('TaxCred&amp;Subs'!$J$66:$J$99,MATCH(1,($C547&amp;$D547='TaxCred&amp;Subs'!$D$66:$D$99)*($F547='TaxCred&amp;Subs'!$C$66:$C$99),0)),0)),0))),0)</f>
        <v>2543</v>
      </c>
      <c r="Q547" s="95">
        <f t="array" ref="Q547">ROUND(IF(AND($C547=2,VALUE(RIGHT($AD547,1))&gt;2),(O547-S547)*(IFERROR(INDEX('TaxCred&amp;Subs'!$J$66:$J$99,MATCH(1,($C547&amp;$D547='TaxCred&amp;Subs'!$E$66:$E$99)*($F547='TaxCred&amp;Subs'!$C$66:$C$99),0)),0)),IF(AND($C547=1,VALUE(RIGHT($AD547,1))&gt;2),(O547-S547)*(IFERROR(INDEX('TaxCred&amp;Subs'!$J$66:$J$99,MATCH(1,($C547&amp;$D547='TaxCred&amp;Subs'!$D$66:$D$99)*($F547='TaxCred&amp;Subs'!$C$66:$C$99),0)),0)),IF($C547&gt;2,(O547-S547)*(IFERROR(INDEX('TaxCred&amp;Subs'!$J$66:$J$99,MATCH(1,($C547&amp;$D547='TaxCred&amp;Subs'!$D$66:$D$99)*($F547='TaxCred&amp;Subs'!$C$66:$C$99),0)),0)),0))),0)</f>
        <v>0</v>
      </c>
      <c r="R547" s="170">
        <f t="array" ref="R547">ROUND(IF(IFERROR(VALUE(RIGHT($AD547,1)),0)&gt;2,IF($C547=8,N547*IFERROR(INDEX('TaxCred&amp;Subs'!$K$139:$S$151,MATCH($C547&amp;$D547&amp;LEFT($AD547,7),'TaxCred&amp;Subs'!$E$139:$E$151,0),MATCH($H547,'TaxCred&amp;Subs'!$K$137:$S$137,0)),0),IF($C547=2,N547*IFERROR(INDEX('TaxCred&amp;Subs'!$K$139:$S$151,MATCH($C547&amp;$D547,'TaxCred&amp;Subs'!$D$139:$D$151,0),MATCH($H547,'TaxCred&amp;Subs'!$K$137:$S$137,0)),0),N547*IFERROR(INDEX('TaxCred&amp;Subs'!$K$139:$S$151,MATCH($C547&amp;$D547,'TaxCred&amp;Subs'!$C$139:$C$151,0),MATCH($H547,'TaxCred&amp;Subs'!$K$137:$S$137,0)),0))),0),0)</f>
        <v>246</v>
      </c>
      <c r="S547" s="170">
        <f t="array" ref="S547">ROUND(IF(IFERROR(VALUE(RIGHT($AD547,1)),0)&gt;2,IF($C547=8,O547*IFERROR(INDEX('TaxCred&amp;Subs'!$K$139:$S$151,MATCH($C547&amp;$D547&amp;LEFT($AD547,7),'TaxCred&amp;Subs'!$E$139:$E$151,0),MATCH($H547,'TaxCred&amp;Subs'!$K$137:$S$137,0)),0),IF($C547=2,O547*IFERROR(INDEX('TaxCred&amp;Subs'!$K$139:$S$151,MATCH($C547&amp;$D547,'TaxCred&amp;Subs'!$D$139:$D$151,0),MATCH($H547,'TaxCred&amp;Subs'!$K$137:$S$137,0)),0),O547*IFERROR(INDEX('TaxCred&amp;Subs'!$K$139:$S$151,MATCH($C547&amp;$D547,'TaxCred&amp;Subs'!$C$139:$C$151,0),MATCH($H547,'TaxCred&amp;Subs'!$K$137:$S$137,0)),0))),0),0)</f>
        <v>0</v>
      </c>
      <c r="T547" s="172">
        <f t="shared" si="30"/>
        <v>1122.675</v>
      </c>
      <c r="U547" s="95">
        <f t="shared" si="31"/>
        <v>0</v>
      </c>
      <c r="V547" s="28" t="s">
        <v>222</v>
      </c>
      <c r="W547" s="31">
        <v>2020</v>
      </c>
      <c r="X547" s="28">
        <v>1</v>
      </c>
      <c r="Y547" s="28">
        <v>0</v>
      </c>
      <c r="Z547" s="196">
        <v>-2.1513024844954491E-4</v>
      </c>
      <c r="AA547" s="196">
        <v>-3.3096961299929986E-3</v>
      </c>
      <c r="AB547" s="28">
        <v>0</v>
      </c>
      <c r="AC547" s="28">
        <v>0</v>
      </c>
      <c r="AD547" s="28" t="s">
        <v>337</v>
      </c>
    </row>
    <row r="548" spans="2:30" ht="14.25" customHeight="1" x14ac:dyDescent="0.2">
      <c r="B548" s="7">
        <f t="shared" si="32"/>
        <v>524</v>
      </c>
      <c r="C548" s="28">
        <v>2</v>
      </c>
      <c r="D548" s="28">
        <v>4</v>
      </c>
      <c r="E548" s="31">
        <v>15</v>
      </c>
      <c r="F548" s="78">
        <v>2034</v>
      </c>
      <c r="G548" s="28">
        <v>2034</v>
      </c>
      <c r="H548" s="28">
        <v>1</v>
      </c>
      <c r="I548" s="96">
        <v>50</v>
      </c>
      <c r="J548" s="31">
        <v>34</v>
      </c>
      <c r="K548" s="28">
        <v>0</v>
      </c>
      <c r="L548" s="28">
        <v>0</v>
      </c>
      <c r="M548" s="156">
        <v>22.03</v>
      </c>
      <c r="N548" s="151">
        <v>10027.5</v>
      </c>
      <c r="O548" s="79">
        <v>0</v>
      </c>
      <c r="P548" s="95">
        <f t="array" ref="P548">ROUND(IF($F548&lt;='TaxCred&amp;Subs'!$C$49,(IF($C548=2,IF($M548&gt;=IFERROR(INDEX('TaxCred&amp;Subs'!$L$12:$L$47,MATCH(1,($C548&amp;$D548='TaxCred&amp;Subs'!$E$12:$E$47)*($F548='TaxCred&amp;Subs'!$C$12:$C$47),0)
),9999),IFERROR(INDEX('TaxCred&amp;Subs'!$N$12:$N$47,MATCH(1,($C548&amp;$D548='TaxCred&amp;Subs'!$E$12:$E$47)*($F548='TaxCred&amp;Subs'!$C$12:$C$47),0)
),0),0),(IF($M548&gt;=IFERROR(INDEX('TaxCred&amp;Subs'!$H$12:$H$47,MATCH(1,($C548&amp;$D548='TaxCred&amp;Subs'!$D$12:$D$47)*($F548='TaxCred&amp;Subs'!$C$12:$C$47),0)
),9999),IFERROR(INDEX('TaxCred&amp;Subs'!$N$12:$N$47,MATCH(1,($C548&amp;$D548='TaxCred&amp;Subs'!$D$12:$D$47)*($F548='TaxCred&amp;Subs'!$C$12:$C$47),0)
),0),0)))),0)+IF(AND($C548=2,VALUE(RIGHT($AD548,1))&gt;2),(N548-R548)*(IFERROR(INDEX('TaxCred&amp;Subs'!$J$66:$J$99,MATCH(1,($C548&amp;$D548='TaxCred&amp;Subs'!$E$66:$E$99)*($F548='TaxCred&amp;Subs'!$C$66:$C$99),0)),0)),IF(AND($C548=1,VALUE(RIGHT($AD548,1))&gt;2),(N548-R548)*(IFERROR(INDEX('TaxCred&amp;Subs'!$J$66:$J$99,MATCH(1,($C548&amp;$D548='TaxCred&amp;Subs'!$D$66:$D$99)*($F548='TaxCred&amp;Subs'!$C$66:$C$99),0)),0)),IF($C548&gt;2,(N548-R548)*(IFERROR(INDEX('TaxCred&amp;Subs'!$J$66:$J$99,MATCH(1,($C548&amp;$D548='TaxCred&amp;Subs'!$D$66:$D$99)*($F548='TaxCred&amp;Subs'!$C$66:$C$99),0)),0)),0))),0)</f>
        <v>1659</v>
      </c>
      <c r="Q548" s="95">
        <f t="array" ref="Q548">ROUND(IF(AND($C548=2,VALUE(RIGHT($AD548,1))&gt;2),(O548-S548)*(IFERROR(INDEX('TaxCred&amp;Subs'!$J$66:$J$99,MATCH(1,($C548&amp;$D548='TaxCred&amp;Subs'!$E$66:$E$99)*($F548='TaxCred&amp;Subs'!$C$66:$C$99),0)),0)),IF(AND($C548=1,VALUE(RIGHT($AD548,1))&gt;2),(O548-S548)*(IFERROR(INDEX('TaxCred&amp;Subs'!$J$66:$J$99,MATCH(1,($C548&amp;$D548='TaxCred&amp;Subs'!$D$66:$D$99)*($F548='TaxCred&amp;Subs'!$C$66:$C$99),0)),0)),IF($C548&gt;2,(O548-S548)*(IFERROR(INDEX('TaxCred&amp;Subs'!$J$66:$J$99,MATCH(1,($C548&amp;$D548='TaxCred&amp;Subs'!$D$66:$D$99)*($F548='TaxCred&amp;Subs'!$C$66:$C$99),0)),0)),0))),0)</f>
        <v>0</v>
      </c>
      <c r="R548" s="170">
        <f t="array" ref="R548">ROUND(IF(IFERROR(VALUE(RIGHT($AD548,1)),0)&gt;2,IF($C548=8,N548*IFERROR(INDEX('TaxCred&amp;Subs'!$K$139:$S$151,MATCH($C548&amp;$D548&amp;LEFT($AD548,7),'TaxCred&amp;Subs'!$E$139:$E$151,0),MATCH($H548,'TaxCred&amp;Subs'!$K$137:$S$137,0)),0),IF($C548=2,N548*IFERROR(INDEX('TaxCred&amp;Subs'!$K$139:$S$151,MATCH($C548&amp;$D548,'TaxCred&amp;Subs'!$D$139:$D$151,0),MATCH($H548,'TaxCred&amp;Subs'!$K$137:$S$137,0)),0),N548*IFERROR(INDEX('TaxCred&amp;Subs'!$K$139:$S$151,MATCH($C548&amp;$D548,'TaxCred&amp;Subs'!$C$139:$C$151,0),MATCH($H548,'TaxCred&amp;Subs'!$K$137:$S$137,0)),0))),0),0)</f>
        <v>2486</v>
      </c>
      <c r="S548" s="170">
        <f t="array" ref="S548">ROUND(IF(IFERROR(VALUE(RIGHT($AD548,1)),0)&gt;2,IF($C548=8,O548*IFERROR(INDEX('TaxCred&amp;Subs'!$K$139:$S$151,MATCH($C548&amp;$D548&amp;LEFT($AD548,7),'TaxCred&amp;Subs'!$E$139:$E$151,0),MATCH($H548,'TaxCred&amp;Subs'!$K$137:$S$137,0)),0),IF($C548=2,O548*IFERROR(INDEX('TaxCred&amp;Subs'!$K$139:$S$151,MATCH($C548&amp;$D548,'TaxCred&amp;Subs'!$D$139:$D$151,0),MATCH($H548,'TaxCred&amp;Subs'!$K$137:$S$137,0)),0),O548*IFERROR(INDEX('TaxCred&amp;Subs'!$K$139:$S$151,MATCH($C548&amp;$D548,'TaxCred&amp;Subs'!$C$139:$C$151,0),MATCH($H548,'TaxCred&amp;Subs'!$K$137:$S$137,0)),0))),0),0)</f>
        <v>0</v>
      </c>
      <c r="T548" s="95">
        <f t="shared" si="30"/>
        <v>0</v>
      </c>
      <c r="U548" s="95">
        <f t="shared" si="31"/>
        <v>0</v>
      </c>
      <c r="V548" s="28" t="s">
        <v>222</v>
      </c>
      <c r="W548" s="31">
        <v>2020</v>
      </c>
      <c r="X548" s="28">
        <v>1</v>
      </c>
      <c r="Y548" s="28">
        <v>0</v>
      </c>
      <c r="Z548" s="196">
        <v>-2.1513024844954491E-4</v>
      </c>
      <c r="AA548" s="196">
        <v>-3.3096961299929986E-3</v>
      </c>
      <c r="AB548" s="28">
        <v>0</v>
      </c>
      <c r="AC548" s="28">
        <v>0</v>
      </c>
      <c r="AD548" s="28" t="s">
        <v>337</v>
      </c>
    </row>
    <row r="549" spans="2:30" ht="14.25" customHeight="1" x14ac:dyDescent="0.2">
      <c r="B549" s="7">
        <f t="shared" si="32"/>
        <v>525</v>
      </c>
      <c r="C549" s="28">
        <v>2</v>
      </c>
      <c r="D549" s="28">
        <v>4</v>
      </c>
      <c r="E549" s="31">
        <v>15</v>
      </c>
      <c r="F549" s="78">
        <v>2034</v>
      </c>
      <c r="G549" s="28">
        <v>2034</v>
      </c>
      <c r="H549" s="28">
        <v>2</v>
      </c>
      <c r="I549" s="96">
        <v>50</v>
      </c>
      <c r="J549" s="31">
        <v>34</v>
      </c>
      <c r="K549" s="28">
        <v>0</v>
      </c>
      <c r="L549" s="28">
        <v>0</v>
      </c>
      <c r="M549" s="156">
        <v>22.03</v>
      </c>
      <c r="N549" s="151">
        <v>10027.5</v>
      </c>
      <c r="O549" s="79">
        <v>0</v>
      </c>
      <c r="P549" s="95">
        <f t="array" ref="P549">ROUND(IF($F549&lt;='TaxCred&amp;Subs'!$C$49,(IF($C549=2,IF($M549&gt;=IFERROR(INDEX('TaxCred&amp;Subs'!$L$12:$L$47,MATCH(1,($C549&amp;$D549='TaxCred&amp;Subs'!$E$12:$E$47)*($F549='TaxCred&amp;Subs'!$C$12:$C$47),0)
),9999),IFERROR(INDEX('TaxCred&amp;Subs'!$N$12:$N$47,MATCH(1,($C549&amp;$D549='TaxCred&amp;Subs'!$E$12:$E$47)*($F549='TaxCred&amp;Subs'!$C$12:$C$47),0)
),0),0),(IF($M549&gt;=IFERROR(INDEX('TaxCred&amp;Subs'!$H$12:$H$47,MATCH(1,($C549&amp;$D549='TaxCred&amp;Subs'!$D$12:$D$47)*($F549='TaxCred&amp;Subs'!$C$12:$C$47),0)
),9999),IFERROR(INDEX('TaxCred&amp;Subs'!$N$12:$N$47,MATCH(1,($C549&amp;$D549='TaxCred&amp;Subs'!$D$12:$D$47)*($F549='TaxCred&amp;Subs'!$C$12:$C$47),0)
),0),0)))),0)+IF(AND($C549=2,VALUE(RIGHT($AD549,1))&gt;2),(N549-R549)*(IFERROR(INDEX('TaxCred&amp;Subs'!$J$66:$J$99,MATCH(1,($C549&amp;$D549='TaxCred&amp;Subs'!$E$66:$E$99)*($F549='TaxCred&amp;Subs'!$C$66:$C$99),0)),0)),IF(AND($C549=1,VALUE(RIGHT($AD549,1))&gt;2),(N549-R549)*(IFERROR(INDEX('TaxCred&amp;Subs'!$J$66:$J$99,MATCH(1,($C549&amp;$D549='TaxCred&amp;Subs'!$D$66:$D$99)*($F549='TaxCred&amp;Subs'!$C$66:$C$99),0)),0)),IF($C549&gt;2,(N549-R549)*(IFERROR(INDEX('TaxCred&amp;Subs'!$J$66:$J$99,MATCH(1,($C549&amp;$D549='TaxCred&amp;Subs'!$D$66:$D$99)*($F549='TaxCred&amp;Subs'!$C$66:$C$99),0)),0)),0))),0)</f>
        <v>1980</v>
      </c>
      <c r="Q549" s="95">
        <f t="array" ref="Q549">ROUND(IF(AND($C549=2,VALUE(RIGHT($AD549,1))&gt;2),(O549-S549)*(IFERROR(INDEX('TaxCred&amp;Subs'!$J$66:$J$99,MATCH(1,($C549&amp;$D549='TaxCred&amp;Subs'!$E$66:$E$99)*($F549='TaxCred&amp;Subs'!$C$66:$C$99),0)),0)),IF(AND($C549=1,VALUE(RIGHT($AD549,1))&gt;2),(O549-S549)*(IFERROR(INDEX('TaxCred&amp;Subs'!$J$66:$J$99,MATCH(1,($C549&amp;$D549='TaxCred&amp;Subs'!$D$66:$D$99)*($F549='TaxCred&amp;Subs'!$C$66:$C$99),0)),0)),IF($C549&gt;2,(O549-S549)*(IFERROR(INDEX('TaxCred&amp;Subs'!$J$66:$J$99,MATCH(1,($C549&amp;$D549='TaxCred&amp;Subs'!$D$66:$D$99)*($F549='TaxCred&amp;Subs'!$C$66:$C$99),0)),0)),0))),0)</f>
        <v>0</v>
      </c>
      <c r="R549" s="170">
        <f t="array" ref="R549">ROUND(IF(IFERROR(VALUE(RIGHT($AD549,1)),0)&gt;2,IF($C549=8,N549*IFERROR(INDEX('TaxCred&amp;Subs'!$K$139:$S$151,MATCH($C549&amp;$D549&amp;LEFT($AD549,7),'TaxCred&amp;Subs'!$E$139:$E$151,0),MATCH($H549,'TaxCred&amp;Subs'!$K$137:$S$137,0)),0),IF($C549=2,N549*IFERROR(INDEX('TaxCred&amp;Subs'!$K$139:$S$151,MATCH($C549&amp;$D549,'TaxCred&amp;Subs'!$D$139:$D$151,0),MATCH($H549,'TaxCred&amp;Subs'!$K$137:$S$137,0)),0),N549*IFERROR(INDEX('TaxCred&amp;Subs'!$K$139:$S$151,MATCH($C549&amp;$D549,'TaxCred&amp;Subs'!$C$139:$C$151,0),MATCH($H549,'TaxCred&amp;Subs'!$K$137:$S$137,0)),0))),0),0)</f>
        <v>1026</v>
      </c>
      <c r="S549" s="170">
        <f t="array" ref="S549">ROUND(IF(IFERROR(VALUE(RIGHT($AD549,1)),0)&gt;2,IF($C549=8,O549*IFERROR(INDEX('TaxCred&amp;Subs'!$K$139:$S$151,MATCH($C549&amp;$D549&amp;LEFT($AD549,7),'TaxCred&amp;Subs'!$E$139:$E$151,0),MATCH($H549,'TaxCred&amp;Subs'!$K$137:$S$137,0)),0),IF($C549=2,O549*IFERROR(INDEX('TaxCred&amp;Subs'!$K$139:$S$151,MATCH($C549&amp;$D549,'TaxCred&amp;Subs'!$D$139:$D$151,0),MATCH($H549,'TaxCred&amp;Subs'!$K$137:$S$137,0)),0),O549*IFERROR(INDEX('TaxCred&amp;Subs'!$K$139:$S$151,MATCH($C549&amp;$D549,'TaxCred&amp;Subs'!$C$139:$C$151,0),MATCH($H549,'TaxCred&amp;Subs'!$K$137:$S$137,0)),0))),0),0)</f>
        <v>0</v>
      </c>
      <c r="T549" s="95">
        <f t="shared" si="30"/>
        <v>0</v>
      </c>
      <c r="U549" s="95">
        <f t="shared" si="31"/>
        <v>0</v>
      </c>
      <c r="V549" s="28" t="s">
        <v>222</v>
      </c>
      <c r="W549" s="31">
        <v>2020</v>
      </c>
      <c r="X549" s="28">
        <v>1</v>
      </c>
      <c r="Y549" s="28">
        <v>0</v>
      </c>
      <c r="Z549" s="196">
        <v>-2.1513024844954491E-4</v>
      </c>
      <c r="AA549" s="196">
        <v>-3.3096961299929986E-3</v>
      </c>
      <c r="AB549" s="28">
        <v>0</v>
      </c>
      <c r="AC549" s="28">
        <v>0</v>
      </c>
      <c r="AD549" s="28" t="s">
        <v>337</v>
      </c>
    </row>
    <row r="550" spans="2:30" ht="14.25" customHeight="1" x14ac:dyDescent="0.2">
      <c r="B550" s="7">
        <f t="shared" si="32"/>
        <v>526</v>
      </c>
      <c r="C550" s="28">
        <v>2</v>
      </c>
      <c r="D550" s="28">
        <v>4</v>
      </c>
      <c r="E550" s="31">
        <v>15</v>
      </c>
      <c r="F550" s="78">
        <v>2034</v>
      </c>
      <c r="G550" s="28">
        <v>2034</v>
      </c>
      <c r="H550" s="28">
        <v>3</v>
      </c>
      <c r="I550" s="96">
        <v>50</v>
      </c>
      <c r="J550" s="31">
        <v>34</v>
      </c>
      <c r="K550" s="28">
        <v>0</v>
      </c>
      <c r="L550" s="28">
        <v>0</v>
      </c>
      <c r="M550" s="156">
        <v>22.03</v>
      </c>
      <c r="N550" s="151">
        <v>10027.5</v>
      </c>
      <c r="O550" s="79">
        <v>0</v>
      </c>
      <c r="P550" s="95">
        <f t="array" ref="P550">ROUND(IF($F550&lt;='TaxCred&amp;Subs'!$C$49,(IF($C550=2,IF($M550&gt;=IFERROR(INDEX('TaxCred&amp;Subs'!$L$12:$L$47,MATCH(1,($C550&amp;$D550='TaxCred&amp;Subs'!$E$12:$E$47)*($F550='TaxCred&amp;Subs'!$C$12:$C$47),0)
),9999),IFERROR(INDEX('TaxCred&amp;Subs'!$N$12:$N$47,MATCH(1,($C550&amp;$D550='TaxCred&amp;Subs'!$E$12:$E$47)*($F550='TaxCred&amp;Subs'!$C$12:$C$47),0)
),0),0),(IF($M550&gt;=IFERROR(INDEX('TaxCred&amp;Subs'!$H$12:$H$47,MATCH(1,($C550&amp;$D550='TaxCred&amp;Subs'!$D$12:$D$47)*($F550='TaxCred&amp;Subs'!$C$12:$C$47),0)
),9999),IFERROR(INDEX('TaxCred&amp;Subs'!$N$12:$N$47,MATCH(1,($C550&amp;$D550='TaxCred&amp;Subs'!$D$12:$D$47)*($F550='TaxCred&amp;Subs'!$C$12:$C$47),0)
),0),0)))),0)+IF(AND($C550=2,VALUE(RIGHT($AD550,1))&gt;2),(N550-R550)*(IFERROR(INDEX('TaxCred&amp;Subs'!$J$66:$J$99,MATCH(1,($C550&amp;$D550='TaxCred&amp;Subs'!$E$66:$E$99)*($F550='TaxCred&amp;Subs'!$C$66:$C$99),0)),0)),IF(AND($C550=1,VALUE(RIGHT($AD550,1))&gt;2),(N550-R550)*(IFERROR(INDEX('TaxCred&amp;Subs'!$J$66:$J$99,MATCH(1,($C550&amp;$D550='TaxCred&amp;Subs'!$D$66:$D$99)*($F550='TaxCred&amp;Subs'!$C$66:$C$99),0)),0)),IF($C550&gt;2,(N550-R550)*(IFERROR(INDEX('TaxCred&amp;Subs'!$J$66:$J$99,MATCH(1,($C550&amp;$D550='TaxCred&amp;Subs'!$D$66:$D$99)*($F550='TaxCred&amp;Subs'!$C$66:$C$99),0)),0)),0))),0)</f>
        <v>2029</v>
      </c>
      <c r="Q550" s="95">
        <f t="array" ref="Q550">ROUND(IF(AND($C550=2,VALUE(RIGHT($AD550,1))&gt;2),(O550-S550)*(IFERROR(INDEX('TaxCred&amp;Subs'!$J$66:$J$99,MATCH(1,($C550&amp;$D550='TaxCred&amp;Subs'!$E$66:$E$99)*($F550='TaxCred&amp;Subs'!$C$66:$C$99),0)),0)),IF(AND($C550=1,VALUE(RIGHT($AD550,1))&gt;2),(O550-S550)*(IFERROR(INDEX('TaxCred&amp;Subs'!$J$66:$J$99,MATCH(1,($C550&amp;$D550='TaxCred&amp;Subs'!$D$66:$D$99)*($F550='TaxCred&amp;Subs'!$C$66:$C$99),0)),0)),IF($C550&gt;2,(O550-S550)*(IFERROR(INDEX('TaxCred&amp;Subs'!$J$66:$J$99,MATCH(1,($C550&amp;$D550='TaxCred&amp;Subs'!$D$66:$D$99)*($F550='TaxCred&amp;Subs'!$C$66:$C$99),0)),0)),0))),0)</f>
        <v>0</v>
      </c>
      <c r="R550" s="170">
        <f t="array" ref="R550">ROUND(IF(IFERROR(VALUE(RIGHT($AD550,1)),0)&gt;2,IF($C550=8,N550*IFERROR(INDEX('TaxCred&amp;Subs'!$K$139:$S$151,MATCH($C550&amp;$D550&amp;LEFT($AD550,7),'TaxCred&amp;Subs'!$E$139:$E$151,0),MATCH($H550,'TaxCred&amp;Subs'!$K$137:$S$137,0)),0),IF($C550=2,N550*IFERROR(INDEX('TaxCred&amp;Subs'!$K$139:$S$151,MATCH($C550&amp;$D550,'TaxCred&amp;Subs'!$D$139:$D$151,0),MATCH($H550,'TaxCred&amp;Subs'!$K$137:$S$137,0)),0),N550*IFERROR(INDEX('TaxCred&amp;Subs'!$K$139:$S$151,MATCH($C550&amp;$D550,'TaxCred&amp;Subs'!$C$139:$C$151,0),MATCH($H550,'TaxCred&amp;Subs'!$K$137:$S$137,0)),0))),0),0)</f>
        <v>807</v>
      </c>
      <c r="S550" s="170">
        <f t="array" ref="S550">ROUND(IF(IFERROR(VALUE(RIGHT($AD550,1)),0)&gt;2,IF($C550=8,O550*IFERROR(INDEX('TaxCred&amp;Subs'!$K$139:$S$151,MATCH($C550&amp;$D550&amp;LEFT($AD550,7),'TaxCred&amp;Subs'!$E$139:$E$151,0),MATCH($H550,'TaxCred&amp;Subs'!$K$137:$S$137,0)),0),IF($C550=2,O550*IFERROR(INDEX('TaxCred&amp;Subs'!$K$139:$S$151,MATCH($C550&amp;$D550,'TaxCred&amp;Subs'!$D$139:$D$151,0),MATCH($H550,'TaxCred&amp;Subs'!$K$137:$S$137,0)),0),O550*IFERROR(INDEX('TaxCred&amp;Subs'!$K$139:$S$151,MATCH($C550&amp;$D550,'TaxCred&amp;Subs'!$C$139:$C$151,0),MATCH($H550,'TaxCred&amp;Subs'!$K$137:$S$137,0)),0))),0),0)</f>
        <v>0</v>
      </c>
      <c r="T550" s="95">
        <f t="shared" si="30"/>
        <v>0</v>
      </c>
      <c r="U550" s="95">
        <f t="shared" si="31"/>
        <v>0</v>
      </c>
      <c r="V550" s="28" t="s">
        <v>222</v>
      </c>
      <c r="W550" s="31">
        <v>2020</v>
      </c>
      <c r="X550" s="28">
        <v>1</v>
      </c>
      <c r="Y550" s="28">
        <v>0</v>
      </c>
      <c r="Z550" s="196">
        <v>-2.1513024844954491E-4</v>
      </c>
      <c r="AA550" s="196">
        <v>-3.3096961299929986E-3</v>
      </c>
      <c r="AB550" s="28">
        <v>0</v>
      </c>
      <c r="AC550" s="28">
        <v>0</v>
      </c>
      <c r="AD550" s="28" t="s">
        <v>337</v>
      </c>
    </row>
    <row r="551" spans="2:30" ht="14.25" customHeight="1" x14ac:dyDescent="0.2">
      <c r="B551" s="7">
        <f t="shared" si="32"/>
        <v>527</v>
      </c>
      <c r="C551" s="28">
        <v>2</v>
      </c>
      <c r="D551" s="28">
        <v>4</v>
      </c>
      <c r="E551" s="31">
        <v>15</v>
      </c>
      <c r="F551" s="78">
        <v>2034</v>
      </c>
      <c r="G551" s="28">
        <v>2034</v>
      </c>
      <c r="H551" s="28">
        <v>4</v>
      </c>
      <c r="I551" s="96">
        <v>50</v>
      </c>
      <c r="J551" s="31">
        <v>34</v>
      </c>
      <c r="K551" s="28">
        <v>0</v>
      </c>
      <c r="L551" s="28">
        <v>0</v>
      </c>
      <c r="M551" s="156">
        <v>22.03</v>
      </c>
      <c r="N551" s="151">
        <v>10027.5</v>
      </c>
      <c r="O551" s="79">
        <v>0</v>
      </c>
      <c r="P551" s="95">
        <f t="array" ref="P551">ROUND(IF($F551&lt;='TaxCred&amp;Subs'!$C$49,(IF($C551=2,IF($M551&gt;=IFERROR(INDEX('TaxCred&amp;Subs'!$L$12:$L$47,MATCH(1,($C551&amp;$D551='TaxCred&amp;Subs'!$E$12:$E$47)*($F551='TaxCred&amp;Subs'!$C$12:$C$47),0)
),9999),IFERROR(INDEX('TaxCred&amp;Subs'!$N$12:$N$47,MATCH(1,($C551&amp;$D551='TaxCred&amp;Subs'!$E$12:$E$47)*($F551='TaxCred&amp;Subs'!$C$12:$C$47),0)
),0),0),(IF($M551&gt;=IFERROR(INDEX('TaxCred&amp;Subs'!$H$12:$H$47,MATCH(1,($C551&amp;$D551='TaxCred&amp;Subs'!$D$12:$D$47)*($F551='TaxCred&amp;Subs'!$C$12:$C$47),0)
),9999),IFERROR(INDEX('TaxCred&amp;Subs'!$N$12:$N$47,MATCH(1,($C551&amp;$D551='TaxCred&amp;Subs'!$D$12:$D$47)*($F551='TaxCred&amp;Subs'!$C$12:$C$47),0)
),0),0)))),0)+IF(AND($C551=2,VALUE(RIGHT($AD551,1))&gt;2),(N551-R551)*(IFERROR(INDEX('TaxCred&amp;Subs'!$J$66:$J$99,MATCH(1,($C551&amp;$D551='TaxCred&amp;Subs'!$E$66:$E$99)*($F551='TaxCred&amp;Subs'!$C$66:$C$99),0)),0)),IF(AND($C551=1,VALUE(RIGHT($AD551,1))&gt;2),(N551-R551)*(IFERROR(INDEX('TaxCred&amp;Subs'!$J$66:$J$99,MATCH(1,($C551&amp;$D551='TaxCred&amp;Subs'!$D$66:$D$99)*($F551='TaxCred&amp;Subs'!$C$66:$C$99),0)),0)),IF($C551&gt;2,(N551-R551)*(IFERROR(INDEX('TaxCred&amp;Subs'!$J$66:$J$99,MATCH(1,($C551&amp;$D551='TaxCred&amp;Subs'!$D$66:$D$99)*($F551='TaxCred&amp;Subs'!$C$66:$C$99),0)),0)),0))),0)</f>
        <v>2064</v>
      </c>
      <c r="Q551" s="95">
        <f t="array" ref="Q551">ROUND(IF(AND($C551=2,VALUE(RIGHT($AD551,1))&gt;2),(O551-S551)*(IFERROR(INDEX('TaxCred&amp;Subs'!$J$66:$J$99,MATCH(1,($C551&amp;$D551='TaxCred&amp;Subs'!$E$66:$E$99)*($F551='TaxCred&amp;Subs'!$C$66:$C$99),0)),0)),IF(AND($C551=1,VALUE(RIGHT($AD551,1))&gt;2),(O551-S551)*(IFERROR(INDEX('TaxCred&amp;Subs'!$J$66:$J$99,MATCH(1,($C551&amp;$D551='TaxCred&amp;Subs'!$D$66:$D$99)*($F551='TaxCred&amp;Subs'!$C$66:$C$99),0)),0)),IF($C551&gt;2,(O551-S551)*(IFERROR(INDEX('TaxCred&amp;Subs'!$J$66:$J$99,MATCH(1,($C551&amp;$D551='TaxCred&amp;Subs'!$D$66:$D$99)*($F551='TaxCred&amp;Subs'!$C$66:$C$99),0)),0)),0))),0)</f>
        <v>0</v>
      </c>
      <c r="R551" s="170">
        <f t="array" ref="R551">ROUND(IF(IFERROR(VALUE(RIGHT($AD551,1)),0)&gt;2,IF($C551=8,N551*IFERROR(INDEX('TaxCred&amp;Subs'!$K$139:$S$151,MATCH($C551&amp;$D551&amp;LEFT($AD551,7),'TaxCred&amp;Subs'!$E$139:$E$151,0),MATCH($H551,'TaxCred&amp;Subs'!$K$137:$S$137,0)),0),IF($C551=2,N551*IFERROR(INDEX('TaxCred&amp;Subs'!$K$139:$S$151,MATCH($C551&amp;$D551,'TaxCred&amp;Subs'!$D$139:$D$151,0),MATCH($H551,'TaxCred&amp;Subs'!$K$137:$S$137,0)),0),N551*IFERROR(INDEX('TaxCred&amp;Subs'!$K$139:$S$151,MATCH($C551&amp;$D551,'TaxCred&amp;Subs'!$C$139:$C$151,0),MATCH($H551,'TaxCred&amp;Subs'!$K$137:$S$137,0)),0))),0),0)</f>
        <v>646</v>
      </c>
      <c r="S551" s="170">
        <f t="array" ref="S551">ROUND(IF(IFERROR(VALUE(RIGHT($AD551,1)),0)&gt;2,IF($C551=8,O551*IFERROR(INDEX('TaxCred&amp;Subs'!$K$139:$S$151,MATCH($C551&amp;$D551&amp;LEFT($AD551,7),'TaxCred&amp;Subs'!$E$139:$E$151,0),MATCH($H551,'TaxCred&amp;Subs'!$K$137:$S$137,0)),0),IF($C551=2,O551*IFERROR(INDEX('TaxCred&amp;Subs'!$K$139:$S$151,MATCH($C551&amp;$D551,'TaxCred&amp;Subs'!$D$139:$D$151,0),MATCH($H551,'TaxCred&amp;Subs'!$K$137:$S$137,0)),0),O551*IFERROR(INDEX('TaxCred&amp;Subs'!$K$139:$S$151,MATCH($C551&amp;$D551,'TaxCred&amp;Subs'!$C$139:$C$151,0),MATCH($H551,'TaxCred&amp;Subs'!$K$137:$S$137,0)),0))),0),0)</f>
        <v>0</v>
      </c>
      <c r="T551" s="95">
        <f t="shared" si="30"/>
        <v>0</v>
      </c>
      <c r="U551" s="95">
        <f t="shared" si="31"/>
        <v>0</v>
      </c>
      <c r="V551" s="28" t="s">
        <v>222</v>
      </c>
      <c r="W551" s="31">
        <v>2020</v>
      </c>
      <c r="X551" s="28">
        <v>1</v>
      </c>
      <c r="Y551" s="28">
        <v>0</v>
      </c>
      <c r="Z551" s="196">
        <v>-2.1513024844954491E-4</v>
      </c>
      <c r="AA551" s="196">
        <v>-3.3096961299929986E-3</v>
      </c>
      <c r="AB551" s="28">
        <v>0</v>
      </c>
      <c r="AC551" s="28">
        <v>0</v>
      </c>
      <c r="AD551" s="28" t="s">
        <v>337</v>
      </c>
    </row>
    <row r="552" spans="2:30" ht="14.25" customHeight="1" x14ac:dyDescent="0.2">
      <c r="B552" s="7">
        <f t="shared" si="32"/>
        <v>528</v>
      </c>
      <c r="C552" s="28">
        <v>2</v>
      </c>
      <c r="D552" s="28">
        <v>4</v>
      </c>
      <c r="E552" s="31">
        <v>15</v>
      </c>
      <c r="F552" s="78">
        <v>2034</v>
      </c>
      <c r="G552" s="28">
        <v>2034</v>
      </c>
      <c r="H552" s="28">
        <v>5</v>
      </c>
      <c r="I552" s="96">
        <v>50</v>
      </c>
      <c r="J552" s="31">
        <v>34</v>
      </c>
      <c r="K552" s="28">
        <v>0</v>
      </c>
      <c r="L552" s="28">
        <v>0</v>
      </c>
      <c r="M552" s="156">
        <v>22.03</v>
      </c>
      <c r="N552" s="151">
        <v>10027.5</v>
      </c>
      <c r="O552" s="79">
        <v>0</v>
      </c>
      <c r="P552" s="95">
        <f t="array" ref="P552">ROUND(IF($F552&lt;='TaxCred&amp;Subs'!$C$49,(IF($C552=2,IF($M552&gt;=IFERROR(INDEX('TaxCred&amp;Subs'!$L$12:$L$47,MATCH(1,($C552&amp;$D552='TaxCred&amp;Subs'!$E$12:$E$47)*($F552='TaxCred&amp;Subs'!$C$12:$C$47),0)
),9999),IFERROR(INDEX('TaxCred&amp;Subs'!$N$12:$N$47,MATCH(1,($C552&amp;$D552='TaxCred&amp;Subs'!$E$12:$E$47)*($F552='TaxCred&amp;Subs'!$C$12:$C$47),0)
),0),0),(IF($M552&gt;=IFERROR(INDEX('TaxCred&amp;Subs'!$H$12:$H$47,MATCH(1,($C552&amp;$D552='TaxCred&amp;Subs'!$D$12:$D$47)*($F552='TaxCred&amp;Subs'!$C$12:$C$47),0)
),9999),IFERROR(INDEX('TaxCred&amp;Subs'!$N$12:$N$47,MATCH(1,($C552&amp;$D552='TaxCred&amp;Subs'!$D$12:$D$47)*($F552='TaxCred&amp;Subs'!$C$12:$C$47),0)
),0),0)))),0)+IF(AND($C552=2,VALUE(RIGHT($AD552,1))&gt;2),(N552-R552)*(IFERROR(INDEX('TaxCred&amp;Subs'!$J$66:$J$99,MATCH(1,($C552&amp;$D552='TaxCred&amp;Subs'!$E$66:$E$99)*($F552='TaxCred&amp;Subs'!$C$66:$C$99),0)),0)),IF(AND($C552=1,VALUE(RIGHT($AD552,1))&gt;2),(N552-R552)*(IFERROR(INDEX('TaxCred&amp;Subs'!$J$66:$J$99,MATCH(1,($C552&amp;$D552='TaxCred&amp;Subs'!$D$66:$D$99)*($F552='TaxCred&amp;Subs'!$C$66:$C$99),0)),0)),IF($C552&gt;2,(N552-R552)*(IFERROR(INDEX('TaxCred&amp;Subs'!$J$66:$J$99,MATCH(1,($C552&amp;$D552='TaxCred&amp;Subs'!$D$66:$D$99)*($F552='TaxCred&amp;Subs'!$C$66:$C$99),0)),0)),0))),0)</f>
        <v>2052</v>
      </c>
      <c r="Q552" s="95">
        <f t="array" ref="Q552">ROUND(IF(AND($C552=2,VALUE(RIGHT($AD552,1))&gt;2),(O552-S552)*(IFERROR(INDEX('TaxCred&amp;Subs'!$J$66:$J$99,MATCH(1,($C552&amp;$D552='TaxCred&amp;Subs'!$E$66:$E$99)*($F552='TaxCred&amp;Subs'!$C$66:$C$99),0)),0)),IF(AND($C552=1,VALUE(RIGHT($AD552,1))&gt;2),(O552-S552)*(IFERROR(INDEX('TaxCred&amp;Subs'!$J$66:$J$99,MATCH(1,($C552&amp;$D552='TaxCred&amp;Subs'!$D$66:$D$99)*($F552='TaxCred&amp;Subs'!$C$66:$C$99),0)),0)),IF($C552&gt;2,(O552-S552)*(IFERROR(INDEX('TaxCred&amp;Subs'!$J$66:$J$99,MATCH(1,($C552&amp;$D552='TaxCred&amp;Subs'!$D$66:$D$99)*($F552='TaxCred&amp;Subs'!$C$66:$C$99),0)),0)),0))),0)</f>
        <v>0</v>
      </c>
      <c r="R552" s="170">
        <f t="array" ref="R552">ROUND(IF(IFERROR(VALUE(RIGHT($AD552,1)),0)&gt;2,IF($C552=8,N552*IFERROR(INDEX('TaxCred&amp;Subs'!$K$139:$S$151,MATCH($C552&amp;$D552&amp;LEFT($AD552,7),'TaxCred&amp;Subs'!$E$139:$E$151,0),MATCH($H552,'TaxCred&amp;Subs'!$K$137:$S$137,0)),0),IF($C552=2,N552*IFERROR(INDEX('TaxCred&amp;Subs'!$K$139:$S$151,MATCH($C552&amp;$D552,'TaxCred&amp;Subs'!$D$139:$D$151,0),MATCH($H552,'TaxCred&amp;Subs'!$K$137:$S$137,0)),0),N552*IFERROR(INDEX('TaxCred&amp;Subs'!$K$139:$S$151,MATCH($C552&amp;$D552,'TaxCred&amp;Subs'!$C$139:$C$151,0),MATCH($H552,'TaxCred&amp;Subs'!$K$137:$S$137,0)),0))),0),0)</f>
        <v>699</v>
      </c>
      <c r="S552" s="170">
        <f t="array" ref="S552">ROUND(IF(IFERROR(VALUE(RIGHT($AD552,1)),0)&gt;2,IF($C552=8,O552*IFERROR(INDEX('TaxCred&amp;Subs'!$K$139:$S$151,MATCH($C552&amp;$D552&amp;LEFT($AD552,7),'TaxCred&amp;Subs'!$E$139:$E$151,0),MATCH($H552,'TaxCred&amp;Subs'!$K$137:$S$137,0)),0),IF($C552=2,O552*IFERROR(INDEX('TaxCred&amp;Subs'!$K$139:$S$151,MATCH($C552&amp;$D552,'TaxCred&amp;Subs'!$D$139:$D$151,0),MATCH($H552,'TaxCred&amp;Subs'!$K$137:$S$137,0)),0),O552*IFERROR(INDEX('TaxCred&amp;Subs'!$K$139:$S$151,MATCH($C552&amp;$D552,'TaxCred&amp;Subs'!$C$139:$C$151,0),MATCH($H552,'TaxCred&amp;Subs'!$K$137:$S$137,0)),0))),0),0)</f>
        <v>0</v>
      </c>
      <c r="T552" s="95">
        <f t="shared" si="30"/>
        <v>0</v>
      </c>
      <c r="U552" s="95">
        <f t="shared" si="31"/>
        <v>0</v>
      </c>
      <c r="V552" s="28" t="s">
        <v>222</v>
      </c>
      <c r="W552" s="31">
        <v>2020</v>
      </c>
      <c r="X552" s="28">
        <v>1</v>
      </c>
      <c r="Y552" s="28">
        <v>0</v>
      </c>
      <c r="Z552" s="196">
        <v>-2.1513024844954491E-4</v>
      </c>
      <c r="AA552" s="196">
        <v>-3.3096961299929986E-3</v>
      </c>
      <c r="AB552" s="28">
        <v>0</v>
      </c>
      <c r="AC552" s="28">
        <v>0</v>
      </c>
      <c r="AD552" s="28" t="s">
        <v>337</v>
      </c>
    </row>
    <row r="553" spans="2:30" ht="14.25" customHeight="1" x14ac:dyDescent="0.2">
      <c r="B553" s="7">
        <f t="shared" si="32"/>
        <v>529</v>
      </c>
      <c r="C553" s="28">
        <v>2</v>
      </c>
      <c r="D553" s="28">
        <v>4</v>
      </c>
      <c r="E553" s="31">
        <v>15</v>
      </c>
      <c r="F553" s="78">
        <v>2034</v>
      </c>
      <c r="G553" s="28">
        <v>2034</v>
      </c>
      <c r="H553" s="28">
        <v>6</v>
      </c>
      <c r="I553" s="96">
        <v>50</v>
      </c>
      <c r="J553" s="31">
        <v>34</v>
      </c>
      <c r="K553" s="28">
        <v>0</v>
      </c>
      <c r="L553" s="28">
        <v>0</v>
      </c>
      <c r="M553" s="156">
        <v>22.03</v>
      </c>
      <c r="N553" s="151">
        <v>10027.5</v>
      </c>
      <c r="O553" s="79">
        <v>0</v>
      </c>
      <c r="P553" s="95">
        <f t="array" ref="P553">ROUND(IF($F553&lt;='TaxCred&amp;Subs'!$C$49,(IF($C553=2,IF($M553&gt;=IFERROR(INDEX('TaxCred&amp;Subs'!$L$12:$L$47,MATCH(1,($C553&amp;$D553='TaxCred&amp;Subs'!$E$12:$E$47)*($F553='TaxCred&amp;Subs'!$C$12:$C$47),0)
),9999),IFERROR(INDEX('TaxCred&amp;Subs'!$N$12:$N$47,MATCH(1,($C553&amp;$D553='TaxCred&amp;Subs'!$E$12:$E$47)*($F553='TaxCred&amp;Subs'!$C$12:$C$47),0)
),0),0),(IF($M553&gt;=IFERROR(INDEX('TaxCred&amp;Subs'!$H$12:$H$47,MATCH(1,($C553&amp;$D553='TaxCred&amp;Subs'!$D$12:$D$47)*($F553='TaxCred&amp;Subs'!$C$12:$C$47),0)
),9999),IFERROR(INDEX('TaxCred&amp;Subs'!$N$12:$N$47,MATCH(1,($C553&amp;$D553='TaxCred&amp;Subs'!$D$12:$D$47)*($F553='TaxCred&amp;Subs'!$C$12:$C$47),0)
),0),0)))),0)+IF(AND($C553=2,VALUE(RIGHT($AD553,1))&gt;2),(N553-R553)*(IFERROR(INDEX('TaxCred&amp;Subs'!$J$66:$J$99,MATCH(1,($C553&amp;$D553='TaxCred&amp;Subs'!$E$66:$E$99)*($F553='TaxCred&amp;Subs'!$C$66:$C$99),0)),0)),IF(AND($C553=1,VALUE(RIGHT($AD553,1))&gt;2),(N553-R553)*(IFERROR(INDEX('TaxCred&amp;Subs'!$J$66:$J$99,MATCH(1,($C553&amp;$D553='TaxCred&amp;Subs'!$D$66:$D$99)*($F553='TaxCred&amp;Subs'!$C$66:$C$99),0)),0)),IF($C553&gt;2,(N553-R553)*(IFERROR(INDEX('TaxCred&amp;Subs'!$J$66:$J$99,MATCH(1,($C553&amp;$D553='TaxCred&amp;Subs'!$D$66:$D$99)*($F553='TaxCred&amp;Subs'!$C$66:$C$99),0)),0)),0))),0)</f>
        <v>2012</v>
      </c>
      <c r="Q553" s="95">
        <f t="array" ref="Q553">ROUND(IF(AND($C553=2,VALUE(RIGHT($AD553,1))&gt;2),(O553-S553)*(IFERROR(INDEX('TaxCred&amp;Subs'!$J$66:$J$99,MATCH(1,($C553&amp;$D553='TaxCred&amp;Subs'!$E$66:$E$99)*($F553='TaxCred&amp;Subs'!$C$66:$C$99),0)),0)),IF(AND($C553=1,VALUE(RIGHT($AD553,1))&gt;2),(O553-S553)*(IFERROR(INDEX('TaxCred&amp;Subs'!$J$66:$J$99,MATCH(1,($C553&amp;$D553='TaxCred&amp;Subs'!$D$66:$D$99)*($F553='TaxCred&amp;Subs'!$C$66:$C$99),0)),0)),IF($C553&gt;2,(O553-S553)*(IFERROR(INDEX('TaxCred&amp;Subs'!$J$66:$J$99,MATCH(1,($C553&amp;$D553='TaxCred&amp;Subs'!$D$66:$D$99)*($F553='TaxCred&amp;Subs'!$C$66:$C$99),0)),0)),0))),0)</f>
        <v>0</v>
      </c>
      <c r="R553" s="170">
        <f t="array" ref="R553">ROUND(IF(IFERROR(VALUE(RIGHT($AD553,1)),0)&gt;2,IF($C553=8,N553*IFERROR(INDEX('TaxCred&amp;Subs'!$K$139:$S$151,MATCH($C553&amp;$D553&amp;LEFT($AD553,7),'TaxCred&amp;Subs'!$E$139:$E$151,0),MATCH($H553,'TaxCred&amp;Subs'!$K$137:$S$137,0)),0),IF($C553=2,N553*IFERROR(INDEX('TaxCred&amp;Subs'!$K$139:$S$151,MATCH($C553&amp;$D553,'TaxCred&amp;Subs'!$D$139:$D$151,0),MATCH($H553,'TaxCred&amp;Subs'!$K$137:$S$137,0)),0),N553*IFERROR(INDEX('TaxCred&amp;Subs'!$K$139:$S$151,MATCH($C553&amp;$D553,'TaxCred&amp;Subs'!$C$139:$C$151,0),MATCH($H553,'TaxCred&amp;Subs'!$K$137:$S$137,0)),0))),0),0)</f>
        <v>884</v>
      </c>
      <c r="S553" s="170">
        <f t="array" ref="S553">ROUND(IF(IFERROR(VALUE(RIGHT($AD553,1)),0)&gt;2,IF($C553=8,O553*IFERROR(INDEX('TaxCred&amp;Subs'!$K$139:$S$151,MATCH($C553&amp;$D553&amp;LEFT($AD553,7),'TaxCred&amp;Subs'!$E$139:$E$151,0),MATCH($H553,'TaxCred&amp;Subs'!$K$137:$S$137,0)),0),IF($C553=2,O553*IFERROR(INDEX('TaxCred&amp;Subs'!$K$139:$S$151,MATCH($C553&amp;$D553,'TaxCred&amp;Subs'!$D$139:$D$151,0),MATCH($H553,'TaxCred&amp;Subs'!$K$137:$S$137,0)),0),O553*IFERROR(INDEX('TaxCred&amp;Subs'!$K$139:$S$151,MATCH($C553&amp;$D553,'TaxCred&amp;Subs'!$C$139:$C$151,0),MATCH($H553,'TaxCred&amp;Subs'!$K$137:$S$137,0)),0))),0),0)</f>
        <v>0</v>
      </c>
      <c r="T553" s="95">
        <f t="shared" si="30"/>
        <v>0</v>
      </c>
      <c r="U553" s="95">
        <f t="shared" si="31"/>
        <v>0</v>
      </c>
      <c r="V553" s="28" t="s">
        <v>222</v>
      </c>
      <c r="W553" s="31">
        <v>2020</v>
      </c>
      <c r="X553" s="28">
        <v>1</v>
      </c>
      <c r="Y553" s="28">
        <v>0</v>
      </c>
      <c r="Z553" s="196">
        <v>-2.1513024844954491E-4</v>
      </c>
      <c r="AA553" s="196">
        <v>-3.3096961299929986E-3</v>
      </c>
      <c r="AB553" s="28">
        <v>0</v>
      </c>
      <c r="AC553" s="28">
        <v>0</v>
      </c>
      <c r="AD553" s="28" t="s">
        <v>337</v>
      </c>
    </row>
    <row r="554" spans="2:30" ht="14.25" customHeight="1" x14ac:dyDescent="0.2">
      <c r="B554" s="7">
        <f t="shared" si="32"/>
        <v>530</v>
      </c>
      <c r="C554" s="28">
        <v>2</v>
      </c>
      <c r="D554" s="28">
        <v>4</v>
      </c>
      <c r="E554" s="31">
        <v>15</v>
      </c>
      <c r="F554" s="78">
        <v>2034</v>
      </c>
      <c r="G554" s="28">
        <v>2034</v>
      </c>
      <c r="H554" s="28">
        <v>7</v>
      </c>
      <c r="I554" s="96">
        <v>50</v>
      </c>
      <c r="J554" s="31">
        <v>34</v>
      </c>
      <c r="K554" s="28">
        <v>0</v>
      </c>
      <c r="L554" s="28">
        <v>0</v>
      </c>
      <c r="M554" s="156">
        <v>22.03</v>
      </c>
      <c r="N554" s="151">
        <v>10027.5</v>
      </c>
      <c r="O554" s="79">
        <v>0</v>
      </c>
      <c r="P554" s="95">
        <f t="array" ref="P554">ROUND(IF($F554&lt;='TaxCred&amp;Subs'!$C$49,(IF($C554=2,IF($M554&gt;=IFERROR(INDEX('TaxCred&amp;Subs'!$L$12:$L$47,MATCH(1,($C554&amp;$D554='TaxCred&amp;Subs'!$E$12:$E$47)*($F554='TaxCred&amp;Subs'!$C$12:$C$47),0)
),9999),IFERROR(INDEX('TaxCred&amp;Subs'!$N$12:$N$47,MATCH(1,($C554&amp;$D554='TaxCred&amp;Subs'!$E$12:$E$47)*($F554='TaxCred&amp;Subs'!$C$12:$C$47),0)
),0),0),(IF($M554&gt;=IFERROR(INDEX('TaxCred&amp;Subs'!$H$12:$H$47,MATCH(1,($C554&amp;$D554='TaxCred&amp;Subs'!$D$12:$D$47)*($F554='TaxCred&amp;Subs'!$C$12:$C$47),0)
),9999),IFERROR(INDEX('TaxCred&amp;Subs'!$N$12:$N$47,MATCH(1,($C554&amp;$D554='TaxCred&amp;Subs'!$D$12:$D$47)*($F554='TaxCred&amp;Subs'!$C$12:$C$47),0)
),0),0)))),0)+IF(AND($C554=2,VALUE(RIGHT($AD554,1))&gt;2),(N554-R554)*(IFERROR(INDEX('TaxCred&amp;Subs'!$J$66:$J$99,MATCH(1,($C554&amp;$D554='TaxCred&amp;Subs'!$E$66:$E$99)*($F554='TaxCred&amp;Subs'!$C$66:$C$99),0)),0)),IF(AND($C554=1,VALUE(RIGHT($AD554,1))&gt;2),(N554-R554)*(IFERROR(INDEX('TaxCred&amp;Subs'!$J$66:$J$99,MATCH(1,($C554&amp;$D554='TaxCred&amp;Subs'!$D$66:$D$99)*($F554='TaxCred&amp;Subs'!$C$66:$C$99),0)),0)),IF($C554&gt;2,(N554-R554)*(IFERROR(INDEX('TaxCred&amp;Subs'!$J$66:$J$99,MATCH(1,($C554&amp;$D554='TaxCred&amp;Subs'!$D$66:$D$99)*($F554='TaxCred&amp;Subs'!$C$66:$C$99),0)),0)),0))),0)</f>
        <v>2125</v>
      </c>
      <c r="Q554" s="95">
        <f t="array" ref="Q554">ROUND(IF(AND($C554=2,VALUE(RIGHT($AD554,1))&gt;2),(O554-S554)*(IFERROR(INDEX('TaxCred&amp;Subs'!$J$66:$J$99,MATCH(1,($C554&amp;$D554='TaxCred&amp;Subs'!$E$66:$E$99)*($F554='TaxCred&amp;Subs'!$C$66:$C$99),0)),0)),IF(AND($C554=1,VALUE(RIGHT($AD554,1))&gt;2),(O554-S554)*(IFERROR(INDEX('TaxCred&amp;Subs'!$J$66:$J$99,MATCH(1,($C554&amp;$D554='TaxCred&amp;Subs'!$D$66:$D$99)*($F554='TaxCred&amp;Subs'!$C$66:$C$99),0)),0)),IF($C554&gt;2,(O554-S554)*(IFERROR(INDEX('TaxCred&amp;Subs'!$J$66:$J$99,MATCH(1,($C554&amp;$D554='TaxCred&amp;Subs'!$D$66:$D$99)*($F554='TaxCred&amp;Subs'!$C$66:$C$99),0)),0)),0))),0)</f>
        <v>0</v>
      </c>
      <c r="R554" s="170">
        <f t="array" ref="R554">ROUND(IF(IFERROR(VALUE(RIGHT($AD554,1)),0)&gt;2,IF($C554=8,N554*IFERROR(INDEX('TaxCred&amp;Subs'!$K$139:$S$151,MATCH($C554&amp;$D554&amp;LEFT($AD554,7),'TaxCred&amp;Subs'!$E$139:$E$151,0),MATCH($H554,'TaxCred&amp;Subs'!$K$137:$S$137,0)),0),IF($C554=2,N554*IFERROR(INDEX('TaxCred&amp;Subs'!$K$139:$S$151,MATCH($C554&amp;$D554,'TaxCred&amp;Subs'!$D$139:$D$151,0),MATCH($H554,'TaxCred&amp;Subs'!$K$137:$S$137,0)),0),N554*IFERROR(INDEX('TaxCred&amp;Subs'!$K$139:$S$151,MATCH($C554&amp;$D554,'TaxCred&amp;Subs'!$C$139:$C$151,0),MATCH($H554,'TaxCred&amp;Subs'!$K$137:$S$137,0)),0))),0),0)</f>
        <v>370</v>
      </c>
      <c r="S554" s="170">
        <f t="array" ref="S554">ROUND(IF(IFERROR(VALUE(RIGHT($AD554,1)),0)&gt;2,IF($C554=8,O554*IFERROR(INDEX('TaxCred&amp;Subs'!$K$139:$S$151,MATCH($C554&amp;$D554&amp;LEFT($AD554,7),'TaxCred&amp;Subs'!$E$139:$E$151,0),MATCH($H554,'TaxCred&amp;Subs'!$K$137:$S$137,0)),0),IF($C554=2,O554*IFERROR(INDEX('TaxCred&amp;Subs'!$K$139:$S$151,MATCH($C554&amp;$D554,'TaxCred&amp;Subs'!$D$139:$D$151,0),MATCH($H554,'TaxCred&amp;Subs'!$K$137:$S$137,0)),0),O554*IFERROR(INDEX('TaxCred&amp;Subs'!$K$139:$S$151,MATCH($C554&amp;$D554,'TaxCred&amp;Subs'!$C$139:$C$151,0),MATCH($H554,'TaxCred&amp;Subs'!$K$137:$S$137,0)),0))),0),0)</f>
        <v>0</v>
      </c>
      <c r="T554" s="95">
        <f t="shared" si="30"/>
        <v>0</v>
      </c>
      <c r="U554" s="95">
        <f t="shared" si="31"/>
        <v>0</v>
      </c>
      <c r="V554" s="28" t="s">
        <v>222</v>
      </c>
      <c r="W554" s="31">
        <v>2020</v>
      </c>
      <c r="X554" s="28">
        <v>1</v>
      </c>
      <c r="Y554" s="28">
        <v>0</v>
      </c>
      <c r="Z554" s="196">
        <v>-2.1513024844954491E-4</v>
      </c>
      <c r="AA554" s="196">
        <v>-3.3096961299929986E-3</v>
      </c>
      <c r="AB554" s="28">
        <v>0</v>
      </c>
      <c r="AC554" s="28">
        <v>0</v>
      </c>
      <c r="AD554" s="28" t="s">
        <v>337</v>
      </c>
    </row>
    <row r="555" spans="2:30" ht="14.25" customHeight="1" x14ac:dyDescent="0.2">
      <c r="B555" s="7">
        <f t="shared" si="32"/>
        <v>531</v>
      </c>
      <c r="C555" s="28">
        <v>2</v>
      </c>
      <c r="D555" s="28">
        <v>4</v>
      </c>
      <c r="E555" s="31">
        <v>15</v>
      </c>
      <c r="F555" s="78">
        <v>2034</v>
      </c>
      <c r="G555" s="28">
        <v>2034</v>
      </c>
      <c r="H555" s="28">
        <v>8</v>
      </c>
      <c r="I555" s="96">
        <v>50</v>
      </c>
      <c r="J555" s="31">
        <v>34</v>
      </c>
      <c r="K555" s="28">
        <v>0</v>
      </c>
      <c r="L555" s="28">
        <v>0</v>
      </c>
      <c r="M555" s="156">
        <v>22.03</v>
      </c>
      <c r="N555" s="151">
        <v>10027.5</v>
      </c>
      <c r="O555" s="79">
        <v>0</v>
      </c>
      <c r="P555" s="95">
        <f t="array" ref="P555">ROUND(IF($F555&lt;='TaxCred&amp;Subs'!$C$49,(IF($C555=2,IF($M555&gt;=IFERROR(INDEX('TaxCred&amp;Subs'!$L$12:$L$47,MATCH(1,($C555&amp;$D555='TaxCred&amp;Subs'!$E$12:$E$47)*($F555='TaxCred&amp;Subs'!$C$12:$C$47),0)
),9999),IFERROR(INDEX('TaxCred&amp;Subs'!$N$12:$N$47,MATCH(1,($C555&amp;$D555='TaxCred&amp;Subs'!$E$12:$E$47)*($F555='TaxCred&amp;Subs'!$C$12:$C$47),0)
),0),0),(IF($M555&gt;=IFERROR(INDEX('TaxCred&amp;Subs'!$H$12:$H$47,MATCH(1,($C555&amp;$D555='TaxCred&amp;Subs'!$D$12:$D$47)*($F555='TaxCred&amp;Subs'!$C$12:$C$47),0)
),9999),IFERROR(INDEX('TaxCred&amp;Subs'!$N$12:$N$47,MATCH(1,($C555&amp;$D555='TaxCred&amp;Subs'!$D$12:$D$47)*($F555='TaxCred&amp;Subs'!$C$12:$C$47),0)
),0),0)))),0)+IF(AND($C555=2,VALUE(RIGHT($AD555,1))&gt;2),(N555-R555)*(IFERROR(INDEX('TaxCred&amp;Subs'!$J$66:$J$99,MATCH(1,($C555&amp;$D555='TaxCred&amp;Subs'!$E$66:$E$99)*($F555='TaxCred&amp;Subs'!$C$66:$C$99),0)),0)),IF(AND($C555=1,VALUE(RIGHT($AD555,1))&gt;2),(N555-R555)*(IFERROR(INDEX('TaxCred&amp;Subs'!$J$66:$J$99,MATCH(1,($C555&amp;$D555='TaxCred&amp;Subs'!$D$66:$D$99)*($F555='TaxCred&amp;Subs'!$C$66:$C$99),0)),0)),IF($C555&gt;2,(N555-R555)*(IFERROR(INDEX('TaxCred&amp;Subs'!$J$66:$J$99,MATCH(1,($C555&amp;$D555='TaxCred&amp;Subs'!$D$66:$D$99)*($F555='TaxCred&amp;Subs'!$C$66:$C$99),0)),0)),0))),0)</f>
        <v>2095</v>
      </c>
      <c r="Q555" s="95">
        <f t="array" ref="Q555">ROUND(IF(AND($C555=2,VALUE(RIGHT($AD555,1))&gt;2),(O555-S555)*(IFERROR(INDEX('TaxCred&amp;Subs'!$J$66:$J$99,MATCH(1,($C555&amp;$D555='TaxCred&amp;Subs'!$E$66:$E$99)*($F555='TaxCred&amp;Subs'!$C$66:$C$99),0)),0)),IF(AND($C555=1,VALUE(RIGHT($AD555,1))&gt;2),(O555-S555)*(IFERROR(INDEX('TaxCred&amp;Subs'!$J$66:$J$99,MATCH(1,($C555&amp;$D555='TaxCred&amp;Subs'!$D$66:$D$99)*($F555='TaxCred&amp;Subs'!$C$66:$C$99),0)),0)),IF($C555&gt;2,(O555-S555)*(IFERROR(INDEX('TaxCred&amp;Subs'!$J$66:$J$99,MATCH(1,($C555&amp;$D555='TaxCred&amp;Subs'!$D$66:$D$99)*($F555='TaxCred&amp;Subs'!$C$66:$C$99),0)),0)),0))),0)</f>
        <v>0</v>
      </c>
      <c r="R555" s="170">
        <f t="array" ref="R555">ROUND(IF(IFERROR(VALUE(RIGHT($AD555,1)),0)&gt;2,IF($C555=8,N555*IFERROR(INDEX('TaxCred&amp;Subs'!$K$139:$S$151,MATCH($C555&amp;$D555&amp;LEFT($AD555,7),'TaxCred&amp;Subs'!$E$139:$E$151,0),MATCH($H555,'TaxCred&amp;Subs'!$K$137:$S$137,0)),0),IF($C555=2,N555*IFERROR(INDEX('TaxCred&amp;Subs'!$K$139:$S$151,MATCH($C555&amp;$D555,'TaxCred&amp;Subs'!$D$139:$D$151,0),MATCH($H555,'TaxCred&amp;Subs'!$K$137:$S$137,0)),0),N555*IFERROR(INDEX('TaxCred&amp;Subs'!$K$139:$S$151,MATCH($C555&amp;$D555,'TaxCred&amp;Subs'!$C$139:$C$151,0),MATCH($H555,'TaxCred&amp;Subs'!$K$137:$S$137,0)),0))),0),0)</f>
        <v>504</v>
      </c>
      <c r="S555" s="170">
        <f t="array" ref="S555">ROUND(IF(IFERROR(VALUE(RIGHT($AD555,1)),0)&gt;2,IF($C555=8,O555*IFERROR(INDEX('TaxCred&amp;Subs'!$K$139:$S$151,MATCH($C555&amp;$D555&amp;LEFT($AD555,7),'TaxCred&amp;Subs'!$E$139:$E$151,0),MATCH($H555,'TaxCred&amp;Subs'!$K$137:$S$137,0)),0),IF($C555=2,O555*IFERROR(INDEX('TaxCred&amp;Subs'!$K$139:$S$151,MATCH($C555&amp;$D555,'TaxCred&amp;Subs'!$D$139:$D$151,0),MATCH($H555,'TaxCred&amp;Subs'!$K$137:$S$137,0)),0),O555*IFERROR(INDEX('TaxCred&amp;Subs'!$K$139:$S$151,MATCH($C555&amp;$D555,'TaxCred&amp;Subs'!$C$139:$C$151,0),MATCH($H555,'TaxCred&amp;Subs'!$K$137:$S$137,0)),0))),0),0)</f>
        <v>0</v>
      </c>
      <c r="T555" s="95">
        <f t="shared" si="30"/>
        <v>0</v>
      </c>
      <c r="U555" s="95">
        <f t="shared" si="31"/>
        <v>0</v>
      </c>
      <c r="V555" s="28" t="s">
        <v>222</v>
      </c>
      <c r="W555" s="31">
        <v>2020</v>
      </c>
      <c r="X555" s="28">
        <v>1</v>
      </c>
      <c r="Y555" s="28">
        <v>0</v>
      </c>
      <c r="Z555" s="196">
        <v>-2.1513024844954491E-4</v>
      </c>
      <c r="AA555" s="196">
        <v>-3.3096961299929986E-3</v>
      </c>
      <c r="AB555" s="28">
        <v>0</v>
      </c>
      <c r="AC555" s="28">
        <v>0</v>
      </c>
      <c r="AD555" s="28" t="s">
        <v>337</v>
      </c>
    </row>
    <row r="556" spans="2:30" ht="14.25" customHeight="1" x14ac:dyDescent="0.2">
      <c r="B556" s="7">
        <f t="shared" si="32"/>
        <v>532</v>
      </c>
      <c r="C556" s="28">
        <v>2</v>
      </c>
      <c r="D556" s="28">
        <v>4</v>
      </c>
      <c r="E556" s="31">
        <v>15</v>
      </c>
      <c r="F556" s="78">
        <v>2034</v>
      </c>
      <c r="G556" s="28">
        <v>2034</v>
      </c>
      <c r="H556" s="28">
        <v>9</v>
      </c>
      <c r="I556" s="96">
        <v>50</v>
      </c>
      <c r="J556" s="31">
        <v>34</v>
      </c>
      <c r="K556" s="28">
        <v>0</v>
      </c>
      <c r="L556" s="28">
        <v>0</v>
      </c>
      <c r="M556" s="156">
        <v>22.03</v>
      </c>
      <c r="N556" s="151">
        <v>10027.5</v>
      </c>
      <c r="O556" s="79">
        <v>0</v>
      </c>
      <c r="P556" s="95">
        <f t="array" ref="P556">ROUND(IF($F556&lt;='TaxCred&amp;Subs'!$C$49,(IF($C556=2,IF($M556&gt;=IFERROR(INDEX('TaxCred&amp;Subs'!$L$12:$L$47,MATCH(1,($C556&amp;$D556='TaxCred&amp;Subs'!$E$12:$E$47)*($F556='TaxCred&amp;Subs'!$C$12:$C$47),0)
),9999),IFERROR(INDEX('TaxCred&amp;Subs'!$N$12:$N$47,MATCH(1,($C556&amp;$D556='TaxCred&amp;Subs'!$E$12:$E$47)*($F556='TaxCred&amp;Subs'!$C$12:$C$47),0)
),0),0),(IF($M556&gt;=IFERROR(INDEX('TaxCred&amp;Subs'!$H$12:$H$47,MATCH(1,($C556&amp;$D556='TaxCred&amp;Subs'!$D$12:$D$47)*($F556='TaxCred&amp;Subs'!$C$12:$C$47),0)
),9999),IFERROR(INDEX('TaxCred&amp;Subs'!$N$12:$N$47,MATCH(1,($C556&amp;$D556='TaxCred&amp;Subs'!$D$12:$D$47)*($F556='TaxCred&amp;Subs'!$C$12:$C$47),0)
),0),0)))),0)+IF(AND($C556=2,VALUE(RIGHT($AD556,1))&gt;2),(N556-R556)*(IFERROR(INDEX('TaxCred&amp;Subs'!$J$66:$J$99,MATCH(1,($C556&amp;$D556='TaxCred&amp;Subs'!$E$66:$E$99)*($F556='TaxCred&amp;Subs'!$C$66:$C$99),0)),0)),IF(AND($C556=1,VALUE(RIGHT($AD556,1))&gt;2),(N556-R556)*(IFERROR(INDEX('TaxCred&amp;Subs'!$J$66:$J$99,MATCH(1,($C556&amp;$D556='TaxCred&amp;Subs'!$D$66:$D$99)*($F556='TaxCred&amp;Subs'!$C$66:$C$99),0)),0)),IF($C556&gt;2,(N556-R556)*(IFERROR(INDEX('TaxCred&amp;Subs'!$J$66:$J$99,MATCH(1,($C556&amp;$D556='TaxCred&amp;Subs'!$D$66:$D$99)*($F556='TaxCred&amp;Subs'!$C$66:$C$99),0)),0)),0))),0)</f>
        <v>2152</v>
      </c>
      <c r="Q556" s="95">
        <f t="array" ref="Q556">ROUND(IF(AND($C556=2,VALUE(RIGHT($AD556,1))&gt;2),(O556-S556)*(IFERROR(INDEX('TaxCred&amp;Subs'!$J$66:$J$99,MATCH(1,($C556&amp;$D556='TaxCred&amp;Subs'!$E$66:$E$99)*($F556='TaxCred&amp;Subs'!$C$66:$C$99),0)),0)),IF(AND($C556=1,VALUE(RIGHT($AD556,1))&gt;2),(O556-S556)*(IFERROR(INDEX('TaxCred&amp;Subs'!$J$66:$J$99,MATCH(1,($C556&amp;$D556='TaxCred&amp;Subs'!$D$66:$D$99)*($F556='TaxCred&amp;Subs'!$C$66:$C$99),0)),0)),IF($C556&gt;2,(O556-S556)*(IFERROR(INDEX('TaxCred&amp;Subs'!$J$66:$J$99,MATCH(1,($C556&amp;$D556='TaxCred&amp;Subs'!$D$66:$D$99)*($F556='TaxCred&amp;Subs'!$C$66:$C$99),0)),0)),0))),0)</f>
        <v>0</v>
      </c>
      <c r="R556" s="170">
        <f t="array" ref="R556">ROUND(IF(IFERROR(VALUE(RIGHT($AD556,1)),0)&gt;2,IF($C556=8,N556*IFERROR(INDEX('TaxCred&amp;Subs'!$K$139:$S$151,MATCH($C556&amp;$D556&amp;LEFT($AD556,7),'TaxCred&amp;Subs'!$E$139:$E$151,0),MATCH($H556,'TaxCred&amp;Subs'!$K$137:$S$137,0)),0),IF($C556=2,N556*IFERROR(INDEX('TaxCred&amp;Subs'!$K$139:$S$151,MATCH($C556&amp;$D556,'TaxCred&amp;Subs'!$D$139:$D$151,0),MATCH($H556,'TaxCred&amp;Subs'!$K$137:$S$137,0)),0),N556*IFERROR(INDEX('TaxCred&amp;Subs'!$K$139:$S$151,MATCH($C556&amp;$D556,'TaxCred&amp;Subs'!$C$139:$C$151,0),MATCH($H556,'TaxCred&amp;Subs'!$K$137:$S$137,0)),0))),0),0)</f>
        <v>246</v>
      </c>
      <c r="S556" s="170">
        <f t="array" ref="S556">ROUND(IF(IFERROR(VALUE(RIGHT($AD556,1)),0)&gt;2,IF($C556=8,O556*IFERROR(INDEX('TaxCred&amp;Subs'!$K$139:$S$151,MATCH($C556&amp;$D556&amp;LEFT($AD556,7),'TaxCred&amp;Subs'!$E$139:$E$151,0),MATCH($H556,'TaxCred&amp;Subs'!$K$137:$S$137,0)),0),IF($C556=2,O556*IFERROR(INDEX('TaxCred&amp;Subs'!$K$139:$S$151,MATCH($C556&amp;$D556,'TaxCred&amp;Subs'!$D$139:$D$151,0),MATCH($H556,'TaxCred&amp;Subs'!$K$137:$S$137,0)),0),O556*IFERROR(INDEX('TaxCred&amp;Subs'!$K$139:$S$151,MATCH($C556&amp;$D556,'TaxCred&amp;Subs'!$C$139:$C$151,0),MATCH($H556,'TaxCred&amp;Subs'!$K$137:$S$137,0)),0))),0),0)</f>
        <v>0</v>
      </c>
      <c r="T556" s="172">
        <f t="shared" si="30"/>
        <v>1181.325</v>
      </c>
      <c r="U556" s="95">
        <f t="shared" si="31"/>
        <v>0</v>
      </c>
      <c r="V556" s="28" t="s">
        <v>222</v>
      </c>
      <c r="W556" s="31">
        <v>2020</v>
      </c>
      <c r="X556" s="28">
        <v>1</v>
      </c>
      <c r="Y556" s="28">
        <v>0</v>
      </c>
      <c r="Z556" s="196">
        <v>-2.1513024844954491E-4</v>
      </c>
      <c r="AA556" s="196">
        <v>-3.3096961299929986E-3</v>
      </c>
      <c r="AB556" s="28">
        <v>0</v>
      </c>
      <c r="AC556" s="28">
        <v>0</v>
      </c>
      <c r="AD556" s="28" t="s">
        <v>337</v>
      </c>
    </row>
    <row r="557" spans="2:30" ht="14.25" customHeight="1" x14ac:dyDescent="0.2">
      <c r="B557" s="7">
        <f t="shared" si="32"/>
        <v>533</v>
      </c>
      <c r="C557" s="28">
        <v>2</v>
      </c>
      <c r="D557" s="28">
        <v>4</v>
      </c>
      <c r="E557" s="31">
        <v>15</v>
      </c>
      <c r="F557" s="78">
        <v>2035</v>
      </c>
      <c r="G557" s="28">
        <v>2050</v>
      </c>
      <c r="H557" s="28">
        <v>1</v>
      </c>
      <c r="I557" s="96">
        <v>50</v>
      </c>
      <c r="J557" s="31">
        <v>34</v>
      </c>
      <c r="K557" s="28">
        <v>0</v>
      </c>
      <c r="L557" s="28">
        <v>0</v>
      </c>
      <c r="M557" s="156">
        <v>22.03</v>
      </c>
      <c r="N557" s="151">
        <v>10027.5</v>
      </c>
      <c r="O557" s="79">
        <v>0</v>
      </c>
      <c r="P557" s="95">
        <f t="array" ref="P557">ROUND(IF($F557&lt;='TaxCred&amp;Subs'!$C$49,(IF($C557=2,IF($M557&gt;=IFERROR(INDEX('TaxCred&amp;Subs'!$L$12:$L$47,MATCH(1,($C557&amp;$D557='TaxCred&amp;Subs'!$E$12:$E$47)*($F557='TaxCred&amp;Subs'!$C$12:$C$47),0)
),9999),IFERROR(INDEX('TaxCred&amp;Subs'!$N$12:$N$47,MATCH(1,($C557&amp;$D557='TaxCred&amp;Subs'!$E$12:$E$47)*($F557='TaxCred&amp;Subs'!$C$12:$C$47),0)
),0),0),(IF($M557&gt;=IFERROR(INDEX('TaxCred&amp;Subs'!$H$12:$H$47,MATCH(1,($C557&amp;$D557='TaxCred&amp;Subs'!$D$12:$D$47)*($F557='TaxCred&amp;Subs'!$C$12:$C$47),0)
),9999),IFERROR(INDEX('TaxCred&amp;Subs'!$N$12:$N$47,MATCH(1,($C557&amp;$D557='TaxCred&amp;Subs'!$D$12:$D$47)*($F557='TaxCred&amp;Subs'!$C$12:$C$47),0)
),0),0)))),0)+IF(AND($C557=2,VALUE(RIGHT($AD557,1))&gt;2),(N557-R557)*(IFERROR(INDEX('TaxCred&amp;Subs'!$J$66:$J$99,MATCH(1,($C557&amp;$D557='TaxCred&amp;Subs'!$E$66:$E$99)*($F557='TaxCred&amp;Subs'!$C$66:$C$99),0)),0)),IF(AND($C557=1,VALUE(RIGHT($AD557,1))&gt;2),(N557-R557)*(IFERROR(INDEX('TaxCred&amp;Subs'!$J$66:$J$99,MATCH(1,($C557&amp;$D557='TaxCred&amp;Subs'!$D$66:$D$99)*($F557='TaxCred&amp;Subs'!$C$66:$C$99),0)),0)),IF($C557&gt;2,(N557-R557)*(IFERROR(INDEX('TaxCred&amp;Subs'!$J$66:$J$99,MATCH(1,($C557&amp;$D557='TaxCred&amp;Subs'!$D$66:$D$99)*($F557='TaxCred&amp;Subs'!$C$66:$C$99),0)),0)),0))),0)</f>
        <v>0</v>
      </c>
      <c r="Q557" s="95">
        <f t="array" ref="Q557">ROUND(IF(AND($C557=2,VALUE(RIGHT($AD557,1))&gt;2),(O557-S557)*(IFERROR(INDEX('TaxCred&amp;Subs'!$J$66:$J$99,MATCH(1,($C557&amp;$D557='TaxCred&amp;Subs'!$E$66:$E$99)*($F557='TaxCred&amp;Subs'!$C$66:$C$99),0)),0)),IF(AND($C557=1,VALUE(RIGHT($AD557,1))&gt;2),(O557-S557)*(IFERROR(INDEX('TaxCred&amp;Subs'!$J$66:$J$99,MATCH(1,($C557&amp;$D557='TaxCred&amp;Subs'!$D$66:$D$99)*($F557='TaxCred&amp;Subs'!$C$66:$C$99),0)),0)),IF($C557&gt;2,(O557-S557)*(IFERROR(INDEX('TaxCred&amp;Subs'!$J$66:$J$99,MATCH(1,($C557&amp;$D557='TaxCred&amp;Subs'!$D$66:$D$99)*($F557='TaxCred&amp;Subs'!$C$66:$C$99),0)),0)),0))),0)</f>
        <v>0</v>
      </c>
      <c r="R557" s="170">
        <f t="array" ref="R557">ROUND(IF(IFERROR(VALUE(RIGHT($AD557,1)),0)&gt;2,IF($C557=8,N557*IFERROR(INDEX('TaxCred&amp;Subs'!$K$139:$S$151,MATCH($C557&amp;$D557&amp;LEFT($AD557,7),'TaxCred&amp;Subs'!$E$139:$E$151,0),MATCH($H557,'TaxCred&amp;Subs'!$K$137:$S$137,0)),0),IF($C557=2,N557*IFERROR(INDEX('TaxCred&amp;Subs'!$K$139:$S$151,MATCH($C557&amp;$D557,'TaxCred&amp;Subs'!$D$139:$D$151,0),MATCH($H557,'TaxCred&amp;Subs'!$K$137:$S$137,0)),0),N557*IFERROR(INDEX('TaxCred&amp;Subs'!$K$139:$S$151,MATCH($C557&amp;$D557,'TaxCred&amp;Subs'!$C$139:$C$151,0),MATCH($H557,'TaxCred&amp;Subs'!$K$137:$S$137,0)),0))),0),0)</f>
        <v>2486</v>
      </c>
      <c r="S557" s="170">
        <f t="array" ref="S557">ROUND(IF(IFERROR(VALUE(RIGHT($AD557,1)),0)&gt;2,IF($C557=8,O557*IFERROR(INDEX('TaxCred&amp;Subs'!$K$139:$S$151,MATCH($C557&amp;$D557&amp;LEFT($AD557,7),'TaxCred&amp;Subs'!$E$139:$E$151,0),MATCH($H557,'TaxCred&amp;Subs'!$K$137:$S$137,0)),0),IF($C557=2,O557*IFERROR(INDEX('TaxCred&amp;Subs'!$K$139:$S$151,MATCH($C557&amp;$D557,'TaxCred&amp;Subs'!$D$139:$D$151,0),MATCH($H557,'TaxCred&amp;Subs'!$K$137:$S$137,0)),0),O557*IFERROR(INDEX('TaxCred&amp;Subs'!$K$139:$S$151,MATCH($C557&amp;$D557,'TaxCred&amp;Subs'!$C$139:$C$151,0),MATCH($H557,'TaxCred&amp;Subs'!$K$137:$S$137,0)),0))),0),0)</f>
        <v>0</v>
      </c>
      <c r="T557" s="95">
        <f t="shared" si="30"/>
        <v>0</v>
      </c>
      <c r="U557" s="95">
        <f t="shared" si="31"/>
        <v>0</v>
      </c>
      <c r="V557" s="28" t="s">
        <v>222</v>
      </c>
      <c r="W557" s="31">
        <v>2020</v>
      </c>
      <c r="X557" s="28">
        <v>1</v>
      </c>
      <c r="Y557" s="28">
        <v>0</v>
      </c>
      <c r="Z557" s="196">
        <v>-2.1513024844954491E-4</v>
      </c>
      <c r="AA557" s="196">
        <v>-3.3096961299929986E-3</v>
      </c>
      <c r="AB557" s="28">
        <v>0</v>
      </c>
      <c r="AC557" s="28">
        <v>0</v>
      </c>
      <c r="AD557" s="28" t="s">
        <v>337</v>
      </c>
    </row>
    <row r="558" spans="2:30" ht="14.25" customHeight="1" x14ac:dyDescent="0.2">
      <c r="B558" s="7">
        <f t="shared" si="32"/>
        <v>534</v>
      </c>
      <c r="C558" s="28">
        <v>2</v>
      </c>
      <c r="D558" s="28">
        <v>4</v>
      </c>
      <c r="E558" s="31">
        <v>15</v>
      </c>
      <c r="F558" s="78">
        <v>2035</v>
      </c>
      <c r="G558" s="28">
        <v>2050</v>
      </c>
      <c r="H558" s="28">
        <v>2</v>
      </c>
      <c r="I558" s="96">
        <v>50</v>
      </c>
      <c r="J558" s="31">
        <v>34</v>
      </c>
      <c r="K558" s="28">
        <v>0</v>
      </c>
      <c r="L558" s="28">
        <v>0</v>
      </c>
      <c r="M558" s="156">
        <v>22.03</v>
      </c>
      <c r="N558" s="151">
        <v>10027.5</v>
      </c>
      <c r="O558" s="79">
        <v>0</v>
      </c>
      <c r="P558" s="95">
        <f t="array" ref="P558">ROUND(IF($F558&lt;='TaxCred&amp;Subs'!$C$49,(IF($C558=2,IF($M558&gt;=IFERROR(INDEX('TaxCred&amp;Subs'!$L$12:$L$47,MATCH(1,($C558&amp;$D558='TaxCred&amp;Subs'!$E$12:$E$47)*($F558='TaxCred&amp;Subs'!$C$12:$C$47),0)
),9999),IFERROR(INDEX('TaxCred&amp;Subs'!$N$12:$N$47,MATCH(1,($C558&amp;$D558='TaxCred&amp;Subs'!$E$12:$E$47)*($F558='TaxCred&amp;Subs'!$C$12:$C$47),0)
),0),0),(IF($M558&gt;=IFERROR(INDEX('TaxCred&amp;Subs'!$H$12:$H$47,MATCH(1,($C558&amp;$D558='TaxCred&amp;Subs'!$D$12:$D$47)*($F558='TaxCred&amp;Subs'!$C$12:$C$47),0)
),9999),IFERROR(INDEX('TaxCred&amp;Subs'!$N$12:$N$47,MATCH(1,($C558&amp;$D558='TaxCred&amp;Subs'!$D$12:$D$47)*($F558='TaxCred&amp;Subs'!$C$12:$C$47),0)
),0),0)))),0)+IF(AND($C558=2,VALUE(RIGHT($AD558,1))&gt;2),(N558-R558)*(IFERROR(INDEX('TaxCred&amp;Subs'!$J$66:$J$99,MATCH(1,($C558&amp;$D558='TaxCred&amp;Subs'!$E$66:$E$99)*($F558='TaxCred&amp;Subs'!$C$66:$C$99),0)),0)),IF(AND($C558=1,VALUE(RIGHT($AD558,1))&gt;2),(N558-R558)*(IFERROR(INDEX('TaxCred&amp;Subs'!$J$66:$J$99,MATCH(1,($C558&amp;$D558='TaxCred&amp;Subs'!$D$66:$D$99)*($F558='TaxCred&amp;Subs'!$C$66:$C$99),0)),0)),IF($C558&gt;2,(N558-R558)*(IFERROR(INDEX('TaxCred&amp;Subs'!$J$66:$J$99,MATCH(1,($C558&amp;$D558='TaxCred&amp;Subs'!$D$66:$D$99)*($F558='TaxCred&amp;Subs'!$C$66:$C$99),0)),0)),0))),0)</f>
        <v>0</v>
      </c>
      <c r="Q558" s="95">
        <f t="array" ref="Q558">ROUND(IF(AND($C558=2,VALUE(RIGHT($AD558,1))&gt;2),(O558-S558)*(IFERROR(INDEX('TaxCred&amp;Subs'!$J$66:$J$99,MATCH(1,($C558&amp;$D558='TaxCred&amp;Subs'!$E$66:$E$99)*($F558='TaxCred&amp;Subs'!$C$66:$C$99),0)),0)),IF(AND($C558=1,VALUE(RIGHT($AD558,1))&gt;2),(O558-S558)*(IFERROR(INDEX('TaxCred&amp;Subs'!$J$66:$J$99,MATCH(1,($C558&amp;$D558='TaxCred&amp;Subs'!$D$66:$D$99)*($F558='TaxCred&amp;Subs'!$C$66:$C$99),0)),0)),IF($C558&gt;2,(O558-S558)*(IFERROR(INDEX('TaxCred&amp;Subs'!$J$66:$J$99,MATCH(1,($C558&amp;$D558='TaxCred&amp;Subs'!$D$66:$D$99)*($F558='TaxCred&amp;Subs'!$C$66:$C$99),0)),0)),0))),0)</f>
        <v>0</v>
      </c>
      <c r="R558" s="170">
        <f t="array" ref="R558">ROUND(IF(IFERROR(VALUE(RIGHT($AD558,1)),0)&gt;2,IF($C558=8,N558*IFERROR(INDEX('TaxCred&amp;Subs'!$K$139:$S$151,MATCH($C558&amp;$D558&amp;LEFT($AD558,7),'TaxCred&amp;Subs'!$E$139:$E$151,0),MATCH($H558,'TaxCred&amp;Subs'!$K$137:$S$137,0)),0),IF($C558=2,N558*IFERROR(INDEX('TaxCred&amp;Subs'!$K$139:$S$151,MATCH($C558&amp;$D558,'TaxCred&amp;Subs'!$D$139:$D$151,0),MATCH($H558,'TaxCred&amp;Subs'!$K$137:$S$137,0)),0),N558*IFERROR(INDEX('TaxCred&amp;Subs'!$K$139:$S$151,MATCH($C558&amp;$D558,'TaxCred&amp;Subs'!$C$139:$C$151,0),MATCH($H558,'TaxCred&amp;Subs'!$K$137:$S$137,0)),0))),0),0)</f>
        <v>1026</v>
      </c>
      <c r="S558" s="170">
        <f t="array" ref="S558">ROUND(IF(IFERROR(VALUE(RIGHT($AD558,1)),0)&gt;2,IF($C558=8,O558*IFERROR(INDEX('TaxCred&amp;Subs'!$K$139:$S$151,MATCH($C558&amp;$D558&amp;LEFT($AD558,7),'TaxCred&amp;Subs'!$E$139:$E$151,0),MATCH($H558,'TaxCred&amp;Subs'!$K$137:$S$137,0)),0),IF($C558=2,O558*IFERROR(INDEX('TaxCred&amp;Subs'!$K$139:$S$151,MATCH($C558&amp;$D558,'TaxCred&amp;Subs'!$D$139:$D$151,0),MATCH($H558,'TaxCred&amp;Subs'!$K$137:$S$137,0)),0),O558*IFERROR(INDEX('TaxCred&amp;Subs'!$K$139:$S$151,MATCH($C558&amp;$D558,'TaxCred&amp;Subs'!$C$139:$C$151,0),MATCH($H558,'TaxCred&amp;Subs'!$K$137:$S$137,0)),0))),0),0)</f>
        <v>0</v>
      </c>
      <c r="T558" s="95">
        <f t="shared" si="30"/>
        <v>0</v>
      </c>
      <c r="U558" s="95">
        <f t="shared" si="31"/>
        <v>0</v>
      </c>
      <c r="V558" s="28" t="s">
        <v>222</v>
      </c>
      <c r="W558" s="31">
        <v>2020</v>
      </c>
      <c r="X558" s="28">
        <v>1</v>
      </c>
      <c r="Y558" s="28">
        <v>0</v>
      </c>
      <c r="Z558" s="196">
        <v>-2.1513024844954491E-4</v>
      </c>
      <c r="AA558" s="196">
        <v>-3.3096961299929986E-3</v>
      </c>
      <c r="AB558" s="28">
        <v>0</v>
      </c>
      <c r="AC558" s="28">
        <v>0</v>
      </c>
      <c r="AD558" s="28" t="s">
        <v>337</v>
      </c>
    </row>
    <row r="559" spans="2:30" ht="14.25" customHeight="1" x14ac:dyDescent="0.2">
      <c r="B559" s="7">
        <f t="shared" si="32"/>
        <v>535</v>
      </c>
      <c r="C559" s="28">
        <v>2</v>
      </c>
      <c r="D559" s="28">
        <v>4</v>
      </c>
      <c r="E559" s="31">
        <v>15</v>
      </c>
      <c r="F559" s="78">
        <v>2035</v>
      </c>
      <c r="G559" s="28">
        <v>2050</v>
      </c>
      <c r="H559" s="28">
        <v>3</v>
      </c>
      <c r="I559" s="96">
        <v>50</v>
      </c>
      <c r="J559" s="31">
        <v>34</v>
      </c>
      <c r="K559" s="28">
        <v>0</v>
      </c>
      <c r="L559" s="28">
        <v>0</v>
      </c>
      <c r="M559" s="156">
        <v>22.03</v>
      </c>
      <c r="N559" s="151">
        <v>10027.5</v>
      </c>
      <c r="O559" s="79">
        <v>0</v>
      </c>
      <c r="P559" s="95">
        <f t="array" ref="P559">ROUND(IF($F559&lt;='TaxCred&amp;Subs'!$C$49,(IF($C559=2,IF($M559&gt;=IFERROR(INDEX('TaxCred&amp;Subs'!$L$12:$L$47,MATCH(1,($C559&amp;$D559='TaxCred&amp;Subs'!$E$12:$E$47)*($F559='TaxCred&amp;Subs'!$C$12:$C$47),0)
),9999),IFERROR(INDEX('TaxCred&amp;Subs'!$N$12:$N$47,MATCH(1,($C559&amp;$D559='TaxCred&amp;Subs'!$E$12:$E$47)*($F559='TaxCred&amp;Subs'!$C$12:$C$47),0)
),0),0),(IF($M559&gt;=IFERROR(INDEX('TaxCred&amp;Subs'!$H$12:$H$47,MATCH(1,($C559&amp;$D559='TaxCred&amp;Subs'!$D$12:$D$47)*($F559='TaxCred&amp;Subs'!$C$12:$C$47),0)
),9999),IFERROR(INDEX('TaxCred&amp;Subs'!$N$12:$N$47,MATCH(1,($C559&amp;$D559='TaxCred&amp;Subs'!$D$12:$D$47)*($F559='TaxCred&amp;Subs'!$C$12:$C$47),0)
),0),0)))),0)+IF(AND($C559=2,VALUE(RIGHT($AD559,1))&gt;2),(N559-R559)*(IFERROR(INDEX('TaxCred&amp;Subs'!$J$66:$J$99,MATCH(1,($C559&amp;$D559='TaxCred&amp;Subs'!$E$66:$E$99)*($F559='TaxCred&amp;Subs'!$C$66:$C$99),0)),0)),IF(AND($C559=1,VALUE(RIGHT($AD559,1))&gt;2),(N559-R559)*(IFERROR(INDEX('TaxCred&amp;Subs'!$J$66:$J$99,MATCH(1,($C559&amp;$D559='TaxCred&amp;Subs'!$D$66:$D$99)*($F559='TaxCred&amp;Subs'!$C$66:$C$99),0)),0)),IF($C559&gt;2,(N559-R559)*(IFERROR(INDEX('TaxCred&amp;Subs'!$J$66:$J$99,MATCH(1,($C559&amp;$D559='TaxCred&amp;Subs'!$D$66:$D$99)*($F559='TaxCred&amp;Subs'!$C$66:$C$99),0)),0)),0))),0)</f>
        <v>0</v>
      </c>
      <c r="Q559" s="95">
        <f t="array" ref="Q559">ROUND(IF(AND($C559=2,VALUE(RIGHT($AD559,1))&gt;2),(O559-S559)*(IFERROR(INDEX('TaxCred&amp;Subs'!$J$66:$J$99,MATCH(1,($C559&amp;$D559='TaxCred&amp;Subs'!$E$66:$E$99)*($F559='TaxCred&amp;Subs'!$C$66:$C$99),0)),0)),IF(AND($C559=1,VALUE(RIGHT($AD559,1))&gt;2),(O559-S559)*(IFERROR(INDEX('TaxCred&amp;Subs'!$J$66:$J$99,MATCH(1,($C559&amp;$D559='TaxCred&amp;Subs'!$D$66:$D$99)*($F559='TaxCred&amp;Subs'!$C$66:$C$99),0)),0)),IF($C559&gt;2,(O559-S559)*(IFERROR(INDEX('TaxCred&amp;Subs'!$J$66:$J$99,MATCH(1,($C559&amp;$D559='TaxCred&amp;Subs'!$D$66:$D$99)*($F559='TaxCred&amp;Subs'!$C$66:$C$99),0)),0)),0))),0)</f>
        <v>0</v>
      </c>
      <c r="R559" s="170">
        <f t="array" ref="R559">ROUND(IF(IFERROR(VALUE(RIGHT($AD559,1)),0)&gt;2,IF($C559=8,N559*IFERROR(INDEX('TaxCred&amp;Subs'!$K$139:$S$151,MATCH($C559&amp;$D559&amp;LEFT($AD559,7),'TaxCred&amp;Subs'!$E$139:$E$151,0),MATCH($H559,'TaxCred&amp;Subs'!$K$137:$S$137,0)),0),IF($C559=2,N559*IFERROR(INDEX('TaxCred&amp;Subs'!$K$139:$S$151,MATCH($C559&amp;$D559,'TaxCred&amp;Subs'!$D$139:$D$151,0),MATCH($H559,'TaxCred&amp;Subs'!$K$137:$S$137,0)),0),N559*IFERROR(INDEX('TaxCred&amp;Subs'!$K$139:$S$151,MATCH($C559&amp;$D559,'TaxCred&amp;Subs'!$C$139:$C$151,0),MATCH($H559,'TaxCred&amp;Subs'!$K$137:$S$137,0)),0))),0),0)</f>
        <v>807</v>
      </c>
      <c r="S559" s="170">
        <f t="array" ref="S559">ROUND(IF(IFERROR(VALUE(RIGHT($AD559,1)),0)&gt;2,IF($C559=8,O559*IFERROR(INDEX('TaxCred&amp;Subs'!$K$139:$S$151,MATCH($C559&amp;$D559&amp;LEFT($AD559,7),'TaxCred&amp;Subs'!$E$139:$E$151,0),MATCH($H559,'TaxCred&amp;Subs'!$K$137:$S$137,0)),0),IF($C559=2,O559*IFERROR(INDEX('TaxCred&amp;Subs'!$K$139:$S$151,MATCH($C559&amp;$D559,'TaxCred&amp;Subs'!$D$139:$D$151,0),MATCH($H559,'TaxCred&amp;Subs'!$K$137:$S$137,0)),0),O559*IFERROR(INDEX('TaxCred&amp;Subs'!$K$139:$S$151,MATCH($C559&amp;$D559,'TaxCred&amp;Subs'!$C$139:$C$151,0),MATCH($H559,'TaxCred&amp;Subs'!$K$137:$S$137,0)),0))),0),0)</f>
        <v>0</v>
      </c>
      <c r="T559" s="95">
        <f t="shared" si="30"/>
        <v>0</v>
      </c>
      <c r="U559" s="95">
        <f t="shared" si="31"/>
        <v>0</v>
      </c>
      <c r="V559" s="28" t="s">
        <v>222</v>
      </c>
      <c r="W559" s="31">
        <v>2020</v>
      </c>
      <c r="X559" s="28">
        <v>1</v>
      </c>
      <c r="Y559" s="28">
        <v>0</v>
      </c>
      <c r="Z559" s="196">
        <v>-2.1513024844954491E-4</v>
      </c>
      <c r="AA559" s="196">
        <v>-3.3096961299929986E-3</v>
      </c>
      <c r="AB559" s="28">
        <v>0</v>
      </c>
      <c r="AC559" s="28">
        <v>0</v>
      </c>
      <c r="AD559" s="28" t="s">
        <v>337</v>
      </c>
    </row>
    <row r="560" spans="2:30" ht="14.25" customHeight="1" x14ac:dyDescent="0.2">
      <c r="B560" s="7">
        <f t="shared" si="32"/>
        <v>536</v>
      </c>
      <c r="C560" s="28">
        <v>2</v>
      </c>
      <c r="D560" s="28">
        <v>4</v>
      </c>
      <c r="E560" s="31">
        <v>15</v>
      </c>
      <c r="F560" s="78">
        <v>2035</v>
      </c>
      <c r="G560" s="28">
        <v>2050</v>
      </c>
      <c r="H560" s="28">
        <v>4</v>
      </c>
      <c r="I560" s="96">
        <v>50</v>
      </c>
      <c r="J560" s="31">
        <v>34</v>
      </c>
      <c r="K560" s="28">
        <v>0</v>
      </c>
      <c r="L560" s="28">
        <v>0</v>
      </c>
      <c r="M560" s="156">
        <v>22.03</v>
      </c>
      <c r="N560" s="151">
        <v>10027.5</v>
      </c>
      <c r="O560" s="79">
        <v>0</v>
      </c>
      <c r="P560" s="95">
        <f t="array" ref="P560">ROUND(IF($F560&lt;='TaxCred&amp;Subs'!$C$49,(IF($C560=2,IF($M560&gt;=IFERROR(INDEX('TaxCred&amp;Subs'!$L$12:$L$47,MATCH(1,($C560&amp;$D560='TaxCred&amp;Subs'!$E$12:$E$47)*($F560='TaxCred&amp;Subs'!$C$12:$C$47),0)
),9999),IFERROR(INDEX('TaxCred&amp;Subs'!$N$12:$N$47,MATCH(1,($C560&amp;$D560='TaxCred&amp;Subs'!$E$12:$E$47)*($F560='TaxCred&amp;Subs'!$C$12:$C$47),0)
),0),0),(IF($M560&gt;=IFERROR(INDEX('TaxCred&amp;Subs'!$H$12:$H$47,MATCH(1,($C560&amp;$D560='TaxCred&amp;Subs'!$D$12:$D$47)*($F560='TaxCred&amp;Subs'!$C$12:$C$47),0)
),9999),IFERROR(INDEX('TaxCred&amp;Subs'!$N$12:$N$47,MATCH(1,($C560&amp;$D560='TaxCred&amp;Subs'!$D$12:$D$47)*($F560='TaxCred&amp;Subs'!$C$12:$C$47),0)
),0),0)))),0)+IF(AND($C560=2,VALUE(RIGHT($AD560,1))&gt;2),(N560-R560)*(IFERROR(INDEX('TaxCred&amp;Subs'!$J$66:$J$99,MATCH(1,($C560&amp;$D560='TaxCred&amp;Subs'!$E$66:$E$99)*($F560='TaxCred&amp;Subs'!$C$66:$C$99),0)),0)),IF(AND($C560=1,VALUE(RIGHT($AD560,1))&gt;2),(N560-R560)*(IFERROR(INDEX('TaxCred&amp;Subs'!$J$66:$J$99,MATCH(1,($C560&amp;$D560='TaxCred&amp;Subs'!$D$66:$D$99)*($F560='TaxCred&amp;Subs'!$C$66:$C$99),0)),0)),IF($C560&gt;2,(N560-R560)*(IFERROR(INDEX('TaxCred&amp;Subs'!$J$66:$J$99,MATCH(1,($C560&amp;$D560='TaxCred&amp;Subs'!$D$66:$D$99)*($F560='TaxCred&amp;Subs'!$C$66:$C$99),0)),0)),0))),0)</f>
        <v>0</v>
      </c>
      <c r="Q560" s="95">
        <f t="array" ref="Q560">ROUND(IF(AND($C560=2,VALUE(RIGHT($AD560,1))&gt;2),(O560-S560)*(IFERROR(INDEX('TaxCred&amp;Subs'!$J$66:$J$99,MATCH(1,($C560&amp;$D560='TaxCred&amp;Subs'!$E$66:$E$99)*($F560='TaxCred&amp;Subs'!$C$66:$C$99),0)),0)),IF(AND($C560=1,VALUE(RIGHT($AD560,1))&gt;2),(O560-S560)*(IFERROR(INDEX('TaxCred&amp;Subs'!$J$66:$J$99,MATCH(1,($C560&amp;$D560='TaxCred&amp;Subs'!$D$66:$D$99)*($F560='TaxCred&amp;Subs'!$C$66:$C$99),0)),0)),IF($C560&gt;2,(O560-S560)*(IFERROR(INDEX('TaxCred&amp;Subs'!$J$66:$J$99,MATCH(1,($C560&amp;$D560='TaxCred&amp;Subs'!$D$66:$D$99)*($F560='TaxCred&amp;Subs'!$C$66:$C$99),0)),0)),0))),0)</f>
        <v>0</v>
      </c>
      <c r="R560" s="170">
        <f t="array" ref="R560">ROUND(IF(IFERROR(VALUE(RIGHT($AD560,1)),0)&gt;2,IF($C560=8,N560*IFERROR(INDEX('TaxCred&amp;Subs'!$K$139:$S$151,MATCH($C560&amp;$D560&amp;LEFT($AD560,7),'TaxCred&amp;Subs'!$E$139:$E$151,0),MATCH($H560,'TaxCred&amp;Subs'!$K$137:$S$137,0)),0),IF($C560=2,N560*IFERROR(INDEX('TaxCred&amp;Subs'!$K$139:$S$151,MATCH($C560&amp;$D560,'TaxCred&amp;Subs'!$D$139:$D$151,0),MATCH($H560,'TaxCred&amp;Subs'!$K$137:$S$137,0)),0),N560*IFERROR(INDEX('TaxCred&amp;Subs'!$K$139:$S$151,MATCH($C560&amp;$D560,'TaxCred&amp;Subs'!$C$139:$C$151,0),MATCH($H560,'TaxCred&amp;Subs'!$K$137:$S$137,0)),0))),0),0)</f>
        <v>646</v>
      </c>
      <c r="S560" s="170">
        <f t="array" ref="S560">ROUND(IF(IFERROR(VALUE(RIGHT($AD560,1)),0)&gt;2,IF($C560=8,O560*IFERROR(INDEX('TaxCred&amp;Subs'!$K$139:$S$151,MATCH($C560&amp;$D560&amp;LEFT($AD560,7),'TaxCred&amp;Subs'!$E$139:$E$151,0),MATCH($H560,'TaxCred&amp;Subs'!$K$137:$S$137,0)),0),IF($C560=2,O560*IFERROR(INDEX('TaxCred&amp;Subs'!$K$139:$S$151,MATCH($C560&amp;$D560,'TaxCred&amp;Subs'!$D$139:$D$151,0),MATCH($H560,'TaxCred&amp;Subs'!$K$137:$S$137,0)),0),O560*IFERROR(INDEX('TaxCred&amp;Subs'!$K$139:$S$151,MATCH($C560&amp;$D560,'TaxCred&amp;Subs'!$C$139:$C$151,0),MATCH($H560,'TaxCred&amp;Subs'!$K$137:$S$137,0)),0))),0),0)</f>
        <v>0</v>
      </c>
      <c r="T560" s="95">
        <f t="shared" si="30"/>
        <v>0</v>
      </c>
      <c r="U560" s="95">
        <f t="shared" si="31"/>
        <v>0</v>
      </c>
      <c r="V560" s="28" t="s">
        <v>222</v>
      </c>
      <c r="W560" s="31">
        <v>2020</v>
      </c>
      <c r="X560" s="28">
        <v>1</v>
      </c>
      <c r="Y560" s="28">
        <v>0</v>
      </c>
      <c r="Z560" s="196">
        <v>-2.1513024844954491E-4</v>
      </c>
      <c r="AA560" s="196">
        <v>-3.3096961299929986E-3</v>
      </c>
      <c r="AB560" s="28">
        <v>0</v>
      </c>
      <c r="AC560" s="28">
        <v>0</v>
      </c>
      <c r="AD560" s="28" t="s">
        <v>337</v>
      </c>
    </row>
    <row r="561" spans="2:31" ht="14.25" customHeight="1" x14ac:dyDescent="0.2">
      <c r="B561" s="7">
        <f t="shared" si="32"/>
        <v>537</v>
      </c>
      <c r="C561" s="28">
        <v>2</v>
      </c>
      <c r="D561" s="28">
        <v>4</v>
      </c>
      <c r="E561" s="31">
        <v>15</v>
      </c>
      <c r="F561" s="78">
        <v>2035</v>
      </c>
      <c r="G561" s="28">
        <v>2050</v>
      </c>
      <c r="H561" s="28">
        <v>5</v>
      </c>
      <c r="I561" s="96">
        <v>50</v>
      </c>
      <c r="J561" s="31">
        <v>34</v>
      </c>
      <c r="K561" s="28">
        <v>0</v>
      </c>
      <c r="L561" s="28">
        <v>0</v>
      </c>
      <c r="M561" s="156">
        <v>22.03</v>
      </c>
      <c r="N561" s="151">
        <v>10027.5</v>
      </c>
      <c r="O561" s="79">
        <v>0</v>
      </c>
      <c r="P561" s="95">
        <f t="array" ref="P561">ROUND(IF($F561&lt;='TaxCred&amp;Subs'!$C$49,(IF($C561=2,IF($M561&gt;=IFERROR(INDEX('TaxCred&amp;Subs'!$L$12:$L$47,MATCH(1,($C561&amp;$D561='TaxCred&amp;Subs'!$E$12:$E$47)*($F561='TaxCred&amp;Subs'!$C$12:$C$47),0)
),9999),IFERROR(INDEX('TaxCred&amp;Subs'!$N$12:$N$47,MATCH(1,($C561&amp;$D561='TaxCred&amp;Subs'!$E$12:$E$47)*($F561='TaxCred&amp;Subs'!$C$12:$C$47),0)
),0),0),(IF($M561&gt;=IFERROR(INDEX('TaxCred&amp;Subs'!$H$12:$H$47,MATCH(1,($C561&amp;$D561='TaxCred&amp;Subs'!$D$12:$D$47)*($F561='TaxCred&amp;Subs'!$C$12:$C$47),0)
),9999),IFERROR(INDEX('TaxCred&amp;Subs'!$N$12:$N$47,MATCH(1,($C561&amp;$D561='TaxCred&amp;Subs'!$D$12:$D$47)*($F561='TaxCred&amp;Subs'!$C$12:$C$47),0)
),0),0)))),0)+IF(AND($C561=2,VALUE(RIGHT($AD561,1))&gt;2),(N561-R561)*(IFERROR(INDEX('TaxCred&amp;Subs'!$J$66:$J$99,MATCH(1,($C561&amp;$D561='TaxCred&amp;Subs'!$E$66:$E$99)*($F561='TaxCred&amp;Subs'!$C$66:$C$99),0)),0)),IF(AND($C561=1,VALUE(RIGHT($AD561,1))&gt;2),(N561-R561)*(IFERROR(INDEX('TaxCred&amp;Subs'!$J$66:$J$99,MATCH(1,($C561&amp;$D561='TaxCred&amp;Subs'!$D$66:$D$99)*($F561='TaxCred&amp;Subs'!$C$66:$C$99),0)),0)),IF($C561&gt;2,(N561-R561)*(IFERROR(INDEX('TaxCred&amp;Subs'!$J$66:$J$99,MATCH(1,($C561&amp;$D561='TaxCred&amp;Subs'!$D$66:$D$99)*($F561='TaxCred&amp;Subs'!$C$66:$C$99),0)),0)),0))),0)</f>
        <v>0</v>
      </c>
      <c r="Q561" s="95">
        <f t="array" ref="Q561">ROUND(IF(AND($C561=2,VALUE(RIGHT($AD561,1))&gt;2),(O561-S561)*(IFERROR(INDEX('TaxCred&amp;Subs'!$J$66:$J$99,MATCH(1,($C561&amp;$D561='TaxCred&amp;Subs'!$E$66:$E$99)*($F561='TaxCred&amp;Subs'!$C$66:$C$99),0)),0)),IF(AND($C561=1,VALUE(RIGHT($AD561,1))&gt;2),(O561-S561)*(IFERROR(INDEX('TaxCred&amp;Subs'!$J$66:$J$99,MATCH(1,($C561&amp;$D561='TaxCred&amp;Subs'!$D$66:$D$99)*($F561='TaxCred&amp;Subs'!$C$66:$C$99),0)),0)),IF($C561&gt;2,(O561-S561)*(IFERROR(INDEX('TaxCred&amp;Subs'!$J$66:$J$99,MATCH(1,($C561&amp;$D561='TaxCred&amp;Subs'!$D$66:$D$99)*($F561='TaxCred&amp;Subs'!$C$66:$C$99),0)),0)),0))),0)</f>
        <v>0</v>
      </c>
      <c r="R561" s="170">
        <f t="array" ref="R561">ROUND(IF(IFERROR(VALUE(RIGHT($AD561,1)),0)&gt;2,IF($C561=8,N561*IFERROR(INDEX('TaxCred&amp;Subs'!$K$139:$S$151,MATCH($C561&amp;$D561&amp;LEFT($AD561,7),'TaxCred&amp;Subs'!$E$139:$E$151,0),MATCH($H561,'TaxCred&amp;Subs'!$K$137:$S$137,0)),0),IF($C561=2,N561*IFERROR(INDEX('TaxCred&amp;Subs'!$K$139:$S$151,MATCH($C561&amp;$D561,'TaxCred&amp;Subs'!$D$139:$D$151,0),MATCH($H561,'TaxCred&amp;Subs'!$K$137:$S$137,0)),0),N561*IFERROR(INDEX('TaxCred&amp;Subs'!$K$139:$S$151,MATCH($C561&amp;$D561,'TaxCred&amp;Subs'!$C$139:$C$151,0),MATCH($H561,'TaxCred&amp;Subs'!$K$137:$S$137,0)),0))),0),0)</f>
        <v>699</v>
      </c>
      <c r="S561" s="170">
        <f t="array" ref="S561">ROUND(IF(IFERROR(VALUE(RIGHT($AD561,1)),0)&gt;2,IF($C561=8,O561*IFERROR(INDEX('TaxCred&amp;Subs'!$K$139:$S$151,MATCH($C561&amp;$D561&amp;LEFT($AD561,7),'TaxCred&amp;Subs'!$E$139:$E$151,0),MATCH($H561,'TaxCred&amp;Subs'!$K$137:$S$137,0)),0),IF($C561=2,O561*IFERROR(INDEX('TaxCred&amp;Subs'!$K$139:$S$151,MATCH($C561&amp;$D561,'TaxCred&amp;Subs'!$D$139:$D$151,0),MATCH($H561,'TaxCred&amp;Subs'!$K$137:$S$137,0)),0),O561*IFERROR(INDEX('TaxCred&amp;Subs'!$K$139:$S$151,MATCH($C561&amp;$D561,'TaxCred&amp;Subs'!$C$139:$C$151,0),MATCH($H561,'TaxCred&amp;Subs'!$K$137:$S$137,0)),0))),0),0)</f>
        <v>0</v>
      </c>
      <c r="T561" s="95">
        <f t="shared" si="30"/>
        <v>0</v>
      </c>
      <c r="U561" s="95">
        <f t="shared" si="31"/>
        <v>0</v>
      </c>
      <c r="V561" s="28" t="s">
        <v>222</v>
      </c>
      <c r="W561" s="31">
        <v>2020</v>
      </c>
      <c r="X561" s="28">
        <v>1</v>
      </c>
      <c r="Y561" s="28">
        <v>0</v>
      </c>
      <c r="Z561" s="196">
        <v>-2.1513024844954491E-4</v>
      </c>
      <c r="AA561" s="196">
        <v>-3.3096961299929986E-3</v>
      </c>
      <c r="AB561" s="28">
        <v>0</v>
      </c>
      <c r="AC561" s="28">
        <v>0</v>
      </c>
      <c r="AD561" s="28" t="s">
        <v>337</v>
      </c>
    </row>
    <row r="562" spans="2:31" ht="14.25" customHeight="1" x14ac:dyDescent="0.2">
      <c r="B562" s="7">
        <f t="shared" si="32"/>
        <v>538</v>
      </c>
      <c r="C562" s="28">
        <v>2</v>
      </c>
      <c r="D562" s="28">
        <v>4</v>
      </c>
      <c r="E562" s="31">
        <v>15</v>
      </c>
      <c r="F562" s="78">
        <v>2035</v>
      </c>
      <c r="G562" s="28">
        <v>2050</v>
      </c>
      <c r="H562" s="28">
        <v>6</v>
      </c>
      <c r="I562" s="96">
        <v>50</v>
      </c>
      <c r="J562" s="31">
        <v>34</v>
      </c>
      <c r="K562" s="28">
        <v>0</v>
      </c>
      <c r="L562" s="28">
        <v>0</v>
      </c>
      <c r="M562" s="156">
        <v>22.03</v>
      </c>
      <c r="N562" s="151">
        <v>10027.5</v>
      </c>
      <c r="O562" s="79">
        <v>0</v>
      </c>
      <c r="P562" s="95">
        <f t="array" ref="P562">ROUND(IF($F562&lt;='TaxCred&amp;Subs'!$C$49,(IF($C562=2,IF($M562&gt;=IFERROR(INDEX('TaxCred&amp;Subs'!$L$12:$L$47,MATCH(1,($C562&amp;$D562='TaxCred&amp;Subs'!$E$12:$E$47)*($F562='TaxCred&amp;Subs'!$C$12:$C$47),0)
),9999),IFERROR(INDEX('TaxCred&amp;Subs'!$N$12:$N$47,MATCH(1,($C562&amp;$D562='TaxCred&amp;Subs'!$E$12:$E$47)*($F562='TaxCred&amp;Subs'!$C$12:$C$47),0)
),0),0),(IF($M562&gt;=IFERROR(INDEX('TaxCred&amp;Subs'!$H$12:$H$47,MATCH(1,($C562&amp;$D562='TaxCred&amp;Subs'!$D$12:$D$47)*($F562='TaxCred&amp;Subs'!$C$12:$C$47),0)
),9999),IFERROR(INDEX('TaxCred&amp;Subs'!$N$12:$N$47,MATCH(1,($C562&amp;$D562='TaxCred&amp;Subs'!$D$12:$D$47)*($F562='TaxCred&amp;Subs'!$C$12:$C$47),0)
),0),0)))),0)+IF(AND($C562=2,VALUE(RIGHT($AD562,1))&gt;2),(N562-R562)*(IFERROR(INDEX('TaxCred&amp;Subs'!$J$66:$J$99,MATCH(1,($C562&amp;$D562='TaxCred&amp;Subs'!$E$66:$E$99)*($F562='TaxCred&amp;Subs'!$C$66:$C$99),0)),0)),IF(AND($C562=1,VALUE(RIGHT($AD562,1))&gt;2),(N562-R562)*(IFERROR(INDEX('TaxCred&amp;Subs'!$J$66:$J$99,MATCH(1,($C562&amp;$D562='TaxCred&amp;Subs'!$D$66:$D$99)*($F562='TaxCred&amp;Subs'!$C$66:$C$99),0)),0)),IF($C562&gt;2,(N562-R562)*(IFERROR(INDEX('TaxCred&amp;Subs'!$J$66:$J$99,MATCH(1,($C562&amp;$D562='TaxCred&amp;Subs'!$D$66:$D$99)*($F562='TaxCred&amp;Subs'!$C$66:$C$99),0)),0)),0))),0)</f>
        <v>0</v>
      </c>
      <c r="Q562" s="95">
        <f t="array" ref="Q562">ROUND(IF(AND($C562=2,VALUE(RIGHT($AD562,1))&gt;2),(O562-S562)*(IFERROR(INDEX('TaxCred&amp;Subs'!$J$66:$J$99,MATCH(1,($C562&amp;$D562='TaxCred&amp;Subs'!$E$66:$E$99)*($F562='TaxCred&amp;Subs'!$C$66:$C$99),0)),0)),IF(AND($C562=1,VALUE(RIGHT($AD562,1))&gt;2),(O562-S562)*(IFERROR(INDEX('TaxCred&amp;Subs'!$J$66:$J$99,MATCH(1,($C562&amp;$D562='TaxCred&amp;Subs'!$D$66:$D$99)*($F562='TaxCred&amp;Subs'!$C$66:$C$99),0)),0)),IF($C562&gt;2,(O562-S562)*(IFERROR(INDEX('TaxCred&amp;Subs'!$J$66:$J$99,MATCH(1,($C562&amp;$D562='TaxCred&amp;Subs'!$D$66:$D$99)*($F562='TaxCred&amp;Subs'!$C$66:$C$99),0)),0)),0))),0)</f>
        <v>0</v>
      </c>
      <c r="R562" s="170">
        <f t="array" ref="R562">ROUND(IF(IFERROR(VALUE(RIGHT($AD562,1)),0)&gt;2,IF($C562=8,N562*IFERROR(INDEX('TaxCred&amp;Subs'!$K$139:$S$151,MATCH($C562&amp;$D562&amp;LEFT($AD562,7),'TaxCred&amp;Subs'!$E$139:$E$151,0),MATCH($H562,'TaxCred&amp;Subs'!$K$137:$S$137,0)),0),IF($C562=2,N562*IFERROR(INDEX('TaxCred&amp;Subs'!$K$139:$S$151,MATCH($C562&amp;$D562,'TaxCred&amp;Subs'!$D$139:$D$151,0),MATCH($H562,'TaxCred&amp;Subs'!$K$137:$S$137,0)),0),N562*IFERROR(INDEX('TaxCred&amp;Subs'!$K$139:$S$151,MATCH($C562&amp;$D562,'TaxCred&amp;Subs'!$C$139:$C$151,0),MATCH($H562,'TaxCred&amp;Subs'!$K$137:$S$137,0)),0))),0),0)</f>
        <v>884</v>
      </c>
      <c r="S562" s="170">
        <f t="array" ref="S562">ROUND(IF(IFERROR(VALUE(RIGHT($AD562,1)),0)&gt;2,IF($C562=8,O562*IFERROR(INDEX('TaxCred&amp;Subs'!$K$139:$S$151,MATCH($C562&amp;$D562&amp;LEFT($AD562,7),'TaxCred&amp;Subs'!$E$139:$E$151,0),MATCH($H562,'TaxCred&amp;Subs'!$K$137:$S$137,0)),0),IF($C562=2,O562*IFERROR(INDEX('TaxCred&amp;Subs'!$K$139:$S$151,MATCH($C562&amp;$D562,'TaxCred&amp;Subs'!$D$139:$D$151,0),MATCH($H562,'TaxCred&amp;Subs'!$K$137:$S$137,0)),0),O562*IFERROR(INDEX('TaxCred&amp;Subs'!$K$139:$S$151,MATCH($C562&amp;$D562,'TaxCred&amp;Subs'!$C$139:$C$151,0),MATCH($H562,'TaxCred&amp;Subs'!$K$137:$S$137,0)),0))),0),0)</f>
        <v>0</v>
      </c>
      <c r="T562" s="95">
        <f t="shared" si="30"/>
        <v>0</v>
      </c>
      <c r="U562" s="95">
        <f t="shared" si="31"/>
        <v>0</v>
      </c>
      <c r="V562" s="28" t="s">
        <v>222</v>
      </c>
      <c r="W562" s="31">
        <v>2020</v>
      </c>
      <c r="X562" s="28">
        <v>1</v>
      </c>
      <c r="Y562" s="28">
        <v>0</v>
      </c>
      <c r="Z562" s="196">
        <v>-2.1513024844954491E-4</v>
      </c>
      <c r="AA562" s="196">
        <v>-3.3096961299929986E-3</v>
      </c>
      <c r="AB562" s="28">
        <v>0</v>
      </c>
      <c r="AC562" s="28">
        <v>0</v>
      </c>
      <c r="AD562" s="28" t="s">
        <v>337</v>
      </c>
    </row>
    <row r="563" spans="2:31" ht="14.25" customHeight="1" x14ac:dyDescent="0.2">
      <c r="B563" s="7">
        <f t="shared" si="32"/>
        <v>539</v>
      </c>
      <c r="C563" s="28">
        <v>2</v>
      </c>
      <c r="D563" s="28">
        <v>4</v>
      </c>
      <c r="E563" s="31">
        <v>15</v>
      </c>
      <c r="F563" s="78">
        <v>2035</v>
      </c>
      <c r="G563" s="28">
        <v>2050</v>
      </c>
      <c r="H563" s="28">
        <v>7</v>
      </c>
      <c r="I563" s="96">
        <v>50</v>
      </c>
      <c r="J563" s="31">
        <v>34</v>
      </c>
      <c r="K563" s="28">
        <v>0</v>
      </c>
      <c r="L563" s="28">
        <v>0</v>
      </c>
      <c r="M563" s="156">
        <v>22.03</v>
      </c>
      <c r="N563" s="151">
        <v>10027.5</v>
      </c>
      <c r="O563" s="79">
        <v>0</v>
      </c>
      <c r="P563" s="95">
        <f t="array" ref="P563">ROUND(IF($F563&lt;='TaxCred&amp;Subs'!$C$49,(IF($C563=2,IF($M563&gt;=IFERROR(INDEX('TaxCred&amp;Subs'!$L$12:$L$47,MATCH(1,($C563&amp;$D563='TaxCred&amp;Subs'!$E$12:$E$47)*($F563='TaxCred&amp;Subs'!$C$12:$C$47),0)
),9999),IFERROR(INDEX('TaxCred&amp;Subs'!$N$12:$N$47,MATCH(1,($C563&amp;$D563='TaxCred&amp;Subs'!$E$12:$E$47)*($F563='TaxCred&amp;Subs'!$C$12:$C$47),0)
),0),0),(IF($M563&gt;=IFERROR(INDEX('TaxCred&amp;Subs'!$H$12:$H$47,MATCH(1,($C563&amp;$D563='TaxCred&amp;Subs'!$D$12:$D$47)*($F563='TaxCred&amp;Subs'!$C$12:$C$47),0)
),9999),IFERROR(INDEX('TaxCred&amp;Subs'!$N$12:$N$47,MATCH(1,($C563&amp;$D563='TaxCred&amp;Subs'!$D$12:$D$47)*($F563='TaxCred&amp;Subs'!$C$12:$C$47),0)
),0),0)))),0)+IF(AND($C563=2,VALUE(RIGHT($AD563,1))&gt;2),(N563-R563)*(IFERROR(INDEX('TaxCred&amp;Subs'!$J$66:$J$99,MATCH(1,($C563&amp;$D563='TaxCred&amp;Subs'!$E$66:$E$99)*($F563='TaxCred&amp;Subs'!$C$66:$C$99),0)),0)),IF(AND($C563=1,VALUE(RIGHT($AD563,1))&gt;2),(N563-R563)*(IFERROR(INDEX('TaxCred&amp;Subs'!$J$66:$J$99,MATCH(1,($C563&amp;$D563='TaxCred&amp;Subs'!$D$66:$D$99)*($F563='TaxCred&amp;Subs'!$C$66:$C$99),0)),0)),IF($C563&gt;2,(N563-R563)*(IFERROR(INDEX('TaxCred&amp;Subs'!$J$66:$J$99,MATCH(1,($C563&amp;$D563='TaxCred&amp;Subs'!$D$66:$D$99)*($F563='TaxCred&amp;Subs'!$C$66:$C$99),0)),0)),0))),0)</f>
        <v>0</v>
      </c>
      <c r="Q563" s="95">
        <f t="array" ref="Q563">ROUND(IF(AND($C563=2,VALUE(RIGHT($AD563,1))&gt;2),(O563-S563)*(IFERROR(INDEX('TaxCred&amp;Subs'!$J$66:$J$99,MATCH(1,($C563&amp;$D563='TaxCred&amp;Subs'!$E$66:$E$99)*($F563='TaxCred&amp;Subs'!$C$66:$C$99),0)),0)),IF(AND($C563=1,VALUE(RIGHT($AD563,1))&gt;2),(O563-S563)*(IFERROR(INDEX('TaxCred&amp;Subs'!$J$66:$J$99,MATCH(1,($C563&amp;$D563='TaxCred&amp;Subs'!$D$66:$D$99)*($F563='TaxCred&amp;Subs'!$C$66:$C$99),0)),0)),IF($C563&gt;2,(O563-S563)*(IFERROR(INDEX('TaxCred&amp;Subs'!$J$66:$J$99,MATCH(1,($C563&amp;$D563='TaxCred&amp;Subs'!$D$66:$D$99)*($F563='TaxCred&amp;Subs'!$C$66:$C$99),0)),0)),0))),0)</f>
        <v>0</v>
      </c>
      <c r="R563" s="170">
        <f t="array" ref="R563">ROUND(IF(IFERROR(VALUE(RIGHT($AD563,1)),0)&gt;2,IF($C563=8,N563*IFERROR(INDEX('TaxCred&amp;Subs'!$K$139:$S$151,MATCH($C563&amp;$D563&amp;LEFT($AD563,7),'TaxCred&amp;Subs'!$E$139:$E$151,0),MATCH($H563,'TaxCred&amp;Subs'!$K$137:$S$137,0)),0),IF($C563=2,N563*IFERROR(INDEX('TaxCred&amp;Subs'!$K$139:$S$151,MATCH($C563&amp;$D563,'TaxCred&amp;Subs'!$D$139:$D$151,0),MATCH($H563,'TaxCred&amp;Subs'!$K$137:$S$137,0)),0),N563*IFERROR(INDEX('TaxCred&amp;Subs'!$K$139:$S$151,MATCH($C563&amp;$D563,'TaxCred&amp;Subs'!$C$139:$C$151,0),MATCH($H563,'TaxCred&amp;Subs'!$K$137:$S$137,0)),0))),0),0)</f>
        <v>370</v>
      </c>
      <c r="S563" s="170">
        <f t="array" ref="S563">ROUND(IF(IFERROR(VALUE(RIGHT($AD563,1)),0)&gt;2,IF($C563=8,O563*IFERROR(INDEX('TaxCred&amp;Subs'!$K$139:$S$151,MATCH($C563&amp;$D563&amp;LEFT($AD563,7),'TaxCred&amp;Subs'!$E$139:$E$151,0),MATCH($H563,'TaxCred&amp;Subs'!$K$137:$S$137,0)),0),IF($C563=2,O563*IFERROR(INDEX('TaxCred&amp;Subs'!$K$139:$S$151,MATCH($C563&amp;$D563,'TaxCred&amp;Subs'!$D$139:$D$151,0),MATCH($H563,'TaxCred&amp;Subs'!$K$137:$S$137,0)),0),O563*IFERROR(INDEX('TaxCred&amp;Subs'!$K$139:$S$151,MATCH($C563&amp;$D563,'TaxCred&amp;Subs'!$C$139:$C$151,0),MATCH($H563,'TaxCred&amp;Subs'!$K$137:$S$137,0)),0))),0),0)</f>
        <v>0</v>
      </c>
      <c r="T563" s="95">
        <f t="shared" si="30"/>
        <v>0</v>
      </c>
      <c r="U563" s="95">
        <f t="shared" si="31"/>
        <v>0</v>
      </c>
      <c r="V563" s="28" t="s">
        <v>222</v>
      </c>
      <c r="W563" s="31">
        <v>2020</v>
      </c>
      <c r="X563" s="28">
        <v>1</v>
      </c>
      <c r="Y563" s="28">
        <v>0</v>
      </c>
      <c r="Z563" s="196">
        <v>-2.1513024844954491E-4</v>
      </c>
      <c r="AA563" s="196">
        <v>-3.3096961299929986E-3</v>
      </c>
      <c r="AB563" s="28">
        <v>0</v>
      </c>
      <c r="AC563" s="28">
        <v>0</v>
      </c>
      <c r="AD563" s="28" t="s">
        <v>337</v>
      </c>
    </row>
    <row r="564" spans="2:31" ht="14.25" customHeight="1" x14ac:dyDescent="0.2">
      <c r="B564" s="7">
        <f t="shared" si="32"/>
        <v>540</v>
      </c>
      <c r="C564" s="28">
        <v>2</v>
      </c>
      <c r="D564" s="28">
        <v>4</v>
      </c>
      <c r="E564" s="31">
        <v>15</v>
      </c>
      <c r="F564" s="78">
        <v>2035</v>
      </c>
      <c r="G564" s="28">
        <v>2050</v>
      </c>
      <c r="H564" s="28">
        <v>8</v>
      </c>
      <c r="I564" s="96">
        <v>50</v>
      </c>
      <c r="J564" s="31">
        <v>34</v>
      </c>
      <c r="K564" s="28">
        <v>0</v>
      </c>
      <c r="L564" s="28">
        <v>0</v>
      </c>
      <c r="M564" s="156">
        <v>22.03</v>
      </c>
      <c r="N564" s="151">
        <v>10027.5</v>
      </c>
      <c r="O564" s="79">
        <v>0</v>
      </c>
      <c r="P564" s="95">
        <f t="array" ref="P564">ROUND(IF($F564&lt;='TaxCred&amp;Subs'!$C$49,(IF($C564=2,IF($M564&gt;=IFERROR(INDEX('TaxCred&amp;Subs'!$L$12:$L$47,MATCH(1,($C564&amp;$D564='TaxCred&amp;Subs'!$E$12:$E$47)*($F564='TaxCred&amp;Subs'!$C$12:$C$47),0)
),9999),IFERROR(INDEX('TaxCred&amp;Subs'!$N$12:$N$47,MATCH(1,($C564&amp;$D564='TaxCred&amp;Subs'!$E$12:$E$47)*($F564='TaxCred&amp;Subs'!$C$12:$C$47),0)
),0),0),(IF($M564&gt;=IFERROR(INDEX('TaxCred&amp;Subs'!$H$12:$H$47,MATCH(1,($C564&amp;$D564='TaxCred&amp;Subs'!$D$12:$D$47)*($F564='TaxCred&amp;Subs'!$C$12:$C$47),0)
),9999),IFERROR(INDEX('TaxCred&amp;Subs'!$N$12:$N$47,MATCH(1,($C564&amp;$D564='TaxCred&amp;Subs'!$D$12:$D$47)*($F564='TaxCred&amp;Subs'!$C$12:$C$47),0)
),0),0)))),0)+IF(AND($C564=2,VALUE(RIGHT($AD564,1))&gt;2),(N564-R564)*(IFERROR(INDEX('TaxCred&amp;Subs'!$J$66:$J$99,MATCH(1,($C564&amp;$D564='TaxCred&amp;Subs'!$E$66:$E$99)*($F564='TaxCred&amp;Subs'!$C$66:$C$99),0)),0)),IF(AND($C564=1,VALUE(RIGHT($AD564,1))&gt;2),(N564-R564)*(IFERROR(INDEX('TaxCred&amp;Subs'!$J$66:$J$99,MATCH(1,($C564&amp;$D564='TaxCred&amp;Subs'!$D$66:$D$99)*($F564='TaxCred&amp;Subs'!$C$66:$C$99),0)),0)),IF($C564&gt;2,(N564-R564)*(IFERROR(INDEX('TaxCred&amp;Subs'!$J$66:$J$99,MATCH(1,($C564&amp;$D564='TaxCred&amp;Subs'!$D$66:$D$99)*($F564='TaxCred&amp;Subs'!$C$66:$C$99),0)),0)),0))),0)</f>
        <v>0</v>
      </c>
      <c r="Q564" s="95">
        <f t="array" ref="Q564">ROUND(IF(AND($C564=2,VALUE(RIGHT($AD564,1))&gt;2),(O564-S564)*(IFERROR(INDEX('TaxCred&amp;Subs'!$J$66:$J$99,MATCH(1,($C564&amp;$D564='TaxCred&amp;Subs'!$E$66:$E$99)*($F564='TaxCred&amp;Subs'!$C$66:$C$99),0)),0)),IF(AND($C564=1,VALUE(RIGHT($AD564,1))&gt;2),(O564-S564)*(IFERROR(INDEX('TaxCred&amp;Subs'!$J$66:$J$99,MATCH(1,($C564&amp;$D564='TaxCred&amp;Subs'!$D$66:$D$99)*($F564='TaxCred&amp;Subs'!$C$66:$C$99),0)),0)),IF($C564&gt;2,(O564-S564)*(IFERROR(INDEX('TaxCred&amp;Subs'!$J$66:$J$99,MATCH(1,($C564&amp;$D564='TaxCred&amp;Subs'!$D$66:$D$99)*($F564='TaxCred&amp;Subs'!$C$66:$C$99),0)),0)),0))),0)</f>
        <v>0</v>
      </c>
      <c r="R564" s="170">
        <f t="array" ref="R564">ROUND(IF(IFERROR(VALUE(RIGHT($AD564,1)),0)&gt;2,IF($C564=8,N564*IFERROR(INDEX('TaxCred&amp;Subs'!$K$139:$S$151,MATCH($C564&amp;$D564&amp;LEFT($AD564,7),'TaxCred&amp;Subs'!$E$139:$E$151,0),MATCH($H564,'TaxCred&amp;Subs'!$K$137:$S$137,0)),0),IF($C564=2,N564*IFERROR(INDEX('TaxCred&amp;Subs'!$K$139:$S$151,MATCH($C564&amp;$D564,'TaxCred&amp;Subs'!$D$139:$D$151,0),MATCH($H564,'TaxCred&amp;Subs'!$K$137:$S$137,0)),0),N564*IFERROR(INDEX('TaxCred&amp;Subs'!$K$139:$S$151,MATCH($C564&amp;$D564,'TaxCred&amp;Subs'!$C$139:$C$151,0),MATCH($H564,'TaxCred&amp;Subs'!$K$137:$S$137,0)),0))),0),0)</f>
        <v>504</v>
      </c>
      <c r="S564" s="170">
        <f t="array" ref="S564">ROUND(IF(IFERROR(VALUE(RIGHT($AD564,1)),0)&gt;2,IF($C564=8,O564*IFERROR(INDEX('TaxCred&amp;Subs'!$K$139:$S$151,MATCH($C564&amp;$D564&amp;LEFT($AD564,7),'TaxCred&amp;Subs'!$E$139:$E$151,0),MATCH($H564,'TaxCred&amp;Subs'!$K$137:$S$137,0)),0),IF($C564=2,O564*IFERROR(INDEX('TaxCred&amp;Subs'!$K$139:$S$151,MATCH($C564&amp;$D564,'TaxCred&amp;Subs'!$D$139:$D$151,0),MATCH($H564,'TaxCred&amp;Subs'!$K$137:$S$137,0)),0),O564*IFERROR(INDEX('TaxCred&amp;Subs'!$K$139:$S$151,MATCH($C564&amp;$D564,'TaxCred&amp;Subs'!$C$139:$C$151,0),MATCH($H564,'TaxCred&amp;Subs'!$K$137:$S$137,0)),0))),0),0)</f>
        <v>0</v>
      </c>
      <c r="T564" s="95">
        <f t="shared" si="30"/>
        <v>0</v>
      </c>
      <c r="U564" s="95">
        <f t="shared" si="31"/>
        <v>0</v>
      </c>
      <c r="V564" s="28" t="s">
        <v>222</v>
      </c>
      <c r="W564" s="31">
        <v>2020</v>
      </c>
      <c r="X564" s="28">
        <v>1</v>
      </c>
      <c r="Y564" s="28">
        <v>0</v>
      </c>
      <c r="Z564" s="196">
        <v>-2.1513024844954491E-4</v>
      </c>
      <c r="AA564" s="196">
        <v>-3.3096961299929986E-3</v>
      </c>
      <c r="AB564" s="28">
        <v>0</v>
      </c>
      <c r="AC564" s="28">
        <v>0</v>
      </c>
      <c r="AD564" s="28" t="s">
        <v>337</v>
      </c>
    </row>
    <row r="565" spans="2:31" ht="14.25" customHeight="1" x14ac:dyDescent="0.2">
      <c r="B565" s="7">
        <f t="shared" si="32"/>
        <v>541</v>
      </c>
      <c r="C565" s="28">
        <v>2</v>
      </c>
      <c r="D565" s="28">
        <v>4</v>
      </c>
      <c r="E565" s="31">
        <v>15</v>
      </c>
      <c r="F565" s="78">
        <v>2035</v>
      </c>
      <c r="G565" s="28">
        <v>2050</v>
      </c>
      <c r="H565" s="28">
        <v>9</v>
      </c>
      <c r="I565" s="96">
        <v>50</v>
      </c>
      <c r="J565" s="31">
        <v>34</v>
      </c>
      <c r="K565" s="28">
        <v>0</v>
      </c>
      <c r="L565" s="28">
        <v>0</v>
      </c>
      <c r="M565" s="156">
        <v>22.03</v>
      </c>
      <c r="N565" s="151">
        <v>10027.5</v>
      </c>
      <c r="O565" s="79">
        <v>0</v>
      </c>
      <c r="P565" s="95">
        <f t="array" ref="P565">ROUND(IF($F565&lt;='TaxCred&amp;Subs'!$C$49,(IF($C565=2,IF($M565&gt;=IFERROR(INDEX('TaxCred&amp;Subs'!$L$12:$L$47,MATCH(1,($C565&amp;$D565='TaxCred&amp;Subs'!$E$12:$E$47)*($F565='TaxCred&amp;Subs'!$C$12:$C$47),0)
),9999),IFERROR(INDEX('TaxCred&amp;Subs'!$N$12:$N$47,MATCH(1,($C565&amp;$D565='TaxCred&amp;Subs'!$E$12:$E$47)*($F565='TaxCred&amp;Subs'!$C$12:$C$47),0)
),0),0),(IF($M565&gt;=IFERROR(INDEX('TaxCred&amp;Subs'!$H$12:$H$47,MATCH(1,($C565&amp;$D565='TaxCred&amp;Subs'!$D$12:$D$47)*($F565='TaxCred&amp;Subs'!$C$12:$C$47),0)
),9999),IFERROR(INDEX('TaxCred&amp;Subs'!$N$12:$N$47,MATCH(1,($C565&amp;$D565='TaxCred&amp;Subs'!$D$12:$D$47)*($F565='TaxCred&amp;Subs'!$C$12:$C$47),0)
),0),0)))),0)+IF(AND($C565=2,VALUE(RIGHT($AD565,1))&gt;2),(N565-R565)*(IFERROR(INDEX('TaxCred&amp;Subs'!$J$66:$J$99,MATCH(1,($C565&amp;$D565='TaxCred&amp;Subs'!$E$66:$E$99)*($F565='TaxCred&amp;Subs'!$C$66:$C$99),0)),0)),IF(AND($C565=1,VALUE(RIGHT($AD565,1))&gt;2),(N565-R565)*(IFERROR(INDEX('TaxCred&amp;Subs'!$J$66:$J$99,MATCH(1,($C565&amp;$D565='TaxCred&amp;Subs'!$D$66:$D$99)*($F565='TaxCred&amp;Subs'!$C$66:$C$99),0)),0)),IF($C565&gt;2,(N565-R565)*(IFERROR(INDEX('TaxCred&amp;Subs'!$J$66:$J$99,MATCH(1,($C565&amp;$D565='TaxCred&amp;Subs'!$D$66:$D$99)*($F565='TaxCred&amp;Subs'!$C$66:$C$99),0)),0)),0))),0)</f>
        <v>0</v>
      </c>
      <c r="Q565" s="95">
        <f t="array" ref="Q565">ROUND(IF(AND($C565=2,VALUE(RIGHT($AD565,1))&gt;2),(O565-S565)*(IFERROR(INDEX('TaxCred&amp;Subs'!$J$66:$J$99,MATCH(1,($C565&amp;$D565='TaxCred&amp;Subs'!$E$66:$E$99)*($F565='TaxCred&amp;Subs'!$C$66:$C$99),0)),0)),IF(AND($C565=1,VALUE(RIGHT($AD565,1))&gt;2),(O565-S565)*(IFERROR(INDEX('TaxCred&amp;Subs'!$J$66:$J$99,MATCH(1,($C565&amp;$D565='TaxCred&amp;Subs'!$D$66:$D$99)*($F565='TaxCred&amp;Subs'!$C$66:$C$99),0)),0)),IF($C565&gt;2,(O565-S565)*(IFERROR(INDEX('TaxCred&amp;Subs'!$J$66:$J$99,MATCH(1,($C565&amp;$D565='TaxCred&amp;Subs'!$D$66:$D$99)*($F565='TaxCred&amp;Subs'!$C$66:$C$99),0)),0)),0))),0)</f>
        <v>0</v>
      </c>
      <c r="R565" s="170">
        <f t="array" ref="R565">ROUND(IF(IFERROR(VALUE(RIGHT($AD565,1)),0)&gt;2,IF($C565=8,N565*IFERROR(INDEX('TaxCred&amp;Subs'!$K$139:$S$151,MATCH($C565&amp;$D565&amp;LEFT($AD565,7),'TaxCred&amp;Subs'!$E$139:$E$151,0),MATCH($H565,'TaxCred&amp;Subs'!$K$137:$S$137,0)),0),IF($C565=2,N565*IFERROR(INDEX('TaxCred&amp;Subs'!$K$139:$S$151,MATCH($C565&amp;$D565,'TaxCred&amp;Subs'!$D$139:$D$151,0),MATCH($H565,'TaxCred&amp;Subs'!$K$137:$S$137,0)),0),N565*IFERROR(INDEX('TaxCred&amp;Subs'!$K$139:$S$151,MATCH($C565&amp;$D565,'TaxCred&amp;Subs'!$C$139:$C$151,0),MATCH($H565,'TaxCred&amp;Subs'!$K$137:$S$137,0)),0))),0),0)</f>
        <v>246</v>
      </c>
      <c r="S565" s="170">
        <f t="array" ref="S565">ROUND(IF(IFERROR(VALUE(RIGHT($AD565,1)),0)&gt;2,IF($C565=8,O565*IFERROR(INDEX('TaxCred&amp;Subs'!$K$139:$S$151,MATCH($C565&amp;$D565&amp;LEFT($AD565,7),'TaxCred&amp;Subs'!$E$139:$E$151,0),MATCH($H565,'TaxCred&amp;Subs'!$K$137:$S$137,0)),0),IF($C565=2,O565*IFERROR(INDEX('TaxCred&amp;Subs'!$K$139:$S$151,MATCH($C565&amp;$D565,'TaxCred&amp;Subs'!$D$139:$D$151,0),MATCH($H565,'TaxCred&amp;Subs'!$K$137:$S$137,0)),0),O565*IFERROR(INDEX('TaxCred&amp;Subs'!$K$139:$S$151,MATCH($C565&amp;$D565,'TaxCred&amp;Subs'!$C$139:$C$151,0),MATCH($H565,'TaxCred&amp;Subs'!$K$137:$S$137,0)),0))),0),0)</f>
        <v>0</v>
      </c>
      <c r="T565" s="172">
        <f t="shared" si="30"/>
        <v>1504.125</v>
      </c>
      <c r="U565" s="95">
        <f t="shared" si="31"/>
        <v>0</v>
      </c>
      <c r="V565" s="28" t="s">
        <v>222</v>
      </c>
      <c r="W565" s="31">
        <v>2020</v>
      </c>
      <c r="X565" s="28">
        <v>1</v>
      </c>
      <c r="Y565" s="28">
        <v>0</v>
      </c>
      <c r="Z565" s="196">
        <v>-2.1513024844954491E-4</v>
      </c>
      <c r="AA565" s="196">
        <v>-3.3096961299929986E-3</v>
      </c>
      <c r="AB565" s="28">
        <v>0</v>
      </c>
      <c r="AC565" s="28">
        <v>0</v>
      </c>
      <c r="AD565" s="28" t="s">
        <v>337</v>
      </c>
    </row>
    <row r="566" spans="2:31" ht="14.25" customHeight="1" x14ac:dyDescent="0.2">
      <c r="B566" s="7">
        <f t="shared" si="32"/>
        <v>542</v>
      </c>
      <c r="C566" s="28">
        <v>2</v>
      </c>
      <c r="D566" s="28">
        <v>5</v>
      </c>
      <c r="E566" s="31">
        <v>16</v>
      </c>
      <c r="F566" s="96">
        <v>2020</v>
      </c>
      <c r="G566" s="28">
        <v>2050</v>
      </c>
      <c r="H566" s="28">
        <v>11</v>
      </c>
      <c r="I566" s="96">
        <v>51</v>
      </c>
      <c r="J566" s="31">
        <v>35</v>
      </c>
      <c r="K566" s="28">
        <v>0</v>
      </c>
      <c r="L566" s="28">
        <v>0</v>
      </c>
      <c r="M566" s="75">
        <v>0.7</v>
      </c>
      <c r="N566" s="79">
        <v>6800</v>
      </c>
      <c r="O566" s="79">
        <v>0</v>
      </c>
      <c r="P566" s="95">
        <f t="array" ref="P566">ROUND(IF($F566&lt;='TaxCred&amp;Subs'!$C$49,(IF($C566=2,IF($M566&gt;=IFERROR(INDEX('TaxCred&amp;Subs'!$L$12:$L$47,MATCH(1,($C566&amp;$D566='TaxCred&amp;Subs'!$E$12:$E$47)*($F566='TaxCred&amp;Subs'!$C$12:$C$47),0)
),9999),IFERROR(INDEX('TaxCred&amp;Subs'!$N$12:$N$47,MATCH(1,($C566&amp;$D566='TaxCred&amp;Subs'!$E$12:$E$47)*($F566='TaxCred&amp;Subs'!$C$12:$C$47),0)
),0),0),(IF($M566&gt;=IFERROR(INDEX('TaxCred&amp;Subs'!$H$12:$H$47,MATCH(1,($C566&amp;$D566='TaxCred&amp;Subs'!$D$12:$D$47)*($F566='TaxCred&amp;Subs'!$C$12:$C$47),0)
),9999),IFERROR(INDEX('TaxCred&amp;Subs'!$N$12:$N$47,MATCH(1,($C566&amp;$D566='TaxCred&amp;Subs'!$D$12:$D$47)*($F566='TaxCred&amp;Subs'!$C$12:$C$47),0)
),0),0)))),0)+IF(AND($C566=2,VALUE(RIGHT($AD566,1))&gt;2),(N566-R566)*(IFERROR(INDEX('TaxCred&amp;Subs'!$J$66:$J$99,MATCH(1,($C566&amp;$D566='TaxCred&amp;Subs'!$E$66:$E$99)*($F566='TaxCred&amp;Subs'!$C$66:$C$99),0)),0)),IF(AND($C566=1,VALUE(RIGHT($AD566,1))&gt;2),(N566-R566)*(IFERROR(INDEX('TaxCred&amp;Subs'!$J$66:$J$99,MATCH(1,($C566&amp;$D566='TaxCred&amp;Subs'!$D$66:$D$99)*($F566='TaxCred&amp;Subs'!$C$66:$C$99),0)),0)),IF($C566&gt;2,(N566-R566)*(IFERROR(INDEX('TaxCred&amp;Subs'!$J$66:$J$99,MATCH(1,($C566&amp;$D566='TaxCred&amp;Subs'!$D$66:$D$99)*($F566='TaxCred&amp;Subs'!$C$66:$C$99),0)),0)),0))),0)</f>
        <v>0</v>
      </c>
      <c r="Q566" s="95">
        <f t="array" ref="Q566">ROUND(IF(AND($C566=2,VALUE(RIGHT($AD566,1))&gt;2),(O566-S566)*(IFERROR(INDEX('TaxCred&amp;Subs'!$J$66:$J$99,MATCH(1,($C566&amp;$D566='TaxCred&amp;Subs'!$E$66:$E$99)*($F566='TaxCred&amp;Subs'!$C$66:$C$99),0)),0)),IF(AND($C566=1,VALUE(RIGHT($AD566,1))&gt;2),(O566-S566)*(IFERROR(INDEX('TaxCred&amp;Subs'!$J$66:$J$99,MATCH(1,($C566&amp;$D566='TaxCred&amp;Subs'!$D$66:$D$99)*($F566='TaxCred&amp;Subs'!$C$66:$C$99),0)),0)),IF($C566&gt;2,(O566-S566)*(IFERROR(INDEX('TaxCred&amp;Subs'!$J$66:$J$99,MATCH(1,($C566&amp;$D566='TaxCred&amp;Subs'!$D$66:$D$99)*($F566='TaxCred&amp;Subs'!$C$66:$C$99),0)),0)),0))),0)</f>
        <v>0</v>
      </c>
      <c r="R566" s="170">
        <f t="array" ref="R566">ROUND(IF(IFERROR(VALUE(RIGHT($AD566,1)),0)&gt;2,IF($C566=8,N566*IFERROR(INDEX('TaxCred&amp;Subs'!$K$139:$S$151,MATCH($C566&amp;$D566&amp;LEFT($AD566,7),'TaxCred&amp;Subs'!$E$139:$E$151,0),MATCH($H566,'TaxCred&amp;Subs'!$K$137:$S$137,0)),0),IF($C566=2,N566*IFERROR(INDEX('TaxCred&amp;Subs'!$K$139:$S$151,MATCH($C566&amp;$D566,'TaxCred&amp;Subs'!$D$139:$D$151,0),MATCH($H566,'TaxCred&amp;Subs'!$K$137:$S$137,0)),0),N566*IFERROR(INDEX('TaxCred&amp;Subs'!$K$139:$S$151,MATCH($C566&amp;$D566,'TaxCred&amp;Subs'!$C$139:$C$151,0),MATCH($H566,'TaxCred&amp;Subs'!$K$137:$S$137,0)),0))),0),0)</f>
        <v>0</v>
      </c>
      <c r="S566" s="170">
        <f t="array" ref="S566">ROUND(IF(IFERROR(VALUE(RIGHT($AD566,1)),0)&gt;2,IF($C566=8,O566*IFERROR(INDEX('TaxCred&amp;Subs'!$K$139:$S$151,MATCH($C566&amp;$D566&amp;LEFT($AD566,7),'TaxCred&amp;Subs'!$E$139:$E$151,0),MATCH($H566,'TaxCred&amp;Subs'!$K$137:$S$137,0)),0),IF($C566=2,O566*IFERROR(INDEX('TaxCred&amp;Subs'!$K$139:$S$151,MATCH($C566&amp;$D566,'TaxCred&amp;Subs'!$D$139:$D$151,0),MATCH($H566,'TaxCred&amp;Subs'!$K$137:$S$137,0)),0),O566*IFERROR(INDEX('TaxCred&amp;Subs'!$K$139:$S$151,MATCH($C566&amp;$D566,'TaxCred&amp;Subs'!$C$139:$C$151,0),MATCH($H566,'TaxCred&amp;Subs'!$K$137:$S$137,0)),0))),0),0)</f>
        <v>0</v>
      </c>
      <c r="T566" s="95">
        <f t="shared" si="30"/>
        <v>0</v>
      </c>
      <c r="U566" s="95">
        <f t="shared" si="31"/>
        <v>0</v>
      </c>
      <c r="V566" s="28" t="s">
        <v>222</v>
      </c>
      <c r="W566" s="31">
        <v>2020</v>
      </c>
      <c r="X566" s="28">
        <v>1</v>
      </c>
      <c r="Y566" s="28">
        <v>0</v>
      </c>
      <c r="Z566" s="196">
        <v>-1.8813884097842274E-4</v>
      </c>
      <c r="AA566" s="196">
        <v>-2.89444370736035E-3</v>
      </c>
      <c r="AB566" s="28">
        <v>0</v>
      </c>
      <c r="AC566" s="28">
        <v>0</v>
      </c>
      <c r="AD566" s="28" t="s">
        <v>338</v>
      </c>
    </row>
    <row r="567" spans="2:31" ht="14.25" customHeight="1" x14ac:dyDescent="0.2">
      <c r="B567" s="7">
        <f t="shared" si="32"/>
        <v>543</v>
      </c>
      <c r="C567" s="28">
        <v>3</v>
      </c>
      <c r="D567" s="28">
        <v>1</v>
      </c>
      <c r="E567" s="28">
        <v>1</v>
      </c>
      <c r="F567" s="96">
        <v>2020</v>
      </c>
      <c r="G567" s="96">
        <v>2027</v>
      </c>
      <c r="H567" s="28">
        <v>11</v>
      </c>
      <c r="I567" s="28">
        <v>0</v>
      </c>
      <c r="J567" s="28">
        <v>0</v>
      </c>
      <c r="K567" s="31">
        <v>1.57</v>
      </c>
      <c r="L567" s="156">
        <v>0.45381147915611475</v>
      </c>
      <c r="M567" s="156">
        <v>0.13878906540434707</v>
      </c>
      <c r="N567" s="151">
        <v>715</v>
      </c>
      <c r="O567" s="151">
        <v>520</v>
      </c>
      <c r="P567" s="95">
        <f t="array" ref="P567">ROUND(IF($F567&lt;='TaxCred&amp;Subs'!$C$49,(IF($C567=2,IF($M567&gt;=IFERROR(INDEX('TaxCred&amp;Subs'!$L$12:$L$47,MATCH(1,($C567&amp;$D567='TaxCred&amp;Subs'!$E$12:$E$47)*($F567='TaxCred&amp;Subs'!$C$12:$C$47),0)
),9999),IFERROR(INDEX('TaxCred&amp;Subs'!$N$12:$N$47,MATCH(1,($C567&amp;$D567='TaxCred&amp;Subs'!$E$12:$E$47)*($F567='TaxCred&amp;Subs'!$C$12:$C$47),0)
),0),0),(IF($M567&gt;=IFERROR(INDEX('TaxCred&amp;Subs'!$H$12:$H$47,MATCH(1,($C567&amp;$D567='TaxCred&amp;Subs'!$D$12:$D$47)*($F567='TaxCred&amp;Subs'!$C$12:$C$47),0)
),9999),IFERROR(INDEX('TaxCred&amp;Subs'!$N$12:$N$47,MATCH(1,($C567&amp;$D567='TaxCred&amp;Subs'!$D$12:$D$47)*($F567='TaxCred&amp;Subs'!$C$12:$C$47),0)
),0),0)))),0)+IF(AND($C567=2,VALUE(RIGHT($AD567,1))&gt;2),(N567-R567)*(IFERROR(INDEX('TaxCred&amp;Subs'!$J$66:$J$99,MATCH(1,($C567&amp;$D567='TaxCred&amp;Subs'!$E$66:$E$99)*($F567='TaxCred&amp;Subs'!$C$66:$C$99),0)),0)),IF(AND($C567=1,VALUE(RIGHT($AD567,1))&gt;2),(N567-R567)*(IFERROR(INDEX('TaxCred&amp;Subs'!$J$66:$J$99,MATCH(1,($C567&amp;$D567='TaxCred&amp;Subs'!$D$66:$D$99)*($F567='TaxCred&amp;Subs'!$C$66:$C$99),0)),0)),IF($C567&gt;2,(N567-R567)*(IFERROR(INDEX('TaxCred&amp;Subs'!$J$66:$J$99,MATCH(1,($C567&amp;$D567='TaxCred&amp;Subs'!$D$66:$D$99)*($F567='TaxCred&amp;Subs'!$C$66:$C$99),0)),0)),0))),0)</f>
        <v>0</v>
      </c>
      <c r="Q567" s="95">
        <f t="array" ref="Q567">ROUND(IF(AND($C567=2,VALUE(RIGHT($AD567,1))&gt;2),(O567-S567)*(IFERROR(INDEX('TaxCred&amp;Subs'!$J$66:$J$99,MATCH(1,($C567&amp;$D567='TaxCred&amp;Subs'!$E$66:$E$99)*($F567='TaxCred&amp;Subs'!$C$66:$C$99),0)),0)),IF(AND($C567=1,VALUE(RIGHT($AD567,1))&gt;2),(O567-S567)*(IFERROR(INDEX('TaxCred&amp;Subs'!$J$66:$J$99,MATCH(1,($C567&amp;$D567='TaxCred&amp;Subs'!$D$66:$D$99)*($F567='TaxCred&amp;Subs'!$C$66:$C$99),0)),0)),IF($C567&gt;2,(O567-S567)*(IFERROR(INDEX('TaxCred&amp;Subs'!$J$66:$J$99,MATCH(1,($C567&amp;$D567='TaxCred&amp;Subs'!$D$66:$D$99)*($F567='TaxCred&amp;Subs'!$C$66:$C$99),0)),0)),0))),0)</f>
        <v>0</v>
      </c>
      <c r="R567" s="170">
        <f t="array" ref="R567">ROUND(IF(IFERROR(VALUE(RIGHT($AD567,1)),0)&gt;2,IF($C567=8,N567*IFERROR(INDEX('TaxCred&amp;Subs'!$K$139:$S$151,MATCH($C567&amp;$D567&amp;LEFT($AD567,7),'TaxCred&amp;Subs'!$E$139:$E$151,0),MATCH($H567,'TaxCred&amp;Subs'!$K$137:$S$137,0)),0),IF($C567=2,N567*IFERROR(INDEX('TaxCred&amp;Subs'!$K$139:$S$151,MATCH($C567&amp;$D567,'TaxCred&amp;Subs'!$D$139:$D$151,0),MATCH($H567,'TaxCred&amp;Subs'!$K$137:$S$137,0)),0),N567*IFERROR(INDEX('TaxCred&amp;Subs'!$K$139:$S$151,MATCH($C567&amp;$D567,'TaxCred&amp;Subs'!$C$139:$C$151,0),MATCH($H567,'TaxCred&amp;Subs'!$K$137:$S$137,0)),0))),0),0)</f>
        <v>0</v>
      </c>
      <c r="S567" s="170">
        <f t="array" ref="S567">ROUND(IF(IFERROR(VALUE(RIGHT($AD567,1)),0)&gt;2,IF($C567=8,O567*IFERROR(INDEX('TaxCred&amp;Subs'!$K$139:$S$151,MATCH($C567&amp;$D567&amp;LEFT($AD567,7),'TaxCred&amp;Subs'!$E$139:$E$151,0),MATCH($H567,'TaxCred&amp;Subs'!$K$137:$S$137,0)),0),IF($C567=2,O567*IFERROR(INDEX('TaxCred&amp;Subs'!$K$139:$S$151,MATCH($C567&amp;$D567,'TaxCred&amp;Subs'!$D$139:$D$151,0),MATCH($H567,'TaxCred&amp;Subs'!$K$137:$S$137,0)),0),O567*IFERROR(INDEX('TaxCred&amp;Subs'!$K$139:$S$151,MATCH($C567&amp;$D567,'TaxCred&amp;Subs'!$C$139:$C$151,0),MATCH($H567,'TaxCred&amp;Subs'!$K$137:$S$137,0)),0))),0),0)</f>
        <v>0</v>
      </c>
      <c r="T567" s="95">
        <f t="shared" si="30"/>
        <v>0</v>
      </c>
      <c r="U567" s="95">
        <f t="shared" si="31"/>
        <v>0</v>
      </c>
      <c r="V567" s="28" t="s">
        <v>222</v>
      </c>
      <c r="W567" s="31">
        <v>2020</v>
      </c>
      <c r="X567" s="28">
        <v>1</v>
      </c>
      <c r="Y567" s="28">
        <v>0</v>
      </c>
      <c r="Z567" s="196">
        <v>-3.7198406098706603E-3</v>
      </c>
      <c r="AA567" s="196">
        <v>-5.7228317074933234E-2</v>
      </c>
      <c r="AB567" s="28">
        <v>0</v>
      </c>
      <c r="AC567" s="28">
        <v>0</v>
      </c>
      <c r="AD567" s="28" t="s">
        <v>370</v>
      </c>
      <c r="AE567" t="s">
        <v>371</v>
      </c>
    </row>
    <row r="568" spans="2:31" ht="14.25" customHeight="1" x14ac:dyDescent="0.2">
      <c r="B568" s="7">
        <f t="shared" si="32"/>
        <v>544</v>
      </c>
      <c r="C568" s="152">
        <v>3</v>
      </c>
      <c r="D568" s="152">
        <v>1</v>
      </c>
      <c r="E568" s="152">
        <v>1</v>
      </c>
      <c r="F568" s="153">
        <v>2028</v>
      </c>
      <c r="G568" s="152">
        <v>2050</v>
      </c>
      <c r="H568" s="152">
        <v>11</v>
      </c>
      <c r="I568" s="152">
        <v>0</v>
      </c>
      <c r="J568" s="152">
        <v>0</v>
      </c>
      <c r="K568" s="152">
        <v>2.06</v>
      </c>
      <c r="L568" s="154">
        <v>0.42533969974086366</v>
      </c>
      <c r="M568" s="154">
        <v>0.11757370624387638</v>
      </c>
      <c r="N568" s="155">
        <v>840</v>
      </c>
      <c r="O568" s="155">
        <v>640</v>
      </c>
      <c r="P568" s="41">
        <f t="array" ref="P568">ROUND(IF($F568&lt;='TaxCred&amp;Subs'!$C$49,(IF($C568=2,IF($M568&gt;=IFERROR(INDEX('TaxCred&amp;Subs'!$L$12:$L$47,MATCH(1,($C568&amp;$D568='TaxCred&amp;Subs'!$E$12:$E$47)*($F568='TaxCred&amp;Subs'!$C$12:$C$47),0)
),9999),IFERROR(INDEX('TaxCred&amp;Subs'!$N$12:$N$47,MATCH(1,($C568&amp;$D568='TaxCred&amp;Subs'!$E$12:$E$47)*($F568='TaxCred&amp;Subs'!$C$12:$C$47),0)
),0),0),(IF($M568&gt;=IFERROR(INDEX('TaxCred&amp;Subs'!$H$12:$H$47,MATCH(1,($C568&amp;$D568='TaxCred&amp;Subs'!$D$12:$D$47)*($F568='TaxCred&amp;Subs'!$C$12:$C$47),0)
),9999),IFERROR(INDEX('TaxCred&amp;Subs'!$N$12:$N$47,MATCH(1,($C568&amp;$D568='TaxCred&amp;Subs'!$D$12:$D$47)*($F568='TaxCred&amp;Subs'!$C$12:$C$47),0)
),0),0)))),0)+IF(AND($C568=2,VALUE(RIGHT($AD568,1))&gt;2),(N568-R568)*(IFERROR(INDEX('TaxCred&amp;Subs'!$J$66:$J$99,MATCH(1,($C568&amp;$D568='TaxCred&amp;Subs'!$E$66:$E$99)*($F568='TaxCred&amp;Subs'!$C$66:$C$99),0)),0)),IF(AND($C568=1,VALUE(RIGHT($AD568,1))&gt;2),(N568-R568)*(IFERROR(INDEX('TaxCred&amp;Subs'!$J$66:$J$99,MATCH(1,($C568&amp;$D568='TaxCred&amp;Subs'!$D$66:$D$99)*($F568='TaxCred&amp;Subs'!$C$66:$C$99),0)),0)),IF($C568&gt;2,(N568-R568)*(IFERROR(INDEX('TaxCred&amp;Subs'!$J$66:$J$99,MATCH(1,($C568&amp;$D568='TaxCred&amp;Subs'!$D$66:$D$99)*($F568='TaxCred&amp;Subs'!$C$66:$C$99),0)),0)),0))),0)</f>
        <v>0</v>
      </c>
      <c r="Q568" s="41">
        <f t="array" ref="Q568">ROUND(IF(AND($C568=2,VALUE(RIGHT($AD568,1))&gt;2),(O568-S568)*(IFERROR(INDEX('TaxCred&amp;Subs'!$J$66:$J$99,MATCH(1,($C568&amp;$D568='TaxCred&amp;Subs'!$E$66:$E$99)*($F568='TaxCred&amp;Subs'!$C$66:$C$99),0)),0)),IF(AND($C568=1,VALUE(RIGHT($AD568,1))&gt;2),(O568-S568)*(IFERROR(INDEX('TaxCred&amp;Subs'!$J$66:$J$99,MATCH(1,($C568&amp;$D568='TaxCred&amp;Subs'!$D$66:$D$99)*($F568='TaxCred&amp;Subs'!$C$66:$C$99),0)),0)),IF($C568&gt;2,(O568-S568)*(IFERROR(INDEX('TaxCred&amp;Subs'!$J$66:$J$99,MATCH(1,($C568&amp;$D568='TaxCred&amp;Subs'!$D$66:$D$99)*($F568='TaxCred&amp;Subs'!$C$66:$C$99),0)),0)),0))),0)</f>
        <v>0</v>
      </c>
      <c r="R568" s="171">
        <f t="array" ref="R568">ROUND(IF(IFERROR(VALUE(RIGHT($AD568,1)),0)&gt;2,IF($C568=8,N568*IFERROR(INDEX('TaxCred&amp;Subs'!$K$139:$S$151,MATCH($C568&amp;$D568&amp;LEFT($AD568,7),'TaxCred&amp;Subs'!$E$139:$E$151,0),MATCH($H568,'TaxCred&amp;Subs'!$K$137:$S$137,0)),0),IF($C568=2,N568*IFERROR(INDEX('TaxCred&amp;Subs'!$K$139:$S$151,MATCH($C568&amp;$D568,'TaxCred&amp;Subs'!$D$139:$D$151,0),MATCH($H568,'TaxCred&amp;Subs'!$K$137:$S$137,0)),0),N568*IFERROR(INDEX('TaxCred&amp;Subs'!$K$139:$S$151,MATCH($C568&amp;$D568,'TaxCred&amp;Subs'!$C$139:$C$151,0),MATCH($H568,'TaxCred&amp;Subs'!$K$137:$S$137,0)),0))),0),0)</f>
        <v>0</v>
      </c>
      <c r="S568" s="171">
        <f t="array" ref="S568">ROUND(IF(IFERROR(VALUE(RIGHT($AD568,1)),0)&gt;2,IF($C568=8,O568*IFERROR(INDEX('TaxCred&amp;Subs'!$K$139:$S$151,MATCH($C568&amp;$D568&amp;LEFT($AD568,7),'TaxCred&amp;Subs'!$E$139:$E$151,0),MATCH($H568,'TaxCred&amp;Subs'!$K$137:$S$137,0)),0),IF($C568=2,O568*IFERROR(INDEX('TaxCred&amp;Subs'!$K$139:$S$151,MATCH($C568&amp;$D568,'TaxCred&amp;Subs'!$D$139:$D$151,0),MATCH($H568,'TaxCred&amp;Subs'!$K$137:$S$137,0)),0),O568*IFERROR(INDEX('TaxCred&amp;Subs'!$K$139:$S$151,MATCH($C568&amp;$D568,'TaxCred&amp;Subs'!$C$139:$C$151,0),MATCH($H568,'TaxCred&amp;Subs'!$K$137:$S$137,0)),0))),0),0)</f>
        <v>0</v>
      </c>
      <c r="T568" s="41">
        <f t="shared" si="30"/>
        <v>0</v>
      </c>
      <c r="U568" s="41">
        <f t="shared" si="31"/>
        <v>0</v>
      </c>
      <c r="V568" s="152" t="s">
        <v>222</v>
      </c>
      <c r="W568" s="152">
        <v>2020</v>
      </c>
      <c r="X568" s="152">
        <v>1</v>
      </c>
      <c r="Y568" s="152">
        <v>0</v>
      </c>
      <c r="Z568" s="194">
        <v>-3.7198406098706603E-3</v>
      </c>
      <c r="AA568" s="194">
        <v>-5.7228317074933234E-2</v>
      </c>
      <c r="AB568" s="152">
        <v>0</v>
      </c>
      <c r="AC568" s="152">
        <v>0</v>
      </c>
      <c r="AD568" s="152" t="s">
        <v>370</v>
      </c>
    </row>
    <row r="569" spans="2:31" ht="14.25" customHeight="1" x14ac:dyDescent="0.2">
      <c r="B569" s="7">
        <f t="shared" si="32"/>
        <v>545</v>
      </c>
      <c r="C569" s="28">
        <v>3</v>
      </c>
      <c r="D569" s="28">
        <v>1</v>
      </c>
      <c r="E569" s="31">
        <v>2</v>
      </c>
      <c r="F569" s="96">
        <v>2020</v>
      </c>
      <c r="G569" s="96">
        <v>2027</v>
      </c>
      <c r="H569" s="31">
        <v>11</v>
      </c>
      <c r="I569" s="28">
        <v>0</v>
      </c>
      <c r="J569" s="28">
        <v>0</v>
      </c>
      <c r="K569" s="28">
        <v>2.06</v>
      </c>
      <c r="L569" s="156">
        <v>0.42533969974086366</v>
      </c>
      <c r="M569" s="156">
        <v>0.11757370624387638</v>
      </c>
      <c r="N569" s="151">
        <v>840</v>
      </c>
      <c r="O569" s="151">
        <v>640</v>
      </c>
      <c r="P569" s="95">
        <f t="array" ref="P569">ROUND(IF($F569&lt;='TaxCred&amp;Subs'!$C$49,(IF($C569=2,IF($M569&gt;=IFERROR(INDEX('TaxCred&amp;Subs'!$L$12:$L$47,MATCH(1,($C569&amp;$D569='TaxCred&amp;Subs'!$E$12:$E$47)*($F569='TaxCred&amp;Subs'!$C$12:$C$47),0)
),9999),IFERROR(INDEX('TaxCred&amp;Subs'!$N$12:$N$47,MATCH(1,($C569&amp;$D569='TaxCred&amp;Subs'!$E$12:$E$47)*($F569='TaxCred&amp;Subs'!$C$12:$C$47),0)
),0),0),(IF($M569&gt;=IFERROR(INDEX('TaxCred&amp;Subs'!$H$12:$H$47,MATCH(1,($C569&amp;$D569='TaxCred&amp;Subs'!$D$12:$D$47)*($F569='TaxCred&amp;Subs'!$C$12:$C$47),0)
),9999),IFERROR(INDEX('TaxCred&amp;Subs'!$N$12:$N$47,MATCH(1,($C569&amp;$D569='TaxCred&amp;Subs'!$D$12:$D$47)*($F569='TaxCred&amp;Subs'!$C$12:$C$47),0)
),0),0)))),0)+IF(AND($C569=2,VALUE(RIGHT($AD569,1))&gt;2),(N569-R569)*(IFERROR(INDEX('TaxCred&amp;Subs'!$J$66:$J$99,MATCH(1,($C569&amp;$D569='TaxCred&amp;Subs'!$E$66:$E$99)*($F569='TaxCred&amp;Subs'!$C$66:$C$99),0)),0)),IF(AND($C569=1,VALUE(RIGHT($AD569,1))&gt;2),(N569-R569)*(IFERROR(INDEX('TaxCred&amp;Subs'!$J$66:$J$99,MATCH(1,($C569&amp;$D569='TaxCred&amp;Subs'!$D$66:$D$99)*($F569='TaxCred&amp;Subs'!$C$66:$C$99),0)),0)),IF($C569&gt;2,(N569-R569)*(IFERROR(INDEX('TaxCred&amp;Subs'!$J$66:$J$99,MATCH(1,($C569&amp;$D569='TaxCred&amp;Subs'!$D$66:$D$99)*($F569='TaxCred&amp;Subs'!$C$66:$C$99),0)),0)),0))),0)</f>
        <v>0</v>
      </c>
      <c r="Q569" s="95">
        <f t="array" ref="Q569">ROUND(IF(AND($C569=2,VALUE(RIGHT($AD569,1))&gt;2),(O569-S569)*(IFERROR(INDEX('TaxCred&amp;Subs'!$J$66:$J$99,MATCH(1,($C569&amp;$D569='TaxCred&amp;Subs'!$E$66:$E$99)*($F569='TaxCred&amp;Subs'!$C$66:$C$99),0)),0)),IF(AND($C569=1,VALUE(RIGHT($AD569,1))&gt;2),(O569-S569)*(IFERROR(INDEX('TaxCred&amp;Subs'!$J$66:$J$99,MATCH(1,($C569&amp;$D569='TaxCred&amp;Subs'!$D$66:$D$99)*($F569='TaxCred&amp;Subs'!$C$66:$C$99),0)),0)),IF($C569&gt;2,(O569-S569)*(IFERROR(INDEX('TaxCred&amp;Subs'!$J$66:$J$99,MATCH(1,($C569&amp;$D569='TaxCred&amp;Subs'!$D$66:$D$99)*($F569='TaxCred&amp;Subs'!$C$66:$C$99),0)),0)),0))),0)</f>
        <v>0</v>
      </c>
      <c r="R569" s="170">
        <f t="array" ref="R569">ROUND(IF(IFERROR(VALUE(RIGHT($AD569,1)),0)&gt;2,IF($C569=8,N569*IFERROR(INDEX('TaxCred&amp;Subs'!$K$139:$S$151,MATCH($C569&amp;$D569&amp;LEFT($AD569,7),'TaxCred&amp;Subs'!$E$139:$E$151,0),MATCH($H569,'TaxCred&amp;Subs'!$K$137:$S$137,0)),0),IF($C569=2,N569*IFERROR(INDEX('TaxCred&amp;Subs'!$K$139:$S$151,MATCH($C569&amp;$D569,'TaxCred&amp;Subs'!$D$139:$D$151,0),MATCH($H569,'TaxCred&amp;Subs'!$K$137:$S$137,0)),0),N569*IFERROR(INDEX('TaxCred&amp;Subs'!$K$139:$S$151,MATCH($C569&amp;$D569,'TaxCred&amp;Subs'!$C$139:$C$151,0),MATCH($H569,'TaxCred&amp;Subs'!$K$137:$S$137,0)),0))),0),0)</f>
        <v>0</v>
      </c>
      <c r="S569" s="170">
        <f t="array" ref="S569">ROUND(IF(IFERROR(VALUE(RIGHT($AD569,1)),0)&gt;2,IF($C569=8,O569*IFERROR(INDEX('TaxCred&amp;Subs'!$K$139:$S$151,MATCH($C569&amp;$D569&amp;LEFT($AD569,7),'TaxCred&amp;Subs'!$E$139:$E$151,0),MATCH($H569,'TaxCred&amp;Subs'!$K$137:$S$137,0)),0),IF($C569=2,O569*IFERROR(INDEX('TaxCred&amp;Subs'!$K$139:$S$151,MATCH($C569&amp;$D569,'TaxCred&amp;Subs'!$D$139:$D$151,0),MATCH($H569,'TaxCred&amp;Subs'!$K$137:$S$137,0)),0),O569*IFERROR(INDEX('TaxCred&amp;Subs'!$K$139:$S$151,MATCH($C569&amp;$D569,'TaxCred&amp;Subs'!$C$139:$C$151,0),MATCH($H569,'TaxCred&amp;Subs'!$K$137:$S$137,0)),0))),0),0)</f>
        <v>0</v>
      </c>
      <c r="T569" s="95">
        <f t="shared" si="30"/>
        <v>0</v>
      </c>
      <c r="U569" s="95">
        <f t="shared" si="31"/>
        <v>0</v>
      </c>
      <c r="V569" s="28" t="s">
        <v>222</v>
      </c>
      <c r="W569" s="31">
        <v>2020</v>
      </c>
      <c r="X569" s="28">
        <v>1</v>
      </c>
      <c r="Y569" s="28">
        <v>0</v>
      </c>
      <c r="Z569" s="196">
        <v>-5.1663382257658768E-3</v>
      </c>
      <c r="AA569" s="196">
        <v>-7.9482126550244253E-2</v>
      </c>
      <c r="AB569" s="28">
        <v>0</v>
      </c>
      <c r="AC569" s="28">
        <v>0</v>
      </c>
      <c r="AD569" s="28" t="s">
        <v>372</v>
      </c>
    </row>
    <row r="570" spans="2:31" ht="14.25" customHeight="1" x14ac:dyDescent="0.2">
      <c r="B570" s="7">
        <f t="shared" si="32"/>
        <v>546</v>
      </c>
      <c r="C570" s="152">
        <v>3</v>
      </c>
      <c r="D570" s="152">
        <v>1</v>
      </c>
      <c r="E570" s="152">
        <v>2</v>
      </c>
      <c r="F570" s="153">
        <v>2028</v>
      </c>
      <c r="G570" s="152">
        <v>2050</v>
      </c>
      <c r="H570" s="152">
        <v>11</v>
      </c>
      <c r="I570" s="152">
        <v>0</v>
      </c>
      <c r="J570" s="152">
        <v>0</v>
      </c>
      <c r="K570" s="152">
        <v>2.06</v>
      </c>
      <c r="L570" s="154">
        <v>0.42533969974086366</v>
      </c>
      <c r="M570" s="154">
        <v>0.11757370624387638</v>
      </c>
      <c r="N570" s="155">
        <v>840</v>
      </c>
      <c r="O570" s="155">
        <v>640</v>
      </c>
      <c r="P570" s="41">
        <f t="array" ref="P570">ROUND(IF($F570&lt;='TaxCred&amp;Subs'!$C$49,(IF($C570=2,IF($M570&gt;=IFERROR(INDEX('TaxCred&amp;Subs'!$L$12:$L$47,MATCH(1,($C570&amp;$D570='TaxCred&amp;Subs'!$E$12:$E$47)*($F570='TaxCred&amp;Subs'!$C$12:$C$47),0)
),9999),IFERROR(INDEX('TaxCred&amp;Subs'!$N$12:$N$47,MATCH(1,($C570&amp;$D570='TaxCred&amp;Subs'!$E$12:$E$47)*($F570='TaxCred&amp;Subs'!$C$12:$C$47),0)
),0),0),(IF($M570&gt;=IFERROR(INDEX('TaxCred&amp;Subs'!$H$12:$H$47,MATCH(1,($C570&amp;$D570='TaxCred&amp;Subs'!$D$12:$D$47)*($F570='TaxCred&amp;Subs'!$C$12:$C$47),0)
),9999),IFERROR(INDEX('TaxCred&amp;Subs'!$N$12:$N$47,MATCH(1,($C570&amp;$D570='TaxCred&amp;Subs'!$D$12:$D$47)*($F570='TaxCred&amp;Subs'!$C$12:$C$47),0)
),0),0)))),0)+IF(AND($C570=2,VALUE(RIGHT($AD570,1))&gt;2),(N570-R570)*(IFERROR(INDEX('TaxCred&amp;Subs'!$J$66:$J$99,MATCH(1,($C570&amp;$D570='TaxCred&amp;Subs'!$E$66:$E$99)*($F570='TaxCred&amp;Subs'!$C$66:$C$99),0)),0)),IF(AND($C570=1,VALUE(RIGHT($AD570,1))&gt;2),(N570-R570)*(IFERROR(INDEX('TaxCred&amp;Subs'!$J$66:$J$99,MATCH(1,($C570&amp;$D570='TaxCred&amp;Subs'!$D$66:$D$99)*($F570='TaxCred&amp;Subs'!$C$66:$C$99),0)),0)),IF($C570&gt;2,(N570-R570)*(IFERROR(INDEX('TaxCred&amp;Subs'!$J$66:$J$99,MATCH(1,($C570&amp;$D570='TaxCred&amp;Subs'!$D$66:$D$99)*($F570='TaxCred&amp;Subs'!$C$66:$C$99),0)),0)),0))),0)</f>
        <v>0</v>
      </c>
      <c r="Q570" s="41">
        <f t="array" ref="Q570">ROUND(IF(AND($C570=2,VALUE(RIGHT($AD570,1))&gt;2),(O570-S570)*(IFERROR(INDEX('TaxCred&amp;Subs'!$J$66:$J$99,MATCH(1,($C570&amp;$D570='TaxCred&amp;Subs'!$E$66:$E$99)*($F570='TaxCred&amp;Subs'!$C$66:$C$99),0)),0)),IF(AND($C570=1,VALUE(RIGHT($AD570,1))&gt;2),(O570-S570)*(IFERROR(INDEX('TaxCred&amp;Subs'!$J$66:$J$99,MATCH(1,($C570&amp;$D570='TaxCred&amp;Subs'!$D$66:$D$99)*($F570='TaxCred&amp;Subs'!$C$66:$C$99),0)),0)),IF($C570&gt;2,(O570-S570)*(IFERROR(INDEX('TaxCred&amp;Subs'!$J$66:$J$99,MATCH(1,($C570&amp;$D570='TaxCred&amp;Subs'!$D$66:$D$99)*($F570='TaxCred&amp;Subs'!$C$66:$C$99),0)),0)),0))),0)</f>
        <v>0</v>
      </c>
      <c r="R570" s="171">
        <f t="array" ref="R570">ROUND(IF(IFERROR(VALUE(RIGHT($AD570,1)),0)&gt;2,IF($C570=8,N570*IFERROR(INDEX('TaxCred&amp;Subs'!$K$139:$S$151,MATCH($C570&amp;$D570&amp;LEFT($AD570,7),'TaxCred&amp;Subs'!$E$139:$E$151,0),MATCH($H570,'TaxCred&amp;Subs'!$K$137:$S$137,0)),0),IF($C570=2,N570*IFERROR(INDEX('TaxCred&amp;Subs'!$K$139:$S$151,MATCH($C570&amp;$D570,'TaxCred&amp;Subs'!$D$139:$D$151,0),MATCH($H570,'TaxCred&amp;Subs'!$K$137:$S$137,0)),0),N570*IFERROR(INDEX('TaxCred&amp;Subs'!$K$139:$S$151,MATCH($C570&amp;$D570,'TaxCred&amp;Subs'!$C$139:$C$151,0),MATCH($H570,'TaxCred&amp;Subs'!$K$137:$S$137,0)),0))),0),0)</f>
        <v>0</v>
      </c>
      <c r="S570" s="171">
        <f t="array" ref="S570">ROUND(IF(IFERROR(VALUE(RIGHT($AD570,1)),0)&gt;2,IF($C570=8,O570*IFERROR(INDEX('TaxCred&amp;Subs'!$K$139:$S$151,MATCH($C570&amp;$D570&amp;LEFT($AD570,7),'TaxCred&amp;Subs'!$E$139:$E$151,0),MATCH($H570,'TaxCred&amp;Subs'!$K$137:$S$137,0)),0),IF($C570=2,O570*IFERROR(INDEX('TaxCred&amp;Subs'!$K$139:$S$151,MATCH($C570&amp;$D570,'TaxCred&amp;Subs'!$D$139:$D$151,0),MATCH($H570,'TaxCred&amp;Subs'!$K$137:$S$137,0)),0),O570*IFERROR(INDEX('TaxCred&amp;Subs'!$K$139:$S$151,MATCH($C570&amp;$D570,'TaxCred&amp;Subs'!$C$139:$C$151,0),MATCH($H570,'TaxCred&amp;Subs'!$K$137:$S$137,0)),0))),0),0)</f>
        <v>0</v>
      </c>
      <c r="T570" s="41">
        <f t="shared" si="30"/>
        <v>0</v>
      </c>
      <c r="U570" s="41">
        <f t="shared" si="31"/>
        <v>0</v>
      </c>
      <c r="V570" s="152" t="s">
        <v>222</v>
      </c>
      <c r="W570" s="152">
        <v>2020</v>
      </c>
      <c r="X570" s="152">
        <v>1</v>
      </c>
      <c r="Y570" s="152">
        <v>0</v>
      </c>
      <c r="Z570" s="195">
        <v>-1</v>
      </c>
      <c r="AA570" s="195">
        <v>-1</v>
      </c>
      <c r="AB570" s="152">
        <v>0</v>
      </c>
      <c r="AC570" s="152">
        <v>0</v>
      </c>
      <c r="AD570" s="152" t="s">
        <v>372</v>
      </c>
      <c r="AE570" s="201" t="s">
        <v>488</v>
      </c>
    </row>
    <row r="571" spans="2:31" ht="14.25" customHeight="1" x14ac:dyDescent="0.2">
      <c r="B571" s="7">
        <f t="shared" si="32"/>
        <v>547</v>
      </c>
      <c r="C571" s="28">
        <v>3</v>
      </c>
      <c r="D571" s="28">
        <v>1</v>
      </c>
      <c r="E571" s="31">
        <v>3</v>
      </c>
      <c r="F571" s="96">
        <v>2020</v>
      </c>
      <c r="G571" s="28">
        <v>2050</v>
      </c>
      <c r="H571" s="28">
        <v>1</v>
      </c>
      <c r="I571" s="28">
        <v>0</v>
      </c>
      <c r="J571" s="28">
        <v>0</v>
      </c>
      <c r="K571" s="28">
        <v>2.76</v>
      </c>
      <c r="L571" s="156">
        <v>0.27262495561917249</v>
      </c>
      <c r="M571" s="156">
        <v>0.13359242166626184</v>
      </c>
      <c r="N571" s="151">
        <v>920</v>
      </c>
      <c r="O571" s="151">
        <v>725</v>
      </c>
      <c r="P571" s="95">
        <f t="array" ref="P571">ROUND(IF($F571&lt;='TaxCred&amp;Subs'!$C$49,(IF($C571=2,IF($M571&gt;=IFERROR(INDEX('TaxCred&amp;Subs'!$L$12:$L$47,MATCH(1,($C571&amp;$D571='TaxCred&amp;Subs'!$E$12:$E$47)*($F571='TaxCred&amp;Subs'!$C$12:$C$47),0)
),9999),IFERROR(INDEX('TaxCred&amp;Subs'!$N$12:$N$47,MATCH(1,($C571&amp;$D571='TaxCred&amp;Subs'!$E$12:$E$47)*($F571='TaxCred&amp;Subs'!$C$12:$C$47),0)
),0),0),(IF($M571&gt;=IFERROR(INDEX('TaxCred&amp;Subs'!$H$12:$H$47,MATCH(1,($C571&amp;$D571='TaxCred&amp;Subs'!$D$12:$D$47)*($F571='TaxCred&amp;Subs'!$C$12:$C$47),0)
),9999),IFERROR(INDEX('TaxCred&amp;Subs'!$N$12:$N$47,MATCH(1,($C571&amp;$D571='TaxCred&amp;Subs'!$D$12:$D$47)*($F571='TaxCred&amp;Subs'!$C$12:$C$47),0)
),0),0)))),0)+IF(AND($C571=2,VALUE(RIGHT($AD571,1))&gt;2),(N571-R571)*(IFERROR(INDEX('TaxCred&amp;Subs'!$J$66:$J$99,MATCH(1,($C571&amp;$D571='TaxCred&amp;Subs'!$E$66:$E$99)*($F571='TaxCred&amp;Subs'!$C$66:$C$99),0)),0)),IF(AND($C571=1,VALUE(RIGHT($AD571,1))&gt;2),(N571-R571)*(IFERROR(INDEX('TaxCred&amp;Subs'!$J$66:$J$99,MATCH(1,($C571&amp;$D571='TaxCred&amp;Subs'!$D$66:$D$99)*($F571='TaxCred&amp;Subs'!$C$66:$C$99),0)),0)),IF($C571&gt;2,(N571-R571)*(IFERROR(INDEX('TaxCred&amp;Subs'!$J$66:$J$99,MATCH(1,($C571&amp;$D571='TaxCred&amp;Subs'!$D$66:$D$99)*($F571='TaxCred&amp;Subs'!$C$66:$C$99),0)),0)),0))),0)</f>
        <v>0</v>
      </c>
      <c r="Q571" s="95">
        <f t="array" ref="Q571">ROUND(IF(AND($C571=2,VALUE(RIGHT($AD571,1))&gt;2),(O571-S571)*(IFERROR(INDEX('TaxCred&amp;Subs'!$J$66:$J$99,MATCH(1,($C571&amp;$D571='TaxCred&amp;Subs'!$E$66:$E$99)*($F571='TaxCred&amp;Subs'!$C$66:$C$99),0)),0)),IF(AND($C571=1,VALUE(RIGHT($AD571,1))&gt;2),(O571-S571)*(IFERROR(INDEX('TaxCred&amp;Subs'!$J$66:$J$99,MATCH(1,($C571&amp;$D571='TaxCred&amp;Subs'!$D$66:$D$99)*($F571='TaxCred&amp;Subs'!$C$66:$C$99),0)),0)),IF($C571&gt;2,(O571-S571)*(IFERROR(INDEX('TaxCred&amp;Subs'!$J$66:$J$99,MATCH(1,($C571&amp;$D571='TaxCred&amp;Subs'!$D$66:$D$99)*($F571='TaxCred&amp;Subs'!$C$66:$C$99),0)),0)),0))),0)</f>
        <v>0</v>
      </c>
      <c r="R571" s="95">
        <f t="array" ref="R571">ROUND(IF(IFERROR(VALUE(RIGHT($AD571,1)),0)&gt;2,IF($C571=8,N571*IFERROR(INDEX('TaxCred&amp;Subs'!$K$139:$S$151,MATCH($C571&amp;$D571&amp;LEFT($AD571,7),'TaxCred&amp;Subs'!$E$139:$E$151,0),MATCH($H571,'TaxCred&amp;Subs'!$K$137:$S$137,0)),0),IF($C571=2,N571*IFERROR(INDEX('TaxCred&amp;Subs'!$K$139:$S$151,MATCH($C571&amp;$D571,'TaxCred&amp;Subs'!$D$139:$D$151,0),MATCH($H571,'TaxCred&amp;Subs'!$K$137:$S$137,0)),0),N571*IFERROR(INDEX('TaxCred&amp;Subs'!$K$139:$S$151,MATCH($C571&amp;$D571,'TaxCred&amp;Subs'!$C$139:$C$151,0),MATCH($H571,'TaxCred&amp;Subs'!$K$137:$S$137,0)),0))),0),0)</f>
        <v>91</v>
      </c>
      <c r="S571" s="95">
        <f t="array" ref="S571">ROUND(IF(IFERROR(VALUE(RIGHT($AD571,1)),0)&gt;2,IF($C571=8,O571*IFERROR(INDEX('TaxCred&amp;Subs'!$K$139:$S$151,MATCH($C571&amp;$D571&amp;LEFT($AD571,7),'TaxCred&amp;Subs'!$E$139:$E$151,0),MATCH($H571,'TaxCred&amp;Subs'!$K$137:$S$137,0)),0),IF($C571=2,O571*IFERROR(INDEX('TaxCred&amp;Subs'!$K$139:$S$151,MATCH($C571&amp;$D571,'TaxCred&amp;Subs'!$D$139:$D$151,0),MATCH($H571,'TaxCred&amp;Subs'!$K$137:$S$137,0)),0),O571*IFERROR(INDEX('TaxCred&amp;Subs'!$K$139:$S$151,MATCH($C571&amp;$D571,'TaxCred&amp;Subs'!$C$139:$C$151,0),MATCH($H571,'TaxCred&amp;Subs'!$K$137:$S$137,0)),0))),0),0)</f>
        <v>72</v>
      </c>
      <c r="T571" s="95">
        <f t="shared" si="30"/>
        <v>0</v>
      </c>
      <c r="U571" s="95">
        <f t="shared" si="31"/>
        <v>0</v>
      </c>
      <c r="V571" s="28" t="s">
        <v>222</v>
      </c>
      <c r="W571" s="31">
        <v>2020</v>
      </c>
      <c r="X571" s="28">
        <v>1</v>
      </c>
      <c r="Y571" s="28">
        <v>0</v>
      </c>
      <c r="Z571" s="196">
        <v>-5.1663382257658768E-3</v>
      </c>
      <c r="AA571" s="196">
        <v>-7.9482126550244253E-2</v>
      </c>
      <c r="AB571" s="28">
        <v>0</v>
      </c>
      <c r="AC571" s="28">
        <v>0</v>
      </c>
      <c r="AD571" s="28" t="s">
        <v>373</v>
      </c>
    </row>
    <row r="572" spans="2:31" ht="14.25" customHeight="1" x14ac:dyDescent="0.2">
      <c r="B572" s="7">
        <f t="shared" si="32"/>
        <v>548</v>
      </c>
      <c r="C572" s="28">
        <v>3</v>
      </c>
      <c r="D572" s="28">
        <v>1</v>
      </c>
      <c r="E572" s="31">
        <v>3</v>
      </c>
      <c r="F572" s="96">
        <v>2020</v>
      </c>
      <c r="G572" s="28">
        <v>2050</v>
      </c>
      <c r="H572" s="28">
        <v>2</v>
      </c>
      <c r="I572" s="28">
        <v>0</v>
      </c>
      <c r="J572" s="28">
        <v>0</v>
      </c>
      <c r="K572" s="28">
        <v>2.76</v>
      </c>
      <c r="L572" s="156">
        <v>0.27262495561917249</v>
      </c>
      <c r="M572" s="156">
        <v>0.13359242166626184</v>
      </c>
      <c r="N572" s="151">
        <v>920</v>
      </c>
      <c r="O572" s="151">
        <v>725</v>
      </c>
      <c r="P572" s="95">
        <f t="array" ref="P572">ROUND(IF($F572&lt;='TaxCred&amp;Subs'!$C$49,(IF($C572=2,IF($M572&gt;=IFERROR(INDEX('TaxCred&amp;Subs'!$L$12:$L$47,MATCH(1,($C572&amp;$D572='TaxCred&amp;Subs'!$E$12:$E$47)*($F572='TaxCred&amp;Subs'!$C$12:$C$47),0)
),9999),IFERROR(INDEX('TaxCred&amp;Subs'!$N$12:$N$47,MATCH(1,($C572&amp;$D572='TaxCred&amp;Subs'!$E$12:$E$47)*($F572='TaxCred&amp;Subs'!$C$12:$C$47),0)
),0),0),(IF($M572&gt;=IFERROR(INDEX('TaxCred&amp;Subs'!$H$12:$H$47,MATCH(1,($C572&amp;$D572='TaxCred&amp;Subs'!$D$12:$D$47)*($F572='TaxCred&amp;Subs'!$C$12:$C$47),0)
),9999),IFERROR(INDEX('TaxCred&amp;Subs'!$N$12:$N$47,MATCH(1,($C572&amp;$D572='TaxCred&amp;Subs'!$D$12:$D$47)*($F572='TaxCred&amp;Subs'!$C$12:$C$47),0)
),0),0)))),0)+IF(AND($C572=2,VALUE(RIGHT($AD572,1))&gt;2),(N572-R572)*(IFERROR(INDEX('TaxCred&amp;Subs'!$J$66:$J$99,MATCH(1,($C572&amp;$D572='TaxCred&amp;Subs'!$E$66:$E$99)*($F572='TaxCred&amp;Subs'!$C$66:$C$99),0)),0)),IF(AND($C572=1,VALUE(RIGHT($AD572,1))&gt;2),(N572-R572)*(IFERROR(INDEX('TaxCred&amp;Subs'!$J$66:$J$99,MATCH(1,($C572&amp;$D572='TaxCred&amp;Subs'!$D$66:$D$99)*($F572='TaxCred&amp;Subs'!$C$66:$C$99),0)),0)),IF($C572&gt;2,(N572-R572)*(IFERROR(INDEX('TaxCred&amp;Subs'!$J$66:$J$99,MATCH(1,($C572&amp;$D572='TaxCred&amp;Subs'!$D$66:$D$99)*($F572='TaxCred&amp;Subs'!$C$66:$C$99),0)),0)),0))),0)</f>
        <v>0</v>
      </c>
      <c r="Q572" s="95">
        <f t="array" ref="Q572">ROUND(IF(AND($C572=2,VALUE(RIGHT($AD572,1))&gt;2),(O572-S572)*(IFERROR(INDEX('TaxCred&amp;Subs'!$J$66:$J$99,MATCH(1,($C572&amp;$D572='TaxCred&amp;Subs'!$E$66:$E$99)*($F572='TaxCred&amp;Subs'!$C$66:$C$99),0)),0)),IF(AND($C572=1,VALUE(RIGHT($AD572,1))&gt;2),(O572-S572)*(IFERROR(INDEX('TaxCred&amp;Subs'!$J$66:$J$99,MATCH(1,($C572&amp;$D572='TaxCred&amp;Subs'!$D$66:$D$99)*($F572='TaxCred&amp;Subs'!$C$66:$C$99),0)),0)),IF($C572&gt;2,(O572-S572)*(IFERROR(INDEX('TaxCred&amp;Subs'!$J$66:$J$99,MATCH(1,($C572&amp;$D572='TaxCred&amp;Subs'!$D$66:$D$99)*($F572='TaxCred&amp;Subs'!$C$66:$C$99),0)),0)),0))),0)</f>
        <v>0</v>
      </c>
      <c r="R572" s="95">
        <f t="array" ref="R572">ROUND(IF(IFERROR(VALUE(RIGHT($AD572,1)),0)&gt;2,IF($C572=8,N572*IFERROR(INDEX('TaxCred&amp;Subs'!$K$139:$S$151,MATCH($C572&amp;$D572&amp;LEFT($AD572,7),'TaxCred&amp;Subs'!$E$139:$E$151,0),MATCH($H572,'TaxCred&amp;Subs'!$K$137:$S$137,0)),0),IF($C572=2,N572*IFERROR(INDEX('TaxCred&amp;Subs'!$K$139:$S$151,MATCH($C572&amp;$D572,'TaxCred&amp;Subs'!$D$139:$D$151,0),MATCH($H572,'TaxCred&amp;Subs'!$K$137:$S$137,0)),0),N572*IFERROR(INDEX('TaxCred&amp;Subs'!$K$139:$S$151,MATCH($C572&amp;$D572,'TaxCred&amp;Subs'!$C$139:$C$151,0),MATCH($H572,'TaxCred&amp;Subs'!$K$137:$S$137,0)),0))),0),0)</f>
        <v>35</v>
      </c>
      <c r="S572" s="95">
        <f t="array" ref="S572">ROUND(IF(IFERROR(VALUE(RIGHT($AD572,1)),0)&gt;2,IF($C572=8,O572*IFERROR(INDEX('TaxCred&amp;Subs'!$K$139:$S$151,MATCH($C572&amp;$D572&amp;LEFT($AD572,7),'TaxCred&amp;Subs'!$E$139:$E$151,0),MATCH($H572,'TaxCred&amp;Subs'!$K$137:$S$137,0)),0),IF($C572=2,O572*IFERROR(INDEX('TaxCred&amp;Subs'!$K$139:$S$151,MATCH($C572&amp;$D572,'TaxCred&amp;Subs'!$D$139:$D$151,0),MATCH($H572,'TaxCred&amp;Subs'!$K$137:$S$137,0)),0),O572*IFERROR(INDEX('TaxCred&amp;Subs'!$K$139:$S$151,MATCH($C572&amp;$D572,'TaxCred&amp;Subs'!$C$139:$C$151,0),MATCH($H572,'TaxCred&amp;Subs'!$K$137:$S$137,0)),0))),0),0)</f>
        <v>27</v>
      </c>
      <c r="T572" s="95">
        <f t="shared" si="30"/>
        <v>0</v>
      </c>
      <c r="U572" s="95">
        <f t="shared" si="31"/>
        <v>0</v>
      </c>
      <c r="V572" s="28" t="s">
        <v>222</v>
      </c>
      <c r="W572" s="31">
        <v>2020</v>
      </c>
      <c r="X572" s="28">
        <v>1</v>
      </c>
      <c r="Y572" s="28">
        <v>0</v>
      </c>
      <c r="Z572" s="196">
        <v>-5.1663382257658768E-3</v>
      </c>
      <c r="AA572" s="196">
        <v>-7.9482126550244253E-2</v>
      </c>
      <c r="AB572" s="28">
        <v>0</v>
      </c>
      <c r="AC572" s="28">
        <v>0</v>
      </c>
      <c r="AD572" s="28" t="s">
        <v>373</v>
      </c>
    </row>
    <row r="573" spans="2:31" ht="14.25" customHeight="1" x14ac:dyDescent="0.2">
      <c r="B573" s="7">
        <f t="shared" si="32"/>
        <v>549</v>
      </c>
      <c r="C573" s="28">
        <v>3</v>
      </c>
      <c r="D573" s="28">
        <v>1</v>
      </c>
      <c r="E573" s="31">
        <v>3</v>
      </c>
      <c r="F573" s="96">
        <v>2020</v>
      </c>
      <c r="G573" s="28">
        <v>2050</v>
      </c>
      <c r="H573" s="28">
        <v>3</v>
      </c>
      <c r="I573" s="28">
        <v>0</v>
      </c>
      <c r="J573" s="28">
        <v>0</v>
      </c>
      <c r="K573" s="28">
        <v>2.76</v>
      </c>
      <c r="L573" s="156">
        <v>0.27262495561917249</v>
      </c>
      <c r="M573" s="156">
        <v>0.13359242166626184</v>
      </c>
      <c r="N573" s="151">
        <v>920</v>
      </c>
      <c r="O573" s="151">
        <v>725</v>
      </c>
      <c r="P573" s="95">
        <f t="array" ref="P573">ROUND(IF($F573&lt;='TaxCred&amp;Subs'!$C$49,(IF($C573=2,IF($M573&gt;=IFERROR(INDEX('TaxCred&amp;Subs'!$L$12:$L$47,MATCH(1,($C573&amp;$D573='TaxCred&amp;Subs'!$E$12:$E$47)*($F573='TaxCred&amp;Subs'!$C$12:$C$47),0)
),9999),IFERROR(INDEX('TaxCred&amp;Subs'!$N$12:$N$47,MATCH(1,($C573&amp;$D573='TaxCred&amp;Subs'!$E$12:$E$47)*($F573='TaxCred&amp;Subs'!$C$12:$C$47),0)
),0),0),(IF($M573&gt;=IFERROR(INDEX('TaxCred&amp;Subs'!$H$12:$H$47,MATCH(1,($C573&amp;$D573='TaxCred&amp;Subs'!$D$12:$D$47)*($F573='TaxCred&amp;Subs'!$C$12:$C$47),0)
),9999),IFERROR(INDEX('TaxCred&amp;Subs'!$N$12:$N$47,MATCH(1,($C573&amp;$D573='TaxCred&amp;Subs'!$D$12:$D$47)*($F573='TaxCred&amp;Subs'!$C$12:$C$47),0)
),0),0)))),0)+IF(AND($C573=2,VALUE(RIGHT($AD573,1))&gt;2),(N573-R573)*(IFERROR(INDEX('TaxCred&amp;Subs'!$J$66:$J$99,MATCH(1,($C573&amp;$D573='TaxCred&amp;Subs'!$E$66:$E$99)*($F573='TaxCred&amp;Subs'!$C$66:$C$99),0)),0)),IF(AND($C573=1,VALUE(RIGHT($AD573,1))&gt;2),(N573-R573)*(IFERROR(INDEX('TaxCred&amp;Subs'!$J$66:$J$99,MATCH(1,($C573&amp;$D573='TaxCred&amp;Subs'!$D$66:$D$99)*($F573='TaxCred&amp;Subs'!$C$66:$C$99),0)),0)),IF($C573&gt;2,(N573-R573)*(IFERROR(INDEX('TaxCred&amp;Subs'!$J$66:$J$99,MATCH(1,($C573&amp;$D573='TaxCred&amp;Subs'!$D$66:$D$99)*($F573='TaxCred&amp;Subs'!$C$66:$C$99),0)),0)),0))),0)</f>
        <v>0</v>
      </c>
      <c r="Q573" s="95">
        <f t="array" ref="Q573">ROUND(IF(AND($C573=2,VALUE(RIGHT($AD573,1))&gt;2),(O573-S573)*(IFERROR(INDEX('TaxCred&amp;Subs'!$J$66:$J$99,MATCH(1,($C573&amp;$D573='TaxCred&amp;Subs'!$E$66:$E$99)*($F573='TaxCred&amp;Subs'!$C$66:$C$99),0)),0)),IF(AND($C573=1,VALUE(RIGHT($AD573,1))&gt;2),(O573-S573)*(IFERROR(INDEX('TaxCred&amp;Subs'!$J$66:$J$99,MATCH(1,($C573&amp;$D573='TaxCred&amp;Subs'!$D$66:$D$99)*($F573='TaxCred&amp;Subs'!$C$66:$C$99),0)),0)),IF($C573&gt;2,(O573-S573)*(IFERROR(INDEX('TaxCred&amp;Subs'!$J$66:$J$99,MATCH(1,($C573&amp;$D573='TaxCred&amp;Subs'!$D$66:$D$99)*($F573='TaxCred&amp;Subs'!$C$66:$C$99),0)),0)),0))),0)</f>
        <v>0</v>
      </c>
      <c r="R573" s="95">
        <f t="array" ref="R573">ROUND(IF(IFERROR(VALUE(RIGHT($AD573,1)),0)&gt;2,IF($C573=8,N573*IFERROR(INDEX('TaxCred&amp;Subs'!$K$139:$S$151,MATCH($C573&amp;$D573&amp;LEFT($AD573,7),'TaxCred&amp;Subs'!$E$139:$E$151,0),MATCH($H573,'TaxCred&amp;Subs'!$K$137:$S$137,0)),0),IF($C573=2,N573*IFERROR(INDEX('TaxCred&amp;Subs'!$K$139:$S$151,MATCH($C573&amp;$D573,'TaxCred&amp;Subs'!$D$139:$D$151,0),MATCH($H573,'TaxCred&amp;Subs'!$K$137:$S$137,0)),0),N573*IFERROR(INDEX('TaxCred&amp;Subs'!$K$139:$S$151,MATCH($C573&amp;$D573,'TaxCred&amp;Subs'!$C$139:$C$151,0),MATCH($H573,'TaxCred&amp;Subs'!$K$137:$S$137,0)),0))),0),0)</f>
        <v>34</v>
      </c>
      <c r="S573" s="95">
        <f t="array" ref="S573">ROUND(IF(IFERROR(VALUE(RIGHT($AD573,1)),0)&gt;2,IF($C573=8,O573*IFERROR(INDEX('TaxCred&amp;Subs'!$K$139:$S$151,MATCH($C573&amp;$D573&amp;LEFT($AD573,7),'TaxCred&amp;Subs'!$E$139:$E$151,0),MATCH($H573,'TaxCred&amp;Subs'!$K$137:$S$137,0)),0),IF($C573=2,O573*IFERROR(INDEX('TaxCred&amp;Subs'!$K$139:$S$151,MATCH($C573&amp;$D573,'TaxCred&amp;Subs'!$D$139:$D$151,0),MATCH($H573,'TaxCred&amp;Subs'!$K$137:$S$137,0)),0),O573*IFERROR(INDEX('TaxCred&amp;Subs'!$K$139:$S$151,MATCH($C573&amp;$D573,'TaxCred&amp;Subs'!$C$139:$C$151,0),MATCH($H573,'TaxCred&amp;Subs'!$K$137:$S$137,0)),0))),0),0)</f>
        <v>27</v>
      </c>
      <c r="T573" s="95">
        <f t="shared" si="30"/>
        <v>0</v>
      </c>
      <c r="U573" s="95">
        <f t="shared" si="31"/>
        <v>0</v>
      </c>
      <c r="V573" s="28" t="s">
        <v>222</v>
      </c>
      <c r="W573" s="31">
        <v>2020</v>
      </c>
      <c r="X573" s="28">
        <v>1</v>
      </c>
      <c r="Y573" s="28">
        <v>0</v>
      </c>
      <c r="Z573" s="196">
        <v>-5.1663382257658768E-3</v>
      </c>
      <c r="AA573" s="196">
        <v>-7.9482126550244253E-2</v>
      </c>
      <c r="AB573" s="28">
        <v>0</v>
      </c>
      <c r="AC573" s="28">
        <v>0</v>
      </c>
      <c r="AD573" s="28" t="s">
        <v>373</v>
      </c>
    </row>
    <row r="574" spans="2:31" ht="14.25" customHeight="1" x14ac:dyDescent="0.2">
      <c r="B574" s="7">
        <f t="shared" si="32"/>
        <v>550</v>
      </c>
      <c r="C574" s="28">
        <v>3</v>
      </c>
      <c r="D574" s="28">
        <v>1</v>
      </c>
      <c r="E574" s="31">
        <v>3</v>
      </c>
      <c r="F574" s="96">
        <v>2020</v>
      </c>
      <c r="G574" s="28">
        <v>2050</v>
      </c>
      <c r="H574" s="28">
        <v>4</v>
      </c>
      <c r="I574" s="28">
        <v>0</v>
      </c>
      <c r="J574" s="28">
        <v>0</v>
      </c>
      <c r="K574" s="28">
        <v>2.76</v>
      </c>
      <c r="L574" s="156">
        <v>0.27262495561917249</v>
      </c>
      <c r="M574" s="156">
        <v>0.13359242166626184</v>
      </c>
      <c r="N574" s="151">
        <v>920</v>
      </c>
      <c r="O574" s="151">
        <v>725</v>
      </c>
      <c r="P574" s="95">
        <f t="array" ref="P574">ROUND(IF($F574&lt;='TaxCred&amp;Subs'!$C$49,(IF($C574=2,IF($M574&gt;=IFERROR(INDEX('TaxCred&amp;Subs'!$L$12:$L$47,MATCH(1,($C574&amp;$D574='TaxCred&amp;Subs'!$E$12:$E$47)*($F574='TaxCred&amp;Subs'!$C$12:$C$47),0)
),9999),IFERROR(INDEX('TaxCred&amp;Subs'!$N$12:$N$47,MATCH(1,($C574&amp;$D574='TaxCred&amp;Subs'!$E$12:$E$47)*($F574='TaxCred&amp;Subs'!$C$12:$C$47),0)
),0),0),(IF($M574&gt;=IFERROR(INDEX('TaxCred&amp;Subs'!$H$12:$H$47,MATCH(1,($C574&amp;$D574='TaxCred&amp;Subs'!$D$12:$D$47)*($F574='TaxCred&amp;Subs'!$C$12:$C$47),0)
),9999),IFERROR(INDEX('TaxCred&amp;Subs'!$N$12:$N$47,MATCH(1,($C574&amp;$D574='TaxCred&amp;Subs'!$D$12:$D$47)*($F574='TaxCred&amp;Subs'!$C$12:$C$47),0)
),0),0)))),0)+IF(AND($C574=2,VALUE(RIGHT($AD574,1))&gt;2),(N574-R574)*(IFERROR(INDEX('TaxCred&amp;Subs'!$J$66:$J$99,MATCH(1,($C574&amp;$D574='TaxCred&amp;Subs'!$E$66:$E$99)*($F574='TaxCred&amp;Subs'!$C$66:$C$99),0)),0)),IF(AND($C574=1,VALUE(RIGHT($AD574,1))&gt;2),(N574-R574)*(IFERROR(INDEX('TaxCred&amp;Subs'!$J$66:$J$99,MATCH(1,($C574&amp;$D574='TaxCred&amp;Subs'!$D$66:$D$99)*($F574='TaxCred&amp;Subs'!$C$66:$C$99),0)),0)),IF($C574&gt;2,(N574-R574)*(IFERROR(INDEX('TaxCred&amp;Subs'!$J$66:$J$99,MATCH(1,($C574&amp;$D574='TaxCred&amp;Subs'!$D$66:$D$99)*($F574='TaxCred&amp;Subs'!$C$66:$C$99),0)),0)),0))),0)</f>
        <v>0</v>
      </c>
      <c r="Q574" s="95">
        <f t="array" ref="Q574">ROUND(IF(AND($C574=2,VALUE(RIGHT($AD574,1))&gt;2),(O574-S574)*(IFERROR(INDEX('TaxCred&amp;Subs'!$J$66:$J$99,MATCH(1,($C574&amp;$D574='TaxCred&amp;Subs'!$E$66:$E$99)*($F574='TaxCred&amp;Subs'!$C$66:$C$99),0)),0)),IF(AND($C574=1,VALUE(RIGHT($AD574,1))&gt;2),(O574-S574)*(IFERROR(INDEX('TaxCred&amp;Subs'!$J$66:$J$99,MATCH(1,($C574&amp;$D574='TaxCred&amp;Subs'!$D$66:$D$99)*($F574='TaxCred&amp;Subs'!$C$66:$C$99),0)),0)),IF($C574&gt;2,(O574-S574)*(IFERROR(INDEX('TaxCred&amp;Subs'!$J$66:$J$99,MATCH(1,($C574&amp;$D574='TaxCred&amp;Subs'!$D$66:$D$99)*($F574='TaxCred&amp;Subs'!$C$66:$C$99),0)),0)),0))),0)</f>
        <v>0</v>
      </c>
      <c r="R574" s="95">
        <f t="array" ref="R574">ROUND(IF(IFERROR(VALUE(RIGHT($AD574,1)),0)&gt;2,IF($C574=8,N574*IFERROR(INDEX('TaxCred&amp;Subs'!$K$139:$S$151,MATCH($C574&amp;$D574&amp;LEFT($AD574,7),'TaxCred&amp;Subs'!$E$139:$E$151,0),MATCH($H574,'TaxCred&amp;Subs'!$K$137:$S$137,0)),0),IF($C574=2,N574*IFERROR(INDEX('TaxCred&amp;Subs'!$K$139:$S$151,MATCH($C574&amp;$D574,'TaxCred&amp;Subs'!$D$139:$D$151,0),MATCH($H574,'TaxCred&amp;Subs'!$K$137:$S$137,0)),0),N574*IFERROR(INDEX('TaxCred&amp;Subs'!$K$139:$S$151,MATCH($C574&amp;$D574,'TaxCred&amp;Subs'!$C$139:$C$151,0),MATCH($H574,'TaxCred&amp;Subs'!$K$137:$S$137,0)),0))),0),0)</f>
        <v>17</v>
      </c>
      <c r="S574" s="95">
        <f t="array" ref="S574">ROUND(IF(IFERROR(VALUE(RIGHT($AD574,1)),0)&gt;2,IF($C574=8,O574*IFERROR(INDEX('TaxCred&amp;Subs'!$K$139:$S$151,MATCH($C574&amp;$D574&amp;LEFT($AD574,7),'TaxCred&amp;Subs'!$E$139:$E$151,0),MATCH($H574,'TaxCred&amp;Subs'!$K$137:$S$137,0)),0),IF($C574=2,O574*IFERROR(INDEX('TaxCred&amp;Subs'!$K$139:$S$151,MATCH($C574&amp;$D574,'TaxCred&amp;Subs'!$D$139:$D$151,0),MATCH($H574,'TaxCred&amp;Subs'!$K$137:$S$137,0)),0),O574*IFERROR(INDEX('TaxCred&amp;Subs'!$K$139:$S$151,MATCH($C574&amp;$D574,'TaxCred&amp;Subs'!$C$139:$C$151,0),MATCH($H574,'TaxCred&amp;Subs'!$K$137:$S$137,0)),0))),0),0)</f>
        <v>14</v>
      </c>
      <c r="T574" s="95">
        <f t="shared" si="30"/>
        <v>0</v>
      </c>
      <c r="U574" s="95">
        <f t="shared" si="31"/>
        <v>0</v>
      </c>
      <c r="V574" s="28" t="s">
        <v>222</v>
      </c>
      <c r="W574" s="31">
        <v>2020</v>
      </c>
      <c r="X574" s="28">
        <v>1</v>
      </c>
      <c r="Y574" s="28">
        <v>0</v>
      </c>
      <c r="Z574" s="196">
        <v>-5.1663382257658768E-3</v>
      </c>
      <c r="AA574" s="196">
        <v>-7.9482126550244253E-2</v>
      </c>
      <c r="AB574" s="28">
        <v>0</v>
      </c>
      <c r="AC574" s="28">
        <v>0</v>
      </c>
      <c r="AD574" s="28" t="s">
        <v>373</v>
      </c>
    </row>
    <row r="575" spans="2:31" ht="14.25" customHeight="1" x14ac:dyDescent="0.2">
      <c r="B575" s="7">
        <f t="shared" si="32"/>
        <v>551</v>
      </c>
      <c r="C575" s="28">
        <v>3</v>
      </c>
      <c r="D575" s="28">
        <v>1</v>
      </c>
      <c r="E575" s="31">
        <v>3</v>
      </c>
      <c r="F575" s="96">
        <v>2020</v>
      </c>
      <c r="G575" s="28">
        <v>2050</v>
      </c>
      <c r="H575" s="28">
        <v>5</v>
      </c>
      <c r="I575" s="28">
        <v>0</v>
      </c>
      <c r="J575" s="28">
        <v>0</v>
      </c>
      <c r="K575" s="28">
        <v>2.76</v>
      </c>
      <c r="L575" s="156">
        <v>0.27262495561917249</v>
      </c>
      <c r="M575" s="156">
        <v>0.13359242166626184</v>
      </c>
      <c r="N575" s="151">
        <v>920</v>
      </c>
      <c r="O575" s="151">
        <v>725</v>
      </c>
      <c r="P575" s="95">
        <f t="array" ref="P575">ROUND(IF($F575&lt;='TaxCred&amp;Subs'!$C$49,(IF($C575=2,IF($M575&gt;=IFERROR(INDEX('TaxCred&amp;Subs'!$L$12:$L$47,MATCH(1,($C575&amp;$D575='TaxCred&amp;Subs'!$E$12:$E$47)*($F575='TaxCred&amp;Subs'!$C$12:$C$47),0)
),9999),IFERROR(INDEX('TaxCred&amp;Subs'!$N$12:$N$47,MATCH(1,($C575&amp;$D575='TaxCred&amp;Subs'!$E$12:$E$47)*($F575='TaxCred&amp;Subs'!$C$12:$C$47),0)
),0),0),(IF($M575&gt;=IFERROR(INDEX('TaxCred&amp;Subs'!$H$12:$H$47,MATCH(1,($C575&amp;$D575='TaxCred&amp;Subs'!$D$12:$D$47)*($F575='TaxCred&amp;Subs'!$C$12:$C$47),0)
),9999),IFERROR(INDEX('TaxCred&amp;Subs'!$N$12:$N$47,MATCH(1,($C575&amp;$D575='TaxCred&amp;Subs'!$D$12:$D$47)*($F575='TaxCred&amp;Subs'!$C$12:$C$47),0)
),0),0)))),0)+IF(AND($C575=2,VALUE(RIGHT($AD575,1))&gt;2),(N575-R575)*(IFERROR(INDEX('TaxCred&amp;Subs'!$J$66:$J$99,MATCH(1,($C575&amp;$D575='TaxCred&amp;Subs'!$E$66:$E$99)*($F575='TaxCred&amp;Subs'!$C$66:$C$99),0)),0)),IF(AND($C575=1,VALUE(RIGHT($AD575,1))&gt;2),(N575-R575)*(IFERROR(INDEX('TaxCred&amp;Subs'!$J$66:$J$99,MATCH(1,($C575&amp;$D575='TaxCred&amp;Subs'!$D$66:$D$99)*($F575='TaxCred&amp;Subs'!$C$66:$C$99),0)),0)),IF($C575&gt;2,(N575-R575)*(IFERROR(INDEX('TaxCred&amp;Subs'!$J$66:$J$99,MATCH(1,($C575&amp;$D575='TaxCred&amp;Subs'!$D$66:$D$99)*($F575='TaxCred&amp;Subs'!$C$66:$C$99),0)),0)),0))),0)</f>
        <v>0</v>
      </c>
      <c r="Q575" s="95">
        <f t="array" ref="Q575">ROUND(IF(AND($C575=2,VALUE(RIGHT($AD575,1))&gt;2),(O575-S575)*(IFERROR(INDEX('TaxCred&amp;Subs'!$J$66:$J$99,MATCH(1,($C575&amp;$D575='TaxCred&amp;Subs'!$E$66:$E$99)*($F575='TaxCred&amp;Subs'!$C$66:$C$99),0)),0)),IF(AND($C575=1,VALUE(RIGHT($AD575,1))&gt;2),(O575-S575)*(IFERROR(INDEX('TaxCred&amp;Subs'!$J$66:$J$99,MATCH(1,($C575&amp;$D575='TaxCred&amp;Subs'!$D$66:$D$99)*($F575='TaxCred&amp;Subs'!$C$66:$C$99),0)),0)),IF($C575&gt;2,(O575-S575)*(IFERROR(INDEX('TaxCred&amp;Subs'!$J$66:$J$99,MATCH(1,($C575&amp;$D575='TaxCred&amp;Subs'!$D$66:$D$99)*($F575='TaxCred&amp;Subs'!$C$66:$C$99),0)),0)),0))),0)</f>
        <v>0</v>
      </c>
      <c r="R575" s="95">
        <f t="array" ref="R575">ROUND(IF(IFERROR(VALUE(RIGHT($AD575,1)),0)&gt;2,IF($C575=8,N575*IFERROR(INDEX('TaxCred&amp;Subs'!$K$139:$S$151,MATCH($C575&amp;$D575&amp;LEFT($AD575,7),'TaxCred&amp;Subs'!$E$139:$E$151,0),MATCH($H575,'TaxCred&amp;Subs'!$K$137:$S$137,0)),0),IF($C575=2,N575*IFERROR(INDEX('TaxCred&amp;Subs'!$K$139:$S$151,MATCH($C575&amp;$D575,'TaxCred&amp;Subs'!$D$139:$D$151,0),MATCH($H575,'TaxCred&amp;Subs'!$K$137:$S$137,0)),0),N575*IFERROR(INDEX('TaxCred&amp;Subs'!$K$139:$S$151,MATCH($C575&amp;$D575,'TaxCred&amp;Subs'!$C$139:$C$151,0),MATCH($H575,'TaxCred&amp;Subs'!$K$137:$S$137,0)),0))),0),0)</f>
        <v>31</v>
      </c>
      <c r="S575" s="95">
        <f t="array" ref="S575">ROUND(IF(IFERROR(VALUE(RIGHT($AD575,1)),0)&gt;2,IF($C575=8,O575*IFERROR(INDEX('TaxCred&amp;Subs'!$K$139:$S$151,MATCH($C575&amp;$D575&amp;LEFT($AD575,7),'TaxCred&amp;Subs'!$E$139:$E$151,0),MATCH($H575,'TaxCred&amp;Subs'!$K$137:$S$137,0)),0),IF($C575=2,O575*IFERROR(INDEX('TaxCred&amp;Subs'!$K$139:$S$151,MATCH($C575&amp;$D575,'TaxCred&amp;Subs'!$D$139:$D$151,0),MATCH($H575,'TaxCred&amp;Subs'!$K$137:$S$137,0)),0),O575*IFERROR(INDEX('TaxCred&amp;Subs'!$K$139:$S$151,MATCH($C575&amp;$D575,'TaxCred&amp;Subs'!$C$139:$C$151,0),MATCH($H575,'TaxCred&amp;Subs'!$K$137:$S$137,0)),0))),0),0)</f>
        <v>24</v>
      </c>
      <c r="T575" s="95">
        <f t="shared" si="30"/>
        <v>0</v>
      </c>
      <c r="U575" s="95">
        <f t="shared" si="31"/>
        <v>0</v>
      </c>
      <c r="V575" s="28" t="s">
        <v>222</v>
      </c>
      <c r="W575" s="31">
        <v>2020</v>
      </c>
      <c r="X575" s="28">
        <v>1</v>
      </c>
      <c r="Y575" s="28">
        <v>0</v>
      </c>
      <c r="Z575" s="196">
        <v>-5.1663382257658768E-3</v>
      </c>
      <c r="AA575" s="196">
        <v>-7.9482126550244253E-2</v>
      </c>
      <c r="AB575" s="28">
        <v>0</v>
      </c>
      <c r="AC575" s="28">
        <v>0</v>
      </c>
      <c r="AD575" s="28" t="s">
        <v>373</v>
      </c>
    </row>
    <row r="576" spans="2:31" ht="14.25" customHeight="1" x14ac:dyDescent="0.2">
      <c r="B576" s="7">
        <f t="shared" si="32"/>
        <v>552</v>
      </c>
      <c r="C576" s="28">
        <v>3</v>
      </c>
      <c r="D576" s="28">
        <v>1</v>
      </c>
      <c r="E576" s="31">
        <v>3</v>
      </c>
      <c r="F576" s="96">
        <v>2020</v>
      </c>
      <c r="G576" s="28">
        <v>2050</v>
      </c>
      <c r="H576" s="28">
        <v>6</v>
      </c>
      <c r="I576" s="28">
        <v>0</v>
      </c>
      <c r="J576" s="28">
        <v>0</v>
      </c>
      <c r="K576" s="28">
        <v>2.76</v>
      </c>
      <c r="L576" s="156">
        <v>0.27262495561917249</v>
      </c>
      <c r="M576" s="156">
        <v>0.13359242166626184</v>
      </c>
      <c r="N576" s="151">
        <v>920</v>
      </c>
      <c r="O576" s="151">
        <v>725</v>
      </c>
      <c r="P576" s="95">
        <f t="array" ref="P576">ROUND(IF($F576&lt;='TaxCred&amp;Subs'!$C$49,(IF($C576=2,IF($M576&gt;=IFERROR(INDEX('TaxCred&amp;Subs'!$L$12:$L$47,MATCH(1,($C576&amp;$D576='TaxCred&amp;Subs'!$E$12:$E$47)*($F576='TaxCred&amp;Subs'!$C$12:$C$47),0)
),9999),IFERROR(INDEX('TaxCred&amp;Subs'!$N$12:$N$47,MATCH(1,($C576&amp;$D576='TaxCred&amp;Subs'!$E$12:$E$47)*($F576='TaxCred&amp;Subs'!$C$12:$C$47),0)
),0),0),(IF($M576&gt;=IFERROR(INDEX('TaxCred&amp;Subs'!$H$12:$H$47,MATCH(1,($C576&amp;$D576='TaxCred&amp;Subs'!$D$12:$D$47)*($F576='TaxCred&amp;Subs'!$C$12:$C$47),0)
),9999),IFERROR(INDEX('TaxCred&amp;Subs'!$N$12:$N$47,MATCH(1,($C576&amp;$D576='TaxCred&amp;Subs'!$D$12:$D$47)*($F576='TaxCred&amp;Subs'!$C$12:$C$47),0)
),0),0)))),0)+IF(AND($C576=2,VALUE(RIGHT($AD576,1))&gt;2),(N576-R576)*(IFERROR(INDEX('TaxCred&amp;Subs'!$J$66:$J$99,MATCH(1,($C576&amp;$D576='TaxCred&amp;Subs'!$E$66:$E$99)*($F576='TaxCred&amp;Subs'!$C$66:$C$99),0)),0)),IF(AND($C576=1,VALUE(RIGHT($AD576,1))&gt;2),(N576-R576)*(IFERROR(INDEX('TaxCred&amp;Subs'!$J$66:$J$99,MATCH(1,($C576&amp;$D576='TaxCred&amp;Subs'!$D$66:$D$99)*($F576='TaxCred&amp;Subs'!$C$66:$C$99),0)),0)),IF($C576&gt;2,(N576-R576)*(IFERROR(INDEX('TaxCred&amp;Subs'!$J$66:$J$99,MATCH(1,($C576&amp;$D576='TaxCred&amp;Subs'!$D$66:$D$99)*($F576='TaxCred&amp;Subs'!$C$66:$C$99),0)),0)),0))),0)</f>
        <v>0</v>
      </c>
      <c r="Q576" s="95">
        <f t="array" ref="Q576">ROUND(IF(AND($C576=2,VALUE(RIGHT($AD576,1))&gt;2),(O576-S576)*(IFERROR(INDEX('TaxCred&amp;Subs'!$J$66:$J$99,MATCH(1,($C576&amp;$D576='TaxCred&amp;Subs'!$E$66:$E$99)*($F576='TaxCred&amp;Subs'!$C$66:$C$99),0)),0)),IF(AND($C576=1,VALUE(RIGHT($AD576,1))&gt;2),(O576-S576)*(IFERROR(INDEX('TaxCred&amp;Subs'!$J$66:$J$99,MATCH(1,($C576&amp;$D576='TaxCred&amp;Subs'!$D$66:$D$99)*($F576='TaxCred&amp;Subs'!$C$66:$C$99),0)),0)),IF($C576&gt;2,(O576-S576)*(IFERROR(INDEX('TaxCred&amp;Subs'!$J$66:$J$99,MATCH(1,($C576&amp;$D576='TaxCred&amp;Subs'!$D$66:$D$99)*($F576='TaxCred&amp;Subs'!$C$66:$C$99),0)),0)),0))),0)</f>
        <v>0</v>
      </c>
      <c r="R576" s="95">
        <f t="array" ref="R576">ROUND(IF(IFERROR(VALUE(RIGHT($AD576,1)),0)&gt;2,IF($C576=8,N576*IFERROR(INDEX('TaxCred&amp;Subs'!$K$139:$S$151,MATCH($C576&amp;$D576&amp;LEFT($AD576,7),'TaxCred&amp;Subs'!$E$139:$E$151,0),MATCH($H576,'TaxCred&amp;Subs'!$K$137:$S$137,0)),0),IF($C576=2,N576*IFERROR(INDEX('TaxCred&amp;Subs'!$K$139:$S$151,MATCH($C576&amp;$D576,'TaxCred&amp;Subs'!$D$139:$D$151,0),MATCH($H576,'TaxCred&amp;Subs'!$K$137:$S$137,0)),0),N576*IFERROR(INDEX('TaxCred&amp;Subs'!$K$139:$S$151,MATCH($C576&amp;$D576,'TaxCred&amp;Subs'!$C$139:$C$151,0),MATCH($H576,'TaxCred&amp;Subs'!$K$137:$S$137,0)),0))),0),0)</f>
        <v>39</v>
      </c>
      <c r="S576" s="95">
        <f t="array" ref="S576">ROUND(IF(IFERROR(VALUE(RIGHT($AD576,1)),0)&gt;2,IF($C576=8,O576*IFERROR(INDEX('TaxCred&amp;Subs'!$K$139:$S$151,MATCH($C576&amp;$D576&amp;LEFT($AD576,7),'TaxCred&amp;Subs'!$E$139:$E$151,0),MATCH($H576,'TaxCred&amp;Subs'!$K$137:$S$137,0)),0),IF($C576=2,O576*IFERROR(INDEX('TaxCred&amp;Subs'!$K$139:$S$151,MATCH($C576&amp;$D576,'TaxCred&amp;Subs'!$D$139:$D$151,0),MATCH($H576,'TaxCred&amp;Subs'!$K$137:$S$137,0)),0),O576*IFERROR(INDEX('TaxCred&amp;Subs'!$K$139:$S$151,MATCH($C576&amp;$D576,'TaxCred&amp;Subs'!$C$139:$C$151,0),MATCH($H576,'TaxCred&amp;Subs'!$K$137:$S$137,0)),0))),0),0)</f>
        <v>31</v>
      </c>
      <c r="T576" s="95">
        <f t="shared" si="30"/>
        <v>0</v>
      </c>
      <c r="U576" s="95">
        <f t="shared" si="31"/>
        <v>0</v>
      </c>
      <c r="V576" s="28" t="s">
        <v>222</v>
      </c>
      <c r="W576" s="31">
        <v>2020</v>
      </c>
      <c r="X576" s="28">
        <v>1</v>
      </c>
      <c r="Y576" s="28">
        <v>0</v>
      </c>
      <c r="Z576" s="196">
        <v>-5.1663382257658768E-3</v>
      </c>
      <c r="AA576" s="196">
        <v>-7.9482126550244253E-2</v>
      </c>
      <c r="AB576" s="28">
        <v>0</v>
      </c>
      <c r="AC576" s="28">
        <v>0</v>
      </c>
      <c r="AD576" s="28" t="s">
        <v>373</v>
      </c>
    </row>
    <row r="577" spans="2:31" ht="14.25" customHeight="1" x14ac:dyDescent="0.2">
      <c r="B577" s="7">
        <f t="shared" si="32"/>
        <v>553</v>
      </c>
      <c r="C577" s="28">
        <v>3</v>
      </c>
      <c r="D577" s="28">
        <v>1</v>
      </c>
      <c r="E577" s="31">
        <v>3</v>
      </c>
      <c r="F577" s="96">
        <v>2020</v>
      </c>
      <c r="G577" s="28">
        <v>2050</v>
      </c>
      <c r="H577" s="28">
        <v>7</v>
      </c>
      <c r="I577" s="28">
        <v>0</v>
      </c>
      <c r="J577" s="28">
        <v>0</v>
      </c>
      <c r="K577" s="28">
        <v>2.76</v>
      </c>
      <c r="L577" s="156">
        <v>0.27262495561917249</v>
      </c>
      <c r="M577" s="156">
        <v>0.13359242166626184</v>
      </c>
      <c r="N577" s="151">
        <v>920</v>
      </c>
      <c r="O577" s="151">
        <v>725</v>
      </c>
      <c r="P577" s="95">
        <f t="array" ref="P577">ROUND(IF($F577&lt;='TaxCred&amp;Subs'!$C$49,(IF($C577=2,IF($M577&gt;=IFERROR(INDEX('TaxCred&amp;Subs'!$L$12:$L$47,MATCH(1,($C577&amp;$D577='TaxCred&amp;Subs'!$E$12:$E$47)*($F577='TaxCred&amp;Subs'!$C$12:$C$47),0)
),9999),IFERROR(INDEX('TaxCred&amp;Subs'!$N$12:$N$47,MATCH(1,($C577&amp;$D577='TaxCred&amp;Subs'!$E$12:$E$47)*($F577='TaxCred&amp;Subs'!$C$12:$C$47),0)
),0),0),(IF($M577&gt;=IFERROR(INDEX('TaxCred&amp;Subs'!$H$12:$H$47,MATCH(1,($C577&amp;$D577='TaxCred&amp;Subs'!$D$12:$D$47)*($F577='TaxCred&amp;Subs'!$C$12:$C$47),0)
),9999),IFERROR(INDEX('TaxCred&amp;Subs'!$N$12:$N$47,MATCH(1,($C577&amp;$D577='TaxCred&amp;Subs'!$D$12:$D$47)*($F577='TaxCred&amp;Subs'!$C$12:$C$47),0)
),0),0)))),0)+IF(AND($C577=2,VALUE(RIGHT($AD577,1))&gt;2),(N577-R577)*(IFERROR(INDEX('TaxCred&amp;Subs'!$J$66:$J$99,MATCH(1,($C577&amp;$D577='TaxCred&amp;Subs'!$E$66:$E$99)*($F577='TaxCred&amp;Subs'!$C$66:$C$99),0)),0)),IF(AND($C577=1,VALUE(RIGHT($AD577,1))&gt;2),(N577-R577)*(IFERROR(INDEX('TaxCred&amp;Subs'!$J$66:$J$99,MATCH(1,($C577&amp;$D577='TaxCred&amp;Subs'!$D$66:$D$99)*($F577='TaxCred&amp;Subs'!$C$66:$C$99),0)),0)),IF($C577&gt;2,(N577-R577)*(IFERROR(INDEX('TaxCred&amp;Subs'!$J$66:$J$99,MATCH(1,($C577&amp;$D577='TaxCred&amp;Subs'!$D$66:$D$99)*($F577='TaxCred&amp;Subs'!$C$66:$C$99),0)),0)),0))),0)</f>
        <v>0</v>
      </c>
      <c r="Q577" s="95">
        <f t="array" ref="Q577">ROUND(IF(AND($C577=2,VALUE(RIGHT($AD577,1))&gt;2),(O577-S577)*(IFERROR(INDEX('TaxCred&amp;Subs'!$J$66:$J$99,MATCH(1,($C577&amp;$D577='TaxCred&amp;Subs'!$E$66:$E$99)*($F577='TaxCred&amp;Subs'!$C$66:$C$99),0)),0)),IF(AND($C577=1,VALUE(RIGHT($AD577,1))&gt;2),(O577-S577)*(IFERROR(INDEX('TaxCred&amp;Subs'!$J$66:$J$99,MATCH(1,($C577&amp;$D577='TaxCred&amp;Subs'!$D$66:$D$99)*($F577='TaxCred&amp;Subs'!$C$66:$C$99),0)),0)),IF($C577&gt;2,(O577-S577)*(IFERROR(INDEX('TaxCred&amp;Subs'!$J$66:$J$99,MATCH(1,($C577&amp;$D577='TaxCred&amp;Subs'!$D$66:$D$99)*($F577='TaxCred&amp;Subs'!$C$66:$C$99),0)),0)),0))),0)</f>
        <v>0</v>
      </c>
      <c r="R577" s="95">
        <f t="array" ref="R577">ROUND(IF(IFERROR(VALUE(RIGHT($AD577,1)),0)&gt;2,IF($C577=8,N577*IFERROR(INDEX('TaxCred&amp;Subs'!$K$139:$S$151,MATCH($C577&amp;$D577&amp;LEFT($AD577,7),'TaxCred&amp;Subs'!$E$139:$E$151,0),MATCH($H577,'TaxCred&amp;Subs'!$K$137:$S$137,0)),0),IF($C577=2,N577*IFERROR(INDEX('TaxCred&amp;Subs'!$K$139:$S$151,MATCH($C577&amp;$D577,'TaxCred&amp;Subs'!$D$139:$D$151,0),MATCH($H577,'TaxCred&amp;Subs'!$K$137:$S$137,0)),0),N577*IFERROR(INDEX('TaxCred&amp;Subs'!$K$139:$S$151,MATCH($C577&amp;$D577,'TaxCred&amp;Subs'!$C$139:$C$151,0),MATCH($H577,'TaxCred&amp;Subs'!$K$137:$S$137,0)),0))),0),0)</f>
        <v>51</v>
      </c>
      <c r="S577" s="95">
        <f t="array" ref="S577">ROUND(IF(IFERROR(VALUE(RIGHT($AD577,1)),0)&gt;2,IF($C577=8,O577*IFERROR(INDEX('TaxCred&amp;Subs'!$K$139:$S$151,MATCH($C577&amp;$D577&amp;LEFT($AD577,7),'TaxCred&amp;Subs'!$E$139:$E$151,0),MATCH($H577,'TaxCred&amp;Subs'!$K$137:$S$137,0)),0),IF($C577=2,O577*IFERROR(INDEX('TaxCred&amp;Subs'!$K$139:$S$151,MATCH($C577&amp;$D577,'TaxCred&amp;Subs'!$D$139:$D$151,0),MATCH($H577,'TaxCred&amp;Subs'!$K$137:$S$137,0)),0),O577*IFERROR(INDEX('TaxCred&amp;Subs'!$K$139:$S$151,MATCH($C577&amp;$D577,'TaxCred&amp;Subs'!$C$139:$C$151,0),MATCH($H577,'TaxCred&amp;Subs'!$K$137:$S$137,0)),0))),0),0)</f>
        <v>40</v>
      </c>
      <c r="T577" s="95">
        <f t="shared" si="30"/>
        <v>0</v>
      </c>
      <c r="U577" s="95">
        <f t="shared" si="31"/>
        <v>0</v>
      </c>
      <c r="V577" s="28" t="s">
        <v>222</v>
      </c>
      <c r="W577" s="31">
        <v>2020</v>
      </c>
      <c r="X577" s="28">
        <v>1</v>
      </c>
      <c r="Y577" s="28">
        <v>0</v>
      </c>
      <c r="Z577" s="196">
        <v>-5.1663382257658768E-3</v>
      </c>
      <c r="AA577" s="196">
        <v>-7.9482126550244253E-2</v>
      </c>
      <c r="AB577" s="28">
        <v>0</v>
      </c>
      <c r="AC577" s="28">
        <v>0</v>
      </c>
      <c r="AD577" s="28" t="s">
        <v>373</v>
      </c>
    </row>
    <row r="578" spans="2:31" ht="14.25" customHeight="1" x14ac:dyDescent="0.2">
      <c r="B578" s="7">
        <f t="shared" si="32"/>
        <v>554</v>
      </c>
      <c r="C578" s="28">
        <v>3</v>
      </c>
      <c r="D578" s="28">
        <v>1</v>
      </c>
      <c r="E578" s="31">
        <v>3</v>
      </c>
      <c r="F578" s="96">
        <v>2020</v>
      </c>
      <c r="G578" s="28">
        <v>2050</v>
      </c>
      <c r="H578" s="28">
        <v>8</v>
      </c>
      <c r="I578" s="28">
        <v>0</v>
      </c>
      <c r="J578" s="28">
        <v>0</v>
      </c>
      <c r="K578" s="28">
        <v>2.76</v>
      </c>
      <c r="L578" s="156">
        <v>0.27262495561917249</v>
      </c>
      <c r="M578" s="156">
        <v>0.13359242166626184</v>
      </c>
      <c r="N578" s="151">
        <v>920</v>
      </c>
      <c r="O578" s="151">
        <v>725</v>
      </c>
      <c r="P578" s="95">
        <f t="array" ref="P578">ROUND(IF($F578&lt;='TaxCred&amp;Subs'!$C$49,(IF($C578=2,IF($M578&gt;=IFERROR(INDEX('TaxCred&amp;Subs'!$L$12:$L$47,MATCH(1,($C578&amp;$D578='TaxCred&amp;Subs'!$E$12:$E$47)*($F578='TaxCred&amp;Subs'!$C$12:$C$47),0)
),9999),IFERROR(INDEX('TaxCred&amp;Subs'!$N$12:$N$47,MATCH(1,($C578&amp;$D578='TaxCred&amp;Subs'!$E$12:$E$47)*($F578='TaxCred&amp;Subs'!$C$12:$C$47),0)
),0),0),(IF($M578&gt;=IFERROR(INDEX('TaxCred&amp;Subs'!$H$12:$H$47,MATCH(1,($C578&amp;$D578='TaxCred&amp;Subs'!$D$12:$D$47)*($F578='TaxCred&amp;Subs'!$C$12:$C$47),0)
),9999),IFERROR(INDEX('TaxCred&amp;Subs'!$N$12:$N$47,MATCH(1,($C578&amp;$D578='TaxCred&amp;Subs'!$D$12:$D$47)*($F578='TaxCred&amp;Subs'!$C$12:$C$47),0)
),0),0)))),0)+IF(AND($C578=2,VALUE(RIGHT($AD578,1))&gt;2),(N578-R578)*(IFERROR(INDEX('TaxCred&amp;Subs'!$J$66:$J$99,MATCH(1,($C578&amp;$D578='TaxCred&amp;Subs'!$E$66:$E$99)*($F578='TaxCred&amp;Subs'!$C$66:$C$99),0)),0)),IF(AND($C578=1,VALUE(RIGHT($AD578,1))&gt;2),(N578-R578)*(IFERROR(INDEX('TaxCred&amp;Subs'!$J$66:$J$99,MATCH(1,($C578&amp;$D578='TaxCred&amp;Subs'!$D$66:$D$99)*($F578='TaxCred&amp;Subs'!$C$66:$C$99),0)),0)),IF($C578&gt;2,(N578-R578)*(IFERROR(INDEX('TaxCred&amp;Subs'!$J$66:$J$99,MATCH(1,($C578&amp;$D578='TaxCred&amp;Subs'!$D$66:$D$99)*($F578='TaxCred&amp;Subs'!$C$66:$C$99),0)),0)),0))),0)</f>
        <v>0</v>
      </c>
      <c r="Q578" s="95">
        <f t="array" ref="Q578">ROUND(IF(AND($C578=2,VALUE(RIGHT($AD578,1))&gt;2),(O578-S578)*(IFERROR(INDEX('TaxCred&amp;Subs'!$J$66:$J$99,MATCH(1,($C578&amp;$D578='TaxCred&amp;Subs'!$E$66:$E$99)*($F578='TaxCred&amp;Subs'!$C$66:$C$99),0)),0)),IF(AND($C578=1,VALUE(RIGHT($AD578,1))&gt;2),(O578-S578)*(IFERROR(INDEX('TaxCred&amp;Subs'!$J$66:$J$99,MATCH(1,($C578&amp;$D578='TaxCred&amp;Subs'!$D$66:$D$99)*($F578='TaxCred&amp;Subs'!$C$66:$C$99),0)),0)),IF($C578&gt;2,(O578-S578)*(IFERROR(INDEX('TaxCred&amp;Subs'!$J$66:$J$99,MATCH(1,($C578&amp;$D578='TaxCred&amp;Subs'!$D$66:$D$99)*($F578='TaxCred&amp;Subs'!$C$66:$C$99),0)),0)),0))),0)</f>
        <v>0</v>
      </c>
      <c r="R578" s="95">
        <f t="array" ref="R578">ROUND(IF(IFERROR(VALUE(RIGHT($AD578,1)),0)&gt;2,IF($C578=8,N578*IFERROR(INDEX('TaxCred&amp;Subs'!$K$139:$S$151,MATCH($C578&amp;$D578&amp;LEFT($AD578,7),'TaxCred&amp;Subs'!$E$139:$E$151,0),MATCH($H578,'TaxCred&amp;Subs'!$K$137:$S$137,0)),0),IF($C578=2,N578*IFERROR(INDEX('TaxCred&amp;Subs'!$K$139:$S$151,MATCH($C578&amp;$D578,'TaxCred&amp;Subs'!$D$139:$D$151,0),MATCH($H578,'TaxCred&amp;Subs'!$K$137:$S$137,0)),0),N578*IFERROR(INDEX('TaxCred&amp;Subs'!$K$139:$S$151,MATCH($C578&amp;$D578,'TaxCred&amp;Subs'!$C$139:$C$151,0),MATCH($H578,'TaxCred&amp;Subs'!$K$137:$S$137,0)),0))),0),0)</f>
        <v>41</v>
      </c>
      <c r="S578" s="95">
        <f t="array" ref="S578">ROUND(IF(IFERROR(VALUE(RIGHT($AD578,1)),0)&gt;2,IF($C578=8,O578*IFERROR(INDEX('TaxCred&amp;Subs'!$K$139:$S$151,MATCH($C578&amp;$D578&amp;LEFT($AD578,7),'TaxCred&amp;Subs'!$E$139:$E$151,0),MATCH($H578,'TaxCred&amp;Subs'!$K$137:$S$137,0)),0),IF($C578=2,O578*IFERROR(INDEX('TaxCred&amp;Subs'!$K$139:$S$151,MATCH($C578&amp;$D578,'TaxCred&amp;Subs'!$D$139:$D$151,0),MATCH($H578,'TaxCred&amp;Subs'!$K$137:$S$137,0)),0),O578*IFERROR(INDEX('TaxCred&amp;Subs'!$K$139:$S$151,MATCH($C578&amp;$D578,'TaxCred&amp;Subs'!$C$139:$C$151,0),MATCH($H578,'TaxCred&amp;Subs'!$K$137:$S$137,0)),0))),0),0)</f>
        <v>33</v>
      </c>
      <c r="T578" s="95">
        <f t="shared" si="30"/>
        <v>0</v>
      </c>
      <c r="U578" s="95">
        <f t="shared" si="31"/>
        <v>0</v>
      </c>
      <c r="V578" s="28" t="s">
        <v>222</v>
      </c>
      <c r="W578" s="31">
        <v>2020</v>
      </c>
      <c r="X578" s="28">
        <v>1</v>
      </c>
      <c r="Y578" s="28">
        <v>0</v>
      </c>
      <c r="Z578" s="196">
        <v>-5.1663382257658768E-3</v>
      </c>
      <c r="AA578" s="196">
        <v>-7.9482126550244253E-2</v>
      </c>
      <c r="AB578" s="28">
        <v>0</v>
      </c>
      <c r="AC578" s="28">
        <v>0</v>
      </c>
      <c r="AD578" s="28" t="s">
        <v>373</v>
      </c>
    </row>
    <row r="579" spans="2:31" ht="14.25" customHeight="1" x14ac:dyDescent="0.2">
      <c r="B579" s="7">
        <f t="shared" si="32"/>
        <v>555</v>
      </c>
      <c r="C579" s="28">
        <v>3</v>
      </c>
      <c r="D579" s="28">
        <v>1</v>
      </c>
      <c r="E579" s="31">
        <v>3</v>
      </c>
      <c r="F579" s="96">
        <v>2020</v>
      </c>
      <c r="G579" s="28">
        <v>2050</v>
      </c>
      <c r="H579" s="28">
        <v>9</v>
      </c>
      <c r="I579" s="28">
        <v>0</v>
      </c>
      <c r="J579" s="28">
        <v>0</v>
      </c>
      <c r="K579" s="28">
        <v>2.76</v>
      </c>
      <c r="L579" s="156">
        <v>0.27262495561917249</v>
      </c>
      <c r="M579" s="156">
        <v>0.13359242166626184</v>
      </c>
      <c r="N579" s="151">
        <v>920</v>
      </c>
      <c r="O579" s="151">
        <v>725</v>
      </c>
      <c r="P579" s="95">
        <f t="array" ref="P579">ROUND(IF($F579&lt;='TaxCred&amp;Subs'!$C$49,(IF($C579=2,IF($M579&gt;=IFERROR(INDEX('TaxCred&amp;Subs'!$L$12:$L$47,MATCH(1,($C579&amp;$D579='TaxCred&amp;Subs'!$E$12:$E$47)*($F579='TaxCred&amp;Subs'!$C$12:$C$47),0)
),9999),IFERROR(INDEX('TaxCred&amp;Subs'!$N$12:$N$47,MATCH(1,($C579&amp;$D579='TaxCred&amp;Subs'!$E$12:$E$47)*($F579='TaxCred&amp;Subs'!$C$12:$C$47),0)
),0),0),(IF($M579&gt;=IFERROR(INDEX('TaxCred&amp;Subs'!$H$12:$H$47,MATCH(1,($C579&amp;$D579='TaxCred&amp;Subs'!$D$12:$D$47)*($F579='TaxCred&amp;Subs'!$C$12:$C$47),0)
),9999),IFERROR(INDEX('TaxCred&amp;Subs'!$N$12:$N$47,MATCH(1,($C579&amp;$D579='TaxCred&amp;Subs'!$D$12:$D$47)*($F579='TaxCred&amp;Subs'!$C$12:$C$47),0)
),0),0)))),0)+IF(AND($C579=2,VALUE(RIGHT($AD579,1))&gt;2),(N579-R579)*(IFERROR(INDEX('TaxCred&amp;Subs'!$J$66:$J$99,MATCH(1,($C579&amp;$D579='TaxCred&amp;Subs'!$E$66:$E$99)*($F579='TaxCred&amp;Subs'!$C$66:$C$99),0)),0)),IF(AND($C579=1,VALUE(RIGHT($AD579,1))&gt;2),(N579-R579)*(IFERROR(INDEX('TaxCred&amp;Subs'!$J$66:$J$99,MATCH(1,($C579&amp;$D579='TaxCred&amp;Subs'!$D$66:$D$99)*($F579='TaxCred&amp;Subs'!$C$66:$C$99),0)),0)),IF($C579&gt;2,(N579-R579)*(IFERROR(INDEX('TaxCred&amp;Subs'!$J$66:$J$99,MATCH(1,($C579&amp;$D579='TaxCred&amp;Subs'!$D$66:$D$99)*($F579='TaxCred&amp;Subs'!$C$66:$C$99),0)),0)),0))),0)</f>
        <v>0</v>
      </c>
      <c r="Q579" s="95">
        <f t="array" ref="Q579">ROUND(IF(AND($C579=2,VALUE(RIGHT($AD579,1))&gt;2),(O579-S579)*(IFERROR(INDEX('TaxCred&amp;Subs'!$J$66:$J$99,MATCH(1,($C579&amp;$D579='TaxCred&amp;Subs'!$E$66:$E$99)*($F579='TaxCred&amp;Subs'!$C$66:$C$99),0)),0)),IF(AND($C579=1,VALUE(RIGHT($AD579,1))&gt;2),(O579-S579)*(IFERROR(INDEX('TaxCred&amp;Subs'!$J$66:$J$99,MATCH(1,($C579&amp;$D579='TaxCred&amp;Subs'!$D$66:$D$99)*($F579='TaxCred&amp;Subs'!$C$66:$C$99),0)),0)),IF($C579&gt;2,(O579-S579)*(IFERROR(INDEX('TaxCred&amp;Subs'!$J$66:$J$99,MATCH(1,($C579&amp;$D579='TaxCred&amp;Subs'!$D$66:$D$99)*($F579='TaxCred&amp;Subs'!$C$66:$C$99),0)),0)),0))),0)</f>
        <v>0</v>
      </c>
      <c r="R579" s="95">
        <f t="array" ref="R579">ROUND(IF(IFERROR(VALUE(RIGHT($AD579,1)),0)&gt;2,IF($C579=8,N579*IFERROR(INDEX('TaxCred&amp;Subs'!$K$139:$S$151,MATCH($C579&amp;$D579&amp;LEFT($AD579,7),'TaxCred&amp;Subs'!$E$139:$E$151,0),MATCH($H579,'TaxCred&amp;Subs'!$K$137:$S$137,0)),0),IF($C579=2,N579*IFERROR(INDEX('TaxCred&amp;Subs'!$K$139:$S$151,MATCH($C579&amp;$D579,'TaxCred&amp;Subs'!$D$139:$D$151,0),MATCH($H579,'TaxCred&amp;Subs'!$K$137:$S$137,0)),0),N579*IFERROR(INDEX('TaxCred&amp;Subs'!$K$139:$S$151,MATCH($C579&amp;$D579,'TaxCred&amp;Subs'!$C$139:$C$151,0),MATCH($H579,'TaxCred&amp;Subs'!$K$137:$S$137,0)),0))),0),0)</f>
        <v>81</v>
      </c>
      <c r="S579" s="95">
        <f t="array" ref="S579">ROUND(IF(IFERROR(VALUE(RIGHT($AD579,1)),0)&gt;2,IF($C579=8,O579*IFERROR(INDEX('TaxCred&amp;Subs'!$K$139:$S$151,MATCH($C579&amp;$D579&amp;LEFT($AD579,7),'TaxCred&amp;Subs'!$E$139:$E$151,0),MATCH($H579,'TaxCred&amp;Subs'!$K$137:$S$137,0)),0),IF($C579=2,O579*IFERROR(INDEX('TaxCred&amp;Subs'!$K$139:$S$151,MATCH($C579&amp;$D579,'TaxCred&amp;Subs'!$D$139:$D$151,0),MATCH($H579,'TaxCred&amp;Subs'!$K$137:$S$137,0)),0),O579*IFERROR(INDEX('TaxCred&amp;Subs'!$K$139:$S$151,MATCH($C579&amp;$D579,'TaxCred&amp;Subs'!$C$139:$C$151,0),MATCH($H579,'TaxCred&amp;Subs'!$K$137:$S$137,0)),0))),0),0)</f>
        <v>64</v>
      </c>
      <c r="T579" s="172">
        <f t="shared" si="30"/>
        <v>138</v>
      </c>
      <c r="U579" s="172">
        <f t="shared" si="31"/>
        <v>108.75</v>
      </c>
      <c r="V579" s="28" t="s">
        <v>222</v>
      </c>
      <c r="W579" s="31">
        <v>2020</v>
      </c>
      <c r="X579" s="28">
        <v>1</v>
      </c>
      <c r="Y579" s="28">
        <v>0</v>
      </c>
      <c r="Z579" s="196">
        <v>-5.1663382257658768E-3</v>
      </c>
      <c r="AA579" s="196">
        <v>-7.9482126550244253E-2</v>
      </c>
      <c r="AB579" s="28">
        <v>0</v>
      </c>
      <c r="AC579" s="28">
        <v>0</v>
      </c>
      <c r="AD579" s="28" t="s">
        <v>373</v>
      </c>
    </row>
    <row r="580" spans="2:31" ht="14.25" customHeight="1" x14ac:dyDescent="0.2">
      <c r="B580" s="7">
        <f t="shared" si="32"/>
        <v>556</v>
      </c>
      <c r="C580" s="28">
        <v>3</v>
      </c>
      <c r="D580" s="28">
        <v>1</v>
      </c>
      <c r="E580" s="31">
        <v>4</v>
      </c>
      <c r="F580" s="96">
        <v>2020</v>
      </c>
      <c r="G580" s="96">
        <v>2027</v>
      </c>
      <c r="H580" s="28">
        <v>11</v>
      </c>
      <c r="I580" s="28">
        <v>0</v>
      </c>
      <c r="J580" s="28">
        <v>0</v>
      </c>
      <c r="K580" s="28">
        <v>1.84</v>
      </c>
      <c r="L580" s="75">
        <v>1</v>
      </c>
      <c r="M580" s="75">
        <v>0.15</v>
      </c>
      <c r="N580" s="151">
        <v>880</v>
      </c>
      <c r="O580" s="151">
        <v>705</v>
      </c>
      <c r="P580" s="95">
        <f t="array" ref="P580">ROUND(IF($F580&lt;='TaxCred&amp;Subs'!$C$49,(IF($C580=2,IF($M580&gt;=IFERROR(INDEX('TaxCred&amp;Subs'!$L$12:$L$47,MATCH(1,($C580&amp;$D580='TaxCred&amp;Subs'!$E$12:$E$47)*($F580='TaxCred&amp;Subs'!$C$12:$C$47),0)
),9999),IFERROR(INDEX('TaxCred&amp;Subs'!$N$12:$N$47,MATCH(1,($C580&amp;$D580='TaxCred&amp;Subs'!$E$12:$E$47)*($F580='TaxCred&amp;Subs'!$C$12:$C$47),0)
),0),0),(IF($M580&gt;=IFERROR(INDEX('TaxCred&amp;Subs'!$H$12:$H$47,MATCH(1,($C580&amp;$D580='TaxCred&amp;Subs'!$D$12:$D$47)*($F580='TaxCred&amp;Subs'!$C$12:$C$47),0)
),9999),IFERROR(INDEX('TaxCred&amp;Subs'!$N$12:$N$47,MATCH(1,($C580&amp;$D580='TaxCred&amp;Subs'!$D$12:$D$47)*($F580='TaxCred&amp;Subs'!$C$12:$C$47),0)
),0),0)))),0)+IF(AND($C580=2,VALUE(RIGHT($AD580,1))&gt;2),(N580-R580)*(IFERROR(INDEX('TaxCred&amp;Subs'!$J$66:$J$99,MATCH(1,($C580&amp;$D580='TaxCred&amp;Subs'!$E$66:$E$99)*($F580='TaxCred&amp;Subs'!$C$66:$C$99),0)),0)),IF(AND($C580=1,VALUE(RIGHT($AD580,1))&gt;2),(N580-R580)*(IFERROR(INDEX('TaxCred&amp;Subs'!$J$66:$J$99,MATCH(1,($C580&amp;$D580='TaxCred&amp;Subs'!$D$66:$D$99)*($F580='TaxCred&amp;Subs'!$C$66:$C$99),0)),0)),IF($C580&gt;2,(N580-R580)*(IFERROR(INDEX('TaxCred&amp;Subs'!$J$66:$J$99,MATCH(1,($C580&amp;$D580='TaxCred&amp;Subs'!$D$66:$D$99)*($F580='TaxCred&amp;Subs'!$C$66:$C$99),0)),0)),0))),0)</f>
        <v>0</v>
      </c>
      <c r="Q580" s="95">
        <f t="array" ref="Q580">ROUND(IF(AND($C580=2,VALUE(RIGHT($AD580,1))&gt;2),(O580-S580)*(IFERROR(INDEX('TaxCred&amp;Subs'!$J$66:$J$99,MATCH(1,($C580&amp;$D580='TaxCred&amp;Subs'!$E$66:$E$99)*($F580='TaxCred&amp;Subs'!$C$66:$C$99),0)),0)),IF(AND($C580=1,VALUE(RIGHT($AD580,1))&gt;2),(O580-S580)*(IFERROR(INDEX('TaxCred&amp;Subs'!$J$66:$J$99,MATCH(1,($C580&amp;$D580='TaxCred&amp;Subs'!$D$66:$D$99)*($F580='TaxCred&amp;Subs'!$C$66:$C$99),0)),0)),IF($C580&gt;2,(O580-S580)*(IFERROR(INDEX('TaxCred&amp;Subs'!$J$66:$J$99,MATCH(1,($C580&amp;$D580='TaxCred&amp;Subs'!$D$66:$D$99)*($F580='TaxCred&amp;Subs'!$C$66:$C$99),0)),0)),0))),0)</f>
        <v>0</v>
      </c>
      <c r="R580" s="95">
        <f t="array" ref="R580">ROUND(IF(IFERROR(VALUE(RIGHT($AD580,1)),0)&gt;2,IF($C580=8,N580*IFERROR(INDEX('TaxCred&amp;Subs'!$K$139:$S$151,MATCH($C580&amp;$D580&amp;LEFT($AD580,7),'TaxCred&amp;Subs'!$E$139:$E$151,0),MATCH($H580,'TaxCred&amp;Subs'!$K$137:$S$137,0)),0),IF($C580=2,N580*IFERROR(INDEX('TaxCred&amp;Subs'!$K$139:$S$151,MATCH($C580&amp;$D580,'TaxCred&amp;Subs'!$D$139:$D$151,0),MATCH($H580,'TaxCred&amp;Subs'!$K$137:$S$137,0)),0),N580*IFERROR(INDEX('TaxCred&amp;Subs'!$K$139:$S$151,MATCH($C580&amp;$D580,'TaxCred&amp;Subs'!$C$139:$C$151,0),MATCH($H580,'TaxCred&amp;Subs'!$K$137:$S$137,0)),0))),0),0)</f>
        <v>0</v>
      </c>
      <c r="S580" s="95">
        <f t="array" ref="S580">ROUND(IF(IFERROR(VALUE(RIGHT($AD580,1)),0)&gt;2,IF($C580=8,O580*IFERROR(INDEX('TaxCred&amp;Subs'!$K$139:$S$151,MATCH($C580&amp;$D580&amp;LEFT($AD580,7),'TaxCred&amp;Subs'!$E$139:$E$151,0),MATCH($H580,'TaxCred&amp;Subs'!$K$137:$S$137,0)),0),IF($C580=2,O580*IFERROR(INDEX('TaxCred&amp;Subs'!$K$139:$S$151,MATCH($C580&amp;$D580,'TaxCred&amp;Subs'!$D$139:$D$151,0),MATCH($H580,'TaxCred&amp;Subs'!$K$137:$S$137,0)),0),O580*IFERROR(INDEX('TaxCred&amp;Subs'!$K$139:$S$151,MATCH($C580&amp;$D580,'TaxCred&amp;Subs'!$C$139:$C$151,0),MATCH($H580,'TaxCred&amp;Subs'!$K$137:$S$137,0)),0))),0),0)</f>
        <v>0</v>
      </c>
      <c r="T580" s="95">
        <f t="shared" ref="T580:T594" si="33">IF($H580=9,IF(R580&gt;0,(N580-P580)*0.15,0),0)</f>
        <v>0</v>
      </c>
      <c r="U580" s="95">
        <f t="shared" ref="U580:U594" si="34">IF($H580=9,IF(S580&gt;0,(O580-Q580)*0.15,0),0)</f>
        <v>0</v>
      </c>
      <c r="V580" s="28" t="s">
        <v>222</v>
      </c>
      <c r="W580" s="31">
        <v>2020</v>
      </c>
      <c r="X580" s="28">
        <v>1</v>
      </c>
      <c r="Y580" s="28">
        <v>0</v>
      </c>
      <c r="Z580" s="196">
        <v>-3.667155121138532E-3</v>
      </c>
      <c r="AA580" s="196">
        <v>-5.6417771094438955E-2</v>
      </c>
      <c r="AB580" s="28">
        <v>0</v>
      </c>
      <c r="AC580" s="28">
        <v>0</v>
      </c>
      <c r="AD580" s="28" t="s">
        <v>374</v>
      </c>
    </row>
    <row r="581" spans="2:31" ht="14.25" customHeight="1" x14ac:dyDescent="0.2">
      <c r="B581" s="7">
        <f t="shared" si="32"/>
        <v>557</v>
      </c>
      <c r="C581" s="152">
        <v>3</v>
      </c>
      <c r="D581" s="152">
        <v>1</v>
      </c>
      <c r="E581" s="152">
        <v>4</v>
      </c>
      <c r="F581" s="153">
        <v>2028</v>
      </c>
      <c r="G581" s="152">
        <v>2050</v>
      </c>
      <c r="H581" s="152">
        <v>11</v>
      </c>
      <c r="I581" s="152">
        <v>0</v>
      </c>
      <c r="J581" s="152">
        <v>0</v>
      </c>
      <c r="K581" s="152">
        <v>2.76</v>
      </c>
      <c r="L581" s="154">
        <v>0.59086134453781514</v>
      </c>
      <c r="M581" s="154">
        <v>0.11580882352941178</v>
      </c>
      <c r="N581" s="155">
        <v>1130</v>
      </c>
      <c r="O581" s="155">
        <v>930</v>
      </c>
      <c r="P581" s="41">
        <f t="array" ref="P581">ROUND(IF($F581&lt;='TaxCred&amp;Subs'!$C$49,(IF($C581=2,IF($M581&gt;=IFERROR(INDEX('TaxCred&amp;Subs'!$L$12:$L$47,MATCH(1,($C581&amp;$D581='TaxCred&amp;Subs'!$E$12:$E$47)*($F581='TaxCred&amp;Subs'!$C$12:$C$47),0)
),9999),IFERROR(INDEX('TaxCred&amp;Subs'!$N$12:$N$47,MATCH(1,($C581&amp;$D581='TaxCred&amp;Subs'!$E$12:$E$47)*($F581='TaxCred&amp;Subs'!$C$12:$C$47),0)
),0),0),(IF($M581&gt;=IFERROR(INDEX('TaxCred&amp;Subs'!$H$12:$H$47,MATCH(1,($C581&amp;$D581='TaxCred&amp;Subs'!$D$12:$D$47)*($F581='TaxCred&amp;Subs'!$C$12:$C$47),0)
),9999),IFERROR(INDEX('TaxCred&amp;Subs'!$N$12:$N$47,MATCH(1,($C581&amp;$D581='TaxCred&amp;Subs'!$D$12:$D$47)*($F581='TaxCred&amp;Subs'!$C$12:$C$47),0)
),0),0)))),0)+IF(AND($C581=2,VALUE(RIGHT($AD581,1))&gt;2),(N581-R581)*(IFERROR(INDEX('TaxCred&amp;Subs'!$J$66:$J$99,MATCH(1,($C581&amp;$D581='TaxCred&amp;Subs'!$E$66:$E$99)*($F581='TaxCred&amp;Subs'!$C$66:$C$99),0)),0)),IF(AND($C581=1,VALUE(RIGHT($AD581,1))&gt;2),(N581-R581)*(IFERROR(INDEX('TaxCred&amp;Subs'!$J$66:$J$99,MATCH(1,($C581&amp;$D581='TaxCred&amp;Subs'!$D$66:$D$99)*($F581='TaxCred&amp;Subs'!$C$66:$C$99),0)),0)),IF($C581&gt;2,(N581-R581)*(IFERROR(INDEX('TaxCred&amp;Subs'!$J$66:$J$99,MATCH(1,($C581&amp;$D581='TaxCred&amp;Subs'!$D$66:$D$99)*($F581='TaxCred&amp;Subs'!$C$66:$C$99),0)),0)),0))),0)</f>
        <v>0</v>
      </c>
      <c r="Q581" s="41">
        <f t="array" ref="Q581">ROUND(IF(AND($C581=2,VALUE(RIGHT($AD581,1))&gt;2),(O581-S581)*(IFERROR(INDEX('TaxCred&amp;Subs'!$J$66:$J$99,MATCH(1,($C581&amp;$D581='TaxCred&amp;Subs'!$E$66:$E$99)*($F581='TaxCred&amp;Subs'!$C$66:$C$99),0)),0)),IF(AND($C581=1,VALUE(RIGHT($AD581,1))&gt;2),(O581-S581)*(IFERROR(INDEX('TaxCred&amp;Subs'!$J$66:$J$99,MATCH(1,($C581&amp;$D581='TaxCred&amp;Subs'!$D$66:$D$99)*($F581='TaxCred&amp;Subs'!$C$66:$C$99),0)),0)),IF($C581&gt;2,(O581-S581)*(IFERROR(INDEX('TaxCred&amp;Subs'!$J$66:$J$99,MATCH(1,($C581&amp;$D581='TaxCred&amp;Subs'!$D$66:$D$99)*($F581='TaxCred&amp;Subs'!$C$66:$C$99),0)),0)),0))),0)</f>
        <v>0</v>
      </c>
      <c r="R581" s="41">
        <f t="array" ref="R581">ROUND(IF(IFERROR(VALUE(RIGHT($AD581,1)),0)&gt;2,IF($C581=8,N581*IFERROR(INDEX('TaxCred&amp;Subs'!$K$139:$S$151,MATCH($C581&amp;$D581&amp;LEFT($AD581,7),'TaxCred&amp;Subs'!$E$139:$E$151,0),MATCH($H581,'TaxCred&amp;Subs'!$K$137:$S$137,0)),0),IF($C581=2,N581*IFERROR(INDEX('TaxCred&amp;Subs'!$K$139:$S$151,MATCH($C581&amp;$D581,'TaxCred&amp;Subs'!$D$139:$D$151,0),MATCH($H581,'TaxCred&amp;Subs'!$K$137:$S$137,0)),0),N581*IFERROR(INDEX('TaxCred&amp;Subs'!$K$139:$S$151,MATCH($C581&amp;$D581,'TaxCred&amp;Subs'!$C$139:$C$151,0),MATCH($H581,'TaxCred&amp;Subs'!$K$137:$S$137,0)),0))),0),0)</f>
        <v>0</v>
      </c>
      <c r="S581" s="41">
        <f t="array" ref="S581">ROUND(IF(IFERROR(VALUE(RIGHT($AD581,1)),0)&gt;2,IF($C581=8,O581*IFERROR(INDEX('TaxCred&amp;Subs'!$K$139:$S$151,MATCH($C581&amp;$D581&amp;LEFT($AD581,7),'TaxCred&amp;Subs'!$E$139:$E$151,0),MATCH($H581,'TaxCred&amp;Subs'!$K$137:$S$137,0)),0),IF($C581=2,O581*IFERROR(INDEX('TaxCred&amp;Subs'!$K$139:$S$151,MATCH($C581&amp;$D581,'TaxCred&amp;Subs'!$D$139:$D$151,0),MATCH($H581,'TaxCred&amp;Subs'!$K$137:$S$137,0)),0),O581*IFERROR(INDEX('TaxCred&amp;Subs'!$K$139:$S$151,MATCH($C581&amp;$D581,'TaxCred&amp;Subs'!$C$139:$C$151,0),MATCH($H581,'TaxCred&amp;Subs'!$K$137:$S$137,0)),0))),0),0)</f>
        <v>0</v>
      </c>
      <c r="T581" s="41">
        <f t="shared" si="33"/>
        <v>0</v>
      </c>
      <c r="U581" s="41">
        <f t="shared" si="34"/>
        <v>0</v>
      </c>
      <c r="V581" s="152" t="s">
        <v>222</v>
      </c>
      <c r="W581" s="152">
        <v>2020</v>
      </c>
      <c r="X581" s="152">
        <v>1</v>
      </c>
      <c r="Y581" s="152">
        <v>0</v>
      </c>
      <c r="Z581" s="194">
        <v>-3.667155121138532E-3</v>
      </c>
      <c r="AA581" s="194">
        <v>-5.6417771094438955E-2</v>
      </c>
      <c r="AB581" s="152">
        <v>0</v>
      </c>
      <c r="AC581" s="152">
        <v>0</v>
      </c>
      <c r="AD581" s="152" t="s">
        <v>374</v>
      </c>
    </row>
    <row r="582" spans="2:31" ht="14.25" customHeight="1" x14ac:dyDescent="0.2">
      <c r="B582" s="7">
        <f t="shared" si="32"/>
        <v>558</v>
      </c>
      <c r="C582" s="28">
        <v>3</v>
      </c>
      <c r="D582" s="28">
        <v>1</v>
      </c>
      <c r="E582" s="31">
        <v>5</v>
      </c>
      <c r="F582" s="96">
        <v>2020</v>
      </c>
      <c r="G582" s="96">
        <v>2027</v>
      </c>
      <c r="H582" s="31">
        <v>11</v>
      </c>
      <c r="I582" s="28">
        <v>0</v>
      </c>
      <c r="J582" s="28">
        <v>0</v>
      </c>
      <c r="K582" s="31">
        <v>2.76</v>
      </c>
      <c r="L582" s="156">
        <v>0.59086134453781514</v>
      </c>
      <c r="M582" s="156">
        <v>0.11580882352941178</v>
      </c>
      <c r="N582" s="151">
        <v>1130</v>
      </c>
      <c r="O582" s="151">
        <v>930</v>
      </c>
      <c r="P582" s="95">
        <f t="array" ref="P582">ROUND(IF($F582&lt;='TaxCred&amp;Subs'!$C$49,(IF($C582=2,IF($M582&gt;=IFERROR(INDEX('TaxCred&amp;Subs'!$L$12:$L$47,MATCH(1,($C582&amp;$D582='TaxCred&amp;Subs'!$E$12:$E$47)*($F582='TaxCred&amp;Subs'!$C$12:$C$47),0)
),9999),IFERROR(INDEX('TaxCred&amp;Subs'!$N$12:$N$47,MATCH(1,($C582&amp;$D582='TaxCred&amp;Subs'!$E$12:$E$47)*($F582='TaxCred&amp;Subs'!$C$12:$C$47),0)
),0),0),(IF($M582&gt;=IFERROR(INDEX('TaxCred&amp;Subs'!$H$12:$H$47,MATCH(1,($C582&amp;$D582='TaxCred&amp;Subs'!$D$12:$D$47)*($F582='TaxCred&amp;Subs'!$C$12:$C$47),0)
),9999),IFERROR(INDEX('TaxCred&amp;Subs'!$N$12:$N$47,MATCH(1,($C582&amp;$D582='TaxCred&amp;Subs'!$D$12:$D$47)*($F582='TaxCred&amp;Subs'!$C$12:$C$47),0)
),0),0)))),0)+IF(AND($C582=2,VALUE(RIGHT($AD582,1))&gt;2),(N582-R582)*(IFERROR(INDEX('TaxCred&amp;Subs'!$J$66:$J$99,MATCH(1,($C582&amp;$D582='TaxCred&amp;Subs'!$E$66:$E$99)*($F582='TaxCred&amp;Subs'!$C$66:$C$99),0)),0)),IF(AND($C582=1,VALUE(RIGHT($AD582,1))&gt;2),(N582-R582)*(IFERROR(INDEX('TaxCred&amp;Subs'!$J$66:$J$99,MATCH(1,($C582&amp;$D582='TaxCred&amp;Subs'!$D$66:$D$99)*($F582='TaxCred&amp;Subs'!$C$66:$C$99),0)),0)),IF($C582&gt;2,(N582-R582)*(IFERROR(INDEX('TaxCred&amp;Subs'!$J$66:$J$99,MATCH(1,($C582&amp;$D582='TaxCred&amp;Subs'!$D$66:$D$99)*($F582='TaxCred&amp;Subs'!$C$66:$C$99),0)),0)),0))),0)</f>
        <v>0</v>
      </c>
      <c r="Q582" s="95">
        <f t="array" ref="Q582">ROUND(IF(AND($C582=2,VALUE(RIGHT($AD582,1))&gt;2),(O582-S582)*(IFERROR(INDEX('TaxCred&amp;Subs'!$J$66:$J$99,MATCH(1,($C582&amp;$D582='TaxCred&amp;Subs'!$E$66:$E$99)*($F582='TaxCred&amp;Subs'!$C$66:$C$99),0)),0)),IF(AND($C582=1,VALUE(RIGHT($AD582,1))&gt;2),(O582-S582)*(IFERROR(INDEX('TaxCred&amp;Subs'!$J$66:$J$99,MATCH(1,($C582&amp;$D582='TaxCred&amp;Subs'!$D$66:$D$99)*($F582='TaxCred&amp;Subs'!$C$66:$C$99),0)),0)),IF($C582&gt;2,(O582-S582)*(IFERROR(INDEX('TaxCred&amp;Subs'!$J$66:$J$99,MATCH(1,($C582&amp;$D582='TaxCred&amp;Subs'!$D$66:$D$99)*($F582='TaxCred&amp;Subs'!$C$66:$C$99),0)),0)),0))),0)</f>
        <v>0</v>
      </c>
      <c r="R582" s="95">
        <f t="array" ref="R582">ROUND(IF(IFERROR(VALUE(RIGHT($AD582,1)),0)&gt;2,IF($C582=8,N582*IFERROR(INDEX('TaxCred&amp;Subs'!$K$139:$S$151,MATCH($C582&amp;$D582&amp;LEFT($AD582,7),'TaxCred&amp;Subs'!$E$139:$E$151,0),MATCH($H582,'TaxCred&amp;Subs'!$K$137:$S$137,0)),0),IF($C582=2,N582*IFERROR(INDEX('TaxCred&amp;Subs'!$K$139:$S$151,MATCH($C582&amp;$D582,'TaxCred&amp;Subs'!$D$139:$D$151,0),MATCH($H582,'TaxCred&amp;Subs'!$K$137:$S$137,0)),0),N582*IFERROR(INDEX('TaxCred&amp;Subs'!$K$139:$S$151,MATCH($C582&amp;$D582,'TaxCred&amp;Subs'!$C$139:$C$151,0),MATCH($H582,'TaxCred&amp;Subs'!$K$137:$S$137,0)),0))),0),0)</f>
        <v>0</v>
      </c>
      <c r="S582" s="95">
        <f t="array" ref="S582">ROUND(IF(IFERROR(VALUE(RIGHT($AD582,1)),0)&gt;2,IF($C582=8,O582*IFERROR(INDEX('TaxCred&amp;Subs'!$K$139:$S$151,MATCH($C582&amp;$D582&amp;LEFT($AD582,7),'TaxCred&amp;Subs'!$E$139:$E$151,0),MATCH($H582,'TaxCred&amp;Subs'!$K$137:$S$137,0)),0),IF($C582=2,O582*IFERROR(INDEX('TaxCred&amp;Subs'!$K$139:$S$151,MATCH($C582&amp;$D582,'TaxCred&amp;Subs'!$D$139:$D$151,0),MATCH($H582,'TaxCred&amp;Subs'!$K$137:$S$137,0)),0),O582*IFERROR(INDEX('TaxCred&amp;Subs'!$K$139:$S$151,MATCH($C582&amp;$D582,'TaxCred&amp;Subs'!$C$139:$C$151,0),MATCH($H582,'TaxCred&amp;Subs'!$K$137:$S$137,0)),0))),0),0)</f>
        <v>0</v>
      </c>
      <c r="T582" s="95">
        <f t="shared" si="33"/>
        <v>0</v>
      </c>
      <c r="U582" s="95">
        <f t="shared" si="34"/>
        <v>0</v>
      </c>
      <c r="V582" s="28" t="s">
        <v>222</v>
      </c>
      <c r="W582" s="31">
        <v>2020</v>
      </c>
      <c r="X582" s="28">
        <v>1</v>
      </c>
      <c r="Y582" s="28">
        <v>0</v>
      </c>
      <c r="Z582" s="196">
        <v>-3.6795847003540418E-3</v>
      </c>
      <c r="AA582" s="196">
        <v>-5.6608995390062179E-2</v>
      </c>
      <c r="AB582" s="28">
        <v>0</v>
      </c>
      <c r="AC582" s="28">
        <v>0</v>
      </c>
      <c r="AD582" s="28" t="s">
        <v>376</v>
      </c>
      <c r="AE582" t="s">
        <v>375</v>
      </c>
    </row>
    <row r="583" spans="2:31" ht="14.25" customHeight="1" x14ac:dyDescent="0.2">
      <c r="B583" s="7">
        <f t="shared" si="32"/>
        <v>559</v>
      </c>
      <c r="C583" s="152">
        <v>3</v>
      </c>
      <c r="D583" s="152">
        <v>1</v>
      </c>
      <c r="E583" s="152">
        <v>5</v>
      </c>
      <c r="F583" s="153">
        <v>2028</v>
      </c>
      <c r="G583" s="152">
        <v>2050</v>
      </c>
      <c r="H583" s="152">
        <v>11</v>
      </c>
      <c r="I583" s="152">
        <v>0</v>
      </c>
      <c r="J583" s="152">
        <v>0</v>
      </c>
      <c r="K583" s="152">
        <v>2.76</v>
      </c>
      <c r="L583" s="154">
        <v>0.59086134453781514</v>
      </c>
      <c r="M583" s="154">
        <v>0.11580882352941178</v>
      </c>
      <c r="N583" s="155">
        <v>1130</v>
      </c>
      <c r="O583" s="155">
        <v>930</v>
      </c>
      <c r="P583" s="41">
        <f t="array" ref="P583">ROUND(IF($F583&lt;='TaxCred&amp;Subs'!$C$49,(IF($C583=2,IF($M583&gt;=IFERROR(INDEX('TaxCred&amp;Subs'!$L$12:$L$47,MATCH(1,($C583&amp;$D583='TaxCred&amp;Subs'!$E$12:$E$47)*($F583='TaxCred&amp;Subs'!$C$12:$C$47),0)
),9999),IFERROR(INDEX('TaxCred&amp;Subs'!$N$12:$N$47,MATCH(1,($C583&amp;$D583='TaxCred&amp;Subs'!$E$12:$E$47)*($F583='TaxCred&amp;Subs'!$C$12:$C$47),0)
),0),0),(IF($M583&gt;=IFERROR(INDEX('TaxCred&amp;Subs'!$H$12:$H$47,MATCH(1,($C583&amp;$D583='TaxCred&amp;Subs'!$D$12:$D$47)*($F583='TaxCred&amp;Subs'!$C$12:$C$47),0)
),9999),IFERROR(INDEX('TaxCred&amp;Subs'!$N$12:$N$47,MATCH(1,($C583&amp;$D583='TaxCred&amp;Subs'!$D$12:$D$47)*($F583='TaxCred&amp;Subs'!$C$12:$C$47),0)
),0),0)))),0)+IF(AND($C583=2,VALUE(RIGHT($AD583,1))&gt;2),(N583-R583)*(IFERROR(INDEX('TaxCred&amp;Subs'!$J$66:$J$99,MATCH(1,($C583&amp;$D583='TaxCred&amp;Subs'!$E$66:$E$99)*($F583='TaxCred&amp;Subs'!$C$66:$C$99),0)),0)),IF(AND($C583=1,VALUE(RIGHT($AD583,1))&gt;2),(N583-R583)*(IFERROR(INDEX('TaxCred&amp;Subs'!$J$66:$J$99,MATCH(1,($C583&amp;$D583='TaxCred&amp;Subs'!$D$66:$D$99)*($F583='TaxCred&amp;Subs'!$C$66:$C$99),0)),0)),IF($C583&gt;2,(N583-R583)*(IFERROR(INDEX('TaxCred&amp;Subs'!$J$66:$J$99,MATCH(1,($C583&amp;$D583='TaxCred&amp;Subs'!$D$66:$D$99)*($F583='TaxCred&amp;Subs'!$C$66:$C$99),0)),0)),0))),0)</f>
        <v>0</v>
      </c>
      <c r="Q583" s="41">
        <f t="array" ref="Q583">ROUND(IF(AND($C583=2,VALUE(RIGHT($AD583,1))&gt;2),(O583-S583)*(IFERROR(INDEX('TaxCred&amp;Subs'!$J$66:$J$99,MATCH(1,($C583&amp;$D583='TaxCred&amp;Subs'!$E$66:$E$99)*($F583='TaxCred&amp;Subs'!$C$66:$C$99),0)),0)),IF(AND($C583=1,VALUE(RIGHT($AD583,1))&gt;2),(O583-S583)*(IFERROR(INDEX('TaxCred&amp;Subs'!$J$66:$J$99,MATCH(1,($C583&amp;$D583='TaxCred&amp;Subs'!$D$66:$D$99)*($F583='TaxCred&amp;Subs'!$C$66:$C$99),0)),0)),IF($C583&gt;2,(O583-S583)*(IFERROR(INDEX('TaxCred&amp;Subs'!$J$66:$J$99,MATCH(1,($C583&amp;$D583='TaxCred&amp;Subs'!$D$66:$D$99)*($F583='TaxCred&amp;Subs'!$C$66:$C$99),0)),0)),0))),0)</f>
        <v>0</v>
      </c>
      <c r="R583" s="41">
        <f t="array" ref="R583">ROUND(IF(IFERROR(VALUE(RIGHT($AD583,1)),0)&gt;2,IF($C583=8,N583*IFERROR(INDEX('TaxCred&amp;Subs'!$K$139:$S$151,MATCH($C583&amp;$D583&amp;LEFT($AD583,7),'TaxCred&amp;Subs'!$E$139:$E$151,0),MATCH($H583,'TaxCred&amp;Subs'!$K$137:$S$137,0)),0),IF($C583=2,N583*IFERROR(INDEX('TaxCred&amp;Subs'!$K$139:$S$151,MATCH($C583&amp;$D583,'TaxCred&amp;Subs'!$D$139:$D$151,0),MATCH($H583,'TaxCred&amp;Subs'!$K$137:$S$137,0)),0),N583*IFERROR(INDEX('TaxCred&amp;Subs'!$K$139:$S$151,MATCH($C583&amp;$D583,'TaxCred&amp;Subs'!$C$139:$C$151,0),MATCH($H583,'TaxCred&amp;Subs'!$K$137:$S$137,0)),0))),0),0)</f>
        <v>0</v>
      </c>
      <c r="S583" s="41">
        <f t="array" ref="S583">ROUND(IF(IFERROR(VALUE(RIGHT($AD583,1)),0)&gt;2,IF($C583=8,O583*IFERROR(INDEX('TaxCred&amp;Subs'!$K$139:$S$151,MATCH($C583&amp;$D583&amp;LEFT($AD583,7),'TaxCred&amp;Subs'!$E$139:$E$151,0),MATCH($H583,'TaxCred&amp;Subs'!$K$137:$S$137,0)),0),IF($C583=2,O583*IFERROR(INDEX('TaxCred&amp;Subs'!$K$139:$S$151,MATCH($C583&amp;$D583,'TaxCred&amp;Subs'!$D$139:$D$151,0),MATCH($H583,'TaxCred&amp;Subs'!$K$137:$S$137,0)),0),O583*IFERROR(INDEX('TaxCred&amp;Subs'!$K$139:$S$151,MATCH($C583&amp;$D583,'TaxCred&amp;Subs'!$C$139:$C$151,0),MATCH($H583,'TaxCred&amp;Subs'!$K$137:$S$137,0)),0))),0),0)</f>
        <v>0</v>
      </c>
      <c r="T583" s="41">
        <f t="shared" si="33"/>
        <v>0</v>
      </c>
      <c r="U583" s="41">
        <f t="shared" si="34"/>
        <v>0</v>
      </c>
      <c r="V583" s="152" t="s">
        <v>222</v>
      </c>
      <c r="W583" s="152">
        <v>2020</v>
      </c>
      <c r="X583" s="152">
        <v>1</v>
      </c>
      <c r="Y583" s="152">
        <v>0</v>
      </c>
      <c r="Z583" s="195">
        <v>-1</v>
      </c>
      <c r="AA583" s="195">
        <v>-1</v>
      </c>
      <c r="AB583" s="152">
        <v>0</v>
      </c>
      <c r="AC583" s="152">
        <v>0</v>
      </c>
      <c r="AD583" s="152" t="s">
        <v>376</v>
      </c>
      <c r="AE583" s="201" t="s">
        <v>489</v>
      </c>
    </row>
    <row r="584" spans="2:31" ht="14.25" customHeight="1" x14ac:dyDescent="0.2">
      <c r="B584" s="7">
        <f t="shared" si="32"/>
        <v>560</v>
      </c>
      <c r="C584" s="28">
        <v>3</v>
      </c>
      <c r="D584" s="28">
        <v>1</v>
      </c>
      <c r="E584" s="31">
        <v>6</v>
      </c>
      <c r="F584" s="96">
        <v>2020</v>
      </c>
      <c r="G584" s="28">
        <v>2029</v>
      </c>
      <c r="H584" s="28">
        <v>1</v>
      </c>
      <c r="I584" s="28">
        <v>0</v>
      </c>
      <c r="J584" s="28">
        <v>0</v>
      </c>
      <c r="K584" s="156">
        <v>3.1</v>
      </c>
      <c r="L584" s="156">
        <v>0.61784562846133972</v>
      </c>
      <c r="M584" s="156">
        <v>0.16513328615239442</v>
      </c>
      <c r="N584" s="151">
        <v>1150</v>
      </c>
      <c r="O584" s="151">
        <v>950</v>
      </c>
      <c r="P584" s="95">
        <f t="array" ref="P584">ROUND(IF($F584&lt;='TaxCred&amp;Subs'!$C$49,(IF($C584=2,IF($M584&gt;=IFERROR(INDEX('TaxCred&amp;Subs'!$L$12:$L$47,MATCH(1,($C584&amp;$D584='TaxCred&amp;Subs'!$E$12:$E$47)*($F584='TaxCred&amp;Subs'!$C$12:$C$47),0)
),9999),IFERROR(INDEX('TaxCred&amp;Subs'!$N$12:$N$47,MATCH(1,($C584&amp;$D584='TaxCred&amp;Subs'!$E$12:$E$47)*($F584='TaxCred&amp;Subs'!$C$12:$C$47),0)
),0),0),(IF($M584&gt;=IFERROR(INDEX('TaxCred&amp;Subs'!$H$12:$H$47,MATCH(1,($C584&amp;$D584='TaxCred&amp;Subs'!$D$12:$D$47)*($F584='TaxCred&amp;Subs'!$C$12:$C$47),0)
),9999),IFERROR(INDEX('TaxCred&amp;Subs'!$N$12:$N$47,MATCH(1,($C584&amp;$D584='TaxCred&amp;Subs'!$D$12:$D$47)*($F584='TaxCred&amp;Subs'!$C$12:$C$47),0)
),0),0)))),0)+IF(AND($C584=2,VALUE(RIGHT($AD584,1))&gt;2),(N584-R584)*(IFERROR(INDEX('TaxCred&amp;Subs'!$J$66:$J$99,MATCH(1,($C584&amp;$D584='TaxCred&amp;Subs'!$E$66:$E$99)*($F584='TaxCred&amp;Subs'!$C$66:$C$99),0)),0)),IF(AND($C584=1,VALUE(RIGHT($AD584,1))&gt;2),(N584-R584)*(IFERROR(INDEX('TaxCred&amp;Subs'!$J$66:$J$99,MATCH(1,($C584&amp;$D584='TaxCred&amp;Subs'!$D$66:$D$99)*($F584='TaxCred&amp;Subs'!$C$66:$C$99),0)),0)),IF($C584&gt;2,(N584-R584)*(IFERROR(INDEX('TaxCred&amp;Subs'!$J$66:$J$99,MATCH(1,($C584&amp;$D584='TaxCred&amp;Subs'!$D$66:$D$99)*($F584='TaxCred&amp;Subs'!$C$66:$C$99),0)),0)),0))),0)</f>
        <v>0</v>
      </c>
      <c r="Q584" s="95">
        <f t="array" ref="Q584">ROUND(IF(AND($C584=2,VALUE(RIGHT($AD584,1))&gt;2),(O584-S584)*(IFERROR(INDEX('TaxCred&amp;Subs'!$J$66:$J$99,MATCH(1,($C584&amp;$D584='TaxCred&amp;Subs'!$E$66:$E$99)*($F584='TaxCred&amp;Subs'!$C$66:$C$99),0)),0)),IF(AND($C584=1,VALUE(RIGHT($AD584,1))&gt;2),(O584-S584)*(IFERROR(INDEX('TaxCred&amp;Subs'!$J$66:$J$99,MATCH(1,($C584&amp;$D584='TaxCred&amp;Subs'!$D$66:$D$99)*($F584='TaxCred&amp;Subs'!$C$66:$C$99),0)),0)),IF($C584&gt;2,(O584-S584)*(IFERROR(INDEX('TaxCred&amp;Subs'!$J$66:$J$99,MATCH(1,($C584&amp;$D584='TaxCred&amp;Subs'!$D$66:$D$99)*($F584='TaxCred&amp;Subs'!$C$66:$C$99),0)),0)),0))),0)</f>
        <v>0</v>
      </c>
      <c r="R584" s="95">
        <f t="array" ref="R584">ROUND(IF(IFERROR(VALUE(RIGHT($AD584,1)),0)&gt;2,IF($C584=8,N584*IFERROR(INDEX('TaxCred&amp;Subs'!$K$139:$S$151,MATCH($C584&amp;$D584&amp;LEFT($AD584,7),'TaxCred&amp;Subs'!$E$139:$E$151,0),MATCH($H584,'TaxCred&amp;Subs'!$K$137:$S$137,0)),0),IF($C584=2,N584*IFERROR(INDEX('TaxCred&amp;Subs'!$K$139:$S$151,MATCH($C584&amp;$D584,'TaxCred&amp;Subs'!$D$139:$D$151,0),MATCH($H584,'TaxCred&amp;Subs'!$K$137:$S$137,0)),0),N584*IFERROR(INDEX('TaxCred&amp;Subs'!$K$139:$S$151,MATCH($C584&amp;$D584,'TaxCred&amp;Subs'!$C$139:$C$151,0),MATCH($H584,'TaxCred&amp;Subs'!$K$137:$S$137,0)),0))),0),0)</f>
        <v>113</v>
      </c>
      <c r="S584" s="95">
        <f t="array" ref="S584">ROUND(IF(IFERROR(VALUE(RIGHT($AD584,1)),0)&gt;2,IF($C584=8,O584*IFERROR(INDEX('TaxCred&amp;Subs'!$K$139:$S$151,MATCH($C584&amp;$D584&amp;LEFT($AD584,7),'TaxCred&amp;Subs'!$E$139:$E$151,0),MATCH($H584,'TaxCred&amp;Subs'!$K$137:$S$137,0)),0),IF($C584=2,O584*IFERROR(INDEX('TaxCred&amp;Subs'!$K$139:$S$151,MATCH($C584&amp;$D584,'TaxCred&amp;Subs'!$D$139:$D$151,0),MATCH($H584,'TaxCred&amp;Subs'!$K$137:$S$137,0)),0),O584*IFERROR(INDEX('TaxCred&amp;Subs'!$K$139:$S$151,MATCH($C584&amp;$D584,'TaxCred&amp;Subs'!$C$139:$C$151,0),MATCH($H584,'TaxCred&amp;Subs'!$K$137:$S$137,0)),0))),0),0)</f>
        <v>94</v>
      </c>
      <c r="T584" s="95">
        <f t="shared" si="33"/>
        <v>0</v>
      </c>
      <c r="U584" s="95">
        <f t="shared" si="34"/>
        <v>0</v>
      </c>
      <c r="V584" s="28" t="s">
        <v>222</v>
      </c>
      <c r="W584" s="31">
        <v>2020</v>
      </c>
      <c r="X584" s="28">
        <v>1</v>
      </c>
      <c r="Y584" s="28">
        <v>0</v>
      </c>
      <c r="Z584" s="196">
        <v>-3.6795847003540418E-3</v>
      </c>
      <c r="AA584" s="196">
        <v>-5.6608995390062179E-2</v>
      </c>
      <c r="AB584" s="28">
        <v>0</v>
      </c>
      <c r="AC584" s="28">
        <v>0</v>
      </c>
      <c r="AD584" s="28" t="s">
        <v>377</v>
      </c>
    </row>
    <row r="585" spans="2:31" ht="14.25" customHeight="1" x14ac:dyDescent="0.2">
      <c r="B585" s="7">
        <f t="shared" si="32"/>
        <v>561</v>
      </c>
      <c r="C585" s="28">
        <v>3</v>
      </c>
      <c r="D585" s="28">
        <v>1</v>
      </c>
      <c r="E585" s="31">
        <v>6</v>
      </c>
      <c r="F585" s="96">
        <v>2020</v>
      </c>
      <c r="G585" s="28">
        <v>2029</v>
      </c>
      <c r="H585" s="28">
        <v>2</v>
      </c>
      <c r="I585" s="28">
        <v>0</v>
      </c>
      <c r="J585" s="28">
        <v>0</v>
      </c>
      <c r="K585" s="156">
        <v>3.1</v>
      </c>
      <c r="L585" s="156">
        <v>0.61784562846133972</v>
      </c>
      <c r="M585" s="156">
        <v>0.16513328615239442</v>
      </c>
      <c r="N585" s="151">
        <v>1150</v>
      </c>
      <c r="O585" s="151">
        <v>950</v>
      </c>
      <c r="P585" s="95">
        <f t="array" ref="P585">ROUND(IF($F585&lt;='TaxCred&amp;Subs'!$C$49,(IF($C585=2,IF($M585&gt;=IFERROR(INDEX('TaxCred&amp;Subs'!$L$12:$L$47,MATCH(1,($C585&amp;$D585='TaxCred&amp;Subs'!$E$12:$E$47)*($F585='TaxCred&amp;Subs'!$C$12:$C$47),0)
),9999),IFERROR(INDEX('TaxCred&amp;Subs'!$N$12:$N$47,MATCH(1,($C585&amp;$D585='TaxCred&amp;Subs'!$E$12:$E$47)*($F585='TaxCred&amp;Subs'!$C$12:$C$47),0)
),0),0),(IF($M585&gt;=IFERROR(INDEX('TaxCred&amp;Subs'!$H$12:$H$47,MATCH(1,($C585&amp;$D585='TaxCred&amp;Subs'!$D$12:$D$47)*($F585='TaxCred&amp;Subs'!$C$12:$C$47),0)
),9999),IFERROR(INDEX('TaxCred&amp;Subs'!$N$12:$N$47,MATCH(1,($C585&amp;$D585='TaxCred&amp;Subs'!$D$12:$D$47)*($F585='TaxCred&amp;Subs'!$C$12:$C$47),0)
),0),0)))),0)+IF(AND($C585=2,VALUE(RIGHT($AD585,1))&gt;2),(N585-R585)*(IFERROR(INDEX('TaxCred&amp;Subs'!$J$66:$J$99,MATCH(1,($C585&amp;$D585='TaxCred&amp;Subs'!$E$66:$E$99)*($F585='TaxCred&amp;Subs'!$C$66:$C$99),0)),0)),IF(AND($C585=1,VALUE(RIGHT($AD585,1))&gt;2),(N585-R585)*(IFERROR(INDEX('TaxCred&amp;Subs'!$J$66:$J$99,MATCH(1,($C585&amp;$D585='TaxCred&amp;Subs'!$D$66:$D$99)*($F585='TaxCred&amp;Subs'!$C$66:$C$99),0)),0)),IF($C585&gt;2,(N585-R585)*(IFERROR(INDEX('TaxCred&amp;Subs'!$J$66:$J$99,MATCH(1,($C585&amp;$D585='TaxCred&amp;Subs'!$D$66:$D$99)*($F585='TaxCred&amp;Subs'!$C$66:$C$99),0)),0)),0))),0)</f>
        <v>0</v>
      </c>
      <c r="Q585" s="95">
        <f t="array" ref="Q585">ROUND(IF(AND($C585=2,VALUE(RIGHT($AD585,1))&gt;2),(O585-S585)*(IFERROR(INDEX('TaxCred&amp;Subs'!$J$66:$J$99,MATCH(1,($C585&amp;$D585='TaxCred&amp;Subs'!$E$66:$E$99)*($F585='TaxCred&amp;Subs'!$C$66:$C$99),0)),0)),IF(AND($C585=1,VALUE(RIGHT($AD585,1))&gt;2),(O585-S585)*(IFERROR(INDEX('TaxCred&amp;Subs'!$J$66:$J$99,MATCH(1,($C585&amp;$D585='TaxCred&amp;Subs'!$D$66:$D$99)*($F585='TaxCred&amp;Subs'!$C$66:$C$99),0)),0)),IF($C585&gt;2,(O585-S585)*(IFERROR(INDEX('TaxCred&amp;Subs'!$J$66:$J$99,MATCH(1,($C585&amp;$D585='TaxCred&amp;Subs'!$D$66:$D$99)*($F585='TaxCred&amp;Subs'!$C$66:$C$99),0)),0)),0))),0)</f>
        <v>0</v>
      </c>
      <c r="R585" s="95">
        <f t="array" ref="R585">ROUND(IF(IFERROR(VALUE(RIGHT($AD585,1)),0)&gt;2,IF($C585=8,N585*IFERROR(INDEX('TaxCred&amp;Subs'!$K$139:$S$151,MATCH($C585&amp;$D585&amp;LEFT($AD585,7),'TaxCred&amp;Subs'!$E$139:$E$151,0),MATCH($H585,'TaxCred&amp;Subs'!$K$137:$S$137,0)),0),IF($C585=2,N585*IFERROR(INDEX('TaxCred&amp;Subs'!$K$139:$S$151,MATCH($C585&amp;$D585,'TaxCred&amp;Subs'!$D$139:$D$151,0),MATCH($H585,'TaxCred&amp;Subs'!$K$137:$S$137,0)),0),N585*IFERROR(INDEX('TaxCred&amp;Subs'!$K$139:$S$151,MATCH($C585&amp;$D585,'TaxCred&amp;Subs'!$C$139:$C$151,0),MATCH($H585,'TaxCred&amp;Subs'!$K$137:$S$137,0)),0))),0),0)</f>
        <v>43</v>
      </c>
      <c r="S585" s="95">
        <f t="array" ref="S585">ROUND(IF(IFERROR(VALUE(RIGHT($AD585,1)),0)&gt;2,IF($C585=8,O585*IFERROR(INDEX('TaxCred&amp;Subs'!$K$139:$S$151,MATCH($C585&amp;$D585&amp;LEFT($AD585,7),'TaxCred&amp;Subs'!$E$139:$E$151,0),MATCH($H585,'TaxCred&amp;Subs'!$K$137:$S$137,0)),0),IF($C585=2,O585*IFERROR(INDEX('TaxCred&amp;Subs'!$K$139:$S$151,MATCH($C585&amp;$D585,'TaxCred&amp;Subs'!$D$139:$D$151,0),MATCH($H585,'TaxCred&amp;Subs'!$K$137:$S$137,0)),0),O585*IFERROR(INDEX('TaxCred&amp;Subs'!$K$139:$S$151,MATCH($C585&amp;$D585,'TaxCred&amp;Subs'!$C$139:$C$151,0),MATCH($H585,'TaxCred&amp;Subs'!$K$137:$S$137,0)),0))),0),0)</f>
        <v>36</v>
      </c>
      <c r="T585" s="95">
        <f t="shared" si="33"/>
        <v>0</v>
      </c>
      <c r="U585" s="95">
        <f t="shared" si="34"/>
        <v>0</v>
      </c>
      <c r="V585" s="28" t="s">
        <v>222</v>
      </c>
      <c r="W585" s="31">
        <v>2020</v>
      </c>
      <c r="X585" s="28">
        <v>1</v>
      </c>
      <c r="Y585" s="28">
        <v>0</v>
      </c>
      <c r="Z585" s="196">
        <v>-3.6795847003540418E-3</v>
      </c>
      <c r="AA585" s="196">
        <v>-5.6608995390062179E-2</v>
      </c>
      <c r="AB585" s="28">
        <v>0</v>
      </c>
      <c r="AC585" s="28">
        <v>0</v>
      </c>
      <c r="AD585" s="28" t="s">
        <v>377</v>
      </c>
    </row>
    <row r="586" spans="2:31" ht="14.25" customHeight="1" x14ac:dyDescent="0.2">
      <c r="B586" s="7">
        <f t="shared" si="32"/>
        <v>562</v>
      </c>
      <c r="C586" s="28">
        <v>3</v>
      </c>
      <c r="D586" s="28">
        <v>1</v>
      </c>
      <c r="E586" s="31">
        <v>6</v>
      </c>
      <c r="F586" s="96">
        <v>2020</v>
      </c>
      <c r="G586" s="28">
        <v>2029</v>
      </c>
      <c r="H586" s="28">
        <v>3</v>
      </c>
      <c r="I586" s="28">
        <v>0</v>
      </c>
      <c r="J586" s="28">
        <v>0</v>
      </c>
      <c r="K586" s="156">
        <v>3.1</v>
      </c>
      <c r="L586" s="156">
        <v>0.61784562846133972</v>
      </c>
      <c r="M586" s="156">
        <v>0.16513328615239442</v>
      </c>
      <c r="N586" s="151">
        <v>1150</v>
      </c>
      <c r="O586" s="151">
        <v>950</v>
      </c>
      <c r="P586" s="95">
        <f t="array" ref="P586">ROUND(IF($F586&lt;='TaxCred&amp;Subs'!$C$49,(IF($C586=2,IF($M586&gt;=IFERROR(INDEX('TaxCred&amp;Subs'!$L$12:$L$47,MATCH(1,($C586&amp;$D586='TaxCred&amp;Subs'!$E$12:$E$47)*($F586='TaxCred&amp;Subs'!$C$12:$C$47),0)
),9999),IFERROR(INDEX('TaxCred&amp;Subs'!$N$12:$N$47,MATCH(1,($C586&amp;$D586='TaxCred&amp;Subs'!$E$12:$E$47)*($F586='TaxCred&amp;Subs'!$C$12:$C$47),0)
),0),0),(IF($M586&gt;=IFERROR(INDEX('TaxCred&amp;Subs'!$H$12:$H$47,MATCH(1,($C586&amp;$D586='TaxCred&amp;Subs'!$D$12:$D$47)*($F586='TaxCred&amp;Subs'!$C$12:$C$47),0)
),9999),IFERROR(INDEX('TaxCred&amp;Subs'!$N$12:$N$47,MATCH(1,($C586&amp;$D586='TaxCred&amp;Subs'!$D$12:$D$47)*($F586='TaxCred&amp;Subs'!$C$12:$C$47),0)
),0),0)))),0)+IF(AND($C586=2,VALUE(RIGHT($AD586,1))&gt;2),(N586-R586)*(IFERROR(INDEX('TaxCred&amp;Subs'!$J$66:$J$99,MATCH(1,($C586&amp;$D586='TaxCred&amp;Subs'!$E$66:$E$99)*($F586='TaxCred&amp;Subs'!$C$66:$C$99),0)),0)),IF(AND($C586=1,VALUE(RIGHT($AD586,1))&gt;2),(N586-R586)*(IFERROR(INDEX('TaxCred&amp;Subs'!$J$66:$J$99,MATCH(1,($C586&amp;$D586='TaxCred&amp;Subs'!$D$66:$D$99)*($F586='TaxCred&amp;Subs'!$C$66:$C$99),0)),0)),IF($C586&gt;2,(N586-R586)*(IFERROR(INDEX('TaxCred&amp;Subs'!$J$66:$J$99,MATCH(1,($C586&amp;$D586='TaxCred&amp;Subs'!$D$66:$D$99)*($F586='TaxCred&amp;Subs'!$C$66:$C$99),0)),0)),0))),0)</f>
        <v>0</v>
      </c>
      <c r="Q586" s="95">
        <f t="array" ref="Q586">ROUND(IF(AND($C586=2,VALUE(RIGHT($AD586,1))&gt;2),(O586-S586)*(IFERROR(INDEX('TaxCred&amp;Subs'!$J$66:$J$99,MATCH(1,($C586&amp;$D586='TaxCred&amp;Subs'!$E$66:$E$99)*($F586='TaxCred&amp;Subs'!$C$66:$C$99),0)),0)),IF(AND($C586=1,VALUE(RIGHT($AD586,1))&gt;2),(O586-S586)*(IFERROR(INDEX('TaxCred&amp;Subs'!$J$66:$J$99,MATCH(1,($C586&amp;$D586='TaxCred&amp;Subs'!$D$66:$D$99)*($F586='TaxCred&amp;Subs'!$C$66:$C$99),0)),0)),IF($C586&gt;2,(O586-S586)*(IFERROR(INDEX('TaxCred&amp;Subs'!$J$66:$J$99,MATCH(1,($C586&amp;$D586='TaxCred&amp;Subs'!$D$66:$D$99)*($F586='TaxCred&amp;Subs'!$C$66:$C$99),0)),0)),0))),0)</f>
        <v>0</v>
      </c>
      <c r="R586" s="95">
        <f t="array" ref="R586">ROUND(IF(IFERROR(VALUE(RIGHT($AD586,1)),0)&gt;2,IF($C586=8,N586*IFERROR(INDEX('TaxCred&amp;Subs'!$K$139:$S$151,MATCH($C586&amp;$D586&amp;LEFT($AD586,7),'TaxCred&amp;Subs'!$E$139:$E$151,0),MATCH($H586,'TaxCred&amp;Subs'!$K$137:$S$137,0)),0),IF($C586=2,N586*IFERROR(INDEX('TaxCred&amp;Subs'!$K$139:$S$151,MATCH($C586&amp;$D586,'TaxCred&amp;Subs'!$D$139:$D$151,0),MATCH($H586,'TaxCred&amp;Subs'!$K$137:$S$137,0)),0),N586*IFERROR(INDEX('TaxCred&amp;Subs'!$K$139:$S$151,MATCH($C586&amp;$D586,'TaxCred&amp;Subs'!$C$139:$C$151,0),MATCH($H586,'TaxCred&amp;Subs'!$K$137:$S$137,0)),0))),0),0)</f>
        <v>43</v>
      </c>
      <c r="S586" s="95">
        <f t="array" ref="S586">ROUND(IF(IFERROR(VALUE(RIGHT($AD586,1)),0)&gt;2,IF($C586=8,O586*IFERROR(INDEX('TaxCred&amp;Subs'!$K$139:$S$151,MATCH($C586&amp;$D586&amp;LEFT($AD586,7),'TaxCred&amp;Subs'!$E$139:$E$151,0),MATCH($H586,'TaxCred&amp;Subs'!$K$137:$S$137,0)),0),IF($C586=2,O586*IFERROR(INDEX('TaxCred&amp;Subs'!$K$139:$S$151,MATCH($C586&amp;$D586,'TaxCred&amp;Subs'!$D$139:$D$151,0),MATCH($H586,'TaxCred&amp;Subs'!$K$137:$S$137,0)),0),O586*IFERROR(INDEX('TaxCred&amp;Subs'!$K$139:$S$151,MATCH($C586&amp;$D586,'TaxCred&amp;Subs'!$C$139:$C$151,0),MATCH($H586,'TaxCred&amp;Subs'!$K$137:$S$137,0)),0))),0),0)</f>
        <v>36</v>
      </c>
      <c r="T586" s="95">
        <f t="shared" si="33"/>
        <v>0</v>
      </c>
      <c r="U586" s="95">
        <f t="shared" si="34"/>
        <v>0</v>
      </c>
      <c r="V586" s="28" t="s">
        <v>222</v>
      </c>
      <c r="W586" s="31">
        <v>2020</v>
      </c>
      <c r="X586" s="28">
        <v>1</v>
      </c>
      <c r="Y586" s="28">
        <v>0</v>
      </c>
      <c r="Z586" s="196">
        <v>-3.6795847003540418E-3</v>
      </c>
      <c r="AA586" s="196">
        <v>-5.6608995390062179E-2</v>
      </c>
      <c r="AB586" s="28">
        <v>0</v>
      </c>
      <c r="AC586" s="28">
        <v>0</v>
      </c>
      <c r="AD586" s="28" t="s">
        <v>377</v>
      </c>
    </row>
    <row r="587" spans="2:31" ht="14.25" customHeight="1" x14ac:dyDescent="0.2">
      <c r="B587" s="7">
        <f t="shared" si="32"/>
        <v>563</v>
      </c>
      <c r="C587" s="28">
        <v>3</v>
      </c>
      <c r="D587" s="28">
        <v>1</v>
      </c>
      <c r="E587" s="31">
        <v>6</v>
      </c>
      <c r="F587" s="96">
        <v>2020</v>
      </c>
      <c r="G587" s="28">
        <v>2029</v>
      </c>
      <c r="H587" s="28">
        <v>4</v>
      </c>
      <c r="I587" s="28">
        <v>0</v>
      </c>
      <c r="J587" s="28">
        <v>0</v>
      </c>
      <c r="K587" s="156">
        <v>3.1</v>
      </c>
      <c r="L587" s="156">
        <v>0.61784562846133972</v>
      </c>
      <c r="M587" s="156">
        <v>0.16513328615239442</v>
      </c>
      <c r="N587" s="151">
        <v>1150</v>
      </c>
      <c r="O587" s="151">
        <v>950</v>
      </c>
      <c r="P587" s="95">
        <f t="array" ref="P587">ROUND(IF($F587&lt;='TaxCred&amp;Subs'!$C$49,(IF($C587=2,IF($M587&gt;=IFERROR(INDEX('TaxCred&amp;Subs'!$L$12:$L$47,MATCH(1,($C587&amp;$D587='TaxCred&amp;Subs'!$E$12:$E$47)*($F587='TaxCred&amp;Subs'!$C$12:$C$47),0)
),9999),IFERROR(INDEX('TaxCred&amp;Subs'!$N$12:$N$47,MATCH(1,($C587&amp;$D587='TaxCred&amp;Subs'!$E$12:$E$47)*($F587='TaxCred&amp;Subs'!$C$12:$C$47),0)
),0),0),(IF($M587&gt;=IFERROR(INDEX('TaxCred&amp;Subs'!$H$12:$H$47,MATCH(1,($C587&amp;$D587='TaxCred&amp;Subs'!$D$12:$D$47)*($F587='TaxCred&amp;Subs'!$C$12:$C$47),0)
),9999),IFERROR(INDEX('TaxCred&amp;Subs'!$N$12:$N$47,MATCH(1,($C587&amp;$D587='TaxCred&amp;Subs'!$D$12:$D$47)*($F587='TaxCred&amp;Subs'!$C$12:$C$47),0)
),0),0)))),0)+IF(AND($C587=2,VALUE(RIGHT($AD587,1))&gt;2),(N587-R587)*(IFERROR(INDEX('TaxCred&amp;Subs'!$J$66:$J$99,MATCH(1,($C587&amp;$D587='TaxCred&amp;Subs'!$E$66:$E$99)*($F587='TaxCred&amp;Subs'!$C$66:$C$99),0)),0)),IF(AND($C587=1,VALUE(RIGHT($AD587,1))&gt;2),(N587-R587)*(IFERROR(INDEX('TaxCred&amp;Subs'!$J$66:$J$99,MATCH(1,($C587&amp;$D587='TaxCred&amp;Subs'!$D$66:$D$99)*($F587='TaxCred&amp;Subs'!$C$66:$C$99),0)),0)),IF($C587&gt;2,(N587-R587)*(IFERROR(INDEX('TaxCred&amp;Subs'!$J$66:$J$99,MATCH(1,($C587&amp;$D587='TaxCred&amp;Subs'!$D$66:$D$99)*($F587='TaxCred&amp;Subs'!$C$66:$C$99),0)),0)),0))),0)</f>
        <v>0</v>
      </c>
      <c r="Q587" s="95">
        <f t="array" ref="Q587">ROUND(IF(AND($C587=2,VALUE(RIGHT($AD587,1))&gt;2),(O587-S587)*(IFERROR(INDEX('TaxCred&amp;Subs'!$J$66:$J$99,MATCH(1,($C587&amp;$D587='TaxCred&amp;Subs'!$E$66:$E$99)*($F587='TaxCred&amp;Subs'!$C$66:$C$99),0)),0)),IF(AND($C587=1,VALUE(RIGHT($AD587,1))&gt;2),(O587-S587)*(IFERROR(INDEX('TaxCred&amp;Subs'!$J$66:$J$99,MATCH(1,($C587&amp;$D587='TaxCred&amp;Subs'!$D$66:$D$99)*($F587='TaxCred&amp;Subs'!$C$66:$C$99),0)),0)),IF($C587&gt;2,(O587-S587)*(IFERROR(INDEX('TaxCred&amp;Subs'!$J$66:$J$99,MATCH(1,($C587&amp;$D587='TaxCred&amp;Subs'!$D$66:$D$99)*($F587='TaxCred&amp;Subs'!$C$66:$C$99),0)),0)),0))),0)</f>
        <v>0</v>
      </c>
      <c r="R587" s="95">
        <f t="array" ref="R587">ROUND(IF(IFERROR(VALUE(RIGHT($AD587,1)),0)&gt;2,IF($C587=8,N587*IFERROR(INDEX('TaxCred&amp;Subs'!$K$139:$S$151,MATCH($C587&amp;$D587&amp;LEFT($AD587,7),'TaxCred&amp;Subs'!$E$139:$E$151,0),MATCH($H587,'TaxCred&amp;Subs'!$K$137:$S$137,0)),0),IF($C587=2,N587*IFERROR(INDEX('TaxCred&amp;Subs'!$K$139:$S$151,MATCH($C587&amp;$D587,'TaxCred&amp;Subs'!$D$139:$D$151,0),MATCH($H587,'TaxCred&amp;Subs'!$K$137:$S$137,0)),0),N587*IFERROR(INDEX('TaxCred&amp;Subs'!$K$139:$S$151,MATCH($C587&amp;$D587,'TaxCred&amp;Subs'!$C$139:$C$151,0),MATCH($H587,'TaxCred&amp;Subs'!$K$137:$S$137,0)),0))),0),0)</f>
        <v>22</v>
      </c>
      <c r="S587" s="95">
        <f t="array" ref="S587">ROUND(IF(IFERROR(VALUE(RIGHT($AD587,1)),0)&gt;2,IF($C587=8,O587*IFERROR(INDEX('TaxCred&amp;Subs'!$K$139:$S$151,MATCH($C587&amp;$D587&amp;LEFT($AD587,7),'TaxCred&amp;Subs'!$E$139:$E$151,0),MATCH($H587,'TaxCred&amp;Subs'!$K$137:$S$137,0)),0),IF($C587=2,O587*IFERROR(INDEX('TaxCred&amp;Subs'!$K$139:$S$151,MATCH($C587&amp;$D587,'TaxCred&amp;Subs'!$D$139:$D$151,0),MATCH($H587,'TaxCred&amp;Subs'!$K$137:$S$137,0)),0),O587*IFERROR(INDEX('TaxCred&amp;Subs'!$K$139:$S$151,MATCH($C587&amp;$D587,'TaxCred&amp;Subs'!$C$139:$C$151,0),MATCH($H587,'TaxCred&amp;Subs'!$K$137:$S$137,0)),0))),0),0)</f>
        <v>18</v>
      </c>
      <c r="T587" s="95">
        <f t="shared" si="33"/>
        <v>0</v>
      </c>
      <c r="U587" s="95">
        <f t="shared" si="34"/>
        <v>0</v>
      </c>
      <c r="V587" s="28" t="s">
        <v>222</v>
      </c>
      <c r="W587" s="31">
        <v>2020</v>
      </c>
      <c r="X587" s="28">
        <v>1</v>
      </c>
      <c r="Y587" s="28">
        <v>0</v>
      </c>
      <c r="Z587" s="196">
        <v>-3.6795847003540418E-3</v>
      </c>
      <c r="AA587" s="196">
        <v>-5.6608995390062179E-2</v>
      </c>
      <c r="AB587" s="28">
        <v>0</v>
      </c>
      <c r="AC587" s="28">
        <v>0</v>
      </c>
      <c r="AD587" s="28" t="s">
        <v>377</v>
      </c>
    </row>
    <row r="588" spans="2:31" ht="14.25" customHeight="1" x14ac:dyDescent="0.2">
      <c r="B588" s="7">
        <f t="shared" si="32"/>
        <v>564</v>
      </c>
      <c r="C588" s="28">
        <v>3</v>
      </c>
      <c r="D588" s="28">
        <v>1</v>
      </c>
      <c r="E588" s="31">
        <v>6</v>
      </c>
      <c r="F588" s="96">
        <v>2020</v>
      </c>
      <c r="G588" s="28">
        <v>2029</v>
      </c>
      <c r="H588" s="28">
        <v>5</v>
      </c>
      <c r="I588" s="28">
        <v>0</v>
      </c>
      <c r="J588" s="28">
        <v>0</v>
      </c>
      <c r="K588" s="156">
        <v>3.1</v>
      </c>
      <c r="L588" s="156">
        <v>0.61784562846133972</v>
      </c>
      <c r="M588" s="156">
        <v>0.16513328615239442</v>
      </c>
      <c r="N588" s="151">
        <v>1150</v>
      </c>
      <c r="O588" s="151">
        <v>950</v>
      </c>
      <c r="P588" s="95">
        <f t="array" ref="P588">ROUND(IF($F588&lt;='TaxCred&amp;Subs'!$C$49,(IF($C588=2,IF($M588&gt;=IFERROR(INDEX('TaxCred&amp;Subs'!$L$12:$L$47,MATCH(1,($C588&amp;$D588='TaxCred&amp;Subs'!$E$12:$E$47)*($F588='TaxCred&amp;Subs'!$C$12:$C$47),0)
),9999),IFERROR(INDEX('TaxCred&amp;Subs'!$N$12:$N$47,MATCH(1,($C588&amp;$D588='TaxCred&amp;Subs'!$E$12:$E$47)*($F588='TaxCred&amp;Subs'!$C$12:$C$47),0)
),0),0),(IF($M588&gt;=IFERROR(INDEX('TaxCred&amp;Subs'!$H$12:$H$47,MATCH(1,($C588&amp;$D588='TaxCred&amp;Subs'!$D$12:$D$47)*($F588='TaxCred&amp;Subs'!$C$12:$C$47),0)
),9999),IFERROR(INDEX('TaxCred&amp;Subs'!$N$12:$N$47,MATCH(1,($C588&amp;$D588='TaxCred&amp;Subs'!$D$12:$D$47)*($F588='TaxCred&amp;Subs'!$C$12:$C$47),0)
),0),0)))),0)+IF(AND($C588=2,VALUE(RIGHT($AD588,1))&gt;2),(N588-R588)*(IFERROR(INDEX('TaxCred&amp;Subs'!$J$66:$J$99,MATCH(1,($C588&amp;$D588='TaxCred&amp;Subs'!$E$66:$E$99)*($F588='TaxCred&amp;Subs'!$C$66:$C$99),0)),0)),IF(AND($C588=1,VALUE(RIGHT($AD588,1))&gt;2),(N588-R588)*(IFERROR(INDEX('TaxCred&amp;Subs'!$J$66:$J$99,MATCH(1,($C588&amp;$D588='TaxCred&amp;Subs'!$D$66:$D$99)*($F588='TaxCred&amp;Subs'!$C$66:$C$99),0)),0)),IF($C588&gt;2,(N588-R588)*(IFERROR(INDEX('TaxCred&amp;Subs'!$J$66:$J$99,MATCH(1,($C588&amp;$D588='TaxCred&amp;Subs'!$D$66:$D$99)*($F588='TaxCred&amp;Subs'!$C$66:$C$99),0)),0)),0))),0)</f>
        <v>0</v>
      </c>
      <c r="Q588" s="95">
        <f t="array" ref="Q588">ROUND(IF(AND($C588=2,VALUE(RIGHT($AD588,1))&gt;2),(O588-S588)*(IFERROR(INDEX('TaxCred&amp;Subs'!$J$66:$J$99,MATCH(1,($C588&amp;$D588='TaxCred&amp;Subs'!$E$66:$E$99)*($F588='TaxCred&amp;Subs'!$C$66:$C$99),0)),0)),IF(AND($C588=1,VALUE(RIGHT($AD588,1))&gt;2),(O588-S588)*(IFERROR(INDEX('TaxCred&amp;Subs'!$J$66:$J$99,MATCH(1,($C588&amp;$D588='TaxCred&amp;Subs'!$D$66:$D$99)*($F588='TaxCred&amp;Subs'!$C$66:$C$99),0)),0)),IF($C588&gt;2,(O588-S588)*(IFERROR(INDEX('TaxCred&amp;Subs'!$J$66:$J$99,MATCH(1,($C588&amp;$D588='TaxCred&amp;Subs'!$D$66:$D$99)*($F588='TaxCred&amp;Subs'!$C$66:$C$99),0)),0)),0))),0)</f>
        <v>0</v>
      </c>
      <c r="R588" s="95">
        <f t="array" ref="R588">ROUND(IF(IFERROR(VALUE(RIGHT($AD588,1)),0)&gt;2,IF($C588=8,N588*IFERROR(INDEX('TaxCred&amp;Subs'!$K$139:$S$151,MATCH($C588&amp;$D588&amp;LEFT($AD588,7),'TaxCred&amp;Subs'!$E$139:$E$151,0),MATCH($H588,'TaxCred&amp;Subs'!$K$137:$S$137,0)),0),IF($C588=2,N588*IFERROR(INDEX('TaxCred&amp;Subs'!$K$139:$S$151,MATCH($C588&amp;$D588,'TaxCred&amp;Subs'!$D$139:$D$151,0),MATCH($H588,'TaxCred&amp;Subs'!$K$137:$S$137,0)),0),N588*IFERROR(INDEX('TaxCred&amp;Subs'!$K$139:$S$151,MATCH($C588&amp;$D588,'TaxCred&amp;Subs'!$C$139:$C$151,0),MATCH($H588,'TaxCred&amp;Subs'!$K$137:$S$137,0)),0))),0),0)</f>
        <v>38</v>
      </c>
      <c r="S588" s="95">
        <f t="array" ref="S588">ROUND(IF(IFERROR(VALUE(RIGHT($AD588,1)),0)&gt;2,IF($C588=8,O588*IFERROR(INDEX('TaxCred&amp;Subs'!$K$139:$S$151,MATCH($C588&amp;$D588&amp;LEFT($AD588,7),'TaxCred&amp;Subs'!$E$139:$E$151,0),MATCH($H588,'TaxCred&amp;Subs'!$K$137:$S$137,0)),0),IF($C588=2,O588*IFERROR(INDEX('TaxCred&amp;Subs'!$K$139:$S$151,MATCH($C588&amp;$D588,'TaxCred&amp;Subs'!$D$139:$D$151,0),MATCH($H588,'TaxCred&amp;Subs'!$K$137:$S$137,0)),0),O588*IFERROR(INDEX('TaxCred&amp;Subs'!$K$139:$S$151,MATCH($C588&amp;$D588,'TaxCred&amp;Subs'!$C$139:$C$151,0),MATCH($H588,'TaxCred&amp;Subs'!$K$137:$S$137,0)),0))),0),0)</f>
        <v>32</v>
      </c>
      <c r="T588" s="95">
        <f t="shared" si="33"/>
        <v>0</v>
      </c>
      <c r="U588" s="95">
        <f t="shared" si="34"/>
        <v>0</v>
      </c>
      <c r="V588" s="28" t="s">
        <v>222</v>
      </c>
      <c r="W588" s="31">
        <v>2020</v>
      </c>
      <c r="X588" s="28">
        <v>1</v>
      </c>
      <c r="Y588" s="28">
        <v>0</v>
      </c>
      <c r="Z588" s="196">
        <v>-3.6795847003540418E-3</v>
      </c>
      <c r="AA588" s="196">
        <v>-5.6608995390062179E-2</v>
      </c>
      <c r="AB588" s="28">
        <v>0</v>
      </c>
      <c r="AC588" s="28">
        <v>0</v>
      </c>
      <c r="AD588" s="28" t="s">
        <v>377</v>
      </c>
    </row>
    <row r="589" spans="2:31" ht="14.25" customHeight="1" x14ac:dyDescent="0.2">
      <c r="B589" s="7">
        <f t="shared" si="32"/>
        <v>565</v>
      </c>
      <c r="C589" s="28">
        <v>3</v>
      </c>
      <c r="D589" s="28">
        <v>1</v>
      </c>
      <c r="E589" s="31">
        <v>6</v>
      </c>
      <c r="F589" s="96">
        <v>2020</v>
      </c>
      <c r="G589" s="28">
        <v>2029</v>
      </c>
      <c r="H589" s="28">
        <v>6</v>
      </c>
      <c r="I589" s="28">
        <v>0</v>
      </c>
      <c r="J589" s="28">
        <v>0</v>
      </c>
      <c r="K589" s="156">
        <v>3.1</v>
      </c>
      <c r="L589" s="156">
        <v>0.61784562846133972</v>
      </c>
      <c r="M589" s="156">
        <v>0.16513328615239442</v>
      </c>
      <c r="N589" s="151">
        <v>1150</v>
      </c>
      <c r="O589" s="151">
        <v>950</v>
      </c>
      <c r="P589" s="95">
        <f t="array" ref="P589">ROUND(IF($F589&lt;='TaxCred&amp;Subs'!$C$49,(IF($C589=2,IF($M589&gt;=IFERROR(INDEX('TaxCred&amp;Subs'!$L$12:$L$47,MATCH(1,($C589&amp;$D589='TaxCred&amp;Subs'!$E$12:$E$47)*($F589='TaxCred&amp;Subs'!$C$12:$C$47),0)
),9999),IFERROR(INDEX('TaxCred&amp;Subs'!$N$12:$N$47,MATCH(1,($C589&amp;$D589='TaxCred&amp;Subs'!$E$12:$E$47)*($F589='TaxCred&amp;Subs'!$C$12:$C$47),0)
),0),0),(IF($M589&gt;=IFERROR(INDEX('TaxCred&amp;Subs'!$H$12:$H$47,MATCH(1,($C589&amp;$D589='TaxCred&amp;Subs'!$D$12:$D$47)*($F589='TaxCred&amp;Subs'!$C$12:$C$47),0)
),9999),IFERROR(INDEX('TaxCred&amp;Subs'!$N$12:$N$47,MATCH(1,($C589&amp;$D589='TaxCred&amp;Subs'!$D$12:$D$47)*($F589='TaxCred&amp;Subs'!$C$12:$C$47),0)
),0),0)))),0)+IF(AND($C589=2,VALUE(RIGHT($AD589,1))&gt;2),(N589-R589)*(IFERROR(INDEX('TaxCred&amp;Subs'!$J$66:$J$99,MATCH(1,($C589&amp;$D589='TaxCred&amp;Subs'!$E$66:$E$99)*($F589='TaxCred&amp;Subs'!$C$66:$C$99),0)),0)),IF(AND($C589=1,VALUE(RIGHT($AD589,1))&gt;2),(N589-R589)*(IFERROR(INDEX('TaxCred&amp;Subs'!$J$66:$J$99,MATCH(1,($C589&amp;$D589='TaxCred&amp;Subs'!$D$66:$D$99)*($F589='TaxCred&amp;Subs'!$C$66:$C$99),0)),0)),IF($C589&gt;2,(N589-R589)*(IFERROR(INDEX('TaxCred&amp;Subs'!$J$66:$J$99,MATCH(1,($C589&amp;$D589='TaxCred&amp;Subs'!$D$66:$D$99)*($F589='TaxCred&amp;Subs'!$C$66:$C$99),0)),0)),0))),0)</f>
        <v>0</v>
      </c>
      <c r="Q589" s="95">
        <f t="array" ref="Q589">ROUND(IF(AND($C589=2,VALUE(RIGHT($AD589,1))&gt;2),(O589-S589)*(IFERROR(INDEX('TaxCred&amp;Subs'!$J$66:$J$99,MATCH(1,($C589&amp;$D589='TaxCred&amp;Subs'!$E$66:$E$99)*($F589='TaxCred&amp;Subs'!$C$66:$C$99),0)),0)),IF(AND($C589=1,VALUE(RIGHT($AD589,1))&gt;2),(O589-S589)*(IFERROR(INDEX('TaxCred&amp;Subs'!$J$66:$J$99,MATCH(1,($C589&amp;$D589='TaxCred&amp;Subs'!$D$66:$D$99)*($F589='TaxCred&amp;Subs'!$C$66:$C$99),0)),0)),IF($C589&gt;2,(O589-S589)*(IFERROR(INDEX('TaxCred&amp;Subs'!$J$66:$J$99,MATCH(1,($C589&amp;$D589='TaxCred&amp;Subs'!$D$66:$D$99)*($F589='TaxCred&amp;Subs'!$C$66:$C$99),0)),0)),0))),0)</f>
        <v>0</v>
      </c>
      <c r="R589" s="95">
        <f t="array" ref="R589">ROUND(IF(IFERROR(VALUE(RIGHT($AD589,1)),0)&gt;2,IF($C589=8,N589*IFERROR(INDEX('TaxCred&amp;Subs'!$K$139:$S$151,MATCH($C589&amp;$D589&amp;LEFT($AD589,7),'TaxCred&amp;Subs'!$E$139:$E$151,0),MATCH($H589,'TaxCred&amp;Subs'!$K$137:$S$137,0)),0),IF($C589=2,N589*IFERROR(INDEX('TaxCred&amp;Subs'!$K$139:$S$151,MATCH($C589&amp;$D589,'TaxCred&amp;Subs'!$D$139:$D$151,0),MATCH($H589,'TaxCred&amp;Subs'!$K$137:$S$137,0)),0),N589*IFERROR(INDEX('TaxCred&amp;Subs'!$K$139:$S$151,MATCH($C589&amp;$D589,'TaxCred&amp;Subs'!$C$139:$C$151,0),MATCH($H589,'TaxCred&amp;Subs'!$K$137:$S$137,0)),0))),0),0)</f>
        <v>49</v>
      </c>
      <c r="S589" s="95">
        <f t="array" ref="S589">ROUND(IF(IFERROR(VALUE(RIGHT($AD589,1)),0)&gt;2,IF($C589=8,O589*IFERROR(INDEX('TaxCred&amp;Subs'!$K$139:$S$151,MATCH($C589&amp;$D589&amp;LEFT($AD589,7),'TaxCred&amp;Subs'!$E$139:$E$151,0),MATCH($H589,'TaxCred&amp;Subs'!$K$137:$S$137,0)),0),IF($C589=2,O589*IFERROR(INDEX('TaxCred&amp;Subs'!$K$139:$S$151,MATCH($C589&amp;$D589,'TaxCred&amp;Subs'!$D$139:$D$151,0),MATCH($H589,'TaxCred&amp;Subs'!$K$137:$S$137,0)),0),O589*IFERROR(INDEX('TaxCred&amp;Subs'!$K$139:$S$151,MATCH($C589&amp;$D589,'TaxCred&amp;Subs'!$C$139:$C$151,0),MATCH($H589,'TaxCred&amp;Subs'!$K$137:$S$137,0)),0))),0),0)</f>
        <v>40</v>
      </c>
      <c r="T589" s="95">
        <f t="shared" si="33"/>
        <v>0</v>
      </c>
      <c r="U589" s="95">
        <f t="shared" si="34"/>
        <v>0</v>
      </c>
      <c r="V589" s="28" t="s">
        <v>222</v>
      </c>
      <c r="W589" s="31">
        <v>2020</v>
      </c>
      <c r="X589" s="28">
        <v>1</v>
      </c>
      <c r="Y589" s="28">
        <v>0</v>
      </c>
      <c r="Z589" s="196">
        <v>-3.6795847003540418E-3</v>
      </c>
      <c r="AA589" s="196">
        <v>-5.6608995390062179E-2</v>
      </c>
      <c r="AB589" s="28">
        <v>0</v>
      </c>
      <c r="AC589" s="28">
        <v>0</v>
      </c>
      <c r="AD589" s="28" t="s">
        <v>377</v>
      </c>
    </row>
    <row r="590" spans="2:31" ht="14.25" customHeight="1" x14ac:dyDescent="0.2">
      <c r="B590" s="7">
        <f t="shared" si="32"/>
        <v>566</v>
      </c>
      <c r="C590" s="28">
        <v>3</v>
      </c>
      <c r="D590" s="28">
        <v>1</v>
      </c>
      <c r="E590" s="31">
        <v>6</v>
      </c>
      <c r="F590" s="96">
        <v>2020</v>
      </c>
      <c r="G590" s="28">
        <v>2029</v>
      </c>
      <c r="H590" s="28">
        <v>7</v>
      </c>
      <c r="I590" s="28">
        <v>0</v>
      </c>
      <c r="J590" s="28">
        <v>0</v>
      </c>
      <c r="K590" s="156">
        <v>3.1</v>
      </c>
      <c r="L590" s="156">
        <v>0.61784562846133972</v>
      </c>
      <c r="M590" s="156">
        <v>0.16513328615239442</v>
      </c>
      <c r="N590" s="151">
        <v>1150</v>
      </c>
      <c r="O590" s="151">
        <v>950</v>
      </c>
      <c r="P590" s="95">
        <f t="array" ref="P590">ROUND(IF($F590&lt;='TaxCred&amp;Subs'!$C$49,(IF($C590=2,IF($M590&gt;=IFERROR(INDEX('TaxCred&amp;Subs'!$L$12:$L$47,MATCH(1,($C590&amp;$D590='TaxCred&amp;Subs'!$E$12:$E$47)*($F590='TaxCred&amp;Subs'!$C$12:$C$47),0)
),9999),IFERROR(INDEX('TaxCred&amp;Subs'!$N$12:$N$47,MATCH(1,($C590&amp;$D590='TaxCred&amp;Subs'!$E$12:$E$47)*($F590='TaxCred&amp;Subs'!$C$12:$C$47),0)
),0),0),(IF($M590&gt;=IFERROR(INDEX('TaxCred&amp;Subs'!$H$12:$H$47,MATCH(1,($C590&amp;$D590='TaxCred&amp;Subs'!$D$12:$D$47)*($F590='TaxCred&amp;Subs'!$C$12:$C$47),0)
),9999),IFERROR(INDEX('TaxCred&amp;Subs'!$N$12:$N$47,MATCH(1,($C590&amp;$D590='TaxCred&amp;Subs'!$D$12:$D$47)*($F590='TaxCred&amp;Subs'!$C$12:$C$47),0)
),0),0)))),0)+IF(AND($C590=2,VALUE(RIGHT($AD590,1))&gt;2),(N590-R590)*(IFERROR(INDEX('TaxCred&amp;Subs'!$J$66:$J$99,MATCH(1,($C590&amp;$D590='TaxCred&amp;Subs'!$E$66:$E$99)*($F590='TaxCred&amp;Subs'!$C$66:$C$99),0)),0)),IF(AND($C590=1,VALUE(RIGHT($AD590,1))&gt;2),(N590-R590)*(IFERROR(INDEX('TaxCred&amp;Subs'!$J$66:$J$99,MATCH(1,($C590&amp;$D590='TaxCred&amp;Subs'!$D$66:$D$99)*($F590='TaxCred&amp;Subs'!$C$66:$C$99),0)),0)),IF($C590&gt;2,(N590-R590)*(IFERROR(INDEX('TaxCred&amp;Subs'!$J$66:$J$99,MATCH(1,($C590&amp;$D590='TaxCred&amp;Subs'!$D$66:$D$99)*($F590='TaxCred&amp;Subs'!$C$66:$C$99),0)),0)),0))),0)</f>
        <v>0</v>
      </c>
      <c r="Q590" s="95">
        <f t="array" ref="Q590">ROUND(IF(AND($C590=2,VALUE(RIGHT($AD590,1))&gt;2),(O590-S590)*(IFERROR(INDEX('TaxCred&amp;Subs'!$J$66:$J$99,MATCH(1,($C590&amp;$D590='TaxCred&amp;Subs'!$E$66:$E$99)*($F590='TaxCred&amp;Subs'!$C$66:$C$99),0)),0)),IF(AND($C590=1,VALUE(RIGHT($AD590,1))&gt;2),(O590-S590)*(IFERROR(INDEX('TaxCred&amp;Subs'!$J$66:$J$99,MATCH(1,($C590&amp;$D590='TaxCred&amp;Subs'!$D$66:$D$99)*($F590='TaxCred&amp;Subs'!$C$66:$C$99),0)),0)),IF($C590&gt;2,(O590-S590)*(IFERROR(INDEX('TaxCred&amp;Subs'!$J$66:$J$99,MATCH(1,($C590&amp;$D590='TaxCred&amp;Subs'!$D$66:$D$99)*($F590='TaxCred&amp;Subs'!$C$66:$C$99),0)),0)),0))),0)</f>
        <v>0</v>
      </c>
      <c r="R590" s="95">
        <f t="array" ref="R590">ROUND(IF(IFERROR(VALUE(RIGHT($AD590,1)),0)&gt;2,IF($C590=8,N590*IFERROR(INDEX('TaxCred&amp;Subs'!$K$139:$S$151,MATCH($C590&amp;$D590&amp;LEFT($AD590,7),'TaxCred&amp;Subs'!$E$139:$E$151,0),MATCH($H590,'TaxCred&amp;Subs'!$K$137:$S$137,0)),0),IF($C590=2,N590*IFERROR(INDEX('TaxCred&amp;Subs'!$K$139:$S$151,MATCH($C590&amp;$D590,'TaxCred&amp;Subs'!$D$139:$D$151,0),MATCH($H590,'TaxCred&amp;Subs'!$K$137:$S$137,0)),0),N590*IFERROR(INDEX('TaxCred&amp;Subs'!$K$139:$S$151,MATCH($C590&amp;$D590,'TaxCred&amp;Subs'!$C$139:$C$151,0),MATCH($H590,'TaxCred&amp;Subs'!$K$137:$S$137,0)),0))),0),0)</f>
        <v>64</v>
      </c>
      <c r="S590" s="95">
        <f t="array" ref="S590">ROUND(IF(IFERROR(VALUE(RIGHT($AD590,1)),0)&gt;2,IF($C590=8,O590*IFERROR(INDEX('TaxCred&amp;Subs'!$K$139:$S$151,MATCH($C590&amp;$D590&amp;LEFT($AD590,7),'TaxCred&amp;Subs'!$E$139:$E$151,0),MATCH($H590,'TaxCred&amp;Subs'!$K$137:$S$137,0)),0),IF($C590=2,O590*IFERROR(INDEX('TaxCred&amp;Subs'!$K$139:$S$151,MATCH($C590&amp;$D590,'TaxCred&amp;Subs'!$D$139:$D$151,0),MATCH($H590,'TaxCred&amp;Subs'!$K$137:$S$137,0)),0),O590*IFERROR(INDEX('TaxCred&amp;Subs'!$K$139:$S$151,MATCH($C590&amp;$D590,'TaxCred&amp;Subs'!$C$139:$C$151,0),MATCH($H590,'TaxCred&amp;Subs'!$K$137:$S$137,0)),0))),0),0)</f>
        <v>53</v>
      </c>
      <c r="T590" s="95">
        <f t="shared" si="33"/>
        <v>0</v>
      </c>
      <c r="U590" s="95">
        <f t="shared" si="34"/>
        <v>0</v>
      </c>
      <c r="V590" s="28" t="s">
        <v>222</v>
      </c>
      <c r="W590" s="31">
        <v>2020</v>
      </c>
      <c r="X590" s="28">
        <v>1</v>
      </c>
      <c r="Y590" s="28">
        <v>0</v>
      </c>
      <c r="Z590" s="196">
        <v>-3.6795847003540418E-3</v>
      </c>
      <c r="AA590" s="196">
        <v>-5.6608995390062179E-2</v>
      </c>
      <c r="AB590" s="28">
        <v>0</v>
      </c>
      <c r="AC590" s="28">
        <v>0</v>
      </c>
      <c r="AD590" s="28" t="s">
        <v>377</v>
      </c>
    </row>
    <row r="591" spans="2:31" ht="14.25" customHeight="1" x14ac:dyDescent="0.2">
      <c r="B591" s="7">
        <f t="shared" si="32"/>
        <v>567</v>
      </c>
      <c r="C591" s="28">
        <v>3</v>
      </c>
      <c r="D591" s="28">
        <v>1</v>
      </c>
      <c r="E591" s="31">
        <v>6</v>
      </c>
      <c r="F591" s="96">
        <v>2020</v>
      </c>
      <c r="G591" s="28">
        <v>2029</v>
      </c>
      <c r="H591" s="28">
        <v>8</v>
      </c>
      <c r="I591" s="28">
        <v>0</v>
      </c>
      <c r="J591" s="28">
        <v>0</v>
      </c>
      <c r="K591" s="156">
        <v>3.1</v>
      </c>
      <c r="L591" s="156">
        <v>0.61784562846133972</v>
      </c>
      <c r="M591" s="156">
        <v>0.16513328615239442</v>
      </c>
      <c r="N591" s="151">
        <v>1150</v>
      </c>
      <c r="O591" s="151">
        <v>950</v>
      </c>
      <c r="P591" s="95">
        <f t="array" ref="P591">ROUND(IF($F591&lt;='TaxCred&amp;Subs'!$C$49,(IF($C591=2,IF($M591&gt;=IFERROR(INDEX('TaxCred&amp;Subs'!$L$12:$L$47,MATCH(1,($C591&amp;$D591='TaxCred&amp;Subs'!$E$12:$E$47)*($F591='TaxCred&amp;Subs'!$C$12:$C$47),0)
),9999),IFERROR(INDEX('TaxCred&amp;Subs'!$N$12:$N$47,MATCH(1,($C591&amp;$D591='TaxCred&amp;Subs'!$E$12:$E$47)*($F591='TaxCred&amp;Subs'!$C$12:$C$47),0)
),0),0),(IF($M591&gt;=IFERROR(INDEX('TaxCred&amp;Subs'!$H$12:$H$47,MATCH(1,($C591&amp;$D591='TaxCred&amp;Subs'!$D$12:$D$47)*($F591='TaxCred&amp;Subs'!$C$12:$C$47),0)
),9999),IFERROR(INDEX('TaxCred&amp;Subs'!$N$12:$N$47,MATCH(1,($C591&amp;$D591='TaxCred&amp;Subs'!$D$12:$D$47)*($F591='TaxCred&amp;Subs'!$C$12:$C$47),0)
),0),0)))),0)+IF(AND($C591=2,VALUE(RIGHT($AD591,1))&gt;2),(N591-R591)*(IFERROR(INDEX('TaxCred&amp;Subs'!$J$66:$J$99,MATCH(1,($C591&amp;$D591='TaxCred&amp;Subs'!$E$66:$E$99)*($F591='TaxCred&amp;Subs'!$C$66:$C$99),0)),0)),IF(AND($C591=1,VALUE(RIGHT($AD591,1))&gt;2),(N591-R591)*(IFERROR(INDEX('TaxCred&amp;Subs'!$J$66:$J$99,MATCH(1,($C591&amp;$D591='TaxCred&amp;Subs'!$D$66:$D$99)*($F591='TaxCred&amp;Subs'!$C$66:$C$99),0)),0)),IF($C591&gt;2,(N591-R591)*(IFERROR(INDEX('TaxCred&amp;Subs'!$J$66:$J$99,MATCH(1,($C591&amp;$D591='TaxCred&amp;Subs'!$D$66:$D$99)*($F591='TaxCred&amp;Subs'!$C$66:$C$99),0)),0)),0))),0)</f>
        <v>0</v>
      </c>
      <c r="Q591" s="95">
        <f t="array" ref="Q591">ROUND(IF(AND($C591=2,VALUE(RIGHT($AD591,1))&gt;2),(O591-S591)*(IFERROR(INDEX('TaxCred&amp;Subs'!$J$66:$J$99,MATCH(1,($C591&amp;$D591='TaxCred&amp;Subs'!$E$66:$E$99)*($F591='TaxCred&amp;Subs'!$C$66:$C$99),0)),0)),IF(AND($C591=1,VALUE(RIGHT($AD591,1))&gt;2),(O591-S591)*(IFERROR(INDEX('TaxCred&amp;Subs'!$J$66:$J$99,MATCH(1,($C591&amp;$D591='TaxCred&amp;Subs'!$D$66:$D$99)*($F591='TaxCred&amp;Subs'!$C$66:$C$99),0)),0)),IF($C591&gt;2,(O591-S591)*(IFERROR(INDEX('TaxCred&amp;Subs'!$J$66:$J$99,MATCH(1,($C591&amp;$D591='TaxCred&amp;Subs'!$D$66:$D$99)*($F591='TaxCred&amp;Subs'!$C$66:$C$99),0)),0)),0))),0)</f>
        <v>0</v>
      </c>
      <c r="R591" s="95">
        <f t="array" ref="R591">ROUND(IF(IFERROR(VALUE(RIGHT($AD591,1)),0)&gt;2,IF($C591=8,N591*IFERROR(INDEX('TaxCred&amp;Subs'!$K$139:$S$151,MATCH($C591&amp;$D591&amp;LEFT($AD591,7),'TaxCred&amp;Subs'!$E$139:$E$151,0),MATCH($H591,'TaxCred&amp;Subs'!$K$137:$S$137,0)),0),IF($C591=2,N591*IFERROR(INDEX('TaxCred&amp;Subs'!$K$139:$S$151,MATCH($C591&amp;$D591,'TaxCred&amp;Subs'!$D$139:$D$151,0),MATCH($H591,'TaxCred&amp;Subs'!$K$137:$S$137,0)),0),N591*IFERROR(INDEX('TaxCred&amp;Subs'!$K$139:$S$151,MATCH($C591&amp;$D591,'TaxCred&amp;Subs'!$C$139:$C$151,0),MATCH($H591,'TaxCred&amp;Subs'!$K$137:$S$137,0)),0))),0),0)</f>
        <v>52</v>
      </c>
      <c r="S591" s="95">
        <f t="array" ref="S591">ROUND(IF(IFERROR(VALUE(RIGHT($AD591,1)),0)&gt;2,IF($C591=8,O591*IFERROR(INDEX('TaxCred&amp;Subs'!$K$139:$S$151,MATCH($C591&amp;$D591&amp;LEFT($AD591,7),'TaxCred&amp;Subs'!$E$139:$E$151,0),MATCH($H591,'TaxCred&amp;Subs'!$K$137:$S$137,0)),0),IF($C591=2,O591*IFERROR(INDEX('TaxCred&amp;Subs'!$K$139:$S$151,MATCH($C591&amp;$D591,'TaxCred&amp;Subs'!$D$139:$D$151,0),MATCH($H591,'TaxCred&amp;Subs'!$K$137:$S$137,0)),0),O591*IFERROR(INDEX('TaxCred&amp;Subs'!$K$139:$S$151,MATCH($C591&amp;$D591,'TaxCred&amp;Subs'!$C$139:$C$151,0),MATCH($H591,'TaxCred&amp;Subs'!$K$137:$S$137,0)),0))),0),0)</f>
        <v>43</v>
      </c>
      <c r="T591" s="95">
        <f t="shared" si="33"/>
        <v>0</v>
      </c>
      <c r="U591" s="95">
        <f t="shared" si="34"/>
        <v>0</v>
      </c>
      <c r="V591" s="28" t="s">
        <v>222</v>
      </c>
      <c r="W591" s="31">
        <v>2020</v>
      </c>
      <c r="X591" s="28">
        <v>1</v>
      </c>
      <c r="Y591" s="28">
        <v>0</v>
      </c>
      <c r="Z591" s="196">
        <v>-3.6795847003540418E-3</v>
      </c>
      <c r="AA591" s="196">
        <v>-5.6608995390062179E-2</v>
      </c>
      <c r="AB591" s="28">
        <v>0</v>
      </c>
      <c r="AC591" s="28">
        <v>0</v>
      </c>
      <c r="AD591" s="28" t="s">
        <v>377</v>
      </c>
    </row>
    <row r="592" spans="2:31" ht="14.25" customHeight="1" x14ac:dyDescent="0.2">
      <c r="B592" s="7">
        <f t="shared" si="32"/>
        <v>568</v>
      </c>
      <c r="C592" s="28">
        <v>3</v>
      </c>
      <c r="D592" s="28">
        <v>1</v>
      </c>
      <c r="E592" s="31">
        <v>6</v>
      </c>
      <c r="F592" s="96">
        <v>2020</v>
      </c>
      <c r="G592" s="28">
        <v>2029</v>
      </c>
      <c r="H592" s="28">
        <v>9</v>
      </c>
      <c r="I592" s="28">
        <v>0</v>
      </c>
      <c r="J592" s="28">
        <v>0</v>
      </c>
      <c r="K592" s="156">
        <v>3.1</v>
      </c>
      <c r="L592" s="156">
        <v>0.61784562846133972</v>
      </c>
      <c r="M592" s="156">
        <v>0.16513328615239442</v>
      </c>
      <c r="N592" s="151">
        <v>1150</v>
      </c>
      <c r="O592" s="151">
        <v>950</v>
      </c>
      <c r="P592" s="95">
        <f t="array" ref="P592">ROUND(IF($F592&lt;='TaxCred&amp;Subs'!$C$49,(IF($C592=2,IF($M592&gt;=IFERROR(INDEX('TaxCred&amp;Subs'!$L$12:$L$47,MATCH(1,($C592&amp;$D592='TaxCred&amp;Subs'!$E$12:$E$47)*($F592='TaxCred&amp;Subs'!$C$12:$C$47),0)
),9999),IFERROR(INDEX('TaxCred&amp;Subs'!$N$12:$N$47,MATCH(1,($C592&amp;$D592='TaxCred&amp;Subs'!$E$12:$E$47)*($F592='TaxCred&amp;Subs'!$C$12:$C$47),0)
),0),0),(IF($M592&gt;=IFERROR(INDEX('TaxCred&amp;Subs'!$H$12:$H$47,MATCH(1,($C592&amp;$D592='TaxCred&amp;Subs'!$D$12:$D$47)*($F592='TaxCred&amp;Subs'!$C$12:$C$47),0)
),9999),IFERROR(INDEX('TaxCred&amp;Subs'!$N$12:$N$47,MATCH(1,($C592&amp;$D592='TaxCred&amp;Subs'!$D$12:$D$47)*($F592='TaxCred&amp;Subs'!$C$12:$C$47),0)
),0),0)))),0)+IF(AND($C592=2,VALUE(RIGHT($AD592,1))&gt;2),(N592-R592)*(IFERROR(INDEX('TaxCred&amp;Subs'!$J$66:$J$99,MATCH(1,($C592&amp;$D592='TaxCred&amp;Subs'!$E$66:$E$99)*($F592='TaxCred&amp;Subs'!$C$66:$C$99),0)),0)),IF(AND($C592=1,VALUE(RIGHT($AD592,1))&gt;2),(N592-R592)*(IFERROR(INDEX('TaxCred&amp;Subs'!$J$66:$J$99,MATCH(1,($C592&amp;$D592='TaxCred&amp;Subs'!$D$66:$D$99)*($F592='TaxCred&amp;Subs'!$C$66:$C$99),0)),0)),IF($C592&gt;2,(N592-R592)*(IFERROR(INDEX('TaxCred&amp;Subs'!$J$66:$J$99,MATCH(1,($C592&amp;$D592='TaxCred&amp;Subs'!$D$66:$D$99)*($F592='TaxCred&amp;Subs'!$C$66:$C$99),0)),0)),0))),0)</f>
        <v>0</v>
      </c>
      <c r="Q592" s="95">
        <f t="array" ref="Q592">ROUND(IF(AND($C592=2,VALUE(RIGHT($AD592,1))&gt;2),(O592-S592)*(IFERROR(INDEX('TaxCred&amp;Subs'!$J$66:$J$99,MATCH(1,($C592&amp;$D592='TaxCred&amp;Subs'!$E$66:$E$99)*($F592='TaxCred&amp;Subs'!$C$66:$C$99),0)),0)),IF(AND($C592=1,VALUE(RIGHT($AD592,1))&gt;2),(O592-S592)*(IFERROR(INDEX('TaxCred&amp;Subs'!$J$66:$J$99,MATCH(1,($C592&amp;$D592='TaxCred&amp;Subs'!$D$66:$D$99)*($F592='TaxCred&amp;Subs'!$C$66:$C$99),0)),0)),IF($C592&gt;2,(O592-S592)*(IFERROR(INDEX('TaxCred&amp;Subs'!$J$66:$J$99,MATCH(1,($C592&amp;$D592='TaxCred&amp;Subs'!$D$66:$D$99)*($F592='TaxCred&amp;Subs'!$C$66:$C$99),0)),0)),0))),0)</f>
        <v>0</v>
      </c>
      <c r="R592" s="95">
        <f t="array" ref="R592">ROUND(IF(IFERROR(VALUE(RIGHT($AD592,1)),0)&gt;2,IF($C592=8,N592*IFERROR(INDEX('TaxCred&amp;Subs'!$K$139:$S$151,MATCH($C592&amp;$D592&amp;LEFT($AD592,7),'TaxCred&amp;Subs'!$E$139:$E$151,0),MATCH($H592,'TaxCred&amp;Subs'!$K$137:$S$137,0)),0),IF($C592=2,N592*IFERROR(INDEX('TaxCred&amp;Subs'!$K$139:$S$151,MATCH($C592&amp;$D592,'TaxCred&amp;Subs'!$D$139:$D$151,0),MATCH($H592,'TaxCred&amp;Subs'!$K$137:$S$137,0)),0),N592*IFERROR(INDEX('TaxCred&amp;Subs'!$K$139:$S$151,MATCH($C592&amp;$D592,'TaxCred&amp;Subs'!$C$139:$C$151,0),MATCH($H592,'TaxCred&amp;Subs'!$K$137:$S$137,0)),0))),0),0)</f>
        <v>102</v>
      </c>
      <c r="S592" s="95">
        <f t="array" ref="S592">ROUND(IF(IFERROR(VALUE(RIGHT($AD592,1)),0)&gt;2,IF($C592=8,O592*IFERROR(INDEX('TaxCred&amp;Subs'!$K$139:$S$151,MATCH($C592&amp;$D592&amp;LEFT($AD592,7),'TaxCred&amp;Subs'!$E$139:$E$151,0),MATCH($H592,'TaxCred&amp;Subs'!$K$137:$S$137,0)),0),IF($C592=2,O592*IFERROR(INDEX('TaxCred&amp;Subs'!$K$139:$S$151,MATCH($C592&amp;$D592,'TaxCred&amp;Subs'!$D$139:$D$151,0),MATCH($H592,'TaxCred&amp;Subs'!$K$137:$S$137,0)),0),O592*IFERROR(INDEX('TaxCred&amp;Subs'!$K$139:$S$151,MATCH($C592&amp;$D592,'TaxCred&amp;Subs'!$C$139:$C$151,0),MATCH($H592,'TaxCred&amp;Subs'!$K$137:$S$137,0)),0))),0),0)</f>
        <v>84</v>
      </c>
      <c r="T592" s="172">
        <f t="shared" si="33"/>
        <v>172.5</v>
      </c>
      <c r="U592" s="172">
        <f t="shared" si="34"/>
        <v>142.5</v>
      </c>
      <c r="V592" s="28" t="s">
        <v>222</v>
      </c>
      <c r="W592" s="31">
        <v>2020</v>
      </c>
      <c r="X592" s="28">
        <v>1</v>
      </c>
      <c r="Y592" s="28">
        <v>0</v>
      </c>
      <c r="Z592" s="196">
        <v>-3.6795847003540418E-3</v>
      </c>
      <c r="AA592" s="196">
        <v>-5.6608995390062179E-2</v>
      </c>
      <c r="AB592" s="28">
        <v>0</v>
      </c>
      <c r="AC592" s="28">
        <v>0</v>
      </c>
      <c r="AD592" s="28" t="s">
        <v>377</v>
      </c>
    </row>
    <row r="593" spans="2:31" ht="14.25" customHeight="1" x14ac:dyDescent="0.2">
      <c r="B593" s="7">
        <f t="shared" si="32"/>
        <v>569</v>
      </c>
      <c r="C593" s="28">
        <v>4</v>
      </c>
      <c r="D593" s="28">
        <v>1</v>
      </c>
      <c r="E593" s="28">
        <v>1</v>
      </c>
      <c r="F593" s="96">
        <v>2020</v>
      </c>
      <c r="G593" s="31">
        <v>2026</v>
      </c>
      <c r="H593" s="28">
        <v>11</v>
      </c>
      <c r="I593" s="28">
        <v>0</v>
      </c>
      <c r="J593" s="28">
        <v>0</v>
      </c>
      <c r="K593" s="28">
        <v>0</v>
      </c>
      <c r="L593" s="151">
        <v>0</v>
      </c>
      <c r="M593" s="156">
        <v>0.70032573289902278</v>
      </c>
      <c r="N593" s="151">
        <v>490</v>
      </c>
      <c r="O593" s="151">
        <v>310</v>
      </c>
      <c r="P593" s="95">
        <f t="array" ref="P593">ROUND(IF($F593&lt;='TaxCred&amp;Subs'!$C$49,(IF($C593=2,IF($M593&gt;=IFERROR(INDEX('TaxCred&amp;Subs'!$L$12:$L$47,MATCH(1,($C593&amp;$D593='TaxCred&amp;Subs'!$E$12:$E$47)*($F593='TaxCred&amp;Subs'!$C$12:$C$47),0)
),9999),IFERROR(INDEX('TaxCred&amp;Subs'!$N$12:$N$47,MATCH(1,($C593&amp;$D593='TaxCred&amp;Subs'!$E$12:$E$47)*($F593='TaxCred&amp;Subs'!$C$12:$C$47),0)
),0),0),(IF($M593&gt;=IFERROR(INDEX('TaxCred&amp;Subs'!$H$12:$H$47,MATCH(1,($C593&amp;$D593='TaxCred&amp;Subs'!$D$12:$D$47)*($F593='TaxCred&amp;Subs'!$C$12:$C$47),0)
),9999),IFERROR(INDEX('TaxCred&amp;Subs'!$N$12:$N$47,MATCH(1,($C593&amp;$D593='TaxCred&amp;Subs'!$D$12:$D$47)*($F593='TaxCred&amp;Subs'!$C$12:$C$47),0)
),0),0)))),0)+IF(AND($C593=2,VALUE(RIGHT($AD593,1))&gt;2),(N593-R593)*(IFERROR(INDEX('TaxCred&amp;Subs'!$J$66:$J$99,MATCH(1,($C593&amp;$D593='TaxCred&amp;Subs'!$E$66:$E$99)*($F593='TaxCred&amp;Subs'!$C$66:$C$99),0)),0)),IF(AND($C593=1,VALUE(RIGHT($AD593,1))&gt;2),(N593-R593)*(IFERROR(INDEX('TaxCred&amp;Subs'!$J$66:$J$99,MATCH(1,($C593&amp;$D593='TaxCred&amp;Subs'!$D$66:$D$99)*($F593='TaxCred&amp;Subs'!$C$66:$C$99),0)),0)),IF($C593&gt;2,(N593-R593)*(IFERROR(INDEX('TaxCred&amp;Subs'!$J$66:$J$99,MATCH(1,($C593&amp;$D593='TaxCred&amp;Subs'!$D$66:$D$99)*($F593='TaxCred&amp;Subs'!$C$66:$C$99),0)),0)),0))),0)</f>
        <v>0</v>
      </c>
      <c r="Q593" s="95">
        <f t="array" ref="Q593">ROUND(IF(AND($C593=2,VALUE(RIGHT($AD593,1))&gt;2),(O593-S593)*(IFERROR(INDEX('TaxCred&amp;Subs'!$J$66:$J$99,MATCH(1,($C593&amp;$D593='TaxCred&amp;Subs'!$E$66:$E$99)*($F593='TaxCred&amp;Subs'!$C$66:$C$99),0)),0)),IF(AND($C593=1,VALUE(RIGHT($AD593,1))&gt;2),(O593-S593)*(IFERROR(INDEX('TaxCred&amp;Subs'!$J$66:$J$99,MATCH(1,($C593&amp;$D593='TaxCred&amp;Subs'!$D$66:$D$99)*($F593='TaxCred&amp;Subs'!$C$66:$C$99),0)),0)),IF($C593&gt;2,(O593-S593)*(IFERROR(INDEX('TaxCred&amp;Subs'!$J$66:$J$99,MATCH(1,($C593&amp;$D593='TaxCred&amp;Subs'!$D$66:$D$99)*($F593='TaxCred&amp;Subs'!$C$66:$C$99),0)),0)),0))),0)</f>
        <v>0</v>
      </c>
      <c r="R593" s="95">
        <f t="array" ref="R593">ROUND(IF(IFERROR(VALUE(RIGHT($AD593,1)),0)&gt;2,IF($C593=8,N593*IFERROR(INDEX('TaxCred&amp;Subs'!$K$139:$S$151,MATCH($C593&amp;$D593&amp;LEFT($AD593,7),'TaxCred&amp;Subs'!$E$139:$E$151,0),MATCH($H593,'TaxCred&amp;Subs'!$K$137:$S$137,0)),0),IF($C593=2,N593*IFERROR(INDEX('TaxCred&amp;Subs'!$K$139:$S$151,MATCH($C593&amp;$D593,'TaxCred&amp;Subs'!$D$139:$D$151,0),MATCH($H593,'TaxCred&amp;Subs'!$K$137:$S$137,0)),0),N593*IFERROR(INDEX('TaxCred&amp;Subs'!$K$139:$S$151,MATCH($C593&amp;$D593,'TaxCred&amp;Subs'!$C$139:$C$151,0),MATCH($H593,'TaxCred&amp;Subs'!$K$137:$S$137,0)),0))),0),0)</f>
        <v>0</v>
      </c>
      <c r="S593" s="95">
        <f t="array" ref="S593">ROUND(IF(IFERROR(VALUE(RIGHT($AD593,1)),0)&gt;2,IF($C593=8,O593*IFERROR(INDEX('TaxCred&amp;Subs'!$K$139:$S$151,MATCH($C593&amp;$D593&amp;LEFT($AD593,7),'TaxCred&amp;Subs'!$E$139:$E$151,0),MATCH($H593,'TaxCred&amp;Subs'!$K$137:$S$137,0)),0),IF($C593=2,O593*IFERROR(INDEX('TaxCred&amp;Subs'!$K$139:$S$151,MATCH($C593&amp;$D593,'TaxCred&amp;Subs'!$D$139:$D$151,0),MATCH($H593,'TaxCred&amp;Subs'!$K$137:$S$137,0)),0),O593*IFERROR(INDEX('TaxCred&amp;Subs'!$K$139:$S$151,MATCH($C593&amp;$D593,'TaxCred&amp;Subs'!$C$139:$C$151,0),MATCH($H593,'TaxCred&amp;Subs'!$K$137:$S$137,0)),0))),0),0)</f>
        <v>0</v>
      </c>
      <c r="T593" s="95">
        <f t="shared" si="33"/>
        <v>0</v>
      </c>
      <c r="U593" s="95">
        <f t="shared" si="34"/>
        <v>0</v>
      </c>
      <c r="V593" s="28" t="s">
        <v>222</v>
      </c>
      <c r="W593" s="31">
        <v>2020</v>
      </c>
      <c r="X593" s="28">
        <v>1</v>
      </c>
      <c r="Y593" s="28">
        <v>0</v>
      </c>
      <c r="Z593" s="196">
        <v>-4.7457091571723474E-2</v>
      </c>
      <c r="AA593" s="196">
        <v>-0.73010910110343807</v>
      </c>
      <c r="AB593" s="28">
        <v>0</v>
      </c>
      <c r="AC593" s="28">
        <v>0</v>
      </c>
      <c r="AD593" s="28" t="s">
        <v>366</v>
      </c>
    </row>
    <row r="594" spans="2:31" ht="14.25" customHeight="1" x14ac:dyDescent="0.2">
      <c r="B594" s="7">
        <f t="shared" si="32"/>
        <v>570</v>
      </c>
      <c r="C594" s="152">
        <v>4</v>
      </c>
      <c r="D594" s="152">
        <v>1</v>
      </c>
      <c r="E594" s="152">
        <v>1</v>
      </c>
      <c r="F594" s="153">
        <v>2027</v>
      </c>
      <c r="G594" s="152">
        <v>2050</v>
      </c>
      <c r="H594" s="152">
        <v>11</v>
      </c>
      <c r="I594" s="152">
        <v>0</v>
      </c>
      <c r="J594" s="152">
        <v>0</v>
      </c>
      <c r="K594" s="152">
        <v>0</v>
      </c>
      <c r="L594" s="155">
        <v>0</v>
      </c>
      <c r="M594" s="154">
        <v>0.9555555555555556</v>
      </c>
      <c r="N594" s="155">
        <v>690</v>
      </c>
      <c r="O594" s="155">
        <v>500</v>
      </c>
      <c r="P594" s="41">
        <f t="array" ref="P594">ROUND(IF($F594&lt;='TaxCred&amp;Subs'!$C$49,(IF($C594=2,IF($M594&gt;=IFERROR(INDEX('TaxCred&amp;Subs'!$L$12:$L$47,MATCH(1,($C594&amp;$D594='TaxCred&amp;Subs'!$E$12:$E$47)*($F594='TaxCred&amp;Subs'!$C$12:$C$47),0)
),9999),IFERROR(INDEX('TaxCred&amp;Subs'!$N$12:$N$47,MATCH(1,($C594&amp;$D594='TaxCred&amp;Subs'!$E$12:$E$47)*($F594='TaxCred&amp;Subs'!$C$12:$C$47),0)
),0),0),(IF($M594&gt;=IFERROR(INDEX('TaxCred&amp;Subs'!$H$12:$H$47,MATCH(1,($C594&amp;$D594='TaxCred&amp;Subs'!$D$12:$D$47)*($F594='TaxCred&amp;Subs'!$C$12:$C$47),0)
),9999),IFERROR(INDEX('TaxCred&amp;Subs'!$N$12:$N$47,MATCH(1,($C594&amp;$D594='TaxCred&amp;Subs'!$D$12:$D$47)*($F594='TaxCred&amp;Subs'!$C$12:$C$47),0)
),0),0)))),0)+IF(AND($C594=2,VALUE(RIGHT($AD594,1))&gt;2),(N594-R594)*(IFERROR(INDEX('TaxCred&amp;Subs'!$J$66:$J$99,MATCH(1,($C594&amp;$D594='TaxCred&amp;Subs'!$E$66:$E$99)*($F594='TaxCred&amp;Subs'!$C$66:$C$99),0)),0)),IF(AND($C594=1,VALUE(RIGHT($AD594,1))&gt;2),(N594-R594)*(IFERROR(INDEX('TaxCred&amp;Subs'!$J$66:$J$99,MATCH(1,($C594&amp;$D594='TaxCred&amp;Subs'!$D$66:$D$99)*($F594='TaxCred&amp;Subs'!$C$66:$C$99),0)),0)),IF($C594&gt;2,(N594-R594)*(IFERROR(INDEX('TaxCred&amp;Subs'!$J$66:$J$99,MATCH(1,($C594&amp;$D594='TaxCred&amp;Subs'!$D$66:$D$99)*($F594='TaxCred&amp;Subs'!$C$66:$C$99),0)),0)),0))),0)</f>
        <v>0</v>
      </c>
      <c r="Q594" s="41">
        <f t="array" ref="Q594">ROUND(IF(AND($C594=2,VALUE(RIGHT($AD594,1))&gt;2),(O594-S594)*(IFERROR(INDEX('TaxCred&amp;Subs'!$J$66:$J$99,MATCH(1,($C594&amp;$D594='TaxCred&amp;Subs'!$E$66:$E$99)*($F594='TaxCred&amp;Subs'!$C$66:$C$99),0)),0)),IF(AND($C594=1,VALUE(RIGHT($AD594,1))&gt;2),(O594-S594)*(IFERROR(INDEX('TaxCred&amp;Subs'!$J$66:$J$99,MATCH(1,($C594&amp;$D594='TaxCred&amp;Subs'!$D$66:$D$99)*($F594='TaxCred&amp;Subs'!$C$66:$C$99),0)),0)),IF($C594&gt;2,(O594-S594)*(IFERROR(INDEX('TaxCred&amp;Subs'!$J$66:$J$99,MATCH(1,($C594&amp;$D594='TaxCred&amp;Subs'!$D$66:$D$99)*($F594='TaxCred&amp;Subs'!$C$66:$C$99),0)),0)),0))),0)</f>
        <v>0</v>
      </c>
      <c r="R594" s="41">
        <f t="array" ref="R594">ROUND(IF(IFERROR(VALUE(RIGHT($AD594,1)),0)&gt;2,IF($C594=8,N594*IFERROR(INDEX('TaxCred&amp;Subs'!$K$139:$S$151,MATCH($C594&amp;$D594&amp;LEFT($AD594,7),'TaxCred&amp;Subs'!$E$139:$E$151,0),MATCH($H594,'TaxCred&amp;Subs'!$K$137:$S$137,0)),0),IF($C594=2,N594*IFERROR(INDEX('TaxCred&amp;Subs'!$K$139:$S$151,MATCH($C594&amp;$D594,'TaxCred&amp;Subs'!$D$139:$D$151,0),MATCH($H594,'TaxCred&amp;Subs'!$K$137:$S$137,0)),0),N594*IFERROR(INDEX('TaxCred&amp;Subs'!$K$139:$S$151,MATCH($C594&amp;$D594,'TaxCred&amp;Subs'!$C$139:$C$151,0),MATCH($H594,'TaxCred&amp;Subs'!$K$137:$S$137,0)),0))),0),0)</f>
        <v>0</v>
      </c>
      <c r="S594" s="41">
        <f t="array" ref="S594">ROUND(IF(IFERROR(VALUE(RIGHT($AD594,1)),0)&gt;2,IF($C594=8,O594*IFERROR(INDEX('TaxCred&amp;Subs'!$K$139:$S$151,MATCH($C594&amp;$D594&amp;LEFT($AD594,7),'TaxCred&amp;Subs'!$E$139:$E$151,0),MATCH($H594,'TaxCred&amp;Subs'!$K$137:$S$137,0)),0),IF($C594=2,O594*IFERROR(INDEX('TaxCred&amp;Subs'!$K$139:$S$151,MATCH($C594&amp;$D594,'TaxCred&amp;Subs'!$D$139:$D$151,0),MATCH($H594,'TaxCred&amp;Subs'!$K$137:$S$137,0)),0),O594*IFERROR(INDEX('TaxCred&amp;Subs'!$K$139:$S$151,MATCH($C594&amp;$D594,'TaxCred&amp;Subs'!$C$139:$C$151,0),MATCH($H594,'TaxCred&amp;Subs'!$K$137:$S$137,0)),0))),0),0)</f>
        <v>0</v>
      </c>
      <c r="T594" s="41">
        <f t="shared" si="33"/>
        <v>0</v>
      </c>
      <c r="U594" s="41">
        <f t="shared" si="34"/>
        <v>0</v>
      </c>
      <c r="V594" s="152" t="s">
        <v>222</v>
      </c>
      <c r="W594" s="152">
        <v>2020</v>
      </c>
      <c r="X594" s="152">
        <v>1</v>
      </c>
      <c r="Y594" s="152">
        <v>0</v>
      </c>
      <c r="Z594" s="194">
        <v>-4.7457091571723474E-2</v>
      </c>
      <c r="AA594" s="194">
        <v>-0.73010910110343807</v>
      </c>
      <c r="AB594" s="152">
        <v>0</v>
      </c>
      <c r="AC594" s="152">
        <v>0</v>
      </c>
      <c r="AD594" s="152" t="s">
        <v>366</v>
      </c>
    </row>
    <row r="595" spans="2:31" ht="14.25" customHeight="1" x14ac:dyDescent="0.2">
      <c r="B595" s="7">
        <f t="shared" si="32"/>
        <v>571</v>
      </c>
      <c r="C595" s="28">
        <v>4</v>
      </c>
      <c r="D595" s="28">
        <v>1</v>
      </c>
      <c r="E595" s="31">
        <v>2</v>
      </c>
      <c r="F595" s="96">
        <v>2020</v>
      </c>
      <c r="G595" s="31">
        <v>2022</v>
      </c>
      <c r="H595" s="28">
        <v>11</v>
      </c>
      <c r="I595" s="28">
        <v>0</v>
      </c>
      <c r="J595" s="28">
        <v>0</v>
      </c>
      <c r="K595" s="28">
        <v>0</v>
      </c>
      <c r="L595" s="151">
        <v>0</v>
      </c>
      <c r="M595" s="156">
        <v>0.79629629629629628</v>
      </c>
      <c r="N595" s="151">
        <v>520</v>
      </c>
      <c r="O595" s="151">
        <v>340</v>
      </c>
      <c r="P595" s="95">
        <f t="array" ref="P595">ROUND(IF($F595&lt;='TaxCred&amp;Subs'!$C$49,(IF($C595=2,IF($M595&gt;=IFERROR(INDEX('TaxCred&amp;Subs'!$L$12:$L$47,MATCH(1,($C595&amp;$D595='TaxCred&amp;Subs'!$E$12:$E$47)*($F595='TaxCred&amp;Subs'!$C$12:$C$47),0)
),9999),IFERROR(INDEX('TaxCred&amp;Subs'!$N$12:$N$47,MATCH(1,($C595&amp;$D595='TaxCred&amp;Subs'!$E$12:$E$47)*($F595='TaxCred&amp;Subs'!$C$12:$C$47),0)
),0),0),(IF($M595&gt;=IFERROR(INDEX('TaxCred&amp;Subs'!$H$12:$H$47,MATCH(1,($C595&amp;$D595='TaxCred&amp;Subs'!$D$12:$D$47)*($F595='TaxCred&amp;Subs'!$C$12:$C$47),0)
),9999),IFERROR(INDEX('TaxCred&amp;Subs'!$N$12:$N$47,MATCH(1,($C595&amp;$D595='TaxCred&amp;Subs'!$D$12:$D$47)*($F595='TaxCred&amp;Subs'!$C$12:$C$47),0)
),0),0)))),0)+IF(AND($C595=2,VALUE(RIGHT($AD595,1))&gt;2),(N595-R595)*(IFERROR(INDEX('TaxCred&amp;Subs'!$J$66:$J$99,MATCH(1,($C595&amp;$D595='TaxCred&amp;Subs'!$E$66:$E$99)*($F595='TaxCred&amp;Subs'!$C$66:$C$99),0)),0)),IF(AND($C595=1,VALUE(RIGHT($AD595,1))&gt;2),(N595-R595)*(IFERROR(INDEX('TaxCred&amp;Subs'!$J$66:$J$99,MATCH(1,($C595&amp;$D595='TaxCred&amp;Subs'!$D$66:$D$99)*($F595='TaxCred&amp;Subs'!$C$66:$C$99),0)),0)),IF($C595&gt;2,(N595-R595)*(IFERROR(INDEX('TaxCred&amp;Subs'!$J$66:$J$99,MATCH(1,($C595&amp;$D595='TaxCred&amp;Subs'!$D$66:$D$99)*($F595='TaxCred&amp;Subs'!$C$66:$C$99),0)),0)),0))),0)</f>
        <v>0</v>
      </c>
      <c r="Q595" s="95">
        <f t="array" ref="Q595">ROUND(IF(AND($C595=2,VALUE(RIGHT($AD595,1))&gt;2),(O595-S595)*(IFERROR(INDEX('TaxCred&amp;Subs'!$J$66:$J$99,MATCH(1,($C595&amp;$D595='TaxCred&amp;Subs'!$E$66:$E$99)*($F595='TaxCred&amp;Subs'!$C$66:$C$99),0)),0)),IF(AND($C595=1,VALUE(RIGHT($AD595,1))&gt;2),(O595-S595)*(IFERROR(INDEX('TaxCred&amp;Subs'!$J$66:$J$99,MATCH(1,($C595&amp;$D595='TaxCred&amp;Subs'!$D$66:$D$99)*($F595='TaxCred&amp;Subs'!$C$66:$C$99),0)),0)),IF($C595&gt;2,(O595-S595)*(IFERROR(INDEX('TaxCred&amp;Subs'!$J$66:$J$99,MATCH(1,($C595&amp;$D595='TaxCred&amp;Subs'!$D$66:$D$99)*($F595='TaxCred&amp;Subs'!$C$66:$C$99),0)),0)),0))),0)</f>
        <v>0</v>
      </c>
      <c r="R595" s="95">
        <f t="array" ref="R595">ROUND(IF(IFERROR(VALUE(RIGHT($AD595,1)),0)&gt;2,IF($C595=8,N595*IFERROR(INDEX('TaxCred&amp;Subs'!$K$139:$S$151,MATCH($C595&amp;$D595&amp;LEFT($AD595,7),'TaxCred&amp;Subs'!$E$139:$E$151,0),MATCH($H595,'TaxCred&amp;Subs'!$K$137:$S$137,0)),0),IF($C595=2,N595*IFERROR(INDEX('TaxCred&amp;Subs'!$K$139:$S$151,MATCH($C595&amp;$D595,'TaxCred&amp;Subs'!$D$139:$D$151,0),MATCH($H595,'TaxCred&amp;Subs'!$K$137:$S$137,0)),0),N595*IFERROR(INDEX('TaxCred&amp;Subs'!$K$139:$S$151,MATCH($C595&amp;$D595,'TaxCred&amp;Subs'!$C$139:$C$151,0),MATCH($H595,'TaxCred&amp;Subs'!$K$137:$S$137,0)),0))),0),0)</f>
        <v>0</v>
      </c>
      <c r="S595" s="95">
        <f t="array" ref="S595">ROUND(IF(IFERROR(VALUE(RIGHT($AD595,1)),0)&gt;2,IF($C595=8,O595*IFERROR(INDEX('TaxCred&amp;Subs'!$K$139:$S$151,MATCH($C595&amp;$D595&amp;LEFT($AD595,7),'TaxCred&amp;Subs'!$E$139:$E$151,0),MATCH($H595,'TaxCred&amp;Subs'!$K$137:$S$137,0)),0),IF($C595=2,O595*IFERROR(INDEX('TaxCred&amp;Subs'!$K$139:$S$151,MATCH($C595&amp;$D595,'TaxCred&amp;Subs'!$D$139:$D$151,0),MATCH($H595,'TaxCred&amp;Subs'!$K$137:$S$137,0)),0),O595*IFERROR(INDEX('TaxCred&amp;Subs'!$K$139:$S$151,MATCH($C595&amp;$D595,'TaxCred&amp;Subs'!$C$139:$C$151,0),MATCH($H595,'TaxCred&amp;Subs'!$K$137:$S$137,0)),0))),0),0)</f>
        <v>0</v>
      </c>
      <c r="T595" s="95">
        <f t="shared" ref="T595:T662" si="35">IF($H595=9,IF(R595&gt;0,(N595-P595)*0.15,0),0)</f>
        <v>0</v>
      </c>
      <c r="U595" s="95">
        <f t="shared" ref="U595:U662" si="36">IF($H595=9,IF(S595&gt;0,(O595-Q595)*0.15,0),0)</f>
        <v>0</v>
      </c>
      <c r="V595" s="28" t="s">
        <v>222</v>
      </c>
      <c r="W595" s="31">
        <v>2020</v>
      </c>
      <c r="X595" s="28">
        <v>1</v>
      </c>
      <c r="Y595" s="28">
        <v>0</v>
      </c>
      <c r="Z595" s="196">
        <v>-4.3856550914995761E-2</v>
      </c>
      <c r="AA595" s="196">
        <v>-0.6747161679230117</v>
      </c>
      <c r="AB595" s="28">
        <v>0</v>
      </c>
      <c r="AC595" s="28">
        <v>0</v>
      </c>
      <c r="AD595" s="28" t="s">
        <v>368</v>
      </c>
      <c r="AE595" t="s">
        <v>367</v>
      </c>
    </row>
    <row r="596" spans="2:31" ht="13.5" customHeight="1" x14ac:dyDescent="0.2">
      <c r="B596" s="7">
        <f t="shared" si="32"/>
        <v>572</v>
      </c>
      <c r="C596" s="152">
        <v>4</v>
      </c>
      <c r="D596" s="152">
        <v>1</v>
      </c>
      <c r="E596" s="152">
        <v>2</v>
      </c>
      <c r="F596" s="153">
        <v>2023</v>
      </c>
      <c r="G596" s="152">
        <v>2026</v>
      </c>
      <c r="H596" s="152">
        <v>11</v>
      </c>
      <c r="I596" s="152">
        <v>0</v>
      </c>
      <c r="J596" s="152">
        <v>0</v>
      </c>
      <c r="K596" s="152">
        <v>0</v>
      </c>
      <c r="L596" s="155">
        <v>0</v>
      </c>
      <c r="M596" s="154">
        <v>0.89583333333333337</v>
      </c>
      <c r="N596" s="155">
        <v>610</v>
      </c>
      <c r="O596" s="155">
        <v>430</v>
      </c>
      <c r="P596" s="41">
        <f t="array" ref="P596">ROUND(IF($F596&lt;='TaxCred&amp;Subs'!$C$49,(IF($C596=2,IF($M596&gt;=IFERROR(INDEX('TaxCred&amp;Subs'!$L$12:$L$47,MATCH(1,($C596&amp;$D596='TaxCred&amp;Subs'!$E$12:$E$47)*($F596='TaxCred&amp;Subs'!$C$12:$C$47),0)
),9999),IFERROR(INDEX('TaxCred&amp;Subs'!$N$12:$N$47,MATCH(1,($C596&amp;$D596='TaxCred&amp;Subs'!$E$12:$E$47)*($F596='TaxCred&amp;Subs'!$C$12:$C$47),0)
),0),0),(IF($M596&gt;=IFERROR(INDEX('TaxCred&amp;Subs'!$H$12:$H$47,MATCH(1,($C596&amp;$D596='TaxCred&amp;Subs'!$D$12:$D$47)*($F596='TaxCred&amp;Subs'!$C$12:$C$47),0)
),9999),IFERROR(INDEX('TaxCred&amp;Subs'!$N$12:$N$47,MATCH(1,($C596&amp;$D596='TaxCred&amp;Subs'!$D$12:$D$47)*($F596='TaxCred&amp;Subs'!$C$12:$C$47),0)
),0),0)))),0)+IF(AND($C596=2,VALUE(RIGHT($AD596,1))&gt;2),(N596-R596)*(IFERROR(INDEX('TaxCred&amp;Subs'!$J$66:$J$99,MATCH(1,($C596&amp;$D596='TaxCred&amp;Subs'!$E$66:$E$99)*($F596='TaxCred&amp;Subs'!$C$66:$C$99),0)),0)),IF(AND($C596=1,VALUE(RIGHT($AD596,1))&gt;2),(N596-R596)*(IFERROR(INDEX('TaxCred&amp;Subs'!$J$66:$J$99,MATCH(1,($C596&amp;$D596='TaxCred&amp;Subs'!$D$66:$D$99)*($F596='TaxCred&amp;Subs'!$C$66:$C$99),0)),0)),IF($C596&gt;2,(N596-R596)*(IFERROR(INDEX('TaxCred&amp;Subs'!$J$66:$J$99,MATCH(1,($C596&amp;$D596='TaxCred&amp;Subs'!$D$66:$D$99)*($F596='TaxCred&amp;Subs'!$C$66:$C$99),0)),0)),0))),0)</f>
        <v>0</v>
      </c>
      <c r="Q596" s="41">
        <f t="array" ref="Q596">ROUND(IF(AND($C596=2,VALUE(RIGHT($AD596,1))&gt;2),(O596-S596)*(IFERROR(INDEX('TaxCred&amp;Subs'!$J$66:$J$99,MATCH(1,($C596&amp;$D596='TaxCred&amp;Subs'!$E$66:$E$99)*($F596='TaxCred&amp;Subs'!$C$66:$C$99),0)),0)),IF(AND($C596=1,VALUE(RIGHT($AD596,1))&gt;2),(O596-S596)*(IFERROR(INDEX('TaxCred&amp;Subs'!$J$66:$J$99,MATCH(1,($C596&amp;$D596='TaxCred&amp;Subs'!$D$66:$D$99)*($F596='TaxCred&amp;Subs'!$C$66:$C$99),0)),0)),IF($C596&gt;2,(O596-S596)*(IFERROR(INDEX('TaxCred&amp;Subs'!$J$66:$J$99,MATCH(1,($C596&amp;$D596='TaxCred&amp;Subs'!$D$66:$D$99)*($F596='TaxCred&amp;Subs'!$C$66:$C$99),0)),0)),0))),0)</f>
        <v>0</v>
      </c>
      <c r="R596" s="41">
        <f t="array" ref="R596">ROUND(IF(IFERROR(VALUE(RIGHT($AD596,1)),0)&gt;2,IF($C596=8,N596*IFERROR(INDEX('TaxCred&amp;Subs'!$K$139:$S$151,MATCH($C596&amp;$D596&amp;LEFT($AD596,7),'TaxCred&amp;Subs'!$E$139:$E$151,0),MATCH($H596,'TaxCred&amp;Subs'!$K$137:$S$137,0)),0),IF($C596=2,N596*IFERROR(INDEX('TaxCred&amp;Subs'!$K$139:$S$151,MATCH($C596&amp;$D596,'TaxCred&amp;Subs'!$D$139:$D$151,0),MATCH($H596,'TaxCred&amp;Subs'!$K$137:$S$137,0)),0),N596*IFERROR(INDEX('TaxCred&amp;Subs'!$K$139:$S$151,MATCH($C596&amp;$D596,'TaxCred&amp;Subs'!$C$139:$C$151,0),MATCH($H596,'TaxCred&amp;Subs'!$K$137:$S$137,0)),0))),0),0)</f>
        <v>0</v>
      </c>
      <c r="S596" s="41">
        <f t="array" ref="S596">ROUND(IF(IFERROR(VALUE(RIGHT($AD596,1)),0)&gt;2,IF($C596=8,O596*IFERROR(INDEX('TaxCred&amp;Subs'!$K$139:$S$151,MATCH($C596&amp;$D596&amp;LEFT($AD596,7),'TaxCred&amp;Subs'!$E$139:$E$151,0),MATCH($H596,'TaxCred&amp;Subs'!$K$137:$S$137,0)),0),IF($C596=2,O596*IFERROR(INDEX('TaxCred&amp;Subs'!$K$139:$S$151,MATCH($C596&amp;$D596,'TaxCred&amp;Subs'!$D$139:$D$151,0),MATCH($H596,'TaxCred&amp;Subs'!$K$137:$S$137,0)),0),O596*IFERROR(INDEX('TaxCred&amp;Subs'!$K$139:$S$151,MATCH($C596&amp;$D596,'TaxCred&amp;Subs'!$C$139:$C$151,0),MATCH($H596,'TaxCred&amp;Subs'!$K$137:$S$137,0)),0))),0),0)</f>
        <v>0</v>
      </c>
      <c r="T596" s="41">
        <f t="shared" si="35"/>
        <v>0</v>
      </c>
      <c r="U596" s="41">
        <f t="shared" si="36"/>
        <v>0</v>
      </c>
      <c r="V596" s="152" t="s">
        <v>222</v>
      </c>
      <c r="W596" s="152">
        <v>2020</v>
      </c>
      <c r="X596" s="152">
        <v>1</v>
      </c>
      <c r="Y596" s="152">
        <v>0</v>
      </c>
      <c r="Z596" s="194">
        <v>-4.3856550914995761E-2</v>
      </c>
      <c r="AA596" s="194">
        <v>-0.6747161679230117</v>
      </c>
      <c r="AB596" s="152">
        <v>0</v>
      </c>
      <c r="AC596" s="152">
        <v>0</v>
      </c>
      <c r="AD596" s="152" t="s">
        <v>368</v>
      </c>
      <c r="AE596" t="s">
        <v>367</v>
      </c>
    </row>
    <row r="597" spans="2:31" ht="13.5" customHeight="1" x14ac:dyDescent="0.2">
      <c r="B597" s="7">
        <f t="shared" si="32"/>
        <v>573</v>
      </c>
      <c r="C597" s="152">
        <v>4</v>
      </c>
      <c r="D597" s="152">
        <v>1</v>
      </c>
      <c r="E597" s="152">
        <v>2</v>
      </c>
      <c r="F597" s="153">
        <v>2027</v>
      </c>
      <c r="G597" s="152">
        <v>2050</v>
      </c>
      <c r="H597" s="152">
        <v>11</v>
      </c>
      <c r="I597" s="152">
        <v>0</v>
      </c>
      <c r="J597" s="152">
        <v>0</v>
      </c>
      <c r="K597" s="152">
        <v>0</v>
      </c>
      <c r="L597" s="155">
        <v>0</v>
      </c>
      <c r="M597" s="154">
        <v>0.89583333333333337</v>
      </c>
      <c r="N597" s="155">
        <v>610</v>
      </c>
      <c r="O597" s="155">
        <v>430</v>
      </c>
      <c r="P597" s="41">
        <f t="array" ref="P597">ROUND(IF($F597&lt;='TaxCred&amp;Subs'!$C$49,(IF($C597=2,IF($M597&gt;=IFERROR(INDEX('TaxCred&amp;Subs'!$L$12:$L$47,MATCH(1,($C597&amp;$D597='TaxCred&amp;Subs'!$E$12:$E$47)*($F597='TaxCred&amp;Subs'!$C$12:$C$47),0)
),9999),IFERROR(INDEX('TaxCred&amp;Subs'!$N$12:$N$47,MATCH(1,($C597&amp;$D597='TaxCred&amp;Subs'!$E$12:$E$47)*($F597='TaxCred&amp;Subs'!$C$12:$C$47),0)
),0),0),(IF($M597&gt;=IFERROR(INDEX('TaxCred&amp;Subs'!$H$12:$H$47,MATCH(1,($C597&amp;$D597='TaxCred&amp;Subs'!$D$12:$D$47)*($F597='TaxCred&amp;Subs'!$C$12:$C$47),0)
),9999),IFERROR(INDEX('TaxCred&amp;Subs'!$N$12:$N$47,MATCH(1,($C597&amp;$D597='TaxCred&amp;Subs'!$D$12:$D$47)*($F597='TaxCred&amp;Subs'!$C$12:$C$47),0)
),0),0)))),0)+IF(AND($C597=2,VALUE(RIGHT($AD597,1))&gt;2),(N597-R597)*(IFERROR(INDEX('TaxCred&amp;Subs'!$J$66:$J$99,MATCH(1,($C597&amp;$D597='TaxCred&amp;Subs'!$E$66:$E$99)*($F597='TaxCred&amp;Subs'!$C$66:$C$99),0)),0)),IF(AND($C597=1,VALUE(RIGHT($AD597,1))&gt;2),(N597-R597)*(IFERROR(INDEX('TaxCred&amp;Subs'!$J$66:$J$99,MATCH(1,($C597&amp;$D597='TaxCred&amp;Subs'!$D$66:$D$99)*($F597='TaxCred&amp;Subs'!$C$66:$C$99),0)),0)),IF($C597&gt;2,(N597-R597)*(IFERROR(INDEX('TaxCred&amp;Subs'!$J$66:$J$99,MATCH(1,($C597&amp;$D597='TaxCred&amp;Subs'!$D$66:$D$99)*($F597='TaxCred&amp;Subs'!$C$66:$C$99),0)),0)),0))),0)</f>
        <v>0</v>
      </c>
      <c r="Q597" s="41">
        <f t="array" ref="Q597">ROUND(IF(AND($C597=2,VALUE(RIGHT($AD597,1))&gt;2),(O597-S597)*(IFERROR(INDEX('TaxCred&amp;Subs'!$J$66:$J$99,MATCH(1,($C597&amp;$D597='TaxCred&amp;Subs'!$E$66:$E$99)*($F597='TaxCred&amp;Subs'!$C$66:$C$99),0)),0)),IF(AND($C597=1,VALUE(RIGHT($AD597,1))&gt;2),(O597-S597)*(IFERROR(INDEX('TaxCred&amp;Subs'!$J$66:$J$99,MATCH(1,($C597&amp;$D597='TaxCred&amp;Subs'!$D$66:$D$99)*($F597='TaxCred&amp;Subs'!$C$66:$C$99),0)),0)),IF($C597&gt;2,(O597-S597)*(IFERROR(INDEX('TaxCred&amp;Subs'!$J$66:$J$99,MATCH(1,($C597&amp;$D597='TaxCred&amp;Subs'!$D$66:$D$99)*($F597='TaxCred&amp;Subs'!$C$66:$C$99),0)),0)),0))),0)</f>
        <v>0</v>
      </c>
      <c r="R597" s="41">
        <f t="array" ref="R597">ROUND(IF(IFERROR(VALUE(RIGHT($AD597,1)),0)&gt;2,IF($C597=8,N597*IFERROR(INDEX('TaxCred&amp;Subs'!$K$139:$S$151,MATCH($C597&amp;$D597&amp;LEFT($AD597,7),'TaxCred&amp;Subs'!$E$139:$E$151,0),MATCH($H597,'TaxCred&amp;Subs'!$K$137:$S$137,0)),0),IF($C597=2,N597*IFERROR(INDEX('TaxCred&amp;Subs'!$K$139:$S$151,MATCH($C597&amp;$D597,'TaxCred&amp;Subs'!$D$139:$D$151,0),MATCH($H597,'TaxCred&amp;Subs'!$K$137:$S$137,0)),0),N597*IFERROR(INDEX('TaxCred&amp;Subs'!$K$139:$S$151,MATCH($C597&amp;$D597,'TaxCred&amp;Subs'!$C$139:$C$151,0),MATCH($H597,'TaxCred&amp;Subs'!$K$137:$S$137,0)),0))),0),0)</f>
        <v>0</v>
      </c>
      <c r="S597" s="41">
        <f t="array" ref="S597">ROUND(IF(IFERROR(VALUE(RIGHT($AD597,1)),0)&gt;2,IF($C597=8,O597*IFERROR(INDEX('TaxCred&amp;Subs'!$K$139:$S$151,MATCH($C597&amp;$D597&amp;LEFT($AD597,7),'TaxCred&amp;Subs'!$E$139:$E$151,0),MATCH($H597,'TaxCred&amp;Subs'!$K$137:$S$137,0)),0),IF($C597=2,O597*IFERROR(INDEX('TaxCred&amp;Subs'!$K$139:$S$151,MATCH($C597&amp;$D597,'TaxCred&amp;Subs'!$D$139:$D$151,0),MATCH($H597,'TaxCred&amp;Subs'!$K$137:$S$137,0)),0),O597*IFERROR(INDEX('TaxCred&amp;Subs'!$K$139:$S$151,MATCH($C597&amp;$D597,'TaxCred&amp;Subs'!$C$139:$C$151,0),MATCH($H597,'TaxCred&amp;Subs'!$K$137:$S$137,0)),0))),0),0)</f>
        <v>0</v>
      </c>
      <c r="T597" s="41">
        <f t="shared" si="35"/>
        <v>0</v>
      </c>
      <c r="U597" s="41">
        <f t="shared" si="36"/>
        <v>0</v>
      </c>
      <c r="V597" s="152" t="s">
        <v>222</v>
      </c>
      <c r="W597" s="152">
        <v>2020</v>
      </c>
      <c r="X597" s="152">
        <v>1</v>
      </c>
      <c r="Y597" s="152">
        <v>0</v>
      </c>
      <c r="Z597" s="195">
        <v>-1</v>
      </c>
      <c r="AA597" s="195">
        <v>-1</v>
      </c>
      <c r="AB597" s="152">
        <v>0</v>
      </c>
      <c r="AC597" s="152">
        <v>0</v>
      </c>
      <c r="AD597" s="152" t="s">
        <v>368</v>
      </c>
      <c r="AE597" s="44" t="s">
        <v>484</v>
      </c>
    </row>
    <row r="598" spans="2:31" ht="14.25" customHeight="1" x14ac:dyDescent="0.2">
      <c r="B598" s="7">
        <f t="shared" si="32"/>
        <v>574</v>
      </c>
      <c r="C598" s="28">
        <v>4</v>
      </c>
      <c r="D598" s="28">
        <v>1</v>
      </c>
      <c r="E598" s="31">
        <v>3</v>
      </c>
      <c r="F598" s="96">
        <v>2020</v>
      </c>
      <c r="G598" s="31">
        <v>2026</v>
      </c>
      <c r="H598" s="28">
        <v>11</v>
      </c>
      <c r="I598" s="28">
        <v>0</v>
      </c>
      <c r="J598" s="28">
        <v>0</v>
      </c>
      <c r="K598" s="28">
        <v>0</v>
      </c>
      <c r="L598" s="151">
        <v>0</v>
      </c>
      <c r="M598" s="156">
        <v>0.9555555555555556</v>
      </c>
      <c r="N598" s="151">
        <v>690</v>
      </c>
      <c r="O598" s="151">
        <v>500</v>
      </c>
      <c r="P598" s="95">
        <f t="array" ref="P598">ROUND(IF($F598&lt;='TaxCred&amp;Subs'!$C$49,(IF($C598=2,IF($M598&gt;=IFERROR(INDEX('TaxCred&amp;Subs'!$L$12:$L$47,MATCH(1,($C598&amp;$D598='TaxCred&amp;Subs'!$E$12:$E$47)*($F598='TaxCred&amp;Subs'!$C$12:$C$47),0)
),9999),IFERROR(INDEX('TaxCred&amp;Subs'!$N$12:$N$47,MATCH(1,($C598&amp;$D598='TaxCred&amp;Subs'!$E$12:$E$47)*($F598='TaxCred&amp;Subs'!$C$12:$C$47),0)
),0),0),(IF($M598&gt;=IFERROR(INDEX('TaxCred&amp;Subs'!$H$12:$H$47,MATCH(1,($C598&amp;$D598='TaxCred&amp;Subs'!$D$12:$D$47)*($F598='TaxCred&amp;Subs'!$C$12:$C$47),0)
),9999),IFERROR(INDEX('TaxCred&amp;Subs'!$N$12:$N$47,MATCH(1,($C598&amp;$D598='TaxCred&amp;Subs'!$D$12:$D$47)*($F598='TaxCred&amp;Subs'!$C$12:$C$47),0)
),0),0)))),0)+IF(AND($C598=2,VALUE(RIGHT($AD598,1))&gt;2),(N598-R598)*(IFERROR(INDEX('TaxCred&amp;Subs'!$J$66:$J$99,MATCH(1,($C598&amp;$D598='TaxCred&amp;Subs'!$E$66:$E$99)*($F598='TaxCred&amp;Subs'!$C$66:$C$99),0)),0)),IF(AND($C598=1,VALUE(RIGHT($AD598,1))&gt;2),(N598-R598)*(IFERROR(INDEX('TaxCred&amp;Subs'!$J$66:$J$99,MATCH(1,($C598&amp;$D598='TaxCred&amp;Subs'!$D$66:$D$99)*($F598='TaxCred&amp;Subs'!$C$66:$C$99),0)),0)),IF($C598&gt;2,(N598-R598)*(IFERROR(INDEX('TaxCred&amp;Subs'!$J$66:$J$99,MATCH(1,($C598&amp;$D598='TaxCred&amp;Subs'!$D$66:$D$99)*($F598='TaxCred&amp;Subs'!$C$66:$C$99),0)),0)),0))),0)</f>
        <v>0</v>
      </c>
      <c r="Q598" s="95">
        <f t="array" ref="Q598">ROUND(IF(AND($C598=2,VALUE(RIGHT($AD598,1))&gt;2),(O598-S598)*(IFERROR(INDEX('TaxCred&amp;Subs'!$J$66:$J$99,MATCH(1,($C598&amp;$D598='TaxCred&amp;Subs'!$E$66:$E$99)*($F598='TaxCred&amp;Subs'!$C$66:$C$99),0)),0)),IF(AND($C598=1,VALUE(RIGHT($AD598,1))&gt;2),(O598-S598)*(IFERROR(INDEX('TaxCred&amp;Subs'!$J$66:$J$99,MATCH(1,($C598&amp;$D598='TaxCred&amp;Subs'!$D$66:$D$99)*($F598='TaxCred&amp;Subs'!$C$66:$C$99),0)),0)),IF($C598&gt;2,(O598-S598)*(IFERROR(INDEX('TaxCred&amp;Subs'!$J$66:$J$99,MATCH(1,($C598&amp;$D598='TaxCred&amp;Subs'!$D$66:$D$99)*($F598='TaxCred&amp;Subs'!$C$66:$C$99),0)),0)),0))),0)</f>
        <v>0</v>
      </c>
      <c r="R598" s="95">
        <f t="array" ref="R598">ROUND(IF(IFERROR(VALUE(RIGHT($AD598,1)),0)&gt;2,IF($C598=8,N598*IFERROR(INDEX('TaxCred&amp;Subs'!$K$139:$S$151,MATCH($C598&amp;$D598&amp;LEFT($AD598,7),'TaxCred&amp;Subs'!$E$139:$E$151,0),MATCH($H598,'TaxCred&amp;Subs'!$K$137:$S$137,0)),0),IF($C598=2,N598*IFERROR(INDEX('TaxCred&amp;Subs'!$K$139:$S$151,MATCH($C598&amp;$D598,'TaxCred&amp;Subs'!$D$139:$D$151,0),MATCH($H598,'TaxCred&amp;Subs'!$K$137:$S$137,0)),0),N598*IFERROR(INDEX('TaxCred&amp;Subs'!$K$139:$S$151,MATCH($C598&amp;$D598,'TaxCred&amp;Subs'!$C$139:$C$151,0),MATCH($H598,'TaxCred&amp;Subs'!$K$137:$S$137,0)),0))),0),0)</f>
        <v>0</v>
      </c>
      <c r="S598" s="95">
        <f t="array" ref="S598">ROUND(IF(IFERROR(VALUE(RIGHT($AD598,1)),0)&gt;2,IF($C598=8,O598*IFERROR(INDEX('TaxCred&amp;Subs'!$K$139:$S$151,MATCH($C598&amp;$D598&amp;LEFT($AD598,7),'TaxCred&amp;Subs'!$E$139:$E$151,0),MATCH($H598,'TaxCred&amp;Subs'!$K$137:$S$137,0)),0),IF($C598=2,O598*IFERROR(INDEX('TaxCred&amp;Subs'!$K$139:$S$151,MATCH($C598&amp;$D598,'TaxCred&amp;Subs'!$D$139:$D$151,0),MATCH($H598,'TaxCred&amp;Subs'!$K$137:$S$137,0)),0),O598*IFERROR(INDEX('TaxCred&amp;Subs'!$K$139:$S$151,MATCH($C598&amp;$D598,'TaxCred&amp;Subs'!$C$139:$C$151,0),MATCH($H598,'TaxCred&amp;Subs'!$K$137:$S$137,0)),0))),0),0)</f>
        <v>0</v>
      </c>
      <c r="T598" s="95">
        <f t="shared" si="35"/>
        <v>0</v>
      </c>
      <c r="U598" s="95">
        <f t="shared" si="36"/>
        <v>0</v>
      </c>
      <c r="V598" s="28" t="s">
        <v>222</v>
      </c>
      <c r="W598" s="31">
        <v>2020</v>
      </c>
      <c r="X598" s="28">
        <v>1</v>
      </c>
      <c r="Y598" s="28">
        <v>0</v>
      </c>
      <c r="Z598" s="196">
        <v>-4.3856550914995761E-2</v>
      </c>
      <c r="AA598" s="196">
        <v>-0.6747161679230117</v>
      </c>
      <c r="AB598" s="28">
        <v>0</v>
      </c>
      <c r="AC598" s="28">
        <v>0</v>
      </c>
      <c r="AD598" s="28" t="s">
        <v>369</v>
      </c>
    </row>
    <row r="599" spans="2:31" ht="14.25" customHeight="1" x14ac:dyDescent="0.2">
      <c r="B599" s="7">
        <f t="shared" si="32"/>
        <v>575</v>
      </c>
      <c r="C599" s="152">
        <v>4</v>
      </c>
      <c r="D599" s="152">
        <v>1</v>
      </c>
      <c r="E599" s="152">
        <v>3</v>
      </c>
      <c r="F599" s="153">
        <v>2027</v>
      </c>
      <c r="G599" s="152">
        <v>2050</v>
      </c>
      <c r="H599" s="152">
        <v>11</v>
      </c>
      <c r="I599" s="152">
        <v>0</v>
      </c>
      <c r="J599" s="152">
        <v>0</v>
      </c>
      <c r="K599" s="152">
        <v>0</v>
      </c>
      <c r="L599" s="155">
        <v>0</v>
      </c>
      <c r="M599" s="154">
        <v>1.1215440792905582</v>
      </c>
      <c r="N599" s="155">
        <v>809.85915492957747</v>
      </c>
      <c r="O599" s="155">
        <v>586.85446009389682</v>
      </c>
      <c r="P599" s="41">
        <f t="array" ref="P599">ROUND(IF($F599&lt;='TaxCred&amp;Subs'!$C$49,(IF($C599=2,IF($M599&gt;=IFERROR(INDEX('TaxCred&amp;Subs'!$L$12:$L$47,MATCH(1,($C599&amp;$D599='TaxCred&amp;Subs'!$E$12:$E$47)*($F599='TaxCred&amp;Subs'!$C$12:$C$47),0)
),9999),IFERROR(INDEX('TaxCred&amp;Subs'!$N$12:$N$47,MATCH(1,($C599&amp;$D599='TaxCred&amp;Subs'!$E$12:$E$47)*($F599='TaxCred&amp;Subs'!$C$12:$C$47),0)
),0),0),(IF($M599&gt;=IFERROR(INDEX('TaxCred&amp;Subs'!$H$12:$H$47,MATCH(1,($C599&amp;$D599='TaxCred&amp;Subs'!$D$12:$D$47)*($F599='TaxCred&amp;Subs'!$C$12:$C$47),0)
),9999),IFERROR(INDEX('TaxCred&amp;Subs'!$N$12:$N$47,MATCH(1,($C599&amp;$D599='TaxCred&amp;Subs'!$D$12:$D$47)*($F599='TaxCred&amp;Subs'!$C$12:$C$47),0)
),0),0)))),0)+IF(AND($C599=2,VALUE(RIGHT($AD599,1))&gt;2),(N599-R599)*(IFERROR(INDEX('TaxCred&amp;Subs'!$J$66:$J$99,MATCH(1,($C599&amp;$D599='TaxCred&amp;Subs'!$E$66:$E$99)*($F599='TaxCred&amp;Subs'!$C$66:$C$99),0)),0)),IF(AND($C599=1,VALUE(RIGHT($AD599,1))&gt;2),(N599-R599)*(IFERROR(INDEX('TaxCred&amp;Subs'!$J$66:$J$99,MATCH(1,($C599&amp;$D599='TaxCred&amp;Subs'!$D$66:$D$99)*($F599='TaxCred&amp;Subs'!$C$66:$C$99),0)),0)),IF($C599&gt;2,(N599-R599)*(IFERROR(INDEX('TaxCred&amp;Subs'!$J$66:$J$99,MATCH(1,($C599&amp;$D599='TaxCred&amp;Subs'!$D$66:$D$99)*($F599='TaxCred&amp;Subs'!$C$66:$C$99),0)),0)),0))),0)</f>
        <v>0</v>
      </c>
      <c r="Q599" s="41">
        <f t="array" ref="Q599">ROUND(IF(AND($C599=2,VALUE(RIGHT($AD599,1))&gt;2),(O599-S599)*(IFERROR(INDEX('TaxCred&amp;Subs'!$J$66:$J$99,MATCH(1,($C599&amp;$D599='TaxCred&amp;Subs'!$E$66:$E$99)*($F599='TaxCred&amp;Subs'!$C$66:$C$99),0)),0)),IF(AND($C599=1,VALUE(RIGHT($AD599,1))&gt;2),(O599-S599)*(IFERROR(INDEX('TaxCred&amp;Subs'!$J$66:$J$99,MATCH(1,($C599&amp;$D599='TaxCred&amp;Subs'!$D$66:$D$99)*($F599='TaxCred&amp;Subs'!$C$66:$C$99),0)),0)),IF($C599&gt;2,(O599-S599)*(IFERROR(INDEX('TaxCred&amp;Subs'!$J$66:$J$99,MATCH(1,($C599&amp;$D599='TaxCred&amp;Subs'!$D$66:$D$99)*($F599='TaxCred&amp;Subs'!$C$66:$C$99),0)),0)),0))),0)</f>
        <v>0</v>
      </c>
      <c r="R599" s="41">
        <f t="array" ref="R599">ROUND(IF(IFERROR(VALUE(RIGHT($AD599,1)),0)&gt;2,IF($C599=8,N599*IFERROR(INDEX('TaxCred&amp;Subs'!$K$139:$S$151,MATCH($C599&amp;$D599&amp;LEFT($AD599,7),'TaxCred&amp;Subs'!$E$139:$E$151,0),MATCH($H599,'TaxCred&amp;Subs'!$K$137:$S$137,0)),0),IF($C599=2,N599*IFERROR(INDEX('TaxCred&amp;Subs'!$K$139:$S$151,MATCH($C599&amp;$D599,'TaxCred&amp;Subs'!$D$139:$D$151,0),MATCH($H599,'TaxCred&amp;Subs'!$K$137:$S$137,0)),0),N599*IFERROR(INDEX('TaxCred&amp;Subs'!$K$139:$S$151,MATCH($C599&amp;$D599,'TaxCred&amp;Subs'!$C$139:$C$151,0),MATCH($H599,'TaxCred&amp;Subs'!$K$137:$S$137,0)),0))),0),0)</f>
        <v>0</v>
      </c>
      <c r="S599" s="41">
        <f t="array" ref="S599">ROUND(IF(IFERROR(VALUE(RIGHT($AD599,1)),0)&gt;2,IF($C599=8,O599*IFERROR(INDEX('TaxCred&amp;Subs'!$K$139:$S$151,MATCH($C599&amp;$D599&amp;LEFT($AD599,7),'TaxCred&amp;Subs'!$E$139:$E$151,0),MATCH($H599,'TaxCred&amp;Subs'!$K$137:$S$137,0)),0),IF($C599=2,O599*IFERROR(INDEX('TaxCred&amp;Subs'!$K$139:$S$151,MATCH($C599&amp;$D599,'TaxCred&amp;Subs'!$D$139:$D$151,0),MATCH($H599,'TaxCred&amp;Subs'!$K$137:$S$137,0)),0),O599*IFERROR(INDEX('TaxCred&amp;Subs'!$K$139:$S$151,MATCH($C599&amp;$D599,'TaxCred&amp;Subs'!$C$139:$C$151,0),MATCH($H599,'TaxCred&amp;Subs'!$K$137:$S$137,0)),0))),0),0)</f>
        <v>0</v>
      </c>
      <c r="T599" s="41">
        <f t="shared" ref="T599" si="37">IF($H599=9,IF(R599&gt;0,(N599-P599)*0.15,0),0)</f>
        <v>0</v>
      </c>
      <c r="U599" s="41">
        <f t="shared" ref="U599" si="38">IF($H599=9,IF(S599&gt;0,(O599-Q599)*0.15,0),0)</f>
        <v>0</v>
      </c>
      <c r="V599" s="152" t="s">
        <v>222</v>
      </c>
      <c r="W599" s="152">
        <v>2020</v>
      </c>
      <c r="X599" s="152">
        <v>1</v>
      </c>
      <c r="Y599" s="152">
        <v>0</v>
      </c>
      <c r="Z599" s="194">
        <v>-4.3856550914995761E-2</v>
      </c>
      <c r="AA599" s="194">
        <v>-0.6747161679230117</v>
      </c>
      <c r="AB599" s="152">
        <v>0</v>
      </c>
      <c r="AC599" s="152">
        <v>0</v>
      </c>
      <c r="AD599" s="152" t="s">
        <v>369</v>
      </c>
    </row>
    <row r="600" spans="2:31" ht="14.25" customHeight="1" x14ac:dyDescent="0.2">
      <c r="B600" s="7">
        <f t="shared" si="32"/>
        <v>576</v>
      </c>
      <c r="C600" s="28">
        <v>5</v>
      </c>
      <c r="D600" s="28">
        <v>1</v>
      </c>
      <c r="E600" s="28">
        <v>1</v>
      </c>
      <c r="F600" s="96">
        <v>2020</v>
      </c>
      <c r="G600" s="31">
        <v>2028</v>
      </c>
      <c r="H600" s="28">
        <v>11</v>
      </c>
      <c r="I600" s="28">
        <v>0</v>
      </c>
      <c r="J600" s="28">
        <v>0</v>
      </c>
      <c r="K600" s="28">
        <v>0</v>
      </c>
      <c r="L600" s="28">
        <v>0</v>
      </c>
      <c r="M600" s="75">
        <v>0.61</v>
      </c>
      <c r="N600" s="151">
        <v>1215</v>
      </c>
      <c r="O600" s="151">
        <v>705</v>
      </c>
      <c r="P600" s="95">
        <f t="array" ref="P600">ROUND(IF($F600&lt;='TaxCred&amp;Subs'!$C$49,(IF($C600=2,IF($M600&gt;=IFERROR(INDEX('TaxCred&amp;Subs'!$L$12:$L$47,MATCH(1,($C600&amp;$D600='TaxCred&amp;Subs'!$E$12:$E$47)*($F600='TaxCred&amp;Subs'!$C$12:$C$47),0)
),9999),IFERROR(INDEX('TaxCred&amp;Subs'!$N$12:$N$47,MATCH(1,($C600&amp;$D600='TaxCred&amp;Subs'!$E$12:$E$47)*($F600='TaxCred&amp;Subs'!$C$12:$C$47),0)
),0),0),(IF($M600&gt;=IFERROR(INDEX('TaxCred&amp;Subs'!$H$12:$H$47,MATCH(1,($C600&amp;$D600='TaxCred&amp;Subs'!$D$12:$D$47)*($F600='TaxCred&amp;Subs'!$C$12:$C$47),0)
),9999),IFERROR(INDEX('TaxCred&amp;Subs'!$N$12:$N$47,MATCH(1,($C600&amp;$D600='TaxCred&amp;Subs'!$D$12:$D$47)*($F600='TaxCred&amp;Subs'!$C$12:$C$47),0)
),0),0)))),0)+IF(AND($C600=2,VALUE(RIGHT($AD600,1))&gt;2),(N600-R600)*(IFERROR(INDEX('TaxCred&amp;Subs'!$J$66:$J$99,MATCH(1,($C600&amp;$D600='TaxCred&amp;Subs'!$E$66:$E$99)*($F600='TaxCred&amp;Subs'!$C$66:$C$99),0)),0)),IF(AND($C600=1,VALUE(RIGHT($AD600,1))&gt;2),(N600-R600)*(IFERROR(INDEX('TaxCred&amp;Subs'!$J$66:$J$99,MATCH(1,($C600&amp;$D600='TaxCred&amp;Subs'!$D$66:$D$99)*($F600='TaxCred&amp;Subs'!$C$66:$C$99),0)),0)),IF($C600&gt;2,(N600-R600)*(IFERROR(INDEX('TaxCred&amp;Subs'!$J$66:$J$99,MATCH(1,($C600&amp;$D600='TaxCred&amp;Subs'!$D$66:$D$99)*($F600='TaxCred&amp;Subs'!$C$66:$C$99),0)),0)),0))),0)</f>
        <v>0</v>
      </c>
      <c r="Q600" s="95">
        <f t="array" ref="Q600">ROUND(IF(AND($C600=2,VALUE(RIGHT($AD600,1))&gt;2),(O600-S600)*(IFERROR(INDEX('TaxCred&amp;Subs'!$J$66:$J$99,MATCH(1,($C600&amp;$D600='TaxCred&amp;Subs'!$E$66:$E$99)*($F600='TaxCred&amp;Subs'!$C$66:$C$99),0)),0)),IF(AND($C600=1,VALUE(RIGHT($AD600,1))&gt;2),(O600-S600)*(IFERROR(INDEX('TaxCred&amp;Subs'!$J$66:$J$99,MATCH(1,($C600&amp;$D600='TaxCred&amp;Subs'!$D$66:$D$99)*($F600='TaxCred&amp;Subs'!$C$66:$C$99),0)),0)),IF($C600&gt;2,(O600-S600)*(IFERROR(INDEX('TaxCred&amp;Subs'!$J$66:$J$99,MATCH(1,($C600&amp;$D600='TaxCred&amp;Subs'!$D$66:$D$99)*($F600='TaxCred&amp;Subs'!$C$66:$C$99),0)),0)),0))),0)</f>
        <v>0</v>
      </c>
      <c r="R600" s="95">
        <f t="array" ref="R600">ROUND(IF(IFERROR(VALUE(RIGHT($AD600,1)),0)&gt;2,IF($C600=8,N600*IFERROR(INDEX('TaxCred&amp;Subs'!$K$139:$S$151,MATCH($C600&amp;$D600&amp;LEFT($AD600,7),'TaxCred&amp;Subs'!$E$139:$E$151,0),MATCH($H600,'TaxCred&amp;Subs'!$K$137:$S$137,0)),0),IF($C600=2,N600*IFERROR(INDEX('TaxCred&amp;Subs'!$K$139:$S$151,MATCH($C600&amp;$D600,'TaxCred&amp;Subs'!$D$139:$D$151,0),MATCH($H600,'TaxCred&amp;Subs'!$K$137:$S$137,0)),0),N600*IFERROR(INDEX('TaxCred&amp;Subs'!$K$139:$S$151,MATCH($C600&amp;$D600,'TaxCred&amp;Subs'!$C$139:$C$151,0),MATCH($H600,'TaxCred&amp;Subs'!$K$137:$S$137,0)),0))),0),0)</f>
        <v>0</v>
      </c>
      <c r="S600" s="95">
        <f t="array" ref="S600">ROUND(IF(IFERROR(VALUE(RIGHT($AD600,1)),0)&gt;2,IF($C600=8,O600*IFERROR(INDEX('TaxCred&amp;Subs'!$K$139:$S$151,MATCH($C600&amp;$D600&amp;LEFT($AD600,7),'TaxCred&amp;Subs'!$E$139:$E$151,0),MATCH($H600,'TaxCred&amp;Subs'!$K$137:$S$137,0)),0),IF($C600=2,O600*IFERROR(INDEX('TaxCred&amp;Subs'!$K$139:$S$151,MATCH($C600&amp;$D600,'TaxCred&amp;Subs'!$D$139:$D$151,0),MATCH($H600,'TaxCred&amp;Subs'!$K$137:$S$137,0)),0),O600*IFERROR(INDEX('TaxCred&amp;Subs'!$K$139:$S$151,MATCH($C600&amp;$D600,'TaxCred&amp;Subs'!$C$139:$C$151,0),MATCH($H600,'TaxCred&amp;Subs'!$K$137:$S$137,0)),0))),0),0)</f>
        <v>0</v>
      </c>
      <c r="T600" s="95">
        <f t="shared" si="35"/>
        <v>0</v>
      </c>
      <c r="U600" s="95">
        <f t="shared" si="36"/>
        <v>0</v>
      </c>
      <c r="V600" s="28" t="s">
        <v>222</v>
      </c>
      <c r="W600" s="31">
        <v>2020</v>
      </c>
      <c r="X600" s="28">
        <v>1</v>
      </c>
      <c r="Y600" s="28">
        <v>0</v>
      </c>
      <c r="Z600" s="196">
        <v>-2.4964302493242986E-3</v>
      </c>
      <c r="AA600" s="196">
        <v>-3.8406619220373826E-2</v>
      </c>
      <c r="AB600" s="28">
        <v>0</v>
      </c>
      <c r="AC600" s="28">
        <v>0</v>
      </c>
      <c r="AD600" s="28" t="s">
        <v>339</v>
      </c>
      <c r="AE600" t="s">
        <v>340</v>
      </c>
    </row>
    <row r="601" spans="2:31" ht="14.25" customHeight="1" x14ac:dyDescent="0.2">
      <c r="B601" s="7">
        <f t="shared" si="32"/>
        <v>577</v>
      </c>
      <c r="C601" s="152">
        <v>5</v>
      </c>
      <c r="D601" s="152">
        <v>1</v>
      </c>
      <c r="E601" s="152">
        <v>1</v>
      </c>
      <c r="F601" s="153">
        <v>2029</v>
      </c>
      <c r="G601" s="152">
        <v>2050</v>
      </c>
      <c r="H601" s="152">
        <v>11</v>
      </c>
      <c r="I601" s="152">
        <v>0</v>
      </c>
      <c r="J601" s="152">
        <v>0</v>
      </c>
      <c r="K601" s="152">
        <v>0</v>
      </c>
      <c r="L601" s="152">
        <v>0</v>
      </c>
      <c r="M601" s="154">
        <v>0.66349999999999998</v>
      </c>
      <c r="N601" s="155">
        <v>1325</v>
      </c>
      <c r="O601" s="155">
        <v>800</v>
      </c>
      <c r="P601" s="41">
        <f t="array" ref="P601">ROUND(IF($F601&lt;='TaxCred&amp;Subs'!$C$49,(IF($C601=2,IF($M601&gt;=IFERROR(INDEX('TaxCred&amp;Subs'!$L$12:$L$47,MATCH(1,($C601&amp;$D601='TaxCred&amp;Subs'!$E$12:$E$47)*($F601='TaxCred&amp;Subs'!$C$12:$C$47),0)
),9999),IFERROR(INDEX('TaxCred&amp;Subs'!$N$12:$N$47,MATCH(1,($C601&amp;$D601='TaxCred&amp;Subs'!$E$12:$E$47)*($F601='TaxCred&amp;Subs'!$C$12:$C$47),0)
),0),0),(IF($M601&gt;=IFERROR(INDEX('TaxCred&amp;Subs'!$H$12:$H$47,MATCH(1,($C601&amp;$D601='TaxCred&amp;Subs'!$D$12:$D$47)*($F601='TaxCred&amp;Subs'!$C$12:$C$47),0)
),9999),IFERROR(INDEX('TaxCred&amp;Subs'!$N$12:$N$47,MATCH(1,($C601&amp;$D601='TaxCred&amp;Subs'!$D$12:$D$47)*($F601='TaxCred&amp;Subs'!$C$12:$C$47),0)
),0),0)))),0)+IF(AND($C601=2,VALUE(RIGHT($AD601,1))&gt;2),(N601-R601)*(IFERROR(INDEX('TaxCred&amp;Subs'!$J$66:$J$99,MATCH(1,($C601&amp;$D601='TaxCred&amp;Subs'!$E$66:$E$99)*($F601='TaxCred&amp;Subs'!$C$66:$C$99),0)),0)),IF(AND($C601=1,VALUE(RIGHT($AD601,1))&gt;2),(N601-R601)*(IFERROR(INDEX('TaxCred&amp;Subs'!$J$66:$J$99,MATCH(1,($C601&amp;$D601='TaxCred&amp;Subs'!$D$66:$D$99)*($F601='TaxCred&amp;Subs'!$C$66:$C$99),0)),0)),IF($C601&gt;2,(N601-R601)*(IFERROR(INDEX('TaxCred&amp;Subs'!$J$66:$J$99,MATCH(1,($C601&amp;$D601='TaxCred&amp;Subs'!$D$66:$D$99)*($F601='TaxCred&amp;Subs'!$C$66:$C$99),0)),0)),0))),0)</f>
        <v>0</v>
      </c>
      <c r="Q601" s="41">
        <f t="array" ref="Q601">ROUND(IF(AND($C601=2,VALUE(RIGHT($AD601,1))&gt;2),(O601-S601)*(IFERROR(INDEX('TaxCred&amp;Subs'!$J$66:$J$99,MATCH(1,($C601&amp;$D601='TaxCred&amp;Subs'!$E$66:$E$99)*($F601='TaxCred&amp;Subs'!$C$66:$C$99),0)),0)),IF(AND($C601=1,VALUE(RIGHT($AD601,1))&gt;2),(O601-S601)*(IFERROR(INDEX('TaxCred&amp;Subs'!$J$66:$J$99,MATCH(1,($C601&amp;$D601='TaxCred&amp;Subs'!$D$66:$D$99)*($F601='TaxCred&amp;Subs'!$C$66:$C$99),0)),0)),IF($C601&gt;2,(O601-S601)*(IFERROR(INDEX('TaxCred&amp;Subs'!$J$66:$J$99,MATCH(1,($C601&amp;$D601='TaxCred&amp;Subs'!$D$66:$D$99)*($F601='TaxCred&amp;Subs'!$C$66:$C$99),0)),0)),0))),0)</f>
        <v>0</v>
      </c>
      <c r="R601" s="41">
        <f t="array" ref="R601">ROUND(IF(IFERROR(VALUE(RIGHT($AD601,1)),0)&gt;2,IF($C601=8,N601*IFERROR(INDEX('TaxCred&amp;Subs'!$K$139:$S$151,MATCH($C601&amp;$D601&amp;LEFT($AD601,7),'TaxCred&amp;Subs'!$E$139:$E$151,0),MATCH($H601,'TaxCred&amp;Subs'!$K$137:$S$137,0)),0),IF($C601=2,N601*IFERROR(INDEX('TaxCred&amp;Subs'!$K$139:$S$151,MATCH($C601&amp;$D601,'TaxCred&amp;Subs'!$D$139:$D$151,0),MATCH($H601,'TaxCred&amp;Subs'!$K$137:$S$137,0)),0),N601*IFERROR(INDEX('TaxCred&amp;Subs'!$K$139:$S$151,MATCH($C601&amp;$D601,'TaxCred&amp;Subs'!$C$139:$C$151,0),MATCH($H601,'TaxCred&amp;Subs'!$K$137:$S$137,0)),0))),0),0)</f>
        <v>0</v>
      </c>
      <c r="S601" s="41">
        <f t="array" ref="S601">ROUND(IF(IFERROR(VALUE(RIGHT($AD601,1)),0)&gt;2,IF($C601=8,O601*IFERROR(INDEX('TaxCred&amp;Subs'!$K$139:$S$151,MATCH($C601&amp;$D601&amp;LEFT($AD601,7),'TaxCred&amp;Subs'!$E$139:$E$151,0),MATCH($H601,'TaxCred&amp;Subs'!$K$137:$S$137,0)),0),IF($C601=2,O601*IFERROR(INDEX('TaxCred&amp;Subs'!$K$139:$S$151,MATCH($C601&amp;$D601,'TaxCred&amp;Subs'!$D$139:$D$151,0),MATCH($H601,'TaxCred&amp;Subs'!$K$137:$S$137,0)),0),O601*IFERROR(INDEX('TaxCred&amp;Subs'!$K$139:$S$151,MATCH($C601&amp;$D601,'TaxCred&amp;Subs'!$C$139:$C$151,0),MATCH($H601,'TaxCred&amp;Subs'!$K$137:$S$137,0)),0))),0),0)</f>
        <v>0</v>
      </c>
      <c r="T601" s="41">
        <f t="shared" ref="T601" si="39">IF($H601=9,IF(R601&gt;0,(N601-P601)*0.15,0),0)</f>
        <v>0</v>
      </c>
      <c r="U601" s="41">
        <f t="shared" ref="U601" si="40">IF($H601=9,IF(S601&gt;0,(O601-Q601)*0.15,0),0)</f>
        <v>0</v>
      </c>
      <c r="V601" s="152" t="s">
        <v>222</v>
      </c>
      <c r="W601" s="152">
        <v>2020</v>
      </c>
      <c r="X601" s="152">
        <v>1</v>
      </c>
      <c r="Y601" s="152">
        <v>0</v>
      </c>
      <c r="Z601" s="194">
        <v>-2.4964302493242986E-3</v>
      </c>
      <c r="AA601" s="194">
        <v>-3.8406619220373826E-2</v>
      </c>
      <c r="AB601" s="152">
        <v>0</v>
      </c>
      <c r="AC601" s="152">
        <v>0</v>
      </c>
      <c r="AD601" s="152" t="s">
        <v>339</v>
      </c>
      <c r="AE601" t="s">
        <v>340</v>
      </c>
    </row>
    <row r="602" spans="2:31" ht="14.25" customHeight="1" x14ac:dyDescent="0.2">
      <c r="B602" s="7">
        <f t="shared" si="32"/>
        <v>578</v>
      </c>
      <c r="C602" s="28">
        <v>5</v>
      </c>
      <c r="D602" s="28">
        <v>1</v>
      </c>
      <c r="E602" s="31">
        <v>2</v>
      </c>
      <c r="F602" s="96">
        <v>2020</v>
      </c>
      <c r="G602" s="28">
        <v>2022</v>
      </c>
      <c r="H602" s="28">
        <v>1</v>
      </c>
      <c r="I602" s="28">
        <v>0</v>
      </c>
      <c r="J602" s="28">
        <v>0</v>
      </c>
      <c r="K602" s="28">
        <v>0</v>
      </c>
      <c r="L602" s="28">
        <v>0</v>
      </c>
      <c r="M602" s="75">
        <v>0.66</v>
      </c>
      <c r="N602" s="151">
        <v>1325</v>
      </c>
      <c r="O602" s="151">
        <v>800</v>
      </c>
      <c r="P602" s="95">
        <f t="array" ref="P602">ROUND(IF($F602&lt;='TaxCred&amp;Subs'!$C$49,(IF($C602=2,IF($M602&gt;=IFERROR(INDEX('TaxCred&amp;Subs'!$L$12:$L$47,MATCH(1,($C602&amp;$D602='TaxCred&amp;Subs'!$E$12:$E$47)*($F602='TaxCred&amp;Subs'!$C$12:$C$47),0)
),9999),IFERROR(INDEX('TaxCred&amp;Subs'!$N$12:$N$47,MATCH(1,($C602&amp;$D602='TaxCred&amp;Subs'!$E$12:$E$47)*($F602='TaxCred&amp;Subs'!$C$12:$C$47),0)
),0),0),(IF($M602&gt;=IFERROR(INDEX('TaxCred&amp;Subs'!$H$12:$H$47,MATCH(1,($C602&amp;$D602='TaxCred&amp;Subs'!$D$12:$D$47)*($F602='TaxCred&amp;Subs'!$C$12:$C$47),0)
),9999),IFERROR(INDEX('TaxCred&amp;Subs'!$N$12:$N$47,MATCH(1,($C602&amp;$D602='TaxCred&amp;Subs'!$D$12:$D$47)*($F602='TaxCred&amp;Subs'!$C$12:$C$47),0)
),0),0)))),0)+IF(AND($C602=2,VALUE(RIGHT($AD602,1))&gt;2),(N602-R602)*(IFERROR(INDEX('TaxCred&amp;Subs'!$J$66:$J$99,MATCH(1,($C602&amp;$D602='TaxCred&amp;Subs'!$E$66:$E$99)*($F602='TaxCred&amp;Subs'!$C$66:$C$99),0)),0)),IF(AND($C602=1,VALUE(RIGHT($AD602,1))&gt;2),(N602-R602)*(IFERROR(INDEX('TaxCred&amp;Subs'!$J$66:$J$99,MATCH(1,($C602&amp;$D602='TaxCred&amp;Subs'!$D$66:$D$99)*($F602='TaxCred&amp;Subs'!$C$66:$C$99),0)),0)),IF($C602&gt;2,(N602-R602)*(IFERROR(INDEX('TaxCred&amp;Subs'!$J$66:$J$99,MATCH(1,($C602&amp;$D602='TaxCred&amp;Subs'!$D$66:$D$99)*($F602='TaxCred&amp;Subs'!$C$66:$C$99),0)),0)),0))),0)</f>
        <v>0</v>
      </c>
      <c r="Q602" s="95">
        <f t="array" ref="Q602">ROUND(IF(AND($C602=2,VALUE(RIGHT($AD602,1))&gt;2),(O602-S602)*(IFERROR(INDEX('TaxCred&amp;Subs'!$J$66:$J$99,MATCH(1,($C602&amp;$D602='TaxCred&amp;Subs'!$E$66:$E$99)*($F602='TaxCred&amp;Subs'!$C$66:$C$99),0)),0)),IF(AND($C602=1,VALUE(RIGHT($AD602,1))&gt;2),(O602-S602)*(IFERROR(INDEX('TaxCred&amp;Subs'!$J$66:$J$99,MATCH(1,($C602&amp;$D602='TaxCred&amp;Subs'!$D$66:$D$99)*($F602='TaxCred&amp;Subs'!$C$66:$C$99),0)),0)),IF($C602&gt;2,(O602-S602)*(IFERROR(INDEX('TaxCred&amp;Subs'!$J$66:$J$99,MATCH(1,($C602&amp;$D602='TaxCred&amp;Subs'!$D$66:$D$99)*($F602='TaxCred&amp;Subs'!$C$66:$C$99),0)),0)),0))),0)</f>
        <v>0</v>
      </c>
      <c r="R602" s="95">
        <f t="array" ref="R602">ROUND(IF(IFERROR(VALUE(RIGHT($AD602,1)),0)&gt;2,IF($C602=8,N602*IFERROR(INDEX('TaxCred&amp;Subs'!$K$139:$S$151,MATCH($C602&amp;$D602&amp;LEFT($AD602,7),'TaxCred&amp;Subs'!$E$139:$E$151,0),MATCH($H602,'TaxCred&amp;Subs'!$K$137:$S$137,0)),0),IF($C602=2,N602*IFERROR(INDEX('TaxCred&amp;Subs'!$K$139:$S$151,MATCH($C602&amp;$D602,'TaxCred&amp;Subs'!$D$139:$D$151,0),MATCH($H602,'TaxCred&amp;Subs'!$K$137:$S$137,0)),0),N602*IFERROR(INDEX('TaxCred&amp;Subs'!$K$139:$S$151,MATCH($C602&amp;$D602,'TaxCred&amp;Subs'!$C$139:$C$151,0),MATCH($H602,'TaxCred&amp;Subs'!$K$137:$S$137,0)),0))),0),0)</f>
        <v>157</v>
      </c>
      <c r="S602" s="95">
        <f t="array" ref="S602">ROUND(IF(IFERROR(VALUE(RIGHT($AD602,1)),0)&gt;2,IF($C602=8,O602*IFERROR(INDEX('TaxCred&amp;Subs'!$K$139:$S$151,MATCH($C602&amp;$D602&amp;LEFT($AD602,7),'TaxCred&amp;Subs'!$E$139:$E$151,0),MATCH($H602,'TaxCred&amp;Subs'!$K$137:$S$137,0)),0),IF($C602=2,O602*IFERROR(INDEX('TaxCred&amp;Subs'!$K$139:$S$151,MATCH($C602&amp;$D602,'TaxCred&amp;Subs'!$D$139:$D$151,0),MATCH($H602,'TaxCred&amp;Subs'!$K$137:$S$137,0)),0),O602*IFERROR(INDEX('TaxCred&amp;Subs'!$K$139:$S$151,MATCH($C602&amp;$D602,'TaxCred&amp;Subs'!$C$139:$C$151,0),MATCH($H602,'TaxCred&amp;Subs'!$K$137:$S$137,0)),0))),0),0)</f>
        <v>95</v>
      </c>
      <c r="T602" s="95">
        <f t="shared" si="35"/>
        <v>0</v>
      </c>
      <c r="U602" s="95">
        <f t="shared" si="36"/>
        <v>0</v>
      </c>
      <c r="V602" s="28" t="s">
        <v>222</v>
      </c>
      <c r="W602" s="31">
        <v>2020</v>
      </c>
      <c r="X602" s="28">
        <v>1</v>
      </c>
      <c r="Y602" s="28">
        <v>0</v>
      </c>
      <c r="Z602" s="196">
        <v>-3.3939727104598718E-3</v>
      </c>
      <c r="AA602" s="196">
        <v>-5.2214964776305717E-2</v>
      </c>
      <c r="AB602" s="28">
        <v>0</v>
      </c>
      <c r="AC602" s="28">
        <v>0</v>
      </c>
      <c r="AD602" s="28" t="s">
        <v>341</v>
      </c>
    </row>
    <row r="603" spans="2:31" ht="14.25" customHeight="1" x14ac:dyDescent="0.2">
      <c r="B603" s="7">
        <f t="shared" ref="B603:B666" si="41">B602+1</f>
        <v>579</v>
      </c>
      <c r="C603" s="28">
        <v>5</v>
      </c>
      <c r="D603" s="28">
        <v>1</v>
      </c>
      <c r="E603" s="31">
        <v>2</v>
      </c>
      <c r="F603" s="96">
        <v>2020</v>
      </c>
      <c r="G603" s="28">
        <v>2022</v>
      </c>
      <c r="H603" s="28">
        <v>2</v>
      </c>
      <c r="I603" s="28">
        <v>0</v>
      </c>
      <c r="J603" s="28">
        <v>0</v>
      </c>
      <c r="K603" s="28">
        <v>0</v>
      </c>
      <c r="L603" s="28">
        <v>0</v>
      </c>
      <c r="M603" s="75">
        <v>0.66</v>
      </c>
      <c r="N603" s="151">
        <v>1325</v>
      </c>
      <c r="O603" s="151">
        <v>800</v>
      </c>
      <c r="P603" s="95">
        <f t="array" ref="P603">ROUND(IF($F603&lt;='TaxCred&amp;Subs'!$C$49,(IF($C603=2,IF($M603&gt;=IFERROR(INDEX('TaxCred&amp;Subs'!$L$12:$L$47,MATCH(1,($C603&amp;$D603='TaxCred&amp;Subs'!$E$12:$E$47)*($F603='TaxCred&amp;Subs'!$C$12:$C$47),0)
),9999),IFERROR(INDEX('TaxCred&amp;Subs'!$N$12:$N$47,MATCH(1,($C603&amp;$D603='TaxCred&amp;Subs'!$E$12:$E$47)*($F603='TaxCred&amp;Subs'!$C$12:$C$47),0)
),0),0),(IF($M603&gt;=IFERROR(INDEX('TaxCred&amp;Subs'!$H$12:$H$47,MATCH(1,($C603&amp;$D603='TaxCred&amp;Subs'!$D$12:$D$47)*($F603='TaxCred&amp;Subs'!$C$12:$C$47),0)
),9999),IFERROR(INDEX('TaxCred&amp;Subs'!$N$12:$N$47,MATCH(1,($C603&amp;$D603='TaxCred&amp;Subs'!$D$12:$D$47)*($F603='TaxCred&amp;Subs'!$C$12:$C$47),0)
),0),0)))),0)+IF(AND($C603=2,VALUE(RIGHT($AD603,1))&gt;2),(N603-R603)*(IFERROR(INDEX('TaxCred&amp;Subs'!$J$66:$J$99,MATCH(1,($C603&amp;$D603='TaxCred&amp;Subs'!$E$66:$E$99)*($F603='TaxCred&amp;Subs'!$C$66:$C$99),0)),0)),IF(AND($C603=1,VALUE(RIGHT($AD603,1))&gt;2),(N603-R603)*(IFERROR(INDEX('TaxCred&amp;Subs'!$J$66:$J$99,MATCH(1,($C603&amp;$D603='TaxCred&amp;Subs'!$D$66:$D$99)*($F603='TaxCred&amp;Subs'!$C$66:$C$99),0)),0)),IF($C603&gt;2,(N603-R603)*(IFERROR(INDEX('TaxCred&amp;Subs'!$J$66:$J$99,MATCH(1,($C603&amp;$D603='TaxCred&amp;Subs'!$D$66:$D$99)*($F603='TaxCred&amp;Subs'!$C$66:$C$99),0)),0)),0))),0)</f>
        <v>0</v>
      </c>
      <c r="Q603" s="95">
        <f t="array" ref="Q603">ROUND(IF(AND($C603=2,VALUE(RIGHT($AD603,1))&gt;2),(O603-S603)*(IFERROR(INDEX('TaxCred&amp;Subs'!$J$66:$J$99,MATCH(1,($C603&amp;$D603='TaxCred&amp;Subs'!$E$66:$E$99)*($F603='TaxCred&amp;Subs'!$C$66:$C$99),0)),0)),IF(AND($C603=1,VALUE(RIGHT($AD603,1))&gt;2),(O603-S603)*(IFERROR(INDEX('TaxCred&amp;Subs'!$J$66:$J$99,MATCH(1,($C603&amp;$D603='TaxCred&amp;Subs'!$D$66:$D$99)*($F603='TaxCred&amp;Subs'!$C$66:$C$99),0)),0)),IF($C603&gt;2,(O603-S603)*(IFERROR(INDEX('TaxCred&amp;Subs'!$J$66:$J$99,MATCH(1,($C603&amp;$D603='TaxCred&amp;Subs'!$D$66:$D$99)*($F603='TaxCred&amp;Subs'!$C$66:$C$99),0)),0)),0))),0)</f>
        <v>0</v>
      </c>
      <c r="R603" s="95">
        <f t="array" ref="R603">ROUND(IF(IFERROR(VALUE(RIGHT($AD603,1)),0)&gt;2,IF($C603=8,N603*IFERROR(INDEX('TaxCred&amp;Subs'!$K$139:$S$151,MATCH($C603&amp;$D603&amp;LEFT($AD603,7),'TaxCred&amp;Subs'!$E$139:$E$151,0),MATCH($H603,'TaxCred&amp;Subs'!$K$137:$S$137,0)),0),IF($C603=2,N603*IFERROR(INDEX('TaxCred&amp;Subs'!$K$139:$S$151,MATCH($C603&amp;$D603,'TaxCred&amp;Subs'!$D$139:$D$151,0),MATCH($H603,'TaxCred&amp;Subs'!$K$137:$S$137,0)),0),N603*IFERROR(INDEX('TaxCred&amp;Subs'!$K$139:$S$151,MATCH($C603&amp;$D603,'TaxCred&amp;Subs'!$C$139:$C$151,0),MATCH($H603,'TaxCred&amp;Subs'!$K$137:$S$137,0)),0))),0),0)</f>
        <v>119</v>
      </c>
      <c r="S603" s="95">
        <f t="array" ref="S603">ROUND(IF(IFERROR(VALUE(RIGHT($AD603,1)),0)&gt;2,IF($C603=8,O603*IFERROR(INDEX('TaxCred&amp;Subs'!$K$139:$S$151,MATCH($C603&amp;$D603&amp;LEFT($AD603,7),'TaxCred&amp;Subs'!$E$139:$E$151,0),MATCH($H603,'TaxCred&amp;Subs'!$K$137:$S$137,0)),0),IF($C603=2,O603*IFERROR(INDEX('TaxCred&amp;Subs'!$K$139:$S$151,MATCH($C603&amp;$D603,'TaxCred&amp;Subs'!$D$139:$D$151,0),MATCH($H603,'TaxCred&amp;Subs'!$K$137:$S$137,0)),0),O603*IFERROR(INDEX('TaxCred&amp;Subs'!$K$139:$S$151,MATCH($C603&amp;$D603,'TaxCred&amp;Subs'!$C$139:$C$151,0),MATCH($H603,'TaxCred&amp;Subs'!$K$137:$S$137,0)),0))),0),0)</f>
        <v>72</v>
      </c>
      <c r="T603" s="95">
        <f t="shared" si="35"/>
        <v>0</v>
      </c>
      <c r="U603" s="95">
        <f t="shared" si="36"/>
        <v>0</v>
      </c>
      <c r="V603" s="28" t="s">
        <v>222</v>
      </c>
      <c r="W603" s="31">
        <v>2020</v>
      </c>
      <c r="X603" s="28">
        <v>1</v>
      </c>
      <c r="Y603" s="28">
        <v>0</v>
      </c>
      <c r="Z603" s="196">
        <v>-3.3939727104598718E-3</v>
      </c>
      <c r="AA603" s="196">
        <v>-5.2214964776305717E-2</v>
      </c>
      <c r="AB603" s="28">
        <v>0</v>
      </c>
      <c r="AC603" s="28">
        <v>0</v>
      </c>
      <c r="AD603" s="28" t="s">
        <v>341</v>
      </c>
    </row>
    <row r="604" spans="2:31" ht="14.25" customHeight="1" x14ac:dyDescent="0.2">
      <c r="B604" s="7">
        <f t="shared" si="41"/>
        <v>580</v>
      </c>
      <c r="C604" s="28">
        <v>5</v>
      </c>
      <c r="D604" s="28">
        <v>1</v>
      </c>
      <c r="E604" s="31">
        <v>2</v>
      </c>
      <c r="F604" s="96">
        <v>2020</v>
      </c>
      <c r="G604" s="28">
        <v>2022</v>
      </c>
      <c r="H604" s="28">
        <v>3</v>
      </c>
      <c r="I604" s="28">
        <v>0</v>
      </c>
      <c r="J604" s="28">
        <v>0</v>
      </c>
      <c r="K604" s="28">
        <v>0</v>
      </c>
      <c r="L604" s="28">
        <v>0</v>
      </c>
      <c r="M604" s="75">
        <v>0.66</v>
      </c>
      <c r="N604" s="151">
        <v>1325</v>
      </c>
      <c r="O604" s="151">
        <v>800</v>
      </c>
      <c r="P604" s="95">
        <f t="array" ref="P604">ROUND(IF($F604&lt;='TaxCred&amp;Subs'!$C$49,(IF($C604=2,IF($M604&gt;=IFERROR(INDEX('TaxCred&amp;Subs'!$L$12:$L$47,MATCH(1,($C604&amp;$D604='TaxCred&amp;Subs'!$E$12:$E$47)*($F604='TaxCred&amp;Subs'!$C$12:$C$47),0)
),9999),IFERROR(INDEX('TaxCred&amp;Subs'!$N$12:$N$47,MATCH(1,($C604&amp;$D604='TaxCred&amp;Subs'!$E$12:$E$47)*($F604='TaxCred&amp;Subs'!$C$12:$C$47),0)
),0),0),(IF($M604&gt;=IFERROR(INDEX('TaxCred&amp;Subs'!$H$12:$H$47,MATCH(1,($C604&amp;$D604='TaxCred&amp;Subs'!$D$12:$D$47)*($F604='TaxCred&amp;Subs'!$C$12:$C$47),0)
),9999),IFERROR(INDEX('TaxCred&amp;Subs'!$N$12:$N$47,MATCH(1,($C604&amp;$D604='TaxCred&amp;Subs'!$D$12:$D$47)*($F604='TaxCred&amp;Subs'!$C$12:$C$47),0)
),0),0)))),0)+IF(AND($C604=2,VALUE(RIGHT($AD604,1))&gt;2),(N604-R604)*(IFERROR(INDEX('TaxCred&amp;Subs'!$J$66:$J$99,MATCH(1,($C604&amp;$D604='TaxCred&amp;Subs'!$E$66:$E$99)*($F604='TaxCred&amp;Subs'!$C$66:$C$99),0)),0)),IF(AND($C604=1,VALUE(RIGHT($AD604,1))&gt;2),(N604-R604)*(IFERROR(INDEX('TaxCred&amp;Subs'!$J$66:$J$99,MATCH(1,($C604&amp;$D604='TaxCred&amp;Subs'!$D$66:$D$99)*($F604='TaxCred&amp;Subs'!$C$66:$C$99),0)),0)),IF($C604&gt;2,(N604-R604)*(IFERROR(INDEX('TaxCred&amp;Subs'!$J$66:$J$99,MATCH(1,($C604&amp;$D604='TaxCred&amp;Subs'!$D$66:$D$99)*($F604='TaxCred&amp;Subs'!$C$66:$C$99),0)),0)),0))),0)</f>
        <v>0</v>
      </c>
      <c r="Q604" s="95">
        <f t="array" ref="Q604">ROUND(IF(AND($C604=2,VALUE(RIGHT($AD604,1))&gt;2),(O604-S604)*(IFERROR(INDEX('TaxCred&amp;Subs'!$J$66:$J$99,MATCH(1,($C604&amp;$D604='TaxCred&amp;Subs'!$E$66:$E$99)*($F604='TaxCred&amp;Subs'!$C$66:$C$99),0)),0)),IF(AND($C604=1,VALUE(RIGHT($AD604,1))&gt;2),(O604-S604)*(IFERROR(INDEX('TaxCred&amp;Subs'!$J$66:$J$99,MATCH(1,($C604&amp;$D604='TaxCred&amp;Subs'!$D$66:$D$99)*($F604='TaxCred&amp;Subs'!$C$66:$C$99),0)),0)),IF($C604&gt;2,(O604-S604)*(IFERROR(INDEX('TaxCred&amp;Subs'!$J$66:$J$99,MATCH(1,($C604&amp;$D604='TaxCred&amp;Subs'!$D$66:$D$99)*($F604='TaxCred&amp;Subs'!$C$66:$C$99),0)),0)),0))),0)</f>
        <v>0</v>
      </c>
      <c r="R604" s="95">
        <f t="array" ref="R604">ROUND(IF(IFERROR(VALUE(RIGHT($AD604,1)),0)&gt;2,IF($C604=8,N604*IFERROR(INDEX('TaxCred&amp;Subs'!$K$139:$S$151,MATCH($C604&amp;$D604&amp;LEFT($AD604,7),'TaxCred&amp;Subs'!$E$139:$E$151,0),MATCH($H604,'TaxCred&amp;Subs'!$K$137:$S$137,0)),0),IF($C604=2,N604*IFERROR(INDEX('TaxCred&amp;Subs'!$K$139:$S$151,MATCH($C604&amp;$D604,'TaxCred&amp;Subs'!$D$139:$D$151,0),MATCH($H604,'TaxCred&amp;Subs'!$K$137:$S$137,0)),0),N604*IFERROR(INDEX('TaxCred&amp;Subs'!$K$139:$S$151,MATCH($C604&amp;$D604,'TaxCred&amp;Subs'!$C$139:$C$151,0),MATCH($H604,'TaxCred&amp;Subs'!$K$137:$S$137,0)),0))),0),0)</f>
        <v>11</v>
      </c>
      <c r="S604" s="95">
        <f t="array" ref="S604">ROUND(IF(IFERROR(VALUE(RIGHT($AD604,1)),0)&gt;2,IF($C604=8,O604*IFERROR(INDEX('TaxCred&amp;Subs'!$K$139:$S$151,MATCH($C604&amp;$D604&amp;LEFT($AD604,7),'TaxCred&amp;Subs'!$E$139:$E$151,0),MATCH($H604,'TaxCred&amp;Subs'!$K$137:$S$137,0)),0),IF($C604=2,O604*IFERROR(INDEX('TaxCred&amp;Subs'!$K$139:$S$151,MATCH($C604&amp;$D604,'TaxCred&amp;Subs'!$D$139:$D$151,0),MATCH($H604,'TaxCred&amp;Subs'!$K$137:$S$137,0)),0),O604*IFERROR(INDEX('TaxCred&amp;Subs'!$K$139:$S$151,MATCH($C604&amp;$D604,'TaxCred&amp;Subs'!$C$139:$C$151,0),MATCH($H604,'TaxCred&amp;Subs'!$K$137:$S$137,0)),0))),0),0)</f>
        <v>6</v>
      </c>
      <c r="T604" s="95">
        <f t="shared" si="35"/>
        <v>0</v>
      </c>
      <c r="U604" s="95">
        <f t="shared" si="36"/>
        <v>0</v>
      </c>
      <c r="V604" s="28" t="s">
        <v>222</v>
      </c>
      <c r="W604" s="31">
        <v>2020</v>
      </c>
      <c r="X604" s="28">
        <v>1</v>
      </c>
      <c r="Y604" s="28">
        <v>0</v>
      </c>
      <c r="Z604" s="196">
        <v>-3.3939727104598718E-3</v>
      </c>
      <c r="AA604" s="196">
        <v>-5.2214964776305717E-2</v>
      </c>
      <c r="AB604" s="28">
        <v>0</v>
      </c>
      <c r="AC604" s="28">
        <v>0</v>
      </c>
      <c r="AD604" s="28" t="s">
        <v>341</v>
      </c>
    </row>
    <row r="605" spans="2:31" ht="14.25" customHeight="1" x14ac:dyDescent="0.2">
      <c r="B605" s="7">
        <f t="shared" si="41"/>
        <v>581</v>
      </c>
      <c r="C605" s="28">
        <v>5</v>
      </c>
      <c r="D605" s="28">
        <v>1</v>
      </c>
      <c r="E605" s="31">
        <v>2</v>
      </c>
      <c r="F605" s="96">
        <v>2020</v>
      </c>
      <c r="G605" s="28">
        <v>2022</v>
      </c>
      <c r="H605" s="28">
        <v>4</v>
      </c>
      <c r="I605" s="28">
        <v>0</v>
      </c>
      <c r="J605" s="28">
        <v>0</v>
      </c>
      <c r="K605" s="28">
        <v>0</v>
      </c>
      <c r="L605" s="28">
        <v>0</v>
      </c>
      <c r="M605" s="75">
        <v>0.66</v>
      </c>
      <c r="N605" s="151">
        <v>1325</v>
      </c>
      <c r="O605" s="151">
        <v>800</v>
      </c>
      <c r="P605" s="95">
        <f t="array" ref="P605">ROUND(IF($F605&lt;='TaxCred&amp;Subs'!$C$49,(IF($C605=2,IF($M605&gt;=IFERROR(INDEX('TaxCred&amp;Subs'!$L$12:$L$47,MATCH(1,($C605&amp;$D605='TaxCred&amp;Subs'!$E$12:$E$47)*($F605='TaxCred&amp;Subs'!$C$12:$C$47),0)
),9999),IFERROR(INDEX('TaxCred&amp;Subs'!$N$12:$N$47,MATCH(1,($C605&amp;$D605='TaxCred&amp;Subs'!$E$12:$E$47)*($F605='TaxCred&amp;Subs'!$C$12:$C$47),0)
),0),0),(IF($M605&gt;=IFERROR(INDEX('TaxCred&amp;Subs'!$H$12:$H$47,MATCH(1,($C605&amp;$D605='TaxCred&amp;Subs'!$D$12:$D$47)*($F605='TaxCred&amp;Subs'!$C$12:$C$47),0)
),9999),IFERROR(INDEX('TaxCred&amp;Subs'!$N$12:$N$47,MATCH(1,($C605&amp;$D605='TaxCred&amp;Subs'!$D$12:$D$47)*($F605='TaxCred&amp;Subs'!$C$12:$C$47),0)
),0),0)))),0)+IF(AND($C605=2,VALUE(RIGHT($AD605,1))&gt;2),(N605-R605)*(IFERROR(INDEX('TaxCred&amp;Subs'!$J$66:$J$99,MATCH(1,($C605&amp;$D605='TaxCred&amp;Subs'!$E$66:$E$99)*($F605='TaxCred&amp;Subs'!$C$66:$C$99),0)),0)),IF(AND($C605=1,VALUE(RIGHT($AD605,1))&gt;2),(N605-R605)*(IFERROR(INDEX('TaxCred&amp;Subs'!$J$66:$J$99,MATCH(1,($C605&amp;$D605='TaxCred&amp;Subs'!$D$66:$D$99)*($F605='TaxCred&amp;Subs'!$C$66:$C$99),0)),0)),IF($C605&gt;2,(N605-R605)*(IFERROR(INDEX('TaxCred&amp;Subs'!$J$66:$J$99,MATCH(1,($C605&amp;$D605='TaxCred&amp;Subs'!$D$66:$D$99)*($F605='TaxCred&amp;Subs'!$C$66:$C$99),0)),0)),0))),0)</f>
        <v>0</v>
      </c>
      <c r="Q605" s="95">
        <f t="array" ref="Q605">ROUND(IF(AND($C605=2,VALUE(RIGHT($AD605,1))&gt;2),(O605-S605)*(IFERROR(INDEX('TaxCred&amp;Subs'!$J$66:$J$99,MATCH(1,($C605&amp;$D605='TaxCred&amp;Subs'!$E$66:$E$99)*($F605='TaxCred&amp;Subs'!$C$66:$C$99),0)),0)),IF(AND($C605=1,VALUE(RIGHT($AD605,1))&gt;2),(O605-S605)*(IFERROR(INDEX('TaxCred&amp;Subs'!$J$66:$J$99,MATCH(1,($C605&amp;$D605='TaxCred&amp;Subs'!$D$66:$D$99)*($F605='TaxCred&amp;Subs'!$C$66:$C$99),0)),0)),IF($C605&gt;2,(O605-S605)*(IFERROR(INDEX('TaxCred&amp;Subs'!$J$66:$J$99,MATCH(1,($C605&amp;$D605='TaxCred&amp;Subs'!$D$66:$D$99)*($F605='TaxCred&amp;Subs'!$C$66:$C$99),0)),0)),0))),0)</f>
        <v>0</v>
      </c>
      <c r="R605" s="95">
        <f t="array" ref="R605">ROUND(IF(IFERROR(VALUE(RIGHT($AD605,1)),0)&gt;2,IF($C605=8,N605*IFERROR(INDEX('TaxCred&amp;Subs'!$K$139:$S$151,MATCH($C605&amp;$D605&amp;LEFT($AD605,7),'TaxCred&amp;Subs'!$E$139:$E$151,0),MATCH($H605,'TaxCred&amp;Subs'!$K$137:$S$137,0)),0),IF($C605=2,N605*IFERROR(INDEX('TaxCred&amp;Subs'!$K$139:$S$151,MATCH($C605&amp;$D605,'TaxCred&amp;Subs'!$D$139:$D$151,0),MATCH($H605,'TaxCred&amp;Subs'!$K$137:$S$137,0)),0),N605*IFERROR(INDEX('TaxCred&amp;Subs'!$K$139:$S$151,MATCH($C605&amp;$D605,'TaxCred&amp;Subs'!$C$139:$C$151,0),MATCH($H605,'TaxCred&amp;Subs'!$K$137:$S$137,0)),0))),0),0)</f>
        <v>43</v>
      </c>
      <c r="S605" s="95">
        <f t="array" ref="S605">ROUND(IF(IFERROR(VALUE(RIGHT($AD605,1)),0)&gt;2,IF($C605=8,O605*IFERROR(INDEX('TaxCred&amp;Subs'!$K$139:$S$151,MATCH($C605&amp;$D605&amp;LEFT($AD605,7),'TaxCred&amp;Subs'!$E$139:$E$151,0),MATCH($H605,'TaxCred&amp;Subs'!$K$137:$S$137,0)),0),IF($C605=2,O605*IFERROR(INDEX('TaxCred&amp;Subs'!$K$139:$S$151,MATCH($C605&amp;$D605,'TaxCred&amp;Subs'!$D$139:$D$151,0),MATCH($H605,'TaxCred&amp;Subs'!$K$137:$S$137,0)),0),O605*IFERROR(INDEX('TaxCred&amp;Subs'!$K$139:$S$151,MATCH($C605&amp;$D605,'TaxCred&amp;Subs'!$C$139:$C$151,0),MATCH($H605,'TaxCred&amp;Subs'!$K$137:$S$137,0)),0))),0),0)</f>
        <v>26</v>
      </c>
      <c r="T605" s="95">
        <f t="shared" si="35"/>
        <v>0</v>
      </c>
      <c r="U605" s="95">
        <f t="shared" si="36"/>
        <v>0</v>
      </c>
      <c r="V605" s="28" t="s">
        <v>222</v>
      </c>
      <c r="W605" s="31">
        <v>2020</v>
      </c>
      <c r="X605" s="28">
        <v>1</v>
      </c>
      <c r="Y605" s="28">
        <v>0</v>
      </c>
      <c r="Z605" s="196">
        <v>-3.3939727104598718E-3</v>
      </c>
      <c r="AA605" s="196">
        <v>-5.2214964776305717E-2</v>
      </c>
      <c r="AB605" s="28">
        <v>0</v>
      </c>
      <c r="AC605" s="28">
        <v>0</v>
      </c>
      <c r="AD605" s="28" t="s">
        <v>341</v>
      </c>
    </row>
    <row r="606" spans="2:31" ht="14.25" customHeight="1" x14ac:dyDescent="0.2">
      <c r="B606" s="7">
        <f t="shared" si="41"/>
        <v>582</v>
      </c>
      <c r="C606" s="28">
        <v>5</v>
      </c>
      <c r="D606" s="28">
        <v>1</v>
      </c>
      <c r="E606" s="31">
        <v>2</v>
      </c>
      <c r="F606" s="96">
        <v>2020</v>
      </c>
      <c r="G606" s="28">
        <v>2022</v>
      </c>
      <c r="H606" s="28">
        <v>5</v>
      </c>
      <c r="I606" s="28">
        <v>0</v>
      </c>
      <c r="J606" s="28">
        <v>0</v>
      </c>
      <c r="K606" s="28">
        <v>0</v>
      </c>
      <c r="L606" s="28">
        <v>0</v>
      </c>
      <c r="M606" s="75">
        <v>0.66</v>
      </c>
      <c r="N606" s="151">
        <v>1325</v>
      </c>
      <c r="O606" s="151">
        <v>800</v>
      </c>
      <c r="P606" s="95">
        <f t="array" ref="P606">ROUND(IF($F606&lt;='TaxCred&amp;Subs'!$C$49,(IF($C606=2,IF($M606&gt;=IFERROR(INDEX('TaxCred&amp;Subs'!$L$12:$L$47,MATCH(1,($C606&amp;$D606='TaxCred&amp;Subs'!$E$12:$E$47)*($F606='TaxCred&amp;Subs'!$C$12:$C$47),0)
),9999),IFERROR(INDEX('TaxCred&amp;Subs'!$N$12:$N$47,MATCH(1,($C606&amp;$D606='TaxCred&amp;Subs'!$E$12:$E$47)*($F606='TaxCred&amp;Subs'!$C$12:$C$47),0)
),0),0),(IF($M606&gt;=IFERROR(INDEX('TaxCred&amp;Subs'!$H$12:$H$47,MATCH(1,($C606&amp;$D606='TaxCred&amp;Subs'!$D$12:$D$47)*($F606='TaxCred&amp;Subs'!$C$12:$C$47),0)
),9999),IFERROR(INDEX('TaxCred&amp;Subs'!$N$12:$N$47,MATCH(1,($C606&amp;$D606='TaxCred&amp;Subs'!$D$12:$D$47)*($F606='TaxCred&amp;Subs'!$C$12:$C$47),0)
),0),0)))),0)+IF(AND($C606=2,VALUE(RIGHT($AD606,1))&gt;2),(N606-R606)*(IFERROR(INDEX('TaxCred&amp;Subs'!$J$66:$J$99,MATCH(1,($C606&amp;$D606='TaxCred&amp;Subs'!$E$66:$E$99)*($F606='TaxCred&amp;Subs'!$C$66:$C$99),0)),0)),IF(AND($C606=1,VALUE(RIGHT($AD606,1))&gt;2),(N606-R606)*(IFERROR(INDEX('TaxCred&amp;Subs'!$J$66:$J$99,MATCH(1,($C606&amp;$D606='TaxCred&amp;Subs'!$D$66:$D$99)*($F606='TaxCred&amp;Subs'!$C$66:$C$99),0)),0)),IF($C606&gt;2,(N606-R606)*(IFERROR(INDEX('TaxCred&amp;Subs'!$J$66:$J$99,MATCH(1,($C606&amp;$D606='TaxCred&amp;Subs'!$D$66:$D$99)*($F606='TaxCred&amp;Subs'!$C$66:$C$99),0)),0)),0))),0)</f>
        <v>0</v>
      </c>
      <c r="Q606" s="95">
        <f t="array" ref="Q606">ROUND(IF(AND($C606=2,VALUE(RIGHT($AD606,1))&gt;2),(O606-S606)*(IFERROR(INDEX('TaxCred&amp;Subs'!$J$66:$J$99,MATCH(1,($C606&amp;$D606='TaxCred&amp;Subs'!$E$66:$E$99)*($F606='TaxCred&amp;Subs'!$C$66:$C$99),0)),0)),IF(AND($C606=1,VALUE(RIGHT($AD606,1))&gt;2),(O606-S606)*(IFERROR(INDEX('TaxCred&amp;Subs'!$J$66:$J$99,MATCH(1,($C606&amp;$D606='TaxCred&amp;Subs'!$D$66:$D$99)*($F606='TaxCred&amp;Subs'!$C$66:$C$99),0)),0)),IF($C606&gt;2,(O606-S606)*(IFERROR(INDEX('TaxCred&amp;Subs'!$J$66:$J$99,MATCH(1,($C606&amp;$D606='TaxCred&amp;Subs'!$D$66:$D$99)*($F606='TaxCred&amp;Subs'!$C$66:$C$99),0)),0)),0))),0)</f>
        <v>0</v>
      </c>
      <c r="R606" s="95">
        <f t="array" ref="R606">ROUND(IF(IFERROR(VALUE(RIGHT($AD606,1)),0)&gt;2,IF($C606=8,N606*IFERROR(INDEX('TaxCred&amp;Subs'!$K$139:$S$151,MATCH($C606&amp;$D606&amp;LEFT($AD606,7),'TaxCred&amp;Subs'!$E$139:$E$151,0),MATCH($H606,'TaxCred&amp;Subs'!$K$137:$S$137,0)),0),IF($C606=2,N606*IFERROR(INDEX('TaxCred&amp;Subs'!$K$139:$S$151,MATCH($C606&amp;$D606,'TaxCred&amp;Subs'!$D$139:$D$151,0),MATCH($H606,'TaxCred&amp;Subs'!$K$137:$S$137,0)),0),N606*IFERROR(INDEX('TaxCred&amp;Subs'!$K$139:$S$151,MATCH($C606&amp;$D606,'TaxCred&amp;Subs'!$C$139:$C$151,0),MATCH($H606,'TaxCred&amp;Subs'!$K$137:$S$137,0)),0))),0),0)</f>
        <v>4</v>
      </c>
      <c r="S606" s="95">
        <f t="array" ref="S606">ROUND(IF(IFERROR(VALUE(RIGHT($AD606,1)),0)&gt;2,IF($C606=8,O606*IFERROR(INDEX('TaxCred&amp;Subs'!$K$139:$S$151,MATCH($C606&amp;$D606&amp;LEFT($AD606,7),'TaxCred&amp;Subs'!$E$139:$E$151,0),MATCH($H606,'TaxCred&amp;Subs'!$K$137:$S$137,0)),0),IF($C606=2,O606*IFERROR(INDEX('TaxCred&amp;Subs'!$K$139:$S$151,MATCH($C606&amp;$D606,'TaxCred&amp;Subs'!$D$139:$D$151,0),MATCH($H606,'TaxCred&amp;Subs'!$K$137:$S$137,0)),0),O606*IFERROR(INDEX('TaxCred&amp;Subs'!$K$139:$S$151,MATCH($C606&amp;$D606,'TaxCred&amp;Subs'!$C$139:$C$151,0),MATCH($H606,'TaxCred&amp;Subs'!$K$137:$S$137,0)),0))),0),0)</f>
        <v>3</v>
      </c>
      <c r="T606" s="95">
        <f t="shared" si="35"/>
        <v>0</v>
      </c>
      <c r="U606" s="95">
        <f t="shared" si="36"/>
        <v>0</v>
      </c>
      <c r="V606" s="28" t="s">
        <v>222</v>
      </c>
      <c r="W606" s="31">
        <v>2020</v>
      </c>
      <c r="X606" s="28">
        <v>1</v>
      </c>
      <c r="Y606" s="28">
        <v>0</v>
      </c>
      <c r="Z606" s="196">
        <v>-3.3939727104598718E-3</v>
      </c>
      <c r="AA606" s="196">
        <v>-5.2214964776305717E-2</v>
      </c>
      <c r="AB606" s="28">
        <v>0</v>
      </c>
      <c r="AC606" s="28">
        <v>0</v>
      </c>
      <c r="AD606" s="28" t="s">
        <v>341</v>
      </c>
    </row>
    <row r="607" spans="2:31" ht="14.25" customHeight="1" x14ac:dyDescent="0.2">
      <c r="B607" s="7">
        <f t="shared" si="41"/>
        <v>583</v>
      </c>
      <c r="C607" s="28">
        <v>5</v>
      </c>
      <c r="D607" s="28">
        <v>1</v>
      </c>
      <c r="E607" s="31">
        <v>2</v>
      </c>
      <c r="F607" s="96">
        <v>2020</v>
      </c>
      <c r="G607" s="28">
        <v>2022</v>
      </c>
      <c r="H607" s="28">
        <v>6</v>
      </c>
      <c r="I607" s="28">
        <v>0</v>
      </c>
      <c r="J607" s="28">
        <v>0</v>
      </c>
      <c r="K607" s="28">
        <v>0</v>
      </c>
      <c r="L607" s="28">
        <v>0</v>
      </c>
      <c r="M607" s="75">
        <v>0.66</v>
      </c>
      <c r="N607" s="151">
        <v>1325</v>
      </c>
      <c r="O607" s="151">
        <v>800</v>
      </c>
      <c r="P607" s="95">
        <f t="array" ref="P607">ROUND(IF($F607&lt;='TaxCred&amp;Subs'!$C$49,(IF($C607=2,IF($M607&gt;=IFERROR(INDEX('TaxCred&amp;Subs'!$L$12:$L$47,MATCH(1,($C607&amp;$D607='TaxCred&amp;Subs'!$E$12:$E$47)*($F607='TaxCred&amp;Subs'!$C$12:$C$47),0)
),9999),IFERROR(INDEX('TaxCred&amp;Subs'!$N$12:$N$47,MATCH(1,($C607&amp;$D607='TaxCred&amp;Subs'!$E$12:$E$47)*($F607='TaxCred&amp;Subs'!$C$12:$C$47),0)
),0),0),(IF($M607&gt;=IFERROR(INDEX('TaxCred&amp;Subs'!$H$12:$H$47,MATCH(1,($C607&amp;$D607='TaxCred&amp;Subs'!$D$12:$D$47)*($F607='TaxCred&amp;Subs'!$C$12:$C$47),0)
),9999),IFERROR(INDEX('TaxCred&amp;Subs'!$N$12:$N$47,MATCH(1,($C607&amp;$D607='TaxCred&amp;Subs'!$D$12:$D$47)*($F607='TaxCred&amp;Subs'!$C$12:$C$47),0)
),0),0)))),0)+IF(AND($C607=2,VALUE(RIGHT($AD607,1))&gt;2),(N607-R607)*(IFERROR(INDEX('TaxCred&amp;Subs'!$J$66:$J$99,MATCH(1,($C607&amp;$D607='TaxCred&amp;Subs'!$E$66:$E$99)*($F607='TaxCred&amp;Subs'!$C$66:$C$99),0)),0)),IF(AND($C607=1,VALUE(RIGHT($AD607,1))&gt;2),(N607-R607)*(IFERROR(INDEX('TaxCred&amp;Subs'!$J$66:$J$99,MATCH(1,($C607&amp;$D607='TaxCred&amp;Subs'!$D$66:$D$99)*($F607='TaxCred&amp;Subs'!$C$66:$C$99),0)),0)),IF($C607&gt;2,(N607-R607)*(IFERROR(INDEX('TaxCred&amp;Subs'!$J$66:$J$99,MATCH(1,($C607&amp;$D607='TaxCred&amp;Subs'!$D$66:$D$99)*($F607='TaxCred&amp;Subs'!$C$66:$C$99),0)),0)),0))),0)</f>
        <v>0</v>
      </c>
      <c r="Q607" s="95">
        <f t="array" ref="Q607">ROUND(IF(AND($C607=2,VALUE(RIGHT($AD607,1))&gt;2),(O607-S607)*(IFERROR(INDEX('TaxCred&amp;Subs'!$J$66:$J$99,MATCH(1,($C607&amp;$D607='TaxCred&amp;Subs'!$E$66:$E$99)*($F607='TaxCred&amp;Subs'!$C$66:$C$99),0)),0)),IF(AND($C607=1,VALUE(RIGHT($AD607,1))&gt;2),(O607-S607)*(IFERROR(INDEX('TaxCred&amp;Subs'!$J$66:$J$99,MATCH(1,($C607&amp;$D607='TaxCred&amp;Subs'!$D$66:$D$99)*($F607='TaxCred&amp;Subs'!$C$66:$C$99),0)),0)),IF($C607&gt;2,(O607-S607)*(IFERROR(INDEX('TaxCred&amp;Subs'!$J$66:$J$99,MATCH(1,($C607&amp;$D607='TaxCred&amp;Subs'!$D$66:$D$99)*($F607='TaxCred&amp;Subs'!$C$66:$C$99),0)),0)),0))),0)</f>
        <v>0</v>
      </c>
      <c r="R607" s="95">
        <f t="array" ref="R607">ROUND(IF(IFERROR(VALUE(RIGHT($AD607,1)),0)&gt;2,IF($C607=8,N607*IFERROR(INDEX('TaxCred&amp;Subs'!$K$139:$S$151,MATCH($C607&amp;$D607&amp;LEFT($AD607,7),'TaxCred&amp;Subs'!$E$139:$E$151,0),MATCH($H607,'TaxCred&amp;Subs'!$K$137:$S$137,0)),0),IF($C607=2,N607*IFERROR(INDEX('TaxCred&amp;Subs'!$K$139:$S$151,MATCH($C607&amp;$D607,'TaxCred&amp;Subs'!$D$139:$D$151,0),MATCH($H607,'TaxCred&amp;Subs'!$K$137:$S$137,0)),0),N607*IFERROR(INDEX('TaxCred&amp;Subs'!$K$139:$S$151,MATCH($C607&amp;$D607,'TaxCred&amp;Subs'!$C$139:$C$151,0),MATCH($H607,'TaxCred&amp;Subs'!$K$137:$S$137,0)),0))),0),0)</f>
        <v>7</v>
      </c>
      <c r="S607" s="95">
        <f t="array" ref="S607">ROUND(IF(IFERROR(VALUE(RIGHT($AD607,1)),0)&gt;2,IF($C607=8,O607*IFERROR(INDEX('TaxCred&amp;Subs'!$K$139:$S$151,MATCH($C607&amp;$D607&amp;LEFT($AD607,7),'TaxCred&amp;Subs'!$E$139:$E$151,0),MATCH($H607,'TaxCred&amp;Subs'!$K$137:$S$137,0)),0),IF($C607=2,O607*IFERROR(INDEX('TaxCred&amp;Subs'!$K$139:$S$151,MATCH($C607&amp;$D607,'TaxCred&amp;Subs'!$D$139:$D$151,0),MATCH($H607,'TaxCred&amp;Subs'!$K$137:$S$137,0)),0),O607*IFERROR(INDEX('TaxCred&amp;Subs'!$K$139:$S$151,MATCH($C607&amp;$D607,'TaxCred&amp;Subs'!$C$139:$C$151,0),MATCH($H607,'TaxCred&amp;Subs'!$K$137:$S$137,0)),0))),0),0)</f>
        <v>4</v>
      </c>
      <c r="T607" s="95">
        <f t="shared" si="35"/>
        <v>0</v>
      </c>
      <c r="U607" s="95">
        <f t="shared" si="36"/>
        <v>0</v>
      </c>
      <c r="V607" s="28" t="s">
        <v>222</v>
      </c>
      <c r="W607" s="31">
        <v>2020</v>
      </c>
      <c r="X607" s="28">
        <v>1</v>
      </c>
      <c r="Y607" s="28">
        <v>0</v>
      </c>
      <c r="Z607" s="196">
        <v>-3.3939727104598718E-3</v>
      </c>
      <c r="AA607" s="196">
        <v>-5.2214964776305717E-2</v>
      </c>
      <c r="AB607" s="28">
        <v>0</v>
      </c>
      <c r="AC607" s="28">
        <v>0</v>
      </c>
      <c r="AD607" s="28" t="s">
        <v>341</v>
      </c>
    </row>
    <row r="608" spans="2:31" ht="14.25" customHeight="1" x14ac:dyDescent="0.2">
      <c r="B608" s="7">
        <f t="shared" si="41"/>
        <v>584</v>
      </c>
      <c r="C608" s="28">
        <v>5</v>
      </c>
      <c r="D608" s="28">
        <v>1</v>
      </c>
      <c r="E608" s="31">
        <v>2</v>
      </c>
      <c r="F608" s="96">
        <v>2020</v>
      </c>
      <c r="G608" s="28">
        <v>2022</v>
      </c>
      <c r="H608" s="28">
        <v>7</v>
      </c>
      <c r="I608" s="28">
        <v>0</v>
      </c>
      <c r="J608" s="28">
        <v>0</v>
      </c>
      <c r="K608" s="28">
        <v>0</v>
      </c>
      <c r="L608" s="28">
        <v>0</v>
      </c>
      <c r="M608" s="75">
        <v>0.66</v>
      </c>
      <c r="N608" s="151">
        <v>1325</v>
      </c>
      <c r="O608" s="151">
        <v>800</v>
      </c>
      <c r="P608" s="95">
        <f t="array" ref="P608">ROUND(IF($F608&lt;='TaxCred&amp;Subs'!$C$49,(IF($C608=2,IF($M608&gt;=IFERROR(INDEX('TaxCred&amp;Subs'!$L$12:$L$47,MATCH(1,($C608&amp;$D608='TaxCred&amp;Subs'!$E$12:$E$47)*($F608='TaxCred&amp;Subs'!$C$12:$C$47),0)
),9999),IFERROR(INDEX('TaxCred&amp;Subs'!$N$12:$N$47,MATCH(1,($C608&amp;$D608='TaxCred&amp;Subs'!$E$12:$E$47)*($F608='TaxCred&amp;Subs'!$C$12:$C$47),0)
),0),0),(IF($M608&gt;=IFERROR(INDEX('TaxCred&amp;Subs'!$H$12:$H$47,MATCH(1,($C608&amp;$D608='TaxCred&amp;Subs'!$D$12:$D$47)*($F608='TaxCred&amp;Subs'!$C$12:$C$47),0)
),9999),IFERROR(INDEX('TaxCred&amp;Subs'!$N$12:$N$47,MATCH(1,($C608&amp;$D608='TaxCred&amp;Subs'!$D$12:$D$47)*($F608='TaxCred&amp;Subs'!$C$12:$C$47),0)
),0),0)))),0)+IF(AND($C608=2,VALUE(RIGHT($AD608,1))&gt;2),(N608-R608)*(IFERROR(INDEX('TaxCred&amp;Subs'!$J$66:$J$99,MATCH(1,($C608&amp;$D608='TaxCred&amp;Subs'!$E$66:$E$99)*($F608='TaxCred&amp;Subs'!$C$66:$C$99),0)),0)),IF(AND($C608=1,VALUE(RIGHT($AD608,1))&gt;2),(N608-R608)*(IFERROR(INDEX('TaxCred&amp;Subs'!$J$66:$J$99,MATCH(1,($C608&amp;$D608='TaxCred&amp;Subs'!$D$66:$D$99)*($F608='TaxCred&amp;Subs'!$C$66:$C$99),0)),0)),IF($C608&gt;2,(N608-R608)*(IFERROR(INDEX('TaxCred&amp;Subs'!$J$66:$J$99,MATCH(1,($C608&amp;$D608='TaxCred&amp;Subs'!$D$66:$D$99)*($F608='TaxCred&amp;Subs'!$C$66:$C$99),0)),0)),0))),0)</f>
        <v>0</v>
      </c>
      <c r="Q608" s="95">
        <f t="array" ref="Q608">ROUND(IF(AND($C608=2,VALUE(RIGHT($AD608,1))&gt;2),(O608-S608)*(IFERROR(INDEX('TaxCred&amp;Subs'!$J$66:$J$99,MATCH(1,($C608&amp;$D608='TaxCred&amp;Subs'!$E$66:$E$99)*($F608='TaxCred&amp;Subs'!$C$66:$C$99),0)),0)),IF(AND($C608=1,VALUE(RIGHT($AD608,1))&gt;2),(O608-S608)*(IFERROR(INDEX('TaxCred&amp;Subs'!$J$66:$J$99,MATCH(1,($C608&amp;$D608='TaxCred&amp;Subs'!$D$66:$D$99)*($F608='TaxCred&amp;Subs'!$C$66:$C$99),0)),0)),IF($C608&gt;2,(O608-S608)*(IFERROR(INDEX('TaxCred&amp;Subs'!$J$66:$J$99,MATCH(1,($C608&amp;$D608='TaxCred&amp;Subs'!$D$66:$D$99)*($F608='TaxCred&amp;Subs'!$C$66:$C$99),0)),0)),0))),0)</f>
        <v>0</v>
      </c>
      <c r="R608" s="95">
        <f t="array" ref="R608">ROUND(IF(IFERROR(VALUE(RIGHT($AD608,1)),0)&gt;2,IF($C608=8,N608*IFERROR(INDEX('TaxCred&amp;Subs'!$K$139:$S$151,MATCH($C608&amp;$D608&amp;LEFT($AD608,7),'TaxCred&amp;Subs'!$E$139:$E$151,0),MATCH($H608,'TaxCred&amp;Subs'!$K$137:$S$137,0)),0),IF($C608=2,N608*IFERROR(INDEX('TaxCred&amp;Subs'!$K$139:$S$151,MATCH($C608&amp;$D608,'TaxCred&amp;Subs'!$D$139:$D$151,0),MATCH($H608,'TaxCred&amp;Subs'!$K$137:$S$137,0)),0),N608*IFERROR(INDEX('TaxCred&amp;Subs'!$K$139:$S$151,MATCH($C608&amp;$D608,'TaxCred&amp;Subs'!$C$139:$C$151,0),MATCH($H608,'TaxCred&amp;Subs'!$K$137:$S$137,0)),0))),0),0)</f>
        <v>0</v>
      </c>
      <c r="S608" s="95">
        <f t="array" ref="S608">ROUND(IF(IFERROR(VALUE(RIGHT($AD608,1)),0)&gt;2,IF($C608=8,O608*IFERROR(INDEX('TaxCred&amp;Subs'!$K$139:$S$151,MATCH($C608&amp;$D608&amp;LEFT($AD608,7),'TaxCred&amp;Subs'!$E$139:$E$151,0),MATCH($H608,'TaxCred&amp;Subs'!$K$137:$S$137,0)),0),IF($C608=2,O608*IFERROR(INDEX('TaxCred&amp;Subs'!$K$139:$S$151,MATCH($C608&amp;$D608,'TaxCred&amp;Subs'!$D$139:$D$151,0),MATCH($H608,'TaxCred&amp;Subs'!$K$137:$S$137,0)),0),O608*IFERROR(INDEX('TaxCred&amp;Subs'!$K$139:$S$151,MATCH($C608&amp;$D608,'TaxCred&amp;Subs'!$C$139:$C$151,0),MATCH($H608,'TaxCred&amp;Subs'!$K$137:$S$137,0)),0))),0),0)</f>
        <v>0</v>
      </c>
      <c r="T608" s="95">
        <f t="shared" si="35"/>
        <v>0</v>
      </c>
      <c r="U608" s="95">
        <f t="shared" si="36"/>
        <v>0</v>
      </c>
      <c r="V608" s="28" t="s">
        <v>222</v>
      </c>
      <c r="W608" s="31">
        <v>2020</v>
      </c>
      <c r="X608" s="28">
        <v>1</v>
      </c>
      <c r="Y608" s="28">
        <v>0</v>
      </c>
      <c r="Z608" s="196">
        <v>-3.3939727104598718E-3</v>
      </c>
      <c r="AA608" s="196">
        <v>-5.2214964776305717E-2</v>
      </c>
      <c r="AB608" s="28">
        <v>0</v>
      </c>
      <c r="AC608" s="28">
        <v>0</v>
      </c>
      <c r="AD608" s="28" t="s">
        <v>341</v>
      </c>
    </row>
    <row r="609" spans="2:30" ht="14.25" customHeight="1" x14ac:dyDescent="0.2">
      <c r="B609" s="7">
        <f t="shared" si="41"/>
        <v>585</v>
      </c>
      <c r="C609" s="28">
        <v>5</v>
      </c>
      <c r="D609" s="28">
        <v>1</v>
      </c>
      <c r="E609" s="31">
        <v>2</v>
      </c>
      <c r="F609" s="96">
        <v>2020</v>
      </c>
      <c r="G609" s="28">
        <v>2022</v>
      </c>
      <c r="H609" s="28">
        <v>8</v>
      </c>
      <c r="I609" s="28">
        <v>0</v>
      </c>
      <c r="J609" s="28">
        <v>0</v>
      </c>
      <c r="K609" s="28">
        <v>0</v>
      </c>
      <c r="L609" s="28">
        <v>0</v>
      </c>
      <c r="M609" s="75">
        <v>0.66</v>
      </c>
      <c r="N609" s="151">
        <v>1325</v>
      </c>
      <c r="O609" s="151">
        <v>800</v>
      </c>
      <c r="P609" s="95">
        <f t="array" ref="P609">ROUND(IF($F609&lt;='TaxCred&amp;Subs'!$C$49,(IF($C609=2,IF($M609&gt;=IFERROR(INDEX('TaxCred&amp;Subs'!$L$12:$L$47,MATCH(1,($C609&amp;$D609='TaxCred&amp;Subs'!$E$12:$E$47)*($F609='TaxCred&amp;Subs'!$C$12:$C$47),0)
),9999),IFERROR(INDEX('TaxCred&amp;Subs'!$N$12:$N$47,MATCH(1,($C609&amp;$D609='TaxCred&amp;Subs'!$E$12:$E$47)*($F609='TaxCred&amp;Subs'!$C$12:$C$47),0)
),0),0),(IF($M609&gt;=IFERROR(INDEX('TaxCred&amp;Subs'!$H$12:$H$47,MATCH(1,($C609&amp;$D609='TaxCred&amp;Subs'!$D$12:$D$47)*($F609='TaxCred&amp;Subs'!$C$12:$C$47),0)
),9999),IFERROR(INDEX('TaxCred&amp;Subs'!$N$12:$N$47,MATCH(1,($C609&amp;$D609='TaxCred&amp;Subs'!$D$12:$D$47)*($F609='TaxCred&amp;Subs'!$C$12:$C$47),0)
),0),0)))),0)+IF(AND($C609=2,VALUE(RIGHT($AD609,1))&gt;2),(N609-R609)*(IFERROR(INDEX('TaxCred&amp;Subs'!$J$66:$J$99,MATCH(1,($C609&amp;$D609='TaxCred&amp;Subs'!$E$66:$E$99)*($F609='TaxCred&amp;Subs'!$C$66:$C$99),0)),0)),IF(AND($C609=1,VALUE(RIGHT($AD609,1))&gt;2),(N609-R609)*(IFERROR(INDEX('TaxCred&amp;Subs'!$J$66:$J$99,MATCH(1,($C609&amp;$D609='TaxCred&amp;Subs'!$D$66:$D$99)*($F609='TaxCred&amp;Subs'!$C$66:$C$99),0)),0)),IF($C609&gt;2,(N609-R609)*(IFERROR(INDEX('TaxCred&amp;Subs'!$J$66:$J$99,MATCH(1,($C609&amp;$D609='TaxCred&amp;Subs'!$D$66:$D$99)*($F609='TaxCred&amp;Subs'!$C$66:$C$99),0)),0)),0))),0)</f>
        <v>0</v>
      </c>
      <c r="Q609" s="95">
        <f t="array" ref="Q609">ROUND(IF(AND($C609=2,VALUE(RIGHT($AD609,1))&gt;2),(O609-S609)*(IFERROR(INDEX('TaxCred&amp;Subs'!$J$66:$J$99,MATCH(1,($C609&amp;$D609='TaxCred&amp;Subs'!$E$66:$E$99)*($F609='TaxCred&amp;Subs'!$C$66:$C$99),0)),0)),IF(AND($C609=1,VALUE(RIGHT($AD609,1))&gt;2),(O609-S609)*(IFERROR(INDEX('TaxCred&amp;Subs'!$J$66:$J$99,MATCH(1,($C609&amp;$D609='TaxCred&amp;Subs'!$D$66:$D$99)*($F609='TaxCred&amp;Subs'!$C$66:$C$99),0)),0)),IF($C609&gt;2,(O609-S609)*(IFERROR(INDEX('TaxCred&amp;Subs'!$J$66:$J$99,MATCH(1,($C609&amp;$D609='TaxCred&amp;Subs'!$D$66:$D$99)*($F609='TaxCred&amp;Subs'!$C$66:$C$99),0)),0)),0))),0)</f>
        <v>0</v>
      </c>
      <c r="R609" s="95">
        <f t="array" ref="R609">ROUND(IF(IFERROR(VALUE(RIGHT($AD609,1)),0)&gt;2,IF($C609=8,N609*IFERROR(INDEX('TaxCred&amp;Subs'!$K$139:$S$151,MATCH($C609&amp;$D609&amp;LEFT($AD609,7),'TaxCred&amp;Subs'!$E$139:$E$151,0),MATCH($H609,'TaxCred&amp;Subs'!$K$137:$S$137,0)),0),IF($C609=2,N609*IFERROR(INDEX('TaxCred&amp;Subs'!$K$139:$S$151,MATCH($C609&amp;$D609,'TaxCred&amp;Subs'!$D$139:$D$151,0),MATCH($H609,'TaxCred&amp;Subs'!$K$137:$S$137,0)),0),N609*IFERROR(INDEX('TaxCred&amp;Subs'!$K$139:$S$151,MATCH($C609&amp;$D609,'TaxCred&amp;Subs'!$C$139:$C$151,0),MATCH($H609,'TaxCred&amp;Subs'!$K$137:$S$137,0)),0))),0),0)</f>
        <v>21</v>
      </c>
      <c r="S609" s="95">
        <f t="array" ref="S609">ROUND(IF(IFERROR(VALUE(RIGHT($AD609,1)),0)&gt;2,IF($C609=8,O609*IFERROR(INDEX('TaxCred&amp;Subs'!$K$139:$S$151,MATCH($C609&amp;$D609&amp;LEFT($AD609,7),'TaxCred&amp;Subs'!$E$139:$E$151,0),MATCH($H609,'TaxCred&amp;Subs'!$K$137:$S$137,0)),0),IF($C609=2,O609*IFERROR(INDEX('TaxCred&amp;Subs'!$K$139:$S$151,MATCH($C609&amp;$D609,'TaxCred&amp;Subs'!$D$139:$D$151,0),MATCH($H609,'TaxCred&amp;Subs'!$K$137:$S$137,0)),0),O609*IFERROR(INDEX('TaxCred&amp;Subs'!$K$139:$S$151,MATCH($C609&amp;$D609,'TaxCred&amp;Subs'!$C$139:$C$151,0),MATCH($H609,'TaxCred&amp;Subs'!$K$137:$S$137,0)),0))),0),0)</f>
        <v>13</v>
      </c>
      <c r="T609" s="95">
        <f t="shared" si="35"/>
        <v>0</v>
      </c>
      <c r="U609" s="95">
        <f t="shared" si="36"/>
        <v>0</v>
      </c>
      <c r="V609" s="28" t="s">
        <v>222</v>
      </c>
      <c r="W609" s="31">
        <v>2020</v>
      </c>
      <c r="X609" s="28">
        <v>1</v>
      </c>
      <c r="Y609" s="28">
        <v>0</v>
      </c>
      <c r="Z609" s="196">
        <v>-3.3939727104598718E-3</v>
      </c>
      <c r="AA609" s="196">
        <v>-5.2214964776305717E-2</v>
      </c>
      <c r="AB609" s="28">
        <v>0</v>
      </c>
      <c r="AC609" s="28">
        <v>0</v>
      </c>
      <c r="AD609" s="28" t="s">
        <v>341</v>
      </c>
    </row>
    <row r="610" spans="2:30" ht="14.25" customHeight="1" x14ac:dyDescent="0.2">
      <c r="B610" s="7">
        <f t="shared" si="41"/>
        <v>586</v>
      </c>
      <c r="C610" s="28">
        <v>5</v>
      </c>
      <c r="D610" s="28">
        <v>1</v>
      </c>
      <c r="E610" s="31">
        <v>2</v>
      </c>
      <c r="F610" s="96">
        <v>2020</v>
      </c>
      <c r="G610" s="28">
        <v>2022</v>
      </c>
      <c r="H610" s="28">
        <v>9</v>
      </c>
      <c r="I610" s="28">
        <v>0</v>
      </c>
      <c r="J610" s="28">
        <v>0</v>
      </c>
      <c r="K610" s="28">
        <v>0</v>
      </c>
      <c r="L610" s="28">
        <v>0</v>
      </c>
      <c r="M610" s="75">
        <v>0.66</v>
      </c>
      <c r="N610" s="151">
        <v>1325</v>
      </c>
      <c r="O610" s="151">
        <v>800</v>
      </c>
      <c r="P610" s="95">
        <f t="array" ref="P610">ROUND(IF($F610&lt;='TaxCred&amp;Subs'!$C$49,(IF($C610=2,IF($M610&gt;=IFERROR(INDEX('TaxCred&amp;Subs'!$L$12:$L$47,MATCH(1,($C610&amp;$D610='TaxCred&amp;Subs'!$E$12:$E$47)*($F610='TaxCred&amp;Subs'!$C$12:$C$47),0)
),9999),IFERROR(INDEX('TaxCred&amp;Subs'!$N$12:$N$47,MATCH(1,($C610&amp;$D610='TaxCred&amp;Subs'!$E$12:$E$47)*($F610='TaxCred&amp;Subs'!$C$12:$C$47),0)
),0),0),(IF($M610&gt;=IFERROR(INDEX('TaxCred&amp;Subs'!$H$12:$H$47,MATCH(1,($C610&amp;$D610='TaxCred&amp;Subs'!$D$12:$D$47)*($F610='TaxCred&amp;Subs'!$C$12:$C$47),0)
),9999),IFERROR(INDEX('TaxCred&amp;Subs'!$N$12:$N$47,MATCH(1,($C610&amp;$D610='TaxCred&amp;Subs'!$D$12:$D$47)*($F610='TaxCred&amp;Subs'!$C$12:$C$47),0)
),0),0)))),0)+IF(AND($C610=2,VALUE(RIGHT($AD610,1))&gt;2),(N610-R610)*(IFERROR(INDEX('TaxCred&amp;Subs'!$J$66:$J$99,MATCH(1,($C610&amp;$D610='TaxCred&amp;Subs'!$E$66:$E$99)*($F610='TaxCred&amp;Subs'!$C$66:$C$99),0)),0)),IF(AND($C610=1,VALUE(RIGHT($AD610,1))&gt;2),(N610-R610)*(IFERROR(INDEX('TaxCred&amp;Subs'!$J$66:$J$99,MATCH(1,($C610&amp;$D610='TaxCred&amp;Subs'!$D$66:$D$99)*($F610='TaxCred&amp;Subs'!$C$66:$C$99),0)),0)),IF($C610&gt;2,(N610-R610)*(IFERROR(INDEX('TaxCred&amp;Subs'!$J$66:$J$99,MATCH(1,($C610&amp;$D610='TaxCred&amp;Subs'!$D$66:$D$99)*($F610='TaxCred&amp;Subs'!$C$66:$C$99),0)),0)),0))),0)</f>
        <v>0</v>
      </c>
      <c r="Q610" s="95">
        <f t="array" ref="Q610">ROUND(IF(AND($C610=2,VALUE(RIGHT($AD610,1))&gt;2),(O610-S610)*(IFERROR(INDEX('TaxCred&amp;Subs'!$J$66:$J$99,MATCH(1,($C610&amp;$D610='TaxCred&amp;Subs'!$E$66:$E$99)*($F610='TaxCred&amp;Subs'!$C$66:$C$99),0)),0)),IF(AND($C610=1,VALUE(RIGHT($AD610,1))&gt;2),(O610-S610)*(IFERROR(INDEX('TaxCred&amp;Subs'!$J$66:$J$99,MATCH(1,($C610&amp;$D610='TaxCred&amp;Subs'!$D$66:$D$99)*($F610='TaxCred&amp;Subs'!$C$66:$C$99),0)),0)),IF($C610&gt;2,(O610-S610)*(IFERROR(INDEX('TaxCred&amp;Subs'!$J$66:$J$99,MATCH(1,($C610&amp;$D610='TaxCred&amp;Subs'!$D$66:$D$99)*($F610='TaxCred&amp;Subs'!$C$66:$C$99),0)),0)),0))),0)</f>
        <v>0</v>
      </c>
      <c r="R610" s="95">
        <f t="array" ref="R610">ROUND(IF(IFERROR(VALUE(RIGHT($AD610,1)),0)&gt;2,IF($C610=8,N610*IFERROR(INDEX('TaxCred&amp;Subs'!$K$139:$S$151,MATCH($C610&amp;$D610&amp;LEFT($AD610,7),'TaxCred&amp;Subs'!$E$139:$E$151,0),MATCH($H610,'TaxCred&amp;Subs'!$K$137:$S$137,0)),0),IF($C610=2,N610*IFERROR(INDEX('TaxCred&amp;Subs'!$K$139:$S$151,MATCH($C610&amp;$D610,'TaxCred&amp;Subs'!$D$139:$D$151,0),MATCH($H610,'TaxCred&amp;Subs'!$K$137:$S$137,0)),0),N610*IFERROR(INDEX('TaxCred&amp;Subs'!$K$139:$S$151,MATCH($C610&amp;$D610,'TaxCred&amp;Subs'!$C$139:$C$151,0),MATCH($H610,'TaxCred&amp;Subs'!$K$137:$S$137,0)),0))),0),0)</f>
        <v>59</v>
      </c>
      <c r="S610" s="95">
        <f t="array" ref="S610">ROUND(IF(IFERROR(VALUE(RIGHT($AD610,1)),0)&gt;2,IF($C610=8,O610*IFERROR(INDEX('TaxCred&amp;Subs'!$K$139:$S$151,MATCH($C610&amp;$D610&amp;LEFT($AD610,7),'TaxCred&amp;Subs'!$E$139:$E$151,0),MATCH($H610,'TaxCred&amp;Subs'!$K$137:$S$137,0)),0),IF($C610=2,O610*IFERROR(INDEX('TaxCred&amp;Subs'!$K$139:$S$151,MATCH($C610&amp;$D610,'TaxCred&amp;Subs'!$D$139:$D$151,0),MATCH($H610,'TaxCred&amp;Subs'!$K$137:$S$137,0)),0),O610*IFERROR(INDEX('TaxCred&amp;Subs'!$K$139:$S$151,MATCH($C610&amp;$D610,'TaxCred&amp;Subs'!$C$139:$C$151,0),MATCH($H610,'TaxCred&amp;Subs'!$K$137:$S$137,0)),0))),0),0)</f>
        <v>36</v>
      </c>
      <c r="T610" s="172">
        <f t="shared" si="35"/>
        <v>198.75</v>
      </c>
      <c r="U610" s="172">
        <f t="shared" si="36"/>
        <v>120</v>
      </c>
      <c r="V610" s="28" t="s">
        <v>222</v>
      </c>
      <c r="W610" s="31">
        <v>2020</v>
      </c>
      <c r="X610" s="28">
        <v>1</v>
      </c>
      <c r="Y610" s="28">
        <v>0</v>
      </c>
      <c r="Z610" s="196">
        <v>-3.3939727104598718E-3</v>
      </c>
      <c r="AA610" s="196">
        <v>-5.2214964776305717E-2</v>
      </c>
      <c r="AB610" s="28">
        <v>0</v>
      </c>
      <c r="AC610" s="28">
        <v>0</v>
      </c>
      <c r="AD610" s="28" t="s">
        <v>341</v>
      </c>
    </row>
    <row r="611" spans="2:30" ht="14.25" customHeight="1" x14ac:dyDescent="0.2">
      <c r="B611" s="7">
        <f t="shared" si="41"/>
        <v>587</v>
      </c>
      <c r="C611" s="28">
        <v>5</v>
      </c>
      <c r="D611" s="28">
        <v>1</v>
      </c>
      <c r="E611" s="31">
        <v>2</v>
      </c>
      <c r="F611" s="78">
        <v>2023</v>
      </c>
      <c r="G611" s="28">
        <v>2032</v>
      </c>
      <c r="H611" s="28">
        <v>1</v>
      </c>
      <c r="I611" s="28">
        <v>0</v>
      </c>
      <c r="J611" s="28">
        <v>0</v>
      </c>
      <c r="K611" s="28">
        <v>0</v>
      </c>
      <c r="L611" s="28">
        <v>0</v>
      </c>
      <c r="M611" s="156">
        <v>0.83</v>
      </c>
      <c r="N611" s="151">
        <v>2130</v>
      </c>
      <c r="O611" s="151">
        <v>1145</v>
      </c>
      <c r="P611" s="95">
        <f t="array" ref="P611">ROUND(IF($F611&lt;='TaxCred&amp;Subs'!$C$49,(IF($C611=2,IF($M611&gt;=IFERROR(INDEX('TaxCred&amp;Subs'!$L$12:$L$47,MATCH(1,($C611&amp;$D611='TaxCred&amp;Subs'!$E$12:$E$47)*($F611='TaxCred&amp;Subs'!$C$12:$C$47),0)
),9999),IFERROR(INDEX('TaxCred&amp;Subs'!$N$12:$N$47,MATCH(1,($C611&amp;$D611='TaxCred&amp;Subs'!$E$12:$E$47)*($F611='TaxCred&amp;Subs'!$C$12:$C$47),0)
),0),0),(IF($M611&gt;=IFERROR(INDEX('TaxCred&amp;Subs'!$H$12:$H$47,MATCH(1,($C611&amp;$D611='TaxCred&amp;Subs'!$D$12:$D$47)*($F611='TaxCred&amp;Subs'!$C$12:$C$47),0)
),9999),IFERROR(INDEX('TaxCred&amp;Subs'!$N$12:$N$47,MATCH(1,($C611&amp;$D611='TaxCred&amp;Subs'!$D$12:$D$47)*($F611='TaxCred&amp;Subs'!$C$12:$C$47),0)
),0),0)))),0)+IF(AND($C611=2,VALUE(RIGHT($AD611,1))&gt;2),(N611-R611)*(IFERROR(INDEX('TaxCred&amp;Subs'!$J$66:$J$99,MATCH(1,($C611&amp;$D611='TaxCred&amp;Subs'!$E$66:$E$99)*($F611='TaxCred&amp;Subs'!$C$66:$C$99),0)),0)),IF(AND($C611=1,VALUE(RIGHT($AD611,1))&gt;2),(N611-R611)*(IFERROR(INDEX('TaxCred&amp;Subs'!$J$66:$J$99,MATCH(1,($C611&amp;$D611='TaxCred&amp;Subs'!$D$66:$D$99)*($F611='TaxCred&amp;Subs'!$C$66:$C$99),0)),0)),IF($C611&gt;2,(N611-R611)*(IFERROR(INDEX('TaxCred&amp;Subs'!$J$66:$J$99,MATCH(1,($C611&amp;$D611='TaxCred&amp;Subs'!$D$66:$D$99)*($F611='TaxCred&amp;Subs'!$C$66:$C$99),0)),0)),0))),0)</f>
        <v>600</v>
      </c>
      <c r="Q611" s="95">
        <f t="array" ref="Q611">ROUND(IF(AND($C611=2,VALUE(RIGHT($AD611,1))&gt;2),(O611-S611)*(IFERROR(INDEX('TaxCred&amp;Subs'!$J$66:$J$99,MATCH(1,($C611&amp;$D611='TaxCred&amp;Subs'!$E$66:$E$99)*($F611='TaxCred&amp;Subs'!$C$66:$C$99),0)),0)),IF(AND($C611=1,VALUE(RIGHT($AD611,1))&gt;2),(O611-S611)*(IFERROR(INDEX('TaxCred&amp;Subs'!$J$66:$J$99,MATCH(1,($C611&amp;$D611='TaxCred&amp;Subs'!$D$66:$D$99)*($F611='TaxCred&amp;Subs'!$C$66:$C$99),0)),0)),IF($C611&gt;2,(O611-S611)*(IFERROR(INDEX('TaxCred&amp;Subs'!$J$66:$J$99,MATCH(1,($C611&amp;$D611='TaxCred&amp;Subs'!$D$66:$D$99)*($F611='TaxCred&amp;Subs'!$C$66:$C$99),0)),0)),0))),0)</f>
        <v>0</v>
      </c>
      <c r="R611" s="95">
        <f t="array" ref="R611">ROUND(IF(IFERROR(VALUE(RIGHT($AD611,1)),0)&gt;2,IF($C611=8,N611*IFERROR(INDEX('TaxCred&amp;Subs'!$K$139:$S$151,MATCH($C611&amp;$D611&amp;LEFT($AD611,7),'TaxCred&amp;Subs'!$E$139:$E$151,0),MATCH($H611,'TaxCred&amp;Subs'!$K$137:$S$137,0)),0),IF($C611=2,N611*IFERROR(INDEX('TaxCred&amp;Subs'!$K$139:$S$151,MATCH($C611&amp;$D611,'TaxCred&amp;Subs'!$D$139:$D$151,0),MATCH($H611,'TaxCred&amp;Subs'!$K$137:$S$137,0)),0),N611*IFERROR(INDEX('TaxCred&amp;Subs'!$K$139:$S$151,MATCH($C611&amp;$D611,'TaxCred&amp;Subs'!$C$139:$C$151,0),MATCH($H611,'TaxCred&amp;Subs'!$K$137:$S$137,0)),0))),0),0)</f>
        <v>252</v>
      </c>
      <c r="S611" s="95">
        <f t="array" ref="S611">ROUND(IF(IFERROR(VALUE(RIGHT($AD611,1)),0)&gt;2,IF($C611=8,O611*IFERROR(INDEX('TaxCred&amp;Subs'!$K$139:$S$151,MATCH($C611&amp;$D611&amp;LEFT($AD611,7),'TaxCred&amp;Subs'!$E$139:$E$151,0),MATCH($H611,'TaxCred&amp;Subs'!$K$137:$S$137,0)),0),IF($C611=2,O611*IFERROR(INDEX('TaxCred&amp;Subs'!$K$139:$S$151,MATCH($C611&amp;$D611,'TaxCred&amp;Subs'!$D$139:$D$151,0),MATCH($H611,'TaxCred&amp;Subs'!$K$137:$S$137,0)),0),O611*IFERROR(INDEX('TaxCred&amp;Subs'!$K$139:$S$151,MATCH($C611&amp;$D611,'TaxCred&amp;Subs'!$C$139:$C$151,0),MATCH($H611,'TaxCred&amp;Subs'!$K$137:$S$137,0)),0))),0),0)</f>
        <v>136</v>
      </c>
      <c r="T611" s="95">
        <f t="shared" si="35"/>
        <v>0</v>
      </c>
      <c r="U611" s="95">
        <f t="shared" si="36"/>
        <v>0</v>
      </c>
      <c r="V611" s="28" t="s">
        <v>222</v>
      </c>
      <c r="W611" s="31">
        <v>2020</v>
      </c>
      <c r="X611" s="28">
        <v>1</v>
      </c>
      <c r="Y611" s="28">
        <v>0</v>
      </c>
      <c r="Z611" s="196">
        <v>-3.3939727104598718E-3</v>
      </c>
      <c r="AA611" s="196">
        <v>-5.2214964776305717E-2</v>
      </c>
      <c r="AB611" s="28">
        <v>0</v>
      </c>
      <c r="AC611" s="28">
        <v>0</v>
      </c>
      <c r="AD611" s="28" t="s">
        <v>341</v>
      </c>
    </row>
    <row r="612" spans="2:30" ht="14.25" customHeight="1" x14ac:dyDescent="0.2">
      <c r="B612" s="7">
        <f t="shared" si="41"/>
        <v>588</v>
      </c>
      <c r="C612" s="28">
        <v>5</v>
      </c>
      <c r="D612" s="28">
        <v>1</v>
      </c>
      <c r="E612" s="31">
        <v>2</v>
      </c>
      <c r="F612" s="78">
        <v>2023</v>
      </c>
      <c r="G612" s="28">
        <v>2032</v>
      </c>
      <c r="H612" s="28">
        <v>2</v>
      </c>
      <c r="I612" s="28">
        <v>0</v>
      </c>
      <c r="J612" s="28">
        <v>0</v>
      </c>
      <c r="K612" s="28">
        <v>0</v>
      </c>
      <c r="L612" s="28">
        <v>0</v>
      </c>
      <c r="M612" s="156">
        <v>0.83</v>
      </c>
      <c r="N612" s="151">
        <v>2130</v>
      </c>
      <c r="O612" s="151">
        <v>1145</v>
      </c>
      <c r="P612" s="95">
        <f t="array" ref="P612">ROUND(IF($F612&lt;='TaxCred&amp;Subs'!$C$49,(IF($C612=2,IF($M612&gt;=IFERROR(INDEX('TaxCred&amp;Subs'!$L$12:$L$47,MATCH(1,($C612&amp;$D612='TaxCred&amp;Subs'!$E$12:$E$47)*($F612='TaxCred&amp;Subs'!$C$12:$C$47),0)
),9999),IFERROR(INDEX('TaxCred&amp;Subs'!$N$12:$N$47,MATCH(1,($C612&amp;$D612='TaxCred&amp;Subs'!$E$12:$E$47)*($F612='TaxCred&amp;Subs'!$C$12:$C$47),0)
),0),0),(IF($M612&gt;=IFERROR(INDEX('TaxCred&amp;Subs'!$H$12:$H$47,MATCH(1,($C612&amp;$D612='TaxCred&amp;Subs'!$D$12:$D$47)*($F612='TaxCred&amp;Subs'!$C$12:$C$47),0)
),9999),IFERROR(INDEX('TaxCred&amp;Subs'!$N$12:$N$47,MATCH(1,($C612&amp;$D612='TaxCred&amp;Subs'!$D$12:$D$47)*($F612='TaxCred&amp;Subs'!$C$12:$C$47),0)
),0),0)))),0)+IF(AND($C612=2,VALUE(RIGHT($AD612,1))&gt;2),(N612-R612)*(IFERROR(INDEX('TaxCred&amp;Subs'!$J$66:$J$99,MATCH(1,($C612&amp;$D612='TaxCred&amp;Subs'!$E$66:$E$99)*($F612='TaxCred&amp;Subs'!$C$66:$C$99),0)),0)),IF(AND($C612=1,VALUE(RIGHT($AD612,1))&gt;2),(N612-R612)*(IFERROR(INDEX('TaxCred&amp;Subs'!$J$66:$J$99,MATCH(1,($C612&amp;$D612='TaxCred&amp;Subs'!$D$66:$D$99)*($F612='TaxCred&amp;Subs'!$C$66:$C$99),0)),0)),IF($C612&gt;2,(N612-R612)*(IFERROR(INDEX('TaxCred&amp;Subs'!$J$66:$J$99,MATCH(1,($C612&amp;$D612='TaxCred&amp;Subs'!$D$66:$D$99)*($F612='TaxCred&amp;Subs'!$C$66:$C$99),0)),0)),0))),0)</f>
        <v>600</v>
      </c>
      <c r="Q612" s="95">
        <f t="array" ref="Q612">ROUND(IF(AND($C612=2,VALUE(RIGHT($AD612,1))&gt;2),(O612-S612)*(IFERROR(INDEX('TaxCred&amp;Subs'!$J$66:$J$99,MATCH(1,($C612&amp;$D612='TaxCred&amp;Subs'!$E$66:$E$99)*($F612='TaxCred&amp;Subs'!$C$66:$C$99),0)),0)),IF(AND($C612=1,VALUE(RIGHT($AD612,1))&gt;2),(O612-S612)*(IFERROR(INDEX('TaxCred&amp;Subs'!$J$66:$J$99,MATCH(1,($C612&amp;$D612='TaxCred&amp;Subs'!$D$66:$D$99)*($F612='TaxCred&amp;Subs'!$C$66:$C$99),0)),0)),IF($C612&gt;2,(O612-S612)*(IFERROR(INDEX('TaxCred&amp;Subs'!$J$66:$J$99,MATCH(1,($C612&amp;$D612='TaxCred&amp;Subs'!$D$66:$D$99)*($F612='TaxCred&amp;Subs'!$C$66:$C$99),0)),0)),0))),0)</f>
        <v>0</v>
      </c>
      <c r="R612" s="95">
        <f t="array" ref="R612">ROUND(IF(IFERROR(VALUE(RIGHT($AD612,1)),0)&gt;2,IF($C612=8,N612*IFERROR(INDEX('TaxCred&amp;Subs'!$K$139:$S$151,MATCH($C612&amp;$D612&amp;LEFT($AD612,7),'TaxCred&amp;Subs'!$E$139:$E$151,0),MATCH($H612,'TaxCred&amp;Subs'!$K$137:$S$137,0)),0),IF($C612=2,N612*IFERROR(INDEX('TaxCred&amp;Subs'!$K$139:$S$151,MATCH($C612&amp;$D612,'TaxCred&amp;Subs'!$D$139:$D$151,0),MATCH($H612,'TaxCred&amp;Subs'!$K$137:$S$137,0)),0),N612*IFERROR(INDEX('TaxCred&amp;Subs'!$K$139:$S$151,MATCH($C612&amp;$D612,'TaxCred&amp;Subs'!$C$139:$C$151,0),MATCH($H612,'TaxCred&amp;Subs'!$K$137:$S$137,0)),0))),0),0)</f>
        <v>191</v>
      </c>
      <c r="S612" s="95">
        <f t="array" ref="S612">ROUND(IF(IFERROR(VALUE(RIGHT($AD612,1)),0)&gt;2,IF($C612=8,O612*IFERROR(INDEX('TaxCred&amp;Subs'!$K$139:$S$151,MATCH($C612&amp;$D612&amp;LEFT($AD612,7),'TaxCred&amp;Subs'!$E$139:$E$151,0),MATCH($H612,'TaxCred&amp;Subs'!$K$137:$S$137,0)),0),IF($C612=2,O612*IFERROR(INDEX('TaxCred&amp;Subs'!$K$139:$S$151,MATCH($C612&amp;$D612,'TaxCred&amp;Subs'!$D$139:$D$151,0),MATCH($H612,'TaxCred&amp;Subs'!$K$137:$S$137,0)),0),O612*IFERROR(INDEX('TaxCred&amp;Subs'!$K$139:$S$151,MATCH($C612&amp;$D612,'TaxCred&amp;Subs'!$C$139:$C$151,0),MATCH($H612,'TaxCred&amp;Subs'!$K$137:$S$137,0)),0))),0),0)</f>
        <v>103</v>
      </c>
      <c r="T612" s="95">
        <f t="shared" si="35"/>
        <v>0</v>
      </c>
      <c r="U612" s="95">
        <f t="shared" si="36"/>
        <v>0</v>
      </c>
      <c r="V612" s="28" t="s">
        <v>222</v>
      </c>
      <c r="W612" s="31">
        <v>2020</v>
      </c>
      <c r="X612" s="28">
        <v>1</v>
      </c>
      <c r="Y612" s="28">
        <v>0</v>
      </c>
      <c r="Z612" s="196">
        <v>-3.3939727104598718E-3</v>
      </c>
      <c r="AA612" s="196">
        <v>-5.2214964776305717E-2</v>
      </c>
      <c r="AB612" s="28">
        <v>0</v>
      </c>
      <c r="AC612" s="28">
        <v>0</v>
      </c>
      <c r="AD612" s="28" t="s">
        <v>341</v>
      </c>
    </row>
    <row r="613" spans="2:30" ht="14.25" customHeight="1" x14ac:dyDescent="0.2">
      <c r="B613" s="7">
        <f t="shared" si="41"/>
        <v>589</v>
      </c>
      <c r="C613" s="28">
        <v>5</v>
      </c>
      <c r="D613" s="28">
        <v>1</v>
      </c>
      <c r="E613" s="31">
        <v>2</v>
      </c>
      <c r="F613" s="78">
        <v>2023</v>
      </c>
      <c r="G613" s="28">
        <v>2032</v>
      </c>
      <c r="H613" s="28">
        <v>3</v>
      </c>
      <c r="I613" s="28">
        <v>0</v>
      </c>
      <c r="J613" s="28">
        <v>0</v>
      </c>
      <c r="K613" s="28">
        <v>0</v>
      </c>
      <c r="L613" s="28">
        <v>0</v>
      </c>
      <c r="M613" s="156">
        <v>0.83</v>
      </c>
      <c r="N613" s="151">
        <v>2130</v>
      </c>
      <c r="O613" s="151">
        <v>1145</v>
      </c>
      <c r="P613" s="95">
        <f t="array" ref="P613">ROUND(IF($F613&lt;='TaxCred&amp;Subs'!$C$49,(IF($C613=2,IF($M613&gt;=IFERROR(INDEX('TaxCred&amp;Subs'!$L$12:$L$47,MATCH(1,($C613&amp;$D613='TaxCred&amp;Subs'!$E$12:$E$47)*($F613='TaxCred&amp;Subs'!$C$12:$C$47),0)
),9999),IFERROR(INDEX('TaxCred&amp;Subs'!$N$12:$N$47,MATCH(1,($C613&amp;$D613='TaxCred&amp;Subs'!$E$12:$E$47)*($F613='TaxCred&amp;Subs'!$C$12:$C$47),0)
),0),0),(IF($M613&gt;=IFERROR(INDEX('TaxCred&amp;Subs'!$H$12:$H$47,MATCH(1,($C613&amp;$D613='TaxCred&amp;Subs'!$D$12:$D$47)*($F613='TaxCred&amp;Subs'!$C$12:$C$47),0)
),9999),IFERROR(INDEX('TaxCred&amp;Subs'!$N$12:$N$47,MATCH(1,($C613&amp;$D613='TaxCred&amp;Subs'!$D$12:$D$47)*($F613='TaxCred&amp;Subs'!$C$12:$C$47),0)
),0),0)))),0)+IF(AND($C613=2,VALUE(RIGHT($AD613,1))&gt;2),(N613-R613)*(IFERROR(INDEX('TaxCred&amp;Subs'!$J$66:$J$99,MATCH(1,($C613&amp;$D613='TaxCred&amp;Subs'!$E$66:$E$99)*($F613='TaxCred&amp;Subs'!$C$66:$C$99),0)),0)),IF(AND($C613=1,VALUE(RIGHT($AD613,1))&gt;2),(N613-R613)*(IFERROR(INDEX('TaxCred&amp;Subs'!$J$66:$J$99,MATCH(1,($C613&amp;$D613='TaxCred&amp;Subs'!$D$66:$D$99)*($F613='TaxCred&amp;Subs'!$C$66:$C$99),0)),0)),IF($C613&gt;2,(N613-R613)*(IFERROR(INDEX('TaxCred&amp;Subs'!$J$66:$J$99,MATCH(1,($C613&amp;$D613='TaxCred&amp;Subs'!$D$66:$D$99)*($F613='TaxCred&amp;Subs'!$C$66:$C$99),0)),0)),0))),0)</f>
        <v>600</v>
      </c>
      <c r="Q613" s="95">
        <f t="array" ref="Q613">ROUND(IF(AND($C613=2,VALUE(RIGHT($AD613,1))&gt;2),(O613-S613)*(IFERROR(INDEX('TaxCred&amp;Subs'!$J$66:$J$99,MATCH(1,($C613&amp;$D613='TaxCred&amp;Subs'!$E$66:$E$99)*($F613='TaxCred&amp;Subs'!$C$66:$C$99),0)),0)),IF(AND($C613=1,VALUE(RIGHT($AD613,1))&gt;2),(O613-S613)*(IFERROR(INDEX('TaxCred&amp;Subs'!$J$66:$J$99,MATCH(1,($C613&amp;$D613='TaxCred&amp;Subs'!$D$66:$D$99)*($F613='TaxCred&amp;Subs'!$C$66:$C$99),0)),0)),IF($C613&gt;2,(O613-S613)*(IFERROR(INDEX('TaxCred&amp;Subs'!$J$66:$J$99,MATCH(1,($C613&amp;$D613='TaxCred&amp;Subs'!$D$66:$D$99)*($F613='TaxCred&amp;Subs'!$C$66:$C$99),0)),0)),0))),0)</f>
        <v>0</v>
      </c>
      <c r="R613" s="95">
        <f t="array" ref="R613">ROUND(IF(IFERROR(VALUE(RIGHT($AD613,1)),0)&gt;2,IF($C613=8,N613*IFERROR(INDEX('TaxCred&amp;Subs'!$K$139:$S$151,MATCH($C613&amp;$D613&amp;LEFT($AD613,7),'TaxCred&amp;Subs'!$E$139:$E$151,0),MATCH($H613,'TaxCred&amp;Subs'!$K$137:$S$137,0)),0),IF($C613=2,N613*IFERROR(INDEX('TaxCred&amp;Subs'!$K$139:$S$151,MATCH($C613&amp;$D613,'TaxCred&amp;Subs'!$D$139:$D$151,0),MATCH($H613,'TaxCred&amp;Subs'!$K$137:$S$137,0)),0),N613*IFERROR(INDEX('TaxCred&amp;Subs'!$K$139:$S$151,MATCH($C613&amp;$D613,'TaxCred&amp;Subs'!$C$139:$C$151,0),MATCH($H613,'TaxCred&amp;Subs'!$K$137:$S$137,0)),0))),0),0)</f>
        <v>17</v>
      </c>
      <c r="S613" s="95">
        <f t="array" ref="S613">ROUND(IF(IFERROR(VALUE(RIGHT($AD613,1)),0)&gt;2,IF($C613=8,O613*IFERROR(INDEX('TaxCred&amp;Subs'!$K$139:$S$151,MATCH($C613&amp;$D613&amp;LEFT($AD613,7),'TaxCred&amp;Subs'!$E$139:$E$151,0),MATCH($H613,'TaxCred&amp;Subs'!$K$137:$S$137,0)),0),IF($C613=2,O613*IFERROR(INDEX('TaxCred&amp;Subs'!$K$139:$S$151,MATCH($C613&amp;$D613,'TaxCred&amp;Subs'!$D$139:$D$151,0),MATCH($H613,'TaxCred&amp;Subs'!$K$137:$S$137,0)),0),O613*IFERROR(INDEX('TaxCred&amp;Subs'!$K$139:$S$151,MATCH($C613&amp;$D613,'TaxCred&amp;Subs'!$C$139:$C$151,0),MATCH($H613,'TaxCred&amp;Subs'!$K$137:$S$137,0)),0))),0),0)</f>
        <v>9</v>
      </c>
      <c r="T613" s="95">
        <f t="shared" si="35"/>
        <v>0</v>
      </c>
      <c r="U613" s="95">
        <f t="shared" si="36"/>
        <v>0</v>
      </c>
      <c r="V613" s="28" t="s">
        <v>222</v>
      </c>
      <c r="W613" s="31">
        <v>2020</v>
      </c>
      <c r="X613" s="28">
        <v>1</v>
      </c>
      <c r="Y613" s="28">
        <v>0</v>
      </c>
      <c r="Z613" s="196">
        <v>-3.3939727104598718E-3</v>
      </c>
      <c r="AA613" s="196">
        <v>-5.2214964776305717E-2</v>
      </c>
      <c r="AB613" s="28">
        <v>0</v>
      </c>
      <c r="AC613" s="28">
        <v>0</v>
      </c>
      <c r="AD613" s="28" t="s">
        <v>341</v>
      </c>
    </row>
    <row r="614" spans="2:30" ht="14.25" customHeight="1" x14ac:dyDescent="0.2">
      <c r="B614" s="7">
        <f t="shared" si="41"/>
        <v>590</v>
      </c>
      <c r="C614" s="28">
        <v>5</v>
      </c>
      <c r="D614" s="28">
        <v>1</v>
      </c>
      <c r="E614" s="31">
        <v>2</v>
      </c>
      <c r="F614" s="78">
        <v>2023</v>
      </c>
      <c r="G614" s="28">
        <v>2032</v>
      </c>
      <c r="H614" s="28">
        <v>4</v>
      </c>
      <c r="I614" s="28">
        <v>0</v>
      </c>
      <c r="J614" s="28">
        <v>0</v>
      </c>
      <c r="K614" s="28">
        <v>0</v>
      </c>
      <c r="L614" s="28">
        <v>0</v>
      </c>
      <c r="M614" s="156">
        <v>0.83</v>
      </c>
      <c r="N614" s="151">
        <v>2130</v>
      </c>
      <c r="O614" s="151">
        <v>1145</v>
      </c>
      <c r="P614" s="95">
        <f t="array" ref="P614">ROUND(IF($F614&lt;='TaxCred&amp;Subs'!$C$49,(IF($C614=2,IF($M614&gt;=IFERROR(INDEX('TaxCred&amp;Subs'!$L$12:$L$47,MATCH(1,($C614&amp;$D614='TaxCred&amp;Subs'!$E$12:$E$47)*($F614='TaxCred&amp;Subs'!$C$12:$C$47),0)
),9999),IFERROR(INDEX('TaxCred&amp;Subs'!$N$12:$N$47,MATCH(1,($C614&amp;$D614='TaxCred&amp;Subs'!$E$12:$E$47)*($F614='TaxCred&amp;Subs'!$C$12:$C$47),0)
),0),0),(IF($M614&gt;=IFERROR(INDEX('TaxCred&amp;Subs'!$H$12:$H$47,MATCH(1,($C614&amp;$D614='TaxCred&amp;Subs'!$D$12:$D$47)*($F614='TaxCred&amp;Subs'!$C$12:$C$47),0)
),9999),IFERROR(INDEX('TaxCred&amp;Subs'!$N$12:$N$47,MATCH(1,($C614&amp;$D614='TaxCred&amp;Subs'!$D$12:$D$47)*($F614='TaxCred&amp;Subs'!$C$12:$C$47),0)
),0),0)))),0)+IF(AND($C614=2,VALUE(RIGHT($AD614,1))&gt;2),(N614-R614)*(IFERROR(INDEX('TaxCred&amp;Subs'!$J$66:$J$99,MATCH(1,($C614&amp;$D614='TaxCred&amp;Subs'!$E$66:$E$99)*($F614='TaxCred&amp;Subs'!$C$66:$C$99),0)),0)),IF(AND($C614=1,VALUE(RIGHT($AD614,1))&gt;2),(N614-R614)*(IFERROR(INDEX('TaxCred&amp;Subs'!$J$66:$J$99,MATCH(1,($C614&amp;$D614='TaxCred&amp;Subs'!$D$66:$D$99)*($F614='TaxCred&amp;Subs'!$C$66:$C$99),0)),0)),IF($C614&gt;2,(N614-R614)*(IFERROR(INDEX('TaxCred&amp;Subs'!$J$66:$J$99,MATCH(1,($C614&amp;$D614='TaxCred&amp;Subs'!$D$66:$D$99)*($F614='TaxCred&amp;Subs'!$C$66:$C$99),0)),0)),0))),0)</f>
        <v>600</v>
      </c>
      <c r="Q614" s="95">
        <f t="array" ref="Q614">ROUND(IF(AND($C614=2,VALUE(RIGHT($AD614,1))&gt;2),(O614-S614)*(IFERROR(INDEX('TaxCred&amp;Subs'!$J$66:$J$99,MATCH(1,($C614&amp;$D614='TaxCred&amp;Subs'!$E$66:$E$99)*($F614='TaxCred&amp;Subs'!$C$66:$C$99),0)),0)),IF(AND($C614=1,VALUE(RIGHT($AD614,1))&gt;2),(O614-S614)*(IFERROR(INDEX('TaxCred&amp;Subs'!$J$66:$J$99,MATCH(1,($C614&amp;$D614='TaxCred&amp;Subs'!$D$66:$D$99)*($F614='TaxCred&amp;Subs'!$C$66:$C$99),0)),0)),IF($C614&gt;2,(O614-S614)*(IFERROR(INDEX('TaxCred&amp;Subs'!$J$66:$J$99,MATCH(1,($C614&amp;$D614='TaxCred&amp;Subs'!$D$66:$D$99)*($F614='TaxCred&amp;Subs'!$C$66:$C$99),0)),0)),0))),0)</f>
        <v>0</v>
      </c>
      <c r="R614" s="95">
        <f t="array" ref="R614">ROUND(IF(IFERROR(VALUE(RIGHT($AD614,1)),0)&gt;2,IF($C614=8,N614*IFERROR(INDEX('TaxCred&amp;Subs'!$K$139:$S$151,MATCH($C614&amp;$D614&amp;LEFT($AD614,7),'TaxCred&amp;Subs'!$E$139:$E$151,0),MATCH($H614,'TaxCred&amp;Subs'!$K$137:$S$137,0)),0),IF($C614=2,N614*IFERROR(INDEX('TaxCred&amp;Subs'!$K$139:$S$151,MATCH($C614&amp;$D614,'TaxCred&amp;Subs'!$D$139:$D$151,0),MATCH($H614,'TaxCred&amp;Subs'!$K$137:$S$137,0)),0),N614*IFERROR(INDEX('TaxCred&amp;Subs'!$K$139:$S$151,MATCH($C614&amp;$D614,'TaxCred&amp;Subs'!$C$139:$C$151,0),MATCH($H614,'TaxCred&amp;Subs'!$K$137:$S$137,0)),0))),0),0)</f>
        <v>70</v>
      </c>
      <c r="S614" s="95">
        <f t="array" ref="S614">ROUND(IF(IFERROR(VALUE(RIGHT($AD614,1)),0)&gt;2,IF($C614=8,O614*IFERROR(INDEX('TaxCred&amp;Subs'!$K$139:$S$151,MATCH($C614&amp;$D614&amp;LEFT($AD614,7),'TaxCred&amp;Subs'!$E$139:$E$151,0),MATCH($H614,'TaxCred&amp;Subs'!$K$137:$S$137,0)),0),IF($C614=2,O614*IFERROR(INDEX('TaxCred&amp;Subs'!$K$139:$S$151,MATCH($C614&amp;$D614,'TaxCred&amp;Subs'!$D$139:$D$151,0),MATCH($H614,'TaxCred&amp;Subs'!$K$137:$S$137,0)),0),O614*IFERROR(INDEX('TaxCred&amp;Subs'!$K$139:$S$151,MATCH($C614&amp;$D614,'TaxCred&amp;Subs'!$C$139:$C$151,0),MATCH($H614,'TaxCred&amp;Subs'!$K$137:$S$137,0)),0))),0),0)</f>
        <v>37</v>
      </c>
      <c r="T614" s="95">
        <f t="shared" si="35"/>
        <v>0</v>
      </c>
      <c r="U614" s="95">
        <f t="shared" si="36"/>
        <v>0</v>
      </c>
      <c r="V614" s="28" t="s">
        <v>222</v>
      </c>
      <c r="W614" s="31">
        <v>2020</v>
      </c>
      <c r="X614" s="28">
        <v>1</v>
      </c>
      <c r="Y614" s="28">
        <v>0</v>
      </c>
      <c r="Z614" s="196">
        <v>-3.3939727104598718E-3</v>
      </c>
      <c r="AA614" s="196">
        <v>-5.2214964776305717E-2</v>
      </c>
      <c r="AB614" s="28">
        <v>0</v>
      </c>
      <c r="AC614" s="28">
        <v>0</v>
      </c>
      <c r="AD614" s="28" t="s">
        <v>341</v>
      </c>
    </row>
    <row r="615" spans="2:30" ht="14.25" customHeight="1" x14ac:dyDescent="0.2">
      <c r="B615" s="7">
        <f t="shared" si="41"/>
        <v>591</v>
      </c>
      <c r="C615" s="28">
        <v>5</v>
      </c>
      <c r="D615" s="28">
        <v>1</v>
      </c>
      <c r="E615" s="31">
        <v>2</v>
      </c>
      <c r="F615" s="78">
        <v>2023</v>
      </c>
      <c r="G615" s="28">
        <v>2032</v>
      </c>
      <c r="H615" s="28">
        <v>5</v>
      </c>
      <c r="I615" s="28">
        <v>0</v>
      </c>
      <c r="J615" s="28">
        <v>0</v>
      </c>
      <c r="K615" s="28">
        <v>0</v>
      </c>
      <c r="L615" s="28">
        <v>0</v>
      </c>
      <c r="M615" s="156">
        <v>0.83</v>
      </c>
      <c r="N615" s="151">
        <v>2130</v>
      </c>
      <c r="O615" s="151">
        <v>1145</v>
      </c>
      <c r="P615" s="95">
        <f t="array" ref="P615">ROUND(IF($F615&lt;='TaxCred&amp;Subs'!$C$49,(IF($C615=2,IF($M615&gt;=IFERROR(INDEX('TaxCred&amp;Subs'!$L$12:$L$47,MATCH(1,($C615&amp;$D615='TaxCred&amp;Subs'!$E$12:$E$47)*($F615='TaxCred&amp;Subs'!$C$12:$C$47),0)
),9999),IFERROR(INDEX('TaxCred&amp;Subs'!$N$12:$N$47,MATCH(1,($C615&amp;$D615='TaxCred&amp;Subs'!$E$12:$E$47)*($F615='TaxCred&amp;Subs'!$C$12:$C$47),0)
),0),0),(IF($M615&gt;=IFERROR(INDEX('TaxCred&amp;Subs'!$H$12:$H$47,MATCH(1,($C615&amp;$D615='TaxCred&amp;Subs'!$D$12:$D$47)*($F615='TaxCred&amp;Subs'!$C$12:$C$47),0)
),9999),IFERROR(INDEX('TaxCred&amp;Subs'!$N$12:$N$47,MATCH(1,($C615&amp;$D615='TaxCred&amp;Subs'!$D$12:$D$47)*($F615='TaxCred&amp;Subs'!$C$12:$C$47),0)
),0),0)))),0)+IF(AND($C615=2,VALUE(RIGHT($AD615,1))&gt;2),(N615-R615)*(IFERROR(INDEX('TaxCred&amp;Subs'!$J$66:$J$99,MATCH(1,($C615&amp;$D615='TaxCred&amp;Subs'!$E$66:$E$99)*($F615='TaxCred&amp;Subs'!$C$66:$C$99),0)),0)),IF(AND($C615=1,VALUE(RIGHT($AD615,1))&gt;2),(N615-R615)*(IFERROR(INDEX('TaxCred&amp;Subs'!$J$66:$J$99,MATCH(1,($C615&amp;$D615='TaxCred&amp;Subs'!$D$66:$D$99)*($F615='TaxCred&amp;Subs'!$C$66:$C$99),0)),0)),IF($C615&gt;2,(N615-R615)*(IFERROR(INDEX('TaxCred&amp;Subs'!$J$66:$J$99,MATCH(1,($C615&amp;$D615='TaxCred&amp;Subs'!$D$66:$D$99)*($F615='TaxCred&amp;Subs'!$C$66:$C$99),0)),0)),0))),0)</f>
        <v>600</v>
      </c>
      <c r="Q615" s="95">
        <f t="array" ref="Q615">ROUND(IF(AND($C615=2,VALUE(RIGHT($AD615,1))&gt;2),(O615-S615)*(IFERROR(INDEX('TaxCred&amp;Subs'!$J$66:$J$99,MATCH(1,($C615&amp;$D615='TaxCred&amp;Subs'!$E$66:$E$99)*($F615='TaxCred&amp;Subs'!$C$66:$C$99),0)),0)),IF(AND($C615=1,VALUE(RIGHT($AD615,1))&gt;2),(O615-S615)*(IFERROR(INDEX('TaxCred&amp;Subs'!$J$66:$J$99,MATCH(1,($C615&amp;$D615='TaxCred&amp;Subs'!$D$66:$D$99)*($F615='TaxCred&amp;Subs'!$C$66:$C$99),0)),0)),IF($C615&gt;2,(O615-S615)*(IFERROR(INDEX('TaxCred&amp;Subs'!$J$66:$J$99,MATCH(1,($C615&amp;$D615='TaxCred&amp;Subs'!$D$66:$D$99)*($F615='TaxCred&amp;Subs'!$C$66:$C$99),0)),0)),0))),0)</f>
        <v>0</v>
      </c>
      <c r="R615" s="95">
        <f t="array" ref="R615">ROUND(IF(IFERROR(VALUE(RIGHT($AD615,1)),0)&gt;2,IF($C615=8,N615*IFERROR(INDEX('TaxCred&amp;Subs'!$K$139:$S$151,MATCH($C615&amp;$D615&amp;LEFT($AD615,7),'TaxCred&amp;Subs'!$E$139:$E$151,0),MATCH($H615,'TaxCred&amp;Subs'!$K$137:$S$137,0)),0),IF($C615=2,N615*IFERROR(INDEX('TaxCred&amp;Subs'!$K$139:$S$151,MATCH($C615&amp;$D615,'TaxCred&amp;Subs'!$D$139:$D$151,0),MATCH($H615,'TaxCred&amp;Subs'!$K$137:$S$137,0)),0),N615*IFERROR(INDEX('TaxCred&amp;Subs'!$K$139:$S$151,MATCH($C615&amp;$D615,'TaxCred&amp;Subs'!$C$139:$C$151,0),MATCH($H615,'TaxCred&amp;Subs'!$K$137:$S$137,0)),0))),0),0)</f>
        <v>7</v>
      </c>
      <c r="S615" s="95">
        <f t="array" ref="S615">ROUND(IF(IFERROR(VALUE(RIGHT($AD615,1)),0)&gt;2,IF($C615=8,O615*IFERROR(INDEX('TaxCred&amp;Subs'!$K$139:$S$151,MATCH($C615&amp;$D615&amp;LEFT($AD615,7),'TaxCred&amp;Subs'!$E$139:$E$151,0),MATCH($H615,'TaxCred&amp;Subs'!$K$137:$S$137,0)),0),IF($C615=2,O615*IFERROR(INDEX('TaxCred&amp;Subs'!$K$139:$S$151,MATCH($C615&amp;$D615,'TaxCred&amp;Subs'!$D$139:$D$151,0),MATCH($H615,'TaxCred&amp;Subs'!$K$137:$S$137,0)),0),O615*IFERROR(INDEX('TaxCred&amp;Subs'!$K$139:$S$151,MATCH($C615&amp;$D615,'TaxCred&amp;Subs'!$C$139:$C$151,0),MATCH($H615,'TaxCred&amp;Subs'!$K$137:$S$137,0)),0))),0),0)</f>
        <v>4</v>
      </c>
      <c r="T615" s="95">
        <f t="shared" si="35"/>
        <v>0</v>
      </c>
      <c r="U615" s="95">
        <f t="shared" si="36"/>
        <v>0</v>
      </c>
      <c r="V615" s="28" t="s">
        <v>222</v>
      </c>
      <c r="W615" s="31">
        <v>2020</v>
      </c>
      <c r="X615" s="28">
        <v>1</v>
      </c>
      <c r="Y615" s="28">
        <v>0</v>
      </c>
      <c r="Z615" s="196">
        <v>-3.3939727104598718E-3</v>
      </c>
      <c r="AA615" s="196">
        <v>-5.2214964776305717E-2</v>
      </c>
      <c r="AB615" s="28">
        <v>0</v>
      </c>
      <c r="AC615" s="28">
        <v>0</v>
      </c>
      <c r="AD615" s="28" t="s">
        <v>341</v>
      </c>
    </row>
    <row r="616" spans="2:30" ht="14.25" customHeight="1" x14ac:dyDescent="0.2">
      <c r="B616" s="7">
        <f t="shared" si="41"/>
        <v>592</v>
      </c>
      <c r="C616" s="28">
        <v>5</v>
      </c>
      <c r="D616" s="28">
        <v>1</v>
      </c>
      <c r="E616" s="31">
        <v>2</v>
      </c>
      <c r="F616" s="78">
        <v>2023</v>
      </c>
      <c r="G616" s="28">
        <v>2032</v>
      </c>
      <c r="H616" s="28">
        <v>6</v>
      </c>
      <c r="I616" s="28">
        <v>0</v>
      </c>
      <c r="J616" s="28">
        <v>0</v>
      </c>
      <c r="K616" s="28">
        <v>0</v>
      </c>
      <c r="L616" s="28">
        <v>0</v>
      </c>
      <c r="M616" s="156">
        <v>0.83</v>
      </c>
      <c r="N616" s="151">
        <v>2130</v>
      </c>
      <c r="O616" s="151">
        <v>1145</v>
      </c>
      <c r="P616" s="95">
        <f t="array" ref="P616">ROUND(IF($F616&lt;='TaxCred&amp;Subs'!$C$49,(IF($C616=2,IF($M616&gt;=IFERROR(INDEX('TaxCred&amp;Subs'!$L$12:$L$47,MATCH(1,($C616&amp;$D616='TaxCred&amp;Subs'!$E$12:$E$47)*($F616='TaxCred&amp;Subs'!$C$12:$C$47),0)
),9999),IFERROR(INDEX('TaxCred&amp;Subs'!$N$12:$N$47,MATCH(1,($C616&amp;$D616='TaxCred&amp;Subs'!$E$12:$E$47)*($F616='TaxCred&amp;Subs'!$C$12:$C$47),0)
),0),0),(IF($M616&gt;=IFERROR(INDEX('TaxCred&amp;Subs'!$H$12:$H$47,MATCH(1,($C616&amp;$D616='TaxCred&amp;Subs'!$D$12:$D$47)*($F616='TaxCred&amp;Subs'!$C$12:$C$47),0)
),9999),IFERROR(INDEX('TaxCred&amp;Subs'!$N$12:$N$47,MATCH(1,($C616&amp;$D616='TaxCred&amp;Subs'!$D$12:$D$47)*($F616='TaxCred&amp;Subs'!$C$12:$C$47),0)
),0),0)))),0)+IF(AND($C616=2,VALUE(RIGHT($AD616,1))&gt;2),(N616-R616)*(IFERROR(INDEX('TaxCred&amp;Subs'!$J$66:$J$99,MATCH(1,($C616&amp;$D616='TaxCred&amp;Subs'!$E$66:$E$99)*($F616='TaxCred&amp;Subs'!$C$66:$C$99),0)),0)),IF(AND($C616=1,VALUE(RIGHT($AD616,1))&gt;2),(N616-R616)*(IFERROR(INDEX('TaxCred&amp;Subs'!$J$66:$J$99,MATCH(1,($C616&amp;$D616='TaxCred&amp;Subs'!$D$66:$D$99)*($F616='TaxCred&amp;Subs'!$C$66:$C$99),0)),0)),IF($C616&gt;2,(N616-R616)*(IFERROR(INDEX('TaxCred&amp;Subs'!$J$66:$J$99,MATCH(1,($C616&amp;$D616='TaxCred&amp;Subs'!$D$66:$D$99)*($F616='TaxCred&amp;Subs'!$C$66:$C$99),0)),0)),0))),0)</f>
        <v>600</v>
      </c>
      <c r="Q616" s="95">
        <f t="array" ref="Q616">ROUND(IF(AND($C616=2,VALUE(RIGHT($AD616,1))&gt;2),(O616-S616)*(IFERROR(INDEX('TaxCred&amp;Subs'!$J$66:$J$99,MATCH(1,($C616&amp;$D616='TaxCred&amp;Subs'!$E$66:$E$99)*($F616='TaxCred&amp;Subs'!$C$66:$C$99),0)),0)),IF(AND($C616=1,VALUE(RIGHT($AD616,1))&gt;2),(O616-S616)*(IFERROR(INDEX('TaxCred&amp;Subs'!$J$66:$J$99,MATCH(1,($C616&amp;$D616='TaxCred&amp;Subs'!$D$66:$D$99)*($F616='TaxCred&amp;Subs'!$C$66:$C$99),0)),0)),IF($C616&gt;2,(O616-S616)*(IFERROR(INDEX('TaxCred&amp;Subs'!$J$66:$J$99,MATCH(1,($C616&amp;$D616='TaxCred&amp;Subs'!$D$66:$D$99)*($F616='TaxCred&amp;Subs'!$C$66:$C$99),0)),0)),0))),0)</f>
        <v>0</v>
      </c>
      <c r="R616" s="95">
        <f t="array" ref="R616">ROUND(IF(IFERROR(VALUE(RIGHT($AD616,1)),0)&gt;2,IF($C616=8,N616*IFERROR(INDEX('TaxCred&amp;Subs'!$K$139:$S$151,MATCH($C616&amp;$D616&amp;LEFT($AD616,7),'TaxCred&amp;Subs'!$E$139:$E$151,0),MATCH($H616,'TaxCred&amp;Subs'!$K$137:$S$137,0)),0),IF($C616=2,N616*IFERROR(INDEX('TaxCred&amp;Subs'!$K$139:$S$151,MATCH($C616&amp;$D616,'TaxCred&amp;Subs'!$D$139:$D$151,0),MATCH($H616,'TaxCred&amp;Subs'!$K$137:$S$137,0)),0),N616*IFERROR(INDEX('TaxCred&amp;Subs'!$K$139:$S$151,MATCH($C616&amp;$D616,'TaxCred&amp;Subs'!$C$139:$C$151,0),MATCH($H616,'TaxCred&amp;Subs'!$K$137:$S$137,0)),0))),0),0)</f>
        <v>11</v>
      </c>
      <c r="S616" s="95">
        <f t="array" ref="S616">ROUND(IF(IFERROR(VALUE(RIGHT($AD616,1)),0)&gt;2,IF($C616=8,O616*IFERROR(INDEX('TaxCred&amp;Subs'!$K$139:$S$151,MATCH($C616&amp;$D616&amp;LEFT($AD616,7),'TaxCred&amp;Subs'!$E$139:$E$151,0),MATCH($H616,'TaxCred&amp;Subs'!$K$137:$S$137,0)),0),IF($C616=2,O616*IFERROR(INDEX('TaxCred&amp;Subs'!$K$139:$S$151,MATCH($C616&amp;$D616,'TaxCred&amp;Subs'!$D$139:$D$151,0),MATCH($H616,'TaxCred&amp;Subs'!$K$137:$S$137,0)),0),O616*IFERROR(INDEX('TaxCred&amp;Subs'!$K$139:$S$151,MATCH($C616&amp;$D616,'TaxCred&amp;Subs'!$C$139:$C$151,0),MATCH($H616,'TaxCred&amp;Subs'!$K$137:$S$137,0)),0))),0),0)</f>
        <v>6</v>
      </c>
      <c r="T616" s="95">
        <f t="shared" si="35"/>
        <v>0</v>
      </c>
      <c r="U616" s="95">
        <f t="shared" si="36"/>
        <v>0</v>
      </c>
      <c r="V616" s="28" t="s">
        <v>222</v>
      </c>
      <c r="W616" s="31">
        <v>2020</v>
      </c>
      <c r="X616" s="28">
        <v>1</v>
      </c>
      <c r="Y616" s="28">
        <v>0</v>
      </c>
      <c r="Z616" s="196">
        <v>-3.3939727104598718E-3</v>
      </c>
      <c r="AA616" s="196">
        <v>-5.2214964776305717E-2</v>
      </c>
      <c r="AB616" s="28">
        <v>0</v>
      </c>
      <c r="AC616" s="28">
        <v>0</v>
      </c>
      <c r="AD616" s="28" t="s">
        <v>341</v>
      </c>
    </row>
    <row r="617" spans="2:30" ht="14.25" customHeight="1" x14ac:dyDescent="0.2">
      <c r="B617" s="7">
        <f t="shared" si="41"/>
        <v>593</v>
      </c>
      <c r="C617" s="28">
        <v>5</v>
      </c>
      <c r="D617" s="28">
        <v>1</v>
      </c>
      <c r="E617" s="31">
        <v>2</v>
      </c>
      <c r="F617" s="78">
        <v>2023</v>
      </c>
      <c r="G617" s="28">
        <v>2032</v>
      </c>
      <c r="H617" s="28">
        <v>7</v>
      </c>
      <c r="I617" s="28">
        <v>0</v>
      </c>
      <c r="J617" s="28">
        <v>0</v>
      </c>
      <c r="K617" s="28">
        <v>0</v>
      </c>
      <c r="L617" s="28">
        <v>0</v>
      </c>
      <c r="M617" s="156">
        <v>0.83</v>
      </c>
      <c r="N617" s="151">
        <v>2130</v>
      </c>
      <c r="O617" s="151">
        <v>1145</v>
      </c>
      <c r="P617" s="95">
        <f t="array" ref="P617">ROUND(IF($F617&lt;='TaxCred&amp;Subs'!$C$49,(IF($C617=2,IF($M617&gt;=IFERROR(INDEX('TaxCred&amp;Subs'!$L$12:$L$47,MATCH(1,($C617&amp;$D617='TaxCred&amp;Subs'!$E$12:$E$47)*($F617='TaxCred&amp;Subs'!$C$12:$C$47),0)
),9999),IFERROR(INDEX('TaxCred&amp;Subs'!$N$12:$N$47,MATCH(1,($C617&amp;$D617='TaxCred&amp;Subs'!$E$12:$E$47)*($F617='TaxCred&amp;Subs'!$C$12:$C$47),0)
),0),0),(IF($M617&gt;=IFERROR(INDEX('TaxCred&amp;Subs'!$H$12:$H$47,MATCH(1,($C617&amp;$D617='TaxCred&amp;Subs'!$D$12:$D$47)*($F617='TaxCred&amp;Subs'!$C$12:$C$47),0)
),9999),IFERROR(INDEX('TaxCred&amp;Subs'!$N$12:$N$47,MATCH(1,($C617&amp;$D617='TaxCred&amp;Subs'!$D$12:$D$47)*($F617='TaxCred&amp;Subs'!$C$12:$C$47),0)
),0),0)))),0)+IF(AND($C617=2,VALUE(RIGHT($AD617,1))&gt;2),(N617-R617)*(IFERROR(INDEX('TaxCred&amp;Subs'!$J$66:$J$99,MATCH(1,($C617&amp;$D617='TaxCred&amp;Subs'!$E$66:$E$99)*($F617='TaxCred&amp;Subs'!$C$66:$C$99),0)),0)),IF(AND($C617=1,VALUE(RIGHT($AD617,1))&gt;2),(N617-R617)*(IFERROR(INDEX('TaxCred&amp;Subs'!$J$66:$J$99,MATCH(1,($C617&amp;$D617='TaxCred&amp;Subs'!$D$66:$D$99)*($F617='TaxCred&amp;Subs'!$C$66:$C$99),0)),0)),IF($C617&gt;2,(N617-R617)*(IFERROR(INDEX('TaxCred&amp;Subs'!$J$66:$J$99,MATCH(1,($C617&amp;$D617='TaxCred&amp;Subs'!$D$66:$D$99)*($F617='TaxCred&amp;Subs'!$C$66:$C$99),0)),0)),0))),0)</f>
        <v>600</v>
      </c>
      <c r="Q617" s="95">
        <f t="array" ref="Q617">ROUND(IF(AND($C617=2,VALUE(RIGHT($AD617,1))&gt;2),(O617-S617)*(IFERROR(INDEX('TaxCred&amp;Subs'!$J$66:$J$99,MATCH(1,($C617&amp;$D617='TaxCred&amp;Subs'!$E$66:$E$99)*($F617='TaxCred&amp;Subs'!$C$66:$C$99),0)),0)),IF(AND($C617=1,VALUE(RIGHT($AD617,1))&gt;2),(O617-S617)*(IFERROR(INDEX('TaxCred&amp;Subs'!$J$66:$J$99,MATCH(1,($C617&amp;$D617='TaxCred&amp;Subs'!$D$66:$D$99)*($F617='TaxCred&amp;Subs'!$C$66:$C$99),0)),0)),IF($C617&gt;2,(O617-S617)*(IFERROR(INDEX('TaxCred&amp;Subs'!$J$66:$J$99,MATCH(1,($C617&amp;$D617='TaxCred&amp;Subs'!$D$66:$D$99)*($F617='TaxCred&amp;Subs'!$C$66:$C$99),0)),0)),0))),0)</f>
        <v>0</v>
      </c>
      <c r="R617" s="95">
        <f t="array" ref="R617">ROUND(IF(IFERROR(VALUE(RIGHT($AD617,1)),0)&gt;2,IF($C617=8,N617*IFERROR(INDEX('TaxCred&amp;Subs'!$K$139:$S$151,MATCH($C617&amp;$D617&amp;LEFT($AD617,7),'TaxCred&amp;Subs'!$E$139:$E$151,0),MATCH($H617,'TaxCred&amp;Subs'!$K$137:$S$137,0)),0),IF($C617=2,N617*IFERROR(INDEX('TaxCred&amp;Subs'!$K$139:$S$151,MATCH($C617&amp;$D617,'TaxCred&amp;Subs'!$D$139:$D$151,0),MATCH($H617,'TaxCred&amp;Subs'!$K$137:$S$137,0)),0),N617*IFERROR(INDEX('TaxCred&amp;Subs'!$K$139:$S$151,MATCH($C617&amp;$D617,'TaxCred&amp;Subs'!$C$139:$C$151,0),MATCH($H617,'TaxCred&amp;Subs'!$K$137:$S$137,0)),0))),0),0)</f>
        <v>0</v>
      </c>
      <c r="S617" s="95">
        <f t="array" ref="S617">ROUND(IF(IFERROR(VALUE(RIGHT($AD617,1)),0)&gt;2,IF($C617=8,O617*IFERROR(INDEX('TaxCred&amp;Subs'!$K$139:$S$151,MATCH($C617&amp;$D617&amp;LEFT($AD617,7),'TaxCred&amp;Subs'!$E$139:$E$151,0),MATCH($H617,'TaxCred&amp;Subs'!$K$137:$S$137,0)),0),IF($C617=2,O617*IFERROR(INDEX('TaxCred&amp;Subs'!$K$139:$S$151,MATCH($C617&amp;$D617,'TaxCred&amp;Subs'!$D$139:$D$151,0),MATCH($H617,'TaxCred&amp;Subs'!$K$137:$S$137,0)),0),O617*IFERROR(INDEX('TaxCred&amp;Subs'!$K$139:$S$151,MATCH($C617&amp;$D617,'TaxCred&amp;Subs'!$C$139:$C$151,0),MATCH($H617,'TaxCred&amp;Subs'!$K$137:$S$137,0)),0))),0),0)</f>
        <v>0</v>
      </c>
      <c r="T617" s="95">
        <f t="shared" si="35"/>
        <v>0</v>
      </c>
      <c r="U617" s="95">
        <f t="shared" si="36"/>
        <v>0</v>
      </c>
      <c r="V617" s="28" t="s">
        <v>222</v>
      </c>
      <c r="W617" s="31">
        <v>2020</v>
      </c>
      <c r="X617" s="28">
        <v>1</v>
      </c>
      <c r="Y617" s="28">
        <v>0</v>
      </c>
      <c r="Z617" s="196">
        <v>-3.3939727104598718E-3</v>
      </c>
      <c r="AA617" s="196">
        <v>-5.2214964776305717E-2</v>
      </c>
      <c r="AB617" s="28">
        <v>0</v>
      </c>
      <c r="AC617" s="28">
        <v>0</v>
      </c>
      <c r="AD617" s="28" t="s">
        <v>341</v>
      </c>
    </row>
    <row r="618" spans="2:30" ht="14.25" customHeight="1" x14ac:dyDescent="0.2">
      <c r="B618" s="7">
        <f t="shared" si="41"/>
        <v>594</v>
      </c>
      <c r="C618" s="28">
        <v>5</v>
      </c>
      <c r="D618" s="28">
        <v>1</v>
      </c>
      <c r="E618" s="31">
        <v>2</v>
      </c>
      <c r="F618" s="78">
        <v>2023</v>
      </c>
      <c r="G618" s="28">
        <v>2032</v>
      </c>
      <c r="H618" s="28">
        <v>8</v>
      </c>
      <c r="I618" s="28">
        <v>0</v>
      </c>
      <c r="J618" s="28">
        <v>0</v>
      </c>
      <c r="K618" s="28">
        <v>0</v>
      </c>
      <c r="L618" s="28">
        <v>0</v>
      </c>
      <c r="M618" s="156">
        <v>0.83</v>
      </c>
      <c r="N618" s="151">
        <v>2130</v>
      </c>
      <c r="O618" s="151">
        <v>1145</v>
      </c>
      <c r="P618" s="95">
        <f t="array" ref="P618">ROUND(IF($F618&lt;='TaxCred&amp;Subs'!$C$49,(IF($C618=2,IF($M618&gt;=IFERROR(INDEX('TaxCred&amp;Subs'!$L$12:$L$47,MATCH(1,($C618&amp;$D618='TaxCred&amp;Subs'!$E$12:$E$47)*($F618='TaxCred&amp;Subs'!$C$12:$C$47),0)
),9999),IFERROR(INDEX('TaxCred&amp;Subs'!$N$12:$N$47,MATCH(1,($C618&amp;$D618='TaxCred&amp;Subs'!$E$12:$E$47)*($F618='TaxCred&amp;Subs'!$C$12:$C$47),0)
),0),0),(IF($M618&gt;=IFERROR(INDEX('TaxCred&amp;Subs'!$H$12:$H$47,MATCH(1,($C618&amp;$D618='TaxCred&amp;Subs'!$D$12:$D$47)*($F618='TaxCred&amp;Subs'!$C$12:$C$47),0)
),9999),IFERROR(INDEX('TaxCred&amp;Subs'!$N$12:$N$47,MATCH(1,($C618&amp;$D618='TaxCred&amp;Subs'!$D$12:$D$47)*($F618='TaxCred&amp;Subs'!$C$12:$C$47),0)
),0),0)))),0)+IF(AND($C618=2,VALUE(RIGHT($AD618,1))&gt;2),(N618-R618)*(IFERROR(INDEX('TaxCred&amp;Subs'!$J$66:$J$99,MATCH(1,($C618&amp;$D618='TaxCred&amp;Subs'!$E$66:$E$99)*($F618='TaxCred&amp;Subs'!$C$66:$C$99),0)),0)),IF(AND($C618=1,VALUE(RIGHT($AD618,1))&gt;2),(N618-R618)*(IFERROR(INDEX('TaxCred&amp;Subs'!$J$66:$J$99,MATCH(1,($C618&amp;$D618='TaxCred&amp;Subs'!$D$66:$D$99)*($F618='TaxCred&amp;Subs'!$C$66:$C$99),0)),0)),IF($C618&gt;2,(N618-R618)*(IFERROR(INDEX('TaxCred&amp;Subs'!$J$66:$J$99,MATCH(1,($C618&amp;$D618='TaxCred&amp;Subs'!$D$66:$D$99)*($F618='TaxCred&amp;Subs'!$C$66:$C$99),0)),0)),0))),0)</f>
        <v>600</v>
      </c>
      <c r="Q618" s="95">
        <f t="array" ref="Q618">ROUND(IF(AND($C618=2,VALUE(RIGHT($AD618,1))&gt;2),(O618-S618)*(IFERROR(INDEX('TaxCred&amp;Subs'!$J$66:$J$99,MATCH(1,($C618&amp;$D618='TaxCred&amp;Subs'!$E$66:$E$99)*($F618='TaxCred&amp;Subs'!$C$66:$C$99),0)),0)),IF(AND($C618=1,VALUE(RIGHT($AD618,1))&gt;2),(O618-S618)*(IFERROR(INDEX('TaxCred&amp;Subs'!$J$66:$J$99,MATCH(1,($C618&amp;$D618='TaxCred&amp;Subs'!$D$66:$D$99)*($F618='TaxCred&amp;Subs'!$C$66:$C$99),0)),0)),IF($C618&gt;2,(O618-S618)*(IFERROR(INDEX('TaxCred&amp;Subs'!$J$66:$J$99,MATCH(1,($C618&amp;$D618='TaxCred&amp;Subs'!$D$66:$D$99)*($F618='TaxCred&amp;Subs'!$C$66:$C$99),0)),0)),0))),0)</f>
        <v>0</v>
      </c>
      <c r="R618" s="95">
        <f t="array" ref="R618">ROUND(IF(IFERROR(VALUE(RIGHT($AD618,1)),0)&gt;2,IF($C618=8,N618*IFERROR(INDEX('TaxCred&amp;Subs'!$K$139:$S$151,MATCH($C618&amp;$D618&amp;LEFT($AD618,7),'TaxCred&amp;Subs'!$E$139:$E$151,0),MATCH($H618,'TaxCred&amp;Subs'!$K$137:$S$137,0)),0),IF($C618=2,N618*IFERROR(INDEX('TaxCred&amp;Subs'!$K$139:$S$151,MATCH($C618&amp;$D618,'TaxCred&amp;Subs'!$D$139:$D$151,0),MATCH($H618,'TaxCred&amp;Subs'!$K$137:$S$137,0)),0),N618*IFERROR(INDEX('TaxCred&amp;Subs'!$K$139:$S$151,MATCH($C618&amp;$D618,'TaxCred&amp;Subs'!$C$139:$C$151,0),MATCH($H618,'TaxCred&amp;Subs'!$K$137:$S$137,0)),0))),0),0)</f>
        <v>34</v>
      </c>
      <c r="S618" s="95">
        <f t="array" ref="S618">ROUND(IF(IFERROR(VALUE(RIGHT($AD618,1)),0)&gt;2,IF($C618=8,O618*IFERROR(INDEX('TaxCred&amp;Subs'!$K$139:$S$151,MATCH($C618&amp;$D618&amp;LEFT($AD618,7),'TaxCred&amp;Subs'!$E$139:$E$151,0),MATCH($H618,'TaxCred&amp;Subs'!$K$137:$S$137,0)),0),IF($C618=2,O618*IFERROR(INDEX('TaxCred&amp;Subs'!$K$139:$S$151,MATCH($C618&amp;$D618,'TaxCred&amp;Subs'!$D$139:$D$151,0),MATCH($H618,'TaxCred&amp;Subs'!$K$137:$S$137,0)),0),O618*IFERROR(INDEX('TaxCred&amp;Subs'!$K$139:$S$151,MATCH($C618&amp;$D618,'TaxCred&amp;Subs'!$C$139:$C$151,0),MATCH($H618,'TaxCred&amp;Subs'!$K$137:$S$137,0)),0))),0),0)</f>
        <v>18</v>
      </c>
      <c r="T618" s="95">
        <f t="shared" si="35"/>
        <v>0</v>
      </c>
      <c r="U618" s="95">
        <f t="shared" si="36"/>
        <v>0</v>
      </c>
      <c r="V618" s="28" t="s">
        <v>222</v>
      </c>
      <c r="W618" s="31">
        <v>2020</v>
      </c>
      <c r="X618" s="28">
        <v>1</v>
      </c>
      <c r="Y618" s="28">
        <v>0</v>
      </c>
      <c r="Z618" s="196">
        <v>-3.3939727104598718E-3</v>
      </c>
      <c r="AA618" s="196">
        <v>-5.2214964776305717E-2</v>
      </c>
      <c r="AB618" s="28">
        <v>0</v>
      </c>
      <c r="AC618" s="28">
        <v>0</v>
      </c>
      <c r="AD618" s="28" t="s">
        <v>341</v>
      </c>
    </row>
    <row r="619" spans="2:30" ht="14.25" customHeight="1" x14ac:dyDescent="0.2">
      <c r="B619" s="7">
        <f t="shared" si="41"/>
        <v>595</v>
      </c>
      <c r="C619" s="28">
        <v>5</v>
      </c>
      <c r="D619" s="28">
        <v>1</v>
      </c>
      <c r="E619" s="31">
        <v>2</v>
      </c>
      <c r="F619" s="78">
        <v>2023</v>
      </c>
      <c r="G619" s="28">
        <v>2032</v>
      </c>
      <c r="H619" s="28">
        <v>9</v>
      </c>
      <c r="I619" s="28">
        <v>0</v>
      </c>
      <c r="J619" s="28">
        <v>0</v>
      </c>
      <c r="K619" s="28">
        <v>0</v>
      </c>
      <c r="L619" s="28">
        <v>0</v>
      </c>
      <c r="M619" s="156">
        <v>0.83</v>
      </c>
      <c r="N619" s="151">
        <v>2130</v>
      </c>
      <c r="O619" s="151">
        <v>1145</v>
      </c>
      <c r="P619" s="95">
        <f t="array" ref="P619">ROUND(IF($F619&lt;='TaxCred&amp;Subs'!$C$49,(IF($C619=2,IF($M619&gt;=IFERROR(INDEX('TaxCred&amp;Subs'!$L$12:$L$47,MATCH(1,($C619&amp;$D619='TaxCred&amp;Subs'!$E$12:$E$47)*($F619='TaxCred&amp;Subs'!$C$12:$C$47),0)
),9999),IFERROR(INDEX('TaxCred&amp;Subs'!$N$12:$N$47,MATCH(1,($C619&amp;$D619='TaxCred&amp;Subs'!$E$12:$E$47)*($F619='TaxCred&amp;Subs'!$C$12:$C$47),0)
),0),0),(IF($M619&gt;=IFERROR(INDEX('TaxCred&amp;Subs'!$H$12:$H$47,MATCH(1,($C619&amp;$D619='TaxCred&amp;Subs'!$D$12:$D$47)*($F619='TaxCred&amp;Subs'!$C$12:$C$47),0)
),9999),IFERROR(INDEX('TaxCred&amp;Subs'!$N$12:$N$47,MATCH(1,($C619&amp;$D619='TaxCred&amp;Subs'!$D$12:$D$47)*($F619='TaxCred&amp;Subs'!$C$12:$C$47),0)
),0),0)))),0)+IF(AND($C619=2,VALUE(RIGHT($AD619,1))&gt;2),(N619-R619)*(IFERROR(INDEX('TaxCred&amp;Subs'!$J$66:$J$99,MATCH(1,($C619&amp;$D619='TaxCred&amp;Subs'!$E$66:$E$99)*($F619='TaxCred&amp;Subs'!$C$66:$C$99),0)),0)),IF(AND($C619=1,VALUE(RIGHT($AD619,1))&gt;2),(N619-R619)*(IFERROR(INDEX('TaxCred&amp;Subs'!$J$66:$J$99,MATCH(1,($C619&amp;$D619='TaxCred&amp;Subs'!$D$66:$D$99)*($F619='TaxCred&amp;Subs'!$C$66:$C$99),0)),0)),IF($C619&gt;2,(N619-R619)*(IFERROR(INDEX('TaxCred&amp;Subs'!$J$66:$J$99,MATCH(1,($C619&amp;$D619='TaxCred&amp;Subs'!$D$66:$D$99)*($F619='TaxCred&amp;Subs'!$C$66:$C$99),0)),0)),0))),0)</f>
        <v>600</v>
      </c>
      <c r="Q619" s="95">
        <f t="array" ref="Q619">ROUND(IF(AND($C619=2,VALUE(RIGHT($AD619,1))&gt;2),(O619-S619)*(IFERROR(INDEX('TaxCred&amp;Subs'!$J$66:$J$99,MATCH(1,($C619&amp;$D619='TaxCred&amp;Subs'!$E$66:$E$99)*($F619='TaxCred&amp;Subs'!$C$66:$C$99),0)),0)),IF(AND($C619=1,VALUE(RIGHT($AD619,1))&gt;2),(O619-S619)*(IFERROR(INDEX('TaxCred&amp;Subs'!$J$66:$J$99,MATCH(1,($C619&amp;$D619='TaxCred&amp;Subs'!$D$66:$D$99)*($F619='TaxCred&amp;Subs'!$C$66:$C$99),0)),0)),IF($C619&gt;2,(O619-S619)*(IFERROR(INDEX('TaxCred&amp;Subs'!$J$66:$J$99,MATCH(1,($C619&amp;$D619='TaxCred&amp;Subs'!$D$66:$D$99)*($F619='TaxCred&amp;Subs'!$C$66:$C$99),0)),0)),0))),0)</f>
        <v>0</v>
      </c>
      <c r="R619" s="95">
        <f t="array" ref="R619">ROUND(IF(IFERROR(VALUE(RIGHT($AD619,1)),0)&gt;2,IF($C619=8,N619*IFERROR(INDEX('TaxCred&amp;Subs'!$K$139:$S$151,MATCH($C619&amp;$D619&amp;LEFT($AD619,7),'TaxCred&amp;Subs'!$E$139:$E$151,0),MATCH($H619,'TaxCred&amp;Subs'!$K$137:$S$137,0)),0),IF($C619=2,N619*IFERROR(INDEX('TaxCred&amp;Subs'!$K$139:$S$151,MATCH($C619&amp;$D619,'TaxCred&amp;Subs'!$D$139:$D$151,0),MATCH($H619,'TaxCred&amp;Subs'!$K$137:$S$137,0)),0),N619*IFERROR(INDEX('TaxCred&amp;Subs'!$K$139:$S$151,MATCH($C619&amp;$D619,'TaxCred&amp;Subs'!$C$139:$C$151,0),MATCH($H619,'TaxCred&amp;Subs'!$K$137:$S$137,0)),0))),0),0)</f>
        <v>95</v>
      </c>
      <c r="S619" s="95">
        <f t="array" ref="S619">ROUND(IF(IFERROR(VALUE(RIGHT($AD619,1)),0)&gt;2,IF($C619=8,O619*IFERROR(INDEX('TaxCred&amp;Subs'!$K$139:$S$151,MATCH($C619&amp;$D619&amp;LEFT($AD619,7),'TaxCred&amp;Subs'!$E$139:$E$151,0),MATCH($H619,'TaxCred&amp;Subs'!$K$137:$S$137,0)),0),IF($C619=2,O619*IFERROR(INDEX('TaxCred&amp;Subs'!$K$139:$S$151,MATCH($C619&amp;$D619,'TaxCred&amp;Subs'!$D$139:$D$151,0),MATCH($H619,'TaxCred&amp;Subs'!$K$137:$S$137,0)),0),O619*IFERROR(INDEX('TaxCred&amp;Subs'!$K$139:$S$151,MATCH($C619&amp;$D619,'TaxCred&amp;Subs'!$C$139:$C$151,0),MATCH($H619,'TaxCred&amp;Subs'!$K$137:$S$137,0)),0))),0),0)</f>
        <v>51</v>
      </c>
      <c r="T619" s="172">
        <f t="shared" si="35"/>
        <v>229.5</v>
      </c>
      <c r="U619" s="172">
        <f t="shared" si="36"/>
        <v>171.75</v>
      </c>
      <c r="V619" s="28" t="s">
        <v>222</v>
      </c>
      <c r="W619" s="31">
        <v>2020</v>
      </c>
      <c r="X619" s="28">
        <v>1</v>
      </c>
      <c r="Y619" s="28">
        <v>0</v>
      </c>
      <c r="Z619" s="196">
        <v>-3.3939727104598718E-3</v>
      </c>
      <c r="AA619" s="196">
        <v>-5.2214964776305717E-2</v>
      </c>
      <c r="AB619" s="28">
        <v>0</v>
      </c>
      <c r="AC619" s="28">
        <v>0</v>
      </c>
      <c r="AD619" s="28" t="s">
        <v>341</v>
      </c>
    </row>
    <row r="620" spans="2:30" ht="14.25" customHeight="1" x14ac:dyDescent="0.2">
      <c r="B620" s="7">
        <f t="shared" si="41"/>
        <v>596</v>
      </c>
      <c r="C620" s="28">
        <v>5</v>
      </c>
      <c r="D620" s="28">
        <v>1</v>
      </c>
      <c r="E620" s="31">
        <v>2</v>
      </c>
      <c r="F620" s="78">
        <v>2033</v>
      </c>
      <c r="G620" s="28">
        <v>2050</v>
      </c>
      <c r="H620" s="28">
        <v>1</v>
      </c>
      <c r="I620" s="28">
        <v>0</v>
      </c>
      <c r="J620" s="28">
        <v>0</v>
      </c>
      <c r="K620" s="28">
        <v>0</v>
      </c>
      <c r="L620" s="28">
        <v>0</v>
      </c>
      <c r="M620" s="156">
        <v>0.83</v>
      </c>
      <c r="N620" s="151">
        <v>2130</v>
      </c>
      <c r="O620" s="151">
        <v>1145</v>
      </c>
      <c r="P620" s="95">
        <f t="array" ref="P620">ROUND(IF($F620&lt;='TaxCred&amp;Subs'!$C$49,(IF($C620=2,IF($M620&gt;=IFERROR(INDEX('TaxCred&amp;Subs'!$L$12:$L$47,MATCH(1,($C620&amp;$D620='TaxCred&amp;Subs'!$E$12:$E$47)*($F620='TaxCred&amp;Subs'!$C$12:$C$47),0)
),9999),IFERROR(INDEX('TaxCred&amp;Subs'!$N$12:$N$47,MATCH(1,($C620&amp;$D620='TaxCred&amp;Subs'!$E$12:$E$47)*($F620='TaxCred&amp;Subs'!$C$12:$C$47),0)
),0),0),(IF($M620&gt;=IFERROR(INDEX('TaxCred&amp;Subs'!$H$12:$H$47,MATCH(1,($C620&amp;$D620='TaxCred&amp;Subs'!$D$12:$D$47)*($F620='TaxCred&amp;Subs'!$C$12:$C$47),0)
),9999),IFERROR(INDEX('TaxCred&amp;Subs'!$N$12:$N$47,MATCH(1,($C620&amp;$D620='TaxCred&amp;Subs'!$D$12:$D$47)*($F620='TaxCred&amp;Subs'!$C$12:$C$47),0)
),0),0)))),0)+IF(AND($C620=2,VALUE(RIGHT($AD620,1))&gt;2),(N620-R620)*(IFERROR(INDEX('TaxCred&amp;Subs'!$J$66:$J$99,MATCH(1,($C620&amp;$D620='TaxCred&amp;Subs'!$E$66:$E$99)*($F620='TaxCred&amp;Subs'!$C$66:$C$99),0)),0)),IF(AND($C620=1,VALUE(RIGHT($AD620,1))&gt;2),(N620-R620)*(IFERROR(INDEX('TaxCred&amp;Subs'!$J$66:$J$99,MATCH(1,($C620&amp;$D620='TaxCred&amp;Subs'!$D$66:$D$99)*($F620='TaxCred&amp;Subs'!$C$66:$C$99),0)),0)),IF($C620&gt;2,(N620-R620)*(IFERROR(INDEX('TaxCred&amp;Subs'!$J$66:$J$99,MATCH(1,($C620&amp;$D620='TaxCred&amp;Subs'!$D$66:$D$99)*($F620='TaxCred&amp;Subs'!$C$66:$C$99),0)),0)),0))),0)</f>
        <v>0</v>
      </c>
      <c r="Q620" s="95">
        <f t="array" ref="Q620">ROUND(IF(AND($C620=2,VALUE(RIGHT($AD620,1))&gt;2),(O620-S620)*(IFERROR(INDEX('TaxCred&amp;Subs'!$J$66:$J$99,MATCH(1,($C620&amp;$D620='TaxCred&amp;Subs'!$E$66:$E$99)*($F620='TaxCred&amp;Subs'!$C$66:$C$99),0)),0)),IF(AND($C620=1,VALUE(RIGHT($AD620,1))&gt;2),(O620-S620)*(IFERROR(INDEX('TaxCred&amp;Subs'!$J$66:$J$99,MATCH(1,($C620&amp;$D620='TaxCred&amp;Subs'!$D$66:$D$99)*($F620='TaxCred&amp;Subs'!$C$66:$C$99),0)),0)),IF($C620&gt;2,(O620-S620)*(IFERROR(INDEX('TaxCred&amp;Subs'!$J$66:$J$99,MATCH(1,($C620&amp;$D620='TaxCred&amp;Subs'!$D$66:$D$99)*($F620='TaxCred&amp;Subs'!$C$66:$C$99),0)),0)),0))),0)</f>
        <v>0</v>
      </c>
      <c r="R620" s="95">
        <f t="array" ref="R620">ROUND(IF(IFERROR(VALUE(RIGHT($AD620,1)),0)&gt;2,IF($C620=8,N620*IFERROR(INDEX('TaxCred&amp;Subs'!$K$139:$S$151,MATCH($C620&amp;$D620&amp;LEFT($AD620,7),'TaxCred&amp;Subs'!$E$139:$E$151,0),MATCH($H620,'TaxCred&amp;Subs'!$K$137:$S$137,0)),0),IF($C620=2,N620*IFERROR(INDEX('TaxCred&amp;Subs'!$K$139:$S$151,MATCH($C620&amp;$D620,'TaxCred&amp;Subs'!$D$139:$D$151,0),MATCH($H620,'TaxCred&amp;Subs'!$K$137:$S$137,0)),0),N620*IFERROR(INDEX('TaxCred&amp;Subs'!$K$139:$S$151,MATCH($C620&amp;$D620,'TaxCred&amp;Subs'!$C$139:$C$151,0),MATCH($H620,'TaxCred&amp;Subs'!$K$137:$S$137,0)),0))),0),0)</f>
        <v>252</v>
      </c>
      <c r="S620" s="95">
        <f t="array" ref="S620">ROUND(IF(IFERROR(VALUE(RIGHT($AD620,1)),0)&gt;2,IF($C620=8,O620*IFERROR(INDEX('TaxCred&amp;Subs'!$K$139:$S$151,MATCH($C620&amp;$D620&amp;LEFT($AD620,7),'TaxCred&amp;Subs'!$E$139:$E$151,0),MATCH($H620,'TaxCred&amp;Subs'!$K$137:$S$137,0)),0),IF($C620=2,O620*IFERROR(INDEX('TaxCred&amp;Subs'!$K$139:$S$151,MATCH($C620&amp;$D620,'TaxCred&amp;Subs'!$D$139:$D$151,0),MATCH($H620,'TaxCred&amp;Subs'!$K$137:$S$137,0)),0),O620*IFERROR(INDEX('TaxCred&amp;Subs'!$K$139:$S$151,MATCH($C620&amp;$D620,'TaxCred&amp;Subs'!$C$139:$C$151,0),MATCH($H620,'TaxCred&amp;Subs'!$K$137:$S$137,0)),0))),0),0)</f>
        <v>136</v>
      </c>
      <c r="T620" s="95">
        <f t="shared" si="35"/>
        <v>0</v>
      </c>
      <c r="U620" s="95">
        <f t="shared" si="36"/>
        <v>0</v>
      </c>
      <c r="V620" s="28" t="s">
        <v>222</v>
      </c>
      <c r="W620" s="31">
        <v>2020</v>
      </c>
      <c r="X620" s="28">
        <v>1</v>
      </c>
      <c r="Y620" s="28">
        <v>0</v>
      </c>
      <c r="Z620" s="196">
        <v>-3.3939727104598718E-3</v>
      </c>
      <c r="AA620" s="196">
        <v>-5.2214964776305717E-2</v>
      </c>
      <c r="AB620" s="28">
        <v>0</v>
      </c>
      <c r="AC620" s="28">
        <v>0</v>
      </c>
      <c r="AD620" s="28" t="s">
        <v>341</v>
      </c>
    </row>
    <row r="621" spans="2:30" ht="14.25" customHeight="1" x14ac:dyDescent="0.2">
      <c r="B621" s="7">
        <f t="shared" si="41"/>
        <v>597</v>
      </c>
      <c r="C621" s="28">
        <v>5</v>
      </c>
      <c r="D621" s="28">
        <v>1</v>
      </c>
      <c r="E621" s="31">
        <v>2</v>
      </c>
      <c r="F621" s="78">
        <v>2033</v>
      </c>
      <c r="G621" s="28">
        <v>2050</v>
      </c>
      <c r="H621" s="28">
        <v>2</v>
      </c>
      <c r="I621" s="28">
        <v>0</v>
      </c>
      <c r="J621" s="28">
        <v>0</v>
      </c>
      <c r="K621" s="28">
        <v>0</v>
      </c>
      <c r="L621" s="28">
        <v>0</v>
      </c>
      <c r="M621" s="156">
        <v>0.83</v>
      </c>
      <c r="N621" s="151">
        <v>2130</v>
      </c>
      <c r="O621" s="151">
        <v>1145</v>
      </c>
      <c r="P621" s="95">
        <f t="array" ref="P621">ROUND(IF($F621&lt;='TaxCred&amp;Subs'!$C$49,(IF($C621=2,IF($M621&gt;=IFERROR(INDEX('TaxCred&amp;Subs'!$L$12:$L$47,MATCH(1,($C621&amp;$D621='TaxCred&amp;Subs'!$E$12:$E$47)*($F621='TaxCred&amp;Subs'!$C$12:$C$47),0)
),9999),IFERROR(INDEX('TaxCred&amp;Subs'!$N$12:$N$47,MATCH(1,($C621&amp;$D621='TaxCred&amp;Subs'!$E$12:$E$47)*($F621='TaxCred&amp;Subs'!$C$12:$C$47),0)
),0),0),(IF($M621&gt;=IFERROR(INDEX('TaxCred&amp;Subs'!$H$12:$H$47,MATCH(1,($C621&amp;$D621='TaxCred&amp;Subs'!$D$12:$D$47)*($F621='TaxCred&amp;Subs'!$C$12:$C$47),0)
),9999),IFERROR(INDEX('TaxCred&amp;Subs'!$N$12:$N$47,MATCH(1,($C621&amp;$D621='TaxCred&amp;Subs'!$D$12:$D$47)*($F621='TaxCred&amp;Subs'!$C$12:$C$47),0)
),0),0)))),0)+IF(AND($C621=2,VALUE(RIGHT($AD621,1))&gt;2),(N621-R621)*(IFERROR(INDEX('TaxCred&amp;Subs'!$J$66:$J$99,MATCH(1,($C621&amp;$D621='TaxCred&amp;Subs'!$E$66:$E$99)*($F621='TaxCred&amp;Subs'!$C$66:$C$99),0)),0)),IF(AND($C621=1,VALUE(RIGHT($AD621,1))&gt;2),(N621-R621)*(IFERROR(INDEX('TaxCred&amp;Subs'!$J$66:$J$99,MATCH(1,($C621&amp;$D621='TaxCred&amp;Subs'!$D$66:$D$99)*($F621='TaxCred&amp;Subs'!$C$66:$C$99),0)),0)),IF($C621&gt;2,(N621-R621)*(IFERROR(INDEX('TaxCred&amp;Subs'!$J$66:$J$99,MATCH(1,($C621&amp;$D621='TaxCred&amp;Subs'!$D$66:$D$99)*($F621='TaxCred&amp;Subs'!$C$66:$C$99),0)),0)),0))),0)</f>
        <v>0</v>
      </c>
      <c r="Q621" s="95">
        <f t="array" ref="Q621">ROUND(IF(AND($C621=2,VALUE(RIGHT($AD621,1))&gt;2),(O621-S621)*(IFERROR(INDEX('TaxCred&amp;Subs'!$J$66:$J$99,MATCH(1,($C621&amp;$D621='TaxCred&amp;Subs'!$E$66:$E$99)*($F621='TaxCred&amp;Subs'!$C$66:$C$99),0)),0)),IF(AND($C621=1,VALUE(RIGHT($AD621,1))&gt;2),(O621-S621)*(IFERROR(INDEX('TaxCred&amp;Subs'!$J$66:$J$99,MATCH(1,($C621&amp;$D621='TaxCred&amp;Subs'!$D$66:$D$99)*($F621='TaxCred&amp;Subs'!$C$66:$C$99),0)),0)),IF($C621&gt;2,(O621-S621)*(IFERROR(INDEX('TaxCred&amp;Subs'!$J$66:$J$99,MATCH(1,($C621&amp;$D621='TaxCred&amp;Subs'!$D$66:$D$99)*($F621='TaxCred&amp;Subs'!$C$66:$C$99),0)),0)),0))),0)</f>
        <v>0</v>
      </c>
      <c r="R621" s="95">
        <f t="array" ref="R621">ROUND(IF(IFERROR(VALUE(RIGHT($AD621,1)),0)&gt;2,IF($C621=8,N621*IFERROR(INDEX('TaxCred&amp;Subs'!$K$139:$S$151,MATCH($C621&amp;$D621&amp;LEFT($AD621,7),'TaxCred&amp;Subs'!$E$139:$E$151,0),MATCH($H621,'TaxCred&amp;Subs'!$K$137:$S$137,0)),0),IF($C621=2,N621*IFERROR(INDEX('TaxCred&amp;Subs'!$K$139:$S$151,MATCH($C621&amp;$D621,'TaxCred&amp;Subs'!$D$139:$D$151,0),MATCH($H621,'TaxCred&amp;Subs'!$K$137:$S$137,0)),0),N621*IFERROR(INDEX('TaxCred&amp;Subs'!$K$139:$S$151,MATCH($C621&amp;$D621,'TaxCred&amp;Subs'!$C$139:$C$151,0),MATCH($H621,'TaxCred&amp;Subs'!$K$137:$S$137,0)),0))),0),0)</f>
        <v>191</v>
      </c>
      <c r="S621" s="95">
        <f t="array" ref="S621">ROUND(IF(IFERROR(VALUE(RIGHT($AD621,1)),0)&gt;2,IF($C621=8,O621*IFERROR(INDEX('TaxCred&amp;Subs'!$K$139:$S$151,MATCH($C621&amp;$D621&amp;LEFT($AD621,7),'TaxCred&amp;Subs'!$E$139:$E$151,0),MATCH($H621,'TaxCred&amp;Subs'!$K$137:$S$137,0)),0),IF($C621=2,O621*IFERROR(INDEX('TaxCred&amp;Subs'!$K$139:$S$151,MATCH($C621&amp;$D621,'TaxCred&amp;Subs'!$D$139:$D$151,0),MATCH($H621,'TaxCred&amp;Subs'!$K$137:$S$137,0)),0),O621*IFERROR(INDEX('TaxCred&amp;Subs'!$K$139:$S$151,MATCH($C621&amp;$D621,'TaxCred&amp;Subs'!$C$139:$C$151,0),MATCH($H621,'TaxCred&amp;Subs'!$K$137:$S$137,0)),0))),0),0)</f>
        <v>103</v>
      </c>
      <c r="T621" s="95">
        <f t="shared" si="35"/>
        <v>0</v>
      </c>
      <c r="U621" s="95">
        <f t="shared" si="36"/>
        <v>0</v>
      </c>
      <c r="V621" s="28" t="s">
        <v>222</v>
      </c>
      <c r="W621" s="31">
        <v>2020</v>
      </c>
      <c r="X621" s="28">
        <v>1</v>
      </c>
      <c r="Y621" s="28">
        <v>0</v>
      </c>
      <c r="Z621" s="196">
        <v>-3.3939727104598718E-3</v>
      </c>
      <c r="AA621" s="196">
        <v>-5.2214964776305717E-2</v>
      </c>
      <c r="AB621" s="28">
        <v>0</v>
      </c>
      <c r="AC621" s="28">
        <v>0</v>
      </c>
      <c r="AD621" s="28" t="s">
        <v>341</v>
      </c>
    </row>
    <row r="622" spans="2:30" ht="14.25" customHeight="1" x14ac:dyDescent="0.2">
      <c r="B622" s="7">
        <f t="shared" si="41"/>
        <v>598</v>
      </c>
      <c r="C622" s="28">
        <v>5</v>
      </c>
      <c r="D622" s="28">
        <v>1</v>
      </c>
      <c r="E622" s="31">
        <v>2</v>
      </c>
      <c r="F622" s="78">
        <v>2033</v>
      </c>
      <c r="G622" s="28">
        <v>2050</v>
      </c>
      <c r="H622" s="28">
        <v>3</v>
      </c>
      <c r="I622" s="28">
        <v>0</v>
      </c>
      <c r="J622" s="28">
        <v>0</v>
      </c>
      <c r="K622" s="28">
        <v>0</v>
      </c>
      <c r="L622" s="28">
        <v>0</v>
      </c>
      <c r="M622" s="156">
        <v>0.83</v>
      </c>
      <c r="N622" s="151">
        <v>2130</v>
      </c>
      <c r="O622" s="151">
        <v>1145</v>
      </c>
      <c r="P622" s="95">
        <f t="array" ref="P622">ROUND(IF($F622&lt;='TaxCred&amp;Subs'!$C$49,(IF($C622=2,IF($M622&gt;=IFERROR(INDEX('TaxCred&amp;Subs'!$L$12:$L$47,MATCH(1,($C622&amp;$D622='TaxCred&amp;Subs'!$E$12:$E$47)*($F622='TaxCred&amp;Subs'!$C$12:$C$47),0)
),9999),IFERROR(INDEX('TaxCred&amp;Subs'!$N$12:$N$47,MATCH(1,($C622&amp;$D622='TaxCred&amp;Subs'!$E$12:$E$47)*($F622='TaxCred&amp;Subs'!$C$12:$C$47),0)
),0),0),(IF($M622&gt;=IFERROR(INDEX('TaxCred&amp;Subs'!$H$12:$H$47,MATCH(1,($C622&amp;$D622='TaxCred&amp;Subs'!$D$12:$D$47)*($F622='TaxCred&amp;Subs'!$C$12:$C$47),0)
),9999),IFERROR(INDEX('TaxCred&amp;Subs'!$N$12:$N$47,MATCH(1,($C622&amp;$D622='TaxCred&amp;Subs'!$D$12:$D$47)*($F622='TaxCred&amp;Subs'!$C$12:$C$47),0)
),0),0)))),0)+IF(AND($C622=2,VALUE(RIGHT($AD622,1))&gt;2),(N622-R622)*(IFERROR(INDEX('TaxCred&amp;Subs'!$J$66:$J$99,MATCH(1,($C622&amp;$D622='TaxCred&amp;Subs'!$E$66:$E$99)*($F622='TaxCred&amp;Subs'!$C$66:$C$99),0)),0)),IF(AND($C622=1,VALUE(RIGHT($AD622,1))&gt;2),(N622-R622)*(IFERROR(INDEX('TaxCred&amp;Subs'!$J$66:$J$99,MATCH(1,($C622&amp;$D622='TaxCred&amp;Subs'!$D$66:$D$99)*($F622='TaxCred&amp;Subs'!$C$66:$C$99),0)),0)),IF($C622&gt;2,(N622-R622)*(IFERROR(INDEX('TaxCred&amp;Subs'!$J$66:$J$99,MATCH(1,($C622&amp;$D622='TaxCred&amp;Subs'!$D$66:$D$99)*($F622='TaxCred&amp;Subs'!$C$66:$C$99),0)),0)),0))),0)</f>
        <v>0</v>
      </c>
      <c r="Q622" s="95">
        <f t="array" ref="Q622">ROUND(IF(AND($C622=2,VALUE(RIGHT($AD622,1))&gt;2),(O622-S622)*(IFERROR(INDEX('TaxCred&amp;Subs'!$J$66:$J$99,MATCH(1,($C622&amp;$D622='TaxCred&amp;Subs'!$E$66:$E$99)*($F622='TaxCred&amp;Subs'!$C$66:$C$99),0)),0)),IF(AND($C622=1,VALUE(RIGHT($AD622,1))&gt;2),(O622-S622)*(IFERROR(INDEX('TaxCred&amp;Subs'!$J$66:$J$99,MATCH(1,($C622&amp;$D622='TaxCred&amp;Subs'!$D$66:$D$99)*($F622='TaxCred&amp;Subs'!$C$66:$C$99),0)),0)),IF($C622&gt;2,(O622-S622)*(IFERROR(INDEX('TaxCred&amp;Subs'!$J$66:$J$99,MATCH(1,($C622&amp;$D622='TaxCred&amp;Subs'!$D$66:$D$99)*($F622='TaxCred&amp;Subs'!$C$66:$C$99),0)),0)),0))),0)</f>
        <v>0</v>
      </c>
      <c r="R622" s="95">
        <f t="array" ref="R622">ROUND(IF(IFERROR(VALUE(RIGHT($AD622,1)),0)&gt;2,IF($C622=8,N622*IFERROR(INDEX('TaxCred&amp;Subs'!$K$139:$S$151,MATCH($C622&amp;$D622&amp;LEFT($AD622,7),'TaxCred&amp;Subs'!$E$139:$E$151,0),MATCH($H622,'TaxCred&amp;Subs'!$K$137:$S$137,0)),0),IF($C622=2,N622*IFERROR(INDEX('TaxCred&amp;Subs'!$K$139:$S$151,MATCH($C622&amp;$D622,'TaxCred&amp;Subs'!$D$139:$D$151,0),MATCH($H622,'TaxCred&amp;Subs'!$K$137:$S$137,0)),0),N622*IFERROR(INDEX('TaxCred&amp;Subs'!$K$139:$S$151,MATCH($C622&amp;$D622,'TaxCred&amp;Subs'!$C$139:$C$151,0),MATCH($H622,'TaxCred&amp;Subs'!$K$137:$S$137,0)),0))),0),0)</f>
        <v>17</v>
      </c>
      <c r="S622" s="95">
        <f t="array" ref="S622">ROUND(IF(IFERROR(VALUE(RIGHT($AD622,1)),0)&gt;2,IF($C622=8,O622*IFERROR(INDEX('TaxCred&amp;Subs'!$K$139:$S$151,MATCH($C622&amp;$D622&amp;LEFT($AD622,7),'TaxCred&amp;Subs'!$E$139:$E$151,0),MATCH($H622,'TaxCred&amp;Subs'!$K$137:$S$137,0)),0),IF($C622=2,O622*IFERROR(INDEX('TaxCred&amp;Subs'!$K$139:$S$151,MATCH($C622&amp;$D622,'TaxCred&amp;Subs'!$D$139:$D$151,0),MATCH($H622,'TaxCred&amp;Subs'!$K$137:$S$137,0)),0),O622*IFERROR(INDEX('TaxCred&amp;Subs'!$K$139:$S$151,MATCH($C622&amp;$D622,'TaxCred&amp;Subs'!$C$139:$C$151,0),MATCH($H622,'TaxCred&amp;Subs'!$K$137:$S$137,0)),0))),0),0)</f>
        <v>9</v>
      </c>
      <c r="T622" s="95">
        <f t="shared" si="35"/>
        <v>0</v>
      </c>
      <c r="U622" s="95">
        <f t="shared" si="36"/>
        <v>0</v>
      </c>
      <c r="V622" s="28" t="s">
        <v>222</v>
      </c>
      <c r="W622" s="31">
        <v>2020</v>
      </c>
      <c r="X622" s="28">
        <v>1</v>
      </c>
      <c r="Y622" s="28">
        <v>0</v>
      </c>
      <c r="Z622" s="196">
        <v>-3.3939727104598718E-3</v>
      </c>
      <c r="AA622" s="196">
        <v>-5.2214964776305717E-2</v>
      </c>
      <c r="AB622" s="28">
        <v>0</v>
      </c>
      <c r="AC622" s="28">
        <v>0</v>
      </c>
      <c r="AD622" s="28" t="s">
        <v>341</v>
      </c>
    </row>
    <row r="623" spans="2:30" ht="14.25" customHeight="1" x14ac:dyDescent="0.2">
      <c r="B623" s="7">
        <f t="shared" si="41"/>
        <v>599</v>
      </c>
      <c r="C623" s="28">
        <v>5</v>
      </c>
      <c r="D623" s="28">
        <v>1</v>
      </c>
      <c r="E623" s="31">
        <v>2</v>
      </c>
      <c r="F623" s="78">
        <v>2033</v>
      </c>
      <c r="G623" s="28">
        <v>2050</v>
      </c>
      <c r="H623" s="28">
        <v>4</v>
      </c>
      <c r="I623" s="28">
        <v>0</v>
      </c>
      <c r="J623" s="28">
        <v>0</v>
      </c>
      <c r="K623" s="28">
        <v>0</v>
      </c>
      <c r="L623" s="28">
        <v>0</v>
      </c>
      <c r="M623" s="156">
        <v>0.83</v>
      </c>
      <c r="N623" s="151">
        <v>2130</v>
      </c>
      <c r="O623" s="151">
        <v>1145</v>
      </c>
      <c r="P623" s="95">
        <f t="array" ref="P623">ROUND(IF($F623&lt;='TaxCred&amp;Subs'!$C$49,(IF($C623=2,IF($M623&gt;=IFERROR(INDEX('TaxCred&amp;Subs'!$L$12:$L$47,MATCH(1,($C623&amp;$D623='TaxCred&amp;Subs'!$E$12:$E$47)*($F623='TaxCred&amp;Subs'!$C$12:$C$47),0)
),9999),IFERROR(INDEX('TaxCred&amp;Subs'!$N$12:$N$47,MATCH(1,($C623&amp;$D623='TaxCred&amp;Subs'!$E$12:$E$47)*($F623='TaxCred&amp;Subs'!$C$12:$C$47),0)
),0),0),(IF($M623&gt;=IFERROR(INDEX('TaxCred&amp;Subs'!$H$12:$H$47,MATCH(1,($C623&amp;$D623='TaxCred&amp;Subs'!$D$12:$D$47)*($F623='TaxCred&amp;Subs'!$C$12:$C$47),0)
),9999),IFERROR(INDEX('TaxCred&amp;Subs'!$N$12:$N$47,MATCH(1,($C623&amp;$D623='TaxCred&amp;Subs'!$D$12:$D$47)*($F623='TaxCred&amp;Subs'!$C$12:$C$47),0)
),0),0)))),0)+IF(AND($C623=2,VALUE(RIGHT($AD623,1))&gt;2),(N623-R623)*(IFERROR(INDEX('TaxCred&amp;Subs'!$J$66:$J$99,MATCH(1,($C623&amp;$D623='TaxCred&amp;Subs'!$E$66:$E$99)*($F623='TaxCred&amp;Subs'!$C$66:$C$99),0)),0)),IF(AND($C623=1,VALUE(RIGHT($AD623,1))&gt;2),(N623-R623)*(IFERROR(INDEX('TaxCred&amp;Subs'!$J$66:$J$99,MATCH(1,($C623&amp;$D623='TaxCred&amp;Subs'!$D$66:$D$99)*($F623='TaxCred&amp;Subs'!$C$66:$C$99),0)),0)),IF($C623&gt;2,(N623-R623)*(IFERROR(INDEX('TaxCred&amp;Subs'!$J$66:$J$99,MATCH(1,($C623&amp;$D623='TaxCred&amp;Subs'!$D$66:$D$99)*($F623='TaxCred&amp;Subs'!$C$66:$C$99),0)),0)),0))),0)</f>
        <v>0</v>
      </c>
      <c r="Q623" s="95">
        <f t="array" ref="Q623">ROUND(IF(AND($C623=2,VALUE(RIGHT($AD623,1))&gt;2),(O623-S623)*(IFERROR(INDEX('TaxCred&amp;Subs'!$J$66:$J$99,MATCH(1,($C623&amp;$D623='TaxCred&amp;Subs'!$E$66:$E$99)*($F623='TaxCred&amp;Subs'!$C$66:$C$99),0)),0)),IF(AND($C623=1,VALUE(RIGHT($AD623,1))&gt;2),(O623-S623)*(IFERROR(INDEX('TaxCred&amp;Subs'!$J$66:$J$99,MATCH(1,($C623&amp;$D623='TaxCred&amp;Subs'!$D$66:$D$99)*($F623='TaxCred&amp;Subs'!$C$66:$C$99),0)),0)),IF($C623&gt;2,(O623-S623)*(IFERROR(INDEX('TaxCred&amp;Subs'!$J$66:$J$99,MATCH(1,($C623&amp;$D623='TaxCred&amp;Subs'!$D$66:$D$99)*($F623='TaxCred&amp;Subs'!$C$66:$C$99),0)),0)),0))),0)</f>
        <v>0</v>
      </c>
      <c r="R623" s="95">
        <f t="array" ref="R623">ROUND(IF(IFERROR(VALUE(RIGHT($AD623,1)),0)&gt;2,IF($C623=8,N623*IFERROR(INDEX('TaxCred&amp;Subs'!$K$139:$S$151,MATCH($C623&amp;$D623&amp;LEFT($AD623,7),'TaxCred&amp;Subs'!$E$139:$E$151,0),MATCH($H623,'TaxCred&amp;Subs'!$K$137:$S$137,0)),0),IF($C623=2,N623*IFERROR(INDEX('TaxCred&amp;Subs'!$K$139:$S$151,MATCH($C623&amp;$D623,'TaxCred&amp;Subs'!$D$139:$D$151,0),MATCH($H623,'TaxCred&amp;Subs'!$K$137:$S$137,0)),0),N623*IFERROR(INDEX('TaxCred&amp;Subs'!$K$139:$S$151,MATCH($C623&amp;$D623,'TaxCred&amp;Subs'!$C$139:$C$151,0),MATCH($H623,'TaxCred&amp;Subs'!$K$137:$S$137,0)),0))),0),0)</f>
        <v>70</v>
      </c>
      <c r="S623" s="95">
        <f t="array" ref="S623">ROUND(IF(IFERROR(VALUE(RIGHT($AD623,1)),0)&gt;2,IF($C623=8,O623*IFERROR(INDEX('TaxCred&amp;Subs'!$K$139:$S$151,MATCH($C623&amp;$D623&amp;LEFT($AD623,7),'TaxCred&amp;Subs'!$E$139:$E$151,0),MATCH($H623,'TaxCred&amp;Subs'!$K$137:$S$137,0)),0),IF($C623=2,O623*IFERROR(INDEX('TaxCred&amp;Subs'!$K$139:$S$151,MATCH($C623&amp;$D623,'TaxCred&amp;Subs'!$D$139:$D$151,0),MATCH($H623,'TaxCred&amp;Subs'!$K$137:$S$137,0)),0),O623*IFERROR(INDEX('TaxCred&amp;Subs'!$K$139:$S$151,MATCH($C623&amp;$D623,'TaxCred&amp;Subs'!$C$139:$C$151,0),MATCH($H623,'TaxCred&amp;Subs'!$K$137:$S$137,0)),0))),0),0)</f>
        <v>37</v>
      </c>
      <c r="T623" s="95">
        <f t="shared" si="35"/>
        <v>0</v>
      </c>
      <c r="U623" s="95">
        <f t="shared" si="36"/>
        <v>0</v>
      </c>
      <c r="V623" s="28" t="s">
        <v>222</v>
      </c>
      <c r="W623" s="31">
        <v>2020</v>
      </c>
      <c r="X623" s="28">
        <v>1</v>
      </c>
      <c r="Y623" s="28">
        <v>0</v>
      </c>
      <c r="Z623" s="196">
        <v>-3.3939727104598718E-3</v>
      </c>
      <c r="AA623" s="196">
        <v>-5.2214964776305717E-2</v>
      </c>
      <c r="AB623" s="28">
        <v>0</v>
      </c>
      <c r="AC623" s="28">
        <v>0</v>
      </c>
      <c r="AD623" s="28" t="s">
        <v>341</v>
      </c>
    </row>
    <row r="624" spans="2:30" ht="14.25" customHeight="1" x14ac:dyDescent="0.2">
      <c r="B624" s="7">
        <f t="shared" si="41"/>
        <v>600</v>
      </c>
      <c r="C624" s="28">
        <v>5</v>
      </c>
      <c r="D624" s="28">
        <v>1</v>
      </c>
      <c r="E624" s="31">
        <v>2</v>
      </c>
      <c r="F624" s="78">
        <v>2033</v>
      </c>
      <c r="G624" s="28">
        <v>2050</v>
      </c>
      <c r="H624" s="28">
        <v>5</v>
      </c>
      <c r="I624" s="28">
        <v>0</v>
      </c>
      <c r="J624" s="28">
        <v>0</v>
      </c>
      <c r="K624" s="28">
        <v>0</v>
      </c>
      <c r="L624" s="28">
        <v>0</v>
      </c>
      <c r="M624" s="156">
        <v>0.83</v>
      </c>
      <c r="N624" s="151">
        <v>2130</v>
      </c>
      <c r="O624" s="151">
        <v>1145</v>
      </c>
      <c r="P624" s="95">
        <f t="array" ref="P624">ROUND(IF($F624&lt;='TaxCred&amp;Subs'!$C$49,(IF($C624=2,IF($M624&gt;=IFERROR(INDEX('TaxCred&amp;Subs'!$L$12:$L$47,MATCH(1,($C624&amp;$D624='TaxCred&amp;Subs'!$E$12:$E$47)*($F624='TaxCred&amp;Subs'!$C$12:$C$47),0)
),9999),IFERROR(INDEX('TaxCred&amp;Subs'!$N$12:$N$47,MATCH(1,($C624&amp;$D624='TaxCred&amp;Subs'!$E$12:$E$47)*($F624='TaxCred&amp;Subs'!$C$12:$C$47),0)
),0),0),(IF($M624&gt;=IFERROR(INDEX('TaxCred&amp;Subs'!$H$12:$H$47,MATCH(1,($C624&amp;$D624='TaxCred&amp;Subs'!$D$12:$D$47)*($F624='TaxCred&amp;Subs'!$C$12:$C$47),0)
),9999),IFERROR(INDEX('TaxCred&amp;Subs'!$N$12:$N$47,MATCH(1,($C624&amp;$D624='TaxCred&amp;Subs'!$D$12:$D$47)*($F624='TaxCred&amp;Subs'!$C$12:$C$47),0)
),0),0)))),0)+IF(AND($C624=2,VALUE(RIGHT($AD624,1))&gt;2),(N624-R624)*(IFERROR(INDEX('TaxCred&amp;Subs'!$J$66:$J$99,MATCH(1,($C624&amp;$D624='TaxCred&amp;Subs'!$E$66:$E$99)*($F624='TaxCred&amp;Subs'!$C$66:$C$99),0)),0)),IF(AND($C624=1,VALUE(RIGHT($AD624,1))&gt;2),(N624-R624)*(IFERROR(INDEX('TaxCred&amp;Subs'!$J$66:$J$99,MATCH(1,($C624&amp;$D624='TaxCred&amp;Subs'!$D$66:$D$99)*($F624='TaxCred&amp;Subs'!$C$66:$C$99),0)),0)),IF($C624&gt;2,(N624-R624)*(IFERROR(INDEX('TaxCred&amp;Subs'!$J$66:$J$99,MATCH(1,($C624&amp;$D624='TaxCred&amp;Subs'!$D$66:$D$99)*($F624='TaxCred&amp;Subs'!$C$66:$C$99),0)),0)),0))),0)</f>
        <v>0</v>
      </c>
      <c r="Q624" s="95">
        <f t="array" ref="Q624">ROUND(IF(AND($C624=2,VALUE(RIGHT($AD624,1))&gt;2),(O624-S624)*(IFERROR(INDEX('TaxCred&amp;Subs'!$J$66:$J$99,MATCH(1,($C624&amp;$D624='TaxCred&amp;Subs'!$E$66:$E$99)*($F624='TaxCred&amp;Subs'!$C$66:$C$99),0)),0)),IF(AND($C624=1,VALUE(RIGHT($AD624,1))&gt;2),(O624-S624)*(IFERROR(INDEX('TaxCred&amp;Subs'!$J$66:$J$99,MATCH(1,($C624&amp;$D624='TaxCred&amp;Subs'!$D$66:$D$99)*($F624='TaxCred&amp;Subs'!$C$66:$C$99),0)),0)),IF($C624&gt;2,(O624-S624)*(IFERROR(INDEX('TaxCred&amp;Subs'!$J$66:$J$99,MATCH(1,($C624&amp;$D624='TaxCred&amp;Subs'!$D$66:$D$99)*($F624='TaxCred&amp;Subs'!$C$66:$C$99),0)),0)),0))),0)</f>
        <v>0</v>
      </c>
      <c r="R624" s="95">
        <f t="array" ref="R624">ROUND(IF(IFERROR(VALUE(RIGHT($AD624,1)),0)&gt;2,IF($C624=8,N624*IFERROR(INDEX('TaxCred&amp;Subs'!$K$139:$S$151,MATCH($C624&amp;$D624&amp;LEFT($AD624,7),'TaxCred&amp;Subs'!$E$139:$E$151,0),MATCH($H624,'TaxCred&amp;Subs'!$K$137:$S$137,0)),0),IF($C624=2,N624*IFERROR(INDEX('TaxCred&amp;Subs'!$K$139:$S$151,MATCH($C624&amp;$D624,'TaxCred&amp;Subs'!$D$139:$D$151,0),MATCH($H624,'TaxCred&amp;Subs'!$K$137:$S$137,0)),0),N624*IFERROR(INDEX('TaxCred&amp;Subs'!$K$139:$S$151,MATCH($C624&amp;$D624,'TaxCred&amp;Subs'!$C$139:$C$151,0),MATCH($H624,'TaxCred&amp;Subs'!$K$137:$S$137,0)),0))),0),0)</f>
        <v>7</v>
      </c>
      <c r="S624" s="95">
        <f t="array" ref="S624">ROUND(IF(IFERROR(VALUE(RIGHT($AD624,1)),0)&gt;2,IF($C624=8,O624*IFERROR(INDEX('TaxCred&amp;Subs'!$K$139:$S$151,MATCH($C624&amp;$D624&amp;LEFT($AD624,7),'TaxCred&amp;Subs'!$E$139:$E$151,0),MATCH($H624,'TaxCred&amp;Subs'!$K$137:$S$137,0)),0),IF($C624=2,O624*IFERROR(INDEX('TaxCred&amp;Subs'!$K$139:$S$151,MATCH($C624&amp;$D624,'TaxCred&amp;Subs'!$D$139:$D$151,0),MATCH($H624,'TaxCred&amp;Subs'!$K$137:$S$137,0)),0),O624*IFERROR(INDEX('TaxCred&amp;Subs'!$K$139:$S$151,MATCH($C624&amp;$D624,'TaxCred&amp;Subs'!$C$139:$C$151,0),MATCH($H624,'TaxCred&amp;Subs'!$K$137:$S$137,0)),0))),0),0)</f>
        <v>4</v>
      </c>
      <c r="T624" s="95">
        <f t="shared" si="35"/>
        <v>0</v>
      </c>
      <c r="U624" s="95">
        <f t="shared" si="36"/>
        <v>0</v>
      </c>
      <c r="V624" s="28" t="s">
        <v>222</v>
      </c>
      <c r="W624" s="31">
        <v>2020</v>
      </c>
      <c r="X624" s="28">
        <v>1</v>
      </c>
      <c r="Y624" s="28">
        <v>0</v>
      </c>
      <c r="Z624" s="196">
        <v>-3.3939727104598718E-3</v>
      </c>
      <c r="AA624" s="196">
        <v>-5.2214964776305717E-2</v>
      </c>
      <c r="AB624" s="28">
        <v>0</v>
      </c>
      <c r="AC624" s="28">
        <v>0</v>
      </c>
      <c r="AD624" s="28" t="s">
        <v>341</v>
      </c>
    </row>
    <row r="625" spans="2:30" ht="14.25" customHeight="1" x14ac:dyDescent="0.2">
      <c r="B625" s="7">
        <f t="shared" si="41"/>
        <v>601</v>
      </c>
      <c r="C625" s="28">
        <v>5</v>
      </c>
      <c r="D625" s="28">
        <v>1</v>
      </c>
      <c r="E625" s="31">
        <v>2</v>
      </c>
      <c r="F625" s="78">
        <v>2033</v>
      </c>
      <c r="G625" s="28">
        <v>2050</v>
      </c>
      <c r="H625" s="28">
        <v>6</v>
      </c>
      <c r="I625" s="28">
        <v>0</v>
      </c>
      <c r="J625" s="28">
        <v>0</v>
      </c>
      <c r="K625" s="28">
        <v>0</v>
      </c>
      <c r="L625" s="28">
        <v>0</v>
      </c>
      <c r="M625" s="156">
        <v>0.83</v>
      </c>
      <c r="N625" s="151">
        <v>2130</v>
      </c>
      <c r="O625" s="151">
        <v>1145</v>
      </c>
      <c r="P625" s="95">
        <f t="array" ref="P625">ROUND(IF($F625&lt;='TaxCred&amp;Subs'!$C$49,(IF($C625=2,IF($M625&gt;=IFERROR(INDEX('TaxCred&amp;Subs'!$L$12:$L$47,MATCH(1,($C625&amp;$D625='TaxCred&amp;Subs'!$E$12:$E$47)*($F625='TaxCred&amp;Subs'!$C$12:$C$47),0)
),9999),IFERROR(INDEX('TaxCred&amp;Subs'!$N$12:$N$47,MATCH(1,($C625&amp;$D625='TaxCred&amp;Subs'!$E$12:$E$47)*($F625='TaxCred&amp;Subs'!$C$12:$C$47),0)
),0),0),(IF($M625&gt;=IFERROR(INDEX('TaxCred&amp;Subs'!$H$12:$H$47,MATCH(1,($C625&amp;$D625='TaxCred&amp;Subs'!$D$12:$D$47)*($F625='TaxCred&amp;Subs'!$C$12:$C$47),0)
),9999),IFERROR(INDEX('TaxCred&amp;Subs'!$N$12:$N$47,MATCH(1,($C625&amp;$D625='TaxCred&amp;Subs'!$D$12:$D$47)*($F625='TaxCred&amp;Subs'!$C$12:$C$47),0)
),0),0)))),0)+IF(AND($C625=2,VALUE(RIGHT($AD625,1))&gt;2),(N625-R625)*(IFERROR(INDEX('TaxCred&amp;Subs'!$J$66:$J$99,MATCH(1,($C625&amp;$D625='TaxCred&amp;Subs'!$E$66:$E$99)*($F625='TaxCred&amp;Subs'!$C$66:$C$99),0)),0)),IF(AND($C625=1,VALUE(RIGHT($AD625,1))&gt;2),(N625-R625)*(IFERROR(INDEX('TaxCred&amp;Subs'!$J$66:$J$99,MATCH(1,($C625&amp;$D625='TaxCred&amp;Subs'!$D$66:$D$99)*($F625='TaxCred&amp;Subs'!$C$66:$C$99),0)),0)),IF($C625&gt;2,(N625-R625)*(IFERROR(INDEX('TaxCred&amp;Subs'!$J$66:$J$99,MATCH(1,($C625&amp;$D625='TaxCred&amp;Subs'!$D$66:$D$99)*($F625='TaxCred&amp;Subs'!$C$66:$C$99),0)),0)),0))),0)</f>
        <v>0</v>
      </c>
      <c r="Q625" s="95">
        <f t="array" ref="Q625">ROUND(IF(AND($C625=2,VALUE(RIGHT($AD625,1))&gt;2),(O625-S625)*(IFERROR(INDEX('TaxCred&amp;Subs'!$J$66:$J$99,MATCH(1,($C625&amp;$D625='TaxCred&amp;Subs'!$E$66:$E$99)*($F625='TaxCred&amp;Subs'!$C$66:$C$99),0)),0)),IF(AND($C625=1,VALUE(RIGHT($AD625,1))&gt;2),(O625-S625)*(IFERROR(INDEX('TaxCred&amp;Subs'!$J$66:$J$99,MATCH(1,($C625&amp;$D625='TaxCred&amp;Subs'!$D$66:$D$99)*($F625='TaxCred&amp;Subs'!$C$66:$C$99),0)),0)),IF($C625&gt;2,(O625-S625)*(IFERROR(INDEX('TaxCred&amp;Subs'!$J$66:$J$99,MATCH(1,($C625&amp;$D625='TaxCred&amp;Subs'!$D$66:$D$99)*($F625='TaxCred&amp;Subs'!$C$66:$C$99),0)),0)),0))),0)</f>
        <v>0</v>
      </c>
      <c r="R625" s="95">
        <f t="array" ref="R625">ROUND(IF(IFERROR(VALUE(RIGHT($AD625,1)),0)&gt;2,IF($C625=8,N625*IFERROR(INDEX('TaxCred&amp;Subs'!$K$139:$S$151,MATCH($C625&amp;$D625&amp;LEFT($AD625,7),'TaxCred&amp;Subs'!$E$139:$E$151,0),MATCH($H625,'TaxCred&amp;Subs'!$K$137:$S$137,0)),0),IF($C625=2,N625*IFERROR(INDEX('TaxCred&amp;Subs'!$K$139:$S$151,MATCH($C625&amp;$D625,'TaxCred&amp;Subs'!$D$139:$D$151,0),MATCH($H625,'TaxCred&amp;Subs'!$K$137:$S$137,0)),0),N625*IFERROR(INDEX('TaxCred&amp;Subs'!$K$139:$S$151,MATCH($C625&amp;$D625,'TaxCred&amp;Subs'!$C$139:$C$151,0),MATCH($H625,'TaxCred&amp;Subs'!$K$137:$S$137,0)),0))),0),0)</f>
        <v>11</v>
      </c>
      <c r="S625" s="95">
        <f t="array" ref="S625">ROUND(IF(IFERROR(VALUE(RIGHT($AD625,1)),0)&gt;2,IF($C625=8,O625*IFERROR(INDEX('TaxCred&amp;Subs'!$K$139:$S$151,MATCH($C625&amp;$D625&amp;LEFT($AD625,7),'TaxCred&amp;Subs'!$E$139:$E$151,0),MATCH($H625,'TaxCred&amp;Subs'!$K$137:$S$137,0)),0),IF($C625=2,O625*IFERROR(INDEX('TaxCred&amp;Subs'!$K$139:$S$151,MATCH($C625&amp;$D625,'TaxCred&amp;Subs'!$D$139:$D$151,0),MATCH($H625,'TaxCred&amp;Subs'!$K$137:$S$137,0)),0),O625*IFERROR(INDEX('TaxCred&amp;Subs'!$K$139:$S$151,MATCH($C625&amp;$D625,'TaxCred&amp;Subs'!$C$139:$C$151,0),MATCH($H625,'TaxCred&amp;Subs'!$K$137:$S$137,0)),0))),0),0)</f>
        <v>6</v>
      </c>
      <c r="T625" s="95">
        <f t="shared" si="35"/>
        <v>0</v>
      </c>
      <c r="U625" s="95">
        <f t="shared" si="36"/>
        <v>0</v>
      </c>
      <c r="V625" s="28" t="s">
        <v>222</v>
      </c>
      <c r="W625" s="31">
        <v>2020</v>
      </c>
      <c r="X625" s="28">
        <v>1</v>
      </c>
      <c r="Y625" s="28">
        <v>0</v>
      </c>
      <c r="Z625" s="196">
        <v>-3.3939727104598718E-3</v>
      </c>
      <c r="AA625" s="196">
        <v>-5.2214964776305717E-2</v>
      </c>
      <c r="AB625" s="28">
        <v>0</v>
      </c>
      <c r="AC625" s="28">
        <v>0</v>
      </c>
      <c r="AD625" s="28" t="s">
        <v>341</v>
      </c>
    </row>
    <row r="626" spans="2:30" ht="14.25" customHeight="1" x14ac:dyDescent="0.2">
      <c r="B626" s="7">
        <f t="shared" si="41"/>
        <v>602</v>
      </c>
      <c r="C626" s="28">
        <v>5</v>
      </c>
      <c r="D626" s="28">
        <v>1</v>
      </c>
      <c r="E626" s="31">
        <v>2</v>
      </c>
      <c r="F626" s="78">
        <v>2033</v>
      </c>
      <c r="G626" s="28">
        <v>2050</v>
      </c>
      <c r="H626" s="28">
        <v>7</v>
      </c>
      <c r="I626" s="28">
        <v>0</v>
      </c>
      <c r="J626" s="28">
        <v>0</v>
      </c>
      <c r="K626" s="28">
        <v>0</v>
      </c>
      <c r="L626" s="28">
        <v>0</v>
      </c>
      <c r="M626" s="156">
        <v>0.83</v>
      </c>
      <c r="N626" s="151">
        <v>2130</v>
      </c>
      <c r="O626" s="151">
        <v>1145</v>
      </c>
      <c r="P626" s="95">
        <f t="array" ref="P626">ROUND(IF($F626&lt;='TaxCred&amp;Subs'!$C$49,(IF($C626=2,IF($M626&gt;=IFERROR(INDEX('TaxCred&amp;Subs'!$L$12:$L$47,MATCH(1,($C626&amp;$D626='TaxCred&amp;Subs'!$E$12:$E$47)*($F626='TaxCred&amp;Subs'!$C$12:$C$47),0)
),9999),IFERROR(INDEX('TaxCred&amp;Subs'!$N$12:$N$47,MATCH(1,($C626&amp;$D626='TaxCred&amp;Subs'!$E$12:$E$47)*($F626='TaxCred&amp;Subs'!$C$12:$C$47),0)
),0),0),(IF($M626&gt;=IFERROR(INDEX('TaxCred&amp;Subs'!$H$12:$H$47,MATCH(1,($C626&amp;$D626='TaxCred&amp;Subs'!$D$12:$D$47)*($F626='TaxCred&amp;Subs'!$C$12:$C$47),0)
),9999),IFERROR(INDEX('TaxCred&amp;Subs'!$N$12:$N$47,MATCH(1,($C626&amp;$D626='TaxCred&amp;Subs'!$D$12:$D$47)*($F626='TaxCred&amp;Subs'!$C$12:$C$47),0)
),0),0)))),0)+IF(AND($C626=2,VALUE(RIGHT($AD626,1))&gt;2),(N626-R626)*(IFERROR(INDEX('TaxCred&amp;Subs'!$J$66:$J$99,MATCH(1,($C626&amp;$D626='TaxCred&amp;Subs'!$E$66:$E$99)*($F626='TaxCred&amp;Subs'!$C$66:$C$99),0)),0)),IF(AND($C626=1,VALUE(RIGHT($AD626,1))&gt;2),(N626-R626)*(IFERROR(INDEX('TaxCred&amp;Subs'!$J$66:$J$99,MATCH(1,($C626&amp;$D626='TaxCred&amp;Subs'!$D$66:$D$99)*($F626='TaxCred&amp;Subs'!$C$66:$C$99),0)),0)),IF($C626&gt;2,(N626-R626)*(IFERROR(INDEX('TaxCred&amp;Subs'!$J$66:$J$99,MATCH(1,($C626&amp;$D626='TaxCred&amp;Subs'!$D$66:$D$99)*($F626='TaxCred&amp;Subs'!$C$66:$C$99),0)),0)),0))),0)</f>
        <v>0</v>
      </c>
      <c r="Q626" s="95">
        <f t="array" ref="Q626">ROUND(IF(AND($C626=2,VALUE(RIGHT($AD626,1))&gt;2),(O626-S626)*(IFERROR(INDEX('TaxCred&amp;Subs'!$J$66:$J$99,MATCH(1,($C626&amp;$D626='TaxCred&amp;Subs'!$E$66:$E$99)*($F626='TaxCred&amp;Subs'!$C$66:$C$99),0)),0)),IF(AND($C626=1,VALUE(RIGHT($AD626,1))&gt;2),(O626-S626)*(IFERROR(INDEX('TaxCred&amp;Subs'!$J$66:$J$99,MATCH(1,($C626&amp;$D626='TaxCred&amp;Subs'!$D$66:$D$99)*($F626='TaxCred&amp;Subs'!$C$66:$C$99),0)),0)),IF($C626&gt;2,(O626-S626)*(IFERROR(INDEX('TaxCred&amp;Subs'!$J$66:$J$99,MATCH(1,($C626&amp;$D626='TaxCred&amp;Subs'!$D$66:$D$99)*($F626='TaxCred&amp;Subs'!$C$66:$C$99),0)),0)),0))),0)</f>
        <v>0</v>
      </c>
      <c r="R626" s="95">
        <f t="array" ref="R626">ROUND(IF(IFERROR(VALUE(RIGHT($AD626,1)),0)&gt;2,IF($C626=8,N626*IFERROR(INDEX('TaxCred&amp;Subs'!$K$139:$S$151,MATCH($C626&amp;$D626&amp;LEFT($AD626,7),'TaxCred&amp;Subs'!$E$139:$E$151,0),MATCH($H626,'TaxCred&amp;Subs'!$K$137:$S$137,0)),0),IF($C626=2,N626*IFERROR(INDEX('TaxCred&amp;Subs'!$K$139:$S$151,MATCH($C626&amp;$D626,'TaxCred&amp;Subs'!$D$139:$D$151,0),MATCH($H626,'TaxCred&amp;Subs'!$K$137:$S$137,0)),0),N626*IFERROR(INDEX('TaxCred&amp;Subs'!$K$139:$S$151,MATCH($C626&amp;$D626,'TaxCred&amp;Subs'!$C$139:$C$151,0),MATCH($H626,'TaxCred&amp;Subs'!$K$137:$S$137,0)),0))),0),0)</f>
        <v>0</v>
      </c>
      <c r="S626" s="95">
        <f t="array" ref="S626">ROUND(IF(IFERROR(VALUE(RIGHT($AD626,1)),0)&gt;2,IF($C626=8,O626*IFERROR(INDEX('TaxCred&amp;Subs'!$K$139:$S$151,MATCH($C626&amp;$D626&amp;LEFT($AD626,7),'TaxCred&amp;Subs'!$E$139:$E$151,0),MATCH($H626,'TaxCred&amp;Subs'!$K$137:$S$137,0)),0),IF($C626=2,O626*IFERROR(INDEX('TaxCred&amp;Subs'!$K$139:$S$151,MATCH($C626&amp;$D626,'TaxCred&amp;Subs'!$D$139:$D$151,0),MATCH($H626,'TaxCred&amp;Subs'!$K$137:$S$137,0)),0),O626*IFERROR(INDEX('TaxCred&amp;Subs'!$K$139:$S$151,MATCH($C626&amp;$D626,'TaxCred&amp;Subs'!$C$139:$C$151,0),MATCH($H626,'TaxCred&amp;Subs'!$K$137:$S$137,0)),0))),0),0)</f>
        <v>0</v>
      </c>
      <c r="T626" s="95">
        <f t="shared" si="35"/>
        <v>0</v>
      </c>
      <c r="U626" s="95">
        <f t="shared" si="36"/>
        <v>0</v>
      </c>
      <c r="V626" s="28" t="s">
        <v>222</v>
      </c>
      <c r="W626" s="31">
        <v>2020</v>
      </c>
      <c r="X626" s="28">
        <v>1</v>
      </c>
      <c r="Y626" s="28">
        <v>0</v>
      </c>
      <c r="Z626" s="196">
        <v>-3.3939727104598718E-3</v>
      </c>
      <c r="AA626" s="196">
        <v>-5.2214964776305717E-2</v>
      </c>
      <c r="AB626" s="28">
        <v>0</v>
      </c>
      <c r="AC626" s="28">
        <v>0</v>
      </c>
      <c r="AD626" s="28" t="s">
        <v>341</v>
      </c>
    </row>
    <row r="627" spans="2:30" ht="14.25" customHeight="1" x14ac:dyDescent="0.2">
      <c r="B627" s="7">
        <f t="shared" si="41"/>
        <v>603</v>
      </c>
      <c r="C627" s="28">
        <v>5</v>
      </c>
      <c r="D627" s="28">
        <v>1</v>
      </c>
      <c r="E627" s="31">
        <v>2</v>
      </c>
      <c r="F627" s="78">
        <v>2033</v>
      </c>
      <c r="G627" s="28">
        <v>2050</v>
      </c>
      <c r="H627" s="28">
        <v>8</v>
      </c>
      <c r="I627" s="28">
        <v>0</v>
      </c>
      <c r="J627" s="28">
        <v>0</v>
      </c>
      <c r="K627" s="28">
        <v>0</v>
      </c>
      <c r="L627" s="28">
        <v>0</v>
      </c>
      <c r="M627" s="156">
        <v>0.83</v>
      </c>
      <c r="N627" s="151">
        <v>2130</v>
      </c>
      <c r="O627" s="151">
        <v>1145</v>
      </c>
      <c r="P627" s="95">
        <f t="array" ref="P627">ROUND(IF($F627&lt;='TaxCred&amp;Subs'!$C$49,(IF($C627=2,IF($M627&gt;=IFERROR(INDEX('TaxCred&amp;Subs'!$L$12:$L$47,MATCH(1,($C627&amp;$D627='TaxCred&amp;Subs'!$E$12:$E$47)*($F627='TaxCred&amp;Subs'!$C$12:$C$47),0)
),9999),IFERROR(INDEX('TaxCred&amp;Subs'!$N$12:$N$47,MATCH(1,($C627&amp;$D627='TaxCred&amp;Subs'!$E$12:$E$47)*($F627='TaxCred&amp;Subs'!$C$12:$C$47),0)
),0),0),(IF($M627&gt;=IFERROR(INDEX('TaxCred&amp;Subs'!$H$12:$H$47,MATCH(1,($C627&amp;$D627='TaxCred&amp;Subs'!$D$12:$D$47)*($F627='TaxCred&amp;Subs'!$C$12:$C$47),0)
),9999),IFERROR(INDEX('TaxCred&amp;Subs'!$N$12:$N$47,MATCH(1,($C627&amp;$D627='TaxCred&amp;Subs'!$D$12:$D$47)*($F627='TaxCred&amp;Subs'!$C$12:$C$47),0)
),0),0)))),0)+IF(AND($C627=2,VALUE(RIGHT($AD627,1))&gt;2),(N627-R627)*(IFERROR(INDEX('TaxCred&amp;Subs'!$J$66:$J$99,MATCH(1,($C627&amp;$D627='TaxCred&amp;Subs'!$E$66:$E$99)*($F627='TaxCred&amp;Subs'!$C$66:$C$99),0)),0)),IF(AND($C627=1,VALUE(RIGHT($AD627,1))&gt;2),(N627-R627)*(IFERROR(INDEX('TaxCred&amp;Subs'!$J$66:$J$99,MATCH(1,($C627&amp;$D627='TaxCred&amp;Subs'!$D$66:$D$99)*($F627='TaxCred&amp;Subs'!$C$66:$C$99),0)),0)),IF($C627&gt;2,(N627-R627)*(IFERROR(INDEX('TaxCred&amp;Subs'!$J$66:$J$99,MATCH(1,($C627&amp;$D627='TaxCred&amp;Subs'!$D$66:$D$99)*($F627='TaxCred&amp;Subs'!$C$66:$C$99),0)),0)),0))),0)</f>
        <v>0</v>
      </c>
      <c r="Q627" s="95">
        <f t="array" ref="Q627">ROUND(IF(AND($C627=2,VALUE(RIGHT($AD627,1))&gt;2),(O627-S627)*(IFERROR(INDEX('TaxCred&amp;Subs'!$J$66:$J$99,MATCH(1,($C627&amp;$D627='TaxCred&amp;Subs'!$E$66:$E$99)*($F627='TaxCred&amp;Subs'!$C$66:$C$99),0)),0)),IF(AND($C627=1,VALUE(RIGHT($AD627,1))&gt;2),(O627-S627)*(IFERROR(INDEX('TaxCred&amp;Subs'!$J$66:$J$99,MATCH(1,($C627&amp;$D627='TaxCred&amp;Subs'!$D$66:$D$99)*($F627='TaxCred&amp;Subs'!$C$66:$C$99),0)),0)),IF($C627&gt;2,(O627-S627)*(IFERROR(INDEX('TaxCred&amp;Subs'!$J$66:$J$99,MATCH(1,($C627&amp;$D627='TaxCred&amp;Subs'!$D$66:$D$99)*($F627='TaxCred&amp;Subs'!$C$66:$C$99),0)),0)),0))),0)</f>
        <v>0</v>
      </c>
      <c r="R627" s="95">
        <f t="array" ref="R627">ROUND(IF(IFERROR(VALUE(RIGHT($AD627,1)),0)&gt;2,IF($C627=8,N627*IFERROR(INDEX('TaxCred&amp;Subs'!$K$139:$S$151,MATCH($C627&amp;$D627&amp;LEFT($AD627,7),'TaxCred&amp;Subs'!$E$139:$E$151,0),MATCH($H627,'TaxCred&amp;Subs'!$K$137:$S$137,0)),0),IF($C627=2,N627*IFERROR(INDEX('TaxCred&amp;Subs'!$K$139:$S$151,MATCH($C627&amp;$D627,'TaxCred&amp;Subs'!$D$139:$D$151,0),MATCH($H627,'TaxCred&amp;Subs'!$K$137:$S$137,0)),0),N627*IFERROR(INDEX('TaxCred&amp;Subs'!$K$139:$S$151,MATCH($C627&amp;$D627,'TaxCred&amp;Subs'!$C$139:$C$151,0),MATCH($H627,'TaxCred&amp;Subs'!$K$137:$S$137,0)),0))),0),0)</f>
        <v>34</v>
      </c>
      <c r="S627" s="95">
        <f t="array" ref="S627">ROUND(IF(IFERROR(VALUE(RIGHT($AD627,1)),0)&gt;2,IF($C627=8,O627*IFERROR(INDEX('TaxCred&amp;Subs'!$K$139:$S$151,MATCH($C627&amp;$D627&amp;LEFT($AD627,7),'TaxCred&amp;Subs'!$E$139:$E$151,0),MATCH($H627,'TaxCred&amp;Subs'!$K$137:$S$137,0)),0),IF($C627=2,O627*IFERROR(INDEX('TaxCred&amp;Subs'!$K$139:$S$151,MATCH($C627&amp;$D627,'TaxCred&amp;Subs'!$D$139:$D$151,0),MATCH($H627,'TaxCred&amp;Subs'!$K$137:$S$137,0)),0),O627*IFERROR(INDEX('TaxCred&amp;Subs'!$K$139:$S$151,MATCH($C627&amp;$D627,'TaxCred&amp;Subs'!$C$139:$C$151,0),MATCH($H627,'TaxCred&amp;Subs'!$K$137:$S$137,0)),0))),0),0)</f>
        <v>18</v>
      </c>
      <c r="T627" s="95">
        <f t="shared" si="35"/>
        <v>0</v>
      </c>
      <c r="U627" s="95">
        <f t="shared" si="36"/>
        <v>0</v>
      </c>
      <c r="V627" s="28" t="s">
        <v>222</v>
      </c>
      <c r="W627" s="31">
        <v>2020</v>
      </c>
      <c r="X627" s="28">
        <v>1</v>
      </c>
      <c r="Y627" s="28">
        <v>0</v>
      </c>
      <c r="Z627" s="196">
        <v>-3.3939727104598718E-3</v>
      </c>
      <c r="AA627" s="196">
        <v>-5.2214964776305717E-2</v>
      </c>
      <c r="AB627" s="28">
        <v>0</v>
      </c>
      <c r="AC627" s="28">
        <v>0</v>
      </c>
      <c r="AD627" s="28" t="s">
        <v>341</v>
      </c>
    </row>
    <row r="628" spans="2:30" ht="14.25" customHeight="1" x14ac:dyDescent="0.2">
      <c r="B628" s="7">
        <f t="shared" si="41"/>
        <v>604</v>
      </c>
      <c r="C628" s="28">
        <v>5</v>
      </c>
      <c r="D628" s="28">
        <v>1</v>
      </c>
      <c r="E628" s="31">
        <v>2</v>
      </c>
      <c r="F628" s="78">
        <v>2033</v>
      </c>
      <c r="G628" s="28">
        <v>2050</v>
      </c>
      <c r="H628" s="28">
        <v>9</v>
      </c>
      <c r="I628" s="28">
        <v>0</v>
      </c>
      <c r="J628" s="28">
        <v>0</v>
      </c>
      <c r="K628" s="28">
        <v>0</v>
      </c>
      <c r="L628" s="28">
        <v>0</v>
      </c>
      <c r="M628" s="156">
        <v>0.83</v>
      </c>
      <c r="N628" s="151">
        <v>2130</v>
      </c>
      <c r="O628" s="151">
        <v>1145</v>
      </c>
      <c r="P628" s="95">
        <f t="array" ref="P628">ROUND(IF($F628&lt;='TaxCred&amp;Subs'!$C$49,(IF($C628=2,IF($M628&gt;=IFERROR(INDEX('TaxCred&amp;Subs'!$L$12:$L$47,MATCH(1,($C628&amp;$D628='TaxCred&amp;Subs'!$E$12:$E$47)*($F628='TaxCred&amp;Subs'!$C$12:$C$47),0)
),9999),IFERROR(INDEX('TaxCred&amp;Subs'!$N$12:$N$47,MATCH(1,($C628&amp;$D628='TaxCred&amp;Subs'!$E$12:$E$47)*($F628='TaxCred&amp;Subs'!$C$12:$C$47),0)
),0),0),(IF($M628&gt;=IFERROR(INDEX('TaxCred&amp;Subs'!$H$12:$H$47,MATCH(1,($C628&amp;$D628='TaxCred&amp;Subs'!$D$12:$D$47)*($F628='TaxCred&amp;Subs'!$C$12:$C$47),0)
),9999),IFERROR(INDEX('TaxCred&amp;Subs'!$N$12:$N$47,MATCH(1,($C628&amp;$D628='TaxCred&amp;Subs'!$D$12:$D$47)*($F628='TaxCred&amp;Subs'!$C$12:$C$47),0)
),0),0)))),0)+IF(AND($C628=2,VALUE(RIGHT($AD628,1))&gt;2),(N628-R628)*(IFERROR(INDEX('TaxCred&amp;Subs'!$J$66:$J$99,MATCH(1,($C628&amp;$D628='TaxCred&amp;Subs'!$E$66:$E$99)*($F628='TaxCred&amp;Subs'!$C$66:$C$99),0)),0)),IF(AND($C628=1,VALUE(RIGHT($AD628,1))&gt;2),(N628-R628)*(IFERROR(INDEX('TaxCred&amp;Subs'!$J$66:$J$99,MATCH(1,($C628&amp;$D628='TaxCred&amp;Subs'!$D$66:$D$99)*($F628='TaxCred&amp;Subs'!$C$66:$C$99),0)),0)),IF($C628&gt;2,(N628-R628)*(IFERROR(INDEX('TaxCred&amp;Subs'!$J$66:$J$99,MATCH(1,($C628&amp;$D628='TaxCred&amp;Subs'!$D$66:$D$99)*($F628='TaxCred&amp;Subs'!$C$66:$C$99),0)),0)),0))),0)</f>
        <v>0</v>
      </c>
      <c r="Q628" s="95">
        <f t="array" ref="Q628">ROUND(IF(AND($C628=2,VALUE(RIGHT($AD628,1))&gt;2),(O628-S628)*(IFERROR(INDEX('TaxCred&amp;Subs'!$J$66:$J$99,MATCH(1,($C628&amp;$D628='TaxCred&amp;Subs'!$E$66:$E$99)*($F628='TaxCred&amp;Subs'!$C$66:$C$99),0)),0)),IF(AND($C628=1,VALUE(RIGHT($AD628,1))&gt;2),(O628-S628)*(IFERROR(INDEX('TaxCred&amp;Subs'!$J$66:$J$99,MATCH(1,($C628&amp;$D628='TaxCred&amp;Subs'!$D$66:$D$99)*($F628='TaxCred&amp;Subs'!$C$66:$C$99),0)),0)),IF($C628&gt;2,(O628-S628)*(IFERROR(INDEX('TaxCred&amp;Subs'!$J$66:$J$99,MATCH(1,($C628&amp;$D628='TaxCred&amp;Subs'!$D$66:$D$99)*($F628='TaxCred&amp;Subs'!$C$66:$C$99),0)),0)),0))),0)</f>
        <v>0</v>
      </c>
      <c r="R628" s="95">
        <f t="array" ref="R628">ROUND(IF(IFERROR(VALUE(RIGHT($AD628,1)),0)&gt;2,IF($C628=8,N628*IFERROR(INDEX('TaxCred&amp;Subs'!$K$139:$S$151,MATCH($C628&amp;$D628&amp;LEFT($AD628,7),'TaxCred&amp;Subs'!$E$139:$E$151,0),MATCH($H628,'TaxCred&amp;Subs'!$K$137:$S$137,0)),0),IF($C628=2,N628*IFERROR(INDEX('TaxCred&amp;Subs'!$K$139:$S$151,MATCH($C628&amp;$D628,'TaxCred&amp;Subs'!$D$139:$D$151,0),MATCH($H628,'TaxCred&amp;Subs'!$K$137:$S$137,0)),0),N628*IFERROR(INDEX('TaxCred&amp;Subs'!$K$139:$S$151,MATCH($C628&amp;$D628,'TaxCred&amp;Subs'!$C$139:$C$151,0),MATCH($H628,'TaxCred&amp;Subs'!$K$137:$S$137,0)),0))),0),0)</f>
        <v>95</v>
      </c>
      <c r="S628" s="95">
        <f t="array" ref="S628">ROUND(IF(IFERROR(VALUE(RIGHT($AD628,1)),0)&gt;2,IF($C628=8,O628*IFERROR(INDEX('TaxCred&amp;Subs'!$K$139:$S$151,MATCH($C628&amp;$D628&amp;LEFT($AD628,7),'TaxCred&amp;Subs'!$E$139:$E$151,0),MATCH($H628,'TaxCred&amp;Subs'!$K$137:$S$137,0)),0),IF($C628=2,O628*IFERROR(INDEX('TaxCred&amp;Subs'!$K$139:$S$151,MATCH($C628&amp;$D628,'TaxCred&amp;Subs'!$D$139:$D$151,0),MATCH($H628,'TaxCred&amp;Subs'!$K$137:$S$137,0)),0),O628*IFERROR(INDEX('TaxCred&amp;Subs'!$K$139:$S$151,MATCH($C628&amp;$D628,'TaxCred&amp;Subs'!$C$139:$C$151,0),MATCH($H628,'TaxCred&amp;Subs'!$K$137:$S$137,0)),0))),0),0)</f>
        <v>51</v>
      </c>
      <c r="T628" s="172">
        <f t="shared" si="35"/>
        <v>319.5</v>
      </c>
      <c r="U628" s="172">
        <f t="shared" si="36"/>
        <v>171.75</v>
      </c>
      <c r="V628" s="28" t="s">
        <v>222</v>
      </c>
      <c r="W628" s="31">
        <v>2020</v>
      </c>
      <c r="X628" s="28">
        <v>1</v>
      </c>
      <c r="Y628" s="28">
        <v>0</v>
      </c>
      <c r="Z628" s="196">
        <v>-3.3939727104598718E-3</v>
      </c>
      <c r="AA628" s="196">
        <v>-5.2214964776305717E-2</v>
      </c>
      <c r="AB628" s="28">
        <v>0</v>
      </c>
      <c r="AC628" s="28">
        <v>0</v>
      </c>
      <c r="AD628" s="28" t="s">
        <v>341</v>
      </c>
    </row>
    <row r="629" spans="2:30" ht="14.25" customHeight="1" x14ac:dyDescent="0.2">
      <c r="B629" s="7">
        <f t="shared" si="41"/>
        <v>605</v>
      </c>
      <c r="C629" s="28">
        <v>5</v>
      </c>
      <c r="D629" s="28">
        <v>1</v>
      </c>
      <c r="E629" s="31">
        <v>3</v>
      </c>
      <c r="F629" s="96">
        <v>2020</v>
      </c>
      <c r="G629" s="28">
        <v>2021</v>
      </c>
      <c r="H629" s="28">
        <v>1</v>
      </c>
      <c r="I629" s="28">
        <v>0</v>
      </c>
      <c r="J629" s="28">
        <v>0</v>
      </c>
      <c r="K629" s="28">
        <v>0</v>
      </c>
      <c r="L629" s="28">
        <v>0</v>
      </c>
      <c r="M629" s="156">
        <v>0.84</v>
      </c>
      <c r="N629" s="151">
        <v>2150</v>
      </c>
      <c r="O629" s="151">
        <v>1185</v>
      </c>
      <c r="P629" s="95">
        <f t="array" ref="P629">ROUND(IF($F629&lt;='TaxCred&amp;Subs'!$C$49,(IF($C629=2,IF($M629&gt;=IFERROR(INDEX('TaxCred&amp;Subs'!$L$12:$L$47,MATCH(1,($C629&amp;$D629='TaxCred&amp;Subs'!$E$12:$E$47)*($F629='TaxCred&amp;Subs'!$C$12:$C$47),0)
),9999),IFERROR(INDEX('TaxCred&amp;Subs'!$N$12:$N$47,MATCH(1,($C629&amp;$D629='TaxCred&amp;Subs'!$E$12:$E$47)*($F629='TaxCred&amp;Subs'!$C$12:$C$47),0)
),0),0),(IF($M629&gt;=IFERROR(INDEX('TaxCred&amp;Subs'!$H$12:$H$47,MATCH(1,($C629&amp;$D629='TaxCred&amp;Subs'!$D$12:$D$47)*($F629='TaxCred&amp;Subs'!$C$12:$C$47),0)
),9999),IFERROR(INDEX('TaxCred&amp;Subs'!$N$12:$N$47,MATCH(1,($C629&amp;$D629='TaxCred&amp;Subs'!$D$12:$D$47)*($F629='TaxCred&amp;Subs'!$C$12:$C$47),0)
),0),0)))),0)+IF(AND($C629=2,VALUE(RIGHT($AD629,1))&gt;2),(N629-R629)*(IFERROR(INDEX('TaxCred&amp;Subs'!$J$66:$J$99,MATCH(1,($C629&amp;$D629='TaxCred&amp;Subs'!$E$66:$E$99)*($F629='TaxCred&amp;Subs'!$C$66:$C$99),0)),0)),IF(AND($C629=1,VALUE(RIGHT($AD629,1))&gt;2),(N629-R629)*(IFERROR(INDEX('TaxCred&amp;Subs'!$J$66:$J$99,MATCH(1,($C629&amp;$D629='TaxCred&amp;Subs'!$D$66:$D$99)*($F629='TaxCred&amp;Subs'!$C$66:$C$99),0)),0)),IF($C629&gt;2,(N629-R629)*(IFERROR(INDEX('TaxCred&amp;Subs'!$J$66:$J$99,MATCH(1,($C629&amp;$D629='TaxCred&amp;Subs'!$D$66:$D$99)*($F629='TaxCred&amp;Subs'!$C$66:$C$99),0)),0)),0))),0)</f>
        <v>300</v>
      </c>
      <c r="Q629" s="95">
        <f t="array" ref="Q629">ROUND(IF(AND($C629=2,VALUE(RIGHT($AD629,1))&gt;2),(O629-S629)*(IFERROR(INDEX('TaxCred&amp;Subs'!$J$66:$J$99,MATCH(1,($C629&amp;$D629='TaxCred&amp;Subs'!$E$66:$E$99)*($F629='TaxCred&amp;Subs'!$C$66:$C$99),0)),0)),IF(AND($C629=1,VALUE(RIGHT($AD629,1))&gt;2),(O629-S629)*(IFERROR(INDEX('TaxCred&amp;Subs'!$J$66:$J$99,MATCH(1,($C629&amp;$D629='TaxCred&amp;Subs'!$D$66:$D$99)*($F629='TaxCred&amp;Subs'!$C$66:$C$99),0)),0)),IF($C629&gt;2,(O629-S629)*(IFERROR(INDEX('TaxCred&amp;Subs'!$J$66:$J$99,MATCH(1,($C629&amp;$D629='TaxCred&amp;Subs'!$D$66:$D$99)*($F629='TaxCred&amp;Subs'!$C$66:$C$99),0)),0)),0))),0)</f>
        <v>0</v>
      </c>
      <c r="R629" s="95">
        <f t="array" ref="R629">ROUND(IF(IFERROR(VALUE(RIGHT($AD629,1)),0)&gt;2,IF($C629=8,N629*IFERROR(INDEX('TaxCred&amp;Subs'!$K$139:$S$151,MATCH($C629&amp;$D629&amp;LEFT($AD629,7),'TaxCred&amp;Subs'!$E$139:$E$151,0),MATCH($H629,'TaxCred&amp;Subs'!$K$137:$S$137,0)),0),IF($C629=2,N629*IFERROR(INDEX('TaxCred&amp;Subs'!$K$139:$S$151,MATCH($C629&amp;$D629,'TaxCred&amp;Subs'!$D$139:$D$151,0),MATCH($H629,'TaxCred&amp;Subs'!$K$137:$S$137,0)),0),N629*IFERROR(INDEX('TaxCred&amp;Subs'!$K$139:$S$151,MATCH($C629&amp;$D629,'TaxCred&amp;Subs'!$C$139:$C$151,0),MATCH($H629,'TaxCred&amp;Subs'!$K$137:$S$137,0)),0))),0),0)</f>
        <v>255</v>
      </c>
      <c r="S629" s="95">
        <f t="array" ref="S629">ROUND(IF(IFERROR(VALUE(RIGHT($AD629,1)),0)&gt;2,IF($C629=8,O629*IFERROR(INDEX('TaxCred&amp;Subs'!$K$139:$S$151,MATCH($C629&amp;$D629&amp;LEFT($AD629,7),'TaxCred&amp;Subs'!$E$139:$E$151,0),MATCH($H629,'TaxCred&amp;Subs'!$K$137:$S$137,0)),0),IF($C629=2,O629*IFERROR(INDEX('TaxCred&amp;Subs'!$K$139:$S$151,MATCH($C629&amp;$D629,'TaxCred&amp;Subs'!$D$139:$D$151,0),MATCH($H629,'TaxCred&amp;Subs'!$K$137:$S$137,0)),0),O629*IFERROR(INDEX('TaxCred&amp;Subs'!$K$139:$S$151,MATCH($C629&amp;$D629,'TaxCred&amp;Subs'!$C$139:$C$151,0),MATCH($H629,'TaxCred&amp;Subs'!$K$137:$S$137,0)),0))),0),0)</f>
        <v>140</v>
      </c>
      <c r="T629" s="95">
        <f t="shared" si="35"/>
        <v>0</v>
      </c>
      <c r="U629" s="95">
        <f t="shared" si="36"/>
        <v>0</v>
      </c>
      <c r="V629" s="28" t="s">
        <v>222</v>
      </c>
      <c r="W629" s="31">
        <v>2020</v>
      </c>
      <c r="X629" s="28">
        <v>1</v>
      </c>
      <c r="Y629" s="28">
        <v>0</v>
      </c>
      <c r="Z629" s="196">
        <v>-3.3939727104598718E-3</v>
      </c>
      <c r="AA629" s="196">
        <v>-5.2214964776305717E-2</v>
      </c>
      <c r="AB629" s="28">
        <v>0</v>
      </c>
      <c r="AC629" s="28">
        <v>0</v>
      </c>
      <c r="AD629" s="28" t="s">
        <v>342</v>
      </c>
    </row>
    <row r="630" spans="2:30" ht="14.25" customHeight="1" x14ac:dyDescent="0.2">
      <c r="B630" s="7">
        <f t="shared" si="41"/>
        <v>606</v>
      </c>
      <c r="C630" s="28">
        <v>5</v>
      </c>
      <c r="D630" s="28">
        <v>1</v>
      </c>
      <c r="E630" s="31">
        <v>3</v>
      </c>
      <c r="F630" s="96">
        <v>2020</v>
      </c>
      <c r="G630" s="28">
        <v>2021</v>
      </c>
      <c r="H630" s="28">
        <v>2</v>
      </c>
      <c r="I630" s="28">
        <v>0</v>
      </c>
      <c r="J630" s="28">
        <v>0</v>
      </c>
      <c r="K630" s="28">
        <v>0</v>
      </c>
      <c r="L630" s="28">
        <v>0</v>
      </c>
      <c r="M630" s="156">
        <v>0.84</v>
      </c>
      <c r="N630" s="151">
        <v>2150</v>
      </c>
      <c r="O630" s="151">
        <v>1185</v>
      </c>
      <c r="P630" s="95">
        <f t="array" ref="P630">ROUND(IF($F630&lt;='TaxCred&amp;Subs'!$C$49,(IF($C630=2,IF($M630&gt;=IFERROR(INDEX('TaxCred&amp;Subs'!$L$12:$L$47,MATCH(1,($C630&amp;$D630='TaxCred&amp;Subs'!$E$12:$E$47)*($F630='TaxCred&amp;Subs'!$C$12:$C$47),0)
),9999),IFERROR(INDEX('TaxCred&amp;Subs'!$N$12:$N$47,MATCH(1,($C630&amp;$D630='TaxCred&amp;Subs'!$E$12:$E$47)*($F630='TaxCred&amp;Subs'!$C$12:$C$47),0)
),0),0),(IF($M630&gt;=IFERROR(INDEX('TaxCred&amp;Subs'!$H$12:$H$47,MATCH(1,($C630&amp;$D630='TaxCred&amp;Subs'!$D$12:$D$47)*($F630='TaxCred&amp;Subs'!$C$12:$C$47),0)
),9999),IFERROR(INDEX('TaxCred&amp;Subs'!$N$12:$N$47,MATCH(1,($C630&amp;$D630='TaxCred&amp;Subs'!$D$12:$D$47)*($F630='TaxCred&amp;Subs'!$C$12:$C$47),0)
),0),0)))),0)+IF(AND($C630=2,VALUE(RIGHT($AD630,1))&gt;2),(N630-R630)*(IFERROR(INDEX('TaxCred&amp;Subs'!$J$66:$J$99,MATCH(1,($C630&amp;$D630='TaxCred&amp;Subs'!$E$66:$E$99)*($F630='TaxCred&amp;Subs'!$C$66:$C$99),0)),0)),IF(AND($C630=1,VALUE(RIGHT($AD630,1))&gt;2),(N630-R630)*(IFERROR(INDEX('TaxCred&amp;Subs'!$J$66:$J$99,MATCH(1,($C630&amp;$D630='TaxCred&amp;Subs'!$D$66:$D$99)*($F630='TaxCred&amp;Subs'!$C$66:$C$99),0)),0)),IF($C630&gt;2,(N630-R630)*(IFERROR(INDEX('TaxCred&amp;Subs'!$J$66:$J$99,MATCH(1,($C630&amp;$D630='TaxCred&amp;Subs'!$D$66:$D$99)*($F630='TaxCred&amp;Subs'!$C$66:$C$99),0)),0)),0))),0)</f>
        <v>300</v>
      </c>
      <c r="Q630" s="95">
        <f t="array" ref="Q630">ROUND(IF(AND($C630=2,VALUE(RIGHT($AD630,1))&gt;2),(O630-S630)*(IFERROR(INDEX('TaxCred&amp;Subs'!$J$66:$J$99,MATCH(1,($C630&amp;$D630='TaxCred&amp;Subs'!$E$66:$E$99)*($F630='TaxCred&amp;Subs'!$C$66:$C$99),0)),0)),IF(AND($C630=1,VALUE(RIGHT($AD630,1))&gt;2),(O630-S630)*(IFERROR(INDEX('TaxCred&amp;Subs'!$J$66:$J$99,MATCH(1,($C630&amp;$D630='TaxCred&amp;Subs'!$D$66:$D$99)*($F630='TaxCred&amp;Subs'!$C$66:$C$99),0)),0)),IF($C630&gt;2,(O630-S630)*(IFERROR(INDEX('TaxCred&amp;Subs'!$J$66:$J$99,MATCH(1,($C630&amp;$D630='TaxCred&amp;Subs'!$D$66:$D$99)*($F630='TaxCred&amp;Subs'!$C$66:$C$99),0)),0)),0))),0)</f>
        <v>0</v>
      </c>
      <c r="R630" s="95">
        <f t="array" ref="R630">ROUND(IF(IFERROR(VALUE(RIGHT($AD630,1)),0)&gt;2,IF($C630=8,N630*IFERROR(INDEX('TaxCred&amp;Subs'!$K$139:$S$151,MATCH($C630&amp;$D630&amp;LEFT($AD630,7),'TaxCred&amp;Subs'!$E$139:$E$151,0),MATCH($H630,'TaxCred&amp;Subs'!$K$137:$S$137,0)),0),IF($C630=2,N630*IFERROR(INDEX('TaxCred&amp;Subs'!$K$139:$S$151,MATCH($C630&amp;$D630,'TaxCred&amp;Subs'!$D$139:$D$151,0),MATCH($H630,'TaxCred&amp;Subs'!$K$137:$S$137,0)),0),N630*IFERROR(INDEX('TaxCred&amp;Subs'!$K$139:$S$151,MATCH($C630&amp;$D630,'TaxCred&amp;Subs'!$C$139:$C$151,0),MATCH($H630,'TaxCred&amp;Subs'!$K$137:$S$137,0)),0))),0),0)</f>
        <v>192</v>
      </c>
      <c r="S630" s="95">
        <f t="array" ref="S630">ROUND(IF(IFERROR(VALUE(RIGHT($AD630,1)),0)&gt;2,IF($C630=8,O630*IFERROR(INDEX('TaxCred&amp;Subs'!$K$139:$S$151,MATCH($C630&amp;$D630&amp;LEFT($AD630,7),'TaxCred&amp;Subs'!$E$139:$E$151,0),MATCH($H630,'TaxCred&amp;Subs'!$K$137:$S$137,0)),0),IF($C630=2,O630*IFERROR(INDEX('TaxCred&amp;Subs'!$K$139:$S$151,MATCH($C630&amp;$D630,'TaxCred&amp;Subs'!$D$139:$D$151,0),MATCH($H630,'TaxCred&amp;Subs'!$K$137:$S$137,0)),0),O630*IFERROR(INDEX('TaxCred&amp;Subs'!$K$139:$S$151,MATCH($C630&amp;$D630,'TaxCred&amp;Subs'!$C$139:$C$151,0),MATCH($H630,'TaxCred&amp;Subs'!$K$137:$S$137,0)),0))),0),0)</f>
        <v>106</v>
      </c>
      <c r="T630" s="95">
        <f t="shared" si="35"/>
        <v>0</v>
      </c>
      <c r="U630" s="95">
        <f t="shared" si="36"/>
        <v>0</v>
      </c>
      <c r="V630" s="28" t="s">
        <v>222</v>
      </c>
      <c r="W630" s="31">
        <v>2020</v>
      </c>
      <c r="X630" s="28">
        <v>1</v>
      </c>
      <c r="Y630" s="28">
        <v>0</v>
      </c>
      <c r="Z630" s="196">
        <v>-3.3939727104598718E-3</v>
      </c>
      <c r="AA630" s="196">
        <v>-5.2214964776305717E-2</v>
      </c>
      <c r="AB630" s="28">
        <v>0</v>
      </c>
      <c r="AC630" s="28">
        <v>0</v>
      </c>
      <c r="AD630" s="28" t="s">
        <v>342</v>
      </c>
    </row>
    <row r="631" spans="2:30" ht="14.25" customHeight="1" x14ac:dyDescent="0.2">
      <c r="B631" s="7">
        <f t="shared" si="41"/>
        <v>607</v>
      </c>
      <c r="C631" s="28">
        <v>5</v>
      </c>
      <c r="D631" s="28">
        <v>1</v>
      </c>
      <c r="E631" s="31">
        <v>3</v>
      </c>
      <c r="F631" s="96">
        <v>2020</v>
      </c>
      <c r="G631" s="28">
        <v>2021</v>
      </c>
      <c r="H631" s="28">
        <v>3</v>
      </c>
      <c r="I631" s="28">
        <v>0</v>
      </c>
      <c r="J631" s="28">
        <v>0</v>
      </c>
      <c r="K631" s="28">
        <v>0</v>
      </c>
      <c r="L631" s="28">
        <v>0</v>
      </c>
      <c r="M631" s="156">
        <v>0.84</v>
      </c>
      <c r="N631" s="151">
        <v>2150</v>
      </c>
      <c r="O631" s="151">
        <v>1185</v>
      </c>
      <c r="P631" s="95">
        <f t="array" ref="P631">ROUND(IF($F631&lt;='TaxCred&amp;Subs'!$C$49,(IF($C631=2,IF($M631&gt;=IFERROR(INDEX('TaxCred&amp;Subs'!$L$12:$L$47,MATCH(1,($C631&amp;$D631='TaxCred&amp;Subs'!$E$12:$E$47)*($F631='TaxCred&amp;Subs'!$C$12:$C$47),0)
),9999),IFERROR(INDEX('TaxCred&amp;Subs'!$N$12:$N$47,MATCH(1,($C631&amp;$D631='TaxCred&amp;Subs'!$E$12:$E$47)*($F631='TaxCred&amp;Subs'!$C$12:$C$47),0)
),0),0),(IF($M631&gt;=IFERROR(INDEX('TaxCred&amp;Subs'!$H$12:$H$47,MATCH(1,($C631&amp;$D631='TaxCred&amp;Subs'!$D$12:$D$47)*($F631='TaxCred&amp;Subs'!$C$12:$C$47),0)
),9999),IFERROR(INDEX('TaxCred&amp;Subs'!$N$12:$N$47,MATCH(1,($C631&amp;$D631='TaxCred&amp;Subs'!$D$12:$D$47)*($F631='TaxCred&amp;Subs'!$C$12:$C$47),0)
),0),0)))),0)+IF(AND($C631=2,VALUE(RIGHT($AD631,1))&gt;2),(N631-R631)*(IFERROR(INDEX('TaxCred&amp;Subs'!$J$66:$J$99,MATCH(1,($C631&amp;$D631='TaxCred&amp;Subs'!$E$66:$E$99)*($F631='TaxCred&amp;Subs'!$C$66:$C$99),0)),0)),IF(AND($C631=1,VALUE(RIGHT($AD631,1))&gt;2),(N631-R631)*(IFERROR(INDEX('TaxCred&amp;Subs'!$J$66:$J$99,MATCH(1,($C631&amp;$D631='TaxCred&amp;Subs'!$D$66:$D$99)*($F631='TaxCred&amp;Subs'!$C$66:$C$99),0)),0)),IF($C631&gt;2,(N631-R631)*(IFERROR(INDEX('TaxCred&amp;Subs'!$J$66:$J$99,MATCH(1,($C631&amp;$D631='TaxCred&amp;Subs'!$D$66:$D$99)*($F631='TaxCred&amp;Subs'!$C$66:$C$99),0)),0)),0))),0)</f>
        <v>300</v>
      </c>
      <c r="Q631" s="95">
        <f t="array" ref="Q631">ROUND(IF(AND($C631=2,VALUE(RIGHT($AD631,1))&gt;2),(O631-S631)*(IFERROR(INDEX('TaxCred&amp;Subs'!$J$66:$J$99,MATCH(1,($C631&amp;$D631='TaxCred&amp;Subs'!$E$66:$E$99)*($F631='TaxCred&amp;Subs'!$C$66:$C$99),0)),0)),IF(AND($C631=1,VALUE(RIGHT($AD631,1))&gt;2),(O631-S631)*(IFERROR(INDEX('TaxCred&amp;Subs'!$J$66:$J$99,MATCH(1,($C631&amp;$D631='TaxCred&amp;Subs'!$D$66:$D$99)*($F631='TaxCred&amp;Subs'!$C$66:$C$99),0)),0)),IF($C631&gt;2,(O631-S631)*(IFERROR(INDEX('TaxCred&amp;Subs'!$J$66:$J$99,MATCH(1,($C631&amp;$D631='TaxCred&amp;Subs'!$D$66:$D$99)*($F631='TaxCred&amp;Subs'!$C$66:$C$99),0)),0)),0))),0)</f>
        <v>0</v>
      </c>
      <c r="R631" s="95">
        <f t="array" ref="R631">ROUND(IF(IFERROR(VALUE(RIGHT($AD631,1)),0)&gt;2,IF($C631=8,N631*IFERROR(INDEX('TaxCred&amp;Subs'!$K$139:$S$151,MATCH($C631&amp;$D631&amp;LEFT($AD631,7),'TaxCred&amp;Subs'!$E$139:$E$151,0),MATCH($H631,'TaxCred&amp;Subs'!$K$137:$S$137,0)),0),IF($C631=2,N631*IFERROR(INDEX('TaxCred&amp;Subs'!$K$139:$S$151,MATCH($C631&amp;$D631,'TaxCred&amp;Subs'!$D$139:$D$151,0),MATCH($H631,'TaxCred&amp;Subs'!$K$137:$S$137,0)),0),N631*IFERROR(INDEX('TaxCred&amp;Subs'!$K$139:$S$151,MATCH($C631&amp;$D631,'TaxCred&amp;Subs'!$C$139:$C$151,0),MATCH($H631,'TaxCred&amp;Subs'!$K$137:$S$137,0)),0))),0),0)</f>
        <v>17</v>
      </c>
      <c r="S631" s="95">
        <f t="array" ref="S631">ROUND(IF(IFERROR(VALUE(RIGHT($AD631,1)),0)&gt;2,IF($C631=8,O631*IFERROR(INDEX('TaxCred&amp;Subs'!$K$139:$S$151,MATCH($C631&amp;$D631&amp;LEFT($AD631,7),'TaxCred&amp;Subs'!$E$139:$E$151,0),MATCH($H631,'TaxCred&amp;Subs'!$K$137:$S$137,0)),0),IF($C631=2,O631*IFERROR(INDEX('TaxCred&amp;Subs'!$K$139:$S$151,MATCH($C631&amp;$D631,'TaxCred&amp;Subs'!$D$139:$D$151,0),MATCH($H631,'TaxCred&amp;Subs'!$K$137:$S$137,0)),0),O631*IFERROR(INDEX('TaxCred&amp;Subs'!$K$139:$S$151,MATCH($C631&amp;$D631,'TaxCred&amp;Subs'!$C$139:$C$151,0),MATCH($H631,'TaxCred&amp;Subs'!$K$137:$S$137,0)),0))),0),0)</f>
        <v>10</v>
      </c>
      <c r="T631" s="95">
        <f t="shared" si="35"/>
        <v>0</v>
      </c>
      <c r="U631" s="95">
        <f t="shared" si="36"/>
        <v>0</v>
      </c>
      <c r="V631" s="28" t="s">
        <v>222</v>
      </c>
      <c r="W631" s="31">
        <v>2020</v>
      </c>
      <c r="X631" s="28">
        <v>1</v>
      </c>
      <c r="Y631" s="28">
        <v>0</v>
      </c>
      <c r="Z631" s="196">
        <v>-3.3939727104598718E-3</v>
      </c>
      <c r="AA631" s="196">
        <v>-5.2214964776305717E-2</v>
      </c>
      <c r="AB631" s="28">
        <v>0</v>
      </c>
      <c r="AC631" s="28">
        <v>0</v>
      </c>
      <c r="AD631" s="28" t="s">
        <v>342</v>
      </c>
    </row>
    <row r="632" spans="2:30" ht="14.25" customHeight="1" x14ac:dyDescent="0.2">
      <c r="B632" s="7">
        <f t="shared" si="41"/>
        <v>608</v>
      </c>
      <c r="C632" s="28">
        <v>5</v>
      </c>
      <c r="D632" s="28">
        <v>1</v>
      </c>
      <c r="E632" s="31">
        <v>3</v>
      </c>
      <c r="F632" s="96">
        <v>2020</v>
      </c>
      <c r="G632" s="28">
        <v>2021</v>
      </c>
      <c r="H632" s="28">
        <v>4</v>
      </c>
      <c r="I632" s="28">
        <v>0</v>
      </c>
      <c r="J632" s="28">
        <v>0</v>
      </c>
      <c r="K632" s="28">
        <v>0</v>
      </c>
      <c r="L632" s="28">
        <v>0</v>
      </c>
      <c r="M632" s="156">
        <v>0.84</v>
      </c>
      <c r="N632" s="151">
        <v>2150</v>
      </c>
      <c r="O632" s="151">
        <v>1185</v>
      </c>
      <c r="P632" s="95">
        <f t="array" ref="P632">ROUND(IF($F632&lt;='TaxCred&amp;Subs'!$C$49,(IF($C632=2,IF($M632&gt;=IFERROR(INDEX('TaxCred&amp;Subs'!$L$12:$L$47,MATCH(1,($C632&amp;$D632='TaxCred&amp;Subs'!$E$12:$E$47)*($F632='TaxCred&amp;Subs'!$C$12:$C$47),0)
),9999),IFERROR(INDEX('TaxCred&amp;Subs'!$N$12:$N$47,MATCH(1,($C632&amp;$D632='TaxCred&amp;Subs'!$E$12:$E$47)*($F632='TaxCred&amp;Subs'!$C$12:$C$47),0)
),0),0),(IF($M632&gt;=IFERROR(INDEX('TaxCred&amp;Subs'!$H$12:$H$47,MATCH(1,($C632&amp;$D632='TaxCred&amp;Subs'!$D$12:$D$47)*($F632='TaxCred&amp;Subs'!$C$12:$C$47),0)
),9999),IFERROR(INDEX('TaxCred&amp;Subs'!$N$12:$N$47,MATCH(1,($C632&amp;$D632='TaxCred&amp;Subs'!$D$12:$D$47)*($F632='TaxCred&amp;Subs'!$C$12:$C$47),0)
),0),0)))),0)+IF(AND($C632=2,VALUE(RIGHT($AD632,1))&gt;2),(N632-R632)*(IFERROR(INDEX('TaxCred&amp;Subs'!$J$66:$J$99,MATCH(1,($C632&amp;$D632='TaxCred&amp;Subs'!$E$66:$E$99)*($F632='TaxCred&amp;Subs'!$C$66:$C$99),0)),0)),IF(AND($C632=1,VALUE(RIGHT($AD632,1))&gt;2),(N632-R632)*(IFERROR(INDEX('TaxCred&amp;Subs'!$J$66:$J$99,MATCH(1,($C632&amp;$D632='TaxCred&amp;Subs'!$D$66:$D$99)*($F632='TaxCred&amp;Subs'!$C$66:$C$99),0)),0)),IF($C632&gt;2,(N632-R632)*(IFERROR(INDEX('TaxCred&amp;Subs'!$J$66:$J$99,MATCH(1,($C632&amp;$D632='TaxCred&amp;Subs'!$D$66:$D$99)*($F632='TaxCred&amp;Subs'!$C$66:$C$99),0)),0)),0))),0)</f>
        <v>300</v>
      </c>
      <c r="Q632" s="95">
        <f t="array" ref="Q632">ROUND(IF(AND($C632=2,VALUE(RIGHT($AD632,1))&gt;2),(O632-S632)*(IFERROR(INDEX('TaxCred&amp;Subs'!$J$66:$J$99,MATCH(1,($C632&amp;$D632='TaxCred&amp;Subs'!$E$66:$E$99)*($F632='TaxCred&amp;Subs'!$C$66:$C$99),0)),0)),IF(AND($C632=1,VALUE(RIGHT($AD632,1))&gt;2),(O632-S632)*(IFERROR(INDEX('TaxCred&amp;Subs'!$J$66:$J$99,MATCH(1,($C632&amp;$D632='TaxCred&amp;Subs'!$D$66:$D$99)*($F632='TaxCred&amp;Subs'!$C$66:$C$99),0)),0)),IF($C632&gt;2,(O632-S632)*(IFERROR(INDEX('TaxCred&amp;Subs'!$J$66:$J$99,MATCH(1,($C632&amp;$D632='TaxCred&amp;Subs'!$D$66:$D$99)*($F632='TaxCred&amp;Subs'!$C$66:$C$99),0)),0)),0))),0)</f>
        <v>0</v>
      </c>
      <c r="R632" s="95">
        <f t="array" ref="R632">ROUND(IF(IFERROR(VALUE(RIGHT($AD632,1)),0)&gt;2,IF($C632=8,N632*IFERROR(INDEX('TaxCred&amp;Subs'!$K$139:$S$151,MATCH($C632&amp;$D632&amp;LEFT($AD632,7),'TaxCred&amp;Subs'!$E$139:$E$151,0),MATCH($H632,'TaxCred&amp;Subs'!$K$137:$S$137,0)),0),IF($C632=2,N632*IFERROR(INDEX('TaxCred&amp;Subs'!$K$139:$S$151,MATCH($C632&amp;$D632,'TaxCred&amp;Subs'!$D$139:$D$151,0),MATCH($H632,'TaxCred&amp;Subs'!$K$137:$S$137,0)),0),N632*IFERROR(INDEX('TaxCred&amp;Subs'!$K$139:$S$151,MATCH($C632&amp;$D632,'TaxCred&amp;Subs'!$C$139:$C$151,0),MATCH($H632,'TaxCred&amp;Subs'!$K$137:$S$137,0)),0))),0),0)</f>
        <v>70</v>
      </c>
      <c r="S632" s="95">
        <f t="array" ref="S632">ROUND(IF(IFERROR(VALUE(RIGHT($AD632,1)),0)&gt;2,IF($C632=8,O632*IFERROR(INDEX('TaxCred&amp;Subs'!$K$139:$S$151,MATCH($C632&amp;$D632&amp;LEFT($AD632,7),'TaxCred&amp;Subs'!$E$139:$E$151,0),MATCH($H632,'TaxCred&amp;Subs'!$K$137:$S$137,0)),0),IF($C632=2,O632*IFERROR(INDEX('TaxCred&amp;Subs'!$K$139:$S$151,MATCH($C632&amp;$D632,'TaxCred&amp;Subs'!$D$139:$D$151,0),MATCH($H632,'TaxCred&amp;Subs'!$K$137:$S$137,0)),0),O632*IFERROR(INDEX('TaxCred&amp;Subs'!$K$139:$S$151,MATCH($C632&amp;$D632,'TaxCred&amp;Subs'!$C$139:$C$151,0),MATCH($H632,'TaxCred&amp;Subs'!$K$137:$S$137,0)),0))),0),0)</f>
        <v>39</v>
      </c>
      <c r="T632" s="95">
        <f t="shared" si="35"/>
        <v>0</v>
      </c>
      <c r="U632" s="95">
        <f t="shared" si="36"/>
        <v>0</v>
      </c>
      <c r="V632" s="28" t="s">
        <v>222</v>
      </c>
      <c r="W632" s="31">
        <v>2020</v>
      </c>
      <c r="X632" s="28">
        <v>1</v>
      </c>
      <c r="Y632" s="28">
        <v>0</v>
      </c>
      <c r="Z632" s="196">
        <v>-3.3939727104598718E-3</v>
      </c>
      <c r="AA632" s="196">
        <v>-5.2214964776305717E-2</v>
      </c>
      <c r="AB632" s="28">
        <v>0</v>
      </c>
      <c r="AC632" s="28">
        <v>0</v>
      </c>
      <c r="AD632" s="28" t="s">
        <v>342</v>
      </c>
    </row>
    <row r="633" spans="2:30" ht="14.25" customHeight="1" x14ac:dyDescent="0.2">
      <c r="B633" s="7">
        <f t="shared" si="41"/>
        <v>609</v>
      </c>
      <c r="C633" s="28">
        <v>5</v>
      </c>
      <c r="D633" s="28">
        <v>1</v>
      </c>
      <c r="E633" s="31">
        <v>3</v>
      </c>
      <c r="F633" s="96">
        <v>2020</v>
      </c>
      <c r="G633" s="28">
        <v>2021</v>
      </c>
      <c r="H633" s="28">
        <v>5</v>
      </c>
      <c r="I633" s="28">
        <v>0</v>
      </c>
      <c r="J633" s="28">
        <v>0</v>
      </c>
      <c r="K633" s="28">
        <v>0</v>
      </c>
      <c r="L633" s="28">
        <v>0</v>
      </c>
      <c r="M633" s="156">
        <v>0.84</v>
      </c>
      <c r="N633" s="151">
        <v>2150</v>
      </c>
      <c r="O633" s="151">
        <v>1185</v>
      </c>
      <c r="P633" s="95">
        <f t="array" ref="P633">ROUND(IF($F633&lt;='TaxCred&amp;Subs'!$C$49,(IF($C633=2,IF($M633&gt;=IFERROR(INDEX('TaxCred&amp;Subs'!$L$12:$L$47,MATCH(1,($C633&amp;$D633='TaxCred&amp;Subs'!$E$12:$E$47)*($F633='TaxCred&amp;Subs'!$C$12:$C$47),0)
),9999),IFERROR(INDEX('TaxCred&amp;Subs'!$N$12:$N$47,MATCH(1,($C633&amp;$D633='TaxCred&amp;Subs'!$E$12:$E$47)*($F633='TaxCred&amp;Subs'!$C$12:$C$47),0)
),0),0),(IF($M633&gt;=IFERROR(INDEX('TaxCred&amp;Subs'!$H$12:$H$47,MATCH(1,($C633&amp;$D633='TaxCred&amp;Subs'!$D$12:$D$47)*($F633='TaxCred&amp;Subs'!$C$12:$C$47),0)
),9999),IFERROR(INDEX('TaxCred&amp;Subs'!$N$12:$N$47,MATCH(1,($C633&amp;$D633='TaxCred&amp;Subs'!$D$12:$D$47)*($F633='TaxCred&amp;Subs'!$C$12:$C$47),0)
),0),0)))),0)+IF(AND($C633=2,VALUE(RIGHT($AD633,1))&gt;2),(N633-R633)*(IFERROR(INDEX('TaxCred&amp;Subs'!$J$66:$J$99,MATCH(1,($C633&amp;$D633='TaxCred&amp;Subs'!$E$66:$E$99)*($F633='TaxCred&amp;Subs'!$C$66:$C$99),0)),0)),IF(AND($C633=1,VALUE(RIGHT($AD633,1))&gt;2),(N633-R633)*(IFERROR(INDEX('TaxCred&amp;Subs'!$J$66:$J$99,MATCH(1,($C633&amp;$D633='TaxCred&amp;Subs'!$D$66:$D$99)*($F633='TaxCred&amp;Subs'!$C$66:$C$99),0)),0)),IF($C633&gt;2,(N633-R633)*(IFERROR(INDEX('TaxCred&amp;Subs'!$J$66:$J$99,MATCH(1,($C633&amp;$D633='TaxCred&amp;Subs'!$D$66:$D$99)*($F633='TaxCred&amp;Subs'!$C$66:$C$99),0)),0)),0))),0)</f>
        <v>300</v>
      </c>
      <c r="Q633" s="95">
        <f t="array" ref="Q633">ROUND(IF(AND($C633=2,VALUE(RIGHT($AD633,1))&gt;2),(O633-S633)*(IFERROR(INDEX('TaxCred&amp;Subs'!$J$66:$J$99,MATCH(1,($C633&amp;$D633='TaxCred&amp;Subs'!$E$66:$E$99)*($F633='TaxCred&amp;Subs'!$C$66:$C$99),0)),0)),IF(AND($C633=1,VALUE(RIGHT($AD633,1))&gt;2),(O633-S633)*(IFERROR(INDEX('TaxCred&amp;Subs'!$J$66:$J$99,MATCH(1,($C633&amp;$D633='TaxCred&amp;Subs'!$D$66:$D$99)*($F633='TaxCred&amp;Subs'!$C$66:$C$99),0)),0)),IF($C633&gt;2,(O633-S633)*(IFERROR(INDEX('TaxCred&amp;Subs'!$J$66:$J$99,MATCH(1,($C633&amp;$D633='TaxCred&amp;Subs'!$D$66:$D$99)*($F633='TaxCred&amp;Subs'!$C$66:$C$99),0)),0)),0))),0)</f>
        <v>0</v>
      </c>
      <c r="R633" s="95">
        <f t="array" ref="R633">ROUND(IF(IFERROR(VALUE(RIGHT($AD633,1)),0)&gt;2,IF($C633=8,N633*IFERROR(INDEX('TaxCred&amp;Subs'!$K$139:$S$151,MATCH($C633&amp;$D633&amp;LEFT($AD633,7),'TaxCred&amp;Subs'!$E$139:$E$151,0),MATCH($H633,'TaxCred&amp;Subs'!$K$137:$S$137,0)),0),IF($C633=2,N633*IFERROR(INDEX('TaxCred&amp;Subs'!$K$139:$S$151,MATCH($C633&amp;$D633,'TaxCred&amp;Subs'!$D$139:$D$151,0),MATCH($H633,'TaxCred&amp;Subs'!$K$137:$S$137,0)),0),N633*IFERROR(INDEX('TaxCred&amp;Subs'!$K$139:$S$151,MATCH($C633&amp;$D633,'TaxCred&amp;Subs'!$C$139:$C$151,0),MATCH($H633,'TaxCred&amp;Subs'!$K$137:$S$137,0)),0))),0),0)</f>
        <v>7</v>
      </c>
      <c r="S633" s="95">
        <f t="array" ref="S633">ROUND(IF(IFERROR(VALUE(RIGHT($AD633,1)),0)&gt;2,IF($C633=8,O633*IFERROR(INDEX('TaxCred&amp;Subs'!$K$139:$S$151,MATCH($C633&amp;$D633&amp;LEFT($AD633,7),'TaxCred&amp;Subs'!$E$139:$E$151,0),MATCH($H633,'TaxCred&amp;Subs'!$K$137:$S$137,0)),0),IF($C633=2,O633*IFERROR(INDEX('TaxCred&amp;Subs'!$K$139:$S$151,MATCH($C633&amp;$D633,'TaxCred&amp;Subs'!$D$139:$D$151,0),MATCH($H633,'TaxCred&amp;Subs'!$K$137:$S$137,0)),0),O633*IFERROR(INDEX('TaxCred&amp;Subs'!$K$139:$S$151,MATCH($C633&amp;$D633,'TaxCred&amp;Subs'!$C$139:$C$151,0),MATCH($H633,'TaxCred&amp;Subs'!$K$137:$S$137,0)),0))),0),0)</f>
        <v>4</v>
      </c>
      <c r="T633" s="95">
        <f t="shared" si="35"/>
        <v>0</v>
      </c>
      <c r="U633" s="95">
        <f t="shared" si="36"/>
        <v>0</v>
      </c>
      <c r="V633" s="28" t="s">
        <v>222</v>
      </c>
      <c r="W633" s="31">
        <v>2020</v>
      </c>
      <c r="X633" s="28">
        <v>1</v>
      </c>
      <c r="Y633" s="28">
        <v>0</v>
      </c>
      <c r="Z633" s="196">
        <v>-3.3939727104598718E-3</v>
      </c>
      <c r="AA633" s="196">
        <v>-5.2214964776305717E-2</v>
      </c>
      <c r="AB633" s="28">
        <v>0</v>
      </c>
      <c r="AC633" s="28">
        <v>0</v>
      </c>
      <c r="AD633" s="28" t="s">
        <v>342</v>
      </c>
    </row>
    <row r="634" spans="2:30" ht="14.25" customHeight="1" x14ac:dyDescent="0.2">
      <c r="B634" s="7">
        <f t="shared" si="41"/>
        <v>610</v>
      </c>
      <c r="C634" s="28">
        <v>5</v>
      </c>
      <c r="D634" s="28">
        <v>1</v>
      </c>
      <c r="E634" s="31">
        <v>3</v>
      </c>
      <c r="F634" s="96">
        <v>2020</v>
      </c>
      <c r="G634" s="28">
        <v>2021</v>
      </c>
      <c r="H634" s="28">
        <v>6</v>
      </c>
      <c r="I634" s="28">
        <v>0</v>
      </c>
      <c r="J634" s="28">
        <v>0</v>
      </c>
      <c r="K634" s="28">
        <v>0</v>
      </c>
      <c r="L634" s="28">
        <v>0</v>
      </c>
      <c r="M634" s="156">
        <v>0.84</v>
      </c>
      <c r="N634" s="151">
        <v>2150</v>
      </c>
      <c r="O634" s="151">
        <v>1185</v>
      </c>
      <c r="P634" s="95">
        <f t="array" ref="P634">ROUND(IF($F634&lt;='TaxCred&amp;Subs'!$C$49,(IF($C634=2,IF($M634&gt;=IFERROR(INDEX('TaxCred&amp;Subs'!$L$12:$L$47,MATCH(1,($C634&amp;$D634='TaxCred&amp;Subs'!$E$12:$E$47)*($F634='TaxCred&amp;Subs'!$C$12:$C$47),0)
),9999),IFERROR(INDEX('TaxCred&amp;Subs'!$N$12:$N$47,MATCH(1,($C634&amp;$D634='TaxCred&amp;Subs'!$E$12:$E$47)*($F634='TaxCred&amp;Subs'!$C$12:$C$47),0)
),0),0),(IF($M634&gt;=IFERROR(INDEX('TaxCred&amp;Subs'!$H$12:$H$47,MATCH(1,($C634&amp;$D634='TaxCred&amp;Subs'!$D$12:$D$47)*($F634='TaxCred&amp;Subs'!$C$12:$C$47),0)
),9999),IFERROR(INDEX('TaxCred&amp;Subs'!$N$12:$N$47,MATCH(1,($C634&amp;$D634='TaxCred&amp;Subs'!$D$12:$D$47)*($F634='TaxCred&amp;Subs'!$C$12:$C$47),0)
),0),0)))),0)+IF(AND($C634=2,VALUE(RIGHT($AD634,1))&gt;2),(N634-R634)*(IFERROR(INDEX('TaxCred&amp;Subs'!$J$66:$J$99,MATCH(1,($C634&amp;$D634='TaxCred&amp;Subs'!$E$66:$E$99)*($F634='TaxCred&amp;Subs'!$C$66:$C$99),0)),0)),IF(AND($C634=1,VALUE(RIGHT($AD634,1))&gt;2),(N634-R634)*(IFERROR(INDEX('TaxCred&amp;Subs'!$J$66:$J$99,MATCH(1,($C634&amp;$D634='TaxCred&amp;Subs'!$D$66:$D$99)*($F634='TaxCred&amp;Subs'!$C$66:$C$99),0)),0)),IF($C634&gt;2,(N634-R634)*(IFERROR(INDEX('TaxCred&amp;Subs'!$J$66:$J$99,MATCH(1,($C634&amp;$D634='TaxCred&amp;Subs'!$D$66:$D$99)*($F634='TaxCred&amp;Subs'!$C$66:$C$99),0)),0)),0))),0)</f>
        <v>300</v>
      </c>
      <c r="Q634" s="95">
        <f t="array" ref="Q634">ROUND(IF(AND($C634=2,VALUE(RIGHT($AD634,1))&gt;2),(O634-S634)*(IFERROR(INDEX('TaxCred&amp;Subs'!$J$66:$J$99,MATCH(1,($C634&amp;$D634='TaxCred&amp;Subs'!$E$66:$E$99)*($F634='TaxCred&amp;Subs'!$C$66:$C$99),0)),0)),IF(AND($C634=1,VALUE(RIGHT($AD634,1))&gt;2),(O634-S634)*(IFERROR(INDEX('TaxCred&amp;Subs'!$J$66:$J$99,MATCH(1,($C634&amp;$D634='TaxCred&amp;Subs'!$D$66:$D$99)*($F634='TaxCred&amp;Subs'!$C$66:$C$99),0)),0)),IF($C634&gt;2,(O634-S634)*(IFERROR(INDEX('TaxCred&amp;Subs'!$J$66:$J$99,MATCH(1,($C634&amp;$D634='TaxCred&amp;Subs'!$D$66:$D$99)*($F634='TaxCred&amp;Subs'!$C$66:$C$99),0)),0)),0))),0)</f>
        <v>0</v>
      </c>
      <c r="R634" s="95">
        <f t="array" ref="R634">ROUND(IF(IFERROR(VALUE(RIGHT($AD634,1)),0)&gt;2,IF($C634=8,N634*IFERROR(INDEX('TaxCred&amp;Subs'!$K$139:$S$151,MATCH($C634&amp;$D634&amp;LEFT($AD634,7),'TaxCred&amp;Subs'!$E$139:$E$151,0),MATCH($H634,'TaxCred&amp;Subs'!$K$137:$S$137,0)),0),IF($C634=2,N634*IFERROR(INDEX('TaxCred&amp;Subs'!$K$139:$S$151,MATCH($C634&amp;$D634,'TaxCred&amp;Subs'!$D$139:$D$151,0),MATCH($H634,'TaxCred&amp;Subs'!$K$137:$S$137,0)),0),N634*IFERROR(INDEX('TaxCred&amp;Subs'!$K$139:$S$151,MATCH($C634&amp;$D634,'TaxCred&amp;Subs'!$C$139:$C$151,0),MATCH($H634,'TaxCred&amp;Subs'!$K$137:$S$137,0)),0))),0),0)</f>
        <v>11</v>
      </c>
      <c r="S634" s="95">
        <f t="array" ref="S634">ROUND(IF(IFERROR(VALUE(RIGHT($AD634,1)),0)&gt;2,IF($C634=8,O634*IFERROR(INDEX('TaxCred&amp;Subs'!$K$139:$S$151,MATCH($C634&amp;$D634&amp;LEFT($AD634,7),'TaxCred&amp;Subs'!$E$139:$E$151,0),MATCH($H634,'TaxCred&amp;Subs'!$K$137:$S$137,0)),0),IF($C634=2,O634*IFERROR(INDEX('TaxCred&amp;Subs'!$K$139:$S$151,MATCH($C634&amp;$D634,'TaxCred&amp;Subs'!$D$139:$D$151,0),MATCH($H634,'TaxCred&amp;Subs'!$K$137:$S$137,0)),0),O634*IFERROR(INDEX('TaxCred&amp;Subs'!$K$139:$S$151,MATCH($C634&amp;$D634,'TaxCred&amp;Subs'!$C$139:$C$151,0),MATCH($H634,'TaxCred&amp;Subs'!$K$137:$S$137,0)),0))),0),0)</f>
        <v>6</v>
      </c>
      <c r="T634" s="95">
        <f t="shared" si="35"/>
        <v>0</v>
      </c>
      <c r="U634" s="95">
        <f t="shared" si="36"/>
        <v>0</v>
      </c>
      <c r="V634" s="28" t="s">
        <v>222</v>
      </c>
      <c r="W634" s="31">
        <v>2020</v>
      </c>
      <c r="X634" s="28">
        <v>1</v>
      </c>
      <c r="Y634" s="28">
        <v>0</v>
      </c>
      <c r="Z634" s="196">
        <v>-3.3939727104598718E-3</v>
      </c>
      <c r="AA634" s="196">
        <v>-5.2214964776305717E-2</v>
      </c>
      <c r="AB634" s="28">
        <v>0</v>
      </c>
      <c r="AC634" s="28">
        <v>0</v>
      </c>
      <c r="AD634" s="28" t="s">
        <v>342</v>
      </c>
    </row>
    <row r="635" spans="2:30" ht="14.25" customHeight="1" x14ac:dyDescent="0.2">
      <c r="B635" s="7">
        <f t="shared" si="41"/>
        <v>611</v>
      </c>
      <c r="C635" s="28">
        <v>5</v>
      </c>
      <c r="D635" s="28">
        <v>1</v>
      </c>
      <c r="E635" s="31">
        <v>3</v>
      </c>
      <c r="F635" s="96">
        <v>2020</v>
      </c>
      <c r="G635" s="28">
        <v>2021</v>
      </c>
      <c r="H635" s="28">
        <v>7</v>
      </c>
      <c r="I635" s="28">
        <v>0</v>
      </c>
      <c r="J635" s="28">
        <v>0</v>
      </c>
      <c r="K635" s="28">
        <v>0</v>
      </c>
      <c r="L635" s="28">
        <v>0</v>
      </c>
      <c r="M635" s="156">
        <v>0.84</v>
      </c>
      <c r="N635" s="151">
        <v>2150</v>
      </c>
      <c r="O635" s="151">
        <v>1185</v>
      </c>
      <c r="P635" s="95">
        <f t="array" ref="P635">ROUND(IF($F635&lt;='TaxCred&amp;Subs'!$C$49,(IF($C635=2,IF($M635&gt;=IFERROR(INDEX('TaxCred&amp;Subs'!$L$12:$L$47,MATCH(1,($C635&amp;$D635='TaxCred&amp;Subs'!$E$12:$E$47)*($F635='TaxCred&amp;Subs'!$C$12:$C$47),0)
),9999),IFERROR(INDEX('TaxCred&amp;Subs'!$N$12:$N$47,MATCH(1,($C635&amp;$D635='TaxCred&amp;Subs'!$E$12:$E$47)*($F635='TaxCred&amp;Subs'!$C$12:$C$47),0)
),0),0),(IF($M635&gt;=IFERROR(INDEX('TaxCred&amp;Subs'!$H$12:$H$47,MATCH(1,($C635&amp;$D635='TaxCred&amp;Subs'!$D$12:$D$47)*($F635='TaxCred&amp;Subs'!$C$12:$C$47),0)
),9999),IFERROR(INDEX('TaxCred&amp;Subs'!$N$12:$N$47,MATCH(1,($C635&amp;$D635='TaxCred&amp;Subs'!$D$12:$D$47)*($F635='TaxCred&amp;Subs'!$C$12:$C$47),0)
),0),0)))),0)+IF(AND($C635=2,VALUE(RIGHT($AD635,1))&gt;2),(N635-R635)*(IFERROR(INDEX('TaxCred&amp;Subs'!$J$66:$J$99,MATCH(1,($C635&amp;$D635='TaxCred&amp;Subs'!$E$66:$E$99)*($F635='TaxCred&amp;Subs'!$C$66:$C$99),0)),0)),IF(AND($C635=1,VALUE(RIGHT($AD635,1))&gt;2),(N635-R635)*(IFERROR(INDEX('TaxCred&amp;Subs'!$J$66:$J$99,MATCH(1,($C635&amp;$D635='TaxCred&amp;Subs'!$D$66:$D$99)*($F635='TaxCred&amp;Subs'!$C$66:$C$99),0)),0)),IF($C635&gt;2,(N635-R635)*(IFERROR(INDEX('TaxCred&amp;Subs'!$J$66:$J$99,MATCH(1,($C635&amp;$D635='TaxCred&amp;Subs'!$D$66:$D$99)*($F635='TaxCred&amp;Subs'!$C$66:$C$99),0)),0)),0))),0)</f>
        <v>300</v>
      </c>
      <c r="Q635" s="95">
        <f t="array" ref="Q635">ROUND(IF(AND($C635=2,VALUE(RIGHT($AD635,1))&gt;2),(O635-S635)*(IFERROR(INDEX('TaxCred&amp;Subs'!$J$66:$J$99,MATCH(1,($C635&amp;$D635='TaxCred&amp;Subs'!$E$66:$E$99)*($F635='TaxCred&amp;Subs'!$C$66:$C$99),0)),0)),IF(AND($C635=1,VALUE(RIGHT($AD635,1))&gt;2),(O635-S635)*(IFERROR(INDEX('TaxCred&amp;Subs'!$J$66:$J$99,MATCH(1,($C635&amp;$D635='TaxCred&amp;Subs'!$D$66:$D$99)*($F635='TaxCred&amp;Subs'!$C$66:$C$99),0)),0)),IF($C635&gt;2,(O635-S635)*(IFERROR(INDEX('TaxCred&amp;Subs'!$J$66:$J$99,MATCH(1,($C635&amp;$D635='TaxCred&amp;Subs'!$D$66:$D$99)*($F635='TaxCred&amp;Subs'!$C$66:$C$99),0)),0)),0))),0)</f>
        <v>0</v>
      </c>
      <c r="R635" s="95">
        <f t="array" ref="R635">ROUND(IF(IFERROR(VALUE(RIGHT($AD635,1)),0)&gt;2,IF($C635=8,N635*IFERROR(INDEX('TaxCred&amp;Subs'!$K$139:$S$151,MATCH($C635&amp;$D635&amp;LEFT($AD635,7),'TaxCred&amp;Subs'!$E$139:$E$151,0),MATCH($H635,'TaxCred&amp;Subs'!$K$137:$S$137,0)),0),IF($C635=2,N635*IFERROR(INDEX('TaxCred&amp;Subs'!$K$139:$S$151,MATCH($C635&amp;$D635,'TaxCred&amp;Subs'!$D$139:$D$151,0),MATCH($H635,'TaxCred&amp;Subs'!$K$137:$S$137,0)),0),N635*IFERROR(INDEX('TaxCred&amp;Subs'!$K$139:$S$151,MATCH($C635&amp;$D635,'TaxCred&amp;Subs'!$C$139:$C$151,0),MATCH($H635,'TaxCred&amp;Subs'!$K$137:$S$137,0)),0))),0),0)</f>
        <v>0</v>
      </c>
      <c r="S635" s="95">
        <f t="array" ref="S635">ROUND(IF(IFERROR(VALUE(RIGHT($AD635,1)),0)&gt;2,IF($C635=8,O635*IFERROR(INDEX('TaxCred&amp;Subs'!$K$139:$S$151,MATCH($C635&amp;$D635&amp;LEFT($AD635,7),'TaxCred&amp;Subs'!$E$139:$E$151,0),MATCH($H635,'TaxCred&amp;Subs'!$K$137:$S$137,0)),0),IF($C635=2,O635*IFERROR(INDEX('TaxCred&amp;Subs'!$K$139:$S$151,MATCH($C635&amp;$D635,'TaxCred&amp;Subs'!$D$139:$D$151,0),MATCH($H635,'TaxCred&amp;Subs'!$K$137:$S$137,0)),0),O635*IFERROR(INDEX('TaxCred&amp;Subs'!$K$139:$S$151,MATCH($C635&amp;$D635,'TaxCred&amp;Subs'!$C$139:$C$151,0),MATCH($H635,'TaxCred&amp;Subs'!$K$137:$S$137,0)),0))),0),0)</f>
        <v>0</v>
      </c>
      <c r="T635" s="95">
        <f t="shared" si="35"/>
        <v>0</v>
      </c>
      <c r="U635" s="95">
        <f t="shared" si="36"/>
        <v>0</v>
      </c>
      <c r="V635" s="28" t="s">
        <v>222</v>
      </c>
      <c r="W635" s="31">
        <v>2020</v>
      </c>
      <c r="X635" s="28">
        <v>1</v>
      </c>
      <c r="Y635" s="28">
        <v>0</v>
      </c>
      <c r="Z635" s="196">
        <v>-3.3939727104598718E-3</v>
      </c>
      <c r="AA635" s="196">
        <v>-5.2214964776305717E-2</v>
      </c>
      <c r="AB635" s="28">
        <v>0</v>
      </c>
      <c r="AC635" s="28">
        <v>0</v>
      </c>
      <c r="AD635" s="28" t="s">
        <v>342</v>
      </c>
    </row>
    <row r="636" spans="2:30" ht="14.25" customHeight="1" x14ac:dyDescent="0.2">
      <c r="B636" s="7">
        <f t="shared" si="41"/>
        <v>612</v>
      </c>
      <c r="C636" s="28">
        <v>5</v>
      </c>
      <c r="D636" s="28">
        <v>1</v>
      </c>
      <c r="E636" s="31">
        <v>3</v>
      </c>
      <c r="F636" s="96">
        <v>2020</v>
      </c>
      <c r="G636" s="28">
        <v>2021</v>
      </c>
      <c r="H636" s="28">
        <v>8</v>
      </c>
      <c r="I636" s="28">
        <v>0</v>
      </c>
      <c r="J636" s="28">
        <v>0</v>
      </c>
      <c r="K636" s="28">
        <v>0</v>
      </c>
      <c r="L636" s="28">
        <v>0</v>
      </c>
      <c r="M636" s="156">
        <v>0.84</v>
      </c>
      <c r="N636" s="151">
        <v>2150</v>
      </c>
      <c r="O636" s="151">
        <v>1185</v>
      </c>
      <c r="P636" s="95">
        <f t="array" ref="P636">ROUND(IF($F636&lt;='TaxCred&amp;Subs'!$C$49,(IF($C636=2,IF($M636&gt;=IFERROR(INDEX('TaxCred&amp;Subs'!$L$12:$L$47,MATCH(1,($C636&amp;$D636='TaxCred&amp;Subs'!$E$12:$E$47)*($F636='TaxCred&amp;Subs'!$C$12:$C$47),0)
),9999),IFERROR(INDEX('TaxCred&amp;Subs'!$N$12:$N$47,MATCH(1,($C636&amp;$D636='TaxCred&amp;Subs'!$E$12:$E$47)*($F636='TaxCred&amp;Subs'!$C$12:$C$47),0)
),0),0),(IF($M636&gt;=IFERROR(INDEX('TaxCred&amp;Subs'!$H$12:$H$47,MATCH(1,($C636&amp;$D636='TaxCred&amp;Subs'!$D$12:$D$47)*($F636='TaxCred&amp;Subs'!$C$12:$C$47),0)
),9999),IFERROR(INDEX('TaxCred&amp;Subs'!$N$12:$N$47,MATCH(1,($C636&amp;$D636='TaxCred&amp;Subs'!$D$12:$D$47)*($F636='TaxCred&amp;Subs'!$C$12:$C$47),0)
),0),0)))),0)+IF(AND($C636=2,VALUE(RIGHT($AD636,1))&gt;2),(N636-R636)*(IFERROR(INDEX('TaxCred&amp;Subs'!$J$66:$J$99,MATCH(1,($C636&amp;$D636='TaxCred&amp;Subs'!$E$66:$E$99)*($F636='TaxCred&amp;Subs'!$C$66:$C$99),0)),0)),IF(AND($C636=1,VALUE(RIGHT($AD636,1))&gt;2),(N636-R636)*(IFERROR(INDEX('TaxCred&amp;Subs'!$J$66:$J$99,MATCH(1,($C636&amp;$D636='TaxCred&amp;Subs'!$D$66:$D$99)*($F636='TaxCred&amp;Subs'!$C$66:$C$99),0)),0)),IF($C636&gt;2,(N636-R636)*(IFERROR(INDEX('TaxCred&amp;Subs'!$J$66:$J$99,MATCH(1,($C636&amp;$D636='TaxCred&amp;Subs'!$D$66:$D$99)*($F636='TaxCred&amp;Subs'!$C$66:$C$99),0)),0)),0))),0)</f>
        <v>300</v>
      </c>
      <c r="Q636" s="95">
        <f t="array" ref="Q636">ROUND(IF(AND($C636=2,VALUE(RIGHT($AD636,1))&gt;2),(O636-S636)*(IFERROR(INDEX('TaxCred&amp;Subs'!$J$66:$J$99,MATCH(1,($C636&amp;$D636='TaxCred&amp;Subs'!$E$66:$E$99)*($F636='TaxCred&amp;Subs'!$C$66:$C$99),0)),0)),IF(AND($C636=1,VALUE(RIGHT($AD636,1))&gt;2),(O636-S636)*(IFERROR(INDEX('TaxCred&amp;Subs'!$J$66:$J$99,MATCH(1,($C636&amp;$D636='TaxCred&amp;Subs'!$D$66:$D$99)*($F636='TaxCred&amp;Subs'!$C$66:$C$99),0)),0)),IF($C636&gt;2,(O636-S636)*(IFERROR(INDEX('TaxCred&amp;Subs'!$J$66:$J$99,MATCH(1,($C636&amp;$D636='TaxCred&amp;Subs'!$D$66:$D$99)*($F636='TaxCred&amp;Subs'!$C$66:$C$99),0)),0)),0))),0)</f>
        <v>0</v>
      </c>
      <c r="R636" s="95">
        <f t="array" ref="R636">ROUND(IF(IFERROR(VALUE(RIGHT($AD636,1)),0)&gt;2,IF($C636=8,N636*IFERROR(INDEX('TaxCred&amp;Subs'!$K$139:$S$151,MATCH($C636&amp;$D636&amp;LEFT($AD636,7),'TaxCred&amp;Subs'!$E$139:$E$151,0),MATCH($H636,'TaxCred&amp;Subs'!$K$137:$S$137,0)),0),IF($C636=2,N636*IFERROR(INDEX('TaxCred&amp;Subs'!$K$139:$S$151,MATCH($C636&amp;$D636,'TaxCred&amp;Subs'!$D$139:$D$151,0),MATCH($H636,'TaxCred&amp;Subs'!$K$137:$S$137,0)),0),N636*IFERROR(INDEX('TaxCred&amp;Subs'!$K$139:$S$151,MATCH($C636&amp;$D636,'TaxCred&amp;Subs'!$C$139:$C$151,0),MATCH($H636,'TaxCred&amp;Subs'!$K$137:$S$137,0)),0))),0),0)</f>
        <v>34</v>
      </c>
      <c r="S636" s="95">
        <f t="array" ref="S636">ROUND(IF(IFERROR(VALUE(RIGHT($AD636,1)),0)&gt;2,IF($C636=8,O636*IFERROR(INDEX('TaxCred&amp;Subs'!$K$139:$S$151,MATCH($C636&amp;$D636&amp;LEFT($AD636,7),'TaxCred&amp;Subs'!$E$139:$E$151,0),MATCH($H636,'TaxCred&amp;Subs'!$K$137:$S$137,0)),0),IF($C636=2,O636*IFERROR(INDEX('TaxCred&amp;Subs'!$K$139:$S$151,MATCH($C636&amp;$D636,'TaxCred&amp;Subs'!$D$139:$D$151,0),MATCH($H636,'TaxCred&amp;Subs'!$K$137:$S$137,0)),0),O636*IFERROR(INDEX('TaxCred&amp;Subs'!$K$139:$S$151,MATCH($C636&amp;$D636,'TaxCred&amp;Subs'!$C$139:$C$151,0),MATCH($H636,'TaxCred&amp;Subs'!$K$137:$S$137,0)),0))),0),0)</f>
        <v>19</v>
      </c>
      <c r="T636" s="95">
        <f t="shared" si="35"/>
        <v>0</v>
      </c>
      <c r="U636" s="95">
        <f t="shared" si="36"/>
        <v>0</v>
      </c>
      <c r="V636" s="28" t="s">
        <v>222</v>
      </c>
      <c r="W636" s="31">
        <v>2020</v>
      </c>
      <c r="X636" s="28">
        <v>1</v>
      </c>
      <c r="Y636" s="28">
        <v>0</v>
      </c>
      <c r="Z636" s="196">
        <v>-3.3939727104598718E-3</v>
      </c>
      <c r="AA636" s="196">
        <v>-5.2214964776305717E-2</v>
      </c>
      <c r="AB636" s="28">
        <v>0</v>
      </c>
      <c r="AC636" s="28">
        <v>0</v>
      </c>
      <c r="AD636" s="28" t="s">
        <v>342</v>
      </c>
    </row>
    <row r="637" spans="2:30" ht="14.25" customHeight="1" x14ac:dyDescent="0.2">
      <c r="B637" s="7">
        <f t="shared" si="41"/>
        <v>613</v>
      </c>
      <c r="C637" s="28">
        <v>5</v>
      </c>
      <c r="D637" s="28">
        <v>1</v>
      </c>
      <c r="E637" s="31">
        <v>3</v>
      </c>
      <c r="F637" s="96">
        <v>2020</v>
      </c>
      <c r="G637" s="28">
        <v>2021</v>
      </c>
      <c r="H637" s="28">
        <v>9</v>
      </c>
      <c r="I637" s="28">
        <v>0</v>
      </c>
      <c r="J637" s="28">
        <v>0</v>
      </c>
      <c r="K637" s="28">
        <v>0</v>
      </c>
      <c r="L637" s="28">
        <v>0</v>
      </c>
      <c r="M637" s="156">
        <v>0.84</v>
      </c>
      <c r="N637" s="151">
        <v>2150</v>
      </c>
      <c r="O637" s="151">
        <v>1185</v>
      </c>
      <c r="P637" s="95">
        <f t="array" ref="P637">ROUND(IF($F637&lt;='TaxCred&amp;Subs'!$C$49,(IF($C637=2,IF($M637&gt;=IFERROR(INDEX('TaxCred&amp;Subs'!$L$12:$L$47,MATCH(1,($C637&amp;$D637='TaxCred&amp;Subs'!$E$12:$E$47)*($F637='TaxCred&amp;Subs'!$C$12:$C$47),0)
),9999),IFERROR(INDEX('TaxCred&amp;Subs'!$N$12:$N$47,MATCH(1,($C637&amp;$D637='TaxCred&amp;Subs'!$E$12:$E$47)*($F637='TaxCred&amp;Subs'!$C$12:$C$47),0)
),0),0),(IF($M637&gt;=IFERROR(INDEX('TaxCred&amp;Subs'!$H$12:$H$47,MATCH(1,($C637&amp;$D637='TaxCred&amp;Subs'!$D$12:$D$47)*($F637='TaxCred&amp;Subs'!$C$12:$C$47),0)
),9999),IFERROR(INDEX('TaxCred&amp;Subs'!$N$12:$N$47,MATCH(1,($C637&amp;$D637='TaxCred&amp;Subs'!$D$12:$D$47)*($F637='TaxCred&amp;Subs'!$C$12:$C$47),0)
),0),0)))),0)+IF(AND($C637=2,VALUE(RIGHT($AD637,1))&gt;2),(N637-R637)*(IFERROR(INDEX('TaxCred&amp;Subs'!$J$66:$J$99,MATCH(1,($C637&amp;$D637='TaxCred&amp;Subs'!$E$66:$E$99)*($F637='TaxCred&amp;Subs'!$C$66:$C$99),0)),0)),IF(AND($C637=1,VALUE(RIGHT($AD637,1))&gt;2),(N637-R637)*(IFERROR(INDEX('TaxCred&amp;Subs'!$J$66:$J$99,MATCH(1,($C637&amp;$D637='TaxCred&amp;Subs'!$D$66:$D$99)*($F637='TaxCred&amp;Subs'!$C$66:$C$99),0)),0)),IF($C637&gt;2,(N637-R637)*(IFERROR(INDEX('TaxCred&amp;Subs'!$J$66:$J$99,MATCH(1,($C637&amp;$D637='TaxCred&amp;Subs'!$D$66:$D$99)*($F637='TaxCred&amp;Subs'!$C$66:$C$99),0)),0)),0))),0)</f>
        <v>300</v>
      </c>
      <c r="Q637" s="95">
        <f t="array" ref="Q637">ROUND(IF(AND($C637=2,VALUE(RIGHT($AD637,1))&gt;2),(O637-S637)*(IFERROR(INDEX('TaxCred&amp;Subs'!$J$66:$J$99,MATCH(1,($C637&amp;$D637='TaxCred&amp;Subs'!$E$66:$E$99)*($F637='TaxCred&amp;Subs'!$C$66:$C$99),0)),0)),IF(AND($C637=1,VALUE(RIGHT($AD637,1))&gt;2),(O637-S637)*(IFERROR(INDEX('TaxCred&amp;Subs'!$J$66:$J$99,MATCH(1,($C637&amp;$D637='TaxCred&amp;Subs'!$D$66:$D$99)*($F637='TaxCred&amp;Subs'!$C$66:$C$99),0)),0)),IF($C637&gt;2,(O637-S637)*(IFERROR(INDEX('TaxCred&amp;Subs'!$J$66:$J$99,MATCH(1,($C637&amp;$D637='TaxCred&amp;Subs'!$D$66:$D$99)*($F637='TaxCred&amp;Subs'!$C$66:$C$99),0)),0)),0))),0)</f>
        <v>0</v>
      </c>
      <c r="R637" s="95">
        <f t="array" ref="R637">ROUND(IF(IFERROR(VALUE(RIGHT($AD637,1)),0)&gt;2,IF($C637=8,N637*IFERROR(INDEX('TaxCred&amp;Subs'!$K$139:$S$151,MATCH($C637&amp;$D637&amp;LEFT($AD637,7),'TaxCred&amp;Subs'!$E$139:$E$151,0),MATCH($H637,'TaxCred&amp;Subs'!$K$137:$S$137,0)),0),IF($C637=2,N637*IFERROR(INDEX('TaxCred&amp;Subs'!$K$139:$S$151,MATCH($C637&amp;$D637,'TaxCred&amp;Subs'!$D$139:$D$151,0),MATCH($H637,'TaxCred&amp;Subs'!$K$137:$S$137,0)),0),N637*IFERROR(INDEX('TaxCred&amp;Subs'!$K$139:$S$151,MATCH($C637&amp;$D637,'TaxCred&amp;Subs'!$C$139:$C$151,0),MATCH($H637,'TaxCred&amp;Subs'!$K$137:$S$137,0)),0))),0),0)</f>
        <v>96</v>
      </c>
      <c r="S637" s="95">
        <f t="array" ref="S637">ROUND(IF(IFERROR(VALUE(RIGHT($AD637,1)),0)&gt;2,IF($C637=8,O637*IFERROR(INDEX('TaxCred&amp;Subs'!$K$139:$S$151,MATCH($C637&amp;$D637&amp;LEFT($AD637,7),'TaxCred&amp;Subs'!$E$139:$E$151,0),MATCH($H637,'TaxCred&amp;Subs'!$K$137:$S$137,0)),0),IF($C637=2,O637*IFERROR(INDEX('TaxCred&amp;Subs'!$K$139:$S$151,MATCH($C637&amp;$D637,'TaxCred&amp;Subs'!$D$139:$D$151,0),MATCH($H637,'TaxCred&amp;Subs'!$K$137:$S$137,0)),0),O637*IFERROR(INDEX('TaxCred&amp;Subs'!$K$139:$S$151,MATCH($C637&amp;$D637,'TaxCred&amp;Subs'!$C$139:$C$151,0),MATCH($H637,'TaxCred&amp;Subs'!$K$137:$S$137,0)),0))),0),0)</f>
        <v>53</v>
      </c>
      <c r="T637" s="172">
        <f t="shared" si="35"/>
        <v>277.5</v>
      </c>
      <c r="U637" s="172">
        <f t="shared" si="36"/>
        <v>177.75</v>
      </c>
      <c r="V637" s="28" t="s">
        <v>222</v>
      </c>
      <c r="W637" s="31">
        <v>2020</v>
      </c>
      <c r="X637" s="28">
        <v>1</v>
      </c>
      <c r="Y637" s="28">
        <v>0</v>
      </c>
      <c r="Z637" s="196">
        <v>-3.3939727104598718E-3</v>
      </c>
      <c r="AA637" s="196">
        <v>-5.2214964776305717E-2</v>
      </c>
      <c r="AB637" s="28">
        <v>0</v>
      </c>
      <c r="AC637" s="28">
        <v>0</v>
      </c>
      <c r="AD637" s="28" t="s">
        <v>342</v>
      </c>
    </row>
    <row r="638" spans="2:30" ht="14.25" customHeight="1" x14ac:dyDescent="0.2">
      <c r="B638" s="7">
        <f t="shared" si="41"/>
        <v>614</v>
      </c>
      <c r="C638" s="28">
        <v>5</v>
      </c>
      <c r="D638" s="28">
        <v>1</v>
      </c>
      <c r="E638" s="31">
        <v>3</v>
      </c>
      <c r="F638" s="78">
        <v>2022</v>
      </c>
      <c r="G638" s="28">
        <v>2032</v>
      </c>
      <c r="H638" s="28">
        <v>1</v>
      </c>
      <c r="I638" s="28">
        <v>0</v>
      </c>
      <c r="J638" s="28">
        <v>0</v>
      </c>
      <c r="K638" s="28">
        <v>0</v>
      </c>
      <c r="L638" s="28">
        <v>0</v>
      </c>
      <c r="M638" s="156">
        <v>0.84</v>
      </c>
      <c r="N638" s="151">
        <v>2150</v>
      </c>
      <c r="O638" s="151">
        <v>1185</v>
      </c>
      <c r="P638" s="95">
        <f t="array" ref="P638">ROUND(IF($F638&lt;='TaxCred&amp;Subs'!$C$49,(IF($C638=2,IF($M638&gt;=IFERROR(INDEX('TaxCred&amp;Subs'!$L$12:$L$47,MATCH(1,($C638&amp;$D638='TaxCred&amp;Subs'!$E$12:$E$47)*($F638='TaxCred&amp;Subs'!$C$12:$C$47),0)
),9999),IFERROR(INDEX('TaxCred&amp;Subs'!$N$12:$N$47,MATCH(1,($C638&amp;$D638='TaxCred&amp;Subs'!$E$12:$E$47)*($F638='TaxCred&amp;Subs'!$C$12:$C$47),0)
),0),0),(IF($M638&gt;=IFERROR(INDEX('TaxCred&amp;Subs'!$H$12:$H$47,MATCH(1,($C638&amp;$D638='TaxCred&amp;Subs'!$D$12:$D$47)*($F638='TaxCred&amp;Subs'!$C$12:$C$47),0)
),9999),IFERROR(INDEX('TaxCred&amp;Subs'!$N$12:$N$47,MATCH(1,($C638&amp;$D638='TaxCred&amp;Subs'!$D$12:$D$47)*($F638='TaxCred&amp;Subs'!$C$12:$C$47),0)
),0),0)))),0)+IF(AND($C638=2,VALUE(RIGHT($AD638,1))&gt;2),(N638-R638)*(IFERROR(INDEX('TaxCred&amp;Subs'!$J$66:$J$99,MATCH(1,($C638&amp;$D638='TaxCred&amp;Subs'!$E$66:$E$99)*($F638='TaxCred&amp;Subs'!$C$66:$C$99),0)),0)),IF(AND($C638=1,VALUE(RIGHT($AD638,1))&gt;2),(N638-R638)*(IFERROR(INDEX('TaxCred&amp;Subs'!$J$66:$J$99,MATCH(1,($C638&amp;$D638='TaxCred&amp;Subs'!$D$66:$D$99)*($F638='TaxCred&amp;Subs'!$C$66:$C$99),0)),0)),IF($C638&gt;2,(N638-R638)*(IFERROR(INDEX('TaxCred&amp;Subs'!$J$66:$J$99,MATCH(1,($C638&amp;$D638='TaxCred&amp;Subs'!$D$66:$D$99)*($F638='TaxCred&amp;Subs'!$C$66:$C$99),0)),0)),0))),0)</f>
        <v>600</v>
      </c>
      <c r="Q638" s="95">
        <f t="array" ref="Q638">ROUND(IF(AND($C638=2,VALUE(RIGHT($AD638,1))&gt;2),(O638-S638)*(IFERROR(INDEX('TaxCred&amp;Subs'!$J$66:$J$99,MATCH(1,($C638&amp;$D638='TaxCred&amp;Subs'!$E$66:$E$99)*($F638='TaxCred&amp;Subs'!$C$66:$C$99),0)),0)),IF(AND($C638=1,VALUE(RIGHT($AD638,1))&gt;2),(O638-S638)*(IFERROR(INDEX('TaxCred&amp;Subs'!$J$66:$J$99,MATCH(1,($C638&amp;$D638='TaxCred&amp;Subs'!$D$66:$D$99)*($F638='TaxCred&amp;Subs'!$C$66:$C$99),0)),0)),IF($C638&gt;2,(O638-S638)*(IFERROR(INDEX('TaxCred&amp;Subs'!$J$66:$J$99,MATCH(1,($C638&amp;$D638='TaxCred&amp;Subs'!$D$66:$D$99)*($F638='TaxCred&amp;Subs'!$C$66:$C$99),0)),0)),0))),0)</f>
        <v>0</v>
      </c>
      <c r="R638" s="95">
        <f t="array" ref="R638">ROUND(IF(IFERROR(VALUE(RIGHT($AD638,1)),0)&gt;2,IF($C638=8,N638*IFERROR(INDEX('TaxCred&amp;Subs'!$K$139:$S$151,MATCH($C638&amp;$D638&amp;LEFT($AD638,7),'TaxCred&amp;Subs'!$E$139:$E$151,0),MATCH($H638,'TaxCred&amp;Subs'!$K$137:$S$137,0)),0),IF($C638=2,N638*IFERROR(INDEX('TaxCred&amp;Subs'!$K$139:$S$151,MATCH($C638&amp;$D638,'TaxCred&amp;Subs'!$D$139:$D$151,0),MATCH($H638,'TaxCred&amp;Subs'!$K$137:$S$137,0)),0),N638*IFERROR(INDEX('TaxCred&amp;Subs'!$K$139:$S$151,MATCH($C638&amp;$D638,'TaxCred&amp;Subs'!$C$139:$C$151,0),MATCH($H638,'TaxCred&amp;Subs'!$K$137:$S$137,0)),0))),0),0)</f>
        <v>255</v>
      </c>
      <c r="S638" s="95">
        <f t="array" ref="S638">ROUND(IF(IFERROR(VALUE(RIGHT($AD638,1)),0)&gt;2,IF($C638=8,O638*IFERROR(INDEX('TaxCred&amp;Subs'!$K$139:$S$151,MATCH($C638&amp;$D638&amp;LEFT($AD638,7),'TaxCred&amp;Subs'!$E$139:$E$151,0),MATCH($H638,'TaxCred&amp;Subs'!$K$137:$S$137,0)),0),IF($C638=2,O638*IFERROR(INDEX('TaxCred&amp;Subs'!$K$139:$S$151,MATCH($C638&amp;$D638,'TaxCred&amp;Subs'!$D$139:$D$151,0),MATCH($H638,'TaxCred&amp;Subs'!$K$137:$S$137,0)),0),O638*IFERROR(INDEX('TaxCred&amp;Subs'!$K$139:$S$151,MATCH($C638&amp;$D638,'TaxCred&amp;Subs'!$C$139:$C$151,0),MATCH($H638,'TaxCred&amp;Subs'!$K$137:$S$137,0)),0))),0),0)</f>
        <v>140</v>
      </c>
      <c r="T638" s="95">
        <f t="shared" si="35"/>
        <v>0</v>
      </c>
      <c r="U638" s="95">
        <f t="shared" si="36"/>
        <v>0</v>
      </c>
      <c r="V638" s="28" t="s">
        <v>222</v>
      </c>
      <c r="W638" s="31">
        <v>2020</v>
      </c>
      <c r="X638" s="28">
        <v>1</v>
      </c>
      <c r="Y638" s="28">
        <v>0</v>
      </c>
      <c r="Z638" s="196">
        <v>-3.3939727104598718E-3</v>
      </c>
      <c r="AA638" s="196">
        <v>-5.2214964776305717E-2</v>
      </c>
      <c r="AB638" s="28">
        <v>0</v>
      </c>
      <c r="AC638" s="28">
        <v>0</v>
      </c>
      <c r="AD638" s="28" t="s">
        <v>342</v>
      </c>
    </row>
    <row r="639" spans="2:30" ht="14.25" customHeight="1" x14ac:dyDescent="0.2">
      <c r="B639" s="7">
        <f t="shared" si="41"/>
        <v>615</v>
      </c>
      <c r="C639" s="28">
        <v>5</v>
      </c>
      <c r="D639" s="28">
        <v>1</v>
      </c>
      <c r="E639" s="31">
        <v>3</v>
      </c>
      <c r="F639" s="78">
        <v>2022</v>
      </c>
      <c r="G639" s="28">
        <v>2032</v>
      </c>
      <c r="H639" s="28">
        <v>2</v>
      </c>
      <c r="I639" s="28">
        <v>0</v>
      </c>
      <c r="J639" s="28">
        <v>0</v>
      </c>
      <c r="K639" s="28">
        <v>0</v>
      </c>
      <c r="L639" s="28">
        <v>0</v>
      </c>
      <c r="M639" s="156">
        <v>0.84</v>
      </c>
      <c r="N639" s="151">
        <v>2150</v>
      </c>
      <c r="O639" s="151">
        <v>1185</v>
      </c>
      <c r="P639" s="95">
        <f t="array" ref="P639">ROUND(IF($F639&lt;='TaxCred&amp;Subs'!$C$49,(IF($C639=2,IF($M639&gt;=IFERROR(INDEX('TaxCred&amp;Subs'!$L$12:$L$47,MATCH(1,($C639&amp;$D639='TaxCred&amp;Subs'!$E$12:$E$47)*($F639='TaxCred&amp;Subs'!$C$12:$C$47),0)
),9999),IFERROR(INDEX('TaxCred&amp;Subs'!$N$12:$N$47,MATCH(1,($C639&amp;$D639='TaxCred&amp;Subs'!$E$12:$E$47)*($F639='TaxCred&amp;Subs'!$C$12:$C$47),0)
),0),0),(IF($M639&gt;=IFERROR(INDEX('TaxCred&amp;Subs'!$H$12:$H$47,MATCH(1,($C639&amp;$D639='TaxCred&amp;Subs'!$D$12:$D$47)*($F639='TaxCred&amp;Subs'!$C$12:$C$47),0)
),9999),IFERROR(INDEX('TaxCred&amp;Subs'!$N$12:$N$47,MATCH(1,($C639&amp;$D639='TaxCred&amp;Subs'!$D$12:$D$47)*($F639='TaxCred&amp;Subs'!$C$12:$C$47),0)
),0),0)))),0)+IF(AND($C639=2,VALUE(RIGHT($AD639,1))&gt;2),(N639-R639)*(IFERROR(INDEX('TaxCred&amp;Subs'!$J$66:$J$99,MATCH(1,($C639&amp;$D639='TaxCred&amp;Subs'!$E$66:$E$99)*($F639='TaxCred&amp;Subs'!$C$66:$C$99),0)),0)),IF(AND($C639=1,VALUE(RIGHT($AD639,1))&gt;2),(N639-R639)*(IFERROR(INDEX('TaxCred&amp;Subs'!$J$66:$J$99,MATCH(1,($C639&amp;$D639='TaxCred&amp;Subs'!$D$66:$D$99)*($F639='TaxCred&amp;Subs'!$C$66:$C$99),0)),0)),IF($C639&gt;2,(N639-R639)*(IFERROR(INDEX('TaxCred&amp;Subs'!$J$66:$J$99,MATCH(1,($C639&amp;$D639='TaxCred&amp;Subs'!$D$66:$D$99)*($F639='TaxCred&amp;Subs'!$C$66:$C$99),0)),0)),0))),0)</f>
        <v>600</v>
      </c>
      <c r="Q639" s="95">
        <f t="array" ref="Q639">ROUND(IF(AND($C639=2,VALUE(RIGHT($AD639,1))&gt;2),(O639-S639)*(IFERROR(INDEX('TaxCred&amp;Subs'!$J$66:$J$99,MATCH(1,($C639&amp;$D639='TaxCred&amp;Subs'!$E$66:$E$99)*($F639='TaxCred&amp;Subs'!$C$66:$C$99),0)),0)),IF(AND($C639=1,VALUE(RIGHT($AD639,1))&gt;2),(O639-S639)*(IFERROR(INDEX('TaxCred&amp;Subs'!$J$66:$J$99,MATCH(1,($C639&amp;$D639='TaxCred&amp;Subs'!$D$66:$D$99)*($F639='TaxCred&amp;Subs'!$C$66:$C$99),0)),0)),IF($C639&gt;2,(O639-S639)*(IFERROR(INDEX('TaxCred&amp;Subs'!$J$66:$J$99,MATCH(1,($C639&amp;$D639='TaxCred&amp;Subs'!$D$66:$D$99)*($F639='TaxCred&amp;Subs'!$C$66:$C$99),0)),0)),0))),0)</f>
        <v>0</v>
      </c>
      <c r="R639" s="95">
        <f t="array" ref="R639">ROUND(IF(IFERROR(VALUE(RIGHT($AD639,1)),0)&gt;2,IF($C639=8,N639*IFERROR(INDEX('TaxCred&amp;Subs'!$K$139:$S$151,MATCH($C639&amp;$D639&amp;LEFT($AD639,7),'TaxCred&amp;Subs'!$E$139:$E$151,0),MATCH($H639,'TaxCred&amp;Subs'!$K$137:$S$137,0)),0),IF($C639=2,N639*IFERROR(INDEX('TaxCred&amp;Subs'!$K$139:$S$151,MATCH($C639&amp;$D639,'TaxCred&amp;Subs'!$D$139:$D$151,0),MATCH($H639,'TaxCred&amp;Subs'!$K$137:$S$137,0)),0),N639*IFERROR(INDEX('TaxCred&amp;Subs'!$K$139:$S$151,MATCH($C639&amp;$D639,'TaxCred&amp;Subs'!$C$139:$C$151,0),MATCH($H639,'TaxCred&amp;Subs'!$K$137:$S$137,0)),0))),0),0)</f>
        <v>192</v>
      </c>
      <c r="S639" s="95">
        <f t="array" ref="S639">ROUND(IF(IFERROR(VALUE(RIGHT($AD639,1)),0)&gt;2,IF($C639=8,O639*IFERROR(INDEX('TaxCred&amp;Subs'!$K$139:$S$151,MATCH($C639&amp;$D639&amp;LEFT($AD639,7),'TaxCred&amp;Subs'!$E$139:$E$151,0),MATCH($H639,'TaxCred&amp;Subs'!$K$137:$S$137,0)),0),IF($C639=2,O639*IFERROR(INDEX('TaxCred&amp;Subs'!$K$139:$S$151,MATCH($C639&amp;$D639,'TaxCred&amp;Subs'!$D$139:$D$151,0),MATCH($H639,'TaxCred&amp;Subs'!$K$137:$S$137,0)),0),O639*IFERROR(INDEX('TaxCred&amp;Subs'!$K$139:$S$151,MATCH($C639&amp;$D639,'TaxCred&amp;Subs'!$C$139:$C$151,0),MATCH($H639,'TaxCred&amp;Subs'!$K$137:$S$137,0)),0))),0),0)</f>
        <v>106</v>
      </c>
      <c r="T639" s="95">
        <f t="shared" si="35"/>
        <v>0</v>
      </c>
      <c r="U639" s="95">
        <f t="shared" si="36"/>
        <v>0</v>
      </c>
      <c r="V639" s="28" t="s">
        <v>222</v>
      </c>
      <c r="W639" s="31">
        <v>2020</v>
      </c>
      <c r="X639" s="28">
        <v>1</v>
      </c>
      <c r="Y639" s="28">
        <v>0</v>
      </c>
      <c r="Z639" s="196">
        <v>-3.3939727104598718E-3</v>
      </c>
      <c r="AA639" s="196">
        <v>-5.2214964776305717E-2</v>
      </c>
      <c r="AB639" s="28">
        <v>0</v>
      </c>
      <c r="AC639" s="28">
        <v>0</v>
      </c>
      <c r="AD639" s="28" t="s">
        <v>342</v>
      </c>
    </row>
    <row r="640" spans="2:30" ht="14.25" customHeight="1" x14ac:dyDescent="0.2">
      <c r="B640" s="7">
        <f t="shared" si="41"/>
        <v>616</v>
      </c>
      <c r="C640" s="28">
        <v>5</v>
      </c>
      <c r="D640" s="28">
        <v>1</v>
      </c>
      <c r="E640" s="31">
        <v>3</v>
      </c>
      <c r="F640" s="78">
        <v>2022</v>
      </c>
      <c r="G640" s="28">
        <v>2032</v>
      </c>
      <c r="H640" s="28">
        <v>3</v>
      </c>
      <c r="I640" s="28">
        <v>0</v>
      </c>
      <c r="J640" s="28">
        <v>0</v>
      </c>
      <c r="K640" s="28">
        <v>0</v>
      </c>
      <c r="L640" s="28">
        <v>0</v>
      </c>
      <c r="M640" s="156">
        <v>0.84</v>
      </c>
      <c r="N640" s="151">
        <v>2150</v>
      </c>
      <c r="O640" s="151">
        <v>1185</v>
      </c>
      <c r="P640" s="95">
        <f t="array" ref="P640">ROUND(IF($F640&lt;='TaxCred&amp;Subs'!$C$49,(IF($C640=2,IF($M640&gt;=IFERROR(INDEX('TaxCred&amp;Subs'!$L$12:$L$47,MATCH(1,($C640&amp;$D640='TaxCred&amp;Subs'!$E$12:$E$47)*($F640='TaxCred&amp;Subs'!$C$12:$C$47),0)
),9999),IFERROR(INDEX('TaxCred&amp;Subs'!$N$12:$N$47,MATCH(1,($C640&amp;$D640='TaxCred&amp;Subs'!$E$12:$E$47)*($F640='TaxCred&amp;Subs'!$C$12:$C$47),0)
),0),0),(IF($M640&gt;=IFERROR(INDEX('TaxCred&amp;Subs'!$H$12:$H$47,MATCH(1,($C640&amp;$D640='TaxCred&amp;Subs'!$D$12:$D$47)*($F640='TaxCred&amp;Subs'!$C$12:$C$47),0)
),9999),IFERROR(INDEX('TaxCred&amp;Subs'!$N$12:$N$47,MATCH(1,($C640&amp;$D640='TaxCred&amp;Subs'!$D$12:$D$47)*($F640='TaxCred&amp;Subs'!$C$12:$C$47),0)
),0),0)))),0)+IF(AND($C640=2,VALUE(RIGHT($AD640,1))&gt;2),(N640-R640)*(IFERROR(INDEX('TaxCred&amp;Subs'!$J$66:$J$99,MATCH(1,($C640&amp;$D640='TaxCred&amp;Subs'!$E$66:$E$99)*($F640='TaxCred&amp;Subs'!$C$66:$C$99),0)),0)),IF(AND($C640=1,VALUE(RIGHT($AD640,1))&gt;2),(N640-R640)*(IFERROR(INDEX('TaxCred&amp;Subs'!$J$66:$J$99,MATCH(1,($C640&amp;$D640='TaxCred&amp;Subs'!$D$66:$D$99)*($F640='TaxCred&amp;Subs'!$C$66:$C$99),0)),0)),IF($C640&gt;2,(N640-R640)*(IFERROR(INDEX('TaxCred&amp;Subs'!$J$66:$J$99,MATCH(1,($C640&amp;$D640='TaxCred&amp;Subs'!$D$66:$D$99)*($F640='TaxCred&amp;Subs'!$C$66:$C$99),0)),0)),0))),0)</f>
        <v>600</v>
      </c>
      <c r="Q640" s="95">
        <f t="array" ref="Q640">ROUND(IF(AND($C640=2,VALUE(RIGHT($AD640,1))&gt;2),(O640-S640)*(IFERROR(INDEX('TaxCred&amp;Subs'!$J$66:$J$99,MATCH(1,($C640&amp;$D640='TaxCred&amp;Subs'!$E$66:$E$99)*($F640='TaxCred&amp;Subs'!$C$66:$C$99),0)),0)),IF(AND($C640=1,VALUE(RIGHT($AD640,1))&gt;2),(O640-S640)*(IFERROR(INDEX('TaxCred&amp;Subs'!$J$66:$J$99,MATCH(1,($C640&amp;$D640='TaxCred&amp;Subs'!$D$66:$D$99)*($F640='TaxCred&amp;Subs'!$C$66:$C$99),0)),0)),IF($C640&gt;2,(O640-S640)*(IFERROR(INDEX('TaxCred&amp;Subs'!$J$66:$J$99,MATCH(1,($C640&amp;$D640='TaxCred&amp;Subs'!$D$66:$D$99)*($F640='TaxCred&amp;Subs'!$C$66:$C$99),0)),0)),0))),0)</f>
        <v>0</v>
      </c>
      <c r="R640" s="95">
        <f t="array" ref="R640">ROUND(IF(IFERROR(VALUE(RIGHT($AD640,1)),0)&gt;2,IF($C640=8,N640*IFERROR(INDEX('TaxCred&amp;Subs'!$K$139:$S$151,MATCH($C640&amp;$D640&amp;LEFT($AD640,7),'TaxCred&amp;Subs'!$E$139:$E$151,0),MATCH($H640,'TaxCred&amp;Subs'!$K$137:$S$137,0)),0),IF($C640=2,N640*IFERROR(INDEX('TaxCred&amp;Subs'!$K$139:$S$151,MATCH($C640&amp;$D640,'TaxCred&amp;Subs'!$D$139:$D$151,0),MATCH($H640,'TaxCred&amp;Subs'!$K$137:$S$137,0)),0),N640*IFERROR(INDEX('TaxCred&amp;Subs'!$K$139:$S$151,MATCH($C640&amp;$D640,'TaxCred&amp;Subs'!$C$139:$C$151,0),MATCH($H640,'TaxCred&amp;Subs'!$K$137:$S$137,0)),0))),0),0)</f>
        <v>17</v>
      </c>
      <c r="S640" s="95">
        <f t="array" ref="S640">ROUND(IF(IFERROR(VALUE(RIGHT($AD640,1)),0)&gt;2,IF($C640=8,O640*IFERROR(INDEX('TaxCred&amp;Subs'!$K$139:$S$151,MATCH($C640&amp;$D640&amp;LEFT($AD640,7),'TaxCred&amp;Subs'!$E$139:$E$151,0),MATCH($H640,'TaxCred&amp;Subs'!$K$137:$S$137,0)),0),IF($C640=2,O640*IFERROR(INDEX('TaxCred&amp;Subs'!$K$139:$S$151,MATCH($C640&amp;$D640,'TaxCred&amp;Subs'!$D$139:$D$151,0),MATCH($H640,'TaxCred&amp;Subs'!$K$137:$S$137,0)),0),O640*IFERROR(INDEX('TaxCred&amp;Subs'!$K$139:$S$151,MATCH($C640&amp;$D640,'TaxCred&amp;Subs'!$C$139:$C$151,0),MATCH($H640,'TaxCred&amp;Subs'!$K$137:$S$137,0)),0))),0),0)</f>
        <v>10</v>
      </c>
      <c r="T640" s="95">
        <f t="shared" si="35"/>
        <v>0</v>
      </c>
      <c r="U640" s="95">
        <f t="shared" si="36"/>
        <v>0</v>
      </c>
      <c r="V640" s="28" t="s">
        <v>222</v>
      </c>
      <c r="W640" s="31">
        <v>2020</v>
      </c>
      <c r="X640" s="28">
        <v>1</v>
      </c>
      <c r="Y640" s="28">
        <v>0</v>
      </c>
      <c r="Z640" s="196">
        <v>-3.3939727104598718E-3</v>
      </c>
      <c r="AA640" s="196">
        <v>-5.2214964776305717E-2</v>
      </c>
      <c r="AB640" s="28">
        <v>0</v>
      </c>
      <c r="AC640" s="28">
        <v>0</v>
      </c>
      <c r="AD640" s="28" t="s">
        <v>342</v>
      </c>
    </row>
    <row r="641" spans="2:31" ht="14.25" customHeight="1" x14ac:dyDescent="0.2">
      <c r="B641" s="7">
        <f t="shared" si="41"/>
        <v>617</v>
      </c>
      <c r="C641" s="28">
        <v>5</v>
      </c>
      <c r="D641" s="28">
        <v>1</v>
      </c>
      <c r="E641" s="31">
        <v>3</v>
      </c>
      <c r="F641" s="78">
        <v>2022</v>
      </c>
      <c r="G641" s="28">
        <v>2032</v>
      </c>
      <c r="H641" s="28">
        <v>4</v>
      </c>
      <c r="I641" s="28">
        <v>0</v>
      </c>
      <c r="J641" s="28">
        <v>0</v>
      </c>
      <c r="K641" s="28">
        <v>0</v>
      </c>
      <c r="L641" s="28">
        <v>0</v>
      </c>
      <c r="M641" s="156">
        <v>0.84</v>
      </c>
      <c r="N641" s="151">
        <v>2150</v>
      </c>
      <c r="O641" s="151">
        <v>1185</v>
      </c>
      <c r="P641" s="95">
        <f t="array" ref="P641">ROUND(IF($F641&lt;='TaxCred&amp;Subs'!$C$49,(IF($C641=2,IF($M641&gt;=IFERROR(INDEX('TaxCred&amp;Subs'!$L$12:$L$47,MATCH(1,($C641&amp;$D641='TaxCred&amp;Subs'!$E$12:$E$47)*($F641='TaxCred&amp;Subs'!$C$12:$C$47),0)
),9999),IFERROR(INDEX('TaxCred&amp;Subs'!$N$12:$N$47,MATCH(1,($C641&amp;$D641='TaxCred&amp;Subs'!$E$12:$E$47)*($F641='TaxCred&amp;Subs'!$C$12:$C$47),0)
),0),0),(IF($M641&gt;=IFERROR(INDEX('TaxCred&amp;Subs'!$H$12:$H$47,MATCH(1,($C641&amp;$D641='TaxCred&amp;Subs'!$D$12:$D$47)*($F641='TaxCred&amp;Subs'!$C$12:$C$47),0)
),9999),IFERROR(INDEX('TaxCred&amp;Subs'!$N$12:$N$47,MATCH(1,($C641&amp;$D641='TaxCred&amp;Subs'!$D$12:$D$47)*($F641='TaxCred&amp;Subs'!$C$12:$C$47),0)
),0),0)))),0)+IF(AND($C641=2,VALUE(RIGHT($AD641,1))&gt;2),(N641-R641)*(IFERROR(INDEX('TaxCred&amp;Subs'!$J$66:$J$99,MATCH(1,($C641&amp;$D641='TaxCred&amp;Subs'!$E$66:$E$99)*($F641='TaxCred&amp;Subs'!$C$66:$C$99),0)),0)),IF(AND($C641=1,VALUE(RIGHT($AD641,1))&gt;2),(N641-R641)*(IFERROR(INDEX('TaxCred&amp;Subs'!$J$66:$J$99,MATCH(1,($C641&amp;$D641='TaxCred&amp;Subs'!$D$66:$D$99)*($F641='TaxCred&amp;Subs'!$C$66:$C$99),0)),0)),IF($C641&gt;2,(N641-R641)*(IFERROR(INDEX('TaxCred&amp;Subs'!$J$66:$J$99,MATCH(1,($C641&amp;$D641='TaxCred&amp;Subs'!$D$66:$D$99)*($F641='TaxCred&amp;Subs'!$C$66:$C$99),0)),0)),0))),0)</f>
        <v>600</v>
      </c>
      <c r="Q641" s="95">
        <f t="array" ref="Q641">ROUND(IF(AND($C641=2,VALUE(RIGHT($AD641,1))&gt;2),(O641-S641)*(IFERROR(INDEX('TaxCred&amp;Subs'!$J$66:$J$99,MATCH(1,($C641&amp;$D641='TaxCred&amp;Subs'!$E$66:$E$99)*($F641='TaxCred&amp;Subs'!$C$66:$C$99),0)),0)),IF(AND($C641=1,VALUE(RIGHT($AD641,1))&gt;2),(O641-S641)*(IFERROR(INDEX('TaxCred&amp;Subs'!$J$66:$J$99,MATCH(1,($C641&amp;$D641='TaxCred&amp;Subs'!$D$66:$D$99)*($F641='TaxCred&amp;Subs'!$C$66:$C$99),0)),0)),IF($C641&gt;2,(O641-S641)*(IFERROR(INDEX('TaxCred&amp;Subs'!$J$66:$J$99,MATCH(1,($C641&amp;$D641='TaxCred&amp;Subs'!$D$66:$D$99)*($F641='TaxCred&amp;Subs'!$C$66:$C$99),0)),0)),0))),0)</f>
        <v>0</v>
      </c>
      <c r="R641" s="95">
        <f t="array" ref="R641">ROUND(IF(IFERROR(VALUE(RIGHT($AD641,1)),0)&gt;2,IF($C641=8,N641*IFERROR(INDEX('TaxCred&amp;Subs'!$K$139:$S$151,MATCH($C641&amp;$D641&amp;LEFT($AD641,7),'TaxCred&amp;Subs'!$E$139:$E$151,0),MATCH($H641,'TaxCred&amp;Subs'!$K$137:$S$137,0)),0),IF($C641=2,N641*IFERROR(INDEX('TaxCred&amp;Subs'!$K$139:$S$151,MATCH($C641&amp;$D641,'TaxCred&amp;Subs'!$D$139:$D$151,0),MATCH($H641,'TaxCred&amp;Subs'!$K$137:$S$137,0)),0),N641*IFERROR(INDEX('TaxCred&amp;Subs'!$K$139:$S$151,MATCH($C641&amp;$D641,'TaxCred&amp;Subs'!$C$139:$C$151,0),MATCH($H641,'TaxCred&amp;Subs'!$K$137:$S$137,0)),0))),0),0)</f>
        <v>70</v>
      </c>
      <c r="S641" s="95">
        <f t="array" ref="S641">ROUND(IF(IFERROR(VALUE(RIGHT($AD641,1)),0)&gt;2,IF($C641=8,O641*IFERROR(INDEX('TaxCred&amp;Subs'!$K$139:$S$151,MATCH($C641&amp;$D641&amp;LEFT($AD641,7),'TaxCred&amp;Subs'!$E$139:$E$151,0),MATCH($H641,'TaxCred&amp;Subs'!$K$137:$S$137,0)),0),IF($C641=2,O641*IFERROR(INDEX('TaxCred&amp;Subs'!$K$139:$S$151,MATCH($C641&amp;$D641,'TaxCred&amp;Subs'!$D$139:$D$151,0),MATCH($H641,'TaxCred&amp;Subs'!$K$137:$S$137,0)),0),O641*IFERROR(INDEX('TaxCred&amp;Subs'!$K$139:$S$151,MATCH($C641&amp;$D641,'TaxCred&amp;Subs'!$C$139:$C$151,0),MATCH($H641,'TaxCred&amp;Subs'!$K$137:$S$137,0)),0))),0),0)</f>
        <v>39</v>
      </c>
      <c r="T641" s="95">
        <f t="shared" si="35"/>
        <v>0</v>
      </c>
      <c r="U641" s="95">
        <f t="shared" si="36"/>
        <v>0</v>
      </c>
      <c r="V641" s="28" t="s">
        <v>222</v>
      </c>
      <c r="W641" s="31">
        <v>2020</v>
      </c>
      <c r="X641" s="28">
        <v>1</v>
      </c>
      <c r="Y641" s="28">
        <v>0</v>
      </c>
      <c r="Z641" s="196">
        <v>-3.3939727104598718E-3</v>
      </c>
      <c r="AA641" s="196">
        <v>-5.2214964776305717E-2</v>
      </c>
      <c r="AB641" s="28">
        <v>0</v>
      </c>
      <c r="AC641" s="28">
        <v>0</v>
      </c>
      <c r="AD641" s="28" t="s">
        <v>342</v>
      </c>
    </row>
    <row r="642" spans="2:31" ht="14.25" customHeight="1" x14ac:dyDescent="0.2">
      <c r="B642" s="7">
        <f t="shared" si="41"/>
        <v>618</v>
      </c>
      <c r="C642" s="28">
        <v>5</v>
      </c>
      <c r="D642" s="28">
        <v>1</v>
      </c>
      <c r="E642" s="31">
        <v>3</v>
      </c>
      <c r="F642" s="78">
        <v>2022</v>
      </c>
      <c r="G642" s="28">
        <v>2032</v>
      </c>
      <c r="H642" s="28">
        <v>5</v>
      </c>
      <c r="I642" s="28">
        <v>0</v>
      </c>
      <c r="J642" s="28">
        <v>0</v>
      </c>
      <c r="K642" s="28">
        <v>0</v>
      </c>
      <c r="L642" s="28">
        <v>0</v>
      </c>
      <c r="M642" s="156">
        <v>0.84</v>
      </c>
      <c r="N642" s="151">
        <v>2150</v>
      </c>
      <c r="O642" s="151">
        <v>1185</v>
      </c>
      <c r="P642" s="95">
        <f t="array" ref="P642">ROUND(IF($F642&lt;='TaxCred&amp;Subs'!$C$49,(IF($C642=2,IF($M642&gt;=IFERROR(INDEX('TaxCred&amp;Subs'!$L$12:$L$47,MATCH(1,($C642&amp;$D642='TaxCred&amp;Subs'!$E$12:$E$47)*($F642='TaxCred&amp;Subs'!$C$12:$C$47),0)
),9999),IFERROR(INDEX('TaxCred&amp;Subs'!$N$12:$N$47,MATCH(1,($C642&amp;$D642='TaxCred&amp;Subs'!$E$12:$E$47)*($F642='TaxCred&amp;Subs'!$C$12:$C$47),0)
),0),0),(IF($M642&gt;=IFERROR(INDEX('TaxCred&amp;Subs'!$H$12:$H$47,MATCH(1,($C642&amp;$D642='TaxCred&amp;Subs'!$D$12:$D$47)*($F642='TaxCred&amp;Subs'!$C$12:$C$47),0)
),9999),IFERROR(INDEX('TaxCred&amp;Subs'!$N$12:$N$47,MATCH(1,($C642&amp;$D642='TaxCred&amp;Subs'!$D$12:$D$47)*($F642='TaxCred&amp;Subs'!$C$12:$C$47),0)
),0),0)))),0)+IF(AND($C642=2,VALUE(RIGHT($AD642,1))&gt;2),(N642-R642)*(IFERROR(INDEX('TaxCred&amp;Subs'!$J$66:$J$99,MATCH(1,($C642&amp;$D642='TaxCred&amp;Subs'!$E$66:$E$99)*($F642='TaxCred&amp;Subs'!$C$66:$C$99),0)),0)),IF(AND($C642=1,VALUE(RIGHT($AD642,1))&gt;2),(N642-R642)*(IFERROR(INDEX('TaxCred&amp;Subs'!$J$66:$J$99,MATCH(1,($C642&amp;$D642='TaxCred&amp;Subs'!$D$66:$D$99)*($F642='TaxCred&amp;Subs'!$C$66:$C$99),0)),0)),IF($C642&gt;2,(N642-R642)*(IFERROR(INDEX('TaxCred&amp;Subs'!$J$66:$J$99,MATCH(1,($C642&amp;$D642='TaxCred&amp;Subs'!$D$66:$D$99)*($F642='TaxCred&amp;Subs'!$C$66:$C$99),0)),0)),0))),0)</f>
        <v>600</v>
      </c>
      <c r="Q642" s="95">
        <f t="array" ref="Q642">ROUND(IF(AND($C642=2,VALUE(RIGHT($AD642,1))&gt;2),(O642-S642)*(IFERROR(INDEX('TaxCred&amp;Subs'!$J$66:$J$99,MATCH(1,($C642&amp;$D642='TaxCred&amp;Subs'!$E$66:$E$99)*($F642='TaxCred&amp;Subs'!$C$66:$C$99),0)),0)),IF(AND($C642=1,VALUE(RIGHT($AD642,1))&gt;2),(O642-S642)*(IFERROR(INDEX('TaxCred&amp;Subs'!$J$66:$J$99,MATCH(1,($C642&amp;$D642='TaxCred&amp;Subs'!$D$66:$D$99)*($F642='TaxCred&amp;Subs'!$C$66:$C$99),0)),0)),IF($C642&gt;2,(O642-S642)*(IFERROR(INDEX('TaxCred&amp;Subs'!$J$66:$J$99,MATCH(1,($C642&amp;$D642='TaxCred&amp;Subs'!$D$66:$D$99)*($F642='TaxCred&amp;Subs'!$C$66:$C$99),0)),0)),0))),0)</f>
        <v>0</v>
      </c>
      <c r="R642" s="95">
        <f t="array" ref="R642">ROUND(IF(IFERROR(VALUE(RIGHT($AD642,1)),0)&gt;2,IF($C642=8,N642*IFERROR(INDEX('TaxCred&amp;Subs'!$K$139:$S$151,MATCH($C642&amp;$D642&amp;LEFT($AD642,7),'TaxCred&amp;Subs'!$E$139:$E$151,0),MATCH($H642,'TaxCred&amp;Subs'!$K$137:$S$137,0)),0),IF($C642=2,N642*IFERROR(INDEX('TaxCred&amp;Subs'!$K$139:$S$151,MATCH($C642&amp;$D642,'TaxCred&amp;Subs'!$D$139:$D$151,0),MATCH($H642,'TaxCred&amp;Subs'!$K$137:$S$137,0)),0),N642*IFERROR(INDEX('TaxCred&amp;Subs'!$K$139:$S$151,MATCH($C642&amp;$D642,'TaxCred&amp;Subs'!$C$139:$C$151,0),MATCH($H642,'TaxCred&amp;Subs'!$K$137:$S$137,0)),0))),0),0)</f>
        <v>7</v>
      </c>
      <c r="S642" s="95">
        <f t="array" ref="S642">ROUND(IF(IFERROR(VALUE(RIGHT($AD642,1)),0)&gt;2,IF($C642=8,O642*IFERROR(INDEX('TaxCred&amp;Subs'!$K$139:$S$151,MATCH($C642&amp;$D642&amp;LEFT($AD642,7),'TaxCred&amp;Subs'!$E$139:$E$151,0),MATCH($H642,'TaxCred&amp;Subs'!$K$137:$S$137,0)),0),IF($C642=2,O642*IFERROR(INDEX('TaxCred&amp;Subs'!$K$139:$S$151,MATCH($C642&amp;$D642,'TaxCred&amp;Subs'!$D$139:$D$151,0),MATCH($H642,'TaxCred&amp;Subs'!$K$137:$S$137,0)),0),O642*IFERROR(INDEX('TaxCred&amp;Subs'!$K$139:$S$151,MATCH($C642&amp;$D642,'TaxCred&amp;Subs'!$C$139:$C$151,0),MATCH($H642,'TaxCred&amp;Subs'!$K$137:$S$137,0)),0))),0),0)</f>
        <v>4</v>
      </c>
      <c r="T642" s="95">
        <f t="shared" si="35"/>
        <v>0</v>
      </c>
      <c r="U642" s="95">
        <f t="shared" si="36"/>
        <v>0</v>
      </c>
      <c r="V642" s="28" t="s">
        <v>222</v>
      </c>
      <c r="W642" s="31">
        <v>2020</v>
      </c>
      <c r="X642" s="28">
        <v>1</v>
      </c>
      <c r="Y642" s="28">
        <v>0</v>
      </c>
      <c r="Z642" s="196">
        <v>-3.3939727104598718E-3</v>
      </c>
      <c r="AA642" s="196">
        <v>-5.2214964776305717E-2</v>
      </c>
      <c r="AB642" s="28">
        <v>0</v>
      </c>
      <c r="AC642" s="28">
        <v>0</v>
      </c>
      <c r="AD642" s="28" t="s">
        <v>342</v>
      </c>
    </row>
    <row r="643" spans="2:31" ht="14.25" customHeight="1" x14ac:dyDescent="0.2">
      <c r="B643" s="7">
        <f t="shared" si="41"/>
        <v>619</v>
      </c>
      <c r="C643" s="28">
        <v>5</v>
      </c>
      <c r="D643" s="28">
        <v>1</v>
      </c>
      <c r="E643" s="31">
        <v>3</v>
      </c>
      <c r="F643" s="78">
        <v>2022</v>
      </c>
      <c r="G643" s="28">
        <v>2032</v>
      </c>
      <c r="H643" s="28">
        <v>6</v>
      </c>
      <c r="I643" s="28">
        <v>0</v>
      </c>
      <c r="J643" s="28">
        <v>0</v>
      </c>
      <c r="K643" s="28">
        <v>0</v>
      </c>
      <c r="L643" s="28">
        <v>0</v>
      </c>
      <c r="M643" s="156">
        <v>0.84</v>
      </c>
      <c r="N643" s="151">
        <v>2150</v>
      </c>
      <c r="O643" s="151">
        <v>1185</v>
      </c>
      <c r="P643" s="95">
        <f t="array" ref="P643">ROUND(IF($F643&lt;='TaxCred&amp;Subs'!$C$49,(IF($C643=2,IF($M643&gt;=IFERROR(INDEX('TaxCred&amp;Subs'!$L$12:$L$47,MATCH(1,($C643&amp;$D643='TaxCred&amp;Subs'!$E$12:$E$47)*($F643='TaxCred&amp;Subs'!$C$12:$C$47),0)
),9999),IFERROR(INDEX('TaxCred&amp;Subs'!$N$12:$N$47,MATCH(1,($C643&amp;$D643='TaxCred&amp;Subs'!$E$12:$E$47)*($F643='TaxCred&amp;Subs'!$C$12:$C$47),0)
),0),0),(IF($M643&gt;=IFERROR(INDEX('TaxCred&amp;Subs'!$H$12:$H$47,MATCH(1,($C643&amp;$D643='TaxCred&amp;Subs'!$D$12:$D$47)*($F643='TaxCred&amp;Subs'!$C$12:$C$47),0)
),9999),IFERROR(INDEX('TaxCred&amp;Subs'!$N$12:$N$47,MATCH(1,($C643&amp;$D643='TaxCred&amp;Subs'!$D$12:$D$47)*($F643='TaxCred&amp;Subs'!$C$12:$C$47),0)
),0),0)))),0)+IF(AND($C643=2,VALUE(RIGHT($AD643,1))&gt;2),(N643-R643)*(IFERROR(INDEX('TaxCred&amp;Subs'!$J$66:$J$99,MATCH(1,($C643&amp;$D643='TaxCred&amp;Subs'!$E$66:$E$99)*($F643='TaxCred&amp;Subs'!$C$66:$C$99),0)),0)),IF(AND($C643=1,VALUE(RIGHT($AD643,1))&gt;2),(N643-R643)*(IFERROR(INDEX('TaxCred&amp;Subs'!$J$66:$J$99,MATCH(1,($C643&amp;$D643='TaxCred&amp;Subs'!$D$66:$D$99)*($F643='TaxCred&amp;Subs'!$C$66:$C$99),0)),0)),IF($C643&gt;2,(N643-R643)*(IFERROR(INDEX('TaxCred&amp;Subs'!$J$66:$J$99,MATCH(1,($C643&amp;$D643='TaxCred&amp;Subs'!$D$66:$D$99)*($F643='TaxCred&amp;Subs'!$C$66:$C$99),0)),0)),0))),0)</f>
        <v>600</v>
      </c>
      <c r="Q643" s="95">
        <f t="array" ref="Q643">ROUND(IF(AND($C643=2,VALUE(RIGHT($AD643,1))&gt;2),(O643-S643)*(IFERROR(INDEX('TaxCred&amp;Subs'!$J$66:$J$99,MATCH(1,($C643&amp;$D643='TaxCred&amp;Subs'!$E$66:$E$99)*($F643='TaxCred&amp;Subs'!$C$66:$C$99),0)),0)),IF(AND($C643=1,VALUE(RIGHT($AD643,1))&gt;2),(O643-S643)*(IFERROR(INDEX('TaxCred&amp;Subs'!$J$66:$J$99,MATCH(1,($C643&amp;$D643='TaxCred&amp;Subs'!$D$66:$D$99)*($F643='TaxCred&amp;Subs'!$C$66:$C$99),0)),0)),IF($C643&gt;2,(O643-S643)*(IFERROR(INDEX('TaxCred&amp;Subs'!$J$66:$J$99,MATCH(1,($C643&amp;$D643='TaxCred&amp;Subs'!$D$66:$D$99)*($F643='TaxCred&amp;Subs'!$C$66:$C$99),0)),0)),0))),0)</f>
        <v>0</v>
      </c>
      <c r="R643" s="95">
        <f t="array" ref="R643">ROUND(IF(IFERROR(VALUE(RIGHT($AD643,1)),0)&gt;2,IF($C643=8,N643*IFERROR(INDEX('TaxCred&amp;Subs'!$K$139:$S$151,MATCH($C643&amp;$D643&amp;LEFT($AD643,7),'TaxCred&amp;Subs'!$E$139:$E$151,0),MATCH($H643,'TaxCred&amp;Subs'!$K$137:$S$137,0)),0),IF($C643=2,N643*IFERROR(INDEX('TaxCred&amp;Subs'!$K$139:$S$151,MATCH($C643&amp;$D643,'TaxCred&amp;Subs'!$D$139:$D$151,0),MATCH($H643,'TaxCred&amp;Subs'!$K$137:$S$137,0)),0),N643*IFERROR(INDEX('TaxCred&amp;Subs'!$K$139:$S$151,MATCH($C643&amp;$D643,'TaxCred&amp;Subs'!$C$139:$C$151,0),MATCH($H643,'TaxCred&amp;Subs'!$K$137:$S$137,0)),0))),0),0)</f>
        <v>11</v>
      </c>
      <c r="S643" s="95">
        <f t="array" ref="S643">ROUND(IF(IFERROR(VALUE(RIGHT($AD643,1)),0)&gt;2,IF($C643=8,O643*IFERROR(INDEX('TaxCred&amp;Subs'!$K$139:$S$151,MATCH($C643&amp;$D643&amp;LEFT($AD643,7),'TaxCred&amp;Subs'!$E$139:$E$151,0),MATCH($H643,'TaxCred&amp;Subs'!$K$137:$S$137,0)),0),IF($C643=2,O643*IFERROR(INDEX('TaxCred&amp;Subs'!$K$139:$S$151,MATCH($C643&amp;$D643,'TaxCred&amp;Subs'!$D$139:$D$151,0),MATCH($H643,'TaxCred&amp;Subs'!$K$137:$S$137,0)),0),O643*IFERROR(INDEX('TaxCred&amp;Subs'!$K$139:$S$151,MATCH($C643&amp;$D643,'TaxCred&amp;Subs'!$C$139:$C$151,0),MATCH($H643,'TaxCred&amp;Subs'!$K$137:$S$137,0)),0))),0),0)</f>
        <v>6</v>
      </c>
      <c r="T643" s="95">
        <f t="shared" si="35"/>
        <v>0</v>
      </c>
      <c r="U643" s="95">
        <f t="shared" si="36"/>
        <v>0</v>
      </c>
      <c r="V643" s="28" t="s">
        <v>222</v>
      </c>
      <c r="W643" s="31">
        <v>2020</v>
      </c>
      <c r="X643" s="28">
        <v>1</v>
      </c>
      <c r="Y643" s="28">
        <v>0</v>
      </c>
      <c r="Z643" s="196">
        <v>-3.3939727104598718E-3</v>
      </c>
      <c r="AA643" s="196">
        <v>-5.2214964776305717E-2</v>
      </c>
      <c r="AB643" s="28">
        <v>0</v>
      </c>
      <c r="AC643" s="28">
        <v>0</v>
      </c>
      <c r="AD643" s="28" t="s">
        <v>342</v>
      </c>
    </row>
    <row r="644" spans="2:31" ht="14.25" customHeight="1" x14ac:dyDescent="0.2">
      <c r="B644" s="7">
        <f t="shared" si="41"/>
        <v>620</v>
      </c>
      <c r="C644" s="28">
        <v>5</v>
      </c>
      <c r="D644" s="28">
        <v>1</v>
      </c>
      <c r="E644" s="31">
        <v>3</v>
      </c>
      <c r="F644" s="78">
        <v>2022</v>
      </c>
      <c r="G644" s="28">
        <v>2032</v>
      </c>
      <c r="H644" s="28">
        <v>7</v>
      </c>
      <c r="I644" s="28">
        <v>0</v>
      </c>
      <c r="J644" s="28">
        <v>0</v>
      </c>
      <c r="K644" s="28">
        <v>0</v>
      </c>
      <c r="L644" s="28">
        <v>0</v>
      </c>
      <c r="M644" s="156">
        <v>0.84</v>
      </c>
      <c r="N644" s="151">
        <v>2150</v>
      </c>
      <c r="O644" s="151">
        <v>1185</v>
      </c>
      <c r="P644" s="95">
        <f t="array" ref="P644">ROUND(IF($F644&lt;='TaxCred&amp;Subs'!$C$49,(IF($C644=2,IF($M644&gt;=IFERROR(INDEX('TaxCred&amp;Subs'!$L$12:$L$47,MATCH(1,($C644&amp;$D644='TaxCred&amp;Subs'!$E$12:$E$47)*($F644='TaxCred&amp;Subs'!$C$12:$C$47),0)
),9999),IFERROR(INDEX('TaxCred&amp;Subs'!$N$12:$N$47,MATCH(1,($C644&amp;$D644='TaxCred&amp;Subs'!$E$12:$E$47)*($F644='TaxCred&amp;Subs'!$C$12:$C$47),0)
),0),0),(IF($M644&gt;=IFERROR(INDEX('TaxCred&amp;Subs'!$H$12:$H$47,MATCH(1,($C644&amp;$D644='TaxCred&amp;Subs'!$D$12:$D$47)*($F644='TaxCred&amp;Subs'!$C$12:$C$47),0)
),9999),IFERROR(INDEX('TaxCred&amp;Subs'!$N$12:$N$47,MATCH(1,($C644&amp;$D644='TaxCred&amp;Subs'!$D$12:$D$47)*($F644='TaxCred&amp;Subs'!$C$12:$C$47),0)
),0),0)))),0)+IF(AND($C644=2,VALUE(RIGHT($AD644,1))&gt;2),(N644-R644)*(IFERROR(INDEX('TaxCred&amp;Subs'!$J$66:$J$99,MATCH(1,($C644&amp;$D644='TaxCred&amp;Subs'!$E$66:$E$99)*($F644='TaxCred&amp;Subs'!$C$66:$C$99),0)),0)),IF(AND($C644=1,VALUE(RIGHT($AD644,1))&gt;2),(N644-R644)*(IFERROR(INDEX('TaxCred&amp;Subs'!$J$66:$J$99,MATCH(1,($C644&amp;$D644='TaxCred&amp;Subs'!$D$66:$D$99)*($F644='TaxCred&amp;Subs'!$C$66:$C$99),0)),0)),IF($C644&gt;2,(N644-R644)*(IFERROR(INDEX('TaxCred&amp;Subs'!$J$66:$J$99,MATCH(1,($C644&amp;$D644='TaxCred&amp;Subs'!$D$66:$D$99)*($F644='TaxCred&amp;Subs'!$C$66:$C$99),0)),0)),0))),0)</f>
        <v>600</v>
      </c>
      <c r="Q644" s="95">
        <f t="array" ref="Q644">ROUND(IF(AND($C644=2,VALUE(RIGHT($AD644,1))&gt;2),(O644-S644)*(IFERROR(INDEX('TaxCred&amp;Subs'!$J$66:$J$99,MATCH(1,($C644&amp;$D644='TaxCred&amp;Subs'!$E$66:$E$99)*($F644='TaxCred&amp;Subs'!$C$66:$C$99),0)),0)),IF(AND($C644=1,VALUE(RIGHT($AD644,1))&gt;2),(O644-S644)*(IFERROR(INDEX('TaxCred&amp;Subs'!$J$66:$J$99,MATCH(1,($C644&amp;$D644='TaxCred&amp;Subs'!$D$66:$D$99)*($F644='TaxCred&amp;Subs'!$C$66:$C$99),0)),0)),IF($C644&gt;2,(O644-S644)*(IFERROR(INDEX('TaxCred&amp;Subs'!$J$66:$J$99,MATCH(1,($C644&amp;$D644='TaxCred&amp;Subs'!$D$66:$D$99)*($F644='TaxCred&amp;Subs'!$C$66:$C$99),0)),0)),0))),0)</f>
        <v>0</v>
      </c>
      <c r="R644" s="95">
        <f t="array" ref="R644">ROUND(IF(IFERROR(VALUE(RIGHT($AD644,1)),0)&gt;2,IF($C644=8,N644*IFERROR(INDEX('TaxCred&amp;Subs'!$K$139:$S$151,MATCH($C644&amp;$D644&amp;LEFT($AD644,7),'TaxCred&amp;Subs'!$E$139:$E$151,0),MATCH($H644,'TaxCred&amp;Subs'!$K$137:$S$137,0)),0),IF($C644=2,N644*IFERROR(INDEX('TaxCred&amp;Subs'!$K$139:$S$151,MATCH($C644&amp;$D644,'TaxCred&amp;Subs'!$D$139:$D$151,0),MATCH($H644,'TaxCred&amp;Subs'!$K$137:$S$137,0)),0),N644*IFERROR(INDEX('TaxCred&amp;Subs'!$K$139:$S$151,MATCH($C644&amp;$D644,'TaxCred&amp;Subs'!$C$139:$C$151,0),MATCH($H644,'TaxCred&amp;Subs'!$K$137:$S$137,0)),0))),0),0)</f>
        <v>0</v>
      </c>
      <c r="S644" s="95">
        <f t="array" ref="S644">ROUND(IF(IFERROR(VALUE(RIGHT($AD644,1)),0)&gt;2,IF($C644=8,O644*IFERROR(INDEX('TaxCred&amp;Subs'!$K$139:$S$151,MATCH($C644&amp;$D644&amp;LEFT($AD644,7),'TaxCred&amp;Subs'!$E$139:$E$151,0),MATCH($H644,'TaxCred&amp;Subs'!$K$137:$S$137,0)),0),IF($C644=2,O644*IFERROR(INDEX('TaxCred&amp;Subs'!$K$139:$S$151,MATCH($C644&amp;$D644,'TaxCred&amp;Subs'!$D$139:$D$151,0),MATCH($H644,'TaxCred&amp;Subs'!$K$137:$S$137,0)),0),O644*IFERROR(INDEX('TaxCred&amp;Subs'!$K$139:$S$151,MATCH($C644&amp;$D644,'TaxCred&amp;Subs'!$C$139:$C$151,0),MATCH($H644,'TaxCred&amp;Subs'!$K$137:$S$137,0)),0))),0),0)</f>
        <v>0</v>
      </c>
      <c r="T644" s="95">
        <f t="shared" si="35"/>
        <v>0</v>
      </c>
      <c r="U644" s="95">
        <f t="shared" si="36"/>
        <v>0</v>
      </c>
      <c r="V644" s="28" t="s">
        <v>222</v>
      </c>
      <c r="W644" s="31">
        <v>2020</v>
      </c>
      <c r="X644" s="28">
        <v>1</v>
      </c>
      <c r="Y644" s="28">
        <v>0</v>
      </c>
      <c r="Z644" s="196">
        <v>-3.3939727104598718E-3</v>
      </c>
      <c r="AA644" s="196">
        <v>-5.2214964776305717E-2</v>
      </c>
      <c r="AB644" s="28">
        <v>0</v>
      </c>
      <c r="AC644" s="28">
        <v>0</v>
      </c>
      <c r="AD644" s="28" t="s">
        <v>342</v>
      </c>
    </row>
    <row r="645" spans="2:31" ht="14.25" customHeight="1" x14ac:dyDescent="0.2">
      <c r="B645" s="7">
        <f t="shared" si="41"/>
        <v>621</v>
      </c>
      <c r="C645" s="28">
        <v>5</v>
      </c>
      <c r="D645" s="28">
        <v>1</v>
      </c>
      <c r="E645" s="31">
        <v>3</v>
      </c>
      <c r="F645" s="78">
        <v>2022</v>
      </c>
      <c r="G645" s="28">
        <v>2032</v>
      </c>
      <c r="H645" s="28">
        <v>8</v>
      </c>
      <c r="I645" s="28">
        <v>0</v>
      </c>
      <c r="J645" s="28">
        <v>0</v>
      </c>
      <c r="K645" s="28">
        <v>0</v>
      </c>
      <c r="L645" s="28">
        <v>0</v>
      </c>
      <c r="M645" s="156">
        <v>0.84</v>
      </c>
      <c r="N645" s="151">
        <v>2150</v>
      </c>
      <c r="O645" s="151">
        <v>1185</v>
      </c>
      <c r="P645" s="95">
        <f t="array" ref="P645">ROUND(IF($F645&lt;='TaxCred&amp;Subs'!$C$49,(IF($C645=2,IF($M645&gt;=IFERROR(INDEX('TaxCred&amp;Subs'!$L$12:$L$47,MATCH(1,($C645&amp;$D645='TaxCred&amp;Subs'!$E$12:$E$47)*($F645='TaxCred&amp;Subs'!$C$12:$C$47),0)
),9999),IFERROR(INDEX('TaxCred&amp;Subs'!$N$12:$N$47,MATCH(1,($C645&amp;$D645='TaxCred&amp;Subs'!$E$12:$E$47)*($F645='TaxCred&amp;Subs'!$C$12:$C$47),0)
),0),0),(IF($M645&gt;=IFERROR(INDEX('TaxCred&amp;Subs'!$H$12:$H$47,MATCH(1,($C645&amp;$D645='TaxCred&amp;Subs'!$D$12:$D$47)*($F645='TaxCred&amp;Subs'!$C$12:$C$47),0)
),9999),IFERROR(INDEX('TaxCred&amp;Subs'!$N$12:$N$47,MATCH(1,($C645&amp;$D645='TaxCred&amp;Subs'!$D$12:$D$47)*($F645='TaxCred&amp;Subs'!$C$12:$C$47),0)
),0),0)))),0)+IF(AND($C645=2,VALUE(RIGHT($AD645,1))&gt;2),(N645-R645)*(IFERROR(INDEX('TaxCred&amp;Subs'!$J$66:$J$99,MATCH(1,($C645&amp;$D645='TaxCred&amp;Subs'!$E$66:$E$99)*($F645='TaxCred&amp;Subs'!$C$66:$C$99),0)),0)),IF(AND($C645=1,VALUE(RIGHT($AD645,1))&gt;2),(N645-R645)*(IFERROR(INDEX('TaxCred&amp;Subs'!$J$66:$J$99,MATCH(1,($C645&amp;$D645='TaxCred&amp;Subs'!$D$66:$D$99)*($F645='TaxCred&amp;Subs'!$C$66:$C$99),0)),0)),IF($C645&gt;2,(N645-R645)*(IFERROR(INDEX('TaxCred&amp;Subs'!$J$66:$J$99,MATCH(1,($C645&amp;$D645='TaxCred&amp;Subs'!$D$66:$D$99)*($F645='TaxCred&amp;Subs'!$C$66:$C$99),0)),0)),0))),0)</f>
        <v>600</v>
      </c>
      <c r="Q645" s="95">
        <f t="array" ref="Q645">ROUND(IF(AND($C645=2,VALUE(RIGHT($AD645,1))&gt;2),(O645-S645)*(IFERROR(INDEX('TaxCred&amp;Subs'!$J$66:$J$99,MATCH(1,($C645&amp;$D645='TaxCred&amp;Subs'!$E$66:$E$99)*($F645='TaxCred&amp;Subs'!$C$66:$C$99),0)),0)),IF(AND($C645=1,VALUE(RIGHT($AD645,1))&gt;2),(O645-S645)*(IFERROR(INDEX('TaxCred&amp;Subs'!$J$66:$J$99,MATCH(1,($C645&amp;$D645='TaxCred&amp;Subs'!$D$66:$D$99)*($F645='TaxCred&amp;Subs'!$C$66:$C$99),0)),0)),IF($C645&gt;2,(O645-S645)*(IFERROR(INDEX('TaxCred&amp;Subs'!$J$66:$J$99,MATCH(1,($C645&amp;$D645='TaxCred&amp;Subs'!$D$66:$D$99)*($F645='TaxCred&amp;Subs'!$C$66:$C$99),0)),0)),0))),0)</f>
        <v>0</v>
      </c>
      <c r="R645" s="95">
        <f t="array" ref="R645">ROUND(IF(IFERROR(VALUE(RIGHT($AD645,1)),0)&gt;2,IF($C645=8,N645*IFERROR(INDEX('TaxCred&amp;Subs'!$K$139:$S$151,MATCH($C645&amp;$D645&amp;LEFT($AD645,7),'TaxCred&amp;Subs'!$E$139:$E$151,0),MATCH($H645,'TaxCred&amp;Subs'!$K$137:$S$137,0)),0),IF($C645=2,N645*IFERROR(INDEX('TaxCred&amp;Subs'!$K$139:$S$151,MATCH($C645&amp;$D645,'TaxCred&amp;Subs'!$D$139:$D$151,0),MATCH($H645,'TaxCred&amp;Subs'!$K$137:$S$137,0)),0),N645*IFERROR(INDEX('TaxCred&amp;Subs'!$K$139:$S$151,MATCH($C645&amp;$D645,'TaxCred&amp;Subs'!$C$139:$C$151,0),MATCH($H645,'TaxCred&amp;Subs'!$K$137:$S$137,0)),0))),0),0)</f>
        <v>34</v>
      </c>
      <c r="S645" s="95">
        <f t="array" ref="S645">ROUND(IF(IFERROR(VALUE(RIGHT($AD645,1)),0)&gt;2,IF($C645=8,O645*IFERROR(INDEX('TaxCred&amp;Subs'!$K$139:$S$151,MATCH($C645&amp;$D645&amp;LEFT($AD645,7),'TaxCred&amp;Subs'!$E$139:$E$151,0),MATCH($H645,'TaxCred&amp;Subs'!$K$137:$S$137,0)),0),IF($C645=2,O645*IFERROR(INDEX('TaxCred&amp;Subs'!$K$139:$S$151,MATCH($C645&amp;$D645,'TaxCred&amp;Subs'!$D$139:$D$151,0),MATCH($H645,'TaxCred&amp;Subs'!$K$137:$S$137,0)),0),O645*IFERROR(INDEX('TaxCred&amp;Subs'!$K$139:$S$151,MATCH($C645&amp;$D645,'TaxCred&amp;Subs'!$C$139:$C$151,0),MATCH($H645,'TaxCred&amp;Subs'!$K$137:$S$137,0)),0))),0),0)</f>
        <v>19</v>
      </c>
      <c r="T645" s="95">
        <f t="shared" si="35"/>
        <v>0</v>
      </c>
      <c r="U645" s="95">
        <f t="shared" si="36"/>
        <v>0</v>
      </c>
      <c r="V645" s="28" t="s">
        <v>222</v>
      </c>
      <c r="W645" s="31">
        <v>2020</v>
      </c>
      <c r="X645" s="28">
        <v>1</v>
      </c>
      <c r="Y645" s="28">
        <v>0</v>
      </c>
      <c r="Z645" s="196">
        <v>-3.3939727104598718E-3</v>
      </c>
      <c r="AA645" s="196">
        <v>-5.2214964776305717E-2</v>
      </c>
      <c r="AB645" s="28">
        <v>0</v>
      </c>
      <c r="AC645" s="28">
        <v>0</v>
      </c>
      <c r="AD645" s="28" t="s">
        <v>342</v>
      </c>
    </row>
    <row r="646" spans="2:31" ht="14.25" customHeight="1" x14ac:dyDescent="0.2">
      <c r="B646" s="7">
        <f t="shared" si="41"/>
        <v>622</v>
      </c>
      <c r="C646" s="28">
        <v>5</v>
      </c>
      <c r="D646" s="28">
        <v>1</v>
      </c>
      <c r="E646" s="31">
        <v>3</v>
      </c>
      <c r="F646" s="78">
        <v>2022</v>
      </c>
      <c r="G646" s="28">
        <v>2032</v>
      </c>
      <c r="H646" s="28">
        <v>9</v>
      </c>
      <c r="I646" s="28">
        <v>0</v>
      </c>
      <c r="J646" s="28">
        <v>0</v>
      </c>
      <c r="K646" s="28">
        <v>0</v>
      </c>
      <c r="L646" s="28">
        <v>0</v>
      </c>
      <c r="M646" s="156">
        <v>0.84</v>
      </c>
      <c r="N646" s="151">
        <v>2150</v>
      </c>
      <c r="O646" s="151">
        <v>1185</v>
      </c>
      <c r="P646" s="95">
        <f t="array" ref="P646">ROUND(IF($F646&lt;='TaxCred&amp;Subs'!$C$49,(IF($C646=2,IF($M646&gt;=IFERROR(INDEX('TaxCred&amp;Subs'!$L$12:$L$47,MATCH(1,($C646&amp;$D646='TaxCred&amp;Subs'!$E$12:$E$47)*($F646='TaxCred&amp;Subs'!$C$12:$C$47),0)
),9999),IFERROR(INDEX('TaxCred&amp;Subs'!$N$12:$N$47,MATCH(1,($C646&amp;$D646='TaxCred&amp;Subs'!$E$12:$E$47)*($F646='TaxCred&amp;Subs'!$C$12:$C$47),0)
),0),0),(IF($M646&gt;=IFERROR(INDEX('TaxCred&amp;Subs'!$H$12:$H$47,MATCH(1,($C646&amp;$D646='TaxCred&amp;Subs'!$D$12:$D$47)*($F646='TaxCred&amp;Subs'!$C$12:$C$47),0)
),9999),IFERROR(INDEX('TaxCred&amp;Subs'!$N$12:$N$47,MATCH(1,($C646&amp;$D646='TaxCred&amp;Subs'!$D$12:$D$47)*($F646='TaxCred&amp;Subs'!$C$12:$C$47),0)
),0),0)))),0)+IF(AND($C646=2,VALUE(RIGHT($AD646,1))&gt;2),(N646-R646)*(IFERROR(INDEX('TaxCred&amp;Subs'!$J$66:$J$99,MATCH(1,($C646&amp;$D646='TaxCred&amp;Subs'!$E$66:$E$99)*($F646='TaxCred&amp;Subs'!$C$66:$C$99),0)),0)),IF(AND($C646=1,VALUE(RIGHT($AD646,1))&gt;2),(N646-R646)*(IFERROR(INDEX('TaxCred&amp;Subs'!$J$66:$J$99,MATCH(1,($C646&amp;$D646='TaxCred&amp;Subs'!$D$66:$D$99)*($F646='TaxCred&amp;Subs'!$C$66:$C$99),0)),0)),IF($C646&gt;2,(N646-R646)*(IFERROR(INDEX('TaxCred&amp;Subs'!$J$66:$J$99,MATCH(1,($C646&amp;$D646='TaxCred&amp;Subs'!$D$66:$D$99)*($F646='TaxCred&amp;Subs'!$C$66:$C$99),0)),0)),0))),0)</f>
        <v>600</v>
      </c>
      <c r="Q646" s="95">
        <f t="array" ref="Q646">ROUND(IF(AND($C646=2,VALUE(RIGHT($AD646,1))&gt;2),(O646-S646)*(IFERROR(INDEX('TaxCred&amp;Subs'!$J$66:$J$99,MATCH(1,($C646&amp;$D646='TaxCred&amp;Subs'!$E$66:$E$99)*($F646='TaxCred&amp;Subs'!$C$66:$C$99),0)),0)),IF(AND($C646=1,VALUE(RIGHT($AD646,1))&gt;2),(O646-S646)*(IFERROR(INDEX('TaxCred&amp;Subs'!$J$66:$J$99,MATCH(1,($C646&amp;$D646='TaxCred&amp;Subs'!$D$66:$D$99)*($F646='TaxCred&amp;Subs'!$C$66:$C$99),0)),0)),IF($C646&gt;2,(O646-S646)*(IFERROR(INDEX('TaxCred&amp;Subs'!$J$66:$J$99,MATCH(1,($C646&amp;$D646='TaxCred&amp;Subs'!$D$66:$D$99)*($F646='TaxCred&amp;Subs'!$C$66:$C$99),0)),0)),0))),0)</f>
        <v>0</v>
      </c>
      <c r="R646" s="95">
        <f t="array" ref="R646">ROUND(IF(IFERROR(VALUE(RIGHT($AD646,1)),0)&gt;2,IF($C646=8,N646*IFERROR(INDEX('TaxCred&amp;Subs'!$K$139:$S$151,MATCH($C646&amp;$D646&amp;LEFT($AD646,7),'TaxCred&amp;Subs'!$E$139:$E$151,0),MATCH($H646,'TaxCred&amp;Subs'!$K$137:$S$137,0)),0),IF($C646=2,N646*IFERROR(INDEX('TaxCred&amp;Subs'!$K$139:$S$151,MATCH($C646&amp;$D646,'TaxCred&amp;Subs'!$D$139:$D$151,0),MATCH($H646,'TaxCred&amp;Subs'!$K$137:$S$137,0)),0),N646*IFERROR(INDEX('TaxCred&amp;Subs'!$K$139:$S$151,MATCH($C646&amp;$D646,'TaxCred&amp;Subs'!$C$139:$C$151,0),MATCH($H646,'TaxCred&amp;Subs'!$K$137:$S$137,0)),0))),0),0)</f>
        <v>96</v>
      </c>
      <c r="S646" s="95">
        <f t="array" ref="S646">ROUND(IF(IFERROR(VALUE(RIGHT($AD646,1)),0)&gt;2,IF($C646=8,O646*IFERROR(INDEX('TaxCred&amp;Subs'!$K$139:$S$151,MATCH($C646&amp;$D646&amp;LEFT($AD646,7),'TaxCred&amp;Subs'!$E$139:$E$151,0),MATCH($H646,'TaxCred&amp;Subs'!$K$137:$S$137,0)),0),IF($C646=2,O646*IFERROR(INDEX('TaxCred&amp;Subs'!$K$139:$S$151,MATCH($C646&amp;$D646,'TaxCred&amp;Subs'!$D$139:$D$151,0),MATCH($H646,'TaxCred&amp;Subs'!$K$137:$S$137,0)),0),O646*IFERROR(INDEX('TaxCred&amp;Subs'!$K$139:$S$151,MATCH($C646&amp;$D646,'TaxCred&amp;Subs'!$C$139:$C$151,0),MATCH($H646,'TaxCred&amp;Subs'!$K$137:$S$137,0)),0))),0),0)</f>
        <v>53</v>
      </c>
      <c r="T646" s="172">
        <f t="shared" si="35"/>
        <v>232.5</v>
      </c>
      <c r="U646" s="172">
        <f t="shared" si="36"/>
        <v>177.75</v>
      </c>
      <c r="V646" s="28" t="s">
        <v>222</v>
      </c>
      <c r="W646" s="31">
        <v>2020</v>
      </c>
      <c r="X646" s="28">
        <v>1</v>
      </c>
      <c r="Y646" s="28">
        <v>0</v>
      </c>
      <c r="Z646" s="196">
        <v>-3.3939727104598718E-3</v>
      </c>
      <c r="AA646" s="196">
        <v>-5.2214964776305717E-2</v>
      </c>
      <c r="AB646" s="28">
        <v>0</v>
      </c>
      <c r="AC646" s="28">
        <v>0</v>
      </c>
      <c r="AD646" s="28" t="s">
        <v>342</v>
      </c>
    </row>
    <row r="647" spans="2:31" ht="14.25" customHeight="1" x14ac:dyDescent="0.2">
      <c r="B647" s="7">
        <f t="shared" si="41"/>
        <v>623</v>
      </c>
      <c r="C647" s="28">
        <v>5</v>
      </c>
      <c r="D647" s="28">
        <v>1</v>
      </c>
      <c r="E647" s="31">
        <v>3</v>
      </c>
      <c r="F647" s="78">
        <v>2033</v>
      </c>
      <c r="G647" s="28">
        <v>2050</v>
      </c>
      <c r="H647" s="28">
        <v>1</v>
      </c>
      <c r="I647" s="28">
        <v>0</v>
      </c>
      <c r="J647" s="28">
        <v>0</v>
      </c>
      <c r="K647" s="28">
        <v>0</v>
      </c>
      <c r="L647" s="28">
        <v>0</v>
      </c>
      <c r="M647" s="156">
        <v>0.84</v>
      </c>
      <c r="N647" s="151">
        <v>2150</v>
      </c>
      <c r="O647" s="151">
        <v>1185</v>
      </c>
      <c r="P647" s="95">
        <f t="array" ref="P647">ROUND(IF($F647&lt;='TaxCred&amp;Subs'!$C$49,(IF($C647=2,IF($M647&gt;=IFERROR(INDEX('TaxCred&amp;Subs'!$L$12:$L$47,MATCH(1,($C647&amp;$D647='TaxCred&amp;Subs'!$E$12:$E$47)*($F647='TaxCred&amp;Subs'!$C$12:$C$47),0)
),9999),IFERROR(INDEX('TaxCred&amp;Subs'!$N$12:$N$47,MATCH(1,($C647&amp;$D647='TaxCred&amp;Subs'!$E$12:$E$47)*($F647='TaxCred&amp;Subs'!$C$12:$C$47),0)
),0),0),(IF($M647&gt;=IFERROR(INDEX('TaxCred&amp;Subs'!$H$12:$H$47,MATCH(1,($C647&amp;$D647='TaxCred&amp;Subs'!$D$12:$D$47)*($F647='TaxCred&amp;Subs'!$C$12:$C$47),0)
),9999),IFERROR(INDEX('TaxCred&amp;Subs'!$N$12:$N$47,MATCH(1,($C647&amp;$D647='TaxCred&amp;Subs'!$D$12:$D$47)*($F647='TaxCred&amp;Subs'!$C$12:$C$47),0)
),0),0)))),0)+IF(AND($C647=2,VALUE(RIGHT($AD647,1))&gt;2),(N647-R647)*(IFERROR(INDEX('TaxCred&amp;Subs'!$J$66:$J$99,MATCH(1,($C647&amp;$D647='TaxCred&amp;Subs'!$E$66:$E$99)*($F647='TaxCred&amp;Subs'!$C$66:$C$99),0)),0)),IF(AND($C647=1,VALUE(RIGHT($AD647,1))&gt;2),(N647-R647)*(IFERROR(INDEX('TaxCred&amp;Subs'!$J$66:$J$99,MATCH(1,($C647&amp;$D647='TaxCred&amp;Subs'!$D$66:$D$99)*($F647='TaxCred&amp;Subs'!$C$66:$C$99),0)),0)),IF($C647&gt;2,(N647-R647)*(IFERROR(INDEX('TaxCred&amp;Subs'!$J$66:$J$99,MATCH(1,($C647&amp;$D647='TaxCred&amp;Subs'!$D$66:$D$99)*($F647='TaxCred&amp;Subs'!$C$66:$C$99),0)),0)),0))),0)</f>
        <v>0</v>
      </c>
      <c r="Q647" s="95">
        <f t="array" ref="Q647">ROUND(IF(AND($C647=2,VALUE(RIGHT($AD647,1))&gt;2),(O647-S647)*(IFERROR(INDEX('TaxCred&amp;Subs'!$J$66:$J$99,MATCH(1,($C647&amp;$D647='TaxCred&amp;Subs'!$E$66:$E$99)*($F647='TaxCred&amp;Subs'!$C$66:$C$99),0)),0)),IF(AND($C647=1,VALUE(RIGHT($AD647,1))&gt;2),(O647-S647)*(IFERROR(INDEX('TaxCred&amp;Subs'!$J$66:$J$99,MATCH(1,($C647&amp;$D647='TaxCred&amp;Subs'!$D$66:$D$99)*($F647='TaxCred&amp;Subs'!$C$66:$C$99),0)),0)),IF($C647&gt;2,(O647-S647)*(IFERROR(INDEX('TaxCred&amp;Subs'!$J$66:$J$99,MATCH(1,($C647&amp;$D647='TaxCred&amp;Subs'!$D$66:$D$99)*($F647='TaxCred&amp;Subs'!$C$66:$C$99),0)),0)),0))),0)</f>
        <v>0</v>
      </c>
      <c r="R647" s="95">
        <f t="array" ref="R647">ROUND(IF(IFERROR(VALUE(RIGHT($AD647,1)),0)&gt;2,IF($C647=8,N647*IFERROR(INDEX('TaxCred&amp;Subs'!$K$139:$S$151,MATCH($C647&amp;$D647&amp;LEFT($AD647,7),'TaxCred&amp;Subs'!$E$139:$E$151,0),MATCH($H647,'TaxCred&amp;Subs'!$K$137:$S$137,0)),0),IF($C647=2,N647*IFERROR(INDEX('TaxCred&amp;Subs'!$K$139:$S$151,MATCH($C647&amp;$D647,'TaxCred&amp;Subs'!$D$139:$D$151,0),MATCH($H647,'TaxCred&amp;Subs'!$K$137:$S$137,0)),0),N647*IFERROR(INDEX('TaxCred&amp;Subs'!$K$139:$S$151,MATCH($C647&amp;$D647,'TaxCred&amp;Subs'!$C$139:$C$151,0),MATCH($H647,'TaxCred&amp;Subs'!$K$137:$S$137,0)),0))),0),0)</f>
        <v>255</v>
      </c>
      <c r="S647" s="95">
        <f t="array" ref="S647">ROUND(IF(IFERROR(VALUE(RIGHT($AD647,1)),0)&gt;2,IF($C647=8,O647*IFERROR(INDEX('TaxCred&amp;Subs'!$K$139:$S$151,MATCH($C647&amp;$D647&amp;LEFT($AD647,7),'TaxCred&amp;Subs'!$E$139:$E$151,0),MATCH($H647,'TaxCred&amp;Subs'!$K$137:$S$137,0)),0),IF($C647=2,O647*IFERROR(INDEX('TaxCred&amp;Subs'!$K$139:$S$151,MATCH($C647&amp;$D647,'TaxCred&amp;Subs'!$D$139:$D$151,0),MATCH($H647,'TaxCred&amp;Subs'!$K$137:$S$137,0)),0),O647*IFERROR(INDEX('TaxCred&amp;Subs'!$K$139:$S$151,MATCH($C647&amp;$D647,'TaxCred&amp;Subs'!$C$139:$C$151,0),MATCH($H647,'TaxCred&amp;Subs'!$K$137:$S$137,0)),0))),0),0)</f>
        <v>140</v>
      </c>
      <c r="T647" s="95">
        <f t="shared" si="35"/>
        <v>0</v>
      </c>
      <c r="U647" s="95">
        <f t="shared" si="36"/>
        <v>0</v>
      </c>
      <c r="V647" s="28" t="s">
        <v>222</v>
      </c>
      <c r="W647" s="31">
        <v>2020</v>
      </c>
      <c r="X647" s="28">
        <v>1</v>
      </c>
      <c r="Y647" s="28">
        <v>0</v>
      </c>
      <c r="Z647" s="196">
        <v>-3.3939727104598718E-3</v>
      </c>
      <c r="AA647" s="196">
        <v>-5.2214964776305717E-2</v>
      </c>
      <c r="AB647" s="28">
        <v>0</v>
      </c>
      <c r="AC647" s="28">
        <v>0</v>
      </c>
      <c r="AD647" s="28" t="s">
        <v>342</v>
      </c>
    </row>
    <row r="648" spans="2:31" ht="14.25" customHeight="1" x14ac:dyDescent="0.2">
      <c r="B648" s="7">
        <f t="shared" si="41"/>
        <v>624</v>
      </c>
      <c r="C648" s="28">
        <v>5</v>
      </c>
      <c r="D648" s="28">
        <v>1</v>
      </c>
      <c r="E648" s="31">
        <v>3</v>
      </c>
      <c r="F648" s="78">
        <v>2033</v>
      </c>
      <c r="G648" s="28">
        <v>2050</v>
      </c>
      <c r="H648" s="28">
        <v>2</v>
      </c>
      <c r="I648" s="28">
        <v>0</v>
      </c>
      <c r="J648" s="28">
        <v>0</v>
      </c>
      <c r="K648" s="28">
        <v>0</v>
      </c>
      <c r="L648" s="28">
        <v>0</v>
      </c>
      <c r="M648" s="156">
        <v>0.84</v>
      </c>
      <c r="N648" s="151">
        <v>2150</v>
      </c>
      <c r="O648" s="151">
        <v>1185</v>
      </c>
      <c r="P648" s="95">
        <f t="array" ref="P648">ROUND(IF($F648&lt;='TaxCred&amp;Subs'!$C$49,(IF($C648=2,IF($M648&gt;=IFERROR(INDEX('TaxCred&amp;Subs'!$L$12:$L$47,MATCH(1,($C648&amp;$D648='TaxCred&amp;Subs'!$E$12:$E$47)*($F648='TaxCred&amp;Subs'!$C$12:$C$47),0)
),9999),IFERROR(INDEX('TaxCred&amp;Subs'!$N$12:$N$47,MATCH(1,($C648&amp;$D648='TaxCred&amp;Subs'!$E$12:$E$47)*($F648='TaxCred&amp;Subs'!$C$12:$C$47),0)
),0),0),(IF($M648&gt;=IFERROR(INDEX('TaxCred&amp;Subs'!$H$12:$H$47,MATCH(1,($C648&amp;$D648='TaxCred&amp;Subs'!$D$12:$D$47)*($F648='TaxCred&amp;Subs'!$C$12:$C$47),0)
),9999),IFERROR(INDEX('TaxCred&amp;Subs'!$N$12:$N$47,MATCH(1,($C648&amp;$D648='TaxCred&amp;Subs'!$D$12:$D$47)*($F648='TaxCred&amp;Subs'!$C$12:$C$47),0)
),0),0)))),0)+IF(AND($C648=2,VALUE(RIGHT($AD648,1))&gt;2),(N648-R648)*(IFERROR(INDEX('TaxCred&amp;Subs'!$J$66:$J$99,MATCH(1,($C648&amp;$D648='TaxCred&amp;Subs'!$E$66:$E$99)*($F648='TaxCred&amp;Subs'!$C$66:$C$99),0)),0)),IF(AND($C648=1,VALUE(RIGHT($AD648,1))&gt;2),(N648-R648)*(IFERROR(INDEX('TaxCred&amp;Subs'!$J$66:$J$99,MATCH(1,($C648&amp;$D648='TaxCred&amp;Subs'!$D$66:$D$99)*($F648='TaxCred&amp;Subs'!$C$66:$C$99),0)),0)),IF($C648&gt;2,(N648-R648)*(IFERROR(INDEX('TaxCred&amp;Subs'!$J$66:$J$99,MATCH(1,($C648&amp;$D648='TaxCred&amp;Subs'!$D$66:$D$99)*($F648='TaxCred&amp;Subs'!$C$66:$C$99),0)),0)),0))),0)</f>
        <v>0</v>
      </c>
      <c r="Q648" s="95">
        <f t="array" ref="Q648">ROUND(IF(AND($C648=2,VALUE(RIGHT($AD648,1))&gt;2),(O648-S648)*(IFERROR(INDEX('TaxCred&amp;Subs'!$J$66:$J$99,MATCH(1,($C648&amp;$D648='TaxCred&amp;Subs'!$E$66:$E$99)*($F648='TaxCred&amp;Subs'!$C$66:$C$99),0)),0)),IF(AND($C648=1,VALUE(RIGHT($AD648,1))&gt;2),(O648-S648)*(IFERROR(INDEX('TaxCred&amp;Subs'!$J$66:$J$99,MATCH(1,($C648&amp;$D648='TaxCred&amp;Subs'!$D$66:$D$99)*($F648='TaxCred&amp;Subs'!$C$66:$C$99),0)),0)),IF($C648&gt;2,(O648-S648)*(IFERROR(INDEX('TaxCred&amp;Subs'!$J$66:$J$99,MATCH(1,($C648&amp;$D648='TaxCred&amp;Subs'!$D$66:$D$99)*($F648='TaxCred&amp;Subs'!$C$66:$C$99),0)),0)),0))),0)</f>
        <v>0</v>
      </c>
      <c r="R648" s="95">
        <f t="array" ref="R648">ROUND(IF(IFERROR(VALUE(RIGHT($AD648,1)),0)&gt;2,IF($C648=8,N648*IFERROR(INDEX('TaxCred&amp;Subs'!$K$139:$S$151,MATCH($C648&amp;$D648&amp;LEFT($AD648,7),'TaxCred&amp;Subs'!$E$139:$E$151,0),MATCH($H648,'TaxCred&amp;Subs'!$K$137:$S$137,0)),0),IF($C648=2,N648*IFERROR(INDEX('TaxCred&amp;Subs'!$K$139:$S$151,MATCH($C648&amp;$D648,'TaxCred&amp;Subs'!$D$139:$D$151,0),MATCH($H648,'TaxCred&amp;Subs'!$K$137:$S$137,0)),0),N648*IFERROR(INDEX('TaxCred&amp;Subs'!$K$139:$S$151,MATCH($C648&amp;$D648,'TaxCred&amp;Subs'!$C$139:$C$151,0),MATCH($H648,'TaxCred&amp;Subs'!$K$137:$S$137,0)),0))),0),0)</f>
        <v>192</v>
      </c>
      <c r="S648" s="95">
        <f t="array" ref="S648">ROUND(IF(IFERROR(VALUE(RIGHT($AD648,1)),0)&gt;2,IF($C648=8,O648*IFERROR(INDEX('TaxCred&amp;Subs'!$K$139:$S$151,MATCH($C648&amp;$D648&amp;LEFT($AD648,7),'TaxCred&amp;Subs'!$E$139:$E$151,0),MATCH($H648,'TaxCred&amp;Subs'!$K$137:$S$137,0)),0),IF($C648=2,O648*IFERROR(INDEX('TaxCred&amp;Subs'!$K$139:$S$151,MATCH($C648&amp;$D648,'TaxCred&amp;Subs'!$D$139:$D$151,0),MATCH($H648,'TaxCred&amp;Subs'!$K$137:$S$137,0)),0),O648*IFERROR(INDEX('TaxCred&amp;Subs'!$K$139:$S$151,MATCH($C648&amp;$D648,'TaxCred&amp;Subs'!$C$139:$C$151,0),MATCH($H648,'TaxCred&amp;Subs'!$K$137:$S$137,0)),0))),0),0)</f>
        <v>106</v>
      </c>
      <c r="T648" s="95">
        <f t="shared" si="35"/>
        <v>0</v>
      </c>
      <c r="U648" s="95">
        <f t="shared" si="36"/>
        <v>0</v>
      </c>
      <c r="V648" s="28" t="s">
        <v>222</v>
      </c>
      <c r="W648" s="31">
        <v>2020</v>
      </c>
      <c r="X648" s="28">
        <v>1</v>
      </c>
      <c r="Y648" s="28">
        <v>0</v>
      </c>
      <c r="Z648" s="196">
        <v>-3.3939727104598718E-3</v>
      </c>
      <c r="AA648" s="196">
        <v>-5.2214964776305717E-2</v>
      </c>
      <c r="AB648" s="28">
        <v>0</v>
      </c>
      <c r="AC648" s="28">
        <v>0</v>
      </c>
      <c r="AD648" s="28" t="s">
        <v>342</v>
      </c>
    </row>
    <row r="649" spans="2:31" ht="14.25" customHeight="1" x14ac:dyDescent="0.2">
      <c r="B649" s="7">
        <f t="shared" si="41"/>
        <v>625</v>
      </c>
      <c r="C649" s="28">
        <v>5</v>
      </c>
      <c r="D649" s="28">
        <v>1</v>
      </c>
      <c r="E649" s="31">
        <v>3</v>
      </c>
      <c r="F649" s="78">
        <v>2033</v>
      </c>
      <c r="G649" s="28">
        <v>2050</v>
      </c>
      <c r="H649" s="28">
        <v>3</v>
      </c>
      <c r="I649" s="28">
        <v>0</v>
      </c>
      <c r="J649" s="28">
        <v>0</v>
      </c>
      <c r="K649" s="28">
        <v>0</v>
      </c>
      <c r="L649" s="28">
        <v>0</v>
      </c>
      <c r="M649" s="156">
        <v>0.84</v>
      </c>
      <c r="N649" s="151">
        <v>2150</v>
      </c>
      <c r="O649" s="151">
        <v>1185</v>
      </c>
      <c r="P649" s="95">
        <f t="array" ref="P649">ROUND(IF($F649&lt;='TaxCred&amp;Subs'!$C$49,(IF($C649=2,IF($M649&gt;=IFERROR(INDEX('TaxCred&amp;Subs'!$L$12:$L$47,MATCH(1,($C649&amp;$D649='TaxCred&amp;Subs'!$E$12:$E$47)*($F649='TaxCred&amp;Subs'!$C$12:$C$47),0)
),9999),IFERROR(INDEX('TaxCred&amp;Subs'!$N$12:$N$47,MATCH(1,($C649&amp;$D649='TaxCred&amp;Subs'!$E$12:$E$47)*($F649='TaxCred&amp;Subs'!$C$12:$C$47),0)
),0),0),(IF($M649&gt;=IFERROR(INDEX('TaxCred&amp;Subs'!$H$12:$H$47,MATCH(1,($C649&amp;$D649='TaxCred&amp;Subs'!$D$12:$D$47)*($F649='TaxCred&amp;Subs'!$C$12:$C$47),0)
),9999),IFERROR(INDEX('TaxCred&amp;Subs'!$N$12:$N$47,MATCH(1,($C649&amp;$D649='TaxCred&amp;Subs'!$D$12:$D$47)*($F649='TaxCred&amp;Subs'!$C$12:$C$47),0)
),0),0)))),0)+IF(AND($C649=2,VALUE(RIGHT($AD649,1))&gt;2),(N649-R649)*(IFERROR(INDEX('TaxCred&amp;Subs'!$J$66:$J$99,MATCH(1,($C649&amp;$D649='TaxCred&amp;Subs'!$E$66:$E$99)*($F649='TaxCred&amp;Subs'!$C$66:$C$99),0)),0)),IF(AND($C649=1,VALUE(RIGHT($AD649,1))&gt;2),(N649-R649)*(IFERROR(INDEX('TaxCred&amp;Subs'!$J$66:$J$99,MATCH(1,($C649&amp;$D649='TaxCred&amp;Subs'!$D$66:$D$99)*($F649='TaxCred&amp;Subs'!$C$66:$C$99),0)),0)),IF($C649&gt;2,(N649-R649)*(IFERROR(INDEX('TaxCred&amp;Subs'!$J$66:$J$99,MATCH(1,($C649&amp;$D649='TaxCred&amp;Subs'!$D$66:$D$99)*($F649='TaxCred&amp;Subs'!$C$66:$C$99),0)),0)),0))),0)</f>
        <v>0</v>
      </c>
      <c r="Q649" s="95">
        <f t="array" ref="Q649">ROUND(IF(AND($C649=2,VALUE(RIGHT($AD649,1))&gt;2),(O649-S649)*(IFERROR(INDEX('TaxCred&amp;Subs'!$J$66:$J$99,MATCH(1,($C649&amp;$D649='TaxCred&amp;Subs'!$E$66:$E$99)*($F649='TaxCred&amp;Subs'!$C$66:$C$99),0)),0)),IF(AND($C649=1,VALUE(RIGHT($AD649,1))&gt;2),(O649-S649)*(IFERROR(INDEX('TaxCred&amp;Subs'!$J$66:$J$99,MATCH(1,($C649&amp;$D649='TaxCred&amp;Subs'!$D$66:$D$99)*($F649='TaxCred&amp;Subs'!$C$66:$C$99),0)),0)),IF($C649&gt;2,(O649-S649)*(IFERROR(INDEX('TaxCred&amp;Subs'!$J$66:$J$99,MATCH(1,($C649&amp;$D649='TaxCred&amp;Subs'!$D$66:$D$99)*($F649='TaxCred&amp;Subs'!$C$66:$C$99),0)),0)),0))),0)</f>
        <v>0</v>
      </c>
      <c r="R649" s="95">
        <f t="array" ref="R649">ROUND(IF(IFERROR(VALUE(RIGHT($AD649,1)),0)&gt;2,IF($C649=8,N649*IFERROR(INDEX('TaxCred&amp;Subs'!$K$139:$S$151,MATCH($C649&amp;$D649&amp;LEFT($AD649,7),'TaxCred&amp;Subs'!$E$139:$E$151,0),MATCH($H649,'TaxCred&amp;Subs'!$K$137:$S$137,0)),0),IF($C649=2,N649*IFERROR(INDEX('TaxCred&amp;Subs'!$K$139:$S$151,MATCH($C649&amp;$D649,'TaxCred&amp;Subs'!$D$139:$D$151,0),MATCH($H649,'TaxCred&amp;Subs'!$K$137:$S$137,0)),0),N649*IFERROR(INDEX('TaxCred&amp;Subs'!$K$139:$S$151,MATCH($C649&amp;$D649,'TaxCred&amp;Subs'!$C$139:$C$151,0),MATCH($H649,'TaxCred&amp;Subs'!$K$137:$S$137,0)),0))),0),0)</f>
        <v>17</v>
      </c>
      <c r="S649" s="95">
        <f t="array" ref="S649">ROUND(IF(IFERROR(VALUE(RIGHT($AD649,1)),0)&gt;2,IF($C649=8,O649*IFERROR(INDEX('TaxCred&amp;Subs'!$K$139:$S$151,MATCH($C649&amp;$D649&amp;LEFT($AD649,7),'TaxCred&amp;Subs'!$E$139:$E$151,0),MATCH($H649,'TaxCred&amp;Subs'!$K$137:$S$137,0)),0),IF($C649=2,O649*IFERROR(INDEX('TaxCred&amp;Subs'!$K$139:$S$151,MATCH($C649&amp;$D649,'TaxCred&amp;Subs'!$D$139:$D$151,0),MATCH($H649,'TaxCred&amp;Subs'!$K$137:$S$137,0)),0),O649*IFERROR(INDEX('TaxCred&amp;Subs'!$K$139:$S$151,MATCH($C649&amp;$D649,'TaxCred&amp;Subs'!$C$139:$C$151,0),MATCH($H649,'TaxCred&amp;Subs'!$K$137:$S$137,0)),0))),0),0)</f>
        <v>10</v>
      </c>
      <c r="T649" s="95">
        <f t="shared" si="35"/>
        <v>0</v>
      </c>
      <c r="U649" s="95">
        <f t="shared" si="36"/>
        <v>0</v>
      </c>
      <c r="V649" s="28" t="s">
        <v>222</v>
      </c>
      <c r="W649" s="31">
        <v>2020</v>
      </c>
      <c r="X649" s="28">
        <v>1</v>
      </c>
      <c r="Y649" s="28">
        <v>0</v>
      </c>
      <c r="Z649" s="196">
        <v>-3.3939727104598718E-3</v>
      </c>
      <c r="AA649" s="196">
        <v>-5.2214964776305717E-2</v>
      </c>
      <c r="AB649" s="28">
        <v>0</v>
      </c>
      <c r="AC649" s="28">
        <v>0</v>
      </c>
      <c r="AD649" s="28" t="s">
        <v>342</v>
      </c>
    </row>
    <row r="650" spans="2:31" ht="14.25" customHeight="1" x14ac:dyDescent="0.2">
      <c r="B650" s="7">
        <f t="shared" si="41"/>
        <v>626</v>
      </c>
      <c r="C650" s="28">
        <v>5</v>
      </c>
      <c r="D650" s="28">
        <v>1</v>
      </c>
      <c r="E650" s="31">
        <v>3</v>
      </c>
      <c r="F650" s="78">
        <v>2033</v>
      </c>
      <c r="G650" s="28">
        <v>2050</v>
      </c>
      <c r="H650" s="28">
        <v>4</v>
      </c>
      <c r="I650" s="28">
        <v>0</v>
      </c>
      <c r="J650" s="28">
        <v>0</v>
      </c>
      <c r="K650" s="28">
        <v>0</v>
      </c>
      <c r="L650" s="28">
        <v>0</v>
      </c>
      <c r="M650" s="156">
        <v>0.84</v>
      </c>
      <c r="N650" s="151">
        <v>2150</v>
      </c>
      <c r="O650" s="151">
        <v>1185</v>
      </c>
      <c r="P650" s="95">
        <f t="array" ref="P650">ROUND(IF($F650&lt;='TaxCred&amp;Subs'!$C$49,(IF($C650=2,IF($M650&gt;=IFERROR(INDEX('TaxCred&amp;Subs'!$L$12:$L$47,MATCH(1,($C650&amp;$D650='TaxCred&amp;Subs'!$E$12:$E$47)*($F650='TaxCred&amp;Subs'!$C$12:$C$47),0)
),9999),IFERROR(INDEX('TaxCred&amp;Subs'!$N$12:$N$47,MATCH(1,($C650&amp;$D650='TaxCred&amp;Subs'!$E$12:$E$47)*($F650='TaxCred&amp;Subs'!$C$12:$C$47),0)
),0),0),(IF($M650&gt;=IFERROR(INDEX('TaxCred&amp;Subs'!$H$12:$H$47,MATCH(1,($C650&amp;$D650='TaxCred&amp;Subs'!$D$12:$D$47)*($F650='TaxCred&amp;Subs'!$C$12:$C$47),0)
),9999),IFERROR(INDEX('TaxCred&amp;Subs'!$N$12:$N$47,MATCH(1,($C650&amp;$D650='TaxCred&amp;Subs'!$D$12:$D$47)*($F650='TaxCred&amp;Subs'!$C$12:$C$47),0)
),0),0)))),0)+IF(AND($C650=2,VALUE(RIGHT($AD650,1))&gt;2),(N650-R650)*(IFERROR(INDEX('TaxCred&amp;Subs'!$J$66:$J$99,MATCH(1,($C650&amp;$D650='TaxCred&amp;Subs'!$E$66:$E$99)*($F650='TaxCred&amp;Subs'!$C$66:$C$99),0)),0)),IF(AND($C650=1,VALUE(RIGHT($AD650,1))&gt;2),(N650-R650)*(IFERROR(INDEX('TaxCred&amp;Subs'!$J$66:$J$99,MATCH(1,($C650&amp;$D650='TaxCred&amp;Subs'!$D$66:$D$99)*($F650='TaxCred&amp;Subs'!$C$66:$C$99),0)),0)),IF($C650&gt;2,(N650-R650)*(IFERROR(INDEX('TaxCred&amp;Subs'!$J$66:$J$99,MATCH(1,($C650&amp;$D650='TaxCred&amp;Subs'!$D$66:$D$99)*($F650='TaxCred&amp;Subs'!$C$66:$C$99),0)),0)),0))),0)</f>
        <v>0</v>
      </c>
      <c r="Q650" s="95">
        <f t="array" ref="Q650">ROUND(IF(AND($C650=2,VALUE(RIGHT($AD650,1))&gt;2),(O650-S650)*(IFERROR(INDEX('TaxCred&amp;Subs'!$J$66:$J$99,MATCH(1,($C650&amp;$D650='TaxCred&amp;Subs'!$E$66:$E$99)*($F650='TaxCred&amp;Subs'!$C$66:$C$99),0)),0)),IF(AND($C650=1,VALUE(RIGHT($AD650,1))&gt;2),(O650-S650)*(IFERROR(INDEX('TaxCred&amp;Subs'!$J$66:$J$99,MATCH(1,($C650&amp;$D650='TaxCred&amp;Subs'!$D$66:$D$99)*($F650='TaxCred&amp;Subs'!$C$66:$C$99),0)),0)),IF($C650&gt;2,(O650-S650)*(IFERROR(INDEX('TaxCred&amp;Subs'!$J$66:$J$99,MATCH(1,($C650&amp;$D650='TaxCred&amp;Subs'!$D$66:$D$99)*($F650='TaxCred&amp;Subs'!$C$66:$C$99),0)),0)),0))),0)</f>
        <v>0</v>
      </c>
      <c r="R650" s="95">
        <f t="array" ref="R650">ROUND(IF(IFERROR(VALUE(RIGHT($AD650,1)),0)&gt;2,IF($C650=8,N650*IFERROR(INDEX('TaxCred&amp;Subs'!$K$139:$S$151,MATCH($C650&amp;$D650&amp;LEFT($AD650,7),'TaxCred&amp;Subs'!$E$139:$E$151,0),MATCH($H650,'TaxCred&amp;Subs'!$K$137:$S$137,0)),0),IF($C650=2,N650*IFERROR(INDEX('TaxCred&amp;Subs'!$K$139:$S$151,MATCH($C650&amp;$D650,'TaxCred&amp;Subs'!$D$139:$D$151,0),MATCH($H650,'TaxCred&amp;Subs'!$K$137:$S$137,0)),0),N650*IFERROR(INDEX('TaxCred&amp;Subs'!$K$139:$S$151,MATCH($C650&amp;$D650,'TaxCred&amp;Subs'!$C$139:$C$151,0),MATCH($H650,'TaxCred&amp;Subs'!$K$137:$S$137,0)),0))),0),0)</f>
        <v>70</v>
      </c>
      <c r="S650" s="95">
        <f t="array" ref="S650">ROUND(IF(IFERROR(VALUE(RIGHT($AD650,1)),0)&gt;2,IF($C650=8,O650*IFERROR(INDEX('TaxCred&amp;Subs'!$K$139:$S$151,MATCH($C650&amp;$D650&amp;LEFT($AD650,7),'TaxCred&amp;Subs'!$E$139:$E$151,0),MATCH($H650,'TaxCred&amp;Subs'!$K$137:$S$137,0)),0),IF($C650=2,O650*IFERROR(INDEX('TaxCred&amp;Subs'!$K$139:$S$151,MATCH($C650&amp;$D650,'TaxCred&amp;Subs'!$D$139:$D$151,0),MATCH($H650,'TaxCred&amp;Subs'!$K$137:$S$137,0)),0),O650*IFERROR(INDEX('TaxCred&amp;Subs'!$K$139:$S$151,MATCH($C650&amp;$D650,'TaxCred&amp;Subs'!$C$139:$C$151,0),MATCH($H650,'TaxCred&amp;Subs'!$K$137:$S$137,0)),0))),0),0)</f>
        <v>39</v>
      </c>
      <c r="T650" s="95">
        <f t="shared" si="35"/>
        <v>0</v>
      </c>
      <c r="U650" s="95">
        <f t="shared" si="36"/>
        <v>0</v>
      </c>
      <c r="V650" s="28" t="s">
        <v>222</v>
      </c>
      <c r="W650" s="31">
        <v>2020</v>
      </c>
      <c r="X650" s="28">
        <v>1</v>
      </c>
      <c r="Y650" s="28">
        <v>0</v>
      </c>
      <c r="Z650" s="196">
        <v>-3.3939727104598718E-3</v>
      </c>
      <c r="AA650" s="196">
        <v>-5.2214964776305717E-2</v>
      </c>
      <c r="AB650" s="28">
        <v>0</v>
      </c>
      <c r="AC650" s="28">
        <v>0</v>
      </c>
      <c r="AD650" s="28" t="s">
        <v>342</v>
      </c>
    </row>
    <row r="651" spans="2:31" ht="14.25" customHeight="1" x14ac:dyDescent="0.2">
      <c r="B651" s="7">
        <f t="shared" si="41"/>
        <v>627</v>
      </c>
      <c r="C651" s="28">
        <v>5</v>
      </c>
      <c r="D651" s="28">
        <v>1</v>
      </c>
      <c r="E651" s="31">
        <v>3</v>
      </c>
      <c r="F651" s="78">
        <v>2033</v>
      </c>
      <c r="G651" s="28">
        <v>2050</v>
      </c>
      <c r="H651" s="28">
        <v>5</v>
      </c>
      <c r="I651" s="28">
        <v>0</v>
      </c>
      <c r="J651" s="28">
        <v>0</v>
      </c>
      <c r="K651" s="28">
        <v>0</v>
      </c>
      <c r="L651" s="28">
        <v>0</v>
      </c>
      <c r="M651" s="156">
        <v>0.84</v>
      </c>
      <c r="N651" s="151">
        <v>2150</v>
      </c>
      <c r="O651" s="151">
        <v>1185</v>
      </c>
      <c r="P651" s="95">
        <f t="array" ref="P651">ROUND(IF($F651&lt;='TaxCred&amp;Subs'!$C$49,(IF($C651=2,IF($M651&gt;=IFERROR(INDEX('TaxCred&amp;Subs'!$L$12:$L$47,MATCH(1,($C651&amp;$D651='TaxCred&amp;Subs'!$E$12:$E$47)*($F651='TaxCred&amp;Subs'!$C$12:$C$47),0)
),9999),IFERROR(INDEX('TaxCred&amp;Subs'!$N$12:$N$47,MATCH(1,($C651&amp;$D651='TaxCred&amp;Subs'!$E$12:$E$47)*($F651='TaxCred&amp;Subs'!$C$12:$C$47),0)
),0),0),(IF($M651&gt;=IFERROR(INDEX('TaxCred&amp;Subs'!$H$12:$H$47,MATCH(1,($C651&amp;$D651='TaxCred&amp;Subs'!$D$12:$D$47)*($F651='TaxCred&amp;Subs'!$C$12:$C$47),0)
),9999),IFERROR(INDEX('TaxCred&amp;Subs'!$N$12:$N$47,MATCH(1,($C651&amp;$D651='TaxCred&amp;Subs'!$D$12:$D$47)*($F651='TaxCred&amp;Subs'!$C$12:$C$47),0)
),0),0)))),0)+IF(AND($C651=2,VALUE(RIGHT($AD651,1))&gt;2),(N651-R651)*(IFERROR(INDEX('TaxCred&amp;Subs'!$J$66:$J$99,MATCH(1,($C651&amp;$D651='TaxCred&amp;Subs'!$E$66:$E$99)*($F651='TaxCred&amp;Subs'!$C$66:$C$99),0)),0)),IF(AND($C651=1,VALUE(RIGHT($AD651,1))&gt;2),(N651-R651)*(IFERROR(INDEX('TaxCred&amp;Subs'!$J$66:$J$99,MATCH(1,($C651&amp;$D651='TaxCred&amp;Subs'!$D$66:$D$99)*($F651='TaxCred&amp;Subs'!$C$66:$C$99),0)),0)),IF($C651&gt;2,(N651-R651)*(IFERROR(INDEX('TaxCred&amp;Subs'!$J$66:$J$99,MATCH(1,($C651&amp;$D651='TaxCred&amp;Subs'!$D$66:$D$99)*($F651='TaxCred&amp;Subs'!$C$66:$C$99),0)),0)),0))),0)</f>
        <v>0</v>
      </c>
      <c r="Q651" s="95">
        <f t="array" ref="Q651">ROUND(IF(AND($C651=2,VALUE(RIGHT($AD651,1))&gt;2),(O651-S651)*(IFERROR(INDEX('TaxCred&amp;Subs'!$J$66:$J$99,MATCH(1,($C651&amp;$D651='TaxCred&amp;Subs'!$E$66:$E$99)*($F651='TaxCred&amp;Subs'!$C$66:$C$99),0)),0)),IF(AND($C651=1,VALUE(RIGHT($AD651,1))&gt;2),(O651-S651)*(IFERROR(INDEX('TaxCred&amp;Subs'!$J$66:$J$99,MATCH(1,($C651&amp;$D651='TaxCred&amp;Subs'!$D$66:$D$99)*($F651='TaxCred&amp;Subs'!$C$66:$C$99),0)),0)),IF($C651&gt;2,(O651-S651)*(IFERROR(INDEX('TaxCred&amp;Subs'!$J$66:$J$99,MATCH(1,($C651&amp;$D651='TaxCred&amp;Subs'!$D$66:$D$99)*($F651='TaxCred&amp;Subs'!$C$66:$C$99),0)),0)),0))),0)</f>
        <v>0</v>
      </c>
      <c r="R651" s="95">
        <f t="array" ref="R651">ROUND(IF(IFERROR(VALUE(RIGHT($AD651,1)),0)&gt;2,IF($C651=8,N651*IFERROR(INDEX('TaxCred&amp;Subs'!$K$139:$S$151,MATCH($C651&amp;$D651&amp;LEFT($AD651,7),'TaxCred&amp;Subs'!$E$139:$E$151,0),MATCH($H651,'TaxCred&amp;Subs'!$K$137:$S$137,0)),0),IF($C651=2,N651*IFERROR(INDEX('TaxCred&amp;Subs'!$K$139:$S$151,MATCH($C651&amp;$D651,'TaxCred&amp;Subs'!$D$139:$D$151,0),MATCH($H651,'TaxCred&amp;Subs'!$K$137:$S$137,0)),0),N651*IFERROR(INDEX('TaxCred&amp;Subs'!$K$139:$S$151,MATCH($C651&amp;$D651,'TaxCred&amp;Subs'!$C$139:$C$151,0),MATCH($H651,'TaxCred&amp;Subs'!$K$137:$S$137,0)),0))),0),0)</f>
        <v>7</v>
      </c>
      <c r="S651" s="95">
        <f t="array" ref="S651">ROUND(IF(IFERROR(VALUE(RIGHT($AD651,1)),0)&gt;2,IF($C651=8,O651*IFERROR(INDEX('TaxCred&amp;Subs'!$K$139:$S$151,MATCH($C651&amp;$D651&amp;LEFT($AD651,7),'TaxCred&amp;Subs'!$E$139:$E$151,0),MATCH($H651,'TaxCred&amp;Subs'!$K$137:$S$137,0)),0),IF($C651=2,O651*IFERROR(INDEX('TaxCred&amp;Subs'!$K$139:$S$151,MATCH($C651&amp;$D651,'TaxCred&amp;Subs'!$D$139:$D$151,0),MATCH($H651,'TaxCred&amp;Subs'!$K$137:$S$137,0)),0),O651*IFERROR(INDEX('TaxCred&amp;Subs'!$K$139:$S$151,MATCH($C651&amp;$D651,'TaxCred&amp;Subs'!$C$139:$C$151,0),MATCH($H651,'TaxCred&amp;Subs'!$K$137:$S$137,0)),0))),0),0)</f>
        <v>4</v>
      </c>
      <c r="T651" s="95">
        <f t="shared" si="35"/>
        <v>0</v>
      </c>
      <c r="U651" s="95">
        <f t="shared" si="36"/>
        <v>0</v>
      </c>
      <c r="V651" s="28" t="s">
        <v>222</v>
      </c>
      <c r="W651" s="31">
        <v>2020</v>
      </c>
      <c r="X651" s="28">
        <v>1</v>
      </c>
      <c r="Y651" s="28">
        <v>0</v>
      </c>
      <c r="Z651" s="196">
        <v>-3.3939727104598718E-3</v>
      </c>
      <c r="AA651" s="196">
        <v>-5.2214964776305717E-2</v>
      </c>
      <c r="AB651" s="28">
        <v>0</v>
      </c>
      <c r="AC651" s="28">
        <v>0</v>
      </c>
      <c r="AD651" s="28" t="s">
        <v>342</v>
      </c>
    </row>
    <row r="652" spans="2:31" ht="14.25" customHeight="1" x14ac:dyDescent="0.2">
      <c r="B652" s="7">
        <f t="shared" si="41"/>
        <v>628</v>
      </c>
      <c r="C652" s="28">
        <v>5</v>
      </c>
      <c r="D652" s="28">
        <v>1</v>
      </c>
      <c r="E652" s="31">
        <v>3</v>
      </c>
      <c r="F652" s="78">
        <v>2033</v>
      </c>
      <c r="G652" s="28">
        <v>2050</v>
      </c>
      <c r="H652" s="28">
        <v>6</v>
      </c>
      <c r="I652" s="28">
        <v>0</v>
      </c>
      <c r="J652" s="28">
        <v>0</v>
      </c>
      <c r="K652" s="28">
        <v>0</v>
      </c>
      <c r="L652" s="28">
        <v>0</v>
      </c>
      <c r="M652" s="156">
        <v>0.84</v>
      </c>
      <c r="N652" s="151">
        <v>2150</v>
      </c>
      <c r="O652" s="151">
        <v>1185</v>
      </c>
      <c r="P652" s="95">
        <f t="array" ref="P652">ROUND(IF($F652&lt;='TaxCred&amp;Subs'!$C$49,(IF($C652=2,IF($M652&gt;=IFERROR(INDEX('TaxCred&amp;Subs'!$L$12:$L$47,MATCH(1,($C652&amp;$D652='TaxCred&amp;Subs'!$E$12:$E$47)*($F652='TaxCred&amp;Subs'!$C$12:$C$47),0)
),9999),IFERROR(INDEX('TaxCred&amp;Subs'!$N$12:$N$47,MATCH(1,($C652&amp;$D652='TaxCred&amp;Subs'!$E$12:$E$47)*($F652='TaxCred&amp;Subs'!$C$12:$C$47),0)
),0),0),(IF($M652&gt;=IFERROR(INDEX('TaxCred&amp;Subs'!$H$12:$H$47,MATCH(1,($C652&amp;$D652='TaxCred&amp;Subs'!$D$12:$D$47)*($F652='TaxCred&amp;Subs'!$C$12:$C$47),0)
),9999),IFERROR(INDEX('TaxCred&amp;Subs'!$N$12:$N$47,MATCH(1,($C652&amp;$D652='TaxCred&amp;Subs'!$D$12:$D$47)*($F652='TaxCred&amp;Subs'!$C$12:$C$47),0)
),0),0)))),0)+IF(AND($C652=2,VALUE(RIGHT($AD652,1))&gt;2),(N652-R652)*(IFERROR(INDEX('TaxCred&amp;Subs'!$J$66:$J$99,MATCH(1,($C652&amp;$D652='TaxCred&amp;Subs'!$E$66:$E$99)*($F652='TaxCred&amp;Subs'!$C$66:$C$99),0)),0)),IF(AND($C652=1,VALUE(RIGHT($AD652,1))&gt;2),(N652-R652)*(IFERROR(INDEX('TaxCred&amp;Subs'!$J$66:$J$99,MATCH(1,($C652&amp;$D652='TaxCred&amp;Subs'!$D$66:$D$99)*($F652='TaxCred&amp;Subs'!$C$66:$C$99),0)),0)),IF($C652&gt;2,(N652-R652)*(IFERROR(INDEX('TaxCred&amp;Subs'!$J$66:$J$99,MATCH(1,($C652&amp;$D652='TaxCred&amp;Subs'!$D$66:$D$99)*($F652='TaxCred&amp;Subs'!$C$66:$C$99),0)),0)),0))),0)</f>
        <v>0</v>
      </c>
      <c r="Q652" s="95">
        <f t="array" ref="Q652">ROUND(IF(AND($C652=2,VALUE(RIGHT($AD652,1))&gt;2),(O652-S652)*(IFERROR(INDEX('TaxCred&amp;Subs'!$J$66:$J$99,MATCH(1,($C652&amp;$D652='TaxCred&amp;Subs'!$E$66:$E$99)*($F652='TaxCred&amp;Subs'!$C$66:$C$99),0)),0)),IF(AND($C652=1,VALUE(RIGHT($AD652,1))&gt;2),(O652-S652)*(IFERROR(INDEX('TaxCred&amp;Subs'!$J$66:$J$99,MATCH(1,($C652&amp;$D652='TaxCred&amp;Subs'!$D$66:$D$99)*($F652='TaxCred&amp;Subs'!$C$66:$C$99),0)),0)),IF($C652&gt;2,(O652-S652)*(IFERROR(INDEX('TaxCred&amp;Subs'!$J$66:$J$99,MATCH(1,($C652&amp;$D652='TaxCred&amp;Subs'!$D$66:$D$99)*($F652='TaxCred&amp;Subs'!$C$66:$C$99),0)),0)),0))),0)</f>
        <v>0</v>
      </c>
      <c r="R652" s="95">
        <f t="array" ref="R652">ROUND(IF(IFERROR(VALUE(RIGHT($AD652,1)),0)&gt;2,IF($C652=8,N652*IFERROR(INDEX('TaxCred&amp;Subs'!$K$139:$S$151,MATCH($C652&amp;$D652&amp;LEFT($AD652,7),'TaxCred&amp;Subs'!$E$139:$E$151,0),MATCH($H652,'TaxCred&amp;Subs'!$K$137:$S$137,0)),0),IF($C652=2,N652*IFERROR(INDEX('TaxCred&amp;Subs'!$K$139:$S$151,MATCH($C652&amp;$D652,'TaxCred&amp;Subs'!$D$139:$D$151,0),MATCH($H652,'TaxCred&amp;Subs'!$K$137:$S$137,0)),0),N652*IFERROR(INDEX('TaxCred&amp;Subs'!$K$139:$S$151,MATCH($C652&amp;$D652,'TaxCred&amp;Subs'!$C$139:$C$151,0),MATCH($H652,'TaxCred&amp;Subs'!$K$137:$S$137,0)),0))),0),0)</f>
        <v>11</v>
      </c>
      <c r="S652" s="95">
        <f t="array" ref="S652">ROUND(IF(IFERROR(VALUE(RIGHT($AD652,1)),0)&gt;2,IF($C652=8,O652*IFERROR(INDEX('TaxCred&amp;Subs'!$K$139:$S$151,MATCH($C652&amp;$D652&amp;LEFT($AD652,7),'TaxCred&amp;Subs'!$E$139:$E$151,0),MATCH($H652,'TaxCred&amp;Subs'!$K$137:$S$137,0)),0),IF($C652=2,O652*IFERROR(INDEX('TaxCred&amp;Subs'!$K$139:$S$151,MATCH($C652&amp;$D652,'TaxCred&amp;Subs'!$D$139:$D$151,0),MATCH($H652,'TaxCred&amp;Subs'!$K$137:$S$137,0)),0),O652*IFERROR(INDEX('TaxCred&amp;Subs'!$K$139:$S$151,MATCH($C652&amp;$D652,'TaxCred&amp;Subs'!$C$139:$C$151,0),MATCH($H652,'TaxCred&amp;Subs'!$K$137:$S$137,0)),0))),0),0)</f>
        <v>6</v>
      </c>
      <c r="T652" s="95">
        <f t="shared" si="35"/>
        <v>0</v>
      </c>
      <c r="U652" s="95">
        <f t="shared" si="36"/>
        <v>0</v>
      </c>
      <c r="V652" s="28" t="s">
        <v>222</v>
      </c>
      <c r="W652" s="31">
        <v>2020</v>
      </c>
      <c r="X652" s="28">
        <v>1</v>
      </c>
      <c r="Y652" s="28">
        <v>0</v>
      </c>
      <c r="Z652" s="196">
        <v>-3.3939727104598718E-3</v>
      </c>
      <c r="AA652" s="196">
        <v>-5.2214964776305717E-2</v>
      </c>
      <c r="AB652" s="28">
        <v>0</v>
      </c>
      <c r="AC652" s="28">
        <v>0</v>
      </c>
      <c r="AD652" s="28" t="s">
        <v>342</v>
      </c>
    </row>
    <row r="653" spans="2:31" ht="14.25" customHeight="1" x14ac:dyDescent="0.2">
      <c r="B653" s="7">
        <f t="shared" si="41"/>
        <v>629</v>
      </c>
      <c r="C653" s="28">
        <v>5</v>
      </c>
      <c r="D653" s="28">
        <v>1</v>
      </c>
      <c r="E653" s="31">
        <v>3</v>
      </c>
      <c r="F653" s="78">
        <v>2033</v>
      </c>
      <c r="G653" s="28">
        <v>2050</v>
      </c>
      <c r="H653" s="28">
        <v>7</v>
      </c>
      <c r="I653" s="28">
        <v>0</v>
      </c>
      <c r="J653" s="28">
        <v>0</v>
      </c>
      <c r="K653" s="28">
        <v>0</v>
      </c>
      <c r="L653" s="28">
        <v>0</v>
      </c>
      <c r="M653" s="156">
        <v>0.84</v>
      </c>
      <c r="N653" s="151">
        <v>2150</v>
      </c>
      <c r="O653" s="151">
        <v>1185</v>
      </c>
      <c r="P653" s="95">
        <f t="array" ref="P653">ROUND(IF($F653&lt;='TaxCred&amp;Subs'!$C$49,(IF($C653=2,IF($M653&gt;=IFERROR(INDEX('TaxCred&amp;Subs'!$L$12:$L$47,MATCH(1,($C653&amp;$D653='TaxCred&amp;Subs'!$E$12:$E$47)*($F653='TaxCred&amp;Subs'!$C$12:$C$47),0)
),9999),IFERROR(INDEX('TaxCred&amp;Subs'!$N$12:$N$47,MATCH(1,($C653&amp;$D653='TaxCred&amp;Subs'!$E$12:$E$47)*($F653='TaxCred&amp;Subs'!$C$12:$C$47),0)
),0),0),(IF($M653&gt;=IFERROR(INDEX('TaxCred&amp;Subs'!$H$12:$H$47,MATCH(1,($C653&amp;$D653='TaxCred&amp;Subs'!$D$12:$D$47)*($F653='TaxCred&amp;Subs'!$C$12:$C$47),0)
),9999),IFERROR(INDEX('TaxCred&amp;Subs'!$N$12:$N$47,MATCH(1,($C653&amp;$D653='TaxCred&amp;Subs'!$D$12:$D$47)*($F653='TaxCred&amp;Subs'!$C$12:$C$47),0)
),0),0)))),0)+IF(AND($C653=2,VALUE(RIGHT($AD653,1))&gt;2),(N653-R653)*(IFERROR(INDEX('TaxCred&amp;Subs'!$J$66:$J$99,MATCH(1,($C653&amp;$D653='TaxCred&amp;Subs'!$E$66:$E$99)*($F653='TaxCred&amp;Subs'!$C$66:$C$99),0)),0)),IF(AND($C653=1,VALUE(RIGHT($AD653,1))&gt;2),(N653-R653)*(IFERROR(INDEX('TaxCred&amp;Subs'!$J$66:$J$99,MATCH(1,($C653&amp;$D653='TaxCred&amp;Subs'!$D$66:$D$99)*($F653='TaxCred&amp;Subs'!$C$66:$C$99),0)),0)),IF($C653&gt;2,(N653-R653)*(IFERROR(INDEX('TaxCred&amp;Subs'!$J$66:$J$99,MATCH(1,($C653&amp;$D653='TaxCred&amp;Subs'!$D$66:$D$99)*($F653='TaxCred&amp;Subs'!$C$66:$C$99),0)),0)),0))),0)</f>
        <v>0</v>
      </c>
      <c r="Q653" s="95">
        <f t="array" ref="Q653">ROUND(IF(AND($C653=2,VALUE(RIGHT($AD653,1))&gt;2),(O653-S653)*(IFERROR(INDEX('TaxCred&amp;Subs'!$J$66:$J$99,MATCH(1,($C653&amp;$D653='TaxCred&amp;Subs'!$E$66:$E$99)*($F653='TaxCred&amp;Subs'!$C$66:$C$99),0)),0)),IF(AND($C653=1,VALUE(RIGHT($AD653,1))&gt;2),(O653-S653)*(IFERROR(INDEX('TaxCred&amp;Subs'!$J$66:$J$99,MATCH(1,($C653&amp;$D653='TaxCred&amp;Subs'!$D$66:$D$99)*($F653='TaxCred&amp;Subs'!$C$66:$C$99),0)),0)),IF($C653&gt;2,(O653-S653)*(IFERROR(INDEX('TaxCred&amp;Subs'!$J$66:$J$99,MATCH(1,($C653&amp;$D653='TaxCred&amp;Subs'!$D$66:$D$99)*($F653='TaxCred&amp;Subs'!$C$66:$C$99),0)),0)),0))),0)</f>
        <v>0</v>
      </c>
      <c r="R653" s="95">
        <f t="array" ref="R653">ROUND(IF(IFERROR(VALUE(RIGHT($AD653,1)),0)&gt;2,IF($C653=8,N653*IFERROR(INDEX('TaxCred&amp;Subs'!$K$139:$S$151,MATCH($C653&amp;$D653&amp;LEFT($AD653,7),'TaxCred&amp;Subs'!$E$139:$E$151,0),MATCH($H653,'TaxCred&amp;Subs'!$K$137:$S$137,0)),0),IF($C653=2,N653*IFERROR(INDEX('TaxCred&amp;Subs'!$K$139:$S$151,MATCH($C653&amp;$D653,'TaxCred&amp;Subs'!$D$139:$D$151,0),MATCH($H653,'TaxCred&amp;Subs'!$K$137:$S$137,0)),0),N653*IFERROR(INDEX('TaxCred&amp;Subs'!$K$139:$S$151,MATCH($C653&amp;$D653,'TaxCred&amp;Subs'!$C$139:$C$151,0),MATCH($H653,'TaxCred&amp;Subs'!$K$137:$S$137,0)),0))),0),0)</f>
        <v>0</v>
      </c>
      <c r="S653" s="95">
        <f t="array" ref="S653">ROUND(IF(IFERROR(VALUE(RIGHT($AD653,1)),0)&gt;2,IF($C653=8,O653*IFERROR(INDEX('TaxCred&amp;Subs'!$K$139:$S$151,MATCH($C653&amp;$D653&amp;LEFT($AD653,7),'TaxCred&amp;Subs'!$E$139:$E$151,0),MATCH($H653,'TaxCred&amp;Subs'!$K$137:$S$137,0)),0),IF($C653=2,O653*IFERROR(INDEX('TaxCred&amp;Subs'!$K$139:$S$151,MATCH($C653&amp;$D653,'TaxCred&amp;Subs'!$D$139:$D$151,0),MATCH($H653,'TaxCred&amp;Subs'!$K$137:$S$137,0)),0),O653*IFERROR(INDEX('TaxCred&amp;Subs'!$K$139:$S$151,MATCH($C653&amp;$D653,'TaxCred&amp;Subs'!$C$139:$C$151,0),MATCH($H653,'TaxCred&amp;Subs'!$K$137:$S$137,0)),0))),0),0)</f>
        <v>0</v>
      </c>
      <c r="T653" s="95">
        <f t="shared" si="35"/>
        <v>0</v>
      </c>
      <c r="U653" s="95">
        <f t="shared" si="36"/>
        <v>0</v>
      </c>
      <c r="V653" s="28" t="s">
        <v>222</v>
      </c>
      <c r="W653" s="31">
        <v>2020</v>
      </c>
      <c r="X653" s="28">
        <v>1</v>
      </c>
      <c r="Y653" s="28">
        <v>0</v>
      </c>
      <c r="Z653" s="196">
        <v>-3.3939727104598718E-3</v>
      </c>
      <c r="AA653" s="196">
        <v>-5.2214964776305717E-2</v>
      </c>
      <c r="AB653" s="28">
        <v>0</v>
      </c>
      <c r="AC653" s="28">
        <v>0</v>
      </c>
      <c r="AD653" s="28" t="s">
        <v>342</v>
      </c>
    </row>
    <row r="654" spans="2:31" ht="14.25" customHeight="1" x14ac:dyDescent="0.2">
      <c r="B654" s="7">
        <f t="shared" si="41"/>
        <v>630</v>
      </c>
      <c r="C654" s="28">
        <v>5</v>
      </c>
      <c r="D654" s="28">
        <v>1</v>
      </c>
      <c r="E654" s="31">
        <v>3</v>
      </c>
      <c r="F654" s="78">
        <v>2033</v>
      </c>
      <c r="G654" s="28">
        <v>2050</v>
      </c>
      <c r="H654" s="28">
        <v>8</v>
      </c>
      <c r="I654" s="28">
        <v>0</v>
      </c>
      <c r="J654" s="28">
        <v>0</v>
      </c>
      <c r="K654" s="28">
        <v>0</v>
      </c>
      <c r="L654" s="28">
        <v>0</v>
      </c>
      <c r="M654" s="156">
        <v>0.84</v>
      </c>
      <c r="N654" s="151">
        <v>2150</v>
      </c>
      <c r="O654" s="151">
        <v>1185</v>
      </c>
      <c r="P654" s="95">
        <f t="array" ref="P654">ROUND(IF($F654&lt;='TaxCred&amp;Subs'!$C$49,(IF($C654=2,IF($M654&gt;=IFERROR(INDEX('TaxCred&amp;Subs'!$L$12:$L$47,MATCH(1,($C654&amp;$D654='TaxCred&amp;Subs'!$E$12:$E$47)*($F654='TaxCred&amp;Subs'!$C$12:$C$47),0)
),9999),IFERROR(INDEX('TaxCred&amp;Subs'!$N$12:$N$47,MATCH(1,($C654&amp;$D654='TaxCred&amp;Subs'!$E$12:$E$47)*($F654='TaxCred&amp;Subs'!$C$12:$C$47),0)
),0),0),(IF($M654&gt;=IFERROR(INDEX('TaxCred&amp;Subs'!$H$12:$H$47,MATCH(1,($C654&amp;$D654='TaxCred&amp;Subs'!$D$12:$D$47)*($F654='TaxCred&amp;Subs'!$C$12:$C$47),0)
),9999),IFERROR(INDEX('TaxCred&amp;Subs'!$N$12:$N$47,MATCH(1,($C654&amp;$D654='TaxCred&amp;Subs'!$D$12:$D$47)*($F654='TaxCred&amp;Subs'!$C$12:$C$47),0)
),0),0)))),0)+IF(AND($C654=2,VALUE(RIGHT($AD654,1))&gt;2),(N654-R654)*(IFERROR(INDEX('TaxCred&amp;Subs'!$J$66:$J$99,MATCH(1,($C654&amp;$D654='TaxCred&amp;Subs'!$E$66:$E$99)*($F654='TaxCred&amp;Subs'!$C$66:$C$99),0)),0)),IF(AND($C654=1,VALUE(RIGHT($AD654,1))&gt;2),(N654-R654)*(IFERROR(INDEX('TaxCred&amp;Subs'!$J$66:$J$99,MATCH(1,($C654&amp;$D654='TaxCred&amp;Subs'!$D$66:$D$99)*($F654='TaxCred&amp;Subs'!$C$66:$C$99),0)),0)),IF($C654&gt;2,(N654-R654)*(IFERROR(INDEX('TaxCred&amp;Subs'!$J$66:$J$99,MATCH(1,($C654&amp;$D654='TaxCred&amp;Subs'!$D$66:$D$99)*($F654='TaxCred&amp;Subs'!$C$66:$C$99),0)),0)),0))),0)</f>
        <v>0</v>
      </c>
      <c r="Q654" s="95">
        <f t="array" ref="Q654">ROUND(IF(AND($C654=2,VALUE(RIGHT($AD654,1))&gt;2),(O654-S654)*(IFERROR(INDEX('TaxCred&amp;Subs'!$J$66:$J$99,MATCH(1,($C654&amp;$D654='TaxCred&amp;Subs'!$E$66:$E$99)*($F654='TaxCred&amp;Subs'!$C$66:$C$99),0)),0)),IF(AND($C654=1,VALUE(RIGHT($AD654,1))&gt;2),(O654-S654)*(IFERROR(INDEX('TaxCred&amp;Subs'!$J$66:$J$99,MATCH(1,($C654&amp;$D654='TaxCred&amp;Subs'!$D$66:$D$99)*($F654='TaxCred&amp;Subs'!$C$66:$C$99),0)),0)),IF($C654&gt;2,(O654-S654)*(IFERROR(INDEX('TaxCred&amp;Subs'!$J$66:$J$99,MATCH(1,($C654&amp;$D654='TaxCred&amp;Subs'!$D$66:$D$99)*($F654='TaxCred&amp;Subs'!$C$66:$C$99),0)),0)),0))),0)</f>
        <v>0</v>
      </c>
      <c r="R654" s="95">
        <f t="array" ref="R654">ROUND(IF(IFERROR(VALUE(RIGHT($AD654,1)),0)&gt;2,IF($C654=8,N654*IFERROR(INDEX('TaxCred&amp;Subs'!$K$139:$S$151,MATCH($C654&amp;$D654&amp;LEFT($AD654,7),'TaxCred&amp;Subs'!$E$139:$E$151,0),MATCH($H654,'TaxCred&amp;Subs'!$K$137:$S$137,0)),0),IF($C654=2,N654*IFERROR(INDEX('TaxCred&amp;Subs'!$K$139:$S$151,MATCH($C654&amp;$D654,'TaxCred&amp;Subs'!$D$139:$D$151,0),MATCH($H654,'TaxCred&amp;Subs'!$K$137:$S$137,0)),0),N654*IFERROR(INDEX('TaxCred&amp;Subs'!$K$139:$S$151,MATCH($C654&amp;$D654,'TaxCred&amp;Subs'!$C$139:$C$151,0),MATCH($H654,'TaxCred&amp;Subs'!$K$137:$S$137,0)),0))),0),0)</f>
        <v>34</v>
      </c>
      <c r="S654" s="95">
        <f t="array" ref="S654">ROUND(IF(IFERROR(VALUE(RIGHT($AD654,1)),0)&gt;2,IF($C654=8,O654*IFERROR(INDEX('TaxCred&amp;Subs'!$K$139:$S$151,MATCH($C654&amp;$D654&amp;LEFT($AD654,7),'TaxCred&amp;Subs'!$E$139:$E$151,0),MATCH($H654,'TaxCred&amp;Subs'!$K$137:$S$137,0)),0),IF($C654=2,O654*IFERROR(INDEX('TaxCred&amp;Subs'!$K$139:$S$151,MATCH($C654&amp;$D654,'TaxCred&amp;Subs'!$D$139:$D$151,0),MATCH($H654,'TaxCred&amp;Subs'!$K$137:$S$137,0)),0),O654*IFERROR(INDEX('TaxCred&amp;Subs'!$K$139:$S$151,MATCH($C654&amp;$D654,'TaxCred&amp;Subs'!$C$139:$C$151,0),MATCH($H654,'TaxCred&amp;Subs'!$K$137:$S$137,0)),0))),0),0)</f>
        <v>19</v>
      </c>
      <c r="T654" s="95">
        <f t="shared" si="35"/>
        <v>0</v>
      </c>
      <c r="U654" s="95">
        <f t="shared" si="36"/>
        <v>0</v>
      </c>
      <c r="V654" s="28" t="s">
        <v>222</v>
      </c>
      <c r="W654" s="31">
        <v>2020</v>
      </c>
      <c r="X654" s="28">
        <v>1</v>
      </c>
      <c r="Y654" s="28">
        <v>0</v>
      </c>
      <c r="Z654" s="196">
        <v>-3.3939727104598718E-3</v>
      </c>
      <c r="AA654" s="196">
        <v>-5.2214964776305717E-2</v>
      </c>
      <c r="AB654" s="28">
        <v>0</v>
      </c>
      <c r="AC654" s="28">
        <v>0</v>
      </c>
      <c r="AD654" s="28" t="s">
        <v>342</v>
      </c>
    </row>
    <row r="655" spans="2:31" ht="14.25" customHeight="1" x14ac:dyDescent="0.2">
      <c r="B655" s="7">
        <f t="shared" si="41"/>
        <v>631</v>
      </c>
      <c r="C655" s="28">
        <v>5</v>
      </c>
      <c r="D655" s="28">
        <v>1</v>
      </c>
      <c r="E655" s="31">
        <v>3</v>
      </c>
      <c r="F655" s="78">
        <v>2033</v>
      </c>
      <c r="G655" s="28">
        <v>2050</v>
      </c>
      <c r="H655" s="28">
        <v>9</v>
      </c>
      <c r="I655" s="28">
        <v>0</v>
      </c>
      <c r="J655" s="28">
        <v>0</v>
      </c>
      <c r="K655" s="28">
        <v>0</v>
      </c>
      <c r="L655" s="28">
        <v>0</v>
      </c>
      <c r="M655" s="156">
        <v>0.84</v>
      </c>
      <c r="N655" s="151">
        <v>2150</v>
      </c>
      <c r="O655" s="151">
        <v>1185</v>
      </c>
      <c r="P655" s="95">
        <f t="array" ref="P655">ROUND(IF($F655&lt;='TaxCred&amp;Subs'!$C$49,(IF($C655=2,IF($M655&gt;=IFERROR(INDEX('TaxCred&amp;Subs'!$L$12:$L$47,MATCH(1,($C655&amp;$D655='TaxCred&amp;Subs'!$E$12:$E$47)*($F655='TaxCred&amp;Subs'!$C$12:$C$47),0)
),9999),IFERROR(INDEX('TaxCred&amp;Subs'!$N$12:$N$47,MATCH(1,($C655&amp;$D655='TaxCred&amp;Subs'!$E$12:$E$47)*($F655='TaxCred&amp;Subs'!$C$12:$C$47),0)
),0),0),(IF($M655&gt;=IFERROR(INDEX('TaxCred&amp;Subs'!$H$12:$H$47,MATCH(1,($C655&amp;$D655='TaxCred&amp;Subs'!$D$12:$D$47)*($F655='TaxCred&amp;Subs'!$C$12:$C$47),0)
),9999),IFERROR(INDEX('TaxCred&amp;Subs'!$N$12:$N$47,MATCH(1,($C655&amp;$D655='TaxCred&amp;Subs'!$D$12:$D$47)*($F655='TaxCred&amp;Subs'!$C$12:$C$47),0)
),0),0)))),0)+IF(AND($C655=2,VALUE(RIGHT($AD655,1))&gt;2),(N655-R655)*(IFERROR(INDEX('TaxCred&amp;Subs'!$J$66:$J$99,MATCH(1,($C655&amp;$D655='TaxCred&amp;Subs'!$E$66:$E$99)*($F655='TaxCred&amp;Subs'!$C$66:$C$99),0)),0)),IF(AND($C655=1,VALUE(RIGHT($AD655,1))&gt;2),(N655-R655)*(IFERROR(INDEX('TaxCred&amp;Subs'!$J$66:$J$99,MATCH(1,($C655&amp;$D655='TaxCred&amp;Subs'!$D$66:$D$99)*($F655='TaxCred&amp;Subs'!$C$66:$C$99),0)),0)),IF($C655&gt;2,(N655-R655)*(IFERROR(INDEX('TaxCred&amp;Subs'!$J$66:$J$99,MATCH(1,($C655&amp;$D655='TaxCred&amp;Subs'!$D$66:$D$99)*($F655='TaxCred&amp;Subs'!$C$66:$C$99),0)),0)),0))),0)</f>
        <v>0</v>
      </c>
      <c r="Q655" s="95">
        <f t="array" ref="Q655">ROUND(IF(AND($C655=2,VALUE(RIGHT($AD655,1))&gt;2),(O655-S655)*(IFERROR(INDEX('TaxCred&amp;Subs'!$J$66:$J$99,MATCH(1,($C655&amp;$D655='TaxCred&amp;Subs'!$E$66:$E$99)*($F655='TaxCred&amp;Subs'!$C$66:$C$99),0)),0)),IF(AND($C655=1,VALUE(RIGHT($AD655,1))&gt;2),(O655-S655)*(IFERROR(INDEX('TaxCred&amp;Subs'!$J$66:$J$99,MATCH(1,($C655&amp;$D655='TaxCred&amp;Subs'!$D$66:$D$99)*($F655='TaxCred&amp;Subs'!$C$66:$C$99),0)),0)),IF($C655&gt;2,(O655-S655)*(IFERROR(INDEX('TaxCred&amp;Subs'!$J$66:$J$99,MATCH(1,($C655&amp;$D655='TaxCred&amp;Subs'!$D$66:$D$99)*($F655='TaxCred&amp;Subs'!$C$66:$C$99),0)),0)),0))),0)</f>
        <v>0</v>
      </c>
      <c r="R655" s="95">
        <f t="array" ref="R655">ROUND(IF(IFERROR(VALUE(RIGHT($AD655,1)),0)&gt;2,IF($C655=8,N655*IFERROR(INDEX('TaxCred&amp;Subs'!$K$139:$S$151,MATCH($C655&amp;$D655&amp;LEFT($AD655,7),'TaxCred&amp;Subs'!$E$139:$E$151,0),MATCH($H655,'TaxCred&amp;Subs'!$K$137:$S$137,0)),0),IF($C655=2,N655*IFERROR(INDEX('TaxCred&amp;Subs'!$K$139:$S$151,MATCH($C655&amp;$D655,'TaxCred&amp;Subs'!$D$139:$D$151,0),MATCH($H655,'TaxCred&amp;Subs'!$K$137:$S$137,0)),0),N655*IFERROR(INDEX('TaxCred&amp;Subs'!$K$139:$S$151,MATCH($C655&amp;$D655,'TaxCred&amp;Subs'!$C$139:$C$151,0),MATCH($H655,'TaxCred&amp;Subs'!$K$137:$S$137,0)),0))),0),0)</f>
        <v>96</v>
      </c>
      <c r="S655" s="95">
        <f t="array" ref="S655">ROUND(IF(IFERROR(VALUE(RIGHT($AD655,1)),0)&gt;2,IF($C655=8,O655*IFERROR(INDEX('TaxCred&amp;Subs'!$K$139:$S$151,MATCH($C655&amp;$D655&amp;LEFT($AD655,7),'TaxCred&amp;Subs'!$E$139:$E$151,0),MATCH($H655,'TaxCred&amp;Subs'!$K$137:$S$137,0)),0),IF($C655=2,O655*IFERROR(INDEX('TaxCred&amp;Subs'!$K$139:$S$151,MATCH($C655&amp;$D655,'TaxCred&amp;Subs'!$D$139:$D$151,0),MATCH($H655,'TaxCred&amp;Subs'!$K$137:$S$137,0)),0),O655*IFERROR(INDEX('TaxCred&amp;Subs'!$K$139:$S$151,MATCH($C655&amp;$D655,'TaxCred&amp;Subs'!$C$139:$C$151,0),MATCH($H655,'TaxCred&amp;Subs'!$K$137:$S$137,0)),0))),0),0)</f>
        <v>53</v>
      </c>
      <c r="T655" s="172">
        <f t="shared" si="35"/>
        <v>322.5</v>
      </c>
      <c r="U655" s="172">
        <f t="shared" si="36"/>
        <v>177.75</v>
      </c>
      <c r="V655" s="28" t="s">
        <v>222</v>
      </c>
      <c r="W655" s="31">
        <v>2020</v>
      </c>
      <c r="X655" s="28">
        <v>1</v>
      </c>
      <c r="Y655" s="28">
        <v>0</v>
      </c>
      <c r="Z655" s="196">
        <v>-3.3939727104598718E-3</v>
      </c>
      <c r="AA655" s="196">
        <v>-5.2214964776305717E-2</v>
      </c>
      <c r="AB655" s="28">
        <v>0</v>
      </c>
      <c r="AC655" s="28">
        <v>0</v>
      </c>
      <c r="AD655" s="28" t="s">
        <v>342</v>
      </c>
    </row>
    <row r="656" spans="2:31" ht="14.25" customHeight="1" x14ac:dyDescent="0.2">
      <c r="B656" s="7">
        <f t="shared" si="41"/>
        <v>632</v>
      </c>
      <c r="C656" s="28">
        <v>5</v>
      </c>
      <c r="D656" s="28">
        <v>2</v>
      </c>
      <c r="E656" s="31">
        <v>4</v>
      </c>
      <c r="F656" s="96">
        <v>2020</v>
      </c>
      <c r="G656" s="31">
        <v>2028</v>
      </c>
      <c r="H656" s="28">
        <v>11</v>
      </c>
      <c r="I656" s="28">
        <v>0</v>
      </c>
      <c r="J656" s="28">
        <v>0</v>
      </c>
      <c r="K656" s="28">
        <v>0</v>
      </c>
      <c r="L656" s="28">
        <v>0</v>
      </c>
      <c r="M656" s="75">
        <v>0.92</v>
      </c>
      <c r="N656" s="151">
        <v>905</v>
      </c>
      <c r="O656" s="151">
        <v>545</v>
      </c>
      <c r="P656" s="95">
        <f t="array" ref="P656">ROUND(IF($F656&lt;='TaxCred&amp;Subs'!$C$49,(IF($C656=2,IF($M656&gt;=IFERROR(INDEX('TaxCred&amp;Subs'!$L$12:$L$47,MATCH(1,($C656&amp;$D656='TaxCred&amp;Subs'!$E$12:$E$47)*($F656='TaxCred&amp;Subs'!$C$12:$C$47),0)
),9999),IFERROR(INDEX('TaxCred&amp;Subs'!$N$12:$N$47,MATCH(1,($C656&amp;$D656='TaxCred&amp;Subs'!$E$12:$E$47)*($F656='TaxCred&amp;Subs'!$C$12:$C$47),0)
),0),0),(IF($M656&gt;=IFERROR(INDEX('TaxCred&amp;Subs'!$H$12:$H$47,MATCH(1,($C656&amp;$D656='TaxCred&amp;Subs'!$D$12:$D$47)*($F656='TaxCred&amp;Subs'!$C$12:$C$47),0)
),9999),IFERROR(INDEX('TaxCred&amp;Subs'!$N$12:$N$47,MATCH(1,($C656&amp;$D656='TaxCred&amp;Subs'!$D$12:$D$47)*($F656='TaxCred&amp;Subs'!$C$12:$C$47),0)
),0),0)))),0)+IF(AND($C656=2,VALUE(RIGHT($AD656,1))&gt;2),(N656-R656)*(IFERROR(INDEX('TaxCred&amp;Subs'!$J$66:$J$99,MATCH(1,($C656&amp;$D656='TaxCred&amp;Subs'!$E$66:$E$99)*($F656='TaxCred&amp;Subs'!$C$66:$C$99),0)),0)),IF(AND($C656=1,VALUE(RIGHT($AD656,1))&gt;2),(N656-R656)*(IFERROR(INDEX('TaxCred&amp;Subs'!$J$66:$J$99,MATCH(1,($C656&amp;$D656='TaxCred&amp;Subs'!$D$66:$D$99)*($F656='TaxCred&amp;Subs'!$C$66:$C$99),0)),0)),IF($C656&gt;2,(N656-R656)*(IFERROR(INDEX('TaxCred&amp;Subs'!$J$66:$J$99,MATCH(1,($C656&amp;$D656='TaxCred&amp;Subs'!$D$66:$D$99)*($F656='TaxCred&amp;Subs'!$C$66:$C$99),0)),0)),0))),0)</f>
        <v>0</v>
      </c>
      <c r="Q656" s="95">
        <f t="array" ref="Q656">ROUND(IF(AND($C656=2,VALUE(RIGHT($AD656,1))&gt;2),(O656-S656)*(IFERROR(INDEX('TaxCred&amp;Subs'!$J$66:$J$99,MATCH(1,($C656&amp;$D656='TaxCred&amp;Subs'!$E$66:$E$99)*($F656='TaxCred&amp;Subs'!$C$66:$C$99),0)),0)),IF(AND($C656=1,VALUE(RIGHT($AD656,1))&gt;2),(O656-S656)*(IFERROR(INDEX('TaxCred&amp;Subs'!$J$66:$J$99,MATCH(1,($C656&amp;$D656='TaxCred&amp;Subs'!$D$66:$D$99)*($F656='TaxCred&amp;Subs'!$C$66:$C$99),0)),0)),IF($C656&gt;2,(O656-S656)*(IFERROR(INDEX('TaxCred&amp;Subs'!$J$66:$J$99,MATCH(1,($C656&amp;$D656='TaxCred&amp;Subs'!$D$66:$D$99)*($F656='TaxCred&amp;Subs'!$C$66:$C$99),0)),0)),0))),0)</f>
        <v>0</v>
      </c>
      <c r="R656" s="95">
        <f t="array" ref="R656">ROUND(IF(IFERROR(VALUE(RIGHT($AD656,1)),0)&gt;2,IF($C656=8,N656*IFERROR(INDEX('TaxCred&amp;Subs'!$K$139:$S$151,MATCH($C656&amp;$D656&amp;LEFT($AD656,7),'TaxCred&amp;Subs'!$E$139:$E$151,0),MATCH($H656,'TaxCred&amp;Subs'!$K$137:$S$137,0)),0),IF($C656=2,N656*IFERROR(INDEX('TaxCred&amp;Subs'!$K$139:$S$151,MATCH($C656&amp;$D656,'TaxCred&amp;Subs'!$D$139:$D$151,0),MATCH($H656,'TaxCred&amp;Subs'!$K$137:$S$137,0)),0),N656*IFERROR(INDEX('TaxCred&amp;Subs'!$K$139:$S$151,MATCH($C656&amp;$D656,'TaxCred&amp;Subs'!$C$139:$C$151,0),MATCH($H656,'TaxCred&amp;Subs'!$K$137:$S$137,0)),0))),0),0)</f>
        <v>0</v>
      </c>
      <c r="S656" s="95">
        <f t="array" ref="S656">ROUND(IF(IFERROR(VALUE(RIGHT($AD656,1)),0)&gt;2,IF($C656=8,O656*IFERROR(INDEX('TaxCred&amp;Subs'!$K$139:$S$151,MATCH($C656&amp;$D656&amp;LEFT($AD656,7),'TaxCred&amp;Subs'!$E$139:$E$151,0),MATCH($H656,'TaxCred&amp;Subs'!$K$137:$S$137,0)),0),IF($C656=2,O656*IFERROR(INDEX('TaxCred&amp;Subs'!$K$139:$S$151,MATCH($C656&amp;$D656,'TaxCred&amp;Subs'!$D$139:$D$151,0),MATCH($H656,'TaxCred&amp;Subs'!$K$137:$S$137,0)),0),O656*IFERROR(INDEX('TaxCred&amp;Subs'!$K$139:$S$151,MATCH($C656&amp;$D656,'TaxCred&amp;Subs'!$C$139:$C$151,0),MATCH($H656,'TaxCred&amp;Subs'!$K$137:$S$137,0)),0))),0),0)</f>
        <v>0</v>
      </c>
      <c r="T656" s="95">
        <f t="shared" si="35"/>
        <v>0</v>
      </c>
      <c r="U656" s="95">
        <f t="shared" si="36"/>
        <v>0</v>
      </c>
      <c r="V656" s="28" t="s">
        <v>222</v>
      </c>
      <c r="W656" s="31">
        <v>2020</v>
      </c>
      <c r="X656" s="28">
        <v>1</v>
      </c>
      <c r="Y656" s="28">
        <v>0</v>
      </c>
      <c r="Z656" s="196">
        <v>-6.5000000000000008E-4</v>
      </c>
      <c r="AA656" s="196">
        <v>-0.01</v>
      </c>
      <c r="AB656" s="28">
        <v>0</v>
      </c>
      <c r="AC656" s="28">
        <v>0</v>
      </c>
      <c r="AD656" s="28" t="s">
        <v>210</v>
      </c>
      <c r="AE656" t="s">
        <v>211</v>
      </c>
    </row>
    <row r="657" spans="2:31" ht="14.25" customHeight="1" x14ac:dyDescent="0.2">
      <c r="B657" s="7">
        <f t="shared" si="41"/>
        <v>633</v>
      </c>
      <c r="C657" s="152">
        <v>5</v>
      </c>
      <c r="D657" s="152">
        <v>2</v>
      </c>
      <c r="E657" s="152">
        <v>4</v>
      </c>
      <c r="F657" s="153">
        <v>2029</v>
      </c>
      <c r="G657" s="152">
        <v>2050</v>
      </c>
      <c r="H657" s="152">
        <v>11</v>
      </c>
      <c r="I657" s="152">
        <v>0</v>
      </c>
      <c r="J657" s="152">
        <v>0</v>
      </c>
      <c r="K657" s="152">
        <v>0</v>
      </c>
      <c r="L657" s="152">
        <v>0</v>
      </c>
      <c r="M657" s="154">
        <v>2.2999999999999998</v>
      </c>
      <c r="N657" s="157">
        <v>1032.5825825825825</v>
      </c>
      <c r="O657" s="157">
        <v>690.69069069069064</v>
      </c>
      <c r="P657" s="41">
        <f t="array" ref="P657">ROUND(IF($F657&lt;='TaxCred&amp;Subs'!$C$49,(IF($C657=2,IF($M657&gt;=IFERROR(INDEX('TaxCred&amp;Subs'!$L$12:$L$47,MATCH(1,($C657&amp;$D657='TaxCred&amp;Subs'!$E$12:$E$47)*($F657='TaxCred&amp;Subs'!$C$12:$C$47),0)
),9999),IFERROR(INDEX('TaxCred&amp;Subs'!$N$12:$N$47,MATCH(1,($C657&amp;$D657='TaxCred&amp;Subs'!$E$12:$E$47)*($F657='TaxCred&amp;Subs'!$C$12:$C$47),0)
),0),0),(IF($M657&gt;=IFERROR(INDEX('TaxCred&amp;Subs'!$H$12:$H$47,MATCH(1,($C657&amp;$D657='TaxCred&amp;Subs'!$D$12:$D$47)*($F657='TaxCred&amp;Subs'!$C$12:$C$47),0)
),9999),IFERROR(INDEX('TaxCred&amp;Subs'!$N$12:$N$47,MATCH(1,($C657&amp;$D657='TaxCred&amp;Subs'!$D$12:$D$47)*($F657='TaxCred&amp;Subs'!$C$12:$C$47),0)
),0),0)))),0)+IF(AND($C657=2,VALUE(RIGHT($AD657,1))&gt;2),(N657-R657)*(IFERROR(INDEX('TaxCred&amp;Subs'!$J$66:$J$99,MATCH(1,($C657&amp;$D657='TaxCred&amp;Subs'!$E$66:$E$99)*($F657='TaxCred&amp;Subs'!$C$66:$C$99),0)),0)),IF(AND($C657=1,VALUE(RIGHT($AD657,1))&gt;2),(N657-R657)*(IFERROR(INDEX('TaxCred&amp;Subs'!$J$66:$J$99,MATCH(1,($C657&amp;$D657='TaxCred&amp;Subs'!$D$66:$D$99)*($F657='TaxCred&amp;Subs'!$C$66:$C$99),0)),0)),IF($C657&gt;2,(N657-R657)*(IFERROR(INDEX('TaxCred&amp;Subs'!$J$66:$J$99,MATCH(1,($C657&amp;$D657='TaxCred&amp;Subs'!$D$66:$D$99)*($F657='TaxCred&amp;Subs'!$C$66:$C$99),0)),0)),0))),0)</f>
        <v>0</v>
      </c>
      <c r="Q657" s="41">
        <f t="array" ref="Q657">ROUND(IF(AND($C657=2,VALUE(RIGHT($AD657,1))&gt;2),(O657-S657)*(IFERROR(INDEX('TaxCred&amp;Subs'!$J$66:$J$99,MATCH(1,($C657&amp;$D657='TaxCred&amp;Subs'!$E$66:$E$99)*($F657='TaxCred&amp;Subs'!$C$66:$C$99),0)),0)),IF(AND($C657=1,VALUE(RIGHT($AD657,1))&gt;2),(O657-S657)*(IFERROR(INDEX('TaxCred&amp;Subs'!$J$66:$J$99,MATCH(1,($C657&amp;$D657='TaxCred&amp;Subs'!$D$66:$D$99)*($F657='TaxCred&amp;Subs'!$C$66:$C$99),0)),0)),IF($C657&gt;2,(O657-S657)*(IFERROR(INDEX('TaxCred&amp;Subs'!$J$66:$J$99,MATCH(1,($C657&amp;$D657='TaxCred&amp;Subs'!$D$66:$D$99)*($F657='TaxCred&amp;Subs'!$C$66:$C$99),0)),0)),0))),0)</f>
        <v>0</v>
      </c>
      <c r="R657" s="41">
        <f t="array" ref="R657">ROUND(IF(IFERROR(VALUE(RIGHT($AD657,1)),0)&gt;2,IF($C657=8,N657*IFERROR(INDEX('TaxCred&amp;Subs'!$K$139:$S$151,MATCH($C657&amp;$D657&amp;LEFT($AD657,7),'TaxCred&amp;Subs'!$E$139:$E$151,0),MATCH($H657,'TaxCred&amp;Subs'!$K$137:$S$137,0)),0),IF($C657=2,N657*IFERROR(INDEX('TaxCred&amp;Subs'!$K$139:$S$151,MATCH($C657&amp;$D657,'TaxCred&amp;Subs'!$D$139:$D$151,0),MATCH($H657,'TaxCred&amp;Subs'!$K$137:$S$137,0)),0),N657*IFERROR(INDEX('TaxCred&amp;Subs'!$K$139:$S$151,MATCH($C657&amp;$D657,'TaxCred&amp;Subs'!$C$139:$C$151,0),MATCH($H657,'TaxCred&amp;Subs'!$K$137:$S$137,0)),0))),0),0)</f>
        <v>0</v>
      </c>
      <c r="S657" s="41">
        <f t="array" ref="S657">ROUND(IF(IFERROR(VALUE(RIGHT($AD657,1)),0)&gt;2,IF($C657=8,O657*IFERROR(INDEX('TaxCred&amp;Subs'!$K$139:$S$151,MATCH($C657&amp;$D657&amp;LEFT($AD657,7),'TaxCred&amp;Subs'!$E$139:$E$151,0),MATCH($H657,'TaxCred&amp;Subs'!$K$137:$S$137,0)),0),IF($C657=2,O657*IFERROR(INDEX('TaxCred&amp;Subs'!$K$139:$S$151,MATCH($C657&amp;$D657,'TaxCred&amp;Subs'!$D$139:$D$151,0),MATCH($H657,'TaxCred&amp;Subs'!$K$137:$S$137,0)),0),O657*IFERROR(INDEX('TaxCred&amp;Subs'!$K$139:$S$151,MATCH($C657&amp;$D657,'TaxCred&amp;Subs'!$C$139:$C$151,0),MATCH($H657,'TaxCred&amp;Subs'!$K$137:$S$137,0)),0))),0),0)</f>
        <v>0</v>
      </c>
      <c r="T657" s="41">
        <f t="shared" ref="T657" si="42">IF($H657=9,IF(R657&gt;0,(N657-P657)*0.15,0),0)</f>
        <v>0</v>
      </c>
      <c r="U657" s="41">
        <f t="shared" ref="U657" si="43">IF($H657=9,IF(S657&gt;0,(O657-Q657)*0.15,0),0)</f>
        <v>0</v>
      </c>
      <c r="V657" s="152" t="s">
        <v>222</v>
      </c>
      <c r="W657" s="152">
        <v>2020</v>
      </c>
      <c r="X657" s="152">
        <v>1</v>
      </c>
      <c r="Y657" s="152">
        <v>0</v>
      </c>
      <c r="Z657" s="194">
        <v>-6.5000000000000008E-4</v>
      </c>
      <c r="AA657" s="194">
        <v>-0.01</v>
      </c>
      <c r="AB657" s="152">
        <v>0</v>
      </c>
      <c r="AC657" s="152">
        <v>0</v>
      </c>
      <c r="AD657" s="152" t="s">
        <v>210</v>
      </c>
      <c r="AE657" t="s">
        <v>502</v>
      </c>
    </row>
    <row r="658" spans="2:31" ht="14.25" customHeight="1" x14ac:dyDescent="0.2">
      <c r="B658" s="7">
        <f t="shared" si="41"/>
        <v>634</v>
      </c>
      <c r="C658" s="28">
        <v>5</v>
      </c>
      <c r="D658" s="28">
        <v>2</v>
      </c>
      <c r="E658" s="31">
        <v>5</v>
      </c>
      <c r="F658" s="96">
        <v>2020</v>
      </c>
      <c r="G658" s="31">
        <v>2028</v>
      </c>
      <c r="H658" s="28">
        <v>11</v>
      </c>
      <c r="I658" s="28">
        <v>0</v>
      </c>
      <c r="J658" s="28">
        <v>0</v>
      </c>
      <c r="K658" s="28">
        <v>0</v>
      </c>
      <c r="L658" s="28">
        <v>0</v>
      </c>
      <c r="M658" s="156">
        <v>0.93</v>
      </c>
      <c r="N658" s="151">
        <v>990</v>
      </c>
      <c r="O658" s="151">
        <v>725</v>
      </c>
      <c r="P658" s="95">
        <f t="array" ref="P658">ROUND(IF($F658&lt;='TaxCred&amp;Subs'!$C$49,(IF($C658=2,IF($M658&gt;=IFERROR(INDEX('TaxCred&amp;Subs'!$L$12:$L$47,MATCH(1,($C658&amp;$D658='TaxCred&amp;Subs'!$E$12:$E$47)*($F658='TaxCred&amp;Subs'!$C$12:$C$47),0)
),9999),IFERROR(INDEX('TaxCred&amp;Subs'!$N$12:$N$47,MATCH(1,($C658&amp;$D658='TaxCred&amp;Subs'!$E$12:$E$47)*($F658='TaxCred&amp;Subs'!$C$12:$C$47),0)
),0),0),(IF($M658&gt;=IFERROR(INDEX('TaxCred&amp;Subs'!$H$12:$H$47,MATCH(1,($C658&amp;$D658='TaxCred&amp;Subs'!$D$12:$D$47)*($F658='TaxCred&amp;Subs'!$C$12:$C$47),0)
),9999),IFERROR(INDEX('TaxCred&amp;Subs'!$N$12:$N$47,MATCH(1,($C658&amp;$D658='TaxCred&amp;Subs'!$D$12:$D$47)*($F658='TaxCred&amp;Subs'!$C$12:$C$47),0)
),0),0)))),0)+IF(AND($C658=2,VALUE(RIGHT($AD658,1))&gt;2),(N658-R658)*(IFERROR(INDEX('TaxCred&amp;Subs'!$J$66:$J$99,MATCH(1,($C658&amp;$D658='TaxCred&amp;Subs'!$E$66:$E$99)*($F658='TaxCred&amp;Subs'!$C$66:$C$99),0)),0)),IF(AND($C658=1,VALUE(RIGHT($AD658,1))&gt;2),(N658-R658)*(IFERROR(INDEX('TaxCred&amp;Subs'!$J$66:$J$99,MATCH(1,($C658&amp;$D658='TaxCred&amp;Subs'!$D$66:$D$99)*($F658='TaxCred&amp;Subs'!$C$66:$C$99),0)),0)),IF($C658&gt;2,(N658-R658)*(IFERROR(INDEX('TaxCred&amp;Subs'!$J$66:$J$99,MATCH(1,($C658&amp;$D658='TaxCred&amp;Subs'!$D$66:$D$99)*($F658='TaxCred&amp;Subs'!$C$66:$C$99),0)),0)),0))),0)</f>
        <v>0</v>
      </c>
      <c r="Q658" s="95">
        <f t="array" ref="Q658">ROUND(IF(AND($C658=2,VALUE(RIGHT($AD658,1))&gt;2),(O658-S658)*(IFERROR(INDEX('TaxCred&amp;Subs'!$J$66:$J$99,MATCH(1,($C658&amp;$D658='TaxCred&amp;Subs'!$E$66:$E$99)*($F658='TaxCred&amp;Subs'!$C$66:$C$99),0)),0)),IF(AND($C658=1,VALUE(RIGHT($AD658,1))&gt;2),(O658-S658)*(IFERROR(INDEX('TaxCred&amp;Subs'!$J$66:$J$99,MATCH(1,($C658&amp;$D658='TaxCred&amp;Subs'!$D$66:$D$99)*($F658='TaxCred&amp;Subs'!$C$66:$C$99),0)),0)),IF($C658&gt;2,(O658-S658)*(IFERROR(INDEX('TaxCred&amp;Subs'!$J$66:$J$99,MATCH(1,($C658&amp;$D658='TaxCred&amp;Subs'!$D$66:$D$99)*($F658='TaxCred&amp;Subs'!$C$66:$C$99),0)),0)),0))),0)</f>
        <v>0</v>
      </c>
      <c r="R658" s="95">
        <f t="array" ref="R658">ROUND(IF(IFERROR(VALUE(RIGHT($AD658,1)),0)&gt;2,IF($C658=8,N658*IFERROR(INDEX('TaxCred&amp;Subs'!$K$139:$S$151,MATCH($C658&amp;$D658&amp;LEFT($AD658,7),'TaxCred&amp;Subs'!$E$139:$E$151,0),MATCH($H658,'TaxCred&amp;Subs'!$K$137:$S$137,0)),0),IF($C658=2,N658*IFERROR(INDEX('TaxCred&amp;Subs'!$K$139:$S$151,MATCH($C658&amp;$D658,'TaxCred&amp;Subs'!$D$139:$D$151,0),MATCH($H658,'TaxCred&amp;Subs'!$K$137:$S$137,0)),0),N658*IFERROR(INDEX('TaxCred&amp;Subs'!$K$139:$S$151,MATCH($C658&amp;$D658,'TaxCred&amp;Subs'!$C$139:$C$151,0),MATCH($H658,'TaxCred&amp;Subs'!$K$137:$S$137,0)),0))),0),0)</f>
        <v>0</v>
      </c>
      <c r="S658" s="95">
        <f t="array" ref="S658">ROUND(IF(IFERROR(VALUE(RIGHT($AD658,1)),0)&gt;2,IF($C658=8,O658*IFERROR(INDEX('TaxCred&amp;Subs'!$K$139:$S$151,MATCH($C658&amp;$D658&amp;LEFT($AD658,7),'TaxCred&amp;Subs'!$E$139:$E$151,0),MATCH($H658,'TaxCred&amp;Subs'!$K$137:$S$137,0)),0),IF($C658=2,O658*IFERROR(INDEX('TaxCred&amp;Subs'!$K$139:$S$151,MATCH($C658&amp;$D658,'TaxCred&amp;Subs'!$D$139:$D$151,0),MATCH($H658,'TaxCred&amp;Subs'!$K$137:$S$137,0)),0),O658*IFERROR(INDEX('TaxCred&amp;Subs'!$K$139:$S$151,MATCH($C658&amp;$D658,'TaxCred&amp;Subs'!$C$139:$C$151,0),MATCH($H658,'TaxCred&amp;Subs'!$K$137:$S$137,0)),0))),0),0)</f>
        <v>0</v>
      </c>
      <c r="T658" s="95">
        <f t="shared" si="35"/>
        <v>0</v>
      </c>
      <c r="U658" s="95">
        <f t="shared" si="36"/>
        <v>0</v>
      </c>
      <c r="V658" s="28" t="s">
        <v>222</v>
      </c>
      <c r="W658" s="31">
        <v>2020</v>
      </c>
      <c r="X658" s="28">
        <v>1</v>
      </c>
      <c r="Y658" s="28">
        <v>0</v>
      </c>
      <c r="Z658" s="227">
        <v>-6.5000000000000008E-4</v>
      </c>
      <c r="AA658" s="227">
        <v>-0.01</v>
      </c>
      <c r="AB658" s="28">
        <v>0</v>
      </c>
      <c r="AC658" s="28">
        <v>0</v>
      </c>
      <c r="AD658" s="28" t="s">
        <v>212</v>
      </c>
    </row>
    <row r="659" spans="2:31" ht="14.25" customHeight="1" x14ac:dyDescent="0.2">
      <c r="B659" s="7">
        <f t="shared" si="41"/>
        <v>635</v>
      </c>
      <c r="C659" s="152">
        <v>5</v>
      </c>
      <c r="D659" s="152">
        <v>2</v>
      </c>
      <c r="E659" s="152">
        <v>5</v>
      </c>
      <c r="F659" s="153">
        <v>2029</v>
      </c>
      <c r="G659" s="152">
        <v>2050</v>
      </c>
      <c r="H659" s="152">
        <v>11</v>
      </c>
      <c r="I659" s="152">
        <v>0</v>
      </c>
      <c r="J659" s="152">
        <v>0</v>
      </c>
      <c r="K659" s="152">
        <v>0</v>
      </c>
      <c r="L659" s="152">
        <v>0</v>
      </c>
      <c r="M659" s="154">
        <v>0.93</v>
      </c>
      <c r="N659" s="155">
        <v>990</v>
      </c>
      <c r="O659" s="155">
        <v>725</v>
      </c>
      <c r="P659" s="41">
        <f t="array" ref="P659">ROUND(IF($F659&lt;='TaxCred&amp;Subs'!$C$49,(IF($C659=2,IF($M659&gt;=IFERROR(INDEX('TaxCred&amp;Subs'!$L$12:$L$47,MATCH(1,($C659&amp;$D659='TaxCred&amp;Subs'!$E$12:$E$47)*($F659='TaxCred&amp;Subs'!$C$12:$C$47),0)
),9999),IFERROR(INDEX('TaxCred&amp;Subs'!$N$12:$N$47,MATCH(1,($C659&amp;$D659='TaxCred&amp;Subs'!$E$12:$E$47)*($F659='TaxCred&amp;Subs'!$C$12:$C$47),0)
),0),0),(IF($M659&gt;=IFERROR(INDEX('TaxCred&amp;Subs'!$H$12:$H$47,MATCH(1,($C659&amp;$D659='TaxCred&amp;Subs'!$D$12:$D$47)*($F659='TaxCred&amp;Subs'!$C$12:$C$47),0)
),9999),IFERROR(INDEX('TaxCred&amp;Subs'!$N$12:$N$47,MATCH(1,($C659&amp;$D659='TaxCred&amp;Subs'!$D$12:$D$47)*($F659='TaxCred&amp;Subs'!$C$12:$C$47),0)
),0),0)))),0)+IF(AND($C659=2,VALUE(RIGHT($AD659,1))&gt;2),(N659-R659)*(IFERROR(INDEX('TaxCred&amp;Subs'!$J$66:$J$99,MATCH(1,($C659&amp;$D659='TaxCred&amp;Subs'!$E$66:$E$99)*($F659='TaxCred&amp;Subs'!$C$66:$C$99),0)),0)),IF(AND($C659=1,VALUE(RIGHT($AD659,1))&gt;2),(N659-R659)*(IFERROR(INDEX('TaxCred&amp;Subs'!$J$66:$J$99,MATCH(1,($C659&amp;$D659='TaxCred&amp;Subs'!$D$66:$D$99)*($F659='TaxCred&amp;Subs'!$C$66:$C$99),0)),0)),IF($C659&gt;2,(N659-R659)*(IFERROR(INDEX('TaxCred&amp;Subs'!$J$66:$J$99,MATCH(1,($C659&amp;$D659='TaxCred&amp;Subs'!$D$66:$D$99)*($F659='TaxCred&amp;Subs'!$C$66:$C$99),0)),0)),0))),0)</f>
        <v>0</v>
      </c>
      <c r="Q659" s="41">
        <f t="array" ref="Q659">ROUND(IF(AND($C659=2,VALUE(RIGHT($AD659,1))&gt;2),(O659-S659)*(IFERROR(INDEX('TaxCred&amp;Subs'!$J$66:$J$99,MATCH(1,($C659&amp;$D659='TaxCred&amp;Subs'!$E$66:$E$99)*($F659='TaxCred&amp;Subs'!$C$66:$C$99),0)),0)),IF(AND($C659=1,VALUE(RIGHT($AD659,1))&gt;2),(O659-S659)*(IFERROR(INDEX('TaxCred&amp;Subs'!$J$66:$J$99,MATCH(1,($C659&amp;$D659='TaxCred&amp;Subs'!$D$66:$D$99)*($F659='TaxCred&amp;Subs'!$C$66:$C$99),0)),0)),IF($C659&gt;2,(O659-S659)*(IFERROR(INDEX('TaxCred&amp;Subs'!$J$66:$J$99,MATCH(1,($C659&amp;$D659='TaxCred&amp;Subs'!$D$66:$D$99)*($F659='TaxCred&amp;Subs'!$C$66:$C$99),0)),0)),0))),0)</f>
        <v>0</v>
      </c>
      <c r="R659" s="41">
        <f t="array" ref="R659">ROUND(IF(IFERROR(VALUE(RIGHT($AD659,1)),0)&gt;2,IF($C659=8,N659*IFERROR(INDEX('TaxCred&amp;Subs'!$K$139:$S$151,MATCH($C659&amp;$D659&amp;LEFT($AD659,7),'TaxCred&amp;Subs'!$E$139:$E$151,0),MATCH($H659,'TaxCred&amp;Subs'!$K$137:$S$137,0)),0),IF($C659=2,N659*IFERROR(INDEX('TaxCred&amp;Subs'!$K$139:$S$151,MATCH($C659&amp;$D659,'TaxCred&amp;Subs'!$D$139:$D$151,0),MATCH($H659,'TaxCred&amp;Subs'!$K$137:$S$137,0)),0),N659*IFERROR(INDEX('TaxCred&amp;Subs'!$K$139:$S$151,MATCH($C659&amp;$D659,'TaxCred&amp;Subs'!$C$139:$C$151,0),MATCH($H659,'TaxCred&amp;Subs'!$K$137:$S$137,0)),0))),0),0)</f>
        <v>0</v>
      </c>
      <c r="S659" s="41">
        <f t="array" ref="S659">ROUND(IF(IFERROR(VALUE(RIGHT($AD659,1)),0)&gt;2,IF($C659=8,O659*IFERROR(INDEX('TaxCred&amp;Subs'!$K$139:$S$151,MATCH($C659&amp;$D659&amp;LEFT($AD659,7),'TaxCred&amp;Subs'!$E$139:$E$151,0),MATCH($H659,'TaxCred&amp;Subs'!$K$137:$S$137,0)),0),IF($C659=2,O659*IFERROR(INDEX('TaxCred&amp;Subs'!$K$139:$S$151,MATCH($C659&amp;$D659,'TaxCred&amp;Subs'!$D$139:$D$151,0),MATCH($H659,'TaxCred&amp;Subs'!$K$137:$S$137,0)),0),O659*IFERROR(INDEX('TaxCred&amp;Subs'!$K$139:$S$151,MATCH($C659&amp;$D659,'TaxCred&amp;Subs'!$C$139:$C$151,0),MATCH($H659,'TaxCred&amp;Subs'!$K$137:$S$137,0)),0))),0),0)</f>
        <v>0</v>
      </c>
      <c r="T659" s="41">
        <f t="shared" ref="T659" si="44">IF($H659=9,IF(R659&gt;0,(N659-P659)*0.15,0),0)</f>
        <v>0</v>
      </c>
      <c r="U659" s="41">
        <f t="shared" ref="U659" si="45">IF($H659=9,IF(S659&gt;0,(O659-Q659)*0.15,0),0)</f>
        <v>0</v>
      </c>
      <c r="V659" s="152" t="s">
        <v>222</v>
      </c>
      <c r="W659" s="152">
        <v>2020</v>
      </c>
      <c r="X659" s="152">
        <v>1</v>
      </c>
      <c r="Y659" s="152">
        <v>0</v>
      </c>
      <c r="Z659" s="195">
        <v>-1</v>
      </c>
      <c r="AA659" s="195">
        <v>-1</v>
      </c>
      <c r="AB659" s="152">
        <v>0</v>
      </c>
      <c r="AC659" s="152">
        <v>0</v>
      </c>
      <c r="AD659" s="152" t="s">
        <v>212</v>
      </c>
      <c r="AE659" s="44" t="s">
        <v>500</v>
      </c>
    </row>
    <row r="660" spans="2:31" ht="14.25" customHeight="1" x14ac:dyDescent="0.2">
      <c r="B660" s="7">
        <f t="shared" si="41"/>
        <v>636</v>
      </c>
      <c r="C660" s="28">
        <v>5</v>
      </c>
      <c r="D660" s="28">
        <v>2</v>
      </c>
      <c r="E660" s="31">
        <v>6</v>
      </c>
      <c r="F660" s="96">
        <v>2020</v>
      </c>
      <c r="G660" s="31">
        <v>2021</v>
      </c>
      <c r="H660" s="31">
        <v>1</v>
      </c>
      <c r="I660" s="28">
        <v>0</v>
      </c>
      <c r="J660" s="28">
        <v>0</v>
      </c>
      <c r="K660" s="28">
        <v>0</v>
      </c>
      <c r="L660" s="28">
        <v>0</v>
      </c>
      <c r="M660" s="156">
        <v>3.33</v>
      </c>
      <c r="N660" s="151">
        <v>1550</v>
      </c>
      <c r="O660" s="151">
        <v>1040</v>
      </c>
      <c r="P660" s="95">
        <f t="array" ref="P660">ROUND(IF($F660&lt;='TaxCred&amp;Subs'!$C$49,(IF($C660=2,IF($M660&gt;=IFERROR(INDEX('TaxCred&amp;Subs'!$L$12:$L$47,MATCH(1,($C660&amp;$D660='TaxCred&amp;Subs'!$E$12:$E$47)*($F660='TaxCred&amp;Subs'!$C$12:$C$47),0)
),9999),IFERROR(INDEX('TaxCred&amp;Subs'!$N$12:$N$47,MATCH(1,($C660&amp;$D660='TaxCred&amp;Subs'!$E$12:$E$47)*($F660='TaxCred&amp;Subs'!$C$12:$C$47),0)
),0),0),(IF($M660&gt;=IFERROR(INDEX('TaxCred&amp;Subs'!$H$12:$H$47,MATCH(1,($C660&amp;$D660='TaxCred&amp;Subs'!$D$12:$D$47)*($F660='TaxCred&amp;Subs'!$C$12:$C$47),0)
),9999),IFERROR(INDEX('TaxCred&amp;Subs'!$N$12:$N$47,MATCH(1,($C660&amp;$D660='TaxCred&amp;Subs'!$D$12:$D$47)*($F660='TaxCred&amp;Subs'!$C$12:$C$47),0)
),0),0)))),0)+IF(AND($C660=2,VALUE(RIGHT($AD660,1))&gt;2),(N660-R660)*(IFERROR(INDEX('TaxCred&amp;Subs'!$J$66:$J$99,MATCH(1,($C660&amp;$D660='TaxCred&amp;Subs'!$E$66:$E$99)*($F660='TaxCred&amp;Subs'!$C$66:$C$99),0)),0)),IF(AND($C660=1,VALUE(RIGHT($AD660,1))&gt;2),(N660-R660)*(IFERROR(INDEX('TaxCred&amp;Subs'!$J$66:$J$99,MATCH(1,($C660&amp;$D660='TaxCred&amp;Subs'!$D$66:$D$99)*($F660='TaxCred&amp;Subs'!$C$66:$C$99),0)),0)),IF($C660&gt;2,(N660-R660)*(IFERROR(INDEX('TaxCred&amp;Subs'!$J$66:$J$99,MATCH(1,($C660&amp;$D660='TaxCred&amp;Subs'!$D$66:$D$99)*($F660='TaxCred&amp;Subs'!$C$66:$C$99),0)),0)),0))),0)</f>
        <v>300</v>
      </c>
      <c r="Q660" s="95">
        <f t="array" ref="Q660">ROUND(IF(AND($C660=2,VALUE(RIGHT($AD660,1))&gt;2),(O660-S660)*(IFERROR(INDEX('TaxCred&amp;Subs'!$J$66:$J$99,MATCH(1,($C660&amp;$D660='TaxCred&amp;Subs'!$E$66:$E$99)*($F660='TaxCred&amp;Subs'!$C$66:$C$99),0)),0)),IF(AND($C660=1,VALUE(RIGHT($AD660,1))&gt;2),(O660-S660)*(IFERROR(INDEX('TaxCred&amp;Subs'!$J$66:$J$99,MATCH(1,($C660&amp;$D660='TaxCred&amp;Subs'!$D$66:$D$99)*($F660='TaxCred&amp;Subs'!$C$66:$C$99),0)),0)),IF($C660&gt;2,(O660-S660)*(IFERROR(INDEX('TaxCred&amp;Subs'!$J$66:$J$99,MATCH(1,($C660&amp;$D660='TaxCred&amp;Subs'!$D$66:$D$99)*($F660='TaxCred&amp;Subs'!$C$66:$C$99),0)),0)),0))),0)</f>
        <v>0</v>
      </c>
      <c r="R660" s="172">
        <f t="array" ref="R660">ROUND(IF(IFERROR(VALUE(RIGHT($AD660,1)),0)&gt;2,IF($C660=8,N660*IFERROR(INDEX('TaxCred&amp;Subs'!$K$139:$S$151,MATCH($C660&amp;$D660&amp;LEFT($AD660,7),'TaxCred&amp;Subs'!$E$139:$E$151,0),MATCH($H660,'TaxCred&amp;Subs'!$K$137:$S$137,0)),0),IF($C660=2,N660*IFERROR(INDEX('TaxCred&amp;Subs'!$K$139:$S$151,MATCH($C660&amp;$D660,'TaxCred&amp;Subs'!$D$139:$D$151,0),MATCH($H660,'TaxCred&amp;Subs'!$K$137:$S$137,0)),0),N660*IFERROR(INDEX('TaxCred&amp;Subs'!$K$139:$S$151,MATCH($C660&amp;$D660,'TaxCred&amp;Subs'!$C$139:$C$151,0),MATCH($H660,'TaxCred&amp;Subs'!$K$137:$S$137,0)),0))),0),0)</f>
        <v>404</v>
      </c>
      <c r="S660" s="172">
        <f t="array" ref="S660">ROUND(IF(IFERROR(VALUE(RIGHT($AD660,1)),0)&gt;2,IF($C660=8,O660*IFERROR(INDEX('TaxCred&amp;Subs'!$K$139:$S$151,MATCH($C660&amp;$D660&amp;LEFT($AD660,7),'TaxCred&amp;Subs'!$E$139:$E$151,0),MATCH($H660,'TaxCred&amp;Subs'!$K$137:$S$137,0)),0),IF($C660=2,O660*IFERROR(INDEX('TaxCred&amp;Subs'!$K$139:$S$151,MATCH($C660&amp;$D660,'TaxCred&amp;Subs'!$D$139:$D$151,0),MATCH($H660,'TaxCred&amp;Subs'!$K$137:$S$137,0)),0),O660*IFERROR(INDEX('TaxCred&amp;Subs'!$K$139:$S$151,MATCH($C660&amp;$D660,'TaxCred&amp;Subs'!$C$139:$C$151,0),MATCH($H660,'TaxCred&amp;Subs'!$K$137:$S$137,0)),0))),0),0)</f>
        <v>271</v>
      </c>
      <c r="T660" s="95">
        <f t="shared" si="35"/>
        <v>0</v>
      </c>
      <c r="U660" s="95">
        <f t="shared" si="36"/>
        <v>0</v>
      </c>
      <c r="V660" s="28" t="s">
        <v>222</v>
      </c>
      <c r="W660" s="31">
        <v>2020</v>
      </c>
      <c r="X660" s="28">
        <v>1</v>
      </c>
      <c r="Y660" s="28">
        <v>0</v>
      </c>
      <c r="Z660" s="196">
        <v>-1.755E-3</v>
      </c>
      <c r="AA660" s="196">
        <v>-2.7E-2</v>
      </c>
      <c r="AB660" s="28">
        <v>0</v>
      </c>
      <c r="AC660" s="28">
        <v>0</v>
      </c>
      <c r="AD660" s="31" t="s">
        <v>442</v>
      </c>
      <c r="AE660" t="s">
        <v>352</v>
      </c>
    </row>
    <row r="661" spans="2:31" ht="14.25" customHeight="1" x14ac:dyDescent="0.2">
      <c r="B661" s="7">
        <f t="shared" si="41"/>
        <v>637</v>
      </c>
      <c r="C661" s="152">
        <v>5</v>
      </c>
      <c r="D661" s="152">
        <v>2</v>
      </c>
      <c r="E661" s="152">
        <v>6</v>
      </c>
      <c r="F661" s="153">
        <v>2020</v>
      </c>
      <c r="G661" s="152">
        <v>2021</v>
      </c>
      <c r="H661" s="152">
        <v>2</v>
      </c>
      <c r="I661" s="152">
        <v>0</v>
      </c>
      <c r="J661" s="152">
        <v>0</v>
      </c>
      <c r="K661" s="152">
        <v>0</v>
      </c>
      <c r="L661" s="152">
        <v>0</v>
      </c>
      <c r="M661" s="154">
        <v>3.33</v>
      </c>
      <c r="N661" s="155">
        <v>1550</v>
      </c>
      <c r="O661" s="155">
        <v>1040</v>
      </c>
      <c r="P661" s="41">
        <f t="array" ref="P661">ROUND(IF($F661&lt;='TaxCred&amp;Subs'!$C$49,(IF($C661=2,IF($M661&gt;=IFERROR(INDEX('TaxCred&amp;Subs'!$L$12:$L$47,MATCH(1,($C661&amp;$D661='TaxCred&amp;Subs'!$E$12:$E$47)*($F661='TaxCred&amp;Subs'!$C$12:$C$47),0)
),9999),IFERROR(INDEX('TaxCred&amp;Subs'!$N$12:$N$47,MATCH(1,($C661&amp;$D661='TaxCred&amp;Subs'!$E$12:$E$47)*($F661='TaxCred&amp;Subs'!$C$12:$C$47),0)
),0),0),(IF($M661&gt;=IFERROR(INDEX('TaxCred&amp;Subs'!$H$12:$H$47,MATCH(1,($C661&amp;$D661='TaxCred&amp;Subs'!$D$12:$D$47)*($F661='TaxCred&amp;Subs'!$C$12:$C$47),0)
),9999),IFERROR(INDEX('TaxCred&amp;Subs'!$N$12:$N$47,MATCH(1,($C661&amp;$D661='TaxCred&amp;Subs'!$D$12:$D$47)*($F661='TaxCred&amp;Subs'!$C$12:$C$47),0)
),0),0)))),0)+IF(AND($C661=2,VALUE(RIGHT($AD661,1))&gt;2),(N661-R661)*(IFERROR(INDEX('TaxCred&amp;Subs'!$J$66:$J$99,MATCH(1,($C661&amp;$D661='TaxCred&amp;Subs'!$E$66:$E$99)*($F661='TaxCred&amp;Subs'!$C$66:$C$99),0)),0)),IF(AND($C661=1,VALUE(RIGHT($AD661,1))&gt;2),(N661-R661)*(IFERROR(INDEX('TaxCred&amp;Subs'!$J$66:$J$99,MATCH(1,($C661&amp;$D661='TaxCred&amp;Subs'!$D$66:$D$99)*($F661='TaxCred&amp;Subs'!$C$66:$C$99),0)),0)),IF($C661&gt;2,(N661-R661)*(IFERROR(INDEX('TaxCred&amp;Subs'!$J$66:$J$99,MATCH(1,($C661&amp;$D661='TaxCred&amp;Subs'!$D$66:$D$99)*($F661='TaxCred&amp;Subs'!$C$66:$C$99),0)),0)),0))),0)</f>
        <v>300</v>
      </c>
      <c r="Q661" s="41">
        <f t="array" ref="Q661">ROUND(IF(AND($C661=2,VALUE(RIGHT($AD661,1))&gt;2),(O661-S661)*(IFERROR(INDEX('TaxCred&amp;Subs'!$J$66:$J$99,MATCH(1,($C661&amp;$D661='TaxCred&amp;Subs'!$E$66:$E$99)*($F661='TaxCred&amp;Subs'!$C$66:$C$99),0)),0)),IF(AND($C661=1,VALUE(RIGHT($AD661,1))&gt;2),(O661-S661)*(IFERROR(INDEX('TaxCred&amp;Subs'!$J$66:$J$99,MATCH(1,($C661&amp;$D661='TaxCred&amp;Subs'!$D$66:$D$99)*($F661='TaxCred&amp;Subs'!$C$66:$C$99),0)),0)),IF($C661&gt;2,(O661-S661)*(IFERROR(INDEX('TaxCred&amp;Subs'!$J$66:$J$99,MATCH(1,($C661&amp;$D661='TaxCred&amp;Subs'!$D$66:$D$99)*($F661='TaxCred&amp;Subs'!$C$66:$C$99),0)),0)),0))),0)</f>
        <v>0</v>
      </c>
      <c r="R661" s="172">
        <f t="array" ref="R661">ROUND(IF(IFERROR(VALUE(RIGHT($AD661,1)),0)&gt;2,IF($C661=8,N661*IFERROR(INDEX('TaxCred&amp;Subs'!$K$139:$S$151,MATCH($C661&amp;$D661&amp;LEFT($AD661,7),'TaxCred&amp;Subs'!$E$139:$E$151,0),MATCH($H661,'TaxCred&amp;Subs'!$K$137:$S$137,0)),0),IF($C661=2,N661*IFERROR(INDEX('TaxCred&amp;Subs'!$K$139:$S$151,MATCH($C661&amp;$D661,'TaxCred&amp;Subs'!$D$139:$D$151,0),MATCH($H661,'TaxCred&amp;Subs'!$K$137:$S$137,0)),0),N661*IFERROR(INDEX('TaxCred&amp;Subs'!$K$139:$S$151,MATCH($C661&amp;$D661,'TaxCred&amp;Subs'!$C$139:$C$151,0),MATCH($H661,'TaxCred&amp;Subs'!$K$137:$S$137,0)),0))),0),0)</f>
        <v>397</v>
      </c>
      <c r="S661" s="172">
        <f t="array" ref="S661">ROUND(IF(IFERROR(VALUE(RIGHT($AD661,1)),0)&gt;2,IF($C661=8,O661*IFERROR(INDEX('TaxCred&amp;Subs'!$K$139:$S$151,MATCH($C661&amp;$D661&amp;LEFT($AD661,7),'TaxCred&amp;Subs'!$E$139:$E$151,0),MATCH($H661,'TaxCred&amp;Subs'!$K$137:$S$137,0)),0),IF($C661=2,O661*IFERROR(INDEX('TaxCred&amp;Subs'!$K$139:$S$151,MATCH($C661&amp;$D661,'TaxCred&amp;Subs'!$D$139:$D$151,0),MATCH($H661,'TaxCred&amp;Subs'!$K$137:$S$137,0)),0),O661*IFERROR(INDEX('TaxCred&amp;Subs'!$K$139:$S$151,MATCH($C661&amp;$D661,'TaxCred&amp;Subs'!$C$139:$C$151,0),MATCH($H661,'TaxCred&amp;Subs'!$K$137:$S$137,0)),0))),0),0)</f>
        <v>266</v>
      </c>
      <c r="T661" s="41">
        <f t="shared" si="35"/>
        <v>0</v>
      </c>
      <c r="U661" s="41">
        <f t="shared" si="36"/>
        <v>0</v>
      </c>
      <c r="V661" s="152" t="s">
        <v>222</v>
      </c>
      <c r="W661" s="152">
        <v>2020</v>
      </c>
      <c r="X661" s="152">
        <v>1</v>
      </c>
      <c r="Y661" s="152">
        <v>0</v>
      </c>
      <c r="Z661" s="194">
        <v>-1.755E-3</v>
      </c>
      <c r="AA661" s="194">
        <v>-2.7E-2</v>
      </c>
      <c r="AB661" s="152">
        <v>0</v>
      </c>
      <c r="AC661" s="152">
        <v>0</v>
      </c>
      <c r="AD661" s="152" t="s">
        <v>442</v>
      </c>
      <c r="AE661" t="s">
        <v>352</v>
      </c>
    </row>
    <row r="662" spans="2:31" ht="14.25" customHeight="1" x14ac:dyDescent="0.2">
      <c r="B662" s="7">
        <f t="shared" si="41"/>
        <v>638</v>
      </c>
      <c r="C662" s="152">
        <v>5</v>
      </c>
      <c r="D662" s="152">
        <v>2</v>
      </c>
      <c r="E662" s="152">
        <v>6</v>
      </c>
      <c r="F662" s="153">
        <v>2020</v>
      </c>
      <c r="G662" s="152">
        <v>2021</v>
      </c>
      <c r="H662" s="152">
        <v>3</v>
      </c>
      <c r="I662" s="152">
        <v>0</v>
      </c>
      <c r="J662" s="152">
        <v>0</v>
      </c>
      <c r="K662" s="152">
        <v>0</v>
      </c>
      <c r="L662" s="152">
        <v>0</v>
      </c>
      <c r="M662" s="154">
        <v>3.33</v>
      </c>
      <c r="N662" s="155">
        <v>1550</v>
      </c>
      <c r="O662" s="155">
        <v>1040</v>
      </c>
      <c r="P662" s="41">
        <f t="array" ref="P662">ROUND(IF($F662&lt;='TaxCred&amp;Subs'!$C$49,(IF($C662=2,IF($M662&gt;=IFERROR(INDEX('TaxCred&amp;Subs'!$L$12:$L$47,MATCH(1,($C662&amp;$D662='TaxCred&amp;Subs'!$E$12:$E$47)*($F662='TaxCred&amp;Subs'!$C$12:$C$47),0)
),9999),IFERROR(INDEX('TaxCred&amp;Subs'!$N$12:$N$47,MATCH(1,($C662&amp;$D662='TaxCred&amp;Subs'!$E$12:$E$47)*($F662='TaxCred&amp;Subs'!$C$12:$C$47),0)
),0),0),(IF($M662&gt;=IFERROR(INDEX('TaxCred&amp;Subs'!$H$12:$H$47,MATCH(1,($C662&amp;$D662='TaxCred&amp;Subs'!$D$12:$D$47)*($F662='TaxCred&amp;Subs'!$C$12:$C$47),0)
),9999),IFERROR(INDEX('TaxCred&amp;Subs'!$N$12:$N$47,MATCH(1,($C662&amp;$D662='TaxCred&amp;Subs'!$D$12:$D$47)*($F662='TaxCred&amp;Subs'!$C$12:$C$47),0)
),0),0)))),0)+IF(AND($C662=2,VALUE(RIGHT($AD662,1))&gt;2),(N662-R662)*(IFERROR(INDEX('TaxCred&amp;Subs'!$J$66:$J$99,MATCH(1,($C662&amp;$D662='TaxCred&amp;Subs'!$E$66:$E$99)*($F662='TaxCred&amp;Subs'!$C$66:$C$99),0)),0)),IF(AND($C662=1,VALUE(RIGHT($AD662,1))&gt;2),(N662-R662)*(IFERROR(INDEX('TaxCred&amp;Subs'!$J$66:$J$99,MATCH(1,($C662&amp;$D662='TaxCred&amp;Subs'!$D$66:$D$99)*($F662='TaxCred&amp;Subs'!$C$66:$C$99),0)),0)),IF($C662&gt;2,(N662-R662)*(IFERROR(INDEX('TaxCred&amp;Subs'!$J$66:$J$99,MATCH(1,($C662&amp;$D662='TaxCred&amp;Subs'!$D$66:$D$99)*($F662='TaxCred&amp;Subs'!$C$66:$C$99),0)),0)),0))),0)</f>
        <v>300</v>
      </c>
      <c r="Q662" s="41">
        <f t="array" ref="Q662">ROUND(IF(AND($C662=2,VALUE(RIGHT($AD662,1))&gt;2),(O662-S662)*(IFERROR(INDEX('TaxCred&amp;Subs'!$J$66:$J$99,MATCH(1,($C662&amp;$D662='TaxCred&amp;Subs'!$E$66:$E$99)*($F662='TaxCred&amp;Subs'!$C$66:$C$99),0)),0)),IF(AND($C662=1,VALUE(RIGHT($AD662,1))&gt;2),(O662-S662)*(IFERROR(INDEX('TaxCred&amp;Subs'!$J$66:$J$99,MATCH(1,($C662&amp;$D662='TaxCred&amp;Subs'!$D$66:$D$99)*($F662='TaxCred&amp;Subs'!$C$66:$C$99),0)),0)),IF($C662&gt;2,(O662-S662)*(IFERROR(INDEX('TaxCred&amp;Subs'!$J$66:$J$99,MATCH(1,($C662&amp;$D662='TaxCred&amp;Subs'!$D$66:$D$99)*($F662='TaxCred&amp;Subs'!$C$66:$C$99),0)),0)),0))),0)</f>
        <v>0</v>
      </c>
      <c r="R662" s="172">
        <f t="array" ref="R662">ROUND(IF(IFERROR(VALUE(RIGHT($AD662,1)),0)&gt;2,IF($C662=8,N662*IFERROR(INDEX('TaxCred&amp;Subs'!$K$139:$S$151,MATCH($C662&amp;$D662&amp;LEFT($AD662,7),'TaxCred&amp;Subs'!$E$139:$E$151,0),MATCH($H662,'TaxCred&amp;Subs'!$K$137:$S$137,0)),0),IF($C662=2,N662*IFERROR(INDEX('TaxCred&amp;Subs'!$K$139:$S$151,MATCH($C662&amp;$D662,'TaxCred&amp;Subs'!$D$139:$D$151,0),MATCH($H662,'TaxCred&amp;Subs'!$K$137:$S$137,0)),0),N662*IFERROR(INDEX('TaxCred&amp;Subs'!$K$139:$S$151,MATCH($C662&amp;$D662,'TaxCred&amp;Subs'!$C$139:$C$151,0),MATCH($H662,'TaxCred&amp;Subs'!$K$137:$S$137,0)),0))),0),0)</f>
        <v>231</v>
      </c>
      <c r="S662" s="172">
        <f t="array" ref="S662">ROUND(IF(IFERROR(VALUE(RIGHT($AD662,1)),0)&gt;2,IF($C662=8,O662*IFERROR(INDEX('TaxCred&amp;Subs'!$K$139:$S$151,MATCH($C662&amp;$D662&amp;LEFT($AD662,7),'TaxCred&amp;Subs'!$E$139:$E$151,0),MATCH($H662,'TaxCred&amp;Subs'!$K$137:$S$137,0)),0),IF($C662=2,O662*IFERROR(INDEX('TaxCred&amp;Subs'!$K$139:$S$151,MATCH($C662&amp;$D662,'TaxCred&amp;Subs'!$D$139:$D$151,0),MATCH($H662,'TaxCred&amp;Subs'!$K$137:$S$137,0)),0),O662*IFERROR(INDEX('TaxCred&amp;Subs'!$K$139:$S$151,MATCH($C662&amp;$D662,'TaxCred&amp;Subs'!$C$139:$C$151,0),MATCH($H662,'TaxCred&amp;Subs'!$K$137:$S$137,0)),0))),0),0)</f>
        <v>155</v>
      </c>
      <c r="T662" s="41">
        <f t="shared" si="35"/>
        <v>0</v>
      </c>
      <c r="U662" s="41">
        <f t="shared" si="36"/>
        <v>0</v>
      </c>
      <c r="V662" s="152" t="s">
        <v>222</v>
      </c>
      <c r="W662" s="152">
        <v>2020</v>
      </c>
      <c r="X662" s="152">
        <v>1</v>
      </c>
      <c r="Y662" s="152">
        <v>0</v>
      </c>
      <c r="Z662" s="194">
        <v>-1.755E-3</v>
      </c>
      <c r="AA662" s="194">
        <v>-2.7E-2</v>
      </c>
      <c r="AB662" s="152">
        <v>0</v>
      </c>
      <c r="AC662" s="152">
        <v>0</v>
      </c>
      <c r="AD662" s="152" t="s">
        <v>442</v>
      </c>
      <c r="AE662" t="s">
        <v>352</v>
      </c>
    </row>
    <row r="663" spans="2:31" ht="14.25" customHeight="1" x14ac:dyDescent="0.2">
      <c r="B663" s="7">
        <f t="shared" si="41"/>
        <v>639</v>
      </c>
      <c r="C663" s="152">
        <v>5</v>
      </c>
      <c r="D663" s="152">
        <v>2</v>
      </c>
      <c r="E663" s="152">
        <v>6</v>
      </c>
      <c r="F663" s="153">
        <v>2020</v>
      </c>
      <c r="G663" s="152">
        <v>2021</v>
      </c>
      <c r="H663" s="152">
        <v>4</v>
      </c>
      <c r="I663" s="152">
        <v>0</v>
      </c>
      <c r="J663" s="152">
        <v>0</v>
      </c>
      <c r="K663" s="152">
        <v>0</v>
      </c>
      <c r="L663" s="152">
        <v>0</v>
      </c>
      <c r="M663" s="154">
        <v>3.33</v>
      </c>
      <c r="N663" s="155">
        <v>1550</v>
      </c>
      <c r="O663" s="155">
        <v>1040</v>
      </c>
      <c r="P663" s="41">
        <f t="array" ref="P663">ROUND(IF($F663&lt;='TaxCred&amp;Subs'!$C$49,(IF($C663=2,IF($M663&gt;=IFERROR(INDEX('TaxCred&amp;Subs'!$L$12:$L$47,MATCH(1,($C663&amp;$D663='TaxCred&amp;Subs'!$E$12:$E$47)*($F663='TaxCred&amp;Subs'!$C$12:$C$47),0)
),9999),IFERROR(INDEX('TaxCred&amp;Subs'!$N$12:$N$47,MATCH(1,($C663&amp;$D663='TaxCred&amp;Subs'!$E$12:$E$47)*($F663='TaxCred&amp;Subs'!$C$12:$C$47),0)
),0),0),(IF($M663&gt;=IFERROR(INDEX('TaxCred&amp;Subs'!$H$12:$H$47,MATCH(1,($C663&amp;$D663='TaxCred&amp;Subs'!$D$12:$D$47)*($F663='TaxCred&amp;Subs'!$C$12:$C$47),0)
),9999),IFERROR(INDEX('TaxCred&amp;Subs'!$N$12:$N$47,MATCH(1,($C663&amp;$D663='TaxCred&amp;Subs'!$D$12:$D$47)*($F663='TaxCred&amp;Subs'!$C$12:$C$47),0)
),0),0)))),0)+IF(AND($C663=2,VALUE(RIGHT($AD663,1))&gt;2),(N663-R663)*(IFERROR(INDEX('TaxCred&amp;Subs'!$J$66:$J$99,MATCH(1,($C663&amp;$D663='TaxCred&amp;Subs'!$E$66:$E$99)*($F663='TaxCred&amp;Subs'!$C$66:$C$99),0)),0)),IF(AND($C663=1,VALUE(RIGHT($AD663,1))&gt;2),(N663-R663)*(IFERROR(INDEX('TaxCred&amp;Subs'!$J$66:$J$99,MATCH(1,($C663&amp;$D663='TaxCred&amp;Subs'!$D$66:$D$99)*($F663='TaxCred&amp;Subs'!$C$66:$C$99),0)),0)),IF($C663&gt;2,(N663-R663)*(IFERROR(INDEX('TaxCred&amp;Subs'!$J$66:$J$99,MATCH(1,($C663&amp;$D663='TaxCred&amp;Subs'!$D$66:$D$99)*($F663='TaxCred&amp;Subs'!$C$66:$C$99),0)),0)),0))),0)</f>
        <v>300</v>
      </c>
      <c r="Q663" s="41">
        <f t="array" ref="Q663">ROUND(IF(AND($C663=2,VALUE(RIGHT($AD663,1))&gt;2),(O663-S663)*(IFERROR(INDEX('TaxCred&amp;Subs'!$J$66:$J$99,MATCH(1,($C663&amp;$D663='TaxCred&amp;Subs'!$E$66:$E$99)*($F663='TaxCred&amp;Subs'!$C$66:$C$99),0)),0)),IF(AND($C663=1,VALUE(RIGHT($AD663,1))&gt;2),(O663-S663)*(IFERROR(INDEX('TaxCred&amp;Subs'!$J$66:$J$99,MATCH(1,($C663&amp;$D663='TaxCred&amp;Subs'!$D$66:$D$99)*($F663='TaxCred&amp;Subs'!$C$66:$C$99),0)),0)),IF($C663&gt;2,(O663-S663)*(IFERROR(INDEX('TaxCred&amp;Subs'!$J$66:$J$99,MATCH(1,($C663&amp;$D663='TaxCred&amp;Subs'!$D$66:$D$99)*($F663='TaxCred&amp;Subs'!$C$66:$C$99),0)),0)),0))),0)</f>
        <v>0</v>
      </c>
      <c r="R663" s="172">
        <f t="array" ref="R663">ROUND(IF(IFERROR(VALUE(RIGHT($AD663,1)),0)&gt;2,IF($C663=8,N663*IFERROR(INDEX('TaxCred&amp;Subs'!$K$139:$S$151,MATCH($C663&amp;$D663&amp;LEFT($AD663,7),'TaxCred&amp;Subs'!$E$139:$E$151,0),MATCH($H663,'TaxCred&amp;Subs'!$K$137:$S$137,0)),0),IF($C663=2,N663*IFERROR(INDEX('TaxCred&amp;Subs'!$K$139:$S$151,MATCH($C663&amp;$D663,'TaxCred&amp;Subs'!$D$139:$D$151,0),MATCH($H663,'TaxCred&amp;Subs'!$K$137:$S$137,0)),0),N663*IFERROR(INDEX('TaxCred&amp;Subs'!$K$139:$S$151,MATCH($C663&amp;$D663,'TaxCred&amp;Subs'!$C$139:$C$151,0),MATCH($H663,'TaxCred&amp;Subs'!$K$137:$S$137,0)),0))),0),0)</f>
        <v>182</v>
      </c>
      <c r="S663" s="172">
        <f t="array" ref="S663">ROUND(IF(IFERROR(VALUE(RIGHT($AD663,1)),0)&gt;2,IF($C663=8,O663*IFERROR(INDEX('TaxCred&amp;Subs'!$K$139:$S$151,MATCH($C663&amp;$D663&amp;LEFT($AD663,7),'TaxCred&amp;Subs'!$E$139:$E$151,0),MATCH($H663,'TaxCred&amp;Subs'!$K$137:$S$137,0)),0),IF($C663=2,O663*IFERROR(INDEX('TaxCred&amp;Subs'!$K$139:$S$151,MATCH($C663&amp;$D663,'TaxCred&amp;Subs'!$D$139:$D$151,0),MATCH($H663,'TaxCred&amp;Subs'!$K$137:$S$137,0)),0),O663*IFERROR(INDEX('TaxCred&amp;Subs'!$K$139:$S$151,MATCH($C663&amp;$D663,'TaxCred&amp;Subs'!$C$139:$C$151,0),MATCH($H663,'TaxCred&amp;Subs'!$K$137:$S$137,0)),0))),0),0)</f>
        <v>122</v>
      </c>
      <c r="T663" s="41">
        <f t="shared" ref="T663:T726" si="46">IF($H663=9,IF(R663&gt;0,(N663-P663)*0.15,0),0)</f>
        <v>0</v>
      </c>
      <c r="U663" s="41">
        <f t="shared" ref="U663:U726" si="47">IF($H663=9,IF(S663&gt;0,(O663-Q663)*0.15,0),0)</f>
        <v>0</v>
      </c>
      <c r="V663" s="152" t="s">
        <v>222</v>
      </c>
      <c r="W663" s="152">
        <v>2020</v>
      </c>
      <c r="X663" s="152">
        <v>1</v>
      </c>
      <c r="Y663" s="152">
        <v>0</v>
      </c>
      <c r="Z663" s="194">
        <v>-1.755E-3</v>
      </c>
      <c r="AA663" s="194">
        <v>-2.7E-2</v>
      </c>
      <c r="AB663" s="152">
        <v>0</v>
      </c>
      <c r="AC663" s="152">
        <v>0</v>
      </c>
      <c r="AD663" s="152" t="s">
        <v>442</v>
      </c>
      <c r="AE663" t="s">
        <v>352</v>
      </c>
    </row>
    <row r="664" spans="2:31" ht="14.25" customHeight="1" x14ac:dyDescent="0.2">
      <c r="B664" s="7">
        <f t="shared" si="41"/>
        <v>640</v>
      </c>
      <c r="C664" s="152">
        <v>5</v>
      </c>
      <c r="D664" s="152">
        <v>2</v>
      </c>
      <c r="E664" s="152">
        <v>6</v>
      </c>
      <c r="F664" s="153">
        <v>2020</v>
      </c>
      <c r="G664" s="152">
        <v>2021</v>
      </c>
      <c r="H664" s="152">
        <v>5</v>
      </c>
      <c r="I664" s="152">
        <v>0</v>
      </c>
      <c r="J664" s="152">
        <v>0</v>
      </c>
      <c r="K664" s="152">
        <v>0</v>
      </c>
      <c r="L664" s="152">
        <v>0</v>
      </c>
      <c r="M664" s="154">
        <v>3.33</v>
      </c>
      <c r="N664" s="155">
        <v>1550</v>
      </c>
      <c r="O664" s="155">
        <v>1040</v>
      </c>
      <c r="P664" s="41">
        <f t="array" ref="P664">ROUND(IF($F664&lt;='TaxCred&amp;Subs'!$C$49,(IF($C664=2,IF($M664&gt;=IFERROR(INDEX('TaxCred&amp;Subs'!$L$12:$L$47,MATCH(1,($C664&amp;$D664='TaxCred&amp;Subs'!$E$12:$E$47)*($F664='TaxCred&amp;Subs'!$C$12:$C$47),0)
),9999),IFERROR(INDEX('TaxCred&amp;Subs'!$N$12:$N$47,MATCH(1,($C664&amp;$D664='TaxCred&amp;Subs'!$E$12:$E$47)*($F664='TaxCred&amp;Subs'!$C$12:$C$47),0)
),0),0),(IF($M664&gt;=IFERROR(INDEX('TaxCred&amp;Subs'!$H$12:$H$47,MATCH(1,($C664&amp;$D664='TaxCred&amp;Subs'!$D$12:$D$47)*($F664='TaxCred&amp;Subs'!$C$12:$C$47),0)
),9999),IFERROR(INDEX('TaxCred&amp;Subs'!$N$12:$N$47,MATCH(1,($C664&amp;$D664='TaxCred&amp;Subs'!$D$12:$D$47)*($F664='TaxCred&amp;Subs'!$C$12:$C$47),0)
),0),0)))),0)+IF(AND($C664=2,VALUE(RIGHT($AD664,1))&gt;2),(N664-R664)*(IFERROR(INDEX('TaxCred&amp;Subs'!$J$66:$J$99,MATCH(1,($C664&amp;$D664='TaxCred&amp;Subs'!$E$66:$E$99)*($F664='TaxCred&amp;Subs'!$C$66:$C$99),0)),0)),IF(AND($C664=1,VALUE(RIGHT($AD664,1))&gt;2),(N664-R664)*(IFERROR(INDEX('TaxCred&amp;Subs'!$J$66:$J$99,MATCH(1,($C664&amp;$D664='TaxCred&amp;Subs'!$D$66:$D$99)*($F664='TaxCred&amp;Subs'!$C$66:$C$99),0)),0)),IF($C664&gt;2,(N664-R664)*(IFERROR(INDEX('TaxCred&amp;Subs'!$J$66:$J$99,MATCH(1,($C664&amp;$D664='TaxCred&amp;Subs'!$D$66:$D$99)*($F664='TaxCred&amp;Subs'!$C$66:$C$99),0)),0)),0))),0)</f>
        <v>300</v>
      </c>
      <c r="Q664" s="41">
        <f t="array" ref="Q664">ROUND(IF(AND($C664=2,VALUE(RIGHT($AD664,1))&gt;2),(O664-S664)*(IFERROR(INDEX('TaxCred&amp;Subs'!$J$66:$J$99,MATCH(1,($C664&amp;$D664='TaxCred&amp;Subs'!$E$66:$E$99)*($F664='TaxCred&amp;Subs'!$C$66:$C$99),0)),0)),IF(AND($C664=1,VALUE(RIGHT($AD664,1))&gt;2),(O664-S664)*(IFERROR(INDEX('TaxCred&amp;Subs'!$J$66:$J$99,MATCH(1,($C664&amp;$D664='TaxCred&amp;Subs'!$D$66:$D$99)*($F664='TaxCred&amp;Subs'!$C$66:$C$99),0)),0)),IF($C664&gt;2,(O664-S664)*(IFERROR(INDEX('TaxCred&amp;Subs'!$J$66:$J$99,MATCH(1,($C664&amp;$D664='TaxCred&amp;Subs'!$D$66:$D$99)*($F664='TaxCred&amp;Subs'!$C$66:$C$99),0)),0)),0))),0)</f>
        <v>0</v>
      </c>
      <c r="R664" s="172">
        <f t="array" ref="R664">ROUND(IF(IFERROR(VALUE(RIGHT($AD664,1)),0)&gt;2,IF($C664=8,N664*IFERROR(INDEX('TaxCred&amp;Subs'!$K$139:$S$151,MATCH($C664&amp;$D664&amp;LEFT($AD664,7),'TaxCred&amp;Subs'!$E$139:$E$151,0),MATCH($H664,'TaxCred&amp;Subs'!$K$137:$S$137,0)),0),IF($C664=2,N664*IFERROR(INDEX('TaxCred&amp;Subs'!$K$139:$S$151,MATCH($C664&amp;$D664,'TaxCred&amp;Subs'!$D$139:$D$151,0),MATCH($H664,'TaxCred&amp;Subs'!$K$137:$S$137,0)),0),N664*IFERROR(INDEX('TaxCred&amp;Subs'!$K$139:$S$151,MATCH($C664&amp;$D664,'TaxCred&amp;Subs'!$C$139:$C$151,0),MATCH($H664,'TaxCred&amp;Subs'!$K$137:$S$137,0)),0))),0),0)</f>
        <v>205</v>
      </c>
      <c r="S664" s="172">
        <f t="array" ref="S664">ROUND(IF(IFERROR(VALUE(RIGHT($AD664,1)),0)&gt;2,IF($C664=8,O664*IFERROR(INDEX('TaxCred&amp;Subs'!$K$139:$S$151,MATCH($C664&amp;$D664&amp;LEFT($AD664,7),'TaxCred&amp;Subs'!$E$139:$E$151,0),MATCH($H664,'TaxCred&amp;Subs'!$K$137:$S$137,0)),0),IF($C664=2,O664*IFERROR(INDEX('TaxCred&amp;Subs'!$K$139:$S$151,MATCH($C664&amp;$D664,'TaxCred&amp;Subs'!$D$139:$D$151,0),MATCH($H664,'TaxCred&amp;Subs'!$K$137:$S$137,0)),0),O664*IFERROR(INDEX('TaxCred&amp;Subs'!$K$139:$S$151,MATCH($C664&amp;$D664,'TaxCred&amp;Subs'!$C$139:$C$151,0),MATCH($H664,'TaxCred&amp;Subs'!$K$137:$S$137,0)),0))),0),0)</f>
        <v>137</v>
      </c>
      <c r="T664" s="41">
        <f t="shared" si="46"/>
        <v>0</v>
      </c>
      <c r="U664" s="41">
        <f t="shared" si="47"/>
        <v>0</v>
      </c>
      <c r="V664" s="152" t="s">
        <v>222</v>
      </c>
      <c r="W664" s="152">
        <v>2020</v>
      </c>
      <c r="X664" s="152">
        <v>1</v>
      </c>
      <c r="Y664" s="152">
        <v>0</v>
      </c>
      <c r="Z664" s="194">
        <v>-1.755E-3</v>
      </c>
      <c r="AA664" s="194">
        <v>-2.7E-2</v>
      </c>
      <c r="AB664" s="152">
        <v>0</v>
      </c>
      <c r="AC664" s="152">
        <v>0</v>
      </c>
      <c r="AD664" s="152" t="s">
        <v>442</v>
      </c>
      <c r="AE664" t="s">
        <v>352</v>
      </c>
    </row>
    <row r="665" spans="2:31" ht="14.25" customHeight="1" x14ac:dyDescent="0.2">
      <c r="B665" s="7">
        <f t="shared" si="41"/>
        <v>641</v>
      </c>
      <c r="C665" s="152">
        <v>5</v>
      </c>
      <c r="D665" s="152">
        <v>2</v>
      </c>
      <c r="E665" s="152">
        <v>6</v>
      </c>
      <c r="F665" s="153">
        <v>2020</v>
      </c>
      <c r="G665" s="152">
        <v>2021</v>
      </c>
      <c r="H665" s="152">
        <v>6</v>
      </c>
      <c r="I665" s="152">
        <v>0</v>
      </c>
      <c r="J665" s="152">
        <v>0</v>
      </c>
      <c r="K665" s="152">
        <v>0</v>
      </c>
      <c r="L665" s="152">
        <v>0</v>
      </c>
      <c r="M665" s="154">
        <v>3.33</v>
      </c>
      <c r="N665" s="155">
        <v>1550</v>
      </c>
      <c r="O665" s="155">
        <v>1040</v>
      </c>
      <c r="P665" s="41">
        <f t="array" ref="P665">ROUND(IF($F665&lt;='TaxCred&amp;Subs'!$C$49,(IF($C665=2,IF($M665&gt;=IFERROR(INDEX('TaxCred&amp;Subs'!$L$12:$L$47,MATCH(1,($C665&amp;$D665='TaxCred&amp;Subs'!$E$12:$E$47)*($F665='TaxCred&amp;Subs'!$C$12:$C$47),0)
),9999),IFERROR(INDEX('TaxCred&amp;Subs'!$N$12:$N$47,MATCH(1,($C665&amp;$D665='TaxCred&amp;Subs'!$E$12:$E$47)*($F665='TaxCred&amp;Subs'!$C$12:$C$47),0)
),0),0),(IF($M665&gt;=IFERROR(INDEX('TaxCred&amp;Subs'!$H$12:$H$47,MATCH(1,($C665&amp;$D665='TaxCred&amp;Subs'!$D$12:$D$47)*($F665='TaxCred&amp;Subs'!$C$12:$C$47),0)
),9999),IFERROR(INDEX('TaxCred&amp;Subs'!$N$12:$N$47,MATCH(1,($C665&amp;$D665='TaxCred&amp;Subs'!$D$12:$D$47)*($F665='TaxCred&amp;Subs'!$C$12:$C$47),0)
),0),0)))),0)+IF(AND($C665=2,VALUE(RIGHT($AD665,1))&gt;2),(N665-R665)*(IFERROR(INDEX('TaxCred&amp;Subs'!$J$66:$J$99,MATCH(1,($C665&amp;$D665='TaxCred&amp;Subs'!$E$66:$E$99)*($F665='TaxCred&amp;Subs'!$C$66:$C$99),0)),0)),IF(AND($C665=1,VALUE(RIGHT($AD665,1))&gt;2),(N665-R665)*(IFERROR(INDEX('TaxCred&amp;Subs'!$J$66:$J$99,MATCH(1,($C665&amp;$D665='TaxCred&amp;Subs'!$D$66:$D$99)*($F665='TaxCred&amp;Subs'!$C$66:$C$99),0)),0)),IF($C665&gt;2,(N665-R665)*(IFERROR(INDEX('TaxCred&amp;Subs'!$J$66:$J$99,MATCH(1,($C665&amp;$D665='TaxCred&amp;Subs'!$D$66:$D$99)*($F665='TaxCred&amp;Subs'!$C$66:$C$99),0)),0)),0))),0)</f>
        <v>300</v>
      </c>
      <c r="Q665" s="41">
        <f t="array" ref="Q665">ROUND(IF(AND($C665=2,VALUE(RIGHT($AD665,1))&gt;2),(O665-S665)*(IFERROR(INDEX('TaxCred&amp;Subs'!$J$66:$J$99,MATCH(1,($C665&amp;$D665='TaxCred&amp;Subs'!$E$66:$E$99)*($F665='TaxCred&amp;Subs'!$C$66:$C$99),0)),0)),IF(AND($C665=1,VALUE(RIGHT($AD665,1))&gt;2),(O665-S665)*(IFERROR(INDEX('TaxCred&amp;Subs'!$J$66:$J$99,MATCH(1,($C665&amp;$D665='TaxCred&amp;Subs'!$D$66:$D$99)*($F665='TaxCred&amp;Subs'!$C$66:$C$99),0)),0)),IF($C665&gt;2,(O665-S665)*(IFERROR(INDEX('TaxCred&amp;Subs'!$J$66:$J$99,MATCH(1,($C665&amp;$D665='TaxCred&amp;Subs'!$D$66:$D$99)*($F665='TaxCred&amp;Subs'!$C$66:$C$99),0)),0)),0))),0)</f>
        <v>0</v>
      </c>
      <c r="R665" s="172">
        <f t="array" ref="R665">ROUND(IF(IFERROR(VALUE(RIGHT($AD665,1)),0)&gt;2,IF($C665=8,N665*IFERROR(INDEX('TaxCred&amp;Subs'!$K$139:$S$151,MATCH($C665&amp;$D665&amp;LEFT($AD665,7),'TaxCred&amp;Subs'!$E$139:$E$151,0),MATCH($H665,'TaxCred&amp;Subs'!$K$137:$S$137,0)),0),IF($C665=2,N665*IFERROR(INDEX('TaxCred&amp;Subs'!$K$139:$S$151,MATCH($C665&amp;$D665,'TaxCred&amp;Subs'!$D$139:$D$151,0),MATCH($H665,'TaxCred&amp;Subs'!$K$137:$S$137,0)),0),N665*IFERROR(INDEX('TaxCred&amp;Subs'!$K$139:$S$151,MATCH($C665&amp;$D665,'TaxCred&amp;Subs'!$C$139:$C$151,0),MATCH($H665,'TaxCred&amp;Subs'!$K$137:$S$137,0)),0))),0),0)</f>
        <v>104</v>
      </c>
      <c r="S665" s="172">
        <f t="array" ref="S665">ROUND(IF(IFERROR(VALUE(RIGHT($AD665,1)),0)&gt;2,IF($C665=8,O665*IFERROR(INDEX('TaxCred&amp;Subs'!$K$139:$S$151,MATCH($C665&amp;$D665&amp;LEFT($AD665,7),'TaxCred&amp;Subs'!$E$139:$E$151,0),MATCH($H665,'TaxCred&amp;Subs'!$K$137:$S$137,0)),0),IF($C665=2,O665*IFERROR(INDEX('TaxCred&amp;Subs'!$K$139:$S$151,MATCH($C665&amp;$D665,'TaxCred&amp;Subs'!$D$139:$D$151,0),MATCH($H665,'TaxCred&amp;Subs'!$K$137:$S$137,0)),0),O665*IFERROR(INDEX('TaxCred&amp;Subs'!$K$139:$S$151,MATCH($C665&amp;$D665,'TaxCred&amp;Subs'!$C$139:$C$151,0),MATCH($H665,'TaxCred&amp;Subs'!$K$137:$S$137,0)),0))),0),0)</f>
        <v>70</v>
      </c>
      <c r="T665" s="41">
        <f t="shared" si="46"/>
        <v>0</v>
      </c>
      <c r="U665" s="41">
        <f t="shared" si="47"/>
        <v>0</v>
      </c>
      <c r="V665" s="152" t="s">
        <v>222</v>
      </c>
      <c r="W665" s="152">
        <v>2020</v>
      </c>
      <c r="X665" s="152">
        <v>1</v>
      </c>
      <c r="Y665" s="152">
        <v>0</v>
      </c>
      <c r="Z665" s="194">
        <v>-1.755E-3</v>
      </c>
      <c r="AA665" s="194">
        <v>-2.7E-2</v>
      </c>
      <c r="AB665" s="152">
        <v>0</v>
      </c>
      <c r="AC665" s="152">
        <v>0</v>
      </c>
      <c r="AD665" s="152" t="s">
        <v>442</v>
      </c>
      <c r="AE665" t="s">
        <v>352</v>
      </c>
    </row>
    <row r="666" spans="2:31" ht="14.25" customHeight="1" x14ac:dyDescent="0.2">
      <c r="B666" s="7">
        <f t="shared" si="41"/>
        <v>642</v>
      </c>
      <c r="C666" s="152">
        <v>5</v>
      </c>
      <c r="D666" s="152">
        <v>2</v>
      </c>
      <c r="E666" s="152">
        <v>6</v>
      </c>
      <c r="F666" s="153">
        <v>2020</v>
      </c>
      <c r="G666" s="152">
        <v>2021</v>
      </c>
      <c r="H666" s="152">
        <v>7</v>
      </c>
      <c r="I666" s="152">
        <v>0</v>
      </c>
      <c r="J666" s="152">
        <v>0</v>
      </c>
      <c r="K666" s="152">
        <v>0</v>
      </c>
      <c r="L666" s="152">
        <v>0</v>
      </c>
      <c r="M666" s="154">
        <v>3.33</v>
      </c>
      <c r="N666" s="155">
        <v>1550</v>
      </c>
      <c r="O666" s="155">
        <v>1040</v>
      </c>
      <c r="P666" s="41">
        <f t="array" ref="P666">ROUND(IF($F666&lt;='TaxCred&amp;Subs'!$C$49,(IF($C666=2,IF($M666&gt;=IFERROR(INDEX('TaxCred&amp;Subs'!$L$12:$L$47,MATCH(1,($C666&amp;$D666='TaxCred&amp;Subs'!$E$12:$E$47)*($F666='TaxCred&amp;Subs'!$C$12:$C$47),0)
),9999),IFERROR(INDEX('TaxCred&amp;Subs'!$N$12:$N$47,MATCH(1,($C666&amp;$D666='TaxCred&amp;Subs'!$E$12:$E$47)*($F666='TaxCred&amp;Subs'!$C$12:$C$47),0)
),0),0),(IF($M666&gt;=IFERROR(INDEX('TaxCred&amp;Subs'!$H$12:$H$47,MATCH(1,($C666&amp;$D666='TaxCred&amp;Subs'!$D$12:$D$47)*($F666='TaxCred&amp;Subs'!$C$12:$C$47),0)
),9999),IFERROR(INDEX('TaxCred&amp;Subs'!$N$12:$N$47,MATCH(1,($C666&amp;$D666='TaxCred&amp;Subs'!$D$12:$D$47)*($F666='TaxCred&amp;Subs'!$C$12:$C$47),0)
),0),0)))),0)+IF(AND($C666=2,VALUE(RIGHT($AD666,1))&gt;2),(N666-R666)*(IFERROR(INDEX('TaxCred&amp;Subs'!$J$66:$J$99,MATCH(1,($C666&amp;$D666='TaxCred&amp;Subs'!$E$66:$E$99)*($F666='TaxCred&amp;Subs'!$C$66:$C$99),0)),0)),IF(AND($C666=1,VALUE(RIGHT($AD666,1))&gt;2),(N666-R666)*(IFERROR(INDEX('TaxCred&amp;Subs'!$J$66:$J$99,MATCH(1,($C666&amp;$D666='TaxCred&amp;Subs'!$D$66:$D$99)*($F666='TaxCred&amp;Subs'!$C$66:$C$99),0)),0)),IF($C666&gt;2,(N666-R666)*(IFERROR(INDEX('TaxCred&amp;Subs'!$J$66:$J$99,MATCH(1,($C666&amp;$D666='TaxCred&amp;Subs'!$D$66:$D$99)*($F666='TaxCred&amp;Subs'!$C$66:$C$99),0)),0)),0))),0)</f>
        <v>300</v>
      </c>
      <c r="Q666" s="41">
        <f t="array" ref="Q666">ROUND(IF(AND($C666=2,VALUE(RIGHT($AD666,1))&gt;2),(O666-S666)*(IFERROR(INDEX('TaxCred&amp;Subs'!$J$66:$J$99,MATCH(1,($C666&amp;$D666='TaxCred&amp;Subs'!$E$66:$E$99)*($F666='TaxCred&amp;Subs'!$C$66:$C$99),0)),0)),IF(AND($C666=1,VALUE(RIGHT($AD666,1))&gt;2),(O666-S666)*(IFERROR(INDEX('TaxCred&amp;Subs'!$J$66:$J$99,MATCH(1,($C666&amp;$D666='TaxCred&amp;Subs'!$D$66:$D$99)*($F666='TaxCred&amp;Subs'!$C$66:$C$99),0)),0)),IF($C666&gt;2,(O666-S666)*(IFERROR(INDEX('TaxCred&amp;Subs'!$J$66:$J$99,MATCH(1,($C666&amp;$D666='TaxCred&amp;Subs'!$D$66:$D$99)*($F666='TaxCred&amp;Subs'!$C$66:$C$99),0)),0)),0))),0)</f>
        <v>0</v>
      </c>
      <c r="R666" s="172">
        <f t="array" ref="R666">ROUND(IF(IFERROR(VALUE(RIGHT($AD666,1)),0)&gt;2,IF($C666=8,N666*IFERROR(INDEX('TaxCred&amp;Subs'!$K$139:$S$151,MATCH($C666&amp;$D666&amp;LEFT($AD666,7),'TaxCred&amp;Subs'!$E$139:$E$151,0),MATCH($H666,'TaxCred&amp;Subs'!$K$137:$S$137,0)),0),IF($C666=2,N666*IFERROR(INDEX('TaxCred&amp;Subs'!$K$139:$S$151,MATCH($C666&amp;$D666,'TaxCred&amp;Subs'!$D$139:$D$151,0),MATCH($H666,'TaxCred&amp;Subs'!$K$137:$S$137,0)),0),N666*IFERROR(INDEX('TaxCred&amp;Subs'!$K$139:$S$151,MATCH($C666&amp;$D666,'TaxCred&amp;Subs'!$C$139:$C$151,0),MATCH($H666,'TaxCred&amp;Subs'!$K$137:$S$137,0)),0))),0),0)</f>
        <v>318</v>
      </c>
      <c r="S666" s="172">
        <f t="array" ref="S666">ROUND(IF(IFERROR(VALUE(RIGHT($AD666,1)),0)&gt;2,IF($C666=8,O666*IFERROR(INDEX('TaxCred&amp;Subs'!$K$139:$S$151,MATCH($C666&amp;$D666&amp;LEFT($AD666,7),'TaxCred&amp;Subs'!$E$139:$E$151,0),MATCH($H666,'TaxCred&amp;Subs'!$K$137:$S$137,0)),0),IF($C666=2,O666*IFERROR(INDEX('TaxCred&amp;Subs'!$K$139:$S$151,MATCH($C666&amp;$D666,'TaxCred&amp;Subs'!$D$139:$D$151,0),MATCH($H666,'TaxCred&amp;Subs'!$K$137:$S$137,0)),0),O666*IFERROR(INDEX('TaxCred&amp;Subs'!$K$139:$S$151,MATCH($C666&amp;$D666,'TaxCred&amp;Subs'!$C$139:$C$151,0),MATCH($H666,'TaxCred&amp;Subs'!$K$137:$S$137,0)),0))),0),0)</f>
        <v>214</v>
      </c>
      <c r="T666" s="41">
        <f t="shared" si="46"/>
        <v>0</v>
      </c>
      <c r="U666" s="41">
        <f t="shared" si="47"/>
        <v>0</v>
      </c>
      <c r="V666" s="152" t="s">
        <v>222</v>
      </c>
      <c r="W666" s="152">
        <v>2020</v>
      </c>
      <c r="X666" s="152">
        <v>1</v>
      </c>
      <c r="Y666" s="152">
        <v>0</v>
      </c>
      <c r="Z666" s="194">
        <v>-1.755E-3</v>
      </c>
      <c r="AA666" s="194">
        <v>-2.7E-2</v>
      </c>
      <c r="AB666" s="152">
        <v>0</v>
      </c>
      <c r="AC666" s="152">
        <v>0</v>
      </c>
      <c r="AD666" s="152" t="s">
        <v>442</v>
      </c>
      <c r="AE666" t="s">
        <v>352</v>
      </c>
    </row>
    <row r="667" spans="2:31" ht="14.25" customHeight="1" x14ac:dyDescent="0.2">
      <c r="B667" s="7">
        <f t="shared" ref="B667:B730" si="48">B666+1</f>
        <v>643</v>
      </c>
      <c r="C667" s="152">
        <v>5</v>
      </c>
      <c r="D667" s="152">
        <v>2</v>
      </c>
      <c r="E667" s="152">
        <v>6</v>
      </c>
      <c r="F667" s="153">
        <v>2020</v>
      </c>
      <c r="G667" s="152">
        <v>2021</v>
      </c>
      <c r="H667" s="152">
        <v>8</v>
      </c>
      <c r="I667" s="152">
        <v>0</v>
      </c>
      <c r="J667" s="152">
        <v>0</v>
      </c>
      <c r="K667" s="152">
        <v>0</v>
      </c>
      <c r="L667" s="152">
        <v>0</v>
      </c>
      <c r="M667" s="154">
        <v>3.33</v>
      </c>
      <c r="N667" s="155">
        <v>1550</v>
      </c>
      <c r="O667" s="155">
        <v>1040</v>
      </c>
      <c r="P667" s="41">
        <f t="array" ref="P667">ROUND(IF($F667&lt;='TaxCred&amp;Subs'!$C$49,(IF($C667=2,IF($M667&gt;=IFERROR(INDEX('TaxCred&amp;Subs'!$L$12:$L$47,MATCH(1,($C667&amp;$D667='TaxCred&amp;Subs'!$E$12:$E$47)*($F667='TaxCred&amp;Subs'!$C$12:$C$47),0)
),9999),IFERROR(INDEX('TaxCred&amp;Subs'!$N$12:$N$47,MATCH(1,($C667&amp;$D667='TaxCred&amp;Subs'!$E$12:$E$47)*($F667='TaxCred&amp;Subs'!$C$12:$C$47),0)
),0),0),(IF($M667&gt;=IFERROR(INDEX('TaxCred&amp;Subs'!$H$12:$H$47,MATCH(1,($C667&amp;$D667='TaxCred&amp;Subs'!$D$12:$D$47)*($F667='TaxCred&amp;Subs'!$C$12:$C$47),0)
),9999),IFERROR(INDEX('TaxCred&amp;Subs'!$N$12:$N$47,MATCH(1,($C667&amp;$D667='TaxCred&amp;Subs'!$D$12:$D$47)*($F667='TaxCred&amp;Subs'!$C$12:$C$47),0)
),0),0)))),0)+IF(AND($C667=2,VALUE(RIGHT($AD667,1))&gt;2),(N667-R667)*(IFERROR(INDEX('TaxCred&amp;Subs'!$J$66:$J$99,MATCH(1,($C667&amp;$D667='TaxCred&amp;Subs'!$E$66:$E$99)*($F667='TaxCred&amp;Subs'!$C$66:$C$99),0)),0)),IF(AND($C667=1,VALUE(RIGHT($AD667,1))&gt;2),(N667-R667)*(IFERROR(INDEX('TaxCred&amp;Subs'!$J$66:$J$99,MATCH(1,($C667&amp;$D667='TaxCred&amp;Subs'!$D$66:$D$99)*($F667='TaxCred&amp;Subs'!$C$66:$C$99),0)),0)),IF($C667&gt;2,(N667-R667)*(IFERROR(INDEX('TaxCred&amp;Subs'!$J$66:$J$99,MATCH(1,($C667&amp;$D667='TaxCred&amp;Subs'!$D$66:$D$99)*($F667='TaxCred&amp;Subs'!$C$66:$C$99),0)),0)),0))),0)</f>
        <v>300</v>
      </c>
      <c r="Q667" s="41">
        <f t="array" ref="Q667">ROUND(IF(AND($C667=2,VALUE(RIGHT($AD667,1))&gt;2),(O667-S667)*(IFERROR(INDEX('TaxCred&amp;Subs'!$J$66:$J$99,MATCH(1,($C667&amp;$D667='TaxCred&amp;Subs'!$E$66:$E$99)*($F667='TaxCred&amp;Subs'!$C$66:$C$99),0)),0)),IF(AND($C667=1,VALUE(RIGHT($AD667,1))&gt;2),(O667-S667)*(IFERROR(INDEX('TaxCred&amp;Subs'!$J$66:$J$99,MATCH(1,($C667&amp;$D667='TaxCred&amp;Subs'!$D$66:$D$99)*($F667='TaxCred&amp;Subs'!$C$66:$C$99),0)),0)),IF($C667&gt;2,(O667-S667)*(IFERROR(INDEX('TaxCred&amp;Subs'!$J$66:$J$99,MATCH(1,($C667&amp;$D667='TaxCred&amp;Subs'!$D$66:$D$99)*($F667='TaxCred&amp;Subs'!$C$66:$C$99),0)),0)),0))),0)</f>
        <v>0</v>
      </c>
      <c r="R667" s="172">
        <f t="array" ref="R667">ROUND(IF(IFERROR(VALUE(RIGHT($AD667,1)),0)&gt;2,IF($C667=8,N667*IFERROR(INDEX('TaxCred&amp;Subs'!$K$139:$S$151,MATCH($C667&amp;$D667&amp;LEFT($AD667,7),'TaxCred&amp;Subs'!$E$139:$E$151,0),MATCH($H667,'TaxCred&amp;Subs'!$K$137:$S$137,0)),0),IF($C667=2,N667*IFERROR(INDEX('TaxCred&amp;Subs'!$K$139:$S$151,MATCH($C667&amp;$D667,'TaxCred&amp;Subs'!$D$139:$D$151,0),MATCH($H667,'TaxCred&amp;Subs'!$K$137:$S$137,0)),0),N667*IFERROR(INDEX('TaxCred&amp;Subs'!$K$139:$S$151,MATCH($C667&amp;$D667,'TaxCred&amp;Subs'!$C$139:$C$151,0),MATCH($H667,'TaxCred&amp;Subs'!$K$137:$S$137,0)),0))),0),0)</f>
        <v>134</v>
      </c>
      <c r="S667" s="172">
        <f t="array" ref="S667">ROUND(IF(IFERROR(VALUE(RIGHT($AD667,1)),0)&gt;2,IF($C667=8,O667*IFERROR(INDEX('TaxCred&amp;Subs'!$K$139:$S$151,MATCH($C667&amp;$D667&amp;LEFT($AD667,7),'TaxCred&amp;Subs'!$E$139:$E$151,0),MATCH($H667,'TaxCred&amp;Subs'!$K$137:$S$137,0)),0),IF($C667=2,O667*IFERROR(INDEX('TaxCred&amp;Subs'!$K$139:$S$151,MATCH($C667&amp;$D667,'TaxCred&amp;Subs'!$D$139:$D$151,0),MATCH($H667,'TaxCred&amp;Subs'!$K$137:$S$137,0)),0),O667*IFERROR(INDEX('TaxCred&amp;Subs'!$K$139:$S$151,MATCH($C667&amp;$D667,'TaxCred&amp;Subs'!$C$139:$C$151,0),MATCH($H667,'TaxCred&amp;Subs'!$K$137:$S$137,0)),0))),0),0)</f>
        <v>90</v>
      </c>
      <c r="T667" s="41">
        <f t="shared" si="46"/>
        <v>0</v>
      </c>
      <c r="U667" s="41">
        <f t="shared" si="47"/>
        <v>0</v>
      </c>
      <c r="V667" s="152" t="s">
        <v>222</v>
      </c>
      <c r="W667" s="152">
        <v>2020</v>
      </c>
      <c r="X667" s="152">
        <v>1</v>
      </c>
      <c r="Y667" s="152">
        <v>0</v>
      </c>
      <c r="Z667" s="194">
        <v>-1.755E-3</v>
      </c>
      <c r="AA667" s="194">
        <v>-2.7E-2</v>
      </c>
      <c r="AB667" s="152">
        <v>0</v>
      </c>
      <c r="AC667" s="152">
        <v>0</v>
      </c>
      <c r="AD667" s="152" t="s">
        <v>442</v>
      </c>
      <c r="AE667" t="s">
        <v>352</v>
      </c>
    </row>
    <row r="668" spans="2:31" ht="14.25" customHeight="1" x14ac:dyDescent="0.2">
      <c r="B668" s="7">
        <f t="shared" si="48"/>
        <v>644</v>
      </c>
      <c r="C668" s="152">
        <v>5</v>
      </c>
      <c r="D668" s="152">
        <v>2</v>
      </c>
      <c r="E668" s="152">
        <v>6</v>
      </c>
      <c r="F668" s="153">
        <v>2020</v>
      </c>
      <c r="G668" s="152">
        <v>2021</v>
      </c>
      <c r="H668" s="152">
        <v>9</v>
      </c>
      <c r="I668" s="152">
        <v>0</v>
      </c>
      <c r="J668" s="152">
        <v>0</v>
      </c>
      <c r="K668" s="152">
        <v>0</v>
      </c>
      <c r="L668" s="152">
        <v>0</v>
      </c>
      <c r="M668" s="154">
        <v>3.33</v>
      </c>
      <c r="N668" s="155">
        <v>1550</v>
      </c>
      <c r="O668" s="155">
        <v>1040</v>
      </c>
      <c r="P668" s="41">
        <f t="array" ref="P668">ROUND(IF($F668&lt;='TaxCred&amp;Subs'!$C$49,(IF($C668=2,IF($M668&gt;=IFERROR(INDEX('TaxCred&amp;Subs'!$L$12:$L$47,MATCH(1,($C668&amp;$D668='TaxCred&amp;Subs'!$E$12:$E$47)*($F668='TaxCred&amp;Subs'!$C$12:$C$47),0)
),9999),IFERROR(INDEX('TaxCred&amp;Subs'!$N$12:$N$47,MATCH(1,($C668&amp;$D668='TaxCred&amp;Subs'!$E$12:$E$47)*($F668='TaxCred&amp;Subs'!$C$12:$C$47),0)
),0),0),(IF($M668&gt;=IFERROR(INDEX('TaxCred&amp;Subs'!$H$12:$H$47,MATCH(1,($C668&amp;$D668='TaxCred&amp;Subs'!$D$12:$D$47)*($F668='TaxCred&amp;Subs'!$C$12:$C$47),0)
),9999),IFERROR(INDEX('TaxCred&amp;Subs'!$N$12:$N$47,MATCH(1,($C668&amp;$D668='TaxCred&amp;Subs'!$D$12:$D$47)*($F668='TaxCred&amp;Subs'!$C$12:$C$47),0)
),0),0)))),0)+IF(AND($C668=2,VALUE(RIGHT($AD668,1))&gt;2),(N668-R668)*(IFERROR(INDEX('TaxCred&amp;Subs'!$J$66:$J$99,MATCH(1,($C668&amp;$D668='TaxCred&amp;Subs'!$E$66:$E$99)*($F668='TaxCred&amp;Subs'!$C$66:$C$99),0)),0)),IF(AND($C668=1,VALUE(RIGHT($AD668,1))&gt;2),(N668-R668)*(IFERROR(INDEX('TaxCred&amp;Subs'!$J$66:$J$99,MATCH(1,($C668&amp;$D668='TaxCred&amp;Subs'!$D$66:$D$99)*($F668='TaxCred&amp;Subs'!$C$66:$C$99),0)),0)),IF($C668&gt;2,(N668-R668)*(IFERROR(INDEX('TaxCred&amp;Subs'!$J$66:$J$99,MATCH(1,($C668&amp;$D668='TaxCred&amp;Subs'!$D$66:$D$99)*($F668='TaxCred&amp;Subs'!$C$66:$C$99),0)),0)),0))),0)</f>
        <v>300</v>
      </c>
      <c r="Q668" s="41">
        <f t="array" ref="Q668">ROUND(IF(AND($C668=2,VALUE(RIGHT($AD668,1))&gt;2),(O668-S668)*(IFERROR(INDEX('TaxCred&amp;Subs'!$J$66:$J$99,MATCH(1,($C668&amp;$D668='TaxCred&amp;Subs'!$E$66:$E$99)*($F668='TaxCred&amp;Subs'!$C$66:$C$99),0)),0)),IF(AND($C668=1,VALUE(RIGHT($AD668,1))&gt;2),(O668-S668)*(IFERROR(INDEX('TaxCred&amp;Subs'!$J$66:$J$99,MATCH(1,($C668&amp;$D668='TaxCred&amp;Subs'!$D$66:$D$99)*($F668='TaxCred&amp;Subs'!$C$66:$C$99),0)),0)),IF($C668&gt;2,(O668-S668)*(IFERROR(INDEX('TaxCred&amp;Subs'!$J$66:$J$99,MATCH(1,($C668&amp;$D668='TaxCred&amp;Subs'!$D$66:$D$99)*($F668='TaxCred&amp;Subs'!$C$66:$C$99),0)),0)),0))),0)</f>
        <v>0</v>
      </c>
      <c r="R668" s="172">
        <f t="array" ref="R668">ROUND(IF(IFERROR(VALUE(RIGHT($AD668,1)),0)&gt;2,IF($C668=8,N668*IFERROR(INDEX('TaxCred&amp;Subs'!$K$139:$S$151,MATCH($C668&amp;$D668&amp;LEFT($AD668,7),'TaxCred&amp;Subs'!$E$139:$E$151,0),MATCH($H668,'TaxCred&amp;Subs'!$K$137:$S$137,0)),0),IF($C668=2,N668*IFERROR(INDEX('TaxCred&amp;Subs'!$K$139:$S$151,MATCH($C668&amp;$D668,'TaxCred&amp;Subs'!$D$139:$D$151,0),MATCH($H668,'TaxCred&amp;Subs'!$K$137:$S$137,0)),0),N668*IFERROR(INDEX('TaxCred&amp;Subs'!$K$139:$S$151,MATCH($C668&amp;$D668,'TaxCred&amp;Subs'!$C$139:$C$151,0),MATCH($H668,'TaxCred&amp;Subs'!$K$137:$S$137,0)),0))),0),0)</f>
        <v>350</v>
      </c>
      <c r="S668" s="172">
        <f t="array" ref="S668">ROUND(IF(IFERROR(VALUE(RIGHT($AD668,1)),0)&gt;2,IF($C668=8,O668*IFERROR(INDEX('TaxCred&amp;Subs'!$K$139:$S$151,MATCH($C668&amp;$D668&amp;LEFT($AD668,7),'TaxCred&amp;Subs'!$E$139:$E$151,0),MATCH($H668,'TaxCred&amp;Subs'!$K$137:$S$137,0)),0),IF($C668=2,O668*IFERROR(INDEX('TaxCred&amp;Subs'!$K$139:$S$151,MATCH($C668&amp;$D668,'TaxCred&amp;Subs'!$D$139:$D$151,0),MATCH($H668,'TaxCred&amp;Subs'!$K$137:$S$137,0)),0),O668*IFERROR(INDEX('TaxCred&amp;Subs'!$K$139:$S$151,MATCH($C668&amp;$D668,'TaxCred&amp;Subs'!$C$139:$C$151,0),MATCH($H668,'TaxCred&amp;Subs'!$K$137:$S$137,0)),0))),0),0)</f>
        <v>235</v>
      </c>
      <c r="T668" s="41">
        <f t="shared" si="46"/>
        <v>187.5</v>
      </c>
      <c r="U668" s="41">
        <f t="shared" si="47"/>
        <v>156</v>
      </c>
      <c r="V668" s="152" t="s">
        <v>222</v>
      </c>
      <c r="W668" s="152">
        <v>2020</v>
      </c>
      <c r="X668" s="152">
        <v>1</v>
      </c>
      <c r="Y668" s="152">
        <v>0</v>
      </c>
      <c r="Z668" s="194">
        <v>-1.755E-3</v>
      </c>
      <c r="AA668" s="194">
        <v>-2.7E-2</v>
      </c>
      <c r="AB668" s="152">
        <v>0</v>
      </c>
      <c r="AC668" s="152">
        <v>0</v>
      </c>
      <c r="AD668" s="152" t="s">
        <v>442</v>
      </c>
      <c r="AE668" t="s">
        <v>352</v>
      </c>
    </row>
    <row r="669" spans="2:31" ht="14.25" customHeight="1" x14ac:dyDescent="0.2">
      <c r="B669" s="7">
        <f t="shared" si="48"/>
        <v>645</v>
      </c>
      <c r="C669" s="152">
        <v>5</v>
      </c>
      <c r="D669" s="152">
        <v>2</v>
      </c>
      <c r="E669" s="152">
        <v>6</v>
      </c>
      <c r="F669" s="153">
        <v>2022</v>
      </c>
      <c r="G669" s="152">
        <v>2032</v>
      </c>
      <c r="H669" s="152">
        <v>1</v>
      </c>
      <c r="I669" s="152">
        <v>0</v>
      </c>
      <c r="J669" s="152">
        <v>0</v>
      </c>
      <c r="K669" s="152">
        <v>0</v>
      </c>
      <c r="L669" s="152">
        <v>0</v>
      </c>
      <c r="M669" s="154">
        <v>3.33</v>
      </c>
      <c r="N669" s="155">
        <v>1550</v>
      </c>
      <c r="O669" s="155">
        <v>1040</v>
      </c>
      <c r="P669" s="41">
        <f t="array" ref="P669">ROUND(IF($F669&lt;='TaxCred&amp;Subs'!$C$49,(IF($C669=2,IF($M669&gt;=IFERROR(INDEX('TaxCred&amp;Subs'!$L$12:$L$47,MATCH(1,($C669&amp;$D669='TaxCred&amp;Subs'!$E$12:$E$47)*($F669='TaxCred&amp;Subs'!$C$12:$C$47),0)
),9999),IFERROR(INDEX('TaxCred&amp;Subs'!$N$12:$N$47,MATCH(1,($C669&amp;$D669='TaxCred&amp;Subs'!$E$12:$E$47)*($F669='TaxCred&amp;Subs'!$C$12:$C$47),0)
),0),0),(IF($M669&gt;=IFERROR(INDEX('TaxCred&amp;Subs'!$H$12:$H$47,MATCH(1,($C669&amp;$D669='TaxCred&amp;Subs'!$D$12:$D$47)*($F669='TaxCred&amp;Subs'!$C$12:$C$47),0)
),9999),IFERROR(INDEX('TaxCred&amp;Subs'!$N$12:$N$47,MATCH(1,($C669&amp;$D669='TaxCred&amp;Subs'!$D$12:$D$47)*($F669='TaxCred&amp;Subs'!$C$12:$C$47),0)
),0),0)))),0)+IF(AND($C669=2,VALUE(RIGHT($AD669,1))&gt;2),(N669-R669)*(IFERROR(INDEX('TaxCred&amp;Subs'!$J$66:$J$99,MATCH(1,($C669&amp;$D669='TaxCred&amp;Subs'!$E$66:$E$99)*($F669='TaxCred&amp;Subs'!$C$66:$C$99),0)),0)),IF(AND($C669=1,VALUE(RIGHT($AD669,1))&gt;2),(N669-R669)*(IFERROR(INDEX('TaxCred&amp;Subs'!$J$66:$J$99,MATCH(1,($C669&amp;$D669='TaxCred&amp;Subs'!$D$66:$D$99)*($F669='TaxCred&amp;Subs'!$C$66:$C$99),0)),0)),IF($C669&gt;2,(N669-R669)*(IFERROR(INDEX('TaxCred&amp;Subs'!$J$66:$J$99,MATCH(1,($C669&amp;$D669='TaxCred&amp;Subs'!$D$66:$D$99)*($F669='TaxCred&amp;Subs'!$C$66:$C$99),0)),0)),0))),0)</f>
        <v>600</v>
      </c>
      <c r="Q669" s="41">
        <f t="array" ref="Q669">ROUND(IF(AND($C669=2,VALUE(RIGHT($AD669,1))&gt;2),(O669-S669)*(IFERROR(INDEX('TaxCred&amp;Subs'!$J$66:$J$99,MATCH(1,($C669&amp;$D669='TaxCred&amp;Subs'!$E$66:$E$99)*($F669='TaxCred&amp;Subs'!$C$66:$C$99),0)),0)),IF(AND($C669=1,VALUE(RIGHT($AD669,1))&gt;2),(O669-S669)*(IFERROR(INDEX('TaxCred&amp;Subs'!$J$66:$J$99,MATCH(1,($C669&amp;$D669='TaxCred&amp;Subs'!$D$66:$D$99)*($F669='TaxCred&amp;Subs'!$C$66:$C$99),0)),0)),IF($C669&gt;2,(O669-S669)*(IFERROR(INDEX('TaxCred&amp;Subs'!$J$66:$J$99,MATCH(1,($C669&amp;$D669='TaxCred&amp;Subs'!$D$66:$D$99)*($F669='TaxCred&amp;Subs'!$C$66:$C$99),0)),0)),0))),0)</f>
        <v>0</v>
      </c>
      <c r="R669" s="172">
        <f t="array" ref="R669">ROUND(IF(IFERROR(VALUE(RIGHT($AD669,1)),0)&gt;2,IF($C669=8,N669*IFERROR(INDEX('TaxCred&amp;Subs'!$K$139:$S$151,MATCH($C669&amp;$D669&amp;LEFT($AD669,7),'TaxCred&amp;Subs'!$E$139:$E$151,0),MATCH($H669,'TaxCred&amp;Subs'!$K$137:$S$137,0)),0),IF($C669=2,N669*IFERROR(INDEX('TaxCred&amp;Subs'!$K$139:$S$151,MATCH($C669&amp;$D669,'TaxCred&amp;Subs'!$D$139:$D$151,0),MATCH($H669,'TaxCred&amp;Subs'!$K$137:$S$137,0)),0),N669*IFERROR(INDEX('TaxCred&amp;Subs'!$K$139:$S$151,MATCH($C669&amp;$D669,'TaxCred&amp;Subs'!$C$139:$C$151,0),MATCH($H669,'TaxCred&amp;Subs'!$K$137:$S$137,0)),0))),0),0)</f>
        <v>404</v>
      </c>
      <c r="S669" s="172">
        <f t="array" ref="S669">ROUND(IF(IFERROR(VALUE(RIGHT($AD669,1)),0)&gt;2,IF($C669=8,O669*IFERROR(INDEX('TaxCred&amp;Subs'!$K$139:$S$151,MATCH($C669&amp;$D669&amp;LEFT($AD669,7),'TaxCred&amp;Subs'!$E$139:$E$151,0),MATCH($H669,'TaxCred&amp;Subs'!$K$137:$S$137,0)),0),IF($C669=2,O669*IFERROR(INDEX('TaxCred&amp;Subs'!$K$139:$S$151,MATCH($C669&amp;$D669,'TaxCred&amp;Subs'!$D$139:$D$151,0),MATCH($H669,'TaxCred&amp;Subs'!$K$137:$S$137,0)),0),O669*IFERROR(INDEX('TaxCred&amp;Subs'!$K$139:$S$151,MATCH($C669&amp;$D669,'TaxCred&amp;Subs'!$C$139:$C$151,0),MATCH($H669,'TaxCred&amp;Subs'!$K$137:$S$137,0)),0))),0),0)</f>
        <v>271</v>
      </c>
      <c r="T669" s="41">
        <f t="shared" si="46"/>
        <v>0</v>
      </c>
      <c r="U669" s="41">
        <f t="shared" si="47"/>
        <v>0</v>
      </c>
      <c r="V669" s="152" t="s">
        <v>222</v>
      </c>
      <c r="W669" s="152">
        <v>2020</v>
      </c>
      <c r="X669" s="152">
        <v>1</v>
      </c>
      <c r="Y669" s="152">
        <v>0</v>
      </c>
      <c r="Z669" s="194">
        <v>-1.755E-3</v>
      </c>
      <c r="AA669" s="194">
        <v>-2.7E-2</v>
      </c>
      <c r="AB669" s="152">
        <v>0</v>
      </c>
      <c r="AC669" s="152">
        <v>0</v>
      </c>
      <c r="AD669" s="152" t="s">
        <v>442</v>
      </c>
      <c r="AE669" t="s">
        <v>352</v>
      </c>
    </row>
    <row r="670" spans="2:31" ht="14.25" customHeight="1" x14ac:dyDescent="0.2">
      <c r="B670" s="7">
        <f t="shared" si="48"/>
        <v>646</v>
      </c>
      <c r="C670" s="152">
        <v>5</v>
      </c>
      <c r="D670" s="152">
        <v>2</v>
      </c>
      <c r="E670" s="152">
        <v>6</v>
      </c>
      <c r="F670" s="153">
        <v>2022</v>
      </c>
      <c r="G670" s="152">
        <v>2032</v>
      </c>
      <c r="H670" s="152">
        <v>2</v>
      </c>
      <c r="I670" s="152">
        <v>0</v>
      </c>
      <c r="J670" s="152">
        <v>0</v>
      </c>
      <c r="K670" s="152">
        <v>0</v>
      </c>
      <c r="L670" s="152">
        <v>0</v>
      </c>
      <c r="M670" s="154">
        <v>3.33</v>
      </c>
      <c r="N670" s="155">
        <v>1550</v>
      </c>
      <c r="O670" s="155">
        <v>1040</v>
      </c>
      <c r="P670" s="41">
        <f t="array" ref="P670">ROUND(IF($F670&lt;='TaxCred&amp;Subs'!$C$49,(IF($C670=2,IF($M670&gt;=IFERROR(INDEX('TaxCred&amp;Subs'!$L$12:$L$47,MATCH(1,($C670&amp;$D670='TaxCred&amp;Subs'!$E$12:$E$47)*($F670='TaxCred&amp;Subs'!$C$12:$C$47),0)
),9999),IFERROR(INDEX('TaxCred&amp;Subs'!$N$12:$N$47,MATCH(1,($C670&amp;$D670='TaxCred&amp;Subs'!$E$12:$E$47)*($F670='TaxCred&amp;Subs'!$C$12:$C$47),0)
),0),0),(IF($M670&gt;=IFERROR(INDEX('TaxCred&amp;Subs'!$H$12:$H$47,MATCH(1,($C670&amp;$D670='TaxCred&amp;Subs'!$D$12:$D$47)*($F670='TaxCred&amp;Subs'!$C$12:$C$47),0)
),9999),IFERROR(INDEX('TaxCred&amp;Subs'!$N$12:$N$47,MATCH(1,($C670&amp;$D670='TaxCred&amp;Subs'!$D$12:$D$47)*($F670='TaxCred&amp;Subs'!$C$12:$C$47),0)
),0),0)))),0)+IF(AND($C670=2,VALUE(RIGHT($AD670,1))&gt;2),(N670-R670)*(IFERROR(INDEX('TaxCred&amp;Subs'!$J$66:$J$99,MATCH(1,($C670&amp;$D670='TaxCred&amp;Subs'!$E$66:$E$99)*($F670='TaxCred&amp;Subs'!$C$66:$C$99),0)),0)),IF(AND($C670=1,VALUE(RIGHT($AD670,1))&gt;2),(N670-R670)*(IFERROR(INDEX('TaxCred&amp;Subs'!$J$66:$J$99,MATCH(1,($C670&amp;$D670='TaxCred&amp;Subs'!$D$66:$D$99)*($F670='TaxCred&amp;Subs'!$C$66:$C$99),0)),0)),IF($C670&gt;2,(N670-R670)*(IFERROR(INDEX('TaxCred&amp;Subs'!$J$66:$J$99,MATCH(1,($C670&amp;$D670='TaxCred&amp;Subs'!$D$66:$D$99)*($F670='TaxCred&amp;Subs'!$C$66:$C$99),0)),0)),0))),0)</f>
        <v>600</v>
      </c>
      <c r="Q670" s="41">
        <f t="array" ref="Q670">ROUND(IF(AND($C670=2,VALUE(RIGHT($AD670,1))&gt;2),(O670-S670)*(IFERROR(INDEX('TaxCred&amp;Subs'!$J$66:$J$99,MATCH(1,($C670&amp;$D670='TaxCred&amp;Subs'!$E$66:$E$99)*($F670='TaxCred&amp;Subs'!$C$66:$C$99),0)),0)),IF(AND($C670=1,VALUE(RIGHT($AD670,1))&gt;2),(O670-S670)*(IFERROR(INDEX('TaxCred&amp;Subs'!$J$66:$J$99,MATCH(1,($C670&amp;$D670='TaxCred&amp;Subs'!$D$66:$D$99)*($F670='TaxCred&amp;Subs'!$C$66:$C$99),0)),0)),IF($C670&gt;2,(O670-S670)*(IFERROR(INDEX('TaxCred&amp;Subs'!$J$66:$J$99,MATCH(1,($C670&amp;$D670='TaxCred&amp;Subs'!$D$66:$D$99)*($F670='TaxCred&amp;Subs'!$C$66:$C$99),0)),0)),0))),0)</f>
        <v>0</v>
      </c>
      <c r="R670" s="172">
        <f t="array" ref="R670">ROUND(IF(IFERROR(VALUE(RIGHT($AD670,1)),0)&gt;2,IF($C670=8,N670*IFERROR(INDEX('TaxCred&amp;Subs'!$K$139:$S$151,MATCH($C670&amp;$D670&amp;LEFT($AD670,7),'TaxCred&amp;Subs'!$E$139:$E$151,0),MATCH($H670,'TaxCred&amp;Subs'!$K$137:$S$137,0)),0),IF($C670=2,N670*IFERROR(INDEX('TaxCred&amp;Subs'!$K$139:$S$151,MATCH($C670&amp;$D670,'TaxCred&amp;Subs'!$D$139:$D$151,0),MATCH($H670,'TaxCred&amp;Subs'!$K$137:$S$137,0)),0),N670*IFERROR(INDEX('TaxCred&amp;Subs'!$K$139:$S$151,MATCH($C670&amp;$D670,'TaxCred&amp;Subs'!$C$139:$C$151,0),MATCH($H670,'TaxCred&amp;Subs'!$K$137:$S$137,0)),0))),0),0)</f>
        <v>397</v>
      </c>
      <c r="S670" s="172">
        <f t="array" ref="S670">ROUND(IF(IFERROR(VALUE(RIGHT($AD670,1)),0)&gt;2,IF($C670=8,O670*IFERROR(INDEX('TaxCred&amp;Subs'!$K$139:$S$151,MATCH($C670&amp;$D670&amp;LEFT($AD670,7),'TaxCred&amp;Subs'!$E$139:$E$151,0),MATCH($H670,'TaxCred&amp;Subs'!$K$137:$S$137,0)),0),IF($C670=2,O670*IFERROR(INDEX('TaxCred&amp;Subs'!$K$139:$S$151,MATCH($C670&amp;$D670,'TaxCred&amp;Subs'!$D$139:$D$151,0),MATCH($H670,'TaxCred&amp;Subs'!$K$137:$S$137,0)),0),O670*IFERROR(INDEX('TaxCred&amp;Subs'!$K$139:$S$151,MATCH($C670&amp;$D670,'TaxCred&amp;Subs'!$C$139:$C$151,0),MATCH($H670,'TaxCred&amp;Subs'!$K$137:$S$137,0)),0))),0),0)</f>
        <v>266</v>
      </c>
      <c r="T670" s="41">
        <f t="shared" si="46"/>
        <v>0</v>
      </c>
      <c r="U670" s="41">
        <f t="shared" si="47"/>
        <v>0</v>
      </c>
      <c r="V670" s="152" t="s">
        <v>222</v>
      </c>
      <c r="W670" s="152">
        <v>2020</v>
      </c>
      <c r="X670" s="152">
        <v>1</v>
      </c>
      <c r="Y670" s="152">
        <v>0</v>
      </c>
      <c r="Z670" s="194">
        <v>-1.755E-3</v>
      </c>
      <c r="AA670" s="194">
        <v>-2.7E-2</v>
      </c>
      <c r="AB670" s="152">
        <v>0</v>
      </c>
      <c r="AC670" s="152">
        <v>0</v>
      </c>
      <c r="AD670" s="152" t="s">
        <v>442</v>
      </c>
      <c r="AE670" t="s">
        <v>352</v>
      </c>
    </row>
    <row r="671" spans="2:31" ht="14.25" customHeight="1" x14ac:dyDescent="0.2">
      <c r="B671" s="7">
        <f t="shared" si="48"/>
        <v>647</v>
      </c>
      <c r="C671" s="152">
        <v>5</v>
      </c>
      <c r="D671" s="152">
        <v>2</v>
      </c>
      <c r="E671" s="152">
        <v>6</v>
      </c>
      <c r="F671" s="153">
        <v>2022</v>
      </c>
      <c r="G671" s="152">
        <v>2032</v>
      </c>
      <c r="H671" s="152">
        <v>3</v>
      </c>
      <c r="I671" s="152">
        <v>0</v>
      </c>
      <c r="J671" s="152">
        <v>0</v>
      </c>
      <c r="K671" s="152">
        <v>0</v>
      </c>
      <c r="L671" s="152">
        <v>0</v>
      </c>
      <c r="M671" s="154">
        <v>3.33</v>
      </c>
      <c r="N671" s="155">
        <v>1550</v>
      </c>
      <c r="O671" s="155">
        <v>1040</v>
      </c>
      <c r="P671" s="41">
        <f t="array" ref="P671">ROUND(IF($F671&lt;='TaxCred&amp;Subs'!$C$49,(IF($C671=2,IF($M671&gt;=IFERROR(INDEX('TaxCred&amp;Subs'!$L$12:$L$47,MATCH(1,($C671&amp;$D671='TaxCred&amp;Subs'!$E$12:$E$47)*($F671='TaxCred&amp;Subs'!$C$12:$C$47),0)
),9999),IFERROR(INDEX('TaxCred&amp;Subs'!$N$12:$N$47,MATCH(1,($C671&amp;$D671='TaxCred&amp;Subs'!$E$12:$E$47)*($F671='TaxCred&amp;Subs'!$C$12:$C$47),0)
),0),0),(IF($M671&gt;=IFERROR(INDEX('TaxCred&amp;Subs'!$H$12:$H$47,MATCH(1,($C671&amp;$D671='TaxCred&amp;Subs'!$D$12:$D$47)*($F671='TaxCred&amp;Subs'!$C$12:$C$47),0)
),9999),IFERROR(INDEX('TaxCred&amp;Subs'!$N$12:$N$47,MATCH(1,($C671&amp;$D671='TaxCred&amp;Subs'!$D$12:$D$47)*($F671='TaxCred&amp;Subs'!$C$12:$C$47),0)
),0),0)))),0)+IF(AND($C671=2,VALUE(RIGHT($AD671,1))&gt;2),(N671-R671)*(IFERROR(INDEX('TaxCred&amp;Subs'!$J$66:$J$99,MATCH(1,($C671&amp;$D671='TaxCred&amp;Subs'!$E$66:$E$99)*($F671='TaxCred&amp;Subs'!$C$66:$C$99),0)),0)),IF(AND($C671=1,VALUE(RIGHT($AD671,1))&gt;2),(N671-R671)*(IFERROR(INDEX('TaxCred&amp;Subs'!$J$66:$J$99,MATCH(1,($C671&amp;$D671='TaxCred&amp;Subs'!$D$66:$D$99)*($F671='TaxCred&amp;Subs'!$C$66:$C$99),0)),0)),IF($C671&gt;2,(N671-R671)*(IFERROR(INDEX('TaxCred&amp;Subs'!$J$66:$J$99,MATCH(1,($C671&amp;$D671='TaxCred&amp;Subs'!$D$66:$D$99)*($F671='TaxCred&amp;Subs'!$C$66:$C$99),0)),0)),0))),0)</f>
        <v>600</v>
      </c>
      <c r="Q671" s="41">
        <f t="array" ref="Q671">ROUND(IF(AND($C671=2,VALUE(RIGHT($AD671,1))&gt;2),(O671-S671)*(IFERROR(INDEX('TaxCred&amp;Subs'!$J$66:$J$99,MATCH(1,($C671&amp;$D671='TaxCred&amp;Subs'!$E$66:$E$99)*($F671='TaxCred&amp;Subs'!$C$66:$C$99),0)),0)),IF(AND($C671=1,VALUE(RIGHT($AD671,1))&gt;2),(O671-S671)*(IFERROR(INDEX('TaxCred&amp;Subs'!$J$66:$J$99,MATCH(1,($C671&amp;$D671='TaxCred&amp;Subs'!$D$66:$D$99)*($F671='TaxCred&amp;Subs'!$C$66:$C$99),0)),0)),IF($C671&gt;2,(O671-S671)*(IFERROR(INDEX('TaxCred&amp;Subs'!$J$66:$J$99,MATCH(1,($C671&amp;$D671='TaxCred&amp;Subs'!$D$66:$D$99)*($F671='TaxCred&amp;Subs'!$C$66:$C$99),0)),0)),0))),0)</f>
        <v>0</v>
      </c>
      <c r="R671" s="172">
        <f t="array" ref="R671">ROUND(IF(IFERROR(VALUE(RIGHT($AD671,1)),0)&gt;2,IF($C671=8,N671*IFERROR(INDEX('TaxCred&amp;Subs'!$K$139:$S$151,MATCH($C671&amp;$D671&amp;LEFT($AD671,7),'TaxCred&amp;Subs'!$E$139:$E$151,0),MATCH($H671,'TaxCred&amp;Subs'!$K$137:$S$137,0)),0),IF($C671=2,N671*IFERROR(INDEX('TaxCred&amp;Subs'!$K$139:$S$151,MATCH($C671&amp;$D671,'TaxCred&amp;Subs'!$D$139:$D$151,0),MATCH($H671,'TaxCred&amp;Subs'!$K$137:$S$137,0)),0),N671*IFERROR(INDEX('TaxCred&amp;Subs'!$K$139:$S$151,MATCH($C671&amp;$D671,'TaxCred&amp;Subs'!$C$139:$C$151,0),MATCH($H671,'TaxCred&amp;Subs'!$K$137:$S$137,0)),0))),0),0)</f>
        <v>231</v>
      </c>
      <c r="S671" s="172">
        <f t="array" ref="S671">ROUND(IF(IFERROR(VALUE(RIGHT($AD671,1)),0)&gt;2,IF($C671=8,O671*IFERROR(INDEX('TaxCred&amp;Subs'!$K$139:$S$151,MATCH($C671&amp;$D671&amp;LEFT($AD671,7),'TaxCred&amp;Subs'!$E$139:$E$151,0),MATCH($H671,'TaxCred&amp;Subs'!$K$137:$S$137,0)),0),IF($C671=2,O671*IFERROR(INDEX('TaxCred&amp;Subs'!$K$139:$S$151,MATCH($C671&amp;$D671,'TaxCred&amp;Subs'!$D$139:$D$151,0),MATCH($H671,'TaxCred&amp;Subs'!$K$137:$S$137,0)),0),O671*IFERROR(INDEX('TaxCred&amp;Subs'!$K$139:$S$151,MATCH($C671&amp;$D671,'TaxCred&amp;Subs'!$C$139:$C$151,0),MATCH($H671,'TaxCred&amp;Subs'!$K$137:$S$137,0)),0))),0),0)</f>
        <v>155</v>
      </c>
      <c r="T671" s="41">
        <f t="shared" si="46"/>
        <v>0</v>
      </c>
      <c r="U671" s="41">
        <f t="shared" si="47"/>
        <v>0</v>
      </c>
      <c r="V671" s="152" t="s">
        <v>222</v>
      </c>
      <c r="W671" s="152">
        <v>2020</v>
      </c>
      <c r="X671" s="152">
        <v>1</v>
      </c>
      <c r="Y671" s="152">
        <v>0</v>
      </c>
      <c r="Z671" s="194">
        <v>-1.755E-3</v>
      </c>
      <c r="AA671" s="194">
        <v>-2.7E-2</v>
      </c>
      <c r="AB671" s="152">
        <v>0</v>
      </c>
      <c r="AC671" s="152">
        <v>0</v>
      </c>
      <c r="AD671" s="152" t="s">
        <v>442</v>
      </c>
      <c r="AE671" t="s">
        <v>352</v>
      </c>
    </row>
    <row r="672" spans="2:31" ht="14.25" customHeight="1" x14ac:dyDescent="0.2">
      <c r="B672" s="7">
        <f t="shared" si="48"/>
        <v>648</v>
      </c>
      <c r="C672" s="152">
        <v>5</v>
      </c>
      <c r="D672" s="152">
        <v>2</v>
      </c>
      <c r="E672" s="152">
        <v>6</v>
      </c>
      <c r="F672" s="153">
        <v>2022</v>
      </c>
      <c r="G672" s="152">
        <v>2032</v>
      </c>
      <c r="H672" s="152">
        <v>4</v>
      </c>
      <c r="I672" s="152">
        <v>0</v>
      </c>
      <c r="J672" s="152">
        <v>0</v>
      </c>
      <c r="K672" s="152">
        <v>0</v>
      </c>
      <c r="L672" s="152">
        <v>0</v>
      </c>
      <c r="M672" s="154">
        <v>3.33</v>
      </c>
      <c r="N672" s="155">
        <v>1550</v>
      </c>
      <c r="O672" s="155">
        <v>1040</v>
      </c>
      <c r="P672" s="41">
        <f t="array" ref="P672">ROUND(IF($F672&lt;='TaxCred&amp;Subs'!$C$49,(IF($C672=2,IF($M672&gt;=IFERROR(INDEX('TaxCred&amp;Subs'!$L$12:$L$47,MATCH(1,($C672&amp;$D672='TaxCred&amp;Subs'!$E$12:$E$47)*($F672='TaxCred&amp;Subs'!$C$12:$C$47),0)
),9999),IFERROR(INDEX('TaxCred&amp;Subs'!$N$12:$N$47,MATCH(1,($C672&amp;$D672='TaxCred&amp;Subs'!$E$12:$E$47)*($F672='TaxCred&amp;Subs'!$C$12:$C$47),0)
),0),0),(IF($M672&gt;=IFERROR(INDEX('TaxCred&amp;Subs'!$H$12:$H$47,MATCH(1,($C672&amp;$D672='TaxCred&amp;Subs'!$D$12:$D$47)*($F672='TaxCred&amp;Subs'!$C$12:$C$47),0)
),9999),IFERROR(INDEX('TaxCred&amp;Subs'!$N$12:$N$47,MATCH(1,($C672&amp;$D672='TaxCred&amp;Subs'!$D$12:$D$47)*($F672='TaxCred&amp;Subs'!$C$12:$C$47),0)
),0),0)))),0)+IF(AND($C672=2,VALUE(RIGHT($AD672,1))&gt;2),(N672-R672)*(IFERROR(INDEX('TaxCred&amp;Subs'!$J$66:$J$99,MATCH(1,($C672&amp;$D672='TaxCred&amp;Subs'!$E$66:$E$99)*($F672='TaxCred&amp;Subs'!$C$66:$C$99),0)),0)),IF(AND($C672=1,VALUE(RIGHT($AD672,1))&gt;2),(N672-R672)*(IFERROR(INDEX('TaxCred&amp;Subs'!$J$66:$J$99,MATCH(1,($C672&amp;$D672='TaxCred&amp;Subs'!$D$66:$D$99)*($F672='TaxCred&amp;Subs'!$C$66:$C$99),0)),0)),IF($C672&gt;2,(N672-R672)*(IFERROR(INDEX('TaxCred&amp;Subs'!$J$66:$J$99,MATCH(1,($C672&amp;$D672='TaxCred&amp;Subs'!$D$66:$D$99)*($F672='TaxCred&amp;Subs'!$C$66:$C$99),0)),0)),0))),0)</f>
        <v>600</v>
      </c>
      <c r="Q672" s="41">
        <f t="array" ref="Q672">ROUND(IF(AND($C672=2,VALUE(RIGHT($AD672,1))&gt;2),(O672-S672)*(IFERROR(INDEX('TaxCred&amp;Subs'!$J$66:$J$99,MATCH(1,($C672&amp;$D672='TaxCred&amp;Subs'!$E$66:$E$99)*($F672='TaxCred&amp;Subs'!$C$66:$C$99),0)),0)),IF(AND($C672=1,VALUE(RIGHT($AD672,1))&gt;2),(O672-S672)*(IFERROR(INDEX('TaxCred&amp;Subs'!$J$66:$J$99,MATCH(1,($C672&amp;$D672='TaxCred&amp;Subs'!$D$66:$D$99)*($F672='TaxCred&amp;Subs'!$C$66:$C$99),0)),0)),IF($C672&gt;2,(O672-S672)*(IFERROR(INDEX('TaxCred&amp;Subs'!$J$66:$J$99,MATCH(1,($C672&amp;$D672='TaxCred&amp;Subs'!$D$66:$D$99)*($F672='TaxCred&amp;Subs'!$C$66:$C$99),0)),0)),0))),0)</f>
        <v>0</v>
      </c>
      <c r="R672" s="172">
        <f t="array" ref="R672">ROUND(IF(IFERROR(VALUE(RIGHT($AD672,1)),0)&gt;2,IF($C672=8,N672*IFERROR(INDEX('TaxCred&amp;Subs'!$K$139:$S$151,MATCH($C672&amp;$D672&amp;LEFT($AD672,7),'TaxCred&amp;Subs'!$E$139:$E$151,0),MATCH($H672,'TaxCred&amp;Subs'!$K$137:$S$137,0)),0),IF($C672=2,N672*IFERROR(INDEX('TaxCred&amp;Subs'!$K$139:$S$151,MATCH($C672&amp;$D672,'TaxCred&amp;Subs'!$D$139:$D$151,0),MATCH($H672,'TaxCred&amp;Subs'!$K$137:$S$137,0)),0),N672*IFERROR(INDEX('TaxCred&amp;Subs'!$K$139:$S$151,MATCH($C672&amp;$D672,'TaxCred&amp;Subs'!$C$139:$C$151,0),MATCH($H672,'TaxCred&amp;Subs'!$K$137:$S$137,0)),0))),0),0)</f>
        <v>182</v>
      </c>
      <c r="S672" s="172">
        <f t="array" ref="S672">ROUND(IF(IFERROR(VALUE(RIGHT($AD672,1)),0)&gt;2,IF($C672=8,O672*IFERROR(INDEX('TaxCred&amp;Subs'!$K$139:$S$151,MATCH($C672&amp;$D672&amp;LEFT($AD672,7),'TaxCred&amp;Subs'!$E$139:$E$151,0),MATCH($H672,'TaxCred&amp;Subs'!$K$137:$S$137,0)),0),IF($C672=2,O672*IFERROR(INDEX('TaxCred&amp;Subs'!$K$139:$S$151,MATCH($C672&amp;$D672,'TaxCred&amp;Subs'!$D$139:$D$151,0),MATCH($H672,'TaxCred&amp;Subs'!$K$137:$S$137,0)),0),O672*IFERROR(INDEX('TaxCred&amp;Subs'!$K$139:$S$151,MATCH($C672&amp;$D672,'TaxCred&amp;Subs'!$C$139:$C$151,0),MATCH($H672,'TaxCred&amp;Subs'!$K$137:$S$137,0)),0))),0),0)</f>
        <v>122</v>
      </c>
      <c r="T672" s="41">
        <f t="shared" si="46"/>
        <v>0</v>
      </c>
      <c r="U672" s="41">
        <f t="shared" si="47"/>
        <v>0</v>
      </c>
      <c r="V672" s="152" t="s">
        <v>222</v>
      </c>
      <c r="W672" s="152">
        <v>2020</v>
      </c>
      <c r="X672" s="152">
        <v>1</v>
      </c>
      <c r="Y672" s="152">
        <v>0</v>
      </c>
      <c r="Z672" s="194">
        <v>-1.755E-3</v>
      </c>
      <c r="AA672" s="194">
        <v>-2.7E-2</v>
      </c>
      <c r="AB672" s="152">
        <v>0</v>
      </c>
      <c r="AC672" s="152">
        <v>0</v>
      </c>
      <c r="AD672" s="152" t="s">
        <v>442</v>
      </c>
      <c r="AE672" t="s">
        <v>352</v>
      </c>
    </row>
    <row r="673" spans="2:31" ht="14.25" customHeight="1" x14ac:dyDescent="0.2">
      <c r="B673" s="7">
        <f t="shared" si="48"/>
        <v>649</v>
      </c>
      <c r="C673" s="152">
        <v>5</v>
      </c>
      <c r="D673" s="152">
        <v>2</v>
      </c>
      <c r="E673" s="152">
        <v>6</v>
      </c>
      <c r="F673" s="153">
        <v>2022</v>
      </c>
      <c r="G673" s="152">
        <v>2032</v>
      </c>
      <c r="H673" s="152">
        <v>5</v>
      </c>
      <c r="I673" s="152">
        <v>0</v>
      </c>
      <c r="J673" s="152">
        <v>0</v>
      </c>
      <c r="K673" s="152">
        <v>0</v>
      </c>
      <c r="L673" s="152">
        <v>0</v>
      </c>
      <c r="M673" s="154">
        <v>3.33</v>
      </c>
      <c r="N673" s="155">
        <v>1550</v>
      </c>
      <c r="O673" s="155">
        <v>1040</v>
      </c>
      <c r="P673" s="41">
        <f t="array" ref="P673">ROUND(IF($F673&lt;='TaxCred&amp;Subs'!$C$49,(IF($C673=2,IF($M673&gt;=IFERROR(INDEX('TaxCred&amp;Subs'!$L$12:$L$47,MATCH(1,($C673&amp;$D673='TaxCred&amp;Subs'!$E$12:$E$47)*($F673='TaxCred&amp;Subs'!$C$12:$C$47),0)
),9999),IFERROR(INDEX('TaxCred&amp;Subs'!$N$12:$N$47,MATCH(1,($C673&amp;$D673='TaxCred&amp;Subs'!$E$12:$E$47)*($F673='TaxCred&amp;Subs'!$C$12:$C$47),0)
),0),0),(IF($M673&gt;=IFERROR(INDEX('TaxCred&amp;Subs'!$H$12:$H$47,MATCH(1,($C673&amp;$D673='TaxCred&amp;Subs'!$D$12:$D$47)*($F673='TaxCred&amp;Subs'!$C$12:$C$47),0)
),9999),IFERROR(INDEX('TaxCred&amp;Subs'!$N$12:$N$47,MATCH(1,($C673&amp;$D673='TaxCred&amp;Subs'!$D$12:$D$47)*($F673='TaxCred&amp;Subs'!$C$12:$C$47),0)
),0),0)))),0)+IF(AND($C673=2,VALUE(RIGHT($AD673,1))&gt;2),(N673-R673)*(IFERROR(INDEX('TaxCred&amp;Subs'!$J$66:$J$99,MATCH(1,($C673&amp;$D673='TaxCred&amp;Subs'!$E$66:$E$99)*($F673='TaxCred&amp;Subs'!$C$66:$C$99),0)),0)),IF(AND($C673=1,VALUE(RIGHT($AD673,1))&gt;2),(N673-R673)*(IFERROR(INDEX('TaxCred&amp;Subs'!$J$66:$J$99,MATCH(1,($C673&amp;$D673='TaxCred&amp;Subs'!$D$66:$D$99)*($F673='TaxCred&amp;Subs'!$C$66:$C$99),0)),0)),IF($C673&gt;2,(N673-R673)*(IFERROR(INDEX('TaxCred&amp;Subs'!$J$66:$J$99,MATCH(1,($C673&amp;$D673='TaxCred&amp;Subs'!$D$66:$D$99)*($F673='TaxCred&amp;Subs'!$C$66:$C$99),0)),0)),0))),0)</f>
        <v>600</v>
      </c>
      <c r="Q673" s="41">
        <f t="array" ref="Q673">ROUND(IF(AND($C673=2,VALUE(RIGHT($AD673,1))&gt;2),(O673-S673)*(IFERROR(INDEX('TaxCred&amp;Subs'!$J$66:$J$99,MATCH(1,($C673&amp;$D673='TaxCred&amp;Subs'!$E$66:$E$99)*($F673='TaxCred&amp;Subs'!$C$66:$C$99),0)),0)),IF(AND($C673=1,VALUE(RIGHT($AD673,1))&gt;2),(O673-S673)*(IFERROR(INDEX('TaxCred&amp;Subs'!$J$66:$J$99,MATCH(1,($C673&amp;$D673='TaxCred&amp;Subs'!$D$66:$D$99)*($F673='TaxCred&amp;Subs'!$C$66:$C$99),0)),0)),IF($C673&gt;2,(O673-S673)*(IFERROR(INDEX('TaxCred&amp;Subs'!$J$66:$J$99,MATCH(1,($C673&amp;$D673='TaxCred&amp;Subs'!$D$66:$D$99)*($F673='TaxCred&amp;Subs'!$C$66:$C$99),0)),0)),0))),0)</f>
        <v>0</v>
      </c>
      <c r="R673" s="172">
        <f t="array" ref="R673">ROUND(IF(IFERROR(VALUE(RIGHT($AD673,1)),0)&gt;2,IF($C673=8,N673*IFERROR(INDEX('TaxCred&amp;Subs'!$K$139:$S$151,MATCH($C673&amp;$D673&amp;LEFT($AD673,7),'TaxCred&amp;Subs'!$E$139:$E$151,0),MATCH($H673,'TaxCred&amp;Subs'!$K$137:$S$137,0)),0),IF($C673=2,N673*IFERROR(INDEX('TaxCred&amp;Subs'!$K$139:$S$151,MATCH($C673&amp;$D673,'TaxCred&amp;Subs'!$D$139:$D$151,0),MATCH($H673,'TaxCred&amp;Subs'!$K$137:$S$137,0)),0),N673*IFERROR(INDEX('TaxCred&amp;Subs'!$K$139:$S$151,MATCH($C673&amp;$D673,'TaxCred&amp;Subs'!$C$139:$C$151,0),MATCH($H673,'TaxCred&amp;Subs'!$K$137:$S$137,0)),0))),0),0)</f>
        <v>205</v>
      </c>
      <c r="S673" s="172">
        <f t="array" ref="S673">ROUND(IF(IFERROR(VALUE(RIGHT($AD673,1)),0)&gt;2,IF($C673=8,O673*IFERROR(INDEX('TaxCred&amp;Subs'!$K$139:$S$151,MATCH($C673&amp;$D673&amp;LEFT($AD673,7),'TaxCred&amp;Subs'!$E$139:$E$151,0),MATCH($H673,'TaxCred&amp;Subs'!$K$137:$S$137,0)),0),IF($C673=2,O673*IFERROR(INDEX('TaxCred&amp;Subs'!$K$139:$S$151,MATCH($C673&amp;$D673,'TaxCred&amp;Subs'!$D$139:$D$151,0),MATCH($H673,'TaxCred&amp;Subs'!$K$137:$S$137,0)),0),O673*IFERROR(INDEX('TaxCred&amp;Subs'!$K$139:$S$151,MATCH($C673&amp;$D673,'TaxCred&amp;Subs'!$C$139:$C$151,0),MATCH($H673,'TaxCred&amp;Subs'!$K$137:$S$137,0)),0))),0),0)</f>
        <v>137</v>
      </c>
      <c r="T673" s="41">
        <f t="shared" si="46"/>
        <v>0</v>
      </c>
      <c r="U673" s="41">
        <f t="shared" si="47"/>
        <v>0</v>
      </c>
      <c r="V673" s="152" t="s">
        <v>222</v>
      </c>
      <c r="W673" s="152">
        <v>2020</v>
      </c>
      <c r="X673" s="152">
        <v>1</v>
      </c>
      <c r="Y673" s="152">
        <v>0</v>
      </c>
      <c r="Z673" s="194">
        <v>-1.755E-3</v>
      </c>
      <c r="AA673" s="194">
        <v>-2.7E-2</v>
      </c>
      <c r="AB673" s="152">
        <v>0</v>
      </c>
      <c r="AC673" s="152">
        <v>0</v>
      </c>
      <c r="AD673" s="152" t="s">
        <v>442</v>
      </c>
      <c r="AE673" t="s">
        <v>352</v>
      </c>
    </row>
    <row r="674" spans="2:31" ht="14.25" customHeight="1" x14ac:dyDescent="0.2">
      <c r="B674" s="7">
        <f t="shared" si="48"/>
        <v>650</v>
      </c>
      <c r="C674" s="152">
        <v>5</v>
      </c>
      <c r="D674" s="152">
        <v>2</v>
      </c>
      <c r="E674" s="152">
        <v>6</v>
      </c>
      <c r="F674" s="153">
        <v>2022</v>
      </c>
      <c r="G674" s="152">
        <v>2032</v>
      </c>
      <c r="H674" s="152">
        <v>6</v>
      </c>
      <c r="I674" s="152">
        <v>0</v>
      </c>
      <c r="J674" s="152">
        <v>0</v>
      </c>
      <c r="K674" s="152">
        <v>0</v>
      </c>
      <c r="L674" s="152">
        <v>0</v>
      </c>
      <c r="M674" s="154">
        <v>3.33</v>
      </c>
      <c r="N674" s="155">
        <v>1550</v>
      </c>
      <c r="O674" s="155">
        <v>1040</v>
      </c>
      <c r="P674" s="41">
        <f t="array" ref="P674">ROUND(IF($F674&lt;='TaxCred&amp;Subs'!$C$49,(IF($C674=2,IF($M674&gt;=IFERROR(INDEX('TaxCred&amp;Subs'!$L$12:$L$47,MATCH(1,($C674&amp;$D674='TaxCred&amp;Subs'!$E$12:$E$47)*($F674='TaxCred&amp;Subs'!$C$12:$C$47),0)
),9999),IFERROR(INDEX('TaxCred&amp;Subs'!$N$12:$N$47,MATCH(1,($C674&amp;$D674='TaxCred&amp;Subs'!$E$12:$E$47)*($F674='TaxCred&amp;Subs'!$C$12:$C$47),0)
),0),0),(IF($M674&gt;=IFERROR(INDEX('TaxCred&amp;Subs'!$H$12:$H$47,MATCH(1,($C674&amp;$D674='TaxCred&amp;Subs'!$D$12:$D$47)*($F674='TaxCred&amp;Subs'!$C$12:$C$47),0)
),9999),IFERROR(INDEX('TaxCred&amp;Subs'!$N$12:$N$47,MATCH(1,($C674&amp;$D674='TaxCred&amp;Subs'!$D$12:$D$47)*($F674='TaxCred&amp;Subs'!$C$12:$C$47),0)
),0),0)))),0)+IF(AND($C674=2,VALUE(RIGHT($AD674,1))&gt;2),(N674-R674)*(IFERROR(INDEX('TaxCred&amp;Subs'!$J$66:$J$99,MATCH(1,($C674&amp;$D674='TaxCred&amp;Subs'!$E$66:$E$99)*($F674='TaxCred&amp;Subs'!$C$66:$C$99),0)),0)),IF(AND($C674=1,VALUE(RIGHT($AD674,1))&gt;2),(N674-R674)*(IFERROR(INDEX('TaxCred&amp;Subs'!$J$66:$J$99,MATCH(1,($C674&amp;$D674='TaxCred&amp;Subs'!$D$66:$D$99)*($F674='TaxCred&amp;Subs'!$C$66:$C$99),0)),0)),IF($C674&gt;2,(N674-R674)*(IFERROR(INDEX('TaxCred&amp;Subs'!$J$66:$J$99,MATCH(1,($C674&amp;$D674='TaxCred&amp;Subs'!$D$66:$D$99)*($F674='TaxCred&amp;Subs'!$C$66:$C$99),0)),0)),0))),0)</f>
        <v>600</v>
      </c>
      <c r="Q674" s="41">
        <f t="array" ref="Q674">ROUND(IF(AND($C674=2,VALUE(RIGHT($AD674,1))&gt;2),(O674-S674)*(IFERROR(INDEX('TaxCred&amp;Subs'!$J$66:$J$99,MATCH(1,($C674&amp;$D674='TaxCred&amp;Subs'!$E$66:$E$99)*($F674='TaxCred&amp;Subs'!$C$66:$C$99),0)),0)),IF(AND($C674=1,VALUE(RIGHT($AD674,1))&gt;2),(O674-S674)*(IFERROR(INDEX('TaxCred&amp;Subs'!$J$66:$J$99,MATCH(1,($C674&amp;$D674='TaxCred&amp;Subs'!$D$66:$D$99)*($F674='TaxCred&amp;Subs'!$C$66:$C$99),0)),0)),IF($C674&gt;2,(O674-S674)*(IFERROR(INDEX('TaxCred&amp;Subs'!$J$66:$J$99,MATCH(1,($C674&amp;$D674='TaxCred&amp;Subs'!$D$66:$D$99)*($F674='TaxCred&amp;Subs'!$C$66:$C$99),0)),0)),0))),0)</f>
        <v>0</v>
      </c>
      <c r="R674" s="172">
        <f t="array" ref="R674">ROUND(IF(IFERROR(VALUE(RIGHT($AD674,1)),0)&gt;2,IF($C674=8,N674*IFERROR(INDEX('TaxCred&amp;Subs'!$K$139:$S$151,MATCH($C674&amp;$D674&amp;LEFT($AD674,7),'TaxCred&amp;Subs'!$E$139:$E$151,0),MATCH($H674,'TaxCred&amp;Subs'!$K$137:$S$137,0)),0),IF($C674=2,N674*IFERROR(INDEX('TaxCred&amp;Subs'!$K$139:$S$151,MATCH($C674&amp;$D674,'TaxCred&amp;Subs'!$D$139:$D$151,0),MATCH($H674,'TaxCred&amp;Subs'!$K$137:$S$137,0)),0),N674*IFERROR(INDEX('TaxCred&amp;Subs'!$K$139:$S$151,MATCH($C674&amp;$D674,'TaxCred&amp;Subs'!$C$139:$C$151,0),MATCH($H674,'TaxCred&amp;Subs'!$K$137:$S$137,0)),0))),0),0)</f>
        <v>104</v>
      </c>
      <c r="S674" s="172">
        <f t="array" ref="S674">ROUND(IF(IFERROR(VALUE(RIGHT($AD674,1)),0)&gt;2,IF($C674=8,O674*IFERROR(INDEX('TaxCred&amp;Subs'!$K$139:$S$151,MATCH($C674&amp;$D674&amp;LEFT($AD674,7),'TaxCred&amp;Subs'!$E$139:$E$151,0),MATCH($H674,'TaxCred&amp;Subs'!$K$137:$S$137,0)),0),IF($C674=2,O674*IFERROR(INDEX('TaxCred&amp;Subs'!$K$139:$S$151,MATCH($C674&amp;$D674,'TaxCred&amp;Subs'!$D$139:$D$151,0),MATCH($H674,'TaxCred&amp;Subs'!$K$137:$S$137,0)),0),O674*IFERROR(INDEX('TaxCred&amp;Subs'!$K$139:$S$151,MATCH($C674&amp;$D674,'TaxCred&amp;Subs'!$C$139:$C$151,0),MATCH($H674,'TaxCred&amp;Subs'!$K$137:$S$137,0)),0))),0),0)</f>
        <v>70</v>
      </c>
      <c r="T674" s="41">
        <f t="shared" si="46"/>
        <v>0</v>
      </c>
      <c r="U674" s="41">
        <f t="shared" si="47"/>
        <v>0</v>
      </c>
      <c r="V674" s="152" t="s">
        <v>222</v>
      </c>
      <c r="W674" s="152">
        <v>2020</v>
      </c>
      <c r="X674" s="152">
        <v>1</v>
      </c>
      <c r="Y674" s="152">
        <v>0</v>
      </c>
      <c r="Z674" s="194">
        <v>-1.755E-3</v>
      </c>
      <c r="AA674" s="194">
        <v>-2.7E-2</v>
      </c>
      <c r="AB674" s="152">
        <v>0</v>
      </c>
      <c r="AC674" s="152">
        <v>0</v>
      </c>
      <c r="AD674" s="152" t="s">
        <v>442</v>
      </c>
      <c r="AE674" t="s">
        <v>352</v>
      </c>
    </row>
    <row r="675" spans="2:31" ht="14.25" customHeight="1" x14ac:dyDescent="0.2">
      <c r="B675" s="7">
        <f t="shared" si="48"/>
        <v>651</v>
      </c>
      <c r="C675" s="152">
        <v>5</v>
      </c>
      <c r="D675" s="152">
        <v>2</v>
      </c>
      <c r="E675" s="152">
        <v>6</v>
      </c>
      <c r="F675" s="153">
        <v>2022</v>
      </c>
      <c r="G675" s="152">
        <v>2032</v>
      </c>
      <c r="H675" s="152">
        <v>7</v>
      </c>
      <c r="I675" s="152">
        <v>0</v>
      </c>
      <c r="J675" s="152">
        <v>0</v>
      </c>
      <c r="K675" s="152">
        <v>0</v>
      </c>
      <c r="L675" s="152">
        <v>0</v>
      </c>
      <c r="M675" s="154">
        <v>3.33</v>
      </c>
      <c r="N675" s="155">
        <v>1550</v>
      </c>
      <c r="O675" s="155">
        <v>1040</v>
      </c>
      <c r="P675" s="41">
        <f t="array" ref="P675">ROUND(IF($F675&lt;='TaxCred&amp;Subs'!$C$49,(IF($C675=2,IF($M675&gt;=IFERROR(INDEX('TaxCred&amp;Subs'!$L$12:$L$47,MATCH(1,($C675&amp;$D675='TaxCred&amp;Subs'!$E$12:$E$47)*($F675='TaxCred&amp;Subs'!$C$12:$C$47),0)
),9999),IFERROR(INDEX('TaxCred&amp;Subs'!$N$12:$N$47,MATCH(1,($C675&amp;$D675='TaxCred&amp;Subs'!$E$12:$E$47)*($F675='TaxCred&amp;Subs'!$C$12:$C$47),0)
),0),0),(IF($M675&gt;=IFERROR(INDEX('TaxCred&amp;Subs'!$H$12:$H$47,MATCH(1,($C675&amp;$D675='TaxCred&amp;Subs'!$D$12:$D$47)*($F675='TaxCred&amp;Subs'!$C$12:$C$47),0)
),9999),IFERROR(INDEX('TaxCred&amp;Subs'!$N$12:$N$47,MATCH(1,($C675&amp;$D675='TaxCred&amp;Subs'!$D$12:$D$47)*($F675='TaxCred&amp;Subs'!$C$12:$C$47),0)
),0),0)))),0)+IF(AND($C675=2,VALUE(RIGHT($AD675,1))&gt;2),(N675-R675)*(IFERROR(INDEX('TaxCred&amp;Subs'!$J$66:$J$99,MATCH(1,($C675&amp;$D675='TaxCred&amp;Subs'!$E$66:$E$99)*($F675='TaxCred&amp;Subs'!$C$66:$C$99),0)),0)),IF(AND($C675=1,VALUE(RIGHT($AD675,1))&gt;2),(N675-R675)*(IFERROR(INDEX('TaxCred&amp;Subs'!$J$66:$J$99,MATCH(1,($C675&amp;$D675='TaxCred&amp;Subs'!$D$66:$D$99)*($F675='TaxCred&amp;Subs'!$C$66:$C$99),0)),0)),IF($C675&gt;2,(N675-R675)*(IFERROR(INDEX('TaxCred&amp;Subs'!$J$66:$J$99,MATCH(1,($C675&amp;$D675='TaxCred&amp;Subs'!$D$66:$D$99)*($F675='TaxCred&amp;Subs'!$C$66:$C$99),0)),0)),0))),0)</f>
        <v>600</v>
      </c>
      <c r="Q675" s="41">
        <f t="array" ref="Q675">ROUND(IF(AND($C675=2,VALUE(RIGHT($AD675,1))&gt;2),(O675-S675)*(IFERROR(INDEX('TaxCred&amp;Subs'!$J$66:$J$99,MATCH(1,($C675&amp;$D675='TaxCred&amp;Subs'!$E$66:$E$99)*($F675='TaxCred&amp;Subs'!$C$66:$C$99),0)),0)),IF(AND($C675=1,VALUE(RIGHT($AD675,1))&gt;2),(O675-S675)*(IFERROR(INDEX('TaxCred&amp;Subs'!$J$66:$J$99,MATCH(1,($C675&amp;$D675='TaxCred&amp;Subs'!$D$66:$D$99)*($F675='TaxCred&amp;Subs'!$C$66:$C$99),0)),0)),IF($C675&gt;2,(O675-S675)*(IFERROR(INDEX('TaxCred&amp;Subs'!$J$66:$J$99,MATCH(1,($C675&amp;$D675='TaxCred&amp;Subs'!$D$66:$D$99)*($F675='TaxCred&amp;Subs'!$C$66:$C$99),0)),0)),0))),0)</f>
        <v>0</v>
      </c>
      <c r="R675" s="172">
        <f t="array" ref="R675">ROUND(IF(IFERROR(VALUE(RIGHT($AD675,1)),0)&gt;2,IF($C675=8,N675*IFERROR(INDEX('TaxCred&amp;Subs'!$K$139:$S$151,MATCH($C675&amp;$D675&amp;LEFT($AD675,7),'TaxCred&amp;Subs'!$E$139:$E$151,0),MATCH($H675,'TaxCred&amp;Subs'!$K$137:$S$137,0)),0),IF($C675=2,N675*IFERROR(INDEX('TaxCred&amp;Subs'!$K$139:$S$151,MATCH($C675&amp;$D675,'TaxCred&amp;Subs'!$D$139:$D$151,0),MATCH($H675,'TaxCred&amp;Subs'!$K$137:$S$137,0)),0),N675*IFERROR(INDEX('TaxCred&amp;Subs'!$K$139:$S$151,MATCH($C675&amp;$D675,'TaxCred&amp;Subs'!$C$139:$C$151,0),MATCH($H675,'TaxCred&amp;Subs'!$K$137:$S$137,0)),0))),0),0)</f>
        <v>318</v>
      </c>
      <c r="S675" s="172">
        <f t="array" ref="S675">ROUND(IF(IFERROR(VALUE(RIGHT($AD675,1)),0)&gt;2,IF($C675=8,O675*IFERROR(INDEX('TaxCred&amp;Subs'!$K$139:$S$151,MATCH($C675&amp;$D675&amp;LEFT($AD675,7),'TaxCred&amp;Subs'!$E$139:$E$151,0),MATCH($H675,'TaxCred&amp;Subs'!$K$137:$S$137,0)),0),IF($C675=2,O675*IFERROR(INDEX('TaxCred&amp;Subs'!$K$139:$S$151,MATCH($C675&amp;$D675,'TaxCred&amp;Subs'!$D$139:$D$151,0),MATCH($H675,'TaxCred&amp;Subs'!$K$137:$S$137,0)),0),O675*IFERROR(INDEX('TaxCred&amp;Subs'!$K$139:$S$151,MATCH($C675&amp;$D675,'TaxCred&amp;Subs'!$C$139:$C$151,0),MATCH($H675,'TaxCred&amp;Subs'!$K$137:$S$137,0)),0))),0),0)</f>
        <v>214</v>
      </c>
      <c r="T675" s="41">
        <f t="shared" si="46"/>
        <v>0</v>
      </c>
      <c r="U675" s="41">
        <f t="shared" si="47"/>
        <v>0</v>
      </c>
      <c r="V675" s="152" t="s">
        <v>222</v>
      </c>
      <c r="W675" s="152">
        <v>2020</v>
      </c>
      <c r="X675" s="152">
        <v>1</v>
      </c>
      <c r="Y675" s="152">
        <v>0</v>
      </c>
      <c r="Z675" s="194">
        <v>-1.755E-3</v>
      </c>
      <c r="AA675" s="194">
        <v>-2.7E-2</v>
      </c>
      <c r="AB675" s="152">
        <v>0</v>
      </c>
      <c r="AC675" s="152">
        <v>0</v>
      </c>
      <c r="AD675" s="152" t="s">
        <v>442</v>
      </c>
      <c r="AE675" t="s">
        <v>352</v>
      </c>
    </row>
    <row r="676" spans="2:31" ht="14.25" customHeight="1" x14ac:dyDescent="0.2">
      <c r="B676" s="7">
        <f t="shared" si="48"/>
        <v>652</v>
      </c>
      <c r="C676" s="152">
        <v>5</v>
      </c>
      <c r="D676" s="152">
        <v>2</v>
      </c>
      <c r="E676" s="152">
        <v>6</v>
      </c>
      <c r="F676" s="153">
        <v>2022</v>
      </c>
      <c r="G676" s="152">
        <v>2032</v>
      </c>
      <c r="H676" s="152">
        <v>8</v>
      </c>
      <c r="I676" s="152">
        <v>0</v>
      </c>
      <c r="J676" s="152">
        <v>0</v>
      </c>
      <c r="K676" s="152">
        <v>0</v>
      </c>
      <c r="L676" s="152">
        <v>0</v>
      </c>
      <c r="M676" s="154">
        <v>3.33</v>
      </c>
      <c r="N676" s="155">
        <v>1550</v>
      </c>
      <c r="O676" s="155">
        <v>1040</v>
      </c>
      <c r="P676" s="41">
        <f t="array" ref="P676">ROUND(IF($F676&lt;='TaxCred&amp;Subs'!$C$49,(IF($C676=2,IF($M676&gt;=IFERROR(INDEX('TaxCred&amp;Subs'!$L$12:$L$47,MATCH(1,($C676&amp;$D676='TaxCred&amp;Subs'!$E$12:$E$47)*($F676='TaxCred&amp;Subs'!$C$12:$C$47),0)
),9999),IFERROR(INDEX('TaxCred&amp;Subs'!$N$12:$N$47,MATCH(1,($C676&amp;$D676='TaxCred&amp;Subs'!$E$12:$E$47)*($F676='TaxCred&amp;Subs'!$C$12:$C$47),0)
),0),0),(IF($M676&gt;=IFERROR(INDEX('TaxCred&amp;Subs'!$H$12:$H$47,MATCH(1,($C676&amp;$D676='TaxCred&amp;Subs'!$D$12:$D$47)*($F676='TaxCred&amp;Subs'!$C$12:$C$47),0)
),9999),IFERROR(INDEX('TaxCred&amp;Subs'!$N$12:$N$47,MATCH(1,($C676&amp;$D676='TaxCred&amp;Subs'!$D$12:$D$47)*($F676='TaxCred&amp;Subs'!$C$12:$C$47),0)
),0),0)))),0)+IF(AND($C676=2,VALUE(RIGHT($AD676,1))&gt;2),(N676-R676)*(IFERROR(INDEX('TaxCred&amp;Subs'!$J$66:$J$99,MATCH(1,($C676&amp;$D676='TaxCred&amp;Subs'!$E$66:$E$99)*($F676='TaxCred&amp;Subs'!$C$66:$C$99),0)),0)),IF(AND($C676=1,VALUE(RIGHT($AD676,1))&gt;2),(N676-R676)*(IFERROR(INDEX('TaxCred&amp;Subs'!$J$66:$J$99,MATCH(1,($C676&amp;$D676='TaxCred&amp;Subs'!$D$66:$D$99)*($F676='TaxCred&amp;Subs'!$C$66:$C$99),0)),0)),IF($C676&gt;2,(N676-R676)*(IFERROR(INDEX('TaxCred&amp;Subs'!$J$66:$J$99,MATCH(1,($C676&amp;$D676='TaxCred&amp;Subs'!$D$66:$D$99)*($F676='TaxCred&amp;Subs'!$C$66:$C$99),0)),0)),0))),0)</f>
        <v>600</v>
      </c>
      <c r="Q676" s="41">
        <f t="array" ref="Q676">ROUND(IF(AND($C676=2,VALUE(RIGHT($AD676,1))&gt;2),(O676-S676)*(IFERROR(INDEX('TaxCred&amp;Subs'!$J$66:$J$99,MATCH(1,($C676&amp;$D676='TaxCred&amp;Subs'!$E$66:$E$99)*($F676='TaxCred&amp;Subs'!$C$66:$C$99),0)),0)),IF(AND($C676=1,VALUE(RIGHT($AD676,1))&gt;2),(O676-S676)*(IFERROR(INDEX('TaxCred&amp;Subs'!$J$66:$J$99,MATCH(1,($C676&amp;$D676='TaxCred&amp;Subs'!$D$66:$D$99)*($F676='TaxCred&amp;Subs'!$C$66:$C$99),0)),0)),IF($C676&gt;2,(O676-S676)*(IFERROR(INDEX('TaxCred&amp;Subs'!$J$66:$J$99,MATCH(1,($C676&amp;$D676='TaxCred&amp;Subs'!$D$66:$D$99)*($F676='TaxCred&amp;Subs'!$C$66:$C$99),0)),0)),0))),0)</f>
        <v>0</v>
      </c>
      <c r="R676" s="172">
        <f t="array" ref="R676">ROUND(IF(IFERROR(VALUE(RIGHT($AD676,1)),0)&gt;2,IF($C676=8,N676*IFERROR(INDEX('TaxCred&amp;Subs'!$K$139:$S$151,MATCH($C676&amp;$D676&amp;LEFT($AD676,7),'TaxCred&amp;Subs'!$E$139:$E$151,0),MATCH($H676,'TaxCred&amp;Subs'!$K$137:$S$137,0)),0),IF($C676=2,N676*IFERROR(INDEX('TaxCred&amp;Subs'!$K$139:$S$151,MATCH($C676&amp;$D676,'TaxCred&amp;Subs'!$D$139:$D$151,0),MATCH($H676,'TaxCred&amp;Subs'!$K$137:$S$137,0)),0),N676*IFERROR(INDEX('TaxCred&amp;Subs'!$K$139:$S$151,MATCH($C676&amp;$D676,'TaxCred&amp;Subs'!$C$139:$C$151,0),MATCH($H676,'TaxCred&amp;Subs'!$K$137:$S$137,0)),0))),0),0)</f>
        <v>134</v>
      </c>
      <c r="S676" s="172">
        <f t="array" ref="S676">ROUND(IF(IFERROR(VALUE(RIGHT($AD676,1)),0)&gt;2,IF($C676=8,O676*IFERROR(INDEX('TaxCred&amp;Subs'!$K$139:$S$151,MATCH($C676&amp;$D676&amp;LEFT($AD676,7),'TaxCred&amp;Subs'!$E$139:$E$151,0),MATCH($H676,'TaxCred&amp;Subs'!$K$137:$S$137,0)),0),IF($C676=2,O676*IFERROR(INDEX('TaxCred&amp;Subs'!$K$139:$S$151,MATCH($C676&amp;$D676,'TaxCred&amp;Subs'!$D$139:$D$151,0),MATCH($H676,'TaxCred&amp;Subs'!$K$137:$S$137,0)),0),O676*IFERROR(INDEX('TaxCred&amp;Subs'!$K$139:$S$151,MATCH($C676&amp;$D676,'TaxCred&amp;Subs'!$C$139:$C$151,0),MATCH($H676,'TaxCred&amp;Subs'!$K$137:$S$137,0)),0))),0),0)</f>
        <v>90</v>
      </c>
      <c r="T676" s="41">
        <f t="shared" si="46"/>
        <v>0</v>
      </c>
      <c r="U676" s="41">
        <f t="shared" si="47"/>
        <v>0</v>
      </c>
      <c r="V676" s="152" t="s">
        <v>222</v>
      </c>
      <c r="W676" s="152">
        <v>2020</v>
      </c>
      <c r="X676" s="152">
        <v>1</v>
      </c>
      <c r="Y676" s="152">
        <v>0</v>
      </c>
      <c r="Z676" s="194">
        <v>-1.755E-3</v>
      </c>
      <c r="AA676" s="194">
        <v>-2.7E-2</v>
      </c>
      <c r="AB676" s="152">
        <v>0</v>
      </c>
      <c r="AC676" s="152">
        <v>0</v>
      </c>
      <c r="AD676" s="152" t="s">
        <v>442</v>
      </c>
      <c r="AE676" t="s">
        <v>352</v>
      </c>
    </row>
    <row r="677" spans="2:31" ht="14.25" customHeight="1" x14ac:dyDescent="0.2">
      <c r="B677" s="7">
        <f t="shared" si="48"/>
        <v>653</v>
      </c>
      <c r="C677" s="152">
        <v>5</v>
      </c>
      <c r="D677" s="152">
        <v>2</v>
      </c>
      <c r="E677" s="152">
        <v>6</v>
      </c>
      <c r="F677" s="153">
        <v>2022</v>
      </c>
      <c r="G677" s="152">
        <v>2032</v>
      </c>
      <c r="H677" s="152">
        <v>9</v>
      </c>
      <c r="I677" s="152">
        <v>0</v>
      </c>
      <c r="J677" s="152">
        <v>0</v>
      </c>
      <c r="K677" s="152">
        <v>0</v>
      </c>
      <c r="L677" s="152">
        <v>0</v>
      </c>
      <c r="M677" s="154">
        <v>3.33</v>
      </c>
      <c r="N677" s="155">
        <v>1550</v>
      </c>
      <c r="O677" s="155">
        <v>1040</v>
      </c>
      <c r="P677" s="41">
        <f t="array" ref="P677">ROUND(IF($F677&lt;='TaxCred&amp;Subs'!$C$49,(IF($C677=2,IF($M677&gt;=IFERROR(INDEX('TaxCred&amp;Subs'!$L$12:$L$47,MATCH(1,($C677&amp;$D677='TaxCred&amp;Subs'!$E$12:$E$47)*($F677='TaxCred&amp;Subs'!$C$12:$C$47),0)
),9999),IFERROR(INDEX('TaxCred&amp;Subs'!$N$12:$N$47,MATCH(1,($C677&amp;$D677='TaxCred&amp;Subs'!$E$12:$E$47)*($F677='TaxCred&amp;Subs'!$C$12:$C$47),0)
),0),0),(IF($M677&gt;=IFERROR(INDEX('TaxCred&amp;Subs'!$H$12:$H$47,MATCH(1,($C677&amp;$D677='TaxCred&amp;Subs'!$D$12:$D$47)*($F677='TaxCred&amp;Subs'!$C$12:$C$47),0)
),9999),IFERROR(INDEX('TaxCred&amp;Subs'!$N$12:$N$47,MATCH(1,($C677&amp;$D677='TaxCred&amp;Subs'!$D$12:$D$47)*($F677='TaxCred&amp;Subs'!$C$12:$C$47),0)
),0),0)))),0)+IF(AND($C677=2,VALUE(RIGHT($AD677,1))&gt;2),(N677-R677)*(IFERROR(INDEX('TaxCred&amp;Subs'!$J$66:$J$99,MATCH(1,($C677&amp;$D677='TaxCred&amp;Subs'!$E$66:$E$99)*($F677='TaxCred&amp;Subs'!$C$66:$C$99),0)),0)),IF(AND($C677=1,VALUE(RIGHT($AD677,1))&gt;2),(N677-R677)*(IFERROR(INDEX('TaxCred&amp;Subs'!$J$66:$J$99,MATCH(1,($C677&amp;$D677='TaxCred&amp;Subs'!$D$66:$D$99)*($F677='TaxCred&amp;Subs'!$C$66:$C$99),0)),0)),IF($C677&gt;2,(N677-R677)*(IFERROR(INDEX('TaxCred&amp;Subs'!$J$66:$J$99,MATCH(1,($C677&amp;$D677='TaxCred&amp;Subs'!$D$66:$D$99)*($F677='TaxCred&amp;Subs'!$C$66:$C$99),0)),0)),0))),0)</f>
        <v>600</v>
      </c>
      <c r="Q677" s="41">
        <f t="array" ref="Q677">ROUND(IF(AND($C677=2,VALUE(RIGHT($AD677,1))&gt;2),(O677-S677)*(IFERROR(INDEX('TaxCred&amp;Subs'!$J$66:$J$99,MATCH(1,($C677&amp;$D677='TaxCred&amp;Subs'!$E$66:$E$99)*($F677='TaxCred&amp;Subs'!$C$66:$C$99),0)),0)),IF(AND($C677=1,VALUE(RIGHT($AD677,1))&gt;2),(O677-S677)*(IFERROR(INDEX('TaxCred&amp;Subs'!$J$66:$J$99,MATCH(1,($C677&amp;$D677='TaxCred&amp;Subs'!$D$66:$D$99)*($F677='TaxCred&amp;Subs'!$C$66:$C$99),0)),0)),IF($C677&gt;2,(O677-S677)*(IFERROR(INDEX('TaxCred&amp;Subs'!$J$66:$J$99,MATCH(1,($C677&amp;$D677='TaxCred&amp;Subs'!$D$66:$D$99)*($F677='TaxCred&amp;Subs'!$C$66:$C$99),0)),0)),0))),0)</f>
        <v>0</v>
      </c>
      <c r="R677" s="172">
        <f t="array" ref="R677">ROUND(IF(IFERROR(VALUE(RIGHT($AD677,1)),0)&gt;2,IF($C677=8,N677*IFERROR(INDEX('TaxCred&amp;Subs'!$K$139:$S$151,MATCH($C677&amp;$D677&amp;LEFT($AD677,7),'TaxCred&amp;Subs'!$E$139:$E$151,0),MATCH($H677,'TaxCred&amp;Subs'!$K$137:$S$137,0)),0),IF($C677=2,N677*IFERROR(INDEX('TaxCred&amp;Subs'!$K$139:$S$151,MATCH($C677&amp;$D677,'TaxCred&amp;Subs'!$D$139:$D$151,0),MATCH($H677,'TaxCred&amp;Subs'!$K$137:$S$137,0)),0),N677*IFERROR(INDEX('TaxCred&amp;Subs'!$K$139:$S$151,MATCH($C677&amp;$D677,'TaxCred&amp;Subs'!$C$139:$C$151,0),MATCH($H677,'TaxCred&amp;Subs'!$K$137:$S$137,0)),0))),0),0)</f>
        <v>350</v>
      </c>
      <c r="S677" s="172">
        <f t="array" ref="S677">ROUND(IF(IFERROR(VALUE(RIGHT($AD677,1)),0)&gt;2,IF($C677=8,O677*IFERROR(INDEX('TaxCred&amp;Subs'!$K$139:$S$151,MATCH($C677&amp;$D677&amp;LEFT($AD677,7),'TaxCred&amp;Subs'!$E$139:$E$151,0),MATCH($H677,'TaxCred&amp;Subs'!$K$137:$S$137,0)),0),IF($C677=2,O677*IFERROR(INDEX('TaxCred&amp;Subs'!$K$139:$S$151,MATCH($C677&amp;$D677,'TaxCred&amp;Subs'!$D$139:$D$151,0),MATCH($H677,'TaxCred&amp;Subs'!$K$137:$S$137,0)),0),O677*IFERROR(INDEX('TaxCred&amp;Subs'!$K$139:$S$151,MATCH($C677&amp;$D677,'TaxCred&amp;Subs'!$C$139:$C$151,0),MATCH($H677,'TaxCred&amp;Subs'!$K$137:$S$137,0)),0))),0),0)</f>
        <v>235</v>
      </c>
      <c r="T677" s="41">
        <f t="shared" si="46"/>
        <v>142.5</v>
      </c>
      <c r="U677" s="41">
        <f t="shared" si="47"/>
        <v>156</v>
      </c>
      <c r="V677" s="152" t="s">
        <v>222</v>
      </c>
      <c r="W677" s="152">
        <v>2020</v>
      </c>
      <c r="X677" s="152">
        <v>1</v>
      </c>
      <c r="Y677" s="152">
        <v>0</v>
      </c>
      <c r="Z677" s="194">
        <v>-1.755E-3</v>
      </c>
      <c r="AA677" s="194">
        <v>-2.7E-2</v>
      </c>
      <c r="AB677" s="152">
        <v>0</v>
      </c>
      <c r="AC677" s="152">
        <v>0</v>
      </c>
      <c r="AD677" s="152" t="s">
        <v>442</v>
      </c>
      <c r="AE677" t="s">
        <v>352</v>
      </c>
    </row>
    <row r="678" spans="2:31" ht="14.25" customHeight="1" x14ac:dyDescent="0.2">
      <c r="B678" s="7">
        <f t="shared" si="48"/>
        <v>654</v>
      </c>
      <c r="C678" s="28">
        <v>5</v>
      </c>
      <c r="D678" s="28">
        <v>2</v>
      </c>
      <c r="E678" s="31">
        <v>6</v>
      </c>
      <c r="F678" s="78">
        <v>2033</v>
      </c>
      <c r="G678" s="28">
        <v>2050</v>
      </c>
      <c r="H678" s="31">
        <v>1</v>
      </c>
      <c r="I678" s="28">
        <v>0</v>
      </c>
      <c r="J678" s="28">
        <v>0</v>
      </c>
      <c r="K678" s="28">
        <v>0</v>
      </c>
      <c r="L678" s="28">
        <v>0</v>
      </c>
      <c r="M678" s="156">
        <v>3.33</v>
      </c>
      <c r="N678" s="151">
        <v>1550</v>
      </c>
      <c r="O678" s="151">
        <v>1040</v>
      </c>
      <c r="P678" s="95">
        <f t="array" ref="P678">ROUND(IF($F678&lt;='TaxCred&amp;Subs'!$C$49,(IF($C678=2,IF($M678&gt;=IFERROR(INDEX('TaxCred&amp;Subs'!$L$12:$L$47,MATCH(1,($C678&amp;$D678='TaxCred&amp;Subs'!$E$12:$E$47)*($F678='TaxCred&amp;Subs'!$C$12:$C$47),0)
),9999),IFERROR(INDEX('TaxCred&amp;Subs'!$N$12:$N$47,MATCH(1,($C678&amp;$D678='TaxCred&amp;Subs'!$E$12:$E$47)*($F678='TaxCred&amp;Subs'!$C$12:$C$47),0)
),0),0),(IF($M678&gt;=IFERROR(INDEX('TaxCred&amp;Subs'!$H$12:$H$47,MATCH(1,($C678&amp;$D678='TaxCred&amp;Subs'!$D$12:$D$47)*($F678='TaxCred&amp;Subs'!$C$12:$C$47),0)
),9999),IFERROR(INDEX('TaxCred&amp;Subs'!$N$12:$N$47,MATCH(1,($C678&amp;$D678='TaxCred&amp;Subs'!$D$12:$D$47)*($F678='TaxCred&amp;Subs'!$C$12:$C$47),0)
),0),0)))),0)+IF(AND($C678=2,VALUE(RIGHT($AD678,1))&gt;2),(N678-R678)*(IFERROR(INDEX('TaxCred&amp;Subs'!$J$66:$J$99,MATCH(1,($C678&amp;$D678='TaxCred&amp;Subs'!$E$66:$E$99)*($F678='TaxCred&amp;Subs'!$C$66:$C$99),0)),0)),IF(AND($C678=1,VALUE(RIGHT($AD678,1))&gt;2),(N678-R678)*(IFERROR(INDEX('TaxCred&amp;Subs'!$J$66:$J$99,MATCH(1,($C678&amp;$D678='TaxCred&amp;Subs'!$D$66:$D$99)*($F678='TaxCred&amp;Subs'!$C$66:$C$99),0)),0)),IF($C678&gt;2,(N678-R678)*(IFERROR(INDEX('TaxCred&amp;Subs'!$J$66:$J$99,MATCH(1,($C678&amp;$D678='TaxCred&amp;Subs'!$D$66:$D$99)*($F678='TaxCred&amp;Subs'!$C$66:$C$99),0)),0)),0))),0)</f>
        <v>0</v>
      </c>
      <c r="Q678" s="95">
        <f t="array" ref="Q678">ROUND(IF(AND($C678=2,VALUE(RIGHT($AD678,1))&gt;2),(O678-S678)*(IFERROR(INDEX('TaxCred&amp;Subs'!$J$66:$J$99,MATCH(1,($C678&amp;$D678='TaxCred&amp;Subs'!$E$66:$E$99)*($F678='TaxCred&amp;Subs'!$C$66:$C$99),0)),0)),IF(AND($C678=1,VALUE(RIGHT($AD678,1))&gt;2),(O678-S678)*(IFERROR(INDEX('TaxCred&amp;Subs'!$J$66:$J$99,MATCH(1,($C678&amp;$D678='TaxCred&amp;Subs'!$D$66:$D$99)*($F678='TaxCred&amp;Subs'!$C$66:$C$99),0)),0)),IF($C678&gt;2,(O678-S678)*(IFERROR(INDEX('TaxCred&amp;Subs'!$J$66:$J$99,MATCH(1,($C678&amp;$D678='TaxCred&amp;Subs'!$D$66:$D$99)*($F678='TaxCred&amp;Subs'!$C$66:$C$99),0)),0)),0))),0)</f>
        <v>0</v>
      </c>
      <c r="R678" s="172">
        <f t="array" ref="R678">ROUND(IF(IFERROR(VALUE(RIGHT($AD678,1)),0)&gt;2,IF($C678=8,N678*IFERROR(INDEX('TaxCred&amp;Subs'!$K$139:$S$151,MATCH($C678&amp;$D678&amp;LEFT($AD678,7),'TaxCred&amp;Subs'!$E$139:$E$151,0),MATCH($H678,'TaxCred&amp;Subs'!$K$137:$S$137,0)),0),IF($C678=2,N678*IFERROR(INDEX('TaxCred&amp;Subs'!$K$139:$S$151,MATCH($C678&amp;$D678,'TaxCred&amp;Subs'!$D$139:$D$151,0),MATCH($H678,'TaxCred&amp;Subs'!$K$137:$S$137,0)),0),N678*IFERROR(INDEX('TaxCred&amp;Subs'!$K$139:$S$151,MATCH($C678&amp;$D678,'TaxCred&amp;Subs'!$C$139:$C$151,0),MATCH($H678,'TaxCred&amp;Subs'!$K$137:$S$137,0)),0))),0),0)</f>
        <v>404</v>
      </c>
      <c r="S678" s="172">
        <f t="array" ref="S678">ROUND(IF(IFERROR(VALUE(RIGHT($AD678,1)),0)&gt;2,IF($C678=8,O678*IFERROR(INDEX('TaxCred&amp;Subs'!$K$139:$S$151,MATCH($C678&amp;$D678&amp;LEFT($AD678,7),'TaxCred&amp;Subs'!$E$139:$E$151,0),MATCH($H678,'TaxCred&amp;Subs'!$K$137:$S$137,0)),0),IF($C678=2,O678*IFERROR(INDEX('TaxCred&amp;Subs'!$K$139:$S$151,MATCH($C678&amp;$D678,'TaxCred&amp;Subs'!$D$139:$D$151,0),MATCH($H678,'TaxCred&amp;Subs'!$K$137:$S$137,0)),0),O678*IFERROR(INDEX('TaxCred&amp;Subs'!$K$139:$S$151,MATCH($C678&amp;$D678,'TaxCred&amp;Subs'!$C$139:$C$151,0),MATCH($H678,'TaxCred&amp;Subs'!$K$137:$S$137,0)),0))),0),0)</f>
        <v>271</v>
      </c>
      <c r="T678" s="95">
        <f t="shared" si="46"/>
        <v>0</v>
      </c>
      <c r="U678" s="95">
        <f t="shared" si="47"/>
        <v>0</v>
      </c>
      <c r="V678" s="28" t="s">
        <v>222</v>
      </c>
      <c r="W678" s="31">
        <v>2020</v>
      </c>
      <c r="X678" s="28">
        <v>1</v>
      </c>
      <c r="Y678" s="28">
        <v>0</v>
      </c>
      <c r="Z678" s="196">
        <v>-1.755E-3</v>
      </c>
      <c r="AA678" s="196">
        <v>-2.7E-2</v>
      </c>
      <c r="AB678" s="28">
        <v>0</v>
      </c>
      <c r="AC678" s="28">
        <v>0</v>
      </c>
      <c r="AD678" s="31" t="s">
        <v>442</v>
      </c>
      <c r="AE678" t="s">
        <v>352</v>
      </c>
    </row>
    <row r="679" spans="2:31" ht="14.25" customHeight="1" x14ac:dyDescent="0.2">
      <c r="B679" s="7">
        <f t="shared" si="48"/>
        <v>655</v>
      </c>
      <c r="C679" s="152">
        <v>5</v>
      </c>
      <c r="D679" s="152">
        <v>2</v>
      </c>
      <c r="E679" s="152">
        <v>6</v>
      </c>
      <c r="F679" s="153">
        <v>2033</v>
      </c>
      <c r="G679" s="152">
        <v>2050</v>
      </c>
      <c r="H679" s="152">
        <v>2</v>
      </c>
      <c r="I679" s="152">
        <v>0</v>
      </c>
      <c r="J679" s="152">
        <v>0</v>
      </c>
      <c r="K679" s="152">
        <v>0</v>
      </c>
      <c r="L679" s="152">
        <v>0</v>
      </c>
      <c r="M679" s="154">
        <v>3.33</v>
      </c>
      <c r="N679" s="155">
        <v>1550</v>
      </c>
      <c r="O679" s="155">
        <v>1040</v>
      </c>
      <c r="P679" s="41">
        <f t="array" ref="P679">ROUND(IF($F679&lt;='TaxCred&amp;Subs'!$C$49,(IF($C679=2,IF($M679&gt;=IFERROR(INDEX('TaxCred&amp;Subs'!$L$12:$L$47,MATCH(1,($C679&amp;$D679='TaxCred&amp;Subs'!$E$12:$E$47)*($F679='TaxCred&amp;Subs'!$C$12:$C$47),0)
),9999),IFERROR(INDEX('TaxCred&amp;Subs'!$N$12:$N$47,MATCH(1,($C679&amp;$D679='TaxCred&amp;Subs'!$E$12:$E$47)*($F679='TaxCred&amp;Subs'!$C$12:$C$47),0)
),0),0),(IF($M679&gt;=IFERROR(INDEX('TaxCred&amp;Subs'!$H$12:$H$47,MATCH(1,($C679&amp;$D679='TaxCred&amp;Subs'!$D$12:$D$47)*($F679='TaxCred&amp;Subs'!$C$12:$C$47),0)
),9999),IFERROR(INDEX('TaxCred&amp;Subs'!$N$12:$N$47,MATCH(1,($C679&amp;$D679='TaxCred&amp;Subs'!$D$12:$D$47)*($F679='TaxCred&amp;Subs'!$C$12:$C$47),0)
),0),0)))),0)+IF(AND($C679=2,VALUE(RIGHT($AD679,1))&gt;2),(N679-R679)*(IFERROR(INDEX('TaxCred&amp;Subs'!$J$66:$J$99,MATCH(1,($C679&amp;$D679='TaxCred&amp;Subs'!$E$66:$E$99)*($F679='TaxCred&amp;Subs'!$C$66:$C$99),0)),0)),IF(AND($C679=1,VALUE(RIGHT($AD679,1))&gt;2),(N679-R679)*(IFERROR(INDEX('TaxCred&amp;Subs'!$J$66:$J$99,MATCH(1,($C679&amp;$D679='TaxCred&amp;Subs'!$D$66:$D$99)*($F679='TaxCred&amp;Subs'!$C$66:$C$99),0)),0)),IF($C679&gt;2,(N679-R679)*(IFERROR(INDEX('TaxCred&amp;Subs'!$J$66:$J$99,MATCH(1,($C679&amp;$D679='TaxCred&amp;Subs'!$D$66:$D$99)*($F679='TaxCred&amp;Subs'!$C$66:$C$99),0)),0)),0))),0)</f>
        <v>0</v>
      </c>
      <c r="Q679" s="41">
        <f t="array" ref="Q679">ROUND(IF(AND($C679=2,VALUE(RIGHT($AD679,1))&gt;2),(O679-S679)*(IFERROR(INDEX('TaxCred&amp;Subs'!$J$66:$J$99,MATCH(1,($C679&amp;$D679='TaxCred&amp;Subs'!$E$66:$E$99)*($F679='TaxCred&amp;Subs'!$C$66:$C$99),0)),0)),IF(AND($C679=1,VALUE(RIGHT($AD679,1))&gt;2),(O679-S679)*(IFERROR(INDEX('TaxCred&amp;Subs'!$J$66:$J$99,MATCH(1,($C679&amp;$D679='TaxCred&amp;Subs'!$D$66:$D$99)*($F679='TaxCred&amp;Subs'!$C$66:$C$99),0)),0)),IF($C679&gt;2,(O679-S679)*(IFERROR(INDEX('TaxCred&amp;Subs'!$J$66:$J$99,MATCH(1,($C679&amp;$D679='TaxCred&amp;Subs'!$D$66:$D$99)*($F679='TaxCred&amp;Subs'!$C$66:$C$99),0)),0)),0))),0)</f>
        <v>0</v>
      </c>
      <c r="R679" s="172">
        <f t="array" ref="R679">ROUND(IF(IFERROR(VALUE(RIGHT($AD679,1)),0)&gt;2,IF($C679=8,N679*IFERROR(INDEX('TaxCred&amp;Subs'!$K$139:$S$151,MATCH($C679&amp;$D679&amp;LEFT($AD679,7),'TaxCred&amp;Subs'!$E$139:$E$151,0),MATCH($H679,'TaxCred&amp;Subs'!$K$137:$S$137,0)),0),IF($C679=2,N679*IFERROR(INDEX('TaxCred&amp;Subs'!$K$139:$S$151,MATCH($C679&amp;$D679,'TaxCred&amp;Subs'!$D$139:$D$151,0),MATCH($H679,'TaxCred&amp;Subs'!$K$137:$S$137,0)),0),N679*IFERROR(INDEX('TaxCred&amp;Subs'!$K$139:$S$151,MATCH($C679&amp;$D679,'TaxCred&amp;Subs'!$C$139:$C$151,0),MATCH($H679,'TaxCred&amp;Subs'!$K$137:$S$137,0)),0))),0),0)</f>
        <v>397</v>
      </c>
      <c r="S679" s="172">
        <f t="array" ref="S679">ROUND(IF(IFERROR(VALUE(RIGHT($AD679,1)),0)&gt;2,IF($C679=8,O679*IFERROR(INDEX('TaxCred&amp;Subs'!$K$139:$S$151,MATCH($C679&amp;$D679&amp;LEFT($AD679,7),'TaxCred&amp;Subs'!$E$139:$E$151,0),MATCH($H679,'TaxCred&amp;Subs'!$K$137:$S$137,0)),0),IF($C679=2,O679*IFERROR(INDEX('TaxCred&amp;Subs'!$K$139:$S$151,MATCH($C679&amp;$D679,'TaxCred&amp;Subs'!$D$139:$D$151,0),MATCH($H679,'TaxCred&amp;Subs'!$K$137:$S$137,0)),0),O679*IFERROR(INDEX('TaxCred&amp;Subs'!$K$139:$S$151,MATCH($C679&amp;$D679,'TaxCred&amp;Subs'!$C$139:$C$151,0),MATCH($H679,'TaxCred&amp;Subs'!$K$137:$S$137,0)),0))),0),0)</f>
        <v>266</v>
      </c>
      <c r="T679" s="41">
        <f t="shared" si="46"/>
        <v>0</v>
      </c>
      <c r="U679" s="41">
        <f t="shared" si="47"/>
        <v>0</v>
      </c>
      <c r="V679" s="152" t="s">
        <v>222</v>
      </c>
      <c r="W679" s="152">
        <v>2020</v>
      </c>
      <c r="X679" s="152">
        <v>1</v>
      </c>
      <c r="Y679" s="152">
        <v>0</v>
      </c>
      <c r="Z679" s="194">
        <v>-1.755E-3</v>
      </c>
      <c r="AA679" s="194">
        <v>-2.7E-2</v>
      </c>
      <c r="AB679" s="152">
        <v>0</v>
      </c>
      <c r="AC679" s="152">
        <v>0</v>
      </c>
      <c r="AD679" s="152" t="s">
        <v>442</v>
      </c>
      <c r="AE679" t="s">
        <v>352</v>
      </c>
    </row>
    <row r="680" spans="2:31" ht="14.25" customHeight="1" x14ac:dyDescent="0.2">
      <c r="B680" s="7">
        <f t="shared" si="48"/>
        <v>656</v>
      </c>
      <c r="C680" s="152">
        <v>5</v>
      </c>
      <c r="D680" s="152">
        <v>2</v>
      </c>
      <c r="E680" s="152">
        <v>6</v>
      </c>
      <c r="F680" s="153">
        <v>2033</v>
      </c>
      <c r="G680" s="152">
        <v>2050</v>
      </c>
      <c r="H680" s="152">
        <v>3</v>
      </c>
      <c r="I680" s="152">
        <v>0</v>
      </c>
      <c r="J680" s="152">
        <v>0</v>
      </c>
      <c r="K680" s="152">
        <v>0</v>
      </c>
      <c r="L680" s="152">
        <v>0</v>
      </c>
      <c r="M680" s="154">
        <v>3.33</v>
      </c>
      <c r="N680" s="155">
        <v>1550</v>
      </c>
      <c r="O680" s="155">
        <v>1040</v>
      </c>
      <c r="P680" s="41">
        <f t="array" ref="P680">ROUND(IF($F680&lt;='TaxCred&amp;Subs'!$C$49,(IF($C680=2,IF($M680&gt;=IFERROR(INDEX('TaxCred&amp;Subs'!$L$12:$L$47,MATCH(1,($C680&amp;$D680='TaxCred&amp;Subs'!$E$12:$E$47)*($F680='TaxCred&amp;Subs'!$C$12:$C$47),0)
),9999),IFERROR(INDEX('TaxCred&amp;Subs'!$N$12:$N$47,MATCH(1,($C680&amp;$D680='TaxCred&amp;Subs'!$E$12:$E$47)*($F680='TaxCred&amp;Subs'!$C$12:$C$47),0)
),0),0),(IF($M680&gt;=IFERROR(INDEX('TaxCred&amp;Subs'!$H$12:$H$47,MATCH(1,($C680&amp;$D680='TaxCred&amp;Subs'!$D$12:$D$47)*($F680='TaxCred&amp;Subs'!$C$12:$C$47),0)
),9999),IFERROR(INDEX('TaxCred&amp;Subs'!$N$12:$N$47,MATCH(1,($C680&amp;$D680='TaxCred&amp;Subs'!$D$12:$D$47)*($F680='TaxCred&amp;Subs'!$C$12:$C$47),0)
),0),0)))),0)+IF(AND($C680=2,VALUE(RIGHT($AD680,1))&gt;2),(N680-R680)*(IFERROR(INDEX('TaxCred&amp;Subs'!$J$66:$J$99,MATCH(1,($C680&amp;$D680='TaxCred&amp;Subs'!$E$66:$E$99)*($F680='TaxCred&amp;Subs'!$C$66:$C$99),0)),0)),IF(AND($C680=1,VALUE(RIGHT($AD680,1))&gt;2),(N680-R680)*(IFERROR(INDEX('TaxCred&amp;Subs'!$J$66:$J$99,MATCH(1,($C680&amp;$D680='TaxCred&amp;Subs'!$D$66:$D$99)*($F680='TaxCred&amp;Subs'!$C$66:$C$99),0)),0)),IF($C680&gt;2,(N680-R680)*(IFERROR(INDEX('TaxCred&amp;Subs'!$J$66:$J$99,MATCH(1,($C680&amp;$D680='TaxCred&amp;Subs'!$D$66:$D$99)*($F680='TaxCred&amp;Subs'!$C$66:$C$99),0)),0)),0))),0)</f>
        <v>0</v>
      </c>
      <c r="Q680" s="41">
        <f t="array" ref="Q680">ROUND(IF(AND($C680=2,VALUE(RIGHT($AD680,1))&gt;2),(O680-S680)*(IFERROR(INDEX('TaxCred&amp;Subs'!$J$66:$J$99,MATCH(1,($C680&amp;$D680='TaxCred&amp;Subs'!$E$66:$E$99)*($F680='TaxCred&amp;Subs'!$C$66:$C$99),0)),0)),IF(AND($C680=1,VALUE(RIGHT($AD680,1))&gt;2),(O680-S680)*(IFERROR(INDEX('TaxCred&amp;Subs'!$J$66:$J$99,MATCH(1,($C680&amp;$D680='TaxCred&amp;Subs'!$D$66:$D$99)*($F680='TaxCred&amp;Subs'!$C$66:$C$99),0)),0)),IF($C680&gt;2,(O680-S680)*(IFERROR(INDEX('TaxCred&amp;Subs'!$J$66:$J$99,MATCH(1,($C680&amp;$D680='TaxCred&amp;Subs'!$D$66:$D$99)*($F680='TaxCred&amp;Subs'!$C$66:$C$99),0)),0)),0))),0)</f>
        <v>0</v>
      </c>
      <c r="R680" s="172">
        <f t="array" ref="R680">ROUND(IF(IFERROR(VALUE(RIGHT($AD680,1)),0)&gt;2,IF($C680=8,N680*IFERROR(INDEX('TaxCred&amp;Subs'!$K$139:$S$151,MATCH($C680&amp;$D680&amp;LEFT($AD680,7),'TaxCred&amp;Subs'!$E$139:$E$151,0),MATCH($H680,'TaxCred&amp;Subs'!$K$137:$S$137,0)),0),IF($C680=2,N680*IFERROR(INDEX('TaxCred&amp;Subs'!$K$139:$S$151,MATCH($C680&amp;$D680,'TaxCred&amp;Subs'!$D$139:$D$151,0),MATCH($H680,'TaxCred&amp;Subs'!$K$137:$S$137,0)),0),N680*IFERROR(INDEX('TaxCred&amp;Subs'!$K$139:$S$151,MATCH($C680&amp;$D680,'TaxCred&amp;Subs'!$C$139:$C$151,0),MATCH($H680,'TaxCred&amp;Subs'!$K$137:$S$137,0)),0))),0),0)</f>
        <v>231</v>
      </c>
      <c r="S680" s="172">
        <f t="array" ref="S680">ROUND(IF(IFERROR(VALUE(RIGHT($AD680,1)),0)&gt;2,IF($C680=8,O680*IFERROR(INDEX('TaxCred&amp;Subs'!$K$139:$S$151,MATCH($C680&amp;$D680&amp;LEFT($AD680,7),'TaxCred&amp;Subs'!$E$139:$E$151,0),MATCH($H680,'TaxCred&amp;Subs'!$K$137:$S$137,0)),0),IF($C680=2,O680*IFERROR(INDEX('TaxCred&amp;Subs'!$K$139:$S$151,MATCH($C680&amp;$D680,'TaxCred&amp;Subs'!$D$139:$D$151,0),MATCH($H680,'TaxCred&amp;Subs'!$K$137:$S$137,0)),0),O680*IFERROR(INDEX('TaxCred&amp;Subs'!$K$139:$S$151,MATCH($C680&amp;$D680,'TaxCred&amp;Subs'!$C$139:$C$151,0),MATCH($H680,'TaxCred&amp;Subs'!$K$137:$S$137,0)),0))),0),0)</f>
        <v>155</v>
      </c>
      <c r="T680" s="41">
        <f t="shared" si="46"/>
        <v>0</v>
      </c>
      <c r="U680" s="41">
        <f t="shared" si="47"/>
        <v>0</v>
      </c>
      <c r="V680" s="152" t="s">
        <v>222</v>
      </c>
      <c r="W680" s="152">
        <v>2020</v>
      </c>
      <c r="X680" s="152">
        <v>1</v>
      </c>
      <c r="Y680" s="152">
        <v>0</v>
      </c>
      <c r="Z680" s="194">
        <v>-1.755E-3</v>
      </c>
      <c r="AA680" s="194">
        <v>-2.7E-2</v>
      </c>
      <c r="AB680" s="152">
        <v>0</v>
      </c>
      <c r="AC680" s="152">
        <v>0</v>
      </c>
      <c r="AD680" s="152" t="s">
        <v>442</v>
      </c>
      <c r="AE680" t="s">
        <v>352</v>
      </c>
    </row>
    <row r="681" spans="2:31" ht="14.25" customHeight="1" x14ac:dyDescent="0.2">
      <c r="B681" s="7">
        <f t="shared" si="48"/>
        <v>657</v>
      </c>
      <c r="C681" s="152">
        <v>5</v>
      </c>
      <c r="D681" s="152">
        <v>2</v>
      </c>
      <c r="E681" s="152">
        <v>6</v>
      </c>
      <c r="F681" s="153">
        <v>2033</v>
      </c>
      <c r="G681" s="152">
        <v>2050</v>
      </c>
      <c r="H681" s="152">
        <v>4</v>
      </c>
      <c r="I681" s="152">
        <v>0</v>
      </c>
      <c r="J681" s="152">
        <v>0</v>
      </c>
      <c r="K681" s="152">
        <v>0</v>
      </c>
      <c r="L681" s="152">
        <v>0</v>
      </c>
      <c r="M681" s="154">
        <v>3.33</v>
      </c>
      <c r="N681" s="155">
        <v>1550</v>
      </c>
      <c r="O681" s="155">
        <v>1040</v>
      </c>
      <c r="P681" s="41">
        <f t="array" ref="P681">ROUND(IF($F681&lt;='TaxCred&amp;Subs'!$C$49,(IF($C681=2,IF($M681&gt;=IFERROR(INDEX('TaxCred&amp;Subs'!$L$12:$L$47,MATCH(1,($C681&amp;$D681='TaxCred&amp;Subs'!$E$12:$E$47)*($F681='TaxCred&amp;Subs'!$C$12:$C$47),0)
),9999),IFERROR(INDEX('TaxCred&amp;Subs'!$N$12:$N$47,MATCH(1,($C681&amp;$D681='TaxCred&amp;Subs'!$E$12:$E$47)*($F681='TaxCred&amp;Subs'!$C$12:$C$47),0)
),0),0),(IF($M681&gt;=IFERROR(INDEX('TaxCred&amp;Subs'!$H$12:$H$47,MATCH(1,($C681&amp;$D681='TaxCred&amp;Subs'!$D$12:$D$47)*($F681='TaxCred&amp;Subs'!$C$12:$C$47),0)
),9999),IFERROR(INDEX('TaxCred&amp;Subs'!$N$12:$N$47,MATCH(1,($C681&amp;$D681='TaxCred&amp;Subs'!$D$12:$D$47)*($F681='TaxCred&amp;Subs'!$C$12:$C$47),0)
),0),0)))),0)+IF(AND($C681=2,VALUE(RIGHT($AD681,1))&gt;2),(N681-R681)*(IFERROR(INDEX('TaxCred&amp;Subs'!$J$66:$J$99,MATCH(1,($C681&amp;$D681='TaxCred&amp;Subs'!$E$66:$E$99)*($F681='TaxCred&amp;Subs'!$C$66:$C$99),0)),0)),IF(AND($C681=1,VALUE(RIGHT($AD681,1))&gt;2),(N681-R681)*(IFERROR(INDEX('TaxCred&amp;Subs'!$J$66:$J$99,MATCH(1,($C681&amp;$D681='TaxCred&amp;Subs'!$D$66:$D$99)*($F681='TaxCred&amp;Subs'!$C$66:$C$99),0)),0)),IF($C681&gt;2,(N681-R681)*(IFERROR(INDEX('TaxCred&amp;Subs'!$J$66:$J$99,MATCH(1,($C681&amp;$D681='TaxCred&amp;Subs'!$D$66:$D$99)*($F681='TaxCred&amp;Subs'!$C$66:$C$99),0)),0)),0))),0)</f>
        <v>0</v>
      </c>
      <c r="Q681" s="41">
        <f t="array" ref="Q681">ROUND(IF(AND($C681=2,VALUE(RIGHT($AD681,1))&gt;2),(O681-S681)*(IFERROR(INDEX('TaxCred&amp;Subs'!$J$66:$J$99,MATCH(1,($C681&amp;$D681='TaxCred&amp;Subs'!$E$66:$E$99)*($F681='TaxCred&amp;Subs'!$C$66:$C$99),0)),0)),IF(AND($C681=1,VALUE(RIGHT($AD681,1))&gt;2),(O681-S681)*(IFERROR(INDEX('TaxCred&amp;Subs'!$J$66:$J$99,MATCH(1,($C681&amp;$D681='TaxCred&amp;Subs'!$D$66:$D$99)*($F681='TaxCred&amp;Subs'!$C$66:$C$99),0)),0)),IF($C681&gt;2,(O681-S681)*(IFERROR(INDEX('TaxCred&amp;Subs'!$J$66:$J$99,MATCH(1,($C681&amp;$D681='TaxCred&amp;Subs'!$D$66:$D$99)*($F681='TaxCred&amp;Subs'!$C$66:$C$99),0)),0)),0))),0)</f>
        <v>0</v>
      </c>
      <c r="R681" s="172">
        <f t="array" ref="R681">ROUND(IF(IFERROR(VALUE(RIGHT($AD681,1)),0)&gt;2,IF($C681=8,N681*IFERROR(INDEX('TaxCred&amp;Subs'!$K$139:$S$151,MATCH($C681&amp;$D681&amp;LEFT($AD681,7),'TaxCred&amp;Subs'!$E$139:$E$151,0),MATCH($H681,'TaxCred&amp;Subs'!$K$137:$S$137,0)),0),IF($C681=2,N681*IFERROR(INDEX('TaxCred&amp;Subs'!$K$139:$S$151,MATCH($C681&amp;$D681,'TaxCred&amp;Subs'!$D$139:$D$151,0),MATCH($H681,'TaxCred&amp;Subs'!$K$137:$S$137,0)),0),N681*IFERROR(INDEX('TaxCred&amp;Subs'!$K$139:$S$151,MATCH($C681&amp;$D681,'TaxCred&amp;Subs'!$C$139:$C$151,0),MATCH($H681,'TaxCred&amp;Subs'!$K$137:$S$137,0)),0))),0),0)</f>
        <v>182</v>
      </c>
      <c r="S681" s="172">
        <f t="array" ref="S681">ROUND(IF(IFERROR(VALUE(RIGHT($AD681,1)),0)&gt;2,IF($C681=8,O681*IFERROR(INDEX('TaxCred&amp;Subs'!$K$139:$S$151,MATCH($C681&amp;$D681&amp;LEFT($AD681,7),'TaxCred&amp;Subs'!$E$139:$E$151,0),MATCH($H681,'TaxCred&amp;Subs'!$K$137:$S$137,0)),0),IF($C681=2,O681*IFERROR(INDEX('TaxCred&amp;Subs'!$K$139:$S$151,MATCH($C681&amp;$D681,'TaxCred&amp;Subs'!$D$139:$D$151,0),MATCH($H681,'TaxCred&amp;Subs'!$K$137:$S$137,0)),0),O681*IFERROR(INDEX('TaxCred&amp;Subs'!$K$139:$S$151,MATCH($C681&amp;$D681,'TaxCred&amp;Subs'!$C$139:$C$151,0),MATCH($H681,'TaxCred&amp;Subs'!$K$137:$S$137,0)),0))),0),0)</f>
        <v>122</v>
      </c>
      <c r="T681" s="41">
        <f t="shared" si="46"/>
        <v>0</v>
      </c>
      <c r="U681" s="41">
        <f t="shared" si="47"/>
        <v>0</v>
      </c>
      <c r="V681" s="152" t="s">
        <v>222</v>
      </c>
      <c r="W681" s="152">
        <v>2020</v>
      </c>
      <c r="X681" s="152">
        <v>1</v>
      </c>
      <c r="Y681" s="152">
        <v>0</v>
      </c>
      <c r="Z681" s="194">
        <v>-1.755E-3</v>
      </c>
      <c r="AA681" s="194">
        <v>-2.7E-2</v>
      </c>
      <c r="AB681" s="152">
        <v>0</v>
      </c>
      <c r="AC681" s="152">
        <v>0</v>
      </c>
      <c r="AD681" s="152" t="s">
        <v>442</v>
      </c>
      <c r="AE681" t="s">
        <v>352</v>
      </c>
    </row>
    <row r="682" spans="2:31" ht="14.25" customHeight="1" x14ac:dyDescent="0.2">
      <c r="B682" s="7">
        <f t="shared" si="48"/>
        <v>658</v>
      </c>
      <c r="C682" s="152">
        <v>5</v>
      </c>
      <c r="D682" s="152">
        <v>2</v>
      </c>
      <c r="E682" s="152">
        <v>6</v>
      </c>
      <c r="F682" s="153">
        <v>2033</v>
      </c>
      <c r="G682" s="152">
        <v>2050</v>
      </c>
      <c r="H682" s="152">
        <v>5</v>
      </c>
      <c r="I682" s="152">
        <v>0</v>
      </c>
      <c r="J682" s="152">
        <v>0</v>
      </c>
      <c r="K682" s="152">
        <v>0</v>
      </c>
      <c r="L682" s="152">
        <v>0</v>
      </c>
      <c r="M682" s="154">
        <v>3.33</v>
      </c>
      <c r="N682" s="155">
        <v>1550</v>
      </c>
      <c r="O682" s="155">
        <v>1040</v>
      </c>
      <c r="P682" s="41">
        <f t="array" ref="P682">ROUND(IF($F682&lt;='TaxCred&amp;Subs'!$C$49,(IF($C682=2,IF($M682&gt;=IFERROR(INDEX('TaxCred&amp;Subs'!$L$12:$L$47,MATCH(1,($C682&amp;$D682='TaxCred&amp;Subs'!$E$12:$E$47)*($F682='TaxCred&amp;Subs'!$C$12:$C$47),0)
),9999),IFERROR(INDEX('TaxCred&amp;Subs'!$N$12:$N$47,MATCH(1,($C682&amp;$D682='TaxCred&amp;Subs'!$E$12:$E$47)*($F682='TaxCred&amp;Subs'!$C$12:$C$47),0)
),0),0),(IF($M682&gt;=IFERROR(INDEX('TaxCred&amp;Subs'!$H$12:$H$47,MATCH(1,($C682&amp;$D682='TaxCred&amp;Subs'!$D$12:$D$47)*($F682='TaxCred&amp;Subs'!$C$12:$C$47),0)
),9999),IFERROR(INDEX('TaxCred&amp;Subs'!$N$12:$N$47,MATCH(1,($C682&amp;$D682='TaxCred&amp;Subs'!$D$12:$D$47)*($F682='TaxCred&amp;Subs'!$C$12:$C$47),0)
),0),0)))),0)+IF(AND($C682=2,VALUE(RIGHT($AD682,1))&gt;2),(N682-R682)*(IFERROR(INDEX('TaxCred&amp;Subs'!$J$66:$J$99,MATCH(1,($C682&amp;$D682='TaxCred&amp;Subs'!$E$66:$E$99)*($F682='TaxCred&amp;Subs'!$C$66:$C$99),0)),0)),IF(AND($C682=1,VALUE(RIGHT($AD682,1))&gt;2),(N682-R682)*(IFERROR(INDEX('TaxCred&amp;Subs'!$J$66:$J$99,MATCH(1,($C682&amp;$D682='TaxCred&amp;Subs'!$D$66:$D$99)*($F682='TaxCred&amp;Subs'!$C$66:$C$99),0)),0)),IF($C682&gt;2,(N682-R682)*(IFERROR(INDEX('TaxCred&amp;Subs'!$J$66:$J$99,MATCH(1,($C682&amp;$D682='TaxCred&amp;Subs'!$D$66:$D$99)*($F682='TaxCred&amp;Subs'!$C$66:$C$99),0)),0)),0))),0)</f>
        <v>0</v>
      </c>
      <c r="Q682" s="41">
        <f t="array" ref="Q682">ROUND(IF(AND($C682=2,VALUE(RIGHT($AD682,1))&gt;2),(O682-S682)*(IFERROR(INDEX('TaxCred&amp;Subs'!$J$66:$J$99,MATCH(1,($C682&amp;$D682='TaxCred&amp;Subs'!$E$66:$E$99)*($F682='TaxCred&amp;Subs'!$C$66:$C$99),0)),0)),IF(AND($C682=1,VALUE(RIGHT($AD682,1))&gt;2),(O682-S682)*(IFERROR(INDEX('TaxCred&amp;Subs'!$J$66:$J$99,MATCH(1,($C682&amp;$D682='TaxCred&amp;Subs'!$D$66:$D$99)*($F682='TaxCred&amp;Subs'!$C$66:$C$99),0)),0)),IF($C682&gt;2,(O682-S682)*(IFERROR(INDEX('TaxCred&amp;Subs'!$J$66:$J$99,MATCH(1,($C682&amp;$D682='TaxCred&amp;Subs'!$D$66:$D$99)*($F682='TaxCred&amp;Subs'!$C$66:$C$99),0)),0)),0))),0)</f>
        <v>0</v>
      </c>
      <c r="R682" s="172">
        <f t="array" ref="R682">ROUND(IF(IFERROR(VALUE(RIGHT($AD682,1)),0)&gt;2,IF($C682=8,N682*IFERROR(INDEX('TaxCred&amp;Subs'!$K$139:$S$151,MATCH($C682&amp;$D682&amp;LEFT($AD682,7),'TaxCred&amp;Subs'!$E$139:$E$151,0),MATCH($H682,'TaxCred&amp;Subs'!$K$137:$S$137,0)),0),IF($C682=2,N682*IFERROR(INDEX('TaxCred&amp;Subs'!$K$139:$S$151,MATCH($C682&amp;$D682,'TaxCred&amp;Subs'!$D$139:$D$151,0),MATCH($H682,'TaxCred&amp;Subs'!$K$137:$S$137,0)),0),N682*IFERROR(INDEX('TaxCred&amp;Subs'!$K$139:$S$151,MATCH($C682&amp;$D682,'TaxCred&amp;Subs'!$C$139:$C$151,0),MATCH($H682,'TaxCred&amp;Subs'!$K$137:$S$137,0)),0))),0),0)</f>
        <v>205</v>
      </c>
      <c r="S682" s="172">
        <f t="array" ref="S682">ROUND(IF(IFERROR(VALUE(RIGHT($AD682,1)),0)&gt;2,IF($C682=8,O682*IFERROR(INDEX('TaxCred&amp;Subs'!$K$139:$S$151,MATCH($C682&amp;$D682&amp;LEFT($AD682,7),'TaxCred&amp;Subs'!$E$139:$E$151,0),MATCH($H682,'TaxCred&amp;Subs'!$K$137:$S$137,0)),0),IF($C682=2,O682*IFERROR(INDEX('TaxCred&amp;Subs'!$K$139:$S$151,MATCH($C682&amp;$D682,'TaxCred&amp;Subs'!$D$139:$D$151,0),MATCH($H682,'TaxCred&amp;Subs'!$K$137:$S$137,0)),0),O682*IFERROR(INDEX('TaxCred&amp;Subs'!$K$139:$S$151,MATCH($C682&amp;$D682,'TaxCred&amp;Subs'!$C$139:$C$151,0),MATCH($H682,'TaxCred&amp;Subs'!$K$137:$S$137,0)),0))),0),0)</f>
        <v>137</v>
      </c>
      <c r="T682" s="41">
        <f t="shared" si="46"/>
        <v>0</v>
      </c>
      <c r="U682" s="41">
        <f t="shared" si="47"/>
        <v>0</v>
      </c>
      <c r="V682" s="152" t="s">
        <v>222</v>
      </c>
      <c r="W682" s="152">
        <v>2020</v>
      </c>
      <c r="X682" s="152">
        <v>1</v>
      </c>
      <c r="Y682" s="152">
        <v>0</v>
      </c>
      <c r="Z682" s="194">
        <v>-1.755E-3</v>
      </c>
      <c r="AA682" s="194">
        <v>-2.7E-2</v>
      </c>
      <c r="AB682" s="152">
        <v>0</v>
      </c>
      <c r="AC682" s="152">
        <v>0</v>
      </c>
      <c r="AD682" s="152" t="s">
        <v>442</v>
      </c>
      <c r="AE682" t="s">
        <v>352</v>
      </c>
    </row>
    <row r="683" spans="2:31" ht="14.25" customHeight="1" x14ac:dyDescent="0.2">
      <c r="B683" s="7">
        <f t="shared" si="48"/>
        <v>659</v>
      </c>
      <c r="C683" s="152">
        <v>5</v>
      </c>
      <c r="D683" s="152">
        <v>2</v>
      </c>
      <c r="E683" s="152">
        <v>6</v>
      </c>
      <c r="F683" s="153">
        <v>2033</v>
      </c>
      <c r="G683" s="152">
        <v>2050</v>
      </c>
      <c r="H683" s="152">
        <v>6</v>
      </c>
      <c r="I683" s="152">
        <v>0</v>
      </c>
      <c r="J683" s="152">
        <v>0</v>
      </c>
      <c r="K683" s="152">
        <v>0</v>
      </c>
      <c r="L683" s="152">
        <v>0</v>
      </c>
      <c r="M683" s="154">
        <v>3.33</v>
      </c>
      <c r="N683" s="155">
        <v>1550</v>
      </c>
      <c r="O683" s="155">
        <v>1040</v>
      </c>
      <c r="P683" s="41">
        <f t="array" ref="P683">ROUND(IF($F683&lt;='TaxCred&amp;Subs'!$C$49,(IF($C683=2,IF($M683&gt;=IFERROR(INDEX('TaxCred&amp;Subs'!$L$12:$L$47,MATCH(1,($C683&amp;$D683='TaxCred&amp;Subs'!$E$12:$E$47)*($F683='TaxCred&amp;Subs'!$C$12:$C$47),0)
),9999),IFERROR(INDEX('TaxCred&amp;Subs'!$N$12:$N$47,MATCH(1,($C683&amp;$D683='TaxCred&amp;Subs'!$E$12:$E$47)*($F683='TaxCred&amp;Subs'!$C$12:$C$47),0)
),0),0),(IF($M683&gt;=IFERROR(INDEX('TaxCred&amp;Subs'!$H$12:$H$47,MATCH(1,($C683&amp;$D683='TaxCred&amp;Subs'!$D$12:$D$47)*($F683='TaxCred&amp;Subs'!$C$12:$C$47),0)
),9999),IFERROR(INDEX('TaxCred&amp;Subs'!$N$12:$N$47,MATCH(1,($C683&amp;$D683='TaxCred&amp;Subs'!$D$12:$D$47)*($F683='TaxCred&amp;Subs'!$C$12:$C$47),0)
),0),0)))),0)+IF(AND($C683=2,VALUE(RIGHT($AD683,1))&gt;2),(N683-R683)*(IFERROR(INDEX('TaxCred&amp;Subs'!$J$66:$J$99,MATCH(1,($C683&amp;$D683='TaxCred&amp;Subs'!$E$66:$E$99)*($F683='TaxCred&amp;Subs'!$C$66:$C$99),0)),0)),IF(AND($C683=1,VALUE(RIGHT($AD683,1))&gt;2),(N683-R683)*(IFERROR(INDEX('TaxCred&amp;Subs'!$J$66:$J$99,MATCH(1,($C683&amp;$D683='TaxCred&amp;Subs'!$D$66:$D$99)*($F683='TaxCred&amp;Subs'!$C$66:$C$99),0)),0)),IF($C683&gt;2,(N683-R683)*(IFERROR(INDEX('TaxCred&amp;Subs'!$J$66:$J$99,MATCH(1,($C683&amp;$D683='TaxCred&amp;Subs'!$D$66:$D$99)*($F683='TaxCred&amp;Subs'!$C$66:$C$99),0)),0)),0))),0)</f>
        <v>0</v>
      </c>
      <c r="Q683" s="41">
        <f t="array" ref="Q683">ROUND(IF(AND($C683=2,VALUE(RIGHT($AD683,1))&gt;2),(O683-S683)*(IFERROR(INDEX('TaxCred&amp;Subs'!$J$66:$J$99,MATCH(1,($C683&amp;$D683='TaxCred&amp;Subs'!$E$66:$E$99)*($F683='TaxCred&amp;Subs'!$C$66:$C$99),0)),0)),IF(AND($C683=1,VALUE(RIGHT($AD683,1))&gt;2),(O683-S683)*(IFERROR(INDEX('TaxCred&amp;Subs'!$J$66:$J$99,MATCH(1,($C683&amp;$D683='TaxCred&amp;Subs'!$D$66:$D$99)*($F683='TaxCred&amp;Subs'!$C$66:$C$99),0)),0)),IF($C683&gt;2,(O683-S683)*(IFERROR(INDEX('TaxCred&amp;Subs'!$J$66:$J$99,MATCH(1,($C683&amp;$D683='TaxCred&amp;Subs'!$D$66:$D$99)*($F683='TaxCred&amp;Subs'!$C$66:$C$99),0)),0)),0))),0)</f>
        <v>0</v>
      </c>
      <c r="R683" s="172">
        <f t="array" ref="R683">ROUND(IF(IFERROR(VALUE(RIGHT($AD683,1)),0)&gt;2,IF($C683=8,N683*IFERROR(INDEX('TaxCred&amp;Subs'!$K$139:$S$151,MATCH($C683&amp;$D683&amp;LEFT($AD683,7),'TaxCred&amp;Subs'!$E$139:$E$151,0),MATCH($H683,'TaxCred&amp;Subs'!$K$137:$S$137,0)),0),IF($C683=2,N683*IFERROR(INDEX('TaxCred&amp;Subs'!$K$139:$S$151,MATCH($C683&amp;$D683,'TaxCred&amp;Subs'!$D$139:$D$151,0),MATCH($H683,'TaxCred&amp;Subs'!$K$137:$S$137,0)),0),N683*IFERROR(INDEX('TaxCred&amp;Subs'!$K$139:$S$151,MATCH($C683&amp;$D683,'TaxCred&amp;Subs'!$C$139:$C$151,0),MATCH($H683,'TaxCred&amp;Subs'!$K$137:$S$137,0)),0))),0),0)</f>
        <v>104</v>
      </c>
      <c r="S683" s="172">
        <f t="array" ref="S683">ROUND(IF(IFERROR(VALUE(RIGHT($AD683,1)),0)&gt;2,IF($C683=8,O683*IFERROR(INDEX('TaxCred&amp;Subs'!$K$139:$S$151,MATCH($C683&amp;$D683&amp;LEFT($AD683,7),'TaxCred&amp;Subs'!$E$139:$E$151,0),MATCH($H683,'TaxCred&amp;Subs'!$K$137:$S$137,0)),0),IF($C683=2,O683*IFERROR(INDEX('TaxCred&amp;Subs'!$K$139:$S$151,MATCH($C683&amp;$D683,'TaxCred&amp;Subs'!$D$139:$D$151,0),MATCH($H683,'TaxCred&amp;Subs'!$K$137:$S$137,0)),0),O683*IFERROR(INDEX('TaxCred&amp;Subs'!$K$139:$S$151,MATCH($C683&amp;$D683,'TaxCred&amp;Subs'!$C$139:$C$151,0),MATCH($H683,'TaxCred&amp;Subs'!$K$137:$S$137,0)),0))),0),0)</f>
        <v>70</v>
      </c>
      <c r="T683" s="41">
        <f t="shared" si="46"/>
        <v>0</v>
      </c>
      <c r="U683" s="41">
        <f t="shared" si="47"/>
        <v>0</v>
      </c>
      <c r="V683" s="152" t="s">
        <v>222</v>
      </c>
      <c r="W683" s="152">
        <v>2020</v>
      </c>
      <c r="X683" s="152">
        <v>1</v>
      </c>
      <c r="Y683" s="152">
        <v>0</v>
      </c>
      <c r="Z683" s="194">
        <v>-1.755E-3</v>
      </c>
      <c r="AA683" s="194">
        <v>-2.7E-2</v>
      </c>
      <c r="AB683" s="152">
        <v>0</v>
      </c>
      <c r="AC683" s="152">
        <v>0</v>
      </c>
      <c r="AD683" s="152" t="s">
        <v>442</v>
      </c>
      <c r="AE683" t="s">
        <v>352</v>
      </c>
    </row>
    <row r="684" spans="2:31" ht="14.25" customHeight="1" x14ac:dyDescent="0.2">
      <c r="B684" s="7">
        <f t="shared" si="48"/>
        <v>660</v>
      </c>
      <c r="C684" s="152">
        <v>5</v>
      </c>
      <c r="D684" s="152">
        <v>2</v>
      </c>
      <c r="E684" s="152">
        <v>6</v>
      </c>
      <c r="F684" s="153">
        <v>2033</v>
      </c>
      <c r="G684" s="152">
        <v>2050</v>
      </c>
      <c r="H684" s="152">
        <v>7</v>
      </c>
      <c r="I684" s="152">
        <v>0</v>
      </c>
      <c r="J684" s="152">
        <v>0</v>
      </c>
      <c r="K684" s="152">
        <v>0</v>
      </c>
      <c r="L684" s="152">
        <v>0</v>
      </c>
      <c r="M684" s="154">
        <v>3.33</v>
      </c>
      <c r="N684" s="155">
        <v>1550</v>
      </c>
      <c r="O684" s="155">
        <v>1040</v>
      </c>
      <c r="P684" s="41">
        <f t="array" ref="P684">ROUND(IF($F684&lt;='TaxCred&amp;Subs'!$C$49,(IF($C684=2,IF($M684&gt;=IFERROR(INDEX('TaxCred&amp;Subs'!$L$12:$L$47,MATCH(1,($C684&amp;$D684='TaxCred&amp;Subs'!$E$12:$E$47)*($F684='TaxCred&amp;Subs'!$C$12:$C$47),0)
),9999),IFERROR(INDEX('TaxCred&amp;Subs'!$N$12:$N$47,MATCH(1,($C684&amp;$D684='TaxCred&amp;Subs'!$E$12:$E$47)*($F684='TaxCred&amp;Subs'!$C$12:$C$47),0)
),0),0),(IF($M684&gt;=IFERROR(INDEX('TaxCred&amp;Subs'!$H$12:$H$47,MATCH(1,($C684&amp;$D684='TaxCred&amp;Subs'!$D$12:$D$47)*($F684='TaxCred&amp;Subs'!$C$12:$C$47),0)
),9999),IFERROR(INDEX('TaxCred&amp;Subs'!$N$12:$N$47,MATCH(1,($C684&amp;$D684='TaxCred&amp;Subs'!$D$12:$D$47)*($F684='TaxCred&amp;Subs'!$C$12:$C$47),0)
),0),0)))),0)+IF(AND($C684=2,VALUE(RIGHT($AD684,1))&gt;2),(N684-R684)*(IFERROR(INDEX('TaxCred&amp;Subs'!$J$66:$J$99,MATCH(1,($C684&amp;$D684='TaxCred&amp;Subs'!$E$66:$E$99)*($F684='TaxCred&amp;Subs'!$C$66:$C$99),0)),0)),IF(AND($C684=1,VALUE(RIGHT($AD684,1))&gt;2),(N684-R684)*(IFERROR(INDEX('TaxCred&amp;Subs'!$J$66:$J$99,MATCH(1,($C684&amp;$D684='TaxCred&amp;Subs'!$D$66:$D$99)*($F684='TaxCred&amp;Subs'!$C$66:$C$99),0)),0)),IF($C684&gt;2,(N684-R684)*(IFERROR(INDEX('TaxCred&amp;Subs'!$J$66:$J$99,MATCH(1,($C684&amp;$D684='TaxCred&amp;Subs'!$D$66:$D$99)*($F684='TaxCred&amp;Subs'!$C$66:$C$99),0)),0)),0))),0)</f>
        <v>0</v>
      </c>
      <c r="Q684" s="41">
        <f t="array" ref="Q684">ROUND(IF(AND($C684=2,VALUE(RIGHT($AD684,1))&gt;2),(O684-S684)*(IFERROR(INDEX('TaxCred&amp;Subs'!$J$66:$J$99,MATCH(1,($C684&amp;$D684='TaxCred&amp;Subs'!$E$66:$E$99)*($F684='TaxCred&amp;Subs'!$C$66:$C$99),0)),0)),IF(AND($C684=1,VALUE(RIGHT($AD684,1))&gt;2),(O684-S684)*(IFERROR(INDEX('TaxCred&amp;Subs'!$J$66:$J$99,MATCH(1,($C684&amp;$D684='TaxCred&amp;Subs'!$D$66:$D$99)*($F684='TaxCred&amp;Subs'!$C$66:$C$99),0)),0)),IF($C684&gt;2,(O684-S684)*(IFERROR(INDEX('TaxCred&amp;Subs'!$J$66:$J$99,MATCH(1,($C684&amp;$D684='TaxCred&amp;Subs'!$D$66:$D$99)*($F684='TaxCred&amp;Subs'!$C$66:$C$99),0)),0)),0))),0)</f>
        <v>0</v>
      </c>
      <c r="R684" s="172">
        <f t="array" ref="R684">ROUND(IF(IFERROR(VALUE(RIGHT($AD684,1)),0)&gt;2,IF($C684=8,N684*IFERROR(INDEX('TaxCred&amp;Subs'!$K$139:$S$151,MATCH($C684&amp;$D684&amp;LEFT($AD684,7),'TaxCred&amp;Subs'!$E$139:$E$151,0),MATCH($H684,'TaxCred&amp;Subs'!$K$137:$S$137,0)),0),IF($C684=2,N684*IFERROR(INDEX('TaxCred&amp;Subs'!$K$139:$S$151,MATCH($C684&amp;$D684,'TaxCred&amp;Subs'!$D$139:$D$151,0),MATCH($H684,'TaxCred&amp;Subs'!$K$137:$S$137,0)),0),N684*IFERROR(INDEX('TaxCred&amp;Subs'!$K$139:$S$151,MATCH($C684&amp;$D684,'TaxCred&amp;Subs'!$C$139:$C$151,0),MATCH($H684,'TaxCred&amp;Subs'!$K$137:$S$137,0)),0))),0),0)</f>
        <v>318</v>
      </c>
      <c r="S684" s="172">
        <f t="array" ref="S684">ROUND(IF(IFERROR(VALUE(RIGHT($AD684,1)),0)&gt;2,IF($C684=8,O684*IFERROR(INDEX('TaxCred&amp;Subs'!$K$139:$S$151,MATCH($C684&amp;$D684&amp;LEFT($AD684,7),'TaxCred&amp;Subs'!$E$139:$E$151,0),MATCH($H684,'TaxCred&amp;Subs'!$K$137:$S$137,0)),0),IF($C684=2,O684*IFERROR(INDEX('TaxCred&amp;Subs'!$K$139:$S$151,MATCH($C684&amp;$D684,'TaxCred&amp;Subs'!$D$139:$D$151,0),MATCH($H684,'TaxCred&amp;Subs'!$K$137:$S$137,0)),0),O684*IFERROR(INDEX('TaxCred&amp;Subs'!$K$139:$S$151,MATCH($C684&amp;$D684,'TaxCred&amp;Subs'!$C$139:$C$151,0),MATCH($H684,'TaxCred&amp;Subs'!$K$137:$S$137,0)),0))),0),0)</f>
        <v>214</v>
      </c>
      <c r="T684" s="41">
        <f t="shared" si="46"/>
        <v>0</v>
      </c>
      <c r="U684" s="41">
        <f t="shared" si="47"/>
        <v>0</v>
      </c>
      <c r="V684" s="152" t="s">
        <v>222</v>
      </c>
      <c r="W684" s="152">
        <v>2020</v>
      </c>
      <c r="X684" s="152">
        <v>1</v>
      </c>
      <c r="Y684" s="152">
        <v>0</v>
      </c>
      <c r="Z684" s="194">
        <v>-1.755E-3</v>
      </c>
      <c r="AA684" s="194">
        <v>-2.7E-2</v>
      </c>
      <c r="AB684" s="152">
        <v>0</v>
      </c>
      <c r="AC684" s="152">
        <v>0</v>
      </c>
      <c r="AD684" s="152" t="s">
        <v>442</v>
      </c>
      <c r="AE684" t="s">
        <v>352</v>
      </c>
    </row>
    <row r="685" spans="2:31" ht="14.25" customHeight="1" x14ac:dyDescent="0.2">
      <c r="B685" s="7">
        <f t="shared" si="48"/>
        <v>661</v>
      </c>
      <c r="C685" s="152">
        <v>5</v>
      </c>
      <c r="D685" s="152">
        <v>2</v>
      </c>
      <c r="E685" s="152">
        <v>6</v>
      </c>
      <c r="F685" s="153">
        <v>2033</v>
      </c>
      <c r="G685" s="152">
        <v>2050</v>
      </c>
      <c r="H685" s="152">
        <v>8</v>
      </c>
      <c r="I685" s="152">
        <v>0</v>
      </c>
      <c r="J685" s="152">
        <v>0</v>
      </c>
      <c r="K685" s="152">
        <v>0</v>
      </c>
      <c r="L685" s="152">
        <v>0</v>
      </c>
      <c r="M685" s="154">
        <v>3.33</v>
      </c>
      <c r="N685" s="155">
        <v>1550</v>
      </c>
      <c r="O685" s="155">
        <v>1040</v>
      </c>
      <c r="P685" s="41">
        <f t="array" ref="P685">ROUND(IF($F685&lt;='TaxCred&amp;Subs'!$C$49,(IF($C685=2,IF($M685&gt;=IFERROR(INDEX('TaxCred&amp;Subs'!$L$12:$L$47,MATCH(1,($C685&amp;$D685='TaxCred&amp;Subs'!$E$12:$E$47)*($F685='TaxCred&amp;Subs'!$C$12:$C$47),0)
),9999),IFERROR(INDEX('TaxCred&amp;Subs'!$N$12:$N$47,MATCH(1,($C685&amp;$D685='TaxCred&amp;Subs'!$E$12:$E$47)*($F685='TaxCred&amp;Subs'!$C$12:$C$47),0)
),0),0),(IF($M685&gt;=IFERROR(INDEX('TaxCred&amp;Subs'!$H$12:$H$47,MATCH(1,($C685&amp;$D685='TaxCred&amp;Subs'!$D$12:$D$47)*($F685='TaxCred&amp;Subs'!$C$12:$C$47),0)
),9999),IFERROR(INDEX('TaxCred&amp;Subs'!$N$12:$N$47,MATCH(1,($C685&amp;$D685='TaxCred&amp;Subs'!$D$12:$D$47)*($F685='TaxCred&amp;Subs'!$C$12:$C$47),0)
),0),0)))),0)+IF(AND($C685=2,VALUE(RIGHT($AD685,1))&gt;2),(N685-R685)*(IFERROR(INDEX('TaxCred&amp;Subs'!$J$66:$J$99,MATCH(1,($C685&amp;$D685='TaxCred&amp;Subs'!$E$66:$E$99)*($F685='TaxCred&amp;Subs'!$C$66:$C$99),0)),0)),IF(AND($C685=1,VALUE(RIGHT($AD685,1))&gt;2),(N685-R685)*(IFERROR(INDEX('TaxCred&amp;Subs'!$J$66:$J$99,MATCH(1,($C685&amp;$D685='TaxCred&amp;Subs'!$D$66:$D$99)*($F685='TaxCred&amp;Subs'!$C$66:$C$99),0)),0)),IF($C685&gt;2,(N685-R685)*(IFERROR(INDEX('TaxCred&amp;Subs'!$J$66:$J$99,MATCH(1,($C685&amp;$D685='TaxCred&amp;Subs'!$D$66:$D$99)*($F685='TaxCred&amp;Subs'!$C$66:$C$99),0)),0)),0))),0)</f>
        <v>0</v>
      </c>
      <c r="Q685" s="41">
        <f t="array" ref="Q685">ROUND(IF(AND($C685=2,VALUE(RIGHT($AD685,1))&gt;2),(O685-S685)*(IFERROR(INDEX('TaxCred&amp;Subs'!$J$66:$J$99,MATCH(1,($C685&amp;$D685='TaxCred&amp;Subs'!$E$66:$E$99)*($F685='TaxCred&amp;Subs'!$C$66:$C$99),0)),0)),IF(AND($C685=1,VALUE(RIGHT($AD685,1))&gt;2),(O685-S685)*(IFERROR(INDEX('TaxCred&amp;Subs'!$J$66:$J$99,MATCH(1,($C685&amp;$D685='TaxCred&amp;Subs'!$D$66:$D$99)*($F685='TaxCred&amp;Subs'!$C$66:$C$99),0)),0)),IF($C685&gt;2,(O685-S685)*(IFERROR(INDEX('TaxCred&amp;Subs'!$J$66:$J$99,MATCH(1,($C685&amp;$D685='TaxCred&amp;Subs'!$D$66:$D$99)*($F685='TaxCred&amp;Subs'!$C$66:$C$99),0)),0)),0))),0)</f>
        <v>0</v>
      </c>
      <c r="R685" s="172">
        <f t="array" ref="R685">ROUND(IF(IFERROR(VALUE(RIGHT($AD685,1)),0)&gt;2,IF($C685=8,N685*IFERROR(INDEX('TaxCred&amp;Subs'!$K$139:$S$151,MATCH($C685&amp;$D685&amp;LEFT($AD685,7),'TaxCred&amp;Subs'!$E$139:$E$151,0),MATCH($H685,'TaxCred&amp;Subs'!$K$137:$S$137,0)),0),IF($C685=2,N685*IFERROR(INDEX('TaxCred&amp;Subs'!$K$139:$S$151,MATCH($C685&amp;$D685,'TaxCred&amp;Subs'!$D$139:$D$151,0),MATCH($H685,'TaxCred&amp;Subs'!$K$137:$S$137,0)),0),N685*IFERROR(INDEX('TaxCred&amp;Subs'!$K$139:$S$151,MATCH($C685&amp;$D685,'TaxCred&amp;Subs'!$C$139:$C$151,0),MATCH($H685,'TaxCred&amp;Subs'!$K$137:$S$137,0)),0))),0),0)</f>
        <v>134</v>
      </c>
      <c r="S685" s="172">
        <f t="array" ref="S685">ROUND(IF(IFERROR(VALUE(RIGHT($AD685,1)),0)&gt;2,IF($C685=8,O685*IFERROR(INDEX('TaxCred&amp;Subs'!$K$139:$S$151,MATCH($C685&amp;$D685&amp;LEFT($AD685,7),'TaxCred&amp;Subs'!$E$139:$E$151,0),MATCH($H685,'TaxCred&amp;Subs'!$K$137:$S$137,0)),0),IF($C685=2,O685*IFERROR(INDEX('TaxCred&amp;Subs'!$K$139:$S$151,MATCH($C685&amp;$D685,'TaxCred&amp;Subs'!$D$139:$D$151,0),MATCH($H685,'TaxCred&amp;Subs'!$K$137:$S$137,0)),0),O685*IFERROR(INDEX('TaxCred&amp;Subs'!$K$139:$S$151,MATCH($C685&amp;$D685,'TaxCred&amp;Subs'!$C$139:$C$151,0),MATCH($H685,'TaxCred&amp;Subs'!$K$137:$S$137,0)),0))),0),0)</f>
        <v>90</v>
      </c>
      <c r="T685" s="41">
        <f t="shared" si="46"/>
        <v>0</v>
      </c>
      <c r="U685" s="41">
        <f t="shared" si="47"/>
        <v>0</v>
      </c>
      <c r="V685" s="152" t="s">
        <v>222</v>
      </c>
      <c r="W685" s="152">
        <v>2020</v>
      </c>
      <c r="X685" s="152">
        <v>1</v>
      </c>
      <c r="Y685" s="152">
        <v>0</v>
      </c>
      <c r="Z685" s="194">
        <v>-1.755E-3</v>
      </c>
      <c r="AA685" s="194">
        <v>-2.7E-2</v>
      </c>
      <c r="AB685" s="152">
        <v>0</v>
      </c>
      <c r="AC685" s="152">
        <v>0</v>
      </c>
      <c r="AD685" s="152" t="s">
        <v>442</v>
      </c>
      <c r="AE685" t="s">
        <v>352</v>
      </c>
    </row>
    <row r="686" spans="2:31" ht="14.25" customHeight="1" x14ac:dyDescent="0.2">
      <c r="B686" s="7">
        <f t="shared" si="48"/>
        <v>662</v>
      </c>
      <c r="C686" s="152">
        <v>5</v>
      </c>
      <c r="D686" s="152">
        <v>2</v>
      </c>
      <c r="E686" s="152">
        <v>6</v>
      </c>
      <c r="F686" s="153">
        <v>2033</v>
      </c>
      <c r="G686" s="152">
        <v>2050</v>
      </c>
      <c r="H686" s="152">
        <v>9</v>
      </c>
      <c r="I686" s="152">
        <v>0</v>
      </c>
      <c r="J686" s="152">
        <v>0</v>
      </c>
      <c r="K686" s="152">
        <v>0</v>
      </c>
      <c r="L686" s="152">
        <v>0</v>
      </c>
      <c r="M686" s="154">
        <v>3.33</v>
      </c>
      <c r="N686" s="155">
        <v>1550</v>
      </c>
      <c r="O686" s="155">
        <v>1040</v>
      </c>
      <c r="P686" s="41">
        <f t="array" ref="P686">ROUND(IF($F686&lt;='TaxCred&amp;Subs'!$C$49,(IF($C686=2,IF($M686&gt;=IFERROR(INDEX('TaxCred&amp;Subs'!$L$12:$L$47,MATCH(1,($C686&amp;$D686='TaxCred&amp;Subs'!$E$12:$E$47)*($F686='TaxCred&amp;Subs'!$C$12:$C$47),0)
),9999),IFERROR(INDEX('TaxCred&amp;Subs'!$N$12:$N$47,MATCH(1,($C686&amp;$D686='TaxCred&amp;Subs'!$E$12:$E$47)*($F686='TaxCred&amp;Subs'!$C$12:$C$47),0)
),0),0),(IF($M686&gt;=IFERROR(INDEX('TaxCred&amp;Subs'!$H$12:$H$47,MATCH(1,($C686&amp;$D686='TaxCred&amp;Subs'!$D$12:$D$47)*($F686='TaxCred&amp;Subs'!$C$12:$C$47),0)
),9999),IFERROR(INDEX('TaxCred&amp;Subs'!$N$12:$N$47,MATCH(1,($C686&amp;$D686='TaxCred&amp;Subs'!$D$12:$D$47)*($F686='TaxCred&amp;Subs'!$C$12:$C$47),0)
),0),0)))),0)+IF(AND($C686=2,VALUE(RIGHT($AD686,1))&gt;2),(N686-R686)*(IFERROR(INDEX('TaxCred&amp;Subs'!$J$66:$J$99,MATCH(1,($C686&amp;$D686='TaxCred&amp;Subs'!$E$66:$E$99)*($F686='TaxCred&amp;Subs'!$C$66:$C$99),0)),0)),IF(AND($C686=1,VALUE(RIGHT($AD686,1))&gt;2),(N686-R686)*(IFERROR(INDEX('TaxCred&amp;Subs'!$J$66:$J$99,MATCH(1,($C686&amp;$D686='TaxCred&amp;Subs'!$D$66:$D$99)*($F686='TaxCred&amp;Subs'!$C$66:$C$99),0)),0)),IF($C686&gt;2,(N686-R686)*(IFERROR(INDEX('TaxCred&amp;Subs'!$J$66:$J$99,MATCH(1,($C686&amp;$D686='TaxCred&amp;Subs'!$D$66:$D$99)*($F686='TaxCred&amp;Subs'!$C$66:$C$99),0)),0)),0))),0)</f>
        <v>0</v>
      </c>
      <c r="Q686" s="41">
        <f t="array" ref="Q686">ROUND(IF(AND($C686=2,VALUE(RIGHT($AD686,1))&gt;2),(O686-S686)*(IFERROR(INDEX('TaxCred&amp;Subs'!$J$66:$J$99,MATCH(1,($C686&amp;$D686='TaxCred&amp;Subs'!$E$66:$E$99)*($F686='TaxCred&amp;Subs'!$C$66:$C$99),0)),0)),IF(AND($C686=1,VALUE(RIGHT($AD686,1))&gt;2),(O686-S686)*(IFERROR(INDEX('TaxCred&amp;Subs'!$J$66:$J$99,MATCH(1,($C686&amp;$D686='TaxCred&amp;Subs'!$D$66:$D$99)*($F686='TaxCred&amp;Subs'!$C$66:$C$99),0)),0)),IF($C686&gt;2,(O686-S686)*(IFERROR(INDEX('TaxCred&amp;Subs'!$J$66:$J$99,MATCH(1,($C686&amp;$D686='TaxCred&amp;Subs'!$D$66:$D$99)*($F686='TaxCred&amp;Subs'!$C$66:$C$99),0)),0)),0))),0)</f>
        <v>0</v>
      </c>
      <c r="R686" s="172">
        <f t="array" ref="R686">ROUND(IF(IFERROR(VALUE(RIGHT($AD686,1)),0)&gt;2,IF($C686=8,N686*IFERROR(INDEX('TaxCred&amp;Subs'!$K$139:$S$151,MATCH($C686&amp;$D686&amp;LEFT($AD686,7),'TaxCred&amp;Subs'!$E$139:$E$151,0),MATCH($H686,'TaxCred&amp;Subs'!$K$137:$S$137,0)),0),IF($C686=2,N686*IFERROR(INDEX('TaxCred&amp;Subs'!$K$139:$S$151,MATCH($C686&amp;$D686,'TaxCred&amp;Subs'!$D$139:$D$151,0),MATCH($H686,'TaxCred&amp;Subs'!$K$137:$S$137,0)),0),N686*IFERROR(INDEX('TaxCred&amp;Subs'!$K$139:$S$151,MATCH($C686&amp;$D686,'TaxCred&amp;Subs'!$C$139:$C$151,0),MATCH($H686,'TaxCred&amp;Subs'!$K$137:$S$137,0)),0))),0),0)</f>
        <v>350</v>
      </c>
      <c r="S686" s="172">
        <f t="array" ref="S686">ROUND(IF(IFERROR(VALUE(RIGHT($AD686,1)),0)&gt;2,IF($C686=8,O686*IFERROR(INDEX('TaxCred&amp;Subs'!$K$139:$S$151,MATCH($C686&amp;$D686&amp;LEFT($AD686,7),'TaxCred&amp;Subs'!$E$139:$E$151,0),MATCH($H686,'TaxCred&amp;Subs'!$K$137:$S$137,0)),0),IF($C686=2,O686*IFERROR(INDEX('TaxCred&amp;Subs'!$K$139:$S$151,MATCH($C686&amp;$D686,'TaxCred&amp;Subs'!$D$139:$D$151,0),MATCH($H686,'TaxCred&amp;Subs'!$K$137:$S$137,0)),0),O686*IFERROR(INDEX('TaxCred&amp;Subs'!$K$139:$S$151,MATCH($C686&amp;$D686,'TaxCred&amp;Subs'!$C$139:$C$151,0),MATCH($H686,'TaxCred&amp;Subs'!$K$137:$S$137,0)),0))),0),0)</f>
        <v>235</v>
      </c>
      <c r="T686" s="41">
        <f t="shared" si="46"/>
        <v>232.5</v>
      </c>
      <c r="U686" s="41">
        <f t="shared" si="47"/>
        <v>156</v>
      </c>
      <c r="V686" s="152" t="s">
        <v>222</v>
      </c>
      <c r="W686" s="152">
        <v>2020</v>
      </c>
      <c r="X686" s="152">
        <v>1</v>
      </c>
      <c r="Y686" s="152">
        <v>0</v>
      </c>
      <c r="Z686" s="194">
        <v>-1.755E-3</v>
      </c>
      <c r="AA686" s="194">
        <v>-2.7E-2</v>
      </c>
      <c r="AB686" s="152">
        <v>0</v>
      </c>
      <c r="AC686" s="152">
        <v>0</v>
      </c>
      <c r="AD686" s="152" t="s">
        <v>442</v>
      </c>
      <c r="AE686" t="s">
        <v>352</v>
      </c>
    </row>
    <row r="687" spans="2:31" ht="14.25" customHeight="1" x14ac:dyDescent="0.2">
      <c r="B687" s="7">
        <f t="shared" si="48"/>
        <v>663</v>
      </c>
      <c r="C687" s="28">
        <v>5</v>
      </c>
      <c r="D687" s="28">
        <v>2</v>
      </c>
      <c r="E687" s="31">
        <v>7</v>
      </c>
      <c r="F687" s="96">
        <v>2020</v>
      </c>
      <c r="G687" s="28">
        <v>2021</v>
      </c>
      <c r="H687" s="28">
        <v>1</v>
      </c>
      <c r="I687" s="28">
        <v>0</v>
      </c>
      <c r="J687" s="28">
        <v>0</v>
      </c>
      <c r="K687" s="28">
        <v>0</v>
      </c>
      <c r="L687" s="28">
        <v>0</v>
      </c>
      <c r="M687" s="75">
        <v>3.3</v>
      </c>
      <c r="N687" s="151">
        <v>1550</v>
      </c>
      <c r="O687" s="151">
        <v>1035</v>
      </c>
      <c r="P687" s="95">
        <f t="array" ref="P687">ROUND(IF($F687&lt;='TaxCred&amp;Subs'!$C$49,(IF($C687=2,IF($M687&gt;=IFERROR(INDEX('TaxCred&amp;Subs'!$L$12:$L$47,MATCH(1,($C687&amp;$D687='TaxCred&amp;Subs'!$E$12:$E$47)*($F687='TaxCred&amp;Subs'!$C$12:$C$47),0)
),9999),IFERROR(INDEX('TaxCred&amp;Subs'!$N$12:$N$47,MATCH(1,($C687&amp;$D687='TaxCred&amp;Subs'!$E$12:$E$47)*($F687='TaxCred&amp;Subs'!$C$12:$C$47),0)
),0),0),(IF($M687&gt;=IFERROR(INDEX('TaxCred&amp;Subs'!$H$12:$H$47,MATCH(1,($C687&amp;$D687='TaxCred&amp;Subs'!$D$12:$D$47)*($F687='TaxCred&amp;Subs'!$C$12:$C$47),0)
),9999),IFERROR(INDEX('TaxCred&amp;Subs'!$N$12:$N$47,MATCH(1,($C687&amp;$D687='TaxCred&amp;Subs'!$D$12:$D$47)*($F687='TaxCred&amp;Subs'!$C$12:$C$47),0)
),0),0)))),0)+IF(AND($C687=2,VALUE(RIGHT($AD687,1))&gt;2),(N687-R687)*(IFERROR(INDEX('TaxCred&amp;Subs'!$J$66:$J$99,MATCH(1,($C687&amp;$D687='TaxCred&amp;Subs'!$E$66:$E$99)*($F687='TaxCred&amp;Subs'!$C$66:$C$99),0)),0)),IF(AND($C687=1,VALUE(RIGHT($AD687,1))&gt;2),(N687-R687)*(IFERROR(INDEX('TaxCred&amp;Subs'!$J$66:$J$99,MATCH(1,($C687&amp;$D687='TaxCred&amp;Subs'!$D$66:$D$99)*($F687='TaxCred&amp;Subs'!$C$66:$C$99),0)),0)),IF($C687&gt;2,(N687-R687)*(IFERROR(INDEX('TaxCred&amp;Subs'!$J$66:$J$99,MATCH(1,($C687&amp;$D687='TaxCred&amp;Subs'!$D$66:$D$99)*($F687='TaxCred&amp;Subs'!$C$66:$C$99),0)),0)),0))),0)</f>
        <v>300</v>
      </c>
      <c r="Q687" s="95">
        <f t="array" ref="Q687">ROUND(IF(AND($C687=2,VALUE(RIGHT($AD687,1))&gt;2),(O687-S687)*(IFERROR(INDEX('TaxCred&amp;Subs'!$J$66:$J$99,MATCH(1,($C687&amp;$D687='TaxCred&amp;Subs'!$E$66:$E$99)*($F687='TaxCred&amp;Subs'!$C$66:$C$99),0)),0)),IF(AND($C687=1,VALUE(RIGHT($AD687,1))&gt;2),(O687-S687)*(IFERROR(INDEX('TaxCred&amp;Subs'!$J$66:$J$99,MATCH(1,($C687&amp;$D687='TaxCred&amp;Subs'!$D$66:$D$99)*($F687='TaxCred&amp;Subs'!$C$66:$C$99),0)),0)),IF($C687&gt;2,(O687-S687)*(IFERROR(INDEX('TaxCred&amp;Subs'!$J$66:$J$99,MATCH(1,($C687&amp;$D687='TaxCred&amp;Subs'!$D$66:$D$99)*($F687='TaxCred&amp;Subs'!$C$66:$C$99),0)),0)),0))),0)</f>
        <v>0</v>
      </c>
      <c r="R687" s="95">
        <f t="array" ref="R687">ROUND(IF(IFERROR(VALUE(RIGHT($AD687,1)),0)&gt;2,IF($C687=8,N687*IFERROR(INDEX('TaxCred&amp;Subs'!$K$139:$S$151,MATCH($C687&amp;$D687&amp;LEFT($AD687,7),'TaxCred&amp;Subs'!$E$139:$E$151,0),MATCH($H687,'TaxCred&amp;Subs'!$K$137:$S$137,0)),0),IF($C687=2,N687*IFERROR(INDEX('TaxCred&amp;Subs'!$K$139:$S$151,MATCH($C687&amp;$D687,'TaxCred&amp;Subs'!$D$139:$D$151,0),MATCH($H687,'TaxCred&amp;Subs'!$K$137:$S$137,0)),0),N687*IFERROR(INDEX('TaxCred&amp;Subs'!$K$139:$S$151,MATCH($C687&amp;$D687,'TaxCred&amp;Subs'!$C$139:$C$151,0),MATCH($H687,'TaxCred&amp;Subs'!$K$137:$S$137,0)),0))),0),0)</f>
        <v>404</v>
      </c>
      <c r="S687" s="95">
        <f t="array" ref="S687">ROUND(IF(IFERROR(VALUE(RIGHT($AD687,1)),0)&gt;2,IF($C687=8,O687*IFERROR(INDEX('TaxCred&amp;Subs'!$K$139:$S$151,MATCH($C687&amp;$D687&amp;LEFT($AD687,7),'TaxCred&amp;Subs'!$E$139:$E$151,0),MATCH($H687,'TaxCred&amp;Subs'!$K$137:$S$137,0)),0),IF($C687=2,O687*IFERROR(INDEX('TaxCred&amp;Subs'!$K$139:$S$151,MATCH($C687&amp;$D687,'TaxCred&amp;Subs'!$D$139:$D$151,0),MATCH($H687,'TaxCred&amp;Subs'!$K$137:$S$137,0)),0),O687*IFERROR(INDEX('TaxCred&amp;Subs'!$K$139:$S$151,MATCH($C687&amp;$D687,'TaxCred&amp;Subs'!$C$139:$C$151,0),MATCH($H687,'TaxCred&amp;Subs'!$K$137:$S$137,0)),0))),0),0)</f>
        <v>270</v>
      </c>
      <c r="T687" s="95">
        <f t="shared" si="46"/>
        <v>0</v>
      </c>
      <c r="U687" s="95">
        <f t="shared" si="47"/>
        <v>0</v>
      </c>
      <c r="V687" s="28" t="s">
        <v>222</v>
      </c>
      <c r="W687" s="31">
        <v>2020</v>
      </c>
      <c r="X687" s="28">
        <v>1</v>
      </c>
      <c r="Y687" s="28">
        <v>0</v>
      </c>
      <c r="Z687" s="196">
        <v>-1.755E-3</v>
      </c>
      <c r="AA687" s="196">
        <v>-2.7E-2</v>
      </c>
      <c r="AB687" s="28">
        <v>0</v>
      </c>
      <c r="AC687" s="28">
        <v>0</v>
      </c>
      <c r="AD687" s="31" t="s">
        <v>443</v>
      </c>
      <c r="AE687" t="s">
        <v>353</v>
      </c>
    </row>
    <row r="688" spans="2:31" ht="14.25" customHeight="1" x14ac:dyDescent="0.2">
      <c r="B688" s="7">
        <f t="shared" si="48"/>
        <v>664</v>
      </c>
      <c r="C688" s="28">
        <v>5</v>
      </c>
      <c r="D688" s="28">
        <v>2</v>
      </c>
      <c r="E688" s="31">
        <v>7</v>
      </c>
      <c r="F688" s="96">
        <v>2020</v>
      </c>
      <c r="G688" s="28">
        <v>2021</v>
      </c>
      <c r="H688" s="28">
        <v>2</v>
      </c>
      <c r="I688" s="28">
        <v>0</v>
      </c>
      <c r="J688" s="28">
        <v>0</v>
      </c>
      <c r="K688" s="28">
        <v>0</v>
      </c>
      <c r="L688" s="28">
        <v>0</v>
      </c>
      <c r="M688" s="75">
        <v>3.3</v>
      </c>
      <c r="N688" s="151">
        <v>1550</v>
      </c>
      <c r="O688" s="151">
        <v>1035</v>
      </c>
      <c r="P688" s="95">
        <f t="array" ref="P688">ROUND(IF($F688&lt;='TaxCred&amp;Subs'!$C$49,(IF($C688=2,IF($M688&gt;=IFERROR(INDEX('TaxCred&amp;Subs'!$L$12:$L$47,MATCH(1,($C688&amp;$D688='TaxCred&amp;Subs'!$E$12:$E$47)*($F688='TaxCred&amp;Subs'!$C$12:$C$47),0)
),9999),IFERROR(INDEX('TaxCred&amp;Subs'!$N$12:$N$47,MATCH(1,($C688&amp;$D688='TaxCred&amp;Subs'!$E$12:$E$47)*($F688='TaxCred&amp;Subs'!$C$12:$C$47),0)
),0),0),(IF($M688&gt;=IFERROR(INDEX('TaxCred&amp;Subs'!$H$12:$H$47,MATCH(1,($C688&amp;$D688='TaxCred&amp;Subs'!$D$12:$D$47)*($F688='TaxCred&amp;Subs'!$C$12:$C$47),0)
),9999),IFERROR(INDEX('TaxCred&amp;Subs'!$N$12:$N$47,MATCH(1,($C688&amp;$D688='TaxCred&amp;Subs'!$D$12:$D$47)*($F688='TaxCred&amp;Subs'!$C$12:$C$47),0)
),0),0)))),0)+IF(AND($C688=2,VALUE(RIGHT($AD688,1))&gt;2),(N688-R688)*(IFERROR(INDEX('TaxCred&amp;Subs'!$J$66:$J$99,MATCH(1,($C688&amp;$D688='TaxCred&amp;Subs'!$E$66:$E$99)*($F688='TaxCred&amp;Subs'!$C$66:$C$99),0)),0)),IF(AND($C688=1,VALUE(RIGHT($AD688,1))&gt;2),(N688-R688)*(IFERROR(INDEX('TaxCred&amp;Subs'!$J$66:$J$99,MATCH(1,($C688&amp;$D688='TaxCred&amp;Subs'!$D$66:$D$99)*($F688='TaxCred&amp;Subs'!$C$66:$C$99),0)),0)),IF($C688&gt;2,(N688-R688)*(IFERROR(INDEX('TaxCred&amp;Subs'!$J$66:$J$99,MATCH(1,($C688&amp;$D688='TaxCred&amp;Subs'!$D$66:$D$99)*($F688='TaxCred&amp;Subs'!$C$66:$C$99),0)),0)),0))),0)</f>
        <v>300</v>
      </c>
      <c r="Q688" s="95">
        <f t="array" ref="Q688">ROUND(IF(AND($C688=2,VALUE(RIGHT($AD688,1))&gt;2),(O688-S688)*(IFERROR(INDEX('TaxCred&amp;Subs'!$J$66:$J$99,MATCH(1,($C688&amp;$D688='TaxCred&amp;Subs'!$E$66:$E$99)*($F688='TaxCred&amp;Subs'!$C$66:$C$99),0)),0)),IF(AND($C688=1,VALUE(RIGHT($AD688,1))&gt;2),(O688-S688)*(IFERROR(INDEX('TaxCred&amp;Subs'!$J$66:$J$99,MATCH(1,($C688&amp;$D688='TaxCred&amp;Subs'!$D$66:$D$99)*($F688='TaxCred&amp;Subs'!$C$66:$C$99),0)),0)),IF($C688&gt;2,(O688-S688)*(IFERROR(INDEX('TaxCred&amp;Subs'!$J$66:$J$99,MATCH(1,($C688&amp;$D688='TaxCred&amp;Subs'!$D$66:$D$99)*($F688='TaxCred&amp;Subs'!$C$66:$C$99),0)),0)),0))),0)</f>
        <v>0</v>
      </c>
      <c r="R688" s="95">
        <f t="array" ref="R688">ROUND(IF(IFERROR(VALUE(RIGHT($AD688,1)),0)&gt;2,IF($C688=8,N688*IFERROR(INDEX('TaxCred&amp;Subs'!$K$139:$S$151,MATCH($C688&amp;$D688&amp;LEFT($AD688,7),'TaxCred&amp;Subs'!$E$139:$E$151,0),MATCH($H688,'TaxCred&amp;Subs'!$K$137:$S$137,0)),0),IF($C688=2,N688*IFERROR(INDEX('TaxCred&amp;Subs'!$K$139:$S$151,MATCH($C688&amp;$D688,'TaxCred&amp;Subs'!$D$139:$D$151,0),MATCH($H688,'TaxCred&amp;Subs'!$K$137:$S$137,0)),0),N688*IFERROR(INDEX('TaxCred&amp;Subs'!$K$139:$S$151,MATCH($C688&amp;$D688,'TaxCred&amp;Subs'!$C$139:$C$151,0),MATCH($H688,'TaxCred&amp;Subs'!$K$137:$S$137,0)),0))),0),0)</f>
        <v>397</v>
      </c>
      <c r="S688" s="95">
        <f t="array" ref="S688">ROUND(IF(IFERROR(VALUE(RIGHT($AD688,1)),0)&gt;2,IF($C688=8,O688*IFERROR(INDEX('TaxCred&amp;Subs'!$K$139:$S$151,MATCH($C688&amp;$D688&amp;LEFT($AD688,7),'TaxCred&amp;Subs'!$E$139:$E$151,0),MATCH($H688,'TaxCred&amp;Subs'!$K$137:$S$137,0)),0),IF($C688=2,O688*IFERROR(INDEX('TaxCred&amp;Subs'!$K$139:$S$151,MATCH($C688&amp;$D688,'TaxCred&amp;Subs'!$D$139:$D$151,0),MATCH($H688,'TaxCred&amp;Subs'!$K$137:$S$137,0)),0),O688*IFERROR(INDEX('TaxCred&amp;Subs'!$K$139:$S$151,MATCH($C688&amp;$D688,'TaxCred&amp;Subs'!$C$139:$C$151,0),MATCH($H688,'TaxCred&amp;Subs'!$K$137:$S$137,0)),0))),0),0)</f>
        <v>265</v>
      </c>
      <c r="T688" s="95">
        <f t="shared" si="46"/>
        <v>0</v>
      </c>
      <c r="U688" s="95">
        <f t="shared" si="47"/>
        <v>0</v>
      </c>
      <c r="V688" s="28" t="s">
        <v>222</v>
      </c>
      <c r="W688" s="31">
        <v>2020</v>
      </c>
      <c r="X688" s="28">
        <v>1</v>
      </c>
      <c r="Y688" s="28">
        <v>0</v>
      </c>
      <c r="Z688" s="196">
        <v>-1.755E-3</v>
      </c>
      <c r="AA688" s="196">
        <v>-2.7E-2</v>
      </c>
      <c r="AB688" s="28">
        <v>0</v>
      </c>
      <c r="AC688" s="28">
        <v>0</v>
      </c>
      <c r="AD688" s="31" t="s">
        <v>443</v>
      </c>
      <c r="AE688" t="s">
        <v>353</v>
      </c>
    </row>
    <row r="689" spans="2:31" ht="14.25" customHeight="1" x14ac:dyDescent="0.2">
      <c r="B689" s="7">
        <f t="shared" si="48"/>
        <v>665</v>
      </c>
      <c r="C689" s="28">
        <v>5</v>
      </c>
      <c r="D689" s="28">
        <v>2</v>
      </c>
      <c r="E689" s="31">
        <v>7</v>
      </c>
      <c r="F689" s="96">
        <v>2020</v>
      </c>
      <c r="G689" s="28">
        <v>2021</v>
      </c>
      <c r="H689" s="28">
        <v>3</v>
      </c>
      <c r="I689" s="28">
        <v>0</v>
      </c>
      <c r="J689" s="28">
        <v>0</v>
      </c>
      <c r="K689" s="28">
        <v>0</v>
      </c>
      <c r="L689" s="28">
        <v>0</v>
      </c>
      <c r="M689" s="75">
        <v>3.3</v>
      </c>
      <c r="N689" s="151">
        <v>1550</v>
      </c>
      <c r="O689" s="151">
        <v>1035</v>
      </c>
      <c r="P689" s="95">
        <f t="array" ref="P689">ROUND(IF($F689&lt;='TaxCred&amp;Subs'!$C$49,(IF($C689=2,IF($M689&gt;=IFERROR(INDEX('TaxCred&amp;Subs'!$L$12:$L$47,MATCH(1,($C689&amp;$D689='TaxCred&amp;Subs'!$E$12:$E$47)*($F689='TaxCred&amp;Subs'!$C$12:$C$47),0)
),9999),IFERROR(INDEX('TaxCred&amp;Subs'!$N$12:$N$47,MATCH(1,($C689&amp;$D689='TaxCred&amp;Subs'!$E$12:$E$47)*($F689='TaxCred&amp;Subs'!$C$12:$C$47),0)
),0),0),(IF($M689&gt;=IFERROR(INDEX('TaxCred&amp;Subs'!$H$12:$H$47,MATCH(1,($C689&amp;$D689='TaxCred&amp;Subs'!$D$12:$D$47)*($F689='TaxCred&amp;Subs'!$C$12:$C$47),0)
),9999),IFERROR(INDEX('TaxCred&amp;Subs'!$N$12:$N$47,MATCH(1,($C689&amp;$D689='TaxCred&amp;Subs'!$D$12:$D$47)*($F689='TaxCred&amp;Subs'!$C$12:$C$47),0)
),0),0)))),0)+IF(AND($C689=2,VALUE(RIGHT($AD689,1))&gt;2),(N689-R689)*(IFERROR(INDEX('TaxCred&amp;Subs'!$J$66:$J$99,MATCH(1,($C689&amp;$D689='TaxCred&amp;Subs'!$E$66:$E$99)*($F689='TaxCred&amp;Subs'!$C$66:$C$99),0)),0)),IF(AND($C689=1,VALUE(RIGHT($AD689,1))&gt;2),(N689-R689)*(IFERROR(INDEX('TaxCred&amp;Subs'!$J$66:$J$99,MATCH(1,($C689&amp;$D689='TaxCred&amp;Subs'!$D$66:$D$99)*($F689='TaxCred&amp;Subs'!$C$66:$C$99),0)),0)),IF($C689&gt;2,(N689-R689)*(IFERROR(INDEX('TaxCred&amp;Subs'!$J$66:$J$99,MATCH(1,($C689&amp;$D689='TaxCred&amp;Subs'!$D$66:$D$99)*($F689='TaxCred&amp;Subs'!$C$66:$C$99),0)),0)),0))),0)</f>
        <v>300</v>
      </c>
      <c r="Q689" s="95">
        <f t="array" ref="Q689">ROUND(IF(AND($C689=2,VALUE(RIGHT($AD689,1))&gt;2),(O689-S689)*(IFERROR(INDEX('TaxCred&amp;Subs'!$J$66:$J$99,MATCH(1,($C689&amp;$D689='TaxCred&amp;Subs'!$E$66:$E$99)*($F689='TaxCred&amp;Subs'!$C$66:$C$99),0)),0)),IF(AND($C689=1,VALUE(RIGHT($AD689,1))&gt;2),(O689-S689)*(IFERROR(INDEX('TaxCred&amp;Subs'!$J$66:$J$99,MATCH(1,($C689&amp;$D689='TaxCred&amp;Subs'!$D$66:$D$99)*($F689='TaxCred&amp;Subs'!$C$66:$C$99),0)),0)),IF($C689&gt;2,(O689-S689)*(IFERROR(INDEX('TaxCred&amp;Subs'!$J$66:$J$99,MATCH(1,($C689&amp;$D689='TaxCred&amp;Subs'!$D$66:$D$99)*($F689='TaxCred&amp;Subs'!$C$66:$C$99),0)),0)),0))),0)</f>
        <v>0</v>
      </c>
      <c r="R689" s="95">
        <f t="array" ref="R689">ROUND(IF(IFERROR(VALUE(RIGHT($AD689,1)),0)&gt;2,IF($C689=8,N689*IFERROR(INDEX('TaxCred&amp;Subs'!$K$139:$S$151,MATCH($C689&amp;$D689&amp;LEFT($AD689,7),'TaxCred&amp;Subs'!$E$139:$E$151,0),MATCH($H689,'TaxCred&amp;Subs'!$K$137:$S$137,0)),0),IF($C689=2,N689*IFERROR(INDEX('TaxCred&amp;Subs'!$K$139:$S$151,MATCH($C689&amp;$D689,'TaxCred&amp;Subs'!$D$139:$D$151,0),MATCH($H689,'TaxCred&amp;Subs'!$K$137:$S$137,0)),0),N689*IFERROR(INDEX('TaxCred&amp;Subs'!$K$139:$S$151,MATCH($C689&amp;$D689,'TaxCred&amp;Subs'!$C$139:$C$151,0),MATCH($H689,'TaxCred&amp;Subs'!$K$137:$S$137,0)),0))),0),0)</f>
        <v>231</v>
      </c>
      <c r="S689" s="95">
        <f t="array" ref="S689">ROUND(IF(IFERROR(VALUE(RIGHT($AD689,1)),0)&gt;2,IF($C689=8,O689*IFERROR(INDEX('TaxCred&amp;Subs'!$K$139:$S$151,MATCH($C689&amp;$D689&amp;LEFT($AD689,7),'TaxCred&amp;Subs'!$E$139:$E$151,0),MATCH($H689,'TaxCred&amp;Subs'!$K$137:$S$137,0)),0),IF($C689=2,O689*IFERROR(INDEX('TaxCred&amp;Subs'!$K$139:$S$151,MATCH($C689&amp;$D689,'TaxCred&amp;Subs'!$D$139:$D$151,0),MATCH($H689,'TaxCred&amp;Subs'!$K$137:$S$137,0)),0),O689*IFERROR(INDEX('TaxCred&amp;Subs'!$K$139:$S$151,MATCH($C689&amp;$D689,'TaxCred&amp;Subs'!$C$139:$C$151,0),MATCH($H689,'TaxCred&amp;Subs'!$K$137:$S$137,0)),0))),0),0)</f>
        <v>155</v>
      </c>
      <c r="T689" s="95">
        <f t="shared" si="46"/>
        <v>0</v>
      </c>
      <c r="U689" s="95">
        <f t="shared" si="47"/>
        <v>0</v>
      </c>
      <c r="V689" s="28" t="s">
        <v>222</v>
      </c>
      <c r="W689" s="31">
        <v>2020</v>
      </c>
      <c r="X689" s="28">
        <v>1</v>
      </c>
      <c r="Y689" s="28">
        <v>0</v>
      </c>
      <c r="Z689" s="196">
        <v>-1.755E-3</v>
      </c>
      <c r="AA689" s="196">
        <v>-2.7E-2</v>
      </c>
      <c r="AB689" s="28">
        <v>0</v>
      </c>
      <c r="AC689" s="28">
        <v>0</v>
      </c>
      <c r="AD689" s="31" t="s">
        <v>443</v>
      </c>
      <c r="AE689" t="s">
        <v>353</v>
      </c>
    </row>
    <row r="690" spans="2:31" ht="14.25" customHeight="1" x14ac:dyDescent="0.2">
      <c r="B690" s="7">
        <f t="shared" si="48"/>
        <v>666</v>
      </c>
      <c r="C690" s="28">
        <v>5</v>
      </c>
      <c r="D690" s="28">
        <v>2</v>
      </c>
      <c r="E690" s="31">
        <v>7</v>
      </c>
      <c r="F690" s="96">
        <v>2020</v>
      </c>
      <c r="G690" s="28">
        <v>2021</v>
      </c>
      <c r="H690" s="28">
        <v>4</v>
      </c>
      <c r="I690" s="28">
        <v>0</v>
      </c>
      <c r="J690" s="28">
        <v>0</v>
      </c>
      <c r="K690" s="28">
        <v>0</v>
      </c>
      <c r="L690" s="28">
        <v>0</v>
      </c>
      <c r="M690" s="75">
        <v>3.3</v>
      </c>
      <c r="N690" s="151">
        <v>1550</v>
      </c>
      <c r="O690" s="151">
        <v>1035</v>
      </c>
      <c r="P690" s="95">
        <f t="array" ref="P690">ROUND(IF($F690&lt;='TaxCred&amp;Subs'!$C$49,(IF($C690=2,IF($M690&gt;=IFERROR(INDEX('TaxCred&amp;Subs'!$L$12:$L$47,MATCH(1,($C690&amp;$D690='TaxCred&amp;Subs'!$E$12:$E$47)*($F690='TaxCred&amp;Subs'!$C$12:$C$47),0)
),9999),IFERROR(INDEX('TaxCred&amp;Subs'!$N$12:$N$47,MATCH(1,($C690&amp;$D690='TaxCred&amp;Subs'!$E$12:$E$47)*($F690='TaxCred&amp;Subs'!$C$12:$C$47),0)
),0),0),(IF($M690&gt;=IFERROR(INDEX('TaxCred&amp;Subs'!$H$12:$H$47,MATCH(1,($C690&amp;$D690='TaxCred&amp;Subs'!$D$12:$D$47)*($F690='TaxCred&amp;Subs'!$C$12:$C$47),0)
),9999),IFERROR(INDEX('TaxCred&amp;Subs'!$N$12:$N$47,MATCH(1,($C690&amp;$D690='TaxCred&amp;Subs'!$D$12:$D$47)*($F690='TaxCred&amp;Subs'!$C$12:$C$47),0)
),0),0)))),0)+IF(AND($C690=2,VALUE(RIGHT($AD690,1))&gt;2),(N690-R690)*(IFERROR(INDEX('TaxCred&amp;Subs'!$J$66:$J$99,MATCH(1,($C690&amp;$D690='TaxCred&amp;Subs'!$E$66:$E$99)*($F690='TaxCred&amp;Subs'!$C$66:$C$99),0)),0)),IF(AND($C690=1,VALUE(RIGHT($AD690,1))&gt;2),(N690-R690)*(IFERROR(INDEX('TaxCred&amp;Subs'!$J$66:$J$99,MATCH(1,($C690&amp;$D690='TaxCred&amp;Subs'!$D$66:$D$99)*($F690='TaxCred&amp;Subs'!$C$66:$C$99),0)),0)),IF($C690&gt;2,(N690-R690)*(IFERROR(INDEX('TaxCred&amp;Subs'!$J$66:$J$99,MATCH(1,($C690&amp;$D690='TaxCred&amp;Subs'!$D$66:$D$99)*($F690='TaxCred&amp;Subs'!$C$66:$C$99),0)),0)),0))),0)</f>
        <v>300</v>
      </c>
      <c r="Q690" s="95">
        <f t="array" ref="Q690">ROUND(IF(AND($C690=2,VALUE(RIGHT($AD690,1))&gt;2),(O690-S690)*(IFERROR(INDEX('TaxCred&amp;Subs'!$J$66:$J$99,MATCH(1,($C690&amp;$D690='TaxCred&amp;Subs'!$E$66:$E$99)*($F690='TaxCred&amp;Subs'!$C$66:$C$99),0)),0)),IF(AND($C690=1,VALUE(RIGHT($AD690,1))&gt;2),(O690-S690)*(IFERROR(INDEX('TaxCred&amp;Subs'!$J$66:$J$99,MATCH(1,($C690&amp;$D690='TaxCred&amp;Subs'!$D$66:$D$99)*($F690='TaxCred&amp;Subs'!$C$66:$C$99),0)),0)),IF($C690&gt;2,(O690-S690)*(IFERROR(INDEX('TaxCred&amp;Subs'!$J$66:$J$99,MATCH(1,($C690&amp;$D690='TaxCred&amp;Subs'!$D$66:$D$99)*($F690='TaxCred&amp;Subs'!$C$66:$C$99),0)),0)),0))),0)</f>
        <v>0</v>
      </c>
      <c r="R690" s="95">
        <f t="array" ref="R690">ROUND(IF(IFERROR(VALUE(RIGHT($AD690,1)),0)&gt;2,IF($C690=8,N690*IFERROR(INDEX('TaxCred&amp;Subs'!$K$139:$S$151,MATCH($C690&amp;$D690&amp;LEFT($AD690,7),'TaxCred&amp;Subs'!$E$139:$E$151,0),MATCH($H690,'TaxCred&amp;Subs'!$K$137:$S$137,0)),0),IF($C690=2,N690*IFERROR(INDEX('TaxCred&amp;Subs'!$K$139:$S$151,MATCH($C690&amp;$D690,'TaxCred&amp;Subs'!$D$139:$D$151,0),MATCH($H690,'TaxCred&amp;Subs'!$K$137:$S$137,0)),0),N690*IFERROR(INDEX('TaxCred&amp;Subs'!$K$139:$S$151,MATCH($C690&amp;$D690,'TaxCred&amp;Subs'!$C$139:$C$151,0),MATCH($H690,'TaxCred&amp;Subs'!$K$137:$S$137,0)),0))),0),0)</f>
        <v>182</v>
      </c>
      <c r="S690" s="95">
        <f t="array" ref="S690">ROUND(IF(IFERROR(VALUE(RIGHT($AD690,1)),0)&gt;2,IF($C690=8,O690*IFERROR(INDEX('TaxCred&amp;Subs'!$K$139:$S$151,MATCH($C690&amp;$D690&amp;LEFT($AD690,7),'TaxCred&amp;Subs'!$E$139:$E$151,0),MATCH($H690,'TaxCred&amp;Subs'!$K$137:$S$137,0)),0),IF($C690=2,O690*IFERROR(INDEX('TaxCred&amp;Subs'!$K$139:$S$151,MATCH($C690&amp;$D690,'TaxCred&amp;Subs'!$D$139:$D$151,0),MATCH($H690,'TaxCred&amp;Subs'!$K$137:$S$137,0)),0),O690*IFERROR(INDEX('TaxCred&amp;Subs'!$K$139:$S$151,MATCH($C690&amp;$D690,'TaxCred&amp;Subs'!$C$139:$C$151,0),MATCH($H690,'TaxCred&amp;Subs'!$K$137:$S$137,0)),0))),0),0)</f>
        <v>121</v>
      </c>
      <c r="T690" s="95">
        <f t="shared" si="46"/>
        <v>0</v>
      </c>
      <c r="U690" s="95">
        <f t="shared" si="47"/>
        <v>0</v>
      </c>
      <c r="V690" s="28" t="s">
        <v>222</v>
      </c>
      <c r="W690" s="31">
        <v>2020</v>
      </c>
      <c r="X690" s="28">
        <v>1</v>
      </c>
      <c r="Y690" s="28">
        <v>0</v>
      </c>
      <c r="Z690" s="196">
        <v>-1.755E-3</v>
      </c>
      <c r="AA690" s="196">
        <v>-2.7E-2</v>
      </c>
      <c r="AB690" s="28">
        <v>0</v>
      </c>
      <c r="AC690" s="28">
        <v>0</v>
      </c>
      <c r="AD690" s="31" t="s">
        <v>443</v>
      </c>
      <c r="AE690" t="s">
        <v>353</v>
      </c>
    </row>
    <row r="691" spans="2:31" ht="14.25" customHeight="1" x14ac:dyDescent="0.2">
      <c r="B691" s="7">
        <f t="shared" si="48"/>
        <v>667</v>
      </c>
      <c r="C691" s="28">
        <v>5</v>
      </c>
      <c r="D691" s="28">
        <v>2</v>
      </c>
      <c r="E691" s="31">
        <v>7</v>
      </c>
      <c r="F691" s="96">
        <v>2020</v>
      </c>
      <c r="G691" s="28">
        <v>2021</v>
      </c>
      <c r="H691" s="28">
        <v>5</v>
      </c>
      <c r="I691" s="28">
        <v>0</v>
      </c>
      <c r="J691" s="28">
        <v>0</v>
      </c>
      <c r="K691" s="28">
        <v>0</v>
      </c>
      <c r="L691" s="28">
        <v>0</v>
      </c>
      <c r="M691" s="75">
        <v>3.3</v>
      </c>
      <c r="N691" s="151">
        <v>1550</v>
      </c>
      <c r="O691" s="151">
        <v>1035</v>
      </c>
      <c r="P691" s="95">
        <f t="array" ref="P691">ROUND(IF($F691&lt;='TaxCred&amp;Subs'!$C$49,(IF($C691=2,IF($M691&gt;=IFERROR(INDEX('TaxCred&amp;Subs'!$L$12:$L$47,MATCH(1,($C691&amp;$D691='TaxCred&amp;Subs'!$E$12:$E$47)*($F691='TaxCred&amp;Subs'!$C$12:$C$47),0)
),9999),IFERROR(INDEX('TaxCred&amp;Subs'!$N$12:$N$47,MATCH(1,($C691&amp;$D691='TaxCred&amp;Subs'!$E$12:$E$47)*($F691='TaxCred&amp;Subs'!$C$12:$C$47),0)
),0),0),(IF($M691&gt;=IFERROR(INDEX('TaxCred&amp;Subs'!$H$12:$H$47,MATCH(1,($C691&amp;$D691='TaxCred&amp;Subs'!$D$12:$D$47)*($F691='TaxCred&amp;Subs'!$C$12:$C$47),0)
),9999),IFERROR(INDEX('TaxCred&amp;Subs'!$N$12:$N$47,MATCH(1,($C691&amp;$D691='TaxCred&amp;Subs'!$D$12:$D$47)*($F691='TaxCred&amp;Subs'!$C$12:$C$47),0)
),0),0)))),0)+IF(AND($C691=2,VALUE(RIGHT($AD691,1))&gt;2),(N691-R691)*(IFERROR(INDEX('TaxCred&amp;Subs'!$J$66:$J$99,MATCH(1,($C691&amp;$D691='TaxCred&amp;Subs'!$E$66:$E$99)*($F691='TaxCred&amp;Subs'!$C$66:$C$99),0)),0)),IF(AND($C691=1,VALUE(RIGHT($AD691,1))&gt;2),(N691-R691)*(IFERROR(INDEX('TaxCred&amp;Subs'!$J$66:$J$99,MATCH(1,($C691&amp;$D691='TaxCred&amp;Subs'!$D$66:$D$99)*($F691='TaxCred&amp;Subs'!$C$66:$C$99),0)),0)),IF($C691&gt;2,(N691-R691)*(IFERROR(INDEX('TaxCred&amp;Subs'!$J$66:$J$99,MATCH(1,($C691&amp;$D691='TaxCred&amp;Subs'!$D$66:$D$99)*($F691='TaxCred&amp;Subs'!$C$66:$C$99),0)),0)),0))),0)</f>
        <v>300</v>
      </c>
      <c r="Q691" s="95">
        <f t="array" ref="Q691">ROUND(IF(AND($C691=2,VALUE(RIGHT($AD691,1))&gt;2),(O691-S691)*(IFERROR(INDEX('TaxCred&amp;Subs'!$J$66:$J$99,MATCH(1,($C691&amp;$D691='TaxCred&amp;Subs'!$E$66:$E$99)*($F691='TaxCred&amp;Subs'!$C$66:$C$99),0)),0)),IF(AND($C691=1,VALUE(RIGHT($AD691,1))&gt;2),(O691-S691)*(IFERROR(INDEX('TaxCred&amp;Subs'!$J$66:$J$99,MATCH(1,($C691&amp;$D691='TaxCred&amp;Subs'!$D$66:$D$99)*($F691='TaxCred&amp;Subs'!$C$66:$C$99),0)),0)),IF($C691&gt;2,(O691-S691)*(IFERROR(INDEX('TaxCred&amp;Subs'!$J$66:$J$99,MATCH(1,($C691&amp;$D691='TaxCred&amp;Subs'!$D$66:$D$99)*($F691='TaxCred&amp;Subs'!$C$66:$C$99),0)),0)),0))),0)</f>
        <v>0</v>
      </c>
      <c r="R691" s="95">
        <f t="array" ref="R691">ROUND(IF(IFERROR(VALUE(RIGHT($AD691,1)),0)&gt;2,IF($C691=8,N691*IFERROR(INDEX('TaxCred&amp;Subs'!$K$139:$S$151,MATCH($C691&amp;$D691&amp;LEFT($AD691,7),'TaxCred&amp;Subs'!$E$139:$E$151,0),MATCH($H691,'TaxCred&amp;Subs'!$K$137:$S$137,0)),0),IF($C691=2,N691*IFERROR(INDEX('TaxCred&amp;Subs'!$K$139:$S$151,MATCH($C691&amp;$D691,'TaxCred&amp;Subs'!$D$139:$D$151,0),MATCH($H691,'TaxCred&amp;Subs'!$K$137:$S$137,0)),0),N691*IFERROR(INDEX('TaxCred&amp;Subs'!$K$139:$S$151,MATCH($C691&amp;$D691,'TaxCred&amp;Subs'!$C$139:$C$151,0),MATCH($H691,'TaxCred&amp;Subs'!$K$137:$S$137,0)),0))),0),0)</f>
        <v>205</v>
      </c>
      <c r="S691" s="95">
        <f t="array" ref="S691">ROUND(IF(IFERROR(VALUE(RIGHT($AD691,1)),0)&gt;2,IF($C691=8,O691*IFERROR(INDEX('TaxCred&amp;Subs'!$K$139:$S$151,MATCH($C691&amp;$D691&amp;LEFT($AD691,7),'TaxCred&amp;Subs'!$E$139:$E$151,0),MATCH($H691,'TaxCred&amp;Subs'!$K$137:$S$137,0)),0),IF($C691=2,O691*IFERROR(INDEX('TaxCred&amp;Subs'!$K$139:$S$151,MATCH($C691&amp;$D691,'TaxCred&amp;Subs'!$D$139:$D$151,0),MATCH($H691,'TaxCred&amp;Subs'!$K$137:$S$137,0)),0),O691*IFERROR(INDEX('TaxCred&amp;Subs'!$K$139:$S$151,MATCH($C691&amp;$D691,'TaxCred&amp;Subs'!$C$139:$C$151,0),MATCH($H691,'TaxCred&amp;Subs'!$K$137:$S$137,0)),0))),0),0)</f>
        <v>137</v>
      </c>
      <c r="T691" s="95">
        <f t="shared" si="46"/>
        <v>0</v>
      </c>
      <c r="U691" s="95">
        <f t="shared" si="47"/>
        <v>0</v>
      </c>
      <c r="V691" s="28" t="s">
        <v>222</v>
      </c>
      <c r="W691" s="31">
        <v>2020</v>
      </c>
      <c r="X691" s="28">
        <v>1</v>
      </c>
      <c r="Y691" s="28">
        <v>0</v>
      </c>
      <c r="Z691" s="196">
        <v>-1.755E-3</v>
      </c>
      <c r="AA691" s="196">
        <v>-2.7E-2</v>
      </c>
      <c r="AB691" s="28">
        <v>0</v>
      </c>
      <c r="AC691" s="28">
        <v>0</v>
      </c>
      <c r="AD691" s="31" t="s">
        <v>443</v>
      </c>
      <c r="AE691" t="s">
        <v>353</v>
      </c>
    </row>
    <row r="692" spans="2:31" ht="14.25" customHeight="1" x14ac:dyDescent="0.2">
      <c r="B692" s="7">
        <f t="shared" si="48"/>
        <v>668</v>
      </c>
      <c r="C692" s="28">
        <v>5</v>
      </c>
      <c r="D692" s="28">
        <v>2</v>
      </c>
      <c r="E692" s="31">
        <v>7</v>
      </c>
      <c r="F692" s="96">
        <v>2020</v>
      </c>
      <c r="G692" s="28">
        <v>2021</v>
      </c>
      <c r="H692" s="28">
        <v>6</v>
      </c>
      <c r="I692" s="28">
        <v>0</v>
      </c>
      <c r="J692" s="28">
        <v>0</v>
      </c>
      <c r="K692" s="28">
        <v>0</v>
      </c>
      <c r="L692" s="28">
        <v>0</v>
      </c>
      <c r="M692" s="75">
        <v>3.3</v>
      </c>
      <c r="N692" s="151">
        <v>1550</v>
      </c>
      <c r="O692" s="151">
        <v>1035</v>
      </c>
      <c r="P692" s="95">
        <f t="array" ref="P692">ROUND(IF($F692&lt;='TaxCred&amp;Subs'!$C$49,(IF($C692=2,IF($M692&gt;=IFERROR(INDEX('TaxCred&amp;Subs'!$L$12:$L$47,MATCH(1,($C692&amp;$D692='TaxCred&amp;Subs'!$E$12:$E$47)*($F692='TaxCred&amp;Subs'!$C$12:$C$47),0)
),9999),IFERROR(INDEX('TaxCred&amp;Subs'!$N$12:$N$47,MATCH(1,($C692&amp;$D692='TaxCred&amp;Subs'!$E$12:$E$47)*($F692='TaxCred&amp;Subs'!$C$12:$C$47),0)
),0),0),(IF($M692&gt;=IFERROR(INDEX('TaxCred&amp;Subs'!$H$12:$H$47,MATCH(1,($C692&amp;$D692='TaxCred&amp;Subs'!$D$12:$D$47)*($F692='TaxCred&amp;Subs'!$C$12:$C$47),0)
),9999),IFERROR(INDEX('TaxCred&amp;Subs'!$N$12:$N$47,MATCH(1,($C692&amp;$D692='TaxCred&amp;Subs'!$D$12:$D$47)*($F692='TaxCred&amp;Subs'!$C$12:$C$47),0)
),0),0)))),0)+IF(AND($C692=2,VALUE(RIGHT($AD692,1))&gt;2),(N692-R692)*(IFERROR(INDEX('TaxCred&amp;Subs'!$J$66:$J$99,MATCH(1,($C692&amp;$D692='TaxCred&amp;Subs'!$E$66:$E$99)*($F692='TaxCred&amp;Subs'!$C$66:$C$99),0)),0)),IF(AND($C692=1,VALUE(RIGHT($AD692,1))&gt;2),(N692-R692)*(IFERROR(INDEX('TaxCred&amp;Subs'!$J$66:$J$99,MATCH(1,($C692&amp;$D692='TaxCred&amp;Subs'!$D$66:$D$99)*($F692='TaxCred&amp;Subs'!$C$66:$C$99),0)),0)),IF($C692&gt;2,(N692-R692)*(IFERROR(INDEX('TaxCred&amp;Subs'!$J$66:$J$99,MATCH(1,($C692&amp;$D692='TaxCred&amp;Subs'!$D$66:$D$99)*($F692='TaxCred&amp;Subs'!$C$66:$C$99),0)),0)),0))),0)</f>
        <v>300</v>
      </c>
      <c r="Q692" s="95">
        <f t="array" ref="Q692">ROUND(IF(AND($C692=2,VALUE(RIGHT($AD692,1))&gt;2),(O692-S692)*(IFERROR(INDEX('TaxCred&amp;Subs'!$J$66:$J$99,MATCH(1,($C692&amp;$D692='TaxCred&amp;Subs'!$E$66:$E$99)*($F692='TaxCred&amp;Subs'!$C$66:$C$99),0)),0)),IF(AND($C692=1,VALUE(RIGHT($AD692,1))&gt;2),(O692-S692)*(IFERROR(INDEX('TaxCred&amp;Subs'!$J$66:$J$99,MATCH(1,($C692&amp;$D692='TaxCred&amp;Subs'!$D$66:$D$99)*($F692='TaxCred&amp;Subs'!$C$66:$C$99),0)),0)),IF($C692&gt;2,(O692-S692)*(IFERROR(INDEX('TaxCred&amp;Subs'!$J$66:$J$99,MATCH(1,($C692&amp;$D692='TaxCred&amp;Subs'!$D$66:$D$99)*($F692='TaxCred&amp;Subs'!$C$66:$C$99),0)),0)),0))),0)</f>
        <v>0</v>
      </c>
      <c r="R692" s="95">
        <f t="array" ref="R692">ROUND(IF(IFERROR(VALUE(RIGHT($AD692,1)),0)&gt;2,IF($C692=8,N692*IFERROR(INDEX('TaxCred&amp;Subs'!$K$139:$S$151,MATCH($C692&amp;$D692&amp;LEFT($AD692,7),'TaxCred&amp;Subs'!$E$139:$E$151,0),MATCH($H692,'TaxCred&amp;Subs'!$K$137:$S$137,0)),0),IF($C692=2,N692*IFERROR(INDEX('TaxCred&amp;Subs'!$K$139:$S$151,MATCH($C692&amp;$D692,'TaxCred&amp;Subs'!$D$139:$D$151,0),MATCH($H692,'TaxCred&amp;Subs'!$K$137:$S$137,0)),0),N692*IFERROR(INDEX('TaxCred&amp;Subs'!$K$139:$S$151,MATCH($C692&amp;$D692,'TaxCred&amp;Subs'!$C$139:$C$151,0),MATCH($H692,'TaxCred&amp;Subs'!$K$137:$S$137,0)),0))),0),0)</f>
        <v>104</v>
      </c>
      <c r="S692" s="95">
        <f t="array" ref="S692">ROUND(IF(IFERROR(VALUE(RIGHT($AD692,1)),0)&gt;2,IF($C692=8,O692*IFERROR(INDEX('TaxCred&amp;Subs'!$K$139:$S$151,MATCH($C692&amp;$D692&amp;LEFT($AD692,7),'TaxCred&amp;Subs'!$E$139:$E$151,0),MATCH($H692,'TaxCred&amp;Subs'!$K$137:$S$137,0)),0),IF($C692=2,O692*IFERROR(INDEX('TaxCred&amp;Subs'!$K$139:$S$151,MATCH($C692&amp;$D692,'TaxCred&amp;Subs'!$D$139:$D$151,0),MATCH($H692,'TaxCred&amp;Subs'!$K$137:$S$137,0)),0),O692*IFERROR(INDEX('TaxCred&amp;Subs'!$K$139:$S$151,MATCH($C692&amp;$D692,'TaxCred&amp;Subs'!$C$139:$C$151,0),MATCH($H692,'TaxCred&amp;Subs'!$K$137:$S$137,0)),0))),0),0)</f>
        <v>69</v>
      </c>
      <c r="T692" s="95">
        <f t="shared" si="46"/>
        <v>0</v>
      </c>
      <c r="U692" s="95">
        <f t="shared" si="47"/>
        <v>0</v>
      </c>
      <c r="V692" s="28" t="s">
        <v>222</v>
      </c>
      <c r="W692" s="31">
        <v>2020</v>
      </c>
      <c r="X692" s="28">
        <v>1</v>
      </c>
      <c r="Y692" s="28">
        <v>0</v>
      </c>
      <c r="Z692" s="196">
        <v>-1.755E-3</v>
      </c>
      <c r="AA692" s="196">
        <v>-2.7E-2</v>
      </c>
      <c r="AB692" s="28">
        <v>0</v>
      </c>
      <c r="AC692" s="28">
        <v>0</v>
      </c>
      <c r="AD692" s="31" t="s">
        <v>443</v>
      </c>
      <c r="AE692" t="s">
        <v>353</v>
      </c>
    </row>
    <row r="693" spans="2:31" ht="14.25" customHeight="1" x14ac:dyDescent="0.2">
      <c r="B693" s="7">
        <f t="shared" si="48"/>
        <v>669</v>
      </c>
      <c r="C693" s="28">
        <v>5</v>
      </c>
      <c r="D693" s="28">
        <v>2</v>
      </c>
      <c r="E693" s="31">
        <v>7</v>
      </c>
      <c r="F693" s="96">
        <v>2020</v>
      </c>
      <c r="G693" s="28">
        <v>2021</v>
      </c>
      <c r="H693" s="28">
        <v>7</v>
      </c>
      <c r="I693" s="28">
        <v>0</v>
      </c>
      <c r="J693" s="28">
        <v>0</v>
      </c>
      <c r="K693" s="28">
        <v>0</v>
      </c>
      <c r="L693" s="28">
        <v>0</v>
      </c>
      <c r="M693" s="75">
        <v>3.3</v>
      </c>
      <c r="N693" s="151">
        <v>1550</v>
      </c>
      <c r="O693" s="151">
        <v>1035</v>
      </c>
      <c r="P693" s="95">
        <f t="array" ref="P693">ROUND(IF($F693&lt;='TaxCred&amp;Subs'!$C$49,(IF($C693=2,IF($M693&gt;=IFERROR(INDEX('TaxCred&amp;Subs'!$L$12:$L$47,MATCH(1,($C693&amp;$D693='TaxCred&amp;Subs'!$E$12:$E$47)*($F693='TaxCred&amp;Subs'!$C$12:$C$47),0)
),9999),IFERROR(INDEX('TaxCred&amp;Subs'!$N$12:$N$47,MATCH(1,($C693&amp;$D693='TaxCred&amp;Subs'!$E$12:$E$47)*($F693='TaxCred&amp;Subs'!$C$12:$C$47),0)
),0),0),(IF($M693&gt;=IFERROR(INDEX('TaxCred&amp;Subs'!$H$12:$H$47,MATCH(1,($C693&amp;$D693='TaxCred&amp;Subs'!$D$12:$D$47)*($F693='TaxCred&amp;Subs'!$C$12:$C$47),0)
),9999),IFERROR(INDEX('TaxCred&amp;Subs'!$N$12:$N$47,MATCH(1,($C693&amp;$D693='TaxCred&amp;Subs'!$D$12:$D$47)*($F693='TaxCred&amp;Subs'!$C$12:$C$47),0)
),0),0)))),0)+IF(AND($C693=2,VALUE(RIGHT($AD693,1))&gt;2),(N693-R693)*(IFERROR(INDEX('TaxCred&amp;Subs'!$J$66:$J$99,MATCH(1,($C693&amp;$D693='TaxCred&amp;Subs'!$E$66:$E$99)*($F693='TaxCred&amp;Subs'!$C$66:$C$99),0)),0)),IF(AND($C693=1,VALUE(RIGHT($AD693,1))&gt;2),(N693-R693)*(IFERROR(INDEX('TaxCred&amp;Subs'!$J$66:$J$99,MATCH(1,($C693&amp;$D693='TaxCred&amp;Subs'!$D$66:$D$99)*($F693='TaxCred&amp;Subs'!$C$66:$C$99),0)),0)),IF($C693&gt;2,(N693-R693)*(IFERROR(INDEX('TaxCred&amp;Subs'!$J$66:$J$99,MATCH(1,($C693&amp;$D693='TaxCred&amp;Subs'!$D$66:$D$99)*($F693='TaxCred&amp;Subs'!$C$66:$C$99),0)),0)),0))),0)</f>
        <v>300</v>
      </c>
      <c r="Q693" s="95">
        <f t="array" ref="Q693">ROUND(IF(AND($C693=2,VALUE(RIGHT($AD693,1))&gt;2),(O693-S693)*(IFERROR(INDEX('TaxCred&amp;Subs'!$J$66:$J$99,MATCH(1,($C693&amp;$D693='TaxCred&amp;Subs'!$E$66:$E$99)*($F693='TaxCred&amp;Subs'!$C$66:$C$99),0)),0)),IF(AND($C693=1,VALUE(RIGHT($AD693,1))&gt;2),(O693-S693)*(IFERROR(INDEX('TaxCred&amp;Subs'!$J$66:$J$99,MATCH(1,($C693&amp;$D693='TaxCred&amp;Subs'!$D$66:$D$99)*($F693='TaxCred&amp;Subs'!$C$66:$C$99),0)),0)),IF($C693&gt;2,(O693-S693)*(IFERROR(INDEX('TaxCred&amp;Subs'!$J$66:$J$99,MATCH(1,($C693&amp;$D693='TaxCred&amp;Subs'!$D$66:$D$99)*($F693='TaxCred&amp;Subs'!$C$66:$C$99),0)),0)),0))),0)</f>
        <v>0</v>
      </c>
      <c r="R693" s="95">
        <f t="array" ref="R693">ROUND(IF(IFERROR(VALUE(RIGHT($AD693,1)),0)&gt;2,IF($C693=8,N693*IFERROR(INDEX('TaxCred&amp;Subs'!$K$139:$S$151,MATCH($C693&amp;$D693&amp;LEFT($AD693,7),'TaxCred&amp;Subs'!$E$139:$E$151,0),MATCH($H693,'TaxCred&amp;Subs'!$K$137:$S$137,0)),0),IF($C693=2,N693*IFERROR(INDEX('TaxCred&amp;Subs'!$K$139:$S$151,MATCH($C693&amp;$D693,'TaxCred&amp;Subs'!$D$139:$D$151,0),MATCH($H693,'TaxCred&amp;Subs'!$K$137:$S$137,0)),0),N693*IFERROR(INDEX('TaxCred&amp;Subs'!$K$139:$S$151,MATCH($C693&amp;$D693,'TaxCred&amp;Subs'!$C$139:$C$151,0),MATCH($H693,'TaxCred&amp;Subs'!$K$137:$S$137,0)),0))),0),0)</f>
        <v>318</v>
      </c>
      <c r="S693" s="95">
        <f t="array" ref="S693">ROUND(IF(IFERROR(VALUE(RIGHT($AD693,1)),0)&gt;2,IF($C693=8,O693*IFERROR(INDEX('TaxCred&amp;Subs'!$K$139:$S$151,MATCH($C693&amp;$D693&amp;LEFT($AD693,7),'TaxCred&amp;Subs'!$E$139:$E$151,0),MATCH($H693,'TaxCred&amp;Subs'!$K$137:$S$137,0)),0),IF($C693=2,O693*IFERROR(INDEX('TaxCred&amp;Subs'!$K$139:$S$151,MATCH($C693&amp;$D693,'TaxCred&amp;Subs'!$D$139:$D$151,0),MATCH($H693,'TaxCred&amp;Subs'!$K$137:$S$137,0)),0),O693*IFERROR(INDEX('TaxCred&amp;Subs'!$K$139:$S$151,MATCH($C693&amp;$D693,'TaxCred&amp;Subs'!$C$139:$C$151,0),MATCH($H693,'TaxCred&amp;Subs'!$K$137:$S$137,0)),0))),0),0)</f>
        <v>213</v>
      </c>
      <c r="T693" s="95">
        <f t="shared" si="46"/>
        <v>0</v>
      </c>
      <c r="U693" s="95">
        <f t="shared" si="47"/>
        <v>0</v>
      </c>
      <c r="V693" s="28" t="s">
        <v>222</v>
      </c>
      <c r="W693" s="31">
        <v>2020</v>
      </c>
      <c r="X693" s="28">
        <v>1</v>
      </c>
      <c r="Y693" s="28">
        <v>0</v>
      </c>
      <c r="Z693" s="196">
        <v>-1.755E-3</v>
      </c>
      <c r="AA693" s="196">
        <v>-2.7E-2</v>
      </c>
      <c r="AB693" s="28">
        <v>0</v>
      </c>
      <c r="AC693" s="28">
        <v>0</v>
      </c>
      <c r="AD693" s="31" t="s">
        <v>443</v>
      </c>
      <c r="AE693" t="s">
        <v>353</v>
      </c>
    </row>
    <row r="694" spans="2:31" ht="14.25" customHeight="1" x14ac:dyDescent="0.2">
      <c r="B694" s="7">
        <f t="shared" si="48"/>
        <v>670</v>
      </c>
      <c r="C694" s="28">
        <v>5</v>
      </c>
      <c r="D694" s="28">
        <v>2</v>
      </c>
      <c r="E694" s="31">
        <v>7</v>
      </c>
      <c r="F694" s="96">
        <v>2020</v>
      </c>
      <c r="G694" s="28">
        <v>2021</v>
      </c>
      <c r="H694" s="28">
        <v>8</v>
      </c>
      <c r="I694" s="28">
        <v>0</v>
      </c>
      <c r="J694" s="28">
        <v>0</v>
      </c>
      <c r="K694" s="28">
        <v>0</v>
      </c>
      <c r="L694" s="28">
        <v>0</v>
      </c>
      <c r="M694" s="75">
        <v>3.3</v>
      </c>
      <c r="N694" s="151">
        <v>1550</v>
      </c>
      <c r="O694" s="151">
        <v>1035</v>
      </c>
      <c r="P694" s="95">
        <f t="array" ref="P694">ROUND(IF($F694&lt;='TaxCred&amp;Subs'!$C$49,(IF($C694=2,IF($M694&gt;=IFERROR(INDEX('TaxCred&amp;Subs'!$L$12:$L$47,MATCH(1,($C694&amp;$D694='TaxCred&amp;Subs'!$E$12:$E$47)*($F694='TaxCred&amp;Subs'!$C$12:$C$47),0)
),9999),IFERROR(INDEX('TaxCred&amp;Subs'!$N$12:$N$47,MATCH(1,($C694&amp;$D694='TaxCred&amp;Subs'!$E$12:$E$47)*($F694='TaxCred&amp;Subs'!$C$12:$C$47),0)
),0),0),(IF($M694&gt;=IFERROR(INDEX('TaxCred&amp;Subs'!$H$12:$H$47,MATCH(1,($C694&amp;$D694='TaxCred&amp;Subs'!$D$12:$D$47)*($F694='TaxCred&amp;Subs'!$C$12:$C$47),0)
),9999),IFERROR(INDEX('TaxCred&amp;Subs'!$N$12:$N$47,MATCH(1,($C694&amp;$D694='TaxCred&amp;Subs'!$D$12:$D$47)*($F694='TaxCred&amp;Subs'!$C$12:$C$47),0)
),0),0)))),0)+IF(AND($C694=2,VALUE(RIGHT($AD694,1))&gt;2),(N694-R694)*(IFERROR(INDEX('TaxCred&amp;Subs'!$J$66:$J$99,MATCH(1,($C694&amp;$D694='TaxCred&amp;Subs'!$E$66:$E$99)*($F694='TaxCred&amp;Subs'!$C$66:$C$99),0)),0)),IF(AND($C694=1,VALUE(RIGHT($AD694,1))&gt;2),(N694-R694)*(IFERROR(INDEX('TaxCred&amp;Subs'!$J$66:$J$99,MATCH(1,($C694&amp;$D694='TaxCred&amp;Subs'!$D$66:$D$99)*($F694='TaxCred&amp;Subs'!$C$66:$C$99),0)),0)),IF($C694&gt;2,(N694-R694)*(IFERROR(INDEX('TaxCred&amp;Subs'!$J$66:$J$99,MATCH(1,($C694&amp;$D694='TaxCred&amp;Subs'!$D$66:$D$99)*($F694='TaxCred&amp;Subs'!$C$66:$C$99),0)),0)),0))),0)</f>
        <v>300</v>
      </c>
      <c r="Q694" s="95">
        <f t="array" ref="Q694">ROUND(IF(AND($C694=2,VALUE(RIGHT($AD694,1))&gt;2),(O694-S694)*(IFERROR(INDEX('TaxCred&amp;Subs'!$J$66:$J$99,MATCH(1,($C694&amp;$D694='TaxCred&amp;Subs'!$E$66:$E$99)*($F694='TaxCred&amp;Subs'!$C$66:$C$99),0)),0)),IF(AND($C694=1,VALUE(RIGHT($AD694,1))&gt;2),(O694-S694)*(IFERROR(INDEX('TaxCred&amp;Subs'!$J$66:$J$99,MATCH(1,($C694&amp;$D694='TaxCred&amp;Subs'!$D$66:$D$99)*($F694='TaxCred&amp;Subs'!$C$66:$C$99),0)),0)),IF($C694&gt;2,(O694-S694)*(IFERROR(INDEX('TaxCred&amp;Subs'!$J$66:$J$99,MATCH(1,($C694&amp;$D694='TaxCred&amp;Subs'!$D$66:$D$99)*($F694='TaxCred&amp;Subs'!$C$66:$C$99),0)),0)),0))),0)</f>
        <v>0</v>
      </c>
      <c r="R694" s="95">
        <f t="array" ref="R694">ROUND(IF(IFERROR(VALUE(RIGHT($AD694,1)),0)&gt;2,IF($C694=8,N694*IFERROR(INDEX('TaxCred&amp;Subs'!$K$139:$S$151,MATCH($C694&amp;$D694&amp;LEFT($AD694,7),'TaxCred&amp;Subs'!$E$139:$E$151,0),MATCH($H694,'TaxCred&amp;Subs'!$K$137:$S$137,0)),0),IF($C694=2,N694*IFERROR(INDEX('TaxCred&amp;Subs'!$K$139:$S$151,MATCH($C694&amp;$D694,'TaxCred&amp;Subs'!$D$139:$D$151,0),MATCH($H694,'TaxCred&amp;Subs'!$K$137:$S$137,0)),0),N694*IFERROR(INDEX('TaxCred&amp;Subs'!$K$139:$S$151,MATCH($C694&amp;$D694,'TaxCred&amp;Subs'!$C$139:$C$151,0),MATCH($H694,'TaxCred&amp;Subs'!$K$137:$S$137,0)),0))),0),0)</f>
        <v>134</v>
      </c>
      <c r="S694" s="95">
        <f t="array" ref="S694">ROUND(IF(IFERROR(VALUE(RIGHT($AD694,1)),0)&gt;2,IF($C694=8,O694*IFERROR(INDEX('TaxCred&amp;Subs'!$K$139:$S$151,MATCH($C694&amp;$D694&amp;LEFT($AD694,7),'TaxCred&amp;Subs'!$E$139:$E$151,0),MATCH($H694,'TaxCred&amp;Subs'!$K$137:$S$137,0)),0),IF($C694=2,O694*IFERROR(INDEX('TaxCred&amp;Subs'!$K$139:$S$151,MATCH($C694&amp;$D694,'TaxCred&amp;Subs'!$D$139:$D$151,0),MATCH($H694,'TaxCred&amp;Subs'!$K$137:$S$137,0)),0),O694*IFERROR(INDEX('TaxCred&amp;Subs'!$K$139:$S$151,MATCH($C694&amp;$D694,'TaxCred&amp;Subs'!$C$139:$C$151,0),MATCH($H694,'TaxCred&amp;Subs'!$K$137:$S$137,0)),0))),0),0)</f>
        <v>89</v>
      </c>
      <c r="T694" s="95">
        <f t="shared" si="46"/>
        <v>0</v>
      </c>
      <c r="U694" s="95">
        <f t="shared" si="47"/>
        <v>0</v>
      </c>
      <c r="V694" s="28" t="s">
        <v>222</v>
      </c>
      <c r="W694" s="31">
        <v>2020</v>
      </c>
      <c r="X694" s="28">
        <v>1</v>
      </c>
      <c r="Y694" s="28">
        <v>0</v>
      </c>
      <c r="Z694" s="196">
        <v>-1.755E-3</v>
      </c>
      <c r="AA694" s="196">
        <v>-2.7E-2</v>
      </c>
      <c r="AB694" s="28">
        <v>0</v>
      </c>
      <c r="AC694" s="28">
        <v>0</v>
      </c>
      <c r="AD694" s="31" t="s">
        <v>443</v>
      </c>
      <c r="AE694" t="s">
        <v>353</v>
      </c>
    </row>
    <row r="695" spans="2:31" ht="14.25" customHeight="1" x14ac:dyDescent="0.2">
      <c r="B695" s="7">
        <f t="shared" si="48"/>
        <v>671</v>
      </c>
      <c r="C695" s="28">
        <v>5</v>
      </c>
      <c r="D695" s="28">
        <v>2</v>
      </c>
      <c r="E695" s="31">
        <v>7</v>
      </c>
      <c r="F695" s="96">
        <v>2020</v>
      </c>
      <c r="G695" s="28">
        <v>2021</v>
      </c>
      <c r="H695" s="28">
        <v>9</v>
      </c>
      <c r="I695" s="28">
        <v>0</v>
      </c>
      <c r="J695" s="28">
        <v>0</v>
      </c>
      <c r="K695" s="28">
        <v>0</v>
      </c>
      <c r="L695" s="28">
        <v>0</v>
      </c>
      <c r="M695" s="75">
        <v>3.3</v>
      </c>
      <c r="N695" s="151">
        <v>1550</v>
      </c>
      <c r="O695" s="151">
        <v>1035</v>
      </c>
      <c r="P695" s="95">
        <f t="array" ref="P695">ROUND(IF($F695&lt;='TaxCred&amp;Subs'!$C$49,(IF($C695=2,IF($M695&gt;=IFERROR(INDEX('TaxCred&amp;Subs'!$L$12:$L$47,MATCH(1,($C695&amp;$D695='TaxCred&amp;Subs'!$E$12:$E$47)*($F695='TaxCred&amp;Subs'!$C$12:$C$47),0)
),9999),IFERROR(INDEX('TaxCred&amp;Subs'!$N$12:$N$47,MATCH(1,($C695&amp;$D695='TaxCred&amp;Subs'!$E$12:$E$47)*($F695='TaxCred&amp;Subs'!$C$12:$C$47),0)
),0),0),(IF($M695&gt;=IFERROR(INDEX('TaxCred&amp;Subs'!$H$12:$H$47,MATCH(1,($C695&amp;$D695='TaxCred&amp;Subs'!$D$12:$D$47)*($F695='TaxCred&amp;Subs'!$C$12:$C$47),0)
),9999),IFERROR(INDEX('TaxCred&amp;Subs'!$N$12:$N$47,MATCH(1,($C695&amp;$D695='TaxCred&amp;Subs'!$D$12:$D$47)*($F695='TaxCred&amp;Subs'!$C$12:$C$47),0)
),0),0)))),0)+IF(AND($C695=2,VALUE(RIGHT($AD695,1))&gt;2),(N695-R695)*(IFERROR(INDEX('TaxCred&amp;Subs'!$J$66:$J$99,MATCH(1,($C695&amp;$D695='TaxCred&amp;Subs'!$E$66:$E$99)*($F695='TaxCred&amp;Subs'!$C$66:$C$99),0)),0)),IF(AND($C695=1,VALUE(RIGHT($AD695,1))&gt;2),(N695-R695)*(IFERROR(INDEX('TaxCred&amp;Subs'!$J$66:$J$99,MATCH(1,($C695&amp;$D695='TaxCred&amp;Subs'!$D$66:$D$99)*($F695='TaxCred&amp;Subs'!$C$66:$C$99),0)),0)),IF($C695&gt;2,(N695-R695)*(IFERROR(INDEX('TaxCred&amp;Subs'!$J$66:$J$99,MATCH(1,($C695&amp;$D695='TaxCred&amp;Subs'!$D$66:$D$99)*($F695='TaxCred&amp;Subs'!$C$66:$C$99),0)),0)),0))),0)</f>
        <v>300</v>
      </c>
      <c r="Q695" s="95">
        <f t="array" ref="Q695">ROUND(IF(AND($C695=2,VALUE(RIGHT($AD695,1))&gt;2),(O695-S695)*(IFERROR(INDEX('TaxCred&amp;Subs'!$J$66:$J$99,MATCH(1,($C695&amp;$D695='TaxCred&amp;Subs'!$E$66:$E$99)*($F695='TaxCred&amp;Subs'!$C$66:$C$99),0)),0)),IF(AND($C695=1,VALUE(RIGHT($AD695,1))&gt;2),(O695-S695)*(IFERROR(INDEX('TaxCred&amp;Subs'!$J$66:$J$99,MATCH(1,($C695&amp;$D695='TaxCred&amp;Subs'!$D$66:$D$99)*($F695='TaxCred&amp;Subs'!$C$66:$C$99),0)),0)),IF($C695&gt;2,(O695-S695)*(IFERROR(INDEX('TaxCred&amp;Subs'!$J$66:$J$99,MATCH(1,($C695&amp;$D695='TaxCred&amp;Subs'!$D$66:$D$99)*($F695='TaxCred&amp;Subs'!$C$66:$C$99),0)),0)),0))),0)</f>
        <v>0</v>
      </c>
      <c r="R695" s="95">
        <f t="array" ref="R695">ROUND(IF(IFERROR(VALUE(RIGHT($AD695,1)),0)&gt;2,IF($C695=8,N695*IFERROR(INDEX('TaxCred&amp;Subs'!$K$139:$S$151,MATCH($C695&amp;$D695&amp;LEFT($AD695,7),'TaxCred&amp;Subs'!$E$139:$E$151,0),MATCH($H695,'TaxCred&amp;Subs'!$K$137:$S$137,0)),0),IF($C695=2,N695*IFERROR(INDEX('TaxCred&amp;Subs'!$K$139:$S$151,MATCH($C695&amp;$D695,'TaxCred&amp;Subs'!$D$139:$D$151,0),MATCH($H695,'TaxCred&amp;Subs'!$K$137:$S$137,0)),0),N695*IFERROR(INDEX('TaxCred&amp;Subs'!$K$139:$S$151,MATCH($C695&amp;$D695,'TaxCred&amp;Subs'!$C$139:$C$151,0),MATCH($H695,'TaxCred&amp;Subs'!$K$137:$S$137,0)),0))),0),0)</f>
        <v>350</v>
      </c>
      <c r="S695" s="95">
        <f t="array" ref="S695">ROUND(IF(IFERROR(VALUE(RIGHT($AD695,1)),0)&gt;2,IF($C695=8,O695*IFERROR(INDEX('TaxCred&amp;Subs'!$K$139:$S$151,MATCH($C695&amp;$D695&amp;LEFT($AD695,7),'TaxCred&amp;Subs'!$E$139:$E$151,0),MATCH($H695,'TaxCred&amp;Subs'!$K$137:$S$137,0)),0),IF($C695=2,O695*IFERROR(INDEX('TaxCred&amp;Subs'!$K$139:$S$151,MATCH($C695&amp;$D695,'TaxCred&amp;Subs'!$D$139:$D$151,0),MATCH($H695,'TaxCred&amp;Subs'!$K$137:$S$137,0)),0),O695*IFERROR(INDEX('TaxCred&amp;Subs'!$K$139:$S$151,MATCH($C695&amp;$D695,'TaxCred&amp;Subs'!$C$139:$C$151,0),MATCH($H695,'TaxCred&amp;Subs'!$K$137:$S$137,0)),0))),0),0)</f>
        <v>234</v>
      </c>
      <c r="T695" s="172">
        <f t="shared" si="46"/>
        <v>187.5</v>
      </c>
      <c r="U695" s="172">
        <f t="shared" si="47"/>
        <v>155.25</v>
      </c>
      <c r="V695" s="28" t="s">
        <v>222</v>
      </c>
      <c r="W695" s="31">
        <v>2020</v>
      </c>
      <c r="X695" s="28">
        <v>1</v>
      </c>
      <c r="Y695" s="28">
        <v>0</v>
      </c>
      <c r="Z695" s="196">
        <v>-1.755E-3</v>
      </c>
      <c r="AA695" s="196">
        <v>-2.7E-2</v>
      </c>
      <c r="AB695" s="28">
        <v>0</v>
      </c>
      <c r="AC695" s="28">
        <v>0</v>
      </c>
      <c r="AD695" s="31" t="s">
        <v>443</v>
      </c>
      <c r="AE695" t="s">
        <v>353</v>
      </c>
    </row>
    <row r="696" spans="2:31" ht="14.25" customHeight="1" x14ac:dyDescent="0.2">
      <c r="B696" s="7">
        <f t="shared" si="48"/>
        <v>672</v>
      </c>
      <c r="C696" s="28">
        <v>5</v>
      </c>
      <c r="D696" s="28">
        <v>2</v>
      </c>
      <c r="E696" s="31">
        <v>7</v>
      </c>
      <c r="F696" s="78">
        <v>2022</v>
      </c>
      <c r="G696" s="28">
        <v>2032</v>
      </c>
      <c r="H696" s="28">
        <v>1</v>
      </c>
      <c r="I696" s="28">
        <v>0</v>
      </c>
      <c r="J696" s="28">
        <v>0</v>
      </c>
      <c r="K696" s="28">
        <v>0</v>
      </c>
      <c r="L696" s="28">
        <v>0</v>
      </c>
      <c r="M696" s="75">
        <v>3.3</v>
      </c>
      <c r="N696" s="151">
        <v>1550</v>
      </c>
      <c r="O696" s="151">
        <v>1035</v>
      </c>
      <c r="P696" s="95">
        <f t="array" ref="P696">ROUND(IF($F696&lt;='TaxCred&amp;Subs'!$C$49,(IF($C696=2,IF($M696&gt;=IFERROR(INDEX('TaxCred&amp;Subs'!$L$12:$L$47,MATCH(1,($C696&amp;$D696='TaxCred&amp;Subs'!$E$12:$E$47)*($F696='TaxCred&amp;Subs'!$C$12:$C$47),0)
),9999),IFERROR(INDEX('TaxCred&amp;Subs'!$N$12:$N$47,MATCH(1,($C696&amp;$D696='TaxCred&amp;Subs'!$E$12:$E$47)*($F696='TaxCred&amp;Subs'!$C$12:$C$47),0)
),0),0),(IF($M696&gt;=IFERROR(INDEX('TaxCred&amp;Subs'!$H$12:$H$47,MATCH(1,($C696&amp;$D696='TaxCred&amp;Subs'!$D$12:$D$47)*($F696='TaxCred&amp;Subs'!$C$12:$C$47),0)
),9999),IFERROR(INDEX('TaxCred&amp;Subs'!$N$12:$N$47,MATCH(1,($C696&amp;$D696='TaxCred&amp;Subs'!$D$12:$D$47)*($F696='TaxCred&amp;Subs'!$C$12:$C$47),0)
),0),0)))),0)+IF(AND($C696=2,VALUE(RIGHT($AD696,1))&gt;2),(N696-R696)*(IFERROR(INDEX('TaxCred&amp;Subs'!$J$66:$J$99,MATCH(1,($C696&amp;$D696='TaxCred&amp;Subs'!$E$66:$E$99)*($F696='TaxCred&amp;Subs'!$C$66:$C$99),0)),0)),IF(AND($C696=1,VALUE(RIGHT($AD696,1))&gt;2),(N696-R696)*(IFERROR(INDEX('TaxCred&amp;Subs'!$J$66:$J$99,MATCH(1,($C696&amp;$D696='TaxCred&amp;Subs'!$D$66:$D$99)*($F696='TaxCred&amp;Subs'!$C$66:$C$99),0)),0)),IF($C696&gt;2,(N696-R696)*(IFERROR(INDEX('TaxCred&amp;Subs'!$J$66:$J$99,MATCH(1,($C696&amp;$D696='TaxCred&amp;Subs'!$D$66:$D$99)*($F696='TaxCred&amp;Subs'!$C$66:$C$99),0)),0)),0))),0)</f>
        <v>600</v>
      </c>
      <c r="Q696" s="95">
        <f t="array" ref="Q696">ROUND(IF(AND($C696=2,VALUE(RIGHT($AD696,1))&gt;2),(O696-S696)*(IFERROR(INDEX('TaxCred&amp;Subs'!$J$66:$J$99,MATCH(1,($C696&amp;$D696='TaxCred&amp;Subs'!$E$66:$E$99)*($F696='TaxCred&amp;Subs'!$C$66:$C$99),0)),0)),IF(AND($C696=1,VALUE(RIGHT($AD696,1))&gt;2),(O696-S696)*(IFERROR(INDEX('TaxCred&amp;Subs'!$J$66:$J$99,MATCH(1,($C696&amp;$D696='TaxCred&amp;Subs'!$D$66:$D$99)*($F696='TaxCred&amp;Subs'!$C$66:$C$99),0)),0)),IF($C696&gt;2,(O696-S696)*(IFERROR(INDEX('TaxCred&amp;Subs'!$J$66:$J$99,MATCH(1,($C696&amp;$D696='TaxCred&amp;Subs'!$D$66:$D$99)*($F696='TaxCred&amp;Subs'!$C$66:$C$99),0)),0)),0))),0)</f>
        <v>0</v>
      </c>
      <c r="R696" s="95">
        <f t="array" ref="R696">ROUND(IF(IFERROR(VALUE(RIGHT($AD696,1)),0)&gt;2,IF($C696=8,N696*IFERROR(INDEX('TaxCred&amp;Subs'!$K$139:$S$151,MATCH($C696&amp;$D696&amp;LEFT($AD696,7),'TaxCred&amp;Subs'!$E$139:$E$151,0),MATCH($H696,'TaxCred&amp;Subs'!$K$137:$S$137,0)),0),IF($C696=2,N696*IFERROR(INDEX('TaxCred&amp;Subs'!$K$139:$S$151,MATCH($C696&amp;$D696,'TaxCred&amp;Subs'!$D$139:$D$151,0),MATCH($H696,'TaxCred&amp;Subs'!$K$137:$S$137,0)),0),N696*IFERROR(INDEX('TaxCred&amp;Subs'!$K$139:$S$151,MATCH($C696&amp;$D696,'TaxCred&amp;Subs'!$C$139:$C$151,0),MATCH($H696,'TaxCred&amp;Subs'!$K$137:$S$137,0)),0))),0),0)</f>
        <v>404</v>
      </c>
      <c r="S696" s="95">
        <f t="array" ref="S696">ROUND(IF(IFERROR(VALUE(RIGHT($AD696,1)),0)&gt;2,IF($C696=8,O696*IFERROR(INDEX('TaxCred&amp;Subs'!$K$139:$S$151,MATCH($C696&amp;$D696&amp;LEFT($AD696,7),'TaxCred&amp;Subs'!$E$139:$E$151,0),MATCH($H696,'TaxCred&amp;Subs'!$K$137:$S$137,0)),0),IF($C696=2,O696*IFERROR(INDEX('TaxCred&amp;Subs'!$K$139:$S$151,MATCH($C696&amp;$D696,'TaxCred&amp;Subs'!$D$139:$D$151,0),MATCH($H696,'TaxCred&amp;Subs'!$K$137:$S$137,0)),0),O696*IFERROR(INDEX('TaxCred&amp;Subs'!$K$139:$S$151,MATCH($C696&amp;$D696,'TaxCred&amp;Subs'!$C$139:$C$151,0),MATCH($H696,'TaxCred&amp;Subs'!$K$137:$S$137,0)),0))),0),0)</f>
        <v>270</v>
      </c>
      <c r="T696" s="95">
        <f t="shared" si="46"/>
        <v>0</v>
      </c>
      <c r="U696" s="95">
        <f t="shared" si="47"/>
        <v>0</v>
      </c>
      <c r="V696" s="28" t="s">
        <v>222</v>
      </c>
      <c r="W696" s="31">
        <v>2020</v>
      </c>
      <c r="X696" s="28">
        <v>1</v>
      </c>
      <c r="Y696" s="28">
        <v>0</v>
      </c>
      <c r="Z696" s="196">
        <v>-1.755E-3</v>
      </c>
      <c r="AA696" s="196">
        <v>-2.7E-2</v>
      </c>
      <c r="AB696" s="28">
        <v>0</v>
      </c>
      <c r="AC696" s="28">
        <v>0</v>
      </c>
      <c r="AD696" s="31" t="s">
        <v>443</v>
      </c>
      <c r="AE696" t="s">
        <v>353</v>
      </c>
    </row>
    <row r="697" spans="2:31" ht="14.25" customHeight="1" x14ac:dyDescent="0.2">
      <c r="B697" s="7">
        <f t="shared" si="48"/>
        <v>673</v>
      </c>
      <c r="C697" s="28">
        <v>5</v>
      </c>
      <c r="D697" s="28">
        <v>2</v>
      </c>
      <c r="E697" s="31">
        <v>7</v>
      </c>
      <c r="F697" s="78">
        <v>2022</v>
      </c>
      <c r="G697" s="28">
        <v>2032</v>
      </c>
      <c r="H697" s="28">
        <v>2</v>
      </c>
      <c r="I697" s="28">
        <v>0</v>
      </c>
      <c r="J697" s="28">
        <v>0</v>
      </c>
      <c r="K697" s="28">
        <v>0</v>
      </c>
      <c r="L697" s="28">
        <v>0</v>
      </c>
      <c r="M697" s="75">
        <v>3.3</v>
      </c>
      <c r="N697" s="151">
        <v>1550</v>
      </c>
      <c r="O697" s="151">
        <v>1035</v>
      </c>
      <c r="P697" s="95">
        <f t="array" ref="P697">ROUND(IF($F697&lt;='TaxCred&amp;Subs'!$C$49,(IF($C697=2,IF($M697&gt;=IFERROR(INDEX('TaxCred&amp;Subs'!$L$12:$L$47,MATCH(1,($C697&amp;$D697='TaxCred&amp;Subs'!$E$12:$E$47)*($F697='TaxCred&amp;Subs'!$C$12:$C$47),0)
),9999),IFERROR(INDEX('TaxCred&amp;Subs'!$N$12:$N$47,MATCH(1,($C697&amp;$D697='TaxCred&amp;Subs'!$E$12:$E$47)*($F697='TaxCred&amp;Subs'!$C$12:$C$47),0)
),0),0),(IF($M697&gt;=IFERROR(INDEX('TaxCred&amp;Subs'!$H$12:$H$47,MATCH(1,($C697&amp;$D697='TaxCred&amp;Subs'!$D$12:$D$47)*($F697='TaxCred&amp;Subs'!$C$12:$C$47),0)
),9999),IFERROR(INDEX('TaxCred&amp;Subs'!$N$12:$N$47,MATCH(1,($C697&amp;$D697='TaxCred&amp;Subs'!$D$12:$D$47)*($F697='TaxCred&amp;Subs'!$C$12:$C$47),0)
),0),0)))),0)+IF(AND($C697=2,VALUE(RIGHT($AD697,1))&gt;2),(N697-R697)*(IFERROR(INDEX('TaxCred&amp;Subs'!$J$66:$J$99,MATCH(1,($C697&amp;$D697='TaxCred&amp;Subs'!$E$66:$E$99)*($F697='TaxCred&amp;Subs'!$C$66:$C$99),0)),0)),IF(AND($C697=1,VALUE(RIGHT($AD697,1))&gt;2),(N697-R697)*(IFERROR(INDEX('TaxCred&amp;Subs'!$J$66:$J$99,MATCH(1,($C697&amp;$D697='TaxCred&amp;Subs'!$D$66:$D$99)*($F697='TaxCred&amp;Subs'!$C$66:$C$99),0)),0)),IF($C697&gt;2,(N697-R697)*(IFERROR(INDEX('TaxCred&amp;Subs'!$J$66:$J$99,MATCH(1,($C697&amp;$D697='TaxCred&amp;Subs'!$D$66:$D$99)*($F697='TaxCred&amp;Subs'!$C$66:$C$99),0)),0)),0))),0)</f>
        <v>600</v>
      </c>
      <c r="Q697" s="95">
        <f t="array" ref="Q697">ROUND(IF(AND($C697=2,VALUE(RIGHT($AD697,1))&gt;2),(O697-S697)*(IFERROR(INDEX('TaxCred&amp;Subs'!$J$66:$J$99,MATCH(1,($C697&amp;$D697='TaxCred&amp;Subs'!$E$66:$E$99)*($F697='TaxCred&amp;Subs'!$C$66:$C$99),0)),0)),IF(AND($C697=1,VALUE(RIGHT($AD697,1))&gt;2),(O697-S697)*(IFERROR(INDEX('TaxCred&amp;Subs'!$J$66:$J$99,MATCH(1,($C697&amp;$D697='TaxCred&amp;Subs'!$D$66:$D$99)*($F697='TaxCred&amp;Subs'!$C$66:$C$99),0)),0)),IF($C697&gt;2,(O697-S697)*(IFERROR(INDEX('TaxCred&amp;Subs'!$J$66:$J$99,MATCH(1,($C697&amp;$D697='TaxCred&amp;Subs'!$D$66:$D$99)*($F697='TaxCred&amp;Subs'!$C$66:$C$99),0)),0)),0))),0)</f>
        <v>0</v>
      </c>
      <c r="R697" s="95">
        <f t="array" ref="R697">ROUND(IF(IFERROR(VALUE(RIGHT($AD697,1)),0)&gt;2,IF($C697=8,N697*IFERROR(INDEX('TaxCred&amp;Subs'!$K$139:$S$151,MATCH($C697&amp;$D697&amp;LEFT($AD697,7),'TaxCred&amp;Subs'!$E$139:$E$151,0),MATCH($H697,'TaxCred&amp;Subs'!$K$137:$S$137,0)),0),IF($C697=2,N697*IFERROR(INDEX('TaxCred&amp;Subs'!$K$139:$S$151,MATCH($C697&amp;$D697,'TaxCred&amp;Subs'!$D$139:$D$151,0),MATCH($H697,'TaxCred&amp;Subs'!$K$137:$S$137,0)),0),N697*IFERROR(INDEX('TaxCred&amp;Subs'!$K$139:$S$151,MATCH($C697&amp;$D697,'TaxCred&amp;Subs'!$C$139:$C$151,0),MATCH($H697,'TaxCred&amp;Subs'!$K$137:$S$137,0)),0))),0),0)</f>
        <v>397</v>
      </c>
      <c r="S697" s="95">
        <f t="array" ref="S697">ROUND(IF(IFERROR(VALUE(RIGHT($AD697,1)),0)&gt;2,IF($C697=8,O697*IFERROR(INDEX('TaxCred&amp;Subs'!$K$139:$S$151,MATCH($C697&amp;$D697&amp;LEFT($AD697,7),'TaxCred&amp;Subs'!$E$139:$E$151,0),MATCH($H697,'TaxCred&amp;Subs'!$K$137:$S$137,0)),0),IF($C697=2,O697*IFERROR(INDEX('TaxCred&amp;Subs'!$K$139:$S$151,MATCH($C697&amp;$D697,'TaxCred&amp;Subs'!$D$139:$D$151,0),MATCH($H697,'TaxCred&amp;Subs'!$K$137:$S$137,0)),0),O697*IFERROR(INDEX('TaxCred&amp;Subs'!$K$139:$S$151,MATCH($C697&amp;$D697,'TaxCred&amp;Subs'!$C$139:$C$151,0),MATCH($H697,'TaxCred&amp;Subs'!$K$137:$S$137,0)),0))),0),0)</f>
        <v>265</v>
      </c>
      <c r="T697" s="95">
        <f t="shared" si="46"/>
        <v>0</v>
      </c>
      <c r="U697" s="95">
        <f t="shared" si="47"/>
        <v>0</v>
      </c>
      <c r="V697" s="28" t="s">
        <v>222</v>
      </c>
      <c r="W697" s="31">
        <v>2020</v>
      </c>
      <c r="X697" s="28">
        <v>1</v>
      </c>
      <c r="Y697" s="28">
        <v>0</v>
      </c>
      <c r="Z697" s="196">
        <v>-1.755E-3</v>
      </c>
      <c r="AA697" s="196">
        <v>-2.7E-2</v>
      </c>
      <c r="AB697" s="28">
        <v>0</v>
      </c>
      <c r="AC697" s="28">
        <v>0</v>
      </c>
      <c r="AD697" s="31" t="s">
        <v>443</v>
      </c>
      <c r="AE697" t="s">
        <v>353</v>
      </c>
    </row>
    <row r="698" spans="2:31" ht="14.25" customHeight="1" x14ac:dyDescent="0.2">
      <c r="B698" s="7">
        <f t="shared" si="48"/>
        <v>674</v>
      </c>
      <c r="C698" s="28">
        <v>5</v>
      </c>
      <c r="D698" s="28">
        <v>2</v>
      </c>
      <c r="E698" s="31">
        <v>7</v>
      </c>
      <c r="F698" s="78">
        <v>2022</v>
      </c>
      <c r="G698" s="28">
        <v>2032</v>
      </c>
      <c r="H698" s="28">
        <v>3</v>
      </c>
      <c r="I698" s="28">
        <v>0</v>
      </c>
      <c r="J698" s="28">
        <v>0</v>
      </c>
      <c r="K698" s="28">
        <v>0</v>
      </c>
      <c r="L698" s="28">
        <v>0</v>
      </c>
      <c r="M698" s="75">
        <v>3.3</v>
      </c>
      <c r="N698" s="151">
        <v>1550</v>
      </c>
      <c r="O698" s="151">
        <v>1035</v>
      </c>
      <c r="P698" s="95">
        <f t="array" ref="P698">ROUND(IF($F698&lt;='TaxCred&amp;Subs'!$C$49,(IF($C698=2,IF($M698&gt;=IFERROR(INDEX('TaxCred&amp;Subs'!$L$12:$L$47,MATCH(1,($C698&amp;$D698='TaxCred&amp;Subs'!$E$12:$E$47)*($F698='TaxCred&amp;Subs'!$C$12:$C$47),0)
),9999),IFERROR(INDEX('TaxCred&amp;Subs'!$N$12:$N$47,MATCH(1,($C698&amp;$D698='TaxCred&amp;Subs'!$E$12:$E$47)*($F698='TaxCred&amp;Subs'!$C$12:$C$47),0)
),0),0),(IF($M698&gt;=IFERROR(INDEX('TaxCred&amp;Subs'!$H$12:$H$47,MATCH(1,($C698&amp;$D698='TaxCred&amp;Subs'!$D$12:$D$47)*($F698='TaxCred&amp;Subs'!$C$12:$C$47),0)
),9999),IFERROR(INDEX('TaxCred&amp;Subs'!$N$12:$N$47,MATCH(1,($C698&amp;$D698='TaxCred&amp;Subs'!$D$12:$D$47)*($F698='TaxCred&amp;Subs'!$C$12:$C$47),0)
),0),0)))),0)+IF(AND($C698=2,VALUE(RIGHT($AD698,1))&gt;2),(N698-R698)*(IFERROR(INDEX('TaxCred&amp;Subs'!$J$66:$J$99,MATCH(1,($C698&amp;$D698='TaxCred&amp;Subs'!$E$66:$E$99)*($F698='TaxCred&amp;Subs'!$C$66:$C$99),0)),0)),IF(AND($C698=1,VALUE(RIGHT($AD698,1))&gt;2),(N698-R698)*(IFERROR(INDEX('TaxCred&amp;Subs'!$J$66:$J$99,MATCH(1,($C698&amp;$D698='TaxCred&amp;Subs'!$D$66:$D$99)*($F698='TaxCred&amp;Subs'!$C$66:$C$99),0)),0)),IF($C698&gt;2,(N698-R698)*(IFERROR(INDEX('TaxCred&amp;Subs'!$J$66:$J$99,MATCH(1,($C698&amp;$D698='TaxCred&amp;Subs'!$D$66:$D$99)*($F698='TaxCred&amp;Subs'!$C$66:$C$99),0)),0)),0))),0)</f>
        <v>600</v>
      </c>
      <c r="Q698" s="95">
        <f t="array" ref="Q698">ROUND(IF(AND($C698=2,VALUE(RIGHT($AD698,1))&gt;2),(O698-S698)*(IFERROR(INDEX('TaxCred&amp;Subs'!$J$66:$J$99,MATCH(1,($C698&amp;$D698='TaxCred&amp;Subs'!$E$66:$E$99)*($F698='TaxCred&amp;Subs'!$C$66:$C$99),0)),0)),IF(AND($C698=1,VALUE(RIGHT($AD698,1))&gt;2),(O698-S698)*(IFERROR(INDEX('TaxCred&amp;Subs'!$J$66:$J$99,MATCH(1,($C698&amp;$D698='TaxCred&amp;Subs'!$D$66:$D$99)*($F698='TaxCred&amp;Subs'!$C$66:$C$99),0)),0)),IF($C698&gt;2,(O698-S698)*(IFERROR(INDEX('TaxCred&amp;Subs'!$J$66:$J$99,MATCH(1,($C698&amp;$D698='TaxCred&amp;Subs'!$D$66:$D$99)*($F698='TaxCred&amp;Subs'!$C$66:$C$99),0)),0)),0))),0)</f>
        <v>0</v>
      </c>
      <c r="R698" s="95">
        <f t="array" ref="R698">ROUND(IF(IFERROR(VALUE(RIGHT($AD698,1)),0)&gt;2,IF($C698=8,N698*IFERROR(INDEX('TaxCred&amp;Subs'!$K$139:$S$151,MATCH($C698&amp;$D698&amp;LEFT($AD698,7),'TaxCred&amp;Subs'!$E$139:$E$151,0),MATCH($H698,'TaxCred&amp;Subs'!$K$137:$S$137,0)),0),IF($C698=2,N698*IFERROR(INDEX('TaxCred&amp;Subs'!$K$139:$S$151,MATCH($C698&amp;$D698,'TaxCred&amp;Subs'!$D$139:$D$151,0),MATCH($H698,'TaxCred&amp;Subs'!$K$137:$S$137,0)),0),N698*IFERROR(INDEX('TaxCred&amp;Subs'!$K$139:$S$151,MATCH($C698&amp;$D698,'TaxCred&amp;Subs'!$C$139:$C$151,0),MATCH($H698,'TaxCred&amp;Subs'!$K$137:$S$137,0)),0))),0),0)</f>
        <v>231</v>
      </c>
      <c r="S698" s="95">
        <f t="array" ref="S698">ROUND(IF(IFERROR(VALUE(RIGHT($AD698,1)),0)&gt;2,IF($C698=8,O698*IFERROR(INDEX('TaxCred&amp;Subs'!$K$139:$S$151,MATCH($C698&amp;$D698&amp;LEFT($AD698,7),'TaxCred&amp;Subs'!$E$139:$E$151,0),MATCH($H698,'TaxCred&amp;Subs'!$K$137:$S$137,0)),0),IF($C698=2,O698*IFERROR(INDEX('TaxCred&amp;Subs'!$K$139:$S$151,MATCH($C698&amp;$D698,'TaxCred&amp;Subs'!$D$139:$D$151,0),MATCH($H698,'TaxCred&amp;Subs'!$K$137:$S$137,0)),0),O698*IFERROR(INDEX('TaxCred&amp;Subs'!$K$139:$S$151,MATCH($C698&amp;$D698,'TaxCred&amp;Subs'!$C$139:$C$151,0),MATCH($H698,'TaxCred&amp;Subs'!$K$137:$S$137,0)),0))),0),0)</f>
        <v>155</v>
      </c>
      <c r="T698" s="95">
        <f t="shared" si="46"/>
        <v>0</v>
      </c>
      <c r="U698" s="95">
        <f t="shared" si="47"/>
        <v>0</v>
      </c>
      <c r="V698" s="28" t="s">
        <v>222</v>
      </c>
      <c r="W698" s="31">
        <v>2020</v>
      </c>
      <c r="X698" s="28">
        <v>1</v>
      </c>
      <c r="Y698" s="28">
        <v>0</v>
      </c>
      <c r="Z698" s="196">
        <v>-1.755E-3</v>
      </c>
      <c r="AA698" s="196">
        <v>-2.7E-2</v>
      </c>
      <c r="AB698" s="28">
        <v>0</v>
      </c>
      <c r="AC698" s="28">
        <v>0</v>
      </c>
      <c r="AD698" s="31" t="s">
        <v>443</v>
      </c>
      <c r="AE698" t="s">
        <v>353</v>
      </c>
    </row>
    <row r="699" spans="2:31" ht="14.25" customHeight="1" x14ac:dyDescent="0.2">
      <c r="B699" s="7">
        <f t="shared" si="48"/>
        <v>675</v>
      </c>
      <c r="C699" s="28">
        <v>5</v>
      </c>
      <c r="D699" s="28">
        <v>2</v>
      </c>
      <c r="E699" s="31">
        <v>7</v>
      </c>
      <c r="F699" s="78">
        <v>2022</v>
      </c>
      <c r="G699" s="28">
        <v>2032</v>
      </c>
      <c r="H699" s="28">
        <v>4</v>
      </c>
      <c r="I699" s="28">
        <v>0</v>
      </c>
      <c r="J699" s="28">
        <v>0</v>
      </c>
      <c r="K699" s="28">
        <v>0</v>
      </c>
      <c r="L699" s="28">
        <v>0</v>
      </c>
      <c r="M699" s="75">
        <v>3.3</v>
      </c>
      <c r="N699" s="151">
        <v>1550</v>
      </c>
      <c r="O699" s="151">
        <v>1035</v>
      </c>
      <c r="P699" s="95">
        <f t="array" ref="P699">ROUND(IF($F699&lt;='TaxCred&amp;Subs'!$C$49,(IF($C699=2,IF($M699&gt;=IFERROR(INDEX('TaxCred&amp;Subs'!$L$12:$L$47,MATCH(1,($C699&amp;$D699='TaxCred&amp;Subs'!$E$12:$E$47)*($F699='TaxCred&amp;Subs'!$C$12:$C$47),0)
),9999),IFERROR(INDEX('TaxCred&amp;Subs'!$N$12:$N$47,MATCH(1,($C699&amp;$D699='TaxCred&amp;Subs'!$E$12:$E$47)*($F699='TaxCred&amp;Subs'!$C$12:$C$47),0)
),0),0),(IF($M699&gt;=IFERROR(INDEX('TaxCred&amp;Subs'!$H$12:$H$47,MATCH(1,($C699&amp;$D699='TaxCred&amp;Subs'!$D$12:$D$47)*($F699='TaxCred&amp;Subs'!$C$12:$C$47),0)
),9999),IFERROR(INDEX('TaxCred&amp;Subs'!$N$12:$N$47,MATCH(1,($C699&amp;$D699='TaxCred&amp;Subs'!$D$12:$D$47)*($F699='TaxCred&amp;Subs'!$C$12:$C$47),0)
),0),0)))),0)+IF(AND($C699=2,VALUE(RIGHT($AD699,1))&gt;2),(N699-R699)*(IFERROR(INDEX('TaxCred&amp;Subs'!$J$66:$J$99,MATCH(1,($C699&amp;$D699='TaxCred&amp;Subs'!$E$66:$E$99)*($F699='TaxCred&amp;Subs'!$C$66:$C$99),0)),0)),IF(AND($C699=1,VALUE(RIGHT($AD699,1))&gt;2),(N699-R699)*(IFERROR(INDEX('TaxCred&amp;Subs'!$J$66:$J$99,MATCH(1,($C699&amp;$D699='TaxCred&amp;Subs'!$D$66:$D$99)*($F699='TaxCred&amp;Subs'!$C$66:$C$99),0)),0)),IF($C699&gt;2,(N699-R699)*(IFERROR(INDEX('TaxCred&amp;Subs'!$J$66:$J$99,MATCH(1,($C699&amp;$D699='TaxCred&amp;Subs'!$D$66:$D$99)*($F699='TaxCred&amp;Subs'!$C$66:$C$99),0)),0)),0))),0)</f>
        <v>600</v>
      </c>
      <c r="Q699" s="95">
        <f t="array" ref="Q699">ROUND(IF(AND($C699=2,VALUE(RIGHT($AD699,1))&gt;2),(O699-S699)*(IFERROR(INDEX('TaxCred&amp;Subs'!$J$66:$J$99,MATCH(1,($C699&amp;$D699='TaxCred&amp;Subs'!$E$66:$E$99)*($F699='TaxCred&amp;Subs'!$C$66:$C$99),0)),0)),IF(AND($C699=1,VALUE(RIGHT($AD699,1))&gt;2),(O699-S699)*(IFERROR(INDEX('TaxCred&amp;Subs'!$J$66:$J$99,MATCH(1,($C699&amp;$D699='TaxCred&amp;Subs'!$D$66:$D$99)*($F699='TaxCred&amp;Subs'!$C$66:$C$99),0)),0)),IF($C699&gt;2,(O699-S699)*(IFERROR(INDEX('TaxCred&amp;Subs'!$J$66:$J$99,MATCH(1,($C699&amp;$D699='TaxCred&amp;Subs'!$D$66:$D$99)*($F699='TaxCred&amp;Subs'!$C$66:$C$99),0)),0)),0))),0)</f>
        <v>0</v>
      </c>
      <c r="R699" s="95">
        <f t="array" ref="R699">ROUND(IF(IFERROR(VALUE(RIGHT($AD699,1)),0)&gt;2,IF($C699=8,N699*IFERROR(INDEX('TaxCred&amp;Subs'!$K$139:$S$151,MATCH($C699&amp;$D699&amp;LEFT($AD699,7),'TaxCred&amp;Subs'!$E$139:$E$151,0),MATCH($H699,'TaxCred&amp;Subs'!$K$137:$S$137,0)),0),IF($C699=2,N699*IFERROR(INDEX('TaxCred&amp;Subs'!$K$139:$S$151,MATCH($C699&amp;$D699,'TaxCred&amp;Subs'!$D$139:$D$151,0),MATCH($H699,'TaxCred&amp;Subs'!$K$137:$S$137,0)),0),N699*IFERROR(INDEX('TaxCred&amp;Subs'!$K$139:$S$151,MATCH($C699&amp;$D699,'TaxCred&amp;Subs'!$C$139:$C$151,0),MATCH($H699,'TaxCred&amp;Subs'!$K$137:$S$137,0)),0))),0),0)</f>
        <v>182</v>
      </c>
      <c r="S699" s="95">
        <f t="array" ref="S699">ROUND(IF(IFERROR(VALUE(RIGHT($AD699,1)),0)&gt;2,IF($C699=8,O699*IFERROR(INDEX('TaxCred&amp;Subs'!$K$139:$S$151,MATCH($C699&amp;$D699&amp;LEFT($AD699,7),'TaxCred&amp;Subs'!$E$139:$E$151,0),MATCH($H699,'TaxCred&amp;Subs'!$K$137:$S$137,0)),0),IF($C699=2,O699*IFERROR(INDEX('TaxCred&amp;Subs'!$K$139:$S$151,MATCH($C699&amp;$D699,'TaxCred&amp;Subs'!$D$139:$D$151,0),MATCH($H699,'TaxCred&amp;Subs'!$K$137:$S$137,0)),0),O699*IFERROR(INDEX('TaxCred&amp;Subs'!$K$139:$S$151,MATCH($C699&amp;$D699,'TaxCred&amp;Subs'!$C$139:$C$151,0),MATCH($H699,'TaxCred&amp;Subs'!$K$137:$S$137,0)),0))),0),0)</f>
        <v>121</v>
      </c>
      <c r="T699" s="95">
        <f t="shared" si="46"/>
        <v>0</v>
      </c>
      <c r="U699" s="95">
        <f t="shared" si="47"/>
        <v>0</v>
      </c>
      <c r="V699" s="28" t="s">
        <v>222</v>
      </c>
      <c r="W699" s="31">
        <v>2020</v>
      </c>
      <c r="X699" s="28">
        <v>1</v>
      </c>
      <c r="Y699" s="28">
        <v>0</v>
      </c>
      <c r="Z699" s="196">
        <v>-1.755E-3</v>
      </c>
      <c r="AA699" s="196">
        <v>-2.7E-2</v>
      </c>
      <c r="AB699" s="28">
        <v>0</v>
      </c>
      <c r="AC699" s="28">
        <v>0</v>
      </c>
      <c r="AD699" s="31" t="s">
        <v>443</v>
      </c>
      <c r="AE699" t="s">
        <v>353</v>
      </c>
    </row>
    <row r="700" spans="2:31" ht="14.25" customHeight="1" x14ac:dyDescent="0.2">
      <c r="B700" s="7">
        <f t="shared" si="48"/>
        <v>676</v>
      </c>
      <c r="C700" s="28">
        <v>5</v>
      </c>
      <c r="D700" s="28">
        <v>2</v>
      </c>
      <c r="E700" s="31">
        <v>7</v>
      </c>
      <c r="F700" s="78">
        <v>2022</v>
      </c>
      <c r="G700" s="28">
        <v>2032</v>
      </c>
      <c r="H700" s="28">
        <v>5</v>
      </c>
      <c r="I700" s="28">
        <v>0</v>
      </c>
      <c r="J700" s="28">
        <v>0</v>
      </c>
      <c r="K700" s="28">
        <v>0</v>
      </c>
      <c r="L700" s="28">
        <v>0</v>
      </c>
      <c r="M700" s="75">
        <v>3.3</v>
      </c>
      <c r="N700" s="151">
        <v>1550</v>
      </c>
      <c r="O700" s="151">
        <v>1035</v>
      </c>
      <c r="P700" s="95">
        <f t="array" ref="P700">ROUND(IF($F700&lt;='TaxCred&amp;Subs'!$C$49,(IF($C700=2,IF($M700&gt;=IFERROR(INDEX('TaxCred&amp;Subs'!$L$12:$L$47,MATCH(1,($C700&amp;$D700='TaxCred&amp;Subs'!$E$12:$E$47)*($F700='TaxCred&amp;Subs'!$C$12:$C$47),0)
),9999),IFERROR(INDEX('TaxCred&amp;Subs'!$N$12:$N$47,MATCH(1,($C700&amp;$D700='TaxCred&amp;Subs'!$E$12:$E$47)*($F700='TaxCred&amp;Subs'!$C$12:$C$47),0)
),0),0),(IF($M700&gt;=IFERROR(INDEX('TaxCred&amp;Subs'!$H$12:$H$47,MATCH(1,($C700&amp;$D700='TaxCred&amp;Subs'!$D$12:$D$47)*($F700='TaxCred&amp;Subs'!$C$12:$C$47),0)
),9999),IFERROR(INDEX('TaxCred&amp;Subs'!$N$12:$N$47,MATCH(1,($C700&amp;$D700='TaxCred&amp;Subs'!$D$12:$D$47)*($F700='TaxCred&amp;Subs'!$C$12:$C$47),0)
),0),0)))),0)+IF(AND($C700=2,VALUE(RIGHT($AD700,1))&gt;2),(N700-R700)*(IFERROR(INDEX('TaxCred&amp;Subs'!$J$66:$J$99,MATCH(1,($C700&amp;$D700='TaxCred&amp;Subs'!$E$66:$E$99)*($F700='TaxCred&amp;Subs'!$C$66:$C$99),0)),0)),IF(AND($C700=1,VALUE(RIGHT($AD700,1))&gt;2),(N700-R700)*(IFERROR(INDEX('TaxCred&amp;Subs'!$J$66:$J$99,MATCH(1,($C700&amp;$D700='TaxCred&amp;Subs'!$D$66:$D$99)*($F700='TaxCred&amp;Subs'!$C$66:$C$99),0)),0)),IF($C700&gt;2,(N700-R700)*(IFERROR(INDEX('TaxCred&amp;Subs'!$J$66:$J$99,MATCH(1,($C700&amp;$D700='TaxCred&amp;Subs'!$D$66:$D$99)*($F700='TaxCred&amp;Subs'!$C$66:$C$99),0)),0)),0))),0)</f>
        <v>600</v>
      </c>
      <c r="Q700" s="95">
        <f t="array" ref="Q700">ROUND(IF(AND($C700=2,VALUE(RIGHT($AD700,1))&gt;2),(O700-S700)*(IFERROR(INDEX('TaxCred&amp;Subs'!$J$66:$J$99,MATCH(1,($C700&amp;$D700='TaxCred&amp;Subs'!$E$66:$E$99)*($F700='TaxCred&amp;Subs'!$C$66:$C$99),0)),0)),IF(AND($C700=1,VALUE(RIGHT($AD700,1))&gt;2),(O700-S700)*(IFERROR(INDEX('TaxCred&amp;Subs'!$J$66:$J$99,MATCH(1,($C700&amp;$D700='TaxCred&amp;Subs'!$D$66:$D$99)*($F700='TaxCred&amp;Subs'!$C$66:$C$99),0)),0)),IF($C700&gt;2,(O700-S700)*(IFERROR(INDEX('TaxCred&amp;Subs'!$J$66:$J$99,MATCH(1,($C700&amp;$D700='TaxCred&amp;Subs'!$D$66:$D$99)*($F700='TaxCred&amp;Subs'!$C$66:$C$99),0)),0)),0))),0)</f>
        <v>0</v>
      </c>
      <c r="R700" s="95">
        <f t="array" ref="R700">ROUND(IF(IFERROR(VALUE(RIGHT($AD700,1)),0)&gt;2,IF($C700=8,N700*IFERROR(INDEX('TaxCred&amp;Subs'!$K$139:$S$151,MATCH($C700&amp;$D700&amp;LEFT($AD700,7),'TaxCred&amp;Subs'!$E$139:$E$151,0),MATCH($H700,'TaxCred&amp;Subs'!$K$137:$S$137,0)),0),IF($C700=2,N700*IFERROR(INDEX('TaxCred&amp;Subs'!$K$139:$S$151,MATCH($C700&amp;$D700,'TaxCred&amp;Subs'!$D$139:$D$151,0),MATCH($H700,'TaxCred&amp;Subs'!$K$137:$S$137,0)),0),N700*IFERROR(INDEX('TaxCred&amp;Subs'!$K$139:$S$151,MATCH($C700&amp;$D700,'TaxCred&amp;Subs'!$C$139:$C$151,0),MATCH($H700,'TaxCred&amp;Subs'!$K$137:$S$137,0)),0))),0),0)</f>
        <v>205</v>
      </c>
      <c r="S700" s="95">
        <f t="array" ref="S700">ROUND(IF(IFERROR(VALUE(RIGHT($AD700,1)),0)&gt;2,IF($C700=8,O700*IFERROR(INDEX('TaxCred&amp;Subs'!$K$139:$S$151,MATCH($C700&amp;$D700&amp;LEFT($AD700,7),'TaxCred&amp;Subs'!$E$139:$E$151,0),MATCH($H700,'TaxCred&amp;Subs'!$K$137:$S$137,0)),0),IF($C700=2,O700*IFERROR(INDEX('TaxCred&amp;Subs'!$K$139:$S$151,MATCH($C700&amp;$D700,'TaxCred&amp;Subs'!$D$139:$D$151,0),MATCH($H700,'TaxCred&amp;Subs'!$K$137:$S$137,0)),0),O700*IFERROR(INDEX('TaxCred&amp;Subs'!$K$139:$S$151,MATCH($C700&amp;$D700,'TaxCred&amp;Subs'!$C$139:$C$151,0),MATCH($H700,'TaxCred&amp;Subs'!$K$137:$S$137,0)),0))),0),0)</f>
        <v>137</v>
      </c>
      <c r="T700" s="95">
        <f t="shared" si="46"/>
        <v>0</v>
      </c>
      <c r="U700" s="95">
        <f t="shared" si="47"/>
        <v>0</v>
      </c>
      <c r="V700" s="28" t="s">
        <v>222</v>
      </c>
      <c r="W700" s="31">
        <v>2020</v>
      </c>
      <c r="X700" s="28">
        <v>1</v>
      </c>
      <c r="Y700" s="28">
        <v>0</v>
      </c>
      <c r="Z700" s="196">
        <v>-1.755E-3</v>
      </c>
      <c r="AA700" s="196">
        <v>-2.7E-2</v>
      </c>
      <c r="AB700" s="28">
        <v>0</v>
      </c>
      <c r="AC700" s="28">
        <v>0</v>
      </c>
      <c r="AD700" s="31" t="s">
        <v>443</v>
      </c>
      <c r="AE700" t="s">
        <v>353</v>
      </c>
    </row>
    <row r="701" spans="2:31" ht="14.25" customHeight="1" x14ac:dyDescent="0.2">
      <c r="B701" s="7">
        <f t="shared" si="48"/>
        <v>677</v>
      </c>
      <c r="C701" s="28">
        <v>5</v>
      </c>
      <c r="D701" s="28">
        <v>2</v>
      </c>
      <c r="E701" s="31">
        <v>7</v>
      </c>
      <c r="F701" s="78">
        <v>2022</v>
      </c>
      <c r="G701" s="28">
        <v>2032</v>
      </c>
      <c r="H701" s="28">
        <v>6</v>
      </c>
      <c r="I701" s="28">
        <v>0</v>
      </c>
      <c r="J701" s="28">
        <v>0</v>
      </c>
      <c r="K701" s="28">
        <v>0</v>
      </c>
      <c r="L701" s="28">
        <v>0</v>
      </c>
      <c r="M701" s="75">
        <v>3.3</v>
      </c>
      <c r="N701" s="151">
        <v>1550</v>
      </c>
      <c r="O701" s="151">
        <v>1035</v>
      </c>
      <c r="P701" s="95">
        <f t="array" ref="P701">ROUND(IF($F701&lt;='TaxCred&amp;Subs'!$C$49,(IF($C701=2,IF($M701&gt;=IFERROR(INDEX('TaxCred&amp;Subs'!$L$12:$L$47,MATCH(1,($C701&amp;$D701='TaxCred&amp;Subs'!$E$12:$E$47)*($F701='TaxCred&amp;Subs'!$C$12:$C$47),0)
),9999),IFERROR(INDEX('TaxCred&amp;Subs'!$N$12:$N$47,MATCH(1,($C701&amp;$D701='TaxCred&amp;Subs'!$E$12:$E$47)*($F701='TaxCred&amp;Subs'!$C$12:$C$47),0)
),0),0),(IF($M701&gt;=IFERROR(INDEX('TaxCred&amp;Subs'!$H$12:$H$47,MATCH(1,($C701&amp;$D701='TaxCred&amp;Subs'!$D$12:$D$47)*($F701='TaxCred&amp;Subs'!$C$12:$C$47),0)
),9999),IFERROR(INDEX('TaxCred&amp;Subs'!$N$12:$N$47,MATCH(1,($C701&amp;$D701='TaxCred&amp;Subs'!$D$12:$D$47)*($F701='TaxCred&amp;Subs'!$C$12:$C$47),0)
),0),0)))),0)+IF(AND($C701=2,VALUE(RIGHT($AD701,1))&gt;2),(N701-R701)*(IFERROR(INDEX('TaxCred&amp;Subs'!$J$66:$J$99,MATCH(1,($C701&amp;$D701='TaxCred&amp;Subs'!$E$66:$E$99)*($F701='TaxCred&amp;Subs'!$C$66:$C$99),0)),0)),IF(AND($C701=1,VALUE(RIGHT($AD701,1))&gt;2),(N701-R701)*(IFERROR(INDEX('TaxCred&amp;Subs'!$J$66:$J$99,MATCH(1,($C701&amp;$D701='TaxCred&amp;Subs'!$D$66:$D$99)*($F701='TaxCred&amp;Subs'!$C$66:$C$99),0)),0)),IF($C701&gt;2,(N701-R701)*(IFERROR(INDEX('TaxCred&amp;Subs'!$J$66:$J$99,MATCH(1,($C701&amp;$D701='TaxCred&amp;Subs'!$D$66:$D$99)*($F701='TaxCred&amp;Subs'!$C$66:$C$99),0)),0)),0))),0)</f>
        <v>600</v>
      </c>
      <c r="Q701" s="95">
        <f t="array" ref="Q701">ROUND(IF(AND($C701=2,VALUE(RIGHT($AD701,1))&gt;2),(O701-S701)*(IFERROR(INDEX('TaxCred&amp;Subs'!$J$66:$J$99,MATCH(1,($C701&amp;$D701='TaxCred&amp;Subs'!$E$66:$E$99)*($F701='TaxCred&amp;Subs'!$C$66:$C$99),0)),0)),IF(AND($C701=1,VALUE(RIGHT($AD701,1))&gt;2),(O701-S701)*(IFERROR(INDEX('TaxCred&amp;Subs'!$J$66:$J$99,MATCH(1,($C701&amp;$D701='TaxCred&amp;Subs'!$D$66:$D$99)*($F701='TaxCred&amp;Subs'!$C$66:$C$99),0)),0)),IF($C701&gt;2,(O701-S701)*(IFERROR(INDEX('TaxCred&amp;Subs'!$J$66:$J$99,MATCH(1,($C701&amp;$D701='TaxCred&amp;Subs'!$D$66:$D$99)*($F701='TaxCred&amp;Subs'!$C$66:$C$99),0)),0)),0))),0)</f>
        <v>0</v>
      </c>
      <c r="R701" s="95">
        <f t="array" ref="R701">ROUND(IF(IFERROR(VALUE(RIGHT($AD701,1)),0)&gt;2,IF($C701=8,N701*IFERROR(INDEX('TaxCred&amp;Subs'!$K$139:$S$151,MATCH($C701&amp;$D701&amp;LEFT($AD701,7),'TaxCred&amp;Subs'!$E$139:$E$151,0),MATCH($H701,'TaxCred&amp;Subs'!$K$137:$S$137,0)),0),IF($C701=2,N701*IFERROR(INDEX('TaxCred&amp;Subs'!$K$139:$S$151,MATCH($C701&amp;$D701,'TaxCred&amp;Subs'!$D$139:$D$151,0),MATCH($H701,'TaxCred&amp;Subs'!$K$137:$S$137,0)),0),N701*IFERROR(INDEX('TaxCred&amp;Subs'!$K$139:$S$151,MATCH($C701&amp;$D701,'TaxCred&amp;Subs'!$C$139:$C$151,0),MATCH($H701,'TaxCred&amp;Subs'!$K$137:$S$137,0)),0))),0),0)</f>
        <v>104</v>
      </c>
      <c r="S701" s="95">
        <f t="array" ref="S701">ROUND(IF(IFERROR(VALUE(RIGHT($AD701,1)),0)&gt;2,IF($C701=8,O701*IFERROR(INDEX('TaxCred&amp;Subs'!$K$139:$S$151,MATCH($C701&amp;$D701&amp;LEFT($AD701,7),'TaxCred&amp;Subs'!$E$139:$E$151,0),MATCH($H701,'TaxCred&amp;Subs'!$K$137:$S$137,0)),0),IF($C701=2,O701*IFERROR(INDEX('TaxCred&amp;Subs'!$K$139:$S$151,MATCH($C701&amp;$D701,'TaxCred&amp;Subs'!$D$139:$D$151,0),MATCH($H701,'TaxCred&amp;Subs'!$K$137:$S$137,0)),0),O701*IFERROR(INDEX('TaxCred&amp;Subs'!$K$139:$S$151,MATCH($C701&amp;$D701,'TaxCred&amp;Subs'!$C$139:$C$151,0),MATCH($H701,'TaxCred&amp;Subs'!$K$137:$S$137,0)),0))),0),0)</f>
        <v>69</v>
      </c>
      <c r="T701" s="95">
        <f t="shared" si="46"/>
        <v>0</v>
      </c>
      <c r="U701" s="95">
        <f t="shared" si="47"/>
        <v>0</v>
      </c>
      <c r="V701" s="28" t="s">
        <v>222</v>
      </c>
      <c r="W701" s="31">
        <v>2020</v>
      </c>
      <c r="X701" s="28">
        <v>1</v>
      </c>
      <c r="Y701" s="28">
        <v>0</v>
      </c>
      <c r="Z701" s="196">
        <v>-1.755E-3</v>
      </c>
      <c r="AA701" s="196">
        <v>-2.7E-2</v>
      </c>
      <c r="AB701" s="28">
        <v>0</v>
      </c>
      <c r="AC701" s="28">
        <v>0</v>
      </c>
      <c r="AD701" s="31" t="s">
        <v>443</v>
      </c>
      <c r="AE701" t="s">
        <v>353</v>
      </c>
    </row>
    <row r="702" spans="2:31" ht="14.25" customHeight="1" x14ac:dyDescent="0.2">
      <c r="B702" s="7">
        <f t="shared" si="48"/>
        <v>678</v>
      </c>
      <c r="C702" s="28">
        <v>5</v>
      </c>
      <c r="D702" s="28">
        <v>2</v>
      </c>
      <c r="E702" s="31">
        <v>7</v>
      </c>
      <c r="F702" s="78">
        <v>2022</v>
      </c>
      <c r="G702" s="28">
        <v>2032</v>
      </c>
      <c r="H702" s="28">
        <v>7</v>
      </c>
      <c r="I702" s="28">
        <v>0</v>
      </c>
      <c r="J702" s="28">
        <v>0</v>
      </c>
      <c r="K702" s="28">
        <v>0</v>
      </c>
      <c r="L702" s="28">
        <v>0</v>
      </c>
      <c r="M702" s="75">
        <v>3.3</v>
      </c>
      <c r="N702" s="151">
        <v>1550</v>
      </c>
      <c r="O702" s="151">
        <v>1035</v>
      </c>
      <c r="P702" s="95">
        <f t="array" ref="P702">ROUND(IF($F702&lt;='TaxCred&amp;Subs'!$C$49,(IF($C702=2,IF($M702&gt;=IFERROR(INDEX('TaxCred&amp;Subs'!$L$12:$L$47,MATCH(1,($C702&amp;$D702='TaxCred&amp;Subs'!$E$12:$E$47)*($F702='TaxCred&amp;Subs'!$C$12:$C$47),0)
),9999),IFERROR(INDEX('TaxCred&amp;Subs'!$N$12:$N$47,MATCH(1,($C702&amp;$D702='TaxCred&amp;Subs'!$E$12:$E$47)*($F702='TaxCred&amp;Subs'!$C$12:$C$47),0)
),0),0),(IF($M702&gt;=IFERROR(INDEX('TaxCred&amp;Subs'!$H$12:$H$47,MATCH(1,($C702&amp;$D702='TaxCred&amp;Subs'!$D$12:$D$47)*($F702='TaxCred&amp;Subs'!$C$12:$C$47),0)
),9999),IFERROR(INDEX('TaxCred&amp;Subs'!$N$12:$N$47,MATCH(1,($C702&amp;$D702='TaxCred&amp;Subs'!$D$12:$D$47)*($F702='TaxCred&amp;Subs'!$C$12:$C$47),0)
),0),0)))),0)+IF(AND($C702=2,VALUE(RIGHT($AD702,1))&gt;2),(N702-R702)*(IFERROR(INDEX('TaxCred&amp;Subs'!$J$66:$J$99,MATCH(1,($C702&amp;$D702='TaxCred&amp;Subs'!$E$66:$E$99)*($F702='TaxCred&amp;Subs'!$C$66:$C$99),0)),0)),IF(AND($C702=1,VALUE(RIGHT($AD702,1))&gt;2),(N702-R702)*(IFERROR(INDEX('TaxCred&amp;Subs'!$J$66:$J$99,MATCH(1,($C702&amp;$D702='TaxCred&amp;Subs'!$D$66:$D$99)*($F702='TaxCred&amp;Subs'!$C$66:$C$99),0)),0)),IF($C702&gt;2,(N702-R702)*(IFERROR(INDEX('TaxCred&amp;Subs'!$J$66:$J$99,MATCH(1,($C702&amp;$D702='TaxCred&amp;Subs'!$D$66:$D$99)*($F702='TaxCred&amp;Subs'!$C$66:$C$99),0)),0)),0))),0)</f>
        <v>600</v>
      </c>
      <c r="Q702" s="95">
        <f t="array" ref="Q702">ROUND(IF(AND($C702=2,VALUE(RIGHT($AD702,1))&gt;2),(O702-S702)*(IFERROR(INDEX('TaxCred&amp;Subs'!$J$66:$J$99,MATCH(1,($C702&amp;$D702='TaxCred&amp;Subs'!$E$66:$E$99)*($F702='TaxCred&amp;Subs'!$C$66:$C$99),0)),0)),IF(AND($C702=1,VALUE(RIGHT($AD702,1))&gt;2),(O702-S702)*(IFERROR(INDEX('TaxCred&amp;Subs'!$J$66:$J$99,MATCH(1,($C702&amp;$D702='TaxCred&amp;Subs'!$D$66:$D$99)*($F702='TaxCred&amp;Subs'!$C$66:$C$99),0)),0)),IF($C702&gt;2,(O702-S702)*(IFERROR(INDEX('TaxCred&amp;Subs'!$J$66:$J$99,MATCH(1,($C702&amp;$D702='TaxCred&amp;Subs'!$D$66:$D$99)*($F702='TaxCred&amp;Subs'!$C$66:$C$99),0)),0)),0))),0)</f>
        <v>0</v>
      </c>
      <c r="R702" s="95">
        <f t="array" ref="R702">ROUND(IF(IFERROR(VALUE(RIGHT($AD702,1)),0)&gt;2,IF($C702=8,N702*IFERROR(INDEX('TaxCred&amp;Subs'!$K$139:$S$151,MATCH($C702&amp;$D702&amp;LEFT($AD702,7),'TaxCred&amp;Subs'!$E$139:$E$151,0),MATCH($H702,'TaxCred&amp;Subs'!$K$137:$S$137,0)),0),IF($C702=2,N702*IFERROR(INDEX('TaxCred&amp;Subs'!$K$139:$S$151,MATCH($C702&amp;$D702,'TaxCred&amp;Subs'!$D$139:$D$151,0),MATCH($H702,'TaxCred&amp;Subs'!$K$137:$S$137,0)),0),N702*IFERROR(INDEX('TaxCred&amp;Subs'!$K$139:$S$151,MATCH($C702&amp;$D702,'TaxCred&amp;Subs'!$C$139:$C$151,0),MATCH($H702,'TaxCred&amp;Subs'!$K$137:$S$137,0)),0))),0),0)</f>
        <v>318</v>
      </c>
      <c r="S702" s="95">
        <f t="array" ref="S702">ROUND(IF(IFERROR(VALUE(RIGHT($AD702,1)),0)&gt;2,IF($C702=8,O702*IFERROR(INDEX('TaxCred&amp;Subs'!$K$139:$S$151,MATCH($C702&amp;$D702&amp;LEFT($AD702,7),'TaxCred&amp;Subs'!$E$139:$E$151,0),MATCH($H702,'TaxCred&amp;Subs'!$K$137:$S$137,0)),0),IF($C702=2,O702*IFERROR(INDEX('TaxCred&amp;Subs'!$K$139:$S$151,MATCH($C702&amp;$D702,'TaxCred&amp;Subs'!$D$139:$D$151,0),MATCH($H702,'TaxCred&amp;Subs'!$K$137:$S$137,0)),0),O702*IFERROR(INDEX('TaxCred&amp;Subs'!$K$139:$S$151,MATCH($C702&amp;$D702,'TaxCred&amp;Subs'!$C$139:$C$151,0),MATCH($H702,'TaxCred&amp;Subs'!$K$137:$S$137,0)),0))),0),0)</f>
        <v>213</v>
      </c>
      <c r="T702" s="95">
        <f t="shared" si="46"/>
        <v>0</v>
      </c>
      <c r="U702" s="95">
        <f t="shared" si="47"/>
        <v>0</v>
      </c>
      <c r="V702" s="28" t="s">
        <v>222</v>
      </c>
      <c r="W702" s="31">
        <v>2020</v>
      </c>
      <c r="X702" s="28">
        <v>1</v>
      </c>
      <c r="Y702" s="28">
        <v>0</v>
      </c>
      <c r="Z702" s="196">
        <v>-1.755E-3</v>
      </c>
      <c r="AA702" s="196">
        <v>-2.7E-2</v>
      </c>
      <c r="AB702" s="28">
        <v>0</v>
      </c>
      <c r="AC702" s="28">
        <v>0</v>
      </c>
      <c r="AD702" s="31" t="s">
        <v>443</v>
      </c>
      <c r="AE702" t="s">
        <v>353</v>
      </c>
    </row>
    <row r="703" spans="2:31" ht="14.25" customHeight="1" x14ac:dyDescent="0.2">
      <c r="B703" s="7">
        <f t="shared" si="48"/>
        <v>679</v>
      </c>
      <c r="C703" s="28">
        <v>5</v>
      </c>
      <c r="D703" s="28">
        <v>2</v>
      </c>
      <c r="E703" s="31">
        <v>7</v>
      </c>
      <c r="F703" s="78">
        <v>2022</v>
      </c>
      <c r="G703" s="28">
        <v>2032</v>
      </c>
      <c r="H703" s="28">
        <v>8</v>
      </c>
      <c r="I703" s="28">
        <v>0</v>
      </c>
      <c r="J703" s="28">
        <v>0</v>
      </c>
      <c r="K703" s="28">
        <v>0</v>
      </c>
      <c r="L703" s="28">
        <v>0</v>
      </c>
      <c r="M703" s="75">
        <v>3.3</v>
      </c>
      <c r="N703" s="151">
        <v>1550</v>
      </c>
      <c r="O703" s="151">
        <v>1035</v>
      </c>
      <c r="P703" s="95">
        <f t="array" ref="P703">ROUND(IF($F703&lt;='TaxCred&amp;Subs'!$C$49,(IF($C703=2,IF($M703&gt;=IFERROR(INDEX('TaxCred&amp;Subs'!$L$12:$L$47,MATCH(1,($C703&amp;$D703='TaxCred&amp;Subs'!$E$12:$E$47)*($F703='TaxCred&amp;Subs'!$C$12:$C$47),0)
),9999),IFERROR(INDEX('TaxCred&amp;Subs'!$N$12:$N$47,MATCH(1,($C703&amp;$D703='TaxCred&amp;Subs'!$E$12:$E$47)*($F703='TaxCred&amp;Subs'!$C$12:$C$47),0)
),0),0),(IF($M703&gt;=IFERROR(INDEX('TaxCred&amp;Subs'!$H$12:$H$47,MATCH(1,($C703&amp;$D703='TaxCred&amp;Subs'!$D$12:$D$47)*($F703='TaxCred&amp;Subs'!$C$12:$C$47),0)
),9999),IFERROR(INDEX('TaxCred&amp;Subs'!$N$12:$N$47,MATCH(1,($C703&amp;$D703='TaxCred&amp;Subs'!$D$12:$D$47)*($F703='TaxCred&amp;Subs'!$C$12:$C$47),0)
),0),0)))),0)+IF(AND($C703=2,VALUE(RIGHT($AD703,1))&gt;2),(N703-R703)*(IFERROR(INDEX('TaxCred&amp;Subs'!$J$66:$J$99,MATCH(1,($C703&amp;$D703='TaxCred&amp;Subs'!$E$66:$E$99)*($F703='TaxCred&amp;Subs'!$C$66:$C$99),0)),0)),IF(AND($C703=1,VALUE(RIGHT($AD703,1))&gt;2),(N703-R703)*(IFERROR(INDEX('TaxCred&amp;Subs'!$J$66:$J$99,MATCH(1,($C703&amp;$D703='TaxCred&amp;Subs'!$D$66:$D$99)*($F703='TaxCred&amp;Subs'!$C$66:$C$99),0)),0)),IF($C703&gt;2,(N703-R703)*(IFERROR(INDEX('TaxCred&amp;Subs'!$J$66:$J$99,MATCH(1,($C703&amp;$D703='TaxCred&amp;Subs'!$D$66:$D$99)*($F703='TaxCred&amp;Subs'!$C$66:$C$99),0)),0)),0))),0)</f>
        <v>600</v>
      </c>
      <c r="Q703" s="95">
        <f t="array" ref="Q703">ROUND(IF(AND($C703=2,VALUE(RIGHT($AD703,1))&gt;2),(O703-S703)*(IFERROR(INDEX('TaxCred&amp;Subs'!$J$66:$J$99,MATCH(1,($C703&amp;$D703='TaxCred&amp;Subs'!$E$66:$E$99)*($F703='TaxCred&amp;Subs'!$C$66:$C$99),0)),0)),IF(AND($C703=1,VALUE(RIGHT($AD703,1))&gt;2),(O703-S703)*(IFERROR(INDEX('TaxCred&amp;Subs'!$J$66:$J$99,MATCH(1,($C703&amp;$D703='TaxCred&amp;Subs'!$D$66:$D$99)*($F703='TaxCred&amp;Subs'!$C$66:$C$99),0)),0)),IF($C703&gt;2,(O703-S703)*(IFERROR(INDEX('TaxCred&amp;Subs'!$J$66:$J$99,MATCH(1,($C703&amp;$D703='TaxCred&amp;Subs'!$D$66:$D$99)*($F703='TaxCred&amp;Subs'!$C$66:$C$99),0)),0)),0))),0)</f>
        <v>0</v>
      </c>
      <c r="R703" s="95">
        <f t="array" ref="R703">ROUND(IF(IFERROR(VALUE(RIGHT($AD703,1)),0)&gt;2,IF($C703=8,N703*IFERROR(INDEX('TaxCred&amp;Subs'!$K$139:$S$151,MATCH($C703&amp;$D703&amp;LEFT($AD703,7),'TaxCred&amp;Subs'!$E$139:$E$151,0),MATCH($H703,'TaxCred&amp;Subs'!$K$137:$S$137,0)),0),IF($C703=2,N703*IFERROR(INDEX('TaxCred&amp;Subs'!$K$139:$S$151,MATCH($C703&amp;$D703,'TaxCred&amp;Subs'!$D$139:$D$151,0),MATCH($H703,'TaxCred&amp;Subs'!$K$137:$S$137,0)),0),N703*IFERROR(INDEX('TaxCred&amp;Subs'!$K$139:$S$151,MATCH($C703&amp;$D703,'TaxCred&amp;Subs'!$C$139:$C$151,0),MATCH($H703,'TaxCred&amp;Subs'!$K$137:$S$137,0)),0))),0),0)</f>
        <v>134</v>
      </c>
      <c r="S703" s="95">
        <f t="array" ref="S703">ROUND(IF(IFERROR(VALUE(RIGHT($AD703,1)),0)&gt;2,IF($C703=8,O703*IFERROR(INDEX('TaxCred&amp;Subs'!$K$139:$S$151,MATCH($C703&amp;$D703&amp;LEFT($AD703,7),'TaxCred&amp;Subs'!$E$139:$E$151,0),MATCH($H703,'TaxCred&amp;Subs'!$K$137:$S$137,0)),0),IF($C703=2,O703*IFERROR(INDEX('TaxCred&amp;Subs'!$K$139:$S$151,MATCH($C703&amp;$D703,'TaxCred&amp;Subs'!$D$139:$D$151,0),MATCH($H703,'TaxCred&amp;Subs'!$K$137:$S$137,0)),0),O703*IFERROR(INDEX('TaxCred&amp;Subs'!$K$139:$S$151,MATCH($C703&amp;$D703,'TaxCred&amp;Subs'!$C$139:$C$151,0),MATCH($H703,'TaxCred&amp;Subs'!$K$137:$S$137,0)),0))),0),0)</f>
        <v>89</v>
      </c>
      <c r="T703" s="95">
        <f t="shared" si="46"/>
        <v>0</v>
      </c>
      <c r="U703" s="95">
        <f t="shared" si="47"/>
        <v>0</v>
      </c>
      <c r="V703" s="28" t="s">
        <v>222</v>
      </c>
      <c r="W703" s="31">
        <v>2020</v>
      </c>
      <c r="X703" s="28">
        <v>1</v>
      </c>
      <c r="Y703" s="28">
        <v>0</v>
      </c>
      <c r="Z703" s="196">
        <v>-1.755E-3</v>
      </c>
      <c r="AA703" s="196">
        <v>-2.7E-2</v>
      </c>
      <c r="AB703" s="28">
        <v>0</v>
      </c>
      <c r="AC703" s="28">
        <v>0</v>
      </c>
      <c r="AD703" s="31" t="s">
        <v>443</v>
      </c>
      <c r="AE703" t="s">
        <v>353</v>
      </c>
    </row>
    <row r="704" spans="2:31" ht="14.25" customHeight="1" x14ac:dyDescent="0.2">
      <c r="B704" s="7">
        <f t="shared" si="48"/>
        <v>680</v>
      </c>
      <c r="C704" s="28">
        <v>5</v>
      </c>
      <c r="D704" s="28">
        <v>2</v>
      </c>
      <c r="E704" s="31">
        <v>7</v>
      </c>
      <c r="F704" s="78">
        <v>2022</v>
      </c>
      <c r="G704" s="28">
        <v>2032</v>
      </c>
      <c r="H704" s="28">
        <v>9</v>
      </c>
      <c r="I704" s="28">
        <v>0</v>
      </c>
      <c r="J704" s="28">
        <v>0</v>
      </c>
      <c r="K704" s="28">
        <v>0</v>
      </c>
      <c r="L704" s="28">
        <v>0</v>
      </c>
      <c r="M704" s="75">
        <v>3.3</v>
      </c>
      <c r="N704" s="151">
        <v>1550</v>
      </c>
      <c r="O704" s="151">
        <v>1035</v>
      </c>
      <c r="P704" s="95">
        <f t="array" ref="P704">ROUND(IF($F704&lt;='TaxCred&amp;Subs'!$C$49,(IF($C704=2,IF($M704&gt;=IFERROR(INDEX('TaxCred&amp;Subs'!$L$12:$L$47,MATCH(1,($C704&amp;$D704='TaxCred&amp;Subs'!$E$12:$E$47)*($F704='TaxCred&amp;Subs'!$C$12:$C$47),0)
),9999),IFERROR(INDEX('TaxCred&amp;Subs'!$N$12:$N$47,MATCH(1,($C704&amp;$D704='TaxCred&amp;Subs'!$E$12:$E$47)*($F704='TaxCred&amp;Subs'!$C$12:$C$47),0)
),0),0),(IF($M704&gt;=IFERROR(INDEX('TaxCred&amp;Subs'!$H$12:$H$47,MATCH(1,($C704&amp;$D704='TaxCred&amp;Subs'!$D$12:$D$47)*($F704='TaxCred&amp;Subs'!$C$12:$C$47),0)
),9999),IFERROR(INDEX('TaxCred&amp;Subs'!$N$12:$N$47,MATCH(1,($C704&amp;$D704='TaxCred&amp;Subs'!$D$12:$D$47)*($F704='TaxCred&amp;Subs'!$C$12:$C$47),0)
),0),0)))),0)+IF(AND($C704=2,VALUE(RIGHT($AD704,1))&gt;2),(N704-R704)*(IFERROR(INDEX('TaxCred&amp;Subs'!$J$66:$J$99,MATCH(1,($C704&amp;$D704='TaxCred&amp;Subs'!$E$66:$E$99)*($F704='TaxCred&amp;Subs'!$C$66:$C$99),0)),0)),IF(AND($C704=1,VALUE(RIGHT($AD704,1))&gt;2),(N704-R704)*(IFERROR(INDEX('TaxCred&amp;Subs'!$J$66:$J$99,MATCH(1,($C704&amp;$D704='TaxCred&amp;Subs'!$D$66:$D$99)*($F704='TaxCred&amp;Subs'!$C$66:$C$99),0)),0)),IF($C704&gt;2,(N704-R704)*(IFERROR(INDEX('TaxCred&amp;Subs'!$J$66:$J$99,MATCH(1,($C704&amp;$D704='TaxCred&amp;Subs'!$D$66:$D$99)*($F704='TaxCred&amp;Subs'!$C$66:$C$99),0)),0)),0))),0)</f>
        <v>600</v>
      </c>
      <c r="Q704" s="95">
        <f t="array" ref="Q704">ROUND(IF(AND($C704=2,VALUE(RIGHT($AD704,1))&gt;2),(O704-S704)*(IFERROR(INDEX('TaxCred&amp;Subs'!$J$66:$J$99,MATCH(1,($C704&amp;$D704='TaxCred&amp;Subs'!$E$66:$E$99)*($F704='TaxCred&amp;Subs'!$C$66:$C$99),0)),0)),IF(AND($C704=1,VALUE(RIGHT($AD704,1))&gt;2),(O704-S704)*(IFERROR(INDEX('TaxCred&amp;Subs'!$J$66:$J$99,MATCH(1,($C704&amp;$D704='TaxCred&amp;Subs'!$D$66:$D$99)*($F704='TaxCred&amp;Subs'!$C$66:$C$99),0)),0)),IF($C704&gt;2,(O704-S704)*(IFERROR(INDEX('TaxCred&amp;Subs'!$J$66:$J$99,MATCH(1,($C704&amp;$D704='TaxCred&amp;Subs'!$D$66:$D$99)*($F704='TaxCred&amp;Subs'!$C$66:$C$99),0)),0)),0))),0)</f>
        <v>0</v>
      </c>
      <c r="R704" s="95">
        <f t="array" ref="R704">ROUND(IF(IFERROR(VALUE(RIGHT($AD704,1)),0)&gt;2,IF($C704=8,N704*IFERROR(INDEX('TaxCred&amp;Subs'!$K$139:$S$151,MATCH($C704&amp;$D704&amp;LEFT($AD704,7),'TaxCred&amp;Subs'!$E$139:$E$151,0),MATCH($H704,'TaxCred&amp;Subs'!$K$137:$S$137,0)),0),IF($C704=2,N704*IFERROR(INDEX('TaxCred&amp;Subs'!$K$139:$S$151,MATCH($C704&amp;$D704,'TaxCred&amp;Subs'!$D$139:$D$151,0),MATCH($H704,'TaxCred&amp;Subs'!$K$137:$S$137,0)),0),N704*IFERROR(INDEX('TaxCred&amp;Subs'!$K$139:$S$151,MATCH($C704&amp;$D704,'TaxCred&amp;Subs'!$C$139:$C$151,0),MATCH($H704,'TaxCred&amp;Subs'!$K$137:$S$137,0)),0))),0),0)</f>
        <v>350</v>
      </c>
      <c r="S704" s="95">
        <f t="array" ref="S704">ROUND(IF(IFERROR(VALUE(RIGHT($AD704,1)),0)&gt;2,IF($C704=8,O704*IFERROR(INDEX('TaxCred&amp;Subs'!$K$139:$S$151,MATCH($C704&amp;$D704&amp;LEFT($AD704,7),'TaxCred&amp;Subs'!$E$139:$E$151,0),MATCH($H704,'TaxCred&amp;Subs'!$K$137:$S$137,0)),0),IF($C704=2,O704*IFERROR(INDEX('TaxCred&amp;Subs'!$K$139:$S$151,MATCH($C704&amp;$D704,'TaxCred&amp;Subs'!$D$139:$D$151,0),MATCH($H704,'TaxCred&amp;Subs'!$K$137:$S$137,0)),0),O704*IFERROR(INDEX('TaxCred&amp;Subs'!$K$139:$S$151,MATCH($C704&amp;$D704,'TaxCred&amp;Subs'!$C$139:$C$151,0),MATCH($H704,'TaxCred&amp;Subs'!$K$137:$S$137,0)),0))),0),0)</f>
        <v>234</v>
      </c>
      <c r="T704" s="172">
        <f t="shared" si="46"/>
        <v>142.5</v>
      </c>
      <c r="U704" s="172">
        <f t="shared" si="47"/>
        <v>155.25</v>
      </c>
      <c r="V704" s="28" t="s">
        <v>222</v>
      </c>
      <c r="W704" s="31">
        <v>2020</v>
      </c>
      <c r="X704" s="28">
        <v>1</v>
      </c>
      <c r="Y704" s="28">
        <v>0</v>
      </c>
      <c r="Z704" s="196">
        <v>-1.755E-3</v>
      </c>
      <c r="AA704" s="196">
        <v>-2.7E-2</v>
      </c>
      <c r="AB704" s="28">
        <v>0</v>
      </c>
      <c r="AC704" s="28">
        <v>0</v>
      </c>
      <c r="AD704" s="31" t="s">
        <v>443</v>
      </c>
      <c r="AE704" t="s">
        <v>353</v>
      </c>
    </row>
    <row r="705" spans="2:31" ht="14.25" customHeight="1" x14ac:dyDescent="0.2">
      <c r="B705" s="7">
        <f t="shared" si="48"/>
        <v>681</v>
      </c>
      <c r="C705" s="28">
        <v>5</v>
      </c>
      <c r="D705" s="28">
        <v>2</v>
      </c>
      <c r="E705" s="31">
        <v>7</v>
      </c>
      <c r="F705" s="78">
        <v>2033</v>
      </c>
      <c r="G705" s="28">
        <v>2050</v>
      </c>
      <c r="H705" s="28">
        <v>1</v>
      </c>
      <c r="I705" s="28">
        <v>0</v>
      </c>
      <c r="J705" s="28">
        <v>0</v>
      </c>
      <c r="K705" s="28">
        <v>0</v>
      </c>
      <c r="L705" s="28">
        <v>0</v>
      </c>
      <c r="M705" s="75">
        <v>3.3</v>
      </c>
      <c r="N705" s="151">
        <v>1550</v>
      </c>
      <c r="O705" s="151">
        <v>1035</v>
      </c>
      <c r="P705" s="95">
        <f t="array" ref="P705">ROUND(IF($F705&lt;='TaxCred&amp;Subs'!$C$49,(IF($C705=2,IF($M705&gt;=IFERROR(INDEX('TaxCred&amp;Subs'!$L$12:$L$47,MATCH(1,($C705&amp;$D705='TaxCred&amp;Subs'!$E$12:$E$47)*($F705='TaxCred&amp;Subs'!$C$12:$C$47),0)
),9999),IFERROR(INDEX('TaxCred&amp;Subs'!$N$12:$N$47,MATCH(1,($C705&amp;$D705='TaxCred&amp;Subs'!$E$12:$E$47)*($F705='TaxCred&amp;Subs'!$C$12:$C$47),0)
),0),0),(IF($M705&gt;=IFERROR(INDEX('TaxCred&amp;Subs'!$H$12:$H$47,MATCH(1,($C705&amp;$D705='TaxCred&amp;Subs'!$D$12:$D$47)*($F705='TaxCred&amp;Subs'!$C$12:$C$47),0)
),9999),IFERROR(INDEX('TaxCred&amp;Subs'!$N$12:$N$47,MATCH(1,($C705&amp;$D705='TaxCred&amp;Subs'!$D$12:$D$47)*($F705='TaxCred&amp;Subs'!$C$12:$C$47),0)
),0),0)))),0)+IF(AND($C705=2,VALUE(RIGHT($AD705,1))&gt;2),(N705-R705)*(IFERROR(INDEX('TaxCred&amp;Subs'!$J$66:$J$99,MATCH(1,($C705&amp;$D705='TaxCred&amp;Subs'!$E$66:$E$99)*($F705='TaxCred&amp;Subs'!$C$66:$C$99),0)),0)),IF(AND($C705=1,VALUE(RIGHT($AD705,1))&gt;2),(N705-R705)*(IFERROR(INDEX('TaxCred&amp;Subs'!$J$66:$J$99,MATCH(1,($C705&amp;$D705='TaxCred&amp;Subs'!$D$66:$D$99)*($F705='TaxCred&amp;Subs'!$C$66:$C$99),0)),0)),IF($C705&gt;2,(N705-R705)*(IFERROR(INDEX('TaxCred&amp;Subs'!$J$66:$J$99,MATCH(1,($C705&amp;$D705='TaxCred&amp;Subs'!$D$66:$D$99)*($F705='TaxCred&amp;Subs'!$C$66:$C$99),0)),0)),0))),0)</f>
        <v>0</v>
      </c>
      <c r="Q705" s="95">
        <f t="array" ref="Q705">ROUND(IF(AND($C705=2,VALUE(RIGHT($AD705,1))&gt;2),(O705-S705)*(IFERROR(INDEX('TaxCred&amp;Subs'!$J$66:$J$99,MATCH(1,($C705&amp;$D705='TaxCred&amp;Subs'!$E$66:$E$99)*($F705='TaxCred&amp;Subs'!$C$66:$C$99),0)),0)),IF(AND($C705=1,VALUE(RIGHT($AD705,1))&gt;2),(O705-S705)*(IFERROR(INDEX('TaxCred&amp;Subs'!$J$66:$J$99,MATCH(1,($C705&amp;$D705='TaxCred&amp;Subs'!$D$66:$D$99)*($F705='TaxCred&amp;Subs'!$C$66:$C$99),0)),0)),IF($C705&gt;2,(O705-S705)*(IFERROR(INDEX('TaxCred&amp;Subs'!$J$66:$J$99,MATCH(1,($C705&amp;$D705='TaxCred&amp;Subs'!$D$66:$D$99)*($F705='TaxCred&amp;Subs'!$C$66:$C$99),0)),0)),0))),0)</f>
        <v>0</v>
      </c>
      <c r="R705" s="95">
        <f t="array" ref="R705">ROUND(IF(IFERROR(VALUE(RIGHT($AD705,1)),0)&gt;2,IF($C705=8,N705*IFERROR(INDEX('TaxCred&amp;Subs'!$K$139:$S$151,MATCH($C705&amp;$D705&amp;LEFT($AD705,7),'TaxCred&amp;Subs'!$E$139:$E$151,0),MATCH($H705,'TaxCred&amp;Subs'!$K$137:$S$137,0)),0),IF($C705=2,N705*IFERROR(INDEX('TaxCred&amp;Subs'!$K$139:$S$151,MATCH($C705&amp;$D705,'TaxCred&amp;Subs'!$D$139:$D$151,0),MATCH($H705,'TaxCred&amp;Subs'!$K$137:$S$137,0)),0),N705*IFERROR(INDEX('TaxCred&amp;Subs'!$K$139:$S$151,MATCH($C705&amp;$D705,'TaxCred&amp;Subs'!$C$139:$C$151,0),MATCH($H705,'TaxCred&amp;Subs'!$K$137:$S$137,0)),0))),0),0)</f>
        <v>404</v>
      </c>
      <c r="S705" s="95">
        <f t="array" ref="S705">ROUND(IF(IFERROR(VALUE(RIGHT($AD705,1)),0)&gt;2,IF($C705=8,O705*IFERROR(INDEX('TaxCred&amp;Subs'!$K$139:$S$151,MATCH($C705&amp;$D705&amp;LEFT($AD705,7),'TaxCred&amp;Subs'!$E$139:$E$151,0),MATCH($H705,'TaxCred&amp;Subs'!$K$137:$S$137,0)),0),IF($C705=2,O705*IFERROR(INDEX('TaxCred&amp;Subs'!$K$139:$S$151,MATCH($C705&amp;$D705,'TaxCred&amp;Subs'!$D$139:$D$151,0),MATCH($H705,'TaxCred&amp;Subs'!$K$137:$S$137,0)),0),O705*IFERROR(INDEX('TaxCred&amp;Subs'!$K$139:$S$151,MATCH($C705&amp;$D705,'TaxCred&amp;Subs'!$C$139:$C$151,0),MATCH($H705,'TaxCred&amp;Subs'!$K$137:$S$137,0)),0))),0),0)</f>
        <v>270</v>
      </c>
      <c r="T705" s="95">
        <f t="shared" si="46"/>
        <v>0</v>
      </c>
      <c r="U705" s="95">
        <f t="shared" si="47"/>
        <v>0</v>
      </c>
      <c r="V705" s="28" t="s">
        <v>222</v>
      </c>
      <c r="W705" s="31">
        <v>2020</v>
      </c>
      <c r="X705" s="28">
        <v>1</v>
      </c>
      <c r="Y705" s="28">
        <v>0</v>
      </c>
      <c r="Z705" s="196">
        <v>-1.755E-3</v>
      </c>
      <c r="AA705" s="196">
        <v>-2.7E-2</v>
      </c>
      <c r="AB705" s="28">
        <v>0</v>
      </c>
      <c r="AC705" s="28">
        <v>0</v>
      </c>
      <c r="AD705" s="31" t="s">
        <v>443</v>
      </c>
      <c r="AE705" t="s">
        <v>353</v>
      </c>
    </row>
    <row r="706" spans="2:31" ht="14.25" customHeight="1" x14ac:dyDescent="0.2">
      <c r="B706" s="7">
        <f t="shared" si="48"/>
        <v>682</v>
      </c>
      <c r="C706" s="28">
        <v>5</v>
      </c>
      <c r="D706" s="28">
        <v>2</v>
      </c>
      <c r="E706" s="31">
        <v>7</v>
      </c>
      <c r="F706" s="78">
        <v>2033</v>
      </c>
      <c r="G706" s="28">
        <v>2050</v>
      </c>
      <c r="H706" s="28">
        <v>2</v>
      </c>
      <c r="I706" s="28">
        <v>0</v>
      </c>
      <c r="J706" s="28">
        <v>0</v>
      </c>
      <c r="K706" s="28">
        <v>0</v>
      </c>
      <c r="L706" s="28">
        <v>0</v>
      </c>
      <c r="M706" s="75">
        <v>3.3</v>
      </c>
      <c r="N706" s="151">
        <v>1550</v>
      </c>
      <c r="O706" s="151">
        <v>1035</v>
      </c>
      <c r="P706" s="95">
        <f t="array" ref="P706">ROUND(IF($F706&lt;='TaxCred&amp;Subs'!$C$49,(IF($C706=2,IF($M706&gt;=IFERROR(INDEX('TaxCred&amp;Subs'!$L$12:$L$47,MATCH(1,($C706&amp;$D706='TaxCred&amp;Subs'!$E$12:$E$47)*($F706='TaxCred&amp;Subs'!$C$12:$C$47),0)
),9999),IFERROR(INDEX('TaxCred&amp;Subs'!$N$12:$N$47,MATCH(1,($C706&amp;$D706='TaxCred&amp;Subs'!$E$12:$E$47)*($F706='TaxCred&amp;Subs'!$C$12:$C$47),0)
),0),0),(IF($M706&gt;=IFERROR(INDEX('TaxCred&amp;Subs'!$H$12:$H$47,MATCH(1,($C706&amp;$D706='TaxCred&amp;Subs'!$D$12:$D$47)*($F706='TaxCred&amp;Subs'!$C$12:$C$47),0)
),9999),IFERROR(INDEX('TaxCred&amp;Subs'!$N$12:$N$47,MATCH(1,($C706&amp;$D706='TaxCred&amp;Subs'!$D$12:$D$47)*($F706='TaxCred&amp;Subs'!$C$12:$C$47),0)
),0),0)))),0)+IF(AND($C706=2,VALUE(RIGHT($AD706,1))&gt;2),(N706-R706)*(IFERROR(INDEX('TaxCred&amp;Subs'!$J$66:$J$99,MATCH(1,($C706&amp;$D706='TaxCred&amp;Subs'!$E$66:$E$99)*($F706='TaxCred&amp;Subs'!$C$66:$C$99),0)),0)),IF(AND($C706=1,VALUE(RIGHT($AD706,1))&gt;2),(N706-R706)*(IFERROR(INDEX('TaxCred&amp;Subs'!$J$66:$J$99,MATCH(1,($C706&amp;$D706='TaxCred&amp;Subs'!$D$66:$D$99)*($F706='TaxCred&amp;Subs'!$C$66:$C$99),0)),0)),IF($C706&gt;2,(N706-R706)*(IFERROR(INDEX('TaxCred&amp;Subs'!$J$66:$J$99,MATCH(1,($C706&amp;$D706='TaxCred&amp;Subs'!$D$66:$D$99)*($F706='TaxCred&amp;Subs'!$C$66:$C$99),0)),0)),0))),0)</f>
        <v>0</v>
      </c>
      <c r="Q706" s="95">
        <f t="array" ref="Q706">ROUND(IF(AND($C706=2,VALUE(RIGHT($AD706,1))&gt;2),(O706-S706)*(IFERROR(INDEX('TaxCred&amp;Subs'!$J$66:$J$99,MATCH(1,($C706&amp;$D706='TaxCred&amp;Subs'!$E$66:$E$99)*($F706='TaxCred&amp;Subs'!$C$66:$C$99),0)),0)),IF(AND($C706=1,VALUE(RIGHT($AD706,1))&gt;2),(O706-S706)*(IFERROR(INDEX('TaxCred&amp;Subs'!$J$66:$J$99,MATCH(1,($C706&amp;$D706='TaxCred&amp;Subs'!$D$66:$D$99)*($F706='TaxCred&amp;Subs'!$C$66:$C$99),0)),0)),IF($C706&gt;2,(O706-S706)*(IFERROR(INDEX('TaxCred&amp;Subs'!$J$66:$J$99,MATCH(1,($C706&amp;$D706='TaxCred&amp;Subs'!$D$66:$D$99)*($F706='TaxCred&amp;Subs'!$C$66:$C$99),0)),0)),0))),0)</f>
        <v>0</v>
      </c>
      <c r="R706" s="95">
        <f t="array" ref="R706">ROUND(IF(IFERROR(VALUE(RIGHT($AD706,1)),0)&gt;2,IF($C706=8,N706*IFERROR(INDEX('TaxCred&amp;Subs'!$K$139:$S$151,MATCH($C706&amp;$D706&amp;LEFT($AD706,7),'TaxCred&amp;Subs'!$E$139:$E$151,0),MATCH($H706,'TaxCred&amp;Subs'!$K$137:$S$137,0)),0),IF($C706=2,N706*IFERROR(INDEX('TaxCred&amp;Subs'!$K$139:$S$151,MATCH($C706&amp;$D706,'TaxCred&amp;Subs'!$D$139:$D$151,0),MATCH($H706,'TaxCred&amp;Subs'!$K$137:$S$137,0)),0),N706*IFERROR(INDEX('TaxCred&amp;Subs'!$K$139:$S$151,MATCH($C706&amp;$D706,'TaxCred&amp;Subs'!$C$139:$C$151,0),MATCH($H706,'TaxCred&amp;Subs'!$K$137:$S$137,0)),0))),0),0)</f>
        <v>397</v>
      </c>
      <c r="S706" s="95">
        <f t="array" ref="S706">ROUND(IF(IFERROR(VALUE(RIGHT($AD706,1)),0)&gt;2,IF($C706=8,O706*IFERROR(INDEX('TaxCred&amp;Subs'!$K$139:$S$151,MATCH($C706&amp;$D706&amp;LEFT($AD706,7),'TaxCred&amp;Subs'!$E$139:$E$151,0),MATCH($H706,'TaxCred&amp;Subs'!$K$137:$S$137,0)),0),IF($C706=2,O706*IFERROR(INDEX('TaxCred&amp;Subs'!$K$139:$S$151,MATCH($C706&amp;$D706,'TaxCred&amp;Subs'!$D$139:$D$151,0),MATCH($H706,'TaxCred&amp;Subs'!$K$137:$S$137,0)),0),O706*IFERROR(INDEX('TaxCred&amp;Subs'!$K$139:$S$151,MATCH($C706&amp;$D706,'TaxCred&amp;Subs'!$C$139:$C$151,0),MATCH($H706,'TaxCred&amp;Subs'!$K$137:$S$137,0)),0))),0),0)</f>
        <v>265</v>
      </c>
      <c r="T706" s="95">
        <f t="shared" si="46"/>
        <v>0</v>
      </c>
      <c r="U706" s="95">
        <f t="shared" si="47"/>
        <v>0</v>
      </c>
      <c r="V706" s="28" t="s">
        <v>222</v>
      </c>
      <c r="W706" s="31">
        <v>2020</v>
      </c>
      <c r="X706" s="28">
        <v>1</v>
      </c>
      <c r="Y706" s="28">
        <v>0</v>
      </c>
      <c r="Z706" s="196">
        <v>-1.755E-3</v>
      </c>
      <c r="AA706" s="196">
        <v>-2.7E-2</v>
      </c>
      <c r="AB706" s="28">
        <v>0</v>
      </c>
      <c r="AC706" s="28">
        <v>0</v>
      </c>
      <c r="AD706" s="31" t="s">
        <v>443</v>
      </c>
      <c r="AE706" t="s">
        <v>353</v>
      </c>
    </row>
    <row r="707" spans="2:31" ht="14.25" customHeight="1" x14ac:dyDescent="0.2">
      <c r="B707" s="7">
        <f t="shared" si="48"/>
        <v>683</v>
      </c>
      <c r="C707" s="28">
        <v>5</v>
      </c>
      <c r="D707" s="28">
        <v>2</v>
      </c>
      <c r="E707" s="31">
        <v>7</v>
      </c>
      <c r="F707" s="78">
        <v>2033</v>
      </c>
      <c r="G707" s="28">
        <v>2050</v>
      </c>
      <c r="H707" s="28">
        <v>3</v>
      </c>
      <c r="I707" s="28">
        <v>0</v>
      </c>
      <c r="J707" s="28">
        <v>0</v>
      </c>
      <c r="K707" s="28">
        <v>0</v>
      </c>
      <c r="L707" s="28">
        <v>0</v>
      </c>
      <c r="M707" s="75">
        <v>3.3</v>
      </c>
      <c r="N707" s="151">
        <v>1550</v>
      </c>
      <c r="O707" s="151">
        <v>1035</v>
      </c>
      <c r="P707" s="95">
        <f t="array" ref="P707">ROUND(IF($F707&lt;='TaxCred&amp;Subs'!$C$49,(IF($C707=2,IF($M707&gt;=IFERROR(INDEX('TaxCred&amp;Subs'!$L$12:$L$47,MATCH(1,($C707&amp;$D707='TaxCred&amp;Subs'!$E$12:$E$47)*($F707='TaxCred&amp;Subs'!$C$12:$C$47),0)
),9999),IFERROR(INDEX('TaxCred&amp;Subs'!$N$12:$N$47,MATCH(1,($C707&amp;$D707='TaxCred&amp;Subs'!$E$12:$E$47)*($F707='TaxCred&amp;Subs'!$C$12:$C$47),0)
),0),0),(IF($M707&gt;=IFERROR(INDEX('TaxCred&amp;Subs'!$H$12:$H$47,MATCH(1,($C707&amp;$D707='TaxCred&amp;Subs'!$D$12:$D$47)*($F707='TaxCred&amp;Subs'!$C$12:$C$47),0)
),9999),IFERROR(INDEX('TaxCred&amp;Subs'!$N$12:$N$47,MATCH(1,($C707&amp;$D707='TaxCred&amp;Subs'!$D$12:$D$47)*($F707='TaxCred&amp;Subs'!$C$12:$C$47),0)
),0),0)))),0)+IF(AND($C707=2,VALUE(RIGHT($AD707,1))&gt;2),(N707-R707)*(IFERROR(INDEX('TaxCred&amp;Subs'!$J$66:$J$99,MATCH(1,($C707&amp;$D707='TaxCred&amp;Subs'!$E$66:$E$99)*($F707='TaxCred&amp;Subs'!$C$66:$C$99),0)),0)),IF(AND($C707=1,VALUE(RIGHT($AD707,1))&gt;2),(N707-R707)*(IFERROR(INDEX('TaxCred&amp;Subs'!$J$66:$J$99,MATCH(1,($C707&amp;$D707='TaxCred&amp;Subs'!$D$66:$D$99)*($F707='TaxCred&amp;Subs'!$C$66:$C$99),0)),0)),IF($C707&gt;2,(N707-R707)*(IFERROR(INDEX('TaxCred&amp;Subs'!$J$66:$J$99,MATCH(1,($C707&amp;$D707='TaxCred&amp;Subs'!$D$66:$D$99)*($F707='TaxCred&amp;Subs'!$C$66:$C$99),0)),0)),0))),0)</f>
        <v>0</v>
      </c>
      <c r="Q707" s="95">
        <f t="array" ref="Q707">ROUND(IF(AND($C707=2,VALUE(RIGHT($AD707,1))&gt;2),(O707-S707)*(IFERROR(INDEX('TaxCred&amp;Subs'!$J$66:$J$99,MATCH(1,($C707&amp;$D707='TaxCred&amp;Subs'!$E$66:$E$99)*($F707='TaxCred&amp;Subs'!$C$66:$C$99),0)),0)),IF(AND($C707=1,VALUE(RIGHT($AD707,1))&gt;2),(O707-S707)*(IFERROR(INDEX('TaxCred&amp;Subs'!$J$66:$J$99,MATCH(1,($C707&amp;$D707='TaxCred&amp;Subs'!$D$66:$D$99)*($F707='TaxCred&amp;Subs'!$C$66:$C$99),0)),0)),IF($C707&gt;2,(O707-S707)*(IFERROR(INDEX('TaxCred&amp;Subs'!$J$66:$J$99,MATCH(1,($C707&amp;$D707='TaxCred&amp;Subs'!$D$66:$D$99)*($F707='TaxCred&amp;Subs'!$C$66:$C$99),0)),0)),0))),0)</f>
        <v>0</v>
      </c>
      <c r="R707" s="95">
        <f t="array" ref="R707">ROUND(IF(IFERROR(VALUE(RIGHT($AD707,1)),0)&gt;2,IF($C707=8,N707*IFERROR(INDEX('TaxCred&amp;Subs'!$K$139:$S$151,MATCH($C707&amp;$D707&amp;LEFT($AD707,7),'TaxCred&amp;Subs'!$E$139:$E$151,0),MATCH($H707,'TaxCred&amp;Subs'!$K$137:$S$137,0)),0),IF($C707=2,N707*IFERROR(INDEX('TaxCred&amp;Subs'!$K$139:$S$151,MATCH($C707&amp;$D707,'TaxCred&amp;Subs'!$D$139:$D$151,0),MATCH($H707,'TaxCred&amp;Subs'!$K$137:$S$137,0)),0),N707*IFERROR(INDEX('TaxCred&amp;Subs'!$K$139:$S$151,MATCH($C707&amp;$D707,'TaxCred&amp;Subs'!$C$139:$C$151,0),MATCH($H707,'TaxCred&amp;Subs'!$K$137:$S$137,0)),0))),0),0)</f>
        <v>231</v>
      </c>
      <c r="S707" s="95">
        <f t="array" ref="S707">ROUND(IF(IFERROR(VALUE(RIGHT($AD707,1)),0)&gt;2,IF($C707=8,O707*IFERROR(INDEX('TaxCred&amp;Subs'!$K$139:$S$151,MATCH($C707&amp;$D707&amp;LEFT($AD707,7),'TaxCred&amp;Subs'!$E$139:$E$151,0),MATCH($H707,'TaxCred&amp;Subs'!$K$137:$S$137,0)),0),IF($C707=2,O707*IFERROR(INDEX('TaxCred&amp;Subs'!$K$139:$S$151,MATCH($C707&amp;$D707,'TaxCred&amp;Subs'!$D$139:$D$151,0),MATCH($H707,'TaxCred&amp;Subs'!$K$137:$S$137,0)),0),O707*IFERROR(INDEX('TaxCred&amp;Subs'!$K$139:$S$151,MATCH($C707&amp;$D707,'TaxCred&amp;Subs'!$C$139:$C$151,0),MATCH($H707,'TaxCred&amp;Subs'!$K$137:$S$137,0)),0))),0),0)</f>
        <v>155</v>
      </c>
      <c r="T707" s="95">
        <f t="shared" si="46"/>
        <v>0</v>
      </c>
      <c r="U707" s="95">
        <f t="shared" si="47"/>
        <v>0</v>
      </c>
      <c r="V707" s="28" t="s">
        <v>222</v>
      </c>
      <c r="W707" s="31">
        <v>2020</v>
      </c>
      <c r="X707" s="28">
        <v>1</v>
      </c>
      <c r="Y707" s="28">
        <v>0</v>
      </c>
      <c r="Z707" s="196">
        <v>-1.755E-3</v>
      </c>
      <c r="AA707" s="196">
        <v>-2.7E-2</v>
      </c>
      <c r="AB707" s="28">
        <v>0</v>
      </c>
      <c r="AC707" s="28">
        <v>0</v>
      </c>
      <c r="AD707" s="31" t="s">
        <v>443</v>
      </c>
      <c r="AE707" t="s">
        <v>353</v>
      </c>
    </row>
    <row r="708" spans="2:31" ht="14.25" customHeight="1" x14ac:dyDescent="0.2">
      <c r="B708" s="7">
        <f t="shared" si="48"/>
        <v>684</v>
      </c>
      <c r="C708" s="28">
        <v>5</v>
      </c>
      <c r="D708" s="28">
        <v>2</v>
      </c>
      <c r="E708" s="31">
        <v>7</v>
      </c>
      <c r="F708" s="78">
        <v>2033</v>
      </c>
      <c r="G708" s="28">
        <v>2050</v>
      </c>
      <c r="H708" s="28">
        <v>4</v>
      </c>
      <c r="I708" s="28">
        <v>0</v>
      </c>
      <c r="J708" s="28">
        <v>0</v>
      </c>
      <c r="K708" s="28">
        <v>0</v>
      </c>
      <c r="L708" s="28">
        <v>0</v>
      </c>
      <c r="M708" s="75">
        <v>3.3</v>
      </c>
      <c r="N708" s="151">
        <v>1550</v>
      </c>
      <c r="O708" s="151">
        <v>1035</v>
      </c>
      <c r="P708" s="95">
        <f t="array" ref="P708">ROUND(IF($F708&lt;='TaxCred&amp;Subs'!$C$49,(IF($C708=2,IF($M708&gt;=IFERROR(INDEX('TaxCred&amp;Subs'!$L$12:$L$47,MATCH(1,($C708&amp;$D708='TaxCred&amp;Subs'!$E$12:$E$47)*($F708='TaxCred&amp;Subs'!$C$12:$C$47),0)
),9999),IFERROR(INDEX('TaxCred&amp;Subs'!$N$12:$N$47,MATCH(1,($C708&amp;$D708='TaxCred&amp;Subs'!$E$12:$E$47)*($F708='TaxCred&amp;Subs'!$C$12:$C$47),0)
),0),0),(IF($M708&gt;=IFERROR(INDEX('TaxCred&amp;Subs'!$H$12:$H$47,MATCH(1,($C708&amp;$D708='TaxCred&amp;Subs'!$D$12:$D$47)*($F708='TaxCred&amp;Subs'!$C$12:$C$47),0)
),9999),IFERROR(INDEX('TaxCred&amp;Subs'!$N$12:$N$47,MATCH(1,($C708&amp;$D708='TaxCred&amp;Subs'!$D$12:$D$47)*($F708='TaxCred&amp;Subs'!$C$12:$C$47),0)
),0),0)))),0)+IF(AND($C708=2,VALUE(RIGHT($AD708,1))&gt;2),(N708-R708)*(IFERROR(INDEX('TaxCred&amp;Subs'!$J$66:$J$99,MATCH(1,($C708&amp;$D708='TaxCred&amp;Subs'!$E$66:$E$99)*($F708='TaxCred&amp;Subs'!$C$66:$C$99),0)),0)),IF(AND($C708=1,VALUE(RIGHT($AD708,1))&gt;2),(N708-R708)*(IFERROR(INDEX('TaxCred&amp;Subs'!$J$66:$J$99,MATCH(1,($C708&amp;$D708='TaxCred&amp;Subs'!$D$66:$D$99)*($F708='TaxCred&amp;Subs'!$C$66:$C$99),0)),0)),IF($C708&gt;2,(N708-R708)*(IFERROR(INDEX('TaxCred&amp;Subs'!$J$66:$J$99,MATCH(1,($C708&amp;$D708='TaxCred&amp;Subs'!$D$66:$D$99)*($F708='TaxCred&amp;Subs'!$C$66:$C$99),0)),0)),0))),0)</f>
        <v>0</v>
      </c>
      <c r="Q708" s="95">
        <f t="array" ref="Q708">ROUND(IF(AND($C708=2,VALUE(RIGHT($AD708,1))&gt;2),(O708-S708)*(IFERROR(INDEX('TaxCred&amp;Subs'!$J$66:$J$99,MATCH(1,($C708&amp;$D708='TaxCred&amp;Subs'!$E$66:$E$99)*($F708='TaxCred&amp;Subs'!$C$66:$C$99),0)),0)),IF(AND($C708=1,VALUE(RIGHT($AD708,1))&gt;2),(O708-S708)*(IFERROR(INDEX('TaxCred&amp;Subs'!$J$66:$J$99,MATCH(1,($C708&amp;$D708='TaxCred&amp;Subs'!$D$66:$D$99)*($F708='TaxCred&amp;Subs'!$C$66:$C$99),0)),0)),IF($C708&gt;2,(O708-S708)*(IFERROR(INDEX('TaxCred&amp;Subs'!$J$66:$J$99,MATCH(1,($C708&amp;$D708='TaxCred&amp;Subs'!$D$66:$D$99)*($F708='TaxCred&amp;Subs'!$C$66:$C$99),0)),0)),0))),0)</f>
        <v>0</v>
      </c>
      <c r="R708" s="95">
        <f t="array" ref="R708">ROUND(IF(IFERROR(VALUE(RIGHT($AD708,1)),0)&gt;2,IF($C708=8,N708*IFERROR(INDEX('TaxCred&amp;Subs'!$K$139:$S$151,MATCH($C708&amp;$D708&amp;LEFT($AD708,7),'TaxCred&amp;Subs'!$E$139:$E$151,0),MATCH($H708,'TaxCred&amp;Subs'!$K$137:$S$137,0)),0),IF($C708=2,N708*IFERROR(INDEX('TaxCred&amp;Subs'!$K$139:$S$151,MATCH($C708&amp;$D708,'TaxCred&amp;Subs'!$D$139:$D$151,0),MATCH($H708,'TaxCred&amp;Subs'!$K$137:$S$137,0)),0),N708*IFERROR(INDEX('TaxCred&amp;Subs'!$K$139:$S$151,MATCH($C708&amp;$D708,'TaxCred&amp;Subs'!$C$139:$C$151,0),MATCH($H708,'TaxCred&amp;Subs'!$K$137:$S$137,0)),0))),0),0)</f>
        <v>182</v>
      </c>
      <c r="S708" s="95">
        <f t="array" ref="S708">ROUND(IF(IFERROR(VALUE(RIGHT($AD708,1)),0)&gt;2,IF($C708=8,O708*IFERROR(INDEX('TaxCred&amp;Subs'!$K$139:$S$151,MATCH($C708&amp;$D708&amp;LEFT($AD708,7),'TaxCred&amp;Subs'!$E$139:$E$151,0),MATCH($H708,'TaxCred&amp;Subs'!$K$137:$S$137,0)),0),IF($C708=2,O708*IFERROR(INDEX('TaxCred&amp;Subs'!$K$139:$S$151,MATCH($C708&amp;$D708,'TaxCred&amp;Subs'!$D$139:$D$151,0),MATCH($H708,'TaxCred&amp;Subs'!$K$137:$S$137,0)),0),O708*IFERROR(INDEX('TaxCred&amp;Subs'!$K$139:$S$151,MATCH($C708&amp;$D708,'TaxCred&amp;Subs'!$C$139:$C$151,0),MATCH($H708,'TaxCred&amp;Subs'!$K$137:$S$137,0)),0))),0),0)</f>
        <v>121</v>
      </c>
      <c r="T708" s="95">
        <f t="shared" si="46"/>
        <v>0</v>
      </c>
      <c r="U708" s="95">
        <f t="shared" si="47"/>
        <v>0</v>
      </c>
      <c r="V708" s="28" t="s">
        <v>222</v>
      </c>
      <c r="W708" s="31">
        <v>2020</v>
      </c>
      <c r="X708" s="28">
        <v>1</v>
      </c>
      <c r="Y708" s="28">
        <v>0</v>
      </c>
      <c r="Z708" s="196">
        <v>-1.755E-3</v>
      </c>
      <c r="AA708" s="196">
        <v>-2.7E-2</v>
      </c>
      <c r="AB708" s="28">
        <v>0</v>
      </c>
      <c r="AC708" s="28">
        <v>0</v>
      </c>
      <c r="AD708" s="31" t="s">
        <v>443</v>
      </c>
      <c r="AE708" t="s">
        <v>353</v>
      </c>
    </row>
    <row r="709" spans="2:31" ht="14.25" customHeight="1" x14ac:dyDescent="0.2">
      <c r="B709" s="7">
        <f t="shared" si="48"/>
        <v>685</v>
      </c>
      <c r="C709" s="28">
        <v>5</v>
      </c>
      <c r="D709" s="28">
        <v>2</v>
      </c>
      <c r="E709" s="31">
        <v>7</v>
      </c>
      <c r="F709" s="78">
        <v>2033</v>
      </c>
      <c r="G709" s="28">
        <v>2050</v>
      </c>
      <c r="H709" s="28">
        <v>5</v>
      </c>
      <c r="I709" s="28">
        <v>0</v>
      </c>
      <c r="J709" s="28">
        <v>0</v>
      </c>
      <c r="K709" s="28">
        <v>0</v>
      </c>
      <c r="L709" s="28">
        <v>0</v>
      </c>
      <c r="M709" s="75">
        <v>3.3</v>
      </c>
      <c r="N709" s="151">
        <v>1550</v>
      </c>
      <c r="O709" s="151">
        <v>1035</v>
      </c>
      <c r="P709" s="95">
        <f t="array" ref="P709">ROUND(IF($F709&lt;='TaxCred&amp;Subs'!$C$49,(IF($C709=2,IF($M709&gt;=IFERROR(INDEX('TaxCred&amp;Subs'!$L$12:$L$47,MATCH(1,($C709&amp;$D709='TaxCred&amp;Subs'!$E$12:$E$47)*($F709='TaxCred&amp;Subs'!$C$12:$C$47),0)
),9999),IFERROR(INDEX('TaxCred&amp;Subs'!$N$12:$N$47,MATCH(1,($C709&amp;$D709='TaxCred&amp;Subs'!$E$12:$E$47)*($F709='TaxCred&amp;Subs'!$C$12:$C$47),0)
),0),0),(IF($M709&gt;=IFERROR(INDEX('TaxCred&amp;Subs'!$H$12:$H$47,MATCH(1,($C709&amp;$D709='TaxCred&amp;Subs'!$D$12:$D$47)*($F709='TaxCred&amp;Subs'!$C$12:$C$47),0)
),9999),IFERROR(INDEX('TaxCred&amp;Subs'!$N$12:$N$47,MATCH(1,($C709&amp;$D709='TaxCred&amp;Subs'!$D$12:$D$47)*($F709='TaxCred&amp;Subs'!$C$12:$C$47),0)
),0),0)))),0)+IF(AND($C709=2,VALUE(RIGHT($AD709,1))&gt;2),(N709-R709)*(IFERROR(INDEX('TaxCred&amp;Subs'!$J$66:$J$99,MATCH(1,($C709&amp;$D709='TaxCred&amp;Subs'!$E$66:$E$99)*($F709='TaxCred&amp;Subs'!$C$66:$C$99),0)),0)),IF(AND($C709=1,VALUE(RIGHT($AD709,1))&gt;2),(N709-R709)*(IFERROR(INDEX('TaxCred&amp;Subs'!$J$66:$J$99,MATCH(1,($C709&amp;$D709='TaxCred&amp;Subs'!$D$66:$D$99)*($F709='TaxCred&amp;Subs'!$C$66:$C$99),0)),0)),IF($C709&gt;2,(N709-R709)*(IFERROR(INDEX('TaxCred&amp;Subs'!$J$66:$J$99,MATCH(1,($C709&amp;$D709='TaxCred&amp;Subs'!$D$66:$D$99)*($F709='TaxCred&amp;Subs'!$C$66:$C$99),0)),0)),0))),0)</f>
        <v>0</v>
      </c>
      <c r="Q709" s="95">
        <f t="array" ref="Q709">ROUND(IF(AND($C709=2,VALUE(RIGHT($AD709,1))&gt;2),(O709-S709)*(IFERROR(INDEX('TaxCred&amp;Subs'!$J$66:$J$99,MATCH(1,($C709&amp;$D709='TaxCred&amp;Subs'!$E$66:$E$99)*($F709='TaxCred&amp;Subs'!$C$66:$C$99),0)),0)),IF(AND($C709=1,VALUE(RIGHT($AD709,1))&gt;2),(O709-S709)*(IFERROR(INDEX('TaxCred&amp;Subs'!$J$66:$J$99,MATCH(1,($C709&amp;$D709='TaxCred&amp;Subs'!$D$66:$D$99)*($F709='TaxCred&amp;Subs'!$C$66:$C$99),0)),0)),IF($C709&gt;2,(O709-S709)*(IFERROR(INDEX('TaxCred&amp;Subs'!$J$66:$J$99,MATCH(1,($C709&amp;$D709='TaxCred&amp;Subs'!$D$66:$D$99)*($F709='TaxCred&amp;Subs'!$C$66:$C$99),0)),0)),0))),0)</f>
        <v>0</v>
      </c>
      <c r="R709" s="95">
        <f t="array" ref="R709">ROUND(IF(IFERROR(VALUE(RIGHT($AD709,1)),0)&gt;2,IF($C709=8,N709*IFERROR(INDEX('TaxCred&amp;Subs'!$K$139:$S$151,MATCH($C709&amp;$D709&amp;LEFT($AD709,7),'TaxCred&amp;Subs'!$E$139:$E$151,0),MATCH($H709,'TaxCred&amp;Subs'!$K$137:$S$137,0)),0),IF($C709=2,N709*IFERROR(INDEX('TaxCred&amp;Subs'!$K$139:$S$151,MATCH($C709&amp;$D709,'TaxCred&amp;Subs'!$D$139:$D$151,0),MATCH($H709,'TaxCred&amp;Subs'!$K$137:$S$137,0)),0),N709*IFERROR(INDEX('TaxCred&amp;Subs'!$K$139:$S$151,MATCH($C709&amp;$D709,'TaxCred&amp;Subs'!$C$139:$C$151,0),MATCH($H709,'TaxCred&amp;Subs'!$K$137:$S$137,0)),0))),0),0)</f>
        <v>205</v>
      </c>
      <c r="S709" s="95">
        <f t="array" ref="S709">ROUND(IF(IFERROR(VALUE(RIGHT($AD709,1)),0)&gt;2,IF($C709=8,O709*IFERROR(INDEX('TaxCred&amp;Subs'!$K$139:$S$151,MATCH($C709&amp;$D709&amp;LEFT($AD709,7),'TaxCred&amp;Subs'!$E$139:$E$151,0),MATCH($H709,'TaxCred&amp;Subs'!$K$137:$S$137,0)),0),IF($C709=2,O709*IFERROR(INDEX('TaxCred&amp;Subs'!$K$139:$S$151,MATCH($C709&amp;$D709,'TaxCred&amp;Subs'!$D$139:$D$151,0),MATCH($H709,'TaxCred&amp;Subs'!$K$137:$S$137,0)),0),O709*IFERROR(INDEX('TaxCred&amp;Subs'!$K$139:$S$151,MATCH($C709&amp;$D709,'TaxCred&amp;Subs'!$C$139:$C$151,0),MATCH($H709,'TaxCred&amp;Subs'!$K$137:$S$137,0)),0))),0),0)</f>
        <v>137</v>
      </c>
      <c r="T709" s="95">
        <f t="shared" si="46"/>
        <v>0</v>
      </c>
      <c r="U709" s="95">
        <f t="shared" si="47"/>
        <v>0</v>
      </c>
      <c r="V709" s="28" t="s">
        <v>222</v>
      </c>
      <c r="W709" s="31">
        <v>2020</v>
      </c>
      <c r="X709" s="28">
        <v>1</v>
      </c>
      <c r="Y709" s="28">
        <v>0</v>
      </c>
      <c r="Z709" s="196">
        <v>-1.755E-3</v>
      </c>
      <c r="AA709" s="196">
        <v>-2.7E-2</v>
      </c>
      <c r="AB709" s="28">
        <v>0</v>
      </c>
      <c r="AC709" s="28">
        <v>0</v>
      </c>
      <c r="AD709" s="31" t="s">
        <v>443</v>
      </c>
      <c r="AE709" t="s">
        <v>353</v>
      </c>
    </row>
    <row r="710" spans="2:31" ht="14.25" customHeight="1" x14ac:dyDescent="0.2">
      <c r="B710" s="7">
        <f t="shared" si="48"/>
        <v>686</v>
      </c>
      <c r="C710" s="28">
        <v>5</v>
      </c>
      <c r="D710" s="28">
        <v>2</v>
      </c>
      <c r="E710" s="31">
        <v>7</v>
      </c>
      <c r="F710" s="78">
        <v>2033</v>
      </c>
      <c r="G710" s="28">
        <v>2050</v>
      </c>
      <c r="H710" s="28">
        <v>6</v>
      </c>
      <c r="I710" s="28">
        <v>0</v>
      </c>
      <c r="J710" s="28">
        <v>0</v>
      </c>
      <c r="K710" s="28">
        <v>0</v>
      </c>
      <c r="L710" s="28">
        <v>0</v>
      </c>
      <c r="M710" s="75">
        <v>3.3</v>
      </c>
      <c r="N710" s="151">
        <v>1550</v>
      </c>
      <c r="O710" s="151">
        <v>1035</v>
      </c>
      <c r="P710" s="95">
        <f t="array" ref="P710">ROUND(IF($F710&lt;='TaxCred&amp;Subs'!$C$49,(IF($C710=2,IF($M710&gt;=IFERROR(INDEX('TaxCred&amp;Subs'!$L$12:$L$47,MATCH(1,($C710&amp;$D710='TaxCred&amp;Subs'!$E$12:$E$47)*($F710='TaxCred&amp;Subs'!$C$12:$C$47),0)
),9999),IFERROR(INDEX('TaxCred&amp;Subs'!$N$12:$N$47,MATCH(1,($C710&amp;$D710='TaxCred&amp;Subs'!$E$12:$E$47)*($F710='TaxCred&amp;Subs'!$C$12:$C$47),0)
),0),0),(IF($M710&gt;=IFERROR(INDEX('TaxCred&amp;Subs'!$H$12:$H$47,MATCH(1,($C710&amp;$D710='TaxCred&amp;Subs'!$D$12:$D$47)*($F710='TaxCred&amp;Subs'!$C$12:$C$47),0)
),9999),IFERROR(INDEX('TaxCred&amp;Subs'!$N$12:$N$47,MATCH(1,($C710&amp;$D710='TaxCred&amp;Subs'!$D$12:$D$47)*($F710='TaxCred&amp;Subs'!$C$12:$C$47),0)
),0),0)))),0)+IF(AND($C710=2,VALUE(RIGHT($AD710,1))&gt;2),(N710-R710)*(IFERROR(INDEX('TaxCred&amp;Subs'!$J$66:$J$99,MATCH(1,($C710&amp;$D710='TaxCred&amp;Subs'!$E$66:$E$99)*($F710='TaxCred&amp;Subs'!$C$66:$C$99),0)),0)),IF(AND($C710=1,VALUE(RIGHT($AD710,1))&gt;2),(N710-R710)*(IFERROR(INDEX('TaxCred&amp;Subs'!$J$66:$J$99,MATCH(1,($C710&amp;$D710='TaxCred&amp;Subs'!$D$66:$D$99)*($F710='TaxCred&amp;Subs'!$C$66:$C$99),0)),0)),IF($C710&gt;2,(N710-R710)*(IFERROR(INDEX('TaxCred&amp;Subs'!$J$66:$J$99,MATCH(1,($C710&amp;$D710='TaxCred&amp;Subs'!$D$66:$D$99)*($F710='TaxCred&amp;Subs'!$C$66:$C$99),0)),0)),0))),0)</f>
        <v>0</v>
      </c>
      <c r="Q710" s="95">
        <f t="array" ref="Q710">ROUND(IF(AND($C710=2,VALUE(RIGHT($AD710,1))&gt;2),(O710-S710)*(IFERROR(INDEX('TaxCred&amp;Subs'!$J$66:$J$99,MATCH(1,($C710&amp;$D710='TaxCred&amp;Subs'!$E$66:$E$99)*($F710='TaxCred&amp;Subs'!$C$66:$C$99),0)),0)),IF(AND($C710=1,VALUE(RIGHT($AD710,1))&gt;2),(O710-S710)*(IFERROR(INDEX('TaxCred&amp;Subs'!$J$66:$J$99,MATCH(1,($C710&amp;$D710='TaxCred&amp;Subs'!$D$66:$D$99)*($F710='TaxCred&amp;Subs'!$C$66:$C$99),0)),0)),IF($C710&gt;2,(O710-S710)*(IFERROR(INDEX('TaxCred&amp;Subs'!$J$66:$J$99,MATCH(1,($C710&amp;$D710='TaxCred&amp;Subs'!$D$66:$D$99)*($F710='TaxCred&amp;Subs'!$C$66:$C$99),0)),0)),0))),0)</f>
        <v>0</v>
      </c>
      <c r="R710" s="95">
        <f t="array" ref="R710">ROUND(IF(IFERROR(VALUE(RIGHT($AD710,1)),0)&gt;2,IF($C710=8,N710*IFERROR(INDEX('TaxCred&amp;Subs'!$K$139:$S$151,MATCH($C710&amp;$D710&amp;LEFT($AD710,7),'TaxCred&amp;Subs'!$E$139:$E$151,0),MATCH($H710,'TaxCred&amp;Subs'!$K$137:$S$137,0)),0),IF($C710=2,N710*IFERROR(INDEX('TaxCred&amp;Subs'!$K$139:$S$151,MATCH($C710&amp;$D710,'TaxCred&amp;Subs'!$D$139:$D$151,0),MATCH($H710,'TaxCred&amp;Subs'!$K$137:$S$137,0)),0),N710*IFERROR(INDEX('TaxCred&amp;Subs'!$K$139:$S$151,MATCH($C710&amp;$D710,'TaxCred&amp;Subs'!$C$139:$C$151,0),MATCH($H710,'TaxCred&amp;Subs'!$K$137:$S$137,0)),0))),0),0)</f>
        <v>104</v>
      </c>
      <c r="S710" s="95">
        <f t="array" ref="S710">ROUND(IF(IFERROR(VALUE(RIGHT($AD710,1)),0)&gt;2,IF($C710=8,O710*IFERROR(INDEX('TaxCred&amp;Subs'!$K$139:$S$151,MATCH($C710&amp;$D710&amp;LEFT($AD710,7),'TaxCred&amp;Subs'!$E$139:$E$151,0),MATCH($H710,'TaxCred&amp;Subs'!$K$137:$S$137,0)),0),IF($C710=2,O710*IFERROR(INDEX('TaxCred&amp;Subs'!$K$139:$S$151,MATCH($C710&amp;$D710,'TaxCred&amp;Subs'!$D$139:$D$151,0),MATCH($H710,'TaxCred&amp;Subs'!$K$137:$S$137,0)),0),O710*IFERROR(INDEX('TaxCred&amp;Subs'!$K$139:$S$151,MATCH($C710&amp;$D710,'TaxCred&amp;Subs'!$C$139:$C$151,0),MATCH($H710,'TaxCred&amp;Subs'!$K$137:$S$137,0)),0))),0),0)</f>
        <v>69</v>
      </c>
      <c r="T710" s="95">
        <f t="shared" si="46"/>
        <v>0</v>
      </c>
      <c r="U710" s="95">
        <f t="shared" si="47"/>
        <v>0</v>
      </c>
      <c r="V710" s="28" t="s">
        <v>222</v>
      </c>
      <c r="W710" s="31">
        <v>2020</v>
      </c>
      <c r="X710" s="28">
        <v>1</v>
      </c>
      <c r="Y710" s="28">
        <v>0</v>
      </c>
      <c r="Z710" s="196">
        <v>-1.755E-3</v>
      </c>
      <c r="AA710" s="196">
        <v>-2.7E-2</v>
      </c>
      <c r="AB710" s="28">
        <v>0</v>
      </c>
      <c r="AC710" s="28">
        <v>0</v>
      </c>
      <c r="AD710" s="31" t="s">
        <v>443</v>
      </c>
      <c r="AE710" t="s">
        <v>353</v>
      </c>
    </row>
    <row r="711" spans="2:31" ht="14.25" customHeight="1" x14ac:dyDescent="0.2">
      <c r="B711" s="7">
        <f t="shared" si="48"/>
        <v>687</v>
      </c>
      <c r="C711" s="28">
        <v>5</v>
      </c>
      <c r="D711" s="28">
        <v>2</v>
      </c>
      <c r="E711" s="31">
        <v>7</v>
      </c>
      <c r="F711" s="78">
        <v>2033</v>
      </c>
      <c r="G711" s="28">
        <v>2050</v>
      </c>
      <c r="H711" s="28">
        <v>7</v>
      </c>
      <c r="I711" s="28">
        <v>0</v>
      </c>
      <c r="J711" s="28">
        <v>0</v>
      </c>
      <c r="K711" s="28">
        <v>0</v>
      </c>
      <c r="L711" s="28">
        <v>0</v>
      </c>
      <c r="M711" s="75">
        <v>3.3</v>
      </c>
      <c r="N711" s="151">
        <v>1550</v>
      </c>
      <c r="O711" s="151">
        <v>1035</v>
      </c>
      <c r="P711" s="95">
        <f t="array" ref="P711">ROUND(IF($F711&lt;='TaxCred&amp;Subs'!$C$49,(IF($C711=2,IF($M711&gt;=IFERROR(INDEX('TaxCred&amp;Subs'!$L$12:$L$47,MATCH(1,($C711&amp;$D711='TaxCred&amp;Subs'!$E$12:$E$47)*($F711='TaxCred&amp;Subs'!$C$12:$C$47),0)
),9999),IFERROR(INDEX('TaxCred&amp;Subs'!$N$12:$N$47,MATCH(1,($C711&amp;$D711='TaxCred&amp;Subs'!$E$12:$E$47)*($F711='TaxCred&amp;Subs'!$C$12:$C$47),0)
),0),0),(IF($M711&gt;=IFERROR(INDEX('TaxCred&amp;Subs'!$H$12:$H$47,MATCH(1,($C711&amp;$D711='TaxCred&amp;Subs'!$D$12:$D$47)*($F711='TaxCred&amp;Subs'!$C$12:$C$47),0)
),9999),IFERROR(INDEX('TaxCred&amp;Subs'!$N$12:$N$47,MATCH(1,($C711&amp;$D711='TaxCred&amp;Subs'!$D$12:$D$47)*($F711='TaxCred&amp;Subs'!$C$12:$C$47),0)
),0),0)))),0)+IF(AND($C711=2,VALUE(RIGHT($AD711,1))&gt;2),(N711-R711)*(IFERROR(INDEX('TaxCred&amp;Subs'!$J$66:$J$99,MATCH(1,($C711&amp;$D711='TaxCred&amp;Subs'!$E$66:$E$99)*($F711='TaxCred&amp;Subs'!$C$66:$C$99),0)),0)),IF(AND($C711=1,VALUE(RIGHT($AD711,1))&gt;2),(N711-R711)*(IFERROR(INDEX('TaxCred&amp;Subs'!$J$66:$J$99,MATCH(1,($C711&amp;$D711='TaxCred&amp;Subs'!$D$66:$D$99)*($F711='TaxCred&amp;Subs'!$C$66:$C$99),0)),0)),IF($C711&gt;2,(N711-R711)*(IFERROR(INDEX('TaxCred&amp;Subs'!$J$66:$J$99,MATCH(1,($C711&amp;$D711='TaxCred&amp;Subs'!$D$66:$D$99)*($F711='TaxCred&amp;Subs'!$C$66:$C$99),0)),0)),0))),0)</f>
        <v>0</v>
      </c>
      <c r="Q711" s="95">
        <f t="array" ref="Q711">ROUND(IF(AND($C711=2,VALUE(RIGHT($AD711,1))&gt;2),(O711-S711)*(IFERROR(INDEX('TaxCred&amp;Subs'!$J$66:$J$99,MATCH(1,($C711&amp;$D711='TaxCred&amp;Subs'!$E$66:$E$99)*($F711='TaxCred&amp;Subs'!$C$66:$C$99),0)),0)),IF(AND($C711=1,VALUE(RIGHT($AD711,1))&gt;2),(O711-S711)*(IFERROR(INDEX('TaxCred&amp;Subs'!$J$66:$J$99,MATCH(1,($C711&amp;$D711='TaxCred&amp;Subs'!$D$66:$D$99)*($F711='TaxCred&amp;Subs'!$C$66:$C$99),0)),0)),IF($C711&gt;2,(O711-S711)*(IFERROR(INDEX('TaxCred&amp;Subs'!$J$66:$J$99,MATCH(1,($C711&amp;$D711='TaxCred&amp;Subs'!$D$66:$D$99)*($F711='TaxCred&amp;Subs'!$C$66:$C$99),0)),0)),0))),0)</f>
        <v>0</v>
      </c>
      <c r="R711" s="95">
        <f t="array" ref="R711">ROUND(IF(IFERROR(VALUE(RIGHT($AD711,1)),0)&gt;2,IF($C711=8,N711*IFERROR(INDEX('TaxCred&amp;Subs'!$K$139:$S$151,MATCH($C711&amp;$D711&amp;LEFT($AD711,7),'TaxCred&amp;Subs'!$E$139:$E$151,0),MATCH($H711,'TaxCred&amp;Subs'!$K$137:$S$137,0)),0),IF($C711=2,N711*IFERROR(INDEX('TaxCred&amp;Subs'!$K$139:$S$151,MATCH($C711&amp;$D711,'TaxCred&amp;Subs'!$D$139:$D$151,0),MATCH($H711,'TaxCred&amp;Subs'!$K$137:$S$137,0)),0),N711*IFERROR(INDEX('TaxCred&amp;Subs'!$K$139:$S$151,MATCH($C711&amp;$D711,'TaxCred&amp;Subs'!$C$139:$C$151,0),MATCH($H711,'TaxCred&amp;Subs'!$K$137:$S$137,0)),0))),0),0)</f>
        <v>318</v>
      </c>
      <c r="S711" s="95">
        <f t="array" ref="S711">ROUND(IF(IFERROR(VALUE(RIGHT($AD711,1)),0)&gt;2,IF($C711=8,O711*IFERROR(INDEX('TaxCred&amp;Subs'!$K$139:$S$151,MATCH($C711&amp;$D711&amp;LEFT($AD711,7),'TaxCred&amp;Subs'!$E$139:$E$151,0),MATCH($H711,'TaxCred&amp;Subs'!$K$137:$S$137,0)),0),IF($C711=2,O711*IFERROR(INDEX('TaxCred&amp;Subs'!$K$139:$S$151,MATCH($C711&amp;$D711,'TaxCred&amp;Subs'!$D$139:$D$151,0),MATCH($H711,'TaxCred&amp;Subs'!$K$137:$S$137,0)),0),O711*IFERROR(INDEX('TaxCred&amp;Subs'!$K$139:$S$151,MATCH($C711&amp;$D711,'TaxCred&amp;Subs'!$C$139:$C$151,0),MATCH($H711,'TaxCred&amp;Subs'!$K$137:$S$137,0)),0))),0),0)</f>
        <v>213</v>
      </c>
      <c r="T711" s="95">
        <f t="shared" si="46"/>
        <v>0</v>
      </c>
      <c r="U711" s="95">
        <f t="shared" si="47"/>
        <v>0</v>
      </c>
      <c r="V711" s="28" t="s">
        <v>222</v>
      </c>
      <c r="W711" s="31">
        <v>2020</v>
      </c>
      <c r="X711" s="28">
        <v>1</v>
      </c>
      <c r="Y711" s="28">
        <v>0</v>
      </c>
      <c r="Z711" s="196">
        <v>-1.755E-3</v>
      </c>
      <c r="AA711" s="196">
        <v>-2.7E-2</v>
      </c>
      <c r="AB711" s="28">
        <v>0</v>
      </c>
      <c r="AC711" s="28">
        <v>0</v>
      </c>
      <c r="AD711" s="31" t="s">
        <v>443</v>
      </c>
      <c r="AE711" t="s">
        <v>353</v>
      </c>
    </row>
    <row r="712" spans="2:31" ht="14.25" customHeight="1" x14ac:dyDescent="0.2">
      <c r="B712" s="7">
        <f t="shared" si="48"/>
        <v>688</v>
      </c>
      <c r="C712" s="28">
        <v>5</v>
      </c>
      <c r="D712" s="28">
        <v>2</v>
      </c>
      <c r="E712" s="31">
        <v>7</v>
      </c>
      <c r="F712" s="78">
        <v>2033</v>
      </c>
      <c r="G712" s="28">
        <v>2050</v>
      </c>
      <c r="H712" s="28">
        <v>8</v>
      </c>
      <c r="I712" s="28">
        <v>0</v>
      </c>
      <c r="J712" s="28">
        <v>0</v>
      </c>
      <c r="K712" s="28">
        <v>0</v>
      </c>
      <c r="L712" s="28">
        <v>0</v>
      </c>
      <c r="M712" s="75">
        <v>3.3</v>
      </c>
      <c r="N712" s="151">
        <v>1550</v>
      </c>
      <c r="O712" s="151">
        <v>1035</v>
      </c>
      <c r="P712" s="95">
        <f t="array" ref="P712">ROUND(IF($F712&lt;='TaxCred&amp;Subs'!$C$49,(IF($C712=2,IF($M712&gt;=IFERROR(INDEX('TaxCred&amp;Subs'!$L$12:$L$47,MATCH(1,($C712&amp;$D712='TaxCred&amp;Subs'!$E$12:$E$47)*($F712='TaxCred&amp;Subs'!$C$12:$C$47),0)
),9999),IFERROR(INDEX('TaxCred&amp;Subs'!$N$12:$N$47,MATCH(1,($C712&amp;$D712='TaxCred&amp;Subs'!$E$12:$E$47)*($F712='TaxCred&amp;Subs'!$C$12:$C$47),0)
),0),0),(IF($M712&gt;=IFERROR(INDEX('TaxCred&amp;Subs'!$H$12:$H$47,MATCH(1,($C712&amp;$D712='TaxCred&amp;Subs'!$D$12:$D$47)*($F712='TaxCred&amp;Subs'!$C$12:$C$47),0)
),9999),IFERROR(INDEX('TaxCred&amp;Subs'!$N$12:$N$47,MATCH(1,($C712&amp;$D712='TaxCred&amp;Subs'!$D$12:$D$47)*($F712='TaxCred&amp;Subs'!$C$12:$C$47),0)
),0),0)))),0)+IF(AND($C712=2,VALUE(RIGHT($AD712,1))&gt;2),(N712-R712)*(IFERROR(INDEX('TaxCred&amp;Subs'!$J$66:$J$99,MATCH(1,($C712&amp;$D712='TaxCred&amp;Subs'!$E$66:$E$99)*($F712='TaxCred&amp;Subs'!$C$66:$C$99),0)),0)),IF(AND($C712=1,VALUE(RIGHT($AD712,1))&gt;2),(N712-R712)*(IFERROR(INDEX('TaxCred&amp;Subs'!$J$66:$J$99,MATCH(1,($C712&amp;$D712='TaxCred&amp;Subs'!$D$66:$D$99)*($F712='TaxCred&amp;Subs'!$C$66:$C$99),0)),0)),IF($C712&gt;2,(N712-R712)*(IFERROR(INDEX('TaxCred&amp;Subs'!$J$66:$J$99,MATCH(1,($C712&amp;$D712='TaxCred&amp;Subs'!$D$66:$D$99)*($F712='TaxCred&amp;Subs'!$C$66:$C$99),0)),0)),0))),0)</f>
        <v>0</v>
      </c>
      <c r="Q712" s="95">
        <f t="array" ref="Q712">ROUND(IF(AND($C712=2,VALUE(RIGHT($AD712,1))&gt;2),(O712-S712)*(IFERROR(INDEX('TaxCred&amp;Subs'!$J$66:$J$99,MATCH(1,($C712&amp;$D712='TaxCred&amp;Subs'!$E$66:$E$99)*($F712='TaxCred&amp;Subs'!$C$66:$C$99),0)),0)),IF(AND($C712=1,VALUE(RIGHT($AD712,1))&gt;2),(O712-S712)*(IFERROR(INDEX('TaxCred&amp;Subs'!$J$66:$J$99,MATCH(1,($C712&amp;$D712='TaxCred&amp;Subs'!$D$66:$D$99)*($F712='TaxCred&amp;Subs'!$C$66:$C$99),0)),0)),IF($C712&gt;2,(O712-S712)*(IFERROR(INDEX('TaxCred&amp;Subs'!$J$66:$J$99,MATCH(1,($C712&amp;$D712='TaxCred&amp;Subs'!$D$66:$D$99)*($F712='TaxCred&amp;Subs'!$C$66:$C$99),0)),0)),0))),0)</f>
        <v>0</v>
      </c>
      <c r="R712" s="95">
        <f t="array" ref="R712">ROUND(IF(IFERROR(VALUE(RIGHT($AD712,1)),0)&gt;2,IF($C712=8,N712*IFERROR(INDEX('TaxCred&amp;Subs'!$K$139:$S$151,MATCH($C712&amp;$D712&amp;LEFT($AD712,7),'TaxCred&amp;Subs'!$E$139:$E$151,0),MATCH($H712,'TaxCred&amp;Subs'!$K$137:$S$137,0)),0),IF($C712=2,N712*IFERROR(INDEX('TaxCred&amp;Subs'!$K$139:$S$151,MATCH($C712&amp;$D712,'TaxCred&amp;Subs'!$D$139:$D$151,0),MATCH($H712,'TaxCred&amp;Subs'!$K$137:$S$137,0)),0),N712*IFERROR(INDEX('TaxCred&amp;Subs'!$K$139:$S$151,MATCH($C712&amp;$D712,'TaxCred&amp;Subs'!$C$139:$C$151,0),MATCH($H712,'TaxCred&amp;Subs'!$K$137:$S$137,0)),0))),0),0)</f>
        <v>134</v>
      </c>
      <c r="S712" s="95">
        <f t="array" ref="S712">ROUND(IF(IFERROR(VALUE(RIGHT($AD712,1)),0)&gt;2,IF($C712=8,O712*IFERROR(INDEX('TaxCred&amp;Subs'!$K$139:$S$151,MATCH($C712&amp;$D712&amp;LEFT($AD712,7),'TaxCred&amp;Subs'!$E$139:$E$151,0),MATCH($H712,'TaxCred&amp;Subs'!$K$137:$S$137,0)),0),IF($C712=2,O712*IFERROR(INDEX('TaxCred&amp;Subs'!$K$139:$S$151,MATCH($C712&amp;$D712,'TaxCred&amp;Subs'!$D$139:$D$151,0),MATCH($H712,'TaxCred&amp;Subs'!$K$137:$S$137,0)),0),O712*IFERROR(INDEX('TaxCred&amp;Subs'!$K$139:$S$151,MATCH($C712&amp;$D712,'TaxCred&amp;Subs'!$C$139:$C$151,0),MATCH($H712,'TaxCred&amp;Subs'!$K$137:$S$137,0)),0))),0),0)</f>
        <v>89</v>
      </c>
      <c r="T712" s="95">
        <f t="shared" si="46"/>
        <v>0</v>
      </c>
      <c r="U712" s="95">
        <f t="shared" si="47"/>
        <v>0</v>
      </c>
      <c r="V712" s="28" t="s">
        <v>222</v>
      </c>
      <c r="W712" s="31">
        <v>2020</v>
      </c>
      <c r="X712" s="28">
        <v>1</v>
      </c>
      <c r="Y712" s="28">
        <v>0</v>
      </c>
      <c r="Z712" s="196">
        <v>-1.755E-3</v>
      </c>
      <c r="AA712" s="196">
        <v>-2.7E-2</v>
      </c>
      <c r="AB712" s="28">
        <v>0</v>
      </c>
      <c r="AC712" s="28">
        <v>0</v>
      </c>
      <c r="AD712" s="31" t="s">
        <v>443</v>
      </c>
      <c r="AE712" t="s">
        <v>353</v>
      </c>
    </row>
    <row r="713" spans="2:31" ht="14.25" customHeight="1" x14ac:dyDescent="0.2">
      <c r="B713" s="7">
        <f t="shared" si="48"/>
        <v>689</v>
      </c>
      <c r="C713" s="28">
        <v>5</v>
      </c>
      <c r="D713" s="28">
        <v>2</v>
      </c>
      <c r="E713" s="31">
        <v>7</v>
      </c>
      <c r="F713" s="78">
        <v>2033</v>
      </c>
      <c r="G713" s="28">
        <v>2050</v>
      </c>
      <c r="H713" s="28">
        <v>9</v>
      </c>
      <c r="I713" s="28">
        <v>0</v>
      </c>
      <c r="J713" s="28">
        <v>0</v>
      </c>
      <c r="K713" s="28">
        <v>0</v>
      </c>
      <c r="L713" s="28">
        <v>0</v>
      </c>
      <c r="M713" s="75">
        <v>3.3</v>
      </c>
      <c r="N713" s="151">
        <v>1550</v>
      </c>
      <c r="O713" s="151">
        <v>1035</v>
      </c>
      <c r="P713" s="95">
        <f t="array" ref="P713">ROUND(IF($F713&lt;='TaxCred&amp;Subs'!$C$49,(IF($C713=2,IF($M713&gt;=IFERROR(INDEX('TaxCred&amp;Subs'!$L$12:$L$47,MATCH(1,($C713&amp;$D713='TaxCred&amp;Subs'!$E$12:$E$47)*($F713='TaxCred&amp;Subs'!$C$12:$C$47),0)
),9999),IFERROR(INDEX('TaxCred&amp;Subs'!$N$12:$N$47,MATCH(1,($C713&amp;$D713='TaxCred&amp;Subs'!$E$12:$E$47)*($F713='TaxCred&amp;Subs'!$C$12:$C$47),0)
),0),0),(IF($M713&gt;=IFERROR(INDEX('TaxCred&amp;Subs'!$H$12:$H$47,MATCH(1,($C713&amp;$D713='TaxCred&amp;Subs'!$D$12:$D$47)*($F713='TaxCred&amp;Subs'!$C$12:$C$47),0)
),9999),IFERROR(INDEX('TaxCred&amp;Subs'!$N$12:$N$47,MATCH(1,($C713&amp;$D713='TaxCred&amp;Subs'!$D$12:$D$47)*($F713='TaxCred&amp;Subs'!$C$12:$C$47),0)
),0),0)))),0)+IF(AND($C713=2,VALUE(RIGHT($AD713,1))&gt;2),(N713-R713)*(IFERROR(INDEX('TaxCred&amp;Subs'!$J$66:$J$99,MATCH(1,($C713&amp;$D713='TaxCred&amp;Subs'!$E$66:$E$99)*($F713='TaxCred&amp;Subs'!$C$66:$C$99),0)),0)),IF(AND($C713=1,VALUE(RIGHT($AD713,1))&gt;2),(N713-R713)*(IFERROR(INDEX('TaxCred&amp;Subs'!$J$66:$J$99,MATCH(1,($C713&amp;$D713='TaxCred&amp;Subs'!$D$66:$D$99)*($F713='TaxCred&amp;Subs'!$C$66:$C$99),0)),0)),IF($C713&gt;2,(N713-R713)*(IFERROR(INDEX('TaxCred&amp;Subs'!$J$66:$J$99,MATCH(1,($C713&amp;$D713='TaxCred&amp;Subs'!$D$66:$D$99)*($F713='TaxCred&amp;Subs'!$C$66:$C$99),0)),0)),0))),0)</f>
        <v>0</v>
      </c>
      <c r="Q713" s="95">
        <f t="array" ref="Q713">ROUND(IF(AND($C713=2,VALUE(RIGHT($AD713,1))&gt;2),(O713-S713)*(IFERROR(INDEX('TaxCred&amp;Subs'!$J$66:$J$99,MATCH(1,($C713&amp;$D713='TaxCred&amp;Subs'!$E$66:$E$99)*($F713='TaxCred&amp;Subs'!$C$66:$C$99),0)),0)),IF(AND($C713=1,VALUE(RIGHT($AD713,1))&gt;2),(O713-S713)*(IFERROR(INDEX('TaxCred&amp;Subs'!$J$66:$J$99,MATCH(1,($C713&amp;$D713='TaxCred&amp;Subs'!$D$66:$D$99)*($F713='TaxCred&amp;Subs'!$C$66:$C$99),0)),0)),IF($C713&gt;2,(O713-S713)*(IFERROR(INDEX('TaxCred&amp;Subs'!$J$66:$J$99,MATCH(1,($C713&amp;$D713='TaxCred&amp;Subs'!$D$66:$D$99)*($F713='TaxCred&amp;Subs'!$C$66:$C$99),0)),0)),0))),0)</f>
        <v>0</v>
      </c>
      <c r="R713" s="95">
        <f t="array" ref="R713">ROUND(IF(IFERROR(VALUE(RIGHT($AD713,1)),0)&gt;2,IF($C713=8,N713*IFERROR(INDEX('TaxCred&amp;Subs'!$K$139:$S$151,MATCH($C713&amp;$D713&amp;LEFT($AD713,7),'TaxCred&amp;Subs'!$E$139:$E$151,0),MATCH($H713,'TaxCred&amp;Subs'!$K$137:$S$137,0)),0),IF($C713=2,N713*IFERROR(INDEX('TaxCred&amp;Subs'!$K$139:$S$151,MATCH($C713&amp;$D713,'TaxCred&amp;Subs'!$D$139:$D$151,0),MATCH($H713,'TaxCred&amp;Subs'!$K$137:$S$137,0)),0),N713*IFERROR(INDEX('TaxCred&amp;Subs'!$K$139:$S$151,MATCH($C713&amp;$D713,'TaxCred&amp;Subs'!$C$139:$C$151,0),MATCH($H713,'TaxCred&amp;Subs'!$K$137:$S$137,0)),0))),0),0)</f>
        <v>350</v>
      </c>
      <c r="S713" s="95">
        <f t="array" ref="S713">ROUND(IF(IFERROR(VALUE(RIGHT($AD713,1)),0)&gt;2,IF($C713=8,O713*IFERROR(INDEX('TaxCred&amp;Subs'!$K$139:$S$151,MATCH($C713&amp;$D713&amp;LEFT($AD713,7),'TaxCred&amp;Subs'!$E$139:$E$151,0),MATCH($H713,'TaxCred&amp;Subs'!$K$137:$S$137,0)),0),IF($C713=2,O713*IFERROR(INDEX('TaxCred&amp;Subs'!$K$139:$S$151,MATCH($C713&amp;$D713,'TaxCred&amp;Subs'!$D$139:$D$151,0),MATCH($H713,'TaxCred&amp;Subs'!$K$137:$S$137,0)),0),O713*IFERROR(INDEX('TaxCred&amp;Subs'!$K$139:$S$151,MATCH($C713&amp;$D713,'TaxCred&amp;Subs'!$C$139:$C$151,0),MATCH($H713,'TaxCred&amp;Subs'!$K$137:$S$137,0)),0))),0),0)</f>
        <v>234</v>
      </c>
      <c r="T713" s="172">
        <f t="shared" si="46"/>
        <v>232.5</v>
      </c>
      <c r="U713" s="172">
        <f t="shared" si="47"/>
        <v>155.25</v>
      </c>
      <c r="V713" s="28" t="s">
        <v>222</v>
      </c>
      <c r="W713" s="31">
        <v>2020</v>
      </c>
      <c r="X713" s="28">
        <v>1</v>
      </c>
      <c r="Y713" s="28">
        <v>0</v>
      </c>
      <c r="Z713" s="196">
        <v>-1.755E-3</v>
      </c>
      <c r="AA713" s="196">
        <v>-2.7E-2</v>
      </c>
      <c r="AB713" s="28">
        <v>0</v>
      </c>
      <c r="AC713" s="28">
        <v>0</v>
      </c>
      <c r="AD713" s="31" t="s">
        <v>443</v>
      </c>
      <c r="AE713" t="s">
        <v>353</v>
      </c>
    </row>
    <row r="714" spans="2:31" ht="14.25" customHeight="1" x14ac:dyDescent="0.2">
      <c r="B714" s="7">
        <f t="shared" si="48"/>
        <v>690</v>
      </c>
      <c r="C714" s="28">
        <v>5</v>
      </c>
      <c r="D714" s="28">
        <v>2</v>
      </c>
      <c r="E714" s="31">
        <v>8</v>
      </c>
      <c r="F714" s="96">
        <v>2020</v>
      </c>
      <c r="G714" s="28">
        <v>2021</v>
      </c>
      <c r="H714" s="28">
        <v>1</v>
      </c>
      <c r="I714" s="28">
        <v>0</v>
      </c>
      <c r="J714" s="28">
        <v>0</v>
      </c>
      <c r="K714" s="28">
        <v>0</v>
      </c>
      <c r="L714" s="28">
        <v>0</v>
      </c>
      <c r="M714" s="156">
        <v>3.73</v>
      </c>
      <c r="N714" s="151">
        <v>1715</v>
      </c>
      <c r="O714" s="151">
        <v>1170</v>
      </c>
      <c r="P714" s="95">
        <f t="array" ref="P714">ROUND(IF($F714&lt;='TaxCred&amp;Subs'!$C$49,(IF($C714=2,IF($M714&gt;=IFERROR(INDEX('TaxCred&amp;Subs'!$L$12:$L$47,MATCH(1,($C714&amp;$D714='TaxCred&amp;Subs'!$E$12:$E$47)*($F714='TaxCred&amp;Subs'!$C$12:$C$47),0)
),9999),IFERROR(INDEX('TaxCred&amp;Subs'!$N$12:$N$47,MATCH(1,($C714&amp;$D714='TaxCred&amp;Subs'!$E$12:$E$47)*($F714='TaxCred&amp;Subs'!$C$12:$C$47),0)
),0),0),(IF($M714&gt;=IFERROR(INDEX('TaxCred&amp;Subs'!$H$12:$H$47,MATCH(1,($C714&amp;$D714='TaxCred&amp;Subs'!$D$12:$D$47)*($F714='TaxCred&amp;Subs'!$C$12:$C$47),0)
),9999),IFERROR(INDEX('TaxCred&amp;Subs'!$N$12:$N$47,MATCH(1,($C714&amp;$D714='TaxCred&amp;Subs'!$D$12:$D$47)*($F714='TaxCred&amp;Subs'!$C$12:$C$47),0)
),0),0)))),0)+IF(AND($C714=2,VALUE(RIGHT($AD714,1))&gt;2),(N714-R714)*(IFERROR(INDEX('TaxCred&amp;Subs'!$J$66:$J$99,MATCH(1,($C714&amp;$D714='TaxCred&amp;Subs'!$E$66:$E$99)*($F714='TaxCred&amp;Subs'!$C$66:$C$99),0)),0)),IF(AND($C714=1,VALUE(RIGHT($AD714,1))&gt;2),(N714-R714)*(IFERROR(INDEX('TaxCred&amp;Subs'!$J$66:$J$99,MATCH(1,($C714&amp;$D714='TaxCred&amp;Subs'!$D$66:$D$99)*($F714='TaxCred&amp;Subs'!$C$66:$C$99),0)),0)),IF($C714&gt;2,(N714-R714)*(IFERROR(INDEX('TaxCred&amp;Subs'!$J$66:$J$99,MATCH(1,($C714&amp;$D714='TaxCred&amp;Subs'!$D$66:$D$99)*($F714='TaxCred&amp;Subs'!$C$66:$C$99),0)),0)),0))),0)</f>
        <v>300</v>
      </c>
      <c r="Q714" s="95">
        <f t="array" ref="Q714">ROUND(IF(AND($C714=2,VALUE(RIGHT($AD714,1))&gt;2),(O714-S714)*(IFERROR(INDEX('TaxCred&amp;Subs'!$J$66:$J$99,MATCH(1,($C714&amp;$D714='TaxCred&amp;Subs'!$E$66:$E$99)*($F714='TaxCred&amp;Subs'!$C$66:$C$99),0)),0)),IF(AND($C714=1,VALUE(RIGHT($AD714,1))&gt;2),(O714-S714)*(IFERROR(INDEX('TaxCred&amp;Subs'!$J$66:$J$99,MATCH(1,($C714&amp;$D714='TaxCred&amp;Subs'!$D$66:$D$99)*($F714='TaxCred&amp;Subs'!$C$66:$C$99),0)),0)),IF($C714&gt;2,(O714-S714)*(IFERROR(INDEX('TaxCred&amp;Subs'!$J$66:$J$99,MATCH(1,($C714&amp;$D714='TaxCred&amp;Subs'!$D$66:$D$99)*($F714='TaxCred&amp;Subs'!$C$66:$C$99),0)),0)),0))),0)</f>
        <v>0</v>
      </c>
      <c r="R714" s="95">
        <f t="array" ref="R714">ROUND(IF(IFERROR(VALUE(RIGHT($AD714,1)),0)&gt;2,IF($C714=8,N714*IFERROR(INDEX('TaxCred&amp;Subs'!$K$139:$S$151,MATCH($C714&amp;$D714&amp;LEFT($AD714,7),'TaxCred&amp;Subs'!$E$139:$E$151,0),MATCH($H714,'TaxCred&amp;Subs'!$K$137:$S$137,0)),0),IF($C714=2,N714*IFERROR(INDEX('TaxCred&amp;Subs'!$K$139:$S$151,MATCH($C714&amp;$D714,'TaxCred&amp;Subs'!$D$139:$D$151,0),MATCH($H714,'TaxCred&amp;Subs'!$K$137:$S$137,0)),0),N714*IFERROR(INDEX('TaxCred&amp;Subs'!$K$139:$S$151,MATCH($C714&amp;$D714,'TaxCred&amp;Subs'!$C$139:$C$151,0),MATCH($H714,'TaxCred&amp;Subs'!$K$137:$S$137,0)),0))),0),0)</f>
        <v>447</v>
      </c>
      <c r="S714" s="95">
        <f t="array" ref="S714">ROUND(IF(IFERROR(VALUE(RIGHT($AD714,1)),0)&gt;2,IF($C714=8,O714*IFERROR(INDEX('TaxCred&amp;Subs'!$K$139:$S$151,MATCH($C714&amp;$D714&amp;LEFT($AD714,7),'TaxCred&amp;Subs'!$E$139:$E$151,0),MATCH($H714,'TaxCred&amp;Subs'!$K$137:$S$137,0)),0),IF($C714=2,O714*IFERROR(INDEX('TaxCred&amp;Subs'!$K$139:$S$151,MATCH($C714&amp;$D714,'TaxCred&amp;Subs'!$D$139:$D$151,0),MATCH($H714,'TaxCred&amp;Subs'!$K$137:$S$137,0)),0),O714*IFERROR(INDEX('TaxCred&amp;Subs'!$K$139:$S$151,MATCH($C714&amp;$D714,'TaxCred&amp;Subs'!$C$139:$C$151,0),MATCH($H714,'TaxCred&amp;Subs'!$K$137:$S$137,0)),0))),0),0)</f>
        <v>305</v>
      </c>
      <c r="T714" s="95">
        <f t="shared" si="46"/>
        <v>0</v>
      </c>
      <c r="U714" s="95">
        <f t="shared" si="47"/>
        <v>0</v>
      </c>
      <c r="V714" s="28" t="s">
        <v>222</v>
      </c>
      <c r="W714" s="31">
        <v>2020</v>
      </c>
      <c r="X714" s="28">
        <v>1</v>
      </c>
      <c r="Y714" s="28">
        <v>0</v>
      </c>
      <c r="Z714" s="196">
        <v>-1.755E-3</v>
      </c>
      <c r="AA714" s="196">
        <v>-2.7E-2</v>
      </c>
      <c r="AB714" s="28">
        <v>0</v>
      </c>
      <c r="AC714" s="28">
        <v>0</v>
      </c>
      <c r="AD714" s="31" t="s">
        <v>501</v>
      </c>
      <c r="AE714" t="s">
        <v>354</v>
      </c>
    </row>
    <row r="715" spans="2:31" ht="14.25" customHeight="1" x14ac:dyDescent="0.2">
      <c r="B715" s="7">
        <f t="shared" si="48"/>
        <v>691</v>
      </c>
      <c r="C715" s="28">
        <v>5</v>
      </c>
      <c r="D715" s="28">
        <v>2</v>
      </c>
      <c r="E715" s="31">
        <v>8</v>
      </c>
      <c r="F715" s="96">
        <v>2020</v>
      </c>
      <c r="G715" s="28">
        <v>2021</v>
      </c>
      <c r="H715" s="28">
        <v>2</v>
      </c>
      <c r="I715" s="28">
        <v>0</v>
      </c>
      <c r="J715" s="28">
        <v>0</v>
      </c>
      <c r="K715" s="28">
        <v>0</v>
      </c>
      <c r="L715" s="28">
        <v>0</v>
      </c>
      <c r="M715" s="156">
        <v>3.73</v>
      </c>
      <c r="N715" s="151">
        <v>1715</v>
      </c>
      <c r="O715" s="151">
        <v>1170</v>
      </c>
      <c r="P715" s="95">
        <f t="array" ref="P715">ROUND(IF($F715&lt;='TaxCred&amp;Subs'!$C$49,(IF($C715=2,IF($M715&gt;=IFERROR(INDEX('TaxCred&amp;Subs'!$L$12:$L$47,MATCH(1,($C715&amp;$D715='TaxCred&amp;Subs'!$E$12:$E$47)*($F715='TaxCred&amp;Subs'!$C$12:$C$47),0)
),9999),IFERROR(INDEX('TaxCred&amp;Subs'!$N$12:$N$47,MATCH(1,($C715&amp;$D715='TaxCred&amp;Subs'!$E$12:$E$47)*($F715='TaxCred&amp;Subs'!$C$12:$C$47),0)
),0),0),(IF($M715&gt;=IFERROR(INDEX('TaxCred&amp;Subs'!$H$12:$H$47,MATCH(1,($C715&amp;$D715='TaxCred&amp;Subs'!$D$12:$D$47)*($F715='TaxCred&amp;Subs'!$C$12:$C$47),0)
),9999),IFERROR(INDEX('TaxCred&amp;Subs'!$N$12:$N$47,MATCH(1,($C715&amp;$D715='TaxCred&amp;Subs'!$D$12:$D$47)*($F715='TaxCred&amp;Subs'!$C$12:$C$47),0)
),0),0)))),0)+IF(AND($C715=2,VALUE(RIGHT($AD715,1))&gt;2),(N715-R715)*(IFERROR(INDEX('TaxCred&amp;Subs'!$J$66:$J$99,MATCH(1,($C715&amp;$D715='TaxCred&amp;Subs'!$E$66:$E$99)*($F715='TaxCred&amp;Subs'!$C$66:$C$99),0)),0)),IF(AND($C715=1,VALUE(RIGHT($AD715,1))&gt;2),(N715-R715)*(IFERROR(INDEX('TaxCred&amp;Subs'!$J$66:$J$99,MATCH(1,($C715&amp;$D715='TaxCred&amp;Subs'!$D$66:$D$99)*($F715='TaxCred&amp;Subs'!$C$66:$C$99),0)),0)),IF($C715&gt;2,(N715-R715)*(IFERROR(INDEX('TaxCred&amp;Subs'!$J$66:$J$99,MATCH(1,($C715&amp;$D715='TaxCred&amp;Subs'!$D$66:$D$99)*($F715='TaxCred&amp;Subs'!$C$66:$C$99),0)),0)),0))),0)</f>
        <v>300</v>
      </c>
      <c r="Q715" s="95">
        <f t="array" ref="Q715">ROUND(IF(AND($C715=2,VALUE(RIGHT($AD715,1))&gt;2),(O715-S715)*(IFERROR(INDEX('TaxCred&amp;Subs'!$J$66:$J$99,MATCH(1,($C715&amp;$D715='TaxCred&amp;Subs'!$E$66:$E$99)*($F715='TaxCred&amp;Subs'!$C$66:$C$99),0)),0)),IF(AND($C715=1,VALUE(RIGHT($AD715,1))&gt;2),(O715-S715)*(IFERROR(INDEX('TaxCred&amp;Subs'!$J$66:$J$99,MATCH(1,($C715&amp;$D715='TaxCred&amp;Subs'!$D$66:$D$99)*($F715='TaxCred&amp;Subs'!$C$66:$C$99),0)),0)),IF($C715&gt;2,(O715-S715)*(IFERROR(INDEX('TaxCred&amp;Subs'!$J$66:$J$99,MATCH(1,($C715&amp;$D715='TaxCred&amp;Subs'!$D$66:$D$99)*($F715='TaxCred&amp;Subs'!$C$66:$C$99),0)),0)),0))),0)</f>
        <v>0</v>
      </c>
      <c r="R715" s="95">
        <f t="array" ref="R715">ROUND(IF(IFERROR(VALUE(RIGHT($AD715,1)),0)&gt;2,IF($C715=8,N715*IFERROR(INDEX('TaxCred&amp;Subs'!$K$139:$S$151,MATCH($C715&amp;$D715&amp;LEFT($AD715,7),'TaxCred&amp;Subs'!$E$139:$E$151,0),MATCH($H715,'TaxCred&amp;Subs'!$K$137:$S$137,0)),0),IF($C715=2,N715*IFERROR(INDEX('TaxCred&amp;Subs'!$K$139:$S$151,MATCH($C715&amp;$D715,'TaxCred&amp;Subs'!$D$139:$D$151,0),MATCH($H715,'TaxCred&amp;Subs'!$K$137:$S$137,0)),0),N715*IFERROR(INDEX('TaxCred&amp;Subs'!$K$139:$S$151,MATCH($C715&amp;$D715,'TaxCred&amp;Subs'!$C$139:$C$151,0),MATCH($H715,'TaxCred&amp;Subs'!$K$137:$S$137,0)),0))),0),0)</f>
        <v>439</v>
      </c>
      <c r="S715" s="95">
        <f t="array" ref="S715">ROUND(IF(IFERROR(VALUE(RIGHT($AD715,1)),0)&gt;2,IF($C715=8,O715*IFERROR(INDEX('TaxCred&amp;Subs'!$K$139:$S$151,MATCH($C715&amp;$D715&amp;LEFT($AD715,7),'TaxCred&amp;Subs'!$E$139:$E$151,0),MATCH($H715,'TaxCred&amp;Subs'!$K$137:$S$137,0)),0),IF($C715=2,O715*IFERROR(INDEX('TaxCred&amp;Subs'!$K$139:$S$151,MATCH($C715&amp;$D715,'TaxCred&amp;Subs'!$D$139:$D$151,0),MATCH($H715,'TaxCred&amp;Subs'!$K$137:$S$137,0)),0),O715*IFERROR(INDEX('TaxCred&amp;Subs'!$K$139:$S$151,MATCH($C715&amp;$D715,'TaxCred&amp;Subs'!$C$139:$C$151,0),MATCH($H715,'TaxCred&amp;Subs'!$K$137:$S$137,0)),0))),0),0)</f>
        <v>299</v>
      </c>
      <c r="T715" s="95">
        <f t="shared" si="46"/>
        <v>0</v>
      </c>
      <c r="U715" s="95">
        <f t="shared" si="47"/>
        <v>0</v>
      </c>
      <c r="V715" s="28" t="s">
        <v>222</v>
      </c>
      <c r="W715" s="31">
        <v>2020</v>
      </c>
      <c r="X715" s="28">
        <v>1</v>
      </c>
      <c r="Y715" s="28">
        <v>0</v>
      </c>
      <c r="Z715" s="196">
        <v>-1.755E-3</v>
      </c>
      <c r="AA715" s="196">
        <v>-2.7E-2</v>
      </c>
      <c r="AB715" s="28">
        <v>0</v>
      </c>
      <c r="AC715" s="28">
        <v>0</v>
      </c>
      <c r="AD715" s="31" t="s">
        <v>501</v>
      </c>
      <c r="AE715" t="s">
        <v>354</v>
      </c>
    </row>
    <row r="716" spans="2:31" ht="14.25" customHeight="1" x14ac:dyDescent="0.2">
      <c r="B716" s="7">
        <f t="shared" si="48"/>
        <v>692</v>
      </c>
      <c r="C716" s="28">
        <v>5</v>
      </c>
      <c r="D716" s="28">
        <v>2</v>
      </c>
      <c r="E716" s="31">
        <v>8</v>
      </c>
      <c r="F716" s="96">
        <v>2020</v>
      </c>
      <c r="G716" s="28">
        <v>2021</v>
      </c>
      <c r="H716" s="28">
        <v>3</v>
      </c>
      <c r="I716" s="28">
        <v>0</v>
      </c>
      <c r="J716" s="28">
        <v>0</v>
      </c>
      <c r="K716" s="28">
        <v>0</v>
      </c>
      <c r="L716" s="28">
        <v>0</v>
      </c>
      <c r="M716" s="156">
        <v>3.73</v>
      </c>
      <c r="N716" s="151">
        <v>1715</v>
      </c>
      <c r="O716" s="151">
        <v>1170</v>
      </c>
      <c r="P716" s="95">
        <f t="array" ref="P716">ROUND(IF($F716&lt;='TaxCred&amp;Subs'!$C$49,(IF($C716=2,IF($M716&gt;=IFERROR(INDEX('TaxCred&amp;Subs'!$L$12:$L$47,MATCH(1,($C716&amp;$D716='TaxCred&amp;Subs'!$E$12:$E$47)*($F716='TaxCred&amp;Subs'!$C$12:$C$47),0)
),9999),IFERROR(INDEX('TaxCred&amp;Subs'!$N$12:$N$47,MATCH(1,($C716&amp;$D716='TaxCred&amp;Subs'!$E$12:$E$47)*($F716='TaxCred&amp;Subs'!$C$12:$C$47),0)
),0),0),(IF($M716&gt;=IFERROR(INDEX('TaxCred&amp;Subs'!$H$12:$H$47,MATCH(1,($C716&amp;$D716='TaxCred&amp;Subs'!$D$12:$D$47)*($F716='TaxCred&amp;Subs'!$C$12:$C$47),0)
),9999),IFERROR(INDEX('TaxCred&amp;Subs'!$N$12:$N$47,MATCH(1,($C716&amp;$D716='TaxCred&amp;Subs'!$D$12:$D$47)*($F716='TaxCred&amp;Subs'!$C$12:$C$47),0)
),0),0)))),0)+IF(AND($C716=2,VALUE(RIGHT($AD716,1))&gt;2),(N716-R716)*(IFERROR(INDEX('TaxCred&amp;Subs'!$J$66:$J$99,MATCH(1,($C716&amp;$D716='TaxCred&amp;Subs'!$E$66:$E$99)*($F716='TaxCred&amp;Subs'!$C$66:$C$99),0)),0)),IF(AND($C716=1,VALUE(RIGHT($AD716,1))&gt;2),(N716-R716)*(IFERROR(INDEX('TaxCred&amp;Subs'!$J$66:$J$99,MATCH(1,($C716&amp;$D716='TaxCred&amp;Subs'!$D$66:$D$99)*($F716='TaxCred&amp;Subs'!$C$66:$C$99),0)),0)),IF($C716&gt;2,(N716-R716)*(IFERROR(INDEX('TaxCred&amp;Subs'!$J$66:$J$99,MATCH(1,($C716&amp;$D716='TaxCred&amp;Subs'!$D$66:$D$99)*($F716='TaxCred&amp;Subs'!$C$66:$C$99),0)),0)),0))),0)</f>
        <v>300</v>
      </c>
      <c r="Q716" s="95">
        <f t="array" ref="Q716">ROUND(IF(AND($C716=2,VALUE(RIGHT($AD716,1))&gt;2),(O716-S716)*(IFERROR(INDEX('TaxCred&amp;Subs'!$J$66:$J$99,MATCH(1,($C716&amp;$D716='TaxCred&amp;Subs'!$E$66:$E$99)*($F716='TaxCred&amp;Subs'!$C$66:$C$99),0)),0)),IF(AND($C716=1,VALUE(RIGHT($AD716,1))&gt;2),(O716-S716)*(IFERROR(INDEX('TaxCred&amp;Subs'!$J$66:$J$99,MATCH(1,($C716&amp;$D716='TaxCred&amp;Subs'!$D$66:$D$99)*($F716='TaxCred&amp;Subs'!$C$66:$C$99),0)),0)),IF($C716&gt;2,(O716-S716)*(IFERROR(INDEX('TaxCred&amp;Subs'!$J$66:$J$99,MATCH(1,($C716&amp;$D716='TaxCred&amp;Subs'!$D$66:$D$99)*($F716='TaxCred&amp;Subs'!$C$66:$C$99),0)),0)),0))),0)</f>
        <v>0</v>
      </c>
      <c r="R716" s="95">
        <f t="array" ref="R716">ROUND(IF(IFERROR(VALUE(RIGHT($AD716,1)),0)&gt;2,IF($C716=8,N716*IFERROR(INDEX('TaxCred&amp;Subs'!$K$139:$S$151,MATCH($C716&amp;$D716&amp;LEFT($AD716,7),'TaxCred&amp;Subs'!$E$139:$E$151,0),MATCH($H716,'TaxCred&amp;Subs'!$K$137:$S$137,0)),0),IF($C716=2,N716*IFERROR(INDEX('TaxCred&amp;Subs'!$K$139:$S$151,MATCH($C716&amp;$D716,'TaxCred&amp;Subs'!$D$139:$D$151,0),MATCH($H716,'TaxCred&amp;Subs'!$K$137:$S$137,0)),0),N716*IFERROR(INDEX('TaxCred&amp;Subs'!$K$139:$S$151,MATCH($C716&amp;$D716,'TaxCred&amp;Subs'!$C$139:$C$151,0),MATCH($H716,'TaxCred&amp;Subs'!$K$137:$S$137,0)),0))),0),0)</f>
        <v>256</v>
      </c>
      <c r="S716" s="95">
        <f t="array" ref="S716">ROUND(IF(IFERROR(VALUE(RIGHT($AD716,1)),0)&gt;2,IF($C716=8,O716*IFERROR(INDEX('TaxCred&amp;Subs'!$K$139:$S$151,MATCH($C716&amp;$D716&amp;LEFT($AD716,7),'TaxCred&amp;Subs'!$E$139:$E$151,0),MATCH($H716,'TaxCred&amp;Subs'!$K$137:$S$137,0)),0),IF($C716=2,O716*IFERROR(INDEX('TaxCred&amp;Subs'!$K$139:$S$151,MATCH($C716&amp;$D716,'TaxCred&amp;Subs'!$D$139:$D$151,0),MATCH($H716,'TaxCred&amp;Subs'!$K$137:$S$137,0)),0),O716*IFERROR(INDEX('TaxCred&amp;Subs'!$K$139:$S$151,MATCH($C716&amp;$D716,'TaxCred&amp;Subs'!$C$139:$C$151,0),MATCH($H716,'TaxCred&amp;Subs'!$K$137:$S$137,0)),0))),0),0)</f>
        <v>175</v>
      </c>
      <c r="T716" s="95">
        <f t="shared" si="46"/>
        <v>0</v>
      </c>
      <c r="U716" s="95">
        <f t="shared" si="47"/>
        <v>0</v>
      </c>
      <c r="V716" s="28" t="s">
        <v>222</v>
      </c>
      <c r="W716" s="31">
        <v>2020</v>
      </c>
      <c r="X716" s="28">
        <v>1</v>
      </c>
      <c r="Y716" s="28">
        <v>0</v>
      </c>
      <c r="Z716" s="196">
        <v>-1.755E-3</v>
      </c>
      <c r="AA716" s="196">
        <v>-2.7E-2</v>
      </c>
      <c r="AB716" s="28">
        <v>0</v>
      </c>
      <c r="AC716" s="28">
        <v>0</v>
      </c>
      <c r="AD716" s="31" t="s">
        <v>501</v>
      </c>
      <c r="AE716" t="s">
        <v>354</v>
      </c>
    </row>
    <row r="717" spans="2:31" ht="14.25" customHeight="1" x14ac:dyDescent="0.2">
      <c r="B717" s="7">
        <f t="shared" si="48"/>
        <v>693</v>
      </c>
      <c r="C717" s="28">
        <v>5</v>
      </c>
      <c r="D717" s="28">
        <v>2</v>
      </c>
      <c r="E717" s="31">
        <v>8</v>
      </c>
      <c r="F717" s="96">
        <v>2020</v>
      </c>
      <c r="G717" s="28">
        <v>2021</v>
      </c>
      <c r="H717" s="28">
        <v>4</v>
      </c>
      <c r="I717" s="28">
        <v>0</v>
      </c>
      <c r="J717" s="28">
        <v>0</v>
      </c>
      <c r="K717" s="28">
        <v>0</v>
      </c>
      <c r="L717" s="28">
        <v>0</v>
      </c>
      <c r="M717" s="156">
        <v>3.73</v>
      </c>
      <c r="N717" s="151">
        <v>1715</v>
      </c>
      <c r="O717" s="151">
        <v>1170</v>
      </c>
      <c r="P717" s="95">
        <f t="array" ref="P717">ROUND(IF($F717&lt;='TaxCred&amp;Subs'!$C$49,(IF($C717=2,IF($M717&gt;=IFERROR(INDEX('TaxCred&amp;Subs'!$L$12:$L$47,MATCH(1,($C717&amp;$D717='TaxCred&amp;Subs'!$E$12:$E$47)*($F717='TaxCred&amp;Subs'!$C$12:$C$47),0)
),9999),IFERROR(INDEX('TaxCred&amp;Subs'!$N$12:$N$47,MATCH(1,($C717&amp;$D717='TaxCred&amp;Subs'!$E$12:$E$47)*($F717='TaxCred&amp;Subs'!$C$12:$C$47),0)
),0),0),(IF($M717&gt;=IFERROR(INDEX('TaxCred&amp;Subs'!$H$12:$H$47,MATCH(1,($C717&amp;$D717='TaxCred&amp;Subs'!$D$12:$D$47)*($F717='TaxCred&amp;Subs'!$C$12:$C$47),0)
),9999),IFERROR(INDEX('TaxCred&amp;Subs'!$N$12:$N$47,MATCH(1,($C717&amp;$D717='TaxCred&amp;Subs'!$D$12:$D$47)*($F717='TaxCred&amp;Subs'!$C$12:$C$47),0)
),0),0)))),0)+IF(AND($C717=2,VALUE(RIGHT($AD717,1))&gt;2),(N717-R717)*(IFERROR(INDEX('TaxCred&amp;Subs'!$J$66:$J$99,MATCH(1,($C717&amp;$D717='TaxCred&amp;Subs'!$E$66:$E$99)*($F717='TaxCred&amp;Subs'!$C$66:$C$99),0)),0)),IF(AND($C717=1,VALUE(RIGHT($AD717,1))&gt;2),(N717-R717)*(IFERROR(INDEX('TaxCred&amp;Subs'!$J$66:$J$99,MATCH(1,($C717&amp;$D717='TaxCred&amp;Subs'!$D$66:$D$99)*($F717='TaxCred&amp;Subs'!$C$66:$C$99),0)),0)),IF($C717&gt;2,(N717-R717)*(IFERROR(INDEX('TaxCred&amp;Subs'!$J$66:$J$99,MATCH(1,($C717&amp;$D717='TaxCred&amp;Subs'!$D$66:$D$99)*($F717='TaxCred&amp;Subs'!$C$66:$C$99),0)),0)),0))),0)</f>
        <v>300</v>
      </c>
      <c r="Q717" s="95">
        <f t="array" ref="Q717">ROUND(IF(AND($C717=2,VALUE(RIGHT($AD717,1))&gt;2),(O717-S717)*(IFERROR(INDEX('TaxCred&amp;Subs'!$J$66:$J$99,MATCH(1,($C717&amp;$D717='TaxCred&amp;Subs'!$E$66:$E$99)*($F717='TaxCred&amp;Subs'!$C$66:$C$99),0)),0)),IF(AND($C717=1,VALUE(RIGHT($AD717,1))&gt;2),(O717-S717)*(IFERROR(INDEX('TaxCred&amp;Subs'!$J$66:$J$99,MATCH(1,($C717&amp;$D717='TaxCred&amp;Subs'!$D$66:$D$99)*($F717='TaxCred&amp;Subs'!$C$66:$C$99),0)),0)),IF($C717&gt;2,(O717-S717)*(IFERROR(INDEX('TaxCred&amp;Subs'!$J$66:$J$99,MATCH(1,($C717&amp;$D717='TaxCred&amp;Subs'!$D$66:$D$99)*($F717='TaxCred&amp;Subs'!$C$66:$C$99),0)),0)),0))),0)</f>
        <v>0</v>
      </c>
      <c r="R717" s="95">
        <f t="array" ref="R717">ROUND(IF(IFERROR(VALUE(RIGHT($AD717,1)),0)&gt;2,IF($C717=8,N717*IFERROR(INDEX('TaxCred&amp;Subs'!$K$139:$S$151,MATCH($C717&amp;$D717&amp;LEFT($AD717,7),'TaxCred&amp;Subs'!$E$139:$E$151,0),MATCH($H717,'TaxCred&amp;Subs'!$K$137:$S$137,0)),0),IF($C717=2,N717*IFERROR(INDEX('TaxCred&amp;Subs'!$K$139:$S$151,MATCH($C717&amp;$D717,'TaxCred&amp;Subs'!$D$139:$D$151,0),MATCH($H717,'TaxCred&amp;Subs'!$K$137:$S$137,0)),0),N717*IFERROR(INDEX('TaxCred&amp;Subs'!$K$139:$S$151,MATCH($C717&amp;$D717,'TaxCred&amp;Subs'!$C$139:$C$151,0),MATCH($H717,'TaxCred&amp;Subs'!$K$137:$S$137,0)),0))),0),0)</f>
        <v>201</v>
      </c>
      <c r="S717" s="95">
        <f t="array" ref="S717">ROUND(IF(IFERROR(VALUE(RIGHT($AD717,1)),0)&gt;2,IF($C717=8,O717*IFERROR(INDEX('TaxCred&amp;Subs'!$K$139:$S$151,MATCH($C717&amp;$D717&amp;LEFT($AD717,7),'TaxCred&amp;Subs'!$E$139:$E$151,0),MATCH($H717,'TaxCred&amp;Subs'!$K$137:$S$137,0)),0),IF($C717=2,O717*IFERROR(INDEX('TaxCred&amp;Subs'!$K$139:$S$151,MATCH($C717&amp;$D717,'TaxCred&amp;Subs'!$D$139:$D$151,0),MATCH($H717,'TaxCred&amp;Subs'!$K$137:$S$137,0)),0),O717*IFERROR(INDEX('TaxCred&amp;Subs'!$K$139:$S$151,MATCH($C717&amp;$D717,'TaxCred&amp;Subs'!$C$139:$C$151,0),MATCH($H717,'TaxCred&amp;Subs'!$K$137:$S$137,0)),0))),0),0)</f>
        <v>137</v>
      </c>
      <c r="T717" s="95">
        <f t="shared" si="46"/>
        <v>0</v>
      </c>
      <c r="U717" s="95">
        <f t="shared" si="47"/>
        <v>0</v>
      </c>
      <c r="V717" s="28" t="s">
        <v>222</v>
      </c>
      <c r="W717" s="31">
        <v>2020</v>
      </c>
      <c r="X717" s="28">
        <v>1</v>
      </c>
      <c r="Y717" s="28">
        <v>0</v>
      </c>
      <c r="Z717" s="196">
        <v>-1.755E-3</v>
      </c>
      <c r="AA717" s="196">
        <v>-2.7E-2</v>
      </c>
      <c r="AB717" s="28">
        <v>0</v>
      </c>
      <c r="AC717" s="28">
        <v>0</v>
      </c>
      <c r="AD717" s="31" t="s">
        <v>501</v>
      </c>
      <c r="AE717" t="s">
        <v>354</v>
      </c>
    </row>
    <row r="718" spans="2:31" ht="14.25" customHeight="1" x14ac:dyDescent="0.2">
      <c r="B718" s="7">
        <f t="shared" si="48"/>
        <v>694</v>
      </c>
      <c r="C718" s="28">
        <v>5</v>
      </c>
      <c r="D718" s="28">
        <v>2</v>
      </c>
      <c r="E718" s="31">
        <v>8</v>
      </c>
      <c r="F718" s="96">
        <v>2020</v>
      </c>
      <c r="G718" s="28">
        <v>2021</v>
      </c>
      <c r="H718" s="28">
        <v>5</v>
      </c>
      <c r="I718" s="28">
        <v>0</v>
      </c>
      <c r="J718" s="28">
        <v>0</v>
      </c>
      <c r="K718" s="28">
        <v>0</v>
      </c>
      <c r="L718" s="28">
        <v>0</v>
      </c>
      <c r="M718" s="156">
        <v>3.73</v>
      </c>
      <c r="N718" s="151">
        <v>1715</v>
      </c>
      <c r="O718" s="151">
        <v>1170</v>
      </c>
      <c r="P718" s="95">
        <f t="array" ref="P718">ROUND(IF($F718&lt;='TaxCred&amp;Subs'!$C$49,(IF($C718=2,IF($M718&gt;=IFERROR(INDEX('TaxCred&amp;Subs'!$L$12:$L$47,MATCH(1,($C718&amp;$D718='TaxCred&amp;Subs'!$E$12:$E$47)*($F718='TaxCred&amp;Subs'!$C$12:$C$47),0)
),9999),IFERROR(INDEX('TaxCred&amp;Subs'!$N$12:$N$47,MATCH(1,($C718&amp;$D718='TaxCred&amp;Subs'!$E$12:$E$47)*($F718='TaxCred&amp;Subs'!$C$12:$C$47),0)
),0),0),(IF($M718&gt;=IFERROR(INDEX('TaxCred&amp;Subs'!$H$12:$H$47,MATCH(1,($C718&amp;$D718='TaxCred&amp;Subs'!$D$12:$D$47)*($F718='TaxCred&amp;Subs'!$C$12:$C$47),0)
),9999),IFERROR(INDEX('TaxCred&amp;Subs'!$N$12:$N$47,MATCH(1,($C718&amp;$D718='TaxCred&amp;Subs'!$D$12:$D$47)*($F718='TaxCred&amp;Subs'!$C$12:$C$47),0)
),0),0)))),0)+IF(AND($C718=2,VALUE(RIGHT($AD718,1))&gt;2),(N718-R718)*(IFERROR(INDEX('TaxCred&amp;Subs'!$J$66:$J$99,MATCH(1,($C718&amp;$D718='TaxCred&amp;Subs'!$E$66:$E$99)*($F718='TaxCred&amp;Subs'!$C$66:$C$99),0)),0)),IF(AND($C718=1,VALUE(RIGHT($AD718,1))&gt;2),(N718-R718)*(IFERROR(INDEX('TaxCred&amp;Subs'!$J$66:$J$99,MATCH(1,($C718&amp;$D718='TaxCred&amp;Subs'!$D$66:$D$99)*($F718='TaxCred&amp;Subs'!$C$66:$C$99),0)),0)),IF($C718&gt;2,(N718-R718)*(IFERROR(INDEX('TaxCred&amp;Subs'!$J$66:$J$99,MATCH(1,($C718&amp;$D718='TaxCred&amp;Subs'!$D$66:$D$99)*($F718='TaxCred&amp;Subs'!$C$66:$C$99),0)),0)),0))),0)</f>
        <v>300</v>
      </c>
      <c r="Q718" s="95">
        <f t="array" ref="Q718">ROUND(IF(AND($C718=2,VALUE(RIGHT($AD718,1))&gt;2),(O718-S718)*(IFERROR(INDEX('TaxCred&amp;Subs'!$J$66:$J$99,MATCH(1,($C718&amp;$D718='TaxCred&amp;Subs'!$E$66:$E$99)*($F718='TaxCred&amp;Subs'!$C$66:$C$99),0)),0)),IF(AND($C718=1,VALUE(RIGHT($AD718,1))&gt;2),(O718-S718)*(IFERROR(INDEX('TaxCred&amp;Subs'!$J$66:$J$99,MATCH(1,($C718&amp;$D718='TaxCred&amp;Subs'!$D$66:$D$99)*($F718='TaxCred&amp;Subs'!$C$66:$C$99),0)),0)),IF($C718&gt;2,(O718-S718)*(IFERROR(INDEX('TaxCred&amp;Subs'!$J$66:$J$99,MATCH(1,($C718&amp;$D718='TaxCred&amp;Subs'!$D$66:$D$99)*($F718='TaxCred&amp;Subs'!$C$66:$C$99),0)),0)),0))),0)</f>
        <v>0</v>
      </c>
      <c r="R718" s="95">
        <f t="array" ref="R718">ROUND(IF(IFERROR(VALUE(RIGHT($AD718,1)),0)&gt;2,IF($C718=8,N718*IFERROR(INDEX('TaxCred&amp;Subs'!$K$139:$S$151,MATCH($C718&amp;$D718&amp;LEFT($AD718,7),'TaxCred&amp;Subs'!$E$139:$E$151,0),MATCH($H718,'TaxCred&amp;Subs'!$K$137:$S$137,0)),0),IF($C718=2,N718*IFERROR(INDEX('TaxCred&amp;Subs'!$K$139:$S$151,MATCH($C718&amp;$D718,'TaxCred&amp;Subs'!$D$139:$D$151,0),MATCH($H718,'TaxCred&amp;Subs'!$K$137:$S$137,0)),0),N718*IFERROR(INDEX('TaxCred&amp;Subs'!$K$139:$S$151,MATCH($C718&amp;$D718,'TaxCred&amp;Subs'!$C$139:$C$151,0),MATCH($H718,'TaxCred&amp;Subs'!$K$137:$S$137,0)),0))),0),0)</f>
        <v>226</v>
      </c>
      <c r="S718" s="95">
        <f t="array" ref="S718">ROUND(IF(IFERROR(VALUE(RIGHT($AD718,1)),0)&gt;2,IF($C718=8,O718*IFERROR(INDEX('TaxCred&amp;Subs'!$K$139:$S$151,MATCH($C718&amp;$D718&amp;LEFT($AD718,7),'TaxCred&amp;Subs'!$E$139:$E$151,0),MATCH($H718,'TaxCred&amp;Subs'!$K$137:$S$137,0)),0),IF($C718=2,O718*IFERROR(INDEX('TaxCred&amp;Subs'!$K$139:$S$151,MATCH($C718&amp;$D718,'TaxCred&amp;Subs'!$D$139:$D$151,0),MATCH($H718,'TaxCred&amp;Subs'!$K$137:$S$137,0)),0),O718*IFERROR(INDEX('TaxCred&amp;Subs'!$K$139:$S$151,MATCH($C718&amp;$D718,'TaxCred&amp;Subs'!$C$139:$C$151,0),MATCH($H718,'TaxCred&amp;Subs'!$K$137:$S$137,0)),0))),0),0)</f>
        <v>155</v>
      </c>
      <c r="T718" s="95">
        <f t="shared" si="46"/>
        <v>0</v>
      </c>
      <c r="U718" s="95">
        <f t="shared" si="47"/>
        <v>0</v>
      </c>
      <c r="V718" s="28" t="s">
        <v>222</v>
      </c>
      <c r="W718" s="31">
        <v>2020</v>
      </c>
      <c r="X718" s="28">
        <v>1</v>
      </c>
      <c r="Y718" s="28">
        <v>0</v>
      </c>
      <c r="Z718" s="196">
        <v>-1.755E-3</v>
      </c>
      <c r="AA718" s="196">
        <v>-2.7E-2</v>
      </c>
      <c r="AB718" s="28">
        <v>0</v>
      </c>
      <c r="AC718" s="28">
        <v>0</v>
      </c>
      <c r="AD718" s="31" t="s">
        <v>501</v>
      </c>
      <c r="AE718" t="s">
        <v>354</v>
      </c>
    </row>
    <row r="719" spans="2:31" ht="14.25" customHeight="1" x14ac:dyDescent="0.2">
      <c r="B719" s="7">
        <f t="shared" si="48"/>
        <v>695</v>
      </c>
      <c r="C719" s="28">
        <v>5</v>
      </c>
      <c r="D719" s="28">
        <v>2</v>
      </c>
      <c r="E719" s="31">
        <v>8</v>
      </c>
      <c r="F719" s="96">
        <v>2020</v>
      </c>
      <c r="G719" s="28">
        <v>2021</v>
      </c>
      <c r="H719" s="28">
        <v>6</v>
      </c>
      <c r="I719" s="28">
        <v>0</v>
      </c>
      <c r="J719" s="28">
        <v>0</v>
      </c>
      <c r="K719" s="28">
        <v>0</v>
      </c>
      <c r="L719" s="28">
        <v>0</v>
      </c>
      <c r="M719" s="156">
        <v>3.73</v>
      </c>
      <c r="N719" s="151">
        <v>1715</v>
      </c>
      <c r="O719" s="151">
        <v>1170</v>
      </c>
      <c r="P719" s="95">
        <f t="array" ref="P719">ROUND(IF($F719&lt;='TaxCred&amp;Subs'!$C$49,(IF($C719=2,IF($M719&gt;=IFERROR(INDEX('TaxCred&amp;Subs'!$L$12:$L$47,MATCH(1,($C719&amp;$D719='TaxCred&amp;Subs'!$E$12:$E$47)*($F719='TaxCred&amp;Subs'!$C$12:$C$47),0)
),9999),IFERROR(INDEX('TaxCred&amp;Subs'!$N$12:$N$47,MATCH(1,($C719&amp;$D719='TaxCred&amp;Subs'!$E$12:$E$47)*($F719='TaxCred&amp;Subs'!$C$12:$C$47),0)
),0),0),(IF($M719&gt;=IFERROR(INDEX('TaxCred&amp;Subs'!$H$12:$H$47,MATCH(1,($C719&amp;$D719='TaxCred&amp;Subs'!$D$12:$D$47)*($F719='TaxCred&amp;Subs'!$C$12:$C$47),0)
),9999),IFERROR(INDEX('TaxCred&amp;Subs'!$N$12:$N$47,MATCH(1,($C719&amp;$D719='TaxCred&amp;Subs'!$D$12:$D$47)*($F719='TaxCred&amp;Subs'!$C$12:$C$47),0)
),0),0)))),0)+IF(AND($C719=2,VALUE(RIGHT($AD719,1))&gt;2),(N719-R719)*(IFERROR(INDEX('TaxCred&amp;Subs'!$J$66:$J$99,MATCH(1,($C719&amp;$D719='TaxCred&amp;Subs'!$E$66:$E$99)*($F719='TaxCred&amp;Subs'!$C$66:$C$99),0)),0)),IF(AND($C719=1,VALUE(RIGHT($AD719,1))&gt;2),(N719-R719)*(IFERROR(INDEX('TaxCred&amp;Subs'!$J$66:$J$99,MATCH(1,($C719&amp;$D719='TaxCred&amp;Subs'!$D$66:$D$99)*($F719='TaxCred&amp;Subs'!$C$66:$C$99),0)),0)),IF($C719&gt;2,(N719-R719)*(IFERROR(INDEX('TaxCred&amp;Subs'!$J$66:$J$99,MATCH(1,($C719&amp;$D719='TaxCred&amp;Subs'!$D$66:$D$99)*($F719='TaxCred&amp;Subs'!$C$66:$C$99),0)),0)),0))),0)</f>
        <v>300</v>
      </c>
      <c r="Q719" s="95">
        <f t="array" ref="Q719">ROUND(IF(AND($C719=2,VALUE(RIGHT($AD719,1))&gt;2),(O719-S719)*(IFERROR(INDEX('TaxCred&amp;Subs'!$J$66:$J$99,MATCH(1,($C719&amp;$D719='TaxCred&amp;Subs'!$E$66:$E$99)*($F719='TaxCred&amp;Subs'!$C$66:$C$99),0)),0)),IF(AND($C719=1,VALUE(RIGHT($AD719,1))&gt;2),(O719-S719)*(IFERROR(INDEX('TaxCred&amp;Subs'!$J$66:$J$99,MATCH(1,($C719&amp;$D719='TaxCred&amp;Subs'!$D$66:$D$99)*($F719='TaxCred&amp;Subs'!$C$66:$C$99),0)),0)),IF($C719&gt;2,(O719-S719)*(IFERROR(INDEX('TaxCred&amp;Subs'!$J$66:$J$99,MATCH(1,($C719&amp;$D719='TaxCred&amp;Subs'!$D$66:$D$99)*($F719='TaxCred&amp;Subs'!$C$66:$C$99),0)),0)),0))),0)</f>
        <v>0</v>
      </c>
      <c r="R719" s="95">
        <f t="array" ref="R719">ROUND(IF(IFERROR(VALUE(RIGHT($AD719,1)),0)&gt;2,IF($C719=8,N719*IFERROR(INDEX('TaxCred&amp;Subs'!$K$139:$S$151,MATCH($C719&amp;$D719&amp;LEFT($AD719,7),'TaxCred&amp;Subs'!$E$139:$E$151,0),MATCH($H719,'TaxCred&amp;Subs'!$K$137:$S$137,0)),0),IF($C719=2,N719*IFERROR(INDEX('TaxCred&amp;Subs'!$K$139:$S$151,MATCH($C719&amp;$D719,'TaxCred&amp;Subs'!$D$139:$D$151,0),MATCH($H719,'TaxCred&amp;Subs'!$K$137:$S$137,0)),0),N719*IFERROR(INDEX('TaxCred&amp;Subs'!$K$139:$S$151,MATCH($C719&amp;$D719,'TaxCred&amp;Subs'!$C$139:$C$151,0),MATCH($H719,'TaxCred&amp;Subs'!$K$137:$S$137,0)),0))),0),0)</f>
        <v>115</v>
      </c>
      <c r="S719" s="95">
        <f t="array" ref="S719">ROUND(IF(IFERROR(VALUE(RIGHT($AD719,1)),0)&gt;2,IF($C719=8,O719*IFERROR(INDEX('TaxCred&amp;Subs'!$K$139:$S$151,MATCH($C719&amp;$D719&amp;LEFT($AD719,7),'TaxCred&amp;Subs'!$E$139:$E$151,0),MATCH($H719,'TaxCred&amp;Subs'!$K$137:$S$137,0)),0),IF($C719=2,O719*IFERROR(INDEX('TaxCred&amp;Subs'!$K$139:$S$151,MATCH($C719&amp;$D719,'TaxCred&amp;Subs'!$D$139:$D$151,0),MATCH($H719,'TaxCred&amp;Subs'!$K$137:$S$137,0)),0),O719*IFERROR(INDEX('TaxCred&amp;Subs'!$K$139:$S$151,MATCH($C719&amp;$D719,'TaxCred&amp;Subs'!$C$139:$C$151,0),MATCH($H719,'TaxCred&amp;Subs'!$K$137:$S$137,0)),0))),0),0)</f>
        <v>78</v>
      </c>
      <c r="T719" s="95">
        <f t="shared" si="46"/>
        <v>0</v>
      </c>
      <c r="U719" s="95">
        <f t="shared" si="47"/>
        <v>0</v>
      </c>
      <c r="V719" s="28" t="s">
        <v>222</v>
      </c>
      <c r="W719" s="31">
        <v>2020</v>
      </c>
      <c r="X719" s="28">
        <v>1</v>
      </c>
      <c r="Y719" s="28">
        <v>0</v>
      </c>
      <c r="Z719" s="196">
        <v>-1.755E-3</v>
      </c>
      <c r="AA719" s="196">
        <v>-2.7E-2</v>
      </c>
      <c r="AB719" s="28">
        <v>0</v>
      </c>
      <c r="AC719" s="28">
        <v>0</v>
      </c>
      <c r="AD719" s="31" t="s">
        <v>501</v>
      </c>
      <c r="AE719" t="s">
        <v>354</v>
      </c>
    </row>
    <row r="720" spans="2:31" ht="14.25" customHeight="1" x14ac:dyDescent="0.2">
      <c r="B720" s="7">
        <f t="shared" si="48"/>
        <v>696</v>
      </c>
      <c r="C720" s="28">
        <v>5</v>
      </c>
      <c r="D720" s="28">
        <v>2</v>
      </c>
      <c r="E720" s="31">
        <v>8</v>
      </c>
      <c r="F720" s="96">
        <v>2020</v>
      </c>
      <c r="G720" s="28">
        <v>2021</v>
      </c>
      <c r="H720" s="28">
        <v>7</v>
      </c>
      <c r="I720" s="28">
        <v>0</v>
      </c>
      <c r="J720" s="28">
        <v>0</v>
      </c>
      <c r="K720" s="28">
        <v>0</v>
      </c>
      <c r="L720" s="28">
        <v>0</v>
      </c>
      <c r="M720" s="156">
        <v>3.73</v>
      </c>
      <c r="N720" s="151">
        <v>1715</v>
      </c>
      <c r="O720" s="151">
        <v>1170</v>
      </c>
      <c r="P720" s="95">
        <f t="array" ref="P720">ROUND(IF($F720&lt;='TaxCred&amp;Subs'!$C$49,(IF($C720=2,IF($M720&gt;=IFERROR(INDEX('TaxCred&amp;Subs'!$L$12:$L$47,MATCH(1,($C720&amp;$D720='TaxCred&amp;Subs'!$E$12:$E$47)*($F720='TaxCred&amp;Subs'!$C$12:$C$47),0)
),9999),IFERROR(INDEX('TaxCred&amp;Subs'!$N$12:$N$47,MATCH(1,($C720&amp;$D720='TaxCred&amp;Subs'!$E$12:$E$47)*($F720='TaxCred&amp;Subs'!$C$12:$C$47),0)
),0),0),(IF($M720&gt;=IFERROR(INDEX('TaxCred&amp;Subs'!$H$12:$H$47,MATCH(1,($C720&amp;$D720='TaxCred&amp;Subs'!$D$12:$D$47)*($F720='TaxCred&amp;Subs'!$C$12:$C$47),0)
),9999),IFERROR(INDEX('TaxCred&amp;Subs'!$N$12:$N$47,MATCH(1,($C720&amp;$D720='TaxCred&amp;Subs'!$D$12:$D$47)*($F720='TaxCred&amp;Subs'!$C$12:$C$47),0)
),0),0)))),0)+IF(AND($C720=2,VALUE(RIGHT($AD720,1))&gt;2),(N720-R720)*(IFERROR(INDEX('TaxCred&amp;Subs'!$J$66:$J$99,MATCH(1,($C720&amp;$D720='TaxCred&amp;Subs'!$E$66:$E$99)*($F720='TaxCred&amp;Subs'!$C$66:$C$99),0)),0)),IF(AND($C720=1,VALUE(RIGHT($AD720,1))&gt;2),(N720-R720)*(IFERROR(INDEX('TaxCred&amp;Subs'!$J$66:$J$99,MATCH(1,($C720&amp;$D720='TaxCred&amp;Subs'!$D$66:$D$99)*($F720='TaxCred&amp;Subs'!$C$66:$C$99),0)),0)),IF($C720&gt;2,(N720-R720)*(IFERROR(INDEX('TaxCred&amp;Subs'!$J$66:$J$99,MATCH(1,($C720&amp;$D720='TaxCred&amp;Subs'!$D$66:$D$99)*($F720='TaxCred&amp;Subs'!$C$66:$C$99),0)),0)),0))),0)</f>
        <v>300</v>
      </c>
      <c r="Q720" s="95">
        <f t="array" ref="Q720">ROUND(IF(AND($C720=2,VALUE(RIGHT($AD720,1))&gt;2),(O720-S720)*(IFERROR(INDEX('TaxCred&amp;Subs'!$J$66:$J$99,MATCH(1,($C720&amp;$D720='TaxCred&amp;Subs'!$E$66:$E$99)*($F720='TaxCred&amp;Subs'!$C$66:$C$99),0)),0)),IF(AND($C720=1,VALUE(RIGHT($AD720,1))&gt;2),(O720-S720)*(IFERROR(INDEX('TaxCred&amp;Subs'!$J$66:$J$99,MATCH(1,($C720&amp;$D720='TaxCred&amp;Subs'!$D$66:$D$99)*($F720='TaxCred&amp;Subs'!$C$66:$C$99),0)),0)),IF($C720&gt;2,(O720-S720)*(IFERROR(INDEX('TaxCred&amp;Subs'!$J$66:$J$99,MATCH(1,($C720&amp;$D720='TaxCred&amp;Subs'!$D$66:$D$99)*($F720='TaxCred&amp;Subs'!$C$66:$C$99),0)),0)),0))),0)</f>
        <v>0</v>
      </c>
      <c r="R720" s="95">
        <f t="array" ref="R720">ROUND(IF(IFERROR(VALUE(RIGHT($AD720,1)),0)&gt;2,IF($C720=8,N720*IFERROR(INDEX('TaxCred&amp;Subs'!$K$139:$S$151,MATCH($C720&amp;$D720&amp;LEFT($AD720,7),'TaxCred&amp;Subs'!$E$139:$E$151,0),MATCH($H720,'TaxCred&amp;Subs'!$K$137:$S$137,0)),0),IF($C720=2,N720*IFERROR(INDEX('TaxCred&amp;Subs'!$K$139:$S$151,MATCH($C720&amp;$D720,'TaxCred&amp;Subs'!$D$139:$D$151,0),MATCH($H720,'TaxCred&amp;Subs'!$K$137:$S$137,0)),0),N720*IFERROR(INDEX('TaxCred&amp;Subs'!$K$139:$S$151,MATCH($C720&amp;$D720,'TaxCred&amp;Subs'!$C$139:$C$151,0),MATCH($H720,'TaxCred&amp;Subs'!$K$137:$S$137,0)),0))),0),0)</f>
        <v>352</v>
      </c>
      <c r="S720" s="95">
        <f t="array" ref="S720">ROUND(IF(IFERROR(VALUE(RIGHT($AD720,1)),0)&gt;2,IF($C720=8,O720*IFERROR(INDEX('TaxCred&amp;Subs'!$K$139:$S$151,MATCH($C720&amp;$D720&amp;LEFT($AD720,7),'TaxCred&amp;Subs'!$E$139:$E$151,0),MATCH($H720,'TaxCred&amp;Subs'!$K$137:$S$137,0)),0),IF($C720=2,O720*IFERROR(INDEX('TaxCred&amp;Subs'!$K$139:$S$151,MATCH($C720&amp;$D720,'TaxCred&amp;Subs'!$D$139:$D$151,0),MATCH($H720,'TaxCred&amp;Subs'!$K$137:$S$137,0)),0),O720*IFERROR(INDEX('TaxCred&amp;Subs'!$K$139:$S$151,MATCH($C720&amp;$D720,'TaxCred&amp;Subs'!$C$139:$C$151,0),MATCH($H720,'TaxCred&amp;Subs'!$K$137:$S$137,0)),0))),0),0)</f>
        <v>240</v>
      </c>
      <c r="T720" s="95">
        <f t="shared" si="46"/>
        <v>0</v>
      </c>
      <c r="U720" s="95">
        <f t="shared" si="47"/>
        <v>0</v>
      </c>
      <c r="V720" s="28" t="s">
        <v>222</v>
      </c>
      <c r="W720" s="31">
        <v>2020</v>
      </c>
      <c r="X720" s="28">
        <v>1</v>
      </c>
      <c r="Y720" s="28">
        <v>0</v>
      </c>
      <c r="Z720" s="196">
        <v>-1.755E-3</v>
      </c>
      <c r="AA720" s="196">
        <v>-2.7E-2</v>
      </c>
      <c r="AB720" s="28">
        <v>0</v>
      </c>
      <c r="AC720" s="28">
        <v>0</v>
      </c>
      <c r="AD720" s="31" t="s">
        <v>501</v>
      </c>
      <c r="AE720" t="s">
        <v>354</v>
      </c>
    </row>
    <row r="721" spans="2:31" ht="14.25" customHeight="1" x14ac:dyDescent="0.2">
      <c r="B721" s="7">
        <f t="shared" si="48"/>
        <v>697</v>
      </c>
      <c r="C721" s="28">
        <v>5</v>
      </c>
      <c r="D721" s="28">
        <v>2</v>
      </c>
      <c r="E721" s="31">
        <v>8</v>
      </c>
      <c r="F721" s="96">
        <v>2020</v>
      </c>
      <c r="G721" s="28">
        <v>2021</v>
      </c>
      <c r="H721" s="28">
        <v>8</v>
      </c>
      <c r="I721" s="28">
        <v>0</v>
      </c>
      <c r="J721" s="28">
        <v>0</v>
      </c>
      <c r="K721" s="28">
        <v>0</v>
      </c>
      <c r="L721" s="28">
        <v>0</v>
      </c>
      <c r="M721" s="156">
        <v>3.73</v>
      </c>
      <c r="N721" s="151">
        <v>1715</v>
      </c>
      <c r="O721" s="151">
        <v>1170</v>
      </c>
      <c r="P721" s="95">
        <f t="array" ref="P721">ROUND(IF($F721&lt;='TaxCred&amp;Subs'!$C$49,(IF($C721=2,IF($M721&gt;=IFERROR(INDEX('TaxCred&amp;Subs'!$L$12:$L$47,MATCH(1,($C721&amp;$D721='TaxCred&amp;Subs'!$E$12:$E$47)*($F721='TaxCred&amp;Subs'!$C$12:$C$47),0)
),9999),IFERROR(INDEX('TaxCred&amp;Subs'!$N$12:$N$47,MATCH(1,($C721&amp;$D721='TaxCred&amp;Subs'!$E$12:$E$47)*($F721='TaxCred&amp;Subs'!$C$12:$C$47),0)
),0),0),(IF($M721&gt;=IFERROR(INDEX('TaxCred&amp;Subs'!$H$12:$H$47,MATCH(1,($C721&amp;$D721='TaxCred&amp;Subs'!$D$12:$D$47)*($F721='TaxCred&amp;Subs'!$C$12:$C$47),0)
),9999),IFERROR(INDEX('TaxCred&amp;Subs'!$N$12:$N$47,MATCH(1,($C721&amp;$D721='TaxCred&amp;Subs'!$D$12:$D$47)*($F721='TaxCred&amp;Subs'!$C$12:$C$47),0)
),0),0)))),0)+IF(AND($C721=2,VALUE(RIGHT($AD721,1))&gt;2),(N721-R721)*(IFERROR(INDEX('TaxCred&amp;Subs'!$J$66:$J$99,MATCH(1,($C721&amp;$D721='TaxCred&amp;Subs'!$E$66:$E$99)*($F721='TaxCred&amp;Subs'!$C$66:$C$99),0)),0)),IF(AND($C721=1,VALUE(RIGHT($AD721,1))&gt;2),(N721-R721)*(IFERROR(INDEX('TaxCred&amp;Subs'!$J$66:$J$99,MATCH(1,($C721&amp;$D721='TaxCred&amp;Subs'!$D$66:$D$99)*($F721='TaxCred&amp;Subs'!$C$66:$C$99),0)),0)),IF($C721&gt;2,(N721-R721)*(IFERROR(INDEX('TaxCred&amp;Subs'!$J$66:$J$99,MATCH(1,($C721&amp;$D721='TaxCred&amp;Subs'!$D$66:$D$99)*($F721='TaxCred&amp;Subs'!$C$66:$C$99),0)),0)),0))),0)</f>
        <v>300</v>
      </c>
      <c r="Q721" s="95">
        <f t="array" ref="Q721">ROUND(IF(AND($C721=2,VALUE(RIGHT($AD721,1))&gt;2),(O721-S721)*(IFERROR(INDEX('TaxCred&amp;Subs'!$J$66:$J$99,MATCH(1,($C721&amp;$D721='TaxCred&amp;Subs'!$E$66:$E$99)*($F721='TaxCred&amp;Subs'!$C$66:$C$99),0)),0)),IF(AND($C721=1,VALUE(RIGHT($AD721,1))&gt;2),(O721-S721)*(IFERROR(INDEX('TaxCred&amp;Subs'!$J$66:$J$99,MATCH(1,($C721&amp;$D721='TaxCred&amp;Subs'!$D$66:$D$99)*($F721='TaxCred&amp;Subs'!$C$66:$C$99),0)),0)),IF($C721&gt;2,(O721-S721)*(IFERROR(INDEX('TaxCred&amp;Subs'!$J$66:$J$99,MATCH(1,($C721&amp;$D721='TaxCred&amp;Subs'!$D$66:$D$99)*($F721='TaxCred&amp;Subs'!$C$66:$C$99),0)),0)),0))),0)</f>
        <v>0</v>
      </c>
      <c r="R721" s="95">
        <f t="array" ref="R721">ROUND(IF(IFERROR(VALUE(RIGHT($AD721,1)),0)&gt;2,IF($C721=8,N721*IFERROR(INDEX('TaxCred&amp;Subs'!$K$139:$S$151,MATCH($C721&amp;$D721&amp;LEFT($AD721,7),'TaxCred&amp;Subs'!$E$139:$E$151,0),MATCH($H721,'TaxCred&amp;Subs'!$K$137:$S$137,0)),0),IF($C721=2,N721*IFERROR(INDEX('TaxCred&amp;Subs'!$K$139:$S$151,MATCH($C721&amp;$D721,'TaxCred&amp;Subs'!$D$139:$D$151,0),MATCH($H721,'TaxCred&amp;Subs'!$K$137:$S$137,0)),0),N721*IFERROR(INDEX('TaxCred&amp;Subs'!$K$139:$S$151,MATCH($C721&amp;$D721,'TaxCred&amp;Subs'!$C$139:$C$151,0),MATCH($H721,'TaxCred&amp;Subs'!$K$137:$S$137,0)),0))),0),0)</f>
        <v>148</v>
      </c>
      <c r="S721" s="95">
        <f t="array" ref="S721">ROUND(IF(IFERROR(VALUE(RIGHT($AD721,1)),0)&gt;2,IF($C721=8,O721*IFERROR(INDEX('TaxCred&amp;Subs'!$K$139:$S$151,MATCH($C721&amp;$D721&amp;LEFT($AD721,7),'TaxCred&amp;Subs'!$E$139:$E$151,0),MATCH($H721,'TaxCred&amp;Subs'!$K$137:$S$137,0)),0),IF($C721=2,O721*IFERROR(INDEX('TaxCred&amp;Subs'!$K$139:$S$151,MATCH($C721&amp;$D721,'TaxCred&amp;Subs'!$D$139:$D$151,0),MATCH($H721,'TaxCred&amp;Subs'!$K$137:$S$137,0)),0),O721*IFERROR(INDEX('TaxCred&amp;Subs'!$K$139:$S$151,MATCH($C721&amp;$D721,'TaxCred&amp;Subs'!$C$139:$C$151,0),MATCH($H721,'TaxCred&amp;Subs'!$K$137:$S$137,0)),0))),0),0)</f>
        <v>101</v>
      </c>
      <c r="T721" s="95">
        <f t="shared" si="46"/>
        <v>0</v>
      </c>
      <c r="U721" s="95">
        <f t="shared" si="47"/>
        <v>0</v>
      </c>
      <c r="V721" s="28" t="s">
        <v>222</v>
      </c>
      <c r="W721" s="31">
        <v>2020</v>
      </c>
      <c r="X721" s="28">
        <v>1</v>
      </c>
      <c r="Y721" s="28">
        <v>0</v>
      </c>
      <c r="Z721" s="196">
        <v>-1.755E-3</v>
      </c>
      <c r="AA721" s="196">
        <v>-2.7E-2</v>
      </c>
      <c r="AB721" s="28">
        <v>0</v>
      </c>
      <c r="AC721" s="28">
        <v>0</v>
      </c>
      <c r="AD721" s="31" t="s">
        <v>501</v>
      </c>
      <c r="AE721" t="s">
        <v>354</v>
      </c>
    </row>
    <row r="722" spans="2:31" ht="14.25" customHeight="1" x14ac:dyDescent="0.2">
      <c r="B722" s="7">
        <f t="shared" si="48"/>
        <v>698</v>
      </c>
      <c r="C722" s="28">
        <v>5</v>
      </c>
      <c r="D722" s="28">
        <v>2</v>
      </c>
      <c r="E722" s="31">
        <v>8</v>
      </c>
      <c r="F722" s="96">
        <v>2020</v>
      </c>
      <c r="G722" s="28">
        <v>2021</v>
      </c>
      <c r="H722" s="28">
        <v>9</v>
      </c>
      <c r="I722" s="28">
        <v>0</v>
      </c>
      <c r="J722" s="28">
        <v>0</v>
      </c>
      <c r="K722" s="28">
        <v>0</v>
      </c>
      <c r="L722" s="28">
        <v>0</v>
      </c>
      <c r="M722" s="156">
        <v>3.73</v>
      </c>
      <c r="N722" s="151">
        <v>1715</v>
      </c>
      <c r="O722" s="151">
        <v>1170</v>
      </c>
      <c r="P722" s="95">
        <f t="array" ref="P722">ROUND(IF($F722&lt;='TaxCred&amp;Subs'!$C$49,(IF($C722=2,IF($M722&gt;=IFERROR(INDEX('TaxCred&amp;Subs'!$L$12:$L$47,MATCH(1,($C722&amp;$D722='TaxCred&amp;Subs'!$E$12:$E$47)*($F722='TaxCred&amp;Subs'!$C$12:$C$47),0)
),9999),IFERROR(INDEX('TaxCred&amp;Subs'!$N$12:$N$47,MATCH(1,($C722&amp;$D722='TaxCred&amp;Subs'!$E$12:$E$47)*($F722='TaxCred&amp;Subs'!$C$12:$C$47),0)
),0),0),(IF($M722&gt;=IFERROR(INDEX('TaxCred&amp;Subs'!$H$12:$H$47,MATCH(1,($C722&amp;$D722='TaxCred&amp;Subs'!$D$12:$D$47)*($F722='TaxCred&amp;Subs'!$C$12:$C$47),0)
),9999),IFERROR(INDEX('TaxCred&amp;Subs'!$N$12:$N$47,MATCH(1,($C722&amp;$D722='TaxCred&amp;Subs'!$D$12:$D$47)*($F722='TaxCred&amp;Subs'!$C$12:$C$47),0)
),0),0)))),0)+IF(AND($C722=2,VALUE(RIGHT($AD722,1))&gt;2),(N722-R722)*(IFERROR(INDEX('TaxCred&amp;Subs'!$J$66:$J$99,MATCH(1,($C722&amp;$D722='TaxCred&amp;Subs'!$E$66:$E$99)*($F722='TaxCred&amp;Subs'!$C$66:$C$99),0)),0)),IF(AND($C722=1,VALUE(RIGHT($AD722,1))&gt;2),(N722-R722)*(IFERROR(INDEX('TaxCred&amp;Subs'!$J$66:$J$99,MATCH(1,($C722&amp;$D722='TaxCred&amp;Subs'!$D$66:$D$99)*($F722='TaxCred&amp;Subs'!$C$66:$C$99),0)),0)),IF($C722&gt;2,(N722-R722)*(IFERROR(INDEX('TaxCred&amp;Subs'!$J$66:$J$99,MATCH(1,($C722&amp;$D722='TaxCred&amp;Subs'!$D$66:$D$99)*($F722='TaxCred&amp;Subs'!$C$66:$C$99),0)),0)),0))),0)</f>
        <v>300</v>
      </c>
      <c r="Q722" s="95">
        <f t="array" ref="Q722">ROUND(IF(AND($C722=2,VALUE(RIGHT($AD722,1))&gt;2),(O722-S722)*(IFERROR(INDEX('TaxCred&amp;Subs'!$J$66:$J$99,MATCH(1,($C722&amp;$D722='TaxCred&amp;Subs'!$E$66:$E$99)*($F722='TaxCred&amp;Subs'!$C$66:$C$99),0)),0)),IF(AND($C722=1,VALUE(RIGHT($AD722,1))&gt;2),(O722-S722)*(IFERROR(INDEX('TaxCred&amp;Subs'!$J$66:$J$99,MATCH(1,($C722&amp;$D722='TaxCred&amp;Subs'!$D$66:$D$99)*($F722='TaxCred&amp;Subs'!$C$66:$C$99),0)),0)),IF($C722&gt;2,(O722-S722)*(IFERROR(INDEX('TaxCred&amp;Subs'!$J$66:$J$99,MATCH(1,($C722&amp;$D722='TaxCred&amp;Subs'!$D$66:$D$99)*($F722='TaxCred&amp;Subs'!$C$66:$C$99),0)),0)),0))),0)</f>
        <v>0</v>
      </c>
      <c r="R722" s="95">
        <f t="array" ref="R722">ROUND(IF(IFERROR(VALUE(RIGHT($AD722,1)),0)&gt;2,IF($C722=8,N722*IFERROR(INDEX('TaxCred&amp;Subs'!$K$139:$S$151,MATCH($C722&amp;$D722&amp;LEFT($AD722,7),'TaxCred&amp;Subs'!$E$139:$E$151,0),MATCH($H722,'TaxCred&amp;Subs'!$K$137:$S$137,0)),0),IF($C722=2,N722*IFERROR(INDEX('TaxCred&amp;Subs'!$K$139:$S$151,MATCH($C722&amp;$D722,'TaxCred&amp;Subs'!$D$139:$D$151,0),MATCH($H722,'TaxCred&amp;Subs'!$K$137:$S$137,0)),0),N722*IFERROR(INDEX('TaxCred&amp;Subs'!$K$139:$S$151,MATCH($C722&amp;$D722,'TaxCred&amp;Subs'!$C$139:$C$151,0),MATCH($H722,'TaxCred&amp;Subs'!$K$137:$S$137,0)),0))),0),0)</f>
        <v>387</v>
      </c>
      <c r="S722" s="95">
        <f t="array" ref="S722">ROUND(IF(IFERROR(VALUE(RIGHT($AD722,1)),0)&gt;2,IF($C722=8,O722*IFERROR(INDEX('TaxCred&amp;Subs'!$K$139:$S$151,MATCH($C722&amp;$D722&amp;LEFT($AD722,7),'TaxCred&amp;Subs'!$E$139:$E$151,0),MATCH($H722,'TaxCred&amp;Subs'!$K$137:$S$137,0)),0),IF($C722=2,O722*IFERROR(INDEX('TaxCred&amp;Subs'!$K$139:$S$151,MATCH($C722&amp;$D722,'TaxCred&amp;Subs'!$D$139:$D$151,0),MATCH($H722,'TaxCred&amp;Subs'!$K$137:$S$137,0)),0),O722*IFERROR(INDEX('TaxCred&amp;Subs'!$K$139:$S$151,MATCH($C722&amp;$D722,'TaxCred&amp;Subs'!$C$139:$C$151,0),MATCH($H722,'TaxCred&amp;Subs'!$K$137:$S$137,0)),0))),0),0)</f>
        <v>264</v>
      </c>
      <c r="T722" s="172">
        <f t="shared" si="46"/>
        <v>212.25</v>
      </c>
      <c r="U722" s="172">
        <f t="shared" si="47"/>
        <v>175.5</v>
      </c>
      <c r="V722" s="28" t="s">
        <v>222</v>
      </c>
      <c r="W722" s="31">
        <v>2020</v>
      </c>
      <c r="X722" s="28">
        <v>1</v>
      </c>
      <c r="Y722" s="28">
        <v>0</v>
      </c>
      <c r="Z722" s="196">
        <v>-1.755E-3</v>
      </c>
      <c r="AA722" s="196">
        <v>-2.7E-2</v>
      </c>
      <c r="AB722" s="28">
        <v>0</v>
      </c>
      <c r="AC722" s="28">
        <v>0</v>
      </c>
      <c r="AD722" s="31" t="s">
        <v>501</v>
      </c>
      <c r="AE722" t="s">
        <v>354</v>
      </c>
    </row>
    <row r="723" spans="2:31" ht="14.25" customHeight="1" x14ac:dyDescent="0.2">
      <c r="B723" s="7">
        <f t="shared" si="48"/>
        <v>699</v>
      </c>
      <c r="C723" s="28">
        <v>5</v>
      </c>
      <c r="D723" s="28">
        <v>2</v>
      </c>
      <c r="E723" s="31">
        <v>8</v>
      </c>
      <c r="F723" s="78">
        <v>2022</v>
      </c>
      <c r="G723" s="31">
        <v>2029</v>
      </c>
      <c r="H723" s="28">
        <v>1</v>
      </c>
      <c r="I723" s="28">
        <v>0</v>
      </c>
      <c r="J723" s="28">
        <v>0</v>
      </c>
      <c r="K723" s="28">
        <v>0</v>
      </c>
      <c r="L723" s="28">
        <v>0</v>
      </c>
      <c r="M723" s="156">
        <v>3.73</v>
      </c>
      <c r="N723" s="151">
        <v>1715</v>
      </c>
      <c r="O723" s="151">
        <v>1170</v>
      </c>
      <c r="P723" s="95">
        <f t="array" ref="P723">ROUND(IF($F723&lt;='TaxCred&amp;Subs'!$C$49,(IF($C723=2,IF($M723&gt;=IFERROR(INDEX('TaxCred&amp;Subs'!$L$12:$L$47,MATCH(1,($C723&amp;$D723='TaxCred&amp;Subs'!$E$12:$E$47)*($F723='TaxCred&amp;Subs'!$C$12:$C$47),0)
),9999),IFERROR(INDEX('TaxCred&amp;Subs'!$N$12:$N$47,MATCH(1,($C723&amp;$D723='TaxCred&amp;Subs'!$E$12:$E$47)*($F723='TaxCred&amp;Subs'!$C$12:$C$47),0)
),0),0),(IF($M723&gt;=IFERROR(INDEX('TaxCred&amp;Subs'!$H$12:$H$47,MATCH(1,($C723&amp;$D723='TaxCred&amp;Subs'!$D$12:$D$47)*($F723='TaxCred&amp;Subs'!$C$12:$C$47),0)
),9999),IFERROR(INDEX('TaxCred&amp;Subs'!$N$12:$N$47,MATCH(1,($C723&amp;$D723='TaxCred&amp;Subs'!$D$12:$D$47)*($F723='TaxCred&amp;Subs'!$C$12:$C$47),0)
),0),0)))),0)+IF(AND($C723=2,VALUE(RIGHT($AD723,1))&gt;2),(N723-R723)*(IFERROR(INDEX('TaxCred&amp;Subs'!$J$66:$J$99,MATCH(1,($C723&amp;$D723='TaxCred&amp;Subs'!$E$66:$E$99)*($F723='TaxCred&amp;Subs'!$C$66:$C$99),0)),0)),IF(AND($C723=1,VALUE(RIGHT($AD723,1))&gt;2),(N723-R723)*(IFERROR(INDEX('TaxCred&amp;Subs'!$J$66:$J$99,MATCH(1,($C723&amp;$D723='TaxCred&amp;Subs'!$D$66:$D$99)*($F723='TaxCred&amp;Subs'!$C$66:$C$99),0)),0)),IF($C723&gt;2,(N723-R723)*(IFERROR(INDEX('TaxCred&amp;Subs'!$J$66:$J$99,MATCH(1,($C723&amp;$D723='TaxCred&amp;Subs'!$D$66:$D$99)*($F723='TaxCred&amp;Subs'!$C$66:$C$99),0)),0)),0))),0)</f>
        <v>600</v>
      </c>
      <c r="Q723" s="95">
        <f t="array" ref="Q723">ROUND(IF(AND($C723=2,VALUE(RIGHT($AD723,1))&gt;2),(O723-S723)*(IFERROR(INDEX('TaxCred&amp;Subs'!$J$66:$J$99,MATCH(1,($C723&amp;$D723='TaxCred&amp;Subs'!$E$66:$E$99)*($F723='TaxCred&amp;Subs'!$C$66:$C$99),0)),0)),IF(AND($C723=1,VALUE(RIGHT($AD723,1))&gt;2),(O723-S723)*(IFERROR(INDEX('TaxCred&amp;Subs'!$J$66:$J$99,MATCH(1,($C723&amp;$D723='TaxCred&amp;Subs'!$D$66:$D$99)*($F723='TaxCred&amp;Subs'!$C$66:$C$99),0)),0)),IF($C723&gt;2,(O723-S723)*(IFERROR(INDEX('TaxCred&amp;Subs'!$J$66:$J$99,MATCH(1,($C723&amp;$D723='TaxCred&amp;Subs'!$D$66:$D$99)*($F723='TaxCred&amp;Subs'!$C$66:$C$99),0)),0)),0))),0)</f>
        <v>0</v>
      </c>
      <c r="R723" s="95">
        <f t="array" ref="R723">ROUND(IF(IFERROR(VALUE(RIGHT($AD723,1)),0)&gt;2,IF($C723=8,N723*IFERROR(INDEX('TaxCred&amp;Subs'!$K$139:$S$151,MATCH($C723&amp;$D723&amp;LEFT($AD723,7),'TaxCred&amp;Subs'!$E$139:$E$151,0),MATCH($H723,'TaxCred&amp;Subs'!$K$137:$S$137,0)),0),IF($C723=2,N723*IFERROR(INDEX('TaxCred&amp;Subs'!$K$139:$S$151,MATCH($C723&amp;$D723,'TaxCred&amp;Subs'!$D$139:$D$151,0),MATCH($H723,'TaxCred&amp;Subs'!$K$137:$S$137,0)),0),N723*IFERROR(INDEX('TaxCred&amp;Subs'!$K$139:$S$151,MATCH($C723&amp;$D723,'TaxCred&amp;Subs'!$C$139:$C$151,0),MATCH($H723,'TaxCred&amp;Subs'!$K$137:$S$137,0)),0))),0),0)</f>
        <v>447</v>
      </c>
      <c r="S723" s="95">
        <f t="array" ref="S723">ROUND(IF(IFERROR(VALUE(RIGHT($AD723,1)),0)&gt;2,IF($C723=8,O723*IFERROR(INDEX('TaxCred&amp;Subs'!$K$139:$S$151,MATCH($C723&amp;$D723&amp;LEFT($AD723,7),'TaxCred&amp;Subs'!$E$139:$E$151,0),MATCH($H723,'TaxCred&amp;Subs'!$K$137:$S$137,0)),0),IF($C723=2,O723*IFERROR(INDEX('TaxCred&amp;Subs'!$K$139:$S$151,MATCH($C723&amp;$D723,'TaxCred&amp;Subs'!$D$139:$D$151,0),MATCH($H723,'TaxCred&amp;Subs'!$K$137:$S$137,0)),0),O723*IFERROR(INDEX('TaxCred&amp;Subs'!$K$139:$S$151,MATCH($C723&amp;$D723,'TaxCred&amp;Subs'!$C$139:$C$151,0),MATCH($H723,'TaxCred&amp;Subs'!$K$137:$S$137,0)),0))),0),0)</f>
        <v>305</v>
      </c>
      <c r="T723" s="95">
        <f t="shared" si="46"/>
        <v>0</v>
      </c>
      <c r="U723" s="95">
        <f t="shared" si="47"/>
        <v>0</v>
      </c>
      <c r="V723" s="28" t="s">
        <v>222</v>
      </c>
      <c r="W723" s="31">
        <v>2020</v>
      </c>
      <c r="X723" s="28">
        <v>1</v>
      </c>
      <c r="Y723" s="28">
        <v>0</v>
      </c>
      <c r="Z723" s="196">
        <v>-1.755E-3</v>
      </c>
      <c r="AA723" s="196">
        <v>-2.7E-2</v>
      </c>
      <c r="AB723" s="28">
        <v>0</v>
      </c>
      <c r="AC723" s="28">
        <v>0</v>
      </c>
      <c r="AD723" s="31" t="s">
        <v>501</v>
      </c>
      <c r="AE723" t="s">
        <v>354</v>
      </c>
    </row>
    <row r="724" spans="2:31" ht="14.25" customHeight="1" x14ac:dyDescent="0.2">
      <c r="B724" s="7">
        <f t="shared" si="48"/>
        <v>700</v>
      </c>
      <c r="C724" s="28">
        <v>5</v>
      </c>
      <c r="D724" s="28">
        <v>2</v>
      </c>
      <c r="E724" s="31">
        <v>8</v>
      </c>
      <c r="F724" s="78">
        <v>2022</v>
      </c>
      <c r="G724" s="31">
        <v>2029</v>
      </c>
      <c r="H724" s="28">
        <v>2</v>
      </c>
      <c r="I724" s="28">
        <v>0</v>
      </c>
      <c r="J724" s="28">
        <v>0</v>
      </c>
      <c r="K724" s="28">
        <v>0</v>
      </c>
      <c r="L724" s="28">
        <v>0</v>
      </c>
      <c r="M724" s="156">
        <v>3.73</v>
      </c>
      <c r="N724" s="151">
        <v>1715</v>
      </c>
      <c r="O724" s="151">
        <v>1170</v>
      </c>
      <c r="P724" s="95">
        <f t="array" ref="P724">ROUND(IF($F724&lt;='TaxCred&amp;Subs'!$C$49,(IF($C724=2,IF($M724&gt;=IFERROR(INDEX('TaxCred&amp;Subs'!$L$12:$L$47,MATCH(1,($C724&amp;$D724='TaxCred&amp;Subs'!$E$12:$E$47)*($F724='TaxCred&amp;Subs'!$C$12:$C$47),0)
),9999),IFERROR(INDEX('TaxCred&amp;Subs'!$N$12:$N$47,MATCH(1,($C724&amp;$D724='TaxCred&amp;Subs'!$E$12:$E$47)*($F724='TaxCred&amp;Subs'!$C$12:$C$47),0)
),0),0),(IF($M724&gt;=IFERROR(INDEX('TaxCred&amp;Subs'!$H$12:$H$47,MATCH(1,($C724&amp;$D724='TaxCred&amp;Subs'!$D$12:$D$47)*($F724='TaxCred&amp;Subs'!$C$12:$C$47),0)
),9999),IFERROR(INDEX('TaxCred&amp;Subs'!$N$12:$N$47,MATCH(1,($C724&amp;$D724='TaxCred&amp;Subs'!$D$12:$D$47)*($F724='TaxCred&amp;Subs'!$C$12:$C$47),0)
),0),0)))),0)+IF(AND($C724=2,VALUE(RIGHT($AD724,1))&gt;2),(N724-R724)*(IFERROR(INDEX('TaxCred&amp;Subs'!$J$66:$J$99,MATCH(1,($C724&amp;$D724='TaxCred&amp;Subs'!$E$66:$E$99)*($F724='TaxCred&amp;Subs'!$C$66:$C$99),0)),0)),IF(AND($C724=1,VALUE(RIGHT($AD724,1))&gt;2),(N724-R724)*(IFERROR(INDEX('TaxCred&amp;Subs'!$J$66:$J$99,MATCH(1,($C724&amp;$D724='TaxCred&amp;Subs'!$D$66:$D$99)*($F724='TaxCred&amp;Subs'!$C$66:$C$99),0)),0)),IF($C724&gt;2,(N724-R724)*(IFERROR(INDEX('TaxCred&amp;Subs'!$J$66:$J$99,MATCH(1,($C724&amp;$D724='TaxCred&amp;Subs'!$D$66:$D$99)*($F724='TaxCred&amp;Subs'!$C$66:$C$99),0)),0)),0))),0)</f>
        <v>600</v>
      </c>
      <c r="Q724" s="95">
        <f t="array" ref="Q724">ROUND(IF(AND($C724=2,VALUE(RIGHT($AD724,1))&gt;2),(O724-S724)*(IFERROR(INDEX('TaxCred&amp;Subs'!$J$66:$J$99,MATCH(1,($C724&amp;$D724='TaxCred&amp;Subs'!$E$66:$E$99)*($F724='TaxCred&amp;Subs'!$C$66:$C$99),0)),0)),IF(AND($C724=1,VALUE(RIGHT($AD724,1))&gt;2),(O724-S724)*(IFERROR(INDEX('TaxCred&amp;Subs'!$J$66:$J$99,MATCH(1,($C724&amp;$D724='TaxCred&amp;Subs'!$D$66:$D$99)*($F724='TaxCred&amp;Subs'!$C$66:$C$99),0)),0)),IF($C724&gt;2,(O724-S724)*(IFERROR(INDEX('TaxCred&amp;Subs'!$J$66:$J$99,MATCH(1,($C724&amp;$D724='TaxCred&amp;Subs'!$D$66:$D$99)*($F724='TaxCred&amp;Subs'!$C$66:$C$99),0)),0)),0))),0)</f>
        <v>0</v>
      </c>
      <c r="R724" s="95">
        <f t="array" ref="R724">ROUND(IF(IFERROR(VALUE(RIGHT($AD724,1)),0)&gt;2,IF($C724=8,N724*IFERROR(INDEX('TaxCred&amp;Subs'!$K$139:$S$151,MATCH($C724&amp;$D724&amp;LEFT($AD724,7),'TaxCred&amp;Subs'!$E$139:$E$151,0),MATCH($H724,'TaxCred&amp;Subs'!$K$137:$S$137,0)),0),IF($C724=2,N724*IFERROR(INDEX('TaxCred&amp;Subs'!$K$139:$S$151,MATCH($C724&amp;$D724,'TaxCred&amp;Subs'!$D$139:$D$151,0),MATCH($H724,'TaxCred&amp;Subs'!$K$137:$S$137,0)),0),N724*IFERROR(INDEX('TaxCred&amp;Subs'!$K$139:$S$151,MATCH($C724&amp;$D724,'TaxCred&amp;Subs'!$C$139:$C$151,0),MATCH($H724,'TaxCred&amp;Subs'!$K$137:$S$137,0)),0))),0),0)</f>
        <v>439</v>
      </c>
      <c r="S724" s="95">
        <f t="array" ref="S724">ROUND(IF(IFERROR(VALUE(RIGHT($AD724,1)),0)&gt;2,IF($C724=8,O724*IFERROR(INDEX('TaxCred&amp;Subs'!$K$139:$S$151,MATCH($C724&amp;$D724&amp;LEFT($AD724,7),'TaxCred&amp;Subs'!$E$139:$E$151,0),MATCH($H724,'TaxCred&amp;Subs'!$K$137:$S$137,0)),0),IF($C724=2,O724*IFERROR(INDEX('TaxCred&amp;Subs'!$K$139:$S$151,MATCH($C724&amp;$D724,'TaxCred&amp;Subs'!$D$139:$D$151,0),MATCH($H724,'TaxCred&amp;Subs'!$K$137:$S$137,0)),0),O724*IFERROR(INDEX('TaxCred&amp;Subs'!$K$139:$S$151,MATCH($C724&amp;$D724,'TaxCred&amp;Subs'!$C$139:$C$151,0),MATCH($H724,'TaxCred&amp;Subs'!$K$137:$S$137,0)),0))),0),0)</f>
        <v>299</v>
      </c>
      <c r="T724" s="95">
        <f t="shared" si="46"/>
        <v>0</v>
      </c>
      <c r="U724" s="95">
        <f t="shared" si="47"/>
        <v>0</v>
      </c>
      <c r="V724" s="28" t="s">
        <v>222</v>
      </c>
      <c r="W724" s="31">
        <v>2020</v>
      </c>
      <c r="X724" s="28">
        <v>1</v>
      </c>
      <c r="Y724" s="28">
        <v>0</v>
      </c>
      <c r="Z724" s="196">
        <v>-1.755E-3</v>
      </c>
      <c r="AA724" s="196">
        <v>-2.7E-2</v>
      </c>
      <c r="AB724" s="28">
        <v>0</v>
      </c>
      <c r="AC724" s="28">
        <v>0</v>
      </c>
      <c r="AD724" s="31" t="s">
        <v>501</v>
      </c>
      <c r="AE724" t="s">
        <v>354</v>
      </c>
    </row>
    <row r="725" spans="2:31" ht="14.25" customHeight="1" x14ac:dyDescent="0.2">
      <c r="B725" s="7">
        <f t="shared" si="48"/>
        <v>701</v>
      </c>
      <c r="C725" s="28">
        <v>5</v>
      </c>
      <c r="D725" s="28">
        <v>2</v>
      </c>
      <c r="E725" s="31">
        <v>8</v>
      </c>
      <c r="F725" s="78">
        <v>2022</v>
      </c>
      <c r="G725" s="31">
        <v>2029</v>
      </c>
      <c r="H725" s="28">
        <v>3</v>
      </c>
      <c r="I725" s="28">
        <v>0</v>
      </c>
      <c r="J725" s="28">
        <v>0</v>
      </c>
      <c r="K725" s="28">
        <v>0</v>
      </c>
      <c r="L725" s="28">
        <v>0</v>
      </c>
      <c r="M725" s="156">
        <v>3.73</v>
      </c>
      <c r="N725" s="151">
        <v>1715</v>
      </c>
      <c r="O725" s="151">
        <v>1170</v>
      </c>
      <c r="P725" s="95">
        <f t="array" ref="P725">ROUND(IF($F725&lt;='TaxCred&amp;Subs'!$C$49,(IF($C725=2,IF($M725&gt;=IFERROR(INDEX('TaxCred&amp;Subs'!$L$12:$L$47,MATCH(1,($C725&amp;$D725='TaxCred&amp;Subs'!$E$12:$E$47)*($F725='TaxCred&amp;Subs'!$C$12:$C$47),0)
),9999),IFERROR(INDEX('TaxCred&amp;Subs'!$N$12:$N$47,MATCH(1,($C725&amp;$D725='TaxCred&amp;Subs'!$E$12:$E$47)*($F725='TaxCred&amp;Subs'!$C$12:$C$47),0)
),0),0),(IF($M725&gt;=IFERROR(INDEX('TaxCred&amp;Subs'!$H$12:$H$47,MATCH(1,($C725&amp;$D725='TaxCred&amp;Subs'!$D$12:$D$47)*($F725='TaxCred&amp;Subs'!$C$12:$C$47),0)
),9999),IFERROR(INDEX('TaxCred&amp;Subs'!$N$12:$N$47,MATCH(1,($C725&amp;$D725='TaxCred&amp;Subs'!$D$12:$D$47)*($F725='TaxCred&amp;Subs'!$C$12:$C$47),0)
),0),0)))),0)+IF(AND($C725=2,VALUE(RIGHT($AD725,1))&gt;2),(N725-R725)*(IFERROR(INDEX('TaxCred&amp;Subs'!$J$66:$J$99,MATCH(1,($C725&amp;$D725='TaxCred&amp;Subs'!$E$66:$E$99)*($F725='TaxCred&amp;Subs'!$C$66:$C$99),0)),0)),IF(AND($C725=1,VALUE(RIGHT($AD725,1))&gt;2),(N725-R725)*(IFERROR(INDEX('TaxCred&amp;Subs'!$J$66:$J$99,MATCH(1,($C725&amp;$D725='TaxCred&amp;Subs'!$D$66:$D$99)*($F725='TaxCred&amp;Subs'!$C$66:$C$99),0)),0)),IF($C725&gt;2,(N725-R725)*(IFERROR(INDEX('TaxCred&amp;Subs'!$J$66:$J$99,MATCH(1,($C725&amp;$D725='TaxCred&amp;Subs'!$D$66:$D$99)*($F725='TaxCred&amp;Subs'!$C$66:$C$99),0)),0)),0))),0)</f>
        <v>600</v>
      </c>
      <c r="Q725" s="95">
        <f t="array" ref="Q725">ROUND(IF(AND($C725=2,VALUE(RIGHT($AD725,1))&gt;2),(O725-S725)*(IFERROR(INDEX('TaxCred&amp;Subs'!$J$66:$J$99,MATCH(1,($C725&amp;$D725='TaxCred&amp;Subs'!$E$66:$E$99)*($F725='TaxCred&amp;Subs'!$C$66:$C$99),0)),0)),IF(AND($C725=1,VALUE(RIGHT($AD725,1))&gt;2),(O725-S725)*(IFERROR(INDEX('TaxCred&amp;Subs'!$J$66:$J$99,MATCH(1,($C725&amp;$D725='TaxCred&amp;Subs'!$D$66:$D$99)*($F725='TaxCred&amp;Subs'!$C$66:$C$99),0)),0)),IF($C725&gt;2,(O725-S725)*(IFERROR(INDEX('TaxCred&amp;Subs'!$J$66:$J$99,MATCH(1,($C725&amp;$D725='TaxCred&amp;Subs'!$D$66:$D$99)*($F725='TaxCred&amp;Subs'!$C$66:$C$99),0)),0)),0))),0)</f>
        <v>0</v>
      </c>
      <c r="R725" s="95">
        <f t="array" ref="R725">ROUND(IF(IFERROR(VALUE(RIGHT($AD725,1)),0)&gt;2,IF($C725=8,N725*IFERROR(INDEX('TaxCred&amp;Subs'!$K$139:$S$151,MATCH($C725&amp;$D725&amp;LEFT($AD725,7),'TaxCred&amp;Subs'!$E$139:$E$151,0),MATCH($H725,'TaxCred&amp;Subs'!$K$137:$S$137,0)),0),IF($C725=2,N725*IFERROR(INDEX('TaxCred&amp;Subs'!$K$139:$S$151,MATCH($C725&amp;$D725,'TaxCred&amp;Subs'!$D$139:$D$151,0),MATCH($H725,'TaxCred&amp;Subs'!$K$137:$S$137,0)),0),N725*IFERROR(INDEX('TaxCred&amp;Subs'!$K$139:$S$151,MATCH($C725&amp;$D725,'TaxCred&amp;Subs'!$C$139:$C$151,0),MATCH($H725,'TaxCred&amp;Subs'!$K$137:$S$137,0)),0))),0),0)</f>
        <v>256</v>
      </c>
      <c r="S725" s="95">
        <f t="array" ref="S725">ROUND(IF(IFERROR(VALUE(RIGHT($AD725,1)),0)&gt;2,IF($C725=8,O725*IFERROR(INDEX('TaxCred&amp;Subs'!$K$139:$S$151,MATCH($C725&amp;$D725&amp;LEFT($AD725,7),'TaxCred&amp;Subs'!$E$139:$E$151,0),MATCH($H725,'TaxCred&amp;Subs'!$K$137:$S$137,0)),0),IF($C725=2,O725*IFERROR(INDEX('TaxCred&amp;Subs'!$K$139:$S$151,MATCH($C725&amp;$D725,'TaxCred&amp;Subs'!$D$139:$D$151,0),MATCH($H725,'TaxCred&amp;Subs'!$K$137:$S$137,0)),0),O725*IFERROR(INDEX('TaxCred&amp;Subs'!$K$139:$S$151,MATCH($C725&amp;$D725,'TaxCred&amp;Subs'!$C$139:$C$151,0),MATCH($H725,'TaxCred&amp;Subs'!$K$137:$S$137,0)),0))),0),0)</f>
        <v>175</v>
      </c>
      <c r="T725" s="95">
        <f t="shared" si="46"/>
        <v>0</v>
      </c>
      <c r="U725" s="95">
        <f t="shared" si="47"/>
        <v>0</v>
      </c>
      <c r="V725" s="28" t="s">
        <v>222</v>
      </c>
      <c r="W725" s="31">
        <v>2020</v>
      </c>
      <c r="X725" s="28">
        <v>1</v>
      </c>
      <c r="Y725" s="28">
        <v>0</v>
      </c>
      <c r="Z725" s="196">
        <v>-1.755E-3</v>
      </c>
      <c r="AA725" s="196">
        <v>-2.7E-2</v>
      </c>
      <c r="AB725" s="28">
        <v>0</v>
      </c>
      <c r="AC725" s="28">
        <v>0</v>
      </c>
      <c r="AD725" s="31" t="s">
        <v>501</v>
      </c>
      <c r="AE725" t="s">
        <v>354</v>
      </c>
    </row>
    <row r="726" spans="2:31" ht="14.25" customHeight="1" x14ac:dyDescent="0.2">
      <c r="B726" s="7">
        <f t="shared" si="48"/>
        <v>702</v>
      </c>
      <c r="C726" s="28">
        <v>5</v>
      </c>
      <c r="D726" s="28">
        <v>2</v>
      </c>
      <c r="E726" s="31">
        <v>8</v>
      </c>
      <c r="F726" s="78">
        <v>2022</v>
      </c>
      <c r="G726" s="31">
        <v>2029</v>
      </c>
      <c r="H726" s="28">
        <v>4</v>
      </c>
      <c r="I726" s="28">
        <v>0</v>
      </c>
      <c r="J726" s="28">
        <v>0</v>
      </c>
      <c r="K726" s="28">
        <v>0</v>
      </c>
      <c r="L726" s="28">
        <v>0</v>
      </c>
      <c r="M726" s="156">
        <v>3.73</v>
      </c>
      <c r="N726" s="151">
        <v>1715</v>
      </c>
      <c r="O726" s="151">
        <v>1170</v>
      </c>
      <c r="P726" s="95">
        <f t="array" ref="P726">ROUND(IF($F726&lt;='TaxCred&amp;Subs'!$C$49,(IF($C726=2,IF($M726&gt;=IFERROR(INDEX('TaxCred&amp;Subs'!$L$12:$L$47,MATCH(1,($C726&amp;$D726='TaxCred&amp;Subs'!$E$12:$E$47)*($F726='TaxCred&amp;Subs'!$C$12:$C$47),0)
),9999),IFERROR(INDEX('TaxCred&amp;Subs'!$N$12:$N$47,MATCH(1,($C726&amp;$D726='TaxCred&amp;Subs'!$E$12:$E$47)*($F726='TaxCred&amp;Subs'!$C$12:$C$47),0)
),0),0),(IF($M726&gt;=IFERROR(INDEX('TaxCred&amp;Subs'!$H$12:$H$47,MATCH(1,($C726&amp;$D726='TaxCred&amp;Subs'!$D$12:$D$47)*($F726='TaxCred&amp;Subs'!$C$12:$C$47),0)
),9999),IFERROR(INDEX('TaxCred&amp;Subs'!$N$12:$N$47,MATCH(1,($C726&amp;$D726='TaxCred&amp;Subs'!$D$12:$D$47)*($F726='TaxCred&amp;Subs'!$C$12:$C$47),0)
),0),0)))),0)+IF(AND($C726=2,VALUE(RIGHT($AD726,1))&gt;2),(N726-R726)*(IFERROR(INDEX('TaxCred&amp;Subs'!$J$66:$J$99,MATCH(1,($C726&amp;$D726='TaxCred&amp;Subs'!$E$66:$E$99)*($F726='TaxCred&amp;Subs'!$C$66:$C$99),0)),0)),IF(AND($C726=1,VALUE(RIGHT($AD726,1))&gt;2),(N726-R726)*(IFERROR(INDEX('TaxCred&amp;Subs'!$J$66:$J$99,MATCH(1,($C726&amp;$D726='TaxCred&amp;Subs'!$D$66:$D$99)*($F726='TaxCred&amp;Subs'!$C$66:$C$99),0)),0)),IF($C726&gt;2,(N726-R726)*(IFERROR(INDEX('TaxCred&amp;Subs'!$J$66:$J$99,MATCH(1,($C726&amp;$D726='TaxCred&amp;Subs'!$D$66:$D$99)*($F726='TaxCred&amp;Subs'!$C$66:$C$99),0)),0)),0))),0)</f>
        <v>600</v>
      </c>
      <c r="Q726" s="95">
        <f t="array" ref="Q726">ROUND(IF(AND($C726=2,VALUE(RIGHT($AD726,1))&gt;2),(O726-S726)*(IFERROR(INDEX('TaxCred&amp;Subs'!$J$66:$J$99,MATCH(1,($C726&amp;$D726='TaxCred&amp;Subs'!$E$66:$E$99)*($F726='TaxCred&amp;Subs'!$C$66:$C$99),0)),0)),IF(AND($C726=1,VALUE(RIGHT($AD726,1))&gt;2),(O726-S726)*(IFERROR(INDEX('TaxCred&amp;Subs'!$J$66:$J$99,MATCH(1,($C726&amp;$D726='TaxCred&amp;Subs'!$D$66:$D$99)*($F726='TaxCred&amp;Subs'!$C$66:$C$99),0)),0)),IF($C726&gt;2,(O726-S726)*(IFERROR(INDEX('TaxCred&amp;Subs'!$J$66:$J$99,MATCH(1,($C726&amp;$D726='TaxCred&amp;Subs'!$D$66:$D$99)*($F726='TaxCred&amp;Subs'!$C$66:$C$99),0)),0)),0))),0)</f>
        <v>0</v>
      </c>
      <c r="R726" s="95">
        <f t="array" ref="R726">ROUND(IF(IFERROR(VALUE(RIGHT($AD726,1)),0)&gt;2,IF($C726=8,N726*IFERROR(INDEX('TaxCred&amp;Subs'!$K$139:$S$151,MATCH($C726&amp;$D726&amp;LEFT($AD726,7),'TaxCred&amp;Subs'!$E$139:$E$151,0),MATCH($H726,'TaxCred&amp;Subs'!$K$137:$S$137,0)),0),IF($C726=2,N726*IFERROR(INDEX('TaxCred&amp;Subs'!$K$139:$S$151,MATCH($C726&amp;$D726,'TaxCred&amp;Subs'!$D$139:$D$151,0),MATCH($H726,'TaxCred&amp;Subs'!$K$137:$S$137,0)),0),N726*IFERROR(INDEX('TaxCred&amp;Subs'!$K$139:$S$151,MATCH($C726&amp;$D726,'TaxCred&amp;Subs'!$C$139:$C$151,0),MATCH($H726,'TaxCred&amp;Subs'!$K$137:$S$137,0)),0))),0),0)</f>
        <v>201</v>
      </c>
      <c r="S726" s="95">
        <f t="array" ref="S726">ROUND(IF(IFERROR(VALUE(RIGHT($AD726,1)),0)&gt;2,IF($C726=8,O726*IFERROR(INDEX('TaxCred&amp;Subs'!$K$139:$S$151,MATCH($C726&amp;$D726&amp;LEFT($AD726,7),'TaxCred&amp;Subs'!$E$139:$E$151,0),MATCH($H726,'TaxCred&amp;Subs'!$K$137:$S$137,0)),0),IF($C726=2,O726*IFERROR(INDEX('TaxCred&amp;Subs'!$K$139:$S$151,MATCH($C726&amp;$D726,'TaxCred&amp;Subs'!$D$139:$D$151,0),MATCH($H726,'TaxCred&amp;Subs'!$K$137:$S$137,0)),0),O726*IFERROR(INDEX('TaxCred&amp;Subs'!$K$139:$S$151,MATCH($C726&amp;$D726,'TaxCred&amp;Subs'!$C$139:$C$151,0),MATCH($H726,'TaxCred&amp;Subs'!$K$137:$S$137,0)),0))),0),0)</f>
        <v>137</v>
      </c>
      <c r="T726" s="95">
        <f t="shared" si="46"/>
        <v>0</v>
      </c>
      <c r="U726" s="95">
        <f t="shared" si="47"/>
        <v>0</v>
      </c>
      <c r="V726" s="28" t="s">
        <v>222</v>
      </c>
      <c r="W726" s="31">
        <v>2020</v>
      </c>
      <c r="X726" s="28">
        <v>1</v>
      </c>
      <c r="Y726" s="28">
        <v>0</v>
      </c>
      <c r="Z726" s="196">
        <v>-1.755E-3</v>
      </c>
      <c r="AA726" s="196">
        <v>-2.7E-2</v>
      </c>
      <c r="AB726" s="28">
        <v>0</v>
      </c>
      <c r="AC726" s="28">
        <v>0</v>
      </c>
      <c r="AD726" s="31" t="s">
        <v>501</v>
      </c>
      <c r="AE726" t="s">
        <v>354</v>
      </c>
    </row>
    <row r="727" spans="2:31" ht="14.25" customHeight="1" x14ac:dyDescent="0.2">
      <c r="B727" s="7">
        <f t="shared" si="48"/>
        <v>703</v>
      </c>
      <c r="C727" s="28">
        <v>5</v>
      </c>
      <c r="D727" s="28">
        <v>2</v>
      </c>
      <c r="E727" s="31">
        <v>8</v>
      </c>
      <c r="F727" s="78">
        <v>2022</v>
      </c>
      <c r="G727" s="31">
        <v>2029</v>
      </c>
      <c r="H727" s="28">
        <v>5</v>
      </c>
      <c r="I727" s="28">
        <v>0</v>
      </c>
      <c r="J727" s="28">
        <v>0</v>
      </c>
      <c r="K727" s="28">
        <v>0</v>
      </c>
      <c r="L727" s="28">
        <v>0</v>
      </c>
      <c r="M727" s="156">
        <v>3.73</v>
      </c>
      <c r="N727" s="151">
        <v>1715</v>
      </c>
      <c r="O727" s="151">
        <v>1170</v>
      </c>
      <c r="P727" s="95">
        <f t="array" ref="P727">ROUND(IF($F727&lt;='TaxCred&amp;Subs'!$C$49,(IF($C727=2,IF($M727&gt;=IFERROR(INDEX('TaxCred&amp;Subs'!$L$12:$L$47,MATCH(1,($C727&amp;$D727='TaxCred&amp;Subs'!$E$12:$E$47)*($F727='TaxCred&amp;Subs'!$C$12:$C$47),0)
),9999),IFERROR(INDEX('TaxCred&amp;Subs'!$N$12:$N$47,MATCH(1,($C727&amp;$D727='TaxCred&amp;Subs'!$E$12:$E$47)*($F727='TaxCred&amp;Subs'!$C$12:$C$47),0)
),0),0),(IF($M727&gt;=IFERROR(INDEX('TaxCred&amp;Subs'!$H$12:$H$47,MATCH(1,($C727&amp;$D727='TaxCred&amp;Subs'!$D$12:$D$47)*($F727='TaxCred&amp;Subs'!$C$12:$C$47),0)
),9999),IFERROR(INDEX('TaxCred&amp;Subs'!$N$12:$N$47,MATCH(1,($C727&amp;$D727='TaxCred&amp;Subs'!$D$12:$D$47)*($F727='TaxCred&amp;Subs'!$C$12:$C$47),0)
),0),0)))),0)+IF(AND($C727=2,VALUE(RIGHT($AD727,1))&gt;2),(N727-R727)*(IFERROR(INDEX('TaxCred&amp;Subs'!$J$66:$J$99,MATCH(1,($C727&amp;$D727='TaxCred&amp;Subs'!$E$66:$E$99)*($F727='TaxCred&amp;Subs'!$C$66:$C$99),0)),0)),IF(AND($C727=1,VALUE(RIGHT($AD727,1))&gt;2),(N727-R727)*(IFERROR(INDEX('TaxCred&amp;Subs'!$J$66:$J$99,MATCH(1,($C727&amp;$D727='TaxCred&amp;Subs'!$D$66:$D$99)*($F727='TaxCred&amp;Subs'!$C$66:$C$99),0)),0)),IF($C727&gt;2,(N727-R727)*(IFERROR(INDEX('TaxCred&amp;Subs'!$J$66:$J$99,MATCH(1,($C727&amp;$D727='TaxCred&amp;Subs'!$D$66:$D$99)*($F727='TaxCred&amp;Subs'!$C$66:$C$99),0)),0)),0))),0)</f>
        <v>600</v>
      </c>
      <c r="Q727" s="95">
        <f t="array" ref="Q727">ROUND(IF(AND($C727=2,VALUE(RIGHT($AD727,1))&gt;2),(O727-S727)*(IFERROR(INDEX('TaxCred&amp;Subs'!$J$66:$J$99,MATCH(1,($C727&amp;$D727='TaxCred&amp;Subs'!$E$66:$E$99)*($F727='TaxCred&amp;Subs'!$C$66:$C$99),0)),0)),IF(AND($C727=1,VALUE(RIGHT($AD727,1))&gt;2),(O727-S727)*(IFERROR(INDEX('TaxCred&amp;Subs'!$J$66:$J$99,MATCH(1,($C727&amp;$D727='TaxCred&amp;Subs'!$D$66:$D$99)*($F727='TaxCred&amp;Subs'!$C$66:$C$99),0)),0)),IF($C727&gt;2,(O727-S727)*(IFERROR(INDEX('TaxCred&amp;Subs'!$J$66:$J$99,MATCH(1,($C727&amp;$D727='TaxCred&amp;Subs'!$D$66:$D$99)*($F727='TaxCred&amp;Subs'!$C$66:$C$99),0)),0)),0))),0)</f>
        <v>0</v>
      </c>
      <c r="R727" s="95">
        <f t="array" ref="R727">ROUND(IF(IFERROR(VALUE(RIGHT($AD727,1)),0)&gt;2,IF($C727=8,N727*IFERROR(INDEX('TaxCred&amp;Subs'!$K$139:$S$151,MATCH($C727&amp;$D727&amp;LEFT($AD727,7),'TaxCred&amp;Subs'!$E$139:$E$151,0),MATCH($H727,'TaxCred&amp;Subs'!$K$137:$S$137,0)),0),IF($C727=2,N727*IFERROR(INDEX('TaxCred&amp;Subs'!$K$139:$S$151,MATCH($C727&amp;$D727,'TaxCred&amp;Subs'!$D$139:$D$151,0),MATCH($H727,'TaxCred&amp;Subs'!$K$137:$S$137,0)),0),N727*IFERROR(INDEX('TaxCred&amp;Subs'!$K$139:$S$151,MATCH($C727&amp;$D727,'TaxCred&amp;Subs'!$C$139:$C$151,0),MATCH($H727,'TaxCred&amp;Subs'!$K$137:$S$137,0)),0))),0),0)</f>
        <v>226</v>
      </c>
      <c r="S727" s="95">
        <f t="array" ref="S727">ROUND(IF(IFERROR(VALUE(RIGHT($AD727,1)),0)&gt;2,IF($C727=8,O727*IFERROR(INDEX('TaxCred&amp;Subs'!$K$139:$S$151,MATCH($C727&amp;$D727&amp;LEFT($AD727,7),'TaxCred&amp;Subs'!$E$139:$E$151,0),MATCH($H727,'TaxCred&amp;Subs'!$K$137:$S$137,0)),0),IF($C727=2,O727*IFERROR(INDEX('TaxCred&amp;Subs'!$K$139:$S$151,MATCH($C727&amp;$D727,'TaxCred&amp;Subs'!$D$139:$D$151,0),MATCH($H727,'TaxCred&amp;Subs'!$K$137:$S$137,0)),0),O727*IFERROR(INDEX('TaxCred&amp;Subs'!$K$139:$S$151,MATCH($C727&amp;$D727,'TaxCred&amp;Subs'!$C$139:$C$151,0),MATCH($H727,'TaxCred&amp;Subs'!$K$137:$S$137,0)),0))),0),0)</f>
        <v>155</v>
      </c>
      <c r="T727" s="95">
        <f t="shared" ref="T727:T792" si="49">IF($H727=9,IF(R727&gt;0,(N727-P727)*0.15,0),0)</f>
        <v>0</v>
      </c>
      <c r="U727" s="95">
        <f t="shared" ref="U727:U792" si="50">IF($H727=9,IF(S727&gt;0,(O727-Q727)*0.15,0),0)</f>
        <v>0</v>
      </c>
      <c r="V727" s="28" t="s">
        <v>222</v>
      </c>
      <c r="W727" s="31">
        <v>2020</v>
      </c>
      <c r="X727" s="28">
        <v>1</v>
      </c>
      <c r="Y727" s="28">
        <v>0</v>
      </c>
      <c r="Z727" s="196">
        <v>-1.755E-3</v>
      </c>
      <c r="AA727" s="196">
        <v>-2.7E-2</v>
      </c>
      <c r="AB727" s="28">
        <v>0</v>
      </c>
      <c r="AC727" s="28">
        <v>0</v>
      </c>
      <c r="AD727" s="31" t="s">
        <v>501</v>
      </c>
      <c r="AE727" t="s">
        <v>354</v>
      </c>
    </row>
    <row r="728" spans="2:31" ht="14.25" customHeight="1" x14ac:dyDescent="0.2">
      <c r="B728" s="7">
        <f t="shared" si="48"/>
        <v>704</v>
      </c>
      <c r="C728" s="28">
        <v>5</v>
      </c>
      <c r="D728" s="28">
        <v>2</v>
      </c>
      <c r="E728" s="31">
        <v>8</v>
      </c>
      <c r="F728" s="78">
        <v>2022</v>
      </c>
      <c r="G728" s="31">
        <v>2029</v>
      </c>
      <c r="H728" s="28">
        <v>6</v>
      </c>
      <c r="I728" s="28">
        <v>0</v>
      </c>
      <c r="J728" s="28">
        <v>0</v>
      </c>
      <c r="K728" s="28">
        <v>0</v>
      </c>
      <c r="L728" s="28">
        <v>0</v>
      </c>
      <c r="M728" s="156">
        <v>3.73</v>
      </c>
      <c r="N728" s="151">
        <v>1715</v>
      </c>
      <c r="O728" s="151">
        <v>1170</v>
      </c>
      <c r="P728" s="95">
        <f t="array" ref="P728">ROUND(IF($F728&lt;='TaxCred&amp;Subs'!$C$49,(IF($C728=2,IF($M728&gt;=IFERROR(INDEX('TaxCred&amp;Subs'!$L$12:$L$47,MATCH(1,($C728&amp;$D728='TaxCred&amp;Subs'!$E$12:$E$47)*($F728='TaxCred&amp;Subs'!$C$12:$C$47),0)
),9999),IFERROR(INDEX('TaxCred&amp;Subs'!$N$12:$N$47,MATCH(1,($C728&amp;$D728='TaxCred&amp;Subs'!$E$12:$E$47)*($F728='TaxCred&amp;Subs'!$C$12:$C$47),0)
),0),0),(IF($M728&gt;=IFERROR(INDEX('TaxCred&amp;Subs'!$H$12:$H$47,MATCH(1,($C728&amp;$D728='TaxCred&amp;Subs'!$D$12:$D$47)*($F728='TaxCred&amp;Subs'!$C$12:$C$47),0)
),9999),IFERROR(INDEX('TaxCred&amp;Subs'!$N$12:$N$47,MATCH(1,($C728&amp;$D728='TaxCred&amp;Subs'!$D$12:$D$47)*($F728='TaxCred&amp;Subs'!$C$12:$C$47),0)
),0),0)))),0)+IF(AND($C728=2,VALUE(RIGHT($AD728,1))&gt;2),(N728-R728)*(IFERROR(INDEX('TaxCred&amp;Subs'!$J$66:$J$99,MATCH(1,($C728&amp;$D728='TaxCred&amp;Subs'!$E$66:$E$99)*($F728='TaxCred&amp;Subs'!$C$66:$C$99),0)),0)),IF(AND($C728=1,VALUE(RIGHT($AD728,1))&gt;2),(N728-R728)*(IFERROR(INDEX('TaxCred&amp;Subs'!$J$66:$J$99,MATCH(1,($C728&amp;$D728='TaxCred&amp;Subs'!$D$66:$D$99)*($F728='TaxCred&amp;Subs'!$C$66:$C$99),0)),0)),IF($C728&gt;2,(N728-R728)*(IFERROR(INDEX('TaxCred&amp;Subs'!$J$66:$J$99,MATCH(1,($C728&amp;$D728='TaxCred&amp;Subs'!$D$66:$D$99)*($F728='TaxCred&amp;Subs'!$C$66:$C$99),0)),0)),0))),0)</f>
        <v>600</v>
      </c>
      <c r="Q728" s="95">
        <f t="array" ref="Q728">ROUND(IF(AND($C728=2,VALUE(RIGHT($AD728,1))&gt;2),(O728-S728)*(IFERROR(INDEX('TaxCred&amp;Subs'!$J$66:$J$99,MATCH(1,($C728&amp;$D728='TaxCred&amp;Subs'!$E$66:$E$99)*($F728='TaxCred&amp;Subs'!$C$66:$C$99),0)),0)),IF(AND($C728=1,VALUE(RIGHT($AD728,1))&gt;2),(O728-S728)*(IFERROR(INDEX('TaxCred&amp;Subs'!$J$66:$J$99,MATCH(1,($C728&amp;$D728='TaxCred&amp;Subs'!$D$66:$D$99)*($F728='TaxCred&amp;Subs'!$C$66:$C$99),0)),0)),IF($C728&gt;2,(O728-S728)*(IFERROR(INDEX('TaxCred&amp;Subs'!$J$66:$J$99,MATCH(1,($C728&amp;$D728='TaxCred&amp;Subs'!$D$66:$D$99)*($F728='TaxCred&amp;Subs'!$C$66:$C$99),0)),0)),0))),0)</f>
        <v>0</v>
      </c>
      <c r="R728" s="95">
        <f t="array" ref="R728">ROUND(IF(IFERROR(VALUE(RIGHT($AD728,1)),0)&gt;2,IF($C728=8,N728*IFERROR(INDEX('TaxCred&amp;Subs'!$K$139:$S$151,MATCH($C728&amp;$D728&amp;LEFT($AD728,7),'TaxCred&amp;Subs'!$E$139:$E$151,0),MATCH($H728,'TaxCred&amp;Subs'!$K$137:$S$137,0)),0),IF($C728=2,N728*IFERROR(INDEX('TaxCred&amp;Subs'!$K$139:$S$151,MATCH($C728&amp;$D728,'TaxCred&amp;Subs'!$D$139:$D$151,0),MATCH($H728,'TaxCred&amp;Subs'!$K$137:$S$137,0)),0),N728*IFERROR(INDEX('TaxCred&amp;Subs'!$K$139:$S$151,MATCH($C728&amp;$D728,'TaxCred&amp;Subs'!$C$139:$C$151,0),MATCH($H728,'TaxCred&amp;Subs'!$K$137:$S$137,0)),0))),0),0)</f>
        <v>115</v>
      </c>
      <c r="S728" s="95">
        <f t="array" ref="S728">ROUND(IF(IFERROR(VALUE(RIGHT($AD728,1)),0)&gt;2,IF($C728=8,O728*IFERROR(INDEX('TaxCred&amp;Subs'!$K$139:$S$151,MATCH($C728&amp;$D728&amp;LEFT($AD728,7),'TaxCred&amp;Subs'!$E$139:$E$151,0),MATCH($H728,'TaxCred&amp;Subs'!$K$137:$S$137,0)),0),IF($C728=2,O728*IFERROR(INDEX('TaxCred&amp;Subs'!$K$139:$S$151,MATCH($C728&amp;$D728,'TaxCred&amp;Subs'!$D$139:$D$151,0),MATCH($H728,'TaxCred&amp;Subs'!$K$137:$S$137,0)),0),O728*IFERROR(INDEX('TaxCred&amp;Subs'!$K$139:$S$151,MATCH($C728&amp;$D728,'TaxCred&amp;Subs'!$C$139:$C$151,0),MATCH($H728,'TaxCred&amp;Subs'!$K$137:$S$137,0)),0))),0),0)</f>
        <v>78</v>
      </c>
      <c r="T728" s="95">
        <f t="shared" si="49"/>
        <v>0</v>
      </c>
      <c r="U728" s="95">
        <f t="shared" si="50"/>
        <v>0</v>
      </c>
      <c r="V728" s="28" t="s">
        <v>222</v>
      </c>
      <c r="W728" s="31">
        <v>2020</v>
      </c>
      <c r="X728" s="28">
        <v>1</v>
      </c>
      <c r="Y728" s="28">
        <v>0</v>
      </c>
      <c r="Z728" s="196">
        <v>-1.755E-3</v>
      </c>
      <c r="AA728" s="196">
        <v>-2.7E-2</v>
      </c>
      <c r="AB728" s="28">
        <v>0</v>
      </c>
      <c r="AC728" s="28">
        <v>0</v>
      </c>
      <c r="AD728" s="31" t="s">
        <v>501</v>
      </c>
      <c r="AE728" t="s">
        <v>354</v>
      </c>
    </row>
    <row r="729" spans="2:31" ht="14.25" customHeight="1" x14ac:dyDescent="0.2">
      <c r="B729" s="7">
        <f t="shared" si="48"/>
        <v>705</v>
      </c>
      <c r="C729" s="28">
        <v>5</v>
      </c>
      <c r="D729" s="28">
        <v>2</v>
      </c>
      <c r="E729" s="31">
        <v>8</v>
      </c>
      <c r="F729" s="78">
        <v>2022</v>
      </c>
      <c r="G729" s="31">
        <v>2029</v>
      </c>
      <c r="H729" s="28">
        <v>7</v>
      </c>
      <c r="I729" s="28">
        <v>0</v>
      </c>
      <c r="J729" s="28">
        <v>0</v>
      </c>
      <c r="K729" s="28">
        <v>0</v>
      </c>
      <c r="L729" s="28">
        <v>0</v>
      </c>
      <c r="M729" s="156">
        <v>3.73</v>
      </c>
      <c r="N729" s="151">
        <v>1715</v>
      </c>
      <c r="O729" s="151">
        <v>1170</v>
      </c>
      <c r="P729" s="95">
        <f t="array" ref="P729">ROUND(IF($F729&lt;='TaxCred&amp;Subs'!$C$49,(IF($C729=2,IF($M729&gt;=IFERROR(INDEX('TaxCred&amp;Subs'!$L$12:$L$47,MATCH(1,($C729&amp;$D729='TaxCred&amp;Subs'!$E$12:$E$47)*($F729='TaxCred&amp;Subs'!$C$12:$C$47),0)
),9999),IFERROR(INDEX('TaxCred&amp;Subs'!$N$12:$N$47,MATCH(1,($C729&amp;$D729='TaxCred&amp;Subs'!$E$12:$E$47)*($F729='TaxCred&amp;Subs'!$C$12:$C$47),0)
),0),0),(IF($M729&gt;=IFERROR(INDEX('TaxCred&amp;Subs'!$H$12:$H$47,MATCH(1,($C729&amp;$D729='TaxCred&amp;Subs'!$D$12:$D$47)*($F729='TaxCred&amp;Subs'!$C$12:$C$47),0)
),9999),IFERROR(INDEX('TaxCred&amp;Subs'!$N$12:$N$47,MATCH(1,($C729&amp;$D729='TaxCred&amp;Subs'!$D$12:$D$47)*($F729='TaxCred&amp;Subs'!$C$12:$C$47),0)
),0),0)))),0)+IF(AND($C729=2,VALUE(RIGHT($AD729,1))&gt;2),(N729-R729)*(IFERROR(INDEX('TaxCred&amp;Subs'!$J$66:$J$99,MATCH(1,($C729&amp;$D729='TaxCred&amp;Subs'!$E$66:$E$99)*($F729='TaxCred&amp;Subs'!$C$66:$C$99),0)),0)),IF(AND($C729=1,VALUE(RIGHT($AD729,1))&gt;2),(N729-R729)*(IFERROR(INDEX('TaxCred&amp;Subs'!$J$66:$J$99,MATCH(1,($C729&amp;$D729='TaxCred&amp;Subs'!$D$66:$D$99)*($F729='TaxCred&amp;Subs'!$C$66:$C$99),0)),0)),IF($C729&gt;2,(N729-R729)*(IFERROR(INDEX('TaxCred&amp;Subs'!$J$66:$J$99,MATCH(1,($C729&amp;$D729='TaxCred&amp;Subs'!$D$66:$D$99)*($F729='TaxCred&amp;Subs'!$C$66:$C$99),0)),0)),0))),0)</f>
        <v>600</v>
      </c>
      <c r="Q729" s="95">
        <f t="array" ref="Q729">ROUND(IF(AND($C729=2,VALUE(RIGHT($AD729,1))&gt;2),(O729-S729)*(IFERROR(INDEX('TaxCred&amp;Subs'!$J$66:$J$99,MATCH(1,($C729&amp;$D729='TaxCred&amp;Subs'!$E$66:$E$99)*($F729='TaxCred&amp;Subs'!$C$66:$C$99),0)),0)),IF(AND($C729=1,VALUE(RIGHT($AD729,1))&gt;2),(O729-S729)*(IFERROR(INDEX('TaxCred&amp;Subs'!$J$66:$J$99,MATCH(1,($C729&amp;$D729='TaxCred&amp;Subs'!$D$66:$D$99)*($F729='TaxCred&amp;Subs'!$C$66:$C$99),0)),0)),IF($C729&gt;2,(O729-S729)*(IFERROR(INDEX('TaxCred&amp;Subs'!$J$66:$J$99,MATCH(1,($C729&amp;$D729='TaxCred&amp;Subs'!$D$66:$D$99)*($F729='TaxCred&amp;Subs'!$C$66:$C$99),0)),0)),0))),0)</f>
        <v>0</v>
      </c>
      <c r="R729" s="95">
        <f t="array" ref="R729">ROUND(IF(IFERROR(VALUE(RIGHT($AD729,1)),0)&gt;2,IF($C729=8,N729*IFERROR(INDEX('TaxCred&amp;Subs'!$K$139:$S$151,MATCH($C729&amp;$D729&amp;LEFT($AD729,7),'TaxCred&amp;Subs'!$E$139:$E$151,0),MATCH($H729,'TaxCred&amp;Subs'!$K$137:$S$137,0)),0),IF($C729=2,N729*IFERROR(INDEX('TaxCred&amp;Subs'!$K$139:$S$151,MATCH($C729&amp;$D729,'TaxCred&amp;Subs'!$D$139:$D$151,0),MATCH($H729,'TaxCred&amp;Subs'!$K$137:$S$137,0)),0),N729*IFERROR(INDEX('TaxCred&amp;Subs'!$K$139:$S$151,MATCH($C729&amp;$D729,'TaxCred&amp;Subs'!$C$139:$C$151,0),MATCH($H729,'TaxCred&amp;Subs'!$K$137:$S$137,0)),0))),0),0)</f>
        <v>352</v>
      </c>
      <c r="S729" s="95">
        <f t="array" ref="S729">ROUND(IF(IFERROR(VALUE(RIGHT($AD729,1)),0)&gt;2,IF($C729=8,O729*IFERROR(INDEX('TaxCred&amp;Subs'!$K$139:$S$151,MATCH($C729&amp;$D729&amp;LEFT($AD729,7),'TaxCred&amp;Subs'!$E$139:$E$151,0),MATCH($H729,'TaxCred&amp;Subs'!$K$137:$S$137,0)),0),IF($C729=2,O729*IFERROR(INDEX('TaxCred&amp;Subs'!$K$139:$S$151,MATCH($C729&amp;$D729,'TaxCred&amp;Subs'!$D$139:$D$151,0),MATCH($H729,'TaxCred&amp;Subs'!$K$137:$S$137,0)),0),O729*IFERROR(INDEX('TaxCred&amp;Subs'!$K$139:$S$151,MATCH($C729&amp;$D729,'TaxCred&amp;Subs'!$C$139:$C$151,0),MATCH($H729,'TaxCred&amp;Subs'!$K$137:$S$137,0)),0))),0),0)</f>
        <v>240</v>
      </c>
      <c r="T729" s="95">
        <f t="shared" si="49"/>
        <v>0</v>
      </c>
      <c r="U729" s="95">
        <f t="shared" si="50"/>
        <v>0</v>
      </c>
      <c r="V729" s="28" t="s">
        <v>222</v>
      </c>
      <c r="W729" s="31">
        <v>2020</v>
      </c>
      <c r="X729" s="28">
        <v>1</v>
      </c>
      <c r="Y729" s="28">
        <v>0</v>
      </c>
      <c r="Z729" s="196">
        <v>-1.755E-3</v>
      </c>
      <c r="AA729" s="196">
        <v>-2.7E-2</v>
      </c>
      <c r="AB729" s="28">
        <v>0</v>
      </c>
      <c r="AC729" s="28">
        <v>0</v>
      </c>
      <c r="AD729" s="31" t="s">
        <v>501</v>
      </c>
      <c r="AE729" t="s">
        <v>354</v>
      </c>
    </row>
    <row r="730" spans="2:31" ht="14.25" customHeight="1" x14ac:dyDescent="0.2">
      <c r="B730" s="7">
        <f t="shared" si="48"/>
        <v>706</v>
      </c>
      <c r="C730" s="28">
        <v>5</v>
      </c>
      <c r="D730" s="28">
        <v>2</v>
      </c>
      <c r="E730" s="31">
        <v>8</v>
      </c>
      <c r="F730" s="78">
        <v>2022</v>
      </c>
      <c r="G730" s="31">
        <v>2029</v>
      </c>
      <c r="H730" s="28">
        <v>8</v>
      </c>
      <c r="I730" s="28">
        <v>0</v>
      </c>
      <c r="J730" s="28">
        <v>0</v>
      </c>
      <c r="K730" s="28">
        <v>0</v>
      </c>
      <c r="L730" s="28">
        <v>0</v>
      </c>
      <c r="M730" s="156">
        <v>3.73</v>
      </c>
      <c r="N730" s="151">
        <v>1715</v>
      </c>
      <c r="O730" s="151">
        <v>1170</v>
      </c>
      <c r="P730" s="95">
        <f t="array" ref="P730">ROUND(IF($F730&lt;='TaxCred&amp;Subs'!$C$49,(IF($C730=2,IF($M730&gt;=IFERROR(INDEX('TaxCred&amp;Subs'!$L$12:$L$47,MATCH(1,($C730&amp;$D730='TaxCred&amp;Subs'!$E$12:$E$47)*($F730='TaxCred&amp;Subs'!$C$12:$C$47),0)
),9999),IFERROR(INDEX('TaxCred&amp;Subs'!$N$12:$N$47,MATCH(1,($C730&amp;$D730='TaxCred&amp;Subs'!$E$12:$E$47)*($F730='TaxCred&amp;Subs'!$C$12:$C$47),0)
),0),0),(IF($M730&gt;=IFERROR(INDEX('TaxCred&amp;Subs'!$H$12:$H$47,MATCH(1,($C730&amp;$D730='TaxCred&amp;Subs'!$D$12:$D$47)*($F730='TaxCred&amp;Subs'!$C$12:$C$47),0)
),9999),IFERROR(INDEX('TaxCred&amp;Subs'!$N$12:$N$47,MATCH(1,($C730&amp;$D730='TaxCred&amp;Subs'!$D$12:$D$47)*($F730='TaxCred&amp;Subs'!$C$12:$C$47),0)
),0),0)))),0)+IF(AND($C730=2,VALUE(RIGHT($AD730,1))&gt;2),(N730-R730)*(IFERROR(INDEX('TaxCred&amp;Subs'!$J$66:$J$99,MATCH(1,($C730&amp;$D730='TaxCred&amp;Subs'!$E$66:$E$99)*($F730='TaxCred&amp;Subs'!$C$66:$C$99),0)),0)),IF(AND($C730=1,VALUE(RIGHT($AD730,1))&gt;2),(N730-R730)*(IFERROR(INDEX('TaxCred&amp;Subs'!$J$66:$J$99,MATCH(1,($C730&amp;$D730='TaxCred&amp;Subs'!$D$66:$D$99)*($F730='TaxCred&amp;Subs'!$C$66:$C$99),0)),0)),IF($C730&gt;2,(N730-R730)*(IFERROR(INDEX('TaxCred&amp;Subs'!$J$66:$J$99,MATCH(1,($C730&amp;$D730='TaxCred&amp;Subs'!$D$66:$D$99)*($F730='TaxCred&amp;Subs'!$C$66:$C$99),0)),0)),0))),0)</f>
        <v>600</v>
      </c>
      <c r="Q730" s="95">
        <f t="array" ref="Q730">ROUND(IF(AND($C730=2,VALUE(RIGHT($AD730,1))&gt;2),(O730-S730)*(IFERROR(INDEX('TaxCred&amp;Subs'!$J$66:$J$99,MATCH(1,($C730&amp;$D730='TaxCred&amp;Subs'!$E$66:$E$99)*($F730='TaxCred&amp;Subs'!$C$66:$C$99),0)),0)),IF(AND($C730=1,VALUE(RIGHT($AD730,1))&gt;2),(O730-S730)*(IFERROR(INDEX('TaxCred&amp;Subs'!$J$66:$J$99,MATCH(1,($C730&amp;$D730='TaxCred&amp;Subs'!$D$66:$D$99)*($F730='TaxCred&amp;Subs'!$C$66:$C$99),0)),0)),IF($C730&gt;2,(O730-S730)*(IFERROR(INDEX('TaxCred&amp;Subs'!$J$66:$J$99,MATCH(1,($C730&amp;$D730='TaxCred&amp;Subs'!$D$66:$D$99)*($F730='TaxCred&amp;Subs'!$C$66:$C$99),0)),0)),0))),0)</f>
        <v>0</v>
      </c>
      <c r="R730" s="95">
        <f t="array" ref="R730">ROUND(IF(IFERROR(VALUE(RIGHT($AD730,1)),0)&gt;2,IF($C730=8,N730*IFERROR(INDEX('TaxCred&amp;Subs'!$K$139:$S$151,MATCH($C730&amp;$D730&amp;LEFT($AD730,7),'TaxCred&amp;Subs'!$E$139:$E$151,0),MATCH($H730,'TaxCred&amp;Subs'!$K$137:$S$137,0)),0),IF($C730=2,N730*IFERROR(INDEX('TaxCred&amp;Subs'!$K$139:$S$151,MATCH($C730&amp;$D730,'TaxCred&amp;Subs'!$D$139:$D$151,0),MATCH($H730,'TaxCred&amp;Subs'!$K$137:$S$137,0)),0),N730*IFERROR(INDEX('TaxCred&amp;Subs'!$K$139:$S$151,MATCH($C730&amp;$D730,'TaxCred&amp;Subs'!$C$139:$C$151,0),MATCH($H730,'TaxCred&amp;Subs'!$K$137:$S$137,0)),0))),0),0)</f>
        <v>148</v>
      </c>
      <c r="S730" s="95">
        <f t="array" ref="S730">ROUND(IF(IFERROR(VALUE(RIGHT($AD730,1)),0)&gt;2,IF($C730=8,O730*IFERROR(INDEX('TaxCred&amp;Subs'!$K$139:$S$151,MATCH($C730&amp;$D730&amp;LEFT($AD730,7),'TaxCred&amp;Subs'!$E$139:$E$151,0),MATCH($H730,'TaxCred&amp;Subs'!$K$137:$S$137,0)),0),IF($C730=2,O730*IFERROR(INDEX('TaxCred&amp;Subs'!$K$139:$S$151,MATCH($C730&amp;$D730,'TaxCred&amp;Subs'!$D$139:$D$151,0),MATCH($H730,'TaxCred&amp;Subs'!$K$137:$S$137,0)),0),O730*IFERROR(INDEX('TaxCred&amp;Subs'!$K$139:$S$151,MATCH($C730&amp;$D730,'TaxCred&amp;Subs'!$C$139:$C$151,0),MATCH($H730,'TaxCred&amp;Subs'!$K$137:$S$137,0)),0))),0),0)</f>
        <v>101</v>
      </c>
      <c r="T730" s="95">
        <f t="shared" si="49"/>
        <v>0</v>
      </c>
      <c r="U730" s="95">
        <f t="shared" si="50"/>
        <v>0</v>
      </c>
      <c r="V730" s="28" t="s">
        <v>222</v>
      </c>
      <c r="W730" s="31">
        <v>2020</v>
      </c>
      <c r="X730" s="28">
        <v>1</v>
      </c>
      <c r="Y730" s="28">
        <v>0</v>
      </c>
      <c r="Z730" s="196">
        <v>-1.755E-3</v>
      </c>
      <c r="AA730" s="196">
        <v>-2.7E-2</v>
      </c>
      <c r="AB730" s="28">
        <v>0</v>
      </c>
      <c r="AC730" s="28">
        <v>0</v>
      </c>
      <c r="AD730" s="31" t="s">
        <v>501</v>
      </c>
      <c r="AE730" t="s">
        <v>354</v>
      </c>
    </row>
    <row r="731" spans="2:31" ht="14.25" customHeight="1" x14ac:dyDescent="0.2">
      <c r="B731" s="7">
        <f t="shared" ref="B731:B794" si="51">B730+1</f>
        <v>707</v>
      </c>
      <c r="C731" s="28">
        <v>5</v>
      </c>
      <c r="D731" s="28">
        <v>2</v>
      </c>
      <c r="E731" s="31">
        <v>8</v>
      </c>
      <c r="F731" s="78">
        <v>2022</v>
      </c>
      <c r="G731" s="31">
        <v>2029</v>
      </c>
      <c r="H731" s="28">
        <v>9</v>
      </c>
      <c r="I731" s="28">
        <v>0</v>
      </c>
      <c r="J731" s="28">
        <v>0</v>
      </c>
      <c r="K731" s="28">
        <v>0</v>
      </c>
      <c r="L731" s="28">
        <v>0</v>
      </c>
      <c r="M731" s="156">
        <v>3.73</v>
      </c>
      <c r="N731" s="151">
        <v>1715</v>
      </c>
      <c r="O731" s="151">
        <v>1170</v>
      </c>
      <c r="P731" s="95">
        <f t="array" ref="P731">ROUND(IF($F731&lt;='TaxCred&amp;Subs'!$C$49,(IF($C731=2,IF($M731&gt;=IFERROR(INDEX('TaxCred&amp;Subs'!$L$12:$L$47,MATCH(1,($C731&amp;$D731='TaxCred&amp;Subs'!$E$12:$E$47)*($F731='TaxCred&amp;Subs'!$C$12:$C$47),0)
),9999),IFERROR(INDEX('TaxCred&amp;Subs'!$N$12:$N$47,MATCH(1,($C731&amp;$D731='TaxCred&amp;Subs'!$E$12:$E$47)*($F731='TaxCred&amp;Subs'!$C$12:$C$47),0)
),0),0),(IF($M731&gt;=IFERROR(INDEX('TaxCred&amp;Subs'!$H$12:$H$47,MATCH(1,($C731&amp;$D731='TaxCred&amp;Subs'!$D$12:$D$47)*($F731='TaxCred&amp;Subs'!$C$12:$C$47),0)
),9999),IFERROR(INDEX('TaxCred&amp;Subs'!$N$12:$N$47,MATCH(1,($C731&amp;$D731='TaxCred&amp;Subs'!$D$12:$D$47)*($F731='TaxCred&amp;Subs'!$C$12:$C$47),0)
),0),0)))),0)+IF(AND($C731=2,VALUE(RIGHT($AD731,1))&gt;2),(N731-R731)*(IFERROR(INDEX('TaxCred&amp;Subs'!$J$66:$J$99,MATCH(1,($C731&amp;$D731='TaxCred&amp;Subs'!$E$66:$E$99)*($F731='TaxCred&amp;Subs'!$C$66:$C$99),0)),0)),IF(AND($C731=1,VALUE(RIGHT($AD731,1))&gt;2),(N731-R731)*(IFERROR(INDEX('TaxCred&amp;Subs'!$J$66:$J$99,MATCH(1,($C731&amp;$D731='TaxCred&amp;Subs'!$D$66:$D$99)*($F731='TaxCred&amp;Subs'!$C$66:$C$99),0)),0)),IF($C731&gt;2,(N731-R731)*(IFERROR(INDEX('TaxCred&amp;Subs'!$J$66:$J$99,MATCH(1,($C731&amp;$D731='TaxCred&amp;Subs'!$D$66:$D$99)*($F731='TaxCred&amp;Subs'!$C$66:$C$99),0)),0)),0))),0)</f>
        <v>600</v>
      </c>
      <c r="Q731" s="95">
        <f t="array" ref="Q731">ROUND(IF(AND($C731=2,VALUE(RIGHT($AD731,1))&gt;2),(O731-S731)*(IFERROR(INDEX('TaxCred&amp;Subs'!$J$66:$J$99,MATCH(1,($C731&amp;$D731='TaxCred&amp;Subs'!$E$66:$E$99)*($F731='TaxCred&amp;Subs'!$C$66:$C$99),0)),0)),IF(AND($C731=1,VALUE(RIGHT($AD731,1))&gt;2),(O731-S731)*(IFERROR(INDEX('TaxCred&amp;Subs'!$J$66:$J$99,MATCH(1,($C731&amp;$D731='TaxCred&amp;Subs'!$D$66:$D$99)*($F731='TaxCred&amp;Subs'!$C$66:$C$99),0)),0)),IF($C731&gt;2,(O731-S731)*(IFERROR(INDEX('TaxCred&amp;Subs'!$J$66:$J$99,MATCH(1,($C731&amp;$D731='TaxCred&amp;Subs'!$D$66:$D$99)*($F731='TaxCred&amp;Subs'!$C$66:$C$99),0)),0)),0))),0)</f>
        <v>0</v>
      </c>
      <c r="R731" s="95">
        <f t="array" ref="R731">ROUND(IF(IFERROR(VALUE(RIGHT($AD731,1)),0)&gt;2,IF($C731=8,N731*IFERROR(INDEX('TaxCred&amp;Subs'!$K$139:$S$151,MATCH($C731&amp;$D731&amp;LEFT($AD731,7),'TaxCred&amp;Subs'!$E$139:$E$151,0),MATCH($H731,'TaxCred&amp;Subs'!$K$137:$S$137,0)),0),IF($C731=2,N731*IFERROR(INDEX('TaxCred&amp;Subs'!$K$139:$S$151,MATCH($C731&amp;$D731,'TaxCred&amp;Subs'!$D$139:$D$151,0),MATCH($H731,'TaxCred&amp;Subs'!$K$137:$S$137,0)),0),N731*IFERROR(INDEX('TaxCred&amp;Subs'!$K$139:$S$151,MATCH($C731&amp;$D731,'TaxCred&amp;Subs'!$C$139:$C$151,0),MATCH($H731,'TaxCred&amp;Subs'!$K$137:$S$137,0)),0))),0),0)</f>
        <v>387</v>
      </c>
      <c r="S731" s="95">
        <f t="array" ref="S731">ROUND(IF(IFERROR(VALUE(RIGHT($AD731,1)),0)&gt;2,IF($C731=8,O731*IFERROR(INDEX('TaxCred&amp;Subs'!$K$139:$S$151,MATCH($C731&amp;$D731&amp;LEFT($AD731,7),'TaxCred&amp;Subs'!$E$139:$E$151,0),MATCH($H731,'TaxCred&amp;Subs'!$K$137:$S$137,0)),0),IF($C731=2,O731*IFERROR(INDEX('TaxCred&amp;Subs'!$K$139:$S$151,MATCH($C731&amp;$D731,'TaxCred&amp;Subs'!$D$139:$D$151,0),MATCH($H731,'TaxCred&amp;Subs'!$K$137:$S$137,0)),0),O731*IFERROR(INDEX('TaxCred&amp;Subs'!$K$139:$S$151,MATCH($C731&amp;$D731,'TaxCred&amp;Subs'!$C$139:$C$151,0),MATCH($H731,'TaxCred&amp;Subs'!$K$137:$S$137,0)),0))),0),0)</f>
        <v>264</v>
      </c>
      <c r="T731" s="172">
        <f t="shared" si="49"/>
        <v>167.25</v>
      </c>
      <c r="U731" s="172">
        <f t="shared" si="50"/>
        <v>175.5</v>
      </c>
      <c r="V731" s="28" t="s">
        <v>222</v>
      </c>
      <c r="W731" s="31">
        <v>2020</v>
      </c>
      <c r="X731" s="28">
        <v>1</v>
      </c>
      <c r="Y731" s="28">
        <v>0</v>
      </c>
      <c r="Z731" s="196">
        <v>-1.755E-3</v>
      </c>
      <c r="AA731" s="196">
        <v>-2.7E-2</v>
      </c>
      <c r="AB731" s="28">
        <v>0</v>
      </c>
      <c r="AC731" s="28">
        <v>0</v>
      </c>
      <c r="AD731" s="31" t="s">
        <v>501</v>
      </c>
      <c r="AE731" t="s">
        <v>354</v>
      </c>
    </row>
    <row r="732" spans="2:31" ht="14.25" customHeight="1" x14ac:dyDescent="0.2">
      <c r="B732" s="7">
        <f t="shared" si="51"/>
        <v>708</v>
      </c>
      <c r="C732" s="152">
        <v>5</v>
      </c>
      <c r="D732" s="152">
        <v>2</v>
      </c>
      <c r="E732" s="152">
        <v>8</v>
      </c>
      <c r="F732" s="153">
        <v>2030</v>
      </c>
      <c r="G732" s="152">
        <v>2032</v>
      </c>
      <c r="H732" s="152">
        <v>1</v>
      </c>
      <c r="I732" s="152">
        <v>0</v>
      </c>
      <c r="J732" s="152">
        <v>0</v>
      </c>
      <c r="K732" s="152">
        <v>0</v>
      </c>
      <c r="L732" s="152">
        <v>0</v>
      </c>
      <c r="M732" s="154">
        <v>3.73</v>
      </c>
      <c r="N732" s="155">
        <v>1655</v>
      </c>
      <c r="O732" s="155">
        <v>1130</v>
      </c>
      <c r="P732" s="41">
        <f t="array" ref="P732">ROUND(IF($F732&lt;='TaxCred&amp;Subs'!$C$49,(IF($C732=2,IF($M732&gt;=IFERROR(INDEX('TaxCred&amp;Subs'!$L$12:$L$47,MATCH(1,($C732&amp;$D732='TaxCred&amp;Subs'!$E$12:$E$47)*($F732='TaxCred&amp;Subs'!$C$12:$C$47),0)
),9999),IFERROR(INDEX('TaxCred&amp;Subs'!$N$12:$N$47,MATCH(1,($C732&amp;$D732='TaxCred&amp;Subs'!$E$12:$E$47)*($F732='TaxCred&amp;Subs'!$C$12:$C$47),0)
),0),0),(IF($M732&gt;=IFERROR(INDEX('TaxCred&amp;Subs'!$H$12:$H$47,MATCH(1,($C732&amp;$D732='TaxCred&amp;Subs'!$D$12:$D$47)*($F732='TaxCred&amp;Subs'!$C$12:$C$47),0)
),9999),IFERROR(INDEX('TaxCred&amp;Subs'!$N$12:$N$47,MATCH(1,($C732&amp;$D732='TaxCred&amp;Subs'!$D$12:$D$47)*($F732='TaxCred&amp;Subs'!$C$12:$C$47),0)
),0),0)))),0)+IF(AND($C732=2,VALUE(RIGHT($AD732,1))&gt;2),(N732-R732)*(IFERROR(INDEX('TaxCred&amp;Subs'!$J$66:$J$99,MATCH(1,($C732&amp;$D732='TaxCred&amp;Subs'!$E$66:$E$99)*($F732='TaxCred&amp;Subs'!$C$66:$C$99),0)),0)),IF(AND($C732=1,VALUE(RIGHT($AD732,1))&gt;2),(N732-R732)*(IFERROR(INDEX('TaxCred&amp;Subs'!$J$66:$J$99,MATCH(1,($C732&amp;$D732='TaxCred&amp;Subs'!$D$66:$D$99)*($F732='TaxCred&amp;Subs'!$C$66:$C$99),0)),0)),IF($C732&gt;2,(N732-R732)*(IFERROR(INDEX('TaxCred&amp;Subs'!$J$66:$J$99,MATCH(1,($C732&amp;$D732='TaxCred&amp;Subs'!$D$66:$D$99)*($F732='TaxCred&amp;Subs'!$C$66:$C$99),0)),0)),0))),0)</f>
        <v>0</v>
      </c>
      <c r="Q732" s="41">
        <f t="array" ref="Q732">ROUND(IF(AND($C732=2,VALUE(RIGHT($AD732,1))&gt;2),(O732-S732)*(IFERROR(INDEX('TaxCred&amp;Subs'!$J$66:$J$99,MATCH(1,($C732&amp;$D732='TaxCred&amp;Subs'!$E$66:$E$99)*($F732='TaxCred&amp;Subs'!$C$66:$C$99),0)),0)),IF(AND($C732=1,VALUE(RIGHT($AD732,1))&gt;2),(O732-S732)*(IFERROR(INDEX('TaxCred&amp;Subs'!$J$66:$J$99,MATCH(1,($C732&amp;$D732='TaxCred&amp;Subs'!$D$66:$D$99)*($F732='TaxCred&amp;Subs'!$C$66:$C$99),0)),0)),IF($C732&gt;2,(O732-S732)*(IFERROR(INDEX('TaxCred&amp;Subs'!$J$66:$J$99,MATCH(1,($C732&amp;$D732='TaxCred&amp;Subs'!$D$66:$D$99)*($F732='TaxCred&amp;Subs'!$C$66:$C$99),0)),0)),0))),0)</f>
        <v>0</v>
      </c>
      <c r="R732" s="41">
        <f t="array" ref="R732">ROUND(IF(IFERROR(VALUE(RIGHT($AD732,1)),0)&gt;2,IF($C732=8,N732*IFERROR(INDEX('TaxCred&amp;Subs'!$K$139:$S$151,MATCH($C732&amp;$D732&amp;LEFT($AD732,7),'TaxCred&amp;Subs'!$E$139:$E$151,0),MATCH($H732,'TaxCred&amp;Subs'!$K$137:$S$137,0)),0),IF($C732=2,N732*IFERROR(INDEX('TaxCred&amp;Subs'!$K$139:$S$151,MATCH($C732&amp;$D732,'TaxCred&amp;Subs'!$D$139:$D$151,0),MATCH($H732,'TaxCred&amp;Subs'!$K$137:$S$137,0)),0),N732*IFERROR(INDEX('TaxCred&amp;Subs'!$K$139:$S$151,MATCH($C732&amp;$D732,'TaxCred&amp;Subs'!$C$139:$C$151,0),MATCH($H732,'TaxCred&amp;Subs'!$K$137:$S$137,0)),0))),0),0)</f>
        <v>431</v>
      </c>
      <c r="S732" s="41">
        <f t="array" ref="S732">ROUND(IF(IFERROR(VALUE(RIGHT($AD732,1)),0)&gt;2,IF($C732=8,O732*IFERROR(INDEX('TaxCred&amp;Subs'!$K$139:$S$151,MATCH($C732&amp;$D732&amp;LEFT($AD732,7),'TaxCred&amp;Subs'!$E$139:$E$151,0),MATCH($H732,'TaxCred&amp;Subs'!$K$137:$S$137,0)),0),IF($C732=2,O732*IFERROR(INDEX('TaxCred&amp;Subs'!$K$139:$S$151,MATCH($C732&amp;$D732,'TaxCred&amp;Subs'!$D$139:$D$151,0),MATCH($H732,'TaxCred&amp;Subs'!$K$137:$S$137,0)),0),O732*IFERROR(INDEX('TaxCred&amp;Subs'!$K$139:$S$151,MATCH($C732&amp;$D732,'TaxCred&amp;Subs'!$C$139:$C$151,0),MATCH($H732,'TaxCred&amp;Subs'!$K$137:$S$137,0)),0))),0),0)</f>
        <v>294</v>
      </c>
      <c r="T732" s="41">
        <f t="shared" si="49"/>
        <v>0</v>
      </c>
      <c r="U732" s="41">
        <f t="shared" si="50"/>
        <v>0</v>
      </c>
      <c r="V732" s="152" t="s">
        <v>222</v>
      </c>
      <c r="W732" s="152">
        <v>2020</v>
      </c>
      <c r="X732" s="152">
        <v>1</v>
      </c>
      <c r="Y732" s="152">
        <v>0</v>
      </c>
      <c r="Z732" s="194">
        <v>-1.755E-3</v>
      </c>
      <c r="AA732" s="194">
        <v>-2.7E-2</v>
      </c>
      <c r="AB732" s="152">
        <v>0</v>
      </c>
      <c r="AC732" s="152">
        <v>0</v>
      </c>
      <c r="AD732" s="152" t="s">
        <v>501</v>
      </c>
      <c r="AE732" t="s">
        <v>354</v>
      </c>
    </row>
    <row r="733" spans="2:31" ht="14.25" customHeight="1" x14ac:dyDescent="0.2">
      <c r="B733" s="7">
        <f t="shared" si="51"/>
        <v>709</v>
      </c>
      <c r="C733" s="152">
        <v>5</v>
      </c>
      <c r="D733" s="152">
        <v>2</v>
      </c>
      <c r="E733" s="152">
        <v>8</v>
      </c>
      <c r="F733" s="153">
        <v>2030</v>
      </c>
      <c r="G733" s="152">
        <v>2032</v>
      </c>
      <c r="H733" s="152">
        <v>2</v>
      </c>
      <c r="I733" s="152">
        <v>0</v>
      </c>
      <c r="J733" s="152">
        <v>0</v>
      </c>
      <c r="K733" s="152">
        <v>0</v>
      </c>
      <c r="L733" s="152">
        <v>0</v>
      </c>
      <c r="M733" s="154">
        <v>3.73</v>
      </c>
      <c r="N733" s="155">
        <v>1655</v>
      </c>
      <c r="O733" s="155">
        <v>1130</v>
      </c>
      <c r="P733" s="41">
        <f t="array" ref="P733">ROUND(IF($F733&lt;='TaxCred&amp;Subs'!$C$49,(IF($C733=2,IF($M733&gt;=IFERROR(INDEX('TaxCred&amp;Subs'!$L$12:$L$47,MATCH(1,($C733&amp;$D733='TaxCred&amp;Subs'!$E$12:$E$47)*($F733='TaxCred&amp;Subs'!$C$12:$C$47),0)
),9999),IFERROR(INDEX('TaxCred&amp;Subs'!$N$12:$N$47,MATCH(1,($C733&amp;$D733='TaxCred&amp;Subs'!$E$12:$E$47)*($F733='TaxCred&amp;Subs'!$C$12:$C$47),0)
),0),0),(IF($M733&gt;=IFERROR(INDEX('TaxCred&amp;Subs'!$H$12:$H$47,MATCH(1,($C733&amp;$D733='TaxCred&amp;Subs'!$D$12:$D$47)*($F733='TaxCred&amp;Subs'!$C$12:$C$47),0)
),9999),IFERROR(INDEX('TaxCred&amp;Subs'!$N$12:$N$47,MATCH(1,($C733&amp;$D733='TaxCred&amp;Subs'!$D$12:$D$47)*($F733='TaxCred&amp;Subs'!$C$12:$C$47),0)
),0),0)))),0)+IF(AND($C733=2,VALUE(RIGHT($AD733,1))&gt;2),(N733-R733)*(IFERROR(INDEX('TaxCred&amp;Subs'!$J$66:$J$99,MATCH(1,($C733&amp;$D733='TaxCred&amp;Subs'!$E$66:$E$99)*($F733='TaxCred&amp;Subs'!$C$66:$C$99),0)),0)),IF(AND($C733=1,VALUE(RIGHT($AD733,1))&gt;2),(N733-R733)*(IFERROR(INDEX('TaxCred&amp;Subs'!$J$66:$J$99,MATCH(1,($C733&amp;$D733='TaxCred&amp;Subs'!$D$66:$D$99)*($F733='TaxCred&amp;Subs'!$C$66:$C$99),0)),0)),IF($C733&gt;2,(N733-R733)*(IFERROR(INDEX('TaxCred&amp;Subs'!$J$66:$J$99,MATCH(1,($C733&amp;$D733='TaxCred&amp;Subs'!$D$66:$D$99)*($F733='TaxCred&amp;Subs'!$C$66:$C$99),0)),0)),0))),0)</f>
        <v>0</v>
      </c>
      <c r="Q733" s="41">
        <f t="array" ref="Q733">ROUND(IF(AND($C733=2,VALUE(RIGHT($AD733,1))&gt;2),(O733-S733)*(IFERROR(INDEX('TaxCred&amp;Subs'!$J$66:$J$99,MATCH(1,($C733&amp;$D733='TaxCred&amp;Subs'!$E$66:$E$99)*($F733='TaxCred&amp;Subs'!$C$66:$C$99),0)),0)),IF(AND($C733=1,VALUE(RIGHT($AD733,1))&gt;2),(O733-S733)*(IFERROR(INDEX('TaxCred&amp;Subs'!$J$66:$J$99,MATCH(1,($C733&amp;$D733='TaxCred&amp;Subs'!$D$66:$D$99)*($F733='TaxCred&amp;Subs'!$C$66:$C$99),0)),0)),IF($C733&gt;2,(O733-S733)*(IFERROR(INDEX('TaxCred&amp;Subs'!$J$66:$J$99,MATCH(1,($C733&amp;$D733='TaxCred&amp;Subs'!$D$66:$D$99)*($F733='TaxCred&amp;Subs'!$C$66:$C$99),0)),0)),0))),0)</f>
        <v>0</v>
      </c>
      <c r="R733" s="41">
        <f t="array" ref="R733">ROUND(IF(IFERROR(VALUE(RIGHT($AD733,1)),0)&gt;2,IF($C733=8,N733*IFERROR(INDEX('TaxCred&amp;Subs'!$K$139:$S$151,MATCH($C733&amp;$D733&amp;LEFT($AD733,7),'TaxCred&amp;Subs'!$E$139:$E$151,0),MATCH($H733,'TaxCred&amp;Subs'!$K$137:$S$137,0)),0),IF($C733=2,N733*IFERROR(INDEX('TaxCred&amp;Subs'!$K$139:$S$151,MATCH($C733&amp;$D733,'TaxCred&amp;Subs'!$D$139:$D$151,0),MATCH($H733,'TaxCred&amp;Subs'!$K$137:$S$137,0)),0),N733*IFERROR(INDEX('TaxCred&amp;Subs'!$K$139:$S$151,MATCH($C733&amp;$D733,'TaxCred&amp;Subs'!$C$139:$C$151,0),MATCH($H733,'TaxCred&amp;Subs'!$K$137:$S$137,0)),0))),0),0)</f>
        <v>423</v>
      </c>
      <c r="S733" s="41">
        <f t="array" ref="S733">ROUND(IF(IFERROR(VALUE(RIGHT($AD733,1)),0)&gt;2,IF($C733=8,O733*IFERROR(INDEX('TaxCred&amp;Subs'!$K$139:$S$151,MATCH($C733&amp;$D733&amp;LEFT($AD733,7),'TaxCred&amp;Subs'!$E$139:$E$151,0),MATCH($H733,'TaxCred&amp;Subs'!$K$137:$S$137,0)),0),IF($C733=2,O733*IFERROR(INDEX('TaxCred&amp;Subs'!$K$139:$S$151,MATCH($C733&amp;$D733,'TaxCred&amp;Subs'!$D$139:$D$151,0),MATCH($H733,'TaxCred&amp;Subs'!$K$137:$S$137,0)),0),O733*IFERROR(INDEX('TaxCred&amp;Subs'!$K$139:$S$151,MATCH($C733&amp;$D733,'TaxCred&amp;Subs'!$C$139:$C$151,0),MATCH($H733,'TaxCred&amp;Subs'!$K$137:$S$137,0)),0))),0),0)</f>
        <v>289</v>
      </c>
      <c r="T733" s="41">
        <f t="shared" si="49"/>
        <v>0</v>
      </c>
      <c r="U733" s="41">
        <f t="shared" si="50"/>
        <v>0</v>
      </c>
      <c r="V733" s="152" t="s">
        <v>222</v>
      </c>
      <c r="W733" s="152">
        <v>2020</v>
      </c>
      <c r="X733" s="152">
        <v>1</v>
      </c>
      <c r="Y733" s="152">
        <v>0</v>
      </c>
      <c r="Z733" s="194">
        <v>-1.755E-3</v>
      </c>
      <c r="AA733" s="194">
        <v>-2.7E-2</v>
      </c>
      <c r="AB733" s="152">
        <v>0</v>
      </c>
      <c r="AC733" s="152">
        <v>0</v>
      </c>
      <c r="AD733" s="152" t="s">
        <v>501</v>
      </c>
      <c r="AE733" t="s">
        <v>354</v>
      </c>
    </row>
    <row r="734" spans="2:31" ht="14.25" customHeight="1" x14ac:dyDescent="0.2">
      <c r="B734" s="7">
        <f t="shared" si="51"/>
        <v>710</v>
      </c>
      <c r="C734" s="152">
        <v>5</v>
      </c>
      <c r="D734" s="152">
        <v>2</v>
      </c>
      <c r="E734" s="152">
        <v>8</v>
      </c>
      <c r="F734" s="153">
        <v>2030</v>
      </c>
      <c r="G734" s="152">
        <v>2032</v>
      </c>
      <c r="H734" s="152">
        <v>3</v>
      </c>
      <c r="I734" s="152">
        <v>0</v>
      </c>
      <c r="J734" s="152">
        <v>0</v>
      </c>
      <c r="K734" s="152">
        <v>0</v>
      </c>
      <c r="L734" s="152">
        <v>0</v>
      </c>
      <c r="M734" s="154">
        <v>3.73</v>
      </c>
      <c r="N734" s="155">
        <v>1655</v>
      </c>
      <c r="O734" s="155">
        <v>1130</v>
      </c>
      <c r="P734" s="41">
        <f t="array" ref="P734">ROUND(IF($F734&lt;='TaxCred&amp;Subs'!$C$49,(IF($C734=2,IF($M734&gt;=IFERROR(INDEX('TaxCred&amp;Subs'!$L$12:$L$47,MATCH(1,($C734&amp;$D734='TaxCred&amp;Subs'!$E$12:$E$47)*($F734='TaxCred&amp;Subs'!$C$12:$C$47),0)
),9999),IFERROR(INDEX('TaxCred&amp;Subs'!$N$12:$N$47,MATCH(1,($C734&amp;$D734='TaxCred&amp;Subs'!$E$12:$E$47)*($F734='TaxCred&amp;Subs'!$C$12:$C$47),0)
),0),0),(IF($M734&gt;=IFERROR(INDEX('TaxCred&amp;Subs'!$H$12:$H$47,MATCH(1,($C734&amp;$D734='TaxCred&amp;Subs'!$D$12:$D$47)*($F734='TaxCred&amp;Subs'!$C$12:$C$47),0)
),9999),IFERROR(INDEX('TaxCred&amp;Subs'!$N$12:$N$47,MATCH(1,($C734&amp;$D734='TaxCred&amp;Subs'!$D$12:$D$47)*($F734='TaxCred&amp;Subs'!$C$12:$C$47),0)
),0),0)))),0)+IF(AND($C734=2,VALUE(RIGHT($AD734,1))&gt;2),(N734-R734)*(IFERROR(INDEX('TaxCred&amp;Subs'!$J$66:$J$99,MATCH(1,($C734&amp;$D734='TaxCred&amp;Subs'!$E$66:$E$99)*($F734='TaxCred&amp;Subs'!$C$66:$C$99),0)),0)),IF(AND($C734=1,VALUE(RIGHT($AD734,1))&gt;2),(N734-R734)*(IFERROR(INDEX('TaxCred&amp;Subs'!$J$66:$J$99,MATCH(1,($C734&amp;$D734='TaxCred&amp;Subs'!$D$66:$D$99)*($F734='TaxCred&amp;Subs'!$C$66:$C$99),0)),0)),IF($C734&gt;2,(N734-R734)*(IFERROR(INDEX('TaxCred&amp;Subs'!$J$66:$J$99,MATCH(1,($C734&amp;$D734='TaxCred&amp;Subs'!$D$66:$D$99)*($F734='TaxCred&amp;Subs'!$C$66:$C$99),0)),0)),0))),0)</f>
        <v>0</v>
      </c>
      <c r="Q734" s="41">
        <f t="array" ref="Q734">ROUND(IF(AND($C734=2,VALUE(RIGHT($AD734,1))&gt;2),(O734-S734)*(IFERROR(INDEX('TaxCred&amp;Subs'!$J$66:$J$99,MATCH(1,($C734&amp;$D734='TaxCred&amp;Subs'!$E$66:$E$99)*($F734='TaxCred&amp;Subs'!$C$66:$C$99),0)),0)),IF(AND($C734=1,VALUE(RIGHT($AD734,1))&gt;2),(O734-S734)*(IFERROR(INDEX('TaxCred&amp;Subs'!$J$66:$J$99,MATCH(1,($C734&amp;$D734='TaxCred&amp;Subs'!$D$66:$D$99)*($F734='TaxCred&amp;Subs'!$C$66:$C$99),0)),0)),IF($C734&gt;2,(O734-S734)*(IFERROR(INDEX('TaxCred&amp;Subs'!$J$66:$J$99,MATCH(1,($C734&amp;$D734='TaxCred&amp;Subs'!$D$66:$D$99)*($F734='TaxCred&amp;Subs'!$C$66:$C$99),0)),0)),0))),0)</f>
        <v>0</v>
      </c>
      <c r="R734" s="41">
        <f t="array" ref="R734">ROUND(IF(IFERROR(VALUE(RIGHT($AD734,1)),0)&gt;2,IF($C734=8,N734*IFERROR(INDEX('TaxCred&amp;Subs'!$K$139:$S$151,MATCH($C734&amp;$D734&amp;LEFT($AD734,7),'TaxCred&amp;Subs'!$E$139:$E$151,0),MATCH($H734,'TaxCred&amp;Subs'!$K$137:$S$137,0)),0),IF($C734=2,N734*IFERROR(INDEX('TaxCred&amp;Subs'!$K$139:$S$151,MATCH($C734&amp;$D734,'TaxCred&amp;Subs'!$D$139:$D$151,0),MATCH($H734,'TaxCred&amp;Subs'!$K$137:$S$137,0)),0),N734*IFERROR(INDEX('TaxCred&amp;Subs'!$K$139:$S$151,MATCH($C734&amp;$D734,'TaxCred&amp;Subs'!$C$139:$C$151,0),MATCH($H734,'TaxCred&amp;Subs'!$K$137:$S$137,0)),0))),0),0)</f>
        <v>247</v>
      </c>
      <c r="S734" s="41">
        <f t="array" ref="S734">ROUND(IF(IFERROR(VALUE(RIGHT($AD734,1)),0)&gt;2,IF($C734=8,O734*IFERROR(INDEX('TaxCred&amp;Subs'!$K$139:$S$151,MATCH($C734&amp;$D734&amp;LEFT($AD734,7),'TaxCred&amp;Subs'!$E$139:$E$151,0),MATCH($H734,'TaxCred&amp;Subs'!$K$137:$S$137,0)),0),IF($C734=2,O734*IFERROR(INDEX('TaxCred&amp;Subs'!$K$139:$S$151,MATCH($C734&amp;$D734,'TaxCred&amp;Subs'!$D$139:$D$151,0),MATCH($H734,'TaxCred&amp;Subs'!$K$137:$S$137,0)),0),O734*IFERROR(INDEX('TaxCred&amp;Subs'!$K$139:$S$151,MATCH($C734&amp;$D734,'TaxCred&amp;Subs'!$C$139:$C$151,0),MATCH($H734,'TaxCred&amp;Subs'!$K$137:$S$137,0)),0))),0),0)</f>
        <v>169</v>
      </c>
      <c r="T734" s="41">
        <f t="shared" si="49"/>
        <v>0</v>
      </c>
      <c r="U734" s="41">
        <f t="shared" si="50"/>
        <v>0</v>
      </c>
      <c r="V734" s="152" t="s">
        <v>222</v>
      </c>
      <c r="W734" s="152">
        <v>2020</v>
      </c>
      <c r="X734" s="152">
        <v>1</v>
      </c>
      <c r="Y734" s="152">
        <v>0</v>
      </c>
      <c r="Z734" s="194">
        <v>-1.755E-3</v>
      </c>
      <c r="AA734" s="194">
        <v>-2.7E-2</v>
      </c>
      <c r="AB734" s="152">
        <v>0</v>
      </c>
      <c r="AC734" s="152">
        <v>0</v>
      </c>
      <c r="AD734" s="152" t="s">
        <v>501</v>
      </c>
      <c r="AE734" t="s">
        <v>354</v>
      </c>
    </row>
    <row r="735" spans="2:31" ht="14.25" customHeight="1" x14ac:dyDescent="0.2">
      <c r="B735" s="7">
        <f t="shared" si="51"/>
        <v>711</v>
      </c>
      <c r="C735" s="152">
        <v>5</v>
      </c>
      <c r="D735" s="152">
        <v>2</v>
      </c>
      <c r="E735" s="152">
        <v>8</v>
      </c>
      <c r="F735" s="153">
        <v>2030</v>
      </c>
      <c r="G735" s="152">
        <v>2032</v>
      </c>
      <c r="H735" s="152">
        <v>4</v>
      </c>
      <c r="I735" s="152">
        <v>0</v>
      </c>
      <c r="J735" s="152">
        <v>0</v>
      </c>
      <c r="K735" s="152">
        <v>0</v>
      </c>
      <c r="L735" s="152">
        <v>0</v>
      </c>
      <c r="M735" s="154">
        <v>3.73</v>
      </c>
      <c r="N735" s="155">
        <v>1655</v>
      </c>
      <c r="O735" s="155">
        <v>1130</v>
      </c>
      <c r="P735" s="41">
        <f t="array" ref="P735">ROUND(IF($F735&lt;='TaxCred&amp;Subs'!$C$49,(IF($C735=2,IF($M735&gt;=IFERROR(INDEX('TaxCred&amp;Subs'!$L$12:$L$47,MATCH(1,($C735&amp;$D735='TaxCred&amp;Subs'!$E$12:$E$47)*($F735='TaxCred&amp;Subs'!$C$12:$C$47),0)
),9999),IFERROR(INDEX('TaxCred&amp;Subs'!$N$12:$N$47,MATCH(1,($C735&amp;$D735='TaxCred&amp;Subs'!$E$12:$E$47)*($F735='TaxCred&amp;Subs'!$C$12:$C$47),0)
),0),0),(IF($M735&gt;=IFERROR(INDEX('TaxCred&amp;Subs'!$H$12:$H$47,MATCH(1,($C735&amp;$D735='TaxCred&amp;Subs'!$D$12:$D$47)*($F735='TaxCred&amp;Subs'!$C$12:$C$47),0)
),9999),IFERROR(INDEX('TaxCred&amp;Subs'!$N$12:$N$47,MATCH(1,($C735&amp;$D735='TaxCred&amp;Subs'!$D$12:$D$47)*($F735='TaxCred&amp;Subs'!$C$12:$C$47),0)
),0),0)))),0)+IF(AND($C735=2,VALUE(RIGHT($AD735,1))&gt;2),(N735-R735)*(IFERROR(INDEX('TaxCred&amp;Subs'!$J$66:$J$99,MATCH(1,($C735&amp;$D735='TaxCred&amp;Subs'!$E$66:$E$99)*($F735='TaxCred&amp;Subs'!$C$66:$C$99),0)),0)),IF(AND($C735=1,VALUE(RIGHT($AD735,1))&gt;2),(N735-R735)*(IFERROR(INDEX('TaxCred&amp;Subs'!$J$66:$J$99,MATCH(1,($C735&amp;$D735='TaxCred&amp;Subs'!$D$66:$D$99)*($F735='TaxCred&amp;Subs'!$C$66:$C$99),0)),0)),IF($C735&gt;2,(N735-R735)*(IFERROR(INDEX('TaxCred&amp;Subs'!$J$66:$J$99,MATCH(1,($C735&amp;$D735='TaxCred&amp;Subs'!$D$66:$D$99)*($F735='TaxCred&amp;Subs'!$C$66:$C$99),0)),0)),0))),0)</f>
        <v>0</v>
      </c>
      <c r="Q735" s="41">
        <f t="array" ref="Q735">ROUND(IF(AND($C735=2,VALUE(RIGHT($AD735,1))&gt;2),(O735-S735)*(IFERROR(INDEX('TaxCred&amp;Subs'!$J$66:$J$99,MATCH(1,($C735&amp;$D735='TaxCred&amp;Subs'!$E$66:$E$99)*($F735='TaxCred&amp;Subs'!$C$66:$C$99),0)),0)),IF(AND($C735=1,VALUE(RIGHT($AD735,1))&gt;2),(O735-S735)*(IFERROR(INDEX('TaxCred&amp;Subs'!$J$66:$J$99,MATCH(1,($C735&amp;$D735='TaxCred&amp;Subs'!$D$66:$D$99)*($F735='TaxCred&amp;Subs'!$C$66:$C$99),0)),0)),IF($C735&gt;2,(O735-S735)*(IFERROR(INDEX('TaxCred&amp;Subs'!$J$66:$J$99,MATCH(1,($C735&amp;$D735='TaxCred&amp;Subs'!$D$66:$D$99)*($F735='TaxCred&amp;Subs'!$C$66:$C$99),0)),0)),0))),0)</f>
        <v>0</v>
      </c>
      <c r="R735" s="41">
        <f t="array" ref="R735">ROUND(IF(IFERROR(VALUE(RIGHT($AD735,1)),0)&gt;2,IF($C735=8,N735*IFERROR(INDEX('TaxCred&amp;Subs'!$K$139:$S$151,MATCH($C735&amp;$D735&amp;LEFT($AD735,7),'TaxCred&amp;Subs'!$E$139:$E$151,0),MATCH($H735,'TaxCred&amp;Subs'!$K$137:$S$137,0)),0),IF($C735=2,N735*IFERROR(INDEX('TaxCred&amp;Subs'!$K$139:$S$151,MATCH($C735&amp;$D735,'TaxCred&amp;Subs'!$D$139:$D$151,0),MATCH($H735,'TaxCred&amp;Subs'!$K$137:$S$137,0)),0),N735*IFERROR(INDEX('TaxCred&amp;Subs'!$K$139:$S$151,MATCH($C735&amp;$D735,'TaxCred&amp;Subs'!$C$139:$C$151,0),MATCH($H735,'TaxCred&amp;Subs'!$K$137:$S$137,0)),0))),0),0)</f>
        <v>194</v>
      </c>
      <c r="S735" s="41">
        <f t="array" ref="S735">ROUND(IF(IFERROR(VALUE(RIGHT($AD735,1)),0)&gt;2,IF($C735=8,O735*IFERROR(INDEX('TaxCred&amp;Subs'!$K$139:$S$151,MATCH($C735&amp;$D735&amp;LEFT($AD735,7),'TaxCred&amp;Subs'!$E$139:$E$151,0),MATCH($H735,'TaxCred&amp;Subs'!$K$137:$S$137,0)),0),IF($C735=2,O735*IFERROR(INDEX('TaxCred&amp;Subs'!$K$139:$S$151,MATCH($C735&amp;$D735,'TaxCred&amp;Subs'!$D$139:$D$151,0),MATCH($H735,'TaxCred&amp;Subs'!$K$137:$S$137,0)),0),O735*IFERROR(INDEX('TaxCred&amp;Subs'!$K$139:$S$151,MATCH($C735&amp;$D735,'TaxCred&amp;Subs'!$C$139:$C$151,0),MATCH($H735,'TaxCred&amp;Subs'!$K$137:$S$137,0)),0))),0),0)</f>
        <v>133</v>
      </c>
      <c r="T735" s="41">
        <f t="shared" si="49"/>
        <v>0</v>
      </c>
      <c r="U735" s="41">
        <f t="shared" si="50"/>
        <v>0</v>
      </c>
      <c r="V735" s="152" t="s">
        <v>222</v>
      </c>
      <c r="W735" s="152">
        <v>2020</v>
      </c>
      <c r="X735" s="152">
        <v>1</v>
      </c>
      <c r="Y735" s="152">
        <v>0</v>
      </c>
      <c r="Z735" s="194">
        <v>-1.755E-3</v>
      </c>
      <c r="AA735" s="194">
        <v>-2.7E-2</v>
      </c>
      <c r="AB735" s="152">
        <v>0</v>
      </c>
      <c r="AC735" s="152">
        <v>0</v>
      </c>
      <c r="AD735" s="152" t="s">
        <v>501</v>
      </c>
      <c r="AE735" t="s">
        <v>354</v>
      </c>
    </row>
    <row r="736" spans="2:31" ht="14.25" customHeight="1" x14ac:dyDescent="0.2">
      <c r="B736" s="7">
        <f t="shared" si="51"/>
        <v>712</v>
      </c>
      <c r="C736" s="152">
        <v>5</v>
      </c>
      <c r="D736" s="152">
        <v>2</v>
      </c>
      <c r="E736" s="152">
        <v>8</v>
      </c>
      <c r="F736" s="153">
        <v>2030</v>
      </c>
      <c r="G736" s="152">
        <v>2032</v>
      </c>
      <c r="H736" s="152">
        <v>5</v>
      </c>
      <c r="I736" s="152">
        <v>0</v>
      </c>
      <c r="J736" s="152">
        <v>0</v>
      </c>
      <c r="K736" s="152">
        <v>0</v>
      </c>
      <c r="L736" s="152">
        <v>0</v>
      </c>
      <c r="M736" s="154">
        <v>3.73</v>
      </c>
      <c r="N736" s="155">
        <v>1655</v>
      </c>
      <c r="O736" s="155">
        <v>1130</v>
      </c>
      <c r="P736" s="41">
        <f t="array" ref="P736">ROUND(IF($F736&lt;='TaxCred&amp;Subs'!$C$49,(IF($C736=2,IF($M736&gt;=IFERROR(INDEX('TaxCred&amp;Subs'!$L$12:$L$47,MATCH(1,($C736&amp;$D736='TaxCred&amp;Subs'!$E$12:$E$47)*($F736='TaxCred&amp;Subs'!$C$12:$C$47),0)
),9999),IFERROR(INDEX('TaxCred&amp;Subs'!$N$12:$N$47,MATCH(1,($C736&amp;$D736='TaxCred&amp;Subs'!$E$12:$E$47)*($F736='TaxCred&amp;Subs'!$C$12:$C$47),0)
),0),0),(IF($M736&gt;=IFERROR(INDEX('TaxCred&amp;Subs'!$H$12:$H$47,MATCH(1,($C736&amp;$D736='TaxCred&amp;Subs'!$D$12:$D$47)*($F736='TaxCred&amp;Subs'!$C$12:$C$47),0)
),9999),IFERROR(INDEX('TaxCred&amp;Subs'!$N$12:$N$47,MATCH(1,($C736&amp;$D736='TaxCred&amp;Subs'!$D$12:$D$47)*($F736='TaxCred&amp;Subs'!$C$12:$C$47),0)
),0),0)))),0)+IF(AND($C736=2,VALUE(RIGHT($AD736,1))&gt;2),(N736-R736)*(IFERROR(INDEX('TaxCred&amp;Subs'!$J$66:$J$99,MATCH(1,($C736&amp;$D736='TaxCred&amp;Subs'!$E$66:$E$99)*($F736='TaxCred&amp;Subs'!$C$66:$C$99),0)),0)),IF(AND($C736=1,VALUE(RIGHT($AD736,1))&gt;2),(N736-R736)*(IFERROR(INDEX('TaxCred&amp;Subs'!$J$66:$J$99,MATCH(1,($C736&amp;$D736='TaxCred&amp;Subs'!$D$66:$D$99)*($F736='TaxCred&amp;Subs'!$C$66:$C$99),0)),0)),IF($C736&gt;2,(N736-R736)*(IFERROR(INDEX('TaxCred&amp;Subs'!$J$66:$J$99,MATCH(1,($C736&amp;$D736='TaxCred&amp;Subs'!$D$66:$D$99)*($F736='TaxCred&amp;Subs'!$C$66:$C$99),0)),0)),0))),0)</f>
        <v>0</v>
      </c>
      <c r="Q736" s="41">
        <f t="array" ref="Q736">ROUND(IF(AND($C736=2,VALUE(RIGHT($AD736,1))&gt;2),(O736-S736)*(IFERROR(INDEX('TaxCred&amp;Subs'!$J$66:$J$99,MATCH(1,($C736&amp;$D736='TaxCred&amp;Subs'!$E$66:$E$99)*($F736='TaxCred&amp;Subs'!$C$66:$C$99),0)),0)),IF(AND($C736=1,VALUE(RIGHT($AD736,1))&gt;2),(O736-S736)*(IFERROR(INDEX('TaxCred&amp;Subs'!$J$66:$J$99,MATCH(1,($C736&amp;$D736='TaxCred&amp;Subs'!$D$66:$D$99)*($F736='TaxCred&amp;Subs'!$C$66:$C$99),0)),0)),IF($C736&gt;2,(O736-S736)*(IFERROR(INDEX('TaxCred&amp;Subs'!$J$66:$J$99,MATCH(1,($C736&amp;$D736='TaxCred&amp;Subs'!$D$66:$D$99)*($F736='TaxCred&amp;Subs'!$C$66:$C$99),0)),0)),0))),0)</f>
        <v>0</v>
      </c>
      <c r="R736" s="41">
        <f t="array" ref="R736">ROUND(IF(IFERROR(VALUE(RIGHT($AD736,1)),0)&gt;2,IF($C736=8,N736*IFERROR(INDEX('TaxCred&amp;Subs'!$K$139:$S$151,MATCH($C736&amp;$D736&amp;LEFT($AD736,7),'TaxCred&amp;Subs'!$E$139:$E$151,0),MATCH($H736,'TaxCred&amp;Subs'!$K$137:$S$137,0)),0),IF($C736=2,N736*IFERROR(INDEX('TaxCred&amp;Subs'!$K$139:$S$151,MATCH($C736&amp;$D736,'TaxCred&amp;Subs'!$D$139:$D$151,0),MATCH($H736,'TaxCred&amp;Subs'!$K$137:$S$137,0)),0),N736*IFERROR(INDEX('TaxCred&amp;Subs'!$K$139:$S$151,MATCH($C736&amp;$D736,'TaxCred&amp;Subs'!$C$139:$C$151,0),MATCH($H736,'TaxCred&amp;Subs'!$K$137:$S$137,0)),0))),0),0)</f>
        <v>219</v>
      </c>
      <c r="S736" s="41">
        <f t="array" ref="S736">ROUND(IF(IFERROR(VALUE(RIGHT($AD736,1)),0)&gt;2,IF($C736=8,O736*IFERROR(INDEX('TaxCred&amp;Subs'!$K$139:$S$151,MATCH($C736&amp;$D736&amp;LEFT($AD736,7),'TaxCred&amp;Subs'!$E$139:$E$151,0),MATCH($H736,'TaxCred&amp;Subs'!$K$137:$S$137,0)),0),IF($C736=2,O736*IFERROR(INDEX('TaxCred&amp;Subs'!$K$139:$S$151,MATCH($C736&amp;$D736,'TaxCred&amp;Subs'!$D$139:$D$151,0),MATCH($H736,'TaxCred&amp;Subs'!$K$137:$S$137,0)),0),O736*IFERROR(INDEX('TaxCred&amp;Subs'!$K$139:$S$151,MATCH($C736&amp;$D736,'TaxCred&amp;Subs'!$C$139:$C$151,0),MATCH($H736,'TaxCred&amp;Subs'!$K$137:$S$137,0)),0))),0),0)</f>
        <v>149</v>
      </c>
      <c r="T736" s="41">
        <f t="shared" si="49"/>
        <v>0</v>
      </c>
      <c r="U736" s="41">
        <f t="shared" si="50"/>
        <v>0</v>
      </c>
      <c r="V736" s="152" t="s">
        <v>222</v>
      </c>
      <c r="W736" s="152">
        <v>2020</v>
      </c>
      <c r="X736" s="152">
        <v>1</v>
      </c>
      <c r="Y736" s="152">
        <v>0</v>
      </c>
      <c r="Z736" s="194">
        <v>-1.755E-3</v>
      </c>
      <c r="AA736" s="194">
        <v>-2.7E-2</v>
      </c>
      <c r="AB736" s="152">
        <v>0</v>
      </c>
      <c r="AC736" s="152">
        <v>0</v>
      </c>
      <c r="AD736" s="152" t="s">
        <v>501</v>
      </c>
      <c r="AE736" t="s">
        <v>354</v>
      </c>
    </row>
    <row r="737" spans="2:31" ht="14.25" customHeight="1" x14ac:dyDescent="0.2">
      <c r="B737" s="7">
        <f t="shared" si="51"/>
        <v>713</v>
      </c>
      <c r="C737" s="152">
        <v>5</v>
      </c>
      <c r="D737" s="152">
        <v>2</v>
      </c>
      <c r="E737" s="152">
        <v>8</v>
      </c>
      <c r="F737" s="153">
        <v>2030</v>
      </c>
      <c r="G737" s="152">
        <v>2032</v>
      </c>
      <c r="H737" s="152">
        <v>6</v>
      </c>
      <c r="I737" s="152">
        <v>0</v>
      </c>
      <c r="J737" s="152">
        <v>0</v>
      </c>
      <c r="K737" s="152">
        <v>0</v>
      </c>
      <c r="L737" s="152">
        <v>0</v>
      </c>
      <c r="M737" s="154">
        <v>3.73</v>
      </c>
      <c r="N737" s="155">
        <v>1655</v>
      </c>
      <c r="O737" s="155">
        <v>1130</v>
      </c>
      <c r="P737" s="41">
        <f t="array" ref="P737">ROUND(IF($F737&lt;='TaxCred&amp;Subs'!$C$49,(IF($C737=2,IF($M737&gt;=IFERROR(INDEX('TaxCred&amp;Subs'!$L$12:$L$47,MATCH(1,($C737&amp;$D737='TaxCred&amp;Subs'!$E$12:$E$47)*($F737='TaxCred&amp;Subs'!$C$12:$C$47),0)
),9999),IFERROR(INDEX('TaxCred&amp;Subs'!$N$12:$N$47,MATCH(1,($C737&amp;$D737='TaxCred&amp;Subs'!$E$12:$E$47)*($F737='TaxCred&amp;Subs'!$C$12:$C$47),0)
),0),0),(IF($M737&gt;=IFERROR(INDEX('TaxCred&amp;Subs'!$H$12:$H$47,MATCH(1,($C737&amp;$D737='TaxCred&amp;Subs'!$D$12:$D$47)*($F737='TaxCred&amp;Subs'!$C$12:$C$47),0)
),9999),IFERROR(INDEX('TaxCred&amp;Subs'!$N$12:$N$47,MATCH(1,($C737&amp;$D737='TaxCred&amp;Subs'!$D$12:$D$47)*($F737='TaxCred&amp;Subs'!$C$12:$C$47),0)
),0),0)))),0)+IF(AND($C737=2,VALUE(RIGHT($AD737,1))&gt;2),(N737-R737)*(IFERROR(INDEX('TaxCred&amp;Subs'!$J$66:$J$99,MATCH(1,($C737&amp;$D737='TaxCred&amp;Subs'!$E$66:$E$99)*($F737='TaxCred&amp;Subs'!$C$66:$C$99),0)),0)),IF(AND($C737=1,VALUE(RIGHT($AD737,1))&gt;2),(N737-R737)*(IFERROR(INDEX('TaxCred&amp;Subs'!$J$66:$J$99,MATCH(1,($C737&amp;$D737='TaxCred&amp;Subs'!$D$66:$D$99)*($F737='TaxCred&amp;Subs'!$C$66:$C$99),0)),0)),IF($C737&gt;2,(N737-R737)*(IFERROR(INDEX('TaxCred&amp;Subs'!$J$66:$J$99,MATCH(1,($C737&amp;$D737='TaxCred&amp;Subs'!$D$66:$D$99)*($F737='TaxCred&amp;Subs'!$C$66:$C$99),0)),0)),0))),0)</f>
        <v>0</v>
      </c>
      <c r="Q737" s="41">
        <f t="array" ref="Q737">ROUND(IF(AND($C737=2,VALUE(RIGHT($AD737,1))&gt;2),(O737-S737)*(IFERROR(INDEX('TaxCred&amp;Subs'!$J$66:$J$99,MATCH(1,($C737&amp;$D737='TaxCred&amp;Subs'!$E$66:$E$99)*($F737='TaxCred&amp;Subs'!$C$66:$C$99),0)),0)),IF(AND($C737=1,VALUE(RIGHT($AD737,1))&gt;2),(O737-S737)*(IFERROR(INDEX('TaxCred&amp;Subs'!$J$66:$J$99,MATCH(1,($C737&amp;$D737='TaxCred&amp;Subs'!$D$66:$D$99)*($F737='TaxCred&amp;Subs'!$C$66:$C$99),0)),0)),IF($C737&gt;2,(O737-S737)*(IFERROR(INDEX('TaxCred&amp;Subs'!$J$66:$J$99,MATCH(1,($C737&amp;$D737='TaxCred&amp;Subs'!$D$66:$D$99)*($F737='TaxCred&amp;Subs'!$C$66:$C$99),0)),0)),0))),0)</f>
        <v>0</v>
      </c>
      <c r="R737" s="41">
        <f t="array" ref="R737">ROUND(IF(IFERROR(VALUE(RIGHT($AD737,1)),0)&gt;2,IF($C737=8,N737*IFERROR(INDEX('TaxCred&amp;Subs'!$K$139:$S$151,MATCH($C737&amp;$D737&amp;LEFT($AD737,7),'TaxCred&amp;Subs'!$E$139:$E$151,0),MATCH($H737,'TaxCred&amp;Subs'!$K$137:$S$137,0)),0),IF($C737=2,N737*IFERROR(INDEX('TaxCred&amp;Subs'!$K$139:$S$151,MATCH($C737&amp;$D737,'TaxCred&amp;Subs'!$D$139:$D$151,0),MATCH($H737,'TaxCred&amp;Subs'!$K$137:$S$137,0)),0),N737*IFERROR(INDEX('TaxCred&amp;Subs'!$K$139:$S$151,MATCH($C737&amp;$D737,'TaxCred&amp;Subs'!$C$139:$C$151,0),MATCH($H737,'TaxCred&amp;Subs'!$K$137:$S$137,0)),0))),0),0)</f>
        <v>111</v>
      </c>
      <c r="S737" s="41">
        <f t="array" ref="S737">ROUND(IF(IFERROR(VALUE(RIGHT($AD737,1)),0)&gt;2,IF($C737=8,O737*IFERROR(INDEX('TaxCred&amp;Subs'!$K$139:$S$151,MATCH($C737&amp;$D737&amp;LEFT($AD737,7),'TaxCred&amp;Subs'!$E$139:$E$151,0),MATCH($H737,'TaxCred&amp;Subs'!$K$137:$S$137,0)),0),IF($C737=2,O737*IFERROR(INDEX('TaxCred&amp;Subs'!$K$139:$S$151,MATCH($C737&amp;$D737,'TaxCred&amp;Subs'!$D$139:$D$151,0),MATCH($H737,'TaxCred&amp;Subs'!$K$137:$S$137,0)),0),O737*IFERROR(INDEX('TaxCred&amp;Subs'!$K$139:$S$151,MATCH($C737&amp;$D737,'TaxCred&amp;Subs'!$C$139:$C$151,0),MATCH($H737,'TaxCred&amp;Subs'!$K$137:$S$137,0)),0))),0),0)</f>
        <v>76</v>
      </c>
      <c r="T737" s="41">
        <f t="shared" si="49"/>
        <v>0</v>
      </c>
      <c r="U737" s="41">
        <f t="shared" si="50"/>
        <v>0</v>
      </c>
      <c r="V737" s="152" t="s">
        <v>222</v>
      </c>
      <c r="W737" s="152">
        <v>2020</v>
      </c>
      <c r="X737" s="152">
        <v>1</v>
      </c>
      <c r="Y737" s="152">
        <v>0</v>
      </c>
      <c r="Z737" s="194">
        <v>-1.755E-3</v>
      </c>
      <c r="AA737" s="194">
        <v>-2.7E-2</v>
      </c>
      <c r="AB737" s="152">
        <v>0</v>
      </c>
      <c r="AC737" s="152">
        <v>0</v>
      </c>
      <c r="AD737" s="152" t="s">
        <v>501</v>
      </c>
      <c r="AE737" t="s">
        <v>354</v>
      </c>
    </row>
    <row r="738" spans="2:31" ht="14.25" customHeight="1" x14ac:dyDescent="0.2">
      <c r="B738" s="7">
        <f t="shared" si="51"/>
        <v>714</v>
      </c>
      <c r="C738" s="152">
        <v>5</v>
      </c>
      <c r="D738" s="152">
        <v>2</v>
      </c>
      <c r="E738" s="152">
        <v>8</v>
      </c>
      <c r="F738" s="153">
        <v>2030</v>
      </c>
      <c r="G738" s="152">
        <v>2032</v>
      </c>
      <c r="H738" s="152">
        <v>7</v>
      </c>
      <c r="I738" s="152">
        <v>0</v>
      </c>
      <c r="J738" s="152">
        <v>0</v>
      </c>
      <c r="K738" s="152">
        <v>0</v>
      </c>
      <c r="L738" s="152">
        <v>0</v>
      </c>
      <c r="M738" s="154">
        <v>3.73</v>
      </c>
      <c r="N738" s="155">
        <v>1655</v>
      </c>
      <c r="O738" s="155">
        <v>1130</v>
      </c>
      <c r="P738" s="41">
        <f t="array" ref="P738">ROUND(IF($F738&lt;='TaxCred&amp;Subs'!$C$49,(IF($C738=2,IF($M738&gt;=IFERROR(INDEX('TaxCred&amp;Subs'!$L$12:$L$47,MATCH(1,($C738&amp;$D738='TaxCred&amp;Subs'!$E$12:$E$47)*($F738='TaxCred&amp;Subs'!$C$12:$C$47),0)
),9999),IFERROR(INDEX('TaxCred&amp;Subs'!$N$12:$N$47,MATCH(1,($C738&amp;$D738='TaxCred&amp;Subs'!$E$12:$E$47)*($F738='TaxCred&amp;Subs'!$C$12:$C$47),0)
),0),0),(IF($M738&gt;=IFERROR(INDEX('TaxCred&amp;Subs'!$H$12:$H$47,MATCH(1,($C738&amp;$D738='TaxCred&amp;Subs'!$D$12:$D$47)*($F738='TaxCred&amp;Subs'!$C$12:$C$47),0)
),9999),IFERROR(INDEX('TaxCred&amp;Subs'!$N$12:$N$47,MATCH(1,($C738&amp;$D738='TaxCred&amp;Subs'!$D$12:$D$47)*($F738='TaxCred&amp;Subs'!$C$12:$C$47),0)
),0),0)))),0)+IF(AND($C738=2,VALUE(RIGHT($AD738,1))&gt;2),(N738-R738)*(IFERROR(INDEX('TaxCred&amp;Subs'!$J$66:$J$99,MATCH(1,($C738&amp;$D738='TaxCred&amp;Subs'!$E$66:$E$99)*($F738='TaxCred&amp;Subs'!$C$66:$C$99),0)),0)),IF(AND($C738=1,VALUE(RIGHT($AD738,1))&gt;2),(N738-R738)*(IFERROR(INDEX('TaxCred&amp;Subs'!$J$66:$J$99,MATCH(1,($C738&amp;$D738='TaxCred&amp;Subs'!$D$66:$D$99)*($F738='TaxCred&amp;Subs'!$C$66:$C$99),0)),0)),IF($C738&gt;2,(N738-R738)*(IFERROR(INDEX('TaxCred&amp;Subs'!$J$66:$J$99,MATCH(1,($C738&amp;$D738='TaxCred&amp;Subs'!$D$66:$D$99)*($F738='TaxCred&amp;Subs'!$C$66:$C$99),0)),0)),0))),0)</f>
        <v>0</v>
      </c>
      <c r="Q738" s="41">
        <f t="array" ref="Q738">ROUND(IF(AND($C738=2,VALUE(RIGHT($AD738,1))&gt;2),(O738-S738)*(IFERROR(INDEX('TaxCred&amp;Subs'!$J$66:$J$99,MATCH(1,($C738&amp;$D738='TaxCred&amp;Subs'!$E$66:$E$99)*($F738='TaxCred&amp;Subs'!$C$66:$C$99),0)),0)),IF(AND($C738=1,VALUE(RIGHT($AD738,1))&gt;2),(O738-S738)*(IFERROR(INDEX('TaxCred&amp;Subs'!$J$66:$J$99,MATCH(1,($C738&amp;$D738='TaxCred&amp;Subs'!$D$66:$D$99)*($F738='TaxCred&amp;Subs'!$C$66:$C$99),0)),0)),IF($C738&gt;2,(O738-S738)*(IFERROR(INDEX('TaxCred&amp;Subs'!$J$66:$J$99,MATCH(1,($C738&amp;$D738='TaxCred&amp;Subs'!$D$66:$D$99)*($F738='TaxCred&amp;Subs'!$C$66:$C$99),0)),0)),0))),0)</f>
        <v>0</v>
      </c>
      <c r="R738" s="41">
        <f t="array" ref="R738">ROUND(IF(IFERROR(VALUE(RIGHT($AD738,1)),0)&gt;2,IF($C738=8,N738*IFERROR(INDEX('TaxCred&amp;Subs'!$K$139:$S$151,MATCH($C738&amp;$D738&amp;LEFT($AD738,7),'TaxCred&amp;Subs'!$E$139:$E$151,0),MATCH($H738,'TaxCred&amp;Subs'!$K$137:$S$137,0)),0),IF($C738=2,N738*IFERROR(INDEX('TaxCred&amp;Subs'!$K$139:$S$151,MATCH($C738&amp;$D738,'TaxCred&amp;Subs'!$D$139:$D$151,0),MATCH($H738,'TaxCred&amp;Subs'!$K$137:$S$137,0)),0),N738*IFERROR(INDEX('TaxCred&amp;Subs'!$K$139:$S$151,MATCH($C738&amp;$D738,'TaxCred&amp;Subs'!$C$139:$C$151,0),MATCH($H738,'TaxCred&amp;Subs'!$K$137:$S$137,0)),0))),0),0)</f>
        <v>340</v>
      </c>
      <c r="S738" s="41">
        <f t="array" ref="S738">ROUND(IF(IFERROR(VALUE(RIGHT($AD738,1)),0)&gt;2,IF($C738=8,O738*IFERROR(INDEX('TaxCred&amp;Subs'!$K$139:$S$151,MATCH($C738&amp;$D738&amp;LEFT($AD738,7),'TaxCred&amp;Subs'!$E$139:$E$151,0),MATCH($H738,'TaxCred&amp;Subs'!$K$137:$S$137,0)),0),IF($C738=2,O738*IFERROR(INDEX('TaxCred&amp;Subs'!$K$139:$S$151,MATCH($C738&amp;$D738,'TaxCred&amp;Subs'!$D$139:$D$151,0),MATCH($H738,'TaxCred&amp;Subs'!$K$137:$S$137,0)),0),O738*IFERROR(INDEX('TaxCred&amp;Subs'!$K$139:$S$151,MATCH($C738&amp;$D738,'TaxCred&amp;Subs'!$C$139:$C$151,0),MATCH($H738,'TaxCred&amp;Subs'!$K$137:$S$137,0)),0))),0),0)</f>
        <v>232</v>
      </c>
      <c r="T738" s="41">
        <f t="shared" si="49"/>
        <v>0</v>
      </c>
      <c r="U738" s="41">
        <f t="shared" si="50"/>
        <v>0</v>
      </c>
      <c r="V738" s="152" t="s">
        <v>222</v>
      </c>
      <c r="W738" s="152">
        <v>2020</v>
      </c>
      <c r="X738" s="152">
        <v>1</v>
      </c>
      <c r="Y738" s="152">
        <v>0</v>
      </c>
      <c r="Z738" s="194">
        <v>-1.755E-3</v>
      </c>
      <c r="AA738" s="194">
        <v>-2.7E-2</v>
      </c>
      <c r="AB738" s="152">
        <v>0</v>
      </c>
      <c r="AC738" s="152">
        <v>0</v>
      </c>
      <c r="AD738" s="152" t="s">
        <v>501</v>
      </c>
      <c r="AE738" t="s">
        <v>354</v>
      </c>
    </row>
    <row r="739" spans="2:31" ht="14.25" customHeight="1" x14ac:dyDescent="0.2">
      <c r="B739" s="7">
        <f t="shared" si="51"/>
        <v>715</v>
      </c>
      <c r="C739" s="152">
        <v>5</v>
      </c>
      <c r="D739" s="152">
        <v>2</v>
      </c>
      <c r="E739" s="152">
        <v>8</v>
      </c>
      <c r="F739" s="153">
        <v>2030</v>
      </c>
      <c r="G739" s="152">
        <v>2032</v>
      </c>
      <c r="H739" s="152">
        <v>8</v>
      </c>
      <c r="I739" s="152">
        <v>0</v>
      </c>
      <c r="J739" s="152">
        <v>0</v>
      </c>
      <c r="K739" s="152">
        <v>0</v>
      </c>
      <c r="L739" s="152">
        <v>0</v>
      </c>
      <c r="M739" s="154">
        <v>3.73</v>
      </c>
      <c r="N739" s="155">
        <v>1655</v>
      </c>
      <c r="O739" s="155">
        <v>1130</v>
      </c>
      <c r="P739" s="41">
        <f t="array" ref="P739">ROUND(IF($F739&lt;='TaxCred&amp;Subs'!$C$49,(IF($C739=2,IF($M739&gt;=IFERROR(INDEX('TaxCred&amp;Subs'!$L$12:$L$47,MATCH(1,($C739&amp;$D739='TaxCred&amp;Subs'!$E$12:$E$47)*($F739='TaxCred&amp;Subs'!$C$12:$C$47),0)
),9999),IFERROR(INDEX('TaxCred&amp;Subs'!$N$12:$N$47,MATCH(1,($C739&amp;$D739='TaxCred&amp;Subs'!$E$12:$E$47)*($F739='TaxCred&amp;Subs'!$C$12:$C$47),0)
),0),0),(IF($M739&gt;=IFERROR(INDEX('TaxCred&amp;Subs'!$H$12:$H$47,MATCH(1,($C739&amp;$D739='TaxCred&amp;Subs'!$D$12:$D$47)*($F739='TaxCred&amp;Subs'!$C$12:$C$47),0)
),9999),IFERROR(INDEX('TaxCred&amp;Subs'!$N$12:$N$47,MATCH(1,($C739&amp;$D739='TaxCred&amp;Subs'!$D$12:$D$47)*($F739='TaxCred&amp;Subs'!$C$12:$C$47),0)
),0),0)))),0)+IF(AND($C739=2,VALUE(RIGHT($AD739,1))&gt;2),(N739-R739)*(IFERROR(INDEX('TaxCred&amp;Subs'!$J$66:$J$99,MATCH(1,($C739&amp;$D739='TaxCred&amp;Subs'!$E$66:$E$99)*($F739='TaxCred&amp;Subs'!$C$66:$C$99),0)),0)),IF(AND($C739=1,VALUE(RIGHT($AD739,1))&gt;2),(N739-R739)*(IFERROR(INDEX('TaxCred&amp;Subs'!$J$66:$J$99,MATCH(1,($C739&amp;$D739='TaxCred&amp;Subs'!$D$66:$D$99)*($F739='TaxCred&amp;Subs'!$C$66:$C$99),0)),0)),IF($C739&gt;2,(N739-R739)*(IFERROR(INDEX('TaxCred&amp;Subs'!$J$66:$J$99,MATCH(1,($C739&amp;$D739='TaxCred&amp;Subs'!$D$66:$D$99)*($F739='TaxCred&amp;Subs'!$C$66:$C$99),0)),0)),0))),0)</f>
        <v>0</v>
      </c>
      <c r="Q739" s="41">
        <f t="array" ref="Q739">ROUND(IF(AND($C739=2,VALUE(RIGHT($AD739,1))&gt;2),(O739-S739)*(IFERROR(INDEX('TaxCred&amp;Subs'!$J$66:$J$99,MATCH(1,($C739&amp;$D739='TaxCred&amp;Subs'!$E$66:$E$99)*($F739='TaxCred&amp;Subs'!$C$66:$C$99),0)),0)),IF(AND($C739=1,VALUE(RIGHT($AD739,1))&gt;2),(O739-S739)*(IFERROR(INDEX('TaxCred&amp;Subs'!$J$66:$J$99,MATCH(1,($C739&amp;$D739='TaxCred&amp;Subs'!$D$66:$D$99)*($F739='TaxCred&amp;Subs'!$C$66:$C$99),0)),0)),IF($C739&gt;2,(O739-S739)*(IFERROR(INDEX('TaxCred&amp;Subs'!$J$66:$J$99,MATCH(1,($C739&amp;$D739='TaxCred&amp;Subs'!$D$66:$D$99)*($F739='TaxCred&amp;Subs'!$C$66:$C$99),0)),0)),0))),0)</f>
        <v>0</v>
      </c>
      <c r="R739" s="41">
        <f t="array" ref="R739">ROUND(IF(IFERROR(VALUE(RIGHT($AD739,1)),0)&gt;2,IF($C739=8,N739*IFERROR(INDEX('TaxCred&amp;Subs'!$K$139:$S$151,MATCH($C739&amp;$D739&amp;LEFT($AD739,7),'TaxCred&amp;Subs'!$E$139:$E$151,0),MATCH($H739,'TaxCred&amp;Subs'!$K$137:$S$137,0)),0),IF($C739=2,N739*IFERROR(INDEX('TaxCred&amp;Subs'!$K$139:$S$151,MATCH($C739&amp;$D739,'TaxCred&amp;Subs'!$D$139:$D$151,0),MATCH($H739,'TaxCred&amp;Subs'!$K$137:$S$137,0)),0),N739*IFERROR(INDEX('TaxCred&amp;Subs'!$K$139:$S$151,MATCH($C739&amp;$D739,'TaxCred&amp;Subs'!$C$139:$C$151,0),MATCH($H739,'TaxCred&amp;Subs'!$K$137:$S$137,0)),0))),0),0)</f>
        <v>143</v>
      </c>
      <c r="S739" s="41">
        <f t="array" ref="S739">ROUND(IF(IFERROR(VALUE(RIGHT($AD739,1)),0)&gt;2,IF($C739=8,O739*IFERROR(INDEX('TaxCred&amp;Subs'!$K$139:$S$151,MATCH($C739&amp;$D739&amp;LEFT($AD739,7),'TaxCred&amp;Subs'!$E$139:$E$151,0),MATCH($H739,'TaxCred&amp;Subs'!$K$137:$S$137,0)),0),IF($C739=2,O739*IFERROR(INDEX('TaxCred&amp;Subs'!$K$139:$S$151,MATCH($C739&amp;$D739,'TaxCred&amp;Subs'!$D$139:$D$151,0),MATCH($H739,'TaxCred&amp;Subs'!$K$137:$S$137,0)),0),O739*IFERROR(INDEX('TaxCred&amp;Subs'!$K$139:$S$151,MATCH($C739&amp;$D739,'TaxCred&amp;Subs'!$C$139:$C$151,0),MATCH($H739,'TaxCred&amp;Subs'!$K$137:$S$137,0)),0))),0),0)</f>
        <v>98</v>
      </c>
      <c r="T739" s="41">
        <f t="shared" si="49"/>
        <v>0</v>
      </c>
      <c r="U739" s="41">
        <f t="shared" si="50"/>
        <v>0</v>
      </c>
      <c r="V739" s="152" t="s">
        <v>222</v>
      </c>
      <c r="W739" s="152">
        <v>2020</v>
      </c>
      <c r="X739" s="152">
        <v>1</v>
      </c>
      <c r="Y739" s="152">
        <v>0</v>
      </c>
      <c r="Z739" s="194">
        <v>-1.755E-3</v>
      </c>
      <c r="AA739" s="194">
        <v>-2.7E-2</v>
      </c>
      <c r="AB739" s="152">
        <v>0</v>
      </c>
      <c r="AC739" s="152">
        <v>0</v>
      </c>
      <c r="AD739" s="152" t="s">
        <v>501</v>
      </c>
      <c r="AE739" t="s">
        <v>354</v>
      </c>
    </row>
    <row r="740" spans="2:31" ht="14.25" customHeight="1" x14ac:dyDescent="0.2">
      <c r="B740" s="7">
        <f t="shared" si="51"/>
        <v>716</v>
      </c>
      <c r="C740" s="152">
        <v>5</v>
      </c>
      <c r="D740" s="152">
        <v>2</v>
      </c>
      <c r="E740" s="152">
        <v>8</v>
      </c>
      <c r="F740" s="153">
        <v>2030</v>
      </c>
      <c r="G740" s="152">
        <v>2032</v>
      </c>
      <c r="H740" s="152">
        <v>9</v>
      </c>
      <c r="I740" s="152">
        <v>0</v>
      </c>
      <c r="J740" s="152">
        <v>0</v>
      </c>
      <c r="K740" s="152">
        <v>0</v>
      </c>
      <c r="L740" s="152">
        <v>0</v>
      </c>
      <c r="M740" s="154">
        <v>3.73</v>
      </c>
      <c r="N740" s="155">
        <v>1655</v>
      </c>
      <c r="O740" s="155">
        <v>1130</v>
      </c>
      <c r="P740" s="41">
        <f t="array" ref="P740">ROUND(IF($F740&lt;='TaxCred&amp;Subs'!$C$49,(IF($C740=2,IF($M740&gt;=IFERROR(INDEX('TaxCred&amp;Subs'!$L$12:$L$47,MATCH(1,($C740&amp;$D740='TaxCred&amp;Subs'!$E$12:$E$47)*($F740='TaxCred&amp;Subs'!$C$12:$C$47),0)
),9999),IFERROR(INDEX('TaxCred&amp;Subs'!$N$12:$N$47,MATCH(1,($C740&amp;$D740='TaxCred&amp;Subs'!$E$12:$E$47)*($F740='TaxCred&amp;Subs'!$C$12:$C$47),0)
),0),0),(IF($M740&gt;=IFERROR(INDEX('TaxCred&amp;Subs'!$H$12:$H$47,MATCH(1,($C740&amp;$D740='TaxCred&amp;Subs'!$D$12:$D$47)*($F740='TaxCred&amp;Subs'!$C$12:$C$47),0)
),9999),IFERROR(INDEX('TaxCred&amp;Subs'!$N$12:$N$47,MATCH(1,($C740&amp;$D740='TaxCred&amp;Subs'!$D$12:$D$47)*($F740='TaxCred&amp;Subs'!$C$12:$C$47),0)
),0),0)))),0)+IF(AND($C740=2,VALUE(RIGHT($AD740,1))&gt;2),(N740-R740)*(IFERROR(INDEX('TaxCred&amp;Subs'!$J$66:$J$99,MATCH(1,($C740&amp;$D740='TaxCred&amp;Subs'!$E$66:$E$99)*($F740='TaxCred&amp;Subs'!$C$66:$C$99),0)),0)),IF(AND($C740=1,VALUE(RIGHT($AD740,1))&gt;2),(N740-R740)*(IFERROR(INDEX('TaxCred&amp;Subs'!$J$66:$J$99,MATCH(1,($C740&amp;$D740='TaxCred&amp;Subs'!$D$66:$D$99)*($F740='TaxCred&amp;Subs'!$C$66:$C$99),0)),0)),IF($C740&gt;2,(N740-R740)*(IFERROR(INDEX('TaxCred&amp;Subs'!$J$66:$J$99,MATCH(1,($C740&amp;$D740='TaxCred&amp;Subs'!$D$66:$D$99)*($F740='TaxCred&amp;Subs'!$C$66:$C$99),0)),0)),0))),0)</f>
        <v>0</v>
      </c>
      <c r="Q740" s="41">
        <f t="array" ref="Q740">ROUND(IF(AND($C740=2,VALUE(RIGHT($AD740,1))&gt;2),(O740-S740)*(IFERROR(INDEX('TaxCred&amp;Subs'!$J$66:$J$99,MATCH(1,($C740&amp;$D740='TaxCred&amp;Subs'!$E$66:$E$99)*($F740='TaxCred&amp;Subs'!$C$66:$C$99),0)),0)),IF(AND($C740=1,VALUE(RIGHT($AD740,1))&gt;2),(O740-S740)*(IFERROR(INDEX('TaxCred&amp;Subs'!$J$66:$J$99,MATCH(1,($C740&amp;$D740='TaxCred&amp;Subs'!$D$66:$D$99)*($F740='TaxCred&amp;Subs'!$C$66:$C$99),0)),0)),IF($C740&gt;2,(O740-S740)*(IFERROR(INDEX('TaxCred&amp;Subs'!$J$66:$J$99,MATCH(1,($C740&amp;$D740='TaxCred&amp;Subs'!$D$66:$D$99)*($F740='TaxCred&amp;Subs'!$C$66:$C$99),0)),0)),0))),0)</f>
        <v>0</v>
      </c>
      <c r="R740" s="41">
        <f t="array" ref="R740">ROUND(IF(IFERROR(VALUE(RIGHT($AD740,1)),0)&gt;2,IF($C740=8,N740*IFERROR(INDEX('TaxCred&amp;Subs'!$K$139:$S$151,MATCH($C740&amp;$D740&amp;LEFT($AD740,7),'TaxCred&amp;Subs'!$E$139:$E$151,0),MATCH($H740,'TaxCred&amp;Subs'!$K$137:$S$137,0)),0),IF($C740=2,N740*IFERROR(INDEX('TaxCred&amp;Subs'!$K$139:$S$151,MATCH($C740&amp;$D740,'TaxCred&amp;Subs'!$D$139:$D$151,0),MATCH($H740,'TaxCred&amp;Subs'!$K$137:$S$137,0)),0),N740*IFERROR(INDEX('TaxCred&amp;Subs'!$K$139:$S$151,MATCH($C740&amp;$D740,'TaxCred&amp;Subs'!$C$139:$C$151,0),MATCH($H740,'TaxCred&amp;Subs'!$K$137:$S$137,0)),0))),0),0)</f>
        <v>373</v>
      </c>
      <c r="S740" s="41">
        <f t="array" ref="S740">ROUND(IF(IFERROR(VALUE(RIGHT($AD740,1)),0)&gt;2,IF($C740=8,O740*IFERROR(INDEX('TaxCred&amp;Subs'!$K$139:$S$151,MATCH($C740&amp;$D740&amp;LEFT($AD740,7),'TaxCred&amp;Subs'!$E$139:$E$151,0),MATCH($H740,'TaxCred&amp;Subs'!$K$137:$S$137,0)),0),IF($C740=2,O740*IFERROR(INDEX('TaxCred&amp;Subs'!$K$139:$S$151,MATCH($C740&amp;$D740,'TaxCred&amp;Subs'!$D$139:$D$151,0),MATCH($H740,'TaxCred&amp;Subs'!$K$137:$S$137,0)),0),O740*IFERROR(INDEX('TaxCred&amp;Subs'!$K$139:$S$151,MATCH($C740&amp;$D740,'TaxCred&amp;Subs'!$C$139:$C$151,0),MATCH($H740,'TaxCred&amp;Subs'!$K$137:$S$137,0)),0))),0),0)</f>
        <v>255</v>
      </c>
      <c r="T740" s="41">
        <f t="shared" si="49"/>
        <v>248.25</v>
      </c>
      <c r="U740" s="41">
        <f t="shared" si="50"/>
        <v>169.5</v>
      </c>
      <c r="V740" s="152" t="s">
        <v>222</v>
      </c>
      <c r="W740" s="152">
        <v>2020</v>
      </c>
      <c r="X740" s="152">
        <v>1</v>
      </c>
      <c r="Y740" s="152">
        <v>0</v>
      </c>
      <c r="Z740" s="194">
        <v>-1.755E-3</v>
      </c>
      <c r="AA740" s="194">
        <v>-2.7E-2</v>
      </c>
      <c r="AB740" s="152">
        <v>0</v>
      </c>
      <c r="AC740" s="152">
        <v>0</v>
      </c>
      <c r="AD740" s="152" t="s">
        <v>501</v>
      </c>
      <c r="AE740" t="s">
        <v>354</v>
      </c>
    </row>
    <row r="741" spans="2:31" ht="14.25" customHeight="1" x14ac:dyDescent="0.2">
      <c r="B741" s="7">
        <f t="shared" si="51"/>
        <v>717</v>
      </c>
      <c r="C741" s="28">
        <v>5</v>
      </c>
      <c r="D741" s="28">
        <v>2</v>
      </c>
      <c r="E741" s="31">
        <v>8</v>
      </c>
      <c r="F741" s="78">
        <v>2033</v>
      </c>
      <c r="G741" s="31">
        <v>2039</v>
      </c>
      <c r="H741" s="28">
        <v>1</v>
      </c>
      <c r="I741" s="28">
        <v>0</v>
      </c>
      <c r="J741" s="28">
        <v>0</v>
      </c>
      <c r="K741" s="28">
        <v>0</v>
      </c>
      <c r="L741" s="28">
        <v>0</v>
      </c>
      <c r="M741" s="156">
        <v>3.73</v>
      </c>
      <c r="N741" s="151">
        <v>1655</v>
      </c>
      <c r="O741" s="151">
        <v>1130</v>
      </c>
      <c r="P741" s="95">
        <f t="array" ref="P741">ROUND(IF($F741&lt;='TaxCred&amp;Subs'!$C$49,(IF($C741=2,IF($M741&gt;=IFERROR(INDEX('TaxCred&amp;Subs'!$L$12:$L$47,MATCH(1,($C741&amp;$D741='TaxCred&amp;Subs'!$E$12:$E$47)*($F741='TaxCred&amp;Subs'!$C$12:$C$47),0)
),9999),IFERROR(INDEX('TaxCred&amp;Subs'!$N$12:$N$47,MATCH(1,($C741&amp;$D741='TaxCred&amp;Subs'!$E$12:$E$47)*($F741='TaxCred&amp;Subs'!$C$12:$C$47),0)
),0),0),(IF($M741&gt;=IFERROR(INDEX('TaxCred&amp;Subs'!$H$12:$H$47,MATCH(1,($C741&amp;$D741='TaxCred&amp;Subs'!$D$12:$D$47)*($F741='TaxCred&amp;Subs'!$C$12:$C$47),0)
),9999),IFERROR(INDEX('TaxCred&amp;Subs'!$N$12:$N$47,MATCH(1,($C741&amp;$D741='TaxCred&amp;Subs'!$D$12:$D$47)*($F741='TaxCred&amp;Subs'!$C$12:$C$47),0)
),0),0)))),0)+IF(AND($C741=2,VALUE(RIGHT($AD741,1))&gt;2),(N741-R741)*(IFERROR(INDEX('TaxCred&amp;Subs'!$J$66:$J$99,MATCH(1,($C741&amp;$D741='TaxCred&amp;Subs'!$E$66:$E$99)*($F741='TaxCred&amp;Subs'!$C$66:$C$99),0)),0)),IF(AND($C741=1,VALUE(RIGHT($AD741,1))&gt;2),(N741-R741)*(IFERROR(INDEX('TaxCred&amp;Subs'!$J$66:$J$99,MATCH(1,($C741&amp;$D741='TaxCred&amp;Subs'!$D$66:$D$99)*($F741='TaxCred&amp;Subs'!$C$66:$C$99),0)),0)),IF($C741&gt;2,(N741-R741)*(IFERROR(INDEX('TaxCred&amp;Subs'!$J$66:$J$99,MATCH(1,($C741&amp;$D741='TaxCred&amp;Subs'!$D$66:$D$99)*($F741='TaxCred&amp;Subs'!$C$66:$C$99),0)),0)),0))),0)</f>
        <v>0</v>
      </c>
      <c r="Q741" s="95">
        <f t="array" ref="Q741">ROUND(IF(AND($C741=2,VALUE(RIGHT($AD741,1))&gt;2),(O741-S741)*(IFERROR(INDEX('TaxCred&amp;Subs'!$J$66:$J$99,MATCH(1,($C741&amp;$D741='TaxCred&amp;Subs'!$E$66:$E$99)*($F741='TaxCred&amp;Subs'!$C$66:$C$99),0)),0)),IF(AND($C741=1,VALUE(RIGHT($AD741,1))&gt;2),(O741-S741)*(IFERROR(INDEX('TaxCred&amp;Subs'!$J$66:$J$99,MATCH(1,($C741&amp;$D741='TaxCred&amp;Subs'!$D$66:$D$99)*($F741='TaxCred&amp;Subs'!$C$66:$C$99),0)),0)),IF($C741&gt;2,(O741-S741)*(IFERROR(INDEX('TaxCred&amp;Subs'!$J$66:$J$99,MATCH(1,($C741&amp;$D741='TaxCred&amp;Subs'!$D$66:$D$99)*($F741='TaxCred&amp;Subs'!$C$66:$C$99),0)),0)),0))),0)</f>
        <v>0</v>
      </c>
      <c r="R741" s="95">
        <f t="array" ref="R741">ROUND(IF(IFERROR(VALUE(RIGHT($AD741,1)),0)&gt;2,IF($C741=8,N741*IFERROR(INDEX('TaxCred&amp;Subs'!$K$139:$S$151,MATCH($C741&amp;$D741&amp;LEFT($AD741,7),'TaxCred&amp;Subs'!$E$139:$E$151,0),MATCH($H741,'TaxCred&amp;Subs'!$K$137:$S$137,0)),0),IF($C741=2,N741*IFERROR(INDEX('TaxCred&amp;Subs'!$K$139:$S$151,MATCH($C741&amp;$D741,'TaxCred&amp;Subs'!$D$139:$D$151,0),MATCH($H741,'TaxCred&amp;Subs'!$K$137:$S$137,0)),0),N741*IFERROR(INDEX('TaxCred&amp;Subs'!$K$139:$S$151,MATCH($C741&amp;$D741,'TaxCred&amp;Subs'!$C$139:$C$151,0),MATCH($H741,'TaxCred&amp;Subs'!$K$137:$S$137,0)),0))),0),0)</f>
        <v>431</v>
      </c>
      <c r="S741" s="95">
        <f t="array" ref="S741">ROUND(IF(IFERROR(VALUE(RIGHT($AD741,1)),0)&gt;2,IF($C741=8,O741*IFERROR(INDEX('TaxCred&amp;Subs'!$K$139:$S$151,MATCH($C741&amp;$D741&amp;LEFT($AD741,7),'TaxCred&amp;Subs'!$E$139:$E$151,0),MATCH($H741,'TaxCred&amp;Subs'!$K$137:$S$137,0)),0),IF($C741=2,O741*IFERROR(INDEX('TaxCred&amp;Subs'!$K$139:$S$151,MATCH($C741&amp;$D741,'TaxCred&amp;Subs'!$D$139:$D$151,0),MATCH($H741,'TaxCred&amp;Subs'!$K$137:$S$137,0)),0),O741*IFERROR(INDEX('TaxCred&amp;Subs'!$K$139:$S$151,MATCH($C741&amp;$D741,'TaxCred&amp;Subs'!$C$139:$C$151,0),MATCH($H741,'TaxCred&amp;Subs'!$K$137:$S$137,0)),0))),0),0)</f>
        <v>294</v>
      </c>
      <c r="T741" s="95">
        <f t="shared" si="49"/>
        <v>0</v>
      </c>
      <c r="U741" s="95">
        <f t="shared" si="50"/>
        <v>0</v>
      </c>
      <c r="V741" s="28" t="s">
        <v>222</v>
      </c>
      <c r="W741" s="31">
        <v>2020</v>
      </c>
      <c r="X741" s="28">
        <v>1</v>
      </c>
      <c r="Y741" s="28">
        <v>0</v>
      </c>
      <c r="Z741" s="196">
        <v>-1.755E-3</v>
      </c>
      <c r="AA741" s="196">
        <v>-2.7E-2</v>
      </c>
      <c r="AB741" s="28">
        <v>0</v>
      </c>
      <c r="AC741" s="28">
        <v>0</v>
      </c>
      <c r="AD741" s="31" t="s">
        <v>501</v>
      </c>
      <c r="AE741" t="s">
        <v>354</v>
      </c>
    </row>
    <row r="742" spans="2:31" ht="14.25" customHeight="1" x14ac:dyDescent="0.2">
      <c r="B742" s="7">
        <f t="shared" si="51"/>
        <v>718</v>
      </c>
      <c r="C742" s="28">
        <v>5</v>
      </c>
      <c r="D742" s="28">
        <v>2</v>
      </c>
      <c r="E742" s="31">
        <v>8</v>
      </c>
      <c r="F742" s="78">
        <v>2033</v>
      </c>
      <c r="G742" s="31">
        <v>2039</v>
      </c>
      <c r="H742" s="28">
        <v>2</v>
      </c>
      <c r="I742" s="28">
        <v>0</v>
      </c>
      <c r="J742" s="28">
        <v>0</v>
      </c>
      <c r="K742" s="28">
        <v>0</v>
      </c>
      <c r="L742" s="28">
        <v>0</v>
      </c>
      <c r="M742" s="156">
        <v>3.73</v>
      </c>
      <c r="N742" s="151">
        <v>1655</v>
      </c>
      <c r="O742" s="151">
        <v>1130</v>
      </c>
      <c r="P742" s="95">
        <f t="array" ref="P742">ROUND(IF($F742&lt;='TaxCred&amp;Subs'!$C$49,(IF($C742=2,IF($M742&gt;=IFERROR(INDEX('TaxCred&amp;Subs'!$L$12:$L$47,MATCH(1,($C742&amp;$D742='TaxCred&amp;Subs'!$E$12:$E$47)*($F742='TaxCred&amp;Subs'!$C$12:$C$47),0)
),9999),IFERROR(INDEX('TaxCred&amp;Subs'!$N$12:$N$47,MATCH(1,($C742&amp;$D742='TaxCred&amp;Subs'!$E$12:$E$47)*($F742='TaxCred&amp;Subs'!$C$12:$C$47),0)
),0),0),(IF($M742&gt;=IFERROR(INDEX('TaxCred&amp;Subs'!$H$12:$H$47,MATCH(1,($C742&amp;$D742='TaxCred&amp;Subs'!$D$12:$D$47)*($F742='TaxCred&amp;Subs'!$C$12:$C$47),0)
),9999),IFERROR(INDEX('TaxCred&amp;Subs'!$N$12:$N$47,MATCH(1,($C742&amp;$D742='TaxCred&amp;Subs'!$D$12:$D$47)*($F742='TaxCred&amp;Subs'!$C$12:$C$47),0)
),0),0)))),0)+IF(AND($C742=2,VALUE(RIGHT($AD742,1))&gt;2),(N742-R742)*(IFERROR(INDEX('TaxCred&amp;Subs'!$J$66:$J$99,MATCH(1,($C742&amp;$D742='TaxCred&amp;Subs'!$E$66:$E$99)*($F742='TaxCred&amp;Subs'!$C$66:$C$99),0)),0)),IF(AND($C742=1,VALUE(RIGHT($AD742,1))&gt;2),(N742-R742)*(IFERROR(INDEX('TaxCred&amp;Subs'!$J$66:$J$99,MATCH(1,($C742&amp;$D742='TaxCred&amp;Subs'!$D$66:$D$99)*($F742='TaxCred&amp;Subs'!$C$66:$C$99),0)),0)),IF($C742&gt;2,(N742-R742)*(IFERROR(INDEX('TaxCred&amp;Subs'!$J$66:$J$99,MATCH(1,($C742&amp;$D742='TaxCred&amp;Subs'!$D$66:$D$99)*($F742='TaxCred&amp;Subs'!$C$66:$C$99),0)),0)),0))),0)</f>
        <v>0</v>
      </c>
      <c r="Q742" s="95">
        <f t="array" ref="Q742">ROUND(IF(AND($C742=2,VALUE(RIGHT($AD742,1))&gt;2),(O742-S742)*(IFERROR(INDEX('TaxCred&amp;Subs'!$J$66:$J$99,MATCH(1,($C742&amp;$D742='TaxCred&amp;Subs'!$E$66:$E$99)*($F742='TaxCred&amp;Subs'!$C$66:$C$99),0)),0)),IF(AND($C742=1,VALUE(RIGHT($AD742,1))&gt;2),(O742-S742)*(IFERROR(INDEX('TaxCred&amp;Subs'!$J$66:$J$99,MATCH(1,($C742&amp;$D742='TaxCred&amp;Subs'!$D$66:$D$99)*($F742='TaxCred&amp;Subs'!$C$66:$C$99),0)),0)),IF($C742&gt;2,(O742-S742)*(IFERROR(INDEX('TaxCred&amp;Subs'!$J$66:$J$99,MATCH(1,($C742&amp;$D742='TaxCred&amp;Subs'!$D$66:$D$99)*($F742='TaxCred&amp;Subs'!$C$66:$C$99),0)),0)),0))),0)</f>
        <v>0</v>
      </c>
      <c r="R742" s="95">
        <f t="array" ref="R742">ROUND(IF(IFERROR(VALUE(RIGHT($AD742,1)),0)&gt;2,IF($C742=8,N742*IFERROR(INDEX('TaxCred&amp;Subs'!$K$139:$S$151,MATCH($C742&amp;$D742&amp;LEFT($AD742,7),'TaxCred&amp;Subs'!$E$139:$E$151,0),MATCH($H742,'TaxCred&amp;Subs'!$K$137:$S$137,0)),0),IF($C742=2,N742*IFERROR(INDEX('TaxCred&amp;Subs'!$K$139:$S$151,MATCH($C742&amp;$D742,'TaxCred&amp;Subs'!$D$139:$D$151,0),MATCH($H742,'TaxCred&amp;Subs'!$K$137:$S$137,0)),0),N742*IFERROR(INDEX('TaxCred&amp;Subs'!$K$139:$S$151,MATCH($C742&amp;$D742,'TaxCred&amp;Subs'!$C$139:$C$151,0),MATCH($H742,'TaxCred&amp;Subs'!$K$137:$S$137,0)),0))),0),0)</f>
        <v>423</v>
      </c>
      <c r="S742" s="95">
        <f t="array" ref="S742">ROUND(IF(IFERROR(VALUE(RIGHT($AD742,1)),0)&gt;2,IF($C742=8,O742*IFERROR(INDEX('TaxCred&amp;Subs'!$K$139:$S$151,MATCH($C742&amp;$D742&amp;LEFT($AD742,7),'TaxCred&amp;Subs'!$E$139:$E$151,0),MATCH($H742,'TaxCred&amp;Subs'!$K$137:$S$137,0)),0),IF($C742=2,O742*IFERROR(INDEX('TaxCred&amp;Subs'!$K$139:$S$151,MATCH($C742&amp;$D742,'TaxCred&amp;Subs'!$D$139:$D$151,0),MATCH($H742,'TaxCred&amp;Subs'!$K$137:$S$137,0)),0),O742*IFERROR(INDEX('TaxCred&amp;Subs'!$K$139:$S$151,MATCH($C742&amp;$D742,'TaxCred&amp;Subs'!$C$139:$C$151,0),MATCH($H742,'TaxCred&amp;Subs'!$K$137:$S$137,0)),0))),0),0)</f>
        <v>289</v>
      </c>
      <c r="T742" s="95">
        <f t="shared" si="49"/>
        <v>0</v>
      </c>
      <c r="U742" s="95">
        <f t="shared" si="50"/>
        <v>0</v>
      </c>
      <c r="V742" s="28" t="s">
        <v>222</v>
      </c>
      <c r="W742" s="31">
        <v>2020</v>
      </c>
      <c r="X742" s="28">
        <v>1</v>
      </c>
      <c r="Y742" s="28">
        <v>0</v>
      </c>
      <c r="Z742" s="196">
        <v>-1.755E-3</v>
      </c>
      <c r="AA742" s="196">
        <v>-2.7E-2</v>
      </c>
      <c r="AB742" s="28">
        <v>0</v>
      </c>
      <c r="AC742" s="28">
        <v>0</v>
      </c>
      <c r="AD742" s="31" t="s">
        <v>501</v>
      </c>
      <c r="AE742" t="s">
        <v>354</v>
      </c>
    </row>
    <row r="743" spans="2:31" ht="14.25" customHeight="1" x14ac:dyDescent="0.2">
      <c r="B743" s="7">
        <f t="shared" si="51"/>
        <v>719</v>
      </c>
      <c r="C743" s="28">
        <v>5</v>
      </c>
      <c r="D743" s="28">
        <v>2</v>
      </c>
      <c r="E743" s="31">
        <v>8</v>
      </c>
      <c r="F743" s="78">
        <v>2033</v>
      </c>
      <c r="G743" s="31">
        <v>2039</v>
      </c>
      <c r="H743" s="28">
        <v>3</v>
      </c>
      <c r="I743" s="28">
        <v>0</v>
      </c>
      <c r="J743" s="28">
        <v>0</v>
      </c>
      <c r="K743" s="28">
        <v>0</v>
      </c>
      <c r="L743" s="28">
        <v>0</v>
      </c>
      <c r="M743" s="156">
        <v>3.73</v>
      </c>
      <c r="N743" s="151">
        <v>1655</v>
      </c>
      <c r="O743" s="151">
        <v>1130</v>
      </c>
      <c r="P743" s="95">
        <f t="array" ref="P743">ROUND(IF($F743&lt;='TaxCred&amp;Subs'!$C$49,(IF($C743=2,IF($M743&gt;=IFERROR(INDEX('TaxCred&amp;Subs'!$L$12:$L$47,MATCH(1,($C743&amp;$D743='TaxCred&amp;Subs'!$E$12:$E$47)*($F743='TaxCred&amp;Subs'!$C$12:$C$47),0)
),9999),IFERROR(INDEX('TaxCred&amp;Subs'!$N$12:$N$47,MATCH(1,($C743&amp;$D743='TaxCred&amp;Subs'!$E$12:$E$47)*($F743='TaxCred&amp;Subs'!$C$12:$C$47),0)
),0),0),(IF($M743&gt;=IFERROR(INDEX('TaxCred&amp;Subs'!$H$12:$H$47,MATCH(1,($C743&amp;$D743='TaxCred&amp;Subs'!$D$12:$D$47)*($F743='TaxCred&amp;Subs'!$C$12:$C$47),0)
),9999),IFERROR(INDEX('TaxCred&amp;Subs'!$N$12:$N$47,MATCH(1,($C743&amp;$D743='TaxCred&amp;Subs'!$D$12:$D$47)*($F743='TaxCred&amp;Subs'!$C$12:$C$47),0)
),0),0)))),0)+IF(AND($C743=2,VALUE(RIGHT($AD743,1))&gt;2),(N743-R743)*(IFERROR(INDEX('TaxCred&amp;Subs'!$J$66:$J$99,MATCH(1,($C743&amp;$D743='TaxCred&amp;Subs'!$E$66:$E$99)*($F743='TaxCred&amp;Subs'!$C$66:$C$99),0)),0)),IF(AND($C743=1,VALUE(RIGHT($AD743,1))&gt;2),(N743-R743)*(IFERROR(INDEX('TaxCred&amp;Subs'!$J$66:$J$99,MATCH(1,($C743&amp;$D743='TaxCred&amp;Subs'!$D$66:$D$99)*($F743='TaxCred&amp;Subs'!$C$66:$C$99),0)),0)),IF($C743&gt;2,(N743-R743)*(IFERROR(INDEX('TaxCred&amp;Subs'!$J$66:$J$99,MATCH(1,($C743&amp;$D743='TaxCred&amp;Subs'!$D$66:$D$99)*($F743='TaxCred&amp;Subs'!$C$66:$C$99),0)),0)),0))),0)</f>
        <v>0</v>
      </c>
      <c r="Q743" s="95">
        <f t="array" ref="Q743">ROUND(IF(AND($C743=2,VALUE(RIGHT($AD743,1))&gt;2),(O743-S743)*(IFERROR(INDEX('TaxCred&amp;Subs'!$J$66:$J$99,MATCH(1,($C743&amp;$D743='TaxCred&amp;Subs'!$E$66:$E$99)*($F743='TaxCred&amp;Subs'!$C$66:$C$99),0)),0)),IF(AND($C743=1,VALUE(RIGHT($AD743,1))&gt;2),(O743-S743)*(IFERROR(INDEX('TaxCred&amp;Subs'!$J$66:$J$99,MATCH(1,($C743&amp;$D743='TaxCred&amp;Subs'!$D$66:$D$99)*($F743='TaxCred&amp;Subs'!$C$66:$C$99),0)),0)),IF($C743&gt;2,(O743-S743)*(IFERROR(INDEX('TaxCred&amp;Subs'!$J$66:$J$99,MATCH(1,($C743&amp;$D743='TaxCred&amp;Subs'!$D$66:$D$99)*($F743='TaxCred&amp;Subs'!$C$66:$C$99),0)),0)),0))),0)</f>
        <v>0</v>
      </c>
      <c r="R743" s="95">
        <f t="array" ref="R743">ROUND(IF(IFERROR(VALUE(RIGHT($AD743,1)),0)&gt;2,IF($C743=8,N743*IFERROR(INDEX('TaxCred&amp;Subs'!$K$139:$S$151,MATCH($C743&amp;$D743&amp;LEFT($AD743,7),'TaxCred&amp;Subs'!$E$139:$E$151,0),MATCH($H743,'TaxCred&amp;Subs'!$K$137:$S$137,0)),0),IF($C743=2,N743*IFERROR(INDEX('TaxCred&amp;Subs'!$K$139:$S$151,MATCH($C743&amp;$D743,'TaxCred&amp;Subs'!$D$139:$D$151,0),MATCH($H743,'TaxCred&amp;Subs'!$K$137:$S$137,0)),0),N743*IFERROR(INDEX('TaxCred&amp;Subs'!$K$139:$S$151,MATCH($C743&amp;$D743,'TaxCred&amp;Subs'!$C$139:$C$151,0),MATCH($H743,'TaxCred&amp;Subs'!$K$137:$S$137,0)),0))),0),0)</f>
        <v>247</v>
      </c>
      <c r="S743" s="95">
        <f t="array" ref="S743">ROUND(IF(IFERROR(VALUE(RIGHT($AD743,1)),0)&gt;2,IF($C743=8,O743*IFERROR(INDEX('TaxCred&amp;Subs'!$K$139:$S$151,MATCH($C743&amp;$D743&amp;LEFT($AD743,7),'TaxCred&amp;Subs'!$E$139:$E$151,0),MATCH($H743,'TaxCred&amp;Subs'!$K$137:$S$137,0)),0),IF($C743=2,O743*IFERROR(INDEX('TaxCred&amp;Subs'!$K$139:$S$151,MATCH($C743&amp;$D743,'TaxCred&amp;Subs'!$D$139:$D$151,0),MATCH($H743,'TaxCred&amp;Subs'!$K$137:$S$137,0)),0),O743*IFERROR(INDEX('TaxCred&amp;Subs'!$K$139:$S$151,MATCH($C743&amp;$D743,'TaxCred&amp;Subs'!$C$139:$C$151,0),MATCH($H743,'TaxCred&amp;Subs'!$K$137:$S$137,0)),0))),0),0)</f>
        <v>169</v>
      </c>
      <c r="T743" s="95">
        <f t="shared" si="49"/>
        <v>0</v>
      </c>
      <c r="U743" s="95">
        <f t="shared" si="50"/>
        <v>0</v>
      </c>
      <c r="V743" s="28" t="s">
        <v>222</v>
      </c>
      <c r="W743" s="31">
        <v>2020</v>
      </c>
      <c r="X743" s="28">
        <v>1</v>
      </c>
      <c r="Y743" s="28">
        <v>0</v>
      </c>
      <c r="Z743" s="196">
        <v>-1.755E-3</v>
      </c>
      <c r="AA743" s="196">
        <v>-2.7E-2</v>
      </c>
      <c r="AB743" s="28">
        <v>0</v>
      </c>
      <c r="AC743" s="28">
        <v>0</v>
      </c>
      <c r="AD743" s="31" t="s">
        <v>501</v>
      </c>
      <c r="AE743" t="s">
        <v>354</v>
      </c>
    </row>
    <row r="744" spans="2:31" ht="14.25" customHeight="1" x14ac:dyDescent="0.2">
      <c r="B744" s="7">
        <f t="shared" si="51"/>
        <v>720</v>
      </c>
      <c r="C744" s="28">
        <v>5</v>
      </c>
      <c r="D744" s="28">
        <v>2</v>
      </c>
      <c r="E744" s="31">
        <v>8</v>
      </c>
      <c r="F744" s="78">
        <v>2033</v>
      </c>
      <c r="G744" s="31">
        <v>2039</v>
      </c>
      <c r="H744" s="28">
        <v>4</v>
      </c>
      <c r="I744" s="28">
        <v>0</v>
      </c>
      <c r="J744" s="28">
        <v>0</v>
      </c>
      <c r="K744" s="28">
        <v>0</v>
      </c>
      <c r="L744" s="28">
        <v>0</v>
      </c>
      <c r="M744" s="156">
        <v>3.73</v>
      </c>
      <c r="N744" s="151">
        <v>1655</v>
      </c>
      <c r="O744" s="151">
        <v>1130</v>
      </c>
      <c r="P744" s="95">
        <f t="array" ref="P744">ROUND(IF($F744&lt;='TaxCred&amp;Subs'!$C$49,(IF($C744=2,IF($M744&gt;=IFERROR(INDEX('TaxCred&amp;Subs'!$L$12:$L$47,MATCH(1,($C744&amp;$D744='TaxCred&amp;Subs'!$E$12:$E$47)*($F744='TaxCred&amp;Subs'!$C$12:$C$47),0)
),9999),IFERROR(INDEX('TaxCred&amp;Subs'!$N$12:$N$47,MATCH(1,($C744&amp;$D744='TaxCred&amp;Subs'!$E$12:$E$47)*($F744='TaxCred&amp;Subs'!$C$12:$C$47),0)
),0),0),(IF($M744&gt;=IFERROR(INDEX('TaxCred&amp;Subs'!$H$12:$H$47,MATCH(1,($C744&amp;$D744='TaxCred&amp;Subs'!$D$12:$D$47)*($F744='TaxCred&amp;Subs'!$C$12:$C$47),0)
),9999),IFERROR(INDEX('TaxCred&amp;Subs'!$N$12:$N$47,MATCH(1,($C744&amp;$D744='TaxCred&amp;Subs'!$D$12:$D$47)*($F744='TaxCred&amp;Subs'!$C$12:$C$47),0)
),0),0)))),0)+IF(AND($C744=2,VALUE(RIGHT($AD744,1))&gt;2),(N744-R744)*(IFERROR(INDEX('TaxCred&amp;Subs'!$J$66:$J$99,MATCH(1,($C744&amp;$D744='TaxCred&amp;Subs'!$E$66:$E$99)*($F744='TaxCred&amp;Subs'!$C$66:$C$99),0)),0)),IF(AND($C744=1,VALUE(RIGHT($AD744,1))&gt;2),(N744-R744)*(IFERROR(INDEX('TaxCred&amp;Subs'!$J$66:$J$99,MATCH(1,($C744&amp;$D744='TaxCred&amp;Subs'!$D$66:$D$99)*($F744='TaxCred&amp;Subs'!$C$66:$C$99),0)),0)),IF($C744&gt;2,(N744-R744)*(IFERROR(INDEX('TaxCred&amp;Subs'!$J$66:$J$99,MATCH(1,($C744&amp;$D744='TaxCred&amp;Subs'!$D$66:$D$99)*($F744='TaxCred&amp;Subs'!$C$66:$C$99),0)),0)),0))),0)</f>
        <v>0</v>
      </c>
      <c r="Q744" s="95">
        <f t="array" ref="Q744">ROUND(IF(AND($C744=2,VALUE(RIGHT($AD744,1))&gt;2),(O744-S744)*(IFERROR(INDEX('TaxCred&amp;Subs'!$J$66:$J$99,MATCH(1,($C744&amp;$D744='TaxCred&amp;Subs'!$E$66:$E$99)*($F744='TaxCred&amp;Subs'!$C$66:$C$99),0)),0)),IF(AND($C744=1,VALUE(RIGHT($AD744,1))&gt;2),(O744-S744)*(IFERROR(INDEX('TaxCred&amp;Subs'!$J$66:$J$99,MATCH(1,($C744&amp;$D744='TaxCred&amp;Subs'!$D$66:$D$99)*($F744='TaxCred&amp;Subs'!$C$66:$C$99),0)),0)),IF($C744&gt;2,(O744-S744)*(IFERROR(INDEX('TaxCred&amp;Subs'!$J$66:$J$99,MATCH(1,($C744&amp;$D744='TaxCred&amp;Subs'!$D$66:$D$99)*($F744='TaxCred&amp;Subs'!$C$66:$C$99),0)),0)),0))),0)</f>
        <v>0</v>
      </c>
      <c r="R744" s="95">
        <f t="array" ref="R744">ROUND(IF(IFERROR(VALUE(RIGHT($AD744,1)),0)&gt;2,IF($C744=8,N744*IFERROR(INDEX('TaxCred&amp;Subs'!$K$139:$S$151,MATCH($C744&amp;$D744&amp;LEFT($AD744,7),'TaxCred&amp;Subs'!$E$139:$E$151,0),MATCH($H744,'TaxCred&amp;Subs'!$K$137:$S$137,0)),0),IF($C744=2,N744*IFERROR(INDEX('TaxCred&amp;Subs'!$K$139:$S$151,MATCH($C744&amp;$D744,'TaxCred&amp;Subs'!$D$139:$D$151,0),MATCH($H744,'TaxCred&amp;Subs'!$K$137:$S$137,0)),0),N744*IFERROR(INDEX('TaxCred&amp;Subs'!$K$139:$S$151,MATCH($C744&amp;$D744,'TaxCred&amp;Subs'!$C$139:$C$151,0),MATCH($H744,'TaxCred&amp;Subs'!$K$137:$S$137,0)),0))),0),0)</f>
        <v>194</v>
      </c>
      <c r="S744" s="95">
        <f t="array" ref="S744">ROUND(IF(IFERROR(VALUE(RIGHT($AD744,1)),0)&gt;2,IF($C744=8,O744*IFERROR(INDEX('TaxCred&amp;Subs'!$K$139:$S$151,MATCH($C744&amp;$D744&amp;LEFT($AD744,7),'TaxCred&amp;Subs'!$E$139:$E$151,0),MATCH($H744,'TaxCred&amp;Subs'!$K$137:$S$137,0)),0),IF($C744=2,O744*IFERROR(INDEX('TaxCred&amp;Subs'!$K$139:$S$151,MATCH($C744&amp;$D744,'TaxCred&amp;Subs'!$D$139:$D$151,0),MATCH($H744,'TaxCred&amp;Subs'!$K$137:$S$137,0)),0),O744*IFERROR(INDEX('TaxCred&amp;Subs'!$K$139:$S$151,MATCH($C744&amp;$D744,'TaxCred&amp;Subs'!$C$139:$C$151,0),MATCH($H744,'TaxCred&amp;Subs'!$K$137:$S$137,0)),0))),0),0)</f>
        <v>133</v>
      </c>
      <c r="T744" s="95">
        <f t="shared" si="49"/>
        <v>0</v>
      </c>
      <c r="U744" s="95">
        <f t="shared" si="50"/>
        <v>0</v>
      </c>
      <c r="V744" s="28" t="s">
        <v>222</v>
      </c>
      <c r="W744" s="31">
        <v>2020</v>
      </c>
      <c r="X744" s="28">
        <v>1</v>
      </c>
      <c r="Y744" s="28">
        <v>0</v>
      </c>
      <c r="Z744" s="196">
        <v>-1.755E-3</v>
      </c>
      <c r="AA744" s="196">
        <v>-2.7E-2</v>
      </c>
      <c r="AB744" s="28">
        <v>0</v>
      </c>
      <c r="AC744" s="28">
        <v>0</v>
      </c>
      <c r="AD744" s="31" t="s">
        <v>501</v>
      </c>
      <c r="AE744" t="s">
        <v>354</v>
      </c>
    </row>
    <row r="745" spans="2:31" ht="14.25" customHeight="1" x14ac:dyDescent="0.2">
      <c r="B745" s="7">
        <f t="shared" si="51"/>
        <v>721</v>
      </c>
      <c r="C745" s="28">
        <v>5</v>
      </c>
      <c r="D745" s="28">
        <v>2</v>
      </c>
      <c r="E745" s="31">
        <v>8</v>
      </c>
      <c r="F745" s="78">
        <v>2033</v>
      </c>
      <c r="G745" s="31">
        <v>2039</v>
      </c>
      <c r="H745" s="28">
        <v>5</v>
      </c>
      <c r="I745" s="28">
        <v>0</v>
      </c>
      <c r="J745" s="28">
        <v>0</v>
      </c>
      <c r="K745" s="28">
        <v>0</v>
      </c>
      <c r="L745" s="28">
        <v>0</v>
      </c>
      <c r="M745" s="156">
        <v>3.73</v>
      </c>
      <c r="N745" s="151">
        <v>1655</v>
      </c>
      <c r="O745" s="151">
        <v>1130</v>
      </c>
      <c r="P745" s="95">
        <f t="array" ref="P745">ROUND(IF($F745&lt;='TaxCred&amp;Subs'!$C$49,(IF($C745=2,IF($M745&gt;=IFERROR(INDEX('TaxCred&amp;Subs'!$L$12:$L$47,MATCH(1,($C745&amp;$D745='TaxCred&amp;Subs'!$E$12:$E$47)*($F745='TaxCred&amp;Subs'!$C$12:$C$47),0)
),9999),IFERROR(INDEX('TaxCred&amp;Subs'!$N$12:$N$47,MATCH(1,($C745&amp;$D745='TaxCred&amp;Subs'!$E$12:$E$47)*($F745='TaxCred&amp;Subs'!$C$12:$C$47),0)
),0),0),(IF($M745&gt;=IFERROR(INDEX('TaxCred&amp;Subs'!$H$12:$H$47,MATCH(1,($C745&amp;$D745='TaxCred&amp;Subs'!$D$12:$D$47)*($F745='TaxCred&amp;Subs'!$C$12:$C$47),0)
),9999),IFERROR(INDEX('TaxCred&amp;Subs'!$N$12:$N$47,MATCH(1,($C745&amp;$D745='TaxCred&amp;Subs'!$D$12:$D$47)*($F745='TaxCred&amp;Subs'!$C$12:$C$47),0)
),0),0)))),0)+IF(AND($C745=2,VALUE(RIGHT($AD745,1))&gt;2),(N745-R745)*(IFERROR(INDEX('TaxCred&amp;Subs'!$J$66:$J$99,MATCH(1,($C745&amp;$D745='TaxCred&amp;Subs'!$E$66:$E$99)*($F745='TaxCred&amp;Subs'!$C$66:$C$99),0)),0)),IF(AND($C745=1,VALUE(RIGHT($AD745,1))&gt;2),(N745-R745)*(IFERROR(INDEX('TaxCred&amp;Subs'!$J$66:$J$99,MATCH(1,($C745&amp;$D745='TaxCred&amp;Subs'!$D$66:$D$99)*($F745='TaxCred&amp;Subs'!$C$66:$C$99),0)),0)),IF($C745&gt;2,(N745-R745)*(IFERROR(INDEX('TaxCred&amp;Subs'!$J$66:$J$99,MATCH(1,($C745&amp;$D745='TaxCred&amp;Subs'!$D$66:$D$99)*($F745='TaxCred&amp;Subs'!$C$66:$C$99),0)),0)),0))),0)</f>
        <v>0</v>
      </c>
      <c r="Q745" s="95">
        <f t="array" ref="Q745">ROUND(IF(AND($C745=2,VALUE(RIGHT($AD745,1))&gt;2),(O745-S745)*(IFERROR(INDEX('TaxCred&amp;Subs'!$J$66:$J$99,MATCH(1,($C745&amp;$D745='TaxCred&amp;Subs'!$E$66:$E$99)*($F745='TaxCred&amp;Subs'!$C$66:$C$99),0)),0)),IF(AND($C745=1,VALUE(RIGHT($AD745,1))&gt;2),(O745-S745)*(IFERROR(INDEX('TaxCred&amp;Subs'!$J$66:$J$99,MATCH(1,($C745&amp;$D745='TaxCred&amp;Subs'!$D$66:$D$99)*($F745='TaxCred&amp;Subs'!$C$66:$C$99),0)),0)),IF($C745&gt;2,(O745-S745)*(IFERROR(INDEX('TaxCred&amp;Subs'!$J$66:$J$99,MATCH(1,($C745&amp;$D745='TaxCred&amp;Subs'!$D$66:$D$99)*($F745='TaxCred&amp;Subs'!$C$66:$C$99),0)),0)),0))),0)</f>
        <v>0</v>
      </c>
      <c r="R745" s="95">
        <f t="array" ref="R745">ROUND(IF(IFERROR(VALUE(RIGHT($AD745,1)),0)&gt;2,IF($C745=8,N745*IFERROR(INDEX('TaxCred&amp;Subs'!$K$139:$S$151,MATCH($C745&amp;$D745&amp;LEFT($AD745,7),'TaxCred&amp;Subs'!$E$139:$E$151,0),MATCH($H745,'TaxCred&amp;Subs'!$K$137:$S$137,0)),0),IF($C745=2,N745*IFERROR(INDEX('TaxCred&amp;Subs'!$K$139:$S$151,MATCH($C745&amp;$D745,'TaxCred&amp;Subs'!$D$139:$D$151,0),MATCH($H745,'TaxCred&amp;Subs'!$K$137:$S$137,0)),0),N745*IFERROR(INDEX('TaxCred&amp;Subs'!$K$139:$S$151,MATCH($C745&amp;$D745,'TaxCred&amp;Subs'!$C$139:$C$151,0),MATCH($H745,'TaxCred&amp;Subs'!$K$137:$S$137,0)),0))),0),0)</f>
        <v>219</v>
      </c>
      <c r="S745" s="95">
        <f t="array" ref="S745">ROUND(IF(IFERROR(VALUE(RIGHT($AD745,1)),0)&gt;2,IF($C745=8,O745*IFERROR(INDEX('TaxCred&amp;Subs'!$K$139:$S$151,MATCH($C745&amp;$D745&amp;LEFT($AD745,7),'TaxCred&amp;Subs'!$E$139:$E$151,0),MATCH($H745,'TaxCred&amp;Subs'!$K$137:$S$137,0)),0),IF($C745=2,O745*IFERROR(INDEX('TaxCred&amp;Subs'!$K$139:$S$151,MATCH($C745&amp;$D745,'TaxCred&amp;Subs'!$D$139:$D$151,0),MATCH($H745,'TaxCred&amp;Subs'!$K$137:$S$137,0)),0),O745*IFERROR(INDEX('TaxCred&amp;Subs'!$K$139:$S$151,MATCH($C745&amp;$D745,'TaxCred&amp;Subs'!$C$139:$C$151,0),MATCH($H745,'TaxCred&amp;Subs'!$K$137:$S$137,0)),0))),0),0)</f>
        <v>149</v>
      </c>
      <c r="T745" s="95">
        <f t="shared" si="49"/>
        <v>0</v>
      </c>
      <c r="U745" s="95">
        <f t="shared" si="50"/>
        <v>0</v>
      </c>
      <c r="V745" s="28" t="s">
        <v>222</v>
      </c>
      <c r="W745" s="31">
        <v>2020</v>
      </c>
      <c r="X745" s="28">
        <v>1</v>
      </c>
      <c r="Y745" s="28">
        <v>0</v>
      </c>
      <c r="Z745" s="196">
        <v>-1.755E-3</v>
      </c>
      <c r="AA745" s="196">
        <v>-2.7E-2</v>
      </c>
      <c r="AB745" s="28">
        <v>0</v>
      </c>
      <c r="AC745" s="28">
        <v>0</v>
      </c>
      <c r="AD745" s="31" t="s">
        <v>501</v>
      </c>
      <c r="AE745" t="s">
        <v>354</v>
      </c>
    </row>
    <row r="746" spans="2:31" ht="14.25" customHeight="1" x14ac:dyDescent="0.2">
      <c r="B746" s="7">
        <f t="shared" si="51"/>
        <v>722</v>
      </c>
      <c r="C746" s="28">
        <v>5</v>
      </c>
      <c r="D746" s="28">
        <v>2</v>
      </c>
      <c r="E746" s="31">
        <v>8</v>
      </c>
      <c r="F746" s="78">
        <v>2033</v>
      </c>
      <c r="G746" s="31">
        <v>2039</v>
      </c>
      <c r="H746" s="28">
        <v>6</v>
      </c>
      <c r="I746" s="28">
        <v>0</v>
      </c>
      <c r="J746" s="28">
        <v>0</v>
      </c>
      <c r="K746" s="28">
        <v>0</v>
      </c>
      <c r="L746" s="28">
        <v>0</v>
      </c>
      <c r="M746" s="156">
        <v>3.73</v>
      </c>
      <c r="N746" s="151">
        <v>1655</v>
      </c>
      <c r="O746" s="151">
        <v>1130</v>
      </c>
      <c r="P746" s="95">
        <f t="array" ref="P746">ROUND(IF($F746&lt;='TaxCred&amp;Subs'!$C$49,(IF($C746=2,IF($M746&gt;=IFERROR(INDEX('TaxCred&amp;Subs'!$L$12:$L$47,MATCH(1,($C746&amp;$D746='TaxCred&amp;Subs'!$E$12:$E$47)*($F746='TaxCred&amp;Subs'!$C$12:$C$47),0)
),9999),IFERROR(INDEX('TaxCred&amp;Subs'!$N$12:$N$47,MATCH(1,($C746&amp;$D746='TaxCred&amp;Subs'!$E$12:$E$47)*($F746='TaxCred&amp;Subs'!$C$12:$C$47),0)
),0),0),(IF($M746&gt;=IFERROR(INDEX('TaxCred&amp;Subs'!$H$12:$H$47,MATCH(1,($C746&amp;$D746='TaxCred&amp;Subs'!$D$12:$D$47)*($F746='TaxCred&amp;Subs'!$C$12:$C$47),0)
),9999),IFERROR(INDEX('TaxCred&amp;Subs'!$N$12:$N$47,MATCH(1,($C746&amp;$D746='TaxCred&amp;Subs'!$D$12:$D$47)*($F746='TaxCred&amp;Subs'!$C$12:$C$47),0)
),0),0)))),0)+IF(AND($C746=2,VALUE(RIGHT($AD746,1))&gt;2),(N746-R746)*(IFERROR(INDEX('TaxCred&amp;Subs'!$J$66:$J$99,MATCH(1,($C746&amp;$D746='TaxCred&amp;Subs'!$E$66:$E$99)*($F746='TaxCred&amp;Subs'!$C$66:$C$99),0)),0)),IF(AND($C746=1,VALUE(RIGHT($AD746,1))&gt;2),(N746-R746)*(IFERROR(INDEX('TaxCred&amp;Subs'!$J$66:$J$99,MATCH(1,($C746&amp;$D746='TaxCred&amp;Subs'!$D$66:$D$99)*($F746='TaxCred&amp;Subs'!$C$66:$C$99),0)),0)),IF($C746&gt;2,(N746-R746)*(IFERROR(INDEX('TaxCred&amp;Subs'!$J$66:$J$99,MATCH(1,($C746&amp;$D746='TaxCred&amp;Subs'!$D$66:$D$99)*($F746='TaxCred&amp;Subs'!$C$66:$C$99),0)),0)),0))),0)</f>
        <v>0</v>
      </c>
      <c r="Q746" s="95">
        <f t="array" ref="Q746">ROUND(IF(AND($C746=2,VALUE(RIGHT($AD746,1))&gt;2),(O746-S746)*(IFERROR(INDEX('TaxCred&amp;Subs'!$J$66:$J$99,MATCH(1,($C746&amp;$D746='TaxCred&amp;Subs'!$E$66:$E$99)*($F746='TaxCred&amp;Subs'!$C$66:$C$99),0)),0)),IF(AND($C746=1,VALUE(RIGHT($AD746,1))&gt;2),(O746-S746)*(IFERROR(INDEX('TaxCred&amp;Subs'!$J$66:$J$99,MATCH(1,($C746&amp;$D746='TaxCred&amp;Subs'!$D$66:$D$99)*($F746='TaxCred&amp;Subs'!$C$66:$C$99),0)),0)),IF($C746&gt;2,(O746-S746)*(IFERROR(INDEX('TaxCred&amp;Subs'!$J$66:$J$99,MATCH(1,($C746&amp;$D746='TaxCred&amp;Subs'!$D$66:$D$99)*($F746='TaxCred&amp;Subs'!$C$66:$C$99),0)),0)),0))),0)</f>
        <v>0</v>
      </c>
      <c r="R746" s="95">
        <f t="array" ref="R746">ROUND(IF(IFERROR(VALUE(RIGHT($AD746,1)),0)&gt;2,IF($C746=8,N746*IFERROR(INDEX('TaxCred&amp;Subs'!$K$139:$S$151,MATCH($C746&amp;$D746&amp;LEFT($AD746,7),'TaxCred&amp;Subs'!$E$139:$E$151,0),MATCH($H746,'TaxCred&amp;Subs'!$K$137:$S$137,0)),0),IF($C746=2,N746*IFERROR(INDEX('TaxCred&amp;Subs'!$K$139:$S$151,MATCH($C746&amp;$D746,'TaxCred&amp;Subs'!$D$139:$D$151,0),MATCH($H746,'TaxCred&amp;Subs'!$K$137:$S$137,0)),0),N746*IFERROR(INDEX('TaxCred&amp;Subs'!$K$139:$S$151,MATCH($C746&amp;$D746,'TaxCred&amp;Subs'!$C$139:$C$151,0),MATCH($H746,'TaxCred&amp;Subs'!$K$137:$S$137,0)),0))),0),0)</f>
        <v>111</v>
      </c>
      <c r="S746" s="95">
        <f t="array" ref="S746">ROUND(IF(IFERROR(VALUE(RIGHT($AD746,1)),0)&gt;2,IF($C746=8,O746*IFERROR(INDEX('TaxCred&amp;Subs'!$K$139:$S$151,MATCH($C746&amp;$D746&amp;LEFT($AD746,7),'TaxCred&amp;Subs'!$E$139:$E$151,0),MATCH($H746,'TaxCred&amp;Subs'!$K$137:$S$137,0)),0),IF($C746=2,O746*IFERROR(INDEX('TaxCred&amp;Subs'!$K$139:$S$151,MATCH($C746&amp;$D746,'TaxCred&amp;Subs'!$D$139:$D$151,0),MATCH($H746,'TaxCred&amp;Subs'!$K$137:$S$137,0)),0),O746*IFERROR(INDEX('TaxCred&amp;Subs'!$K$139:$S$151,MATCH($C746&amp;$D746,'TaxCred&amp;Subs'!$C$139:$C$151,0),MATCH($H746,'TaxCred&amp;Subs'!$K$137:$S$137,0)),0))),0),0)</f>
        <v>76</v>
      </c>
      <c r="T746" s="95">
        <f t="shared" si="49"/>
        <v>0</v>
      </c>
      <c r="U746" s="95">
        <f t="shared" si="50"/>
        <v>0</v>
      </c>
      <c r="V746" s="28" t="s">
        <v>222</v>
      </c>
      <c r="W746" s="31">
        <v>2020</v>
      </c>
      <c r="X746" s="28">
        <v>1</v>
      </c>
      <c r="Y746" s="28">
        <v>0</v>
      </c>
      <c r="Z746" s="196">
        <v>-1.755E-3</v>
      </c>
      <c r="AA746" s="196">
        <v>-2.7E-2</v>
      </c>
      <c r="AB746" s="28">
        <v>0</v>
      </c>
      <c r="AC746" s="28">
        <v>0</v>
      </c>
      <c r="AD746" s="31" t="s">
        <v>501</v>
      </c>
      <c r="AE746" t="s">
        <v>354</v>
      </c>
    </row>
    <row r="747" spans="2:31" ht="14.25" customHeight="1" x14ac:dyDescent="0.2">
      <c r="B747" s="7">
        <f t="shared" si="51"/>
        <v>723</v>
      </c>
      <c r="C747" s="28">
        <v>5</v>
      </c>
      <c r="D747" s="28">
        <v>2</v>
      </c>
      <c r="E747" s="31">
        <v>8</v>
      </c>
      <c r="F747" s="78">
        <v>2033</v>
      </c>
      <c r="G747" s="31">
        <v>2039</v>
      </c>
      <c r="H747" s="28">
        <v>7</v>
      </c>
      <c r="I747" s="28">
        <v>0</v>
      </c>
      <c r="J747" s="28">
        <v>0</v>
      </c>
      <c r="K747" s="28">
        <v>0</v>
      </c>
      <c r="L747" s="28">
        <v>0</v>
      </c>
      <c r="M747" s="156">
        <v>3.73</v>
      </c>
      <c r="N747" s="151">
        <v>1655</v>
      </c>
      <c r="O747" s="151">
        <v>1130</v>
      </c>
      <c r="P747" s="95">
        <f t="array" ref="P747">ROUND(IF($F747&lt;='TaxCred&amp;Subs'!$C$49,(IF($C747=2,IF($M747&gt;=IFERROR(INDEX('TaxCred&amp;Subs'!$L$12:$L$47,MATCH(1,($C747&amp;$D747='TaxCred&amp;Subs'!$E$12:$E$47)*($F747='TaxCred&amp;Subs'!$C$12:$C$47),0)
),9999),IFERROR(INDEX('TaxCred&amp;Subs'!$N$12:$N$47,MATCH(1,($C747&amp;$D747='TaxCred&amp;Subs'!$E$12:$E$47)*($F747='TaxCred&amp;Subs'!$C$12:$C$47),0)
),0),0),(IF($M747&gt;=IFERROR(INDEX('TaxCred&amp;Subs'!$H$12:$H$47,MATCH(1,($C747&amp;$D747='TaxCred&amp;Subs'!$D$12:$D$47)*($F747='TaxCred&amp;Subs'!$C$12:$C$47),0)
),9999),IFERROR(INDEX('TaxCred&amp;Subs'!$N$12:$N$47,MATCH(1,($C747&amp;$D747='TaxCred&amp;Subs'!$D$12:$D$47)*($F747='TaxCred&amp;Subs'!$C$12:$C$47),0)
),0),0)))),0)+IF(AND($C747=2,VALUE(RIGHT($AD747,1))&gt;2),(N747-R747)*(IFERROR(INDEX('TaxCred&amp;Subs'!$J$66:$J$99,MATCH(1,($C747&amp;$D747='TaxCred&amp;Subs'!$E$66:$E$99)*($F747='TaxCred&amp;Subs'!$C$66:$C$99),0)),0)),IF(AND($C747=1,VALUE(RIGHT($AD747,1))&gt;2),(N747-R747)*(IFERROR(INDEX('TaxCred&amp;Subs'!$J$66:$J$99,MATCH(1,($C747&amp;$D747='TaxCred&amp;Subs'!$D$66:$D$99)*($F747='TaxCred&amp;Subs'!$C$66:$C$99),0)),0)),IF($C747&gt;2,(N747-R747)*(IFERROR(INDEX('TaxCred&amp;Subs'!$J$66:$J$99,MATCH(1,($C747&amp;$D747='TaxCred&amp;Subs'!$D$66:$D$99)*($F747='TaxCred&amp;Subs'!$C$66:$C$99),0)),0)),0))),0)</f>
        <v>0</v>
      </c>
      <c r="Q747" s="95">
        <f t="array" ref="Q747">ROUND(IF(AND($C747=2,VALUE(RIGHT($AD747,1))&gt;2),(O747-S747)*(IFERROR(INDEX('TaxCred&amp;Subs'!$J$66:$J$99,MATCH(1,($C747&amp;$D747='TaxCred&amp;Subs'!$E$66:$E$99)*($F747='TaxCred&amp;Subs'!$C$66:$C$99),0)),0)),IF(AND($C747=1,VALUE(RIGHT($AD747,1))&gt;2),(O747-S747)*(IFERROR(INDEX('TaxCred&amp;Subs'!$J$66:$J$99,MATCH(1,($C747&amp;$D747='TaxCred&amp;Subs'!$D$66:$D$99)*($F747='TaxCred&amp;Subs'!$C$66:$C$99),0)),0)),IF($C747&gt;2,(O747-S747)*(IFERROR(INDEX('TaxCred&amp;Subs'!$J$66:$J$99,MATCH(1,($C747&amp;$D747='TaxCred&amp;Subs'!$D$66:$D$99)*($F747='TaxCred&amp;Subs'!$C$66:$C$99),0)),0)),0))),0)</f>
        <v>0</v>
      </c>
      <c r="R747" s="95">
        <f t="array" ref="R747">ROUND(IF(IFERROR(VALUE(RIGHT($AD747,1)),0)&gt;2,IF($C747=8,N747*IFERROR(INDEX('TaxCred&amp;Subs'!$K$139:$S$151,MATCH($C747&amp;$D747&amp;LEFT($AD747,7),'TaxCred&amp;Subs'!$E$139:$E$151,0),MATCH($H747,'TaxCred&amp;Subs'!$K$137:$S$137,0)),0),IF($C747=2,N747*IFERROR(INDEX('TaxCred&amp;Subs'!$K$139:$S$151,MATCH($C747&amp;$D747,'TaxCred&amp;Subs'!$D$139:$D$151,0),MATCH($H747,'TaxCred&amp;Subs'!$K$137:$S$137,0)),0),N747*IFERROR(INDEX('TaxCred&amp;Subs'!$K$139:$S$151,MATCH($C747&amp;$D747,'TaxCred&amp;Subs'!$C$139:$C$151,0),MATCH($H747,'TaxCred&amp;Subs'!$K$137:$S$137,0)),0))),0),0)</f>
        <v>340</v>
      </c>
      <c r="S747" s="95">
        <f t="array" ref="S747">ROUND(IF(IFERROR(VALUE(RIGHT($AD747,1)),0)&gt;2,IF($C747=8,O747*IFERROR(INDEX('TaxCred&amp;Subs'!$K$139:$S$151,MATCH($C747&amp;$D747&amp;LEFT($AD747,7),'TaxCred&amp;Subs'!$E$139:$E$151,0),MATCH($H747,'TaxCred&amp;Subs'!$K$137:$S$137,0)),0),IF($C747=2,O747*IFERROR(INDEX('TaxCred&amp;Subs'!$K$139:$S$151,MATCH($C747&amp;$D747,'TaxCred&amp;Subs'!$D$139:$D$151,0),MATCH($H747,'TaxCred&amp;Subs'!$K$137:$S$137,0)),0),O747*IFERROR(INDEX('TaxCred&amp;Subs'!$K$139:$S$151,MATCH($C747&amp;$D747,'TaxCred&amp;Subs'!$C$139:$C$151,0),MATCH($H747,'TaxCred&amp;Subs'!$K$137:$S$137,0)),0))),0),0)</f>
        <v>232</v>
      </c>
      <c r="T747" s="95">
        <f t="shared" si="49"/>
        <v>0</v>
      </c>
      <c r="U747" s="95">
        <f t="shared" si="50"/>
        <v>0</v>
      </c>
      <c r="V747" s="28" t="s">
        <v>222</v>
      </c>
      <c r="W747" s="31">
        <v>2020</v>
      </c>
      <c r="X747" s="28">
        <v>1</v>
      </c>
      <c r="Y747" s="28">
        <v>0</v>
      </c>
      <c r="Z747" s="196">
        <v>-1.755E-3</v>
      </c>
      <c r="AA747" s="196">
        <v>-2.7E-2</v>
      </c>
      <c r="AB747" s="28">
        <v>0</v>
      </c>
      <c r="AC747" s="28">
        <v>0</v>
      </c>
      <c r="AD747" s="31" t="s">
        <v>501</v>
      </c>
      <c r="AE747" t="s">
        <v>354</v>
      </c>
    </row>
    <row r="748" spans="2:31" ht="14.25" customHeight="1" x14ac:dyDescent="0.2">
      <c r="B748" s="7">
        <f t="shared" si="51"/>
        <v>724</v>
      </c>
      <c r="C748" s="28">
        <v>5</v>
      </c>
      <c r="D748" s="28">
        <v>2</v>
      </c>
      <c r="E748" s="31">
        <v>8</v>
      </c>
      <c r="F748" s="78">
        <v>2033</v>
      </c>
      <c r="G748" s="31">
        <v>2039</v>
      </c>
      <c r="H748" s="28">
        <v>8</v>
      </c>
      <c r="I748" s="28">
        <v>0</v>
      </c>
      <c r="J748" s="28">
        <v>0</v>
      </c>
      <c r="K748" s="28">
        <v>0</v>
      </c>
      <c r="L748" s="28">
        <v>0</v>
      </c>
      <c r="M748" s="156">
        <v>3.73</v>
      </c>
      <c r="N748" s="151">
        <v>1655</v>
      </c>
      <c r="O748" s="151">
        <v>1130</v>
      </c>
      <c r="P748" s="95">
        <f t="array" ref="P748">ROUND(IF($F748&lt;='TaxCred&amp;Subs'!$C$49,(IF($C748=2,IF($M748&gt;=IFERROR(INDEX('TaxCred&amp;Subs'!$L$12:$L$47,MATCH(1,($C748&amp;$D748='TaxCred&amp;Subs'!$E$12:$E$47)*($F748='TaxCred&amp;Subs'!$C$12:$C$47),0)
),9999),IFERROR(INDEX('TaxCred&amp;Subs'!$N$12:$N$47,MATCH(1,($C748&amp;$D748='TaxCred&amp;Subs'!$E$12:$E$47)*($F748='TaxCred&amp;Subs'!$C$12:$C$47),0)
),0),0),(IF($M748&gt;=IFERROR(INDEX('TaxCred&amp;Subs'!$H$12:$H$47,MATCH(1,($C748&amp;$D748='TaxCred&amp;Subs'!$D$12:$D$47)*($F748='TaxCred&amp;Subs'!$C$12:$C$47),0)
),9999),IFERROR(INDEX('TaxCred&amp;Subs'!$N$12:$N$47,MATCH(1,($C748&amp;$D748='TaxCred&amp;Subs'!$D$12:$D$47)*($F748='TaxCred&amp;Subs'!$C$12:$C$47),0)
),0),0)))),0)+IF(AND($C748=2,VALUE(RIGHT($AD748,1))&gt;2),(N748-R748)*(IFERROR(INDEX('TaxCred&amp;Subs'!$J$66:$J$99,MATCH(1,($C748&amp;$D748='TaxCred&amp;Subs'!$E$66:$E$99)*($F748='TaxCred&amp;Subs'!$C$66:$C$99),0)),0)),IF(AND($C748=1,VALUE(RIGHT($AD748,1))&gt;2),(N748-R748)*(IFERROR(INDEX('TaxCred&amp;Subs'!$J$66:$J$99,MATCH(1,($C748&amp;$D748='TaxCred&amp;Subs'!$D$66:$D$99)*($F748='TaxCred&amp;Subs'!$C$66:$C$99),0)),0)),IF($C748&gt;2,(N748-R748)*(IFERROR(INDEX('TaxCred&amp;Subs'!$J$66:$J$99,MATCH(1,($C748&amp;$D748='TaxCred&amp;Subs'!$D$66:$D$99)*($F748='TaxCred&amp;Subs'!$C$66:$C$99),0)),0)),0))),0)</f>
        <v>0</v>
      </c>
      <c r="Q748" s="95">
        <f t="array" ref="Q748">ROUND(IF(AND($C748=2,VALUE(RIGHT($AD748,1))&gt;2),(O748-S748)*(IFERROR(INDEX('TaxCred&amp;Subs'!$J$66:$J$99,MATCH(1,($C748&amp;$D748='TaxCred&amp;Subs'!$E$66:$E$99)*($F748='TaxCred&amp;Subs'!$C$66:$C$99),0)),0)),IF(AND($C748=1,VALUE(RIGHT($AD748,1))&gt;2),(O748-S748)*(IFERROR(INDEX('TaxCred&amp;Subs'!$J$66:$J$99,MATCH(1,($C748&amp;$D748='TaxCred&amp;Subs'!$D$66:$D$99)*($F748='TaxCred&amp;Subs'!$C$66:$C$99),0)),0)),IF($C748&gt;2,(O748-S748)*(IFERROR(INDEX('TaxCred&amp;Subs'!$J$66:$J$99,MATCH(1,($C748&amp;$D748='TaxCred&amp;Subs'!$D$66:$D$99)*($F748='TaxCred&amp;Subs'!$C$66:$C$99),0)),0)),0))),0)</f>
        <v>0</v>
      </c>
      <c r="R748" s="95">
        <f t="array" ref="R748">ROUND(IF(IFERROR(VALUE(RIGHT($AD748,1)),0)&gt;2,IF($C748=8,N748*IFERROR(INDEX('TaxCred&amp;Subs'!$K$139:$S$151,MATCH($C748&amp;$D748&amp;LEFT($AD748,7),'TaxCred&amp;Subs'!$E$139:$E$151,0),MATCH($H748,'TaxCred&amp;Subs'!$K$137:$S$137,0)),0),IF($C748=2,N748*IFERROR(INDEX('TaxCred&amp;Subs'!$K$139:$S$151,MATCH($C748&amp;$D748,'TaxCred&amp;Subs'!$D$139:$D$151,0),MATCH($H748,'TaxCred&amp;Subs'!$K$137:$S$137,0)),0),N748*IFERROR(INDEX('TaxCred&amp;Subs'!$K$139:$S$151,MATCH($C748&amp;$D748,'TaxCred&amp;Subs'!$C$139:$C$151,0),MATCH($H748,'TaxCred&amp;Subs'!$K$137:$S$137,0)),0))),0),0)</f>
        <v>143</v>
      </c>
      <c r="S748" s="95">
        <f t="array" ref="S748">ROUND(IF(IFERROR(VALUE(RIGHT($AD748,1)),0)&gt;2,IF($C748=8,O748*IFERROR(INDEX('TaxCred&amp;Subs'!$K$139:$S$151,MATCH($C748&amp;$D748&amp;LEFT($AD748,7),'TaxCred&amp;Subs'!$E$139:$E$151,0),MATCH($H748,'TaxCred&amp;Subs'!$K$137:$S$137,0)),0),IF($C748=2,O748*IFERROR(INDEX('TaxCred&amp;Subs'!$K$139:$S$151,MATCH($C748&amp;$D748,'TaxCred&amp;Subs'!$D$139:$D$151,0),MATCH($H748,'TaxCred&amp;Subs'!$K$137:$S$137,0)),0),O748*IFERROR(INDEX('TaxCred&amp;Subs'!$K$139:$S$151,MATCH($C748&amp;$D748,'TaxCred&amp;Subs'!$C$139:$C$151,0),MATCH($H748,'TaxCred&amp;Subs'!$K$137:$S$137,0)),0))),0),0)</f>
        <v>98</v>
      </c>
      <c r="T748" s="95">
        <f t="shared" si="49"/>
        <v>0</v>
      </c>
      <c r="U748" s="95">
        <f t="shared" si="50"/>
        <v>0</v>
      </c>
      <c r="V748" s="28" t="s">
        <v>222</v>
      </c>
      <c r="W748" s="31">
        <v>2020</v>
      </c>
      <c r="X748" s="28">
        <v>1</v>
      </c>
      <c r="Y748" s="28">
        <v>0</v>
      </c>
      <c r="Z748" s="196">
        <v>-1.755E-3</v>
      </c>
      <c r="AA748" s="196">
        <v>-2.7E-2</v>
      </c>
      <c r="AB748" s="28">
        <v>0</v>
      </c>
      <c r="AC748" s="28">
        <v>0</v>
      </c>
      <c r="AD748" s="31" t="s">
        <v>501</v>
      </c>
      <c r="AE748" t="s">
        <v>354</v>
      </c>
    </row>
    <row r="749" spans="2:31" ht="14.25" customHeight="1" x14ac:dyDescent="0.2">
      <c r="B749" s="7">
        <f t="shared" si="51"/>
        <v>725</v>
      </c>
      <c r="C749" s="28">
        <v>5</v>
      </c>
      <c r="D749" s="28">
        <v>2</v>
      </c>
      <c r="E749" s="31">
        <v>8</v>
      </c>
      <c r="F749" s="78">
        <v>2033</v>
      </c>
      <c r="G749" s="31">
        <v>2039</v>
      </c>
      <c r="H749" s="28">
        <v>9</v>
      </c>
      <c r="I749" s="28">
        <v>0</v>
      </c>
      <c r="J749" s="28">
        <v>0</v>
      </c>
      <c r="K749" s="28">
        <v>0</v>
      </c>
      <c r="L749" s="28">
        <v>0</v>
      </c>
      <c r="M749" s="156">
        <v>3.73</v>
      </c>
      <c r="N749" s="151">
        <v>1655</v>
      </c>
      <c r="O749" s="151">
        <v>1130</v>
      </c>
      <c r="P749" s="95">
        <f t="array" ref="P749">ROUND(IF($F749&lt;='TaxCred&amp;Subs'!$C$49,(IF($C749=2,IF($M749&gt;=IFERROR(INDEX('TaxCred&amp;Subs'!$L$12:$L$47,MATCH(1,($C749&amp;$D749='TaxCred&amp;Subs'!$E$12:$E$47)*($F749='TaxCred&amp;Subs'!$C$12:$C$47),0)
),9999),IFERROR(INDEX('TaxCred&amp;Subs'!$N$12:$N$47,MATCH(1,($C749&amp;$D749='TaxCred&amp;Subs'!$E$12:$E$47)*($F749='TaxCred&amp;Subs'!$C$12:$C$47),0)
),0),0),(IF($M749&gt;=IFERROR(INDEX('TaxCred&amp;Subs'!$H$12:$H$47,MATCH(1,($C749&amp;$D749='TaxCred&amp;Subs'!$D$12:$D$47)*($F749='TaxCred&amp;Subs'!$C$12:$C$47),0)
),9999),IFERROR(INDEX('TaxCred&amp;Subs'!$N$12:$N$47,MATCH(1,($C749&amp;$D749='TaxCred&amp;Subs'!$D$12:$D$47)*($F749='TaxCred&amp;Subs'!$C$12:$C$47),0)
),0),0)))),0)+IF(AND($C749=2,VALUE(RIGHT($AD749,1))&gt;2),(N749-R749)*(IFERROR(INDEX('TaxCred&amp;Subs'!$J$66:$J$99,MATCH(1,($C749&amp;$D749='TaxCred&amp;Subs'!$E$66:$E$99)*($F749='TaxCred&amp;Subs'!$C$66:$C$99),0)),0)),IF(AND($C749=1,VALUE(RIGHT($AD749,1))&gt;2),(N749-R749)*(IFERROR(INDEX('TaxCred&amp;Subs'!$J$66:$J$99,MATCH(1,($C749&amp;$D749='TaxCred&amp;Subs'!$D$66:$D$99)*($F749='TaxCred&amp;Subs'!$C$66:$C$99),0)),0)),IF($C749&gt;2,(N749-R749)*(IFERROR(INDEX('TaxCred&amp;Subs'!$J$66:$J$99,MATCH(1,($C749&amp;$D749='TaxCred&amp;Subs'!$D$66:$D$99)*($F749='TaxCred&amp;Subs'!$C$66:$C$99),0)),0)),0))),0)</f>
        <v>0</v>
      </c>
      <c r="Q749" s="95">
        <f t="array" ref="Q749">ROUND(IF(AND($C749=2,VALUE(RIGHT($AD749,1))&gt;2),(O749-S749)*(IFERROR(INDEX('TaxCred&amp;Subs'!$J$66:$J$99,MATCH(1,($C749&amp;$D749='TaxCred&amp;Subs'!$E$66:$E$99)*($F749='TaxCred&amp;Subs'!$C$66:$C$99),0)),0)),IF(AND($C749=1,VALUE(RIGHT($AD749,1))&gt;2),(O749-S749)*(IFERROR(INDEX('TaxCred&amp;Subs'!$J$66:$J$99,MATCH(1,($C749&amp;$D749='TaxCred&amp;Subs'!$D$66:$D$99)*($F749='TaxCred&amp;Subs'!$C$66:$C$99),0)),0)),IF($C749&gt;2,(O749-S749)*(IFERROR(INDEX('TaxCred&amp;Subs'!$J$66:$J$99,MATCH(1,($C749&amp;$D749='TaxCred&amp;Subs'!$D$66:$D$99)*($F749='TaxCred&amp;Subs'!$C$66:$C$99),0)),0)),0))),0)</f>
        <v>0</v>
      </c>
      <c r="R749" s="95">
        <f t="array" ref="R749">ROUND(IF(IFERROR(VALUE(RIGHT($AD749,1)),0)&gt;2,IF($C749=8,N749*IFERROR(INDEX('TaxCred&amp;Subs'!$K$139:$S$151,MATCH($C749&amp;$D749&amp;LEFT($AD749,7),'TaxCred&amp;Subs'!$E$139:$E$151,0),MATCH($H749,'TaxCred&amp;Subs'!$K$137:$S$137,0)),0),IF($C749=2,N749*IFERROR(INDEX('TaxCred&amp;Subs'!$K$139:$S$151,MATCH($C749&amp;$D749,'TaxCred&amp;Subs'!$D$139:$D$151,0),MATCH($H749,'TaxCred&amp;Subs'!$K$137:$S$137,0)),0),N749*IFERROR(INDEX('TaxCred&amp;Subs'!$K$139:$S$151,MATCH($C749&amp;$D749,'TaxCred&amp;Subs'!$C$139:$C$151,0),MATCH($H749,'TaxCred&amp;Subs'!$K$137:$S$137,0)),0))),0),0)</f>
        <v>373</v>
      </c>
      <c r="S749" s="95">
        <f t="array" ref="S749">ROUND(IF(IFERROR(VALUE(RIGHT($AD749,1)),0)&gt;2,IF($C749=8,O749*IFERROR(INDEX('TaxCred&amp;Subs'!$K$139:$S$151,MATCH($C749&amp;$D749&amp;LEFT($AD749,7),'TaxCred&amp;Subs'!$E$139:$E$151,0),MATCH($H749,'TaxCred&amp;Subs'!$K$137:$S$137,0)),0),IF($C749=2,O749*IFERROR(INDEX('TaxCred&amp;Subs'!$K$139:$S$151,MATCH($C749&amp;$D749,'TaxCred&amp;Subs'!$D$139:$D$151,0),MATCH($H749,'TaxCred&amp;Subs'!$K$137:$S$137,0)),0),O749*IFERROR(INDEX('TaxCred&amp;Subs'!$K$139:$S$151,MATCH($C749&amp;$D749,'TaxCred&amp;Subs'!$C$139:$C$151,0),MATCH($H749,'TaxCred&amp;Subs'!$K$137:$S$137,0)),0))),0),0)</f>
        <v>255</v>
      </c>
      <c r="T749" s="172">
        <f t="shared" si="49"/>
        <v>248.25</v>
      </c>
      <c r="U749" s="172">
        <f t="shared" si="50"/>
        <v>169.5</v>
      </c>
      <c r="V749" s="28" t="s">
        <v>222</v>
      </c>
      <c r="W749" s="31">
        <v>2020</v>
      </c>
      <c r="X749" s="28">
        <v>1</v>
      </c>
      <c r="Y749" s="28">
        <v>0</v>
      </c>
      <c r="Z749" s="196">
        <v>-1.755E-3</v>
      </c>
      <c r="AA749" s="196">
        <v>-2.7E-2</v>
      </c>
      <c r="AB749" s="28">
        <v>0</v>
      </c>
      <c r="AC749" s="28">
        <v>0</v>
      </c>
      <c r="AD749" s="31" t="s">
        <v>501</v>
      </c>
      <c r="AE749" t="s">
        <v>354</v>
      </c>
    </row>
    <row r="750" spans="2:31" ht="14.25" customHeight="1" x14ac:dyDescent="0.2">
      <c r="B750" s="7">
        <f t="shared" si="51"/>
        <v>726</v>
      </c>
      <c r="C750" s="152">
        <v>5</v>
      </c>
      <c r="D750" s="152">
        <v>2</v>
      </c>
      <c r="E750" s="152">
        <v>8</v>
      </c>
      <c r="F750" s="153">
        <v>2040</v>
      </c>
      <c r="G750" s="152">
        <v>2050</v>
      </c>
      <c r="H750" s="152">
        <v>1</v>
      </c>
      <c r="I750" s="152">
        <v>0</v>
      </c>
      <c r="J750" s="152">
        <v>0</v>
      </c>
      <c r="K750" s="152">
        <v>0</v>
      </c>
      <c r="L750" s="152">
        <v>0</v>
      </c>
      <c r="M750" s="154">
        <v>3.73</v>
      </c>
      <c r="N750" s="155">
        <v>1595</v>
      </c>
      <c r="O750" s="155">
        <v>1090</v>
      </c>
      <c r="P750" s="41">
        <f t="array" ref="P750">ROUND(IF($F750&lt;='TaxCred&amp;Subs'!$C$49,(IF($C750=2,IF($M750&gt;=IFERROR(INDEX('TaxCred&amp;Subs'!$L$12:$L$47,MATCH(1,($C750&amp;$D750='TaxCred&amp;Subs'!$E$12:$E$47)*($F750='TaxCred&amp;Subs'!$C$12:$C$47),0)
),9999),IFERROR(INDEX('TaxCred&amp;Subs'!$N$12:$N$47,MATCH(1,($C750&amp;$D750='TaxCred&amp;Subs'!$E$12:$E$47)*($F750='TaxCred&amp;Subs'!$C$12:$C$47),0)
),0),0),(IF($M750&gt;=IFERROR(INDEX('TaxCred&amp;Subs'!$H$12:$H$47,MATCH(1,($C750&amp;$D750='TaxCred&amp;Subs'!$D$12:$D$47)*($F750='TaxCred&amp;Subs'!$C$12:$C$47),0)
),9999),IFERROR(INDEX('TaxCred&amp;Subs'!$N$12:$N$47,MATCH(1,($C750&amp;$D750='TaxCred&amp;Subs'!$D$12:$D$47)*($F750='TaxCred&amp;Subs'!$C$12:$C$47),0)
),0),0)))),0)+IF(AND($C750=2,VALUE(RIGHT($AD750,1))&gt;2),(N750-R750)*(IFERROR(INDEX('TaxCred&amp;Subs'!$J$66:$J$99,MATCH(1,($C750&amp;$D750='TaxCred&amp;Subs'!$E$66:$E$99)*($F750='TaxCred&amp;Subs'!$C$66:$C$99),0)),0)),IF(AND($C750=1,VALUE(RIGHT($AD750,1))&gt;2),(N750-R750)*(IFERROR(INDEX('TaxCred&amp;Subs'!$J$66:$J$99,MATCH(1,($C750&amp;$D750='TaxCred&amp;Subs'!$D$66:$D$99)*($F750='TaxCred&amp;Subs'!$C$66:$C$99),0)),0)),IF($C750&gt;2,(N750-R750)*(IFERROR(INDEX('TaxCred&amp;Subs'!$J$66:$J$99,MATCH(1,($C750&amp;$D750='TaxCred&amp;Subs'!$D$66:$D$99)*($F750='TaxCred&amp;Subs'!$C$66:$C$99),0)),0)),0))),0)</f>
        <v>0</v>
      </c>
      <c r="Q750" s="41">
        <f t="array" ref="Q750">ROUND(IF(AND($C750=2,VALUE(RIGHT($AD750,1))&gt;2),(O750-S750)*(IFERROR(INDEX('TaxCred&amp;Subs'!$J$66:$J$99,MATCH(1,($C750&amp;$D750='TaxCred&amp;Subs'!$E$66:$E$99)*($F750='TaxCred&amp;Subs'!$C$66:$C$99),0)),0)),IF(AND($C750=1,VALUE(RIGHT($AD750,1))&gt;2),(O750-S750)*(IFERROR(INDEX('TaxCred&amp;Subs'!$J$66:$J$99,MATCH(1,($C750&amp;$D750='TaxCred&amp;Subs'!$D$66:$D$99)*($F750='TaxCred&amp;Subs'!$C$66:$C$99),0)),0)),IF($C750&gt;2,(O750-S750)*(IFERROR(INDEX('TaxCred&amp;Subs'!$J$66:$J$99,MATCH(1,($C750&amp;$D750='TaxCred&amp;Subs'!$D$66:$D$99)*($F750='TaxCred&amp;Subs'!$C$66:$C$99),0)),0)),0))),0)</f>
        <v>0</v>
      </c>
      <c r="R750" s="41">
        <f t="array" ref="R750">ROUND(IF(IFERROR(VALUE(RIGHT($AD750,1)),0)&gt;2,IF($C750=8,N750*IFERROR(INDEX('TaxCred&amp;Subs'!$K$139:$S$151,MATCH($C750&amp;$D750&amp;LEFT($AD750,7),'TaxCred&amp;Subs'!$E$139:$E$151,0),MATCH($H750,'TaxCred&amp;Subs'!$K$137:$S$137,0)),0),IF($C750=2,N750*IFERROR(INDEX('TaxCred&amp;Subs'!$K$139:$S$151,MATCH($C750&amp;$D750,'TaxCred&amp;Subs'!$D$139:$D$151,0),MATCH($H750,'TaxCred&amp;Subs'!$K$137:$S$137,0)),0),N750*IFERROR(INDEX('TaxCred&amp;Subs'!$K$139:$S$151,MATCH($C750&amp;$D750,'TaxCred&amp;Subs'!$C$139:$C$151,0),MATCH($H750,'TaxCred&amp;Subs'!$K$137:$S$137,0)),0))),0),0)</f>
        <v>415</v>
      </c>
      <c r="S750" s="41">
        <f t="array" ref="S750">ROUND(IF(IFERROR(VALUE(RIGHT($AD750,1)),0)&gt;2,IF($C750=8,O750*IFERROR(INDEX('TaxCred&amp;Subs'!$K$139:$S$151,MATCH($C750&amp;$D750&amp;LEFT($AD750,7),'TaxCred&amp;Subs'!$E$139:$E$151,0),MATCH($H750,'TaxCred&amp;Subs'!$K$137:$S$137,0)),0),IF($C750=2,O750*IFERROR(INDEX('TaxCred&amp;Subs'!$K$139:$S$151,MATCH($C750&amp;$D750,'TaxCred&amp;Subs'!$D$139:$D$151,0),MATCH($H750,'TaxCred&amp;Subs'!$K$137:$S$137,0)),0),O750*IFERROR(INDEX('TaxCred&amp;Subs'!$K$139:$S$151,MATCH($C750&amp;$D750,'TaxCred&amp;Subs'!$C$139:$C$151,0),MATCH($H750,'TaxCred&amp;Subs'!$K$137:$S$137,0)),0))),0),0)</f>
        <v>284</v>
      </c>
      <c r="T750" s="41">
        <f t="shared" si="49"/>
        <v>0</v>
      </c>
      <c r="U750" s="41">
        <f t="shared" si="50"/>
        <v>0</v>
      </c>
      <c r="V750" s="152" t="s">
        <v>222</v>
      </c>
      <c r="W750" s="152">
        <v>2020</v>
      </c>
      <c r="X750" s="152">
        <v>1</v>
      </c>
      <c r="Y750" s="152">
        <v>0</v>
      </c>
      <c r="Z750" s="194">
        <v>-1.755E-3</v>
      </c>
      <c r="AA750" s="194">
        <v>-2.7E-2</v>
      </c>
      <c r="AB750" s="152">
        <v>0</v>
      </c>
      <c r="AC750" s="152">
        <v>0</v>
      </c>
      <c r="AD750" s="152" t="s">
        <v>501</v>
      </c>
      <c r="AE750" t="s">
        <v>354</v>
      </c>
    </row>
    <row r="751" spans="2:31" ht="14.25" customHeight="1" x14ac:dyDescent="0.2">
      <c r="B751" s="7">
        <f t="shared" si="51"/>
        <v>727</v>
      </c>
      <c r="C751" s="152">
        <v>5</v>
      </c>
      <c r="D751" s="152">
        <v>2</v>
      </c>
      <c r="E751" s="152">
        <v>8</v>
      </c>
      <c r="F751" s="153">
        <v>2040</v>
      </c>
      <c r="G751" s="152">
        <v>2050</v>
      </c>
      <c r="H751" s="152">
        <v>2</v>
      </c>
      <c r="I751" s="152">
        <v>0</v>
      </c>
      <c r="J751" s="152">
        <v>0</v>
      </c>
      <c r="K751" s="152">
        <v>0</v>
      </c>
      <c r="L751" s="152">
        <v>0</v>
      </c>
      <c r="M751" s="154">
        <v>3.73</v>
      </c>
      <c r="N751" s="155">
        <v>1595</v>
      </c>
      <c r="O751" s="155">
        <v>1090</v>
      </c>
      <c r="P751" s="41">
        <f t="array" ref="P751">ROUND(IF($F751&lt;='TaxCred&amp;Subs'!$C$49,(IF($C751=2,IF($M751&gt;=IFERROR(INDEX('TaxCred&amp;Subs'!$L$12:$L$47,MATCH(1,($C751&amp;$D751='TaxCred&amp;Subs'!$E$12:$E$47)*($F751='TaxCred&amp;Subs'!$C$12:$C$47),0)
),9999),IFERROR(INDEX('TaxCred&amp;Subs'!$N$12:$N$47,MATCH(1,($C751&amp;$D751='TaxCred&amp;Subs'!$E$12:$E$47)*($F751='TaxCred&amp;Subs'!$C$12:$C$47),0)
),0),0),(IF($M751&gt;=IFERROR(INDEX('TaxCred&amp;Subs'!$H$12:$H$47,MATCH(1,($C751&amp;$D751='TaxCred&amp;Subs'!$D$12:$D$47)*($F751='TaxCred&amp;Subs'!$C$12:$C$47),0)
),9999),IFERROR(INDEX('TaxCred&amp;Subs'!$N$12:$N$47,MATCH(1,($C751&amp;$D751='TaxCred&amp;Subs'!$D$12:$D$47)*($F751='TaxCred&amp;Subs'!$C$12:$C$47),0)
),0),0)))),0)+IF(AND($C751=2,VALUE(RIGHT($AD751,1))&gt;2),(N751-R751)*(IFERROR(INDEX('TaxCred&amp;Subs'!$J$66:$J$99,MATCH(1,($C751&amp;$D751='TaxCred&amp;Subs'!$E$66:$E$99)*($F751='TaxCred&amp;Subs'!$C$66:$C$99),0)),0)),IF(AND($C751=1,VALUE(RIGHT($AD751,1))&gt;2),(N751-R751)*(IFERROR(INDEX('TaxCred&amp;Subs'!$J$66:$J$99,MATCH(1,($C751&amp;$D751='TaxCred&amp;Subs'!$D$66:$D$99)*($F751='TaxCred&amp;Subs'!$C$66:$C$99),0)),0)),IF($C751&gt;2,(N751-R751)*(IFERROR(INDEX('TaxCred&amp;Subs'!$J$66:$J$99,MATCH(1,($C751&amp;$D751='TaxCred&amp;Subs'!$D$66:$D$99)*($F751='TaxCred&amp;Subs'!$C$66:$C$99),0)),0)),0))),0)</f>
        <v>0</v>
      </c>
      <c r="Q751" s="41">
        <f t="array" ref="Q751">ROUND(IF(AND($C751=2,VALUE(RIGHT($AD751,1))&gt;2),(O751-S751)*(IFERROR(INDEX('TaxCred&amp;Subs'!$J$66:$J$99,MATCH(1,($C751&amp;$D751='TaxCred&amp;Subs'!$E$66:$E$99)*($F751='TaxCred&amp;Subs'!$C$66:$C$99),0)),0)),IF(AND($C751=1,VALUE(RIGHT($AD751,1))&gt;2),(O751-S751)*(IFERROR(INDEX('TaxCred&amp;Subs'!$J$66:$J$99,MATCH(1,($C751&amp;$D751='TaxCred&amp;Subs'!$D$66:$D$99)*($F751='TaxCred&amp;Subs'!$C$66:$C$99),0)),0)),IF($C751&gt;2,(O751-S751)*(IFERROR(INDEX('TaxCred&amp;Subs'!$J$66:$J$99,MATCH(1,($C751&amp;$D751='TaxCred&amp;Subs'!$D$66:$D$99)*($F751='TaxCred&amp;Subs'!$C$66:$C$99),0)),0)),0))),0)</f>
        <v>0</v>
      </c>
      <c r="R751" s="41">
        <f t="array" ref="R751">ROUND(IF(IFERROR(VALUE(RIGHT($AD751,1)),0)&gt;2,IF($C751=8,N751*IFERROR(INDEX('TaxCred&amp;Subs'!$K$139:$S$151,MATCH($C751&amp;$D751&amp;LEFT($AD751,7),'TaxCred&amp;Subs'!$E$139:$E$151,0),MATCH($H751,'TaxCred&amp;Subs'!$K$137:$S$137,0)),0),IF($C751=2,N751*IFERROR(INDEX('TaxCred&amp;Subs'!$K$139:$S$151,MATCH($C751&amp;$D751,'TaxCred&amp;Subs'!$D$139:$D$151,0),MATCH($H751,'TaxCred&amp;Subs'!$K$137:$S$137,0)),0),N751*IFERROR(INDEX('TaxCred&amp;Subs'!$K$139:$S$151,MATCH($C751&amp;$D751,'TaxCred&amp;Subs'!$C$139:$C$151,0),MATCH($H751,'TaxCred&amp;Subs'!$K$137:$S$137,0)),0))),0),0)</f>
        <v>408</v>
      </c>
      <c r="S751" s="41">
        <f t="array" ref="S751">ROUND(IF(IFERROR(VALUE(RIGHT($AD751,1)),0)&gt;2,IF($C751=8,O751*IFERROR(INDEX('TaxCred&amp;Subs'!$K$139:$S$151,MATCH($C751&amp;$D751&amp;LEFT($AD751,7),'TaxCred&amp;Subs'!$E$139:$E$151,0),MATCH($H751,'TaxCred&amp;Subs'!$K$137:$S$137,0)),0),IF($C751=2,O751*IFERROR(INDEX('TaxCred&amp;Subs'!$K$139:$S$151,MATCH($C751&amp;$D751,'TaxCred&amp;Subs'!$D$139:$D$151,0),MATCH($H751,'TaxCred&amp;Subs'!$K$137:$S$137,0)),0),O751*IFERROR(INDEX('TaxCred&amp;Subs'!$K$139:$S$151,MATCH($C751&amp;$D751,'TaxCred&amp;Subs'!$C$139:$C$151,0),MATCH($H751,'TaxCred&amp;Subs'!$K$137:$S$137,0)),0))),0),0)</f>
        <v>279</v>
      </c>
      <c r="T751" s="41">
        <f t="shared" si="49"/>
        <v>0</v>
      </c>
      <c r="U751" s="41">
        <f t="shared" si="50"/>
        <v>0</v>
      </c>
      <c r="V751" s="152" t="s">
        <v>222</v>
      </c>
      <c r="W751" s="152">
        <v>2020</v>
      </c>
      <c r="X751" s="152">
        <v>1</v>
      </c>
      <c r="Y751" s="152">
        <v>0</v>
      </c>
      <c r="Z751" s="194">
        <v>-1.755E-3</v>
      </c>
      <c r="AA751" s="194">
        <v>-2.7E-2</v>
      </c>
      <c r="AB751" s="152">
        <v>0</v>
      </c>
      <c r="AC751" s="152">
        <v>0</v>
      </c>
      <c r="AD751" s="152" t="s">
        <v>501</v>
      </c>
      <c r="AE751" t="s">
        <v>354</v>
      </c>
    </row>
    <row r="752" spans="2:31" ht="14.25" customHeight="1" x14ac:dyDescent="0.2">
      <c r="B752" s="7">
        <f t="shared" si="51"/>
        <v>728</v>
      </c>
      <c r="C752" s="152">
        <v>5</v>
      </c>
      <c r="D752" s="152">
        <v>2</v>
      </c>
      <c r="E752" s="152">
        <v>8</v>
      </c>
      <c r="F752" s="153">
        <v>2040</v>
      </c>
      <c r="G752" s="152">
        <v>2050</v>
      </c>
      <c r="H752" s="152">
        <v>3</v>
      </c>
      <c r="I752" s="152">
        <v>0</v>
      </c>
      <c r="J752" s="152">
        <v>0</v>
      </c>
      <c r="K752" s="152">
        <v>0</v>
      </c>
      <c r="L752" s="152">
        <v>0</v>
      </c>
      <c r="M752" s="154">
        <v>3.73</v>
      </c>
      <c r="N752" s="155">
        <v>1595</v>
      </c>
      <c r="O752" s="155">
        <v>1090</v>
      </c>
      <c r="P752" s="41">
        <f t="array" ref="P752">ROUND(IF($F752&lt;='TaxCred&amp;Subs'!$C$49,(IF($C752=2,IF($M752&gt;=IFERROR(INDEX('TaxCred&amp;Subs'!$L$12:$L$47,MATCH(1,($C752&amp;$D752='TaxCred&amp;Subs'!$E$12:$E$47)*($F752='TaxCred&amp;Subs'!$C$12:$C$47),0)
),9999),IFERROR(INDEX('TaxCred&amp;Subs'!$N$12:$N$47,MATCH(1,($C752&amp;$D752='TaxCred&amp;Subs'!$E$12:$E$47)*($F752='TaxCred&amp;Subs'!$C$12:$C$47),0)
),0),0),(IF($M752&gt;=IFERROR(INDEX('TaxCred&amp;Subs'!$H$12:$H$47,MATCH(1,($C752&amp;$D752='TaxCred&amp;Subs'!$D$12:$D$47)*($F752='TaxCred&amp;Subs'!$C$12:$C$47),0)
),9999),IFERROR(INDEX('TaxCred&amp;Subs'!$N$12:$N$47,MATCH(1,($C752&amp;$D752='TaxCred&amp;Subs'!$D$12:$D$47)*($F752='TaxCred&amp;Subs'!$C$12:$C$47),0)
),0),0)))),0)+IF(AND($C752=2,VALUE(RIGHT($AD752,1))&gt;2),(N752-R752)*(IFERROR(INDEX('TaxCred&amp;Subs'!$J$66:$J$99,MATCH(1,($C752&amp;$D752='TaxCred&amp;Subs'!$E$66:$E$99)*($F752='TaxCred&amp;Subs'!$C$66:$C$99),0)),0)),IF(AND($C752=1,VALUE(RIGHT($AD752,1))&gt;2),(N752-R752)*(IFERROR(INDEX('TaxCred&amp;Subs'!$J$66:$J$99,MATCH(1,($C752&amp;$D752='TaxCred&amp;Subs'!$D$66:$D$99)*($F752='TaxCred&amp;Subs'!$C$66:$C$99),0)),0)),IF($C752&gt;2,(N752-R752)*(IFERROR(INDEX('TaxCred&amp;Subs'!$J$66:$J$99,MATCH(1,($C752&amp;$D752='TaxCred&amp;Subs'!$D$66:$D$99)*($F752='TaxCred&amp;Subs'!$C$66:$C$99),0)),0)),0))),0)</f>
        <v>0</v>
      </c>
      <c r="Q752" s="41">
        <f t="array" ref="Q752">ROUND(IF(AND($C752=2,VALUE(RIGHT($AD752,1))&gt;2),(O752-S752)*(IFERROR(INDEX('TaxCred&amp;Subs'!$J$66:$J$99,MATCH(1,($C752&amp;$D752='TaxCred&amp;Subs'!$E$66:$E$99)*($F752='TaxCred&amp;Subs'!$C$66:$C$99),0)),0)),IF(AND($C752=1,VALUE(RIGHT($AD752,1))&gt;2),(O752-S752)*(IFERROR(INDEX('TaxCred&amp;Subs'!$J$66:$J$99,MATCH(1,($C752&amp;$D752='TaxCred&amp;Subs'!$D$66:$D$99)*($F752='TaxCred&amp;Subs'!$C$66:$C$99),0)),0)),IF($C752&gt;2,(O752-S752)*(IFERROR(INDEX('TaxCred&amp;Subs'!$J$66:$J$99,MATCH(1,($C752&amp;$D752='TaxCred&amp;Subs'!$D$66:$D$99)*($F752='TaxCred&amp;Subs'!$C$66:$C$99),0)),0)),0))),0)</f>
        <v>0</v>
      </c>
      <c r="R752" s="41">
        <f t="array" ref="R752">ROUND(IF(IFERROR(VALUE(RIGHT($AD752,1)),0)&gt;2,IF($C752=8,N752*IFERROR(INDEX('TaxCred&amp;Subs'!$K$139:$S$151,MATCH($C752&amp;$D752&amp;LEFT($AD752,7),'TaxCred&amp;Subs'!$E$139:$E$151,0),MATCH($H752,'TaxCred&amp;Subs'!$K$137:$S$137,0)),0),IF($C752=2,N752*IFERROR(INDEX('TaxCred&amp;Subs'!$K$139:$S$151,MATCH($C752&amp;$D752,'TaxCred&amp;Subs'!$D$139:$D$151,0),MATCH($H752,'TaxCred&amp;Subs'!$K$137:$S$137,0)),0),N752*IFERROR(INDEX('TaxCred&amp;Subs'!$K$139:$S$151,MATCH($C752&amp;$D752,'TaxCred&amp;Subs'!$C$139:$C$151,0),MATCH($H752,'TaxCred&amp;Subs'!$K$137:$S$137,0)),0))),0),0)</f>
        <v>238</v>
      </c>
      <c r="S752" s="41">
        <f t="array" ref="S752">ROUND(IF(IFERROR(VALUE(RIGHT($AD752,1)),0)&gt;2,IF($C752=8,O752*IFERROR(INDEX('TaxCred&amp;Subs'!$K$139:$S$151,MATCH($C752&amp;$D752&amp;LEFT($AD752,7),'TaxCred&amp;Subs'!$E$139:$E$151,0),MATCH($H752,'TaxCred&amp;Subs'!$K$137:$S$137,0)),0),IF($C752=2,O752*IFERROR(INDEX('TaxCred&amp;Subs'!$K$139:$S$151,MATCH($C752&amp;$D752,'TaxCred&amp;Subs'!$D$139:$D$151,0),MATCH($H752,'TaxCred&amp;Subs'!$K$137:$S$137,0)),0),O752*IFERROR(INDEX('TaxCred&amp;Subs'!$K$139:$S$151,MATCH($C752&amp;$D752,'TaxCred&amp;Subs'!$C$139:$C$151,0),MATCH($H752,'TaxCred&amp;Subs'!$K$137:$S$137,0)),0))),0),0)</f>
        <v>163</v>
      </c>
      <c r="T752" s="41">
        <f t="shared" si="49"/>
        <v>0</v>
      </c>
      <c r="U752" s="41">
        <f t="shared" si="50"/>
        <v>0</v>
      </c>
      <c r="V752" s="152" t="s">
        <v>222</v>
      </c>
      <c r="W752" s="152">
        <v>2020</v>
      </c>
      <c r="X752" s="152">
        <v>1</v>
      </c>
      <c r="Y752" s="152">
        <v>0</v>
      </c>
      <c r="Z752" s="194">
        <v>-1.755E-3</v>
      </c>
      <c r="AA752" s="194">
        <v>-2.7E-2</v>
      </c>
      <c r="AB752" s="152">
        <v>0</v>
      </c>
      <c r="AC752" s="152">
        <v>0</v>
      </c>
      <c r="AD752" s="152" t="s">
        <v>501</v>
      </c>
      <c r="AE752" t="s">
        <v>354</v>
      </c>
    </row>
    <row r="753" spans="2:31" ht="14.25" customHeight="1" x14ac:dyDescent="0.2">
      <c r="B753" s="7">
        <f t="shared" si="51"/>
        <v>729</v>
      </c>
      <c r="C753" s="152">
        <v>5</v>
      </c>
      <c r="D753" s="152">
        <v>2</v>
      </c>
      <c r="E753" s="152">
        <v>8</v>
      </c>
      <c r="F753" s="153">
        <v>2040</v>
      </c>
      <c r="G753" s="152">
        <v>2050</v>
      </c>
      <c r="H753" s="152">
        <v>4</v>
      </c>
      <c r="I753" s="152">
        <v>0</v>
      </c>
      <c r="J753" s="152">
        <v>0</v>
      </c>
      <c r="K753" s="152">
        <v>0</v>
      </c>
      <c r="L753" s="152">
        <v>0</v>
      </c>
      <c r="M753" s="154">
        <v>3.73</v>
      </c>
      <c r="N753" s="155">
        <v>1595</v>
      </c>
      <c r="O753" s="155">
        <v>1090</v>
      </c>
      <c r="P753" s="41">
        <f t="array" ref="P753">ROUND(IF($F753&lt;='TaxCred&amp;Subs'!$C$49,(IF($C753=2,IF($M753&gt;=IFERROR(INDEX('TaxCred&amp;Subs'!$L$12:$L$47,MATCH(1,($C753&amp;$D753='TaxCred&amp;Subs'!$E$12:$E$47)*($F753='TaxCred&amp;Subs'!$C$12:$C$47),0)
),9999),IFERROR(INDEX('TaxCred&amp;Subs'!$N$12:$N$47,MATCH(1,($C753&amp;$D753='TaxCred&amp;Subs'!$E$12:$E$47)*($F753='TaxCred&amp;Subs'!$C$12:$C$47),0)
),0),0),(IF($M753&gt;=IFERROR(INDEX('TaxCred&amp;Subs'!$H$12:$H$47,MATCH(1,($C753&amp;$D753='TaxCred&amp;Subs'!$D$12:$D$47)*($F753='TaxCred&amp;Subs'!$C$12:$C$47),0)
),9999),IFERROR(INDEX('TaxCred&amp;Subs'!$N$12:$N$47,MATCH(1,($C753&amp;$D753='TaxCred&amp;Subs'!$D$12:$D$47)*($F753='TaxCred&amp;Subs'!$C$12:$C$47),0)
),0),0)))),0)+IF(AND($C753=2,VALUE(RIGHT($AD753,1))&gt;2),(N753-R753)*(IFERROR(INDEX('TaxCred&amp;Subs'!$J$66:$J$99,MATCH(1,($C753&amp;$D753='TaxCred&amp;Subs'!$E$66:$E$99)*($F753='TaxCred&amp;Subs'!$C$66:$C$99),0)),0)),IF(AND($C753=1,VALUE(RIGHT($AD753,1))&gt;2),(N753-R753)*(IFERROR(INDEX('TaxCred&amp;Subs'!$J$66:$J$99,MATCH(1,($C753&amp;$D753='TaxCred&amp;Subs'!$D$66:$D$99)*($F753='TaxCred&amp;Subs'!$C$66:$C$99),0)),0)),IF($C753&gt;2,(N753-R753)*(IFERROR(INDEX('TaxCred&amp;Subs'!$J$66:$J$99,MATCH(1,($C753&amp;$D753='TaxCred&amp;Subs'!$D$66:$D$99)*($F753='TaxCred&amp;Subs'!$C$66:$C$99),0)),0)),0))),0)</f>
        <v>0</v>
      </c>
      <c r="Q753" s="41">
        <f t="array" ref="Q753">ROUND(IF(AND($C753=2,VALUE(RIGHT($AD753,1))&gt;2),(O753-S753)*(IFERROR(INDEX('TaxCred&amp;Subs'!$J$66:$J$99,MATCH(1,($C753&amp;$D753='TaxCred&amp;Subs'!$E$66:$E$99)*($F753='TaxCred&amp;Subs'!$C$66:$C$99),0)),0)),IF(AND($C753=1,VALUE(RIGHT($AD753,1))&gt;2),(O753-S753)*(IFERROR(INDEX('TaxCred&amp;Subs'!$J$66:$J$99,MATCH(1,($C753&amp;$D753='TaxCred&amp;Subs'!$D$66:$D$99)*($F753='TaxCred&amp;Subs'!$C$66:$C$99),0)),0)),IF($C753&gt;2,(O753-S753)*(IFERROR(INDEX('TaxCred&amp;Subs'!$J$66:$J$99,MATCH(1,($C753&amp;$D753='TaxCred&amp;Subs'!$D$66:$D$99)*($F753='TaxCred&amp;Subs'!$C$66:$C$99),0)),0)),0))),0)</f>
        <v>0</v>
      </c>
      <c r="R753" s="41">
        <f t="array" ref="R753">ROUND(IF(IFERROR(VALUE(RIGHT($AD753,1)),0)&gt;2,IF($C753=8,N753*IFERROR(INDEX('TaxCred&amp;Subs'!$K$139:$S$151,MATCH($C753&amp;$D753&amp;LEFT($AD753,7),'TaxCred&amp;Subs'!$E$139:$E$151,0),MATCH($H753,'TaxCred&amp;Subs'!$K$137:$S$137,0)),0),IF($C753=2,N753*IFERROR(INDEX('TaxCred&amp;Subs'!$K$139:$S$151,MATCH($C753&amp;$D753,'TaxCred&amp;Subs'!$D$139:$D$151,0),MATCH($H753,'TaxCred&amp;Subs'!$K$137:$S$137,0)),0),N753*IFERROR(INDEX('TaxCred&amp;Subs'!$K$139:$S$151,MATCH($C753&amp;$D753,'TaxCred&amp;Subs'!$C$139:$C$151,0),MATCH($H753,'TaxCred&amp;Subs'!$K$137:$S$137,0)),0))),0),0)</f>
        <v>187</v>
      </c>
      <c r="S753" s="41">
        <f t="array" ref="S753">ROUND(IF(IFERROR(VALUE(RIGHT($AD753,1)),0)&gt;2,IF($C753=8,O753*IFERROR(INDEX('TaxCred&amp;Subs'!$K$139:$S$151,MATCH($C753&amp;$D753&amp;LEFT($AD753,7),'TaxCred&amp;Subs'!$E$139:$E$151,0),MATCH($H753,'TaxCred&amp;Subs'!$K$137:$S$137,0)),0),IF($C753=2,O753*IFERROR(INDEX('TaxCred&amp;Subs'!$K$139:$S$151,MATCH($C753&amp;$D753,'TaxCred&amp;Subs'!$D$139:$D$151,0),MATCH($H753,'TaxCred&amp;Subs'!$K$137:$S$137,0)),0),O753*IFERROR(INDEX('TaxCred&amp;Subs'!$K$139:$S$151,MATCH($C753&amp;$D753,'TaxCred&amp;Subs'!$C$139:$C$151,0),MATCH($H753,'TaxCred&amp;Subs'!$K$137:$S$137,0)),0))),0),0)</f>
        <v>128</v>
      </c>
      <c r="T753" s="41">
        <f t="shared" si="49"/>
        <v>0</v>
      </c>
      <c r="U753" s="41">
        <f t="shared" si="50"/>
        <v>0</v>
      </c>
      <c r="V753" s="152" t="s">
        <v>222</v>
      </c>
      <c r="W753" s="152">
        <v>2020</v>
      </c>
      <c r="X753" s="152">
        <v>1</v>
      </c>
      <c r="Y753" s="152">
        <v>0</v>
      </c>
      <c r="Z753" s="194">
        <v>-1.755E-3</v>
      </c>
      <c r="AA753" s="194">
        <v>-2.7E-2</v>
      </c>
      <c r="AB753" s="152">
        <v>0</v>
      </c>
      <c r="AC753" s="152">
        <v>0</v>
      </c>
      <c r="AD753" s="152" t="s">
        <v>501</v>
      </c>
      <c r="AE753" t="s">
        <v>354</v>
      </c>
    </row>
    <row r="754" spans="2:31" ht="14.25" customHeight="1" x14ac:dyDescent="0.2">
      <c r="B754" s="7">
        <f t="shared" si="51"/>
        <v>730</v>
      </c>
      <c r="C754" s="152">
        <v>5</v>
      </c>
      <c r="D754" s="152">
        <v>2</v>
      </c>
      <c r="E754" s="152">
        <v>8</v>
      </c>
      <c r="F754" s="153">
        <v>2040</v>
      </c>
      <c r="G754" s="152">
        <v>2050</v>
      </c>
      <c r="H754" s="152">
        <v>5</v>
      </c>
      <c r="I754" s="152">
        <v>0</v>
      </c>
      <c r="J754" s="152">
        <v>0</v>
      </c>
      <c r="K754" s="152">
        <v>0</v>
      </c>
      <c r="L754" s="152">
        <v>0</v>
      </c>
      <c r="M754" s="154">
        <v>3.73</v>
      </c>
      <c r="N754" s="155">
        <v>1595</v>
      </c>
      <c r="O754" s="155">
        <v>1090</v>
      </c>
      <c r="P754" s="41">
        <f t="array" ref="P754">ROUND(IF($F754&lt;='TaxCred&amp;Subs'!$C$49,(IF($C754=2,IF($M754&gt;=IFERROR(INDEX('TaxCred&amp;Subs'!$L$12:$L$47,MATCH(1,($C754&amp;$D754='TaxCred&amp;Subs'!$E$12:$E$47)*($F754='TaxCred&amp;Subs'!$C$12:$C$47),0)
),9999),IFERROR(INDEX('TaxCred&amp;Subs'!$N$12:$N$47,MATCH(1,($C754&amp;$D754='TaxCred&amp;Subs'!$E$12:$E$47)*($F754='TaxCred&amp;Subs'!$C$12:$C$47),0)
),0),0),(IF($M754&gt;=IFERROR(INDEX('TaxCred&amp;Subs'!$H$12:$H$47,MATCH(1,($C754&amp;$D754='TaxCred&amp;Subs'!$D$12:$D$47)*($F754='TaxCred&amp;Subs'!$C$12:$C$47),0)
),9999),IFERROR(INDEX('TaxCred&amp;Subs'!$N$12:$N$47,MATCH(1,($C754&amp;$D754='TaxCred&amp;Subs'!$D$12:$D$47)*($F754='TaxCred&amp;Subs'!$C$12:$C$47),0)
),0),0)))),0)+IF(AND($C754=2,VALUE(RIGHT($AD754,1))&gt;2),(N754-R754)*(IFERROR(INDEX('TaxCred&amp;Subs'!$J$66:$J$99,MATCH(1,($C754&amp;$D754='TaxCred&amp;Subs'!$E$66:$E$99)*($F754='TaxCred&amp;Subs'!$C$66:$C$99),0)),0)),IF(AND($C754=1,VALUE(RIGHT($AD754,1))&gt;2),(N754-R754)*(IFERROR(INDEX('TaxCred&amp;Subs'!$J$66:$J$99,MATCH(1,($C754&amp;$D754='TaxCred&amp;Subs'!$D$66:$D$99)*($F754='TaxCred&amp;Subs'!$C$66:$C$99),0)),0)),IF($C754&gt;2,(N754-R754)*(IFERROR(INDEX('TaxCred&amp;Subs'!$J$66:$J$99,MATCH(1,($C754&amp;$D754='TaxCred&amp;Subs'!$D$66:$D$99)*($F754='TaxCred&amp;Subs'!$C$66:$C$99),0)),0)),0))),0)</f>
        <v>0</v>
      </c>
      <c r="Q754" s="41">
        <f t="array" ref="Q754">ROUND(IF(AND($C754=2,VALUE(RIGHT($AD754,1))&gt;2),(O754-S754)*(IFERROR(INDEX('TaxCred&amp;Subs'!$J$66:$J$99,MATCH(1,($C754&amp;$D754='TaxCred&amp;Subs'!$E$66:$E$99)*($F754='TaxCred&amp;Subs'!$C$66:$C$99),0)),0)),IF(AND($C754=1,VALUE(RIGHT($AD754,1))&gt;2),(O754-S754)*(IFERROR(INDEX('TaxCred&amp;Subs'!$J$66:$J$99,MATCH(1,($C754&amp;$D754='TaxCred&amp;Subs'!$D$66:$D$99)*($F754='TaxCred&amp;Subs'!$C$66:$C$99),0)),0)),IF($C754&gt;2,(O754-S754)*(IFERROR(INDEX('TaxCred&amp;Subs'!$J$66:$J$99,MATCH(1,($C754&amp;$D754='TaxCred&amp;Subs'!$D$66:$D$99)*($F754='TaxCred&amp;Subs'!$C$66:$C$99),0)),0)),0))),0)</f>
        <v>0</v>
      </c>
      <c r="R754" s="41">
        <f t="array" ref="R754">ROUND(IF(IFERROR(VALUE(RIGHT($AD754,1)),0)&gt;2,IF($C754=8,N754*IFERROR(INDEX('TaxCred&amp;Subs'!$K$139:$S$151,MATCH($C754&amp;$D754&amp;LEFT($AD754,7),'TaxCred&amp;Subs'!$E$139:$E$151,0),MATCH($H754,'TaxCred&amp;Subs'!$K$137:$S$137,0)),0),IF($C754=2,N754*IFERROR(INDEX('TaxCred&amp;Subs'!$K$139:$S$151,MATCH($C754&amp;$D754,'TaxCred&amp;Subs'!$D$139:$D$151,0),MATCH($H754,'TaxCred&amp;Subs'!$K$137:$S$137,0)),0),N754*IFERROR(INDEX('TaxCred&amp;Subs'!$K$139:$S$151,MATCH($C754&amp;$D754,'TaxCred&amp;Subs'!$C$139:$C$151,0),MATCH($H754,'TaxCred&amp;Subs'!$K$137:$S$137,0)),0))),0),0)</f>
        <v>211</v>
      </c>
      <c r="S754" s="41">
        <f t="array" ref="S754">ROUND(IF(IFERROR(VALUE(RIGHT($AD754,1)),0)&gt;2,IF($C754=8,O754*IFERROR(INDEX('TaxCred&amp;Subs'!$K$139:$S$151,MATCH($C754&amp;$D754&amp;LEFT($AD754,7),'TaxCred&amp;Subs'!$E$139:$E$151,0),MATCH($H754,'TaxCred&amp;Subs'!$K$137:$S$137,0)),0),IF($C754=2,O754*IFERROR(INDEX('TaxCred&amp;Subs'!$K$139:$S$151,MATCH($C754&amp;$D754,'TaxCred&amp;Subs'!$D$139:$D$151,0),MATCH($H754,'TaxCred&amp;Subs'!$K$137:$S$137,0)),0),O754*IFERROR(INDEX('TaxCred&amp;Subs'!$K$139:$S$151,MATCH($C754&amp;$D754,'TaxCred&amp;Subs'!$C$139:$C$151,0),MATCH($H754,'TaxCred&amp;Subs'!$K$137:$S$137,0)),0))),0),0)</f>
        <v>144</v>
      </c>
      <c r="T754" s="41">
        <f t="shared" si="49"/>
        <v>0</v>
      </c>
      <c r="U754" s="41">
        <f t="shared" si="50"/>
        <v>0</v>
      </c>
      <c r="V754" s="152" t="s">
        <v>222</v>
      </c>
      <c r="W754" s="152">
        <v>2020</v>
      </c>
      <c r="X754" s="152">
        <v>1</v>
      </c>
      <c r="Y754" s="152">
        <v>0</v>
      </c>
      <c r="Z754" s="194">
        <v>-1.755E-3</v>
      </c>
      <c r="AA754" s="194">
        <v>-2.7E-2</v>
      </c>
      <c r="AB754" s="152">
        <v>0</v>
      </c>
      <c r="AC754" s="152">
        <v>0</v>
      </c>
      <c r="AD754" s="152" t="s">
        <v>501</v>
      </c>
      <c r="AE754" t="s">
        <v>354</v>
      </c>
    </row>
    <row r="755" spans="2:31" ht="14.25" customHeight="1" x14ac:dyDescent="0.2">
      <c r="B755" s="7">
        <f t="shared" si="51"/>
        <v>731</v>
      </c>
      <c r="C755" s="152">
        <v>5</v>
      </c>
      <c r="D755" s="152">
        <v>2</v>
      </c>
      <c r="E755" s="152">
        <v>8</v>
      </c>
      <c r="F755" s="153">
        <v>2040</v>
      </c>
      <c r="G755" s="152">
        <v>2050</v>
      </c>
      <c r="H755" s="152">
        <v>6</v>
      </c>
      <c r="I755" s="152">
        <v>0</v>
      </c>
      <c r="J755" s="152">
        <v>0</v>
      </c>
      <c r="K755" s="152">
        <v>0</v>
      </c>
      <c r="L755" s="152">
        <v>0</v>
      </c>
      <c r="M755" s="154">
        <v>3.73</v>
      </c>
      <c r="N755" s="155">
        <v>1595</v>
      </c>
      <c r="O755" s="155">
        <v>1090</v>
      </c>
      <c r="P755" s="41">
        <f t="array" ref="P755">ROUND(IF($F755&lt;='TaxCred&amp;Subs'!$C$49,(IF($C755=2,IF($M755&gt;=IFERROR(INDEX('TaxCred&amp;Subs'!$L$12:$L$47,MATCH(1,($C755&amp;$D755='TaxCred&amp;Subs'!$E$12:$E$47)*($F755='TaxCred&amp;Subs'!$C$12:$C$47),0)
),9999),IFERROR(INDEX('TaxCred&amp;Subs'!$N$12:$N$47,MATCH(1,($C755&amp;$D755='TaxCred&amp;Subs'!$E$12:$E$47)*($F755='TaxCred&amp;Subs'!$C$12:$C$47),0)
),0),0),(IF($M755&gt;=IFERROR(INDEX('TaxCred&amp;Subs'!$H$12:$H$47,MATCH(1,($C755&amp;$D755='TaxCred&amp;Subs'!$D$12:$D$47)*($F755='TaxCred&amp;Subs'!$C$12:$C$47),0)
),9999),IFERROR(INDEX('TaxCred&amp;Subs'!$N$12:$N$47,MATCH(1,($C755&amp;$D755='TaxCred&amp;Subs'!$D$12:$D$47)*($F755='TaxCred&amp;Subs'!$C$12:$C$47),0)
),0),0)))),0)+IF(AND($C755=2,VALUE(RIGHT($AD755,1))&gt;2),(N755-R755)*(IFERROR(INDEX('TaxCred&amp;Subs'!$J$66:$J$99,MATCH(1,($C755&amp;$D755='TaxCred&amp;Subs'!$E$66:$E$99)*($F755='TaxCred&amp;Subs'!$C$66:$C$99),0)),0)),IF(AND($C755=1,VALUE(RIGHT($AD755,1))&gt;2),(N755-R755)*(IFERROR(INDEX('TaxCred&amp;Subs'!$J$66:$J$99,MATCH(1,($C755&amp;$D755='TaxCred&amp;Subs'!$D$66:$D$99)*($F755='TaxCred&amp;Subs'!$C$66:$C$99),0)),0)),IF($C755&gt;2,(N755-R755)*(IFERROR(INDEX('TaxCred&amp;Subs'!$J$66:$J$99,MATCH(1,($C755&amp;$D755='TaxCred&amp;Subs'!$D$66:$D$99)*($F755='TaxCred&amp;Subs'!$C$66:$C$99),0)),0)),0))),0)</f>
        <v>0</v>
      </c>
      <c r="Q755" s="41">
        <f t="array" ref="Q755">ROUND(IF(AND($C755=2,VALUE(RIGHT($AD755,1))&gt;2),(O755-S755)*(IFERROR(INDEX('TaxCred&amp;Subs'!$J$66:$J$99,MATCH(1,($C755&amp;$D755='TaxCred&amp;Subs'!$E$66:$E$99)*($F755='TaxCred&amp;Subs'!$C$66:$C$99),0)),0)),IF(AND($C755=1,VALUE(RIGHT($AD755,1))&gt;2),(O755-S755)*(IFERROR(INDEX('TaxCred&amp;Subs'!$J$66:$J$99,MATCH(1,($C755&amp;$D755='TaxCred&amp;Subs'!$D$66:$D$99)*($F755='TaxCred&amp;Subs'!$C$66:$C$99),0)),0)),IF($C755&gt;2,(O755-S755)*(IFERROR(INDEX('TaxCred&amp;Subs'!$J$66:$J$99,MATCH(1,($C755&amp;$D755='TaxCred&amp;Subs'!$D$66:$D$99)*($F755='TaxCred&amp;Subs'!$C$66:$C$99),0)),0)),0))),0)</f>
        <v>0</v>
      </c>
      <c r="R755" s="41">
        <f t="array" ref="R755">ROUND(IF(IFERROR(VALUE(RIGHT($AD755,1)),0)&gt;2,IF($C755=8,N755*IFERROR(INDEX('TaxCred&amp;Subs'!$K$139:$S$151,MATCH($C755&amp;$D755&amp;LEFT($AD755,7),'TaxCred&amp;Subs'!$E$139:$E$151,0),MATCH($H755,'TaxCred&amp;Subs'!$K$137:$S$137,0)),0),IF($C755=2,N755*IFERROR(INDEX('TaxCred&amp;Subs'!$K$139:$S$151,MATCH($C755&amp;$D755,'TaxCred&amp;Subs'!$D$139:$D$151,0),MATCH($H755,'TaxCred&amp;Subs'!$K$137:$S$137,0)),0),N755*IFERROR(INDEX('TaxCred&amp;Subs'!$K$139:$S$151,MATCH($C755&amp;$D755,'TaxCred&amp;Subs'!$C$139:$C$151,0),MATCH($H755,'TaxCred&amp;Subs'!$K$137:$S$137,0)),0))),0),0)</f>
        <v>107</v>
      </c>
      <c r="S755" s="41">
        <f t="array" ref="S755">ROUND(IF(IFERROR(VALUE(RIGHT($AD755,1)),0)&gt;2,IF($C755=8,O755*IFERROR(INDEX('TaxCred&amp;Subs'!$K$139:$S$151,MATCH($C755&amp;$D755&amp;LEFT($AD755,7),'TaxCred&amp;Subs'!$E$139:$E$151,0),MATCH($H755,'TaxCred&amp;Subs'!$K$137:$S$137,0)),0),IF($C755=2,O755*IFERROR(INDEX('TaxCred&amp;Subs'!$K$139:$S$151,MATCH($C755&amp;$D755,'TaxCred&amp;Subs'!$D$139:$D$151,0),MATCH($H755,'TaxCred&amp;Subs'!$K$137:$S$137,0)),0),O755*IFERROR(INDEX('TaxCred&amp;Subs'!$K$139:$S$151,MATCH($C755&amp;$D755,'TaxCred&amp;Subs'!$C$139:$C$151,0),MATCH($H755,'TaxCred&amp;Subs'!$K$137:$S$137,0)),0))),0),0)</f>
        <v>73</v>
      </c>
      <c r="T755" s="41">
        <f t="shared" si="49"/>
        <v>0</v>
      </c>
      <c r="U755" s="41">
        <f t="shared" si="50"/>
        <v>0</v>
      </c>
      <c r="V755" s="152" t="s">
        <v>222</v>
      </c>
      <c r="W755" s="152">
        <v>2020</v>
      </c>
      <c r="X755" s="152">
        <v>1</v>
      </c>
      <c r="Y755" s="152">
        <v>0</v>
      </c>
      <c r="Z755" s="194">
        <v>-1.755E-3</v>
      </c>
      <c r="AA755" s="194">
        <v>-2.7E-2</v>
      </c>
      <c r="AB755" s="152">
        <v>0</v>
      </c>
      <c r="AC755" s="152">
        <v>0</v>
      </c>
      <c r="AD755" s="152" t="s">
        <v>501</v>
      </c>
      <c r="AE755" t="s">
        <v>354</v>
      </c>
    </row>
    <row r="756" spans="2:31" ht="14.25" customHeight="1" x14ac:dyDescent="0.2">
      <c r="B756" s="7">
        <f t="shared" si="51"/>
        <v>732</v>
      </c>
      <c r="C756" s="152">
        <v>5</v>
      </c>
      <c r="D756" s="152">
        <v>2</v>
      </c>
      <c r="E756" s="152">
        <v>8</v>
      </c>
      <c r="F756" s="153">
        <v>2040</v>
      </c>
      <c r="G756" s="152">
        <v>2050</v>
      </c>
      <c r="H756" s="152">
        <v>7</v>
      </c>
      <c r="I756" s="152">
        <v>0</v>
      </c>
      <c r="J756" s="152">
        <v>0</v>
      </c>
      <c r="K756" s="152">
        <v>0</v>
      </c>
      <c r="L756" s="152">
        <v>0</v>
      </c>
      <c r="M756" s="154">
        <v>3.73</v>
      </c>
      <c r="N756" s="155">
        <v>1595</v>
      </c>
      <c r="O756" s="155">
        <v>1090</v>
      </c>
      <c r="P756" s="41">
        <f t="array" ref="P756">ROUND(IF($F756&lt;='TaxCred&amp;Subs'!$C$49,(IF($C756=2,IF($M756&gt;=IFERROR(INDEX('TaxCred&amp;Subs'!$L$12:$L$47,MATCH(1,($C756&amp;$D756='TaxCred&amp;Subs'!$E$12:$E$47)*($F756='TaxCred&amp;Subs'!$C$12:$C$47),0)
),9999),IFERROR(INDEX('TaxCred&amp;Subs'!$N$12:$N$47,MATCH(1,($C756&amp;$D756='TaxCred&amp;Subs'!$E$12:$E$47)*($F756='TaxCred&amp;Subs'!$C$12:$C$47),0)
),0),0),(IF($M756&gt;=IFERROR(INDEX('TaxCred&amp;Subs'!$H$12:$H$47,MATCH(1,($C756&amp;$D756='TaxCred&amp;Subs'!$D$12:$D$47)*($F756='TaxCred&amp;Subs'!$C$12:$C$47),0)
),9999),IFERROR(INDEX('TaxCred&amp;Subs'!$N$12:$N$47,MATCH(1,($C756&amp;$D756='TaxCred&amp;Subs'!$D$12:$D$47)*($F756='TaxCred&amp;Subs'!$C$12:$C$47),0)
),0),0)))),0)+IF(AND($C756=2,VALUE(RIGHT($AD756,1))&gt;2),(N756-R756)*(IFERROR(INDEX('TaxCred&amp;Subs'!$J$66:$J$99,MATCH(1,($C756&amp;$D756='TaxCred&amp;Subs'!$E$66:$E$99)*($F756='TaxCred&amp;Subs'!$C$66:$C$99),0)),0)),IF(AND($C756=1,VALUE(RIGHT($AD756,1))&gt;2),(N756-R756)*(IFERROR(INDEX('TaxCred&amp;Subs'!$J$66:$J$99,MATCH(1,($C756&amp;$D756='TaxCred&amp;Subs'!$D$66:$D$99)*($F756='TaxCred&amp;Subs'!$C$66:$C$99),0)),0)),IF($C756&gt;2,(N756-R756)*(IFERROR(INDEX('TaxCred&amp;Subs'!$J$66:$J$99,MATCH(1,($C756&amp;$D756='TaxCred&amp;Subs'!$D$66:$D$99)*($F756='TaxCred&amp;Subs'!$C$66:$C$99),0)),0)),0))),0)</f>
        <v>0</v>
      </c>
      <c r="Q756" s="41">
        <f t="array" ref="Q756">ROUND(IF(AND($C756=2,VALUE(RIGHT($AD756,1))&gt;2),(O756-S756)*(IFERROR(INDEX('TaxCred&amp;Subs'!$J$66:$J$99,MATCH(1,($C756&amp;$D756='TaxCred&amp;Subs'!$E$66:$E$99)*($F756='TaxCred&amp;Subs'!$C$66:$C$99),0)),0)),IF(AND($C756=1,VALUE(RIGHT($AD756,1))&gt;2),(O756-S756)*(IFERROR(INDEX('TaxCred&amp;Subs'!$J$66:$J$99,MATCH(1,($C756&amp;$D756='TaxCred&amp;Subs'!$D$66:$D$99)*($F756='TaxCred&amp;Subs'!$C$66:$C$99),0)),0)),IF($C756&gt;2,(O756-S756)*(IFERROR(INDEX('TaxCred&amp;Subs'!$J$66:$J$99,MATCH(1,($C756&amp;$D756='TaxCred&amp;Subs'!$D$66:$D$99)*($F756='TaxCred&amp;Subs'!$C$66:$C$99),0)),0)),0))),0)</f>
        <v>0</v>
      </c>
      <c r="R756" s="41">
        <f t="array" ref="R756">ROUND(IF(IFERROR(VALUE(RIGHT($AD756,1)),0)&gt;2,IF($C756=8,N756*IFERROR(INDEX('TaxCred&amp;Subs'!$K$139:$S$151,MATCH($C756&amp;$D756&amp;LEFT($AD756,7),'TaxCred&amp;Subs'!$E$139:$E$151,0),MATCH($H756,'TaxCred&amp;Subs'!$K$137:$S$137,0)),0),IF($C756=2,N756*IFERROR(INDEX('TaxCred&amp;Subs'!$K$139:$S$151,MATCH($C756&amp;$D756,'TaxCred&amp;Subs'!$D$139:$D$151,0),MATCH($H756,'TaxCred&amp;Subs'!$K$137:$S$137,0)),0),N756*IFERROR(INDEX('TaxCred&amp;Subs'!$K$139:$S$151,MATCH($C756&amp;$D756,'TaxCred&amp;Subs'!$C$139:$C$151,0),MATCH($H756,'TaxCred&amp;Subs'!$K$137:$S$137,0)),0))),0),0)</f>
        <v>328</v>
      </c>
      <c r="S756" s="41">
        <f t="array" ref="S756">ROUND(IF(IFERROR(VALUE(RIGHT($AD756,1)),0)&gt;2,IF($C756=8,O756*IFERROR(INDEX('TaxCred&amp;Subs'!$K$139:$S$151,MATCH($C756&amp;$D756&amp;LEFT($AD756,7),'TaxCred&amp;Subs'!$E$139:$E$151,0),MATCH($H756,'TaxCred&amp;Subs'!$K$137:$S$137,0)),0),IF($C756=2,O756*IFERROR(INDEX('TaxCred&amp;Subs'!$K$139:$S$151,MATCH($C756&amp;$D756,'TaxCred&amp;Subs'!$D$139:$D$151,0),MATCH($H756,'TaxCred&amp;Subs'!$K$137:$S$137,0)),0),O756*IFERROR(INDEX('TaxCred&amp;Subs'!$K$139:$S$151,MATCH($C756&amp;$D756,'TaxCred&amp;Subs'!$C$139:$C$151,0),MATCH($H756,'TaxCred&amp;Subs'!$K$137:$S$137,0)),0))),0),0)</f>
        <v>224</v>
      </c>
      <c r="T756" s="41">
        <f t="shared" si="49"/>
        <v>0</v>
      </c>
      <c r="U756" s="41">
        <f t="shared" si="50"/>
        <v>0</v>
      </c>
      <c r="V756" s="152" t="s">
        <v>222</v>
      </c>
      <c r="W756" s="152">
        <v>2020</v>
      </c>
      <c r="X756" s="152">
        <v>1</v>
      </c>
      <c r="Y756" s="152">
        <v>0</v>
      </c>
      <c r="Z756" s="194">
        <v>-1.755E-3</v>
      </c>
      <c r="AA756" s="194">
        <v>-2.7E-2</v>
      </c>
      <c r="AB756" s="152">
        <v>0</v>
      </c>
      <c r="AC756" s="152">
        <v>0</v>
      </c>
      <c r="AD756" s="152" t="s">
        <v>501</v>
      </c>
      <c r="AE756" t="s">
        <v>354</v>
      </c>
    </row>
    <row r="757" spans="2:31" ht="14.25" customHeight="1" x14ac:dyDescent="0.2">
      <c r="B757" s="7">
        <f t="shared" si="51"/>
        <v>733</v>
      </c>
      <c r="C757" s="152">
        <v>5</v>
      </c>
      <c r="D757" s="152">
        <v>2</v>
      </c>
      <c r="E757" s="152">
        <v>8</v>
      </c>
      <c r="F757" s="153">
        <v>2040</v>
      </c>
      <c r="G757" s="152">
        <v>2050</v>
      </c>
      <c r="H757" s="152">
        <v>8</v>
      </c>
      <c r="I757" s="152">
        <v>0</v>
      </c>
      <c r="J757" s="152">
        <v>0</v>
      </c>
      <c r="K757" s="152">
        <v>0</v>
      </c>
      <c r="L757" s="152">
        <v>0</v>
      </c>
      <c r="M757" s="154">
        <v>3.73</v>
      </c>
      <c r="N757" s="155">
        <v>1595</v>
      </c>
      <c r="O757" s="155">
        <v>1090</v>
      </c>
      <c r="P757" s="41">
        <f t="array" ref="P757">ROUND(IF($F757&lt;='TaxCred&amp;Subs'!$C$49,(IF($C757=2,IF($M757&gt;=IFERROR(INDEX('TaxCred&amp;Subs'!$L$12:$L$47,MATCH(1,($C757&amp;$D757='TaxCred&amp;Subs'!$E$12:$E$47)*($F757='TaxCred&amp;Subs'!$C$12:$C$47),0)
),9999),IFERROR(INDEX('TaxCred&amp;Subs'!$N$12:$N$47,MATCH(1,($C757&amp;$D757='TaxCred&amp;Subs'!$E$12:$E$47)*($F757='TaxCred&amp;Subs'!$C$12:$C$47),0)
),0),0),(IF($M757&gt;=IFERROR(INDEX('TaxCred&amp;Subs'!$H$12:$H$47,MATCH(1,($C757&amp;$D757='TaxCred&amp;Subs'!$D$12:$D$47)*($F757='TaxCred&amp;Subs'!$C$12:$C$47),0)
),9999),IFERROR(INDEX('TaxCred&amp;Subs'!$N$12:$N$47,MATCH(1,($C757&amp;$D757='TaxCred&amp;Subs'!$D$12:$D$47)*($F757='TaxCred&amp;Subs'!$C$12:$C$47),0)
),0),0)))),0)+IF(AND($C757=2,VALUE(RIGHT($AD757,1))&gt;2),(N757-R757)*(IFERROR(INDEX('TaxCred&amp;Subs'!$J$66:$J$99,MATCH(1,($C757&amp;$D757='TaxCred&amp;Subs'!$E$66:$E$99)*($F757='TaxCred&amp;Subs'!$C$66:$C$99),0)),0)),IF(AND($C757=1,VALUE(RIGHT($AD757,1))&gt;2),(N757-R757)*(IFERROR(INDEX('TaxCred&amp;Subs'!$J$66:$J$99,MATCH(1,($C757&amp;$D757='TaxCred&amp;Subs'!$D$66:$D$99)*($F757='TaxCred&amp;Subs'!$C$66:$C$99),0)),0)),IF($C757&gt;2,(N757-R757)*(IFERROR(INDEX('TaxCred&amp;Subs'!$J$66:$J$99,MATCH(1,($C757&amp;$D757='TaxCred&amp;Subs'!$D$66:$D$99)*($F757='TaxCred&amp;Subs'!$C$66:$C$99),0)),0)),0))),0)</f>
        <v>0</v>
      </c>
      <c r="Q757" s="41">
        <f t="array" ref="Q757">ROUND(IF(AND($C757=2,VALUE(RIGHT($AD757,1))&gt;2),(O757-S757)*(IFERROR(INDEX('TaxCred&amp;Subs'!$J$66:$J$99,MATCH(1,($C757&amp;$D757='TaxCred&amp;Subs'!$E$66:$E$99)*($F757='TaxCred&amp;Subs'!$C$66:$C$99),0)),0)),IF(AND($C757=1,VALUE(RIGHT($AD757,1))&gt;2),(O757-S757)*(IFERROR(INDEX('TaxCred&amp;Subs'!$J$66:$J$99,MATCH(1,($C757&amp;$D757='TaxCred&amp;Subs'!$D$66:$D$99)*($F757='TaxCred&amp;Subs'!$C$66:$C$99),0)),0)),IF($C757&gt;2,(O757-S757)*(IFERROR(INDEX('TaxCred&amp;Subs'!$J$66:$J$99,MATCH(1,($C757&amp;$D757='TaxCred&amp;Subs'!$D$66:$D$99)*($F757='TaxCred&amp;Subs'!$C$66:$C$99),0)),0)),0))),0)</f>
        <v>0</v>
      </c>
      <c r="R757" s="41">
        <f t="array" ref="R757">ROUND(IF(IFERROR(VALUE(RIGHT($AD757,1)),0)&gt;2,IF($C757=8,N757*IFERROR(INDEX('TaxCred&amp;Subs'!$K$139:$S$151,MATCH($C757&amp;$D757&amp;LEFT($AD757,7),'TaxCred&amp;Subs'!$E$139:$E$151,0),MATCH($H757,'TaxCred&amp;Subs'!$K$137:$S$137,0)),0),IF($C757=2,N757*IFERROR(INDEX('TaxCred&amp;Subs'!$K$139:$S$151,MATCH($C757&amp;$D757,'TaxCred&amp;Subs'!$D$139:$D$151,0),MATCH($H757,'TaxCred&amp;Subs'!$K$137:$S$137,0)),0),N757*IFERROR(INDEX('TaxCred&amp;Subs'!$K$139:$S$151,MATCH($C757&amp;$D757,'TaxCred&amp;Subs'!$C$139:$C$151,0),MATCH($H757,'TaxCred&amp;Subs'!$K$137:$S$137,0)),0))),0),0)</f>
        <v>138</v>
      </c>
      <c r="S757" s="41">
        <f t="array" ref="S757">ROUND(IF(IFERROR(VALUE(RIGHT($AD757,1)),0)&gt;2,IF($C757=8,O757*IFERROR(INDEX('TaxCred&amp;Subs'!$K$139:$S$151,MATCH($C757&amp;$D757&amp;LEFT($AD757,7),'TaxCred&amp;Subs'!$E$139:$E$151,0),MATCH($H757,'TaxCred&amp;Subs'!$K$137:$S$137,0)),0),IF($C757=2,O757*IFERROR(INDEX('TaxCred&amp;Subs'!$K$139:$S$151,MATCH($C757&amp;$D757,'TaxCred&amp;Subs'!$D$139:$D$151,0),MATCH($H757,'TaxCred&amp;Subs'!$K$137:$S$137,0)),0),O757*IFERROR(INDEX('TaxCred&amp;Subs'!$K$139:$S$151,MATCH($C757&amp;$D757,'TaxCred&amp;Subs'!$C$139:$C$151,0),MATCH($H757,'TaxCred&amp;Subs'!$K$137:$S$137,0)),0))),0),0)</f>
        <v>94</v>
      </c>
      <c r="T757" s="41">
        <f t="shared" si="49"/>
        <v>0</v>
      </c>
      <c r="U757" s="41">
        <f t="shared" si="50"/>
        <v>0</v>
      </c>
      <c r="V757" s="152" t="s">
        <v>222</v>
      </c>
      <c r="W757" s="152">
        <v>2020</v>
      </c>
      <c r="X757" s="152">
        <v>1</v>
      </c>
      <c r="Y757" s="152">
        <v>0</v>
      </c>
      <c r="Z757" s="194">
        <v>-1.755E-3</v>
      </c>
      <c r="AA757" s="194">
        <v>-2.7E-2</v>
      </c>
      <c r="AB757" s="152">
        <v>0</v>
      </c>
      <c r="AC757" s="152">
        <v>0</v>
      </c>
      <c r="AD757" s="152" t="s">
        <v>501</v>
      </c>
      <c r="AE757" t="s">
        <v>354</v>
      </c>
    </row>
    <row r="758" spans="2:31" ht="14.25" customHeight="1" x14ac:dyDescent="0.2">
      <c r="B758" s="7">
        <f t="shared" si="51"/>
        <v>734</v>
      </c>
      <c r="C758" s="152">
        <v>5</v>
      </c>
      <c r="D758" s="152">
        <v>2</v>
      </c>
      <c r="E758" s="152">
        <v>8</v>
      </c>
      <c r="F758" s="153">
        <v>2040</v>
      </c>
      <c r="G758" s="152">
        <v>2050</v>
      </c>
      <c r="H758" s="152">
        <v>9</v>
      </c>
      <c r="I758" s="152">
        <v>0</v>
      </c>
      <c r="J758" s="152">
        <v>0</v>
      </c>
      <c r="K758" s="152">
        <v>0</v>
      </c>
      <c r="L758" s="152">
        <v>0</v>
      </c>
      <c r="M758" s="154">
        <v>3.73</v>
      </c>
      <c r="N758" s="155">
        <v>1595</v>
      </c>
      <c r="O758" s="155">
        <v>1090</v>
      </c>
      <c r="P758" s="41">
        <f t="array" ref="P758">ROUND(IF($F758&lt;='TaxCred&amp;Subs'!$C$49,(IF($C758=2,IF($M758&gt;=IFERROR(INDEX('TaxCred&amp;Subs'!$L$12:$L$47,MATCH(1,($C758&amp;$D758='TaxCred&amp;Subs'!$E$12:$E$47)*($F758='TaxCred&amp;Subs'!$C$12:$C$47),0)
),9999),IFERROR(INDEX('TaxCred&amp;Subs'!$N$12:$N$47,MATCH(1,($C758&amp;$D758='TaxCred&amp;Subs'!$E$12:$E$47)*($F758='TaxCred&amp;Subs'!$C$12:$C$47),0)
),0),0),(IF($M758&gt;=IFERROR(INDEX('TaxCred&amp;Subs'!$H$12:$H$47,MATCH(1,($C758&amp;$D758='TaxCred&amp;Subs'!$D$12:$D$47)*($F758='TaxCred&amp;Subs'!$C$12:$C$47),0)
),9999),IFERROR(INDEX('TaxCred&amp;Subs'!$N$12:$N$47,MATCH(1,($C758&amp;$D758='TaxCred&amp;Subs'!$D$12:$D$47)*($F758='TaxCred&amp;Subs'!$C$12:$C$47),0)
),0),0)))),0)+IF(AND($C758=2,VALUE(RIGHT($AD758,1))&gt;2),(N758-R758)*(IFERROR(INDEX('TaxCred&amp;Subs'!$J$66:$J$99,MATCH(1,($C758&amp;$D758='TaxCred&amp;Subs'!$E$66:$E$99)*($F758='TaxCred&amp;Subs'!$C$66:$C$99),0)),0)),IF(AND($C758=1,VALUE(RIGHT($AD758,1))&gt;2),(N758-R758)*(IFERROR(INDEX('TaxCred&amp;Subs'!$J$66:$J$99,MATCH(1,($C758&amp;$D758='TaxCred&amp;Subs'!$D$66:$D$99)*($F758='TaxCred&amp;Subs'!$C$66:$C$99),0)),0)),IF($C758&gt;2,(N758-R758)*(IFERROR(INDEX('TaxCred&amp;Subs'!$J$66:$J$99,MATCH(1,($C758&amp;$D758='TaxCred&amp;Subs'!$D$66:$D$99)*($F758='TaxCred&amp;Subs'!$C$66:$C$99),0)),0)),0))),0)</f>
        <v>0</v>
      </c>
      <c r="Q758" s="41">
        <f t="array" ref="Q758">ROUND(IF(AND($C758=2,VALUE(RIGHT($AD758,1))&gt;2),(O758-S758)*(IFERROR(INDEX('TaxCred&amp;Subs'!$J$66:$J$99,MATCH(1,($C758&amp;$D758='TaxCred&amp;Subs'!$E$66:$E$99)*($F758='TaxCred&amp;Subs'!$C$66:$C$99),0)),0)),IF(AND($C758=1,VALUE(RIGHT($AD758,1))&gt;2),(O758-S758)*(IFERROR(INDEX('TaxCred&amp;Subs'!$J$66:$J$99,MATCH(1,($C758&amp;$D758='TaxCred&amp;Subs'!$D$66:$D$99)*($F758='TaxCred&amp;Subs'!$C$66:$C$99),0)),0)),IF($C758&gt;2,(O758-S758)*(IFERROR(INDEX('TaxCred&amp;Subs'!$J$66:$J$99,MATCH(1,($C758&amp;$D758='TaxCred&amp;Subs'!$D$66:$D$99)*($F758='TaxCred&amp;Subs'!$C$66:$C$99),0)),0)),0))),0)</f>
        <v>0</v>
      </c>
      <c r="R758" s="41">
        <f t="array" ref="R758">ROUND(IF(IFERROR(VALUE(RIGHT($AD758,1)),0)&gt;2,IF($C758=8,N758*IFERROR(INDEX('TaxCred&amp;Subs'!$K$139:$S$151,MATCH($C758&amp;$D758&amp;LEFT($AD758,7),'TaxCred&amp;Subs'!$E$139:$E$151,0),MATCH($H758,'TaxCred&amp;Subs'!$K$137:$S$137,0)),0),IF($C758=2,N758*IFERROR(INDEX('TaxCred&amp;Subs'!$K$139:$S$151,MATCH($C758&amp;$D758,'TaxCred&amp;Subs'!$D$139:$D$151,0),MATCH($H758,'TaxCred&amp;Subs'!$K$137:$S$137,0)),0),N758*IFERROR(INDEX('TaxCred&amp;Subs'!$K$139:$S$151,MATCH($C758&amp;$D758,'TaxCred&amp;Subs'!$C$139:$C$151,0),MATCH($H758,'TaxCred&amp;Subs'!$K$137:$S$137,0)),0))),0),0)</f>
        <v>360</v>
      </c>
      <c r="S758" s="41">
        <f t="array" ref="S758">ROUND(IF(IFERROR(VALUE(RIGHT($AD758,1)),0)&gt;2,IF($C758=8,O758*IFERROR(INDEX('TaxCred&amp;Subs'!$K$139:$S$151,MATCH($C758&amp;$D758&amp;LEFT($AD758,7),'TaxCred&amp;Subs'!$E$139:$E$151,0),MATCH($H758,'TaxCred&amp;Subs'!$K$137:$S$137,0)),0),IF($C758=2,O758*IFERROR(INDEX('TaxCred&amp;Subs'!$K$139:$S$151,MATCH($C758&amp;$D758,'TaxCred&amp;Subs'!$D$139:$D$151,0),MATCH($H758,'TaxCred&amp;Subs'!$K$137:$S$137,0)),0),O758*IFERROR(INDEX('TaxCred&amp;Subs'!$K$139:$S$151,MATCH($C758&amp;$D758,'TaxCred&amp;Subs'!$C$139:$C$151,0),MATCH($H758,'TaxCred&amp;Subs'!$K$137:$S$137,0)),0))),0),0)</f>
        <v>246</v>
      </c>
      <c r="T758" s="41">
        <f t="shared" si="49"/>
        <v>239.25</v>
      </c>
      <c r="U758" s="41">
        <f t="shared" si="50"/>
        <v>163.5</v>
      </c>
      <c r="V758" s="152" t="s">
        <v>222</v>
      </c>
      <c r="W758" s="152">
        <v>2020</v>
      </c>
      <c r="X758" s="152">
        <v>1</v>
      </c>
      <c r="Y758" s="152">
        <v>0</v>
      </c>
      <c r="Z758" s="194">
        <v>-1.755E-3</v>
      </c>
      <c r="AA758" s="194">
        <v>-2.7E-2</v>
      </c>
      <c r="AB758" s="152">
        <v>0</v>
      </c>
      <c r="AC758" s="152">
        <v>0</v>
      </c>
      <c r="AD758" s="152" t="s">
        <v>501</v>
      </c>
      <c r="AE758" t="s">
        <v>354</v>
      </c>
    </row>
    <row r="759" spans="2:31" ht="14.25" customHeight="1" x14ac:dyDescent="0.2">
      <c r="B759" s="7">
        <f t="shared" si="51"/>
        <v>735</v>
      </c>
      <c r="C759" s="28">
        <v>5</v>
      </c>
      <c r="D759" s="28">
        <v>3</v>
      </c>
      <c r="E759" s="96">
        <v>9</v>
      </c>
      <c r="F759" s="96">
        <v>2020</v>
      </c>
      <c r="G759" s="96">
        <v>2028</v>
      </c>
      <c r="H759" s="28">
        <v>11</v>
      </c>
      <c r="I759" s="28">
        <v>0</v>
      </c>
      <c r="J759" s="28">
        <v>0</v>
      </c>
      <c r="K759" s="28">
        <v>0</v>
      </c>
      <c r="L759" s="28">
        <v>0</v>
      </c>
      <c r="M759" s="156">
        <v>0.59665000000000001</v>
      </c>
      <c r="N759" s="151">
        <v>3130.1515746485506</v>
      </c>
      <c r="O759" s="151">
        <v>1963.3735176313514</v>
      </c>
      <c r="P759" s="95">
        <f t="array" ref="P759">ROUND(IF($F759&lt;='TaxCred&amp;Subs'!$C$49,(IF($C759=2,IF($M759&gt;=IFERROR(INDEX('TaxCred&amp;Subs'!$L$12:$L$47,MATCH(1,($C759&amp;$D759='TaxCred&amp;Subs'!$E$12:$E$47)*($F759='TaxCred&amp;Subs'!$C$12:$C$47),0)
),9999),IFERROR(INDEX('TaxCred&amp;Subs'!$N$12:$N$47,MATCH(1,($C759&amp;$D759='TaxCred&amp;Subs'!$E$12:$E$47)*($F759='TaxCred&amp;Subs'!$C$12:$C$47),0)
),0),0),(IF($M759&gt;=IFERROR(INDEX('TaxCred&amp;Subs'!$H$12:$H$47,MATCH(1,($C759&amp;$D759='TaxCred&amp;Subs'!$D$12:$D$47)*($F759='TaxCred&amp;Subs'!$C$12:$C$47),0)
),9999),IFERROR(INDEX('TaxCred&amp;Subs'!$N$12:$N$47,MATCH(1,($C759&amp;$D759='TaxCred&amp;Subs'!$D$12:$D$47)*($F759='TaxCred&amp;Subs'!$C$12:$C$47),0)
),0),0)))),0)+IF(AND($C759=2,VALUE(RIGHT($AD759,1))&gt;2),(N759-R759)*(IFERROR(INDEX('TaxCred&amp;Subs'!$J$66:$J$99,MATCH(1,($C759&amp;$D759='TaxCred&amp;Subs'!$E$66:$E$99)*($F759='TaxCred&amp;Subs'!$C$66:$C$99),0)),0)),IF(AND($C759=1,VALUE(RIGHT($AD759,1))&gt;2),(N759-R759)*(IFERROR(INDEX('TaxCred&amp;Subs'!$J$66:$J$99,MATCH(1,($C759&amp;$D759='TaxCred&amp;Subs'!$D$66:$D$99)*($F759='TaxCred&amp;Subs'!$C$66:$C$99),0)),0)),IF($C759&gt;2,(N759-R759)*(IFERROR(INDEX('TaxCred&amp;Subs'!$J$66:$J$99,MATCH(1,($C759&amp;$D759='TaxCred&amp;Subs'!$D$66:$D$99)*($F759='TaxCred&amp;Subs'!$C$66:$C$99),0)),0)),0))),0)</f>
        <v>0</v>
      </c>
      <c r="Q759" s="95">
        <f t="array" ref="Q759">ROUND(IF(AND($C759=2,VALUE(RIGHT($AD759,1))&gt;2),(O759-S759)*(IFERROR(INDEX('TaxCred&amp;Subs'!$J$66:$J$99,MATCH(1,($C759&amp;$D759='TaxCred&amp;Subs'!$E$66:$E$99)*($F759='TaxCred&amp;Subs'!$C$66:$C$99),0)),0)),IF(AND($C759=1,VALUE(RIGHT($AD759,1))&gt;2),(O759-S759)*(IFERROR(INDEX('TaxCred&amp;Subs'!$J$66:$J$99,MATCH(1,($C759&amp;$D759='TaxCred&amp;Subs'!$D$66:$D$99)*($F759='TaxCred&amp;Subs'!$C$66:$C$99),0)),0)),IF($C759&gt;2,(O759-S759)*(IFERROR(INDEX('TaxCred&amp;Subs'!$J$66:$J$99,MATCH(1,($C759&amp;$D759='TaxCred&amp;Subs'!$D$66:$D$99)*($F759='TaxCred&amp;Subs'!$C$66:$C$99),0)),0)),0))),0)</f>
        <v>0</v>
      </c>
      <c r="R759" s="95">
        <f t="array" ref="R759">ROUND(IF(IFERROR(VALUE(RIGHT($AD759,1)),0)&gt;2,IF($C759=8,N759*IFERROR(INDEX('TaxCred&amp;Subs'!$K$139:$S$151,MATCH($C759&amp;$D759&amp;LEFT($AD759,7),'TaxCred&amp;Subs'!$E$139:$E$151,0),MATCH($H759,'TaxCred&amp;Subs'!$K$137:$S$137,0)),0),IF($C759=2,N759*IFERROR(INDEX('TaxCred&amp;Subs'!$K$139:$S$151,MATCH($C759&amp;$D759,'TaxCred&amp;Subs'!$D$139:$D$151,0),MATCH($H759,'TaxCred&amp;Subs'!$K$137:$S$137,0)),0),N759*IFERROR(INDEX('TaxCred&amp;Subs'!$K$139:$S$151,MATCH($C759&amp;$D759,'TaxCred&amp;Subs'!$C$139:$C$151,0),MATCH($H759,'TaxCred&amp;Subs'!$K$137:$S$137,0)),0))),0),0)</f>
        <v>0</v>
      </c>
      <c r="S759" s="95">
        <f t="array" ref="S759">ROUND(IF(IFERROR(VALUE(RIGHT($AD759,1)),0)&gt;2,IF($C759=8,O759*IFERROR(INDEX('TaxCred&amp;Subs'!$K$139:$S$151,MATCH($C759&amp;$D759&amp;LEFT($AD759,7),'TaxCred&amp;Subs'!$E$139:$E$151,0),MATCH($H759,'TaxCred&amp;Subs'!$K$137:$S$137,0)),0),IF($C759=2,O759*IFERROR(INDEX('TaxCred&amp;Subs'!$K$139:$S$151,MATCH($C759&amp;$D759,'TaxCred&amp;Subs'!$D$139:$D$151,0),MATCH($H759,'TaxCred&amp;Subs'!$K$137:$S$137,0)),0),O759*IFERROR(INDEX('TaxCred&amp;Subs'!$K$139:$S$151,MATCH($C759&amp;$D759,'TaxCred&amp;Subs'!$C$139:$C$151,0),MATCH($H759,'TaxCred&amp;Subs'!$K$137:$S$137,0)),0))),0),0)</f>
        <v>0</v>
      </c>
      <c r="T759" s="95">
        <f t="shared" si="49"/>
        <v>0</v>
      </c>
      <c r="U759" s="95">
        <f t="shared" si="50"/>
        <v>0</v>
      </c>
      <c r="V759" s="28" t="s">
        <v>222</v>
      </c>
      <c r="W759" s="31">
        <v>2020</v>
      </c>
      <c r="X759" s="28">
        <v>1</v>
      </c>
      <c r="Y759" s="28">
        <v>0</v>
      </c>
      <c r="Z759" s="196">
        <v>-6.6445445159407299E-4</v>
      </c>
      <c r="AA759" s="196">
        <v>-1.0222376178370353E-2</v>
      </c>
      <c r="AB759" s="28">
        <v>0</v>
      </c>
      <c r="AC759" s="28">
        <v>0</v>
      </c>
      <c r="AD759" s="28" t="s">
        <v>213</v>
      </c>
    </row>
    <row r="760" spans="2:31" ht="14.25" customHeight="1" x14ac:dyDescent="0.2">
      <c r="B760" s="7">
        <f t="shared" si="51"/>
        <v>736</v>
      </c>
      <c r="C760" s="152">
        <v>5</v>
      </c>
      <c r="D760" s="152">
        <v>3</v>
      </c>
      <c r="E760" s="153">
        <v>9</v>
      </c>
      <c r="F760" s="153">
        <v>2029</v>
      </c>
      <c r="G760" s="152">
        <v>2050</v>
      </c>
      <c r="H760" s="152">
        <v>11</v>
      </c>
      <c r="I760" s="152">
        <v>0</v>
      </c>
      <c r="J760" s="152">
        <v>0</v>
      </c>
      <c r="K760" s="152">
        <v>0</v>
      </c>
      <c r="L760" s="152">
        <v>0</v>
      </c>
      <c r="M760" s="154">
        <v>0.63665000000000005</v>
      </c>
      <c r="N760" s="155">
        <v>3340</v>
      </c>
      <c r="O760" s="155">
        <v>2095</v>
      </c>
      <c r="P760" s="41">
        <f t="array" ref="P760">ROUND(IF($F760&lt;='TaxCred&amp;Subs'!$C$49,(IF($C760=2,IF($M760&gt;=IFERROR(INDEX('TaxCred&amp;Subs'!$L$12:$L$47,MATCH(1,($C760&amp;$D760='TaxCred&amp;Subs'!$E$12:$E$47)*($F760='TaxCred&amp;Subs'!$C$12:$C$47),0)
),9999),IFERROR(INDEX('TaxCred&amp;Subs'!$N$12:$N$47,MATCH(1,($C760&amp;$D760='TaxCred&amp;Subs'!$E$12:$E$47)*($F760='TaxCred&amp;Subs'!$C$12:$C$47),0)
),0),0),(IF($M760&gt;=IFERROR(INDEX('TaxCred&amp;Subs'!$H$12:$H$47,MATCH(1,($C760&amp;$D760='TaxCred&amp;Subs'!$D$12:$D$47)*($F760='TaxCred&amp;Subs'!$C$12:$C$47),0)
),9999),IFERROR(INDEX('TaxCred&amp;Subs'!$N$12:$N$47,MATCH(1,($C760&amp;$D760='TaxCred&amp;Subs'!$D$12:$D$47)*($F760='TaxCred&amp;Subs'!$C$12:$C$47),0)
),0),0)))),0)+IF(AND($C760=2,VALUE(RIGHT($AD760,1))&gt;2),(N760-R760)*(IFERROR(INDEX('TaxCred&amp;Subs'!$J$66:$J$99,MATCH(1,($C760&amp;$D760='TaxCred&amp;Subs'!$E$66:$E$99)*($F760='TaxCred&amp;Subs'!$C$66:$C$99),0)),0)),IF(AND($C760=1,VALUE(RIGHT($AD760,1))&gt;2),(N760-R760)*(IFERROR(INDEX('TaxCred&amp;Subs'!$J$66:$J$99,MATCH(1,($C760&amp;$D760='TaxCred&amp;Subs'!$D$66:$D$99)*($F760='TaxCred&amp;Subs'!$C$66:$C$99),0)),0)),IF($C760&gt;2,(N760-R760)*(IFERROR(INDEX('TaxCred&amp;Subs'!$J$66:$J$99,MATCH(1,($C760&amp;$D760='TaxCred&amp;Subs'!$D$66:$D$99)*($F760='TaxCred&amp;Subs'!$C$66:$C$99),0)),0)),0))),0)</f>
        <v>0</v>
      </c>
      <c r="Q760" s="41">
        <f t="array" ref="Q760">ROUND(IF(AND($C760=2,VALUE(RIGHT($AD760,1))&gt;2),(O760-S760)*(IFERROR(INDEX('TaxCred&amp;Subs'!$J$66:$J$99,MATCH(1,($C760&amp;$D760='TaxCred&amp;Subs'!$E$66:$E$99)*($F760='TaxCred&amp;Subs'!$C$66:$C$99),0)),0)),IF(AND($C760=1,VALUE(RIGHT($AD760,1))&gt;2),(O760-S760)*(IFERROR(INDEX('TaxCred&amp;Subs'!$J$66:$J$99,MATCH(1,($C760&amp;$D760='TaxCred&amp;Subs'!$D$66:$D$99)*($F760='TaxCred&amp;Subs'!$C$66:$C$99),0)),0)),IF($C760&gt;2,(O760-S760)*(IFERROR(INDEX('TaxCred&amp;Subs'!$J$66:$J$99,MATCH(1,($C760&amp;$D760='TaxCred&amp;Subs'!$D$66:$D$99)*($F760='TaxCred&amp;Subs'!$C$66:$C$99),0)),0)),0))),0)</f>
        <v>0</v>
      </c>
      <c r="R760" s="41">
        <f t="array" ref="R760">ROUND(IF(IFERROR(VALUE(RIGHT($AD760,1)),0)&gt;2,IF($C760=8,N760*IFERROR(INDEX('TaxCred&amp;Subs'!$K$139:$S$151,MATCH($C760&amp;$D760&amp;LEFT($AD760,7),'TaxCred&amp;Subs'!$E$139:$E$151,0),MATCH($H760,'TaxCred&amp;Subs'!$K$137:$S$137,0)),0),IF($C760=2,N760*IFERROR(INDEX('TaxCred&amp;Subs'!$K$139:$S$151,MATCH($C760&amp;$D760,'TaxCred&amp;Subs'!$D$139:$D$151,0),MATCH($H760,'TaxCred&amp;Subs'!$K$137:$S$137,0)),0),N760*IFERROR(INDEX('TaxCred&amp;Subs'!$K$139:$S$151,MATCH($C760&amp;$D760,'TaxCred&amp;Subs'!$C$139:$C$151,0),MATCH($H760,'TaxCred&amp;Subs'!$K$137:$S$137,0)),0))),0),0)</f>
        <v>0</v>
      </c>
      <c r="S760" s="41">
        <f t="array" ref="S760">ROUND(IF(IFERROR(VALUE(RIGHT($AD760,1)),0)&gt;2,IF($C760=8,O760*IFERROR(INDEX('TaxCred&amp;Subs'!$K$139:$S$151,MATCH($C760&amp;$D760&amp;LEFT($AD760,7),'TaxCred&amp;Subs'!$E$139:$E$151,0),MATCH($H760,'TaxCred&amp;Subs'!$K$137:$S$137,0)),0),IF($C760=2,O760*IFERROR(INDEX('TaxCred&amp;Subs'!$K$139:$S$151,MATCH($C760&amp;$D760,'TaxCred&amp;Subs'!$D$139:$D$151,0),MATCH($H760,'TaxCred&amp;Subs'!$K$137:$S$137,0)),0),O760*IFERROR(INDEX('TaxCred&amp;Subs'!$K$139:$S$151,MATCH($C760&amp;$D760,'TaxCred&amp;Subs'!$C$139:$C$151,0),MATCH($H760,'TaxCred&amp;Subs'!$K$137:$S$137,0)),0))),0),0)</f>
        <v>0</v>
      </c>
      <c r="T760" s="41">
        <f t="shared" ref="T760" si="52">IF($H760=9,IF(R760&gt;0,(N760-P760)*0.15,0),0)</f>
        <v>0</v>
      </c>
      <c r="U760" s="41">
        <f t="shared" ref="U760" si="53">IF($H760=9,IF(S760&gt;0,(O760-Q760)*0.15,0),0)</f>
        <v>0</v>
      </c>
      <c r="V760" s="152" t="s">
        <v>222</v>
      </c>
      <c r="W760" s="152">
        <v>2020</v>
      </c>
      <c r="X760" s="152">
        <v>1</v>
      </c>
      <c r="Y760" s="152">
        <v>0</v>
      </c>
      <c r="Z760" s="194">
        <v>-6.6445445159407299E-4</v>
      </c>
      <c r="AA760" s="194">
        <v>-1.0222376178370353E-2</v>
      </c>
      <c r="AB760" s="152">
        <v>0</v>
      </c>
      <c r="AC760" s="152">
        <v>0</v>
      </c>
      <c r="AD760" s="152" t="s">
        <v>213</v>
      </c>
    </row>
    <row r="761" spans="2:31" ht="14.25" customHeight="1" x14ac:dyDescent="0.2">
      <c r="B761" s="7">
        <f t="shared" si="51"/>
        <v>737</v>
      </c>
      <c r="C761" s="28">
        <v>5</v>
      </c>
      <c r="D761" s="28">
        <v>3</v>
      </c>
      <c r="E761" s="96">
        <v>10</v>
      </c>
      <c r="F761" s="96">
        <v>2020</v>
      </c>
      <c r="G761" s="28">
        <v>2050</v>
      </c>
      <c r="H761" s="28">
        <v>11</v>
      </c>
      <c r="I761" s="28">
        <v>0</v>
      </c>
      <c r="J761" s="28">
        <v>0</v>
      </c>
      <c r="K761" s="28">
        <v>0</v>
      </c>
      <c r="L761" s="28">
        <v>0</v>
      </c>
      <c r="M761" s="156">
        <v>0.66</v>
      </c>
      <c r="N761" s="151">
        <v>3385</v>
      </c>
      <c r="O761" s="151">
        <v>2135</v>
      </c>
      <c r="P761" s="95">
        <f t="array" ref="P761">ROUND(IF($F761&lt;='TaxCred&amp;Subs'!$C$49,(IF($C761=2,IF($M761&gt;=IFERROR(INDEX('TaxCred&amp;Subs'!$L$12:$L$47,MATCH(1,($C761&amp;$D761='TaxCred&amp;Subs'!$E$12:$E$47)*($F761='TaxCred&amp;Subs'!$C$12:$C$47),0)
),9999),IFERROR(INDEX('TaxCred&amp;Subs'!$N$12:$N$47,MATCH(1,($C761&amp;$D761='TaxCred&amp;Subs'!$E$12:$E$47)*($F761='TaxCred&amp;Subs'!$C$12:$C$47),0)
),0),0),(IF($M761&gt;=IFERROR(INDEX('TaxCred&amp;Subs'!$H$12:$H$47,MATCH(1,($C761&amp;$D761='TaxCred&amp;Subs'!$D$12:$D$47)*($F761='TaxCred&amp;Subs'!$C$12:$C$47),0)
),9999),IFERROR(INDEX('TaxCred&amp;Subs'!$N$12:$N$47,MATCH(1,($C761&amp;$D761='TaxCred&amp;Subs'!$D$12:$D$47)*($F761='TaxCred&amp;Subs'!$C$12:$C$47),0)
),0),0)))),0)+IF(AND($C761=2,VALUE(RIGHT($AD761,1))&gt;2),(N761-R761)*(IFERROR(INDEX('TaxCred&amp;Subs'!$J$66:$J$99,MATCH(1,($C761&amp;$D761='TaxCred&amp;Subs'!$E$66:$E$99)*($F761='TaxCred&amp;Subs'!$C$66:$C$99),0)),0)),IF(AND($C761=1,VALUE(RIGHT($AD761,1))&gt;2),(N761-R761)*(IFERROR(INDEX('TaxCred&amp;Subs'!$J$66:$J$99,MATCH(1,($C761&amp;$D761='TaxCred&amp;Subs'!$D$66:$D$99)*($F761='TaxCred&amp;Subs'!$C$66:$C$99),0)),0)),IF($C761&gt;2,(N761-R761)*(IFERROR(INDEX('TaxCred&amp;Subs'!$J$66:$J$99,MATCH(1,($C761&amp;$D761='TaxCred&amp;Subs'!$D$66:$D$99)*($F761='TaxCred&amp;Subs'!$C$66:$C$99),0)),0)),0))),0)</f>
        <v>0</v>
      </c>
      <c r="Q761" s="95">
        <f t="array" ref="Q761">ROUND(IF(AND($C761=2,VALUE(RIGHT($AD761,1))&gt;2),(O761-S761)*(IFERROR(INDEX('TaxCred&amp;Subs'!$J$66:$J$99,MATCH(1,($C761&amp;$D761='TaxCred&amp;Subs'!$E$66:$E$99)*($F761='TaxCred&amp;Subs'!$C$66:$C$99),0)),0)),IF(AND($C761=1,VALUE(RIGHT($AD761,1))&gt;2),(O761-S761)*(IFERROR(INDEX('TaxCred&amp;Subs'!$J$66:$J$99,MATCH(1,($C761&amp;$D761='TaxCred&amp;Subs'!$D$66:$D$99)*($F761='TaxCred&amp;Subs'!$C$66:$C$99),0)),0)),IF($C761&gt;2,(O761-S761)*(IFERROR(INDEX('TaxCred&amp;Subs'!$J$66:$J$99,MATCH(1,($C761&amp;$D761='TaxCred&amp;Subs'!$D$66:$D$99)*($F761='TaxCred&amp;Subs'!$C$66:$C$99),0)),0)),0))),0)</f>
        <v>0</v>
      </c>
      <c r="R761" s="95">
        <f t="array" ref="R761">ROUND(IF(IFERROR(VALUE(RIGHT($AD761,1)),0)&gt;2,IF($C761=8,N761*IFERROR(INDEX('TaxCred&amp;Subs'!$K$139:$S$151,MATCH($C761&amp;$D761&amp;LEFT($AD761,7),'TaxCred&amp;Subs'!$E$139:$E$151,0),MATCH($H761,'TaxCred&amp;Subs'!$K$137:$S$137,0)),0),IF($C761=2,N761*IFERROR(INDEX('TaxCred&amp;Subs'!$K$139:$S$151,MATCH($C761&amp;$D761,'TaxCred&amp;Subs'!$D$139:$D$151,0),MATCH($H761,'TaxCred&amp;Subs'!$K$137:$S$137,0)),0),N761*IFERROR(INDEX('TaxCred&amp;Subs'!$K$139:$S$151,MATCH($C761&amp;$D761,'TaxCred&amp;Subs'!$C$139:$C$151,0),MATCH($H761,'TaxCred&amp;Subs'!$K$137:$S$137,0)),0))),0),0)</f>
        <v>0</v>
      </c>
      <c r="S761" s="95">
        <f t="array" ref="S761">ROUND(IF(IFERROR(VALUE(RIGHT($AD761,1)),0)&gt;2,IF($C761=8,O761*IFERROR(INDEX('TaxCred&amp;Subs'!$K$139:$S$151,MATCH($C761&amp;$D761&amp;LEFT($AD761,7),'TaxCred&amp;Subs'!$E$139:$E$151,0),MATCH($H761,'TaxCred&amp;Subs'!$K$137:$S$137,0)),0),IF($C761=2,O761*IFERROR(INDEX('TaxCred&amp;Subs'!$K$139:$S$151,MATCH($C761&amp;$D761,'TaxCred&amp;Subs'!$D$139:$D$151,0),MATCH($H761,'TaxCred&amp;Subs'!$K$137:$S$137,0)),0),O761*IFERROR(INDEX('TaxCred&amp;Subs'!$K$139:$S$151,MATCH($C761&amp;$D761,'TaxCred&amp;Subs'!$C$139:$C$151,0),MATCH($H761,'TaxCred&amp;Subs'!$K$137:$S$137,0)),0))),0),0)</f>
        <v>0</v>
      </c>
      <c r="T761" s="95">
        <f t="shared" si="49"/>
        <v>0</v>
      </c>
      <c r="U761" s="95">
        <f t="shared" si="50"/>
        <v>0</v>
      </c>
      <c r="V761" s="28" t="s">
        <v>222</v>
      </c>
      <c r="W761" s="31">
        <v>2020</v>
      </c>
      <c r="X761" s="28">
        <v>1</v>
      </c>
      <c r="Y761" s="28">
        <v>0</v>
      </c>
      <c r="Z761" s="196">
        <v>-6.6445445159407299E-4</v>
      </c>
      <c r="AA761" s="196">
        <v>-1.0222376178370353E-2</v>
      </c>
      <c r="AB761" s="28">
        <v>0</v>
      </c>
      <c r="AC761" s="28">
        <v>0</v>
      </c>
      <c r="AD761" s="28" t="s">
        <v>214</v>
      </c>
    </row>
    <row r="762" spans="2:31" ht="14.25" customHeight="1" x14ac:dyDescent="0.2">
      <c r="B762" s="7">
        <f t="shared" si="51"/>
        <v>738</v>
      </c>
      <c r="C762" s="28">
        <v>5</v>
      </c>
      <c r="D762" s="28">
        <v>3</v>
      </c>
      <c r="E762" s="96">
        <v>11</v>
      </c>
      <c r="F762" s="96">
        <v>2020</v>
      </c>
      <c r="G762" s="28">
        <v>2050</v>
      </c>
      <c r="H762" s="28">
        <v>11</v>
      </c>
      <c r="I762" s="28">
        <v>0</v>
      </c>
      <c r="J762" s="28">
        <v>0</v>
      </c>
      <c r="K762" s="28">
        <v>0</v>
      </c>
      <c r="L762" s="28">
        <v>0</v>
      </c>
      <c r="M762" s="156">
        <v>0.68</v>
      </c>
      <c r="N762" s="151">
        <v>3505</v>
      </c>
      <c r="O762" s="151">
        <v>2255</v>
      </c>
      <c r="P762" s="95">
        <f t="array" ref="P762">ROUND(IF($F762&lt;='TaxCred&amp;Subs'!$C$49,(IF($C762=2,IF($M762&gt;=IFERROR(INDEX('TaxCred&amp;Subs'!$L$12:$L$47,MATCH(1,($C762&amp;$D762='TaxCred&amp;Subs'!$E$12:$E$47)*($F762='TaxCred&amp;Subs'!$C$12:$C$47),0)
),9999),IFERROR(INDEX('TaxCred&amp;Subs'!$N$12:$N$47,MATCH(1,($C762&amp;$D762='TaxCred&amp;Subs'!$E$12:$E$47)*($F762='TaxCred&amp;Subs'!$C$12:$C$47),0)
),0),0),(IF($M762&gt;=IFERROR(INDEX('TaxCred&amp;Subs'!$H$12:$H$47,MATCH(1,($C762&amp;$D762='TaxCred&amp;Subs'!$D$12:$D$47)*($F762='TaxCred&amp;Subs'!$C$12:$C$47),0)
),9999),IFERROR(INDEX('TaxCred&amp;Subs'!$N$12:$N$47,MATCH(1,($C762&amp;$D762='TaxCred&amp;Subs'!$D$12:$D$47)*($F762='TaxCred&amp;Subs'!$C$12:$C$47),0)
),0),0)))),0)+IF(AND($C762=2,VALUE(RIGHT($AD762,1))&gt;2),(N762-R762)*(IFERROR(INDEX('TaxCred&amp;Subs'!$J$66:$J$99,MATCH(1,($C762&amp;$D762='TaxCred&amp;Subs'!$E$66:$E$99)*($F762='TaxCred&amp;Subs'!$C$66:$C$99),0)),0)),IF(AND($C762=1,VALUE(RIGHT($AD762,1))&gt;2),(N762-R762)*(IFERROR(INDEX('TaxCred&amp;Subs'!$J$66:$J$99,MATCH(1,($C762&amp;$D762='TaxCred&amp;Subs'!$D$66:$D$99)*($F762='TaxCred&amp;Subs'!$C$66:$C$99),0)),0)),IF($C762&gt;2,(N762-R762)*(IFERROR(INDEX('TaxCred&amp;Subs'!$J$66:$J$99,MATCH(1,($C762&amp;$D762='TaxCred&amp;Subs'!$D$66:$D$99)*($F762='TaxCred&amp;Subs'!$C$66:$C$99),0)),0)),0))),0)</f>
        <v>0</v>
      </c>
      <c r="Q762" s="95">
        <f t="array" ref="Q762">ROUND(IF(AND($C762=2,VALUE(RIGHT($AD762,1))&gt;2),(O762-S762)*(IFERROR(INDEX('TaxCred&amp;Subs'!$J$66:$J$99,MATCH(1,($C762&amp;$D762='TaxCred&amp;Subs'!$E$66:$E$99)*($F762='TaxCred&amp;Subs'!$C$66:$C$99),0)),0)),IF(AND($C762=1,VALUE(RIGHT($AD762,1))&gt;2),(O762-S762)*(IFERROR(INDEX('TaxCred&amp;Subs'!$J$66:$J$99,MATCH(1,($C762&amp;$D762='TaxCred&amp;Subs'!$D$66:$D$99)*($F762='TaxCred&amp;Subs'!$C$66:$C$99),0)),0)),IF($C762&gt;2,(O762-S762)*(IFERROR(INDEX('TaxCred&amp;Subs'!$J$66:$J$99,MATCH(1,($C762&amp;$D762='TaxCred&amp;Subs'!$D$66:$D$99)*($F762='TaxCred&amp;Subs'!$C$66:$C$99),0)),0)),0))),0)</f>
        <v>0</v>
      </c>
      <c r="R762" s="95">
        <f t="array" ref="R762">ROUND(IF(IFERROR(VALUE(RIGHT($AD762,1)),0)&gt;2,IF($C762=8,N762*IFERROR(INDEX('TaxCred&amp;Subs'!$K$139:$S$151,MATCH($C762&amp;$D762&amp;LEFT($AD762,7),'TaxCred&amp;Subs'!$E$139:$E$151,0),MATCH($H762,'TaxCred&amp;Subs'!$K$137:$S$137,0)),0),IF($C762=2,N762*IFERROR(INDEX('TaxCred&amp;Subs'!$K$139:$S$151,MATCH($C762&amp;$D762,'TaxCred&amp;Subs'!$D$139:$D$151,0),MATCH($H762,'TaxCred&amp;Subs'!$K$137:$S$137,0)),0),N762*IFERROR(INDEX('TaxCred&amp;Subs'!$K$139:$S$151,MATCH($C762&amp;$D762,'TaxCred&amp;Subs'!$C$139:$C$151,0),MATCH($H762,'TaxCred&amp;Subs'!$K$137:$S$137,0)),0))),0),0)</f>
        <v>0</v>
      </c>
      <c r="S762" s="95">
        <f t="array" ref="S762">ROUND(IF(IFERROR(VALUE(RIGHT($AD762,1)),0)&gt;2,IF($C762=8,O762*IFERROR(INDEX('TaxCred&amp;Subs'!$K$139:$S$151,MATCH($C762&amp;$D762&amp;LEFT($AD762,7),'TaxCred&amp;Subs'!$E$139:$E$151,0),MATCH($H762,'TaxCred&amp;Subs'!$K$137:$S$137,0)),0),IF($C762=2,O762*IFERROR(INDEX('TaxCred&amp;Subs'!$K$139:$S$151,MATCH($C762&amp;$D762,'TaxCred&amp;Subs'!$D$139:$D$151,0),MATCH($H762,'TaxCred&amp;Subs'!$K$137:$S$137,0)),0),O762*IFERROR(INDEX('TaxCred&amp;Subs'!$K$139:$S$151,MATCH($C762&amp;$D762,'TaxCred&amp;Subs'!$C$139:$C$151,0),MATCH($H762,'TaxCred&amp;Subs'!$K$137:$S$137,0)),0))),0),0)</f>
        <v>0</v>
      </c>
      <c r="T762" s="95">
        <f t="shared" si="49"/>
        <v>0</v>
      </c>
      <c r="U762" s="95">
        <f t="shared" si="50"/>
        <v>0</v>
      </c>
      <c r="V762" s="28" t="s">
        <v>222</v>
      </c>
      <c r="W762" s="31">
        <v>2020</v>
      </c>
      <c r="X762" s="28">
        <v>1</v>
      </c>
      <c r="Y762" s="28">
        <v>0</v>
      </c>
      <c r="Z762" s="196">
        <v>-8.7328808007640553E-4</v>
      </c>
      <c r="AA762" s="196">
        <v>-1.34352012319447E-2</v>
      </c>
      <c r="AB762" s="28">
        <v>0</v>
      </c>
      <c r="AC762" s="28">
        <v>0</v>
      </c>
      <c r="AD762" s="28" t="s">
        <v>355</v>
      </c>
    </row>
    <row r="763" spans="2:31" ht="14.25" customHeight="1" x14ac:dyDescent="0.2">
      <c r="B763" s="7">
        <f t="shared" si="51"/>
        <v>739</v>
      </c>
      <c r="C763" s="28">
        <v>5</v>
      </c>
      <c r="D763" s="28">
        <v>4</v>
      </c>
      <c r="E763" s="96">
        <v>12</v>
      </c>
      <c r="F763" s="96">
        <v>2020</v>
      </c>
      <c r="G763" s="96">
        <v>2028</v>
      </c>
      <c r="H763" s="28">
        <v>11</v>
      </c>
      <c r="I763" s="28">
        <v>0</v>
      </c>
      <c r="J763" s="28">
        <v>0</v>
      </c>
      <c r="K763" s="28">
        <v>0</v>
      </c>
      <c r="L763" s="28">
        <v>0</v>
      </c>
      <c r="M763" s="75">
        <v>0.61</v>
      </c>
      <c r="N763" s="151">
        <v>1215</v>
      </c>
      <c r="O763" s="151">
        <v>705</v>
      </c>
      <c r="P763" s="95">
        <f t="array" ref="P763">ROUND(IF($F763&lt;='TaxCred&amp;Subs'!$C$49,(IF($C763=2,IF($M763&gt;=IFERROR(INDEX('TaxCred&amp;Subs'!$L$12:$L$47,MATCH(1,($C763&amp;$D763='TaxCred&amp;Subs'!$E$12:$E$47)*($F763='TaxCred&amp;Subs'!$C$12:$C$47),0)
),9999),IFERROR(INDEX('TaxCred&amp;Subs'!$N$12:$N$47,MATCH(1,($C763&amp;$D763='TaxCred&amp;Subs'!$E$12:$E$47)*($F763='TaxCred&amp;Subs'!$C$12:$C$47),0)
),0),0),(IF($M763&gt;=IFERROR(INDEX('TaxCred&amp;Subs'!$H$12:$H$47,MATCH(1,($C763&amp;$D763='TaxCred&amp;Subs'!$D$12:$D$47)*($F763='TaxCred&amp;Subs'!$C$12:$C$47),0)
),9999),IFERROR(INDEX('TaxCred&amp;Subs'!$N$12:$N$47,MATCH(1,($C763&amp;$D763='TaxCred&amp;Subs'!$D$12:$D$47)*($F763='TaxCred&amp;Subs'!$C$12:$C$47),0)
),0),0)))),0)+IF(AND($C763=2,VALUE(RIGHT($AD763,1))&gt;2),(N763-R763)*(IFERROR(INDEX('TaxCred&amp;Subs'!$J$66:$J$99,MATCH(1,($C763&amp;$D763='TaxCred&amp;Subs'!$E$66:$E$99)*($F763='TaxCred&amp;Subs'!$C$66:$C$99),0)),0)),IF(AND($C763=1,VALUE(RIGHT($AD763,1))&gt;2),(N763-R763)*(IFERROR(INDEX('TaxCred&amp;Subs'!$J$66:$J$99,MATCH(1,($C763&amp;$D763='TaxCred&amp;Subs'!$D$66:$D$99)*($F763='TaxCred&amp;Subs'!$C$66:$C$99),0)),0)),IF($C763&gt;2,(N763-R763)*(IFERROR(INDEX('TaxCred&amp;Subs'!$J$66:$J$99,MATCH(1,($C763&amp;$D763='TaxCred&amp;Subs'!$D$66:$D$99)*($F763='TaxCred&amp;Subs'!$C$66:$C$99),0)),0)),0))),0)</f>
        <v>0</v>
      </c>
      <c r="Q763" s="95">
        <f t="array" ref="Q763">ROUND(IF(AND($C763=2,VALUE(RIGHT($AD763,1))&gt;2),(O763-S763)*(IFERROR(INDEX('TaxCred&amp;Subs'!$J$66:$J$99,MATCH(1,($C763&amp;$D763='TaxCred&amp;Subs'!$E$66:$E$99)*($F763='TaxCred&amp;Subs'!$C$66:$C$99),0)),0)),IF(AND($C763=1,VALUE(RIGHT($AD763,1))&gt;2),(O763-S763)*(IFERROR(INDEX('TaxCred&amp;Subs'!$J$66:$J$99,MATCH(1,($C763&amp;$D763='TaxCred&amp;Subs'!$D$66:$D$99)*($F763='TaxCred&amp;Subs'!$C$66:$C$99),0)),0)),IF($C763&gt;2,(O763-S763)*(IFERROR(INDEX('TaxCred&amp;Subs'!$J$66:$J$99,MATCH(1,($C763&amp;$D763='TaxCred&amp;Subs'!$D$66:$D$99)*($F763='TaxCred&amp;Subs'!$C$66:$C$99),0)),0)),0))),0)</f>
        <v>0</v>
      </c>
      <c r="R763" s="95">
        <f t="array" ref="R763">ROUND(IF(IFERROR(VALUE(RIGHT($AD763,1)),0)&gt;2,IF($C763=8,N763*IFERROR(INDEX('TaxCred&amp;Subs'!$K$139:$S$151,MATCH($C763&amp;$D763&amp;LEFT($AD763,7),'TaxCred&amp;Subs'!$E$139:$E$151,0),MATCH($H763,'TaxCred&amp;Subs'!$K$137:$S$137,0)),0),IF($C763=2,N763*IFERROR(INDEX('TaxCred&amp;Subs'!$K$139:$S$151,MATCH($C763&amp;$D763,'TaxCred&amp;Subs'!$D$139:$D$151,0),MATCH($H763,'TaxCred&amp;Subs'!$K$137:$S$137,0)),0),N763*IFERROR(INDEX('TaxCred&amp;Subs'!$K$139:$S$151,MATCH($C763&amp;$D763,'TaxCred&amp;Subs'!$C$139:$C$151,0),MATCH($H763,'TaxCred&amp;Subs'!$K$137:$S$137,0)),0))),0),0)</f>
        <v>0</v>
      </c>
      <c r="S763" s="95">
        <f t="array" ref="S763">ROUND(IF(IFERROR(VALUE(RIGHT($AD763,1)),0)&gt;2,IF($C763=8,O763*IFERROR(INDEX('TaxCred&amp;Subs'!$K$139:$S$151,MATCH($C763&amp;$D763&amp;LEFT($AD763,7),'TaxCred&amp;Subs'!$E$139:$E$151,0),MATCH($H763,'TaxCred&amp;Subs'!$K$137:$S$137,0)),0),IF($C763=2,O763*IFERROR(INDEX('TaxCred&amp;Subs'!$K$139:$S$151,MATCH($C763&amp;$D763,'TaxCred&amp;Subs'!$D$139:$D$151,0),MATCH($H763,'TaxCred&amp;Subs'!$K$137:$S$137,0)),0),O763*IFERROR(INDEX('TaxCred&amp;Subs'!$K$139:$S$151,MATCH($C763&amp;$D763,'TaxCred&amp;Subs'!$C$139:$C$151,0),MATCH($H763,'TaxCred&amp;Subs'!$K$137:$S$137,0)),0))),0),0)</f>
        <v>0</v>
      </c>
      <c r="T763" s="95">
        <f t="shared" si="49"/>
        <v>0</v>
      </c>
      <c r="U763" s="95">
        <f t="shared" si="50"/>
        <v>0</v>
      </c>
      <c r="V763" s="28" t="s">
        <v>222</v>
      </c>
      <c r="W763" s="31">
        <v>2020</v>
      </c>
      <c r="X763" s="28">
        <v>1</v>
      </c>
      <c r="Y763" s="28">
        <v>0</v>
      </c>
      <c r="Z763" s="196">
        <v>-3.0376019771829188E-3</v>
      </c>
      <c r="AA763" s="196">
        <v>-4.6732338110506443E-2</v>
      </c>
      <c r="AB763" s="28">
        <v>0</v>
      </c>
      <c r="AC763" s="28">
        <v>0</v>
      </c>
      <c r="AD763" s="28" t="s">
        <v>343</v>
      </c>
      <c r="AE763" t="s">
        <v>344</v>
      </c>
    </row>
    <row r="764" spans="2:31" ht="14.25" customHeight="1" x14ac:dyDescent="0.2">
      <c r="B764" s="7">
        <f t="shared" si="51"/>
        <v>740</v>
      </c>
      <c r="C764" s="152">
        <v>5</v>
      </c>
      <c r="D764" s="152">
        <v>4</v>
      </c>
      <c r="E764" s="153">
        <v>12</v>
      </c>
      <c r="F764" s="153">
        <v>2029</v>
      </c>
      <c r="G764" s="152">
        <v>2050</v>
      </c>
      <c r="H764" s="152">
        <v>11</v>
      </c>
      <c r="I764" s="152">
        <v>0</v>
      </c>
      <c r="J764" s="152">
        <v>0</v>
      </c>
      <c r="K764" s="152">
        <v>0</v>
      </c>
      <c r="L764" s="152">
        <v>0</v>
      </c>
      <c r="M764" s="154">
        <v>0.66349999999999998</v>
      </c>
      <c r="N764" s="155">
        <v>1325</v>
      </c>
      <c r="O764" s="155">
        <v>800</v>
      </c>
      <c r="P764" s="41">
        <f t="array" ref="P764">ROUND(IF($F764&lt;='TaxCred&amp;Subs'!$C$49,(IF($C764=2,IF($M764&gt;=IFERROR(INDEX('TaxCred&amp;Subs'!$L$12:$L$47,MATCH(1,($C764&amp;$D764='TaxCred&amp;Subs'!$E$12:$E$47)*($F764='TaxCred&amp;Subs'!$C$12:$C$47),0)
),9999),IFERROR(INDEX('TaxCred&amp;Subs'!$N$12:$N$47,MATCH(1,($C764&amp;$D764='TaxCred&amp;Subs'!$E$12:$E$47)*($F764='TaxCred&amp;Subs'!$C$12:$C$47),0)
),0),0),(IF($M764&gt;=IFERROR(INDEX('TaxCred&amp;Subs'!$H$12:$H$47,MATCH(1,($C764&amp;$D764='TaxCred&amp;Subs'!$D$12:$D$47)*($F764='TaxCred&amp;Subs'!$C$12:$C$47),0)
),9999),IFERROR(INDEX('TaxCred&amp;Subs'!$N$12:$N$47,MATCH(1,($C764&amp;$D764='TaxCred&amp;Subs'!$D$12:$D$47)*($F764='TaxCred&amp;Subs'!$C$12:$C$47),0)
),0),0)))),0)+IF(AND($C764=2,VALUE(RIGHT($AD764,1))&gt;2),(N764-R764)*(IFERROR(INDEX('TaxCred&amp;Subs'!$J$66:$J$99,MATCH(1,($C764&amp;$D764='TaxCred&amp;Subs'!$E$66:$E$99)*($F764='TaxCred&amp;Subs'!$C$66:$C$99),0)),0)),IF(AND($C764=1,VALUE(RIGHT($AD764,1))&gt;2),(N764-R764)*(IFERROR(INDEX('TaxCred&amp;Subs'!$J$66:$J$99,MATCH(1,($C764&amp;$D764='TaxCred&amp;Subs'!$D$66:$D$99)*($F764='TaxCred&amp;Subs'!$C$66:$C$99),0)),0)),IF($C764&gt;2,(N764-R764)*(IFERROR(INDEX('TaxCred&amp;Subs'!$J$66:$J$99,MATCH(1,($C764&amp;$D764='TaxCred&amp;Subs'!$D$66:$D$99)*($F764='TaxCred&amp;Subs'!$C$66:$C$99),0)),0)),0))),0)</f>
        <v>0</v>
      </c>
      <c r="Q764" s="41">
        <f t="array" ref="Q764">ROUND(IF(AND($C764=2,VALUE(RIGHT($AD764,1))&gt;2),(O764-S764)*(IFERROR(INDEX('TaxCred&amp;Subs'!$J$66:$J$99,MATCH(1,($C764&amp;$D764='TaxCred&amp;Subs'!$E$66:$E$99)*($F764='TaxCred&amp;Subs'!$C$66:$C$99),0)),0)),IF(AND($C764=1,VALUE(RIGHT($AD764,1))&gt;2),(O764-S764)*(IFERROR(INDEX('TaxCred&amp;Subs'!$J$66:$J$99,MATCH(1,($C764&amp;$D764='TaxCred&amp;Subs'!$D$66:$D$99)*($F764='TaxCred&amp;Subs'!$C$66:$C$99),0)),0)),IF($C764&gt;2,(O764-S764)*(IFERROR(INDEX('TaxCred&amp;Subs'!$J$66:$J$99,MATCH(1,($C764&amp;$D764='TaxCred&amp;Subs'!$D$66:$D$99)*($F764='TaxCred&amp;Subs'!$C$66:$C$99),0)),0)),0))),0)</f>
        <v>0</v>
      </c>
      <c r="R764" s="41">
        <f t="array" ref="R764">ROUND(IF(IFERROR(VALUE(RIGHT($AD764,1)),0)&gt;2,IF($C764=8,N764*IFERROR(INDEX('TaxCred&amp;Subs'!$K$139:$S$151,MATCH($C764&amp;$D764&amp;LEFT($AD764,7),'TaxCred&amp;Subs'!$E$139:$E$151,0),MATCH($H764,'TaxCred&amp;Subs'!$K$137:$S$137,0)),0),IF($C764=2,N764*IFERROR(INDEX('TaxCred&amp;Subs'!$K$139:$S$151,MATCH($C764&amp;$D764,'TaxCred&amp;Subs'!$D$139:$D$151,0),MATCH($H764,'TaxCred&amp;Subs'!$K$137:$S$137,0)),0),N764*IFERROR(INDEX('TaxCred&amp;Subs'!$K$139:$S$151,MATCH($C764&amp;$D764,'TaxCred&amp;Subs'!$C$139:$C$151,0),MATCH($H764,'TaxCred&amp;Subs'!$K$137:$S$137,0)),0))),0),0)</f>
        <v>0</v>
      </c>
      <c r="S764" s="41">
        <f t="array" ref="S764">ROUND(IF(IFERROR(VALUE(RIGHT($AD764,1)),0)&gt;2,IF($C764=8,O764*IFERROR(INDEX('TaxCred&amp;Subs'!$K$139:$S$151,MATCH($C764&amp;$D764&amp;LEFT($AD764,7),'TaxCred&amp;Subs'!$E$139:$E$151,0),MATCH($H764,'TaxCred&amp;Subs'!$K$137:$S$137,0)),0),IF($C764=2,O764*IFERROR(INDEX('TaxCred&amp;Subs'!$K$139:$S$151,MATCH($C764&amp;$D764,'TaxCred&amp;Subs'!$D$139:$D$151,0),MATCH($H764,'TaxCred&amp;Subs'!$K$137:$S$137,0)),0),O764*IFERROR(INDEX('TaxCred&amp;Subs'!$K$139:$S$151,MATCH($C764&amp;$D764,'TaxCred&amp;Subs'!$C$139:$C$151,0),MATCH($H764,'TaxCred&amp;Subs'!$K$137:$S$137,0)),0))),0),0)</f>
        <v>0</v>
      </c>
      <c r="T764" s="41">
        <f t="shared" ref="T764" si="54">IF($H764=9,IF(R764&gt;0,(N764-P764)*0.15,0),0)</f>
        <v>0</v>
      </c>
      <c r="U764" s="41">
        <f t="shared" ref="U764" si="55">IF($H764=9,IF(S764&gt;0,(O764-Q764)*0.15,0),0)</f>
        <v>0</v>
      </c>
      <c r="V764" s="152" t="s">
        <v>222</v>
      </c>
      <c r="W764" s="152">
        <v>2020</v>
      </c>
      <c r="X764" s="152">
        <v>1</v>
      </c>
      <c r="Y764" s="152">
        <v>0</v>
      </c>
      <c r="Z764" s="194">
        <v>-3.0376019771829188E-3</v>
      </c>
      <c r="AA764" s="194">
        <v>-4.6732338110506443E-2</v>
      </c>
      <c r="AB764" s="152">
        <v>0</v>
      </c>
      <c r="AC764" s="152">
        <v>0</v>
      </c>
      <c r="AD764" s="152" t="s">
        <v>343</v>
      </c>
      <c r="AE764" t="s">
        <v>344</v>
      </c>
    </row>
    <row r="765" spans="2:31" ht="14.25" customHeight="1" x14ac:dyDescent="0.2">
      <c r="B765" s="7">
        <f t="shared" si="51"/>
        <v>741</v>
      </c>
      <c r="C765" s="28">
        <v>5</v>
      </c>
      <c r="D765" s="28">
        <v>4</v>
      </c>
      <c r="E765" s="96">
        <v>13</v>
      </c>
      <c r="F765" s="96">
        <v>2020</v>
      </c>
      <c r="G765" s="28">
        <v>2022</v>
      </c>
      <c r="H765" s="28">
        <v>11</v>
      </c>
      <c r="I765" s="28">
        <v>0</v>
      </c>
      <c r="J765" s="28">
        <v>0</v>
      </c>
      <c r="K765" s="28">
        <v>0</v>
      </c>
      <c r="L765" s="28">
        <v>0</v>
      </c>
      <c r="M765" s="75">
        <v>0.66</v>
      </c>
      <c r="N765" s="151">
        <v>1325</v>
      </c>
      <c r="O765" s="151">
        <v>800</v>
      </c>
      <c r="P765" s="95">
        <f t="array" ref="P765">ROUND(IF($F765&lt;='TaxCred&amp;Subs'!$C$49,(IF($C765=2,IF($M765&gt;=IFERROR(INDEX('TaxCred&amp;Subs'!$L$12:$L$47,MATCH(1,($C765&amp;$D765='TaxCred&amp;Subs'!$E$12:$E$47)*($F765='TaxCred&amp;Subs'!$C$12:$C$47),0)
),9999),IFERROR(INDEX('TaxCred&amp;Subs'!$N$12:$N$47,MATCH(1,($C765&amp;$D765='TaxCred&amp;Subs'!$E$12:$E$47)*($F765='TaxCred&amp;Subs'!$C$12:$C$47),0)
),0),0),(IF($M765&gt;=IFERROR(INDEX('TaxCred&amp;Subs'!$H$12:$H$47,MATCH(1,($C765&amp;$D765='TaxCred&amp;Subs'!$D$12:$D$47)*($F765='TaxCred&amp;Subs'!$C$12:$C$47),0)
),9999),IFERROR(INDEX('TaxCred&amp;Subs'!$N$12:$N$47,MATCH(1,($C765&amp;$D765='TaxCred&amp;Subs'!$D$12:$D$47)*($F765='TaxCred&amp;Subs'!$C$12:$C$47),0)
),0),0)))),0)+IF(AND($C765=2,VALUE(RIGHT($AD765,1))&gt;2),(N765-R765)*(IFERROR(INDEX('TaxCred&amp;Subs'!$J$66:$J$99,MATCH(1,($C765&amp;$D765='TaxCred&amp;Subs'!$E$66:$E$99)*($F765='TaxCred&amp;Subs'!$C$66:$C$99),0)),0)),IF(AND($C765=1,VALUE(RIGHT($AD765,1))&gt;2),(N765-R765)*(IFERROR(INDEX('TaxCred&amp;Subs'!$J$66:$J$99,MATCH(1,($C765&amp;$D765='TaxCred&amp;Subs'!$D$66:$D$99)*($F765='TaxCred&amp;Subs'!$C$66:$C$99),0)),0)),IF($C765&gt;2,(N765-R765)*(IFERROR(INDEX('TaxCred&amp;Subs'!$J$66:$J$99,MATCH(1,($C765&amp;$D765='TaxCred&amp;Subs'!$D$66:$D$99)*($F765='TaxCred&amp;Subs'!$C$66:$C$99),0)),0)),0))),0)</f>
        <v>0</v>
      </c>
      <c r="Q765" s="95">
        <f t="array" ref="Q765">ROUND(IF(AND($C765=2,VALUE(RIGHT($AD765,1))&gt;2),(O765-S765)*(IFERROR(INDEX('TaxCred&amp;Subs'!$J$66:$J$99,MATCH(1,($C765&amp;$D765='TaxCred&amp;Subs'!$E$66:$E$99)*($F765='TaxCred&amp;Subs'!$C$66:$C$99),0)),0)),IF(AND($C765=1,VALUE(RIGHT($AD765,1))&gt;2),(O765-S765)*(IFERROR(INDEX('TaxCred&amp;Subs'!$J$66:$J$99,MATCH(1,($C765&amp;$D765='TaxCred&amp;Subs'!$D$66:$D$99)*($F765='TaxCred&amp;Subs'!$C$66:$C$99),0)),0)),IF($C765&gt;2,(O765-S765)*(IFERROR(INDEX('TaxCred&amp;Subs'!$J$66:$J$99,MATCH(1,($C765&amp;$D765='TaxCred&amp;Subs'!$D$66:$D$99)*($F765='TaxCred&amp;Subs'!$C$66:$C$99),0)),0)),0))),0)</f>
        <v>0</v>
      </c>
      <c r="R765" s="95">
        <f t="array" ref="R765">ROUND(IF(IFERROR(VALUE(RIGHT($AD765,1)),0)&gt;2,IF($C765=8,N765*IFERROR(INDEX('TaxCred&amp;Subs'!$K$139:$S$151,MATCH($C765&amp;$D765&amp;LEFT($AD765,7),'TaxCred&amp;Subs'!$E$139:$E$151,0),MATCH($H765,'TaxCred&amp;Subs'!$K$137:$S$137,0)),0),IF($C765=2,N765*IFERROR(INDEX('TaxCred&amp;Subs'!$K$139:$S$151,MATCH($C765&amp;$D765,'TaxCred&amp;Subs'!$D$139:$D$151,0),MATCH($H765,'TaxCred&amp;Subs'!$K$137:$S$137,0)),0),N765*IFERROR(INDEX('TaxCred&amp;Subs'!$K$139:$S$151,MATCH($C765&amp;$D765,'TaxCred&amp;Subs'!$C$139:$C$151,0),MATCH($H765,'TaxCred&amp;Subs'!$K$137:$S$137,0)),0))),0),0)</f>
        <v>0</v>
      </c>
      <c r="S765" s="95">
        <f t="array" ref="S765">ROUND(IF(IFERROR(VALUE(RIGHT($AD765,1)),0)&gt;2,IF($C765=8,O765*IFERROR(INDEX('TaxCred&amp;Subs'!$K$139:$S$151,MATCH($C765&amp;$D765&amp;LEFT($AD765,7),'TaxCred&amp;Subs'!$E$139:$E$151,0),MATCH($H765,'TaxCred&amp;Subs'!$K$137:$S$137,0)),0),IF($C765=2,O765*IFERROR(INDEX('TaxCred&amp;Subs'!$K$139:$S$151,MATCH($C765&amp;$D765,'TaxCred&amp;Subs'!$D$139:$D$151,0),MATCH($H765,'TaxCred&amp;Subs'!$K$137:$S$137,0)),0),O765*IFERROR(INDEX('TaxCred&amp;Subs'!$K$139:$S$151,MATCH($C765&amp;$D765,'TaxCred&amp;Subs'!$C$139:$C$151,0),MATCH($H765,'TaxCred&amp;Subs'!$K$137:$S$137,0)),0))),0),0)</f>
        <v>0</v>
      </c>
      <c r="T765" s="95">
        <f t="shared" si="49"/>
        <v>0</v>
      </c>
      <c r="U765" s="95">
        <f t="shared" si="50"/>
        <v>0</v>
      </c>
      <c r="V765" s="28" t="s">
        <v>222</v>
      </c>
      <c r="W765" s="31">
        <v>2020</v>
      </c>
      <c r="X765" s="28">
        <v>1</v>
      </c>
      <c r="Y765" s="28">
        <v>0</v>
      </c>
      <c r="Z765" s="196">
        <v>-3.9259645865337041E-3</v>
      </c>
      <c r="AA765" s="196">
        <v>-6.0399455177441601E-2</v>
      </c>
      <c r="AB765" s="28">
        <v>0</v>
      </c>
      <c r="AC765" s="28">
        <v>0</v>
      </c>
      <c r="AD765" s="28" t="s">
        <v>345</v>
      </c>
    </row>
    <row r="766" spans="2:31" ht="14.25" customHeight="1" x14ac:dyDescent="0.2">
      <c r="B766" s="7">
        <f t="shared" si="51"/>
        <v>742</v>
      </c>
      <c r="C766" s="28">
        <v>5</v>
      </c>
      <c r="D766" s="28">
        <v>4</v>
      </c>
      <c r="E766" s="96">
        <v>13</v>
      </c>
      <c r="F766" s="78">
        <v>2023</v>
      </c>
      <c r="G766" s="28">
        <v>2032</v>
      </c>
      <c r="H766" s="28">
        <v>11</v>
      </c>
      <c r="I766" s="28">
        <v>0</v>
      </c>
      <c r="J766" s="28">
        <v>0</v>
      </c>
      <c r="K766" s="28">
        <v>0</v>
      </c>
      <c r="L766" s="28">
        <v>0</v>
      </c>
      <c r="M766" s="156">
        <v>0.83</v>
      </c>
      <c r="N766" s="151">
        <v>2130</v>
      </c>
      <c r="O766" s="151">
        <v>1145</v>
      </c>
      <c r="P766" s="95">
        <f t="array" ref="P766">ROUND(IF($F766&lt;='TaxCred&amp;Subs'!$C$49,(IF($C766=2,IF($M766&gt;=IFERROR(INDEX('TaxCred&amp;Subs'!$L$12:$L$47,MATCH(1,($C766&amp;$D766='TaxCred&amp;Subs'!$E$12:$E$47)*($F766='TaxCred&amp;Subs'!$C$12:$C$47),0)
),9999),IFERROR(INDEX('TaxCred&amp;Subs'!$N$12:$N$47,MATCH(1,($C766&amp;$D766='TaxCred&amp;Subs'!$E$12:$E$47)*($F766='TaxCred&amp;Subs'!$C$12:$C$47),0)
),0),0),(IF($M766&gt;=IFERROR(INDEX('TaxCred&amp;Subs'!$H$12:$H$47,MATCH(1,($C766&amp;$D766='TaxCred&amp;Subs'!$D$12:$D$47)*($F766='TaxCred&amp;Subs'!$C$12:$C$47),0)
),9999),IFERROR(INDEX('TaxCred&amp;Subs'!$N$12:$N$47,MATCH(1,($C766&amp;$D766='TaxCred&amp;Subs'!$D$12:$D$47)*($F766='TaxCred&amp;Subs'!$C$12:$C$47),0)
),0),0)))),0)+IF(AND($C766=2,VALUE(RIGHT($AD766,1))&gt;2),(N766-R766)*(IFERROR(INDEX('TaxCred&amp;Subs'!$J$66:$J$99,MATCH(1,($C766&amp;$D766='TaxCred&amp;Subs'!$E$66:$E$99)*($F766='TaxCred&amp;Subs'!$C$66:$C$99),0)),0)),IF(AND($C766=1,VALUE(RIGHT($AD766,1))&gt;2),(N766-R766)*(IFERROR(INDEX('TaxCred&amp;Subs'!$J$66:$J$99,MATCH(1,($C766&amp;$D766='TaxCred&amp;Subs'!$D$66:$D$99)*($F766='TaxCred&amp;Subs'!$C$66:$C$99),0)),0)),IF($C766&gt;2,(N766-R766)*(IFERROR(INDEX('TaxCred&amp;Subs'!$J$66:$J$99,MATCH(1,($C766&amp;$D766='TaxCred&amp;Subs'!$D$66:$D$99)*($F766='TaxCred&amp;Subs'!$C$66:$C$99),0)),0)),0))),0)</f>
        <v>600</v>
      </c>
      <c r="Q766" s="95">
        <f t="array" ref="Q766">ROUND(IF(AND($C766=2,VALUE(RIGHT($AD766,1))&gt;2),(O766-S766)*(IFERROR(INDEX('TaxCred&amp;Subs'!$J$66:$J$99,MATCH(1,($C766&amp;$D766='TaxCred&amp;Subs'!$E$66:$E$99)*($F766='TaxCred&amp;Subs'!$C$66:$C$99),0)),0)),IF(AND($C766=1,VALUE(RIGHT($AD766,1))&gt;2),(O766-S766)*(IFERROR(INDEX('TaxCred&amp;Subs'!$J$66:$J$99,MATCH(1,($C766&amp;$D766='TaxCred&amp;Subs'!$D$66:$D$99)*($F766='TaxCred&amp;Subs'!$C$66:$C$99),0)),0)),IF($C766&gt;2,(O766-S766)*(IFERROR(INDEX('TaxCred&amp;Subs'!$J$66:$J$99,MATCH(1,($C766&amp;$D766='TaxCred&amp;Subs'!$D$66:$D$99)*($F766='TaxCred&amp;Subs'!$C$66:$C$99),0)),0)),0))),0)</f>
        <v>0</v>
      </c>
      <c r="R766" s="95">
        <f t="array" ref="R766">ROUND(IF(IFERROR(VALUE(RIGHT($AD766,1)),0)&gt;2,IF($C766=8,N766*IFERROR(INDEX('TaxCred&amp;Subs'!$K$139:$S$151,MATCH($C766&amp;$D766&amp;LEFT($AD766,7),'TaxCred&amp;Subs'!$E$139:$E$151,0),MATCH($H766,'TaxCred&amp;Subs'!$K$137:$S$137,0)),0),IF($C766=2,N766*IFERROR(INDEX('TaxCred&amp;Subs'!$K$139:$S$151,MATCH($C766&amp;$D766,'TaxCred&amp;Subs'!$D$139:$D$151,0),MATCH($H766,'TaxCred&amp;Subs'!$K$137:$S$137,0)),0),N766*IFERROR(INDEX('TaxCred&amp;Subs'!$K$139:$S$151,MATCH($C766&amp;$D766,'TaxCred&amp;Subs'!$C$139:$C$151,0),MATCH($H766,'TaxCred&amp;Subs'!$K$137:$S$137,0)),0))),0),0)</f>
        <v>0</v>
      </c>
      <c r="S766" s="95">
        <f t="array" ref="S766">ROUND(IF(IFERROR(VALUE(RIGHT($AD766,1)),0)&gt;2,IF($C766=8,O766*IFERROR(INDEX('TaxCred&amp;Subs'!$K$139:$S$151,MATCH($C766&amp;$D766&amp;LEFT($AD766,7),'TaxCred&amp;Subs'!$E$139:$E$151,0),MATCH($H766,'TaxCred&amp;Subs'!$K$137:$S$137,0)),0),IF($C766=2,O766*IFERROR(INDEX('TaxCred&amp;Subs'!$K$139:$S$151,MATCH($C766&amp;$D766,'TaxCred&amp;Subs'!$D$139:$D$151,0),MATCH($H766,'TaxCred&amp;Subs'!$K$137:$S$137,0)),0),O766*IFERROR(INDEX('TaxCred&amp;Subs'!$K$139:$S$151,MATCH($C766&amp;$D766,'TaxCred&amp;Subs'!$C$139:$C$151,0),MATCH($H766,'TaxCred&amp;Subs'!$K$137:$S$137,0)),0))),0),0)</f>
        <v>0</v>
      </c>
      <c r="T766" s="95">
        <f t="shared" si="49"/>
        <v>0</v>
      </c>
      <c r="U766" s="95">
        <f t="shared" si="50"/>
        <v>0</v>
      </c>
      <c r="V766" s="28" t="s">
        <v>222</v>
      </c>
      <c r="W766" s="31">
        <v>2020</v>
      </c>
      <c r="X766" s="28">
        <v>1</v>
      </c>
      <c r="Y766" s="28">
        <v>0</v>
      </c>
      <c r="Z766" s="196">
        <v>-3.9259645865337041E-3</v>
      </c>
      <c r="AA766" s="196">
        <v>-6.0399455177441601E-2</v>
      </c>
      <c r="AB766" s="28">
        <v>0</v>
      </c>
      <c r="AC766" s="28">
        <v>0</v>
      </c>
      <c r="AD766" s="28" t="s">
        <v>345</v>
      </c>
    </row>
    <row r="767" spans="2:31" ht="14.25" customHeight="1" x14ac:dyDescent="0.2">
      <c r="B767" s="7">
        <f t="shared" si="51"/>
        <v>743</v>
      </c>
      <c r="C767" s="28">
        <v>5</v>
      </c>
      <c r="D767" s="28">
        <v>4</v>
      </c>
      <c r="E767" s="96">
        <v>13</v>
      </c>
      <c r="F767" s="78">
        <v>2033</v>
      </c>
      <c r="G767" s="28">
        <v>2050</v>
      </c>
      <c r="H767" s="28">
        <v>11</v>
      </c>
      <c r="I767" s="28">
        <v>0</v>
      </c>
      <c r="J767" s="28">
        <v>0</v>
      </c>
      <c r="K767" s="28">
        <v>0</v>
      </c>
      <c r="L767" s="28">
        <v>0</v>
      </c>
      <c r="M767" s="156">
        <v>0.83</v>
      </c>
      <c r="N767" s="151">
        <v>2130</v>
      </c>
      <c r="O767" s="151">
        <v>1145</v>
      </c>
      <c r="P767" s="95">
        <f t="array" ref="P767">ROUND(IF($F767&lt;='TaxCred&amp;Subs'!$C$49,(IF($C767=2,IF($M767&gt;=IFERROR(INDEX('TaxCred&amp;Subs'!$L$12:$L$47,MATCH(1,($C767&amp;$D767='TaxCred&amp;Subs'!$E$12:$E$47)*($F767='TaxCred&amp;Subs'!$C$12:$C$47),0)
),9999),IFERROR(INDEX('TaxCred&amp;Subs'!$N$12:$N$47,MATCH(1,($C767&amp;$D767='TaxCred&amp;Subs'!$E$12:$E$47)*($F767='TaxCred&amp;Subs'!$C$12:$C$47),0)
),0),0),(IF($M767&gt;=IFERROR(INDEX('TaxCred&amp;Subs'!$H$12:$H$47,MATCH(1,($C767&amp;$D767='TaxCred&amp;Subs'!$D$12:$D$47)*($F767='TaxCred&amp;Subs'!$C$12:$C$47),0)
),9999),IFERROR(INDEX('TaxCred&amp;Subs'!$N$12:$N$47,MATCH(1,($C767&amp;$D767='TaxCred&amp;Subs'!$D$12:$D$47)*($F767='TaxCred&amp;Subs'!$C$12:$C$47),0)
),0),0)))),0)+IF(AND($C767=2,VALUE(RIGHT($AD767,1))&gt;2),(N767-R767)*(IFERROR(INDEX('TaxCred&amp;Subs'!$J$66:$J$99,MATCH(1,($C767&amp;$D767='TaxCred&amp;Subs'!$E$66:$E$99)*($F767='TaxCred&amp;Subs'!$C$66:$C$99),0)),0)),IF(AND($C767=1,VALUE(RIGHT($AD767,1))&gt;2),(N767-R767)*(IFERROR(INDEX('TaxCred&amp;Subs'!$J$66:$J$99,MATCH(1,($C767&amp;$D767='TaxCred&amp;Subs'!$D$66:$D$99)*($F767='TaxCred&amp;Subs'!$C$66:$C$99),0)),0)),IF($C767&gt;2,(N767-R767)*(IFERROR(INDEX('TaxCred&amp;Subs'!$J$66:$J$99,MATCH(1,($C767&amp;$D767='TaxCred&amp;Subs'!$D$66:$D$99)*($F767='TaxCred&amp;Subs'!$C$66:$C$99),0)),0)),0))),0)</f>
        <v>0</v>
      </c>
      <c r="Q767" s="95">
        <f t="array" ref="Q767">ROUND(IF(AND($C767=2,VALUE(RIGHT($AD767,1))&gt;2),(O767-S767)*(IFERROR(INDEX('TaxCred&amp;Subs'!$J$66:$J$99,MATCH(1,($C767&amp;$D767='TaxCred&amp;Subs'!$E$66:$E$99)*($F767='TaxCred&amp;Subs'!$C$66:$C$99),0)),0)),IF(AND($C767=1,VALUE(RIGHT($AD767,1))&gt;2),(O767-S767)*(IFERROR(INDEX('TaxCred&amp;Subs'!$J$66:$J$99,MATCH(1,($C767&amp;$D767='TaxCred&amp;Subs'!$D$66:$D$99)*($F767='TaxCred&amp;Subs'!$C$66:$C$99),0)),0)),IF($C767&gt;2,(O767-S767)*(IFERROR(INDEX('TaxCred&amp;Subs'!$J$66:$J$99,MATCH(1,($C767&amp;$D767='TaxCred&amp;Subs'!$D$66:$D$99)*($F767='TaxCred&amp;Subs'!$C$66:$C$99),0)),0)),0))),0)</f>
        <v>0</v>
      </c>
      <c r="R767" s="95">
        <f t="array" ref="R767">ROUND(IF(IFERROR(VALUE(RIGHT($AD767,1)),0)&gt;2,IF($C767=8,N767*IFERROR(INDEX('TaxCred&amp;Subs'!$K$139:$S$151,MATCH($C767&amp;$D767&amp;LEFT($AD767,7),'TaxCred&amp;Subs'!$E$139:$E$151,0),MATCH($H767,'TaxCred&amp;Subs'!$K$137:$S$137,0)),0),IF($C767=2,N767*IFERROR(INDEX('TaxCred&amp;Subs'!$K$139:$S$151,MATCH($C767&amp;$D767,'TaxCred&amp;Subs'!$D$139:$D$151,0),MATCH($H767,'TaxCred&amp;Subs'!$K$137:$S$137,0)),0),N767*IFERROR(INDEX('TaxCred&amp;Subs'!$K$139:$S$151,MATCH($C767&amp;$D767,'TaxCred&amp;Subs'!$C$139:$C$151,0),MATCH($H767,'TaxCred&amp;Subs'!$K$137:$S$137,0)),0))),0),0)</f>
        <v>0</v>
      </c>
      <c r="S767" s="95">
        <f t="array" ref="S767">ROUND(IF(IFERROR(VALUE(RIGHT($AD767,1)),0)&gt;2,IF($C767=8,O767*IFERROR(INDEX('TaxCred&amp;Subs'!$K$139:$S$151,MATCH($C767&amp;$D767&amp;LEFT($AD767,7),'TaxCred&amp;Subs'!$E$139:$E$151,0),MATCH($H767,'TaxCred&amp;Subs'!$K$137:$S$137,0)),0),IF($C767=2,O767*IFERROR(INDEX('TaxCred&amp;Subs'!$K$139:$S$151,MATCH($C767&amp;$D767,'TaxCred&amp;Subs'!$D$139:$D$151,0),MATCH($H767,'TaxCred&amp;Subs'!$K$137:$S$137,0)),0),O767*IFERROR(INDEX('TaxCred&amp;Subs'!$K$139:$S$151,MATCH($C767&amp;$D767,'TaxCred&amp;Subs'!$C$139:$C$151,0),MATCH($H767,'TaxCred&amp;Subs'!$K$137:$S$137,0)),0))),0),0)</f>
        <v>0</v>
      </c>
      <c r="T767" s="95">
        <f t="shared" si="49"/>
        <v>0</v>
      </c>
      <c r="U767" s="95">
        <f t="shared" si="50"/>
        <v>0</v>
      </c>
      <c r="V767" s="28" t="s">
        <v>222</v>
      </c>
      <c r="W767" s="31">
        <v>2020</v>
      </c>
      <c r="X767" s="28">
        <v>1</v>
      </c>
      <c r="Y767" s="28">
        <v>0</v>
      </c>
      <c r="Z767" s="196">
        <v>-3.9259645865337041E-3</v>
      </c>
      <c r="AA767" s="196">
        <v>-6.0399455177441601E-2</v>
      </c>
      <c r="AB767" s="28">
        <v>0</v>
      </c>
      <c r="AC767" s="28">
        <v>0</v>
      </c>
      <c r="AD767" s="28" t="s">
        <v>345</v>
      </c>
    </row>
    <row r="768" spans="2:31" ht="14.25" customHeight="1" x14ac:dyDescent="0.2">
      <c r="B768" s="7">
        <f t="shared" si="51"/>
        <v>744</v>
      </c>
      <c r="C768" s="28">
        <v>5</v>
      </c>
      <c r="D768" s="28">
        <v>4</v>
      </c>
      <c r="E768" s="96">
        <v>14</v>
      </c>
      <c r="F768" s="78">
        <v>2020</v>
      </c>
      <c r="G768" s="28">
        <v>2021</v>
      </c>
      <c r="H768" s="28">
        <v>11</v>
      </c>
      <c r="I768" s="28">
        <v>0</v>
      </c>
      <c r="J768" s="28">
        <v>0</v>
      </c>
      <c r="K768" s="28">
        <v>0</v>
      </c>
      <c r="L768" s="28">
        <v>0</v>
      </c>
      <c r="M768" s="156">
        <v>0.84</v>
      </c>
      <c r="N768" s="151">
        <v>2150</v>
      </c>
      <c r="O768" s="151">
        <v>1185</v>
      </c>
      <c r="P768" s="95">
        <f t="array" ref="P768">ROUND(IF($F768&lt;='TaxCred&amp;Subs'!$C$49,(IF($C768=2,IF($M768&gt;=IFERROR(INDEX('TaxCred&amp;Subs'!$L$12:$L$47,MATCH(1,($C768&amp;$D768='TaxCred&amp;Subs'!$E$12:$E$47)*($F768='TaxCred&amp;Subs'!$C$12:$C$47),0)
),9999),IFERROR(INDEX('TaxCred&amp;Subs'!$N$12:$N$47,MATCH(1,($C768&amp;$D768='TaxCred&amp;Subs'!$E$12:$E$47)*($F768='TaxCred&amp;Subs'!$C$12:$C$47),0)
),0),0),(IF($M768&gt;=IFERROR(INDEX('TaxCred&amp;Subs'!$H$12:$H$47,MATCH(1,($C768&amp;$D768='TaxCred&amp;Subs'!$D$12:$D$47)*($F768='TaxCred&amp;Subs'!$C$12:$C$47),0)
),9999),IFERROR(INDEX('TaxCred&amp;Subs'!$N$12:$N$47,MATCH(1,($C768&amp;$D768='TaxCred&amp;Subs'!$D$12:$D$47)*($F768='TaxCred&amp;Subs'!$C$12:$C$47),0)
),0),0)))),0)+IF(AND($C768=2,VALUE(RIGHT($AD768,1))&gt;2),(N768-R768)*(IFERROR(INDEX('TaxCred&amp;Subs'!$J$66:$J$99,MATCH(1,($C768&amp;$D768='TaxCred&amp;Subs'!$E$66:$E$99)*($F768='TaxCred&amp;Subs'!$C$66:$C$99),0)),0)),IF(AND($C768=1,VALUE(RIGHT($AD768,1))&gt;2),(N768-R768)*(IFERROR(INDEX('TaxCred&amp;Subs'!$J$66:$J$99,MATCH(1,($C768&amp;$D768='TaxCred&amp;Subs'!$D$66:$D$99)*($F768='TaxCred&amp;Subs'!$C$66:$C$99),0)),0)),IF($C768&gt;2,(N768-R768)*(IFERROR(INDEX('TaxCred&amp;Subs'!$J$66:$J$99,MATCH(1,($C768&amp;$D768='TaxCred&amp;Subs'!$D$66:$D$99)*($F768='TaxCred&amp;Subs'!$C$66:$C$99),0)),0)),0))),0)</f>
        <v>300</v>
      </c>
      <c r="Q768" s="95">
        <f t="array" ref="Q768">ROUND(IF(AND($C768=2,VALUE(RIGHT($AD768,1))&gt;2),(O768-S768)*(IFERROR(INDEX('TaxCred&amp;Subs'!$J$66:$J$99,MATCH(1,($C768&amp;$D768='TaxCred&amp;Subs'!$E$66:$E$99)*($F768='TaxCred&amp;Subs'!$C$66:$C$99),0)),0)),IF(AND($C768=1,VALUE(RIGHT($AD768,1))&gt;2),(O768-S768)*(IFERROR(INDEX('TaxCred&amp;Subs'!$J$66:$J$99,MATCH(1,($C768&amp;$D768='TaxCred&amp;Subs'!$D$66:$D$99)*($F768='TaxCred&amp;Subs'!$C$66:$C$99),0)),0)),IF($C768&gt;2,(O768-S768)*(IFERROR(INDEX('TaxCred&amp;Subs'!$J$66:$J$99,MATCH(1,($C768&amp;$D768='TaxCred&amp;Subs'!$D$66:$D$99)*($F768='TaxCred&amp;Subs'!$C$66:$C$99),0)),0)),0))),0)</f>
        <v>0</v>
      </c>
      <c r="R768" s="95">
        <f t="array" ref="R768">ROUND(IF(IFERROR(VALUE(RIGHT($AD768,1)),0)&gt;2,IF($C768=8,N768*IFERROR(INDEX('TaxCred&amp;Subs'!$K$139:$S$151,MATCH($C768&amp;$D768&amp;LEFT($AD768,7),'TaxCred&amp;Subs'!$E$139:$E$151,0),MATCH($H768,'TaxCred&amp;Subs'!$K$137:$S$137,0)),0),IF($C768=2,N768*IFERROR(INDEX('TaxCred&amp;Subs'!$K$139:$S$151,MATCH($C768&amp;$D768,'TaxCred&amp;Subs'!$D$139:$D$151,0),MATCH($H768,'TaxCred&amp;Subs'!$K$137:$S$137,0)),0),N768*IFERROR(INDEX('TaxCred&amp;Subs'!$K$139:$S$151,MATCH($C768&amp;$D768,'TaxCred&amp;Subs'!$C$139:$C$151,0),MATCH($H768,'TaxCred&amp;Subs'!$K$137:$S$137,0)),0))),0),0)</f>
        <v>0</v>
      </c>
      <c r="S768" s="95">
        <f t="array" ref="S768">ROUND(IF(IFERROR(VALUE(RIGHT($AD768,1)),0)&gt;2,IF($C768=8,O768*IFERROR(INDEX('TaxCred&amp;Subs'!$K$139:$S$151,MATCH($C768&amp;$D768&amp;LEFT($AD768,7),'TaxCred&amp;Subs'!$E$139:$E$151,0),MATCH($H768,'TaxCred&amp;Subs'!$K$137:$S$137,0)),0),IF($C768=2,O768*IFERROR(INDEX('TaxCred&amp;Subs'!$K$139:$S$151,MATCH($C768&amp;$D768,'TaxCred&amp;Subs'!$D$139:$D$151,0),MATCH($H768,'TaxCred&amp;Subs'!$K$137:$S$137,0)),0),O768*IFERROR(INDEX('TaxCred&amp;Subs'!$K$139:$S$151,MATCH($C768&amp;$D768,'TaxCred&amp;Subs'!$C$139:$C$151,0),MATCH($H768,'TaxCred&amp;Subs'!$K$137:$S$137,0)),0))),0),0)</f>
        <v>0</v>
      </c>
      <c r="T768" s="95">
        <f t="shared" si="49"/>
        <v>0</v>
      </c>
      <c r="U768" s="95">
        <f t="shared" si="50"/>
        <v>0</v>
      </c>
      <c r="V768" s="28" t="s">
        <v>222</v>
      </c>
      <c r="W768" s="31">
        <v>2020</v>
      </c>
      <c r="X768" s="28">
        <v>1</v>
      </c>
      <c r="Y768" s="28">
        <v>0</v>
      </c>
      <c r="Z768" s="196">
        <v>-3.9259645865337041E-3</v>
      </c>
      <c r="AA768" s="196">
        <v>-6.0399455177441601E-2</v>
      </c>
      <c r="AB768" s="28">
        <v>0</v>
      </c>
      <c r="AC768" s="28">
        <v>0</v>
      </c>
      <c r="AD768" s="28" t="s">
        <v>346</v>
      </c>
    </row>
    <row r="769" spans="2:31" ht="14.25" customHeight="1" x14ac:dyDescent="0.2">
      <c r="B769" s="7">
        <f t="shared" si="51"/>
        <v>745</v>
      </c>
      <c r="C769" s="28">
        <v>5</v>
      </c>
      <c r="D769" s="28">
        <v>4</v>
      </c>
      <c r="E769" s="96">
        <v>14</v>
      </c>
      <c r="F769" s="78">
        <v>2022</v>
      </c>
      <c r="G769" s="28">
        <v>2032</v>
      </c>
      <c r="H769" s="28">
        <v>11</v>
      </c>
      <c r="I769" s="28">
        <v>0</v>
      </c>
      <c r="J769" s="28">
        <v>0</v>
      </c>
      <c r="K769" s="28">
        <v>0</v>
      </c>
      <c r="L769" s="28">
        <v>0</v>
      </c>
      <c r="M769" s="156">
        <v>0.84</v>
      </c>
      <c r="N769" s="151">
        <v>2150</v>
      </c>
      <c r="O769" s="151">
        <v>1185</v>
      </c>
      <c r="P769" s="95">
        <f t="array" ref="P769">ROUND(IF($F769&lt;='TaxCred&amp;Subs'!$C$49,(IF($C769=2,IF($M769&gt;=IFERROR(INDEX('TaxCred&amp;Subs'!$L$12:$L$47,MATCH(1,($C769&amp;$D769='TaxCred&amp;Subs'!$E$12:$E$47)*($F769='TaxCred&amp;Subs'!$C$12:$C$47),0)
),9999),IFERROR(INDEX('TaxCred&amp;Subs'!$N$12:$N$47,MATCH(1,($C769&amp;$D769='TaxCred&amp;Subs'!$E$12:$E$47)*($F769='TaxCred&amp;Subs'!$C$12:$C$47),0)
),0),0),(IF($M769&gt;=IFERROR(INDEX('TaxCred&amp;Subs'!$H$12:$H$47,MATCH(1,($C769&amp;$D769='TaxCred&amp;Subs'!$D$12:$D$47)*($F769='TaxCred&amp;Subs'!$C$12:$C$47),0)
),9999),IFERROR(INDEX('TaxCred&amp;Subs'!$N$12:$N$47,MATCH(1,($C769&amp;$D769='TaxCred&amp;Subs'!$D$12:$D$47)*($F769='TaxCred&amp;Subs'!$C$12:$C$47),0)
),0),0)))),0)+IF(AND($C769=2,VALUE(RIGHT($AD769,1))&gt;2),(N769-R769)*(IFERROR(INDEX('TaxCred&amp;Subs'!$J$66:$J$99,MATCH(1,($C769&amp;$D769='TaxCred&amp;Subs'!$E$66:$E$99)*($F769='TaxCred&amp;Subs'!$C$66:$C$99),0)),0)),IF(AND($C769=1,VALUE(RIGHT($AD769,1))&gt;2),(N769-R769)*(IFERROR(INDEX('TaxCred&amp;Subs'!$J$66:$J$99,MATCH(1,($C769&amp;$D769='TaxCred&amp;Subs'!$D$66:$D$99)*($F769='TaxCred&amp;Subs'!$C$66:$C$99),0)),0)),IF($C769&gt;2,(N769-R769)*(IFERROR(INDEX('TaxCred&amp;Subs'!$J$66:$J$99,MATCH(1,($C769&amp;$D769='TaxCred&amp;Subs'!$D$66:$D$99)*($F769='TaxCred&amp;Subs'!$C$66:$C$99),0)),0)),0))),0)</f>
        <v>600</v>
      </c>
      <c r="Q769" s="95">
        <f t="array" ref="Q769">ROUND(IF(AND($C769=2,VALUE(RIGHT($AD769,1))&gt;2),(O769-S769)*(IFERROR(INDEX('TaxCred&amp;Subs'!$J$66:$J$99,MATCH(1,($C769&amp;$D769='TaxCred&amp;Subs'!$E$66:$E$99)*($F769='TaxCred&amp;Subs'!$C$66:$C$99),0)),0)),IF(AND($C769=1,VALUE(RIGHT($AD769,1))&gt;2),(O769-S769)*(IFERROR(INDEX('TaxCred&amp;Subs'!$J$66:$J$99,MATCH(1,($C769&amp;$D769='TaxCred&amp;Subs'!$D$66:$D$99)*($F769='TaxCred&amp;Subs'!$C$66:$C$99),0)),0)),IF($C769&gt;2,(O769-S769)*(IFERROR(INDEX('TaxCred&amp;Subs'!$J$66:$J$99,MATCH(1,($C769&amp;$D769='TaxCred&amp;Subs'!$D$66:$D$99)*($F769='TaxCred&amp;Subs'!$C$66:$C$99),0)),0)),0))),0)</f>
        <v>0</v>
      </c>
      <c r="R769" s="95">
        <f t="array" ref="R769">ROUND(IF(IFERROR(VALUE(RIGHT($AD769,1)),0)&gt;2,IF($C769=8,N769*IFERROR(INDEX('TaxCred&amp;Subs'!$K$139:$S$151,MATCH($C769&amp;$D769&amp;LEFT($AD769,7),'TaxCred&amp;Subs'!$E$139:$E$151,0),MATCH($H769,'TaxCred&amp;Subs'!$K$137:$S$137,0)),0),IF($C769=2,N769*IFERROR(INDEX('TaxCred&amp;Subs'!$K$139:$S$151,MATCH($C769&amp;$D769,'TaxCred&amp;Subs'!$D$139:$D$151,0),MATCH($H769,'TaxCred&amp;Subs'!$K$137:$S$137,0)),0),N769*IFERROR(INDEX('TaxCred&amp;Subs'!$K$139:$S$151,MATCH($C769&amp;$D769,'TaxCred&amp;Subs'!$C$139:$C$151,0),MATCH($H769,'TaxCred&amp;Subs'!$K$137:$S$137,0)),0))),0),0)</f>
        <v>0</v>
      </c>
      <c r="S769" s="95">
        <f t="array" ref="S769">ROUND(IF(IFERROR(VALUE(RIGHT($AD769,1)),0)&gt;2,IF($C769=8,O769*IFERROR(INDEX('TaxCred&amp;Subs'!$K$139:$S$151,MATCH($C769&amp;$D769&amp;LEFT($AD769,7),'TaxCred&amp;Subs'!$E$139:$E$151,0),MATCH($H769,'TaxCred&amp;Subs'!$K$137:$S$137,0)),0),IF($C769=2,O769*IFERROR(INDEX('TaxCred&amp;Subs'!$K$139:$S$151,MATCH($C769&amp;$D769,'TaxCred&amp;Subs'!$D$139:$D$151,0),MATCH($H769,'TaxCred&amp;Subs'!$K$137:$S$137,0)),0),O769*IFERROR(INDEX('TaxCred&amp;Subs'!$K$139:$S$151,MATCH($C769&amp;$D769,'TaxCred&amp;Subs'!$C$139:$C$151,0),MATCH($H769,'TaxCred&amp;Subs'!$K$137:$S$137,0)),0))),0),0)</f>
        <v>0</v>
      </c>
      <c r="T769" s="95">
        <f t="shared" si="49"/>
        <v>0</v>
      </c>
      <c r="U769" s="95">
        <f t="shared" si="50"/>
        <v>0</v>
      </c>
      <c r="V769" s="28" t="s">
        <v>222</v>
      </c>
      <c r="W769" s="31">
        <v>2020</v>
      </c>
      <c r="X769" s="28">
        <v>1</v>
      </c>
      <c r="Y769" s="28">
        <v>0</v>
      </c>
      <c r="Z769" s="196">
        <v>-3.9259645865337041E-3</v>
      </c>
      <c r="AA769" s="196">
        <v>-6.0399455177441601E-2</v>
      </c>
      <c r="AB769" s="28">
        <v>0</v>
      </c>
      <c r="AC769" s="28">
        <v>0</v>
      </c>
      <c r="AD769" s="28" t="s">
        <v>346</v>
      </c>
    </row>
    <row r="770" spans="2:31" ht="14.25" customHeight="1" x14ac:dyDescent="0.2">
      <c r="B770" s="7">
        <f t="shared" si="51"/>
        <v>746</v>
      </c>
      <c r="C770" s="28">
        <v>5</v>
      </c>
      <c r="D770" s="28">
        <v>4</v>
      </c>
      <c r="E770" s="96">
        <v>14</v>
      </c>
      <c r="F770" s="78">
        <v>2033</v>
      </c>
      <c r="G770" s="28">
        <v>2050</v>
      </c>
      <c r="H770" s="28">
        <v>11</v>
      </c>
      <c r="I770" s="28">
        <v>0</v>
      </c>
      <c r="J770" s="28">
        <v>0</v>
      </c>
      <c r="K770" s="28">
        <v>0</v>
      </c>
      <c r="L770" s="28">
        <v>0</v>
      </c>
      <c r="M770" s="156">
        <v>0.84</v>
      </c>
      <c r="N770" s="151">
        <v>2150</v>
      </c>
      <c r="O770" s="151">
        <v>1185</v>
      </c>
      <c r="P770" s="95">
        <f t="array" ref="P770">ROUND(IF($F770&lt;='TaxCred&amp;Subs'!$C$49,(IF($C770=2,IF($M770&gt;=IFERROR(INDEX('TaxCred&amp;Subs'!$L$12:$L$47,MATCH(1,($C770&amp;$D770='TaxCred&amp;Subs'!$E$12:$E$47)*($F770='TaxCred&amp;Subs'!$C$12:$C$47),0)
),9999),IFERROR(INDEX('TaxCred&amp;Subs'!$N$12:$N$47,MATCH(1,($C770&amp;$D770='TaxCred&amp;Subs'!$E$12:$E$47)*($F770='TaxCred&amp;Subs'!$C$12:$C$47),0)
),0),0),(IF($M770&gt;=IFERROR(INDEX('TaxCred&amp;Subs'!$H$12:$H$47,MATCH(1,($C770&amp;$D770='TaxCred&amp;Subs'!$D$12:$D$47)*($F770='TaxCred&amp;Subs'!$C$12:$C$47),0)
),9999),IFERROR(INDEX('TaxCred&amp;Subs'!$N$12:$N$47,MATCH(1,($C770&amp;$D770='TaxCred&amp;Subs'!$D$12:$D$47)*($F770='TaxCred&amp;Subs'!$C$12:$C$47),0)
),0),0)))),0)+IF(AND($C770=2,VALUE(RIGHT($AD770,1))&gt;2),(N770-R770)*(IFERROR(INDEX('TaxCred&amp;Subs'!$J$66:$J$99,MATCH(1,($C770&amp;$D770='TaxCred&amp;Subs'!$E$66:$E$99)*($F770='TaxCred&amp;Subs'!$C$66:$C$99),0)),0)),IF(AND($C770=1,VALUE(RIGHT($AD770,1))&gt;2),(N770-R770)*(IFERROR(INDEX('TaxCred&amp;Subs'!$J$66:$J$99,MATCH(1,($C770&amp;$D770='TaxCred&amp;Subs'!$D$66:$D$99)*($F770='TaxCred&amp;Subs'!$C$66:$C$99),0)),0)),IF($C770&gt;2,(N770-R770)*(IFERROR(INDEX('TaxCred&amp;Subs'!$J$66:$J$99,MATCH(1,($C770&amp;$D770='TaxCred&amp;Subs'!$D$66:$D$99)*($F770='TaxCred&amp;Subs'!$C$66:$C$99),0)),0)),0))),0)</f>
        <v>0</v>
      </c>
      <c r="Q770" s="95">
        <f t="array" ref="Q770">ROUND(IF(AND($C770=2,VALUE(RIGHT($AD770,1))&gt;2),(O770-S770)*(IFERROR(INDEX('TaxCred&amp;Subs'!$J$66:$J$99,MATCH(1,($C770&amp;$D770='TaxCred&amp;Subs'!$E$66:$E$99)*($F770='TaxCred&amp;Subs'!$C$66:$C$99),0)),0)),IF(AND($C770=1,VALUE(RIGHT($AD770,1))&gt;2),(O770-S770)*(IFERROR(INDEX('TaxCred&amp;Subs'!$J$66:$J$99,MATCH(1,($C770&amp;$D770='TaxCred&amp;Subs'!$D$66:$D$99)*($F770='TaxCred&amp;Subs'!$C$66:$C$99),0)),0)),IF($C770&gt;2,(O770-S770)*(IFERROR(INDEX('TaxCred&amp;Subs'!$J$66:$J$99,MATCH(1,($C770&amp;$D770='TaxCred&amp;Subs'!$D$66:$D$99)*($F770='TaxCred&amp;Subs'!$C$66:$C$99),0)),0)),0))),0)</f>
        <v>0</v>
      </c>
      <c r="R770" s="95">
        <f t="array" ref="R770">ROUND(IF(IFERROR(VALUE(RIGHT($AD770,1)),0)&gt;2,IF($C770=8,N770*IFERROR(INDEX('TaxCred&amp;Subs'!$K$139:$S$151,MATCH($C770&amp;$D770&amp;LEFT($AD770,7),'TaxCred&amp;Subs'!$E$139:$E$151,0),MATCH($H770,'TaxCred&amp;Subs'!$K$137:$S$137,0)),0),IF($C770=2,N770*IFERROR(INDEX('TaxCred&amp;Subs'!$K$139:$S$151,MATCH($C770&amp;$D770,'TaxCred&amp;Subs'!$D$139:$D$151,0),MATCH($H770,'TaxCred&amp;Subs'!$K$137:$S$137,0)),0),N770*IFERROR(INDEX('TaxCred&amp;Subs'!$K$139:$S$151,MATCH($C770&amp;$D770,'TaxCred&amp;Subs'!$C$139:$C$151,0),MATCH($H770,'TaxCred&amp;Subs'!$K$137:$S$137,0)),0))),0),0)</f>
        <v>0</v>
      </c>
      <c r="S770" s="95">
        <f t="array" ref="S770">ROUND(IF(IFERROR(VALUE(RIGHT($AD770,1)),0)&gt;2,IF($C770=8,O770*IFERROR(INDEX('TaxCred&amp;Subs'!$K$139:$S$151,MATCH($C770&amp;$D770&amp;LEFT($AD770,7),'TaxCred&amp;Subs'!$E$139:$E$151,0),MATCH($H770,'TaxCred&amp;Subs'!$K$137:$S$137,0)),0),IF($C770=2,O770*IFERROR(INDEX('TaxCred&amp;Subs'!$K$139:$S$151,MATCH($C770&amp;$D770,'TaxCred&amp;Subs'!$D$139:$D$151,0),MATCH($H770,'TaxCred&amp;Subs'!$K$137:$S$137,0)),0),O770*IFERROR(INDEX('TaxCred&amp;Subs'!$K$139:$S$151,MATCH($C770&amp;$D770,'TaxCred&amp;Subs'!$C$139:$C$151,0),MATCH($H770,'TaxCred&amp;Subs'!$K$137:$S$137,0)),0))),0),0)</f>
        <v>0</v>
      </c>
      <c r="T770" s="95">
        <f t="shared" si="49"/>
        <v>0</v>
      </c>
      <c r="U770" s="95">
        <f t="shared" si="50"/>
        <v>0</v>
      </c>
      <c r="V770" s="28" t="s">
        <v>222</v>
      </c>
      <c r="W770" s="31">
        <v>2020</v>
      </c>
      <c r="X770" s="28">
        <v>1</v>
      </c>
      <c r="Y770" s="28">
        <v>0</v>
      </c>
      <c r="Z770" s="196">
        <v>-3.9259645865337041E-3</v>
      </c>
      <c r="AA770" s="196">
        <v>-6.0399455177441601E-2</v>
      </c>
      <c r="AB770" s="28">
        <v>0</v>
      </c>
      <c r="AC770" s="28">
        <v>0</v>
      </c>
      <c r="AD770" s="28" t="s">
        <v>346</v>
      </c>
    </row>
    <row r="771" spans="2:31" ht="14.25" customHeight="1" x14ac:dyDescent="0.2">
      <c r="B771" s="7">
        <f t="shared" si="51"/>
        <v>747</v>
      </c>
      <c r="C771" s="28">
        <v>5</v>
      </c>
      <c r="D771" s="28">
        <v>5</v>
      </c>
      <c r="E771" s="96">
        <v>15</v>
      </c>
      <c r="F771" s="96">
        <v>2020</v>
      </c>
      <c r="G771" s="28">
        <v>2021</v>
      </c>
      <c r="H771" s="31">
        <v>11</v>
      </c>
      <c r="I771" s="28">
        <v>0</v>
      </c>
      <c r="J771" s="28">
        <v>0</v>
      </c>
      <c r="K771" s="28">
        <v>0</v>
      </c>
      <c r="L771" s="28">
        <v>0</v>
      </c>
      <c r="M771" s="75">
        <v>1</v>
      </c>
      <c r="N771" s="151">
        <v>8060</v>
      </c>
      <c r="O771" s="151">
        <v>6430</v>
      </c>
      <c r="P771" s="95">
        <f t="array" ref="P771">ROUND(IF($F771&lt;='TaxCred&amp;Subs'!$C$49,(IF($C771=2,IF($M771&gt;=IFERROR(INDEX('TaxCred&amp;Subs'!$L$12:$L$47,MATCH(1,($C771&amp;$D771='TaxCred&amp;Subs'!$E$12:$E$47)*($F771='TaxCred&amp;Subs'!$C$12:$C$47),0)
),9999),IFERROR(INDEX('TaxCred&amp;Subs'!$N$12:$N$47,MATCH(1,($C771&amp;$D771='TaxCred&amp;Subs'!$E$12:$E$47)*($F771='TaxCred&amp;Subs'!$C$12:$C$47),0)
),0),0),(IF($M771&gt;=IFERROR(INDEX('TaxCred&amp;Subs'!$H$12:$H$47,MATCH(1,($C771&amp;$D771='TaxCred&amp;Subs'!$D$12:$D$47)*($F771='TaxCred&amp;Subs'!$C$12:$C$47),0)
),9999),IFERROR(INDEX('TaxCred&amp;Subs'!$N$12:$N$47,MATCH(1,($C771&amp;$D771='TaxCred&amp;Subs'!$D$12:$D$47)*($F771='TaxCred&amp;Subs'!$C$12:$C$47),0)
),0),0)))),0)+IF(AND($C771=2,VALUE(RIGHT($AD771,1))&gt;2),(N771-R771)*(IFERROR(INDEX('TaxCred&amp;Subs'!$J$66:$J$99,MATCH(1,($C771&amp;$D771='TaxCred&amp;Subs'!$E$66:$E$99)*($F771='TaxCred&amp;Subs'!$C$66:$C$99),0)),0)),IF(AND($C771=1,VALUE(RIGHT($AD771,1))&gt;2),(N771-R771)*(IFERROR(INDEX('TaxCred&amp;Subs'!$J$66:$J$99,MATCH(1,($C771&amp;$D771='TaxCred&amp;Subs'!$D$66:$D$99)*($F771='TaxCred&amp;Subs'!$C$66:$C$99),0)),0)),IF($C771&gt;2,(N771-R771)*(IFERROR(INDEX('TaxCred&amp;Subs'!$J$66:$J$99,MATCH(1,($C771&amp;$D771='TaxCred&amp;Subs'!$D$66:$D$99)*($F771='TaxCred&amp;Subs'!$C$66:$C$99),0)),0)),0))),0)</f>
        <v>2096</v>
      </c>
      <c r="Q771" s="95">
        <f t="array" ref="Q771">ROUND(IF(AND($C771=2,VALUE(RIGHT($AD771,1))&gt;2),(O771-S771)*(IFERROR(INDEX('TaxCred&amp;Subs'!$J$66:$J$99,MATCH(1,($C771&amp;$D771='TaxCred&amp;Subs'!$E$66:$E$99)*($F771='TaxCred&amp;Subs'!$C$66:$C$99),0)),0)),IF(AND($C771=1,VALUE(RIGHT($AD771,1))&gt;2),(O771-S771)*(IFERROR(INDEX('TaxCred&amp;Subs'!$J$66:$J$99,MATCH(1,($C771&amp;$D771='TaxCred&amp;Subs'!$D$66:$D$99)*($F771='TaxCred&amp;Subs'!$C$66:$C$99),0)),0)),IF($C771&gt;2,(O771-S771)*(IFERROR(INDEX('TaxCred&amp;Subs'!$J$66:$J$99,MATCH(1,($C771&amp;$D771='TaxCred&amp;Subs'!$D$66:$D$99)*($F771='TaxCred&amp;Subs'!$C$66:$C$99),0)),0)),0))),0)</f>
        <v>1672</v>
      </c>
      <c r="R771" s="95">
        <f t="array" ref="R771">ROUND(IF(IFERROR(VALUE(RIGHT($AD771,1)),0)&gt;2,IF($C771=8,N771*IFERROR(INDEX('TaxCred&amp;Subs'!$K$139:$S$151,MATCH($C771&amp;$D771&amp;LEFT($AD771,7),'TaxCred&amp;Subs'!$E$139:$E$151,0),MATCH($H771,'TaxCred&amp;Subs'!$K$137:$S$137,0)),0),IF($C771=2,N771*IFERROR(INDEX('TaxCred&amp;Subs'!$K$139:$S$151,MATCH($C771&amp;$D771,'TaxCred&amp;Subs'!$D$139:$D$151,0),MATCH($H771,'TaxCred&amp;Subs'!$K$137:$S$137,0)),0),N771*IFERROR(INDEX('TaxCred&amp;Subs'!$K$139:$S$151,MATCH($C771&amp;$D771,'TaxCred&amp;Subs'!$C$139:$C$151,0),MATCH($H771,'TaxCred&amp;Subs'!$K$137:$S$137,0)),0))),0),0)</f>
        <v>0</v>
      </c>
      <c r="S771" s="95">
        <f t="array" ref="S771">ROUND(IF(IFERROR(VALUE(RIGHT($AD771,1)),0)&gt;2,IF($C771=8,O771*IFERROR(INDEX('TaxCred&amp;Subs'!$K$139:$S$151,MATCH($C771&amp;$D771&amp;LEFT($AD771,7),'TaxCred&amp;Subs'!$E$139:$E$151,0),MATCH($H771,'TaxCred&amp;Subs'!$K$137:$S$137,0)),0),IF($C771=2,O771*IFERROR(INDEX('TaxCred&amp;Subs'!$K$139:$S$151,MATCH($C771&amp;$D771,'TaxCred&amp;Subs'!$D$139:$D$151,0),MATCH($H771,'TaxCred&amp;Subs'!$K$137:$S$137,0)),0),O771*IFERROR(INDEX('TaxCred&amp;Subs'!$K$139:$S$151,MATCH($C771&amp;$D771,'TaxCred&amp;Subs'!$C$139:$C$151,0),MATCH($H771,'TaxCred&amp;Subs'!$K$137:$S$137,0)),0))),0),0)</f>
        <v>0</v>
      </c>
      <c r="T771" s="95">
        <f t="shared" si="49"/>
        <v>0</v>
      </c>
      <c r="U771" s="95">
        <f t="shared" si="50"/>
        <v>0</v>
      </c>
      <c r="V771" s="28" t="s">
        <v>222</v>
      </c>
      <c r="W771" s="31">
        <v>2020</v>
      </c>
      <c r="X771" s="28">
        <v>1</v>
      </c>
      <c r="Y771" s="28">
        <v>0</v>
      </c>
      <c r="Z771" s="196">
        <v>-3.5100000000000001E-3</v>
      </c>
      <c r="AA771" s="196">
        <v>-5.3999999999999999E-2</v>
      </c>
      <c r="AB771" s="28">
        <v>0</v>
      </c>
      <c r="AC771" s="28">
        <v>0</v>
      </c>
      <c r="AD771" s="28" t="s">
        <v>378</v>
      </c>
    </row>
    <row r="772" spans="2:31" ht="14.25" customHeight="1" x14ac:dyDescent="0.2">
      <c r="B772" s="7">
        <f t="shared" si="51"/>
        <v>748</v>
      </c>
      <c r="C772" s="28">
        <v>5</v>
      </c>
      <c r="D772" s="28">
        <v>5</v>
      </c>
      <c r="E772" s="96">
        <v>15</v>
      </c>
      <c r="F772" s="78">
        <v>2022</v>
      </c>
      <c r="G772" s="28">
        <v>2032</v>
      </c>
      <c r="H772" s="31">
        <v>11</v>
      </c>
      <c r="I772" s="28">
        <v>0</v>
      </c>
      <c r="J772" s="28">
        <v>0</v>
      </c>
      <c r="K772" s="28">
        <v>0</v>
      </c>
      <c r="L772" s="28">
        <v>0</v>
      </c>
      <c r="M772" s="75">
        <v>1</v>
      </c>
      <c r="N772" s="151">
        <v>8060</v>
      </c>
      <c r="O772" s="151">
        <v>6430</v>
      </c>
      <c r="P772" s="95">
        <f t="array" ref="P772">ROUND(IF($F772&lt;='TaxCred&amp;Subs'!$C$49,(IF($C772=2,IF($M772&gt;=IFERROR(INDEX('TaxCred&amp;Subs'!$L$12:$L$47,MATCH(1,($C772&amp;$D772='TaxCred&amp;Subs'!$E$12:$E$47)*($F772='TaxCred&amp;Subs'!$C$12:$C$47),0)
),9999),IFERROR(INDEX('TaxCred&amp;Subs'!$N$12:$N$47,MATCH(1,($C772&amp;$D772='TaxCred&amp;Subs'!$E$12:$E$47)*($F772='TaxCred&amp;Subs'!$C$12:$C$47),0)
),0),0),(IF($M772&gt;=IFERROR(INDEX('TaxCred&amp;Subs'!$H$12:$H$47,MATCH(1,($C772&amp;$D772='TaxCred&amp;Subs'!$D$12:$D$47)*($F772='TaxCred&amp;Subs'!$C$12:$C$47),0)
),9999),IFERROR(INDEX('TaxCred&amp;Subs'!$N$12:$N$47,MATCH(1,($C772&amp;$D772='TaxCred&amp;Subs'!$D$12:$D$47)*($F772='TaxCred&amp;Subs'!$C$12:$C$47),0)
),0),0)))),0)+IF(AND($C772=2,VALUE(RIGHT($AD772,1))&gt;2),(N772-R772)*(IFERROR(INDEX('TaxCred&amp;Subs'!$J$66:$J$99,MATCH(1,($C772&amp;$D772='TaxCred&amp;Subs'!$E$66:$E$99)*($F772='TaxCred&amp;Subs'!$C$66:$C$99),0)),0)),IF(AND($C772=1,VALUE(RIGHT($AD772,1))&gt;2),(N772-R772)*(IFERROR(INDEX('TaxCred&amp;Subs'!$J$66:$J$99,MATCH(1,($C772&amp;$D772='TaxCred&amp;Subs'!$D$66:$D$99)*($F772='TaxCred&amp;Subs'!$C$66:$C$99),0)),0)),IF($C772&gt;2,(N772-R772)*(IFERROR(INDEX('TaxCred&amp;Subs'!$J$66:$J$99,MATCH(1,($C772&amp;$D772='TaxCred&amp;Subs'!$D$66:$D$99)*($F772='TaxCred&amp;Subs'!$C$66:$C$99),0)),0)),0))),0)</f>
        <v>2418</v>
      </c>
      <c r="Q772" s="95">
        <f t="array" ref="Q772">ROUND(IF(AND($C772=2,VALUE(RIGHT($AD772,1))&gt;2),(O772-S772)*(IFERROR(INDEX('TaxCred&amp;Subs'!$J$66:$J$99,MATCH(1,($C772&amp;$D772='TaxCred&amp;Subs'!$E$66:$E$99)*($F772='TaxCred&amp;Subs'!$C$66:$C$99),0)),0)),IF(AND($C772=1,VALUE(RIGHT($AD772,1))&gt;2),(O772-S772)*(IFERROR(INDEX('TaxCred&amp;Subs'!$J$66:$J$99,MATCH(1,($C772&amp;$D772='TaxCred&amp;Subs'!$D$66:$D$99)*($F772='TaxCred&amp;Subs'!$C$66:$C$99),0)),0)),IF($C772&gt;2,(O772-S772)*(IFERROR(INDEX('TaxCred&amp;Subs'!$J$66:$J$99,MATCH(1,($C772&amp;$D772='TaxCred&amp;Subs'!$D$66:$D$99)*($F772='TaxCred&amp;Subs'!$C$66:$C$99),0)),0)),0))),0)</f>
        <v>1929</v>
      </c>
      <c r="R772" s="95">
        <f t="array" ref="R772">ROUND(IF(IFERROR(VALUE(RIGHT($AD772,1)),0)&gt;2,IF($C772=8,N772*IFERROR(INDEX('TaxCred&amp;Subs'!$K$139:$S$151,MATCH($C772&amp;$D772&amp;LEFT($AD772,7),'TaxCred&amp;Subs'!$E$139:$E$151,0),MATCH($H772,'TaxCred&amp;Subs'!$K$137:$S$137,0)),0),IF($C772=2,N772*IFERROR(INDEX('TaxCred&amp;Subs'!$K$139:$S$151,MATCH($C772&amp;$D772,'TaxCred&amp;Subs'!$D$139:$D$151,0),MATCH($H772,'TaxCred&amp;Subs'!$K$137:$S$137,0)),0),N772*IFERROR(INDEX('TaxCred&amp;Subs'!$K$139:$S$151,MATCH($C772&amp;$D772,'TaxCred&amp;Subs'!$C$139:$C$151,0),MATCH($H772,'TaxCred&amp;Subs'!$K$137:$S$137,0)),0))),0),0)</f>
        <v>0</v>
      </c>
      <c r="S772" s="95">
        <f t="array" ref="S772">ROUND(IF(IFERROR(VALUE(RIGHT($AD772,1)),0)&gt;2,IF($C772=8,O772*IFERROR(INDEX('TaxCred&amp;Subs'!$K$139:$S$151,MATCH($C772&amp;$D772&amp;LEFT($AD772,7),'TaxCred&amp;Subs'!$E$139:$E$151,0),MATCH($H772,'TaxCred&amp;Subs'!$K$137:$S$137,0)),0),IF($C772=2,O772*IFERROR(INDEX('TaxCred&amp;Subs'!$K$139:$S$151,MATCH($C772&amp;$D772,'TaxCred&amp;Subs'!$D$139:$D$151,0),MATCH($H772,'TaxCred&amp;Subs'!$K$137:$S$137,0)),0),O772*IFERROR(INDEX('TaxCred&amp;Subs'!$K$139:$S$151,MATCH($C772&amp;$D772,'TaxCred&amp;Subs'!$C$139:$C$151,0),MATCH($H772,'TaxCred&amp;Subs'!$K$137:$S$137,0)),0))),0),0)</f>
        <v>0</v>
      </c>
      <c r="T772" s="95">
        <f t="shared" si="49"/>
        <v>0</v>
      </c>
      <c r="U772" s="95">
        <f t="shared" si="50"/>
        <v>0</v>
      </c>
      <c r="V772" s="28" t="s">
        <v>222</v>
      </c>
      <c r="W772" s="31">
        <v>2020</v>
      </c>
      <c r="X772" s="28">
        <v>1</v>
      </c>
      <c r="Y772" s="28">
        <v>0</v>
      </c>
      <c r="Z772" s="196">
        <v>-3.5100000000000001E-3</v>
      </c>
      <c r="AA772" s="196">
        <v>-5.3999999999999999E-2</v>
      </c>
      <c r="AB772" s="28">
        <v>0</v>
      </c>
      <c r="AC772" s="28">
        <v>0</v>
      </c>
      <c r="AD772" s="28" t="s">
        <v>378</v>
      </c>
    </row>
    <row r="773" spans="2:31" ht="14.25" customHeight="1" x14ac:dyDescent="0.2">
      <c r="B773" s="7">
        <f t="shared" si="51"/>
        <v>749</v>
      </c>
      <c r="C773" s="28">
        <v>5</v>
      </c>
      <c r="D773" s="28">
        <v>5</v>
      </c>
      <c r="E773" s="96">
        <v>15</v>
      </c>
      <c r="F773" s="78">
        <v>2033</v>
      </c>
      <c r="G773" s="28">
        <v>2033</v>
      </c>
      <c r="H773" s="31">
        <v>11</v>
      </c>
      <c r="I773" s="28">
        <v>0</v>
      </c>
      <c r="J773" s="28">
        <v>0</v>
      </c>
      <c r="K773" s="28">
        <v>0</v>
      </c>
      <c r="L773" s="28">
        <v>0</v>
      </c>
      <c r="M773" s="75">
        <v>1</v>
      </c>
      <c r="N773" s="151">
        <v>8060</v>
      </c>
      <c r="O773" s="151">
        <v>6430</v>
      </c>
      <c r="P773" s="95">
        <f t="array" ref="P773">ROUND(IF($F773&lt;='TaxCred&amp;Subs'!$C$49,(IF($C773=2,IF($M773&gt;=IFERROR(INDEX('TaxCred&amp;Subs'!$L$12:$L$47,MATCH(1,($C773&amp;$D773='TaxCred&amp;Subs'!$E$12:$E$47)*($F773='TaxCred&amp;Subs'!$C$12:$C$47),0)
),9999),IFERROR(INDEX('TaxCred&amp;Subs'!$N$12:$N$47,MATCH(1,($C773&amp;$D773='TaxCred&amp;Subs'!$E$12:$E$47)*($F773='TaxCred&amp;Subs'!$C$12:$C$47),0)
),0),0),(IF($M773&gt;=IFERROR(INDEX('TaxCred&amp;Subs'!$H$12:$H$47,MATCH(1,($C773&amp;$D773='TaxCred&amp;Subs'!$D$12:$D$47)*($F773='TaxCred&amp;Subs'!$C$12:$C$47),0)
),9999),IFERROR(INDEX('TaxCred&amp;Subs'!$N$12:$N$47,MATCH(1,($C773&amp;$D773='TaxCred&amp;Subs'!$D$12:$D$47)*($F773='TaxCred&amp;Subs'!$C$12:$C$47),0)
),0),0)))),0)+IF(AND($C773=2,VALUE(RIGHT($AD773,1))&gt;2),(N773-R773)*(IFERROR(INDEX('TaxCred&amp;Subs'!$J$66:$J$99,MATCH(1,($C773&amp;$D773='TaxCred&amp;Subs'!$E$66:$E$99)*($F773='TaxCred&amp;Subs'!$C$66:$C$99),0)),0)),IF(AND($C773=1,VALUE(RIGHT($AD773,1))&gt;2),(N773-R773)*(IFERROR(INDEX('TaxCred&amp;Subs'!$J$66:$J$99,MATCH(1,($C773&amp;$D773='TaxCred&amp;Subs'!$D$66:$D$99)*($F773='TaxCred&amp;Subs'!$C$66:$C$99),0)),0)),IF($C773&gt;2,(N773-R773)*(IFERROR(INDEX('TaxCred&amp;Subs'!$J$66:$J$99,MATCH(1,($C773&amp;$D773='TaxCred&amp;Subs'!$D$66:$D$99)*($F773='TaxCred&amp;Subs'!$C$66:$C$99),0)),0)),0))),0)</f>
        <v>2096</v>
      </c>
      <c r="Q773" s="95">
        <f t="array" ref="Q773">ROUND(IF(AND($C773=2,VALUE(RIGHT($AD773,1))&gt;2),(O773-S773)*(IFERROR(INDEX('TaxCred&amp;Subs'!$J$66:$J$99,MATCH(1,($C773&amp;$D773='TaxCred&amp;Subs'!$E$66:$E$99)*($F773='TaxCred&amp;Subs'!$C$66:$C$99),0)),0)),IF(AND($C773=1,VALUE(RIGHT($AD773,1))&gt;2),(O773-S773)*(IFERROR(INDEX('TaxCred&amp;Subs'!$J$66:$J$99,MATCH(1,($C773&amp;$D773='TaxCred&amp;Subs'!$D$66:$D$99)*($F773='TaxCred&amp;Subs'!$C$66:$C$99),0)),0)),IF($C773&gt;2,(O773-S773)*(IFERROR(INDEX('TaxCred&amp;Subs'!$J$66:$J$99,MATCH(1,($C773&amp;$D773='TaxCred&amp;Subs'!$D$66:$D$99)*($F773='TaxCred&amp;Subs'!$C$66:$C$99),0)),0)),0))),0)</f>
        <v>1672</v>
      </c>
      <c r="R773" s="95">
        <f t="array" ref="R773">ROUND(IF(IFERROR(VALUE(RIGHT($AD773,1)),0)&gt;2,IF($C773=8,N773*IFERROR(INDEX('TaxCred&amp;Subs'!$K$139:$S$151,MATCH($C773&amp;$D773&amp;LEFT($AD773,7),'TaxCred&amp;Subs'!$E$139:$E$151,0),MATCH($H773,'TaxCred&amp;Subs'!$K$137:$S$137,0)),0),IF($C773=2,N773*IFERROR(INDEX('TaxCred&amp;Subs'!$K$139:$S$151,MATCH($C773&amp;$D773,'TaxCred&amp;Subs'!$D$139:$D$151,0),MATCH($H773,'TaxCred&amp;Subs'!$K$137:$S$137,0)),0),N773*IFERROR(INDEX('TaxCred&amp;Subs'!$K$139:$S$151,MATCH($C773&amp;$D773,'TaxCred&amp;Subs'!$C$139:$C$151,0),MATCH($H773,'TaxCred&amp;Subs'!$K$137:$S$137,0)),0))),0),0)</f>
        <v>0</v>
      </c>
      <c r="S773" s="95">
        <f t="array" ref="S773">ROUND(IF(IFERROR(VALUE(RIGHT($AD773,1)),0)&gt;2,IF($C773=8,O773*IFERROR(INDEX('TaxCred&amp;Subs'!$K$139:$S$151,MATCH($C773&amp;$D773&amp;LEFT($AD773,7),'TaxCred&amp;Subs'!$E$139:$E$151,0),MATCH($H773,'TaxCred&amp;Subs'!$K$137:$S$137,0)),0),IF($C773=2,O773*IFERROR(INDEX('TaxCred&amp;Subs'!$K$139:$S$151,MATCH($C773&amp;$D773,'TaxCred&amp;Subs'!$D$139:$D$151,0),MATCH($H773,'TaxCred&amp;Subs'!$K$137:$S$137,0)),0),O773*IFERROR(INDEX('TaxCred&amp;Subs'!$K$139:$S$151,MATCH($C773&amp;$D773,'TaxCred&amp;Subs'!$C$139:$C$151,0),MATCH($H773,'TaxCred&amp;Subs'!$K$137:$S$137,0)),0))),0),0)</f>
        <v>0</v>
      </c>
      <c r="T773" s="95">
        <f t="shared" si="49"/>
        <v>0</v>
      </c>
      <c r="U773" s="95">
        <f t="shared" si="50"/>
        <v>0</v>
      </c>
      <c r="V773" s="28" t="s">
        <v>222</v>
      </c>
      <c r="W773" s="31">
        <v>2020</v>
      </c>
      <c r="X773" s="28">
        <v>1</v>
      </c>
      <c r="Y773" s="28">
        <v>0</v>
      </c>
      <c r="Z773" s="196">
        <v>-3.5100000000000001E-3</v>
      </c>
      <c r="AA773" s="196">
        <v>-5.3999999999999999E-2</v>
      </c>
      <c r="AB773" s="28">
        <v>0</v>
      </c>
      <c r="AC773" s="28">
        <v>0</v>
      </c>
      <c r="AD773" s="28" t="s">
        <v>378</v>
      </c>
    </row>
    <row r="774" spans="2:31" ht="14.25" customHeight="1" x14ac:dyDescent="0.2">
      <c r="B774" s="7">
        <f t="shared" si="51"/>
        <v>750</v>
      </c>
      <c r="C774" s="28">
        <v>5</v>
      </c>
      <c r="D774" s="28">
        <v>5</v>
      </c>
      <c r="E774" s="96">
        <v>15</v>
      </c>
      <c r="F774" s="78">
        <v>2034</v>
      </c>
      <c r="G774" s="28">
        <v>2034</v>
      </c>
      <c r="H774" s="31">
        <v>11</v>
      </c>
      <c r="I774" s="28">
        <v>0</v>
      </c>
      <c r="J774" s="28">
        <v>0</v>
      </c>
      <c r="K774" s="28">
        <v>0</v>
      </c>
      <c r="L774" s="28">
        <v>0</v>
      </c>
      <c r="M774" s="75">
        <v>1</v>
      </c>
      <c r="N774" s="151">
        <v>8060</v>
      </c>
      <c r="O774" s="151">
        <v>6430</v>
      </c>
      <c r="P774" s="95">
        <f t="array" ref="P774">ROUND(IF($F774&lt;='TaxCred&amp;Subs'!$C$49,(IF($C774=2,IF($M774&gt;=IFERROR(INDEX('TaxCred&amp;Subs'!$L$12:$L$47,MATCH(1,($C774&amp;$D774='TaxCred&amp;Subs'!$E$12:$E$47)*($F774='TaxCred&amp;Subs'!$C$12:$C$47),0)
),9999),IFERROR(INDEX('TaxCred&amp;Subs'!$N$12:$N$47,MATCH(1,($C774&amp;$D774='TaxCred&amp;Subs'!$E$12:$E$47)*($F774='TaxCred&amp;Subs'!$C$12:$C$47),0)
),0),0),(IF($M774&gt;=IFERROR(INDEX('TaxCred&amp;Subs'!$H$12:$H$47,MATCH(1,($C774&amp;$D774='TaxCred&amp;Subs'!$D$12:$D$47)*($F774='TaxCred&amp;Subs'!$C$12:$C$47),0)
),9999),IFERROR(INDEX('TaxCred&amp;Subs'!$N$12:$N$47,MATCH(1,($C774&amp;$D774='TaxCred&amp;Subs'!$D$12:$D$47)*($F774='TaxCred&amp;Subs'!$C$12:$C$47),0)
),0),0)))),0)+IF(AND($C774=2,VALUE(RIGHT($AD774,1))&gt;2),(N774-R774)*(IFERROR(INDEX('TaxCred&amp;Subs'!$J$66:$J$99,MATCH(1,($C774&amp;$D774='TaxCred&amp;Subs'!$E$66:$E$99)*($F774='TaxCred&amp;Subs'!$C$66:$C$99),0)),0)),IF(AND($C774=1,VALUE(RIGHT($AD774,1))&gt;2),(N774-R774)*(IFERROR(INDEX('TaxCred&amp;Subs'!$J$66:$J$99,MATCH(1,($C774&amp;$D774='TaxCred&amp;Subs'!$D$66:$D$99)*($F774='TaxCred&amp;Subs'!$C$66:$C$99),0)),0)),IF($C774&gt;2,(N774-R774)*(IFERROR(INDEX('TaxCred&amp;Subs'!$J$66:$J$99,MATCH(1,($C774&amp;$D774='TaxCred&amp;Subs'!$D$66:$D$99)*($F774='TaxCred&amp;Subs'!$C$66:$C$99),0)),0)),0))),0)</f>
        <v>1773</v>
      </c>
      <c r="Q774" s="95">
        <f t="array" ref="Q774">ROUND(IF(AND($C774=2,VALUE(RIGHT($AD774,1))&gt;2),(O774-S774)*(IFERROR(INDEX('TaxCred&amp;Subs'!$J$66:$J$99,MATCH(1,($C774&amp;$D774='TaxCred&amp;Subs'!$E$66:$E$99)*($F774='TaxCred&amp;Subs'!$C$66:$C$99),0)),0)),IF(AND($C774=1,VALUE(RIGHT($AD774,1))&gt;2),(O774-S774)*(IFERROR(INDEX('TaxCred&amp;Subs'!$J$66:$J$99,MATCH(1,($C774&amp;$D774='TaxCred&amp;Subs'!$D$66:$D$99)*($F774='TaxCred&amp;Subs'!$C$66:$C$99),0)),0)),IF($C774&gt;2,(O774-S774)*(IFERROR(INDEX('TaxCred&amp;Subs'!$J$66:$J$99,MATCH(1,($C774&amp;$D774='TaxCred&amp;Subs'!$D$66:$D$99)*($F774='TaxCred&amp;Subs'!$C$66:$C$99),0)),0)),0))),0)</f>
        <v>1415</v>
      </c>
      <c r="R774" s="95">
        <f t="array" ref="R774">ROUND(IF(IFERROR(VALUE(RIGHT($AD774,1)),0)&gt;2,IF($C774=8,N774*IFERROR(INDEX('TaxCred&amp;Subs'!$K$139:$S$151,MATCH($C774&amp;$D774&amp;LEFT($AD774,7),'TaxCred&amp;Subs'!$E$139:$E$151,0),MATCH($H774,'TaxCred&amp;Subs'!$K$137:$S$137,0)),0),IF($C774=2,N774*IFERROR(INDEX('TaxCred&amp;Subs'!$K$139:$S$151,MATCH($C774&amp;$D774,'TaxCred&amp;Subs'!$D$139:$D$151,0),MATCH($H774,'TaxCred&amp;Subs'!$K$137:$S$137,0)),0),N774*IFERROR(INDEX('TaxCred&amp;Subs'!$K$139:$S$151,MATCH($C774&amp;$D774,'TaxCred&amp;Subs'!$C$139:$C$151,0),MATCH($H774,'TaxCred&amp;Subs'!$K$137:$S$137,0)),0))),0),0)</f>
        <v>0</v>
      </c>
      <c r="S774" s="95">
        <f t="array" ref="S774">ROUND(IF(IFERROR(VALUE(RIGHT($AD774,1)),0)&gt;2,IF($C774=8,O774*IFERROR(INDEX('TaxCred&amp;Subs'!$K$139:$S$151,MATCH($C774&amp;$D774&amp;LEFT($AD774,7),'TaxCred&amp;Subs'!$E$139:$E$151,0),MATCH($H774,'TaxCred&amp;Subs'!$K$137:$S$137,0)),0),IF($C774=2,O774*IFERROR(INDEX('TaxCred&amp;Subs'!$K$139:$S$151,MATCH($C774&amp;$D774,'TaxCred&amp;Subs'!$D$139:$D$151,0),MATCH($H774,'TaxCred&amp;Subs'!$K$137:$S$137,0)),0),O774*IFERROR(INDEX('TaxCred&amp;Subs'!$K$139:$S$151,MATCH($C774&amp;$D774,'TaxCred&amp;Subs'!$C$139:$C$151,0),MATCH($H774,'TaxCred&amp;Subs'!$K$137:$S$137,0)),0))),0),0)</f>
        <v>0</v>
      </c>
      <c r="T774" s="95">
        <f t="shared" si="49"/>
        <v>0</v>
      </c>
      <c r="U774" s="95">
        <f t="shared" si="50"/>
        <v>0</v>
      </c>
      <c r="V774" s="28" t="s">
        <v>222</v>
      </c>
      <c r="W774" s="31">
        <v>2020</v>
      </c>
      <c r="X774" s="28">
        <v>1</v>
      </c>
      <c r="Y774" s="28">
        <v>0</v>
      </c>
      <c r="Z774" s="196">
        <v>-3.5100000000000001E-3</v>
      </c>
      <c r="AA774" s="196">
        <v>-5.3999999999999999E-2</v>
      </c>
      <c r="AB774" s="28">
        <v>0</v>
      </c>
      <c r="AC774" s="28">
        <v>0</v>
      </c>
      <c r="AD774" s="28" t="s">
        <v>378</v>
      </c>
    </row>
    <row r="775" spans="2:31" ht="14.25" customHeight="1" x14ac:dyDescent="0.2">
      <c r="B775" s="7">
        <f t="shared" si="51"/>
        <v>751</v>
      </c>
      <c r="C775" s="28">
        <v>5</v>
      </c>
      <c r="D775" s="28">
        <v>5</v>
      </c>
      <c r="E775" s="96">
        <v>15</v>
      </c>
      <c r="F775" s="78">
        <v>2035</v>
      </c>
      <c r="G775" s="28">
        <v>2050</v>
      </c>
      <c r="H775" s="31">
        <v>11</v>
      </c>
      <c r="I775" s="28">
        <v>0</v>
      </c>
      <c r="J775" s="28">
        <v>0</v>
      </c>
      <c r="K775" s="28">
        <v>0</v>
      </c>
      <c r="L775" s="28">
        <v>0</v>
      </c>
      <c r="M775" s="75">
        <v>1</v>
      </c>
      <c r="N775" s="151">
        <v>8060</v>
      </c>
      <c r="O775" s="151">
        <v>6430</v>
      </c>
      <c r="P775" s="95">
        <f t="array" ref="P775">ROUND(IF($F775&lt;='TaxCred&amp;Subs'!$C$49,(IF($C775=2,IF($M775&gt;=IFERROR(INDEX('TaxCred&amp;Subs'!$L$12:$L$47,MATCH(1,($C775&amp;$D775='TaxCred&amp;Subs'!$E$12:$E$47)*($F775='TaxCred&amp;Subs'!$C$12:$C$47),0)
),9999),IFERROR(INDEX('TaxCred&amp;Subs'!$N$12:$N$47,MATCH(1,($C775&amp;$D775='TaxCred&amp;Subs'!$E$12:$E$47)*($F775='TaxCred&amp;Subs'!$C$12:$C$47),0)
),0),0),(IF($M775&gt;=IFERROR(INDEX('TaxCred&amp;Subs'!$H$12:$H$47,MATCH(1,($C775&amp;$D775='TaxCred&amp;Subs'!$D$12:$D$47)*($F775='TaxCred&amp;Subs'!$C$12:$C$47),0)
),9999),IFERROR(INDEX('TaxCred&amp;Subs'!$N$12:$N$47,MATCH(1,($C775&amp;$D775='TaxCred&amp;Subs'!$D$12:$D$47)*($F775='TaxCred&amp;Subs'!$C$12:$C$47),0)
),0),0)))),0)+IF(AND($C775=2,VALUE(RIGHT($AD775,1))&gt;2),(N775-R775)*(IFERROR(INDEX('TaxCred&amp;Subs'!$J$66:$J$99,MATCH(1,($C775&amp;$D775='TaxCred&amp;Subs'!$E$66:$E$99)*($F775='TaxCred&amp;Subs'!$C$66:$C$99),0)),0)),IF(AND($C775=1,VALUE(RIGHT($AD775,1))&gt;2),(N775-R775)*(IFERROR(INDEX('TaxCred&amp;Subs'!$J$66:$J$99,MATCH(1,($C775&amp;$D775='TaxCred&amp;Subs'!$D$66:$D$99)*($F775='TaxCred&amp;Subs'!$C$66:$C$99),0)),0)),IF($C775&gt;2,(N775-R775)*(IFERROR(INDEX('TaxCred&amp;Subs'!$J$66:$J$99,MATCH(1,($C775&amp;$D775='TaxCred&amp;Subs'!$D$66:$D$99)*($F775='TaxCred&amp;Subs'!$C$66:$C$99),0)),0)),0))),0)</f>
        <v>0</v>
      </c>
      <c r="Q775" s="95">
        <f t="array" ref="Q775">ROUND(IF(AND($C775=2,VALUE(RIGHT($AD775,1))&gt;2),(O775-S775)*(IFERROR(INDEX('TaxCred&amp;Subs'!$J$66:$J$99,MATCH(1,($C775&amp;$D775='TaxCred&amp;Subs'!$E$66:$E$99)*($F775='TaxCred&amp;Subs'!$C$66:$C$99),0)),0)),IF(AND($C775=1,VALUE(RIGHT($AD775,1))&gt;2),(O775-S775)*(IFERROR(INDEX('TaxCred&amp;Subs'!$J$66:$J$99,MATCH(1,($C775&amp;$D775='TaxCred&amp;Subs'!$D$66:$D$99)*($F775='TaxCred&amp;Subs'!$C$66:$C$99),0)),0)),IF($C775&gt;2,(O775-S775)*(IFERROR(INDEX('TaxCred&amp;Subs'!$J$66:$J$99,MATCH(1,($C775&amp;$D775='TaxCred&amp;Subs'!$D$66:$D$99)*($F775='TaxCred&amp;Subs'!$C$66:$C$99),0)),0)),0))),0)</f>
        <v>0</v>
      </c>
      <c r="R775" s="95">
        <f t="array" ref="R775">ROUND(IF(IFERROR(VALUE(RIGHT($AD775,1)),0)&gt;2,IF($C775=8,N775*IFERROR(INDEX('TaxCred&amp;Subs'!$K$139:$S$151,MATCH($C775&amp;$D775&amp;LEFT($AD775,7),'TaxCred&amp;Subs'!$E$139:$E$151,0),MATCH($H775,'TaxCred&amp;Subs'!$K$137:$S$137,0)),0),IF($C775=2,N775*IFERROR(INDEX('TaxCred&amp;Subs'!$K$139:$S$151,MATCH($C775&amp;$D775,'TaxCred&amp;Subs'!$D$139:$D$151,0),MATCH($H775,'TaxCred&amp;Subs'!$K$137:$S$137,0)),0),N775*IFERROR(INDEX('TaxCred&amp;Subs'!$K$139:$S$151,MATCH($C775&amp;$D775,'TaxCred&amp;Subs'!$C$139:$C$151,0),MATCH($H775,'TaxCred&amp;Subs'!$K$137:$S$137,0)),0))),0),0)</f>
        <v>0</v>
      </c>
      <c r="S775" s="95">
        <f t="array" ref="S775">ROUND(IF(IFERROR(VALUE(RIGHT($AD775,1)),0)&gt;2,IF($C775=8,O775*IFERROR(INDEX('TaxCred&amp;Subs'!$K$139:$S$151,MATCH($C775&amp;$D775&amp;LEFT($AD775,7),'TaxCred&amp;Subs'!$E$139:$E$151,0),MATCH($H775,'TaxCred&amp;Subs'!$K$137:$S$137,0)),0),IF($C775=2,O775*IFERROR(INDEX('TaxCred&amp;Subs'!$K$139:$S$151,MATCH($C775&amp;$D775,'TaxCred&amp;Subs'!$D$139:$D$151,0),MATCH($H775,'TaxCred&amp;Subs'!$K$137:$S$137,0)),0),O775*IFERROR(INDEX('TaxCred&amp;Subs'!$K$139:$S$151,MATCH($C775&amp;$D775,'TaxCred&amp;Subs'!$C$139:$C$151,0),MATCH($H775,'TaxCred&amp;Subs'!$K$137:$S$137,0)),0))),0),0)</f>
        <v>0</v>
      </c>
      <c r="T775" s="95">
        <f t="shared" si="49"/>
        <v>0</v>
      </c>
      <c r="U775" s="95">
        <f t="shared" si="50"/>
        <v>0</v>
      </c>
      <c r="V775" s="28" t="s">
        <v>222</v>
      </c>
      <c r="W775" s="31">
        <v>2020</v>
      </c>
      <c r="X775" s="28">
        <v>1</v>
      </c>
      <c r="Y775" s="28">
        <v>0</v>
      </c>
      <c r="Z775" s="196">
        <v>-3.5100000000000001E-3</v>
      </c>
      <c r="AA775" s="196">
        <v>-5.3999999999999999E-2</v>
      </c>
      <c r="AB775" s="28">
        <v>0</v>
      </c>
      <c r="AC775" s="28">
        <v>0</v>
      </c>
      <c r="AD775" s="28" t="s">
        <v>378</v>
      </c>
    </row>
    <row r="776" spans="2:31" ht="14.25" customHeight="1" x14ac:dyDescent="0.2">
      <c r="B776" s="7">
        <f t="shared" si="51"/>
        <v>752</v>
      </c>
      <c r="C776" s="28">
        <v>6</v>
      </c>
      <c r="D776" s="28">
        <v>1</v>
      </c>
      <c r="E776" s="28">
        <v>1</v>
      </c>
      <c r="F776" s="96">
        <v>2020</v>
      </c>
      <c r="G776" s="28">
        <v>2050</v>
      </c>
      <c r="H776" s="28">
        <v>11</v>
      </c>
      <c r="I776" s="28">
        <v>0</v>
      </c>
      <c r="J776" s="28">
        <v>0</v>
      </c>
      <c r="K776" s="28">
        <v>0</v>
      </c>
      <c r="L776" s="28">
        <v>0</v>
      </c>
      <c r="M776" s="75">
        <v>0.45</v>
      </c>
      <c r="N776" s="151">
        <v>460</v>
      </c>
      <c r="O776" s="151">
        <v>310</v>
      </c>
      <c r="P776" s="95">
        <f t="array" ref="P776">ROUND(IF($F776&lt;='TaxCred&amp;Subs'!$C$49,(IF($C776=2,IF($M776&gt;=IFERROR(INDEX('TaxCred&amp;Subs'!$L$12:$L$47,MATCH(1,($C776&amp;$D776='TaxCred&amp;Subs'!$E$12:$E$47)*($F776='TaxCred&amp;Subs'!$C$12:$C$47),0)
),9999),IFERROR(INDEX('TaxCred&amp;Subs'!$N$12:$N$47,MATCH(1,($C776&amp;$D776='TaxCred&amp;Subs'!$E$12:$E$47)*($F776='TaxCred&amp;Subs'!$C$12:$C$47),0)
),0),0),(IF($M776&gt;=IFERROR(INDEX('TaxCred&amp;Subs'!$H$12:$H$47,MATCH(1,($C776&amp;$D776='TaxCred&amp;Subs'!$D$12:$D$47)*($F776='TaxCred&amp;Subs'!$C$12:$C$47),0)
),9999),IFERROR(INDEX('TaxCred&amp;Subs'!$N$12:$N$47,MATCH(1,($C776&amp;$D776='TaxCred&amp;Subs'!$D$12:$D$47)*($F776='TaxCred&amp;Subs'!$C$12:$C$47),0)
),0),0)))),0)+IF(AND($C776=2,VALUE(RIGHT($AD776,1))&gt;2),(N776-R776)*(IFERROR(INDEX('TaxCred&amp;Subs'!$J$66:$J$99,MATCH(1,($C776&amp;$D776='TaxCred&amp;Subs'!$E$66:$E$99)*($F776='TaxCred&amp;Subs'!$C$66:$C$99),0)),0)),IF(AND($C776=1,VALUE(RIGHT($AD776,1))&gt;2),(N776-R776)*(IFERROR(INDEX('TaxCred&amp;Subs'!$J$66:$J$99,MATCH(1,($C776&amp;$D776='TaxCred&amp;Subs'!$D$66:$D$99)*($F776='TaxCred&amp;Subs'!$C$66:$C$99),0)),0)),IF($C776&gt;2,(N776-R776)*(IFERROR(INDEX('TaxCred&amp;Subs'!$J$66:$J$99,MATCH(1,($C776&amp;$D776='TaxCred&amp;Subs'!$D$66:$D$99)*($F776='TaxCred&amp;Subs'!$C$66:$C$99),0)),0)),0))),0)</f>
        <v>0</v>
      </c>
      <c r="Q776" s="95">
        <f t="array" ref="Q776">ROUND(IF(AND($C776=2,VALUE(RIGHT($AD776,1))&gt;2),(O776-S776)*(IFERROR(INDEX('TaxCred&amp;Subs'!$J$66:$J$99,MATCH(1,($C776&amp;$D776='TaxCred&amp;Subs'!$E$66:$E$99)*($F776='TaxCred&amp;Subs'!$C$66:$C$99),0)),0)),IF(AND($C776=1,VALUE(RIGHT($AD776,1))&gt;2),(O776-S776)*(IFERROR(INDEX('TaxCred&amp;Subs'!$J$66:$J$99,MATCH(1,($C776&amp;$D776='TaxCred&amp;Subs'!$D$66:$D$99)*($F776='TaxCred&amp;Subs'!$C$66:$C$99),0)),0)),IF($C776&gt;2,(O776-S776)*(IFERROR(INDEX('TaxCred&amp;Subs'!$J$66:$J$99,MATCH(1,($C776&amp;$D776='TaxCred&amp;Subs'!$D$66:$D$99)*($F776='TaxCred&amp;Subs'!$C$66:$C$99),0)),0)),0))),0)</f>
        <v>0</v>
      </c>
      <c r="R776" s="95">
        <f t="array" ref="R776">ROUND(IF(IFERROR(VALUE(RIGHT($AD776,1)),0)&gt;2,IF($C776=8,N776*IFERROR(INDEX('TaxCred&amp;Subs'!$K$139:$S$151,MATCH($C776&amp;$D776&amp;LEFT($AD776,7),'TaxCred&amp;Subs'!$E$139:$E$151,0),MATCH($H776,'TaxCred&amp;Subs'!$K$137:$S$137,0)),0),IF($C776=2,N776*IFERROR(INDEX('TaxCred&amp;Subs'!$K$139:$S$151,MATCH($C776&amp;$D776,'TaxCred&amp;Subs'!$D$139:$D$151,0),MATCH($H776,'TaxCred&amp;Subs'!$K$137:$S$137,0)),0),N776*IFERROR(INDEX('TaxCred&amp;Subs'!$K$139:$S$151,MATCH($C776&amp;$D776,'TaxCred&amp;Subs'!$C$139:$C$151,0),MATCH($H776,'TaxCred&amp;Subs'!$K$137:$S$137,0)),0))),0),0)</f>
        <v>0</v>
      </c>
      <c r="S776" s="95">
        <f t="array" ref="S776">ROUND(IF(IFERROR(VALUE(RIGHT($AD776,1)),0)&gt;2,IF($C776=8,O776*IFERROR(INDEX('TaxCred&amp;Subs'!$K$139:$S$151,MATCH($C776&amp;$D776&amp;LEFT($AD776,7),'TaxCred&amp;Subs'!$E$139:$E$151,0),MATCH($H776,'TaxCred&amp;Subs'!$K$137:$S$137,0)),0),IF($C776=2,O776*IFERROR(INDEX('TaxCred&amp;Subs'!$K$139:$S$151,MATCH($C776&amp;$D776,'TaxCred&amp;Subs'!$D$139:$D$151,0),MATCH($H776,'TaxCred&amp;Subs'!$K$137:$S$137,0)),0),O776*IFERROR(INDEX('TaxCred&amp;Subs'!$K$139:$S$151,MATCH($C776&amp;$D776,'TaxCred&amp;Subs'!$C$139:$C$151,0),MATCH($H776,'TaxCred&amp;Subs'!$K$137:$S$137,0)),0))),0),0)</f>
        <v>0</v>
      </c>
      <c r="T776" s="95">
        <f t="shared" si="49"/>
        <v>0</v>
      </c>
      <c r="U776" s="95">
        <f t="shared" si="50"/>
        <v>0</v>
      </c>
      <c r="V776" s="28" t="s">
        <v>222</v>
      </c>
      <c r="W776" s="31">
        <v>2020</v>
      </c>
      <c r="X776" s="28">
        <v>1</v>
      </c>
      <c r="Y776" s="28">
        <v>0</v>
      </c>
      <c r="Z776" s="196">
        <v>-1.0589514510725756E-3</v>
      </c>
      <c r="AA776" s="196">
        <v>-1.6291560785731931E-2</v>
      </c>
      <c r="AB776" s="28">
        <v>0</v>
      </c>
      <c r="AC776" s="28">
        <v>0</v>
      </c>
      <c r="AD776" s="28" t="s">
        <v>215</v>
      </c>
    </row>
    <row r="777" spans="2:31" ht="14.25" customHeight="1" x14ac:dyDescent="0.2">
      <c r="B777" s="7">
        <f t="shared" si="51"/>
        <v>753</v>
      </c>
      <c r="C777" s="28">
        <v>6</v>
      </c>
      <c r="D777" s="28">
        <v>1</v>
      </c>
      <c r="E777" s="28">
        <v>2</v>
      </c>
      <c r="F777" s="96">
        <v>2020</v>
      </c>
      <c r="G777" s="28">
        <v>2050</v>
      </c>
      <c r="H777" s="28">
        <v>11</v>
      </c>
      <c r="I777" s="28">
        <v>0</v>
      </c>
      <c r="J777" s="28">
        <v>0</v>
      </c>
      <c r="K777" s="28">
        <v>0</v>
      </c>
      <c r="L777" s="28">
        <v>0</v>
      </c>
      <c r="M777" s="75">
        <v>0.52</v>
      </c>
      <c r="N777" s="151">
        <v>480</v>
      </c>
      <c r="O777" s="151">
        <v>330</v>
      </c>
      <c r="P777" s="95">
        <f t="array" ref="P777">ROUND(IF($F777&lt;='TaxCred&amp;Subs'!$C$49,(IF($C777=2,IF($M777&gt;=IFERROR(INDEX('TaxCred&amp;Subs'!$L$12:$L$47,MATCH(1,($C777&amp;$D777='TaxCred&amp;Subs'!$E$12:$E$47)*($F777='TaxCred&amp;Subs'!$C$12:$C$47),0)
),9999),IFERROR(INDEX('TaxCred&amp;Subs'!$N$12:$N$47,MATCH(1,($C777&amp;$D777='TaxCred&amp;Subs'!$E$12:$E$47)*($F777='TaxCred&amp;Subs'!$C$12:$C$47),0)
),0),0),(IF($M777&gt;=IFERROR(INDEX('TaxCred&amp;Subs'!$H$12:$H$47,MATCH(1,($C777&amp;$D777='TaxCred&amp;Subs'!$D$12:$D$47)*($F777='TaxCred&amp;Subs'!$C$12:$C$47),0)
),9999),IFERROR(INDEX('TaxCred&amp;Subs'!$N$12:$N$47,MATCH(1,($C777&amp;$D777='TaxCred&amp;Subs'!$D$12:$D$47)*($F777='TaxCred&amp;Subs'!$C$12:$C$47),0)
),0),0)))),0)+IF(AND($C777=2,VALUE(RIGHT($AD777,1))&gt;2),(N777-R777)*(IFERROR(INDEX('TaxCred&amp;Subs'!$J$66:$J$99,MATCH(1,($C777&amp;$D777='TaxCred&amp;Subs'!$E$66:$E$99)*($F777='TaxCred&amp;Subs'!$C$66:$C$99),0)),0)),IF(AND($C777=1,VALUE(RIGHT($AD777,1))&gt;2),(N777-R777)*(IFERROR(INDEX('TaxCred&amp;Subs'!$J$66:$J$99,MATCH(1,($C777&amp;$D777='TaxCred&amp;Subs'!$D$66:$D$99)*($F777='TaxCred&amp;Subs'!$C$66:$C$99),0)),0)),IF($C777&gt;2,(N777-R777)*(IFERROR(INDEX('TaxCred&amp;Subs'!$J$66:$J$99,MATCH(1,($C777&amp;$D777='TaxCred&amp;Subs'!$D$66:$D$99)*($F777='TaxCred&amp;Subs'!$C$66:$C$99),0)),0)),0))),0)</f>
        <v>0</v>
      </c>
      <c r="Q777" s="95">
        <f t="array" ref="Q777">ROUND(IF(AND($C777=2,VALUE(RIGHT($AD777,1))&gt;2),(O777-S777)*(IFERROR(INDEX('TaxCred&amp;Subs'!$J$66:$J$99,MATCH(1,($C777&amp;$D777='TaxCred&amp;Subs'!$E$66:$E$99)*($F777='TaxCred&amp;Subs'!$C$66:$C$99),0)),0)),IF(AND($C777=1,VALUE(RIGHT($AD777,1))&gt;2),(O777-S777)*(IFERROR(INDEX('TaxCred&amp;Subs'!$J$66:$J$99,MATCH(1,($C777&amp;$D777='TaxCred&amp;Subs'!$D$66:$D$99)*($F777='TaxCred&amp;Subs'!$C$66:$C$99),0)),0)),IF($C777&gt;2,(O777-S777)*(IFERROR(INDEX('TaxCred&amp;Subs'!$J$66:$J$99,MATCH(1,($C777&amp;$D777='TaxCred&amp;Subs'!$D$66:$D$99)*($F777='TaxCred&amp;Subs'!$C$66:$C$99),0)),0)),0))),0)</f>
        <v>0</v>
      </c>
      <c r="R777" s="95">
        <f t="array" ref="R777">ROUND(IF(IFERROR(VALUE(RIGHT($AD777,1)),0)&gt;2,IF($C777=8,N777*IFERROR(INDEX('TaxCred&amp;Subs'!$K$139:$S$151,MATCH($C777&amp;$D777&amp;LEFT($AD777,7),'TaxCred&amp;Subs'!$E$139:$E$151,0),MATCH($H777,'TaxCred&amp;Subs'!$K$137:$S$137,0)),0),IF($C777=2,N777*IFERROR(INDEX('TaxCred&amp;Subs'!$K$139:$S$151,MATCH($C777&amp;$D777,'TaxCred&amp;Subs'!$D$139:$D$151,0),MATCH($H777,'TaxCred&amp;Subs'!$K$137:$S$137,0)),0),N777*IFERROR(INDEX('TaxCred&amp;Subs'!$K$139:$S$151,MATCH($C777&amp;$D777,'TaxCred&amp;Subs'!$C$139:$C$151,0),MATCH($H777,'TaxCred&amp;Subs'!$K$137:$S$137,0)),0))),0),0)</f>
        <v>0</v>
      </c>
      <c r="S777" s="95">
        <f t="array" ref="S777">ROUND(IF(IFERROR(VALUE(RIGHT($AD777,1)),0)&gt;2,IF($C777=8,O777*IFERROR(INDEX('TaxCred&amp;Subs'!$K$139:$S$151,MATCH($C777&amp;$D777&amp;LEFT($AD777,7),'TaxCred&amp;Subs'!$E$139:$E$151,0),MATCH($H777,'TaxCred&amp;Subs'!$K$137:$S$137,0)),0),IF($C777=2,O777*IFERROR(INDEX('TaxCred&amp;Subs'!$K$139:$S$151,MATCH($C777&amp;$D777,'TaxCred&amp;Subs'!$D$139:$D$151,0),MATCH($H777,'TaxCred&amp;Subs'!$K$137:$S$137,0)),0),O777*IFERROR(INDEX('TaxCred&amp;Subs'!$K$139:$S$151,MATCH($C777&amp;$D777,'TaxCred&amp;Subs'!$C$139:$C$151,0),MATCH($H777,'TaxCred&amp;Subs'!$K$137:$S$137,0)),0))),0),0)</f>
        <v>0</v>
      </c>
      <c r="T777" s="95">
        <f t="shared" si="49"/>
        <v>0</v>
      </c>
      <c r="U777" s="95">
        <f t="shared" si="50"/>
        <v>0</v>
      </c>
      <c r="V777" s="28" t="s">
        <v>222</v>
      </c>
      <c r="W777" s="31">
        <v>2020</v>
      </c>
      <c r="X777" s="28">
        <v>1</v>
      </c>
      <c r="Y777" s="28">
        <v>0</v>
      </c>
      <c r="Z777" s="196">
        <v>-3.0367181248233278E-3</v>
      </c>
      <c r="AA777" s="196">
        <v>-4.6718740381897349E-2</v>
      </c>
      <c r="AB777" s="28">
        <v>0</v>
      </c>
      <c r="AC777" s="28">
        <v>0</v>
      </c>
      <c r="AD777" s="28" t="s">
        <v>356</v>
      </c>
    </row>
    <row r="778" spans="2:31" ht="14.25" customHeight="1" x14ac:dyDescent="0.2">
      <c r="B778" s="7">
        <f t="shared" si="51"/>
        <v>754</v>
      </c>
      <c r="C778" s="28">
        <v>6</v>
      </c>
      <c r="D778" s="28">
        <v>2</v>
      </c>
      <c r="E778" s="28">
        <v>3</v>
      </c>
      <c r="F778" s="96">
        <v>2020</v>
      </c>
      <c r="G778" s="28">
        <v>2050</v>
      </c>
      <c r="H778" s="28">
        <v>11</v>
      </c>
      <c r="I778" s="28">
        <v>0</v>
      </c>
      <c r="J778" s="28">
        <v>0</v>
      </c>
      <c r="K778" s="28">
        <v>0</v>
      </c>
      <c r="L778" s="28">
        <v>0</v>
      </c>
      <c r="M778" s="75">
        <v>0.45</v>
      </c>
      <c r="N778" s="151">
        <v>460</v>
      </c>
      <c r="O778" s="151">
        <v>310</v>
      </c>
      <c r="P778" s="95">
        <f t="array" ref="P778">ROUND(IF($F778&lt;='TaxCred&amp;Subs'!$C$49,(IF($C778=2,IF($M778&gt;=IFERROR(INDEX('TaxCred&amp;Subs'!$L$12:$L$47,MATCH(1,($C778&amp;$D778='TaxCred&amp;Subs'!$E$12:$E$47)*($F778='TaxCred&amp;Subs'!$C$12:$C$47),0)
),9999),IFERROR(INDEX('TaxCred&amp;Subs'!$N$12:$N$47,MATCH(1,($C778&amp;$D778='TaxCred&amp;Subs'!$E$12:$E$47)*($F778='TaxCred&amp;Subs'!$C$12:$C$47),0)
),0),0),(IF($M778&gt;=IFERROR(INDEX('TaxCred&amp;Subs'!$H$12:$H$47,MATCH(1,($C778&amp;$D778='TaxCred&amp;Subs'!$D$12:$D$47)*($F778='TaxCred&amp;Subs'!$C$12:$C$47),0)
),9999),IFERROR(INDEX('TaxCred&amp;Subs'!$N$12:$N$47,MATCH(1,($C778&amp;$D778='TaxCred&amp;Subs'!$D$12:$D$47)*($F778='TaxCred&amp;Subs'!$C$12:$C$47),0)
),0),0)))),0)+IF(AND($C778=2,VALUE(RIGHT($AD778,1))&gt;2),(N778-R778)*(IFERROR(INDEX('TaxCred&amp;Subs'!$J$66:$J$99,MATCH(1,($C778&amp;$D778='TaxCred&amp;Subs'!$E$66:$E$99)*($F778='TaxCred&amp;Subs'!$C$66:$C$99),0)),0)),IF(AND($C778=1,VALUE(RIGHT($AD778,1))&gt;2),(N778-R778)*(IFERROR(INDEX('TaxCred&amp;Subs'!$J$66:$J$99,MATCH(1,($C778&amp;$D778='TaxCred&amp;Subs'!$D$66:$D$99)*($F778='TaxCred&amp;Subs'!$C$66:$C$99),0)),0)),IF($C778&gt;2,(N778-R778)*(IFERROR(INDEX('TaxCred&amp;Subs'!$J$66:$J$99,MATCH(1,($C778&amp;$D778='TaxCred&amp;Subs'!$D$66:$D$99)*($F778='TaxCred&amp;Subs'!$C$66:$C$99),0)),0)),0))),0)</f>
        <v>0</v>
      </c>
      <c r="Q778" s="95">
        <f t="array" ref="Q778">ROUND(IF(AND($C778=2,VALUE(RIGHT($AD778,1))&gt;2),(O778-S778)*(IFERROR(INDEX('TaxCred&amp;Subs'!$J$66:$J$99,MATCH(1,($C778&amp;$D778='TaxCred&amp;Subs'!$E$66:$E$99)*($F778='TaxCred&amp;Subs'!$C$66:$C$99),0)),0)),IF(AND($C778=1,VALUE(RIGHT($AD778,1))&gt;2),(O778-S778)*(IFERROR(INDEX('TaxCred&amp;Subs'!$J$66:$J$99,MATCH(1,($C778&amp;$D778='TaxCred&amp;Subs'!$D$66:$D$99)*($F778='TaxCred&amp;Subs'!$C$66:$C$99),0)),0)),IF($C778&gt;2,(O778-S778)*(IFERROR(INDEX('TaxCred&amp;Subs'!$J$66:$J$99,MATCH(1,($C778&amp;$D778='TaxCred&amp;Subs'!$D$66:$D$99)*($F778='TaxCred&amp;Subs'!$C$66:$C$99),0)),0)),0))),0)</f>
        <v>0</v>
      </c>
      <c r="R778" s="95">
        <f t="array" ref="R778">ROUND(IF(IFERROR(VALUE(RIGHT($AD778,1)),0)&gt;2,IF($C778=8,N778*IFERROR(INDEX('TaxCred&amp;Subs'!$K$139:$S$151,MATCH($C778&amp;$D778&amp;LEFT($AD778,7),'TaxCred&amp;Subs'!$E$139:$E$151,0),MATCH($H778,'TaxCred&amp;Subs'!$K$137:$S$137,0)),0),IF($C778=2,N778*IFERROR(INDEX('TaxCred&amp;Subs'!$K$139:$S$151,MATCH($C778&amp;$D778,'TaxCred&amp;Subs'!$D$139:$D$151,0),MATCH($H778,'TaxCred&amp;Subs'!$K$137:$S$137,0)),0),N778*IFERROR(INDEX('TaxCred&amp;Subs'!$K$139:$S$151,MATCH($C778&amp;$D778,'TaxCred&amp;Subs'!$C$139:$C$151,0),MATCH($H778,'TaxCred&amp;Subs'!$K$137:$S$137,0)),0))),0),0)</f>
        <v>0</v>
      </c>
      <c r="S778" s="95">
        <f t="array" ref="S778">ROUND(IF(IFERROR(VALUE(RIGHT($AD778,1)),0)&gt;2,IF($C778=8,O778*IFERROR(INDEX('TaxCred&amp;Subs'!$K$139:$S$151,MATCH($C778&amp;$D778&amp;LEFT($AD778,7),'TaxCred&amp;Subs'!$E$139:$E$151,0),MATCH($H778,'TaxCred&amp;Subs'!$K$137:$S$137,0)),0),IF($C778=2,O778*IFERROR(INDEX('TaxCred&amp;Subs'!$K$139:$S$151,MATCH($C778&amp;$D778,'TaxCred&amp;Subs'!$D$139:$D$151,0),MATCH($H778,'TaxCred&amp;Subs'!$K$137:$S$137,0)),0),O778*IFERROR(INDEX('TaxCred&amp;Subs'!$K$139:$S$151,MATCH($C778&amp;$D778,'TaxCred&amp;Subs'!$C$139:$C$151,0),MATCH($H778,'TaxCred&amp;Subs'!$K$137:$S$137,0)),0))),0),0)</f>
        <v>0</v>
      </c>
      <c r="T778" s="95">
        <f t="shared" si="49"/>
        <v>0</v>
      </c>
      <c r="U778" s="95">
        <f t="shared" si="50"/>
        <v>0</v>
      </c>
      <c r="V778" s="28" t="s">
        <v>222</v>
      </c>
      <c r="W778" s="31">
        <v>2020</v>
      </c>
      <c r="X778" s="28">
        <v>1</v>
      </c>
      <c r="Y778" s="28">
        <v>0</v>
      </c>
      <c r="Z778" s="196">
        <v>-1.3040433605927626E-3</v>
      </c>
      <c r="AA778" s="196">
        <v>-2.0062205547580963E-2</v>
      </c>
      <c r="AB778" s="28">
        <v>0</v>
      </c>
      <c r="AC778" s="28">
        <v>0</v>
      </c>
      <c r="AD778" s="28" t="s">
        <v>216</v>
      </c>
    </row>
    <row r="779" spans="2:31" ht="14.25" customHeight="1" x14ac:dyDescent="0.2">
      <c r="B779" s="7">
        <f t="shared" si="51"/>
        <v>755</v>
      </c>
      <c r="C779" s="28">
        <v>6</v>
      </c>
      <c r="D779" s="28">
        <v>2</v>
      </c>
      <c r="E779" s="28">
        <v>4</v>
      </c>
      <c r="F779" s="96">
        <v>2020</v>
      </c>
      <c r="G779" s="28">
        <v>2050</v>
      </c>
      <c r="H779" s="28">
        <v>11</v>
      </c>
      <c r="I779" s="28">
        <v>0</v>
      </c>
      <c r="J779" s="28">
        <v>0</v>
      </c>
      <c r="K779" s="28">
        <v>0</v>
      </c>
      <c r="L779" s="28">
        <v>0</v>
      </c>
      <c r="M779" s="75">
        <v>0.52</v>
      </c>
      <c r="N779" s="151">
        <v>480</v>
      </c>
      <c r="O779" s="151">
        <v>330</v>
      </c>
      <c r="P779" s="95">
        <f t="array" ref="P779">ROUND(IF($F779&lt;='TaxCred&amp;Subs'!$C$49,(IF($C779=2,IF($M779&gt;=IFERROR(INDEX('TaxCred&amp;Subs'!$L$12:$L$47,MATCH(1,($C779&amp;$D779='TaxCred&amp;Subs'!$E$12:$E$47)*($F779='TaxCred&amp;Subs'!$C$12:$C$47),0)
),9999),IFERROR(INDEX('TaxCred&amp;Subs'!$N$12:$N$47,MATCH(1,($C779&amp;$D779='TaxCred&amp;Subs'!$E$12:$E$47)*($F779='TaxCred&amp;Subs'!$C$12:$C$47),0)
),0),0),(IF($M779&gt;=IFERROR(INDEX('TaxCred&amp;Subs'!$H$12:$H$47,MATCH(1,($C779&amp;$D779='TaxCred&amp;Subs'!$D$12:$D$47)*($F779='TaxCred&amp;Subs'!$C$12:$C$47),0)
),9999),IFERROR(INDEX('TaxCred&amp;Subs'!$N$12:$N$47,MATCH(1,($C779&amp;$D779='TaxCred&amp;Subs'!$D$12:$D$47)*($F779='TaxCred&amp;Subs'!$C$12:$C$47),0)
),0),0)))),0)+IF(AND($C779=2,VALUE(RIGHT($AD779,1))&gt;2),(N779-R779)*(IFERROR(INDEX('TaxCred&amp;Subs'!$J$66:$J$99,MATCH(1,($C779&amp;$D779='TaxCred&amp;Subs'!$E$66:$E$99)*($F779='TaxCred&amp;Subs'!$C$66:$C$99),0)),0)),IF(AND($C779=1,VALUE(RIGHT($AD779,1))&gt;2),(N779-R779)*(IFERROR(INDEX('TaxCred&amp;Subs'!$J$66:$J$99,MATCH(1,($C779&amp;$D779='TaxCred&amp;Subs'!$D$66:$D$99)*($F779='TaxCred&amp;Subs'!$C$66:$C$99),0)),0)),IF($C779&gt;2,(N779-R779)*(IFERROR(INDEX('TaxCred&amp;Subs'!$J$66:$J$99,MATCH(1,($C779&amp;$D779='TaxCred&amp;Subs'!$D$66:$D$99)*($F779='TaxCred&amp;Subs'!$C$66:$C$99),0)),0)),0))),0)</f>
        <v>0</v>
      </c>
      <c r="Q779" s="95">
        <f t="array" ref="Q779">ROUND(IF(AND($C779=2,VALUE(RIGHT($AD779,1))&gt;2),(O779-S779)*(IFERROR(INDEX('TaxCred&amp;Subs'!$J$66:$J$99,MATCH(1,($C779&amp;$D779='TaxCred&amp;Subs'!$E$66:$E$99)*($F779='TaxCred&amp;Subs'!$C$66:$C$99),0)),0)),IF(AND($C779=1,VALUE(RIGHT($AD779,1))&gt;2),(O779-S779)*(IFERROR(INDEX('TaxCred&amp;Subs'!$J$66:$J$99,MATCH(1,($C779&amp;$D779='TaxCred&amp;Subs'!$D$66:$D$99)*($F779='TaxCred&amp;Subs'!$C$66:$C$99),0)),0)),IF($C779&gt;2,(O779-S779)*(IFERROR(INDEX('TaxCred&amp;Subs'!$J$66:$J$99,MATCH(1,($C779&amp;$D779='TaxCred&amp;Subs'!$D$66:$D$99)*($F779='TaxCred&amp;Subs'!$C$66:$C$99),0)),0)),0))),0)</f>
        <v>0</v>
      </c>
      <c r="R779" s="95">
        <f t="array" ref="R779">ROUND(IF(IFERROR(VALUE(RIGHT($AD779,1)),0)&gt;2,IF($C779=8,N779*IFERROR(INDEX('TaxCred&amp;Subs'!$K$139:$S$151,MATCH($C779&amp;$D779&amp;LEFT($AD779,7),'TaxCred&amp;Subs'!$E$139:$E$151,0),MATCH($H779,'TaxCred&amp;Subs'!$K$137:$S$137,0)),0),IF($C779=2,N779*IFERROR(INDEX('TaxCred&amp;Subs'!$K$139:$S$151,MATCH($C779&amp;$D779,'TaxCred&amp;Subs'!$D$139:$D$151,0),MATCH($H779,'TaxCred&amp;Subs'!$K$137:$S$137,0)),0),N779*IFERROR(INDEX('TaxCred&amp;Subs'!$K$139:$S$151,MATCH($C779&amp;$D779,'TaxCred&amp;Subs'!$C$139:$C$151,0),MATCH($H779,'TaxCred&amp;Subs'!$K$137:$S$137,0)),0))),0),0)</f>
        <v>0</v>
      </c>
      <c r="S779" s="95">
        <f t="array" ref="S779">ROUND(IF(IFERROR(VALUE(RIGHT($AD779,1)),0)&gt;2,IF($C779=8,O779*IFERROR(INDEX('TaxCred&amp;Subs'!$K$139:$S$151,MATCH($C779&amp;$D779&amp;LEFT($AD779,7),'TaxCred&amp;Subs'!$E$139:$E$151,0),MATCH($H779,'TaxCred&amp;Subs'!$K$137:$S$137,0)),0),IF($C779=2,O779*IFERROR(INDEX('TaxCred&amp;Subs'!$K$139:$S$151,MATCH($C779&amp;$D779,'TaxCred&amp;Subs'!$D$139:$D$151,0),MATCH($H779,'TaxCred&amp;Subs'!$K$137:$S$137,0)),0),O779*IFERROR(INDEX('TaxCred&amp;Subs'!$K$139:$S$151,MATCH($C779&amp;$D779,'TaxCred&amp;Subs'!$C$139:$C$151,0),MATCH($H779,'TaxCred&amp;Subs'!$K$137:$S$137,0)),0))),0),0)</f>
        <v>0</v>
      </c>
      <c r="T779" s="95">
        <f t="shared" si="49"/>
        <v>0</v>
      </c>
      <c r="U779" s="95">
        <f t="shared" si="50"/>
        <v>0</v>
      </c>
      <c r="V779" s="28" t="s">
        <v>222</v>
      </c>
      <c r="W779" s="31">
        <v>2020</v>
      </c>
      <c r="X779" s="28">
        <v>1</v>
      </c>
      <c r="Y779" s="28">
        <v>0</v>
      </c>
      <c r="Z779" s="196">
        <v>-2.800579595093122E-3</v>
      </c>
      <c r="AA779" s="196">
        <v>-4.3085839924509567E-2</v>
      </c>
      <c r="AB779" s="28">
        <v>0</v>
      </c>
      <c r="AC779" s="28">
        <v>0</v>
      </c>
      <c r="AD779" s="28" t="s">
        <v>357</v>
      </c>
    </row>
    <row r="780" spans="2:31" ht="14.25" customHeight="1" x14ac:dyDescent="0.2">
      <c r="B780" s="7">
        <f t="shared" si="51"/>
        <v>756</v>
      </c>
      <c r="C780" s="78">
        <v>6</v>
      </c>
      <c r="D780" s="78">
        <v>3</v>
      </c>
      <c r="E780" s="78">
        <v>5</v>
      </c>
      <c r="F780" s="96">
        <v>2020</v>
      </c>
      <c r="G780" s="78">
        <v>2050</v>
      </c>
      <c r="H780" s="78">
        <v>11</v>
      </c>
      <c r="I780" s="78">
        <v>0</v>
      </c>
      <c r="J780" s="78">
        <v>0</v>
      </c>
      <c r="K780" s="78">
        <v>0</v>
      </c>
      <c r="L780" s="78">
        <v>0</v>
      </c>
      <c r="M780" s="159">
        <v>509.79999999999995</v>
      </c>
      <c r="N780" s="159">
        <v>770</v>
      </c>
      <c r="O780" s="159">
        <v>630</v>
      </c>
      <c r="P780" s="95">
        <f t="array" ref="P780">ROUND(IF($F780&lt;='TaxCred&amp;Subs'!$C$49,(IF($C780=2,IF($M780&gt;=IFERROR(INDEX('TaxCred&amp;Subs'!$L$12:$L$47,MATCH(1,($C780&amp;$D780='TaxCred&amp;Subs'!$E$12:$E$47)*($F780='TaxCred&amp;Subs'!$C$12:$C$47),0)
),9999),IFERROR(INDEX('TaxCred&amp;Subs'!$N$12:$N$47,MATCH(1,($C780&amp;$D780='TaxCred&amp;Subs'!$E$12:$E$47)*($F780='TaxCred&amp;Subs'!$C$12:$C$47),0)
),0),0),(IF($M780&gt;=IFERROR(INDEX('TaxCred&amp;Subs'!$H$12:$H$47,MATCH(1,($C780&amp;$D780='TaxCred&amp;Subs'!$D$12:$D$47)*($F780='TaxCred&amp;Subs'!$C$12:$C$47),0)
),9999),IFERROR(INDEX('TaxCred&amp;Subs'!$N$12:$N$47,MATCH(1,($C780&amp;$D780='TaxCred&amp;Subs'!$D$12:$D$47)*($F780='TaxCred&amp;Subs'!$C$12:$C$47),0)
),0),0)))),0)+IF(AND($C780=2,VALUE(RIGHT($AD780,1))&gt;2),(N780-R780)*(IFERROR(INDEX('TaxCred&amp;Subs'!$J$66:$J$99,MATCH(1,($C780&amp;$D780='TaxCred&amp;Subs'!$E$66:$E$99)*($F780='TaxCred&amp;Subs'!$C$66:$C$99),0)),0)),IF(AND($C780=1,VALUE(RIGHT($AD780,1))&gt;2),(N780-R780)*(IFERROR(INDEX('TaxCred&amp;Subs'!$J$66:$J$99,MATCH(1,($C780&amp;$D780='TaxCred&amp;Subs'!$D$66:$D$99)*($F780='TaxCred&amp;Subs'!$C$66:$C$99),0)),0)),IF($C780&gt;2,(N780-R780)*(IFERROR(INDEX('TaxCred&amp;Subs'!$J$66:$J$99,MATCH(1,($C780&amp;$D780='TaxCred&amp;Subs'!$D$66:$D$99)*($F780='TaxCred&amp;Subs'!$C$66:$C$99),0)),0)),0))),0)</f>
        <v>0</v>
      </c>
      <c r="Q780" s="95">
        <f t="array" ref="Q780">ROUND(IF(AND($C780=2,VALUE(RIGHT($AD780,1))&gt;2),(O780-S780)*(IFERROR(INDEX('TaxCred&amp;Subs'!$J$66:$J$99,MATCH(1,($C780&amp;$D780='TaxCred&amp;Subs'!$E$66:$E$99)*($F780='TaxCred&amp;Subs'!$C$66:$C$99),0)),0)),IF(AND($C780=1,VALUE(RIGHT($AD780,1))&gt;2),(O780-S780)*(IFERROR(INDEX('TaxCred&amp;Subs'!$J$66:$J$99,MATCH(1,($C780&amp;$D780='TaxCred&amp;Subs'!$D$66:$D$99)*($F780='TaxCred&amp;Subs'!$C$66:$C$99),0)),0)),IF($C780&gt;2,(O780-S780)*(IFERROR(INDEX('TaxCred&amp;Subs'!$J$66:$J$99,MATCH(1,($C780&amp;$D780='TaxCred&amp;Subs'!$D$66:$D$99)*($F780='TaxCred&amp;Subs'!$C$66:$C$99),0)),0)),0))),0)</f>
        <v>0</v>
      </c>
      <c r="R780" s="95">
        <f t="array" ref="R780">ROUND(IF(IFERROR(VALUE(RIGHT($AD780,1)),0)&gt;2,IF($C780=8,N780*IFERROR(INDEX('TaxCred&amp;Subs'!$K$139:$S$151,MATCH($C780&amp;$D780&amp;LEFT($AD780,7),'TaxCred&amp;Subs'!$E$139:$E$151,0),MATCH($H780,'TaxCred&amp;Subs'!$K$137:$S$137,0)),0),IF($C780=2,N780*IFERROR(INDEX('TaxCred&amp;Subs'!$K$139:$S$151,MATCH($C780&amp;$D780,'TaxCred&amp;Subs'!$D$139:$D$151,0),MATCH($H780,'TaxCred&amp;Subs'!$K$137:$S$137,0)),0),N780*IFERROR(INDEX('TaxCred&amp;Subs'!$K$139:$S$151,MATCH($C780&amp;$D780,'TaxCred&amp;Subs'!$C$139:$C$151,0),MATCH($H780,'TaxCred&amp;Subs'!$K$137:$S$137,0)),0))),0),0)</f>
        <v>0</v>
      </c>
      <c r="S780" s="95">
        <f t="array" ref="S780">ROUND(IF(IFERROR(VALUE(RIGHT($AD780,1)),0)&gt;2,IF($C780=8,O780*IFERROR(INDEX('TaxCred&amp;Subs'!$K$139:$S$151,MATCH($C780&amp;$D780&amp;LEFT($AD780,7),'TaxCred&amp;Subs'!$E$139:$E$151,0),MATCH($H780,'TaxCred&amp;Subs'!$K$137:$S$137,0)),0),IF($C780=2,O780*IFERROR(INDEX('TaxCred&amp;Subs'!$K$139:$S$151,MATCH($C780&amp;$D780,'TaxCred&amp;Subs'!$D$139:$D$151,0),MATCH($H780,'TaxCred&amp;Subs'!$K$137:$S$137,0)),0),O780*IFERROR(INDEX('TaxCred&amp;Subs'!$K$139:$S$151,MATCH($C780&amp;$D780,'TaxCred&amp;Subs'!$C$139:$C$151,0),MATCH($H780,'TaxCred&amp;Subs'!$K$137:$S$137,0)),0))),0),0)</f>
        <v>0</v>
      </c>
      <c r="T780" s="95">
        <f t="shared" si="49"/>
        <v>0</v>
      </c>
      <c r="U780" s="95">
        <f t="shared" si="50"/>
        <v>0</v>
      </c>
      <c r="V780" s="78" t="s">
        <v>222</v>
      </c>
      <c r="W780" s="96">
        <v>2020</v>
      </c>
      <c r="X780" s="78">
        <v>1</v>
      </c>
      <c r="Y780" s="78">
        <v>0</v>
      </c>
      <c r="Z780" s="199">
        <v>-1.0004766961251375E-3</v>
      </c>
      <c r="AA780" s="199">
        <v>-1.5391949171155959E-2</v>
      </c>
      <c r="AB780" s="78">
        <v>0</v>
      </c>
      <c r="AC780" s="78">
        <v>0</v>
      </c>
      <c r="AD780" s="78" t="s">
        <v>379</v>
      </c>
    </row>
    <row r="781" spans="2:31" ht="14.25" customHeight="1" x14ac:dyDescent="0.2">
      <c r="B781" s="7">
        <f t="shared" si="51"/>
        <v>757</v>
      </c>
      <c r="C781" s="153">
        <v>6</v>
      </c>
      <c r="D781" s="153">
        <v>3</v>
      </c>
      <c r="E781" s="153">
        <v>6</v>
      </c>
      <c r="F781" s="153">
        <v>2020</v>
      </c>
      <c r="G781" s="153">
        <v>2023</v>
      </c>
      <c r="H781" s="153">
        <v>11</v>
      </c>
      <c r="I781" s="153">
        <v>0</v>
      </c>
      <c r="J781" s="153">
        <v>0</v>
      </c>
      <c r="K781" s="153">
        <v>0</v>
      </c>
      <c r="L781" s="153">
        <v>0</v>
      </c>
      <c r="M781" s="157">
        <v>418.03599999999994</v>
      </c>
      <c r="N781" s="157">
        <v>861</v>
      </c>
      <c r="O781" s="157">
        <v>738</v>
      </c>
      <c r="P781" s="41">
        <f t="array" ref="P781">ROUND(IF($F781&lt;='TaxCred&amp;Subs'!$C$49,(IF($C781=2,IF($M781&gt;=IFERROR(INDEX('TaxCred&amp;Subs'!$L$12:$L$47,MATCH(1,($C781&amp;$D781='TaxCred&amp;Subs'!$E$12:$E$47)*($F781='TaxCred&amp;Subs'!$C$12:$C$47),0)
),9999),IFERROR(INDEX('TaxCred&amp;Subs'!$N$12:$N$47,MATCH(1,($C781&amp;$D781='TaxCred&amp;Subs'!$E$12:$E$47)*($F781='TaxCred&amp;Subs'!$C$12:$C$47),0)
),0),0),(IF($M781&gt;=IFERROR(INDEX('TaxCred&amp;Subs'!$H$12:$H$47,MATCH(1,($C781&amp;$D781='TaxCred&amp;Subs'!$D$12:$D$47)*($F781='TaxCred&amp;Subs'!$C$12:$C$47),0)
),9999),IFERROR(INDEX('TaxCred&amp;Subs'!$N$12:$N$47,MATCH(1,($C781&amp;$D781='TaxCred&amp;Subs'!$D$12:$D$47)*($F781='TaxCred&amp;Subs'!$C$12:$C$47),0)
),0),0)))),0)+IF(AND($C781=2,VALUE(RIGHT($AD781,1))&gt;2),(N781-R781)*(IFERROR(INDEX('TaxCred&amp;Subs'!$J$66:$J$99,MATCH(1,($C781&amp;$D781='TaxCred&amp;Subs'!$E$66:$E$99)*($F781='TaxCred&amp;Subs'!$C$66:$C$99),0)),0)),IF(AND($C781=1,VALUE(RIGHT($AD781,1))&gt;2),(N781-R781)*(IFERROR(INDEX('TaxCred&amp;Subs'!$J$66:$J$99,MATCH(1,($C781&amp;$D781='TaxCred&amp;Subs'!$D$66:$D$99)*($F781='TaxCred&amp;Subs'!$C$66:$C$99),0)),0)),IF($C781&gt;2,(N781-R781)*(IFERROR(INDEX('TaxCred&amp;Subs'!$J$66:$J$99,MATCH(1,($C781&amp;$D781='TaxCred&amp;Subs'!$D$66:$D$99)*($F781='TaxCred&amp;Subs'!$C$66:$C$99),0)),0)),0))),0)</f>
        <v>0</v>
      </c>
      <c r="Q781" s="41">
        <f t="array" ref="Q781">ROUND(IF(AND($C781=2,VALUE(RIGHT($AD781,1))&gt;2),(O781-S781)*(IFERROR(INDEX('TaxCred&amp;Subs'!$J$66:$J$99,MATCH(1,($C781&amp;$D781='TaxCred&amp;Subs'!$E$66:$E$99)*($F781='TaxCred&amp;Subs'!$C$66:$C$99),0)),0)),IF(AND($C781=1,VALUE(RIGHT($AD781,1))&gt;2),(O781-S781)*(IFERROR(INDEX('TaxCred&amp;Subs'!$J$66:$J$99,MATCH(1,($C781&amp;$D781='TaxCred&amp;Subs'!$D$66:$D$99)*($F781='TaxCred&amp;Subs'!$C$66:$C$99),0)),0)),IF($C781&gt;2,(O781-S781)*(IFERROR(INDEX('TaxCred&amp;Subs'!$J$66:$J$99,MATCH(1,($C781&amp;$D781='TaxCred&amp;Subs'!$D$66:$D$99)*($F781='TaxCred&amp;Subs'!$C$66:$C$99),0)),0)),0))),0)</f>
        <v>0</v>
      </c>
      <c r="R781" s="41">
        <f t="array" ref="R781">ROUND(IF(IFERROR(VALUE(RIGHT($AD781,1)),0)&gt;2,IF($C781=8,N781*IFERROR(INDEX('TaxCred&amp;Subs'!$K$139:$S$151,MATCH($C781&amp;$D781&amp;LEFT($AD781,7),'TaxCred&amp;Subs'!$E$139:$E$151,0),MATCH($H781,'TaxCred&amp;Subs'!$K$137:$S$137,0)),0),IF($C781=2,N781*IFERROR(INDEX('TaxCred&amp;Subs'!$K$139:$S$151,MATCH($C781&amp;$D781,'TaxCred&amp;Subs'!$D$139:$D$151,0),MATCH($H781,'TaxCred&amp;Subs'!$K$137:$S$137,0)),0),N781*IFERROR(INDEX('TaxCred&amp;Subs'!$K$139:$S$151,MATCH($C781&amp;$D781,'TaxCred&amp;Subs'!$C$139:$C$151,0),MATCH($H781,'TaxCred&amp;Subs'!$K$137:$S$137,0)),0))),0),0)</f>
        <v>0</v>
      </c>
      <c r="S781" s="41">
        <f t="array" ref="S781">ROUND(IF(IFERROR(VALUE(RIGHT($AD781,1)),0)&gt;2,IF($C781=8,O781*IFERROR(INDEX('TaxCred&amp;Subs'!$K$139:$S$151,MATCH($C781&amp;$D781&amp;LEFT($AD781,7),'TaxCred&amp;Subs'!$E$139:$E$151,0),MATCH($H781,'TaxCred&amp;Subs'!$K$137:$S$137,0)),0),IF($C781=2,O781*IFERROR(INDEX('TaxCred&amp;Subs'!$K$139:$S$151,MATCH($C781&amp;$D781,'TaxCred&amp;Subs'!$D$139:$D$151,0),MATCH($H781,'TaxCred&amp;Subs'!$K$137:$S$137,0)),0),O781*IFERROR(INDEX('TaxCred&amp;Subs'!$K$139:$S$151,MATCH($C781&amp;$D781,'TaxCred&amp;Subs'!$C$139:$C$151,0),MATCH($H781,'TaxCred&amp;Subs'!$K$137:$S$137,0)),0))),0),0)</f>
        <v>0</v>
      </c>
      <c r="T781" s="41">
        <f t="shared" si="49"/>
        <v>0</v>
      </c>
      <c r="U781" s="41">
        <f t="shared" si="50"/>
        <v>0</v>
      </c>
      <c r="V781" s="153" t="s">
        <v>222</v>
      </c>
      <c r="W781" s="153">
        <v>2020</v>
      </c>
      <c r="X781" s="153">
        <v>1</v>
      </c>
      <c r="Y781" s="153">
        <v>0</v>
      </c>
      <c r="Z781" s="195">
        <v>-1</v>
      </c>
      <c r="AA781" s="195">
        <v>-1</v>
      </c>
      <c r="AB781" s="153">
        <v>0</v>
      </c>
      <c r="AC781" s="153">
        <v>0</v>
      </c>
      <c r="AD781" s="153" t="s">
        <v>478</v>
      </c>
      <c r="AE781" s="44" t="s">
        <v>499</v>
      </c>
    </row>
    <row r="782" spans="2:31" ht="14.25" customHeight="1" x14ac:dyDescent="0.2">
      <c r="B782" s="7">
        <f t="shared" si="51"/>
        <v>758</v>
      </c>
      <c r="C782" s="153">
        <v>6</v>
      </c>
      <c r="D782" s="153">
        <v>3</v>
      </c>
      <c r="E782" s="153">
        <v>6</v>
      </c>
      <c r="F782" s="153">
        <v>2024</v>
      </c>
      <c r="G782" s="153">
        <v>2050</v>
      </c>
      <c r="H782" s="153">
        <v>11</v>
      </c>
      <c r="I782" s="153">
        <v>0</v>
      </c>
      <c r="J782" s="153">
        <v>0</v>
      </c>
      <c r="K782" s="153">
        <v>0</v>
      </c>
      <c r="L782" s="153">
        <v>0</v>
      </c>
      <c r="M782" s="157">
        <v>418.03599999999994</v>
      </c>
      <c r="N782" s="157">
        <v>861</v>
      </c>
      <c r="O782" s="157">
        <v>738</v>
      </c>
      <c r="P782" s="41">
        <f t="array" ref="P782">ROUND(IF($F782&lt;='TaxCred&amp;Subs'!$C$49,(IF($C782=2,IF($M782&gt;=IFERROR(INDEX('TaxCred&amp;Subs'!$L$12:$L$47,MATCH(1,($C782&amp;$D782='TaxCred&amp;Subs'!$E$12:$E$47)*($F782='TaxCred&amp;Subs'!$C$12:$C$47),0)
),9999),IFERROR(INDEX('TaxCred&amp;Subs'!$N$12:$N$47,MATCH(1,($C782&amp;$D782='TaxCred&amp;Subs'!$E$12:$E$47)*($F782='TaxCred&amp;Subs'!$C$12:$C$47),0)
),0),0),(IF($M782&gt;=IFERROR(INDEX('TaxCred&amp;Subs'!$H$12:$H$47,MATCH(1,($C782&amp;$D782='TaxCred&amp;Subs'!$D$12:$D$47)*($F782='TaxCred&amp;Subs'!$C$12:$C$47),0)
),9999),IFERROR(INDEX('TaxCred&amp;Subs'!$N$12:$N$47,MATCH(1,($C782&amp;$D782='TaxCred&amp;Subs'!$D$12:$D$47)*($F782='TaxCred&amp;Subs'!$C$12:$C$47),0)
),0),0)))),0)+IF(AND($C782=2,VALUE(RIGHT($AD782,1))&gt;2),(N782-R782)*(IFERROR(INDEX('TaxCred&amp;Subs'!$J$66:$J$99,MATCH(1,($C782&amp;$D782='TaxCred&amp;Subs'!$E$66:$E$99)*($F782='TaxCred&amp;Subs'!$C$66:$C$99),0)),0)),IF(AND($C782=1,VALUE(RIGHT($AD782,1))&gt;2),(N782-R782)*(IFERROR(INDEX('TaxCred&amp;Subs'!$J$66:$J$99,MATCH(1,($C782&amp;$D782='TaxCred&amp;Subs'!$D$66:$D$99)*($F782='TaxCred&amp;Subs'!$C$66:$C$99),0)),0)),IF($C782&gt;2,(N782-R782)*(IFERROR(INDEX('TaxCred&amp;Subs'!$J$66:$J$99,MATCH(1,($C782&amp;$D782='TaxCred&amp;Subs'!$D$66:$D$99)*($F782='TaxCred&amp;Subs'!$C$66:$C$99),0)),0)),0))),0)</f>
        <v>0</v>
      </c>
      <c r="Q782" s="41">
        <f t="array" ref="Q782">ROUND(IF(AND($C782=2,VALUE(RIGHT($AD782,1))&gt;2),(O782-S782)*(IFERROR(INDEX('TaxCred&amp;Subs'!$J$66:$J$99,MATCH(1,($C782&amp;$D782='TaxCred&amp;Subs'!$E$66:$E$99)*($F782='TaxCred&amp;Subs'!$C$66:$C$99),0)),0)),IF(AND($C782=1,VALUE(RIGHT($AD782,1))&gt;2),(O782-S782)*(IFERROR(INDEX('TaxCred&amp;Subs'!$J$66:$J$99,MATCH(1,($C782&amp;$D782='TaxCred&amp;Subs'!$D$66:$D$99)*($F782='TaxCred&amp;Subs'!$C$66:$C$99),0)),0)),IF($C782&gt;2,(O782-S782)*(IFERROR(INDEX('TaxCred&amp;Subs'!$J$66:$J$99,MATCH(1,($C782&amp;$D782='TaxCred&amp;Subs'!$D$66:$D$99)*($F782='TaxCred&amp;Subs'!$C$66:$C$99),0)),0)),0))),0)</f>
        <v>0</v>
      </c>
      <c r="R782" s="41">
        <f t="array" ref="R782">ROUND(IF(IFERROR(VALUE(RIGHT($AD782,1)),0)&gt;2,IF($C782=8,N782*IFERROR(INDEX('TaxCred&amp;Subs'!$K$139:$S$151,MATCH($C782&amp;$D782&amp;LEFT($AD782,7),'TaxCred&amp;Subs'!$E$139:$E$151,0),MATCH($H782,'TaxCred&amp;Subs'!$K$137:$S$137,0)),0),IF($C782=2,N782*IFERROR(INDEX('TaxCred&amp;Subs'!$K$139:$S$151,MATCH($C782&amp;$D782,'TaxCred&amp;Subs'!$D$139:$D$151,0),MATCH($H782,'TaxCred&amp;Subs'!$K$137:$S$137,0)),0),N782*IFERROR(INDEX('TaxCred&amp;Subs'!$K$139:$S$151,MATCH($C782&amp;$D782,'TaxCred&amp;Subs'!$C$139:$C$151,0),MATCH($H782,'TaxCred&amp;Subs'!$K$137:$S$137,0)),0))),0),0)</f>
        <v>0</v>
      </c>
      <c r="S782" s="41">
        <f t="array" ref="S782">ROUND(IF(IFERROR(VALUE(RIGHT($AD782,1)),0)&gt;2,IF($C782=8,O782*IFERROR(INDEX('TaxCred&amp;Subs'!$K$139:$S$151,MATCH($C782&amp;$D782&amp;LEFT($AD782,7),'TaxCred&amp;Subs'!$E$139:$E$151,0),MATCH($H782,'TaxCred&amp;Subs'!$K$137:$S$137,0)),0),IF($C782=2,O782*IFERROR(INDEX('TaxCred&amp;Subs'!$K$139:$S$151,MATCH($C782&amp;$D782,'TaxCred&amp;Subs'!$D$139:$D$151,0),MATCH($H782,'TaxCred&amp;Subs'!$K$137:$S$137,0)),0),O782*IFERROR(INDEX('TaxCred&amp;Subs'!$K$139:$S$151,MATCH($C782&amp;$D782,'TaxCred&amp;Subs'!$C$139:$C$151,0),MATCH($H782,'TaxCred&amp;Subs'!$K$137:$S$137,0)),0))),0),0)</f>
        <v>0</v>
      </c>
      <c r="T782" s="41">
        <f t="shared" si="49"/>
        <v>0</v>
      </c>
      <c r="U782" s="41">
        <f t="shared" si="50"/>
        <v>0</v>
      </c>
      <c r="V782" s="153" t="s">
        <v>222</v>
      </c>
      <c r="W782" s="153">
        <v>2020</v>
      </c>
      <c r="X782" s="153">
        <v>1</v>
      </c>
      <c r="Y782" s="153">
        <v>0</v>
      </c>
      <c r="Z782" s="200">
        <v>-1</v>
      </c>
      <c r="AA782" s="200">
        <v>-1</v>
      </c>
      <c r="AB782" s="153">
        <v>0</v>
      </c>
      <c r="AC782" s="153">
        <v>0</v>
      </c>
      <c r="AD782" s="153" t="s">
        <v>478</v>
      </c>
    </row>
    <row r="783" spans="2:31" ht="14.25" customHeight="1" x14ac:dyDescent="0.2">
      <c r="B783" s="7">
        <f t="shared" si="51"/>
        <v>759</v>
      </c>
      <c r="C783" s="153">
        <v>6</v>
      </c>
      <c r="D783" s="153">
        <v>3</v>
      </c>
      <c r="E783" s="153">
        <v>7</v>
      </c>
      <c r="F783" s="153">
        <v>2020</v>
      </c>
      <c r="G783" s="153">
        <v>2050</v>
      </c>
      <c r="H783" s="153">
        <v>11</v>
      </c>
      <c r="I783" s="153">
        <v>0</v>
      </c>
      <c r="J783" s="153">
        <v>0</v>
      </c>
      <c r="K783" s="153">
        <v>0</v>
      </c>
      <c r="L783" s="153">
        <v>0</v>
      </c>
      <c r="M783" s="157">
        <v>396.6</v>
      </c>
      <c r="N783" s="157">
        <v>1050</v>
      </c>
      <c r="O783" s="157">
        <v>900</v>
      </c>
      <c r="P783" s="41">
        <f t="array" ref="P783">ROUND(IF($F783&lt;='TaxCred&amp;Subs'!$C$49,(IF($C783=2,IF($M783&gt;=IFERROR(INDEX('TaxCred&amp;Subs'!$L$12:$L$47,MATCH(1,($C783&amp;$D783='TaxCred&amp;Subs'!$E$12:$E$47)*($F783='TaxCred&amp;Subs'!$C$12:$C$47),0)
),9999),IFERROR(INDEX('TaxCred&amp;Subs'!$N$12:$N$47,MATCH(1,($C783&amp;$D783='TaxCred&amp;Subs'!$E$12:$E$47)*($F783='TaxCred&amp;Subs'!$C$12:$C$47),0)
),0),0),(IF($M783&gt;=IFERROR(INDEX('TaxCred&amp;Subs'!$H$12:$H$47,MATCH(1,($C783&amp;$D783='TaxCred&amp;Subs'!$D$12:$D$47)*($F783='TaxCred&amp;Subs'!$C$12:$C$47),0)
),9999),IFERROR(INDEX('TaxCred&amp;Subs'!$N$12:$N$47,MATCH(1,($C783&amp;$D783='TaxCred&amp;Subs'!$D$12:$D$47)*($F783='TaxCred&amp;Subs'!$C$12:$C$47),0)
),0),0)))),0)+IF(AND($C783=2,VALUE(RIGHT($AD783,1))&gt;2),(N783-R783)*(IFERROR(INDEX('TaxCred&amp;Subs'!$J$66:$J$99,MATCH(1,($C783&amp;$D783='TaxCred&amp;Subs'!$E$66:$E$99)*($F783='TaxCred&amp;Subs'!$C$66:$C$99),0)),0)),IF(AND($C783=1,VALUE(RIGHT($AD783,1))&gt;2),(N783-R783)*(IFERROR(INDEX('TaxCred&amp;Subs'!$J$66:$J$99,MATCH(1,($C783&amp;$D783='TaxCred&amp;Subs'!$D$66:$D$99)*($F783='TaxCred&amp;Subs'!$C$66:$C$99),0)),0)),IF($C783&gt;2,(N783-R783)*(IFERROR(INDEX('TaxCred&amp;Subs'!$J$66:$J$99,MATCH(1,($C783&amp;$D783='TaxCred&amp;Subs'!$D$66:$D$99)*($F783='TaxCred&amp;Subs'!$C$66:$C$99),0)),0)),0))),0)</f>
        <v>0</v>
      </c>
      <c r="Q783" s="41">
        <f t="array" ref="Q783">ROUND(IF(AND($C783=2,VALUE(RIGHT($AD783,1))&gt;2),(O783-S783)*(IFERROR(INDEX('TaxCred&amp;Subs'!$J$66:$J$99,MATCH(1,($C783&amp;$D783='TaxCred&amp;Subs'!$E$66:$E$99)*($F783='TaxCred&amp;Subs'!$C$66:$C$99),0)),0)),IF(AND($C783=1,VALUE(RIGHT($AD783,1))&gt;2),(O783-S783)*(IFERROR(INDEX('TaxCred&amp;Subs'!$J$66:$J$99,MATCH(1,($C783&amp;$D783='TaxCred&amp;Subs'!$D$66:$D$99)*($F783='TaxCred&amp;Subs'!$C$66:$C$99),0)),0)),IF($C783&gt;2,(O783-S783)*(IFERROR(INDEX('TaxCred&amp;Subs'!$J$66:$J$99,MATCH(1,($C783&amp;$D783='TaxCred&amp;Subs'!$D$66:$D$99)*($F783='TaxCred&amp;Subs'!$C$66:$C$99),0)),0)),0))),0)</f>
        <v>0</v>
      </c>
      <c r="R783" s="41">
        <f t="array" ref="R783">ROUND(IF(IFERROR(VALUE(RIGHT($AD783,1)),0)&gt;2,IF($C783=8,N783*IFERROR(INDEX('TaxCred&amp;Subs'!$K$139:$S$151,MATCH($C783&amp;$D783&amp;LEFT($AD783,7),'TaxCred&amp;Subs'!$E$139:$E$151,0),MATCH($H783,'TaxCred&amp;Subs'!$K$137:$S$137,0)),0),IF($C783=2,N783*IFERROR(INDEX('TaxCred&amp;Subs'!$K$139:$S$151,MATCH($C783&amp;$D783,'TaxCred&amp;Subs'!$D$139:$D$151,0),MATCH($H783,'TaxCred&amp;Subs'!$K$137:$S$137,0)),0),N783*IFERROR(INDEX('TaxCred&amp;Subs'!$K$139:$S$151,MATCH($C783&amp;$D783,'TaxCred&amp;Subs'!$C$139:$C$151,0),MATCH($H783,'TaxCred&amp;Subs'!$K$137:$S$137,0)),0))),0),0)</f>
        <v>0</v>
      </c>
      <c r="S783" s="41">
        <f t="array" ref="S783">ROUND(IF(IFERROR(VALUE(RIGHT($AD783,1)),0)&gt;2,IF($C783=8,O783*IFERROR(INDEX('TaxCred&amp;Subs'!$K$139:$S$151,MATCH($C783&amp;$D783&amp;LEFT($AD783,7),'TaxCred&amp;Subs'!$E$139:$E$151,0),MATCH($H783,'TaxCred&amp;Subs'!$K$137:$S$137,0)),0),IF($C783=2,O783*IFERROR(INDEX('TaxCred&amp;Subs'!$K$139:$S$151,MATCH($C783&amp;$D783,'TaxCred&amp;Subs'!$D$139:$D$151,0),MATCH($H783,'TaxCred&amp;Subs'!$K$137:$S$137,0)),0),O783*IFERROR(INDEX('TaxCred&amp;Subs'!$K$139:$S$151,MATCH($C783&amp;$D783,'TaxCred&amp;Subs'!$C$139:$C$151,0),MATCH($H783,'TaxCred&amp;Subs'!$K$137:$S$137,0)),0))),0),0)</f>
        <v>0</v>
      </c>
      <c r="T783" s="41">
        <f t="shared" si="49"/>
        <v>0</v>
      </c>
      <c r="U783" s="41">
        <f t="shared" si="50"/>
        <v>0</v>
      </c>
      <c r="V783" s="153" t="s">
        <v>222</v>
      </c>
      <c r="W783" s="153">
        <v>2020</v>
      </c>
      <c r="X783" s="153">
        <v>1</v>
      </c>
      <c r="Y783" s="153">
        <v>0</v>
      </c>
      <c r="Z783" s="200">
        <v>-1.612105162976548E-3</v>
      </c>
      <c r="AA783" s="200">
        <v>-2.4801617891946893E-2</v>
      </c>
      <c r="AB783" s="153">
        <v>0</v>
      </c>
      <c r="AC783" s="153">
        <v>0</v>
      </c>
      <c r="AD783" s="153" t="s">
        <v>469</v>
      </c>
    </row>
    <row r="784" spans="2:31" ht="14.25" customHeight="1" x14ac:dyDescent="0.2">
      <c r="B784" s="7">
        <f t="shared" si="51"/>
        <v>760</v>
      </c>
      <c r="C784" s="28">
        <v>7</v>
      </c>
      <c r="D784" s="28">
        <v>1</v>
      </c>
      <c r="E784" s="28">
        <v>1</v>
      </c>
      <c r="F784" s="96">
        <v>2020</v>
      </c>
      <c r="G784" s="31">
        <v>2027</v>
      </c>
      <c r="H784" s="28">
        <v>11</v>
      </c>
      <c r="I784" s="28">
        <v>0</v>
      </c>
      <c r="J784" s="28">
        <v>0</v>
      </c>
      <c r="K784" s="28">
        <v>0</v>
      </c>
      <c r="L784" s="28">
        <v>0</v>
      </c>
      <c r="M784" s="75">
        <v>3.3</v>
      </c>
      <c r="N784" s="151">
        <v>870</v>
      </c>
      <c r="O784" s="151">
        <v>660</v>
      </c>
      <c r="P784" s="95">
        <f t="array" ref="P784">ROUND(IF($F784&lt;='TaxCred&amp;Subs'!$C$49,(IF($C784=2,IF($M784&gt;=IFERROR(INDEX('TaxCred&amp;Subs'!$L$12:$L$47,MATCH(1,($C784&amp;$D784='TaxCred&amp;Subs'!$E$12:$E$47)*($F784='TaxCred&amp;Subs'!$C$12:$C$47),0)
),9999),IFERROR(INDEX('TaxCred&amp;Subs'!$N$12:$N$47,MATCH(1,($C784&amp;$D784='TaxCred&amp;Subs'!$E$12:$E$47)*($F784='TaxCred&amp;Subs'!$C$12:$C$47),0)
),0),0),(IF($M784&gt;=IFERROR(INDEX('TaxCred&amp;Subs'!$H$12:$H$47,MATCH(1,($C784&amp;$D784='TaxCred&amp;Subs'!$D$12:$D$47)*($F784='TaxCred&amp;Subs'!$C$12:$C$47),0)
),9999),IFERROR(INDEX('TaxCred&amp;Subs'!$N$12:$N$47,MATCH(1,($C784&amp;$D784='TaxCred&amp;Subs'!$D$12:$D$47)*($F784='TaxCred&amp;Subs'!$C$12:$C$47),0)
),0),0)))),0)+IF(AND($C784=2,VALUE(RIGHT($AD784,1))&gt;2),(N784-R784)*(IFERROR(INDEX('TaxCred&amp;Subs'!$J$66:$J$99,MATCH(1,($C784&amp;$D784='TaxCred&amp;Subs'!$E$66:$E$99)*($F784='TaxCred&amp;Subs'!$C$66:$C$99),0)),0)),IF(AND($C784=1,VALUE(RIGHT($AD784,1))&gt;2),(N784-R784)*(IFERROR(INDEX('TaxCred&amp;Subs'!$J$66:$J$99,MATCH(1,($C784&amp;$D784='TaxCred&amp;Subs'!$D$66:$D$99)*($F784='TaxCred&amp;Subs'!$C$66:$C$99),0)),0)),IF($C784&gt;2,(N784-R784)*(IFERROR(INDEX('TaxCred&amp;Subs'!$J$66:$J$99,MATCH(1,($C784&amp;$D784='TaxCred&amp;Subs'!$D$66:$D$99)*($F784='TaxCred&amp;Subs'!$C$66:$C$99),0)),0)),0))),0)</f>
        <v>0</v>
      </c>
      <c r="Q784" s="95">
        <f t="array" ref="Q784">ROUND(IF(AND($C784=2,VALUE(RIGHT($AD784,1))&gt;2),(O784-S784)*(IFERROR(INDEX('TaxCred&amp;Subs'!$J$66:$J$99,MATCH(1,($C784&amp;$D784='TaxCred&amp;Subs'!$E$66:$E$99)*($F784='TaxCred&amp;Subs'!$C$66:$C$99),0)),0)),IF(AND($C784=1,VALUE(RIGHT($AD784,1))&gt;2),(O784-S784)*(IFERROR(INDEX('TaxCred&amp;Subs'!$J$66:$J$99,MATCH(1,($C784&amp;$D784='TaxCred&amp;Subs'!$D$66:$D$99)*($F784='TaxCred&amp;Subs'!$C$66:$C$99),0)),0)),IF($C784&gt;2,(O784-S784)*(IFERROR(INDEX('TaxCred&amp;Subs'!$J$66:$J$99,MATCH(1,($C784&amp;$D784='TaxCred&amp;Subs'!$D$66:$D$99)*($F784='TaxCred&amp;Subs'!$C$66:$C$99),0)),0)),0))),0)</f>
        <v>0</v>
      </c>
      <c r="R784" s="95">
        <f t="array" ref="R784">ROUND(IF(IFERROR(VALUE(RIGHT($AD784,1)),0)&gt;2,IF($C784=8,N784*IFERROR(INDEX('TaxCred&amp;Subs'!$K$139:$S$151,MATCH($C784&amp;$D784&amp;LEFT($AD784,7),'TaxCred&amp;Subs'!$E$139:$E$151,0),MATCH($H784,'TaxCred&amp;Subs'!$K$137:$S$137,0)),0),IF($C784=2,N784*IFERROR(INDEX('TaxCred&amp;Subs'!$K$139:$S$151,MATCH($C784&amp;$D784,'TaxCred&amp;Subs'!$D$139:$D$151,0),MATCH($H784,'TaxCred&amp;Subs'!$K$137:$S$137,0)),0),N784*IFERROR(INDEX('TaxCred&amp;Subs'!$K$139:$S$151,MATCH($C784&amp;$D784,'TaxCred&amp;Subs'!$C$139:$C$151,0),MATCH($H784,'TaxCred&amp;Subs'!$K$137:$S$137,0)),0))),0),0)</f>
        <v>0</v>
      </c>
      <c r="S784" s="95">
        <f t="array" ref="S784">ROUND(IF(IFERROR(VALUE(RIGHT($AD784,1)),0)&gt;2,IF($C784=8,O784*IFERROR(INDEX('TaxCred&amp;Subs'!$K$139:$S$151,MATCH($C784&amp;$D784&amp;LEFT($AD784,7),'TaxCred&amp;Subs'!$E$139:$E$151,0),MATCH($H784,'TaxCred&amp;Subs'!$K$137:$S$137,0)),0),IF($C784=2,O784*IFERROR(INDEX('TaxCred&amp;Subs'!$K$139:$S$151,MATCH($C784&amp;$D784,'TaxCred&amp;Subs'!$D$139:$D$151,0),MATCH($H784,'TaxCred&amp;Subs'!$K$137:$S$137,0)),0),O784*IFERROR(INDEX('TaxCred&amp;Subs'!$K$139:$S$151,MATCH($C784&amp;$D784,'TaxCred&amp;Subs'!$C$139:$C$151,0),MATCH($H784,'TaxCred&amp;Subs'!$K$137:$S$137,0)),0))),0),0)</f>
        <v>0</v>
      </c>
      <c r="T784" s="95">
        <f t="shared" si="49"/>
        <v>0</v>
      </c>
      <c r="U784" s="95">
        <f t="shared" si="50"/>
        <v>0</v>
      </c>
      <c r="V784" s="28" t="s">
        <v>222</v>
      </c>
      <c r="W784" s="31">
        <v>2020</v>
      </c>
      <c r="X784" s="28">
        <v>1</v>
      </c>
      <c r="Y784" s="28">
        <v>0</v>
      </c>
      <c r="Z784" s="196">
        <v>-6.3571324379184738E-3</v>
      </c>
      <c r="AA784" s="196">
        <v>-9.7802037506438053E-2</v>
      </c>
      <c r="AB784" s="28">
        <v>0</v>
      </c>
      <c r="AC784" s="28">
        <v>0</v>
      </c>
      <c r="AD784" s="28" t="s">
        <v>217</v>
      </c>
    </row>
    <row r="785" spans="2:31" ht="14.25" customHeight="1" x14ac:dyDescent="0.2">
      <c r="B785" s="7">
        <f t="shared" si="51"/>
        <v>761</v>
      </c>
      <c r="C785" s="152">
        <v>7</v>
      </c>
      <c r="D785" s="152">
        <v>1</v>
      </c>
      <c r="E785" s="152">
        <v>1</v>
      </c>
      <c r="F785" s="153">
        <v>2028</v>
      </c>
      <c r="G785" s="152">
        <v>2050</v>
      </c>
      <c r="H785" s="152">
        <v>11</v>
      </c>
      <c r="I785" s="152">
        <v>0</v>
      </c>
      <c r="J785" s="152">
        <v>0</v>
      </c>
      <c r="K785" s="152">
        <v>0</v>
      </c>
      <c r="L785" s="152">
        <v>0</v>
      </c>
      <c r="M785" s="154">
        <v>3.3</v>
      </c>
      <c r="N785" s="155">
        <v>870</v>
      </c>
      <c r="O785" s="155">
        <v>660</v>
      </c>
      <c r="P785" s="41">
        <f t="array" ref="P785">ROUND(IF($F785&lt;='TaxCred&amp;Subs'!$C$49,(IF($C785=2,IF($M785&gt;=IFERROR(INDEX('TaxCred&amp;Subs'!$L$12:$L$47,MATCH(1,($C785&amp;$D785='TaxCred&amp;Subs'!$E$12:$E$47)*($F785='TaxCred&amp;Subs'!$C$12:$C$47),0)
),9999),IFERROR(INDEX('TaxCred&amp;Subs'!$N$12:$N$47,MATCH(1,($C785&amp;$D785='TaxCred&amp;Subs'!$E$12:$E$47)*($F785='TaxCred&amp;Subs'!$C$12:$C$47),0)
),0),0),(IF($M785&gt;=IFERROR(INDEX('TaxCred&amp;Subs'!$H$12:$H$47,MATCH(1,($C785&amp;$D785='TaxCred&amp;Subs'!$D$12:$D$47)*($F785='TaxCred&amp;Subs'!$C$12:$C$47),0)
),9999),IFERROR(INDEX('TaxCred&amp;Subs'!$N$12:$N$47,MATCH(1,($C785&amp;$D785='TaxCred&amp;Subs'!$D$12:$D$47)*($F785='TaxCred&amp;Subs'!$C$12:$C$47),0)
),0),0)))),0)+IF(AND($C785=2,VALUE(RIGHT($AD785,1))&gt;2),(N785-R785)*(IFERROR(INDEX('TaxCred&amp;Subs'!$J$66:$J$99,MATCH(1,($C785&amp;$D785='TaxCred&amp;Subs'!$E$66:$E$99)*($F785='TaxCred&amp;Subs'!$C$66:$C$99),0)),0)),IF(AND($C785=1,VALUE(RIGHT($AD785,1))&gt;2),(N785-R785)*(IFERROR(INDEX('TaxCred&amp;Subs'!$J$66:$J$99,MATCH(1,($C785&amp;$D785='TaxCred&amp;Subs'!$D$66:$D$99)*($F785='TaxCred&amp;Subs'!$C$66:$C$99),0)),0)),IF($C785&gt;2,(N785-R785)*(IFERROR(INDEX('TaxCred&amp;Subs'!$J$66:$J$99,MATCH(1,($C785&amp;$D785='TaxCred&amp;Subs'!$D$66:$D$99)*($F785='TaxCred&amp;Subs'!$C$66:$C$99),0)),0)),0))),0)</f>
        <v>0</v>
      </c>
      <c r="Q785" s="41">
        <f t="array" ref="Q785">ROUND(IF(AND($C785=2,VALUE(RIGHT($AD785,1))&gt;2),(O785-S785)*(IFERROR(INDEX('TaxCred&amp;Subs'!$J$66:$J$99,MATCH(1,($C785&amp;$D785='TaxCred&amp;Subs'!$E$66:$E$99)*($F785='TaxCred&amp;Subs'!$C$66:$C$99),0)),0)),IF(AND($C785=1,VALUE(RIGHT($AD785,1))&gt;2),(O785-S785)*(IFERROR(INDEX('TaxCred&amp;Subs'!$J$66:$J$99,MATCH(1,($C785&amp;$D785='TaxCred&amp;Subs'!$D$66:$D$99)*($F785='TaxCred&amp;Subs'!$C$66:$C$99),0)),0)),IF($C785&gt;2,(O785-S785)*(IFERROR(INDEX('TaxCred&amp;Subs'!$J$66:$J$99,MATCH(1,($C785&amp;$D785='TaxCred&amp;Subs'!$D$66:$D$99)*($F785='TaxCred&amp;Subs'!$C$66:$C$99),0)),0)),0))),0)</f>
        <v>0</v>
      </c>
      <c r="R785" s="41">
        <f t="array" ref="R785">ROUND(IF(IFERROR(VALUE(RIGHT($AD785,1)),0)&gt;2,IF($C785=8,N785*IFERROR(INDEX('TaxCred&amp;Subs'!$K$139:$S$151,MATCH($C785&amp;$D785&amp;LEFT($AD785,7),'TaxCred&amp;Subs'!$E$139:$E$151,0),MATCH($H785,'TaxCred&amp;Subs'!$K$137:$S$137,0)),0),IF($C785=2,N785*IFERROR(INDEX('TaxCred&amp;Subs'!$K$139:$S$151,MATCH($C785&amp;$D785,'TaxCred&amp;Subs'!$D$139:$D$151,0),MATCH($H785,'TaxCred&amp;Subs'!$K$137:$S$137,0)),0),N785*IFERROR(INDEX('TaxCred&amp;Subs'!$K$139:$S$151,MATCH($C785&amp;$D785,'TaxCred&amp;Subs'!$C$139:$C$151,0),MATCH($H785,'TaxCred&amp;Subs'!$K$137:$S$137,0)),0))),0),0)</f>
        <v>0</v>
      </c>
      <c r="S785" s="41">
        <f t="array" ref="S785">ROUND(IF(IFERROR(VALUE(RIGHT($AD785,1)),0)&gt;2,IF($C785=8,O785*IFERROR(INDEX('TaxCred&amp;Subs'!$K$139:$S$151,MATCH($C785&amp;$D785&amp;LEFT($AD785,7),'TaxCred&amp;Subs'!$E$139:$E$151,0),MATCH($H785,'TaxCred&amp;Subs'!$K$137:$S$137,0)),0),IF($C785=2,O785*IFERROR(INDEX('TaxCred&amp;Subs'!$K$139:$S$151,MATCH($C785&amp;$D785,'TaxCred&amp;Subs'!$D$139:$D$151,0),MATCH($H785,'TaxCred&amp;Subs'!$K$137:$S$137,0)),0),O785*IFERROR(INDEX('TaxCred&amp;Subs'!$K$139:$S$151,MATCH($C785&amp;$D785,'TaxCred&amp;Subs'!$C$139:$C$151,0),MATCH($H785,'TaxCred&amp;Subs'!$K$137:$S$137,0)),0))),0),0)</f>
        <v>0</v>
      </c>
      <c r="T785" s="41">
        <f t="shared" si="49"/>
        <v>0</v>
      </c>
      <c r="U785" s="41">
        <f t="shared" si="50"/>
        <v>0</v>
      </c>
      <c r="V785" s="152" t="s">
        <v>222</v>
      </c>
      <c r="W785" s="152">
        <v>2020</v>
      </c>
      <c r="X785" s="152">
        <v>1</v>
      </c>
      <c r="Y785" s="152">
        <v>0</v>
      </c>
      <c r="Z785" s="194">
        <v>-6.3571324379184738E-3</v>
      </c>
      <c r="AA785" s="194">
        <v>-9.7802037506438053E-2</v>
      </c>
      <c r="AB785" s="152">
        <v>0</v>
      </c>
      <c r="AC785" s="152">
        <v>0</v>
      </c>
      <c r="AD785" s="152" t="s">
        <v>217</v>
      </c>
    </row>
    <row r="786" spans="2:31" ht="14.25" customHeight="1" x14ac:dyDescent="0.2">
      <c r="B786" s="7">
        <f t="shared" si="51"/>
        <v>762</v>
      </c>
      <c r="C786" s="28">
        <v>7</v>
      </c>
      <c r="D786" s="28">
        <v>1</v>
      </c>
      <c r="E786" s="96">
        <v>2</v>
      </c>
      <c r="F786" s="96">
        <v>2020</v>
      </c>
      <c r="G786" s="31">
        <v>2027</v>
      </c>
      <c r="H786" s="28">
        <v>11</v>
      </c>
      <c r="I786" s="28">
        <v>0</v>
      </c>
      <c r="J786" s="28">
        <v>0</v>
      </c>
      <c r="K786" s="28">
        <v>0</v>
      </c>
      <c r="L786" s="28">
        <v>0</v>
      </c>
      <c r="M786" s="75">
        <v>3.48</v>
      </c>
      <c r="N786" s="151">
        <v>917.4545454545455</v>
      </c>
      <c r="O786" s="151">
        <v>706.5454545454545</v>
      </c>
      <c r="P786" s="95">
        <f t="array" ref="P786">ROUND(IF($F786&lt;='TaxCred&amp;Subs'!$C$49,(IF($C786=2,IF($M786&gt;=IFERROR(INDEX('TaxCred&amp;Subs'!$L$12:$L$47,MATCH(1,($C786&amp;$D786='TaxCred&amp;Subs'!$E$12:$E$47)*($F786='TaxCred&amp;Subs'!$C$12:$C$47),0)
),9999),IFERROR(INDEX('TaxCred&amp;Subs'!$N$12:$N$47,MATCH(1,($C786&amp;$D786='TaxCred&amp;Subs'!$E$12:$E$47)*($F786='TaxCred&amp;Subs'!$C$12:$C$47),0)
),0),0),(IF($M786&gt;=IFERROR(INDEX('TaxCred&amp;Subs'!$H$12:$H$47,MATCH(1,($C786&amp;$D786='TaxCred&amp;Subs'!$D$12:$D$47)*($F786='TaxCred&amp;Subs'!$C$12:$C$47),0)
),9999),IFERROR(INDEX('TaxCred&amp;Subs'!$N$12:$N$47,MATCH(1,($C786&amp;$D786='TaxCred&amp;Subs'!$D$12:$D$47)*($F786='TaxCred&amp;Subs'!$C$12:$C$47),0)
),0),0)))),0)+IF(AND($C786=2,VALUE(RIGHT($AD786,1))&gt;2),(N786-R786)*(IFERROR(INDEX('TaxCred&amp;Subs'!$J$66:$J$99,MATCH(1,($C786&amp;$D786='TaxCred&amp;Subs'!$E$66:$E$99)*($F786='TaxCred&amp;Subs'!$C$66:$C$99),0)),0)),IF(AND($C786=1,VALUE(RIGHT($AD786,1))&gt;2),(N786-R786)*(IFERROR(INDEX('TaxCred&amp;Subs'!$J$66:$J$99,MATCH(1,($C786&amp;$D786='TaxCred&amp;Subs'!$D$66:$D$99)*($F786='TaxCred&amp;Subs'!$C$66:$C$99),0)),0)),IF($C786&gt;2,(N786-R786)*(IFERROR(INDEX('TaxCred&amp;Subs'!$J$66:$J$99,MATCH(1,($C786&amp;$D786='TaxCred&amp;Subs'!$D$66:$D$99)*($F786='TaxCred&amp;Subs'!$C$66:$C$99),0)),0)),0))),0)</f>
        <v>0</v>
      </c>
      <c r="Q786" s="95">
        <f t="array" ref="Q786">ROUND(IF(AND($C786=2,VALUE(RIGHT($AD786,1))&gt;2),(O786-S786)*(IFERROR(INDEX('TaxCred&amp;Subs'!$J$66:$J$99,MATCH(1,($C786&amp;$D786='TaxCred&amp;Subs'!$E$66:$E$99)*($F786='TaxCred&amp;Subs'!$C$66:$C$99),0)),0)),IF(AND($C786=1,VALUE(RIGHT($AD786,1))&gt;2),(O786-S786)*(IFERROR(INDEX('TaxCred&amp;Subs'!$J$66:$J$99,MATCH(1,($C786&amp;$D786='TaxCred&amp;Subs'!$D$66:$D$99)*($F786='TaxCred&amp;Subs'!$C$66:$C$99),0)),0)),IF($C786&gt;2,(O786-S786)*(IFERROR(INDEX('TaxCred&amp;Subs'!$J$66:$J$99,MATCH(1,($C786&amp;$D786='TaxCred&amp;Subs'!$D$66:$D$99)*($F786='TaxCred&amp;Subs'!$C$66:$C$99),0)),0)),0))),0)</f>
        <v>0</v>
      </c>
      <c r="R786" s="95">
        <f t="array" ref="R786">ROUND(IF(IFERROR(VALUE(RIGHT($AD786,1)),0)&gt;2,IF($C786=8,N786*IFERROR(INDEX('TaxCred&amp;Subs'!$K$139:$S$151,MATCH($C786&amp;$D786&amp;LEFT($AD786,7),'TaxCred&amp;Subs'!$E$139:$E$151,0),MATCH($H786,'TaxCred&amp;Subs'!$K$137:$S$137,0)),0),IF($C786=2,N786*IFERROR(INDEX('TaxCred&amp;Subs'!$K$139:$S$151,MATCH($C786&amp;$D786,'TaxCred&amp;Subs'!$D$139:$D$151,0),MATCH($H786,'TaxCred&amp;Subs'!$K$137:$S$137,0)),0),N786*IFERROR(INDEX('TaxCred&amp;Subs'!$K$139:$S$151,MATCH($C786&amp;$D786,'TaxCred&amp;Subs'!$C$139:$C$151,0),MATCH($H786,'TaxCred&amp;Subs'!$K$137:$S$137,0)),0))),0),0)</f>
        <v>0</v>
      </c>
      <c r="S786" s="95">
        <f t="array" ref="S786">ROUND(IF(IFERROR(VALUE(RIGHT($AD786,1)),0)&gt;2,IF($C786=8,O786*IFERROR(INDEX('TaxCred&amp;Subs'!$K$139:$S$151,MATCH($C786&amp;$D786&amp;LEFT($AD786,7),'TaxCred&amp;Subs'!$E$139:$E$151,0),MATCH($H786,'TaxCred&amp;Subs'!$K$137:$S$137,0)),0),IF($C786=2,O786*IFERROR(INDEX('TaxCred&amp;Subs'!$K$139:$S$151,MATCH($C786&amp;$D786,'TaxCred&amp;Subs'!$D$139:$D$151,0),MATCH($H786,'TaxCred&amp;Subs'!$K$137:$S$137,0)),0),O786*IFERROR(INDEX('TaxCred&amp;Subs'!$K$139:$S$151,MATCH($C786&amp;$D786,'TaxCred&amp;Subs'!$C$139:$C$151,0),MATCH($H786,'TaxCred&amp;Subs'!$K$137:$S$137,0)),0))),0),0)</f>
        <v>0</v>
      </c>
      <c r="T786" s="95">
        <f t="shared" si="49"/>
        <v>0</v>
      </c>
      <c r="U786" s="95">
        <f t="shared" si="50"/>
        <v>0</v>
      </c>
      <c r="V786" s="28" t="s">
        <v>222</v>
      </c>
      <c r="W786" s="31">
        <v>2020</v>
      </c>
      <c r="X786" s="28">
        <v>1</v>
      </c>
      <c r="Y786" s="28">
        <v>0</v>
      </c>
      <c r="Z786" s="196">
        <v>-6.4721918288658756E-3</v>
      </c>
      <c r="AA786" s="196">
        <v>-9.9572181982551924E-2</v>
      </c>
      <c r="AB786" s="28">
        <v>0</v>
      </c>
      <c r="AC786" s="28">
        <v>0</v>
      </c>
      <c r="AD786" s="28" t="s">
        <v>300</v>
      </c>
      <c r="AE786" t="s">
        <v>218</v>
      </c>
    </row>
    <row r="787" spans="2:31" ht="14.25" customHeight="1" x14ac:dyDescent="0.2">
      <c r="B787" s="7">
        <f t="shared" si="51"/>
        <v>763</v>
      </c>
      <c r="C787" s="152">
        <v>7</v>
      </c>
      <c r="D787" s="152">
        <v>1</v>
      </c>
      <c r="E787" s="153">
        <v>2</v>
      </c>
      <c r="F787" s="153">
        <v>2028</v>
      </c>
      <c r="G787" s="152">
        <v>2050</v>
      </c>
      <c r="H787" s="152">
        <v>11</v>
      </c>
      <c r="I787" s="152">
        <v>0</v>
      </c>
      <c r="J787" s="152">
        <v>0</v>
      </c>
      <c r="K787" s="152">
        <v>0</v>
      </c>
      <c r="L787" s="152">
        <v>0</v>
      </c>
      <c r="M787" s="154">
        <v>3.48</v>
      </c>
      <c r="N787" s="155">
        <v>917.4545454545455</v>
      </c>
      <c r="O787" s="155">
        <v>706.5454545454545</v>
      </c>
      <c r="P787" s="41">
        <f t="array" ref="P787">ROUND(IF($F787&lt;='TaxCred&amp;Subs'!$C$49,(IF($C787=2,IF($M787&gt;=IFERROR(INDEX('TaxCred&amp;Subs'!$L$12:$L$47,MATCH(1,($C787&amp;$D787='TaxCred&amp;Subs'!$E$12:$E$47)*($F787='TaxCred&amp;Subs'!$C$12:$C$47),0)
),9999),IFERROR(INDEX('TaxCred&amp;Subs'!$N$12:$N$47,MATCH(1,($C787&amp;$D787='TaxCred&amp;Subs'!$E$12:$E$47)*($F787='TaxCred&amp;Subs'!$C$12:$C$47),0)
),0),0),(IF($M787&gt;=IFERROR(INDEX('TaxCred&amp;Subs'!$H$12:$H$47,MATCH(1,($C787&amp;$D787='TaxCred&amp;Subs'!$D$12:$D$47)*($F787='TaxCred&amp;Subs'!$C$12:$C$47),0)
),9999),IFERROR(INDEX('TaxCred&amp;Subs'!$N$12:$N$47,MATCH(1,($C787&amp;$D787='TaxCred&amp;Subs'!$D$12:$D$47)*($F787='TaxCred&amp;Subs'!$C$12:$C$47),0)
),0),0)))),0)+IF(AND($C787=2,VALUE(RIGHT($AD787,1))&gt;2),(N787-R787)*(IFERROR(INDEX('TaxCred&amp;Subs'!$J$66:$J$99,MATCH(1,($C787&amp;$D787='TaxCred&amp;Subs'!$E$66:$E$99)*($F787='TaxCred&amp;Subs'!$C$66:$C$99),0)),0)),IF(AND($C787=1,VALUE(RIGHT($AD787,1))&gt;2),(N787-R787)*(IFERROR(INDEX('TaxCred&amp;Subs'!$J$66:$J$99,MATCH(1,($C787&amp;$D787='TaxCred&amp;Subs'!$D$66:$D$99)*($F787='TaxCred&amp;Subs'!$C$66:$C$99),0)),0)),IF($C787&gt;2,(N787-R787)*(IFERROR(INDEX('TaxCred&amp;Subs'!$J$66:$J$99,MATCH(1,($C787&amp;$D787='TaxCred&amp;Subs'!$D$66:$D$99)*($F787='TaxCred&amp;Subs'!$C$66:$C$99),0)),0)),0))),0)</f>
        <v>0</v>
      </c>
      <c r="Q787" s="41">
        <f t="array" ref="Q787">ROUND(IF(AND($C787=2,VALUE(RIGHT($AD787,1))&gt;2),(O787-S787)*(IFERROR(INDEX('TaxCred&amp;Subs'!$J$66:$J$99,MATCH(1,($C787&amp;$D787='TaxCred&amp;Subs'!$E$66:$E$99)*($F787='TaxCred&amp;Subs'!$C$66:$C$99),0)),0)),IF(AND($C787=1,VALUE(RIGHT($AD787,1))&gt;2),(O787-S787)*(IFERROR(INDEX('TaxCred&amp;Subs'!$J$66:$J$99,MATCH(1,($C787&amp;$D787='TaxCred&amp;Subs'!$D$66:$D$99)*($F787='TaxCred&amp;Subs'!$C$66:$C$99),0)),0)),IF($C787&gt;2,(O787-S787)*(IFERROR(INDEX('TaxCred&amp;Subs'!$J$66:$J$99,MATCH(1,($C787&amp;$D787='TaxCred&amp;Subs'!$D$66:$D$99)*($F787='TaxCred&amp;Subs'!$C$66:$C$99),0)),0)),0))),0)</f>
        <v>0</v>
      </c>
      <c r="R787" s="41">
        <f t="array" ref="R787">ROUND(IF(IFERROR(VALUE(RIGHT($AD787,1)),0)&gt;2,IF($C787=8,N787*IFERROR(INDEX('TaxCred&amp;Subs'!$K$139:$S$151,MATCH($C787&amp;$D787&amp;LEFT($AD787,7),'TaxCred&amp;Subs'!$E$139:$E$151,0),MATCH($H787,'TaxCred&amp;Subs'!$K$137:$S$137,0)),0),IF($C787=2,N787*IFERROR(INDEX('TaxCred&amp;Subs'!$K$139:$S$151,MATCH($C787&amp;$D787,'TaxCred&amp;Subs'!$D$139:$D$151,0),MATCH($H787,'TaxCred&amp;Subs'!$K$137:$S$137,0)),0),N787*IFERROR(INDEX('TaxCred&amp;Subs'!$K$139:$S$151,MATCH($C787&amp;$D787,'TaxCred&amp;Subs'!$C$139:$C$151,0),MATCH($H787,'TaxCred&amp;Subs'!$K$137:$S$137,0)),0))),0),0)</f>
        <v>0</v>
      </c>
      <c r="S787" s="41">
        <f t="array" ref="S787">ROUND(IF(IFERROR(VALUE(RIGHT($AD787,1)),0)&gt;2,IF($C787=8,O787*IFERROR(INDEX('TaxCred&amp;Subs'!$K$139:$S$151,MATCH($C787&amp;$D787&amp;LEFT($AD787,7),'TaxCred&amp;Subs'!$E$139:$E$151,0),MATCH($H787,'TaxCred&amp;Subs'!$K$137:$S$137,0)),0),IF($C787=2,O787*IFERROR(INDEX('TaxCred&amp;Subs'!$K$139:$S$151,MATCH($C787&amp;$D787,'TaxCred&amp;Subs'!$D$139:$D$151,0),MATCH($H787,'TaxCred&amp;Subs'!$K$137:$S$137,0)),0),O787*IFERROR(INDEX('TaxCred&amp;Subs'!$K$139:$S$151,MATCH($C787&amp;$D787,'TaxCred&amp;Subs'!$C$139:$C$151,0),MATCH($H787,'TaxCred&amp;Subs'!$K$137:$S$137,0)),0))),0),0)</f>
        <v>0</v>
      </c>
      <c r="T787" s="41">
        <f t="shared" si="49"/>
        <v>0</v>
      </c>
      <c r="U787" s="41">
        <f t="shared" si="50"/>
        <v>0</v>
      </c>
      <c r="V787" s="152" t="s">
        <v>222</v>
      </c>
      <c r="W787" s="152">
        <v>2020</v>
      </c>
      <c r="X787" s="152">
        <v>1</v>
      </c>
      <c r="Y787" s="152">
        <v>0</v>
      </c>
      <c r="Z787" s="195">
        <v>-1</v>
      </c>
      <c r="AA787" s="195">
        <v>-1</v>
      </c>
      <c r="AB787" s="152">
        <v>0</v>
      </c>
      <c r="AC787" s="152">
        <v>0</v>
      </c>
      <c r="AD787" s="152" t="s">
        <v>300</v>
      </c>
      <c r="AE787" s="201" t="s">
        <v>487</v>
      </c>
    </row>
    <row r="788" spans="2:31" ht="14.25" customHeight="1" x14ac:dyDescent="0.2">
      <c r="B788" s="7">
        <f t="shared" si="51"/>
        <v>764</v>
      </c>
      <c r="C788" s="28">
        <v>7</v>
      </c>
      <c r="D788" s="28">
        <v>1</v>
      </c>
      <c r="E788" s="96">
        <v>3</v>
      </c>
      <c r="F788" s="96">
        <v>2020</v>
      </c>
      <c r="G788" s="31">
        <v>2050</v>
      </c>
      <c r="H788" s="28">
        <v>11</v>
      </c>
      <c r="I788" s="28">
        <v>0</v>
      </c>
      <c r="J788" s="28">
        <v>0</v>
      </c>
      <c r="K788" s="28">
        <v>0</v>
      </c>
      <c r="L788" s="28">
        <v>0</v>
      </c>
      <c r="M788" s="156">
        <v>3.5</v>
      </c>
      <c r="N788" s="151">
        <v>922.72727272727275</v>
      </c>
      <c r="O788" s="151">
        <v>710.60606060606062</v>
      </c>
      <c r="P788" s="95">
        <f t="array" ref="P788">ROUND(IF($F788&lt;='TaxCred&amp;Subs'!$C$49,(IF($C788=2,IF($M788&gt;=IFERROR(INDEX('TaxCred&amp;Subs'!$L$12:$L$47,MATCH(1,($C788&amp;$D788='TaxCred&amp;Subs'!$E$12:$E$47)*($F788='TaxCred&amp;Subs'!$C$12:$C$47),0)
),9999),IFERROR(INDEX('TaxCred&amp;Subs'!$N$12:$N$47,MATCH(1,($C788&amp;$D788='TaxCred&amp;Subs'!$E$12:$E$47)*($F788='TaxCred&amp;Subs'!$C$12:$C$47),0)
),0),0),(IF($M788&gt;=IFERROR(INDEX('TaxCred&amp;Subs'!$H$12:$H$47,MATCH(1,($C788&amp;$D788='TaxCred&amp;Subs'!$D$12:$D$47)*($F788='TaxCred&amp;Subs'!$C$12:$C$47),0)
),9999),IFERROR(INDEX('TaxCred&amp;Subs'!$N$12:$N$47,MATCH(1,($C788&amp;$D788='TaxCred&amp;Subs'!$D$12:$D$47)*($F788='TaxCred&amp;Subs'!$C$12:$C$47),0)
),0),0)))),0)+IF(AND($C788=2,VALUE(RIGHT($AD788,1))&gt;2),(N788-R788)*(IFERROR(INDEX('TaxCred&amp;Subs'!$J$66:$J$99,MATCH(1,($C788&amp;$D788='TaxCred&amp;Subs'!$E$66:$E$99)*($F788='TaxCred&amp;Subs'!$C$66:$C$99),0)),0)),IF(AND($C788=1,VALUE(RIGHT($AD788,1))&gt;2),(N788-R788)*(IFERROR(INDEX('TaxCred&amp;Subs'!$J$66:$J$99,MATCH(1,($C788&amp;$D788='TaxCred&amp;Subs'!$D$66:$D$99)*($F788='TaxCred&amp;Subs'!$C$66:$C$99),0)),0)),IF($C788&gt;2,(N788-R788)*(IFERROR(INDEX('TaxCred&amp;Subs'!$J$66:$J$99,MATCH(1,($C788&amp;$D788='TaxCred&amp;Subs'!$D$66:$D$99)*($F788='TaxCred&amp;Subs'!$C$66:$C$99),0)),0)),0))),0)</f>
        <v>0</v>
      </c>
      <c r="Q788" s="95">
        <f t="array" ref="Q788">ROUND(IF(AND($C788=2,VALUE(RIGHT($AD788,1))&gt;2),(O788-S788)*(IFERROR(INDEX('TaxCred&amp;Subs'!$J$66:$J$99,MATCH(1,($C788&amp;$D788='TaxCred&amp;Subs'!$E$66:$E$99)*($F788='TaxCred&amp;Subs'!$C$66:$C$99),0)),0)),IF(AND($C788=1,VALUE(RIGHT($AD788,1))&gt;2),(O788-S788)*(IFERROR(INDEX('TaxCred&amp;Subs'!$J$66:$J$99,MATCH(1,($C788&amp;$D788='TaxCred&amp;Subs'!$D$66:$D$99)*($F788='TaxCred&amp;Subs'!$C$66:$C$99),0)),0)),IF($C788&gt;2,(O788-S788)*(IFERROR(INDEX('TaxCred&amp;Subs'!$J$66:$J$99,MATCH(1,($C788&amp;$D788='TaxCred&amp;Subs'!$D$66:$D$99)*($F788='TaxCred&amp;Subs'!$C$66:$C$99),0)),0)),0))),0)</f>
        <v>0</v>
      </c>
      <c r="R788" s="95">
        <f t="array" ref="R788">ROUND(IF(IFERROR(VALUE(RIGHT($AD788,1)),0)&gt;2,IF($C788=8,N788*IFERROR(INDEX('TaxCred&amp;Subs'!$K$139:$S$151,MATCH($C788&amp;$D788&amp;LEFT($AD788,7),'TaxCred&amp;Subs'!$E$139:$E$151,0),MATCH($H788,'TaxCred&amp;Subs'!$K$137:$S$137,0)),0),IF($C788=2,N788*IFERROR(INDEX('TaxCred&amp;Subs'!$K$139:$S$151,MATCH($C788&amp;$D788,'TaxCred&amp;Subs'!$D$139:$D$151,0),MATCH($H788,'TaxCred&amp;Subs'!$K$137:$S$137,0)),0),N788*IFERROR(INDEX('TaxCred&amp;Subs'!$K$139:$S$151,MATCH($C788&amp;$D788,'TaxCred&amp;Subs'!$C$139:$C$151,0),MATCH($H788,'TaxCred&amp;Subs'!$K$137:$S$137,0)),0))),0),0)</f>
        <v>0</v>
      </c>
      <c r="S788" s="95">
        <f t="array" ref="S788">ROUND(IF(IFERROR(VALUE(RIGHT($AD788,1)),0)&gt;2,IF($C788=8,O788*IFERROR(INDEX('TaxCred&amp;Subs'!$K$139:$S$151,MATCH($C788&amp;$D788&amp;LEFT($AD788,7),'TaxCred&amp;Subs'!$E$139:$E$151,0),MATCH($H788,'TaxCred&amp;Subs'!$K$137:$S$137,0)),0),IF($C788=2,O788*IFERROR(INDEX('TaxCred&amp;Subs'!$K$139:$S$151,MATCH($C788&amp;$D788,'TaxCred&amp;Subs'!$D$139:$D$151,0),MATCH($H788,'TaxCred&amp;Subs'!$K$137:$S$137,0)),0),O788*IFERROR(INDEX('TaxCred&amp;Subs'!$K$139:$S$151,MATCH($C788&amp;$D788,'TaxCred&amp;Subs'!$C$139:$C$151,0),MATCH($H788,'TaxCred&amp;Subs'!$K$137:$S$137,0)),0))),0),0)</f>
        <v>0</v>
      </c>
      <c r="T788" s="95">
        <f t="shared" si="49"/>
        <v>0</v>
      </c>
      <c r="U788" s="95">
        <f t="shared" si="50"/>
        <v>0</v>
      </c>
      <c r="V788" s="28" t="s">
        <v>222</v>
      </c>
      <c r="W788" s="31">
        <v>2020</v>
      </c>
      <c r="X788" s="28">
        <v>1</v>
      </c>
      <c r="Y788" s="28">
        <v>0</v>
      </c>
      <c r="Z788" s="196">
        <v>-6.4721918288658756E-3</v>
      </c>
      <c r="AA788" s="196">
        <v>-9.9572181982551924E-2</v>
      </c>
      <c r="AB788" s="28">
        <v>0</v>
      </c>
      <c r="AC788" s="28">
        <v>0</v>
      </c>
      <c r="AD788" s="28" t="s">
        <v>301</v>
      </c>
    </row>
    <row r="789" spans="2:31" ht="14.25" customHeight="1" x14ac:dyDescent="0.2">
      <c r="B789" s="7">
        <f t="shared" si="51"/>
        <v>765</v>
      </c>
      <c r="C789" s="28">
        <v>7</v>
      </c>
      <c r="D789" s="28">
        <v>2</v>
      </c>
      <c r="E789" s="96">
        <v>4</v>
      </c>
      <c r="F789" s="96">
        <v>2020</v>
      </c>
      <c r="G789" s="31">
        <v>2027</v>
      </c>
      <c r="H789" s="28">
        <v>11</v>
      </c>
      <c r="I789" s="28">
        <v>0</v>
      </c>
      <c r="J789" s="28">
        <v>0</v>
      </c>
      <c r="K789" s="28">
        <v>0</v>
      </c>
      <c r="L789" s="28">
        <v>0</v>
      </c>
      <c r="M789" s="75">
        <v>3.73</v>
      </c>
      <c r="N789" s="151">
        <v>710</v>
      </c>
      <c r="O789" s="151">
        <v>580</v>
      </c>
      <c r="P789" s="95">
        <f t="array" ref="P789">ROUND(IF($F789&lt;='TaxCred&amp;Subs'!$C$49,(IF($C789=2,IF($M789&gt;=IFERROR(INDEX('TaxCred&amp;Subs'!$L$12:$L$47,MATCH(1,($C789&amp;$D789='TaxCred&amp;Subs'!$E$12:$E$47)*($F789='TaxCred&amp;Subs'!$C$12:$C$47),0)
),9999),IFERROR(INDEX('TaxCred&amp;Subs'!$N$12:$N$47,MATCH(1,($C789&amp;$D789='TaxCred&amp;Subs'!$E$12:$E$47)*($F789='TaxCred&amp;Subs'!$C$12:$C$47),0)
),0),0),(IF($M789&gt;=IFERROR(INDEX('TaxCred&amp;Subs'!$H$12:$H$47,MATCH(1,($C789&amp;$D789='TaxCred&amp;Subs'!$D$12:$D$47)*($F789='TaxCred&amp;Subs'!$C$12:$C$47),0)
),9999),IFERROR(INDEX('TaxCred&amp;Subs'!$N$12:$N$47,MATCH(1,($C789&amp;$D789='TaxCred&amp;Subs'!$D$12:$D$47)*($F789='TaxCred&amp;Subs'!$C$12:$C$47),0)
),0),0)))),0)+IF(AND($C789=2,VALUE(RIGHT($AD789,1))&gt;2),(N789-R789)*(IFERROR(INDEX('TaxCred&amp;Subs'!$J$66:$J$99,MATCH(1,($C789&amp;$D789='TaxCred&amp;Subs'!$E$66:$E$99)*($F789='TaxCred&amp;Subs'!$C$66:$C$99),0)),0)),IF(AND($C789=1,VALUE(RIGHT($AD789,1))&gt;2),(N789-R789)*(IFERROR(INDEX('TaxCred&amp;Subs'!$J$66:$J$99,MATCH(1,($C789&amp;$D789='TaxCred&amp;Subs'!$D$66:$D$99)*($F789='TaxCred&amp;Subs'!$C$66:$C$99),0)),0)),IF($C789&gt;2,(N789-R789)*(IFERROR(INDEX('TaxCred&amp;Subs'!$J$66:$J$99,MATCH(1,($C789&amp;$D789='TaxCred&amp;Subs'!$D$66:$D$99)*($F789='TaxCred&amp;Subs'!$C$66:$C$99),0)),0)),0))),0)</f>
        <v>0</v>
      </c>
      <c r="Q789" s="95">
        <f t="array" ref="Q789">ROUND(IF(AND($C789=2,VALUE(RIGHT($AD789,1))&gt;2),(O789-S789)*(IFERROR(INDEX('TaxCred&amp;Subs'!$J$66:$J$99,MATCH(1,($C789&amp;$D789='TaxCred&amp;Subs'!$E$66:$E$99)*($F789='TaxCred&amp;Subs'!$C$66:$C$99),0)),0)),IF(AND($C789=1,VALUE(RIGHT($AD789,1))&gt;2),(O789-S789)*(IFERROR(INDEX('TaxCred&amp;Subs'!$J$66:$J$99,MATCH(1,($C789&amp;$D789='TaxCred&amp;Subs'!$D$66:$D$99)*($F789='TaxCred&amp;Subs'!$C$66:$C$99),0)),0)),IF($C789&gt;2,(O789-S789)*(IFERROR(INDEX('TaxCred&amp;Subs'!$J$66:$J$99,MATCH(1,($C789&amp;$D789='TaxCred&amp;Subs'!$D$66:$D$99)*($F789='TaxCred&amp;Subs'!$C$66:$C$99),0)),0)),0))),0)</f>
        <v>0</v>
      </c>
      <c r="R789" s="95">
        <f t="array" ref="R789">ROUND(IF(IFERROR(VALUE(RIGHT($AD789,1)),0)&gt;2,IF($C789=8,N789*IFERROR(INDEX('TaxCred&amp;Subs'!$K$139:$S$151,MATCH($C789&amp;$D789&amp;LEFT($AD789,7),'TaxCred&amp;Subs'!$E$139:$E$151,0),MATCH($H789,'TaxCred&amp;Subs'!$K$137:$S$137,0)),0),IF($C789=2,N789*IFERROR(INDEX('TaxCred&amp;Subs'!$K$139:$S$151,MATCH($C789&amp;$D789,'TaxCred&amp;Subs'!$D$139:$D$151,0),MATCH($H789,'TaxCred&amp;Subs'!$K$137:$S$137,0)),0),N789*IFERROR(INDEX('TaxCred&amp;Subs'!$K$139:$S$151,MATCH($C789&amp;$D789,'TaxCred&amp;Subs'!$C$139:$C$151,0),MATCH($H789,'TaxCred&amp;Subs'!$K$137:$S$137,0)),0))),0),0)</f>
        <v>0</v>
      </c>
      <c r="S789" s="95">
        <f t="array" ref="S789">ROUND(IF(IFERROR(VALUE(RIGHT($AD789,1)),0)&gt;2,IF($C789=8,O789*IFERROR(INDEX('TaxCred&amp;Subs'!$K$139:$S$151,MATCH($C789&amp;$D789&amp;LEFT($AD789,7),'TaxCred&amp;Subs'!$E$139:$E$151,0),MATCH($H789,'TaxCred&amp;Subs'!$K$137:$S$137,0)),0),IF($C789=2,O789*IFERROR(INDEX('TaxCred&amp;Subs'!$K$139:$S$151,MATCH($C789&amp;$D789,'TaxCred&amp;Subs'!$D$139:$D$151,0),MATCH($H789,'TaxCred&amp;Subs'!$K$137:$S$137,0)),0),O789*IFERROR(INDEX('TaxCred&amp;Subs'!$K$139:$S$151,MATCH($C789&amp;$D789,'TaxCred&amp;Subs'!$C$139:$C$151,0),MATCH($H789,'TaxCred&amp;Subs'!$K$137:$S$137,0)),0))),0),0)</f>
        <v>0</v>
      </c>
      <c r="T789" s="95">
        <f t="shared" si="49"/>
        <v>0</v>
      </c>
      <c r="U789" s="95">
        <f t="shared" si="50"/>
        <v>0</v>
      </c>
      <c r="V789" s="28" t="s">
        <v>222</v>
      </c>
      <c r="W789" s="31">
        <v>2020</v>
      </c>
      <c r="X789" s="28">
        <v>1</v>
      </c>
      <c r="Y789" s="28">
        <v>0</v>
      </c>
      <c r="Z789" s="196">
        <v>-5.412139852437531E-3</v>
      </c>
      <c r="AA789" s="196">
        <v>-8.3263690037500476E-2</v>
      </c>
      <c r="AB789" s="28">
        <v>0</v>
      </c>
      <c r="AC789" s="28">
        <v>0</v>
      </c>
      <c r="AD789" s="28" t="s">
        <v>380</v>
      </c>
    </row>
    <row r="790" spans="2:31" ht="14.25" customHeight="1" x14ac:dyDescent="0.2">
      <c r="B790" s="7">
        <f t="shared" si="51"/>
        <v>766</v>
      </c>
      <c r="C790" s="152">
        <v>7</v>
      </c>
      <c r="D790" s="152">
        <v>2</v>
      </c>
      <c r="E790" s="153">
        <v>4</v>
      </c>
      <c r="F790" s="153">
        <v>2028</v>
      </c>
      <c r="G790" s="152">
        <v>2050</v>
      </c>
      <c r="H790" s="152">
        <v>11</v>
      </c>
      <c r="I790" s="152">
        <v>0</v>
      </c>
      <c r="J790" s="152">
        <v>0</v>
      </c>
      <c r="K790" s="152">
        <v>0</v>
      </c>
      <c r="L790" s="152">
        <v>0</v>
      </c>
      <c r="M790" s="154">
        <v>3.93</v>
      </c>
      <c r="N790" s="155">
        <v>748.06970509383382</v>
      </c>
      <c r="O790" s="155">
        <v>611.09919571045577</v>
      </c>
      <c r="P790" s="41">
        <f t="array" ref="P790">ROUND(IF($F790&lt;='TaxCred&amp;Subs'!$C$49,(IF($C790=2,IF($M790&gt;=IFERROR(INDEX('TaxCred&amp;Subs'!$L$12:$L$47,MATCH(1,($C790&amp;$D790='TaxCred&amp;Subs'!$E$12:$E$47)*($F790='TaxCred&amp;Subs'!$C$12:$C$47),0)
),9999),IFERROR(INDEX('TaxCred&amp;Subs'!$N$12:$N$47,MATCH(1,($C790&amp;$D790='TaxCred&amp;Subs'!$E$12:$E$47)*($F790='TaxCred&amp;Subs'!$C$12:$C$47),0)
),0),0),(IF($M790&gt;=IFERROR(INDEX('TaxCred&amp;Subs'!$H$12:$H$47,MATCH(1,($C790&amp;$D790='TaxCred&amp;Subs'!$D$12:$D$47)*($F790='TaxCred&amp;Subs'!$C$12:$C$47),0)
),9999),IFERROR(INDEX('TaxCred&amp;Subs'!$N$12:$N$47,MATCH(1,($C790&amp;$D790='TaxCred&amp;Subs'!$D$12:$D$47)*($F790='TaxCred&amp;Subs'!$C$12:$C$47),0)
),0),0)))),0)+IF(AND($C790=2,VALUE(RIGHT($AD790,1))&gt;2),(N790-R790)*(IFERROR(INDEX('TaxCred&amp;Subs'!$J$66:$J$99,MATCH(1,($C790&amp;$D790='TaxCred&amp;Subs'!$E$66:$E$99)*($F790='TaxCred&amp;Subs'!$C$66:$C$99),0)),0)),IF(AND($C790=1,VALUE(RIGHT($AD790,1))&gt;2),(N790-R790)*(IFERROR(INDEX('TaxCred&amp;Subs'!$J$66:$J$99,MATCH(1,($C790&amp;$D790='TaxCred&amp;Subs'!$D$66:$D$99)*($F790='TaxCred&amp;Subs'!$C$66:$C$99),0)),0)),IF($C790&gt;2,(N790-R790)*(IFERROR(INDEX('TaxCred&amp;Subs'!$J$66:$J$99,MATCH(1,($C790&amp;$D790='TaxCred&amp;Subs'!$D$66:$D$99)*($F790='TaxCred&amp;Subs'!$C$66:$C$99),0)),0)),0))),0)</f>
        <v>0</v>
      </c>
      <c r="Q790" s="41">
        <f t="array" ref="Q790">ROUND(IF(AND($C790=2,VALUE(RIGHT($AD790,1))&gt;2),(O790-S790)*(IFERROR(INDEX('TaxCred&amp;Subs'!$J$66:$J$99,MATCH(1,($C790&amp;$D790='TaxCred&amp;Subs'!$E$66:$E$99)*($F790='TaxCred&amp;Subs'!$C$66:$C$99),0)),0)),IF(AND($C790=1,VALUE(RIGHT($AD790,1))&gt;2),(O790-S790)*(IFERROR(INDEX('TaxCred&amp;Subs'!$J$66:$J$99,MATCH(1,($C790&amp;$D790='TaxCred&amp;Subs'!$D$66:$D$99)*($F790='TaxCred&amp;Subs'!$C$66:$C$99),0)),0)),IF($C790&gt;2,(O790-S790)*(IFERROR(INDEX('TaxCred&amp;Subs'!$J$66:$J$99,MATCH(1,($C790&amp;$D790='TaxCred&amp;Subs'!$D$66:$D$99)*($F790='TaxCred&amp;Subs'!$C$66:$C$99),0)),0)),0))),0)</f>
        <v>0</v>
      </c>
      <c r="R790" s="41">
        <f t="array" ref="R790">ROUND(IF(IFERROR(VALUE(RIGHT($AD790,1)),0)&gt;2,IF($C790=8,N790*IFERROR(INDEX('TaxCred&amp;Subs'!$K$139:$S$151,MATCH($C790&amp;$D790&amp;LEFT($AD790,7),'TaxCred&amp;Subs'!$E$139:$E$151,0),MATCH($H790,'TaxCred&amp;Subs'!$K$137:$S$137,0)),0),IF($C790=2,N790*IFERROR(INDEX('TaxCred&amp;Subs'!$K$139:$S$151,MATCH($C790&amp;$D790,'TaxCred&amp;Subs'!$D$139:$D$151,0),MATCH($H790,'TaxCred&amp;Subs'!$K$137:$S$137,0)),0),N790*IFERROR(INDEX('TaxCred&amp;Subs'!$K$139:$S$151,MATCH($C790&amp;$D790,'TaxCred&amp;Subs'!$C$139:$C$151,0),MATCH($H790,'TaxCred&amp;Subs'!$K$137:$S$137,0)),0))),0),0)</f>
        <v>0</v>
      </c>
      <c r="S790" s="41">
        <f t="array" ref="S790">ROUND(IF(IFERROR(VALUE(RIGHT($AD790,1)),0)&gt;2,IF($C790=8,O790*IFERROR(INDEX('TaxCred&amp;Subs'!$K$139:$S$151,MATCH($C790&amp;$D790&amp;LEFT($AD790,7),'TaxCred&amp;Subs'!$E$139:$E$151,0),MATCH($H790,'TaxCred&amp;Subs'!$K$137:$S$137,0)),0),IF($C790=2,O790*IFERROR(INDEX('TaxCred&amp;Subs'!$K$139:$S$151,MATCH($C790&amp;$D790,'TaxCred&amp;Subs'!$D$139:$D$151,0),MATCH($H790,'TaxCred&amp;Subs'!$K$137:$S$137,0)),0),O790*IFERROR(INDEX('TaxCred&amp;Subs'!$K$139:$S$151,MATCH($C790&amp;$D790,'TaxCred&amp;Subs'!$C$139:$C$151,0),MATCH($H790,'TaxCred&amp;Subs'!$K$137:$S$137,0)),0))),0),0)</f>
        <v>0</v>
      </c>
      <c r="T790" s="41">
        <f t="shared" si="49"/>
        <v>0</v>
      </c>
      <c r="U790" s="41">
        <f t="shared" si="50"/>
        <v>0</v>
      </c>
      <c r="V790" s="152" t="s">
        <v>222</v>
      </c>
      <c r="W790" s="152">
        <v>2020</v>
      </c>
      <c r="X790" s="152">
        <v>1</v>
      </c>
      <c r="Y790" s="152">
        <v>0</v>
      </c>
      <c r="Z790" s="194">
        <v>-5.412139852437531E-3</v>
      </c>
      <c r="AA790" s="194">
        <v>-8.3263690037500476E-2</v>
      </c>
      <c r="AB790" s="152">
        <v>0</v>
      </c>
      <c r="AC790" s="152">
        <v>0</v>
      </c>
      <c r="AD790" s="152" t="s">
        <v>380</v>
      </c>
    </row>
    <row r="791" spans="2:31" ht="14.25" customHeight="1" x14ac:dyDescent="0.2">
      <c r="B791" s="7">
        <f t="shared" si="51"/>
        <v>767</v>
      </c>
      <c r="C791" s="28">
        <v>7</v>
      </c>
      <c r="D791" s="28">
        <v>2</v>
      </c>
      <c r="E791" s="96">
        <v>5</v>
      </c>
      <c r="F791" s="96">
        <v>2020</v>
      </c>
      <c r="G791" s="31">
        <v>2027</v>
      </c>
      <c r="H791" s="28">
        <v>11</v>
      </c>
      <c r="I791" s="28">
        <v>0</v>
      </c>
      <c r="J791" s="28">
        <v>0</v>
      </c>
      <c r="K791" s="28">
        <v>0</v>
      </c>
      <c r="L791" s="28">
        <v>0</v>
      </c>
      <c r="M791" s="75">
        <v>3.93</v>
      </c>
      <c r="N791" s="151">
        <v>748.06970509383382</v>
      </c>
      <c r="O791" s="151">
        <v>611.09919571045577</v>
      </c>
      <c r="P791" s="95">
        <f t="array" ref="P791">ROUND(IF($F791&lt;='TaxCred&amp;Subs'!$C$49,(IF($C791=2,IF($M791&gt;=IFERROR(INDEX('TaxCred&amp;Subs'!$L$12:$L$47,MATCH(1,($C791&amp;$D791='TaxCred&amp;Subs'!$E$12:$E$47)*($F791='TaxCred&amp;Subs'!$C$12:$C$47),0)
),9999),IFERROR(INDEX('TaxCred&amp;Subs'!$N$12:$N$47,MATCH(1,($C791&amp;$D791='TaxCred&amp;Subs'!$E$12:$E$47)*($F791='TaxCred&amp;Subs'!$C$12:$C$47),0)
),0),0),(IF($M791&gt;=IFERROR(INDEX('TaxCred&amp;Subs'!$H$12:$H$47,MATCH(1,($C791&amp;$D791='TaxCred&amp;Subs'!$D$12:$D$47)*($F791='TaxCred&amp;Subs'!$C$12:$C$47),0)
),9999),IFERROR(INDEX('TaxCred&amp;Subs'!$N$12:$N$47,MATCH(1,($C791&amp;$D791='TaxCred&amp;Subs'!$D$12:$D$47)*($F791='TaxCred&amp;Subs'!$C$12:$C$47),0)
),0),0)))),0)+IF(AND($C791=2,VALUE(RIGHT($AD791,1))&gt;2),(N791-R791)*(IFERROR(INDEX('TaxCred&amp;Subs'!$J$66:$J$99,MATCH(1,($C791&amp;$D791='TaxCred&amp;Subs'!$E$66:$E$99)*($F791='TaxCred&amp;Subs'!$C$66:$C$99),0)),0)),IF(AND($C791=1,VALUE(RIGHT($AD791,1))&gt;2),(N791-R791)*(IFERROR(INDEX('TaxCred&amp;Subs'!$J$66:$J$99,MATCH(1,($C791&amp;$D791='TaxCred&amp;Subs'!$D$66:$D$99)*($F791='TaxCred&amp;Subs'!$C$66:$C$99),0)),0)),IF($C791&gt;2,(N791-R791)*(IFERROR(INDEX('TaxCred&amp;Subs'!$J$66:$J$99,MATCH(1,($C791&amp;$D791='TaxCred&amp;Subs'!$D$66:$D$99)*($F791='TaxCred&amp;Subs'!$C$66:$C$99),0)),0)),0))),0)</f>
        <v>0</v>
      </c>
      <c r="Q791" s="95">
        <f t="array" ref="Q791">ROUND(IF(AND($C791=2,VALUE(RIGHT($AD791,1))&gt;2),(O791-S791)*(IFERROR(INDEX('TaxCred&amp;Subs'!$J$66:$J$99,MATCH(1,($C791&amp;$D791='TaxCred&amp;Subs'!$E$66:$E$99)*($F791='TaxCred&amp;Subs'!$C$66:$C$99),0)),0)),IF(AND($C791=1,VALUE(RIGHT($AD791,1))&gt;2),(O791-S791)*(IFERROR(INDEX('TaxCred&amp;Subs'!$J$66:$J$99,MATCH(1,($C791&amp;$D791='TaxCred&amp;Subs'!$D$66:$D$99)*($F791='TaxCred&amp;Subs'!$C$66:$C$99),0)),0)),IF($C791&gt;2,(O791-S791)*(IFERROR(INDEX('TaxCred&amp;Subs'!$J$66:$J$99,MATCH(1,($C791&amp;$D791='TaxCred&amp;Subs'!$D$66:$D$99)*($F791='TaxCred&amp;Subs'!$C$66:$C$99),0)),0)),0))),0)</f>
        <v>0</v>
      </c>
      <c r="R791" s="95">
        <f t="array" ref="R791">ROUND(IF(IFERROR(VALUE(RIGHT($AD791,1)),0)&gt;2,IF($C791=8,N791*IFERROR(INDEX('TaxCred&amp;Subs'!$K$139:$S$151,MATCH($C791&amp;$D791&amp;LEFT($AD791,7),'TaxCred&amp;Subs'!$E$139:$E$151,0),MATCH($H791,'TaxCred&amp;Subs'!$K$137:$S$137,0)),0),IF($C791=2,N791*IFERROR(INDEX('TaxCred&amp;Subs'!$K$139:$S$151,MATCH($C791&amp;$D791,'TaxCred&amp;Subs'!$D$139:$D$151,0),MATCH($H791,'TaxCred&amp;Subs'!$K$137:$S$137,0)),0),N791*IFERROR(INDEX('TaxCred&amp;Subs'!$K$139:$S$151,MATCH($C791&amp;$D791,'TaxCred&amp;Subs'!$C$139:$C$151,0),MATCH($H791,'TaxCred&amp;Subs'!$K$137:$S$137,0)),0))),0),0)</f>
        <v>0</v>
      </c>
      <c r="S791" s="95">
        <f t="array" ref="S791">ROUND(IF(IFERROR(VALUE(RIGHT($AD791,1)),0)&gt;2,IF($C791=8,O791*IFERROR(INDEX('TaxCred&amp;Subs'!$K$139:$S$151,MATCH($C791&amp;$D791&amp;LEFT($AD791,7),'TaxCred&amp;Subs'!$E$139:$E$151,0),MATCH($H791,'TaxCred&amp;Subs'!$K$137:$S$137,0)),0),IF($C791=2,O791*IFERROR(INDEX('TaxCred&amp;Subs'!$K$139:$S$151,MATCH($C791&amp;$D791,'TaxCred&amp;Subs'!$D$139:$D$151,0),MATCH($H791,'TaxCred&amp;Subs'!$K$137:$S$137,0)),0),O791*IFERROR(INDEX('TaxCred&amp;Subs'!$K$139:$S$151,MATCH($C791&amp;$D791,'TaxCred&amp;Subs'!$C$139:$C$151,0),MATCH($H791,'TaxCred&amp;Subs'!$K$137:$S$137,0)),0))),0),0)</f>
        <v>0</v>
      </c>
      <c r="T791" s="95">
        <f t="shared" si="49"/>
        <v>0</v>
      </c>
      <c r="U791" s="95">
        <f t="shared" si="50"/>
        <v>0</v>
      </c>
      <c r="V791" s="28" t="s">
        <v>222</v>
      </c>
      <c r="W791" s="31">
        <v>2020</v>
      </c>
      <c r="X791" s="28">
        <v>1</v>
      </c>
      <c r="Y791" s="28">
        <v>0</v>
      </c>
      <c r="Z791" s="196">
        <v>-7.3909734441648329E-3</v>
      </c>
      <c r="AA791" s="196">
        <v>-0.11370728375638205</v>
      </c>
      <c r="AB791" s="28">
        <v>0</v>
      </c>
      <c r="AC791" s="28">
        <v>0</v>
      </c>
      <c r="AD791" s="28" t="s">
        <v>381</v>
      </c>
      <c r="AE791" t="s">
        <v>485</v>
      </c>
    </row>
    <row r="792" spans="2:31" ht="14.25" customHeight="1" x14ac:dyDescent="0.2">
      <c r="B792" s="7">
        <f t="shared" si="51"/>
        <v>768</v>
      </c>
      <c r="C792" s="152">
        <v>7</v>
      </c>
      <c r="D792" s="152">
        <v>2</v>
      </c>
      <c r="E792" s="153">
        <v>5</v>
      </c>
      <c r="F792" s="153">
        <v>2028</v>
      </c>
      <c r="G792" s="152">
        <v>2050</v>
      </c>
      <c r="H792" s="152">
        <v>11</v>
      </c>
      <c r="I792" s="152">
        <v>0</v>
      </c>
      <c r="J792" s="152">
        <v>0</v>
      </c>
      <c r="K792" s="152">
        <v>0</v>
      </c>
      <c r="L792" s="152">
        <v>0</v>
      </c>
      <c r="M792" s="154">
        <v>3.93</v>
      </c>
      <c r="N792" s="155">
        <v>748.06970509383382</v>
      </c>
      <c r="O792" s="155">
        <v>611.09919571045577</v>
      </c>
      <c r="P792" s="41">
        <f t="array" ref="P792">ROUND(IF($F792&lt;='TaxCred&amp;Subs'!$C$49,(IF($C792=2,IF($M792&gt;=IFERROR(INDEX('TaxCred&amp;Subs'!$L$12:$L$47,MATCH(1,($C792&amp;$D792='TaxCred&amp;Subs'!$E$12:$E$47)*($F792='TaxCred&amp;Subs'!$C$12:$C$47),0)
),9999),IFERROR(INDEX('TaxCred&amp;Subs'!$N$12:$N$47,MATCH(1,($C792&amp;$D792='TaxCred&amp;Subs'!$E$12:$E$47)*($F792='TaxCred&amp;Subs'!$C$12:$C$47),0)
),0),0),(IF($M792&gt;=IFERROR(INDEX('TaxCred&amp;Subs'!$H$12:$H$47,MATCH(1,($C792&amp;$D792='TaxCred&amp;Subs'!$D$12:$D$47)*($F792='TaxCred&amp;Subs'!$C$12:$C$47),0)
),9999),IFERROR(INDEX('TaxCred&amp;Subs'!$N$12:$N$47,MATCH(1,($C792&amp;$D792='TaxCred&amp;Subs'!$D$12:$D$47)*($F792='TaxCred&amp;Subs'!$C$12:$C$47),0)
),0),0)))),0)+IF(AND($C792=2,VALUE(RIGHT($AD792,1))&gt;2),(N792-R792)*(IFERROR(INDEX('TaxCred&amp;Subs'!$J$66:$J$99,MATCH(1,($C792&amp;$D792='TaxCred&amp;Subs'!$E$66:$E$99)*($F792='TaxCred&amp;Subs'!$C$66:$C$99),0)),0)),IF(AND($C792=1,VALUE(RIGHT($AD792,1))&gt;2),(N792-R792)*(IFERROR(INDEX('TaxCred&amp;Subs'!$J$66:$J$99,MATCH(1,($C792&amp;$D792='TaxCred&amp;Subs'!$D$66:$D$99)*($F792='TaxCred&amp;Subs'!$C$66:$C$99),0)),0)),IF($C792&gt;2,(N792-R792)*(IFERROR(INDEX('TaxCred&amp;Subs'!$J$66:$J$99,MATCH(1,($C792&amp;$D792='TaxCred&amp;Subs'!$D$66:$D$99)*($F792='TaxCred&amp;Subs'!$C$66:$C$99),0)),0)),0))),0)</f>
        <v>0</v>
      </c>
      <c r="Q792" s="41">
        <f t="array" ref="Q792">ROUND(IF(AND($C792=2,VALUE(RIGHT($AD792,1))&gt;2),(O792-S792)*(IFERROR(INDEX('TaxCred&amp;Subs'!$J$66:$J$99,MATCH(1,($C792&amp;$D792='TaxCred&amp;Subs'!$E$66:$E$99)*($F792='TaxCred&amp;Subs'!$C$66:$C$99),0)),0)),IF(AND($C792=1,VALUE(RIGHT($AD792,1))&gt;2),(O792-S792)*(IFERROR(INDEX('TaxCred&amp;Subs'!$J$66:$J$99,MATCH(1,($C792&amp;$D792='TaxCred&amp;Subs'!$D$66:$D$99)*($F792='TaxCred&amp;Subs'!$C$66:$C$99),0)),0)),IF($C792&gt;2,(O792-S792)*(IFERROR(INDEX('TaxCred&amp;Subs'!$J$66:$J$99,MATCH(1,($C792&amp;$D792='TaxCred&amp;Subs'!$D$66:$D$99)*($F792='TaxCred&amp;Subs'!$C$66:$C$99),0)),0)),0))),0)</f>
        <v>0</v>
      </c>
      <c r="R792" s="41">
        <f t="array" ref="R792">ROUND(IF(IFERROR(VALUE(RIGHT($AD792,1)),0)&gt;2,IF($C792=8,N792*IFERROR(INDEX('TaxCred&amp;Subs'!$K$139:$S$151,MATCH($C792&amp;$D792&amp;LEFT($AD792,7),'TaxCred&amp;Subs'!$E$139:$E$151,0),MATCH($H792,'TaxCred&amp;Subs'!$K$137:$S$137,0)),0),IF($C792=2,N792*IFERROR(INDEX('TaxCred&amp;Subs'!$K$139:$S$151,MATCH($C792&amp;$D792,'TaxCred&amp;Subs'!$D$139:$D$151,0),MATCH($H792,'TaxCred&amp;Subs'!$K$137:$S$137,0)),0),N792*IFERROR(INDEX('TaxCred&amp;Subs'!$K$139:$S$151,MATCH($C792&amp;$D792,'TaxCred&amp;Subs'!$C$139:$C$151,0),MATCH($H792,'TaxCred&amp;Subs'!$K$137:$S$137,0)),0))),0),0)</f>
        <v>0</v>
      </c>
      <c r="S792" s="41">
        <f t="array" ref="S792">ROUND(IF(IFERROR(VALUE(RIGHT($AD792,1)),0)&gt;2,IF($C792=8,O792*IFERROR(INDEX('TaxCred&amp;Subs'!$K$139:$S$151,MATCH($C792&amp;$D792&amp;LEFT($AD792,7),'TaxCred&amp;Subs'!$E$139:$E$151,0),MATCH($H792,'TaxCred&amp;Subs'!$K$137:$S$137,0)),0),IF($C792=2,O792*IFERROR(INDEX('TaxCred&amp;Subs'!$K$139:$S$151,MATCH($C792&amp;$D792,'TaxCred&amp;Subs'!$D$139:$D$151,0),MATCH($H792,'TaxCred&amp;Subs'!$K$137:$S$137,0)),0),O792*IFERROR(INDEX('TaxCred&amp;Subs'!$K$139:$S$151,MATCH($C792&amp;$D792,'TaxCred&amp;Subs'!$C$139:$C$151,0),MATCH($H792,'TaxCred&amp;Subs'!$K$137:$S$137,0)),0))),0),0)</f>
        <v>0</v>
      </c>
      <c r="T792" s="41">
        <f t="shared" si="49"/>
        <v>0</v>
      </c>
      <c r="U792" s="41">
        <f t="shared" si="50"/>
        <v>0</v>
      </c>
      <c r="V792" s="152" t="s">
        <v>222</v>
      </c>
      <c r="W792" s="152">
        <v>2020</v>
      </c>
      <c r="X792" s="152">
        <v>1</v>
      </c>
      <c r="Y792" s="152">
        <v>0</v>
      </c>
      <c r="Z792" s="195">
        <v>-1</v>
      </c>
      <c r="AA792" s="195">
        <v>-1</v>
      </c>
      <c r="AB792" s="152">
        <v>0</v>
      </c>
      <c r="AC792" s="152">
        <v>0</v>
      </c>
      <c r="AD792" s="152" t="s">
        <v>381</v>
      </c>
      <c r="AE792" s="201" t="s">
        <v>486</v>
      </c>
    </row>
    <row r="793" spans="2:31" ht="14.25" customHeight="1" x14ac:dyDescent="0.2">
      <c r="B793" s="7">
        <f t="shared" si="51"/>
        <v>769</v>
      </c>
      <c r="C793" s="28">
        <v>7</v>
      </c>
      <c r="D793" s="28">
        <v>2</v>
      </c>
      <c r="E793" s="96">
        <v>6</v>
      </c>
      <c r="F793" s="96">
        <v>2020</v>
      </c>
      <c r="G793" s="28">
        <v>2050</v>
      </c>
      <c r="H793" s="28">
        <v>11</v>
      </c>
      <c r="I793" s="28">
        <v>0</v>
      </c>
      <c r="J793" s="28">
        <v>0</v>
      </c>
      <c r="K793" s="28">
        <v>0</v>
      </c>
      <c r="L793" s="28">
        <v>0</v>
      </c>
      <c r="M793" s="156">
        <v>11</v>
      </c>
      <c r="N793" s="151">
        <v>1110</v>
      </c>
      <c r="O793" s="151">
        <v>980</v>
      </c>
      <c r="P793" s="95">
        <f t="array" ref="P793">ROUND(IF($F793&lt;='TaxCred&amp;Subs'!$C$49,(IF($C793=2,IF($M793&gt;=IFERROR(INDEX('TaxCred&amp;Subs'!$L$12:$L$47,MATCH(1,($C793&amp;$D793='TaxCred&amp;Subs'!$E$12:$E$47)*($F793='TaxCred&amp;Subs'!$C$12:$C$47),0)
),9999),IFERROR(INDEX('TaxCred&amp;Subs'!$N$12:$N$47,MATCH(1,($C793&amp;$D793='TaxCred&amp;Subs'!$E$12:$E$47)*($F793='TaxCred&amp;Subs'!$C$12:$C$47),0)
),0),0),(IF($M793&gt;=IFERROR(INDEX('TaxCred&amp;Subs'!$H$12:$H$47,MATCH(1,($C793&amp;$D793='TaxCred&amp;Subs'!$D$12:$D$47)*($F793='TaxCred&amp;Subs'!$C$12:$C$47),0)
),9999),IFERROR(INDEX('TaxCred&amp;Subs'!$N$12:$N$47,MATCH(1,($C793&amp;$D793='TaxCred&amp;Subs'!$D$12:$D$47)*($F793='TaxCred&amp;Subs'!$C$12:$C$47),0)
),0),0)))),0)+IF(AND($C793=2,VALUE(RIGHT($AD793,1))&gt;2),(N793-R793)*(IFERROR(INDEX('TaxCred&amp;Subs'!$J$66:$J$99,MATCH(1,($C793&amp;$D793='TaxCred&amp;Subs'!$E$66:$E$99)*($F793='TaxCred&amp;Subs'!$C$66:$C$99),0)),0)),IF(AND($C793=1,VALUE(RIGHT($AD793,1))&gt;2),(N793-R793)*(IFERROR(INDEX('TaxCred&amp;Subs'!$J$66:$J$99,MATCH(1,($C793&amp;$D793='TaxCred&amp;Subs'!$D$66:$D$99)*($F793='TaxCred&amp;Subs'!$C$66:$C$99),0)),0)),IF($C793&gt;2,(N793-R793)*(IFERROR(INDEX('TaxCred&amp;Subs'!$J$66:$J$99,MATCH(1,($C793&amp;$D793='TaxCred&amp;Subs'!$D$66:$D$99)*($F793='TaxCred&amp;Subs'!$C$66:$C$99),0)),0)),0))),0)</f>
        <v>0</v>
      </c>
      <c r="Q793" s="95">
        <f t="array" ref="Q793">ROUND(IF(AND($C793=2,VALUE(RIGHT($AD793,1))&gt;2),(O793-S793)*(IFERROR(INDEX('TaxCred&amp;Subs'!$J$66:$J$99,MATCH(1,($C793&amp;$D793='TaxCred&amp;Subs'!$E$66:$E$99)*($F793='TaxCred&amp;Subs'!$C$66:$C$99),0)),0)),IF(AND($C793=1,VALUE(RIGHT($AD793,1))&gt;2),(O793-S793)*(IFERROR(INDEX('TaxCred&amp;Subs'!$J$66:$J$99,MATCH(1,($C793&amp;$D793='TaxCred&amp;Subs'!$D$66:$D$99)*($F793='TaxCred&amp;Subs'!$C$66:$C$99),0)),0)),IF($C793&gt;2,(O793-S793)*(IFERROR(INDEX('TaxCred&amp;Subs'!$J$66:$J$99,MATCH(1,($C793&amp;$D793='TaxCred&amp;Subs'!$D$66:$D$99)*($F793='TaxCred&amp;Subs'!$C$66:$C$99),0)),0)),0))),0)</f>
        <v>0</v>
      </c>
      <c r="R793" s="95">
        <f t="array" ref="R793">ROUND(IF(IFERROR(VALUE(RIGHT($AD793,1)),0)&gt;2,IF($C793=8,N793*IFERROR(INDEX('TaxCred&amp;Subs'!$K$139:$S$151,MATCH($C793&amp;$D793&amp;LEFT($AD793,7),'TaxCred&amp;Subs'!$E$139:$E$151,0),MATCH($H793,'TaxCred&amp;Subs'!$K$137:$S$137,0)),0),IF($C793=2,N793*IFERROR(INDEX('TaxCred&amp;Subs'!$K$139:$S$151,MATCH($C793&amp;$D793,'TaxCred&amp;Subs'!$D$139:$D$151,0),MATCH($H793,'TaxCred&amp;Subs'!$K$137:$S$137,0)),0),N793*IFERROR(INDEX('TaxCred&amp;Subs'!$K$139:$S$151,MATCH($C793&amp;$D793,'TaxCred&amp;Subs'!$C$139:$C$151,0),MATCH($H793,'TaxCred&amp;Subs'!$K$137:$S$137,0)),0))),0),0)</f>
        <v>0</v>
      </c>
      <c r="S793" s="95">
        <f t="array" ref="S793">ROUND(IF(IFERROR(VALUE(RIGHT($AD793,1)),0)&gt;2,IF($C793=8,O793*IFERROR(INDEX('TaxCred&amp;Subs'!$K$139:$S$151,MATCH($C793&amp;$D793&amp;LEFT($AD793,7),'TaxCred&amp;Subs'!$E$139:$E$151,0),MATCH($H793,'TaxCred&amp;Subs'!$K$137:$S$137,0)),0),IF($C793=2,O793*IFERROR(INDEX('TaxCred&amp;Subs'!$K$139:$S$151,MATCH($C793&amp;$D793,'TaxCred&amp;Subs'!$D$139:$D$151,0),MATCH($H793,'TaxCred&amp;Subs'!$K$137:$S$137,0)),0),O793*IFERROR(INDEX('TaxCred&amp;Subs'!$K$139:$S$151,MATCH($C793&amp;$D793,'TaxCred&amp;Subs'!$C$139:$C$151,0),MATCH($H793,'TaxCred&amp;Subs'!$K$137:$S$137,0)),0))),0),0)</f>
        <v>0</v>
      </c>
      <c r="T793" s="95">
        <f t="shared" ref="T793:T881" si="56">IF($H793=9,IF(R793&gt;0,(N793-P793)*0.15,0),0)</f>
        <v>0</v>
      </c>
      <c r="U793" s="95">
        <f t="shared" ref="U793:U881" si="57">IF($H793=9,IF(S793&gt;0,(O793-Q793)*0.15,0),0)</f>
        <v>0</v>
      </c>
      <c r="V793" s="28" t="s">
        <v>222</v>
      </c>
      <c r="W793" s="31">
        <v>2020</v>
      </c>
      <c r="X793" s="28">
        <v>1</v>
      </c>
      <c r="Y793" s="28">
        <v>0</v>
      </c>
      <c r="Z793" s="196">
        <v>-7.3909734441648329E-3</v>
      </c>
      <c r="AA793" s="196">
        <v>-0.11370728375638205</v>
      </c>
      <c r="AB793" s="28">
        <v>0</v>
      </c>
      <c r="AC793" s="28">
        <v>0</v>
      </c>
      <c r="AD793" s="28" t="s">
        <v>382</v>
      </c>
    </row>
    <row r="794" spans="2:31" ht="14.25" customHeight="1" x14ac:dyDescent="0.2">
      <c r="B794" s="7">
        <f t="shared" si="51"/>
        <v>770</v>
      </c>
      <c r="C794" s="28">
        <v>8</v>
      </c>
      <c r="D794" s="28">
        <v>1</v>
      </c>
      <c r="E794" s="28">
        <v>1</v>
      </c>
      <c r="F794" s="96">
        <v>2020</v>
      </c>
      <c r="G794" s="31">
        <v>2029</v>
      </c>
      <c r="H794" s="28">
        <v>11</v>
      </c>
      <c r="I794" s="28">
        <v>0</v>
      </c>
      <c r="J794" s="28">
        <v>0</v>
      </c>
      <c r="K794" s="28">
        <v>0</v>
      </c>
      <c r="L794" s="28">
        <v>0</v>
      </c>
      <c r="M794" s="151">
        <v>411.05539215686269</v>
      </c>
      <c r="N794" s="151">
        <v>740</v>
      </c>
      <c r="O794" s="151">
        <v>740</v>
      </c>
      <c r="P794" s="95">
        <f t="array" ref="P794">ROUND(IF($F794&lt;='TaxCred&amp;Subs'!$C$49,(IF($C794=2,IF($M794&gt;=IFERROR(INDEX('TaxCred&amp;Subs'!$L$12:$L$47,MATCH(1,($C794&amp;$D794='TaxCred&amp;Subs'!$E$12:$E$47)*($F794='TaxCred&amp;Subs'!$C$12:$C$47),0)
),9999),IFERROR(INDEX('TaxCred&amp;Subs'!$N$12:$N$47,MATCH(1,($C794&amp;$D794='TaxCred&amp;Subs'!$E$12:$E$47)*($F794='TaxCred&amp;Subs'!$C$12:$C$47),0)
),0),0),(IF($M794&gt;=IFERROR(INDEX('TaxCred&amp;Subs'!$H$12:$H$47,MATCH(1,($C794&amp;$D794='TaxCred&amp;Subs'!$D$12:$D$47)*($F794='TaxCred&amp;Subs'!$C$12:$C$47),0)
),9999),IFERROR(INDEX('TaxCred&amp;Subs'!$N$12:$N$47,MATCH(1,($C794&amp;$D794='TaxCred&amp;Subs'!$D$12:$D$47)*($F794='TaxCred&amp;Subs'!$C$12:$C$47),0)
),0),0)))),0)+IF(AND($C794=2,VALUE(RIGHT($AD794,1))&gt;2),(N794-R794)*(IFERROR(INDEX('TaxCred&amp;Subs'!$J$66:$J$99,MATCH(1,($C794&amp;$D794='TaxCred&amp;Subs'!$E$66:$E$99)*($F794='TaxCred&amp;Subs'!$C$66:$C$99),0)),0)),IF(AND($C794=1,VALUE(RIGHT($AD794,1))&gt;2),(N794-R794)*(IFERROR(INDEX('TaxCred&amp;Subs'!$J$66:$J$99,MATCH(1,($C794&amp;$D794='TaxCred&amp;Subs'!$D$66:$D$99)*($F794='TaxCred&amp;Subs'!$C$66:$C$99),0)),0)),IF($C794&gt;2,(N794-R794)*(IFERROR(INDEX('TaxCred&amp;Subs'!$J$66:$J$99,MATCH(1,($C794&amp;$D794='TaxCred&amp;Subs'!$D$66:$D$99)*($F794='TaxCred&amp;Subs'!$C$66:$C$99),0)),0)),0))),0)</f>
        <v>0</v>
      </c>
      <c r="Q794" s="95">
        <f t="array" ref="Q794">ROUND(IF(AND($C794=2,VALUE(RIGHT($AD794,1))&gt;2),(O794-S794)*(IFERROR(INDEX('TaxCred&amp;Subs'!$J$66:$J$99,MATCH(1,($C794&amp;$D794='TaxCred&amp;Subs'!$E$66:$E$99)*($F794='TaxCred&amp;Subs'!$C$66:$C$99),0)),0)),IF(AND($C794=1,VALUE(RIGHT($AD794,1))&gt;2),(O794-S794)*(IFERROR(INDEX('TaxCred&amp;Subs'!$J$66:$J$99,MATCH(1,($C794&amp;$D794='TaxCred&amp;Subs'!$D$66:$D$99)*($F794='TaxCred&amp;Subs'!$C$66:$C$99),0)),0)),IF($C794&gt;2,(O794-S794)*(IFERROR(INDEX('TaxCred&amp;Subs'!$J$66:$J$99,MATCH(1,($C794&amp;$D794='TaxCred&amp;Subs'!$D$66:$D$99)*($F794='TaxCred&amp;Subs'!$C$66:$C$99),0)),0)),0))),0)</f>
        <v>0</v>
      </c>
      <c r="R794" s="95">
        <f t="array" ref="R794">ROUND(IF(IFERROR(VALUE(RIGHT($AD794,1)),0)&gt;2,IF($C794=8,N794*IFERROR(INDEX('TaxCred&amp;Subs'!$K$139:$S$151,MATCH($C794&amp;$D794&amp;LEFT($AD794,7),'TaxCred&amp;Subs'!$E$139:$E$151,0),MATCH($H794,'TaxCred&amp;Subs'!$K$137:$S$137,0)),0),IF($C794=2,N794*IFERROR(INDEX('TaxCred&amp;Subs'!$K$139:$S$151,MATCH($C794&amp;$D794,'TaxCred&amp;Subs'!$D$139:$D$151,0),MATCH($H794,'TaxCred&amp;Subs'!$K$137:$S$137,0)),0),N794*IFERROR(INDEX('TaxCred&amp;Subs'!$K$139:$S$151,MATCH($C794&amp;$D794,'TaxCred&amp;Subs'!$C$139:$C$151,0),MATCH($H794,'TaxCred&amp;Subs'!$K$137:$S$137,0)),0))),0),0)</f>
        <v>0</v>
      </c>
      <c r="S794" s="95">
        <f t="array" ref="S794">ROUND(IF(IFERROR(VALUE(RIGHT($AD794,1)),0)&gt;2,IF($C794=8,O794*IFERROR(INDEX('TaxCred&amp;Subs'!$K$139:$S$151,MATCH($C794&amp;$D794&amp;LEFT($AD794,7),'TaxCred&amp;Subs'!$E$139:$E$151,0),MATCH($H794,'TaxCred&amp;Subs'!$K$137:$S$137,0)),0),IF($C794=2,O794*IFERROR(INDEX('TaxCred&amp;Subs'!$K$139:$S$151,MATCH($C794&amp;$D794,'TaxCred&amp;Subs'!$D$139:$D$151,0),MATCH($H794,'TaxCred&amp;Subs'!$K$137:$S$137,0)),0),O794*IFERROR(INDEX('TaxCred&amp;Subs'!$K$139:$S$151,MATCH($C794&amp;$D794,'TaxCred&amp;Subs'!$C$139:$C$151,0),MATCH($H794,'TaxCred&amp;Subs'!$K$137:$S$137,0)),0))),0),0)</f>
        <v>0</v>
      </c>
      <c r="T794" s="95">
        <f t="shared" si="56"/>
        <v>0</v>
      </c>
      <c r="U794" s="95">
        <f t="shared" si="57"/>
        <v>0</v>
      </c>
      <c r="V794" s="28" t="s">
        <v>222</v>
      </c>
      <c r="W794" s="31">
        <v>2020</v>
      </c>
      <c r="X794" s="28">
        <v>1</v>
      </c>
      <c r="Y794" s="28">
        <v>0</v>
      </c>
      <c r="Z794" s="196">
        <v>-7.7673242080850032E-3</v>
      </c>
      <c r="AA794" s="196">
        <v>-0.11949729550900004</v>
      </c>
      <c r="AB794" s="28">
        <v>0</v>
      </c>
      <c r="AC794" s="28">
        <v>0</v>
      </c>
      <c r="AD794" s="28" t="s">
        <v>383</v>
      </c>
    </row>
    <row r="795" spans="2:31" ht="14.25" customHeight="1" x14ac:dyDescent="0.2">
      <c r="B795" s="7">
        <f t="shared" ref="B795:B858" si="58">B794+1</f>
        <v>771</v>
      </c>
      <c r="C795" s="152">
        <v>8</v>
      </c>
      <c r="D795" s="152">
        <v>1</v>
      </c>
      <c r="E795" s="152">
        <v>1</v>
      </c>
      <c r="F795" s="153">
        <v>2030</v>
      </c>
      <c r="G795" s="152">
        <v>2050</v>
      </c>
      <c r="H795" s="152">
        <v>11</v>
      </c>
      <c r="I795" s="152">
        <v>0</v>
      </c>
      <c r="J795" s="152">
        <v>0</v>
      </c>
      <c r="K795" s="152">
        <v>0</v>
      </c>
      <c r="L795" s="152">
        <v>0</v>
      </c>
      <c r="M795" s="155">
        <v>349.52</v>
      </c>
      <c r="N795" s="155">
        <v>760</v>
      </c>
      <c r="O795" s="155">
        <v>760</v>
      </c>
      <c r="P795" s="41">
        <f t="array" ref="P795">ROUND(IF($F795&lt;='TaxCred&amp;Subs'!$C$49,(IF($C795=2,IF($M795&gt;=IFERROR(INDEX('TaxCred&amp;Subs'!$L$12:$L$47,MATCH(1,($C795&amp;$D795='TaxCred&amp;Subs'!$E$12:$E$47)*($F795='TaxCred&amp;Subs'!$C$12:$C$47),0)
),9999),IFERROR(INDEX('TaxCred&amp;Subs'!$N$12:$N$47,MATCH(1,($C795&amp;$D795='TaxCred&amp;Subs'!$E$12:$E$47)*($F795='TaxCred&amp;Subs'!$C$12:$C$47),0)
),0),0),(IF($M795&gt;=IFERROR(INDEX('TaxCred&amp;Subs'!$H$12:$H$47,MATCH(1,($C795&amp;$D795='TaxCred&amp;Subs'!$D$12:$D$47)*($F795='TaxCred&amp;Subs'!$C$12:$C$47),0)
),9999),IFERROR(INDEX('TaxCred&amp;Subs'!$N$12:$N$47,MATCH(1,($C795&amp;$D795='TaxCred&amp;Subs'!$D$12:$D$47)*($F795='TaxCred&amp;Subs'!$C$12:$C$47),0)
),0),0)))),0)+IF(AND($C795=2,VALUE(RIGHT($AD795,1))&gt;2),(N795-R795)*(IFERROR(INDEX('TaxCred&amp;Subs'!$J$66:$J$99,MATCH(1,($C795&amp;$D795='TaxCred&amp;Subs'!$E$66:$E$99)*($F795='TaxCred&amp;Subs'!$C$66:$C$99),0)),0)),IF(AND($C795=1,VALUE(RIGHT($AD795,1))&gt;2),(N795-R795)*(IFERROR(INDEX('TaxCred&amp;Subs'!$J$66:$J$99,MATCH(1,($C795&amp;$D795='TaxCred&amp;Subs'!$D$66:$D$99)*($F795='TaxCred&amp;Subs'!$C$66:$C$99),0)),0)),IF($C795&gt;2,(N795-R795)*(IFERROR(INDEX('TaxCred&amp;Subs'!$J$66:$J$99,MATCH(1,($C795&amp;$D795='TaxCred&amp;Subs'!$D$66:$D$99)*($F795='TaxCred&amp;Subs'!$C$66:$C$99),0)),0)),0))),0)</f>
        <v>0</v>
      </c>
      <c r="Q795" s="41">
        <f t="array" ref="Q795">ROUND(IF(AND($C795=2,VALUE(RIGHT($AD795,1))&gt;2),(O795-S795)*(IFERROR(INDEX('TaxCred&amp;Subs'!$J$66:$J$99,MATCH(1,($C795&amp;$D795='TaxCred&amp;Subs'!$E$66:$E$99)*($F795='TaxCred&amp;Subs'!$C$66:$C$99),0)),0)),IF(AND($C795=1,VALUE(RIGHT($AD795,1))&gt;2),(O795-S795)*(IFERROR(INDEX('TaxCred&amp;Subs'!$J$66:$J$99,MATCH(1,($C795&amp;$D795='TaxCred&amp;Subs'!$D$66:$D$99)*($F795='TaxCred&amp;Subs'!$C$66:$C$99),0)),0)),IF($C795&gt;2,(O795-S795)*(IFERROR(INDEX('TaxCred&amp;Subs'!$J$66:$J$99,MATCH(1,($C795&amp;$D795='TaxCred&amp;Subs'!$D$66:$D$99)*($F795='TaxCred&amp;Subs'!$C$66:$C$99),0)),0)),0))),0)</f>
        <v>0</v>
      </c>
      <c r="R795" s="41">
        <f t="array" ref="R795">ROUND(IF(IFERROR(VALUE(RIGHT($AD795,1)),0)&gt;2,IF($C795=8,N795*IFERROR(INDEX('TaxCred&amp;Subs'!$K$139:$S$151,MATCH($C795&amp;$D795&amp;LEFT($AD795,7),'TaxCred&amp;Subs'!$E$139:$E$151,0),MATCH($H795,'TaxCred&amp;Subs'!$K$137:$S$137,0)),0),IF($C795=2,N795*IFERROR(INDEX('TaxCred&amp;Subs'!$K$139:$S$151,MATCH($C795&amp;$D795,'TaxCred&amp;Subs'!$D$139:$D$151,0),MATCH($H795,'TaxCred&amp;Subs'!$K$137:$S$137,0)),0),N795*IFERROR(INDEX('TaxCred&amp;Subs'!$K$139:$S$151,MATCH($C795&amp;$D795,'TaxCred&amp;Subs'!$C$139:$C$151,0),MATCH($H795,'TaxCred&amp;Subs'!$K$137:$S$137,0)),0))),0),0)</f>
        <v>0</v>
      </c>
      <c r="S795" s="41">
        <f t="array" ref="S795">ROUND(IF(IFERROR(VALUE(RIGHT($AD795,1)),0)&gt;2,IF($C795=8,O795*IFERROR(INDEX('TaxCred&amp;Subs'!$K$139:$S$151,MATCH($C795&amp;$D795&amp;LEFT($AD795,7),'TaxCred&amp;Subs'!$E$139:$E$151,0),MATCH($H795,'TaxCred&amp;Subs'!$K$137:$S$137,0)),0),IF($C795=2,O795*IFERROR(INDEX('TaxCred&amp;Subs'!$K$139:$S$151,MATCH($C795&amp;$D795,'TaxCred&amp;Subs'!$D$139:$D$151,0),MATCH($H795,'TaxCred&amp;Subs'!$K$137:$S$137,0)),0),O795*IFERROR(INDEX('TaxCred&amp;Subs'!$K$139:$S$151,MATCH($C795&amp;$D795,'TaxCred&amp;Subs'!$C$139:$C$151,0),MATCH($H795,'TaxCred&amp;Subs'!$K$137:$S$137,0)),0))),0),0)</f>
        <v>0</v>
      </c>
      <c r="T795" s="41">
        <f t="shared" ref="T795" si="59">IF($H795=9,IF(R795&gt;0,(N795-P795)*0.15,0),0)</f>
        <v>0</v>
      </c>
      <c r="U795" s="41">
        <f t="shared" ref="U795" si="60">IF($H795=9,IF(S795&gt;0,(O795-Q795)*0.15,0),0)</f>
        <v>0</v>
      </c>
      <c r="V795" s="152" t="s">
        <v>222</v>
      </c>
      <c r="W795" s="152">
        <v>2020</v>
      </c>
      <c r="X795" s="152">
        <v>1</v>
      </c>
      <c r="Y795" s="152">
        <v>0</v>
      </c>
      <c r="Z795" s="194">
        <v>-7.7673242080850032E-3</v>
      </c>
      <c r="AA795" s="194">
        <v>-0.11949729550900004</v>
      </c>
      <c r="AB795" s="152">
        <v>0</v>
      </c>
      <c r="AC795" s="152">
        <v>0</v>
      </c>
      <c r="AD795" s="152" t="s">
        <v>383</v>
      </c>
    </row>
    <row r="796" spans="2:31" ht="14.25" customHeight="1" x14ac:dyDescent="0.2">
      <c r="B796" s="7">
        <f t="shared" si="58"/>
        <v>772</v>
      </c>
      <c r="C796" s="28">
        <v>8</v>
      </c>
      <c r="D796" s="28">
        <v>1</v>
      </c>
      <c r="E796" s="28">
        <v>2</v>
      </c>
      <c r="F796" s="96">
        <v>2020</v>
      </c>
      <c r="G796" s="31">
        <v>2029</v>
      </c>
      <c r="H796" s="28">
        <v>11</v>
      </c>
      <c r="I796" s="28">
        <v>0</v>
      </c>
      <c r="J796" s="28">
        <v>0</v>
      </c>
      <c r="K796" s="28">
        <v>0</v>
      </c>
      <c r="L796" s="28">
        <v>0</v>
      </c>
      <c r="M796" s="151">
        <v>400.69607843137254</v>
      </c>
      <c r="N796" s="79">
        <v>750</v>
      </c>
      <c r="O796" s="79">
        <v>750</v>
      </c>
      <c r="P796" s="95">
        <f t="array" ref="P796">ROUND(IF($F796&lt;='TaxCred&amp;Subs'!$C$49,(IF($C796=2,IF($M796&gt;=IFERROR(INDEX('TaxCred&amp;Subs'!$L$12:$L$47,MATCH(1,($C796&amp;$D796='TaxCred&amp;Subs'!$E$12:$E$47)*($F796='TaxCred&amp;Subs'!$C$12:$C$47),0)
),9999),IFERROR(INDEX('TaxCred&amp;Subs'!$N$12:$N$47,MATCH(1,($C796&amp;$D796='TaxCred&amp;Subs'!$E$12:$E$47)*($F796='TaxCred&amp;Subs'!$C$12:$C$47),0)
),0),0),(IF($M796&gt;=IFERROR(INDEX('TaxCred&amp;Subs'!$H$12:$H$47,MATCH(1,($C796&amp;$D796='TaxCred&amp;Subs'!$D$12:$D$47)*($F796='TaxCred&amp;Subs'!$C$12:$C$47),0)
),9999),IFERROR(INDEX('TaxCred&amp;Subs'!$N$12:$N$47,MATCH(1,($C796&amp;$D796='TaxCred&amp;Subs'!$D$12:$D$47)*($F796='TaxCred&amp;Subs'!$C$12:$C$47),0)
),0),0)))),0)+IF(AND($C796=2,VALUE(RIGHT($AD796,1))&gt;2),(N796-R796)*(IFERROR(INDEX('TaxCred&amp;Subs'!$J$66:$J$99,MATCH(1,($C796&amp;$D796='TaxCred&amp;Subs'!$E$66:$E$99)*($F796='TaxCred&amp;Subs'!$C$66:$C$99),0)),0)),IF(AND($C796=1,VALUE(RIGHT($AD796,1))&gt;2),(N796-R796)*(IFERROR(INDEX('TaxCred&amp;Subs'!$J$66:$J$99,MATCH(1,($C796&amp;$D796='TaxCred&amp;Subs'!$D$66:$D$99)*($F796='TaxCred&amp;Subs'!$C$66:$C$99),0)),0)),IF($C796&gt;2,(N796-R796)*(IFERROR(INDEX('TaxCred&amp;Subs'!$J$66:$J$99,MATCH(1,($C796&amp;$D796='TaxCred&amp;Subs'!$D$66:$D$99)*($F796='TaxCred&amp;Subs'!$C$66:$C$99),0)),0)),0))),0)</f>
        <v>0</v>
      </c>
      <c r="Q796" s="95">
        <f t="array" ref="Q796">ROUND(IF(AND($C796=2,VALUE(RIGHT($AD796,1))&gt;2),(O796-S796)*(IFERROR(INDEX('TaxCred&amp;Subs'!$J$66:$J$99,MATCH(1,($C796&amp;$D796='TaxCred&amp;Subs'!$E$66:$E$99)*($F796='TaxCred&amp;Subs'!$C$66:$C$99),0)),0)),IF(AND($C796=1,VALUE(RIGHT($AD796,1))&gt;2),(O796-S796)*(IFERROR(INDEX('TaxCred&amp;Subs'!$J$66:$J$99,MATCH(1,($C796&amp;$D796='TaxCred&amp;Subs'!$D$66:$D$99)*($F796='TaxCred&amp;Subs'!$C$66:$C$99),0)),0)),IF($C796&gt;2,(O796-S796)*(IFERROR(INDEX('TaxCred&amp;Subs'!$J$66:$J$99,MATCH(1,($C796&amp;$D796='TaxCred&amp;Subs'!$D$66:$D$99)*($F796='TaxCred&amp;Subs'!$C$66:$C$99),0)),0)),0))),0)</f>
        <v>0</v>
      </c>
      <c r="R796" s="95">
        <f t="array" ref="R796">ROUND(IF(IFERROR(VALUE(RIGHT($AD796,1)),0)&gt;2,IF($C796=8,N796*IFERROR(INDEX('TaxCred&amp;Subs'!$K$139:$S$151,MATCH($C796&amp;$D796&amp;LEFT($AD796,7),'TaxCred&amp;Subs'!$E$139:$E$151,0),MATCH($H796,'TaxCred&amp;Subs'!$K$137:$S$137,0)),0),IF($C796=2,N796*IFERROR(INDEX('TaxCred&amp;Subs'!$K$139:$S$151,MATCH($C796&amp;$D796,'TaxCred&amp;Subs'!$D$139:$D$151,0),MATCH($H796,'TaxCred&amp;Subs'!$K$137:$S$137,0)),0),N796*IFERROR(INDEX('TaxCred&amp;Subs'!$K$139:$S$151,MATCH($C796&amp;$D796,'TaxCred&amp;Subs'!$C$139:$C$151,0),MATCH($H796,'TaxCred&amp;Subs'!$K$137:$S$137,0)),0))),0),0)</f>
        <v>0</v>
      </c>
      <c r="S796" s="95">
        <f t="array" ref="S796">ROUND(IF(IFERROR(VALUE(RIGHT($AD796,1)),0)&gt;2,IF($C796=8,O796*IFERROR(INDEX('TaxCred&amp;Subs'!$K$139:$S$151,MATCH($C796&amp;$D796&amp;LEFT($AD796,7),'TaxCred&amp;Subs'!$E$139:$E$151,0),MATCH($H796,'TaxCred&amp;Subs'!$K$137:$S$137,0)),0),IF($C796=2,O796*IFERROR(INDEX('TaxCred&amp;Subs'!$K$139:$S$151,MATCH($C796&amp;$D796,'TaxCred&amp;Subs'!$D$139:$D$151,0),MATCH($H796,'TaxCred&amp;Subs'!$K$137:$S$137,0)),0),O796*IFERROR(INDEX('TaxCred&amp;Subs'!$K$139:$S$151,MATCH($C796&amp;$D796,'TaxCred&amp;Subs'!$C$139:$C$151,0),MATCH($H796,'TaxCred&amp;Subs'!$K$137:$S$137,0)),0))),0),0)</f>
        <v>0</v>
      </c>
      <c r="T796" s="95">
        <f t="shared" si="56"/>
        <v>0</v>
      </c>
      <c r="U796" s="95">
        <f t="shared" si="57"/>
        <v>0</v>
      </c>
      <c r="V796" s="28" t="s">
        <v>222</v>
      </c>
      <c r="W796" s="31">
        <v>2020</v>
      </c>
      <c r="X796" s="28">
        <v>1</v>
      </c>
      <c r="Y796" s="28">
        <v>0</v>
      </c>
      <c r="Z796" s="196">
        <v>-7.7673242080850032E-3</v>
      </c>
      <c r="AA796" s="196">
        <v>-0.11949729550900004</v>
      </c>
      <c r="AB796" s="28">
        <v>0</v>
      </c>
      <c r="AC796" s="28">
        <v>0</v>
      </c>
      <c r="AD796" s="28" t="s">
        <v>384</v>
      </c>
    </row>
    <row r="797" spans="2:31" ht="14.25" customHeight="1" x14ac:dyDescent="0.2">
      <c r="B797" s="7">
        <f t="shared" si="58"/>
        <v>773</v>
      </c>
      <c r="C797" s="152">
        <v>8</v>
      </c>
      <c r="D797" s="152">
        <v>1</v>
      </c>
      <c r="E797" s="152">
        <v>2</v>
      </c>
      <c r="F797" s="153">
        <v>2030</v>
      </c>
      <c r="G797" s="152">
        <v>2050</v>
      </c>
      <c r="H797" s="152">
        <v>11</v>
      </c>
      <c r="I797" s="152">
        <v>0</v>
      </c>
      <c r="J797" s="152">
        <v>0</v>
      </c>
      <c r="K797" s="152">
        <v>0</v>
      </c>
      <c r="L797" s="152">
        <v>0</v>
      </c>
      <c r="M797" s="155">
        <v>400.69607843137254</v>
      </c>
      <c r="N797" s="155">
        <v>750</v>
      </c>
      <c r="O797" s="155">
        <v>750</v>
      </c>
      <c r="P797" s="41">
        <f t="array" ref="P797">ROUND(IF($F797&lt;='TaxCred&amp;Subs'!$C$49,(IF($C797=2,IF($M797&gt;=IFERROR(INDEX('TaxCred&amp;Subs'!$L$12:$L$47,MATCH(1,($C797&amp;$D797='TaxCred&amp;Subs'!$E$12:$E$47)*($F797='TaxCred&amp;Subs'!$C$12:$C$47),0)
),9999),IFERROR(INDEX('TaxCred&amp;Subs'!$N$12:$N$47,MATCH(1,($C797&amp;$D797='TaxCred&amp;Subs'!$E$12:$E$47)*($F797='TaxCred&amp;Subs'!$C$12:$C$47),0)
),0),0),(IF($M797&gt;=IFERROR(INDEX('TaxCred&amp;Subs'!$H$12:$H$47,MATCH(1,($C797&amp;$D797='TaxCred&amp;Subs'!$D$12:$D$47)*($F797='TaxCred&amp;Subs'!$C$12:$C$47),0)
),9999),IFERROR(INDEX('TaxCred&amp;Subs'!$N$12:$N$47,MATCH(1,($C797&amp;$D797='TaxCred&amp;Subs'!$D$12:$D$47)*($F797='TaxCred&amp;Subs'!$C$12:$C$47),0)
),0),0)))),0)+IF(AND($C797=2,VALUE(RIGHT($AD797,1))&gt;2),(N797-R797)*(IFERROR(INDEX('TaxCred&amp;Subs'!$J$66:$J$99,MATCH(1,($C797&amp;$D797='TaxCred&amp;Subs'!$E$66:$E$99)*($F797='TaxCred&amp;Subs'!$C$66:$C$99),0)),0)),IF(AND($C797=1,VALUE(RIGHT($AD797,1))&gt;2),(N797-R797)*(IFERROR(INDEX('TaxCred&amp;Subs'!$J$66:$J$99,MATCH(1,($C797&amp;$D797='TaxCred&amp;Subs'!$D$66:$D$99)*($F797='TaxCred&amp;Subs'!$C$66:$C$99),0)),0)),IF($C797&gt;2,(N797-R797)*(IFERROR(INDEX('TaxCred&amp;Subs'!$J$66:$J$99,MATCH(1,($C797&amp;$D797='TaxCred&amp;Subs'!$D$66:$D$99)*($F797='TaxCred&amp;Subs'!$C$66:$C$99),0)),0)),0))),0)</f>
        <v>0</v>
      </c>
      <c r="Q797" s="41">
        <f t="array" ref="Q797">ROUND(IF(AND($C797=2,VALUE(RIGHT($AD797,1))&gt;2),(O797-S797)*(IFERROR(INDEX('TaxCred&amp;Subs'!$J$66:$J$99,MATCH(1,($C797&amp;$D797='TaxCred&amp;Subs'!$E$66:$E$99)*($F797='TaxCred&amp;Subs'!$C$66:$C$99),0)),0)),IF(AND($C797=1,VALUE(RIGHT($AD797,1))&gt;2),(O797-S797)*(IFERROR(INDEX('TaxCred&amp;Subs'!$J$66:$J$99,MATCH(1,($C797&amp;$D797='TaxCred&amp;Subs'!$D$66:$D$99)*($F797='TaxCred&amp;Subs'!$C$66:$C$99),0)),0)),IF($C797&gt;2,(O797-S797)*(IFERROR(INDEX('TaxCred&amp;Subs'!$J$66:$J$99,MATCH(1,($C797&amp;$D797='TaxCred&amp;Subs'!$D$66:$D$99)*($F797='TaxCred&amp;Subs'!$C$66:$C$99),0)),0)),0))),0)</f>
        <v>0</v>
      </c>
      <c r="R797" s="41">
        <f t="array" ref="R797">ROUND(IF(IFERROR(VALUE(RIGHT($AD797,1)),0)&gt;2,IF($C797=8,N797*IFERROR(INDEX('TaxCred&amp;Subs'!$K$139:$S$151,MATCH($C797&amp;$D797&amp;LEFT($AD797,7),'TaxCred&amp;Subs'!$E$139:$E$151,0),MATCH($H797,'TaxCred&amp;Subs'!$K$137:$S$137,0)),0),IF($C797=2,N797*IFERROR(INDEX('TaxCred&amp;Subs'!$K$139:$S$151,MATCH($C797&amp;$D797,'TaxCred&amp;Subs'!$D$139:$D$151,0),MATCH($H797,'TaxCred&amp;Subs'!$K$137:$S$137,0)),0),N797*IFERROR(INDEX('TaxCred&amp;Subs'!$K$139:$S$151,MATCH($C797&amp;$D797,'TaxCred&amp;Subs'!$C$139:$C$151,0),MATCH($H797,'TaxCred&amp;Subs'!$K$137:$S$137,0)),0))),0),0)</f>
        <v>0</v>
      </c>
      <c r="S797" s="41">
        <f t="array" ref="S797">ROUND(IF(IFERROR(VALUE(RIGHT($AD797,1)),0)&gt;2,IF($C797=8,O797*IFERROR(INDEX('TaxCred&amp;Subs'!$K$139:$S$151,MATCH($C797&amp;$D797&amp;LEFT($AD797,7),'TaxCred&amp;Subs'!$E$139:$E$151,0),MATCH($H797,'TaxCred&amp;Subs'!$K$137:$S$137,0)),0),IF($C797=2,O797*IFERROR(INDEX('TaxCred&amp;Subs'!$K$139:$S$151,MATCH($C797&amp;$D797,'TaxCred&amp;Subs'!$D$139:$D$151,0),MATCH($H797,'TaxCred&amp;Subs'!$K$137:$S$137,0)),0),O797*IFERROR(INDEX('TaxCred&amp;Subs'!$K$139:$S$151,MATCH($C797&amp;$D797,'TaxCred&amp;Subs'!$C$139:$C$151,0),MATCH($H797,'TaxCred&amp;Subs'!$K$137:$S$137,0)),0))),0),0)</f>
        <v>0</v>
      </c>
      <c r="T797" s="41">
        <f t="shared" ref="T797" si="61">IF($H797=9,IF(R797&gt;0,(N797-P797)*0.15,0),0)</f>
        <v>0</v>
      </c>
      <c r="U797" s="41">
        <f t="shared" ref="U797" si="62">IF($H797=9,IF(S797&gt;0,(O797-Q797)*0.15,0),0)</f>
        <v>0</v>
      </c>
      <c r="V797" s="152" t="s">
        <v>222</v>
      </c>
      <c r="W797" s="152">
        <v>2020</v>
      </c>
      <c r="X797" s="152">
        <v>1</v>
      </c>
      <c r="Y797" s="152">
        <v>0</v>
      </c>
      <c r="Z797" s="195">
        <v>-1</v>
      </c>
      <c r="AA797" s="195">
        <v>-1</v>
      </c>
      <c r="AB797" s="152">
        <v>0</v>
      </c>
      <c r="AC797" s="152">
        <v>0</v>
      </c>
      <c r="AD797" s="152" t="s">
        <v>384</v>
      </c>
      <c r="AE797" s="201" t="s">
        <v>498</v>
      </c>
    </row>
    <row r="798" spans="2:31" ht="14.25" customHeight="1" x14ac:dyDescent="0.2">
      <c r="B798" s="7">
        <f t="shared" si="58"/>
        <v>774</v>
      </c>
      <c r="C798" s="28">
        <v>8</v>
      </c>
      <c r="D798" s="28">
        <v>1</v>
      </c>
      <c r="E798" s="28">
        <v>3</v>
      </c>
      <c r="F798" s="96">
        <v>2020</v>
      </c>
      <c r="G798" s="31">
        <v>2029</v>
      </c>
      <c r="H798" s="28">
        <v>1</v>
      </c>
      <c r="I798" s="28">
        <v>0</v>
      </c>
      <c r="J798" s="28">
        <v>0</v>
      </c>
      <c r="K798" s="28">
        <v>0</v>
      </c>
      <c r="L798" s="28">
        <v>0</v>
      </c>
      <c r="M798" s="151">
        <v>369.94985294117646</v>
      </c>
      <c r="N798" s="151">
        <v>760</v>
      </c>
      <c r="O798" s="151">
        <v>760</v>
      </c>
      <c r="P798" s="95">
        <f t="array" ref="P798">ROUND(IF($F798&lt;='TaxCred&amp;Subs'!$C$49,(IF($C798=2,IF($M798&gt;=IFERROR(INDEX('TaxCred&amp;Subs'!$L$12:$L$47,MATCH(1,($C798&amp;$D798='TaxCred&amp;Subs'!$E$12:$E$47)*($F798='TaxCred&amp;Subs'!$C$12:$C$47),0)
),9999),IFERROR(INDEX('TaxCred&amp;Subs'!$N$12:$N$47,MATCH(1,($C798&amp;$D798='TaxCred&amp;Subs'!$E$12:$E$47)*($F798='TaxCred&amp;Subs'!$C$12:$C$47),0)
),0),0),(IF($M798&gt;=IFERROR(INDEX('TaxCred&amp;Subs'!$H$12:$H$47,MATCH(1,($C798&amp;$D798='TaxCred&amp;Subs'!$D$12:$D$47)*($F798='TaxCred&amp;Subs'!$C$12:$C$47),0)
),9999),IFERROR(INDEX('TaxCred&amp;Subs'!$N$12:$N$47,MATCH(1,($C798&amp;$D798='TaxCred&amp;Subs'!$D$12:$D$47)*($F798='TaxCred&amp;Subs'!$C$12:$C$47),0)
),0),0)))),0)+IF(AND($C798=2,VALUE(RIGHT($AD798,1))&gt;2),(N798-R798)*(IFERROR(INDEX('TaxCred&amp;Subs'!$J$66:$J$99,MATCH(1,($C798&amp;$D798='TaxCred&amp;Subs'!$E$66:$E$99)*($F798='TaxCred&amp;Subs'!$C$66:$C$99),0)),0)),IF(AND($C798=1,VALUE(RIGHT($AD798,1))&gt;2),(N798-R798)*(IFERROR(INDEX('TaxCred&amp;Subs'!$J$66:$J$99,MATCH(1,($C798&amp;$D798='TaxCred&amp;Subs'!$D$66:$D$99)*($F798='TaxCred&amp;Subs'!$C$66:$C$99),0)),0)),IF($C798&gt;2,(N798-R798)*(IFERROR(INDEX('TaxCred&amp;Subs'!$J$66:$J$99,MATCH(1,($C798&amp;$D798='TaxCred&amp;Subs'!$D$66:$D$99)*($F798='TaxCred&amp;Subs'!$C$66:$C$99),0)),0)),0))),0)</f>
        <v>0</v>
      </c>
      <c r="Q798" s="95">
        <f t="array" ref="Q798">ROUND(IF(AND($C798=2,VALUE(RIGHT($AD798,1))&gt;2),(O798-S798)*(IFERROR(INDEX('TaxCred&amp;Subs'!$J$66:$J$99,MATCH(1,($C798&amp;$D798='TaxCred&amp;Subs'!$E$66:$E$99)*($F798='TaxCred&amp;Subs'!$C$66:$C$99),0)),0)),IF(AND($C798=1,VALUE(RIGHT($AD798,1))&gt;2),(O798-S798)*(IFERROR(INDEX('TaxCred&amp;Subs'!$J$66:$J$99,MATCH(1,($C798&amp;$D798='TaxCred&amp;Subs'!$D$66:$D$99)*($F798='TaxCred&amp;Subs'!$C$66:$C$99),0)),0)),IF($C798&gt;2,(O798-S798)*(IFERROR(INDEX('TaxCred&amp;Subs'!$J$66:$J$99,MATCH(1,($C798&amp;$D798='TaxCred&amp;Subs'!$D$66:$D$99)*($F798='TaxCred&amp;Subs'!$C$66:$C$99),0)),0)),0))),0)</f>
        <v>0</v>
      </c>
      <c r="R798" s="172">
        <f t="array" ref="R798">ROUND(IF(IFERROR(VALUE(RIGHT($AD798,1)),0)&gt;2,IF($C798=8,N798*IFERROR(INDEX('TaxCred&amp;Subs'!$K$139:$S$151,MATCH($C798&amp;$D798&amp;LEFT($AD798,7),'TaxCred&amp;Subs'!$E$139:$E$151,0),MATCH($H798,'TaxCred&amp;Subs'!$K$137:$S$137,0)),0),IF($C798=2,N798*IFERROR(INDEX('TaxCred&amp;Subs'!$K$139:$S$151,MATCH($C798&amp;$D798,'TaxCred&amp;Subs'!$D$139:$D$151,0),MATCH($H798,'TaxCred&amp;Subs'!$K$137:$S$137,0)),0),N798*IFERROR(INDEX('TaxCred&amp;Subs'!$K$139:$S$151,MATCH($C798&amp;$D798,'TaxCred&amp;Subs'!$C$139:$C$151,0),MATCH($H798,'TaxCred&amp;Subs'!$K$137:$S$137,0)),0))),0),0)</f>
        <v>8</v>
      </c>
      <c r="S798" s="172">
        <f t="array" ref="S798">ROUND(IF(IFERROR(VALUE(RIGHT($AD798,1)),0)&gt;2,IF($C798=8,O798*IFERROR(INDEX('TaxCred&amp;Subs'!$K$139:$S$151,MATCH($C798&amp;$D798&amp;LEFT($AD798,7),'TaxCred&amp;Subs'!$E$139:$E$151,0),MATCH($H798,'TaxCred&amp;Subs'!$K$137:$S$137,0)),0),IF($C798=2,O798*IFERROR(INDEX('TaxCred&amp;Subs'!$K$139:$S$151,MATCH($C798&amp;$D798,'TaxCred&amp;Subs'!$D$139:$D$151,0),MATCH($H798,'TaxCred&amp;Subs'!$K$137:$S$137,0)),0),O798*IFERROR(INDEX('TaxCred&amp;Subs'!$K$139:$S$151,MATCH($C798&amp;$D798,'TaxCred&amp;Subs'!$C$139:$C$151,0),MATCH($H798,'TaxCred&amp;Subs'!$K$137:$S$137,0)),0))),0),0)</f>
        <v>8</v>
      </c>
      <c r="T798" s="95">
        <f t="shared" si="56"/>
        <v>0</v>
      </c>
      <c r="U798" s="95">
        <f t="shared" si="57"/>
        <v>0</v>
      </c>
      <c r="V798" s="28" t="s">
        <v>222</v>
      </c>
      <c r="W798" s="31">
        <v>2020</v>
      </c>
      <c r="X798" s="28">
        <v>1</v>
      </c>
      <c r="Y798" s="28">
        <v>0</v>
      </c>
      <c r="Z798" s="196">
        <v>-7.8530115035628234E-3</v>
      </c>
      <c r="AA798" s="196">
        <v>-0.12081556159327421</v>
      </c>
      <c r="AB798" s="28">
        <v>0</v>
      </c>
      <c r="AC798" s="28">
        <v>0</v>
      </c>
      <c r="AD798" s="28" t="s">
        <v>385</v>
      </c>
    </row>
    <row r="799" spans="2:31" ht="14.25" customHeight="1" x14ac:dyDescent="0.2">
      <c r="B799" s="7">
        <f t="shared" si="58"/>
        <v>775</v>
      </c>
      <c r="C799" s="28">
        <v>8</v>
      </c>
      <c r="D799" s="28">
        <v>1</v>
      </c>
      <c r="E799" s="28">
        <v>3</v>
      </c>
      <c r="F799" s="96">
        <v>2020</v>
      </c>
      <c r="G799" s="31">
        <v>2029</v>
      </c>
      <c r="H799" s="28">
        <v>2</v>
      </c>
      <c r="I799" s="28">
        <v>0</v>
      </c>
      <c r="J799" s="28">
        <v>0</v>
      </c>
      <c r="K799" s="28">
        <v>0</v>
      </c>
      <c r="L799" s="28">
        <v>0</v>
      </c>
      <c r="M799" s="151">
        <v>369.94985294117646</v>
      </c>
      <c r="N799" s="151">
        <v>760</v>
      </c>
      <c r="O799" s="151">
        <v>760</v>
      </c>
      <c r="P799" s="95">
        <f t="array" ref="P799">ROUND(IF($F799&lt;='TaxCred&amp;Subs'!$C$49,(IF($C799=2,IF($M799&gt;=IFERROR(INDEX('TaxCred&amp;Subs'!$L$12:$L$47,MATCH(1,($C799&amp;$D799='TaxCred&amp;Subs'!$E$12:$E$47)*($F799='TaxCred&amp;Subs'!$C$12:$C$47),0)
),9999),IFERROR(INDEX('TaxCred&amp;Subs'!$N$12:$N$47,MATCH(1,($C799&amp;$D799='TaxCred&amp;Subs'!$E$12:$E$47)*($F799='TaxCred&amp;Subs'!$C$12:$C$47),0)
),0),0),(IF($M799&gt;=IFERROR(INDEX('TaxCred&amp;Subs'!$H$12:$H$47,MATCH(1,($C799&amp;$D799='TaxCred&amp;Subs'!$D$12:$D$47)*($F799='TaxCred&amp;Subs'!$C$12:$C$47),0)
),9999),IFERROR(INDEX('TaxCred&amp;Subs'!$N$12:$N$47,MATCH(1,($C799&amp;$D799='TaxCred&amp;Subs'!$D$12:$D$47)*($F799='TaxCred&amp;Subs'!$C$12:$C$47),0)
),0),0)))),0)+IF(AND($C799=2,VALUE(RIGHT($AD799,1))&gt;2),(N799-R799)*(IFERROR(INDEX('TaxCred&amp;Subs'!$J$66:$J$99,MATCH(1,($C799&amp;$D799='TaxCred&amp;Subs'!$E$66:$E$99)*($F799='TaxCred&amp;Subs'!$C$66:$C$99),0)),0)),IF(AND($C799=1,VALUE(RIGHT($AD799,1))&gt;2),(N799-R799)*(IFERROR(INDEX('TaxCred&amp;Subs'!$J$66:$J$99,MATCH(1,($C799&amp;$D799='TaxCred&amp;Subs'!$D$66:$D$99)*($F799='TaxCred&amp;Subs'!$C$66:$C$99),0)),0)),IF($C799&gt;2,(N799-R799)*(IFERROR(INDEX('TaxCred&amp;Subs'!$J$66:$J$99,MATCH(1,($C799&amp;$D799='TaxCred&amp;Subs'!$D$66:$D$99)*($F799='TaxCred&amp;Subs'!$C$66:$C$99),0)),0)),0))),0)</f>
        <v>0</v>
      </c>
      <c r="Q799" s="95">
        <f t="array" ref="Q799">ROUND(IF(AND($C799=2,VALUE(RIGHT($AD799,1))&gt;2),(O799-S799)*(IFERROR(INDEX('TaxCred&amp;Subs'!$J$66:$J$99,MATCH(1,($C799&amp;$D799='TaxCred&amp;Subs'!$E$66:$E$99)*($F799='TaxCred&amp;Subs'!$C$66:$C$99),0)),0)),IF(AND($C799=1,VALUE(RIGHT($AD799,1))&gt;2),(O799-S799)*(IFERROR(INDEX('TaxCred&amp;Subs'!$J$66:$J$99,MATCH(1,($C799&amp;$D799='TaxCred&amp;Subs'!$D$66:$D$99)*($F799='TaxCred&amp;Subs'!$C$66:$C$99),0)),0)),IF($C799&gt;2,(O799-S799)*(IFERROR(INDEX('TaxCred&amp;Subs'!$J$66:$J$99,MATCH(1,($C799&amp;$D799='TaxCred&amp;Subs'!$D$66:$D$99)*($F799='TaxCred&amp;Subs'!$C$66:$C$99),0)),0)),0))),0)</f>
        <v>0</v>
      </c>
      <c r="R799" s="172">
        <f t="array" ref="R799">ROUND(IF(IFERROR(VALUE(RIGHT($AD799,1)),0)&gt;2,IF($C799=8,N799*IFERROR(INDEX('TaxCred&amp;Subs'!$K$139:$S$151,MATCH($C799&amp;$D799&amp;LEFT($AD799,7),'TaxCred&amp;Subs'!$E$139:$E$151,0),MATCH($H799,'TaxCred&amp;Subs'!$K$137:$S$137,0)),0),IF($C799=2,N799*IFERROR(INDEX('TaxCred&amp;Subs'!$K$139:$S$151,MATCH($C799&amp;$D799,'TaxCred&amp;Subs'!$D$139:$D$151,0),MATCH($H799,'TaxCred&amp;Subs'!$K$137:$S$137,0)),0),N799*IFERROR(INDEX('TaxCred&amp;Subs'!$K$139:$S$151,MATCH($C799&amp;$D799,'TaxCred&amp;Subs'!$C$139:$C$151,0),MATCH($H799,'TaxCred&amp;Subs'!$K$137:$S$137,0)),0))),0),0)</f>
        <v>39</v>
      </c>
      <c r="S799" s="172">
        <f t="array" ref="S799">ROUND(IF(IFERROR(VALUE(RIGHT($AD799,1)),0)&gt;2,IF($C799=8,O799*IFERROR(INDEX('TaxCred&amp;Subs'!$K$139:$S$151,MATCH($C799&amp;$D799&amp;LEFT($AD799,7),'TaxCred&amp;Subs'!$E$139:$E$151,0),MATCH($H799,'TaxCred&amp;Subs'!$K$137:$S$137,0)),0),IF($C799=2,O799*IFERROR(INDEX('TaxCred&amp;Subs'!$K$139:$S$151,MATCH($C799&amp;$D799,'TaxCred&amp;Subs'!$D$139:$D$151,0),MATCH($H799,'TaxCred&amp;Subs'!$K$137:$S$137,0)),0),O799*IFERROR(INDEX('TaxCred&amp;Subs'!$K$139:$S$151,MATCH($C799&amp;$D799,'TaxCred&amp;Subs'!$C$139:$C$151,0),MATCH($H799,'TaxCred&amp;Subs'!$K$137:$S$137,0)),0))),0),0)</f>
        <v>39</v>
      </c>
      <c r="T799" s="95">
        <f t="shared" si="56"/>
        <v>0</v>
      </c>
      <c r="U799" s="95">
        <f t="shared" si="57"/>
        <v>0</v>
      </c>
      <c r="V799" s="28" t="s">
        <v>222</v>
      </c>
      <c r="W799" s="31">
        <v>2020</v>
      </c>
      <c r="X799" s="28">
        <v>1</v>
      </c>
      <c r="Y799" s="28">
        <v>0</v>
      </c>
      <c r="Z799" s="196">
        <v>-7.8530115035628234E-3</v>
      </c>
      <c r="AA799" s="196">
        <v>-0.12081556159327421</v>
      </c>
      <c r="AB799" s="28">
        <v>0</v>
      </c>
      <c r="AC799" s="28">
        <v>0</v>
      </c>
      <c r="AD799" s="28" t="s">
        <v>385</v>
      </c>
    </row>
    <row r="800" spans="2:31" ht="14.25" customHeight="1" x14ac:dyDescent="0.2">
      <c r="B800" s="7">
        <f t="shared" si="58"/>
        <v>776</v>
      </c>
      <c r="C800" s="28">
        <v>8</v>
      </c>
      <c r="D800" s="28">
        <v>1</v>
      </c>
      <c r="E800" s="28">
        <v>3</v>
      </c>
      <c r="F800" s="96">
        <v>2020</v>
      </c>
      <c r="G800" s="31">
        <v>2029</v>
      </c>
      <c r="H800" s="28">
        <v>3</v>
      </c>
      <c r="I800" s="28">
        <v>0</v>
      </c>
      <c r="J800" s="28">
        <v>0</v>
      </c>
      <c r="K800" s="28">
        <v>0</v>
      </c>
      <c r="L800" s="28">
        <v>0</v>
      </c>
      <c r="M800" s="151">
        <v>369.94985294117646</v>
      </c>
      <c r="N800" s="151">
        <v>760</v>
      </c>
      <c r="O800" s="151">
        <v>760</v>
      </c>
      <c r="P800" s="95">
        <f t="array" ref="P800">ROUND(IF($F800&lt;='TaxCred&amp;Subs'!$C$49,(IF($C800=2,IF($M800&gt;=IFERROR(INDEX('TaxCred&amp;Subs'!$L$12:$L$47,MATCH(1,($C800&amp;$D800='TaxCred&amp;Subs'!$E$12:$E$47)*($F800='TaxCred&amp;Subs'!$C$12:$C$47),0)
),9999),IFERROR(INDEX('TaxCred&amp;Subs'!$N$12:$N$47,MATCH(1,($C800&amp;$D800='TaxCred&amp;Subs'!$E$12:$E$47)*($F800='TaxCred&amp;Subs'!$C$12:$C$47),0)
),0),0),(IF($M800&gt;=IFERROR(INDEX('TaxCred&amp;Subs'!$H$12:$H$47,MATCH(1,($C800&amp;$D800='TaxCred&amp;Subs'!$D$12:$D$47)*($F800='TaxCred&amp;Subs'!$C$12:$C$47),0)
),9999),IFERROR(INDEX('TaxCred&amp;Subs'!$N$12:$N$47,MATCH(1,($C800&amp;$D800='TaxCred&amp;Subs'!$D$12:$D$47)*($F800='TaxCred&amp;Subs'!$C$12:$C$47),0)
),0),0)))),0)+IF(AND($C800=2,VALUE(RIGHT($AD800,1))&gt;2),(N800-R800)*(IFERROR(INDEX('TaxCred&amp;Subs'!$J$66:$J$99,MATCH(1,($C800&amp;$D800='TaxCred&amp;Subs'!$E$66:$E$99)*($F800='TaxCred&amp;Subs'!$C$66:$C$99),0)),0)),IF(AND($C800=1,VALUE(RIGHT($AD800,1))&gt;2),(N800-R800)*(IFERROR(INDEX('TaxCred&amp;Subs'!$J$66:$J$99,MATCH(1,($C800&amp;$D800='TaxCred&amp;Subs'!$D$66:$D$99)*($F800='TaxCred&amp;Subs'!$C$66:$C$99),0)),0)),IF($C800&gt;2,(N800-R800)*(IFERROR(INDEX('TaxCred&amp;Subs'!$J$66:$J$99,MATCH(1,($C800&amp;$D800='TaxCred&amp;Subs'!$D$66:$D$99)*($F800='TaxCred&amp;Subs'!$C$66:$C$99),0)),0)),0))),0)</f>
        <v>0</v>
      </c>
      <c r="Q800" s="95">
        <f t="array" ref="Q800">ROUND(IF(AND($C800=2,VALUE(RIGHT($AD800,1))&gt;2),(O800-S800)*(IFERROR(INDEX('TaxCred&amp;Subs'!$J$66:$J$99,MATCH(1,($C800&amp;$D800='TaxCred&amp;Subs'!$E$66:$E$99)*($F800='TaxCred&amp;Subs'!$C$66:$C$99),0)),0)),IF(AND($C800=1,VALUE(RIGHT($AD800,1))&gt;2),(O800-S800)*(IFERROR(INDEX('TaxCred&amp;Subs'!$J$66:$J$99,MATCH(1,($C800&amp;$D800='TaxCred&amp;Subs'!$D$66:$D$99)*($F800='TaxCred&amp;Subs'!$C$66:$C$99),0)),0)),IF($C800&gt;2,(O800-S800)*(IFERROR(INDEX('TaxCred&amp;Subs'!$J$66:$J$99,MATCH(1,($C800&amp;$D800='TaxCred&amp;Subs'!$D$66:$D$99)*($F800='TaxCred&amp;Subs'!$C$66:$C$99),0)),0)),0))),0)</f>
        <v>0</v>
      </c>
      <c r="R800" s="172">
        <f t="array" ref="R800">ROUND(IF(IFERROR(VALUE(RIGHT($AD800,1)),0)&gt;2,IF($C800=8,N800*IFERROR(INDEX('TaxCred&amp;Subs'!$K$139:$S$151,MATCH($C800&amp;$D800&amp;LEFT($AD800,7),'TaxCred&amp;Subs'!$E$139:$E$151,0),MATCH($H800,'TaxCred&amp;Subs'!$K$137:$S$137,0)),0),IF($C800=2,N800*IFERROR(INDEX('TaxCred&amp;Subs'!$K$139:$S$151,MATCH($C800&amp;$D800,'TaxCred&amp;Subs'!$D$139:$D$151,0),MATCH($H800,'TaxCred&amp;Subs'!$K$137:$S$137,0)),0),N800*IFERROR(INDEX('TaxCred&amp;Subs'!$K$139:$S$151,MATCH($C800&amp;$D800,'TaxCred&amp;Subs'!$C$139:$C$151,0),MATCH($H800,'TaxCred&amp;Subs'!$K$137:$S$137,0)),0))),0),0)</f>
        <v>34</v>
      </c>
      <c r="S800" s="172">
        <f t="array" ref="S800">ROUND(IF(IFERROR(VALUE(RIGHT($AD800,1)),0)&gt;2,IF($C800=8,O800*IFERROR(INDEX('TaxCred&amp;Subs'!$K$139:$S$151,MATCH($C800&amp;$D800&amp;LEFT($AD800,7),'TaxCred&amp;Subs'!$E$139:$E$151,0),MATCH($H800,'TaxCred&amp;Subs'!$K$137:$S$137,0)),0),IF($C800=2,O800*IFERROR(INDEX('TaxCred&amp;Subs'!$K$139:$S$151,MATCH($C800&amp;$D800,'TaxCred&amp;Subs'!$D$139:$D$151,0),MATCH($H800,'TaxCred&amp;Subs'!$K$137:$S$137,0)),0),O800*IFERROR(INDEX('TaxCred&amp;Subs'!$K$139:$S$151,MATCH($C800&amp;$D800,'TaxCred&amp;Subs'!$C$139:$C$151,0),MATCH($H800,'TaxCred&amp;Subs'!$K$137:$S$137,0)),0))),0),0)</f>
        <v>34</v>
      </c>
      <c r="T800" s="95">
        <f t="shared" si="56"/>
        <v>0</v>
      </c>
      <c r="U800" s="95">
        <f t="shared" si="57"/>
        <v>0</v>
      </c>
      <c r="V800" s="28" t="s">
        <v>222</v>
      </c>
      <c r="W800" s="31">
        <v>2020</v>
      </c>
      <c r="X800" s="28">
        <v>1</v>
      </c>
      <c r="Y800" s="28">
        <v>0</v>
      </c>
      <c r="Z800" s="196">
        <v>-7.8530115035628234E-3</v>
      </c>
      <c r="AA800" s="196">
        <v>-0.12081556159327421</v>
      </c>
      <c r="AB800" s="28">
        <v>0</v>
      </c>
      <c r="AC800" s="28">
        <v>0</v>
      </c>
      <c r="AD800" s="28" t="s">
        <v>385</v>
      </c>
    </row>
    <row r="801" spans="2:31" ht="14.25" customHeight="1" x14ac:dyDescent="0.2">
      <c r="B801" s="7">
        <f t="shared" si="58"/>
        <v>777</v>
      </c>
      <c r="C801" s="28">
        <v>8</v>
      </c>
      <c r="D801" s="28">
        <v>1</v>
      </c>
      <c r="E801" s="28">
        <v>3</v>
      </c>
      <c r="F801" s="96">
        <v>2020</v>
      </c>
      <c r="G801" s="31">
        <v>2029</v>
      </c>
      <c r="H801" s="28">
        <v>4</v>
      </c>
      <c r="I801" s="28">
        <v>0</v>
      </c>
      <c r="J801" s="28">
        <v>0</v>
      </c>
      <c r="K801" s="28">
        <v>0</v>
      </c>
      <c r="L801" s="28">
        <v>0</v>
      </c>
      <c r="M801" s="151">
        <v>369.94985294117646</v>
      </c>
      <c r="N801" s="151">
        <v>760</v>
      </c>
      <c r="O801" s="151">
        <v>760</v>
      </c>
      <c r="P801" s="95">
        <f t="array" ref="P801">ROUND(IF($F801&lt;='TaxCred&amp;Subs'!$C$49,(IF($C801=2,IF($M801&gt;=IFERROR(INDEX('TaxCred&amp;Subs'!$L$12:$L$47,MATCH(1,($C801&amp;$D801='TaxCred&amp;Subs'!$E$12:$E$47)*($F801='TaxCred&amp;Subs'!$C$12:$C$47),0)
),9999),IFERROR(INDEX('TaxCred&amp;Subs'!$N$12:$N$47,MATCH(1,($C801&amp;$D801='TaxCred&amp;Subs'!$E$12:$E$47)*($F801='TaxCred&amp;Subs'!$C$12:$C$47),0)
),0),0),(IF($M801&gt;=IFERROR(INDEX('TaxCred&amp;Subs'!$H$12:$H$47,MATCH(1,($C801&amp;$D801='TaxCred&amp;Subs'!$D$12:$D$47)*($F801='TaxCred&amp;Subs'!$C$12:$C$47),0)
),9999),IFERROR(INDEX('TaxCred&amp;Subs'!$N$12:$N$47,MATCH(1,($C801&amp;$D801='TaxCred&amp;Subs'!$D$12:$D$47)*($F801='TaxCred&amp;Subs'!$C$12:$C$47),0)
),0),0)))),0)+IF(AND($C801=2,VALUE(RIGHT($AD801,1))&gt;2),(N801-R801)*(IFERROR(INDEX('TaxCred&amp;Subs'!$J$66:$J$99,MATCH(1,($C801&amp;$D801='TaxCred&amp;Subs'!$E$66:$E$99)*($F801='TaxCred&amp;Subs'!$C$66:$C$99),0)),0)),IF(AND($C801=1,VALUE(RIGHT($AD801,1))&gt;2),(N801-R801)*(IFERROR(INDEX('TaxCred&amp;Subs'!$J$66:$J$99,MATCH(1,($C801&amp;$D801='TaxCred&amp;Subs'!$D$66:$D$99)*($F801='TaxCred&amp;Subs'!$C$66:$C$99),0)),0)),IF($C801&gt;2,(N801-R801)*(IFERROR(INDEX('TaxCred&amp;Subs'!$J$66:$J$99,MATCH(1,($C801&amp;$D801='TaxCred&amp;Subs'!$D$66:$D$99)*($F801='TaxCred&amp;Subs'!$C$66:$C$99),0)),0)),0))),0)</f>
        <v>0</v>
      </c>
      <c r="Q801" s="95">
        <f t="array" ref="Q801">ROUND(IF(AND($C801=2,VALUE(RIGHT($AD801,1))&gt;2),(O801-S801)*(IFERROR(INDEX('TaxCred&amp;Subs'!$J$66:$J$99,MATCH(1,($C801&amp;$D801='TaxCred&amp;Subs'!$E$66:$E$99)*($F801='TaxCred&amp;Subs'!$C$66:$C$99),0)),0)),IF(AND($C801=1,VALUE(RIGHT($AD801,1))&gt;2),(O801-S801)*(IFERROR(INDEX('TaxCred&amp;Subs'!$J$66:$J$99,MATCH(1,($C801&amp;$D801='TaxCred&amp;Subs'!$D$66:$D$99)*($F801='TaxCred&amp;Subs'!$C$66:$C$99),0)),0)),IF($C801&gt;2,(O801-S801)*(IFERROR(INDEX('TaxCred&amp;Subs'!$J$66:$J$99,MATCH(1,($C801&amp;$D801='TaxCred&amp;Subs'!$D$66:$D$99)*($F801='TaxCred&amp;Subs'!$C$66:$C$99),0)),0)),0))),0)</f>
        <v>0</v>
      </c>
      <c r="R801" s="172">
        <f t="array" ref="R801">ROUND(IF(IFERROR(VALUE(RIGHT($AD801,1)),0)&gt;2,IF($C801=8,N801*IFERROR(INDEX('TaxCred&amp;Subs'!$K$139:$S$151,MATCH($C801&amp;$D801&amp;LEFT($AD801,7),'TaxCred&amp;Subs'!$E$139:$E$151,0),MATCH($H801,'TaxCred&amp;Subs'!$K$137:$S$137,0)),0),IF($C801=2,N801*IFERROR(INDEX('TaxCred&amp;Subs'!$K$139:$S$151,MATCH($C801&amp;$D801,'TaxCred&amp;Subs'!$D$139:$D$151,0),MATCH($H801,'TaxCred&amp;Subs'!$K$137:$S$137,0)),0),N801*IFERROR(INDEX('TaxCred&amp;Subs'!$K$139:$S$151,MATCH($C801&amp;$D801,'TaxCred&amp;Subs'!$C$139:$C$151,0),MATCH($H801,'TaxCred&amp;Subs'!$K$137:$S$137,0)),0))),0),0)</f>
        <v>21</v>
      </c>
      <c r="S801" s="172">
        <f t="array" ref="S801">ROUND(IF(IFERROR(VALUE(RIGHT($AD801,1)),0)&gt;2,IF($C801=8,O801*IFERROR(INDEX('TaxCred&amp;Subs'!$K$139:$S$151,MATCH($C801&amp;$D801&amp;LEFT($AD801,7),'TaxCred&amp;Subs'!$E$139:$E$151,0),MATCH($H801,'TaxCred&amp;Subs'!$K$137:$S$137,0)),0),IF($C801=2,O801*IFERROR(INDEX('TaxCred&amp;Subs'!$K$139:$S$151,MATCH($C801&amp;$D801,'TaxCred&amp;Subs'!$D$139:$D$151,0),MATCH($H801,'TaxCred&amp;Subs'!$K$137:$S$137,0)),0),O801*IFERROR(INDEX('TaxCred&amp;Subs'!$K$139:$S$151,MATCH($C801&amp;$D801,'TaxCred&amp;Subs'!$C$139:$C$151,0),MATCH($H801,'TaxCred&amp;Subs'!$K$137:$S$137,0)),0))),0),0)</f>
        <v>21</v>
      </c>
      <c r="T801" s="95">
        <f t="shared" si="56"/>
        <v>0</v>
      </c>
      <c r="U801" s="95">
        <f t="shared" si="57"/>
        <v>0</v>
      </c>
      <c r="V801" s="28" t="s">
        <v>222</v>
      </c>
      <c r="W801" s="31">
        <v>2020</v>
      </c>
      <c r="X801" s="28">
        <v>1</v>
      </c>
      <c r="Y801" s="28">
        <v>0</v>
      </c>
      <c r="Z801" s="196">
        <v>-7.8530115035628234E-3</v>
      </c>
      <c r="AA801" s="196">
        <v>-0.12081556159327421</v>
      </c>
      <c r="AB801" s="28">
        <v>0</v>
      </c>
      <c r="AC801" s="28">
        <v>0</v>
      </c>
      <c r="AD801" s="28" t="s">
        <v>385</v>
      </c>
    </row>
    <row r="802" spans="2:31" ht="14.25" customHeight="1" x14ac:dyDescent="0.2">
      <c r="B802" s="7">
        <f t="shared" si="58"/>
        <v>778</v>
      </c>
      <c r="C802" s="28">
        <v>8</v>
      </c>
      <c r="D802" s="28">
        <v>1</v>
      </c>
      <c r="E802" s="28">
        <v>3</v>
      </c>
      <c r="F802" s="96">
        <v>2020</v>
      </c>
      <c r="G802" s="31">
        <v>2029</v>
      </c>
      <c r="H802" s="28">
        <v>5</v>
      </c>
      <c r="I802" s="28">
        <v>0</v>
      </c>
      <c r="J802" s="28">
        <v>0</v>
      </c>
      <c r="K802" s="28">
        <v>0</v>
      </c>
      <c r="L802" s="28">
        <v>0</v>
      </c>
      <c r="M802" s="151">
        <v>369.94985294117646</v>
      </c>
      <c r="N802" s="151">
        <v>760</v>
      </c>
      <c r="O802" s="151">
        <v>760</v>
      </c>
      <c r="P802" s="95">
        <f t="array" ref="P802">ROUND(IF($F802&lt;='TaxCred&amp;Subs'!$C$49,(IF($C802=2,IF($M802&gt;=IFERROR(INDEX('TaxCred&amp;Subs'!$L$12:$L$47,MATCH(1,($C802&amp;$D802='TaxCred&amp;Subs'!$E$12:$E$47)*($F802='TaxCred&amp;Subs'!$C$12:$C$47),0)
),9999),IFERROR(INDEX('TaxCred&amp;Subs'!$N$12:$N$47,MATCH(1,($C802&amp;$D802='TaxCred&amp;Subs'!$E$12:$E$47)*($F802='TaxCred&amp;Subs'!$C$12:$C$47),0)
),0),0),(IF($M802&gt;=IFERROR(INDEX('TaxCred&amp;Subs'!$H$12:$H$47,MATCH(1,($C802&amp;$D802='TaxCred&amp;Subs'!$D$12:$D$47)*($F802='TaxCred&amp;Subs'!$C$12:$C$47),0)
),9999),IFERROR(INDEX('TaxCred&amp;Subs'!$N$12:$N$47,MATCH(1,($C802&amp;$D802='TaxCred&amp;Subs'!$D$12:$D$47)*($F802='TaxCred&amp;Subs'!$C$12:$C$47),0)
),0),0)))),0)+IF(AND($C802=2,VALUE(RIGHT($AD802,1))&gt;2),(N802-R802)*(IFERROR(INDEX('TaxCred&amp;Subs'!$J$66:$J$99,MATCH(1,($C802&amp;$D802='TaxCred&amp;Subs'!$E$66:$E$99)*($F802='TaxCred&amp;Subs'!$C$66:$C$99),0)),0)),IF(AND($C802=1,VALUE(RIGHT($AD802,1))&gt;2),(N802-R802)*(IFERROR(INDEX('TaxCred&amp;Subs'!$J$66:$J$99,MATCH(1,($C802&amp;$D802='TaxCred&amp;Subs'!$D$66:$D$99)*($F802='TaxCred&amp;Subs'!$C$66:$C$99),0)),0)),IF($C802&gt;2,(N802-R802)*(IFERROR(INDEX('TaxCred&amp;Subs'!$J$66:$J$99,MATCH(1,($C802&amp;$D802='TaxCred&amp;Subs'!$D$66:$D$99)*($F802='TaxCred&amp;Subs'!$C$66:$C$99),0)),0)),0))),0)</f>
        <v>0</v>
      </c>
      <c r="Q802" s="95">
        <f t="array" ref="Q802">ROUND(IF(AND($C802=2,VALUE(RIGHT($AD802,1))&gt;2),(O802-S802)*(IFERROR(INDEX('TaxCred&amp;Subs'!$J$66:$J$99,MATCH(1,($C802&amp;$D802='TaxCred&amp;Subs'!$E$66:$E$99)*($F802='TaxCred&amp;Subs'!$C$66:$C$99),0)),0)),IF(AND($C802=1,VALUE(RIGHT($AD802,1))&gt;2),(O802-S802)*(IFERROR(INDEX('TaxCred&amp;Subs'!$J$66:$J$99,MATCH(1,($C802&amp;$D802='TaxCred&amp;Subs'!$D$66:$D$99)*($F802='TaxCred&amp;Subs'!$C$66:$C$99),0)),0)),IF($C802&gt;2,(O802-S802)*(IFERROR(INDEX('TaxCred&amp;Subs'!$J$66:$J$99,MATCH(1,($C802&amp;$D802='TaxCred&amp;Subs'!$D$66:$D$99)*($F802='TaxCred&amp;Subs'!$C$66:$C$99),0)),0)),0))),0)</f>
        <v>0</v>
      </c>
      <c r="R802" s="172">
        <f t="array" ref="R802">ROUND(IF(IFERROR(VALUE(RIGHT($AD802,1)),0)&gt;2,IF($C802=8,N802*IFERROR(INDEX('TaxCred&amp;Subs'!$K$139:$S$151,MATCH($C802&amp;$D802&amp;LEFT($AD802,7),'TaxCred&amp;Subs'!$E$139:$E$151,0),MATCH($H802,'TaxCred&amp;Subs'!$K$137:$S$137,0)),0),IF($C802=2,N802*IFERROR(INDEX('TaxCred&amp;Subs'!$K$139:$S$151,MATCH($C802&amp;$D802,'TaxCred&amp;Subs'!$D$139:$D$151,0),MATCH($H802,'TaxCred&amp;Subs'!$K$137:$S$137,0)),0),N802*IFERROR(INDEX('TaxCred&amp;Subs'!$K$139:$S$151,MATCH($C802&amp;$D802,'TaxCred&amp;Subs'!$C$139:$C$151,0),MATCH($H802,'TaxCred&amp;Subs'!$K$137:$S$137,0)),0))),0),0)</f>
        <v>44</v>
      </c>
      <c r="S802" s="172">
        <f t="array" ref="S802">ROUND(IF(IFERROR(VALUE(RIGHT($AD802,1)),0)&gt;2,IF($C802=8,O802*IFERROR(INDEX('TaxCred&amp;Subs'!$K$139:$S$151,MATCH($C802&amp;$D802&amp;LEFT($AD802,7),'TaxCred&amp;Subs'!$E$139:$E$151,0),MATCH($H802,'TaxCred&amp;Subs'!$K$137:$S$137,0)),0),IF($C802=2,O802*IFERROR(INDEX('TaxCred&amp;Subs'!$K$139:$S$151,MATCH($C802&amp;$D802,'TaxCred&amp;Subs'!$D$139:$D$151,0),MATCH($H802,'TaxCred&amp;Subs'!$K$137:$S$137,0)),0),O802*IFERROR(INDEX('TaxCred&amp;Subs'!$K$139:$S$151,MATCH($C802&amp;$D802,'TaxCred&amp;Subs'!$C$139:$C$151,0),MATCH($H802,'TaxCred&amp;Subs'!$K$137:$S$137,0)),0))),0),0)</f>
        <v>44</v>
      </c>
      <c r="T802" s="95">
        <f t="shared" si="56"/>
        <v>0</v>
      </c>
      <c r="U802" s="95">
        <f t="shared" si="57"/>
        <v>0</v>
      </c>
      <c r="V802" s="28" t="s">
        <v>222</v>
      </c>
      <c r="W802" s="31">
        <v>2020</v>
      </c>
      <c r="X802" s="28">
        <v>1</v>
      </c>
      <c r="Y802" s="28">
        <v>0</v>
      </c>
      <c r="Z802" s="196">
        <v>-7.8530115035628234E-3</v>
      </c>
      <c r="AA802" s="196">
        <v>-0.12081556159327421</v>
      </c>
      <c r="AB802" s="28">
        <v>0</v>
      </c>
      <c r="AC802" s="28">
        <v>0</v>
      </c>
      <c r="AD802" s="28" t="s">
        <v>385</v>
      </c>
    </row>
    <row r="803" spans="2:31" ht="14.25" customHeight="1" x14ac:dyDescent="0.2">
      <c r="B803" s="7">
        <f t="shared" si="58"/>
        <v>779</v>
      </c>
      <c r="C803" s="28">
        <v>8</v>
      </c>
      <c r="D803" s="28">
        <v>1</v>
      </c>
      <c r="E803" s="28">
        <v>3</v>
      </c>
      <c r="F803" s="96">
        <v>2020</v>
      </c>
      <c r="G803" s="31">
        <v>2029</v>
      </c>
      <c r="H803" s="28">
        <v>6</v>
      </c>
      <c r="I803" s="28">
        <v>0</v>
      </c>
      <c r="J803" s="28">
        <v>0</v>
      </c>
      <c r="K803" s="28">
        <v>0</v>
      </c>
      <c r="L803" s="28">
        <v>0</v>
      </c>
      <c r="M803" s="151">
        <v>369.94985294117646</v>
      </c>
      <c r="N803" s="151">
        <v>760</v>
      </c>
      <c r="O803" s="151">
        <v>760</v>
      </c>
      <c r="P803" s="95">
        <f t="array" ref="P803">ROUND(IF($F803&lt;='TaxCred&amp;Subs'!$C$49,(IF($C803=2,IF($M803&gt;=IFERROR(INDEX('TaxCred&amp;Subs'!$L$12:$L$47,MATCH(1,($C803&amp;$D803='TaxCred&amp;Subs'!$E$12:$E$47)*($F803='TaxCred&amp;Subs'!$C$12:$C$47),0)
),9999),IFERROR(INDEX('TaxCred&amp;Subs'!$N$12:$N$47,MATCH(1,($C803&amp;$D803='TaxCred&amp;Subs'!$E$12:$E$47)*($F803='TaxCred&amp;Subs'!$C$12:$C$47),0)
),0),0),(IF($M803&gt;=IFERROR(INDEX('TaxCred&amp;Subs'!$H$12:$H$47,MATCH(1,($C803&amp;$D803='TaxCred&amp;Subs'!$D$12:$D$47)*($F803='TaxCred&amp;Subs'!$C$12:$C$47),0)
),9999),IFERROR(INDEX('TaxCred&amp;Subs'!$N$12:$N$47,MATCH(1,($C803&amp;$D803='TaxCred&amp;Subs'!$D$12:$D$47)*($F803='TaxCred&amp;Subs'!$C$12:$C$47),0)
),0),0)))),0)+IF(AND($C803=2,VALUE(RIGHT($AD803,1))&gt;2),(N803-R803)*(IFERROR(INDEX('TaxCred&amp;Subs'!$J$66:$J$99,MATCH(1,($C803&amp;$D803='TaxCred&amp;Subs'!$E$66:$E$99)*($F803='TaxCred&amp;Subs'!$C$66:$C$99),0)),0)),IF(AND($C803=1,VALUE(RIGHT($AD803,1))&gt;2),(N803-R803)*(IFERROR(INDEX('TaxCred&amp;Subs'!$J$66:$J$99,MATCH(1,($C803&amp;$D803='TaxCred&amp;Subs'!$D$66:$D$99)*($F803='TaxCred&amp;Subs'!$C$66:$C$99),0)),0)),IF($C803&gt;2,(N803-R803)*(IFERROR(INDEX('TaxCred&amp;Subs'!$J$66:$J$99,MATCH(1,($C803&amp;$D803='TaxCred&amp;Subs'!$D$66:$D$99)*($F803='TaxCred&amp;Subs'!$C$66:$C$99),0)),0)),0))),0)</f>
        <v>0</v>
      </c>
      <c r="Q803" s="95">
        <f t="array" ref="Q803">ROUND(IF(AND($C803=2,VALUE(RIGHT($AD803,1))&gt;2),(O803-S803)*(IFERROR(INDEX('TaxCred&amp;Subs'!$J$66:$J$99,MATCH(1,($C803&amp;$D803='TaxCred&amp;Subs'!$E$66:$E$99)*($F803='TaxCred&amp;Subs'!$C$66:$C$99),0)),0)),IF(AND($C803=1,VALUE(RIGHT($AD803,1))&gt;2),(O803-S803)*(IFERROR(INDEX('TaxCred&amp;Subs'!$J$66:$J$99,MATCH(1,($C803&amp;$D803='TaxCred&amp;Subs'!$D$66:$D$99)*($F803='TaxCred&amp;Subs'!$C$66:$C$99),0)),0)),IF($C803&gt;2,(O803-S803)*(IFERROR(INDEX('TaxCred&amp;Subs'!$J$66:$J$99,MATCH(1,($C803&amp;$D803='TaxCred&amp;Subs'!$D$66:$D$99)*($F803='TaxCred&amp;Subs'!$C$66:$C$99),0)),0)),0))),0)</f>
        <v>0</v>
      </c>
      <c r="R803" s="172">
        <f t="array" ref="R803">ROUND(IF(IFERROR(VALUE(RIGHT($AD803,1)),0)&gt;2,IF($C803=8,N803*IFERROR(INDEX('TaxCred&amp;Subs'!$K$139:$S$151,MATCH($C803&amp;$D803&amp;LEFT($AD803,7),'TaxCred&amp;Subs'!$E$139:$E$151,0),MATCH($H803,'TaxCred&amp;Subs'!$K$137:$S$137,0)),0),IF($C803=2,N803*IFERROR(INDEX('TaxCred&amp;Subs'!$K$139:$S$151,MATCH($C803&amp;$D803,'TaxCred&amp;Subs'!$D$139:$D$151,0),MATCH($H803,'TaxCred&amp;Subs'!$K$137:$S$137,0)),0),N803*IFERROR(INDEX('TaxCred&amp;Subs'!$K$139:$S$151,MATCH($C803&amp;$D803,'TaxCred&amp;Subs'!$C$139:$C$151,0),MATCH($H803,'TaxCred&amp;Subs'!$K$137:$S$137,0)),0))),0),0)</f>
        <v>63</v>
      </c>
      <c r="S803" s="172">
        <f t="array" ref="S803">ROUND(IF(IFERROR(VALUE(RIGHT($AD803,1)),0)&gt;2,IF($C803=8,O803*IFERROR(INDEX('TaxCred&amp;Subs'!$K$139:$S$151,MATCH($C803&amp;$D803&amp;LEFT($AD803,7),'TaxCred&amp;Subs'!$E$139:$E$151,0),MATCH($H803,'TaxCred&amp;Subs'!$K$137:$S$137,0)),0),IF($C803=2,O803*IFERROR(INDEX('TaxCred&amp;Subs'!$K$139:$S$151,MATCH($C803&amp;$D803,'TaxCred&amp;Subs'!$D$139:$D$151,0),MATCH($H803,'TaxCred&amp;Subs'!$K$137:$S$137,0)),0),O803*IFERROR(INDEX('TaxCred&amp;Subs'!$K$139:$S$151,MATCH($C803&amp;$D803,'TaxCred&amp;Subs'!$C$139:$C$151,0),MATCH($H803,'TaxCred&amp;Subs'!$K$137:$S$137,0)),0))),0),0)</f>
        <v>63</v>
      </c>
      <c r="T803" s="95">
        <f t="shared" si="56"/>
        <v>0</v>
      </c>
      <c r="U803" s="95">
        <f t="shared" si="57"/>
        <v>0</v>
      </c>
      <c r="V803" s="28" t="s">
        <v>222</v>
      </c>
      <c r="W803" s="31">
        <v>2020</v>
      </c>
      <c r="X803" s="28">
        <v>1</v>
      </c>
      <c r="Y803" s="28">
        <v>0</v>
      </c>
      <c r="Z803" s="196">
        <v>-7.8530115035628234E-3</v>
      </c>
      <c r="AA803" s="196">
        <v>-0.12081556159327421</v>
      </c>
      <c r="AB803" s="28">
        <v>0</v>
      </c>
      <c r="AC803" s="28">
        <v>0</v>
      </c>
      <c r="AD803" s="28" t="s">
        <v>385</v>
      </c>
    </row>
    <row r="804" spans="2:31" ht="14.25" customHeight="1" x14ac:dyDescent="0.2">
      <c r="B804" s="7">
        <f t="shared" si="58"/>
        <v>780</v>
      </c>
      <c r="C804" s="28">
        <v>8</v>
      </c>
      <c r="D804" s="28">
        <v>1</v>
      </c>
      <c r="E804" s="28">
        <v>3</v>
      </c>
      <c r="F804" s="96">
        <v>2020</v>
      </c>
      <c r="G804" s="31">
        <v>2029</v>
      </c>
      <c r="H804" s="28">
        <v>7</v>
      </c>
      <c r="I804" s="28">
        <v>0</v>
      </c>
      <c r="J804" s="28">
        <v>0</v>
      </c>
      <c r="K804" s="28">
        <v>0</v>
      </c>
      <c r="L804" s="28">
        <v>0</v>
      </c>
      <c r="M804" s="151">
        <v>369.94985294117646</v>
      </c>
      <c r="N804" s="151">
        <v>760</v>
      </c>
      <c r="O804" s="151">
        <v>760</v>
      </c>
      <c r="P804" s="95">
        <f t="array" ref="P804">ROUND(IF($F804&lt;='TaxCred&amp;Subs'!$C$49,(IF($C804=2,IF($M804&gt;=IFERROR(INDEX('TaxCred&amp;Subs'!$L$12:$L$47,MATCH(1,($C804&amp;$D804='TaxCred&amp;Subs'!$E$12:$E$47)*($F804='TaxCred&amp;Subs'!$C$12:$C$47),0)
),9999),IFERROR(INDEX('TaxCred&amp;Subs'!$N$12:$N$47,MATCH(1,($C804&amp;$D804='TaxCred&amp;Subs'!$E$12:$E$47)*($F804='TaxCred&amp;Subs'!$C$12:$C$47),0)
),0),0),(IF($M804&gt;=IFERROR(INDEX('TaxCred&amp;Subs'!$H$12:$H$47,MATCH(1,($C804&amp;$D804='TaxCred&amp;Subs'!$D$12:$D$47)*($F804='TaxCred&amp;Subs'!$C$12:$C$47),0)
),9999),IFERROR(INDEX('TaxCred&amp;Subs'!$N$12:$N$47,MATCH(1,($C804&amp;$D804='TaxCred&amp;Subs'!$D$12:$D$47)*($F804='TaxCred&amp;Subs'!$C$12:$C$47),0)
),0),0)))),0)+IF(AND($C804=2,VALUE(RIGHT($AD804,1))&gt;2),(N804-R804)*(IFERROR(INDEX('TaxCred&amp;Subs'!$J$66:$J$99,MATCH(1,($C804&amp;$D804='TaxCred&amp;Subs'!$E$66:$E$99)*($F804='TaxCred&amp;Subs'!$C$66:$C$99),0)),0)),IF(AND($C804=1,VALUE(RIGHT($AD804,1))&gt;2),(N804-R804)*(IFERROR(INDEX('TaxCred&amp;Subs'!$J$66:$J$99,MATCH(1,($C804&amp;$D804='TaxCred&amp;Subs'!$D$66:$D$99)*($F804='TaxCred&amp;Subs'!$C$66:$C$99),0)),0)),IF($C804&gt;2,(N804-R804)*(IFERROR(INDEX('TaxCred&amp;Subs'!$J$66:$J$99,MATCH(1,($C804&amp;$D804='TaxCred&amp;Subs'!$D$66:$D$99)*($F804='TaxCred&amp;Subs'!$C$66:$C$99),0)),0)),0))),0)</f>
        <v>0</v>
      </c>
      <c r="Q804" s="95">
        <f t="array" ref="Q804">ROUND(IF(AND($C804=2,VALUE(RIGHT($AD804,1))&gt;2),(O804-S804)*(IFERROR(INDEX('TaxCred&amp;Subs'!$J$66:$J$99,MATCH(1,($C804&amp;$D804='TaxCred&amp;Subs'!$E$66:$E$99)*($F804='TaxCred&amp;Subs'!$C$66:$C$99),0)),0)),IF(AND($C804=1,VALUE(RIGHT($AD804,1))&gt;2),(O804-S804)*(IFERROR(INDEX('TaxCred&amp;Subs'!$J$66:$J$99,MATCH(1,($C804&amp;$D804='TaxCred&amp;Subs'!$D$66:$D$99)*($F804='TaxCred&amp;Subs'!$C$66:$C$99),0)),0)),IF($C804&gt;2,(O804-S804)*(IFERROR(INDEX('TaxCred&amp;Subs'!$J$66:$J$99,MATCH(1,($C804&amp;$D804='TaxCred&amp;Subs'!$D$66:$D$99)*($F804='TaxCred&amp;Subs'!$C$66:$C$99),0)),0)),0))),0)</f>
        <v>0</v>
      </c>
      <c r="R804" s="172">
        <f t="array" ref="R804">ROUND(IF(IFERROR(VALUE(RIGHT($AD804,1)),0)&gt;2,IF($C804=8,N804*IFERROR(INDEX('TaxCred&amp;Subs'!$K$139:$S$151,MATCH($C804&amp;$D804&amp;LEFT($AD804,7),'TaxCred&amp;Subs'!$E$139:$E$151,0),MATCH($H804,'TaxCred&amp;Subs'!$K$137:$S$137,0)),0),IF($C804=2,N804*IFERROR(INDEX('TaxCred&amp;Subs'!$K$139:$S$151,MATCH($C804&amp;$D804,'TaxCred&amp;Subs'!$D$139:$D$151,0),MATCH($H804,'TaxCred&amp;Subs'!$K$137:$S$137,0)),0),N804*IFERROR(INDEX('TaxCred&amp;Subs'!$K$139:$S$151,MATCH($C804&amp;$D804,'TaxCred&amp;Subs'!$C$139:$C$151,0),MATCH($H804,'TaxCred&amp;Subs'!$K$137:$S$137,0)),0))),0),0)</f>
        <v>7</v>
      </c>
      <c r="S804" s="172">
        <f t="array" ref="S804">ROUND(IF(IFERROR(VALUE(RIGHT($AD804,1)),0)&gt;2,IF($C804=8,O804*IFERROR(INDEX('TaxCred&amp;Subs'!$K$139:$S$151,MATCH($C804&amp;$D804&amp;LEFT($AD804,7),'TaxCred&amp;Subs'!$E$139:$E$151,0),MATCH($H804,'TaxCred&amp;Subs'!$K$137:$S$137,0)),0),IF($C804=2,O804*IFERROR(INDEX('TaxCred&amp;Subs'!$K$139:$S$151,MATCH($C804&amp;$D804,'TaxCred&amp;Subs'!$D$139:$D$151,0),MATCH($H804,'TaxCred&amp;Subs'!$K$137:$S$137,0)),0),O804*IFERROR(INDEX('TaxCred&amp;Subs'!$K$139:$S$151,MATCH($C804&amp;$D804,'TaxCred&amp;Subs'!$C$139:$C$151,0),MATCH($H804,'TaxCred&amp;Subs'!$K$137:$S$137,0)),0))),0),0)</f>
        <v>7</v>
      </c>
      <c r="T804" s="95">
        <f t="shared" si="56"/>
        <v>0</v>
      </c>
      <c r="U804" s="95">
        <f t="shared" si="57"/>
        <v>0</v>
      </c>
      <c r="V804" s="28" t="s">
        <v>222</v>
      </c>
      <c r="W804" s="31">
        <v>2020</v>
      </c>
      <c r="X804" s="28">
        <v>1</v>
      </c>
      <c r="Y804" s="28">
        <v>0</v>
      </c>
      <c r="Z804" s="196">
        <v>-7.8530115035628234E-3</v>
      </c>
      <c r="AA804" s="196">
        <v>-0.12081556159327421</v>
      </c>
      <c r="AB804" s="28">
        <v>0</v>
      </c>
      <c r="AC804" s="28">
        <v>0</v>
      </c>
      <c r="AD804" s="28" t="s">
        <v>385</v>
      </c>
    </row>
    <row r="805" spans="2:31" ht="14.25" customHeight="1" x14ac:dyDescent="0.2">
      <c r="B805" s="7">
        <f t="shared" si="58"/>
        <v>781</v>
      </c>
      <c r="C805" s="28">
        <v>8</v>
      </c>
      <c r="D805" s="28">
        <v>1</v>
      </c>
      <c r="E805" s="28">
        <v>3</v>
      </c>
      <c r="F805" s="96">
        <v>2020</v>
      </c>
      <c r="G805" s="31">
        <v>2029</v>
      </c>
      <c r="H805" s="28">
        <v>8</v>
      </c>
      <c r="I805" s="28">
        <v>0</v>
      </c>
      <c r="J805" s="28">
        <v>0</v>
      </c>
      <c r="K805" s="28">
        <v>0</v>
      </c>
      <c r="L805" s="28">
        <v>0</v>
      </c>
      <c r="M805" s="151">
        <v>369.94985294117646</v>
      </c>
      <c r="N805" s="151">
        <v>760</v>
      </c>
      <c r="O805" s="151">
        <v>760</v>
      </c>
      <c r="P805" s="95">
        <f t="array" ref="P805">ROUND(IF($F805&lt;='TaxCred&amp;Subs'!$C$49,(IF($C805=2,IF($M805&gt;=IFERROR(INDEX('TaxCred&amp;Subs'!$L$12:$L$47,MATCH(1,($C805&amp;$D805='TaxCred&amp;Subs'!$E$12:$E$47)*($F805='TaxCred&amp;Subs'!$C$12:$C$47),0)
),9999),IFERROR(INDEX('TaxCred&amp;Subs'!$N$12:$N$47,MATCH(1,($C805&amp;$D805='TaxCred&amp;Subs'!$E$12:$E$47)*($F805='TaxCred&amp;Subs'!$C$12:$C$47),0)
),0),0),(IF($M805&gt;=IFERROR(INDEX('TaxCred&amp;Subs'!$H$12:$H$47,MATCH(1,($C805&amp;$D805='TaxCred&amp;Subs'!$D$12:$D$47)*($F805='TaxCred&amp;Subs'!$C$12:$C$47),0)
),9999),IFERROR(INDEX('TaxCred&amp;Subs'!$N$12:$N$47,MATCH(1,($C805&amp;$D805='TaxCred&amp;Subs'!$D$12:$D$47)*($F805='TaxCred&amp;Subs'!$C$12:$C$47),0)
),0),0)))),0)+IF(AND($C805=2,VALUE(RIGHT($AD805,1))&gt;2),(N805-R805)*(IFERROR(INDEX('TaxCred&amp;Subs'!$J$66:$J$99,MATCH(1,($C805&amp;$D805='TaxCred&amp;Subs'!$E$66:$E$99)*($F805='TaxCred&amp;Subs'!$C$66:$C$99),0)),0)),IF(AND($C805=1,VALUE(RIGHT($AD805,1))&gt;2),(N805-R805)*(IFERROR(INDEX('TaxCred&amp;Subs'!$J$66:$J$99,MATCH(1,($C805&amp;$D805='TaxCred&amp;Subs'!$D$66:$D$99)*($F805='TaxCred&amp;Subs'!$C$66:$C$99),0)),0)),IF($C805&gt;2,(N805-R805)*(IFERROR(INDEX('TaxCred&amp;Subs'!$J$66:$J$99,MATCH(1,($C805&amp;$D805='TaxCred&amp;Subs'!$D$66:$D$99)*($F805='TaxCred&amp;Subs'!$C$66:$C$99),0)),0)),0))),0)</f>
        <v>0</v>
      </c>
      <c r="Q805" s="95">
        <f t="array" ref="Q805">ROUND(IF(AND($C805=2,VALUE(RIGHT($AD805,1))&gt;2),(O805-S805)*(IFERROR(INDEX('TaxCred&amp;Subs'!$J$66:$J$99,MATCH(1,($C805&amp;$D805='TaxCred&amp;Subs'!$E$66:$E$99)*($F805='TaxCred&amp;Subs'!$C$66:$C$99),0)),0)),IF(AND($C805=1,VALUE(RIGHT($AD805,1))&gt;2),(O805-S805)*(IFERROR(INDEX('TaxCred&amp;Subs'!$J$66:$J$99,MATCH(1,($C805&amp;$D805='TaxCred&amp;Subs'!$D$66:$D$99)*($F805='TaxCred&amp;Subs'!$C$66:$C$99),0)),0)),IF($C805&gt;2,(O805-S805)*(IFERROR(INDEX('TaxCred&amp;Subs'!$J$66:$J$99,MATCH(1,($C805&amp;$D805='TaxCred&amp;Subs'!$D$66:$D$99)*($F805='TaxCred&amp;Subs'!$C$66:$C$99),0)),0)),0))),0)</f>
        <v>0</v>
      </c>
      <c r="R805" s="172">
        <f t="array" ref="R805">ROUND(IF(IFERROR(VALUE(RIGHT($AD805,1)),0)&gt;2,IF($C805=8,N805*IFERROR(INDEX('TaxCred&amp;Subs'!$K$139:$S$151,MATCH($C805&amp;$D805&amp;LEFT($AD805,7),'TaxCred&amp;Subs'!$E$139:$E$151,0),MATCH($H805,'TaxCred&amp;Subs'!$K$137:$S$137,0)),0),IF($C805=2,N805*IFERROR(INDEX('TaxCred&amp;Subs'!$K$139:$S$151,MATCH($C805&amp;$D805,'TaxCred&amp;Subs'!$D$139:$D$151,0),MATCH($H805,'TaxCred&amp;Subs'!$K$137:$S$137,0)),0),N805*IFERROR(INDEX('TaxCred&amp;Subs'!$K$139:$S$151,MATCH($C805&amp;$D805,'TaxCred&amp;Subs'!$C$139:$C$151,0),MATCH($H805,'TaxCred&amp;Subs'!$K$137:$S$137,0)),0))),0),0)</f>
        <v>29</v>
      </c>
      <c r="S805" s="172">
        <f t="array" ref="S805">ROUND(IF(IFERROR(VALUE(RIGHT($AD805,1)),0)&gt;2,IF($C805=8,O805*IFERROR(INDEX('TaxCred&amp;Subs'!$K$139:$S$151,MATCH($C805&amp;$D805&amp;LEFT($AD805,7),'TaxCred&amp;Subs'!$E$139:$E$151,0),MATCH($H805,'TaxCred&amp;Subs'!$K$137:$S$137,0)),0),IF($C805=2,O805*IFERROR(INDEX('TaxCred&amp;Subs'!$K$139:$S$151,MATCH($C805&amp;$D805,'TaxCred&amp;Subs'!$D$139:$D$151,0),MATCH($H805,'TaxCred&amp;Subs'!$K$137:$S$137,0)),0),O805*IFERROR(INDEX('TaxCred&amp;Subs'!$K$139:$S$151,MATCH($C805&amp;$D805,'TaxCred&amp;Subs'!$C$139:$C$151,0),MATCH($H805,'TaxCred&amp;Subs'!$K$137:$S$137,0)),0))),0),0)</f>
        <v>29</v>
      </c>
      <c r="T805" s="95">
        <f t="shared" si="56"/>
        <v>0</v>
      </c>
      <c r="U805" s="95">
        <f t="shared" si="57"/>
        <v>0</v>
      </c>
      <c r="V805" s="28" t="s">
        <v>222</v>
      </c>
      <c r="W805" s="31">
        <v>2020</v>
      </c>
      <c r="X805" s="28">
        <v>1</v>
      </c>
      <c r="Y805" s="28">
        <v>0</v>
      </c>
      <c r="Z805" s="196">
        <v>-7.8530115035628234E-3</v>
      </c>
      <c r="AA805" s="196">
        <v>-0.12081556159327421</v>
      </c>
      <c r="AB805" s="28">
        <v>0</v>
      </c>
      <c r="AC805" s="28">
        <v>0</v>
      </c>
      <c r="AD805" s="28" t="s">
        <v>385</v>
      </c>
    </row>
    <row r="806" spans="2:31" ht="14.25" customHeight="1" x14ac:dyDescent="0.2">
      <c r="B806" s="7">
        <f t="shared" si="58"/>
        <v>782</v>
      </c>
      <c r="C806" s="28">
        <v>8</v>
      </c>
      <c r="D806" s="28">
        <v>1</v>
      </c>
      <c r="E806" s="28">
        <v>3</v>
      </c>
      <c r="F806" s="96">
        <v>2020</v>
      </c>
      <c r="G806" s="31">
        <v>2029</v>
      </c>
      <c r="H806" s="28">
        <v>9</v>
      </c>
      <c r="I806" s="28">
        <v>0</v>
      </c>
      <c r="J806" s="28">
        <v>0</v>
      </c>
      <c r="K806" s="28">
        <v>0</v>
      </c>
      <c r="L806" s="28">
        <v>0</v>
      </c>
      <c r="M806" s="151">
        <v>369.94985294117646</v>
      </c>
      <c r="N806" s="151">
        <v>760</v>
      </c>
      <c r="O806" s="151">
        <v>760</v>
      </c>
      <c r="P806" s="95">
        <f t="array" ref="P806">ROUND(IF($F806&lt;='TaxCred&amp;Subs'!$C$49,(IF($C806=2,IF($M806&gt;=IFERROR(INDEX('TaxCred&amp;Subs'!$L$12:$L$47,MATCH(1,($C806&amp;$D806='TaxCred&amp;Subs'!$E$12:$E$47)*($F806='TaxCred&amp;Subs'!$C$12:$C$47),0)
),9999),IFERROR(INDEX('TaxCred&amp;Subs'!$N$12:$N$47,MATCH(1,($C806&amp;$D806='TaxCred&amp;Subs'!$E$12:$E$47)*($F806='TaxCred&amp;Subs'!$C$12:$C$47),0)
),0),0),(IF($M806&gt;=IFERROR(INDEX('TaxCred&amp;Subs'!$H$12:$H$47,MATCH(1,($C806&amp;$D806='TaxCred&amp;Subs'!$D$12:$D$47)*($F806='TaxCred&amp;Subs'!$C$12:$C$47),0)
),9999),IFERROR(INDEX('TaxCred&amp;Subs'!$N$12:$N$47,MATCH(1,($C806&amp;$D806='TaxCred&amp;Subs'!$D$12:$D$47)*($F806='TaxCred&amp;Subs'!$C$12:$C$47),0)
),0),0)))),0)+IF(AND($C806=2,VALUE(RIGHT($AD806,1))&gt;2),(N806-R806)*(IFERROR(INDEX('TaxCred&amp;Subs'!$J$66:$J$99,MATCH(1,($C806&amp;$D806='TaxCred&amp;Subs'!$E$66:$E$99)*($F806='TaxCred&amp;Subs'!$C$66:$C$99),0)),0)),IF(AND($C806=1,VALUE(RIGHT($AD806,1))&gt;2),(N806-R806)*(IFERROR(INDEX('TaxCred&amp;Subs'!$J$66:$J$99,MATCH(1,($C806&amp;$D806='TaxCred&amp;Subs'!$D$66:$D$99)*($F806='TaxCred&amp;Subs'!$C$66:$C$99),0)),0)),IF($C806&gt;2,(N806-R806)*(IFERROR(INDEX('TaxCred&amp;Subs'!$J$66:$J$99,MATCH(1,($C806&amp;$D806='TaxCred&amp;Subs'!$D$66:$D$99)*($F806='TaxCred&amp;Subs'!$C$66:$C$99),0)),0)),0))),0)</f>
        <v>0</v>
      </c>
      <c r="Q806" s="95">
        <f t="array" ref="Q806">ROUND(IF(AND($C806=2,VALUE(RIGHT($AD806,1))&gt;2),(O806-S806)*(IFERROR(INDEX('TaxCred&amp;Subs'!$J$66:$J$99,MATCH(1,($C806&amp;$D806='TaxCred&amp;Subs'!$E$66:$E$99)*($F806='TaxCred&amp;Subs'!$C$66:$C$99),0)),0)),IF(AND($C806=1,VALUE(RIGHT($AD806,1))&gt;2),(O806-S806)*(IFERROR(INDEX('TaxCred&amp;Subs'!$J$66:$J$99,MATCH(1,($C806&amp;$D806='TaxCred&amp;Subs'!$D$66:$D$99)*($F806='TaxCred&amp;Subs'!$C$66:$C$99),0)),0)),IF($C806&gt;2,(O806-S806)*(IFERROR(INDEX('TaxCred&amp;Subs'!$J$66:$J$99,MATCH(1,($C806&amp;$D806='TaxCred&amp;Subs'!$D$66:$D$99)*($F806='TaxCred&amp;Subs'!$C$66:$C$99),0)),0)),0))),0)</f>
        <v>0</v>
      </c>
      <c r="R806" s="172">
        <f t="array" ref="R806">ROUND(IF(IFERROR(VALUE(RIGHT($AD806,1)),0)&gt;2,IF($C806=8,N806*IFERROR(INDEX('TaxCred&amp;Subs'!$K$139:$S$151,MATCH($C806&amp;$D806&amp;LEFT($AD806,7),'TaxCred&amp;Subs'!$E$139:$E$151,0),MATCH($H806,'TaxCred&amp;Subs'!$K$137:$S$137,0)),0),IF($C806=2,N806*IFERROR(INDEX('TaxCred&amp;Subs'!$K$139:$S$151,MATCH($C806&amp;$D806,'TaxCred&amp;Subs'!$D$139:$D$151,0),MATCH($H806,'TaxCred&amp;Subs'!$K$137:$S$137,0)),0),N806*IFERROR(INDEX('TaxCred&amp;Subs'!$K$139:$S$151,MATCH($C806&amp;$D806,'TaxCred&amp;Subs'!$C$139:$C$151,0),MATCH($H806,'TaxCred&amp;Subs'!$K$137:$S$137,0)),0))),0),0)</f>
        <v>83</v>
      </c>
      <c r="S806" s="172">
        <f t="array" ref="S806">ROUND(IF(IFERROR(VALUE(RIGHT($AD806,1)),0)&gt;2,IF($C806=8,O806*IFERROR(INDEX('TaxCred&amp;Subs'!$K$139:$S$151,MATCH($C806&amp;$D806&amp;LEFT($AD806,7),'TaxCred&amp;Subs'!$E$139:$E$151,0),MATCH($H806,'TaxCred&amp;Subs'!$K$137:$S$137,0)),0),IF($C806=2,O806*IFERROR(INDEX('TaxCred&amp;Subs'!$K$139:$S$151,MATCH($C806&amp;$D806,'TaxCred&amp;Subs'!$D$139:$D$151,0),MATCH($H806,'TaxCred&amp;Subs'!$K$137:$S$137,0)),0),O806*IFERROR(INDEX('TaxCred&amp;Subs'!$K$139:$S$151,MATCH($C806&amp;$D806,'TaxCred&amp;Subs'!$C$139:$C$151,0),MATCH($H806,'TaxCred&amp;Subs'!$K$137:$S$137,0)),0))),0),0)</f>
        <v>83</v>
      </c>
      <c r="T806" s="172">
        <f t="shared" si="56"/>
        <v>114</v>
      </c>
      <c r="U806" s="172">
        <f t="shared" si="57"/>
        <v>114</v>
      </c>
      <c r="V806" s="28" t="s">
        <v>222</v>
      </c>
      <c r="W806" s="31">
        <v>2020</v>
      </c>
      <c r="X806" s="28">
        <v>1</v>
      </c>
      <c r="Y806" s="28">
        <v>0</v>
      </c>
      <c r="Z806" s="196">
        <v>-7.8530115035628234E-3</v>
      </c>
      <c r="AA806" s="196">
        <v>-0.12081556159327421</v>
      </c>
      <c r="AB806" s="28">
        <v>0</v>
      </c>
      <c r="AC806" s="28">
        <v>0</v>
      </c>
      <c r="AD806" s="28" t="s">
        <v>385</v>
      </c>
    </row>
    <row r="807" spans="2:31" ht="14.25" customHeight="1" x14ac:dyDescent="0.2">
      <c r="B807" s="7">
        <f t="shared" si="58"/>
        <v>783</v>
      </c>
      <c r="C807" s="152">
        <v>8</v>
      </c>
      <c r="D807" s="152">
        <v>1</v>
      </c>
      <c r="E807" s="152">
        <v>3</v>
      </c>
      <c r="F807" s="153">
        <v>2030</v>
      </c>
      <c r="G807" s="152">
        <v>2050</v>
      </c>
      <c r="H807" s="152">
        <v>11</v>
      </c>
      <c r="I807" s="152">
        <v>0</v>
      </c>
      <c r="J807" s="152">
        <v>0</v>
      </c>
      <c r="K807" s="152">
        <v>0</v>
      </c>
      <c r="L807" s="152">
        <v>0</v>
      </c>
      <c r="M807" s="155">
        <v>369.94985294117646</v>
      </c>
      <c r="N807" s="155">
        <v>760</v>
      </c>
      <c r="O807" s="155">
        <v>760</v>
      </c>
      <c r="P807" s="41">
        <f t="array" ref="P807">ROUND(IF($F807&lt;='TaxCred&amp;Subs'!$C$49,(IF($C807=2,IF($M807&gt;=IFERROR(INDEX('TaxCred&amp;Subs'!$L$12:$L$47,MATCH(1,($C807&amp;$D807='TaxCred&amp;Subs'!$E$12:$E$47)*($F807='TaxCred&amp;Subs'!$C$12:$C$47),0)
),9999),IFERROR(INDEX('TaxCred&amp;Subs'!$N$12:$N$47,MATCH(1,($C807&amp;$D807='TaxCred&amp;Subs'!$E$12:$E$47)*($F807='TaxCred&amp;Subs'!$C$12:$C$47),0)
),0),0),(IF($M807&gt;=IFERROR(INDEX('TaxCred&amp;Subs'!$H$12:$H$47,MATCH(1,($C807&amp;$D807='TaxCred&amp;Subs'!$D$12:$D$47)*($F807='TaxCred&amp;Subs'!$C$12:$C$47),0)
),9999),IFERROR(INDEX('TaxCred&amp;Subs'!$N$12:$N$47,MATCH(1,($C807&amp;$D807='TaxCred&amp;Subs'!$D$12:$D$47)*($F807='TaxCred&amp;Subs'!$C$12:$C$47),0)
),0),0)))),0)+IF(AND($C807=2,VALUE(RIGHT($AD807,1))&gt;2),(N807-R807)*(IFERROR(INDEX('TaxCred&amp;Subs'!$J$66:$J$99,MATCH(1,($C807&amp;$D807='TaxCred&amp;Subs'!$E$66:$E$99)*($F807='TaxCred&amp;Subs'!$C$66:$C$99),0)),0)),IF(AND($C807=1,VALUE(RIGHT($AD807,1))&gt;2),(N807-R807)*(IFERROR(INDEX('TaxCred&amp;Subs'!$J$66:$J$99,MATCH(1,($C807&amp;$D807='TaxCred&amp;Subs'!$D$66:$D$99)*($F807='TaxCred&amp;Subs'!$C$66:$C$99),0)),0)),IF($C807&gt;2,(N807-R807)*(IFERROR(INDEX('TaxCred&amp;Subs'!$J$66:$J$99,MATCH(1,($C807&amp;$D807='TaxCred&amp;Subs'!$D$66:$D$99)*($F807='TaxCred&amp;Subs'!$C$66:$C$99),0)),0)),0))),0)</f>
        <v>0</v>
      </c>
      <c r="Q807" s="41">
        <f t="array" ref="Q807">ROUND(IF(AND($C807=2,VALUE(RIGHT($AD807,1))&gt;2),(O807-S807)*(IFERROR(INDEX('TaxCred&amp;Subs'!$J$66:$J$99,MATCH(1,($C807&amp;$D807='TaxCred&amp;Subs'!$E$66:$E$99)*($F807='TaxCred&amp;Subs'!$C$66:$C$99),0)),0)),IF(AND($C807=1,VALUE(RIGHT($AD807,1))&gt;2),(O807-S807)*(IFERROR(INDEX('TaxCred&amp;Subs'!$J$66:$J$99,MATCH(1,($C807&amp;$D807='TaxCred&amp;Subs'!$D$66:$D$99)*($F807='TaxCred&amp;Subs'!$C$66:$C$99),0)),0)),IF($C807&gt;2,(O807-S807)*(IFERROR(INDEX('TaxCred&amp;Subs'!$J$66:$J$99,MATCH(1,($C807&amp;$D807='TaxCred&amp;Subs'!$D$66:$D$99)*($F807='TaxCred&amp;Subs'!$C$66:$C$99),0)),0)),0))),0)</f>
        <v>0</v>
      </c>
      <c r="R807" s="41">
        <f t="array" ref="R807">ROUND(IF(IFERROR(VALUE(RIGHT($AD807,1)),0)&gt;2,IF($C807=8,N807*IFERROR(INDEX('TaxCred&amp;Subs'!$K$139:$S$151,MATCH($C807&amp;$D807&amp;LEFT($AD807,7),'TaxCred&amp;Subs'!$E$139:$E$151,0),MATCH($H807,'TaxCred&amp;Subs'!$K$137:$S$137,0)),0),IF($C807=2,N807*IFERROR(INDEX('TaxCred&amp;Subs'!$K$139:$S$151,MATCH($C807&amp;$D807,'TaxCred&amp;Subs'!$D$139:$D$151,0),MATCH($H807,'TaxCred&amp;Subs'!$K$137:$S$137,0)),0),N807*IFERROR(INDEX('TaxCred&amp;Subs'!$K$139:$S$151,MATCH($C807&amp;$D807,'TaxCred&amp;Subs'!$C$139:$C$151,0),MATCH($H807,'TaxCred&amp;Subs'!$K$137:$S$137,0)),0))),0),0)</f>
        <v>0</v>
      </c>
      <c r="S807" s="41">
        <f t="array" ref="S807">ROUND(IF(IFERROR(VALUE(RIGHT($AD807,1)),0)&gt;2,IF($C807=8,O807*IFERROR(INDEX('TaxCred&amp;Subs'!$K$139:$S$151,MATCH($C807&amp;$D807&amp;LEFT($AD807,7),'TaxCred&amp;Subs'!$E$139:$E$151,0),MATCH($H807,'TaxCred&amp;Subs'!$K$137:$S$137,0)),0),IF($C807=2,O807*IFERROR(INDEX('TaxCred&amp;Subs'!$K$139:$S$151,MATCH($C807&amp;$D807,'TaxCred&amp;Subs'!$D$139:$D$151,0),MATCH($H807,'TaxCred&amp;Subs'!$K$137:$S$137,0)),0),O807*IFERROR(INDEX('TaxCred&amp;Subs'!$K$139:$S$151,MATCH($C807&amp;$D807,'TaxCred&amp;Subs'!$C$139:$C$151,0),MATCH($H807,'TaxCred&amp;Subs'!$K$137:$S$137,0)),0))),0),0)</f>
        <v>0</v>
      </c>
      <c r="T807" s="41">
        <f t="shared" ref="T807" si="63">IF($H807=9,IF(R807&gt;0,(N807-P807)*0.15,0),0)</f>
        <v>0</v>
      </c>
      <c r="U807" s="41">
        <f t="shared" ref="U807" si="64">IF($H807=9,IF(S807&gt;0,(O807-Q807)*0.15,0),0)</f>
        <v>0</v>
      </c>
      <c r="V807" s="152" t="s">
        <v>222</v>
      </c>
      <c r="W807" s="152">
        <v>2020</v>
      </c>
      <c r="X807" s="152">
        <v>1</v>
      </c>
      <c r="Y807" s="152">
        <v>0</v>
      </c>
      <c r="Z807" s="195">
        <v>-1</v>
      </c>
      <c r="AA807" s="195">
        <v>-1</v>
      </c>
      <c r="AB807" s="152">
        <v>0</v>
      </c>
      <c r="AC807" s="152">
        <v>0</v>
      </c>
      <c r="AD807" s="152" t="s">
        <v>385</v>
      </c>
      <c r="AE807" s="201" t="s">
        <v>498</v>
      </c>
    </row>
    <row r="808" spans="2:31" ht="14.25" customHeight="1" x14ac:dyDescent="0.2">
      <c r="B808" s="7">
        <f t="shared" si="58"/>
        <v>784</v>
      </c>
      <c r="C808" s="28">
        <v>8</v>
      </c>
      <c r="D808" s="28">
        <v>1</v>
      </c>
      <c r="E808" s="28">
        <v>4</v>
      </c>
      <c r="F808" s="96">
        <v>2020</v>
      </c>
      <c r="G808" s="31">
        <v>2029</v>
      </c>
      <c r="H808" s="28">
        <v>1</v>
      </c>
      <c r="I808" s="28">
        <v>0</v>
      </c>
      <c r="J808" s="28">
        <v>0</v>
      </c>
      <c r="K808" s="28">
        <v>0</v>
      </c>
      <c r="L808" s="28">
        <v>0</v>
      </c>
      <c r="M808" s="79">
        <v>358</v>
      </c>
      <c r="N808" s="151">
        <v>785.36840289188297</v>
      </c>
      <c r="O808" s="151">
        <v>785.36840289188297</v>
      </c>
      <c r="P808" s="95">
        <f t="array" ref="P808">ROUND(IF($F808&lt;='TaxCred&amp;Subs'!$C$49,(IF($C808=2,IF($M808&gt;=IFERROR(INDEX('TaxCred&amp;Subs'!$L$12:$L$47,MATCH(1,($C808&amp;$D808='TaxCred&amp;Subs'!$E$12:$E$47)*($F808='TaxCred&amp;Subs'!$C$12:$C$47),0)
),9999),IFERROR(INDEX('TaxCred&amp;Subs'!$N$12:$N$47,MATCH(1,($C808&amp;$D808='TaxCred&amp;Subs'!$E$12:$E$47)*($F808='TaxCred&amp;Subs'!$C$12:$C$47),0)
),0),0),(IF($M808&gt;=IFERROR(INDEX('TaxCred&amp;Subs'!$H$12:$H$47,MATCH(1,($C808&amp;$D808='TaxCred&amp;Subs'!$D$12:$D$47)*($F808='TaxCred&amp;Subs'!$C$12:$C$47),0)
),9999),IFERROR(INDEX('TaxCred&amp;Subs'!$N$12:$N$47,MATCH(1,($C808&amp;$D808='TaxCred&amp;Subs'!$D$12:$D$47)*($F808='TaxCred&amp;Subs'!$C$12:$C$47),0)
),0),0)))),0)+IF(AND($C808=2,VALUE(RIGHT($AD808,1))&gt;2),(N808-R808)*(IFERROR(INDEX('TaxCred&amp;Subs'!$J$66:$J$99,MATCH(1,($C808&amp;$D808='TaxCred&amp;Subs'!$E$66:$E$99)*($F808='TaxCred&amp;Subs'!$C$66:$C$99),0)),0)),IF(AND($C808=1,VALUE(RIGHT($AD808,1))&gt;2),(N808-R808)*(IFERROR(INDEX('TaxCred&amp;Subs'!$J$66:$J$99,MATCH(1,($C808&amp;$D808='TaxCred&amp;Subs'!$D$66:$D$99)*($F808='TaxCred&amp;Subs'!$C$66:$C$99),0)),0)),IF($C808&gt;2,(N808-R808)*(IFERROR(INDEX('TaxCred&amp;Subs'!$J$66:$J$99,MATCH(1,($C808&amp;$D808='TaxCred&amp;Subs'!$D$66:$D$99)*($F808='TaxCred&amp;Subs'!$C$66:$C$99),0)),0)),0))),0)</f>
        <v>0</v>
      </c>
      <c r="Q808" s="95">
        <f t="array" ref="Q808">ROUND(IF(AND($C808=2,VALUE(RIGHT($AD808,1))&gt;2),(O808-S808)*(IFERROR(INDEX('TaxCred&amp;Subs'!$J$66:$J$99,MATCH(1,($C808&amp;$D808='TaxCred&amp;Subs'!$E$66:$E$99)*($F808='TaxCred&amp;Subs'!$C$66:$C$99),0)),0)),IF(AND($C808=1,VALUE(RIGHT($AD808,1))&gt;2),(O808-S808)*(IFERROR(INDEX('TaxCred&amp;Subs'!$J$66:$J$99,MATCH(1,($C808&amp;$D808='TaxCred&amp;Subs'!$D$66:$D$99)*($F808='TaxCred&amp;Subs'!$C$66:$C$99),0)),0)),IF($C808&gt;2,(O808-S808)*(IFERROR(INDEX('TaxCred&amp;Subs'!$J$66:$J$99,MATCH(1,($C808&amp;$D808='TaxCred&amp;Subs'!$D$66:$D$99)*($F808='TaxCred&amp;Subs'!$C$66:$C$99),0)),0)),0))),0)</f>
        <v>0</v>
      </c>
      <c r="R808" s="172">
        <f t="array" ref="R808">ROUND(IF(IFERROR(VALUE(RIGHT($AD808,1)),0)&gt;2,IF($C808=8,N808*IFERROR(INDEX('TaxCred&amp;Subs'!$K$139:$S$151,MATCH($C808&amp;$D808&amp;LEFT($AD808,7),'TaxCred&amp;Subs'!$E$139:$E$151,0),MATCH($H808,'TaxCred&amp;Subs'!$K$137:$S$137,0)),0),IF($C808=2,N808*IFERROR(INDEX('TaxCred&amp;Subs'!$K$139:$S$151,MATCH($C808&amp;$D808,'TaxCred&amp;Subs'!$D$139:$D$151,0),MATCH($H808,'TaxCred&amp;Subs'!$K$137:$S$137,0)),0),N808*IFERROR(INDEX('TaxCred&amp;Subs'!$K$139:$S$151,MATCH($C808&amp;$D808,'TaxCred&amp;Subs'!$C$139:$C$151,0),MATCH($H808,'TaxCred&amp;Subs'!$K$137:$S$137,0)),0))),0),0)</f>
        <v>9</v>
      </c>
      <c r="S808" s="172">
        <f t="array" ref="S808">ROUND(IF(IFERROR(VALUE(RIGHT($AD808,1)),0)&gt;2,IF($C808=8,O808*IFERROR(INDEX('TaxCred&amp;Subs'!$K$139:$S$151,MATCH($C808&amp;$D808&amp;LEFT($AD808,7),'TaxCred&amp;Subs'!$E$139:$E$151,0),MATCH($H808,'TaxCred&amp;Subs'!$K$137:$S$137,0)),0),IF($C808=2,O808*IFERROR(INDEX('TaxCred&amp;Subs'!$K$139:$S$151,MATCH($C808&amp;$D808,'TaxCred&amp;Subs'!$D$139:$D$151,0),MATCH($H808,'TaxCred&amp;Subs'!$K$137:$S$137,0)),0),O808*IFERROR(INDEX('TaxCred&amp;Subs'!$K$139:$S$151,MATCH($C808&amp;$D808,'TaxCred&amp;Subs'!$C$139:$C$151,0),MATCH($H808,'TaxCred&amp;Subs'!$K$137:$S$137,0)),0))),0),0)</f>
        <v>9</v>
      </c>
      <c r="T808" s="95">
        <f t="shared" si="56"/>
        <v>0</v>
      </c>
      <c r="U808" s="95">
        <f t="shared" si="57"/>
        <v>0</v>
      </c>
      <c r="V808" s="28" t="s">
        <v>222</v>
      </c>
      <c r="W808" s="31">
        <v>2020</v>
      </c>
      <c r="X808" s="28">
        <v>1</v>
      </c>
      <c r="Y808" s="28">
        <v>0</v>
      </c>
      <c r="Z808" s="196">
        <v>-7.8530115035628234E-3</v>
      </c>
      <c r="AA808" s="196">
        <v>-0.12081556159327421</v>
      </c>
      <c r="AB808" s="28">
        <v>0</v>
      </c>
      <c r="AC808" s="28">
        <v>0</v>
      </c>
      <c r="AD808" s="28" t="s">
        <v>386</v>
      </c>
    </row>
    <row r="809" spans="2:31" ht="14.25" customHeight="1" x14ac:dyDescent="0.2">
      <c r="B809" s="7">
        <f t="shared" si="58"/>
        <v>785</v>
      </c>
      <c r="C809" s="28">
        <v>8</v>
      </c>
      <c r="D809" s="28">
        <v>1</v>
      </c>
      <c r="E809" s="28">
        <v>4</v>
      </c>
      <c r="F809" s="96">
        <v>2020</v>
      </c>
      <c r="G809" s="31">
        <v>2029</v>
      </c>
      <c r="H809" s="28">
        <v>2</v>
      </c>
      <c r="I809" s="28">
        <v>0</v>
      </c>
      <c r="J809" s="28">
        <v>0</v>
      </c>
      <c r="K809" s="28">
        <v>0</v>
      </c>
      <c r="L809" s="28">
        <v>0</v>
      </c>
      <c r="M809" s="79">
        <v>358</v>
      </c>
      <c r="N809" s="151">
        <v>785.36840289188297</v>
      </c>
      <c r="O809" s="151">
        <v>785.36840289188297</v>
      </c>
      <c r="P809" s="95">
        <f t="array" ref="P809">ROUND(IF($F809&lt;='TaxCred&amp;Subs'!$C$49,(IF($C809=2,IF($M809&gt;=IFERROR(INDEX('TaxCred&amp;Subs'!$L$12:$L$47,MATCH(1,($C809&amp;$D809='TaxCred&amp;Subs'!$E$12:$E$47)*($F809='TaxCred&amp;Subs'!$C$12:$C$47),0)
),9999),IFERROR(INDEX('TaxCred&amp;Subs'!$N$12:$N$47,MATCH(1,($C809&amp;$D809='TaxCred&amp;Subs'!$E$12:$E$47)*($F809='TaxCred&amp;Subs'!$C$12:$C$47),0)
),0),0),(IF($M809&gt;=IFERROR(INDEX('TaxCred&amp;Subs'!$H$12:$H$47,MATCH(1,($C809&amp;$D809='TaxCred&amp;Subs'!$D$12:$D$47)*($F809='TaxCred&amp;Subs'!$C$12:$C$47),0)
),9999),IFERROR(INDEX('TaxCred&amp;Subs'!$N$12:$N$47,MATCH(1,($C809&amp;$D809='TaxCred&amp;Subs'!$D$12:$D$47)*($F809='TaxCred&amp;Subs'!$C$12:$C$47),0)
),0),0)))),0)+IF(AND($C809=2,VALUE(RIGHT($AD809,1))&gt;2),(N809-R809)*(IFERROR(INDEX('TaxCred&amp;Subs'!$J$66:$J$99,MATCH(1,($C809&amp;$D809='TaxCred&amp;Subs'!$E$66:$E$99)*($F809='TaxCred&amp;Subs'!$C$66:$C$99),0)),0)),IF(AND($C809=1,VALUE(RIGHT($AD809,1))&gt;2),(N809-R809)*(IFERROR(INDEX('TaxCred&amp;Subs'!$J$66:$J$99,MATCH(1,($C809&amp;$D809='TaxCred&amp;Subs'!$D$66:$D$99)*($F809='TaxCred&amp;Subs'!$C$66:$C$99),0)),0)),IF($C809&gt;2,(N809-R809)*(IFERROR(INDEX('TaxCred&amp;Subs'!$J$66:$J$99,MATCH(1,($C809&amp;$D809='TaxCred&amp;Subs'!$D$66:$D$99)*($F809='TaxCred&amp;Subs'!$C$66:$C$99),0)),0)),0))),0)</f>
        <v>0</v>
      </c>
      <c r="Q809" s="95">
        <f t="array" ref="Q809">ROUND(IF(AND($C809=2,VALUE(RIGHT($AD809,1))&gt;2),(O809-S809)*(IFERROR(INDEX('TaxCred&amp;Subs'!$J$66:$J$99,MATCH(1,($C809&amp;$D809='TaxCred&amp;Subs'!$E$66:$E$99)*($F809='TaxCred&amp;Subs'!$C$66:$C$99),0)),0)),IF(AND($C809=1,VALUE(RIGHT($AD809,1))&gt;2),(O809-S809)*(IFERROR(INDEX('TaxCred&amp;Subs'!$J$66:$J$99,MATCH(1,($C809&amp;$D809='TaxCred&amp;Subs'!$D$66:$D$99)*($F809='TaxCred&amp;Subs'!$C$66:$C$99),0)),0)),IF($C809&gt;2,(O809-S809)*(IFERROR(INDEX('TaxCred&amp;Subs'!$J$66:$J$99,MATCH(1,($C809&amp;$D809='TaxCred&amp;Subs'!$D$66:$D$99)*($F809='TaxCred&amp;Subs'!$C$66:$C$99),0)),0)),0))),0)</f>
        <v>0</v>
      </c>
      <c r="R809" s="172">
        <f t="array" ref="R809">ROUND(IF(IFERROR(VALUE(RIGHT($AD809,1)),0)&gt;2,IF($C809=8,N809*IFERROR(INDEX('TaxCred&amp;Subs'!$K$139:$S$151,MATCH($C809&amp;$D809&amp;LEFT($AD809,7),'TaxCred&amp;Subs'!$E$139:$E$151,0),MATCH($H809,'TaxCred&amp;Subs'!$K$137:$S$137,0)),0),IF($C809=2,N809*IFERROR(INDEX('TaxCred&amp;Subs'!$K$139:$S$151,MATCH($C809&amp;$D809,'TaxCred&amp;Subs'!$D$139:$D$151,0),MATCH($H809,'TaxCred&amp;Subs'!$K$137:$S$137,0)),0),N809*IFERROR(INDEX('TaxCred&amp;Subs'!$K$139:$S$151,MATCH($C809&amp;$D809,'TaxCred&amp;Subs'!$C$139:$C$151,0),MATCH($H809,'TaxCred&amp;Subs'!$K$137:$S$137,0)),0))),0),0)</f>
        <v>40</v>
      </c>
      <c r="S809" s="172">
        <f t="array" ref="S809">ROUND(IF(IFERROR(VALUE(RIGHT($AD809,1)),0)&gt;2,IF($C809=8,O809*IFERROR(INDEX('TaxCred&amp;Subs'!$K$139:$S$151,MATCH($C809&amp;$D809&amp;LEFT($AD809,7),'TaxCred&amp;Subs'!$E$139:$E$151,0),MATCH($H809,'TaxCred&amp;Subs'!$K$137:$S$137,0)),0),IF($C809=2,O809*IFERROR(INDEX('TaxCred&amp;Subs'!$K$139:$S$151,MATCH($C809&amp;$D809,'TaxCred&amp;Subs'!$D$139:$D$151,0),MATCH($H809,'TaxCred&amp;Subs'!$K$137:$S$137,0)),0),O809*IFERROR(INDEX('TaxCred&amp;Subs'!$K$139:$S$151,MATCH($C809&amp;$D809,'TaxCred&amp;Subs'!$C$139:$C$151,0),MATCH($H809,'TaxCred&amp;Subs'!$K$137:$S$137,0)),0))),0),0)</f>
        <v>40</v>
      </c>
      <c r="T809" s="95">
        <f t="shared" si="56"/>
        <v>0</v>
      </c>
      <c r="U809" s="95">
        <f t="shared" si="57"/>
        <v>0</v>
      </c>
      <c r="V809" s="28" t="s">
        <v>222</v>
      </c>
      <c r="W809" s="31">
        <v>2020</v>
      </c>
      <c r="X809" s="28">
        <v>1</v>
      </c>
      <c r="Y809" s="28">
        <v>0</v>
      </c>
      <c r="Z809" s="196">
        <v>-7.8530115035628234E-3</v>
      </c>
      <c r="AA809" s="196">
        <v>-0.12081556159327421</v>
      </c>
      <c r="AB809" s="28">
        <v>0</v>
      </c>
      <c r="AC809" s="28">
        <v>0</v>
      </c>
      <c r="AD809" s="28" t="s">
        <v>386</v>
      </c>
    </row>
    <row r="810" spans="2:31" ht="14.25" customHeight="1" x14ac:dyDescent="0.2">
      <c r="B810" s="7">
        <f t="shared" si="58"/>
        <v>786</v>
      </c>
      <c r="C810" s="28">
        <v>8</v>
      </c>
      <c r="D810" s="28">
        <v>1</v>
      </c>
      <c r="E810" s="28">
        <v>4</v>
      </c>
      <c r="F810" s="96">
        <v>2020</v>
      </c>
      <c r="G810" s="31">
        <v>2029</v>
      </c>
      <c r="H810" s="28">
        <v>3</v>
      </c>
      <c r="I810" s="28">
        <v>0</v>
      </c>
      <c r="J810" s="28">
        <v>0</v>
      </c>
      <c r="K810" s="28">
        <v>0</v>
      </c>
      <c r="L810" s="28">
        <v>0</v>
      </c>
      <c r="M810" s="79">
        <v>358</v>
      </c>
      <c r="N810" s="151">
        <v>785.36840289188297</v>
      </c>
      <c r="O810" s="151">
        <v>785.36840289188297</v>
      </c>
      <c r="P810" s="95">
        <f t="array" ref="P810">ROUND(IF($F810&lt;='TaxCred&amp;Subs'!$C$49,(IF($C810=2,IF($M810&gt;=IFERROR(INDEX('TaxCred&amp;Subs'!$L$12:$L$47,MATCH(1,($C810&amp;$D810='TaxCred&amp;Subs'!$E$12:$E$47)*($F810='TaxCred&amp;Subs'!$C$12:$C$47),0)
),9999),IFERROR(INDEX('TaxCred&amp;Subs'!$N$12:$N$47,MATCH(1,($C810&amp;$D810='TaxCred&amp;Subs'!$E$12:$E$47)*($F810='TaxCred&amp;Subs'!$C$12:$C$47),0)
),0),0),(IF($M810&gt;=IFERROR(INDEX('TaxCred&amp;Subs'!$H$12:$H$47,MATCH(1,($C810&amp;$D810='TaxCred&amp;Subs'!$D$12:$D$47)*($F810='TaxCred&amp;Subs'!$C$12:$C$47),0)
),9999),IFERROR(INDEX('TaxCred&amp;Subs'!$N$12:$N$47,MATCH(1,($C810&amp;$D810='TaxCred&amp;Subs'!$D$12:$D$47)*($F810='TaxCred&amp;Subs'!$C$12:$C$47),0)
),0),0)))),0)+IF(AND($C810=2,VALUE(RIGHT($AD810,1))&gt;2),(N810-R810)*(IFERROR(INDEX('TaxCred&amp;Subs'!$J$66:$J$99,MATCH(1,($C810&amp;$D810='TaxCred&amp;Subs'!$E$66:$E$99)*($F810='TaxCred&amp;Subs'!$C$66:$C$99),0)),0)),IF(AND($C810=1,VALUE(RIGHT($AD810,1))&gt;2),(N810-R810)*(IFERROR(INDEX('TaxCred&amp;Subs'!$J$66:$J$99,MATCH(1,($C810&amp;$D810='TaxCred&amp;Subs'!$D$66:$D$99)*($F810='TaxCred&amp;Subs'!$C$66:$C$99),0)),0)),IF($C810&gt;2,(N810-R810)*(IFERROR(INDEX('TaxCred&amp;Subs'!$J$66:$J$99,MATCH(1,($C810&amp;$D810='TaxCred&amp;Subs'!$D$66:$D$99)*($F810='TaxCred&amp;Subs'!$C$66:$C$99),0)),0)),0))),0)</f>
        <v>0</v>
      </c>
      <c r="Q810" s="95">
        <f t="array" ref="Q810">ROUND(IF(AND($C810=2,VALUE(RIGHT($AD810,1))&gt;2),(O810-S810)*(IFERROR(INDEX('TaxCred&amp;Subs'!$J$66:$J$99,MATCH(1,($C810&amp;$D810='TaxCred&amp;Subs'!$E$66:$E$99)*($F810='TaxCred&amp;Subs'!$C$66:$C$99),0)),0)),IF(AND($C810=1,VALUE(RIGHT($AD810,1))&gt;2),(O810-S810)*(IFERROR(INDEX('TaxCred&amp;Subs'!$J$66:$J$99,MATCH(1,($C810&amp;$D810='TaxCred&amp;Subs'!$D$66:$D$99)*($F810='TaxCred&amp;Subs'!$C$66:$C$99),0)),0)),IF($C810&gt;2,(O810-S810)*(IFERROR(INDEX('TaxCred&amp;Subs'!$J$66:$J$99,MATCH(1,($C810&amp;$D810='TaxCred&amp;Subs'!$D$66:$D$99)*($F810='TaxCred&amp;Subs'!$C$66:$C$99),0)),0)),0))),0)</f>
        <v>0</v>
      </c>
      <c r="R810" s="172">
        <f t="array" ref="R810">ROUND(IF(IFERROR(VALUE(RIGHT($AD810,1)),0)&gt;2,IF($C810=8,N810*IFERROR(INDEX('TaxCred&amp;Subs'!$K$139:$S$151,MATCH($C810&amp;$D810&amp;LEFT($AD810,7),'TaxCred&amp;Subs'!$E$139:$E$151,0),MATCH($H810,'TaxCred&amp;Subs'!$K$137:$S$137,0)),0),IF($C810=2,N810*IFERROR(INDEX('TaxCred&amp;Subs'!$K$139:$S$151,MATCH($C810&amp;$D810,'TaxCred&amp;Subs'!$D$139:$D$151,0),MATCH($H810,'TaxCred&amp;Subs'!$K$137:$S$137,0)),0),N810*IFERROR(INDEX('TaxCred&amp;Subs'!$K$139:$S$151,MATCH($C810&amp;$D810,'TaxCred&amp;Subs'!$C$139:$C$151,0),MATCH($H810,'TaxCred&amp;Subs'!$K$137:$S$137,0)),0))),0),0)</f>
        <v>35</v>
      </c>
      <c r="S810" s="172">
        <f t="array" ref="S810">ROUND(IF(IFERROR(VALUE(RIGHT($AD810,1)),0)&gt;2,IF($C810=8,O810*IFERROR(INDEX('TaxCred&amp;Subs'!$K$139:$S$151,MATCH($C810&amp;$D810&amp;LEFT($AD810,7),'TaxCred&amp;Subs'!$E$139:$E$151,0),MATCH($H810,'TaxCred&amp;Subs'!$K$137:$S$137,0)),0),IF($C810=2,O810*IFERROR(INDEX('TaxCred&amp;Subs'!$K$139:$S$151,MATCH($C810&amp;$D810,'TaxCred&amp;Subs'!$D$139:$D$151,0),MATCH($H810,'TaxCred&amp;Subs'!$K$137:$S$137,0)),0),O810*IFERROR(INDEX('TaxCred&amp;Subs'!$K$139:$S$151,MATCH($C810&amp;$D810,'TaxCred&amp;Subs'!$C$139:$C$151,0),MATCH($H810,'TaxCred&amp;Subs'!$K$137:$S$137,0)),0))),0),0)</f>
        <v>35</v>
      </c>
      <c r="T810" s="95">
        <f t="shared" si="56"/>
        <v>0</v>
      </c>
      <c r="U810" s="95">
        <f t="shared" si="57"/>
        <v>0</v>
      </c>
      <c r="V810" s="28" t="s">
        <v>222</v>
      </c>
      <c r="W810" s="31">
        <v>2020</v>
      </c>
      <c r="X810" s="28">
        <v>1</v>
      </c>
      <c r="Y810" s="28">
        <v>0</v>
      </c>
      <c r="Z810" s="196">
        <v>-7.8530115035628234E-3</v>
      </c>
      <c r="AA810" s="196">
        <v>-0.12081556159327421</v>
      </c>
      <c r="AB810" s="28">
        <v>0</v>
      </c>
      <c r="AC810" s="28">
        <v>0</v>
      </c>
      <c r="AD810" s="28" t="s">
        <v>386</v>
      </c>
    </row>
    <row r="811" spans="2:31" ht="14.25" customHeight="1" x14ac:dyDescent="0.2">
      <c r="B811" s="7">
        <f t="shared" si="58"/>
        <v>787</v>
      </c>
      <c r="C811" s="28">
        <v>8</v>
      </c>
      <c r="D811" s="28">
        <v>1</v>
      </c>
      <c r="E811" s="28">
        <v>4</v>
      </c>
      <c r="F811" s="96">
        <v>2020</v>
      </c>
      <c r="G811" s="31">
        <v>2029</v>
      </c>
      <c r="H811" s="28">
        <v>4</v>
      </c>
      <c r="I811" s="28">
        <v>0</v>
      </c>
      <c r="J811" s="28">
        <v>0</v>
      </c>
      <c r="K811" s="28">
        <v>0</v>
      </c>
      <c r="L811" s="28">
        <v>0</v>
      </c>
      <c r="M811" s="79">
        <v>358</v>
      </c>
      <c r="N811" s="151">
        <v>785.36840289188297</v>
      </c>
      <c r="O811" s="151">
        <v>785.36840289188297</v>
      </c>
      <c r="P811" s="95">
        <f t="array" ref="P811">ROUND(IF($F811&lt;='TaxCred&amp;Subs'!$C$49,(IF($C811=2,IF($M811&gt;=IFERROR(INDEX('TaxCred&amp;Subs'!$L$12:$L$47,MATCH(1,($C811&amp;$D811='TaxCred&amp;Subs'!$E$12:$E$47)*($F811='TaxCred&amp;Subs'!$C$12:$C$47),0)
),9999),IFERROR(INDEX('TaxCred&amp;Subs'!$N$12:$N$47,MATCH(1,($C811&amp;$D811='TaxCred&amp;Subs'!$E$12:$E$47)*($F811='TaxCred&amp;Subs'!$C$12:$C$47),0)
),0),0),(IF($M811&gt;=IFERROR(INDEX('TaxCred&amp;Subs'!$H$12:$H$47,MATCH(1,($C811&amp;$D811='TaxCred&amp;Subs'!$D$12:$D$47)*($F811='TaxCred&amp;Subs'!$C$12:$C$47),0)
),9999),IFERROR(INDEX('TaxCred&amp;Subs'!$N$12:$N$47,MATCH(1,($C811&amp;$D811='TaxCred&amp;Subs'!$D$12:$D$47)*($F811='TaxCred&amp;Subs'!$C$12:$C$47),0)
),0),0)))),0)+IF(AND($C811=2,VALUE(RIGHT($AD811,1))&gt;2),(N811-R811)*(IFERROR(INDEX('TaxCred&amp;Subs'!$J$66:$J$99,MATCH(1,($C811&amp;$D811='TaxCred&amp;Subs'!$E$66:$E$99)*($F811='TaxCred&amp;Subs'!$C$66:$C$99),0)),0)),IF(AND($C811=1,VALUE(RIGHT($AD811,1))&gt;2),(N811-R811)*(IFERROR(INDEX('TaxCred&amp;Subs'!$J$66:$J$99,MATCH(1,($C811&amp;$D811='TaxCred&amp;Subs'!$D$66:$D$99)*($F811='TaxCred&amp;Subs'!$C$66:$C$99),0)),0)),IF($C811&gt;2,(N811-R811)*(IFERROR(INDEX('TaxCred&amp;Subs'!$J$66:$J$99,MATCH(1,($C811&amp;$D811='TaxCred&amp;Subs'!$D$66:$D$99)*($F811='TaxCred&amp;Subs'!$C$66:$C$99),0)),0)),0))),0)</f>
        <v>0</v>
      </c>
      <c r="Q811" s="95">
        <f t="array" ref="Q811">ROUND(IF(AND($C811=2,VALUE(RIGHT($AD811,1))&gt;2),(O811-S811)*(IFERROR(INDEX('TaxCred&amp;Subs'!$J$66:$J$99,MATCH(1,($C811&amp;$D811='TaxCred&amp;Subs'!$E$66:$E$99)*($F811='TaxCred&amp;Subs'!$C$66:$C$99),0)),0)),IF(AND($C811=1,VALUE(RIGHT($AD811,1))&gt;2),(O811-S811)*(IFERROR(INDEX('TaxCred&amp;Subs'!$J$66:$J$99,MATCH(1,($C811&amp;$D811='TaxCred&amp;Subs'!$D$66:$D$99)*($F811='TaxCred&amp;Subs'!$C$66:$C$99),0)),0)),IF($C811&gt;2,(O811-S811)*(IFERROR(INDEX('TaxCred&amp;Subs'!$J$66:$J$99,MATCH(1,($C811&amp;$D811='TaxCred&amp;Subs'!$D$66:$D$99)*($F811='TaxCred&amp;Subs'!$C$66:$C$99),0)),0)),0))),0)</f>
        <v>0</v>
      </c>
      <c r="R811" s="172">
        <f t="array" ref="R811">ROUND(IF(IFERROR(VALUE(RIGHT($AD811,1)),0)&gt;2,IF($C811=8,N811*IFERROR(INDEX('TaxCred&amp;Subs'!$K$139:$S$151,MATCH($C811&amp;$D811&amp;LEFT($AD811,7),'TaxCred&amp;Subs'!$E$139:$E$151,0),MATCH($H811,'TaxCred&amp;Subs'!$K$137:$S$137,0)),0),IF($C811=2,N811*IFERROR(INDEX('TaxCred&amp;Subs'!$K$139:$S$151,MATCH($C811&amp;$D811,'TaxCred&amp;Subs'!$D$139:$D$151,0),MATCH($H811,'TaxCred&amp;Subs'!$K$137:$S$137,0)),0),N811*IFERROR(INDEX('TaxCred&amp;Subs'!$K$139:$S$151,MATCH($C811&amp;$D811,'TaxCred&amp;Subs'!$C$139:$C$151,0),MATCH($H811,'TaxCred&amp;Subs'!$K$137:$S$137,0)),0))),0),0)</f>
        <v>22</v>
      </c>
      <c r="S811" s="172">
        <f t="array" ref="S811">ROUND(IF(IFERROR(VALUE(RIGHT($AD811,1)),0)&gt;2,IF($C811=8,O811*IFERROR(INDEX('TaxCred&amp;Subs'!$K$139:$S$151,MATCH($C811&amp;$D811&amp;LEFT($AD811,7),'TaxCred&amp;Subs'!$E$139:$E$151,0),MATCH($H811,'TaxCred&amp;Subs'!$K$137:$S$137,0)),0),IF($C811=2,O811*IFERROR(INDEX('TaxCred&amp;Subs'!$K$139:$S$151,MATCH($C811&amp;$D811,'TaxCred&amp;Subs'!$D$139:$D$151,0),MATCH($H811,'TaxCred&amp;Subs'!$K$137:$S$137,0)),0),O811*IFERROR(INDEX('TaxCred&amp;Subs'!$K$139:$S$151,MATCH($C811&amp;$D811,'TaxCred&amp;Subs'!$C$139:$C$151,0),MATCH($H811,'TaxCred&amp;Subs'!$K$137:$S$137,0)),0))),0),0)</f>
        <v>22</v>
      </c>
      <c r="T811" s="95">
        <f t="shared" si="56"/>
        <v>0</v>
      </c>
      <c r="U811" s="95">
        <f t="shared" si="57"/>
        <v>0</v>
      </c>
      <c r="V811" s="28" t="s">
        <v>222</v>
      </c>
      <c r="W811" s="31">
        <v>2020</v>
      </c>
      <c r="X811" s="28">
        <v>1</v>
      </c>
      <c r="Y811" s="28">
        <v>0</v>
      </c>
      <c r="Z811" s="196">
        <v>-7.8530115035628234E-3</v>
      </c>
      <c r="AA811" s="196">
        <v>-0.12081556159327421</v>
      </c>
      <c r="AB811" s="28">
        <v>0</v>
      </c>
      <c r="AC811" s="28">
        <v>0</v>
      </c>
      <c r="AD811" s="28" t="s">
        <v>386</v>
      </c>
    </row>
    <row r="812" spans="2:31" ht="14.25" customHeight="1" x14ac:dyDescent="0.2">
      <c r="B812" s="7">
        <f t="shared" si="58"/>
        <v>788</v>
      </c>
      <c r="C812" s="28">
        <v>8</v>
      </c>
      <c r="D812" s="28">
        <v>1</v>
      </c>
      <c r="E812" s="28">
        <v>4</v>
      </c>
      <c r="F812" s="96">
        <v>2020</v>
      </c>
      <c r="G812" s="31">
        <v>2029</v>
      </c>
      <c r="H812" s="28">
        <v>5</v>
      </c>
      <c r="I812" s="28">
        <v>0</v>
      </c>
      <c r="J812" s="28">
        <v>0</v>
      </c>
      <c r="K812" s="28">
        <v>0</v>
      </c>
      <c r="L812" s="28">
        <v>0</v>
      </c>
      <c r="M812" s="79">
        <v>358</v>
      </c>
      <c r="N812" s="151">
        <v>785.36840289188297</v>
      </c>
      <c r="O812" s="151">
        <v>785.36840289188297</v>
      </c>
      <c r="P812" s="95">
        <f t="array" ref="P812">ROUND(IF($F812&lt;='TaxCred&amp;Subs'!$C$49,(IF($C812=2,IF($M812&gt;=IFERROR(INDEX('TaxCred&amp;Subs'!$L$12:$L$47,MATCH(1,($C812&amp;$D812='TaxCred&amp;Subs'!$E$12:$E$47)*($F812='TaxCred&amp;Subs'!$C$12:$C$47),0)
),9999),IFERROR(INDEX('TaxCred&amp;Subs'!$N$12:$N$47,MATCH(1,($C812&amp;$D812='TaxCred&amp;Subs'!$E$12:$E$47)*($F812='TaxCred&amp;Subs'!$C$12:$C$47),0)
),0),0),(IF($M812&gt;=IFERROR(INDEX('TaxCred&amp;Subs'!$H$12:$H$47,MATCH(1,($C812&amp;$D812='TaxCred&amp;Subs'!$D$12:$D$47)*($F812='TaxCred&amp;Subs'!$C$12:$C$47),0)
),9999),IFERROR(INDEX('TaxCred&amp;Subs'!$N$12:$N$47,MATCH(1,($C812&amp;$D812='TaxCred&amp;Subs'!$D$12:$D$47)*($F812='TaxCred&amp;Subs'!$C$12:$C$47),0)
),0),0)))),0)+IF(AND($C812=2,VALUE(RIGHT($AD812,1))&gt;2),(N812-R812)*(IFERROR(INDEX('TaxCred&amp;Subs'!$J$66:$J$99,MATCH(1,($C812&amp;$D812='TaxCred&amp;Subs'!$E$66:$E$99)*($F812='TaxCred&amp;Subs'!$C$66:$C$99),0)),0)),IF(AND($C812=1,VALUE(RIGHT($AD812,1))&gt;2),(N812-R812)*(IFERROR(INDEX('TaxCred&amp;Subs'!$J$66:$J$99,MATCH(1,($C812&amp;$D812='TaxCred&amp;Subs'!$D$66:$D$99)*($F812='TaxCred&amp;Subs'!$C$66:$C$99),0)),0)),IF($C812&gt;2,(N812-R812)*(IFERROR(INDEX('TaxCred&amp;Subs'!$J$66:$J$99,MATCH(1,($C812&amp;$D812='TaxCred&amp;Subs'!$D$66:$D$99)*($F812='TaxCred&amp;Subs'!$C$66:$C$99),0)),0)),0))),0)</f>
        <v>0</v>
      </c>
      <c r="Q812" s="95">
        <f t="array" ref="Q812">ROUND(IF(AND($C812=2,VALUE(RIGHT($AD812,1))&gt;2),(O812-S812)*(IFERROR(INDEX('TaxCred&amp;Subs'!$J$66:$J$99,MATCH(1,($C812&amp;$D812='TaxCred&amp;Subs'!$E$66:$E$99)*($F812='TaxCred&amp;Subs'!$C$66:$C$99),0)),0)),IF(AND($C812=1,VALUE(RIGHT($AD812,1))&gt;2),(O812-S812)*(IFERROR(INDEX('TaxCred&amp;Subs'!$J$66:$J$99,MATCH(1,($C812&amp;$D812='TaxCred&amp;Subs'!$D$66:$D$99)*($F812='TaxCred&amp;Subs'!$C$66:$C$99),0)),0)),IF($C812&gt;2,(O812-S812)*(IFERROR(INDEX('TaxCred&amp;Subs'!$J$66:$J$99,MATCH(1,($C812&amp;$D812='TaxCred&amp;Subs'!$D$66:$D$99)*($F812='TaxCred&amp;Subs'!$C$66:$C$99),0)),0)),0))),0)</f>
        <v>0</v>
      </c>
      <c r="R812" s="172">
        <f t="array" ref="R812">ROUND(IF(IFERROR(VALUE(RIGHT($AD812,1)),0)&gt;2,IF($C812=8,N812*IFERROR(INDEX('TaxCred&amp;Subs'!$K$139:$S$151,MATCH($C812&amp;$D812&amp;LEFT($AD812,7),'TaxCred&amp;Subs'!$E$139:$E$151,0),MATCH($H812,'TaxCred&amp;Subs'!$K$137:$S$137,0)),0),IF($C812=2,N812*IFERROR(INDEX('TaxCred&amp;Subs'!$K$139:$S$151,MATCH($C812&amp;$D812,'TaxCred&amp;Subs'!$D$139:$D$151,0),MATCH($H812,'TaxCred&amp;Subs'!$K$137:$S$137,0)),0),N812*IFERROR(INDEX('TaxCred&amp;Subs'!$K$139:$S$151,MATCH($C812&amp;$D812,'TaxCred&amp;Subs'!$C$139:$C$151,0),MATCH($H812,'TaxCred&amp;Subs'!$K$137:$S$137,0)),0))),0),0)</f>
        <v>45</v>
      </c>
      <c r="S812" s="172">
        <f t="array" ref="S812">ROUND(IF(IFERROR(VALUE(RIGHT($AD812,1)),0)&gt;2,IF($C812=8,O812*IFERROR(INDEX('TaxCred&amp;Subs'!$K$139:$S$151,MATCH($C812&amp;$D812&amp;LEFT($AD812,7),'TaxCred&amp;Subs'!$E$139:$E$151,0),MATCH($H812,'TaxCred&amp;Subs'!$K$137:$S$137,0)),0),IF($C812=2,O812*IFERROR(INDEX('TaxCred&amp;Subs'!$K$139:$S$151,MATCH($C812&amp;$D812,'TaxCred&amp;Subs'!$D$139:$D$151,0),MATCH($H812,'TaxCred&amp;Subs'!$K$137:$S$137,0)),0),O812*IFERROR(INDEX('TaxCred&amp;Subs'!$K$139:$S$151,MATCH($C812&amp;$D812,'TaxCred&amp;Subs'!$C$139:$C$151,0),MATCH($H812,'TaxCred&amp;Subs'!$K$137:$S$137,0)),0))),0),0)</f>
        <v>45</v>
      </c>
      <c r="T812" s="95">
        <f t="shared" si="56"/>
        <v>0</v>
      </c>
      <c r="U812" s="95">
        <f t="shared" si="57"/>
        <v>0</v>
      </c>
      <c r="V812" s="28" t="s">
        <v>222</v>
      </c>
      <c r="W812" s="31">
        <v>2020</v>
      </c>
      <c r="X812" s="28">
        <v>1</v>
      </c>
      <c r="Y812" s="28">
        <v>0</v>
      </c>
      <c r="Z812" s="196">
        <v>-7.8530115035628234E-3</v>
      </c>
      <c r="AA812" s="196">
        <v>-0.12081556159327421</v>
      </c>
      <c r="AB812" s="28">
        <v>0</v>
      </c>
      <c r="AC812" s="28">
        <v>0</v>
      </c>
      <c r="AD812" s="28" t="s">
        <v>386</v>
      </c>
    </row>
    <row r="813" spans="2:31" ht="14.25" customHeight="1" x14ac:dyDescent="0.2">
      <c r="B813" s="7">
        <f t="shared" si="58"/>
        <v>789</v>
      </c>
      <c r="C813" s="28">
        <v>8</v>
      </c>
      <c r="D813" s="28">
        <v>1</v>
      </c>
      <c r="E813" s="28">
        <v>4</v>
      </c>
      <c r="F813" s="96">
        <v>2020</v>
      </c>
      <c r="G813" s="31">
        <v>2029</v>
      </c>
      <c r="H813" s="28">
        <v>6</v>
      </c>
      <c r="I813" s="28">
        <v>0</v>
      </c>
      <c r="J813" s="28">
        <v>0</v>
      </c>
      <c r="K813" s="28">
        <v>0</v>
      </c>
      <c r="L813" s="28">
        <v>0</v>
      </c>
      <c r="M813" s="79">
        <v>358</v>
      </c>
      <c r="N813" s="151">
        <v>785.36840289188297</v>
      </c>
      <c r="O813" s="151">
        <v>785.36840289188297</v>
      </c>
      <c r="P813" s="95">
        <f t="array" ref="P813">ROUND(IF($F813&lt;='TaxCred&amp;Subs'!$C$49,(IF($C813=2,IF($M813&gt;=IFERROR(INDEX('TaxCred&amp;Subs'!$L$12:$L$47,MATCH(1,($C813&amp;$D813='TaxCred&amp;Subs'!$E$12:$E$47)*($F813='TaxCred&amp;Subs'!$C$12:$C$47),0)
),9999),IFERROR(INDEX('TaxCred&amp;Subs'!$N$12:$N$47,MATCH(1,($C813&amp;$D813='TaxCred&amp;Subs'!$E$12:$E$47)*($F813='TaxCred&amp;Subs'!$C$12:$C$47),0)
),0),0),(IF($M813&gt;=IFERROR(INDEX('TaxCred&amp;Subs'!$H$12:$H$47,MATCH(1,($C813&amp;$D813='TaxCred&amp;Subs'!$D$12:$D$47)*($F813='TaxCred&amp;Subs'!$C$12:$C$47),0)
),9999),IFERROR(INDEX('TaxCred&amp;Subs'!$N$12:$N$47,MATCH(1,($C813&amp;$D813='TaxCred&amp;Subs'!$D$12:$D$47)*($F813='TaxCred&amp;Subs'!$C$12:$C$47),0)
),0),0)))),0)+IF(AND($C813=2,VALUE(RIGHT($AD813,1))&gt;2),(N813-R813)*(IFERROR(INDEX('TaxCred&amp;Subs'!$J$66:$J$99,MATCH(1,($C813&amp;$D813='TaxCred&amp;Subs'!$E$66:$E$99)*($F813='TaxCred&amp;Subs'!$C$66:$C$99),0)),0)),IF(AND($C813=1,VALUE(RIGHT($AD813,1))&gt;2),(N813-R813)*(IFERROR(INDEX('TaxCred&amp;Subs'!$J$66:$J$99,MATCH(1,($C813&amp;$D813='TaxCred&amp;Subs'!$D$66:$D$99)*($F813='TaxCred&amp;Subs'!$C$66:$C$99),0)),0)),IF($C813&gt;2,(N813-R813)*(IFERROR(INDEX('TaxCred&amp;Subs'!$J$66:$J$99,MATCH(1,($C813&amp;$D813='TaxCred&amp;Subs'!$D$66:$D$99)*($F813='TaxCred&amp;Subs'!$C$66:$C$99),0)),0)),0))),0)</f>
        <v>0</v>
      </c>
      <c r="Q813" s="95">
        <f t="array" ref="Q813">ROUND(IF(AND($C813=2,VALUE(RIGHT($AD813,1))&gt;2),(O813-S813)*(IFERROR(INDEX('TaxCred&amp;Subs'!$J$66:$J$99,MATCH(1,($C813&amp;$D813='TaxCred&amp;Subs'!$E$66:$E$99)*($F813='TaxCred&amp;Subs'!$C$66:$C$99),0)),0)),IF(AND($C813=1,VALUE(RIGHT($AD813,1))&gt;2),(O813-S813)*(IFERROR(INDEX('TaxCred&amp;Subs'!$J$66:$J$99,MATCH(1,($C813&amp;$D813='TaxCred&amp;Subs'!$D$66:$D$99)*($F813='TaxCred&amp;Subs'!$C$66:$C$99),0)),0)),IF($C813&gt;2,(O813-S813)*(IFERROR(INDEX('TaxCred&amp;Subs'!$J$66:$J$99,MATCH(1,($C813&amp;$D813='TaxCred&amp;Subs'!$D$66:$D$99)*($F813='TaxCred&amp;Subs'!$C$66:$C$99),0)),0)),0))),0)</f>
        <v>0</v>
      </c>
      <c r="R813" s="172">
        <f t="array" ref="R813">ROUND(IF(IFERROR(VALUE(RIGHT($AD813,1)),0)&gt;2,IF($C813=8,N813*IFERROR(INDEX('TaxCred&amp;Subs'!$K$139:$S$151,MATCH($C813&amp;$D813&amp;LEFT($AD813,7),'TaxCred&amp;Subs'!$E$139:$E$151,0),MATCH($H813,'TaxCred&amp;Subs'!$K$137:$S$137,0)),0),IF($C813=2,N813*IFERROR(INDEX('TaxCred&amp;Subs'!$K$139:$S$151,MATCH($C813&amp;$D813,'TaxCred&amp;Subs'!$D$139:$D$151,0),MATCH($H813,'TaxCred&amp;Subs'!$K$137:$S$137,0)),0),N813*IFERROR(INDEX('TaxCred&amp;Subs'!$K$139:$S$151,MATCH($C813&amp;$D813,'TaxCred&amp;Subs'!$C$139:$C$151,0),MATCH($H813,'TaxCred&amp;Subs'!$K$137:$S$137,0)),0))),0),0)</f>
        <v>66</v>
      </c>
      <c r="S813" s="172">
        <f t="array" ref="S813">ROUND(IF(IFERROR(VALUE(RIGHT($AD813,1)),0)&gt;2,IF($C813=8,O813*IFERROR(INDEX('TaxCred&amp;Subs'!$K$139:$S$151,MATCH($C813&amp;$D813&amp;LEFT($AD813,7),'TaxCred&amp;Subs'!$E$139:$E$151,0),MATCH($H813,'TaxCred&amp;Subs'!$K$137:$S$137,0)),0),IF($C813=2,O813*IFERROR(INDEX('TaxCred&amp;Subs'!$K$139:$S$151,MATCH($C813&amp;$D813,'TaxCred&amp;Subs'!$D$139:$D$151,0),MATCH($H813,'TaxCred&amp;Subs'!$K$137:$S$137,0)),0),O813*IFERROR(INDEX('TaxCred&amp;Subs'!$K$139:$S$151,MATCH($C813&amp;$D813,'TaxCred&amp;Subs'!$C$139:$C$151,0),MATCH($H813,'TaxCred&amp;Subs'!$K$137:$S$137,0)),0))),0),0)</f>
        <v>66</v>
      </c>
      <c r="T813" s="95">
        <f t="shared" si="56"/>
        <v>0</v>
      </c>
      <c r="U813" s="95">
        <f t="shared" si="57"/>
        <v>0</v>
      </c>
      <c r="V813" s="28" t="s">
        <v>222</v>
      </c>
      <c r="W813" s="31">
        <v>2020</v>
      </c>
      <c r="X813" s="28">
        <v>1</v>
      </c>
      <c r="Y813" s="28">
        <v>0</v>
      </c>
      <c r="Z813" s="196">
        <v>-7.8530115035628234E-3</v>
      </c>
      <c r="AA813" s="196">
        <v>-0.12081556159327421</v>
      </c>
      <c r="AB813" s="28">
        <v>0</v>
      </c>
      <c r="AC813" s="28">
        <v>0</v>
      </c>
      <c r="AD813" s="28" t="s">
        <v>386</v>
      </c>
    </row>
    <row r="814" spans="2:31" ht="14.25" customHeight="1" x14ac:dyDescent="0.2">
      <c r="B814" s="7">
        <f t="shared" si="58"/>
        <v>790</v>
      </c>
      <c r="C814" s="28">
        <v>8</v>
      </c>
      <c r="D814" s="28">
        <v>1</v>
      </c>
      <c r="E814" s="28">
        <v>4</v>
      </c>
      <c r="F814" s="96">
        <v>2020</v>
      </c>
      <c r="G814" s="31">
        <v>2029</v>
      </c>
      <c r="H814" s="28">
        <v>7</v>
      </c>
      <c r="I814" s="28">
        <v>0</v>
      </c>
      <c r="J814" s="28">
        <v>0</v>
      </c>
      <c r="K814" s="28">
        <v>0</v>
      </c>
      <c r="L814" s="28">
        <v>0</v>
      </c>
      <c r="M814" s="79">
        <v>358</v>
      </c>
      <c r="N814" s="151">
        <v>785.36840289188297</v>
      </c>
      <c r="O814" s="151">
        <v>785.36840289188297</v>
      </c>
      <c r="P814" s="95">
        <f t="array" ref="P814">ROUND(IF($F814&lt;='TaxCred&amp;Subs'!$C$49,(IF($C814=2,IF($M814&gt;=IFERROR(INDEX('TaxCred&amp;Subs'!$L$12:$L$47,MATCH(1,($C814&amp;$D814='TaxCred&amp;Subs'!$E$12:$E$47)*($F814='TaxCred&amp;Subs'!$C$12:$C$47),0)
),9999),IFERROR(INDEX('TaxCred&amp;Subs'!$N$12:$N$47,MATCH(1,($C814&amp;$D814='TaxCred&amp;Subs'!$E$12:$E$47)*($F814='TaxCred&amp;Subs'!$C$12:$C$47),0)
),0),0),(IF($M814&gt;=IFERROR(INDEX('TaxCred&amp;Subs'!$H$12:$H$47,MATCH(1,($C814&amp;$D814='TaxCred&amp;Subs'!$D$12:$D$47)*($F814='TaxCred&amp;Subs'!$C$12:$C$47),0)
),9999),IFERROR(INDEX('TaxCred&amp;Subs'!$N$12:$N$47,MATCH(1,($C814&amp;$D814='TaxCred&amp;Subs'!$D$12:$D$47)*($F814='TaxCred&amp;Subs'!$C$12:$C$47),0)
),0),0)))),0)+IF(AND($C814=2,VALUE(RIGHT($AD814,1))&gt;2),(N814-R814)*(IFERROR(INDEX('TaxCred&amp;Subs'!$J$66:$J$99,MATCH(1,($C814&amp;$D814='TaxCred&amp;Subs'!$E$66:$E$99)*($F814='TaxCred&amp;Subs'!$C$66:$C$99),0)),0)),IF(AND($C814=1,VALUE(RIGHT($AD814,1))&gt;2),(N814-R814)*(IFERROR(INDEX('TaxCred&amp;Subs'!$J$66:$J$99,MATCH(1,($C814&amp;$D814='TaxCred&amp;Subs'!$D$66:$D$99)*($F814='TaxCred&amp;Subs'!$C$66:$C$99),0)),0)),IF($C814&gt;2,(N814-R814)*(IFERROR(INDEX('TaxCred&amp;Subs'!$J$66:$J$99,MATCH(1,($C814&amp;$D814='TaxCred&amp;Subs'!$D$66:$D$99)*($F814='TaxCred&amp;Subs'!$C$66:$C$99),0)),0)),0))),0)</f>
        <v>0</v>
      </c>
      <c r="Q814" s="95">
        <f t="array" ref="Q814">ROUND(IF(AND($C814=2,VALUE(RIGHT($AD814,1))&gt;2),(O814-S814)*(IFERROR(INDEX('TaxCred&amp;Subs'!$J$66:$J$99,MATCH(1,($C814&amp;$D814='TaxCred&amp;Subs'!$E$66:$E$99)*($F814='TaxCred&amp;Subs'!$C$66:$C$99),0)),0)),IF(AND($C814=1,VALUE(RIGHT($AD814,1))&gt;2),(O814-S814)*(IFERROR(INDEX('TaxCred&amp;Subs'!$J$66:$J$99,MATCH(1,($C814&amp;$D814='TaxCred&amp;Subs'!$D$66:$D$99)*($F814='TaxCred&amp;Subs'!$C$66:$C$99),0)),0)),IF($C814&gt;2,(O814-S814)*(IFERROR(INDEX('TaxCred&amp;Subs'!$J$66:$J$99,MATCH(1,($C814&amp;$D814='TaxCred&amp;Subs'!$D$66:$D$99)*($F814='TaxCred&amp;Subs'!$C$66:$C$99),0)),0)),0))),0)</f>
        <v>0</v>
      </c>
      <c r="R814" s="172">
        <f t="array" ref="R814">ROUND(IF(IFERROR(VALUE(RIGHT($AD814,1)),0)&gt;2,IF($C814=8,N814*IFERROR(INDEX('TaxCred&amp;Subs'!$K$139:$S$151,MATCH($C814&amp;$D814&amp;LEFT($AD814,7),'TaxCred&amp;Subs'!$E$139:$E$151,0),MATCH($H814,'TaxCred&amp;Subs'!$K$137:$S$137,0)),0),IF($C814=2,N814*IFERROR(INDEX('TaxCred&amp;Subs'!$K$139:$S$151,MATCH($C814&amp;$D814,'TaxCred&amp;Subs'!$D$139:$D$151,0),MATCH($H814,'TaxCred&amp;Subs'!$K$137:$S$137,0)),0),N814*IFERROR(INDEX('TaxCred&amp;Subs'!$K$139:$S$151,MATCH($C814&amp;$D814,'TaxCred&amp;Subs'!$C$139:$C$151,0),MATCH($H814,'TaxCred&amp;Subs'!$K$137:$S$137,0)),0))),0),0)</f>
        <v>7</v>
      </c>
      <c r="S814" s="172">
        <f t="array" ref="S814">ROUND(IF(IFERROR(VALUE(RIGHT($AD814,1)),0)&gt;2,IF($C814=8,O814*IFERROR(INDEX('TaxCred&amp;Subs'!$K$139:$S$151,MATCH($C814&amp;$D814&amp;LEFT($AD814,7),'TaxCred&amp;Subs'!$E$139:$E$151,0),MATCH($H814,'TaxCred&amp;Subs'!$K$137:$S$137,0)),0),IF($C814=2,O814*IFERROR(INDEX('TaxCred&amp;Subs'!$K$139:$S$151,MATCH($C814&amp;$D814,'TaxCred&amp;Subs'!$D$139:$D$151,0),MATCH($H814,'TaxCred&amp;Subs'!$K$137:$S$137,0)),0),O814*IFERROR(INDEX('TaxCred&amp;Subs'!$K$139:$S$151,MATCH($C814&amp;$D814,'TaxCred&amp;Subs'!$C$139:$C$151,0),MATCH($H814,'TaxCred&amp;Subs'!$K$137:$S$137,0)),0))),0),0)</f>
        <v>7</v>
      </c>
      <c r="T814" s="95">
        <f t="shared" si="56"/>
        <v>0</v>
      </c>
      <c r="U814" s="95">
        <f t="shared" si="57"/>
        <v>0</v>
      </c>
      <c r="V814" s="28" t="s">
        <v>222</v>
      </c>
      <c r="W814" s="31">
        <v>2020</v>
      </c>
      <c r="X814" s="28">
        <v>1</v>
      </c>
      <c r="Y814" s="28">
        <v>0</v>
      </c>
      <c r="Z814" s="196">
        <v>-7.8530115035628234E-3</v>
      </c>
      <c r="AA814" s="196">
        <v>-0.12081556159327421</v>
      </c>
      <c r="AB814" s="28">
        <v>0</v>
      </c>
      <c r="AC814" s="28">
        <v>0</v>
      </c>
      <c r="AD814" s="28" t="s">
        <v>386</v>
      </c>
    </row>
    <row r="815" spans="2:31" ht="14.25" customHeight="1" x14ac:dyDescent="0.2">
      <c r="B815" s="7">
        <f t="shared" si="58"/>
        <v>791</v>
      </c>
      <c r="C815" s="28">
        <v>8</v>
      </c>
      <c r="D815" s="28">
        <v>1</v>
      </c>
      <c r="E815" s="28">
        <v>4</v>
      </c>
      <c r="F815" s="96">
        <v>2020</v>
      </c>
      <c r="G815" s="31">
        <v>2029</v>
      </c>
      <c r="H815" s="28">
        <v>8</v>
      </c>
      <c r="I815" s="28">
        <v>0</v>
      </c>
      <c r="J815" s="28">
        <v>0</v>
      </c>
      <c r="K815" s="28">
        <v>0</v>
      </c>
      <c r="L815" s="28">
        <v>0</v>
      </c>
      <c r="M815" s="79">
        <v>358</v>
      </c>
      <c r="N815" s="151">
        <v>785.36840289188297</v>
      </c>
      <c r="O815" s="151">
        <v>785.36840289188297</v>
      </c>
      <c r="P815" s="95">
        <f t="array" ref="P815">ROUND(IF($F815&lt;='TaxCred&amp;Subs'!$C$49,(IF($C815=2,IF($M815&gt;=IFERROR(INDEX('TaxCred&amp;Subs'!$L$12:$L$47,MATCH(1,($C815&amp;$D815='TaxCred&amp;Subs'!$E$12:$E$47)*($F815='TaxCred&amp;Subs'!$C$12:$C$47),0)
),9999),IFERROR(INDEX('TaxCred&amp;Subs'!$N$12:$N$47,MATCH(1,($C815&amp;$D815='TaxCred&amp;Subs'!$E$12:$E$47)*($F815='TaxCred&amp;Subs'!$C$12:$C$47),0)
),0),0),(IF($M815&gt;=IFERROR(INDEX('TaxCred&amp;Subs'!$H$12:$H$47,MATCH(1,($C815&amp;$D815='TaxCred&amp;Subs'!$D$12:$D$47)*($F815='TaxCred&amp;Subs'!$C$12:$C$47),0)
),9999),IFERROR(INDEX('TaxCred&amp;Subs'!$N$12:$N$47,MATCH(1,($C815&amp;$D815='TaxCred&amp;Subs'!$D$12:$D$47)*($F815='TaxCred&amp;Subs'!$C$12:$C$47),0)
),0),0)))),0)+IF(AND($C815=2,VALUE(RIGHT($AD815,1))&gt;2),(N815-R815)*(IFERROR(INDEX('TaxCred&amp;Subs'!$J$66:$J$99,MATCH(1,($C815&amp;$D815='TaxCred&amp;Subs'!$E$66:$E$99)*($F815='TaxCred&amp;Subs'!$C$66:$C$99),0)),0)),IF(AND($C815=1,VALUE(RIGHT($AD815,1))&gt;2),(N815-R815)*(IFERROR(INDEX('TaxCred&amp;Subs'!$J$66:$J$99,MATCH(1,($C815&amp;$D815='TaxCred&amp;Subs'!$D$66:$D$99)*($F815='TaxCred&amp;Subs'!$C$66:$C$99),0)),0)),IF($C815&gt;2,(N815-R815)*(IFERROR(INDEX('TaxCred&amp;Subs'!$J$66:$J$99,MATCH(1,($C815&amp;$D815='TaxCred&amp;Subs'!$D$66:$D$99)*($F815='TaxCred&amp;Subs'!$C$66:$C$99),0)),0)),0))),0)</f>
        <v>0</v>
      </c>
      <c r="Q815" s="95">
        <f t="array" ref="Q815">ROUND(IF(AND($C815=2,VALUE(RIGHT($AD815,1))&gt;2),(O815-S815)*(IFERROR(INDEX('TaxCred&amp;Subs'!$J$66:$J$99,MATCH(1,($C815&amp;$D815='TaxCred&amp;Subs'!$E$66:$E$99)*($F815='TaxCred&amp;Subs'!$C$66:$C$99),0)),0)),IF(AND($C815=1,VALUE(RIGHT($AD815,1))&gt;2),(O815-S815)*(IFERROR(INDEX('TaxCred&amp;Subs'!$J$66:$J$99,MATCH(1,($C815&amp;$D815='TaxCred&amp;Subs'!$D$66:$D$99)*($F815='TaxCred&amp;Subs'!$C$66:$C$99),0)),0)),IF($C815&gt;2,(O815-S815)*(IFERROR(INDEX('TaxCred&amp;Subs'!$J$66:$J$99,MATCH(1,($C815&amp;$D815='TaxCred&amp;Subs'!$D$66:$D$99)*($F815='TaxCred&amp;Subs'!$C$66:$C$99),0)),0)),0))),0)</f>
        <v>0</v>
      </c>
      <c r="R815" s="172">
        <f t="array" ref="R815">ROUND(IF(IFERROR(VALUE(RIGHT($AD815,1)),0)&gt;2,IF($C815=8,N815*IFERROR(INDEX('TaxCred&amp;Subs'!$K$139:$S$151,MATCH($C815&amp;$D815&amp;LEFT($AD815,7),'TaxCred&amp;Subs'!$E$139:$E$151,0),MATCH($H815,'TaxCred&amp;Subs'!$K$137:$S$137,0)),0),IF($C815=2,N815*IFERROR(INDEX('TaxCred&amp;Subs'!$K$139:$S$151,MATCH($C815&amp;$D815,'TaxCred&amp;Subs'!$D$139:$D$151,0),MATCH($H815,'TaxCred&amp;Subs'!$K$137:$S$137,0)),0),N815*IFERROR(INDEX('TaxCred&amp;Subs'!$K$139:$S$151,MATCH($C815&amp;$D815,'TaxCred&amp;Subs'!$C$139:$C$151,0),MATCH($H815,'TaxCred&amp;Subs'!$K$137:$S$137,0)),0))),0),0)</f>
        <v>30</v>
      </c>
      <c r="S815" s="172">
        <f t="array" ref="S815">ROUND(IF(IFERROR(VALUE(RIGHT($AD815,1)),0)&gt;2,IF($C815=8,O815*IFERROR(INDEX('TaxCred&amp;Subs'!$K$139:$S$151,MATCH($C815&amp;$D815&amp;LEFT($AD815,7),'TaxCred&amp;Subs'!$E$139:$E$151,0),MATCH($H815,'TaxCred&amp;Subs'!$K$137:$S$137,0)),0),IF($C815=2,O815*IFERROR(INDEX('TaxCred&amp;Subs'!$K$139:$S$151,MATCH($C815&amp;$D815,'TaxCred&amp;Subs'!$D$139:$D$151,0),MATCH($H815,'TaxCred&amp;Subs'!$K$137:$S$137,0)),0),O815*IFERROR(INDEX('TaxCred&amp;Subs'!$K$139:$S$151,MATCH($C815&amp;$D815,'TaxCred&amp;Subs'!$C$139:$C$151,0),MATCH($H815,'TaxCred&amp;Subs'!$K$137:$S$137,0)),0))),0),0)</f>
        <v>30</v>
      </c>
      <c r="T815" s="95">
        <f t="shared" si="56"/>
        <v>0</v>
      </c>
      <c r="U815" s="95">
        <f t="shared" si="57"/>
        <v>0</v>
      </c>
      <c r="V815" s="28" t="s">
        <v>222</v>
      </c>
      <c r="W815" s="31">
        <v>2020</v>
      </c>
      <c r="X815" s="28">
        <v>1</v>
      </c>
      <c r="Y815" s="28">
        <v>0</v>
      </c>
      <c r="Z815" s="196">
        <v>-7.8530115035628234E-3</v>
      </c>
      <c r="AA815" s="196">
        <v>-0.12081556159327421</v>
      </c>
      <c r="AB815" s="28">
        <v>0</v>
      </c>
      <c r="AC815" s="28">
        <v>0</v>
      </c>
      <c r="AD815" s="28" t="s">
        <v>386</v>
      </c>
    </row>
    <row r="816" spans="2:31" ht="14.25" customHeight="1" x14ac:dyDescent="0.2">
      <c r="B816" s="7">
        <f t="shared" si="58"/>
        <v>792</v>
      </c>
      <c r="C816" s="28">
        <v>8</v>
      </c>
      <c r="D816" s="28">
        <v>1</v>
      </c>
      <c r="E816" s="28">
        <v>4</v>
      </c>
      <c r="F816" s="96">
        <v>2020</v>
      </c>
      <c r="G816" s="31">
        <v>2029</v>
      </c>
      <c r="H816" s="28">
        <v>9</v>
      </c>
      <c r="I816" s="28">
        <v>0</v>
      </c>
      <c r="J816" s="28">
        <v>0</v>
      </c>
      <c r="K816" s="28">
        <v>0</v>
      </c>
      <c r="L816" s="28">
        <v>0</v>
      </c>
      <c r="M816" s="79">
        <v>358</v>
      </c>
      <c r="N816" s="151">
        <v>785.36840289188297</v>
      </c>
      <c r="O816" s="151">
        <v>785.36840289188297</v>
      </c>
      <c r="P816" s="95">
        <f t="array" ref="P816">ROUND(IF($F816&lt;='TaxCred&amp;Subs'!$C$49,(IF($C816=2,IF($M816&gt;=IFERROR(INDEX('TaxCred&amp;Subs'!$L$12:$L$47,MATCH(1,($C816&amp;$D816='TaxCred&amp;Subs'!$E$12:$E$47)*($F816='TaxCred&amp;Subs'!$C$12:$C$47),0)
),9999),IFERROR(INDEX('TaxCred&amp;Subs'!$N$12:$N$47,MATCH(1,($C816&amp;$D816='TaxCred&amp;Subs'!$E$12:$E$47)*($F816='TaxCred&amp;Subs'!$C$12:$C$47),0)
),0),0),(IF($M816&gt;=IFERROR(INDEX('TaxCred&amp;Subs'!$H$12:$H$47,MATCH(1,($C816&amp;$D816='TaxCred&amp;Subs'!$D$12:$D$47)*($F816='TaxCred&amp;Subs'!$C$12:$C$47),0)
),9999),IFERROR(INDEX('TaxCred&amp;Subs'!$N$12:$N$47,MATCH(1,($C816&amp;$D816='TaxCred&amp;Subs'!$D$12:$D$47)*($F816='TaxCred&amp;Subs'!$C$12:$C$47),0)
),0),0)))),0)+IF(AND($C816=2,VALUE(RIGHT($AD816,1))&gt;2),(N816-R816)*(IFERROR(INDEX('TaxCred&amp;Subs'!$J$66:$J$99,MATCH(1,($C816&amp;$D816='TaxCred&amp;Subs'!$E$66:$E$99)*($F816='TaxCred&amp;Subs'!$C$66:$C$99),0)),0)),IF(AND($C816=1,VALUE(RIGHT($AD816,1))&gt;2),(N816-R816)*(IFERROR(INDEX('TaxCred&amp;Subs'!$J$66:$J$99,MATCH(1,($C816&amp;$D816='TaxCred&amp;Subs'!$D$66:$D$99)*($F816='TaxCred&amp;Subs'!$C$66:$C$99),0)),0)),IF($C816&gt;2,(N816-R816)*(IFERROR(INDEX('TaxCred&amp;Subs'!$J$66:$J$99,MATCH(1,($C816&amp;$D816='TaxCred&amp;Subs'!$D$66:$D$99)*($F816='TaxCred&amp;Subs'!$C$66:$C$99),0)),0)),0))),0)</f>
        <v>0</v>
      </c>
      <c r="Q816" s="95">
        <f t="array" ref="Q816">ROUND(IF(AND($C816=2,VALUE(RIGHT($AD816,1))&gt;2),(O816-S816)*(IFERROR(INDEX('TaxCred&amp;Subs'!$J$66:$J$99,MATCH(1,($C816&amp;$D816='TaxCred&amp;Subs'!$E$66:$E$99)*($F816='TaxCred&amp;Subs'!$C$66:$C$99),0)),0)),IF(AND($C816=1,VALUE(RIGHT($AD816,1))&gt;2),(O816-S816)*(IFERROR(INDEX('TaxCred&amp;Subs'!$J$66:$J$99,MATCH(1,($C816&amp;$D816='TaxCred&amp;Subs'!$D$66:$D$99)*($F816='TaxCred&amp;Subs'!$C$66:$C$99),0)),0)),IF($C816&gt;2,(O816-S816)*(IFERROR(INDEX('TaxCred&amp;Subs'!$J$66:$J$99,MATCH(1,($C816&amp;$D816='TaxCred&amp;Subs'!$D$66:$D$99)*($F816='TaxCred&amp;Subs'!$C$66:$C$99),0)),0)),0))),0)</f>
        <v>0</v>
      </c>
      <c r="R816" s="172">
        <f t="array" ref="R816">ROUND(IF(IFERROR(VALUE(RIGHT($AD816,1)),0)&gt;2,IF($C816=8,N816*IFERROR(INDEX('TaxCred&amp;Subs'!$K$139:$S$151,MATCH($C816&amp;$D816&amp;LEFT($AD816,7),'TaxCred&amp;Subs'!$E$139:$E$151,0),MATCH($H816,'TaxCred&amp;Subs'!$K$137:$S$137,0)),0),IF($C816=2,N816*IFERROR(INDEX('TaxCred&amp;Subs'!$K$139:$S$151,MATCH($C816&amp;$D816,'TaxCred&amp;Subs'!$D$139:$D$151,0),MATCH($H816,'TaxCred&amp;Subs'!$K$137:$S$137,0)),0),N816*IFERROR(INDEX('TaxCred&amp;Subs'!$K$139:$S$151,MATCH($C816&amp;$D816,'TaxCred&amp;Subs'!$C$139:$C$151,0),MATCH($H816,'TaxCred&amp;Subs'!$K$137:$S$137,0)),0))),0),0)</f>
        <v>86</v>
      </c>
      <c r="S816" s="172">
        <f t="array" ref="S816">ROUND(IF(IFERROR(VALUE(RIGHT($AD816,1)),0)&gt;2,IF($C816=8,O816*IFERROR(INDEX('TaxCred&amp;Subs'!$K$139:$S$151,MATCH($C816&amp;$D816&amp;LEFT($AD816,7),'TaxCred&amp;Subs'!$E$139:$E$151,0),MATCH($H816,'TaxCred&amp;Subs'!$K$137:$S$137,0)),0),IF($C816=2,O816*IFERROR(INDEX('TaxCred&amp;Subs'!$K$139:$S$151,MATCH($C816&amp;$D816,'TaxCred&amp;Subs'!$D$139:$D$151,0),MATCH($H816,'TaxCred&amp;Subs'!$K$137:$S$137,0)),0),O816*IFERROR(INDEX('TaxCred&amp;Subs'!$K$139:$S$151,MATCH($C816&amp;$D816,'TaxCred&amp;Subs'!$C$139:$C$151,0),MATCH($H816,'TaxCred&amp;Subs'!$K$137:$S$137,0)),0))),0),0)</f>
        <v>86</v>
      </c>
      <c r="T816" s="172">
        <f t="shared" si="56"/>
        <v>117.80526043378244</v>
      </c>
      <c r="U816" s="172">
        <f t="shared" si="57"/>
        <v>117.80526043378244</v>
      </c>
      <c r="V816" s="28" t="s">
        <v>222</v>
      </c>
      <c r="W816" s="31">
        <v>2020</v>
      </c>
      <c r="X816" s="28">
        <v>1</v>
      </c>
      <c r="Y816" s="28">
        <v>0</v>
      </c>
      <c r="Z816" s="196">
        <v>-7.8530115035628234E-3</v>
      </c>
      <c r="AA816" s="196">
        <v>-0.12081556159327421</v>
      </c>
      <c r="AB816" s="28">
        <v>0</v>
      </c>
      <c r="AC816" s="28">
        <v>0</v>
      </c>
      <c r="AD816" s="28" t="s">
        <v>386</v>
      </c>
    </row>
    <row r="817" spans="2:31" ht="14.25" customHeight="1" x14ac:dyDescent="0.2">
      <c r="B817" s="7">
        <f t="shared" si="58"/>
        <v>793</v>
      </c>
      <c r="C817" s="152">
        <v>8</v>
      </c>
      <c r="D817" s="152">
        <v>1</v>
      </c>
      <c r="E817" s="152">
        <v>4</v>
      </c>
      <c r="F817" s="153">
        <v>2030</v>
      </c>
      <c r="G817" s="152">
        <v>2050</v>
      </c>
      <c r="H817" s="152">
        <v>1</v>
      </c>
      <c r="I817" s="152">
        <v>0</v>
      </c>
      <c r="J817" s="152">
        <v>0</v>
      </c>
      <c r="K817" s="152">
        <v>0</v>
      </c>
      <c r="L817" s="152">
        <v>0</v>
      </c>
      <c r="M817" s="155">
        <v>311.07279999999997</v>
      </c>
      <c r="N817" s="155">
        <v>853.93258426966304</v>
      </c>
      <c r="O817" s="155">
        <v>853.93258426966304</v>
      </c>
      <c r="P817" s="41">
        <f t="array" ref="P817">ROUND(IF($F817&lt;='TaxCred&amp;Subs'!$C$49,(IF($C817=2,IF($M817&gt;=IFERROR(INDEX('TaxCred&amp;Subs'!$L$12:$L$47,MATCH(1,($C817&amp;$D817='TaxCred&amp;Subs'!$E$12:$E$47)*($F817='TaxCred&amp;Subs'!$C$12:$C$47),0)
),9999),IFERROR(INDEX('TaxCred&amp;Subs'!$N$12:$N$47,MATCH(1,($C817&amp;$D817='TaxCred&amp;Subs'!$E$12:$E$47)*($F817='TaxCred&amp;Subs'!$C$12:$C$47),0)
),0),0),(IF($M817&gt;=IFERROR(INDEX('TaxCred&amp;Subs'!$H$12:$H$47,MATCH(1,($C817&amp;$D817='TaxCred&amp;Subs'!$D$12:$D$47)*($F817='TaxCred&amp;Subs'!$C$12:$C$47),0)
),9999),IFERROR(INDEX('TaxCred&amp;Subs'!$N$12:$N$47,MATCH(1,($C817&amp;$D817='TaxCred&amp;Subs'!$D$12:$D$47)*($F817='TaxCred&amp;Subs'!$C$12:$C$47),0)
),0),0)))),0)+IF(AND($C817=2,VALUE(RIGHT($AD817,1))&gt;2),(N817-R817)*(IFERROR(INDEX('TaxCred&amp;Subs'!$J$66:$J$99,MATCH(1,($C817&amp;$D817='TaxCred&amp;Subs'!$E$66:$E$99)*($F817='TaxCred&amp;Subs'!$C$66:$C$99),0)),0)),IF(AND($C817=1,VALUE(RIGHT($AD817,1))&gt;2),(N817-R817)*(IFERROR(INDEX('TaxCred&amp;Subs'!$J$66:$J$99,MATCH(1,($C817&amp;$D817='TaxCred&amp;Subs'!$D$66:$D$99)*($F817='TaxCred&amp;Subs'!$C$66:$C$99),0)),0)),IF($C817&gt;2,(N817-R817)*(IFERROR(INDEX('TaxCred&amp;Subs'!$J$66:$J$99,MATCH(1,($C817&amp;$D817='TaxCred&amp;Subs'!$D$66:$D$99)*($F817='TaxCred&amp;Subs'!$C$66:$C$99),0)),0)),0))),0)</f>
        <v>0</v>
      </c>
      <c r="Q817" s="41">
        <f t="array" ref="Q817">ROUND(IF(AND($C817=2,VALUE(RIGHT($AD817,1))&gt;2),(O817-S817)*(IFERROR(INDEX('TaxCred&amp;Subs'!$J$66:$J$99,MATCH(1,($C817&amp;$D817='TaxCred&amp;Subs'!$E$66:$E$99)*($F817='TaxCred&amp;Subs'!$C$66:$C$99),0)),0)),IF(AND($C817=1,VALUE(RIGHT($AD817,1))&gt;2),(O817-S817)*(IFERROR(INDEX('TaxCred&amp;Subs'!$J$66:$J$99,MATCH(1,($C817&amp;$D817='TaxCred&amp;Subs'!$D$66:$D$99)*($F817='TaxCred&amp;Subs'!$C$66:$C$99),0)),0)),IF($C817&gt;2,(O817-S817)*(IFERROR(INDEX('TaxCred&amp;Subs'!$J$66:$J$99,MATCH(1,($C817&amp;$D817='TaxCred&amp;Subs'!$D$66:$D$99)*($F817='TaxCred&amp;Subs'!$C$66:$C$99),0)),0)),0))),0)</f>
        <v>0</v>
      </c>
      <c r="R817" s="41">
        <f t="array" ref="R817">ROUND(IF(IFERROR(VALUE(RIGHT($AD817,1)),0)&gt;2,IF($C817=8,N817*IFERROR(INDEX('TaxCred&amp;Subs'!$K$139:$S$151,MATCH($C817&amp;$D817&amp;LEFT($AD817,7),'TaxCred&amp;Subs'!$E$139:$E$151,0),MATCH($H817,'TaxCred&amp;Subs'!$K$137:$S$137,0)),0),IF($C817=2,N817*IFERROR(INDEX('TaxCred&amp;Subs'!$K$139:$S$151,MATCH($C817&amp;$D817,'TaxCred&amp;Subs'!$D$139:$D$151,0),MATCH($H817,'TaxCred&amp;Subs'!$K$137:$S$137,0)),0),N817*IFERROR(INDEX('TaxCred&amp;Subs'!$K$139:$S$151,MATCH($C817&amp;$D817,'TaxCred&amp;Subs'!$C$139:$C$151,0),MATCH($H817,'TaxCred&amp;Subs'!$K$137:$S$137,0)),0))),0),0)</f>
        <v>9</v>
      </c>
      <c r="S817" s="41">
        <f t="array" ref="S817">ROUND(IF(IFERROR(VALUE(RIGHT($AD817,1)),0)&gt;2,IF($C817=8,O817*IFERROR(INDEX('TaxCred&amp;Subs'!$K$139:$S$151,MATCH($C817&amp;$D817&amp;LEFT($AD817,7),'TaxCred&amp;Subs'!$E$139:$E$151,0),MATCH($H817,'TaxCred&amp;Subs'!$K$137:$S$137,0)),0),IF($C817=2,O817*IFERROR(INDEX('TaxCred&amp;Subs'!$K$139:$S$151,MATCH($C817&amp;$D817,'TaxCred&amp;Subs'!$D$139:$D$151,0),MATCH($H817,'TaxCred&amp;Subs'!$K$137:$S$137,0)),0),O817*IFERROR(INDEX('TaxCred&amp;Subs'!$K$139:$S$151,MATCH($C817&amp;$D817,'TaxCred&amp;Subs'!$C$139:$C$151,0),MATCH($H817,'TaxCred&amp;Subs'!$K$137:$S$137,0)),0))),0),0)</f>
        <v>9</v>
      </c>
      <c r="T817" s="41">
        <f t="shared" ref="T817:T825" si="65">IF($H817=9,IF(R817&gt;0,(N817-P817)*0.15,0),0)</f>
        <v>0</v>
      </c>
      <c r="U817" s="41">
        <f t="shared" ref="U817:U825" si="66">IF($H817=9,IF(S817&gt;0,(O817-Q817)*0.15,0),0)</f>
        <v>0</v>
      </c>
      <c r="V817" s="152" t="s">
        <v>222</v>
      </c>
      <c r="W817" s="152">
        <v>2020</v>
      </c>
      <c r="X817" s="152">
        <v>1</v>
      </c>
      <c r="Y817" s="152">
        <v>0</v>
      </c>
      <c r="Z817" s="194">
        <v>-7.8530115035628234E-3</v>
      </c>
      <c r="AA817" s="194">
        <v>-0.12081556159327421</v>
      </c>
      <c r="AB817" s="152">
        <v>0</v>
      </c>
      <c r="AC817" s="152">
        <v>0</v>
      </c>
      <c r="AD817" s="152" t="s">
        <v>386</v>
      </c>
    </row>
    <row r="818" spans="2:31" ht="14.25" customHeight="1" x14ac:dyDescent="0.2">
      <c r="B818" s="7">
        <f t="shared" si="58"/>
        <v>794</v>
      </c>
      <c r="C818" s="152">
        <v>8</v>
      </c>
      <c r="D818" s="152">
        <v>1</v>
      </c>
      <c r="E818" s="152">
        <v>4</v>
      </c>
      <c r="F818" s="153">
        <v>2030</v>
      </c>
      <c r="G818" s="152">
        <v>2050</v>
      </c>
      <c r="H818" s="152">
        <v>2</v>
      </c>
      <c r="I818" s="152">
        <v>0</v>
      </c>
      <c r="J818" s="152">
        <v>0</v>
      </c>
      <c r="K818" s="152">
        <v>0</v>
      </c>
      <c r="L818" s="152">
        <v>0</v>
      </c>
      <c r="M818" s="155">
        <v>311.07279999999997</v>
      </c>
      <c r="N818" s="155">
        <v>853.93258426966304</v>
      </c>
      <c r="O818" s="155">
        <v>853.93258426966304</v>
      </c>
      <c r="P818" s="41">
        <f t="array" ref="P818">ROUND(IF($F818&lt;='TaxCred&amp;Subs'!$C$49,(IF($C818=2,IF($M818&gt;=IFERROR(INDEX('TaxCred&amp;Subs'!$L$12:$L$47,MATCH(1,($C818&amp;$D818='TaxCred&amp;Subs'!$E$12:$E$47)*($F818='TaxCred&amp;Subs'!$C$12:$C$47),0)
),9999),IFERROR(INDEX('TaxCred&amp;Subs'!$N$12:$N$47,MATCH(1,($C818&amp;$D818='TaxCred&amp;Subs'!$E$12:$E$47)*($F818='TaxCred&amp;Subs'!$C$12:$C$47),0)
),0),0),(IF($M818&gt;=IFERROR(INDEX('TaxCred&amp;Subs'!$H$12:$H$47,MATCH(1,($C818&amp;$D818='TaxCred&amp;Subs'!$D$12:$D$47)*($F818='TaxCred&amp;Subs'!$C$12:$C$47),0)
),9999),IFERROR(INDEX('TaxCred&amp;Subs'!$N$12:$N$47,MATCH(1,($C818&amp;$D818='TaxCred&amp;Subs'!$D$12:$D$47)*($F818='TaxCred&amp;Subs'!$C$12:$C$47),0)
),0),0)))),0)+IF(AND($C818=2,VALUE(RIGHT($AD818,1))&gt;2),(N818-R818)*(IFERROR(INDEX('TaxCred&amp;Subs'!$J$66:$J$99,MATCH(1,($C818&amp;$D818='TaxCred&amp;Subs'!$E$66:$E$99)*($F818='TaxCred&amp;Subs'!$C$66:$C$99),0)),0)),IF(AND($C818=1,VALUE(RIGHT($AD818,1))&gt;2),(N818-R818)*(IFERROR(INDEX('TaxCred&amp;Subs'!$J$66:$J$99,MATCH(1,($C818&amp;$D818='TaxCred&amp;Subs'!$D$66:$D$99)*($F818='TaxCred&amp;Subs'!$C$66:$C$99),0)),0)),IF($C818&gt;2,(N818-R818)*(IFERROR(INDEX('TaxCred&amp;Subs'!$J$66:$J$99,MATCH(1,($C818&amp;$D818='TaxCred&amp;Subs'!$D$66:$D$99)*($F818='TaxCred&amp;Subs'!$C$66:$C$99),0)),0)),0))),0)</f>
        <v>0</v>
      </c>
      <c r="Q818" s="41">
        <f t="array" ref="Q818">ROUND(IF(AND($C818=2,VALUE(RIGHT($AD818,1))&gt;2),(O818-S818)*(IFERROR(INDEX('TaxCred&amp;Subs'!$J$66:$J$99,MATCH(1,($C818&amp;$D818='TaxCred&amp;Subs'!$E$66:$E$99)*($F818='TaxCred&amp;Subs'!$C$66:$C$99),0)),0)),IF(AND($C818=1,VALUE(RIGHT($AD818,1))&gt;2),(O818-S818)*(IFERROR(INDEX('TaxCred&amp;Subs'!$J$66:$J$99,MATCH(1,($C818&amp;$D818='TaxCred&amp;Subs'!$D$66:$D$99)*($F818='TaxCred&amp;Subs'!$C$66:$C$99),0)),0)),IF($C818&gt;2,(O818-S818)*(IFERROR(INDEX('TaxCred&amp;Subs'!$J$66:$J$99,MATCH(1,($C818&amp;$D818='TaxCred&amp;Subs'!$D$66:$D$99)*($F818='TaxCred&amp;Subs'!$C$66:$C$99),0)),0)),0))),0)</f>
        <v>0</v>
      </c>
      <c r="R818" s="41">
        <f t="array" ref="R818">ROUND(IF(IFERROR(VALUE(RIGHT($AD818,1)),0)&gt;2,IF($C818=8,N818*IFERROR(INDEX('TaxCred&amp;Subs'!$K$139:$S$151,MATCH($C818&amp;$D818&amp;LEFT($AD818,7),'TaxCred&amp;Subs'!$E$139:$E$151,0),MATCH($H818,'TaxCred&amp;Subs'!$K$137:$S$137,0)),0),IF($C818=2,N818*IFERROR(INDEX('TaxCred&amp;Subs'!$K$139:$S$151,MATCH($C818&amp;$D818,'TaxCred&amp;Subs'!$D$139:$D$151,0),MATCH($H818,'TaxCred&amp;Subs'!$K$137:$S$137,0)),0),N818*IFERROR(INDEX('TaxCred&amp;Subs'!$K$139:$S$151,MATCH($C818&amp;$D818,'TaxCred&amp;Subs'!$C$139:$C$151,0),MATCH($H818,'TaxCred&amp;Subs'!$K$137:$S$137,0)),0))),0),0)</f>
        <v>43</v>
      </c>
      <c r="S818" s="41">
        <f t="array" ref="S818">ROUND(IF(IFERROR(VALUE(RIGHT($AD818,1)),0)&gt;2,IF($C818=8,O818*IFERROR(INDEX('TaxCred&amp;Subs'!$K$139:$S$151,MATCH($C818&amp;$D818&amp;LEFT($AD818,7),'TaxCred&amp;Subs'!$E$139:$E$151,0),MATCH($H818,'TaxCred&amp;Subs'!$K$137:$S$137,0)),0),IF($C818=2,O818*IFERROR(INDEX('TaxCred&amp;Subs'!$K$139:$S$151,MATCH($C818&amp;$D818,'TaxCred&amp;Subs'!$D$139:$D$151,0),MATCH($H818,'TaxCred&amp;Subs'!$K$137:$S$137,0)),0),O818*IFERROR(INDEX('TaxCred&amp;Subs'!$K$139:$S$151,MATCH($C818&amp;$D818,'TaxCred&amp;Subs'!$C$139:$C$151,0),MATCH($H818,'TaxCred&amp;Subs'!$K$137:$S$137,0)),0))),0),0)</f>
        <v>43</v>
      </c>
      <c r="T818" s="41">
        <f t="shared" si="65"/>
        <v>0</v>
      </c>
      <c r="U818" s="41">
        <f t="shared" si="66"/>
        <v>0</v>
      </c>
      <c r="V818" s="152" t="s">
        <v>222</v>
      </c>
      <c r="W818" s="152">
        <v>2020</v>
      </c>
      <c r="X818" s="152">
        <v>1</v>
      </c>
      <c r="Y818" s="152">
        <v>0</v>
      </c>
      <c r="Z818" s="194">
        <v>-7.8530115035628234E-3</v>
      </c>
      <c r="AA818" s="194">
        <v>-0.12081556159327421</v>
      </c>
      <c r="AB818" s="152">
        <v>0</v>
      </c>
      <c r="AC818" s="152">
        <v>0</v>
      </c>
      <c r="AD818" s="152" t="s">
        <v>386</v>
      </c>
    </row>
    <row r="819" spans="2:31" ht="14.25" customHeight="1" x14ac:dyDescent="0.2">
      <c r="B819" s="7">
        <f t="shared" si="58"/>
        <v>795</v>
      </c>
      <c r="C819" s="152">
        <v>8</v>
      </c>
      <c r="D819" s="152">
        <v>1</v>
      </c>
      <c r="E819" s="152">
        <v>4</v>
      </c>
      <c r="F819" s="153">
        <v>2030</v>
      </c>
      <c r="G819" s="152">
        <v>2050</v>
      </c>
      <c r="H819" s="152">
        <v>3</v>
      </c>
      <c r="I819" s="152">
        <v>0</v>
      </c>
      <c r="J819" s="152">
        <v>0</v>
      </c>
      <c r="K819" s="152">
        <v>0</v>
      </c>
      <c r="L819" s="152">
        <v>0</v>
      </c>
      <c r="M819" s="155">
        <v>311.07279999999997</v>
      </c>
      <c r="N819" s="155">
        <v>853.93258426966304</v>
      </c>
      <c r="O819" s="155">
        <v>853.93258426966304</v>
      </c>
      <c r="P819" s="41">
        <f t="array" ref="P819">ROUND(IF($F819&lt;='TaxCred&amp;Subs'!$C$49,(IF($C819=2,IF($M819&gt;=IFERROR(INDEX('TaxCred&amp;Subs'!$L$12:$L$47,MATCH(1,($C819&amp;$D819='TaxCred&amp;Subs'!$E$12:$E$47)*($F819='TaxCred&amp;Subs'!$C$12:$C$47),0)
),9999),IFERROR(INDEX('TaxCred&amp;Subs'!$N$12:$N$47,MATCH(1,($C819&amp;$D819='TaxCred&amp;Subs'!$E$12:$E$47)*($F819='TaxCred&amp;Subs'!$C$12:$C$47),0)
),0),0),(IF($M819&gt;=IFERROR(INDEX('TaxCred&amp;Subs'!$H$12:$H$47,MATCH(1,($C819&amp;$D819='TaxCred&amp;Subs'!$D$12:$D$47)*($F819='TaxCred&amp;Subs'!$C$12:$C$47),0)
),9999),IFERROR(INDEX('TaxCred&amp;Subs'!$N$12:$N$47,MATCH(1,($C819&amp;$D819='TaxCred&amp;Subs'!$D$12:$D$47)*($F819='TaxCred&amp;Subs'!$C$12:$C$47),0)
),0),0)))),0)+IF(AND($C819=2,VALUE(RIGHT($AD819,1))&gt;2),(N819-R819)*(IFERROR(INDEX('TaxCred&amp;Subs'!$J$66:$J$99,MATCH(1,($C819&amp;$D819='TaxCred&amp;Subs'!$E$66:$E$99)*($F819='TaxCred&amp;Subs'!$C$66:$C$99),0)),0)),IF(AND($C819=1,VALUE(RIGHT($AD819,1))&gt;2),(N819-R819)*(IFERROR(INDEX('TaxCred&amp;Subs'!$J$66:$J$99,MATCH(1,($C819&amp;$D819='TaxCred&amp;Subs'!$D$66:$D$99)*($F819='TaxCred&amp;Subs'!$C$66:$C$99),0)),0)),IF($C819&gt;2,(N819-R819)*(IFERROR(INDEX('TaxCred&amp;Subs'!$J$66:$J$99,MATCH(1,($C819&amp;$D819='TaxCred&amp;Subs'!$D$66:$D$99)*($F819='TaxCred&amp;Subs'!$C$66:$C$99),0)),0)),0))),0)</f>
        <v>0</v>
      </c>
      <c r="Q819" s="41">
        <f t="array" ref="Q819">ROUND(IF(AND($C819=2,VALUE(RIGHT($AD819,1))&gt;2),(O819-S819)*(IFERROR(INDEX('TaxCred&amp;Subs'!$J$66:$J$99,MATCH(1,($C819&amp;$D819='TaxCred&amp;Subs'!$E$66:$E$99)*($F819='TaxCred&amp;Subs'!$C$66:$C$99),0)),0)),IF(AND($C819=1,VALUE(RIGHT($AD819,1))&gt;2),(O819-S819)*(IFERROR(INDEX('TaxCred&amp;Subs'!$J$66:$J$99,MATCH(1,($C819&amp;$D819='TaxCred&amp;Subs'!$D$66:$D$99)*($F819='TaxCred&amp;Subs'!$C$66:$C$99),0)),0)),IF($C819&gt;2,(O819-S819)*(IFERROR(INDEX('TaxCred&amp;Subs'!$J$66:$J$99,MATCH(1,($C819&amp;$D819='TaxCred&amp;Subs'!$D$66:$D$99)*($F819='TaxCred&amp;Subs'!$C$66:$C$99),0)),0)),0))),0)</f>
        <v>0</v>
      </c>
      <c r="R819" s="41">
        <f t="array" ref="R819">ROUND(IF(IFERROR(VALUE(RIGHT($AD819,1)),0)&gt;2,IF($C819=8,N819*IFERROR(INDEX('TaxCred&amp;Subs'!$K$139:$S$151,MATCH($C819&amp;$D819&amp;LEFT($AD819,7),'TaxCred&amp;Subs'!$E$139:$E$151,0),MATCH($H819,'TaxCred&amp;Subs'!$K$137:$S$137,0)),0),IF($C819=2,N819*IFERROR(INDEX('TaxCred&amp;Subs'!$K$139:$S$151,MATCH($C819&amp;$D819,'TaxCred&amp;Subs'!$D$139:$D$151,0),MATCH($H819,'TaxCred&amp;Subs'!$K$137:$S$137,0)),0),N819*IFERROR(INDEX('TaxCred&amp;Subs'!$K$139:$S$151,MATCH($C819&amp;$D819,'TaxCred&amp;Subs'!$C$139:$C$151,0),MATCH($H819,'TaxCred&amp;Subs'!$K$137:$S$137,0)),0))),0),0)</f>
        <v>38</v>
      </c>
      <c r="S819" s="41">
        <f t="array" ref="S819">ROUND(IF(IFERROR(VALUE(RIGHT($AD819,1)),0)&gt;2,IF($C819=8,O819*IFERROR(INDEX('TaxCred&amp;Subs'!$K$139:$S$151,MATCH($C819&amp;$D819&amp;LEFT($AD819,7),'TaxCred&amp;Subs'!$E$139:$E$151,0),MATCH($H819,'TaxCred&amp;Subs'!$K$137:$S$137,0)),0),IF($C819=2,O819*IFERROR(INDEX('TaxCred&amp;Subs'!$K$139:$S$151,MATCH($C819&amp;$D819,'TaxCred&amp;Subs'!$D$139:$D$151,0),MATCH($H819,'TaxCred&amp;Subs'!$K$137:$S$137,0)),0),O819*IFERROR(INDEX('TaxCred&amp;Subs'!$K$139:$S$151,MATCH($C819&amp;$D819,'TaxCred&amp;Subs'!$C$139:$C$151,0),MATCH($H819,'TaxCred&amp;Subs'!$K$137:$S$137,0)),0))),0),0)</f>
        <v>38</v>
      </c>
      <c r="T819" s="41">
        <f t="shared" si="65"/>
        <v>0</v>
      </c>
      <c r="U819" s="41">
        <f t="shared" si="66"/>
        <v>0</v>
      </c>
      <c r="V819" s="152" t="s">
        <v>222</v>
      </c>
      <c r="W819" s="152">
        <v>2020</v>
      </c>
      <c r="X819" s="152">
        <v>1</v>
      </c>
      <c r="Y819" s="152">
        <v>0</v>
      </c>
      <c r="Z819" s="194">
        <v>-7.8530115035628234E-3</v>
      </c>
      <c r="AA819" s="194">
        <v>-0.12081556159327421</v>
      </c>
      <c r="AB819" s="152">
        <v>0</v>
      </c>
      <c r="AC819" s="152">
        <v>0</v>
      </c>
      <c r="AD819" s="152" t="s">
        <v>386</v>
      </c>
    </row>
    <row r="820" spans="2:31" ht="14.25" customHeight="1" x14ac:dyDescent="0.2">
      <c r="B820" s="7">
        <f t="shared" si="58"/>
        <v>796</v>
      </c>
      <c r="C820" s="152">
        <v>8</v>
      </c>
      <c r="D820" s="152">
        <v>1</v>
      </c>
      <c r="E820" s="152">
        <v>4</v>
      </c>
      <c r="F820" s="153">
        <v>2030</v>
      </c>
      <c r="G820" s="152">
        <v>2050</v>
      </c>
      <c r="H820" s="152">
        <v>4</v>
      </c>
      <c r="I820" s="152">
        <v>0</v>
      </c>
      <c r="J820" s="152">
        <v>0</v>
      </c>
      <c r="K820" s="152">
        <v>0</v>
      </c>
      <c r="L820" s="152">
        <v>0</v>
      </c>
      <c r="M820" s="155">
        <v>311.07279999999997</v>
      </c>
      <c r="N820" s="155">
        <v>853.93258426966304</v>
      </c>
      <c r="O820" s="155">
        <v>853.93258426966304</v>
      </c>
      <c r="P820" s="41">
        <f t="array" ref="P820">ROUND(IF($F820&lt;='TaxCred&amp;Subs'!$C$49,(IF($C820=2,IF($M820&gt;=IFERROR(INDEX('TaxCred&amp;Subs'!$L$12:$L$47,MATCH(1,($C820&amp;$D820='TaxCred&amp;Subs'!$E$12:$E$47)*($F820='TaxCred&amp;Subs'!$C$12:$C$47),0)
),9999),IFERROR(INDEX('TaxCred&amp;Subs'!$N$12:$N$47,MATCH(1,($C820&amp;$D820='TaxCred&amp;Subs'!$E$12:$E$47)*($F820='TaxCred&amp;Subs'!$C$12:$C$47),0)
),0),0),(IF($M820&gt;=IFERROR(INDEX('TaxCred&amp;Subs'!$H$12:$H$47,MATCH(1,($C820&amp;$D820='TaxCred&amp;Subs'!$D$12:$D$47)*($F820='TaxCred&amp;Subs'!$C$12:$C$47),0)
),9999),IFERROR(INDEX('TaxCred&amp;Subs'!$N$12:$N$47,MATCH(1,($C820&amp;$D820='TaxCred&amp;Subs'!$D$12:$D$47)*($F820='TaxCred&amp;Subs'!$C$12:$C$47),0)
),0),0)))),0)+IF(AND($C820=2,VALUE(RIGHT($AD820,1))&gt;2),(N820-R820)*(IFERROR(INDEX('TaxCred&amp;Subs'!$J$66:$J$99,MATCH(1,($C820&amp;$D820='TaxCred&amp;Subs'!$E$66:$E$99)*($F820='TaxCred&amp;Subs'!$C$66:$C$99),0)),0)),IF(AND($C820=1,VALUE(RIGHT($AD820,1))&gt;2),(N820-R820)*(IFERROR(INDEX('TaxCred&amp;Subs'!$J$66:$J$99,MATCH(1,($C820&amp;$D820='TaxCred&amp;Subs'!$D$66:$D$99)*($F820='TaxCred&amp;Subs'!$C$66:$C$99),0)),0)),IF($C820&gt;2,(N820-R820)*(IFERROR(INDEX('TaxCred&amp;Subs'!$J$66:$J$99,MATCH(1,($C820&amp;$D820='TaxCred&amp;Subs'!$D$66:$D$99)*($F820='TaxCred&amp;Subs'!$C$66:$C$99),0)),0)),0))),0)</f>
        <v>0</v>
      </c>
      <c r="Q820" s="41">
        <f t="array" ref="Q820">ROUND(IF(AND($C820=2,VALUE(RIGHT($AD820,1))&gt;2),(O820-S820)*(IFERROR(INDEX('TaxCred&amp;Subs'!$J$66:$J$99,MATCH(1,($C820&amp;$D820='TaxCred&amp;Subs'!$E$66:$E$99)*($F820='TaxCred&amp;Subs'!$C$66:$C$99),0)),0)),IF(AND($C820=1,VALUE(RIGHT($AD820,1))&gt;2),(O820-S820)*(IFERROR(INDEX('TaxCred&amp;Subs'!$J$66:$J$99,MATCH(1,($C820&amp;$D820='TaxCred&amp;Subs'!$D$66:$D$99)*($F820='TaxCred&amp;Subs'!$C$66:$C$99),0)),0)),IF($C820&gt;2,(O820-S820)*(IFERROR(INDEX('TaxCred&amp;Subs'!$J$66:$J$99,MATCH(1,($C820&amp;$D820='TaxCred&amp;Subs'!$D$66:$D$99)*($F820='TaxCred&amp;Subs'!$C$66:$C$99),0)),0)),0))),0)</f>
        <v>0</v>
      </c>
      <c r="R820" s="41">
        <f t="array" ref="R820">ROUND(IF(IFERROR(VALUE(RIGHT($AD820,1)),0)&gt;2,IF($C820=8,N820*IFERROR(INDEX('TaxCred&amp;Subs'!$K$139:$S$151,MATCH($C820&amp;$D820&amp;LEFT($AD820,7),'TaxCred&amp;Subs'!$E$139:$E$151,0),MATCH($H820,'TaxCred&amp;Subs'!$K$137:$S$137,0)),0),IF($C820=2,N820*IFERROR(INDEX('TaxCred&amp;Subs'!$K$139:$S$151,MATCH($C820&amp;$D820,'TaxCred&amp;Subs'!$D$139:$D$151,0),MATCH($H820,'TaxCred&amp;Subs'!$K$137:$S$137,0)),0),N820*IFERROR(INDEX('TaxCred&amp;Subs'!$K$139:$S$151,MATCH($C820&amp;$D820,'TaxCred&amp;Subs'!$C$139:$C$151,0),MATCH($H820,'TaxCred&amp;Subs'!$K$137:$S$137,0)),0))),0),0)</f>
        <v>24</v>
      </c>
      <c r="S820" s="41">
        <f t="array" ref="S820">ROUND(IF(IFERROR(VALUE(RIGHT($AD820,1)),0)&gt;2,IF($C820=8,O820*IFERROR(INDEX('TaxCred&amp;Subs'!$K$139:$S$151,MATCH($C820&amp;$D820&amp;LEFT($AD820,7),'TaxCred&amp;Subs'!$E$139:$E$151,0),MATCH($H820,'TaxCred&amp;Subs'!$K$137:$S$137,0)),0),IF($C820=2,O820*IFERROR(INDEX('TaxCred&amp;Subs'!$K$139:$S$151,MATCH($C820&amp;$D820,'TaxCred&amp;Subs'!$D$139:$D$151,0),MATCH($H820,'TaxCred&amp;Subs'!$K$137:$S$137,0)),0),O820*IFERROR(INDEX('TaxCred&amp;Subs'!$K$139:$S$151,MATCH($C820&amp;$D820,'TaxCred&amp;Subs'!$C$139:$C$151,0),MATCH($H820,'TaxCred&amp;Subs'!$K$137:$S$137,0)),0))),0),0)</f>
        <v>24</v>
      </c>
      <c r="T820" s="41">
        <f t="shared" si="65"/>
        <v>0</v>
      </c>
      <c r="U820" s="41">
        <f t="shared" si="66"/>
        <v>0</v>
      </c>
      <c r="V820" s="152" t="s">
        <v>222</v>
      </c>
      <c r="W820" s="152">
        <v>2020</v>
      </c>
      <c r="X820" s="152">
        <v>1</v>
      </c>
      <c r="Y820" s="152">
        <v>0</v>
      </c>
      <c r="Z820" s="194">
        <v>-7.8530115035628234E-3</v>
      </c>
      <c r="AA820" s="194">
        <v>-0.12081556159327421</v>
      </c>
      <c r="AB820" s="152">
        <v>0</v>
      </c>
      <c r="AC820" s="152">
        <v>0</v>
      </c>
      <c r="AD820" s="152" t="s">
        <v>386</v>
      </c>
    </row>
    <row r="821" spans="2:31" ht="14.25" customHeight="1" x14ac:dyDescent="0.2">
      <c r="B821" s="7">
        <f t="shared" si="58"/>
        <v>797</v>
      </c>
      <c r="C821" s="152">
        <v>8</v>
      </c>
      <c r="D821" s="152">
        <v>1</v>
      </c>
      <c r="E821" s="152">
        <v>4</v>
      </c>
      <c r="F821" s="153">
        <v>2030</v>
      </c>
      <c r="G821" s="152">
        <v>2050</v>
      </c>
      <c r="H821" s="152">
        <v>5</v>
      </c>
      <c r="I821" s="152">
        <v>0</v>
      </c>
      <c r="J821" s="152">
        <v>0</v>
      </c>
      <c r="K821" s="152">
        <v>0</v>
      </c>
      <c r="L821" s="152">
        <v>0</v>
      </c>
      <c r="M821" s="155">
        <v>311.07279999999997</v>
      </c>
      <c r="N821" s="155">
        <v>853.93258426966304</v>
      </c>
      <c r="O821" s="155">
        <v>853.93258426966304</v>
      </c>
      <c r="P821" s="41">
        <f t="array" ref="P821">ROUND(IF($F821&lt;='TaxCred&amp;Subs'!$C$49,(IF($C821=2,IF($M821&gt;=IFERROR(INDEX('TaxCred&amp;Subs'!$L$12:$L$47,MATCH(1,($C821&amp;$D821='TaxCred&amp;Subs'!$E$12:$E$47)*($F821='TaxCred&amp;Subs'!$C$12:$C$47),0)
),9999),IFERROR(INDEX('TaxCred&amp;Subs'!$N$12:$N$47,MATCH(1,($C821&amp;$D821='TaxCred&amp;Subs'!$E$12:$E$47)*($F821='TaxCred&amp;Subs'!$C$12:$C$47),0)
),0),0),(IF($M821&gt;=IFERROR(INDEX('TaxCred&amp;Subs'!$H$12:$H$47,MATCH(1,($C821&amp;$D821='TaxCred&amp;Subs'!$D$12:$D$47)*($F821='TaxCred&amp;Subs'!$C$12:$C$47),0)
),9999),IFERROR(INDEX('TaxCred&amp;Subs'!$N$12:$N$47,MATCH(1,($C821&amp;$D821='TaxCred&amp;Subs'!$D$12:$D$47)*($F821='TaxCred&amp;Subs'!$C$12:$C$47),0)
),0),0)))),0)+IF(AND($C821=2,VALUE(RIGHT($AD821,1))&gt;2),(N821-R821)*(IFERROR(INDEX('TaxCred&amp;Subs'!$J$66:$J$99,MATCH(1,($C821&amp;$D821='TaxCred&amp;Subs'!$E$66:$E$99)*($F821='TaxCred&amp;Subs'!$C$66:$C$99),0)),0)),IF(AND($C821=1,VALUE(RIGHT($AD821,1))&gt;2),(N821-R821)*(IFERROR(INDEX('TaxCred&amp;Subs'!$J$66:$J$99,MATCH(1,($C821&amp;$D821='TaxCred&amp;Subs'!$D$66:$D$99)*($F821='TaxCred&amp;Subs'!$C$66:$C$99),0)),0)),IF($C821&gt;2,(N821-R821)*(IFERROR(INDEX('TaxCred&amp;Subs'!$J$66:$J$99,MATCH(1,($C821&amp;$D821='TaxCred&amp;Subs'!$D$66:$D$99)*($F821='TaxCred&amp;Subs'!$C$66:$C$99),0)),0)),0))),0)</f>
        <v>0</v>
      </c>
      <c r="Q821" s="41">
        <f t="array" ref="Q821">ROUND(IF(AND($C821=2,VALUE(RIGHT($AD821,1))&gt;2),(O821-S821)*(IFERROR(INDEX('TaxCred&amp;Subs'!$J$66:$J$99,MATCH(1,($C821&amp;$D821='TaxCred&amp;Subs'!$E$66:$E$99)*($F821='TaxCred&amp;Subs'!$C$66:$C$99),0)),0)),IF(AND($C821=1,VALUE(RIGHT($AD821,1))&gt;2),(O821-S821)*(IFERROR(INDEX('TaxCred&amp;Subs'!$J$66:$J$99,MATCH(1,($C821&amp;$D821='TaxCred&amp;Subs'!$D$66:$D$99)*($F821='TaxCred&amp;Subs'!$C$66:$C$99),0)),0)),IF($C821&gt;2,(O821-S821)*(IFERROR(INDEX('TaxCred&amp;Subs'!$J$66:$J$99,MATCH(1,($C821&amp;$D821='TaxCred&amp;Subs'!$D$66:$D$99)*($F821='TaxCred&amp;Subs'!$C$66:$C$99),0)),0)),0))),0)</f>
        <v>0</v>
      </c>
      <c r="R821" s="41">
        <f t="array" ref="R821">ROUND(IF(IFERROR(VALUE(RIGHT($AD821,1)),0)&gt;2,IF($C821=8,N821*IFERROR(INDEX('TaxCred&amp;Subs'!$K$139:$S$151,MATCH($C821&amp;$D821&amp;LEFT($AD821,7),'TaxCred&amp;Subs'!$E$139:$E$151,0),MATCH($H821,'TaxCred&amp;Subs'!$K$137:$S$137,0)),0),IF($C821=2,N821*IFERROR(INDEX('TaxCred&amp;Subs'!$K$139:$S$151,MATCH($C821&amp;$D821,'TaxCred&amp;Subs'!$D$139:$D$151,0),MATCH($H821,'TaxCred&amp;Subs'!$K$137:$S$137,0)),0),N821*IFERROR(INDEX('TaxCred&amp;Subs'!$K$139:$S$151,MATCH($C821&amp;$D821,'TaxCred&amp;Subs'!$C$139:$C$151,0),MATCH($H821,'TaxCred&amp;Subs'!$K$137:$S$137,0)),0))),0),0)</f>
        <v>49</v>
      </c>
      <c r="S821" s="41">
        <f t="array" ref="S821">ROUND(IF(IFERROR(VALUE(RIGHT($AD821,1)),0)&gt;2,IF($C821=8,O821*IFERROR(INDEX('TaxCred&amp;Subs'!$K$139:$S$151,MATCH($C821&amp;$D821&amp;LEFT($AD821,7),'TaxCred&amp;Subs'!$E$139:$E$151,0),MATCH($H821,'TaxCred&amp;Subs'!$K$137:$S$137,0)),0),IF($C821=2,O821*IFERROR(INDEX('TaxCred&amp;Subs'!$K$139:$S$151,MATCH($C821&amp;$D821,'TaxCred&amp;Subs'!$D$139:$D$151,0),MATCH($H821,'TaxCred&amp;Subs'!$K$137:$S$137,0)),0),O821*IFERROR(INDEX('TaxCred&amp;Subs'!$K$139:$S$151,MATCH($C821&amp;$D821,'TaxCred&amp;Subs'!$C$139:$C$151,0),MATCH($H821,'TaxCred&amp;Subs'!$K$137:$S$137,0)),0))),0),0)</f>
        <v>49</v>
      </c>
      <c r="T821" s="41">
        <f t="shared" si="65"/>
        <v>0</v>
      </c>
      <c r="U821" s="41">
        <f t="shared" si="66"/>
        <v>0</v>
      </c>
      <c r="V821" s="152" t="s">
        <v>222</v>
      </c>
      <c r="W821" s="152">
        <v>2020</v>
      </c>
      <c r="X821" s="152">
        <v>1</v>
      </c>
      <c r="Y821" s="152">
        <v>0</v>
      </c>
      <c r="Z821" s="194">
        <v>-7.8530115035628234E-3</v>
      </c>
      <c r="AA821" s="194">
        <v>-0.12081556159327421</v>
      </c>
      <c r="AB821" s="152">
        <v>0</v>
      </c>
      <c r="AC821" s="152">
        <v>0</v>
      </c>
      <c r="AD821" s="152" t="s">
        <v>386</v>
      </c>
    </row>
    <row r="822" spans="2:31" ht="14.25" customHeight="1" x14ac:dyDescent="0.2">
      <c r="B822" s="7">
        <f t="shared" si="58"/>
        <v>798</v>
      </c>
      <c r="C822" s="152">
        <v>8</v>
      </c>
      <c r="D822" s="152">
        <v>1</v>
      </c>
      <c r="E822" s="152">
        <v>4</v>
      </c>
      <c r="F822" s="153">
        <v>2030</v>
      </c>
      <c r="G822" s="152">
        <v>2050</v>
      </c>
      <c r="H822" s="152">
        <v>6</v>
      </c>
      <c r="I822" s="152">
        <v>0</v>
      </c>
      <c r="J822" s="152">
        <v>0</v>
      </c>
      <c r="K822" s="152">
        <v>0</v>
      </c>
      <c r="L822" s="152">
        <v>0</v>
      </c>
      <c r="M822" s="155">
        <v>311.07279999999997</v>
      </c>
      <c r="N822" s="155">
        <v>853.93258426966304</v>
      </c>
      <c r="O822" s="155">
        <v>853.93258426966304</v>
      </c>
      <c r="P822" s="41">
        <f t="array" ref="P822">ROUND(IF($F822&lt;='TaxCred&amp;Subs'!$C$49,(IF($C822=2,IF($M822&gt;=IFERROR(INDEX('TaxCred&amp;Subs'!$L$12:$L$47,MATCH(1,($C822&amp;$D822='TaxCred&amp;Subs'!$E$12:$E$47)*($F822='TaxCred&amp;Subs'!$C$12:$C$47),0)
),9999),IFERROR(INDEX('TaxCred&amp;Subs'!$N$12:$N$47,MATCH(1,($C822&amp;$D822='TaxCred&amp;Subs'!$E$12:$E$47)*($F822='TaxCred&amp;Subs'!$C$12:$C$47),0)
),0),0),(IF($M822&gt;=IFERROR(INDEX('TaxCred&amp;Subs'!$H$12:$H$47,MATCH(1,($C822&amp;$D822='TaxCred&amp;Subs'!$D$12:$D$47)*($F822='TaxCred&amp;Subs'!$C$12:$C$47),0)
),9999),IFERROR(INDEX('TaxCred&amp;Subs'!$N$12:$N$47,MATCH(1,($C822&amp;$D822='TaxCred&amp;Subs'!$D$12:$D$47)*($F822='TaxCred&amp;Subs'!$C$12:$C$47),0)
),0),0)))),0)+IF(AND($C822=2,VALUE(RIGHT($AD822,1))&gt;2),(N822-R822)*(IFERROR(INDEX('TaxCred&amp;Subs'!$J$66:$J$99,MATCH(1,($C822&amp;$D822='TaxCred&amp;Subs'!$E$66:$E$99)*($F822='TaxCred&amp;Subs'!$C$66:$C$99),0)),0)),IF(AND($C822=1,VALUE(RIGHT($AD822,1))&gt;2),(N822-R822)*(IFERROR(INDEX('TaxCred&amp;Subs'!$J$66:$J$99,MATCH(1,($C822&amp;$D822='TaxCred&amp;Subs'!$D$66:$D$99)*($F822='TaxCred&amp;Subs'!$C$66:$C$99),0)),0)),IF($C822&gt;2,(N822-R822)*(IFERROR(INDEX('TaxCred&amp;Subs'!$J$66:$J$99,MATCH(1,($C822&amp;$D822='TaxCred&amp;Subs'!$D$66:$D$99)*($F822='TaxCred&amp;Subs'!$C$66:$C$99),0)),0)),0))),0)</f>
        <v>0</v>
      </c>
      <c r="Q822" s="41">
        <f t="array" ref="Q822">ROUND(IF(AND($C822=2,VALUE(RIGHT($AD822,1))&gt;2),(O822-S822)*(IFERROR(INDEX('TaxCred&amp;Subs'!$J$66:$J$99,MATCH(1,($C822&amp;$D822='TaxCred&amp;Subs'!$E$66:$E$99)*($F822='TaxCred&amp;Subs'!$C$66:$C$99),0)),0)),IF(AND($C822=1,VALUE(RIGHT($AD822,1))&gt;2),(O822-S822)*(IFERROR(INDEX('TaxCred&amp;Subs'!$J$66:$J$99,MATCH(1,($C822&amp;$D822='TaxCred&amp;Subs'!$D$66:$D$99)*($F822='TaxCred&amp;Subs'!$C$66:$C$99),0)),0)),IF($C822&gt;2,(O822-S822)*(IFERROR(INDEX('TaxCred&amp;Subs'!$J$66:$J$99,MATCH(1,($C822&amp;$D822='TaxCred&amp;Subs'!$D$66:$D$99)*($F822='TaxCred&amp;Subs'!$C$66:$C$99),0)),0)),0))),0)</f>
        <v>0</v>
      </c>
      <c r="R822" s="41">
        <f t="array" ref="R822">ROUND(IF(IFERROR(VALUE(RIGHT($AD822,1)),0)&gt;2,IF($C822=8,N822*IFERROR(INDEX('TaxCred&amp;Subs'!$K$139:$S$151,MATCH($C822&amp;$D822&amp;LEFT($AD822,7),'TaxCred&amp;Subs'!$E$139:$E$151,0),MATCH($H822,'TaxCred&amp;Subs'!$K$137:$S$137,0)),0),IF($C822=2,N822*IFERROR(INDEX('TaxCred&amp;Subs'!$K$139:$S$151,MATCH($C822&amp;$D822,'TaxCred&amp;Subs'!$D$139:$D$151,0),MATCH($H822,'TaxCred&amp;Subs'!$K$137:$S$137,0)),0),N822*IFERROR(INDEX('TaxCred&amp;Subs'!$K$139:$S$151,MATCH($C822&amp;$D822,'TaxCred&amp;Subs'!$C$139:$C$151,0),MATCH($H822,'TaxCred&amp;Subs'!$K$137:$S$137,0)),0))),0),0)</f>
        <v>71</v>
      </c>
      <c r="S822" s="41">
        <f t="array" ref="S822">ROUND(IF(IFERROR(VALUE(RIGHT($AD822,1)),0)&gt;2,IF($C822=8,O822*IFERROR(INDEX('TaxCred&amp;Subs'!$K$139:$S$151,MATCH($C822&amp;$D822&amp;LEFT($AD822,7),'TaxCred&amp;Subs'!$E$139:$E$151,0),MATCH($H822,'TaxCred&amp;Subs'!$K$137:$S$137,0)),0),IF($C822=2,O822*IFERROR(INDEX('TaxCred&amp;Subs'!$K$139:$S$151,MATCH($C822&amp;$D822,'TaxCred&amp;Subs'!$D$139:$D$151,0),MATCH($H822,'TaxCred&amp;Subs'!$K$137:$S$137,0)),0),O822*IFERROR(INDEX('TaxCred&amp;Subs'!$K$139:$S$151,MATCH($C822&amp;$D822,'TaxCred&amp;Subs'!$C$139:$C$151,0),MATCH($H822,'TaxCred&amp;Subs'!$K$137:$S$137,0)),0))),0),0)</f>
        <v>71</v>
      </c>
      <c r="T822" s="41">
        <f t="shared" si="65"/>
        <v>0</v>
      </c>
      <c r="U822" s="41">
        <f t="shared" si="66"/>
        <v>0</v>
      </c>
      <c r="V822" s="152" t="s">
        <v>222</v>
      </c>
      <c r="W822" s="152">
        <v>2020</v>
      </c>
      <c r="X822" s="152">
        <v>1</v>
      </c>
      <c r="Y822" s="152">
        <v>0</v>
      </c>
      <c r="Z822" s="194">
        <v>-7.8530115035628234E-3</v>
      </c>
      <c r="AA822" s="194">
        <v>-0.12081556159327421</v>
      </c>
      <c r="AB822" s="152">
        <v>0</v>
      </c>
      <c r="AC822" s="152">
        <v>0</v>
      </c>
      <c r="AD822" s="152" t="s">
        <v>386</v>
      </c>
    </row>
    <row r="823" spans="2:31" ht="14.25" customHeight="1" x14ac:dyDescent="0.2">
      <c r="B823" s="7">
        <f t="shared" si="58"/>
        <v>799</v>
      </c>
      <c r="C823" s="152">
        <v>8</v>
      </c>
      <c r="D823" s="152">
        <v>1</v>
      </c>
      <c r="E823" s="152">
        <v>4</v>
      </c>
      <c r="F823" s="153">
        <v>2030</v>
      </c>
      <c r="G823" s="152">
        <v>2050</v>
      </c>
      <c r="H823" s="152">
        <v>7</v>
      </c>
      <c r="I823" s="152">
        <v>0</v>
      </c>
      <c r="J823" s="152">
        <v>0</v>
      </c>
      <c r="K823" s="152">
        <v>0</v>
      </c>
      <c r="L823" s="152">
        <v>0</v>
      </c>
      <c r="M823" s="155">
        <v>311.07279999999997</v>
      </c>
      <c r="N823" s="155">
        <v>853.93258426966304</v>
      </c>
      <c r="O823" s="155">
        <v>853.93258426966304</v>
      </c>
      <c r="P823" s="41">
        <f t="array" ref="P823">ROUND(IF($F823&lt;='TaxCred&amp;Subs'!$C$49,(IF($C823=2,IF($M823&gt;=IFERROR(INDEX('TaxCred&amp;Subs'!$L$12:$L$47,MATCH(1,($C823&amp;$D823='TaxCred&amp;Subs'!$E$12:$E$47)*($F823='TaxCred&amp;Subs'!$C$12:$C$47),0)
),9999),IFERROR(INDEX('TaxCred&amp;Subs'!$N$12:$N$47,MATCH(1,($C823&amp;$D823='TaxCred&amp;Subs'!$E$12:$E$47)*($F823='TaxCred&amp;Subs'!$C$12:$C$47),0)
),0),0),(IF($M823&gt;=IFERROR(INDEX('TaxCred&amp;Subs'!$H$12:$H$47,MATCH(1,($C823&amp;$D823='TaxCred&amp;Subs'!$D$12:$D$47)*($F823='TaxCred&amp;Subs'!$C$12:$C$47),0)
),9999),IFERROR(INDEX('TaxCred&amp;Subs'!$N$12:$N$47,MATCH(1,($C823&amp;$D823='TaxCred&amp;Subs'!$D$12:$D$47)*($F823='TaxCred&amp;Subs'!$C$12:$C$47),0)
),0),0)))),0)+IF(AND($C823=2,VALUE(RIGHT($AD823,1))&gt;2),(N823-R823)*(IFERROR(INDEX('TaxCred&amp;Subs'!$J$66:$J$99,MATCH(1,($C823&amp;$D823='TaxCred&amp;Subs'!$E$66:$E$99)*($F823='TaxCred&amp;Subs'!$C$66:$C$99),0)),0)),IF(AND($C823=1,VALUE(RIGHT($AD823,1))&gt;2),(N823-R823)*(IFERROR(INDEX('TaxCred&amp;Subs'!$J$66:$J$99,MATCH(1,($C823&amp;$D823='TaxCred&amp;Subs'!$D$66:$D$99)*($F823='TaxCred&amp;Subs'!$C$66:$C$99),0)),0)),IF($C823&gt;2,(N823-R823)*(IFERROR(INDEX('TaxCred&amp;Subs'!$J$66:$J$99,MATCH(1,($C823&amp;$D823='TaxCred&amp;Subs'!$D$66:$D$99)*($F823='TaxCred&amp;Subs'!$C$66:$C$99),0)),0)),0))),0)</f>
        <v>0</v>
      </c>
      <c r="Q823" s="41">
        <f t="array" ref="Q823">ROUND(IF(AND($C823=2,VALUE(RIGHT($AD823,1))&gt;2),(O823-S823)*(IFERROR(INDEX('TaxCred&amp;Subs'!$J$66:$J$99,MATCH(1,($C823&amp;$D823='TaxCred&amp;Subs'!$E$66:$E$99)*($F823='TaxCred&amp;Subs'!$C$66:$C$99),0)),0)),IF(AND($C823=1,VALUE(RIGHT($AD823,1))&gt;2),(O823-S823)*(IFERROR(INDEX('TaxCred&amp;Subs'!$J$66:$J$99,MATCH(1,($C823&amp;$D823='TaxCred&amp;Subs'!$D$66:$D$99)*($F823='TaxCred&amp;Subs'!$C$66:$C$99),0)),0)),IF($C823&gt;2,(O823-S823)*(IFERROR(INDEX('TaxCred&amp;Subs'!$J$66:$J$99,MATCH(1,($C823&amp;$D823='TaxCred&amp;Subs'!$D$66:$D$99)*($F823='TaxCred&amp;Subs'!$C$66:$C$99),0)),0)),0))),0)</f>
        <v>0</v>
      </c>
      <c r="R823" s="41">
        <f t="array" ref="R823">ROUND(IF(IFERROR(VALUE(RIGHT($AD823,1)),0)&gt;2,IF($C823=8,N823*IFERROR(INDEX('TaxCred&amp;Subs'!$K$139:$S$151,MATCH($C823&amp;$D823&amp;LEFT($AD823,7),'TaxCred&amp;Subs'!$E$139:$E$151,0),MATCH($H823,'TaxCred&amp;Subs'!$K$137:$S$137,0)),0),IF($C823=2,N823*IFERROR(INDEX('TaxCred&amp;Subs'!$K$139:$S$151,MATCH($C823&amp;$D823,'TaxCred&amp;Subs'!$D$139:$D$151,0),MATCH($H823,'TaxCred&amp;Subs'!$K$137:$S$137,0)),0),N823*IFERROR(INDEX('TaxCred&amp;Subs'!$K$139:$S$151,MATCH($C823&amp;$D823,'TaxCred&amp;Subs'!$C$139:$C$151,0),MATCH($H823,'TaxCred&amp;Subs'!$K$137:$S$137,0)),0))),0),0)</f>
        <v>8</v>
      </c>
      <c r="S823" s="41">
        <f t="array" ref="S823">ROUND(IF(IFERROR(VALUE(RIGHT($AD823,1)),0)&gt;2,IF($C823=8,O823*IFERROR(INDEX('TaxCred&amp;Subs'!$K$139:$S$151,MATCH($C823&amp;$D823&amp;LEFT($AD823,7),'TaxCred&amp;Subs'!$E$139:$E$151,0),MATCH($H823,'TaxCred&amp;Subs'!$K$137:$S$137,0)),0),IF($C823=2,O823*IFERROR(INDEX('TaxCred&amp;Subs'!$K$139:$S$151,MATCH($C823&amp;$D823,'TaxCred&amp;Subs'!$D$139:$D$151,0),MATCH($H823,'TaxCred&amp;Subs'!$K$137:$S$137,0)),0),O823*IFERROR(INDEX('TaxCred&amp;Subs'!$K$139:$S$151,MATCH($C823&amp;$D823,'TaxCred&amp;Subs'!$C$139:$C$151,0),MATCH($H823,'TaxCred&amp;Subs'!$K$137:$S$137,0)),0))),0),0)</f>
        <v>8</v>
      </c>
      <c r="T823" s="41">
        <f t="shared" si="65"/>
        <v>0</v>
      </c>
      <c r="U823" s="41">
        <f t="shared" si="66"/>
        <v>0</v>
      </c>
      <c r="V823" s="152" t="s">
        <v>222</v>
      </c>
      <c r="W823" s="152">
        <v>2020</v>
      </c>
      <c r="X823" s="152">
        <v>1</v>
      </c>
      <c r="Y823" s="152">
        <v>0</v>
      </c>
      <c r="Z823" s="194">
        <v>-7.8530115035628234E-3</v>
      </c>
      <c r="AA823" s="194">
        <v>-0.12081556159327421</v>
      </c>
      <c r="AB823" s="152">
        <v>0</v>
      </c>
      <c r="AC823" s="152">
        <v>0</v>
      </c>
      <c r="AD823" s="152" t="s">
        <v>386</v>
      </c>
    </row>
    <row r="824" spans="2:31" ht="14.25" customHeight="1" x14ac:dyDescent="0.2">
      <c r="B824" s="7">
        <f t="shared" si="58"/>
        <v>800</v>
      </c>
      <c r="C824" s="152">
        <v>8</v>
      </c>
      <c r="D824" s="152">
        <v>1</v>
      </c>
      <c r="E824" s="152">
        <v>4</v>
      </c>
      <c r="F824" s="153">
        <v>2030</v>
      </c>
      <c r="G824" s="152">
        <v>2050</v>
      </c>
      <c r="H824" s="152">
        <v>8</v>
      </c>
      <c r="I824" s="152">
        <v>0</v>
      </c>
      <c r="J824" s="152">
        <v>0</v>
      </c>
      <c r="K824" s="152">
        <v>0</v>
      </c>
      <c r="L824" s="152">
        <v>0</v>
      </c>
      <c r="M824" s="155">
        <v>311.07279999999997</v>
      </c>
      <c r="N824" s="155">
        <v>853.93258426966304</v>
      </c>
      <c r="O824" s="155">
        <v>853.93258426966304</v>
      </c>
      <c r="P824" s="41">
        <f t="array" ref="P824">ROUND(IF($F824&lt;='TaxCred&amp;Subs'!$C$49,(IF($C824=2,IF($M824&gt;=IFERROR(INDEX('TaxCred&amp;Subs'!$L$12:$L$47,MATCH(1,($C824&amp;$D824='TaxCred&amp;Subs'!$E$12:$E$47)*($F824='TaxCred&amp;Subs'!$C$12:$C$47),0)
),9999),IFERROR(INDEX('TaxCred&amp;Subs'!$N$12:$N$47,MATCH(1,($C824&amp;$D824='TaxCred&amp;Subs'!$E$12:$E$47)*($F824='TaxCred&amp;Subs'!$C$12:$C$47),0)
),0),0),(IF($M824&gt;=IFERROR(INDEX('TaxCred&amp;Subs'!$H$12:$H$47,MATCH(1,($C824&amp;$D824='TaxCred&amp;Subs'!$D$12:$D$47)*($F824='TaxCred&amp;Subs'!$C$12:$C$47),0)
),9999),IFERROR(INDEX('TaxCred&amp;Subs'!$N$12:$N$47,MATCH(1,($C824&amp;$D824='TaxCred&amp;Subs'!$D$12:$D$47)*($F824='TaxCred&amp;Subs'!$C$12:$C$47),0)
),0),0)))),0)+IF(AND($C824=2,VALUE(RIGHT($AD824,1))&gt;2),(N824-R824)*(IFERROR(INDEX('TaxCred&amp;Subs'!$J$66:$J$99,MATCH(1,($C824&amp;$D824='TaxCred&amp;Subs'!$E$66:$E$99)*($F824='TaxCred&amp;Subs'!$C$66:$C$99),0)),0)),IF(AND($C824=1,VALUE(RIGHT($AD824,1))&gt;2),(N824-R824)*(IFERROR(INDEX('TaxCred&amp;Subs'!$J$66:$J$99,MATCH(1,($C824&amp;$D824='TaxCred&amp;Subs'!$D$66:$D$99)*($F824='TaxCred&amp;Subs'!$C$66:$C$99),0)),0)),IF($C824&gt;2,(N824-R824)*(IFERROR(INDEX('TaxCred&amp;Subs'!$J$66:$J$99,MATCH(1,($C824&amp;$D824='TaxCred&amp;Subs'!$D$66:$D$99)*($F824='TaxCred&amp;Subs'!$C$66:$C$99),0)),0)),0))),0)</f>
        <v>0</v>
      </c>
      <c r="Q824" s="41">
        <f t="array" ref="Q824">ROUND(IF(AND($C824=2,VALUE(RIGHT($AD824,1))&gt;2),(O824-S824)*(IFERROR(INDEX('TaxCred&amp;Subs'!$J$66:$J$99,MATCH(1,($C824&amp;$D824='TaxCred&amp;Subs'!$E$66:$E$99)*($F824='TaxCred&amp;Subs'!$C$66:$C$99),0)),0)),IF(AND($C824=1,VALUE(RIGHT($AD824,1))&gt;2),(O824-S824)*(IFERROR(INDEX('TaxCred&amp;Subs'!$J$66:$J$99,MATCH(1,($C824&amp;$D824='TaxCred&amp;Subs'!$D$66:$D$99)*($F824='TaxCred&amp;Subs'!$C$66:$C$99),0)),0)),IF($C824&gt;2,(O824-S824)*(IFERROR(INDEX('TaxCred&amp;Subs'!$J$66:$J$99,MATCH(1,($C824&amp;$D824='TaxCred&amp;Subs'!$D$66:$D$99)*($F824='TaxCred&amp;Subs'!$C$66:$C$99),0)),0)),0))),0)</f>
        <v>0</v>
      </c>
      <c r="R824" s="41">
        <f t="array" ref="R824">ROUND(IF(IFERROR(VALUE(RIGHT($AD824,1)),0)&gt;2,IF($C824=8,N824*IFERROR(INDEX('TaxCred&amp;Subs'!$K$139:$S$151,MATCH($C824&amp;$D824&amp;LEFT($AD824,7),'TaxCred&amp;Subs'!$E$139:$E$151,0),MATCH($H824,'TaxCred&amp;Subs'!$K$137:$S$137,0)),0),IF($C824=2,N824*IFERROR(INDEX('TaxCred&amp;Subs'!$K$139:$S$151,MATCH($C824&amp;$D824,'TaxCred&amp;Subs'!$D$139:$D$151,0),MATCH($H824,'TaxCred&amp;Subs'!$K$137:$S$137,0)),0),N824*IFERROR(INDEX('TaxCred&amp;Subs'!$K$139:$S$151,MATCH($C824&amp;$D824,'TaxCred&amp;Subs'!$C$139:$C$151,0),MATCH($H824,'TaxCred&amp;Subs'!$K$137:$S$137,0)),0))),0),0)</f>
        <v>33</v>
      </c>
      <c r="S824" s="41">
        <f t="array" ref="S824">ROUND(IF(IFERROR(VALUE(RIGHT($AD824,1)),0)&gt;2,IF($C824=8,O824*IFERROR(INDEX('TaxCred&amp;Subs'!$K$139:$S$151,MATCH($C824&amp;$D824&amp;LEFT($AD824,7),'TaxCred&amp;Subs'!$E$139:$E$151,0),MATCH($H824,'TaxCred&amp;Subs'!$K$137:$S$137,0)),0),IF($C824=2,O824*IFERROR(INDEX('TaxCred&amp;Subs'!$K$139:$S$151,MATCH($C824&amp;$D824,'TaxCred&amp;Subs'!$D$139:$D$151,0),MATCH($H824,'TaxCred&amp;Subs'!$K$137:$S$137,0)),0),O824*IFERROR(INDEX('TaxCred&amp;Subs'!$K$139:$S$151,MATCH($C824&amp;$D824,'TaxCred&amp;Subs'!$C$139:$C$151,0),MATCH($H824,'TaxCred&amp;Subs'!$K$137:$S$137,0)),0))),0),0)</f>
        <v>33</v>
      </c>
      <c r="T824" s="41">
        <f t="shared" si="65"/>
        <v>0</v>
      </c>
      <c r="U824" s="41">
        <f t="shared" si="66"/>
        <v>0</v>
      </c>
      <c r="V824" s="152" t="s">
        <v>222</v>
      </c>
      <c r="W824" s="152">
        <v>2020</v>
      </c>
      <c r="X824" s="152">
        <v>1</v>
      </c>
      <c r="Y824" s="152">
        <v>0</v>
      </c>
      <c r="Z824" s="194">
        <v>-7.8530115035628234E-3</v>
      </c>
      <c r="AA824" s="194">
        <v>-0.12081556159327421</v>
      </c>
      <c r="AB824" s="152">
        <v>0</v>
      </c>
      <c r="AC824" s="152">
        <v>0</v>
      </c>
      <c r="AD824" s="152" t="s">
        <v>386</v>
      </c>
    </row>
    <row r="825" spans="2:31" ht="14.25" customHeight="1" x14ac:dyDescent="0.2">
      <c r="B825" s="7">
        <f t="shared" si="58"/>
        <v>801</v>
      </c>
      <c r="C825" s="152">
        <v>8</v>
      </c>
      <c r="D825" s="152">
        <v>1</v>
      </c>
      <c r="E825" s="152">
        <v>4</v>
      </c>
      <c r="F825" s="153">
        <v>2030</v>
      </c>
      <c r="G825" s="152">
        <v>2050</v>
      </c>
      <c r="H825" s="152">
        <v>9</v>
      </c>
      <c r="I825" s="152">
        <v>0</v>
      </c>
      <c r="J825" s="152">
        <v>0</v>
      </c>
      <c r="K825" s="152">
        <v>0</v>
      </c>
      <c r="L825" s="152">
        <v>0</v>
      </c>
      <c r="M825" s="155">
        <v>311.07279999999997</v>
      </c>
      <c r="N825" s="155">
        <v>853.93258426966304</v>
      </c>
      <c r="O825" s="155">
        <v>853.93258426966304</v>
      </c>
      <c r="P825" s="41">
        <f t="array" ref="P825">ROUND(IF($F825&lt;='TaxCred&amp;Subs'!$C$49,(IF($C825=2,IF($M825&gt;=IFERROR(INDEX('TaxCred&amp;Subs'!$L$12:$L$47,MATCH(1,($C825&amp;$D825='TaxCred&amp;Subs'!$E$12:$E$47)*($F825='TaxCred&amp;Subs'!$C$12:$C$47),0)
),9999),IFERROR(INDEX('TaxCred&amp;Subs'!$N$12:$N$47,MATCH(1,($C825&amp;$D825='TaxCred&amp;Subs'!$E$12:$E$47)*($F825='TaxCred&amp;Subs'!$C$12:$C$47),0)
),0),0),(IF($M825&gt;=IFERROR(INDEX('TaxCred&amp;Subs'!$H$12:$H$47,MATCH(1,($C825&amp;$D825='TaxCred&amp;Subs'!$D$12:$D$47)*($F825='TaxCred&amp;Subs'!$C$12:$C$47),0)
),9999),IFERROR(INDEX('TaxCred&amp;Subs'!$N$12:$N$47,MATCH(1,($C825&amp;$D825='TaxCred&amp;Subs'!$D$12:$D$47)*($F825='TaxCred&amp;Subs'!$C$12:$C$47),0)
),0),0)))),0)+IF(AND($C825=2,VALUE(RIGHT($AD825,1))&gt;2),(N825-R825)*(IFERROR(INDEX('TaxCred&amp;Subs'!$J$66:$J$99,MATCH(1,($C825&amp;$D825='TaxCred&amp;Subs'!$E$66:$E$99)*($F825='TaxCred&amp;Subs'!$C$66:$C$99),0)),0)),IF(AND($C825=1,VALUE(RIGHT($AD825,1))&gt;2),(N825-R825)*(IFERROR(INDEX('TaxCred&amp;Subs'!$J$66:$J$99,MATCH(1,($C825&amp;$D825='TaxCred&amp;Subs'!$D$66:$D$99)*($F825='TaxCred&amp;Subs'!$C$66:$C$99),0)),0)),IF($C825&gt;2,(N825-R825)*(IFERROR(INDEX('TaxCred&amp;Subs'!$J$66:$J$99,MATCH(1,($C825&amp;$D825='TaxCred&amp;Subs'!$D$66:$D$99)*($F825='TaxCred&amp;Subs'!$C$66:$C$99),0)),0)),0))),0)</f>
        <v>0</v>
      </c>
      <c r="Q825" s="41">
        <f t="array" ref="Q825">ROUND(IF(AND($C825=2,VALUE(RIGHT($AD825,1))&gt;2),(O825-S825)*(IFERROR(INDEX('TaxCred&amp;Subs'!$J$66:$J$99,MATCH(1,($C825&amp;$D825='TaxCred&amp;Subs'!$E$66:$E$99)*($F825='TaxCred&amp;Subs'!$C$66:$C$99),0)),0)),IF(AND($C825=1,VALUE(RIGHT($AD825,1))&gt;2),(O825-S825)*(IFERROR(INDEX('TaxCred&amp;Subs'!$J$66:$J$99,MATCH(1,($C825&amp;$D825='TaxCred&amp;Subs'!$D$66:$D$99)*($F825='TaxCred&amp;Subs'!$C$66:$C$99),0)),0)),IF($C825&gt;2,(O825-S825)*(IFERROR(INDEX('TaxCred&amp;Subs'!$J$66:$J$99,MATCH(1,($C825&amp;$D825='TaxCred&amp;Subs'!$D$66:$D$99)*($F825='TaxCred&amp;Subs'!$C$66:$C$99),0)),0)),0))),0)</f>
        <v>0</v>
      </c>
      <c r="R825" s="41">
        <f t="array" ref="R825">ROUND(IF(IFERROR(VALUE(RIGHT($AD825,1)),0)&gt;2,IF($C825=8,N825*IFERROR(INDEX('TaxCred&amp;Subs'!$K$139:$S$151,MATCH($C825&amp;$D825&amp;LEFT($AD825,7),'TaxCred&amp;Subs'!$E$139:$E$151,0),MATCH($H825,'TaxCred&amp;Subs'!$K$137:$S$137,0)),0),IF($C825=2,N825*IFERROR(INDEX('TaxCred&amp;Subs'!$K$139:$S$151,MATCH($C825&amp;$D825,'TaxCred&amp;Subs'!$D$139:$D$151,0),MATCH($H825,'TaxCred&amp;Subs'!$K$137:$S$137,0)),0),N825*IFERROR(INDEX('TaxCred&amp;Subs'!$K$139:$S$151,MATCH($C825&amp;$D825,'TaxCred&amp;Subs'!$C$139:$C$151,0),MATCH($H825,'TaxCred&amp;Subs'!$K$137:$S$137,0)),0))),0),0)</f>
        <v>93</v>
      </c>
      <c r="S825" s="41">
        <f t="array" ref="S825">ROUND(IF(IFERROR(VALUE(RIGHT($AD825,1)),0)&gt;2,IF($C825=8,O825*IFERROR(INDEX('TaxCred&amp;Subs'!$K$139:$S$151,MATCH($C825&amp;$D825&amp;LEFT($AD825,7),'TaxCred&amp;Subs'!$E$139:$E$151,0),MATCH($H825,'TaxCred&amp;Subs'!$K$137:$S$137,0)),0),IF($C825=2,O825*IFERROR(INDEX('TaxCred&amp;Subs'!$K$139:$S$151,MATCH($C825&amp;$D825,'TaxCred&amp;Subs'!$D$139:$D$151,0),MATCH($H825,'TaxCred&amp;Subs'!$K$137:$S$137,0)),0),O825*IFERROR(INDEX('TaxCred&amp;Subs'!$K$139:$S$151,MATCH($C825&amp;$D825,'TaxCred&amp;Subs'!$C$139:$C$151,0),MATCH($H825,'TaxCred&amp;Subs'!$K$137:$S$137,0)),0))),0),0)</f>
        <v>93</v>
      </c>
      <c r="T825" s="41">
        <f t="shared" si="65"/>
        <v>128.08988764044946</v>
      </c>
      <c r="U825" s="41">
        <f t="shared" si="66"/>
        <v>128.08988764044946</v>
      </c>
      <c r="V825" s="152" t="s">
        <v>222</v>
      </c>
      <c r="W825" s="152">
        <v>2020</v>
      </c>
      <c r="X825" s="152">
        <v>1</v>
      </c>
      <c r="Y825" s="152">
        <v>0</v>
      </c>
      <c r="Z825" s="194">
        <v>-7.8530115035628234E-3</v>
      </c>
      <c r="AA825" s="194">
        <v>-0.12081556159327421</v>
      </c>
      <c r="AB825" s="152">
        <v>0</v>
      </c>
      <c r="AC825" s="152">
        <v>0</v>
      </c>
      <c r="AD825" s="152" t="s">
        <v>386</v>
      </c>
    </row>
    <row r="826" spans="2:31" ht="14.25" customHeight="1" x14ac:dyDescent="0.2">
      <c r="B826" s="7">
        <f t="shared" si="58"/>
        <v>802</v>
      </c>
      <c r="C826" s="28">
        <v>8</v>
      </c>
      <c r="D826" s="28">
        <v>1</v>
      </c>
      <c r="E826" s="28">
        <v>5</v>
      </c>
      <c r="F826" s="96">
        <v>2020</v>
      </c>
      <c r="G826" s="96">
        <v>2029</v>
      </c>
      <c r="H826" s="28">
        <v>11</v>
      </c>
      <c r="I826" s="28">
        <v>0</v>
      </c>
      <c r="J826" s="28">
        <v>0</v>
      </c>
      <c r="K826" s="28">
        <v>0</v>
      </c>
      <c r="L826" s="28">
        <v>0</v>
      </c>
      <c r="M826" s="79">
        <v>705.02132231404948</v>
      </c>
      <c r="N826" s="151">
        <v>1111.4211656220937</v>
      </c>
      <c r="O826" s="151">
        <v>1111.4211656220937</v>
      </c>
      <c r="P826" s="95">
        <f t="array" ref="P826">ROUND(IF($F826&lt;='TaxCred&amp;Subs'!$C$49,(IF($C826=2,IF($M826&gt;=IFERROR(INDEX('TaxCred&amp;Subs'!$L$12:$L$47,MATCH(1,($C826&amp;$D826='TaxCred&amp;Subs'!$E$12:$E$47)*($F826='TaxCred&amp;Subs'!$C$12:$C$47),0)
),9999),IFERROR(INDEX('TaxCred&amp;Subs'!$N$12:$N$47,MATCH(1,($C826&amp;$D826='TaxCred&amp;Subs'!$E$12:$E$47)*($F826='TaxCred&amp;Subs'!$C$12:$C$47),0)
),0),0),(IF($M826&gt;=IFERROR(INDEX('TaxCred&amp;Subs'!$H$12:$H$47,MATCH(1,($C826&amp;$D826='TaxCred&amp;Subs'!$D$12:$D$47)*($F826='TaxCred&amp;Subs'!$C$12:$C$47),0)
),9999),IFERROR(INDEX('TaxCred&amp;Subs'!$N$12:$N$47,MATCH(1,($C826&amp;$D826='TaxCred&amp;Subs'!$D$12:$D$47)*($F826='TaxCred&amp;Subs'!$C$12:$C$47),0)
),0),0)))),0)+IF(AND($C826=2,VALUE(RIGHT($AD826,1))&gt;2),(N826-R826)*(IFERROR(INDEX('TaxCred&amp;Subs'!$J$66:$J$99,MATCH(1,($C826&amp;$D826='TaxCred&amp;Subs'!$E$66:$E$99)*($F826='TaxCred&amp;Subs'!$C$66:$C$99),0)),0)),IF(AND($C826=1,VALUE(RIGHT($AD826,1))&gt;2),(N826-R826)*(IFERROR(INDEX('TaxCred&amp;Subs'!$J$66:$J$99,MATCH(1,($C826&amp;$D826='TaxCred&amp;Subs'!$D$66:$D$99)*($F826='TaxCred&amp;Subs'!$C$66:$C$99),0)),0)),IF($C826&gt;2,(N826-R826)*(IFERROR(INDEX('TaxCred&amp;Subs'!$J$66:$J$99,MATCH(1,($C826&amp;$D826='TaxCred&amp;Subs'!$D$66:$D$99)*($F826='TaxCred&amp;Subs'!$C$66:$C$99),0)),0)),0))),0)</f>
        <v>0</v>
      </c>
      <c r="Q826" s="95">
        <f t="array" ref="Q826">ROUND(IF(AND($C826=2,VALUE(RIGHT($AD826,1))&gt;2),(O826-S826)*(IFERROR(INDEX('TaxCred&amp;Subs'!$J$66:$J$99,MATCH(1,($C826&amp;$D826='TaxCred&amp;Subs'!$E$66:$E$99)*($F826='TaxCred&amp;Subs'!$C$66:$C$99),0)),0)),IF(AND($C826=1,VALUE(RIGHT($AD826,1))&gt;2),(O826-S826)*(IFERROR(INDEX('TaxCred&amp;Subs'!$J$66:$J$99,MATCH(1,($C826&amp;$D826='TaxCred&amp;Subs'!$D$66:$D$99)*($F826='TaxCred&amp;Subs'!$C$66:$C$99),0)),0)),IF($C826&gt;2,(O826-S826)*(IFERROR(INDEX('TaxCred&amp;Subs'!$J$66:$J$99,MATCH(1,($C826&amp;$D826='TaxCred&amp;Subs'!$D$66:$D$99)*($F826='TaxCred&amp;Subs'!$C$66:$C$99),0)),0)),0))),0)</f>
        <v>0</v>
      </c>
      <c r="R826" s="95">
        <f t="array" ref="R826">ROUND(IF(IFERROR(VALUE(RIGHT($AD826,1)),0)&gt;2,IF($C826=8,N826*IFERROR(INDEX('TaxCred&amp;Subs'!$K$139:$S$151,MATCH($C826&amp;$D826&amp;LEFT($AD826,7),'TaxCred&amp;Subs'!$E$139:$E$151,0),MATCH($H826,'TaxCred&amp;Subs'!$K$137:$S$137,0)),0),IF($C826=2,N826*IFERROR(INDEX('TaxCred&amp;Subs'!$K$139:$S$151,MATCH($C826&amp;$D826,'TaxCred&amp;Subs'!$D$139:$D$151,0),MATCH($H826,'TaxCred&amp;Subs'!$K$137:$S$137,0)),0),N826*IFERROR(INDEX('TaxCred&amp;Subs'!$K$139:$S$151,MATCH($C826&amp;$D826,'TaxCred&amp;Subs'!$C$139:$C$151,0),MATCH($H826,'TaxCred&amp;Subs'!$K$137:$S$137,0)),0))),0),0)</f>
        <v>0</v>
      </c>
      <c r="S826" s="95">
        <f t="array" ref="S826">ROUND(IF(IFERROR(VALUE(RIGHT($AD826,1)),0)&gt;2,IF($C826=8,O826*IFERROR(INDEX('TaxCred&amp;Subs'!$K$139:$S$151,MATCH($C826&amp;$D826&amp;LEFT($AD826,7),'TaxCred&amp;Subs'!$E$139:$E$151,0),MATCH($H826,'TaxCred&amp;Subs'!$K$137:$S$137,0)),0),IF($C826=2,O826*IFERROR(INDEX('TaxCred&amp;Subs'!$K$139:$S$151,MATCH($C826&amp;$D826,'TaxCred&amp;Subs'!$D$139:$D$151,0),MATCH($H826,'TaxCred&amp;Subs'!$K$137:$S$137,0)),0),O826*IFERROR(INDEX('TaxCred&amp;Subs'!$K$139:$S$151,MATCH($C826&amp;$D826,'TaxCred&amp;Subs'!$C$139:$C$151,0),MATCH($H826,'TaxCred&amp;Subs'!$K$137:$S$137,0)),0))),0),0)</f>
        <v>0</v>
      </c>
      <c r="T826" s="95">
        <f t="shared" si="56"/>
        <v>0</v>
      </c>
      <c r="U826" s="95">
        <f t="shared" si="57"/>
        <v>0</v>
      </c>
      <c r="V826" s="28" t="s">
        <v>222</v>
      </c>
      <c r="W826" s="31">
        <v>2020</v>
      </c>
      <c r="X826" s="28">
        <v>1</v>
      </c>
      <c r="Y826" s="28">
        <v>0</v>
      </c>
      <c r="Z826" s="196">
        <v>-7.7726360271695508E-3</v>
      </c>
      <c r="AA826" s="196">
        <v>-0.11957901580260846</v>
      </c>
      <c r="AB826" s="28">
        <v>0</v>
      </c>
      <c r="AC826" s="28">
        <v>0</v>
      </c>
      <c r="AD826" s="28" t="s">
        <v>387</v>
      </c>
    </row>
    <row r="827" spans="2:31" ht="14.25" customHeight="1" x14ac:dyDescent="0.2">
      <c r="B827" s="7">
        <f t="shared" si="58"/>
        <v>803</v>
      </c>
      <c r="C827" s="152">
        <v>8</v>
      </c>
      <c r="D827" s="152">
        <v>1</v>
      </c>
      <c r="E827" s="152">
        <v>5</v>
      </c>
      <c r="F827" s="153">
        <v>2030</v>
      </c>
      <c r="G827" s="152">
        <v>2050</v>
      </c>
      <c r="H827" s="152">
        <v>11</v>
      </c>
      <c r="I827" s="152">
        <v>0</v>
      </c>
      <c r="J827" s="152">
        <v>0</v>
      </c>
      <c r="K827" s="152">
        <v>0</v>
      </c>
      <c r="L827" s="152">
        <v>0</v>
      </c>
      <c r="M827" s="155">
        <v>589.80520000000001</v>
      </c>
      <c r="N827" s="155">
        <v>1247.941287217996</v>
      </c>
      <c r="O827" s="155">
        <v>1247.941287217996</v>
      </c>
      <c r="P827" s="41">
        <f t="array" ref="P827">ROUND(IF($F827&lt;='TaxCred&amp;Subs'!$C$49,(IF($C827=2,IF($M827&gt;=IFERROR(INDEX('TaxCred&amp;Subs'!$L$12:$L$47,MATCH(1,($C827&amp;$D827='TaxCred&amp;Subs'!$E$12:$E$47)*($F827='TaxCred&amp;Subs'!$C$12:$C$47),0)
),9999),IFERROR(INDEX('TaxCred&amp;Subs'!$N$12:$N$47,MATCH(1,($C827&amp;$D827='TaxCred&amp;Subs'!$E$12:$E$47)*($F827='TaxCred&amp;Subs'!$C$12:$C$47),0)
),0),0),(IF($M827&gt;=IFERROR(INDEX('TaxCred&amp;Subs'!$H$12:$H$47,MATCH(1,($C827&amp;$D827='TaxCred&amp;Subs'!$D$12:$D$47)*($F827='TaxCred&amp;Subs'!$C$12:$C$47),0)
),9999),IFERROR(INDEX('TaxCred&amp;Subs'!$N$12:$N$47,MATCH(1,($C827&amp;$D827='TaxCred&amp;Subs'!$D$12:$D$47)*($F827='TaxCred&amp;Subs'!$C$12:$C$47),0)
),0),0)))),0)+IF(AND($C827=2,VALUE(RIGHT($AD827,1))&gt;2),(N827-R827)*(IFERROR(INDEX('TaxCred&amp;Subs'!$J$66:$J$99,MATCH(1,($C827&amp;$D827='TaxCred&amp;Subs'!$E$66:$E$99)*($F827='TaxCred&amp;Subs'!$C$66:$C$99),0)),0)),IF(AND($C827=1,VALUE(RIGHT($AD827,1))&gt;2),(N827-R827)*(IFERROR(INDEX('TaxCred&amp;Subs'!$J$66:$J$99,MATCH(1,($C827&amp;$D827='TaxCred&amp;Subs'!$D$66:$D$99)*($F827='TaxCred&amp;Subs'!$C$66:$C$99),0)),0)),IF($C827&gt;2,(N827-R827)*(IFERROR(INDEX('TaxCred&amp;Subs'!$J$66:$J$99,MATCH(1,($C827&amp;$D827='TaxCred&amp;Subs'!$D$66:$D$99)*($F827='TaxCred&amp;Subs'!$C$66:$C$99),0)),0)),0))),0)</f>
        <v>0</v>
      </c>
      <c r="Q827" s="41">
        <f t="array" ref="Q827">ROUND(IF(AND($C827=2,VALUE(RIGHT($AD827,1))&gt;2),(O827-S827)*(IFERROR(INDEX('TaxCred&amp;Subs'!$J$66:$J$99,MATCH(1,($C827&amp;$D827='TaxCred&amp;Subs'!$E$66:$E$99)*($F827='TaxCred&amp;Subs'!$C$66:$C$99),0)),0)),IF(AND($C827=1,VALUE(RIGHT($AD827,1))&gt;2),(O827-S827)*(IFERROR(INDEX('TaxCred&amp;Subs'!$J$66:$J$99,MATCH(1,($C827&amp;$D827='TaxCred&amp;Subs'!$D$66:$D$99)*($F827='TaxCred&amp;Subs'!$C$66:$C$99),0)),0)),IF($C827&gt;2,(O827-S827)*(IFERROR(INDEX('TaxCred&amp;Subs'!$J$66:$J$99,MATCH(1,($C827&amp;$D827='TaxCred&amp;Subs'!$D$66:$D$99)*($F827='TaxCred&amp;Subs'!$C$66:$C$99),0)),0)),0))),0)</f>
        <v>0</v>
      </c>
      <c r="R827" s="41">
        <f t="array" ref="R827">ROUND(IF(IFERROR(VALUE(RIGHT($AD827,1)),0)&gt;2,IF($C827=8,N827*IFERROR(INDEX('TaxCred&amp;Subs'!$K$139:$S$151,MATCH($C827&amp;$D827&amp;LEFT($AD827,7),'TaxCred&amp;Subs'!$E$139:$E$151,0),MATCH($H827,'TaxCred&amp;Subs'!$K$137:$S$137,0)),0),IF($C827=2,N827*IFERROR(INDEX('TaxCred&amp;Subs'!$K$139:$S$151,MATCH($C827&amp;$D827,'TaxCred&amp;Subs'!$D$139:$D$151,0),MATCH($H827,'TaxCred&amp;Subs'!$K$137:$S$137,0)),0),N827*IFERROR(INDEX('TaxCred&amp;Subs'!$K$139:$S$151,MATCH($C827&amp;$D827,'TaxCred&amp;Subs'!$C$139:$C$151,0),MATCH($H827,'TaxCred&amp;Subs'!$K$137:$S$137,0)),0))),0),0)</f>
        <v>0</v>
      </c>
      <c r="S827" s="41">
        <f t="array" ref="S827">ROUND(IF(IFERROR(VALUE(RIGHT($AD827,1)),0)&gt;2,IF($C827=8,O827*IFERROR(INDEX('TaxCred&amp;Subs'!$K$139:$S$151,MATCH($C827&amp;$D827&amp;LEFT($AD827,7),'TaxCred&amp;Subs'!$E$139:$E$151,0),MATCH($H827,'TaxCred&amp;Subs'!$K$137:$S$137,0)),0),IF($C827=2,O827*IFERROR(INDEX('TaxCred&amp;Subs'!$K$139:$S$151,MATCH($C827&amp;$D827,'TaxCred&amp;Subs'!$D$139:$D$151,0),MATCH($H827,'TaxCred&amp;Subs'!$K$137:$S$137,0)),0),O827*IFERROR(INDEX('TaxCred&amp;Subs'!$K$139:$S$151,MATCH($C827&amp;$D827,'TaxCred&amp;Subs'!$C$139:$C$151,0),MATCH($H827,'TaxCred&amp;Subs'!$K$137:$S$137,0)),0))),0),0)</f>
        <v>0</v>
      </c>
      <c r="T827" s="41">
        <f t="shared" ref="T827" si="67">IF($H827=9,IF(R827&gt;0,(N827-P827)*0.15,0),0)</f>
        <v>0</v>
      </c>
      <c r="U827" s="41">
        <f t="shared" ref="U827" si="68">IF($H827=9,IF(S827&gt;0,(O827-Q827)*0.15,0),0)</f>
        <v>0</v>
      </c>
      <c r="V827" s="152" t="s">
        <v>222</v>
      </c>
      <c r="W827" s="152">
        <v>2020</v>
      </c>
      <c r="X827" s="152">
        <v>1</v>
      </c>
      <c r="Y827" s="152">
        <v>0</v>
      </c>
      <c r="Z827" s="194">
        <v>-7.7726360271695508E-3</v>
      </c>
      <c r="AA827" s="194">
        <v>-0.11957901580260846</v>
      </c>
      <c r="AB827" s="152">
        <v>0</v>
      </c>
      <c r="AC827" s="152">
        <v>0</v>
      </c>
      <c r="AD827" s="152" t="s">
        <v>387</v>
      </c>
    </row>
    <row r="828" spans="2:31" ht="14.25" customHeight="1" x14ac:dyDescent="0.2">
      <c r="B828" s="7">
        <f t="shared" si="58"/>
        <v>804</v>
      </c>
      <c r="C828" s="28">
        <v>8</v>
      </c>
      <c r="D828" s="28">
        <v>1</v>
      </c>
      <c r="E828" s="28">
        <v>6</v>
      </c>
      <c r="F828" s="96">
        <v>2020</v>
      </c>
      <c r="G828" s="96">
        <v>2029</v>
      </c>
      <c r="H828" s="28">
        <v>11</v>
      </c>
      <c r="I828" s="28">
        <v>0</v>
      </c>
      <c r="J828" s="28">
        <v>0</v>
      </c>
      <c r="K828" s="28">
        <v>0</v>
      </c>
      <c r="L828" s="28">
        <v>0</v>
      </c>
      <c r="M828" s="151">
        <v>693.42975206611573</v>
      </c>
      <c r="N828" s="151">
        <v>1130</v>
      </c>
      <c r="O828" s="151">
        <v>1130</v>
      </c>
      <c r="P828" s="95">
        <f t="array" ref="P828">ROUND(IF($F828&lt;='TaxCred&amp;Subs'!$C$49,(IF($C828=2,IF($M828&gt;=IFERROR(INDEX('TaxCred&amp;Subs'!$L$12:$L$47,MATCH(1,($C828&amp;$D828='TaxCred&amp;Subs'!$E$12:$E$47)*($F828='TaxCred&amp;Subs'!$C$12:$C$47),0)
),9999),IFERROR(INDEX('TaxCred&amp;Subs'!$N$12:$N$47,MATCH(1,($C828&amp;$D828='TaxCred&amp;Subs'!$E$12:$E$47)*($F828='TaxCred&amp;Subs'!$C$12:$C$47),0)
),0),0),(IF($M828&gt;=IFERROR(INDEX('TaxCred&amp;Subs'!$H$12:$H$47,MATCH(1,($C828&amp;$D828='TaxCred&amp;Subs'!$D$12:$D$47)*($F828='TaxCred&amp;Subs'!$C$12:$C$47),0)
),9999),IFERROR(INDEX('TaxCred&amp;Subs'!$N$12:$N$47,MATCH(1,($C828&amp;$D828='TaxCred&amp;Subs'!$D$12:$D$47)*($F828='TaxCred&amp;Subs'!$C$12:$C$47),0)
),0),0)))),0)+IF(AND($C828=2,VALUE(RIGHT($AD828,1))&gt;2),(N828-R828)*(IFERROR(INDEX('TaxCred&amp;Subs'!$J$66:$J$99,MATCH(1,($C828&amp;$D828='TaxCred&amp;Subs'!$E$66:$E$99)*($F828='TaxCred&amp;Subs'!$C$66:$C$99),0)),0)),IF(AND($C828=1,VALUE(RIGHT($AD828,1))&gt;2),(N828-R828)*(IFERROR(INDEX('TaxCred&amp;Subs'!$J$66:$J$99,MATCH(1,($C828&amp;$D828='TaxCred&amp;Subs'!$D$66:$D$99)*($F828='TaxCred&amp;Subs'!$C$66:$C$99),0)),0)),IF($C828&gt;2,(N828-R828)*(IFERROR(INDEX('TaxCred&amp;Subs'!$J$66:$J$99,MATCH(1,($C828&amp;$D828='TaxCred&amp;Subs'!$D$66:$D$99)*($F828='TaxCred&amp;Subs'!$C$66:$C$99),0)),0)),0))),0)</f>
        <v>0</v>
      </c>
      <c r="Q828" s="95">
        <f t="array" ref="Q828">ROUND(IF(AND($C828=2,VALUE(RIGHT($AD828,1))&gt;2),(O828-S828)*(IFERROR(INDEX('TaxCred&amp;Subs'!$J$66:$J$99,MATCH(1,($C828&amp;$D828='TaxCred&amp;Subs'!$E$66:$E$99)*($F828='TaxCred&amp;Subs'!$C$66:$C$99),0)),0)),IF(AND($C828=1,VALUE(RIGHT($AD828,1))&gt;2),(O828-S828)*(IFERROR(INDEX('TaxCred&amp;Subs'!$J$66:$J$99,MATCH(1,($C828&amp;$D828='TaxCred&amp;Subs'!$D$66:$D$99)*($F828='TaxCred&amp;Subs'!$C$66:$C$99),0)),0)),IF($C828&gt;2,(O828-S828)*(IFERROR(INDEX('TaxCred&amp;Subs'!$J$66:$J$99,MATCH(1,($C828&amp;$D828='TaxCred&amp;Subs'!$D$66:$D$99)*($F828='TaxCred&amp;Subs'!$C$66:$C$99),0)),0)),0))),0)</f>
        <v>0</v>
      </c>
      <c r="R828" s="95">
        <f t="array" ref="R828">ROUND(IF(IFERROR(VALUE(RIGHT($AD828,1)),0)&gt;2,IF($C828=8,N828*IFERROR(INDEX('TaxCred&amp;Subs'!$K$139:$S$151,MATCH($C828&amp;$D828&amp;LEFT($AD828,7),'TaxCred&amp;Subs'!$E$139:$E$151,0),MATCH($H828,'TaxCred&amp;Subs'!$K$137:$S$137,0)),0),IF($C828=2,N828*IFERROR(INDEX('TaxCred&amp;Subs'!$K$139:$S$151,MATCH($C828&amp;$D828,'TaxCred&amp;Subs'!$D$139:$D$151,0),MATCH($H828,'TaxCred&amp;Subs'!$K$137:$S$137,0)),0),N828*IFERROR(INDEX('TaxCred&amp;Subs'!$K$139:$S$151,MATCH($C828&amp;$D828,'TaxCred&amp;Subs'!$C$139:$C$151,0),MATCH($H828,'TaxCred&amp;Subs'!$K$137:$S$137,0)),0))),0),0)</f>
        <v>0</v>
      </c>
      <c r="S828" s="95">
        <f t="array" ref="S828">ROUND(IF(IFERROR(VALUE(RIGHT($AD828,1)),0)&gt;2,IF($C828=8,O828*IFERROR(INDEX('TaxCred&amp;Subs'!$K$139:$S$151,MATCH($C828&amp;$D828&amp;LEFT($AD828,7),'TaxCred&amp;Subs'!$E$139:$E$151,0),MATCH($H828,'TaxCred&amp;Subs'!$K$137:$S$137,0)),0),IF($C828=2,O828*IFERROR(INDEX('TaxCred&amp;Subs'!$K$139:$S$151,MATCH($C828&amp;$D828,'TaxCred&amp;Subs'!$D$139:$D$151,0),MATCH($H828,'TaxCred&amp;Subs'!$K$137:$S$137,0)),0),O828*IFERROR(INDEX('TaxCred&amp;Subs'!$K$139:$S$151,MATCH($C828&amp;$D828,'TaxCred&amp;Subs'!$C$139:$C$151,0),MATCH($H828,'TaxCred&amp;Subs'!$K$137:$S$137,0)),0))),0),0)</f>
        <v>0</v>
      </c>
      <c r="T828" s="95">
        <f t="shared" si="56"/>
        <v>0</v>
      </c>
      <c r="U828" s="95">
        <f t="shared" si="57"/>
        <v>0</v>
      </c>
      <c r="V828" s="28" t="s">
        <v>222</v>
      </c>
      <c r="W828" s="31">
        <v>2020</v>
      </c>
      <c r="X828" s="28">
        <v>1</v>
      </c>
      <c r="Y828" s="28">
        <v>0</v>
      </c>
      <c r="Z828" s="196">
        <v>-7.7726360271695508E-3</v>
      </c>
      <c r="AA828" s="196">
        <v>-0.11957901580260846</v>
      </c>
      <c r="AB828" s="28">
        <v>0</v>
      </c>
      <c r="AC828" s="28">
        <v>0</v>
      </c>
      <c r="AD828" s="28" t="s">
        <v>388</v>
      </c>
    </row>
    <row r="829" spans="2:31" ht="14.25" customHeight="1" x14ac:dyDescent="0.2">
      <c r="B829" s="7">
        <f t="shared" si="58"/>
        <v>805</v>
      </c>
      <c r="C829" s="152">
        <v>8</v>
      </c>
      <c r="D829" s="152">
        <v>1</v>
      </c>
      <c r="E829" s="152">
        <v>6</v>
      </c>
      <c r="F829" s="153">
        <v>2030</v>
      </c>
      <c r="G829" s="152">
        <v>2050</v>
      </c>
      <c r="H829" s="152">
        <v>11</v>
      </c>
      <c r="I829" s="152">
        <v>0</v>
      </c>
      <c r="J829" s="152">
        <v>0</v>
      </c>
      <c r="K829" s="152">
        <v>0</v>
      </c>
      <c r="L829" s="152">
        <v>0</v>
      </c>
      <c r="M829" s="155">
        <v>693.42975206611573</v>
      </c>
      <c r="N829" s="155">
        <v>1130</v>
      </c>
      <c r="O829" s="155">
        <v>1130</v>
      </c>
      <c r="P829" s="41">
        <f t="array" ref="P829">ROUND(IF($F829&lt;='TaxCred&amp;Subs'!$C$49,(IF($C829=2,IF($M829&gt;=IFERROR(INDEX('TaxCred&amp;Subs'!$L$12:$L$47,MATCH(1,($C829&amp;$D829='TaxCred&amp;Subs'!$E$12:$E$47)*($F829='TaxCred&amp;Subs'!$C$12:$C$47),0)
),9999),IFERROR(INDEX('TaxCred&amp;Subs'!$N$12:$N$47,MATCH(1,($C829&amp;$D829='TaxCred&amp;Subs'!$E$12:$E$47)*($F829='TaxCred&amp;Subs'!$C$12:$C$47),0)
),0),0),(IF($M829&gt;=IFERROR(INDEX('TaxCred&amp;Subs'!$H$12:$H$47,MATCH(1,($C829&amp;$D829='TaxCred&amp;Subs'!$D$12:$D$47)*($F829='TaxCred&amp;Subs'!$C$12:$C$47),0)
),9999),IFERROR(INDEX('TaxCred&amp;Subs'!$N$12:$N$47,MATCH(1,($C829&amp;$D829='TaxCred&amp;Subs'!$D$12:$D$47)*($F829='TaxCred&amp;Subs'!$C$12:$C$47),0)
),0),0)))),0)+IF(AND($C829=2,VALUE(RIGHT($AD829,1))&gt;2),(N829-R829)*(IFERROR(INDEX('TaxCred&amp;Subs'!$J$66:$J$99,MATCH(1,($C829&amp;$D829='TaxCred&amp;Subs'!$E$66:$E$99)*($F829='TaxCred&amp;Subs'!$C$66:$C$99),0)),0)),IF(AND($C829=1,VALUE(RIGHT($AD829,1))&gt;2),(N829-R829)*(IFERROR(INDEX('TaxCred&amp;Subs'!$J$66:$J$99,MATCH(1,($C829&amp;$D829='TaxCred&amp;Subs'!$D$66:$D$99)*($F829='TaxCred&amp;Subs'!$C$66:$C$99),0)),0)),IF($C829&gt;2,(N829-R829)*(IFERROR(INDEX('TaxCred&amp;Subs'!$J$66:$J$99,MATCH(1,($C829&amp;$D829='TaxCred&amp;Subs'!$D$66:$D$99)*($F829='TaxCred&amp;Subs'!$C$66:$C$99),0)),0)),0))),0)</f>
        <v>0</v>
      </c>
      <c r="Q829" s="41">
        <f t="array" ref="Q829">ROUND(IF(AND($C829=2,VALUE(RIGHT($AD829,1))&gt;2),(O829-S829)*(IFERROR(INDEX('TaxCred&amp;Subs'!$J$66:$J$99,MATCH(1,($C829&amp;$D829='TaxCred&amp;Subs'!$E$66:$E$99)*($F829='TaxCred&amp;Subs'!$C$66:$C$99),0)),0)),IF(AND($C829=1,VALUE(RIGHT($AD829,1))&gt;2),(O829-S829)*(IFERROR(INDEX('TaxCred&amp;Subs'!$J$66:$J$99,MATCH(1,($C829&amp;$D829='TaxCred&amp;Subs'!$D$66:$D$99)*($F829='TaxCred&amp;Subs'!$C$66:$C$99),0)),0)),IF($C829&gt;2,(O829-S829)*(IFERROR(INDEX('TaxCred&amp;Subs'!$J$66:$J$99,MATCH(1,($C829&amp;$D829='TaxCred&amp;Subs'!$D$66:$D$99)*($F829='TaxCred&amp;Subs'!$C$66:$C$99),0)),0)),0))),0)</f>
        <v>0</v>
      </c>
      <c r="R829" s="41">
        <f t="array" ref="R829">ROUND(IF(IFERROR(VALUE(RIGHT($AD829,1)),0)&gt;2,IF($C829=8,N829*IFERROR(INDEX('TaxCred&amp;Subs'!$K$139:$S$151,MATCH($C829&amp;$D829&amp;LEFT($AD829,7),'TaxCred&amp;Subs'!$E$139:$E$151,0),MATCH($H829,'TaxCred&amp;Subs'!$K$137:$S$137,0)),0),IF($C829=2,N829*IFERROR(INDEX('TaxCred&amp;Subs'!$K$139:$S$151,MATCH($C829&amp;$D829,'TaxCred&amp;Subs'!$D$139:$D$151,0),MATCH($H829,'TaxCred&amp;Subs'!$K$137:$S$137,0)),0),N829*IFERROR(INDEX('TaxCred&amp;Subs'!$K$139:$S$151,MATCH($C829&amp;$D829,'TaxCred&amp;Subs'!$C$139:$C$151,0),MATCH($H829,'TaxCred&amp;Subs'!$K$137:$S$137,0)),0))),0),0)</f>
        <v>0</v>
      </c>
      <c r="S829" s="41">
        <f t="array" ref="S829">ROUND(IF(IFERROR(VALUE(RIGHT($AD829,1)),0)&gt;2,IF($C829=8,O829*IFERROR(INDEX('TaxCred&amp;Subs'!$K$139:$S$151,MATCH($C829&amp;$D829&amp;LEFT($AD829,7),'TaxCred&amp;Subs'!$E$139:$E$151,0),MATCH($H829,'TaxCred&amp;Subs'!$K$137:$S$137,0)),0),IF($C829=2,O829*IFERROR(INDEX('TaxCred&amp;Subs'!$K$139:$S$151,MATCH($C829&amp;$D829,'TaxCred&amp;Subs'!$D$139:$D$151,0),MATCH($H829,'TaxCred&amp;Subs'!$K$137:$S$137,0)),0),O829*IFERROR(INDEX('TaxCred&amp;Subs'!$K$139:$S$151,MATCH($C829&amp;$D829,'TaxCred&amp;Subs'!$C$139:$C$151,0),MATCH($H829,'TaxCred&amp;Subs'!$K$137:$S$137,0)),0))),0),0)</f>
        <v>0</v>
      </c>
      <c r="T829" s="41">
        <f t="shared" ref="T829" si="69">IF($H829=9,IF(R829&gt;0,(N829-P829)*0.15,0),0)</f>
        <v>0</v>
      </c>
      <c r="U829" s="41">
        <f t="shared" ref="U829" si="70">IF($H829=9,IF(S829&gt;0,(O829-Q829)*0.15,0),0)</f>
        <v>0</v>
      </c>
      <c r="V829" s="152" t="s">
        <v>222</v>
      </c>
      <c r="W829" s="152">
        <v>2020</v>
      </c>
      <c r="X829" s="152">
        <v>1</v>
      </c>
      <c r="Y829" s="152">
        <v>0</v>
      </c>
      <c r="Z829" s="195">
        <v>-1</v>
      </c>
      <c r="AA829" s="195">
        <v>-1</v>
      </c>
      <c r="AB829" s="152">
        <v>0</v>
      </c>
      <c r="AC829" s="152">
        <v>0</v>
      </c>
      <c r="AD829" s="152" t="s">
        <v>388</v>
      </c>
      <c r="AE829" s="44" t="s">
        <v>498</v>
      </c>
    </row>
    <row r="830" spans="2:31" ht="14.25" customHeight="1" x14ac:dyDescent="0.2">
      <c r="B830" s="7">
        <f t="shared" si="58"/>
        <v>806</v>
      </c>
      <c r="C830" s="28">
        <v>8</v>
      </c>
      <c r="D830" s="28">
        <v>1</v>
      </c>
      <c r="E830" s="28">
        <v>7</v>
      </c>
      <c r="F830" s="96">
        <v>2020</v>
      </c>
      <c r="G830" s="96">
        <v>2029</v>
      </c>
      <c r="H830" s="28">
        <v>1</v>
      </c>
      <c r="I830" s="28">
        <v>0</v>
      </c>
      <c r="J830" s="28">
        <v>0</v>
      </c>
      <c r="K830" s="28">
        <v>0</v>
      </c>
      <c r="L830" s="28">
        <v>0</v>
      </c>
      <c r="M830" s="79">
        <v>634.51919008264451</v>
      </c>
      <c r="N830" s="151">
        <v>1160</v>
      </c>
      <c r="O830" s="151">
        <v>1160</v>
      </c>
      <c r="P830" s="95">
        <f t="array" ref="P830">ROUND(IF($F830&lt;='TaxCred&amp;Subs'!$C$49,(IF($C830=2,IF($M830&gt;=IFERROR(INDEX('TaxCred&amp;Subs'!$L$12:$L$47,MATCH(1,($C830&amp;$D830='TaxCred&amp;Subs'!$E$12:$E$47)*($F830='TaxCred&amp;Subs'!$C$12:$C$47),0)
),9999),IFERROR(INDEX('TaxCred&amp;Subs'!$N$12:$N$47,MATCH(1,($C830&amp;$D830='TaxCred&amp;Subs'!$E$12:$E$47)*($F830='TaxCred&amp;Subs'!$C$12:$C$47),0)
),0),0),(IF($M830&gt;=IFERROR(INDEX('TaxCred&amp;Subs'!$H$12:$H$47,MATCH(1,($C830&amp;$D830='TaxCred&amp;Subs'!$D$12:$D$47)*($F830='TaxCred&amp;Subs'!$C$12:$C$47),0)
),9999),IFERROR(INDEX('TaxCred&amp;Subs'!$N$12:$N$47,MATCH(1,($C830&amp;$D830='TaxCred&amp;Subs'!$D$12:$D$47)*($F830='TaxCred&amp;Subs'!$C$12:$C$47),0)
),0),0)))),0)+IF(AND($C830=2,VALUE(RIGHT($AD830,1))&gt;2),(N830-R830)*(IFERROR(INDEX('TaxCred&amp;Subs'!$J$66:$J$99,MATCH(1,($C830&amp;$D830='TaxCred&amp;Subs'!$E$66:$E$99)*($F830='TaxCred&amp;Subs'!$C$66:$C$99),0)),0)),IF(AND($C830=1,VALUE(RIGHT($AD830,1))&gt;2),(N830-R830)*(IFERROR(INDEX('TaxCred&amp;Subs'!$J$66:$J$99,MATCH(1,($C830&amp;$D830='TaxCred&amp;Subs'!$D$66:$D$99)*($F830='TaxCred&amp;Subs'!$C$66:$C$99),0)),0)),IF($C830&gt;2,(N830-R830)*(IFERROR(INDEX('TaxCred&amp;Subs'!$J$66:$J$99,MATCH(1,($C830&amp;$D830='TaxCred&amp;Subs'!$D$66:$D$99)*($F830='TaxCred&amp;Subs'!$C$66:$C$99),0)),0)),0))),0)</f>
        <v>0</v>
      </c>
      <c r="Q830" s="95">
        <f t="array" ref="Q830">ROUND(IF(AND($C830=2,VALUE(RIGHT($AD830,1))&gt;2),(O830-S830)*(IFERROR(INDEX('TaxCred&amp;Subs'!$J$66:$J$99,MATCH(1,($C830&amp;$D830='TaxCred&amp;Subs'!$E$66:$E$99)*($F830='TaxCred&amp;Subs'!$C$66:$C$99),0)),0)),IF(AND($C830=1,VALUE(RIGHT($AD830,1))&gt;2),(O830-S830)*(IFERROR(INDEX('TaxCred&amp;Subs'!$J$66:$J$99,MATCH(1,($C830&amp;$D830='TaxCred&amp;Subs'!$D$66:$D$99)*($F830='TaxCred&amp;Subs'!$C$66:$C$99),0)),0)),IF($C830&gt;2,(O830-S830)*(IFERROR(INDEX('TaxCred&amp;Subs'!$J$66:$J$99,MATCH(1,($C830&amp;$D830='TaxCred&amp;Subs'!$D$66:$D$99)*($F830='TaxCred&amp;Subs'!$C$66:$C$99),0)),0)),0))),0)</f>
        <v>0</v>
      </c>
      <c r="R830" s="172">
        <f t="array" ref="R830">ROUND(IF(IFERROR(VALUE(RIGHT($AD830,1)),0)&gt;2,IF($C830=8,N830*IFERROR(INDEX('TaxCred&amp;Subs'!$K$139:$S$151,MATCH($C830&amp;$D830&amp;LEFT($AD830,7),'TaxCred&amp;Subs'!$E$139:$E$151,0),MATCH($H830,'TaxCred&amp;Subs'!$K$137:$S$137,0)),0),IF($C830=2,N830*IFERROR(INDEX('TaxCred&amp;Subs'!$K$139:$S$151,MATCH($C830&amp;$D830,'TaxCred&amp;Subs'!$D$139:$D$151,0),MATCH($H830,'TaxCred&amp;Subs'!$K$137:$S$137,0)),0),N830*IFERROR(INDEX('TaxCred&amp;Subs'!$K$139:$S$151,MATCH($C830&amp;$D830,'TaxCred&amp;Subs'!$C$139:$C$151,0),MATCH($H830,'TaxCred&amp;Subs'!$K$137:$S$137,0)),0))),0),0)</f>
        <v>6</v>
      </c>
      <c r="S830" s="172">
        <f t="array" ref="S830">ROUND(IF(IFERROR(VALUE(RIGHT($AD830,1)),0)&gt;2,IF($C830=8,O830*IFERROR(INDEX('TaxCred&amp;Subs'!$K$139:$S$151,MATCH($C830&amp;$D830&amp;LEFT($AD830,7),'TaxCred&amp;Subs'!$E$139:$E$151,0),MATCH($H830,'TaxCred&amp;Subs'!$K$137:$S$137,0)),0),IF($C830=2,O830*IFERROR(INDEX('TaxCred&amp;Subs'!$K$139:$S$151,MATCH($C830&amp;$D830,'TaxCred&amp;Subs'!$D$139:$D$151,0),MATCH($H830,'TaxCred&amp;Subs'!$K$137:$S$137,0)),0),O830*IFERROR(INDEX('TaxCred&amp;Subs'!$K$139:$S$151,MATCH($C830&amp;$D830,'TaxCred&amp;Subs'!$C$139:$C$151,0),MATCH($H830,'TaxCred&amp;Subs'!$K$137:$S$137,0)),0))),0),0)</f>
        <v>6</v>
      </c>
      <c r="T830" s="95">
        <f t="shared" si="56"/>
        <v>0</v>
      </c>
      <c r="U830" s="95">
        <f t="shared" si="57"/>
        <v>0</v>
      </c>
      <c r="V830" s="28" t="s">
        <v>222</v>
      </c>
      <c r="W830" s="31">
        <v>2020</v>
      </c>
      <c r="X830" s="28">
        <v>1</v>
      </c>
      <c r="Y830" s="28">
        <v>0</v>
      </c>
      <c r="Z830" s="196">
        <v>-7.8526781139071963E-3</v>
      </c>
      <c r="AA830" s="196">
        <v>-0.12081043252164918</v>
      </c>
      <c r="AB830" s="28">
        <v>0</v>
      </c>
      <c r="AC830" s="28">
        <v>0</v>
      </c>
      <c r="AD830" s="28" t="s">
        <v>389</v>
      </c>
    </row>
    <row r="831" spans="2:31" ht="14.25" customHeight="1" x14ac:dyDescent="0.2">
      <c r="B831" s="7">
        <f t="shared" si="58"/>
        <v>807</v>
      </c>
      <c r="C831" s="28">
        <v>8</v>
      </c>
      <c r="D831" s="28">
        <v>1</v>
      </c>
      <c r="E831" s="28">
        <v>7</v>
      </c>
      <c r="F831" s="96">
        <v>2020</v>
      </c>
      <c r="G831" s="96">
        <v>2029</v>
      </c>
      <c r="H831" s="28">
        <v>2</v>
      </c>
      <c r="I831" s="28">
        <v>0</v>
      </c>
      <c r="J831" s="28">
        <v>0</v>
      </c>
      <c r="K831" s="28">
        <v>0</v>
      </c>
      <c r="L831" s="28">
        <v>0</v>
      </c>
      <c r="M831" s="79">
        <v>634.51919008264451</v>
      </c>
      <c r="N831" s="151">
        <v>1160</v>
      </c>
      <c r="O831" s="151">
        <v>1160</v>
      </c>
      <c r="P831" s="95">
        <f t="array" ref="P831">ROUND(IF($F831&lt;='TaxCred&amp;Subs'!$C$49,(IF($C831=2,IF($M831&gt;=IFERROR(INDEX('TaxCred&amp;Subs'!$L$12:$L$47,MATCH(1,($C831&amp;$D831='TaxCred&amp;Subs'!$E$12:$E$47)*($F831='TaxCred&amp;Subs'!$C$12:$C$47),0)
),9999),IFERROR(INDEX('TaxCred&amp;Subs'!$N$12:$N$47,MATCH(1,($C831&amp;$D831='TaxCred&amp;Subs'!$E$12:$E$47)*($F831='TaxCred&amp;Subs'!$C$12:$C$47),0)
),0),0),(IF($M831&gt;=IFERROR(INDEX('TaxCred&amp;Subs'!$H$12:$H$47,MATCH(1,($C831&amp;$D831='TaxCred&amp;Subs'!$D$12:$D$47)*($F831='TaxCred&amp;Subs'!$C$12:$C$47),0)
),9999),IFERROR(INDEX('TaxCred&amp;Subs'!$N$12:$N$47,MATCH(1,($C831&amp;$D831='TaxCred&amp;Subs'!$D$12:$D$47)*($F831='TaxCred&amp;Subs'!$C$12:$C$47),0)
),0),0)))),0)+IF(AND($C831=2,VALUE(RIGHT($AD831,1))&gt;2),(N831-R831)*(IFERROR(INDEX('TaxCred&amp;Subs'!$J$66:$J$99,MATCH(1,($C831&amp;$D831='TaxCred&amp;Subs'!$E$66:$E$99)*($F831='TaxCred&amp;Subs'!$C$66:$C$99),0)),0)),IF(AND($C831=1,VALUE(RIGHT($AD831,1))&gt;2),(N831-R831)*(IFERROR(INDEX('TaxCred&amp;Subs'!$J$66:$J$99,MATCH(1,($C831&amp;$D831='TaxCred&amp;Subs'!$D$66:$D$99)*($F831='TaxCred&amp;Subs'!$C$66:$C$99),0)),0)),IF($C831&gt;2,(N831-R831)*(IFERROR(INDEX('TaxCred&amp;Subs'!$J$66:$J$99,MATCH(1,($C831&amp;$D831='TaxCred&amp;Subs'!$D$66:$D$99)*($F831='TaxCred&amp;Subs'!$C$66:$C$99),0)),0)),0))),0)</f>
        <v>0</v>
      </c>
      <c r="Q831" s="95">
        <f t="array" ref="Q831">ROUND(IF(AND($C831=2,VALUE(RIGHT($AD831,1))&gt;2),(O831-S831)*(IFERROR(INDEX('TaxCred&amp;Subs'!$J$66:$J$99,MATCH(1,($C831&amp;$D831='TaxCred&amp;Subs'!$E$66:$E$99)*($F831='TaxCred&amp;Subs'!$C$66:$C$99),0)),0)),IF(AND($C831=1,VALUE(RIGHT($AD831,1))&gt;2),(O831-S831)*(IFERROR(INDEX('TaxCred&amp;Subs'!$J$66:$J$99,MATCH(1,($C831&amp;$D831='TaxCred&amp;Subs'!$D$66:$D$99)*($F831='TaxCred&amp;Subs'!$C$66:$C$99),0)),0)),IF($C831&gt;2,(O831-S831)*(IFERROR(INDEX('TaxCred&amp;Subs'!$J$66:$J$99,MATCH(1,($C831&amp;$D831='TaxCred&amp;Subs'!$D$66:$D$99)*($F831='TaxCred&amp;Subs'!$C$66:$C$99),0)),0)),0))),0)</f>
        <v>0</v>
      </c>
      <c r="R831" s="172">
        <f t="array" ref="R831">ROUND(IF(IFERROR(VALUE(RIGHT($AD831,1)),0)&gt;2,IF($C831=8,N831*IFERROR(INDEX('TaxCred&amp;Subs'!$K$139:$S$151,MATCH($C831&amp;$D831&amp;LEFT($AD831,7),'TaxCred&amp;Subs'!$E$139:$E$151,0),MATCH($H831,'TaxCred&amp;Subs'!$K$137:$S$137,0)),0),IF($C831=2,N831*IFERROR(INDEX('TaxCred&amp;Subs'!$K$139:$S$151,MATCH($C831&amp;$D831,'TaxCred&amp;Subs'!$D$139:$D$151,0),MATCH($H831,'TaxCred&amp;Subs'!$K$137:$S$137,0)),0),N831*IFERROR(INDEX('TaxCred&amp;Subs'!$K$139:$S$151,MATCH($C831&amp;$D831,'TaxCred&amp;Subs'!$C$139:$C$151,0),MATCH($H831,'TaxCred&amp;Subs'!$K$137:$S$137,0)),0))),0),0)</f>
        <v>30</v>
      </c>
      <c r="S831" s="172">
        <f t="array" ref="S831">ROUND(IF(IFERROR(VALUE(RIGHT($AD831,1)),0)&gt;2,IF($C831=8,O831*IFERROR(INDEX('TaxCred&amp;Subs'!$K$139:$S$151,MATCH($C831&amp;$D831&amp;LEFT($AD831,7),'TaxCred&amp;Subs'!$E$139:$E$151,0),MATCH($H831,'TaxCred&amp;Subs'!$K$137:$S$137,0)),0),IF($C831=2,O831*IFERROR(INDEX('TaxCred&amp;Subs'!$K$139:$S$151,MATCH($C831&amp;$D831,'TaxCred&amp;Subs'!$D$139:$D$151,0),MATCH($H831,'TaxCred&amp;Subs'!$K$137:$S$137,0)),0),O831*IFERROR(INDEX('TaxCred&amp;Subs'!$K$139:$S$151,MATCH($C831&amp;$D831,'TaxCred&amp;Subs'!$C$139:$C$151,0),MATCH($H831,'TaxCred&amp;Subs'!$K$137:$S$137,0)),0))),0),0)</f>
        <v>30</v>
      </c>
      <c r="T831" s="95">
        <f t="shared" si="56"/>
        <v>0</v>
      </c>
      <c r="U831" s="95">
        <f t="shared" si="57"/>
        <v>0</v>
      </c>
      <c r="V831" s="28" t="s">
        <v>222</v>
      </c>
      <c r="W831" s="31">
        <v>2020</v>
      </c>
      <c r="X831" s="28">
        <v>1</v>
      </c>
      <c r="Y831" s="28">
        <v>0</v>
      </c>
      <c r="Z831" s="196">
        <v>-7.8526781139071963E-3</v>
      </c>
      <c r="AA831" s="196">
        <v>-0.12081043252164918</v>
      </c>
      <c r="AB831" s="28">
        <v>0</v>
      </c>
      <c r="AC831" s="28">
        <v>0</v>
      </c>
      <c r="AD831" s="28" t="s">
        <v>389</v>
      </c>
    </row>
    <row r="832" spans="2:31" ht="14.25" customHeight="1" x14ac:dyDescent="0.2">
      <c r="B832" s="7">
        <f t="shared" si="58"/>
        <v>808</v>
      </c>
      <c r="C832" s="28">
        <v>8</v>
      </c>
      <c r="D832" s="28">
        <v>1</v>
      </c>
      <c r="E832" s="28">
        <v>7</v>
      </c>
      <c r="F832" s="96">
        <v>2020</v>
      </c>
      <c r="G832" s="96">
        <v>2029</v>
      </c>
      <c r="H832" s="28">
        <v>3</v>
      </c>
      <c r="I832" s="28">
        <v>0</v>
      </c>
      <c r="J832" s="28">
        <v>0</v>
      </c>
      <c r="K832" s="28">
        <v>0</v>
      </c>
      <c r="L832" s="28">
        <v>0</v>
      </c>
      <c r="M832" s="79">
        <v>634.51919008264451</v>
      </c>
      <c r="N832" s="151">
        <v>1160</v>
      </c>
      <c r="O832" s="151">
        <v>1160</v>
      </c>
      <c r="P832" s="95">
        <f t="array" ref="P832">ROUND(IF($F832&lt;='TaxCred&amp;Subs'!$C$49,(IF($C832=2,IF($M832&gt;=IFERROR(INDEX('TaxCred&amp;Subs'!$L$12:$L$47,MATCH(1,($C832&amp;$D832='TaxCred&amp;Subs'!$E$12:$E$47)*($F832='TaxCred&amp;Subs'!$C$12:$C$47),0)
),9999),IFERROR(INDEX('TaxCred&amp;Subs'!$N$12:$N$47,MATCH(1,($C832&amp;$D832='TaxCred&amp;Subs'!$E$12:$E$47)*($F832='TaxCred&amp;Subs'!$C$12:$C$47),0)
),0),0),(IF($M832&gt;=IFERROR(INDEX('TaxCred&amp;Subs'!$H$12:$H$47,MATCH(1,($C832&amp;$D832='TaxCred&amp;Subs'!$D$12:$D$47)*($F832='TaxCred&amp;Subs'!$C$12:$C$47),0)
),9999),IFERROR(INDEX('TaxCred&amp;Subs'!$N$12:$N$47,MATCH(1,($C832&amp;$D832='TaxCred&amp;Subs'!$D$12:$D$47)*($F832='TaxCred&amp;Subs'!$C$12:$C$47),0)
),0),0)))),0)+IF(AND($C832=2,VALUE(RIGHT($AD832,1))&gt;2),(N832-R832)*(IFERROR(INDEX('TaxCred&amp;Subs'!$J$66:$J$99,MATCH(1,($C832&amp;$D832='TaxCred&amp;Subs'!$E$66:$E$99)*($F832='TaxCred&amp;Subs'!$C$66:$C$99),0)),0)),IF(AND($C832=1,VALUE(RIGHT($AD832,1))&gt;2),(N832-R832)*(IFERROR(INDEX('TaxCred&amp;Subs'!$J$66:$J$99,MATCH(1,($C832&amp;$D832='TaxCred&amp;Subs'!$D$66:$D$99)*($F832='TaxCred&amp;Subs'!$C$66:$C$99),0)),0)),IF($C832&gt;2,(N832-R832)*(IFERROR(INDEX('TaxCred&amp;Subs'!$J$66:$J$99,MATCH(1,($C832&amp;$D832='TaxCred&amp;Subs'!$D$66:$D$99)*($F832='TaxCred&amp;Subs'!$C$66:$C$99),0)),0)),0))),0)</f>
        <v>0</v>
      </c>
      <c r="Q832" s="95">
        <f t="array" ref="Q832">ROUND(IF(AND($C832=2,VALUE(RIGHT($AD832,1))&gt;2),(O832-S832)*(IFERROR(INDEX('TaxCred&amp;Subs'!$J$66:$J$99,MATCH(1,($C832&amp;$D832='TaxCred&amp;Subs'!$E$66:$E$99)*($F832='TaxCred&amp;Subs'!$C$66:$C$99),0)),0)),IF(AND($C832=1,VALUE(RIGHT($AD832,1))&gt;2),(O832-S832)*(IFERROR(INDEX('TaxCred&amp;Subs'!$J$66:$J$99,MATCH(1,($C832&amp;$D832='TaxCred&amp;Subs'!$D$66:$D$99)*($F832='TaxCred&amp;Subs'!$C$66:$C$99),0)),0)),IF($C832&gt;2,(O832-S832)*(IFERROR(INDEX('TaxCred&amp;Subs'!$J$66:$J$99,MATCH(1,($C832&amp;$D832='TaxCred&amp;Subs'!$D$66:$D$99)*($F832='TaxCred&amp;Subs'!$C$66:$C$99),0)),0)),0))),0)</f>
        <v>0</v>
      </c>
      <c r="R832" s="172">
        <f t="array" ref="R832">ROUND(IF(IFERROR(VALUE(RIGHT($AD832,1)),0)&gt;2,IF($C832=8,N832*IFERROR(INDEX('TaxCred&amp;Subs'!$K$139:$S$151,MATCH($C832&amp;$D832&amp;LEFT($AD832,7),'TaxCred&amp;Subs'!$E$139:$E$151,0),MATCH($H832,'TaxCred&amp;Subs'!$K$137:$S$137,0)),0),IF($C832=2,N832*IFERROR(INDEX('TaxCred&amp;Subs'!$K$139:$S$151,MATCH($C832&amp;$D832,'TaxCred&amp;Subs'!$D$139:$D$151,0),MATCH($H832,'TaxCred&amp;Subs'!$K$137:$S$137,0)),0),N832*IFERROR(INDEX('TaxCred&amp;Subs'!$K$139:$S$151,MATCH($C832&amp;$D832,'TaxCred&amp;Subs'!$C$139:$C$151,0),MATCH($H832,'TaxCred&amp;Subs'!$K$137:$S$137,0)),0))),0),0)</f>
        <v>27</v>
      </c>
      <c r="S832" s="172">
        <f t="array" ref="S832">ROUND(IF(IFERROR(VALUE(RIGHT($AD832,1)),0)&gt;2,IF($C832=8,O832*IFERROR(INDEX('TaxCred&amp;Subs'!$K$139:$S$151,MATCH($C832&amp;$D832&amp;LEFT($AD832,7),'TaxCred&amp;Subs'!$E$139:$E$151,0),MATCH($H832,'TaxCred&amp;Subs'!$K$137:$S$137,0)),0),IF($C832=2,O832*IFERROR(INDEX('TaxCred&amp;Subs'!$K$139:$S$151,MATCH($C832&amp;$D832,'TaxCred&amp;Subs'!$D$139:$D$151,0),MATCH($H832,'TaxCred&amp;Subs'!$K$137:$S$137,0)),0),O832*IFERROR(INDEX('TaxCred&amp;Subs'!$K$139:$S$151,MATCH($C832&amp;$D832,'TaxCred&amp;Subs'!$C$139:$C$151,0),MATCH($H832,'TaxCred&amp;Subs'!$K$137:$S$137,0)),0))),0),0)</f>
        <v>27</v>
      </c>
      <c r="T832" s="95">
        <f t="shared" si="56"/>
        <v>0</v>
      </c>
      <c r="U832" s="95">
        <f t="shared" si="57"/>
        <v>0</v>
      </c>
      <c r="V832" s="28" t="s">
        <v>222</v>
      </c>
      <c r="W832" s="31">
        <v>2020</v>
      </c>
      <c r="X832" s="28">
        <v>1</v>
      </c>
      <c r="Y832" s="28">
        <v>0</v>
      </c>
      <c r="Z832" s="196">
        <v>-7.8526781139071963E-3</v>
      </c>
      <c r="AA832" s="196">
        <v>-0.12081043252164918</v>
      </c>
      <c r="AB832" s="28">
        <v>0</v>
      </c>
      <c r="AC832" s="28">
        <v>0</v>
      </c>
      <c r="AD832" s="28" t="s">
        <v>389</v>
      </c>
    </row>
    <row r="833" spans="2:31" ht="14.25" customHeight="1" x14ac:dyDescent="0.2">
      <c r="B833" s="7">
        <f t="shared" si="58"/>
        <v>809</v>
      </c>
      <c r="C833" s="28">
        <v>8</v>
      </c>
      <c r="D833" s="28">
        <v>1</v>
      </c>
      <c r="E833" s="28">
        <v>7</v>
      </c>
      <c r="F833" s="96">
        <v>2020</v>
      </c>
      <c r="G833" s="96">
        <v>2029</v>
      </c>
      <c r="H833" s="28">
        <v>4</v>
      </c>
      <c r="I833" s="28">
        <v>0</v>
      </c>
      <c r="J833" s="28">
        <v>0</v>
      </c>
      <c r="K833" s="28">
        <v>0</v>
      </c>
      <c r="L833" s="28">
        <v>0</v>
      </c>
      <c r="M833" s="79">
        <v>634.51919008264451</v>
      </c>
      <c r="N833" s="151">
        <v>1160</v>
      </c>
      <c r="O833" s="151">
        <v>1160</v>
      </c>
      <c r="P833" s="95">
        <f t="array" ref="P833">ROUND(IF($F833&lt;='TaxCred&amp;Subs'!$C$49,(IF($C833=2,IF($M833&gt;=IFERROR(INDEX('TaxCred&amp;Subs'!$L$12:$L$47,MATCH(1,($C833&amp;$D833='TaxCred&amp;Subs'!$E$12:$E$47)*($F833='TaxCred&amp;Subs'!$C$12:$C$47),0)
),9999),IFERROR(INDEX('TaxCred&amp;Subs'!$N$12:$N$47,MATCH(1,($C833&amp;$D833='TaxCred&amp;Subs'!$E$12:$E$47)*($F833='TaxCred&amp;Subs'!$C$12:$C$47),0)
),0),0),(IF($M833&gt;=IFERROR(INDEX('TaxCred&amp;Subs'!$H$12:$H$47,MATCH(1,($C833&amp;$D833='TaxCred&amp;Subs'!$D$12:$D$47)*($F833='TaxCred&amp;Subs'!$C$12:$C$47),0)
),9999),IFERROR(INDEX('TaxCred&amp;Subs'!$N$12:$N$47,MATCH(1,($C833&amp;$D833='TaxCred&amp;Subs'!$D$12:$D$47)*($F833='TaxCred&amp;Subs'!$C$12:$C$47),0)
),0),0)))),0)+IF(AND($C833=2,VALUE(RIGHT($AD833,1))&gt;2),(N833-R833)*(IFERROR(INDEX('TaxCred&amp;Subs'!$J$66:$J$99,MATCH(1,($C833&amp;$D833='TaxCred&amp;Subs'!$E$66:$E$99)*($F833='TaxCred&amp;Subs'!$C$66:$C$99),0)),0)),IF(AND($C833=1,VALUE(RIGHT($AD833,1))&gt;2),(N833-R833)*(IFERROR(INDEX('TaxCred&amp;Subs'!$J$66:$J$99,MATCH(1,($C833&amp;$D833='TaxCred&amp;Subs'!$D$66:$D$99)*($F833='TaxCred&amp;Subs'!$C$66:$C$99),0)),0)),IF($C833&gt;2,(N833-R833)*(IFERROR(INDEX('TaxCred&amp;Subs'!$J$66:$J$99,MATCH(1,($C833&amp;$D833='TaxCred&amp;Subs'!$D$66:$D$99)*($F833='TaxCred&amp;Subs'!$C$66:$C$99),0)),0)),0))),0)</f>
        <v>0</v>
      </c>
      <c r="Q833" s="95">
        <f t="array" ref="Q833">ROUND(IF(AND($C833=2,VALUE(RIGHT($AD833,1))&gt;2),(O833-S833)*(IFERROR(INDEX('TaxCred&amp;Subs'!$J$66:$J$99,MATCH(1,($C833&amp;$D833='TaxCred&amp;Subs'!$E$66:$E$99)*($F833='TaxCred&amp;Subs'!$C$66:$C$99),0)),0)),IF(AND($C833=1,VALUE(RIGHT($AD833,1))&gt;2),(O833-S833)*(IFERROR(INDEX('TaxCred&amp;Subs'!$J$66:$J$99,MATCH(1,($C833&amp;$D833='TaxCred&amp;Subs'!$D$66:$D$99)*($F833='TaxCred&amp;Subs'!$C$66:$C$99),0)),0)),IF($C833&gt;2,(O833-S833)*(IFERROR(INDEX('TaxCred&amp;Subs'!$J$66:$J$99,MATCH(1,($C833&amp;$D833='TaxCred&amp;Subs'!$D$66:$D$99)*($F833='TaxCred&amp;Subs'!$C$66:$C$99),0)),0)),0))),0)</f>
        <v>0</v>
      </c>
      <c r="R833" s="172">
        <f t="array" ref="R833">ROUND(IF(IFERROR(VALUE(RIGHT($AD833,1)),0)&gt;2,IF($C833=8,N833*IFERROR(INDEX('TaxCred&amp;Subs'!$K$139:$S$151,MATCH($C833&amp;$D833&amp;LEFT($AD833,7),'TaxCred&amp;Subs'!$E$139:$E$151,0),MATCH($H833,'TaxCred&amp;Subs'!$K$137:$S$137,0)),0),IF($C833=2,N833*IFERROR(INDEX('TaxCred&amp;Subs'!$K$139:$S$151,MATCH($C833&amp;$D833,'TaxCred&amp;Subs'!$D$139:$D$151,0),MATCH($H833,'TaxCred&amp;Subs'!$K$137:$S$137,0)),0),N833*IFERROR(INDEX('TaxCred&amp;Subs'!$K$139:$S$151,MATCH($C833&amp;$D833,'TaxCred&amp;Subs'!$C$139:$C$151,0),MATCH($H833,'TaxCred&amp;Subs'!$K$137:$S$137,0)),0))),0),0)</f>
        <v>17</v>
      </c>
      <c r="S833" s="172">
        <f t="array" ref="S833">ROUND(IF(IFERROR(VALUE(RIGHT($AD833,1)),0)&gt;2,IF($C833=8,O833*IFERROR(INDEX('TaxCred&amp;Subs'!$K$139:$S$151,MATCH($C833&amp;$D833&amp;LEFT($AD833,7),'TaxCred&amp;Subs'!$E$139:$E$151,0),MATCH($H833,'TaxCred&amp;Subs'!$K$137:$S$137,0)),0),IF($C833=2,O833*IFERROR(INDEX('TaxCred&amp;Subs'!$K$139:$S$151,MATCH($C833&amp;$D833,'TaxCred&amp;Subs'!$D$139:$D$151,0),MATCH($H833,'TaxCred&amp;Subs'!$K$137:$S$137,0)),0),O833*IFERROR(INDEX('TaxCred&amp;Subs'!$K$139:$S$151,MATCH($C833&amp;$D833,'TaxCred&amp;Subs'!$C$139:$C$151,0),MATCH($H833,'TaxCred&amp;Subs'!$K$137:$S$137,0)),0))),0),0)</f>
        <v>17</v>
      </c>
      <c r="T833" s="95">
        <f t="shared" si="56"/>
        <v>0</v>
      </c>
      <c r="U833" s="95">
        <f t="shared" si="57"/>
        <v>0</v>
      </c>
      <c r="V833" s="28" t="s">
        <v>222</v>
      </c>
      <c r="W833" s="31">
        <v>2020</v>
      </c>
      <c r="X833" s="28">
        <v>1</v>
      </c>
      <c r="Y833" s="28">
        <v>0</v>
      </c>
      <c r="Z833" s="196">
        <v>-7.8526781139071963E-3</v>
      </c>
      <c r="AA833" s="196">
        <v>-0.12081043252164918</v>
      </c>
      <c r="AB833" s="28">
        <v>0</v>
      </c>
      <c r="AC833" s="28">
        <v>0</v>
      </c>
      <c r="AD833" s="28" t="s">
        <v>389</v>
      </c>
    </row>
    <row r="834" spans="2:31" ht="14.25" customHeight="1" x14ac:dyDescent="0.2">
      <c r="B834" s="7">
        <f t="shared" si="58"/>
        <v>810</v>
      </c>
      <c r="C834" s="28">
        <v>8</v>
      </c>
      <c r="D834" s="28">
        <v>1</v>
      </c>
      <c r="E834" s="28">
        <v>7</v>
      </c>
      <c r="F834" s="96">
        <v>2020</v>
      </c>
      <c r="G834" s="96">
        <v>2029</v>
      </c>
      <c r="H834" s="28">
        <v>5</v>
      </c>
      <c r="I834" s="28">
        <v>0</v>
      </c>
      <c r="J834" s="28">
        <v>0</v>
      </c>
      <c r="K834" s="28">
        <v>0</v>
      </c>
      <c r="L834" s="28">
        <v>0</v>
      </c>
      <c r="M834" s="79">
        <v>634.51919008264451</v>
      </c>
      <c r="N834" s="151">
        <v>1160</v>
      </c>
      <c r="O834" s="151">
        <v>1160</v>
      </c>
      <c r="P834" s="95">
        <f t="array" ref="P834">ROUND(IF($F834&lt;='TaxCred&amp;Subs'!$C$49,(IF($C834=2,IF($M834&gt;=IFERROR(INDEX('TaxCred&amp;Subs'!$L$12:$L$47,MATCH(1,($C834&amp;$D834='TaxCred&amp;Subs'!$E$12:$E$47)*($F834='TaxCred&amp;Subs'!$C$12:$C$47),0)
),9999),IFERROR(INDEX('TaxCred&amp;Subs'!$N$12:$N$47,MATCH(1,($C834&amp;$D834='TaxCred&amp;Subs'!$E$12:$E$47)*($F834='TaxCred&amp;Subs'!$C$12:$C$47),0)
),0),0),(IF($M834&gt;=IFERROR(INDEX('TaxCred&amp;Subs'!$H$12:$H$47,MATCH(1,($C834&amp;$D834='TaxCred&amp;Subs'!$D$12:$D$47)*($F834='TaxCred&amp;Subs'!$C$12:$C$47),0)
),9999),IFERROR(INDEX('TaxCred&amp;Subs'!$N$12:$N$47,MATCH(1,($C834&amp;$D834='TaxCred&amp;Subs'!$D$12:$D$47)*($F834='TaxCred&amp;Subs'!$C$12:$C$47),0)
),0),0)))),0)+IF(AND($C834=2,VALUE(RIGHT($AD834,1))&gt;2),(N834-R834)*(IFERROR(INDEX('TaxCred&amp;Subs'!$J$66:$J$99,MATCH(1,($C834&amp;$D834='TaxCred&amp;Subs'!$E$66:$E$99)*($F834='TaxCred&amp;Subs'!$C$66:$C$99),0)),0)),IF(AND($C834=1,VALUE(RIGHT($AD834,1))&gt;2),(N834-R834)*(IFERROR(INDEX('TaxCred&amp;Subs'!$J$66:$J$99,MATCH(1,($C834&amp;$D834='TaxCred&amp;Subs'!$D$66:$D$99)*($F834='TaxCred&amp;Subs'!$C$66:$C$99),0)),0)),IF($C834&gt;2,(N834-R834)*(IFERROR(INDEX('TaxCred&amp;Subs'!$J$66:$J$99,MATCH(1,($C834&amp;$D834='TaxCred&amp;Subs'!$D$66:$D$99)*($F834='TaxCred&amp;Subs'!$C$66:$C$99),0)),0)),0))),0)</f>
        <v>0</v>
      </c>
      <c r="Q834" s="95">
        <f t="array" ref="Q834">ROUND(IF(AND($C834=2,VALUE(RIGHT($AD834,1))&gt;2),(O834-S834)*(IFERROR(INDEX('TaxCred&amp;Subs'!$J$66:$J$99,MATCH(1,($C834&amp;$D834='TaxCred&amp;Subs'!$E$66:$E$99)*($F834='TaxCred&amp;Subs'!$C$66:$C$99),0)),0)),IF(AND($C834=1,VALUE(RIGHT($AD834,1))&gt;2),(O834-S834)*(IFERROR(INDEX('TaxCred&amp;Subs'!$J$66:$J$99,MATCH(1,($C834&amp;$D834='TaxCred&amp;Subs'!$D$66:$D$99)*($F834='TaxCred&amp;Subs'!$C$66:$C$99),0)),0)),IF($C834&gt;2,(O834-S834)*(IFERROR(INDEX('TaxCred&amp;Subs'!$J$66:$J$99,MATCH(1,($C834&amp;$D834='TaxCred&amp;Subs'!$D$66:$D$99)*($F834='TaxCred&amp;Subs'!$C$66:$C$99),0)),0)),0))),0)</f>
        <v>0</v>
      </c>
      <c r="R834" s="172">
        <f t="array" ref="R834">ROUND(IF(IFERROR(VALUE(RIGHT($AD834,1)),0)&gt;2,IF($C834=8,N834*IFERROR(INDEX('TaxCred&amp;Subs'!$K$139:$S$151,MATCH($C834&amp;$D834&amp;LEFT($AD834,7),'TaxCred&amp;Subs'!$E$139:$E$151,0),MATCH($H834,'TaxCred&amp;Subs'!$K$137:$S$137,0)),0),IF($C834=2,N834*IFERROR(INDEX('TaxCred&amp;Subs'!$K$139:$S$151,MATCH($C834&amp;$D834,'TaxCred&amp;Subs'!$D$139:$D$151,0),MATCH($H834,'TaxCred&amp;Subs'!$K$137:$S$137,0)),0),N834*IFERROR(INDEX('TaxCred&amp;Subs'!$K$139:$S$151,MATCH($C834&amp;$D834,'TaxCred&amp;Subs'!$C$139:$C$151,0),MATCH($H834,'TaxCred&amp;Subs'!$K$137:$S$137,0)),0))),0),0)</f>
        <v>34</v>
      </c>
      <c r="S834" s="172">
        <f t="array" ref="S834">ROUND(IF(IFERROR(VALUE(RIGHT($AD834,1)),0)&gt;2,IF($C834=8,O834*IFERROR(INDEX('TaxCred&amp;Subs'!$K$139:$S$151,MATCH($C834&amp;$D834&amp;LEFT($AD834,7),'TaxCred&amp;Subs'!$E$139:$E$151,0),MATCH($H834,'TaxCred&amp;Subs'!$K$137:$S$137,0)),0),IF($C834=2,O834*IFERROR(INDEX('TaxCred&amp;Subs'!$K$139:$S$151,MATCH($C834&amp;$D834,'TaxCred&amp;Subs'!$D$139:$D$151,0),MATCH($H834,'TaxCred&amp;Subs'!$K$137:$S$137,0)),0),O834*IFERROR(INDEX('TaxCred&amp;Subs'!$K$139:$S$151,MATCH($C834&amp;$D834,'TaxCred&amp;Subs'!$C$139:$C$151,0),MATCH($H834,'TaxCred&amp;Subs'!$K$137:$S$137,0)),0))),0),0)</f>
        <v>34</v>
      </c>
      <c r="T834" s="95">
        <f t="shared" si="56"/>
        <v>0</v>
      </c>
      <c r="U834" s="95">
        <f t="shared" si="57"/>
        <v>0</v>
      </c>
      <c r="V834" s="28" t="s">
        <v>222</v>
      </c>
      <c r="W834" s="31">
        <v>2020</v>
      </c>
      <c r="X834" s="28">
        <v>1</v>
      </c>
      <c r="Y834" s="28">
        <v>0</v>
      </c>
      <c r="Z834" s="196">
        <v>-7.8526781139071963E-3</v>
      </c>
      <c r="AA834" s="196">
        <v>-0.12081043252164918</v>
      </c>
      <c r="AB834" s="28">
        <v>0</v>
      </c>
      <c r="AC834" s="28">
        <v>0</v>
      </c>
      <c r="AD834" s="28" t="s">
        <v>389</v>
      </c>
    </row>
    <row r="835" spans="2:31" ht="14.25" customHeight="1" x14ac:dyDescent="0.2">
      <c r="B835" s="7">
        <f t="shared" si="58"/>
        <v>811</v>
      </c>
      <c r="C835" s="28">
        <v>8</v>
      </c>
      <c r="D835" s="28">
        <v>1</v>
      </c>
      <c r="E835" s="28">
        <v>7</v>
      </c>
      <c r="F835" s="96">
        <v>2020</v>
      </c>
      <c r="G835" s="96">
        <v>2029</v>
      </c>
      <c r="H835" s="28">
        <v>6</v>
      </c>
      <c r="I835" s="28">
        <v>0</v>
      </c>
      <c r="J835" s="28">
        <v>0</v>
      </c>
      <c r="K835" s="28">
        <v>0</v>
      </c>
      <c r="L835" s="28">
        <v>0</v>
      </c>
      <c r="M835" s="79">
        <v>634.51919008264451</v>
      </c>
      <c r="N835" s="151">
        <v>1160</v>
      </c>
      <c r="O835" s="151">
        <v>1160</v>
      </c>
      <c r="P835" s="95">
        <f t="array" ref="P835">ROUND(IF($F835&lt;='TaxCred&amp;Subs'!$C$49,(IF($C835=2,IF($M835&gt;=IFERROR(INDEX('TaxCred&amp;Subs'!$L$12:$L$47,MATCH(1,($C835&amp;$D835='TaxCred&amp;Subs'!$E$12:$E$47)*($F835='TaxCred&amp;Subs'!$C$12:$C$47),0)
),9999),IFERROR(INDEX('TaxCred&amp;Subs'!$N$12:$N$47,MATCH(1,($C835&amp;$D835='TaxCred&amp;Subs'!$E$12:$E$47)*($F835='TaxCred&amp;Subs'!$C$12:$C$47),0)
),0),0),(IF($M835&gt;=IFERROR(INDEX('TaxCred&amp;Subs'!$H$12:$H$47,MATCH(1,($C835&amp;$D835='TaxCred&amp;Subs'!$D$12:$D$47)*($F835='TaxCred&amp;Subs'!$C$12:$C$47),0)
),9999),IFERROR(INDEX('TaxCred&amp;Subs'!$N$12:$N$47,MATCH(1,($C835&amp;$D835='TaxCred&amp;Subs'!$D$12:$D$47)*($F835='TaxCred&amp;Subs'!$C$12:$C$47),0)
),0),0)))),0)+IF(AND($C835=2,VALUE(RIGHT($AD835,1))&gt;2),(N835-R835)*(IFERROR(INDEX('TaxCred&amp;Subs'!$J$66:$J$99,MATCH(1,($C835&amp;$D835='TaxCred&amp;Subs'!$E$66:$E$99)*($F835='TaxCred&amp;Subs'!$C$66:$C$99),0)),0)),IF(AND($C835=1,VALUE(RIGHT($AD835,1))&gt;2),(N835-R835)*(IFERROR(INDEX('TaxCred&amp;Subs'!$J$66:$J$99,MATCH(1,($C835&amp;$D835='TaxCred&amp;Subs'!$D$66:$D$99)*($F835='TaxCred&amp;Subs'!$C$66:$C$99),0)),0)),IF($C835&gt;2,(N835-R835)*(IFERROR(INDEX('TaxCred&amp;Subs'!$J$66:$J$99,MATCH(1,($C835&amp;$D835='TaxCred&amp;Subs'!$D$66:$D$99)*($F835='TaxCred&amp;Subs'!$C$66:$C$99),0)),0)),0))),0)</f>
        <v>0</v>
      </c>
      <c r="Q835" s="95">
        <f t="array" ref="Q835">ROUND(IF(AND($C835=2,VALUE(RIGHT($AD835,1))&gt;2),(O835-S835)*(IFERROR(INDEX('TaxCred&amp;Subs'!$J$66:$J$99,MATCH(1,($C835&amp;$D835='TaxCred&amp;Subs'!$E$66:$E$99)*($F835='TaxCred&amp;Subs'!$C$66:$C$99),0)),0)),IF(AND($C835=1,VALUE(RIGHT($AD835,1))&gt;2),(O835-S835)*(IFERROR(INDEX('TaxCred&amp;Subs'!$J$66:$J$99,MATCH(1,($C835&amp;$D835='TaxCred&amp;Subs'!$D$66:$D$99)*($F835='TaxCred&amp;Subs'!$C$66:$C$99),0)),0)),IF($C835&gt;2,(O835-S835)*(IFERROR(INDEX('TaxCred&amp;Subs'!$J$66:$J$99,MATCH(1,($C835&amp;$D835='TaxCred&amp;Subs'!$D$66:$D$99)*($F835='TaxCred&amp;Subs'!$C$66:$C$99),0)),0)),0))),0)</f>
        <v>0</v>
      </c>
      <c r="R835" s="172">
        <f t="array" ref="R835">ROUND(IF(IFERROR(VALUE(RIGHT($AD835,1)),0)&gt;2,IF($C835=8,N835*IFERROR(INDEX('TaxCred&amp;Subs'!$K$139:$S$151,MATCH($C835&amp;$D835&amp;LEFT($AD835,7),'TaxCred&amp;Subs'!$E$139:$E$151,0),MATCH($H835,'TaxCred&amp;Subs'!$K$137:$S$137,0)),0),IF($C835=2,N835*IFERROR(INDEX('TaxCred&amp;Subs'!$K$139:$S$151,MATCH($C835&amp;$D835,'TaxCred&amp;Subs'!$D$139:$D$151,0),MATCH($H835,'TaxCred&amp;Subs'!$K$137:$S$137,0)),0),N835*IFERROR(INDEX('TaxCred&amp;Subs'!$K$139:$S$151,MATCH($C835&amp;$D835,'TaxCred&amp;Subs'!$C$139:$C$151,0),MATCH($H835,'TaxCred&amp;Subs'!$K$137:$S$137,0)),0))),0),0)</f>
        <v>50</v>
      </c>
      <c r="S835" s="172">
        <f t="array" ref="S835">ROUND(IF(IFERROR(VALUE(RIGHT($AD835,1)),0)&gt;2,IF($C835=8,O835*IFERROR(INDEX('TaxCred&amp;Subs'!$K$139:$S$151,MATCH($C835&amp;$D835&amp;LEFT($AD835,7),'TaxCred&amp;Subs'!$E$139:$E$151,0),MATCH($H835,'TaxCred&amp;Subs'!$K$137:$S$137,0)),0),IF($C835=2,O835*IFERROR(INDEX('TaxCred&amp;Subs'!$K$139:$S$151,MATCH($C835&amp;$D835,'TaxCred&amp;Subs'!$D$139:$D$151,0),MATCH($H835,'TaxCred&amp;Subs'!$K$137:$S$137,0)),0),O835*IFERROR(INDEX('TaxCred&amp;Subs'!$K$139:$S$151,MATCH($C835&amp;$D835,'TaxCred&amp;Subs'!$C$139:$C$151,0),MATCH($H835,'TaxCred&amp;Subs'!$K$137:$S$137,0)),0))),0),0)</f>
        <v>50</v>
      </c>
      <c r="T835" s="95">
        <f t="shared" si="56"/>
        <v>0</v>
      </c>
      <c r="U835" s="95">
        <f t="shared" si="57"/>
        <v>0</v>
      </c>
      <c r="V835" s="28" t="s">
        <v>222</v>
      </c>
      <c r="W835" s="31">
        <v>2020</v>
      </c>
      <c r="X835" s="28">
        <v>1</v>
      </c>
      <c r="Y835" s="28">
        <v>0</v>
      </c>
      <c r="Z835" s="196">
        <v>-7.8526781139071963E-3</v>
      </c>
      <c r="AA835" s="196">
        <v>-0.12081043252164918</v>
      </c>
      <c r="AB835" s="28">
        <v>0</v>
      </c>
      <c r="AC835" s="28">
        <v>0</v>
      </c>
      <c r="AD835" s="28" t="s">
        <v>389</v>
      </c>
    </row>
    <row r="836" spans="2:31" ht="14.25" customHeight="1" x14ac:dyDescent="0.2">
      <c r="B836" s="7">
        <f t="shared" si="58"/>
        <v>812</v>
      </c>
      <c r="C836" s="28">
        <v>8</v>
      </c>
      <c r="D836" s="28">
        <v>1</v>
      </c>
      <c r="E836" s="28">
        <v>7</v>
      </c>
      <c r="F836" s="96">
        <v>2020</v>
      </c>
      <c r="G836" s="96">
        <v>2029</v>
      </c>
      <c r="H836" s="28">
        <v>7</v>
      </c>
      <c r="I836" s="28">
        <v>0</v>
      </c>
      <c r="J836" s="28">
        <v>0</v>
      </c>
      <c r="K836" s="28">
        <v>0</v>
      </c>
      <c r="L836" s="28">
        <v>0</v>
      </c>
      <c r="M836" s="79">
        <v>634.51919008264451</v>
      </c>
      <c r="N836" s="151">
        <v>1160</v>
      </c>
      <c r="O836" s="151">
        <v>1160</v>
      </c>
      <c r="P836" s="95">
        <f t="array" ref="P836">ROUND(IF($F836&lt;='TaxCred&amp;Subs'!$C$49,(IF($C836=2,IF($M836&gt;=IFERROR(INDEX('TaxCred&amp;Subs'!$L$12:$L$47,MATCH(1,($C836&amp;$D836='TaxCred&amp;Subs'!$E$12:$E$47)*($F836='TaxCred&amp;Subs'!$C$12:$C$47),0)
),9999),IFERROR(INDEX('TaxCred&amp;Subs'!$N$12:$N$47,MATCH(1,($C836&amp;$D836='TaxCred&amp;Subs'!$E$12:$E$47)*($F836='TaxCred&amp;Subs'!$C$12:$C$47),0)
),0),0),(IF($M836&gt;=IFERROR(INDEX('TaxCred&amp;Subs'!$H$12:$H$47,MATCH(1,($C836&amp;$D836='TaxCred&amp;Subs'!$D$12:$D$47)*($F836='TaxCred&amp;Subs'!$C$12:$C$47),0)
),9999),IFERROR(INDEX('TaxCred&amp;Subs'!$N$12:$N$47,MATCH(1,($C836&amp;$D836='TaxCred&amp;Subs'!$D$12:$D$47)*($F836='TaxCred&amp;Subs'!$C$12:$C$47),0)
),0),0)))),0)+IF(AND($C836=2,VALUE(RIGHT($AD836,1))&gt;2),(N836-R836)*(IFERROR(INDEX('TaxCred&amp;Subs'!$J$66:$J$99,MATCH(1,($C836&amp;$D836='TaxCred&amp;Subs'!$E$66:$E$99)*($F836='TaxCred&amp;Subs'!$C$66:$C$99),0)),0)),IF(AND($C836=1,VALUE(RIGHT($AD836,1))&gt;2),(N836-R836)*(IFERROR(INDEX('TaxCred&amp;Subs'!$J$66:$J$99,MATCH(1,($C836&amp;$D836='TaxCred&amp;Subs'!$D$66:$D$99)*($F836='TaxCred&amp;Subs'!$C$66:$C$99),0)),0)),IF($C836&gt;2,(N836-R836)*(IFERROR(INDEX('TaxCred&amp;Subs'!$J$66:$J$99,MATCH(1,($C836&amp;$D836='TaxCred&amp;Subs'!$D$66:$D$99)*($F836='TaxCred&amp;Subs'!$C$66:$C$99),0)),0)),0))),0)</f>
        <v>0</v>
      </c>
      <c r="Q836" s="95">
        <f t="array" ref="Q836">ROUND(IF(AND($C836=2,VALUE(RIGHT($AD836,1))&gt;2),(O836-S836)*(IFERROR(INDEX('TaxCred&amp;Subs'!$J$66:$J$99,MATCH(1,($C836&amp;$D836='TaxCred&amp;Subs'!$E$66:$E$99)*($F836='TaxCred&amp;Subs'!$C$66:$C$99),0)),0)),IF(AND($C836=1,VALUE(RIGHT($AD836,1))&gt;2),(O836-S836)*(IFERROR(INDEX('TaxCred&amp;Subs'!$J$66:$J$99,MATCH(1,($C836&amp;$D836='TaxCred&amp;Subs'!$D$66:$D$99)*($F836='TaxCred&amp;Subs'!$C$66:$C$99),0)),0)),IF($C836&gt;2,(O836-S836)*(IFERROR(INDEX('TaxCred&amp;Subs'!$J$66:$J$99,MATCH(1,($C836&amp;$D836='TaxCred&amp;Subs'!$D$66:$D$99)*($F836='TaxCred&amp;Subs'!$C$66:$C$99),0)),0)),0))),0)</f>
        <v>0</v>
      </c>
      <c r="R836" s="172">
        <f t="array" ref="R836">ROUND(IF(IFERROR(VALUE(RIGHT($AD836,1)),0)&gt;2,IF($C836=8,N836*IFERROR(INDEX('TaxCred&amp;Subs'!$K$139:$S$151,MATCH($C836&amp;$D836&amp;LEFT($AD836,7),'TaxCred&amp;Subs'!$E$139:$E$151,0),MATCH($H836,'TaxCred&amp;Subs'!$K$137:$S$137,0)),0),IF($C836=2,N836*IFERROR(INDEX('TaxCred&amp;Subs'!$K$139:$S$151,MATCH($C836&amp;$D836,'TaxCred&amp;Subs'!$D$139:$D$151,0),MATCH($H836,'TaxCred&amp;Subs'!$K$137:$S$137,0)),0),N836*IFERROR(INDEX('TaxCred&amp;Subs'!$K$139:$S$151,MATCH($C836&amp;$D836,'TaxCred&amp;Subs'!$C$139:$C$151,0),MATCH($H836,'TaxCred&amp;Subs'!$K$137:$S$137,0)),0))),0),0)</f>
        <v>6</v>
      </c>
      <c r="S836" s="172">
        <f t="array" ref="S836">ROUND(IF(IFERROR(VALUE(RIGHT($AD836,1)),0)&gt;2,IF($C836=8,O836*IFERROR(INDEX('TaxCred&amp;Subs'!$K$139:$S$151,MATCH($C836&amp;$D836&amp;LEFT($AD836,7),'TaxCred&amp;Subs'!$E$139:$E$151,0),MATCH($H836,'TaxCred&amp;Subs'!$K$137:$S$137,0)),0),IF($C836=2,O836*IFERROR(INDEX('TaxCred&amp;Subs'!$K$139:$S$151,MATCH($C836&amp;$D836,'TaxCred&amp;Subs'!$D$139:$D$151,0),MATCH($H836,'TaxCred&amp;Subs'!$K$137:$S$137,0)),0),O836*IFERROR(INDEX('TaxCred&amp;Subs'!$K$139:$S$151,MATCH($C836&amp;$D836,'TaxCred&amp;Subs'!$C$139:$C$151,0),MATCH($H836,'TaxCred&amp;Subs'!$K$137:$S$137,0)),0))),0),0)</f>
        <v>6</v>
      </c>
      <c r="T836" s="95">
        <f t="shared" si="56"/>
        <v>0</v>
      </c>
      <c r="U836" s="95">
        <f t="shared" si="57"/>
        <v>0</v>
      </c>
      <c r="V836" s="28" t="s">
        <v>222</v>
      </c>
      <c r="W836" s="31">
        <v>2020</v>
      </c>
      <c r="X836" s="28">
        <v>1</v>
      </c>
      <c r="Y836" s="28">
        <v>0</v>
      </c>
      <c r="Z836" s="196">
        <v>-7.8526781139071963E-3</v>
      </c>
      <c r="AA836" s="196">
        <v>-0.12081043252164918</v>
      </c>
      <c r="AB836" s="28">
        <v>0</v>
      </c>
      <c r="AC836" s="28">
        <v>0</v>
      </c>
      <c r="AD836" s="28" t="s">
        <v>389</v>
      </c>
    </row>
    <row r="837" spans="2:31" ht="14.25" customHeight="1" x14ac:dyDescent="0.2">
      <c r="B837" s="7">
        <f t="shared" si="58"/>
        <v>813</v>
      </c>
      <c r="C837" s="28">
        <v>8</v>
      </c>
      <c r="D837" s="28">
        <v>1</v>
      </c>
      <c r="E837" s="28">
        <v>7</v>
      </c>
      <c r="F837" s="96">
        <v>2020</v>
      </c>
      <c r="G837" s="96">
        <v>2029</v>
      </c>
      <c r="H837" s="28">
        <v>8</v>
      </c>
      <c r="I837" s="28">
        <v>0</v>
      </c>
      <c r="J837" s="28">
        <v>0</v>
      </c>
      <c r="K837" s="28">
        <v>0</v>
      </c>
      <c r="L837" s="28">
        <v>0</v>
      </c>
      <c r="M837" s="79">
        <v>634.51919008264451</v>
      </c>
      <c r="N837" s="151">
        <v>1160</v>
      </c>
      <c r="O837" s="151">
        <v>1160</v>
      </c>
      <c r="P837" s="95">
        <f t="array" ref="P837">ROUND(IF($F837&lt;='TaxCred&amp;Subs'!$C$49,(IF($C837=2,IF($M837&gt;=IFERROR(INDEX('TaxCred&amp;Subs'!$L$12:$L$47,MATCH(1,($C837&amp;$D837='TaxCred&amp;Subs'!$E$12:$E$47)*($F837='TaxCred&amp;Subs'!$C$12:$C$47),0)
),9999),IFERROR(INDEX('TaxCred&amp;Subs'!$N$12:$N$47,MATCH(1,($C837&amp;$D837='TaxCred&amp;Subs'!$E$12:$E$47)*($F837='TaxCred&amp;Subs'!$C$12:$C$47),0)
),0),0),(IF($M837&gt;=IFERROR(INDEX('TaxCred&amp;Subs'!$H$12:$H$47,MATCH(1,($C837&amp;$D837='TaxCred&amp;Subs'!$D$12:$D$47)*($F837='TaxCred&amp;Subs'!$C$12:$C$47),0)
),9999),IFERROR(INDEX('TaxCred&amp;Subs'!$N$12:$N$47,MATCH(1,($C837&amp;$D837='TaxCred&amp;Subs'!$D$12:$D$47)*($F837='TaxCred&amp;Subs'!$C$12:$C$47),0)
),0),0)))),0)+IF(AND($C837=2,VALUE(RIGHT($AD837,1))&gt;2),(N837-R837)*(IFERROR(INDEX('TaxCred&amp;Subs'!$J$66:$J$99,MATCH(1,($C837&amp;$D837='TaxCred&amp;Subs'!$E$66:$E$99)*($F837='TaxCred&amp;Subs'!$C$66:$C$99),0)),0)),IF(AND($C837=1,VALUE(RIGHT($AD837,1))&gt;2),(N837-R837)*(IFERROR(INDEX('TaxCred&amp;Subs'!$J$66:$J$99,MATCH(1,($C837&amp;$D837='TaxCred&amp;Subs'!$D$66:$D$99)*($F837='TaxCred&amp;Subs'!$C$66:$C$99),0)),0)),IF($C837&gt;2,(N837-R837)*(IFERROR(INDEX('TaxCred&amp;Subs'!$J$66:$J$99,MATCH(1,($C837&amp;$D837='TaxCred&amp;Subs'!$D$66:$D$99)*($F837='TaxCred&amp;Subs'!$C$66:$C$99),0)),0)),0))),0)</f>
        <v>0</v>
      </c>
      <c r="Q837" s="95">
        <f t="array" ref="Q837">ROUND(IF(AND($C837=2,VALUE(RIGHT($AD837,1))&gt;2),(O837-S837)*(IFERROR(INDEX('TaxCred&amp;Subs'!$J$66:$J$99,MATCH(1,($C837&amp;$D837='TaxCred&amp;Subs'!$E$66:$E$99)*($F837='TaxCred&amp;Subs'!$C$66:$C$99),0)),0)),IF(AND($C837=1,VALUE(RIGHT($AD837,1))&gt;2),(O837-S837)*(IFERROR(INDEX('TaxCred&amp;Subs'!$J$66:$J$99,MATCH(1,($C837&amp;$D837='TaxCred&amp;Subs'!$D$66:$D$99)*($F837='TaxCred&amp;Subs'!$C$66:$C$99),0)),0)),IF($C837&gt;2,(O837-S837)*(IFERROR(INDEX('TaxCred&amp;Subs'!$J$66:$J$99,MATCH(1,($C837&amp;$D837='TaxCred&amp;Subs'!$D$66:$D$99)*($F837='TaxCred&amp;Subs'!$C$66:$C$99),0)),0)),0))),0)</f>
        <v>0</v>
      </c>
      <c r="R837" s="172">
        <f t="array" ref="R837">ROUND(IF(IFERROR(VALUE(RIGHT($AD837,1)),0)&gt;2,IF($C837=8,N837*IFERROR(INDEX('TaxCred&amp;Subs'!$K$139:$S$151,MATCH($C837&amp;$D837&amp;LEFT($AD837,7),'TaxCred&amp;Subs'!$E$139:$E$151,0),MATCH($H837,'TaxCred&amp;Subs'!$K$137:$S$137,0)),0),IF($C837=2,N837*IFERROR(INDEX('TaxCred&amp;Subs'!$K$139:$S$151,MATCH($C837&amp;$D837,'TaxCred&amp;Subs'!$D$139:$D$151,0),MATCH($H837,'TaxCred&amp;Subs'!$K$137:$S$137,0)),0),N837*IFERROR(INDEX('TaxCred&amp;Subs'!$K$139:$S$151,MATCH($C837&amp;$D837,'TaxCred&amp;Subs'!$C$139:$C$151,0),MATCH($H837,'TaxCred&amp;Subs'!$K$137:$S$137,0)),0))),0),0)</f>
        <v>23</v>
      </c>
      <c r="S837" s="172">
        <f t="array" ref="S837">ROUND(IF(IFERROR(VALUE(RIGHT($AD837,1)),0)&gt;2,IF($C837=8,O837*IFERROR(INDEX('TaxCred&amp;Subs'!$K$139:$S$151,MATCH($C837&amp;$D837&amp;LEFT($AD837,7),'TaxCred&amp;Subs'!$E$139:$E$151,0),MATCH($H837,'TaxCred&amp;Subs'!$K$137:$S$137,0)),0),IF($C837=2,O837*IFERROR(INDEX('TaxCred&amp;Subs'!$K$139:$S$151,MATCH($C837&amp;$D837,'TaxCred&amp;Subs'!$D$139:$D$151,0),MATCH($H837,'TaxCred&amp;Subs'!$K$137:$S$137,0)),0),O837*IFERROR(INDEX('TaxCred&amp;Subs'!$K$139:$S$151,MATCH($C837&amp;$D837,'TaxCred&amp;Subs'!$C$139:$C$151,0),MATCH($H837,'TaxCred&amp;Subs'!$K$137:$S$137,0)),0))),0),0)</f>
        <v>23</v>
      </c>
      <c r="T837" s="95">
        <f t="shared" si="56"/>
        <v>0</v>
      </c>
      <c r="U837" s="95">
        <f t="shared" si="57"/>
        <v>0</v>
      </c>
      <c r="V837" s="28" t="s">
        <v>222</v>
      </c>
      <c r="W837" s="31">
        <v>2020</v>
      </c>
      <c r="X837" s="28">
        <v>1</v>
      </c>
      <c r="Y837" s="28">
        <v>0</v>
      </c>
      <c r="Z837" s="196">
        <v>-7.8526781139071963E-3</v>
      </c>
      <c r="AA837" s="196">
        <v>-0.12081043252164918</v>
      </c>
      <c r="AB837" s="28">
        <v>0</v>
      </c>
      <c r="AC837" s="28">
        <v>0</v>
      </c>
      <c r="AD837" s="28" t="s">
        <v>389</v>
      </c>
    </row>
    <row r="838" spans="2:31" ht="14.25" customHeight="1" x14ac:dyDescent="0.2">
      <c r="B838" s="7">
        <f t="shared" si="58"/>
        <v>814</v>
      </c>
      <c r="C838" s="28">
        <v>8</v>
      </c>
      <c r="D838" s="28">
        <v>1</v>
      </c>
      <c r="E838" s="28">
        <v>7</v>
      </c>
      <c r="F838" s="96">
        <v>2020</v>
      </c>
      <c r="G838" s="96">
        <v>2029</v>
      </c>
      <c r="H838" s="28">
        <v>9</v>
      </c>
      <c r="I838" s="28">
        <v>0</v>
      </c>
      <c r="J838" s="28">
        <v>0</v>
      </c>
      <c r="K838" s="28">
        <v>0</v>
      </c>
      <c r="L838" s="28">
        <v>0</v>
      </c>
      <c r="M838" s="79">
        <v>634.51919008264451</v>
      </c>
      <c r="N838" s="151">
        <v>1160</v>
      </c>
      <c r="O838" s="151">
        <v>1160</v>
      </c>
      <c r="P838" s="95">
        <f t="array" ref="P838">ROUND(IF($F838&lt;='TaxCred&amp;Subs'!$C$49,(IF($C838=2,IF($M838&gt;=IFERROR(INDEX('TaxCred&amp;Subs'!$L$12:$L$47,MATCH(1,($C838&amp;$D838='TaxCred&amp;Subs'!$E$12:$E$47)*($F838='TaxCred&amp;Subs'!$C$12:$C$47),0)
),9999),IFERROR(INDEX('TaxCred&amp;Subs'!$N$12:$N$47,MATCH(1,($C838&amp;$D838='TaxCred&amp;Subs'!$E$12:$E$47)*($F838='TaxCred&amp;Subs'!$C$12:$C$47),0)
),0),0),(IF($M838&gt;=IFERROR(INDEX('TaxCred&amp;Subs'!$H$12:$H$47,MATCH(1,($C838&amp;$D838='TaxCred&amp;Subs'!$D$12:$D$47)*($F838='TaxCred&amp;Subs'!$C$12:$C$47),0)
),9999),IFERROR(INDEX('TaxCred&amp;Subs'!$N$12:$N$47,MATCH(1,($C838&amp;$D838='TaxCred&amp;Subs'!$D$12:$D$47)*($F838='TaxCred&amp;Subs'!$C$12:$C$47),0)
),0),0)))),0)+IF(AND($C838=2,VALUE(RIGHT($AD838,1))&gt;2),(N838-R838)*(IFERROR(INDEX('TaxCred&amp;Subs'!$J$66:$J$99,MATCH(1,($C838&amp;$D838='TaxCred&amp;Subs'!$E$66:$E$99)*($F838='TaxCred&amp;Subs'!$C$66:$C$99),0)),0)),IF(AND($C838=1,VALUE(RIGHT($AD838,1))&gt;2),(N838-R838)*(IFERROR(INDEX('TaxCred&amp;Subs'!$J$66:$J$99,MATCH(1,($C838&amp;$D838='TaxCred&amp;Subs'!$D$66:$D$99)*($F838='TaxCred&amp;Subs'!$C$66:$C$99),0)),0)),IF($C838&gt;2,(N838-R838)*(IFERROR(INDEX('TaxCred&amp;Subs'!$J$66:$J$99,MATCH(1,($C838&amp;$D838='TaxCred&amp;Subs'!$D$66:$D$99)*($F838='TaxCred&amp;Subs'!$C$66:$C$99),0)),0)),0))),0)</f>
        <v>0</v>
      </c>
      <c r="Q838" s="95">
        <f t="array" ref="Q838">ROUND(IF(AND($C838=2,VALUE(RIGHT($AD838,1))&gt;2),(O838-S838)*(IFERROR(INDEX('TaxCred&amp;Subs'!$J$66:$J$99,MATCH(1,($C838&amp;$D838='TaxCred&amp;Subs'!$E$66:$E$99)*($F838='TaxCred&amp;Subs'!$C$66:$C$99),0)),0)),IF(AND($C838=1,VALUE(RIGHT($AD838,1))&gt;2),(O838-S838)*(IFERROR(INDEX('TaxCred&amp;Subs'!$J$66:$J$99,MATCH(1,($C838&amp;$D838='TaxCred&amp;Subs'!$D$66:$D$99)*($F838='TaxCred&amp;Subs'!$C$66:$C$99),0)),0)),IF($C838&gt;2,(O838-S838)*(IFERROR(INDEX('TaxCred&amp;Subs'!$J$66:$J$99,MATCH(1,($C838&amp;$D838='TaxCred&amp;Subs'!$D$66:$D$99)*($F838='TaxCred&amp;Subs'!$C$66:$C$99),0)),0)),0))),0)</f>
        <v>0</v>
      </c>
      <c r="R838" s="172">
        <f t="array" ref="R838">ROUND(IF(IFERROR(VALUE(RIGHT($AD838,1)),0)&gt;2,IF($C838=8,N838*IFERROR(INDEX('TaxCred&amp;Subs'!$K$139:$S$151,MATCH($C838&amp;$D838&amp;LEFT($AD838,7),'TaxCred&amp;Subs'!$E$139:$E$151,0),MATCH($H838,'TaxCred&amp;Subs'!$K$137:$S$137,0)),0),IF($C838=2,N838*IFERROR(INDEX('TaxCred&amp;Subs'!$K$139:$S$151,MATCH($C838&amp;$D838,'TaxCred&amp;Subs'!$D$139:$D$151,0),MATCH($H838,'TaxCred&amp;Subs'!$K$137:$S$137,0)),0),N838*IFERROR(INDEX('TaxCred&amp;Subs'!$K$139:$S$151,MATCH($C838&amp;$D838,'TaxCred&amp;Subs'!$C$139:$C$151,0),MATCH($H838,'TaxCred&amp;Subs'!$K$137:$S$137,0)),0))),0),0)</f>
        <v>65</v>
      </c>
      <c r="S838" s="172">
        <f t="array" ref="S838">ROUND(IF(IFERROR(VALUE(RIGHT($AD838,1)),0)&gt;2,IF($C838=8,O838*IFERROR(INDEX('TaxCred&amp;Subs'!$K$139:$S$151,MATCH($C838&amp;$D838&amp;LEFT($AD838,7),'TaxCred&amp;Subs'!$E$139:$E$151,0),MATCH($H838,'TaxCred&amp;Subs'!$K$137:$S$137,0)),0),IF($C838=2,O838*IFERROR(INDEX('TaxCred&amp;Subs'!$K$139:$S$151,MATCH($C838&amp;$D838,'TaxCred&amp;Subs'!$D$139:$D$151,0),MATCH($H838,'TaxCred&amp;Subs'!$K$137:$S$137,0)),0),O838*IFERROR(INDEX('TaxCred&amp;Subs'!$K$139:$S$151,MATCH($C838&amp;$D838,'TaxCred&amp;Subs'!$C$139:$C$151,0),MATCH($H838,'TaxCred&amp;Subs'!$K$137:$S$137,0)),0))),0),0)</f>
        <v>65</v>
      </c>
      <c r="T838" s="172">
        <f t="shared" si="56"/>
        <v>174</v>
      </c>
      <c r="U838" s="172">
        <f t="shared" si="57"/>
        <v>174</v>
      </c>
      <c r="V838" s="28" t="s">
        <v>222</v>
      </c>
      <c r="W838" s="31">
        <v>2020</v>
      </c>
      <c r="X838" s="28">
        <v>1</v>
      </c>
      <c r="Y838" s="28">
        <v>0</v>
      </c>
      <c r="Z838" s="196">
        <v>-7.8526781139071963E-3</v>
      </c>
      <c r="AA838" s="196">
        <v>-0.12081043252164918</v>
      </c>
      <c r="AB838" s="28">
        <v>0</v>
      </c>
      <c r="AC838" s="28">
        <v>0</v>
      </c>
      <c r="AD838" s="28" t="s">
        <v>389</v>
      </c>
    </row>
    <row r="839" spans="2:31" ht="14.25" customHeight="1" x14ac:dyDescent="0.2">
      <c r="B839" s="7">
        <f t="shared" si="58"/>
        <v>815</v>
      </c>
      <c r="C839" s="152">
        <v>8</v>
      </c>
      <c r="D839" s="152">
        <v>1</v>
      </c>
      <c r="E839" s="152">
        <v>7</v>
      </c>
      <c r="F839" s="153">
        <v>2030</v>
      </c>
      <c r="G839" s="152">
        <v>2050</v>
      </c>
      <c r="H839" s="152">
        <v>11</v>
      </c>
      <c r="I839" s="152">
        <v>0</v>
      </c>
      <c r="J839" s="152">
        <v>0</v>
      </c>
      <c r="K839" s="152">
        <v>0</v>
      </c>
      <c r="L839" s="152">
        <v>0</v>
      </c>
      <c r="M839" s="155">
        <v>634.51919008264451</v>
      </c>
      <c r="N839" s="155">
        <v>1160</v>
      </c>
      <c r="O839" s="155">
        <v>1160</v>
      </c>
      <c r="P839" s="41">
        <f t="array" ref="P839">ROUND(IF($F839&lt;='TaxCred&amp;Subs'!$C$49,(IF($C839=2,IF($M839&gt;=IFERROR(INDEX('TaxCred&amp;Subs'!$L$12:$L$47,MATCH(1,($C839&amp;$D839='TaxCred&amp;Subs'!$E$12:$E$47)*($F839='TaxCred&amp;Subs'!$C$12:$C$47),0)
),9999),IFERROR(INDEX('TaxCred&amp;Subs'!$N$12:$N$47,MATCH(1,($C839&amp;$D839='TaxCred&amp;Subs'!$E$12:$E$47)*($F839='TaxCred&amp;Subs'!$C$12:$C$47),0)
),0),0),(IF($M839&gt;=IFERROR(INDEX('TaxCred&amp;Subs'!$H$12:$H$47,MATCH(1,($C839&amp;$D839='TaxCred&amp;Subs'!$D$12:$D$47)*($F839='TaxCred&amp;Subs'!$C$12:$C$47),0)
),9999),IFERROR(INDEX('TaxCred&amp;Subs'!$N$12:$N$47,MATCH(1,($C839&amp;$D839='TaxCred&amp;Subs'!$D$12:$D$47)*($F839='TaxCred&amp;Subs'!$C$12:$C$47),0)
),0),0)))),0)+IF(AND($C839=2,VALUE(RIGHT($AD839,1))&gt;2),(N839-R839)*(IFERROR(INDEX('TaxCred&amp;Subs'!$J$66:$J$99,MATCH(1,($C839&amp;$D839='TaxCred&amp;Subs'!$E$66:$E$99)*($F839='TaxCred&amp;Subs'!$C$66:$C$99),0)),0)),IF(AND($C839=1,VALUE(RIGHT($AD839,1))&gt;2),(N839-R839)*(IFERROR(INDEX('TaxCred&amp;Subs'!$J$66:$J$99,MATCH(1,($C839&amp;$D839='TaxCred&amp;Subs'!$D$66:$D$99)*($F839='TaxCred&amp;Subs'!$C$66:$C$99),0)),0)),IF($C839&gt;2,(N839-R839)*(IFERROR(INDEX('TaxCred&amp;Subs'!$J$66:$J$99,MATCH(1,($C839&amp;$D839='TaxCred&amp;Subs'!$D$66:$D$99)*($F839='TaxCred&amp;Subs'!$C$66:$C$99),0)),0)),0))),0)</f>
        <v>0</v>
      </c>
      <c r="Q839" s="41">
        <f t="array" ref="Q839">ROUND(IF(AND($C839=2,VALUE(RIGHT($AD839,1))&gt;2),(O839-S839)*(IFERROR(INDEX('TaxCred&amp;Subs'!$J$66:$J$99,MATCH(1,($C839&amp;$D839='TaxCred&amp;Subs'!$E$66:$E$99)*($F839='TaxCred&amp;Subs'!$C$66:$C$99),0)),0)),IF(AND($C839=1,VALUE(RIGHT($AD839,1))&gt;2),(O839-S839)*(IFERROR(INDEX('TaxCred&amp;Subs'!$J$66:$J$99,MATCH(1,($C839&amp;$D839='TaxCred&amp;Subs'!$D$66:$D$99)*($F839='TaxCred&amp;Subs'!$C$66:$C$99),0)),0)),IF($C839&gt;2,(O839-S839)*(IFERROR(INDEX('TaxCred&amp;Subs'!$J$66:$J$99,MATCH(1,($C839&amp;$D839='TaxCred&amp;Subs'!$D$66:$D$99)*($F839='TaxCred&amp;Subs'!$C$66:$C$99),0)),0)),0))),0)</f>
        <v>0</v>
      </c>
      <c r="R839" s="41">
        <f t="array" ref="R839">ROUND(IF(IFERROR(VALUE(RIGHT($AD839,1)),0)&gt;2,IF($C839=8,N839*IFERROR(INDEX('TaxCred&amp;Subs'!$K$139:$S$151,MATCH($C839&amp;$D839&amp;LEFT($AD839,7),'TaxCred&amp;Subs'!$E$139:$E$151,0),MATCH($H839,'TaxCred&amp;Subs'!$K$137:$S$137,0)),0),IF($C839=2,N839*IFERROR(INDEX('TaxCred&amp;Subs'!$K$139:$S$151,MATCH($C839&amp;$D839,'TaxCred&amp;Subs'!$D$139:$D$151,0),MATCH($H839,'TaxCred&amp;Subs'!$K$137:$S$137,0)),0),N839*IFERROR(INDEX('TaxCred&amp;Subs'!$K$139:$S$151,MATCH($C839&amp;$D839,'TaxCred&amp;Subs'!$C$139:$C$151,0),MATCH($H839,'TaxCred&amp;Subs'!$K$137:$S$137,0)),0))),0),0)</f>
        <v>0</v>
      </c>
      <c r="S839" s="41">
        <f t="array" ref="S839">ROUND(IF(IFERROR(VALUE(RIGHT($AD839,1)),0)&gt;2,IF($C839=8,O839*IFERROR(INDEX('TaxCred&amp;Subs'!$K$139:$S$151,MATCH($C839&amp;$D839&amp;LEFT($AD839,7),'TaxCred&amp;Subs'!$E$139:$E$151,0),MATCH($H839,'TaxCred&amp;Subs'!$K$137:$S$137,0)),0),IF($C839=2,O839*IFERROR(INDEX('TaxCred&amp;Subs'!$K$139:$S$151,MATCH($C839&amp;$D839,'TaxCred&amp;Subs'!$D$139:$D$151,0),MATCH($H839,'TaxCred&amp;Subs'!$K$137:$S$137,0)),0),O839*IFERROR(INDEX('TaxCred&amp;Subs'!$K$139:$S$151,MATCH($C839&amp;$D839,'TaxCred&amp;Subs'!$C$139:$C$151,0),MATCH($H839,'TaxCred&amp;Subs'!$K$137:$S$137,0)),0))),0),0)</f>
        <v>0</v>
      </c>
      <c r="T839" s="41">
        <f t="shared" ref="T839" si="71">IF($H839=9,IF(R839&gt;0,(N839-P839)*0.15,0),0)</f>
        <v>0</v>
      </c>
      <c r="U839" s="41">
        <f t="shared" ref="U839" si="72">IF($H839=9,IF(S839&gt;0,(O839-Q839)*0.15,0),0)</f>
        <v>0</v>
      </c>
      <c r="V839" s="152" t="s">
        <v>222</v>
      </c>
      <c r="W839" s="152">
        <v>2020</v>
      </c>
      <c r="X839" s="152">
        <v>1</v>
      </c>
      <c r="Y839" s="152">
        <v>0</v>
      </c>
      <c r="Z839" s="195">
        <v>-1</v>
      </c>
      <c r="AA839" s="195">
        <v>-1</v>
      </c>
      <c r="AB839" s="152">
        <v>0</v>
      </c>
      <c r="AC839" s="152">
        <v>0</v>
      </c>
      <c r="AD839" s="152" t="s">
        <v>389</v>
      </c>
      <c r="AE839" s="44" t="s">
        <v>498</v>
      </c>
    </row>
    <row r="840" spans="2:31" ht="14.25" customHeight="1" x14ac:dyDescent="0.2">
      <c r="B840" s="7">
        <f t="shared" si="58"/>
        <v>816</v>
      </c>
      <c r="C840" s="28">
        <v>8</v>
      </c>
      <c r="D840" s="28">
        <v>1</v>
      </c>
      <c r="E840" s="28">
        <v>8</v>
      </c>
      <c r="F840" s="96">
        <v>2020</v>
      </c>
      <c r="G840" s="96">
        <v>2029</v>
      </c>
      <c r="H840" s="28">
        <v>1</v>
      </c>
      <c r="I840" s="28">
        <v>0</v>
      </c>
      <c r="J840" s="28">
        <v>0</v>
      </c>
      <c r="K840" s="28">
        <v>0</v>
      </c>
      <c r="L840" s="28">
        <v>0</v>
      </c>
      <c r="M840" s="151">
        <v>610</v>
      </c>
      <c r="N840" s="151">
        <v>1470</v>
      </c>
      <c r="O840" s="151">
        <v>1470</v>
      </c>
      <c r="P840" s="95">
        <f t="array" ref="P840">ROUND(IF($F840&lt;='TaxCred&amp;Subs'!$C$49,(IF($C840=2,IF($M840&gt;=IFERROR(INDEX('TaxCred&amp;Subs'!$L$12:$L$47,MATCH(1,($C840&amp;$D840='TaxCred&amp;Subs'!$E$12:$E$47)*($F840='TaxCred&amp;Subs'!$C$12:$C$47),0)
),9999),IFERROR(INDEX('TaxCred&amp;Subs'!$N$12:$N$47,MATCH(1,($C840&amp;$D840='TaxCred&amp;Subs'!$E$12:$E$47)*($F840='TaxCred&amp;Subs'!$C$12:$C$47),0)
),0),0),(IF($M840&gt;=IFERROR(INDEX('TaxCred&amp;Subs'!$H$12:$H$47,MATCH(1,($C840&amp;$D840='TaxCred&amp;Subs'!$D$12:$D$47)*($F840='TaxCred&amp;Subs'!$C$12:$C$47),0)
),9999),IFERROR(INDEX('TaxCred&amp;Subs'!$N$12:$N$47,MATCH(1,($C840&amp;$D840='TaxCred&amp;Subs'!$D$12:$D$47)*($F840='TaxCred&amp;Subs'!$C$12:$C$47),0)
),0),0)))),0)+IF(AND($C840=2,VALUE(RIGHT($AD840,1))&gt;2),(N840-R840)*(IFERROR(INDEX('TaxCred&amp;Subs'!$J$66:$J$99,MATCH(1,($C840&amp;$D840='TaxCred&amp;Subs'!$E$66:$E$99)*($F840='TaxCred&amp;Subs'!$C$66:$C$99),0)),0)),IF(AND($C840=1,VALUE(RIGHT($AD840,1))&gt;2),(N840-R840)*(IFERROR(INDEX('TaxCred&amp;Subs'!$J$66:$J$99,MATCH(1,($C840&amp;$D840='TaxCred&amp;Subs'!$D$66:$D$99)*($F840='TaxCred&amp;Subs'!$C$66:$C$99),0)),0)),IF($C840&gt;2,(N840-R840)*(IFERROR(INDEX('TaxCred&amp;Subs'!$J$66:$J$99,MATCH(1,($C840&amp;$D840='TaxCred&amp;Subs'!$D$66:$D$99)*($F840='TaxCred&amp;Subs'!$C$66:$C$99),0)),0)),0))),0)</f>
        <v>0</v>
      </c>
      <c r="Q840" s="95">
        <f t="array" ref="Q840">ROUND(IF(AND($C840=2,VALUE(RIGHT($AD840,1))&gt;2),(O840-S840)*(IFERROR(INDEX('TaxCred&amp;Subs'!$J$66:$J$99,MATCH(1,($C840&amp;$D840='TaxCred&amp;Subs'!$E$66:$E$99)*($F840='TaxCred&amp;Subs'!$C$66:$C$99),0)),0)),IF(AND($C840=1,VALUE(RIGHT($AD840,1))&gt;2),(O840-S840)*(IFERROR(INDEX('TaxCred&amp;Subs'!$J$66:$J$99,MATCH(1,($C840&amp;$D840='TaxCred&amp;Subs'!$D$66:$D$99)*($F840='TaxCred&amp;Subs'!$C$66:$C$99),0)),0)),IF($C840&gt;2,(O840-S840)*(IFERROR(INDEX('TaxCred&amp;Subs'!$J$66:$J$99,MATCH(1,($C840&amp;$D840='TaxCred&amp;Subs'!$D$66:$D$99)*($F840='TaxCred&amp;Subs'!$C$66:$C$99),0)),0)),0))),0)</f>
        <v>0</v>
      </c>
      <c r="R840" s="172">
        <f t="array" ref="R840">ROUND(IF(IFERROR(VALUE(RIGHT($AD840,1)),0)&gt;2,IF($C840=8,N840*IFERROR(INDEX('TaxCred&amp;Subs'!$K$139:$S$151,MATCH($C840&amp;$D840&amp;LEFT($AD840,7),'TaxCred&amp;Subs'!$E$139:$E$151,0),MATCH($H840,'TaxCred&amp;Subs'!$K$137:$S$137,0)),0),IF($C840=2,N840*IFERROR(INDEX('TaxCred&amp;Subs'!$K$139:$S$151,MATCH($C840&amp;$D840,'TaxCred&amp;Subs'!$D$139:$D$151,0),MATCH($H840,'TaxCred&amp;Subs'!$K$137:$S$137,0)),0),N840*IFERROR(INDEX('TaxCred&amp;Subs'!$K$139:$S$151,MATCH($C840&amp;$D840,'TaxCred&amp;Subs'!$C$139:$C$151,0),MATCH($H840,'TaxCred&amp;Subs'!$K$137:$S$137,0)),0))),0),0)</f>
        <v>8</v>
      </c>
      <c r="S840" s="172">
        <f t="array" ref="S840">ROUND(IF(IFERROR(VALUE(RIGHT($AD840,1)),0)&gt;2,IF($C840=8,O840*IFERROR(INDEX('TaxCred&amp;Subs'!$K$139:$S$151,MATCH($C840&amp;$D840&amp;LEFT($AD840,7),'TaxCred&amp;Subs'!$E$139:$E$151,0),MATCH($H840,'TaxCred&amp;Subs'!$K$137:$S$137,0)),0),IF($C840=2,O840*IFERROR(INDEX('TaxCred&amp;Subs'!$K$139:$S$151,MATCH($C840&amp;$D840,'TaxCred&amp;Subs'!$D$139:$D$151,0),MATCH($H840,'TaxCred&amp;Subs'!$K$137:$S$137,0)),0),O840*IFERROR(INDEX('TaxCred&amp;Subs'!$K$139:$S$151,MATCH($C840&amp;$D840,'TaxCred&amp;Subs'!$C$139:$C$151,0),MATCH($H840,'TaxCred&amp;Subs'!$K$137:$S$137,0)),0))),0),0)</f>
        <v>8</v>
      </c>
      <c r="T840" s="95">
        <f t="shared" si="56"/>
        <v>0</v>
      </c>
      <c r="U840" s="95">
        <f t="shared" si="57"/>
        <v>0</v>
      </c>
      <c r="V840" s="28" t="s">
        <v>222</v>
      </c>
      <c r="W840" s="31">
        <v>2020</v>
      </c>
      <c r="X840" s="28">
        <v>1</v>
      </c>
      <c r="Y840" s="28">
        <v>0</v>
      </c>
      <c r="Z840" s="196">
        <v>-7.8526781139071963E-3</v>
      </c>
      <c r="AA840" s="196">
        <v>-0.12081043252164918</v>
      </c>
      <c r="AB840" s="28">
        <v>0</v>
      </c>
      <c r="AC840" s="28">
        <v>0</v>
      </c>
      <c r="AD840" s="28" t="s">
        <v>390</v>
      </c>
    </row>
    <row r="841" spans="2:31" ht="14.25" customHeight="1" x14ac:dyDescent="0.2">
      <c r="B841" s="7">
        <f t="shared" si="58"/>
        <v>817</v>
      </c>
      <c r="C841" s="28">
        <v>8</v>
      </c>
      <c r="D841" s="28">
        <v>1</v>
      </c>
      <c r="E841" s="28">
        <v>8</v>
      </c>
      <c r="F841" s="96">
        <v>2020</v>
      </c>
      <c r="G841" s="96">
        <v>2029</v>
      </c>
      <c r="H841" s="28">
        <v>2</v>
      </c>
      <c r="I841" s="28">
        <v>0</v>
      </c>
      <c r="J841" s="28">
        <v>0</v>
      </c>
      <c r="K841" s="28">
        <v>0</v>
      </c>
      <c r="L841" s="28">
        <v>0</v>
      </c>
      <c r="M841" s="151">
        <v>610</v>
      </c>
      <c r="N841" s="151">
        <v>1470</v>
      </c>
      <c r="O841" s="151">
        <v>1470</v>
      </c>
      <c r="P841" s="95">
        <f t="array" ref="P841">ROUND(IF($F841&lt;='TaxCred&amp;Subs'!$C$49,(IF($C841=2,IF($M841&gt;=IFERROR(INDEX('TaxCred&amp;Subs'!$L$12:$L$47,MATCH(1,($C841&amp;$D841='TaxCred&amp;Subs'!$E$12:$E$47)*($F841='TaxCred&amp;Subs'!$C$12:$C$47),0)
),9999),IFERROR(INDEX('TaxCred&amp;Subs'!$N$12:$N$47,MATCH(1,($C841&amp;$D841='TaxCred&amp;Subs'!$E$12:$E$47)*($F841='TaxCred&amp;Subs'!$C$12:$C$47),0)
),0),0),(IF($M841&gt;=IFERROR(INDEX('TaxCred&amp;Subs'!$H$12:$H$47,MATCH(1,($C841&amp;$D841='TaxCred&amp;Subs'!$D$12:$D$47)*($F841='TaxCred&amp;Subs'!$C$12:$C$47),0)
),9999),IFERROR(INDEX('TaxCred&amp;Subs'!$N$12:$N$47,MATCH(1,($C841&amp;$D841='TaxCred&amp;Subs'!$D$12:$D$47)*($F841='TaxCred&amp;Subs'!$C$12:$C$47),0)
),0),0)))),0)+IF(AND($C841=2,VALUE(RIGHT($AD841,1))&gt;2),(N841-R841)*(IFERROR(INDEX('TaxCred&amp;Subs'!$J$66:$J$99,MATCH(1,($C841&amp;$D841='TaxCred&amp;Subs'!$E$66:$E$99)*($F841='TaxCred&amp;Subs'!$C$66:$C$99),0)),0)),IF(AND($C841=1,VALUE(RIGHT($AD841,1))&gt;2),(N841-R841)*(IFERROR(INDEX('TaxCred&amp;Subs'!$J$66:$J$99,MATCH(1,($C841&amp;$D841='TaxCred&amp;Subs'!$D$66:$D$99)*($F841='TaxCred&amp;Subs'!$C$66:$C$99),0)),0)),IF($C841&gt;2,(N841-R841)*(IFERROR(INDEX('TaxCred&amp;Subs'!$J$66:$J$99,MATCH(1,($C841&amp;$D841='TaxCred&amp;Subs'!$D$66:$D$99)*($F841='TaxCred&amp;Subs'!$C$66:$C$99),0)),0)),0))),0)</f>
        <v>0</v>
      </c>
      <c r="Q841" s="95">
        <f t="array" ref="Q841">ROUND(IF(AND($C841=2,VALUE(RIGHT($AD841,1))&gt;2),(O841-S841)*(IFERROR(INDEX('TaxCred&amp;Subs'!$J$66:$J$99,MATCH(1,($C841&amp;$D841='TaxCred&amp;Subs'!$E$66:$E$99)*($F841='TaxCred&amp;Subs'!$C$66:$C$99),0)),0)),IF(AND($C841=1,VALUE(RIGHT($AD841,1))&gt;2),(O841-S841)*(IFERROR(INDEX('TaxCred&amp;Subs'!$J$66:$J$99,MATCH(1,($C841&amp;$D841='TaxCred&amp;Subs'!$D$66:$D$99)*($F841='TaxCred&amp;Subs'!$C$66:$C$99),0)),0)),IF($C841&gt;2,(O841-S841)*(IFERROR(INDEX('TaxCred&amp;Subs'!$J$66:$J$99,MATCH(1,($C841&amp;$D841='TaxCred&amp;Subs'!$D$66:$D$99)*($F841='TaxCred&amp;Subs'!$C$66:$C$99),0)),0)),0))),0)</f>
        <v>0</v>
      </c>
      <c r="R841" s="172">
        <f t="array" ref="R841">ROUND(IF(IFERROR(VALUE(RIGHT($AD841,1)),0)&gt;2,IF($C841=8,N841*IFERROR(INDEX('TaxCred&amp;Subs'!$K$139:$S$151,MATCH($C841&amp;$D841&amp;LEFT($AD841,7),'TaxCred&amp;Subs'!$E$139:$E$151,0),MATCH($H841,'TaxCred&amp;Subs'!$K$137:$S$137,0)),0),IF($C841=2,N841*IFERROR(INDEX('TaxCred&amp;Subs'!$K$139:$S$151,MATCH($C841&amp;$D841,'TaxCred&amp;Subs'!$D$139:$D$151,0),MATCH($H841,'TaxCred&amp;Subs'!$K$137:$S$137,0)),0),N841*IFERROR(INDEX('TaxCred&amp;Subs'!$K$139:$S$151,MATCH($C841&amp;$D841,'TaxCred&amp;Subs'!$C$139:$C$151,0),MATCH($H841,'TaxCred&amp;Subs'!$K$137:$S$137,0)),0))),0),0)</f>
        <v>39</v>
      </c>
      <c r="S841" s="172">
        <f t="array" ref="S841">ROUND(IF(IFERROR(VALUE(RIGHT($AD841,1)),0)&gt;2,IF($C841=8,O841*IFERROR(INDEX('TaxCred&amp;Subs'!$K$139:$S$151,MATCH($C841&amp;$D841&amp;LEFT($AD841,7),'TaxCred&amp;Subs'!$E$139:$E$151,0),MATCH($H841,'TaxCred&amp;Subs'!$K$137:$S$137,0)),0),IF($C841=2,O841*IFERROR(INDEX('TaxCred&amp;Subs'!$K$139:$S$151,MATCH($C841&amp;$D841,'TaxCred&amp;Subs'!$D$139:$D$151,0),MATCH($H841,'TaxCred&amp;Subs'!$K$137:$S$137,0)),0),O841*IFERROR(INDEX('TaxCred&amp;Subs'!$K$139:$S$151,MATCH($C841&amp;$D841,'TaxCred&amp;Subs'!$C$139:$C$151,0),MATCH($H841,'TaxCred&amp;Subs'!$K$137:$S$137,0)),0))),0),0)</f>
        <v>39</v>
      </c>
      <c r="T841" s="95">
        <f t="shared" si="56"/>
        <v>0</v>
      </c>
      <c r="U841" s="95">
        <f t="shared" si="57"/>
        <v>0</v>
      </c>
      <c r="V841" s="28" t="s">
        <v>222</v>
      </c>
      <c r="W841" s="31">
        <v>2020</v>
      </c>
      <c r="X841" s="28">
        <v>1</v>
      </c>
      <c r="Y841" s="28">
        <v>0</v>
      </c>
      <c r="Z841" s="196">
        <v>-7.8526781139071963E-3</v>
      </c>
      <c r="AA841" s="196">
        <v>-0.12081043252164918</v>
      </c>
      <c r="AB841" s="28">
        <v>0</v>
      </c>
      <c r="AC841" s="28">
        <v>0</v>
      </c>
      <c r="AD841" s="28" t="s">
        <v>390</v>
      </c>
    </row>
    <row r="842" spans="2:31" ht="14.25" customHeight="1" x14ac:dyDescent="0.2">
      <c r="B842" s="7">
        <f t="shared" si="58"/>
        <v>818</v>
      </c>
      <c r="C842" s="28">
        <v>8</v>
      </c>
      <c r="D842" s="28">
        <v>1</v>
      </c>
      <c r="E842" s="28">
        <v>8</v>
      </c>
      <c r="F842" s="96">
        <v>2020</v>
      </c>
      <c r="G842" s="96">
        <v>2029</v>
      </c>
      <c r="H842" s="28">
        <v>3</v>
      </c>
      <c r="I842" s="28">
        <v>0</v>
      </c>
      <c r="J842" s="28">
        <v>0</v>
      </c>
      <c r="K842" s="28">
        <v>0</v>
      </c>
      <c r="L842" s="28">
        <v>0</v>
      </c>
      <c r="M842" s="151">
        <v>610</v>
      </c>
      <c r="N842" s="151">
        <v>1470</v>
      </c>
      <c r="O842" s="151">
        <v>1470</v>
      </c>
      <c r="P842" s="95">
        <f t="array" ref="P842">ROUND(IF($F842&lt;='TaxCred&amp;Subs'!$C$49,(IF($C842=2,IF($M842&gt;=IFERROR(INDEX('TaxCred&amp;Subs'!$L$12:$L$47,MATCH(1,($C842&amp;$D842='TaxCred&amp;Subs'!$E$12:$E$47)*($F842='TaxCred&amp;Subs'!$C$12:$C$47),0)
),9999),IFERROR(INDEX('TaxCred&amp;Subs'!$N$12:$N$47,MATCH(1,($C842&amp;$D842='TaxCred&amp;Subs'!$E$12:$E$47)*($F842='TaxCred&amp;Subs'!$C$12:$C$47),0)
),0),0),(IF($M842&gt;=IFERROR(INDEX('TaxCred&amp;Subs'!$H$12:$H$47,MATCH(1,($C842&amp;$D842='TaxCred&amp;Subs'!$D$12:$D$47)*($F842='TaxCred&amp;Subs'!$C$12:$C$47),0)
),9999),IFERROR(INDEX('TaxCred&amp;Subs'!$N$12:$N$47,MATCH(1,($C842&amp;$D842='TaxCred&amp;Subs'!$D$12:$D$47)*($F842='TaxCred&amp;Subs'!$C$12:$C$47),0)
),0),0)))),0)+IF(AND($C842=2,VALUE(RIGHT($AD842,1))&gt;2),(N842-R842)*(IFERROR(INDEX('TaxCred&amp;Subs'!$J$66:$J$99,MATCH(1,($C842&amp;$D842='TaxCred&amp;Subs'!$E$66:$E$99)*($F842='TaxCred&amp;Subs'!$C$66:$C$99),0)),0)),IF(AND($C842=1,VALUE(RIGHT($AD842,1))&gt;2),(N842-R842)*(IFERROR(INDEX('TaxCred&amp;Subs'!$J$66:$J$99,MATCH(1,($C842&amp;$D842='TaxCred&amp;Subs'!$D$66:$D$99)*($F842='TaxCred&amp;Subs'!$C$66:$C$99),0)),0)),IF($C842&gt;2,(N842-R842)*(IFERROR(INDEX('TaxCred&amp;Subs'!$J$66:$J$99,MATCH(1,($C842&amp;$D842='TaxCred&amp;Subs'!$D$66:$D$99)*($F842='TaxCred&amp;Subs'!$C$66:$C$99),0)),0)),0))),0)</f>
        <v>0</v>
      </c>
      <c r="Q842" s="95">
        <f t="array" ref="Q842">ROUND(IF(AND($C842=2,VALUE(RIGHT($AD842,1))&gt;2),(O842-S842)*(IFERROR(INDEX('TaxCred&amp;Subs'!$J$66:$J$99,MATCH(1,($C842&amp;$D842='TaxCred&amp;Subs'!$E$66:$E$99)*($F842='TaxCred&amp;Subs'!$C$66:$C$99),0)),0)),IF(AND($C842=1,VALUE(RIGHT($AD842,1))&gt;2),(O842-S842)*(IFERROR(INDEX('TaxCred&amp;Subs'!$J$66:$J$99,MATCH(1,($C842&amp;$D842='TaxCred&amp;Subs'!$D$66:$D$99)*($F842='TaxCred&amp;Subs'!$C$66:$C$99),0)),0)),IF($C842&gt;2,(O842-S842)*(IFERROR(INDEX('TaxCred&amp;Subs'!$J$66:$J$99,MATCH(1,($C842&amp;$D842='TaxCred&amp;Subs'!$D$66:$D$99)*($F842='TaxCred&amp;Subs'!$C$66:$C$99),0)),0)),0))),0)</f>
        <v>0</v>
      </c>
      <c r="R842" s="172">
        <f t="array" ref="R842">ROUND(IF(IFERROR(VALUE(RIGHT($AD842,1)),0)&gt;2,IF($C842=8,N842*IFERROR(INDEX('TaxCred&amp;Subs'!$K$139:$S$151,MATCH($C842&amp;$D842&amp;LEFT($AD842,7),'TaxCred&amp;Subs'!$E$139:$E$151,0),MATCH($H842,'TaxCred&amp;Subs'!$K$137:$S$137,0)),0),IF($C842=2,N842*IFERROR(INDEX('TaxCred&amp;Subs'!$K$139:$S$151,MATCH($C842&amp;$D842,'TaxCred&amp;Subs'!$D$139:$D$151,0),MATCH($H842,'TaxCred&amp;Subs'!$K$137:$S$137,0)),0),N842*IFERROR(INDEX('TaxCred&amp;Subs'!$K$139:$S$151,MATCH($C842&amp;$D842,'TaxCred&amp;Subs'!$C$139:$C$151,0),MATCH($H842,'TaxCred&amp;Subs'!$K$137:$S$137,0)),0))),0),0)</f>
        <v>34</v>
      </c>
      <c r="S842" s="172">
        <f t="array" ref="S842">ROUND(IF(IFERROR(VALUE(RIGHT($AD842,1)),0)&gt;2,IF($C842=8,O842*IFERROR(INDEX('TaxCred&amp;Subs'!$K$139:$S$151,MATCH($C842&amp;$D842&amp;LEFT($AD842,7),'TaxCred&amp;Subs'!$E$139:$E$151,0),MATCH($H842,'TaxCred&amp;Subs'!$K$137:$S$137,0)),0),IF($C842=2,O842*IFERROR(INDEX('TaxCred&amp;Subs'!$K$139:$S$151,MATCH($C842&amp;$D842,'TaxCred&amp;Subs'!$D$139:$D$151,0),MATCH($H842,'TaxCred&amp;Subs'!$K$137:$S$137,0)),0),O842*IFERROR(INDEX('TaxCred&amp;Subs'!$K$139:$S$151,MATCH($C842&amp;$D842,'TaxCred&amp;Subs'!$C$139:$C$151,0),MATCH($H842,'TaxCred&amp;Subs'!$K$137:$S$137,0)),0))),0),0)</f>
        <v>34</v>
      </c>
      <c r="T842" s="95">
        <f t="shared" si="56"/>
        <v>0</v>
      </c>
      <c r="U842" s="95">
        <f t="shared" si="57"/>
        <v>0</v>
      </c>
      <c r="V842" s="28" t="s">
        <v>222</v>
      </c>
      <c r="W842" s="31">
        <v>2020</v>
      </c>
      <c r="X842" s="28">
        <v>1</v>
      </c>
      <c r="Y842" s="28">
        <v>0</v>
      </c>
      <c r="Z842" s="196">
        <v>-7.8526781139071963E-3</v>
      </c>
      <c r="AA842" s="196">
        <v>-0.12081043252164918</v>
      </c>
      <c r="AB842" s="28">
        <v>0</v>
      </c>
      <c r="AC842" s="28">
        <v>0</v>
      </c>
      <c r="AD842" s="28" t="s">
        <v>390</v>
      </c>
    </row>
    <row r="843" spans="2:31" ht="14.25" customHeight="1" x14ac:dyDescent="0.2">
      <c r="B843" s="7">
        <f t="shared" si="58"/>
        <v>819</v>
      </c>
      <c r="C843" s="28">
        <v>8</v>
      </c>
      <c r="D843" s="28">
        <v>1</v>
      </c>
      <c r="E843" s="28">
        <v>8</v>
      </c>
      <c r="F843" s="96">
        <v>2020</v>
      </c>
      <c r="G843" s="96">
        <v>2029</v>
      </c>
      <c r="H843" s="28">
        <v>4</v>
      </c>
      <c r="I843" s="28">
        <v>0</v>
      </c>
      <c r="J843" s="28">
        <v>0</v>
      </c>
      <c r="K843" s="28">
        <v>0</v>
      </c>
      <c r="L843" s="28">
        <v>0</v>
      </c>
      <c r="M843" s="151">
        <v>610</v>
      </c>
      <c r="N843" s="151">
        <v>1470</v>
      </c>
      <c r="O843" s="151">
        <v>1470</v>
      </c>
      <c r="P843" s="95">
        <f t="array" ref="P843">ROUND(IF($F843&lt;='TaxCred&amp;Subs'!$C$49,(IF($C843=2,IF($M843&gt;=IFERROR(INDEX('TaxCred&amp;Subs'!$L$12:$L$47,MATCH(1,($C843&amp;$D843='TaxCred&amp;Subs'!$E$12:$E$47)*($F843='TaxCred&amp;Subs'!$C$12:$C$47),0)
),9999),IFERROR(INDEX('TaxCred&amp;Subs'!$N$12:$N$47,MATCH(1,($C843&amp;$D843='TaxCred&amp;Subs'!$E$12:$E$47)*($F843='TaxCred&amp;Subs'!$C$12:$C$47),0)
),0),0),(IF($M843&gt;=IFERROR(INDEX('TaxCred&amp;Subs'!$H$12:$H$47,MATCH(1,($C843&amp;$D843='TaxCred&amp;Subs'!$D$12:$D$47)*($F843='TaxCred&amp;Subs'!$C$12:$C$47),0)
),9999),IFERROR(INDEX('TaxCred&amp;Subs'!$N$12:$N$47,MATCH(1,($C843&amp;$D843='TaxCred&amp;Subs'!$D$12:$D$47)*($F843='TaxCred&amp;Subs'!$C$12:$C$47),0)
),0),0)))),0)+IF(AND($C843=2,VALUE(RIGHT($AD843,1))&gt;2),(N843-R843)*(IFERROR(INDEX('TaxCred&amp;Subs'!$J$66:$J$99,MATCH(1,($C843&amp;$D843='TaxCred&amp;Subs'!$E$66:$E$99)*($F843='TaxCred&amp;Subs'!$C$66:$C$99),0)),0)),IF(AND($C843=1,VALUE(RIGHT($AD843,1))&gt;2),(N843-R843)*(IFERROR(INDEX('TaxCred&amp;Subs'!$J$66:$J$99,MATCH(1,($C843&amp;$D843='TaxCred&amp;Subs'!$D$66:$D$99)*($F843='TaxCred&amp;Subs'!$C$66:$C$99),0)),0)),IF($C843&gt;2,(N843-R843)*(IFERROR(INDEX('TaxCred&amp;Subs'!$J$66:$J$99,MATCH(1,($C843&amp;$D843='TaxCred&amp;Subs'!$D$66:$D$99)*($F843='TaxCred&amp;Subs'!$C$66:$C$99),0)),0)),0))),0)</f>
        <v>0</v>
      </c>
      <c r="Q843" s="95">
        <f t="array" ref="Q843">ROUND(IF(AND($C843=2,VALUE(RIGHT($AD843,1))&gt;2),(O843-S843)*(IFERROR(INDEX('TaxCred&amp;Subs'!$J$66:$J$99,MATCH(1,($C843&amp;$D843='TaxCred&amp;Subs'!$E$66:$E$99)*($F843='TaxCred&amp;Subs'!$C$66:$C$99),0)),0)),IF(AND($C843=1,VALUE(RIGHT($AD843,1))&gt;2),(O843-S843)*(IFERROR(INDEX('TaxCred&amp;Subs'!$J$66:$J$99,MATCH(1,($C843&amp;$D843='TaxCred&amp;Subs'!$D$66:$D$99)*($F843='TaxCred&amp;Subs'!$C$66:$C$99),0)),0)),IF($C843&gt;2,(O843-S843)*(IFERROR(INDEX('TaxCred&amp;Subs'!$J$66:$J$99,MATCH(1,($C843&amp;$D843='TaxCred&amp;Subs'!$D$66:$D$99)*($F843='TaxCred&amp;Subs'!$C$66:$C$99),0)),0)),0))),0)</f>
        <v>0</v>
      </c>
      <c r="R843" s="172">
        <f t="array" ref="R843">ROUND(IF(IFERROR(VALUE(RIGHT($AD843,1)),0)&gt;2,IF($C843=8,N843*IFERROR(INDEX('TaxCred&amp;Subs'!$K$139:$S$151,MATCH($C843&amp;$D843&amp;LEFT($AD843,7),'TaxCred&amp;Subs'!$E$139:$E$151,0),MATCH($H843,'TaxCred&amp;Subs'!$K$137:$S$137,0)),0),IF($C843=2,N843*IFERROR(INDEX('TaxCred&amp;Subs'!$K$139:$S$151,MATCH($C843&amp;$D843,'TaxCred&amp;Subs'!$D$139:$D$151,0),MATCH($H843,'TaxCred&amp;Subs'!$K$137:$S$137,0)),0),N843*IFERROR(INDEX('TaxCred&amp;Subs'!$K$139:$S$151,MATCH($C843&amp;$D843,'TaxCred&amp;Subs'!$C$139:$C$151,0),MATCH($H843,'TaxCred&amp;Subs'!$K$137:$S$137,0)),0))),0),0)</f>
        <v>21</v>
      </c>
      <c r="S843" s="172">
        <f t="array" ref="S843">ROUND(IF(IFERROR(VALUE(RIGHT($AD843,1)),0)&gt;2,IF($C843=8,O843*IFERROR(INDEX('TaxCred&amp;Subs'!$K$139:$S$151,MATCH($C843&amp;$D843&amp;LEFT($AD843,7),'TaxCred&amp;Subs'!$E$139:$E$151,0),MATCH($H843,'TaxCred&amp;Subs'!$K$137:$S$137,0)),0),IF($C843=2,O843*IFERROR(INDEX('TaxCred&amp;Subs'!$K$139:$S$151,MATCH($C843&amp;$D843,'TaxCred&amp;Subs'!$D$139:$D$151,0),MATCH($H843,'TaxCred&amp;Subs'!$K$137:$S$137,0)),0),O843*IFERROR(INDEX('TaxCred&amp;Subs'!$K$139:$S$151,MATCH($C843&amp;$D843,'TaxCred&amp;Subs'!$C$139:$C$151,0),MATCH($H843,'TaxCred&amp;Subs'!$K$137:$S$137,0)),0))),0),0)</f>
        <v>21</v>
      </c>
      <c r="T843" s="95">
        <f t="shared" si="56"/>
        <v>0</v>
      </c>
      <c r="U843" s="95">
        <f t="shared" si="57"/>
        <v>0</v>
      </c>
      <c r="V843" s="28" t="s">
        <v>222</v>
      </c>
      <c r="W843" s="31">
        <v>2020</v>
      </c>
      <c r="X843" s="28">
        <v>1</v>
      </c>
      <c r="Y843" s="28">
        <v>0</v>
      </c>
      <c r="Z843" s="196">
        <v>-7.8526781139071963E-3</v>
      </c>
      <c r="AA843" s="196">
        <v>-0.12081043252164918</v>
      </c>
      <c r="AB843" s="28">
        <v>0</v>
      </c>
      <c r="AC843" s="28">
        <v>0</v>
      </c>
      <c r="AD843" s="28" t="s">
        <v>390</v>
      </c>
    </row>
    <row r="844" spans="2:31" ht="14.25" customHeight="1" x14ac:dyDescent="0.2">
      <c r="B844" s="7">
        <f t="shared" si="58"/>
        <v>820</v>
      </c>
      <c r="C844" s="28">
        <v>8</v>
      </c>
      <c r="D844" s="28">
        <v>1</v>
      </c>
      <c r="E844" s="28">
        <v>8</v>
      </c>
      <c r="F844" s="96">
        <v>2020</v>
      </c>
      <c r="G844" s="96">
        <v>2029</v>
      </c>
      <c r="H844" s="28">
        <v>5</v>
      </c>
      <c r="I844" s="28">
        <v>0</v>
      </c>
      <c r="J844" s="28">
        <v>0</v>
      </c>
      <c r="K844" s="28">
        <v>0</v>
      </c>
      <c r="L844" s="28">
        <v>0</v>
      </c>
      <c r="M844" s="151">
        <v>610</v>
      </c>
      <c r="N844" s="151">
        <v>1470</v>
      </c>
      <c r="O844" s="151">
        <v>1470</v>
      </c>
      <c r="P844" s="95">
        <f t="array" ref="P844">ROUND(IF($F844&lt;='TaxCred&amp;Subs'!$C$49,(IF($C844=2,IF($M844&gt;=IFERROR(INDEX('TaxCred&amp;Subs'!$L$12:$L$47,MATCH(1,($C844&amp;$D844='TaxCred&amp;Subs'!$E$12:$E$47)*($F844='TaxCred&amp;Subs'!$C$12:$C$47),0)
),9999),IFERROR(INDEX('TaxCred&amp;Subs'!$N$12:$N$47,MATCH(1,($C844&amp;$D844='TaxCred&amp;Subs'!$E$12:$E$47)*($F844='TaxCred&amp;Subs'!$C$12:$C$47),0)
),0),0),(IF($M844&gt;=IFERROR(INDEX('TaxCred&amp;Subs'!$H$12:$H$47,MATCH(1,($C844&amp;$D844='TaxCred&amp;Subs'!$D$12:$D$47)*($F844='TaxCred&amp;Subs'!$C$12:$C$47),0)
),9999),IFERROR(INDEX('TaxCred&amp;Subs'!$N$12:$N$47,MATCH(1,($C844&amp;$D844='TaxCred&amp;Subs'!$D$12:$D$47)*($F844='TaxCred&amp;Subs'!$C$12:$C$47),0)
),0),0)))),0)+IF(AND($C844=2,VALUE(RIGHT($AD844,1))&gt;2),(N844-R844)*(IFERROR(INDEX('TaxCred&amp;Subs'!$J$66:$J$99,MATCH(1,($C844&amp;$D844='TaxCred&amp;Subs'!$E$66:$E$99)*($F844='TaxCred&amp;Subs'!$C$66:$C$99),0)),0)),IF(AND($C844=1,VALUE(RIGHT($AD844,1))&gt;2),(N844-R844)*(IFERROR(INDEX('TaxCred&amp;Subs'!$J$66:$J$99,MATCH(1,($C844&amp;$D844='TaxCred&amp;Subs'!$D$66:$D$99)*($F844='TaxCred&amp;Subs'!$C$66:$C$99),0)),0)),IF($C844&gt;2,(N844-R844)*(IFERROR(INDEX('TaxCred&amp;Subs'!$J$66:$J$99,MATCH(1,($C844&amp;$D844='TaxCred&amp;Subs'!$D$66:$D$99)*($F844='TaxCred&amp;Subs'!$C$66:$C$99),0)),0)),0))),0)</f>
        <v>0</v>
      </c>
      <c r="Q844" s="95">
        <f t="array" ref="Q844">ROUND(IF(AND($C844=2,VALUE(RIGHT($AD844,1))&gt;2),(O844-S844)*(IFERROR(INDEX('TaxCred&amp;Subs'!$J$66:$J$99,MATCH(1,($C844&amp;$D844='TaxCred&amp;Subs'!$E$66:$E$99)*($F844='TaxCred&amp;Subs'!$C$66:$C$99),0)),0)),IF(AND($C844=1,VALUE(RIGHT($AD844,1))&gt;2),(O844-S844)*(IFERROR(INDEX('TaxCred&amp;Subs'!$J$66:$J$99,MATCH(1,($C844&amp;$D844='TaxCred&amp;Subs'!$D$66:$D$99)*($F844='TaxCred&amp;Subs'!$C$66:$C$99),0)),0)),IF($C844&gt;2,(O844-S844)*(IFERROR(INDEX('TaxCred&amp;Subs'!$J$66:$J$99,MATCH(1,($C844&amp;$D844='TaxCred&amp;Subs'!$D$66:$D$99)*($F844='TaxCred&amp;Subs'!$C$66:$C$99),0)),0)),0))),0)</f>
        <v>0</v>
      </c>
      <c r="R844" s="172">
        <f t="array" ref="R844">ROUND(IF(IFERROR(VALUE(RIGHT($AD844,1)),0)&gt;2,IF($C844=8,N844*IFERROR(INDEX('TaxCred&amp;Subs'!$K$139:$S$151,MATCH($C844&amp;$D844&amp;LEFT($AD844,7),'TaxCred&amp;Subs'!$E$139:$E$151,0),MATCH($H844,'TaxCred&amp;Subs'!$K$137:$S$137,0)),0),IF($C844=2,N844*IFERROR(INDEX('TaxCred&amp;Subs'!$K$139:$S$151,MATCH($C844&amp;$D844,'TaxCred&amp;Subs'!$D$139:$D$151,0),MATCH($H844,'TaxCred&amp;Subs'!$K$137:$S$137,0)),0),N844*IFERROR(INDEX('TaxCred&amp;Subs'!$K$139:$S$151,MATCH($C844&amp;$D844,'TaxCred&amp;Subs'!$C$139:$C$151,0),MATCH($H844,'TaxCred&amp;Subs'!$K$137:$S$137,0)),0))),0),0)</f>
        <v>44</v>
      </c>
      <c r="S844" s="172">
        <f t="array" ref="S844">ROUND(IF(IFERROR(VALUE(RIGHT($AD844,1)),0)&gt;2,IF($C844=8,O844*IFERROR(INDEX('TaxCred&amp;Subs'!$K$139:$S$151,MATCH($C844&amp;$D844&amp;LEFT($AD844,7),'TaxCred&amp;Subs'!$E$139:$E$151,0),MATCH($H844,'TaxCred&amp;Subs'!$K$137:$S$137,0)),0),IF($C844=2,O844*IFERROR(INDEX('TaxCred&amp;Subs'!$K$139:$S$151,MATCH($C844&amp;$D844,'TaxCred&amp;Subs'!$D$139:$D$151,0),MATCH($H844,'TaxCred&amp;Subs'!$K$137:$S$137,0)),0),O844*IFERROR(INDEX('TaxCred&amp;Subs'!$K$139:$S$151,MATCH($C844&amp;$D844,'TaxCred&amp;Subs'!$C$139:$C$151,0),MATCH($H844,'TaxCred&amp;Subs'!$K$137:$S$137,0)),0))),0),0)</f>
        <v>44</v>
      </c>
      <c r="T844" s="95">
        <f t="shared" si="56"/>
        <v>0</v>
      </c>
      <c r="U844" s="95">
        <f t="shared" si="57"/>
        <v>0</v>
      </c>
      <c r="V844" s="28" t="s">
        <v>222</v>
      </c>
      <c r="W844" s="31">
        <v>2020</v>
      </c>
      <c r="X844" s="28">
        <v>1</v>
      </c>
      <c r="Y844" s="28">
        <v>0</v>
      </c>
      <c r="Z844" s="196">
        <v>-7.8526781139071963E-3</v>
      </c>
      <c r="AA844" s="196">
        <v>-0.12081043252164918</v>
      </c>
      <c r="AB844" s="28">
        <v>0</v>
      </c>
      <c r="AC844" s="28">
        <v>0</v>
      </c>
      <c r="AD844" s="28" t="s">
        <v>390</v>
      </c>
    </row>
    <row r="845" spans="2:31" ht="14.25" customHeight="1" x14ac:dyDescent="0.2">
      <c r="B845" s="7">
        <f t="shared" si="58"/>
        <v>821</v>
      </c>
      <c r="C845" s="28">
        <v>8</v>
      </c>
      <c r="D845" s="28">
        <v>1</v>
      </c>
      <c r="E845" s="28">
        <v>8</v>
      </c>
      <c r="F845" s="96">
        <v>2020</v>
      </c>
      <c r="G845" s="96">
        <v>2029</v>
      </c>
      <c r="H845" s="28">
        <v>6</v>
      </c>
      <c r="I845" s="28">
        <v>0</v>
      </c>
      <c r="J845" s="28">
        <v>0</v>
      </c>
      <c r="K845" s="28">
        <v>0</v>
      </c>
      <c r="L845" s="28">
        <v>0</v>
      </c>
      <c r="M845" s="151">
        <v>610</v>
      </c>
      <c r="N845" s="151">
        <v>1470</v>
      </c>
      <c r="O845" s="151">
        <v>1470</v>
      </c>
      <c r="P845" s="95">
        <f t="array" ref="P845">ROUND(IF($F845&lt;='TaxCred&amp;Subs'!$C$49,(IF($C845=2,IF($M845&gt;=IFERROR(INDEX('TaxCred&amp;Subs'!$L$12:$L$47,MATCH(1,($C845&amp;$D845='TaxCred&amp;Subs'!$E$12:$E$47)*($F845='TaxCred&amp;Subs'!$C$12:$C$47),0)
),9999),IFERROR(INDEX('TaxCred&amp;Subs'!$N$12:$N$47,MATCH(1,($C845&amp;$D845='TaxCred&amp;Subs'!$E$12:$E$47)*($F845='TaxCred&amp;Subs'!$C$12:$C$47),0)
),0),0),(IF($M845&gt;=IFERROR(INDEX('TaxCred&amp;Subs'!$H$12:$H$47,MATCH(1,($C845&amp;$D845='TaxCred&amp;Subs'!$D$12:$D$47)*($F845='TaxCred&amp;Subs'!$C$12:$C$47),0)
),9999),IFERROR(INDEX('TaxCred&amp;Subs'!$N$12:$N$47,MATCH(1,($C845&amp;$D845='TaxCred&amp;Subs'!$D$12:$D$47)*($F845='TaxCred&amp;Subs'!$C$12:$C$47),0)
),0),0)))),0)+IF(AND($C845=2,VALUE(RIGHT($AD845,1))&gt;2),(N845-R845)*(IFERROR(INDEX('TaxCred&amp;Subs'!$J$66:$J$99,MATCH(1,($C845&amp;$D845='TaxCred&amp;Subs'!$E$66:$E$99)*($F845='TaxCred&amp;Subs'!$C$66:$C$99),0)),0)),IF(AND($C845=1,VALUE(RIGHT($AD845,1))&gt;2),(N845-R845)*(IFERROR(INDEX('TaxCred&amp;Subs'!$J$66:$J$99,MATCH(1,($C845&amp;$D845='TaxCred&amp;Subs'!$D$66:$D$99)*($F845='TaxCred&amp;Subs'!$C$66:$C$99),0)),0)),IF($C845&gt;2,(N845-R845)*(IFERROR(INDEX('TaxCred&amp;Subs'!$J$66:$J$99,MATCH(1,($C845&amp;$D845='TaxCred&amp;Subs'!$D$66:$D$99)*($F845='TaxCred&amp;Subs'!$C$66:$C$99),0)),0)),0))),0)</f>
        <v>0</v>
      </c>
      <c r="Q845" s="95">
        <f t="array" ref="Q845">ROUND(IF(AND($C845=2,VALUE(RIGHT($AD845,1))&gt;2),(O845-S845)*(IFERROR(INDEX('TaxCred&amp;Subs'!$J$66:$J$99,MATCH(1,($C845&amp;$D845='TaxCred&amp;Subs'!$E$66:$E$99)*($F845='TaxCred&amp;Subs'!$C$66:$C$99),0)),0)),IF(AND($C845=1,VALUE(RIGHT($AD845,1))&gt;2),(O845-S845)*(IFERROR(INDEX('TaxCred&amp;Subs'!$J$66:$J$99,MATCH(1,($C845&amp;$D845='TaxCred&amp;Subs'!$D$66:$D$99)*($F845='TaxCred&amp;Subs'!$C$66:$C$99),0)),0)),IF($C845&gt;2,(O845-S845)*(IFERROR(INDEX('TaxCred&amp;Subs'!$J$66:$J$99,MATCH(1,($C845&amp;$D845='TaxCred&amp;Subs'!$D$66:$D$99)*($F845='TaxCred&amp;Subs'!$C$66:$C$99),0)),0)),0))),0)</f>
        <v>0</v>
      </c>
      <c r="R845" s="172">
        <f t="array" ref="R845">ROUND(IF(IFERROR(VALUE(RIGHT($AD845,1)),0)&gt;2,IF($C845=8,N845*IFERROR(INDEX('TaxCred&amp;Subs'!$K$139:$S$151,MATCH($C845&amp;$D845&amp;LEFT($AD845,7),'TaxCred&amp;Subs'!$E$139:$E$151,0),MATCH($H845,'TaxCred&amp;Subs'!$K$137:$S$137,0)),0),IF($C845=2,N845*IFERROR(INDEX('TaxCred&amp;Subs'!$K$139:$S$151,MATCH($C845&amp;$D845,'TaxCred&amp;Subs'!$D$139:$D$151,0),MATCH($H845,'TaxCred&amp;Subs'!$K$137:$S$137,0)),0),N845*IFERROR(INDEX('TaxCred&amp;Subs'!$K$139:$S$151,MATCH($C845&amp;$D845,'TaxCred&amp;Subs'!$C$139:$C$151,0),MATCH($H845,'TaxCred&amp;Subs'!$K$137:$S$137,0)),0))),0),0)</f>
        <v>63</v>
      </c>
      <c r="S845" s="172">
        <f t="array" ref="S845">ROUND(IF(IFERROR(VALUE(RIGHT($AD845,1)),0)&gt;2,IF($C845=8,O845*IFERROR(INDEX('TaxCred&amp;Subs'!$K$139:$S$151,MATCH($C845&amp;$D845&amp;LEFT($AD845,7),'TaxCred&amp;Subs'!$E$139:$E$151,0),MATCH($H845,'TaxCred&amp;Subs'!$K$137:$S$137,0)),0),IF($C845=2,O845*IFERROR(INDEX('TaxCred&amp;Subs'!$K$139:$S$151,MATCH($C845&amp;$D845,'TaxCred&amp;Subs'!$D$139:$D$151,0),MATCH($H845,'TaxCred&amp;Subs'!$K$137:$S$137,0)),0),O845*IFERROR(INDEX('TaxCred&amp;Subs'!$K$139:$S$151,MATCH($C845&amp;$D845,'TaxCred&amp;Subs'!$C$139:$C$151,0),MATCH($H845,'TaxCred&amp;Subs'!$K$137:$S$137,0)),0))),0),0)</f>
        <v>63</v>
      </c>
      <c r="T845" s="95">
        <f t="shared" si="56"/>
        <v>0</v>
      </c>
      <c r="U845" s="95">
        <f t="shared" si="57"/>
        <v>0</v>
      </c>
      <c r="V845" s="28" t="s">
        <v>222</v>
      </c>
      <c r="W845" s="31">
        <v>2020</v>
      </c>
      <c r="X845" s="28">
        <v>1</v>
      </c>
      <c r="Y845" s="28">
        <v>0</v>
      </c>
      <c r="Z845" s="196">
        <v>-7.8526781139071963E-3</v>
      </c>
      <c r="AA845" s="196">
        <v>-0.12081043252164918</v>
      </c>
      <c r="AB845" s="28">
        <v>0</v>
      </c>
      <c r="AC845" s="28">
        <v>0</v>
      </c>
      <c r="AD845" s="28" t="s">
        <v>390</v>
      </c>
    </row>
    <row r="846" spans="2:31" ht="14.25" customHeight="1" x14ac:dyDescent="0.2">
      <c r="B846" s="7">
        <f t="shared" si="58"/>
        <v>822</v>
      </c>
      <c r="C846" s="28">
        <v>8</v>
      </c>
      <c r="D846" s="28">
        <v>1</v>
      </c>
      <c r="E846" s="28">
        <v>8</v>
      </c>
      <c r="F846" s="96">
        <v>2020</v>
      </c>
      <c r="G846" s="96">
        <v>2029</v>
      </c>
      <c r="H846" s="28">
        <v>7</v>
      </c>
      <c r="I846" s="28">
        <v>0</v>
      </c>
      <c r="J846" s="28">
        <v>0</v>
      </c>
      <c r="K846" s="28">
        <v>0</v>
      </c>
      <c r="L846" s="28">
        <v>0</v>
      </c>
      <c r="M846" s="151">
        <v>610</v>
      </c>
      <c r="N846" s="151">
        <v>1470</v>
      </c>
      <c r="O846" s="151">
        <v>1470</v>
      </c>
      <c r="P846" s="95">
        <f t="array" ref="P846">ROUND(IF($F846&lt;='TaxCred&amp;Subs'!$C$49,(IF($C846=2,IF($M846&gt;=IFERROR(INDEX('TaxCred&amp;Subs'!$L$12:$L$47,MATCH(1,($C846&amp;$D846='TaxCred&amp;Subs'!$E$12:$E$47)*($F846='TaxCred&amp;Subs'!$C$12:$C$47),0)
),9999),IFERROR(INDEX('TaxCred&amp;Subs'!$N$12:$N$47,MATCH(1,($C846&amp;$D846='TaxCred&amp;Subs'!$E$12:$E$47)*($F846='TaxCred&amp;Subs'!$C$12:$C$47),0)
),0),0),(IF($M846&gt;=IFERROR(INDEX('TaxCred&amp;Subs'!$H$12:$H$47,MATCH(1,($C846&amp;$D846='TaxCred&amp;Subs'!$D$12:$D$47)*($F846='TaxCred&amp;Subs'!$C$12:$C$47),0)
),9999),IFERROR(INDEX('TaxCred&amp;Subs'!$N$12:$N$47,MATCH(1,($C846&amp;$D846='TaxCred&amp;Subs'!$D$12:$D$47)*($F846='TaxCred&amp;Subs'!$C$12:$C$47),0)
),0),0)))),0)+IF(AND($C846=2,VALUE(RIGHT($AD846,1))&gt;2),(N846-R846)*(IFERROR(INDEX('TaxCred&amp;Subs'!$J$66:$J$99,MATCH(1,($C846&amp;$D846='TaxCred&amp;Subs'!$E$66:$E$99)*($F846='TaxCred&amp;Subs'!$C$66:$C$99),0)),0)),IF(AND($C846=1,VALUE(RIGHT($AD846,1))&gt;2),(N846-R846)*(IFERROR(INDEX('TaxCred&amp;Subs'!$J$66:$J$99,MATCH(1,($C846&amp;$D846='TaxCred&amp;Subs'!$D$66:$D$99)*($F846='TaxCred&amp;Subs'!$C$66:$C$99),0)),0)),IF($C846&gt;2,(N846-R846)*(IFERROR(INDEX('TaxCred&amp;Subs'!$J$66:$J$99,MATCH(1,($C846&amp;$D846='TaxCred&amp;Subs'!$D$66:$D$99)*($F846='TaxCred&amp;Subs'!$C$66:$C$99),0)),0)),0))),0)</f>
        <v>0</v>
      </c>
      <c r="Q846" s="95">
        <f t="array" ref="Q846">ROUND(IF(AND($C846=2,VALUE(RIGHT($AD846,1))&gt;2),(O846-S846)*(IFERROR(INDEX('TaxCred&amp;Subs'!$J$66:$J$99,MATCH(1,($C846&amp;$D846='TaxCred&amp;Subs'!$E$66:$E$99)*($F846='TaxCred&amp;Subs'!$C$66:$C$99),0)),0)),IF(AND($C846=1,VALUE(RIGHT($AD846,1))&gt;2),(O846-S846)*(IFERROR(INDEX('TaxCred&amp;Subs'!$J$66:$J$99,MATCH(1,($C846&amp;$D846='TaxCred&amp;Subs'!$D$66:$D$99)*($F846='TaxCred&amp;Subs'!$C$66:$C$99),0)),0)),IF($C846&gt;2,(O846-S846)*(IFERROR(INDEX('TaxCred&amp;Subs'!$J$66:$J$99,MATCH(1,($C846&amp;$D846='TaxCred&amp;Subs'!$D$66:$D$99)*($F846='TaxCred&amp;Subs'!$C$66:$C$99),0)),0)),0))),0)</f>
        <v>0</v>
      </c>
      <c r="R846" s="172">
        <f t="array" ref="R846">ROUND(IF(IFERROR(VALUE(RIGHT($AD846,1)),0)&gt;2,IF($C846=8,N846*IFERROR(INDEX('TaxCred&amp;Subs'!$K$139:$S$151,MATCH($C846&amp;$D846&amp;LEFT($AD846,7),'TaxCred&amp;Subs'!$E$139:$E$151,0),MATCH($H846,'TaxCred&amp;Subs'!$K$137:$S$137,0)),0),IF($C846=2,N846*IFERROR(INDEX('TaxCred&amp;Subs'!$K$139:$S$151,MATCH($C846&amp;$D846,'TaxCred&amp;Subs'!$D$139:$D$151,0),MATCH($H846,'TaxCred&amp;Subs'!$K$137:$S$137,0)),0),N846*IFERROR(INDEX('TaxCred&amp;Subs'!$K$139:$S$151,MATCH($C846&amp;$D846,'TaxCred&amp;Subs'!$C$139:$C$151,0),MATCH($H846,'TaxCred&amp;Subs'!$K$137:$S$137,0)),0))),0),0)</f>
        <v>7</v>
      </c>
      <c r="S846" s="172">
        <f t="array" ref="S846">ROUND(IF(IFERROR(VALUE(RIGHT($AD846,1)),0)&gt;2,IF($C846=8,O846*IFERROR(INDEX('TaxCred&amp;Subs'!$K$139:$S$151,MATCH($C846&amp;$D846&amp;LEFT($AD846,7),'TaxCred&amp;Subs'!$E$139:$E$151,0),MATCH($H846,'TaxCred&amp;Subs'!$K$137:$S$137,0)),0),IF($C846=2,O846*IFERROR(INDEX('TaxCred&amp;Subs'!$K$139:$S$151,MATCH($C846&amp;$D846,'TaxCred&amp;Subs'!$D$139:$D$151,0),MATCH($H846,'TaxCred&amp;Subs'!$K$137:$S$137,0)),0),O846*IFERROR(INDEX('TaxCred&amp;Subs'!$K$139:$S$151,MATCH($C846&amp;$D846,'TaxCred&amp;Subs'!$C$139:$C$151,0),MATCH($H846,'TaxCred&amp;Subs'!$K$137:$S$137,0)),0))),0),0)</f>
        <v>7</v>
      </c>
      <c r="T846" s="95">
        <f t="shared" si="56"/>
        <v>0</v>
      </c>
      <c r="U846" s="95">
        <f t="shared" si="57"/>
        <v>0</v>
      </c>
      <c r="V846" s="28" t="s">
        <v>222</v>
      </c>
      <c r="W846" s="31">
        <v>2020</v>
      </c>
      <c r="X846" s="28">
        <v>1</v>
      </c>
      <c r="Y846" s="28">
        <v>0</v>
      </c>
      <c r="Z846" s="196">
        <v>-7.8526781139071963E-3</v>
      </c>
      <c r="AA846" s="196">
        <v>-0.12081043252164918</v>
      </c>
      <c r="AB846" s="28">
        <v>0</v>
      </c>
      <c r="AC846" s="28">
        <v>0</v>
      </c>
      <c r="AD846" s="28" t="s">
        <v>390</v>
      </c>
    </row>
    <row r="847" spans="2:31" ht="14.25" customHeight="1" x14ac:dyDescent="0.2">
      <c r="B847" s="7">
        <f t="shared" si="58"/>
        <v>823</v>
      </c>
      <c r="C847" s="28">
        <v>8</v>
      </c>
      <c r="D847" s="28">
        <v>1</v>
      </c>
      <c r="E847" s="28">
        <v>8</v>
      </c>
      <c r="F847" s="96">
        <v>2020</v>
      </c>
      <c r="G847" s="96">
        <v>2029</v>
      </c>
      <c r="H847" s="28">
        <v>8</v>
      </c>
      <c r="I847" s="28">
        <v>0</v>
      </c>
      <c r="J847" s="28">
        <v>0</v>
      </c>
      <c r="K847" s="28">
        <v>0</v>
      </c>
      <c r="L847" s="28">
        <v>0</v>
      </c>
      <c r="M847" s="151">
        <v>610</v>
      </c>
      <c r="N847" s="151">
        <v>1470</v>
      </c>
      <c r="O847" s="151">
        <v>1470</v>
      </c>
      <c r="P847" s="95">
        <f t="array" ref="P847">ROUND(IF($F847&lt;='TaxCred&amp;Subs'!$C$49,(IF($C847=2,IF($M847&gt;=IFERROR(INDEX('TaxCred&amp;Subs'!$L$12:$L$47,MATCH(1,($C847&amp;$D847='TaxCred&amp;Subs'!$E$12:$E$47)*($F847='TaxCred&amp;Subs'!$C$12:$C$47),0)
),9999),IFERROR(INDEX('TaxCred&amp;Subs'!$N$12:$N$47,MATCH(1,($C847&amp;$D847='TaxCred&amp;Subs'!$E$12:$E$47)*($F847='TaxCred&amp;Subs'!$C$12:$C$47),0)
),0),0),(IF($M847&gt;=IFERROR(INDEX('TaxCred&amp;Subs'!$H$12:$H$47,MATCH(1,($C847&amp;$D847='TaxCred&amp;Subs'!$D$12:$D$47)*($F847='TaxCred&amp;Subs'!$C$12:$C$47),0)
),9999),IFERROR(INDEX('TaxCred&amp;Subs'!$N$12:$N$47,MATCH(1,($C847&amp;$D847='TaxCred&amp;Subs'!$D$12:$D$47)*($F847='TaxCred&amp;Subs'!$C$12:$C$47),0)
),0),0)))),0)+IF(AND($C847=2,VALUE(RIGHT($AD847,1))&gt;2),(N847-R847)*(IFERROR(INDEX('TaxCred&amp;Subs'!$J$66:$J$99,MATCH(1,($C847&amp;$D847='TaxCred&amp;Subs'!$E$66:$E$99)*($F847='TaxCred&amp;Subs'!$C$66:$C$99),0)),0)),IF(AND($C847=1,VALUE(RIGHT($AD847,1))&gt;2),(N847-R847)*(IFERROR(INDEX('TaxCred&amp;Subs'!$J$66:$J$99,MATCH(1,($C847&amp;$D847='TaxCred&amp;Subs'!$D$66:$D$99)*($F847='TaxCred&amp;Subs'!$C$66:$C$99),0)),0)),IF($C847&gt;2,(N847-R847)*(IFERROR(INDEX('TaxCred&amp;Subs'!$J$66:$J$99,MATCH(1,($C847&amp;$D847='TaxCred&amp;Subs'!$D$66:$D$99)*($F847='TaxCred&amp;Subs'!$C$66:$C$99),0)),0)),0))),0)</f>
        <v>0</v>
      </c>
      <c r="Q847" s="95">
        <f t="array" ref="Q847">ROUND(IF(AND($C847=2,VALUE(RIGHT($AD847,1))&gt;2),(O847-S847)*(IFERROR(INDEX('TaxCred&amp;Subs'!$J$66:$J$99,MATCH(1,($C847&amp;$D847='TaxCred&amp;Subs'!$E$66:$E$99)*($F847='TaxCred&amp;Subs'!$C$66:$C$99),0)),0)),IF(AND($C847=1,VALUE(RIGHT($AD847,1))&gt;2),(O847-S847)*(IFERROR(INDEX('TaxCred&amp;Subs'!$J$66:$J$99,MATCH(1,($C847&amp;$D847='TaxCred&amp;Subs'!$D$66:$D$99)*($F847='TaxCred&amp;Subs'!$C$66:$C$99),0)),0)),IF($C847&gt;2,(O847-S847)*(IFERROR(INDEX('TaxCred&amp;Subs'!$J$66:$J$99,MATCH(1,($C847&amp;$D847='TaxCred&amp;Subs'!$D$66:$D$99)*($F847='TaxCred&amp;Subs'!$C$66:$C$99),0)),0)),0))),0)</f>
        <v>0</v>
      </c>
      <c r="R847" s="172">
        <f t="array" ref="R847">ROUND(IF(IFERROR(VALUE(RIGHT($AD847,1)),0)&gt;2,IF($C847=8,N847*IFERROR(INDEX('TaxCred&amp;Subs'!$K$139:$S$151,MATCH($C847&amp;$D847&amp;LEFT($AD847,7),'TaxCred&amp;Subs'!$E$139:$E$151,0),MATCH($H847,'TaxCred&amp;Subs'!$K$137:$S$137,0)),0),IF($C847=2,N847*IFERROR(INDEX('TaxCred&amp;Subs'!$K$139:$S$151,MATCH($C847&amp;$D847,'TaxCred&amp;Subs'!$D$139:$D$151,0),MATCH($H847,'TaxCred&amp;Subs'!$K$137:$S$137,0)),0),N847*IFERROR(INDEX('TaxCred&amp;Subs'!$K$139:$S$151,MATCH($C847&amp;$D847,'TaxCred&amp;Subs'!$C$139:$C$151,0),MATCH($H847,'TaxCred&amp;Subs'!$K$137:$S$137,0)),0))),0),0)</f>
        <v>29</v>
      </c>
      <c r="S847" s="172">
        <f t="array" ref="S847">ROUND(IF(IFERROR(VALUE(RIGHT($AD847,1)),0)&gt;2,IF($C847=8,O847*IFERROR(INDEX('TaxCred&amp;Subs'!$K$139:$S$151,MATCH($C847&amp;$D847&amp;LEFT($AD847,7),'TaxCred&amp;Subs'!$E$139:$E$151,0),MATCH($H847,'TaxCred&amp;Subs'!$K$137:$S$137,0)),0),IF($C847=2,O847*IFERROR(INDEX('TaxCred&amp;Subs'!$K$139:$S$151,MATCH($C847&amp;$D847,'TaxCred&amp;Subs'!$D$139:$D$151,0),MATCH($H847,'TaxCred&amp;Subs'!$K$137:$S$137,0)),0),O847*IFERROR(INDEX('TaxCred&amp;Subs'!$K$139:$S$151,MATCH($C847&amp;$D847,'TaxCred&amp;Subs'!$C$139:$C$151,0),MATCH($H847,'TaxCred&amp;Subs'!$K$137:$S$137,0)),0))),0),0)</f>
        <v>29</v>
      </c>
      <c r="T847" s="95">
        <f t="shared" si="56"/>
        <v>0</v>
      </c>
      <c r="U847" s="95">
        <f t="shared" si="57"/>
        <v>0</v>
      </c>
      <c r="V847" s="28" t="s">
        <v>222</v>
      </c>
      <c r="W847" s="31">
        <v>2020</v>
      </c>
      <c r="X847" s="28">
        <v>1</v>
      </c>
      <c r="Y847" s="28">
        <v>0</v>
      </c>
      <c r="Z847" s="196">
        <v>-7.8526781139071963E-3</v>
      </c>
      <c r="AA847" s="196">
        <v>-0.12081043252164918</v>
      </c>
      <c r="AB847" s="28">
        <v>0</v>
      </c>
      <c r="AC847" s="28">
        <v>0</v>
      </c>
      <c r="AD847" s="28" t="s">
        <v>390</v>
      </c>
    </row>
    <row r="848" spans="2:31" ht="14.25" customHeight="1" x14ac:dyDescent="0.2">
      <c r="B848" s="7">
        <f t="shared" si="58"/>
        <v>824</v>
      </c>
      <c r="C848" s="28">
        <v>8</v>
      </c>
      <c r="D848" s="28">
        <v>1</v>
      </c>
      <c r="E848" s="28">
        <v>8</v>
      </c>
      <c r="F848" s="96">
        <v>2020</v>
      </c>
      <c r="G848" s="96">
        <v>2029</v>
      </c>
      <c r="H848" s="28">
        <v>9</v>
      </c>
      <c r="I848" s="28">
        <v>0</v>
      </c>
      <c r="J848" s="28">
        <v>0</v>
      </c>
      <c r="K848" s="28">
        <v>0</v>
      </c>
      <c r="L848" s="28">
        <v>0</v>
      </c>
      <c r="M848" s="151">
        <v>610</v>
      </c>
      <c r="N848" s="151">
        <v>1470</v>
      </c>
      <c r="O848" s="151">
        <v>1470</v>
      </c>
      <c r="P848" s="95">
        <f t="array" ref="P848">ROUND(IF($F848&lt;='TaxCred&amp;Subs'!$C$49,(IF($C848=2,IF($M848&gt;=IFERROR(INDEX('TaxCred&amp;Subs'!$L$12:$L$47,MATCH(1,($C848&amp;$D848='TaxCred&amp;Subs'!$E$12:$E$47)*($F848='TaxCred&amp;Subs'!$C$12:$C$47),0)
),9999),IFERROR(INDEX('TaxCred&amp;Subs'!$N$12:$N$47,MATCH(1,($C848&amp;$D848='TaxCred&amp;Subs'!$E$12:$E$47)*($F848='TaxCred&amp;Subs'!$C$12:$C$47),0)
),0),0),(IF($M848&gt;=IFERROR(INDEX('TaxCred&amp;Subs'!$H$12:$H$47,MATCH(1,($C848&amp;$D848='TaxCred&amp;Subs'!$D$12:$D$47)*($F848='TaxCred&amp;Subs'!$C$12:$C$47),0)
),9999),IFERROR(INDEX('TaxCred&amp;Subs'!$N$12:$N$47,MATCH(1,($C848&amp;$D848='TaxCred&amp;Subs'!$D$12:$D$47)*($F848='TaxCred&amp;Subs'!$C$12:$C$47),0)
),0),0)))),0)+IF(AND($C848=2,VALUE(RIGHT($AD848,1))&gt;2),(N848-R848)*(IFERROR(INDEX('TaxCred&amp;Subs'!$J$66:$J$99,MATCH(1,($C848&amp;$D848='TaxCred&amp;Subs'!$E$66:$E$99)*($F848='TaxCred&amp;Subs'!$C$66:$C$99),0)),0)),IF(AND($C848=1,VALUE(RIGHT($AD848,1))&gt;2),(N848-R848)*(IFERROR(INDEX('TaxCred&amp;Subs'!$J$66:$J$99,MATCH(1,($C848&amp;$D848='TaxCred&amp;Subs'!$D$66:$D$99)*($F848='TaxCred&amp;Subs'!$C$66:$C$99),0)),0)),IF($C848&gt;2,(N848-R848)*(IFERROR(INDEX('TaxCred&amp;Subs'!$J$66:$J$99,MATCH(1,($C848&amp;$D848='TaxCred&amp;Subs'!$D$66:$D$99)*($F848='TaxCred&amp;Subs'!$C$66:$C$99),0)),0)),0))),0)</f>
        <v>0</v>
      </c>
      <c r="Q848" s="95">
        <f t="array" ref="Q848">ROUND(IF(AND($C848=2,VALUE(RIGHT($AD848,1))&gt;2),(O848-S848)*(IFERROR(INDEX('TaxCred&amp;Subs'!$J$66:$J$99,MATCH(1,($C848&amp;$D848='TaxCred&amp;Subs'!$E$66:$E$99)*($F848='TaxCred&amp;Subs'!$C$66:$C$99),0)),0)),IF(AND($C848=1,VALUE(RIGHT($AD848,1))&gt;2),(O848-S848)*(IFERROR(INDEX('TaxCred&amp;Subs'!$J$66:$J$99,MATCH(1,($C848&amp;$D848='TaxCred&amp;Subs'!$D$66:$D$99)*($F848='TaxCred&amp;Subs'!$C$66:$C$99),0)),0)),IF($C848&gt;2,(O848-S848)*(IFERROR(INDEX('TaxCred&amp;Subs'!$J$66:$J$99,MATCH(1,($C848&amp;$D848='TaxCred&amp;Subs'!$D$66:$D$99)*($F848='TaxCred&amp;Subs'!$C$66:$C$99),0)),0)),0))),0)</f>
        <v>0</v>
      </c>
      <c r="R848" s="172">
        <f t="array" ref="R848">ROUND(IF(IFERROR(VALUE(RIGHT($AD848,1)),0)&gt;2,IF($C848=8,N848*IFERROR(INDEX('TaxCred&amp;Subs'!$K$139:$S$151,MATCH($C848&amp;$D848&amp;LEFT($AD848,7),'TaxCred&amp;Subs'!$E$139:$E$151,0),MATCH($H848,'TaxCred&amp;Subs'!$K$137:$S$137,0)),0),IF($C848=2,N848*IFERROR(INDEX('TaxCred&amp;Subs'!$K$139:$S$151,MATCH($C848&amp;$D848,'TaxCred&amp;Subs'!$D$139:$D$151,0),MATCH($H848,'TaxCred&amp;Subs'!$K$137:$S$137,0)),0),N848*IFERROR(INDEX('TaxCred&amp;Subs'!$K$139:$S$151,MATCH($C848&amp;$D848,'TaxCred&amp;Subs'!$C$139:$C$151,0),MATCH($H848,'TaxCred&amp;Subs'!$K$137:$S$137,0)),0))),0),0)</f>
        <v>83</v>
      </c>
      <c r="S848" s="172">
        <f t="array" ref="S848">ROUND(IF(IFERROR(VALUE(RIGHT($AD848,1)),0)&gt;2,IF($C848=8,O848*IFERROR(INDEX('TaxCred&amp;Subs'!$K$139:$S$151,MATCH($C848&amp;$D848&amp;LEFT($AD848,7),'TaxCred&amp;Subs'!$E$139:$E$151,0),MATCH($H848,'TaxCred&amp;Subs'!$K$137:$S$137,0)),0),IF($C848=2,O848*IFERROR(INDEX('TaxCred&amp;Subs'!$K$139:$S$151,MATCH($C848&amp;$D848,'TaxCred&amp;Subs'!$D$139:$D$151,0),MATCH($H848,'TaxCred&amp;Subs'!$K$137:$S$137,0)),0),O848*IFERROR(INDEX('TaxCred&amp;Subs'!$K$139:$S$151,MATCH($C848&amp;$D848,'TaxCred&amp;Subs'!$C$139:$C$151,0),MATCH($H848,'TaxCred&amp;Subs'!$K$137:$S$137,0)),0))),0),0)</f>
        <v>83</v>
      </c>
      <c r="T848" s="172">
        <f t="shared" si="56"/>
        <v>220.5</v>
      </c>
      <c r="U848" s="172">
        <f t="shared" si="57"/>
        <v>220.5</v>
      </c>
      <c r="V848" s="28" t="s">
        <v>222</v>
      </c>
      <c r="W848" s="31">
        <v>2020</v>
      </c>
      <c r="X848" s="28">
        <v>1</v>
      </c>
      <c r="Y848" s="28">
        <v>0</v>
      </c>
      <c r="Z848" s="196">
        <v>-7.8526781139071963E-3</v>
      </c>
      <c r="AA848" s="196">
        <v>-0.12081043252164918</v>
      </c>
      <c r="AB848" s="28">
        <v>0</v>
      </c>
      <c r="AC848" s="28">
        <v>0</v>
      </c>
      <c r="AD848" s="28" t="s">
        <v>390</v>
      </c>
    </row>
    <row r="849" spans="2:30" ht="14.25" customHeight="1" x14ac:dyDescent="0.2">
      <c r="B849" s="7">
        <f t="shared" si="58"/>
        <v>825</v>
      </c>
      <c r="C849" s="152">
        <v>8</v>
      </c>
      <c r="D849" s="152">
        <v>1</v>
      </c>
      <c r="E849" s="152">
        <v>8</v>
      </c>
      <c r="F849" s="153">
        <v>2030</v>
      </c>
      <c r="G849" s="152">
        <v>2050</v>
      </c>
      <c r="H849" s="152">
        <v>1</v>
      </c>
      <c r="I849" s="152">
        <v>0</v>
      </c>
      <c r="J849" s="152">
        <v>0</v>
      </c>
      <c r="K849" s="152">
        <v>0</v>
      </c>
      <c r="L849" s="152">
        <v>0</v>
      </c>
      <c r="M849" s="155">
        <v>442.35390000000001</v>
      </c>
      <c r="N849" s="155">
        <v>1663.9217162906614</v>
      </c>
      <c r="O849" s="155">
        <v>1663.9217162906614</v>
      </c>
      <c r="P849" s="41">
        <f t="array" ref="P849">ROUND(IF($F849&lt;='TaxCred&amp;Subs'!$C$49,(IF($C849=2,IF($M849&gt;=IFERROR(INDEX('TaxCred&amp;Subs'!$L$12:$L$47,MATCH(1,($C849&amp;$D849='TaxCred&amp;Subs'!$E$12:$E$47)*($F849='TaxCred&amp;Subs'!$C$12:$C$47),0)
),9999),IFERROR(INDEX('TaxCred&amp;Subs'!$N$12:$N$47,MATCH(1,($C849&amp;$D849='TaxCred&amp;Subs'!$E$12:$E$47)*($F849='TaxCred&amp;Subs'!$C$12:$C$47),0)
),0),0),(IF($M849&gt;=IFERROR(INDEX('TaxCred&amp;Subs'!$H$12:$H$47,MATCH(1,($C849&amp;$D849='TaxCred&amp;Subs'!$D$12:$D$47)*($F849='TaxCred&amp;Subs'!$C$12:$C$47),0)
),9999),IFERROR(INDEX('TaxCred&amp;Subs'!$N$12:$N$47,MATCH(1,($C849&amp;$D849='TaxCred&amp;Subs'!$D$12:$D$47)*($F849='TaxCred&amp;Subs'!$C$12:$C$47),0)
),0),0)))),0)+IF(AND($C849=2,VALUE(RIGHT($AD849,1))&gt;2),(N849-R849)*(IFERROR(INDEX('TaxCred&amp;Subs'!$J$66:$J$99,MATCH(1,($C849&amp;$D849='TaxCred&amp;Subs'!$E$66:$E$99)*($F849='TaxCred&amp;Subs'!$C$66:$C$99),0)),0)),IF(AND($C849=1,VALUE(RIGHT($AD849,1))&gt;2),(N849-R849)*(IFERROR(INDEX('TaxCred&amp;Subs'!$J$66:$J$99,MATCH(1,($C849&amp;$D849='TaxCred&amp;Subs'!$D$66:$D$99)*($F849='TaxCred&amp;Subs'!$C$66:$C$99),0)),0)),IF($C849&gt;2,(N849-R849)*(IFERROR(INDEX('TaxCred&amp;Subs'!$J$66:$J$99,MATCH(1,($C849&amp;$D849='TaxCred&amp;Subs'!$D$66:$D$99)*($F849='TaxCred&amp;Subs'!$C$66:$C$99),0)),0)),0))),0)</f>
        <v>0</v>
      </c>
      <c r="Q849" s="41">
        <f t="array" ref="Q849">ROUND(IF(AND($C849=2,VALUE(RIGHT($AD849,1))&gt;2),(O849-S849)*(IFERROR(INDEX('TaxCred&amp;Subs'!$J$66:$J$99,MATCH(1,($C849&amp;$D849='TaxCred&amp;Subs'!$E$66:$E$99)*($F849='TaxCred&amp;Subs'!$C$66:$C$99),0)),0)),IF(AND($C849=1,VALUE(RIGHT($AD849,1))&gt;2),(O849-S849)*(IFERROR(INDEX('TaxCred&amp;Subs'!$J$66:$J$99,MATCH(1,($C849&amp;$D849='TaxCred&amp;Subs'!$D$66:$D$99)*($F849='TaxCred&amp;Subs'!$C$66:$C$99),0)),0)),IF($C849&gt;2,(O849-S849)*(IFERROR(INDEX('TaxCred&amp;Subs'!$J$66:$J$99,MATCH(1,($C849&amp;$D849='TaxCred&amp;Subs'!$D$66:$D$99)*($F849='TaxCred&amp;Subs'!$C$66:$C$99),0)),0)),0))),0)</f>
        <v>0</v>
      </c>
      <c r="R849" s="41">
        <f t="array" ref="R849">ROUND(IF(IFERROR(VALUE(RIGHT($AD849,1)),0)&gt;2,IF($C849=8,N849*IFERROR(INDEX('TaxCred&amp;Subs'!$K$139:$S$151,MATCH($C849&amp;$D849&amp;LEFT($AD849,7),'TaxCred&amp;Subs'!$E$139:$E$151,0),MATCH($H849,'TaxCred&amp;Subs'!$K$137:$S$137,0)),0),IF($C849=2,N849*IFERROR(INDEX('TaxCred&amp;Subs'!$K$139:$S$151,MATCH($C849&amp;$D849,'TaxCred&amp;Subs'!$D$139:$D$151,0),MATCH($H849,'TaxCred&amp;Subs'!$K$137:$S$137,0)),0),N849*IFERROR(INDEX('TaxCred&amp;Subs'!$K$139:$S$151,MATCH($C849&amp;$D849,'TaxCred&amp;Subs'!$C$139:$C$151,0),MATCH($H849,'TaxCred&amp;Subs'!$K$137:$S$137,0)),0))),0),0)</f>
        <v>9</v>
      </c>
      <c r="S849" s="41">
        <f t="array" ref="S849">ROUND(IF(IFERROR(VALUE(RIGHT($AD849,1)),0)&gt;2,IF($C849=8,O849*IFERROR(INDEX('TaxCred&amp;Subs'!$K$139:$S$151,MATCH($C849&amp;$D849&amp;LEFT($AD849,7),'TaxCred&amp;Subs'!$E$139:$E$151,0),MATCH($H849,'TaxCred&amp;Subs'!$K$137:$S$137,0)),0),IF($C849=2,O849*IFERROR(INDEX('TaxCred&amp;Subs'!$K$139:$S$151,MATCH($C849&amp;$D849,'TaxCred&amp;Subs'!$D$139:$D$151,0),MATCH($H849,'TaxCred&amp;Subs'!$K$137:$S$137,0)),0),O849*IFERROR(INDEX('TaxCred&amp;Subs'!$K$139:$S$151,MATCH($C849&amp;$D849,'TaxCred&amp;Subs'!$C$139:$C$151,0),MATCH($H849,'TaxCred&amp;Subs'!$K$137:$S$137,0)),0))),0),0)</f>
        <v>9</v>
      </c>
      <c r="T849" s="41">
        <f t="shared" ref="T849:T857" si="73">IF($H849=9,IF(R849&gt;0,(N849-P849)*0.15,0),0)</f>
        <v>0</v>
      </c>
      <c r="U849" s="41">
        <f t="shared" ref="U849:U857" si="74">IF($H849=9,IF(S849&gt;0,(O849-Q849)*0.15,0),0)</f>
        <v>0</v>
      </c>
      <c r="V849" s="152" t="s">
        <v>222</v>
      </c>
      <c r="W849" s="152">
        <v>2020</v>
      </c>
      <c r="X849" s="152">
        <v>1</v>
      </c>
      <c r="Y849" s="152">
        <v>0</v>
      </c>
      <c r="Z849" s="194">
        <v>-7.8526781139071963E-3</v>
      </c>
      <c r="AA849" s="194">
        <v>-0.12081043252164918</v>
      </c>
      <c r="AB849" s="152">
        <v>0</v>
      </c>
      <c r="AC849" s="152">
        <v>0</v>
      </c>
      <c r="AD849" s="152" t="s">
        <v>390</v>
      </c>
    </row>
    <row r="850" spans="2:30" ht="14.25" customHeight="1" x14ac:dyDescent="0.2">
      <c r="B850" s="7">
        <f t="shared" si="58"/>
        <v>826</v>
      </c>
      <c r="C850" s="152">
        <v>8</v>
      </c>
      <c r="D850" s="152">
        <v>1</v>
      </c>
      <c r="E850" s="152">
        <v>8</v>
      </c>
      <c r="F850" s="153">
        <v>2030</v>
      </c>
      <c r="G850" s="152">
        <v>2050</v>
      </c>
      <c r="H850" s="152">
        <v>2</v>
      </c>
      <c r="I850" s="152">
        <v>0</v>
      </c>
      <c r="J850" s="152">
        <v>0</v>
      </c>
      <c r="K850" s="152">
        <v>0</v>
      </c>
      <c r="L850" s="152">
        <v>0</v>
      </c>
      <c r="M850" s="155">
        <v>442.35390000000001</v>
      </c>
      <c r="N850" s="155">
        <v>1663.9217162906614</v>
      </c>
      <c r="O850" s="155">
        <v>1663.9217162906614</v>
      </c>
      <c r="P850" s="41">
        <f t="array" ref="P850">ROUND(IF($F850&lt;='TaxCred&amp;Subs'!$C$49,(IF($C850=2,IF($M850&gt;=IFERROR(INDEX('TaxCred&amp;Subs'!$L$12:$L$47,MATCH(1,($C850&amp;$D850='TaxCred&amp;Subs'!$E$12:$E$47)*($F850='TaxCred&amp;Subs'!$C$12:$C$47),0)
),9999),IFERROR(INDEX('TaxCred&amp;Subs'!$N$12:$N$47,MATCH(1,($C850&amp;$D850='TaxCred&amp;Subs'!$E$12:$E$47)*($F850='TaxCred&amp;Subs'!$C$12:$C$47),0)
),0),0),(IF($M850&gt;=IFERROR(INDEX('TaxCred&amp;Subs'!$H$12:$H$47,MATCH(1,($C850&amp;$D850='TaxCred&amp;Subs'!$D$12:$D$47)*($F850='TaxCred&amp;Subs'!$C$12:$C$47),0)
),9999),IFERROR(INDEX('TaxCred&amp;Subs'!$N$12:$N$47,MATCH(1,($C850&amp;$D850='TaxCred&amp;Subs'!$D$12:$D$47)*($F850='TaxCred&amp;Subs'!$C$12:$C$47),0)
),0),0)))),0)+IF(AND($C850=2,VALUE(RIGHT($AD850,1))&gt;2),(N850-R850)*(IFERROR(INDEX('TaxCred&amp;Subs'!$J$66:$J$99,MATCH(1,($C850&amp;$D850='TaxCred&amp;Subs'!$E$66:$E$99)*($F850='TaxCred&amp;Subs'!$C$66:$C$99),0)),0)),IF(AND($C850=1,VALUE(RIGHT($AD850,1))&gt;2),(N850-R850)*(IFERROR(INDEX('TaxCred&amp;Subs'!$J$66:$J$99,MATCH(1,($C850&amp;$D850='TaxCred&amp;Subs'!$D$66:$D$99)*($F850='TaxCred&amp;Subs'!$C$66:$C$99),0)),0)),IF($C850&gt;2,(N850-R850)*(IFERROR(INDEX('TaxCred&amp;Subs'!$J$66:$J$99,MATCH(1,($C850&amp;$D850='TaxCred&amp;Subs'!$D$66:$D$99)*($F850='TaxCred&amp;Subs'!$C$66:$C$99),0)),0)),0))),0)</f>
        <v>0</v>
      </c>
      <c r="Q850" s="41">
        <f t="array" ref="Q850">ROUND(IF(AND($C850=2,VALUE(RIGHT($AD850,1))&gt;2),(O850-S850)*(IFERROR(INDEX('TaxCred&amp;Subs'!$J$66:$J$99,MATCH(1,($C850&amp;$D850='TaxCred&amp;Subs'!$E$66:$E$99)*($F850='TaxCred&amp;Subs'!$C$66:$C$99),0)),0)),IF(AND($C850=1,VALUE(RIGHT($AD850,1))&gt;2),(O850-S850)*(IFERROR(INDEX('TaxCred&amp;Subs'!$J$66:$J$99,MATCH(1,($C850&amp;$D850='TaxCred&amp;Subs'!$D$66:$D$99)*($F850='TaxCred&amp;Subs'!$C$66:$C$99),0)),0)),IF($C850&gt;2,(O850-S850)*(IFERROR(INDEX('TaxCred&amp;Subs'!$J$66:$J$99,MATCH(1,($C850&amp;$D850='TaxCred&amp;Subs'!$D$66:$D$99)*($F850='TaxCred&amp;Subs'!$C$66:$C$99),0)),0)),0))),0)</f>
        <v>0</v>
      </c>
      <c r="R850" s="41">
        <f t="array" ref="R850">ROUND(IF(IFERROR(VALUE(RIGHT($AD850,1)),0)&gt;2,IF($C850=8,N850*IFERROR(INDEX('TaxCred&amp;Subs'!$K$139:$S$151,MATCH($C850&amp;$D850&amp;LEFT($AD850,7),'TaxCred&amp;Subs'!$E$139:$E$151,0),MATCH($H850,'TaxCred&amp;Subs'!$K$137:$S$137,0)),0),IF($C850=2,N850*IFERROR(INDEX('TaxCred&amp;Subs'!$K$139:$S$151,MATCH($C850&amp;$D850,'TaxCred&amp;Subs'!$D$139:$D$151,0),MATCH($H850,'TaxCred&amp;Subs'!$K$137:$S$137,0)),0),N850*IFERROR(INDEX('TaxCred&amp;Subs'!$K$139:$S$151,MATCH($C850&amp;$D850,'TaxCred&amp;Subs'!$C$139:$C$151,0),MATCH($H850,'TaxCred&amp;Subs'!$K$137:$S$137,0)),0))),0),0)</f>
        <v>44</v>
      </c>
      <c r="S850" s="41">
        <f t="array" ref="S850">ROUND(IF(IFERROR(VALUE(RIGHT($AD850,1)),0)&gt;2,IF($C850=8,O850*IFERROR(INDEX('TaxCred&amp;Subs'!$K$139:$S$151,MATCH($C850&amp;$D850&amp;LEFT($AD850,7),'TaxCred&amp;Subs'!$E$139:$E$151,0),MATCH($H850,'TaxCred&amp;Subs'!$K$137:$S$137,0)),0),IF($C850=2,O850*IFERROR(INDEX('TaxCred&amp;Subs'!$K$139:$S$151,MATCH($C850&amp;$D850,'TaxCred&amp;Subs'!$D$139:$D$151,0),MATCH($H850,'TaxCred&amp;Subs'!$K$137:$S$137,0)),0),O850*IFERROR(INDEX('TaxCred&amp;Subs'!$K$139:$S$151,MATCH($C850&amp;$D850,'TaxCred&amp;Subs'!$C$139:$C$151,0),MATCH($H850,'TaxCred&amp;Subs'!$K$137:$S$137,0)),0))),0),0)</f>
        <v>44</v>
      </c>
      <c r="T850" s="41">
        <f t="shared" si="73"/>
        <v>0</v>
      </c>
      <c r="U850" s="41">
        <f t="shared" si="74"/>
        <v>0</v>
      </c>
      <c r="V850" s="152" t="s">
        <v>222</v>
      </c>
      <c r="W850" s="152">
        <v>2020</v>
      </c>
      <c r="X850" s="152">
        <v>1</v>
      </c>
      <c r="Y850" s="152">
        <v>0</v>
      </c>
      <c r="Z850" s="194">
        <v>-7.8526781139071963E-3</v>
      </c>
      <c r="AA850" s="194">
        <v>-0.12081043252164918</v>
      </c>
      <c r="AB850" s="152">
        <v>0</v>
      </c>
      <c r="AC850" s="152">
        <v>0</v>
      </c>
      <c r="AD850" s="152" t="s">
        <v>390</v>
      </c>
    </row>
    <row r="851" spans="2:30" ht="14.25" customHeight="1" x14ac:dyDescent="0.2">
      <c r="B851" s="7">
        <f t="shared" si="58"/>
        <v>827</v>
      </c>
      <c r="C851" s="152">
        <v>8</v>
      </c>
      <c r="D851" s="152">
        <v>1</v>
      </c>
      <c r="E851" s="152">
        <v>8</v>
      </c>
      <c r="F851" s="153">
        <v>2030</v>
      </c>
      <c r="G851" s="152">
        <v>2050</v>
      </c>
      <c r="H851" s="152">
        <v>3</v>
      </c>
      <c r="I851" s="152">
        <v>0</v>
      </c>
      <c r="J851" s="152">
        <v>0</v>
      </c>
      <c r="K851" s="152">
        <v>0</v>
      </c>
      <c r="L851" s="152">
        <v>0</v>
      </c>
      <c r="M851" s="155">
        <v>442.35390000000001</v>
      </c>
      <c r="N851" s="155">
        <v>1663.9217162906614</v>
      </c>
      <c r="O851" s="155">
        <v>1663.9217162906614</v>
      </c>
      <c r="P851" s="41">
        <f t="array" ref="P851">ROUND(IF($F851&lt;='TaxCred&amp;Subs'!$C$49,(IF($C851=2,IF($M851&gt;=IFERROR(INDEX('TaxCred&amp;Subs'!$L$12:$L$47,MATCH(1,($C851&amp;$D851='TaxCred&amp;Subs'!$E$12:$E$47)*($F851='TaxCred&amp;Subs'!$C$12:$C$47),0)
),9999),IFERROR(INDEX('TaxCred&amp;Subs'!$N$12:$N$47,MATCH(1,($C851&amp;$D851='TaxCred&amp;Subs'!$E$12:$E$47)*($F851='TaxCred&amp;Subs'!$C$12:$C$47),0)
),0),0),(IF($M851&gt;=IFERROR(INDEX('TaxCred&amp;Subs'!$H$12:$H$47,MATCH(1,($C851&amp;$D851='TaxCred&amp;Subs'!$D$12:$D$47)*($F851='TaxCred&amp;Subs'!$C$12:$C$47),0)
),9999),IFERROR(INDEX('TaxCred&amp;Subs'!$N$12:$N$47,MATCH(1,($C851&amp;$D851='TaxCred&amp;Subs'!$D$12:$D$47)*($F851='TaxCred&amp;Subs'!$C$12:$C$47),0)
),0),0)))),0)+IF(AND($C851=2,VALUE(RIGHT($AD851,1))&gt;2),(N851-R851)*(IFERROR(INDEX('TaxCred&amp;Subs'!$J$66:$J$99,MATCH(1,($C851&amp;$D851='TaxCred&amp;Subs'!$E$66:$E$99)*($F851='TaxCred&amp;Subs'!$C$66:$C$99),0)),0)),IF(AND($C851=1,VALUE(RIGHT($AD851,1))&gt;2),(N851-R851)*(IFERROR(INDEX('TaxCred&amp;Subs'!$J$66:$J$99,MATCH(1,($C851&amp;$D851='TaxCred&amp;Subs'!$D$66:$D$99)*($F851='TaxCred&amp;Subs'!$C$66:$C$99),0)),0)),IF($C851&gt;2,(N851-R851)*(IFERROR(INDEX('TaxCred&amp;Subs'!$J$66:$J$99,MATCH(1,($C851&amp;$D851='TaxCred&amp;Subs'!$D$66:$D$99)*($F851='TaxCred&amp;Subs'!$C$66:$C$99),0)),0)),0))),0)</f>
        <v>0</v>
      </c>
      <c r="Q851" s="41">
        <f t="array" ref="Q851">ROUND(IF(AND($C851=2,VALUE(RIGHT($AD851,1))&gt;2),(O851-S851)*(IFERROR(INDEX('TaxCred&amp;Subs'!$J$66:$J$99,MATCH(1,($C851&amp;$D851='TaxCred&amp;Subs'!$E$66:$E$99)*($F851='TaxCred&amp;Subs'!$C$66:$C$99),0)),0)),IF(AND($C851=1,VALUE(RIGHT($AD851,1))&gt;2),(O851-S851)*(IFERROR(INDEX('TaxCred&amp;Subs'!$J$66:$J$99,MATCH(1,($C851&amp;$D851='TaxCred&amp;Subs'!$D$66:$D$99)*($F851='TaxCred&amp;Subs'!$C$66:$C$99),0)),0)),IF($C851&gt;2,(O851-S851)*(IFERROR(INDEX('TaxCred&amp;Subs'!$J$66:$J$99,MATCH(1,($C851&amp;$D851='TaxCred&amp;Subs'!$D$66:$D$99)*($F851='TaxCred&amp;Subs'!$C$66:$C$99),0)),0)),0))),0)</f>
        <v>0</v>
      </c>
      <c r="R851" s="41">
        <f t="array" ref="R851">ROUND(IF(IFERROR(VALUE(RIGHT($AD851,1)),0)&gt;2,IF($C851=8,N851*IFERROR(INDEX('TaxCred&amp;Subs'!$K$139:$S$151,MATCH($C851&amp;$D851&amp;LEFT($AD851,7),'TaxCred&amp;Subs'!$E$139:$E$151,0),MATCH($H851,'TaxCred&amp;Subs'!$K$137:$S$137,0)),0),IF($C851=2,N851*IFERROR(INDEX('TaxCred&amp;Subs'!$K$139:$S$151,MATCH($C851&amp;$D851,'TaxCred&amp;Subs'!$D$139:$D$151,0),MATCH($H851,'TaxCred&amp;Subs'!$K$137:$S$137,0)),0),N851*IFERROR(INDEX('TaxCred&amp;Subs'!$K$139:$S$151,MATCH($C851&amp;$D851,'TaxCred&amp;Subs'!$C$139:$C$151,0),MATCH($H851,'TaxCred&amp;Subs'!$K$137:$S$137,0)),0))),0),0)</f>
        <v>38</v>
      </c>
      <c r="S851" s="41">
        <f t="array" ref="S851">ROUND(IF(IFERROR(VALUE(RIGHT($AD851,1)),0)&gt;2,IF($C851=8,O851*IFERROR(INDEX('TaxCred&amp;Subs'!$K$139:$S$151,MATCH($C851&amp;$D851&amp;LEFT($AD851,7),'TaxCred&amp;Subs'!$E$139:$E$151,0),MATCH($H851,'TaxCred&amp;Subs'!$K$137:$S$137,0)),0),IF($C851=2,O851*IFERROR(INDEX('TaxCred&amp;Subs'!$K$139:$S$151,MATCH($C851&amp;$D851,'TaxCred&amp;Subs'!$D$139:$D$151,0),MATCH($H851,'TaxCred&amp;Subs'!$K$137:$S$137,0)),0),O851*IFERROR(INDEX('TaxCred&amp;Subs'!$K$139:$S$151,MATCH($C851&amp;$D851,'TaxCred&amp;Subs'!$C$139:$C$151,0),MATCH($H851,'TaxCred&amp;Subs'!$K$137:$S$137,0)),0))),0),0)</f>
        <v>38</v>
      </c>
      <c r="T851" s="41">
        <f t="shared" si="73"/>
        <v>0</v>
      </c>
      <c r="U851" s="41">
        <f t="shared" si="74"/>
        <v>0</v>
      </c>
      <c r="V851" s="152" t="s">
        <v>222</v>
      </c>
      <c r="W851" s="152">
        <v>2020</v>
      </c>
      <c r="X851" s="152">
        <v>1</v>
      </c>
      <c r="Y851" s="152">
        <v>0</v>
      </c>
      <c r="Z851" s="194">
        <v>-7.8526781139071963E-3</v>
      </c>
      <c r="AA851" s="194">
        <v>-0.12081043252164918</v>
      </c>
      <c r="AB851" s="152">
        <v>0</v>
      </c>
      <c r="AC851" s="152">
        <v>0</v>
      </c>
      <c r="AD851" s="152" t="s">
        <v>390</v>
      </c>
    </row>
    <row r="852" spans="2:30" ht="14.25" customHeight="1" x14ac:dyDescent="0.2">
      <c r="B852" s="7">
        <f t="shared" si="58"/>
        <v>828</v>
      </c>
      <c r="C852" s="152">
        <v>8</v>
      </c>
      <c r="D852" s="152">
        <v>1</v>
      </c>
      <c r="E852" s="152">
        <v>8</v>
      </c>
      <c r="F852" s="153">
        <v>2030</v>
      </c>
      <c r="G852" s="152">
        <v>2050</v>
      </c>
      <c r="H852" s="152">
        <v>4</v>
      </c>
      <c r="I852" s="152">
        <v>0</v>
      </c>
      <c r="J852" s="152">
        <v>0</v>
      </c>
      <c r="K852" s="152">
        <v>0</v>
      </c>
      <c r="L852" s="152">
        <v>0</v>
      </c>
      <c r="M852" s="155">
        <v>442.35390000000001</v>
      </c>
      <c r="N852" s="155">
        <v>1663.9217162906614</v>
      </c>
      <c r="O852" s="155">
        <v>1663.9217162906614</v>
      </c>
      <c r="P852" s="41">
        <f t="array" ref="P852">ROUND(IF($F852&lt;='TaxCred&amp;Subs'!$C$49,(IF($C852=2,IF($M852&gt;=IFERROR(INDEX('TaxCred&amp;Subs'!$L$12:$L$47,MATCH(1,($C852&amp;$D852='TaxCred&amp;Subs'!$E$12:$E$47)*($F852='TaxCred&amp;Subs'!$C$12:$C$47),0)
),9999),IFERROR(INDEX('TaxCred&amp;Subs'!$N$12:$N$47,MATCH(1,($C852&amp;$D852='TaxCred&amp;Subs'!$E$12:$E$47)*($F852='TaxCred&amp;Subs'!$C$12:$C$47),0)
),0),0),(IF($M852&gt;=IFERROR(INDEX('TaxCred&amp;Subs'!$H$12:$H$47,MATCH(1,($C852&amp;$D852='TaxCred&amp;Subs'!$D$12:$D$47)*($F852='TaxCred&amp;Subs'!$C$12:$C$47),0)
),9999),IFERROR(INDEX('TaxCred&amp;Subs'!$N$12:$N$47,MATCH(1,($C852&amp;$D852='TaxCred&amp;Subs'!$D$12:$D$47)*($F852='TaxCred&amp;Subs'!$C$12:$C$47),0)
),0),0)))),0)+IF(AND($C852=2,VALUE(RIGHT($AD852,1))&gt;2),(N852-R852)*(IFERROR(INDEX('TaxCred&amp;Subs'!$J$66:$J$99,MATCH(1,($C852&amp;$D852='TaxCred&amp;Subs'!$E$66:$E$99)*($F852='TaxCred&amp;Subs'!$C$66:$C$99),0)),0)),IF(AND($C852=1,VALUE(RIGHT($AD852,1))&gt;2),(N852-R852)*(IFERROR(INDEX('TaxCred&amp;Subs'!$J$66:$J$99,MATCH(1,($C852&amp;$D852='TaxCred&amp;Subs'!$D$66:$D$99)*($F852='TaxCred&amp;Subs'!$C$66:$C$99),0)),0)),IF($C852&gt;2,(N852-R852)*(IFERROR(INDEX('TaxCred&amp;Subs'!$J$66:$J$99,MATCH(1,($C852&amp;$D852='TaxCred&amp;Subs'!$D$66:$D$99)*($F852='TaxCred&amp;Subs'!$C$66:$C$99),0)),0)),0))),0)</f>
        <v>0</v>
      </c>
      <c r="Q852" s="41">
        <f t="array" ref="Q852">ROUND(IF(AND($C852=2,VALUE(RIGHT($AD852,1))&gt;2),(O852-S852)*(IFERROR(INDEX('TaxCred&amp;Subs'!$J$66:$J$99,MATCH(1,($C852&amp;$D852='TaxCred&amp;Subs'!$E$66:$E$99)*($F852='TaxCred&amp;Subs'!$C$66:$C$99),0)),0)),IF(AND($C852=1,VALUE(RIGHT($AD852,1))&gt;2),(O852-S852)*(IFERROR(INDEX('TaxCred&amp;Subs'!$J$66:$J$99,MATCH(1,($C852&amp;$D852='TaxCred&amp;Subs'!$D$66:$D$99)*($F852='TaxCred&amp;Subs'!$C$66:$C$99),0)),0)),IF($C852&gt;2,(O852-S852)*(IFERROR(INDEX('TaxCred&amp;Subs'!$J$66:$J$99,MATCH(1,($C852&amp;$D852='TaxCred&amp;Subs'!$D$66:$D$99)*($F852='TaxCred&amp;Subs'!$C$66:$C$99),0)),0)),0))),0)</f>
        <v>0</v>
      </c>
      <c r="R852" s="41">
        <f t="array" ref="R852">ROUND(IF(IFERROR(VALUE(RIGHT($AD852,1)),0)&gt;2,IF($C852=8,N852*IFERROR(INDEX('TaxCred&amp;Subs'!$K$139:$S$151,MATCH($C852&amp;$D852&amp;LEFT($AD852,7),'TaxCred&amp;Subs'!$E$139:$E$151,0),MATCH($H852,'TaxCred&amp;Subs'!$K$137:$S$137,0)),0),IF($C852=2,N852*IFERROR(INDEX('TaxCred&amp;Subs'!$K$139:$S$151,MATCH($C852&amp;$D852,'TaxCred&amp;Subs'!$D$139:$D$151,0),MATCH($H852,'TaxCred&amp;Subs'!$K$137:$S$137,0)),0),N852*IFERROR(INDEX('TaxCred&amp;Subs'!$K$139:$S$151,MATCH($C852&amp;$D852,'TaxCred&amp;Subs'!$C$139:$C$151,0),MATCH($H852,'TaxCred&amp;Subs'!$K$137:$S$137,0)),0))),0),0)</f>
        <v>24</v>
      </c>
      <c r="S852" s="41">
        <f t="array" ref="S852">ROUND(IF(IFERROR(VALUE(RIGHT($AD852,1)),0)&gt;2,IF($C852=8,O852*IFERROR(INDEX('TaxCred&amp;Subs'!$K$139:$S$151,MATCH($C852&amp;$D852&amp;LEFT($AD852,7),'TaxCred&amp;Subs'!$E$139:$E$151,0),MATCH($H852,'TaxCred&amp;Subs'!$K$137:$S$137,0)),0),IF($C852=2,O852*IFERROR(INDEX('TaxCred&amp;Subs'!$K$139:$S$151,MATCH($C852&amp;$D852,'TaxCred&amp;Subs'!$D$139:$D$151,0),MATCH($H852,'TaxCred&amp;Subs'!$K$137:$S$137,0)),0),O852*IFERROR(INDEX('TaxCred&amp;Subs'!$K$139:$S$151,MATCH($C852&amp;$D852,'TaxCred&amp;Subs'!$C$139:$C$151,0),MATCH($H852,'TaxCred&amp;Subs'!$K$137:$S$137,0)),0))),0),0)</f>
        <v>24</v>
      </c>
      <c r="T852" s="41">
        <f t="shared" si="73"/>
        <v>0</v>
      </c>
      <c r="U852" s="41">
        <f t="shared" si="74"/>
        <v>0</v>
      </c>
      <c r="V852" s="152" t="s">
        <v>222</v>
      </c>
      <c r="W852" s="152">
        <v>2020</v>
      </c>
      <c r="X852" s="152">
        <v>1</v>
      </c>
      <c r="Y852" s="152">
        <v>0</v>
      </c>
      <c r="Z852" s="194">
        <v>-7.8526781139071963E-3</v>
      </c>
      <c r="AA852" s="194">
        <v>-0.12081043252164918</v>
      </c>
      <c r="AB852" s="152">
        <v>0</v>
      </c>
      <c r="AC852" s="152">
        <v>0</v>
      </c>
      <c r="AD852" s="152" t="s">
        <v>390</v>
      </c>
    </row>
    <row r="853" spans="2:30" ht="14.25" customHeight="1" x14ac:dyDescent="0.2">
      <c r="B853" s="7">
        <f t="shared" si="58"/>
        <v>829</v>
      </c>
      <c r="C853" s="152">
        <v>8</v>
      </c>
      <c r="D853" s="152">
        <v>1</v>
      </c>
      <c r="E853" s="152">
        <v>8</v>
      </c>
      <c r="F853" s="153">
        <v>2030</v>
      </c>
      <c r="G853" s="152">
        <v>2050</v>
      </c>
      <c r="H853" s="152">
        <v>5</v>
      </c>
      <c r="I853" s="152">
        <v>0</v>
      </c>
      <c r="J853" s="152">
        <v>0</v>
      </c>
      <c r="K853" s="152">
        <v>0</v>
      </c>
      <c r="L853" s="152">
        <v>0</v>
      </c>
      <c r="M853" s="155">
        <v>442.35390000000001</v>
      </c>
      <c r="N853" s="155">
        <v>1663.9217162906614</v>
      </c>
      <c r="O853" s="155">
        <v>1663.9217162906614</v>
      </c>
      <c r="P853" s="41">
        <f t="array" ref="P853">ROUND(IF($F853&lt;='TaxCred&amp;Subs'!$C$49,(IF($C853=2,IF($M853&gt;=IFERROR(INDEX('TaxCred&amp;Subs'!$L$12:$L$47,MATCH(1,($C853&amp;$D853='TaxCred&amp;Subs'!$E$12:$E$47)*($F853='TaxCred&amp;Subs'!$C$12:$C$47),0)
),9999),IFERROR(INDEX('TaxCred&amp;Subs'!$N$12:$N$47,MATCH(1,($C853&amp;$D853='TaxCred&amp;Subs'!$E$12:$E$47)*($F853='TaxCred&amp;Subs'!$C$12:$C$47),0)
),0),0),(IF($M853&gt;=IFERROR(INDEX('TaxCred&amp;Subs'!$H$12:$H$47,MATCH(1,($C853&amp;$D853='TaxCred&amp;Subs'!$D$12:$D$47)*($F853='TaxCred&amp;Subs'!$C$12:$C$47),0)
),9999),IFERROR(INDEX('TaxCred&amp;Subs'!$N$12:$N$47,MATCH(1,($C853&amp;$D853='TaxCred&amp;Subs'!$D$12:$D$47)*($F853='TaxCred&amp;Subs'!$C$12:$C$47),0)
),0),0)))),0)+IF(AND($C853=2,VALUE(RIGHT($AD853,1))&gt;2),(N853-R853)*(IFERROR(INDEX('TaxCred&amp;Subs'!$J$66:$J$99,MATCH(1,($C853&amp;$D853='TaxCred&amp;Subs'!$E$66:$E$99)*($F853='TaxCred&amp;Subs'!$C$66:$C$99),0)),0)),IF(AND($C853=1,VALUE(RIGHT($AD853,1))&gt;2),(N853-R853)*(IFERROR(INDEX('TaxCred&amp;Subs'!$J$66:$J$99,MATCH(1,($C853&amp;$D853='TaxCred&amp;Subs'!$D$66:$D$99)*($F853='TaxCred&amp;Subs'!$C$66:$C$99),0)),0)),IF($C853&gt;2,(N853-R853)*(IFERROR(INDEX('TaxCred&amp;Subs'!$J$66:$J$99,MATCH(1,($C853&amp;$D853='TaxCred&amp;Subs'!$D$66:$D$99)*($F853='TaxCred&amp;Subs'!$C$66:$C$99),0)),0)),0))),0)</f>
        <v>0</v>
      </c>
      <c r="Q853" s="41">
        <f t="array" ref="Q853">ROUND(IF(AND($C853=2,VALUE(RIGHT($AD853,1))&gt;2),(O853-S853)*(IFERROR(INDEX('TaxCred&amp;Subs'!$J$66:$J$99,MATCH(1,($C853&amp;$D853='TaxCred&amp;Subs'!$E$66:$E$99)*($F853='TaxCred&amp;Subs'!$C$66:$C$99),0)),0)),IF(AND($C853=1,VALUE(RIGHT($AD853,1))&gt;2),(O853-S853)*(IFERROR(INDEX('TaxCred&amp;Subs'!$J$66:$J$99,MATCH(1,($C853&amp;$D853='TaxCred&amp;Subs'!$D$66:$D$99)*($F853='TaxCred&amp;Subs'!$C$66:$C$99),0)),0)),IF($C853&gt;2,(O853-S853)*(IFERROR(INDEX('TaxCred&amp;Subs'!$J$66:$J$99,MATCH(1,($C853&amp;$D853='TaxCred&amp;Subs'!$D$66:$D$99)*($F853='TaxCred&amp;Subs'!$C$66:$C$99),0)),0)),0))),0)</f>
        <v>0</v>
      </c>
      <c r="R853" s="41">
        <f t="array" ref="R853">ROUND(IF(IFERROR(VALUE(RIGHT($AD853,1)),0)&gt;2,IF($C853=8,N853*IFERROR(INDEX('TaxCred&amp;Subs'!$K$139:$S$151,MATCH($C853&amp;$D853&amp;LEFT($AD853,7),'TaxCred&amp;Subs'!$E$139:$E$151,0),MATCH($H853,'TaxCred&amp;Subs'!$K$137:$S$137,0)),0),IF($C853=2,N853*IFERROR(INDEX('TaxCred&amp;Subs'!$K$139:$S$151,MATCH($C853&amp;$D853,'TaxCred&amp;Subs'!$D$139:$D$151,0),MATCH($H853,'TaxCred&amp;Subs'!$K$137:$S$137,0)),0),N853*IFERROR(INDEX('TaxCred&amp;Subs'!$K$139:$S$151,MATCH($C853&amp;$D853,'TaxCred&amp;Subs'!$C$139:$C$151,0),MATCH($H853,'TaxCred&amp;Subs'!$K$137:$S$137,0)),0))),0),0)</f>
        <v>49</v>
      </c>
      <c r="S853" s="41">
        <f t="array" ref="S853">ROUND(IF(IFERROR(VALUE(RIGHT($AD853,1)),0)&gt;2,IF($C853=8,O853*IFERROR(INDEX('TaxCred&amp;Subs'!$K$139:$S$151,MATCH($C853&amp;$D853&amp;LEFT($AD853,7),'TaxCred&amp;Subs'!$E$139:$E$151,0),MATCH($H853,'TaxCred&amp;Subs'!$K$137:$S$137,0)),0),IF($C853=2,O853*IFERROR(INDEX('TaxCred&amp;Subs'!$K$139:$S$151,MATCH($C853&amp;$D853,'TaxCred&amp;Subs'!$D$139:$D$151,0),MATCH($H853,'TaxCred&amp;Subs'!$K$137:$S$137,0)),0),O853*IFERROR(INDEX('TaxCred&amp;Subs'!$K$139:$S$151,MATCH($C853&amp;$D853,'TaxCred&amp;Subs'!$C$139:$C$151,0),MATCH($H853,'TaxCred&amp;Subs'!$K$137:$S$137,0)),0))),0),0)</f>
        <v>49</v>
      </c>
      <c r="T853" s="41">
        <f t="shared" si="73"/>
        <v>0</v>
      </c>
      <c r="U853" s="41">
        <f t="shared" si="74"/>
        <v>0</v>
      </c>
      <c r="V853" s="152" t="s">
        <v>222</v>
      </c>
      <c r="W853" s="152">
        <v>2020</v>
      </c>
      <c r="X853" s="152">
        <v>1</v>
      </c>
      <c r="Y853" s="152">
        <v>0</v>
      </c>
      <c r="Z853" s="194">
        <v>-7.8526781139071963E-3</v>
      </c>
      <c r="AA853" s="194">
        <v>-0.12081043252164918</v>
      </c>
      <c r="AB853" s="152">
        <v>0</v>
      </c>
      <c r="AC853" s="152">
        <v>0</v>
      </c>
      <c r="AD853" s="152" t="s">
        <v>390</v>
      </c>
    </row>
    <row r="854" spans="2:30" ht="14.25" customHeight="1" x14ac:dyDescent="0.2">
      <c r="B854" s="7">
        <f t="shared" si="58"/>
        <v>830</v>
      </c>
      <c r="C854" s="152">
        <v>8</v>
      </c>
      <c r="D854" s="152">
        <v>1</v>
      </c>
      <c r="E854" s="152">
        <v>8</v>
      </c>
      <c r="F854" s="153">
        <v>2030</v>
      </c>
      <c r="G854" s="152">
        <v>2050</v>
      </c>
      <c r="H854" s="152">
        <v>6</v>
      </c>
      <c r="I854" s="152">
        <v>0</v>
      </c>
      <c r="J854" s="152">
        <v>0</v>
      </c>
      <c r="K854" s="152">
        <v>0</v>
      </c>
      <c r="L854" s="152">
        <v>0</v>
      </c>
      <c r="M854" s="155">
        <v>442.35390000000001</v>
      </c>
      <c r="N854" s="155">
        <v>1663.9217162906614</v>
      </c>
      <c r="O854" s="155">
        <v>1663.9217162906614</v>
      </c>
      <c r="P854" s="41">
        <f t="array" ref="P854">ROUND(IF($F854&lt;='TaxCred&amp;Subs'!$C$49,(IF($C854=2,IF($M854&gt;=IFERROR(INDEX('TaxCred&amp;Subs'!$L$12:$L$47,MATCH(1,($C854&amp;$D854='TaxCred&amp;Subs'!$E$12:$E$47)*($F854='TaxCred&amp;Subs'!$C$12:$C$47),0)
),9999),IFERROR(INDEX('TaxCred&amp;Subs'!$N$12:$N$47,MATCH(1,($C854&amp;$D854='TaxCred&amp;Subs'!$E$12:$E$47)*($F854='TaxCred&amp;Subs'!$C$12:$C$47),0)
),0),0),(IF($M854&gt;=IFERROR(INDEX('TaxCred&amp;Subs'!$H$12:$H$47,MATCH(1,($C854&amp;$D854='TaxCred&amp;Subs'!$D$12:$D$47)*($F854='TaxCred&amp;Subs'!$C$12:$C$47),0)
),9999),IFERROR(INDEX('TaxCred&amp;Subs'!$N$12:$N$47,MATCH(1,($C854&amp;$D854='TaxCred&amp;Subs'!$D$12:$D$47)*($F854='TaxCred&amp;Subs'!$C$12:$C$47),0)
),0),0)))),0)+IF(AND($C854=2,VALUE(RIGHT($AD854,1))&gt;2),(N854-R854)*(IFERROR(INDEX('TaxCred&amp;Subs'!$J$66:$J$99,MATCH(1,($C854&amp;$D854='TaxCred&amp;Subs'!$E$66:$E$99)*($F854='TaxCred&amp;Subs'!$C$66:$C$99),0)),0)),IF(AND($C854=1,VALUE(RIGHT($AD854,1))&gt;2),(N854-R854)*(IFERROR(INDEX('TaxCred&amp;Subs'!$J$66:$J$99,MATCH(1,($C854&amp;$D854='TaxCred&amp;Subs'!$D$66:$D$99)*($F854='TaxCred&amp;Subs'!$C$66:$C$99),0)),0)),IF($C854&gt;2,(N854-R854)*(IFERROR(INDEX('TaxCred&amp;Subs'!$J$66:$J$99,MATCH(1,($C854&amp;$D854='TaxCred&amp;Subs'!$D$66:$D$99)*($F854='TaxCred&amp;Subs'!$C$66:$C$99),0)),0)),0))),0)</f>
        <v>0</v>
      </c>
      <c r="Q854" s="41">
        <f t="array" ref="Q854">ROUND(IF(AND($C854=2,VALUE(RIGHT($AD854,1))&gt;2),(O854-S854)*(IFERROR(INDEX('TaxCred&amp;Subs'!$J$66:$J$99,MATCH(1,($C854&amp;$D854='TaxCred&amp;Subs'!$E$66:$E$99)*($F854='TaxCred&amp;Subs'!$C$66:$C$99),0)),0)),IF(AND($C854=1,VALUE(RIGHT($AD854,1))&gt;2),(O854-S854)*(IFERROR(INDEX('TaxCred&amp;Subs'!$J$66:$J$99,MATCH(1,($C854&amp;$D854='TaxCred&amp;Subs'!$D$66:$D$99)*($F854='TaxCred&amp;Subs'!$C$66:$C$99),0)),0)),IF($C854&gt;2,(O854-S854)*(IFERROR(INDEX('TaxCred&amp;Subs'!$J$66:$J$99,MATCH(1,($C854&amp;$D854='TaxCred&amp;Subs'!$D$66:$D$99)*($F854='TaxCred&amp;Subs'!$C$66:$C$99),0)),0)),0))),0)</f>
        <v>0</v>
      </c>
      <c r="R854" s="41">
        <f t="array" ref="R854">ROUND(IF(IFERROR(VALUE(RIGHT($AD854,1)),0)&gt;2,IF($C854=8,N854*IFERROR(INDEX('TaxCred&amp;Subs'!$K$139:$S$151,MATCH($C854&amp;$D854&amp;LEFT($AD854,7),'TaxCred&amp;Subs'!$E$139:$E$151,0),MATCH($H854,'TaxCred&amp;Subs'!$K$137:$S$137,0)),0),IF($C854=2,N854*IFERROR(INDEX('TaxCred&amp;Subs'!$K$139:$S$151,MATCH($C854&amp;$D854,'TaxCred&amp;Subs'!$D$139:$D$151,0),MATCH($H854,'TaxCred&amp;Subs'!$K$137:$S$137,0)),0),N854*IFERROR(INDEX('TaxCred&amp;Subs'!$K$139:$S$151,MATCH($C854&amp;$D854,'TaxCred&amp;Subs'!$C$139:$C$151,0),MATCH($H854,'TaxCred&amp;Subs'!$K$137:$S$137,0)),0))),0),0)</f>
        <v>72</v>
      </c>
      <c r="S854" s="41">
        <f t="array" ref="S854">ROUND(IF(IFERROR(VALUE(RIGHT($AD854,1)),0)&gt;2,IF($C854=8,O854*IFERROR(INDEX('TaxCred&amp;Subs'!$K$139:$S$151,MATCH($C854&amp;$D854&amp;LEFT($AD854,7),'TaxCred&amp;Subs'!$E$139:$E$151,0),MATCH($H854,'TaxCred&amp;Subs'!$K$137:$S$137,0)),0),IF($C854=2,O854*IFERROR(INDEX('TaxCred&amp;Subs'!$K$139:$S$151,MATCH($C854&amp;$D854,'TaxCred&amp;Subs'!$D$139:$D$151,0),MATCH($H854,'TaxCred&amp;Subs'!$K$137:$S$137,0)),0),O854*IFERROR(INDEX('TaxCred&amp;Subs'!$K$139:$S$151,MATCH($C854&amp;$D854,'TaxCred&amp;Subs'!$C$139:$C$151,0),MATCH($H854,'TaxCred&amp;Subs'!$K$137:$S$137,0)),0))),0),0)</f>
        <v>72</v>
      </c>
      <c r="T854" s="41">
        <f t="shared" si="73"/>
        <v>0</v>
      </c>
      <c r="U854" s="41">
        <f t="shared" si="74"/>
        <v>0</v>
      </c>
      <c r="V854" s="152" t="s">
        <v>222</v>
      </c>
      <c r="W854" s="152">
        <v>2020</v>
      </c>
      <c r="X854" s="152">
        <v>1</v>
      </c>
      <c r="Y854" s="152">
        <v>0</v>
      </c>
      <c r="Z854" s="194">
        <v>-7.8526781139071963E-3</v>
      </c>
      <c r="AA854" s="194">
        <v>-0.12081043252164918</v>
      </c>
      <c r="AB854" s="152">
        <v>0</v>
      </c>
      <c r="AC854" s="152">
        <v>0</v>
      </c>
      <c r="AD854" s="152" t="s">
        <v>390</v>
      </c>
    </row>
    <row r="855" spans="2:30" ht="14.25" customHeight="1" x14ac:dyDescent="0.2">
      <c r="B855" s="7">
        <f t="shared" si="58"/>
        <v>831</v>
      </c>
      <c r="C855" s="152">
        <v>8</v>
      </c>
      <c r="D855" s="152">
        <v>1</v>
      </c>
      <c r="E855" s="152">
        <v>8</v>
      </c>
      <c r="F855" s="153">
        <v>2030</v>
      </c>
      <c r="G855" s="152">
        <v>2050</v>
      </c>
      <c r="H855" s="152">
        <v>7</v>
      </c>
      <c r="I855" s="152">
        <v>0</v>
      </c>
      <c r="J855" s="152">
        <v>0</v>
      </c>
      <c r="K855" s="152">
        <v>0</v>
      </c>
      <c r="L855" s="152">
        <v>0</v>
      </c>
      <c r="M855" s="155">
        <v>442.35390000000001</v>
      </c>
      <c r="N855" s="155">
        <v>1663.9217162906614</v>
      </c>
      <c r="O855" s="155">
        <v>1663.9217162906614</v>
      </c>
      <c r="P855" s="41">
        <f t="array" ref="P855">ROUND(IF($F855&lt;='TaxCred&amp;Subs'!$C$49,(IF($C855=2,IF($M855&gt;=IFERROR(INDEX('TaxCred&amp;Subs'!$L$12:$L$47,MATCH(1,($C855&amp;$D855='TaxCred&amp;Subs'!$E$12:$E$47)*($F855='TaxCred&amp;Subs'!$C$12:$C$47),0)
),9999),IFERROR(INDEX('TaxCred&amp;Subs'!$N$12:$N$47,MATCH(1,($C855&amp;$D855='TaxCred&amp;Subs'!$E$12:$E$47)*($F855='TaxCred&amp;Subs'!$C$12:$C$47),0)
),0),0),(IF($M855&gt;=IFERROR(INDEX('TaxCred&amp;Subs'!$H$12:$H$47,MATCH(1,($C855&amp;$D855='TaxCred&amp;Subs'!$D$12:$D$47)*($F855='TaxCred&amp;Subs'!$C$12:$C$47),0)
),9999),IFERROR(INDEX('TaxCred&amp;Subs'!$N$12:$N$47,MATCH(1,($C855&amp;$D855='TaxCred&amp;Subs'!$D$12:$D$47)*($F855='TaxCred&amp;Subs'!$C$12:$C$47),0)
),0),0)))),0)+IF(AND($C855=2,VALUE(RIGHT($AD855,1))&gt;2),(N855-R855)*(IFERROR(INDEX('TaxCred&amp;Subs'!$J$66:$J$99,MATCH(1,($C855&amp;$D855='TaxCred&amp;Subs'!$E$66:$E$99)*($F855='TaxCred&amp;Subs'!$C$66:$C$99),0)),0)),IF(AND($C855=1,VALUE(RIGHT($AD855,1))&gt;2),(N855-R855)*(IFERROR(INDEX('TaxCred&amp;Subs'!$J$66:$J$99,MATCH(1,($C855&amp;$D855='TaxCred&amp;Subs'!$D$66:$D$99)*($F855='TaxCred&amp;Subs'!$C$66:$C$99),0)),0)),IF($C855&gt;2,(N855-R855)*(IFERROR(INDEX('TaxCred&amp;Subs'!$J$66:$J$99,MATCH(1,($C855&amp;$D855='TaxCred&amp;Subs'!$D$66:$D$99)*($F855='TaxCred&amp;Subs'!$C$66:$C$99),0)),0)),0))),0)</f>
        <v>0</v>
      </c>
      <c r="Q855" s="41">
        <f t="array" ref="Q855">ROUND(IF(AND($C855=2,VALUE(RIGHT($AD855,1))&gt;2),(O855-S855)*(IFERROR(INDEX('TaxCred&amp;Subs'!$J$66:$J$99,MATCH(1,($C855&amp;$D855='TaxCred&amp;Subs'!$E$66:$E$99)*($F855='TaxCred&amp;Subs'!$C$66:$C$99),0)),0)),IF(AND($C855=1,VALUE(RIGHT($AD855,1))&gt;2),(O855-S855)*(IFERROR(INDEX('TaxCred&amp;Subs'!$J$66:$J$99,MATCH(1,($C855&amp;$D855='TaxCred&amp;Subs'!$D$66:$D$99)*($F855='TaxCred&amp;Subs'!$C$66:$C$99),0)),0)),IF($C855&gt;2,(O855-S855)*(IFERROR(INDEX('TaxCred&amp;Subs'!$J$66:$J$99,MATCH(1,($C855&amp;$D855='TaxCred&amp;Subs'!$D$66:$D$99)*($F855='TaxCred&amp;Subs'!$C$66:$C$99),0)),0)),0))),0)</f>
        <v>0</v>
      </c>
      <c r="R855" s="41">
        <f t="array" ref="R855">ROUND(IF(IFERROR(VALUE(RIGHT($AD855,1)),0)&gt;2,IF($C855=8,N855*IFERROR(INDEX('TaxCred&amp;Subs'!$K$139:$S$151,MATCH($C855&amp;$D855&amp;LEFT($AD855,7),'TaxCred&amp;Subs'!$E$139:$E$151,0),MATCH($H855,'TaxCred&amp;Subs'!$K$137:$S$137,0)),0),IF($C855=2,N855*IFERROR(INDEX('TaxCred&amp;Subs'!$K$139:$S$151,MATCH($C855&amp;$D855,'TaxCred&amp;Subs'!$D$139:$D$151,0),MATCH($H855,'TaxCred&amp;Subs'!$K$137:$S$137,0)),0),N855*IFERROR(INDEX('TaxCred&amp;Subs'!$K$139:$S$151,MATCH($C855&amp;$D855,'TaxCred&amp;Subs'!$C$139:$C$151,0),MATCH($H855,'TaxCred&amp;Subs'!$K$137:$S$137,0)),0))),0),0)</f>
        <v>8</v>
      </c>
      <c r="S855" s="41">
        <f t="array" ref="S855">ROUND(IF(IFERROR(VALUE(RIGHT($AD855,1)),0)&gt;2,IF($C855=8,O855*IFERROR(INDEX('TaxCred&amp;Subs'!$K$139:$S$151,MATCH($C855&amp;$D855&amp;LEFT($AD855,7),'TaxCred&amp;Subs'!$E$139:$E$151,0),MATCH($H855,'TaxCred&amp;Subs'!$K$137:$S$137,0)),0),IF($C855=2,O855*IFERROR(INDEX('TaxCred&amp;Subs'!$K$139:$S$151,MATCH($C855&amp;$D855,'TaxCred&amp;Subs'!$D$139:$D$151,0),MATCH($H855,'TaxCred&amp;Subs'!$K$137:$S$137,0)),0),O855*IFERROR(INDEX('TaxCred&amp;Subs'!$K$139:$S$151,MATCH($C855&amp;$D855,'TaxCred&amp;Subs'!$C$139:$C$151,0),MATCH($H855,'TaxCred&amp;Subs'!$K$137:$S$137,0)),0))),0),0)</f>
        <v>8</v>
      </c>
      <c r="T855" s="41">
        <f t="shared" si="73"/>
        <v>0</v>
      </c>
      <c r="U855" s="41">
        <f t="shared" si="74"/>
        <v>0</v>
      </c>
      <c r="V855" s="152" t="s">
        <v>222</v>
      </c>
      <c r="W855" s="152">
        <v>2020</v>
      </c>
      <c r="X855" s="152">
        <v>1</v>
      </c>
      <c r="Y855" s="152">
        <v>0</v>
      </c>
      <c r="Z855" s="194">
        <v>-7.8526781139071963E-3</v>
      </c>
      <c r="AA855" s="194">
        <v>-0.12081043252164918</v>
      </c>
      <c r="AB855" s="152">
        <v>0</v>
      </c>
      <c r="AC855" s="152">
        <v>0</v>
      </c>
      <c r="AD855" s="152" t="s">
        <v>390</v>
      </c>
    </row>
    <row r="856" spans="2:30" ht="14.25" customHeight="1" x14ac:dyDescent="0.2">
      <c r="B856" s="7">
        <f t="shared" si="58"/>
        <v>832</v>
      </c>
      <c r="C856" s="152">
        <v>8</v>
      </c>
      <c r="D856" s="152">
        <v>1</v>
      </c>
      <c r="E856" s="152">
        <v>8</v>
      </c>
      <c r="F856" s="153">
        <v>2030</v>
      </c>
      <c r="G856" s="152">
        <v>2050</v>
      </c>
      <c r="H856" s="152">
        <v>8</v>
      </c>
      <c r="I856" s="152">
        <v>0</v>
      </c>
      <c r="J856" s="152">
        <v>0</v>
      </c>
      <c r="K856" s="152">
        <v>0</v>
      </c>
      <c r="L856" s="152">
        <v>0</v>
      </c>
      <c r="M856" s="155">
        <v>442.35390000000001</v>
      </c>
      <c r="N856" s="155">
        <v>1663.9217162906614</v>
      </c>
      <c r="O856" s="155">
        <v>1663.9217162906614</v>
      </c>
      <c r="P856" s="41">
        <f t="array" ref="P856">ROUND(IF($F856&lt;='TaxCred&amp;Subs'!$C$49,(IF($C856=2,IF($M856&gt;=IFERROR(INDEX('TaxCred&amp;Subs'!$L$12:$L$47,MATCH(1,($C856&amp;$D856='TaxCred&amp;Subs'!$E$12:$E$47)*($F856='TaxCred&amp;Subs'!$C$12:$C$47),0)
),9999),IFERROR(INDEX('TaxCred&amp;Subs'!$N$12:$N$47,MATCH(1,($C856&amp;$D856='TaxCred&amp;Subs'!$E$12:$E$47)*($F856='TaxCred&amp;Subs'!$C$12:$C$47),0)
),0),0),(IF($M856&gt;=IFERROR(INDEX('TaxCred&amp;Subs'!$H$12:$H$47,MATCH(1,($C856&amp;$D856='TaxCred&amp;Subs'!$D$12:$D$47)*($F856='TaxCred&amp;Subs'!$C$12:$C$47),0)
),9999),IFERROR(INDEX('TaxCred&amp;Subs'!$N$12:$N$47,MATCH(1,($C856&amp;$D856='TaxCred&amp;Subs'!$D$12:$D$47)*($F856='TaxCred&amp;Subs'!$C$12:$C$47),0)
),0),0)))),0)+IF(AND($C856=2,VALUE(RIGHT($AD856,1))&gt;2),(N856-R856)*(IFERROR(INDEX('TaxCred&amp;Subs'!$J$66:$J$99,MATCH(1,($C856&amp;$D856='TaxCred&amp;Subs'!$E$66:$E$99)*($F856='TaxCred&amp;Subs'!$C$66:$C$99),0)),0)),IF(AND($C856=1,VALUE(RIGHT($AD856,1))&gt;2),(N856-R856)*(IFERROR(INDEX('TaxCred&amp;Subs'!$J$66:$J$99,MATCH(1,($C856&amp;$D856='TaxCred&amp;Subs'!$D$66:$D$99)*($F856='TaxCred&amp;Subs'!$C$66:$C$99),0)),0)),IF($C856&gt;2,(N856-R856)*(IFERROR(INDEX('TaxCred&amp;Subs'!$J$66:$J$99,MATCH(1,($C856&amp;$D856='TaxCred&amp;Subs'!$D$66:$D$99)*($F856='TaxCred&amp;Subs'!$C$66:$C$99),0)),0)),0))),0)</f>
        <v>0</v>
      </c>
      <c r="Q856" s="41">
        <f t="array" ref="Q856">ROUND(IF(AND($C856=2,VALUE(RIGHT($AD856,1))&gt;2),(O856-S856)*(IFERROR(INDEX('TaxCred&amp;Subs'!$J$66:$J$99,MATCH(1,($C856&amp;$D856='TaxCred&amp;Subs'!$E$66:$E$99)*($F856='TaxCred&amp;Subs'!$C$66:$C$99),0)),0)),IF(AND($C856=1,VALUE(RIGHT($AD856,1))&gt;2),(O856-S856)*(IFERROR(INDEX('TaxCred&amp;Subs'!$J$66:$J$99,MATCH(1,($C856&amp;$D856='TaxCred&amp;Subs'!$D$66:$D$99)*($F856='TaxCred&amp;Subs'!$C$66:$C$99),0)),0)),IF($C856&gt;2,(O856-S856)*(IFERROR(INDEX('TaxCred&amp;Subs'!$J$66:$J$99,MATCH(1,($C856&amp;$D856='TaxCred&amp;Subs'!$D$66:$D$99)*($F856='TaxCred&amp;Subs'!$C$66:$C$99),0)),0)),0))),0)</f>
        <v>0</v>
      </c>
      <c r="R856" s="41">
        <f t="array" ref="R856">ROUND(IF(IFERROR(VALUE(RIGHT($AD856,1)),0)&gt;2,IF($C856=8,N856*IFERROR(INDEX('TaxCred&amp;Subs'!$K$139:$S$151,MATCH($C856&amp;$D856&amp;LEFT($AD856,7),'TaxCred&amp;Subs'!$E$139:$E$151,0),MATCH($H856,'TaxCred&amp;Subs'!$K$137:$S$137,0)),0),IF($C856=2,N856*IFERROR(INDEX('TaxCred&amp;Subs'!$K$139:$S$151,MATCH($C856&amp;$D856,'TaxCred&amp;Subs'!$D$139:$D$151,0),MATCH($H856,'TaxCred&amp;Subs'!$K$137:$S$137,0)),0),N856*IFERROR(INDEX('TaxCred&amp;Subs'!$K$139:$S$151,MATCH($C856&amp;$D856,'TaxCred&amp;Subs'!$C$139:$C$151,0),MATCH($H856,'TaxCred&amp;Subs'!$K$137:$S$137,0)),0))),0),0)</f>
        <v>33</v>
      </c>
      <c r="S856" s="41">
        <f t="array" ref="S856">ROUND(IF(IFERROR(VALUE(RIGHT($AD856,1)),0)&gt;2,IF($C856=8,O856*IFERROR(INDEX('TaxCred&amp;Subs'!$K$139:$S$151,MATCH($C856&amp;$D856&amp;LEFT($AD856,7),'TaxCred&amp;Subs'!$E$139:$E$151,0),MATCH($H856,'TaxCred&amp;Subs'!$K$137:$S$137,0)),0),IF($C856=2,O856*IFERROR(INDEX('TaxCred&amp;Subs'!$K$139:$S$151,MATCH($C856&amp;$D856,'TaxCred&amp;Subs'!$D$139:$D$151,0),MATCH($H856,'TaxCred&amp;Subs'!$K$137:$S$137,0)),0),O856*IFERROR(INDEX('TaxCred&amp;Subs'!$K$139:$S$151,MATCH($C856&amp;$D856,'TaxCred&amp;Subs'!$C$139:$C$151,0),MATCH($H856,'TaxCred&amp;Subs'!$K$137:$S$137,0)),0))),0),0)</f>
        <v>33</v>
      </c>
      <c r="T856" s="41">
        <f t="shared" si="73"/>
        <v>0</v>
      </c>
      <c r="U856" s="41">
        <f t="shared" si="74"/>
        <v>0</v>
      </c>
      <c r="V856" s="152" t="s">
        <v>222</v>
      </c>
      <c r="W856" s="152">
        <v>2020</v>
      </c>
      <c r="X856" s="152">
        <v>1</v>
      </c>
      <c r="Y856" s="152">
        <v>0</v>
      </c>
      <c r="Z856" s="194">
        <v>-7.8526781139071963E-3</v>
      </c>
      <c r="AA856" s="194">
        <v>-0.12081043252164918</v>
      </c>
      <c r="AB856" s="152">
        <v>0</v>
      </c>
      <c r="AC856" s="152">
        <v>0</v>
      </c>
      <c r="AD856" s="152" t="s">
        <v>390</v>
      </c>
    </row>
    <row r="857" spans="2:30" ht="14.25" customHeight="1" x14ac:dyDescent="0.2">
      <c r="B857" s="7">
        <f t="shared" si="58"/>
        <v>833</v>
      </c>
      <c r="C857" s="152">
        <v>8</v>
      </c>
      <c r="D857" s="152">
        <v>1</v>
      </c>
      <c r="E857" s="152">
        <v>8</v>
      </c>
      <c r="F857" s="153">
        <v>2030</v>
      </c>
      <c r="G857" s="152">
        <v>2050</v>
      </c>
      <c r="H857" s="152">
        <v>9</v>
      </c>
      <c r="I857" s="152">
        <v>0</v>
      </c>
      <c r="J857" s="152">
        <v>0</v>
      </c>
      <c r="K857" s="152">
        <v>0</v>
      </c>
      <c r="L857" s="152">
        <v>0</v>
      </c>
      <c r="M857" s="155">
        <v>442.35390000000001</v>
      </c>
      <c r="N857" s="155">
        <v>1663.9217162906614</v>
      </c>
      <c r="O857" s="155">
        <v>1663.9217162906614</v>
      </c>
      <c r="P857" s="41">
        <f t="array" ref="P857">ROUND(IF($F857&lt;='TaxCred&amp;Subs'!$C$49,(IF($C857=2,IF($M857&gt;=IFERROR(INDEX('TaxCred&amp;Subs'!$L$12:$L$47,MATCH(1,($C857&amp;$D857='TaxCred&amp;Subs'!$E$12:$E$47)*($F857='TaxCred&amp;Subs'!$C$12:$C$47),0)
),9999),IFERROR(INDEX('TaxCred&amp;Subs'!$N$12:$N$47,MATCH(1,($C857&amp;$D857='TaxCred&amp;Subs'!$E$12:$E$47)*($F857='TaxCred&amp;Subs'!$C$12:$C$47),0)
),0),0),(IF($M857&gt;=IFERROR(INDEX('TaxCred&amp;Subs'!$H$12:$H$47,MATCH(1,($C857&amp;$D857='TaxCred&amp;Subs'!$D$12:$D$47)*($F857='TaxCred&amp;Subs'!$C$12:$C$47),0)
),9999),IFERROR(INDEX('TaxCred&amp;Subs'!$N$12:$N$47,MATCH(1,($C857&amp;$D857='TaxCred&amp;Subs'!$D$12:$D$47)*($F857='TaxCred&amp;Subs'!$C$12:$C$47),0)
),0),0)))),0)+IF(AND($C857=2,VALUE(RIGHT($AD857,1))&gt;2),(N857-R857)*(IFERROR(INDEX('TaxCred&amp;Subs'!$J$66:$J$99,MATCH(1,($C857&amp;$D857='TaxCred&amp;Subs'!$E$66:$E$99)*($F857='TaxCred&amp;Subs'!$C$66:$C$99),0)),0)),IF(AND($C857=1,VALUE(RIGHT($AD857,1))&gt;2),(N857-R857)*(IFERROR(INDEX('TaxCred&amp;Subs'!$J$66:$J$99,MATCH(1,($C857&amp;$D857='TaxCred&amp;Subs'!$D$66:$D$99)*($F857='TaxCred&amp;Subs'!$C$66:$C$99),0)),0)),IF($C857&gt;2,(N857-R857)*(IFERROR(INDEX('TaxCred&amp;Subs'!$J$66:$J$99,MATCH(1,($C857&amp;$D857='TaxCred&amp;Subs'!$D$66:$D$99)*($F857='TaxCred&amp;Subs'!$C$66:$C$99),0)),0)),0))),0)</f>
        <v>0</v>
      </c>
      <c r="Q857" s="41">
        <f t="array" ref="Q857">ROUND(IF(AND($C857=2,VALUE(RIGHT($AD857,1))&gt;2),(O857-S857)*(IFERROR(INDEX('TaxCred&amp;Subs'!$J$66:$J$99,MATCH(1,($C857&amp;$D857='TaxCred&amp;Subs'!$E$66:$E$99)*($F857='TaxCred&amp;Subs'!$C$66:$C$99),0)),0)),IF(AND($C857=1,VALUE(RIGHT($AD857,1))&gt;2),(O857-S857)*(IFERROR(INDEX('TaxCred&amp;Subs'!$J$66:$J$99,MATCH(1,($C857&amp;$D857='TaxCred&amp;Subs'!$D$66:$D$99)*($F857='TaxCred&amp;Subs'!$C$66:$C$99),0)),0)),IF($C857&gt;2,(O857-S857)*(IFERROR(INDEX('TaxCred&amp;Subs'!$J$66:$J$99,MATCH(1,($C857&amp;$D857='TaxCred&amp;Subs'!$D$66:$D$99)*($F857='TaxCred&amp;Subs'!$C$66:$C$99),0)),0)),0))),0)</f>
        <v>0</v>
      </c>
      <c r="R857" s="41">
        <f t="array" ref="R857">ROUND(IF(IFERROR(VALUE(RIGHT($AD857,1)),0)&gt;2,IF($C857=8,N857*IFERROR(INDEX('TaxCred&amp;Subs'!$K$139:$S$151,MATCH($C857&amp;$D857&amp;LEFT($AD857,7),'TaxCred&amp;Subs'!$E$139:$E$151,0),MATCH($H857,'TaxCred&amp;Subs'!$K$137:$S$137,0)),0),IF($C857=2,N857*IFERROR(INDEX('TaxCred&amp;Subs'!$K$139:$S$151,MATCH($C857&amp;$D857,'TaxCred&amp;Subs'!$D$139:$D$151,0),MATCH($H857,'TaxCred&amp;Subs'!$K$137:$S$137,0)),0),N857*IFERROR(INDEX('TaxCred&amp;Subs'!$K$139:$S$151,MATCH($C857&amp;$D857,'TaxCred&amp;Subs'!$C$139:$C$151,0),MATCH($H857,'TaxCred&amp;Subs'!$K$137:$S$137,0)),0))),0),0)</f>
        <v>94</v>
      </c>
      <c r="S857" s="41">
        <f t="array" ref="S857">ROUND(IF(IFERROR(VALUE(RIGHT($AD857,1)),0)&gt;2,IF($C857=8,O857*IFERROR(INDEX('TaxCred&amp;Subs'!$K$139:$S$151,MATCH($C857&amp;$D857&amp;LEFT($AD857,7),'TaxCred&amp;Subs'!$E$139:$E$151,0),MATCH($H857,'TaxCred&amp;Subs'!$K$137:$S$137,0)),0),IF($C857=2,O857*IFERROR(INDEX('TaxCred&amp;Subs'!$K$139:$S$151,MATCH($C857&amp;$D857,'TaxCred&amp;Subs'!$D$139:$D$151,0),MATCH($H857,'TaxCred&amp;Subs'!$K$137:$S$137,0)),0),O857*IFERROR(INDEX('TaxCred&amp;Subs'!$K$139:$S$151,MATCH($C857&amp;$D857,'TaxCred&amp;Subs'!$C$139:$C$151,0),MATCH($H857,'TaxCred&amp;Subs'!$K$137:$S$137,0)),0))),0),0)</f>
        <v>94</v>
      </c>
      <c r="T857" s="41">
        <f t="shared" si="73"/>
        <v>249.58825744359919</v>
      </c>
      <c r="U857" s="41">
        <f t="shared" si="74"/>
        <v>249.58825744359919</v>
      </c>
      <c r="V857" s="152" t="s">
        <v>222</v>
      </c>
      <c r="W857" s="152">
        <v>2020</v>
      </c>
      <c r="X857" s="152">
        <v>1</v>
      </c>
      <c r="Y857" s="152">
        <v>0</v>
      </c>
      <c r="Z857" s="194">
        <v>-7.8526781139071963E-3</v>
      </c>
      <c r="AA857" s="194">
        <v>-0.12081043252164918</v>
      </c>
      <c r="AB857" s="152">
        <v>0</v>
      </c>
      <c r="AC857" s="152">
        <v>0</v>
      </c>
      <c r="AD857" s="152" t="s">
        <v>390</v>
      </c>
    </row>
    <row r="858" spans="2:30" ht="14.25" customHeight="1" x14ac:dyDescent="0.2">
      <c r="B858" s="7">
        <f t="shared" si="58"/>
        <v>834</v>
      </c>
      <c r="C858" s="28">
        <v>8</v>
      </c>
      <c r="D858" s="28">
        <v>1</v>
      </c>
      <c r="E858" s="28">
        <v>9</v>
      </c>
      <c r="F858" s="96">
        <v>2020</v>
      </c>
      <c r="G858" s="96">
        <v>2029</v>
      </c>
      <c r="H858" s="28">
        <v>11</v>
      </c>
      <c r="I858" s="28">
        <v>0</v>
      </c>
      <c r="J858" s="28">
        <v>0</v>
      </c>
      <c r="K858" s="28">
        <v>0</v>
      </c>
      <c r="L858" s="28">
        <v>0</v>
      </c>
      <c r="M858" s="151">
        <v>520.71542056074759</v>
      </c>
      <c r="N858" s="151">
        <v>835.50650569714037</v>
      </c>
      <c r="O858" s="151">
        <v>835.50650569714037</v>
      </c>
      <c r="P858" s="95">
        <f t="array" ref="P858">ROUND(IF($F858&lt;='TaxCred&amp;Subs'!$C$49,(IF($C858=2,IF($M858&gt;=IFERROR(INDEX('TaxCred&amp;Subs'!$L$12:$L$47,MATCH(1,($C858&amp;$D858='TaxCred&amp;Subs'!$E$12:$E$47)*($F858='TaxCred&amp;Subs'!$C$12:$C$47),0)
),9999),IFERROR(INDEX('TaxCred&amp;Subs'!$N$12:$N$47,MATCH(1,($C858&amp;$D858='TaxCred&amp;Subs'!$E$12:$E$47)*($F858='TaxCred&amp;Subs'!$C$12:$C$47),0)
),0),0),(IF($M858&gt;=IFERROR(INDEX('TaxCred&amp;Subs'!$H$12:$H$47,MATCH(1,($C858&amp;$D858='TaxCred&amp;Subs'!$D$12:$D$47)*($F858='TaxCred&amp;Subs'!$C$12:$C$47),0)
),9999),IFERROR(INDEX('TaxCred&amp;Subs'!$N$12:$N$47,MATCH(1,($C858&amp;$D858='TaxCred&amp;Subs'!$D$12:$D$47)*($F858='TaxCred&amp;Subs'!$C$12:$C$47),0)
),0),0)))),0)+IF(AND($C858=2,VALUE(RIGHT($AD858,1))&gt;2),(N858-R858)*(IFERROR(INDEX('TaxCred&amp;Subs'!$J$66:$J$99,MATCH(1,($C858&amp;$D858='TaxCred&amp;Subs'!$E$66:$E$99)*($F858='TaxCred&amp;Subs'!$C$66:$C$99),0)),0)),IF(AND($C858=1,VALUE(RIGHT($AD858,1))&gt;2),(N858-R858)*(IFERROR(INDEX('TaxCred&amp;Subs'!$J$66:$J$99,MATCH(1,($C858&amp;$D858='TaxCred&amp;Subs'!$D$66:$D$99)*($F858='TaxCred&amp;Subs'!$C$66:$C$99),0)),0)),IF($C858&gt;2,(N858-R858)*(IFERROR(INDEX('TaxCred&amp;Subs'!$J$66:$J$99,MATCH(1,($C858&amp;$D858='TaxCred&amp;Subs'!$D$66:$D$99)*($F858='TaxCred&amp;Subs'!$C$66:$C$99),0)),0)),0))),0)</f>
        <v>0</v>
      </c>
      <c r="Q858" s="95">
        <f t="array" ref="Q858">ROUND(IF(AND($C858=2,VALUE(RIGHT($AD858,1))&gt;2),(O858-S858)*(IFERROR(INDEX('TaxCred&amp;Subs'!$J$66:$J$99,MATCH(1,($C858&amp;$D858='TaxCred&amp;Subs'!$E$66:$E$99)*($F858='TaxCred&amp;Subs'!$C$66:$C$99),0)),0)),IF(AND($C858=1,VALUE(RIGHT($AD858,1))&gt;2),(O858-S858)*(IFERROR(INDEX('TaxCred&amp;Subs'!$J$66:$J$99,MATCH(1,($C858&amp;$D858='TaxCred&amp;Subs'!$D$66:$D$99)*($F858='TaxCred&amp;Subs'!$C$66:$C$99),0)),0)),IF($C858&gt;2,(O858-S858)*(IFERROR(INDEX('TaxCred&amp;Subs'!$J$66:$J$99,MATCH(1,($C858&amp;$D858='TaxCred&amp;Subs'!$D$66:$D$99)*($F858='TaxCred&amp;Subs'!$C$66:$C$99),0)),0)),0))),0)</f>
        <v>0</v>
      </c>
      <c r="R858" s="95">
        <f t="array" ref="R858">ROUND(IF(IFERROR(VALUE(RIGHT($AD858,1)),0)&gt;2,IF($C858=8,N858*IFERROR(INDEX('TaxCred&amp;Subs'!$K$139:$S$151,MATCH($C858&amp;$D858&amp;LEFT($AD858,7),'TaxCred&amp;Subs'!$E$139:$E$151,0),MATCH($H858,'TaxCred&amp;Subs'!$K$137:$S$137,0)),0),IF($C858=2,N858*IFERROR(INDEX('TaxCred&amp;Subs'!$K$139:$S$151,MATCH($C858&amp;$D858,'TaxCred&amp;Subs'!$D$139:$D$151,0),MATCH($H858,'TaxCred&amp;Subs'!$K$137:$S$137,0)),0),N858*IFERROR(INDEX('TaxCred&amp;Subs'!$K$139:$S$151,MATCH($C858&amp;$D858,'TaxCred&amp;Subs'!$C$139:$C$151,0),MATCH($H858,'TaxCred&amp;Subs'!$K$137:$S$137,0)),0))),0),0)</f>
        <v>0</v>
      </c>
      <c r="S858" s="95">
        <f t="array" ref="S858">ROUND(IF(IFERROR(VALUE(RIGHT($AD858,1)),0)&gt;2,IF($C858=8,O858*IFERROR(INDEX('TaxCred&amp;Subs'!$K$139:$S$151,MATCH($C858&amp;$D858&amp;LEFT($AD858,7),'TaxCred&amp;Subs'!$E$139:$E$151,0),MATCH($H858,'TaxCred&amp;Subs'!$K$137:$S$137,0)),0),IF($C858=2,O858*IFERROR(INDEX('TaxCred&amp;Subs'!$K$139:$S$151,MATCH($C858&amp;$D858,'TaxCred&amp;Subs'!$D$139:$D$151,0),MATCH($H858,'TaxCred&amp;Subs'!$K$137:$S$137,0)),0),O858*IFERROR(INDEX('TaxCred&amp;Subs'!$K$139:$S$151,MATCH($C858&amp;$D858,'TaxCred&amp;Subs'!$C$139:$C$151,0),MATCH($H858,'TaxCred&amp;Subs'!$K$137:$S$137,0)),0))),0),0)</f>
        <v>0</v>
      </c>
      <c r="T858" s="95">
        <f t="shared" si="56"/>
        <v>0</v>
      </c>
      <c r="U858" s="95">
        <f t="shared" si="57"/>
        <v>0</v>
      </c>
      <c r="V858" s="28" t="s">
        <v>222</v>
      </c>
      <c r="W858" s="31">
        <v>2020</v>
      </c>
      <c r="X858" s="28">
        <v>1</v>
      </c>
      <c r="Y858" s="28">
        <v>0</v>
      </c>
      <c r="Z858" s="196">
        <v>-7.7719099144259642E-3</v>
      </c>
      <c r="AA858" s="196">
        <v>-0.11956784483732252</v>
      </c>
      <c r="AB858" s="28">
        <v>0</v>
      </c>
      <c r="AC858" s="28">
        <v>0</v>
      </c>
      <c r="AD858" s="28" t="s">
        <v>391</v>
      </c>
    </row>
    <row r="859" spans="2:30" ht="14.25" customHeight="1" x14ac:dyDescent="0.2">
      <c r="B859" s="7">
        <f t="shared" ref="B859:B889" si="75">B858+1</f>
        <v>835</v>
      </c>
      <c r="C859" s="152">
        <v>8</v>
      </c>
      <c r="D859" s="152">
        <v>1</v>
      </c>
      <c r="E859" s="152">
        <v>9</v>
      </c>
      <c r="F859" s="153">
        <v>2030</v>
      </c>
      <c r="G859" s="152">
        <v>2050</v>
      </c>
      <c r="H859" s="152">
        <v>11</v>
      </c>
      <c r="I859" s="152">
        <v>0</v>
      </c>
      <c r="J859" s="152">
        <v>0</v>
      </c>
      <c r="K859" s="152">
        <v>0</v>
      </c>
      <c r="L859" s="152">
        <v>0</v>
      </c>
      <c r="M859" s="155">
        <v>474.48779999999999</v>
      </c>
      <c r="N859" s="155">
        <v>923.10356884949454</v>
      </c>
      <c r="O859" s="155">
        <v>923.10356884949454</v>
      </c>
      <c r="P859" s="41">
        <f t="array" ref="P859">ROUND(IF($F859&lt;='TaxCred&amp;Subs'!$C$49,(IF($C859=2,IF($M859&gt;=IFERROR(INDEX('TaxCred&amp;Subs'!$L$12:$L$47,MATCH(1,($C859&amp;$D859='TaxCred&amp;Subs'!$E$12:$E$47)*($F859='TaxCred&amp;Subs'!$C$12:$C$47),0)
),9999),IFERROR(INDEX('TaxCred&amp;Subs'!$N$12:$N$47,MATCH(1,($C859&amp;$D859='TaxCred&amp;Subs'!$E$12:$E$47)*($F859='TaxCred&amp;Subs'!$C$12:$C$47),0)
),0),0),(IF($M859&gt;=IFERROR(INDEX('TaxCred&amp;Subs'!$H$12:$H$47,MATCH(1,($C859&amp;$D859='TaxCred&amp;Subs'!$D$12:$D$47)*($F859='TaxCred&amp;Subs'!$C$12:$C$47),0)
),9999),IFERROR(INDEX('TaxCred&amp;Subs'!$N$12:$N$47,MATCH(1,($C859&amp;$D859='TaxCred&amp;Subs'!$D$12:$D$47)*($F859='TaxCred&amp;Subs'!$C$12:$C$47),0)
),0),0)))),0)+IF(AND($C859=2,VALUE(RIGHT($AD859,1))&gt;2),(N859-R859)*(IFERROR(INDEX('TaxCred&amp;Subs'!$J$66:$J$99,MATCH(1,($C859&amp;$D859='TaxCred&amp;Subs'!$E$66:$E$99)*($F859='TaxCred&amp;Subs'!$C$66:$C$99),0)),0)),IF(AND($C859=1,VALUE(RIGHT($AD859,1))&gt;2),(N859-R859)*(IFERROR(INDEX('TaxCred&amp;Subs'!$J$66:$J$99,MATCH(1,($C859&amp;$D859='TaxCred&amp;Subs'!$D$66:$D$99)*($F859='TaxCred&amp;Subs'!$C$66:$C$99),0)),0)),IF($C859&gt;2,(N859-R859)*(IFERROR(INDEX('TaxCred&amp;Subs'!$J$66:$J$99,MATCH(1,($C859&amp;$D859='TaxCred&amp;Subs'!$D$66:$D$99)*($F859='TaxCred&amp;Subs'!$C$66:$C$99),0)),0)),0))),0)</f>
        <v>0</v>
      </c>
      <c r="Q859" s="41">
        <f t="array" ref="Q859">ROUND(IF(AND($C859=2,VALUE(RIGHT($AD859,1))&gt;2),(O859-S859)*(IFERROR(INDEX('TaxCred&amp;Subs'!$J$66:$J$99,MATCH(1,($C859&amp;$D859='TaxCred&amp;Subs'!$E$66:$E$99)*($F859='TaxCred&amp;Subs'!$C$66:$C$99),0)),0)),IF(AND($C859=1,VALUE(RIGHT($AD859,1))&gt;2),(O859-S859)*(IFERROR(INDEX('TaxCred&amp;Subs'!$J$66:$J$99,MATCH(1,($C859&amp;$D859='TaxCred&amp;Subs'!$D$66:$D$99)*($F859='TaxCred&amp;Subs'!$C$66:$C$99),0)),0)),IF($C859&gt;2,(O859-S859)*(IFERROR(INDEX('TaxCred&amp;Subs'!$J$66:$J$99,MATCH(1,($C859&amp;$D859='TaxCred&amp;Subs'!$D$66:$D$99)*($F859='TaxCred&amp;Subs'!$C$66:$C$99),0)),0)),0))),0)</f>
        <v>0</v>
      </c>
      <c r="R859" s="41">
        <f t="array" ref="R859">ROUND(IF(IFERROR(VALUE(RIGHT($AD859,1)),0)&gt;2,IF($C859=8,N859*IFERROR(INDEX('TaxCred&amp;Subs'!$K$139:$S$151,MATCH($C859&amp;$D859&amp;LEFT($AD859,7),'TaxCred&amp;Subs'!$E$139:$E$151,0),MATCH($H859,'TaxCred&amp;Subs'!$K$137:$S$137,0)),0),IF($C859=2,N859*IFERROR(INDEX('TaxCred&amp;Subs'!$K$139:$S$151,MATCH($C859&amp;$D859,'TaxCred&amp;Subs'!$D$139:$D$151,0),MATCH($H859,'TaxCred&amp;Subs'!$K$137:$S$137,0)),0),N859*IFERROR(INDEX('TaxCred&amp;Subs'!$K$139:$S$151,MATCH($C859&amp;$D859,'TaxCred&amp;Subs'!$C$139:$C$151,0),MATCH($H859,'TaxCred&amp;Subs'!$K$137:$S$137,0)),0))),0),0)</f>
        <v>0</v>
      </c>
      <c r="S859" s="41">
        <f t="array" ref="S859">ROUND(IF(IFERROR(VALUE(RIGHT($AD859,1)),0)&gt;2,IF($C859=8,O859*IFERROR(INDEX('TaxCred&amp;Subs'!$K$139:$S$151,MATCH($C859&amp;$D859&amp;LEFT($AD859,7),'TaxCred&amp;Subs'!$E$139:$E$151,0),MATCH($H859,'TaxCred&amp;Subs'!$K$137:$S$137,0)),0),IF($C859=2,O859*IFERROR(INDEX('TaxCred&amp;Subs'!$K$139:$S$151,MATCH($C859&amp;$D859,'TaxCred&amp;Subs'!$D$139:$D$151,0),MATCH($H859,'TaxCred&amp;Subs'!$K$137:$S$137,0)),0),O859*IFERROR(INDEX('TaxCred&amp;Subs'!$K$139:$S$151,MATCH($C859&amp;$D859,'TaxCred&amp;Subs'!$C$139:$C$151,0),MATCH($H859,'TaxCred&amp;Subs'!$K$137:$S$137,0)),0))),0),0)</f>
        <v>0</v>
      </c>
      <c r="T859" s="41">
        <f t="shared" ref="T859" si="76">IF($H859=9,IF(R859&gt;0,(N859-P859)*0.15,0),0)</f>
        <v>0</v>
      </c>
      <c r="U859" s="41">
        <f t="shared" ref="U859" si="77">IF($H859=9,IF(S859&gt;0,(O859-Q859)*0.15,0),0)</f>
        <v>0</v>
      </c>
      <c r="V859" s="152" t="s">
        <v>222</v>
      </c>
      <c r="W859" s="152">
        <v>2020</v>
      </c>
      <c r="X859" s="152">
        <v>1</v>
      </c>
      <c r="Y859" s="152">
        <v>0</v>
      </c>
      <c r="Z859" s="194">
        <v>-7.7719099144259642E-3</v>
      </c>
      <c r="AA859" s="194">
        <v>-0.11956784483732252</v>
      </c>
      <c r="AB859" s="152">
        <v>0</v>
      </c>
      <c r="AC859" s="152">
        <v>0</v>
      </c>
      <c r="AD859" s="152" t="s">
        <v>391</v>
      </c>
    </row>
    <row r="860" spans="2:30" ht="14.25" customHeight="1" x14ac:dyDescent="0.2">
      <c r="B860" s="7">
        <f t="shared" si="75"/>
        <v>836</v>
      </c>
      <c r="C860" s="28">
        <v>8</v>
      </c>
      <c r="D860" s="28">
        <v>1</v>
      </c>
      <c r="E860" s="28">
        <v>10</v>
      </c>
      <c r="F860" s="96">
        <v>2020</v>
      </c>
      <c r="G860" s="28">
        <v>2050</v>
      </c>
      <c r="H860" s="28">
        <v>11</v>
      </c>
      <c r="I860" s="28">
        <v>0</v>
      </c>
      <c r="J860" s="28">
        <v>0</v>
      </c>
      <c r="K860" s="28">
        <v>0</v>
      </c>
      <c r="L860" s="28">
        <v>0</v>
      </c>
      <c r="M860" s="79">
        <v>472.89252336448595</v>
      </c>
      <c r="N860" s="151">
        <v>920</v>
      </c>
      <c r="O860" s="151">
        <v>920</v>
      </c>
      <c r="P860" s="95">
        <f t="array" ref="P860">ROUND(IF($F860&lt;='TaxCred&amp;Subs'!$C$49,(IF($C860=2,IF($M860&gt;=IFERROR(INDEX('TaxCred&amp;Subs'!$L$12:$L$47,MATCH(1,($C860&amp;$D860='TaxCred&amp;Subs'!$E$12:$E$47)*($F860='TaxCred&amp;Subs'!$C$12:$C$47),0)
),9999),IFERROR(INDEX('TaxCred&amp;Subs'!$N$12:$N$47,MATCH(1,($C860&amp;$D860='TaxCred&amp;Subs'!$E$12:$E$47)*($F860='TaxCred&amp;Subs'!$C$12:$C$47),0)
),0),0),(IF($M860&gt;=IFERROR(INDEX('TaxCred&amp;Subs'!$H$12:$H$47,MATCH(1,($C860&amp;$D860='TaxCred&amp;Subs'!$D$12:$D$47)*($F860='TaxCred&amp;Subs'!$C$12:$C$47),0)
),9999),IFERROR(INDEX('TaxCred&amp;Subs'!$N$12:$N$47,MATCH(1,($C860&amp;$D860='TaxCred&amp;Subs'!$D$12:$D$47)*($F860='TaxCred&amp;Subs'!$C$12:$C$47),0)
),0),0)))),0)+IF(AND($C860=2,VALUE(RIGHT($AD860,1))&gt;2),(N860-R860)*(IFERROR(INDEX('TaxCred&amp;Subs'!$J$66:$J$99,MATCH(1,($C860&amp;$D860='TaxCred&amp;Subs'!$E$66:$E$99)*($F860='TaxCred&amp;Subs'!$C$66:$C$99),0)),0)),IF(AND($C860=1,VALUE(RIGHT($AD860,1))&gt;2),(N860-R860)*(IFERROR(INDEX('TaxCred&amp;Subs'!$J$66:$J$99,MATCH(1,($C860&amp;$D860='TaxCred&amp;Subs'!$D$66:$D$99)*($F860='TaxCred&amp;Subs'!$C$66:$C$99),0)),0)),IF($C860&gt;2,(N860-R860)*(IFERROR(INDEX('TaxCred&amp;Subs'!$J$66:$J$99,MATCH(1,($C860&amp;$D860='TaxCred&amp;Subs'!$D$66:$D$99)*($F860='TaxCred&amp;Subs'!$C$66:$C$99),0)),0)),0))),0)</f>
        <v>0</v>
      </c>
      <c r="Q860" s="95">
        <f t="array" ref="Q860">ROUND(IF(AND($C860=2,VALUE(RIGHT($AD860,1))&gt;2),(O860-S860)*(IFERROR(INDEX('TaxCred&amp;Subs'!$J$66:$J$99,MATCH(1,($C860&amp;$D860='TaxCred&amp;Subs'!$E$66:$E$99)*($F860='TaxCred&amp;Subs'!$C$66:$C$99),0)),0)),IF(AND($C860=1,VALUE(RIGHT($AD860,1))&gt;2),(O860-S860)*(IFERROR(INDEX('TaxCred&amp;Subs'!$J$66:$J$99,MATCH(1,($C860&amp;$D860='TaxCred&amp;Subs'!$D$66:$D$99)*($F860='TaxCred&amp;Subs'!$C$66:$C$99),0)),0)),IF($C860&gt;2,(O860-S860)*(IFERROR(INDEX('TaxCred&amp;Subs'!$J$66:$J$99,MATCH(1,($C860&amp;$D860='TaxCred&amp;Subs'!$D$66:$D$99)*($F860='TaxCred&amp;Subs'!$C$66:$C$99),0)),0)),0))),0)</f>
        <v>0</v>
      </c>
      <c r="R860" s="95">
        <f t="array" ref="R860">ROUND(IF(IFERROR(VALUE(RIGHT($AD860,1)),0)&gt;2,IF($C860=8,N860*IFERROR(INDEX('TaxCred&amp;Subs'!$K$139:$S$151,MATCH($C860&amp;$D860&amp;LEFT($AD860,7),'TaxCred&amp;Subs'!$E$139:$E$151,0),MATCH($H860,'TaxCred&amp;Subs'!$K$137:$S$137,0)),0),IF($C860=2,N860*IFERROR(INDEX('TaxCred&amp;Subs'!$K$139:$S$151,MATCH($C860&amp;$D860,'TaxCred&amp;Subs'!$D$139:$D$151,0),MATCH($H860,'TaxCred&amp;Subs'!$K$137:$S$137,0)),0),N860*IFERROR(INDEX('TaxCred&amp;Subs'!$K$139:$S$151,MATCH($C860&amp;$D860,'TaxCred&amp;Subs'!$C$139:$C$151,0),MATCH($H860,'TaxCred&amp;Subs'!$K$137:$S$137,0)),0))),0),0)</f>
        <v>0</v>
      </c>
      <c r="S860" s="95">
        <f t="array" ref="S860">ROUND(IF(IFERROR(VALUE(RIGHT($AD860,1)),0)&gt;2,IF($C860=8,O860*IFERROR(INDEX('TaxCred&amp;Subs'!$K$139:$S$151,MATCH($C860&amp;$D860&amp;LEFT($AD860,7),'TaxCred&amp;Subs'!$E$139:$E$151,0),MATCH($H860,'TaxCred&amp;Subs'!$K$137:$S$137,0)),0),IF($C860=2,O860*IFERROR(INDEX('TaxCred&amp;Subs'!$K$139:$S$151,MATCH($C860&amp;$D860,'TaxCred&amp;Subs'!$D$139:$D$151,0),MATCH($H860,'TaxCred&amp;Subs'!$K$137:$S$137,0)),0),O860*IFERROR(INDEX('TaxCred&amp;Subs'!$K$139:$S$151,MATCH($C860&amp;$D860,'TaxCred&amp;Subs'!$C$139:$C$151,0),MATCH($H860,'TaxCred&amp;Subs'!$K$137:$S$137,0)),0))),0),0)</f>
        <v>0</v>
      </c>
      <c r="T860" s="95">
        <f t="shared" si="56"/>
        <v>0</v>
      </c>
      <c r="U860" s="95">
        <f t="shared" si="57"/>
        <v>0</v>
      </c>
      <c r="V860" s="28" t="s">
        <v>222</v>
      </c>
      <c r="W860" s="31">
        <v>2020</v>
      </c>
      <c r="X860" s="28">
        <v>1</v>
      </c>
      <c r="Y860" s="28">
        <v>0</v>
      </c>
      <c r="Z860" s="196">
        <v>-7.7719099144259642E-3</v>
      </c>
      <c r="AA860" s="196">
        <v>-0.11956784483732252</v>
      </c>
      <c r="AB860" s="28">
        <v>0</v>
      </c>
      <c r="AC860" s="28">
        <v>0</v>
      </c>
      <c r="AD860" s="28" t="s">
        <v>392</v>
      </c>
    </row>
    <row r="861" spans="2:30" ht="14.25" customHeight="1" x14ac:dyDescent="0.2">
      <c r="B861" s="7">
        <f t="shared" si="75"/>
        <v>837</v>
      </c>
      <c r="C861" s="28">
        <v>8</v>
      </c>
      <c r="D861" s="28">
        <v>1</v>
      </c>
      <c r="E861" s="28">
        <v>11</v>
      </c>
      <c r="F861" s="96">
        <v>2020</v>
      </c>
      <c r="G861" s="28">
        <v>2050</v>
      </c>
      <c r="H861" s="28">
        <v>1</v>
      </c>
      <c r="I861" s="28">
        <v>0</v>
      </c>
      <c r="J861" s="28">
        <v>0</v>
      </c>
      <c r="K861" s="28">
        <v>0</v>
      </c>
      <c r="L861" s="28">
        <v>0</v>
      </c>
      <c r="M861" s="151">
        <v>468.64387850467284</v>
      </c>
      <c r="N861" s="151">
        <v>928.34056188571151</v>
      </c>
      <c r="O861" s="151">
        <v>928.34056188571151</v>
      </c>
      <c r="P861" s="95">
        <f t="array" ref="P861">ROUND(IF($F861&lt;='TaxCred&amp;Subs'!$C$49,(IF($C861=2,IF($M861&gt;=IFERROR(INDEX('TaxCred&amp;Subs'!$L$12:$L$47,MATCH(1,($C861&amp;$D861='TaxCred&amp;Subs'!$E$12:$E$47)*($F861='TaxCred&amp;Subs'!$C$12:$C$47),0)
),9999),IFERROR(INDEX('TaxCred&amp;Subs'!$N$12:$N$47,MATCH(1,($C861&amp;$D861='TaxCred&amp;Subs'!$E$12:$E$47)*($F861='TaxCred&amp;Subs'!$C$12:$C$47),0)
),0),0),(IF($M861&gt;=IFERROR(INDEX('TaxCred&amp;Subs'!$H$12:$H$47,MATCH(1,($C861&amp;$D861='TaxCred&amp;Subs'!$D$12:$D$47)*($F861='TaxCred&amp;Subs'!$C$12:$C$47),0)
),9999),IFERROR(INDEX('TaxCred&amp;Subs'!$N$12:$N$47,MATCH(1,($C861&amp;$D861='TaxCred&amp;Subs'!$D$12:$D$47)*($F861='TaxCred&amp;Subs'!$C$12:$C$47),0)
),0),0)))),0)+IF(AND($C861=2,VALUE(RIGHT($AD861,1))&gt;2),(N861-R861)*(IFERROR(INDEX('TaxCred&amp;Subs'!$J$66:$J$99,MATCH(1,($C861&amp;$D861='TaxCred&amp;Subs'!$E$66:$E$99)*($F861='TaxCred&amp;Subs'!$C$66:$C$99),0)),0)),IF(AND($C861=1,VALUE(RIGHT($AD861,1))&gt;2),(N861-R861)*(IFERROR(INDEX('TaxCred&amp;Subs'!$J$66:$J$99,MATCH(1,($C861&amp;$D861='TaxCred&amp;Subs'!$D$66:$D$99)*($F861='TaxCred&amp;Subs'!$C$66:$C$99),0)),0)),IF($C861&gt;2,(N861-R861)*(IFERROR(INDEX('TaxCred&amp;Subs'!$J$66:$J$99,MATCH(1,($C861&amp;$D861='TaxCred&amp;Subs'!$D$66:$D$99)*($F861='TaxCred&amp;Subs'!$C$66:$C$99),0)),0)),0))),0)</f>
        <v>0</v>
      </c>
      <c r="Q861" s="95">
        <f t="array" ref="Q861">ROUND(IF(AND($C861=2,VALUE(RIGHT($AD861,1))&gt;2),(O861-S861)*(IFERROR(INDEX('TaxCred&amp;Subs'!$J$66:$J$99,MATCH(1,($C861&amp;$D861='TaxCred&amp;Subs'!$E$66:$E$99)*($F861='TaxCred&amp;Subs'!$C$66:$C$99),0)),0)),IF(AND($C861=1,VALUE(RIGHT($AD861,1))&gt;2),(O861-S861)*(IFERROR(INDEX('TaxCred&amp;Subs'!$J$66:$J$99,MATCH(1,($C861&amp;$D861='TaxCred&amp;Subs'!$D$66:$D$99)*($F861='TaxCred&amp;Subs'!$C$66:$C$99),0)),0)),IF($C861&gt;2,(O861-S861)*(IFERROR(INDEX('TaxCred&amp;Subs'!$J$66:$J$99,MATCH(1,($C861&amp;$D861='TaxCred&amp;Subs'!$D$66:$D$99)*($F861='TaxCred&amp;Subs'!$C$66:$C$99),0)),0)),0))),0)</f>
        <v>0</v>
      </c>
      <c r="R861" s="172">
        <f t="array" ref="R861">ROUND(IF(IFERROR(VALUE(RIGHT($AD861,1)),0)&gt;2,IF($C861=8,N861*IFERROR(INDEX('TaxCred&amp;Subs'!$K$139:$S$151,MATCH($C861&amp;$D861&amp;LEFT($AD861,7),'TaxCred&amp;Subs'!$E$139:$E$151,0),MATCH($H861,'TaxCred&amp;Subs'!$K$137:$S$137,0)),0),IF($C861=2,N861*IFERROR(INDEX('TaxCred&amp;Subs'!$K$139:$S$151,MATCH($C861&amp;$D861,'TaxCred&amp;Subs'!$D$139:$D$151,0),MATCH($H861,'TaxCred&amp;Subs'!$K$137:$S$137,0)),0),N861*IFERROR(INDEX('TaxCred&amp;Subs'!$K$139:$S$151,MATCH($C861&amp;$D861,'TaxCred&amp;Subs'!$C$139:$C$151,0),MATCH($H861,'TaxCred&amp;Subs'!$K$137:$S$137,0)),0))),0),0)</f>
        <v>8</v>
      </c>
      <c r="S861" s="172">
        <f t="array" ref="S861">ROUND(IF(IFERROR(VALUE(RIGHT($AD861,1)),0)&gt;2,IF($C861=8,O861*IFERROR(INDEX('TaxCred&amp;Subs'!$K$139:$S$151,MATCH($C861&amp;$D861&amp;LEFT($AD861,7),'TaxCred&amp;Subs'!$E$139:$E$151,0),MATCH($H861,'TaxCred&amp;Subs'!$K$137:$S$137,0)),0),IF($C861=2,O861*IFERROR(INDEX('TaxCred&amp;Subs'!$K$139:$S$151,MATCH($C861&amp;$D861,'TaxCred&amp;Subs'!$D$139:$D$151,0),MATCH($H861,'TaxCred&amp;Subs'!$K$137:$S$137,0)),0),O861*IFERROR(INDEX('TaxCred&amp;Subs'!$K$139:$S$151,MATCH($C861&amp;$D861,'TaxCred&amp;Subs'!$C$139:$C$151,0),MATCH($H861,'TaxCred&amp;Subs'!$K$137:$S$137,0)),0))),0),0)</f>
        <v>8</v>
      </c>
      <c r="T861" s="95">
        <f t="shared" si="56"/>
        <v>0</v>
      </c>
      <c r="U861" s="95">
        <f t="shared" si="57"/>
        <v>0</v>
      </c>
      <c r="V861" s="28" t="s">
        <v>222</v>
      </c>
      <c r="W861" s="31">
        <v>2020</v>
      </c>
      <c r="X861" s="28">
        <v>1</v>
      </c>
      <c r="Y861" s="28">
        <v>0</v>
      </c>
      <c r="Z861" s="196">
        <v>-7.8816560546936879E-3</v>
      </c>
      <c r="AA861" s="196">
        <v>-0.12125624699528749</v>
      </c>
      <c r="AB861" s="28">
        <v>0</v>
      </c>
      <c r="AC861" s="28">
        <v>0</v>
      </c>
      <c r="AD861" s="28" t="s">
        <v>393</v>
      </c>
    </row>
    <row r="862" spans="2:30" ht="14.25" customHeight="1" x14ac:dyDescent="0.2">
      <c r="B862" s="7">
        <f t="shared" si="75"/>
        <v>838</v>
      </c>
      <c r="C862" s="28">
        <v>8</v>
      </c>
      <c r="D862" s="28">
        <v>1</v>
      </c>
      <c r="E862" s="28">
        <v>11</v>
      </c>
      <c r="F862" s="96">
        <v>2020</v>
      </c>
      <c r="G862" s="28">
        <v>2050</v>
      </c>
      <c r="H862" s="28">
        <v>2</v>
      </c>
      <c r="I862" s="28">
        <v>0</v>
      </c>
      <c r="J862" s="28">
        <v>0</v>
      </c>
      <c r="K862" s="28">
        <v>0</v>
      </c>
      <c r="L862" s="28">
        <v>0</v>
      </c>
      <c r="M862" s="151">
        <v>468.64387850467284</v>
      </c>
      <c r="N862" s="151">
        <v>928.34056188571151</v>
      </c>
      <c r="O862" s="151">
        <v>928.34056188571151</v>
      </c>
      <c r="P862" s="95">
        <f t="array" ref="P862">ROUND(IF($F862&lt;='TaxCred&amp;Subs'!$C$49,(IF($C862=2,IF($M862&gt;=IFERROR(INDEX('TaxCred&amp;Subs'!$L$12:$L$47,MATCH(1,($C862&amp;$D862='TaxCred&amp;Subs'!$E$12:$E$47)*($F862='TaxCred&amp;Subs'!$C$12:$C$47),0)
),9999),IFERROR(INDEX('TaxCred&amp;Subs'!$N$12:$N$47,MATCH(1,($C862&amp;$D862='TaxCred&amp;Subs'!$E$12:$E$47)*($F862='TaxCred&amp;Subs'!$C$12:$C$47),0)
),0),0),(IF($M862&gt;=IFERROR(INDEX('TaxCred&amp;Subs'!$H$12:$H$47,MATCH(1,($C862&amp;$D862='TaxCred&amp;Subs'!$D$12:$D$47)*($F862='TaxCred&amp;Subs'!$C$12:$C$47),0)
),9999),IFERROR(INDEX('TaxCred&amp;Subs'!$N$12:$N$47,MATCH(1,($C862&amp;$D862='TaxCred&amp;Subs'!$D$12:$D$47)*($F862='TaxCred&amp;Subs'!$C$12:$C$47),0)
),0),0)))),0)+IF(AND($C862=2,VALUE(RIGHT($AD862,1))&gt;2),(N862-R862)*(IFERROR(INDEX('TaxCred&amp;Subs'!$J$66:$J$99,MATCH(1,($C862&amp;$D862='TaxCred&amp;Subs'!$E$66:$E$99)*($F862='TaxCred&amp;Subs'!$C$66:$C$99),0)),0)),IF(AND($C862=1,VALUE(RIGHT($AD862,1))&gt;2),(N862-R862)*(IFERROR(INDEX('TaxCred&amp;Subs'!$J$66:$J$99,MATCH(1,($C862&amp;$D862='TaxCred&amp;Subs'!$D$66:$D$99)*($F862='TaxCred&amp;Subs'!$C$66:$C$99),0)),0)),IF($C862&gt;2,(N862-R862)*(IFERROR(INDEX('TaxCred&amp;Subs'!$J$66:$J$99,MATCH(1,($C862&amp;$D862='TaxCred&amp;Subs'!$D$66:$D$99)*($F862='TaxCred&amp;Subs'!$C$66:$C$99),0)),0)),0))),0)</f>
        <v>0</v>
      </c>
      <c r="Q862" s="95">
        <f t="array" ref="Q862">ROUND(IF(AND($C862=2,VALUE(RIGHT($AD862,1))&gt;2),(O862-S862)*(IFERROR(INDEX('TaxCred&amp;Subs'!$J$66:$J$99,MATCH(1,($C862&amp;$D862='TaxCred&amp;Subs'!$E$66:$E$99)*($F862='TaxCred&amp;Subs'!$C$66:$C$99),0)),0)),IF(AND($C862=1,VALUE(RIGHT($AD862,1))&gt;2),(O862-S862)*(IFERROR(INDEX('TaxCred&amp;Subs'!$J$66:$J$99,MATCH(1,($C862&amp;$D862='TaxCred&amp;Subs'!$D$66:$D$99)*($F862='TaxCred&amp;Subs'!$C$66:$C$99),0)),0)),IF($C862&gt;2,(O862-S862)*(IFERROR(INDEX('TaxCred&amp;Subs'!$J$66:$J$99,MATCH(1,($C862&amp;$D862='TaxCred&amp;Subs'!$D$66:$D$99)*($F862='TaxCred&amp;Subs'!$C$66:$C$99),0)),0)),0))),0)</f>
        <v>0</v>
      </c>
      <c r="R862" s="172">
        <f t="array" ref="R862">ROUND(IF(IFERROR(VALUE(RIGHT($AD862,1)),0)&gt;2,IF($C862=8,N862*IFERROR(INDEX('TaxCred&amp;Subs'!$K$139:$S$151,MATCH($C862&amp;$D862&amp;LEFT($AD862,7),'TaxCred&amp;Subs'!$E$139:$E$151,0),MATCH($H862,'TaxCred&amp;Subs'!$K$137:$S$137,0)),0),IF($C862=2,N862*IFERROR(INDEX('TaxCred&amp;Subs'!$K$139:$S$151,MATCH($C862&amp;$D862,'TaxCred&amp;Subs'!$D$139:$D$151,0),MATCH($H862,'TaxCred&amp;Subs'!$K$137:$S$137,0)),0),N862*IFERROR(INDEX('TaxCred&amp;Subs'!$K$139:$S$151,MATCH($C862&amp;$D862,'TaxCred&amp;Subs'!$C$139:$C$151,0),MATCH($H862,'TaxCred&amp;Subs'!$K$137:$S$137,0)),0))),0),0)</f>
        <v>38</v>
      </c>
      <c r="S862" s="172">
        <f t="array" ref="S862">ROUND(IF(IFERROR(VALUE(RIGHT($AD862,1)),0)&gt;2,IF($C862=8,O862*IFERROR(INDEX('TaxCred&amp;Subs'!$K$139:$S$151,MATCH($C862&amp;$D862&amp;LEFT($AD862,7),'TaxCred&amp;Subs'!$E$139:$E$151,0),MATCH($H862,'TaxCred&amp;Subs'!$K$137:$S$137,0)),0),IF($C862=2,O862*IFERROR(INDEX('TaxCred&amp;Subs'!$K$139:$S$151,MATCH($C862&amp;$D862,'TaxCred&amp;Subs'!$D$139:$D$151,0),MATCH($H862,'TaxCred&amp;Subs'!$K$137:$S$137,0)),0),O862*IFERROR(INDEX('TaxCred&amp;Subs'!$K$139:$S$151,MATCH($C862&amp;$D862,'TaxCred&amp;Subs'!$C$139:$C$151,0),MATCH($H862,'TaxCred&amp;Subs'!$K$137:$S$137,0)),0))),0),0)</f>
        <v>38</v>
      </c>
      <c r="T862" s="95">
        <f t="shared" si="56"/>
        <v>0</v>
      </c>
      <c r="U862" s="95">
        <f t="shared" si="57"/>
        <v>0</v>
      </c>
      <c r="V862" s="28" t="s">
        <v>222</v>
      </c>
      <c r="W862" s="31">
        <v>2020</v>
      </c>
      <c r="X862" s="28">
        <v>1</v>
      </c>
      <c r="Y862" s="28">
        <v>0</v>
      </c>
      <c r="Z862" s="196">
        <v>-7.8816560546936879E-3</v>
      </c>
      <c r="AA862" s="196">
        <v>-0.12125624699528749</v>
      </c>
      <c r="AB862" s="28">
        <v>0</v>
      </c>
      <c r="AC862" s="28">
        <v>0</v>
      </c>
      <c r="AD862" s="28" t="s">
        <v>393</v>
      </c>
    </row>
    <row r="863" spans="2:30" ht="14.25" customHeight="1" x14ac:dyDescent="0.2">
      <c r="B863" s="7">
        <f t="shared" si="75"/>
        <v>839</v>
      </c>
      <c r="C863" s="28">
        <v>8</v>
      </c>
      <c r="D863" s="28">
        <v>1</v>
      </c>
      <c r="E863" s="28">
        <v>11</v>
      </c>
      <c r="F863" s="96">
        <v>2020</v>
      </c>
      <c r="G863" s="28">
        <v>2050</v>
      </c>
      <c r="H863" s="28">
        <v>3</v>
      </c>
      <c r="I863" s="28">
        <v>0</v>
      </c>
      <c r="J863" s="28">
        <v>0</v>
      </c>
      <c r="K863" s="28">
        <v>0</v>
      </c>
      <c r="L863" s="28">
        <v>0</v>
      </c>
      <c r="M863" s="151">
        <v>468.64387850467284</v>
      </c>
      <c r="N863" s="151">
        <v>928.34056188571151</v>
      </c>
      <c r="O863" s="151">
        <v>928.34056188571151</v>
      </c>
      <c r="P863" s="95">
        <f t="array" ref="P863">ROUND(IF($F863&lt;='TaxCred&amp;Subs'!$C$49,(IF($C863=2,IF($M863&gt;=IFERROR(INDEX('TaxCred&amp;Subs'!$L$12:$L$47,MATCH(1,($C863&amp;$D863='TaxCred&amp;Subs'!$E$12:$E$47)*($F863='TaxCred&amp;Subs'!$C$12:$C$47),0)
),9999),IFERROR(INDEX('TaxCred&amp;Subs'!$N$12:$N$47,MATCH(1,($C863&amp;$D863='TaxCred&amp;Subs'!$E$12:$E$47)*($F863='TaxCred&amp;Subs'!$C$12:$C$47),0)
),0),0),(IF($M863&gt;=IFERROR(INDEX('TaxCred&amp;Subs'!$H$12:$H$47,MATCH(1,($C863&amp;$D863='TaxCred&amp;Subs'!$D$12:$D$47)*($F863='TaxCred&amp;Subs'!$C$12:$C$47),0)
),9999),IFERROR(INDEX('TaxCred&amp;Subs'!$N$12:$N$47,MATCH(1,($C863&amp;$D863='TaxCred&amp;Subs'!$D$12:$D$47)*($F863='TaxCred&amp;Subs'!$C$12:$C$47),0)
),0),0)))),0)+IF(AND($C863=2,VALUE(RIGHT($AD863,1))&gt;2),(N863-R863)*(IFERROR(INDEX('TaxCred&amp;Subs'!$J$66:$J$99,MATCH(1,($C863&amp;$D863='TaxCred&amp;Subs'!$E$66:$E$99)*($F863='TaxCred&amp;Subs'!$C$66:$C$99),0)),0)),IF(AND($C863=1,VALUE(RIGHT($AD863,1))&gt;2),(N863-R863)*(IFERROR(INDEX('TaxCred&amp;Subs'!$J$66:$J$99,MATCH(1,($C863&amp;$D863='TaxCred&amp;Subs'!$D$66:$D$99)*($F863='TaxCred&amp;Subs'!$C$66:$C$99),0)),0)),IF($C863&gt;2,(N863-R863)*(IFERROR(INDEX('TaxCred&amp;Subs'!$J$66:$J$99,MATCH(1,($C863&amp;$D863='TaxCred&amp;Subs'!$D$66:$D$99)*($F863='TaxCred&amp;Subs'!$C$66:$C$99),0)),0)),0))),0)</f>
        <v>0</v>
      </c>
      <c r="Q863" s="95">
        <f t="array" ref="Q863">ROUND(IF(AND($C863=2,VALUE(RIGHT($AD863,1))&gt;2),(O863-S863)*(IFERROR(INDEX('TaxCred&amp;Subs'!$J$66:$J$99,MATCH(1,($C863&amp;$D863='TaxCred&amp;Subs'!$E$66:$E$99)*($F863='TaxCred&amp;Subs'!$C$66:$C$99),0)),0)),IF(AND($C863=1,VALUE(RIGHT($AD863,1))&gt;2),(O863-S863)*(IFERROR(INDEX('TaxCred&amp;Subs'!$J$66:$J$99,MATCH(1,($C863&amp;$D863='TaxCred&amp;Subs'!$D$66:$D$99)*($F863='TaxCred&amp;Subs'!$C$66:$C$99),0)),0)),IF($C863&gt;2,(O863-S863)*(IFERROR(INDEX('TaxCred&amp;Subs'!$J$66:$J$99,MATCH(1,($C863&amp;$D863='TaxCred&amp;Subs'!$D$66:$D$99)*($F863='TaxCred&amp;Subs'!$C$66:$C$99),0)),0)),0))),0)</f>
        <v>0</v>
      </c>
      <c r="R863" s="172">
        <f t="array" ref="R863">ROUND(IF(IFERROR(VALUE(RIGHT($AD863,1)),0)&gt;2,IF($C863=8,N863*IFERROR(INDEX('TaxCred&amp;Subs'!$K$139:$S$151,MATCH($C863&amp;$D863&amp;LEFT($AD863,7),'TaxCred&amp;Subs'!$E$139:$E$151,0),MATCH($H863,'TaxCred&amp;Subs'!$K$137:$S$137,0)),0),IF($C863=2,N863*IFERROR(INDEX('TaxCred&amp;Subs'!$K$139:$S$151,MATCH($C863&amp;$D863,'TaxCred&amp;Subs'!$D$139:$D$151,0),MATCH($H863,'TaxCred&amp;Subs'!$K$137:$S$137,0)),0),N863*IFERROR(INDEX('TaxCred&amp;Subs'!$K$139:$S$151,MATCH($C863&amp;$D863,'TaxCred&amp;Subs'!$C$139:$C$151,0),MATCH($H863,'TaxCred&amp;Subs'!$K$137:$S$137,0)),0))),0),0)</f>
        <v>34</v>
      </c>
      <c r="S863" s="172">
        <f t="array" ref="S863">ROUND(IF(IFERROR(VALUE(RIGHT($AD863,1)),0)&gt;2,IF($C863=8,O863*IFERROR(INDEX('TaxCred&amp;Subs'!$K$139:$S$151,MATCH($C863&amp;$D863&amp;LEFT($AD863,7),'TaxCred&amp;Subs'!$E$139:$E$151,0),MATCH($H863,'TaxCred&amp;Subs'!$K$137:$S$137,0)),0),IF($C863=2,O863*IFERROR(INDEX('TaxCred&amp;Subs'!$K$139:$S$151,MATCH($C863&amp;$D863,'TaxCred&amp;Subs'!$D$139:$D$151,0),MATCH($H863,'TaxCred&amp;Subs'!$K$137:$S$137,0)),0),O863*IFERROR(INDEX('TaxCred&amp;Subs'!$K$139:$S$151,MATCH($C863&amp;$D863,'TaxCred&amp;Subs'!$C$139:$C$151,0),MATCH($H863,'TaxCred&amp;Subs'!$K$137:$S$137,0)),0))),0),0)</f>
        <v>34</v>
      </c>
      <c r="T863" s="95">
        <f t="shared" si="56"/>
        <v>0</v>
      </c>
      <c r="U863" s="95">
        <f t="shared" si="57"/>
        <v>0</v>
      </c>
      <c r="V863" s="28" t="s">
        <v>222</v>
      </c>
      <c r="W863" s="31">
        <v>2020</v>
      </c>
      <c r="X863" s="28">
        <v>1</v>
      </c>
      <c r="Y863" s="28">
        <v>0</v>
      </c>
      <c r="Z863" s="196">
        <v>-7.8816560546936879E-3</v>
      </c>
      <c r="AA863" s="196">
        <v>-0.12125624699528749</v>
      </c>
      <c r="AB863" s="28">
        <v>0</v>
      </c>
      <c r="AC863" s="28">
        <v>0</v>
      </c>
      <c r="AD863" s="28" t="s">
        <v>393</v>
      </c>
    </row>
    <row r="864" spans="2:30" ht="14.25" customHeight="1" x14ac:dyDescent="0.2">
      <c r="B864" s="7">
        <f t="shared" si="75"/>
        <v>840</v>
      </c>
      <c r="C864" s="28">
        <v>8</v>
      </c>
      <c r="D864" s="28">
        <v>1</v>
      </c>
      <c r="E864" s="28">
        <v>11</v>
      </c>
      <c r="F864" s="96">
        <v>2020</v>
      </c>
      <c r="G864" s="28">
        <v>2050</v>
      </c>
      <c r="H864" s="28">
        <v>4</v>
      </c>
      <c r="I864" s="28">
        <v>0</v>
      </c>
      <c r="J864" s="28">
        <v>0</v>
      </c>
      <c r="K864" s="28">
        <v>0</v>
      </c>
      <c r="L864" s="28">
        <v>0</v>
      </c>
      <c r="M864" s="151">
        <v>468.64387850467284</v>
      </c>
      <c r="N864" s="151">
        <v>928.34056188571151</v>
      </c>
      <c r="O864" s="151">
        <v>928.34056188571151</v>
      </c>
      <c r="P864" s="95">
        <f t="array" ref="P864">ROUND(IF($F864&lt;='TaxCred&amp;Subs'!$C$49,(IF($C864=2,IF($M864&gt;=IFERROR(INDEX('TaxCred&amp;Subs'!$L$12:$L$47,MATCH(1,($C864&amp;$D864='TaxCred&amp;Subs'!$E$12:$E$47)*($F864='TaxCred&amp;Subs'!$C$12:$C$47),0)
),9999),IFERROR(INDEX('TaxCred&amp;Subs'!$N$12:$N$47,MATCH(1,($C864&amp;$D864='TaxCred&amp;Subs'!$E$12:$E$47)*($F864='TaxCred&amp;Subs'!$C$12:$C$47),0)
),0),0),(IF($M864&gt;=IFERROR(INDEX('TaxCred&amp;Subs'!$H$12:$H$47,MATCH(1,($C864&amp;$D864='TaxCred&amp;Subs'!$D$12:$D$47)*($F864='TaxCred&amp;Subs'!$C$12:$C$47),0)
),9999),IFERROR(INDEX('TaxCred&amp;Subs'!$N$12:$N$47,MATCH(1,($C864&amp;$D864='TaxCred&amp;Subs'!$D$12:$D$47)*($F864='TaxCred&amp;Subs'!$C$12:$C$47),0)
),0),0)))),0)+IF(AND($C864=2,VALUE(RIGHT($AD864,1))&gt;2),(N864-R864)*(IFERROR(INDEX('TaxCred&amp;Subs'!$J$66:$J$99,MATCH(1,($C864&amp;$D864='TaxCred&amp;Subs'!$E$66:$E$99)*($F864='TaxCred&amp;Subs'!$C$66:$C$99),0)),0)),IF(AND($C864=1,VALUE(RIGHT($AD864,1))&gt;2),(N864-R864)*(IFERROR(INDEX('TaxCred&amp;Subs'!$J$66:$J$99,MATCH(1,($C864&amp;$D864='TaxCred&amp;Subs'!$D$66:$D$99)*($F864='TaxCred&amp;Subs'!$C$66:$C$99),0)),0)),IF($C864&gt;2,(N864-R864)*(IFERROR(INDEX('TaxCred&amp;Subs'!$J$66:$J$99,MATCH(1,($C864&amp;$D864='TaxCred&amp;Subs'!$D$66:$D$99)*($F864='TaxCred&amp;Subs'!$C$66:$C$99),0)),0)),0))),0)</f>
        <v>0</v>
      </c>
      <c r="Q864" s="95">
        <f t="array" ref="Q864">ROUND(IF(AND($C864=2,VALUE(RIGHT($AD864,1))&gt;2),(O864-S864)*(IFERROR(INDEX('TaxCred&amp;Subs'!$J$66:$J$99,MATCH(1,($C864&amp;$D864='TaxCred&amp;Subs'!$E$66:$E$99)*($F864='TaxCred&amp;Subs'!$C$66:$C$99),0)),0)),IF(AND($C864=1,VALUE(RIGHT($AD864,1))&gt;2),(O864-S864)*(IFERROR(INDEX('TaxCred&amp;Subs'!$J$66:$J$99,MATCH(1,($C864&amp;$D864='TaxCred&amp;Subs'!$D$66:$D$99)*($F864='TaxCred&amp;Subs'!$C$66:$C$99),0)),0)),IF($C864&gt;2,(O864-S864)*(IFERROR(INDEX('TaxCred&amp;Subs'!$J$66:$J$99,MATCH(1,($C864&amp;$D864='TaxCred&amp;Subs'!$D$66:$D$99)*($F864='TaxCred&amp;Subs'!$C$66:$C$99),0)),0)),0))),0)</f>
        <v>0</v>
      </c>
      <c r="R864" s="172">
        <f t="array" ref="R864">ROUND(IF(IFERROR(VALUE(RIGHT($AD864,1)),0)&gt;2,IF($C864=8,N864*IFERROR(INDEX('TaxCred&amp;Subs'!$K$139:$S$151,MATCH($C864&amp;$D864&amp;LEFT($AD864,7),'TaxCred&amp;Subs'!$E$139:$E$151,0),MATCH($H864,'TaxCred&amp;Subs'!$K$137:$S$137,0)),0),IF($C864=2,N864*IFERROR(INDEX('TaxCred&amp;Subs'!$K$139:$S$151,MATCH($C864&amp;$D864,'TaxCred&amp;Subs'!$D$139:$D$151,0),MATCH($H864,'TaxCred&amp;Subs'!$K$137:$S$137,0)),0),N864*IFERROR(INDEX('TaxCred&amp;Subs'!$K$139:$S$151,MATCH($C864&amp;$D864,'TaxCred&amp;Subs'!$C$139:$C$151,0),MATCH($H864,'TaxCred&amp;Subs'!$K$137:$S$137,0)),0))),0),0)</f>
        <v>21</v>
      </c>
      <c r="S864" s="172">
        <f t="array" ref="S864">ROUND(IF(IFERROR(VALUE(RIGHT($AD864,1)),0)&gt;2,IF($C864=8,O864*IFERROR(INDEX('TaxCred&amp;Subs'!$K$139:$S$151,MATCH($C864&amp;$D864&amp;LEFT($AD864,7),'TaxCred&amp;Subs'!$E$139:$E$151,0),MATCH($H864,'TaxCred&amp;Subs'!$K$137:$S$137,0)),0),IF($C864=2,O864*IFERROR(INDEX('TaxCred&amp;Subs'!$K$139:$S$151,MATCH($C864&amp;$D864,'TaxCred&amp;Subs'!$D$139:$D$151,0),MATCH($H864,'TaxCred&amp;Subs'!$K$137:$S$137,0)),0),O864*IFERROR(INDEX('TaxCred&amp;Subs'!$K$139:$S$151,MATCH($C864&amp;$D864,'TaxCred&amp;Subs'!$C$139:$C$151,0),MATCH($H864,'TaxCred&amp;Subs'!$K$137:$S$137,0)),0))),0),0)</f>
        <v>21</v>
      </c>
      <c r="T864" s="95">
        <f t="shared" si="56"/>
        <v>0</v>
      </c>
      <c r="U864" s="95">
        <f t="shared" si="57"/>
        <v>0</v>
      </c>
      <c r="V864" s="28" t="s">
        <v>222</v>
      </c>
      <c r="W864" s="31">
        <v>2020</v>
      </c>
      <c r="X864" s="28">
        <v>1</v>
      </c>
      <c r="Y864" s="28">
        <v>0</v>
      </c>
      <c r="Z864" s="196">
        <v>-7.8816560546936879E-3</v>
      </c>
      <c r="AA864" s="196">
        <v>-0.12125624699528749</v>
      </c>
      <c r="AB864" s="28">
        <v>0</v>
      </c>
      <c r="AC864" s="28">
        <v>0</v>
      </c>
      <c r="AD864" s="28" t="s">
        <v>393</v>
      </c>
    </row>
    <row r="865" spans="2:31" ht="14.25" customHeight="1" x14ac:dyDescent="0.2">
      <c r="B865" s="7">
        <f t="shared" si="75"/>
        <v>841</v>
      </c>
      <c r="C865" s="28">
        <v>8</v>
      </c>
      <c r="D865" s="28">
        <v>1</v>
      </c>
      <c r="E865" s="28">
        <v>11</v>
      </c>
      <c r="F865" s="96">
        <v>2020</v>
      </c>
      <c r="G865" s="28">
        <v>2050</v>
      </c>
      <c r="H865" s="28">
        <v>5</v>
      </c>
      <c r="I865" s="28">
        <v>0</v>
      </c>
      <c r="J865" s="28">
        <v>0</v>
      </c>
      <c r="K865" s="28">
        <v>0</v>
      </c>
      <c r="L865" s="28">
        <v>0</v>
      </c>
      <c r="M865" s="151">
        <v>468.64387850467284</v>
      </c>
      <c r="N865" s="151">
        <v>928.34056188571151</v>
      </c>
      <c r="O865" s="151">
        <v>928.34056188571151</v>
      </c>
      <c r="P865" s="95">
        <f t="array" ref="P865">ROUND(IF($F865&lt;='TaxCred&amp;Subs'!$C$49,(IF($C865=2,IF($M865&gt;=IFERROR(INDEX('TaxCred&amp;Subs'!$L$12:$L$47,MATCH(1,($C865&amp;$D865='TaxCred&amp;Subs'!$E$12:$E$47)*($F865='TaxCred&amp;Subs'!$C$12:$C$47),0)
),9999),IFERROR(INDEX('TaxCred&amp;Subs'!$N$12:$N$47,MATCH(1,($C865&amp;$D865='TaxCred&amp;Subs'!$E$12:$E$47)*($F865='TaxCred&amp;Subs'!$C$12:$C$47),0)
),0),0),(IF($M865&gt;=IFERROR(INDEX('TaxCred&amp;Subs'!$H$12:$H$47,MATCH(1,($C865&amp;$D865='TaxCred&amp;Subs'!$D$12:$D$47)*($F865='TaxCred&amp;Subs'!$C$12:$C$47),0)
),9999),IFERROR(INDEX('TaxCred&amp;Subs'!$N$12:$N$47,MATCH(1,($C865&amp;$D865='TaxCred&amp;Subs'!$D$12:$D$47)*($F865='TaxCred&amp;Subs'!$C$12:$C$47),0)
),0),0)))),0)+IF(AND($C865=2,VALUE(RIGHT($AD865,1))&gt;2),(N865-R865)*(IFERROR(INDEX('TaxCred&amp;Subs'!$J$66:$J$99,MATCH(1,($C865&amp;$D865='TaxCred&amp;Subs'!$E$66:$E$99)*($F865='TaxCred&amp;Subs'!$C$66:$C$99),0)),0)),IF(AND($C865=1,VALUE(RIGHT($AD865,1))&gt;2),(N865-R865)*(IFERROR(INDEX('TaxCred&amp;Subs'!$J$66:$J$99,MATCH(1,($C865&amp;$D865='TaxCred&amp;Subs'!$D$66:$D$99)*($F865='TaxCred&amp;Subs'!$C$66:$C$99),0)),0)),IF($C865&gt;2,(N865-R865)*(IFERROR(INDEX('TaxCred&amp;Subs'!$J$66:$J$99,MATCH(1,($C865&amp;$D865='TaxCred&amp;Subs'!$D$66:$D$99)*($F865='TaxCred&amp;Subs'!$C$66:$C$99),0)),0)),0))),0)</f>
        <v>0</v>
      </c>
      <c r="Q865" s="95">
        <f t="array" ref="Q865">ROUND(IF(AND($C865=2,VALUE(RIGHT($AD865,1))&gt;2),(O865-S865)*(IFERROR(INDEX('TaxCred&amp;Subs'!$J$66:$J$99,MATCH(1,($C865&amp;$D865='TaxCred&amp;Subs'!$E$66:$E$99)*($F865='TaxCred&amp;Subs'!$C$66:$C$99),0)),0)),IF(AND($C865=1,VALUE(RIGHT($AD865,1))&gt;2),(O865-S865)*(IFERROR(INDEX('TaxCred&amp;Subs'!$J$66:$J$99,MATCH(1,($C865&amp;$D865='TaxCred&amp;Subs'!$D$66:$D$99)*($F865='TaxCred&amp;Subs'!$C$66:$C$99),0)),0)),IF($C865&gt;2,(O865-S865)*(IFERROR(INDEX('TaxCred&amp;Subs'!$J$66:$J$99,MATCH(1,($C865&amp;$D865='TaxCred&amp;Subs'!$D$66:$D$99)*($F865='TaxCred&amp;Subs'!$C$66:$C$99),0)),0)),0))),0)</f>
        <v>0</v>
      </c>
      <c r="R865" s="172">
        <f t="array" ref="R865">ROUND(IF(IFERROR(VALUE(RIGHT($AD865,1)),0)&gt;2,IF($C865=8,N865*IFERROR(INDEX('TaxCred&amp;Subs'!$K$139:$S$151,MATCH($C865&amp;$D865&amp;LEFT($AD865,7),'TaxCred&amp;Subs'!$E$139:$E$151,0),MATCH($H865,'TaxCred&amp;Subs'!$K$137:$S$137,0)),0),IF($C865=2,N865*IFERROR(INDEX('TaxCred&amp;Subs'!$K$139:$S$151,MATCH($C865&amp;$D865,'TaxCred&amp;Subs'!$D$139:$D$151,0),MATCH($H865,'TaxCred&amp;Subs'!$K$137:$S$137,0)),0),N865*IFERROR(INDEX('TaxCred&amp;Subs'!$K$139:$S$151,MATCH($C865&amp;$D865,'TaxCred&amp;Subs'!$C$139:$C$151,0),MATCH($H865,'TaxCred&amp;Subs'!$K$137:$S$137,0)),0))),0),0)</f>
        <v>43</v>
      </c>
      <c r="S865" s="172">
        <f t="array" ref="S865">ROUND(IF(IFERROR(VALUE(RIGHT($AD865,1)),0)&gt;2,IF($C865=8,O865*IFERROR(INDEX('TaxCred&amp;Subs'!$K$139:$S$151,MATCH($C865&amp;$D865&amp;LEFT($AD865,7),'TaxCred&amp;Subs'!$E$139:$E$151,0),MATCH($H865,'TaxCred&amp;Subs'!$K$137:$S$137,0)),0),IF($C865=2,O865*IFERROR(INDEX('TaxCred&amp;Subs'!$K$139:$S$151,MATCH($C865&amp;$D865,'TaxCred&amp;Subs'!$D$139:$D$151,0),MATCH($H865,'TaxCred&amp;Subs'!$K$137:$S$137,0)),0),O865*IFERROR(INDEX('TaxCred&amp;Subs'!$K$139:$S$151,MATCH($C865&amp;$D865,'TaxCred&amp;Subs'!$C$139:$C$151,0),MATCH($H865,'TaxCred&amp;Subs'!$K$137:$S$137,0)),0))),0),0)</f>
        <v>43</v>
      </c>
      <c r="T865" s="95">
        <f t="shared" si="56"/>
        <v>0</v>
      </c>
      <c r="U865" s="95">
        <f t="shared" si="57"/>
        <v>0</v>
      </c>
      <c r="V865" s="28" t="s">
        <v>222</v>
      </c>
      <c r="W865" s="31">
        <v>2020</v>
      </c>
      <c r="X865" s="28">
        <v>1</v>
      </c>
      <c r="Y865" s="28">
        <v>0</v>
      </c>
      <c r="Z865" s="196">
        <v>-7.8816560546936879E-3</v>
      </c>
      <c r="AA865" s="196">
        <v>-0.12125624699528749</v>
      </c>
      <c r="AB865" s="28">
        <v>0</v>
      </c>
      <c r="AC865" s="28">
        <v>0</v>
      </c>
      <c r="AD865" s="28" t="s">
        <v>393</v>
      </c>
    </row>
    <row r="866" spans="2:31" ht="14.25" customHeight="1" x14ac:dyDescent="0.2">
      <c r="B866" s="7">
        <f t="shared" si="75"/>
        <v>842</v>
      </c>
      <c r="C866" s="28">
        <v>8</v>
      </c>
      <c r="D866" s="28">
        <v>1</v>
      </c>
      <c r="E866" s="28">
        <v>11</v>
      </c>
      <c r="F866" s="96">
        <v>2020</v>
      </c>
      <c r="G866" s="28">
        <v>2050</v>
      </c>
      <c r="H866" s="28">
        <v>6</v>
      </c>
      <c r="I866" s="28">
        <v>0</v>
      </c>
      <c r="J866" s="28">
        <v>0</v>
      </c>
      <c r="K866" s="28">
        <v>0</v>
      </c>
      <c r="L866" s="28">
        <v>0</v>
      </c>
      <c r="M866" s="151">
        <v>468.64387850467284</v>
      </c>
      <c r="N866" s="151">
        <v>928.34056188571151</v>
      </c>
      <c r="O866" s="151">
        <v>928.34056188571151</v>
      </c>
      <c r="P866" s="95">
        <f t="array" ref="P866">ROUND(IF($F866&lt;='TaxCred&amp;Subs'!$C$49,(IF($C866=2,IF($M866&gt;=IFERROR(INDEX('TaxCred&amp;Subs'!$L$12:$L$47,MATCH(1,($C866&amp;$D866='TaxCred&amp;Subs'!$E$12:$E$47)*($F866='TaxCred&amp;Subs'!$C$12:$C$47),0)
),9999),IFERROR(INDEX('TaxCred&amp;Subs'!$N$12:$N$47,MATCH(1,($C866&amp;$D866='TaxCred&amp;Subs'!$E$12:$E$47)*($F866='TaxCred&amp;Subs'!$C$12:$C$47),0)
),0),0),(IF($M866&gt;=IFERROR(INDEX('TaxCred&amp;Subs'!$H$12:$H$47,MATCH(1,($C866&amp;$D866='TaxCred&amp;Subs'!$D$12:$D$47)*($F866='TaxCred&amp;Subs'!$C$12:$C$47),0)
),9999),IFERROR(INDEX('TaxCred&amp;Subs'!$N$12:$N$47,MATCH(1,($C866&amp;$D866='TaxCred&amp;Subs'!$D$12:$D$47)*($F866='TaxCred&amp;Subs'!$C$12:$C$47),0)
),0),0)))),0)+IF(AND($C866=2,VALUE(RIGHT($AD866,1))&gt;2),(N866-R866)*(IFERROR(INDEX('TaxCred&amp;Subs'!$J$66:$J$99,MATCH(1,($C866&amp;$D866='TaxCred&amp;Subs'!$E$66:$E$99)*($F866='TaxCred&amp;Subs'!$C$66:$C$99),0)),0)),IF(AND($C866=1,VALUE(RIGHT($AD866,1))&gt;2),(N866-R866)*(IFERROR(INDEX('TaxCred&amp;Subs'!$J$66:$J$99,MATCH(1,($C866&amp;$D866='TaxCred&amp;Subs'!$D$66:$D$99)*($F866='TaxCred&amp;Subs'!$C$66:$C$99),0)),0)),IF($C866&gt;2,(N866-R866)*(IFERROR(INDEX('TaxCred&amp;Subs'!$J$66:$J$99,MATCH(1,($C866&amp;$D866='TaxCred&amp;Subs'!$D$66:$D$99)*($F866='TaxCred&amp;Subs'!$C$66:$C$99),0)),0)),0))),0)</f>
        <v>0</v>
      </c>
      <c r="Q866" s="95">
        <f t="array" ref="Q866">ROUND(IF(AND($C866=2,VALUE(RIGHT($AD866,1))&gt;2),(O866-S866)*(IFERROR(INDEX('TaxCred&amp;Subs'!$J$66:$J$99,MATCH(1,($C866&amp;$D866='TaxCred&amp;Subs'!$E$66:$E$99)*($F866='TaxCred&amp;Subs'!$C$66:$C$99),0)),0)),IF(AND($C866=1,VALUE(RIGHT($AD866,1))&gt;2),(O866-S866)*(IFERROR(INDEX('TaxCred&amp;Subs'!$J$66:$J$99,MATCH(1,($C866&amp;$D866='TaxCred&amp;Subs'!$D$66:$D$99)*($F866='TaxCred&amp;Subs'!$C$66:$C$99),0)),0)),IF($C866&gt;2,(O866-S866)*(IFERROR(INDEX('TaxCred&amp;Subs'!$J$66:$J$99,MATCH(1,($C866&amp;$D866='TaxCred&amp;Subs'!$D$66:$D$99)*($F866='TaxCred&amp;Subs'!$C$66:$C$99),0)),0)),0))),0)</f>
        <v>0</v>
      </c>
      <c r="R866" s="172">
        <f t="array" ref="R866">ROUND(IF(IFERROR(VALUE(RIGHT($AD866,1)),0)&gt;2,IF($C866=8,N866*IFERROR(INDEX('TaxCred&amp;Subs'!$K$139:$S$151,MATCH($C866&amp;$D866&amp;LEFT($AD866,7),'TaxCred&amp;Subs'!$E$139:$E$151,0),MATCH($H866,'TaxCred&amp;Subs'!$K$137:$S$137,0)),0),IF($C866=2,N866*IFERROR(INDEX('TaxCred&amp;Subs'!$K$139:$S$151,MATCH($C866&amp;$D866,'TaxCred&amp;Subs'!$D$139:$D$151,0),MATCH($H866,'TaxCred&amp;Subs'!$K$137:$S$137,0)),0),N866*IFERROR(INDEX('TaxCred&amp;Subs'!$K$139:$S$151,MATCH($C866&amp;$D866,'TaxCred&amp;Subs'!$C$139:$C$151,0),MATCH($H866,'TaxCred&amp;Subs'!$K$137:$S$137,0)),0))),0),0)</f>
        <v>63</v>
      </c>
      <c r="S866" s="172">
        <f t="array" ref="S866">ROUND(IF(IFERROR(VALUE(RIGHT($AD866,1)),0)&gt;2,IF($C866=8,O866*IFERROR(INDEX('TaxCred&amp;Subs'!$K$139:$S$151,MATCH($C866&amp;$D866&amp;LEFT($AD866,7),'TaxCred&amp;Subs'!$E$139:$E$151,0),MATCH($H866,'TaxCred&amp;Subs'!$K$137:$S$137,0)),0),IF($C866=2,O866*IFERROR(INDEX('TaxCred&amp;Subs'!$K$139:$S$151,MATCH($C866&amp;$D866,'TaxCred&amp;Subs'!$D$139:$D$151,0),MATCH($H866,'TaxCred&amp;Subs'!$K$137:$S$137,0)),0),O866*IFERROR(INDEX('TaxCred&amp;Subs'!$K$139:$S$151,MATCH($C866&amp;$D866,'TaxCred&amp;Subs'!$C$139:$C$151,0),MATCH($H866,'TaxCred&amp;Subs'!$K$137:$S$137,0)),0))),0),0)</f>
        <v>63</v>
      </c>
      <c r="T866" s="95">
        <f t="shared" si="56"/>
        <v>0</v>
      </c>
      <c r="U866" s="95">
        <f t="shared" si="57"/>
        <v>0</v>
      </c>
      <c r="V866" s="28" t="s">
        <v>222</v>
      </c>
      <c r="W866" s="31">
        <v>2020</v>
      </c>
      <c r="X866" s="28">
        <v>1</v>
      </c>
      <c r="Y866" s="28">
        <v>0</v>
      </c>
      <c r="Z866" s="196">
        <v>-7.8816560546936879E-3</v>
      </c>
      <c r="AA866" s="196">
        <v>-0.12125624699528749</v>
      </c>
      <c r="AB866" s="28">
        <v>0</v>
      </c>
      <c r="AC866" s="28">
        <v>0</v>
      </c>
      <c r="AD866" s="28" t="s">
        <v>393</v>
      </c>
    </row>
    <row r="867" spans="2:31" ht="14.25" customHeight="1" x14ac:dyDescent="0.2">
      <c r="B867" s="7">
        <f t="shared" si="75"/>
        <v>843</v>
      </c>
      <c r="C867" s="28">
        <v>8</v>
      </c>
      <c r="D867" s="28">
        <v>1</v>
      </c>
      <c r="E867" s="28">
        <v>11</v>
      </c>
      <c r="F867" s="96">
        <v>2020</v>
      </c>
      <c r="G867" s="28">
        <v>2050</v>
      </c>
      <c r="H867" s="28">
        <v>7</v>
      </c>
      <c r="I867" s="28">
        <v>0</v>
      </c>
      <c r="J867" s="28">
        <v>0</v>
      </c>
      <c r="K867" s="28">
        <v>0</v>
      </c>
      <c r="L867" s="28">
        <v>0</v>
      </c>
      <c r="M867" s="151">
        <v>468.64387850467284</v>
      </c>
      <c r="N867" s="151">
        <v>928.34056188571151</v>
      </c>
      <c r="O867" s="151">
        <v>928.34056188571151</v>
      </c>
      <c r="P867" s="95">
        <f t="array" ref="P867">ROUND(IF($F867&lt;='TaxCred&amp;Subs'!$C$49,(IF($C867=2,IF($M867&gt;=IFERROR(INDEX('TaxCred&amp;Subs'!$L$12:$L$47,MATCH(1,($C867&amp;$D867='TaxCred&amp;Subs'!$E$12:$E$47)*($F867='TaxCred&amp;Subs'!$C$12:$C$47),0)
),9999),IFERROR(INDEX('TaxCred&amp;Subs'!$N$12:$N$47,MATCH(1,($C867&amp;$D867='TaxCred&amp;Subs'!$E$12:$E$47)*($F867='TaxCred&amp;Subs'!$C$12:$C$47),0)
),0),0),(IF($M867&gt;=IFERROR(INDEX('TaxCred&amp;Subs'!$H$12:$H$47,MATCH(1,($C867&amp;$D867='TaxCred&amp;Subs'!$D$12:$D$47)*($F867='TaxCred&amp;Subs'!$C$12:$C$47),0)
),9999),IFERROR(INDEX('TaxCred&amp;Subs'!$N$12:$N$47,MATCH(1,($C867&amp;$D867='TaxCred&amp;Subs'!$D$12:$D$47)*($F867='TaxCred&amp;Subs'!$C$12:$C$47),0)
),0),0)))),0)+IF(AND($C867=2,VALUE(RIGHT($AD867,1))&gt;2),(N867-R867)*(IFERROR(INDEX('TaxCred&amp;Subs'!$J$66:$J$99,MATCH(1,($C867&amp;$D867='TaxCred&amp;Subs'!$E$66:$E$99)*($F867='TaxCred&amp;Subs'!$C$66:$C$99),0)),0)),IF(AND($C867=1,VALUE(RIGHT($AD867,1))&gt;2),(N867-R867)*(IFERROR(INDEX('TaxCred&amp;Subs'!$J$66:$J$99,MATCH(1,($C867&amp;$D867='TaxCred&amp;Subs'!$D$66:$D$99)*($F867='TaxCred&amp;Subs'!$C$66:$C$99),0)),0)),IF($C867&gt;2,(N867-R867)*(IFERROR(INDEX('TaxCred&amp;Subs'!$J$66:$J$99,MATCH(1,($C867&amp;$D867='TaxCred&amp;Subs'!$D$66:$D$99)*($F867='TaxCred&amp;Subs'!$C$66:$C$99),0)),0)),0))),0)</f>
        <v>0</v>
      </c>
      <c r="Q867" s="95">
        <f t="array" ref="Q867">ROUND(IF(AND($C867=2,VALUE(RIGHT($AD867,1))&gt;2),(O867-S867)*(IFERROR(INDEX('TaxCred&amp;Subs'!$J$66:$J$99,MATCH(1,($C867&amp;$D867='TaxCred&amp;Subs'!$E$66:$E$99)*($F867='TaxCred&amp;Subs'!$C$66:$C$99),0)),0)),IF(AND($C867=1,VALUE(RIGHT($AD867,1))&gt;2),(O867-S867)*(IFERROR(INDEX('TaxCred&amp;Subs'!$J$66:$J$99,MATCH(1,($C867&amp;$D867='TaxCred&amp;Subs'!$D$66:$D$99)*($F867='TaxCred&amp;Subs'!$C$66:$C$99),0)),0)),IF($C867&gt;2,(O867-S867)*(IFERROR(INDEX('TaxCred&amp;Subs'!$J$66:$J$99,MATCH(1,($C867&amp;$D867='TaxCred&amp;Subs'!$D$66:$D$99)*($F867='TaxCred&amp;Subs'!$C$66:$C$99),0)),0)),0))),0)</f>
        <v>0</v>
      </c>
      <c r="R867" s="172">
        <f t="array" ref="R867">ROUND(IF(IFERROR(VALUE(RIGHT($AD867,1)),0)&gt;2,IF($C867=8,N867*IFERROR(INDEX('TaxCred&amp;Subs'!$K$139:$S$151,MATCH($C867&amp;$D867&amp;LEFT($AD867,7),'TaxCred&amp;Subs'!$E$139:$E$151,0),MATCH($H867,'TaxCred&amp;Subs'!$K$137:$S$137,0)),0),IF($C867=2,N867*IFERROR(INDEX('TaxCred&amp;Subs'!$K$139:$S$151,MATCH($C867&amp;$D867,'TaxCred&amp;Subs'!$D$139:$D$151,0),MATCH($H867,'TaxCred&amp;Subs'!$K$137:$S$137,0)),0),N867*IFERROR(INDEX('TaxCred&amp;Subs'!$K$139:$S$151,MATCH($C867&amp;$D867,'TaxCred&amp;Subs'!$C$139:$C$151,0),MATCH($H867,'TaxCred&amp;Subs'!$K$137:$S$137,0)),0))),0),0)</f>
        <v>7</v>
      </c>
      <c r="S867" s="172">
        <f t="array" ref="S867">ROUND(IF(IFERROR(VALUE(RIGHT($AD867,1)),0)&gt;2,IF($C867=8,O867*IFERROR(INDEX('TaxCred&amp;Subs'!$K$139:$S$151,MATCH($C867&amp;$D867&amp;LEFT($AD867,7),'TaxCred&amp;Subs'!$E$139:$E$151,0),MATCH($H867,'TaxCred&amp;Subs'!$K$137:$S$137,0)),0),IF($C867=2,O867*IFERROR(INDEX('TaxCred&amp;Subs'!$K$139:$S$151,MATCH($C867&amp;$D867,'TaxCred&amp;Subs'!$D$139:$D$151,0),MATCH($H867,'TaxCred&amp;Subs'!$K$137:$S$137,0)),0),O867*IFERROR(INDEX('TaxCred&amp;Subs'!$K$139:$S$151,MATCH($C867&amp;$D867,'TaxCred&amp;Subs'!$C$139:$C$151,0),MATCH($H867,'TaxCred&amp;Subs'!$K$137:$S$137,0)),0))),0),0)</f>
        <v>7</v>
      </c>
      <c r="T867" s="95">
        <f t="shared" si="56"/>
        <v>0</v>
      </c>
      <c r="U867" s="95">
        <f t="shared" si="57"/>
        <v>0</v>
      </c>
      <c r="V867" s="28" t="s">
        <v>222</v>
      </c>
      <c r="W867" s="31">
        <v>2020</v>
      </c>
      <c r="X867" s="28">
        <v>1</v>
      </c>
      <c r="Y867" s="28">
        <v>0</v>
      </c>
      <c r="Z867" s="196">
        <v>-7.8816560546936879E-3</v>
      </c>
      <c r="AA867" s="196">
        <v>-0.12125624699528749</v>
      </c>
      <c r="AB867" s="28">
        <v>0</v>
      </c>
      <c r="AC867" s="28">
        <v>0</v>
      </c>
      <c r="AD867" s="28" t="s">
        <v>393</v>
      </c>
    </row>
    <row r="868" spans="2:31" ht="14.25" customHeight="1" x14ac:dyDescent="0.2">
      <c r="B868" s="7">
        <f t="shared" si="75"/>
        <v>844</v>
      </c>
      <c r="C868" s="28">
        <v>8</v>
      </c>
      <c r="D868" s="28">
        <v>1</v>
      </c>
      <c r="E868" s="28">
        <v>11</v>
      </c>
      <c r="F868" s="96">
        <v>2020</v>
      </c>
      <c r="G868" s="28">
        <v>2050</v>
      </c>
      <c r="H868" s="28">
        <v>8</v>
      </c>
      <c r="I868" s="28">
        <v>0</v>
      </c>
      <c r="J868" s="28">
        <v>0</v>
      </c>
      <c r="K868" s="28">
        <v>0</v>
      </c>
      <c r="L868" s="28">
        <v>0</v>
      </c>
      <c r="M868" s="151">
        <v>468.64387850467284</v>
      </c>
      <c r="N868" s="151">
        <v>928.34056188571151</v>
      </c>
      <c r="O868" s="151">
        <v>928.34056188571151</v>
      </c>
      <c r="P868" s="95">
        <f t="array" ref="P868">ROUND(IF($F868&lt;='TaxCred&amp;Subs'!$C$49,(IF($C868=2,IF($M868&gt;=IFERROR(INDEX('TaxCred&amp;Subs'!$L$12:$L$47,MATCH(1,($C868&amp;$D868='TaxCred&amp;Subs'!$E$12:$E$47)*($F868='TaxCred&amp;Subs'!$C$12:$C$47),0)
),9999),IFERROR(INDEX('TaxCred&amp;Subs'!$N$12:$N$47,MATCH(1,($C868&amp;$D868='TaxCred&amp;Subs'!$E$12:$E$47)*($F868='TaxCred&amp;Subs'!$C$12:$C$47),0)
),0),0),(IF($M868&gt;=IFERROR(INDEX('TaxCred&amp;Subs'!$H$12:$H$47,MATCH(1,($C868&amp;$D868='TaxCred&amp;Subs'!$D$12:$D$47)*($F868='TaxCred&amp;Subs'!$C$12:$C$47),0)
),9999),IFERROR(INDEX('TaxCred&amp;Subs'!$N$12:$N$47,MATCH(1,($C868&amp;$D868='TaxCred&amp;Subs'!$D$12:$D$47)*($F868='TaxCred&amp;Subs'!$C$12:$C$47),0)
),0),0)))),0)+IF(AND($C868=2,VALUE(RIGHT($AD868,1))&gt;2),(N868-R868)*(IFERROR(INDEX('TaxCred&amp;Subs'!$J$66:$J$99,MATCH(1,($C868&amp;$D868='TaxCred&amp;Subs'!$E$66:$E$99)*($F868='TaxCred&amp;Subs'!$C$66:$C$99),0)),0)),IF(AND($C868=1,VALUE(RIGHT($AD868,1))&gt;2),(N868-R868)*(IFERROR(INDEX('TaxCred&amp;Subs'!$J$66:$J$99,MATCH(1,($C868&amp;$D868='TaxCred&amp;Subs'!$D$66:$D$99)*($F868='TaxCred&amp;Subs'!$C$66:$C$99),0)),0)),IF($C868&gt;2,(N868-R868)*(IFERROR(INDEX('TaxCred&amp;Subs'!$J$66:$J$99,MATCH(1,($C868&amp;$D868='TaxCred&amp;Subs'!$D$66:$D$99)*($F868='TaxCred&amp;Subs'!$C$66:$C$99),0)),0)),0))),0)</f>
        <v>0</v>
      </c>
      <c r="Q868" s="95">
        <f t="array" ref="Q868">ROUND(IF(AND($C868=2,VALUE(RIGHT($AD868,1))&gt;2),(O868-S868)*(IFERROR(INDEX('TaxCred&amp;Subs'!$J$66:$J$99,MATCH(1,($C868&amp;$D868='TaxCred&amp;Subs'!$E$66:$E$99)*($F868='TaxCred&amp;Subs'!$C$66:$C$99),0)),0)),IF(AND($C868=1,VALUE(RIGHT($AD868,1))&gt;2),(O868-S868)*(IFERROR(INDEX('TaxCred&amp;Subs'!$J$66:$J$99,MATCH(1,($C868&amp;$D868='TaxCred&amp;Subs'!$D$66:$D$99)*($F868='TaxCred&amp;Subs'!$C$66:$C$99),0)),0)),IF($C868&gt;2,(O868-S868)*(IFERROR(INDEX('TaxCred&amp;Subs'!$J$66:$J$99,MATCH(1,($C868&amp;$D868='TaxCred&amp;Subs'!$D$66:$D$99)*($F868='TaxCred&amp;Subs'!$C$66:$C$99),0)),0)),0))),0)</f>
        <v>0</v>
      </c>
      <c r="R868" s="172">
        <f t="array" ref="R868">ROUND(IF(IFERROR(VALUE(RIGHT($AD868,1)),0)&gt;2,IF($C868=8,N868*IFERROR(INDEX('TaxCred&amp;Subs'!$K$139:$S$151,MATCH($C868&amp;$D868&amp;LEFT($AD868,7),'TaxCred&amp;Subs'!$E$139:$E$151,0),MATCH($H868,'TaxCred&amp;Subs'!$K$137:$S$137,0)),0),IF($C868=2,N868*IFERROR(INDEX('TaxCred&amp;Subs'!$K$139:$S$151,MATCH($C868&amp;$D868,'TaxCred&amp;Subs'!$D$139:$D$151,0),MATCH($H868,'TaxCred&amp;Subs'!$K$137:$S$137,0)),0),N868*IFERROR(INDEX('TaxCred&amp;Subs'!$K$139:$S$151,MATCH($C868&amp;$D868,'TaxCred&amp;Subs'!$C$139:$C$151,0),MATCH($H868,'TaxCred&amp;Subs'!$K$137:$S$137,0)),0))),0),0)</f>
        <v>29</v>
      </c>
      <c r="S868" s="172">
        <f t="array" ref="S868">ROUND(IF(IFERROR(VALUE(RIGHT($AD868,1)),0)&gt;2,IF($C868=8,O868*IFERROR(INDEX('TaxCred&amp;Subs'!$K$139:$S$151,MATCH($C868&amp;$D868&amp;LEFT($AD868,7),'TaxCred&amp;Subs'!$E$139:$E$151,0),MATCH($H868,'TaxCred&amp;Subs'!$K$137:$S$137,0)),0),IF($C868=2,O868*IFERROR(INDEX('TaxCred&amp;Subs'!$K$139:$S$151,MATCH($C868&amp;$D868,'TaxCred&amp;Subs'!$D$139:$D$151,0),MATCH($H868,'TaxCred&amp;Subs'!$K$137:$S$137,0)),0),O868*IFERROR(INDEX('TaxCred&amp;Subs'!$K$139:$S$151,MATCH($C868&amp;$D868,'TaxCred&amp;Subs'!$C$139:$C$151,0),MATCH($H868,'TaxCred&amp;Subs'!$K$137:$S$137,0)),0))),0),0)</f>
        <v>29</v>
      </c>
      <c r="T868" s="95">
        <f t="shared" si="56"/>
        <v>0</v>
      </c>
      <c r="U868" s="95">
        <f t="shared" si="57"/>
        <v>0</v>
      </c>
      <c r="V868" s="28" t="s">
        <v>222</v>
      </c>
      <c r="W868" s="31">
        <v>2020</v>
      </c>
      <c r="X868" s="28">
        <v>1</v>
      </c>
      <c r="Y868" s="28">
        <v>0</v>
      </c>
      <c r="Z868" s="196">
        <v>-7.8816560546936879E-3</v>
      </c>
      <c r="AA868" s="196">
        <v>-0.12125624699528749</v>
      </c>
      <c r="AB868" s="28">
        <v>0</v>
      </c>
      <c r="AC868" s="28">
        <v>0</v>
      </c>
      <c r="AD868" s="28" t="s">
        <v>393</v>
      </c>
    </row>
    <row r="869" spans="2:31" ht="14.25" customHeight="1" x14ac:dyDescent="0.2">
      <c r="B869" s="7">
        <f t="shared" si="75"/>
        <v>845</v>
      </c>
      <c r="C869" s="28">
        <v>8</v>
      </c>
      <c r="D869" s="28">
        <v>1</v>
      </c>
      <c r="E869" s="28">
        <v>11</v>
      </c>
      <c r="F869" s="96">
        <v>2020</v>
      </c>
      <c r="G869" s="28">
        <v>2050</v>
      </c>
      <c r="H869" s="28">
        <v>9</v>
      </c>
      <c r="I869" s="28">
        <v>0</v>
      </c>
      <c r="J869" s="28">
        <v>0</v>
      </c>
      <c r="K869" s="28">
        <v>0</v>
      </c>
      <c r="L869" s="28">
        <v>0</v>
      </c>
      <c r="M869" s="151">
        <v>468.64387850467284</v>
      </c>
      <c r="N869" s="151">
        <v>928.34056188571151</v>
      </c>
      <c r="O869" s="151">
        <v>928.34056188571151</v>
      </c>
      <c r="P869" s="95">
        <f t="array" ref="P869">ROUND(IF($F869&lt;='TaxCred&amp;Subs'!$C$49,(IF($C869=2,IF($M869&gt;=IFERROR(INDEX('TaxCred&amp;Subs'!$L$12:$L$47,MATCH(1,($C869&amp;$D869='TaxCred&amp;Subs'!$E$12:$E$47)*($F869='TaxCred&amp;Subs'!$C$12:$C$47),0)
),9999),IFERROR(INDEX('TaxCred&amp;Subs'!$N$12:$N$47,MATCH(1,($C869&amp;$D869='TaxCred&amp;Subs'!$E$12:$E$47)*($F869='TaxCred&amp;Subs'!$C$12:$C$47),0)
),0),0),(IF($M869&gt;=IFERROR(INDEX('TaxCred&amp;Subs'!$H$12:$H$47,MATCH(1,($C869&amp;$D869='TaxCred&amp;Subs'!$D$12:$D$47)*($F869='TaxCred&amp;Subs'!$C$12:$C$47),0)
),9999),IFERROR(INDEX('TaxCred&amp;Subs'!$N$12:$N$47,MATCH(1,($C869&amp;$D869='TaxCred&amp;Subs'!$D$12:$D$47)*($F869='TaxCred&amp;Subs'!$C$12:$C$47),0)
),0),0)))),0)+IF(AND($C869=2,VALUE(RIGHT($AD869,1))&gt;2),(N869-R869)*(IFERROR(INDEX('TaxCred&amp;Subs'!$J$66:$J$99,MATCH(1,($C869&amp;$D869='TaxCred&amp;Subs'!$E$66:$E$99)*($F869='TaxCred&amp;Subs'!$C$66:$C$99),0)),0)),IF(AND($C869=1,VALUE(RIGHT($AD869,1))&gt;2),(N869-R869)*(IFERROR(INDEX('TaxCred&amp;Subs'!$J$66:$J$99,MATCH(1,($C869&amp;$D869='TaxCred&amp;Subs'!$D$66:$D$99)*($F869='TaxCred&amp;Subs'!$C$66:$C$99),0)),0)),IF($C869&gt;2,(N869-R869)*(IFERROR(INDEX('TaxCred&amp;Subs'!$J$66:$J$99,MATCH(1,($C869&amp;$D869='TaxCred&amp;Subs'!$D$66:$D$99)*($F869='TaxCred&amp;Subs'!$C$66:$C$99),0)),0)),0))),0)</f>
        <v>0</v>
      </c>
      <c r="Q869" s="95">
        <f t="array" ref="Q869">ROUND(IF(AND($C869=2,VALUE(RIGHT($AD869,1))&gt;2),(O869-S869)*(IFERROR(INDEX('TaxCred&amp;Subs'!$J$66:$J$99,MATCH(1,($C869&amp;$D869='TaxCred&amp;Subs'!$E$66:$E$99)*($F869='TaxCred&amp;Subs'!$C$66:$C$99),0)),0)),IF(AND($C869=1,VALUE(RIGHT($AD869,1))&gt;2),(O869-S869)*(IFERROR(INDEX('TaxCred&amp;Subs'!$J$66:$J$99,MATCH(1,($C869&amp;$D869='TaxCred&amp;Subs'!$D$66:$D$99)*($F869='TaxCred&amp;Subs'!$C$66:$C$99),0)),0)),IF($C869&gt;2,(O869-S869)*(IFERROR(INDEX('TaxCred&amp;Subs'!$J$66:$J$99,MATCH(1,($C869&amp;$D869='TaxCred&amp;Subs'!$D$66:$D$99)*($F869='TaxCred&amp;Subs'!$C$66:$C$99),0)),0)),0))),0)</f>
        <v>0</v>
      </c>
      <c r="R869" s="172">
        <f t="array" ref="R869">ROUND(IF(IFERROR(VALUE(RIGHT($AD869,1)),0)&gt;2,IF($C869=8,N869*IFERROR(INDEX('TaxCred&amp;Subs'!$K$139:$S$151,MATCH($C869&amp;$D869&amp;LEFT($AD869,7),'TaxCred&amp;Subs'!$E$139:$E$151,0),MATCH($H869,'TaxCred&amp;Subs'!$K$137:$S$137,0)),0),IF($C869=2,N869*IFERROR(INDEX('TaxCred&amp;Subs'!$K$139:$S$151,MATCH($C869&amp;$D869,'TaxCred&amp;Subs'!$D$139:$D$151,0),MATCH($H869,'TaxCred&amp;Subs'!$K$137:$S$137,0)),0),N869*IFERROR(INDEX('TaxCred&amp;Subs'!$K$139:$S$151,MATCH($C869&amp;$D869,'TaxCred&amp;Subs'!$C$139:$C$151,0),MATCH($H869,'TaxCred&amp;Subs'!$K$137:$S$137,0)),0))),0),0)</f>
        <v>83</v>
      </c>
      <c r="S869" s="172">
        <f t="array" ref="S869">ROUND(IF(IFERROR(VALUE(RIGHT($AD869,1)),0)&gt;2,IF($C869=8,O869*IFERROR(INDEX('TaxCred&amp;Subs'!$K$139:$S$151,MATCH($C869&amp;$D869&amp;LEFT($AD869,7),'TaxCred&amp;Subs'!$E$139:$E$151,0),MATCH($H869,'TaxCred&amp;Subs'!$K$137:$S$137,0)),0),IF($C869=2,O869*IFERROR(INDEX('TaxCred&amp;Subs'!$K$139:$S$151,MATCH($C869&amp;$D869,'TaxCred&amp;Subs'!$D$139:$D$151,0),MATCH($H869,'TaxCred&amp;Subs'!$K$137:$S$137,0)),0),O869*IFERROR(INDEX('TaxCred&amp;Subs'!$K$139:$S$151,MATCH($C869&amp;$D869,'TaxCred&amp;Subs'!$C$139:$C$151,0),MATCH($H869,'TaxCred&amp;Subs'!$K$137:$S$137,0)),0))),0),0)</f>
        <v>83</v>
      </c>
      <c r="T869" s="172">
        <f t="shared" si="56"/>
        <v>139.25108428285671</v>
      </c>
      <c r="U869" s="172">
        <f t="shared" si="57"/>
        <v>139.25108428285671</v>
      </c>
      <c r="V869" s="28" t="s">
        <v>222</v>
      </c>
      <c r="W869" s="31">
        <v>2020</v>
      </c>
      <c r="X869" s="28">
        <v>1</v>
      </c>
      <c r="Y869" s="28">
        <v>0</v>
      </c>
      <c r="Z869" s="196">
        <v>-7.8816560546936879E-3</v>
      </c>
      <c r="AA869" s="196">
        <v>-0.12125624699528749</v>
      </c>
      <c r="AB869" s="28">
        <v>0</v>
      </c>
      <c r="AC869" s="28">
        <v>0</v>
      </c>
      <c r="AD869" s="28" t="s">
        <v>393</v>
      </c>
    </row>
    <row r="870" spans="2:31" ht="14.25" customHeight="1" x14ac:dyDescent="0.2">
      <c r="B870" s="7">
        <f t="shared" si="75"/>
        <v>846</v>
      </c>
      <c r="C870" s="28">
        <v>8</v>
      </c>
      <c r="D870" s="28">
        <v>1</v>
      </c>
      <c r="E870" s="28">
        <v>12</v>
      </c>
      <c r="F870" s="96">
        <v>2020</v>
      </c>
      <c r="G870" s="28">
        <v>2050</v>
      </c>
      <c r="H870" s="28">
        <v>1</v>
      </c>
      <c r="I870" s="28">
        <v>0</v>
      </c>
      <c r="J870" s="28">
        <v>0</v>
      </c>
      <c r="K870" s="28">
        <v>0</v>
      </c>
      <c r="L870" s="28">
        <v>0</v>
      </c>
      <c r="M870" s="79">
        <v>430</v>
      </c>
      <c r="N870" s="151">
        <v>1022.7675505324929</v>
      </c>
      <c r="O870" s="151">
        <v>1022.7675505324929</v>
      </c>
      <c r="P870" s="95">
        <f t="array" ref="P870">ROUND(IF($F870&lt;='TaxCred&amp;Subs'!$C$49,(IF($C870=2,IF($M870&gt;=IFERROR(INDEX('TaxCred&amp;Subs'!$L$12:$L$47,MATCH(1,($C870&amp;$D870='TaxCred&amp;Subs'!$E$12:$E$47)*($F870='TaxCred&amp;Subs'!$C$12:$C$47),0)
),9999),IFERROR(INDEX('TaxCred&amp;Subs'!$N$12:$N$47,MATCH(1,($C870&amp;$D870='TaxCred&amp;Subs'!$E$12:$E$47)*($F870='TaxCred&amp;Subs'!$C$12:$C$47),0)
),0),0),(IF($M870&gt;=IFERROR(INDEX('TaxCred&amp;Subs'!$H$12:$H$47,MATCH(1,($C870&amp;$D870='TaxCred&amp;Subs'!$D$12:$D$47)*($F870='TaxCred&amp;Subs'!$C$12:$C$47),0)
),9999),IFERROR(INDEX('TaxCred&amp;Subs'!$N$12:$N$47,MATCH(1,($C870&amp;$D870='TaxCred&amp;Subs'!$D$12:$D$47)*($F870='TaxCred&amp;Subs'!$C$12:$C$47),0)
),0),0)))),0)+IF(AND($C870=2,VALUE(RIGHT($AD870,1))&gt;2),(N870-R870)*(IFERROR(INDEX('TaxCred&amp;Subs'!$J$66:$J$99,MATCH(1,($C870&amp;$D870='TaxCred&amp;Subs'!$E$66:$E$99)*($F870='TaxCred&amp;Subs'!$C$66:$C$99),0)),0)),IF(AND($C870=1,VALUE(RIGHT($AD870,1))&gt;2),(N870-R870)*(IFERROR(INDEX('TaxCred&amp;Subs'!$J$66:$J$99,MATCH(1,($C870&amp;$D870='TaxCred&amp;Subs'!$D$66:$D$99)*($F870='TaxCred&amp;Subs'!$C$66:$C$99),0)),0)),IF($C870&gt;2,(N870-R870)*(IFERROR(INDEX('TaxCred&amp;Subs'!$J$66:$J$99,MATCH(1,($C870&amp;$D870='TaxCred&amp;Subs'!$D$66:$D$99)*($F870='TaxCred&amp;Subs'!$C$66:$C$99),0)),0)),0))),0)</f>
        <v>0</v>
      </c>
      <c r="Q870" s="95">
        <f t="array" ref="Q870">ROUND(IF(AND($C870=2,VALUE(RIGHT($AD870,1))&gt;2),(O870-S870)*(IFERROR(INDEX('TaxCred&amp;Subs'!$J$66:$J$99,MATCH(1,($C870&amp;$D870='TaxCred&amp;Subs'!$E$66:$E$99)*($F870='TaxCred&amp;Subs'!$C$66:$C$99),0)),0)),IF(AND($C870=1,VALUE(RIGHT($AD870,1))&gt;2),(O870-S870)*(IFERROR(INDEX('TaxCred&amp;Subs'!$J$66:$J$99,MATCH(1,($C870&amp;$D870='TaxCred&amp;Subs'!$D$66:$D$99)*($F870='TaxCred&amp;Subs'!$C$66:$C$99),0)),0)),IF($C870&gt;2,(O870-S870)*(IFERROR(INDEX('TaxCred&amp;Subs'!$J$66:$J$99,MATCH(1,($C870&amp;$D870='TaxCred&amp;Subs'!$D$66:$D$99)*($F870='TaxCred&amp;Subs'!$C$66:$C$99),0)),0)),0))),0)</f>
        <v>0</v>
      </c>
      <c r="R870" s="172">
        <f t="array" ref="R870">ROUND(IF(IFERROR(VALUE(RIGHT($AD870,1)),0)&gt;2,IF($C870=8,N870*IFERROR(INDEX('TaxCred&amp;Subs'!$K$139:$S$151,MATCH($C870&amp;$D870&amp;LEFT($AD870,7),'TaxCred&amp;Subs'!$E$139:$E$151,0),MATCH($H870,'TaxCred&amp;Subs'!$K$137:$S$137,0)),0),IF($C870=2,N870*IFERROR(INDEX('TaxCred&amp;Subs'!$K$139:$S$151,MATCH($C870&amp;$D870,'TaxCred&amp;Subs'!$D$139:$D$151,0),MATCH($H870,'TaxCred&amp;Subs'!$K$137:$S$137,0)),0),N870*IFERROR(INDEX('TaxCred&amp;Subs'!$K$139:$S$151,MATCH($C870&amp;$D870,'TaxCred&amp;Subs'!$C$139:$C$151,0),MATCH($H870,'TaxCred&amp;Subs'!$K$137:$S$137,0)),0))),0),0)</f>
        <v>9</v>
      </c>
      <c r="S870" s="172">
        <f t="array" ref="S870">ROUND(IF(IFERROR(VALUE(RIGHT($AD870,1)),0)&gt;2,IF($C870=8,O870*IFERROR(INDEX('TaxCred&amp;Subs'!$K$139:$S$151,MATCH($C870&amp;$D870&amp;LEFT($AD870,7),'TaxCred&amp;Subs'!$E$139:$E$151,0),MATCH($H870,'TaxCred&amp;Subs'!$K$137:$S$137,0)),0),IF($C870=2,O870*IFERROR(INDEX('TaxCred&amp;Subs'!$K$139:$S$151,MATCH($C870&amp;$D870,'TaxCred&amp;Subs'!$D$139:$D$151,0),MATCH($H870,'TaxCred&amp;Subs'!$K$137:$S$137,0)),0),O870*IFERROR(INDEX('TaxCred&amp;Subs'!$K$139:$S$151,MATCH($C870&amp;$D870,'TaxCred&amp;Subs'!$C$139:$C$151,0),MATCH($H870,'TaxCred&amp;Subs'!$K$137:$S$137,0)),0))),0),0)</f>
        <v>9</v>
      </c>
      <c r="T870" s="95">
        <f t="shared" si="56"/>
        <v>0</v>
      </c>
      <c r="U870" s="95">
        <f t="shared" si="57"/>
        <v>0</v>
      </c>
      <c r="V870" s="28" t="s">
        <v>222</v>
      </c>
      <c r="W870" s="31">
        <v>2020</v>
      </c>
      <c r="X870" s="28">
        <v>1</v>
      </c>
      <c r="Y870" s="28">
        <v>0</v>
      </c>
      <c r="Z870" s="196">
        <v>-7.8816560546936879E-3</v>
      </c>
      <c r="AA870" s="196">
        <v>-0.12125624699528749</v>
      </c>
      <c r="AB870" s="28">
        <v>0</v>
      </c>
      <c r="AC870" s="28">
        <v>0</v>
      </c>
      <c r="AD870" s="28" t="s">
        <v>394</v>
      </c>
    </row>
    <row r="871" spans="2:31" ht="14.25" customHeight="1" x14ac:dyDescent="0.2">
      <c r="B871" s="7">
        <f t="shared" si="75"/>
        <v>847</v>
      </c>
      <c r="C871" s="28">
        <v>8</v>
      </c>
      <c r="D871" s="28">
        <v>1</v>
      </c>
      <c r="E871" s="28">
        <v>12</v>
      </c>
      <c r="F871" s="96">
        <v>2020</v>
      </c>
      <c r="G871" s="28">
        <v>2050</v>
      </c>
      <c r="H871" s="28">
        <v>2</v>
      </c>
      <c r="I871" s="28">
        <v>0</v>
      </c>
      <c r="J871" s="28">
        <v>0</v>
      </c>
      <c r="K871" s="28">
        <v>0</v>
      </c>
      <c r="L871" s="28">
        <v>0</v>
      </c>
      <c r="M871" s="79">
        <v>430</v>
      </c>
      <c r="N871" s="151">
        <v>1022.7675505324929</v>
      </c>
      <c r="O871" s="151">
        <v>1022.7675505324929</v>
      </c>
      <c r="P871" s="95">
        <f t="array" ref="P871">ROUND(IF($F871&lt;='TaxCred&amp;Subs'!$C$49,(IF($C871=2,IF($M871&gt;=IFERROR(INDEX('TaxCred&amp;Subs'!$L$12:$L$47,MATCH(1,($C871&amp;$D871='TaxCred&amp;Subs'!$E$12:$E$47)*($F871='TaxCred&amp;Subs'!$C$12:$C$47),0)
),9999),IFERROR(INDEX('TaxCred&amp;Subs'!$N$12:$N$47,MATCH(1,($C871&amp;$D871='TaxCred&amp;Subs'!$E$12:$E$47)*($F871='TaxCred&amp;Subs'!$C$12:$C$47),0)
),0),0),(IF($M871&gt;=IFERROR(INDEX('TaxCred&amp;Subs'!$H$12:$H$47,MATCH(1,($C871&amp;$D871='TaxCred&amp;Subs'!$D$12:$D$47)*($F871='TaxCred&amp;Subs'!$C$12:$C$47),0)
),9999),IFERROR(INDEX('TaxCred&amp;Subs'!$N$12:$N$47,MATCH(1,($C871&amp;$D871='TaxCred&amp;Subs'!$D$12:$D$47)*($F871='TaxCred&amp;Subs'!$C$12:$C$47),0)
),0),0)))),0)+IF(AND($C871=2,VALUE(RIGHT($AD871,1))&gt;2),(N871-R871)*(IFERROR(INDEX('TaxCred&amp;Subs'!$J$66:$J$99,MATCH(1,($C871&amp;$D871='TaxCred&amp;Subs'!$E$66:$E$99)*($F871='TaxCred&amp;Subs'!$C$66:$C$99),0)),0)),IF(AND($C871=1,VALUE(RIGHT($AD871,1))&gt;2),(N871-R871)*(IFERROR(INDEX('TaxCred&amp;Subs'!$J$66:$J$99,MATCH(1,($C871&amp;$D871='TaxCred&amp;Subs'!$D$66:$D$99)*($F871='TaxCred&amp;Subs'!$C$66:$C$99),0)),0)),IF($C871&gt;2,(N871-R871)*(IFERROR(INDEX('TaxCred&amp;Subs'!$J$66:$J$99,MATCH(1,($C871&amp;$D871='TaxCred&amp;Subs'!$D$66:$D$99)*($F871='TaxCred&amp;Subs'!$C$66:$C$99),0)),0)),0))),0)</f>
        <v>0</v>
      </c>
      <c r="Q871" s="95">
        <f t="array" ref="Q871">ROUND(IF(AND($C871=2,VALUE(RIGHT($AD871,1))&gt;2),(O871-S871)*(IFERROR(INDEX('TaxCred&amp;Subs'!$J$66:$J$99,MATCH(1,($C871&amp;$D871='TaxCred&amp;Subs'!$E$66:$E$99)*($F871='TaxCred&amp;Subs'!$C$66:$C$99),0)),0)),IF(AND($C871=1,VALUE(RIGHT($AD871,1))&gt;2),(O871-S871)*(IFERROR(INDEX('TaxCred&amp;Subs'!$J$66:$J$99,MATCH(1,($C871&amp;$D871='TaxCred&amp;Subs'!$D$66:$D$99)*($F871='TaxCred&amp;Subs'!$C$66:$C$99),0)),0)),IF($C871&gt;2,(O871-S871)*(IFERROR(INDEX('TaxCred&amp;Subs'!$J$66:$J$99,MATCH(1,($C871&amp;$D871='TaxCred&amp;Subs'!$D$66:$D$99)*($F871='TaxCred&amp;Subs'!$C$66:$C$99),0)),0)),0))),0)</f>
        <v>0</v>
      </c>
      <c r="R871" s="172">
        <f t="array" ref="R871">ROUND(IF(IFERROR(VALUE(RIGHT($AD871,1)),0)&gt;2,IF($C871=8,N871*IFERROR(INDEX('TaxCred&amp;Subs'!$K$139:$S$151,MATCH($C871&amp;$D871&amp;LEFT($AD871,7),'TaxCred&amp;Subs'!$E$139:$E$151,0),MATCH($H871,'TaxCred&amp;Subs'!$K$137:$S$137,0)),0),IF($C871=2,N871*IFERROR(INDEX('TaxCred&amp;Subs'!$K$139:$S$151,MATCH($C871&amp;$D871,'TaxCred&amp;Subs'!$D$139:$D$151,0),MATCH($H871,'TaxCred&amp;Subs'!$K$137:$S$137,0)),0),N871*IFERROR(INDEX('TaxCred&amp;Subs'!$K$139:$S$151,MATCH($C871&amp;$D871,'TaxCred&amp;Subs'!$C$139:$C$151,0),MATCH($H871,'TaxCred&amp;Subs'!$K$137:$S$137,0)),0))),0),0)</f>
        <v>42</v>
      </c>
      <c r="S871" s="172">
        <f t="array" ref="S871">ROUND(IF(IFERROR(VALUE(RIGHT($AD871,1)),0)&gt;2,IF($C871=8,O871*IFERROR(INDEX('TaxCred&amp;Subs'!$K$139:$S$151,MATCH($C871&amp;$D871&amp;LEFT($AD871,7),'TaxCred&amp;Subs'!$E$139:$E$151,0),MATCH($H871,'TaxCred&amp;Subs'!$K$137:$S$137,0)),0),IF($C871=2,O871*IFERROR(INDEX('TaxCred&amp;Subs'!$K$139:$S$151,MATCH($C871&amp;$D871,'TaxCred&amp;Subs'!$D$139:$D$151,0),MATCH($H871,'TaxCred&amp;Subs'!$K$137:$S$137,0)),0),O871*IFERROR(INDEX('TaxCred&amp;Subs'!$K$139:$S$151,MATCH($C871&amp;$D871,'TaxCred&amp;Subs'!$C$139:$C$151,0),MATCH($H871,'TaxCred&amp;Subs'!$K$137:$S$137,0)),0))),0),0)</f>
        <v>42</v>
      </c>
      <c r="T871" s="95">
        <f t="shared" si="56"/>
        <v>0</v>
      </c>
      <c r="U871" s="95">
        <f t="shared" si="57"/>
        <v>0</v>
      </c>
      <c r="V871" s="28" t="s">
        <v>222</v>
      </c>
      <c r="W871" s="31">
        <v>2020</v>
      </c>
      <c r="X871" s="28">
        <v>1</v>
      </c>
      <c r="Y871" s="28">
        <v>0</v>
      </c>
      <c r="Z871" s="196">
        <v>-7.8816560546936879E-3</v>
      </c>
      <c r="AA871" s="196">
        <v>-0.12125624699528749</v>
      </c>
      <c r="AB871" s="28">
        <v>0</v>
      </c>
      <c r="AC871" s="28">
        <v>0</v>
      </c>
      <c r="AD871" s="28" t="s">
        <v>394</v>
      </c>
    </row>
    <row r="872" spans="2:31" ht="14.25" customHeight="1" x14ac:dyDescent="0.2">
      <c r="B872" s="7">
        <f t="shared" si="75"/>
        <v>848</v>
      </c>
      <c r="C872" s="28">
        <v>8</v>
      </c>
      <c r="D872" s="28">
        <v>1</v>
      </c>
      <c r="E872" s="28">
        <v>12</v>
      </c>
      <c r="F872" s="96">
        <v>2020</v>
      </c>
      <c r="G872" s="28">
        <v>2050</v>
      </c>
      <c r="H872" s="28">
        <v>3</v>
      </c>
      <c r="I872" s="28">
        <v>0</v>
      </c>
      <c r="J872" s="28">
        <v>0</v>
      </c>
      <c r="K872" s="28">
        <v>0</v>
      </c>
      <c r="L872" s="28">
        <v>0</v>
      </c>
      <c r="M872" s="79">
        <v>430</v>
      </c>
      <c r="N872" s="151">
        <v>1022.7675505324929</v>
      </c>
      <c r="O872" s="151">
        <v>1022.7675505324929</v>
      </c>
      <c r="P872" s="95">
        <f t="array" ref="P872">ROUND(IF($F872&lt;='TaxCred&amp;Subs'!$C$49,(IF($C872=2,IF($M872&gt;=IFERROR(INDEX('TaxCred&amp;Subs'!$L$12:$L$47,MATCH(1,($C872&amp;$D872='TaxCred&amp;Subs'!$E$12:$E$47)*($F872='TaxCred&amp;Subs'!$C$12:$C$47),0)
),9999),IFERROR(INDEX('TaxCred&amp;Subs'!$N$12:$N$47,MATCH(1,($C872&amp;$D872='TaxCred&amp;Subs'!$E$12:$E$47)*($F872='TaxCred&amp;Subs'!$C$12:$C$47),0)
),0),0),(IF($M872&gt;=IFERROR(INDEX('TaxCred&amp;Subs'!$H$12:$H$47,MATCH(1,($C872&amp;$D872='TaxCred&amp;Subs'!$D$12:$D$47)*($F872='TaxCred&amp;Subs'!$C$12:$C$47),0)
),9999),IFERROR(INDEX('TaxCred&amp;Subs'!$N$12:$N$47,MATCH(1,($C872&amp;$D872='TaxCred&amp;Subs'!$D$12:$D$47)*($F872='TaxCred&amp;Subs'!$C$12:$C$47),0)
),0),0)))),0)+IF(AND($C872=2,VALUE(RIGHT($AD872,1))&gt;2),(N872-R872)*(IFERROR(INDEX('TaxCred&amp;Subs'!$J$66:$J$99,MATCH(1,($C872&amp;$D872='TaxCred&amp;Subs'!$E$66:$E$99)*($F872='TaxCred&amp;Subs'!$C$66:$C$99),0)),0)),IF(AND($C872=1,VALUE(RIGHT($AD872,1))&gt;2),(N872-R872)*(IFERROR(INDEX('TaxCred&amp;Subs'!$J$66:$J$99,MATCH(1,($C872&amp;$D872='TaxCred&amp;Subs'!$D$66:$D$99)*($F872='TaxCred&amp;Subs'!$C$66:$C$99),0)),0)),IF($C872&gt;2,(N872-R872)*(IFERROR(INDEX('TaxCred&amp;Subs'!$J$66:$J$99,MATCH(1,($C872&amp;$D872='TaxCred&amp;Subs'!$D$66:$D$99)*($F872='TaxCred&amp;Subs'!$C$66:$C$99),0)),0)),0))),0)</f>
        <v>0</v>
      </c>
      <c r="Q872" s="95">
        <f t="array" ref="Q872">ROUND(IF(AND($C872=2,VALUE(RIGHT($AD872,1))&gt;2),(O872-S872)*(IFERROR(INDEX('TaxCred&amp;Subs'!$J$66:$J$99,MATCH(1,($C872&amp;$D872='TaxCred&amp;Subs'!$E$66:$E$99)*($F872='TaxCred&amp;Subs'!$C$66:$C$99),0)),0)),IF(AND($C872=1,VALUE(RIGHT($AD872,1))&gt;2),(O872-S872)*(IFERROR(INDEX('TaxCred&amp;Subs'!$J$66:$J$99,MATCH(1,($C872&amp;$D872='TaxCred&amp;Subs'!$D$66:$D$99)*($F872='TaxCred&amp;Subs'!$C$66:$C$99),0)),0)),IF($C872&gt;2,(O872-S872)*(IFERROR(INDEX('TaxCred&amp;Subs'!$J$66:$J$99,MATCH(1,($C872&amp;$D872='TaxCred&amp;Subs'!$D$66:$D$99)*($F872='TaxCred&amp;Subs'!$C$66:$C$99),0)),0)),0))),0)</f>
        <v>0</v>
      </c>
      <c r="R872" s="172">
        <f t="array" ref="R872">ROUND(IF(IFERROR(VALUE(RIGHT($AD872,1)),0)&gt;2,IF($C872=8,N872*IFERROR(INDEX('TaxCred&amp;Subs'!$K$139:$S$151,MATCH($C872&amp;$D872&amp;LEFT($AD872,7),'TaxCred&amp;Subs'!$E$139:$E$151,0),MATCH($H872,'TaxCred&amp;Subs'!$K$137:$S$137,0)),0),IF($C872=2,N872*IFERROR(INDEX('TaxCred&amp;Subs'!$K$139:$S$151,MATCH($C872&amp;$D872,'TaxCred&amp;Subs'!$D$139:$D$151,0),MATCH($H872,'TaxCred&amp;Subs'!$K$137:$S$137,0)),0),N872*IFERROR(INDEX('TaxCred&amp;Subs'!$K$139:$S$151,MATCH($C872&amp;$D872,'TaxCred&amp;Subs'!$C$139:$C$151,0),MATCH($H872,'TaxCred&amp;Subs'!$K$137:$S$137,0)),0))),0),0)</f>
        <v>37</v>
      </c>
      <c r="S872" s="172">
        <f t="array" ref="S872">ROUND(IF(IFERROR(VALUE(RIGHT($AD872,1)),0)&gt;2,IF($C872=8,O872*IFERROR(INDEX('TaxCred&amp;Subs'!$K$139:$S$151,MATCH($C872&amp;$D872&amp;LEFT($AD872,7),'TaxCred&amp;Subs'!$E$139:$E$151,0),MATCH($H872,'TaxCred&amp;Subs'!$K$137:$S$137,0)),0),IF($C872=2,O872*IFERROR(INDEX('TaxCred&amp;Subs'!$K$139:$S$151,MATCH($C872&amp;$D872,'TaxCred&amp;Subs'!$D$139:$D$151,0),MATCH($H872,'TaxCred&amp;Subs'!$K$137:$S$137,0)),0),O872*IFERROR(INDEX('TaxCred&amp;Subs'!$K$139:$S$151,MATCH($C872&amp;$D872,'TaxCred&amp;Subs'!$C$139:$C$151,0),MATCH($H872,'TaxCred&amp;Subs'!$K$137:$S$137,0)),0))),0),0)</f>
        <v>37</v>
      </c>
      <c r="T872" s="95">
        <f t="shared" si="56"/>
        <v>0</v>
      </c>
      <c r="U872" s="95">
        <f t="shared" si="57"/>
        <v>0</v>
      </c>
      <c r="V872" s="28" t="s">
        <v>222</v>
      </c>
      <c r="W872" s="31">
        <v>2020</v>
      </c>
      <c r="X872" s="28">
        <v>1</v>
      </c>
      <c r="Y872" s="28">
        <v>0</v>
      </c>
      <c r="Z872" s="196">
        <v>-7.8816560546936879E-3</v>
      </c>
      <c r="AA872" s="196">
        <v>-0.12125624699528749</v>
      </c>
      <c r="AB872" s="28">
        <v>0</v>
      </c>
      <c r="AC872" s="28">
        <v>0</v>
      </c>
      <c r="AD872" s="28" t="s">
        <v>394</v>
      </c>
    </row>
    <row r="873" spans="2:31" ht="14.25" customHeight="1" x14ac:dyDescent="0.2">
      <c r="B873" s="7">
        <f t="shared" si="75"/>
        <v>849</v>
      </c>
      <c r="C873" s="28">
        <v>8</v>
      </c>
      <c r="D873" s="28">
        <v>1</v>
      </c>
      <c r="E873" s="28">
        <v>12</v>
      </c>
      <c r="F873" s="96">
        <v>2020</v>
      </c>
      <c r="G873" s="28">
        <v>2050</v>
      </c>
      <c r="H873" s="28">
        <v>4</v>
      </c>
      <c r="I873" s="28">
        <v>0</v>
      </c>
      <c r="J873" s="28">
        <v>0</v>
      </c>
      <c r="K873" s="28">
        <v>0</v>
      </c>
      <c r="L873" s="28">
        <v>0</v>
      </c>
      <c r="M873" s="79">
        <v>430</v>
      </c>
      <c r="N873" s="151">
        <v>1022.7675505324929</v>
      </c>
      <c r="O873" s="151">
        <v>1022.7675505324929</v>
      </c>
      <c r="P873" s="95">
        <f t="array" ref="P873">ROUND(IF($F873&lt;='TaxCred&amp;Subs'!$C$49,(IF($C873=2,IF($M873&gt;=IFERROR(INDEX('TaxCred&amp;Subs'!$L$12:$L$47,MATCH(1,($C873&amp;$D873='TaxCred&amp;Subs'!$E$12:$E$47)*($F873='TaxCred&amp;Subs'!$C$12:$C$47),0)
),9999),IFERROR(INDEX('TaxCred&amp;Subs'!$N$12:$N$47,MATCH(1,($C873&amp;$D873='TaxCred&amp;Subs'!$E$12:$E$47)*($F873='TaxCred&amp;Subs'!$C$12:$C$47),0)
),0),0),(IF($M873&gt;=IFERROR(INDEX('TaxCred&amp;Subs'!$H$12:$H$47,MATCH(1,($C873&amp;$D873='TaxCred&amp;Subs'!$D$12:$D$47)*($F873='TaxCred&amp;Subs'!$C$12:$C$47),0)
),9999),IFERROR(INDEX('TaxCred&amp;Subs'!$N$12:$N$47,MATCH(1,($C873&amp;$D873='TaxCred&amp;Subs'!$D$12:$D$47)*($F873='TaxCred&amp;Subs'!$C$12:$C$47),0)
),0),0)))),0)+IF(AND($C873=2,VALUE(RIGHT($AD873,1))&gt;2),(N873-R873)*(IFERROR(INDEX('TaxCred&amp;Subs'!$J$66:$J$99,MATCH(1,($C873&amp;$D873='TaxCred&amp;Subs'!$E$66:$E$99)*($F873='TaxCred&amp;Subs'!$C$66:$C$99),0)),0)),IF(AND($C873=1,VALUE(RIGHT($AD873,1))&gt;2),(N873-R873)*(IFERROR(INDEX('TaxCred&amp;Subs'!$J$66:$J$99,MATCH(1,($C873&amp;$D873='TaxCred&amp;Subs'!$D$66:$D$99)*($F873='TaxCred&amp;Subs'!$C$66:$C$99),0)),0)),IF($C873&gt;2,(N873-R873)*(IFERROR(INDEX('TaxCred&amp;Subs'!$J$66:$J$99,MATCH(1,($C873&amp;$D873='TaxCred&amp;Subs'!$D$66:$D$99)*($F873='TaxCred&amp;Subs'!$C$66:$C$99),0)),0)),0))),0)</f>
        <v>0</v>
      </c>
      <c r="Q873" s="95">
        <f t="array" ref="Q873">ROUND(IF(AND($C873=2,VALUE(RIGHT($AD873,1))&gt;2),(O873-S873)*(IFERROR(INDEX('TaxCred&amp;Subs'!$J$66:$J$99,MATCH(1,($C873&amp;$D873='TaxCred&amp;Subs'!$E$66:$E$99)*($F873='TaxCred&amp;Subs'!$C$66:$C$99),0)),0)),IF(AND($C873=1,VALUE(RIGHT($AD873,1))&gt;2),(O873-S873)*(IFERROR(INDEX('TaxCred&amp;Subs'!$J$66:$J$99,MATCH(1,($C873&amp;$D873='TaxCred&amp;Subs'!$D$66:$D$99)*($F873='TaxCred&amp;Subs'!$C$66:$C$99),0)),0)),IF($C873&gt;2,(O873-S873)*(IFERROR(INDEX('TaxCred&amp;Subs'!$J$66:$J$99,MATCH(1,($C873&amp;$D873='TaxCred&amp;Subs'!$D$66:$D$99)*($F873='TaxCred&amp;Subs'!$C$66:$C$99),0)),0)),0))),0)</f>
        <v>0</v>
      </c>
      <c r="R873" s="172">
        <f t="array" ref="R873">ROUND(IF(IFERROR(VALUE(RIGHT($AD873,1)),0)&gt;2,IF($C873=8,N873*IFERROR(INDEX('TaxCred&amp;Subs'!$K$139:$S$151,MATCH($C873&amp;$D873&amp;LEFT($AD873,7),'TaxCred&amp;Subs'!$E$139:$E$151,0),MATCH($H873,'TaxCred&amp;Subs'!$K$137:$S$137,0)),0),IF($C873=2,N873*IFERROR(INDEX('TaxCred&amp;Subs'!$K$139:$S$151,MATCH($C873&amp;$D873,'TaxCred&amp;Subs'!$D$139:$D$151,0),MATCH($H873,'TaxCred&amp;Subs'!$K$137:$S$137,0)),0),N873*IFERROR(INDEX('TaxCred&amp;Subs'!$K$139:$S$151,MATCH($C873&amp;$D873,'TaxCred&amp;Subs'!$C$139:$C$151,0),MATCH($H873,'TaxCred&amp;Subs'!$K$137:$S$137,0)),0))),0),0)</f>
        <v>23</v>
      </c>
      <c r="S873" s="172">
        <f t="array" ref="S873">ROUND(IF(IFERROR(VALUE(RIGHT($AD873,1)),0)&gt;2,IF($C873=8,O873*IFERROR(INDEX('TaxCred&amp;Subs'!$K$139:$S$151,MATCH($C873&amp;$D873&amp;LEFT($AD873,7),'TaxCred&amp;Subs'!$E$139:$E$151,0),MATCH($H873,'TaxCred&amp;Subs'!$K$137:$S$137,0)),0),IF($C873=2,O873*IFERROR(INDEX('TaxCred&amp;Subs'!$K$139:$S$151,MATCH($C873&amp;$D873,'TaxCred&amp;Subs'!$D$139:$D$151,0),MATCH($H873,'TaxCred&amp;Subs'!$K$137:$S$137,0)),0),O873*IFERROR(INDEX('TaxCred&amp;Subs'!$K$139:$S$151,MATCH($C873&amp;$D873,'TaxCred&amp;Subs'!$C$139:$C$151,0),MATCH($H873,'TaxCred&amp;Subs'!$K$137:$S$137,0)),0))),0),0)</f>
        <v>23</v>
      </c>
      <c r="T873" s="95">
        <f t="shared" si="56"/>
        <v>0</v>
      </c>
      <c r="U873" s="95">
        <f t="shared" si="57"/>
        <v>0</v>
      </c>
      <c r="V873" s="28" t="s">
        <v>222</v>
      </c>
      <c r="W873" s="31">
        <v>2020</v>
      </c>
      <c r="X873" s="28">
        <v>1</v>
      </c>
      <c r="Y873" s="28">
        <v>0</v>
      </c>
      <c r="Z873" s="196">
        <v>-7.8816560546936879E-3</v>
      </c>
      <c r="AA873" s="196">
        <v>-0.12125624699528749</v>
      </c>
      <c r="AB873" s="28">
        <v>0</v>
      </c>
      <c r="AC873" s="28">
        <v>0</v>
      </c>
      <c r="AD873" s="28" t="s">
        <v>394</v>
      </c>
    </row>
    <row r="874" spans="2:31" ht="14.25" customHeight="1" x14ac:dyDescent="0.2">
      <c r="B874" s="7">
        <f t="shared" si="75"/>
        <v>850</v>
      </c>
      <c r="C874" s="28">
        <v>8</v>
      </c>
      <c r="D874" s="28">
        <v>1</v>
      </c>
      <c r="E874" s="28">
        <v>12</v>
      </c>
      <c r="F874" s="96">
        <v>2020</v>
      </c>
      <c r="G874" s="28">
        <v>2050</v>
      </c>
      <c r="H874" s="28">
        <v>5</v>
      </c>
      <c r="I874" s="28">
        <v>0</v>
      </c>
      <c r="J874" s="28">
        <v>0</v>
      </c>
      <c r="K874" s="28">
        <v>0</v>
      </c>
      <c r="L874" s="28">
        <v>0</v>
      </c>
      <c r="M874" s="79">
        <v>430</v>
      </c>
      <c r="N874" s="151">
        <v>1022.7675505324929</v>
      </c>
      <c r="O874" s="151">
        <v>1022.7675505324929</v>
      </c>
      <c r="P874" s="95">
        <f t="array" ref="P874">ROUND(IF($F874&lt;='TaxCred&amp;Subs'!$C$49,(IF($C874=2,IF($M874&gt;=IFERROR(INDEX('TaxCred&amp;Subs'!$L$12:$L$47,MATCH(1,($C874&amp;$D874='TaxCred&amp;Subs'!$E$12:$E$47)*($F874='TaxCred&amp;Subs'!$C$12:$C$47),0)
),9999),IFERROR(INDEX('TaxCred&amp;Subs'!$N$12:$N$47,MATCH(1,($C874&amp;$D874='TaxCred&amp;Subs'!$E$12:$E$47)*($F874='TaxCred&amp;Subs'!$C$12:$C$47),0)
),0),0),(IF($M874&gt;=IFERROR(INDEX('TaxCred&amp;Subs'!$H$12:$H$47,MATCH(1,($C874&amp;$D874='TaxCred&amp;Subs'!$D$12:$D$47)*($F874='TaxCred&amp;Subs'!$C$12:$C$47),0)
),9999),IFERROR(INDEX('TaxCred&amp;Subs'!$N$12:$N$47,MATCH(1,($C874&amp;$D874='TaxCred&amp;Subs'!$D$12:$D$47)*($F874='TaxCred&amp;Subs'!$C$12:$C$47),0)
),0),0)))),0)+IF(AND($C874=2,VALUE(RIGHT($AD874,1))&gt;2),(N874-R874)*(IFERROR(INDEX('TaxCred&amp;Subs'!$J$66:$J$99,MATCH(1,($C874&amp;$D874='TaxCred&amp;Subs'!$E$66:$E$99)*($F874='TaxCred&amp;Subs'!$C$66:$C$99),0)),0)),IF(AND($C874=1,VALUE(RIGHT($AD874,1))&gt;2),(N874-R874)*(IFERROR(INDEX('TaxCred&amp;Subs'!$J$66:$J$99,MATCH(1,($C874&amp;$D874='TaxCred&amp;Subs'!$D$66:$D$99)*($F874='TaxCred&amp;Subs'!$C$66:$C$99),0)),0)),IF($C874&gt;2,(N874-R874)*(IFERROR(INDEX('TaxCred&amp;Subs'!$J$66:$J$99,MATCH(1,($C874&amp;$D874='TaxCred&amp;Subs'!$D$66:$D$99)*($F874='TaxCred&amp;Subs'!$C$66:$C$99),0)),0)),0))),0)</f>
        <v>0</v>
      </c>
      <c r="Q874" s="95">
        <f t="array" ref="Q874">ROUND(IF(AND($C874=2,VALUE(RIGHT($AD874,1))&gt;2),(O874-S874)*(IFERROR(INDEX('TaxCred&amp;Subs'!$J$66:$J$99,MATCH(1,($C874&amp;$D874='TaxCred&amp;Subs'!$E$66:$E$99)*($F874='TaxCred&amp;Subs'!$C$66:$C$99),0)),0)),IF(AND($C874=1,VALUE(RIGHT($AD874,1))&gt;2),(O874-S874)*(IFERROR(INDEX('TaxCred&amp;Subs'!$J$66:$J$99,MATCH(1,($C874&amp;$D874='TaxCred&amp;Subs'!$D$66:$D$99)*($F874='TaxCred&amp;Subs'!$C$66:$C$99),0)),0)),IF($C874&gt;2,(O874-S874)*(IFERROR(INDEX('TaxCred&amp;Subs'!$J$66:$J$99,MATCH(1,($C874&amp;$D874='TaxCred&amp;Subs'!$D$66:$D$99)*($F874='TaxCred&amp;Subs'!$C$66:$C$99),0)),0)),0))),0)</f>
        <v>0</v>
      </c>
      <c r="R874" s="172">
        <f t="array" ref="R874">ROUND(IF(IFERROR(VALUE(RIGHT($AD874,1)),0)&gt;2,IF($C874=8,N874*IFERROR(INDEX('TaxCred&amp;Subs'!$K$139:$S$151,MATCH($C874&amp;$D874&amp;LEFT($AD874,7),'TaxCred&amp;Subs'!$E$139:$E$151,0),MATCH($H874,'TaxCred&amp;Subs'!$K$137:$S$137,0)),0),IF($C874=2,N874*IFERROR(INDEX('TaxCred&amp;Subs'!$K$139:$S$151,MATCH($C874&amp;$D874,'TaxCred&amp;Subs'!$D$139:$D$151,0),MATCH($H874,'TaxCred&amp;Subs'!$K$137:$S$137,0)),0),N874*IFERROR(INDEX('TaxCred&amp;Subs'!$K$139:$S$151,MATCH($C874&amp;$D874,'TaxCred&amp;Subs'!$C$139:$C$151,0),MATCH($H874,'TaxCred&amp;Subs'!$K$137:$S$137,0)),0))),0),0)</f>
        <v>48</v>
      </c>
      <c r="S874" s="172">
        <f t="array" ref="S874">ROUND(IF(IFERROR(VALUE(RIGHT($AD874,1)),0)&gt;2,IF($C874=8,O874*IFERROR(INDEX('TaxCred&amp;Subs'!$K$139:$S$151,MATCH($C874&amp;$D874&amp;LEFT($AD874,7),'TaxCred&amp;Subs'!$E$139:$E$151,0),MATCH($H874,'TaxCred&amp;Subs'!$K$137:$S$137,0)),0),IF($C874=2,O874*IFERROR(INDEX('TaxCred&amp;Subs'!$K$139:$S$151,MATCH($C874&amp;$D874,'TaxCred&amp;Subs'!$D$139:$D$151,0),MATCH($H874,'TaxCred&amp;Subs'!$K$137:$S$137,0)),0),O874*IFERROR(INDEX('TaxCred&amp;Subs'!$K$139:$S$151,MATCH($C874&amp;$D874,'TaxCred&amp;Subs'!$C$139:$C$151,0),MATCH($H874,'TaxCred&amp;Subs'!$K$137:$S$137,0)),0))),0),0)</f>
        <v>48</v>
      </c>
      <c r="T874" s="95">
        <f t="shared" si="56"/>
        <v>0</v>
      </c>
      <c r="U874" s="95">
        <f t="shared" si="57"/>
        <v>0</v>
      </c>
      <c r="V874" s="28" t="s">
        <v>222</v>
      </c>
      <c r="W874" s="31">
        <v>2020</v>
      </c>
      <c r="X874" s="28">
        <v>1</v>
      </c>
      <c r="Y874" s="28">
        <v>0</v>
      </c>
      <c r="Z874" s="196">
        <v>-7.8816560546936879E-3</v>
      </c>
      <c r="AA874" s="196">
        <v>-0.12125624699528749</v>
      </c>
      <c r="AB874" s="28">
        <v>0</v>
      </c>
      <c r="AC874" s="28">
        <v>0</v>
      </c>
      <c r="AD874" s="28" t="s">
        <v>394</v>
      </c>
    </row>
    <row r="875" spans="2:31" ht="14.25" customHeight="1" x14ac:dyDescent="0.2">
      <c r="B875" s="7">
        <f t="shared" si="75"/>
        <v>851</v>
      </c>
      <c r="C875" s="28">
        <v>8</v>
      </c>
      <c r="D875" s="28">
        <v>1</v>
      </c>
      <c r="E875" s="28">
        <v>12</v>
      </c>
      <c r="F875" s="96">
        <v>2020</v>
      </c>
      <c r="G875" s="28">
        <v>2050</v>
      </c>
      <c r="H875" s="28">
        <v>6</v>
      </c>
      <c r="I875" s="28">
        <v>0</v>
      </c>
      <c r="J875" s="28">
        <v>0</v>
      </c>
      <c r="K875" s="28">
        <v>0</v>
      </c>
      <c r="L875" s="28">
        <v>0</v>
      </c>
      <c r="M875" s="79">
        <v>430</v>
      </c>
      <c r="N875" s="151">
        <v>1022.7675505324929</v>
      </c>
      <c r="O875" s="151">
        <v>1022.7675505324929</v>
      </c>
      <c r="P875" s="95">
        <f t="array" ref="P875">ROUND(IF($F875&lt;='TaxCred&amp;Subs'!$C$49,(IF($C875=2,IF($M875&gt;=IFERROR(INDEX('TaxCred&amp;Subs'!$L$12:$L$47,MATCH(1,($C875&amp;$D875='TaxCred&amp;Subs'!$E$12:$E$47)*($F875='TaxCred&amp;Subs'!$C$12:$C$47),0)
),9999),IFERROR(INDEX('TaxCred&amp;Subs'!$N$12:$N$47,MATCH(1,($C875&amp;$D875='TaxCred&amp;Subs'!$E$12:$E$47)*($F875='TaxCred&amp;Subs'!$C$12:$C$47),0)
),0),0),(IF($M875&gt;=IFERROR(INDEX('TaxCred&amp;Subs'!$H$12:$H$47,MATCH(1,($C875&amp;$D875='TaxCred&amp;Subs'!$D$12:$D$47)*($F875='TaxCred&amp;Subs'!$C$12:$C$47),0)
),9999),IFERROR(INDEX('TaxCred&amp;Subs'!$N$12:$N$47,MATCH(1,($C875&amp;$D875='TaxCred&amp;Subs'!$D$12:$D$47)*($F875='TaxCred&amp;Subs'!$C$12:$C$47),0)
),0),0)))),0)+IF(AND($C875=2,VALUE(RIGHT($AD875,1))&gt;2),(N875-R875)*(IFERROR(INDEX('TaxCred&amp;Subs'!$J$66:$J$99,MATCH(1,($C875&amp;$D875='TaxCred&amp;Subs'!$E$66:$E$99)*($F875='TaxCred&amp;Subs'!$C$66:$C$99),0)),0)),IF(AND($C875=1,VALUE(RIGHT($AD875,1))&gt;2),(N875-R875)*(IFERROR(INDEX('TaxCred&amp;Subs'!$J$66:$J$99,MATCH(1,($C875&amp;$D875='TaxCred&amp;Subs'!$D$66:$D$99)*($F875='TaxCred&amp;Subs'!$C$66:$C$99),0)),0)),IF($C875&gt;2,(N875-R875)*(IFERROR(INDEX('TaxCred&amp;Subs'!$J$66:$J$99,MATCH(1,($C875&amp;$D875='TaxCred&amp;Subs'!$D$66:$D$99)*($F875='TaxCred&amp;Subs'!$C$66:$C$99),0)),0)),0))),0)</f>
        <v>0</v>
      </c>
      <c r="Q875" s="95">
        <f t="array" ref="Q875">ROUND(IF(AND($C875=2,VALUE(RIGHT($AD875,1))&gt;2),(O875-S875)*(IFERROR(INDEX('TaxCred&amp;Subs'!$J$66:$J$99,MATCH(1,($C875&amp;$D875='TaxCred&amp;Subs'!$E$66:$E$99)*($F875='TaxCred&amp;Subs'!$C$66:$C$99),0)),0)),IF(AND($C875=1,VALUE(RIGHT($AD875,1))&gt;2),(O875-S875)*(IFERROR(INDEX('TaxCred&amp;Subs'!$J$66:$J$99,MATCH(1,($C875&amp;$D875='TaxCred&amp;Subs'!$D$66:$D$99)*($F875='TaxCred&amp;Subs'!$C$66:$C$99),0)),0)),IF($C875&gt;2,(O875-S875)*(IFERROR(INDEX('TaxCred&amp;Subs'!$J$66:$J$99,MATCH(1,($C875&amp;$D875='TaxCred&amp;Subs'!$D$66:$D$99)*($F875='TaxCred&amp;Subs'!$C$66:$C$99),0)),0)),0))),0)</f>
        <v>0</v>
      </c>
      <c r="R875" s="172">
        <f t="array" ref="R875">ROUND(IF(IFERROR(VALUE(RIGHT($AD875,1)),0)&gt;2,IF($C875=8,N875*IFERROR(INDEX('TaxCred&amp;Subs'!$K$139:$S$151,MATCH($C875&amp;$D875&amp;LEFT($AD875,7),'TaxCred&amp;Subs'!$E$139:$E$151,0),MATCH($H875,'TaxCred&amp;Subs'!$K$137:$S$137,0)),0),IF($C875=2,N875*IFERROR(INDEX('TaxCred&amp;Subs'!$K$139:$S$151,MATCH($C875&amp;$D875,'TaxCred&amp;Subs'!$D$139:$D$151,0),MATCH($H875,'TaxCred&amp;Subs'!$K$137:$S$137,0)),0),N875*IFERROR(INDEX('TaxCred&amp;Subs'!$K$139:$S$151,MATCH($C875&amp;$D875,'TaxCred&amp;Subs'!$C$139:$C$151,0),MATCH($H875,'TaxCred&amp;Subs'!$K$137:$S$137,0)),0))),0),0)</f>
        <v>70</v>
      </c>
      <c r="S875" s="172">
        <f t="array" ref="S875">ROUND(IF(IFERROR(VALUE(RIGHT($AD875,1)),0)&gt;2,IF($C875=8,O875*IFERROR(INDEX('TaxCred&amp;Subs'!$K$139:$S$151,MATCH($C875&amp;$D875&amp;LEFT($AD875,7),'TaxCred&amp;Subs'!$E$139:$E$151,0),MATCH($H875,'TaxCred&amp;Subs'!$K$137:$S$137,0)),0),IF($C875=2,O875*IFERROR(INDEX('TaxCred&amp;Subs'!$K$139:$S$151,MATCH($C875&amp;$D875,'TaxCred&amp;Subs'!$D$139:$D$151,0),MATCH($H875,'TaxCred&amp;Subs'!$K$137:$S$137,0)),0),O875*IFERROR(INDEX('TaxCred&amp;Subs'!$K$139:$S$151,MATCH($C875&amp;$D875,'TaxCred&amp;Subs'!$C$139:$C$151,0),MATCH($H875,'TaxCred&amp;Subs'!$K$137:$S$137,0)),0))),0),0)</f>
        <v>70</v>
      </c>
      <c r="T875" s="95">
        <f t="shared" si="56"/>
        <v>0</v>
      </c>
      <c r="U875" s="95">
        <f t="shared" si="57"/>
        <v>0</v>
      </c>
      <c r="V875" s="28" t="s">
        <v>222</v>
      </c>
      <c r="W875" s="31">
        <v>2020</v>
      </c>
      <c r="X875" s="28">
        <v>1</v>
      </c>
      <c r="Y875" s="28">
        <v>0</v>
      </c>
      <c r="Z875" s="196">
        <v>-7.8816560546936879E-3</v>
      </c>
      <c r="AA875" s="196">
        <v>-0.12125624699528749</v>
      </c>
      <c r="AB875" s="28">
        <v>0</v>
      </c>
      <c r="AC875" s="28">
        <v>0</v>
      </c>
      <c r="AD875" s="28" t="s">
        <v>394</v>
      </c>
    </row>
    <row r="876" spans="2:31" ht="14.25" customHeight="1" x14ac:dyDescent="0.2">
      <c r="B876" s="7">
        <f t="shared" si="75"/>
        <v>852</v>
      </c>
      <c r="C876" s="28">
        <v>8</v>
      </c>
      <c r="D876" s="28">
        <v>1</v>
      </c>
      <c r="E876" s="28">
        <v>12</v>
      </c>
      <c r="F876" s="96">
        <v>2020</v>
      </c>
      <c r="G876" s="28">
        <v>2050</v>
      </c>
      <c r="H876" s="28">
        <v>7</v>
      </c>
      <c r="I876" s="28">
        <v>0</v>
      </c>
      <c r="J876" s="28">
        <v>0</v>
      </c>
      <c r="K876" s="28">
        <v>0</v>
      </c>
      <c r="L876" s="28">
        <v>0</v>
      </c>
      <c r="M876" s="79">
        <v>430</v>
      </c>
      <c r="N876" s="151">
        <v>1022.7675505324929</v>
      </c>
      <c r="O876" s="151">
        <v>1022.7675505324929</v>
      </c>
      <c r="P876" s="95">
        <f t="array" ref="P876">ROUND(IF($F876&lt;='TaxCred&amp;Subs'!$C$49,(IF($C876=2,IF($M876&gt;=IFERROR(INDEX('TaxCred&amp;Subs'!$L$12:$L$47,MATCH(1,($C876&amp;$D876='TaxCred&amp;Subs'!$E$12:$E$47)*($F876='TaxCred&amp;Subs'!$C$12:$C$47),0)
),9999),IFERROR(INDEX('TaxCred&amp;Subs'!$N$12:$N$47,MATCH(1,($C876&amp;$D876='TaxCred&amp;Subs'!$E$12:$E$47)*($F876='TaxCred&amp;Subs'!$C$12:$C$47),0)
),0),0),(IF($M876&gt;=IFERROR(INDEX('TaxCred&amp;Subs'!$H$12:$H$47,MATCH(1,($C876&amp;$D876='TaxCred&amp;Subs'!$D$12:$D$47)*($F876='TaxCred&amp;Subs'!$C$12:$C$47),0)
),9999),IFERROR(INDEX('TaxCred&amp;Subs'!$N$12:$N$47,MATCH(1,($C876&amp;$D876='TaxCred&amp;Subs'!$D$12:$D$47)*($F876='TaxCred&amp;Subs'!$C$12:$C$47),0)
),0),0)))),0)+IF(AND($C876=2,VALUE(RIGHT($AD876,1))&gt;2),(N876-R876)*(IFERROR(INDEX('TaxCred&amp;Subs'!$J$66:$J$99,MATCH(1,($C876&amp;$D876='TaxCred&amp;Subs'!$E$66:$E$99)*($F876='TaxCred&amp;Subs'!$C$66:$C$99),0)),0)),IF(AND($C876=1,VALUE(RIGHT($AD876,1))&gt;2),(N876-R876)*(IFERROR(INDEX('TaxCred&amp;Subs'!$J$66:$J$99,MATCH(1,($C876&amp;$D876='TaxCred&amp;Subs'!$D$66:$D$99)*($F876='TaxCred&amp;Subs'!$C$66:$C$99),0)),0)),IF($C876&gt;2,(N876-R876)*(IFERROR(INDEX('TaxCred&amp;Subs'!$J$66:$J$99,MATCH(1,($C876&amp;$D876='TaxCred&amp;Subs'!$D$66:$D$99)*($F876='TaxCred&amp;Subs'!$C$66:$C$99),0)),0)),0))),0)</f>
        <v>0</v>
      </c>
      <c r="Q876" s="95">
        <f t="array" ref="Q876">ROUND(IF(AND($C876=2,VALUE(RIGHT($AD876,1))&gt;2),(O876-S876)*(IFERROR(INDEX('TaxCred&amp;Subs'!$J$66:$J$99,MATCH(1,($C876&amp;$D876='TaxCred&amp;Subs'!$E$66:$E$99)*($F876='TaxCred&amp;Subs'!$C$66:$C$99),0)),0)),IF(AND($C876=1,VALUE(RIGHT($AD876,1))&gt;2),(O876-S876)*(IFERROR(INDEX('TaxCred&amp;Subs'!$J$66:$J$99,MATCH(1,($C876&amp;$D876='TaxCred&amp;Subs'!$D$66:$D$99)*($F876='TaxCred&amp;Subs'!$C$66:$C$99),0)),0)),IF($C876&gt;2,(O876-S876)*(IFERROR(INDEX('TaxCred&amp;Subs'!$J$66:$J$99,MATCH(1,($C876&amp;$D876='TaxCred&amp;Subs'!$D$66:$D$99)*($F876='TaxCred&amp;Subs'!$C$66:$C$99),0)),0)),0))),0)</f>
        <v>0</v>
      </c>
      <c r="R876" s="172">
        <f t="array" ref="R876">ROUND(IF(IFERROR(VALUE(RIGHT($AD876,1)),0)&gt;2,IF($C876=8,N876*IFERROR(INDEX('TaxCred&amp;Subs'!$K$139:$S$151,MATCH($C876&amp;$D876&amp;LEFT($AD876,7),'TaxCred&amp;Subs'!$E$139:$E$151,0),MATCH($H876,'TaxCred&amp;Subs'!$K$137:$S$137,0)),0),IF($C876=2,N876*IFERROR(INDEX('TaxCred&amp;Subs'!$K$139:$S$151,MATCH($C876&amp;$D876,'TaxCred&amp;Subs'!$D$139:$D$151,0),MATCH($H876,'TaxCred&amp;Subs'!$K$137:$S$137,0)),0),N876*IFERROR(INDEX('TaxCred&amp;Subs'!$K$139:$S$151,MATCH($C876&amp;$D876,'TaxCred&amp;Subs'!$C$139:$C$151,0),MATCH($H876,'TaxCred&amp;Subs'!$K$137:$S$137,0)),0))),0),0)</f>
        <v>8</v>
      </c>
      <c r="S876" s="172">
        <f t="array" ref="S876">ROUND(IF(IFERROR(VALUE(RIGHT($AD876,1)),0)&gt;2,IF($C876=8,O876*IFERROR(INDEX('TaxCred&amp;Subs'!$K$139:$S$151,MATCH($C876&amp;$D876&amp;LEFT($AD876,7),'TaxCred&amp;Subs'!$E$139:$E$151,0),MATCH($H876,'TaxCred&amp;Subs'!$K$137:$S$137,0)),0),IF($C876=2,O876*IFERROR(INDEX('TaxCred&amp;Subs'!$K$139:$S$151,MATCH($C876&amp;$D876,'TaxCred&amp;Subs'!$D$139:$D$151,0),MATCH($H876,'TaxCred&amp;Subs'!$K$137:$S$137,0)),0),O876*IFERROR(INDEX('TaxCred&amp;Subs'!$K$139:$S$151,MATCH($C876&amp;$D876,'TaxCred&amp;Subs'!$C$139:$C$151,0),MATCH($H876,'TaxCred&amp;Subs'!$K$137:$S$137,0)),0))),0),0)</f>
        <v>8</v>
      </c>
      <c r="T876" s="95">
        <f t="shared" si="56"/>
        <v>0</v>
      </c>
      <c r="U876" s="95">
        <f t="shared" si="57"/>
        <v>0</v>
      </c>
      <c r="V876" s="28" t="s">
        <v>222</v>
      </c>
      <c r="W876" s="31">
        <v>2020</v>
      </c>
      <c r="X876" s="28">
        <v>1</v>
      </c>
      <c r="Y876" s="28">
        <v>0</v>
      </c>
      <c r="Z876" s="196">
        <v>-7.8816560546936879E-3</v>
      </c>
      <c r="AA876" s="196">
        <v>-0.12125624699528749</v>
      </c>
      <c r="AB876" s="28">
        <v>0</v>
      </c>
      <c r="AC876" s="28">
        <v>0</v>
      </c>
      <c r="AD876" s="28" t="s">
        <v>394</v>
      </c>
    </row>
    <row r="877" spans="2:31" ht="14.25" customHeight="1" x14ac:dyDescent="0.2">
      <c r="B877" s="7">
        <f t="shared" si="75"/>
        <v>853</v>
      </c>
      <c r="C877" s="28">
        <v>8</v>
      </c>
      <c r="D877" s="28">
        <v>1</v>
      </c>
      <c r="E877" s="28">
        <v>12</v>
      </c>
      <c r="F877" s="96">
        <v>2020</v>
      </c>
      <c r="G877" s="28">
        <v>2050</v>
      </c>
      <c r="H877" s="28">
        <v>8</v>
      </c>
      <c r="I877" s="28">
        <v>0</v>
      </c>
      <c r="J877" s="28">
        <v>0</v>
      </c>
      <c r="K877" s="28">
        <v>0</v>
      </c>
      <c r="L877" s="28">
        <v>0</v>
      </c>
      <c r="M877" s="79">
        <v>430</v>
      </c>
      <c r="N877" s="151">
        <v>1022.7675505324929</v>
      </c>
      <c r="O877" s="151">
        <v>1022.7675505324929</v>
      </c>
      <c r="P877" s="95">
        <f t="array" ref="P877">ROUND(IF($F877&lt;='TaxCred&amp;Subs'!$C$49,(IF($C877=2,IF($M877&gt;=IFERROR(INDEX('TaxCred&amp;Subs'!$L$12:$L$47,MATCH(1,($C877&amp;$D877='TaxCred&amp;Subs'!$E$12:$E$47)*($F877='TaxCred&amp;Subs'!$C$12:$C$47),0)
),9999),IFERROR(INDEX('TaxCred&amp;Subs'!$N$12:$N$47,MATCH(1,($C877&amp;$D877='TaxCred&amp;Subs'!$E$12:$E$47)*($F877='TaxCred&amp;Subs'!$C$12:$C$47),0)
),0),0),(IF($M877&gt;=IFERROR(INDEX('TaxCred&amp;Subs'!$H$12:$H$47,MATCH(1,($C877&amp;$D877='TaxCred&amp;Subs'!$D$12:$D$47)*($F877='TaxCred&amp;Subs'!$C$12:$C$47),0)
),9999),IFERROR(INDEX('TaxCred&amp;Subs'!$N$12:$N$47,MATCH(1,($C877&amp;$D877='TaxCred&amp;Subs'!$D$12:$D$47)*($F877='TaxCred&amp;Subs'!$C$12:$C$47),0)
),0),0)))),0)+IF(AND($C877=2,VALUE(RIGHT($AD877,1))&gt;2),(N877-R877)*(IFERROR(INDEX('TaxCred&amp;Subs'!$J$66:$J$99,MATCH(1,($C877&amp;$D877='TaxCred&amp;Subs'!$E$66:$E$99)*($F877='TaxCred&amp;Subs'!$C$66:$C$99),0)),0)),IF(AND($C877=1,VALUE(RIGHT($AD877,1))&gt;2),(N877-R877)*(IFERROR(INDEX('TaxCred&amp;Subs'!$J$66:$J$99,MATCH(1,($C877&amp;$D877='TaxCred&amp;Subs'!$D$66:$D$99)*($F877='TaxCred&amp;Subs'!$C$66:$C$99),0)),0)),IF($C877&gt;2,(N877-R877)*(IFERROR(INDEX('TaxCred&amp;Subs'!$J$66:$J$99,MATCH(1,($C877&amp;$D877='TaxCred&amp;Subs'!$D$66:$D$99)*($F877='TaxCred&amp;Subs'!$C$66:$C$99),0)),0)),0))),0)</f>
        <v>0</v>
      </c>
      <c r="Q877" s="95">
        <f t="array" ref="Q877">ROUND(IF(AND($C877=2,VALUE(RIGHT($AD877,1))&gt;2),(O877-S877)*(IFERROR(INDEX('TaxCred&amp;Subs'!$J$66:$J$99,MATCH(1,($C877&amp;$D877='TaxCred&amp;Subs'!$E$66:$E$99)*($F877='TaxCred&amp;Subs'!$C$66:$C$99),0)),0)),IF(AND($C877=1,VALUE(RIGHT($AD877,1))&gt;2),(O877-S877)*(IFERROR(INDEX('TaxCred&amp;Subs'!$J$66:$J$99,MATCH(1,($C877&amp;$D877='TaxCred&amp;Subs'!$D$66:$D$99)*($F877='TaxCred&amp;Subs'!$C$66:$C$99),0)),0)),IF($C877&gt;2,(O877-S877)*(IFERROR(INDEX('TaxCred&amp;Subs'!$J$66:$J$99,MATCH(1,($C877&amp;$D877='TaxCred&amp;Subs'!$D$66:$D$99)*($F877='TaxCred&amp;Subs'!$C$66:$C$99),0)),0)),0))),0)</f>
        <v>0</v>
      </c>
      <c r="R877" s="172">
        <f t="array" ref="R877">ROUND(IF(IFERROR(VALUE(RIGHT($AD877,1)),0)&gt;2,IF($C877=8,N877*IFERROR(INDEX('TaxCred&amp;Subs'!$K$139:$S$151,MATCH($C877&amp;$D877&amp;LEFT($AD877,7),'TaxCred&amp;Subs'!$E$139:$E$151,0),MATCH($H877,'TaxCred&amp;Subs'!$K$137:$S$137,0)),0),IF($C877=2,N877*IFERROR(INDEX('TaxCred&amp;Subs'!$K$139:$S$151,MATCH($C877&amp;$D877,'TaxCred&amp;Subs'!$D$139:$D$151,0),MATCH($H877,'TaxCred&amp;Subs'!$K$137:$S$137,0)),0),N877*IFERROR(INDEX('TaxCred&amp;Subs'!$K$139:$S$151,MATCH($C877&amp;$D877,'TaxCred&amp;Subs'!$C$139:$C$151,0),MATCH($H877,'TaxCred&amp;Subs'!$K$137:$S$137,0)),0))),0),0)</f>
        <v>32</v>
      </c>
      <c r="S877" s="172">
        <f t="array" ref="S877">ROUND(IF(IFERROR(VALUE(RIGHT($AD877,1)),0)&gt;2,IF($C877=8,O877*IFERROR(INDEX('TaxCred&amp;Subs'!$K$139:$S$151,MATCH($C877&amp;$D877&amp;LEFT($AD877,7),'TaxCred&amp;Subs'!$E$139:$E$151,0),MATCH($H877,'TaxCred&amp;Subs'!$K$137:$S$137,0)),0),IF($C877=2,O877*IFERROR(INDEX('TaxCred&amp;Subs'!$K$139:$S$151,MATCH($C877&amp;$D877,'TaxCred&amp;Subs'!$D$139:$D$151,0),MATCH($H877,'TaxCred&amp;Subs'!$K$137:$S$137,0)),0),O877*IFERROR(INDEX('TaxCred&amp;Subs'!$K$139:$S$151,MATCH($C877&amp;$D877,'TaxCred&amp;Subs'!$C$139:$C$151,0),MATCH($H877,'TaxCred&amp;Subs'!$K$137:$S$137,0)),0))),0),0)</f>
        <v>32</v>
      </c>
      <c r="T877" s="95">
        <f t="shared" si="56"/>
        <v>0</v>
      </c>
      <c r="U877" s="95">
        <f t="shared" si="57"/>
        <v>0</v>
      </c>
      <c r="V877" s="28" t="s">
        <v>222</v>
      </c>
      <c r="W877" s="31">
        <v>2020</v>
      </c>
      <c r="X877" s="28">
        <v>1</v>
      </c>
      <c r="Y877" s="28">
        <v>0</v>
      </c>
      <c r="Z877" s="196">
        <v>-7.8816560546936879E-3</v>
      </c>
      <c r="AA877" s="196">
        <v>-0.12125624699528749</v>
      </c>
      <c r="AB877" s="28">
        <v>0</v>
      </c>
      <c r="AC877" s="28">
        <v>0</v>
      </c>
      <c r="AD877" s="28" t="s">
        <v>394</v>
      </c>
    </row>
    <row r="878" spans="2:31" ht="14.25" customHeight="1" x14ac:dyDescent="0.2">
      <c r="B878" s="7">
        <f t="shared" si="75"/>
        <v>854</v>
      </c>
      <c r="C878" s="28">
        <v>8</v>
      </c>
      <c r="D878" s="28">
        <v>1</v>
      </c>
      <c r="E878" s="28">
        <v>12</v>
      </c>
      <c r="F878" s="96">
        <v>2020</v>
      </c>
      <c r="G878" s="28">
        <v>2050</v>
      </c>
      <c r="H878" s="28">
        <v>9</v>
      </c>
      <c r="I878" s="28">
        <v>0</v>
      </c>
      <c r="J878" s="28">
        <v>0</v>
      </c>
      <c r="K878" s="28">
        <v>0</v>
      </c>
      <c r="L878" s="28">
        <v>0</v>
      </c>
      <c r="M878" s="79">
        <v>430</v>
      </c>
      <c r="N878" s="151">
        <v>1022.7675505324929</v>
      </c>
      <c r="O878" s="151">
        <v>1022.7675505324929</v>
      </c>
      <c r="P878" s="95">
        <f t="array" ref="P878">ROUND(IF($F878&lt;='TaxCred&amp;Subs'!$C$49,(IF($C878=2,IF($M878&gt;=IFERROR(INDEX('TaxCred&amp;Subs'!$L$12:$L$47,MATCH(1,($C878&amp;$D878='TaxCred&amp;Subs'!$E$12:$E$47)*($F878='TaxCred&amp;Subs'!$C$12:$C$47),0)
),9999),IFERROR(INDEX('TaxCred&amp;Subs'!$N$12:$N$47,MATCH(1,($C878&amp;$D878='TaxCred&amp;Subs'!$E$12:$E$47)*($F878='TaxCred&amp;Subs'!$C$12:$C$47),0)
),0),0),(IF($M878&gt;=IFERROR(INDEX('TaxCred&amp;Subs'!$H$12:$H$47,MATCH(1,($C878&amp;$D878='TaxCred&amp;Subs'!$D$12:$D$47)*($F878='TaxCred&amp;Subs'!$C$12:$C$47),0)
),9999),IFERROR(INDEX('TaxCred&amp;Subs'!$N$12:$N$47,MATCH(1,($C878&amp;$D878='TaxCred&amp;Subs'!$D$12:$D$47)*($F878='TaxCred&amp;Subs'!$C$12:$C$47),0)
),0),0)))),0)+IF(AND($C878=2,VALUE(RIGHT($AD878,1))&gt;2),(N878-R878)*(IFERROR(INDEX('TaxCred&amp;Subs'!$J$66:$J$99,MATCH(1,($C878&amp;$D878='TaxCred&amp;Subs'!$E$66:$E$99)*($F878='TaxCred&amp;Subs'!$C$66:$C$99),0)),0)),IF(AND($C878=1,VALUE(RIGHT($AD878,1))&gt;2),(N878-R878)*(IFERROR(INDEX('TaxCred&amp;Subs'!$J$66:$J$99,MATCH(1,($C878&amp;$D878='TaxCred&amp;Subs'!$D$66:$D$99)*($F878='TaxCred&amp;Subs'!$C$66:$C$99),0)),0)),IF($C878&gt;2,(N878-R878)*(IFERROR(INDEX('TaxCred&amp;Subs'!$J$66:$J$99,MATCH(1,($C878&amp;$D878='TaxCred&amp;Subs'!$D$66:$D$99)*($F878='TaxCred&amp;Subs'!$C$66:$C$99),0)),0)),0))),0)</f>
        <v>0</v>
      </c>
      <c r="Q878" s="95">
        <f t="array" ref="Q878">ROUND(IF(AND($C878=2,VALUE(RIGHT($AD878,1))&gt;2),(O878-S878)*(IFERROR(INDEX('TaxCred&amp;Subs'!$J$66:$J$99,MATCH(1,($C878&amp;$D878='TaxCred&amp;Subs'!$E$66:$E$99)*($F878='TaxCred&amp;Subs'!$C$66:$C$99),0)),0)),IF(AND($C878=1,VALUE(RIGHT($AD878,1))&gt;2),(O878-S878)*(IFERROR(INDEX('TaxCred&amp;Subs'!$J$66:$J$99,MATCH(1,($C878&amp;$D878='TaxCred&amp;Subs'!$D$66:$D$99)*($F878='TaxCred&amp;Subs'!$C$66:$C$99),0)),0)),IF($C878&gt;2,(O878-S878)*(IFERROR(INDEX('TaxCred&amp;Subs'!$J$66:$J$99,MATCH(1,($C878&amp;$D878='TaxCred&amp;Subs'!$D$66:$D$99)*($F878='TaxCred&amp;Subs'!$C$66:$C$99),0)),0)),0))),0)</f>
        <v>0</v>
      </c>
      <c r="R878" s="172">
        <f t="array" ref="R878">ROUND(IF(IFERROR(VALUE(RIGHT($AD878,1)),0)&gt;2,IF($C878=8,N878*IFERROR(INDEX('TaxCred&amp;Subs'!$K$139:$S$151,MATCH($C878&amp;$D878&amp;LEFT($AD878,7),'TaxCred&amp;Subs'!$E$139:$E$151,0),MATCH($H878,'TaxCred&amp;Subs'!$K$137:$S$137,0)),0),IF($C878=2,N878*IFERROR(INDEX('TaxCred&amp;Subs'!$K$139:$S$151,MATCH($C878&amp;$D878,'TaxCred&amp;Subs'!$D$139:$D$151,0),MATCH($H878,'TaxCred&amp;Subs'!$K$137:$S$137,0)),0),N878*IFERROR(INDEX('TaxCred&amp;Subs'!$K$139:$S$151,MATCH($C878&amp;$D878,'TaxCred&amp;Subs'!$C$139:$C$151,0),MATCH($H878,'TaxCred&amp;Subs'!$K$137:$S$137,0)),0))),0),0)</f>
        <v>91</v>
      </c>
      <c r="S878" s="172">
        <f t="array" ref="S878">ROUND(IF(IFERROR(VALUE(RIGHT($AD878,1)),0)&gt;2,IF($C878=8,O878*IFERROR(INDEX('TaxCred&amp;Subs'!$K$139:$S$151,MATCH($C878&amp;$D878&amp;LEFT($AD878,7),'TaxCred&amp;Subs'!$E$139:$E$151,0),MATCH($H878,'TaxCred&amp;Subs'!$K$137:$S$137,0)),0),IF($C878=2,O878*IFERROR(INDEX('TaxCred&amp;Subs'!$K$139:$S$151,MATCH($C878&amp;$D878,'TaxCred&amp;Subs'!$D$139:$D$151,0),MATCH($H878,'TaxCred&amp;Subs'!$K$137:$S$137,0)),0),O878*IFERROR(INDEX('TaxCred&amp;Subs'!$K$139:$S$151,MATCH($C878&amp;$D878,'TaxCred&amp;Subs'!$C$139:$C$151,0),MATCH($H878,'TaxCred&amp;Subs'!$K$137:$S$137,0)),0))),0),0)</f>
        <v>91</v>
      </c>
      <c r="T878" s="172">
        <f t="shared" si="56"/>
        <v>153.41513257987393</v>
      </c>
      <c r="U878" s="172">
        <f t="shared" si="57"/>
        <v>153.41513257987393</v>
      </c>
      <c r="V878" s="28" t="s">
        <v>222</v>
      </c>
      <c r="W878" s="31">
        <v>2020</v>
      </c>
      <c r="X878" s="28">
        <v>1</v>
      </c>
      <c r="Y878" s="28">
        <v>0</v>
      </c>
      <c r="Z878" s="196">
        <v>-7.8816560546936879E-3</v>
      </c>
      <c r="AA878" s="196">
        <v>-0.12125624699528749</v>
      </c>
      <c r="AB878" s="28">
        <v>0</v>
      </c>
      <c r="AC878" s="28">
        <v>0</v>
      </c>
      <c r="AD878" s="28" t="s">
        <v>394</v>
      </c>
    </row>
    <row r="879" spans="2:31" ht="14.25" customHeight="1" x14ac:dyDescent="0.2">
      <c r="B879" s="7">
        <f t="shared" si="75"/>
        <v>855</v>
      </c>
      <c r="C879" s="28">
        <v>9</v>
      </c>
      <c r="D879" s="28">
        <v>1</v>
      </c>
      <c r="E879" s="28">
        <v>1</v>
      </c>
      <c r="F879" s="96">
        <v>2020</v>
      </c>
      <c r="G879" s="28">
        <v>2050</v>
      </c>
      <c r="H879" s="28">
        <v>11</v>
      </c>
      <c r="I879" s="28">
        <v>0</v>
      </c>
      <c r="J879" s="28">
        <v>0</v>
      </c>
      <c r="K879" s="28">
        <v>0</v>
      </c>
      <c r="L879" s="28">
        <v>0</v>
      </c>
      <c r="M879" s="151">
        <v>297</v>
      </c>
      <c r="N879" s="151">
        <v>680</v>
      </c>
      <c r="O879" s="151">
        <v>680</v>
      </c>
      <c r="P879" s="95">
        <f t="array" ref="P879">ROUND(IF($F879&lt;='TaxCred&amp;Subs'!$C$49,(IF($C879=2,IF($M879&gt;=IFERROR(INDEX('TaxCred&amp;Subs'!$L$12:$L$47,MATCH(1,($C879&amp;$D879='TaxCred&amp;Subs'!$E$12:$E$47)*($F879='TaxCred&amp;Subs'!$C$12:$C$47),0)
),9999),IFERROR(INDEX('TaxCred&amp;Subs'!$N$12:$N$47,MATCH(1,($C879&amp;$D879='TaxCred&amp;Subs'!$E$12:$E$47)*($F879='TaxCred&amp;Subs'!$C$12:$C$47),0)
),0),0),(IF($M879&gt;=IFERROR(INDEX('TaxCred&amp;Subs'!$H$12:$H$47,MATCH(1,($C879&amp;$D879='TaxCred&amp;Subs'!$D$12:$D$47)*($F879='TaxCred&amp;Subs'!$C$12:$C$47),0)
),9999),IFERROR(INDEX('TaxCred&amp;Subs'!$N$12:$N$47,MATCH(1,($C879&amp;$D879='TaxCred&amp;Subs'!$D$12:$D$47)*($F879='TaxCred&amp;Subs'!$C$12:$C$47),0)
),0),0)))),0)+IF(AND($C879=2,VALUE(RIGHT($AD879,1))&gt;2),(N879-R879)*(IFERROR(INDEX('TaxCred&amp;Subs'!$J$66:$J$99,MATCH(1,($C879&amp;$D879='TaxCred&amp;Subs'!$E$66:$E$99)*($F879='TaxCred&amp;Subs'!$C$66:$C$99),0)),0)),IF(AND($C879=1,VALUE(RIGHT($AD879,1))&gt;2),(N879-R879)*(IFERROR(INDEX('TaxCred&amp;Subs'!$J$66:$J$99,MATCH(1,($C879&amp;$D879='TaxCred&amp;Subs'!$D$66:$D$99)*($F879='TaxCred&amp;Subs'!$C$66:$C$99),0)),0)),IF($C879&gt;2,(N879-R879)*(IFERROR(INDEX('TaxCred&amp;Subs'!$J$66:$J$99,MATCH(1,($C879&amp;$D879='TaxCred&amp;Subs'!$D$66:$D$99)*($F879='TaxCred&amp;Subs'!$C$66:$C$99),0)),0)),0))),0)</f>
        <v>0</v>
      </c>
      <c r="Q879" s="95">
        <f t="array" ref="Q879">ROUND(IF(AND($C879=2,VALUE(RIGHT($AD879,1))&gt;2),(O879-S879)*(IFERROR(INDEX('TaxCred&amp;Subs'!$J$66:$J$99,MATCH(1,($C879&amp;$D879='TaxCred&amp;Subs'!$E$66:$E$99)*($F879='TaxCred&amp;Subs'!$C$66:$C$99),0)),0)),IF(AND($C879=1,VALUE(RIGHT($AD879,1))&gt;2),(O879-S879)*(IFERROR(INDEX('TaxCred&amp;Subs'!$J$66:$J$99,MATCH(1,($C879&amp;$D879='TaxCred&amp;Subs'!$D$66:$D$99)*($F879='TaxCred&amp;Subs'!$C$66:$C$99),0)),0)),IF($C879&gt;2,(O879-S879)*(IFERROR(INDEX('TaxCred&amp;Subs'!$J$66:$J$99,MATCH(1,($C879&amp;$D879='TaxCred&amp;Subs'!$D$66:$D$99)*($F879='TaxCred&amp;Subs'!$C$66:$C$99),0)),0)),0))),0)</f>
        <v>0</v>
      </c>
      <c r="R879" s="95">
        <f t="array" ref="R879">ROUND(IF(IFERROR(VALUE(RIGHT($AD879,1)),0)&gt;2,IF($C879=8,N879*IFERROR(INDEX('TaxCred&amp;Subs'!$K$139:$S$151,MATCH($C879&amp;$D879&amp;LEFT($AD879,7),'TaxCred&amp;Subs'!$E$139:$E$151,0),MATCH($H879,'TaxCred&amp;Subs'!$K$137:$S$137,0)),0),IF($C879=2,N879*IFERROR(INDEX('TaxCred&amp;Subs'!$K$139:$S$151,MATCH($C879&amp;$D879,'TaxCred&amp;Subs'!$D$139:$D$151,0),MATCH($H879,'TaxCred&amp;Subs'!$K$137:$S$137,0)),0),N879*IFERROR(INDEX('TaxCred&amp;Subs'!$K$139:$S$151,MATCH($C879&amp;$D879,'TaxCred&amp;Subs'!$C$139:$C$151,0),MATCH($H879,'TaxCred&amp;Subs'!$K$137:$S$137,0)),0))),0),0)</f>
        <v>0</v>
      </c>
      <c r="S879" s="95">
        <f t="array" ref="S879">ROUND(IF(IFERROR(VALUE(RIGHT($AD879,1)),0)&gt;2,IF($C879=8,O879*IFERROR(INDEX('TaxCred&amp;Subs'!$K$139:$S$151,MATCH($C879&amp;$D879&amp;LEFT($AD879,7),'TaxCred&amp;Subs'!$E$139:$E$151,0),MATCH($H879,'TaxCred&amp;Subs'!$K$137:$S$137,0)),0),IF($C879=2,O879*IFERROR(INDEX('TaxCred&amp;Subs'!$K$139:$S$151,MATCH($C879&amp;$D879,'TaxCred&amp;Subs'!$D$139:$D$151,0),MATCH($H879,'TaxCred&amp;Subs'!$K$137:$S$137,0)),0),O879*IFERROR(INDEX('TaxCred&amp;Subs'!$K$139:$S$151,MATCH($C879&amp;$D879,'TaxCred&amp;Subs'!$C$139:$C$151,0),MATCH($H879,'TaxCred&amp;Subs'!$K$137:$S$137,0)),0))),0),0)</f>
        <v>0</v>
      </c>
      <c r="T879" s="95">
        <f t="shared" si="56"/>
        <v>0</v>
      </c>
      <c r="U879" s="95">
        <f t="shared" si="57"/>
        <v>0</v>
      </c>
      <c r="V879" s="28" t="s">
        <v>222</v>
      </c>
      <c r="W879" s="31">
        <v>2020</v>
      </c>
      <c r="X879" s="28">
        <v>1</v>
      </c>
      <c r="Y879" s="28">
        <v>0</v>
      </c>
      <c r="Z879" s="196">
        <v>-3.8671063262235273E-3</v>
      </c>
      <c r="AA879" s="196">
        <v>-5.9493943480361959E-2</v>
      </c>
      <c r="AB879" s="28">
        <v>0</v>
      </c>
      <c r="AC879" s="28">
        <v>0</v>
      </c>
      <c r="AD879" s="28" t="s">
        <v>395</v>
      </c>
      <c r="AE879" t="s">
        <v>396</v>
      </c>
    </row>
    <row r="880" spans="2:31" ht="14.25" customHeight="1" x14ac:dyDescent="0.2">
      <c r="B880" s="7">
        <f t="shared" si="75"/>
        <v>856</v>
      </c>
      <c r="C880" s="28">
        <v>9</v>
      </c>
      <c r="D880" s="28">
        <v>1</v>
      </c>
      <c r="E880" s="31">
        <v>2</v>
      </c>
      <c r="F880" s="96">
        <v>2020</v>
      </c>
      <c r="G880" s="28">
        <v>2050</v>
      </c>
      <c r="H880" s="28">
        <v>11</v>
      </c>
      <c r="I880" s="28">
        <v>0</v>
      </c>
      <c r="J880" s="28">
        <v>0</v>
      </c>
      <c r="K880" s="28">
        <v>0</v>
      </c>
      <c r="L880" s="28">
        <v>0</v>
      </c>
      <c r="M880" s="151">
        <v>267.3</v>
      </c>
      <c r="N880" s="151">
        <v>748.00000000000011</v>
      </c>
      <c r="O880" s="151">
        <v>748.00000000000011</v>
      </c>
      <c r="P880" s="95">
        <f t="array" ref="P880">ROUND(IF($F880&lt;='TaxCred&amp;Subs'!$C$49,(IF($C880=2,IF($M880&gt;=IFERROR(INDEX('TaxCred&amp;Subs'!$L$12:$L$47,MATCH(1,($C880&amp;$D880='TaxCred&amp;Subs'!$E$12:$E$47)*($F880='TaxCred&amp;Subs'!$C$12:$C$47),0)
),9999),IFERROR(INDEX('TaxCred&amp;Subs'!$N$12:$N$47,MATCH(1,($C880&amp;$D880='TaxCred&amp;Subs'!$E$12:$E$47)*($F880='TaxCred&amp;Subs'!$C$12:$C$47),0)
),0),0),(IF($M880&gt;=IFERROR(INDEX('TaxCred&amp;Subs'!$H$12:$H$47,MATCH(1,($C880&amp;$D880='TaxCred&amp;Subs'!$D$12:$D$47)*($F880='TaxCred&amp;Subs'!$C$12:$C$47),0)
),9999),IFERROR(INDEX('TaxCred&amp;Subs'!$N$12:$N$47,MATCH(1,($C880&amp;$D880='TaxCred&amp;Subs'!$D$12:$D$47)*($F880='TaxCred&amp;Subs'!$C$12:$C$47),0)
),0),0)))),0)+IF(AND($C880=2,VALUE(RIGHT($AD880,1))&gt;2),(N880-R880)*(IFERROR(INDEX('TaxCred&amp;Subs'!$J$66:$J$99,MATCH(1,($C880&amp;$D880='TaxCred&amp;Subs'!$E$66:$E$99)*($F880='TaxCred&amp;Subs'!$C$66:$C$99),0)),0)),IF(AND($C880=1,VALUE(RIGHT($AD880,1))&gt;2),(N880-R880)*(IFERROR(INDEX('TaxCred&amp;Subs'!$J$66:$J$99,MATCH(1,($C880&amp;$D880='TaxCred&amp;Subs'!$D$66:$D$99)*($F880='TaxCred&amp;Subs'!$C$66:$C$99),0)),0)),IF($C880&gt;2,(N880-R880)*(IFERROR(INDEX('TaxCred&amp;Subs'!$J$66:$J$99,MATCH(1,($C880&amp;$D880='TaxCred&amp;Subs'!$D$66:$D$99)*($F880='TaxCred&amp;Subs'!$C$66:$C$99),0)),0)),0))),0)</f>
        <v>0</v>
      </c>
      <c r="Q880" s="95">
        <f t="array" ref="Q880">ROUND(IF(AND($C880=2,VALUE(RIGHT($AD880,1))&gt;2),(O880-S880)*(IFERROR(INDEX('TaxCred&amp;Subs'!$J$66:$J$99,MATCH(1,($C880&amp;$D880='TaxCred&amp;Subs'!$E$66:$E$99)*($F880='TaxCred&amp;Subs'!$C$66:$C$99),0)),0)),IF(AND($C880=1,VALUE(RIGHT($AD880,1))&gt;2),(O880-S880)*(IFERROR(INDEX('TaxCred&amp;Subs'!$J$66:$J$99,MATCH(1,($C880&amp;$D880='TaxCred&amp;Subs'!$D$66:$D$99)*($F880='TaxCred&amp;Subs'!$C$66:$C$99),0)),0)),IF($C880&gt;2,(O880-S880)*(IFERROR(INDEX('TaxCred&amp;Subs'!$J$66:$J$99,MATCH(1,($C880&amp;$D880='TaxCred&amp;Subs'!$D$66:$D$99)*($F880='TaxCred&amp;Subs'!$C$66:$C$99),0)),0)),0))),0)</f>
        <v>0</v>
      </c>
      <c r="R880" s="95">
        <f t="array" ref="R880">ROUND(IF(IFERROR(VALUE(RIGHT($AD880,1)),0)&gt;2,IF($C880=8,N880*IFERROR(INDEX('TaxCred&amp;Subs'!$K$139:$S$151,MATCH($C880&amp;$D880&amp;LEFT($AD880,7),'TaxCred&amp;Subs'!$E$139:$E$151,0),MATCH($H880,'TaxCred&amp;Subs'!$K$137:$S$137,0)),0),IF($C880=2,N880*IFERROR(INDEX('TaxCred&amp;Subs'!$K$139:$S$151,MATCH($C880&amp;$D880,'TaxCred&amp;Subs'!$D$139:$D$151,0),MATCH($H880,'TaxCred&amp;Subs'!$K$137:$S$137,0)),0),N880*IFERROR(INDEX('TaxCred&amp;Subs'!$K$139:$S$151,MATCH($C880&amp;$D880,'TaxCred&amp;Subs'!$C$139:$C$151,0),MATCH($H880,'TaxCred&amp;Subs'!$K$137:$S$137,0)),0))),0),0)</f>
        <v>0</v>
      </c>
      <c r="S880" s="95">
        <f t="array" ref="S880">ROUND(IF(IFERROR(VALUE(RIGHT($AD880,1)),0)&gt;2,IF($C880=8,O880*IFERROR(INDEX('TaxCred&amp;Subs'!$K$139:$S$151,MATCH($C880&amp;$D880&amp;LEFT($AD880,7),'TaxCred&amp;Subs'!$E$139:$E$151,0),MATCH($H880,'TaxCred&amp;Subs'!$K$137:$S$137,0)),0),IF($C880=2,O880*IFERROR(INDEX('TaxCred&amp;Subs'!$K$139:$S$151,MATCH($C880&amp;$D880,'TaxCred&amp;Subs'!$D$139:$D$151,0),MATCH($H880,'TaxCred&amp;Subs'!$K$137:$S$137,0)),0),O880*IFERROR(INDEX('TaxCred&amp;Subs'!$K$139:$S$151,MATCH($C880&amp;$D880,'TaxCred&amp;Subs'!$C$139:$C$151,0),MATCH($H880,'TaxCred&amp;Subs'!$K$137:$S$137,0)),0))),0),0)</f>
        <v>0</v>
      </c>
      <c r="T880" s="95">
        <f t="shared" si="56"/>
        <v>0</v>
      </c>
      <c r="U880" s="95">
        <f t="shared" si="57"/>
        <v>0</v>
      </c>
      <c r="V880" s="28" t="s">
        <v>222</v>
      </c>
      <c r="W880" s="31">
        <v>2020</v>
      </c>
      <c r="X880" s="28">
        <v>1</v>
      </c>
      <c r="Y880" s="28">
        <v>0</v>
      </c>
      <c r="Z880" s="196">
        <v>-4.5018934177043311E-3</v>
      </c>
      <c r="AA880" s="196">
        <v>-6.9259898733912778E-2</v>
      </c>
      <c r="AB880" s="28">
        <v>0</v>
      </c>
      <c r="AC880" s="28">
        <v>0</v>
      </c>
      <c r="AD880" s="28" t="s">
        <v>397</v>
      </c>
    </row>
    <row r="881" spans="2:31" ht="14.25" customHeight="1" x14ac:dyDescent="0.2">
      <c r="B881" s="7">
        <f t="shared" si="75"/>
        <v>857</v>
      </c>
      <c r="C881" s="28">
        <v>9</v>
      </c>
      <c r="D881" s="28">
        <v>1</v>
      </c>
      <c r="E881" s="31">
        <v>3</v>
      </c>
      <c r="F881" s="96">
        <v>2020</v>
      </c>
      <c r="G881" s="28">
        <v>2050</v>
      </c>
      <c r="H881" s="28">
        <v>11</v>
      </c>
      <c r="I881" s="28">
        <v>0</v>
      </c>
      <c r="J881" s="28">
        <v>0</v>
      </c>
      <c r="K881" s="28">
        <v>0</v>
      </c>
      <c r="L881" s="28">
        <v>0</v>
      </c>
      <c r="M881" s="151">
        <v>241.03822760942762</v>
      </c>
      <c r="N881" s="151">
        <v>822.80000000000018</v>
      </c>
      <c r="O881" s="151">
        <v>822.80000000000018</v>
      </c>
      <c r="P881" s="95">
        <f t="array" ref="P881">ROUND(IF($F881&lt;='TaxCred&amp;Subs'!$C$49,(IF($C881=2,IF($M881&gt;=IFERROR(INDEX('TaxCred&amp;Subs'!$L$12:$L$47,MATCH(1,($C881&amp;$D881='TaxCred&amp;Subs'!$E$12:$E$47)*($F881='TaxCred&amp;Subs'!$C$12:$C$47),0)
),9999),IFERROR(INDEX('TaxCred&amp;Subs'!$N$12:$N$47,MATCH(1,($C881&amp;$D881='TaxCred&amp;Subs'!$E$12:$E$47)*($F881='TaxCred&amp;Subs'!$C$12:$C$47),0)
),0),0),(IF($M881&gt;=IFERROR(INDEX('TaxCred&amp;Subs'!$H$12:$H$47,MATCH(1,($C881&amp;$D881='TaxCred&amp;Subs'!$D$12:$D$47)*($F881='TaxCred&amp;Subs'!$C$12:$C$47),0)
),9999),IFERROR(INDEX('TaxCred&amp;Subs'!$N$12:$N$47,MATCH(1,($C881&amp;$D881='TaxCred&amp;Subs'!$D$12:$D$47)*($F881='TaxCred&amp;Subs'!$C$12:$C$47),0)
),0),0)))),0)+IF(AND($C881=2,VALUE(RIGHT($AD881,1))&gt;2),(N881-R881)*(IFERROR(INDEX('TaxCred&amp;Subs'!$J$66:$J$99,MATCH(1,($C881&amp;$D881='TaxCred&amp;Subs'!$E$66:$E$99)*($F881='TaxCred&amp;Subs'!$C$66:$C$99),0)),0)),IF(AND($C881=1,VALUE(RIGHT($AD881,1))&gt;2),(N881-R881)*(IFERROR(INDEX('TaxCred&amp;Subs'!$J$66:$J$99,MATCH(1,($C881&amp;$D881='TaxCred&amp;Subs'!$D$66:$D$99)*($F881='TaxCred&amp;Subs'!$C$66:$C$99),0)),0)),IF($C881&gt;2,(N881-R881)*(IFERROR(INDEX('TaxCred&amp;Subs'!$J$66:$J$99,MATCH(1,($C881&amp;$D881='TaxCred&amp;Subs'!$D$66:$D$99)*($F881='TaxCred&amp;Subs'!$C$66:$C$99),0)),0)),0))),0)</f>
        <v>0</v>
      </c>
      <c r="Q881" s="95">
        <f t="array" ref="Q881">ROUND(IF(AND($C881=2,VALUE(RIGHT($AD881,1))&gt;2),(O881-S881)*(IFERROR(INDEX('TaxCred&amp;Subs'!$J$66:$J$99,MATCH(1,($C881&amp;$D881='TaxCred&amp;Subs'!$E$66:$E$99)*($F881='TaxCred&amp;Subs'!$C$66:$C$99),0)),0)),IF(AND($C881=1,VALUE(RIGHT($AD881,1))&gt;2),(O881-S881)*(IFERROR(INDEX('TaxCred&amp;Subs'!$J$66:$J$99,MATCH(1,($C881&amp;$D881='TaxCred&amp;Subs'!$D$66:$D$99)*($F881='TaxCred&amp;Subs'!$C$66:$C$99),0)),0)),IF($C881&gt;2,(O881-S881)*(IFERROR(INDEX('TaxCred&amp;Subs'!$J$66:$J$99,MATCH(1,($C881&amp;$D881='TaxCred&amp;Subs'!$D$66:$D$99)*($F881='TaxCred&amp;Subs'!$C$66:$C$99),0)),0)),0))),0)</f>
        <v>0</v>
      </c>
      <c r="R881" s="95">
        <f t="array" ref="R881">ROUND(IF(IFERROR(VALUE(RIGHT($AD881,1)),0)&gt;2,IF($C881=8,N881*IFERROR(INDEX('TaxCred&amp;Subs'!$K$139:$S$151,MATCH($C881&amp;$D881&amp;LEFT($AD881,7),'TaxCred&amp;Subs'!$E$139:$E$151,0),MATCH($H881,'TaxCred&amp;Subs'!$K$137:$S$137,0)),0),IF($C881=2,N881*IFERROR(INDEX('TaxCred&amp;Subs'!$K$139:$S$151,MATCH($C881&amp;$D881,'TaxCred&amp;Subs'!$D$139:$D$151,0),MATCH($H881,'TaxCred&amp;Subs'!$K$137:$S$137,0)),0),N881*IFERROR(INDEX('TaxCred&amp;Subs'!$K$139:$S$151,MATCH($C881&amp;$D881,'TaxCred&amp;Subs'!$C$139:$C$151,0),MATCH($H881,'TaxCred&amp;Subs'!$K$137:$S$137,0)),0))),0),0)</f>
        <v>0</v>
      </c>
      <c r="S881" s="95">
        <f t="array" ref="S881">ROUND(IF(IFERROR(VALUE(RIGHT($AD881,1)),0)&gt;2,IF($C881=8,O881*IFERROR(INDEX('TaxCred&amp;Subs'!$K$139:$S$151,MATCH($C881&amp;$D881&amp;LEFT($AD881,7),'TaxCred&amp;Subs'!$E$139:$E$151,0),MATCH($H881,'TaxCred&amp;Subs'!$K$137:$S$137,0)),0),IF($C881=2,O881*IFERROR(INDEX('TaxCred&amp;Subs'!$K$139:$S$151,MATCH($C881&amp;$D881,'TaxCred&amp;Subs'!$D$139:$D$151,0),MATCH($H881,'TaxCred&amp;Subs'!$K$137:$S$137,0)),0),O881*IFERROR(INDEX('TaxCred&amp;Subs'!$K$139:$S$151,MATCH($C881&amp;$D881,'TaxCred&amp;Subs'!$C$139:$C$151,0),MATCH($H881,'TaxCred&amp;Subs'!$K$137:$S$137,0)),0))),0),0)</f>
        <v>0</v>
      </c>
      <c r="T881" s="95">
        <f t="shared" si="56"/>
        <v>0</v>
      </c>
      <c r="U881" s="95">
        <f t="shared" si="57"/>
        <v>0</v>
      </c>
      <c r="V881" s="28" t="s">
        <v>222</v>
      </c>
      <c r="W881" s="31">
        <v>2020</v>
      </c>
      <c r="X881" s="28">
        <v>1</v>
      </c>
      <c r="Y881" s="28">
        <v>0</v>
      </c>
      <c r="Z881" s="196">
        <v>-4.5018934177043311E-3</v>
      </c>
      <c r="AA881" s="196">
        <v>-6.9259898733912778E-2</v>
      </c>
      <c r="AB881" s="28">
        <v>0</v>
      </c>
      <c r="AC881" s="28">
        <v>0</v>
      </c>
      <c r="AD881" s="28" t="s">
        <v>398</v>
      </c>
    </row>
    <row r="882" spans="2:31" ht="14.25" customHeight="1" x14ac:dyDescent="0.2">
      <c r="B882" s="7">
        <f t="shared" si="75"/>
        <v>858</v>
      </c>
      <c r="C882" s="28">
        <v>9</v>
      </c>
      <c r="D882" s="28">
        <v>1</v>
      </c>
      <c r="E882" s="31">
        <v>4</v>
      </c>
      <c r="F882" s="96">
        <v>2020</v>
      </c>
      <c r="G882" s="31">
        <v>2029</v>
      </c>
      <c r="H882" s="28">
        <v>11</v>
      </c>
      <c r="I882" s="28">
        <v>0</v>
      </c>
      <c r="J882" s="28">
        <v>0</v>
      </c>
      <c r="K882" s="28">
        <v>0</v>
      </c>
      <c r="L882" s="28">
        <v>0</v>
      </c>
      <c r="M882" s="151">
        <v>497</v>
      </c>
      <c r="N882" s="151">
        <v>823.31991951710256</v>
      </c>
      <c r="O882" s="151">
        <v>823.31991951710256</v>
      </c>
      <c r="P882" s="95">
        <f t="array" ref="P882">ROUND(IF($F882&lt;='TaxCred&amp;Subs'!$C$49,(IF($C882=2,IF($M882&gt;=IFERROR(INDEX('TaxCred&amp;Subs'!$L$12:$L$47,MATCH(1,($C882&amp;$D882='TaxCred&amp;Subs'!$E$12:$E$47)*($F882='TaxCred&amp;Subs'!$C$12:$C$47),0)
),9999),IFERROR(INDEX('TaxCred&amp;Subs'!$N$12:$N$47,MATCH(1,($C882&amp;$D882='TaxCred&amp;Subs'!$E$12:$E$47)*($F882='TaxCred&amp;Subs'!$C$12:$C$47),0)
),0),0),(IF($M882&gt;=IFERROR(INDEX('TaxCred&amp;Subs'!$H$12:$H$47,MATCH(1,($C882&amp;$D882='TaxCred&amp;Subs'!$D$12:$D$47)*($F882='TaxCred&amp;Subs'!$C$12:$C$47),0)
),9999),IFERROR(INDEX('TaxCred&amp;Subs'!$N$12:$N$47,MATCH(1,($C882&amp;$D882='TaxCred&amp;Subs'!$D$12:$D$47)*($F882='TaxCred&amp;Subs'!$C$12:$C$47),0)
),0),0)))),0)+IF(AND($C882=2,VALUE(RIGHT($AD882,1))&gt;2),(N882-R882)*(IFERROR(INDEX('TaxCred&amp;Subs'!$J$66:$J$99,MATCH(1,($C882&amp;$D882='TaxCred&amp;Subs'!$E$66:$E$99)*($F882='TaxCred&amp;Subs'!$C$66:$C$99),0)),0)),IF(AND($C882=1,VALUE(RIGHT($AD882,1))&gt;2),(N882-R882)*(IFERROR(INDEX('TaxCred&amp;Subs'!$J$66:$J$99,MATCH(1,($C882&amp;$D882='TaxCred&amp;Subs'!$D$66:$D$99)*($F882='TaxCred&amp;Subs'!$C$66:$C$99),0)),0)),IF($C882&gt;2,(N882-R882)*(IFERROR(INDEX('TaxCred&amp;Subs'!$J$66:$J$99,MATCH(1,($C882&amp;$D882='TaxCred&amp;Subs'!$D$66:$D$99)*($F882='TaxCred&amp;Subs'!$C$66:$C$99),0)),0)),0))),0)</f>
        <v>0</v>
      </c>
      <c r="Q882" s="95">
        <f t="array" ref="Q882">ROUND(IF(AND($C882=2,VALUE(RIGHT($AD882,1))&gt;2),(O882-S882)*(IFERROR(INDEX('TaxCred&amp;Subs'!$J$66:$J$99,MATCH(1,($C882&amp;$D882='TaxCred&amp;Subs'!$E$66:$E$99)*($F882='TaxCred&amp;Subs'!$C$66:$C$99),0)),0)),IF(AND($C882=1,VALUE(RIGHT($AD882,1))&gt;2),(O882-S882)*(IFERROR(INDEX('TaxCred&amp;Subs'!$J$66:$J$99,MATCH(1,($C882&amp;$D882='TaxCred&amp;Subs'!$D$66:$D$99)*($F882='TaxCred&amp;Subs'!$C$66:$C$99),0)),0)),IF($C882&gt;2,(O882-S882)*(IFERROR(INDEX('TaxCred&amp;Subs'!$J$66:$J$99,MATCH(1,($C882&amp;$D882='TaxCred&amp;Subs'!$D$66:$D$99)*($F882='TaxCred&amp;Subs'!$C$66:$C$99),0)),0)),0))),0)</f>
        <v>0</v>
      </c>
      <c r="R882" s="95">
        <f t="array" ref="R882">ROUND(IF(IFERROR(VALUE(RIGHT($AD882,1)),0)&gt;2,IF($C882=8,N882*IFERROR(INDEX('TaxCred&amp;Subs'!$K$139:$S$151,MATCH($C882&amp;$D882&amp;LEFT($AD882,7),'TaxCred&amp;Subs'!$E$139:$E$151,0),MATCH($H882,'TaxCred&amp;Subs'!$K$137:$S$137,0)),0),IF($C882=2,N882*IFERROR(INDEX('TaxCred&amp;Subs'!$K$139:$S$151,MATCH($C882&amp;$D882,'TaxCred&amp;Subs'!$D$139:$D$151,0),MATCH($H882,'TaxCred&amp;Subs'!$K$137:$S$137,0)),0),N882*IFERROR(INDEX('TaxCred&amp;Subs'!$K$139:$S$151,MATCH($C882&amp;$D882,'TaxCred&amp;Subs'!$C$139:$C$151,0),MATCH($H882,'TaxCred&amp;Subs'!$K$137:$S$137,0)),0))),0),0)</f>
        <v>0</v>
      </c>
      <c r="S882" s="95">
        <f t="array" ref="S882">ROUND(IF(IFERROR(VALUE(RIGHT($AD882,1)),0)&gt;2,IF($C882=8,O882*IFERROR(INDEX('TaxCred&amp;Subs'!$K$139:$S$151,MATCH($C882&amp;$D882&amp;LEFT($AD882,7),'TaxCred&amp;Subs'!$E$139:$E$151,0),MATCH($H882,'TaxCred&amp;Subs'!$K$137:$S$137,0)),0),IF($C882=2,O882*IFERROR(INDEX('TaxCred&amp;Subs'!$K$139:$S$151,MATCH($C882&amp;$D882,'TaxCred&amp;Subs'!$D$139:$D$151,0),MATCH($H882,'TaxCred&amp;Subs'!$K$137:$S$137,0)),0),O882*IFERROR(INDEX('TaxCred&amp;Subs'!$K$139:$S$151,MATCH($C882&amp;$D882,'TaxCred&amp;Subs'!$C$139:$C$151,0),MATCH($H882,'TaxCred&amp;Subs'!$K$137:$S$137,0)),0))),0),0)</f>
        <v>0</v>
      </c>
      <c r="T882" s="95">
        <f t="shared" ref="T882:T889" si="78">IF($H882=9,IF(R882&gt;0,(N882-P882)*0.15,0),0)</f>
        <v>0</v>
      </c>
      <c r="U882" s="95">
        <f t="shared" ref="U882:U889" si="79">IF($H882=9,IF(S882&gt;0,(O882-Q882)*0.15,0),0)</f>
        <v>0</v>
      </c>
      <c r="V882" s="28" t="s">
        <v>222</v>
      </c>
      <c r="W882" s="31">
        <v>2020</v>
      </c>
      <c r="X882" s="28">
        <v>1</v>
      </c>
      <c r="Y882" s="28">
        <v>0</v>
      </c>
      <c r="Z882" s="196">
        <v>-3.682780807759225E-3</v>
      </c>
      <c r="AA882" s="196">
        <v>-5.6658166273218846E-2</v>
      </c>
      <c r="AB882" s="28">
        <v>0</v>
      </c>
      <c r="AC882" s="28">
        <v>0</v>
      </c>
      <c r="AD882" s="28" t="s">
        <v>399</v>
      </c>
    </row>
    <row r="883" spans="2:31" ht="14.25" customHeight="1" x14ac:dyDescent="0.2">
      <c r="B883" s="7">
        <f t="shared" si="75"/>
        <v>859</v>
      </c>
      <c r="C883" s="152">
        <v>9</v>
      </c>
      <c r="D883" s="152">
        <v>1</v>
      </c>
      <c r="E883" s="152">
        <v>4</v>
      </c>
      <c r="F883" s="153">
        <v>2030</v>
      </c>
      <c r="G883" s="152">
        <v>2050</v>
      </c>
      <c r="H883" s="152">
        <v>11</v>
      </c>
      <c r="I883" s="152">
        <v>0</v>
      </c>
      <c r="J883" s="152">
        <v>0</v>
      </c>
      <c r="K883" s="152">
        <v>0</v>
      </c>
      <c r="L883" s="152">
        <v>0</v>
      </c>
      <c r="M883" s="155">
        <v>421.33</v>
      </c>
      <c r="N883" s="155">
        <v>971.18648090570343</v>
      </c>
      <c r="O883" s="155">
        <v>971.18648090570343</v>
      </c>
      <c r="P883" s="41">
        <f t="array" ref="P883">ROUND(IF($F883&lt;='TaxCred&amp;Subs'!$C$49,(IF($C883=2,IF($M883&gt;=IFERROR(INDEX('TaxCred&amp;Subs'!$L$12:$L$47,MATCH(1,($C883&amp;$D883='TaxCred&amp;Subs'!$E$12:$E$47)*($F883='TaxCred&amp;Subs'!$C$12:$C$47),0)
),9999),IFERROR(INDEX('TaxCred&amp;Subs'!$N$12:$N$47,MATCH(1,($C883&amp;$D883='TaxCred&amp;Subs'!$E$12:$E$47)*($F883='TaxCred&amp;Subs'!$C$12:$C$47),0)
),0),0),(IF($M883&gt;=IFERROR(INDEX('TaxCred&amp;Subs'!$H$12:$H$47,MATCH(1,($C883&amp;$D883='TaxCred&amp;Subs'!$D$12:$D$47)*($F883='TaxCred&amp;Subs'!$C$12:$C$47),0)
),9999),IFERROR(INDEX('TaxCred&amp;Subs'!$N$12:$N$47,MATCH(1,($C883&amp;$D883='TaxCred&amp;Subs'!$D$12:$D$47)*($F883='TaxCred&amp;Subs'!$C$12:$C$47),0)
),0),0)))),0)+IF(AND($C883=2,VALUE(RIGHT($AD883,1))&gt;2),(N883-R883)*(IFERROR(INDEX('TaxCred&amp;Subs'!$J$66:$J$99,MATCH(1,($C883&amp;$D883='TaxCred&amp;Subs'!$E$66:$E$99)*($F883='TaxCred&amp;Subs'!$C$66:$C$99),0)),0)),IF(AND($C883=1,VALUE(RIGHT($AD883,1))&gt;2),(N883-R883)*(IFERROR(INDEX('TaxCred&amp;Subs'!$J$66:$J$99,MATCH(1,($C883&amp;$D883='TaxCred&amp;Subs'!$D$66:$D$99)*($F883='TaxCred&amp;Subs'!$C$66:$C$99),0)),0)),IF($C883&gt;2,(N883-R883)*(IFERROR(INDEX('TaxCred&amp;Subs'!$J$66:$J$99,MATCH(1,($C883&amp;$D883='TaxCred&amp;Subs'!$D$66:$D$99)*($F883='TaxCred&amp;Subs'!$C$66:$C$99),0)),0)),0))),0)</f>
        <v>0</v>
      </c>
      <c r="Q883" s="41">
        <f t="array" ref="Q883">ROUND(IF(AND($C883=2,VALUE(RIGHT($AD883,1))&gt;2),(O883-S883)*(IFERROR(INDEX('TaxCred&amp;Subs'!$J$66:$J$99,MATCH(1,($C883&amp;$D883='TaxCred&amp;Subs'!$E$66:$E$99)*($F883='TaxCred&amp;Subs'!$C$66:$C$99),0)),0)),IF(AND($C883=1,VALUE(RIGHT($AD883,1))&gt;2),(O883-S883)*(IFERROR(INDEX('TaxCred&amp;Subs'!$J$66:$J$99,MATCH(1,($C883&amp;$D883='TaxCred&amp;Subs'!$D$66:$D$99)*($F883='TaxCred&amp;Subs'!$C$66:$C$99),0)),0)),IF($C883&gt;2,(O883-S883)*(IFERROR(INDEX('TaxCred&amp;Subs'!$J$66:$J$99,MATCH(1,($C883&amp;$D883='TaxCred&amp;Subs'!$D$66:$D$99)*($F883='TaxCred&amp;Subs'!$C$66:$C$99),0)),0)),0))),0)</f>
        <v>0</v>
      </c>
      <c r="R883" s="41">
        <f t="array" ref="R883">ROUND(IF(IFERROR(VALUE(RIGHT($AD883,1)),0)&gt;2,IF($C883=8,N883*IFERROR(INDEX('TaxCred&amp;Subs'!$K$139:$S$151,MATCH($C883&amp;$D883&amp;LEFT($AD883,7),'TaxCred&amp;Subs'!$E$139:$E$151,0),MATCH($H883,'TaxCred&amp;Subs'!$K$137:$S$137,0)),0),IF($C883=2,N883*IFERROR(INDEX('TaxCred&amp;Subs'!$K$139:$S$151,MATCH($C883&amp;$D883,'TaxCred&amp;Subs'!$D$139:$D$151,0),MATCH($H883,'TaxCred&amp;Subs'!$K$137:$S$137,0)),0),N883*IFERROR(INDEX('TaxCred&amp;Subs'!$K$139:$S$151,MATCH($C883&amp;$D883,'TaxCred&amp;Subs'!$C$139:$C$151,0),MATCH($H883,'TaxCred&amp;Subs'!$K$137:$S$137,0)),0))),0),0)</f>
        <v>0</v>
      </c>
      <c r="S883" s="41">
        <f t="array" ref="S883">ROUND(IF(IFERROR(VALUE(RIGHT($AD883,1)),0)&gt;2,IF($C883=8,O883*IFERROR(INDEX('TaxCred&amp;Subs'!$K$139:$S$151,MATCH($C883&amp;$D883&amp;LEFT($AD883,7),'TaxCred&amp;Subs'!$E$139:$E$151,0),MATCH($H883,'TaxCred&amp;Subs'!$K$137:$S$137,0)),0),IF($C883=2,O883*IFERROR(INDEX('TaxCred&amp;Subs'!$K$139:$S$151,MATCH($C883&amp;$D883,'TaxCred&amp;Subs'!$D$139:$D$151,0),MATCH($H883,'TaxCred&amp;Subs'!$K$137:$S$137,0)),0),O883*IFERROR(INDEX('TaxCred&amp;Subs'!$K$139:$S$151,MATCH($C883&amp;$D883,'TaxCred&amp;Subs'!$C$139:$C$151,0),MATCH($H883,'TaxCred&amp;Subs'!$K$137:$S$137,0)),0))),0),0)</f>
        <v>0</v>
      </c>
      <c r="T883" s="41">
        <f t="shared" ref="T883" si="80">IF($H883=9,IF(R883&gt;0,(N883-P883)*0.15,0),0)</f>
        <v>0</v>
      </c>
      <c r="U883" s="41">
        <f t="shared" ref="U883" si="81">IF($H883=9,IF(S883&gt;0,(O883-Q883)*0.15,0),0)</f>
        <v>0</v>
      </c>
      <c r="V883" s="152" t="s">
        <v>222</v>
      </c>
      <c r="W883" s="152">
        <v>2020</v>
      </c>
      <c r="X883" s="152">
        <v>1</v>
      </c>
      <c r="Y883" s="152">
        <v>0</v>
      </c>
      <c r="Z883" s="194">
        <v>-3.682780807759225E-3</v>
      </c>
      <c r="AA883" s="194">
        <v>-5.6658166273218846E-2</v>
      </c>
      <c r="AB883" s="152">
        <v>0</v>
      </c>
      <c r="AC883" s="152">
        <v>0</v>
      </c>
      <c r="AD883" s="152" t="s">
        <v>399</v>
      </c>
    </row>
    <row r="884" spans="2:31" ht="14.25" customHeight="1" x14ac:dyDescent="0.2">
      <c r="B884" s="7">
        <f t="shared" si="75"/>
        <v>860</v>
      </c>
      <c r="C884" s="28">
        <v>9</v>
      </c>
      <c r="D884" s="28">
        <v>1</v>
      </c>
      <c r="E884" s="31">
        <v>5</v>
      </c>
      <c r="F884" s="96">
        <v>2020</v>
      </c>
      <c r="G884" s="31">
        <v>2029</v>
      </c>
      <c r="H884" s="28">
        <v>11</v>
      </c>
      <c r="I884" s="28">
        <v>0</v>
      </c>
      <c r="J884" s="28">
        <v>0</v>
      </c>
      <c r="K884" s="28">
        <v>0</v>
      </c>
      <c r="L884" s="28">
        <v>0</v>
      </c>
      <c r="M884" s="151">
        <v>493</v>
      </c>
      <c r="N884" s="151">
        <v>830</v>
      </c>
      <c r="O884" s="151">
        <v>830</v>
      </c>
      <c r="P884" s="95">
        <f t="array" ref="P884">ROUND(IF($F884&lt;='TaxCred&amp;Subs'!$C$49,(IF($C884=2,IF($M884&gt;=IFERROR(INDEX('TaxCred&amp;Subs'!$L$12:$L$47,MATCH(1,($C884&amp;$D884='TaxCred&amp;Subs'!$E$12:$E$47)*($F884='TaxCred&amp;Subs'!$C$12:$C$47),0)
),9999),IFERROR(INDEX('TaxCred&amp;Subs'!$N$12:$N$47,MATCH(1,($C884&amp;$D884='TaxCred&amp;Subs'!$E$12:$E$47)*($F884='TaxCred&amp;Subs'!$C$12:$C$47),0)
),0),0),(IF($M884&gt;=IFERROR(INDEX('TaxCred&amp;Subs'!$H$12:$H$47,MATCH(1,($C884&amp;$D884='TaxCred&amp;Subs'!$D$12:$D$47)*($F884='TaxCred&amp;Subs'!$C$12:$C$47),0)
),9999),IFERROR(INDEX('TaxCred&amp;Subs'!$N$12:$N$47,MATCH(1,($C884&amp;$D884='TaxCred&amp;Subs'!$D$12:$D$47)*($F884='TaxCred&amp;Subs'!$C$12:$C$47),0)
),0),0)))),0)+IF(AND($C884=2,VALUE(RIGHT($AD884,1))&gt;2),(N884-R884)*(IFERROR(INDEX('TaxCred&amp;Subs'!$J$66:$J$99,MATCH(1,($C884&amp;$D884='TaxCred&amp;Subs'!$E$66:$E$99)*($F884='TaxCred&amp;Subs'!$C$66:$C$99),0)),0)),IF(AND($C884=1,VALUE(RIGHT($AD884,1))&gt;2),(N884-R884)*(IFERROR(INDEX('TaxCred&amp;Subs'!$J$66:$J$99,MATCH(1,($C884&amp;$D884='TaxCred&amp;Subs'!$D$66:$D$99)*($F884='TaxCred&amp;Subs'!$C$66:$C$99),0)),0)),IF($C884&gt;2,(N884-R884)*(IFERROR(INDEX('TaxCred&amp;Subs'!$J$66:$J$99,MATCH(1,($C884&amp;$D884='TaxCred&amp;Subs'!$D$66:$D$99)*($F884='TaxCred&amp;Subs'!$C$66:$C$99),0)),0)),0))),0)</f>
        <v>0</v>
      </c>
      <c r="Q884" s="95">
        <f t="array" ref="Q884">ROUND(IF(AND($C884=2,VALUE(RIGHT($AD884,1))&gt;2),(O884-S884)*(IFERROR(INDEX('TaxCred&amp;Subs'!$J$66:$J$99,MATCH(1,($C884&amp;$D884='TaxCred&amp;Subs'!$E$66:$E$99)*($F884='TaxCred&amp;Subs'!$C$66:$C$99),0)),0)),IF(AND($C884=1,VALUE(RIGHT($AD884,1))&gt;2),(O884-S884)*(IFERROR(INDEX('TaxCred&amp;Subs'!$J$66:$J$99,MATCH(1,($C884&amp;$D884='TaxCred&amp;Subs'!$D$66:$D$99)*($F884='TaxCred&amp;Subs'!$C$66:$C$99),0)),0)),IF($C884&gt;2,(O884-S884)*(IFERROR(INDEX('TaxCred&amp;Subs'!$J$66:$J$99,MATCH(1,($C884&amp;$D884='TaxCred&amp;Subs'!$D$66:$D$99)*($F884='TaxCred&amp;Subs'!$C$66:$C$99),0)),0)),0))),0)</f>
        <v>0</v>
      </c>
      <c r="R884" s="95">
        <f t="array" ref="R884">ROUND(IF(IFERROR(VALUE(RIGHT($AD884,1)),0)&gt;2,IF($C884=8,N884*IFERROR(INDEX('TaxCred&amp;Subs'!$K$139:$S$151,MATCH($C884&amp;$D884&amp;LEFT($AD884,7),'TaxCred&amp;Subs'!$E$139:$E$151,0),MATCH($H884,'TaxCred&amp;Subs'!$K$137:$S$137,0)),0),IF($C884=2,N884*IFERROR(INDEX('TaxCred&amp;Subs'!$K$139:$S$151,MATCH($C884&amp;$D884,'TaxCred&amp;Subs'!$D$139:$D$151,0),MATCH($H884,'TaxCred&amp;Subs'!$K$137:$S$137,0)),0),N884*IFERROR(INDEX('TaxCred&amp;Subs'!$K$139:$S$151,MATCH($C884&amp;$D884,'TaxCred&amp;Subs'!$C$139:$C$151,0),MATCH($H884,'TaxCred&amp;Subs'!$K$137:$S$137,0)),0))),0),0)</f>
        <v>0</v>
      </c>
      <c r="S884" s="95">
        <f t="array" ref="S884">ROUND(IF(IFERROR(VALUE(RIGHT($AD884,1)),0)&gt;2,IF($C884=8,O884*IFERROR(INDEX('TaxCred&amp;Subs'!$K$139:$S$151,MATCH($C884&amp;$D884&amp;LEFT($AD884,7),'TaxCred&amp;Subs'!$E$139:$E$151,0),MATCH($H884,'TaxCred&amp;Subs'!$K$137:$S$137,0)),0),IF($C884=2,O884*IFERROR(INDEX('TaxCred&amp;Subs'!$K$139:$S$151,MATCH($C884&amp;$D884,'TaxCred&amp;Subs'!$D$139:$D$151,0),MATCH($H884,'TaxCred&amp;Subs'!$K$137:$S$137,0)),0),O884*IFERROR(INDEX('TaxCred&amp;Subs'!$K$139:$S$151,MATCH($C884&amp;$D884,'TaxCred&amp;Subs'!$C$139:$C$151,0),MATCH($H884,'TaxCred&amp;Subs'!$K$137:$S$137,0)),0))),0),0)</f>
        <v>0</v>
      </c>
      <c r="T884" s="95">
        <f t="shared" si="78"/>
        <v>0</v>
      </c>
      <c r="U884" s="95">
        <f t="shared" si="79"/>
        <v>0</v>
      </c>
      <c r="V884" s="28" t="s">
        <v>222</v>
      </c>
      <c r="W884" s="31">
        <v>2020</v>
      </c>
      <c r="X884" s="28">
        <v>1</v>
      </c>
      <c r="Y884" s="28">
        <v>0</v>
      </c>
      <c r="Z884" s="196">
        <v>-3.682780807759225E-3</v>
      </c>
      <c r="AA884" s="196">
        <v>-5.6658166273218846E-2</v>
      </c>
      <c r="AB884" s="28">
        <v>0</v>
      </c>
      <c r="AC884" s="28">
        <v>0</v>
      </c>
      <c r="AD884" s="28" t="s">
        <v>400</v>
      </c>
    </row>
    <row r="885" spans="2:31" ht="14.25" customHeight="1" x14ac:dyDescent="0.2">
      <c r="B885" s="7">
        <f t="shared" si="75"/>
        <v>861</v>
      </c>
      <c r="C885" s="152">
        <v>9</v>
      </c>
      <c r="D885" s="152">
        <v>1</v>
      </c>
      <c r="E885" s="152">
        <v>5</v>
      </c>
      <c r="F885" s="153">
        <v>2030</v>
      </c>
      <c r="G885" s="152">
        <v>2050</v>
      </c>
      <c r="H885" s="152">
        <v>11</v>
      </c>
      <c r="I885" s="152">
        <v>0</v>
      </c>
      <c r="J885" s="152">
        <v>0</v>
      </c>
      <c r="K885" s="152">
        <v>0</v>
      </c>
      <c r="L885" s="152">
        <v>0</v>
      </c>
      <c r="M885" s="155">
        <v>493</v>
      </c>
      <c r="N885" s="155">
        <v>830</v>
      </c>
      <c r="O885" s="155">
        <v>830</v>
      </c>
      <c r="P885" s="41">
        <f t="array" ref="P885">ROUND(IF($F885&lt;='TaxCred&amp;Subs'!$C$49,(IF($C885=2,IF($M885&gt;=IFERROR(INDEX('TaxCred&amp;Subs'!$L$12:$L$47,MATCH(1,($C885&amp;$D885='TaxCred&amp;Subs'!$E$12:$E$47)*($F885='TaxCred&amp;Subs'!$C$12:$C$47),0)
),9999),IFERROR(INDEX('TaxCred&amp;Subs'!$N$12:$N$47,MATCH(1,($C885&amp;$D885='TaxCred&amp;Subs'!$E$12:$E$47)*($F885='TaxCred&amp;Subs'!$C$12:$C$47),0)
),0),0),(IF($M885&gt;=IFERROR(INDEX('TaxCred&amp;Subs'!$H$12:$H$47,MATCH(1,($C885&amp;$D885='TaxCred&amp;Subs'!$D$12:$D$47)*($F885='TaxCred&amp;Subs'!$C$12:$C$47),0)
),9999),IFERROR(INDEX('TaxCred&amp;Subs'!$N$12:$N$47,MATCH(1,($C885&amp;$D885='TaxCred&amp;Subs'!$D$12:$D$47)*($F885='TaxCred&amp;Subs'!$C$12:$C$47),0)
),0),0)))),0)+IF(AND($C885=2,VALUE(RIGHT($AD885,1))&gt;2),(N885-R885)*(IFERROR(INDEX('TaxCred&amp;Subs'!$J$66:$J$99,MATCH(1,($C885&amp;$D885='TaxCred&amp;Subs'!$E$66:$E$99)*($F885='TaxCred&amp;Subs'!$C$66:$C$99),0)),0)),IF(AND($C885=1,VALUE(RIGHT($AD885,1))&gt;2),(N885-R885)*(IFERROR(INDEX('TaxCred&amp;Subs'!$J$66:$J$99,MATCH(1,($C885&amp;$D885='TaxCred&amp;Subs'!$D$66:$D$99)*($F885='TaxCred&amp;Subs'!$C$66:$C$99),0)),0)),IF($C885&gt;2,(N885-R885)*(IFERROR(INDEX('TaxCred&amp;Subs'!$J$66:$J$99,MATCH(1,($C885&amp;$D885='TaxCred&amp;Subs'!$D$66:$D$99)*($F885='TaxCred&amp;Subs'!$C$66:$C$99),0)),0)),0))),0)</f>
        <v>0</v>
      </c>
      <c r="Q885" s="41">
        <f t="array" ref="Q885">ROUND(IF(AND($C885=2,VALUE(RIGHT($AD885,1))&gt;2),(O885-S885)*(IFERROR(INDEX('TaxCred&amp;Subs'!$J$66:$J$99,MATCH(1,($C885&amp;$D885='TaxCred&amp;Subs'!$E$66:$E$99)*($F885='TaxCred&amp;Subs'!$C$66:$C$99),0)),0)),IF(AND($C885=1,VALUE(RIGHT($AD885,1))&gt;2),(O885-S885)*(IFERROR(INDEX('TaxCred&amp;Subs'!$J$66:$J$99,MATCH(1,($C885&amp;$D885='TaxCred&amp;Subs'!$D$66:$D$99)*($F885='TaxCred&amp;Subs'!$C$66:$C$99),0)),0)),IF($C885&gt;2,(O885-S885)*(IFERROR(INDEX('TaxCred&amp;Subs'!$J$66:$J$99,MATCH(1,($C885&amp;$D885='TaxCred&amp;Subs'!$D$66:$D$99)*($F885='TaxCred&amp;Subs'!$C$66:$C$99),0)),0)),0))),0)</f>
        <v>0</v>
      </c>
      <c r="R885" s="41">
        <f t="array" ref="R885">ROUND(IF(IFERROR(VALUE(RIGHT($AD885,1)),0)&gt;2,IF($C885=8,N885*IFERROR(INDEX('TaxCred&amp;Subs'!$K$139:$S$151,MATCH($C885&amp;$D885&amp;LEFT($AD885,7),'TaxCred&amp;Subs'!$E$139:$E$151,0),MATCH($H885,'TaxCred&amp;Subs'!$K$137:$S$137,0)),0),IF($C885=2,N885*IFERROR(INDEX('TaxCred&amp;Subs'!$K$139:$S$151,MATCH($C885&amp;$D885,'TaxCred&amp;Subs'!$D$139:$D$151,0),MATCH($H885,'TaxCred&amp;Subs'!$K$137:$S$137,0)),0),N885*IFERROR(INDEX('TaxCred&amp;Subs'!$K$139:$S$151,MATCH($C885&amp;$D885,'TaxCred&amp;Subs'!$C$139:$C$151,0),MATCH($H885,'TaxCred&amp;Subs'!$K$137:$S$137,0)),0))),0),0)</f>
        <v>0</v>
      </c>
      <c r="S885" s="41">
        <f t="array" ref="S885">ROUND(IF(IFERROR(VALUE(RIGHT($AD885,1)),0)&gt;2,IF($C885=8,O885*IFERROR(INDEX('TaxCred&amp;Subs'!$K$139:$S$151,MATCH($C885&amp;$D885&amp;LEFT($AD885,7),'TaxCred&amp;Subs'!$E$139:$E$151,0),MATCH($H885,'TaxCred&amp;Subs'!$K$137:$S$137,0)),0),IF($C885=2,O885*IFERROR(INDEX('TaxCred&amp;Subs'!$K$139:$S$151,MATCH($C885&amp;$D885,'TaxCred&amp;Subs'!$D$139:$D$151,0),MATCH($H885,'TaxCred&amp;Subs'!$K$137:$S$137,0)),0),O885*IFERROR(INDEX('TaxCred&amp;Subs'!$K$139:$S$151,MATCH($C885&amp;$D885,'TaxCred&amp;Subs'!$C$139:$C$151,0),MATCH($H885,'TaxCred&amp;Subs'!$K$137:$S$137,0)),0))),0),0)</f>
        <v>0</v>
      </c>
      <c r="T885" s="41">
        <f t="shared" ref="T885" si="82">IF($H885=9,IF(R885&gt;0,(N885-P885)*0.15,0),0)</f>
        <v>0</v>
      </c>
      <c r="U885" s="41">
        <f t="shared" ref="U885" si="83">IF($H885=9,IF(S885&gt;0,(O885-Q885)*0.15,0),0)</f>
        <v>0</v>
      </c>
      <c r="V885" s="152" t="s">
        <v>222</v>
      </c>
      <c r="W885" s="152">
        <v>2020</v>
      </c>
      <c r="X885" s="152">
        <v>1</v>
      </c>
      <c r="Y885" s="152">
        <v>0</v>
      </c>
      <c r="Z885" s="195">
        <v>-1</v>
      </c>
      <c r="AA885" s="195">
        <v>-1</v>
      </c>
      <c r="AB885" s="152">
        <v>0</v>
      </c>
      <c r="AC885" s="152">
        <v>0</v>
      </c>
      <c r="AD885" s="152" t="s">
        <v>400</v>
      </c>
      <c r="AE885" s="44" t="s">
        <v>498</v>
      </c>
    </row>
    <row r="886" spans="2:31" ht="14.25" customHeight="1" x14ac:dyDescent="0.2">
      <c r="B886" s="7">
        <f t="shared" si="75"/>
        <v>862</v>
      </c>
      <c r="C886" s="28">
        <v>9</v>
      </c>
      <c r="D886" s="28">
        <v>1</v>
      </c>
      <c r="E886" s="31">
        <v>6</v>
      </c>
      <c r="F886" s="96">
        <v>2020</v>
      </c>
      <c r="G886" s="31">
        <v>2029</v>
      </c>
      <c r="H886" s="28">
        <v>11</v>
      </c>
      <c r="I886" s="28">
        <v>0</v>
      </c>
      <c r="J886" s="28">
        <v>0</v>
      </c>
      <c r="K886" s="28">
        <v>0</v>
      </c>
      <c r="L886" s="28">
        <v>0</v>
      </c>
      <c r="M886" s="151">
        <v>448</v>
      </c>
      <c r="N886" s="151">
        <v>913.37053571428567</v>
      </c>
      <c r="O886" s="151">
        <v>913.37053571428567</v>
      </c>
      <c r="P886" s="95">
        <f t="array" ref="P886">ROUND(IF($F886&lt;='TaxCred&amp;Subs'!$C$49,(IF($C886=2,IF($M886&gt;=IFERROR(INDEX('TaxCred&amp;Subs'!$L$12:$L$47,MATCH(1,($C886&amp;$D886='TaxCred&amp;Subs'!$E$12:$E$47)*($F886='TaxCred&amp;Subs'!$C$12:$C$47),0)
),9999),IFERROR(INDEX('TaxCred&amp;Subs'!$N$12:$N$47,MATCH(1,($C886&amp;$D886='TaxCred&amp;Subs'!$E$12:$E$47)*($F886='TaxCred&amp;Subs'!$C$12:$C$47),0)
),0),0),(IF($M886&gt;=IFERROR(INDEX('TaxCred&amp;Subs'!$H$12:$H$47,MATCH(1,($C886&amp;$D886='TaxCred&amp;Subs'!$D$12:$D$47)*($F886='TaxCred&amp;Subs'!$C$12:$C$47),0)
),9999),IFERROR(INDEX('TaxCred&amp;Subs'!$N$12:$N$47,MATCH(1,($C886&amp;$D886='TaxCred&amp;Subs'!$D$12:$D$47)*($F886='TaxCred&amp;Subs'!$C$12:$C$47),0)
),0),0)))),0)+IF(AND($C886=2,VALUE(RIGHT($AD886,1))&gt;2),(N886-R886)*(IFERROR(INDEX('TaxCred&amp;Subs'!$J$66:$J$99,MATCH(1,($C886&amp;$D886='TaxCred&amp;Subs'!$E$66:$E$99)*($F886='TaxCred&amp;Subs'!$C$66:$C$99),0)),0)),IF(AND($C886=1,VALUE(RIGHT($AD886,1))&gt;2),(N886-R886)*(IFERROR(INDEX('TaxCred&amp;Subs'!$J$66:$J$99,MATCH(1,($C886&amp;$D886='TaxCred&amp;Subs'!$D$66:$D$99)*($F886='TaxCred&amp;Subs'!$C$66:$C$99),0)),0)),IF($C886&gt;2,(N886-R886)*(IFERROR(INDEX('TaxCred&amp;Subs'!$J$66:$J$99,MATCH(1,($C886&amp;$D886='TaxCred&amp;Subs'!$D$66:$D$99)*($F886='TaxCred&amp;Subs'!$C$66:$C$99),0)),0)),0))),0)</f>
        <v>0</v>
      </c>
      <c r="Q886" s="95">
        <f t="array" ref="Q886">ROUND(IF(AND($C886=2,VALUE(RIGHT($AD886,1))&gt;2),(O886-S886)*(IFERROR(INDEX('TaxCred&amp;Subs'!$J$66:$J$99,MATCH(1,($C886&amp;$D886='TaxCred&amp;Subs'!$E$66:$E$99)*($F886='TaxCred&amp;Subs'!$C$66:$C$99),0)),0)),IF(AND($C886=1,VALUE(RIGHT($AD886,1))&gt;2),(O886-S886)*(IFERROR(INDEX('TaxCred&amp;Subs'!$J$66:$J$99,MATCH(1,($C886&amp;$D886='TaxCred&amp;Subs'!$D$66:$D$99)*($F886='TaxCred&amp;Subs'!$C$66:$C$99),0)),0)),IF($C886&gt;2,(O886-S886)*(IFERROR(INDEX('TaxCred&amp;Subs'!$J$66:$J$99,MATCH(1,($C886&amp;$D886='TaxCred&amp;Subs'!$D$66:$D$99)*($F886='TaxCred&amp;Subs'!$C$66:$C$99),0)),0)),0))),0)</f>
        <v>0</v>
      </c>
      <c r="R886" s="95">
        <f t="array" ref="R886">ROUND(IF(IFERROR(VALUE(RIGHT($AD886,1)),0)&gt;2,IF($C886=8,N886*IFERROR(INDEX('TaxCred&amp;Subs'!$K$139:$S$151,MATCH($C886&amp;$D886&amp;LEFT($AD886,7),'TaxCred&amp;Subs'!$E$139:$E$151,0),MATCH($H886,'TaxCred&amp;Subs'!$K$137:$S$137,0)),0),IF($C886=2,N886*IFERROR(INDEX('TaxCred&amp;Subs'!$K$139:$S$151,MATCH($C886&amp;$D886,'TaxCred&amp;Subs'!$D$139:$D$151,0),MATCH($H886,'TaxCred&amp;Subs'!$K$137:$S$137,0)),0),N886*IFERROR(INDEX('TaxCred&amp;Subs'!$K$139:$S$151,MATCH($C886&amp;$D886,'TaxCred&amp;Subs'!$C$139:$C$151,0),MATCH($H886,'TaxCred&amp;Subs'!$K$137:$S$137,0)),0))),0),0)</f>
        <v>0</v>
      </c>
      <c r="S886" s="95">
        <f t="array" ref="S886">ROUND(IF(IFERROR(VALUE(RIGHT($AD886,1)),0)&gt;2,IF($C886=8,O886*IFERROR(INDEX('TaxCred&amp;Subs'!$K$139:$S$151,MATCH($C886&amp;$D886&amp;LEFT($AD886,7),'TaxCred&amp;Subs'!$E$139:$E$151,0),MATCH($H886,'TaxCred&amp;Subs'!$K$137:$S$137,0)),0),IF($C886=2,O886*IFERROR(INDEX('TaxCred&amp;Subs'!$K$139:$S$151,MATCH($C886&amp;$D886,'TaxCred&amp;Subs'!$D$139:$D$151,0),MATCH($H886,'TaxCred&amp;Subs'!$K$137:$S$137,0)),0),O886*IFERROR(INDEX('TaxCred&amp;Subs'!$K$139:$S$151,MATCH($C886&amp;$D886,'TaxCred&amp;Subs'!$C$139:$C$151,0),MATCH($H886,'TaxCred&amp;Subs'!$K$137:$S$137,0)),0))),0),0)</f>
        <v>0</v>
      </c>
      <c r="T886" s="95">
        <f t="shared" si="78"/>
        <v>0</v>
      </c>
      <c r="U886" s="95">
        <f t="shared" si="79"/>
        <v>0</v>
      </c>
      <c r="V886" s="28" t="s">
        <v>222</v>
      </c>
      <c r="W886" s="31">
        <v>2020</v>
      </c>
      <c r="X886" s="28">
        <v>1</v>
      </c>
      <c r="Y886" s="28">
        <v>0</v>
      </c>
      <c r="Z886" s="196">
        <v>-4.6757062968357894E-3</v>
      </c>
      <c r="AA886" s="196">
        <v>-7.1933943028242908E-2</v>
      </c>
      <c r="AB886" s="28">
        <v>0</v>
      </c>
      <c r="AC886" s="28">
        <v>0</v>
      </c>
      <c r="AD886" s="28" t="s">
        <v>401</v>
      </c>
    </row>
    <row r="887" spans="2:31" ht="14.25" customHeight="1" x14ac:dyDescent="0.2">
      <c r="B887" s="7">
        <f t="shared" si="75"/>
        <v>863</v>
      </c>
      <c r="C887" s="152">
        <v>9</v>
      </c>
      <c r="D887" s="152">
        <v>1</v>
      </c>
      <c r="E887" s="152">
        <v>6</v>
      </c>
      <c r="F887" s="153">
        <v>2030</v>
      </c>
      <c r="G887" s="152">
        <v>2050</v>
      </c>
      <c r="H887" s="152">
        <v>11</v>
      </c>
      <c r="I887" s="152">
        <v>0</v>
      </c>
      <c r="J887" s="152">
        <v>0</v>
      </c>
      <c r="K887" s="152">
        <v>0</v>
      </c>
      <c r="L887" s="152">
        <v>0</v>
      </c>
      <c r="M887" s="155">
        <v>448</v>
      </c>
      <c r="N887" s="155">
        <v>913.37053571428567</v>
      </c>
      <c r="O887" s="155">
        <v>913.37053571428567</v>
      </c>
      <c r="P887" s="41">
        <f t="array" ref="P887">ROUND(IF($F887&lt;='TaxCred&amp;Subs'!$C$49,(IF($C887=2,IF($M887&gt;=IFERROR(INDEX('TaxCred&amp;Subs'!$L$12:$L$47,MATCH(1,($C887&amp;$D887='TaxCred&amp;Subs'!$E$12:$E$47)*($F887='TaxCred&amp;Subs'!$C$12:$C$47),0)
),9999),IFERROR(INDEX('TaxCred&amp;Subs'!$N$12:$N$47,MATCH(1,($C887&amp;$D887='TaxCred&amp;Subs'!$E$12:$E$47)*($F887='TaxCred&amp;Subs'!$C$12:$C$47),0)
),0),0),(IF($M887&gt;=IFERROR(INDEX('TaxCred&amp;Subs'!$H$12:$H$47,MATCH(1,($C887&amp;$D887='TaxCred&amp;Subs'!$D$12:$D$47)*($F887='TaxCred&amp;Subs'!$C$12:$C$47),0)
),9999),IFERROR(INDEX('TaxCred&amp;Subs'!$N$12:$N$47,MATCH(1,($C887&amp;$D887='TaxCred&amp;Subs'!$D$12:$D$47)*($F887='TaxCred&amp;Subs'!$C$12:$C$47),0)
),0),0)))),0)+IF(AND($C887=2,VALUE(RIGHT($AD887,1))&gt;2),(N887-R887)*(IFERROR(INDEX('TaxCred&amp;Subs'!$J$66:$J$99,MATCH(1,($C887&amp;$D887='TaxCred&amp;Subs'!$E$66:$E$99)*($F887='TaxCred&amp;Subs'!$C$66:$C$99),0)),0)),IF(AND($C887=1,VALUE(RIGHT($AD887,1))&gt;2),(N887-R887)*(IFERROR(INDEX('TaxCred&amp;Subs'!$J$66:$J$99,MATCH(1,($C887&amp;$D887='TaxCred&amp;Subs'!$D$66:$D$99)*($F887='TaxCred&amp;Subs'!$C$66:$C$99),0)),0)),IF($C887&gt;2,(N887-R887)*(IFERROR(INDEX('TaxCred&amp;Subs'!$J$66:$J$99,MATCH(1,($C887&amp;$D887='TaxCred&amp;Subs'!$D$66:$D$99)*($F887='TaxCred&amp;Subs'!$C$66:$C$99),0)),0)),0))),0)</f>
        <v>0</v>
      </c>
      <c r="Q887" s="41">
        <f t="array" ref="Q887">ROUND(IF(AND($C887=2,VALUE(RIGHT($AD887,1))&gt;2),(O887-S887)*(IFERROR(INDEX('TaxCred&amp;Subs'!$J$66:$J$99,MATCH(1,($C887&amp;$D887='TaxCred&amp;Subs'!$E$66:$E$99)*($F887='TaxCred&amp;Subs'!$C$66:$C$99),0)),0)),IF(AND($C887=1,VALUE(RIGHT($AD887,1))&gt;2),(O887-S887)*(IFERROR(INDEX('TaxCred&amp;Subs'!$J$66:$J$99,MATCH(1,($C887&amp;$D887='TaxCred&amp;Subs'!$D$66:$D$99)*($F887='TaxCred&amp;Subs'!$C$66:$C$99),0)),0)),IF($C887&gt;2,(O887-S887)*(IFERROR(INDEX('TaxCred&amp;Subs'!$J$66:$J$99,MATCH(1,($C887&amp;$D887='TaxCred&amp;Subs'!$D$66:$D$99)*($F887='TaxCred&amp;Subs'!$C$66:$C$99),0)),0)),0))),0)</f>
        <v>0</v>
      </c>
      <c r="R887" s="41">
        <f t="array" ref="R887">ROUND(IF(IFERROR(VALUE(RIGHT($AD887,1)),0)&gt;2,IF($C887=8,N887*IFERROR(INDEX('TaxCred&amp;Subs'!$K$139:$S$151,MATCH($C887&amp;$D887&amp;LEFT($AD887,7),'TaxCred&amp;Subs'!$E$139:$E$151,0),MATCH($H887,'TaxCred&amp;Subs'!$K$137:$S$137,0)),0),IF($C887=2,N887*IFERROR(INDEX('TaxCred&amp;Subs'!$K$139:$S$151,MATCH($C887&amp;$D887,'TaxCred&amp;Subs'!$D$139:$D$151,0),MATCH($H887,'TaxCred&amp;Subs'!$K$137:$S$137,0)),0),N887*IFERROR(INDEX('TaxCred&amp;Subs'!$K$139:$S$151,MATCH($C887&amp;$D887,'TaxCred&amp;Subs'!$C$139:$C$151,0),MATCH($H887,'TaxCred&amp;Subs'!$K$137:$S$137,0)),0))),0),0)</f>
        <v>0</v>
      </c>
      <c r="S887" s="41">
        <f t="array" ref="S887">ROUND(IF(IFERROR(VALUE(RIGHT($AD887,1)),0)&gt;2,IF($C887=8,O887*IFERROR(INDEX('TaxCred&amp;Subs'!$K$139:$S$151,MATCH($C887&amp;$D887&amp;LEFT($AD887,7),'TaxCred&amp;Subs'!$E$139:$E$151,0),MATCH($H887,'TaxCred&amp;Subs'!$K$137:$S$137,0)),0),IF($C887=2,O887*IFERROR(INDEX('TaxCred&amp;Subs'!$K$139:$S$151,MATCH($C887&amp;$D887,'TaxCred&amp;Subs'!$D$139:$D$151,0),MATCH($H887,'TaxCred&amp;Subs'!$K$137:$S$137,0)),0),O887*IFERROR(INDEX('TaxCred&amp;Subs'!$K$139:$S$151,MATCH($C887&amp;$D887,'TaxCred&amp;Subs'!$C$139:$C$151,0),MATCH($H887,'TaxCred&amp;Subs'!$K$137:$S$137,0)),0))),0),0)</f>
        <v>0</v>
      </c>
      <c r="T887" s="41">
        <f t="shared" ref="T887:T888" si="84">IF($H887=9,IF(R887&gt;0,(N887-P887)*0.15,0),0)</f>
        <v>0</v>
      </c>
      <c r="U887" s="41">
        <f t="shared" ref="U887:U888" si="85">IF($H887=9,IF(S887&gt;0,(O887-Q887)*0.15,0),0)</f>
        <v>0</v>
      </c>
      <c r="V887" s="152" t="s">
        <v>222</v>
      </c>
      <c r="W887" s="152">
        <v>2020</v>
      </c>
      <c r="X887" s="152">
        <v>1</v>
      </c>
      <c r="Y887" s="152">
        <v>0</v>
      </c>
      <c r="Z887" s="195">
        <v>-1</v>
      </c>
      <c r="AA887" s="195">
        <v>-1</v>
      </c>
      <c r="AB887" s="152">
        <v>0</v>
      </c>
      <c r="AC887" s="152">
        <v>0</v>
      </c>
      <c r="AD887" s="152" t="s">
        <v>401</v>
      </c>
      <c r="AE887" s="44" t="s">
        <v>498</v>
      </c>
    </row>
    <row r="888" spans="2:31" ht="14.25" customHeight="1" x14ac:dyDescent="0.2">
      <c r="B888" s="7">
        <f t="shared" si="75"/>
        <v>864</v>
      </c>
      <c r="C888" s="28">
        <v>9</v>
      </c>
      <c r="D888" s="28">
        <v>1</v>
      </c>
      <c r="E888" s="31">
        <v>7</v>
      </c>
      <c r="F888" s="96">
        <v>2020</v>
      </c>
      <c r="G888" s="31">
        <v>2029</v>
      </c>
      <c r="H888" s="28">
        <v>11</v>
      </c>
      <c r="I888" s="28">
        <v>0</v>
      </c>
      <c r="J888" s="28">
        <v>0</v>
      </c>
      <c r="K888" s="28">
        <v>0</v>
      </c>
      <c r="L888" s="28">
        <v>0</v>
      </c>
      <c r="M888" s="151">
        <v>441</v>
      </c>
      <c r="N888" s="151">
        <v>927.86848072562361</v>
      </c>
      <c r="O888" s="151">
        <v>927.86848072562361</v>
      </c>
      <c r="P888" s="95">
        <f t="array" ref="P888">ROUND(IF($F888&lt;='TaxCred&amp;Subs'!$C$49,(IF($C888=2,IF($M888&gt;=IFERROR(INDEX('TaxCred&amp;Subs'!$L$12:$L$47,MATCH(1,($C888&amp;$D888='TaxCred&amp;Subs'!$E$12:$E$47)*($F888='TaxCred&amp;Subs'!$C$12:$C$47),0)
),9999),IFERROR(INDEX('TaxCred&amp;Subs'!$N$12:$N$47,MATCH(1,($C888&amp;$D888='TaxCred&amp;Subs'!$E$12:$E$47)*($F888='TaxCred&amp;Subs'!$C$12:$C$47),0)
),0),0),(IF($M888&gt;=IFERROR(INDEX('TaxCred&amp;Subs'!$H$12:$H$47,MATCH(1,($C888&amp;$D888='TaxCred&amp;Subs'!$D$12:$D$47)*($F888='TaxCred&amp;Subs'!$C$12:$C$47),0)
),9999),IFERROR(INDEX('TaxCred&amp;Subs'!$N$12:$N$47,MATCH(1,($C888&amp;$D888='TaxCred&amp;Subs'!$D$12:$D$47)*($F888='TaxCred&amp;Subs'!$C$12:$C$47),0)
),0),0)))),0)+IF(AND($C888=2,VALUE(RIGHT($AD888,1))&gt;2),(N888-R888)*(IFERROR(INDEX('TaxCred&amp;Subs'!$J$66:$J$99,MATCH(1,($C888&amp;$D888='TaxCred&amp;Subs'!$E$66:$E$99)*($F888='TaxCred&amp;Subs'!$C$66:$C$99),0)),0)),IF(AND($C888=1,VALUE(RIGHT($AD888,1))&gt;2),(N888-R888)*(IFERROR(INDEX('TaxCred&amp;Subs'!$J$66:$J$99,MATCH(1,($C888&amp;$D888='TaxCred&amp;Subs'!$D$66:$D$99)*($F888='TaxCred&amp;Subs'!$C$66:$C$99),0)),0)),IF($C888&gt;2,(N888-R888)*(IFERROR(INDEX('TaxCred&amp;Subs'!$J$66:$J$99,MATCH(1,($C888&amp;$D888='TaxCred&amp;Subs'!$D$66:$D$99)*($F888='TaxCred&amp;Subs'!$C$66:$C$99),0)),0)),0))),0)</f>
        <v>0</v>
      </c>
      <c r="Q888" s="95">
        <f t="array" ref="Q888">ROUND(IF(AND($C888=2,VALUE(RIGHT($AD888,1))&gt;2),(O888-S888)*(IFERROR(INDEX('TaxCred&amp;Subs'!$J$66:$J$99,MATCH(1,($C888&amp;$D888='TaxCred&amp;Subs'!$E$66:$E$99)*($F888='TaxCred&amp;Subs'!$C$66:$C$99),0)),0)),IF(AND($C888=1,VALUE(RIGHT($AD888,1))&gt;2),(O888-S888)*(IFERROR(INDEX('TaxCred&amp;Subs'!$J$66:$J$99,MATCH(1,($C888&amp;$D888='TaxCred&amp;Subs'!$D$66:$D$99)*($F888='TaxCred&amp;Subs'!$C$66:$C$99),0)),0)),IF($C888&gt;2,(O888-S888)*(IFERROR(INDEX('TaxCred&amp;Subs'!$J$66:$J$99,MATCH(1,($C888&amp;$D888='TaxCred&amp;Subs'!$D$66:$D$99)*($F888='TaxCred&amp;Subs'!$C$66:$C$99),0)),0)),0))),0)</f>
        <v>0</v>
      </c>
      <c r="R888" s="95">
        <f t="array" ref="R888">ROUND(IF(IFERROR(VALUE(RIGHT($AD888,1)),0)&gt;2,IF($C888=8,N888*IFERROR(INDEX('TaxCred&amp;Subs'!$K$139:$S$151,MATCH($C888&amp;$D888&amp;LEFT($AD888,7),'TaxCred&amp;Subs'!$E$139:$E$151,0),MATCH($H888,'TaxCred&amp;Subs'!$K$137:$S$137,0)),0),IF($C888=2,N888*IFERROR(INDEX('TaxCred&amp;Subs'!$K$139:$S$151,MATCH($C888&amp;$D888,'TaxCred&amp;Subs'!$D$139:$D$151,0),MATCH($H888,'TaxCred&amp;Subs'!$K$137:$S$137,0)),0),N888*IFERROR(INDEX('TaxCred&amp;Subs'!$K$139:$S$151,MATCH($C888&amp;$D888,'TaxCred&amp;Subs'!$C$139:$C$151,0),MATCH($H888,'TaxCred&amp;Subs'!$K$137:$S$137,0)),0))),0),0)</f>
        <v>0</v>
      </c>
      <c r="S888" s="95">
        <f t="array" ref="S888">ROUND(IF(IFERROR(VALUE(RIGHT($AD888,1)),0)&gt;2,IF($C888=8,O888*IFERROR(INDEX('TaxCred&amp;Subs'!$K$139:$S$151,MATCH($C888&amp;$D888&amp;LEFT($AD888,7),'TaxCred&amp;Subs'!$E$139:$E$151,0),MATCH($H888,'TaxCred&amp;Subs'!$K$137:$S$137,0)),0),IF($C888=2,O888*IFERROR(INDEX('TaxCred&amp;Subs'!$K$139:$S$151,MATCH($C888&amp;$D888,'TaxCred&amp;Subs'!$D$139:$D$151,0),MATCH($H888,'TaxCred&amp;Subs'!$K$137:$S$137,0)),0),O888*IFERROR(INDEX('TaxCred&amp;Subs'!$K$139:$S$151,MATCH($C888&amp;$D888,'TaxCred&amp;Subs'!$C$139:$C$151,0),MATCH($H888,'TaxCred&amp;Subs'!$K$137:$S$137,0)),0))),0),0)</f>
        <v>0</v>
      </c>
      <c r="T888" s="95">
        <f t="shared" si="84"/>
        <v>0</v>
      </c>
      <c r="U888" s="95">
        <f t="shared" si="85"/>
        <v>0</v>
      </c>
      <c r="V888" s="28" t="s">
        <v>222</v>
      </c>
      <c r="W888" s="31">
        <v>2020</v>
      </c>
      <c r="X888" s="28">
        <v>1</v>
      </c>
      <c r="Y888" s="28">
        <v>0</v>
      </c>
      <c r="Z888" s="196">
        <v>-4.6757062968357894E-3</v>
      </c>
      <c r="AA888" s="196">
        <v>-7.1933943028242908E-2</v>
      </c>
      <c r="AB888" s="28">
        <v>0</v>
      </c>
      <c r="AC888" s="28">
        <v>0</v>
      </c>
      <c r="AD888" s="28" t="s">
        <v>402</v>
      </c>
    </row>
    <row r="889" spans="2:31" ht="14.25" customHeight="1" x14ac:dyDescent="0.2">
      <c r="B889" s="7">
        <f t="shared" si="75"/>
        <v>865</v>
      </c>
      <c r="C889" s="152">
        <v>9</v>
      </c>
      <c r="D889" s="152">
        <v>1</v>
      </c>
      <c r="E889" s="152">
        <v>7</v>
      </c>
      <c r="F889" s="153">
        <v>2030</v>
      </c>
      <c r="G889" s="152">
        <v>2050</v>
      </c>
      <c r="H889" s="152">
        <v>11</v>
      </c>
      <c r="I889" s="152">
        <v>0</v>
      </c>
      <c r="J889" s="152">
        <v>0</v>
      </c>
      <c r="K889" s="152">
        <v>0</v>
      </c>
      <c r="L889" s="152">
        <v>0</v>
      </c>
      <c r="M889" s="155">
        <v>303.35759999999999</v>
      </c>
      <c r="N889" s="155">
        <v>1348.8701123690325</v>
      </c>
      <c r="O889" s="155">
        <v>1348.8701123690325</v>
      </c>
      <c r="P889" s="41">
        <f t="array" ref="P889">ROUND(IF($F889&lt;='TaxCred&amp;Subs'!$C$49,(IF($C889=2,IF($M889&gt;=IFERROR(INDEX('TaxCred&amp;Subs'!$L$12:$L$47,MATCH(1,($C889&amp;$D889='TaxCred&amp;Subs'!$E$12:$E$47)*($F889='TaxCred&amp;Subs'!$C$12:$C$47),0)
),9999),IFERROR(INDEX('TaxCred&amp;Subs'!$N$12:$N$47,MATCH(1,($C889&amp;$D889='TaxCred&amp;Subs'!$E$12:$E$47)*($F889='TaxCred&amp;Subs'!$C$12:$C$47),0)
),0),0),(IF($M889&gt;=IFERROR(INDEX('TaxCred&amp;Subs'!$H$12:$H$47,MATCH(1,($C889&amp;$D889='TaxCred&amp;Subs'!$D$12:$D$47)*($F889='TaxCred&amp;Subs'!$C$12:$C$47),0)
),9999),IFERROR(INDEX('TaxCred&amp;Subs'!$N$12:$N$47,MATCH(1,($C889&amp;$D889='TaxCred&amp;Subs'!$D$12:$D$47)*($F889='TaxCred&amp;Subs'!$C$12:$C$47),0)
),0),0)))),0)+IF(AND($C889=2,VALUE(RIGHT($AD889,1))&gt;2),(N889-R889)*(IFERROR(INDEX('TaxCred&amp;Subs'!$J$66:$J$99,MATCH(1,($C889&amp;$D889='TaxCred&amp;Subs'!$E$66:$E$99)*($F889='TaxCred&amp;Subs'!$C$66:$C$99),0)),0)),IF(AND($C889=1,VALUE(RIGHT($AD889,1))&gt;2),(N889-R889)*(IFERROR(INDEX('TaxCred&amp;Subs'!$J$66:$J$99,MATCH(1,($C889&amp;$D889='TaxCred&amp;Subs'!$D$66:$D$99)*($F889='TaxCred&amp;Subs'!$C$66:$C$99),0)),0)),IF($C889&gt;2,(N889-R889)*(IFERROR(INDEX('TaxCred&amp;Subs'!$J$66:$J$99,MATCH(1,($C889&amp;$D889='TaxCred&amp;Subs'!$D$66:$D$99)*($F889='TaxCred&amp;Subs'!$C$66:$C$99),0)),0)),0))),0)</f>
        <v>0</v>
      </c>
      <c r="Q889" s="41">
        <f t="array" ref="Q889">ROUND(IF(AND($C889=2,VALUE(RIGHT($AD889,1))&gt;2),(O889-S889)*(IFERROR(INDEX('TaxCred&amp;Subs'!$J$66:$J$99,MATCH(1,($C889&amp;$D889='TaxCred&amp;Subs'!$E$66:$E$99)*($F889='TaxCred&amp;Subs'!$C$66:$C$99),0)),0)),IF(AND($C889=1,VALUE(RIGHT($AD889,1))&gt;2),(O889-S889)*(IFERROR(INDEX('TaxCred&amp;Subs'!$J$66:$J$99,MATCH(1,($C889&amp;$D889='TaxCred&amp;Subs'!$D$66:$D$99)*($F889='TaxCred&amp;Subs'!$C$66:$C$99),0)),0)),IF($C889&gt;2,(O889-S889)*(IFERROR(INDEX('TaxCred&amp;Subs'!$J$66:$J$99,MATCH(1,($C889&amp;$D889='TaxCred&amp;Subs'!$D$66:$D$99)*($F889='TaxCred&amp;Subs'!$C$66:$C$99),0)),0)),0))),0)</f>
        <v>0</v>
      </c>
      <c r="R889" s="41">
        <f t="array" ref="R889">ROUND(IF(IFERROR(VALUE(RIGHT($AD889,1)),0)&gt;2,IF($C889=8,N889*IFERROR(INDEX('TaxCred&amp;Subs'!$K$139:$S$151,MATCH($C889&amp;$D889&amp;LEFT($AD889,7),'TaxCred&amp;Subs'!$E$139:$E$151,0),MATCH($H889,'TaxCred&amp;Subs'!$K$137:$S$137,0)),0),IF($C889=2,N889*IFERROR(INDEX('TaxCred&amp;Subs'!$K$139:$S$151,MATCH($C889&amp;$D889,'TaxCred&amp;Subs'!$D$139:$D$151,0),MATCH($H889,'TaxCred&amp;Subs'!$K$137:$S$137,0)),0),N889*IFERROR(INDEX('TaxCred&amp;Subs'!$K$139:$S$151,MATCH($C889&amp;$D889,'TaxCred&amp;Subs'!$C$139:$C$151,0),MATCH($H889,'TaxCred&amp;Subs'!$K$137:$S$137,0)),0))),0),0)</f>
        <v>0</v>
      </c>
      <c r="S889" s="41">
        <f t="array" ref="S889">ROUND(IF(IFERROR(VALUE(RIGHT($AD889,1)),0)&gt;2,IF($C889=8,O889*IFERROR(INDEX('TaxCred&amp;Subs'!$K$139:$S$151,MATCH($C889&amp;$D889&amp;LEFT($AD889,7),'TaxCred&amp;Subs'!$E$139:$E$151,0),MATCH($H889,'TaxCred&amp;Subs'!$K$137:$S$137,0)),0),IF($C889=2,O889*IFERROR(INDEX('TaxCred&amp;Subs'!$K$139:$S$151,MATCH($C889&amp;$D889,'TaxCred&amp;Subs'!$D$139:$D$151,0),MATCH($H889,'TaxCred&amp;Subs'!$K$137:$S$137,0)),0),O889*IFERROR(INDEX('TaxCred&amp;Subs'!$K$139:$S$151,MATCH($C889&amp;$D889,'TaxCred&amp;Subs'!$C$139:$C$151,0),MATCH($H889,'TaxCred&amp;Subs'!$K$137:$S$137,0)),0))),0),0)</f>
        <v>0</v>
      </c>
      <c r="T889" s="41">
        <f t="shared" si="78"/>
        <v>0</v>
      </c>
      <c r="U889" s="41">
        <f t="shared" si="79"/>
        <v>0</v>
      </c>
      <c r="V889" s="152" t="s">
        <v>222</v>
      </c>
      <c r="W889" s="152">
        <v>2020</v>
      </c>
      <c r="X889" s="152">
        <v>1</v>
      </c>
      <c r="Y889" s="152">
        <v>0</v>
      </c>
      <c r="Z889" s="194">
        <v>-4.6757062968357894E-3</v>
      </c>
      <c r="AA889" s="194">
        <v>-7.1933943028242908E-2</v>
      </c>
      <c r="AB889" s="152">
        <v>0</v>
      </c>
      <c r="AC889" s="152">
        <v>0</v>
      </c>
      <c r="AD889" s="152" t="s">
        <v>402</v>
      </c>
    </row>
    <row r="890" spans="2:31" ht="15" x14ac:dyDescent="0.25">
      <c r="C890" s="11" t="s">
        <v>460</v>
      </c>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2" spans="2:31" x14ac:dyDescent="0.2">
      <c r="C892" s="8" t="s">
        <v>471</v>
      </c>
    </row>
    <row r="893" spans="2:31" ht="15" x14ac:dyDescent="0.25">
      <c r="C893" s="87">
        <v>1</v>
      </c>
      <c r="D893" s="87">
        <v>2</v>
      </c>
      <c r="E893" s="87">
        <v>3</v>
      </c>
      <c r="F893" s="87">
        <v>4</v>
      </c>
      <c r="G893" s="87">
        <v>5</v>
      </c>
      <c r="H893" s="87">
        <v>6</v>
      </c>
      <c r="I893" s="87">
        <v>7</v>
      </c>
      <c r="J893" s="87">
        <v>8</v>
      </c>
      <c r="K893" s="87">
        <v>9</v>
      </c>
    </row>
    <row r="894" spans="2:31" ht="15" x14ac:dyDescent="0.25">
      <c r="C894" s="15" t="s">
        <v>422</v>
      </c>
      <c r="D894" s="15" t="s">
        <v>423</v>
      </c>
      <c r="E894" s="15" t="s">
        <v>425</v>
      </c>
      <c r="F894" s="15" t="s">
        <v>424</v>
      </c>
      <c r="G894" s="15" t="s">
        <v>428</v>
      </c>
      <c r="H894" s="15" t="s">
        <v>429</v>
      </c>
      <c r="I894" s="15" t="s">
        <v>430</v>
      </c>
      <c r="J894" s="15" t="s">
        <v>431</v>
      </c>
      <c r="K894" s="15" t="s">
        <v>432</v>
      </c>
    </row>
    <row r="895" spans="2:31" ht="15" x14ac:dyDescent="0.25">
      <c r="C895" s="12" t="s">
        <v>420</v>
      </c>
      <c r="D895" s="12" t="s">
        <v>421</v>
      </c>
      <c r="E895" s="12" t="s">
        <v>426</v>
      </c>
      <c r="F895" s="12" t="s">
        <v>415</v>
      </c>
      <c r="G895" s="12" t="s">
        <v>416</v>
      </c>
      <c r="H895" s="12" t="s">
        <v>417</v>
      </c>
      <c r="I895" s="12" t="s">
        <v>427</v>
      </c>
      <c r="J895" s="12" t="s">
        <v>418</v>
      </c>
      <c r="K895" s="12" t="s">
        <v>419</v>
      </c>
    </row>
    <row r="896" spans="2:31" x14ac:dyDescent="0.2">
      <c r="C896" s="85" cm="1">
        <f t="array" ref="C896">MAX(IF((xlRTTYENDU=C$893),xlRTEQTYPE,0))</f>
        <v>35</v>
      </c>
      <c r="D896" s="86" cm="1">
        <f t="array" ref="D896">MAX(IF((xlRTTYENDU=D$893),xlRTEQTYPE,0))</f>
        <v>16</v>
      </c>
      <c r="E896" s="86" cm="1">
        <f t="array" ref="E896">MAX(IF((xlRTTYENDU=E$893),xlRTEQTYPE,0))</f>
        <v>6</v>
      </c>
      <c r="F896" s="86" cm="1">
        <f t="array" ref="F896">MAX(IF((xlRTTYENDU=F$893),xlRTEQTYPE,0))</f>
        <v>3</v>
      </c>
      <c r="G896" s="86" cm="1">
        <f t="array" ref="G896">MAX(IF((xlRTTYENDU=G$893),xlRTEQTYPE,0))</f>
        <v>15</v>
      </c>
      <c r="H896" s="86" cm="1">
        <f t="array" ref="H896">MAX(IF((xlRTTYENDU=H$893),xlRTEQTYPE,0))</f>
        <v>7</v>
      </c>
      <c r="I896" s="86" cm="1">
        <f t="array" ref="I896">MAX(IF((xlRTTYENDU=I$893),xlRTEQTYPE,0))</f>
        <v>6</v>
      </c>
      <c r="J896" s="86" cm="1">
        <f t="array" ref="J896">MAX(IF((xlRTTYENDU=J$893),xlRTEQTYPE,0))</f>
        <v>12</v>
      </c>
      <c r="K896" s="86" cm="1">
        <f t="array" ref="K896">MAX(IF((xlRTTYENDU=K$893),xlRTEQTYPE,0))</f>
        <v>7</v>
      </c>
    </row>
  </sheetData>
  <autoFilter ref="B24:AD890" xr:uid="{00000000-0009-0000-0000-000002000000}"/>
  <mergeCells count="2">
    <mergeCell ref="V21:Y21"/>
    <mergeCell ref="Z21:AC21"/>
  </mergeCells>
  <phoneticPr fontId="51" type="noConversion"/>
  <dataValidations count="1">
    <dataValidation type="list" allowBlank="1" showInputMessage="1" showErrorMessage="1" sqref="V25:V889" xr:uid="{00000000-0002-0000-0200-000000000000}">
      <formula1>"INFANT,ADOLESCENT,MATURE"</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79998168889431442"/>
  </sheetPr>
  <dimension ref="A2:Y2225"/>
  <sheetViews>
    <sheetView zoomScale="55" zoomScaleNormal="55" workbookViewId="0">
      <pane ySplit="4335" topLeftCell="A25" activePane="bottomLeft"/>
      <selection activeCell="K15" sqref="K15"/>
      <selection pane="bottomLeft" activeCell="A25" sqref="A25"/>
    </sheetView>
  </sheetViews>
  <sheetFormatPr defaultColWidth="8.625" defaultRowHeight="14.25" x14ac:dyDescent="0.2"/>
  <cols>
    <col min="2" max="2" width="26" customWidth="1"/>
    <col min="3" max="3" width="17.875" customWidth="1"/>
    <col min="4" max="4" width="18" bestFit="1" customWidth="1"/>
    <col min="5" max="5" width="17.5" bestFit="1" customWidth="1"/>
    <col min="6" max="6" width="18" bestFit="1" customWidth="1"/>
    <col min="7" max="7" width="17.5" bestFit="1" customWidth="1"/>
    <col min="8" max="9" width="12.75" bestFit="1" customWidth="1"/>
    <col min="10" max="11" width="22.375" customWidth="1"/>
    <col min="12" max="12" width="15" bestFit="1" customWidth="1"/>
    <col min="13" max="13" width="14.75" bestFit="1" customWidth="1"/>
    <col min="14" max="14" width="20.625" bestFit="1" customWidth="1"/>
    <col min="15" max="15" width="20.5" bestFit="1" customWidth="1"/>
    <col min="16" max="16" width="16.375" customWidth="1"/>
    <col min="17" max="17" width="14.75" bestFit="1" customWidth="1"/>
    <col min="18" max="18" width="21.375" customWidth="1"/>
    <col min="19" max="19" width="16" bestFit="1" customWidth="1"/>
    <col min="20" max="20" width="18.5" bestFit="1" customWidth="1"/>
    <col min="22" max="22" width="12.125" bestFit="1" customWidth="1"/>
    <col min="23" max="23" width="12.125" customWidth="1"/>
    <col min="24" max="24" width="13.5" bestFit="1" customWidth="1"/>
    <col min="25" max="25" width="15.125" customWidth="1"/>
  </cols>
  <sheetData>
    <row r="2" spans="2:24" ht="15" x14ac:dyDescent="0.25">
      <c r="B2" s="6" t="s">
        <v>74</v>
      </c>
      <c r="C2" t="s">
        <v>22</v>
      </c>
      <c r="K2" s="42" t="s">
        <v>241</v>
      </c>
      <c r="V2" s="231" t="s">
        <v>168</v>
      </c>
      <c r="W2" s="231" t="s">
        <v>180</v>
      </c>
    </row>
    <row r="3" spans="2:24" ht="15" x14ac:dyDescent="0.25">
      <c r="B3" s="6" t="s">
        <v>75</v>
      </c>
      <c r="C3" s="20">
        <v>45601</v>
      </c>
      <c r="K3" s="43" t="s">
        <v>242</v>
      </c>
      <c r="V3" s="231" t="s">
        <v>169</v>
      </c>
      <c r="W3" s="231" t="s">
        <v>169</v>
      </c>
    </row>
    <row r="4" spans="2:24" ht="15" x14ac:dyDescent="0.25">
      <c r="B4" s="6" t="s">
        <v>78</v>
      </c>
      <c r="C4" t="s">
        <v>93</v>
      </c>
      <c r="K4" s="44" t="s">
        <v>243</v>
      </c>
      <c r="V4" s="231" t="s">
        <v>170</v>
      </c>
      <c r="W4" s="231" t="s">
        <v>177</v>
      </c>
    </row>
    <row r="5" spans="2:24" ht="15" x14ac:dyDescent="0.25">
      <c r="B5" s="6" t="s">
        <v>80</v>
      </c>
      <c r="C5" t="s">
        <v>92</v>
      </c>
      <c r="V5" s="231" t="s">
        <v>171</v>
      </c>
      <c r="W5" s="231" t="s">
        <v>178</v>
      </c>
    </row>
    <row r="6" spans="2:24" ht="15" x14ac:dyDescent="0.25">
      <c r="B6" s="6" t="s">
        <v>81</v>
      </c>
      <c r="C6" t="s">
        <v>470</v>
      </c>
      <c r="V6" s="231" t="s">
        <v>172</v>
      </c>
    </row>
    <row r="7" spans="2:24" ht="15" x14ac:dyDescent="0.25">
      <c r="B7" s="6" t="s">
        <v>82</v>
      </c>
      <c r="C7" t="s">
        <v>412</v>
      </c>
      <c r="V7" s="231" t="s">
        <v>173</v>
      </c>
    </row>
    <row r="8" spans="2:24" ht="15" x14ac:dyDescent="0.25">
      <c r="B8" s="6" t="s">
        <v>89</v>
      </c>
      <c r="C8" t="s">
        <v>458</v>
      </c>
      <c r="V8" s="231" t="s">
        <v>174</v>
      </c>
    </row>
    <row r="9" spans="2:24" x14ac:dyDescent="0.2">
      <c r="C9" t="s">
        <v>457</v>
      </c>
      <c r="V9" s="231" t="s">
        <v>175</v>
      </c>
    </row>
    <row r="10" spans="2:24" ht="15" x14ac:dyDescent="0.25">
      <c r="B10" s="6" t="s">
        <v>87</v>
      </c>
      <c r="C10" t="s">
        <v>231</v>
      </c>
      <c r="V10" s="231" t="s">
        <v>176</v>
      </c>
    </row>
    <row r="11" spans="2:24" ht="15" x14ac:dyDescent="0.25">
      <c r="B11" s="6" t="s">
        <v>88</v>
      </c>
      <c r="C11" t="s">
        <v>481</v>
      </c>
      <c r="V11" s="231" t="s">
        <v>177</v>
      </c>
    </row>
    <row r="12" spans="2:24" x14ac:dyDescent="0.2">
      <c r="V12" s="231" t="s">
        <v>178</v>
      </c>
    </row>
    <row r="14" spans="2:24" ht="15" x14ac:dyDescent="0.25">
      <c r="B14" s="35">
        <f>MAX(xlHVPACKG)</f>
        <v>5</v>
      </c>
      <c r="C14" s="6" t="s">
        <v>479</v>
      </c>
    </row>
    <row r="15" spans="2:24" ht="15" x14ac:dyDescent="0.25">
      <c r="B15" s="35">
        <f>COUNTA(xlRSCENDIV)</f>
        <v>2190</v>
      </c>
      <c r="C15" s="6" t="s">
        <v>97</v>
      </c>
      <c r="X15" s="6" t="s">
        <v>506</v>
      </c>
    </row>
    <row r="16" spans="2:24" ht="15" x14ac:dyDescent="0.25">
      <c r="B16" s="26">
        <v>2022</v>
      </c>
      <c r="C16" s="6" t="s">
        <v>94</v>
      </c>
      <c r="X16" s="44" t="s">
        <v>227</v>
      </c>
    </row>
    <row r="17" spans="2:25" x14ac:dyDescent="0.2">
      <c r="X17" s="77" t="s">
        <v>407</v>
      </c>
    </row>
    <row r="18" spans="2:25" x14ac:dyDescent="0.2">
      <c r="X18" s="77" t="s">
        <v>406</v>
      </c>
    </row>
    <row r="19" spans="2:25" x14ac:dyDescent="0.2">
      <c r="B19" s="9">
        <v>5</v>
      </c>
      <c r="C19" s="9">
        <v>1</v>
      </c>
      <c r="D19" s="9">
        <v>3</v>
      </c>
      <c r="E19" s="9">
        <v>6</v>
      </c>
      <c r="F19" s="9">
        <v>4</v>
      </c>
      <c r="G19" s="9">
        <v>7</v>
      </c>
      <c r="H19" s="9">
        <v>8</v>
      </c>
      <c r="S19" s="9">
        <v>2</v>
      </c>
      <c r="U19" s="8" t="s">
        <v>72</v>
      </c>
      <c r="X19" s="77" t="s">
        <v>405</v>
      </c>
    </row>
    <row r="20" spans="2:25" x14ac:dyDescent="0.2">
      <c r="B20" s="244" t="s">
        <v>31</v>
      </c>
      <c r="C20" s="246"/>
      <c r="D20" s="246"/>
      <c r="E20" s="246"/>
      <c r="F20" s="246"/>
      <c r="G20" s="245"/>
      <c r="H20" s="244" t="s">
        <v>32</v>
      </c>
      <c r="I20" s="245"/>
      <c r="J20" s="244" t="s">
        <v>33</v>
      </c>
      <c r="K20" s="245"/>
      <c r="L20" s="244" t="s">
        <v>34</v>
      </c>
      <c r="M20" s="245"/>
      <c r="N20" s="244" t="s">
        <v>35</v>
      </c>
      <c r="O20" s="245"/>
      <c r="P20" s="14" t="s">
        <v>15</v>
      </c>
      <c r="Q20" s="244" t="s">
        <v>38</v>
      </c>
      <c r="R20" s="245"/>
      <c r="S20" s="14" t="s">
        <v>37</v>
      </c>
      <c r="T20" s="94" t="s">
        <v>36</v>
      </c>
      <c r="X20" s="44" t="s">
        <v>504</v>
      </c>
    </row>
    <row r="21" spans="2:25" ht="15" x14ac:dyDescent="0.25">
      <c r="B21" s="21" t="s">
        <v>101</v>
      </c>
      <c r="C21" s="22"/>
      <c r="D21" s="21" t="s">
        <v>149</v>
      </c>
      <c r="E21" s="21"/>
      <c r="F21" s="21" t="s">
        <v>149</v>
      </c>
      <c r="G21" s="21"/>
      <c r="H21" s="21"/>
      <c r="I21" s="21"/>
      <c r="J21" s="21"/>
      <c r="K21" s="21"/>
      <c r="L21" s="21"/>
      <c r="M21" s="21"/>
      <c r="N21" s="21"/>
      <c r="O21" s="21"/>
      <c r="P21" s="21"/>
      <c r="Q21" s="21"/>
      <c r="R21" s="21"/>
      <c r="S21" s="21"/>
      <c r="T21" s="21"/>
      <c r="U21" s="8" t="s">
        <v>39</v>
      </c>
      <c r="X21" t="s">
        <v>404</v>
      </c>
    </row>
    <row r="22" spans="2:25" ht="15" x14ac:dyDescent="0.25">
      <c r="B22" s="23" t="s">
        <v>102</v>
      </c>
      <c r="C22" s="24"/>
      <c r="D22" s="23" t="s">
        <v>123</v>
      </c>
      <c r="E22" s="23" t="s">
        <v>103</v>
      </c>
      <c r="F22" s="23" t="s">
        <v>123</v>
      </c>
      <c r="G22" s="23" t="s">
        <v>103</v>
      </c>
      <c r="H22" s="23"/>
      <c r="I22" s="23"/>
      <c r="J22" s="23"/>
      <c r="K22" s="23"/>
      <c r="L22" s="23"/>
      <c r="M22" s="23"/>
      <c r="N22" s="23"/>
      <c r="O22" s="23"/>
      <c r="P22" s="23"/>
      <c r="Q22" s="23"/>
      <c r="R22" s="23"/>
      <c r="S22" s="23"/>
      <c r="T22" s="23"/>
      <c r="U22" s="8" t="s">
        <v>40</v>
      </c>
      <c r="X22" s="44" t="s">
        <v>408</v>
      </c>
    </row>
    <row r="23" spans="2:25" ht="15" x14ac:dyDescent="0.25">
      <c r="B23" s="15" t="s">
        <v>104</v>
      </c>
      <c r="C23" s="16" t="s">
        <v>105</v>
      </c>
      <c r="D23" s="15" t="s">
        <v>106</v>
      </c>
      <c r="E23" s="15" t="s">
        <v>107</v>
      </c>
      <c r="F23" s="15" t="s">
        <v>108</v>
      </c>
      <c r="G23" s="15" t="s">
        <v>109</v>
      </c>
      <c r="H23" s="15" t="s">
        <v>110</v>
      </c>
      <c r="I23" s="15" t="s">
        <v>111</v>
      </c>
      <c r="J23" s="15" t="s">
        <v>112</v>
      </c>
      <c r="K23" s="15" t="s">
        <v>113</v>
      </c>
      <c r="L23" s="15" t="s">
        <v>114</v>
      </c>
      <c r="M23" s="15" t="s">
        <v>115</v>
      </c>
      <c r="N23" s="15" t="s">
        <v>116</v>
      </c>
      <c r="O23" s="15" t="s">
        <v>117</v>
      </c>
      <c r="P23" s="15" t="s">
        <v>118</v>
      </c>
      <c r="Q23" s="15" t="s">
        <v>119</v>
      </c>
      <c r="R23" s="101" t="s">
        <v>120</v>
      </c>
      <c r="S23" s="15" t="s">
        <v>121</v>
      </c>
      <c r="T23" s="15" t="s">
        <v>122</v>
      </c>
      <c r="U23" s="8" t="s">
        <v>41</v>
      </c>
    </row>
    <row r="24" spans="2:25" ht="45" x14ac:dyDescent="0.25">
      <c r="B24" s="13" t="s">
        <v>51</v>
      </c>
      <c r="C24" s="13" t="s">
        <v>56</v>
      </c>
      <c r="D24" s="13" t="s">
        <v>57</v>
      </c>
      <c r="E24" s="13" t="s">
        <v>58</v>
      </c>
      <c r="F24" s="13" t="s">
        <v>59</v>
      </c>
      <c r="G24" s="13" t="s">
        <v>60</v>
      </c>
      <c r="H24" s="13" t="s">
        <v>3</v>
      </c>
      <c r="I24" s="13" t="s">
        <v>4</v>
      </c>
      <c r="J24" s="13" t="s">
        <v>61</v>
      </c>
      <c r="K24" s="13" t="s">
        <v>62</v>
      </c>
      <c r="L24" s="13" t="s">
        <v>63</v>
      </c>
      <c r="M24" s="13" t="s">
        <v>64</v>
      </c>
      <c r="N24" s="13" t="s">
        <v>65</v>
      </c>
      <c r="O24" s="13" t="s">
        <v>66</v>
      </c>
      <c r="P24" s="13" t="s">
        <v>67</v>
      </c>
      <c r="Q24" s="13" t="s">
        <v>68</v>
      </c>
      <c r="R24" s="17" t="s">
        <v>69</v>
      </c>
      <c r="S24" s="13" t="s">
        <v>70</v>
      </c>
      <c r="T24" s="13" t="s">
        <v>71</v>
      </c>
      <c r="V24" s="84" t="s">
        <v>411</v>
      </c>
      <c r="W24" s="84" t="s">
        <v>409</v>
      </c>
      <c r="X24" s="84" t="s">
        <v>403</v>
      </c>
      <c r="Y24" s="84" t="s">
        <v>410</v>
      </c>
    </row>
    <row r="25" spans="2:25" x14ac:dyDescent="0.2">
      <c r="B25" s="5">
        <v>1</v>
      </c>
      <c r="C25" s="5">
        <v>1</v>
      </c>
      <c r="D25" s="5">
        <v>1</v>
      </c>
      <c r="E25" s="5">
        <v>1</v>
      </c>
      <c r="F25" s="5">
        <v>2</v>
      </c>
      <c r="G25" s="31">
        <v>4</v>
      </c>
      <c r="H25" s="31">
        <v>2020</v>
      </c>
      <c r="I25" s="96">
        <v>2050</v>
      </c>
      <c r="J25" s="142">
        <v>1.077</v>
      </c>
      <c r="K25" s="142">
        <v>1.0444</v>
      </c>
      <c r="L25" s="142">
        <v>0.8891</v>
      </c>
      <c r="M25" s="142">
        <v>1.0285</v>
      </c>
      <c r="N25" s="142">
        <v>0.79779999999999995</v>
      </c>
      <c r="O25" s="142">
        <v>1.0538000000000001</v>
      </c>
      <c r="P25" s="26">
        <v>0</v>
      </c>
      <c r="Q25" s="35">
        <f t="array" ref="Q25">SUM(IF(($S25&gt;=4)*($C25='TaxCred&amp;Subs'!$D$114:$D$121)*($H25='TaxCred&amp;Subs'!$C$114:$C$121)*($H25&lt;='TaxCred&amp;Subs'!$C$123),'TaxCred&amp;Subs'!$E$114:$E$121,0))</f>
        <v>0</v>
      </c>
      <c r="R25" s="143">
        <v>0</v>
      </c>
      <c r="S25" s="5">
        <v>1</v>
      </c>
      <c r="T25" s="5" t="s">
        <v>219</v>
      </c>
      <c r="V25" s="7" t="str">
        <f t="array" ref="V25">INDEX(xlRTCLNAME,MATCH(1,(xlRTCLENDU=1)*(xlRTCLEQCL=$D25),0))</f>
        <v>ELEC_RAD</v>
      </c>
      <c r="W25" s="7" t="str">
        <f t="array" ref="W25">INDEX(xlRTCLNAME,MATCH(1,(xlRTCLENDU=2)*(xlRTCLEQCL=$F25),0))</f>
        <v>CENT_AIR</v>
      </c>
      <c r="X25" s="7" t="str">
        <f t="array" ref="X25">INDEX(xlRTTYNAME,MATCH(1,(xlRTTYENDU=1)*(xlRTTYEQCL=$D25)*(xlRTEQTYPE=$E25),0))</f>
        <v>ELEC_RAD2</v>
      </c>
      <c r="Y25" s="7" t="str">
        <f t="array" ref="Y25">INDEX(xlRTTYNAME,MATCH(1,(xlRTTYENDU=2)*(xlRTTYEQCL=$F25)*(xlRTEQTYPE=$G25),0))</f>
        <v>CENT_AIR1</v>
      </c>
    </row>
    <row r="26" spans="2:25" x14ac:dyDescent="0.2">
      <c r="B26" s="5">
        <v>2</v>
      </c>
      <c r="C26" s="5">
        <v>1</v>
      </c>
      <c r="D26" s="5">
        <v>1</v>
      </c>
      <c r="E26" s="5">
        <v>1</v>
      </c>
      <c r="F26" s="5">
        <v>2</v>
      </c>
      <c r="G26" s="31">
        <v>4</v>
      </c>
      <c r="H26" s="31">
        <v>2020</v>
      </c>
      <c r="I26" s="96">
        <v>2050</v>
      </c>
      <c r="J26" s="142">
        <v>1.0329999999999999</v>
      </c>
      <c r="K26" s="142">
        <v>1.0758000000000001</v>
      </c>
      <c r="L26" s="142">
        <v>1.0038</v>
      </c>
      <c r="M26" s="142">
        <v>0.95550000000000002</v>
      </c>
      <c r="N26" s="142">
        <v>0.93179999999999996</v>
      </c>
      <c r="O26" s="142">
        <v>1.0538000000000001</v>
      </c>
      <c r="P26" s="26">
        <v>0</v>
      </c>
      <c r="Q26" s="35">
        <f t="array" ref="Q26">SUM(IF(($S26&gt;=4)*($C26='TaxCred&amp;Subs'!$D$114:$D$121)*($H26='TaxCred&amp;Subs'!$C$114:$C$121)*($H26&lt;='TaxCred&amp;Subs'!$C$123),'TaxCred&amp;Subs'!$E$114:$E$121,0))</f>
        <v>0</v>
      </c>
      <c r="R26" s="143">
        <v>0</v>
      </c>
      <c r="S26" s="5">
        <v>1</v>
      </c>
      <c r="T26" s="5" t="s">
        <v>219</v>
      </c>
      <c r="V26" s="7" t="str">
        <f t="array" ref="V26">INDEX(xlRTCLNAME,MATCH(1,(xlRTCLENDU=1)*(xlRTCLEQCL=$D26),0))</f>
        <v>ELEC_RAD</v>
      </c>
      <c r="W26" s="7" t="str">
        <f t="array" ref="W26">INDEX(xlRTCLNAME,MATCH(1,(xlRTCLENDU=2)*(xlRTCLEQCL=$F26),0))</f>
        <v>CENT_AIR</v>
      </c>
      <c r="X26" s="7" t="str">
        <f t="array" ref="X26">INDEX(xlRTTYNAME,MATCH(1,(xlRTTYENDU=1)*(xlRTTYEQCL=$D26)*(xlRTEQTYPE=$E26),0))</f>
        <v>ELEC_RAD2</v>
      </c>
      <c r="Y26" s="7" t="str">
        <f t="array" ref="Y26">INDEX(xlRTTYNAME,MATCH(1,(xlRTTYENDU=2)*(xlRTTYEQCL=$F26)*(xlRTEQTYPE=$G26),0))</f>
        <v>CENT_AIR1</v>
      </c>
    </row>
    <row r="27" spans="2:25" x14ac:dyDescent="0.2">
      <c r="B27" s="5">
        <v>3</v>
      </c>
      <c r="C27" s="5">
        <v>1</v>
      </c>
      <c r="D27" s="5">
        <v>1</v>
      </c>
      <c r="E27" s="5">
        <v>1</v>
      </c>
      <c r="F27" s="5">
        <v>2</v>
      </c>
      <c r="G27" s="31">
        <v>4</v>
      </c>
      <c r="H27" s="31">
        <v>2020</v>
      </c>
      <c r="I27" s="96">
        <v>2050</v>
      </c>
      <c r="J27" s="142">
        <v>1.0839000000000001</v>
      </c>
      <c r="K27" s="142">
        <v>1.0588</v>
      </c>
      <c r="L27" s="142">
        <v>0.93530000000000002</v>
      </c>
      <c r="M27" s="142">
        <v>0.9627</v>
      </c>
      <c r="N27" s="142">
        <v>0.91600000000000004</v>
      </c>
      <c r="O27" s="142">
        <v>1.0538000000000001</v>
      </c>
      <c r="P27" s="26">
        <v>0</v>
      </c>
      <c r="Q27" s="35">
        <f t="array" ref="Q27">SUM(IF(($S27&gt;=4)*($C27='TaxCred&amp;Subs'!$D$114:$D$121)*($H27='TaxCred&amp;Subs'!$C$114:$C$121)*($H27&lt;='TaxCred&amp;Subs'!$C$123),'TaxCred&amp;Subs'!$E$114:$E$121,0))</f>
        <v>0</v>
      </c>
      <c r="R27" s="143">
        <v>0</v>
      </c>
      <c r="S27" s="5">
        <v>1</v>
      </c>
      <c r="T27" s="5" t="s">
        <v>219</v>
      </c>
      <c r="V27" s="7" t="str">
        <f t="array" ref="V27">INDEX(xlRTCLNAME,MATCH(1,(xlRTCLENDU=1)*(xlRTCLEQCL=$D27),0))</f>
        <v>ELEC_RAD</v>
      </c>
      <c r="W27" s="7" t="str">
        <f t="array" ref="W27">INDEX(xlRTCLNAME,MATCH(1,(xlRTCLENDU=2)*(xlRTCLEQCL=$F27),0))</f>
        <v>CENT_AIR</v>
      </c>
      <c r="X27" s="7" t="str">
        <f t="array" ref="X27">INDEX(xlRTTYNAME,MATCH(1,(xlRTTYENDU=1)*(xlRTTYEQCL=$D27)*(xlRTEQTYPE=$E27),0))</f>
        <v>ELEC_RAD2</v>
      </c>
      <c r="Y27" s="7" t="str">
        <f t="array" ref="Y27">INDEX(xlRTTYNAME,MATCH(1,(xlRTTYENDU=2)*(xlRTTYEQCL=$F27)*(xlRTEQTYPE=$G27),0))</f>
        <v>CENT_AIR1</v>
      </c>
    </row>
    <row r="28" spans="2:25" x14ac:dyDescent="0.2">
      <c r="B28" s="5">
        <v>4</v>
      </c>
      <c r="C28" s="5">
        <v>1</v>
      </c>
      <c r="D28" s="5">
        <v>1</v>
      </c>
      <c r="E28" s="5">
        <v>1</v>
      </c>
      <c r="F28" s="5">
        <v>2</v>
      </c>
      <c r="G28" s="31">
        <v>4</v>
      </c>
      <c r="H28" s="31">
        <v>2020</v>
      </c>
      <c r="I28" s="96">
        <v>2050</v>
      </c>
      <c r="J28" s="142">
        <v>1.0358000000000001</v>
      </c>
      <c r="K28" s="142">
        <v>1.0769</v>
      </c>
      <c r="L28" s="142">
        <v>0.87729999999999997</v>
      </c>
      <c r="M28" s="142">
        <v>0.87319999999999998</v>
      </c>
      <c r="N28" s="142">
        <v>0.85760000000000003</v>
      </c>
      <c r="O28" s="142">
        <v>1.0538000000000001</v>
      </c>
      <c r="P28" s="26">
        <v>0</v>
      </c>
      <c r="Q28" s="35">
        <f t="array" ref="Q28">SUM(IF(($S28&gt;=4)*($C28='TaxCred&amp;Subs'!$D$114:$D$121)*($H28='TaxCred&amp;Subs'!$C$114:$C$121)*($H28&lt;='TaxCred&amp;Subs'!$C$123),'TaxCred&amp;Subs'!$E$114:$E$121,0))</f>
        <v>0</v>
      </c>
      <c r="R28" s="143">
        <v>0</v>
      </c>
      <c r="S28" s="5">
        <v>1</v>
      </c>
      <c r="T28" s="5" t="s">
        <v>219</v>
      </c>
      <c r="V28" s="7" t="str">
        <f t="array" ref="V28">INDEX(xlRTCLNAME,MATCH(1,(xlRTCLENDU=1)*(xlRTCLEQCL=$D28),0))</f>
        <v>ELEC_RAD</v>
      </c>
      <c r="W28" s="7" t="str">
        <f t="array" ref="W28">INDEX(xlRTCLNAME,MATCH(1,(xlRTCLENDU=2)*(xlRTCLEQCL=$F28),0))</f>
        <v>CENT_AIR</v>
      </c>
      <c r="X28" s="7" t="str">
        <f t="array" ref="X28">INDEX(xlRTTYNAME,MATCH(1,(xlRTTYENDU=1)*(xlRTTYEQCL=$D28)*(xlRTEQTYPE=$E28),0))</f>
        <v>ELEC_RAD2</v>
      </c>
      <c r="Y28" s="7" t="str">
        <f t="array" ref="Y28">INDEX(xlRTTYNAME,MATCH(1,(xlRTTYENDU=2)*(xlRTTYEQCL=$F28)*(xlRTEQTYPE=$G28),0))</f>
        <v>CENT_AIR1</v>
      </c>
    </row>
    <row r="29" spans="2:25" x14ac:dyDescent="0.2">
      <c r="B29" s="5">
        <v>5</v>
      </c>
      <c r="C29" s="5">
        <v>1</v>
      </c>
      <c r="D29" s="5">
        <v>1</v>
      </c>
      <c r="E29" s="5">
        <v>1</v>
      </c>
      <c r="F29" s="5">
        <v>2</v>
      </c>
      <c r="G29" s="31">
        <v>4</v>
      </c>
      <c r="H29" s="31">
        <v>2020</v>
      </c>
      <c r="I29" s="96">
        <v>2050</v>
      </c>
      <c r="J29" s="142">
        <v>1.0401</v>
      </c>
      <c r="K29" s="142">
        <v>1.032</v>
      </c>
      <c r="L29" s="142">
        <v>0.90529999999999999</v>
      </c>
      <c r="M29" s="142">
        <v>1.0934999999999999</v>
      </c>
      <c r="N29" s="142">
        <v>0.76090000000000002</v>
      </c>
      <c r="O29" s="142">
        <v>1.0538000000000001</v>
      </c>
      <c r="P29" s="26">
        <v>0</v>
      </c>
      <c r="Q29" s="35">
        <f t="array" ref="Q29">SUM(IF(($S29&gt;=4)*($C29='TaxCred&amp;Subs'!$D$114:$D$121)*($H29='TaxCred&amp;Subs'!$C$114:$C$121)*($H29&lt;='TaxCred&amp;Subs'!$C$123),'TaxCred&amp;Subs'!$E$114:$E$121,0))</f>
        <v>0</v>
      </c>
      <c r="R29" s="143">
        <v>0</v>
      </c>
      <c r="S29" s="5">
        <v>1</v>
      </c>
      <c r="T29" s="5" t="s">
        <v>219</v>
      </c>
      <c r="V29" s="7" t="str">
        <f t="array" ref="V29">INDEX(xlRTCLNAME,MATCH(1,(xlRTCLENDU=1)*(xlRTCLEQCL=$D29),0))</f>
        <v>ELEC_RAD</v>
      </c>
      <c r="W29" s="7" t="str">
        <f t="array" ref="W29">INDEX(xlRTCLNAME,MATCH(1,(xlRTCLENDU=2)*(xlRTCLEQCL=$F29),0))</f>
        <v>CENT_AIR</v>
      </c>
      <c r="X29" s="7" t="str">
        <f t="array" ref="X29">INDEX(xlRTTYNAME,MATCH(1,(xlRTTYENDU=1)*(xlRTTYEQCL=$D29)*(xlRTEQTYPE=$E29),0))</f>
        <v>ELEC_RAD2</v>
      </c>
      <c r="Y29" s="7" t="str">
        <f t="array" ref="Y29">INDEX(xlRTTYNAME,MATCH(1,(xlRTTYENDU=2)*(xlRTTYEQCL=$F29)*(xlRTEQTYPE=$G29),0))</f>
        <v>CENT_AIR1</v>
      </c>
    </row>
    <row r="30" spans="2:25" x14ac:dyDescent="0.2">
      <c r="B30" s="5">
        <v>6</v>
      </c>
      <c r="C30" s="5">
        <v>1</v>
      </c>
      <c r="D30" s="5">
        <v>1</v>
      </c>
      <c r="E30" s="5">
        <v>1</v>
      </c>
      <c r="F30" s="5">
        <v>2</v>
      </c>
      <c r="G30" s="31">
        <v>4</v>
      </c>
      <c r="H30" s="31">
        <v>2020</v>
      </c>
      <c r="I30" s="96">
        <v>2050</v>
      </c>
      <c r="J30" s="142">
        <v>1.0918000000000001</v>
      </c>
      <c r="K30" s="142">
        <v>1.0613999999999999</v>
      </c>
      <c r="L30" s="142">
        <v>1.0311999999999999</v>
      </c>
      <c r="M30" s="142">
        <v>1.1335999999999999</v>
      </c>
      <c r="N30" s="142">
        <v>0.89190000000000003</v>
      </c>
      <c r="O30" s="142">
        <v>1.0538000000000001</v>
      </c>
      <c r="P30" s="26">
        <v>0</v>
      </c>
      <c r="Q30" s="35">
        <f t="array" ref="Q30">SUM(IF(($S30&gt;=4)*($C30='TaxCred&amp;Subs'!$D$114:$D$121)*($H30='TaxCred&amp;Subs'!$C$114:$C$121)*($H30&lt;='TaxCred&amp;Subs'!$C$123),'TaxCred&amp;Subs'!$E$114:$E$121,0))</f>
        <v>0</v>
      </c>
      <c r="R30" s="143">
        <v>0</v>
      </c>
      <c r="S30" s="5">
        <v>1</v>
      </c>
      <c r="T30" s="5" t="s">
        <v>219</v>
      </c>
      <c r="V30" s="7" t="str">
        <f t="array" ref="V30">INDEX(xlRTCLNAME,MATCH(1,(xlRTCLENDU=1)*(xlRTCLEQCL=$D30),0))</f>
        <v>ELEC_RAD</v>
      </c>
      <c r="W30" s="7" t="str">
        <f t="array" ref="W30">INDEX(xlRTCLNAME,MATCH(1,(xlRTCLENDU=2)*(xlRTCLEQCL=$F30),0))</f>
        <v>CENT_AIR</v>
      </c>
      <c r="X30" s="7" t="str">
        <f t="array" ref="X30">INDEX(xlRTTYNAME,MATCH(1,(xlRTTYENDU=1)*(xlRTTYEQCL=$D30)*(xlRTEQTYPE=$E30),0))</f>
        <v>ELEC_RAD2</v>
      </c>
      <c r="Y30" s="7" t="str">
        <f t="array" ref="Y30">INDEX(xlRTTYNAME,MATCH(1,(xlRTTYENDU=2)*(xlRTTYEQCL=$F30)*(xlRTEQTYPE=$G30),0))</f>
        <v>CENT_AIR1</v>
      </c>
    </row>
    <row r="31" spans="2:25" x14ac:dyDescent="0.2">
      <c r="B31" s="5">
        <v>7</v>
      </c>
      <c r="C31" s="5">
        <v>1</v>
      </c>
      <c r="D31" s="5">
        <v>1</v>
      </c>
      <c r="E31" s="5">
        <v>1</v>
      </c>
      <c r="F31" s="5">
        <v>2</v>
      </c>
      <c r="G31" s="31">
        <v>4</v>
      </c>
      <c r="H31" s="31">
        <v>2020</v>
      </c>
      <c r="I31" s="96">
        <v>2050</v>
      </c>
      <c r="J31" s="142">
        <v>1.0906</v>
      </c>
      <c r="K31" s="142">
        <v>1.0542</v>
      </c>
      <c r="L31" s="142">
        <v>1.0471999999999999</v>
      </c>
      <c r="M31" s="142">
        <v>1.0382</v>
      </c>
      <c r="N31" s="142">
        <v>0.87239999999999995</v>
      </c>
      <c r="O31" s="142">
        <v>1.0538000000000001</v>
      </c>
      <c r="P31" s="26">
        <v>0</v>
      </c>
      <c r="Q31" s="35">
        <f t="array" ref="Q31">SUM(IF(($S31&gt;=4)*($C31='TaxCred&amp;Subs'!$D$114:$D$121)*($H31='TaxCred&amp;Subs'!$C$114:$C$121)*($H31&lt;='TaxCred&amp;Subs'!$C$123),'TaxCred&amp;Subs'!$E$114:$E$121,0))</f>
        <v>0</v>
      </c>
      <c r="R31" s="143">
        <v>0</v>
      </c>
      <c r="S31" s="5">
        <v>1</v>
      </c>
      <c r="T31" s="5" t="s">
        <v>219</v>
      </c>
      <c r="V31" s="7" t="str">
        <f t="array" ref="V31">INDEX(xlRTCLNAME,MATCH(1,(xlRTCLENDU=1)*(xlRTCLEQCL=$D31),0))</f>
        <v>ELEC_RAD</v>
      </c>
      <c r="W31" s="7" t="str">
        <f t="array" ref="W31">INDEX(xlRTCLNAME,MATCH(1,(xlRTCLENDU=2)*(xlRTCLEQCL=$F31),0))</f>
        <v>CENT_AIR</v>
      </c>
      <c r="X31" s="7" t="str">
        <f t="array" ref="X31">INDEX(xlRTTYNAME,MATCH(1,(xlRTTYENDU=1)*(xlRTTYEQCL=$D31)*(xlRTEQTYPE=$E31),0))</f>
        <v>ELEC_RAD2</v>
      </c>
      <c r="Y31" s="7" t="str">
        <f t="array" ref="Y31">INDEX(xlRTTYNAME,MATCH(1,(xlRTTYENDU=2)*(xlRTTYEQCL=$F31)*(xlRTEQTYPE=$G31),0))</f>
        <v>CENT_AIR1</v>
      </c>
    </row>
    <row r="32" spans="2:25" x14ac:dyDescent="0.2">
      <c r="B32" s="5">
        <v>8</v>
      </c>
      <c r="C32" s="5">
        <v>1</v>
      </c>
      <c r="D32" s="5">
        <v>1</v>
      </c>
      <c r="E32" s="5">
        <v>1</v>
      </c>
      <c r="F32" s="5">
        <v>2</v>
      </c>
      <c r="G32" s="31">
        <v>4</v>
      </c>
      <c r="H32" s="31">
        <v>2020</v>
      </c>
      <c r="I32" s="96">
        <v>2050</v>
      </c>
      <c r="J32" s="142">
        <v>1.0363</v>
      </c>
      <c r="K32" s="142">
        <v>1.0704</v>
      </c>
      <c r="L32" s="142">
        <v>0.97699999999999998</v>
      </c>
      <c r="M32" s="142">
        <v>1.0076000000000001</v>
      </c>
      <c r="N32" s="142">
        <v>0.86919999999999997</v>
      </c>
      <c r="O32" s="142">
        <v>1.0538000000000001</v>
      </c>
      <c r="P32" s="26">
        <v>0</v>
      </c>
      <c r="Q32" s="35">
        <f t="array" ref="Q32">SUM(IF(($S32&gt;=4)*($C32='TaxCred&amp;Subs'!$D$114:$D$121)*($H32='TaxCred&amp;Subs'!$C$114:$C$121)*($H32&lt;='TaxCred&amp;Subs'!$C$123),'TaxCred&amp;Subs'!$E$114:$E$121,0))</f>
        <v>0</v>
      </c>
      <c r="R32" s="143">
        <v>0</v>
      </c>
      <c r="S32" s="5">
        <v>1</v>
      </c>
      <c r="T32" s="5" t="s">
        <v>219</v>
      </c>
      <c r="V32" s="7" t="str">
        <f t="array" ref="V32">INDEX(xlRTCLNAME,MATCH(1,(xlRTCLENDU=1)*(xlRTCLEQCL=$D32),0))</f>
        <v>ELEC_RAD</v>
      </c>
      <c r="W32" s="7" t="str">
        <f t="array" ref="W32">INDEX(xlRTCLNAME,MATCH(1,(xlRTCLENDU=2)*(xlRTCLEQCL=$F32),0))</f>
        <v>CENT_AIR</v>
      </c>
      <c r="X32" s="7" t="str">
        <f t="array" ref="X32">INDEX(xlRTTYNAME,MATCH(1,(xlRTTYENDU=1)*(xlRTTYEQCL=$D32)*(xlRTEQTYPE=$E32),0))</f>
        <v>ELEC_RAD2</v>
      </c>
      <c r="Y32" s="7" t="str">
        <f t="array" ref="Y32">INDEX(xlRTTYNAME,MATCH(1,(xlRTTYENDU=2)*(xlRTTYEQCL=$F32)*(xlRTEQTYPE=$G32),0))</f>
        <v>CENT_AIR1</v>
      </c>
    </row>
    <row r="33" spans="2:25" x14ac:dyDescent="0.2">
      <c r="B33" s="5">
        <v>9</v>
      </c>
      <c r="C33" s="5">
        <v>1</v>
      </c>
      <c r="D33" s="5">
        <v>1</v>
      </c>
      <c r="E33" s="5">
        <v>1</v>
      </c>
      <c r="F33" s="5">
        <v>2</v>
      </c>
      <c r="G33" s="31">
        <v>4</v>
      </c>
      <c r="H33" s="31">
        <v>2020</v>
      </c>
      <c r="I33" s="96">
        <v>2050</v>
      </c>
      <c r="J33" s="142">
        <v>1.0367</v>
      </c>
      <c r="K33" s="142">
        <v>1.0638000000000001</v>
      </c>
      <c r="L33" s="142">
        <v>1.1235999999999999</v>
      </c>
      <c r="M33" s="142">
        <v>1.1204000000000001</v>
      </c>
      <c r="N33" s="142">
        <v>1.0334000000000001</v>
      </c>
      <c r="O33" s="142">
        <v>1.0538000000000001</v>
      </c>
      <c r="P33" s="26">
        <v>0</v>
      </c>
      <c r="Q33" s="35">
        <f t="array" ref="Q33">SUM(IF(($S33&gt;=4)*($C33='TaxCred&amp;Subs'!$D$114:$D$121)*($H33='TaxCred&amp;Subs'!$C$114:$C$121)*($H33&lt;='TaxCred&amp;Subs'!$C$123),'TaxCred&amp;Subs'!$E$114:$E$121,0))</f>
        <v>0</v>
      </c>
      <c r="R33" s="143">
        <v>0</v>
      </c>
      <c r="S33" s="5">
        <v>1</v>
      </c>
      <c r="T33" s="5" t="s">
        <v>219</v>
      </c>
      <c r="V33" s="7" t="str">
        <f t="array" ref="V33">INDEX(xlRTCLNAME,MATCH(1,(xlRTCLENDU=1)*(xlRTCLEQCL=$D33),0))</f>
        <v>ELEC_RAD</v>
      </c>
      <c r="W33" s="7" t="str">
        <f t="array" ref="W33">INDEX(xlRTCLNAME,MATCH(1,(xlRTCLENDU=2)*(xlRTCLEQCL=$F33),0))</f>
        <v>CENT_AIR</v>
      </c>
      <c r="X33" s="7" t="str">
        <f t="array" ref="X33">INDEX(xlRTTYNAME,MATCH(1,(xlRTTYENDU=1)*(xlRTTYEQCL=$D33)*(xlRTEQTYPE=$E33),0))</f>
        <v>ELEC_RAD2</v>
      </c>
      <c r="Y33" s="7" t="str">
        <f t="array" ref="Y33">INDEX(xlRTTYNAME,MATCH(1,(xlRTTYENDU=2)*(xlRTTYEQCL=$F33)*(xlRTEQTYPE=$G33),0))</f>
        <v>CENT_AIR1</v>
      </c>
    </row>
    <row r="34" spans="2:25" x14ac:dyDescent="0.2">
      <c r="B34" s="5">
        <v>1</v>
      </c>
      <c r="C34" s="5">
        <v>1</v>
      </c>
      <c r="D34" s="5">
        <v>2</v>
      </c>
      <c r="E34" s="5">
        <v>2</v>
      </c>
      <c r="F34" s="5">
        <v>3</v>
      </c>
      <c r="G34" s="31">
        <v>8</v>
      </c>
      <c r="H34" s="31">
        <v>2020</v>
      </c>
      <c r="I34" s="96">
        <v>2050</v>
      </c>
      <c r="J34" s="142">
        <v>1.0790999999999999</v>
      </c>
      <c r="K34" s="142">
        <v>1.0667</v>
      </c>
      <c r="L34" s="142">
        <v>0.89639999999999997</v>
      </c>
      <c r="M34" s="142">
        <v>1.0285</v>
      </c>
      <c r="N34" s="142">
        <v>0.80149999999999999</v>
      </c>
      <c r="O34" s="142">
        <v>1.0538000000000001</v>
      </c>
      <c r="P34" s="26">
        <v>0</v>
      </c>
      <c r="Q34" s="35">
        <f t="array" ref="Q34">SUM(IF(($S34&gt;=4)*($C34='TaxCred&amp;Subs'!$D$114:$D$121)*($H34='TaxCred&amp;Subs'!$C$114:$C$121)*($H34&lt;='TaxCred&amp;Subs'!$C$123),'TaxCred&amp;Subs'!$E$114:$E$121,0))</f>
        <v>0</v>
      </c>
      <c r="R34" s="143">
        <v>0</v>
      </c>
      <c r="S34" s="5">
        <v>1</v>
      </c>
      <c r="T34" s="5" t="s">
        <v>219</v>
      </c>
      <c r="V34" s="7" t="str">
        <f t="array" ref="V34">INDEX(xlRTCLNAME,MATCH(1,(xlRTCLENDU=1)*(xlRTCLEQCL=$D34),0))</f>
        <v>ELEC_HP</v>
      </c>
      <c r="W34" s="7" t="str">
        <f t="array" ref="W34">INDEX(xlRTCLNAME,MATCH(1,(xlRTCLENDU=2)*(xlRTCLEQCL=$F34),0))</f>
        <v>ELEC_HP</v>
      </c>
      <c r="X34" s="7" t="str">
        <f t="array" ref="X34">INDEX(xlRTTYNAME,MATCH(1,(xlRTTYENDU=1)*(xlRTTYEQCL=$D34)*(xlRTEQTYPE=$E34),0))</f>
        <v>ELEC_HP1</v>
      </c>
      <c r="Y34" s="7" t="str">
        <f t="array" ref="Y34">INDEX(xlRTTYNAME,MATCH(1,(xlRTTYENDU=2)*(xlRTTYEQCL=$F34)*(xlRTEQTYPE=$G34),0))</f>
        <v>ELEC_HP1</v>
      </c>
    </row>
    <row r="35" spans="2:25" x14ac:dyDescent="0.2">
      <c r="B35" s="5">
        <v>2</v>
      </c>
      <c r="C35" s="5">
        <v>1</v>
      </c>
      <c r="D35" s="5">
        <v>2</v>
      </c>
      <c r="E35" s="5">
        <v>2</v>
      </c>
      <c r="F35" s="5">
        <v>3</v>
      </c>
      <c r="G35" s="31">
        <v>8</v>
      </c>
      <c r="H35" s="31">
        <v>2020</v>
      </c>
      <c r="I35" s="96">
        <v>2050</v>
      </c>
      <c r="J35" s="142">
        <v>1.0588</v>
      </c>
      <c r="K35" s="142">
        <v>1.0734999999999999</v>
      </c>
      <c r="L35" s="142">
        <v>1.0169999999999999</v>
      </c>
      <c r="M35" s="142">
        <v>0.95550000000000002</v>
      </c>
      <c r="N35" s="142">
        <v>0.93840000000000001</v>
      </c>
      <c r="O35" s="142">
        <v>1.0538000000000001</v>
      </c>
      <c r="P35" s="26">
        <v>0</v>
      </c>
      <c r="Q35" s="35">
        <f t="array" ref="Q35">SUM(IF(($S35&gt;=4)*($C35='TaxCred&amp;Subs'!$D$114:$D$121)*($H35='TaxCred&amp;Subs'!$C$114:$C$121)*($H35&lt;='TaxCred&amp;Subs'!$C$123),'TaxCred&amp;Subs'!$E$114:$E$121,0))</f>
        <v>0</v>
      </c>
      <c r="R35" s="143">
        <v>0</v>
      </c>
      <c r="S35" s="5">
        <v>1</v>
      </c>
      <c r="T35" s="5" t="s">
        <v>219</v>
      </c>
      <c r="V35" s="7" t="str">
        <f t="array" ref="V35">INDEX(xlRTCLNAME,MATCH(1,(xlRTCLENDU=1)*(xlRTCLEQCL=$D35),0))</f>
        <v>ELEC_HP</v>
      </c>
      <c r="W35" s="7" t="str">
        <f t="array" ref="W35">INDEX(xlRTCLNAME,MATCH(1,(xlRTCLENDU=2)*(xlRTCLEQCL=$F35),0))</f>
        <v>ELEC_HP</v>
      </c>
      <c r="X35" s="7" t="str">
        <f t="array" ref="X35">INDEX(xlRTTYNAME,MATCH(1,(xlRTTYENDU=1)*(xlRTTYEQCL=$D35)*(xlRTEQTYPE=$E35),0))</f>
        <v>ELEC_HP1</v>
      </c>
      <c r="Y35" s="7" t="str">
        <f t="array" ref="Y35">INDEX(xlRTTYNAME,MATCH(1,(xlRTTYENDU=2)*(xlRTTYEQCL=$F35)*(xlRTEQTYPE=$G35),0))</f>
        <v>ELEC_HP1</v>
      </c>
    </row>
    <row r="36" spans="2:25" x14ac:dyDescent="0.2">
      <c r="B36" s="5">
        <v>3</v>
      </c>
      <c r="C36" s="5">
        <v>1</v>
      </c>
      <c r="D36" s="5">
        <v>2</v>
      </c>
      <c r="E36" s="5">
        <v>2</v>
      </c>
      <c r="F36" s="5">
        <v>3</v>
      </c>
      <c r="G36" s="31">
        <v>8</v>
      </c>
      <c r="H36" s="31">
        <v>2020</v>
      </c>
      <c r="I36" s="96">
        <v>2050</v>
      </c>
      <c r="J36" s="142">
        <v>1.0965</v>
      </c>
      <c r="K36" s="142">
        <v>1.0769</v>
      </c>
      <c r="L36" s="142">
        <v>0.93359999999999999</v>
      </c>
      <c r="M36" s="142">
        <v>0.9627</v>
      </c>
      <c r="N36" s="142">
        <v>0.91520000000000001</v>
      </c>
      <c r="O36" s="142">
        <v>1.0538000000000001</v>
      </c>
      <c r="P36" s="26">
        <v>0</v>
      </c>
      <c r="Q36" s="35">
        <f t="array" ref="Q36">SUM(IF(($S36&gt;=4)*($C36='TaxCred&amp;Subs'!$D$114:$D$121)*($H36='TaxCred&amp;Subs'!$C$114:$C$121)*($H36&lt;='TaxCred&amp;Subs'!$C$123),'TaxCred&amp;Subs'!$E$114:$E$121,0))</f>
        <v>0</v>
      </c>
      <c r="R36" s="143">
        <v>0</v>
      </c>
      <c r="S36" s="5">
        <v>1</v>
      </c>
      <c r="T36" s="5" t="s">
        <v>219</v>
      </c>
      <c r="V36" s="7" t="str">
        <f t="array" ref="V36">INDEX(xlRTCLNAME,MATCH(1,(xlRTCLENDU=1)*(xlRTCLEQCL=$D36),0))</f>
        <v>ELEC_HP</v>
      </c>
      <c r="W36" s="7" t="str">
        <f t="array" ref="W36">INDEX(xlRTCLNAME,MATCH(1,(xlRTCLENDU=2)*(xlRTCLEQCL=$F36),0))</f>
        <v>ELEC_HP</v>
      </c>
      <c r="X36" s="7" t="str">
        <f t="array" ref="X36">INDEX(xlRTTYNAME,MATCH(1,(xlRTTYENDU=1)*(xlRTTYEQCL=$D36)*(xlRTEQTYPE=$E36),0))</f>
        <v>ELEC_HP1</v>
      </c>
      <c r="Y36" s="7" t="str">
        <f t="array" ref="Y36">INDEX(xlRTTYNAME,MATCH(1,(xlRTTYENDU=2)*(xlRTTYEQCL=$F36)*(xlRTEQTYPE=$G36),0))</f>
        <v>ELEC_HP1</v>
      </c>
    </row>
    <row r="37" spans="2:25" x14ac:dyDescent="0.2">
      <c r="B37" s="5">
        <v>4</v>
      </c>
      <c r="C37" s="5">
        <v>1</v>
      </c>
      <c r="D37" s="5">
        <v>2</v>
      </c>
      <c r="E37" s="5">
        <v>2</v>
      </c>
      <c r="F37" s="5">
        <v>3</v>
      </c>
      <c r="G37" s="31">
        <v>8</v>
      </c>
      <c r="H37" s="31">
        <v>2020</v>
      </c>
      <c r="I37" s="96">
        <v>2050</v>
      </c>
      <c r="J37" s="142">
        <v>1.1016999999999999</v>
      </c>
      <c r="K37" s="142">
        <v>1.0789</v>
      </c>
      <c r="L37" s="142">
        <v>0.86890000000000001</v>
      </c>
      <c r="M37" s="142">
        <v>0.87319999999999998</v>
      </c>
      <c r="N37" s="142">
        <v>0.85340000000000005</v>
      </c>
      <c r="O37" s="142">
        <v>1.0538000000000001</v>
      </c>
      <c r="P37" s="26">
        <v>0</v>
      </c>
      <c r="Q37" s="35">
        <f t="array" ref="Q37">SUM(IF(($S37&gt;=4)*($C37='TaxCred&amp;Subs'!$D$114:$D$121)*($H37='TaxCred&amp;Subs'!$C$114:$C$121)*($H37&lt;='TaxCred&amp;Subs'!$C$123),'TaxCred&amp;Subs'!$E$114:$E$121,0))</f>
        <v>0</v>
      </c>
      <c r="R37" s="143">
        <v>0</v>
      </c>
      <c r="S37" s="5">
        <v>1</v>
      </c>
      <c r="T37" s="5" t="s">
        <v>219</v>
      </c>
      <c r="V37" s="7" t="str">
        <f t="array" ref="V37">INDEX(xlRTCLNAME,MATCH(1,(xlRTCLENDU=1)*(xlRTCLEQCL=$D37),0))</f>
        <v>ELEC_HP</v>
      </c>
      <c r="W37" s="7" t="str">
        <f t="array" ref="W37">INDEX(xlRTCLNAME,MATCH(1,(xlRTCLENDU=2)*(xlRTCLEQCL=$F37),0))</f>
        <v>ELEC_HP</v>
      </c>
      <c r="X37" s="7" t="str">
        <f t="array" ref="X37">INDEX(xlRTTYNAME,MATCH(1,(xlRTTYENDU=1)*(xlRTTYEQCL=$D37)*(xlRTEQTYPE=$E37),0))</f>
        <v>ELEC_HP1</v>
      </c>
      <c r="Y37" s="7" t="str">
        <f t="array" ref="Y37">INDEX(xlRTTYNAME,MATCH(1,(xlRTTYENDU=2)*(xlRTTYEQCL=$F37)*(xlRTEQTYPE=$G37),0))</f>
        <v>ELEC_HP1</v>
      </c>
    </row>
    <row r="38" spans="2:25" x14ac:dyDescent="0.2">
      <c r="B38" s="5">
        <v>5</v>
      </c>
      <c r="C38" s="5">
        <v>1</v>
      </c>
      <c r="D38" s="5">
        <v>2</v>
      </c>
      <c r="E38" s="5">
        <v>2</v>
      </c>
      <c r="F38" s="5">
        <v>3</v>
      </c>
      <c r="G38" s="31">
        <v>8</v>
      </c>
      <c r="H38" s="31">
        <v>2020</v>
      </c>
      <c r="I38" s="96">
        <v>2050</v>
      </c>
      <c r="J38" s="142">
        <v>1.0806</v>
      </c>
      <c r="K38" s="142">
        <v>1.0507</v>
      </c>
      <c r="L38" s="142">
        <v>0.96079999999999999</v>
      </c>
      <c r="M38" s="142">
        <v>1.1158999999999999</v>
      </c>
      <c r="N38" s="142">
        <v>0.78859999999999997</v>
      </c>
      <c r="O38" s="142">
        <v>1.0538000000000001</v>
      </c>
      <c r="P38" s="26">
        <v>0</v>
      </c>
      <c r="Q38" s="35">
        <f t="array" ref="Q38">SUM(IF(($S38&gt;=4)*($C38='TaxCred&amp;Subs'!$D$114:$D$121)*($H38='TaxCred&amp;Subs'!$C$114:$C$121)*($H38&lt;='TaxCred&amp;Subs'!$C$123),'TaxCred&amp;Subs'!$E$114:$E$121,0))</f>
        <v>0</v>
      </c>
      <c r="R38" s="143">
        <v>0</v>
      </c>
      <c r="S38" s="5">
        <v>1</v>
      </c>
      <c r="T38" s="5" t="s">
        <v>219</v>
      </c>
      <c r="V38" s="7" t="str">
        <f t="array" ref="V38">INDEX(xlRTCLNAME,MATCH(1,(xlRTCLENDU=1)*(xlRTCLEQCL=$D38),0))</f>
        <v>ELEC_HP</v>
      </c>
      <c r="W38" s="7" t="str">
        <f t="array" ref="W38">INDEX(xlRTCLNAME,MATCH(1,(xlRTCLENDU=2)*(xlRTCLEQCL=$F38),0))</f>
        <v>ELEC_HP</v>
      </c>
      <c r="X38" s="7" t="str">
        <f t="array" ref="X38">INDEX(xlRTTYNAME,MATCH(1,(xlRTTYENDU=1)*(xlRTTYEQCL=$D38)*(xlRTEQTYPE=$E38),0))</f>
        <v>ELEC_HP1</v>
      </c>
      <c r="Y38" s="7" t="str">
        <f t="array" ref="Y38">INDEX(xlRTTYNAME,MATCH(1,(xlRTTYENDU=2)*(xlRTTYEQCL=$F38)*(xlRTEQTYPE=$G38),0))</f>
        <v>ELEC_HP1</v>
      </c>
    </row>
    <row r="39" spans="2:25" x14ac:dyDescent="0.2">
      <c r="B39" s="5">
        <v>6</v>
      </c>
      <c r="C39" s="5">
        <v>1</v>
      </c>
      <c r="D39" s="5">
        <v>2</v>
      </c>
      <c r="E39" s="5">
        <v>2</v>
      </c>
      <c r="F39" s="5">
        <v>3</v>
      </c>
      <c r="G39" s="31">
        <v>8</v>
      </c>
      <c r="H39" s="31">
        <v>2020</v>
      </c>
      <c r="I39" s="96">
        <v>2050</v>
      </c>
      <c r="J39" s="142">
        <v>1.0885</v>
      </c>
      <c r="K39" s="142">
        <v>1.0526</v>
      </c>
      <c r="L39" s="142">
        <v>1.0209999999999999</v>
      </c>
      <c r="M39" s="142">
        <v>1.1335999999999999</v>
      </c>
      <c r="N39" s="142">
        <v>0.88680000000000003</v>
      </c>
      <c r="O39" s="142">
        <v>1.0538000000000001</v>
      </c>
      <c r="P39" s="26">
        <v>0</v>
      </c>
      <c r="Q39" s="35">
        <f t="array" ref="Q39">SUM(IF(($S39&gt;=4)*($C39='TaxCred&amp;Subs'!$D$114:$D$121)*($H39='TaxCred&amp;Subs'!$C$114:$C$121)*($H39&lt;='TaxCred&amp;Subs'!$C$123),'TaxCred&amp;Subs'!$E$114:$E$121,0))</f>
        <v>0</v>
      </c>
      <c r="R39" s="143">
        <v>0</v>
      </c>
      <c r="S39" s="5">
        <v>1</v>
      </c>
      <c r="T39" s="5" t="s">
        <v>219</v>
      </c>
      <c r="V39" s="7" t="str">
        <f t="array" ref="V39">INDEX(xlRTCLNAME,MATCH(1,(xlRTCLENDU=1)*(xlRTCLEQCL=$D39),0))</f>
        <v>ELEC_HP</v>
      </c>
      <c r="W39" s="7" t="str">
        <f t="array" ref="W39">INDEX(xlRTCLNAME,MATCH(1,(xlRTCLENDU=2)*(xlRTCLEQCL=$F39),0))</f>
        <v>ELEC_HP</v>
      </c>
      <c r="X39" s="7" t="str">
        <f t="array" ref="X39">INDEX(xlRTTYNAME,MATCH(1,(xlRTTYENDU=1)*(xlRTTYEQCL=$D39)*(xlRTEQTYPE=$E39),0))</f>
        <v>ELEC_HP1</v>
      </c>
      <c r="Y39" s="7" t="str">
        <f t="array" ref="Y39">INDEX(xlRTTYNAME,MATCH(1,(xlRTTYENDU=2)*(xlRTTYEQCL=$F39)*(xlRTEQTYPE=$G39),0))</f>
        <v>ELEC_HP1</v>
      </c>
    </row>
    <row r="40" spans="2:25" x14ac:dyDescent="0.2">
      <c r="B40" s="5">
        <v>7</v>
      </c>
      <c r="C40" s="5">
        <v>1</v>
      </c>
      <c r="D40" s="5">
        <v>2</v>
      </c>
      <c r="E40" s="5">
        <v>2</v>
      </c>
      <c r="F40" s="5">
        <v>3</v>
      </c>
      <c r="G40" s="31">
        <v>8</v>
      </c>
      <c r="H40" s="31">
        <v>2020</v>
      </c>
      <c r="I40" s="96">
        <v>2050</v>
      </c>
      <c r="J40" s="142">
        <v>1.0765</v>
      </c>
      <c r="K40" s="142">
        <v>1.0508</v>
      </c>
      <c r="L40" s="142">
        <v>1.0245</v>
      </c>
      <c r="M40" s="142">
        <v>1.0382</v>
      </c>
      <c r="N40" s="142">
        <v>0.86099999999999999</v>
      </c>
      <c r="O40" s="142">
        <v>1.0538000000000001</v>
      </c>
      <c r="P40" s="26">
        <v>0</v>
      </c>
      <c r="Q40" s="35">
        <f t="array" ref="Q40">SUM(IF(($S40&gt;=4)*($C40='TaxCred&amp;Subs'!$D$114:$D$121)*($H40='TaxCred&amp;Subs'!$C$114:$C$121)*($H40&lt;='TaxCred&amp;Subs'!$C$123),'TaxCred&amp;Subs'!$E$114:$E$121,0))</f>
        <v>0</v>
      </c>
      <c r="R40" s="143">
        <v>0</v>
      </c>
      <c r="S40" s="5">
        <v>1</v>
      </c>
      <c r="T40" s="5" t="s">
        <v>219</v>
      </c>
      <c r="V40" s="7" t="str">
        <f t="array" ref="V40">INDEX(xlRTCLNAME,MATCH(1,(xlRTCLENDU=1)*(xlRTCLEQCL=$D40),0))</f>
        <v>ELEC_HP</v>
      </c>
      <c r="W40" s="7" t="str">
        <f t="array" ref="W40">INDEX(xlRTCLNAME,MATCH(1,(xlRTCLENDU=2)*(xlRTCLEQCL=$F40),0))</f>
        <v>ELEC_HP</v>
      </c>
      <c r="X40" s="7" t="str">
        <f t="array" ref="X40">INDEX(xlRTTYNAME,MATCH(1,(xlRTTYENDU=1)*(xlRTTYEQCL=$D40)*(xlRTEQTYPE=$E40),0))</f>
        <v>ELEC_HP1</v>
      </c>
      <c r="Y40" s="7" t="str">
        <f t="array" ref="Y40">INDEX(xlRTTYNAME,MATCH(1,(xlRTTYENDU=2)*(xlRTTYEQCL=$F40)*(xlRTEQTYPE=$G40),0))</f>
        <v>ELEC_HP1</v>
      </c>
    </row>
    <row r="41" spans="2:25" x14ac:dyDescent="0.2">
      <c r="B41" s="5">
        <v>8</v>
      </c>
      <c r="C41" s="5">
        <v>1</v>
      </c>
      <c r="D41" s="5">
        <v>2</v>
      </c>
      <c r="E41" s="5">
        <v>2</v>
      </c>
      <c r="F41" s="5">
        <v>3</v>
      </c>
      <c r="G41" s="31">
        <v>8</v>
      </c>
      <c r="H41" s="31">
        <v>2020</v>
      </c>
      <c r="I41" s="96">
        <v>2050</v>
      </c>
      <c r="J41" s="142">
        <v>1.0488999999999999</v>
      </c>
      <c r="K41" s="142">
        <v>1.0810999999999999</v>
      </c>
      <c r="L41" s="142">
        <v>0.98699999999999999</v>
      </c>
      <c r="M41" s="142">
        <v>1.0076000000000001</v>
      </c>
      <c r="N41" s="142">
        <v>0.87419999999999998</v>
      </c>
      <c r="O41" s="142">
        <v>1.0538000000000001</v>
      </c>
      <c r="P41" s="26">
        <v>0</v>
      </c>
      <c r="Q41" s="35">
        <f t="array" ref="Q41">SUM(IF(($S41&gt;=4)*($C41='TaxCred&amp;Subs'!$D$114:$D$121)*($H41='TaxCred&amp;Subs'!$C$114:$C$121)*($H41&lt;='TaxCred&amp;Subs'!$C$123),'TaxCred&amp;Subs'!$E$114:$E$121,0))</f>
        <v>0</v>
      </c>
      <c r="R41" s="143">
        <v>0</v>
      </c>
      <c r="S41" s="5">
        <v>1</v>
      </c>
      <c r="T41" s="5" t="s">
        <v>219</v>
      </c>
      <c r="V41" s="7" t="str">
        <f t="array" ref="V41">INDEX(xlRTCLNAME,MATCH(1,(xlRTCLENDU=1)*(xlRTCLEQCL=$D41),0))</f>
        <v>ELEC_HP</v>
      </c>
      <c r="W41" s="7" t="str">
        <f t="array" ref="W41">INDEX(xlRTCLNAME,MATCH(1,(xlRTCLENDU=2)*(xlRTCLEQCL=$F41),0))</f>
        <v>ELEC_HP</v>
      </c>
      <c r="X41" s="7" t="str">
        <f t="array" ref="X41">INDEX(xlRTTYNAME,MATCH(1,(xlRTTYENDU=1)*(xlRTTYEQCL=$D41)*(xlRTEQTYPE=$E41),0))</f>
        <v>ELEC_HP1</v>
      </c>
      <c r="Y41" s="7" t="str">
        <f t="array" ref="Y41">INDEX(xlRTTYNAME,MATCH(1,(xlRTTYENDU=2)*(xlRTTYEQCL=$F41)*(xlRTEQTYPE=$G41),0))</f>
        <v>ELEC_HP1</v>
      </c>
    </row>
    <row r="42" spans="2:25" x14ac:dyDescent="0.2">
      <c r="B42" s="5">
        <v>9</v>
      </c>
      <c r="C42" s="5">
        <v>1</v>
      </c>
      <c r="D42" s="5">
        <v>2</v>
      </c>
      <c r="E42" s="5">
        <v>2</v>
      </c>
      <c r="F42" s="5">
        <v>3</v>
      </c>
      <c r="G42" s="31">
        <v>8</v>
      </c>
      <c r="H42" s="31">
        <v>2020</v>
      </c>
      <c r="I42" s="96">
        <v>2050</v>
      </c>
      <c r="J42" s="142">
        <v>1.0710999999999999</v>
      </c>
      <c r="K42" s="142">
        <v>1.0754999999999999</v>
      </c>
      <c r="L42" s="142">
        <v>1.1026</v>
      </c>
      <c r="M42" s="142">
        <v>1.1204000000000001</v>
      </c>
      <c r="N42" s="142">
        <v>1.0228999999999999</v>
      </c>
      <c r="O42" s="142">
        <v>1.0538000000000001</v>
      </c>
      <c r="P42" s="26">
        <v>0</v>
      </c>
      <c r="Q42" s="35">
        <f t="array" ref="Q42">SUM(IF(($S42&gt;=4)*($C42='TaxCred&amp;Subs'!$D$114:$D$121)*($H42='TaxCred&amp;Subs'!$C$114:$C$121)*($H42&lt;='TaxCred&amp;Subs'!$C$123),'TaxCred&amp;Subs'!$E$114:$E$121,0))</f>
        <v>0</v>
      </c>
      <c r="R42" s="143">
        <v>0</v>
      </c>
      <c r="S42" s="5">
        <v>1</v>
      </c>
      <c r="T42" s="5" t="s">
        <v>219</v>
      </c>
      <c r="V42" s="7" t="str">
        <f t="array" ref="V42">INDEX(xlRTCLNAME,MATCH(1,(xlRTCLENDU=1)*(xlRTCLEQCL=$D42),0))</f>
        <v>ELEC_HP</v>
      </c>
      <c r="W42" s="7" t="str">
        <f t="array" ref="W42">INDEX(xlRTCLNAME,MATCH(1,(xlRTCLENDU=2)*(xlRTCLEQCL=$F42),0))</f>
        <v>ELEC_HP</v>
      </c>
      <c r="X42" s="7" t="str">
        <f t="array" ref="X42">INDEX(xlRTTYNAME,MATCH(1,(xlRTTYENDU=1)*(xlRTTYEQCL=$D42)*(xlRTEQTYPE=$E42),0))</f>
        <v>ELEC_HP1</v>
      </c>
      <c r="Y42" s="7" t="str">
        <f t="array" ref="Y42">INDEX(xlRTTYNAME,MATCH(1,(xlRTTYENDU=2)*(xlRTTYEQCL=$F42)*(xlRTEQTYPE=$G42),0))</f>
        <v>ELEC_HP1</v>
      </c>
    </row>
    <row r="43" spans="2:25" x14ac:dyDescent="0.2">
      <c r="B43" s="5">
        <v>1</v>
      </c>
      <c r="C43" s="5">
        <v>1</v>
      </c>
      <c r="D43" s="5">
        <v>3</v>
      </c>
      <c r="E43" s="5">
        <v>6</v>
      </c>
      <c r="F43" s="5">
        <v>2</v>
      </c>
      <c r="G43" s="31">
        <v>4</v>
      </c>
      <c r="H43" s="31">
        <v>2020</v>
      </c>
      <c r="I43" s="96">
        <v>2050</v>
      </c>
      <c r="J43" s="142">
        <v>1.0803</v>
      </c>
      <c r="K43" s="142">
        <v>1.0667</v>
      </c>
      <c r="L43" s="142">
        <v>0.88939999999999997</v>
      </c>
      <c r="M43" s="142">
        <v>1.0285</v>
      </c>
      <c r="N43" s="142">
        <v>0.79790000000000005</v>
      </c>
      <c r="O43" s="142">
        <v>1.0538000000000001</v>
      </c>
      <c r="P43" s="26">
        <v>0</v>
      </c>
      <c r="Q43" s="35">
        <f t="array" ref="Q43">SUM(IF(($S43&gt;=4)*($C43='TaxCred&amp;Subs'!$D$114:$D$121)*($H43='TaxCred&amp;Subs'!$C$114:$C$121)*($H43&lt;='TaxCred&amp;Subs'!$C$123),'TaxCred&amp;Subs'!$E$114:$E$121,0))</f>
        <v>0</v>
      </c>
      <c r="R43" s="143">
        <v>0</v>
      </c>
      <c r="S43" s="5">
        <v>1</v>
      </c>
      <c r="T43" s="5" t="s">
        <v>219</v>
      </c>
      <c r="V43" s="7" t="str">
        <f t="array" ref="V43">INDEX(xlRTCLNAME,MATCH(1,(xlRTCLENDU=1)*(xlRTCLEQCL=$D43),0))</f>
        <v>NG_FA</v>
      </c>
      <c r="W43" s="7" t="str">
        <f t="array" ref="W43">INDEX(xlRTCLNAME,MATCH(1,(xlRTCLENDU=2)*(xlRTCLEQCL=$F43),0))</f>
        <v>CENT_AIR</v>
      </c>
      <c r="X43" s="7" t="str">
        <f t="array" ref="X43">INDEX(xlRTTYNAME,MATCH(1,(xlRTTYENDU=1)*(xlRTTYEQCL=$D43)*(xlRTEQTYPE=$E43),0))</f>
        <v>NG_FA1</v>
      </c>
      <c r="Y43" s="7" t="str">
        <f t="array" ref="Y43">INDEX(xlRTTYNAME,MATCH(1,(xlRTTYENDU=2)*(xlRTTYEQCL=$F43)*(xlRTEQTYPE=$G43),0))</f>
        <v>CENT_AIR1</v>
      </c>
    </row>
    <row r="44" spans="2:25" x14ac:dyDescent="0.2">
      <c r="B44" s="5">
        <v>2</v>
      </c>
      <c r="C44" s="5">
        <v>1</v>
      </c>
      <c r="D44" s="5">
        <v>3</v>
      </c>
      <c r="E44" s="5">
        <v>6</v>
      </c>
      <c r="F44" s="5">
        <v>2</v>
      </c>
      <c r="G44" s="31">
        <v>4</v>
      </c>
      <c r="H44" s="31">
        <v>2020</v>
      </c>
      <c r="I44" s="96">
        <v>2050</v>
      </c>
      <c r="J44" s="142">
        <v>1.0649</v>
      </c>
      <c r="K44" s="142">
        <v>1.0597000000000001</v>
      </c>
      <c r="L44" s="142">
        <v>1.0037</v>
      </c>
      <c r="M44" s="142">
        <v>0.95550000000000002</v>
      </c>
      <c r="N44" s="142">
        <v>0.93169999999999997</v>
      </c>
      <c r="O44" s="142">
        <v>1.0538000000000001</v>
      </c>
      <c r="P44" s="26">
        <v>0</v>
      </c>
      <c r="Q44" s="35">
        <f t="array" ref="Q44">SUM(IF(($S44&gt;=4)*($C44='TaxCred&amp;Subs'!$D$114:$D$121)*($H44='TaxCred&amp;Subs'!$C$114:$C$121)*($H44&lt;='TaxCred&amp;Subs'!$C$123),'TaxCred&amp;Subs'!$E$114:$E$121,0))</f>
        <v>0</v>
      </c>
      <c r="R44" s="143">
        <v>0</v>
      </c>
      <c r="S44" s="5">
        <v>1</v>
      </c>
      <c r="T44" s="5" t="s">
        <v>219</v>
      </c>
      <c r="V44" s="7" t="str">
        <f t="array" ref="V44">INDEX(xlRTCLNAME,MATCH(1,(xlRTCLENDU=1)*(xlRTCLEQCL=$D44),0))</f>
        <v>NG_FA</v>
      </c>
      <c r="W44" s="7" t="str">
        <f t="array" ref="W44">INDEX(xlRTCLNAME,MATCH(1,(xlRTCLENDU=2)*(xlRTCLEQCL=$F44),0))</f>
        <v>CENT_AIR</v>
      </c>
      <c r="X44" s="7" t="str">
        <f t="array" ref="X44">INDEX(xlRTTYNAME,MATCH(1,(xlRTTYENDU=1)*(xlRTTYEQCL=$D44)*(xlRTEQTYPE=$E44),0))</f>
        <v>NG_FA1</v>
      </c>
      <c r="Y44" s="7" t="str">
        <f t="array" ref="Y44">INDEX(xlRTTYNAME,MATCH(1,(xlRTTYENDU=2)*(xlRTTYEQCL=$F44)*(xlRTEQTYPE=$G44),0))</f>
        <v>CENT_AIR1</v>
      </c>
    </row>
    <row r="45" spans="2:25" x14ac:dyDescent="0.2">
      <c r="B45" s="5">
        <v>3</v>
      </c>
      <c r="C45" s="5">
        <v>1</v>
      </c>
      <c r="D45" s="5">
        <v>3</v>
      </c>
      <c r="E45" s="5">
        <v>6</v>
      </c>
      <c r="F45" s="5">
        <v>2</v>
      </c>
      <c r="G45" s="31">
        <v>4</v>
      </c>
      <c r="H45" s="31">
        <v>2020</v>
      </c>
      <c r="I45" s="96">
        <v>2050</v>
      </c>
      <c r="J45" s="142">
        <v>1.0469999999999999</v>
      </c>
      <c r="K45" s="142">
        <v>1.0769</v>
      </c>
      <c r="L45" s="142">
        <v>0.93520000000000003</v>
      </c>
      <c r="M45" s="142">
        <v>0.9627</v>
      </c>
      <c r="N45" s="142">
        <v>0.91600000000000004</v>
      </c>
      <c r="O45" s="142">
        <v>1.0538000000000001</v>
      </c>
      <c r="P45" s="26">
        <v>0</v>
      </c>
      <c r="Q45" s="35">
        <f t="array" ref="Q45">SUM(IF(($S45&gt;=4)*($C45='TaxCred&amp;Subs'!$D$114:$D$121)*($H45='TaxCred&amp;Subs'!$C$114:$C$121)*($H45&lt;='TaxCred&amp;Subs'!$C$123),'TaxCred&amp;Subs'!$E$114:$E$121,0))</f>
        <v>0</v>
      </c>
      <c r="R45" s="143">
        <v>0</v>
      </c>
      <c r="S45" s="5">
        <v>1</v>
      </c>
      <c r="T45" s="5" t="s">
        <v>219</v>
      </c>
      <c r="V45" s="7" t="str">
        <f t="array" ref="V45">INDEX(xlRTCLNAME,MATCH(1,(xlRTCLENDU=1)*(xlRTCLEQCL=$D45),0))</f>
        <v>NG_FA</v>
      </c>
      <c r="W45" s="7" t="str">
        <f t="array" ref="W45">INDEX(xlRTCLNAME,MATCH(1,(xlRTCLENDU=2)*(xlRTCLEQCL=$F45),0))</f>
        <v>CENT_AIR</v>
      </c>
      <c r="X45" s="7" t="str">
        <f t="array" ref="X45">INDEX(xlRTTYNAME,MATCH(1,(xlRTTYENDU=1)*(xlRTTYEQCL=$D45)*(xlRTEQTYPE=$E45),0))</f>
        <v>NG_FA1</v>
      </c>
      <c r="Y45" s="7" t="str">
        <f t="array" ref="Y45">INDEX(xlRTTYNAME,MATCH(1,(xlRTTYENDU=2)*(xlRTTYEQCL=$F45)*(xlRTEQTYPE=$G45),0))</f>
        <v>CENT_AIR1</v>
      </c>
    </row>
    <row r="46" spans="2:25" x14ac:dyDescent="0.2">
      <c r="B46" s="5">
        <v>4</v>
      </c>
      <c r="C46" s="5">
        <v>1</v>
      </c>
      <c r="D46" s="5">
        <v>3</v>
      </c>
      <c r="E46" s="5">
        <v>6</v>
      </c>
      <c r="F46" s="5">
        <v>2</v>
      </c>
      <c r="G46" s="31">
        <v>4</v>
      </c>
      <c r="H46" s="31">
        <v>2020</v>
      </c>
      <c r="I46" s="96">
        <v>2050</v>
      </c>
      <c r="J46" s="142">
        <v>1.0862000000000001</v>
      </c>
      <c r="K46" s="142">
        <v>1.0769</v>
      </c>
      <c r="L46" s="142">
        <v>0.87749999999999995</v>
      </c>
      <c r="M46" s="142">
        <v>0.87319999999999998</v>
      </c>
      <c r="N46" s="142">
        <v>0.85770000000000002</v>
      </c>
      <c r="O46" s="142">
        <v>1.0538000000000001</v>
      </c>
      <c r="P46" s="26">
        <v>0</v>
      </c>
      <c r="Q46" s="35">
        <f t="array" ref="Q46">SUM(IF(($S46&gt;=4)*($C46='TaxCred&amp;Subs'!$D$114:$D$121)*($H46='TaxCred&amp;Subs'!$C$114:$C$121)*($H46&lt;='TaxCred&amp;Subs'!$C$123),'TaxCred&amp;Subs'!$E$114:$E$121,0))</f>
        <v>0</v>
      </c>
      <c r="R46" s="143">
        <v>0</v>
      </c>
      <c r="S46" s="5">
        <v>1</v>
      </c>
      <c r="T46" s="5" t="s">
        <v>219</v>
      </c>
      <c r="V46" s="7" t="str">
        <f t="array" ref="V46">INDEX(xlRTCLNAME,MATCH(1,(xlRTCLENDU=1)*(xlRTCLEQCL=$D46),0))</f>
        <v>NG_FA</v>
      </c>
      <c r="W46" s="7" t="str">
        <f t="array" ref="W46">INDEX(xlRTCLNAME,MATCH(1,(xlRTCLENDU=2)*(xlRTCLEQCL=$F46),0))</f>
        <v>CENT_AIR</v>
      </c>
      <c r="X46" s="7" t="str">
        <f t="array" ref="X46">INDEX(xlRTTYNAME,MATCH(1,(xlRTTYENDU=1)*(xlRTTYEQCL=$D46)*(xlRTEQTYPE=$E46),0))</f>
        <v>NG_FA1</v>
      </c>
      <c r="Y46" s="7" t="str">
        <f t="array" ref="Y46">INDEX(xlRTTYNAME,MATCH(1,(xlRTTYENDU=2)*(xlRTTYEQCL=$F46)*(xlRTEQTYPE=$G46),0))</f>
        <v>CENT_AIR1</v>
      </c>
    </row>
    <row r="47" spans="2:25" x14ac:dyDescent="0.2">
      <c r="B47" s="5">
        <v>5</v>
      </c>
      <c r="C47" s="5">
        <v>1</v>
      </c>
      <c r="D47" s="5">
        <v>3</v>
      </c>
      <c r="E47" s="5">
        <v>6</v>
      </c>
      <c r="F47" s="5">
        <v>2</v>
      </c>
      <c r="G47" s="31">
        <v>4</v>
      </c>
      <c r="H47" s="31">
        <v>2020</v>
      </c>
      <c r="I47" s="96">
        <v>2050</v>
      </c>
      <c r="J47" s="142">
        <v>1.0849</v>
      </c>
      <c r="K47" s="142">
        <v>1.0471999999999999</v>
      </c>
      <c r="L47" s="142">
        <v>0.90710000000000002</v>
      </c>
      <c r="M47" s="142">
        <v>1.0934999999999999</v>
      </c>
      <c r="N47" s="142">
        <v>0.76180000000000003</v>
      </c>
      <c r="O47" s="142">
        <v>1.0538000000000001</v>
      </c>
      <c r="P47" s="26">
        <v>0</v>
      </c>
      <c r="Q47" s="35">
        <f t="array" ref="Q47">SUM(IF(($S47&gt;=4)*($C47='TaxCred&amp;Subs'!$D$114:$D$121)*($H47='TaxCred&amp;Subs'!$C$114:$C$121)*($H47&lt;='TaxCred&amp;Subs'!$C$123),'TaxCred&amp;Subs'!$E$114:$E$121,0))</f>
        <v>0</v>
      </c>
      <c r="R47" s="143">
        <v>0</v>
      </c>
      <c r="S47" s="5">
        <v>1</v>
      </c>
      <c r="T47" s="5" t="s">
        <v>219</v>
      </c>
      <c r="V47" s="7" t="str">
        <f t="array" ref="V47">INDEX(xlRTCLNAME,MATCH(1,(xlRTCLENDU=1)*(xlRTCLEQCL=$D47),0))</f>
        <v>NG_FA</v>
      </c>
      <c r="W47" s="7" t="str">
        <f t="array" ref="W47">INDEX(xlRTCLNAME,MATCH(1,(xlRTCLENDU=2)*(xlRTCLEQCL=$F47),0))</f>
        <v>CENT_AIR</v>
      </c>
      <c r="X47" s="7" t="str">
        <f t="array" ref="X47">INDEX(xlRTTYNAME,MATCH(1,(xlRTTYENDU=1)*(xlRTTYEQCL=$D47)*(xlRTEQTYPE=$E47),0))</f>
        <v>NG_FA1</v>
      </c>
      <c r="Y47" s="7" t="str">
        <f t="array" ref="Y47">INDEX(xlRTTYNAME,MATCH(1,(xlRTTYENDU=2)*(xlRTTYEQCL=$F47)*(xlRTEQTYPE=$G47),0))</f>
        <v>CENT_AIR1</v>
      </c>
    </row>
    <row r="48" spans="2:25" x14ac:dyDescent="0.2">
      <c r="B48" s="5">
        <v>6</v>
      </c>
      <c r="C48" s="5">
        <v>1</v>
      </c>
      <c r="D48" s="5">
        <v>3</v>
      </c>
      <c r="E48" s="5">
        <v>6</v>
      </c>
      <c r="F48" s="5">
        <v>2</v>
      </c>
      <c r="G48" s="31">
        <v>4</v>
      </c>
      <c r="H48" s="31">
        <v>2020</v>
      </c>
      <c r="I48" s="96">
        <v>2050</v>
      </c>
      <c r="J48" s="142">
        <v>1.0924</v>
      </c>
      <c r="K48" s="142">
        <v>1.0661</v>
      </c>
      <c r="L48" s="142">
        <v>1.0295000000000001</v>
      </c>
      <c r="M48" s="142">
        <v>1.1335999999999999</v>
      </c>
      <c r="N48" s="142">
        <v>0.89100000000000001</v>
      </c>
      <c r="O48" s="142">
        <v>1.0538000000000001</v>
      </c>
      <c r="P48" s="26">
        <v>0</v>
      </c>
      <c r="Q48" s="35">
        <f t="array" ref="Q48">SUM(IF(($S48&gt;=4)*($C48='TaxCred&amp;Subs'!$D$114:$D$121)*($H48='TaxCred&amp;Subs'!$C$114:$C$121)*($H48&lt;='TaxCred&amp;Subs'!$C$123),'TaxCred&amp;Subs'!$E$114:$E$121,0))</f>
        <v>0</v>
      </c>
      <c r="R48" s="143">
        <v>0</v>
      </c>
      <c r="S48" s="5">
        <v>1</v>
      </c>
      <c r="T48" s="5" t="s">
        <v>219</v>
      </c>
      <c r="V48" s="7" t="str">
        <f t="array" ref="V48">INDEX(xlRTCLNAME,MATCH(1,(xlRTCLENDU=1)*(xlRTCLEQCL=$D48),0))</f>
        <v>NG_FA</v>
      </c>
      <c r="W48" s="7" t="str">
        <f t="array" ref="W48">INDEX(xlRTCLNAME,MATCH(1,(xlRTCLENDU=2)*(xlRTCLEQCL=$F48),0))</f>
        <v>CENT_AIR</v>
      </c>
      <c r="X48" s="7" t="str">
        <f t="array" ref="X48">INDEX(xlRTTYNAME,MATCH(1,(xlRTTYENDU=1)*(xlRTTYEQCL=$D48)*(xlRTEQTYPE=$E48),0))</f>
        <v>NG_FA1</v>
      </c>
      <c r="Y48" s="7" t="str">
        <f t="array" ref="Y48">INDEX(xlRTTYNAME,MATCH(1,(xlRTTYENDU=2)*(xlRTTYEQCL=$F48)*(xlRTEQTYPE=$G48),0))</f>
        <v>CENT_AIR1</v>
      </c>
    </row>
    <row r="49" spans="2:25" x14ac:dyDescent="0.2">
      <c r="B49" s="5">
        <v>7</v>
      </c>
      <c r="C49" s="5">
        <v>1</v>
      </c>
      <c r="D49" s="5">
        <v>3</v>
      </c>
      <c r="E49" s="5">
        <v>6</v>
      </c>
      <c r="F49" s="5">
        <v>2</v>
      </c>
      <c r="G49" s="31">
        <v>4</v>
      </c>
      <c r="H49" s="31">
        <v>2020</v>
      </c>
      <c r="I49" s="96">
        <v>2050</v>
      </c>
      <c r="J49" s="142">
        <v>1.0905</v>
      </c>
      <c r="K49" s="142">
        <v>1.0562</v>
      </c>
      <c r="L49" s="142">
        <v>1.046</v>
      </c>
      <c r="M49" s="142">
        <v>1.0382</v>
      </c>
      <c r="N49" s="142">
        <v>0.87180000000000002</v>
      </c>
      <c r="O49" s="142">
        <v>1.0538000000000001</v>
      </c>
      <c r="P49" s="26">
        <v>0</v>
      </c>
      <c r="Q49" s="35">
        <f t="array" ref="Q49">SUM(IF(($S49&gt;=4)*($C49='TaxCred&amp;Subs'!$D$114:$D$121)*($H49='TaxCred&amp;Subs'!$C$114:$C$121)*($H49&lt;='TaxCred&amp;Subs'!$C$123),'TaxCred&amp;Subs'!$E$114:$E$121,0))</f>
        <v>0</v>
      </c>
      <c r="R49" s="143">
        <v>0</v>
      </c>
      <c r="S49" s="5">
        <v>1</v>
      </c>
      <c r="T49" s="5" t="s">
        <v>219</v>
      </c>
      <c r="V49" s="7" t="str">
        <f t="array" ref="V49">INDEX(xlRTCLNAME,MATCH(1,(xlRTCLENDU=1)*(xlRTCLEQCL=$D49),0))</f>
        <v>NG_FA</v>
      </c>
      <c r="W49" s="7" t="str">
        <f t="array" ref="W49">INDEX(xlRTCLNAME,MATCH(1,(xlRTCLENDU=2)*(xlRTCLEQCL=$F49),0))</f>
        <v>CENT_AIR</v>
      </c>
      <c r="X49" s="7" t="str">
        <f t="array" ref="X49">INDEX(xlRTTYNAME,MATCH(1,(xlRTTYENDU=1)*(xlRTTYEQCL=$D49)*(xlRTEQTYPE=$E49),0))</f>
        <v>NG_FA1</v>
      </c>
      <c r="Y49" s="7" t="str">
        <f t="array" ref="Y49">INDEX(xlRTTYNAME,MATCH(1,(xlRTTYENDU=2)*(xlRTTYEQCL=$F49)*(xlRTEQTYPE=$G49),0))</f>
        <v>CENT_AIR1</v>
      </c>
    </row>
    <row r="50" spans="2:25" x14ac:dyDescent="0.2">
      <c r="B50" s="5">
        <v>8</v>
      </c>
      <c r="C50" s="5">
        <v>1</v>
      </c>
      <c r="D50" s="5">
        <v>3</v>
      </c>
      <c r="E50" s="5">
        <v>6</v>
      </c>
      <c r="F50" s="5">
        <v>2</v>
      </c>
      <c r="G50" s="31">
        <v>4</v>
      </c>
      <c r="H50" s="31">
        <v>2020</v>
      </c>
      <c r="I50" s="96">
        <v>2050</v>
      </c>
      <c r="J50" s="142">
        <v>1.0801000000000001</v>
      </c>
      <c r="K50" s="142">
        <v>1.0822000000000001</v>
      </c>
      <c r="L50" s="142">
        <v>0.97740000000000005</v>
      </c>
      <c r="M50" s="142">
        <v>1.0076000000000001</v>
      </c>
      <c r="N50" s="142">
        <v>0.86950000000000005</v>
      </c>
      <c r="O50" s="142">
        <v>1.0538000000000001</v>
      </c>
      <c r="P50" s="26">
        <v>0</v>
      </c>
      <c r="Q50" s="35">
        <f t="array" ref="Q50">SUM(IF(($S50&gt;=4)*($C50='TaxCred&amp;Subs'!$D$114:$D$121)*($H50='TaxCred&amp;Subs'!$C$114:$C$121)*($H50&lt;='TaxCred&amp;Subs'!$C$123),'TaxCred&amp;Subs'!$E$114:$E$121,0))</f>
        <v>0</v>
      </c>
      <c r="R50" s="143">
        <v>0</v>
      </c>
      <c r="S50" s="5">
        <v>1</v>
      </c>
      <c r="T50" s="5" t="s">
        <v>219</v>
      </c>
      <c r="V50" s="7" t="str">
        <f t="array" ref="V50">INDEX(xlRTCLNAME,MATCH(1,(xlRTCLENDU=1)*(xlRTCLEQCL=$D50),0))</f>
        <v>NG_FA</v>
      </c>
      <c r="W50" s="7" t="str">
        <f t="array" ref="W50">INDEX(xlRTCLNAME,MATCH(1,(xlRTCLENDU=2)*(xlRTCLEQCL=$F50),0))</f>
        <v>CENT_AIR</v>
      </c>
      <c r="X50" s="7" t="str">
        <f t="array" ref="X50">INDEX(xlRTTYNAME,MATCH(1,(xlRTTYENDU=1)*(xlRTTYEQCL=$D50)*(xlRTEQTYPE=$E50),0))</f>
        <v>NG_FA1</v>
      </c>
      <c r="Y50" s="7" t="str">
        <f t="array" ref="Y50">INDEX(xlRTTYNAME,MATCH(1,(xlRTTYENDU=2)*(xlRTTYEQCL=$F50)*(xlRTEQTYPE=$G50),0))</f>
        <v>CENT_AIR1</v>
      </c>
    </row>
    <row r="51" spans="2:25" x14ac:dyDescent="0.2">
      <c r="B51" s="5">
        <v>9</v>
      </c>
      <c r="C51" s="5">
        <v>1</v>
      </c>
      <c r="D51" s="5">
        <v>3</v>
      </c>
      <c r="E51" s="5">
        <v>6</v>
      </c>
      <c r="F51" s="5">
        <v>2</v>
      </c>
      <c r="G51" s="31">
        <v>4</v>
      </c>
      <c r="H51" s="31">
        <v>2020</v>
      </c>
      <c r="I51" s="96">
        <v>2050</v>
      </c>
      <c r="J51" s="142">
        <v>1.0781000000000001</v>
      </c>
      <c r="K51" s="142">
        <v>1.0707</v>
      </c>
      <c r="L51" s="142">
        <v>1.1246</v>
      </c>
      <c r="M51" s="142">
        <v>1.1204000000000001</v>
      </c>
      <c r="N51" s="142">
        <v>1.0339</v>
      </c>
      <c r="O51" s="142">
        <v>1.0538000000000001</v>
      </c>
      <c r="P51" s="26">
        <v>0</v>
      </c>
      <c r="Q51" s="35">
        <f t="array" ref="Q51">SUM(IF(($S51&gt;=4)*($C51='TaxCred&amp;Subs'!$D$114:$D$121)*($H51='TaxCred&amp;Subs'!$C$114:$C$121)*($H51&lt;='TaxCred&amp;Subs'!$C$123),'TaxCred&amp;Subs'!$E$114:$E$121,0))</f>
        <v>0</v>
      </c>
      <c r="R51" s="143">
        <v>0</v>
      </c>
      <c r="S51" s="5">
        <v>1</v>
      </c>
      <c r="T51" s="5" t="s">
        <v>219</v>
      </c>
      <c r="V51" s="7" t="str">
        <f t="array" ref="V51">INDEX(xlRTCLNAME,MATCH(1,(xlRTCLENDU=1)*(xlRTCLEQCL=$D51),0))</f>
        <v>NG_FA</v>
      </c>
      <c r="W51" s="7" t="str">
        <f t="array" ref="W51">INDEX(xlRTCLNAME,MATCH(1,(xlRTCLENDU=2)*(xlRTCLEQCL=$F51),0))</f>
        <v>CENT_AIR</v>
      </c>
      <c r="X51" s="7" t="str">
        <f t="array" ref="X51">INDEX(xlRTTYNAME,MATCH(1,(xlRTTYENDU=1)*(xlRTTYEQCL=$D51)*(xlRTEQTYPE=$E51),0))</f>
        <v>NG_FA1</v>
      </c>
      <c r="Y51" s="7" t="str">
        <f t="array" ref="Y51">INDEX(xlRTTYNAME,MATCH(1,(xlRTTYENDU=2)*(xlRTTYEQCL=$F51)*(xlRTEQTYPE=$G51),0))</f>
        <v>CENT_AIR1</v>
      </c>
    </row>
    <row r="52" spans="2:25" x14ac:dyDescent="0.2">
      <c r="B52" s="5">
        <v>1</v>
      </c>
      <c r="C52" s="5">
        <v>1</v>
      </c>
      <c r="D52" s="5">
        <v>4</v>
      </c>
      <c r="E52" s="5">
        <v>10</v>
      </c>
      <c r="F52" s="5">
        <v>2</v>
      </c>
      <c r="G52" s="31">
        <v>4</v>
      </c>
      <c r="H52" s="31">
        <v>2020</v>
      </c>
      <c r="I52" s="96">
        <v>2050</v>
      </c>
      <c r="J52" s="142">
        <v>1.0592999999999999</v>
      </c>
      <c r="K52" s="142">
        <v>1.0889</v>
      </c>
      <c r="L52" s="142">
        <v>0.91249999999999998</v>
      </c>
      <c r="M52" s="142">
        <v>1.0396000000000001</v>
      </c>
      <c r="N52" s="142">
        <v>0.8095</v>
      </c>
      <c r="O52" s="142">
        <v>1.0538000000000001</v>
      </c>
      <c r="P52" s="26">
        <v>0</v>
      </c>
      <c r="Q52" s="35">
        <f t="array" ref="Q52">SUM(IF(($S52&gt;=4)*($C52='TaxCred&amp;Subs'!$D$114:$D$121)*($H52='TaxCred&amp;Subs'!$C$114:$C$121)*($H52&lt;='TaxCred&amp;Subs'!$C$123),'TaxCred&amp;Subs'!$E$114:$E$121,0))</f>
        <v>0</v>
      </c>
      <c r="R52" s="143">
        <v>0</v>
      </c>
      <c r="S52" s="5">
        <v>1</v>
      </c>
      <c r="T52" s="5" t="s">
        <v>219</v>
      </c>
      <c r="V52" s="7" t="str">
        <f t="array" ref="V52">INDEX(xlRTCLNAME,MATCH(1,(xlRTCLENDU=1)*(xlRTCLEQCL=$D52),0))</f>
        <v>NG_RAD</v>
      </c>
      <c r="W52" s="7" t="str">
        <f t="array" ref="W52">INDEX(xlRTCLNAME,MATCH(1,(xlRTCLENDU=2)*(xlRTCLEQCL=$F52),0))</f>
        <v>CENT_AIR</v>
      </c>
      <c r="X52" s="7" t="str">
        <f t="array" ref="X52">INDEX(xlRTTYNAME,MATCH(1,(xlRTTYENDU=1)*(xlRTTYEQCL=$D52)*(xlRTEQTYPE=$E52),0))</f>
        <v>NG_RAD1</v>
      </c>
      <c r="Y52" s="7" t="str">
        <f t="array" ref="Y52">INDEX(xlRTTYNAME,MATCH(1,(xlRTTYENDU=2)*(xlRTTYEQCL=$F52)*(xlRTEQTYPE=$G52),0))</f>
        <v>CENT_AIR1</v>
      </c>
    </row>
    <row r="53" spans="2:25" x14ac:dyDescent="0.2">
      <c r="B53" s="5">
        <v>2</v>
      </c>
      <c r="C53" s="5">
        <v>1</v>
      </c>
      <c r="D53" s="5">
        <v>4</v>
      </c>
      <c r="E53" s="5">
        <v>10</v>
      </c>
      <c r="F53" s="5">
        <v>2</v>
      </c>
      <c r="G53" s="31">
        <v>4</v>
      </c>
      <c r="H53" s="31">
        <v>2020</v>
      </c>
      <c r="I53" s="96">
        <v>2050</v>
      </c>
      <c r="J53" s="142">
        <v>1.0717000000000001</v>
      </c>
      <c r="K53" s="142">
        <v>1.0895999999999999</v>
      </c>
      <c r="L53" s="142">
        <v>0.9929</v>
      </c>
      <c r="M53" s="142">
        <v>0.95550000000000002</v>
      </c>
      <c r="N53" s="142">
        <v>0.92630000000000001</v>
      </c>
      <c r="O53" s="142">
        <v>1.0538000000000001</v>
      </c>
      <c r="P53" s="26">
        <v>0</v>
      </c>
      <c r="Q53" s="35">
        <f t="array" ref="Q53">SUM(IF(($S53&gt;=4)*($C53='TaxCred&amp;Subs'!$D$114:$D$121)*($H53='TaxCred&amp;Subs'!$C$114:$C$121)*($H53&lt;='TaxCred&amp;Subs'!$C$123),'TaxCred&amp;Subs'!$E$114:$E$121,0))</f>
        <v>0</v>
      </c>
      <c r="R53" s="143">
        <v>0</v>
      </c>
      <c r="S53" s="5">
        <v>1</v>
      </c>
      <c r="T53" s="5" t="s">
        <v>219</v>
      </c>
      <c r="V53" s="7" t="str">
        <f t="array" ref="V53">INDEX(xlRTCLNAME,MATCH(1,(xlRTCLENDU=1)*(xlRTCLEQCL=$D53),0))</f>
        <v>NG_RAD</v>
      </c>
      <c r="W53" s="7" t="str">
        <f t="array" ref="W53">INDEX(xlRTCLNAME,MATCH(1,(xlRTCLENDU=2)*(xlRTCLEQCL=$F53),0))</f>
        <v>CENT_AIR</v>
      </c>
      <c r="X53" s="7" t="str">
        <f t="array" ref="X53">INDEX(xlRTTYNAME,MATCH(1,(xlRTTYENDU=1)*(xlRTTYEQCL=$D53)*(xlRTEQTYPE=$E53),0))</f>
        <v>NG_RAD1</v>
      </c>
      <c r="Y53" s="7" t="str">
        <f t="array" ref="Y53">INDEX(xlRTTYNAME,MATCH(1,(xlRTTYENDU=2)*(xlRTTYEQCL=$F53)*(xlRTEQTYPE=$G53),0))</f>
        <v>CENT_AIR1</v>
      </c>
    </row>
    <row r="54" spans="2:25" x14ac:dyDescent="0.2">
      <c r="B54" s="5">
        <v>3</v>
      </c>
      <c r="C54" s="5">
        <v>1</v>
      </c>
      <c r="D54" s="5">
        <v>4</v>
      </c>
      <c r="E54" s="5">
        <v>10</v>
      </c>
      <c r="F54" s="5">
        <v>2</v>
      </c>
      <c r="G54" s="31">
        <v>4</v>
      </c>
      <c r="H54" s="31">
        <v>2020</v>
      </c>
      <c r="I54" s="96">
        <v>2050</v>
      </c>
      <c r="J54" s="142">
        <v>1.0821000000000001</v>
      </c>
      <c r="K54" s="142">
        <v>1.0769</v>
      </c>
      <c r="L54" s="142">
        <v>0.93120000000000003</v>
      </c>
      <c r="M54" s="142">
        <v>0.9627</v>
      </c>
      <c r="N54" s="142">
        <v>0.91400000000000003</v>
      </c>
      <c r="O54" s="142">
        <v>1.0538000000000001</v>
      </c>
      <c r="P54" s="26">
        <v>0</v>
      </c>
      <c r="Q54" s="35">
        <f t="array" ref="Q54">SUM(IF(($S54&gt;=4)*($C54='TaxCred&amp;Subs'!$D$114:$D$121)*($H54='TaxCred&amp;Subs'!$C$114:$C$121)*($H54&lt;='TaxCred&amp;Subs'!$C$123),'TaxCred&amp;Subs'!$E$114:$E$121,0))</f>
        <v>0</v>
      </c>
      <c r="R54" s="143">
        <v>0</v>
      </c>
      <c r="S54" s="5">
        <v>1</v>
      </c>
      <c r="T54" s="5" t="s">
        <v>219</v>
      </c>
      <c r="V54" s="7" t="str">
        <f t="array" ref="V54">INDEX(xlRTCLNAME,MATCH(1,(xlRTCLENDU=1)*(xlRTCLEQCL=$D54),0))</f>
        <v>NG_RAD</v>
      </c>
      <c r="W54" s="7" t="str">
        <f t="array" ref="W54">INDEX(xlRTCLNAME,MATCH(1,(xlRTCLENDU=2)*(xlRTCLEQCL=$F54),0))</f>
        <v>CENT_AIR</v>
      </c>
      <c r="X54" s="7" t="str">
        <f t="array" ref="X54">INDEX(xlRTTYNAME,MATCH(1,(xlRTTYENDU=1)*(xlRTTYEQCL=$D54)*(xlRTEQTYPE=$E54),0))</f>
        <v>NG_RAD1</v>
      </c>
      <c r="Y54" s="7" t="str">
        <f t="array" ref="Y54">INDEX(xlRTTYNAME,MATCH(1,(xlRTTYENDU=2)*(xlRTTYEQCL=$F54)*(xlRTEQTYPE=$G54),0))</f>
        <v>CENT_AIR1</v>
      </c>
    </row>
    <row r="55" spans="2:25" x14ac:dyDescent="0.2">
      <c r="B55" s="5">
        <v>4</v>
      </c>
      <c r="C55" s="5">
        <v>1</v>
      </c>
      <c r="D55" s="5">
        <v>4</v>
      </c>
      <c r="E55" s="5">
        <v>10</v>
      </c>
      <c r="F55" s="5">
        <v>2</v>
      </c>
      <c r="G55" s="31">
        <v>4</v>
      </c>
      <c r="H55" s="31">
        <v>2020</v>
      </c>
      <c r="I55" s="96">
        <v>2050</v>
      </c>
      <c r="J55" s="142">
        <v>1.0812999999999999</v>
      </c>
      <c r="K55" s="142">
        <v>1.0769</v>
      </c>
      <c r="L55" s="142">
        <v>0.87539999999999996</v>
      </c>
      <c r="M55" s="142">
        <v>0.87319999999999998</v>
      </c>
      <c r="N55" s="142">
        <v>0.85660000000000003</v>
      </c>
      <c r="O55" s="142">
        <v>1.0538000000000001</v>
      </c>
      <c r="P55" s="26">
        <v>0</v>
      </c>
      <c r="Q55" s="35">
        <f t="array" ref="Q55">SUM(IF(($S55&gt;=4)*($C55='TaxCred&amp;Subs'!$D$114:$D$121)*($H55='TaxCred&amp;Subs'!$C$114:$C$121)*($H55&lt;='TaxCred&amp;Subs'!$C$123),'TaxCred&amp;Subs'!$E$114:$E$121,0))</f>
        <v>0</v>
      </c>
      <c r="R55" s="143">
        <v>0</v>
      </c>
      <c r="S55" s="5">
        <v>1</v>
      </c>
      <c r="T55" s="5" t="s">
        <v>219</v>
      </c>
      <c r="V55" s="7" t="str">
        <f t="array" ref="V55">INDEX(xlRTCLNAME,MATCH(1,(xlRTCLENDU=1)*(xlRTCLEQCL=$D55),0))</f>
        <v>NG_RAD</v>
      </c>
      <c r="W55" s="7" t="str">
        <f t="array" ref="W55">INDEX(xlRTCLNAME,MATCH(1,(xlRTCLENDU=2)*(xlRTCLEQCL=$F55),0))</f>
        <v>CENT_AIR</v>
      </c>
      <c r="X55" s="7" t="str">
        <f t="array" ref="X55">INDEX(xlRTTYNAME,MATCH(1,(xlRTTYENDU=1)*(xlRTTYEQCL=$D55)*(xlRTEQTYPE=$E55),0))</f>
        <v>NG_RAD1</v>
      </c>
      <c r="Y55" s="7" t="str">
        <f t="array" ref="Y55">INDEX(xlRTTYNAME,MATCH(1,(xlRTTYENDU=2)*(xlRTTYEQCL=$F55)*(xlRTEQTYPE=$G55),0))</f>
        <v>CENT_AIR1</v>
      </c>
    </row>
    <row r="56" spans="2:25" x14ac:dyDescent="0.2">
      <c r="B56" s="5">
        <v>5</v>
      </c>
      <c r="C56" s="5">
        <v>1</v>
      </c>
      <c r="D56" s="5">
        <v>4</v>
      </c>
      <c r="E56" s="5">
        <v>10</v>
      </c>
      <c r="F56" s="5">
        <v>2</v>
      </c>
      <c r="G56" s="31">
        <v>4</v>
      </c>
      <c r="H56" s="31">
        <v>2020</v>
      </c>
      <c r="I56" s="96">
        <v>2050</v>
      </c>
      <c r="J56" s="142">
        <v>1.0838000000000001</v>
      </c>
      <c r="K56" s="142">
        <v>1.0465</v>
      </c>
      <c r="L56" s="142">
        <v>0.89700000000000002</v>
      </c>
      <c r="M56" s="142">
        <v>1.0934999999999999</v>
      </c>
      <c r="N56" s="142">
        <v>0.75670000000000004</v>
      </c>
      <c r="O56" s="142">
        <v>1.0538000000000001</v>
      </c>
      <c r="P56" s="26">
        <v>0</v>
      </c>
      <c r="Q56" s="35">
        <f t="array" ref="Q56">SUM(IF(($S56&gt;=4)*($C56='TaxCred&amp;Subs'!$D$114:$D$121)*($H56='TaxCred&amp;Subs'!$C$114:$C$121)*($H56&lt;='TaxCred&amp;Subs'!$C$123),'TaxCred&amp;Subs'!$E$114:$E$121,0))</f>
        <v>0</v>
      </c>
      <c r="R56" s="143">
        <v>0</v>
      </c>
      <c r="S56" s="5">
        <v>1</v>
      </c>
      <c r="T56" s="5" t="s">
        <v>219</v>
      </c>
      <c r="V56" s="7" t="str">
        <f t="array" ref="V56">INDEX(xlRTCLNAME,MATCH(1,(xlRTCLENDU=1)*(xlRTCLEQCL=$D56),0))</f>
        <v>NG_RAD</v>
      </c>
      <c r="W56" s="7" t="str">
        <f t="array" ref="W56">INDEX(xlRTCLNAME,MATCH(1,(xlRTCLENDU=2)*(xlRTCLEQCL=$F56),0))</f>
        <v>CENT_AIR</v>
      </c>
      <c r="X56" s="7" t="str">
        <f t="array" ref="X56">INDEX(xlRTTYNAME,MATCH(1,(xlRTTYENDU=1)*(xlRTTYEQCL=$D56)*(xlRTEQTYPE=$E56),0))</f>
        <v>NG_RAD1</v>
      </c>
      <c r="Y56" s="7" t="str">
        <f t="array" ref="Y56">INDEX(xlRTTYNAME,MATCH(1,(xlRTTYENDU=2)*(xlRTTYEQCL=$F56)*(xlRTEQTYPE=$G56),0))</f>
        <v>CENT_AIR1</v>
      </c>
    </row>
    <row r="57" spans="2:25" x14ac:dyDescent="0.2">
      <c r="B57" s="5">
        <v>6</v>
      </c>
      <c r="C57" s="5">
        <v>1</v>
      </c>
      <c r="D57" s="5">
        <v>4</v>
      </c>
      <c r="E57" s="5">
        <v>10</v>
      </c>
      <c r="F57" s="5">
        <v>2</v>
      </c>
      <c r="G57" s="31">
        <v>4</v>
      </c>
      <c r="H57" s="31">
        <v>2020</v>
      </c>
      <c r="I57" s="96">
        <v>2050</v>
      </c>
      <c r="J57" s="142">
        <v>1.089</v>
      </c>
      <c r="K57" s="142">
        <v>1.0583</v>
      </c>
      <c r="L57" s="142">
        <v>1.0245</v>
      </c>
      <c r="M57" s="142">
        <v>1.1335999999999999</v>
      </c>
      <c r="N57" s="142">
        <v>0.88849999999999996</v>
      </c>
      <c r="O57" s="142">
        <v>1.0538000000000001</v>
      </c>
      <c r="P57" s="26">
        <v>0</v>
      </c>
      <c r="Q57" s="35">
        <f t="array" ref="Q57">SUM(IF(($S57&gt;=4)*($C57='TaxCred&amp;Subs'!$D$114:$D$121)*($H57='TaxCred&amp;Subs'!$C$114:$C$121)*($H57&lt;='TaxCred&amp;Subs'!$C$123),'TaxCred&amp;Subs'!$E$114:$E$121,0))</f>
        <v>0</v>
      </c>
      <c r="R57" s="143">
        <v>0</v>
      </c>
      <c r="S57" s="5">
        <v>1</v>
      </c>
      <c r="T57" s="5" t="s">
        <v>219</v>
      </c>
      <c r="V57" s="7" t="str">
        <f t="array" ref="V57">INDEX(xlRTCLNAME,MATCH(1,(xlRTCLENDU=1)*(xlRTCLEQCL=$D57),0))</f>
        <v>NG_RAD</v>
      </c>
      <c r="W57" s="7" t="str">
        <f t="array" ref="W57">INDEX(xlRTCLNAME,MATCH(1,(xlRTCLENDU=2)*(xlRTCLEQCL=$F57),0))</f>
        <v>CENT_AIR</v>
      </c>
      <c r="X57" s="7" t="str">
        <f t="array" ref="X57">INDEX(xlRTTYNAME,MATCH(1,(xlRTTYENDU=1)*(xlRTTYEQCL=$D57)*(xlRTEQTYPE=$E57),0))</f>
        <v>NG_RAD1</v>
      </c>
      <c r="Y57" s="7" t="str">
        <f t="array" ref="Y57">INDEX(xlRTTYNAME,MATCH(1,(xlRTTYENDU=2)*(xlRTTYEQCL=$F57)*(xlRTEQTYPE=$G57),0))</f>
        <v>CENT_AIR1</v>
      </c>
    </row>
    <row r="58" spans="2:25" x14ac:dyDescent="0.2">
      <c r="B58" s="5">
        <v>7</v>
      </c>
      <c r="C58" s="5">
        <v>1</v>
      </c>
      <c r="D58" s="5">
        <v>4</v>
      </c>
      <c r="E58" s="5">
        <v>10</v>
      </c>
      <c r="F58" s="5">
        <v>2</v>
      </c>
      <c r="G58" s="31">
        <v>4</v>
      </c>
      <c r="H58" s="31">
        <v>2020</v>
      </c>
      <c r="I58" s="96">
        <v>2050</v>
      </c>
      <c r="J58" s="142">
        <v>1.0867</v>
      </c>
      <c r="K58" s="142">
        <v>1.0682</v>
      </c>
      <c r="L58" s="142">
        <v>1.046</v>
      </c>
      <c r="M58" s="142">
        <v>1.0382</v>
      </c>
      <c r="N58" s="142">
        <v>0.87180000000000002</v>
      </c>
      <c r="O58" s="142">
        <v>1.0538000000000001</v>
      </c>
      <c r="P58" s="26">
        <v>0</v>
      </c>
      <c r="Q58" s="35">
        <f t="array" ref="Q58">SUM(IF(($S58&gt;=4)*($C58='TaxCred&amp;Subs'!$D$114:$D$121)*($H58='TaxCred&amp;Subs'!$C$114:$C$121)*($H58&lt;='TaxCred&amp;Subs'!$C$123),'TaxCred&amp;Subs'!$E$114:$E$121,0))</f>
        <v>0</v>
      </c>
      <c r="R58" s="143">
        <v>0</v>
      </c>
      <c r="S58" s="5">
        <v>1</v>
      </c>
      <c r="T58" s="5" t="s">
        <v>219</v>
      </c>
      <c r="V58" s="7" t="str">
        <f t="array" ref="V58">INDEX(xlRTCLNAME,MATCH(1,(xlRTCLENDU=1)*(xlRTCLEQCL=$D58),0))</f>
        <v>NG_RAD</v>
      </c>
      <c r="W58" s="7" t="str">
        <f t="array" ref="W58">INDEX(xlRTCLNAME,MATCH(1,(xlRTCLENDU=2)*(xlRTCLEQCL=$F58),0))</f>
        <v>CENT_AIR</v>
      </c>
      <c r="X58" s="7" t="str">
        <f t="array" ref="X58">INDEX(xlRTTYNAME,MATCH(1,(xlRTTYENDU=1)*(xlRTTYEQCL=$D58)*(xlRTEQTYPE=$E58),0))</f>
        <v>NG_RAD1</v>
      </c>
      <c r="Y58" s="7" t="str">
        <f t="array" ref="Y58">INDEX(xlRTTYNAME,MATCH(1,(xlRTTYENDU=2)*(xlRTTYEQCL=$F58)*(xlRTEQTYPE=$G58),0))</f>
        <v>CENT_AIR1</v>
      </c>
    </row>
    <row r="59" spans="2:25" x14ac:dyDescent="0.2">
      <c r="B59" s="5">
        <v>8</v>
      </c>
      <c r="C59" s="5">
        <v>1</v>
      </c>
      <c r="D59" s="5">
        <v>4</v>
      </c>
      <c r="E59" s="5">
        <v>10</v>
      </c>
      <c r="F59" s="5">
        <v>2</v>
      </c>
      <c r="G59" s="31">
        <v>4</v>
      </c>
      <c r="H59" s="31">
        <v>2020</v>
      </c>
      <c r="I59" s="96">
        <v>2050</v>
      </c>
      <c r="J59" s="142">
        <v>1.0820000000000001</v>
      </c>
      <c r="K59" s="142">
        <v>1.0832999999999999</v>
      </c>
      <c r="L59" s="142">
        <v>0.96730000000000005</v>
      </c>
      <c r="M59" s="142">
        <v>1.0076000000000001</v>
      </c>
      <c r="N59" s="142">
        <v>0.86439999999999995</v>
      </c>
      <c r="O59" s="142">
        <v>1.0538000000000001</v>
      </c>
      <c r="P59" s="26">
        <v>0</v>
      </c>
      <c r="Q59" s="35">
        <f t="array" ref="Q59">SUM(IF(($S59&gt;=4)*($C59='TaxCred&amp;Subs'!$D$114:$D$121)*($H59='TaxCred&amp;Subs'!$C$114:$C$121)*($H59&lt;='TaxCred&amp;Subs'!$C$123),'TaxCred&amp;Subs'!$E$114:$E$121,0))</f>
        <v>0</v>
      </c>
      <c r="R59" s="143">
        <v>0</v>
      </c>
      <c r="S59" s="5">
        <v>1</v>
      </c>
      <c r="T59" s="5" t="s">
        <v>219</v>
      </c>
      <c r="V59" s="7" t="str">
        <f t="array" ref="V59">INDEX(xlRTCLNAME,MATCH(1,(xlRTCLENDU=1)*(xlRTCLEQCL=$D59),0))</f>
        <v>NG_RAD</v>
      </c>
      <c r="W59" s="7" t="str">
        <f t="array" ref="W59">INDEX(xlRTCLNAME,MATCH(1,(xlRTCLENDU=2)*(xlRTCLEQCL=$F59),0))</f>
        <v>CENT_AIR</v>
      </c>
      <c r="X59" s="7" t="str">
        <f t="array" ref="X59">INDEX(xlRTTYNAME,MATCH(1,(xlRTTYENDU=1)*(xlRTTYEQCL=$D59)*(xlRTEQTYPE=$E59),0))</f>
        <v>NG_RAD1</v>
      </c>
      <c r="Y59" s="7" t="str">
        <f t="array" ref="Y59">INDEX(xlRTTYNAME,MATCH(1,(xlRTTYENDU=2)*(xlRTTYEQCL=$F59)*(xlRTEQTYPE=$G59),0))</f>
        <v>CENT_AIR1</v>
      </c>
    </row>
    <row r="60" spans="2:25" x14ac:dyDescent="0.2">
      <c r="B60" s="5">
        <v>9</v>
      </c>
      <c r="C60" s="5">
        <v>1</v>
      </c>
      <c r="D60" s="5">
        <v>4</v>
      </c>
      <c r="E60" s="5">
        <v>10</v>
      </c>
      <c r="F60" s="5">
        <v>2</v>
      </c>
      <c r="G60" s="31">
        <v>4</v>
      </c>
      <c r="H60" s="31">
        <v>2020</v>
      </c>
      <c r="I60" s="96">
        <v>2050</v>
      </c>
      <c r="J60" s="142">
        <v>1.0414000000000001</v>
      </c>
      <c r="K60" s="142">
        <v>1.07</v>
      </c>
      <c r="L60" s="142">
        <v>1.1088</v>
      </c>
      <c r="M60" s="142">
        <v>1.1204000000000001</v>
      </c>
      <c r="N60" s="142">
        <v>1.026</v>
      </c>
      <c r="O60" s="142">
        <v>1.0538000000000001</v>
      </c>
      <c r="P60" s="26">
        <v>0</v>
      </c>
      <c r="Q60" s="35">
        <f t="array" ref="Q60">SUM(IF(($S60&gt;=4)*($C60='TaxCred&amp;Subs'!$D$114:$D$121)*($H60='TaxCred&amp;Subs'!$C$114:$C$121)*($H60&lt;='TaxCred&amp;Subs'!$C$123),'TaxCred&amp;Subs'!$E$114:$E$121,0))</f>
        <v>0</v>
      </c>
      <c r="R60" s="143">
        <v>0</v>
      </c>
      <c r="S60" s="5">
        <v>1</v>
      </c>
      <c r="T60" s="5" t="s">
        <v>219</v>
      </c>
      <c r="V60" s="7" t="str">
        <f t="array" ref="V60">INDEX(xlRTCLNAME,MATCH(1,(xlRTCLENDU=1)*(xlRTCLEQCL=$D60),0))</f>
        <v>NG_RAD</v>
      </c>
      <c r="W60" s="7" t="str">
        <f t="array" ref="W60">INDEX(xlRTCLNAME,MATCH(1,(xlRTCLENDU=2)*(xlRTCLEQCL=$F60),0))</f>
        <v>CENT_AIR</v>
      </c>
      <c r="X60" s="7" t="str">
        <f t="array" ref="X60">INDEX(xlRTTYNAME,MATCH(1,(xlRTTYENDU=1)*(xlRTTYEQCL=$D60)*(xlRTEQTYPE=$E60),0))</f>
        <v>NG_RAD1</v>
      </c>
      <c r="Y60" s="7" t="str">
        <f t="array" ref="Y60">INDEX(xlRTTYNAME,MATCH(1,(xlRTTYENDU=2)*(xlRTTYEQCL=$F60)*(xlRTEQTYPE=$G60),0))</f>
        <v>CENT_AIR1</v>
      </c>
    </row>
    <row r="61" spans="2:25" x14ac:dyDescent="0.2">
      <c r="B61" s="29">
        <v>1</v>
      </c>
      <c r="C61" s="29">
        <v>1</v>
      </c>
      <c r="D61" s="29">
        <v>5</v>
      </c>
      <c r="E61" s="29">
        <v>14</v>
      </c>
      <c r="F61" s="29">
        <v>2</v>
      </c>
      <c r="G61" s="32">
        <v>4</v>
      </c>
      <c r="H61" s="32">
        <v>2020</v>
      </c>
      <c r="I61" s="96">
        <v>2050</v>
      </c>
      <c r="J61" s="144">
        <v>1.0309999999999999</v>
      </c>
      <c r="K61" s="144">
        <v>1.0667</v>
      </c>
      <c r="L61" s="144">
        <v>0.88929999999999998</v>
      </c>
      <c r="M61" s="144">
        <v>1.0285</v>
      </c>
      <c r="N61" s="144">
        <v>0.79790000000000005</v>
      </c>
      <c r="O61" s="144">
        <v>1.0538000000000001</v>
      </c>
      <c r="P61" s="143">
        <v>0</v>
      </c>
      <c r="Q61" s="35">
        <f t="array" ref="Q61">SUM(IF(($S61&gt;=4)*($C61='TaxCred&amp;Subs'!$D$114:$D$121)*($H61='TaxCred&amp;Subs'!$C$114:$C$121)*($H61&lt;='TaxCred&amp;Subs'!$C$123),'TaxCred&amp;Subs'!$E$114:$E$121,0))</f>
        <v>0</v>
      </c>
      <c r="R61" s="143">
        <v>0</v>
      </c>
      <c r="S61" s="29">
        <v>1</v>
      </c>
      <c r="T61" s="29" t="s">
        <v>219</v>
      </c>
      <c r="U61" s="30" t="s">
        <v>227</v>
      </c>
      <c r="V61" s="7" t="str">
        <f t="array" ref="V61">INDEX(xlRTCLNAME,MATCH(1,(xlRTCLENDU=1)*(xlRTCLEQCL=$D61),0))</f>
        <v>KERO_FA</v>
      </c>
      <c r="W61" s="7" t="str">
        <f t="array" ref="W61">INDEX(xlRTCLNAME,MATCH(1,(xlRTCLENDU=2)*(xlRTCLEQCL=$F61),0))</f>
        <v>CENT_AIR</v>
      </c>
      <c r="X61" s="7" t="str">
        <f t="array" ref="X61">INDEX(xlRTTYNAME,MATCH(1,(xlRTTYENDU=1)*(xlRTTYEQCL=$D61)*(xlRTEQTYPE=$E61),0))</f>
        <v>KERO_FA1</v>
      </c>
      <c r="Y61" s="7" t="str">
        <f t="array" ref="Y61">INDEX(xlRTTYNAME,MATCH(1,(xlRTTYENDU=2)*(xlRTTYEQCL=$F61)*(xlRTEQTYPE=$G61),0))</f>
        <v>CENT_AIR1</v>
      </c>
    </row>
    <row r="62" spans="2:25" x14ac:dyDescent="0.2">
      <c r="B62" s="29">
        <v>2</v>
      </c>
      <c r="C62" s="29">
        <v>1</v>
      </c>
      <c r="D62" s="29">
        <v>5</v>
      </c>
      <c r="E62" s="29">
        <v>14</v>
      </c>
      <c r="F62" s="29">
        <v>2</v>
      </c>
      <c r="G62" s="32">
        <v>4</v>
      </c>
      <c r="H62" s="32">
        <v>2020</v>
      </c>
      <c r="I62" s="96">
        <v>2050</v>
      </c>
      <c r="J62" s="144">
        <v>1.0772999999999999</v>
      </c>
      <c r="K62" s="144">
        <v>1.0758000000000001</v>
      </c>
      <c r="L62" s="144">
        <v>1.0037</v>
      </c>
      <c r="M62" s="144">
        <v>0.95550000000000002</v>
      </c>
      <c r="N62" s="144">
        <v>0.93169999999999997</v>
      </c>
      <c r="O62" s="144">
        <v>1.0538000000000001</v>
      </c>
      <c r="P62" s="143">
        <v>0</v>
      </c>
      <c r="Q62" s="35">
        <f t="array" ref="Q62">SUM(IF(($S62&gt;=4)*($C62='TaxCred&amp;Subs'!$D$114:$D$121)*($H62='TaxCred&amp;Subs'!$C$114:$C$121)*($H62&lt;='TaxCred&amp;Subs'!$C$123),'TaxCred&amp;Subs'!$E$114:$E$121,0))</f>
        <v>0</v>
      </c>
      <c r="R62" s="143">
        <v>0</v>
      </c>
      <c r="S62" s="29">
        <v>1</v>
      </c>
      <c r="T62" s="29" t="s">
        <v>219</v>
      </c>
      <c r="U62" s="30" t="s">
        <v>227</v>
      </c>
      <c r="V62" s="7" t="str">
        <f t="array" ref="V62">INDEX(xlRTCLNAME,MATCH(1,(xlRTCLENDU=1)*(xlRTCLEQCL=$D62),0))</f>
        <v>KERO_FA</v>
      </c>
      <c r="W62" s="7" t="str">
        <f t="array" ref="W62">INDEX(xlRTCLNAME,MATCH(1,(xlRTCLENDU=2)*(xlRTCLEQCL=$F62),0))</f>
        <v>CENT_AIR</v>
      </c>
      <c r="X62" s="7" t="str">
        <f t="array" ref="X62">INDEX(xlRTTYNAME,MATCH(1,(xlRTTYENDU=1)*(xlRTTYEQCL=$D62)*(xlRTEQTYPE=$E62),0))</f>
        <v>KERO_FA1</v>
      </c>
      <c r="Y62" s="7" t="str">
        <f t="array" ref="Y62">INDEX(xlRTTYNAME,MATCH(1,(xlRTTYENDU=2)*(xlRTTYEQCL=$F62)*(xlRTEQTYPE=$G62),0))</f>
        <v>CENT_AIR1</v>
      </c>
    </row>
    <row r="63" spans="2:25" x14ac:dyDescent="0.2">
      <c r="B63" s="29">
        <v>3</v>
      </c>
      <c r="C63" s="29">
        <v>1</v>
      </c>
      <c r="D63" s="29">
        <v>5</v>
      </c>
      <c r="E63" s="29">
        <v>14</v>
      </c>
      <c r="F63" s="29">
        <v>2</v>
      </c>
      <c r="G63" s="32">
        <v>4</v>
      </c>
      <c r="H63" s="32">
        <v>2020</v>
      </c>
      <c r="I63" s="96">
        <v>2050</v>
      </c>
      <c r="J63" s="144">
        <v>1.0842000000000001</v>
      </c>
      <c r="K63" s="144">
        <v>1.0577000000000001</v>
      </c>
      <c r="L63" s="144">
        <v>0.92769999999999997</v>
      </c>
      <c r="M63" s="144">
        <v>0.9627</v>
      </c>
      <c r="N63" s="144">
        <v>0.91220000000000001</v>
      </c>
      <c r="O63" s="144">
        <v>1.0538000000000001</v>
      </c>
      <c r="P63" s="143">
        <v>0</v>
      </c>
      <c r="Q63" s="35">
        <f t="array" ref="Q63">SUM(IF(($S63&gt;=4)*($C63='TaxCred&amp;Subs'!$D$114:$D$121)*($H63='TaxCred&amp;Subs'!$C$114:$C$121)*($H63&lt;='TaxCred&amp;Subs'!$C$123),'TaxCred&amp;Subs'!$E$114:$E$121,0))</f>
        <v>0</v>
      </c>
      <c r="R63" s="143">
        <v>0</v>
      </c>
      <c r="S63" s="29">
        <v>1</v>
      </c>
      <c r="T63" s="29" t="s">
        <v>219</v>
      </c>
      <c r="U63" s="30" t="s">
        <v>227</v>
      </c>
      <c r="V63" s="7" t="str">
        <f t="array" ref="V63">INDEX(xlRTCLNAME,MATCH(1,(xlRTCLENDU=1)*(xlRTCLEQCL=$D63),0))</f>
        <v>KERO_FA</v>
      </c>
      <c r="W63" s="7" t="str">
        <f t="array" ref="W63">INDEX(xlRTCLNAME,MATCH(1,(xlRTCLENDU=2)*(xlRTCLEQCL=$F63),0))</f>
        <v>CENT_AIR</v>
      </c>
      <c r="X63" s="7" t="str">
        <f t="array" ref="X63">INDEX(xlRTTYNAME,MATCH(1,(xlRTTYENDU=1)*(xlRTTYEQCL=$D63)*(xlRTEQTYPE=$E63),0))</f>
        <v>KERO_FA1</v>
      </c>
      <c r="Y63" s="7" t="str">
        <f t="array" ref="Y63">INDEX(xlRTTYNAME,MATCH(1,(xlRTTYENDU=2)*(xlRTTYEQCL=$F63)*(xlRTEQTYPE=$G63),0))</f>
        <v>CENT_AIR1</v>
      </c>
    </row>
    <row r="64" spans="2:25" x14ac:dyDescent="0.2">
      <c r="B64" s="29">
        <v>4</v>
      </c>
      <c r="C64" s="29">
        <v>1</v>
      </c>
      <c r="D64" s="29">
        <v>5</v>
      </c>
      <c r="E64" s="29">
        <v>14</v>
      </c>
      <c r="F64" s="29">
        <v>2</v>
      </c>
      <c r="G64" s="32">
        <v>4</v>
      </c>
      <c r="H64" s="32">
        <v>2020</v>
      </c>
      <c r="I64" s="96">
        <v>2050</v>
      </c>
      <c r="J64" s="144">
        <v>1.0342</v>
      </c>
      <c r="K64" s="144">
        <v>1.0769</v>
      </c>
      <c r="L64" s="144">
        <v>0.87739999999999996</v>
      </c>
      <c r="M64" s="144">
        <v>0.87319999999999998</v>
      </c>
      <c r="N64" s="144">
        <v>0.85760000000000003</v>
      </c>
      <c r="O64" s="144">
        <v>1.0538000000000001</v>
      </c>
      <c r="P64" s="143">
        <v>0</v>
      </c>
      <c r="Q64" s="35">
        <f t="array" ref="Q64">SUM(IF(($S64&gt;=4)*($C64='TaxCred&amp;Subs'!$D$114:$D$121)*($H64='TaxCred&amp;Subs'!$C$114:$C$121)*($H64&lt;='TaxCred&amp;Subs'!$C$123),'TaxCred&amp;Subs'!$E$114:$E$121,0))</f>
        <v>0</v>
      </c>
      <c r="R64" s="143">
        <v>0</v>
      </c>
      <c r="S64" s="29">
        <v>1</v>
      </c>
      <c r="T64" s="29" t="s">
        <v>219</v>
      </c>
      <c r="U64" s="30" t="s">
        <v>227</v>
      </c>
      <c r="V64" s="7" t="str">
        <f t="array" ref="V64">INDEX(xlRTCLNAME,MATCH(1,(xlRTCLENDU=1)*(xlRTCLEQCL=$D64),0))</f>
        <v>KERO_FA</v>
      </c>
      <c r="W64" s="7" t="str">
        <f t="array" ref="W64">INDEX(xlRTCLNAME,MATCH(1,(xlRTCLENDU=2)*(xlRTCLEQCL=$F64),0))</f>
        <v>CENT_AIR</v>
      </c>
      <c r="X64" s="7" t="str">
        <f t="array" ref="X64">INDEX(xlRTTYNAME,MATCH(1,(xlRTTYENDU=1)*(xlRTTYEQCL=$D64)*(xlRTEQTYPE=$E64),0))</f>
        <v>KERO_FA1</v>
      </c>
      <c r="Y64" s="7" t="str">
        <f t="array" ref="Y64">INDEX(xlRTTYNAME,MATCH(1,(xlRTTYENDU=2)*(xlRTTYEQCL=$F64)*(xlRTEQTYPE=$G64),0))</f>
        <v>CENT_AIR1</v>
      </c>
    </row>
    <row r="65" spans="2:25" x14ac:dyDescent="0.2">
      <c r="B65" s="29">
        <v>5</v>
      </c>
      <c r="C65" s="29">
        <v>1</v>
      </c>
      <c r="D65" s="29">
        <v>5</v>
      </c>
      <c r="E65" s="29">
        <v>14</v>
      </c>
      <c r="F65" s="29">
        <v>2</v>
      </c>
      <c r="G65" s="32">
        <v>4</v>
      </c>
      <c r="H65" s="32">
        <v>2020</v>
      </c>
      <c r="I65" s="96">
        <v>2050</v>
      </c>
      <c r="J65" s="144">
        <v>1.0847</v>
      </c>
      <c r="K65" s="144">
        <v>1.056</v>
      </c>
      <c r="L65" s="144">
        <v>0.90920000000000001</v>
      </c>
      <c r="M65" s="144">
        <v>1.0934999999999999</v>
      </c>
      <c r="N65" s="144">
        <v>0.76280000000000003</v>
      </c>
      <c r="O65" s="144">
        <v>1.0538000000000001</v>
      </c>
      <c r="P65" s="143">
        <v>0</v>
      </c>
      <c r="Q65" s="35">
        <f t="array" ref="Q65">SUM(IF(($S65&gt;=4)*($C65='TaxCred&amp;Subs'!$D$114:$D$121)*($H65='TaxCred&amp;Subs'!$C$114:$C$121)*($H65&lt;='TaxCred&amp;Subs'!$C$123),'TaxCred&amp;Subs'!$E$114:$E$121,0))</f>
        <v>0</v>
      </c>
      <c r="R65" s="143">
        <v>0</v>
      </c>
      <c r="S65" s="29">
        <v>1</v>
      </c>
      <c r="T65" s="29" t="s">
        <v>219</v>
      </c>
      <c r="U65" s="30" t="s">
        <v>227</v>
      </c>
      <c r="V65" s="7" t="str">
        <f t="array" ref="V65">INDEX(xlRTCLNAME,MATCH(1,(xlRTCLENDU=1)*(xlRTCLEQCL=$D65),0))</f>
        <v>KERO_FA</v>
      </c>
      <c r="W65" s="7" t="str">
        <f t="array" ref="W65">INDEX(xlRTCLNAME,MATCH(1,(xlRTCLENDU=2)*(xlRTCLEQCL=$F65),0))</f>
        <v>CENT_AIR</v>
      </c>
      <c r="X65" s="7" t="str">
        <f t="array" ref="X65">INDEX(xlRTTYNAME,MATCH(1,(xlRTTYENDU=1)*(xlRTTYEQCL=$D65)*(xlRTEQTYPE=$E65),0))</f>
        <v>KERO_FA1</v>
      </c>
      <c r="Y65" s="7" t="str">
        <f t="array" ref="Y65">INDEX(xlRTTYNAME,MATCH(1,(xlRTTYENDU=2)*(xlRTTYEQCL=$F65)*(xlRTEQTYPE=$G65),0))</f>
        <v>CENT_AIR1</v>
      </c>
    </row>
    <row r="66" spans="2:25" x14ac:dyDescent="0.2">
      <c r="B66" s="29">
        <v>6</v>
      </c>
      <c r="C66" s="29">
        <v>1</v>
      </c>
      <c r="D66" s="29">
        <v>5</v>
      </c>
      <c r="E66" s="29">
        <v>14</v>
      </c>
      <c r="F66" s="29">
        <v>2</v>
      </c>
      <c r="G66" s="32">
        <v>4</v>
      </c>
      <c r="H66" s="32">
        <v>2020</v>
      </c>
      <c r="I66" s="96">
        <v>2050</v>
      </c>
      <c r="J66" s="144">
        <v>1.0907</v>
      </c>
      <c r="K66" s="144">
        <v>1.0603</v>
      </c>
      <c r="L66" s="144">
        <v>1.0303</v>
      </c>
      <c r="M66" s="144">
        <v>1.1335999999999999</v>
      </c>
      <c r="N66" s="144">
        <v>0.89139999999999997</v>
      </c>
      <c r="O66" s="144">
        <v>1.0538000000000001</v>
      </c>
      <c r="P66" s="143">
        <v>0</v>
      </c>
      <c r="Q66" s="35">
        <f t="array" ref="Q66">SUM(IF(($S66&gt;=4)*($C66='TaxCred&amp;Subs'!$D$114:$D$121)*($H66='TaxCred&amp;Subs'!$C$114:$C$121)*($H66&lt;='TaxCred&amp;Subs'!$C$123),'TaxCred&amp;Subs'!$E$114:$E$121,0))</f>
        <v>0</v>
      </c>
      <c r="R66" s="143">
        <v>0</v>
      </c>
      <c r="S66" s="29">
        <v>1</v>
      </c>
      <c r="T66" s="29" t="s">
        <v>219</v>
      </c>
      <c r="U66" s="30" t="s">
        <v>227</v>
      </c>
      <c r="V66" s="7" t="str">
        <f t="array" ref="V66">INDEX(xlRTCLNAME,MATCH(1,(xlRTCLENDU=1)*(xlRTCLEQCL=$D66),0))</f>
        <v>KERO_FA</v>
      </c>
      <c r="W66" s="7" t="str">
        <f t="array" ref="W66">INDEX(xlRTCLNAME,MATCH(1,(xlRTCLENDU=2)*(xlRTCLEQCL=$F66),0))</f>
        <v>CENT_AIR</v>
      </c>
      <c r="X66" s="7" t="str">
        <f t="array" ref="X66">INDEX(xlRTTYNAME,MATCH(1,(xlRTTYENDU=1)*(xlRTTYEQCL=$D66)*(xlRTEQTYPE=$E66),0))</f>
        <v>KERO_FA1</v>
      </c>
      <c r="Y66" s="7" t="str">
        <f t="array" ref="Y66">INDEX(xlRTTYNAME,MATCH(1,(xlRTTYENDU=2)*(xlRTTYEQCL=$F66)*(xlRTEQTYPE=$G66),0))</f>
        <v>CENT_AIR1</v>
      </c>
    </row>
    <row r="67" spans="2:25" x14ac:dyDescent="0.2">
      <c r="B67" s="29">
        <v>7</v>
      </c>
      <c r="C67" s="29">
        <v>1</v>
      </c>
      <c r="D67" s="29">
        <v>5</v>
      </c>
      <c r="E67" s="29">
        <v>14</v>
      </c>
      <c r="F67" s="29">
        <v>2</v>
      </c>
      <c r="G67" s="32">
        <v>4</v>
      </c>
      <c r="H67" s="32">
        <v>2020</v>
      </c>
      <c r="I67" s="96">
        <v>2050</v>
      </c>
      <c r="J67" s="144">
        <v>1.0885</v>
      </c>
      <c r="K67" s="144">
        <v>1.0575000000000001</v>
      </c>
      <c r="L67" s="144">
        <v>1.0466</v>
      </c>
      <c r="M67" s="144">
        <v>1.0382</v>
      </c>
      <c r="N67" s="144">
        <v>0.872</v>
      </c>
      <c r="O67" s="144">
        <v>1.0538000000000001</v>
      </c>
      <c r="P67" s="143">
        <v>0</v>
      </c>
      <c r="Q67" s="35">
        <f t="array" ref="Q67">SUM(IF(($S67&gt;=4)*($C67='TaxCred&amp;Subs'!$D$114:$D$121)*($H67='TaxCred&amp;Subs'!$C$114:$C$121)*($H67&lt;='TaxCred&amp;Subs'!$C$123),'TaxCred&amp;Subs'!$E$114:$E$121,0))</f>
        <v>0</v>
      </c>
      <c r="R67" s="143">
        <v>0</v>
      </c>
      <c r="S67" s="29">
        <v>1</v>
      </c>
      <c r="T67" s="29" t="s">
        <v>219</v>
      </c>
      <c r="U67" s="30" t="s">
        <v>227</v>
      </c>
      <c r="V67" s="7" t="str">
        <f t="array" ref="V67">INDEX(xlRTCLNAME,MATCH(1,(xlRTCLENDU=1)*(xlRTCLEQCL=$D67),0))</f>
        <v>KERO_FA</v>
      </c>
      <c r="W67" s="7" t="str">
        <f t="array" ref="W67">INDEX(xlRTCLNAME,MATCH(1,(xlRTCLENDU=2)*(xlRTCLEQCL=$F67),0))</f>
        <v>CENT_AIR</v>
      </c>
      <c r="X67" s="7" t="str">
        <f t="array" ref="X67">INDEX(xlRTTYNAME,MATCH(1,(xlRTTYENDU=1)*(xlRTTYEQCL=$D67)*(xlRTEQTYPE=$E67),0))</f>
        <v>KERO_FA1</v>
      </c>
      <c r="Y67" s="7" t="str">
        <f t="array" ref="Y67">INDEX(xlRTTYNAME,MATCH(1,(xlRTTYENDU=2)*(xlRTTYEQCL=$F67)*(xlRTEQTYPE=$G67),0))</f>
        <v>CENT_AIR1</v>
      </c>
    </row>
    <row r="68" spans="2:25" x14ac:dyDescent="0.2">
      <c r="B68" s="29">
        <v>8</v>
      </c>
      <c r="C68" s="29">
        <v>1</v>
      </c>
      <c r="D68" s="29">
        <v>5</v>
      </c>
      <c r="E68" s="29">
        <v>14</v>
      </c>
      <c r="F68" s="29">
        <v>2</v>
      </c>
      <c r="G68" s="32">
        <v>4</v>
      </c>
      <c r="H68" s="32">
        <v>2020</v>
      </c>
      <c r="I68" s="96">
        <v>2050</v>
      </c>
      <c r="J68" s="144">
        <v>1.0838000000000001</v>
      </c>
      <c r="K68" s="144">
        <v>1.0832999999999999</v>
      </c>
      <c r="L68" s="144">
        <v>0.97750000000000004</v>
      </c>
      <c r="M68" s="144">
        <v>1.0076000000000001</v>
      </c>
      <c r="N68" s="144">
        <v>0.86950000000000005</v>
      </c>
      <c r="O68" s="144">
        <v>1.0538000000000001</v>
      </c>
      <c r="P68" s="143">
        <v>0</v>
      </c>
      <c r="Q68" s="35">
        <f t="array" ref="Q68">SUM(IF(($S68&gt;=4)*($C68='TaxCred&amp;Subs'!$D$114:$D$121)*($H68='TaxCred&amp;Subs'!$C$114:$C$121)*($H68&lt;='TaxCred&amp;Subs'!$C$123),'TaxCred&amp;Subs'!$E$114:$E$121,0))</f>
        <v>0</v>
      </c>
      <c r="R68" s="143">
        <v>0</v>
      </c>
      <c r="S68" s="29">
        <v>1</v>
      </c>
      <c r="T68" s="29" t="s">
        <v>219</v>
      </c>
      <c r="U68" s="30" t="s">
        <v>227</v>
      </c>
      <c r="V68" s="7" t="str">
        <f t="array" ref="V68">INDEX(xlRTCLNAME,MATCH(1,(xlRTCLENDU=1)*(xlRTCLEQCL=$D68),0))</f>
        <v>KERO_FA</v>
      </c>
      <c r="W68" s="7" t="str">
        <f t="array" ref="W68">INDEX(xlRTCLNAME,MATCH(1,(xlRTCLENDU=2)*(xlRTCLEQCL=$F68),0))</f>
        <v>CENT_AIR</v>
      </c>
      <c r="X68" s="7" t="str">
        <f t="array" ref="X68">INDEX(xlRTTYNAME,MATCH(1,(xlRTTYENDU=1)*(xlRTTYEQCL=$D68)*(xlRTEQTYPE=$E68),0))</f>
        <v>KERO_FA1</v>
      </c>
      <c r="Y68" s="7" t="str">
        <f t="array" ref="Y68">INDEX(xlRTTYNAME,MATCH(1,(xlRTTYENDU=2)*(xlRTTYEQCL=$F68)*(xlRTEQTYPE=$G68),0))</f>
        <v>CENT_AIR1</v>
      </c>
    </row>
    <row r="69" spans="2:25" x14ac:dyDescent="0.2">
      <c r="B69" s="29">
        <v>9</v>
      </c>
      <c r="C69" s="29">
        <v>1</v>
      </c>
      <c r="D69" s="29">
        <v>5</v>
      </c>
      <c r="E69" s="29">
        <v>14</v>
      </c>
      <c r="F69" s="29">
        <v>2</v>
      </c>
      <c r="G69" s="32">
        <v>4</v>
      </c>
      <c r="H69" s="32">
        <v>2020</v>
      </c>
      <c r="I69" s="96">
        <v>2050</v>
      </c>
      <c r="J69" s="144">
        <v>1.0790999999999999</v>
      </c>
      <c r="K69" s="144">
        <v>1.0722</v>
      </c>
      <c r="L69" s="144">
        <v>1.1240000000000001</v>
      </c>
      <c r="M69" s="144">
        <v>1.1204000000000001</v>
      </c>
      <c r="N69" s="144">
        <v>1.0336000000000001</v>
      </c>
      <c r="O69" s="144">
        <v>1.0538000000000001</v>
      </c>
      <c r="P69" s="143">
        <v>0</v>
      </c>
      <c r="Q69" s="35">
        <f t="array" ref="Q69">SUM(IF(($S69&gt;=4)*($C69='TaxCred&amp;Subs'!$D$114:$D$121)*($H69='TaxCred&amp;Subs'!$C$114:$C$121)*($H69&lt;='TaxCred&amp;Subs'!$C$123),'TaxCred&amp;Subs'!$E$114:$E$121,0))</f>
        <v>0</v>
      </c>
      <c r="R69" s="143">
        <v>0</v>
      </c>
      <c r="S69" s="29">
        <v>1</v>
      </c>
      <c r="T69" s="29" t="s">
        <v>219</v>
      </c>
      <c r="U69" s="30" t="s">
        <v>227</v>
      </c>
      <c r="V69" s="7" t="str">
        <f t="array" ref="V69">INDEX(xlRTCLNAME,MATCH(1,(xlRTCLENDU=1)*(xlRTCLEQCL=$D69),0))</f>
        <v>KERO_FA</v>
      </c>
      <c r="W69" s="7" t="str">
        <f t="array" ref="W69">INDEX(xlRTCLNAME,MATCH(1,(xlRTCLENDU=2)*(xlRTCLEQCL=$F69),0))</f>
        <v>CENT_AIR</v>
      </c>
      <c r="X69" s="7" t="str">
        <f t="array" ref="X69">INDEX(xlRTTYNAME,MATCH(1,(xlRTTYENDU=1)*(xlRTTYEQCL=$D69)*(xlRTEQTYPE=$E69),0))</f>
        <v>KERO_FA1</v>
      </c>
      <c r="Y69" s="7" t="str">
        <f t="array" ref="Y69">INDEX(xlRTTYNAME,MATCH(1,(xlRTTYENDU=2)*(xlRTTYEQCL=$F69)*(xlRTEQTYPE=$G69),0))</f>
        <v>CENT_AIR1</v>
      </c>
    </row>
    <row r="70" spans="2:25" x14ac:dyDescent="0.2">
      <c r="B70" s="5">
        <v>1</v>
      </c>
      <c r="C70" s="5">
        <v>1</v>
      </c>
      <c r="D70" s="5">
        <v>6</v>
      </c>
      <c r="E70" s="5">
        <v>18</v>
      </c>
      <c r="F70" s="5">
        <v>2</v>
      </c>
      <c r="G70" s="31">
        <v>4</v>
      </c>
      <c r="H70" s="31">
        <v>2020</v>
      </c>
      <c r="I70" s="96">
        <v>2050</v>
      </c>
      <c r="J70" s="142">
        <v>1.0803</v>
      </c>
      <c r="K70" s="142">
        <v>1.0667</v>
      </c>
      <c r="L70" s="142">
        <v>0.88939999999999997</v>
      </c>
      <c r="M70" s="142">
        <v>1.0285</v>
      </c>
      <c r="N70" s="142">
        <v>0.79790000000000005</v>
      </c>
      <c r="O70" s="142">
        <v>1.0538000000000001</v>
      </c>
      <c r="P70" s="26">
        <v>0</v>
      </c>
      <c r="Q70" s="35">
        <f t="array" ref="Q70">SUM(IF(($S70&gt;=4)*($C70='TaxCred&amp;Subs'!$D$114:$D$121)*($H70='TaxCred&amp;Subs'!$C$114:$C$121)*($H70&lt;='TaxCred&amp;Subs'!$C$123),'TaxCred&amp;Subs'!$E$114:$E$121,0))</f>
        <v>0</v>
      </c>
      <c r="R70" s="143">
        <v>0</v>
      </c>
      <c r="S70" s="5">
        <v>1</v>
      </c>
      <c r="T70" s="5" t="s">
        <v>219</v>
      </c>
      <c r="V70" s="7" t="str">
        <f t="array" ref="V70">INDEX(xlRTCLNAME,MATCH(1,(xlRTCLENDU=1)*(xlRTCLEQCL=$D70),0))</f>
        <v>LPG_FA</v>
      </c>
      <c r="W70" s="7" t="str">
        <f t="array" ref="W70">INDEX(xlRTCLNAME,MATCH(1,(xlRTCLENDU=2)*(xlRTCLEQCL=$F70),0))</f>
        <v>CENT_AIR</v>
      </c>
      <c r="X70" s="7" t="str">
        <f t="array" ref="X70">INDEX(xlRTTYNAME,MATCH(1,(xlRTTYENDU=1)*(xlRTTYEQCL=$D70)*(xlRTEQTYPE=$E70),0))</f>
        <v>LPG_FA1</v>
      </c>
      <c r="Y70" s="7" t="str">
        <f t="array" ref="Y70">INDEX(xlRTTYNAME,MATCH(1,(xlRTTYENDU=2)*(xlRTTYEQCL=$F70)*(xlRTEQTYPE=$G70),0))</f>
        <v>CENT_AIR1</v>
      </c>
    </row>
    <row r="71" spans="2:25" x14ac:dyDescent="0.2">
      <c r="B71" s="5">
        <v>2</v>
      </c>
      <c r="C71" s="5">
        <v>1</v>
      </c>
      <c r="D71" s="5">
        <v>6</v>
      </c>
      <c r="E71" s="5">
        <v>18</v>
      </c>
      <c r="F71" s="5">
        <v>2</v>
      </c>
      <c r="G71" s="31">
        <v>4</v>
      </c>
      <c r="H71" s="31">
        <v>2020</v>
      </c>
      <c r="I71" s="96">
        <v>2050</v>
      </c>
      <c r="J71" s="142">
        <v>1.0649</v>
      </c>
      <c r="K71" s="142">
        <v>1.0597000000000001</v>
      </c>
      <c r="L71" s="142">
        <v>1.0037</v>
      </c>
      <c r="M71" s="142">
        <v>0.95550000000000002</v>
      </c>
      <c r="N71" s="142">
        <v>0.93169999999999997</v>
      </c>
      <c r="O71" s="142">
        <v>1.0538000000000001</v>
      </c>
      <c r="P71" s="26">
        <v>0</v>
      </c>
      <c r="Q71" s="35">
        <f t="array" ref="Q71">SUM(IF(($S71&gt;=4)*($C71='TaxCred&amp;Subs'!$D$114:$D$121)*($H71='TaxCred&amp;Subs'!$C$114:$C$121)*($H71&lt;='TaxCred&amp;Subs'!$C$123),'TaxCred&amp;Subs'!$E$114:$E$121,0))</f>
        <v>0</v>
      </c>
      <c r="R71" s="143">
        <v>0</v>
      </c>
      <c r="S71" s="5">
        <v>1</v>
      </c>
      <c r="T71" s="5" t="s">
        <v>219</v>
      </c>
      <c r="V71" s="7" t="str">
        <f t="array" ref="V71">INDEX(xlRTCLNAME,MATCH(1,(xlRTCLENDU=1)*(xlRTCLEQCL=$D71),0))</f>
        <v>LPG_FA</v>
      </c>
      <c r="W71" s="7" t="str">
        <f t="array" ref="W71">INDEX(xlRTCLNAME,MATCH(1,(xlRTCLENDU=2)*(xlRTCLEQCL=$F71),0))</f>
        <v>CENT_AIR</v>
      </c>
      <c r="X71" s="7" t="str">
        <f t="array" ref="X71">INDEX(xlRTTYNAME,MATCH(1,(xlRTTYENDU=1)*(xlRTTYEQCL=$D71)*(xlRTEQTYPE=$E71),0))</f>
        <v>LPG_FA1</v>
      </c>
      <c r="Y71" s="7" t="str">
        <f t="array" ref="Y71">INDEX(xlRTTYNAME,MATCH(1,(xlRTTYENDU=2)*(xlRTTYEQCL=$F71)*(xlRTEQTYPE=$G71),0))</f>
        <v>CENT_AIR1</v>
      </c>
    </row>
    <row r="72" spans="2:25" x14ac:dyDescent="0.2">
      <c r="B72" s="5">
        <v>3</v>
      </c>
      <c r="C72" s="5">
        <v>1</v>
      </c>
      <c r="D72" s="5">
        <v>6</v>
      </c>
      <c r="E72" s="5">
        <v>18</v>
      </c>
      <c r="F72" s="5">
        <v>2</v>
      </c>
      <c r="G72" s="31">
        <v>4</v>
      </c>
      <c r="H72" s="31">
        <v>2020</v>
      </c>
      <c r="I72" s="96">
        <v>2050</v>
      </c>
      <c r="J72" s="142">
        <v>1.0469999999999999</v>
      </c>
      <c r="K72" s="142">
        <v>1.0769</v>
      </c>
      <c r="L72" s="142">
        <v>0.93520000000000003</v>
      </c>
      <c r="M72" s="142">
        <v>0.9627</v>
      </c>
      <c r="N72" s="142">
        <v>0.91600000000000004</v>
      </c>
      <c r="O72" s="142">
        <v>1.0538000000000001</v>
      </c>
      <c r="P72" s="26">
        <v>0</v>
      </c>
      <c r="Q72" s="35">
        <f t="array" ref="Q72">SUM(IF(($S72&gt;=4)*($C72='TaxCred&amp;Subs'!$D$114:$D$121)*($H72='TaxCred&amp;Subs'!$C$114:$C$121)*($H72&lt;='TaxCred&amp;Subs'!$C$123),'TaxCred&amp;Subs'!$E$114:$E$121,0))</f>
        <v>0</v>
      </c>
      <c r="R72" s="143">
        <v>0</v>
      </c>
      <c r="S72" s="5">
        <v>1</v>
      </c>
      <c r="T72" s="5" t="s">
        <v>219</v>
      </c>
      <c r="V72" s="7" t="str">
        <f t="array" ref="V72">INDEX(xlRTCLNAME,MATCH(1,(xlRTCLENDU=1)*(xlRTCLEQCL=$D72),0))</f>
        <v>LPG_FA</v>
      </c>
      <c r="W72" s="7" t="str">
        <f t="array" ref="W72">INDEX(xlRTCLNAME,MATCH(1,(xlRTCLENDU=2)*(xlRTCLEQCL=$F72),0))</f>
        <v>CENT_AIR</v>
      </c>
      <c r="X72" s="7" t="str">
        <f t="array" ref="X72">INDEX(xlRTTYNAME,MATCH(1,(xlRTTYENDU=1)*(xlRTTYEQCL=$D72)*(xlRTEQTYPE=$E72),0))</f>
        <v>LPG_FA1</v>
      </c>
      <c r="Y72" s="7" t="str">
        <f t="array" ref="Y72">INDEX(xlRTTYNAME,MATCH(1,(xlRTTYENDU=2)*(xlRTTYEQCL=$F72)*(xlRTEQTYPE=$G72),0))</f>
        <v>CENT_AIR1</v>
      </c>
    </row>
    <row r="73" spans="2:25" x14ac:dyDescent="0.2">
      <c r="B73" s="5">
        <v>4</v>
      </c>
      <c r="C73" s="5">
        <v>1</v>
      </c>
      <c r="D73" s="5">
        <v>6</v>
      </c>
      <c r="E73" s="5">
        <v>18</v>
      </c>
      <c r="F73" s="5">
        <v>2</v>
      </c>
      <c r="G73" s="31">
        <v>4</v>
      </c>
      <c r="H73" s="31">
        <v>2020</v>
      </c>
      <c r="I73" s="96">
        <v>2050</v>
      </c>
      <c r="J73" s="142">
        <v>1.0862000000000001</v>
      </c>
      <c r="K73" s="142">
        <v>1.0769</v>
      </c>
      <c r="L73" s="142">
        <v>0.87749999999999995</v>
      </c>
      <c r="M73" s="142">
        <v>0.87319999999999998</v>
      </c>
      <c r="N73" s="142">
        <v>0.85770000000000002</v>
      </c>
      <c r="O73" s="142">
        <v>1.0538000000000001</v>
      </c>
      <c r="P73" s="26">
        <v>0</v>
      </c>
      <c r="Q73" s="35">
        <f t="array" ref="Q73">SUM(IF(($S73&gt;=4)*($C73='TaxCred&amp;Subs'!$D$114:$D$121)*($H73='TaxCred&amp;Subs'!$C$114:$C$121)*($H73&lt;='TaxCred&amp;Subs'!$C$123),'TaxCred&amp;Subs'!$E$114:$E$121,0))</f>
        <v>0</v>
      </c>
      <c r="R73" s="143">
        <v>0</v>
      </c>
      <c r="S73" s="5">
        <v>1</v>
      </c>
      <c r="T73" s="5" t="s">
        <v>219</v>
      </c>
      <c r="V73" s="7" t="str">
        <f t="array" ref="V73">INDEX(xlRTCLNAME,MATCH(1,(xlRTCLENDU=1)*(xlRTCLEQCL=$D73),0))</f>
        <v>LPG_FA</v>
      </c>
      <c r="W73" s="7" t="str">
        <f t="array" ref="W73">INDEX(xlRTCLNAME,MATCH(1,(xlRTCLENDU=2)*(xlRTCLEQCL=$F73),0))</f>
        <v>CENT_AIR</v>
      </c>
      <c r="X73" s="7" t="str">
        <f t="array" ref="X73">INDEX(xlRTTYNAME,MATCH(1,(xlRTTYENDU=1)*(xlRTTYEQCL=$D73)*(xlRTEQTYPE=$E73),0))</f>
        <v>LPG_FA1</v>
      </c>
      <c r="Y73" s="7" t="str">
        <f t="array" ref="Y73">INDEX(xlRTTYNAME,MATCH(1,(xlRTTYENDU=2)*(xlRTTYEQCL=$F73)*(xlRTEQTYPE=$G73),0))</f>
        <v>CENT_AIR1</v>
      </c>
    </row>
    <row r="74" spans="2:25" x14ac:dyDescent="0.2">
      <c r="B74" s="5">
        <v>5</v>
      </c>
      <c r="C74" s="5">
        <v>1</v>
      </c>
      <c r="D74" s="5">
        <v>6</v>
      </c>
      <c r="E74" s="5">
        <v>18</v>
      </c>
      <c r="F74" s="5">
        <v>2</v>
      </c>
      <c r="G74" s="31">
        <v>4</v>
      </c>
      <c r="H74" s="31">
        <v>2020</v>
      </c>
      <c r="I74" s="96">
        <v>2050</v>
      </c>
      <c r="J74" s="142">
        <v>1.0849</v>
      </c>
      <c r="K74" s="142">
        <v>1.0471999999999999</v>
      </c>
      <c r="L74" s="142">
        <v>0.90710000000000002</v>
      </c>
      <c r="M74" s="142">
        <v>1.0934999999999999</v>
      </c>
      <c r="N74" s="142">
        <v>0.76180000000000003</v>
      </c>
      <c r="O74" s="142">
        <v>1.0538000000000001</v>
      </c>
      <c r="P74" s="26">
        <v>0</v>
      </c>
      <c r="Q74" s="35">
        <f t="array" ref="Q74">SUM(IF(($S74&gt;=4)*($C74='TaxCred&amp;Subs'!$D$114:$D$121)*($H74='TaxCred&amp;Subs'!$C$114:$C$121)*($H74&lt;='TaxCred&amp;Subs'!$C$123),'TaxCred&amp;Subs'!$E$114:$E$121,0))</f>
        <v>0</v>
      </c>
      <c r="R74" s="143">
        <v>0</v>
      </c>
      <c r="S74" s="5">
        <v>1</v>
      </c>
      <c r="T74" s="5" t="s">
        <v>219</v>
      </c>
      <c r="V74" s="7" t="str">
        <f t="array" ref="V74">INDEX(xlRTCLNAME,MATCH(1,(xlRTCLENDU=1)*(xlRTCLEQCL=$D74),0))</f>
        <v>LPG_FA</v>
      </c>
      <c r="W74" s="7" t="str">
        <f t="array" ref="W74">INDEX(xlRTCLNAME,MATCH(1,(xlRTCLENDU=2)*(xlRTCLEQCL=$F74),0))</f>
        <v>CENT_AIR</v>
      </c>
      <c r="X74" s="7" t="str">
        <f t="array" ref="X74">INDEX(xlRTTYNAME,MATCH(1,(xlRTTYENDU=1)*(xlRTTYEQCL=$D74)*(xlRTEQTYPE=$E74),0))</f>
        <v>LPG_FA1</v>
      </c>
      <c r="Y74" s="7" t="str">
        <f t="array" ref="Y74">INDEX(xlRTTYNAME,MATCH(1,(xlRTTYENDU=2)*(xlRTTYEQCL=$F74)*(xlRTEQTYPE=$G74),0))</f>
        <v>CENT_AIR1</v>
      </c>
    </row>
    <row r="75" spans="2:25" x14ac:dyDescent="0.2">
      <c r="B75" s="5">
        <v>6</v>
      </c>
      <c r="C75" s="5">
        <v>1</v>
      </c>
      <c r="D75" s="5">
        <v>6</v>
      </c>
      <c r="E75" s="5">
        <v>18</v>
      </c>
      <c r="F75" s="5">
        <v>2</v>
      </c>
      <c r="G75" s="31">
        <v>4</v>
      </c>
      <c r="H75" s="31">
        <v>2020</v>
      </c>
      <c r="I75" s="96">
        <v>2050</v>
      </c>
      <c r="J75" s="142">
        <v>1.0924</v>
      </c>
      <c r="K75" s="142">
        <v>1.0661</v>
      </c>
      <c r="L75" s="142">
        <v>1.0295000000000001</v>
      </c>
      <c r="M75" s="142">
        <v>1.1335999999999999</v>
      </c>
      <c r="N75" s="142">
        <v>0.89100000000000001</v>
      </c>
      <c r="O75" s="142">
        <v>1.0538000000000001</v>
      </c>
      <c r="P75" s="26">
        <v>0</v>
      </c>
      <c r="Q75" s="35">
        <f t="array" ref="Q75">SUM(IF(($S75&gt;=4)*($C75='TaxCred&amp;Subs'!$D$114:$D$121)*($H75='TaxCred&amp;Subs'!$C$114:$C$121)*($H75&lt;='TaxCred&amp;Subs'!$C$123),'TaxCred&amp;Subs'!$E$114:$E$121,0))</f>
        <v>0</v>
      </c>
      <c r="R75" s="143">
        <v>0</v>
      </c>
      <c r="S75" s="5">
        <v>1</v>
      </c>
      <c r="T75" s="5" t="s">
        <v>219</v>
      </c>
      <c r="V75" s="7" t="str">
        <f t="array" ref="V75">INDEX(xlRTCLNAME,MATCH(1,(xlRTCLENDU=1)*(xlRTCLEQCL=$D75),0))</f>
        <v>LPG_FA</v>
      </c>
      <c r="W75" s="7" t="str">
        <f t="array" ref="W75">INDEX(xlRTCLNAME,MATCH(1,(xlRTCLENDU=2)*(xlRTCLEQCL=$F75),0))</f>
        <v>CENT_AIR</v>
      </c>
      <c r="X75" s="7" t="str">
        <f t="array" ref="X75">INDEX(xlRTTYNAME,MATCH(1,(xlRTTYENDU=1)*(xlRTTYEQCL=$D75)*(xlRTEQTYPE=$E75),0))</f>
        <v>LPG_FA1</v>
      </c>
      <c r="Y75" s="7" t="str">
        <f t="array" ref="Y75">INDEX(xlRTTYNAME,MATCH(1,(xlRTTYENDU=2)*(xlRTTYEQCL=$F75)*(xlRTEQTYPE=$G75),0))</f>
        <v>CENT_AIR1</v>
      </c>
    </row>
    <row r="76" spans="2:25" x14ac:dyDescent="0.2">
      <c r="B76" s="5">
        <v>7</v>
      </c>
      <c r="C76" s="5">
        <v>1</v>
      </c>
      <c r="D76" s="5">
        <v>6</v>
      </c>
      <c r="E76" s="5">
        <v>18</v>
      </c>
      <c r="F76" s="5">
        <v>2</v>
      </c>
      <c r="G76" s="31">
        <v>4</v>
      </c>
      <c r="H76" s="31">
        <v>2020</v>
      </c>
      <c r="I76" s="96">
        <v>2050</v>
      </c>
      <c r="J76" s="142">
        <v>1.0905</v>
      </c>
      <c r="K76" s="142">
        <v>1.0562</v>
      </c>
      <c r="L76" s="142">
        <v>1.046</v>
      </c>
      <c r="M76" s="142">
        <v>1.0382</v>
      </c>
      <c r="N76" s="142">
        <v>0.87180000000000002</v>
      </c>
      <c r="O76" s="142">
        <v>1.0538000000000001</v>
      </c>
      <c r="P76" s="26">
        <v>0</v>
      </c>
      <c r="Q76" s="35">
        <f t="array" ref="Q76">SUM(IF(($S76&gt;=4)*($C76='TaxCred&amp;Subs'!$D$114:$D$121)*($H76='TaxCred&amp;Subs'!$C$114:$C$121)*($H76&lt;='TaxCred&amp;Subs'!$C$123),'TaxCred&amp;Subs'!$E$114:$E$121,0))</f>
        <v>0</v>
      </c>
      <c r="R76" s="143">
        <v>0</v>
      </c>
      <c r="S76" s="5">
        <v>1</v>
      </c>
      <c r="T76" s="5" t="s">
        <v>219</v>
      </c>
      <c r="V76" s="7" t="str">
        <f t="array" ref="V76">INDEX(xlRTCLNAME,MATCH(1,(xlRTCLENDU=1)*(xlRTCLEQCL=$D76),0))</f>
        <v>LPG_FA</v>
      </c>
      <c r="W76" s="7" t="str">
        <f t="array" ref="W76">INDEX(xlRTCLNAME,MATCH(1,(xlRTCLENDU=2)*(xlRTCLEQCL=$F76),0))</f>
        <v>CENT_AIR</v>
      </c>
      <c r="X76" s="7" t="str">
        <f t="array" ref="X76">INDEX(xlRTTYNAME,MATCH(1,(xlRTTYENDU=1)*(xlRTTYEQCL=$D76)*(xlRTEQTYPE=$E76),0))</f>
        <v>LPG_FA1</v>
      </c>
      <c r="Y76" s="7" t="str">
        <f t="array" ref="Y76">INDEX(xlRTTYNAME,MATCH(1,(xlRTTYENDU=2)*(xlRTTYEQCL=$F76)*(xlRTEQTYPE=$G76),0))</f>
        <v>CENT_AIR1</v>
      </c>
    </row>
    <row r="77" spans="2:25" ht="12.75" customHeight="1" x14ac:dyDescent="0.2">
      <c r="B77" s="5">
        <v>8</v>
      </c>
      <c r="C77" s="5">
        <v>1</v>
      </c>
      <c r="D77" s="5">
        <v>6</v>
      </c>
      <c r="E77" s="5">
        <v>18</v>
      </c>
      <c r="F77" s="5">
        <v>2</v>
      </c>
      <c r="G77" s="31">
        <v>4</v>
      </c>
      <c r="H77" s="31">
        <v>2020</v>
      </c>
      <c r="I77" s="96">
        <v>2050</v>
      </c>
      <c r="J77" s="142">
        <v>1.0801000000000001</v>
      </c>
      <c r="K77" s="142">
        <v>1.0822000000000001</v>
      </c>
      <c r="L77" s="142">
        <v>0.97740000000000005</v>
      </c>
      <c r="M77" s="142">
        <v>1.0076000000000001</v>
      </c>
      <c r="N77" s="142">
        <v>0.86950000000000005</v>
      </c>
      <c r="O77" s="142">
        <v>1.0538000000000001</v>
      </c>
      <c r="P77" s="26">
        <v>0</v>
      </c>
      <c r="Q77" s="35">
        <f t="array" ref="Q77">SUM(IF(($S77&gt;=4)*($C77='TaxCred&amp;Subs'!$D$114:$D$121)*($H77='TaxCred&amp;Subs'!$C$114:$C$121)*($H77&lt;='TaxCred&amp;Subs'!$C$123),'TaxCred&amp;Subs'!$E$114:$E$121,0))</f>
        <v>0</v>
      </c>
      <c r="R77" s="143">
        <v>0</v>
      </c>
      <c r="S77" s="5">
        <v>1</v>
      </c>
      <c r="T77" s="5" t="s">
        <v>219</v>
      </c>
      <c r="V77" s="7" t="str">
        <f t="array" ref="V77">INDEX(xlRTCLNAME,MATCH(1,(xlRTCLENDU=1)*(xlRTCLEQCL=$D77),0))</f>
        <v>LPG_FA</v>
      </c>
      <c r="W77" s="7" t="str">
        <f t="array" ref="W77">INDEX(xlRTCLNAME,MATCH(1,(xlRTCLENDU=2)*(xlRTCLEQCL=$F77),0))</f>
        <v>CENT_AIR</v>
      </c>
      <c r="X77" s="7" t="str">
        <f t="array" ref="X77">INDEX(xlRTTYNAME,MATCH(1,(xlRTTYENDU=1)*(xlRTTYEQCL=$D77)*(xlRTEQTYPE=$E77),0))</f>
        <v>LPG_FA1</v>
      </c>
      <c r="Y77" s="7" t="str">
        <f t="array" ref="Y77">INDEX(xlRTTYNAME,MATCH(1,(xlRTTYENDU=2)*(xlRTTYEQCL=$F77)*(xlRTEQTYPE=$G77),0))</f>
        <v>CENT_AIR1</v>
      </c>
    </row>
    <row r="78" spans="2:25" x14ac:dyDescent="0.2">
      <c r="B78" s="5">
        <v>9</v>
      </c>
      <c r="C78" s="5">
        <v>1</v>
      </c>
      <c r="D78" s="5">
        <v>6</v>
      </c>
      <c r="E78" s="5">
        <v>18</v>
      </c>
      <c r="F78" s="5">
        <v>2</v>
      </c>
      <c r="G78" s="31">
        <v>4</v>
      </c>
      <c r="H78" s="31">
        <v>2020</v>
      </c>
      <c r="I78" s="96">
        <v>2050</v>
      </c>
      <c r="J78" s="142">
        <v>1.0781000000000001</v>
      </c>
      <c r="K78" s="142">
        <v>1.0707</v>
      </c>
      <c r="L78" s="142">
        <v>1.1246</v>
      </c>
      <c r="M78" s="142">
        <v>1.1204000000000001</v>
      </c>
      <c r="N78" s="142">
        <v>1.0339</v>
      </c>
      <c r="O78" s="142">
        <v>1.0538000000000001</v>
      </c>
      <c r="P78" s="26">
        <v>0</v>
      </c>
      <c r="Q78" s="35">
        <f t="array" ref="Q78">SUM(IF(($S78&gt;=4)*($C78='TaxCred&amp;Subs'!$D$114:$D$121)*($H78='TaxCred&amp;Subs'!$C$114:$C$121)*($H78&lt;='TaxCred&amp;Subs'!$C$123),'TaxCred&amp;Subs'!$E$114:$E$121,0))</f>
        <v>0</v>
      </c>
      <c r="R78" s="143">
        <v>0</v>
      </c>
      <c r="S78" s="5">
        <v>1</v>
      </c>
      <c r="T78" s="5" t="s">
        <v>219</v>
      </c>
      <c r="V78" s="7" t="str">
        <f t="array" ref="V78">INDEX(xlRTCLNAME,MATCH(1,(xlRTCLENDU=1)*(xlRTCLEQCL=$D78),0))</f>
        <v>LPG_FA</v>
      </c>
      <c r="W78" s="7" t="str">
        <f t="array" ref="W78">INDEX(xlRTCLNAME,MATCH(1,(xlRTCLENDU=2)*(xlRTCLEQCL=$F78),0))</f>
        <v>CENT_AIR</v>
      </c>
      <c r="X78" s="7" t="str">
        <f t="array" ref="X78">INDEX(xlRTTYNAME,MATCH(1,(xlRTTYENDU=1)*(xlRTTYEQCL=$D78)*(xlRTEQTYPE=$E78),0))</f>
        <v>LPG_FA1</v>
      </c>
      <c r="Y78" s="7" t="str">
        <f t="array" ref="Y78">INDEX(xlRTTYNAME,MATCH(1,(xlRTTYENDU=2)*(xlRTTYEQCL=$F78)*(xlRTEQTYPE=$G78),0))</f>
        <v>CENT_AIR1</v>
      </c>
    </row>
    <row r="79" spans="2:25" x14ac:dyDescent="0.2">
      <c r="B79" s="5">
        <v>1</v>
      </c>
      <c r="C79" s="5">
        <v>1</v>
      </c>
      <c r="D79" s="5">
        <v>7</v>
      </c>
      <c r="E79" s="5">
        <v>22</v>
      </c>
      <c r="F79" s="5">
        <v>2</v>
      </c>
      <c r="G79" s="31">
        <v>4</v>
      </c>
      <c r="H79" s="31">
        <v>2020</v>
      </c>
      <c r="I79" s="96">
        <v>2050</v>
      </c>
      <c r="J79" s="142">
        <v>1.0309999999999999</v>
      </c>
      <c r="K79" s="142">
        <v>1.0667</v>
      </c>
      <c r="L79" s="142">
        <v>0.88929999999999998</v>
      </c>
      <c r="M79" s="142">
        <v>1.0285</v>
      </c>
      <c r="N79" s="142">
        <v>0.79790000000000005</v>
      </c>
      <c r="O79" s="142">
        <v>1.0538000000000001</v>
      </c>
      <c r="P79" s="26">
        <v>0</v>
      </c>
      <c r="Q79" s="35">
        <f t="array" ref="Q79">SUM(IF(($S79&gt;=4)*($C79='TaxCred&amp;Subs'!$D$114:$D$121)*($H79='TaxCred&amp;Subs'!$C$114:$C$121)*($H79&lt;='TaxCred&amp;Subs'!$C$123),'TaxCred&amp;Subs'!$E$114:$E$121,0))</f>
        <v>0</v>
      </c>
      <c r="R79" s="143">
        <v>0</v>
      </c>
      <c r="S79" s="5">
        <v>1</v>
      </c>
      <c r="T79" s="5" t="s">
        <v>219</v>
      </c>
      <c r="V79" s="7" t="str">
        <f t="array" ref="V79">INDEX(xlRTCLNAME,MATCH(1,(xlRTCLENDU=1)*(xlRTCLEQCL=$D79),0))</f>
        <v>DIST_FA</v>
      </c>
      <c r="W79" s="7" t="str">
        <f t="array" ref="W79">INDEX(xlRTCLNAME,MATCH(1,(xlRTCLENDU=2)*(xlRTCLEQCL=$F79),0))</f>
        <v>CENT_AIR</v>
      </c>
      <c r="X79" s="7" t="str">
        <f t="array" ref="X79">INDEX(xlRTTYNAME,MATCH(1,(xlRTTYENDU=1)*(xlRTTYEQCL=$D79)*(xlRTEQTYPE=$E79),0))</f>
        <v>DIST_FA1</v>
      </c>
      <c r="Y79" s="7" t="str">
        <f t="array" ref="Y79">INDEX(xlRTTYNAME,MATCH(1,(xlRTTYENDU=2)*(xlRTTYEQCL=$F79)*(xlRTEQTYPE=$G79),0))</f>
        <v>CENT_AIR1</v>
      </c>
    </row>
    <row r="80" spans="2:25" x14ac:dyDescent="0.2">
      <c r="B80" s="5">
        <v>2</v>
      </c>
      <c r="C80" s="5">
        <v>1</v>
      </c>
      <c r="D80" s="5">
        <v>7</v>
      </c>
      <c r="E80" s="5">
        <v>22</v>
      </c>
      <c r="F80" s="5">
        <v>2</v>
      </c>
      <c r="G80" s="31">
        <v>4</v>
      </c>
      <c r="H80" s="31">
        <v>2020</v>
      </c>
      <c r="I80" s="96">
        <v>2050</v>
      </c>
      <c r="J80" s="142">
        <v>1.0772999999999999</v>
      </c>
      <c r="K80" s="142">
        <v>1.0758000000000001</v>
      </c>
      <c r="L80" s="142">
        <v>1.0037</v>
      </c>
      <c r="M80" s="142">
        <v>0.95550000000000002</v>
      </c>
      <c r="N80" s="142">
        <v>0.93169999999999997</v>
      </c>
      <c r="O80" s="142">
        <v>1.0538000000000001</v>
      </c>
      <c r="P80" s="26">
        <v>0</v>
      </c>
      <c r="Q80" s="35">
        <f t="array" ref="Q80">SUM(IF(($S80&gt;=4)*($C80='TaxCred&amp;Subs'!$D$114:$D$121)*($H80='TaxCred&amp;Subs'!$C$114:$C$121)*($H80&lt;='TaxCred&amp;Subs'!$C$123),'TaxCred&amp;Subs'!$E$114:$E$121,0))</f>
        <v>0</v>
      </c>
      <c r="R80" s="143">
        <v>0</v>
      </c>
      <c r="S80" s="5">
        <v>1</v>
      </c>
      <c r="T80" s="5" t="s">
        <v>219</v>
      </c>
      <c r="V80" s="7" t="str">
        <f t="array" ref="V80">INDEX(xlRTCLNAME,MATCH(1,(xlRTCLENDU=1)*(xlRTCLEQCL=$D80),0))</f>
        <v>DIST_FA</v>
      </c>
      <c r="W80" s="7" t="str">
        <f t="array" ref="W80">INDEX(xlRTCLNAME,MATCH(1,(xlRTCLENDU=2)*(xlRTCLEQCL=$F80),0))</f>
        <v>CENT_AIR</v>
      </c>
      <c r="X80" s="7" t="str">
        <f t="array" ref="X80">INDEX(xlRTTYNAME,MATCH(1,(xlRTTYENDU=1)*(xlRTTYEQCL=$D80)*(xlRTEQTYPE=$E80),0))</f>
        <v>DIST_FA1</v>
      </c>
      <c r="Y80" s="7" t="str">
        <f t="array" ref="Y80">INDEX(xlRTTYNAME,MATCH(1,(xlRTTYENDU=2)*(xlRTTYEQCL=$F80)*(xlRTEQTYPE=$G80),0))</f>
        <v>CENT_AIR1</v>
      </c>
    </row>
    <row r="81" spans="2:25" x14ac:dyDescent="0.2">
      <c r="B81" s="5">
        <v>3</v>
      </c>
      <c r="C81" s="5">
        <v>1</v>
      </c>
      <c r="D81" s="5">
        <v>7</v>
      </c>
      <c r="E81" s="5">
        <v>22</v>
      </c>
      <c r="F81" s="5">
        <v>2</v>
      </c>
      <c r="G81" s="31">
        <v>4</v>
      </c>
      <c r="H81" s="31">
        <v>2020</v>
      </c>
      <c r="I81" s="96">
        <v>2050</v>
      </c>
      <c r="J81" s="142">
        <v>1.0842000000000001</v>
      </c>
      <c r="K81" s="142">
        <v>1.0577000000000001</v>
      </c>
      <c r="L81" s="142">
        <v>0.92769999999999997</v>
      </c>
      <c r="M81" s="142">
        <v>0.9627</v>
      </c>
      <c r="N81" s="142">
        <v>0.91220000000000001</v>
      </c>
      <c r="O81" s="142">
        <v>1.0538000000000001</v>
      </c>
      <c r="P81" s="26">
        <v>0</v>
      </c>
      <c r="Q81" s="35">
        <f t="array" ref="Q81">SUM(IF(($S81&gt;=4)*($C81='TaxCred&amp;Subs'!$D$114:$D$121)*($H81='TaxCred&amp;Subs'!$C$114:$C$121)*($H81&lt;='TaxCred&amp;Subs'!$C$123),'TaxCred&amp;Subs'!$E$114:$E$121,0))</f>
        <v>0</v>
      </c>
      <c r="R81" s="143">
        <v>0</v>
      </c>
      <c r="S81" s="5">
        <v>1</v>
      </c>
      <c r="T81" s="5" t="s">
        <v>219</v>
      </c>
      <c r="V81" s="7" t="str">
        <f t="array" ref="V81">INDEX(xlRTCLNAME,MATCH(1,(xlRTCLENDU=1)*(xlRTCLEQCL=$D81),0))</f>
        <v>DIST_FA</v>
      </c>
      <c r="W81" s="7" t="str">
        <f t="array" ref="W81">INDEX(xlRTCLNAME,MATCH(1,(xlRTCLENDU=2)*(xlRTCLEQCL=$F81),0))</f>
        <v>CENT_AIR</v>
      </c>
      <c r="X81" s="7" t="str">
        <f t="array" ref="X81">INDEX(xlRTTYNAME,MATCH(1,(xlRTTYENDU=1)*(xlRTTYEQCL=$D81)*(xlRTEQTYPE=$E81),0))</f>
        <v>DIST_FA1</v>
      </c>
      <c r="Y81" s="7" t="str">
        <f t="array" ref="Y81">INDEX(xlRTTYNAME,MATCH(1,(xlRTTYENDU=2)*(xlRTTYEQCL=$F81)*(xlRTEQTYPE=$G81),0))</f>
        <v>CENT_AIR1</v>
      </c>
    </row>
    <row r="82" spans="2:25" x14ac:dyDescent="0.2">
      <c r="B82" s="5">
        <v>4</v>
      </c>
      <c r="C82" s="5">
        <v>1</v>
      </c>
      <c r="D82" s="5">
        <v>7</v>
      </c>
      <c r="E82" s="5">
        <v>22</v>
      </c>
      <c r="F82" s="5">
        <v>2</v>
      </c>
      <c r="G82" s="31">
        <v>4</v>
      </c>
      <c r="H82" s="31">
        <v>2020</v>
      </c>
      <c r="I82" s="96">
        <v>2050</v>
      </c>
      <c r="J82" s="142">
        <v>1.0342</v>
      </c>
      <c r="K82" s="142">
        <v>1.0769</v>
      </c>
      <c r="L82" s="142">
        <v>0.87739999999999996</v>
      </c>
      <c r="M82" s="142">
        <v>0.87319999999999998</v>
      </c>
      <c r="N82" s="142">
        <v>0.85760000000000003</v>
      </c>
      <c r="O82" s="142">
        <v>1.0538000000000001</v>
      </c>
      <c r="P82" s="26">
        <v>0</v>
      </c>
      <c r="Q82" s="35">
        <f t="array" ref="Q82">SUM(IF(($S82&gt;=4)*($C82='TaxCred&amp;Subs'!$D$114:$D$121)*($H82='TaxCred&amp;Subs'!$C$114:$C$121)*($H82&lt;='TaxCred&amp;Subs'!$C$123),'TaxCred&amp;Subs'!$E$114:$E$121,0))</f>
        <v>0</v>
      </c>
      <c r="R82" s="143">
        <v>0</v>
      </c>
      <c r="S82" s="5">
        <v>1</v>
      </c>
      <c r="T82" s="5" t="s">
        <v>219</v>
      </c>
      <c r="V82" s="7" t="str">
        <f t="array" ref="V82">INDEX(xlRTCLNAME,MATCH(1,(xlRTCLENDU=1)*(xlRTCLEQCL=$D82),0))</f>
        <v>DIST_FA</v>
      </c>
      <c r="W82" s="7" t="str">
        <f t="array" ref="W82">INDEX(xlRTCLNAME,MATCH(1,(xlRTCLENDU=2)*(xlRTCLEQCL=$F82),0))</f>
        <v>CENT_AIR</v>
      </c>
      <c r="X82" s="7" t="str">
        <f t="array" ref="X82">INDEX(xlRTTYNAME,MATCH(1,(xlRTTYENDU=1)*(xlRTTYEQCL=$D82)*(xlRTEQTYPE=$E82),0))</f>
        <v>DIST_FA1</v>
      </c>
      <c r="Y82" s="7" t="str">
        <f t="array" ref="Y82">INDEX(xlRTTYNAME,MATCH(1,(xlRTTYENDU=2)*(xlRTTYEQCL=$F82)*(xlRTEQTYPE=$G82),0))</f>
        <v>CENT_AIR1</v>
      </c>
    </row>
    <row r="83" spans="2:25" x14ac:dyDescent="0.2">
      <c r="B83" s="5">
        <v>5</v>
      </c>
      <c r="C83" s="5">
        <v>1</v>
      </c>
      <c r="D83" s="5">
        <v>7</v>
      </c>
      <c r="E83" s="5">
        <v>22</v>
      </c>
      <c r="F83" s="5">
        <v>2</v>
      </c>
      <c r="G83" s="31">
        <v>4</v>
      </c>
      <c r="H83" s="31">
        <v>2020</v>
      </c>
      <c r="I83" s="96">
        <v>2050</v>
      </c>
      <c r="J83" s="142">
        <v>1.0847</v>
      </c>
      <c r="K83" s="142">
        <v>1.056</v>
      </c>
      <c r="L83" s="142">
        <v>0.90920000000000001</v>
      </c>
      <c r="M83" s="142">
        <v>1.0934999999999999</v>
      </c>
      <c r="N83" s="142">
        <v>0.76280000000000003</v>
      </c>
      <c r="O83" s="142">
        <v>1.0538000000000001</v>
      </c>
      <c r="P83" s="26">
        <v>0</v>
      </c>
      <c r="Q83" s="35">
        <f t="array" ref="Q83">SUM(IF(($S83&gt;=4)*($C83='TaxCred&amp;Subs'!$D$114:$D$121)*($H83='TaxCred&amp;Subs'!$C$114:$C$121)*($H83&lt;='TaxCred&amp;Subs'!$C$123),'TaxCred&amp;Subs'!$E$114:$E$121,0))</f>
        <v>0</v>
      </c>
      <c r="R83" s="143">
        <v>0</v>
      </c>
      <c r="S83" s="5">
        <v>1</v>
      </c>
      <c r="T83" s="5" t="s">
        <v>219</v>
      </c>
      <c r="V83" s="7" t="str">
        <f t="array" ref="V83">INDEX(xlRTCLNAME,MATCH(1,(xlRTCLENDU=1)*(xlRTCLEQCL=$D83),0))</f>
        <v>DIST_FA</v>
      </c>
      <c r="W83" s="7" t="str">
        <f t="array" ref="W83">INDEX(xlRTCLNAME,MATCH(1,(xlRTCLENDU=2)*(xlRTCLEQCL=$F83),0))</f>
        <v>CENT_AIR</v>
      </c>
      <c r="X83" s="7" t="str">
        <f t="array" ref="X83">INDEX(xlRTTYNAME,MATCH(1,(xlRTTYENDU=1)*(xlRTTYEQCL=$D83)*(xlRTEQTYPE=$E83),0))</f>
        <v>DIST_FA1</v>
      </c>
      <c r="Y83" s="7" t="str">
        <f t="array" ref="Y83">INDEX(xlRTTYNAME,MATCH(1,(xlRTTYENDU=2)*(xlRTTYEQCL=$F83)*(xlRTEQTYPE=$G83),0))</f>
        <v>CENT_AIR1</v>
      </c>
    </row>
    <row r="84" spans="2:25" x14ac:dyDescent="0.2">
      <c r="B84" s="5">
        <v>6</v>
      </c>
      <c r="C84" s="5">
        <v>1</v>
      </c>
      <c r="D84" s="5">
        <v>7</v>
      </c>
      <c r="E84" s="5">
        <v>22</v>
      </c>
      <c r="F84" s="5">
        <v>2</v>
      </c>
      <c r="G84" s="31">
        <v>4</v>
      </c>
      <c r="H84" s="31">
        <v>2020</v>
      </c>
      <c r="I84" s="96">
        <v>2050</v>
      </c>
      <c r="J84" s="142">
        <v>1.0907</v>
      </c>
      <c r="K84" s="142">
        <v>1.0603</v>
      </c>
      <c r="L84" s="142">
        <v>1.0303</v>
      </c>
      <c r="M84" s="142">
        <v>1.1335999999999999</v>
      </c>
      <c r="N84" s="142">
        <v>0.89139999999999997</v>
      </c>
      <c r="O84" s="142">
        <v>1.0538000000000001</v>
      </c>
      <c r="P84" s="26">
        <v>0</v>
      </c>
      <c r="Q84" s="35">
        <f t="array" ref="Q84">SUM(IF(($S84&gt;=4)*($C84='TaxCred&amp;Subs'!$D$114:$D$121)*($H84='TaxCred&amp;Subs'!$C$114:$C$121)*($H84&lt;='TaxCred&amp;Subs'!$C$123),'TaxCred&amp;Subs'!$E$114:$E$121,0))</f>
        <v>0</v>
      </c>
      <c r="R84" s="143">
        <v>0</v>
      </c>
      <c r="S84" s="5">
        <v>1</v>
      </c>
      <c r="T84" s="5" t="s">
        <v>219</v>
      </c>
      <c r="V84" s="7" t="str">
        <f t="array" ref="V84">INDEX(xlRTCLNAME,MATCH(1,(xlRTCLENDU=1)*(xlRTCLEQCL=$D84),0))</f>
        <v>DIST_FA</v>
      </c>
      <c r="W84" s="7" t="str">
        <f t="array" ref="W84">INDEX(xlRTCLNAME,MATCH(1,(xlRTCLENDU=2)*(xlRTCLEQCL=$F84),0))</f>
        <v>CENT_AIR</v>
      </c>
      <c r="X84" s="7" t="str">
        <f t="array" ref="X84">INDEX(xlRTTYNAME,MATCH(1,(xlRTTYENDU=1)*(xlRTTYEQCL=$D84)*(xlRTEQTYPE=$E84),0))</f>
        <v>DIST_FA1</v>
      </c>
      <c r="Y84" s="7" t="str">
        <f t="array" ref="Y84">INDEX(xlRTTYNAME,MATCH(1,(xlRTTYENDU=2)*(xlRTTYEQCL=$F84)*(xlRTEQTYPE=$G84),0))</f>
        <v>CENT_AIR1</v>
      </c>
    </row>
    <row r="85" spans="2:25" x14ac:dyDescent="0.2">
      <c r="B85" s="5">
        <v>7</v>
      </c>
      <c r="C85" s="5">
        <v>1</v>
      </c>
      <c r="D85" s="5">
        <v>7</v>
      </c>
      <c r="E85" s="5">
        <v>22</v>
      </c>
      <c r="F85" s="5">
        <v>2</v>
      </c>
      <c r="G85" s="31">
        <v>4</v>
      </c>
      <c r="H85" s="31">
        <v>2020</v>
      </c>
      <c r="I85" s="96">
        <v>2050</v>
      </c>
      <c r="J85" s="142">
        <v>1.0885</v>
      </c>
      <c r="K85" s="142">
        <v>1.0575000000000001</v>
      </c>
      <c r="L85" s="142">
        <v>1.0466</v>
      </c>
      <c r="M85" s="142">
        <v>1.0382</v>
      </c>
      <c r="N85" s="142">
        <v>0.872</v>
      </c>
      <c r="O85" s="142">
        <v>1.0538000000000001</v>
      </c>
      <c r="P85" s="26">
        <v>0</v>
      </c>
      <c r="Q85" s="35">
        <f t="array" ref="Q85">SUM(IF(($S85&gt;=4)*($C85='TaxCred&amp;Subs'!$D$114:$D$121)*($H85='TaxCred&amp;Subs'!$C$114:$C$121)*($H85&lt;='TaxCred&amp;Subs'!$C$123),'TaxCred&amp;Subs'!$E$114:$E$121,0))</f>
        <v>0</v>
      </c>
      <c r="R85" s="143">
        <v>0</v>
      </c>
      <c r="S85" s="5">
        <v>1</v>
      </c>
      <c r="T85" s="5" t="s">
        <v>219</v>
      </c>
      <c r="V85" s="7" t="str">
        <f t="array" ref="V85">INDEX(xlRTCLNAME,MATCH(1,(xlRTCLENDU=1)*(xlRTCLEQCL=$D85),0))</f>
        <v>DIST_FA</v>
      </c>
      <c r="W85" s="7" t="str">
        <f t="array" ref="W85">INDEX(xlRTCLNAME,MATCH(1,(xlRTCLENDU=2)*(xlRTCLEQCL=$F85),0))</f>
        <v>CENT_AIR</v>
      </c>
      <c r="X85" s="7" t="str">
        <f t="array" ref="X85">INDEX(xlRTTYNAME,MATCH(1,(xlRTTYENDU=1)*(xlRTTYEQCL=$D85)*(xlRTEQTYPE=$E85),0))</f>
        <v>DIST_FA1</v>
      </c>
      <c r="Y85" s="7" t="str">
        <f t="array" ref="Y85">INDEX(xlRTTYNAME,MATCH(1,(xlRTTYENDU=2)*(xlRTTYEQCL=$F85)*(xlRTEQTYPE=$G85),0))</f>
        <v>CENT_AIR1</v>
      </c>
    </row>
    <row r="86" spans="2:25" x14ac:dyDescent="0.2">
      <c r="B86" s="5">
        <v>8</v>
      </c>
      <c r="C86" s="5">
        <v>1</v>
      </c>
      <c r="D86" s="5">
        <v>7</v>
      </c>
      <c r="E86" s="5">
        <v>22</v>
      </c>
      <c r="F86" s="5">
        <v>2</v>
      </c>
      <c r="G86" s="31">
        <v>4</v>
      </c>
      <c r="H86" s="31">
        <v>2020</v>
      </c>
      <c r="I86" s="96">
        <v>2050</v>
      </c>
      <c r="J86" s="142">
        <v>1.0838000000000001</v>
      </c>
      <c r="K86" s="142">
        <v>1.0832999999999999</v>
      </c>
      <c r="L86" s="142">
        <v>0.97750000000000004</v>
      </c>
      <c r="M86" s="142">
        <v>1.0076000000000001</v>
      </c>
      <c r="N86" s="142">
        <v>0.86950000000000005</v>
      </c>
      <c r="O86" s="142">
        <v>1.0538000000000001</v>
      </c>
      <c r="P86" s="26">
        <v>0</v>
      </c>
      <c r="Q86" s="35">
        <f t="array" ref="Q86">SUM(IF(($S86&gt;=4)*($C86='TaxCred&amp;Subs'!$D$114:$D$121)*($H86='TaxCred&amp;Subs'!$C$114:$C$121)*($H86&lt;='TaxCred&amp;Subs'!$C$123),'TaxCred&amp;Subs'!$E$114:$E$121,0))</f>
        <v>0</v>
      </c>
      <c r="R86" s="143">
        <v>0</v>
      </c>
      <c r="S86" s="5">
        <v>1</v>
      </c>
      <c r="T86" s="5" t="s">
        <v>219</v>
      </c>
      <c r="V86" s="7" t="str">
        <f t="array" ref="V86">INDEX(xlRTCLNAME,MATCH(1,(xlRTCLENDU=1)*(xlRTCLEQCL=$D86),0))</f>
        <v>DIST_FA</v>
      </c>
      <c r="W86" s="7" t="str">
        <f t="array" ref="W86">INDEX(xlRTCLNAME,MATCH(1,(xlRTCLENDU=2)*(xlRTCLEQCL=$F86),0))</f>
        <v>CENT_AIR</v>
      </c>
      <c r="X86" s="7" t="str">
        <f t="array" ref="X86">INDEX(xlRTTYNAME,MATCH(1,(xlRTTYENDU=1)*(xlRTTYEQCL=$D86)*(xlRTEQTYPE=$E86),0))</f>
        <v>DIST_FA1</v>
      </c>
      <c r="Y86" s="7" t="str">
        <f t="array" ref="Y86">INDEX(xlRTTYNAME,MATCH(1,(xlRTTYENDU=2)*(xlRTTYEQCL=$F86)*(xlRTEQTYPE=$G86),0))</f>
        <v>CENT_AIR1</v>
      </c>
    </row>
    <row r="87" spans="2:25" x14ac:dyDescent="0.2">
      <c r="B87" s="5">
        <v>9</v>
      </c>
      <c r="C87" s="5">
        <v>1</v>
      </c>
      <c r="D87" s="5">
        <v>7</v>
      </c>
      <c r="E87" s="5">
        <v>22</v>
      </c>
      <c r="F87" s="5">
        <v>2</v>
      </c>
      <c r="G87" s="31">
        <v>4</v>
      </c>
      <c r="H87" s="31">
        <v>2020</v>
      </c>
      <c r="I87" s="96">
        <v>2050</v>
      </c>
      <c r="J87" s="142">
        <v>1.0790999999999999</v>
      </c>
      <c r="K87" s="142">
        <v>1.0722</v>
      </c>
      <c r="L87" s="142">
        <v>1.1240000000000001</v>
      </c>
      <c r="M87" s="142">
        <v>1.1204000000000001</v>
      </c>
      <c r="N87" s="142">
        <v>1.0336000000000001</v>
      </c>
      <c r="O87" s="142">
        <v>1.0538000000000001</v>
      </c>
      <c r="P87" s="26">
        <v>0</v>
      </c>
      <c r="Q87" s="35">
        <f t="array" ref="Q87">SUM(IF(($S87&gt;=4)*($C87='TaxCred&amp;Subs'!$D$114:$D$121)*($H87='TaxCred&amp;Subs'!$C$114:$C$121)*($H87&lt;='TaxCred&amp;Subs'!$C$123),'TaxCred&amp;Subs'!$E$114:$E$121,0))</f>
        <v>0</v>
      </c>
      <c r="R87" s="143">
        <v>0</v>
      </c>
      <c r="S87" s="5">
        <v>1</v>
      </c>
      <c r="T87" s="5" t="s">
        <v>219</v>
      </c>
      <c r="V87" s="7" t="str">
        <f t="array" ref="V87">INDEX(xlRTCLNAME,MATCH(1,(xlRTCLENDU=1)*(xlRTCLEQCL=$D87),0))</f>
        <v>DIST_FA</v>
      </c>
      <c r="W87" s="7" t="str">
        <f t="array" ref="W87">INDEX(xlRTCLNAME,MATCH(1,(xlRTCLENDU=2)*(xlRTCLEQCL=$F87),0))</f>
        <v>CENT_AIR</v>
      </c>
      <c r="X87" s="7" t="str">
        <f t="array" ref="X87">INDEX(xlRTTYNAME,MATCH(1,(xlRTTYENDU=1)*(xlRTTYEQCL=$D87)*(xlRTEQTYPE=$E87),0))</f>
        <v>DIST_FA1</v>
      </c>
      <c r="Y87" s="7" t="str">
        <f t="array" ref="Y87">INDEX(xlRTTYNAME,MATCH(1,(xlRTTYENDU=2)*(xlRTTYEQCL=$F87)*(xlRTEQTYPE=$G87),0))</f>
        <v>CENT_AIR1</v>
      </c>
    </row>
    <row r="88" spans="2:25" x14ac:dyDescent="0.2">
      <c r="B88" s="5">
        <v>1</v>
      </c>
      <c r="C88" s="5">
        <v>1</v>
      </c>
      <c r="D88" s="5">
        <v>8</v>
      </c>
      <c r="E88" s="5">
        <v>26</v>
      </c>
      <c r="F88" s="5">
        <v>2</v>
      </c>
      <c r="G88" s="31">
        <v>4</v>
      </c>
      <c r="H88" s="31">
        <v>2020</v>
      </c>
      <c r="I88" s="96">
        <v>2050</v>
      </c>
      <c r="J88" s="142">
        <v>1.0592999999999999</v>
      </c>
      <c r="K88" s="142">
        <v>1.0889</v>
      </c>
      <c r="L88" s="142">
        <v>0.91249999999999998</v>
      </c>
      <c r="M88" s="142">
        <v>1.0396000000000001</v>
      </c>
      <c r="N88" s="142">
        <v>0.8095</v>
      </c>
      <c r="O88" s="142">
        <v>1.0538000000000001</v>
      </c>
      <c r="P88" s="26">
        <v>0</v>
      </c>
      <c r="Q88" s="35">
        <f t="array" ref="Q88">SUM(IF(($S88&gt;=4)*($C88='TaxCred&amp;Subs'!$D$114:$D$121)*($H88='TaxCred&amp;Subs'!$C$114:$C$121)*($H88&lt;='TaxCred&amp;Subs'!$C$123),'TaxCred&amp;Subs'!$E$114:$E$121,0))</f>
        <v>0</v>
      </c>
      <c r="R88" s="143">
        <v>0</v>
      </c>
      <c r="S88" s="5">
        <v>1</v>
      </c>
      <c r="T88" s="5" t="s">
        <v>219</v>
      </c>
      <c r="V88" s="7" t="str">
        <f t="array" ref="V88">INDEX(xlRTCLNAME,MATCH(1,(xlRTCLENDU=1)*(xlRTCLEQCL=$D88),0))</f>
        <v>DIST_RAD</v>
      </c>
      <c r="W88" s="7" t="str">
        <f t="array" ref="W88">INDEX(xlRTCLNAME,MATCH(1,(xlRTCLENDU=2)*(xlRTCLEQCL=$F88),0))</f>
        <v>CENT_AIR</v>
      </c>
      <c r="X88" s="7" t="str">
        <f t="array" ref="X88">INDEX(xlRTTYNAME,MATCH(1,(xlRTTYENDU=1)*(xlRTTYEQCL=$D88)*(xlRTEQTYPE=$E88),0))</f>
        <v>DIST_RAD1</v>
      </c>
      <c r="Y88" s="7" t="str">
        <f t="array" ref="Y88">INDEX(xlRTTYNAME,MATCH(1,(xlRTTYENDU=2)*(xlRTTYEQCL=$F88)*(xlRTEQTYPE=$G88),0))</f>
        <v>CENT_AIR1</v>
      </c>
    </row>
    <row r="89" spans="2:25" x14ac:dyDescent="0.2">
      <c r="B89" s="5">
        <v>2</v>
      </c>
      <c r="C89" s="5">
        <v>1</v>
      </c>
      <c r="D89" s="5">
        <v>8</v>
      </c>
      <c r="E89" s="5">
        <v>26</v>
      </c>
      <c r="F89" s="5">
        <v>2</v>
      </c>
      <c r="G89" s="31">
        <v>4</v>
      </c>
      <c r="H89" s="31">
        <v>2020</v>
      </c>
      <c r="I89" s="96">
        <v>2050</v>
      </c>
      <c r="J89" s="142">
        <v>1.0717000000000001</v>
      </c>
      <c r="K89" s="142">
        <v>1.0895999999999999</v>
      </c>
      <c r="L89" s="142">
        <v>0.9929</v>
      </c>
      <c r="M89" s="142">
        <v>0.95550000000000002</v>
      </c>
      <c r="N89" s="142">
        <v>0.92630000000000001</v>
      </c>
      <c r="O89" s="142">
        <v>1.0538000000000001</v>
      </c>
      <c r="P89" s="26">
        <v>0</v>
      </c>
      <c r="Q89" s="35">
        <f t="array" ref="Q89">SUM(IF(($S89&gt;=4)*($C89='TaxCred&amp;Subs'!$D$114:$D$121)*($H89='TaxCred&amp;Subs'!$C$114:$C$121)*($H89&lt;='TaxCred&amp;Subs'!$C$123),'TaxCred&amp;Subs'!$E$114:$E$121,0))</f>
        <v>0</v>
      </c>
      <c r="R89" s="143">
        <v>0</v>
      </c>
      <c r="S89" s="5">
        <v>1</v>
      </c>
      <c r="T89" s="5" t="s">
        <v>219</v>
      </c>
      <c r="V89" s="7" t="str">
        <f t="array" ref="V89">INDEX(xlRTCLNAME,MATCH(1,(xlRTCLENDU=1)*(xlRTCLEQCL=$D89),0))</f>
        <v>DIST_RAD</v>
      </c>
      <c r="W89" s="7" t="str">
        <f t="array" ref="W89">INDEX(xlRTCLNAME,MATCH(1,(xlRTCLENDU=2)*(xlRTCLEQCL=$F89),0))</f>
        <v>CENT_AIR</v>
      </c>
      <c r="X89" s="7" t="str">
        <f t="array" ref="X89">INDEX(xlRTTYNAME,MATCH(1,(xlRTTYENDU=1)*(xlRTTYEQCL=$D89)*(xlRTEQTYPE=$E89),0))</f>
        <v>DIST_RAD1</v>
      </c>
      <c r="Y89" s="7" t="str">
        <f t="array" ref="Y89">INDEX(xlRTTYNAME,MATCH(1,(xlRTTYENDU=2)*(xlRTTYEQCL=$F89)*(xlRTEQTYPE=$G89),0))</f>
        <v>CENT_AIR1</v>
      </c>
    </row>
    <row r="90" spans="2:25" x14ac:dyDescent="0.2">
      <c r="B90" s="5">
        <v>3</v>
      </c>
      <c r="C90" s="5">
        <v>1</v>
      </c>
      <c r="D90" s="5">
        <v>8</v>
      </c>
      <c r="E90" s="5">
        <v>26</v>
      </c>
      <c r="F90" s="5">
        <v>2</v>
      </c>
      <c r="G90" s="31">
        <v>4</v>
      </c>
      <c r="H90" s="31">
        <v>2020</v>
      </c>
      <c r="I90" s="96">
        <v>2050</v>
      </c>
      <c r="J90" s="142">
        <v>1.0821000000000001</v>
      </c>
      <c r="K90" s="142">
        <v>1.0769</v>
      </c>
      <c r="L90" s="142">
        <v>0.93120000000000003</v>
      </c>
      <c r="M90" s="142">
        <v>0.9627</v>
      </c>
      <c r="N90" s="142">
        <v>0.91400000000000003</v>
      </c>
      <c r="O90" s="142">
        <v>1.0538000000000001</v>
      </c>
      <c r="P90" s="26">
        <v>0</v>
      </c>
      <c r="Q90" s="35">
        <f t="array" ref="Q90">SUM(IF(($S90&gt;=4)*($C90='TaxCred&amp;Subs'!$D$114:$D$121)*($H90='TaxCred&amp;Subs'!$C$114:$C$121)*($H90&lt;='TaxCred&amp;Subs'!$C$123),'TaxCred&amp;Subs'!$E$114:$E$121,0))</f>
        <v>0</v>
      </c>
      <c r="R90" s="143">
        <v>0</v>
      </c>
      <c r="S90" s="5">
        <v>1</v>
      </c>
      <c r="T90" s="5" t="s">
        <v>219</v>
      </c>
      <c r="V90" s="7" t="str">
        <f t="array" ref="V90">INDEX(xlRTCLNAME,MATCH(1,(xlRTCLENDU=1)*(xlRTCLEQCL=$D90),0))</f>
        <v>DIST_RAD</v>
      </c>
      <c r="W90" s="7" t="str">
        <f t="array" ref="W90">INDEX(xlRTCLNAME,MATCH(1,(xlRTCLENDU=2)*(xlRTCLEQCL=$F90),0))</f>
        <v>CENT_AIR</v>
      </c>
      <c r="X90" s="7" t="str">
        <f t="array" ref="X90">INDEX(xlRTTYNAME,MATCH(1,(xlRTTYENDU=1)*(xlRTTYEQCL=$D90)*(xlRTEQTYPE=$E90),0))</f>
        <v>DIST_RAD1</v>
      </c>
      <c r="Y90" s="7" t="str">
        <f t="array" ref="Y90">INDEX(xlRTTYNAME,MATCH(1,(xlRTTYENDU=2)*(xlRTTYEQCL=$F90)*(xlRTEQTYPE=$G90),0))</f>
        <v>CENT_AIR1</v>
      </c>
    </row>
    <row r="91" spans="2:25" x14ac:dyDescent="0.2">
      <c r="B91" s="5">
        <v>4</v>
      </c>
      <c r="C91" s="5">
        <v>1</v>
      </c>
      <c r="D91" s="5">
        <v>8</v>
      </c>
      <c r="E91" s="5">
        <v>26</v>
      </c>
      <c r="F91" s="5">
        <v>2</v>
      </c>
      <c r="G91" s="31">
        <v>4</v>
      </c>
      <c r="H91" s="31">
        <v>2020</v>
      </c>
      <c r="I91" s="96">
        <v>2050</v>
      </c>
      <c r="J91" s="142">
        <v>1.0812999999999999</v>
      </c>
      <c r="K91" s="142">
        <v>1.0769</v>
      </c>
      <c r="L91" s="142">
        <v>0.87539999999999996</v>
      </c>
      <c r="M91" s="142">
        <v>0.87319999999999998</v>
      </c>
      <c r="N91" s="142">
        <v>0.85660000000000003</v>
      </c>
      <c r="O91" s="142">
        <v>1.0538000000000001</v>
      </c>
      <c r="P91" s="26">
        <v>0</v>
      </c>
      <c r="Q91" s="35">
        <f t="array" ref="Q91">SUM(IF(($S91&gt;=4)*($C91='TaxCred&amp;Subs'!$D$114:$D$121)*($H91='TaxCred&amp;Subs'!$C$114:$C$121)*($H91&lt;='TaxCred&amp;Subs'!$C$123),'TaxCred&amp;Subs'!$E$114:$E$121,0))</f>
        <v>0</v>
      </c>
      <c r="R91" s="143">
        <v>0</v>
      </c>
      <c r="S91" s="5">
        <v>1</v>
      </c>
      <c r="T91" s="5" t="s">
        <v>219</v>
      </c>
      <c r="V91" s="7" t="str">
        <f t="array" ref="V91">INDEX(xlRTCLNAME,MATCH(1,(xlRTCLENDU=1)*(xlRTCLEQCL=$D91),0))</f>
        <v>DIST_RAD</v>
      </c>
      <c r="W91" s="7" t="str">
        <f t="array" ref="W91">INDEX(xlRTCLNAME,MATCH(1,(xlRTCLENDU=2)*(xlRTCLEQCL=$F91),0))</f>
        <v>CENT_AIR</v>
      </c>
      <c r="X91" s="7" t="str">
        <f t="array" ref="X91">INDEX(xlRTTYNAME,MATCH(1,(xlRTTYENDU=1)*(xlRTTYEQCL=$D91)*(xlRTEQTYPE=$E91),0))</f>
        <v>DIST_RAD1</v>
      </c>
      <c r="Y91" s="7" t="str">
        <f t="array" ref="Y91">INDEX(xlRTTYNAME,MATCH(1,(xlRTTYENDU=2)*(xlRTTYEQCL=$F91)*(xlRTEQTYPE=$G91),0))</f>
        <v>CENT_AIR1</v>
      </c>
    </row>
    <row r="92" spans="2:25" x14ac:dyDescent="0.2">
      <c r="B92" s="5">
        <v>5</v>
      </c>
      <c r="C92" s="5">
        <v>1</v>
      </c>
      <c r="D92" s="5">
        <v>8</v>
      </c>
      <c r="E92" s="5">
        <v>26</v>
      </c>
      <c r="F92" s="5">
        <v>2</v>
      </c>
      <c r="G92" s="31">
        <v>4</v>
      </c>
      <c r="H92" s="31">
        <v>2020</v>
      </c>
      <c r="I92" s="96">
        <v>2050</v>
      </c>
      <c r="J92" s="142">
        <v>1.0838000000000001</v>
      </c>
      <c r="K92" s="142">
        <v>1.0465</v>
      </c>
      <c r="L92" s="142">
        <v>0.89700000000000002</v>
      </c>
      <c r="M92" s="142">
        <v>1.0934999999999999</v>
      </c>
      <c r="N92" s="142">
        <v>0.75670000000000004</v>
      </c>
      <c r="O92" s="142">
        <v>1.0538000000000001</v>
      </c>
      <c r="P92" s="26">
        <v>0</v>
      </c>
      <c r="Q92" s="35">
        <f t="array" ref="Q92">SUM(IF(($S92&gt;=4)*($C92='TaxCred&amp;Subs'!$D$114:$D$121)*($H92='TaxCred&amp;Subs'!$C$114:$C$121)*($H92&lt;='TaxCred&amp;Subs'!$C$123),'TaxCred&amp;Subs'!$E$114:$E$121,0))</f>
        <v>0</v>
      </c>
      <c r="R92" s="143">
        <v>0</v>
      </c>
      <c r="S92" s="5">
        <v>1</v>
      </c>
      <c r="T92" s="5" t="s">
        <v>219</v>
      </c>
      <c r="V92" s="7" t="str">
        <f t="array" ref="V92">INDEX(xlRTCLNAME,MATCH(1,(xlRTCLENDU=1)*(xlRTCLEQCL=$D92),0))</f>
        <v>DIST_RAD</v>
      </c>
      <c r="W92" s="7" t="str">
        <f t="array" ref="W92">INDEX(xlRTCLNAME,MATCH(1,(xlRTCLENDU=2)*(xlRTCLEQCL=$F92),0))</f>
        <v>CENT_AIR</v>
      </c>
      <c r="X92" s="7" t="str">
        <f t="array" ref="X92">INDEX(xlRTTYNAME,MATCH(1,(xlRTTYENDU=1)*(xlRTTYEQCL=$D92)*(xlRTEQTYPE=$E92),0))</f>
        <v>DIST_RAD1</v>
      </c>
      <c r="Y92" s="7" t="str">
        <f t="array" ref="Y92">INDEX(xlRTTYNAME,MATCH(1,(xlRTTYENDU=2)*(xlRTTYEQCL=$F92)*(xlRTEQTYPE=$G92),0))</f>
        <v>CENT_AIR1</v>
      </c>
    </row>
    <row r="93" spans="2:25" x14ac:dyDescent="0.2">
      <c r="B93" s="5">
        <v>6</v>
      </c>
      <c r="C93" s="5">
        <v>1</v>
      </c>
      <c r="D93" s="5">
        <v>8</v>
      </c>
      <c r="E93" s="5">
        <v>26</v>
      </c>
      <c r="F93" s="5">
        <v>2</v>
      </c>
      <c r="G93" s="31">
        <v>4</v>
      </c>
      <c r="H93" s="31">
        <v>2020</v>
      </c>
      <c r="I93" s="96">
        <v>2050</v>
      </c>
      <c r="J93" s="142">
        <v>1.089</v>
      </c>
      <c r="K93" s="142">
        <v>1.0583</v>
      </c>
      <c r="L93" s="142">
        <v>1.0245</v>
      </c>
      <c r="M93" s="142">
        <v>1.1335999999999999</v>
      </c>
      <c r="N93" s="142">
        <v>0.88849999999999996</v>
      </c>
      <c r="O93" s="142">
        <v>1.0538000000000001</v>
      </c>
      <c r="P93" s="26">
        <v>0</v>
      </c>
      <c r="Q93" s="35">
        <f t="array" ref="Q93">SUM(IF(($S93&gt;=4)*($C93='TaxCred&amp;Subs'!$D$114:$D$121)*($H93='TaxCred&amp;Subs'!$C$114:$C$121)*($H93&lt;='TaxCred&amp;Subs'!$C$123),'TaxCred&amp;Subs'!$E$114:$E$121,0))</f>
        <v>0</v>
      </c>
      <c r="R93" s="143">
        <v>0</v>
      </c>
      <c r="S93" s="5">
        <v>1</v>
      </c>
      <c r="T93" s="5" t="s">
        <v>219</v>
      </c>
      <c r="V93" s="7" t="str">
        <f t="array" ref="V93">INDEX(xlRTCLNAME,MATCH(1,(xlRTCLENDU=1)*(xlRTCLEQCL=$D93),0))</f>
        <v>DIST_RAD</v>
      </c>
      <c r="W93" s="7" t="str">
        <f t="array" ref="W93">INDEX(xlRTCLNAME,MATCH(1,(xlRTCLENDU=2)*(xlRTCLEQCL=$F93),0))</f>
        <v>CENT_AIR</v>
      </c>
      <c r="X93" s="7" t="str">
        <f t="array" ref="X93">INDEX(xlRTTYNAME,MATCH(1,(xlRTTYENDU=1)*(xlRTTYEQCL=$D93)*(xlRTEQTYPE=$E93),0))</f>
        <v>DIST_RAD1</v>
      </c>
      <c r="Y93" s="7" t="str">
        <f t="array" ref="Y93">INDEX(xlRTTYNAME,MATCH(1,(xlRTTYENDU=2)*(xlRTTYEQCL=$F93)*(xlRTEQTYPE=$G93),0))</f>
        <v>CENT_AIR1</v>
      </c>
    </row>
    <row r="94" spans="2:25" x14ac:dyDescent="0.2">
      <c r="B94" s="5">
        <v>7</v>
      </c>
      <c r="C94" s="5">
        <v>1</v>
      </c>
      <c r="D94" s="5">
        <v>8</v>
      </c>
      <c r="E94" s="5">
        <v>26</v>
      </c>
      <c r="F94" s="5">
        <v>2</v>
      </c>
      <c r="G94" s="31">
        <v>4</v>
      </c>
      <c r="H94" s="31">
        <v>2020</v>
      </c>
      <c r="I94" s="96">
        <v>2050</v>
      </c>
      <c r="J94" s="142">
        <v>1.0867</v>
      </c>
      <c r="K94" s="142">
        <v>1.0682</v>
      </c>
      <c r="L94" s="142">
        <v>1.046</v>
      </c>
      <c r="M94" s="142">
        <v>1.0382</v>
      </c>
      <c r="N94" s="142">
        <v>0.87180000000000002</v>
      </c>
      <c r="O94" s="142">
        <v>1.0538000000000001</v>
      </c>
      <c r="P94" s="26">
        <v>0</v>
      </c>
      <c r="Q94" s="35">
        <f t="array" ref="Q94">SUM(IF(($S94&gt;=4)*($C94='TaxCred&amp;Subs'!$D$114:$D$121)*($H94='TaxCred&amp;Subs'!$C$114:$C$121)*($H94&lt;='TaxCred&amp;Subs'!$C$123),'TaxCred&amp;Subs'!$E$114:$E$121,0))</f>
        <v>0</v>
      </c>
      <c r="R94" s="143">
        <v>0</v>
      </c>
      <c r="S94" s="5">
        <v>1</v>
      </c>
      <c r="T94" s="5" t="s">
        <v>219</v>
      </c>
      <c r="V94" s="7" t="str">
        <f t="array" ref="V94">INDEX(xlRTCLNAME,MATCH(1,(xlRTCLENDU=1)*(xlRTCLEQCL=$D94),0))</f>
        <v>DIST_RAD</v>
      </c>
      <c r="W94" s="7" t="str">
        <f t="array" ref="W94">INDEX(xlRTCLNAME,MATCH(1,(xlRTCLENDU=2)*(xlRTCLEQCL=$F94),0))</f>
        <v>CENT_AIR</v>
      </c>
      <c r="X94" s="7" t="str">
        <f t="array" ref="X94">INDEX(xlRTTYNAME,MATCH(1,(xlRTTYENDU=1)*(xlRTTYEQCL=$D94)*(xlRTEQTYPE=$E94),0))</f>
        <v>DIST_RAD1</v>
      </c>
      <c r="Y94" s="7" t="str">
        <f t="array" ref="Y94">INDEX(xlRTTYNAME,MATCH(1,(xlRTTYENDU=2)*(xlRTTYEQCL=$F94)*(xlRTEQTYPE=$G94),0))</f>
        <v>CENT_AIR1</v>
      </c>
    </row>
    <row r="95" spans="2:25" x14ac:dyDescent="0.2">
      <c r="B95" s="5">
        <v>8</v>
      </c>
      <c r="C95" s="5">
        <v>1</v>
      </c>
      <c r="D95" s="5">
        <v>8</v>
      </c>
      <c r="E95" s="5">
        <v>26</v>
      </c>
      <c r="F95" s="5">
        <v>2</v>
      </c>
      <c r="G95" s="31">
        <v>4</v>
      </c>
      <c r="H95" s="31">
        <v>2020</v>
      </c>
      <c r="I95" s="96">
        <v>2050</v>
      </c>
      <c r="J95" s="142">
        <v>1.0820000000000001</v>
      </c>
      <c r="K95" s="142">
        <v>1.0832999999999999</v>
      </c>
      <c r="L95" s="142">
        <v>0.96730000000000005</v>
      </c>
      <c r="M95" s="142">
        <v>1.0076000000000001</v>
      </c>
      <c r="N95" s="142">
        <v>0.86439999999999995</v>
      </c>
      <c r="O95" s="142">
        <v>1.0538000000000001</v>
      </c>
      <c r="P95" s="26">
        <v>0</v>
      </c>
      <c r="Q95" s="35">
        <f t="array" ref="Q95">SUM(IF(($S95&gt;=4)*($C95='TaxCred&amp;Subs'!$D$114:$D$121)*($H95='TaxCred&amp;Subs'!$C$114:$C$121)*($H95&lt;='TaxCred&amp;Subs'!$C$123),'TaxCred&amp;Subs'!$E$114:$E$121,0))</f>
        <v>0</v>
      </c>
      <c r="R95" s="143">
        <v>0</v>
      </c>
      <c r="S95" s="5">
        <v>1</v>
      </c>
      <c r="T95" s="5" t="s">
        <v>219</v>
      </c>
      <c r="V95" s="7" t="str">
        <f t="array" ref="V95">INDEX(xlRTCLNAME,MATCH(1,(xlRTCLENDU=1)*(xlRTCLEQCL=$D95),0))</f>
        <v>DIST_RAD</v>
      </c>
      <c r="W95" s="7" t="str">
        <f t="array" ref="W95">INDEX(xlRTCLNAME,MATCH(1,(xlRTCLENDU=2)*(xlRTCLEQCL=$F95),0))</f>
        <v>CENT_AIR</v>
      </c>
      <c r="X95" s="7" t="str">
        <f t="array" ref="X95">INDEX(xlRTTYNAME,MATCH(1,(xlRTTYENDU=1)*(xlRTTYEQCL=$D95)*(xlRTEQTYPE=$E95),0))</f>
        <v>DIST_RAD1</v>
      </c>
      <c r="Y95" s="7" t="str">
        <f t="array" ref="Y95">INDEX(xlRTTYNAME,MATCH(1,(xlRTTYENDU=2)*(xlRTTYEQCL=$F95)*(xlRTEQTYPE=$G95),0))</f>
        <v>CENT_AIR1</v>
      </c>
    </row>
    <row r="96" spans="2:25" x14ac:dyDescent="0.2">
      <c r="B96" s="5">
        <v>9</v>
      </c>
      <c r="C96" s="5">
        <v>1</v>
      </c>
      <c r="D96" s="5">
        <v>8</v>
      </c>
      <c r="E96" s="5">
        <v>26</v>
      </c>
      <c r="F96" s="5">
        <v>2</v>
      </c>
      <c r="G96" s="31">
        <v>4</v>
      </c>
      <c r="H96" s="31">
        <v>2020</v>
      </c>
      <c r="I96" s="96">
        <v>2050</v>
      </c>
      <c r="J96" s="142">
        <v>1.0414000000000001</v>
      </c>
      <c r="K96" s="142">
        <v>1.07</v>
      </c>
      <c r="L96" s="142">
        <v>1.1088</v>
      </c>
      <c r="M96" s="142">
        <v>1.1204000000000001</v>
      </c>
      <c r="N96" s="142">
        <v>1.026</v>
      </c>
      <c r="O96" s="142">
        <v>1.0538000000000001</v>
      </c>
      <c r="P96" s="26">
        <v>0</v>
      </c>
      <c r="Q96" s="35">
        <f t="array" ref="Q96">SUM(IF(($S96&gt;=4)*($C96='TaxCred&amp;Subs'!$D$114:$D$121)*($H96='TaxCred&amp;Subs'!$C$114:$C$121)*($H96&lt;='TaxCred&amp;Subs'!$C$123),'TaxCred&amp;Subs'!$E$114:$E$121,0))</f>
        <v>0</v>
      </c>
      <c r="R96" s="143">
        <v>0</v>
      </c>
      <c r="S96" s="5">
        <v>1</v>
      </c>
      <c r="T96" s="5" t="s">
        <v>219</v>
      </c>
      <c r="V96" s="7" t="str">
        <f t="array" ref="V96">INDEX(xlRTCLNAME,MATCH(1,(xlRTCLENDU=1)*(xlRTCLEQCL=$D96),0))</f>
        <v>DIST_RAD</v>
      </c>
      <c r="W96" s="7" t="str">
        <f t="array" ref="W96">INDEX(xlRTCLNAME,MATCH(1,(xlRTCLENDU=2)*(xlRTCLEQCL=$F96),0))</f>
        <v>CENT_AIR</v>
      </c>
      <c r="X96" s="7" t="str">
        <f t="array" ref="X96">INDEX(xlRTTYNAME,MATCH(1,(xlRTTYENDU=1)*(xlRTTYEQCL=$D96)*(xlRTEQTYPE=$E96),0))</f>
        <v>DIST_RAD1</v>
      </c>
      <c r="Y96" s="7" t="str">
        <f t="array" ref="Y96">INDEX(xlRTTYNAME,MATCH(1,(xlRTTYENDU=2)*(xlRTTYEQCL=$F96)*(xlRTEQTYPE=$G96),0))</f>
        <v>CENT_AIR1</v>
      </c>
    </row>
    <row r="97" spans="2:25" x14ac:dyDescent="0.2">
      <c r="B97" s="5">
        <v>1</v>
      </c>
      <c r="C97" s="5">
        <v>1</v>
      </c>
      <c r="D97" s="5">
        <v>9</v>
      </c>
      <c r="E97" s="31">
        <v>29</v>
      </c>
      <c r="F97" s="5">
        <v>2</v>
      </c>
      <c r="G97" s="31">
        <v>4</v>
      </c>
      <c r="H97" s="31">
        <v>2020</v>
      </c>
      <c r="I97" s="96">
        <v>2050</v>
      </c>
      <c r="J97" s="142">
        <v>1.0592999999999999</v>
      </c>
      <c r="K97" s="142">
        <v>1.0889</v>
      </c>
      <c r="L97" s="142">
        <v>0.91249999999999998</v>
      </c>
      <c r="M97" s="142">
        <v>1.0396000000000001</v>
      </c>
      <c r="N97" s="142">
        <v>0.8095</v>
      </c>
      <c r="O97" s="142">
        <v>1.0538000000000001</v>
      </c>
      <c r="P97" s="26">
        <v>0</v>
      </c>
      <c r="Q97" s="35">
        <f t="array" ref="Q97">SUM(IF(($S97&gt;=4)*($C97='TaxCred&amp;Subs'!$D$114:$D$121)*($H97='TaxCred&amp;Subs'!$C$114:$C$121)*($H97&lt;='TaxCred&amp;Subs'!$C$123),'TaxCred&amp;Subs'!$E$114:$E$121,0))</f>
        <v>0</v>
      </c>
      <c r="R97" s="143">
        <v>0</v>
      </c>
      <c r="S97" s="5">
        <v>1</v>
      </c>
      <c r="T97" s="5" t="s">
        <v>219</v>
      </c>
      <c r="V97" s="7" t="str">
        <f t="array" ref="V97">INDEX(xlRTCLNAME,MATCH(1,(xlRTCLENDU=1)*(xlRTCLEQCL=$D97),0))</f>
        <v>WOOD_HT</v>
      </c>
      <c r="W97" s="7" t="str">
        <f t="array" ref="W97">INDEX(xlRTCLNAME,MATCH(1,(xlRTCLENDU=2)*(xlRTCLEQCL=$F97),0))</f>
        <v>CENT_AIR</v>
      </c>
      <c r="X97" s="7" t="str">
        <f t="array" ref="X97">INDEX(xlRTTYNAME,MATCH(1,(xlRTTYENDU=1)*(xlRTTYEQCL=$D97)*(xlRTEQTYPE=$E97),0))</f>
        <v>WOOD_HT2</v>
      </c>
      <c r="Y97" s="7" t="str">
        <f t="array" ref="Y97">INDEX(xlRTTYNAME,MATCH(1,(xlRTTYENDU=2)*(xlRTTYEQCL=$F97)*(xlRTEQTYPE=$G97),0))</f>
        <v>CENT_AIR1</v>
      </c>
    </row>
    <row r="98" spans="2:25" x14ac:dyDescent="0.2">
      <c r="B98" s="5">
        <v>2</v>
      </c>
      <c r="C98" s="5">
        <v>1</v>
      </c>
      <c r="D98" s="5">
        <v>9</v>
      </c>
      <c r="E98" s="31">
        <v>29</v>
      </c>
      <c r="F98" s="5">
        <v>2</v>
      </c>
      <c r="G98" s="31">
        <v>4</v>
      </c>
      <c r="H98" s="31">
        <v>2020</v>
      </c>
      <c r="I98" s="96">
        <v>2050</v>
      </c>
      <c r="J98" s="142">
        <v>1.0717000000000001</v>
      </c>
      <c r="K98" s="142">
        <v>1.0895999999999999</v>
      </c>
      <c r="L98" s="142">
        <v>0.9929</v>
      </c>
      <c r="M98" s="142">
        <v>0.95550000000000002</v>
      </c>
      <c r="N98" s="142">
        <v>0.92630000000000001</v>
      </c>
      <c r="O98" s="142">
        <v>1.0538000000000001</v>
      </c>
      <c r="P98" s="26">
        <v>0</v>
      </c>
      <c r="Q98" s="35">
        <f t="array" ref="Q98">SUM(IF(($S98&gt;=4)*($C98='TaxCred&amp;Subs'!$D$114:$D$121)*($H98='TaxCred&amp;Subs'!$C$114:$C$121)*($H98&lt;='TaxCred&amp;Subs'!$C$123),'TaxCred&amp;Subs'!$E$114:$E$121,0))</f>
        <v>0</v>
      </c>
      <c r="R98" s="143">
        <v>0</v>
      </c>
      <c r="S98" s="5">
        <v>1</v>
      </c>
      <c r="T98" s="5" t="s">
        <v>219</v>
      </c>
      <c r="V98" s="7" t="str">
        <f t="array" ref="V98">INDEX(xlRTCLNAME,MATCH(1,(xlRTCLENDU=1)*(xlRTCLEQCL=$D98),0))</f>
        <v>WOOD_HT</v>
      </c>
      <c r="W98" s="7" t="str">
        <f t="array" ref="W98">INDEX(xlRTCLNAME,MATCH(1,(xlRTCLENDU=2)*(xlRTCLEQCL=$F98),0))</f>
        <v>CENT_AIR</v>
      </c>
      <c r="X98" s="7" t="str">
        <f t="array" ref="X98">INDEX(xlRTTYNAME,MATCH(1,(xlRTTYENDU=1)*(xlRTTYEQCL=$D98)*(xlRTEQTYPE=$E98),0))</f>
        <v>WOOD_HT2</v>
      </c>
      <c r="Y98" s="7" t="str">
        <f t="array" ref="Y98">INDEX(xlRTTYNAME,MATCH(1,(xlRTTYENDU=2)*(xlRTTYEQCL=$F98)*(xlRTEQTYPE=$G98),0))</f>
        <v>CENT_AIR1</v>
      </c>
    </row>
    <row r="99" spans="2:25" x14ac:dyDescent="0.2">
      <c r="B99" s="5">
        <v>3</v>
      </c>
      <c r="C99" s="5">
        <v>1</v>
      </c>
      <c r="D99" s="5">
        <v>9</v>
      </c>
      <c r="E99" s="31">
        <v>29</v>
      </c>
      <c r="F99" s="5">
        <v>2</v>
      </c>
      <c r="G99" s="31">
        <v>4</v>
      </c>
      <c r="H99" s="31">
        <v>2020</v>
      </c>
      <c r="I99" s="96">
        <v>2050</v>
      </c>
      <c r="J99" s="142">
        <v>1.0821000000000001</v>
      </c>
      <c r="K99" s="142">
        <v>1.0769</v>
      </c>
      <c r="L99" s="142">
        <v>0.93120000000000003</v>
      </c>
      <c r="M99" s="142">
        <v>0.9627</v>
      </c>
      <c r="N99" s="142">
        <v>0.91400000000000003</v>
      </c>
      <c r="O99" s="142">
        <v>1.0538000000000001</v>
      </c>
      <c r="P99" s="26">
        <v>0</v>
      </c>
      <c r="Q99" s="35">
        <f t="array" ref="Q99">SUM(IF(($S99&gt;=4)*($C99='TaxCred&amp;Subs'!$D$114:$D$121)*($H99='TaxCred&amp;Subs'!$C$114:$C$121)*($H99&lt;='TaxCred&amp;Subs'!$C$123),'TaxCred&amp;Subs'!$E$114:$E$121,0))</f>
        <v>0</v>
      </c>
      <c r="R99" s="143">
        <v>0</v>
      </c>
      <c r="S99" s="5">
        <v>1</v>
      </c>
      <c r="T99" s="5" t="s">
        <v>219</v>
      </c>
      <c r="V99" s="7" t="str">
        <f t="array" ref="V99">INDEX(xlRTCLNAME,MATCH(1,(xlRTCLENDU=1)*(xlRTCLEQCL=$D99),0))</f>
        <v>WOOD_HT</v>
      </c>
      <c r="W99" s="7" t="str">
        <f t="array" ref="W99">INDEX(xlRTCLNAME,MATCH(1,(xlRTCLENDU=2)*(xlRTCLEQCL=$F99),0))</f>
        <v>CENT_AIR</v>
      </c>
      <c r="X99" s="7" t="str">
        <f t="array" ref="X99">INDEX(xlRTTYNAME,MATCH(1,(xlRTTYENDU=1)*(xlRTTYEQCL=$D99)*(xlRTEQTYPE=$E99),0))</f>
        <v>WOOD_HT2</v>
      </c>
      <c r="Y99" s="7" t="str">
        <f t="array" ref="Y99">INDEX(xlRTTYNAME,MATCH(1,(xlRTTYENDU=2)*(xlRTTYEQCL=$F99)*(xlRTEQTYPE=$G99),0))</f>
        <v>CENT_AIR1</v>
      </c>
    </row>
    <row r="100" spans="2:25" x14ac:dyDescent="0.2">
      <c r="B100" s="5">
        <v>4</v>
      </c>
      <c r="C100" s="5">
        <v>1</v>
      </c>
      <c r="D100" s="5">
        <v>9</v>
      </c>
      <c r="E100" s="31">
        <v>29</v>
      </c>
      <c r="F100" s="5">
        <v>2</v>
      </c>
      <c r="G100" s="31">
        <v>4</v>
      </c>
      <c r="H100" s="31">
        <v>2020</v>
      </c>
      <c r="I100" s="96">
        <v>2050</v>
      </c>
      <c r="J100" s="142">
        <v>1.0812999999999999</v>
      </c>
      <c r="K100" s="142">
        <v>1.0769</v>
      </c>
      <c r="L100" s="142">
        <v>0.87539999999999996</v>
      </c>
      <c r="M100" s="142">
        <v>0.87319999999999998</v>
      </c>
      <c r="N100" s="142">
        <v>0.85660000000000003</v>
      </c>
      <c r="O100" s="142">
        <v>1.0538000000000001</v>
      </c>
      <c r="P100" s="26">
        <v>0</v>
      </c>
      <c r="Q100" s="35">
        <f t="array" ref="Q100">SUM(IF(($S100&gt;=4)*($C100='TaxCred&amp;Subs'!$D$114:$D$121)*($H100='TaxCred&amp;Subs'!$C$114:$C$121)*($H100&lt;='TaxCred&amp;Subs'!$C$123),'TaxCred&amp;Subs'!$E$114:$E$121,0))</f>
        <v>0</v>
      </c>
      <c r="R100" s="143">
        <v>0</v>
      </c>
      <c r="S100" s="5">
        <v>1</v>
      </c>
      <c r="T100" s="5" t="s">
        <v>219</v>
      </c>
      <c r="V100" s="7" t="str">
        <f t="array" ref="V100">INDEX(xlRTCLNAME,MATCH(1,(xlRTCLENDU=1)*(xlRTCLEQCL=$D100),0))</f>
        <v>WOOD_HT</v>
      </c>
      <c r="W100" s="7" t="str">
        <f t="array" ref="W100">INDEX(xlRTCLNAME,MATCH(1,(xlRTCLENDU=2)*(xlRTCLEQCL=$F100),0))</f>
        <v>CENT_AIR</v>
      </c>
      <c r="X100" s="7" t="str">
        <f t="array" ref="X100">INDEX(xlRTTYNAME,MATCH(1,(xlRTTYENDU=1)*(xlRTTYEQCL=$D100)*(xlRTEQTYPE=$E100),0))</f>
        <v>WOOD_HT2</v>
      </c>
      <c r="Y100" s="7" t="str">
        <f t="array" ref="Y100">INDEX(xlRTTYNAME,MATCH(1,(xlRTTYENDU=2)*(xlRTTYEQCL=$F100)*(xlRTEQTYPE=$G100),0))</f>
        <v>CENT_AIR1</v>
      </c>
    </row>
    <row r="101" spans="2:25" x14ac:dyDescent="0.2">
      <c r="B101" s="5">
        <v>5</v>
      </c>
      <c r="C101" s="5">
        <v>1</v>
      </c>
      <c r="D101" s="5">
        <v>9</v>
      </c>
      <c r="E101" s="31">
        <v>29</v>
      </c>
      <c r="F101" s="5">
        <v>2</v>
      </c>
      <c r="G101" s="31">
        <v>4</v>
      </c>
      <c r="H101" s="31">
        <v>2020</v>
      </c>
      <c r="I101" s="96">
        <v>2050</v>
      </c>
      <c r="J101" s="142">
        <v>1.0838000000000001</v>
      </c>
      <c r="K101" s="142">
        <v>1.0465</v>
      </c>
      <c r="L101" s="142">
        <v>0.89700000000000002</v>
      </c>
      <c r="M101" s="142">
        <v>1.0934999999999999</v>
      </c>
      <c r="N101" s="142">
        <v>0.75670000000000004</v>
      </c>
      <c r="O101" s="142">
        <v>1.0538000000000001</v>
      </c>
      <c r="P101" s="26">
        <v>0</v>
      </c>
      <c r="Q101" s="35">
        <f t="array" ref="Q101">SUM(IF(($S101&gt;=4)*($C101='TaxCred&amp;Subs'!$D$114:$D$121)*($H101='TaxCred&amp;Subs'!$C$114:$C$121)*($H101&lt;='TaxCred&amp;Subs'!$C$123),'TaxCred&amp;Subs'!$E$114:$E$121,0))</f>
        <v>0</v>
      </c>
      <c r="R101" s="143">
        <v>0</v>
      </c>
      <c r="S101" s="5">
        <v>1</v>
      </c>
      <c r="T101" s="5" t="s">
        <v>219</v>
      </c>
      <c r="V101" s="7" t="str">
        <f t="array" ref="V101">INDEX(xlRTCLNAME,MATCH(1,(xlRTCLENDU=1)*(xlRTCLEQCL=$D101),0))</f>
        <v>WOOD_HT</v>
      </c>
      <c r="W101" s="7" t="str">
        <f t="array" ref="W101">INDEX(xlRTCLNAME,MATCH(1,(xlRTCLENDU=2)*(xlRTCLEQCL=$F101),0))</f>
        <v>CENT_AIR</v>
      </c>
      <c r="X101" s="7" t="str">
        <f t="array" ref="X101">INDEX(xlRTTYNAME,MATCH(1,(xlRTTYENDU=1)*(xlRTTYEQCL=$D101)*(xlRTEQTYPE=$E101),0))</f>
        <v>WOOD_HT2</v>
      </c>
      <c r="Y101" s="7" t="str">
        <f t="array" ref="Y101">INDEX(xlRTTYNAME,MATCH(1,(xlRTTYENDU=2)*(xlRTTYEQCL=$F101)*(xlRTEQTYPE=$G101),0))</f>
        <v>CENT_AIR1</v>
      </c>
    </row>
    <row r="102" spans="2:25" x14ac:dyDescent="0.2">
      <c r="B102" s="5">
        <v>6</v>
      </c>
      <c r="C102" s="5">
        <v>1</v>
      </c>
      <c r="D102" s="5">
        <v>9</v>
      </c>
      <c r="E102" s="31">
        <v>29</v>
      </c>
      <c r="F102" s="5">
        <v>2</v>
      </c>
      <c r="G102" s="31">
        <v>4</v>
      </c>
      <c r="H102" s="31">
        <v>2020</v>
      </c>
      <c r="I102" s="96">
        <v>2050</v>
      </c>
      <c r="J102" s="142">
        <v>1.089</v>
      </c>
      <c r="K102" s="142">
        <v>1.0583</v>
      </c>
      <c r="L102" s="142">
        <v>1.0245</v>
      </c>
      <c r="M102" s="142">
        <v>1.1335999999999999</v>
      </c>
      <c r="N102" s="142">
        <v>0.88849999999999996</v>
      </c>
      <c r="O102" s="142">
        <v>1.0538000000000001</v>
      </c>
      <c r="P102" s="26">
        <v>0</v>
      </c>
      <c r="Q102" s="35">
        <f t="array" ref="Q102">SUM(IF(($S102&gt;=4)*($C102='TaxCred&amp;Subs'!$D$114:$D$121)*($H102='TaxCred&amp;Subs'!$C$114:$C$121)*($H102&lt;='TaxCred&amp;Subs'!$C$123),'TaxCred&amp;Subs'!$E$114:$E$121,0))</f>
        <v>0</v>
      </c>
      <c r="R102" s="143">
        <v>0</v>
      </c>
      <c r="S102" s="5">
        <v>1</v>
      </c>
      <c r="T102" s="5" t="s">
        <v>219</v>
      </c>
      <c r="V102" s="7" t="str">
        <f t="array" ref="V102">INDEX(xlRTCLNAME,MATCH(1,(xlRTCLENDU=1)*(xlRTCLEQCL=$D102),0))</f>
        <v>WOOD_HT</v>
      </c>
      <c r="W102" s="7" t="str">
        <f t="array" ref="W102">INDEX(xlRTCLNAME,MATCH(1,(xlRTCLENDU=2)*(xlRTCLEQCL=$F102),0))</f>
        <v>CENT_AIR</v>
      </c>
      <c r="X102" s="7" t="str">
        <f t="array" ref="X102">INDEX(xlRTTYNAME,MATCH(1,(xlRTTYENDU=1)*(xlRTTYEQCL=$D102)*(xlRTEQTYPE=$E102),0))</f>
        <v>WOOD_HT2</v>
      </c>
      <c r="Y102" s="7" t="str">
        <f t="array" ref="Y102">INDEX(xlRTTYNAME,MATCH(1,(xlRTTYENDU=2)*(xlRTTYEQCL=$F102)*(xlRTEQTYPE=$G102),0))</f>
        <v>CENT_AIR1</v>
      </c>
    </row>
    <row r="103" spans="2:25" x14ac:dyDescent="0.2">
      <c r="B103" s="5">
        <v>7</v>
      </c>
      <c r="C103" s="5">
        <v>1</v>
      </c>
      <c r="D103" s="5">
        <v>9</v>
      </c>
      <c r="E103" s="31">
        <v>29</v>
      </c>
      <c r="F103" s="5">
        <v>2</v>
      </c>
      <c r="G103" s="31">
        <v>4</v>
      </c>
      <c r="H103" s="31">
        <v>2020</v>
      </c>
      <c r="I103" s="96">
        <v>2050</v>
      </c>
      <c r="J103" s="142">
        <v>1.0867</v>
      </c>
      <c r="K103" s="142">
        <v>1.0682</v>
      </c>
      <c r="L103" s="142">
        <v>1.046</v>
      </c>
      <c r="M103" s="142">
        <v>1.0382</v>
      </c>
      <c r="N103" s="142">
        <v>0.87180000000000002</v>
      </c>
      <c r="O103" s="142">
        <v>1.0538000000000001</v>
      </c>
      <c r="P103" s="26">
        <v>0</v>
      </c>
      <c r="Q103" s="35">
        <f t="array" ref="Q103">SUM(IF(($S103&gt;=4)*($C103='TaxCred&amp;Subs'!$D$114:$D$121)*($H103='TaxCred&amp;Subs'!$C$114:$C$121)*($H103&lt;='TaxCred&amp;Subs'!$C$123),'TaxCred&amp;Subs'!$E$114:$E$121,0))</f>
        <v>0</v>
      </c>
      <c r="R103" s="143">
        <v>0</v>
      </c>
      <c r="S103" s="5">
        <v>1</v>
      </c>
      <c r="T103" s="5" t="s">
        <v>219</v>
      </c>
      <c r="V103" s="7" t="str">
        <f t="array" ref="V103">INDEX(xlRTCLNAME,MATCH(1,(xlRTCLENDU=1)*(xlRTCLEQCL=$D103),0))</f>
        <v>WOOD_HT</v>
      </c>
      <c r="W103" s="7" t="str">
        <f t="array" ref="W103">INDEX(xlRTCLNAME,MATCH(1,(xlRTCLENDU=2)*(xlRTCLEQCL=$F103),0))</f>
        <v>CENT_AIR</v>
      </c>
      <c r="X103" s="7" t="str">
        <f t="array" ref="X103">INDEX(xlRTTYNAME,MATCH(1,(xlRTTYENDU=1)*(xlRTTYEQCL=$D103)*(xlRTEQTYPE=$E103),0))</f>
        <v>WOOD_HT2</v>
      </c>
      <c r="Y103" s="7" t="str">
        <f t="array" ref="Y103">INDEX(xlRTTYNAME,MATCH(1,(xlRTTYENDU=2)*(xlRTTYEQCL=$F103)*(xlRTEQTYPE=$G103),0))</f>
        <v>CENT_AIR1</v>
      </c>
    </row>
    <row r="104" spans="2:25" x14ac:dyDescent="0.2">
      <c r="B104" s="5">
        <v>8</v>
      </c>
      <c r="C104" s="5">
        <v>1</v>
      </c>
      <c r="D104" s="5">
        <v>9</v>
      </c>
      <c r="E104" s="31">
        <v>29</v>
      </c>
      <c r="F104" s="5">
        <v>2</v>
      </c>
      <c r="G104" s="31">
        <v>4</v>
      </c>
      <c r="H104" s="31">
        <v>2020</v>
      </c>
      <c r="I104" s="96">
        <v>2050</v>
      </c>
      <c r="J104" s="142">
        <v>1.0820000000000001</v>
      </c>
      <c r="K104" s="142">
        <v>1.0832999999999999</v>
      </c>
      <c r="L104" s="142">
        <v>0.96730000000000005</v>
      </c>
      <c r="M104" s="142">
        <v>1.0076000000000001</v>
      </c>
      <c r="N104" s="142">
        <v>0.86439999999999995</v>
      </c>
      <c r="O104" s="142">
        <v>1.0538000000000001</v>
      </c>
      <c r="P104" s="26">
        <v>0</v>
      </c>
      <c r="Q104" s="35">
        <f t="array" ref="Q104">SUM(IF(($S104&gt;=4)*($C104='TaxCred&amp;Subs'!$D$114:$D$121)*($H104='TaxCred&amp;Subs'!$C$114:$C$121)*($H104&lt;='TaxCred&amp;Subs'!$C$123),'TaxCred&amp;Subs'!$E$114:$E$121,0))</f>
        <v>0</v>
      </c>
      <c r="R104" s="143">
        <v>0</v>
      </c>
      <c r="S104" s="5">
        <v>1</v>
      </c>
      <c r="T104" s="5" t="s">
        <v>219</v>
      </c>
      <c r="V104" s="7" t="str">
        <f t="array" ref="V104">INDEX(xlRTCLNAME,MATCH(1,(xlRTCLENDU=1)*(xlRTCLEQCL=$D104),0))</f>
        <v>WOOD_HT</v>
      </c>
      <c r="W104" s="7" t="str">
        <f t="array" ref="W104">INDEX(xlRTCLNAME,MATCH(1,(xlRTCLENDU=2)*(xlRTCLEQCL=$F104),0))</f>
        <v>CENT_AIR</v>
      </c>
      <c r="X104" s="7" t="str">
        <f t="array" ref="X104">INDEX(xlRTTYNAME,MATCH(1,(xlRTTYENDU=1)*(xlRTTYEQCL=$D104)*(xlRTEQTYPE=$E104),0))</f>
        <v>WOOD_HT2</v>
      </c>
      <c r="Y104" s="7" t="str">
        <f t="array" ref="Y104">INDEX(xlRTTYNAME,MATCH(1,(xlRTTYENDU=2)*(xlRTTYEQCL=$F104)*(xlRTEQTYPE=$G104),0))</f>
        <v>CENT_AIR1</v>
      </c>
    </row>
    <row r="105" spans="2:25" x14ac:dyDescent="0.2">
      <c r="B105" s="5">
        <v>9</v>
      </c>
      <c r="C105" s="5">
        <v>1</v>
      </c>
      <c r="D105" s="5">
        <v>9</v>
      </c>
      <c r="E105" s="31">
        <v>29</v>
      </c>
      <c r="F105" s="5">
        <v>2</v>
      </c>
      <c r="G105" s="31">
        <v>4</v>
      </c>
      <c r="H105" s="31">
        <v>2020</v>
      </c>
      <c r="I105" s="96">
        <v>2050</v>
      </c>
      <c r="J105" s="142">
        <v>1.0414000000000001</v>
      </c>
      <c r="K105" s="142">
        <v>1.07</v>
      </c>
      <c r="L105" s="142">
        <v>1.1088</v>
      </c>
      <c r="M105" s="142">
        <v>1.1204000000000001</v>
      </c>
      <c r="N105" s="142">
        <v>1.026</v>
      </c>
      <c r="O105" s="142">
        <v>1.0538000000000001</v>
      </c>
      <c r="P105" s="26">
        <v>0</v>
      </c>
      <c r="Q105" s="35">
        <f t="array" ref="Q105">SUM(IF(($S105&gt;=4)*($C105='TaxCred&amp;Subs'!$D$114:$D$121)*($H105='TaxCred&amp;Subs'!$C$114:$C$121)*($H105&lt;='TaxCred&amp;Subs'!$C$123),'TaxCred&amp;Subs'!$E$114:$E$121,0))</f>
        <v>0</v>
      </c>
      <c r="R105" s="143">
        <v>0</v>
      </c>
      <c r="S105" s="5">
        <v>1</v>
      </c>
      <c r="T105" s="5" t="s">
        <v>219</v>
      </c>
      <c r="V105" s="7" t="str">
        <f t="array" ref="V105">INDEX(xlRTCLNAME,MATCH(1,(xlRTCLENDU=1)*(xlRTCLEQCL=$D105),0))</f>
        <v>WOOD_HT</v>
      </c>
      <c r="W105" s="7" t="str">
        <f t="array" ref="W105">INDEX(xlRTCLNAME,MATCH(1,(xlRTCLENDU=2)*(xlRTCLEQCL=$F105),0))</f>
        <v>CENT_AIR</v>
      </c>
      <c r="X105" s="7" t="str">
        <f t="array" ref="X105">INDEX(xlRTTYNAME,MATCH(1,(xlRTTYENDU=1)*(xlRTTYEQCL=$D105)*(xlRTEQTYPE=$E105),0))</f>
        <v>WOOD_HT2</v>
      </c>
      <c r="Y105" s="7" t="str">
        <f t="array" ref="Y105">INDEX(xlRTTYNAME,MATCH(1,(xlRTTYENDU=2)*(xlRTTYEQCL=$F105)*(xlRTEQTYPE=$G105),0))</f>
        <v>CENT_AIR1</v>
      </c>
    </row>
    <row r="106" spans="2:25" x14ac:dyDescent="0.2">
      <c r="B106" s="5">
        <v>1</v>
      </c>
      <c r="C106" s="5">
        <v>1</v>
      </c>
      <c r="D106" s="5">
        <v>10</v>
      </c>
      <c r="E106" s="31">
        <v>31</v>
      </c>
      <c r="F106" s="5">
        <v>4</v>
      </c>
      <c r="G106" s="31">
        <v>12</v>
      </c>
      <c r="H106" s="31">
        <v>2020</v>
      </c>
      <c r="I106" s="5">
        <v>2050</v>
      </c>
      <c r="J106" s="142">
        <v>1.1071</v>
      </c>
      <c r="K106" s="142">
        <v>1.0713999999999999</v>
      </c>
      <c r="L106" s="142">
        <v>0.90639999999999998</v>
      </c>
      <c r="M106" s="142">
        <v>1.0217000000000001</v>
      </c>
      <c r="N106" s="142">
        <v>0.80640000000000001</v>
      </c>
      <c r="O106" s="142">
        <v>1.0538000000000001</v>
      </c>
      <c r="P106" s="26">
        <v>0</v>
      </c>
      <c r="Q106" s="35">
        <f t="array" ref="Q106">SUM(IF(($S106&gt;=4)*($C106='TaxCred&amp;Subs'!$D$114:$D$121)*($H106='TaxCred&amp;Subs'!$C$114:$C$121)*($H106&lt;='TaxCred&amp;Subs'!$C$123),'TaxCred&amp;Subs'!$E$114:$E$121,0))</f>
        <v>0</v>
      </c>
      <c r="R106" s="143">
        <v>0</v>
      </c>
      <c r="S106" s="5">
        <v>1</v>
      </c>
      <c r="T106" s="5" t="s">
        <v>219</v>
      </c>
      <c r="V106" s="7" t="str">
        <f t="array" ref="V106">INDEX(xlRTCLNAME,MATCH(1,(xlRTCLENDU=1)*(xlRTCLEQCL=$D106),0))</f>
        <v>GEO_HP</v>
      </c>
      <c r="W106" s="7" t="str">
        <f t="array" ref="W106">INDEX(xlRTCLNAME,MATCH(1,(xlRTCLENDU=2)*(xlRTCLEQCL=$F106),0))</f>
        <v>GEO_HP</v>
      </c>
      <c r="X106" s="7" t="str">
        <f t="array" ref="X106">INDEX(xlRTTYNAME,MATCH(1,(xlRTTYENDU=1)*(xlRTTYEQCL=$D106)*(xlRTEQTYPE=$E106),0))</f>
        <v>GEO_HP1</v>
      </c>
      <c r="Y106" s="7" t="str">
        <f t="array" ref="Y106">INDEX(xlRTTYNAME,MATCH(1,(xlRTTYENDU=2)*(xlRTTYEQCL=$F106)*(xlRTEQTYPE=$G106),0))</f>
        <v>GEO_HP1</v>
      </c>
    </row>
    <row r="107" spans="2:25" x14ac:dyDescent="0.2">
      <c r="B107" s="5">
        <v>2</v>
      </c>
      <c r="C107" s="5">
        <v>1</v>
      </c>
      <c r="D107" s="5">
        <v>10</v>
      </c>
      <c r="E107" s="31">
        <v>31</v>
      </c>
      <c r="F107" s="5">
        <v>4</v>
      </c>
      <c r="G107" s="31">
        <v>12</v>
      </c>
      <c r="H107" s="31">
        <v>2020</v>
      </c>
      <c r="I107" s="5">
        <v>2050</v>
      </c>
      <c r="J107" s="142">
        <v>1.0371999999999999</v>
      </c>
      <c r="K107" s="142">
        <v>1.0698000000000001</v>
      </c>
      <c r="L107" s="142">
        <v>1.0472999999999999</v>
      </c>
      <c r="M107" s="142">
        <v>0.96060000000000001</v>
      </c>
      <c r="N107" s="142">
        <v>0.95350000000000001</v>
      </c>
      <c r="O107" s="142">
        <v>1.0538000000000001</v>
      </c>
      <c r="P107" s="26">
        <v>0</v>
      </c>
      <c r="Q107" s="35">
        <f t="array" ref="Q107">SUM(IF(($S107&gt;=4)*($C107='TaxCred&amp;Subs'!$D$114:$D$121)*($H107='TaxCred&amp;Subs'!$C$114:$C$121)*($H107&lt;='TaxCred&amp;Subs'!$C$123),'TaxCred&amp;Subs'!$E$114:$E$121,0))</f>
        <v>0</v>
      </c>
      <c r="R107" s="143">
        <v>0</v>
      </c>
      <c r="S107" s="5">
        <v>1</v>
      </c>
      <c r="T107" s="5" t="s">
        <v>219</v>
      </c>
      <c r="V107" s="7" t="str">
        <f t="array" ref="V107">INDEX(xlRTCLNAME,MATCH(1,(xlRTCLENDU=1)*(xlRTCLEQCL=$D107),0))</f>
        <v>GEO_HP</v>
      </c>
      <c r="W107" s="7" t="str">
        <f t="array" ref="W107">INDEX(xlRTCLNAME,MATCH(1,(xlRTCLENDU=2)*(xlRTCLEQCL=$F107),0))</f>
        <v>GEO_HP</v>
      </c>
      <c r="X107" s="7" t="str">
        <f t="array" ref="X107">INDEX(xlRTTYNAME,MATCH(1,(xlRTTYENDU=1)*(xlRTTYEQCL=$D107)*(xlRTEQTYPE=$E107),0))</f>
        <v>GEO_HP1</v>
      </c>
      <c r="Y107" s="7" t="str">
        <f t="array" ref="Y107">INDEX(xlRTTYNAME,MATCH(1,(xlRTTYENDU=2)*(xlRTTYEQCL=$F107)*(xlRTEQTYPE=$G107),0))</f>
        <v>GEO_HP1</v>
      </c>
    </row>
    <row r="108" spans="2:25" x14ac:dyDescent="0.2">
      <c r="B108" s="5">
        <v>3</v>
      </c>
      <c r="C108" s="5">
        <v>1</v>
      </c>
      <c r="D108" s="5">
        <v>10</v>
      </c>
      <c r="E108" s="31">
        <v>31</v>
      </c>
      <c r="F108" s="5">
        <v>4</v>
      </c>
      <c r="G108" s="31">
        <v>12</v>
      </c>
      <c r="H108" s="31">
        <v>2020</v>
      </c>
      <c r="I108" s="5">
        <v>2050</v>
      </c>
      <c r="J108" s="142">
        <v>1.0431999999999999</v>
      </c>
      <c r="K108" s="142">
        <v>1.0625</v>
      </c>
      <c r="L108" s="142">
        <v>0.92830000000000001</v>
      </c>
      <c r="M108" s="142">
        <v>0.94689999999999996</v>
      </c>
      <c r="N108" s="142">
        <v>0.91259999999999997</v>
      </c>
      <c r="O108" s="142">
        <v>1.0538000000000001</v>
      </c>
      <c r="P108" s="26">
        <v>0</v>
      </c>
      <c r="Q108" s="35">
        <f t="array" ref="Q108">SUM(IF(($S108&gt;=4)*($C108='TaxCred&amp;Subs'!$D$114:$D$121)*($H108='TaxCred&amp;Subs'!$C$114:$C$121)*($H108&lt;='TaxCred&amp;Subs'!$C$123),'TaxCred&amp;Subs'!$E$114:$E$121,0))</f>
        <v>0</v>
      </c>
      <c r="R108" s="143">
        <v>0</v>
      </c>
      <c r="S108" s="5">
        <v>1</v>
      </c>
      <c r="T108" s="5" t="s">
        <v>219</v>
      </c>
      <c r="V108" s="7" t="str">
        <f t="array" ref="V108">INDEX(xlRTCLNAME,MATCH(1,(xlRTCLENDU=1)*(xlRTCLEQCL=$D108),0))</f>
        <v>GEO_HP</v>
      </c>
      <c r="W108" s="7" t="str">
        <f t="array" ref="W108">INDEX(xlRTCLNAME,MATCH(1,(xlRTCLENDU=2)*(xlRTCLEQCL=$F108),0))</f>
        <v>GEO_HP</v>
      </c>
      <c r="X108" s="7" t="str">
        <f t="array" ref="X108">INDEX(xlRTTYNAME,MATCH(1,(xlRTTYENDU=1)*(xlRTTYEQCL=$D108)*(xlRTEQTYPE=$E108),0))</f>
        <v>GEO_HP1</v>
      </c>
      <c r="Y108" s="7" t="str">
        <f t="array" ref="Y108">INDEX(xlRTTYNAME,MATCH(1,(xlRTTYENDU=2)*(xlRTTYEQCL=$F108)*(xlRTEQTYPE=$G108),0))</f>
        <v>GEO_HP1</v>
      </c>
    </row>
    <row r="109" spans="2:25" x14ac:dyDescent="0.2">
      <c r="B109" s="5">
        <v>4</v>
      </c>
      <c r="C109" s="5">
        <v>1</v>
      </c>
      <c r="D109" s="5">
        <v>10</v>
      </c>
      <c r="E109" s="31">
        <v>31</v>
      </c>
      <c r="F109" s="5">
        <v>4</v>
      </c>
      <c r="G109" s="31">
        <v>12</v>
      </c>
      <c r="H109" s="31">
        <v>2020</v>
      </c>
      <c r="I109" s="5">
        <v>2050</v>
      </c>
      <c r="J109" s="142">
        <v>1.0781000000000001</v>
      </c>
      <c r="K109" s="142">
        <v>1.087</v>
      </c>
      <c r="L109" s="142">
        <v>0.85909999999999997</v>
      </c>
      <c r="M109" s="142">
        <v>0.85840000000000005</v>
      </c>
      <c r="N109" s="142">
        <v>0.84850000000000003</v>
      </c>
      <c r="O109" s="142">
        <v>1.0538000000000001</v>
      </c>
      <c r="P109" s="26">
        <v>0</v>
      </c>
      <c r="Q109" s="35">
        <f t="array" ref="Q109">SUM(IF(($S109&gt;=4)*($C109='TaxCred&amp;Subs'!$D$114:$D$121)*($H109='TaxCred&amp;Subs'!$C$114:$C$121)*($H109&lt;='TaxCred&amp;Subs'!$C$123),'TaxCred&amp;Subs'!$E$114:$E$121,0))</f>
        <v>0</v>
      </c>
      <c r="R109" s="143">
        <v>0</v>
      </c>
      <c r="S109" s="5">
        <v>1</v>
      </c>
      <c r="T109" s="5" t="s">
        <v>219</v>
      </c>
      <c r="V109" s="7" t="str">
        <f t="array" ref="V109">INDEX(xlRTCLNAME,MATCH(1,(xlRTCLENDU=1)*(xlRTCLEQCL=$D109),0))</f>
        <v>GEO_HP</v>
      </c>
      <c r="W109" s="7" t="str">
        <f t="array" ref="W109">INDEX(xlRTCLNAME,MATCH(1,(xlRTCLENDU=2)*(xlRTCLEQCL=$F109),0))</f>
        <v>GEO_HP</v>
      </c>
      <c r="X109" s="7" t="str">
        <f t="array" ref="X109">INDEX(xlRTTYNAME,MATCH(1,(xlRTTYENDU=1)*(xlRTTYEQCL=$D109)*(xlRTEQTYPE=$E109),0))</f>
        <v>GEO_HP1</v>
      </c>
      <c r="Y109" s="7" t="str">
        <f t="array" ref="Y109">INDEX(xlRTTYNAME,MATCH(1,(xlRTTYENDU=2)*(xlRTTYEQCL=$F109)*(xlRTEQTYPE=$G109),0))</f>
        <v>GEO_HP1</v>
      </c>
    </row>
    <row r="110" spans="2:25" x14ac:dyDescent="0.2">
      <c r="B110" s="5">
        <v>5</v>
      </c>
      <c r="C110" s="5">
        <v>1</v>
      </c>
      <c r="D110" s="5">
        <v>10</v>
      </c>
      <c r="E110" s="31">
        <v>31</v>
      </c>
      <c r="F110" s="5">
        <v>4</v>
      </c>
      <c r="G110" s="31">
        <v>12</v>
      </c>
      <c r="H110" s="31">
        <v>2020</v>
      </c>
      <c r="I110" s="5">
        <v>2050</v>
      </c>
      <c r="J110" s="142">
        <v>1.0843</v>
      </c>
      <c r="K110" s="142">
        <v>1.0722</v>
      </c>
      <c r="L110" s="142">
        <v>0.90459999999999996</v>
      </c>
      <c r="M110" s="142">
        <v>1.1495</v>
      </c>
      <c r="N110" s="142">
        <v>0.76049999999999995</v>
      </c>
      <c r="O110" s="142">
        <v>1.0538000000000001</v>
      </c>
      <c r="P110" s="26">
        <v>0</v>
      </c>
      <c r="Q110" s="35">
        <f t="array" ref="Q110">SUM(IF(($S110&gt;=4)*($C110='TaxCred&amp;Subs'!$D$114:$D$121)*($H110='TaxCred&amp;Subs'!$C$114:$C$121)*($H110&lt;='TaxCred&amp;Subs'!$C$123),'TaxCred&amp;Subs'!$E$114:$E$121,0))</f>
        <v>0</v>
      </c>
      <c r="R110" s="143">
        <v>0</v>
      </c>
      <c r="S110" s="5">
        <v>1</v>
      </c>
      <c r="T110" s="5" t="s">
        <v>219</v>
      </c>
      <c r="V110" s="7" t="str">
        <f t="array" ref="V110">INDEX(xlRTCLNAME,MATCH(1,(xlRTCLENDU=1)*(xlRTCLEQCL=$D110),0))</f>
        <v>GEO_HP</v>
      </c>
      <c r="W110" s="7" t="str">
        <f t="array" ref="W110">INDEX(xlRTCLNAME,MATCH(1,(xlRTCLENDU=2)*(xlRTCLEQCL=$F110),0))</f>
        <v>GEO_HP</v>
      </c>
      <c r="X110" s="7" t="str">
        <f t="array" ref="X110">INDEX(xlRTTYNAME,MATCH(1,(xlRTTYENDU=1)*(xlRTTYEQCL=$D110)*(xlRTEQTYPE=$E110),0))</f>
        <v>GEO_HP1</v>
      </c>
      <c r="Y110" s="7" t="str">
        <f t="array" ref="Y110">INDEX(xlRTTYNAME,MATCH(1,(xlRTTYENDU=2)*(xlRTTYEQCL=$F110)*(xlRTEQTYPE=$G110),0))</f>
        <v>GEO_HP1</v>
      </c>
    </row>
    <row r="111" spans="2:25" x14ac:dyDescent="0.2">
      <c r="B111" s="5">
        <v>6</v>
      </c>
      <c r="C111" s="5">
        <v>1</v>
      </c>
      <c r="D111" s="5">
        <v>10</v>
      </c>
      <c r="E111" s="31">
        <v>31</v>
      </c>
      <c r="F111" s="5">
        <v>4</v>
      </c>
      <c r="G111" s="31">
        <v>12</v>
      </c>
      <c r="H111" s="31">
        <v>2020</v>
      </c>
      <c r="I111" s="5">
        <v>2050</v>
      </c>
      <c r="J111" s="142">
        <v>1.0982000000000001</v>
      </c>
      <c r="K111" s="142">
        <v>1.0805</v>
      </c>
      <c r="L111" s="142">
        <v>1.0209999999999999</v>
      </c>
      <c r="M111" s="142">
        <v>1.1335999999999999</v>
      </c>
      <c r="N111" s="142">
        <v>0.88680000000000003</v>
      </c>
      <c r="O111" s="142">
        <v>1.0538000000000001</v>
      </c>
      <c r="P111" s="26">
        <v>0</v>
      </c>
      <c r="Q111" s="35">
        <f t="array" ref="Q111">SUM(IF(($S111&gt;=4)*($C111='TaxCred&amp;Subs'!$D$114:$D$121)*($H111='TaxCred&amp;Subs'!$C$114:$C$121)*($H111&lt;='TaxCred&amp;Subs'!$C$123),'TaxCred&amp;Subs'!$E$114:$E$121,0))</f>
        <v>0</v>
      </c>
      <c r="R111" s="143">
        <v>0</v>
      </c>
      <c r="S111" s="5">
        <v>1</v>
      </c>
      <c r="T111" s="5" t="s">
        <v>219</v>
      </c>
      <c r="V111" s="7" t="str">
        <f t="array" ref="V111">INDEX(xlRTCLNAME,MATCH(1,(xlRTCLENDU=1)*(xlRTCLEQCL=$D111),0))</f>
        <v>GEO_HP</v>
      </c>
      <c r="W111" s="7" t="str">
        <f t="array" ref="W111">INDEX(xlRTCLNAME,MATCH(1,(xlRTCLENDU=2)*(xlRTCLEQCL=$F111),0))</f>
        <v>GEO_HP</v>
      </c>
      <c r="X111" s="7" t="str">
        <f t="array" ref="X111">INDEX(xlRTTYNAME,MATCH(1,(xlRTTYENDU=1)*(xlRTTYEQCL=$D111)*(xlRTEQTYPE=$E111),0))</f>
        <v>GEO_HP1</v>
      </c>
      <c r="Y111" s="7" t="str">
        <f t="array" ref="Y111">INDEX(xlRTTYNAME,MATCH(1,(xlRTTYENDU=2)*(xlRTTYEQCL=$F111)*(xlRTEQTYPE=$G111),0))</f>
        <v>GEO_HP1</v>
      </c>
    </row>
    <row r="112" spans="2:25" x14ac:dyDescent="0.2">
      <c r="B112" s="5">
        <v>7</v>
      </c>
      <c r="C112" s="5">
        <v>1</v>
      </c>
      <c r="D112" s="5">
        <v>10</v>
      </c>
      <c r="E112" s="31">
        <v>31</v>
      </c>
      <c r="F112" s="5">
        <v>4</v>
      </c>
      <c r="G112" s="31">
        <v>12</v>
      </c>
      <c r="H112" s="31">
        <v>2020</v>
      </c>
      <c r="I112" s="5">
        <v>2050</v>
      </c>
      <c r="J112" s="142">
        <v>1.1200000000000001</v>
      </c>
      <c r="K112" s="142">
        <v>1.0769</v>
      </c>
      <c r="L112" s="142">
        <v>1.0767</v>
      </c>
      <c r="M112" s="142">
        <v>1.0451999999999999</v>
      </c>
      <c r="N112" s="142">
        <v>0.8871</v>
      </c>
      <c r="O112" s="142">
        <v>1.0538000000000001</v>
      </c>
      <c r="P112" s="26">
        <v>0</v>
      </c>
      <c r="Q112" s="35">
        <f t="array" ref="Q112">SUM(IF(($S112&gt;=4)*($C112='TaxCred&amp;Subs'!$D$114:$D$121)*($H112='TaxCred&amp;Subs'!$C$114:$C$121)*($H112&lt;='TaxCred&amp;Subs'!$C$123),'TaxCred&amp;Subs'!$E$114:$E$121,0))</f>
        <v>0</v>
      </c>
      <c r="R112" s="143">
        <v>0</v>
      </c>
      <c r="S112" s="5">
        <v>1</v>
      </c>
      <c r="T112" s="5" t="s">
        <v>219</v>
      </c>
      <c r="V112" s="7" t="str">
        <f t="array" ref="V112">INDEX(xlRTCLNAME,MATCH(1,(xlRTCLENDU=1)*(xlRTCLEQCL=$D112),0))</f>
        <v>GEO_HP</v>
      </c>
      <c r="W112" s="7" t="str">
        <f t="array" ref="W112">INDEX(xlRTCLNAME,MATCH(1,(xlRTCLENDU=2)*(xlRTCLEQCL=$F112),0))</f>
        <v>GEO_HP</v>
      </c>
      <c r="X112" s="7" t="str">
        <f t="array" ref="X112">INDEX(xlRTTYNAME,MATCH(1,(xlRTTYENDU=1)*(xlRTTYEQCL=$D112)*(xlRTEQTYPE=$E112),0))</f>
        <v>GEO_HP1</v>
      </c>
      <c r="Y112" s="7" t="str">
        <f t="array" ref="Y112">INDEX(xlRTTYNAME,MATCH(1,(xlRTTYENDU=2)*(xlRTTYEQCL=$F112)*(xlRTEQTYPE=$G112),0))</f>
        <v>GEO_HP1</v>
      </c>
    </row>
    <row r="113" spans="2:25" x14ac:dyDescent="0.2">
      <c r="B113" s="5">
        <v>8</v>
      </c>
      <c r="C113" s="5">
        <v>1</v>
      </c>
      <c r="D113" s="5">
        <v>10</v>
      </c>
      <c r="E113" s="31">
        <v>31</v>
      </c>
      <c r="F113" s="5">
        <v>4</v>
      </c>
      <c r="G113" s="31">
        <v>12</v>
      </c>
      <c r="H113" s="31">
        <v>2020</v>
      </c>
      <c r="I113" s="5">
        <v>2050</v>
      </c>
      <c r="J113" s="142">
        <v>1.0417000000000001</v>
      </c>
      <c r="K113" s="142">
        <v>1.0667</v>
      </c>
      <c r="L113" s="142">
        <v>1.0044999999999999</v>
      </c>
      <c r="M113" s="142">
        <v>1.0254000000000001</v>
      </c>
      <c r="N113" s="142">
        <v>0.88300000000000001</v>
      </c>
      <c r="O113" s="142">
        <v>1.0538000000000001</v>
      </c>
      <c r="P113" s="26">
        <v>0</v>
      </c>
      <c r="Q113" s="35">
        <f t="array" ref="Q113">SUM(IF(($S113&gt;=4)*($C113='TaxCred&amp;Subs'!$D$114:$D$121)*($H113='TaxCred&amp;Subs'!$C$114:$C$121)*($H113&lt;='TaxCred&amp;Subs'!$C$123),'TaxCred&amp;Subs'!$E$114:$E$121,0))</f>
        <v>0</v>
      </c>
      <c r="R113" s="143">
        <v>0</v>
      </c>
      <c r="S113" s="5">
        <v>1</v>
      </c>
      <c r="T113" s="5" t="s">
        <v>219</v>
      </c>
      <c r="V113" s="7" t="str">
        <f t="array" ref="V113">INDEX(xlRTCLNAME,MATCH(1,(xlRTCLENDU=1)*(xlRTCLEQCL=$D113),0))</f>
        <v>GEO_HP</v>
      </c>
      <c r="W113" s="7" t="str">
        <f t="array" ref="W113">INDEX(xlRTCLNAME,MATCH(1,(xlRTCLENDU=2)*(xlRTCLEQCL=$F113),0))</f>
        <v>GEO_HP</v>
      </c>
      <c r="X113" s="7" t="str">
        <f t="array" ref="X113">INDEX(xlRTTYNAME,MATCH(1,(xlRTTYENDU=1)*(xlRTTYEQCL=$D113)*(xlRTEQTYPE=$E113),0))</f>
        <v>GEO_HP1</v>
      </c>
      <c r="Y113" s="7" t="str">
        <f t="array" ref="Y113">INDEX(xlRTTYNAME,MATCH(1,(xlRTTYENDU=2)*(xlRTTYEQCL=$F113)*(xlRTEQTYPE=$G113),0))</f>
        <v>GEO_HP1</v>
      </c>
    </row>
    <row r="114" spans="2:25" x14ac:dyDescent="0.2">
      <c r="B114" s="5">
        <v>9</v>
      </c>
      <c r="C114" s="5">
        <v>1</v>
      </c>
      <c r="D114" s="5">
        <v>10</v>
      </c>
      <c r="E114" s="31">
        <v>31</v>
      </c>
      <c r="F114" s="5">
        <v>4</v>
      </c>
      <c r="G114" s="31">
        <v>12</v>
      </c>
      <c r="H114" s="31">
        <v>2020</v>
      </c>
      <c r="I114" s="5">
        <v>2050</v>
      </c>
      <c r="J114" s="142">
        <v>1.0611999999999999</v>
      </c>
      <c r="K114" s="142">
        <v>1.0428999999999999</v>
      </c>
      <c r="L114" s="142">
        <v>1.1268</v>
      </c>
      <c r="M114" s="142">
        <v>1.1483000000000001</v>
      </c>
      <c r="N114" s="142">
        <v>1.0349999999999999</v>
      </c>
      <c r="O114" s="142">
        <v>1.0538000000000001</v>
      </c>
      <c r="P114" s="26">
        <v>0</v>
      </c>
      <c r="Q114" s="35">
        <f t="array" ref="Q114">SUM(IF(($S114&gt;=4)*($C114='TaxCred&amp;Subs'!$D$114:$D$121)*($H114='TaxCred&amp;Subs'!$C$114:$C$121)*($H114&lt;='TaxCred&amp;Subs'!$C$123),'TaxCred&amp;Subs'!$E$114:$E$121,0))</f>
        <v>0</v>
      </c>
      <c r="R114" s="143">
        <v>0</v>
      </c>
      <c r="S114" s="5">
        <v>1</v>
      </c>
      <c r="T114" s="5" t="s">
        <v>219</v>
      </c>
      <c r="V114" s="7" t="str">
        <f t="array" ref="V114">INDEX(xlRTCLNAME,MATCH(1,(xlRTCLENDU=1)*(xlRTCLEQCL=$D114),0))</f>
        <v>GEO_HP</v>
      </c>
      <c r="W114" s="7" t="str">
        <f t="array" ref="W114">INDEX(xlRTCLNAME,MATCH(1,(xlRTCLENDU=2)*(xlRTCLEQCL=$F114),0))</f>
        <v>GEO_HP</v>
      </c>
      <c r="X114" s="7" t="str">
        <f t="array" ref="X114">INDEX(xlRTTYNAME,MATCH(1,(xlRTTYENDU=1)*(xlRTTYEQCL=$D114)*(xlRTEQTYPE=$E114),0))</f>
        <v>GEO_HP1</v>
      </c>
      <c r="Y114" s="7" t="str">
        <f t="array" ref="Y114">INDEX(xlRTTYNAME,MATCH(1,(xlRTTYENDU=2)*(xlRTTYEQCL=$F114)*(xlRTEQTYPE=$G114),0))</f>
        <v>GEO_HP1</v>
      </c>
    </row>
    <row r="115" spans="2:25" x14ac:dyDescent="0.2">
      <c r="B115" s="5">
        <v>1</v>
      </c>
      <c r="C115" s="5">
        <v>1</v>
      </c>
      <c r="D115" s="5">
        <v>11</v>
      </c>
      <c r="E115" s="31">
        <v>35</v>
      </c>
      <c r="F115" s="5">
        <v>5</v>
      </c>
      <c r="G115" s="31">
        <v>16</v>
      </c>
      <c r="H115" s="31">
        <v>2020</v>
      </c>
      <c r="I115" s="5">
        <v>2050</v>
      </c>
      <c r="J115" s="142">
        <v>1.0803</v>
      </c>
      <c r="K115" s="142">
        <v>1.0667</v>
      </c>
      <c r="L115" s="142">
        <v>0.88939999999999997</v>
      </c>
      <c r="M115" s="142">
        <v>1.0285</v>
      </c>
      <c r="N115" s="142">
        <v>0.79790000000000005</v>
      </c>
      <c r="O115" s="142">
        <v>1.0538000000000001</v>
      </c>
      <c r="P115" s="26">
        <v>0</v>
      </c>
      <c r="Q115" s="35">
        <f t="array" ref="Q115">SUM(IF(($S115&gt;=4)*($C115='TaxCred&amp;Subs'!$D$114:$D$121)*($H115='TaxCred&amp;Subs'!$C$114:$C$121)*($H115&lt;='TaxCred&amp;Subs'!$C$123),'TaxCred&amp;Subs'!$E$114:$E$121,0))</f>
        <v>0</v>
      </c>
      <c r="R115" s="143">
        <v>0</v>
      </c>
      <c r="S115" s="5">
        <v>1</v>
      </c>
      <c r="T115" s="5" t="s">
        <v>219</v>
      </c>
      <c r="V115" s="7" t="str">
        <f t="array" ref="V115">INDEX(xlRTCLNAME,MATCH(1,(xlRTCLENDU=1)*(xlRTCLEQCL=$D115),0))</f>
        <v>NG_HP</v>
      </c>
      <c r="W115" s="7" t="str">
        <f t="array" ref="W115">INDEX(xlRTCLNAME,MATCH(1,(xlRTCLENDU=2)*(xlRTCLEQCL=$F115),0))</f>
        <v>NG_HP</v>
      </c>
      <c r="X115" s="7" t="str">
        <f t="array" ref="X115">INDEX(xlRTTYNAME,MATCH(1,(xlRTTYENDU=1)*(xlRTTYEQCL=$D115)*(xlRTEQTYPE=$E115),0))</f>
        <v>NG_HP2</v>
      </c>
      <c r="Y115" s="7" t="str">
        <f t="array" ref="Y115">INDEX(xlRTTYNAME,MATCH(1,(xlRTTYENDU=2)*(xlRTTYEQCL=$F115)*(xlRTEQTYPE=$G115),0))</f>
        <v>NG_HP2</v>
      </c>
    </row>
    <row r="116" spans="2:25" x14ac:dyDescent="0.2">
      <c r="B116" s="5">
        <v>2</v>
      </c>
      <c r="C116" s="5">
        <v>1</v>
      </c>
      <c r="D116" s="5">
        <v>11</v>
      </c>
      <c r="E116" s="31">
        <v>35</v>
      </c>
      <c r="F116" s="5">
        <v>5</v>
      </c>
      <c r="G116" s="31">
        <v>16</v>
      </c>
      <c r="H116" s="31">
        <v>2020</v>
      </c>
      <c r="I116" s="5">
        <v>2050</v>
      </c>
      <c r="J116" s="142">
        <v>1.0649</v>
      </c>
      <c r="K116" s="142">
        <v>1.0597000000000001</v>
      </c>
      <c r="L116" s="142">
        <v>1.0037</v>
      </c>
      <c r="M116" s="142">
        <v>0.95550000000000002</v>
      </c>
      <c r="N116" s="142">
        <v>0.93169999999999997</v>
      </c>
      <c r="O116" s="142">
        <v>1.0538000000000001</v>
      </c>
      <c r="P116" s="26">
        <v>0</v>
      </c>
      <c r="Q116" s="35">
        <f t="array" ref="Q116">SUM(IF(($S116&gt;=4)*($C116='TaxCred&amp;Subs'!$D$114:$D$121)*($H116='TaxCred&amp;Subs'!$C$114:$C$121)*($H116&lt;='TaxCred&amp;Subs'!$C$123),'TaxCred&amp;Subs'!$E$114:$E$121,0))</f>
        <v>0</v>
      </c>
      <c r="R116" s="143">
        <v>0</v>
      </c>
      <c r="S116" s="5">
        <v>1</v>
      </c>
      <c r="T116" s="5" t="s">
        <v>219</v>
      </c>
      <c r="V116" s="7" t="str">
        <f t="array" ref="V116">INDEX(xlRTCLNAME,MATCH(1,(xlRTCLENDU=1)*(xlRTCLEQCL=$D116),0))</f>
        <v>NG_HP</v>
      </c>
      <c r="W116" s="7" t="str">
        <f t="array" ref="W116">INDEX(xlRTCLNAME,MATCH(1,(xlRTCLENDU=2)*(xlRTCLEQCL=$F116),0))</f>
        <v>NG_HP</v>
      </c>
      <c r="X116" s="7" t="str">
        <f t="array" ref="X116">INDEX(xlRTTYNAME,MATCH(1,(xlRTTYENDU=1)*(xlRTTYEQCL=$D116)*(xlRTEQTYPE=$E116),0))</f>
        <v>NG_HP2</v>
      </c>
      <c r="Y116" s="7" t="str">
        <f t="array" ref="Y116">INDEX(xlRTTYNAME,MATCH(1,(xlRTTYENDU=2)*(xlRTTYEQCL=$F116)*(xlRTEQTYPE=$G116),0))</f>
        <v>NG_HP2</v>
      </c>
    </row>
    <row r="117" spans="2:25" x14ac:dyDescent="0.2">
      <c r="B117" s="5">
        <v>3</v>
      </c>
      <c r="C117" s="5">
        <v>1</v>
      </c>
      <c r="D117" s="5">
        <v>11</v>
      </c>
      <c r="E117" s="31">
        <v>35</v>
      </c>
      <c r="F117" s="5">
        <v>5</v>
      </c>
      <c r="G117" s="31">
        <v>16</v>
      </c>
      <c r="H117" s="31">
        <v>2020</v>
      </c>
      <c r="I117" s="5">
        <v>2050</v>
      </c>
      <c r="J117" s="142">
        <v>1.0469999999999999</v>
      </c>
      <c r="K117" s="142">
        <v>1.0769</v>
      </c>
      <c r="L117" s="142">
        <v>0.93520000000000003</v>
      </c>
      <c r="M117" s="142">
        <v>0.9627</v>
      </c>
      <c r="N117" s="142">
        <v>0.91600000000000004</v>
      </c>
      <c r="O117" s="142">
        <v>1.0538000000000001</v>
      </c>
      <c r="P117" s="26">
        <v>0</v>
      </c>
      <c r="Q117" s="35">
        <f t="array" ref="Q117">SUM(IF(($S117&gt;=4)*($C117='TaxCred&amp;Subs'!$D$114:$D$121)*($H117='TaxCred&amp;Subs'!$C$114:$C$121)*($H117&lt;='TaxCred&amp;Subs'!$C$123),'TaxCred&amp;Subs'!$E$114:$E$121,0))</f>
        <v>0</v>
      </c>
      <c r="R117" s="143">
        <v>0</v>
      </c>
      <c r="S117" s="5">
        <v>1</v>
      </c>
      <c r="T117" s="5" t="s">
        <v>219</v>
      </c>
      <c r="V117" s="7" t="str">
        <f t="array" ref="V117">INDEX(xlRTCLNAME,MATCH(1,(xlRTCLENDU=1)*(xlRTCLEQCL=$D117),0))</f>
        <v>NG_HP</v>
      </c>
      <c r="W117" s="7" t="str">
        <f t="array" ref="W117">INDEX(xlRTCLNAME,MATCH(1,(xlRTCLENDU=2)*(xlRTCLEQCL=$F117),0))</f>
        <v>NG_HP</v>
      </c>
      <c r="X117" s="7" t="str">
        <f t="array" ref="X117">INDEX(xlRTTYNAME,MATCH(1,(xlRTTYENDU=1)*(xlRTTYEQCL=$D117)*(xlRTEQTYPE=$E117),0))</f>
        <v>NG_HP2</v>
      </c>
      <c r="Y117" s="7" t="str">
        <f t="array" ref="Y117">INDEX(xlRTTYNAME,MATCH(1,(xlRTTYENDU=2)*(xlRTTYEQCL=$F117)*(xlRTEQTYPE=$G117),0))</f>
        <v>NG_HP2</v>
      </c>
    </row>
    <row r="118" spans="2:25" x14ac:dyDescent="0.2">
      <c r="B118" s="5">
        <v>4</v>
      </c>
      <c r="C118" s="5">
        <v>1</v>
      </c>
      <c r="D118" s="5">
        <v>11</v>
      </c>
      <c r="E118" s="31">
        <v>35</v>
      </c>
      <c r="F118" s="5">
        <v>5</v>
      </c>
      <c r="G118" s="31">
        <v>16</v>
      </c>
      <c r="H118" s="31">
        <v>2020</v>
      </c>
      <c r="I118" s="5">
        <v>2050</v>
      </c>
      <c r="J118" s="142">
        <v>1.0862000000000001</v>
      </c>
      <c r="K118" s="142">
        <v>1.0769</v>
      </c>
      <c r="L118" s="142">
        <v>0.87749999999999995</v>
      </c>
      <c r="M118" s="142">
        <v>0.87319999999999998</v>
      </c>
      <c r="N118" s="142">
        <v>0.85770000000000002</v>
      </c>
      <c r="O118" s="142">
        <v>1.0538000000000001</v>
      </c>
      <c r="P118" s="26">
        <v>0</v>
      </c>
      <c r="Q118" s="35">
        <f t="array" ref="Q118">SUM(IF(($S118&gt;=4)*($C118='TaxCred&amp;Subs'!$D$114:$D$121)*($H118='TaxCred&amp;Subs'!$C$114:$C$121)*($H118&lt;='TaxCred&amp;Subs'!$C$123),'TaxCred&amp;Subs'!$E$114:$E$121,0))</f>
        <v>0</v>
      </c>
      <c r="R118" s="143">
        <v>0</v>
      </c>
      <c r="S118" s="5">
        <v>1</v>
      </c>
      <c r="T118" s="5" t="s">
        <v>219</v>
      </c>
      <c r="V118" s="7" t="str">
        <f t="array" ref="V118">INDEX(xlRTCLNAME,MATCH(1,(xlRTCLENDU=1)*(xlRTCLEQCL=$D118),0))</f>
        <v>NG_HP</v>
      </c>
      <c r="W118" s="7" t="str">
        <f t="array" ref="W118">INDEX(xlRTCLNAME,MATCH(1,(xlRTCLENDU=2)*(xlRTCLEQCL=$F118),0))</f>
        <v>NG_HP</v>
      </c>
      <c r="X118" s="7" t="str">
        <f t="array" ref="X118">INDEX(xlRTTYNAME,MATCH(1,(xlRTTYENDU=1)*(xlRTTYEQCL=$D118)*(xlRTEQTYPE=$E118),0))</f>
        <v>NG_HP2</v>
      </c>
      <c r="Y118" s="7" t="str">
        <f t="array" ref="Y118">INDEX(xlRTTYNAME,MATCH(1,(xlRTTYENDU=2)*(xlRTTYEQCL=$F118)*(xlRTEQTYPE=$G118),0))</f>
        <v>NG_HP2</v>
      </c>
    </row>
    <row r="119" spans="2:25" x14ac:dyDescent="0.2">
      <c r="B119" s="5">
        <v>5</v>
      </c>
      <c r="C119" s="5">
        <v>1</v>
      </c>
      <c r="D119" s="5">
        <v>11</v>
      </c>
      <c r="E119" s="31">
        <v>35</v>
      </c>
      <c r="F119" s="5">
        <v>5</v>
      </c>
      <c r="G119" s="31">
        <v>16</v>
      </c>
      <c r="H119" s="31">
        <v>2020</v>
      </c>
      <c r="I119" s="5">
        <v>2050</v>
      </c>
      <c r="J119" s="142">
        <v>1.0849</v>
      </c>
      <c r="K119" s="142">
        <v>1.0471999999999999</v>
      </c>
      <c r="L119" s="142">
        <v>0.90710000000000002</v>
      </c>
      <c r="M119" s="142">
        <v>1.0934999999999999</v>
      </c>
      <c r="N119" s="142">
        <v>0.76180000000000003</v>
      </c>
      <c r="O119" s="142">
        <v>1.0538000000000001</v>
      </c>
      <c r="P119" s="26">
        <v>0</v>
      </c>
      <c r="Q119" s="35">
        <f t="array" ref="Q119">SUM(IF(($S119&gt;=4)*($C119='TaxCred&amp;Subs'!$D$114:$D$121)*($H119='TaxCred&amp;Subs'!$C$114:$C$121)*($H119&lt;='TaxCred&amp;Subs'!$C$123),'TaxCred&amp;Subs'!$E$114:$E$121,0))</f>
        <v>0</v>
      </c>
      <c r="R119" s="143">
        <v>0</v>
      </c>
      <c r="S119" s="5">
        <v>1</v>
      </c>
      <c r="T119" s="5" t="s">
        <v>219</v>
      </c>
      <c r="V119" s="7" t="str">
        <f t="array" ref="V119">INDEX(xlRTCLNAME,MATCH(1,(xlRTCLENDU=1)*(xlRTCLEQCL=$D119),0))</f>
        <v>NG_HP</v>
      </c>
      <c r="W119" s="7" t="str">
        <f t="array" ref="W119">INDEX(xlRTCLNAME,MATCH(1,(xlRTCLENDU=2)*(xlRTCLEQCL=$F119),0))</f>
        <v>NG_HP</v>
      </c>
      <c r="X119" s="7" t="str">
        <f t="array" ref="X119">INDEX(xlRTTYNAME,MATCH(1,(xlRTTYENDU=1)*(xlRTTYEQCL=$D119)*(xlRTEQTYPE=$E119),0))</f>
        <v>NG_HP2</v>
      </c>
      <c r="Y119" s="7" t="str">
        <f t="array" ref="Y119">INDEX(xlRTTYNAME,MATCH(1,(xlRTTYENDU=2)*(xlRTTYEQCL=$F119)*(xlRTEQTYPE=$G119),0))</f>
        <v>NG_HP2</v>
      </c>
    </row>
    <row r="120" spans="2:25" x14ac:dyDescent="0.2">
      <c r="B120" s="5">
        <v>6</v>
      </c>
      <c r="C120" s="5">
        <v>1</v>
      </c>
      <c r="D120" s="5">
        <v>11</v>
      </c>
      <c r="E120" s="31">
        <v>35</v>
      </c>
      <c r="F120" s="5">
        <v>5</v>
      </c>
      <c r="G120" s="31">
        <v>16</v>
      </c>
      <c r="H120" s="31">
        <v>2020</v>
      </c>
      <c r="I120" s="5">
        <v>2050</v>
      </c>
      <c r="J120" s="142">
        <v>1.0924</v>
      </c>
      <c r="K120" s="142">
        <v>1.0661</v>
      </c>
      <c r="L120" s="142">
        <v>1.0295000000000001</v>
      </c>
      <c r="M120" s="142">
        <v>1.1335999999999999</v>
      </c>
      <c r="N120" s="142">
        <v>0.89100000000000001</v>
      </c>
      <c r="O120" s="142">
        <v>1.0538000000000001</v>
      </c>
      <c r="P120" s="26">
        <v>0</v>
      </c>
      <c r="Q120" s="35">
        <f t="array" ref="Q120">SUM(IF(($S120&gt;=4)*($C120='TaxCred&amp;Subs'!$D$114:$D$121)*($H120='TaxCred&amp;Subs'!$C$114:$C$121)*($H120&lt;='TaxCred&amp;Subs'!$C$123),'TaxCred&amp;Subs'!$E$114:$E$121,0))</f>
        <v>0</v>
      </c>
      <c r="R120" s="143">
        <v>0</v>
      </c>
      <c r="S120" s="5">
        <v>1</v>
      </c>
      <c r="T120" s="5" t="s">
        <v>219</v>
      </c>
      <c r="V120" s="7" t="str">
        <f t="array" ref="V120">INDEX(xlRTCLNAME,MATCH(1,(xlRTCLENDU=1)*(xlRTCLEQCL=$D120),0))</f>
        <v>NG_HP</v>
      </c>
      <c r="W120" s="7" t="str">
        <f t="array" ref="W120">INDEX(xlRTCLNAME,MATCH(1,(xlRTCLENDU=2)*(xlRTCLEQCL=$F120),0))</f>
        <v>NG_HP</v>
      </c>
      <c r="X120" s="7" t="str">
        <f t="array" ref="X120">INDEX(xlRTTYNAME,MATCH(1,(xlRTTYENDU=1)*(xlRTTYEQCL=$D120)*(xlRTEQTYPE=$E120),0))</f>
        <v>NG_HP2</v>
      </c>
      <c r="Y120" s="7" t="str">
        <f t="array" ref="Y120">INDEX(xlRTTYNAME,MATCH(1,(xlRTTYENDU=2)*(xlRTTYEQCL=$F120)*(xlRTEQTYPE=$G120),0))</f>
        <v>NG_HP2</v>
      </c>
    </row>
    <row r="121" spans="2:25" x14ac:dyDescent="0.2">
      <c r="B121" s="5">
        <v>7</v>
      </c>
      <c r="C121" s="5">
        <v>1</v>
      </c>
      <c r="D121" s="5">
        <v>11</v>
      </c>
      <c r="E121" s="31">
        <v>35</v>
      </c>
      <c r="F121" s="5">
        <v>5</v>
      </c>
      <c r="G121" s="31">
        <v>16</v>
      </c>
      <c r="H121" s="31">
        <v>2020</v>
      </c>
      <c r="I121" s="5">
        <v>2050</v>
      </c>
      <c r="J121" s="142">
        <v>1.0905</v>
      </c>
      <c r="K121" s="142">
        <v>1.0562</v>
      </c>
      <c r="L121" s="142">
        <v>1.046</v>
      </c>
      <c r="M121" s="142">
        <v>1.0382</v>
      </c>
      <c r="N121" s="142">
        <v>0.87180000000000002</v>
      </c>
      <c r="O121" s="142">
        <v>1.0538000000000001</v>
      </c>
      <c r="P121" s="26">
        <v>0</v>
      </c>
      <c r="Q121" s="35">
        <f t="array" ref="Q121">SUM(IF(($S121&gt;=4)*($C121='TaxCred&amp;Subs'!$D$114:$D$121)*($H121='TaxCred&amp;Subs'!$C$114:$C$121)*($H121&lt;='TaxCred&amp;Subs'!$C$123),'TaxCred&amp;Subs'!$E$114:$E$121,0))</f>
        <v>0</v>
      </c>
      <c r="R121" s="143">
        <v>0</v>
      </c>
      <c r="S121" s="5">
        <v>1</v>
      </c>
      <c r="T121" s="5" t="s">
        <v>219</v>
      </c>
      <c r="V121" s="7" t="str">
        <f t="array" ref="V121">INDEX(xlRTCLNAME,MATCH(1,(xlRTCLENDU=1)*(xlRTCLEQCL=$D121),0))</f>
        <v>NG_HP</v>
      </c>
      <c r="W121" s="7" t="str">
        <f t="array" ref="W121">INDEX(xlRTCLNAME,MATCH(1,(xlRTCLENDU=2)*(xlRTCLEQCL=$F121),0))</f>
        <v>NG_HP</v>
      </c>
      <c r="X121" s="7" t="str">
        <f t="array" ref="X121">INDEX(xlRTTYNAME,MATCH(1,(xlRTTYENDU=1)*(xlRTTYEQCL=$D121)*(xlRTEQTYPE=$E121),0))</f>
        <v>NG_HP2</v>
      </c>
      <c r="Y121" s="7" t="str">
        <f t="array" ref="Y121">INDEX(xlRTTYNAME,MATCH(1,(xlRTTYENDU=2)*(xlRTTYEQCL=$F121)*(xlRTEQTYPE=$G121),0))</f>
        <v>NG_HP2</v>
      </c>
    </row>
    <row r="122" spans="2:25" x14ac:dyDescent="0.2">
      <c r="B122" s="5">
        <v>8</v>
      </c>
      <c r="C122" s="5">
        <v>1</v>
      </c>
      <c r="D122" s="5">
        <v>11</v>
      </c>
      <c r="E122" s="31">
        <v>35</v>
      </c>
      <c r="F122" s="5">
        <v>5</v>
      </c>
      <c r="G122" s="31">
        <v>16</v>
      </c>
      <c r="H122" s="31">
        <v>2020</v>
      </c>
      <c r="I122" s="5">
        <v>2050</v>
      </c>
      <c r="J122" s="142">
        <v>1.0801000000000001</v>
      </c>
      <c r="K122" s="142">
        <v>1.0822000000000001</v>
      </c>
      <c r="L122" s="142">
        <v>0.97740000000000005</v>
      </c>
      <c r="M122" s="142">
        <v>1.0076000000000001</v>
      </c>
      <c r="N122" s="142">
        <v>0.86950000000000005</v>
      </c>
      <c r="O122" s="142">
        <v>1.0538000000000001</v>
      </c>
      <c r="P122" s="26">
        <v>0</v>
      </c>
      <c r="Q122" s="35">
        <f t="array" ref="Q122">SUM(IF(($S122&gt;=4)*($C122='TaxCred&amp;Subs'!$D$114:$D$121)*($H122='TaxCred&amp;Subs'!$C$114:$C$121)*($H122&lt;='TaxCred&amp;Subs'!$C$123),'TaxCred&amp;Subs'!$E$114:$E$121,0))</f>
        <v>0</v>
      </c>
      <c r="R122" s="143">
        <v>0</v>
      </c>
      <c r="S122" s="5">
        <v>1</v>
      </c>
      <c r="T122" s="5" t="s">
        <v>219</v>
      </c>
      <c r="V122" s="7" t="str">
        <f t="array" ref="V122">INDEX(xlRTCLNAME,MATCH(1,(xlRTCLENDU=1)*(xlRTCLEQCL=$D122),0))</f>
        <v>NG_HP</v>
      </c>
      <c r="W122" s="7" t="str">
        <f t="array" ref="W122">INDEX(xlRTCLNAME,MATCH(1,(xlRTCLENDU=2)*(xlRTCLEQCL=$F122),0))</f>
        <v>NG_HP</v>
      </c>
      <c r="X122" s="7" t="str">
        <f t="array" ref="X122">INDEX(xlRTTYNAME,MATCH(1,(xlRTTYENDU=1)*(xlRTTYEQCL=$D122)*(xlRTEQTYPE=$E122),0))</f>
        <v>NG_HP2</v>
      </c>
      <c r="Y122" s="7" t="str">
        <f t="array" ref="Y122">INDEX(xlRTTYNAME,MATCH(1,(xlRTTYENDU=2)*(xlRTTYEQCL=$F122)*(xlRTEQTYPE=$G122),0))</f>
        <v>NG_HP2</v>
      </c>
    </row>
    <row r="123" spans="2:25" x14ac:dyDescent="0.2">
      <c r="B123" s="5">
        <v>9</v>
      </c>
      <c r="C123" s="5">
        <v>1</v>
      </c>
      <c r="D123" s="5">
        <v>11</v>
      </c>
      <c r="E123" s="31">
        <v>35</v>
      </c>
      <c r="F123" s="5">
        <v>5</v>
      </c>
      <c r="G123" s="31">
        <v>16</v>
      </c>
      <c r="H123" s="31">
        <v>2020</v>
      </c>
      <c r="I123" s="5">
        <v>2050</v>
      </c>
      <c r="J123" s="142">
        <v>1.0781000000000001</v>
      </c>
      <c r="K123" s="142">
        <v>1.0707</v>
      </c>
      <c r="L123" s="142">
        <v>1.1246</v>
      </c>
      <c r="M123" s="142">
        <v>1.1204000000000001</v>
      </c>
      <c r="N123" s="142">
        <v>1.0339</v>
      </c>
      <c r="O123" s="142">
        <v>1.0538000000000001</v>
      </c>
      <c r="P123" s="26">
        <v>0</v>
      </c>
      <c r="Q123" s="35">
        <f t="array" ref="Q123">SUM(IF(($S123&gt;=4)*($C123='TaxCred&amp;Subs'!$D$114:$D$121)*($H123='TaxCred&amp;Subs'!$C$114:$C$121)*($H123&lt;='TaxCred&amp;Subs'!$C$123),'TaxCred&amp;Subs'!$E$114:$E$121,0))</f>
        <v>0</v>
      </c>
      <c r="R123" s="143">
        <v>0</v>
      </c>
      <c r="S123" s="5">
        <v>1</v>
      </c>
      <c r="T123" s="5" t="s">
        <v>219</v>
      </c>
      <c r="V123" s="7" t="str">
        <f t="array" ref="V123">INDEX(xlRTCLNAME,MATCH(1,(xlRTCLENDU=1)*(xlRTCLEQCL=$D123),0))</f>
        <v>NG_HP</v>
      </c>
      <c r="W123" s="7" t="str">
        <f t="array" ref="W123">INDEX(xlRTCLNAME,MATCH(1,(xlRTCLENDU=2)*(xlRTCLEQCL=$F123),0))</f>
        <v>NG_HP</v>
      </c>
      <c r="X123" s="7" t="str">
        <f t="array" ref="X123">INDEX(xlRTTYNAME,MATCH(1,(xlRTTYENDU=1)*(xlRTTYEQCL=$D123)*(xlRTEQTYPE=$E123),0))</f>
        <v>NG_HP2</v>
      </c>
      <c r="Y123" s="7" t="str">
        <f t="array" ref="Y123">INDEX(xlRTTYNAME,MATCH(1,(xlRTTYENDU=2)*(xlRTTYEQCL=$F123)*(xlRTEQTYPE=$G123),0))</f>
        <v>NG_HP2</v>
      </c>
    </row>
    <row r="124" spans="2:25" x14ac:dyDescent="0.2">
      <c r="B124" s="5">
        <v>1</v>
      </c>
      <c r="C124" s="5">
        <v>1</v>
      </c>
      <c r="D124" s="5">
        <v>1</v>
      </c>
      <c r="E124" s="5">
        <v>1</v>
      </c>
      <c r="F124" s="5">
        <v>2</v>
      </c>
      <c r="G124" s="31">
        <v>4</v>
      </c>
      <c r="H124" s="31">
        <v>2020</v>
      </c>
      <c r="I124" s="96">
        <v>2050</v>
      </c>
      <c r="J124" s="142">
        <v>1.077</v>
      </c>
      <c r="K124" s="142">
        <v>1.0444</v>
      </c>
      <c r="L124" s="142">
        <v>0.59379999999999999</v>
      </c>
      <c r="M124" s="142">
        <v>1.0176000000000001</v>
      </c>
      <c r="N124" s="142">
        <v>0.79779999999999995</v>
      </c>
      <c r="O124" s="142">
        <v>1.0538000000000001</v>
      </c>
      <c r="P124" s="26">
        <v>17242.307276714302</v>
      </c>
      <c r="Q124" s="35">
        <f t="array" ref="Q124">SUM(IF(($S124&gt;=4)*($C124='TaxCred&amp;Subs'!$D$114:$D$121)*($H124='TaxCred&amp;Subs'!$C$114:$C$121)*($H124&lt;='TaxCred&amp;Subs'!$C$123),'TaxCred&amp;Subs'!$E$114:$E$121,0))</f>
        <v>0</v>
      </c>
      <c r="R124" s="143">
        <v>0</v>
      </c>
      <c r="S124" s="5">
        <v>2</v>
      </c>
      <c r="T124" s="5" t="s">
        <v>220</v>
      </c>
      <c r="V124" s="7" t="str">
        <f t="array" ref="V124">INDEX(xlRTCLNAME,MATCH(1,(xlRTCLENDU=1)*(xlRTCLEQCL=$D124),0))</f>
        <v>ELEC_RAD</v>
      </c>
      <c r="W124" s="7" t="str">
        <f t="array" ref="W124">INDEX(xlRTCLNAME,MATCH(1,(xlRTCLENDU=2)*(xlRTCLEQCL=$F124),0))</f>
        <v>CENT_AIR</v>
      </c>
      <c r="X124" s="7" t="str">
        <f t="array" ref="X124">INDEX(xlRTTYNAME,MATCH(1,(xlRTTYENDU=1)*(xlRTTYEQCL=$D124)*(xlRTEQTYPE=$E124),0))</f>
        <v>ELEC_RAD2</v>
      </c>
      <c r="Y124" s="7" t="str">
        <f t="array" ref="Y124">INDEX(xlRTTYNAME,MATCH(1,(xlRTTYENDU=2)*(xlRTTYEQCL=$F124)*(xlRTEQTYPE=$G124),0))</f>
        <v>CENT_AIR1</v>
      </c>
    </row>
    <row r="125" spans="2:25" x14ac:dyDescent="0.2">
      <c r="B125" s="5">
        <v>2</v>
      </c>
      <c r="C125" s="5">
        <v>1</v>
      </c>
      <c r="D125" s="5">
        <v>1</v>
      </c>
      <c r="E125" s="5">
        <v>1</v>
      </c>
      <c r="F125" s="5">
        <v>2</v>
      </c>
      <c r="G125" s="31">
        <v>4</v>
      </c>
      <c r="H125" s="31">
        <v>2020</v>
      </c>
      <c r="I125" s="96">
        <v>2050</v>
      </c>
      <c r="J125" s="142">
        <v>1.0329999999999999</v>
      </c>
      <c r="K125" s="142">
        <v>1.0758000000000001</v>
      </c>
      <c r="L125" s="142">
        <v>0.71299999999999997</v>
      </c>
      <c r="M125" s="142">
        <v>0.87660000000000005</v>
      </c>
      <c r="N125" s="142">
        <v>0.93179999999999996</v>
      </c>
      <c r="O125" s="142">
        <v>1.0538000000000001</v>
      </c>
      <c r="P125" s="26">
        <v>13894.416983590583</v>
      </c>
      <c r="Q125" s="35">
        <f t="array" ref="Q125">SUM(IF(($S125&gt;=4)*($C125='TaxCred&amp;Subs'!$D$114:$D$121)*($H125='TaxCred&amp;Subs'!$C$114:$C$121)*($H125&lt;='TaxCred&amp;Subs'!$C$123),'TaxCred&amp;Subs'!$E$114:$E$121,0))</f>
        <v>0</v>
      </c>
      <c r="R125" s="143">
        <v>0</v>
      </c>
      <c r="S125" s="5">
        <v>2</v>
      </c>
      <c r="T125" s="5" t="s">
        <v>220</v>
      </c>
      <c r="V125" s="7" t="str">
        <f t="array" ref="V125">INDEX(xlRTCLNAME,MATCH(1,(xlRTCLENDU=1)*(xlRTCLEQCL=$D125),0))</f>
        <v>ELEC_RAD</v>
      </c>
      <c r="W125" s="7" t="str">
        <f t="array" ref="W125">INDEX(xlRTCLNAME,MATCH(1,(xlRTCLENDU=2)*(xlRTCLEQCL=$F125),0))</f>
        <v>CENT_AIR</v>
      </c>
      <c r="X125" s="7" t="str">
        <f t="array" ref="X125">INDEX(xlRTTYNAME,MATCH(1,(xlRTTYENDU=1)*(xlRTTYEQCL=$D125)*(xlRTEQTYPE=$E125),0))</f>
        <v>ELEC_RAD2</v>
      </c>
      <c r="Y125" s="7" t="str">
        <f t="array" ref="Y125">INDEX(xlRTTYNAME,MATCH(1,(xlRTTYENDU=2)*(xlRTTYEQCL=$F125)*(xlRTEQTYPE=$G125),0))</f>
        <v>CENT_AIR1</v>
      </c>
    </row>
    <row r="126" spans="2:25" x14ac:dyDescent="0.2">
      <c r="B126" s="5">
        <v>3</v>
      </c>
      <c r="C126" s="5">
        <v>1</v>
      </c>
      <c r="D126" s="5">
        <v>1</v>
      </c>
      <c r="E126" s="5">
        <v>1</v>
      </c>
      <c r="F126" s="5">
        <v>2</v>
      </c>
      <c r="G126" s="31">
        <v>4</v>
      </c>
      <c r="H126" s="31">
        <v>2020</v>
      </c>
      <c r="I126" s="96">
        <v>2050</v>
      </c>
      <c r="J126" s="142">
        <v>1.0839000000000001</v>
      </c>
      <c r="K126" s="142">
        <v>1.0588</v>
      </c>
      <c r="L126" s="142">
        <v>0.5927</v>
      </c>
      <c r="M126" s="142">
        <v>0.94689999999999996</v>
      </c>
      <c r="N126" s="142">
        <v>0.91600000000000004</v>
      </c>
      <c r="O126" s="142">
        <v>1.0538000000000001</v>
      </c>
      <c r="P126" s="26">
        <v>12997.612635994788</v>
      </c>
      <c r="Q126" s="35">
        <f t="array" ref="Q126">SUM(IF(($S126&gt;=4)*($C126='TaxCred&amp;Subs'!$D$114:$D$121)*($H126='TaxCred&amp;Subs'!$C$114:$C$121)*($H126&lt;='TaxCred&amp;Subs'!$C$123),'TaxCred&amp;Subs'!$E$114:$E$121,0))</f>
        <v>0</v>
      </c>
      <c r="R126" s="143">
        <v>0</v>
      </c>
      <c r="S126" s="5">
        <v>2</v>
      </c>
      <c r="T126" s="5" t="s">
        <v>220</v>
      </c>
      <c r="V126" s="7" t="str">
        <f t="array" ref="V126">INDEX(xlRTCLNAME,MATCH(1,(xlRTCLENDU=1)*(xlRTCLEQCL=$D126),0))</f>
        <v>ELEC_RAD</v>
      </c>
      <c r="W126" s="7" t="str">
        <f t="array" ref="W126">INDEX(xlRTCLNAME,MATCH(1,(xlRTCLENDU=2)*(xlRTCLEQCL=$F126),0))</f>
        <v>CENT_AIR</v>
      </c>
      <c r="X126" s="7" t="str">
        <f t="array" ref="X126">INDEX(xlRTTYNAME,MATCH(1,(xlRTTYENDU=1)*(xlRTTYEQCL=$D126)*(xlRTEQTYPE=$E126),0))</f>
        <v>ELEC_RAD2</v>
      </c>
      <c r="Y126" s="7" t="str">
        <f t="array" ref="Y126">INDEX(xlRTTYNAME,MATCH(1,(xlRTTYENDU=2)*(xlRTTYEQCL=$F126)*(xlRTEQTYPE=$G126),0))</f>
        <v>CENT_AIR1</v>
      </c>
    </row>
    <row r="127" spans="2:25" x14ac:dyDescent="0.2">
      <c r="B127" s="5">
        <v>4</v>
      </c>
      <c r="C127" s="5">
        <v>1</v>
      </c>
      <c r="D127" s="5">
        <v>1</v>
      </c>
      <c r="E127" s="5">
        <v>1</v>
      </c>
      <c r="F127" s="5">
        <v>2</v>
      </c>
      <c r="G127" s="31">
        <v>4</v>
      </c>
      <c r="H127" s="31">
        <v>2020</v>
      </c>
      <c r="I127" s="96">
        <v>2050</v>
      </c>
      <c r="J127" s="142">
        <v>1.0358000000000001</v>
      </c>
      <c r="K127" s="142">
        <v>1.0769</v>
      </c>
      <c r="L127" s="142">
        <v>0.57779999999999998</v>
      </c>
      <c r="M127" s="142">
        <v>0.90200000000000002</v>
      </c>
      <c r="N127" s="142">
        <v>0.85760000000000003</v>
      </c>
      <c r="O127" s="142">
        <v>1.0538000000000001</v>
      </c>
      <c r="P127" s="26">
        <v>10421.48500482007</v>
      </c>
      <c r="Q127" s="35">
        <f t="array" ref="Q127">SUM(IF(($S127&gt;=4)*($C127='TaxCred&amp;Subs'!$D$114:$D$121)*($H127='TaxCred&amp;Subs'!$C$114:$C$121)*($H127&lt;='TaxCred&amp;Subs'!$C$123),'TaxCred&amp;Subs'!$E$114:$E$121,0))</f>
        <v>0</v>
      </c>
      <c r="R127" s="143">
        <v>0</v>
      </c>
      <c r="S127" s="5">
        <v>2</v>
      </c>
      <c r="T127" s="5" t="s">
        <v>220</v>
      </c>
      <c r="V127" s="7" t="str">
        <f t="array" ref="V127">INDEX(xlRTCLNAME,MATCH(1,(xlRTCLENDU=1)*(xlRTCLEQCL=$D127),0))</f>
        <v>ELEC_RAD</v>
      </c>
      <c r="W127" s="7" t="str">
        <f t="array" ref="W127">INDEX(xlRTCLNAME,MATCH(1,(xlRTCLENDU=2)*(xlRTCLEQCL=$F127),0))</f>
        <v>CENT_AIR</v>
      </c>
      <c r="X127" s="7" t="str">
        <f t="array" ref="X127">INDEX(xlRTTYNAME,MATCH(1,(xlRTTYENDU=1)*(xlRTTYEQCL=$D127)*(xlRTEQTYPE=$E127),0))</f>
        <v>ELEC_RAD2</v>
      </c>
      <c r="Y127" s="7" t="str">
        <f t="array" ref="Y127">INDEX(xlRTTYNAME,MATCH(1,(xlRTTYENDU=2)*(xlRTTYEQCL=$F127)*(xlRTEQTYPE=$G127),0))</f>
        <v>CENT_AIR1</v>
      </c>
    </row>
    <row r="128" spans="2:25" x14ac:dyDescent="0.2">
      <c r="B128" s="5">
        <v>5</v>
      </c>
      <c r="C128" s="5">
        <v>1</v>
      </c>
      <c r="D128" s="5">
        <v>1</v>
      </c>
      <c r="E128" s="5">
        <v>1</v>
      </c>
      <c r="F128" s="5">
        <v>2</v>
      </c>
      <c r="G128" s="31">
        <v>4</v>
      </c>
      <c r="H128" s="31">
        <v>2020</v>
      </c>
      <c r="I128" s="96">
        <v>2050</v>
      </c>
      <c r="J128" s="142">
        <v>1.0401</v>
      </c>
      <c r="K128" s="142">
        <v>1.032</v>
      </c>
      <c r="L128" s="142">
        <v>0.7107</v>
      </c>
      <c r="M128" s="142">
        <v>0.94750000000000001</v>
      </c>
      <c r="N128" s="142">
        <v>0.76090000000000002</v>
      </c>
      <c r="O128" s="142">
        <v>1.0538000000000001</v>
      </c>
      <c r="P128" s="26">
        <v>10434.930347362735</v>
      </c>
      <c r="Q128" s="35">
        <f t="array" ref="Q128">SUM(IF(($S128&gt;=4)*($C128='TaxCred&amp;Subs'!$D$114:$D$121)*($H128='TaxCred&amp;Subs'!$C$114:$C$121)*($H128&lt;='TaxCred&amp;Subs'!$C$123),'TaxCred&amp;Subs'!$E$114:$E$121,0))</f>
        <v>0</v>
      </c>
      <c r="R128" s="143">
        <v>0</v>
      </c>
      <c r="S128" s="5">
        <v>2</v>
      </c>
      <c r="T128" s="5" t="s">
        <v>220</v>
      </c>
      <c r="V128" s="7" t="str">
        <f t="array" ref="V128">INDEX(xlRTCLNAME,MATCH(1,(xlRTCLENDU=1)*(xlRTCLEQCL=$D128),0))</f>
        <v>ELEC_RAD</v>
      </c>
      <c r="W128" s="7" t="str">
        <f t="array" ref="W128">INDEX(xlRTCLNAME,MATCH(1,(xlRTCLENDU=2)*(xlRTCLEQCL=$F128),0))</f>
        <v>CENT_AIR</v>
      </c>
      <c r="X128" s="7" t="str">
        <f t="array" ref="X128">INDEX(xlRTTYNAME,MATCH(1,(xlRTTYENDU=1)*(xlRTTYEQCL=$D128)*(xlRTEQTYPE=$E128),0))</f>
        <v>ELEC_RAD2</v>
      </c>
      <c r="Y128" s="7" t="str">
        <f t="array" ref="Y128">INDEX(xlRTTYNAME,MATCH(1,(xlRTTYENDU=2)*(xlRTTYEQCL=$F128)*(xlRTEQTYPE=$G128),0))</f>
        <v>CENT_AIR1</v>
      </c>
    </row>
    <row r="129" spans="2:25" x14ac:dyDescent="0.2">
      <c r="B129" s="5">
        <v>6</v>
      </c>
      <c r="C129" s="5">
        <v>1</v>
      </c>
      <c r="D129" s="5">
        <v>1</v>
      </c>
      <c r="E129" s="5">
        <v>1</v>
      </c>
      <c r="F129" s="5">
        <v>2</v>
      </c>
      <c r="G129" s="31">
        <v>4</v>
      </c>
      <c r="H129" s="31">
        <v>2020</v>
      </c>
      <c r="I129" s="96">
        <v>2050</v>
      </c>
      <c r="J129" s="142">
        <v>1.0918000000000001</v>
      </c>
      <c r="K129" s="142">
        <v>1.0613999999999999</v>
      </c>
      <c r="L129" s="142">
        <v>0.82509999999999994</v>
      </c>
      <c r="M129" s="142">
        <v>0.93069999999999997</v>
      </c>
      <c r="N129" s="142">
        <v>0.89190000000000003</v>
      </c>
      <c r="O129" s="142">
        <v>1.0538000000000001</v>
      </c>
      <c r="P129" s="26">
        <v>10469.888237973666</v>
      </c>
      <c r="Q129" s="35">
        <f t="array" ref="Q129">SUM(IF(($S129&gt;=4)*($C129='TaxCred&amp;Subs'!$D$114:$D$121)*($H129='TaxCred&amp;Subs'!$C$114:$C$121)*($H129&lt;='TaxCred&amp;Subs'!$C$123),'TaxCred&amp;Subs'!$E$114:$E$121,0))</f>
        <v>0</v>
      </c>
      <c r="R129" s="143">
        <v>0</v>
      </c>
      <c r="S129" s="5">
        <v>2</v>
      </c>
      <c r="T129" s="5" t="s">
        <v>220</v>
      </c>
      <c r="V129" s="7" t="str">
        <f t="array" ref="V129">INDEX(xlRTCLNAME,MATCH(1,(xlRTCLENDU=1)*(xlRTCLEQCL=$D129),0))</f>
        <v>ELEC_RAD</v>
      </c>
      <c r="W129" s="7" t="str">
        <f t="array" ref="W129">INDEX(xlRTCLNAME,MATCH(1,(xlRTCLENDU=2)*(xlRTCLEQCL=$F129),0))</f>
        <v>CENT_AIR</v>
      </c>
      <c r="X129" s="7" t="str">
        <f t="array" ref="X129">INDEX(xlRTTYNAME,MATCH(1,(xlRTTYENDU=1)*(xlRTTYEQCL=$D129)*(xlRTEQTYPE=$E129),0))</f>
        <v>ELEC_RAD2</v>
      </c>
      <c r="Y129" s="7" t="str">
        <f t="array" ref="Y129">INDEX(xlRTTYNAME,MATCH(1,(xlRTTYENDU=2)*(xlRTTYEQCL=$F129)*(xlRTEQTYPE=$G129),0))</f>
        <v>CENT_AIR1</v>
      </c>
    </row>
    <row r="130" spans="2:25" x14ac:dyDescent="0.2">
      <c r="B130" s="5">
        <v>7</v>
      </c>
      <c r="C130" s="5">
        <v>1</v>
      </c>
      <c r="D130" s="5">
        <v>1</v>
      </c>
      <c r="E130" s="5">
        <v>1</v>
      </c>
      <c r="F130" s="5">
        <v>2</v>
      </c>
      <c r="G130" s="31">
        <v>4</v>
      </c>
      <c r="H130" s="31">
        <v>2020</v>
      </c>
      <c r="I130" s="96">
        <v>2050</v>
      </c>
      <c r="J130" s="142">
        <v>1.0906</v>
      </c>
      <c r="K130" s="142">
        <v>1.0542</v>
      </c>
      <c r="L130" s="142">
        <v>0.8377</v>
      </c>
      <c r="M130" s="142">
        <v>0.84160000000000001</v>
      </c>
      <c r="N130" s="142">
        <v>0.87239999999999995</v>
      </c>
      <c r="O130" s="142">
        <v>1.0538000000000001</v>
      </c>
      <c r="P130" s="26">
        <v>9228.8831212856348</v>
      </c>
      <c r="Q130" s="35">
        <f t="array" ref="Q130">SUM(IF(($S130&gt;=4)*($C130='TaxCred&amp;Subs'!$D$114:$D$121)*($H130='TaxCred&amp;Subs'!$C$114:$C$121)*($H130&lt;='TaxCred&amp;Subs'!$C$123),'TaxCred&amp;Subs'!$E$114:$E$121,0))</f>
        <v>0</v>
      </c>
      <c r="R130" s="143">
        <v>0</v>
      </c>
      <c r="S130" s="5">
        <v>2</v>
      </c>
      <c r="T130" s="5" t="s">
        <v>220</v>
      </c>
      <c r="V130" s="7" t="str">
        <f t="array" ref="V130">INDEX(xlRTCLNAME,MATCH(1,(xlRTCLENDU=1)*(xlRTCLEQCL=$D130),0))</f>
        <v>ELEC_RAD</v>
      </c>
      <c r="W130" s="7" t="str">
        <f t="array" ref="W130">INDEX(xlRTCLNAME,MATCH(1,(xlRTCLENDU=2)*(xlRTCLEQCL=$F130),0))</f>
        <v>CENT_AIR</v>
      </c>
      <c r="X130" s="7" t="str">
        <f t="array" ref="X130">INDEX(xlRTTYNAME,MATCH(1,(xlRTTYENDU=1)*(xlRTTYEQCL=$D130)*(xlRTEQTYPE=$E130),0))</f>
        <v>ELEC_RAD2</v>
      </c>
      <c r="Y130" s="7" t="str">
        <f t="array" ref="Y130">INDEX(xlRTTYNAME,MATCH(1,(xlRTTYENDU=2)*(xlRTTYEQCL=$F130)*(xlRTEQTYPE=$G130),0))</f>
        <v>CENT_AIR1</v>
      </c>
    </row>
    <row r="131" spans="2:25" x14ac:dyDescent="0.2">
      <c r="B131" s="5">
        <v>8</v>
      </c>
      <c r="C131" s="5">
        <v>1</v>
      </c>
      <c r="D131" s="5">
        <v>1</v>
      </c>
      <c r="E131" s="5">
        <v>1</v>
      </c>
      <c r="F131" s="5">
        <v>2</v>
      </c>
      <c r="G131" s="31">
        <v>4</v>
      </c>
      <c r="H131" s="31">
        <v>2020</v>
      </c>
      <c r="I131" s="96">
        <v>2050</v>
      </c>
      <c r="J131" s="142">
        <v>1.0363</v>
      </c>
      <c r="K131" s="142">
        <v>1.0704</v>
      </c>
      <c r="L131" s="142">
        <v>0.58199999999999996</v>
      </c>
      <c r="M131" s="142">
        <v>0.90610000000000002</v>
      </c>
      <c r="N131" s="142">
        <v>0.86919999999999997</v>
      </c>
      <c r="O131" s="142">
        <v>1.0538000000000001</v>
      </c>
      <c r="P131" s="26">
        <v>14408.029068720407</v>
      </c>
      <c r="Q131" s="35">
        <f t="array" ref="Q131">SUM(IF(($S131&gt;=4)*($C131='TaxCred&amp;Subs'!$D$114:$D$121)*($H131='TaxCred&amp;Subs'!$C$114:$C$121)*($H131&lt;='TaxCred&amp;Subs'!$C$123),'TaxCred&amp;Subs'!$E$114:$E$121,0))</f>
        <v>0</v>
      </c>
      <c r="R131" s="143">
        <v>0</v>
      </c>
      <c r="S131" s="5">
        <v>2</v>
      </c>
      <c r="T131" s="5" t="s">
        <v>220</v>
      </c>
      <c r="V131" s="7" t="str">
        <f t="array" ref="V131">INDEX(xlRTCLNAME,MATCH(1,(xlRTCLENDU=1)*(xlRTCLEQCL=$D131),0))</f>
        <v>ELEC_RAD</v>
      </c>
      <c r="W131" s="7" t="str">
        <f t="array" ref="W131">INDEX(xlRTCLNAME,MATCH(1,(xlRTCLENDU=2)*(xlRTCLEQCL=$F131),0))</f>
        <v>CENT_AIR</v>
      </c>
      <c r="X131" s="7" t="str">
        <f t="array" ref="X131">INDEX(xlRTTYNAME,MATCH(1,(xlRTTYENDU=1)*(xlRTTYEQCL=$D131)*(xlRTEQTYPE=$E131),0))</f>
        <v>ELEC_RAD2</v>
      </c>
      <c r="Y131" s="7" t="str">
        <f t="array" ref="Y131">INDEX(xlRTTYNAME,MATCH(1,(xlRTTYENDU=2)*(xlRTTYEQCL=$F131)*(xlRTEQTYPE=$G131),0))</f>
        <v>CENT_AIR1</v>
      </c>
    </row>
    <row r="132" spans="2:25" x14ac:dyDescent="0.2">
      <c r="B132" s="5">
        <v>9</v>
      </c>
      <c r="C132" s="5">
        <v>1</v>
      </c>
      <c r="D132" s="5">
        <v>1</v>
      </c>
      <c r="E132" s="5">
        <v>1</v>
      </c>
      <c r="F132" s="5">
        <v>2</v>
      </c>
      <c r="G132" s="31">
        <v>4</v>
      </c>
      <c r="H132" s="31">
        <v>2020</v>
      </c>
      <c r="I132" s="96">
        <v>2050</v>
      </c>
      <c r="J132" s="142">
        <v>1.0367</v>
      </c>
      <c r="K132" s="142">
        <v>1.0638000000000001</v>
      </c>
      <c r="L132" s="142">
        <v>0.88739999999999997</v>
      </c>
      <c r="M132" s="142">
        <v>0.91990000000000005</v>
      </c>
      <c r="N132" s="142">
        <v>1.0334000000000001</v>
      </c>
      <c r="O132" s="142">
        <v>1.0538000000000001</v>
      </c>
      <c r="P132" s="26">
        <v>15096.430606904882</v>
      </c>
      <c r="Q132" s="35">
        <f t="array" ref="Q132">SUM(IF(($S132&gt;=4)*($C132='TaxCred&amp;Subs'!$D$114:$D$121)*($H132='TaxCred&amp;Subs'!$C$114:$C$121)*($H132&lt;='TaxCred&amp;Subs'!$C$123),'TaxCred&amp;Subs'!$E$114:$E$121,0))</f>
        <v>0</v>
      </c>
      <c r="R132" s="143">
        <v>0</v>
      </c>
      <c r="S132" s="5">
        <v>2</v>
      </c>
      <c r="T132" s="5" t="s">
        <v>220</v>
      </c>
      <c r="V132" s="7" t="str">
        <f t="array" ref="V132">INDEX(xlRTCLNAME,MATCH(1,(xlRTCLENDU=1)*(xlRTCLEQCL=$D132),0))</f>
        <v>ELEC_RAD</v>
      </c>
      <c r="W132" s="7" t="str">
        <f t="array" ref="W132">INDEX(xlRTCLNAME,MATCH(1,(xlRTCLENDU=2)*(xlRTCLEQCL=$F132),0))</f>
        <v>CENT_AIR</v>
      </c>
      <c r="X132" s="7" t="str">
        <f t="array" ref="X132">INDEX(xlRTTYNAME,MATCH(1,(xlRTTYENDU=1)*(xlRTTYEQCL=$D132)*(xlRTEQTYPE=$E132),0))</f>
        <v>ELEC_RAD2</v>
      </c>
      <c r="Y132" s="7" t="str">
        <f t="array" ref="Y132">INDEX(xlRTTYNAME,MATCH(1,(xlRTTYENDU=2)*(xlRTTYEQCL=$F132)*(xlRTEQTYPE=$G132),0))</f>
        <v>CENT_AIR1</v>
      </c>
    </row>
    <row r="133" spans="2:25" x14ac:dyDescent="0.2">
      <c r="B133" s="5">
        <v>1</v>
      </c>
      <c r="C133" s="5">
        <v>1</v>
      </c>
      <c r="D133" s="5">
        <v>2</v>
      </c>
      <c r="E133" s="5">
        <v>2</v>
      </c>
      <c r="F133" s="5">
        <v>3</v>
      </c>
      <c r="G133" s="31">
        <v>8</v>
      </c>
      <c r="H133" s="31">
        <v>2020</v>
      </c>
      <c r="I133" s="96">
        <v>2050</v>
      </c>
      <c r="J133" s="142">
        <v>1.0790999999999999</v>
      </c>
      <c r="K133" s="142">
        <v>1.0667</v>
      </c>
      <c r="L133" s="142">
        <v>0.62670000000000003</v>
      </c>
      <c r="M133" s="142">
        <v>1.0176000000000001</v>
      </c>
      <c r="N133" s="142">
        <v>0.80149999999999999</v>
      </c>
      <c r="O133" s="142">
        <v>1.0538000000000001</v>
      </c>
      <c r="P133" s="26">
        <v>11581.818066252106</v>
      </c>
      <c r="Q133" s="35">
        <f t="array" ref="Q133">SUM(IF(($S133&gt;=4)*($C133='TaxCred&amp;Subs'!$D$114:$D$121)*($H133='TaxCred&amp;Subs'!$C$114:$C$121)*($H133&lt;='TaxCred&amp;Subs'!$C$123),'TaxCred&amp;Subs'!$E$114:$E$121,0))</f>
        <v>0</v>
      </c>
      <c r="R133" s="143">
        <v>0</v>
      </c>
      <c r="S133" s="5">
        <v>2</v>
      </c>
      <c r="T133" s="5" t="s">
        <v>220</v>
      </c>
      <c r="V133" s="7" t="str">
        <f t="array" ref="V133">INDEX(xlRTCLNAME,MATCH(1,(xlRTCLENDU=1)*(xlRTCLEQCL=$D133),0))</f>
        <v>ELEC_HP</v>
      </c>
      <c r="W133" s="7" t="str">
        <f t="array" ref="W133">INDEX(xlRTCLNAME,MATCH(1,(xlRTCLENDU=2)*(xlRTCLEQCL=$F133),0))</f>
        <v>ELEC_HP</v>
      </c>
      <c r="X133" s="7" t="str">
        <f t="array" ref="X133">INDEX(xlRTTYNAME,MATCH(1,(xlRTTYENDU=1)*(xlRTTYEQCL=$D133)*(xlRTEQTYPE=$E133),0))</f>
        <v>ELEC_HP1</v>
      </c>
      <c r="Y133" s="7" t="str">
        <f t="array" ref="Y133">INDEX(xlRTTYNAME,MATCH(1,(xlRTTYENDU=2)*(xlRTTYEQCL=$F133)*(xlRTEQTYPE=$G133),0))</f>
        <v>ELEC_HP1</v>
      </c>
    </row>
    <row r="134" spans="2:25" x14ac:dyDescent="0.2">
      <c r="B134" s="5">
        <v>2</v>
      </c>
      <c r="C134" s="5">
        <v>1</v>
      </c>
      <c r="D134" s="5">
        <v>2</v>
      </c>
      <c r="E134" s="5">
        <v>2</v>
      </c>
      <c r="F134" s="5">
        <v>3</v>
      </c>
      <c r="G134" s="31">
        <v>8</v>
      </c>
      <c r="H134" s="31">
        <v>2020</v>
      </c>
      <c r="I134" s="96">
        <v>2050</v>
      </c>
      <c r="J134" s="142">
        <v>1.0588</v>
      </c>
      <c r="K134" s="142">
        <v>1.0734999999999999</v>
      </c>
      <c r="L134" s="142">
        <v>0.73580000000000001</v>
      </c>
      <c r="M134" s="142">
        <v>0.89180000000000004</v>
      </c>
      <c r="N134" s="142">
        <v>0.93840000000000001</v>
      </c>
      <c r="O134" s="142">
        <v>1.0538000000000001</v>
      </c>
      <c r="P134" s="26">
        <v>13090.385499539181</v>
      </c>
      <c r="Q134" s="35">
        <f t="array" ref="Q134">SUM(IF(($S134&gt;=4)*($C134='TaxCred&amp;Subs'!$D$114:$D$121)*($H134='TaxCred&amp;Subs'!$C$114:$C$121)*($H134&lt;='TaxCred&amp;Subs'!$C$123),'TaxCred&amp;Subs'!$E$114:$E$121,0))</f>
        <v>0</v>
      </c>
      <c r="R134" s="143">
        <v>0</v>
      </c>
      <c r="S134" s="5">
        <v>2</v>
      </c>
      <c r="T134" s="5" t="s">
        <v>220</v>
      </c>
      <c r="V134" s="7" t="str">
        <f t="array" ref="V134">INDEX(xlRTCLNAME,MATCH(1,(xlRTCLENDU=1)*(xlRTCLEQCL=$D134),0))</f>
        <v>ELEC_HP</v>
      </c>
      <c r="W134" s="7" t="str">
        <f t="array" ref="W134">INDEX(xlRTCLNAME,MATCH(1,(xlRTCLENDU=2)*(xlRTCLEQCL=$F134),0))</f>
        <v>ELEC_HP</v>
      </c>
      <c r="X134" s="7" t="str">
        <f t="array" ref="X134">INDEX(xlRTTYNAME,MATCH(1,(xlRTTYENDU=1)*(xlRTTYEQCL=$D134)*(xlRTEQTYPE=$E134),0))</f>
        <v>ELEC_HP1</v>
      </c>
      <c r="Y134" s="7" t="str">
        <f t="array" ref="Y134">INDEX(xlRTTYNAME,MATCH(1,(xlRTTYENDU=2)*(xlRTTYEQCL=$F134)*(xlRTEQTYPE=$G134),0))</f>
        <v>ELEC_HP1</v>
      </c>
    </row>
    <row r="135" spans="2:25" x14ac:dyDescent="0.2">
      <c r="B135" s="5">
        <v>3</v>
      </c>
      <c r="C135" s="5">
        <v>1</v>
      </c>
      <c r="D135" s="5">
        <v>2</v>
      </c>
      <c r="E135" s="5">
        <v>2</v>
      </c>
      <c r="F135" s="5">
        <v>3</v>
      </c>
      <c r="G135" s="31">
        <v>8</v>
      </c>
      <c r="H135" s="31">
        <v>2020</v>
      </c>
      <c r="I135" s="96">
        <v>2050</v>
      </c>
      <c r="J135" s="142">
        <v>1.0965</v>
      </c>
      <c r="K135" s="142">
        <v>1.0769</v>
      </c>
      <c r="L135" s="142">
        <v>0.62209999999999999</v>
      </c>
      <c r="M135" s="142">
        <v>0.95530000000000004</v>
      </c>
      <c r="N135" s="142">
        <v>0.91520000000000001</v>
      </c>
      <c r="O135" s="142">
        <v>1.0538000000000001</v>
      </c>
      <c r="P135" s="26">
        <v>12282.320412724983</v>
      </c>
      <c r="Q135" s="35">
        <f t="array" ref="Q135">SUM(IF(($S135&gt;=4)*($C135='TaxCred&amp;Subs'!$D$114:$D$121)*($H135='TaxCred&amp;Subs'!$C$114:$C$121)*($H135&lt;='TaxCred&amp;Subs'!$C$123),'TaxCred&amp;Subs'!$E$114:$E$121,0))</f>
        <v>0</v>
      </c>
      <c r="R135" s="143">
        <v>0</v>
      </c>
      <c r="S135" s="5">
        <v>2</v>
      </c>
      <c r="T135" s="5" t="s">
        <v>220</v>
      </c>
      <c r="V135" s="7" t="str">
        <f t="array" ref="V135">INDEX(xlRTCLNAME,MATCH(1,(xlRTCLENDU=1)*(xlRTCLEQCL=$D135),0))</f>
        <v>ELEC_HP</v>
      </c>
      <c r="W135" s="7" t="str">
        <f t="array" ref="W135">INDEX(xlRTCLNAME,MATCH(1,(xlRTCLENDU=2)*(xlRTCLEQCL=$F135),0))</f>
        <v>ELEC_HP</v>
      </c>
      <c r="X135" s="7" t="str">
        <f t="array" ref="X135">INDEX(xlRTTYNAME,MATCH(1,(xlRTTYENDU=1)*(xlRTTYEQCL=$D135)*(xlRTEQTYPE=$E135),0))</f>
        <v>ELEC_HP1</v>
      </c>
      <c r="Y135" s="7" t="str">
        <f t="array" ref="Y135">INDEX(xlRTTYNAME,MATCH(1,(xlRTTYENDU=2)*(xlRTTYEQCL=$F135)*(xlRTEQTYPE=$G135),0))</f>
        <v>ELEC_HP1</v>
      </c>
    </row>
    <row r="136" spans="2:25" x14ac:dyDescent="0.2">
      <c r="B136" s="5">
        <v>4</v>
      </c>
      <c r="C136" s="5">
        <v>1</v>
      </c>
      <c r="D136" s="5">
        <v>2</v>
      </c>
      <c r="E136" s="5">
        <v>2</v>
      </c>
      <c r="F136" s="5">
        <v>3</v>
      </c>
      <c r="G136" s="31">
        <v>8</v>
      </c>
      <c r="H136" s="31">
        <v>2020</v>
      </c>
      <c r="I136" s="96">
        <v>2050</v>
      </c>
      <c r="J136" s="142">
        <v>1.1016999999999999</v>
      </c>
      <c r="K136" s="142">
        <v>1.0789</v>
      </c>
      <c r="L136" s="142">
        <v>0.60819999999999996</v>
      </c>
      <c r="M136" s="142">
        <v>0.89039999999999997</v>
      </c>
      <c r="N136" s="142">
        <v>0.85340000000000005</v>
      </c>
      <c r="O136" s="142">
        <v>1.0538000000000001</v>
      </c>
      <c r="P136" s="26">
        <v>9844.6798097397186</v>
      </c>
      <c r="Q136" s="35">
        <f t="array" ref="Q136">SUM(IF(($S136&gt;=4)*($C136='TaxCred&amp;Subs'!$D$114:$D$121)*($H136='TaxCred&amp;Subs'!$C$114:$C$121)*($H136&lt;='TaxCred&amp;Subs'!$C$123),'TaxCred&amp;Subs'!$E$114:$E$121,0))</f>
        <v>0</v>
      </c>
      <c r="R136" s="143">
        <v>0</v>
      </c>
      <c r="S136" s="5">
        <v>2</v>
      </c>
      <c r="T136" s="5" t="s">
        <v>220</v>
      </c>
      <c r="V136" s="7" t="str">
        <f t="array" ref="V136">INDEX(xlRTCLNAME,MATCH(1,(xlRTCLENDU=1)*(xlRTCLEQCL=$D136),0))</f>
        <v>ELEC_HP</v>
      </c>
      <c r="W136" s="7" t="str">
        <f t="array" ref="W136">INDEX(xlRTCLNAME,MATCH(1,(xlRTCLENDU=2)*(xlRTCLEQCL=$F136),0))</f>
        <v>ELEC_HP</v>
      </c>
      <c r="X136" s="7" t="str">
        <f t="array" ref="X136">INDEX(xlRTTYNAME,MATCH(1,(xlRTTYENDU=1)*(xlRTTYEQCL=$D136)*(xlRTEQTYPE=$E136),0))</f>
        <v>ELEC_HP1</v>
      </c>
      <c r="Y136" s="7" t="str">
        <f t="array" ref="Y136">INDEX(xlRTTYNAME,MATCH(1,(xlRTTYENDU=2)*(xlRTTYEQCL=$F136)*(xlRTEQTYPE=$G136),0))</f>
        <v>ELEC_HP1</v>
      </c>
    </row>
    <row r="137" spans="2:25" x14ac:dyDescent="0.2">
      <c r="B137" s="5">
        <v>5</v>
      </c>
      <c r="C137" s="5">
        <v>1</v>
      </c>
      <c r="D137" s="5">
        <v>2</v>
      </c>
      <c r="E137" s="5">
        <v>2</v>
      </c>
      <c r="F137" s="5">
        <v>3</v>
      </c>
      <c r="G137" s="31">
        <v>8</v>
      </c>
      <c r="H137" s="31">
        <v>2020</v>
      </c>
      <c r="I137" s="96">
        <v>2050</v>
      </c>
      <c r="J137" s="142">
        <v>1.0806</v>
      </c>
      <c r="K137" s="142">
        <v>1.0507</v>
      </c>
      <c r="L137" s="142">
        <v>0.88119999999999998</v>
      </c>
      <c r="M137" s="142">
        <v>0.99609999999999999</v>
      </c>
      <c r="N137" s="142">
        <v>0.78859999999999997</v>
      </c>
      <c r="O137" s="142">
        <v>1.0538000000000001</v>
      </c>
      <c r="P137" s="26">
        <v>8767.7078720722056</v>
      </c>
      <c r="Q137" s="35">
        <f t="array" ref="Q137">SUM(IF(($S137&gt;=4)*($C137='TaxCred&amp;Subs'!$D$114:$D$121)*($H137='TaxCred&amp;Subs'!$C$114:$C$121)*($H137&lt;='TaxCred&amp;Subs'!$C$123),'TaxCred&amp;Subs'!$E$114:$E$121,0))</f>
        <v>0</v>
      </c>
      <c r="R137" s="143">
        <v>0</v>
      </c>
      <c r="S137" s="5">
        <v>2</v>
      </c>
      <c r="T137" s="5" t="s">
        <v>220</v>
      </c>
      <c r="V137" s="7" t="str">
        <f t="array" ref="V137">INDEX(xlRTCLNAME,MATCH(1,(xlRTCLENDU=1)*(xlRTCLEQCL=$D137),0))</f>
        <v>ELEC_HP</v>
      </c>
      <c r="W137" s="7" t="str">
        <f t="array" ref="W137">INDEX(xlRTCLNAME,MATCH(1,(xlRTCLENDU=2)*(xlRTCLEQCL=$F137),0))</f>
        <v>ELEC_HP</v>
      </c>
      <c r="X137" s="7" t="str">
        <f t="array" ref="X137">INDEX(xlRTTYNAME,MATCH(1,(xlRTTYENDU=1)*(xlRTTYEQCL=$D137)*(xlRTEQTYPE=$E137),0))</f>
        <v>ELEC_HP1</v>
      </c>
      <c r="Y137" s="7" t="str">
        <f t="array" ref="Y137">INDEX(xlRTTYNAME,MATCH(1,(xlRTTYENDU=2)*(xlRTTYEQCL=$F137)*(xlRTEQTYPE=$G137),0))</f>
        <v>ELEC_HP1</v>
      </c>
    </row>
    <row r="138" spans="2:25" x14ac:dyDescent="0.2">
      <c r="B138" s="5">
        <v>6</v>
      </c>
      <c r="C138" s="5">
        <v>1</v>
      </c>
      <c r="D138" s="5">
        <v>2</v>
      </c>
      <c r="E138" s="5">
        <v>2</v>
      </c>
      <c r="F138" s="5">
        <v>3</v>
      </c>
      <c r="G138" s="31">
        <v>8</v>
      </c>
      <c r="H138" s="31">
        <v>2020</v>
      </c>
      <c r="I138" s="96">
        <v>2050</v>
      </c>
      <c r="J138" s="142">
        <v>1.0885</v>
      </c>
      <c r="K138" s="142">
        <v>1.0526</v>
      </c>
      <c r="L138" s="142">
        <v>1.0156000000000001</v>
      </c>
      <c r="M138" s="142">
        <v>1.0105</v>
      </c>
      <c r="N138" s="142">
        <v>0.88680000000000003</v>
      </c>
      <c r="O138" s="142">
        <v>1.0538000000000001</v>
      </c>
      <c r="P138" s="26">
        <v>6956.620231575157</v>
      </c>
      <c r="Q138" s="35">
        <f t="array" ref="Q138">SUM(IF(($S138&gt;=4)*($C138='TaxCred&amp;Subs'!$D$114:$D$121)*($H138='TaxCred&amp;Subs'!$C$114:$C$121)*($H138&lt;='TaxCred&amp;Subs'!$C$123),'TaxCred&amp;Subs'!$E$114:$E$121,0))</f>
        <v>0</v>
      </c>
      <c r="R138" s="143">
        <v>0</v>
      </c>
      <c r="S138" s="5">
        <v>2</v>
      </c>
      <c r="T138" s="5" t="s">
        <v>220</v>
      </c>
      <c r="V138" s="7" t="str">
        <f t="array" ref="V138">INDEX(xlRTCLNAME,MATCH(1,(xlRTCLENDU=1)*(xlRTCLEQCL=$D138),0))</f>
        <v>ELEC_HP</v>
      </c>
      <c r="W138" s="7" t="str">
        <f t="array" ref="W138">INDEX(xlRTCLNAME,MATCH(1,(xlRTCLENDU=2)*(xlRTCLEQCL=$F138),0))</f>
        <v>ELEC_HP</v>
      </c>
      <c r="X138" s="7" t="str">
        <f t="array" ref="X138">INDEX(xlRTTYNAME,MATCH(1,(xlRTTYENDU=1)*(xlRTTYEQCL=$D138)*(xlRTEQTYPE=$E138),0))</f>
        <v>ELEC_HP1</v>
      </c>
      <c r="Y138" s="7" t="str">
        <f t="array" ref="Y138">INDEX(xlRTTYNAME,MATCH(1,(xlRTTYENDU=2)*(xlRTTYEQCL=$F138)*(xlRTEQTYPE=$G138),0))</f>
        <v>ELEC_HP1</v>
      </c>
    </row>
    <row r="139" spans="2:25" x14ac:dyDescent="0.2">
      <c r="B139" s="5">
        <v>7</v>
      </c>
      <c r="C139" s="5">
        <v>1</v>
      </c>
      <c r="D139" s="5">
        <v>2</v>
      </c>
      <c r="E139" s="5">
        <v>2</v>
      </c>
      <c r="F139" s="5">
        <v>3</v>
      </c>
      <c r="G139" s="31">
        <v>8</v>
      </c>
      <c r="H139" s="31">
        <v>2020</v>
      </c>
      <c r="I139" s="96">
        <v>2050</v>
      </c>
      <c r="J139" s="142">
        <v>1.0765</v>
      </c>
      <c r="K139" s="142">
        <v>1.0508</v>
      </c>
      <c r="L139" s="142">
        <v>1.0137</v>
      </c>
      <c r="M139" s="142">
        <v>0.93440000000000001</v>
      </c>
      <c r="N139" s="142">
        <v>0.86099999999999999</v>
      </c>
      <c r="O139" s="142">
        <v>1.0538000000000001</v>
      </c>
      <c r="P139" s="26">
        <v>6815.4441348771679</v>
      </c>
      <c r="Q139" s="35">
        <f t="array" ref="Q139">SUM(IF(($S139&gt;=4)*($C139='TaxCred&amp;Subs'!$D$114:$D$121)*($H139='TaxCred&amp;Subs'!$C$114:$C$121)*($H139&lt;='TaxCred&amp;Subs'!$C$123),'TaxCred&amp;Subs'!$E$114:$E$121,0))</f>
        <v>0</v>
      </c>
      <c r="R139" s="143">
        <v>0</v>
      </c>
      <c r="S139" s="5">
        <v>2</v>
      </c>
      <c r="T139" s="5" t="s">
        <v>220</v>
      </c>
      <c r="V139" s="7" t="str">
        <f t="array" ref="V139">INDEX(xlRTCLNAME,MATCH(1,(xlRTCLENDU=1)*(xlRTCLEQCL=$D139),0))</f>
        <v>ELEC_HP</v>
      </c>
      <c r="W139" s="7" t="str">
        <f t="array" ref="W139">INDEX(xlRTCLNAME,MATCH(1,(xlRTCLENDU=2)*(xlRTCLEQCL=$F139),0))</f>
        <v>ELEC_HP</v>
      </c>
      <c r="X139" s="7" t="str">
        <f t="array" ref="X139">INDEX(xlRTTYNAME,MATCH(1,(xlRTTYENDU=1)*(xlRTTYEQCL=$D139)*(xlRTEQTYPE=$E139),0))</f>
        <v>ELEC_HP1</v>
      </c>
      <c r="Y139" s="7" t="str">
        <f t="array" ref="Y139">INDEX(xlRTTYNAME,MATCH(1,(xlRTTYENDU=2)*(xlRTTYEQCL=$F139)*(xlRTEQTYPE=$G139),0))</f>
        <v>ELEC_HP1</v>
      </c>
    </row>
    <row r="140" spans="2:25" x14ac:dyDescent="0.2">
      <c r="B140" s="5">
        <v>8</v>
      </c>
      <c r="C140" s="5">
        <v>1</v>
      </c>
      <c r="D140" s="5">
        <v>2</v>
      </c>
      <c r="E140" s="5">
        <v>2</v>
      </c>
      <c r="F140" s="5">
        <v>3</v>
      </c>
      <c r="G140" s="31">
        <v>8</v>
      </c>
      <c r="H140" s="31">
        <v>2020</v>
      </c>
      <c r="I140" s="96">
        <v>2050</v>
      </c>
      <c r="J140" s="142">
        <v>1.0488999999999999</v>
      </c>
      <c r="K140" s="142">
        <v>1.0810999999999999</v>
      </c>
      <c r="L140" s="142">
        <v>0.68020000000000003</v>
      </c>
      <c r="M140" s="142">
        <v>0.92820000000000003</v>
      </c>
      <c r="N140" s="142">
        <v>0.87419999999999998</v>
      </c>
      <c r="O140" s="142">
        <v>1.0538000000000001</v>
      </c>
      <c r="P140" s="26">
        <v>10394.594319734739</v>
      </c>
      <c r="Q140" s="35">
        <f t="array" ref="Q140">SUM(IF(($S140&gt;=4)*($C140='TaxCred&amp;Subs'!$D$114:$D$121)*($H140='TaxCred&amp;Subs'!$C$114:$C$121)*($H140&lt;='TaxCred&amp;Subs'!$C$123),'TaxCred&amp;Subs'!$E$114:$E$121,0))</f>
        <v>0</v>
      </c>
      <c r="R140" s="143">
        <v>0</v>
      </c>
      <c r="S140" s="5">
        <v>2</v>
      </c>
      <c r="T140" s="5" t="s">
        <v>220</v>
      </c>
      <c r="V140" s="7" t="str">
        <f t="array" ref="V140">INDEX(xlRTCLNAME,MATCH(1,(xlRTCLENDU=1)*(xlRTCLEQCL=$D140),0))</f>
        <v>ELEC_HP</v>
      </c>
      <c r="W140" s="7" t="str">
        <f t="array" ref="W140">INDEX(xlRTCLNAME,MATCH(1,(xlRTCLENDU=2)*(xlRTCLEQCL=$F140),0))</f>
        <v>ELEC_HP</v>
      </c>
      <c r="X140" s="7" t="str">
        <f t="array" ref="X140">INDEX(xlRTTYNAME,MATCH(1,(xlRTTYENDU=1)*(xlRTTYEQCL=$D140)*(xlRTEQTYPE=$E140),0))</f>
        <v>ELEC_HP1</v>
      </c>
      <c r="Y140" s="7" t="str">
        <f t="array" ref="Y140">INDEX(xlRTTYNAME,MATCH(1,(xlRTTYENDU=2)*(xlRTTYEQCL=$F140)*(xlRTEQTYPE=$G140),0))</f>
        <v>ELEC_HP1</v>
      </c>
    </row>
    <row r="141" spans="2:25" x14ac:dyDescent="0.2">
      <c r="B141" s="5">
        <v>9</v>
      </c>
      <c r="C141" s="5">
        <v>1</v>
      </c>
      <c r="D141" s="5">
        <v>2</v>
      </c>
      <c r="E141" s="5">
        <v>2</v>
      </c>
      <c r="F141" s="5">
        <v>3</v>
      </c>
      <c r="G141" s="31">
        <v>8</v>
      </c>
      <c r="H141" s="31">
        <v>2020</v>
      </c>
      <c r="I141" s="96">
        <v>2050</v>
      </c>
      <c r="J141" s="142">
        <v>1.0710999999999999</v>
      </c>
      <c r="K141" s="142">
        <v>1.0754999999999999</v>
      </c>
      <c r="L141" s="142">
        <v>1.0681</v>
      </c>
      <c r="M141" s="142">
        <v>0.98440000000000005</v>
      </c>
      <c r="N141" s="142">
        <v>1.0228999999999999</v>
      </c>
      <c r="O141" s="142">
        <v>1.0538000000000001</v>
      </c>
      <c r="P141" s="26">
        <v>10832.912486625635</v>
      </c>
      <c r="Q141" s="35">
        <f t="array" ref="Q141">SUM(IF(($S141&gt;=4)*($C141='TaxCred&amp;Subs'!$D$114:$D$121)*($H141='TaxCred&amp;Subs'!$C$114:$C$121)*($H141&lt;='TaxCred&amp;Subs'!$C$123),'TaxCred&amp;Subs'!$E$114:$E$121,0))</f>
        <v>0</v>
      </c>
      <c r="R141" s="143">
        <v>0</v>
      </c>
      <c r="S141" s="5">
        <v>2</v>
      </c>
      <c r="T141" s="5" t="s">
        <v>220</v>
      </c>
      <c r="V141" s="7" t="str">
        <f t="array" ref="V141">INDEX(xlRTCLNAME,MATCH(1,(xlRTCLENDU=1)*(xlRTCLEQCL=$D141),0))</f>
        <v>ELEC_HP</v>
      </c>
      <c r="W141" s="7" t="str">
        <f t="array" ref="W141">INDEX(xlRTCLNAME,MATCH(1,(xlRTCLENDU=2)*(xlRTCLEQCL=$F141),0))</f>
        <v>ELEC_HP</v>
      </c>
      <c r="X141" s="7" t="str">
        <f t="array" ref="X141">INDEX(xlRTTYNAME,MATCH(1,(xlRTTYENDU=1)*(xlRTTYEQCL=$D141)*(xlRTEQTYPE=$E141),0))</f>
        <v>ELEC_HP1</v>
      </c>
      <c r="Y141" s="7" t="str">
        <f t="array" ref="Y141">INDEX(xlRTTYNAME,MATCH(1,(xlRTTYENDU=2)*(xlRTTYEQCL=$F141)*(xlRTEQTYPE=$G141),0))</f>
        <v>ELEC_HP1</v>
      </c>
    </row>
    <row r="142" spans="2:25" x14ac:dyDescent="0.2">
      <c r="B142" s="5">
        <v>1</v>
      </c>
      <c r="C142" s="5">
        <v>1</v>
      </c>
      <c r="D142" s="5">
        <v>3</v>
      </c>
      <c r="E142" s="5">
        <v>6</v>
      </c>
      <c r="F142" s="5">
        <v>2</v>
      </c>
      <c r="G142" s="31">
        <v>4</v>
      </c>
      <c r="H142" s="31">
        <v>2020</v>
      </c>
      <c r="I142" s="96">
        <v>2050</v>
      </c>
      <c r="J142" s="142">
        <v>1.0803</v>
      </c>
      <c r="K142" s="142">
        <v>1.0667</v>
      </c>
      <c r="L142" s="142">
        <v>0.59240000000000004</v>
      </c>
      <c r="M142" s="142">
        <v>1.0176000000000001</v>
      </c>
      <c r="N142" s="142">
        <v>0.79790000000000005</v>
      </c>
      <c r="O142" s="142">
        <v>1.0538000000000001</v>
      </c>
      <c r="P142" s="26">
        <v>14397.272794686274</v>
      </c>
      <c r="Q142" s="35">
        <f t="array" ref="Q142">SUM(IF(($S142&gt;=4)*($C142='TaxCred&amp;Subs'!$D$114:$D$121)*($H142='TaxCred&amp;Subs'!$C$114:$C$121)*($H142&lt;='TaxCred&amp;Subs'!$C$123),'TaxCred&amp;Subs'!$E$114:$E$121,0))</f>
        <v>0</v>
      </c>
      <c r="R142" s="143">
        <v>0</v>
      </c>
      <c r="S142" s="5">
        <v>2</v>
      </c>
      <c r="T142" s="5" t="s">
        <v>220</v>
      </c>
      <c r="V142" s="7" t="str">
        <f t="array" ref="V142">INDEX(xlRTCLNAME,MATCH(1,(xlRTCLENDU=1)*(xlRTCLEQCL=$D142),0))</f>
        <v>NG_FA</v>
      </c>
      <c r="W142" s="7" t="str">
        <f t="array" ref="W142">INDEX(xlRTCLNAME,MATCH(1,(xlRTCLENDU=2)*(xlRTCLEQCL=$F142),0))</f>
        <v>CENT_AIR</v>
      </c>
      <c r="X142" s="7" t="str">
        <f t="array" ref="X142">INDEX(xlRTTYNAME,MATCH(1,(xlRTTYENDU=1)*(xlRTTYEQCL=$D142)*(xlRTEQTYPE=$E142),0))</f>
        <v>NG_FA1</v>
      </c>
      <c r="Y142" s="7" t="str">
        <f t="array" ref="Y142">INDEX(xlRTTYNAME,MATCH(1,(xlRTTYENDU=2)*(xlRTTYEQCL=$F142)*(xlRTEQTYPE=$G142),0))</f>
        <v>CENT_AIR1</v>
      </c>
    </row>
    <row r="143" spans="2:25" x14ac:dyDescent="0.2">
      <c r="B143" s="5">
        <v>2</v>
      </c>
      <c r="C143" s="5">
        <v>1</v>
      </c>
      <c r="D143" s="5">
        <v>3</v>
      </c>
      <c r="E143" s="5">
        <v>6</v>
      </c>
      <c r="F143" s="5">
        <v>2</v>
      </c>
      <c r="G143" s="31">
        <v>4</v>
      </c>
      <c r="H143" s="31">
        <v>2020</v>
      </c>
      <c r="I143" s="96">
        <v>2050</v>
      </c>
      <c r="J143" s="142">
        <v>1.0649</v>
      </c>
      <c r="K143" s="142">
        <v>1.0597000000000001</v>
      </c>
      <c r="L143" s="142">
        <v>0.70389999999999997</v>
      </c>
      <c r="M143" s="142">
        <v>0.88419999999999999</v>
      </c>
      <c r="N143" s="142">
        <v>0.93169999999999997</v>
      </c>
      <c r="O143" s="142">
        <v>1.0538000000000001</v>
      </c>
      <c r="P143" s="26">
        <v>14253.407629479752</v>
      </c>
      <c r="Q143" s="35">
        <f t="array" ref="Q143">SUM(IF(($S143&gt;=4)*($C143='TaxCred&amp;Subs'!$D$114:$D$121)*($H143='TaxCred&amp;Subs'!$C$114:$C$121)*($H143&lt;='TaxCred&amp;Subs'!$C$123),'TaxCred&amp;Subs'!$E$114:$E$121,0))</f>
        <v>0</v>
      </c>
      <c r="R143" s="143">
        <v>0</v>
      </c>
      <c r="S143" s="5">
        <v>2</v>
      </c>
      <c r="T143" s="5" t="s">
        <v>220</v>
      </c>
      <c r="V143" s="7" t="str">
        <f t="array" ref="V143">INDEX(xlRTCLNAME,MATCH(1,(xlRTCLENDU=1)*(xlRTCLEQCL=$D143),0))</f>
        <v>NG_FA</v>
      </c>
      <c r="W143" s="7" t="str">
        <f t="array" ref="W143">INDEX(xlRTCLNAME,MATCH(1,(xlRTCLENDU=2)*(xlRTCLEQCL=$F143),0))</f>
        <v>CENT_AIR</v>
      </c>
      <c r="X143" s="7" t="str">
        <f t="array" ref="X143">INDEX(xlRTTYNAME,MATCH(1,(xlRTTYENDU=1)*(xlRTTYEQCL=$D143)*(xlRTEQTYPE=$E143),0))</f>
        <v>NG_FA1</v>
      </c>
      <c r="Y143" s="7" t="str">
        <f t="array" ref="Y143">INDEX(xlRTTYNAME,MATCH(1,(xlRTTYENDU=2)*(xlRTTYEQCL=$F143)*(xlRTEQTYPE=$G143),0))</f>
        <v>CENT_AIR1</v>
      </c>
    </row>
    <row r="144" spans="2:25" x14ac:dyDescent="0.2">
      <c r="B144" s="5">
        <v>3</v>
      </c>
      <c r="C144" s="5">
        <v>1</v>
      </c>
      <c r="D144" s="5">
        <v>3</v>
      </c>
      <c r="E144" s="5">
        <v>6</v>
      </c>
      <c r="F144" s="5">
        <v>2</v>
      </c>
      <c r="G144" s="31">
        <v>4</v>
      </c>
      <c r="H144" s="31">
        <v>2020</v>
      </c>
      <c r="I144" s="96">
        <v>2050</v>
      </c>
      <c r="J144" s="142">
        <v>1.0469999999999999</v>
      </c>
      <c r="K144" s="142">
        <v>1.0769</v>
      </c>
      <c r="L144" s="142">
        <v>0.58860000000000001</v>
      </c>
      <c r="M144" s="142">
        <v>0.95530000000000004</v>
      </c>
      <c r="N144" s="142">
        <v>0.91600000000000004</v>
      </c>
      <c r="O144" s="142">
        <v>1.0538000000000001</v>
      </c>
      <c r="P144" s="26">
        <v>12833.57945697427</v>
      </c>
      <c r="Q144" s="35">
        <f t="array" ref="Q144">SUM(IF(($S144&gt;=4)*($C144='TaxCred&amp;Subs'!$D$114:$D$121)*($H144='TaxCred&amp;Subs'!$C$114:$C$121)*($H144&lt;='TaxCred&amp;Subs'!$C$123),'TaxCred&amp;Subs'!$E$114:$E$121,0))</f>
        <v>0</v>
      </c>
      <c r="R144" s="143">
        <v>0</v>
      </c>
      <c r="S144" s="5">
        <v>2</v>
      </c>
      <c r="T144" s="5" t="s">
        <v>220</v>
      </c>
      <c r="V144" s="7" t="str">
        <f t="array" ref="V144">INDEX(xlRTCLNAME,MATCH(1,(xlRTCLENDU=1)*(xlRTCLEQCL=$D144),0))</f>
        <v>NG_FA</v>
      </c>
      <c r="W144" s="7" t="str">
        <f t="array" ref="W144">INDEX(xlRTCLNAME,MATCH(1,(xlRTCLENDU=2)*(xlRTCLEQCL=$F144),0))</f>
        <v>CENT_AIR</v>
      </c>
      <c r="X144" s="7" t="str">
        <f t="array" ref="X144">INDEX(xlRTTYNAME,MATCH(1,(xlRTTYENDU=1)*(xlRTTYEQCL=$D144)*(xlRTEQTYPE=$E144),0))</f>
        <v>NG_FA1</v>
      </c>
      <c r="Y144" s="7" t="str">
        <f t="array" ref="Y144">INDEX(xlRTTYNAME,MATCH(1,(xlRTTYENDU=2)*(xlRTTYEQCL=$F144)*(xlRTEQTYPE=$G144),0))</f>
        <v>CENT_AIR1</v>
      </c>
    </row>
    <row r="145" spans="2:25" x14ac:dyDescent="0.2">
      <c r="B145" s="5">
        <v>4</v>
      </c>
      <c r="C145" s="5">
        <v>1</v>
      </c>
      <c r="D145" s="5">
        <v>3</v>
      </c>
      <c r="E145" s="5">
        <v>6</v>
      </c>
      <c r="F145" s="5">
        <v>2</v>
      </c>
      <c r="G145" s="31">
        <v>4</v>
      </c>
      <c r="H145" s="31">
        <v>2020</v>
      </c>
      <c r="I145" s="96">
        <v>2050</v>
      </c>
      <c r="J145" s="142">
        <v>1.0862000000000001</v>
      </c>
      <c r="K145" s="142">
        <v>1.0769</v>
      </c>
      <c r="L145" s="142">
        <v>0.57379999999999998</v>
      </c>
      <c r="M145" s="142">
        <v>0.90200000000000002</v>
      </c>
      <c r="N145" s="142">
        <v>0.85770000000000002</v>
      </c>
      <c r="O145" s="142">
        <v>1.0538000000000001</v>
      </c>
      <c r="P145" s="26">
        <v>10157.956290983824</v>
      </c>
      <c r="Q145" s="35">
        <f t="array" ref="Q145">SUM(IF(($S145&gt;=4)*($C145='TaxCred&amp;Subs'!$D$114:$D$121)*($H145='TaxCred&amp;Subs'!$C$114:$C$121)*($H145&lt;='TaxCred&amp;Subs'!$C$123),'TaxCred&amp;Subs'!$E$114:$E$121,0))</f>
        <v>0</v>
      </c>
      <c r="R145" s="143">
        <v>0</v>
      </c>
      <c r="S145" s="5">
        <v>2</v>
      </c>
      <c r="T145" s="5" t="s">
        <v>220</v>
      </c>
      <c r="V145" s="7" t="str">
        <f t="array" ref="V145">INDEX(xlRTCLNAME,MATCH(1,(xlRTCLENDU=1)*(xlRTCLEQCL=$D145),0))</f>
        <v>NG_FA</v>
      </c>
      <c r="W145" s="7" t="str">
        <f t="array" ref="W145">INDEX(xlRTCLNAME,MATCH(1,(xlRTCLENDU=2)*(xlRTCLEQCL=$F145),0))</f>
        <v>CENT_AIR</v>
      </c>
      <c r="X145" s="7" t="str">
        <f t="array" ref="X145">INDEX(xlRTTYNAME,MATCH(1,(xlRTTYENDU=1)*(xlRTTYEQCL=$D145)*(xlRTEQTYPE=$E145),0))</f>
        <v>NG_FA1</v>
      </c>
      <c r="Y145" s="7" t="str">
        <f t="array" ref="Y145">INDEX(xlRTTYNAME,MATCH(1,(xlRTTYENDU=2)*(xlRTTYEQCL=$F145)*(xlRTEQTYPE=$G145),0))</f>
        <v>CENT_AIR1</v>
      </c>
    </row>
    <row r="146" spans="2:25" x14ac:dyDescent="0.2">
      <c r="B146" s="5">
        <v>5</v>
      </c>
      <c r="C146" s="5">
        <v>1</v>
      </c>
      <c r="D146" s="5">
        <v>3</v>
      </c>
      <c r="E146" s="5">
        <v>6</v>
      </c>
      <c r="F146" s="5">
        <v>2</v>
      </c>
      <c r="G146" s="31">
        <v>4</v>
      </c>
      <c r="H146" s="31">
        <v>2020</v>
      </c>
      <c r="I146" s="96">
        <v>2050</v>
      </c>
      <c r="J146" s="142">
        <v>1.0849</v>
      </c>
      <c r="K146" s="142">
        <v>1.0471999999999999</v>
      </c>
      <c r="L146" s="142">
        <v>0.77029999999999998</v>
      </c>
      <c r="M146" s="142">
        <v>0.95499999999999996</v>
      </c>
      <c r="N146" s="142">
        <v>0.76180000000000003</v>
      </c>
      <c r="O146" s="142">
        <v>1.0538000000000001</v>
      </c>
      <c r="P146" s="26">
        <v>9504.5126434102785</v>
      </c>
      <c r="Q146" s="35">
        <f t="array" ref="Q146">SUM(IF(($S146&gt;=4)*($C146='TaxCred&amp;Subs'!$D$114:$D$121)*($H146='TaxCred&amp;Subs'!$C$114:$C$121)*($H146&lt;='TaxCred&amp;Subs'!$C$123),'TaxCred&amp;Subs'!$E$114:$E$121,0))</f>
        <v>0</v>
      </c>
      <c r="R146" s="143">
        <v>0</v>
      </c>
      <c r="S146" s="5">
        <v>2</v>
      </c>
      <c r="T146" s="5" t="s">
        <v>220</v>
      </c>
      <c r="V146" s="7" t="str">
        <f t="array" ref="V146">INDEX(xlRTCLNAME,MATCH(1,(xlRTCLENDU=1)*(xlRTCLEQCL=$D146),0))</f>
        <v>NG_FA</v>
      </c>
      <c r="W146" s="7" t="str">
        <f t="array" ref="W146">INDEX(xlRTCLNAME,MATCH(1,(xlRTCLENDU=2)*(xlRTCLEQCL=$F146),0))</f>
        <v>CENT_AIR</v>
      </c>
      <c r="X146" s="7" t="str">
        <f t="array" ref="X146">INDEX(xlRTTYNAME,MATCH(1,(xlRTTYENDU=1)*(xlRTTYEQCL=$D146)*(xlRTEQTYPE=$E146),0))</f>
        <v>NG_FA1</v>
      </c>
      <c r="Y146" s="7" t="str">
        <f t="array" ref="Y146">INDEX(xlRTTYNAME,MATCH(1,(xlRTTYENDU=2)*(xlRTTYEQCL=$F146)*(xlRTEQTYPE=$G146),0))</f>
        <v>CENT_AIR1</v>
      </c>
    </row>
    <row r="147" spans="2:25" x14ac:dyDescent="0.2">
      <c r="B147" s="5">
        <v>6</v>
      </c>
      <c r="C147" s="5">
        <v>1</v>
      </c>
      <c r="D147" s="5">
        <v>3</v>
      </c>
      <c r="E147" s="5">
        <v>6</v>
      </c>
      <c r="F147" s="5">
        <v>2</v>
      </c>
      <c r="G147" s="31">
        <v>4</v>
      </c>
      <c r="H147" s="31">
        <v>2020</v>
      </c>
      <c r="I147" s="96">
        <v>2050</v>
      </c>
      <c r="J147" s="142">
        <v>1.0924</v>
      </c>
      <c r="K147" s="142">
        <v>1.0661</v>
      </c>
      <c r="L147" s="142">
        <v>0.87670000000000003</v>
      </c>
      <c r="M147" s="142">
        <v>0.96009999999999995</v>
      </c>
      <c r="N147" s="142">
        <v>0.89100000000000001</v>
      </c>
      <c r="O147" s="142">
        <v>1.0538000000000001</v>
      </c>
      <c r="P147" s="26">
        <v>9894.4275771475805</v>
      </c>
      <c r="Q147" s="35">
        <f t="array" ref="Q147">SUM(IF(($S147&gt;=4)*($C147='TaxCred&amp;Subs'!$D$114:$D$121)*($H147='TaxCred&amp;Subs'!$C$114:$C$121)*($H147&lt;='TaxCred&amp;Subs'!$C$123),'TaxCred&amp;Subs'!$E$114:$E$121,0))</f>
        <v>0</v>
      </c>
      <c r="R147" s="143">
        <v>0</v>
      </c>
      <c r="S147" s="5">
        <v>2</v>
      </c>
      <c r="T147" s="5" t="s">
        <v>220</v>
      </c>
      <c r="V147" s="7" t="str">
        <f t="array" ref="V147">INDEX(xlRTCLNAME,MATCH(1,(xlRTCLENDU=1)*(xlRTCLEQCL=$D147),0))</f>
        <v>NG_FA</v>
      </c>
      <c r="W147" s="7" t="str">
        <f t="array" ref="W147">INDEX(xlRTCLNAME,MATCH(1,(xlRTCLENDU=2)*(xlRTCLEQCL=$F147),0))</f>
        <v>CENT_AIR</v>
      </c>
      <c r="X147" s="7" t="str">
        <f t="array" ref="X147">INDEX(xlRTTYNAME,MATCH(1,(xlRTTYENDU=1)*(xlRTTYEQCL=$D147)*(xlRTEQTYPE=$E147),0))</f>
        <v>NG_FA1</v>
      </c>
      <c r="Y147" s="7" t="str">
        <f t="array" ref="Y147">INDEX(xlRTTYNAME,MATCH(1,(xlRTTYENDU=2)*(xlRTTYEQCL=$F147)*(xlRTEQTYPE=$G147),0))</f>
        <v>CENT_AIR1</v>
      </c>
    </row>
    <row r="148" spans="2:25" x14ac:dyDescent="0.2">
      <c r="B148" s="5">
        <v>7</v>
      </c>
      <c r="C148" s="5">
        <v>1</v>
      </c>
      <c r="D148" s="5">
        <v>3</v>
      </c>
      <c r="E148" s="5">
        <v>6</v>
      </c>
      <c r="F148" s="5">
        <v>2</v>
      </c>
      <c r="G148" s="31">
        <v>4</v>
      </c>
      <c r="H148" s="31">
        <v>2020</v>
      </c>
      <c r="I148" s="96">
        <v>2050</v>
      </c>
      <c r="J148" s="142">
        <v>1.0905</v>
      </c>
      <c r="K148" s="142">
        <v>1.0562</v>
      </c>
      <c r="L148" s="142">
        <v>0.89019999999999999</v>
      </c>
      <c r="M148" s="142">
        <v>0.87749999999999995</v>
      </c>
      <c r="N148" s="142">
        <v>0.87180000000000002</v>
      </c>
      <c r="O148" s="142">
        <v>1.0538000000000001</v>
      </c>
      <c r="P148" s="26">
        <v>8345.5241162325092</v>
      </c>
      <c r="Q148" s="35">
        <f t="array" ref="Q148">SUM(IF(($S148&gt;=4)*($C148='TaxCred&amp;Subs'!$D$114:$D$121)*($H148='TaxCred&amp;Subs'!$C$114:$C$121)*($H148&lt;='TaxCred&amp;Subs'!$C$123),'TaxCred&amp;Subs'!$E$114:$E$121,0))</f>
        <v>0</v>
      </c>
      <c r="R148" s="143">
        <v>0</v>
      </c>
      <c r="S148" s="5">
        <v>2</v>
      </c>
      <c r="T148" s="5" t="s">
        <v>220</v>
      </c>
      <c r="V148" s="7" t="str">
        <f t="array" ref="V148">INDEX(xlRTCLNAME,MATCH(1,(xlRTCLENDU=1)*(xlRTCLEQCL=$D148),0))</f>
        <v>NG_FA</v>
      </c>
      <c r="W148" s="7" t="str">
        <f t="array" ref="W148">INDEX(xlRTCLNAME,MATCH(1,(xlRTCLENDU=2)*(xlRTCLEQCL=$F148),0))</f>
        <v>CENT_AIR</v>
      </c>
      <c r="X148" s="7" t="str">
        <f t="array" ref="X148">INDEX(xlRTTYNAME,MATCH(1,(xlRTTYENDU=1)*(xlRTTYEQCL=$D148)*(xlRTEQTYPE=$E148),0))</f>
        <v>NG_FA1</v>
      </c>
      <c r="Y148" s="7" t="str">
        <f t="array" ref="Y148">INDEX(xlRTTYNAME,MATCH(1,(xlRTTYENDU=2)*(xlRTTYEQCL=$F148)*(xlRTEQTYPE=$G148),0))</f>
        <v>CENT_AIR1</v>
      </c>
    </row>
    <row r="149" spans="2:25" x14ac:dyDescent="0.2">
      <c r="B149" s="5">
        <v>8</v>
      </c>
      <c r="C149" s="5">
        <v>1</v>
      </c>
      <c r="D149" s="5">
        <v>3</v>
      </c>
      <c r="E149" s="5">
        <v>6</v>
      </c>
      <c r="F149" s="5">
        <v>2</v>
      </c>
      <c r="G149" s="31">
        <v>4</v>
      </c>
      <c r="H149" s="31">
        <v>2020</v>
      </c>
      <c r="I149" s="96">
        <v>2050</v>
      </c>
      <c r="J149" s="142">
        <v>1.0801000000000001</v>
      </c>
      <c r="K149" s="142">
        <v>1.0822000000000001</v>
      </c>
      <c r="L149" s="142">
        <v>0.59719999999999995</v>
      </c>
      <c r="M149" s="142">
        <v>0.92079999999999995</v>
      </c>
      <c r="N149" s="142">
        <v>0.86950000000000005</v>
      </c>
      <c r="O149" s="142">
        <v>1.0538000000000001</v>
      </c>
      <c r="P149" s="26">
        <v>11343.835503246926</v>
      </c>
      <c r="Q149" s="35">
        <f t="array" ref="Q149">SUM(IF(($S149&gt;=4)*($C149='TaxCred&amp;Subs'!$D$114:$D$121)*($H149='TaxCred&amp;Subs'!$C$114:$C$121)*($H149&lt;='TaxCred&amp;Subs'!$C$123),'TaxCred&amp;Subs'!$E$114:$E$121,0))</f>
        <v>0</v>
      </c>
      <c r="R149" s="143">
        <v>0</v>
      </c>
      <c r="S149" s="5">
        <v>2</v>
      </c>
      <c r="T149" s="5" t="s">
        <v>220</v>
      </c>
      <c r="V149" s="7" t="str">
        <f t="array" ref="V149">INDEX(xlRTCLNAME,MATCH(1,(xlRTCLENDU=1)*(xlRTCLEQCL=$D149),0))</f>
        <v>NG_FA</v>
      </c>
      <c r="W149" s="7" t="str">
        <f t="array" ref="W149">INDEX(xlRTCLNAME,MATCH(1,(xlRTCLENDU=2)*(xlRTCLEQCL=$F149),0))</f>
        <v>CENT_AIR</v>
      </c>
      <c r="X149" s="7" t="str">
        <f t="array" ref="X149">INDEX(xlRTTYNAME,MATCH(1,(xlRTTYENDU=1)*(xlRTTYEQCL=$D149)*(xlRTEQTYPE=$E149),0))</f>
        <v>NG_FA1</v>
      </c>
      <c r="Y149" s="7" t="str">
        <f t="array" ref="Y149">INDEX(xlRTTYNAME,MATCH(1,(xlRTTYENDU=2)*(xlRTTYEQCL=$F149)*(xlRTEQTYPE=$G149),0))</f>
        <v>CENT_AIR1</v>
      </c>
    </row>
    <row r="150" spans="2:25" x14ac:dyDescent="0.2">
      <c r="B150" s="5">
        <v>9</v>
      </c>
      <c r="C150" s="5">
        <v>1</v>
      </c>
      <c r="D150" s="5">
        <v>3</v>
      </c>
      <c r="E150" s="5">
        <v>6</v>
      </c>
      <c r="F150" s="5">
        <v>2</v>
      </c>
      <c r="G150" s="31">
        <v>4</v>
      </c>
      <c r="H150" s="31">
        <v>2020</v>
      </c>
      <c r="I150" s="96">
        <v>2050</v>
      </c>
      <c r="J150" s="142">
        <v>1.0781000000000001</v>
      </c>
      <c r="K150" s="142">
        <v>1.0707</v>
      </c>
      <c r="L150" s="142">
        <v>0.98050000000000004</v>
      </c>
      <c r="M150" s="142">
        <v>0.94669999999999999</v>
      </c>
      <c r="N150" s="142">
        <v>1.0339</v>
      </c>
      <c r="O150" s="142">
        <v>1.0538000000000001</v>
      </c>
      <c r="P150" s="26">
        <v>13398.283843766223</v>
      </c>
      <c r="Q150" s="35">
        <f t="array" ref="Q150">SUM(IF(($S150&gt;=4)*($C150='TaxCred&amp;Subs'!$D$114:$D$121)*($H150='TaxCred&amp;Subs'!$C$114:$C$121)*($H150&lt;='TaxCred&amp;Subs'!$C$123),'TaxCred&amp;Subs'!$E$114:$E$121,0))</f>
        <v>0</v>
      </c>
      <c r="R150" s="143">
        <v>0</v>
      </c>
      <c r="S150" s="5">
        <v>2</v>
      </c>
      <c r="T150" s="5" t="s">
        <v>220</v>
      </c>
      <c r="V150" s="7" t="str">
        <f t="array" ref="V150">INDEX(xlRTCLNAME,MATCH(1,(xlRTCLENDU=1)*(xlRTCLEQCL=$D150),0))</f>
        <v>NG_FA</v>
      </c>
      <c r="W150" s="7" t="str">
        <f t="array" ref="W150">INDEX(xlRTCLNAME,MATCH(1,(xlRTCLENDU=2)*(xlRTCLEQCL=$F150),0))</f>
        <v>CENT_AIR</v>
      </c>
      <c r="X150" s="7" t="str">
        <f t="array" ref="X150">INDEX(xlRTTYNAME,MATCH(1,(xlRTTYENDU=1)*(xlRTTYEQCL=$D150)*(xlRTEQTYPE=$E150),0))</f>
        <v>NG_FA1</v>
      </c>
      <c r="Y150" s="7" t="str">
        <f t="array" ref="Y150">INDEX(xlRTTYNAME,MATCH(1,(xlRTTYENDU=2)*(xlRTTYEQCL=$F150)*(xlRTEQTYPE=$G150),0))</f>
        <v>CENT_AIR1</v>
      </c>
    </row>
    <row r="151" spans="2:25" x14ac:dyDescent="0.2">
      <c r="B151" s="5">
        <v>1</v>
      </c>
      <c r="C151" s="5">
        <v>1</v>
      </c>
      <c r="D151" s="5">
        <v>4</v>
      </c>
      <c r="E151" s="5">
        <v>10</v>
      </c>
      <c r="F151" s="5">
        <v>2</v>
      </c>
      <c r="G151" s="31">
        <v>4</v>
      </c>
      <c r="H151" s="31">
        <v>2020</v>
      </c>
      <c r="I151" s="96">
        <v>2050</v>
      </c>
      <c r="J151" s="142">
        <v>1.0592999999999999</v>
      </c>
      <c r="K151" s="142">
        <v>1.0889</v>
      </c>
      <c r="L151" s="142">
        <v>0.57969999999999999</v>
      </c>
      <c r="M151" s="142">
        <v>1.0176000000000001</v>
      </c>
      <c r="N151" s="142">
        <v>0.8095</v>
      </c>
      <c r="O151" s="142">
        <v>1.0538000000000001</v>
      </c>
      <c r="P151" s="26">
        <v>14078.618176425101</v>
      </c>
      <c r="Q151" s="35">
        <f t="array" ref="Q151">SUM(IF(($S151&gt;=4)*($C151='TaxCred&amp;Subs'!$D$114:$D$121)*($H151='TaxCred&amp;Subs'!$C$114:$C$121)*($H151&lt;='TaxCred&amp;Subs'!$C$123),'TaxCred&amp;Subs'!$E$114:$E$121,0))</f>
        <v>0</v>
      </c>
      <c r="R151" s="143">
        <v>0</v>
      </c>
      <c r="S151" s="5">
        <v>2</v>
      </c>
      <c r="T151" s="5" t="s">
        <v>220</v>
      </c>
      <c r="V151" s="7" t="str">
        <f t="array" ref="V151">INDEX(xlRTCLNAME,MATCH(1,(xlRTCLENDU=1)*(xlRTCLEQCL=$D151),0))</f>
        <v>NG_RAD</v>
      </c>
      <c r="W151" s="7" t="str">
        <f t="array" ref="W151">INDEX(xlRTCLNAME,MATCH(1,(xlRTCLENDU=2)*(xlRTCLEQCL=$F151),0))</f>
        <v>CENT_AIR</v>
      </c>
      <c r="X151" s="7" t="str">
        <f t="array" ref="X151">INDEX(xlRTTYNAME,MATCH(1,(xlRTTYENDU=1)*(xlRTTYEQCL=$D151)*(xlRTEQTYPE=$E151),0))</f>
        <v>NG_RAD1</v>
      </c>
      <c r="Y151" s="7" t="str">
        <f t="array" ref="Y151">INDEX(xlRTTYNAME,MATCH(1,(xlRTTYENDU=2)*(xlRTTYEQCL=$F151)*(xlRTEQTYPE=$G151),0))</f>
        <v>CENT_AIR1</v>
      </c>
    </row>
    <row r="152" spans="2:25" x14ac:dyDescent="0.2">
      <c r="B152" s="5">
        <v>2</v>
      </c>
      <c r="C152" s="5">
        <v>1</v>
      </c>
      <c r="D152" s="5">
        <v>4</v>
      </c>
      <c r="E152" s="5">
        <v>10</v>
      </c>
      <c r="F152" s="5">
        <v>2</v>
      </c>
      <c r="G152" s="31">
        <v>4</v>
      </c>
      <c r="H152" s="31">
        <v>2020</v>
      </c>
      <c r="I152" s="96">
        <v>2050</v>
      </c>
      <c r="J152" s="142">
        <v>1.0717000000000001</v>
      </c>
      <c r="K152" s="142">
        <v>1.0895999999999999</v>
      </c>
      <c r="L152" s="142">
        <v>0.6885</v>
      </c>
      <c r="M152" s="142">
        <v>0.88419999999999999</v>
      </c>
      <c r="N152" s="142">
        <v>0.92630000000000001</v>
      </c>
      <c r="O152" s="142">
        <v>1.0538000000000001</v>
      </c>
      <c r="P152" s="26">
        <v>13668.535228873799</v>
      </c>
      <c r="Q152" s="35">
        <f t="array" ref="Q152">SUM(IF(($S152&gt;=4)*($C152='TaxCred&amp;Subs'!$D$114:$D$121)*($H152='TaxCred&amp;Subs'!$C$114:$C$121)*($H152&lt;='TaxCred&amp;Subs'!$C$123),'TaxCred&amp;Subs'!$E$114:$E$121,0))</f>
        <v>0</v>
      </c>
      <c r="R152" s="143">
        <v>0</v>
      </c>
      <c r="S152" s="5">
        <v>2</v>
      </c>
      <c r="T152" s="5" t="s">
        <v>220</v>
      </c>
      <c r="V152" s="7" t="str">
        <f t="array" ref="V152">INDEX(xlRTCLNAME,MATCH(1,(xlRTCLENDU=1)*(xlRTCLEQCL=$D152),0))</f>
        <v>NG_RAD</v>
      </c>
      <c r="W152" s="7" t="str">
        <f t="array" ref="W152">INDEX(xlRTCLNAME,MATCH(1,(xlRTCLENDU=2)*(xlRTCLEQCL=$F152),0))</f>
        <v>CENT_AIR</v>
      </c>
      <c r="X152" s="7" t="str">
        <f t="array" ref="X152">INDEX(xlRTTYNAME,MATCH(1,(xlRTTYENDU=1)*(xlRTTYEQCL=$D152)*(xlRTEQTYPE=$E152),0))</f>
        <v>NG_RAD1</v>
      </c>
      <c r="Y152" s="7" t="str">
        <f t="array" ref="Y152">INDEX(xlRTTYNAME,MATCH(1,(xlRTTYENDU=2)*(xlRTTYEQCL=$F152)*(xlRTEQTYPE=$G152),0))</f>
        <v>CENT_AIR1</v>
      </c>
    </row>
    <row r="153" spans="2:25" x14ac:dyDescent="0.2">
      <c r="B153" s="5">
        <v>3</v>
      </c>
      <c r="C153" s="5">
        <v>1</v>
      </c>
      <c r="D153" s="5">
        <v>4</v>
      </c>
      <c r="E153" s="5">
        <v>10</v>
      </c>
      <c r="F153" s="5">
        <v>2</v>
      </c>
      <c r="G153" s="31">
        <v>4</v>
      </c>
      <c r="H153" s="31">
        <v>2020</v>
      </c>
      <c r="I153" s="96">
        <v>2050</v>
      </c>
      <c r="J153" s="142">
        <v>1.0821000000000001</v>
      </c>
      <c r="K153" s="142">
        <v>1.0769</v>
      </c>
      <c r="L153" s="142">
        <v>0.5655</v>
      </c>
      <c r="M153" s="142">
        <v>0.95530000000000004</v>
      </c>
      <c r="N153" s="142">
        <v>0.91400000000000003</v>
      </c>
      <c r="O153" s="142">
        <v>1.0538000000000001</v>
      </c>
      <c r="P153" s="26">
        <v>12941.142197315594</v>
      </c>
      <c r="Q153" s="35">
        <f t="array" ref="Q153">SUM(IF(($S153&gt;=4)*($C153='TaxCred&amp;Subs'!$D$114:$D$121)*($H153='TaxCred&amp;Subs'!$C$114:$C$121)*($H153&lt;='TaxCred&amp;Subs'!$C$123),'TaxCred&amp;Subs'!$E$114:$E$121,0))</f>
        <v>0</v>
      </c>
      <c r="R153" s="143">
        <v>0</v>
      </c>
      <c r="S153" s="5">
        <v>2</v>
      </c>
      <c r="T153" s="5" t="s">
        <v>220</v>
      </c>
      <c r="V153" s="7" t="str">
        <f t="array" ref="V153">INDEX(xlRTCLNAME,MATCH(1,(xlRTCLENDU=1)*(xlRTCLEQCL=$D153),0))</f>
        <v>NG_RAD</v>
      </c>
      <c r="W153" s="7" t="str">
        <f t="array" ref="W153">INDEX(xlRTCLNAME,MATCH(1,(xlRTCLENDU=2)*(xlRTCLEQCL=$F153),0))</f>
        <v>CENT_AIR</v>
      </c>
      <c r="X153" s="7" t="str">
        <f t="array" ref="X153">INDEX(xlRTTYNAME,MATCH(1,(xlRTTYENDU=1)*(xlRTTYEQCL=$D153)*(xlRTEQTYPE=$E153),0))</f>
        <v>NG_RAD1</v>
      </c>
      <c r="Y153" s="7" t="str">
        <f t="array" ref="Y153">INDEX(xlRTTYNAME,MATCH(1,(xlRTTYENDU=2)*(xlRTTYEQCL=$F153)*(xlRTEQTYPE=$G153),0))</f>
        <v>CENT_AIR1</v>
      </c>
    </row>
    <row r="154" spans="2:25" x14ac:dyDescent="0.2">
      <c r="B154" s="5">
        <v>4</v>
      </c>
      <c r="C154" s="5">
        <v>1</v>
      </c>
      <c r="D154" s="5">
        <v>4</v>
      </c>
      <c r="E154" s="5">
        <v>10</v>
      </c>
      <c r="F154" s="5">
        <v>2</v>
      </c>
      <c r="G154" s="31">
        <v>4</v>
      </c>
      <c r="H154" s="31">
        <v>2020</v>
      </c>
      <c r="I154" s="96">
        <v>2050</v>
      </c>
      <c r="J154" s="142">
        <v>1.0812999999999999</v>
      </c>
      <c r="K154" s="142">
        <v>1.0769</v>
      </c>
      <c r="L154" s="142">
        <v>0.55759999999999998</v>
      </c>
      <c r="M154" s="142">
        <v>0.90200000000000002</v>
      </c>
      <c r="N154" s="142">
        <v>0.85660000000000003</v>
      </c>
      <c r="O154" s="142">
        <v>1.0538000000000001</v>
      </c>
      <c r="P154" s="26">
        <v>10510.224265601661</v>
      </c>
      <c r="Q154" s="35">
        <f t="array" ref="Q154">SUM(IF(($S154&gt;=4)*($C154='TaxCred&amp;Subs'!$D$114:$D$121)*($H154='TaxCred&amp;Subs'!$C$114:$C$121)*($H154&lt;='TaxCred&amp;Subs'!$C$123),'TaxCred&amp;Subs'!$E$114:$E$121,0))</f>
        <v>0</v>
      </c>
      <c r="R154" s="143">
        <v>0</v>
      </c>
      <c r="S154" s="5">
        <v>2</v>
      </c>
      <c r="T154" s="5" t="s">
        <v>220</v>
      </c>
      <c r="V154" s="7" t="str">
        <f t="array" ref="V154">INDEX(xlRTCLNAME,MATCH(1,(xlRTCLENDU=1)*(xlRTCLEQCL=$D154),0))</f>
        <v>NG_RAD</v>
      </c>
      <c r="W154" s="7" t="str">
        <f t="array" ref="W154">INDEX(xlRTCLNAME,MATCH(1,(xlRTCLENDU=2)*(xlRTCLEQCL=$F154),0))</f>
        <v>CENT_AIR</v>
      </c>
      <c r="X154" s="7" t="str">
        <f t="array" ref="X154">INDEX(xlRTTYNAME,MATCH(1,(xlRTTYENDU=1)*(xlRTTYEQCL=$D154)*(xlRTEQTYPE=$E154),0))</f>
        <v>NG_RAD1</v>
      </c>
      <c r="Y154" s="7" t="str">
        <f t="array" ref="Y154">INDEX(xlRTTYNAME,MATCH(1,(xlRTTYENDU=2)*(xlRTTYEQCL=$F154)*(xlRTEQTYPE=$G154),0))</f>
        <v>CENT_AIR1</v>
      </c>
    </row>
    <row r="155" spans="2:25" x14ac:dyDescent="0.2">
      <c r="B155" s="5">
        <v>5</v>
      </c>
      <c r="C155" s="5">
        <v>1</v>
      </c>
      <c r="D155" s="5">
        <v>4</v>
      </c>
      <c r="E155" s="5">
        <v>10</v>
      </c>
      <c r="F155" s="5">
        <v>2</v>
      </c>
      <c r="G155" s="31">
        <v>4</v>
      </c>
      <c r="H155" s="31">
        <v>2020</v>
      </c>
      <c r="I155" s="96">
        <v>2050</v>
      </c>
      <c r="J155" s="142">
        <v>1.0838000000000001</v>
      </c>
      <c r="K155" s="142">
        <v>1.0465</v>
      </c>
      <c r="L155" s="142">
        <v>0.76639999999999997</v>
      </c>
      <c r="M155" s="142">
        <v>0.96250000000000002</v>
      </c>
      <c r="N155" s="142">
        <v>0.75670000000000004</v>
      </c>
      <c r="O155" s="142">
        <v>1.0538000000000001</v>
      </c>
      <c r="P155" s="26">
        <v>8985.5224212633893</v>
      </c>
      <c r="Q155" s="35">
        <f t="array" ref="Q155">SUM(IF(($S155&gt;=4)*($C155='TaxCred&amp;Subs'!$D$114:$D$121)*($H155='TaxCred&amp;Subs'!$C$114:$C$121)*($H155&lt;='TaxCred&amp;Subs'!$C$123),'TaxCred&amp;Subs'!$E$114:$E$121,0))</f>
        <v>0</v>
      </c>
      <c r="R155" s="143">
        <v>0</v>
      </c>
      <c r="S155" s="5">
        <v>2</v>
      </c>
      <c r="T155" s="5" t="s">
        <v>220</v>
      </c>
      <c r="V155" s="7" t="str">
        <f t="array" ref="V155">INDEX(xlRTCLNAME,MATCH(1,(xlRTCLENDU=1)*(xlRTCLEQCL=$D155),0))</f>
        <v>NG_RAD</v>
      </c>
      <c r="W155" s="7" t="str">
        <f t="array" ref="W155">INDEX(xlRTCLNAME,MATCH(1,(xlRTCLENDU=2)*(xlRTCLEQCL=$F155),0))</f>
        <v>CENT_AIR</v>
      </c>
      <c r="X155" s="7" t="str">
        <f t="array" ref="X155">INDEX(xlRTTYNAME,MATCH(1,(xlRTTYENDU=1)*(xlRTTYEQCL=$D155)*(xlRTEQTYPE=$E155),0))</f>
        <v>NG_RAD1</v>
      </c>
      <c r="Y155" s="7" t="str">
        <f t="array" ref="Y155">INDEX(xlRTTYNAME,MATCH(1,(xlRTTYENDU=2)*(xlRTTYEQCL=$F155)*(xlRTEQTYPE=$G155),0))</f>
        <v>CENT_AIR1</v>
      </c>
    </row>
    <row r="156" spans="2:25" x14ac:dyDescent="0.2">
      <c r="B156" s="5">
        <v>6</v>
      </c>
      <c r="C156" s="5">
        <v>1</v>
      </c>
      <c r="D156" s="5">
        <v>4</v>
      </c>
      <c r="E156" s="5">
        <v>10</v>
      </c>
      <c r="F156" s="5">
        <v>2</v>
      </c>
      <c r="G156" s="31">
        <v>4</v>
      </c>
      <c r="H156" s="31">
        <v>2020</v>
      </c>
      <c r="I156" s="96">
        <v>2050</v>
      </c>
      <c r="J156" s="142">
        <v>1.089</v>
      </c>
      <c r="K156" s="142">
        <v>1.0583</v>
      </c>
      <c r="L156" s="142">
        <v>0.9</v>
      </c>
      <c r="M156" s="142">
        <v>0.95589999999999997</v>
      </c>
      <c r="N156" s="142">
        <v>0.88849999999999996</v>
      </c>
      <c r="O156" s="142">
        <v>1.0538000000000001</v>
      </c>
      <c r="P156" s="26">
        <v>8595.6074875260874</v>
      </c>
      <c r="Q156" s="35">
        <f t="array" ref="Q156">SUM(IF(($S156&gt;=4)*($C156='TaxCred&amp;Subs'!$D$114:$D$121)*($H156='TaxCred&amp;Subs'!$C$114:$C$121)*($H156&lt;='TaxCred&amp;Subs'!$C$123),'TaxCred&amp;Subs'!$E$114:$E$121,0))</f>
        <v>0</v>
      </c>
      <c r="R156" s="143">
        <v>0</v>
      </c>
      <c r="S156" s="5">
        <v>2</v>
      </c>
      <c r="T156" s="5" t="s">
        <v>220</v>
      </c>
      <c r="V156" s="7" t="str">
        <f t="array" ref="V156">INDEX(xlRTCLNAME,MATCH(1,(xlRTCLENDU=1)*(xlRTCLEQCL=$D156),0))</f>
        <v>NG_RAD</v>
      </c>
      <c r="W156" s="7" t="str">
        <f t="array" ref="W156">INDEX(xlRTCLNAME,MATCH(1,(xlRTCLENDU=2)*(xlRTCLEQCL=$F156),0))</f>
        <v>CENT_AIR</v>
      </c>
      <c r="X156" s="7" t="str">
        <f t="array" ref="X156">INDEX(xlRTTYNAME,MATCH(1,(xlRTTYENDU=1)*(xlRTTYEQCL=$D156)*(xlRTEQTYPE=$E156),0))</f>
        <v>NG_RAD1</v>
      </c>
      <c r="Y156" s="7" t="str">
        <f t="array" ref="Y156">INDEX(xlRTTYNAME,MATCH(1,(xlRTTYENDU=2)*(xlRTTYEQCL=$F156)*(xlRTEQTYPE=$G156),0))</f>
        <v>CENT_AIR1</v>
      </c>
    </row>
    <row r="157" spans="2:25" x14ac:dyDescent="0.2">
      <c r="B157" s="5">
        <v>7</v>
      </c>
      <c r="C157" s="5">
        <v>1</v>
      </c>
      <c r="D157" s="5">
        <v>4</v>
      </c>
      <c r="E157" s="5">
        <v>10</v>
      </c>
      <c r="F157" s="5">
        <v>2</v>
      </c>
      <c r="G157" s="31">
        <v>4</v>
      </c>
      <c r="H157" s="31">
        <v>2020</v>
      </c>
      <c r="I157" s="96">
        <v>2050</v>
      </c>
      <c r="J157" s="142">
        <v>1.0867</v>
      </c>
      <c r="K157" s="142">
        <v>1.0682</v>
      </c>
      <c r="L157" s="142">
        <v>0.81220000000000003</v>
      </c>
      <c r="M157" s="142">
        <v>0.87150000000000005</v>
      </c>
      <c r="N157" s="142">
        <v>0.87180000000000002</v>
      </c>
      <c r="O157" s="142">
        <v>1.0538000000000001</v>
      </c>
      <c r="P157" s="26">
        <v>8457.1204593366328</v>
      </c>
      <c r="Q157" s="35">
        <f t="array" ref="Q157">SUM(IF(($S157&gt;=4)*($C157='TaxCred&amp;Subs'!$D$114:$D$121)*($H157='TaxCred&amp;Subs'!$C$114:$C$121)*($H157&lt;='TaxCred&amp;Subs'!$C$123),'TaxCred&amp;Subs'!$E$114:$E$121,0))</f>
        <v>0</v>
      </c>
      <c r="R157" s="143">
        <v>0</v>
      </c>
      <c r="S157" s="5">
        <v>2</v>
      </c>
      <c r="T157" s="5" t="s">
        <v>220</v>
      </c>
      <c r="V157" s="7" t="str">
        <f t="array" ref="V157">INDEX(xlRTCLNAME,MATCH(1,(xlRTCLENDU=1)*(xlRTCLEQCL=$D157),0))</f>
        <v>NG_RAD</v>
      </c>
      <c r="W157" s="7" t="str">
        <f t="array" ref="W157">INDEX(xlRTCLNAME,MATCH(1,(xlRTCLENDU=2)*(xlRTCLEQCL=$F157),0))</f>
        <v>CENT_AIR</v>
      </c>
      <c r="X157" s="7" t="str">
        <f t="array" ref="X157">INDEX(xlRTTYNAME,MATCH(1,(xlRTTYENDU=1)*(xlRTTYEQCL=$D157)*(xlRTEQTYPE=$E157),0))</f>
        <v>NG_RAD1</v>
      </c>
      <c r="Y157" s="7" t="str">
        <f t="array" ref="Y157">INDEX(xlRTTYNAME,MATCH(1,(xlRTTYENDU=2)*(xlRTTYEQCL=$F157)*(xlRTEQTYPE=$G157),0))</f>
        <v>CENT_AIR1</v>
      </c>
    </row>
    <row r="158" spans="2:25" x14ac:dyDescent="0.2">
      <c r="B158" s="5">
        <v>8</v>
      </c>
      <c r="C158" s="5">
        <v>1</v>
      </c>
      <c r="D158" s="5">
        <v>4</v>
      </c>
      <c r="E158" s="5">
        <v>10</v>
      </c>
      <c r="F158" s="5">
        <v>2</v>
      </c>
      <c r="G158" s="31">
        <v>4</v>
      </c>
      <c r="H158" s="31">
        <v>2020</v>
      </c>
      <c r="I158" s="96">
        <v>2050</v>
      </c>
      <c r="J158" s="142">
        <v>1.0820000000000001</v>
      </c>
      <c r="K158" s="142">
        <v>1.0832999999999999</v>
      </c>
      <c r="L158" s="142">
        <v>0.5806</v>
      </c>
      <c r="M158" s="142">
        <v>0.91349999999999998</v>
      </c>
      <c r="N158" s="142">
        <v>0.86439999999999995</v>
      </c>
      <c r="O158" s="142">
        <v>1.0538000000000001</v>
      </c>
      <c r="P158" s="26">
        <v>12813.41144316027</v>
      </c>
      <c r="Q158" s="35">
        <f t="array" ref="Q158">SUM(IF(($S158&gt;=4)*($C158='TaxCred&amp;Subs'!$D$114:$D$121)*($H158='TaxCred&amp;Subs'!$C$114:$C$121)*($H158&lt;='TaxCred&amp;Subs'!$C$123),'TaxCred&amp;Subs'!$E$114:$E$121,0))</f>
        <v>0</v>
      </c>
      <c r="R158" s="143">
        <v>0</v>
      </c>
      <c r="S158" s="5">
        <v>2</v>
      </c>
      <c r="T158" s="5" t="s">
        <v>220</v>
      </c>
      <c r="V158" s="7" t="str">
        <f t="array" ref="V158">INDEX(xlRTCLNAME,MATCH(1,(xlRTCLENDU=1)*(xlRTCLEQCL=$D158),0))</f>
        <v>NG_RAD</v>
      </c>
      <c r="W158" s="7" t="str">
        <f t="array" ref="W158">INDEX(xlRTCLNAME,MATCH(1,(xlRTCLENDU=2)*(xlRTCLEQCL=$F158),0))</f>
        <v>CENT_AIR</v>
      </c>
      <c r="X158" s="7" t="str">
        <f t="array" ref="X158">INDEX(xlRTTYNAME,MATCH(1,(xlRTTYENDU=1)*(xlRTTYEQCL=$D158)*(xlRTEQTYPE=$E158),0))</f>
        <v>NG_RAD1</v>
      </c>
      <c r="Y158" s="7" t="str">
        <f t="array" ref="Y158">INDEX(xlRTTYNAME,MATCH(1,(xlRTTYENDU=2)*(xlRTTYEQCL=$F158)*(xlRTEQTYPE=$G158),0))</f>
        <v>CENT_AIR1</v>
      </c>
    </row>
    <row r="159" spans="2:25" x14ac:dyDescent="0.2">
      <c r="B159" s="5">
        <v>9</v>
      </c>
      <c r="C159" s="5">
        <v>1</v>
      </c>
      <c r="D159" s="5">
        <v>4</v>
      </c>
      <c r="E159" s="5">
        <v>10</v>
      </c>
      <c r="F159" s="5">
        <v>2</v>
      </c>
      <c r="G159" s="31">
        <v>4</v>
      </c>
      <c r="H159" s="31">
        <v>2020</v>
      </c>
      <c r="I159" s="96">
        <v>2050</v>
      </c>
      <c r="J159" s="142">
        <v>1.0414000000000001</v>
      </c>
      <c r="K159" s="142">
        <v>1.07</v>
      </c>
      <c r="L159" s="142">
        <v>0.9869</v>
      </c>
      <c r="M159" s="142">
        <v>0.95209999999999995</v>
      </c>
      <c r="N159" s="142">
        <v>1.026</v>
      </c>
      <c r="O159" s="142">
        <v>1.0538000000000001</v>
      </c>
      <c r="P159" s="26">
        <v>13144.166869709843</v>
      </c>
      <c r="Q159" s="35">
        <f t="array" ref="Q159">SUM(IF(($S159&gt;=4)*($C159='TaxCred&amp;Subs'!$D$114:$D$121)*($H159='TaxCred&amp;Subs'!$C$114:$C$121)*($H159&lt;='TaxCred&amp;Subs'!$C$123),'TaxCred&amp;Subs'!$E$114:$E$121,0))</f>
        <v>0</v>
      </c>
      <c r="R159" s="143">
        <v>0</v>
      </c>
      <c r="S159" s="5">
        <v>2</v>
      </c>
      <c r="T159" s="5" t="s">
        <v>220</v>
      </c>
      <c r="V159" s="7" t="str">
        <f t="array" ref="V159">INDEX(xlRTCLNAME,MATCH(1,(xlRTCLENDU=1)*(xlRTCLEQCL=$D159),0))</f>
        <v>NG_RAD</v>
      </c>
      <c r="W159" s="7" t="str">
        <f t="array" ref="W159">INDEX(xlRTCLNAME,MATCH(1,(xlRTCLENDU=2)*(xlRTCLEQCL=$F159),0))</f>
        <v>CENT_AIR</v>
      </c>
      <c r="X159" s="7" t="str">
        <f t="array" ref="X159">INDEX(xlRTTYNAME,MATCH(1,(xlRTTYENDU=1)*(xlRTTYEQCL=$D159)*(xlRTEQTYPE=$E159),0))</f>
        <v>NG_RAD1</v>
      </c>
      <c r="Y159" s="7" t="str">
        <f t="array" ref="Y159">INDEX(xlRTTYNAME,MATCH(1,(xlRTTYENDU=2)*(xlRTTYEQCL=$F159)*(xlRTEQTYPE=$G159),0))</f>
        <v>CENT_AIR1</v>
      </c>
    </row>
    <row r="160" spans="2:25" x14ac:dyDescent="0.2">
      <c r="B160" s="29">
        <v>1</v>
      </c>
      <c r="C160" s="29">
        <v>1</v>
      </c>
      <c r="D160" s="29">
        <v>5</v>
      </c>
      <c r="E160" s="29">
        <v>14</v>
      </c>
      <c r="F160" s="29">
        <v>2</v>
      </c>
      <c r="G160" s="32">
        <v>4</v>
      </c>
      <c r="H160" s="32">
        <v>2020</v>
      </c>
      <c r="I160" s="96">
        <v>2050</v>
      </c>
      <c r="J160" s="144">
        <v>1.0309999999999999</v>
      </c>
      <c r="K160" s="144">
        <v>1.0667</v>
      </c>
      <c r="L160" s="144">
        <v>0.59209999999999996</v>
      </c>
      <c r="M160" s="144">
        <v>1.0176000000000001</v>
      </c>
      <c r="N160" s="144">
        <v>0.79790000000000005</v>
      </c>
      <c r="O160" s="144">
        <v>1.0538000000000001</v>
      </c>
      <c r="P160" s="143">
        <v>14003.324258186172</v>
      </c>
      <c r="Q160" s="35">
        <f t="array" ref="Q160">SUM(IF(($S160&gt;=4)*($C160='TaxCred&amp;Subs'!$D$114:$D$121)*($H160='TaxCred&amp;Subs'!$C$114:$C$121)*($H160&lt;='TaxCred&amp;Subs'!$C$123),'TaxCred&amp;Subs'!$E$114:$E$121,0))</f>
        <v>0</v>
      </c>
      <c r="R160" s="143">
        <v>0</v>
      </c>
      <c r="S160" s="29">
        <v>2</v>
      </c>
      <c r="T160" s="29" t="s">
        <v>220</v>
      </c>
      <c r="U160" s="30" t="s">
        <v>227</v>
      </c>
      <c r="V160" s="7" t="str">
        <f t="array" ref="V160">INDEX(xlRTCLNAME,MATCH(1,(xlRTCLENDU=1)*(xlRTCLEQCL=$D160),0))</f>
        <v>KERO_FA</v>
      </c>
      <c r="W160" s="7" t="str">
        <f t="array" ref="W160">INDEX(xlRTCLNAME,MATCH(1,(xlRTCLENDU=2)*(xlRTCLEQCL=$F160),0))</f>
        <v>CENT_AIR</v>
      </c>
      <c r="X160" s="7" t="str">
        <f t="array" ref="X160">INDEX(xlRTTYNAME,MATCH(1,(xlRTTYENDU=1)*(xlRTTYEQCL=$D160)*(xlRTEQTYPE=$E160),0))</f>
        <v>KERO_FA1</v>
      </c>
      <c r="Y160" s="7" t="str">
        <f t="array" ref="Y160">INDEX(xlRTTYNAME,MATCH(1,(xlRTTYENDU=2)*(xlRTTYEQCL=$F160)*(xlRTEQTYPE=$G160),0))</f>
        <v>CENT_AIR1</v>
      </c>
    </row>
    <row r="161" spans="2:25" x14ac:dyDescent="0.2">
      <c r="B161" s="29">
        <v>2</v>
      </c>
      <c r="C161" s="29">
        <v>1</v>
      </c>
      <c r="D161" s="29">
        <v>5</v>
      </c>
      <c r="E161" s="29">
        <v>14</v>
      </c>
      <c r="F161" s="29">
        <v>2</v>
      </c>
      <c r="G161" s="32">
        <v>4</v>
      </c>
      <c r="H161" s="32">
        <v>2020</v>
      </c>
      <c r="I161" s="96">
        <v>2050</v>
      </c>
      <c r="J161" s="144">
        <v>1.0772999999999999</v>
      </c>
      <c r="K161" s="144">
        <v>1.0758000000000001</v>
      </c>
      <c r="L161" s="144">
        <v>0.70189999999999997</v>
      </c>
      <c r="M161" s="144">
        <v>0.87660000000000005</v>
      </c>
      <c r="N161" s="144">
        <v>0.93169999999999997</v>
      </c>
      <c r="O161" s="144">
        <v>1.0538000000000001</v>
      </c>
      <c r="P161" s="143">
        <v>14168.70197146096</v>
      </c>
      <c r="Q161" s="35">
        <f t="array" ref="Q161">SUM(IF(($S161&gt;=4)*($C161='TaxCred&amp;Subs'!$D$114:$D$121)*($H161='TaxCred&amp;Subs'!$C$114:$C$121)*($H161&lt;='TaxCred&amp;Subs'!$C$123),'TaxCred&amp;Subs'!$E$114:$E$121,0))</f>
        <v>0</v>
      </c>
      <c r="R161" s="143">
        <v>0</v>
      </c>
      <c r="S161" s="29">
        <v>2</v>
      </c>
      <c r="T161" s="29" t="s">
        <v>220</v>
      </c>
      <c r="U161" s="30" t="s">
        <v>227</v>
      </c>
      <c r="V161" s="7" t="str">
        <f t="array" ref="V161">INDEX(xlRTCLNAME,MATCH(1,(xlRTCLENDU=1)*(xlRTCLEQCL=$D161),0))</f>
        <v>KERO_FA</v>
      </c>
      <c r="W161" s="7" t="str">
        <f t="array" ref="W161">INDEX(xlRTCLNAME,MATCH(1,(xlRTCLENDU=2)*(xlRTCLEQCL=$F161),0))</f>
        <v>CENT_AIR</v>
      </c>
      <c r="X161" s="7" t="str">
        <f t="array" ref="X161">INDEX(xlRTTYNAME,MATCH(1,(xlRTTYENDU=1)*(xlRTTYEQCL=$D161)*(xlRTEQTYPE=$E161),0))</f>
        <v>KERO_FA1</v>
      </c>
      <c r="Y161" s="7" t="str">
        <f t="array" ref="Y161">INDEX(xlRTTYNAME,MATCH(1,(xlRTTYENDU=2)*(xlRTTYEQCL=$F161)*(xlRTEQTYPE=$G161),0))</f>
        <v>CENT_AIR1</v>
      </c>
    </row>
    <row r="162" spans="2:25" x14ac:dyDescent="0.2">
      <c r="B162" s="29">
        <v>3</v>
      </c>
      <c r="C162" s="29">
        <v>1</v>
      </c>
      <c r="D162" s="29">
        <v>5</v>
      </c>
      <c r="E162" s="29">
        <v>14</v>
      </c>
      <c r="F162" s="29">
        <v>2</v>
      </c>
      <c r="G162" s="32">
        <v>4</v>
      </c>
      <c r="H162" s="32">
        <v>2020</v>
      </c>
      <c r="I162" s="96">
        <v>2050</v>
      </c>
      <c r="J162" s="144">
        <v>1.0842000000000001</v>
      </c>
      <c r="K162" s="144">
        <v>1.0577000000000001</v>
      </c>
      <c r="L162" s="144">
        <v>0.58050000000000002</v>
      </c>
      <c r="M162" s="144">
        <v>0.95530000000000004</v>
      </c>
      <c r="N162" s="144">
        <v>0.91220000000000001</v>
      </c>
      <c r="O162" s="144">
        <v>1.0538000000000001</v>
      </c>
      <c r="P162" s="143">
        <v>12986.856361960658</v>
      </c>
      <c r="Q162" s="35">
        <f t="array" ref="Q162">SUM(IF(($S162&gt;=4)*($C162='TaxCred&amp;Subs'!$D$114:$D$121)*($H162='TaxCred&amp;Subs'!$C$114:$C$121)*($H162&lt;='TaxCred&amp;Subs'!$C$123),'TaxCred&amp;Subs'!$E$114:$E$121,0))</f>
        <v>0</v>
      </c>
      <c r="R162" s="143">
        <v>0</v>
      </c>
      <c r="S162" s="29">
        <v>2</v>
      </c>
      <c r="T162" s="29" t="s">
        <v>220</v>
      </c>
      <c r="U162" s="30" t="s">
        <v>227</v>
      </c>
      <c r="V162" s="7" t="str">
        <f t="array" ref="V162">INDEX(xlRTCLNAME,MATCH(1,(xlRTCLENDU=1)*(xlRTCLEQCL=$D162),0))</f>
        <v>KERO_FA</v>
      </c>
      <c r="W162" s="7" t="str">
        <f t="array" ref="W162">INDEX(xlRTCLNAME,MATCH(1,(xlRTCLENDU=2)*(xlRTCLEQCL=$F162),0))</f>
        <v>CENT_AIR</v>
      </c>
      <c r="X162" s="7" t="str">
        <f t="array" ref="X162">INDEX(xlRTTYNAME,MATCH(1,(xlRTTYENDU=1)*(xlRTTYEQCL=$D162)*(xlRTEQTYPE=$E162),0))</f>
        <v>KERO_FA1</v>
      </c>
      <c r="Y162" s="7" t="str">
        <f t="array" ref="Y162">INDEX(xlRTTYNAME,MATCH(1,(xlRTTYENDU=2)*(xlRTTYEQCL=$F162)*(xlRTEQTYPE=$G162),0))</f>
        <v>CENT_AIR1</v>
      </c>
    </row>
    <row r="163" spans="2:25" x14ac:dyDescent="0.2">
      <c r="B163" s="29">
        <v>4</v>
      </c>
      <c r="C163" s="29">
        <v>1</v>
      </c>
      <c r="D163" s="29">
        <v>5</v>
      </c>
      <c r="E163" s="29">
        <v>14</v>
      </c>
      <c r="F163" s="29">
        <v>2</v>
      </c>
      <c r="G163" s="32">
        <v>4</v>
      </c>
      <c r="H163" s="32">
        <v>2020</v>
      </c>
      <c r="I163" s="96">
        <v>2050</v>
      </c>
      <c r="J163" s="144">
        <v>1.0342</v>
      </c>
      <c r="K163" s="144">
        <v>1.0769</v>
      </c>
      <c r="L163" s="144">
        <v>0.5776</v>
      </c>
      <c r="M163" s="144">
        <v>0.90200000000000002</v>
      </c>
      <c r="N163" s="144">
        <v>0.85760000000000003</v>
      </c>
      <c r="O163" s="144">
        <v>1.0538000000000001</v>
      </c>
      <c r="P163" s="143">
        <v>10421.48500482007</v>
      </c>
      <c r="Q163" s="35">
        <f t="array" ref="Q163">SUM(IF(($S163&gt;=4)*($C163='TaxCred&amp;Subs'!$D$114:$D$121)*($H163='TaxCred&amp;Subs'!$C$114:$C$121)*($H163&lt;='TaxCred&amp;Subs'!$C$123),'TaxCred&amp;Subs'!$E$114:$E$121,0))</f>
        <v>0</v>
      </c>
      <c r="R163" s="143">
        <v>0</v>
      </c>
      <c r="S163" s="29">
        <v>2</v>
      </c>
      <c r="T163" s="29" t="s">
        <v>220</v>
      </c>
      <c r="U163" s="30" t="s">
        <v>227</v>
      </c>
      <c r="V163" s="7" t="str">
        <f t="array" ref="V163">INDEX(xlRTCLNAME,MATCH(1,(xlRTCLENDU=1)*(xlRTCLEQCL=$D163),0))</f>
        <v>KERO_FA</v>
      </c>
      <c r="W163" s="7" t="str">
        <f t="array" ref="W163">INDEX(xlRTCLNAME,MATCH(1,(xlRTCLENDU=2)*(xlRTCLEQCL=$F163),0))</f>
        <v>CENT_AIR</v>
      </c>
      <c r="X163" s="7" t="str">
        <f t="array" ref="X163">INDEX(xlRTTYNAME,MATCH(1,(xlRTTYENDU=1)*(xlRTTYEQCL=$D163)*(xlRTEQTYPE=$E163),0))</f>
        <v>KERO_FA1</v>
      </c>
      <c r="Y163" s="7" t="str">
        <f t="array" ref="Y163">INDEX(xlRTTYNAME,MATCH(1,(xlRTTYENDU=2)*(xlRTTYEQCL=$F163)*(xlRTEQTYPE=$G163),0))</f>
        <v>CENT_AIR1</v>
      </c>
    </row>
    <row r="164" spans="2:25" x14ac:dyDescent="0.2">
      <c r="B164" s="29">
        <v>5</v>
      </c>
      <c r="C164" s="29">
        <v>1</v>
      </c>
      <c r="D164" s="29">
        <v>5</v>
      </c>
      <c r="E164" s="29">
        <v>14</v>
      </c>
      <c r="F164" s="29">
        <v>2</v>
      </c>
      <c r="G164" s="32">
        <v>4</v>
      </c>
      <c r="H164" s="32">
        <v>2020</v>
      </c>
      <c r="I164" s="96">
        <v>2050</v>
      </c>
      <c r="J164" s="144">
        <v>1.0847</v>
      </c>
      <c r="K164" s="144">
        <v>1.056</v>
      </c>
      <c r="L164" s="144">
        <v>0.75639999999999996</v>
      </c>
      <c r="M164" s="144">
        <v>0.94750000000000001</v>
      </c>
      <c r="N164" s="144">
        <v>0.76280000000000003</v>
      </c>
      <c r="O164" s="144">
        <v>1.0538000000000001</v>
      </c>
      <c r="P164" s="143">
        <v>9718.2935898386622</v>
      </c>
      <c r="Q164" s="35">
        <f t="array" ref="Q164">SUM(IF(($S164&gt;=4)*($C164='TaxCred&amp;Subs'!$D$114:$D$121)*($H164='TaxCred&amp;Subs'!$C$114:$C$121)*($H164&lt;='TaxCred&amp;Subs'!$C$123),'TaxCred&amp;Subs'!$E$114:$E$121,0))</f>
        <v>0</v>
      </c>
      <c r="R164" s="143">
        <v>0</v>
      </c>
      <c r="S164" s="29">
        <v>2</v>
      </c>
      <c r="T164" s="29" t="s">
        <v>220</v>
      </c>
      <c r="U164" s="30" t="s">
        <v>227</v>
      </c>
      <c r="V164" s="7" t="str">
        <f t="array" ref="V164">INDEX(xlRTCLNAME,MATCH(1,(xlRTCLENDU=1)*(xlRTCLEQCL=$D164),0))</f>
        <v>KERO_FA</v>
      </c>
      <c r="W164" s="7" t="str">
        <f t="array" ref="W164">INDEX(xlRTCLNAME,MATCH(1,(xlRTCLENDU=2)*(xlRTCLEQCL=$F164),0))</f>
        <v>CENT_AIR</v>
      </c>
      <c r="X164" s="7" t="str">
        <f t="array" ref="X164">INDEX(xlRTTYNAME,MATCH(1,(xlRTTYENDU=1)*(xlRTTYEQCL=$D164)*(xlRTEQTYPE=$E164),0))</f>
        <v>KERO_FA1</v>
      </c>
      <c r="Y164" s="7" t="str">
        <f t="array" ref="Y164">INDEX(xlRTTYNAME,MATCH(1,(xlRTTYENDU=2)*(xlRTTYEQCL=$F164)*(xlRTEQTYPE=$G164),0))</f>
        <v>CENT_AIR1</v>
      </c>
    </row>
    <row r="165" spans="2:25" x14ac:dyDescent="0.2">
      <c r="B165" s="29">
        <v>6</v>
      </c>
      <c r="C165" s="29">
        <v>1</v>
      </c>
      <c r="D165" s="29">
        <v>5</v>
      </c>
      <c r="E165" s="29">
        <v>14</v>
      </c>
      <c r="F165" s="29">
        <v>2</v>
      </c>
      <c r="G165" s="32">
        <v>4</v>
      </c>
      <c r="H165" s="32">
        <v>2020</v>
      </c>
      <c r="I165" s="96">
        <v>2050</v>
      </c>
      <c r="J165" s="144">
        <v>1.0907</v>
      </c>
      <c r="K165" s="144">
        <v>1.0603</v>
      </c>
      <c r="L165" s="144">
        <v>0.88580000000000003</v>
      </c>
      <c r="M165" s="144">
        <v>0.93910000000000005</v>
      </c>
      <c r="N165" s="144">
        <v>0.89139999999999997</v>
      </c>
      <c r="O165" s="144">
        <v>1.0538000000000001</v>
      </c>
      <c r="P165" s="143">
        <v>8982.8333527548548</v>
      </c>
      <c r="Q165" s="35">
        <f t="array" ref="Q165">SUM(IF(($S165&gt;=4)*($C165='TaxCred&amp;Subs'!$D$114:$D$121)*($H165='TaxCred&amp;Subs'!$C$114:$C$121)*($H165&lt;='TaxCred&amp;Subs'!$C$123),'TaxCred&amp;Subs'!$E$114:$E$121,0))</f>
        <v>0</v>
      </c>
      <c r="R165" s="143">
        <v>0</v>
      </c>
      <c r="S165" s="29">
        <v>2</v>
      </c>
      <c r="T165" s="29" t="s">
        <v>220</v>
      </c>
      <c r="U165" s="30" t="s">
        <v>227</v>
      </c>
      <c r="V165" s="7" t="str">
        <f t="array" ref="V165">INDEX(xlRTCLNAME,MATCH(1,(xlRTCLENDU=1)*(xlRTCLEQCL=$D165),0))</f>
        <v>KERO_FA</v>
      </c>
      <c r="W165" s="7" t="str">
        <f t="array" ref="W165">INDEX(xlRTCLNAME,MATCH(1,(xlRTCLENDU=2)*(xlRTCLEQCL=$F165),0))</f>
        <v>CENT_AIR</v>
      </c>
      <c r="X165" s="7" t="str">
        <f t="array" ref="X165">INDEX(xlRTTYNAME,MATCH(1,(xlRTTYENDU=1)*(xlRTTYEQCL=$D165)*(xlRTEQTYPE=$E165),0))</f>
        <v>KERO_FA1</v>
      </c>
      <c r="Y165" s="7" t="str">
        <f t="array" ref="Y165">INDEX(xlRTTYNAME,MATCH(1,(xlRTTYENDU=2)*(xlRTTYEQCL=$F165)*(xlRTEQTYPE=$G165),0))</f>
        <v>CENT_AIR1</v>
      </c>
    </row>
    <row r="166" spans="2:25" x14ac:dyDescent="0.2">
      <c r="B166" s="29">
        <v>7</v>
      </c>
      <c r="C166" s="29">
        <v>1</v>
      </c>
      <c r="D166" s="29">
        <v>5</v>
      </c>
      <c r="E166" s="29">
        <v>14</v>
      </c>
      <c r="F166" s="29">
        <v>2</v>
      </c>
      <c r="G166" s="32">
        <v>4</v>
      </c>
      <c r="H166" s="32">
        <v>2020</v>
      </c>
      <c r="I166" s="96">
        <v>2050</v>
      </c>
      <c r="J166" s="144">
        <v>1.0885</v>
      </c>
      <c r="K166" s="144">
        <v>1.0575000000000001</v>
      </c>
      <c r="L166" s="144">
        <v>0.89910000000000001</v>
      </c>
      <c r="M166" s="144">
        <v>0.86550000000000005</v>
      </c>
      <c r="N166" s="144">
        <v>0.872</v>
      </c>
      <c r="O166" s="144">
        <v>1.0538000000000001</v>
      </c>
      <c r="P166" s="143">
        <v>8414.0953632001019</v>
      </c>
      <c r="Q166" s="35">
        <f t="array" ref="Q166">SUM(IF(($S166&gt;=4)*($C166='TaxCred&amp;Subs'!$D$114:$D$121)*($H166='TaxCred&amp;Subs'!$C$114:$C$121)*($H166&lt;='TaxCred&amp;Subs'!$C$123),'TaxCred&amp;Subs'!$E$114:$E$121,0))</f>
        <v>0</v>
      </c>
      <c r="R166" s="143">
        <v>0</v>
      </c>
      <c r="S166" s="29">
        <v>2</v>
      </c>
      <c r="T166" s="29" t="s">
        <v>220</v>
      </c>
      <c r="U166" s="30" t="s">
        <v>227</v>
      </c>
      <c r="V166" s="7" t="str">
        <f t="array" ref="V166">INDEX(xlRTCLNAME,MATCH(1,(xlRTCLENDU=1)*(xlRTCLEQCL=$D166),0))</f>
        <v>KERO_FA</v>
      </c>
      <c r="W166" s="7" t="str">
        <f t="array" ref="W166">INDEX(xlRTCLNAME,MATCH(1,(xlRTCLENDU=2)*(xlRTCLEQCL=$F166),0))</f>
        <v>CENT_AIR</v>
      </c>
      <c r="X166" s="7" t="str">
        <f t="array" ref="X166">INDEX(xlRTTYNAME,MATCH(1,(xlRTTYENDU=1)*(xlRTTYEQCL=$D166)*(xlRTEQTYPE=$E166),0))</f>
        <v>KERO_FA1</v>
      </c>
      <c r="Y166" s="7" t="str">
        <f t="array" ref="Y166">INDEX(xlRTTYNAME,MATCH(1,(xlRTTYENDU=2)*(xlRTTYEQCL=$F166)*(xlRTEQTYPE=$G166),0))</f>
        <v>CENT_AIR1</v>
      </c>
    </row>
    <row r="167" spans="2:25" x14ac:dyDescent="0.2">
      <c r="B167" s="29">
        <v>8</v>
      </c>
      <c r="C167" s="29">
        <v>1</v>
      </c>
      <c r="D167" s="29">
        <v>5</v>
      </c>
      <c r="E167" s="29">
        <v>14</v>
      </c>
      <c r="F167" s="29">
        <v>2</v>
      </c>
      <c r="G167" s="32">
        <v>4</v>
      </c>
      <c r="H167" s="32">
        <v>2020</v>
      </c>
      <c r="I167" s="96">
        <v>2050</v>
      </c>
      <c r="J167" s="144">
        <v>1.0838000000000001</v>
      </c>
      <c r="K167" s="144">
        <v>1.0832999999999999</v>
      </c>
      <c r="L167" s="144">
        <v>0.5948</v>
      </c>
      <c r="M167" s="144">
        <v>0.91349999999999998</v>
      </c>
      <c r="N167" s="144">
        <v>0.86950000000000005</v>
      </c>
      <c r="O167" s="144">
        <v>1.0538000000000001</v>
      </c>
      <c r="P167" s="143">
        <v>12813.41144316027</v>
      </c>
      <c r="Q167" s="35">
        <f t="array" ref="Q167">SUM(IF(($S167&gt;=4)*($C167='TaxCred&amp;Subs'!$D$114:$D$121)*($H167='TaxCred&amp;Subs'!$C$114:$C$121)*($H167&lt;='TaxCred&amp;Subs'!$C$123),'TaxCred&amp;Subs'!$E$114:$E$121,0))</f>
        <v>0</v>
      </c>
      <c r="R167" s="143">
        <v>0</v>
      </c>
      <c r="S167" s="29">
        <v>2</v>
      </c>
      <c r="T167" s="29" t="s">
        <v>220</v>
      </c>
      <c r="U167" s="30" t="s">
        <v>227</v>
      </c>
      <c r="V167" s="7" t="str">
        <f t="array" ref="V167">INDEX(xlRTCLNAME,MATCH(1,(xlRTCLENDU=1)*(xlRTCLEQCL=$D167),0))</f>
        <v>KERO_FA</v>
      </c>
      <c r="W167" s="7" t="str">
        <f t="array" ref="W167">INDEX(xlRTCLNAME,MATCH(1,(xlRTCLENDU=2)*(xlRTCLEQCL=$F167),0))</f>
        <v>CENT_AIR</v>
      </c>
      <c r="X167" s="7" t="str">
        <f t="array" ref="X167">INDEX(xlRTTYNAME,MATCH(1,(xlRTTYENDU=1)*(xlRTTYEQCL=$D167)*(xlRTEQTYPE=$E167),0))</f>
        <v>KERO_FA1</v>
      </c>
      <c r="Y167" s="7" t="str">
        <f t="array" ref="Y167">INDEX(xlRTTYNAME,MATCH(1,(xlRTTYENDU=2)*(xlRTTYEQCL=$F167)*(xlRTEQTYPE=$G167),0))</f>
        <v>CENT_AIR1</v>
      </c>
    </row>
    <row r="168" spans="2:25" x14ac:dyDescent="0.2">
      <c r="B168" s="29">
        <v>9</v>
      </c>
      <c r="C168" s="29">
        <v>1</v>
      </c>
      <c r="D168" s="29">
        <v>5</v>
      </c>
      <c r="E168" s="29">
        <v>14</v>
      </c>
      <c r="F168" s="29">
        <v>2</v>
      </c>
      <c r="G168" s="32">
        <v>4</v>
      </c>
      <c r="H168" s="32">
        <v>2020</v>
      </c>
      <c r="I168" s="96">
        <v>2050</v>
      </c>
      <c r="J168" s="144">
        <v>1.0790999999999999</v>
      </c>
      <c r="K168" s="144">
        <v>1.0722</v>
      </c>
      <c r="L168" s="144">
        <v>0.95489999999999997</v>
      </c>
      <c r="M168" s="144">
        <v>0.93600000000000005</v>
      </c>
      <c r="N168" s="144">
        <v>1.0336000000000001</v>
      </c>
      <c r="O168" s="144">
        <v>1.0538000000000001</v>
      </c>
      <c r="P168" s="143">
        <v>13652.400817822603</v>
      </c>
      <c r="Q168" s="35">
        <f t="array" ref="Q168">SUM(IF(($S168&gt;=4)*($C168='TaxCred&amp;Subs'!$D$114:$D$121)*($H168='TaxCred&amp;Subs'!$C$114:$C$121)*($H168&lt;='TaxCred&amp;Subs'!$C$123),'TaxCred&amp;Subs'!$E$114:$E$121,0))</f>
        <v>0</v>
      </c>
      <c r="R168" s="143">
        <v>0</v>
      </c>
      <c r="S168" s="29">
        <v>2</v>
      </c>
      <c r="T168" s="29" t="s">
        <v>220</v>
      </c>
      <c r="U168" s="30" t="s">
        <v>227</v>
      </c>
      <c r="V168" s="7" t="str">
        <f t="array" ref="V168">INDEX(xlRTCLNAME,MATCH(1,(xlRTCLENDU=1)*(xlRTCLEQCL=$D168),0))</f>
        <v>KERO_FA</v>
      </c>
      <c r="W168" s="7" t="str">
        <f t="array" ref="W168">INDEX(xlRTCLNAME,MATCH(1,(xlRTCLENDU=2)*(xlRTCLEQCL=$F168),0))</f>
        <v>CENT_AIR</v>
      </c>
      <c r="X168" s="7" t="str">
        <f t="array" ref="X168">INDEX(xlRTTYNAME,MATCH(1,(xlRTTYENDU=1)*(xlRTTYEQCL=$D168)*(xlRTEQTYPE=$E168),0))</f>
        <v>KERO_FA1</v>
      </c>
      <c r="Y168" s="7" t="str">
        <f t="array" ref="Y168">INDEX(xlRTTYNAME,MATCH(1,(xlRTTYENDU=2)*(xlRTTYEQCL=$F168)*(xlRTEQTYPE=$G168),0))</f>
        <v>CENT_AIR1</v>
      </c>
    </row>
    <row r="169" spans="2:25" x14ac:dyDescent="0.2">
      <c r="B169" s="5">
        <v>1</v>
      </c>
      <c r="C169" s="5">
        <v>1</v>
      </c>
      <c r="D169" s="5">
        <v>6</v>
      </c>
      <c r="E169" s="5">
        <v>18</v>
      </c>
      <c r="F169" s="5">
        <v>2</v>
      </c>
      <c r="G169" s="31">
        <v>4</v>
      </c>
      <c r="H169" s="31">
        <v>2020</v>
      </c>
      <c r="I169" s="96">
        <v>2050</v>
      </c>
      <c r="J169" s="142">
        <v>1.0803</v>
      </c>
      <c r="K169" s="142">
        <v>1.0667</v>
      </c>
      <c r="L169" s="142">
        <v>0.59240000000000004</v>
      </c>
      <c r="M169" s="142">
        <v>1.0176000000000001</v>
      </c>
      <c r="N169" s="142">
        <v>0.79790000000000005</v>
      </c>
      <c r="O169" s="142">
        <v>1.0538000000000001</v>
      </c>
      <c r="P169" s="26">
        <v>14397.272794686274</v>
      </c>
      <c r="Q169" s="35">
        <f t="array" ref="Q169">SUM(IF(($S169&gt;=4)*($C169='TaxCred&amp;Subs'!$D$114:$D$121)*($H169='TaxCred&amp;Subs'!$C$114:$C$121)*($H169&lt;='TaxCred&amp;Subs'!$C$123),'TaxCred&amp;Subs'!$E$114:$E$121,0))</f>
        <v>0</v>
      </c>
      <c r="R169" s="143">
        <v>0</v>
      </c>
      <c r="S169" s="5">
        <v>2</v>
      </c>
      <c r="T169" s="5" t="s">
        <v>220</v>
      </c>
      <c r="V169" s="7" t="str">
        <f t="array" ref="V169">INDEX(xlRTCLNAME,MATCH(1,(xlRTCLENDU=1)*(xlRTCLEQCL=$D169),0))</f>
        <v>LPG_FA</v>
      </c>
      <c r="W169" s="7" t="str">
        <f t="array" ref="W169">INDEX(xlRTCLNAME,MATCH(1,(xlRTCLENDU=2)*(xlRTCLEQCL=$F169),0))</f>
        <v>CENT_AIR</v>
      </c>
      <c r="X169" s="7" t="str">
        <f t="array" ref="X169">INDEX(xlRTTYNAME,MATCH(1,(xlRTTYENDU=1)*(xlRTTYEQCL=$D169)*(xlRTEQTYPE=$E169),0))</f>
        <v>LPG_FA1</v>
      </c>
      <c r="Y169" s="7" t="str">
        <f t="array" ref="Y169">INDEX(xlRTTYNAME,MATCH(1,(xlRTTYENDU=2)*(xlRTTYEQCL=$F169)*(xlRTEQTYPE=$G169),0))</f>
        <v>CENT_AIR1</v>
      </c>
    </row>
    <row r="170" spans="2:25" x14ac:dyDescent="0.2">
      <c r="B170" s="5">
        <v>2</v>
      </c>
      <c r="C170" s="5">
        <v>1</v>
      </c>
      <c r="D170" s="5">
        <v>6</v>
      </c>
      <c r="E170" s="5">
        <v>18</v>
      </c>
      <c r="F170" s="5">
        <v>2</v>
      </c>
      <c r="G170" s="31">
        <v>4</v>
      </c>
      <c r="H170" s="31">
        <v>2020</v>
      </c>
      <c r="I170" s="96">
        <v>2050</v>
      </c>
      <c r="J170" s="142">
        <v>1.0649</v>
      </c>
      <c r="K170" s="142">
        <v>1.0597000000000001</v>
      </c>
      <c r="L170" s="142">
        <v>0.70389999999999997</v>
      </c>
      <c r="M170" s="142">
        <v>0.88419999999999999</v>
      </c>
      <c r="N170" s="142">
        <v>0.93169999999999997</v>
      </c>
      <c r="O170" s="142">
        <v>1.0538000000000001</v>
      </c>
      <c r="P170" s="26">
        <v>14253.407629479752</v>
      </c>
      <c r="Q170" s="35">
        <f t="array" ref="Q170">SUM(IF(($S170&gt;=4)*($C170='TaxCred&amp;Subs'!$D$114:$D$121)*($H170='TaxCred&amp;Subs'!$C$114:$C$121)*($H170&lt;='TaxCred&amp;Subs'!$C$123),'TaxCred&amp;Subs'!$E$114:$E$121,0))</f>
        <v>0</v>
      </c>
      <c r="R170" s="143">
        <v>0</v>
      </c>
      <c r="S170" s="5">
        <v>2</v>
      </c>
      <c r="T170" s="5" t="s">
        <v>220</v>
      </c>
      <c r="V170" s="7" t="str">
        <f t="array" ref="V170">INDEX(xlRTCLNAME,MATCH(1,(xlRTCLENDU=1)*(xlRTCLEQCL=$D170),0))</f>
        <v>LPG_FA</v>
      </c>
      <c r="W170" s="7" t="str">
        <f t="array" ref="W170">INDEX(xlRTCLNAME,MATCH(1,(xlRTCLENDU=2)*(xlRTCLEQCL=$F170),0))</f>
        <v>CENT_AIR</v>
      </c>
      <c r="X170" s="7" t="str">
        <f t="array" ref="X170">INDEX(xlRTTYNAME,MATCH(1,(xlRTTYENDU=1)*(xlRTTYEQCL=$D170)*(xlRTEQTYPE=$E170),0))</f>
        <v>LPG_FA1</v>
      </c>
      <c r="Y170" s="7" t="str">
        <f t="array" ref="Y170">INDEX(xlRTTYNAME,MATCH(1,(xlRTTYENDU=2)*(xlRTTYEQCL=$F170)*(xlRTEQTYPE=$G170),0))</f>
        <v>CENT_AIR1</v>
      </c>
    </row>
    <row r="171" spans="2:25" x14ac:dyDescent="0.2">
      <c r="B171" s="5">
        <v>3</v>
      </c>
      <c r="C171" s="5">
        <v>1</v>
      </c>
      <c r="D171" s="5">
        <v>6</v>
      </c>
      <c r="E171" s="5">
        <v>18</v>
      </c>
      <c r="F171" s="5">
        <v>2</v>
      </c>
      <c r="G171" s="31">
        <v>4</v>
      </c>
      <c r="H171" s="31">
        <v>2020</v>
      </c>
      <c r="I171" s="96">
        <v>2050</v>
      </c>
      <c r="J171" s="142">
        <v>1.0469999999999999</v>
      </c>
      <c r="K171" s="142">
        <v>1.0769</v>
      </c>
      <c r="L171" s="142">
        <v>0.58860000000000001</v>
      </c>
      <c r="M171" s="142">
        <v>0.95530000000000004</v>
      </c>
      <c r="N171" s="142">
        <v>0.91600000000000004</v>
      </c>
      <c r="O171" s="142">
        <v>1.0538000000000001</v>
      </c>
      <c r="P171" s="26">
        <v>12833.57945697427</v>
      </c>
      <c r="Q171" s="35">
        <f t="array" ref="Q171">SUM(IF(($S171&gt;=4)*($C171='TaxCred&amp;Subs'!$D$114:$D$121)*($H171='TaxCred&amp;Subs'!$C$114:$C$121)*($H171&lt;='TaxCred&amp;Subs'!$C$123),'TaxCred&amp;Subs'!$E$114:$E$121,0))</f>
        <v>0</v>
      </c>
      <c r="R171" s="143">
        <v>0</v>
      </c>
      <c r="S171" s="5">
        <v>2</v>
      </c>
      <c r="T171" s="5" t="s">
        <v>220</v>
      </c>
      <c r="V171" s="7" t="str">
        <f t="array" ref="V171">INDEX(xlRTCLNAME,MATCH(1,(xlRTCLENDU=1)*(xlRTCLEQCL=$D171),0))</f>
        <v>LPG_FA</v>
      </c>
      <c r="W171" s="7" t="str">
        <f t="array" ref="W171">INDEX(xlRTCLNAME,MATCH(1,(xlRTCLENDU=2)*(xlRTCLEQCL=$F171),0))</f>
        <v>CENT_AIR</v>
      </c>
      <c r="X171" s="7" t="str">
        <f t="array" ref="X171">INDEX(xlRTTYNAME,MATCH(1,(xlRTTYENDU=1)*(xlRTTYEQCL=$D171)*(xlRTEQTYPE=$E171),0))</f>
        <v>LPG_FA1</v>
      </c>
      <c r="Y171" s="7" t="str">
        <f t="array" ref="Y171">INDEX(xlRTTYNAME,MATCH(1,(xlRTTYENDU=2)*(xlRTTYEQCL=$F171)*(xlRTEQTYPE=$G171),0))</f>
        <v>CENT_AIR1</v>
      </c>
    </row>
    <row r="172" spans="2:25" x14ac:dyDescent="0.2">
      <c r="B172" s="5">
        <v>4</v>
      </c>
      <c r="C172" s="5">
        <v>1</v>
      </c>
      <c r="D172" s="5">
        <v>6</v>
      </c>
      <c r="E172" s="5">
        <v>18</v>
      </c>
      <c r="F172" s="5">
        <v>2</v>
      </c>
      <c r="G172" s="31">
        <v>4</v>
      </c>
      <c r="H172" s="31">
        <v>2020</v>
      </c>
      <c r="I172" s="96">
        <v>2050</v>
      </c>
      <c r="J172" s="142">
        <v>1.0862000000000001</v>
      </c>
      <c r="K172" s="142">
        <v>1.0769</v>
      </c>
      <c r="L172" s="142">
        <v>0.57379999999999998</v>
      </c>
      <c r="M172" s="142">
        <v>0.90200000000000002</v>
      </c>
      <c r="N172" s="142">
        <v>0.85770000000000002</v>
      </c>
      <c r="O172" s="142">
        <v>1.0538000000000001</v>
      </c>
      <c r="P172" s="26">
        <v>10157.956290983824</v>
      </c>
      <c r="Q172" s="35">
        <f t="array" ref="Q172">SUM(IF(($S172&gt;=4)*($C172='TaxCred&amp;Subs'!$D$114:$D$121)*($H172='TaxCred&amp;Subs'!$C$114:$C$121)*($H172&lt;='TaxCred&amp;Subs'!$C$123),'TaxCred&amp;Subs'!$E$114:$E$121,0))</f>
        <v>0</v>
      </c>
      <c r="R172" s="143">
        <v>0</v>
      </c>
      <c r="S172" s="5">
        <v>2</v>
      </c>
      <c r="T172" s="5" t="s">
        <v>220</v>
      </c>
      <c r="V172" s="7" t="str">
        <f t="array" ref="V172">INDEX(xlRTCLNAME,MATCH(1,(xlRTCLENDU=1)*(xlRTCLEQCL=$D172),0))</f>
        <v>LPG_FA</v>
      </c>
      <c r="W172" s="7" t="str">
        <f t="array" ref="W172">INDEX(xlRTCLNAME,MATCH(1,(xlRTCLENDU=2)*(xlRTCLEQCL=$F172),0))</f>
        <v>CENT_AIR</v>
      </c>
      <c r="X172" s="7" t="str">
        <f t="array" ref="X172">INDEX(xlRTTYNAME,MATCH(1,(xlRTTYENDU=1)*(xlRTTYEQCL=$D172)*(xlRTEQTYPE=$E172),0))</f>
        <v>LPG_FA1</v>
      </c>
      <c r="Y172" s="7" t="str">
        <f t="array" ref="Y172">INDEX(xlRTTYNAME,MATCH(1,(xlRTTYENDU=2)*(xlRTTYEQCL=$F172)*(xlRTEQTYPE=$G172),0))</f>
        <v>CENT_AIR1</v>
      </c>
    </row>
    <row r="173" spans="2:25" x14ac:dyDescent="0.2">
      <c r="B173" s="5">
        <v>5</v>
      </c>
      <c r="C173" s="5">
        <v>1</v>
      </c>
      <c r="D173" s="5">
        <v>6</v>
      </c>
      <c r="E173" s="5">
        <v>18</v>
      </c>
      <c r="F173" s="5">
        <v>2</v>
      </c>
      <c r="G173" s="31">
        <v>4</v>
      </c>
      <c r="H173" s="31">
        <v>2020</v>
      </c>
      <c r="I173" s="96">
        <v>2050</v>
      </c>
      <c r="J173" s="142">
        <v>1.0849</v>
      </c>
      <c r="K173" s="142">
        <v>1.0471999999999999</v>
      </c>
      <c r="L173" s="142">
        <v>0.77029999999999998</v>
      </c>
      <c r="M173" s="142">
        <v>0.95499999999999996</v>
      </c>
      <c r="N173" s="142">
        <v>0.76180000000000003</v>
      </c>
      <c r="O173" s="142">
        <v>1.0538000000000001</v>
      </c>
      <c r="P173" s="26">
        <v>9504.5126434102785</v>
      </c>
      <c r="Q173" s="35">
        <f t="array" ref="Q173">SUM(IF(($S173&gt;=4)*($C173='TaxCred&amp;Subs'!$D$114:$D$121)*($H173='TaxCred&amp;Subs'!$C$114:$C$121)*($H173&lt;='TaxCred&amp;Subs'!$C$123),'TaxCred&amp;Subs'!$E$114:$E$121,0))</f>
        <v>0</v>
      </c>
      <c r="R173" s="143">
        <v>0</v>
      </c>
      <c r="S173" s="5">
        <v>2</v>
      </c>
      <c r="T173" s="5" t="s">
        <v>220</v>
      </c>
      <c r="V173" s="7" t="str">
        <f t="array" ref="V173">INDEX(xlRTCLNAME,MATCH(1,(xlRTCLENDU=1)*(xlRTCLEQCL=$D173),0))</f>
        <v>LPG_FA</v>
      </c>
      <c r="W173" s="7" t="str">
        <f t="array" ref="W173">INDEX(xlRTCLNAME,MATCH(1,(xlRTCLENDU=2)*(xlRTCLEQCL=$F173),0))</f>
        <v>CENT_AIR</v>
      </c>
      <c r="X173" s="7" t="str">
        <f t="array" ref="X173">INDEX(xlRTTYNAME,MATCH(1,(xlRTTYENDU=1)*(xlRTTYEQCL=$D173)*(xlRTEQTYPE=$E173),0))</f>
        <v>LPG_FA1</v>
      </c>
      <c r="Y173" s="7" t="str">
        <f t="array" ref="Y173">INDEX(xlRTTYNAME,MATCH(1,(xlRTTYENDU=2)*(xlRTTYEQCL=$F173)*(xlRTEQTYPE=$G173),0))</f>
        <v>CENT_AIR1</v>
      </c>
    </row>
    <row r="174" spans="2:25" x14ac:dyDescent="0.2">
      <c r="B174" s="5">
        <v>6</v>
      </c>
      <c r="C174" s="5">
        <v>1</v>
      </c>
      <c r="D174" s="5">
        <v>6</v>
      </c>
      <c r="E174" s="5">
        <v>18</v>
      </c>
      <c r="F174" s="5">
        <v>2</v>
      </c>
      <c r="G174" s="31">
        <v>4</v>
      </c>
      <c r="H174" s="31">
        <v>2020</v>
      </c>
      <c r="I174" s="96">
        <v>2050</v>
      </c>
      <c r="J174" s="142">
        <v>1.0924</v>
      </c>
      <c r="K174" s="142">
        <v>1.0661</v>
      </c>
      <c r="L174" s="142">
        <v>0.87670000000000003</v>
      </c>
      <c r="M174" s="142">
        <v>0.96009999999999995</v>
      </c>
      <c r="N174" s="142">
        <v>0.89100000000000001</v>
      </c>
      <c r="O174" s="142">
        <v>1.0538000000000001</v>
      </c>
      <c r="P174" s="26">
        <v>9894.4275771475805</v>
      </c>
      <c r="Q174" s="35">
        <f t="array" ref="Q174">SUM(IF(($S174&gt;=4)*($C174='TaxCred&amp;Subs'!$D$114:$D$121)*($H174='TaxCred&amp;Subs'!$C$114:$C$121)*($H174&lt;='TaxCred&amp;Subs'!$C$123),'TaxCred&amp;Subs'!$E$114:$E$121,0))</f>
        <v>0</v>
      </c>
      <c r="R174" s="143">
        <v>0</v>
      </c>
      <c r="S174" s="5">
        <v>2</v>
      </c>
      <c r="T174" s="5" t="s">
        <v>220</v>
      </c>
      <c r="V174" s="7" t="str">
        <f t="array" ref="V174">INDEX(xlRTCLNAME,MATCH(1,(xlRTCLENDU=1)*(xlRTCLEQCL=$D174),0))</f>
        <v>LPG_FA</v>
      </c>
      <c r="W174" s="7" t="str">
        <f t="array" ref="W174">INDEX(xlRTCLNAME,MATCH(1,(xlRTCLENDU=2)*(xlRTCLEQCL=$F174),0))</f>
        <v>CENT_AIR</v>
      </c>
      <c r="X174" s="7" t="str">
        <f t="array" ref="X174">INDEX(xlRTTYNAME,MATCH(1,(xlRTTYENDU=1)*(xlRTTYEQCL=$D174)*(xlRTEQTYPE=$E174),0))</f>
        <v>LPG_FA1</v>
      </c>
      <c r="Y174" s="7" t="str">
        <f t="array" ref="Y174">INDEX(xlRTTYNAME,MATCH(1,(xlRTTYENDU=2)*(xlRTTYEQCL=$F174)*(xlRTEQTYPE=$G174),0))</f>
        <v>CENT_AIR1</v>
      </c>
    </row>
    <row r="175" spans="2:25" x14ac:dyDescent="0.2">
      <c r="B175" s="5">
        <v>7</v>
      </c>
      <c r="C175" s="5">
        <v>1</v>
      </c>
      <c r="D175" s="5">
        <v>6</v>
      </c>
      <c r="E175" s="5">
        <v>18</v>
      </c>
      <c r="F175" s="5">
        <v>2</v>
      </c>
      <c r="G175" s="31">
        <v>4</v>
      </c>
      <c r="H175" s="31">
        <v>2020</v>
      </c>
      <c r="I175" s="96">
        <v>2050</v>
      </c>
      <c r="J175" s="142">
        <v>1.0905</v>
      </c>
      <c r="K175" s="142">
        <v>1.0562</v>
      </c>
      <c r="L175" s="142">
        <v>0.89019999999999999</v>
      </c>
      <c r="M175" s="142">
        <v>0.87749999999999995</v>
      </c>
      <c r="N175" s="142">
        <v>0.87180000000000002</v>
      </c>
      <c r="O175" s="142">
        <v>1.0538000000000001</v>
      </c>
      <c r="P175" s="26">
        <v>8345.5241162325092</v>
      </c>
      <c r="Q175" s="35">
        <f t="array" ref="Q175">SUM(IF(($S175&gt;=4)*($C175='TaxCred&amp;Subs'!$D$114:$D$121)*($H175='TaxCred&amp;Subs'!$C$114:$C$121)*($H175&lt;='TaxCred&amp;Subs'!$C$123),'TaxCred&amp;Subs'!$E$114:$E$121,0))</f>
        <v>0</v>
      </c>
      <c r="R175" s="143">
        <v>0</v>
      </c>
      <c r="S175" s="5">
        <v>2</v>
      </c>
      <c r="T175" s="5" t="s">
        <v>220</v>
      </c>
      <c r="V175" s="7" t="str">
        <f t="array" ref="V175">INDEX(xlRTCLNAME,MATCH(1,(xlRTCLENDU=1)*(xlRTCLEQCL=$D175),0))</f>
        <v>LPG_FA</v>
      </c>
      <c r="W175" s="7" t="str">
        <f t="array" ref="W175">INDEX(xlRTCLNAME,MATCH(1,(xlRTCLENDU=2)*(xlRTCLEQCL=$F175),0))</f>
        <v>CENT_AIR</v>
      </c>
      <c r="X175" s="7" t="str">
        <f t="array" ref="X175">INDEX(xlRTTYNAME,MATCH(1,(xlRTTYENDU=1)*(xlRTTYEQCL=$D175)*(xlRTEQTYPE=$E175),0))</f>
        <v>LPG_FA1</v>
      </c>
      <c r="Y175" s="7" t="str">
        <f t="array" ref="Y175">INDEX(xlRTTYNAME,MATCH(1,(xlRTTYENDU=2)*(xlRTTYEQCL=$F175)*(xlRTEQTYPE=$G175),0))</f>
        <v>CENT_AIR1</v>
      </c>
    </row>
    <row r="176" spans="2:25" x14ac:dyDescent="0.2">
      <c r="B176" s="5">
        <v>8</v>
      </c>
      <c r="C176" s="5">
        <v>1</v>
      </c>
      <c r="D176" s="5">
        <v>6</v>
      </c>
      <c r="E176" s="5">
        <v>18</v>
      </c>
      <c r="F176" s="5">
        <v>2</v>
      </c>
      <c r="G176" s="31">
        <v>4</v>
      </c>
      <c r="H176" s="31">
        <v>2020</v>
      </c>
      <c r="I176" s="96">
        <v>2050</v>
      </c>
      <c r="J176" s="142">
        <v>1.0801000000000001</v>
      </c>
      <c r="K176" s="142">
        <v>1.0822000000000001</v>
      </c>
      <c r="L176" s="142">
        <v>0.59719999999999995</v>
      </c>
      <c r="M176" s="142">
        <v>0.92079999999999995</v>
      </c>
      <c r="N176" s="142">
        <v>0.86950000000000005</v>
      </c>
      <c r="O176" s="142">
        <v>1.0538000000000001</v>
      </c>
      <c r="P176" s="26">
        <v>11343.835503246926</v>
      </c>
      <c r="Q176" s="35">
        <f t="array" ref="Q176">SUM(IF(($S176&gt;=4)*($C176='TaxCred&amp;Subs'!$D$114:$D$121)*($H176='TaxCred&amp;Subs'!$C$114:$C$121)*($H176&lt;='TaxCred&amp;Subs'!$C$123),'TaxCred&amp;Subs'!$E$114:$E$121,0))</f>
        <v>0</v>
      </c>
      <c r="R176" s="143">
        <v>0</v>
      </c>
      <c r="S176" s="5">
        <v>2</v>
      </c>
      <c r="T176" s="5" t="s">
        <v>220</v>
      </c>
      <c r="V176" s="7" t="str">
        <f t="array" ref="V176">INDEX(xlRTCLNAME,MATCH(1,(xlRTCLENDU=1)*(xlRTCLEQCL=$D176),0))</f>
        <v>LPG_FA</v>
      </c>
      <c r="W176" s="7" t="str">
        <f t="array" ref="W176">INDEX(xlRTCLNAME,MATCH(1,(xlRTCLENDU=2)*(xlRTCLEQCL=$F176),0))</f>
        <v>CENT_AIR</v>
      </c>
      <c r="X176" s="7" t="str">
        <f t="array" ref="X176">INDEX(xlRTTYNAME,MATCH(1,(xlRTTYENDU=1)*(xlRTTYEQCL=$D176)*(xlRTEQTYPE=$E176),0))</f>
        <v>LPG_FA1</v>
      </c>
      <c r="Y176" s="7" t="str">
        <f t="array" ref="Y176">INDEX(xlRTTYNAME,MATCH(1,(xlRTTYENDU=2)*(xlRTTYEQCL=$F176)*(xlRTEQTYPE=$G176),0))</f>
        <v>CENT_AIR1</v>
      </c>
    </row>
    <row r="177" spans="2:25" x14ac:dyDescent="0.2">
      <c r="B177" s="5">
        <v>9</v>
      </c>
      <c r="C177" s="5">
        <v>1</v>
      </c>
      <c r="D177" s="5">
        <v>6</v>
      </c>
      <c r="E177" s="5">
        <v>18</v>
      </c>
      <c r="F177" s="5">
        <v>2</v>
      </c>
      <c r="G177" s="31">
        <v>4</v>
      </c>
      <c r="H177" s="31">
        <v>2020</v>
      </c>
      <c r="I177" s="96">
        <v>2050</v>
      </c>
      <c r="J177" s="142">
        <v>1.0781000000000001</v>
      </c>
      <c r="K177" s="142">
        <v>1.0707</v>
      </c>
      <c r="L177" s="142">
        <v>0.98050000000000004</v>
      </c>
      <c r="M177" s="142">
        <v>0.94669999999999999</v>
      </c>
      <c r="N177" s="142">
        <v>1.0339</v>
      </c>
      <c r="O177" s="142">
        <v>1.0538000000000001</v>
      </c>
      <c r="P177" s="26">
        <v>13398.283843766223</v>
      </c>
      <c r="Q177" s="35">
        <f t="array" ref="Q177">SUM(IF(($S177&gt;=4)*($C177='TaxCred&amp;Subs'!$D$114:$D$121)*($H177='TaxCred&amp;Subs'!$C$114:$C$121)*($H177&lt;='TaxCred&amp;Subs'!$C$123),'TaxCred&amp;Subs'!$E$114:$E$121,0))</f>
        <v>0</v>
      </c>
      <c r="R177" s="143">
        <v>0</v>
      </c>
      <c r="S177" s="5">
        <v>2</v>
      </c>
      <c r="T177" s="5" t="s">
        <v>220</v>
      </c>
      <c r="V177" s="7" t="str">
        <f t="array" ref="V177">INDEX(xlRTCLNAME,MATCH(1,(xlRTCLENDU=1)*(xlRTCLEQCL=$D177),0))</f>
        <v>LPG_FA</v>
      </c>
      <c r="W177" s="7" t="str">
        <f t="array" ref="W177">INDEX(xlRTCLNAME,MATCH(1,(xlRTCLENDU=2)*(xlRTCLEQCL=$F177),0))</f>
        <v>CENT_AIR</v>
      </c>
      <c r="X177" s="7" t="str">
        <f t="array" ref="X177">INDEX(xlRTTYNAME,MATCH(1,(xlRTTYENDU=1)*(xlRTTYEQCL=$D177)*(xlRTEQTYPE=$E177),0))</f>
        <v>LPG_FA1</v>
      </c>
      <c r="Y177" s="7" t="str">
        <f t="array" ref="Y177">INDEX(xlRTTYNAME,MATCH(1,(xlRTTYENDU=2)*(xlRTTYEQCL=$F177)*(xlRTEQTYPE=$G177),0))</f>
        <v>CENT_AIR1</v>
      </c>
    </row>
    <row r="178" spans="2:25" x14ac:dyDescent="0.2">
      <c r="B178" s="5">
        <v>1</v>
      </c>
      <c r="C178" s="5">
        <v>1</v>
      </c>
      <c r="D178" s="5">
        <v>7</v>
      </c>
      <c r="E178" s="5">
        <v>22</v>
      </c>
      <c r="F178" s="5">
        <v>2</v>
      </c>
      <c r="G178" s="31">
        <v>4</v>
      </c>
      <c r="H178" s="31">
        <v>2020</v>
      </c>
      <c r="I178" s="96">
        <v>2050</v>
      </c>
      <c r="J178" s="142">
        <v>1.0309999999999999</v>
      </c>
      <c r="K178" s="142">
        <v>1.0667</v>
      </c>
      <c r="L178" s="142">
        <v>0.59209999999999996</v>
      </c>
      <c r="M178" s="142">
        <v>1.0176000000000001</v>
      </c>
      <c r="N178" s="142">
        <v>0.79790000000000005</v>
      </c>
      <c r="O178" s="142">
        <v>1.0538000000000001</v>
      </c>
      <c r="P178" s="26">
        <v>14003.324258186172</v>
      </c>
      <c r="Q178" s="35">
        <f t="array" ref="Q178">SUM(IF(($S178&gt;=4)*($C178='TaxCred&amp;Subs'!$D$114:$D$121)*($H178='TaxCred&amp;Subs'!$C$114:$C$121)*($H178&lt;='TaxCred&amp;Subs'!$C$123),'TaxCred&amp;Subs'!$E$114:$E$121,0))</f>
        <v>0</v>
      </c>
      <c r="R178" s="143">
        <v>0</v>
      </c>
      <c r="S178" s="5">
        <v>2</v>
      </c>
      <c r="T178" s="5" t="s">
        <v>220</v>
      </c>
      <c r="V178" s="7" t="str">
        <f t="array" ref="V178">INDEX(xlRTCLNAME,MATCH(1,(xlRTCLENDU=1)*(xlRTCLEQCL=$D178),0))</f>
        <v>DIST_FA</v>
      </c>
      <c r="W178" s="7" t="str">
        <f t="array" ref="W178">INDEX(xlRTCLNAME,MATCH(1,(xlRTCLENDU=2)*(xlRTCLEQCL=$F178),0))</f>
        <v>CENT_AIR</v>
      </c>
      <c r="X178" s="7" t="str">
        <f t="array" ref="X178">INDEX(xlRTTYNAME,MATCH(1,(xlRTTYENDU=1)*(xlRTTYEQCL=$D178)*(xlRTEQTYPE=$E178),0))</f>
        <v>DIST_FA1</v>
      </c>
      <c r="Y178" s="7" t="str">
        <f t="array" ref="Y178">INDEX(xlRTTYNAME,MATCH(1,(xlRTTYENDU=2)*(xlRTTYEQCL=$F178)*(xlRTEQTYPE=$G178),0))</f>
        <v>CENT_AIR1</v>
      </c>
    </row>
    <row r="179" spans="2:25" x14ac:dyDescent="0.2">
      <c r="B179" s="5">
        <v>2</v>
      </c>
      <c r="C179" s="5">
        <v>1</v>
      </c>
      <c r="D179" s="5">
        <v>7</v>
      </c>
      <c r="E179" s="5">
        <v>22</v>
      </c>
      <c r="F179" s="5">
        <v>2</v>
      </c>
      <c r="G179" s="31">
        <v>4</v>
      </c>
      <c r="H179" s="31">
        <v>2020</v>
      </c>
      <c r="I179" s="96">
        <v>2050</v>
      </c>
      <c r="J179" s="142">
        <v>1.0772999999999999</v>
      </c>
      <c r="K179" s="142">
        <v>1.0758000000000001</v>
      </c>
      <c r="L179" s="142">
        <v>0.70189999999999997</v>
      </c>
      <c r="M179" s="142">
        <v>0.87660000000000005</v>
      </c>
      <c r="N179" s="142">
        <v>0.93169999999999997</v>
      </c>
      <c r="O179" s="142">
        <v>1.0538000000000001</v>
      </c>
      <c r="P179" s="26">
        <v>14168.70197146096</v>
      </c>
      <c r="Q179" s="35">
        <f t="array" ref="Q179">SUM(IF(($S179&gt;=4)*($C179='TaxCred&amp;Subs'!$D$114:$D$121)*($H179='TaxCred&amp;Subs'!$C$114:$C$121)*($H179&lt;='TaxCred&amp;Subs'!$C$123),'TaxCred&amp;Subs'!$E$114:$E$121,0))</f>
        <v>0</v>
      </c>
      <c r="R179" s="143">
        <v>0</v>
      </c>
      <c r="S179" s="5">
        <v>2</v>
      </c>
      <c r="T179" s="5" t="s">
        <v>220</v>
      </c>
      <c r="V179" s="7" t="str">
        <f t="array" ref="V179">INDEX(xlRTCLNAME,MATCH(1,(xlRTCLENDU=1)*(xlRTCLEQCL=$D179),0))</f>
        <v>DIST_FA</v>
      </c>
      <c r="W179" s="7" t="str">
        <f t="array" ref="W179">INDEX(xlRTCLNAME,MATCH(1,(xlRTCLENDU=2)*(xlRTCLEQCL=$F179),0))</f>
        <v>CENT_AIR</v>
      </c>
      <c r="X179" s="7" t="str">
        <f t="array" ref="X179">INDEX(xlRTTYNAME,MATCH(1,(xlRTTYENDU=1)*(xlRTTYEQCL=$D179)*(xlRTEQTYPE=$E179),0))</f>
        <v>DIST_FA1</v>
      </c>
      <c r="Y179" s="7" t="str">
        <f t="array" ref="Y179">INDEX(xlRTTYNAME,MATCH(1,(xlRTTYENDU=2)*(xlRTTYEQCL=$F179)*(xlRTEQTYPE=$G179),0))</f>
        <v>CENT_AIR1</v>
      </c>
    </row>
    <row r="180" spans="2:25" x14ac:dyDescent="0.2">
      <c r="B180" s="5">
        <v>3</v>
      </c>
      <c r="C180" s="5">
        <v>1</v>
      </c>
      <c r="D180" s="5">
        <v>7</v>
      </c>
      <c r="E180" s="5">
        <v>22</v>
      </c>
      <c r="F180" s="5">
        <v>2</v>
      </c>
      <c r="G180" s="31">
        <v>4</v>
      </c>
      <c r="H180" s="31">
        <v>2020</v>
      </c>
      <c r="I180" s="96">
        <v>2050</v>
      </c>
      <c r="J180" s="142">
        <v>1.0842000000000001</v>
      </c>
      <c r="K180" s="142">
        <v>1.0577000000000001</v>
      </c>
      <c r="L180" s="142">
        <v>0.58050000000000002</v>
      </c>
      <c r="M180" s="142">
        <v>0.95530000000000004</v>
      </c>
      <c r="N180" s="142">
        <v>0.91220000000000001</v>
      </c>
      <c r="O180" s="142">
        <v>1.0538000000000001</v>
      </c>
      <c r="P180" s="26">
        <v>12986.856361960658</v>
      </c>
      <c r="Q180" s="35">
        <f t="array" ref="Q180">SUM(IF(($S180&gt;=4)*($C180='TaxCred&amp;Subs'!$D$114:$D$121)*($H180='TaxCred&amp;Subs'!$C$114:$C$121)*($H180&lt;='TaxCred&amp;Subs'!$C$123),'TaxCred&amp;Subs'!$E$114:$E$121,0))</f>
        <v>0</v>
      </c>
      <c r="R180" s="143">
        <v>0</v>
      </c>
      <c r="S180" s="5">
        <v>2</v>
      </c>
      <c r="T180" s="5" t="s">
        <v>220</v>
      </c>
      <c r="V180" s="7" t="str">
        <f t="array" ref="V180">INDEX(xlRTCLNAME,MATCH(1,(xlRTCLENDU=1)*(xlRTCLEQCL=$D180),0))</f>
        <v>DIST_FA</v>
      </c>
      <c r="W180" s="7" t="str">
        <f t="array" ref="W180">INDEX(xlRTCLNAME,MATCH(1,(xlRTCLENDU=2)*(xlRTCLEQCL=$F180),0))</f>
        <v>CENT_AIR</v>
      </c>
      <c r="X180" s="7" t="str">
        <f t="array" ref="X180">INDEX(xlRTTYNAME,MATCH(1,(xlRTTYENDU=1)*(xlRTTYEQCL=$D180)*(xlRTEQTYPE=$E180),0))</f>
        <v>DIST_FA1</v>
      </c>
      <c r="Y180" s="7" t="str">
        <f t="array" ref="Y180">INDEX(xlRTTYNAME,MATCH(1,(xlRTTYENDU=2)*(xlRTTYEQCL=$F180)*(xlRTEQTYPE=$G180),0))</f>
        <v>CENT_AIR1</v>
      </c>
    </row>
    <row r="181" spans="2:25" x14ac:dyDescent="0.2">
      <c r="B181" s="5">
        <v>4</v>
      </c>
      <c r="C181" s="5">
        <v>1</v>
      </c>
      <c r="D181" s="5">
        <v>7</v>
      </c>
      <c r="E181" s="5">
        <v>22</v>
      </c>
      <c r="F181" s="5">
        <v>2</v>
      </c>
      <c r="G181" s="31">
        <v>4</v>
      </c>
      <c r="H181" s="31">
        <v>2020</v>
      </c>
      <c r="I181" s="96">
        <v>2050</v>
      </c>
      <c r="J181" s="142">
        <v>1.0342</v>
      </c>
      <c r="K181" s="142">
        <v>1.0769</v>
      </c>
      <c r="L181" s="142">
        <v>0.5776</v>
      </c>
      <c r="M181" s="142">
        <v>0.90200000000000002</v>
      </c>
      <c r="N181" s="142">
        <v>0.85760000000000003</v>
      </c>
      <c r="O181" s="142">
        <v>1.0538000000000001</v>
      </c>
      <c r="P181" s="26">
        <v>10421.48500482007</v>
      </c>
      <c r="Q181" s="35">
        <f t="array" ref="Q181">SUM(IF(($S181&gt;=4)*($C181='TaxCred&amp;Subs'!$D$114:$D$121)*($H181='TaxCred&amp;Subs'!$C$114:$C$121)*($H181&lt;='TaxCred&amp;Subs'!$C$123),'TaxCred&amp;Subs'!$E$114:$E$121,0))</f>
        <v>0</v>
      </c>
      <c r="R181" s="143">
        <v>0</v>
      </c>
      <c r="S181" s="5">
        <v>2</v>
      </c>
      <c r="T181" s="5" t="s">
        <v>220</v>
      </c>
      <c r="V181" s="7" t="str">
        <f t="array" ref="V181">INDEX(xlRTCLNAME,MATCH(1,(xlRTCLENDU=1)*(xlRTCLEQCL=$D181),0))</f>
        <v>DIST_FA</v>
      </c>
      <c r="W181" s="7" t="str">
        <f t="array" ref="W181">INDEX(xlRTCLNAME,MATCH(1,(xlRTCLENDU=2)*(xlRTCLEQCL=$F181),0))</f>
        <v>CENT_AIR</v>
      </c>
      <c r="X181" s="7" t="str">
        <f t="array" ref="X181">INDEX(xlRTTYNAME,MATCH(1,(xlRTTYENDU=1)*(xlRTTYEQCL=$D181)*(xlRTEQTYPE=$E181),0))</f>
        <v>DIST_FA1</v>
      </c>
      <c r="Y181" s="7" t="str">
        <f t="array" ref="Y181">INDEX(xlRTTYNAME,MATCH(1,(xlRTTYENDU=2)*(xlRTTYEQCL=$F181)*(xlRTEQTYPE=$G181),0))</f>
        <v>CENT_AIR1</v>
      </c>
    </row>
    <row r="182" spans="2:25" x14ac:dyDescent="0.2">
      <c r="B182" s="5">
        <v>5</v>
      </c>
      <c r="C182" s="5">
        <v>1</v>
      </c>
      <c r="D182" s="5">
        <v>7</v>
      </c>
      <c r="E182" s="5">
        <v>22</v>
      </c>
      <c r="F182" s="5">
        <v>2</v>
      </c>
      <c r="G182" s="31">
        <v>4</v>
      </c>
      <c r="H182" s="31">
        <v>2020</v>
      </c>
      <c r="I182" s="96">
        <v>2050</v>
      </c>
      <c r="J182" s="142">
        <v>1.0847</v>
      </c>
      <c r="K182" s="142">
        <v>1.056</v>
      </c>
      <c r="L182" s="142">
        <v>0.75639999999999996</v>
      </c>
      <c r="M182" s="142">
        <v>0.94750000000000001</v>
      </c>
      <c r="N182" s="142">
        <v>0.76280000000000003</v>
      </c>
      <c r="O182" s="142">
        <v>1.0538000000000001</v>
      </c>
      <c r="P182" s="26">
        <v>9718.2935898386622</v>
      </c>
      <c r="Q182" s="35">
        <f t="array" ref="Q182">SUM(IF(($S182&gt;=4)*($C182='TaxCred&amp;Subs'!$D$114:$D$121)*($H182='TaxCred&amp;Subs'!$C$114:$C$121)*($H182&lt;='TaxCred&amp;Subs'!$C$123),'TaxCred&amp;Subs'!$E$114:$E$121,0))</f>
        <v>0</v>
      </c>
      <c r="R182" s="143">
        <v>0</v>
      </c>
      <c r="S182" s="5">
        <v>2</v>
      </c>
      <c r="T182" s="5" t="s">
        <v>220</v>
      </c>
      <c r="V182" s="7" t="str">
        <f t="array" ref="V182">INDEX(xlRTCLNAME,MATCH(1,(xlRTCLENDU=1)*(xlRTCLEQCL=$D182),0))</f>
        <v>DIST_FA</v>
      </c>
      <c r="W182" s="7" t="str">
        <f t="array" ref="W182">INDEX(xlRTCLNAME,MATCH(1,(xlRTCLENDU=2)*(xlRTCLEQCL=$F182),0))</f>
        <v>CENT_AIR</v>
      </c>
      <c r="X182" s="7" t="str">
        <f t="array" ref="X182">INDEX(xlRTTYNAME,MATCH(1,(xlRTTYENDU=1)*(xlRTTYEQCL=$D182)*(xlRTEQTYPE=$E182),0))</f>
        <v>DIST_FA1</v>
      </c>
      <c r="Y182" s="7" t="str">
        <f t="array" ref="Y182">INDEX(xlRTTYNAME,MATCH(1,(xlRTTYENDU=2)*(xlRTTYEQCL=$F182)*(xlRTEQTYPE=$G182),0))</f>
        <v>CENT_AIR1</v>
      </c>
    </row>
    <row r="183" spans="2:25" x14ac:dyDescent="0.2">
      <c r="B183" s="5">
        <v>6</v>
      </c>
      <c r="C183" s="5">
        <v>1</v>
      </c>
      <c r="D183" s="5">
        <v>7</v>
      </c>
      <c r="E183" s="5">
        <v>22</v>
      </c>
      <c r="F183" s="5">
        <v>2</v>
      </c>
      <c r="G183" s="31">
        <v>4</v>
      </c>
      <c r="H183" s="31">
        <v>2020</v>
      </c>
      <c r="I183" s="96">
        <v>2050</v>
      </c>
      <c r="J183" s="142">
        <v>1.0907</v>
      </c>
      <c r="K183" s="142">
        <v>1.0603</v>
      </c>
      <c r="L183" s="142">
        <v>0.88580000000000003</v>
      </c>
      <c r="M183" s="142">
        <v>0.93910000000000005</v>
      </c>
      <c r="N183" s="142">
        <v>0.89139999999999997</v>
      </c>
      <c r="O183" s="142">
        <v>1.0538000000000001</v>
      </c>
      <c r="P183" s="26">
        <v>8982.8333527548548</v>
      </c>
      <c r="Q183" s="35">
        <f t="array" ref="Q183">SUM(IF(($S183&gt;=4)*($C183='TaxCred&amp;Subs'!$D$114:$D$121)*($H183='TaxCred&amp;Subs'!$C$114:$C$121)*($H183&lt;='TaxCred&amp;Subs'!$C$123),'TaxCred&amp;Subs'!$E$114:$E$121,0))</f>
        <v>0</v>
      </c>
      <c r="R183" s="143">
        <v>0</v>
      </c>
      <c r="S183" s="5">
        <v>2</v>
      </c>
      <c r="T183" s="5" t="s">
        <v>220</v>
      </c>
      <c r="V183" s="7" t="str">
        <f t="array" ref="V183">INDEX(xlRTCLNAME,MATCH(1,(xlRTCLENDU=1)*(xlRTCLEQCL=$D183),0))</f>
        <v>DIST_FA</v>
      </c>
      <c r="W183" s="7" t="str">
        <f t="array" ref="W183">INDEX(xlRTCLNAME,MATCH(1,(xlRTCLENDU=2)*(xlRTCLEQCL=$F183),0))</f>
        <v>CENT_AIR</v>
      </c>
      <c r="X183" s="7" t="str">
        <f t="array" ref="X183">INDEX(xlRTTYNAME,MATCH(1,(xlRTTYENDU=1)*(xlRTTYEQCL=$D183)*(xlRTEQTYPE=$E183),0))</f>
        <v>DIST_FA1</v>
      </c>
      <c r="Y183" s="7" t="str">
        <f t="array" ref="Y183">INDEX(xlRTTYNAME,MATCH(1,(xlRTTYENDU=2)*(xlRTTYEQCL=$F183)*(xlRTEQTYPE=$G183),0))</f>
        <v>CENT_AIR1</v>
      </c>
    </row>
    <row r="184" spans="2:25" x14ac:dyDescent="0.2">
      <c r="B184" s="5">
        <v>7</v>
      </c>
      <c r="C184" s="5">
        <v>1</v>
      </c>
      <c r="D184" s="5">
        <v>7</v>
      </c>
      <c r="E184" s="5">
        <v>22</v>
      </c>
      <c r="F184" s="5">
        <v>2</v>
      </c>
      <c r="G184" s="31">
        <v>4</v>
      </c>
      <c r="H184" s="31">
        <v>2020</v>
      </c>
      <c r="I184" s="96">
        <v>2050</v>
      </c>
      <c r="J184" s="142">
        <v>1.0885</v>
      </c>
      <c r="K184" s="142">
        <v>1.0575000000000001</v>
      </c>
      <c r="L184" s="142">
        <v>0.89910000000000001</v>
      </c>
      <c r="M184" s="142">
        <v>0.86550000000000005</v>
      </c>
      <c r="N184" s="142">
        <v>0.872</v>
      </c>
      <c r="O184" s="142">
        <v>1.0538000000000001</v>
      </c>
      <c r="P184" s="26">
        <v>8414.0953632001019</v>
      </c>
      <c r="Q184" s="35">
        <f t="array" ref="Q184">SUM(IF(($S184&gt;=4)*($C184='TaxCred&amp;Subs'!$D$114:$D$121)*($H184='TaxCred&amp;Subs'!$C$114:$C$121)*($H184&lt;='TaxCred&amp;Subs'!$C$123),'TaxCred&amp;Subs'!$E$114:$E$121,0))</f>
        <v>0</v>
      </c>
      <c r="R184" s="143">
        <v>0</v>
      </c>
      <c r="S184" s="5">
        <v>2</v>
      </c>
      <c r="T184" s="5" t="s">
        <v>220</v>
      </c>
      <c r="V184" s="7" t="str">
        <f t="array" ref="V184">INDEX(xlRTCLNAME,MATCH(1,(xlRTCLENDU=1)*(xlRTCLEQCL=$D184),0))</f>
        <v>DIST_FA</v>
      </c>
      <c r="W184" s="7" t="str">
        <f t="array" ref="W184">INDEX(xlRTCLNAME,MATCH(1,(xlRTCLENDU=2)*(xlRTCLEQCL=$F184),0))</f>
        <v>CENT_AIR</v>
      </c>
      <c r="X184" s="7" t="str">
        <f t="array" ref="X184">INDEX(xlRTTYNAME,MATCH(1,(xlRTTYENDU=1)*(xlRTTYEQCL=$D184)*(xlRTEQTYPE=$E184),0))</f>
        <v>DIST_FA1</v>
      </c>
      <c r="Y184" s="7" t="str">
        <f t="array" ref="Y184">INDEX(xlRTTYNAME,MATCH(1,(xlRTTYENDU=2)*(xlRTTYEQCL=$F184)*(xlRTEQTYPE=$G184),0))</f>
        <v>CENT_AIR1</v>
      </c>
    </row>
    <row r="185" spans="2:25" x14ac:dyDescent="0.2">
      <c r="B185" s="5">
        <v>8</v>
      </c>
      <c r="C185" s="5">
        <v>1</v>
      </c>
      <c r="D185" s="5">
        <v>7</v>
      </c>
      <c r="E185" s="5">
        <v>22</v>
      </c>
      <c r="F185" s="5">
        <v>2</v>
      </c>
      <c r="G185" s="31">
        <v>4</v>
      </c>
      <c r="H185" s="31">
        <v>2020</v>
      </c>
      <c r="I185" s="96">
        <v>2050</v>
      </c>
      <c r="J185" s="142">
        <v>1.0838000000000001</v>
      </c>
      <c r="K185" s="142">
        <v>1.0832999999999999</v>
      </c>
      <c r="L185" s="142">
        <v>0.5948</v>
      </c>
      <c r="M185" s="142">
        <v>0.91349999999999998</v>
      </c>
      <c r="N185" s="142">
        <v>0.86950000000000005</v>
      </c>
      <c r="O185" s="142">
        <v>1.0538000000000001</v>
      </c>
      <c r="P185" s="26">
        <v>12813.41144316027</v>
      </c>
      <c r="Q185" s="35">
        <f t="array" ref="Q185">SUM(IF(($S185&gt;=4)*($C185='TaxCred&amp;Subs'!$D$114:$D$121)*($H185='TaxCred&amp;Subs'!$C$114:$C$121)*($H185&lt;='TaxCred&amp;Subs'!$C$123),'TaxCred&amp;Subs'!$E$114:$E$121,0))</f>
        <v>0</v>
      </c>
      <c r="R185" s="143">
        <v>0</v>
      </c>
      <c r="S185" s="5">
        <v>2</v>
      </c>
      <c r="T185" s="5" t="s">
        <v>220</v>
      </c>
      <c r="V185" s="7" t="str">
        <f t="array" ref="V185">INDEX(xlRTCLNAME,MATCH(1,(xlRTCLENDU=1)*(xlRTCLEQCL=$D185),0))</f>
        <v>DIST_FA</v>
      </c>
      <c r="W185" s="7" t="str">
        <f t="array" ref="W185">INDEX(xlRTCLNAME,MATCH(1,(xlRTCLENDU=2)*(xlRTCLEQCL=$F185),0))</f>
        <v>CENT_AIR</v>
      </c>
      <c r="X185" s="7" t="str">
        <f t="array" ref="X185">INDEX(xlRTTYNAME,MATCH(1,(xlRTTYENDU=1)*(xlRTTYEQCL=$D185)*(xlRTEQTYPE=$E185),0))</f>
        <v>DIST_FA1</v>
      </c>
      <c r="Y185" s="7" t="str">
        <f t="array" ref="Y185">INDEX(xlRTTYNAME,MATCH(1,(xlRTTYENDU=2)*(xlRTTYEQCL=$F185)*(xlRTEQTYPE=$G185),0))</f>
        <v>CENT_AIR1</v>
      </c>
    </row>
    <row r="186" spans="2:25" x14ac:dyDescent="0.2">
      <c r="B186" s="5">
        <v>9</v>
      </c>
      <c r="C186" s="5">
        <v>1</v>
      </c>
      <c r="D186" s="5">
        <v>7</v>
      </c>
      <c r="E186" s="5">
        <v>22</v>
      </c>
      <c r="F186" s="5">
        <v>2</v>
      </c>
      <c r="G186" s="31">
        <v>4</v>
      </c>
      <c r="H186" s="31">
        <v>2020</v>
      </c>
      <c r="I186" s="96">
        <v>2050</v>
      </c>
      <c r="J186" s="142">
        <v>1.0790999999999999</v>
      </c>
      <c r="K186" s="142">
        <v>1.0722</v>
      </c>
      <c r="L186" s="142">
        <v>0.95489999999999997</v>
      </c>
      <c r="M186" s="142">
        <v>0.93600000000000005</v>
      </c>
      <c r="N186" s="142">
        <v>1.0336000000000001</v>
      </c>
      <c r="O186" s="142">
        <v>1.0538000000000001</v>
      </c>
      <c r="P186" s="26">
        <v>13652.400817822603</v>
      </c>
      <c r="Q186" s="35">
        <f t="array" ref="Q186">SUM(IF(($S186&gt;=4)*($C186='TaxCred&amp;Subs'!$D$114:$D$121)*($H186='TaxCred&amp;Subs'!$C$114:$C$121)*($H186&lt;='TaxCred&amp;Subs'!$C$123),'TaxCred&amp;Subs'!$E$114:$E$121,0))</f>
        <v>0</v>
      </c>
      <c r="R186" s="143">
        <v>0</v>
      </c>
      <c r="S186" s="5">
        <v>2</v>
      </c>
      <c r="T186" s="5" t="s">
        <v>220</v>
      </c>
      <c r="V186" s="7" t="str">
        <f t="array" ref="V186">INDEX(xlRTCLNAME,MATCH(1,(xlRTCLENDU=1)*(xlRTCLEQCL=$D186),0))</f>
        <v>DIST_FA</v>
      </c>
      <c r="W186" s="7" t="str">
        <f t="array" ref="W186">INDEX(xlRTCLNAME,MATCH(1,(xlRTCLENDU=2)*(xlRTCLEQCL=$F186),0))</f>
        <v>CENT_AIR</v>
      </c>
      <c r="X186" s="7" t="str">
        <f t="array" ref="X186">INDEX(xlRTTYNAME,MATCH(1,(xlRTTYENDU=1)*(xlRTTYEQCL=$D186)*(xlRTEQTYPE=$E186),0))</f>
        <v>DIST_FA1</v>
      </c>
      <c r="Y186" s="7" t="str">
        <f t="array" ref="Y186">INDEX(xlRTTYNAME,MATCH(1,(xlRTTYENDU=2)*(xlRTTYEQCL=$F186)*(xlRTEQTYPE=$G186),0))</f>
        <v>CENT_AIR1</v>
      </c>
    </row>
    <row r="187" spans="2:25" x14ac:dyDescent="0.2">
      <c r="B187" s="5">
        <v>1</v>
      </c>
      <c r="C187" s="5">
        <v>1</v>
      </c>
      <c r="D187" s="5">
        <v>8</v>
      </c>
      <c r="E187" s="5">
        <v>26</v>
      </c>
      <c r="F187" s="5">
        <v>2</v>
      </c>
      <c r="G187" s="31">
        <v>4</v>
      </c>
      <c r="H187" s="31">
        <v>2020</v>
      </c>
      <c r="I187" s="96">
        <v>2050</v>
      </c>
      <c r="J187" s="142">
        <v>1.0592999999999999</v>
      </c>
      <c r="K187" s="142">
        <v>1.0889</v>
      </c>
      <c r="L187" s="142">
        <v>0.57969999999999999</v>
      </c>
      <c r="M187" s="142">
        <v>1.0176000000000001</v>
      </c>
      <c r="N187" s="142">
        <v>0.8095</v>
      </c>
      <c r="O187" s="142">
        <v>1.0538000000000001</v>
      </c>
      <c r="P187" s="26">
        <v>14078.618176425101</v>
      </c>
      <c r="Q187" s="35">
        <f t="array" ref="Q187">SUM(IF(($S187&gt;=4)*($C187='TaxCred&amp;Subs'!$D$114:$D$121)*($H187='TaxCred&amp;Subs'!$C$114:$C$121)*($H187&lt;='TaxCred&amp;Subs'!$C$123),'TaxCred&amp;Subs'!$E$114:$E$121,0))</f>
        <v>0</v>
      </c>
      <c r="R187" s="143">
        <v>0</v>
      </c>
      <c r="S187" s="5">
        <v>2</v>
      </c>
      <c r="T187" s="5" t="s">
        <v>220</v>
      </c>
      <c r="V187" s="7" t="str">
        <f t="array" ref="V187">INDEX(xlRTCLNAME,MATCH(1,(xlRTCLENDU=1)*(xlRTCLEQCL=$D187),0))</f>
        <v>DIST_RAD</v>
      </c>
      <c r="W187" s="7" t="str">
        <f t="array" ref="W187">INDEX(xlRTCLNAME,MATCH(1,(xlRTCLENDU=2)*(xlRTCLEQCL=$F187),0))</f>
        <v>CENT_AIR</v>
      </c>
      <c r="X187" s="7" t="str">
        <f t="array" ref="X187">INDEX(xlRTTYNAME,MATCH(1,(xlRTTYENDU=1)*(xlRTTYEQCL=$D187)*(xlRTEQTYPE=$E187),0))</f>
        <v>DIST_RAD1</v>
      </c>
      <c r="Y187" s="7" t="str">
        <f t="array" ref="Y187">INDEX(xlRTTYNAME,MATCH(1,(xlRTTYENDU=2)*(xlRTTYEQCL=$F187)*(xlRTEQTYPE=$G187),0))</f>
        <v>CENT_AIR1</v>
      </c>
    </row>
    <row r="188" spans="2:25" x14ac:dyDescent="0.2">
      <c r="B188" s="5">
        <v>2</v>
      </c>
      <c r="C188" s="5">
        <v>1</v>
      </c>
      <c r="D188" s="5">
        <v>8</v>
      </c>
      <c r="E188" s="5">
        <v>26</v>
      </c>
      <c r="F188" s="5">
        <v>2</v>
      </c>
      <c r="G188" s="31">
        <v>4</v>
      </c>
      <c r="H188" s="31">
        <v>2020</v>
      </c>
      <c r="I188" s="96">
        <v>2050</v>
      </c>
      <c r="J188" s="142">
        <v>1.0717000000000001</v>
      </c>
      <c r="K188" s="142">
        <v>1.0895999999999999</v>
      </c>
      <c r="L188" s="142">
        <v>0.6885</v>
      </c>
      <c r="M188" s="142">
        <v>0.88419999999999999</v>
      </c>
      <c r="N188" s="142">
        <v>0.92630000000000001</v>
      </c>
      <c r="O188" s="142">
        <v>1.0538000000000001</v>
      </c>
      <c r="P188" s="26">
        <v>13668.535228873799</v>
      </c>
      <c r="Q188" s="35">
        <f t="array" ref="Q188">SUM(IF(($S188&gt;=4)*($C188='TaxCred&amp;Subs'!$D$114:$D$121)*($H188='TaxCred&amp;Subs'!$C$114:$C$121)*($H188&lt;='TaxCred&amp;Subs'!$C$123),'TaxCred&amp;Subs'!$E$114:$E$121,0))</f>
        <v>0</v>
      </c>
      <c r="R188" s="143">
        <v>0</v>
      </c>
      <c r="S188" s="5">
        <v>2</v>
      </c>
      <c r="T188" s="5" t="s">
        <v>220</v>
      </c>
      <c r="V188" s="7" t="str">
        <f t="array" ref="V188">INDEX(xlRTCLNAME,MATCH(1,(xlRTCLENDU=1)*(xlRTCLEQCL=$D188),0))</f>
        <v>DIST_RAD</v>
      </c>
      <c r="W188" s="7" t="str">
        <f t="array" ref="W188">INDEX(xlRTCLNAME,MATCH(1,(xlRTCLENDU=2)*(xlRTCLEQCL=$F188),0))</f>
        <v>CENT_AIR</v>
      </c>
      <c r="X188" s="7" t="str">
        <f t="array" ref="X188">INDEX(xlRTTYNAME,MATCH(1,(xlRTTYENDU=1)*(xlRTTYEQCL=$D188)*(xlRTEQTYPE=$E188),0))</f>
        <v>DIST_RAD1</v>
      </c>
      <c r="Y188" s="7" t="str">
        <f t="array" ref="Y188">INDEX(xlRTTYNAME,MATCH(1,(xlRTTYENDU=2)*(xlRTTYEQCL=$F188)*(xlRTEQTYPE=$G188),0))</f>
        <v>CENT_AIR1</v>
      </c>
    </row>
    <row r="189" spans="2:25" x14ac:dyDescent="0.2">
      <c r="B189" s="5">
        <v>3</v>
      </c>
      <c r="C189" s="5">
        <v>1</v>
      </c>
      <c r="D189" s="5">
        <v>8</v>
      </c>
      <c r="E189" s="5">
        <v>26</v>
      </c>
      <c r="F189" s="5">
        <v>2</v>
      </c>
      <c r="G189" s="31">
        <v>4</v>
      </c>
      <c r="H189" s="31">
        <v>2020</v>
      </c>
      <c r="I189" s="96">
        <v>2050</v>
      </c>
      <c r="J189" s="142">
        <v>1.0821000000000001</v>
      </c>
      <c r="K189" s="142">
        <v>1.0769</v>
      </c>
      <c r="L189" s="142">
        <v>0.5655</v>
      </c>
      <c r="M189" s="142">
        <v>0.95530000000000004</v>
      </c>
      <c r="N189" s="142">
        <v>0.91400000000000003</v>
      </c>
      <c r="O189" s="142">
        <v>1.0538000000000001</v>
      </c>
      <c r="P189" s="26">
        <v>12941.142197315594</v>
      </c>
      <c r="Q189" s="35">
        <f t="array" ref="Q189">SUM(IF(($S189&gt;=4)*($C189='TaxCred&amp;Subs'!$D$114:$D$121)*($H189='TaxCred&amp;Subs'!$C$114:$C$121)*($H189&lt;='TaxCred&amp;Subs'!$C$123),'TaxCred&amp;Subs'!$E$114:$E$121,0))</f>
        <v>0</v>
      </c>
      <c r="R189" s="143">
        <v>0</v>
      </c>
      <c r="S189" s="5">
        <v>2</v>
      </c>
      <c r="T189" s="5" t="s">
        <v>220</v>
      </c>
      <c r="V189" s="7" t="str">
        <f t="array" ref="V189">INDEX(xlRTCLNAME,MATCH(1,(xlRTCLENDU=1)*(xlRTCLEQCL=$D189),0))</f>
        <v>DIST_RAD</v>
      </c>
      <c r="W189" s="7" t="str">
        <f t="array" ref="W189">INDEX(xlRTCLNAME,MATCH(1,(xlRTCLENDU=2)*(xlRTCLEQCL=$F189),0))</f>
        <v>CENT_AIR</v>
      </c>
      <c r="X189" s="7" t="str">
        <f t="array" ref="X189">INDEX(xlRTTYNAME,MATCH(1,(xlRTTYENDU=1)*(xlRTTYEQCL=$D189)*(xlRTEQTYPE=$E189),0))</f>
        <v>DIST_RAD1</v>
      </c>
      <c r="Y189" s="7" t="str">
        <f t="array" ref="Y189">INDEX(xlRTTYNAME,MATCH(1,(xlRTTYENDU=2)*(xlRTTYEQCL=$F189)*(xlRTEQTYPE=$G189),0))</f>
        <v>CENT_AIR1</v>
      </c>
    </row>
    <row r="190" spans="2:25" x14ac:dyDescent="0.2">
      <c r="B190" s="5">
        <v>4</v>
      </c>
      <c r="C190" s="5">
        <v>1</v>
      </c>
      <c r="D190" s="5">
        <v>8</v>
      </c>
      <c r="E190" s="5">
        <v>26</v>
      </c>
      <c r="F190" s="5">
        <v>2</v>
      </c>
      <c r="G190" s="31">
        <v>4</v>
      </c>
      <c r="H190" s="31">
        <v>2020</v>
      </c>
      <c r="I190" s="96">
        <v>2050</v>
      </c>
      <c r="J190" s="142">
        <v>1.0812999999999999</v>
      </c>
      <c r="K190" s="142">
        <v>1.0769</v>
      </c>
      <c r="L190" s="142">
        <v>0.55759999999999998</v>
      </c>
      <c r="M190" s="142">
        <v>0.90200000000000002</v>
      </c>
      <c r="N190" s="142">
        <v>0.85660000000000003</v>
      </c>
      <c r="O190" s="142">
        <v>1.0538000000000001</v>
      </c>
      <c r="P190" s="26">
        <v>10510.224265601661</v>
      </c>
      <c r="Q190" s="35">
        <f t="array" ref="Q190">SUM(IF(($S190&gt;=4)*($C190='TaxCred&amp;Subs'!$D$114:$D$121)*($H190='TaxCred&amp;Subs'!$C$114:$C$121)*($H190&lt;='TaxCred&amp;Subs'!$C$123),'TaxCred&amp;Subs'!$E$114:$E$121,0))</f>
        <v>0</v>
      </c>
      <c r="R190" s="143">
        <v>0</v>
      </c>
      <c r="S190" s="5">
        <v>2</v>
      </c>
      <c r="T190" s="5" t="s">
        <v>220</v>
      </c>
      <c r="V190" s="7" t="str">
        <f t="array" ref="V190">INDEX(xlRTCLNAME,MATCH(1,(xlRTCLENDU=1)*(xlRTCLEQCL=$D190),0))</f>
        <v>DIST_RAD</v>
      </c>
      <c r="W190" s="7" t="str">
        <f t="array" ref="W190">INDEX(xlRTCLNAME,MATCH(1,(xlRTCLENDU=2)*(xlRTCLEQCL=$F190),0))</f>
        <v>CENT_AIR</v>
      </c>
      <c r="X190" s="7" t="str">
        <f t="array" ref="X190">INDEX(xlRTTYNAME,MATCH(1,(xlRTTYENDU=1)*(xlRTTYEQCL=$D190)*(xlRTEQTYPE=$E190),0))</f>
        <v>DIST_RAD1</v>
      </c>
      <c r="Y190" s="7" t="str">
        <f t="array" ref="Y190">INDEX(xlRTTYNAME,MATCH(1,(xlRTTYENDU=2)*(xlRTTYEQCL=$F190)*(xlRTEQTYPE=$G190),0))</f>
        <v>CENT_AIR1</v>
      </c>
    </row>
    <row r="191" spans="2:25" x14ac:dyDescent="0.2">
      <c r="B191" s="5">
        <v>5</v>
      </c>
      <c r="C191" s="5">
        <v>1</v>
      </c>
      <c r="D191" s="5">
        <v>8</v>
      </c>
      <c r="E191" s="5">
        <v>26</v>
      </c>
      <c r="F191" s="5">
        <v>2</v>
      </c>
      <c r="G191" s="31">
        <v>4</v>
      </c>
      <c r="H191" s="31">
        <v>2020</v>
      </c>
      <c r="I191" s="96">
        <v>2050</v>
      </c>
      <c r="J191" s="142">
        <v>1.0838000000000001</v>
      </c>
      <c r="K191" s="142">
        <v>1.0465</v>
      </c>
      <c r="L191" s="142">
        <v>0.76639999999999997</v>
      </c>
      <c r="M191" s="142">
        <v>0.96250000000000002</v>
      </c>
      <c r="N191" s="142">
        <v>0.75670000000000004</v>
      </c>
      <c r="O191" s="142">
        <v>1.0538000000000001</v>
      </c>
      <c r="P191" s="26">
        <v>8985.5224212633893</v>
      </c>
      <c r="Q191" s="35">
        <f t="array" ref="Q191">SUM(IF(($S191&gt;=4)*($C191='TaxCred&amp;Subs'!$D$114:$D$121)*($H191='TaxCred&amp;Subs'!$C$114:$C$121)*($H191&lt;='TaxCred&amp;Subs'!$C$123),'TaxCred&amp;Subs'!$E$114:$E$121,0))</f>
        <v>0</v>
      </c>
      <c r="R191" s="143">
        <v>0</v>
      </c>
      <c r="S191" s="5">
        <v>2</v>
      </c>
      <c r="T191" s="5" t="s">
        <v>220</v>
      </c>
      <c r="V191" s="7" t="str">
        <f t="array" ref="V191">INDEX(xlRTCLNAME,MATCH(1,(xlRTCLENDU=1)*(xlRTCLEQCL=$D191),0))</f>
        <v>DIST_RAD</v>
      </c>
      <c r="W191" s="7" t="str">
        <f t="array" ref="W191">INDEX(xlRTCLNAME,MATCH(1,(xlRTCLENDU=2)*(xlRTCLEQCL=$F191),0))</f>
        <v>CENT_AIR</v>
      </c>
      <c r="X191" s="7" t="str">
        <f t="array" ref="X191">INDEX(xlRTTYNAME,MATCH(1,(xlRTTYENDU=1)*(xlRTTYEQCL=$D191)*(xlRTEQTYPE=$E191),0))</f>
        <v>DIST_RAD1</v>
      </c>
      <c r="Y191" s="7" t="str">
        <f t="array" ref="Y191">INDEX(xlRTTYNAME,MATCH(1,(xlRTTYENDU=2)*(xlRTTYEQCL=$F191)*(xlRTEQTYPE=$G191),0))</f>
        <v>CENT_AIR1</v>
      </c>
    </row>
    <row r="192" spans="2:25" x14ac:dyDescent="0.2">
      <c r="B192" s="5">
        <v>6</v>
      </c>
      <c r="C192" s="5">
        <v>1</v>
      </c>
      <c r="D192" s="5">
        <v>8</v>
      </c>
      <c r="E192" s="5">
        <v>26</v>
      </c>
      <c r="F192" s="5">
        <v>2</v>
      </c>
      <c r="G192" s="31">
        <v>4</v>
      </c>
      <c r="H192" s="31">
        <v>2020</v>
      </c>
      <c r="I192" s="96">
        <v>2050</v>
      </c>
      <c r="J192" s="142">
        <v>1.089</v>
      </c>
      <c r="K192" s="142">
        <v>1.0583</v>
      </c>
      <c r="L192" s="142">
        <v>0.9</v>
      </c>
      <c r="M192" s="142">
        <v>0.95589999999999997</v>
      </c>
      <c r="N192" s="142">
        <v>0.88849999999999996</v>
      </c>
      <c r="O192" s="142">
        <v>1.0538000000000001</v>
      </c>
      <c r="P192" s="26">
        <v>8595.6074875260874</v>
      </c>
      <c r="Q192" s="35">
        <f t="array" ref="Q192">SUM(IF(($S192&gt;=4)*($C192='TaxCred&amp;Subs'!$D$114:$D$121)*($H192='TaxCred&amp;Subs'!$C$114:$C$121)*($H192&lt;='TaxCred&amp;Subs'!$C$123),'TaxCred&amp;Subs'!$E$114:$E$121,0))</f>
        <v>0</v>
      </c>
      <c r="R192" s="143">
        <v>0</v>
      </c>
      <c r="S192" s="5">
        <v>2</v>
      </c>
      <c r="T192" s="5" t="s">
        <v>220</v>
      </c>
      <c r="V192" s="7" t="str">
        <f t="array" ref="V192">INDEX(xlRTCLNAME,MATCH(1,(xlRTCLENDU=1)*(xlRTCLEQCL=$D192),0))</f>
        <v>DIST_RAD</v>
      </c>
      <c r="W192" s="7" t="str">
        <f t="array" ref="W192">INDEX(xlRTCLNAME,MATCH(1,(xlRTCLENDU=2)*(xlRTCLEQCL=$F192),0))</f>
        <v>CENT_AIR</v>
      </c>
      <c r="X192" s="7" t="str">
        <f t="array" ref="X192">INDEX(xlRTTYNAME,MATCH(1,(xlRTTYENDU=1)*(xlRTTYEQCL=$D192)*(xlRTEQTYPE=$E192),0))</f>
        <v>DIST_RAD1</v>
      </c>
      <c r="Y192" s="7" t="str">
        <f t="array" ref="Y192">INDEX(xlRTTYNAME,MATCH(1,(xlRTTYENDU=2)*(xlRTTYEQCL=$F192)*(xlRTEQTYPE=$G192),0))</f>
        <v>CENT_AIR1</v>
      </c>
    </row>
    <row r="193" spans="2:25" x14ac:dyDescent="0.2">
      <c r="B193" s="5">
        <v>7</v>
      </c>
      <c r="C193" s="5">
        <v>1</v>
      </c>
      <c r="D193" s="5">
        <v>8</v>
      </c>
      <c r="E193" s="5">
        <v>26</v>
      </c>
      <c r="F193" s="5">
        <v>2</v>
      </c>
      <c r="G193" s="31">
        <v>4</v>
      </c>
      <c r="H193" s="31">
        <v>2020</v>
      </c>
      <c r="I193" s="96">
        <v>2050</v>
      </c>
      <c r="J193" s="142">
        <v>1.0867</v>
      </c>
      <c r="K193" s="142">
        <v>1.0682</v>
      </c>
      <c r="L193" s="142">
        <v>0.81220000000000003</v>
      </c>
      <c r="M193" s="142">
        <v>0.87150000000000005</v>
      </c>
      <c r="N193" s="142">
        <v>0.87180000000000002</v>
      </c>
      <c r="O193" s="142">
        <v>1.0538000000000001</v>
      </c>
      <c r="P193" s="26">
        <v>8457.1204593366328</v>
      </c>
      <c r="Q193" s="35">
        <f t="array" ref="Q193">SUM(IF(($S193&gt;=4)*($C193='TaxCred&amp;Subs'!$D$114:$D$121)*($H193='TaxCred&amp;Subs'!$C$114:$C$121)*($H193&lt;='TaxCred&amp;Subs'!$C$123),'TaxCred&amp;Subs'!$E$114:$E$121,0))</f>
        <v>0</v>
      </c>
      <c r="R193" s="143">
        <v>0</v>
      </c>
      <c r="S193" s="5">
        <v>2</v>
      </c>
      <c r="T193" s="5" t="s">
        <v>220</v>
      </c>
      <c r="V193" s="7" t="str">
        <f t="array" ref="V193">INDEX(xlRTCLNAME,MATCH(1,(xlRTCLENDU=1)*(xlRTCLEQCL=$D193),0))</f>
        <v>DIST_RAD</v>
      </c>
      <c r="W193" s="7" t="str">
        <f t="array" ref="W193">INDEX(xlRTCLNAME,MATCH(1,(xlRTCLENDU=2)*(xlRTCLEQCL=$F193),0))</f>
        <v>CENT_AIR</v>
      </c>
      <c r="X193" s="7" t="str">
        <f t="array" ref="X193">INDEX(xlRTTYNAME,MATCH(1,(xlRTTYENDU=1)*(xlRTTYEQCL=$D193)*(xlRTEQTYPE=$E193),0))</f>
        <v>DIST_RAD1</v>
      </c>
      <c r="Y193" s="7" t="str">
        <f t="array" ref="Y193">INDEX(xlRTTYNAME,MATCH(1,(xlRTTYENDU=2)*(xlRTTYEQCL=$F193)*(xlRTEQTYPE=$G193),0))</f>
        <v>CENT_AIR1</v>
      </c>
    </row>
    <row r="194" spans="2:25" x14ac:dyDescent="0.2">
      <c r="B194" s="5">
        <v>8</v>
      </c>
      <c r="C194" s="5">
        <v>1</v>
      </c>
      <c r="D194" s="5">
        <v>8</v>
      </c>
      <c r="E194" s="5">
        <v>26</v>
      </c>
      <c r="F194" s="5">
        <v>2</v>
      </c>
      <c r="G194" s="31">
        <v>4</v>
      </c>
      <c r="H194" s="31">
        <v>2020</v>
      </c>
      <c r="I194" s="96">
        <v>2050</v>
      </c>
      <c r="J194" s="142">
        <v>1.0820000000000001</v>
      </c>
      <c r="K194" s="142">
        <v>1.0832999999999999</v>
      </c>
      <c r="L194" s="142">
        <v>0.5806</v>
      </c>
      <c r="M194" s="142">
        <v>0.91349999999999998</v>
      </c>
      <c r="N194" s="142">
        <v>0.86439999999999995</v>
      </c>
      <c r="O194" s="142">
        <v>1.0538000000000001</v>
      </c>
      <c r="P194" s="26">
        <v>12813.41144316027</v>
      </c>
      <c r="Q194" s="35">
        <f t="array" ref="Q194">SUM(IF(($S194&gt;=4)*($C194='TaxCred&amp;Subs'!$D$114:$D$121)*($H194='TaxCred&amp;Subs'!$C$114:$C$121)*($H194&lt;='TaxCred&amp;Subs'!$C$123),'TaxCred&amp;Subs'!$E$114:$E$121,0))</f>
        <v>0</v>
      </c>
      <c r="R194" s="143">
        <v>0</v>
      </c>
      <c r="S194" s="5">
        <v>2</v>
      </c>
      <c r="T194" s="5" t="s">
        <v>220</v>
      </c>
      <c r="V194" s="7" t="str">
        <f t="array" ref="V194">INDEX(xlRTCLNAME,MATCH(1,(xlRTCLENDU=1)*(xlRTCLEQCL=$D194),0))</f>
        <v>DIST_RAD</v>
      </c>
      <c r="W194" s="7" t="str">
        <f t="array" ref="W194">INDEX(xlRTCLNAME,MATCH(1,(xlRTCLENDU=2)*(xlRTCLEQCL=$F194),0))</f>
        <v>CENT_AIR</v>
      </c>
      <c r="X194" s="7" t="str">
        <f t="array" ref="X194">INDEX(xlRTTYNAME,MATCH(1,(xlRTTYENDU=1)*(xlRTTYEQCL=$D194)*(xlRTEQTYPE=$E194),0))</f>
        <v>DIST_RAD1</v>
      </c>
      <c r="Y194" s="7" t="str">
        <f t="array" ref="Y194">INDEX(xlRTTYNAME,MATCH(1,(xlRTTYENDU=2)*(xlRTTYEQCL=$F194)*(xlRTEQTYPE=$G194),0))</f>
        <v>CENT_AIR1</v>
      </c>
    </row>
    <row r="195" spans="2:25" x14ac:dyDescent="0.2">
      <c r="B195" s="5">
        <v>9</v>
      </c>
      <c r="C195" s="5">
        <v>1</v>
      </c>
      <c r="D195" s="5">
        <v>8</v>
      </c>
      <c r="E195" s="5">
        <v>26</v>
      </c>
      <c r="F195" s="5">
        <v>2</v>
      </c>
      <c r="G195" s="31">
        <v>4</v>
      </c>
      <c r="H195" s="31">
        <v>2020</v>
      </c>
      <c r="I195" s="96">
        <v>2050</v>
      </c>
      <c r="J195" s="142">
        <v>1.0414000000000001</v>
      </c>
      <c r="K195" s="142">
        <v>1.07</v>
      </c>
      <c r="L195" s="142">
        <v>0.9869</v>
      </c>
      <c r="M195" s="142">
        <v>0.95209999999999995</v>
      </c>
      <c r="N195" s="142">
        <v>1.026</v>
      </c>
      <c r="O195" s="142">
        <v>1.0538000000000001</v>
      </c>
      <c r="P195" s="26">
        <v>13144.166869709843</v>
      </c>
      <c r="Q195" s="35">
        <f t="array" ref="Q195">SUM(IF(($S195&gt;=4)*($C195='TaxCred&amp;Subs'!$D$114:$D$121)*($H195='TaxCred&amp;Subs'!$C$114:$C$121)*($H195&lt;='TaxCred&amp;Subs'!$C$123),'TaxCred&amp;Subs'!$E$114:$E$121,0))</f>
        <v>0</v>
      </c>
      <c r="R195" s="143">
        <v>0</v>
      </c>
      <c r="S195" s="5">
        <v>2</v>
      </c>
      <c r="T195" s="5" t="s">
        <v>220</v>
      </c>
      <c r="V195" s="7" t="str">
        <f t="array" ref="V195">INDEX(xlRTCLNAME,MATCH(1,(xlRTCLENDU=1)*(xlRTCLEQCL=$D195),0))</f>
        <v>DIST_RAD</v>
      </c>
      <c r="W195" s="7" t="str">
        <f t="array" ref="W195">INDEX(xlRTCLNAME,MATCH(1,(xlRTCLENDU=2)*(xlRTCLEQCL=$F195),0))</f>
        <v>CENT_AIR</v>
      </c>
      <c r="X195" s="7" t="str">
        <f t="array" ref="X195">INDEX(xlRTTYNAME,MATCH(1,(xlRTTYENDU=1)*(xlRTTYEQCL=$D195)*(xlRTEQTYPE=$E195),0))</f>
        <v>DIST_RAD1</v>
      </c>
      <c r="Y195" s="7" t="str">
        <f t="array" ref="Y195">INDEX(xlRTTYNAME,MATCH(1,(xlRTTYENDU=2)*(xlRTTYEQCL=$F195)*(xlRTEQTYPE=$G195),0))</f>
        <v>CENT_AIR1</v>
      </c>
    </row>
    <row r="196" spans="2:25" x14ac:dyDescent="0.2">
      <c r="B196" s="5">
        <v>1</v>
      </c>
      <c r="C196" s="5">
        <v>1</v>
      </c>
      <c r="D196" s="5">
        <v>9</v>
      </c>
      <c r="E196" s="31">
        <v>29</v>
      </c>
      <c r="F196" s="5">
        <v>2</v>
      </c>
      <c r="G196" s="31">
        <v>4</v>
      </c>
      <c r="H196" s="31">
        <v>2020</v>
      </c>
      <c r="I196" s="96">
        <v>2050</v>
      </c>
      <c r="J196" s="142">
        <v>1.0592999999999999</v>
      </c>
      <c r="K196" s="142">
        <v>1.0889</v>
      </c>
      <c r="L196" s="142">
        <v>0.57969999999999999</v>
      </c>
      <c r="M196" s="142">
        <v>1.0176000000000001</v>
      </c>
      <c r="N196" s="142">
        <v>0.8095</v>
      </c>
      <c r="O196" s="142">
        <v>1.0538000000000001</v>
      </c>
      <c r="P196" s="26">
        <v>14078.618176425101</v>
      </c>
      <c r="Q196" s="35">
        <f t="array" ref="Q196">SUM(IF(($S196&gt;=4)*($C196='TaxCred&amp;Subs'!$D$114:$D$121)*($H196='TaxCred&amp;Subs'!$C$114:$C$121)*($H196&lt;='TaxCred&amp;Subs'!$C$123),'TaxCred&amp;Subs'!$E$114:$E$121,0))</f>
        <v>0</v>
      </c>
      <c r="R196" s="143">
        <v>0</v>
      </c>
      <c r="S196" s="5">
        <v>2</v>
      </c>
      <c r="T196" s="5" t="s">
        <v>220</v>
      </c>
      <c r="V196" s="7" t="str">
        <f t="array" ref="V196">INDEX(xlRTCLNAME,MATCH(1,(xlRTCLENDU=1)*(xlRTCLEQCL=$D196),0))</f>
        <v>WOOD_HT</v>
      </c>
      <c r="W196" s="7" t="str">
        <f t="array" ref="W196">INDEX(xlRTCLNAME,MATCH(1,(xlRTCLENDU=2)*(xlRTCLEQCL=$F196),0))</f>
        <v>CENT_AIR</v>
      </c>
      <c r="X196" s="7" t="str">
        <f t="array" ref="X196">INDEX(xlRTTYNAME,MATCH(1,(xlRTTYENDU=1)*(xlRTTYEQCL=$D196)*(xlRTEQTYPE=$E196),0))</f>
        <v>WOOD_HT2</v>
      </c>
      <c r="Y196" s="7" t="str">
        <f t="array" ref="Y196">INDEX(xlRTTYNAME,MATCH(1,(xlRTTYENDU=2)*(xlRTTYEQCL=$F196)*(xlRTEQTYPE=$G196),0))</f>
        <v>CENT_AIR1</v>
      </c>
    </row>
    <row r="197" spans="2:25" x14ac:dyDescent="0.2">
      <c r="B197" s="5">
        <v>2</v>
      </c>
      <c r="C197" s="5">
        <v>1</v>
      </c>
      <c r="D197" s="5">
        <v>9</v>
      </c>
      <c r="E197" s="31">
        <v>29</v>
      </c>
      <c r="F197" s="5">
        <v>2</v>
      </c>
      <c r="G197" s="31">
        <v>4</v>
      </c>
      <c r="H197" s="31">
        <v>2020</v>
      </c>
      <c r="I197" s="96">
        <v>2050</v>
      </c>
      <c r="J197" s="142">
        <v>1.0717000000000001</v>
      </c>
      <c r="K197" s="142">
        <v>1.0895999999999999</v>
      </c>
      <c r="L197" s="142">
        <v>0.6885</v>
      </c>
      <c r="M197" s="142">
        <v>0.88419999999999999</v>
      </c>
      <c r="N197" s="142">
        <v>0.92630000000000001</v>
      </c>
      <c r="O197" s="142">
        <v>1.0538000000000001</v>
      </c>
      <c r="P197" s="26">
        <v>13668.535228873799</v>
      </c>
      <c r="Q197" s="35">
        <f t="array" ref="Q197">SUM(IF(($S197&gt;=4)*($C197='TaxCred&amp;Subs'!$D$114:$D$121)*($H197='TaxCred&amp;Subs'!$C$114:$C$121)*($H197&lt;='TaxCred&amp;Subs'!$C$123),'TaxCred&amp;Subs'!$E$114:$E$121,0))</f>
        <v>0</v>
      </c>
      <c r="R197" s="143">
        <v>0</v>
      </c>
      <c r="S197" s="5">
        <v>2</v>
      </c>
      <c r="T197" s="5" t="s">
        <v>220</v>
      </c>
      <c r="V197" s="7" t="str">
        <f t="array" ref="V197">INDEX(xlRTCLNAME,MATCH(1,(xlRTCLENDU=1)*(xlRTCLEQCL=$D197),0))</f>
        <v>WOOD_HT</v>
      </c>
      <c r="W197" s="7" t="str">
        <f t="array" ref="W197">INDEX(xlRTCLNAME,MATCH(1,(xlRTCLENDU=2)*(xlRTCLEQCL=$F197),0))</f>
        <v>CENT_AIR</v>
      </c>
      <c r="X197" s="7" t="str">
        <f t="array" ref="X197">INDEX(xlRTTYNAME,MATCH(1,(xlRTTYENDU=1)*(xlRTTYEQCL=$D197)*(xlRTEQTYPE=$E197),0))</f>
        <v>WOOD_HT2</v>
      </c>
      <c r="Y197" s="7" t="str">
        <f t="array" ref="Y197">INDEX(xlRTTYNAME,MATCH(1,(xlRTTYENDU=2)*(xlRTTYEQCL=$F197)*(xlRTEQTYPE=$G197),0))</f>
        <v>CENT_AIR1</v>
      </c>
    </row>
    <row r="198" spans="2:25" x14ac:dyDescent="0.2">
      <c r="B198" s="5">
        <v>3</v>
      </c>
      <c r="C198" s="5">
        <v>1</v>
      </c>
      <c r="D198" s="5">
        <v>9</v>
      </c>
      <c r="E198" s="31">
        <v>29</v>
      </c>
      <c r="F198" s="5">
        <v>2</v>
      </c>
      <c r="G198" s="31">
        <v>4</v>
      </c>
      <c r="H198" s="31">
        <v>2020</v>
      </c>
      <c r="I198" s="96">
        <v>2050</v>
      </c>
      <c r="J198" s="142">
        <v>1.0821000000000001</v>
      </c>
      <c r="K198" s="142">
        <v>1.0769</v>
      </c>
      <c r="L198" s="142">
        <v>0.5655</v>
      </c>
      <c r="M198" s="142">
        <v>0.95530000000000004</v>
      </c>
      <c r="N198" s="142">
        <v>0.91400000000000003</v>
      </c>
      <c r="O198" s="142">
        <v>1.0538000000000001</v>
      </c>
      <c r="P198" s="26">
        <v>12941.142197315594</v>
      </c>
      <c r="Q198" s="35">
        <f t="array" ref="Q198">SUM(IF(($S198&gt;=4)*($C198='TaxCred&amp;Subs'!$D$114:$D$121)*($H198='TaxCred&amp;Subs'!$C$114:$C$121)*($H198&lt;='TaxCred&amp;Subs'!$C$123),'TaxCred&amp;Subs'!$E$114:$E$121,0))</f>
        <v>0</v>
      </c>
      <c r="R198" s="143">
        <v>0</v>
      </c>
      <c r="S198" s="5">
        <v>2</v>
      </c>
      <c r="T198" s="5" t="s">
        <v>220</v>
      </c>
      <c r="V198" s="7" t="str">
        <f t="array" ref="V198">INDEX(xlRTCLNAME,MATCH(1,(xlRTCLENDU=1)*(xlRTCLEQCL=$D198),0))</f>
        <v>WOOD_HT</v>
      </c>
      <c r="W198" s="7" t="str">
        <f t="array" ref="W198">INDEX(xlRTCLNAME,MATCH(1,(xlRTCLENDU=2)*(xlRTCLEQCL=$F198),0))</f>
        <v>CENT_AIR</v>
      </c>
      <c r="X198" s="7" t="str">
        <f t="array" ref="X198">INDEX(xlRTTYNAME,MATCH(1,(xlRTTYENDU=1)*(xlRTTYEQCL=$D198)*(xlRTEQTYPE=$E198),0))</f>
        <v>WOOD_HT2</v>
      </c>
      <c r="Y198" s="7" t="str">
        <f t="array" ref="Y198">INDEX(xlRTTYNAME,MATCH(1,(xlRTTYENDU=2)*(xlRTTYEQCL=$F198)*(xlRTEQTYPE=$G198),0))</f>
        <v>CENT_AIR1</v>
      </c>
    </row>
    <row r="199" spans="2:25" x14ac:dyDescent="0.2">
      <c r="B199" s="5">
        <v>4</v>
      </c>
      <c r="C199" s="5">
        <v>1</v>
      </c>
      <c r="D199" s="5">
        <v>9</v>
      </c>
      <c r="E199" s="31">
        <v>29</v>
      </c>
      <c r="F199" s="5">
        <v>2</v>
      </c>
      <c r="G199" s="31">
        <v>4</v>
      </c>
      <c r="H199" s="31">
        <v>2020</v>
      </c>
      <c r="I199" s="96">
        <v>2050</v>
      </c>
      <c r="J199" s="142">
        <v>1.0812999999999999</v>
      </c>
      <c r="K199" s="142">
        <v>1.0769</v>
      </c>
      <c r="L199" s="142">
        <v>0.55759999999999998</v>
      </c>
      <c r="M199" s="142">
        <v>0.90200000000000002</v>
      </c>
      <c r="N199" s="142">
        <v>0.85660000000000003</v>
      </c>
      <c r="O199" s="142">
        <v>1.0538000000000001</v>
      </c>
      <c r="P199" s="26">
        <v>10510.224265601661</v>
      </c>
      <c r="Q199" s="35">
        <f t="array" ref="Q199">SUM(IF(($S199&gt;=4)*($C199='TaxCred&amp;Subs'!$D$114:$D$121)*($H199='TaxCred&amp;Subs'!$C$114:$C$121)*($H199&lt;='TaxCred&amp;Subs'!$C$123),'TaxCred&amp;Subs'!$E$114:$E$121,0))</f>
        <v>0</v>
      </c>
      <c r="R199" s="143">
        <v>0</v>
      </c>
      <c r="S199" s="5">
        <v>2</v>
      </c>
      <c r="T199" s="5" t="s">
        <v>220</v>
      </c>
      <c r="V199" s="7" t="str">
        <f t="array" ref="V199">INDEX(xlRTCLNAME,MATCH(1,(xlRTCLENDU=1)*(xlRTCLEQCL=$D199),0))</f>
        <v>WOOD_HT</v>
      </c>
      <c r="W199" s="7" t="str">
        <f t="array" ref="W199">INDEX(xlRTCLNAME,MATCH(1,(xlRTCLENDU=2)*(xlRTCLEQCL=$F199),0))</f>
        <v>CENT_AIR</v>
      </c>
      <c r="X199" s="7" t="str">
        <f t="array" ref="X199">INDEX(xlRTTYNAME,MATCH(1,(xlRTTYENDU=1)*(xlRTTYEQCL=$D199)*(xlRTEQTYPE=$E199),0))</f>
        <v>WOOD_HT2</v>
      </c>
      <c r="Y199" s="7" t="str">
        <f t="array" ref="Y199">INDEX(xlRTTYNAME,MATCH(1,(xlRTTYENDU=2)*(xlRTTYEQCL=$F199)*(xlRTEQTYPE=$G199),0))</f>
        <v>CENT_AIR1</v>
      </c>
    </row>
    <row r="200" spans="2:25" x14ac:dyDescent="0.2">
      <c r="B200" s="5">
        <v>5</v>
      </c>
      <c r="C200" s="5">
        <v>1</v>
      </c>
      <c r="D200" s="5">
        <v>9</v>
      </c>
      <c r="E200" s="31">
        <v>29</v>
      </c>
      <c r="F200" s="5">
        <v>2</v>
      </c>
      <c r="G200" s="31">
        <v>4</v>
      </c>
      <c r="H200" s="31">
        <v>2020</v>
      </c>
      <c r="I200" s="96">
        <v>2050</v>
      </c>
      <c r="J200" s="142">
        <v>1.0838000000000001</v>
      </c>
      <c r="K200" s="142">
        <v>1.0465</v>
      </c>
      <c r="L200" s="142">
        <v>0.76639999999999997</v>
      </c>
      <c r="M200" s="142">
        <v>0.96250000000000002</v>
      </c>
      <c r="N200" s="142">
        <v>0.75670000000000004</v>
      </c>
      <c r="O200" s="142">
        <v>1.0538000000000001</v>
      </c>
      <c r="P200" s="26">
        <v>8985.5224212633893</v>
      </c>
      <c r="Q200" s="35">
        <f t="array" ref="Q200">SUM(IF(($S200&gt;=4)*($C200='TaxCred&amp;Subs'!$D$114:$D$121)*($H200='TaxCred&amp;Subs'!$C$114:$C$121)*($H200&lt;='TaxCred&amp;Subs'!$C$123),'TaxCred&amp;Subs'!$E$114:$E$121,0))</f>
        <v>0</v>
      </c>
      <c r="R200" s="143">
        <v>0</v>
      </c>
      <c r="S200" s="5">
        <v>2</v>
      </c>
      <c r="T200" s="5" t="s">
        <v>220</v>
      </c>
      <c r="V200" s="7" t="str">
        <f t="array" ref="V200">INDEX(xlRTCLNAME,MATCH(1,(xlRTCLENDU=1)*(xlRTCLEQCL=$D200),0))</f>
        <v>WOOD_HT</v>
      </c>
      <c r="W200" s="7" t="str">
        <f t="array" ref="W200">INDEX(xlRTCLNAME,MATCH(1,(xlRTCLENDU=2)*(xlRTCLEQCL=$F200),0))</f>
        <v>CENT_AIR</v>
      </c>
      <c r="X200" s="7" t="str">
        <f t="array" ref="X200">INDEX(xlRTTYNAME,MATCH(1,(xlRTTYENDU=1)*(xlRTTYEQCL=$D200)*(xlRTEQTYPE=$E200),0))</f>
        <v>WOOD_HT2</v>
      </c>
      <c r="Y200" s="7" t="str">
        <f t="array" ref="Y200">INDEX(xlRTTYNAME,MATCH(1,(xlRTTYENDU=2)*(xlRTTYEQCL=$F200)*(xlRTEQTYPE=$G200),0))</f>
        <v>CENT_AIR1</v>
      </c>
    </row>
    <row r="201" spans="2:25" x14ac:dyDescent="0.2">
      <c r="B201" s="5">
        <v>6</v>
      </c>
      <c r="C201" s="5">
        <v>1</v>
      </c>
      <c r="D201" s="5">
        <v>9</v>
      </c>
      <c r="E201" s="31">
        <v>29</v>
      </c>
      <c r="F201" s="5">
        <v>2</v>
      </c>
      <c r="G201" s="31">
        <v>4</v>
      </c>
      <c r="H201" s="31">
        <v>2020</v>
      </c>
      <c r="I201" s="96">
        <v>2050</v>
      </c>
      <c r="J201" s="142">
        <v>1.089</v>
      </c>
      <c r="K201" s="142">
        <v>1.0583</v>
      </c>
      <c r="L201" s="142">
        <v>0.9</v>
      </c>
      <c r="M201" s="142">
        <v>0.95589999999999997</v>
      </c>
      <c r="N201" s="142">
        <v>0.88849999999999996</v>
      </c>
      <c r="O201" s="142">
        <v>1.0538000000000001</v>
      </c>
      <c r="P201" s="26">
        <v>8595.6074875260874</v>
      </c>
      <c r="Q201" s="35">
        <f t="array" ref="Q201">SUM(IF(($S201&gt;=4)*($C201='TaxCred&amp;Subs'!$D$114:$D$121)*($H201='TaxCred&amp;Subs'!$C$114:$C$121)*($H201&lt;='TaxCred&amp;Subs'!$C$123),'TaxCred&amp;Subs'!$E$114:$E$121,0))</f>
        <v>0</v>
      </c>
      <c r="R201" s="143">
        <v>0</v>
      </c>
      <c r="S201" s="5">
        <v>2</v>
      </c>
      <c r="T201" s="5" t="s">
        <v>220</v>
      </c>
      <c r="V201" s="7" t="str">
        <f t="array" ref="V201">INDEX(xlRTCLNAME,MATCH(1,(xlRTCLENDU=1)*(xlRTCLEQCL=$D201),0))</f>
        <v>WOOD_HT</v>
      </c>
      <c r="W201" s="7" t="str">
        <f t="array" ref="W201">INDEX(xlRTCLNAME,MATCH(1,(xlRTCLENDU=2)*(xlRTCLEQCL=$F201),0))</f>
        <v>CENT_AIR</v>
      </c>
      <c r="X201" s="7" t="str">
        <f t="array" ref="X201">INDEX(xlRTTYNAME,MATCH(1,(xlRTTYENDU=1)*(xlRTTYEQCL=$D201)*(xlRTEQTYPE=$E201),0))</f>
        <v>WOOD_HT2</v>
      </c>
      <c r="Y201" s="7" t="str">
        <f t="array" ref="Y201">INDEX(xlRTTYNAME,MATCH(1,(xlRTTYENDU=2)*(xlRTTYEQCL=$F201)*(xlRTEQTYPE=$G201),0))</f>
        <v>CENT_AIR1</v>
      </c>
    </row>
    <row r="202" spans="2:25" x14ac:dyDescent="0.2">
      <c r="B202" s="5">
        <v>7</v>
      </c>
      <c r="C202" s="5">
        <v>1</v>
      </c>
      <c r="D202" s="5">
        <v>9</v>
      </c>
      <c r="E202" s="31">
        <v>29</v>
      </c>
      <c r="F202" s="5">
        <v>2</v>
      </c>
      <c r="G202" s="31">
        <v>4</v>
      </c>
      <c r="H202" s="31">
        <v>2020</v>
      </c>
      <c r="I202" s="96">
        <v>2050</v>
      </c>
      <c r="J202" s="142">
        <v>1.0867</v>
      </c>
      <c r="K202" s="142">
        <v>1.0682</v>
      </c>
      <c r="L202" s="142">
        <v>0.81220000000000003</v>
      </c>
      <c r="M202" s="142">
        <v>0.87150000000000005</v>
      </c>
      <c r="N202" s="142">
        <v>0.87180000000000002</v>
      </c>
      <c r="O202" s="142">
        <v>1.0538000000000001</v>
      </c>
      <c r="P202" s="26">
        <v>8457.1204593366328</v>
      </c>
      <c r="Q202" s="35">
        <f t="array" ref="Q202">SUM(IF(($S202&gt;=4)*($C202='TaxCred&amp;Subs'!$D$114:$D$121)*($H202='TaxCred&amp;Subs'!$C$114:$C$121)*($H202&lt;='TaxCred&amp;Subs'!$C$123),'TaxCred&amp;Subs'!$E$114:$E$121,0))</f>
        <v>0</v>
      </c>
      <c r="R202" s="143">
        <v>0</v>
      </c>
      <c r="S202" s="5">
        <v>2</v>
      </c>
      <c r="T202" s="5" t="s">
        <v>220</v>
      </c>
      <c r="V202" s="7" t="str">
        <f t="array" ref="V202">INDEX(xlRTCLNAME,MATCH(1,(xlRTCLENDU=1)*(xlRTCLEQCL=$D202),0))</f>
        <v>WOOD_HT</v>
      </c>
      <c r="W202" s="7" t="str">
        <f t="array" ref="W202">INDEX(xlRTCLNAME,MATCH(1,(xlRTCLENDU=2)*(xlRTCLEQCL=$F202),0))</f>
        <v>CENT_AIR</v>
      </c>
      <c r="X202" s="7" t="str">
        <f t="array" ref="X202">INDEX(xlRTTYNAME,MATCH(1,(xlRTTYENDU=1)*(xlRTTYEQCL=$D202)*(xlRTEQTYPE=$E202),0))</f>
        <v>WOOD_HT2</v>
      </c>
      <c r="Y202" s="7" t="str">
        <f t="array" ref="Y202">INDEX(xlRTTYNAME,MATCH(1,(xlRTTYENDU=2)*(xlRTTYEQCL=$F202)*(xlRTEQTYPE=$G202),0))</f>
        <v>CENT_AIR1</v>
      </c>
    </row>
    <row r="203" spans="2:25" x14ac:dyDescent="0.2">
      <c r="B203" s="5">
        <v>8</v>
      </c>
      <c r="C203" s="5">
        <v>1</v>
      </c>
      <c r="D203" s="5">
        <v>9</v>
      </c>
      <c r="E203" s="31">
        <v>29</v>
      </c>
      <c r="F203" s="5">
        <v>2</v>
      </c>
      <c r="G203" s="31">
        <v>4</v>
      </c>
      <c r="H203" s="31">
        <v>2020</v>
      </c>
      <c r="I203" s="96">
        <v>2050</v>
      </c>
      <c r="J203" s="142">
        <v>1.0820000000000001</v>
      </c>
      <c r="K203" s="142">
        <v>1.0832999999999999</v>
      </c>
      <c r="L203" s="142">
        <v>0.5806</v>
      </c>
      <c r="M203" s="142">
        <v>0.91349999999999998</v>
      </c>
      <c r="N203" s="142">
        <v>0.86439999999999995</v>
      </c>
      <c r="O203" s="142">
        <v>1.0538000000000001</v>
      </c>
      <c r="P203" s="26">
        <v>12813.41144316027</v>
      </c>
      <c r="Q203" s="35">
        <f t="array" ref="Q203">SUM(IF(($S203&gt;=4)*($C203='TaxCred&amp;Subs'!$D$114:$D$121)*($H203='TaxCred&amp;Subs'!$C$114:$C$121)*($H203&lt;='TaxCred&amp;Subs'!$C$123),'TaxCred&amp;Subs'!$E$114:$E$121,0))</f>
        <v>0</v>
      </c>
      <c r="R203" s="143">
        <v>0</v>
      </c>
      <c r="S203" s="5">
        <v>2</v>
      </c>
      <c r="T203" s="5" t="s">
        <v>220</v>
      </c>
      <c r="V203" s="7" t="str">
        <f t="array" ref="V203">INDEX(xlRTCLNAME,MATCH(1,(xlRTCLENDU=1)*(xlRTCLEQCL=$D203),0))</f>
        <v>WOOD_HT</v>
      </c>
      <c r="W203" s="7" t="str">
        <f t="array" ref="W203">INDEX(xlRTCLNAME,MATCH(1,(xlRTCLENDU=2)*(xlRTCLEQCL=$F203),0))</f>
        <v>CENT_AIR</v>
      </c>
      <c r="X203" s="7" t="str">
        <f t="array" ref="X203">INDEX(xlRTTYNAME,MATCH(1,(xlRTTYENDU=1)*(xlRTTYEQCL=$D203)*(xlRTEQTYPE=$E203),0))</f>
        <v>WOOD_HT2</v>
      </c>
      <c r="Y203" s="7" t="str">
        <f t="array" ref="Y203">INDEX(xlRTTYNAME,MATCH(1,(xlRTTYENDU=2)*(xlRTTYEQCL=$F203)*(xlRTEQTYPE=$G203),0))</f>
        <v>CENT_AIR1</v>
      </c>
    </row>
    <row r="204" spans="2:25" x14ac:dyDescent="0.2">
      <c r="B204" s="5">
        <v>9</v>
      </c>
      <c r="C204" s="5">
        <v>1</v>
      </c>
      <c r="D204" s="5">
        <v>9</v>
      </c>
      <c r="E204" s="31">
        <v>29</v>
      </c>
      <c r="F204" s="5">
        <v>2</v>
      </c>
      <c r="G204" s="31">
        <v>4</v>
      </c>
      <c r="H204" s="31">
        <v>2020</v>
      </c>
      <c r="I204" s="96">
        <v>2050</v>
      </c>
      <c r="J204" s="142">
        <v>1.0414000000000001</v>
      </c>
      <c r="K204" s="142">
        <v>1.07</v>
      </c>
      <c r="L204" s="142">
        <v>0.9869</v>
      </c>
      <c r="M204" s="142">
        <v>0.95209999999999995</v>
      </c>
      <c r="N204" s="142">
        <v>1.026</v>
      </c>
      <c r="O204" s="142">
        <v>1.0538000000000001</v>
      </c>
      <c r="P204" s="26">
        <v>13144.166869709843</v>
      </c>
      <c r="Q204" s="35">
        <f t="array" ref="Q204">SUM(IF(($S204&gt;=4)*($C204='TaxCred&amp;Subs'!$D$114:$D$121)*($H204='TaxCred&amp;Subs'!$C$114:$C$121)*($H204&lt;='TaxCred&amp;Subs'!$C$123),'TaxCred&amp;Subs'!$E$114:$E$121,0))</f>
        <v>0</v>
      </c>
      <c r="R204" s="143">
        <v>0</v>
      </c>
      <c r="S204" s="5">
        <v>2</v>
      </c>
      <c r="T204" s="5" t="s">
        <v>220</v>
      </c>
      <c r="V204" s="7" t="str">
        <f t="array" ref="V204">INDEX(xlRTCLNAME,MATCH(1,(xlRTCLENDU=1)*(xlRTCLEQCL=$D204),0))</f>
        <v>WOOD_HT</v>
      </c>
      <c r="W204" s="7" t="str">
        <f t="array" ref="W204">INDEX(xlRTCLNAME,MATCH(1,(xlRTCLENDU=2)*(xlRTCLEQCL=$F204),0))</f>
        <v>CENT_AIR</v>
      </c>
      <c r="X204" s="7" t="str">
        <f t="array" ref="X204">INDEX(xlRTTYNAME,MATCH(1,(xlRTTYENDU=1)*(xlRTTYEQCL=$D204)*(xlRTEQTYPE=$E204),0))</f>
        <v>WOOD_HT2</v>
      </c>
      <c r="Y204" s="7" t="str">
        <f t="array" ref="Y204">INDEX(xlRTTYNAME,MATCH(1,(xlRTTYENDU=2)*(xlRTTYEQCL=$F204)*(xlRTEQTYPE=$G204),0))</f>
        <v>CENT_AIR1</v>
      </c>
    </row>
    <row r="205" spans="2:25" x14ac:dyDescent="0.2">
      <c r="B205" s="5">
        <v>1</v>
      </c>
      <c r="C205" s="5">
        <v>1</v>
      </c>
      <c r="D205" s="5">
        <v>10</v>
      </c>
      <c r="E205" s="31">
        <v>31</v>
      </c>
      <c r="F205" s="5">
        <v>4</v>
      </c>
      <c r="G205" s="31">
        <v>12</v>
      </c>
      <c r="H205" s="31">
        <v>2020</v>
      </c>
      <c r="I205" s="5">
        <v>2050</v>
      </c>
      <c r="J205" s="142">
        <v>1.1071</v>
      </c>
      <c r="K205" s="142">
        <v>1.0713999999999999</v>
      </c>
      <c r="L205" s="142">
        <v>0.52259999999999995</v>
      </c>
      <c r="M205" s="142">
        <v>1.0176000000000001</v>
      </c>
      <c r="N205" s="142">
        <v>0.80640000000000001</v>
      </c>
      <c r="O205" s="142">
        <v>1.0538000000000001</v>
      </c>
      <c r="P205" s="26">
        <v>14249.374026716952</v>
      </c>
      <c r="Q205" s="35">
        <f t="array" ref="Q205">SUM(IF(($S205&gt;=4)*($C205='TaxCred&amp;Subs'!$D$114:$D$121)*($H205='TaxCred&amp;Subs'!$C$114:$C$121)*($H205&lt;='TaxCred&amp;Subs'!$C$123),'TaxCred&amp;Subs'!$E$114:$E$121,0))</f>
        <v>0</v>
      </c>
      <c r="R205" s="143">
        <v>0</v>
      </c>
      <c r="S205" s="5">
        <v>2</v>
      </c>
      <c r="T205" s="5" t="s">
        <v>220</v>
      </c>
      <c r="V205" s="7" t="str">
        <f t="array" ref="V205">INDEX(xlRTCLNAME,MATCH(1,(xlRTCLENDU=1)*(xlRTCLEQCL=$D205),0))</f>
        <v>GEO_HP</v>
      </c>
      <c r="W205" s="7" t="str">
        <f t="array" ref="W205">INDEX(xlRTCLNAME,MATCH(1,(xlRTCLENDU=2)*(xlRTCLEQCL=$F205),0))</f>
        <v>GEO_HP</v>
      </c>
      <c r="X205" s="7" t="str">
        <f t="array" ref="X205">INDEX(xlRTTYNAME,MATCH(1,(xlRTTYENDU=1)*(xlRTTYEQCL=$D205)*(xlRTEQTYPE=$E205),0))</f>
        <v>GEO_HP1</v>
      </c>
      <c r="Y205" s="7" t="str">
        <f t="array" ref="Y205">INDEX(xlRTTYNAME,MATCH(1,(xlRTTYENDU=2)*(xlRTTYEQCL=$F205)*(xlRTEQTYPE=$G205),0))</f>
        <v>GEO_HP1</v>
      </c>
    </row>
    <row r="206" spans="2:25" x14ac:dyDescent="0.2">
      <c r="B206" s="5">
        <v>2</v>
      </c>
      <c r="C206" s="5">
        <v>1</v>
      </c>
      <c r="D206" s="5">
        <v>10</v>
      </c>
      <c r="E206" s="31">
        <v>31</v>
      </c>
      <c r="F206" s="5">
        <v>4</v>
      </c>
      <c r="G206" s="31">
        <v>12</v>
      </c>
      <c r="H206" s="31">
        <v>2020</v>
      </c>
      <c r="I206" s="5">
        <v>2050</v>
      </c>
      <c r="J206" s="142">
        <v>1.0371999999999999</v>
      </c>
      <c r="K206" s="142">
        <v>1.0698000000000001</v>
      </c>
      <c r="L206" s="142">
        <v>0.66810000000000003</v>
      </c>
      <c r="M206" s="142">
        <v>0.87660000000000005</v>
      </c>
      <c r="N206" s="142">
        <v>0.95350000000000001</v>
      </c>
      <c r="O206" s="142">
        <v>1.0538000000000001</v>
      </c>
      <c r="P206" s="26">
        <v>13894.416983590583</v>
      </c>
      <c r="Q206" s="35">
        <f t="array" ref="Q206">SUM(IF(($S206&gt;=4)*($C206='TaxCred&amp;Subs'!$D$114:$D$121)*($H206='TaxCred&amp;Subs'!$C$114:$C$121)*($H206&lt;='TaxCred&amp;Subs'!$C$123),'TaxCred&amp;Subs'!$E$114:$E$121,0))</f>
        <v>0</v>
      </c>
      <c r="R206" s="143">
        <v>0</v>
      </c>
      <c r="S206" s="5">
        <v>2</v>
      </c>
      <c r="T206" s="5" t="s">
        <v>220</v>
      </c>
      <c r="V206" s="7" t="str">
        <f t="array" ref="V206">INDEX(xlRTCLNAME,MATCH(1,(xlRTCLENDU=1)*(xlRTCLEQCL=$D206),0))</f>
        <v>GEO_HP</v>
      </c>
      <c r="W206" s="7" t="str">
        <f t="array" ref="W206">INDEX(xlRTCLNAME,MATCH(1,(xlRTCLENDU=2)*(xlRTCLEQCL=$F206),0))</f>
        <v>GEO_HP</v>
      </c>
      <c r="X206" s="7" t="str">
        <f t="array" ref="X206">INDEX(xlRTTYNAME,MATCH(1,(xlRTTYENDU=1)*(xlRTTYEQCL=$D206)*(xlRTEQTYPE=$E206),0))</f>
        <v>GEO_HP1</v>
      </c>
      <c r="Y206" s="7" t="str">
        <f t="array" ref="Y206">INDEX(xlRTTYNAME,MATCH(1,(xlRTTYENDU=2)*(xlRTTYEQCL=$F206)*(xlRTEQTYPE=$G206),0))</f>
        <v>GEO_HP1</v>
      </c>
    </row>
    <row r="207" spans="2:25" x14ac:dyDescent="0.2">
      <c r="B207" s="5">
        <v>3</v>
      </c>
      <c r="C207" s="5">
        <v>1</v>
      </c>
      <c r="D207" s="5">
        <v>10</v>
      </c>
      <c r="E207" s="31">
        <v>31</v>
      </c>
      <c r="F207" s="5">
        <v>4</v>
      </c>
      <c r="G207" s="31">
        <v>12</v>
      </c>
      <c r="H207" s="31">
        <v>2020</v>
      </c>
      <c r="I207" s="5">
        <v>2050</v>
      </c>
      <c r="J207" s="142">
        <v>1.0431999999999999</v>
      </c>
      <c r="K207" s="142">
        <v>1.0625</v>
      </c>
      <c r="L207" s="142">
        <v>0.53139999999999998</v>
      </c>
      <c r="M207" s="142">
        <v>0.94299999999999995</v>
      </c>
      <c r="N207" s="142">
        <v>0.91259999999999997</v>
      </c>
      <c r="O207" s="142">
        <v>1.0538000000000001</v>
      </c>
      <c r="P207" s="26">
        <v>12879.293621619332</v>
      </c>
      <c r="Q207" s="35">
        <f t="array" ref="Q207">SUM(IF(($S207&gt;=4)*($C207='TaxCred&amp;Subs'!$D$114:$D$121)*($H207='TaxCred&amp;Subs'!$C$114:$C$121)*($H207&lt;='TaxCred&amp;Subs'!$C$123),'TaxCred&amp;Subs'!$E$114:$E$121,0))</f>
        <v>0</v>
      </c>
      <c r="R207" s="143">
        <v>0</v>
      </c>
      <c r="S207" s="5">
        <v>2</v>
      </c>
      <c r="T207" s="5" t="s">
        <v>220</v>
      </c>
      <c r="V207" s="7" t="str">
        <f t="array" ref="V207">INDEX(xlRTCLNAME,MATCH(1,(xlRTCLENDU=1)*(xlRTCLEQCL=$D207),0))</f>
        <v>GEO_HP</v>
      </c>
      <c r="W207" s="7" t="str">
        <f t="array" ref="W207">INDEX(xlRTCLNAME,MATCH(1,(xlRTCLENDU=2)*(xlRTCLEQCL=$F207),0))</f>
        <v>GEO_HP</v>
      </c>
      <c r="X207" s="7" t="str">
        <f t="array" ref="X207">INDEX(xlRTTYNAME,MATCH(1,(xlRTTYENDU=1)*(xlRTTYEQCL=$D207)*(xlRTEQTYPE=$E207),0))</f>
        <v>GEO_HP1</v>
      </c>
      <c r="Y207" s="7" t="str">
        <f t="array" ref="Y207">INDEX(xlRTTYNAME,MATCH(1,(xlRTTYENDU=2)*(xlRTTYEQCL=$F207)*(xlRTEQTYPE=$G207),0))</f>
        <v>GEO_HP1</v>
      </c>
    </row>
    <row r="208" spans="2:25" x14ac:dyDescent="0.2">
      <c r="B208" s="5">
        <v>4</v>
      </c>
      <c r="C208" s="5">
        <v>1</v>
      </c>
      <c r="D208" s="5">
        <v>10</v>
      </c>
      <c r="E208" s="31">
        <v>31</v>
      </c>
      <c r="F208" s="5">
        <v>4</v>
      </c>
      <c r="G208" s="31">
        <v>12</v>
      </c>
      <c r="H208" s="31">
        <v>2020</v>
      </c>
      <c r="I208" s="5">
        <v>2050</v>
      </c>
      <c r="J208" s="142">
        <v>1.0781000000000001</v>
      </c>
      <c r="K208" s="142">
        <v>1.087</v>
      </c>
      <c r="L208" s="142">
        <v>0.50970000000000004</v>
      </c>
      <c r="M208" s="142">
        <v>0.89080000000000004</v>
      </c>
      <c r="N208" s="142">
        <v>0.84850000000000003</v>
      </c>
      <c r="O208" s="142">
        <v>1.0538000000000001</v>
      </c>
      <c r="P208" s="26">
        <v>10421.48500482007</v>
      </c>
      <c r="Q208" s="35">
        <f t="array" ref="Q208">SUM(IF(($S208&gt;=4)*($C208='TaxCred&amp;Subs'!$D$114:$D$121)*($H208='TaxCred&amp;Subs'!$C$114:$C$121)*($H208&lt;='TaxCred&amp;Subs'!$C$123),'TaxCred&amp;Subs'!$E$114:$E$121,0))</f>
        <v>0</v>
      </c>
      <c r="R208" s="143">
        <v>0</v>
      </c>
      <c r="S208" s="5">
        <v>2</v>
      </c>
      <c r="T208" s="5" t="s">
        <v>220</v>
      </c>
      <c r="V208" s="7" t="str">
        <f t="array" ref="V208">INDEX(xlRTCLNAME,MATCH(1,(xlRTCLENDU=1)*(xlRTCLEQCL=$D208),0))</f>
        <v>GEO_HP</v>
      </c>
      <c r="W208" s="7" t="str">
        <f t="array" ref="W208">INDEX(xlRTCLNAME,MATCH(1,(xlRTCLENDU=2)*(xlRTCLEQCL=$F208),0))</f>
        <v>GEO_HP</v>
      </c>
      <c r="X208" s="7" t="str">
        <f t="array" ref="X208">INDEX(xlRTTYNAME,MATCH(1,(xlRTTYENDU=1)*(xlRTTYEQCL=$D208)*(xlRTEQTYPE=$E208),0))</f>
        <v>GEO_HP1</v>
      </c>
      <c r="Y208" s="7" t="str">
        <f t="array" ref="Y208">INDEX(xlRTTYNAME,MATCH(1,(xlRTTYENDU=2)*(xlRTTYEQCL=$F208)*(xlRTEQTYPE=$G208),0))</f>
        <v>GEO_HP1</v>
      </c>
    </row>
    <row r="209" spans="2:25" x14ac:dyDescent="0.2">
      <c r="B209" s="5">
        <v>5</v>
      </c>
      <c r="C209" s="5">
        <v>1</v>
      </c>
      <c r="D209" s="5">
        <v>10</v>
      </c>
      <c r="E209" s="31">
        <v>31</v>
      </c>
      <c r="F209" s="5">
        <v>4</v>
      </c>
      <c r="G209" s="31">
        <v>12</v>
      </c>
      <c r="H209" s="31">
        <v>2020</v>
      </c>
      <c r="I209" s="5">
        <v>2050</v>
      </c>
      <c r="J209" s="142">
        <v>1.0843</v>
      </c>
      <c r="K209" s="142">
        <v>1.0722</v>
      </c>
      <c r="L209" s="142">
        <v>0.77729999999999999</v>
      </c>
      <c r="M209" s="142">
        <v>0.94299999999999995</v>
      </c>
      <c r="N209" s="142">
        <v>0.76049999999999995</v>
      </c>
      <c r="O209" s="142">
        <v>1.0538000000000001</v>
      </c>
      <c r="P209" s="26">
        <v>9729.0498638727931</v>
      </c>
      <c r="Q209" s="35">
        <f t="array" ref="Q209">SUM(IF(($S209&gt;=4)*($C209='TaxCred&amp;Subs'!$D$114:$D$121)*($H209='TaxCred&amp;Subs'!$C$114:$C$121)*($H209&lt;='TaxCred&amp;Subs'!$C$123),'TaxCred&amp;Subs'!$E$114:$E$121,0))</f>
        <v>0</v>
      </c>
      <c r="R209" s="143">
        <v>0</v>
      </c>
      <c r="S209" s="5">
        <v>2</v>
      </c>
      <c r="T209" s="5" t="s">
        <v>220</v>
      </c>
      <c r="V209" s="7" t="str">
        <f t="array" ref="V209">INDEX(xlRTCLNAME,MATCH(1,(xlRTCLENDU=1)*(xlRTCLEQCL=$D209),0))</f>
        <v>GEO_HP</v>
      </c>
      <c r="W209" s="7" t="str">
        <f t="array" ref="W209">INDEX(xlRTCLNAME,MATCH(1,(xlRTCLENDU=2)*(xlRTCLEQCL=$F209),0))</f>
        <v>GEO_HP</v>
      </c>
      <c r="X209" s="7" t="str">
        <f t="array" ref="X209">INDEX(xlRTTYNAME,MATCH(1,(xlRTTYENDU=1)*(xlRTTYEQCL=$D209)*(xlRTEQTYPE=$E209),0))</f>
        <v>GEO_HP1</v>
      </c>
      <c r="Y209" s="7" t="str">
        <f t="array" ref="Y209">INDEX(xlRTTYNAME,MATCH(1,(xlRTTYENDU=2)*(xlRTTYEQCL=$F209)*(xlRTEQTYPE=$G209),0))</f>
        <v>GEO_HP1</v>
      </c>
    </row>
    <row r="210" spans="2:25" x14ac:dyDescent="0.2">
      <c r="B210" s="5">
        <v>6</v>
      </c>
      <c r="C210" s="5">
        <v>1</v>
      </c>
      <c r="D210" s="5">
        <v>10</v>
      </c>
      <c r="E210" s="31">
        <v>31</v>
      </c>
      <c r="F210" s="5">
        <v>4</v>
      </c>
      <c r="G210" s="31">
        <v>12</v>
      </c>
      <c r="H210" s="31">
        <v>2020</v>
      </c>
      <c r="I210" s="5">
        <v>2050</v>
      </c>
      <c r="J210" s="142">
        <v>1.0982000000000001</v>
      </c>
      <c r="K210" s="142">
        <v>1.0805</v>
      </c>
      <c r="L210" s="142">
        <v>0.62609999999999999</v>
      </c>
      <c r="M210" s="142">
        <v>0.81720000000000004</v>
      </c>
      <c r="N210" s="142">
        <v>0.88680000000000003</v>
      </c>
      <c r="O210" s="142">
        <v>1.0538000000000001</v>
      </c>
      <c r="P210" s="26">
        <v>8361.6585272837074</v>
      </c>
      <c r="Q210" s="35">
        <f t="array" ref="Q210">SUM(IF(($S210&gt;=4)*($C210='TaxCred&amp;Subs'!$D$114:$D$121)*($H210='TaxCred&amp;Subs'!$C$114:$C$121)*($H210&lt;='TaxCred&amp;Subs'!$C$123),'TaxCred&amp;Subs'!$E$114:$E$121,0))</f>
        <v>0</v>
      </c>
      <c r="R210" s="143">
        <v>0</v>
      </c>
      <c r="S210" s="5">
        <v>2</v>
      </c>
      <c r="T210" s="5" t="s">
        <v>220</v>
      </c>
      <c r="V210" s="7" t="str">
        <f t="array" ref="V210">INDEX(xlRTCLNAME,MATCH(1,(xlRTCLENDU=1)*(xlRTCLEQCL=$D210),0))</f>
        <v>GEO_HP</v>
      </c>
      <c r="W210" s="7" t="str">
        <f t="array" ref="W210">INDEX(xlRTCLNAME,MATCH(1,(xlRTCLENDU=2)*(xlRTCLEQCL=$F210),0))</f>
        <v>GEO_HP</v>
      </c>
      <c r="X210" s="7" t="str">
        <f t="array" ref="X210">INDEX(xlRTTYNAME,MATCH(1,(xlRTTYENDU=1)*(xlRTTYEQCL=$D210)*(xlRTEQTYPE=$E210),0))</f>
        <v>GEO_HP1</v>
      </c>
      <c r="Y210" s="7" t="str">
        <f t="array" ref="Y210">INDEX(xlRTTYNAME,MATCH(1,(xlRTTYENDU=2)*(xlRTTYEQCL=$F210)*(xlRTEQTYPE=$G210),0))</f>
        <v>GEO_HP1</v>
      </c>
    </row>
    <row r="211" spans="2:25" x14ac:dyDescent="0.2">
      <c r="B211" s="5">
        <v>7</v>
      </c>
      <c r="C211" s="5">
        <v>1</v>
      </c>
      <c r="D211" s="5">
        <v>10</v>
      </c>
      <c r="E211" s="31">
        <v>31</v>
      </c>
      <c r="F211" s="5">
        <v>4</v>
      </c>
      <c r="G211" s="31">
        <v>12</v>
      </c>
      <c r="H211" s="31">
        <v>2020</v>
      </c>
      <c r="I211" s="5">
        <v>2050</v>
      </c>
      <c r="J211" s="142">
        <v>1.1200000000000001</v>
      </c>
      <c r="K211" s="142">
        <v>1.0769</v>
      </c>
      <c r="L211" s="142">
        <v>0.95389999999999997</v>
      </c>
      <c r="M211" s="142">
        <v>0.89039999999999997</v>
      </c>
      <c r="N211" s="142">
        <v>0.8871</v>
      </c>
      <c r="O211" s="142">
        <v>1.0538000000000001</v>
      </c>
      <c r="P211" s="26">
        <v>8255.4403211966492</v>
      </c>
      <c r="Q211" s="35">
        <f t="array" ref="Q211">SUM(IF(($S211&gt;=4)*($C211='TaxCred&amp;Subs'!$D$114:$D$121)*($H211='TaxCred&amp;Subs'!$C$114:$C$121)*($H211&lt;='TaxCred&amp;Subs'!$C$123),'TaxCred&amp;Subs'!$E$114:$E$121,0))</f>
        <v>0</v>
      </c>
      <c r="R211" s="143">
        <v>0</v>
      </c>
      <c r="S211" s="5">
        <v>2</v>
      </c>
      <c r="T211" s="5" t="s">
        <v>220</v>
      </c>
      <c r="V211" s="7" t="str">
        <f t="array" ref="V211">INDEX(xlRTCLNAME,MATCH(1,(xlRTCLENDU=1)*(xlRTCLEQCL=$D211),0))</f>
        <v>GEO_HP</v>
      </c>
      <c r="W211" s="7" t="str">
        <f t="array" ref="W211">INDEX(xlRTCLNAME,MATCH(1,(xlRTCLENDU=2)*(xlRTCLEQCL=$F211),0))</f>
        <v>GEO_HP</v>
      </c>
      <c r="X211" s="7" t="str">
        <f t="array" ref="X211">INDEX(xlRTTYNAME,MATCH(1,(xlRTTYENDU=1)*(xlRTTYEQCL=$D211)*(xlRTEQTYPE=$E211),0))</f>
        <v>GEO_HP1</v>
      </c>
      <c r="Y211" s="7" t="str">
        <f t="array" ref="Y211">INDEX(xlRTTYNAME,MATCH(1,(xlRTTYENDU=2)*(xlRTTYEQCL=$F211)*(xlRTEQTYPE=$G211),0))</f>
        <v>GEO_HP1</v>
      </c>
    </row>
    <row r="212" spans="2:25" x14ac:dyDescent="0.2">
      <c r="B212" s="5">
        <v>8</v>
      </c>
      <c r="C212" s="5">
        <v>1</v>
      </c>
      <c r="D212" s="5">
        <v>10</v>
      </c>
      <c r="E212" s="31">
        <v>31</v>
      </c>
      <c r="F212" s="5">
        <v>4</v>
      </c>
      <c r="G212" s="31">
        <v>12</v>
      </c>
      <c r="H212" s="31">
        <v>2020</v>
      </c>
      <c r="I212" s="5">
        <v>2050</v>
      </c>
      <c r="J212" s="142">
        <v>1.0417000000000001</v>
      </c>
      <c r="K212" s="142">
        <v>1.0667</v>
      </c>
      <c r="L212" s="142">
        <v>0.56799999999999995</v>
      </c>
      <c r="M212" s="142">
        <v>0.91979999999999995</v>
      </c>
      <c r="N212" s="142">
        <v>0.88300000000000001</v>
      </c>
      <c r="O212" s="142">
        <v>1.0538000000000001</v>
      </c>
      <c r="P212" s="26">
        <v>13656.434420585403</v>
      </c>
      <c r="Q212" s="35">
        <f t="array" ref="Q212">SUM(IF(($S212&gt;=4)*($C212='TaxCred&amp;Subs'!$D$114:$D$121)*($H212='TaxCred&amp;Subs'!$C$114:$C$121)*($H212&lt;='TaxCred&amp;Subs'!$C$123),'TaxCred&amp;Subs'!$E$114:$E$121,0))</f>
        <v>0</v>
      </c>
      <c r="R212" s="143">
        <v>0</v>
      </c>
      <c r="S212" s="5">
        <v>2</v>
      </c>
      <c r="T212" s="5" t="s">
        <v>220</v>
      </c>
      <c r="V212" s="7" t="str">
        <f t="array" ref="V212">INDEX(xlRTCLNAME,MATCH(1,(xlRTCLENDU=1)*(xlRTCLEQCL=$D212),0))</f>
        <v>GEO_HP</v>
      </c>
      <c r="W212" s="7" t="str">
        <f t="array" ref="W212">INDEX(xlRTCLNAME,MATCH(1,(xlRTCLENDU=2)*(xlRTCLEQCL=$F212),0))</f>
        <v>GEO_HP</v>
      </c>
      <c r="X212" s="7" t="str">
        <f t="array" ref="X212">INDEX(xlRTTYNAME,MATCH(1,(xlRTTYENDU=1)*(xlRTTYEQCL=$D212)*(xlRTEQTYPE=$E212),0))</f>
        <v>GEO_HP1</v>
      </c>
      <c r="Y212" s="7" t="str">
        <f t="array" ref="Y212">INDEX(xlRTTYNAME,MATCH(1,(xlRTTYENDU=2)*(xlRTTYEQCL=$F212)*(xlRTEQTYPE=$G212),0))</f>
        <v>GEO_HP1</v>
      </c>
    </row>
    <row r="213" spans="2:25" x14ac:dyDescent="0.2">
      <c r="B213" s="5">
        <v>9</v>
      </c>
      <c r="C213" s="5">
        <v>1</v>
      </c>
      <c r="D213" s="5">
        <v>10</v>
      </c>
      <c r="E213" s="31">
        <v>31</v>
      </c>
      <c r="F213" s="5">
        <v>4</v>
      </c>
      <c r="G213" s="31">
        <v>12</v>
      </c>
      <c r="H213" s="31">
        <v>2020</v>
      </c>
      <c r="I213" s="5">
        <v>2050</v>
      </c>
      <c r="J213" s="142">
        <v>1.0611999999999999</v>
      </c>
      <c r="K213" s="142">
        <v>1.0428999999999999</v>
      </c>
      <c r="L213" s="142">
        <v>0.9617</v>
      </c>
      <c r="M213" s="142">
        <v>0.95289999999999997</v>
      </c>
      <c r="N213" s="142">
        <v>1.0349999999999999</v>
      </c>
      <c r="O213" s="142">
        <v>1.0538000000000001</v>
      </c>
      <c r="P213" s="26">
        <v>11833.245971799954</v>
      </c>
      <c r="Q213" s="35">
        <f t="array" ref="Q213">SUM(IF(($S213&gt;=4)*($C213='TaxCred&amp;Subs'!$D$114:$D$121)*($H213='TaxCred&amp;Subs'!$C$114:$C$121)*($H213&lt;='TaxCred&amp;Subs'!$C$123),'TaxCred&amp;Subs'!$E$114:$E$121,0))</f>
        <v>0</v>
      </c>
      <c r="R213" s="143">
        <v>0</v>
      </c>
      <c r="S213" s="5">
        <v>2</v>
      </c>
      <c r="T213" s="5" t="s">
        <v>220</v>
      </c>
      <c r="V213" s="7" t="str">
        <f t="array" ref="V213">INDEX(xlRTCLNAME,MATCH(1,(xlRTCLENDU=1)*(xlRTCLEQCL=$D213),0))</f>
        <v>GEO_HP</v>
      </c>
      <c r="W213" s="7" t="str">
        <f t="array" ref="W213">INDEX(xlRTCLNAME,MATCH(1,(xlRTCLENDU=2)*(xlRTCLEQCL=$F213),0))</f>
        <v>GEO_HP</v>
      </c>
      <c r="X213" s="7" t="str">
        <f t="array" ref="X213">INDEX(xlRTTYNAME,MATCH(1,(xlRTTYENDU=1)*(xlRTTYEQCL=$D213)*(xlRTEQTYPE=$E213),0))</f>
        <v>GEO_HP1</v>
      </c>
      <c r="Y213" s="7" t="str">
        <f t="array" ref="Y213">INDEX(xlRTTYNAME,MATCH(1,(xlRTTYENDU=2)*(xlRTTYEQCL=$F213)*(xlRTEQTYPE=$G213),0))</f>
        <v>GEO_HP1</v>
      </c>
    </row>
    <row r="214" spans="2:25" x14ac:dyDescent="0.2">
      <c r="B214" s="5">
        <v>1</v>
      </c>
      <c r="C214" s="5">
        <v>1</v>
      </c>
      <c r="D214" s="5">
        <v>11</v>
      </c>
      <c r="E214" s="31">
        <v>35</v>
      </c>
      <c r="F214" s="5">
        <v>5</v>
      </c>
      <c r="G214" s="31">
        <v>16</v>
      </c>
      <c r="H214" s="31">
        <v>2020</v>
      </c>
      <c r="I214" s="5">
        <v>2050</v>
      </c>
      <c r="J214" s="142">
        <v>1.0803</v>
      </c>
      <c r="K214" s="142">
        <v>1.0667</v>
      </c>
      <c r="L214" s="142">
        <v>0.59240000000000004</v>
      </c>
      <c r="M214" s="142">
        <v>1.0176000000000001</v>
      </c>
      <c r="N214" s="142">
        <v>0.79790000000000005</v>
      </c>
      <c r="O214" s="142">
        <v>1.0538000000000001</v>
      </c>
      <c r="P214" s="26">
        <v>14397.272794686274</v>
      </c>
      <c r="Q214" s="35">
        <f t="array" ref="Q214">SUM(IF(($S214&gt;=4)*($C214='TaxCred&amp;Subs'!$D$114:$D$121)*($H214='TaxCred&amp;Subs'!$C$114:$C$121)*($H214&lt;='TaxCred&amp;Subs'!$C$123),'TaxCred&amp;Subs'!$E$114:$E$121,0))</f>
        <v>0</v>
      </c>
      <c r="R214" s="143">
        <v>0</v>
      </c>
      <c r="S214" s="5">
        <v>2</v>
      </c>
      <c r="T214" s="5" t="s">
        <v>220</v>
      </c>
      <c r="V214" s="7" t="str">
        <f t="array" ref="V214">INDEX(xlRTCLNAME,MATCH(1,(xlRTCLENDU=1)*(xlRTCLEQCL=$D214),0))</f>
        <v>NG_HP</v>
      </c>
      <c r="W214" s="7" t="str">
        <f t="array" ref="W214">INDEX(xlRTCLNAME,MATCH(1,(xlRTCLENDU=2)*(xlRTCLEQCL=$F214),0))</f>
        <v>NG_HP</v>
      </c>
      <c r="X214" s="7" t="str">
        <f t="array" ref="X214">INDEX(xlRTTYNAME,MATCH(1,(xlRTTYENDU=1)*(xlRTTYEQCL=$D214)*(xlRTEQTYPE=$E214),0))</f>
        <v>NG_HP2</v>
      </c>
      <c r="Y214" s="7" t="str">
        <f t="array" ref="Y214">INDEX(xlRTTYNAME,MATCH(1,(xlRTTYENDU=2)*(xlRTTYEQCL=$F214)*(xlRTEQTYPE=$G214),0))</f>
        <v>NG_HP2</v>
      </c>
    </row>
    <row r="215" spans="2:25" x14ac:dyDescent="0.2">
      <c r="B215" s="5">
        <v>2</v>
      </c>
      <c r="C215" s="5">
        <v>1</v>
      </c>
      <c r="D215" s="5">
        <v>11</v>
      </c>
      <c r="E215" s="31">
        <v>35</v>
      </c>
      <c r="F215" s="5">
        <v>5</v>
      </c>
      <c r="G215" s="31">
        <v>16</v>
      </c>
      <c r="H215" s="31">
        <v>2020</v>
      </c>
      <c r="I215" s="5">
        <v>2050</v>
      </c>
      <c r="J215" s="142">
        <v>1.0649</v>
      </c>
      <c r="K215" s="142">
        <v>1.0597000000000001</v>
      </c>
      <c r="L215" s="142">
        <v>0.70389999999999997</v>
      </c>
      <c r="M215" s="142">
        <v>0.88419999999999999</v>
      </c>
      <c r="N215" s="142">
        <v>0.93169999999999997</v>
      </c>
      <c r="O215" s="142">
        <v>1.0538000000000001</v>
      </c>
      <c r="P215" s="26">
        <v>14253.407629479752</v>
      </c>
      <c r="Q215" s="35">
        <f t="array" ref="Q215">SUM(IF(($S215&gt;=4)*($C215='TaxCred&amp;Subs'!$D$114:$D$121)*($H215='TaxCred&amp;Subs'!$C$114:$C$121)*($H215&lt;='TaxCred&amp;Subs'!$C$123),'TaxCred&amp;Subs'!$E$114:$E$121,0))</f>
        <v>0</v>
      </c>
      <c r="R215" s="143">
        <v>0</v>
      </c>
      <c r="S215" s="5">
        <v>2</v>
      </c>
      <c r="T215" s="5" t="s">
        <v>220</v>
      </c>
      <c r="V215" s="7" t="str">
        <f t="array" ref="V215">INDEX(xlRTCLNAME,MATCH(1,(xlRTCLENDU=1)*(xlRTCLEQCL=$D215),0))</f>
        <v>NG_HP</v>
      </c>
      <c r="W215" s="7" t="str">
        <f t="array" ref="W215">INDEX(xlRTCLNAME,MATCH(1,(xlRTCLENDU=2)*(xlRTCLEQCL=$F215),0))</f>
        <v>NG_HP</v>
      </c>
      <c r="X215" s="7" t="str">
        <f t="array" ref="X215">INDEX(xlRTTYNAME,MATCH(1,(xlRTTYENDU=1)*(xlRTTYEQCL=$D215)*(xlRTEQTYPE=$E215),0))</f>
        <v>NG_HP2</v>
      </c>
      <c r="Y215" s="7" t="str">
        <f t="array" ref="Y215">INDEX(xlRTTYNAME,MATCH(1,(xlRTTYENDU=2)*(xlRTTYEQCL=$F215)*(xlRTEQTYPE=$G215),0))</f>
        <v>NG_HP2</v>
      </c>
    </row>
    <row r="216" spans="2:25" x14ac:dyDescent="0.2">
      <c r="B216" s="5">
        <v>3</v>
      </c>
      <c r="C216" s="5">
        <v>1</v>
      </c>
      <c r="D216" s="5">
        <v>11</v>
      </c>
      <c r="E216" s="31">
        <v>35</v>
      </c>
      <c r="F216" s="5">
        <v>5</v>
      </c>
      <c r="G216" s="31">
        <v>16</v>
      </c>
      <c r="H216" s="31">
        <v>2020</v>
      </c>
      <c r="I216" s="5">
        <v>2050</v>
      </c>
      <c r="J216" s="142">
        <v>1.0469999999999999</v>
      </c>
      <c r="K216" s="142">
        <v>1.0769</v>
      </c>
      <c r="L216" s="142">
        <v>0.58860000000000001</v>
      </c>
      <c r="M216" s="142">
        <v>0.95530000000000004</v>
      </c>
      <c r="N216" s="142">
        <v>0.91600000000000004</v>
      </c>
      <c r="O216" s="142">
        <v>1.0538000000000001</v>
      </c>
      <c r="P216" s="26">
        <v>12833.57945697427</v>
      </c>
      <c r="Q216" s="35">
        <f t="array" ref="Q216">SUM(IF(($S216&gt;=4)*($C216='TaxCred&amp;Subs'!$D$114:$D$121)*($H216='TaxCred&amp;Subs'!$C$114:$C$121)*($H216&lt;='TaxCred&amp;Subs'!$C$123),'TaxCred&amp;Subs'!$E$114:$E$121,0))</f>
        <v>0</v>
      </c>
      <c r="R216" s="143">
        <v>0</v>
      </c>
      <c r="S216" s="5">
        <v>2</v>
      </c>
      <c r="T216" s="5" t="s">
        <v>220</v>
      </c>
      <c r="V216" s="7" t="str">
        <f t="array" ref="V216">INDEX(xlRTCLNAME,MATCH(1,(xlRTCLENDU=1)*(xlRTCLEQCL=$D216),0))</f>
        <v>NG_HP</v>
      </c>
      <c r="W216" s="7" t="str">
        <f t="array" ref="W216">INDEX(xlRTCLNAME,MATCH(1,(xlRTCLENDU=2)*(xlRTCLEQCL=$F216),0))</f>
        <v>NG_HP</v>
      </c>
      <c r="X216" s="7" t="str">
        <f t="array" ref="X216">INDEX(xlRTTYNAME,MATCH(1,(xlRTTYENDU=1)*(xlRTTYEQCL=$D216)*(xlRTEQTYPE=$E216),0))</f>
        <v>NG_HP2</v>
      </c>
      <c r="Y216" s="7" t="str">
        <f t="array" ref="Y216">INDEX(xlRTTYNAME,MATCH(1,(xlRTTYENDU=2)*(xlRTTYEQCL=$F216)*(xlRTEQTYPE=$G216),0))</f>
        <v>NG_HP2</v>
      </c>
    </row>
    <row r="217" spans="2:25" x14ac:dyDescent="0.2">
      <c r="B217" s="5">
        <v>4</v>
      </c>
      <c r="C217" s="5">
        <v>1</v>
      </c>
      <c r="D217" s="5">
        <v>11</v>
      </c>
      <c r="E217" s="31">
        <v>35</v>
      </c>
      <c r="F217" s="5">
        <v>5</v>
      </c>
      <c r="G217" s="31">
        <v>16</v>
      </c>
      <c r="H217" s="31">
        <v>2020</v>
      </c>
      <c r="I217" s="5">
        <v>2050</v>
      </c>
      <c r="J217" s="142">
        <v>1.0862000000000001</v>
      </c>
      <c r="K217" s="142">
        <v>1.0769</v>
      </c>
      <c r="L217" s="142">
        <v>0.57379999999999998</v>
      </c>
      <c r="M217" s="142">
        <v>0.90200000000000002</v>
      </c>
      <c r="N217" s="142">
        <v>0.85770000000000002</v>
      </c>
      <c r="O217" s="142">
        <v>1.0538000000000001</v>
      </c>
      <c r="P217" s="26">
        <v>10157.956290983824</v>
      </c>
      <c r="Q217" s="35">
        <f t="array" ref="Q217">SUM(IF(($S217&gt;=4)*($C217='TaxCred&amp;Subs'!$D$114:$D$121)*($H217='TaxCred&amp;Subs'!$C$114:$C$121)*($H217&lt;='TaxCred&amp;Subs'!$C$123),'TaxCred&amp;Subs'!$E$114:$E$121,0))</f>
        <v>0</v>
      </c>
      <c r="R217" s="143">
        <v>0</v>
      </c>
      <c r="S217" s="5">
        <v>2</v>
      </c>
      <c r="T217" s="5" t="s">
        <v>220</v>
      </c>
      <c r="V217" s="7" t="str">
        <f t="array" ref="V217">INDEX(xlRTCLNAME,MATCH(1,(xlRTCLENDU=1)*(xlRTCLEQCL=$D217),0))</f>
        <v>NG_HP</v>
      </c>
      <c r="W217" s="7" t="str">
        <f t="array" ref="W217">INDEX(xlRTCLNAME,MATCH(1,(xlRTCLENDU=2)*(xlRTCLEQCL=$F217),0))</f>
        <v>NG_HP</v>
      </c>
      <c r="X217" s="7" t="str">
        <f t="array" ref="X217">INDEX(xlRTTYNAME,MATCH(1,(xlRTTYENDU=1)*(xlRTTYEQCL=$D217)*(xlRTEQTYPE=$E217),0))</f>
        <v>NG_HP2</v>
      </c>
      <c r="Y217" s="7" t="str">
        <f t="array" ref="Y217">INDEX(xlRTTYNAME,MATCH(1,(xlRTTYENDU=2)*(xlRTTYEQCL=$F217)*(xlRTEQTYPE=$G217),0))</f>
        <v>NG_HP2</v>
      </c>
    </row>
    <row r="218" spans="2:25" x14ac:dyDescent="0.2">
      <c r="B218" s="5">
        <v>5</v>
      </c>
      <c r="C218" s="5">
        <v>1</v>
      </c>
      <c r="D218" s="5">
        <v>11</v>
      </c>
      <c r="E218" s="31">
        <v>35</v>
      </c>
      <c r="F218" s="5">
        <v>5</v>
      </c>
      <c r="G218" s="31">
        <v>16</v>
      </c>
      <c r="H218" s="31">
        <v>2020</v>
      </c>
      <c r="I218" s="5">
        <v>2050</v>
      </c>
      <c r="J218" s="142">
        <v>1.0849</v>
      </c>
      <c r="K218" s="142">
        <v>1.0471999999999999</v>
      </c>
      <c r="L218" s="142">
        <v>0.77029999999999998</v>
      </c>
      <c r="M218" s="142">
        <v>0.95499999999999996</v>
      </c>
      <c r="N218" s="142">
        <v>0.76180000000000003</v>
      </c>
      <c r="O218" s="142">
        <v>1.0538000000000001</v>
      </c>
      <c r="P218" s="26">
        <v>9504.5126434102785</v>
      </c>
      <c r="Q218" s="35">
        <f t="array" ref="Q218">SUM(IF(($S218&gt;=4)*($C218='TaxCred&amp;Subs'!$D$114:$D$121)*($H218='TaxCred&amp;Subs'!$C$114:$C$121)*($H218&lt;='TaxCred&amp;Subs'!$C$123),'TaxCred&amp;Subs'!$E$114:$E$121,0))</f>
        <v>0</v>
      </c>
      <c r="R218" s="143">
        <v>0</v>
      </c>
      <c r="S218" s="5">
        <v>2</v>
      </c>
      <c r="T218" s="5" t="s">
        <v>220</v>
      </c>
      <c r="V218" s="7" t="str">
        <f t="array" ref="V218">INDEX(xlRTCLNAME,MATCH(1,(xlRTCLENDU=1)*(xlRTCLEQCL=$D218),0))</f>
        <v>NG_HP</v>
      </c>
      <c r="W218" s="7" t="str">
        <f t="array" ref="W218">INDEX(xlRTCLNAME,MATCH(1,(xlRTCLENDU=2)*(xlRTCLEQCL=$F218),0))</f>
        <v>NG_HP</v>
      </c>
      <c r="X218" s="7" t="str">
        <f t="array" ref="X218">INDEX(xlRTTYNAME,MATCH(1,(xlRTTYENDU=1)*(xlRTTYEQCL=$D218)*(xlRTEQTYPE=$E218),0))</f>
        <v>NG_HP2</v>
      </c>
      <c r="Y218" s="7" t="str">
        <f t="array" ref="Y218">INDEX(xlRTTYNAME,MATCH(1,(xlRTTYENDU=2)*(xlRTTYEQCL=$F218)*(xlRTEQTYPE=$G218),0))</f>
        <v>NG_HP2</v>
      </c>
    </row>
    <row r="219" spans="2:25" x14ac:dyDescent="0.2">
      <c r="B219" s="5">
        <v>6</v>
      </c>
      <c r="C219" s="5">
        <v>1</v>
      </c>
      <c r="D219" s="5">
        <v>11</v>
      </c>
      <c r="E219" s="31">
        <v>35</v>
      </c>
      <c r="F219" s="5">
        <v>5</v>
      </c>
      <c r="G219" s="31">
        <v>16</v>
      </c>
      <c r="H219" s="31">
        <v>2020</v>
      </c>
      <c r="I219" s="5">
        <v>2050</v>
      </c>
      <c r="J219" s="142">
        <v>1.0924</v>
      </c>
      <c r="K219" s="142">
        <v>1.0661</v>
      </c>
      <c r="L219" s="142">
        <v>0.87670000000000003</v>
      </c>
      <c r="M219" s="142">
        <v>0.96009999999999995</v>
      </c>
      <c r="N219" s="142">
        <v>0.89100000000000001</v>
      </c>
      <c r="O219" s="142">
        <v>1.0538000000000001</v>
      </c>
      <c r="P219" s="26">
        <v>9894.4275771475805</v>
      </c>
      <c r="Q219" s="35">
        <f t="array" ref="Q219">SUM(IF(($S219&gt;=4)*($C219='TaxCred&amp;Subs'!$D$114:$D$121)*($H219='TaxCred&amp;Subs'!$C$114:$C$121)*($H219&lt;='TaxCred&amp;Subs'!$C$123),'TaxCred&amp;Subs'!$E$114:$E$121,0))</f>
        <v>0</v>
      </c>
      <c r="R219" s="143">
        <v>0</v>
      </c>
      <c r="S219" s="5">
        <v>2</v>
      </c>
      <c r="T219" s="5" t="s">
        <v>220</v>
      </c>
      <c r="V219" s="7" t="str">
        <f t="array" ref="V219">INDEX(xlRTCLNAME,MATCH(1,(xlRTCLENDU=1)*(xlRTCLEQCL=$D219),0))</f>
        <v>NG_HP</v>
      </c>
      <c r="W219" s="7" t="str">
        <f t="array" ref="W219">INDEX(xlRTCLNAME,MATCH(1,(xlRTCLENDU=2)*(xlRTCLEQCL=$F219),0))</f>
        <v>NG_HP</v>
      </c>
      <c r="X219" s="7" t="str">
        <f t="array" ref="X219">INDEX(xlRTTYNAME,MATCH(1,(xlRTTYENDU=1)*(xlRTTYEQCL=$D219)*(xlRTEQTYPE=$E219),0))</f>
        <v>NG_HP2</v>
      </c>
      <c r="Y219" s="7" t="str">
        <f t="array" ref="Y219">INDEX(xlRTTYNAME,MATCH(1,(xlRTTYENDU=2)*(xlRTTYEQCL=$F219)*(xlRTEQTYPE=$G219),0))</f>
        <v>NG_HP2</v>
      </c>
    </row>
    <row r="220" spans="2:25" x14ac:dyDescent="0.2">
      <c r="B220" s="5">
        <v>7</v>
      </c>
      <c r="C220" s="5">
        <v>1</v>
      </c>
      <c r="D220" s="5">
        <v>11</v>
      </c>
      <c r="E220" s="31">
        <v>35</v>
      </c>
      <c r="F220" s="5">
        <v>5</v>
      </c>
      <c r="G220" s="31">
        <v>16</v>
      </c>
      <c r="H220" s="31">
        <v>2020</v>
      </c>
      <c r="I220" s="5">
        <v>2050</v>
      </c>
      <c r="J220" s="142">
        <v>1.0905</v>
      </c>
      <c r="K220" s="142">
        <v>1.0562</v>
      </c>
      <c r="L220" s="142">
        <v>0.89019999999999999</v>
      </c>
      <c r="M220" s="142">
        <v>0.87749999999999995</v>
      </c>
      <c r="N220" s="142">
        <v>0.87180000000000002</v>
      </c>
      <c r="O220" s="142">
        <v>1.0538000000000001</v>
      </c>
      <c r="P220" s="26">
        <v>8345.5241162325092</v>
      </c>
      <c r="Q220" s="35">
        <f t="array" ref="Q220">SUM(IF(($S220&gt;=4)*($C220='TaxCred&amp;Subs'!$D$114:$D$121)*($H220='TaxCred&amp;Subs'!$C$114:$C$121)*($H220&lt;='TaxCred&amp;Subs'!$C$123),'TaxCred&amp;Subs'!$E$114:$E$121,0))</f>
        <v>0</v>
      </c>
      <c r="R220" s="143">
        <v>0</v>
      </c>
      <c r="S220" s="5">
        <v>2</v>
      </c>
      <c r="T220" s="5" t="s">
        <v>220</v>
      </c>
      <c r="V220" s="7" t="str">
        <f t="array" ref="V220">INDEX(xlRTCLNAME,MATCH(1,(xlRTCLENDU=1)*(xlRTCLEQCL=$D220),0))</f>
        <v>NG_HP</v>
      </c>
      <c r="W220" s="7" t="str">
        <f t="array" ref="W220">INDEX(xlRTCLNAME,MATCH(1,(xlRTCLENDU=2)*(xlRTCLEQCL=$F220),0))</f>
        <v>NG_HP</v>
      </c>
      <c r="X220" s="7" t="str">
        <f t="array" ref="X220">INDEX(xlRTTYNAME,MATCH(1,(xlRTTYENDU=1)*(xlRTTYEQCL=$D220)*(xlRTEQTYPE=$E220),0))</f>
        <v>NG_HP2</v>
      </c>
      <c r="Y220" s="7" t="str">
        <f t="array" ref="Y220">INDEX(xlRTTYNAME,MATCH(1,(xlRTTYENDU=2)*(xlRTTYEQCL=$F220)*(xlRTEQTYPE=$G220),0))</f>
        <v>NG_HP2</v>
      </c>
    </row>
    <row r="221" spans="2:25" x14ac:dyDescent="0.2">
      <c r="B221" s="5">
        <v>8</v>
      </c>
      <c r="C221" s="5">
        <v>1</v>
      </c>
      <c r="D221" s="5">
        <v>11</v>
      </c>
      <c r="E221" s="31">
        <v>35</v>
      </c>
      <c r="F221" s="5">
        <v>5</v>
      </c>
      <c r="G221" s="31">
        <v>16</v>
      </c>
      <c r="H221" s="31">
        <v>2020</v>
      </c>
      <c r="I221" s="5">
        <v>2050</v>
      </c>
      <c r="J221" s="142">
        <v>1.0801000000000001</v>
      </c>
      <c r="K221" s="142">
        <v>1.0822000000000001</v>
      </c>
      <c r="L221" s="142">
        <v>0.59719999999999995</v>
      </c>
      <c r="M221" s="142">
        <v>0.92079999999999995</v>
      </c>
      <c r="N221" s="142">
        <v>0.86950000000000005</v>
      </c>
      <c r="O221" s="142">
        <v>1.0538000000000001</v>
      </c>
      <c r="P221" s="26">
        <v>11343.835503246926</v>
      </c>
      <c r="Q221" s="35">
        <f t="array" ref="Q221">SUM(IF(($S221&gt;=4)*($C221='TaxCred&amp;Subs'!$D$114:$D$121)*($H221='TaxCred&amp;Subs'!$C$114:$C$121)*($H221&lt;='TaxCred&amp;Subs'!$C$123),'TaxCred&amp;Subs'!$E$114:$E$121,0))</f>
        <v>0</v>
      </c>
      <c r="R221" s="143">
        <v>0</v>
      </c>
      <c r="S221" s="5">
        <v>2</v>
      </c>
      <c r="T221" s="5" t="s">
        <v>220</v>
      </c>
      <c r="V221" s="7" t="str">
        <f t="array" ref="V221">INDEX(xlRTCLNAME,MATCH(1,(xlRTCLENDU=1)*(xlRTCLEQCL=$D221),0))</f>
        <v>NG_HP</v>
      </c>
      <c r="W221" s="7" t="str">
        <f t="array" ref="W221">INDEX(xlRTCLNAME,MATCH(1,(xlRTCLENDU=2)*(xlRTCLEQCL=$F221),0))</f>
        <v>NG_HP</v>
      </c>
      <c r="X221" s="7" t="str">
        <f t="array" ref="X221">INDEX(xlRTTYNAME,MATCH(1,(xlRTTYENDU=1)*(xlRTTYEQCL=$D221)*(xlRTEQTYPE=$E221),0))</f>
        <v>NG_HP2</v>
      </c>
      <c r="Y221" s="7" t="str">
        <f t="array" ref="Y221">INDEX(xlRTTYNAME,MATCH(1,(xlRTTYENDU=2)*(xlRTTYEQCL=$F221)*(xlRTEQTYPE=$G221),0))</f>
        <v>NG_HP2</v>
      </c>
    </row>
    <row r="222" spans="2:25" x14ac:dyDescent="0.2">
      <c r="B222" s="5">
        <v>9</v>
      </c>
      <c r="C222" s="5">
        <v>1</v>
      </c>
      <c r="D222" s="5">
        <v>11</v>
      </c>
      <c r="E222" s="31">
        <v>35</v>
      </c>
      <c r="F222" s="5">
        <v>5</v>
      </c>
      <c r="G222" s="31">
        <v>16</v>
      </c>
      <c r="H222" s="31">
        <v>2020</v>
      </c>
      <c r="I222" s="5">
        <v>2050</v>
      </c>
      <c r="J222" s="142">
        <v>1.0781000000000001</v>
      </c>
      <c r="K222" s="142">
        <v>1.0707</v>
      </c>
      <c r="L222" s="142">
        <v>0.98050000000000004</v>
      </c>
      <c r="M222" s="142">
        <v>0.94669999999999999</v>
      </c>
      <c r="N222" s="142">
        <v>1.0339</v>
      </c>
      <c r="O222" s="142">
        <v>1.0538000000000001</v>
      </c>
      <c r="P222" s="26">
        <v>13398.283843766223</v>
      </c>
      <c r="Q222" s="35">
        <f t="array" ref="Q222">SUM(IF(($S222&gt;=4)*($C222='TaxCred&amp;Subs'!$D$114:$D$121)*($H222='TaxCred&amp;Subs'!$C$114:$C$121)*($H222&lt;='TaxCred&amp;Subs'!$C$123),'TaxCred&amp;Subs'!$E$114:$E$121,0))</f>
        <v>0</v>
      </c>
      <c r="R222" s="143">
        <v>0</v>
      </c>
      <c r="S222" s="5">
        <v>2</v>
      </c>
      <c r="T222" s="5" t="s">
        <v>220</v>
      </c>
      <c r="V222" s="7" t="str">
        <f t="array" ref="V222">INDEX(xlRTCLNAME,MATCH(1,(xlRTCLENDU=1)*(xlRTCLEQCL=$D222),0))</f>
        <v>NG_HP</v>
      </c>
      <c r="W222" s="7" t="str">
        <f t="array" ref="W222">INDEX(xlRTCLNAME,MATCH(1,(xlRTCLENDU=2)*(xlRTCLEQCL=$F222),0))</f>
        <v>NG_HP</v>
      </c>
      <c r="X222" s="7" t="str">
        <f t="array" ref="X222">INDEX(xlRTTYNAME,MATCH(1,(xlRTTYENDU=1)*(xlRTTYEQCL=$D222)*(xlRTEQTYPE=$E222),0))</f>
        <v>NG_HP2</v>
      </c>
      <c r="Y222" s="7" t="str">
        <f t="array" ref="Y222">INDEX(xlRTTYNAME,MATCH(1,(xlRTTYENDU=2)*(xlRTTYEQCL=$F222)*(xlRTEQTYPE=$G222),0))</f>
        <v>NG_HP2</v>
      </c>
    </row>
    <row r="223" spans="2:25" x14ac:dyDescent="0.2">
      <c r="B223" s="5">
        <v>1</v>
      </c>
      <c r="C223" s="5">
        <v>1</v>
      </c>
      <c r="D223" s="5">
        <v>1</v>
      </c>
      <c r="E223" s="5">
        <v>1</v>
      </c>
      <c r="F223" s="5">
        <v>2</v>
      </c>
      <c r="G223" s="31">
        <v>6</v>
      </c>
      <c r="H223" s="31">
        <v>2020</v>
      </c>
      <c r="I223" s="5">
        <v>2050</v>
      </c>
      <c r="J223" s="142">
        <v>1.077</v>
      </c>
      <c r="K223" s="142">
        <v>1.0444</v>
      </c>
      <c r="L223" s="142">
        <v>0.50060000000000004</v>
      </c>
      <c r="M223" s="142">
        <v>0.95909999999999995</v>
      </c>
      <c r="N223" s="142">
        <v>0.79779999999999995</v>
      </c>
      <c r="O223" s="142">
        <v>1.0538000000000001</v>
      </c>
      <c r="P223" s="26">
        <v>19744.485523904365</v>
      </c>
      <c r="Q223" s="35">
        <f t="array" ref="Q223">SUM(IF(($S223&gt;=4)*($C223='TaxCred&amp;Subs'!$D$114:$D$121)*($H223='TaxCred&amp;Subs'!$C$114:$C$121)*($H223&lt;='TaxCred&amp;Subs'!$C$123),'TaxCred&amp;Subs'!$E$114:$E$121,0))</f>
        <v>0</v>
      </c>
      <c r="R223" s="143">
        <v>0</v>
      </c>
      <c r="S223" s="5">
        <v>3</v>
      </c>
      <c r="T223" s="5" t="s">
        <v>239</v>
      </c>
      <c r="V223" s="7" t="str">
        <f t="array" ref="V223">INDEX(xlRTCLNAME,MATCH(1,(xlRTCLENDU=1)*(xlRTCLEQCL=$D223),0))</f>
        <v>ELEC_RAD</v>
      </c>
      <c r="W223" s="7" t="str">
        <f t="array" ref="W223">INDEX(xlRTCLNAME,MATCH(1,(xlRTCLENDU=2)*(xlRTCLEQCL=$F223),0))</f>
        <v>CENT_AIR</v>
      </c>
      <c r="X223" s="7" t="str">
        <f t="array" ref="X223">INDEX(xlRTTYNAME,MATCH(1,(xlRTTYENDU=1)*(xlRTTYEQCL=$D223)*(xlRTEQTYPE=$E223),0))</f>
        <v>ELEC_RAD2</v>
      </c>
      <c r="Y223" s="7" t="str">
        <f t="array" ref="Y223">INDEX(xlRTTYNAME,MATCH(1,(xlRTTYENDU=2)*(xlRTTYEQCL=$F223)*(xlRTEQTYPE=$G223),0))</f>
        <v>CENT_AIR3</v>
      </c>
    </row>
    <row r="224" spans="2:25" x14ac:dyDescent="0.2">
      <c r="B224" s="5">
        <v>2</v>
      </c>
      <c r="C224" s="5">
        <v>1</v>
      </c>
      <c r="D224" s="5">
        <v>1</v>
      </c>
      <c r="E224" s="5">
        <v>1</v>
      </c>
      <c r="F224" s="5">
        <v>2</v>
      </c>
      <c r="G224" s="31">
        <v>6</v>
      </c>
      <c r="H224" s="31">
        <v>2020</v>
      </c>
      <c r="I224" s="5">
        <v>2050</v>
      </c>
      <c r="J224" s="142">
        <v>1.0329999999999999</v>
      </c>
      <c r="K224" s="142">
        <v>1.0758000000000001</v>
      </c>
      <c r="L224" s="142">
        <v>0.52890000000000004</v>
      </c>
      <c r="M224" s="142">
        <v>0.81789999999999996</v>
      </c>
      <c r="N224" s="142">
        <v>0.93179999999999996</v>
      </c>
      <c r="O224" s="142">
        <v>1.0538000000000001</v>
      </c>
      <c r="P224" s="26">
        <v>22424.142292657609</v>
      </c>
      <c r="Q224" s="35">
        <f t="array" ref="Q224">SUM(IF(($S224&gt;=4)*($C224='TaxCred&amp;Subs'!$D$114:$D$121)*($H224='TaxCred&amp;Subs'!$C$114:$C$121)*($H224&lt;='TaxCred&amp;Subs'!$C$123),'TaxCred&amp;Subs'!$E$114:$E$121,0))</f>
        <v>0</v>
      </c>
      <c r="R224" s="143">
        <v>0</v>
      </c>
      <c r="S224" s="5">
        <v>3</v>
      </c>
      <c r="T224" s="5" t="s">
        <v>239</v>
      </c>
      <c r="V224" s="7" t="str">
        <f t="array" ref="V224">INDEX(xlRTCLNAME,MATCH(1,(xlRTCLENDU=1)*(xlRTCLEQCL=$D224),0))</f>
        <v>ELEC_RAD</v>
      </c>
      <c r="W224" s="7" t="str">
        <f t="array" ref="W224">INDEX(xlRTCLNAME,MATCH(1,(xlRTCLENDU=2)*(xlRTCLEQCL=$F224),0))</f>
        <v>CENT_AIR</v>
      </c>
      <c r="X224" s="7" t="str">
        <f t="array" ref="X224">INDEX(xlRTTYNAME,MATCH(1,(xlRTTYENDU=1)*(xlRTTYEQCL=$D224)*(xlRTEQTYPE=$E224),0))</f>
        <v>ELEC_RAD2</v>
      </c>
      <c r="Y224" s="7" t="str">
        <f t="array" ref="Y224">INDEX(xlRTTYNAME,MATCH(1,(xlRTTYENDU=2)*(xlRTTYEQCL=$F224)*(xlRTEQTYPE=$G224),0))</f>
        <v>CENT_AIR3</v>
      </c>
    </row>
    <row r="225" spans="2:25" x14ac:dyDescent="0.2">
      <c r="B225" s="5">
        <v>3</v>
      </c>
      <c r="C225" s="5">
        <v>1</v>
      </c>
      <c r="D225" s="5">
        <v>1</v>
      </c>
      <c r="E225" s="5">
        <v>1</v>
      </c>
      <c r="F225" s="5">
        <v>2</v>
      </c>
      <c r="G225" s="31">
        <v>6</v>
      </c>
      <c r="H225" s="31">
        <v>2020</v>
      </c>
      <c r="I225" s="5">
        <v>2050</v>
      </c>
      <c r="J225" s="142">
        <v>1.0839000000000001</v>
      </c>
      <c r="K225" s="142">
        <v>1.0588</v>
      </c>
      <c r="L225" s="142">
        <v>0.48930000000000001</v>
      </c>
      <c r="M225" s="142">
        <v>0.90269999999999995</v>
      </c>
      <c r="N225" s="142">
        <v>0.91600000000000004</v>
      </c>
      <c r="O225" s="142">
        <v>1.0538000000000001</v>
      </c>
      <c r="P225" s="26">
        <v>17265.164359036837</v>
      </c>
      <c r="Q225" s="35">
        <f t="array" ref="Q225">SUM(IF(($S225&gt;=4)*($C225='TaxCred&amp;Subs'!$D$114:$D$121)*($H225='TaxCred&amp;Subs'!$C$114:$C$121)*($H225&lt;='TaxCred&amp;Subs'!$C$123),'TaxCred&amp;Subs'!$E$114:$E$121,0))</f>
        <v>0</v>
      </c>
      <c r="R225" s="143">
        <v>0</v>
      </c>
      <c r="S225" s="5">
        <v>3</v>
      </c>
      <c r="T225" s="5" t="s">
        <v>239</v>
      </c>
      <c r="V225" s="7" t="str">
        <f t="array" ref="V225">INDEX(xlRTCLNAME,MATCH(1,(xlRTCLENDU=1)*(xlRTCLEQCL=$D225),0))</f>
        <v>ELEC_RAD</v>
      </c>
      <c r="W225" s="7" t="str">
        <f t="array" ref="W225">INDEX(xlRTCLNAME,MATCH(1,(xlRTCLENDU=2)*(xlRTCLEQCL=$F225),0))</f>
        <v>CENT_AIR</v>
      </c>
      <c r="X225" s="7" t="str">
        <f t="array" ref="X225">INDEX(xlRTTYNAME,MATCH(1,(xlRTTYENDU=1)*(xlRTTYEQCL=$D225)*(xlRTEQTYPE=$E225),0))</f>
        <v>ELEC_RAD2</v>
      </c>
      <c r="Y225" s="7" t="str">
        <f t="array" ref="Y225">INDEX(xlRTTYNAME,MATCH(1,(xlRTTYENDU=2)*(xlRTTYEQCL=$F225)*(xlRTEQTYPE=$G225),0))</f>
        <v>CENT_AIR3</v>
      </c>
    </row>
    <row r="226" spans="2:25" x14ac:dyDescent="0.2">
      <c r="B226" s="5">
        <v>4</v>
      </c>
      <c r="C226" s="5">
        <v>1</v>
      </c>
      <c r="D226" s="5">
        <v>1</v>
      </c>
      <c r="E226" s="5">
        <v>1</v>
      </c>
      <c r="F226" s="5">
        <v>2</v>
      </c>
      <c r="G226" s="31">
        <v>6</v>
      </c>
      <c r="H226" s="31">
        <v>2020</v>
      </c>
      <c r="I226" s="5">
        <v>2050</v>
      </c>
      <c r="J226" s="142">
        <v>1.0358000000000001</v>
      </c>
      <c r="K226" s="142">
        <v>1.0769</v>
      </c>
      <c r="L226" s="142">
        <v>0.49880000000000002</v>
      </c>
      <c r="M226" s="142">
        <v>0.86580000000000001</v>
      </c>
      <c r="N226" s="142">
        <v>0.85760000000000003</v>
      </c>
      <c r="O226" s="142">
        <v>1.0538000000000001</v>
      </c>
      <c r="P226" s="26">
        <v>14059.794696865367</v>
      </c>
      <c r="Q226" s="35">
        <f t="array" ref="Q226">SUM(IF(($S226&gt;=4)*($C226='TaxCred&amp;Subs'!$D$114:$D$121)*($H226='TaxCred&amp;Subs'!$C$114:$C$121)*($H226&lt;='TaxCred&amp;Subs'!$C$123),'TaxCred&amp;Subs'!$E$114:$E$121,0))</f>
        <v>0</v>
      </c>
      <c r="R226" s="143">
        <v>0</v>
      </c>
      <c r="S226" s="5">
        <v>3</v>
      </c>
      <c r="T226" s="5" t="s">
        <v>239</v>
      </c>
      <c r="V226" s="7" t="str">
        <f t="array" ref="V226">INDEX(xlRTCLNAME,MATCH(1,(xlRTCLENDU=1)*(xlRTCLEQCL=$D226),0))</f>
        <v>ELEC_RAD</v>
      </c>
      <c r="W226" s="7" t="str">
        <f t="array" ref="W226">INDEX(xlRTCLNAME,MATCH(1,(xlRTCLENDU=2)*(xlRTCLEQCL=$F226),0))</f>
        <v>CENT_AIR</v>
      </c>
      <c r="X226" s="7" t="str">
        <f t="array" ref="X226">INDEX(xlRTTYNAME,MATCH(1,(xlRTTYENDU=1)*(xlRTTYEQCL=$D226)*(xlRTEQTYPE=$E226),0))</f>
        <v>ELEC_RAD2</v>
      </c>
      <c r="Y226" s="7" t="str">
        <f t="array" ref="Y226">INDEX(xlRTTYNAME,MATCH(1,(xlRTTYENDU=2)*(xlRTTYEQCL=$F226)*(xlRTEQTYPE=$G226),0))</f>
        <v>CENT_AIR3</v>
      </c>
    </row>
    <row r="227" spans="2:25" x14ac:dyDescent="0.2">
      <c r="B227" s="5">
        <v>5</v>
      </c>
      <c r="C227" s="5">
        <v>1</v>
      </c>
      <c r="D227" s="5">
        <v>1</v>
      </c>
      <c r="E227" s="5">
        <v>1</v>
      </c>
      <c r="F227" s="5">
        <v>2</v>
      </c>
      <c r="G227" s="31">
        <v>6</v>
      </c>
      <c r="H227" s="31">
        <v>2020</v>
      </c>
      <c r="I227" s="5">
        <v>2050</v>
      </c>
      <c r="J227" s="142">
        <v>1.0401</v>
      </c>
      <c r="K227" s="142">
        <v>1.032</v>
      </c>
      <c r="L227" s="142">
        <v>0.44529999999999997</v>
      </c>
      <c r="M227" s="142">
        <v>0.79810000000000003</v>
      </c>
      <c r="N227" s="142">
        <v>0.76090000000000002</v>
      </c>
      <c r="O227" s="142">
        <v>1.0538000000000001</v>
      </c>
      <c r="P227" s="26">
        <v>14953.909975952627</v>
      </c>
      <c r="Q227" s="35">
        <f t="array" ref="Q227">SUM(IF(($S227&gt;=4)*($C227='TaxCred&amp;Subs'!$D$114:$D$121)*($H227='TaxCred&amp;Subs'!$C$114:$C$121)*($H227&lt;='TaxCred&amp;Subs'!$C$123),'TaxCred&amp;Subs'!$E$114:$E$121,0))</f>
        <v>0</v>
      </c>
      <c r="R227" s="143">
        <v>0</v>
      </c>
      <c r="S227" s="5">
        <v>3</v>
      </c>
      <c r="T227" s="5" t="s">
        <v>239</v>
      </c>
      <c r="V227" s="7" t="str">
        <f t="array" ref="V227">INDEX(xlRTCLNAME,MATCH(1,(xlRTCLENDU=1)*(xlRTCLEQCL=$D227),0))</f>
        <v>ELEC_RAD</v>
      </c>
      <c r="W227" s="7" t="str">
        <f t="array" ref="W227">INDEX(xlRTCLNAME,MATCH(1,(xlRTCLENDU=2)*(xlRTCLEQCL=$F227),0))</f>
        <v>CENT_AIR</v>
      </c>
      <c r="X227" s="7" t="str">
        <f t="array" ref="X227">INDEX(xlRTTYNAME,MATCH(1,(xlRTTYENDU=1)*(xlRTTYEQCL=$D227)*(xlRTEQTYPE=$E227),0))</f>
        <v>ELEC_RAD2</v>
      </c>
      <c r="Y227" s="7" t="str">
        <f t="array" ref="Y227">INDEX(xlRTTYNAME,MATCH(1,(xlRTTYENDU=2)*(xlRTTYEQCL=$F227)*(xlRTEQTYPE=$G227),0))</f>
        <v>CENT_AIR3</v>
      </c>
    </row>
    <row r="228" spans="2:25" x14ac:dyDescent="0.2">
      <c r="B228" s="5">
        <v>6</v>
      </c>
      <c r="C228" s="5">
        <v>1</v>
      </c>
      <c r="D228" s="5">
        <v>1</v>
      </c>
      <c r="E228" s="5">
        <v>1</v>
      </c>
      <c r="F228" s="5">
        <v>2</v>
      </c>
      <c r="G228" s="31">
        <v>6</v>
      </c>
      <c r="H228" s="31">
        <v>2020</v>
      </c>
      <c r="I228" s="5">
        <v>2050</v>
      </c>
      <c r="J228" s="142">
        <v>1.0918000000000001</v>
      </c>
      <c r="K228" s="142">
        <v>1.0613999999999999</v>
      </c>
      <c r="L228" s="142">
        <v>0.49719999999999998</v>
      </c>
      <c r="M228" s="142">
        <v>0.6845</v>
      </c>
      <c r="N228" s="142">
        <v>0.89190000000000003</v>
      </c>
      <c r="O228" s="142">
        <v>1.0538000000000001</v>
      </c>
      <c r="P228" s="26">
        <v>14242.65135544562</v>
      </c>
      <c r="Q228" s="35">
        <f t="array" ref="Q228">SUM(IF(($S228&gt;=4)*($C228='TaxCred&amp;Subs'!$D$114:$D$121)*($H228='TaxCred&amp;Subs'!$C$114:$C$121)*($H228&lt;='TaxCred&amp;Subs'!$C$123),'TaxCred&amp;Subs'!$E$114:$E$121,0))</f>
        <v>0</v>
      </c>
      <c r="R228" s="143">
        <v>0</v>
      </c>
      <c r="S228" s="5">
        <v>3</v>
      </c>
      <c r="T228" s="5" t="s">
        <v>239</v>
      </c>
      <c r="V228" s="7" t="str">
        <f t="array" ref="V228">INDEX(xlRTCLNAME,MATCH(1,(xlRTCLENDU=1)*(xlRTCLEQCL=$D228),0))</f>
        <v>ELEC_RAD</v>
      </c>
      <c r="W228" s="7" t="str">
        <f t="array" ref="W228">INDEX(xlRTCLNAME,MATCH(1,(xlRTCLENDU=2)*(xlRTCLEQCL=$F228),0))</f>
        <v>CENT_AIR</v>
      </c>
      <c r="X228" s="7" t="str">
        <f t="array" ref="X228">INDEX(xlRTTYNAME,MATCH(1,(xlRTTYENDU=1)*(xlRTTYEQCL=$D228)*(xlRTEQTYPE=$E228),0))</f>
        <v>ELEC_RAD2</v>
      </c>
      <c r="Y228" s="7" t="str">
        <f t="array" ref="Y228">INDEX(xlRTTYNAME,MATCH(1,(xlRTTYENDU=2)*(xlRTTYEQCL=$F228)*(xlRTEQTYPE=$G228),0))</f>
        <v>CENT_AIR3</v>
      </c>
    </row>
    <row r="229" spans="2:25" x14ac:dyDescent="0.2">
      <c r="B229" s="5">
        <v>7</v>
      </c>
      <c r="C229" s="5">
        <v>1</v>
      </c>
      <c r="D229" s="5">
        <v>1</v>
      </c>
      <c r="E229" s="5">
        <v>1</v>
      </c>
      <c r="F229" s="5">
        <v>2</v>
      </c>
      <c r="G229" s="31">
        <v>6</v>
      </c>
      <c r="H229" s="31">
        <v>2020</v>
      </c>
      <c r="I229" s="5">
        <v>2050</v>
      </c>
      <c r="J229" s="142">
        <v>1.0906</v>
      </c>
      <c r="K229" s="142">
        <v>1.0542</v>
      </c>
      <c r="L229" s="142">
        <v>0.54990000000000006</v>
      </c>
      <c r="M229" s="142">
        <v>0.72499999999999998</v>
      </c>
      <c r="N229" s="142">
        <v>0.87239999999999995</v>
      </c>
      <c r="O229" s="142">
        <v>1.0538000000000001</v>
      </c>
      <c r="P229" s="26">
        <v>13115.931650370245</v>
      </c>
      <c r="Q229" s="35">
        <f t="array" ref="Q229">SUM(IF(($S229&gt;=4)*($C229='TaxCred&amp;Subs'!$D$114:$D$121)*($H229='TaxCred&amp;Subs'!$C$114:$C$121)*($H229&lt;='TaxCred&amp;Subs'!$C$123),'TaxCred&amp;Subs'!$E$114:$E$121,0))</f>
        <v>0</v>
      </c>
      <c r="R229" s="143">
        <v>0</v>
      </c>
      <c r="S229" s="5">
        <v>3</v>
      </c>
      <c r="T229" s="5" t="s">
        <v>239</v>
      </c>
      <c r="V229" s="7" t="str">
        <f t="array" ref="V229">INDEX(xlRTCLNAME,MATCH(1,(xlRTCLENDU=1)*(xlRTCLEQCL=$D229),0))</f>
        <v>ELEC_RAD</v>
      </c>
      <c r="W229" s="7" t="str">
        <f t="array" ref="W229">INDEX(xlRTCLNAME,MATCH(1,(xlRTCLENDU=2)*(xlRTCLEQCL=$F229),0))</f>
        <v>CENT_AIR</v>
      </c>
      <c r="X229" s="7" t="str">
        <f t="array" ref="X229">INDEX(xlRTTYNAME,MATCH(1,(xlRTTYENDU=1)*(xlRTTYEQCL=$D229)*(xlRTEQTYPE=$E229),0))</f>
        <v>ELEC_RAD2</v>
      </c>
      <c r="Y229" s="7" t="str">
        <f t="array" ref="Y229">INDEX(xlRTTYNAME,MATCH(1,(xlRTTYENDU=2)*(xlRTTYEQCL=$F229)*(xlRTEQTYPE=$G229),0))</f>
        <v>CENT_AIR3</v>
      </c>
    </row>
    <row r="230" spans="2:25" x14ac:dyDescent="0.2">
      <c r="B230" s="5">
        <v>8</v>
      </c>
      <c r="C230" s="5">
        <v>1</v>
      </c>
      <c r="D230" s="5">
        <v>1</v>
      </c>
      <c r="E230" s="5">
        <v>1</v>
      </c>
      <c r="F230" s="5">
        <v>2</v>
      </c>
      <c r="G230" s="31">
        <v>6</v>
      </c>
      <c r="H230" s="31">
        <v>2020</v>
      </c>
      <c r="I230" s="5">
        <v>2050</v>
      </c>
      <c r="J230" s="142">
        <v>1.0363</v>
      </c>
      <c r="K230" s="142">
        <v>1.0704</v>
      </c>
      <c r="L230" s="142">
        <v>0.49819999999999998</v>
      </c>
      <c r="M230" s="142">
        <v>0.78159999999999996</v>
      </c>
      <c r="N230" s="142">
        <v>0.86919999999999997</v>
      </c>
      <c r="O230" s="142">
        <v>1.0538000000000001</v>
      </c>
      <c r="P230" s="26">
        <v>16260.797271099718</v>
      </c>
      <c r="Q230" s="35">
        <f t="array" ref="Q230">SUM(IF(($S230&gt;=4)*($C230='TaxCred&amp;Subs'!$D$114:$D$121)*($H230='TaxCred&amp;Subs'!$C$114:$C$121)*($H230&lt;='TaxCred&amp;Subs'!$C$123),'TaxCred&amp;Subs'!$E$114:$E$121,0))</f>
        <v>0</v>
      </c>
      <c r="R230" s="143">
        <v>0</v>
      </c>
      <c r="S230" s="5">
        <v>3</v>
      </c>
      <c r="T230" s="5" t="s">
        <v>239</v>
      </c>
      <c r="V230" s="7" t="str">
        <f t="array" ref="V230">INDEX(xlRTCLNAME,MATCH(1,(xlRTCLENDU=1)*(xlRTCLEQCL=$D230),0))</f>
        <v>ELEC_RAD</v>
      </c>
      <c r="W230" s="7" t="str">
        <f t="array" ref="W230">INDEX(xlRTCLNAME,MATCH(1,(xlRTCLENDU=2)*(xlRTCLEQCL=$F230),0))</f>
        <v>CENT_AIR</v>
      </c>
      <c r="X230" s="7" t="str">
        <f t="array" ref="X230">INDEX(xlRTTYNAME,MATCH(1,(xlRTTYENDU=1)*(xlRTTYEQCL=$D230)*(xlRTEQTYPE=$E230),0))</f>
        <v>ELEC_RAD2</v>
      </c>
      <c r="Y230" s="7" t="str">
        <f t="array" ref="Y230">INDEX(xlRTTYNAME,MATCH(1,(xlRTTYENDU=2)*(xlRTTYEQCL=$F230)*(xlRTEQTYPE=$G230),0))</f>
        <v>CENT_AIR3</v>
      </c>
    </row>
    <row r="231" spans="2:25" x14ac:dyDescent="0.2">
      <c r="B231" s="5">
        <v>9</v>
      </c>
      <c r="C231" s="5">
        <v>1</v>
      </c>
      <c r="D231" s="5">
        <v>1</v>
      </c>
      <c r="E231" s="5">
        <v>1</v>
      </c>
      <c r="F231" s="5">
        <v>2</v>
      </c>
      <c r="G231" s="31">
        <v>6</v>
      </c>
      <c r="H231" s="31">
        <v>2020</v>
      </c>
      <c r="I231" s="5">
        <v>2050</v>
      </c>
      <c r="J231" s="142">
        <v>1.0367</v>
      </c>
      <c r="K231" s="142">
        <v>1.0638000000000001</v>
      </c>
      <c r="L231" s="142">
        <v>0.66890000000000005</v>
      </c>
      <c r="M231" s="142">
        <v>0.8468</v>
      </c>
      <c r="N231" s="142">
        <v>1.0334000000000001</v>
      </c>
      <c r="O231" s="142">
        <v>1.0538000000000001</v>
      </c>
      <c r="P231" s="26">
        <v>17232.89553693444</v>
      </c>
      <c r="Q231" s="35">
        <f t="array" ref="Q231">SUM(IF(($S231&gt;=4)*($C231='TaxCred&amp;Subs'!$D$114:$D$121)*($H231='TaxCred&amp;Subs'!$C$114:$C$121)*($H231&lt;='TaxCred&amp;Subs'!$C$123),'TaxCred&amp;Subs'!$E$114:$E$121,0))</f>
        <v>0</v>
      </c>
      <c r="R231" s="143">
        <v>0</v>
      </c>
      <c r="S231" s="5">
        <v>3</v>
      </c>
      <c r="T231" s="5" t="s">
        <v>239</v>
      </c>
      <c r="V231" s="7" t="str">
        <f t="array" ref="V231">INDEX(xlRTCLNAME,MATCH(1,(xlRTCLENDU=1)*(xlRTCLEQCL=$D231),0))</f>
        <v>ELEC_RAD</v>
      </c>
      <c r="W231" s="7" t="str">
        <f t="array" ref="W231">INDEX(xlRTCLNAME,MATCH(1,(xlRTCLENDU=2)*(xlRTCLEQCL=$F231),0))</f>
        <v>CENT_AIR</v>
      </c>
      <c r="X231" s="7" t="str">
        <f t="array" ref="X231">INDEX(xlRTTYNAME,MATCH(1,(xlRTTYENDU=1)*(xlRTTYEQCL=$D231)*(xlRTEQTYPE=$E231),0))</f>
        <v>ELEC_RAD2</v>
      </c>
      <c r="Y231" s="7" t="str">
        <f t="array" ref="Y231">INDEX(xlRTTYNAME,MATCH(1,(xlRTTYENDU=2)*(xlRTTYEQCL=$F231)*(xlRTEQTYPE=$G231),0))</f>
        <v>CENT_AIR3</v>
      </c>
    </row>
    <row r="232" spans="2:25" x14ac:dyDescent="0.2">
      <c r="B232" s="5">
        <v>1</v>
      </c>
      <c r="C232" s="5">
        <v>1</v>
      </c>
      <c r="D232" s="5">
        <v>2</v>
      </c>
      <c r="E232" s="5">
        <v>4</v>
      </c>
      <c r="F232" s="5">
        <v>3</v>
      </c>
      <c r="G232" s="31">
        <v>10</v>
      </c>
      <c r="H232" s="31">
        <v>2020</v>
      </c>
      <c r="I232" s="5">
        <v>2050</v>
      </c>
      <c r="J232" s="142">
        <v>1.0790999999999999</v>
      </c>
      <c r="K232" s="142">
        <v>1.0667</v>
      </c>
      <c r="L232" s="142">
        <v>0.58940000000000003</v>
      </c>
      <c r="M232" s="142">
        <v>0.95909999999999995</v>
      </c>
      <c r="N232" s="142">
        <v>0.80149999999999999</v>
      </c>
      <c r="O232" s="142">
        <v>1.0538000000000001</v>
      </c>
      <c r="P232" s="26">
        <v>12164.001398349525</v>
      </c>
      <c r="Q232" s="35">
        <f t="array" ref="Q232">SUM(IF(($S232&gt;=4)*($C232='TaxCred&amp;Subs'!$D$114:$D$121)*($H232='TaxCred&amp;Subs'!$C$114:$C$121)*($H232&lt;='TaxCred&amp;Subs'!$C$123),'TaxCred&amp;Subs'!$E$114:$E$121,0))</f>
        <v>0</v>
      </c>
      <c r="R232" s="143">
        <v>0</v>
      </c>
      <c r="S232" s="5">
        <v>3</v>
      </c>
      <c r="T232" s="5" t="s">
        <v>239</v>
      </c>
      <c r="V232" s="7" t="str">
        <f t="array" ref="V232">INDEX(xlRTCLNAME,MATCH(1,(xlRTCLENDU=1)*(xlRTCLEQCL=$D232),0))</f>
        <v>ELEC_HP</v>
      </c>
      <c r="W232" s="7" t="str">
        <f t="array" ref="W232">INDEX(xlRTCLNAME,MATCH(1,(xlRTCLENDU=2)*(xlRTCLEQCL=$F232),0))</f>
        <v>ELEC_HP</v>
      </c>
      <c r="X232" s="7" t="str">
        <f t="array" ref="X232">INDEX(xlRTTYNAME,MATCH(1,(xlRTTYENDU=1)*(xlRTTYEQCL=$D232)*(xlRTEQTYPE=$E232),0))</f>
        <v>ELEC_HP3</v>
      </c>
      <c r="Y232" s="7" t="str">
        <f t="array" ref="Y232">INDEX(xlRTTYNAME,MATCH(1,(xlRTTYENDU=2)*(xlRTTYEQCL=$F232)*(xlRTEQTYPE=$G232),0))</f>
        <v>ELEC_HP3</v>
      </c>
    </row>
    <row r="233" spans="2:25" x14ac:dyDescent="0.2">
      <c r="B233" s="5">
        <v>2</v>
      </c>
      <c r="C233" s="5">
        <v>1</v>
      </c>
      <c r="D233" s="5">
        <v>2</v>
      </c>
      <c r="E233" s="5">
        <v>4</v>
      </c>
      <c r="F233" s="5">
        <v>3</v>
      </c>
      <c r="G233" s="31">
        <v>10</v>
      </c>
      <c r="H233" s="31">
        <v>2020</v>
      </c>
      <c r="I233" s="5">
        <v>2050</v>
      </c>
      <c r="J233" s="142">
        <v>1.0588</v>
      </c>
      <c r="K233" s="142">
        <v>1.0734999999999999</v>
      </c>
      <c r="L233" s="142">
        <v>0.63880000000000003</v>
      </c>
      <c r="M233" s="142">
        <v>0.85580000000000001</v>
      </c>
      <c r="N233" s="142">
        <v>0.93840000000000001</v>
      </c>
      <c r="O233" s="142">
        <v>1.0538000000000001</v>
      </c>
      <c r="P233" s="26">
        <v>13571.728762566609</v>
      </c>
      <c r="Q233" s="35">
        <f t="array" ref="Q233">SUM(IF(($S233&gt;=4)*($C233='TaxCred&amp;Subs'!$D$114:$D$121)*($H233='TaxCred&amp;Subs'!$C$114:$C$121)*($H233&lt;='TaxCred&amp;Subs'!$C$123),'TaxCred&amp;Subs'!$E$114:$E$121,0))</f>
        <v>0</v>
      </c>
      <c r="R233" s="143">
        <v>0</v>
      </c>
      <c r="S233" s="5">
        <v>3</v>
      </c>
      <c r="T233" s="5" t="s">
        <v>239</v>
      </c>
      <c r="V233" s="7" t="str">
        <f t="array" ref="V233">INDEX(xlRTCLNAME,MATCH(1,(xlRTCLENDU=1)*(xlRTCLEQCL=$D233),0))</f>
        <v>ELEC_HP</v>
      </c>
      <c r="W233" s="7" t="str">
        <f t="array" ref="W233">INDEX(xlRTCLNAME,MATCH(1,(xlRTCLENDU=2)*(xlRTCLEQCL=$F233),0))</f>
        <v>ELEC_HP</v>
      </c>
      <c r="X233" s="7" t="str">
        <f t="array" ref="X233">INDEX(xlRTTYNAME,MATCH(1,(xlRTTYENDU=1)*(xlRTTYEQCL=$D233)*(xlRTEQTYPE=$E233),0))</f>
        <v>ELEC_HP3</v>
      </c>
      <c r="Y233" s="7" t="str">
        <f t="array" ref="Y233">INDEX(xlRTTYNAME,MATCH(1,(xlRTTYENDU=2)*(xlRTTYEQCL=$F233)*(xlRTEQTYPE=$G233),0))</f>
        <v>ELEC_HP3</v>
      </c>
    </row>
    <row r="234" spans="2:25" x14ac:dyDescent="0.2">
      <c r="B234" s="5">
        <v>3</v>
      </c>
      <c r="C234" s="5">
        <v>1</v>
      </c>
      <c r="D234" s="5">
        <v>2</v>
      </c>
      <c r="E234" s="5">
        <v>4</v>
      </c>
      <c r="F234" s="5">
        <v>3</v>
      </c>
      <c r="G234" s="31">
        <v>10</v>
      </c>
      <c r="H234" s="31">
        <v>2020</v>
      </c>
      <c r="I234" s="5">
        <v>2050</v>
      </c>
      <c r="J234" s="142">
        <v>1.0965</v>
      </c>
      <c r="K234" s="142">
        <v>1.0769</v>
      </c>
      <c r="L234" s="142">
        <v>0.52059999999999995</v>
      </c>
      <c r="M234" s="142">
        <v>0.91110000000000002</v>
      </c>
      <c r="N234" s="142">
        <v>0.91520000000000001</v>
      </c>
      <c r="O234" s="142">
        <v>1.0538000000000001</v>
      </c>
      <c r="P234" s="26">
        <v>13121.309787387312</v>
      </c>
      <c r="Q234" s="35">
        <f t="array" ref="Q234">SUM(IF(($S234&gt;=4)*($C234='TaxCred&amp;Subs'!$D$114:$D$121)*($H234='TaxCred&amp;Subs'!$C$114:$C$121)*($H234&lt;='TaxCred&amp;Subs'!$C$123),'TaxCred&amp;Subs'!$E$114:$E$121,0))</f>
        <v>0</v>
      </c>
      <c r="R234" s="143">
        <v>0</v>
      </c>
      <c r="S234" s="5">
        <v>3</v>
      </c>
      <c r="T234" s="5" t="s">
        <v>239</v>
      </c>
      <c r="V234" s="7" t="str">
        <f t="array" ref="V234">INDEX(xlRTCLNAME,MATCH(1,(xlRTCLENDU=1)*(xlRTCLEQCL=$D234),0))</f>
        <v>ELEC_HP</v>
      </c>
      <c r="W234" s="7" t="str">
        <f t="array" ref="W234">INDEX(xlRTCLNAME,MATCH(1,(xlRTCLENDU=2)*(xlRTCLEQCL=$F234),0))</f>
        <v>ELEC_HP</v>
      </c>
      <c r="X234" s="7" t="str">
        <f t="array" ref="X234">INDEX(xlRTTYNAME,MATCH(1,(xlRTTYENDU=1)*(xlRTTYEQCL=$D234)*(xlRTEQTYPE=$E234),0))</f>
        <v>ELEC_HP3</v>
      </c>
      <c r="Y234" s="7" t="str">
        <f t="array" ref="Y234">INDEX(xlRTTYNAME,MATCH(1,(xlRTTYENDU=2)*(xlRTTYEQCL=$F234)*(xlRTEQTYPE=$G234),0))</f>
        <v>ELEC_HP3</v>
      </c>
    </row>
    <row r="235" spans="2:25" x14ac:dyDescent="0.2">
      <c r="B235" s="5">
        <v>4</v>
      </c>
      <c r="C235" s="5">
        <v>1</v>
      </c>
      <c r="D235" s="5">
        <v>2</v>
      </c>
      <c r="E235" s="5">
        <v>4</v>
      </c>
      <c r="F235" s="5">
        <v>3</v>
      </c>
      <c r="G235" s="31">
        <v>10</v>
      </c>
      <c r="H235" s="31">
        <v>2020</v>
      </c>
      <c r="I235" s="5">
        <v>2050</v>
      </c>
      <c r="J235" s="142">
        <v>1.1016999999999999</v>
      </c>
      <c r="K235" s="142">
        <v>1.0789</v>
      </c>
      <c r="L235" s="142">
        <v>0.5141</v>
      </c>
      <c r="M235" s="142">
        <v>0.86580000000000001</v>
      </c>
      <c r="N235" s="142">
        <v>0.85340000000000005</v>
      </c>
      <c r="O235" s="142">
        <v>1.0538000000000001</v>
      </c>
      <c r="P235" s="26">
        <v>11220.138351854403</v>
      </c>
      <c r="Q235" s="35">
        <f t="array" ref="Q235">SUM(IF(($S235&gt;=4)*($C235='TaxCred&amp;Subs'!$D$114:$D$121)*($H235='TaxCred&amp;Subs'!$C$114:$C$121)*($H235&lt;='TaxCred&amp;Subs'!$C$123),'TaxCred&amp;Subs'!$E$114:$E$121,0))</f>
        <v>0</v>
      </c>
      <c r="R235" s="143">
        <v>0</v>
      </c>
      <c r="S235" s="5">
        <v>3</v>
      </c>
      <c r="T235" s="5" t="s">
        <v>239</v>
      </c>
      <c r="V235" s="7" t="str">
        <f t="array" ref="V235">INDEX(xlRTCLNAME,MATCH(1,(xlRTCLENDU=1)*(xlRTCLEQCL=$D235),0))</f>
        <v>ELEC_HP</v>
      </c>
      <c r="W235" s="7" t="str">
        <f t="array" ref="W235">INDEX(xlRTCLNAME,MATCH(1,(xlRTCLENDU=2)*(xlRTCLEQCL=$F235),0))</f>
        <v>ELEC_HP</v>
      </c>
      <c r="X235" s="7" t="str">
        <f t="array" ref="X235">INDEX(xlRTTYNAME,MATCH(1,(xlRTTYENDU=1)*(xlRTTYEQCL=$D235)*(xlRTEQTYPE=$E235),0))</f>
        <v>ELEC_HP3</v>
      </c>
      <c r="Y235" s="7" t="str">
        <f t="array" ref="Y235">INDEX(xlRTTYNAME,MATCH(1,(xlRTTYENDU=2)*(xlRTTYEQCL=$F235)*(xlRTEQTYPE=$G235),0))</f>
        <v>ELEC_HP3</v>
      </c>
    </row>
    <row r="236" spans="2:25" x14ac:dyDescent="0.2">
      <c r="B236" s="5">
        <v>5</v>
      </c>
      <c r="C236" s="5">
        <v>1</v>
      </c>
      <c r="D236" s="5">
        <v>2</v>
      </c>
      <c r="E236" s="5">
        <v>4</v>
      </c>
      <c r="F236" s="5">
        <v>3</v>
      </c>
      <c r="G236" s="31">
        <v>10</v>
      </c>
      <c r="H236" s="31">
        <v>2020</v>
      </c>
      <c r="I236" s="5">
        <v>2050</v>
      </c>
      <c r="J236" s="142">
        <v>1.0806</v>
      </c>
      <c r="K236" s="142">
        <v>1.0507</v>
      </c>
      <c r="L236" s="142">
        <v>0.72019999999999995</v>
      </c>
      <c r="M236" s="142">
        <v>0.89510000000000001</v>
      </c>
      <c r="N236" s="142">
        <v>0.78859999999999997</v>
      </c>
      <c r="O236" s="142">
        <v>1.0538000000000001</v>
      </c>
      <c r="P236" s="26">
        <v>9465.5211500365494</v>
      </c>
      <c r="Q236" s="35">
        <f t="array" ref="Q236">SUM(IF(($S236&gt;=4)*($C236='TaxCred&amp;Subs'!$D$114:$D$121)*($H236='TaxCred&amp;Subs'!$C$114:$C$121)*($H236&lt;='TaxCred&amp;Subs'!$C$123),'TaxCred&amp;Subs'!$E$114:$E$121,0))</f>
        <v>0</v>
      </c>
      <c r="R236" s="143">
        <v>0</v>
      </c>
      <c r="S236" s="5">
        <v>3</v>
      </c>
      <c r="T236" s="5" t="s">
        <v>239</v>
      </c>
      <c r="V236" s="7" t="str">
        <f t="array" ref="V236">INDEX(xlRTCLNAME,MATCH(1,(xlRTCLENDU=1)*(xlRTCLEQCL=$D236),0))</f>
        <v>ELEC_HP</v>
      </c>
      <c r="W236" s="7" t="str">
        <f t="array" ref="W236">INDEX(xlRTCLNAME,MATCH(1,(xlRTCLENDU=2)*(xlRTCLEQCL=$F236),0))</f>
        <v>ELEC_HP</v>
      </c>
      <c r="X236" s="7" t="str">
        <f t="array" ref="X236">INDEX(xlRTTYNAME,MATCH(1,(xlRTTYENDU=1)*(xlRTTYEQCL=$D236)*(xlRTEQTYPE=$E236),0))</f>
        <v>ELEC_HP3</v>
      </c>
      <c r="Y236" s="7" t="str">
        <f t="array" ref="Y236">INDEX(xlRTTYNAME,MATCH(1,(xlRTTYENDU=2)*(xlRTTYEQCL=$F236)*(xlRTEQTYPE=$G236),0))</f>
        <v>ELEC_HP3</v>
      </c>
    </row>
    <row r="237" spans="2:25" x14ac:dyDescent="0.2">
      <c r="B237" s="5">
        <v>6</v>
      </c>
      <c r="C237" s="5">
        <v>1</v>
      </c>
      <c r="D237" s="5">
        <v>2</v>
      </c>
      <c r="E237" s="5">
        <v>4</v>
      </c>
      <c r="F237" s="5">
        <v>3</v>
      </c>
      <c r="G237" s="31">
        <v>10</v>
      </c>
      <c r="H237" s="31">
        <v>2020</v>
      </c>
      <c r="I237" s="5">
        <v>2050</v>
      </c>
      <c r="J237" s="142">
        <v>1.0885</v>
      </c>
      <c r="K237" s="142">
        <v>1.0526</v>
      </c>
      <c r="L237" s="142">
        <v>0.78439999999999999</v>
      </c>
      <c r="M237" s="142">
        <v>0.89880000000000004</v>
      </c>
      <c r="N237" s="142">
        <v>0.88680000000000003</v>
      </c>
      <c r="O237" s="142">
        <v>1.0538000000000001</v>
      </c>
      <c r="P237" s="26">
        <v>8556.6159941523583</v>
      </c>
      <c r="Q237" s="35">
        <f t="array" ref="Q237">SUM(IF(($S237&gt;=4)*($C237='TaxCred&amp;Subs'!$D$114:$D$121)*($H237='TaxCred&amp;Subs'!$C$114:$C$121)*($H237&lt;='TaxCred&amp;Subs'!$C$123),'TaxCred&amp;Subs'!$E$114:$E$121,0))</f>
        <v>0</v>
      </c>
      <c r="R237" s="143">
        <v>0</v>
      </c>
      <c r="S237" s="5">
        <v>3</v>
      </c>
      <c r="T237" s="5" t="s">
        <v>239</v>
      </c>
      <c r="V237" s="7" t="str">
        <f t="array" ref="V237">INDEX(xlRTCLNAME,MATCH(1,(xlRTCLENDU=1)*(xlRTCLEQCL=$D237),0))</f>
        <v>ELEC_HP</v>
      </c>
      <c r="W237" s="7" t="str">
        <f t="array" ref="W237">INDEX(xlRTCLNAME,MATCH(1,(xlRTCLENDU=2)*(xlRTCLEQCL=$F237),0))</f>
        <v>ELEC_HP</v>
      </c>
      <c r="X237" s="7" t="str">
        <f t="array" ref="X237">INDEX(xlRTTYNAME,MATCH(1,(xlRTTYENDU=1)*(xlRTTYEQCL=$D237)*(xlRTEQTYPE=$E237),0))</f>
        <v>ELEC_HP3</v>
      </c>
      <c r="Y237" s="7" t="str">
        <f t="array" ref="Y237">INDEX(xlRTTYNAME,MATCH(1,(xlRTTYENDU=2)*(xlRTTYEQCL=$F237)*(xlRTEQTYPE=$G237),0))</f>
        <v>ELEC_HP3</v>
      </c>
    </row>
    <row r="238" spans="2:25" x14ac:dyDescent="0.2">
      <c r="B238" s="5">
        <v>7</v>
      </c>
      <c r="C238" s="5">
        <v>1</v>
      </c>
      <c r="D238" s="5">
        <v>2</v>
      </c>
      <c r="E238" s="5">
        <v>4</v>
      </c>
      <c r="F238" s="5">
        <v>3</v>
      </c>
      <c r="G238" s="31">
        <v>10</v>
      </c>
      <c r="H238" s="31">
        <v>2020</v>
      </c>
      <c r="I238" s="5">
        <v>2050</v>
      </c>
      <c r="J238" s="142">
        <v>1.0765</v>
      </c>
      <c r="K238" s="142">
        <v>1.0508</v>
      </c>
      <c r="L238" s="142">
        <v>0.71970000000000001</v>
      </c>
      <c r="M238" s="142">
        <v>0.79990000000000006</v>
      </c>
      <c r="N238" s="142">
        <v>0.86099999999999999</v>
      </c>
      <c r="O238" s="142">
        <v>1.0538000000000001</v>
      </c>
      <c r="P238" s="26">
        <v>10355.60282636101</v>
      </c>
      <c r="Q238" s="35">
        <f t="array" ref="Q238">SUM(IF(($S238&gt;=4)*($C238='TaxCred&amp;Subs'!$D$114:$D$121)*($H238='TaxCred&amp;Subs'!$C$114:$C$121)*($H238&lt;='TaxCred&amp;Subs'!$C$123),'TaxCred&amp;Subs'!$E$114:$E$121,0))</f>
        <v>0</v>
      </c>
      <c r="R238" s="143">
        <v>0</v>
      </c>
      <c r="S238" s="5">
        <v>3</v>
      </c>
      <c r="T238" s="5" t="s">
        <v>239</v>
      </c>
      <c r="V238" s="7" t="str">
        <f t="array" ref="V238">INDEX(xlRTCLNAME,MATCH(1,(xlRTCLENDU=1)*(xlRTCLEQCL=$D238),0))</f>
        <v>ELEC_HP</v>
      </c>
      <c r="W238" s="7" t="str">
        <f t="array" ref="W238">INDEX(xlRTCLNAME,MATCH(1,(xlRTCLENDU=2)*(xlRTCLEQCL=$F238),0))</f>
        <v>ELEC_HP</v>
      </c>
      <c r="X238" s="7" t="str">
        <f t="array" ref="X238">INDEX(xlRTTYNAME,MATCH(1,(xlRTTYENDU=1)*(xlRTTYEQCL=$D238)*(xlRTEQTYPE=$E238),0))</f>
        <v>ELEC_HP3</v>
      </c>
      <c r="Y238" s="7" t="str">
        <f t="array" ref="Y238">INDEX(xlRTTYNAME,MATCH(1,(xlRTTYENDU=2)*(xlRTTYEQCL=$F238)*(xlRTEQTYPE=$G238),0))</f>
        <v>ELEC_HP3</v>
      </c>
    </row>
    <row r="239" spans="2:25" x14ac:dyDescent="0.2">
      <c r="B239" s="5">
        <v>8</v>
      </c>
      <c r="C239" s="5">
        <v>1</v>
      </c>
      <c r="D239" s="5">
        <v>2</v>
      </c>
      <c r="E239" s="5">
        <v>4</v>
      </c>
      <c r="F239" s="5">
        <v>3</v>
      </c>
      <c r="G239" s="31">
        <v>10</v>
      </c>
      <c r="H239" s="31">
        <v>2020</v>
      </c>
      <c r="I239" s="5">
        <v>2050</v>
      </c>
      <c r="J239" s="142">
        <v>1.0488999999999999</v>
      </c>
      <c r="K239" s="142">
        <v>1.0810999999999999</v>
      </c>
      <c r="L239" s="142">
        <v>0.52729999999999999</v>
      </c>
      <c r="M239" s="142">
        <v>0.89190000000000003</v>
      </c>
      <c r="N239" s="142">
        <v>0.87419999999999998</v>
      </c>
      <c r="O239" s="142">
        <v>1.0538000000000001</v>
      </c>
      <c r="P239" s="26">
        <v>11608.708751337437</v>
      </c>
      <c r="Q239" s="35">
        <f t="array" ref="Q239">SUM(IF(($S239&gt;=4)*($C239='TaxCred&amp;Subs'!$D$114:$D$121)*($H239='TaxCred&amp;Subs'!$C$114:$C$121)*($H239&lt;='TaxCred&amp;Subs'!$C$123),'TaxCred&amp;Subs'!$E$114:$E$121,0))</f>
        <v>0</v>
      </c>
      <c r="R239" s="143">
        <v>0</v>
      </c>
      <c r="S239" s="5">
        <v>3</v>
      </c>
      <c r="T239" s="5" t="s">
        <v>239</v>
      </c>
      <c r="V239" s="7" t="str">
        <f t="array" ref="V239">INDEX(xlRTCLNAME,MATCH(1,(xlRTCLENDU=1)*(xlRTCLEQCL=$D239),0))</f>
        <v>ELEC_HP</v>
      </c>
      <c r="W239" s="7" t="str">
        <f t="array" ref="W239">INDEX(xlRTCLNAME,MATCH(1,(xlRTCLENDU=2)*(xlRTCLEQCL=$F239),0))</f>
        <v>ELEC_HP</v>
      </c>
      <c r="X239" s="7" t="str">
        <f t="array" ref="X239">INDEX(xlRTTYNAME,MATCH(1,(xlRTTYENDU=1)*(xlRTTYEQCL=$D239)*(xlRTEQTYPE=$E239),0))</f>
        <v>ELEC_HP3</v>
      </c>
      <c r="Y239" s="7" t="str">
        <f t="array" ref="Y239">INDEX(xlRTTYNAME,MATCH(1,(xlRTTYENDU=2)*(xlRTTYEQCL=$F239)*(xlRTEQTYPE=$G239),0))</f>
        <v>ELEC_HP3</v>
      </c>
    </row>
    <row r="240" spans="2:25" x14ac:dyDescent="0.2">
      <c r="B240" s="5">
        <v>9</v>
      </c>
      <c r="C240" s="5">
        <v>1</v>
      </c>
      <c r="D240" s="5">
        <v>2</v>
      </c>
      <c r="E240" s="5">
        <v>4</v>
      </c>
      <c r="F240" s="5">
        <v>3</v>
      </c>
      <c r="G240" s="31">
        <v>10</v>
      </c>
      <c r="H240" s="31">
        <v>2020</v>
      </c>
      <c r="I240" s="5">
        <v>2050</v>
      </c>
      <c r="J240" s="142">
        <v>1.0710999999999999</v>
      </c>
      <c r="K240" s="142">
        <v>1.0754999999999999</v>
      </c>
      <c r="L240" s="142">
        <v>0.87009999999999998</v>
      </c>
      <c r="M240" s="142">
        <v>0.9274</v>
      </c>
      <c r="N240" s="142">
        <v>1.0228999999999999</v>
      </c>
      <c r="O240" s="142">
        <v>1.0538000000000001</v>
      </c>
      <c r="P240" s="26">
        <v>11889.716410479148</v>
      </c>
      <c r="Q240" s="35">
        <f t="array" ref="Q240">SUM(IF(($S240&gt;=4)*($C240='TaxCred&amp;Subs'!$D$114:$D$121)*($H240='TaxCred&amp;Subs'!$C$114:$C$121)*($H240&lt;='TaxCred&amp;Subs'!$C$123),'TaxCred&amp;Subs'!$E$114:$E$121,0))</f>
        <v>0</v>
      </c>
      <c r="R240" s="143">
        <v>0</v>
      </c>
      <c r="S240" s="5">
        <v>3</v>
      </c>
      <c r="T240" s="5" t="s">
        <v>239</v>
      </c>
      <c r="V240" s="7" t="str">
        <f t="array" ref="V240">INDEX(xlRTCLNAME,MATCH(1,(xlRTCLENDU=1)*(xlRTCLEQCL=$D240),0))</f>
        <v>ELEC_HP</v>
      </c>
      <c r="W240" s="7" t="str">
        <f t="array" ref="W240">INDEX(xlRTCLNAME,MATCH(1,(xlRTCLENDU=2)*(xlRTCLEQCL=$F240),0))</f>
        <v>ELEC_HP</v>
      </c>
      <c r="X240" s="7" t="str">
        <f t="array" ref="X240">INDEX(xlRTTYNAME,MATCH(1,(xlRTTYENDU=1)*(xlRTTYEQCL=$D240)*(xlRTEQTYPE=$E240),0))</f>
        <v>ELEC_HP3</v>
      </c>
      <c r="Y240" s="7" t="str">
        <f t="array" ref="Y240">INDEX(xlRTTYNAME,MATCH(1,(xlRTTYENDU=2)*(xlRTTYEQCL=$F240)*(xlRTEQTYPE=$G240),0))</f>
        <v>ELEC_HP3</v>
      </c>
    </row>
    <row r="241" spans="2:25" x14ac:dyDescent="0.2">
      <c r="B241" s="5">
        <v>1</v>
      </c>
      <c r="C241" s="5">
        <v>1</v>
      </c>
      <c r="D241" s="5">
        <v>3</v>
      </c>
      <c r="E241" s="5">
        <v>8</v>
      </c>
      <c r="F241" s="5">
        <v>2</v>
      </c>
      <c r="G241" s="31">
        <v>6</v>
      </c>
      <c r="H241" s="31">
        <v>2020</v>
      </c>
      <c r="I241" s="31">
        <v>2028</v>
      </c>
      <c r="J241" s="142">
        <v>1.0803</v>
      </c>
      <c r="K241" s="142">
        <v>1.0667</v>
      </c>
      <c r="L241" s="142">
        <v>0.57279999999999998</v>
      </c>
      <c r="M241" s="142">
        <v>0.95909999999999995</v>
      </c>
      <c r="N241" s="142">
        <v>0.79790000000000005</v>
      </c>
      <c r="O241" s="142">
        <v>1.0538000000000001</v>
      </c>
      <c r="P241" s="26">
        <v>14588.196658792125</v>
      </c>
      <c r="Q241" s="35">
        <f t="array" ref="Q241">SUM(IF(($S241&gt;=4)*($C241='TaxCred&amp;Subs'!$D$114:$D$121)*($H241='TaxCred&amp;Subs'!$C$114:$C$121)*($H241&lt;='TaxCred&amp;Subs'!$C$123),'TaxCred&amp;Subs'!$E$114:$E$121,0))</f>
        <v>0</v>
      </c>
      <c r="R241" s="143">
        <v>0</v>
      </c>
      <c r="S241" s="5">
        <v>3</v>
      </c>
      <c r="T241" s="5" t="s">
        <v>239</v>
      </c>
      <c r="V241" s="7" t="str">
        <f t="array" ref="V241">INDEX(xlRTCLNAME,MATCH(1,(xlRTCLENDU=1)*(xlRTCLEQCL=$D241),0))</f>
        <v>NG_FA</v>
      </c>
      <c r="W241" s="7" t="str">
        <f t="array" ref="W241">INDEX(xlRTCLNAME,MATCH(1,(xlRTCLENDU=2)*(xlRTCLEQCL=$F241),0))</f>
        <v>CENT_AIR</v>
      </c>
      <c r="X241" s="7" t="str">
        <f t="array" ref="X241">INDEX(xlRTTYNAME,MATCH(1,(xlRTTYENDU=1)*(xlRTTYEQCL=$D241)*(xlRTEQTYPE=$E241),0))</f>
        <v>NG_FA3</v>
      </c>
      <c r="Y241" s="7" t="str">
        <f t="array" ref="Y241">INDEX(xlRTTYNAME,MATCH(1,(xlRTTYENDU=2)*(xlRTTYEQCL=$F241)*(xlRTEQTYPE=$G241),0))</f>
        <v>CENT_AIR3</v>
      </c>
    </row>
    <row r="242" spans="2:25" x14ac:dyDescent="0.2">
      <c r="B242" s="152">
        <v>1</v>
      </c>
      <c r="C242" s="152">
        <v>1</v>
      </c>
      <c r="D242" s="152">
        <v>3</v>
      </c>
      <c r="E242" s="152">
        <v>9</v>
      </c>
      <c r="F242" s="152">
        <v>2</v>
      </c>
      <c r="G242" s="152">
        <v>6</v>
      </c>
      <c r="H242" s="152">
        <v>2029</v>
      </c>
      <c r="I242" s="152">
        <v>2050</v>
      </c>
      <c r="J242" s="229">
        <v>1.0803</v>
      </c>
      <c r="K242" s="229">
        <v>1.0667</v>
      </c>
      <c r="L242" s="229">
        <v>0.57279999999999998</v>
      </c>
      <c r="M242" s="229">
        <v>0.95909999999999995</v>
      </c>
      <c r="N242" s="229">
        <v>0.79790000000000005</v>
      </c>
      <c r="O242" s="229">
        <v>1.0538000000000001</v>
      </c>
      <c r="P242" s="155">
        <v>14588.196658792125</v>
      </c>
      <c r="Q242" s="41">
        <f t="array" ref="Q242">SUM(IF(($S242&gt;=4)*($C242='TaxCred&amp;Subs'!$D$114:$D$121)*($H242='TaxCred&amp;Subs'!$C$114:$C$121)*($H242&lt;='TaxCred&amp;Subs'!$C$123),'TaxCred&amp;Subs'!$E$114:$E$121,0))</f>
        <v>0</v>
      </c>
      <c r="R242" s="230">
        <v>0</v>
      </c>
      <c r="S242" s="152">
        <v>3</v>
      </c>
      <c r="T242" s="152" t="s">
        <v>239</v>
      </c>
      <c r="V242" s="7" t="str">
        <f t="array" ref="V242">INDEX(xlRTCLNAME,MATCH(1,(xlRTCLENDU=1)*(xlRTCLEQCL=$D242),0))</f>
        <v>NG_FA</v>
      </c>
      <c r="W242" s="7" t="str">
        <f t="array" ref="W242">INDEX(xlRTCLNAME,MATCH(1,(xlRTCLENDU=2)*(xlRTCLEQCL=$F242),0))</f>
        <v>CENT_AIR</v>
      </c>
      <c r="X242" s="7" t="str">
        <f t="array" ref="X242">INDEX(xlRTTYNAME,MATCH(1,(xlRTTYENDU=1)*(xlRTTYEQCL=$D242)*(xlRTEQTYPE=$E242),0))</f>
        <v>NG_FA4</v>
      </c>
      <c r="Y242" s="7" t="str">
        <f t="array" ref="Y242">INDEX(xlRTTYNAME,MATCH(1,(xlRTTYENDU=2)*(xlRTTYEQCL=$F242)*(xlRTEQTYPE=$G242),0))</f>
        <v>CENT_AIR3</v>
      </c>
    </row>
    <row r="243" spans="2:25" x14ac:dyDescent="0.2">
      <c r="B243" s="5">
        <v>2</v>
      </c>
      <c r="C243" s="5">
        <v>1</v>
      </c>
      <c r="D243" s="5">
        <v>3</v>
      </c>
      <c r="E243" s="5">
        <v>8</v>
      </c>
      <c r="F243" s="5">
        <v>2</v>
      </c>
      <c r="G243" s="31">
        <v>6</v>
      </c>
      <c r="H243" s="31">
        <v>2020</v>
      </c>
      <c r="I243" s="31">
        <v>2028</v>
      </c>
      <c r="J243" s="142">
        <v>1.0649</v>
      </c>
      <c r="K243" s="142">
        <v>1.0597000000000001</v>
      </c>
      <c r="L243" s="142">
        <v>0.6411</v>
      </c>
      <c r="M243" s="142">
        <v>0.84060000000000001</v>
      </c>
      <c r="N243" s="142">
        <v>0.93169999999999997</v>
      </c>
      <c r="O243" s="142">
        <v>1.0538000000000001</v>
      </c>
      <c r="P243" s="26">
        <v>14476.600315688</v>
      </c>
      <c r="Q243" s="35">
        <f t="array" ref="Q243">SUM(IF(($S243&gt;=4)*($C243='TaxCred&amp;Subs'!$D$114:$D$121)*($H243='TaxCred&amp;Subs'!$C$114:$C$121)*($H243&lt;='TaxCred&amp;Subs'!$C$123),'TaxCred&amp;Subs'!$E$114:$E$121,0))</f>
        <v>0</v>
      </c>
      <c r="R243" s="143">
        <v>0</v>
      </c>
      <c r="S243" s="5">
        <v>3</v>
      </c>
      <c r="T243" s="5" t="s">
        <v>239</v>
      </c>
      <c r="V243" s="7" t="str">
        <f t="array" ref="V243">INDEX(xlRTCLNAME,MATCH(1,(xlRTCLENDU=1)*(xlRTCLEQCL=$D243),0))</f>
        <v>NG_FA</v>
      </c>
      <c r="W243" s="7" t="str">
        <f t="array" ref="W243">INDEX(xlRTCLNAME,MATCH(1,(xlRTCLENDU=2)*(xlRTCLEQCL=$F243),0))</f>
        <v>CENT_AIR</v>
      </c>
      <c r="X243" s="7" t="str">
        <f t="array" ref="X243">INDEX(xlRTTYNAME,MATCH(1,(xlRTTYENDU=1)*(xlRTTYEQCL=$D243)*(xlRTEQTYPE=$E243),0))</f>
        <v>NG_FA3</v>
      </c>
      <c r="Y243" s="7" t="str">
        <f t="array" ref="Y243">INDEX(xlRTTYNAME,MATCH(1,(xlRTTYENDU=2)*(xlRTTYEQCL=$F243)*(xlRTEQTYPE=$G243),0))</f>
        <v>CENT_AIR3</v>
      </c>
    </row>
    <row r="244" spans="2:25" x14ac:dyDescent="0.2">
      <c r="B244" s="152">
        <v>2</v>
      </c>
      <c r="C244" s="152">
        <v>1</v>
      </c>
      <c r="D244" s="152">
        <v>3</v>
      </c>
      <c r="E244" s="152">
        <v>9</v>
      </c>
      <c r="F244" s="152">
        <v>2</v>
      </c>
      <c r="G244" s="152">
        <v>6</v>
      </c>
      <c r="H244" s="152">
        <v>2029</v>
      </c>
      <c r="I244" s="152">
        <v>2050</v>
      </c>
      <c r="J244" s="229">
        <v>1.0649</v>
      </c>
      <c r="K244" s="229">
        <v>1.0597000000000001</v>
      </c>
      <c r="L244" s="229">
        <v>0.6411</v>
      </c>
      <c r="M244" s="229">
        <v>0.84060000000000001</v>
      </c>
      <c r="N244" s="229">
        <v>0.93169999999999997</v>
      </c>
      <c r="O244" s="229">
        <v>1.0538000000000001</v>
      </c>
      <c r="P244" s="155">
        <v>14476.600315688</v>
      </c>
      <c r="Q244" s="41">
        <f t="array" ref="Q244">SUM(IF(($S244&gt;=4)*($C244='TaxCred&amp;Subs'!$D$114:$D$121)*($H244='TaxCred&amp;Subs'!$C$114:$C$121)*($H244&lt;='TaxCred&amp;Subs'!$C$123),'TaxCred&amp;Subs'!$E$114:$E$121,0))</f>
        <v>0</v>
      </c>
      <c r="R244" s="230">
        <v>0</v>
      </c>
      <c r="S244" s="152">
        <v>3</v>
      </c>
      <c r="T244" s="152" t="s">
        <v>239</v>
      </c>
      <c r="V244" s="7" t="str">
        <f t="array" ref="V244">INDEX(xlRTCLNAME,MATCH(1,(xlRTCLENDU=1)*(xlRTCLEQCL=$D244),0))</f>
        <v>NG_FA</v>
      </c>
      <c r="W244" s="7" t="str">
        <f t="array" ref="W244">INDEX(xlRTCLNAME,MATCH(1,(xlRTCLENDU=2)*(xlRTCLEQCL=$F244),0))</f>
        <v>CENT_AIR</v>
      </c>
      <c r="X244" s="7" t="str">
        <f t="array" ref="X244">INDEX(xlRTTYNAME,MATCH(1,(xlRTTYENDU=1)*(xlRTTYEQCL=$D244)*(xlRTEQTYPE=$E244),0))</f>
        <v>NG_FA4</v>
      </c>
      <c r="Y244" s="7" t="str">
        <f t="array" ref="Y244">INDEX(xlRTTYNAME,MATCH(1,(xlRTTYENDU=2)*(xlRTTYEQCL=$F244)*(xlRTEQTYPE=$G244),0))</f>
        <v>CENT_AIR3</v>
      </c>
    </row>
    <row r="245" spans="2:25" x14ac:dyDescent="0.2">
      <c r="B245" s="5">
        <v>3</v>
      </c>
      <c r="C245" s="5">
        <v>1</v>
      </c>
      <c r="D245" s="5">
        <v>3</v>
      </c>
      <c r="E245" s="5">
        <v>8</v>
      </c>
      <c r="F245" s="5">
        <v>2</v>
      </c>
      <c r="G245" s="31">
        <v>6</v>
      </c>
      <c r="H245" s="31">
        <v>2020</v>
      </c>
      <c r="I245" s="31">
        <v>2028</v>
      </c>
      <c r="J245" s="142">
        <v>1.0469999999999999</v>
      </c>
      <c r="K245" s="142">
        <v>1.0769</v>
      </c>
      <c r="L245" s="142">
        <v>0.52969999999999995</v>
      </c>
      <c r="M245" s="142">
        <v>0.9194</v>
      </c>
      <c r="N245" s="142">
        <v>0.91600000000000004</v>
      </c>
      <c r="O245" s="142">
        <v>1.0538000000000001</v>
      </c>
      <c r="P245" s="26">
        <v>13002.990773011856</v>
      </c>
      <c r="Q245" s="35">
        <f t="array" ref="Q245">SUM(IF(($S245&gt;=4)*($C245='TaxCred&amp;Subs'!$D$114:$D$121)*($H245='TaxCred&amp;Subs'!$C$114:$C$121)*($H245&lt;='TaxCred&amp;Subs'!$C$123),'TaxCred&amp;Subs'!$E$114:$E$121,0))</f>
        <v>0</v>
      </c>
      <c r="R245" s="143">
        <v>0</v>
      </c>
      <c r="S245" s="5">
        <v>3</v>
      </c>
      <c r="T245" s="5" t="s">
        <v>239</v>
      </c>
      <c r="V245" s="7" t="str">
        <f t="array" ref="V245">INDEX(xlRTCLNAME,MATCH(1,(xlRTCLENDU=1)*(xlRTCLEQCL=$D245),0))</f>
        <v>NG_FA</v>
      </c>
      <c r="W245" s="7" t="str">
        <f t="array" ref="W245">INDEX(xlRTCLNAME,MATCH(1,(xlRTCLENDU=2)*(xlRTCLEQCL=$F245),0))</f>
        <v>CENT_AIR</v>
      </c>
      <c r="X245" s="7" t="str">
        <f t="array" ref="X245">INDEX(xlRTTYNAME,MATCH(1,(xlRTTYENDU=1)*(xlRTTYEQCL=$D245)*(xlRTEQTYPE=$E245),0))</f>
        <v>NG_FA3</v>
      </c>
      <c r="Y245" s="7" t="str">
        <f t="array" ref="Y245">INDEX(xlRTTYNAME,MATCH(1,(xlRTTYENDU=2)*(xlRTTYEQCL=$F245)*(xlRTEQTYPE=$G245),0))</f>
        <v>CENT_AIR3</v>
      </c>
    </row>
    <row r="246" spans="2:25" x14ac:dyDescent="0.2">
      <c r="B246" s="152">
        <v>3</v>
      </c>
      <c r="C246" s="152">
        <v>1</v>
      </c>
      <c r="D246" s="152">
        <v>3</v>
      </c>
      <c r="E246" s="152">
        <v>9</v>
      </c>
      <c r="F246" s="152">
        <v>2</v>
      </c>
      <c r="G246" s="152">
        <v>6</v>
      </c>
      <c r="H246" s="152">
        <v>2029</v>
      </c>
      <c r="I246" s="152">
        <v>2050</v>
      </c>
      <c r="J246" s="229">
        <v>1.0469999999999999</v>
      </c>
      <c r="K246" s="229">
        <v>1.0769</v>
      </c>
      <c r="L246" s="229">
        <v>0.52969999999999995</v>
      </c>
      <c r="M246" s="229">
        <v>0.9194</v>
      </c>
      <c r="N246" s="229">
        <v>0.91600000000000004</v>
      </c>
      <c r="O246" s="229">
        <v>1.0538000000000001</v>
      </c>
      <c r="P246" s="155">
        <v>13002.990773011856</v>
      </c>
      <c r="Q246" s="41">
        <f t="array" ref="Q246">SUM(IF(($S246&gt;=4)*($C246='TaxCred&amp;Subs'!$D$114:$D$121)*($H246='TaxCred&amp;Subs'!$C$114:$C$121)*($H246&lt;='TaxCred&amp;Subs'!$C$123),'TaxCred&amp;Subs'!$E$114:$E$121,0))</f>
        <v>0</v>
      </c>
      <c r="R246" s="230">
        <v>0</v>
      </c>
      <c r="S246" s="152">
        <v>3</v>
      </c>
      <c r="T246" s="152" t="s">
        <v>239</v>
      </c>
      <c r="V246" s="7" t="str">
        <f t="array" ref="V246">INDEX(xlRTCLNAME,MATCH(1,(xlRTCLENDU=1)*(xlRTCLEQCL=$D246),0))</f>
        <v>NG_FA</v>
      </c>
      <c r="W246" s="7" t="str">
        <f t="array" ref="W246">INDEX(xlRTCLNAME,MATCH(1,(xlRTCLENDU=2)*(xlRTCLEQCL=$F246),0))</f>
        <v>CENT_AIR</v>
      </c>
      <c r="X246" s="7" t="str">
        <f t="array" ref="X246">INDEX(xlRTTYNAME,MATCH(1,(xlRTTYENDU=1)*(xlRTTYEQCL=$D246)*(xlRTEQTYPE=$E246),0))</f>
        <v>NG_FA4</v>
      </c>
      <c r="Y246" s="7" t="str">
        <f t="array" ref="Y246">INDEX(xlRTTYNAME,MATCH(1,(xlRTTYENDU=2)*(xlRTTYEQCL=$F246)*(xlRTEQTYPE=$G246),0))</f>
        <v>CENT_AIR3</v>
      </c>
    </row>
    <row r="247" spans="2:25" x14ac:dyDescent="0.2">
      <c r="B247" s="5">
        <v>4</v>
      </c>
      <c r="C247" s="5">
        <v>1</v>
      </c>
      <c r="D247" s="5">
        <v>3</v>
      </c>
      <c r="E247" s="5">
        <v>8</v>
      </c>
      <c r="F247" s="5">
        <v>2</v>
      </c>
      <c r="G247" s="31">
        <v>6</v>
      </c>
      <c r="H247" s="31">
        <v>2020</v>
      </c>
      <c r="I247" s="31">
        <v>2028</v>
      </c>
      <c r="J247" s="142">
        <v>1.0862000000000001</v>
      </c>
      <c r="K247" s="142">
        <v>1.0769</v>
      </c>
      <c r="L247" s="142">
        <v>0.53590000000000004</v>
      </c>
      <c r="M247" s="142">
        <v>0.85419999999999996</v>
      </c>
      <c r="N247" s="142">
        <v>0.85770000000000002</v>
      </c>
      <c r="O247" s="142">
        <v>1.0538000000000001</v>
      </c>
      <c r="P247" s="26">
        <v>10395.938853989004</v>
      </c>
      <c r="Q247" s="35">
        <f t="array" ref="Q247">SUM(IF(($S247&gt;=4)*($C247='TaxCred&amp;Subs'!$D$114:$D$121)*($H247='TaxCred&amp;Subs'!$C$114:$C$121)*($H247&lt;='TaxCred&amp;Subs'!$C$123),'TaxCred&amp;Subs'!$E$114:$E$121,0))</f>
        <v>0</v>
      </c>
      <c r="R247" s="143">
        <v>0</v>
      </c>
      <c r="S247" s="5">
        <v>3</v>
      </c>
      <c r="T247" s="5" t="s">
        <v>239</v>
      </c>
      <c r="V247" s="7" t="str">
        <f t="array" ref="V247">INDEX(xlRTCLNAME,MATCH(1,(xlRTCLENDU=1)*(xlRTCLEQCL=$D247),0))</f>
        <v>NG_FA</v>
      </c>
      <c r="W247" s="7" t="str">
        <f t="array" ref="W247">INDEX(xlRTCLNAME,MATCH(1,(xlRTCLENDU=2)*(xlRTCLEQCL=$F247),0))</f>
        <v>CENT_AIR</v>
      </c>
      <c r="X247" s="7" t="str">
        <f t="array" ref="X247">INDEX(xlRTTYNAME,MATCH(1,(xlRTTYENDU=1)*(xlRTTYEQCL=$D247)*(xlRTEQTYPE=$E247),0))</f>
        <v>NG_FA3</v>
      </c>
      <c r="Y247" s="7" t="str">
        <f t="array" ref="Y247">INDEX(xlRTTYNAME,MATCH(1,(xlRTTYENDU=2)*(xlRTTYEQCL=$F247)*(xlRTEQTYPE=$G247),0))</f>
        <v>CENT_AIR3</v>
      </c>
    </row>
    <row r="248" spans="2:25" x14ac:dyDescent="0.2">
      <c r="B248" s="152">
        <v>4</v>
      </c>
      <c r="C248" s="152">
        <v>1</v>
      </c>
      <c r="D248" s="152">
        <v>3</v>
      </c>
      <c r="E248" s="152">
        <v>9</v>
      </c>
      <c r="F248" s="152">
        <v>2</v>
      </c>
      <c r="G248" s="152">
        <v>6</v>
      </c>
      <c r="H248" s="152">
        <v>2029</v>
      </c>
      <c r="I248" s="152">
        <v>2050</v>
      </c>
      <c r="J248" s="229">
        <v>1.0862000000000001</v>
      </c>
      <c r="K248" s="229">
        <v>1.0769</v>
      </c>
      <c r="L248" s="229">
        <v>0.53590000000000004</v>
      </c>
      <c r="M248" s="229">
        <v>0.85419999999999996</v>
      </c>
      <c r="N248" s="229">
        <v>0.85770000000000002</v>
      </c>
      <c r="O248" s="229">
        <v>1.0538000000000001</v>
      </c>
      <c r="P248" s="155">
        <v>10395.938853989004</v>
      </c>
      <c r="Q248" s="41">
        <f t="array" ref="Q248">SUM(IF(($S248&gt;=4)*($C248='TaxCred&amp;Subs'!$D$114:$D$121)*($H248='TaxCred&amp;Subs'!$C$114:$C$121)*($H248&lt;='TaxCred&amp;Subs'!$C$123),'TaxCred&amp;Subs'!$E$114:$E$121,0))</f>
        <v>0</v>
      </c>
      <c r="R248" s="230">
        <v>0</v>
      </c>
      <c r="S248" s="152">
        <v>3</v>
      </c>
      <c r="T248" s="152" t="s">
        <v>239</v>
      </c>
      <c r="V248" s="7" t="str">
        <f t="array" ref="V248">INDEX(xlRTCLNAME,MATCH(1,(xlRTCLENDU=1)*(xlRTCLEQCL=$D248),0))</f>
        <v>NG_FA</v>
      </c>
      <c r="W248" s="7" t="str">
        <f t="array" ref="W248">INDEX(xlRTCLNAME,MATCH(1,(xlRTCLENDU=2)*(xlRTCLEQCL=$F248),0))</f>
        <v>CENT_AIR</v>
      </c>
      <c r="X248" s="7" t="str">
        <f t="array" ref="X248">INDEX(xlRTTYNAME,MATCH(1,(xlRTTYENDU=1)*(xlRTTYEQCL=$D248)*(xlRTEQTYPE=$E248),0))</f>
        <v>NG_FA4</v>
      </c>
      <c r="Y248" s="7" t="str">
        <f t="array" ref="Y248">INDEX(xlRTTYNAME,MATCH(1,(xlRTTYENDU=2)*(xlRTTYEQCL=$F248)*(xlRTEQTYPE=$G248),0))</f>
        <v>CENT_AIR3</v>
      </c>
    </row>
    <row r="249" spans="2:25" x14ac:dyDescent="0.2">
      <c r="B249" s="5">
        <v>5</v>
      </c>
      <c r="C249" s="5">
        <v>1</v>
      </c>
      <c r="D249" s="5">
        <v>3</v>
      </c>
      <c r="E249" s="5">
        <v>8</v>
      </c>
      <c r="F249" s="5">
        <v>2</v>
      </c>
      <c r="G249" s="31">
        <v>6</v>
      </c>
      <c r="H249" s="31">
        <v>2020</v>
      </c>
      <c r="I249" s="31">
        <v>2028</v>
      </c>
      <c r="J249" s="142">
        <v>1.0849</v>
      </c>
      <c r="K249" s="142">
        <v>1.0471999999999999</v>
      </c>
      <c r="L249" s="142">
        <v>0.6915</v>
      </c>
      <c r="M249" s="142">
        <v>0.88759999999999994</v>
      </c>
      <c r="N249" s="142">
        <v>0.76180000000000003</v>
      </c>
      <c r="O249" s="142">
        <v>1.0538000000000001</v>
      </c>
      <c r="P249" s="26">
        <v>9562.3276163437404</v>
      </c>
      <c r="Q249" s="35">
        <f t="array" ref="Q249">SUM(IF(($S249&gt;=4)*($C249='TaxCred&amp;Subs'!$D$114:$D$121)*($H249='TaxCred&amp;Subs'!$C$114:$C$121)*($H249&lt;='TaxCred&amp;Subs'!$C$123),'TaxCred&amp;Subs'!$E$114:$E$121,0))</f>
        <v>0</v>
      </c>
      <c r="R249" s="143">
        <v>0</v>
      </c>
      <c r="S249" s="5">
        <v>3</v>
      </c>
      <c r="T249" s="5" t="s">
        <v>239</v>
      </c>
      <c r="V249" s="7" t="str">
        <f t="array" ref="V249">INDEX(xlRTCLNAME,MATCH(1,(xlRTCLENDU=1)*(xlRTCLEQCL=$D249),0))</f>
        <v>NG_FA</v>
      </c>
      <c r="W249" s="7" t="str">
        <f t="array" ref="W249">INDEX(xlRTCLNAME,MATCH(1,(xlRTCLENDU=2)*(xlRTCLEQCL=$F249),0))</f>
        <v>CENT_AIR</v>
      </c>
      <c r="X249" s="7" t="str">
        <f t="array" ref="X249">INDEX(xlRTTYNAME,MATCH(1,(xlRTTYENDU=1)*(xlRTTYEQCL=$D249)*(xlRTEQTYPE=$E249),0))</f>
        <v>NG_FA3</v>
      </c>
      <c r="Y249" s="7" t="str">
        <f t="array" ref="Y249">INDEX(xlRTTYNAME,MATCH(1,(xlRTTYENDU=2)*(xlRTTYEQCL=$F249)*(xlRTEQTYPE=$G249),0))</f>
        <v>CENT_AIR3</v>
      </c>
    </row>
    <row r="250" spans="2:25" x14ac:dyDescent="0.2">
      <c r="B250" s="152">
        <v>5</v>
      </c>
      <c r="C250" s="152">
        <v>1</v>
      </c>
      <c r="D250" s="152">
        <v>3</v>
      </c>
      <c r="E250" s="152">
        <v>9</v>
      </c>
      <c r="F250" s="152">
        <v>2</v>
      </c>
      <c r="G250" s="152">
        <v>6</v>
      </c>
      <c r="H250" s="152">
        <v>2029</v>
      </c>
      <c r="I250" s="152">
        <v>2050</v>
      </c>
      <c r="J250" s="229">
        <v>1.0849</v>
      </c>
      <c r="K250" s="229">
        <v>1.0471999999999999</v>
      </c>
      <c r="L250" s="229">
        <v>0.6915</v>
      </c>
      <c r="M250" s="229">
        <v>0.88759999999999994</v>
      </c>
      <c r="N250" s="229">
        <v>0.76180000000000003</v>
      </c>
      <c r="O250" s="229">
        <v>1.0538000000000001</v>
      </c>
      <c r="P250" s="155">
        <v>9562.3276163437404</v>
      </c>
      <c r="Q250" s="41">
        <f t="array" ref="Q250">SUM(IF(($S250&gt;=4)*($C250='TaxCred&amp;Subs'!$D$114:$D$121)*($H250='TaxCred&amp;Subs'!$C$114:$C$121)*($H250&lt;='TaxCred&amp;Subs'!$C$123),'TaxCred&amp;Subs'!$E$114:$E$121,0))</f>
        <v>0</v>
      </c>
      <c r="R250" s="230">
        <v>0</v>
      </c>
      <c r="S250" s="152">
        <v>3</v>
      </c>
      <c r="T250" s="152" t="s">
        <v>239</v>
      </c>
      <c r="V250" s="7" t="str">
        <f t="array" ref="V250">INDEX(xlRTCLNAME,MATCH(1,(xlRTCLENDU=1)*(xlRTCLEQCL=$D250),0))</f>
        <v>NG_FA</v>
      </c>
      <c r="W250" s="7" t="str">
        <f t="array" ref="W250">INDEX(xlRTCLNAME,MATCH(1,(xlRTCLENDU=2)*(xlRTCLEQCL=$F250),0))</f>
        <v>CENT_AIR</v>
      </c>
      <c r="X250" s="7" t="str">
        <f t="array" ref="X250">INDEX(xlRTTYNAME,MATCH(1,(xlRTTYENDU=1)*(xlRTTYEQCL=$D250)*(xlRTEQTYPE=$E250),0))</f>
        <v>NG_FA4</v>
      </c>
      <c r="Y250" s="7" t="str">
        <f t="array" ref="Y250">INDEX(xlRTTYNAME,MATCH(1,(xlRTTYENDU=2)*(xlRTTYEQCL=$F250)*(xlRTEQTYPE=$G250),0))</f>
        <v>CENT_AIR3</v>
      </c>
    </row>
    <row r="251" spans="2:25" x14ac:dyDescent="0.2">
      <c r="B251" s="5">
        <v>6</v>
      </c>
      <c r="C251" s="5">
        <v>1</v>
      </c>
      <c r="D251" s="5">
        <v>3</v>
      </c>
      <c r="E251" s="5">
        <v>8</v>
      </c>
      <c r="F251" s="5">
        <v>2</v>
      </c>
      <c r="G251" s="31">
        <v>6</v>
      </c>
      <c r="H251" s="31">
        <v>2020</v>
      </c>
      <c r="I251" s="31">
        <v>2028</v>
      </c>
      <c r="J251" s="142">
        <v>1.0924</v>
      </c>
      <c r="K251" s="142">
        <v>1.0661</v>
      </c>
      <c r="L251" s="142">
        <v>0.75209999999999999</v>
      </c>
      <c r="M251" s="142">
        <v>0.89880000000000004</v>
      </c>
      <c r="N251" s="142">
        <v>0.89100000000000001</v>
      </c>
      <c r="O251" s="142">
        <v>1.0538000000000001</v>
      </c>
      <c r="P251" s="26">
        <v>10342.157483818342</v>
      </c>
      <c r="Q251" s="35">
        <f t="array" ref="Q251">SUM(IF(($S251&gt;=4)*($C251='TaxCred&amp;Subs'!$D$114:$D$121)*($H251='TaxCred&amp;Subs'!$C$114:$C$121)*($H251&lt;='TaxCred&amp;Subs'!$C$123),'TaxCred&amp;Subs'!$E$114:$E$121,0))</f>
        <v>0</v>
      </c>
      <c r="R251" s="143">
        <v>0</v>
      </c>
      <c r="S251" s="5">
        <v>3</v>
      </c>
      <c r="T251" s="5" t="s">
        <v>239</v>
      </c>
      <c r="V251" s="7" t="str">
        <f t="array" ref="V251">INDEX(xlRTCLNAME,MATCH(1,(xlRTCLENDU=1)*(xlRTCLEQCL=$D251),0))</f>
        <v>NG_FA</v>
      </c>
      <c r="W251" s="7" t="str">
        <f t="array" ref="W251">INDEX(xlRTCLNAME,MATCH(1,(xlRTCLENDU=2)*(xlRTCLEQCL=$F251),0))</f>
        <v>CENT_AIR</v>
      </c>
      <c r="X251" s="7" t="str">
        <f t="array" ref="X251">INDEX(xlRTTYNAME,MATCH(1,(xlRTTYENDU=1)*(xlRTTYEQCL=$D251)*(xlRTEQTYPE=$E251),0))</f>
        <v>NG_FA3</v>
      </c>
      <c r="Y251" s="7" t="str">
        <f t="array" ref="Y251">INDEX(xlRTTYNAME,MATCH(1,(xlRTTYENDU=2)*(xlRTTYEQCL=$F251)*(xlRTEQTYPE=$G251),0))</f>
        <v>CENT_AIR3</v>
      </c>
    </row>
    <row r="252" spans="2:25" x14ac:dyDescent="0.2">
      <c r="B252" s="152">
        <v>6</v>
      </c>
      <c r="C252" s="152">
        <v>1</v>
      </c>
      <c r="D252" s="152">
        <v>3</v>
      </c>
      <c r="E252" s="152">
        <v>9</v>
      </c>
      <c r="F252" s="152">
        <v>2</v>
      </c>
      <c r="G252" s="152">
        <v>6</v>
      </c>
      <c r="H252" s="152">
        <v>2029</v>
      </c>
      <c r="I252" s="152">
        <v>2050</v>
      </c>
      <c r="J252" s="229">
        <v>1.0924</v>
      </c>
      <c r="K252" s="229">
        <v>1.0661</v>
      </c>
      <c r="L252" s="229">
        <v>0.75209999999999999</v>
      </c>
      <c r="M252" s="229">
        <v>0.89880000000000004</v>
      </c>
      <c r="N252" s="229">
        <v>0.89100000000000001</v>
      </c>
      <c r="O252" s="229">
        <v>1.0538000000000001</v>
      </c>
      <c r="P252" s="155">
        <v>10342.157483818342</v>
      </c>
      <c r="Q252" s="41">
        <f t="array" ref="Q252">SUM(IF(($S252&gt;=4)*($C252='TaxCred&amp;Subs'!$D$114:$D$121)*($H252='TaxCred&amp;Subs'!$C$114:$C$121)*($H252&lt;='TaxCred&amp;Subs'!$C$123),'TaxCred&amp;Subs'!$E$114:$E$121,0))</f>
        <v>0</v>
      </c>
      <c r="R252" s="230">
        <v>0</v>
      </c>
      <c r="S252" s="152">
        <v>3</v>
      </c>
      <c r="T252" s="152" t="s">
        <v>239</v>
      </c>
      <c r="V252" s="7" t="str">
        <f t="array" ref="V252">INDEX(xlRTCLNAME,MATCH(1,(xlRTCLENDU=1)*(xlRTCLEQCL=$D252),0))</f>
        <v>NG_FA</v>
      </c>
      <c r="W252" s="7" t="str">
        <f t="array" ref="W252">INDEX(xlRTCLNAME,MATCH(1,(xlRTCLENDU=2)*(xlRTCLEQCL=$F252),0))</f>
        <v>CENT_AIR</v>
      </c>
      <c r="X252" s="7" t="str">
        <f t="array" ref="X252">INDEX(xlRTTYNAME,MATCH(1,(xlRTTYENDU=1)*(xlRTTYEQCL=$D252)*(xlRTEQTYPE=$E252),0))</f>
        <v>NG_FA4</v>
      </c>
      <c r="Y252" s="7" t="str">
        <f t="array" ref="Y252">INDEX(xlRTTYNAME,MATCH(1,(xlRTTYENDU=2)*(xlRTTYEQCL=$F252)*(xlRTEQTYPE=$G252),0))</f>
        <v>CENT_AIR3</v>
      </c>
    </row>
    <row r="253" spans="2:25" x14ac:dyDescent="0.2">
      <c r="B253" s="5">
        <v>7</v>
      </c>
      <c r="C253" s="5">
        <v>1</v>
      </c>
      <c r="D253" s="5">
        <v>3</v>
      </c>
      <c r="E253" s="5">
        <v>8</v>
      </c>
      <c r="F253" s="5">
        <v>2</v>
      </c>
      <c r="G253" s="31">
        <v>6</v>
      </c>
      <c r="H253" s="31">
        <v>2020</v>
      </c>
      <c r="I253" s="31">
        <v>2028</v>
      </c>
      <c r="J253" s="142">
        <v>1.0905</v>
      </c>
      <c r="K253" s="142">
        <v>1.0562</v>
      </c>
      <c r="L253" s="142">
        <v>0.77559999999999996</v>
      </c>
      <c r="M253" s="142">
        <v>0.80289999999999995</v>
      </c>
      <c r="N253" s="142">
        <v>0.87180000000000002</v>
      </c>
      <c r="O253" s="142">
        <v>1.0538000000000001</v>
      </c>
      <c r="P253" s="26">
        <v>9279.9754229477639</v>
      </c>
      <c r="Q253" s="35">
        <f t="array" ref="Q253">SUM(IF(($S253&gt;=4)*($C253='TaxCred&amp;Subs'!$D$114:$D$121)*($H253='TaxCred&amp;Subs'!$C$114:$C$121)*($H253&lt;='TaxCred&amp;Subs'!$C$123),'TaxCred&amp;Subs'!$E$114:$E$121,0))</f>
        <v>0</v>
      </c>
      <c r="R253" s="143">
        <v>0</v>
      </c>
      <c r="S253" s="5">
        <v>3</v>
      </c>
      <c r="T253" s="5" t="s">
        <v>239</v>
      </c>
      <c r="V253" s="7" t="str">
        <f t="array" ref="V253">INDEX(xlRTCLNAME,MATCH(1,(xlRTCLENDU=1)*(xlRTCLEQCL=$D253),0))</f>
        <v>NG_FA</v>
      </c>
      <c r="W253" s="7" t="str">
        <f t="array" ref="W253">INDEX(xlRTCLNAME,MATCH(1,(xlRTCLENDU=2)*(xlRTCLEQCL=$F253),0))</f>
        <v>CENT_AIR</v>
      </c>
      <c r="X253" s="7" t="str">
        <f t="array" ref="X253">INDEX(xlRTTYNAME,MATCH(1,(xlRTTYENDU=1)*(xlRTTYEQCL=$D253)*(xlRTEQTYPE=$E253),0))</f>
        <v>NG_FA3</v>
      </c>
      <c r="Y253" s="7" t="str">
        <f t="array" ref="Y253">INDEX(xlRTTYNAME,MATCH(1,(xlRTTYENDU=2)*(xlRTTYEQCL=$F253)*(xlRTEQTYPE=$G253),0))</f>
        <v>CENT_AIR3</v>
      </c>
    </row>
    <row r="254" spans="2:25" x14ac:dyDescent="0.2">
      <c r="B254" s="152">
        <v>7</v>
      </c>
      <c r="C254" s="152">
        <v>1</v>
      </c>
      <c r="D254" s="152">
        <v>3</v>
      </c>
      <c r="E254" s="152">
        <v>9</v>
      </c>
      <c r="F254" s="152">
        <v>2</v>
      </c>
      <c r="G254" s="152">
        <v>6</v>
      </c>
      <c r="H254" s="152">
        <v>2029</v>
      </c>
      <c r="I254" s="152">
        <v>2050</v>
      </c>
      <c r="J254" s="229">
        <v>1.0905</v>
      </c>
      <c r="K254" s="229">
        <v>1.0562</v>
      </c>
      <c r="L254" s="229">
        <v>0.77559999999999996</v>
      </c>
      <c r="M254" s="229">
        <v>0.80289999999999995</v>
      </c>
      <c r="N254" s="229">
        <v>0.87180000000000002</v>
      </c>
      <c r="O254" s="229">
        <v>1.0538000000000001</v>
      </c>
      <c r="P254" s="155">
        <v>9279.9754229477639</v>
      </c>
      <c r="Q254" s="41">
        <f t="array" ref="Q254">SUM(IF(($S254&gt;=4)*($C254='TaxCred&amp;Subs'!$D$114:$D$121)*($H254='TaxCred&amp;Subs'!$C$114:$C$121)*($H254&lt;='TaxCred&amp;Subs'!$C$123),'TaxCred&amp;Subs'!$E$114:$E$121,0))</f>
        <v>0</v>
      </c>
      <c r="R254" s="230">
        <v>0</v>
      </c>
      <c r="S254" s="152">
        <v>3</v>
      </c>
      <c r="T254" s="152" t="s">
        <v>239</v>
      </c>
      <c r="V254" s="7" t="str">
        <f t="array" ref="V254">INDEX(xlRTCLNAME,MATCH(1,(xlRTCLENDU=1)*(xlRTCLEQCL=$D254),0))</f>
        <v>NG_FA</v>
      </c>
      <c r="W254" s="7" t="str">
        <f t="array" ref="W254">INDEX(xlRTCLNAME,MATCH(1,(xlRTCLENDU=2)*(xlRTCLEQCL=$F254),0))</f>
        <v>CENT_AIR</v>
      </c>
      <c r="X254" s="7" t="str">
        <f t="array" ref="X254">INDEX(xlRTTYNAME,MATCH(1,(xlRTTYENDU=1)*(xlRTTYEQCL=$D254)*(xlRTEQTYPE=$E254),0))</f>
        <v>NG_FA4</v>
      </c>
      <c r="Y254" s="7" t="str">
        <f t="array" ref="Y254">INDEX(xlRTTYNAME,MATCH(1,(xlRTTYENDU=2)*(xlRTTYEQCL=$F254)*(xlRTEQTYPE=$G254),0))</f>
        <v>CENT_AIR3</v>
      </c>
    </row>
    <row r="255" spans="2:25" x14ac:dyDescent="0.2">
      <c r="B255" s="5">
        <v>8</v>
      </c>
      <c r="C255" s="5">
        <v>1</v>
      </c>
      <c r="D255" s="5">
        <v>3</v>
      </c>
      <c r="E255" s="5">
        <v>8</v>
      </c>
      <c r="F255" s="5">
        <v>2</v>
      </c>
      <c r="G255" s="31">
        <v>6</v>
      </c>
      <c r="H255" s="31">
        <v>2020</v>
      </c>
      <c r="I255" s="31">
        <v>2028</v>
      </c>
      <c r="J255" s="142">
        <v>1.0801000000000001</v>
      </c>
      <c r="K255" s="142">
        <v>1.0822000000000001</v>
      </c>
      <c r="L255" s="142">
        <v>0.53920000000000001</v>
      </c>
      <c r="M255" s="142">
        <v>0.89190000000000003</v>
      </c>
      <c r="N255" s="142">
        <v>0.86950000000000005</v>
      </c>
      <c r="O255" s="142">
        <v>1.0538000000000001</v>
      </c>
      <c r="P255" s="26">
        <v>11509.213216521712</v>
      </c>
      <c r="Q255" s="35">
        <f t="array" ref="Q255">SUM(IF(($S255&gt;=4)*($C255='TaxCred&amp;Subs'!$D$114:$D$121)*($H255='TaxCred&amp;Subs'!$C$114:$C$121)*($H255&lt;='TaxCred&amp;Subs'!$C$123),'TaxCred&amp;Subs'!$E$114:$E$121,0))</f>
        <v>0</v>
      </c>
      <c r="R255" s="143">
        <v>0</v>
      </c>
      <c r="S255" s="5">
        <v>3</v>
      </c>
      <c r="T255" s="5" t="s">
        <v>239</v>
      </c>
      <c r="V255" s="7" t="str">
        <f t="array" ref="V255">INDEX(xlRTCLNAME,MATCH(1,(xlRTCLENDU=1)*(xlRTCLEQCL=$D255),0))</f>
        <v>NG_FA</v>
      </c>
      <c r="W255" s="7" t="str">
        <f t="array" ref="W255">INDEX(xlRTCLNAME,MATCH(1,(xlRTCLENDU=2)*(xlRTCLEQCL=$F255),0))</f>
        <v>CENT_AIR</v>
      </c>
      <c r="X255" s="7" t="str">
        <f t="array" ref="X255">INDEX(xlRTTYNAME,MATCH(1,(xlRTTYENDU=1)*(xlRTTYEQCL=$D255)*(xlRTEQTYPE=$E255),0))</f>
        <v>NG_FA3</v>
      </c>
      <c r="Y255" s="7" t="str">
        <f t="array" ref="Y255">INDEX(xlRTTYNAME,MATCH(1,(xlRTTYENDU=2)*(xlRTTYEQCL=$F255)*(xlRTEQTYPE=$G255),0))</f>
        <v>CENT_AIR3</v>
      </c>
    </row>
    <row r="256" spans="2:25" x14ac:dyDescent="0.2">
      <c r="B256" s="152">
        <v>8</v>
      </c>
      <c r="C256" s="152">
        <v>1</v>
      </c>
      <c r="D256" s="152">
        <v>3</v>
      </c>
      <c r="E256" s="152">
        <v>9</v>
      </c>
      <c r="F256" s="152">
        <v>2</v>
      </c>
      <c r="G256" s="152">
        <v>6</v>
      </c>
      <c r="H256" s="152">
        <v>2029</v>
      </c>
      <c r="I256" s="152">
        <v>2050</v>
      </c>
      <c r="J256" s="229">
        <v>1.0801000000000001</v>
      </c>
      <c r="K256" s="229">
        <v>1.0822000000000001</v>
      </c>
      <c r="L256" s="229">
        <v>0.53920000000000001</v>
      </c>
      <c r="M256" s="229">
        <v>0.89190000000000003</v>
      </c>
      <c r="N256" s="229">
        <v>0.86950000000000005</v>
      </c>
      <c r="O256" s="229">
        <v>1.0538000000000001</v>
      </c>
      <c r="P256" s="155">
        <v>11509.213216521712</v>
      </c>
      <c r="Q256" s="41">
        <f t="array" ref="Q256">SUM(IF(($S256&gt;=4)*($C256='TaxCred&amp;Subs'!$D$114:$D$121)*($H256='TaxCred&amp;Subs'!$C$114:$C$121)*($H256&lt;='TaxCred&amp;Subs'!$C$123),'TaxCred&amp;Subs'!$E$114:$E$121,0))</f>
        <v>0</v>
      </c>
      <c r="R256" s="230">
        <v>0</v>
      </c>
      <c r="S256" s="152">
        <v>3</v>
      </c>
      <c r="T256" s="152" t="s">
        <v>239</v>
      </c>
      <c r="V256" s="7" t="str">
        <f t="array" ref="V256">INDEX(xlRTCLNAME,MATCH(1,(xlRTCLENDU=1)*(xlRTCLEQCL=$D256),0))</f>
        <v>NG_FA</v>
      </c>
      <c r="W256" s="7" t="str">
        <f t="array" ref="W256">INDEX(xlRTCLNAME,MATCH(1,(xlRTCLENDU=2)*(xlRTCLEQCL=$F256),0))</f>
        <v>CENT_AIR</v>
      </c>
      <c r="X256" s="7" t="str">
        <f t="array" ref="X256">INDEX(xlRTTYNAME,MATCH(1,(xlRTTYENDU=1)*(xlRTTYEQCL=$D256)*(xlRTEQTYPE=$E256),0))</f>
        <v>NG_FA4</v>
      </c>
      <c r="Y256" s="7" t="str">
        <f t="array" ref="Y256">INDEX(xlRTTYNAME,MATCH(1,(xlRTTYENDU=2)*(xlRTTYEQCL=$F256)*(xlRTEQTYPE=$G256),0))</f>
        <v>CENT_AIR3</v>
      </c>
    </row>
    <row r="257" spans="2:25" x14ac:dyDescent="0.2">
      <c r="B257" s="5">
        <v>9</v>
      </c>
      <c r="C257" s="5">
        <v>1</v>
      </c>
      <c r="D257" s="5">
        <v>3</v>
      </c>
      <c r="E257" s="5">
        <v>8</v>
      </c>
      <c r="F257" s="5">
        <v>2</v>
      </c>
      <c r="G257" s="31">
        <v>6</v>
      </c>
      <c r="H257" s="31">
        <v>2020</v>
      </c>
      <c r="I257" s="31">
        <v>2028</v>
      </c>
      <c r="J257" s="142">
        <v>1.0781000000000001</v>
      </c>
      <c r="K257" s="142">
        <v>1.0707</v>
      </c>
      <c r="L257" s="142">
        <v>0.89380000000000004</v>
      </c>
      <c r="M257" s="142">
        <v>0.90590000000000004</v>
      </c>
      <c r="N257" s="142">
        <v>1.0339</v>
      </c>
      <c r="O257" s="142">
        <v>1.0538000000000001</v>
      </c>
      <c r="P257" s="26">
        <v>13599.963981906205</v>
      </c>
      <c r="Q257" s="35">
        <f t="array" ref="Q257">SUM(IF(($S257&gt;=4)*($C257='TaxCred&amp;Subs'!$D$114:$D$121)*($H257='TaxCred&amp;Subs'!$C$114:$C$121)*($H257&lt;='TaxCred&amp;Subs'!$C$123),'TaxCred&amp;Subs'!$E$114:$E$121,0))</f>
        <v>0</v>
      </c>
      <c r="R257" s="143">
        <v>0</v>
      </c>
      <c r="S257" s="5">
        <v>3</v>
      </c>
      <c r="T257" s="5" t="s">
        <v>239</v>
      </c>
      <c r="V257" s="7" t="str">
        <f t="array" ref="V257">INDEX(xlRTCLNAME,MATCH(1,(xlRTCLENDU=1)*(xlRTCLEQCL=$D257),0))</f>
        <v>NG_FA</v>
      </c>
      <c r="W257" s="7" t="str">
        <f t="array" ref="W257">INDEX(xlRTCLNAME,MATCH(1,(xlRTCLENDU=2)*(xlRTCLEQCL=$F257),0))</f>
        <v>CENT_AIR</v>
      </c>
      <c r="X257" s="7" t="str">
        <f t="array" ref="X257">INDEX(xlRTTYNAME,MATCH(1,(xlRTTYENDU=1)*(xlRTTYEQCL=$D257)*(xlRTEQTYPE=$E257),0))</f>
        <v>NG_FA3</v>
      </c>
      <c r="Y257" s="7" t="str">
        <f t="array" ref="Y257">INDEX(xlRTTYNAME,MATCH(1,(xlRTTYENDU=2)*(xlRTTYEQCL=$F257)*(xlRTEQTYPE=$G257),0))</f>
        <v>CENT_AIR3</v>
      </c>
    </row>
    <row r="258" spans="2:25" x14ac:dyDescent="0.2">
      <c r="B258" s="152">
        <v>9</v>
      </c>
      <c r="C258" s="152">
        <v>1</v>
      </c>
      <c r="D258" s="152">
        <v>3</v>
      </c>
      <c r="E258" s="152">
        <v>9</v>
      </c>
      <c r="F258" s="152">
        <v>2</v>
      </c>
      <c r="G258" s="152">
        <v>6</v>
      </c>
      <c r="H258" s="152">
        <v>2029</v>
      </c>
      <c r="I258" s="152">
        <v>2050</v>
      </c>
      <c r="J258" s="229">
        <v>1.0781000000000001</v>
      </c>
      <c r="K258" s="229">
        <v>1.0707</v>
      </c>
      <c r="L258" s="229">
        <v>0.89380000000000004</v>
      </c>
      <c r="M258" s="229">
        <v>0.90590000000000004</v>
      </c>
      <c r="N258" s="229">
        <v>1.0339</v>
      </c>
      <c r="O258" s="229">
        <v>1.0538000000000001</v>
      </c>
      <c r="P258" s="155">
        <v>13599.963981906205</v>
      </c>
      <c r="Q258" s="41">
        <f t="array" ref="Q258">SUM(IF(($S258&gt;=4)*($C258='TaxCred&amp;Subs'!$D$114:$D$121)*($H258='TaxCred&amp;Subs'!$C$114:$C$121)*($H258&lt;='TaxCred&amp;Subs'!$C$123),'TaxCred&amp;Subs'!$E$114:$E$121,0))</f>
        <v>0</v>
      </c>
      <c r="R258" s="230">
        <v>0</v>
      </c>
      <c r="S258" s="152">
        <v>3</v>
      </c>
      <c r="T258" s="152" t="s">
        <v>239</v>
      </c>
      <c r="V258" s="7" t="str">
        <f t="array" ref="V258">INDEX(xlRTCLNAME,MATCH(1,(xlRTCLENDU=1)*(xlRTCLEQCL=$D258),0))</f>
        <v>NG_FA</v>
      </c>
      <c r="W258" s="7" t="str">
        <f t="array" ref="W258">INDEX(xlRTCLNAME,MATCH(1,(xlRTCLENDU=2)*(xlRTCLEQCL=$F258),0))</f>
        <v>CENT_AIR</v>
      </c>
      <c r="X258" s="7" t="str">
        <f t="array" ref="X258">INDEX(xlRTTYNAME,MATCH(1,(xlRTTYENDU=1)*(xlRTTYEQCL=$D258)*(xlRTEQTYPE=$E258),0))</f>
        <v>NG_FA4</v>
      </c>
      <c r="Y258" s="7" t="str">
        <f t="array" ref="Y258">INDEX(xlRTTYNAME,MATCH(1,(xlRTTYENDU=2)*(xlRTTYEQCL=$F258)*(xlRTEQTYPE=$G258),0))</f>
        <v>CENT_AIR3</v>
      </c>
    </row>
    <row r="259" spans="2:25" x14ac:dyDescent="0.2">
      <c r="B259" s="5">
        <v>1</v>
      </c>
      <c r="C259" s="5">
        <v>1</v>
      </c>
      <c r="D259" s="5">
        <v>4</v>
      </c>
      <c r="E259" s="5">
        <v>12</v>
      </c>
      <c r="F259" s="5">
        <v>2</v>
      </c>
      <c r="G259" s="31">
        <v>6</v>
      </c>
      <c r="H259" s="31">
        <v>2020</v>
      </c>
      <c r="I259" s="5">
        <v>2050</v>
      </c>
      <c r="J259" s="142">
        <v>1.0592999999999999</v>
      </c>
      <c r="K259" s="142">
        <v>1.0889</v>
      </c>
      <c r="L259" s="142">
        <v>0.56459999999999999</v>
      </c>
      <c r="M259" s="142">
        <v>0.95909999999999995</v>
      </c>
      <c r="N259" s="142">
        <v>0.8095</v>
      </c>
      <c r="O259" s="142">
        <v>1.0538000000000001</v>
      </c>
      <c r="P259" s="26">
        <v>14403.995465957607</v>
      </c>
      <c r="Q259" s="35">
        <f t="array" ref="Q259">SUM(IF(($S259&gt;=4)*($C259='TaxCred&amp;Subs'!$D$114:$D$121)*($H259='TaxCred&amp;Subs'!$C$114:$C$121)*($H259&lt;='TaxCred&amp;Subs'!$C$123),'TaxCred&amp;Subs'!$E$114:$E$121,0))</f>
        <v>0</v>
      </c>
      <c r="R259" s="143">
        <v>0</v>
      </c>
      <c r="S259" s="5">
        <v>3</v>
      </c>
      <c r="T259" s="5" t="s">
        <v>239</v>
      </c>
      <c r="V259" s="7" t="str">
        <f t="array" ref="V259">INDEX(xlRTCLNAME,MATCH(1,(xlRTCLENDU=1)*(xlRTCLEQCL=$D259),0))</f>
        <v>NG_RAD</v>
      </c>
      <c r="W259" s="7" t="str">
        <f t="array" ref="W259">INDEX(xlRTCLNAME,MATCH(1,(xlRTCLENDU=2)*(xlRTCLEQCL=$F259),0))</f>
        <v>CENT_AIR</v>
      </c>
      <c r="X259" s="7" t="str">
        <f t="array" ref="X259">INDEX(xlRTTYNAME,MATCH(1,(xlRTTYENDU=1)*(xlRTTYEQCL=$D259)*(xlRTEQTYPE=$E259),0))</f>
        <v>NG_RAD3</v>
      </c>
      <c r="Y259" s="7" t="str">
        <f t="array" ref="Y259">INDEX(xlRTTYNAME,MATCH(1,(xlRTTYENDU=2)*(xlRTTYEQCL=$F259)*(xlRTEQTYPE=$G259),0))</f>
        <v>CENT_AIR3</v>
      </c>
    </row>
    <row r="260" spans="2:25" x14ac:dyDescent="0.2">
      <c r="B260" s="5">
        <v>2</v>
      </c>
      <c r="C260" s="5">
        <v>1</v>
      </c>
      <c r="D260" s="5">
        <v>4</v>
      </c>
      <c r="E260" s="5">
        <v>12</v>
      </c>
      <c r="F260" s="5">
        <v>2</v>
      </c>
      <c r="G260" s="31">
        <v>6</v>
      </c>
      <c r="H260" s="31">
        <v>2020</v>
      </c>
      <c r="I260" s="5">
        <v>2050</v>
      </c>
      <c r="J260" s="142">
        <v>1.0717000000000001</v>
      </c>
      <c r="K260" s="142">
        <v>1.0895999999999999</v>
      </c>
      <c r="L260" s="142">
        <v>0.622</v>
      </c>
      <c r="M260" s="142">
        <v>0.84060000000000001</v>
      </c>
      <c r="N260" s="142">
        <v>0.92630000000000001</v>
      </c>
      <c r="O260" s="142">
        <v>1.0538000000000001</v>
      </c>
      <c r="P260" s="26">
        <v>14027.52587476297</v>
      </c>
      <c r="Q260" s="35">
        <f t="array" ref="Q260">SUM(IF(($S260&gt;=4)*($C260='TaxCred&amp;Subs'!$D$114:$D$121)*($H260='TaxCred&amp;Subs'!$C$114:$C$121)*($H260&lt;='TaxCred&amp;Subs'!$C$123),'TaxCred&amp;Subs'!$E$114:$E$121,0))</f>
        <v>0</v>
      </c>
      <c r="R260" s="143">
        <v>0</v>
      </c>
      <c r="S260" s="5">
        <v>3</v>
      </c>
      <c r="T260" s="5" t="s">
        <v>239</v>
      </c>
      <c r="V260" s="7" t="str">
        <f t="array" ref="V260">INDEX(xlRTCLNAME,MATCH(1,(xlRTCLENDU=1)*(xlRTCLEQCL=$D260),0))</f>
        <v>NG_RAD</v>
      </c>
      <c r="W260" s="7" t="str">
        <f t="array" ref="W260">INDEX(xlRTCLNAME,MATCH(1,(xlRTCLENDU=2)*(xlRTCLEQCL=$F260),0))</f>
        <v>CENT_AIR</v>
      </c>
      <c r="X260" s="7" t="str">
        <f t="array" ref="X260">INDEX(xlRTTYNAME,MATCH(1,(xlRTTYENDU=1)*(xlRTTYEQCL=$D260)*(xlRTEQTYPE=$E260),0))</f>
        <v>NG_RAD3</v>
      </c>
      <c r="Y260" s="7" t="str">
        <f t="array" ref="Y260">INDEX(xlRTTYNAME,MATCH(1,(xlRTTYENDU=2)*(xlRTTYEQCL=$F260)*(xlRTEQTYPE=$G260),0))</f>
        <v>CENT_AIR3</v>
      </c>
    </row>
    <row r="261" spans="2:25" x14ac:dyDescent="0.2">
      <c r="B261" s="5">
        <v>3</v>
      </c>
      <c r="C261" s="5">
        <v>1</v>
      </c>
      <c r="D261" s="5">
        <v>4</v>
      </c>
      <c r="E261" s="5">
        <v>12</v>
      </c>
      <c r="F261" s="5">
        <v>2</v>
      </c>
      <c r="G261" s="31">
        <v>6</v>
      </c>
      <c r="H261" s="31">
        <v>2020</v>
      </c>
      <c r="I261" s="5">
        <v>2050</v>
      </c>
      <c r="J261" s="142">
        <v>1.0821000000000001</v>
      </c>
      <c r="K261" s="142">
        <v>1.0769</v>
      </c>
      <c r="L261" s="142">
        <v>0.52210000000000001</v>
      </c>
      <c r="M261" s="142">
        <v>0.9194</v>
      </c>
      <c r="N261" s="142">
        <v>0.91400000000000003</v>
      </c>
      <c r="O261" s="142">
        <v>1.0538000000000001</v>
      </c>
      <c r="P261" s="26">
        <v>13002.990773011856</v>
      </c>
      <c r="Q261" s="35">
        <f t="array" ref="Q261">SUM(IF(($S261&gt;=4)*($C261='TaxCred&amp;Subs'!$D$114:$D$121)*($H261='TaxCred&amp;Subs'!$C$114:$C$121)*($H261&lt;='TaxCred&amp;Subs'!$C$123),'TaxCred&amp;Subs'!$E$114:$E$121,0))</f>
        <v>0</v>
      </c>
      <c r="R261" s="143">
        <v>0</v>
      </c>
      <c r="S261" s="5">
        <v>3</v>
      </c>
      <c r="T261" s="5" t="s">
        <v>239</v>
      </c>
      <c r="V261" s="7" t="str">
        <f t="array" ref="V261">INDEX(xlRTCLNAME,MATCH(1,(xlRTCLENDU=1)*(xlRTCLEQCL=$D261),0))</f>
        <v>NG_RAD</v>
      </c>
      <c r="W261" s="7" t="str">
        <f t="array" ref="W261">INDEX(xlRTCLNAME,MATCH(1,(xlRTCLENDU=2)*(xlRTCLEQCL=$F261),0))</f>
        <v>CENT_AIR</v>
      </c>
      <c r="X261" s="7" t="str">
        <f t="array" ref="X261">INDEX(xlRTTYNAME,MATCH(1,(xlRTTYENDU=1)*(xlRTTYEQCL=$D261)*(xlRTEQTYPE=$E261),0))</f>
        <v>NG_RAD3</v>
      </c>
      <c r="Y261" s="7" t="str">
        <f t="array" ref="Y261">INDEX(xlRTTYNAME,MATCH(1,(xlRTTYENDU=2)*(xlRTTYEQCL=$F261)*(xlRTEQTYPE=$G261),0))</f>
        <v>CENT_AIR3</v>
      </c>
    </row>
    <row r="262" spans="2:25" x14ac:dyDescent="0.2">
      <c r="B262" s="5">
        <v>4</v>
      </c>
      <c r="C262" s="5">
        <v>1</v>
      </c>
      <c r="D262" s="5">
        <v>4</v>
      </c>
      <c r="E262" s="5">
        <v>12</v>
      </c>
      <c r="F262" s="5">
        <v>2</v>
      </c>
      <c r="G262" s="31">
        <v>6</v>
      </c>
      <c r="H262" s="31">
        <v>2020</v>
      </c>
      <c r="I262" s="5">
        <v>2050</v>
      </c>
      <c r="J262" s="142">
        <v>1.0812999999999999</v>
      </c>
      <c r="K262" s="142">
        <v>1.0769</v>
      </c>
      <c r="L262" s="142">
        <v>0.52690000000000003</v>
      </c>
      <c r="M262" s="142">
        <v>0.86580000000000001</v>
      </c>
      <c r="N262" s="142">
        <v>0.85660000000000003</v>
      </c>
      <c r="O262" s="142">
        <v>1.0538000000000001</v>
      </c>
      <c r="P262" s="26">
        <v>10651.400362299652</v>
      </c>
      <c r="Q262" s="35">
        <f t="array" ref="Q262">SUM(IF(($S262&gt;=4)*($C262='TaxCred&amp;Subs'!$D$114:$D$121)*($H262='TaxCred&amp;Subs'!$C$114:$C$121)*($H262&lt;='TaxCred&amp;Subs'!$C$123),'TaxCred&amp;Subs'!$E$114:$E$121,0))</f>
        <v>0</v>
      </c>
      <c r="R262" s="143">
        <v>0</v>
      </c>
      <c r="S262" s="5">
        <v>3</v>
      </c>
      <c r="T262" s="5" t="s">
        <v>239</v>
      </c>
      <c r="V262" s="7" t="str">
        <f t="array" ref="V262">INDEX(xlRTCLNAME,MATCH(1,(xlRTCLENDU=1)*(xlRTCLEQCL=$D262),0))</f>
        <v>NG_RAD</v>
      </c>
      <c r="W262" s="7" t="str">
        <f t="array" ref="W262">INDEX(xlRTCLNAME,MATCH(1,(xlRTCLENDU=2)*(xlRTCLEQCL=$F262),0))</f>
        <v>CENT_AIR</v>
      </c>
      <c r="X262" s="7" t="str">
        <f t="array" ref="X262">INDEX(xlRTTYNAME,MATCH(1,(xlRTTYENDU=1)*(xlRTTYEQCL=$D262)*(xlRTEQTYPE=$E262),0))</f>
        <v>NG_RAD3</v>
      </c>
      <c r="Y262" s="7" t="str">
        <f t="array" ref="Y262">INDEX(xlRTTYNAME,MATCH(1,(xlRTTYENDU=2)*(xlRTTYEQCL=$F262)*(xlRTEQTYPE=$G262),0))</f>
        <v>CENT_AIR3</v>
      </c>
    </row>
    <row r="263" spans="2:25" x14ac:dyDescent="0.2">
      <c r="B263" s="5">
        <v>5</v>
      </c>
      <c r="C263" s="5">
        <v>1</v>
      </c>
      <c r="D263" s="5">
        <v>4</v>
      </c>
      <c r="E263" s="5">
        <v>12</v>
      </c>
      <c r="F263" s="5">
        <v>2</v>
      </c>
      <c r="G263" s="31">
        <v>6</v>
      </c>
      <c r="H263" s="31">
        <v>2020</v>
      </c>
      <c r="I263" s="5">
        <v>2050</v>
      </c>
      <c r="J263" s="142">
        <v>1.0838000000000001</v>
      </c>
      <c r="K263" s="142">
        <v>1.0465</v>
      </c>
      <c r="L263" s="142">
        <v>0.67900000000000005</v>
      </c>
      <c r="M263" s="142">
        <v>0.88390000000000002</v>
      </c>
      <c r="N263" s="142">
        <v>0.75670000000000004</v>
      </c>
      <c r="O263" s="142">
        <v>1.0538000000000001</v>
      </c>
      <c r="P263" s="26">
        <v>9465.5211500365494</v>
      </c>
      <c r="Q263" s="35">
        <f t="array" ref="Q263">SUM(IF(($S263&gt;=4)*($C263='TaxCred&amp;Subs'!$D$114:$D$121)*($H263='TaxCred&amp;Subs'!$C$114:$C$121)*($H263&lt;='TaxCred&amp;Subs'!$C$123),'TaxCred&amp;Subs'!$E$114:$E$121,0))</f>
        <v>0</v>
      </c>
      <c r="R263" s="143">
        <v>0</v>
      </c>
      <c r="S263" s="5">
        <v>3</v>
      </c>
      <c r="T263" s="5" t="s">
        <v>239</v>
      </c>
      <c r="V263" s="7" t="str">
        <f t="array" ref="V263">INDEX(xlRTCLNAME,MATCH(1,(xlRTCLENDU=1)*(xlRTCLEQCL=$D263),0))</f>
        <v>NG_RAD</v>
      </c>
      <c r="W263" s="7" t="str">
        <f t="array" ref="W263">INDEX(xlRTCLNAME,MATCH(1,(xlRTCLENDU=2)*(xlRTCLEQCL=$F263),0))</f>
        <v>CENT_AIR</v>
      </c>
      <c r="X263" s="7" t="str">
        <f t="array" ref="X263">INDEX(xlRTTYNAME,MATCH(1,(xlRTTYENDU=1)*(xlRTTYEQCL=$D263)*(xlRTEQTYPE=$E263),0))</f>
        <v>NG_RAD3</v>
      </c>
      <c r="Y263" s="7" t="str">
        <f t="array" ref="Y263">INDEX(xlRTTYNAME,MATCH(1,(xlRTTYENDU=2)*(xlRTTYEQCL=$F263)*(xlRTEQTYPE=$G263),0))</f>
        <v>CENT_AIR3</v>
      </c>
    </row>
    <row r="264" spans="2:25" x14ac:dyDescent="0.2">
      <c r="B264" s="5">
        <v>6</v>
      </c>
      <c r="C264" s="5">
        <v>1</v>
      </c>
      <c r="D264" s="5">
        <v>4</v>
      </c>
      <c r="E264" s="5">
        <v>12</v>
      </c>
      <c r="F264" s="5">
        <v>2</v>
      </c>
      <c r="G264" s="31">
        <v>6</v>
      </c>
      <c r="H264" s="31">
        <v>2020</v>
      </c>
      <c r="I264" s="5">
        <v>2050</v>
      </c>
      <c r="J264" s="142">
        <v>1.089</v>
      </c>
      <c r="K264" s="142">
        <v>1.0583</v>
      </c>
      <c r="L264" s="142">
        <v>0.7974</v>
      </c>
      <c r="M264" s="142">
        <v>0.89459999999999995</v>
      </c>
      <c r="N264" s="142">
        <v>0.88849999999999996</v>
      </c>
      <c r="O264" s="142">
        <v>1.0538000000000001</v>
      </c>
      <c r="P264" s="26">
        <v>9043.3373941968512</v>
      </c>
      <c r="Q264" s="35">
        <f t="array" ref="Q264">SUM(IF(($S264&gt;=4)*($C264='TaxCred&amp;Subs'!$D$114:$D$121)*($H264='TaxCred&amp;Subs'!$C$114:$C$121)*($H264&lt;='TaxCred&amp;Subs'!$C$123),'TaxCred&amp;Subs'!$E$114:$E$121,0))</f>
        <v>0</v>
      </c>
      <c r="R264" s="143">
        <v>0</v>
      </c>
      <c r="S264" s="5">
        <v>3</v>
      </c>
      <c r="T264" s="5" t="s">
        <v>239</v>
      </c>
      <c r="V264" s="7" t="str">
        <f t="array" ref="V264">INDEX(xlRTCLNAME,MATCH(1,(xlRTCLENDU=1)*(xlRTCLEQCL=$D264),0))</f>
        <v>NG_RAD</v>
      </c>
      <c r="W264" s="7" t="str">
        <f t="array" ref="W264">INDEX(xlRTCLNAME,MATCH(1,(xlRTCLENDU=2)*(xlRTCLEQCL=$F264),0))</f>
        <v>CENT_AIR</v>
      </c>
      <c r="X264" s="7" t="str">
        <f t="array" ref="X264">INDEX(xlRTTYNAME,MATCH(1,(xlRTTYENDU=1)*(xlRTTYEQCL=$D264)*(xlRTEQTYPE=$E264),0))</f>
        <v>NG_RAD3</v>
      </c>
      <c r="Y264" s="7" t="str">
        <f t="array" ref="Y264">INDEX(xlRTTYNAME,MATCH(1,(xlRTTYENDU=2)*(xlRTTYEQCL=$F264)*(xlRTEQTYPE=$G264),0))</f>
        <v>CENT_AIR3</v>
      </c>
    </row>
    <row r="265" spans="2:25" x14ac:dyDescent="0.2">
      <c r="B265" s="5">
        <v>7</v>
      </c>
      <c r="C265" s="5">
        <v>1</v>
      </c>
      <c r="D265" s="5">
        <v>4</v>
      </c>
      <c r="E265" s="5">
        <v>12</v>
      </c>
      <c r="F265" s="5">
        <v>2</v>
      </c>
      <c r="G265" s="31">
        <v>6</v>
      </c>
      <c r="H265" s="31">
        <v>2020</v>
      </c>
      <c r="I265" s="5">
        <v>2050</v>
      </c>
      <c r="J265" s="142">
        <v>1.0867</v>
      </c>
      <c r="K265" s="142">
        <v>1.0682</v>
      </c>
      <c r="L265" s="142">
        <v>0.71750000000000003</v>
      </c>
      <c r="M265" s="142">
        <v>0.81489999999999996</v>
      </c>
      <c r="N265" s="142">
        <v>0.87180000000000002</v>
      </c>
      <c r="O265" s="142">
        <v>1.0538000000000001</v>
      </c>
      <c r="P265" s="26">
        <v>8598.2965560346202</v>
      </c>
      <c r="Q265" s="35">
        <f t="array" ref="Q265">SUM(IF(($S265&gt;=4)*($C265='TaxCred&amp;Subs'!$D$114:$D$121)*($H265='TaxCred&amp;Subs'!$C$114:$C$121)*($H265&lt;='TaxCred&amp;Subs'!$C$123),'TaxCred&amp;Subs'!$E$114:$E$121,0))</f>
        <v>0</v>
      </c>
      <c r="R265" s="143">
        <v>0</v>
      </c>
      <c r="S265" s="5">
        <v>3</v>
      </c>
      <c r="T265" s="5" t="s">
        <v>239</v>
      </c>
      <c r="V265" s="7" t="str">
        <f t="array" ref="V265">INDEX(xlRTCLNAME,MATCH(1,(xlRTCLENDU=1)*(xlRTCLEQCL=$D265),0))</f>
        <v>NG_RAD</v>
      </c>
      <c r="W265" s="7" t="str">
        <f t="array" ref="W265">INDEX(xlRTCLNAME,MATCH(1,(xlRTCLENDU=2)*(xlRTCLEQCL=$F265),0))</f>
        <v>CENT_AIR</v>
      </c>
      <c r="X265" s="7" t="str">
        <f t="array" ref="X265">INDEX(xlRTTYNAME,MATCH(1,(xlRTTYENDU=1)*(xlRTTYEQCL=$D265)*(xlRTEQTYPE=$E265),0))</f>
        <v>NG_RAD3</v>
      </c>
      <c r="Y265" s="7" t="str">
        <f t="array" ref="Y265">INDEX(xlRTTYNAME,MATCH(1,(xlRTTYENDU=2)*(xlRTTYEQCL=$F265)*(xlRTEQTYPE=$G265),0))</f>
        <v>CENT_AIR3</v>
      </c>
    </row>
    <row r="266" spans="2:25" x14ac:dyDescent="0.2">
      <c r="B266" s="5">
        <v>8</v>
      </c>
      <c r="C266" s="5">
        <v>1</v>
      </c>
      <c r="D266" s="5">
        <v>4</v>
      </c>
      <c r="E266" s="5">
        <v>12</v>
      </c>
      <c r="F266" s="5">
        <v>2</v>
      </c>
      <c r="G266" s="31">
        <v>6</v>
      </c>
      <c r="H266" s="31">
        <v>2020</v>
      </c>
      <c r="I266" s="5">
        <v>2050</v>
      </c>
      <c r="J266" s="142">
        <v>1.0820000000000001</v>
      </c>
      <c r="K266" s="142">
        <v>1.0832999999999999</v>
      </c>
      <c r="L266" s="142">
        <v>0.58379999999999999</v>
      </c>
      <c r="M266" s="142">
        <v>0.79630000000000001</v>
      </c>
      <c r="N266" s="142">
        <v>0.86439999999999995</v>
      </c>
      <c r="O266" s="142">
        <v>1.0538000000000001</v>
      </c>
      <c r="P266" s="26">
        <v>13938.786613981378</v>
      </c>
      <c r="Q266" s="35">
        <f t="array" ref="Q266">SUM(IF(($S266&gt;=4)*($C266='TaxCred&amp;Subs'!$D$114:$D$121)*($H266='TaxCred&amp;Subs'!$C$114:$C$121)*($H266&lt;='TaxCred&amp;Subs'!$C$123),'TaxCred&amp;Subs'!$E$114:$E$121,0))</f>
        <v>0</v>
      </c>
      <c r="R266" s="143">
        <v>0</v>
      </c>
      <c r="S266" s="5">
        <v>3</v>
      </c>
      <c r="T266" s="5" t="s">
        <v>239</v>
      </c>
      <c r="V266" s="7" t="str">
        <f t="array" ref="V266">INDEX(xlRTCLNAME,MATCH(1,(xlRTCLENDU=1)*(xlRTCLEQCL=$D266),0))</f>
        <v>NG_RAD</v>
      </c>
      <c r="W266" s="7" t="str">
        <f t="array" ref="W266">INDEX(xlRTCLNAME,MATCH(1,(xlRTCLENDU=2)*(xlRTCLEQCL=$F266),0))</f>
        <v>CENT_AIR</v>
      </c>
      <c r="X266" s="7" t="str">
        <f t="array" ref="X266">INDEX(xlRTTYNAME,MATCH(1,(xlRTTYENDU=1)*(xlRTTYEQCL=$D266)*(xlRTEQTYPE=$E266),0))</f>
        <v>NG_RAD3</v>
      </c>
      <c r="Y266" s="7" t="str">
        <f t="array" ref="Y266">INDEX(xlRTTYNAME,MATCH(1,(xlRTTYENDU=2)*(xlRTTYEQCL=$F266)*(xlRTEQTYPE=$G266),0))</f>
        <v>CENT_AIR3</v>
      </c>
    </row>
    <row r="267" spans="2:25" x14ac:dyDescent="0.2">
      <c r="B267" s="5">
        <v>9</v>
      </c>
      <c r="C267" s="5">
        <v>1</v>
      </c>
      <c r="D267" s="5">
        <v>4</v>
      </c>
      <c r="E267" s="5">
        <v>12</v>
      </c>
      <c r="F267" s="5">
        <v>2</v>
      </c>
      <c r="G267" s="31">
        <v>6</v>
      </c>
      <c r="H267" s="31">
        <v>2020</v>
      </c>
      <c r="I267" s="5">
        <v>2050</v>
      </c>
      <c r="J267" s="142">
        <v>1.0414000000000001</v>
      </c>
      <c r="K267" s="142">
        <v>1.07</v>
      </c>
      <c r="L267" s="142">
        <v>0.89259999999999995</v>
      </c>
      <c r="M267" s="142">
        <v>0.90590000000000004</v>
      </c>
      <c r="N267" s="142">
        <v>1.026</v>
      </c>
      <c r="O267" s="142">
        <v>1.0538000000000001</v>
      </c>
      <c r="P267" s="26">
        <v>13599.963981906205</v>
      </c>
      <c r="Q267" s="35">
        <f t="array" ref="Q267">SUM(IF(($S267&gt;=4)*($C267='TaxCred&amp;Subs'!$D$114:$D$121)*($H267='TaxCred&amp;Subs'!$C$114:$C$121)*($H267&lt;='TaxCred&amp;Subs'!$C$123),'TaxCred&amp;Subs'!$E$114:$E$121,0))</f>
        <v>0</v>
      </c>
      <c r="R267" s="143">
        <v>0</v>
      </c>
      <c r="S267" s="5">
        <v>3</v>
      </c>
      <c r="T267" s="5" t="s">
        <v>239</v>
      </c>
      <c r="V267" s="7" t="str">
        <f t="array" ref="V267">INDEX(xlRTCLNAME,MATCH(1,(xlRTCLENDU=1)*(xlRTCLEQCL=$D267),0))</f>
        <v>NG_RAD</v>
      </c>
      <c r="W267" s="7" t="str">
        <f t="array" ref="W267">INDEX(xlRTCLNAME,MATCH(1,(xlRTCLENDU=2)*(xlRTCLEQCL=$F267),0))</f>
        <v>CENT_AIR</v>
      </c>
      <c r="X267" s="7" t="str">
        <f t="array" ref="X267">INDEX(xlRTTYNAME,MATCH(1,(xlRTTYENDU=1)*(xlRTTYEQCL=$D267)*(xlRTEQTYPE=$E267),0))</f>
        <v>NG_RAD3</v>
      </c>
      <c r="Y267" s="7" t="str">
        <f t="array" ref="Y267">INDEX(xlRTTYNAME,MATCH(1,(xlRTTYENDU=2)*(xlRTTYEQCL=$F267)*(xlRTEQTYPE=$G267),0))</f>
        <v>CENT_AIR3</v>
      </c>
    </row>
    <row r="268" spans="2:25" x14ac:dyDescent="0.2">
      <c r="B268" s="29">
        <v>1</v>
      </c>
      <c r="C268" s="29">
        <v>1</v>
      </c>
      <c r="D268" s="29">
        <v>5</v>
      </c>
      <c r="E268" s="29">
        <v>16</v>
      </c>
      <c r="F268" s="29">
        <v>2</v>
      </c>
      <c r="G268" s="32">
        <v>6</v>
      </c>
      <c r="H268" s="32">
        <v>2020</v>
      </c>
      <c r="I268" s="29">
        <v>2050</v>
      </c>
      <c r="J268" s="144">
        <v>1.0309999999999999</v>
      </c>
      <c r="K268" s="144">
        <v>1.0667</v>
      </c>
      <c r="L268" s="144">
        <v>0.57230000000000003</v>
      </c>
      <c r="M268" s="144">
        <v>0.95909999999999995</v>
      </c>
      <c r="N268" s="144">
        <v>0.79790000000000005</v>
      </c>
      <c r="O268" s="144">
        <v>1.0538000000000001</v>
      </c>
      <c r="P268" s="143">
        <v>14194.248122292023</v>
      </c>
      <c r="Q268" s="35">
        <f t="array" ref="Q268">SUM(IF(($S268&gt;=4)*($C268='TaxCred&amp;Subs'!$D$114:$D$121)*($H268='TaxCred&amp;Subs'!$C$114:$C$121)*($H268&lt;='TaxCred&amp;Subs'!$C$123),'TaxCred&amp;Subs'!$E$114:$E$121,0))</f>
        <v>0</v>
      </c>
      <c r="R268" s="143">
        <v>0</v>
      </c>
      <c r="S268" s="29">
        <v>3</v>
      </c>
      <c r="T268" s="29" t="s">
        <v>239</v>
      </c>
      <c r="U268" s="30" t="s">
        <v>227</v>
      </c>
      <c r="V268" s="7" t="str">
        <f t="array" ref="V268">INDEX(xlRTCLNAME,MATCH(1,(xlRTCLENDU=1)*(xlRTCLEQCL=$D268),0))</f>
        <v>KERO_FA</v>
      </c>
      <c r="W268" s="7" t="str">
        <f t="array" ref="W268">INDEX(xlRTCLNAME,MATCH(1,(xlRTCLENDU=2)*(xlRTCLEQCL=$F268),0))</f>
        <v>CENT_AIR</v>
      </c>
      <c r="X268" s="7" t="str">
        <f t="array" ref="X268">INDEX(xlRTTYNAME,MATCH(1,(xlRTTYENDU=1)*(xlRTTYEQCL=$D268)*(xlRTEQTYPE=$E268),0))</f>
        <v>KERO_FA3</v>
      </c>
      <c r="Y268" s="7" t="str">
        <f t="array" ref="Y268">INDEX(xlRTTYNAME,MATCH(1,(xlRTTYENDU=2)*(xlRTTYEQCL=$F268)*(xlRTEQTYPE=$G268),0))</f>
        <v>CENT_AIR3</v>
      </c>
    </row>
    <row r="269" spans="2:25" x14ac:dyDescent="0.2">
      <c r="B269" s="29">
        <v>2</v>
      </c>
      <c r="C269" s="29">
        <v>1</v>
      </c>
      <c r="D269" s="29">
        <v>5</v>
      </c>
      <c r="E269" s="29">
        <v>16</v>
      </c>
      <c r="F269" s="29">
        <v>2</v>
      </c>
      <c r="G269" s="32">
        <v>6</v>
      </c>
      <c r="H269" s="32">
        <v>2020</v>
      </c>
      <c r="I269" s="29">
        <v>2050</v>
      </c>
      <c r="J269" s="144">
        <v>1.0772999999999999</v>
      </c>
      <c r="K269" s="144">
        <v>1.0758000000000001</v>
      </c>
      <c r="L269" s="144">
        <v>0.6431</v>
      </c>
      <c r="M269" s="144">
        <v>0.84060000000000001</v>
      </c>
      <c r="N269" s="144">
        <v>0.93169999999999997</v>
      </c>
      <c r="O269" s="144">
        <v>1.0538000000000001</v>
      </c>
      <c r="P269" s="143">
        <v>14241.306821191352</v>
      </c>
      <c r="Q269" s="35">
        <f t="array" ref="Q269">SUM(IF(($S269&gt;=4)*($C269='TaxCred&amp;Subs'!$D$114:$D$121)*($H269='TaxCred&amp;Subs'!$C$114:$C$121)*($H269&lt;='TaxCred&amp;Subs'!$C$123),'TaxCred&amp;Subs'!$E$114:$E$121,0))</f>
        <v>0</v>
      </c>
      <c r="R269" s="143">
        <v>0</v>
      </c>
      <c r="S269" s="29">
        <v>3</v>
      </c>
      <c r="T269" s="29" t="s">
        <v>239</v>
      </c>
      <c r="U269" s="30" t="s">
        <v>227</v>
      </c>
      <c r="V269" s="7" t="str">
        <f t="array" ref="V269">INDEX(xlRTCLNAME,MATCH(1,(xlRTCLENDU=1)*(xlRTCLEQCL=$D269),0))</f>
        <v>KERO_FA</v>
      </c>
      <c r="W269" s="7" t="str">
        <f t="array" ref="W269">INDEX(xlRTCLNAME,MATCH(1,(xlRTCLENDU=2)*(xlRTCLEQCL=$F269),0))</f>
        <v>CENT_AIR</v>
      </c>
      <c r="X269" s="7" t="str">
        <f t="array" ref="X269">INDEX(xlRTTYNAME,MATCH(1,(xlRTTYENDU=1)*(xlRTTYEQCL=$D269)*(xlRTEQTYPE=$E269),0))</f>
        <v>KERO_FA3</v>
      </c>
      <c r="Y269" s="7" t="str">
        <f t="array" ref="Y269">INDEX(xlRTTYNAME,MATCH(1,(xlRTTYENDU=2)*(xlRTTYEQCL=$F269)*(xlRTEQTYPE=$G269),0))</f>
        <v>CENT_AIR3</v>
      </c>
    </row>
    <row r="270" spans="2:25" x14ac:dyDescent="0.2">
      <c r="B270" s="29">
        <v>3</v>
      </c>
      <c r="C270" s="29">
        <v>1</v>
      </c>
      <c r="D270" s="29">
        <v>5</v>
      </c>
      <c r="E270" s="29">
        <v>16</v>
      </c>
      <c r="F270" s="29">
        <v>2</v>
      </c>
      <c r="G270" s="32">
        <v>6</v>
      </c>
      <c r="H270" s="32">
        <v>2020</v>
      </c>
      <c r="I270" s="29">
        <v>2050</v>
      </c>
      <c r="J270" s="144">
        <v>1.0842000000000001</v>
      </c>
      <c r="K270" s="144">
        <v>1.0577000000000001</v>
      </c>
      <c r="L270" s="144">
        <v>0.52149999999999996</v>
      </c>
      <c r="M270" s="144">
        <v>0.9194</v>
      </c>
      <c r="N270" s="144">
        <v>0.91220000000000001</v>
      </c>
      <c r="O270" s="144">
        <v>1.0538000000000001</v>
      </c>
      <c r="P270" s="143">
        <v>13154.923143743976</v>
      </c>
      <c r="Q270" s="35">
        <f t="array" ref="Q270">SUM(IF(($S270&gt;=4)*($C270='TaxCred&amp;Subs'!$D$114:$D$121)*($H270='TaxCred&amp;Subs'!$C$114:$C$121)*($H270&lt;='TaxCred&amp;Subs'!$C$123),'TaxCred&amp;Subs'!$E$114:$E$121,0))</f>
        <v>0</v>
      </c>
      <c r="R270" s="143">
        <v>0</v>
      </c>
      <c r="S270" s="29">
        <v>3</v>
      </c>
      <c r="T270" s="29" t="s">
        <v>239</v>
      </c>
      <c r="U270" s="30" t="s">
        <v>227</v>
      </c>
      <c r="V270" s="7" t="str">
        <f t="array" ref="V270">INDEX(xlRTCLNAME,MATCH(1,(xlRTCLENDU=1)*(xlRTCLEQCL=$D270),0))</f>
        <v>KERO_FA</v>
      </c>
      <c r="W270" s="7" t="str">
        <f t="array" ref="W270">INDEX(xlRTCLNAME,MATCH(1,(xlRTCLENDU=2)*(xlRTCLEQCL=$F270),0))</f>
        <v>CENT_AIR</v>
      </c>
      <c r="X270" s="7" t="str">
        <f t="array" ref="X270">INDEX(xlRTTYNAME,MATCH(1,(xlRTTYENDU=1)*(xlRTTYEQCL=$D270)*(xlRTEQTYPE=$E270),0))</f>
        <v>KERO_FA3</v>
      </c>
      <c r="Y270" s="7" t="str">
        <f t="array" ref="Y270">INDEX(xlRTTYNAME,MATCH(1,(xlRTTYENDU=2)*(xlRTTYEQCL=$F270)*(xlRTEQTYPE=$G270),0))</f>
        <v>CENT_AIR3</v>
      </c>
    </row>
    <row r="271" spans="2:25" x14ac:dyDescent="0.2">
      <c r="B271" s="29">
        <v>4</v>
      </c>
      <c r="C271" s="29">
        <v>1</v>
      </c>
      <c r="D271" s="29">
        <v>5</v>
      </c>
      <c r="E271" s="29">
        <v>16</v>
      </c>
      <c r="F271" s="29">
        <v>2</v>
      </c>
      <c r="G271" s="32">
        <v>6</v>
      </c>
      <c r="H271" s="32">
        <v>2020</v>
      </c>
      <c r="I271" s="29">
        <v>2050</v>
      </c>
      <c r="J271" s="144">
        <v>1.0342</v>
      </c>
      <c r="K271" s="144">
        <v>1.0769</v>
      </c>
      <c r="L271" s="144">
        <v>0.53280000000000005</v>
      </c>
      <c r="M271" s="144">
        <v>0.86580000000000001</v>
      </c>
      <c r="N271" s="144">
        <v>0.85760000000000003</v>
      </c>
      <c r="O271" s="144">
        <v>1.0538000000000001</v>
      </c>
      <c r="P271" s="143">
        <v>10651.400362299652</v>
      </c>
      <c r="Q271" s="35">
        <f t="array" ref="Q271">SUM(IF(($S271&gt;=4)*($C271='TaxCred&amp;Subs'!$D$114:$D$121)*($H271='TaxCred&amp;Subs'!$C$114:$C$121)*($H271&lt;='TaxCred&amp;Subs'!$C$123),'TaxCred&amp;Subs'!$E$114:$E$121,0))</f>
        <v>0</v>
      </c>
      <c r="R271" s="143">
        <v>0</v>
      </c>
      <c r="S271" s="29">
        <v>3</v>
      </c>
      <c r="T271" s="29" t="s">
        <v>239</v>
      </c>
      <c r="U271" s="30" t="s">
        <v>227</v>
      </c>
      <c r="V271" s="7" t="str">
        <f t="array" ref="V271">INDEX(xlRTCLNAME,MATCH(1,(xlRTCLENDU=1)*(xlRTCLEQCL=$D271),0))</f>
        <v>KERO_FA</v>
      </c>
      <c r="W271" s="7" t="str">
        <f t="array" ref="W271">INDEX(xlRTCLNAME,MATCH(1,(xlRTCLENDU=2)*(xlRTCLEQCL=$F271),0))</f>
        <v>CENT_AIR</v>
      </c>
      <c r="X271" s="7" t="str">
        <f t="array" ref="X271">INDEX(xlRTTYNAME,MATCH(1,(xlRTTYENDU=1)*(xlRTTYEQCL=$D271)*(xlRTEQTYPE=$E271),0))</f>
        <v>KERO_FA3</v>
      </c>
      <c r="Y271" s="7" t="str">
        <f t="array" ref="Y271">INDEX(xlRTTYNAME,MATCH(1,(xlRTTYENDU=2)*(xlRTTYEQCL=$F271)*(xlRTEQTYPE=$G271),0))</f>
        <v>CENT_AIR3</v>
      </c>
    </row>
    <row r="272" spans="2:25" x14ac:dyDescent="0.2">
      <c r="B272" s="29">
        <v>5</v>
      </c>
      <c r="C272" s="29">
        <v>1</v>
      </c>
      <c r="D272" s="29">
        <v>5</v>
      </c>
      <c r="E272" s="29">
        <v>16</v>
      </c>
      <c r="F272" s="29">
        <v>2</v>
      </c>
      <c r="G272" s="32">
        <v>6</v>
      </c>
      <c r="H272" s="32">
        <v>2020</v>
      </c>
      <c r="I272" s="29">
        <v>2050</v>
      </c>
      <c r="J272" s="144">
        <v>1.0847</v>
      </c>
      <c r="K272" s="144">
        <v>1.056</v>
      </c>
      <c r="L272" s="144">
        <v>0.64970000000000006</v>
      </c>
      <c r="M272" s="144">
        <v>0.88019999999999998</v>
      </c>
      <c r="N272" s="144">
        <v>0.76280000000000003</v>
      </c>
      <c r="O272" s="144">
        <v>1.0538000000000001</v>
      </c>
      <c r="P272" s="143">
        <v>10079.973304236364</v>
      </c>
      <c r="Q272" s="35">
        <f t="array" ref="Q272">SUM(IF(($S272&gt;=4)*($C272='TaxCred&amp;Subs'!$D$114:$D$121)*($H272='TaxCred&amp;Subs'!$C$114:$C$121)*($H272&lt;='TaxCred&amp;Subs'!$C$123),'TaxCred&amp;Subs'!$E$114:$E$121,0))</f>
        <v>0</v>
      </c>
      <c r="R272" s="143">
        <v>0</v>
      </c>
      <c r="S272" s="29">
        <v>3</v>
      </c>
      <c r="T272" s="29" t="s">
        <v>239</v>
      </c>
      <c r="U272" s="30" t="s">
        <v>227</v>
      </c>
      <c r="V272" s="7" t="str">
        <f t="array" ref="V272">INDEX(xlRTCLNAME,MATCH(1,(xlRTCLENDU=1)*(xlRTCLEQCL=$D272),0))</f>
        <v>KERO_FA</v>
      </c>
      <c r="W272" s="7" t="str">
        <f t="array" ref="W272">INDEX(xlRTCLNAME,MATCH(1,(xlRTCLENDU=2)*(xlRTCLEQCL=$F272),0))</f>
        <v>CENT_AIR</v>
      </c>
      <c r="X272" s="7" t="str">
        <f t="array" ref="X272">INDEX(xlRTTYNAME,MATCH(1,(xlRTTYENDU=1)*(xlRTTYEQCL=$D272)*(xlRTEQTYPE=$E272),0))</f>
        <v>KERO_FA3</v>
      </c>
      <c r="Y272" s="7" t="str">
        <f t="array" ref="Y272">INDEX(xlRTTYNAME,MATCH(1,(xlRTTYENDU=2)*(xlRTTYEQCL=$F272)*(xlRTEQTYPE=$G272),0))</f>
        <v>CENT_AIR3</v>
      </c>
    </row>
    <row r="273" spans="2:25" x14ac:dyDescent="0.2">
      <c r="B273" s="29">
        <v>6</v>
      </c>
      <c r="C273" s="29">
        <v>1</v>
      </c>
      <c r="D273" s="29">
        <v>5</v>
      </c>
      <c r="E273" s="29">
        <v>16</v>
      </c>
      <c r="F273" s="29">
        <v>2</v>
      </c>
      <c r="G273" s="32">
        <v>6</v>
      </c>
      <c r="H273" s="32">
        <v>2020</v>
      </c>
      <c r="I273" s="29">
        <v>2050</v>
      </c>
      <c r="J273" s="144">
        <v>1.0907</v>
      </c>
      <c r="K273" s="144">
        <v>1.0603</v>
      </c>
      <c r="L273" s="144">
        <v>0.77010000000000001</v>
      </c>
      <c r="M273" s="144">
        <v>0.88619999999999999</v>
      </c>
      <c r="N273" s="144">
        <v>0.89139999999999997</v>
      </c>
      <c r="O273" s="144">
        <v>1.0538000000000001</v>
      </c>
      <c r="P273" s="143">
        <v>9133.4211892327094</v>
      </c>
      <c r="Q273" s="35">
        <f t="array" ref="Q273">SUM(IF(($S273&gt;=4)*($C273='TaxCred&amp;Subs'!$D$114:$D$121)*($H273='TaxCred&amp;Subs'!$C$114:$C$121)*($H273&lt;='TaxCred&amp;Subs'!$C$123),'TaxCred&amp;Subs'!$E$114:$E$121,0))</f>
        <v>0</v>
      </c>
      <c r="R273" s="143">
        <v>0</v>
      </c>
      <c r="S273" s="29">
        <v>3</v>
      </c>
      <c r="T273" s="29" t="s">
        <v>239</v>
      </c>
      <c r="U273" s="30" t="s">
        <v>227</v>
      </c>
      <c r="V273" s="7" t="str">
        <f t="array" ref="V273">INDEX(xlRTCLNAME,MATCH(1,(xlRTCLENDU=1)*(xlRTCLEQCL=$D273),0))</f>
        <v>KERO_FA</v>
      </c>
      <c r="W273" s="7" t="str">
        <f t="array" ref="W273">INDEX(xlRTCLNAME,MATCH(1,(xlRTCLENDU=2)*(xlRTCLEQCL=$F273),0))</f>
        <v>CENT_AIR</v>
      </c>
      <c r="X273" s="7" t="str">
        <f t="array" ref="X273">INDEX(xlRTTYNAME,MATCH(1,(xlRTTYENDU=1)*(xlRTTYEQCL=$D273)*(xlRTEQTYPE=$E273),0))</f>
        <v>KERO_FA3</v>
      </c>
      <c r="Y273" s="7" t="str">
        <f t="array" ref="Y273">INDEX(xlRTTYNAME,MATCH(1,(xlRTTYENDU=2)*(xlRTTYEQCL=$F273)*(xlRTEQTYPE=$G273),0))</f>
        <v>CENT_AIR3</v>
      </c>
    </row>
    <row r="274" spans="2:25" x14ac:dyDescent="0.2">
      <c r="B274" s="29">
        <v>7</v>
      </c>
      <c r="C274" s="29">
        <v>1</v>
      </c>
      <c r="D274" s="29">
        <v>5</v>
      </c>
      <c r="E274" s="29">
        <v>16</v>
      </c>
      <c r="F274" s="29">
        <v>2</v>
      </c>
      <c r="G274" s="32">
        <v>6</v>
      </c>
      <c r="H274" s="32">
        <v>2020</v>
      </c>
      <c r="I274" s="29">
        <v>2050</v>
      </c>
      <c r="J274" s="144">
        <v>1.0885</v>
      </c>
      <c r="K274" s="144">
        <v>1.0575000000000001</v>
      </c>
      <c r="L274" s="144">
        <v>0.79630000000000001</v>
      </c>
      <c r="M274" s="144">
        <v>0.80589999999999995</v>
      </c>
      <c r="N274" s="144">
        <v>0.872</v>
      </c>
      <c r="O274" s="144">
        <v>1.0538000000000001</v>
      </c>
      <c r="P274" s="143">
        <v>8555.2714598980911</v>
      </c>
      <c r="Q274" s="35">
        <f t="array" ref="Q274">SUM(IF(($S274&gt;=4)*($C274='TaxCred&amp;Subs'!$D$114:$D$121)*($H274='TaxCred&amp;Subs'!$C$114:$C$121)*($H274&lt;='TaxCred&amp;Subs'!$C$123),'TaxCred&amp;Subs'!$E$114:$E$121,0))</f>
        <v>0</v>
      </c>
      <c r="R274" s="143">
        <v>0</v>
      </c>
      <c r="S274" s="29">
        <v>3</v>
      </c>
      <c r="T274" s="29" t="s">
        <v>239</v>
      </c>
      <c r="U274" s="30" t="s">
        <v>227</v>
      </c>
      <c r="V274" s="7" t="str">
        <f t="array" ref="V274">INDEX(xlRTCLNAME,MATCH(1,(xlRTCLENDU=1)*(xlRTCLEQCL=$D274),0))</f>
        <v>KERO_FA</v>
      </c>
      <c r="W274" s="7" t="str">
        <f t="array" ref="W274">INDEX(xlRTCLNAME,MATCH(1,(xlRTCLENDU=2)*(xlRTCLEQCL=$F274),0))</f>
        <v>CENT_AIR</v>
      </c>
      <c r="X274" s="7" t="str">
        <f t="array" ref="X274">INDEX(xlRTTYNAME,MATCH(1,(xlRTTYENDU=1)*(xlRTTYEQCL=$D274)*(xlRTEQTYPE=$E274),0))</f>
        <v>KERO_FA3</v>
      </c>
      <c r="Y274" s="7" t="str">
        <f t="array" ref="Y274">INDEX(xlRTTYNAME,MATCH(1,(xlRTTYENDU=2)*(xlRTTYEQCL=$F274)*(xlRTEQTYPE=$G274),0))</f>
        <v>CENT_AIR3</v>
      </c>
    </row>
    <row r="275" spans="2:25" x14ac:dyDescent="0.2">
      <c r="B275" s="29">
        <v>8</v>
      </c>
      <c r="C275" s="29">
        <v>1</v>
      </c>
      <c r="D275" s="29">
        <v>5</v>
      </c>
      <c r="E275" s="29">
        <v>16</v>
      </c>
      <c r="F275" s="29">
        <v>2</v>
      </c>
      <c r="G275" s="32">
        <v>6</v>
      </c>
      <c r="H275" s="32">
        <v>2020</v>
      </c>
      <c r="I275" s="29">
        <v>2050</v>
      </c>
      <c r="J275" s="144">
        <v>1.0838000000000001</v>
      </c>
      <c r="K275" s="144">
        <v>1.0832999999999999</v>
      </c>
      <c r="L275" s="144">
        <v>0.57709999999999995</v>
      </c>
      <c r="M275" s="144">
        <v>0.80369999999999997</v>
      </c>
      <c r="N275" s="144">
        <v>0.86950000000000005</v>
      </c>
      <c r="O275" s="144">
        <v>1.0538000000000001</v>
      </c>
      <c r="P275" s="143">
        <v>14039.62668305137</v>
      </c>
      <c r="Q275" s="35">
        <f t="array" ref="Q275">SUM(IF(($S275&gt;=4)*($C275='TaxCred&amp;Subs'!$D$114:$D$121)*($H275='TaxCred&amp;Subs'!$C$114:$C$121)*($H275&lt;='TaxCred&amp;Subs'!$C$123),'TaxCred&amp;Subs'!$E$114:$E$121,0))</f>
        <v>0</v>
      </c>
      <c r="R275" s="143">
        <v>0</v>
      </c>
      <c r="S275" s="29">
        <v>3</v>
      </c>
      <c r="T275" s="29" t="s">
        <v>239</v>
      </c>
      <c r="U275" s="30" t="s">
        <v>227</v>
      </c>
      <c r="V275" s="7" t="str">
        <f t="array" ref="V275">INDEX(xlRTCLNAME,MATCH(1,(xlRTCLENDU=1)*(xlRTCLEQCL=$D275),0))</f>
        <v>KERO_FA</v>
      </c>
      <c r="W275" s="7" t="str">
        <f t="array" ref="W275">INDEX(xlRTCLNAME,MATCH(1,(xlRTCLENDU=2)*(xlRTCLEQCL=$F275),0))</f>
        <v>CENT_AIR</v>
      </c>
      <c r="X275" s="7" t="str">
        <f t="array" ref="X275">INDEX(xlRTTYNAME,MATCH(1,(xlRTTYENDU=1)*(xlRTTYEQCL=$D275)*(xlRTEQTYPE=$E275),0))</f>
        <v>KERO_FA3</v>
      </c>
      <c r="Y275" s="7" t="str">
        <f t="array" ref="Y275">INDEX(xlRTTYNAME,MATCH(1,(xlRTTYENDU=2)*(xlRTTYEQCL=$F275)*(xlRTEQTYPE=$G275),0))</f>
        <v>CENT_AIR3</v>
      </c>
    </row>
    <row r="276" spans="2:25" x14ac:dyDescent="0.2">
      <c r="B276" s="29">
        <v>9</v>
      </c>
      <c r="C276" s="29">
        <v>1</v>
      </c>
      <c r="D276" s="29">
        <v>5</v>
      </c>
      <c r="E276" s="29">
        <v>16</v>
      </c>
      <c r="F276" s="29">
        <v>2</v>
      </c>
      <c r="G276" s="32">
        <v>6</v>
      </c>
      <c r="H276" s="32">
        <v>2020</v>
      </c>
      <c r="I276" s="29">
        <v>2050</v>
      </c>
      <c r="J276" s="144">
        <v>1.0790999999999999</v>
      </c>
      <c r="K276" s="144">
        <v>1.0722</v>
      </c>
      <c r="L276" s="144">
        <v>0.87480000000000002</v>
      </c>
      <c r="M276" s="144">
        <v>0.90590000000000004</v>
      </c>
      <c r="N276" s="144">
        <v>1.0336000000000001</v>
      </c>
      <c r="O276" s="144">
        <v>1.0538000000000001</v>
      </c>
      <c r="P276" s="143">
        <v>13720.972064790196</v>
      </c>
      <c r="Q276" s="35">
        <f t="array" ref="Q276">SUM(IF(($S276&gt;=4)*($C276='TaxCred&amp;Subs'!$D$114:$D$121)*($H276='TaxCred&amp;Subs'!$C$114:$C$121)*($H276&lt;='TaxCred&amp;Subs'!$C$123),'TaxCred&amp;Subs'!$E$114:$E$121,0))</f>
        <v>0</v>
      </c>
      <c r="R276" s="143">
        <v>0</v>
      </c>
      <c r="S276" s="29">
        <v>3</v>
      </c>
      <c r="T276" s="29" t="s">
        <v>239</v>
      </c>
      <c r="U276" s="30" t="s">
        <v>227</v>
      </c>
      <c r="V276" s="7" t="str">
        <f t="array" ref="V276">INDEX(xlRTCLNAME,MATCH(1,(xlRTCLENDU=1)*(xlRTCLEQCL=$D276),0))</f>
        <v>KERO_FA</v>
      </c>
      <c r="W276" s="7" t="str">
        <f t="array" ref="W276">INDEX(xlRTCLNAME,MATCH(1,(xlRTCLENDU=2)*(xlRTCLEQCL=$F276),0))</f>
        <v>CENT_AIR</v>
      </c>
      <c r="X276" s="7" t="str">
        <f t="array" ref="X276">INDEX(xlRTTYNAME,MATCH(1,(xlRTTYENDU=1)*(xlRTTYEQCL=$D276)*(xlRTEQTYPE=$E276),0))</f>
        <v>KERO_FA3</v>
      </c>
      <c r="Y276" s="7" t="str">
        <f t="array" ref="Y276">INDEX(xlRTTYNAME,MATCH(1,(xlRTTYENDU=2)*(xlRTTYEQCL=$F276)*(xlRTEQTYPE=$G276),0))</f>
        <v>CENT_AIR3</v>
      </c>
    </row>
    <row r="277" spans="2:25" x14ac:dyDescent="0.2">
      <c r="B277" s="5">
        <v>1</v>
      </c>
      <c r="C277" s="5">
        <v>1</v>
      </c>
      <c r="D277" s="5">
        <v>6</v>
      </c>
      <c r="E277" s="5">
        <v>20</v>
      </c>
      <c r="F277" s="5">
        <v>2</v>
      </c>
      <c r="G277" s="31">
        <v>6</v>
      </c>
      <c r="H277" s="31">
        <v>2020</v>
      </c>
      <c r="I277" s="31">
        <v>2028</v>
      </c>
      <c r="J277" s="142">
        <v>1.0803</v>
      </c>
      <c r="K277" s="142">
        <v>1.0667</v>
      </c>
      <c r="L277" s="142">
        <v>0.57279999999999998</v>
      </c>
      <c r="M277" s="142">
        <v>0.95909999999999995</v>
      </c>
      <c r="N277" s="142">
        <v>0.79790000000000005</v>
      </c>
      <c r="O277" s="142">
        <v>1.0538000000000001</v>
      </c>
      <c r="P277" s="26">
        <v>14588.196658792125</v>
      </c>
      <c r="Q277" s="35">
        <f t="array" ref="Q277">SUM(IF(($S277&gt;=4)*($C277='TaxCred&amp;Subs'!$D$114:$D$121)*($H277='TaxCred&amp;Subs'!$C$114:$C$121)*($H277&lt;='TaxCred&amp;Subs'!$C$123),'TaxCred&amp;Subs'!$E$114:$E$121,0))</f>
        <v>0</v>
      </c>
      <c r="R277" s="143">
        <v>0</v>
      </c>
      <c r="S277" s="5">
        <v>3</v>
      </c>
      <c r="T277" s="5" t="s">
        <v>239</v>
      </c>
      <c r="V277" s="7" t="str">
        <f t="array" ref="V277">INDEX(xlRTCLNAME,MATCH(1,(xlRTCLENDU=1)*(xlRTCLEQCL=$D277),0))</f>
        <v>LPG_FA</v>
      </c>
      <c r="W277" s="7" t="str">
        <f t="array" ref="W277">INDEX(xlRTCLNAME,MATCH(1,(xlRTCLENDU=2)*(xlRTCLEQCL=$F277),0))</f>
        <v>CENT_AIR</v>
      </c>
      <c r="X277" s="7" t="str">
        <f t="array" ref="X277">INDEX(xlRTTYNAME,MATCH(1,(xlRTTYENDU=1)*(xlRTTYEQCL=$D277)*(xlRTEQTYPE=$E277),0))</f>
        <v>LPG_FA3</v>
      </c>
      <c r="Y277" s="7" t="str">
        <f t="array" ref="Y277">INDEX(xlRTTYNAME,MATCH(1,(xlRTTYENDU=2)*(xlRTTYEQCL=$F277)*(xlRTEQTYPE=$G277),0))</f>
        <v>CENT_AIR3</v>
      </c>
    </row>
    <row r="278" spans="2:25" x14ac:dyDescent="0.2">
      <c r="B278" s="152">
        <v>1</v>
      </c>
      <c r="C278" s="152">
        <v>1</v>
      </c>
      <c r="D278" s="152">
        <v>6</v>
      </c>
      <c r="E278" s="152">
        <v>21</v>
      </c>
      <c r="F278" s="152">
        <v>2</v>
      </c>
      <c r="G278" s="152">
        <v>6</v>
      </c>
      <c r="H278" s="152">
        <v>2029</v>
      </c>
      <c r="I278" s="152">
        <v>2050</v>
      </c>
      <c r="J278" s="229">
        <v>1.0803</v>
      </c>
      <c r="K278" s="229">
        <v>1.0667</v>
      </c>
      <c r="L278" s="229">
        <v>0.57279999999999998</v>
      </c>
      <c r="M278" s="229">
        <v>0.95909999999999995</v>
      </c>
      <c r="N278" s="229">
        <v>0.79790000000000005</v>
      </c>
      <c r="O278" s="229">
        <v>1.0538000000000001</v>
      </c>
      <c r="P278" s="155">
        <v>14588.196658792125</v>
      </c>
      <c r="Q278" s="41">
        <f t="array" ref="Q278">SUM(IF(($S278&gt;=4)*($C278='TaxCred&amp;Subs'!$D$114:$D$121)*($H278='TaxCred&amp;Subs'!$C$114:$C$121)*($H278&lt;='TaxCred&amp;Subs'!$C$123),'TaxCred&amp;Subs'!$E$114:$E$121,0))</f>
        <v>0</v>
      </c>
      <c r="R278" s="230">
        <v>0</v>
      </c>
      <c r="S278" s="152">
        <v>3</v>
      </c>
      <c r="T278" s="152" t="s">
        <v>239</v>
      </c>
      <c r="V278" s="7" t="str">
        <f t="array" ref="V278">INDEX(xlRTCLNAME,MATCH(1,(xlRTCLENDU=1)*(xlRTCLEQCL=$D278),0))</f>
        <v>LPG_FA</v>
      </c>
      <c r="W278" s="7" t="str">
        <f t="array" ref="W278">INDEX(xlRTCLNAME,MATCH(1,(xlRTCLENDU=2)*(xlRTCLEQCL=$F278),0))</f>
        <v>CENT_AIR</v>
      </c>
      <c r="X278" s="7" t="str">
        <f t="array" ref="X278">INDEX(xlRTTYNAME,MATCH(1,(xlRTTYENDU=1)*(xlRTTYEQCL=$D278)*(xlRTEQTYPE=$E278),0))</f>
        <v>LPG_FA4</v>
      </c>
      <c r="Y278" s="7" t="str">
        <f t="array" ref="Y278">INDEX(xlRTTYNAME,MATCH(1,(xlRTTYENDU=2)*(xlRTTYEQCL=$F278)*(xlRTEQTYPE=$G278),0))</f>
        <v>CENT_AIR3</v>
      </c>
    </row>
    <row r="279" spans="2:25" x14ac:dyDescent="0.2">
      <c r="B279" s="5">
        <v>2</v>
      </c>
      <c r="C279" s="5">
        <v>1</v>
      </c>
      <c r="D279" s="5">
        <v>6</v>
      </c>
      <c r="E279" s="5">
        <v>20</v>
      </c>
      <c r="F279" s="5">
        <v>2</v>
      </c>
      <c r="G279" s="31">
        <v>6</v>
      </c>
      <c r="H279" s="31">
        <v>2020</v>
      </c>
      <c r="I279" s="31">
        <v>2028</v>
      </c>
      <c r="J279" s="142">
        <v>1.0649</v>
      </c>
      <c r="K279" s="142">
        <v>1.0597000000000001</v>
      </c>
      <c r="L279" s="142">
        <v>0.6411</v>
      </c>
      <c r="M279" s="142">
        <v>0.84060000000000001</v>
      </c>
      <c r="N279" s="142">
        <v>0.93169999999999997</v>
      </c>
      <c r="O279" s="142">
        <v>1.0538000000000001</v>
      </c>
      <c r="P279" s="26">
        <v>14476.600315688</v>
      </c>
      <c r="Q279" s="35">
        <f t="array" ref="Q279">SUM(IF(($S279&gt;=4)*($C279='TaxCred&amp;Subs'!$D$114:$D$121)*($H279='TaxCred&amp;Subs'!$C$114:$C$121)*($H279&lt;='TaxCred&amp;Subs'!$C$123),'TaxCred&amp;Subs'!$E$114:$E$121,0))</f>
        <v>0</v>
      </c>
      <c r="R279" s="143">
        <v>0</v>
      </c>
      <c r="S279" s="5">
        <v>3</v>
      </c>
      <c r="T279" s="5" t="s">
        <v>239</v>
      </c>
      <c r="V279" s="7" t="str">
        <f t="array" ref="V279">INDEX(xlRTCLNAME,MATCH(1,(xlRTCLENDU=1)*(xlRTCLEQCL=$D279),0))</f>
        <v>LPG_FA</v>
      </c>
      <c r="W279" s="7" t="str">
        <f t="array" ref="W279">INDEX(xlRTCLNAME,MATCH(1,(xlRTCLENDU=2)*(xlRTCLEQCL=$F279),0))</f>
        <v>CENT_AIR</v>
      </c>
      <c r="X279" s="7" t="str">
        <f t="array" ref="X279">INDEX(xlRTTYNAME,MATCH(1,(xlRTTYENDU=1)*(xlRTTYEQCL=$D279)*(xlRTEQTYPE=$E279),0))</f>
        <v>LPG_FA3</v>
      </c>
      <c r="Y279" s="7" t="str">
        <f t="array" ref="Y279">INDEX(xlRTTYNAME,MATCH(1,(xlRTTYENDU=2)*(xlRTTYEQCL=$F279)*(xlRTEQTYPE=$G279),0))</f>
        <v>CENT_AIR3</v>
      </c>
    </row>
    <row r="280" spans="2:25" x14ac:dyDescent="0.2">
      <c r="B280" s="152">
        <v>2</v>
      </c>
      <c r="C280" s="152">
        <v>1</v>
      </c>
      <c r="D280" s="152">
        <v>6</v>
      </c>
      <c r="E280" s="152">
        <v>21</v>
      </c>
      <c r="F280" s="152">
        <v>2</v>
      </c>
      <c r="G280" s="152">
        <v>6</v>
      </c>
      <c r="H280" s="152">
        <v>2029</v>
      </c>
      <c r="I280" s="152">
        <v>2050</v>
      </c>
      <c r="J280" s="229">
        <v>1.0649</v>
      </c>
      <c r="K280" s="229">
        <v>1.0597000000000001</v>
      </c>
      <c r="L280" s="229">
        <v>0.6411</v>
      </c>
      <c r="M280" s="229">
        <v>0.84060000000000001</v>
      </c>
      <c r="N280" s="229">
        <v>0.93169999999999997</v>
      </c>
      <c r="O280" s="229">
        <v>1.0538000000000001</v>
      </c>
      <c r="P280" s="155">
        <v>14476.600315688</v>
      </c>
      <c r="Q280" s="41">
        <f t="array" ref="Q280">SUM(IF(($S280&gt;=4)*($C280='TaxCred&amp;Subs'!$D$114:$D$121)*($H280='TaxCred&amp;Subs'!$C$114:$C$121)*($H280&lt;='TaxCred&amp;Subs'!$C$123),'TaxCred&amp;Subs'!$E$114:$E$121,0))</f>
        <v>0</v>
      </c>
      <c r="R280" s="230">
        <v>0</v>
      </c>
      <c r="S280" s="152">
        <v>3</v>
      </c>
      <c r="T280" s="152" t="s">
        <v>239</v>
      </c>
      <c r="V280" s="7" t="str">
        <f t="array" ref="V280">INDEX(xlRTCLNAME,MATCH(1,(xlRTCLENDU=1)*(xlRTCLEQCL=$D280),0))</f>
        <v>LPG_FA</v>
      </c>
      <c r="W280" s="7" t="str">
        <f t="array" ref="W280">INDEX(xlRTCLNAME,MATCH(1,(xlRTCLENDU=2)*(xlRTCLEQCL=$F280),0))</f>
        <v>CENT_AIR</v>
      </c>
      <c r="X280" s="7" t="str">
        <f t="array" ref="X280">INDEX(xlRTTYNAME,MATCH(1,(xlRTTYENDU=1)*(xlRTTYEQCL=$D280)*(xlRTEQTYPE=$E280),0))</f>
        <v>LPG_FA4</v>
      </c>
      <c r="Y280" s="7" t="str">
        <f t="array" ref="Y280">INDEX(xlRTTYNAME,MATCH(1,(xlRTTYENDU=2)*(xlRTTYEQCL=$F280)*(xlRTEQTYPE=$G280),0))</f>
        <v>CENT_AIR3</v>
      </c>
    </row>
    <row r="281" spans="2:25" x14ac:dyDescent="0.2">
      <c r="B281" s="5">
        <v>3</v>
      </c>
      <c r="C281" s="5">
        <v>1</v>
      </c>
      <c r="D281" s="5">
        <v>6</v>
      </c>
      <c r="E281" s="5">
        <v>20</v>
      </c>
      <c r="F281" s="5">
        <v>2</v>
      </c>
      <c r="G281" s="31">
        <v>6</v>
      </c>
      <c r="H281" s="31">
        <v>2020</v>
      </c>
      <c r="I281" s="31">
        <v>2028</v>
      </c>
      <c r="J281" s="142">
        <v>1.0469999999999999</v>
      </c>
      <c r="K281" s="142">
        <v>1.0769</v>
      </c>
      <c r="L281" s="142">
        <v>0.52969999999999995</v>
      </c>
      <c r="M281" s="142">
        <v>0.9194</v>
      </c>
      <c r="N281" s="142">
        <v>0.91600000000000004</v>
      </c>
      <c r="O281" s="142">
        <v>1.0538000000000001</v>
      </c>
      <c r="P281" s="26">
        <v>13002.990773011856</v>
      </c>
      <c r="Q281" s="35">
        <f t="array" ref="Q281">SUM(IF(($S281&gt;=4)*($C281='TaxCred&amp;Subs'!$D$114:$D$121)*($H281='TaxCred&amp;Subs'!$C$114:$C$121)*($H281&lt;='TaxCred&amp;Subs'!$C$123),'TaxCred&amp;Subs'!$E$114:$E$121,0))</f>
        <v>0</v>
      </c>
      <c r="R281" s="143">
        <v>0</v>
      </c>
      <c r="S281" s="5">
        <v>3</v>
      </c>
      <c r="T281" s="5" t="s">
        <v>239</v>
      </c>
      <c r="V281" s="7" t="str">
        <f t="array" ref="V281">INDEX(xlRTCLNAME,MATCH(1,(xlRTCLENDU=1)*(xlRTCLEQCL=$D281),0))</f>
        <v>LPG_FA</v>
      </c>
      <c r="W281" s="7" t="str">
        <f t="array" ref="W281">INDEX(xlRTCLNAME,MATCH(1,(xlRTCLENDU=2)*(xlRTCLEQCL=$F281),0))</f>
        <v>CENT_AIR</v>
      </c>
      <c r="X281" s="7" t="str">
        <f t="array" ref="X281">INDEX(xlRTTYNAME,MATCH(1,(xlRTTYENDU=1)*(xlRTTYEQCL=$D281)*(xlRTEQTYPE=$E281),0))</f>
        <v>LPG_FA3</v>
      </c>
      <c r="Y281" s="7" t="str">
        <f t="array" ref="Y281">INDEX(xlRTTYNAME,MATCH(1,(xlRTTYENDU=2)*(xlRTTYEQCL=$F281)*(xlRTEQTYPE=$G281),0))</f>
        <v>CENT_AIR3</v>
      </c>
    </row>
    <row r="282" spans="2:25" x14ac:dyDescent="0.2">
      <c r="B282" s="152">
        <v>3</v>
      </c>
      <c r="C282" s="152">
        <v>1</v>
      </c>
      <c r="D282" s="152">
        <v>6</v>
      </c>
      <c r="E282" s="152">
        <v>21</v>
      </c>
      <c r="F282" s="152">
        <v>2</v>
      </c>
      <c r="G282" s="152">
        <v>6</v>
      </c>
      <c r="H282" s="152">
        <v>2029</v>
      </c>
      <c r="I282" s="152">
        <v>2050</v>
      </c>
      <c r="J282" s="229">
        <v>1.0469999999999999</v>
      </c>
      <c r="K282" s="229">
        <v>1.0769</v>
      </c>
      <c r="L282" s="229">
        <v>0.52969999999999995</v>
      </c>
      <c r="M282" s="229">
        <v>0.9194</v>
      </c>
      <c r="N282" s="229">
        <v>0.91600000000000004</v>
      </c>
      <c r="O282" s="229">
        <v>1.0538000000000001</v>
      </c>
      <c r="P282" s="155">
        <v>13002.990773011856</v>
      </c>
      <c r="Q282" s="41">
        <f t="array" ref="Q282">SUM(IF(($S282&gt;=4)*($C282='TaxCred&amp;Subs'!$D$114:$D$121)*($H282='TaxCred&amp;Subs'!$C$114:$C$121)*($H282&lt;='TaxCred&amp;Subs'!$C$123),'TaxCred&amp;Subs'!$E$114:$E$121,0))</f>
        <v>0</v>
      </c>
      <c r="R282" s="230">
        <v>0</v>
      </c>
      <c r="S282" s="152">
        <v>3</v>
      </c>
      <c r="T282" s="152" t="s">
        <v>239</v>
      </c>
      <c r="V282" s="7" t="str">
        <f t="array" ref="V282">INDEX(xlRTCLNAME,MATCH(1,(xlRTCLENDU=1)*(xlRTCLEQCL=$D282),0))</f>
        <v>LPG_FA</v>
      </c>
      <c r="W282" s="7" t="str">
        <f t="array" ref="W282">INDEX(xlRTCLNAME,MATCH(1,(xlRTCLENDU=2)*(xlRTCLEQCL=$F282),0))</f>
        <v>CENT_AIR</v>
      </c>
      <c r="X282" s="7" t="str">
        <f t="array" ref="X282">INDEX(xlRTTYNAME,MATCH(1,(xlRTTYENDU=1)*(xlRTTYEQCL=$D282)*(xlRTEQTYPE=$E282),0))</f>
        <v>LPG_FA4</v>
      </c>
      <c r="Y282" s="7" t="str">
        <f t="array" ref="Y282">INDEX(xlRTTYNAME,MATCH(1,(xlRTTYENDU=2)*(xlRTTYEQCL=$F282)*(xlRTEQTYPE=$G282),0))</f>
        <v>CENT_AIR3</v>
      </c>
    </row>
    <row r="283" spans="2:25" x14ac:dyDescent="0.2">
      <c r="B283" s="5">
        <v>4</v>
      </c>
      <c r="C283" s="5">
        <v>1</v>
      </c>
      <c r="D283" s="5">
        <v>6</v>
      </c>
      <c r="E283" s="5">
        <v>20</v>
      </c>
      <c r="F283" s="5">
        <v>2</v>
      </c>
      <c r="G283" s="31">
        <v>6</v>
      </c>
      <c r="H283" s="31">
        <v>2020</v>
      </c>
      <c r="I283" s="31">
        <v>2028</v>
      </c>
      <c r="J283" s="142">
        <v>1.0862000000000001</v>
      </c>
      <c r="K283" s="142">
        <v>1.0769</v>
      </c>
      <c r="L283" s="142">
        <v>0.53590000000000004</v>
      </c>
      <c r="M283" s="142">
        <v>0.85419999999999996</v>
      </c>
      <c r="N283" s="142">
        <v>0.85770000000000002</v>
      </c>
      <c r="O283" s="142">
        <v>1.0538000000000001</v>
      </c>
      <c r="P283" s="26">
        <v>10395.938853989004</v>
      </c>
      <c r="Q283" s="35">
        <f t="array" ref="Q283">SUM(IF(($S283&gt;=4)*($C283='TaxCred&amp;Subs'!$D$114:$D$121)*($H283='TaxCred&amp;Subs'!$C$114:$C$121)*($H283&lt;='TaxCred&amp;Subs'!$C$123),'TaxCred&amp;Subs'!$E$114:$E$121,0))</f>
        <v>0</v>
      </c>
      <c r="R283" s="143">
        <v>0</v>
      </c>
      <c r="S283" s="5">
        <v>3</v>
      </c>
      <c r="T283" s="5" t="s">
        <v>239</v>
      </c>
      <c r="V283" s="7" t="str">
        <f t="array" ref="V283">INDEX(xlRTCLNAME,MATCH(1,(xlRTCLENDU=1)*(xlRTCLEQCL=$D283),0))</f>
        <v>LPG_FA</v>
      </c>
      <c r="W283" s="7" t="str">
        <f t="array" ref="W283">INDEX(xlRTCLNAME,MATCH(1,(xlRTCLENDU=2)*(xlRTCLEQCL=$F283),0))</f>
        <v>CENT_AIR</v>
      </c>
      <c r="X283" s="7" t="str">
        <f t="array" ref="X283">INDEX(xlRTTYNAME,MATCH(1,(xlRTTYENDU=1)*(xlRTTYEQCL=$D283)*(xlRTEQTYPE=$E283),0))</f>
        <v>LPG_FA3</v>
      </c>
      <c r="Y283" s="7" t="str">
        <f t="array" ref="Y283">INDEX(xlRTTYNAME,MATCH(1,(xlRTTYENDU=2)*(xlRTTYEQCL=$F283)*(xlRTEQTYPE=$G283),0))</f>
        <v>CENT_AIR3</v>
      </c>
    </row>
    <row r="284" spans="2:25" x14ac:dyDescent="0.2">
      <c r="B284" s="152">
        <v>4</v>
      </c>
      <c r="C284" s="152">
        <v>1</v>
      </c>
      <c r="D284" s="152">
        <v>6</v>
      </c>
      <c r="E284" s="152">
        <v>21</v>
      </c>
      <c r="F284" s="152">
        <v>2</v>
      </c>
      <c r="G284" s="152">
        <v>6</v>
      </c>
      <c r="H284" s="152">
        <v>2029</v>
      </c>
      <c r="I284" s="152">
        <v>2050</v>
      </c>
      <c r="J284" s="229">
        <v>1.0862000000000001</v>
      </c>
      <c r="K284" s="229">
        <v>1.0769</v>
      </c>
      <c r="L284" s="229">
        <v>0.53590000000000004</v>
      </c>
      <c r="M284" s="229">
        <v>0.85419999999999996</v>
      </c>
      <c r="N284" s="229">
        <v>0.85770000000000002</v>
      </c>
      <c r="O284" s="229">
        <v>1.0538000000000001</v>
      </c>
      <c r="P284" s="155">
        <v>10395.938853989004</v>
      </c>
      <c r="Q284" s="41">
        <f t="array" ref="Q284">SUM(IF(($S284&gt;=4)*($C284='TaxCred&amp;Subs'!$D$114:$D$121)*($H284='TaxCred&amp;Subs'!$C$114:$C$121)*($H284&lt;='TaxCred&amp;Subs'!$C$123),'TaxCred&amp;Subs'!$E$114:$E$121,0))</f>
        <v>0</v>
      </c>
      <c r="R284" s="230">
        <v>0</v>
      </c>
      <c r="S284" s="152">
        <v>3</v>
      </c>
      <c r="T284" s="152" t="s">
        <v>239</v>
      </c>
      <c r="V284" s="7" t="str">
        <f t="array" ref="V284">INDEX(xlRTCLNAME,MATCH(1,(xlRTCLENDU=1)*(xlRTCLEQCL=$D284),0))</f>
        <v>LPG_FA</v>
      </c>
      <c r="W284" s="7" t="str">
        <f t="array" ref="W284">INDEX(xlRTCLNAME,MATCH(1,(xlRTCLENDU=2)*(xlRTCLEQCL=$F284),0))</f>
        <v>CENT_AIR</v>
      </c>
      <c r="X284" s="7" t="str">
        <f t="array" ref="X284">INDEX(xlRTTYNAME,MATCH(1,(xlRTTYENDU=1)*(xlRTTYEQCL=$D284)*(xlRTEQTYPE=$E284),0))</f>
        <v>LPG_FA4</v>
      </c>
      <c r="Y284" s="7" t="str">
        <f t="array" ref="Y284">INDEX(xlRTTYNAME,MATCH(1,(xlRTTYENDU=2)*(xlRTTYEQCL=$F284)*(xlRTEQTYPE=$G284),0))</f>
        <v>CENT_AIR3</v>
      </c>
    </row>
    <row r="285" spans="2:25" x14ac:dyDescent="0.2">
      <c r="B285" s="5">
        <v>5</v>
      </c>
      <c r="C285" s="5">
        <v>1</v>
      </c>
      <c r="D285" s="5">
        <v>6</v>
      </c>
      <c r="E285" s="5">
        <v>20</v>
      </c>
      <c r="F285" s="5">
        <v>2</v>
      </c>
      <c r="G285" s="31">
        <v>6</v>
      </c>
      <c r="H285" s="31">
        <v>2020</v>
      </c>
      <c r="I285" s="31">
        <v>2028</v>
      </c>
      <c r="J285" s="142">
        <v>1.0849</v>
      </c>
      <c r="K285" s="142">
        <v>1.0471999999999999</v>
      </c>
      <c r="L285" s="142">
        <v>0.6915</v>
      </c>
      <c r="M285" s="142">
        <v>0.88759999999999994</v>
      </c>
      <c r="N285" s="142">
        <v>0.76180000000000003</v>
      </c>
      <c r="O285" s="142">
        <v>1.0538000000000001</v>
      </c>
      <c r="P285" s="26">
        <v>9562.3276163437404</v>
      </c>
      <c r="Q285" s="35">
        <f t="array" ref="Q285">SUM(IF(($S285&gt;=4)*($C285='TaxCred&amp;Subs'!$D$114:$D$121)*($H285='TaxCred&amp;Subs'!$C$114:$C$121)*($H285&lt;='TaxCred&amp;Subs'!$C$123),'TaxCred&amp;Subs'!$E$114:$E$121,0))</f>
        <v>0</v>
      </c>
      <c r="R285" s="143">
        <v>0</v>
      </c>
      <c r="S285" s="5">
        <v>3</v>
      </c>
      <c r="T285" s="5" t="s">
        <v>239</v>
      </c>
      <c r="V285" s="7" t="str">
        <f t="array" ref="V285">INDEX(xlRTCLNAME,MATCH(1,(xlRTCLENDU=1)*(xlRTCLEQCL=$D285),0))</f>
        <v>LPG_FA</v>
      </c>
      <c r="W285" s="7" t="str">
        <f t="array" ref="W285">INDEX(xlRTCLNAME,MATCH(1,(xlRTCLENDU=2)*(xlRTCLEQCL=$F285),0))</f>
        <v>CENT_AIR</v>
      </c>
      <c r="X285" s="7" t="str">
        <f t="array" ref="X285">INDEX(xlRTTYNAME,MATCH(1,(xlRTTYENDU=1)*(xlRTTYEQCL=$D285)*(xlRTEQTYPE=$E285),0))</f>
        <v>LPG_FA3</v>
      </c>
      <c r="Y285" s="7" t="str">
        <f t="array" ref="Y285">INDEX(xlRTTYNAME,MATCH(1,(xlRTTYENDU=2)*(xlRTTYEQCL=$F285)*(xlRTEQTYPE=$G285),0))</f>
        <v>CENT_AIR3</v>
      </c>
    </row>
    <row r="286" spans="2:25" x14ac:dyDescent="0.2">
      <c r="B286" s="152">
        <v>5</v>
      </c>
      <c r="C286" s="152">
        <v>1</v>
      </c>
      <c r="D286" s="152">
        <v>6</v>
      </c>
      <c r="E286" s="152">
        <v>21</v>
      </c>
      <c r="F286" s="152">
        <v>2</v>
      </c>
      <c r="G286" s="152">
        <v>6</v>
      </c>
      <c r="H286" s="152">
        <v>2029</v>
      </c>
      <c r="I286" s="152">
        <v>2050</v>
      </c>
      <c r="J286" s="229">
        <v>1.0849</v>
      </c>
      <c r="K286" s="229">
        <v>1.0471999999999999</v>
      </c>
      <c r="L286" s="229">
        <v>0.6915</v>
      </c>
      <c r="M286" s="229">
        <v>0.88759999999999994</v>
      </c>
      <c r="N286" s="229">
        <v>0.76180000000000003</v>
      </c>
      <c r="O286" s="229">
        <v>1.0538000000000001</v>
      </c>
      <c r="P286" s="155">
        <v>9562.3276163437404</v>
      </c>
      <c r="Q286" s="41">
        <f t="array" ref="Q286">SUM(IF(($S286&gt;=4)*($C286='TaxCred&amp;Subs'!$D$114:$D$121)*($H286='TaxCred&amp;Subs'!$C$114:$C$121)*($H286&lt;='TaxCred&amp;Subs'!$C$123),'TaxCred&amp;Subs'!$E$114:$E$121,0))</f>
        <v>0</v>
      </c>
      <c r="R286" s="230">
        <v>0</v>
      </c>
      <c r="S286" s="152">
        <v>3</v>
      </c>
      <c r="T286" s="152" t="s">
        <v>239</v>
      </c>
      <c r="V286" s="7" t="str">
        <f t="array" ref="V286">INDEX(xlRTCLNAME,MATCH(1,(xlRTCLENDU=1)*(xlRTCLEQCL=$D286),0))</f>
        <v>LPG_FA</v>
      </c>
      <c r="W286" s="7" t="str">
        <f t="array" ref="W286">INDEX(xlRTCLNAME,MATCH(1,(xlRTCLENDU=2)*(xlRTCLEQCL=$F286),0))</f>
        <v>CENT_AIR</v>
      </c>
      <c r="X286" s="7" t="str">
        <f t="array" ref="X286">INDEX(xlRTTYNAME,MATCH(1,(xlRTTYENDU=1)*(xlRTTYEQCL=$D286)*(xlRTEQTYPE=$E286),0))</f>
        <v>LPG_FA4</v>
      </c>
      <c r="Y286" s="7" t="str">
        <f t="array" ref="Y286">INDEX(xlRTTYNAME,MATCH(1,(xlRTTYENDU=2)*(xlRTTYEQCL=$F286)*(xlRTEQTYPE=$G286),0))</f>
        <v>CENT_AIR3</v>
      </c>
    </row>
    <row r="287" spans="2:25" x14ac:dyDescent="0.2">
      <c r="B287" s="5">
        <v>6</v>
      </c>
      <c r="C287" s="5">
        <v>1</v>
      </c>
      <c r="D287" s="5">
        <v>6</v>
      </c>
      <c r="E287" s="5">
        <v>20</v>
      </c>
      <c r="F287" s="5">
        <v>2</v>
      </c>
      <c r="G287" s="31">
        <v>6</v>
      </c>
      <c r="H287" s="31">
        <v>2020</v>
      </c>
      <c r="I287" s="31">
        <v>2028</v>
      </c>
      <c r="J287" s="142">
        <v>1.0924</v>
      </c>
      <c r="K287" s="142">
        <v>1.0661</v>
      </c>
      <c r="L287" s="142">
        <v>0.75209999999999999</v>
      </c>
      <c r="M287" s="142">
        <v>0.89880000000000004</v>
      </c>
      <c r="N287" s="142">
        <v>0.89100000000000001</v>
      </c>
      <c r="O287" s="142">
        <v>1.0538000000000001</v>
      </c>
      <c r="P287" s="26">
        <v>10342.157483818342</v>
      </c>
      <c r="Q287" s="35">
        <f t="array" ref="Q287">SUM(IF(($S287&gt;=4)*($C287='TaxCred&amp;Subs'!$D$114:$D$121)*($H287='TaxCred&amp;Subs'!$C$114:$C$121)*($H287&lt;='TaxCred&amp;Subs'!$C$123),'TaxCred&amp;Subs'!$E$114:$E$121,0))</f>
        <v>0</v>
      </c>
      <c r="R287" s="143">
        <v>0</v>
      </c>
      <c r="S287" s="5">
        <v>3</v>
      </c>
      <c r="T287" s="5" t="s">
        <v>239</v>
      </c>
      <c r="V287" s="7" t="str">
        <f t="array" ref="V287">INDEX(xlRTCLNAME,MATCH(1,(xlRTCLENDU=1)*(xlRTCLEQCL=$D287),0))</f>
        <v>LPG_FA</v>
      </c>
      <c r="W287" s="7" t="str">
        <f t="array" ref="W287">INDEX(xlRTCLNAME,MATCH(1,(xlRTCLENDU=2)*(xlRTCLEQCL=$F287),0))</f>
        <v>CENT_AIR</v>
      </c>
      <c r="X287" s="7" t="str">
        <f t="array" ref="X287">INDEX(xlRTTYNAME,MATCH(1,(xlRTTYENDU=1)*(xlRTTYEQCL=$D287)*(xlRTEQTYPE=$E287),0))</f>
        <v>LPG_FA3</v>
      </c>
      <c r="Y287" s="7" t="str">
        <f t="array" ref="Y287">INDEX(xlRTTYNAME,MATCH(1,(xlRTTYENDU=2)*(xlRTTYEQCL=$F287)*(xlRTEQTYPE=$G287),0))</f>
        <v>CENT_AIR3</v>
      </c>
    </row>
    <row r="288" spans="2:25" x14ac:dyDescent="0.2">
      <c r="B288" s="152">
        <v>6</v>
      </c>
      <c r="C288" s="152">
        <v>1</v>
      </c>
      <c r="D288" s="152">
        <v>6</v>
      </c>
      <c r="E288" s="152">
        <v>21</v>
      </c>
      <c r="F288" s="152">
        <v>2</v>
      </c>
      <c r="G288" s="152">
        <v>6</v>
      </c>
      <c r="H288" s="152">
        <v>2029</v>
      </c>
      <c r="I288" s="152">
        <v>2050</v>
      </c>
      <c r="J288" s="229">
        <v>1.0924</v>
      </c>
      <c r="K288" s="229">
        <v>1.0661</v>
      </c>
      <c r="L288" s="229">
        <v>0.75209999999999999</v>
      </c>
      <c r="M288" s="229">
        <v>0.89880000000000004</v>
      </c>
      <c r="N288" s="229">
        <v>0.89100000000000001</v>
      </c>
      <c r="O288" s="229">
        <v>1.0538000000000001</v>
      </c>
      <c r="P288" s="155">
        <v>10342.157483818342</v>
      </c>
      <c r="Q288" s="41">
        <f t="array" ref="Q288">SUM(IF(($S288&gt;=4)*($C288='TaxCred&amp;Subs'!$D$114:$D$121)*($H288='TaxCred&amp;Subs'!$C$114:$C$121)*($H288&lt;='TaxCred&amp;Subs'!$C$123),'TaxCred&amp;Subs'!$E$114:$E$121,0))</f>
        <v>0</v>
      </c>
      <c r="R288" s="230">
        <v>0</v>
      </c>
      <c r="S288" s="152">
        <v>3</v>
      </c>
      <c r="T288" s="152" t="s">
        <v>239</v>
      </c>
      <c r="V288" s="7" t="str">
        <f t="array" ref="V288">INDEX(xlRTCLNAME,MATCH(1,(xlRTCLENDU=1)*(xlRTCLEQCL=$D288),0))</f>
        <v>LPG_FA</v>
      </c>
      <c r="W288" s="7" t="str">
        <f t="array" ref="W288">INDEX(xlRTCLNAME,MATCH(1,(xlRTCLENDU=2)*(xlRTCLEQCL=$F288),0))</f>
        <v>CENT_AIR</v>
      </c>
      <c r="X288" s="7" t="str">
        <f t="array" ref="X288">INDEX(xlRTTYNAME,MATCH(1,(xlRTTYENDU=1)*(xlRTTYEQCL=$D288)*(xlRTEQTYPE=$E288),0))</f>
        <v>LPG_FA4</v>
      </c>
      <c r="Y288" s="7" t="str">
        <f t="array" ref="Y288">INDEX(xlRTTYNAME,MATCH(1,(xlRTTYENDU=2)*(xlRTTYEQCL=$F288)*(xlRTEQTYPE=$G288),0))</f>
        <v>CENT_AIR3</v>
      </c>
    </row>
    <row r="289" spans="2:25" x14ac:dyDescent="0.2">
      <c r="B289" s="5">
        <v>7</v>
      </c>
      <c r="C289" s="5">
        <v>1</v>
      </c>
      <c r="D289" s="5">
        <v>6</v>
      </c>
      <c r="E289" s="5">
        <v>20</v>
      </c>
      <c r="F289" s="5">
        <v>2</v>
      </c>
      <c r="G289" s="31">
        <v>6</v>
      </c>
      <c r="H289" s="31">
        <v>2020</v>
      </c>
      <c r="I289" s="31">
        <v>2028</v>
      </c>
      <c r="J289" s="142">
        <v>1.0905</v>
      </c>
      <c r="K289" s="142">
        <v>1.0562</v>
      </c>
      <c r="L289" s="142">
        <v>0.77559999999999996</v>
      </c>
      <c r="M289" s="142">
        <v>0.80289999999999995</v>
      </c>
      <c r="N289" s="142">
        <v>0.87180000000000002</v>
      </c>
      <c r="O289" s="142">
        <v>1.0538000000000001</v>
      </c>
      <c r="P289" s="26">
        <v>9279.9754229477639</v>
      </c>
      <c r="Q289" s="35">
        <f t="array" ref="Q289">SUM(IF(($S289&gt;=4)*($C289='TaxCred&amp;Subs'!$D$114:$D$121)*($H289='TaxCred&amp;Subs'!$C$114:$C$121)*($H289&lt;='TaxCred&amp;Subs'!$C$123),'TaxCred&amp;Subs'!$E$114:$E$121,0))</f>
        <v>0</v>
      </c>
      <c r="R289" s="143">
        <v>0</v>
      </c>
      <c r="S289" s="5">
        <v>3</v>
      </c>
      <c r="T289" s="5" t="s">
        <v>239</v>
      </c>
      <c r="V289" s="7" t="str">
        <f t="array" ref="V289">INDEX(xlRTCLNAME,MATCH(1,(xlRTCLENDU=1)*(xlRTCLEQCL=$D289),0))</f>
        <v>LPG_FA</v>
      </c>
      <c r="W289" s="7" t="str">
        <f t="array" ref="W289">INDEX(xlRTCLNAME,MATCH(1,(xlRTCLENDU=2)*(xlRTCLEQCL=$F289),0))</f>
        <v>CENT_AIR</v>
      </c>
      <c r="X289" s="7" t="str">
        <f t="array" ref="X289">INDEX(xlRTTYNAME,MATCH(1,(xlRTTYENDU=1)*(xlRTTYEQCL=$D289)*(xlRTEQTYPE=$E289),0))</f>
        <v>LPG_FA3</v>
      </c>
      <c r="Y289" s="7" t="str">
        <f t="array" ref="Y289">INDEX(xlRTTYNAME,MATCH(1,(xlRTTYENDU=2)*(xlRTTYEQCL=$F289)*(xlRTEQTYPE=$G289),0))</f>
        <v>CENT_AIR3</v>
      </c>
    </row>
    <row r="290" spans="2:25" x14ac:dyDescent="0.2">
      <c r="B290" s="152">
        <v>7</v>
      </c>
      <c r="C290" s="152">
        <v>1</v>
      </c>
      <c r="D290" s="152">
        <v>6</v>
      </c>
      <c r="E290" s="152">
        <v>21</v>
      </c>
      <c r="F290" s="152">
        <v>2</v>
      </c>
      <c r="G290" s="152">
        <v>6</v>
      </c>
      <c r="H290" s="152">
        <v>2029</v>
      </c>
      <c r="I290" s="152">
        <v>2050</v>
      </c>
      <c r="J290" s="229">
        <v>1.0905</v>
      </c>
      <c r="K290" s="229">
        <v>1.0562</v>
      </c>
      <c r="L290" s="229">
        <v>0.77559999999999996</v>
      </c>
      <c r="M290" s="229">
        <v>0.80289999999999995</v>
      </c>
      <c r="N290" s="229">
        <v>0.87180000000000002</v>
      </c>
      <c r="O290" s="229">
        <v>1.0538000000000001</v>
      </c>
      <c r="P290" s="155">
        <v>9279.9754229477639</v>
      </c>
      <c r="Q290" s="41">
        <f t="array" ref="Q290">SUM(IF(($S290&gt;=4)*($C290='TaxCred&amp;Subs'!$D$114:$D$121)*($H290='TaxCred&amp;Subs'!$C$114:$C$121)*($H290&lt;='TaxCred&amp;Subs'!$C$123),'TaxCred&amp;Subs'!$E$114:$E$121,0))</f>
        <v>0</v>
      </c>
      <c r="R290" s="230">
        <v>0</v>
      </c>
      <c r="S290" s="152">
        <v>3</v>
      </c>
      <c r="T290" s="152" t="s">
        <v>239</v>
      </c>
      <c r="V290" s="7" t="str">
        <f t="array" ref="V290">INDEX(xlRTCLNAME,MATCH(1,(xlRTCLENDU=1)*(xlRTCLEQCL=$D290),0))</f>
        <v>LPG_FA</v>
      </c>
      <c r="W290" s="7" t="str">
        <f t="array" ref="W290">INDEX(xlRTCLNAME,MATCH(1,(xlRTCLENDU=2)*(xlRTCLEQCL=$F290),0))</f>
        <v>CENT_AIR</v>
      </c>
      <c r="X290" s="7" t="str">
        <f t="array" ref="X290">INDEX(xlRTTYNAME,MATCH(1,(xlRTTYENDU=1)*(xlRTTYEQCL=$D290)*(xlRTEQTYPE=$E290),0))</f>
        <v>LPG_FA4</v>
      </c>
      <c r="Y290" s="7" t="str">
        <f t="array" ref="Y290">INDEX(xlRTTYNAME,MATCH(1,(xlRTTYENDU=2)*(xlRTTYEQCL=$F290)*(xlRTEQTYPE=$G290),0))</f>
        <v>CENT_AIR3</v>
      </c>
    </row>
    <row r="291" spans="2:25" x14ac:dyDescent="0.2">
      <c r="B291" s="5">
        <v>8</v>
      </c>
      <c r="C291" s="5">
        <v>1</v>
      </c>
      <c r="D291" s="5">
        <v>6</v>
      </c>
      <c r="E291" s="5">
        <v>20</v>
      </c>
      <c r="F291" s="5">
        <v>2</v>
      </c>
      <c r="G291" s="31">
        <v>6</v>
      </c>
      <c r="H291" s="31">
        <v>2020</v>
      </c>
      <c r="I291" s="31">
        <v>2028</v>
      </c>
      <c r="J291" s="142">
        <v>1.0801000000000001</v>
      </c>
      <c r="K291" s="142">
        <v>1.0822000000000001</v>
      </c>
      <c r="L291" s="142">
        <v>0.53920000000000001</v>
      </c>
      <c r="M291" s="142">
        <v>0.89190000000000003</v>
      </c>
      <c r="N291" s="142">
        <v>0.86950000000000005</v>
      </c>
      <c r="O291" s="142">
        <v>1.0538000000000001</v>
      </c>
      <c r="P291" s="26">
        <v>11509.213216521712</v>
      </c>
      <c r="Q291" s="35">
        <f t="array" ref="Q291">SUM(IF(($S291&gt;=4)*($C291='TaxCred&amp;Subs'!$D$114:$D$121)*($H291='TaxCred&amp;Subs'!$C$114:$C$121)*($H291&lt;='TaxCred&amp;Subs'!$C$123),'TaxCred&amp;Subs'!$E$114:$E$121,0))</f>
        <v>0</v>
      </c>
      <c r="R291" s="143">
        <v>0</v>
      </c>
      <c r="S291" s="5">
        <v>3</v>
      </c>
      <c r="T291" s="5" t="s">
        <v>239</v>
      </c>
      <c r="V291" s="7" t="str">
        <f t="array" ref="V291">INDEX(xlRTCLNAME,MATCH(1,(xlRTCLENDU=1)*(xlRTCLEQCL=$D291),0))</f>
        <v>LPG_FA</v>
      </c>
      <c r="W291" s="7" t="str">
        <f t="array" ref="W291">INDEX(xlRTCLNAME,MATCH(1,(xlRTCLENDU=2)*(xlRTCLEQCL=$F291),0))</f>
        <v>CENT_AIR</v>
      </c>
      <c r="X291" s="7" t="str">
        <f t="array" ref="X291">INDEX(xlRTTYNAME,MATCH(1,(xlRTTYENDU=1)*(xlRTTYEQCL=$D291)*(xlRTEQTYPE=$E291),0))</f>
        <v>LPG_FA3</v>
      </c>
      <c r="Y291" s="7" t="str">
        <f t="array" ref="Y291">INDEX(xlRTTYNAME,MATCH(1,(xlRTTYENDU=2)*(xlRTTYEQCL=$F291)*(xlRTEQTYPE=$G291),0))</f>
        <v>CENT_AIR3</v>
      </c>
    </row>
    <row r="292" spans="2:25" x14ac:dyDescent="0.2">
      <c r="B292" s="152">
        <v>8</v>
      </c>
      <c r="C292" s="152">
        <v>1</v>
      </c>
      <c r="D292" s="152">
        <v>6</v>
      </c>
      <c r="E292" s="152">
        <v>21</v>
      </c>
      <c r="F292" s="152">
        <v>2</v>
      </c>
      <c r="G292" s="152">
        <v>6</v>
      </c>
      <c r="H292" s="152">
        <v>2029</v>
      </c>
      <c r="I292" s="152">
        <v>2050</v>
      </c>
      <c r="J292" s="229">
        <v>1.0801000000000001</v>
      </c>
      <c r="K292" s="229">
        <v>1.0822000000000001</v>
      </c>
      <c r="L292" s="229">
        <v>0.53920000000000001</v>
      </c>
      <c r="M292" s="229">
        <v>0.89190000000000003</v>
      </c>
      <c r="N292" s="229">
        <v>0.86950000000000005</v>
      </c>
      <c r="O292" s="229">
        <v>1.0538000000000001</v>
      </c>
      <c r="P292" s="155">
        <v>11509.213216521712</v>
      </c>
      <c r="Q292" s="41">
        <f t="array" ref="Q292">SUM(IF(($S292&gt;=4)*($C292='TaxCred&amp;Subs'!$D$114:$D$121)*($H292='TaxCred&amp;Subs'!$C$114:$C$121)*($H292&lt;='TaxCred&amp;Subs'!$C$123),'TaxCred&amp;Subs'!$E$114:$E$121,0))</f>
        <v>0</v>
      </c>
      <c r="R292" s="230">
        <v>0</v>
      </c>
      <c r="S292" s="152">
        <v>3</v>
      </c>
      <c r="T292" s="152" t="s">
        <v>239</v>
      </c>
      <c r="V292" s="7" t="str">
        <f t="array" ref="V292">INDEX(xlRTCLNAME,MATCH(1,(xlRTCLENDU=1)*(xlRTCLEQCL=$D292),0))</f>
        <v>LPG_FA</v>
      </c>
      <c r="W292" s="7" t="str">
        <f t="array" ref="W292">INDEX(xlRTCLNAME,MATCH(1,(xlRTCLENDU=2)*(xlRTCLEQCL=$F292),0))</f>
        <v>CENT_AIR</v>
      </c>
      <c r="X292" s="7" t="str">
        <f t="array" ref="X292">INDEX(xlRTTYNAME,MATCH(1,(xlRTTYENDU=1)*(xlRTTYEQCL=$D292)*(xlRTEQTYPE=$E292),0))</f>
        <v>LPG_FA4</v>
      </c>
      <c r="Y292" s="7" t="str">
        <f t="array" ref="Y292">INDEX(xlRTTYNAME,MATCH(1,(xlRTTYENDU=2)*(xlRTTYEQCL=$F292)*(xlRTEQTYPE=$G292),0))</f>
        <v>CENT_AIR3</v>
      </c>
    </row>
    <row r="293" spans="2:25" x14ac:dyDescent="0.2">
      <c r="B293" s="5">
        <v>9</v>
      </c>
      <c r="C293" s="5">
        <v>1</v>
      </c>
      <c r="D293" s="5">
        <v>6</v>
      </c>
      <c r="E293" s="5">
        <v>20</v>
      </c>
      <c r="F293" s="5">
        <v>2</v>
      </c>
      <c r="G293" s="31">
        <v>6</v>
      </c>
      <c r="H293" s="31">
        <v>2020</v>
      </c>
      <c r="I293" s="31">
        <v>2028</v>
      </c>
      <c r="J293" s="142">
        <v>1.0781000000000001</v>
      </c>
      <c r="K293" s="142">
        <v>1.0707</v>
      </c>
      <c r="L293" s="142">
        <v>0.89380000000000004</v>
      </c>
      <c r="M293" s="142">
        <v>0.90590000000000004</v>
      </c>
      <c r="N293" s="142">
        <v>1.0339</v>
      </c>
      <c r="O293" s="142">
        <v>1.0538000000000001</v>
      </c>
      <c r="P293" s="26">
        <v>13599.963981906205</v>
      </c>
      <c r="Q293" s="35">
        <f t="array" ref="Q293">SUM(IF(($S293&gt;=4)*($C293='TaxCred&amp;Subs'!$D$114:$D$121)*($H293='TaxCred&amp;Subs'!$C$114:$C$121)*($H293&lt;='TaxCred&amp;Subs'!$C$123),'TaxCred&amp;Subs'!$E$114:$E$121,0))</f>
        <v>0</v>
      </c>
      <c r="R293" s="143">
        <v>0</v>
      </c>
      <c r="S293" s="5">
        <v>3</v>
      </c>
      <c r="T293" s="5" t="s">
        <v>239</v>
      </c>
      <c r="V293" s="7" t="str">
        <f t="array" ref="V293">INDEX(xlRTCLNAME,MATCH(1,(xlRTCLENDU=1)*(xlRTCLEQCL=$D293),0))</f>
        <v>LPG_FA</v>
      </c>
      <c r="W293" s="7" t="str">
        <f t="array" ref="W293">INDEX(xlRTCLNAME,MATCH(1,(xlRTCLENDU=2)*(xlRTCLEQCL=$F293),0))</f>
        <v>CENT_AIR</v>
      </c>
      <c r="X293" s="7" t="str">
        <f t="array" ref="X293">INDEX(xlRTTYNAME,MATCH(1,(xlRTTYENDU=1)*(xlRTTYEQCL=$D293)*(xlRTEQTYPE=$E293),0))</f>
        <v>LPG_FA3</v>
      </c>
      <c r="Y293" s="7" t="str">
        <f t="array" ref="Y293">INDEX(xlRTTYNAME,MATCH(1,(xlRTTYENDU=2)*(xlRTTYEQCL=$F293)*(xlRTEQTYPE=$G293),0))</f>
        <v>CENT_AIR3</v>
      </c>
    </row>
    <row r="294" spans="2:25" x14ac:dyDescent="0.2">
      <c r="B294" s="152">
        <v>9</v>
      </c>
      <c r="C294" s="152">
        <v>1</v>
      </c>
      <c r="D294" s="152">
        <v>6</v>
      </c>
      <c r="E294" s="152">
        <v>21</v>
      </c>
      <c r="F294" s="152">
        <v>2</v>
      </c>
      <c r="G294" s="152">
        <v>6</v>
      </c>
      <c r="H294" s="152">
        <v>2029</v>
      </c>
      <c r="I294" s="152">
        <v>2050</v>
      </c>
      <c r="J294" s="229">
        <v>1.0781000000000001</v>
      </c>
      <c r="K294" s="229">
        <v>1.0707</v>
      </c>
      <c r="L294" s="229">
        <v>0.89380000000000004</v>
      </c>
      <c r="M294" s="229">
        <v>0.90590000000000004</v>
      </c>
      <c r="N294" s="229">
        <v>1.0339</v>
      </c>
      <c r="O294" s="229">
        <v>1.0538000000000001</v>
      </c>
      <c r="P294" s="155">
        <v>13599.963981906205</v>
      </c>
      <c r="Q294" s="41">
        <f t="array" ref="Q294">SUM(IF(($S294&gt;=4)*($C294='TaxCred&amp;Subs'!$D$114:$D$121)*($H294='TaxCred&amp;Subs'!$C$114:$C$121)*($H294&lt;='TaxCred&amp;Subs'!$C$123),'TaxCred&amp;Subs'!$E$114:$E$121,0))</f>
        <v>0</v>
      </c>
      <c r="R294" s="230">
        <v>0</v>
      </c>
      <c r="S294" s="152">
        <v>3</v>
      </c>
      <c r="T294" s="152" t="s">
        <v>239</v>
      </c>
      <c r="V294" s="7" t="str">
        <f t="array" ref="V294">INDEX(xlRTCLNAME,MATCH(1,(xlRTCLENDU=1)*(xlRTCLEQCL=$D294),0))</f>
        <v>LPG_FA</v>
      </c>
      <c r="W294" s="7" t="str">
        <f t="array" ref="W294">INDEX(xlRTCLNAME,MATCH(1,(xlRTCLENDU=2)*(xlRTCLEQCL=$F294),0))</f>
        <v>CENT_AIR</v>
      </c>
      <c r="X294" s="7" t="str">
        <f t="array" ref="X294">INDEX(xlRTTYNAME,MATCH(1,(xlRTTYENDU=1)*(xlRTTYEQCL=$D294)*(xlRTEQTYPE=$E294),0))</f>
        <v>LPG_FA4</v>
      </c>
      <c r="Y294" s="7" t="str">
        <f t="array" ref="Y294">INDEX(xlRTTYNAME,MATCH(1,(xlRTTYENDU=2)*(xlRTTYEQCL=$F294)*(xlRTEQTYPE=$G294),0))</f>
        <v>CENT_AIR3</v>
      </c>
    </row>
    <row r="295" spans="2:25" x14ac:dyDescent="0.2">
      <c r="B295" s="5">
        <v>1</v>
      </c>
      <c r="C295" s="5">
        <v>1</v>
      </c>
      <c r="D295" s="5">
        <v>7</v>
      </c>
      <c r="E295" s="5">
        <v>24</v>
      </c>
      <c r="F295" s="5">
        <v>2</v>
      </c>
      <c r="G295" s="31">
        <v>6</v>
      </c>
      <c r="H295" s="31">
        <v>2020</v>
      </c>
      <c r="I295" s="5">
        <v>2050</v>
      </c>
      <c r="J295" s="142">
        <v>1.0309999999999999</v>
      </c>
      <c r="K295" s="142">
        <v>1.0667</v>
      </c>
      <c r="L295" s="142">
        <v>0.57230000000000003</v>
      </c>
      <c r="M295" s="142">
        <v>0.95909999999999995</v>
      </c>
      <c r="N295" s="142">
        <v>0.79790000000000005</v>
      </c>
      <c r="O295" s="142">
        <v>1.0538000000000001</v>
      </c>
      <c r="P295" s="26">
        <v>14194.248122292023</v>
      </c>
      <c r="Q295" s="35">
        <f t="array" ref="Q295">SUM(IF(($S295&gt;=4)*($C295='TaxCred&amp;Subs'!$D$114:$D$121)*($H295='TaxCred&amp;Subs'!$C$114:$C$121)*($H295&lt;='TaxCred&amp;Subs'!$C$123),'TaxCred&amp;Subs'!$E$114:$E$121,0))</f>
        <v>0</v>
      </c>
      <c r="R295" s="143">
        <v>0</v>
      </c>
      <c r="S295" s="5">
        <v>3</v>
      </c>
      <c r="T295" s="5" t="s">
        <v>239</v>
      </c>
      <c r="V295" s="7" t="str">
        <f t="array" ref="V295">INDEX(xlRTCLNAME,MATCH(1,(xlRTCLENDU=1)*(xlRTCLEQCL=$D295),0))</f>
        <v>DIST_FA</v>
      </c>
      <c r="W295" s="7" t="str">
        <f t="array" ref="W295">INDEX(xlRTCLNAME,MATCH(1,(xlRTCLENDU=2)*(xlRTCLEQCL=$F295),0))</f>
        <v>CENT_AIR</v>
      </c>
      <c r="X295" s="7" t="str">
        <f t="array" ref="X295">INDEX(xlRTTYNAME,MATCH(1,(xlRTTYENDU=1)*(xlRTTYEQCL=$D295)*(xlRTEQTYPE=$E295),0))</f>
        <v>DIST_FA3</v>
      </c>
      <c r="Y295" s="7" t="str">
        <f t="array" ref="Y295">INDEX(xlRTTYNAME,MATCH(1,(xlRTTYENDU=2)*(xlRTTYEQCL=$F295)*(xlRTEQTYPE=$G295),0))</f>
        <v>CENT_AIR3</v>
      </c>
    </row>
    <row r="296" spans="2:25" x14ac:dyDescent="0.2">
      <c r="B296" s="5">
        <v>2</v>
      </c>
      <c r="C296" s="5">
        <v>1</v>
      </c>
      <c r="D296" s="5">
        <v>7</v>
      </c>
      <c r="E296" s="5">
        <v>24</v>
      </c>
      <c r="F296" s="5">
        <v>2</v>
      </c>
      <c r="G296" s="31">
        <v>6</v>
      </c>
      <c r="H296" s="31">
        <v>2020</v>
      </c>
      <c r="I296" s="5">
        <v>2050</v>
      </c>
      <c r="J296" s="142">
        <v>1.0772999999999999</v>
      </c>
      <c r="K296" s="142">
        <v>1.0758000000000001</v>
      </c>
      <c r="L296" s="142">
        <v>0.6431</v>
      </c>
      <c r="M296" s="142">
        <v>0.84060000000000001</v>
      </c>
      <c r="N296" s="142">
        <v>0.93169999999999997</v>
      </c>
      <c r="O296" s="142">
        <v>1.0538000000000001</v>
      </c>
      <c r="P296" s="26">
        <v>14241.306821191352</v>
      </c>
      <c r="Q296" s="35">
        <f t="array" ref="Q296">SUM(IF(($S296&gt;=4)*($C296='TaxCred&amp;Subs'!$D$114:$D$121)*($H296='TaxCred&amp;Subs'!$C$114:$C$121)*($H296&lt;='TaxCred&amp;Subs'!$C$123),'TaxCred&amp;Subs'!$E$114:$E$121,0))</f>
        <v>0</v>
      </c>
      <c r="R296" s="143">
        <v>0</v>
      </c>
      <c r="S296" s="5">
        <v>3</v>
      </c>
      <c r="T296" s="5" t="s">
        <v>239</v>
      </c>
      <c r="V296" s="7" t="str">
        <f t="array" ref="V296">INDEX(xlRTCLNAME,MATCH(1,(xlRTCLENDU=1)*(xlRTCLEQCL=$D296),0))</f>
        <v>DIST_FA</v>
      </c>
      <c r="W296" s="7" t="str">
        <f t="array" ref="W296">INDEX(xlRTCLNAME,MATCH(1,(xlRTCLENDU=2)*(xlRTCLEQCL=$F296),0))</f>
        <v>CENT_AIR</v>
      </c>
      <c r="X296" s="7" t="str">
        <f t="array" ref="X296">INDEX(xlRTTYNAME,MATCH(1,(xlRTTYENDU=1)*(xlRTTYEQCL=$D296)*(xlRTEQTYPE=$E296),0))</f>
        <v>DIST_FA3</v>
      </c>
      <c r="Y296" s="7" t="str">
        <f t="array" ref="Y296">INDEX(xlRTTYNAME,MATCH(1,(xlRTTYENDU=2)*(xlRTTYEQCL=$F296)*(xlRTEQTYPE=$G296),0))</f>
        <v>CENT_AIR3</v>
      </c>
    </row>
    <row r="297" spans="2:25" x14ac:dyDescent="0.2">
      <c r="B297" s="5">
        <v>3</v>
      </c>
      <c r="C297" s="5">
        <v>1</v>
      </c>
      <c r="D297" s="5">
        <v>7</v>
      </c>
      <c r="E297" s="5">
        <v>24</v>
      </c>
      <c r="F297" s="5">
        <v>2</v>
      </c>
      <c r="G297" s="31">
        <v>6</v>
      </c>
      <c r="H297" s="31">
        <v>2020</v>
      </c>
      <c r="I297" s="5">
        <v>2050</v>
      </c>
      <c r="J297" s="142">
        <v>1.0842000000000001</v>
      </c>
      <c r="K297" s="142">
        <v>1.0577000000000001</v>
      </c>
      <c r="L297" s="142">
        <v>0.52149999999999996</v>
      </c>
      <c r="M297" s="142">
        <v>0.9194</v>
      </c>
      <c r="N297" s="142">
        <v>0.91220000000000001</v>
      </c>
      <c r="O297" s="142">
        <v>1.0538000000000001</v>
      </c>
      <c r="P297" s="26">
        <v>13154.923143743976</v>
      </c>
      <c r="Q297" s="35">
        <f t="array" ref="Q297">SUM(IF(($S297&gt;=4)*($C297='TaxCred&amp;Subs'!$D$114:$D$121)*($H297='TaxCred&amp;Subs'!$C$114:$C$121)*($H297&lt;='TaxCred&amp;Subs'!$C$123),'TaxCred&amp;Subs'!$E$114:$E$121,0))</f>
        <v>0</v>
      </c>
      <c r="R297" s="143">
        <v>0</v>
      </c>
      <c r="S297" s="5">
        <v>3</v>
      </c>
      <c r="T297" s="5" t="s">
        <v>239</v>
      </c>
      <c r="V297" s="7" t="str">
        <f t="array" ref="V297">INDEX(xlRTCLNAME,MATCH(1,(xlRTCLENDU=1)*(xlRTCLEQCL=$D297),0))</f>
        <v>DIST_FA</v>
      </c>
      <c r="W297" s="7" t="str">
        <f t="array" ref="W297">INDEX(xlRTCLNAME,MATCH(1,(xlRTCLENDU=2)*(xlRTCLEQCL=$F297),0))</f>
        <v>CENT_AIR</v>
      </c>
      <c r="X297" s="7" t="str">
        <f t="array" ref="X297">INDEX(xlRTTYNAME,MATCH(1,(xlRTTYENDU=1)*(xlRTTYEQCL=$D297)*(xlRTEQTYPE=$E297),0))</f>
        <v>DIST_FA3</v>
      </c>
      <c r="Y297" s="7" t="str">
        <f t="array" ref="Y297">INDEX(xlRTTYNAME,MATCH(1,(xlRTTYENDU=2)*(xlRTTYEQCL=$F297)*(xlRTEQTYPE=$G297),0))</f>
        <v>CENT_AIR3</v>
      </c>
    </row>
    <row r="298" spans="2:25" x14ac:dyDescent="0.2">
      <c r="B298" s="5">
        <v>4</v>
      </c>
      <c r="C298" s="5">
        <v>1</v>
      </c>
      <c r="D298" s="5">
        <v>7</v>
      </c>
      <c r="E298" s="5">
        <v>24</v>
      </c>
      <c r="F298" s="5">
        <v>2</v>
      </c>
      <c r="G298" s="31">
        <v>6</v>
      </c>
      <c r="H298" s="31">
        <v>2020</v>
      </c>
      <c r="I298" s="5">
        <v>2050</v>
      </c>
      <c r="J298" s="142">
        <v>1.0342</v>
      </c>
      <c r="K298" s="142">
        <v>1.0769</v>
      </c>
      <c r="L298" s="142">
        <v>0.53280000000000005</v>
      </c>
      <c r="M298" s="142">
        <v>0.86580000000000001</v>
      </c>
      <c r="N298" s="142">
        <v>0.85760000000000003</v>
      </c>
      <c r="O298" s="142">
        <v>1.0538000000000001</v>
      </c>
      <c r="P298" s="26">
        <v>10651.400362299652</v>
      </c>
      <c r="Q298" s="35">
        <f t="array" ref="Q298">SUM(IF(($S298&gt;=4)*($C298='TaxCred&amp;Subs'!$D$114:$D$121)*($H298='TaxCred&amp;Subs'!$C$114:$C$121)*($H298&lt;='TaxCred&amp;Subs'!$C$123),'TaxCred&amp;Subs'!$E$114:$E$121,0))</f>
        <v>0</v>
      </c>
      <c r="R298" s="143">
        <v>0</v>
      </c>
      <c r="S298" s="5">
        <v>3</v>
      </c>
      <c r="T298" s="5" t="s">
        <v>239</v>
      </c>
      <c r="V298" s="7" t="str">
        <f t="array" ref="V298">INDEX(xlRTCLNAME,MATCH(1,(xlRTCLENDU=1)*(xlRTCLEQCL=$D298),0))</f>
        <v>DIST_FA</v>
      </c>
      <c r="W298" s="7" t="str">
        <f t="array" ref="W298">INDEX(xlRTCLNAME,MATCH(1,(xlRTCLENDU=2)*(xlRTCLEQCL=$F298),0))</f>
        <v>CENT_AIR</v>
      </c>
      <c r="X298" s="7" t="str">
        <f t="array" ref="X298">INDEX(xlRTTYNAME,MATCH(1,(xlRTTYENDU=1)*(xlRTTYEQCL=$D298)*(xlRTEQTYPE=$E298),0))</f>
        <v>DIST_FA3</v>
      </c>
      <c r="Y298" s="7" t="str">
        <f t="array" ref="Y298">INDEX(xlRTTYNAME,MATCH(1,(xlRTTYENDU=2)*(xlRTTYEQCL=$F298)*(xlRTEQTYPE=$G298),0))</f>
        <v>CENT_AIR3</v>
      </c>
    </row>
    <row r="299" spans="2:25" x14ac:dyDescent="0.2">
      <c r="B299" s="5">
        <v>5</v>
      </c>
      <c r="C299" s="5">
        <v>1</v>
      </c>
      <c r="D299" s="5">
        <v>7</v>
      </c>
      <c r="E299" s="5">
        <v>24</v>
      </c>
      <c r="F299" s="5">
        <v>2</v>
      </c>
      <c r="G299" s="31">
        <v>6</v>
      </c>
      <c r="H299" s="31">
        <v>2020</v>
      </c>
      <c r="I299" s="5">
        <v>2050</v>
      </c>
      <c r="J299" s="142">
        <v>1.0847</v>
      </c>
      <c r="K299" s="142">
        <v>1.056</v>
      </c>
      <c r="L299" s="142">
        <v>0.64970000000000006</v>
      </c>
      <c r="M299" s="142">
        <v>0.88019999999999998</v>
      </c>
      <c r="N299" s="142">
        <v>0.76280000000000003</v>
      </c>
      <c r="O299" s="142">
        <v>1.0538000000000001</v>
      </c>
      <c r="P299" s="26">
        <v>10079.973304236364</v>
      </c>
      <c r="Q299" s="35">
        <f t="array" ref="Q299">SUM(IF(($S299&gt;=4)*($C299='TaxCred&amp;Subs'!$D$114:$D$121)*($H299='TaxCred&amp;Subs'!$C$114:$C$121)*($H299&lt;='TaxCred&amp;Subs'!$C$123),'TaxCred&amp;Subs'!$E$114:$E$121,0))</f>
        <v>0</v>
      </c>
      <c r="R299" s="143">
        <v>0</v>
      </c>
      <c r="S299" s="5">
        <v>3</v>
      </c>
      <c r="T299" s="5" t="s">
        <v>239</v>
      </c>
      <c r="V299" s="7" t="str">
        <f t="array" ref="V299">INDEX(xlRTCLNAME,MATCH(1,(xlRTCLENDU=1)*(xlRTCLEQCL=$D299),0))</f>
        <v>DIST_FA</v>
      </c>
      <c r="W299" s="7" t="str">
        <f t="array" ref="W299">INDEX(xlRTCLNAME,MATCH(1,(xlRTCLENDU=2)*(xlRTCLEQCL=$F299),0))</f>
        <v>CENT_AIR</v>
      </c>
      <c r="X299" s="7" t="str">
        <f t="array" ref="X299">INDEX(xlRTTYNAME,MATCH(1,(xlRTTYENDU=1)*(xlRTTYEQCL=$D299)*(xlRTEQTYPE=$E299),0))</f>
        <v>DIST_FA3</v>
      </c>
      <c r="Y299" s="7" t="str">
        <f t="array" ref="Y299">INDEX(xlRTTYNAME,MATCH(1,(xlRTTYENDU=2)*(xlRTTYEQCL=$F299)*(xlRTEQTYPE=$G299),0))</f>
        <v>CENT_AIR3</v>
      </c>
    </row>
    <row r="300" spans="2:25" x14ac:dyDescent="0.2">
      <c r="B300" s="5">
        <v>6</v>
      </c>
      <c r="C300" s="5">
        <v>1</v>
      </c>
      <c r="D300" s="5">
        <v>7</v>
      </c>
      <c r="E300" s="5">
        <v>24</v>
      </c>
      <c r="F300" s="5">
        <v>2</v>
      </c>
      <c r="G300" s="31">
        <v>6</v>
      </c>
      <c r="H300" s="31">
        <v>2020</v>
      </c>
      <c r="I300" s="5">
        <v>2050</v>
      </c>
      <c r="J300" s="142">
        <v>1.0907</v>
      </c>
      <c r="K300" s="142">
        <v>1.0603</v>
      </c>
      <c r="L300" s="142">
        <v>0.77010000000000001</v>
      </c>
      <c r="M300" s="142">
        <v>0.88619999999999999</v>
      </c>
      <c r="N300" s="142">
        <v>0.89139999999999997</v>
      </c>
      <c r="O300" s="142">
        <v>1.0538000000000001</v>
      </c>
      <c r="P300" s="26">
        <v>9133.4211892327094</v>
      </c>
      <c r="Q300" s="35">
        <f t="array" ref="Q300">SUM(IF(($S300&gt;=4)*($C300='TaxCred&amp;Subs'!$D$114:$D$121)*($H300='TaxCred&amp;Subs'!$C$114:$C$121)*($H300&lt;='TaxCred&amp;Subs'!$C$123),'TaxCred&amp;Subs'!$E$114:$E$121,0))</f>
        <v>0</v>
      </c>
      <c r="R300" s="143">
        <v>0</v>
      </c>
      <c r="S300" s="5">
        <v>3</v>
      </c>
      <c r="T300" s="5" t="s">
        <v>239</v>
      </c>
      <c r="V300" s="7" t="str">
        <f t="array" ref="V300">INDEX(xlRTCLNAME,MATCH(1,(xlRTCLENDU=1)*(xlRTCLEQCL=$D300),0))</f>
        <v>DIST_FA</v>
      </c>
      <c r="W300" s="7" t="str">
        <f t="array" ref="W300">INDEX(xlRTCLNAME,MATCH(1,(xlRTCLENDU=2)*(xlRTCLEQCL=$F300),0))</f>
        <v>CENT_AIR</v>
      </c>
      <c r="X300" s="7" t="str">
        <f t="array" ref="X300">INDEX(xlRTTYNAME,MATCH(1,(xlRTTYENDU=1)*(xlRTTYEQCL=$D300)*(xlRTEQTYPE=$E300),0))</f>
        <v>DIST_FA3</v>
      </c>
      <c r="Y300" s="7" t="str">
        <f t="array" ref="Y300">INDEX(xlRTTYNAME,MATCH(1,(xlRTTYENDU=2)*(xlRTTYEQCL=$F300)*(xlRTEQTYPE=$G300),0))</f>
        <v>CENT_AIR3</v>
      </c>
    </row>
    <row r="301" spans="2:25" x14ac:dyDescent="0.2">
      <c r="B301" s="5">
        <v>7</v>
      </c>
      <c r="C301" s="5">
        <v>1</v>
      </c>
      <c r="D301" s="5">
        <v>7</v>
      </c>
      <c r="E301" s="5">
        <v>24</v>
      </c>
      <c r="F301" s="5">
        <v>2</v>
      </c>
      <c r="G301" s="31">
        <v>6</v>
      </c>
      <c r="H301" s="31">
        <v>2020</v>
      </c>
      <c r="I301" s="5">
        <v>2050</v>
      </c>
      <c r="J301" s="142">
        <v>1.0885</v>
      </c>
      <c r="K301" s="142">
        <v>1.0575000000000001</v>
      </c>
      <c r="L301" s="142">
        <v>0.79630000000000001</v>
      </c>
      <c r="M301" s="142">
        <v>0.80589999999999995</v>
      </c>
      <c r="N301" s="142">
        <v>0.872</v>
      </c>
      <c r="O301" s="142">
        <v>1.0538000000000001</v>
      </c>
      <c r="P301" s="26">
        <v>8555.2714598980911</v>
      </c>
      <c r="Q301" s="35">
        <f t="array" ref="Q301">SUM(IF(($S301&gt;=4)*($C301='TaxCred&amp;Subs'!$D$114:$D$121)*($H301='TaxCred&amp;Subs'!$C$114:$C$121)*($H301&lt;='TaxCred&amp;Subs'!$C$123),'TaxCred&amp;Subs'!$E$114:$E$121,0))</f>
        <v>0</v>
      </c>
      <c r="R301" s="143">
        <v>0</v>
      </c>
      <c r="S301" s="5">
        <v>3</v>
      </c>
      <c r="T301" s="5" t="s">
        <v>239</v>
      </c>
      <c r="V301" s="7" t="str">
        <f t="array" ref="V301">INDEX(xlRTCLNAME,MATCH(1,(xlRTCLENDU=1)*(xlRTCLEQCL=$D301),0))</f>
        <v>DIST_FA</v>
      </c>
      <c r="W301" s="7" t="str">
        <f t="array" ref="W301">INDEX(xlRTCLNAME,MATCH(1,(xlRTCLENDU=2)*(xlRTCLEQCL=$F301),0))</f>
        <v>CENT_AIR</v>
      </c>
      <c r="X301" s="7" t="str">
        <f t="array" ref="X301">INDEX(xlRTTYNAME,MATCH(1,(xlRTTYENDU=1)*(xlRTTYEQCL=$D301)*(xlRTEQTYPE=$E301),0))</f>
        <v>DIST_FA3</v>
      </c>
      <c r="Y301" s="7" t="str">
        <f t="array" ref="Y301">INDEX(xlRTTYNAME,MATCH(1,(xlRTTYENDU=2)*(xlRTTYEQCL=$F301)*(xlRTEQTYPE=$G301),0))</f>
        <v>CENT_AIR3</v>
      </c>
    </row>
    <row r="302" spans="2:25" x14ac:dyDescent="0.2">
      <c r="B302" s="5">
        <v>8</v>
      </c>
      <c r="C302" s="5">
        <v>1</v>
      </c>
      <c r="D302" s="5">
        <v>7</v>
      </c>
      <c r="E302" s="5">
        <v>24</v>
      </c>
      <c r="F302" s="5">
        <v>2</v>
      </c>
      <c r="G302" s="31">
        <v>6</v>
      </c>
      <c r="H302" s="31">
        <v>2020</v>
      </c>
      <c r="I302" s="5">
        <v>2050</v>
      </c>
      <c r="J302" s="142">
        <v>1.0838000000000001</v>
      </c>
      <c r="K302" s="142">
        <v>1.0832999999999999</v>
      </c>
      <c r="L302" s="142">
        <v>0.57709999999999995</v>
      </c>
      <c r="M302" s="142">
        <v>0.80369999999999997</v>
      </c>
      <c r="N302" s="142">
        <v>0.86950000000000005</v>
      </c>
      <c r="O302" s="142">
        <v>1.0538000000000001</v>
      </c>
      <c r="P302" s="26">
        <v>14039.62668305137</v>
      </c>
      <c r="Q302" s="35">
        <f t="array" ref="Q302">SUM(IF(($S302&gt;=4)*($C302='TaxCred&amp;Subs'!$D$114:$D$121)*($H302='TaxCred&amp;Subs'!$C$114:$C$121)*($H302&lt;='TaxCred&amp;Subs'!$C$123),'TaxCred&amp;Subs'!$E$114:$E$121,0))</f>
        <v>0</v>
      </c>
      <c r="R302" s="143">
        <v>0</v>
      </c>
      <c r="S302" s="5">
        <v>3</v>
      </c>
      <c r="T302" s="5" t="s">
        <v>239</v>
      </c>
      <c r="V302" s="7" t="str">
        <f t="array" ref="V302">INDEX(xlRTCLNAME,MATCH(1,(xlRTCLENDU=1)*(xlRTCLEQCL=$D302),0))</f>
        <v>DIST_FA</v>
      </c>
      <c r="W302" s="7" t="str">
        <f t="array" ref="W302">INDEX(xlRTCLNAME,MATCH(1,(xlRTCLENDU=2)*(xlRTCLEQCL=$F302),0))</f>
        <v>CENT_AIR</v>
      </c>
      <c r="X302" s="7" t="str">
        <f t="array" ref="X302">INDEX(xlRTTYNAME,MATCH(1,(xlRTTYENDU=1)*(xlRTTYEQCL=$D302)*(xlRTEQTYPE=$E302),0))</f>
        <v>DIST_FA3</v>
      </c>
      <c r="Y302" s="7" t="str">
        <f t="array" ref="Y302">INDEX(xlRTTYNAME,MATCH(1,(xlRTTYENDU=2)*(xlRTTYEQCL=$F302)*(xlRTEQTYPE=$G302),0))</f>
        <v>CENT_AIR3</v>
      </c>
    </row>
    <row r="303" spans="2:25" x14ac:dyDescent="0.2">
      <c r="B303" s="5">
        <v>9</v>
      </c>
      <c r="C303" s="5">
        <v>1</v>
      </c>
      <c r="D303" s="5">
        <v>7</v>
      </c>
      <c r="E303" s="5">
        <v>24</v>
      </c>
      <c r="F303" s="5">
        <v>2</v>
      </c>
      <c r="G303" s="31">
        <v>6</v>
      </c>
      <c r="H303" s="31">
        <v>2020</v>
      </c>
      <c r="I303" s="5">
        <v>2050</v>
      </c>
      <c r="J303" s="142">
        <v>1.0790999999999999</v>
      </c>
      <c r="K303" s="142">
        <v>1.0722</v>
      </c>
      <c r="L303" s="142">
        <v>0.87480000000000002</v>
      </c>
      <c r="M303" s="142">
        <v>0.90590000000000004</v>
      </c>
      <c r="N303" s="142">
        <v>1.0336000000000001</v>
      </c>
      <c r="O303" s="142">
        <v>1.0538000000000001</v>
      </c>
      <c r="P303" s="26">
        <v>13720.972064790196</v>
      </c>
      <c r="Q303" s="35">
        <f t="array" ref="Q303">SUM(IF(($S303&gt;=4)*($C303='TaxCred&amp;Subs'!$D$114:$D$121)*($H303='TaxCred&amp;Subs'!$C$114:$C$121)*($H303&lt;='TaxCred&amp;Subs'!$C$123),'TaxCred&amp;Subs'!$E$114:$E$121,0))</f>
        <v>0</v>
      </c>
      <c r="R303" s="143">
        <v>0</v>
      </c>
      <c r="S303" s="5">
        <v>3</v>
      </c>
      <c r="T303" s="5" t="s">
        <v>239</v>
      </c>
      <c r="V303" s="7" t="str">
        <f t="array" ref="V303">INDEX(xlRTCLNAME,MATCH(1,(xlRTCLENDU=1)*(xlRTCLEQCL=$D303),0))</f>
        <v>DIST_FA</v>
      </c>
      <c r="W303" s="7" t="str">
        <f t="array" ref="W303">INDEX(xlRTCLNAME,MATCH(1,(xlRTCLENDU=2)*(xlRTCLEQCL=$F303),0))</f>
        <v>CENT_AIR</v>
      </c>
      <c r="X303" s="7" t="str">
        <f t="array" ref="X303">INDEX(xlRTTYNAME,MATCH(1,(xlRTTYENDU=1)*(xlRTTYEQCL=$D303)*(xlRTEQTYPE=$E303),0))</f>
        <v>DIST_FA3</v>
      </c>
      <c r="Y303" s="7" t="str">
        <f t="array" ref="Y303">INDEX(xlRTTYNAME,MATCH(1,(xlRTTYENDU=2)*(xlRTTYEQCL=$F303)*(xlRTEQTYPE=$G303),0))</f>
        <v>CENT_AIR3</v>
      </c>
    </row>
    <row r="304" spans="2:25" x14ac:dyDescent="0.2">
      <c r="B304" s="5">
        <v>1</v>
      </c>
      <c r="C304" s="5">
        <v>1</v>
      </c>
      <c r="D304" s="5">
        <v>8</v>
      </c>
      <c r="E304" s="31">
        <v>27</v>
      </c>
      <c r="F304" s="5">
        <v>2</v>
      </c>
      <c r="G304" s="31">
        <v>6</v>
      </c>
      <c r="H304" s="31">
        <v>2020</v>
      </c>
      <c r="I304" s="5">
        <v>2050</v>
      </c>
      <c r="J304" s="142">
        <v>1.0592999999999999</v>
      </c>
      <c r="K304" s="142">
        <v>1.0889</v>
      </c>
      <c r="L304" s="142">
        <v>0.56459999999999999</v>
      </c>
      <c r="M304" s="142">
        <v>0.95909999999999995</v>
      </c>
      <c r="N304" s="142">
        <v>0.8095</v>
      </c>
      <c r="O304" s="142">
        <v>1.0538000000000001</v>
      </c>
      <c r="P304" s="26">
        <v>14403.995465957607</v>
      </c>
      <c r="Q304" s="35">
        <f t="array" ref="Q304">SUM(IF(($S304&gt;=4)*($C304='TaxCred&amp;Subs'!$D$114:$D$121)*($H304='TaxCred&amp;Subs'!$C$114:$C$121)*($H304&lt;='TaxCred&amp;Subs'!$C$123),'TaxCred&amp;Subs'!$E$114:$E$121,0))</f>
        <v>0</v>
      </c>
      <c r="R304" s="143">
        <v>0</v>
      </c>
      <c r="S304" s="5">
        <v>3</v>
      </c>
      <c r="T304" s="5" t="s">
        <v>239</v>
      </c>
      <c r="V304" s="7" t="str">
        <f t="array" ref="V304">INDEX(xlRTCLNAME,MATCH(1,(xlRTCLENDU=1)*(xlRTCLEQCL=$D304),0))</f>
        <v>DIST_RAD</v>
      </c>
      <c r="W304" s="7" t="str">
        <f t="array" ref="W304">INDEX(xlRTCLNAME,MATCH(1,(xlRTCLENDU=2)*(xlRTCLEQCL=$F304),0))</f>
        <v>CENT_AIR</v>
      </c>
      <c r="X304" s="7" t="str">
        <f t="array" ref="X304">INDEX(xlRTTYNAME,MATCH(1,(xlRTTYENDU=1)*(xlRTTYEQCL=$D304)*(xlRTEQTYPE=$E304),0))</f>
        <v>DIST_RAD3</v>
      </c>
      <c r="Y304" s="7" t="str">
        <f t="array" ref="Y304">INDEX(xlRTTYNAME,MATCH(1,(xlRTTYENDU=2)*(xlRTTYEQCL=$F304)*(xlRTEQTYPE=$G304),0))</f>
        <v>CENT_AIR3</v>
      </c>
    </row>
    <row r="305" spans="2:25" x14ac:dyDescent="0.2">
      <c r="B305" s="5">
        <v>2</v>
      </c>
      <c r="C305" s="5">
        <v>1</v>
      </c>
      <c r="D305" s="5">
        <v>8</v>
      </c>
      <c r="E305" s="31">
        <v>27</v>
      </c>
      <c r="F305" s="5">
        <v>2</v>
      </c>
      <c r="G305" s="31">
        <v>6</v>
      </c>
      <c r="H305" s="31">
        <v>2020</v>
      </c>
      <c r="I305" s="5">
        <v>2050</v>
      </c>
      <c r="J305" s="142">
        <v>1.0717000000000001</v>
      </c>
      <c r="K305" s="142">
        <v>1.0895999999999999</v>
      </c>
      <c r="L305" s="142">
        <v>0.622</v>
      </c>
      <c r="M305" s="142">
        <v>0.84060000000000001</v>
      </c>
      <c r="N305" s="142">
        <v>0.92630000000000001</v>
      </c>
      <c r="O305" s="142">
        <v>1.0538000000000001</v>
      </c>
      <c r="P305" s="26">
        <v>14027.52587476297</v>
      </c>
      <c r="Q305" s="35">
        <f t="array" ref="Q305">SUM(IF(($S305&gt;=4)*($C305='TaxCred&amp;Subs'!$D$114:$D$121)*($H305='TaxCred&amp;Subs'!$C$114:$C$121)*($H305&lt;='TaxCred&amp;Subs'!$C$123),'TaxCred&amp;Subs'!$E$114:$E$121,0))</f>
        <v>0</v>
      </c>
      <c r="R305" s="143">
        <v>0</v>
      </c>
      <c r="S305" s="5">
        <v>3</v>
      </c>
      <c r="T305" s="5" t="s">
        <v>239</v>
      </c>
      <c r="V305" s="7" t="str">
        <f t="array" ref="V305">INDEX(xlRTCLNAME,MATCH(1,(xlRTCLENDU=1)*(xlRTCLEQCL=$D305),0))</f>
        <v>DIST_RAD</v>
      </c>
      <c r="W305" s="7" t="str">
        <f t="array" ref="W305">INDEX(xlRTCLNAME,MATCH(1,(xlRTCLENDU=2)*(xlRTCLEQCL=$F305),0))</f>
        <v>CENT_AIR</v>
      </c>
      <c r="X305" s="7" t="str">
        <f t="array" ref="X305">INDEX(xlRTTYNAME,MATCH(1,(xlRTTYENDU=1)*(xlRTTYEQCL=$D305)*(xlRTEQTYPE=$E305),0))</f>
        <v>DIST_RAD3</v>
      </c>
      <c r="Y305" s="7" t="str">
        <f t="array" ref="Y305">INDEX(xlRTTYNAME,MATCH(1,(xlRTTYENDU=2)*(xlRTTYEQCL=$F305)*(xlRTEQTYPE=$G305),0))</f>
        <v>CENT_AIR3</v>
      </c>
    </row>
    <row r="306" spans="2:25" x14ac:dyDescent="0.2">
      <c r="B306" s="5">
        <v>3</v>
      </c>
      <c r="C306" s="5">
        <v>1</v>
      </c>
      <c r="D306" s="5">
        <v>8</v>
      </c>
      <c r="E306" s="31">
        <v>27</v>
      </c>
      <c r="F306" s="5">
        <v>2</v>
      </c>
      <c r="G306" s="31">
        <v>6</v>
      </c>
      <c r="H306" s="31">
        <v>2020</v>
      </c>
      <c r="I306" s="5">
        <v>2050</v>
      </c>
      <c r="J306" s="142">
        <v>1.0821000000000001</v>
      </c>
      <c r="K306" s="142">
        <v>1.0769</v>
      </c>
      <c r="L306" s="142">
        <v>0.52210000000000001</v>
      </c>
      <c r="M306" s="142">
        <v>0.9194</v>
      </c>
      <c r="N306" s="142">
        <v>0.91400000000000003</v>
      </c>
      <c r="O306" s="142">
        <v>1.0538000000000001</v>
      </c>
      <c r="P306" s="26">
        <v>13002.990773011856</v>
      </c>
      <c r="Q306" s="35">
        <f t="array" ref="Q306">SUM(IF(($S306&gt;=4)*($C306='TaxCred&amp;Subs'!$D$114:$D$121)*($H306='TaxCred&amp;Subs'!$C$114:$C$121)*($H306&lt;='TaxCred&amp;Subs'!$C$123),'TaxCred&amp;Subs'!$E$114:$E$121,0))</f>
        <v>0</v>
      </c>
      <c r="R306" s="143">
        <v>0</v>
      </c>
      <c r="S306" s="5">
        <v>3</v>
      </c>
      <c r="T306" s="5" t="s">
        <v>239</v>
      </c>
      <c r="V306" s="7" t="str">
        <f t="array" ref="V306">INDEX(xlRTCLNAME,MATCH(1,(xlRTCLENDU=1)*(xlRTCLEQCL=$D306),0))</f>
        <v>DIST_RAD</v>
      </c>
      <c r="W306" s="7" t="str">
        <f t="array" ref="W306">INDEX(xlRTCLNAME,MATCH(1,(xlRTCLENDU=2)*(xlRTCLEQCL=$F306),0))</f>
        <v>CENT_AIR</v>
      </c>
      <c r="X306" s="7" t="str">
        <f t="array" ref="X306">INDEX(xlRTTYNAME,MATCH(1,(xlRTTYENDU=1)*(xlRTTYEQCL=$D306)*(xlRTEQTYPE=$E306),0))</f>
        <v>DIST_RAD3</v>
      </c>
      <c r="Y306" s="7" t="str">
        <f t="array" ref="Y306">INDEX(xlRTTYNAME,MATCH(1,(xlRTTYENDU=2)*(xlRTTYEQCL=$F306)*(xlRTEQTYPE=$G306),0))</f>
        <v>CENT_AIR3</v>
      </c>
    </row>
    <row r="307" spans="2:25" x14ac:dyDescent="0.2">
      <c r="B307" s="5">
        <v>4</v>
      </c>
      <c r="C307" s="5">
        <v>1</v>
      </c>
      <c r="D307" s="5">
        <v>8</v>
      </c>
      <c r="E307" s="31">
        <v>27</v>
      </c>
      <c r="F307" s="5">
        <v>2</v>
      </c>
      <c r="G307" s="31">
        <v>6</v>
      </c>
      <c r="H307" s="31">
        <v>2020</v>
      </c>
      <c r="I307" s="5">
        <v>2050</v>
      </c>
      <c r="J307" s="142">
        <v>1.0812999999999999</v>
      </c>
      <c r="K307" s="142">
        <v>1.0769</v>
      </c>
      <c r="L307" s="142">
        <v>0.52690000000000003</v>
      </c>
      <c r="M307" s="142">
        <v>0.86580000000000001</v>
      </c>
      <c r="N307" s="142">
        <v>0.85660000000000003</v>
      </c>
      <c r="O307" s="142">
        <v>1.0538000000000001</v>
      </c>
      <c r="P307" s="26">
        <v>10651.400362299652</v>
      </c>
      <c r="Q307" s="35">
        <f t="array" ref="Q307">SUM(IF(($S307&gt;=4)*($C307='TaxCred&amp;Subs'!$D$114:$D$121)*($H307='TaxCred&amp;Subs'!$C$114:$C$121)*($H307&lt;='TaxCred&amp;Subs'!$C$123),'TaxCred&amp;Subs'!$E$114:$E$121,0))</f>
        <v>0</v>
      </c>
      <c r="R307" s="143">
        <v>0</v>
      </c>
      <c r="S307" s="5">
        <v>3</v>
      </c>
      <c r="T307" s="5" t="s">
        <v>239</v>
      </c>
      <c r="V307" s="7" t="str">
        <f t="array" ref="V307">INDEX(xlRTCLNAME,MATCH(1,(xlRTCLENDU=1)*(xlRTCLEQCL=$D307),0))</f>
        <v>DIST_RAD</v>
      </c>
      <c r="W307" s="7" t="str">
        <f t="array" ref="W307">INDEX(xlRTCLNAME,MATCH(1,(xlRTCLENDU=2)*(xlRTCLEQCL=$F307),0))</f>
        <v>CENT_AIR</v>
      </c>
      <c r="X307" s="7" t="str">
        <f t="array" ref="X307">INDEX(xlRTTYNAME,MATCH(1,(xlRTTYENDU=1)*(xlRTTYEQCL=$D307)*(xlRTEQTYPE=$E307),0))</f>
        <v>DIST_RAD3</v>
      </c>
      <c r="Y307" s="7" t="str">
        <f t="array" ref="Y307">INDEX(xlRTTYNAME,MATCH(1,(xlRTTYENDU=2)*(xlRTTYEQCL=$F307)*(xlRTEQTYPE=$G307),0))</f>
        <v>CENT_AIR3</v>
      </c>
    </row>
    <row r="308" spans="2:25" x14ac:dyDescent="0.2">
      <c r="B308" s="5">
        <v>5</v>
      </c>
      <c r="C308" s="5">
        <v>1</v>
      </c>
      <c r="D308" s="5">
        <v>8</v>
      </c>
      <c r="E308" s="31">
        <v>27</v>
      </c>
      <c r="F308" s="5">
        <v>2</v>
      </c>
      <c r="G308" s="31">
        <v>6</v>
      </c>
      <c r="H308" s="31">
        <v>2020</v>
      </c>
      <c r="I308" s="5">
        <v>2050</v>
      </c>
      <c r="J308" s="142">
        <v>1.0838000000000001</v>
      </c>
      <c r="K308" s="142">
        <v>1.0465</v>
      </c>
      <c r="L308" s="142">
        <v>0.67900000000000005</v>
      </c>
      <c r="M308" s="142">
        <v>0.88390000000000002</v>
      </c>
      <c r="N308" s="142">
        <v>0.75670000000000004</v>
      </c>
      <c r="O308" s="142">
        <v>1.0538000000000001</v>
      </c>
      <c r="P308" s="26">
        <v>9465.5211500365494</v>
      </c>
      <c r="Q308" s="35">
        <f t="array" ref="Q308">SUM(IF(($S308&gt;=4)*($C308='TaxCred&amp;Subs'!$D$114:$D$121)*($H308='TaxCred&amp;Subs'!$C$114:$C$121)*($H308&lt;='TaxCred&amp;Subs'!$C$123),'TaxCred&amp;Subs'!$E$114:$E$121,0))</f>
        <v>0</v>
      </c>
      <c r="R308" s="143">
        <v>0</v>
      </c>
      <c r="S308" s="5">
        <v>3</v>
      </c>
      <c r="T308" s="5" t="s">
        <v>239</v>
      </c>
      <c r="V308" s="7" t="str">
        <f t="array" ref="V308">INDEX(xlRTCLNAME,MATCH(1,(xlRTCLENDU=1)*(xlRTCLEQCL=$D308),0))</f>
        <v>DIST_RAD</v>
      </c>
      <c r="W308" s="7" t="str">
        <f t="array" ref="W308">INDEX(xlRTCLNAME,MATCH(1,(xlRTCLENDU=2)*(xlRTCLEQCL=$F308),0))</f>
        <v>CENT_AIR</v>
      </c>
      <c r="X308" s="7" t="str">
        <f t="array" ref="X308">INDEX(xlRTTYNAME,MATCH(1,(xlRTTYENDU=1)*(xlRTTYEQCL=$D308)*(xlRTEQTYPE=$E308),0))</f>
        <v>DIST_RAD3</v>
      </c>
      <c r="Y308" s="7" t="str">
        <f t="array" ref="Y308">INDEX(xlRTTYNAME,MATCH(1,(xlRTTYENDU=2)*(xlRTTYEQCL=$F308)*(xlRTEQTYPE=$G308),0))</f>
        <v>CENT_AIR3</v>
      </c>
    </row>
    <row r="309" spans="2:25" x14ac:dyDescent="0.2">
      <c r="B309" s="5">
        <v>6</v>
      </c>
      <c r="C309" s="5">
        <v>1</v>
      </c>
      <c r="D309" s="5">
        <v>8</v>
      </c>
      <c r="E309" s="31">
        <v>27</v>
      </c>
      <c r="F309" s="5">
        <v>2</v>
      </c>
      <c r="G309" s="31">
        <v>6</v>
      </c>
      <c r="H309" s="31">
        <v>2020</v>
      </c>
      <c r="I309" s="5">
        <v>2050</v>
      </c>
      <c r="J309" s="142">
        <v>1.089</v>
      </c>
      <c r="K309" s="142">
        <v>1.0583</v>
      </c>
      <c r="L309" s="142">
        <v>0.7974</v>
      </c>
      <c r="M309" s="142">
        <v>0.89459999999999995</v>
      </c>
      <c r="N309" s="142">
        <v>0.88849999999999996</v>
      </c>
      <c r="O309" s="142">
        <v>1.0538000000000001</v>
      </c>
      <c r="P309" s="26">
        <v>9043.3373941968512</v>
      </c>
      <c r="Q309" s="35">
        <f t="array" ref="Q309">SUM(IF(($S309&gt;=4)*($C309='TaxCred&amp;Subs'!$D$114:$D$121)*($H309='TaxCred&amp;Subs'!$C$114:$C$121)*($H309&lt;='TaxCred&amp;Subs'!$C$123),'TaxCred&amp;Subs'!$E$114:$E$121,0))</f>
        <v>0</v>
      </c>
      <c r="R309" s="143">
        <v>0</v>
      </c>
      <c r="S309" s="5">
        <v>3</v>
      </c>
      <c r="T309" s="5" t="s">
        <v>239</v>
      </c>
      <c r="V309" s="7" t="str">
        <f t="array" ref="V309">INDEX(xlRTCLNAME,MATCH(1,(xlRTCLENDU=1)*(xlRTCLEQCL=$D309),0))</f>
        <v>DIST_RAD</v>
      </c>
      <c r="W309" s="7" t="str">
        <f t="array" ref="W309">INDEX(xlRTCLNAME,MATCH(1,(xlRTCLENDU=2)*(xlRTCLEQCL=$F309),0))</f>
        <v>CENT_AIR</v>
      </c>
      <c r="X309" s="7" t="str">
        <f t="array" ref="X309">INDEX(xlRTTYNAME,MATCH(1,(xlRTTYENDU=1)*(xlRTTYEQCL=$D309)*(xlRTEQTYPE=$E309),0))</f>
        <v>DIST_RAD3</v>
      </c>
      <c r="Y309" s="7" t="str">
        <f t="array" ref="Y309">INDEX(xlRTTYNAME,MATCH(1,(xlRTTYENDU=2)*(xlRTTYEQCL=$F309)*(xlRTEQTYPE=$G309),0))</f>
        <v>CENT_AIR3</v>
      </c>
    </row>
    <row r="310" spans="2:25" x14ac:dyDescent="0.2">
      <c r="B310" s="5">
        <v>7</v>
      </c>
      <c r="C310" s="5">
        <v>1</v>
      </c>
      <c r="D310" s="5">
        <v>8</v>
      </c>
      <c r="E310" s="31">
        <v>27</v>
      </c>
      <c r="F310" s="5">
        <v>2</v>
      </c>
      <c r="G310" s="31">
        <v>6</v>
      </c>
      <c r="H310" s="31">
        <v>2020</v>
      </c>
      <c r="I310" s="5">
        <v>2050</v>
      </c>
      <c r="J310" s="142">
        <v>1.0867</v>
      </c>
      <c r="K310" s="142">
        <v>1.0682</v>
      </c>
      <c r="L310" s="142">
        <v>0.71750000000000003</v>
      </c>
      <c r="M310" s="142">
        <v>0.81489999999999996</v>
      </c>
      <c r="N310" s="142">
        <v>0.87180000000000002</v>
      </c>
      <c r="O310" s="142">
        <v>1.0538000000000001</v>
      </c>
      <c r="P310" s="26">
        <v>8598.2965560346202</v>
      </c>
      <c r="Q310" s="35">
        <f t="array" ref="Q310">SUM(IF(($S310&gt;=4)*($C310='TaxCred&amp;Subs'!$D$114:$D$121)*($H310='TaxCred&amp;Subs'!$C$114:$C$121)*($H310&lt;='TaxCred&amp;Subs'!$C$123),'TaxCred&amp;Subs'!$E$114:$E$121,0))</f>
        <v>0</v>
      </c>
      <c r="R310" s="143">
        <v>0</v>
      </c>
      <c r="S310" s="5">
        <v>3</v>
      </c>
      <c r="T310" s="5" t="s">
        <v>239</v>
      </c>
      <c r="V310" s="7" t="str">
        <f t="array" ref="V310">INDEX(xlRTCLNAME,MATCH(1,(xlRTCLENDU=1)*(xlRTCLEQCL=$D310),0))</f>
        <v>DIST_RAD</v>
      </c>
      <c r="W310" s="7" t="str">
        <f t="array" ref="W310">INDEX(xlRTCLNAME,MATCH(1,(xlRTCLENDU=2)*(xlRTCLEQCL=$F310),0))</f>
        <v>CENT_AIR</v>
      </c>
      <c r="X310" s="7" t="str">
        <f t="array" ref="X310">INDEX(xlRTTYNAME,MATCH(1,(xlRTTYENDU=1)*(xlRTTYEQCL=$D310)*(xlRTEQTYPE=$E310),0))</f>
        <v>DIST_RAD3</v>
      </c>
      <c r="Y310" s="7" t="str">
        <f t="array" ref="Y310">INDEX(xlRTTYNAME,MATCH(1,(xlRTTYENDU=2)*(xlRTTYEQCL=$F310)*(xlRTEQTYPE=$G310),0))</f>
        <v>CENT_AIR3</v>
      </c>
    </row>
    <row r="311" spans="2:25" x14ac:dyDescent="0.2">
      <c r="B311" s="5">
        <v>8</v>
      </c>
      <c r="C311" s="5">
        <v>1</v>
      </c>
      <c r="D311" s="5">
        <v>8</v>
      </c>
      <c r="E311" s="31">
        <v>27</v>
      </c>
      <c r="F311" s="5">
        <v>2</v>
      </c>
      <c r="G311" s="31">
        <v>6</v>
      </c>
      <c r="H311" s="31">
        <v>2020</v>
      </c>
      <c r="I311" s="5">
        <v>2050</v>
      </c>
      <c r="J311" s="142">
        <v>1.0820000000000001</v>
      </c>
      <c r="K311" s="142">
        <v>1.0832999999999999</v>
      </c>
      <c r="L311" s="142">
        <v>0.58379999999999999</v>
      </c>
      <c r="M311" s="142">
        <v>0.79630000000000001</v>
      </c>
      <c r="N311" s="142">
        <v>0.86439999999999995</v>
      </c>
      <c r="O311" s="142">
        <v>1.0538000000000001</v>
      </c>
      <c r="P311" s="26">
        <v>13938.786613981378</v>
      </c>
      <c r="Q311" s="35">
        <f t="array" ref="Q311">SUM(IF(($S311&gt;=4)*($C311='TaxCred&amp;Subs'!$D$114:$D$121)*($H311='TaxCred&amp;Subs'!$C$114:$C$121)*($H311&lt;='TaxCred&amp;Subs'!$C$123),'TaxCred&amp;Subs'!$E$114:$E$121,0))</f>
        <v>0</v>
      </c>
      <c r="R311" s="143">
        <v>0</v>
      </c>
      <c r="S311" s="5">
        <v>3</v>
      </c>
      <c r="T311" s="5" t="s">
        <v>239</v>
      </c>
      <c r="V311" s="7" t="str">
        <f t="array" ref="V311">INDEX(xlRTCLNAME,MATCH(1,(xlRTCLENDU=1)*(xlRTCLEQCL=$D311),0))</f>
        <v>DIST_RAD</v>
      </c>
      <c r="W311" s="7" t="str">
        <f t="array" ref="W311">INDEX(xlRTCLNAME,MATCH(1,(xlRTCLENDU=2)*(xlRTCLEQCL=$F311),0))</f>
        <v>CENT_AIR</v>
      </c>
      <c r="X311" s="7" t="str">
        <f t="array" ref="X311">INDEX(xlRTTYNAME,MATCH(1,(xlRTTYENDU=1)*(xlRTTYEQCL=$D311)*(xlRTEQTYPE=$E311),0))</f>
        <v>DIST_RAD3</v>
      </c>
      <c r="Y311" s="7" t="str">
        <f t="array" ref="Y311">INDEX(xlRTTYNAME,MATCH(1,(xlRTTYENDU=2)*(xlRTTYEQCL=$F311)*(xlRTEQTYPE=$G311),0))</f>
        <v>CENT_AIR3</v>
      </c>
    </row>
    <row r="312" spans="2:25" x14ac:dyDescent="0.2">
      <c r="B312" s="5">
        <v>9</v>
      </c>
      <c r="C312" s="5">
        <v>1</v>
      </c>
      <c r="D312" s="5">
        <v>8</v>
      </c>
      <c r="E312" s="31">
        <v>27</v>
      </c>
      <c r="F312" s="5">
        <v>2</v>
      </c>
      <c r="G312" s="31">
        <v>6</v>
      </c>
      <c r="H312" s="31">
        <v>2020</v>
      </c>
      <c r="I312" s="5">
        <v>2050</v>
      </c>
      <c r="J312" s="142">
        <v>1.0414000000000001</v>
      </c>
      <c r="K312" s="142">
        <v>1.07</v>
      </c>
      <c r="L312" s="142">
        <v>0.89259999999999995</v>
      </c>
      <c r="M312" s="142">
        <v>0.90590000000000004</v>
      </c>
      <c r="N312" s="142">
        <v>1.026</v>
      </c>
      <c r="O312" s="142">
        <v>1.0538000000000001</v>
      </c>
      <c r="P312" s="26">
        <v>13599.963981906205</v>
      </c>
      <c r="Q312" s="35">
        <f t="array" ref="Q312">SUM(IF(($S312&gt;=4)*($C312='TaxCred&amp;Subs'!$D$114:$D$121)*($H312='TaxCred&amp;Subs'!$C$114:$C$121)*($H312&lt;='TaxCred&amp;Subs'!$C$123),'TaxCred&amp;Subs'!$E$114:$E$121,0))</f>
        <v>0</v>
      </c>
      <c r="R312" s="143">
        <v>0</v>
      </c>
      <c r="S312" s="5">
        <v>3</v>
      </c>
      <c r="T312" s="5" t="s">
        <v>239</v>
      </c>
      <c r="V312" s="7" t="str">
        <f t="array" ref="V312">INDEX(xlRTCLNAME,MATCH(1,(xlRTCLENDU=1)*(xlRTCLEQCL=$D312),0))</f>
        <v>DIST_RAD</v>
      </c>
      <c r="W312" s="7" t="str">
        <f t="array" ref="W312">INDEX(xlRTCLNAME,MATCH(1,(xlRTCLENDU=2)*(xlRTCLEQCL=$F312),0))</f>
        <v>CENT_AIR</v>
      </c>
      <c r="X312" s="7" t="str">
        <f t="array" ref="X312">INDEX(xlRTTYNAME,MATCH(1,(xlRTTYENDU=1)*(xlRTTYEQCL=$D312)*(xlRTEQTYPE=$E312),0))</f>
        <v>DIST_RAD3</v>
      </c>
      <c r="Y312" s="7" t="str">
        <f t="array" ref="Y312">INDEX(xlRTTYNAME,MATCH(1,(xlRTTYENDU=2)*(xlRTTYEQCL=$F312)*(xlRTEQTYPE=$G312),0))</f>
        <v>CENT_AIR3</v>
      </c>
    </row>
    <row r="313" spans="2:25" x14ac:dyDescent="0.2">
      <c r="B313" s="5">
        <v>1</v>
      </c>
      <c r="C313" s="5">
        <v>1</v>
      </c>
      <c r="D313" s="5">
        <v>9</v>
      </c>
      <c r="E313" s="31">
        <v>29</v>
      </c>
      <c r="F313" s="5">
        <v>2</v>
      </c>
      <c r="G313" s="31">
        <v>6</v>
      </c>
      <c r="H313" s="31">
        <v>2020</v>
      </c>
      <c r="I313" s="5">
        <v>2050</v>
      </c>
      <c r="J313" s="142">
        <v>1.0592999999999999</v>
      </c>
      <c r="K313" s="142">
        <v>1.0889</v>
      </c>
      <c r="L313" s="142">
        <v>0.56459999999999999</v>
      </c>
      <c r="M313" s="142">
        <v>0.95909999999999995</v>
      </c>
      <c r="N313" s="142">
        <v>0.8095</v>
      </c>
      <c r="O313" s="142">
        <v>1.0538000000000001</v>
      </c>
      <c r="P313" s="26">
        <v>14403.995465957607</v>
      </c>
      <c r="Q313" s="35">
        <f t="array" ref="Q313">SUM(IF(($S313&gt;=4)*($C313='TaxCred&amp;Subs'!$D$114:$D$121)*($H313='TaxCred&amp;Subs'!$C$114:$C$121)*($H313&lt;='TaxCred&amp;Subs'!$C$123),'TaxCred&amp;Subs'!$E$114:$E$121,0))</f>
        <v>0</v>
      </c>
      <c r="R313" s="143">
        <v>0</v>
      </c>
      <c r="S313" s="5">
        <v>3</v>
      </c>
      <c r="T313" s="5" t="s">
        <v>239</v>
      </c>
      <c r="V313" s="7" t="str">
        <f t="array" ref="V313">INDEX(xlRTCLNAME,MATCH(1,(xlRTCLENDU=1)*(xlRTCLEQCL=$D313),0))</f>
        <v>WOOD_HT</v>
      </c>
      <c r="W313" s="7" t="str">
        <f t="array" ref="W313">INDEX(xlRTCLNAME,MATCH(1,(xlRTCLENDU=2)*(xlRTCLEQCL=$F313),0))</f>
        <v>CENT_AIR</v>
      </c>
      <c r="X313" s="7" t="str">
        <f t="array" ref="X313">INDEX(xlRTTYNAME,MATCH(1,(xlRTTYENDU=1)*(xlRTTYEQCL=$D313)*(xlRTEQTYPE=$E313),0))</f>
        <v>WOOD_HT2</v>
      </c>
      <c r="Y313" s="7" t="str">
        <f t="array" ref="Y313">INDEX(xlRTTYNAME,MATCH(1,(xlRTTYENDU=2)*(xlRTTYEQCL=$F313)*(xlRTEQTYPE=$G313),0))</f>
        <v>CENT_AIR3</v>
      </c>
    </row>
    <row r="314" spans="2:25" x14ac:dyDescent="0.2">
      <c r="B314" s="5">
        <v>2</v>
      </c>
      <c r="C314" s="5">
        <v>1</v>
      </c>
      <c r="D314" s="5">
        <v>9</v>
      </c>
      <c r="E314" s="31">
        <v>29</v>
      </c>
      <c r="F314" s="5">
        <v>2</v>
      </c>
      <c r="G314" s="31">
        <v>6</v>
      </c>
      <c r="H314" s="31">
        <v>2020</v>
      </c>
      <c r="I314" s="5">
        <v>2050</v>
      </c>
      <c r="J314" s="142">
        <v>1.0717000000000001</v>
      </c>
      <c r="K314" s="142">
        <v>1.0895999999999999</v>
      </c>
      <c r="L314" s="142">
        <v>0.622</v>
      </c>
      <c r="M314" s="142">
        <v>0.84060000000000001</v>
      </c>
      <c r="N314" s="142">
        <v>0.92630000000000001</v>
      </c>
      <c r="O314" s="142">
        <v>1.0538000000000001</v>
      </c>
      <c r="P314" s="26">
        <v>14027.52587476297</v>
      </c>
      <c r="Q314" s="35">
        <f t="array" ref="Q314">SUM(IF(($S314&gt;=4)*($C314='TaxCred&amp;Subs'!$D$114:$D$121)*($H314='TaxCred&amp;Subs'!$C$114:$C$121)*($H314&lt;='TaxCred&amp;Subs'!$C$123),'TaxCred&amp;Subs'!$E$114:$E$121,0))</f>
        <v>0</v>
      </c>
      <c r="R314" s="143">
        <v>0</v>
      </c>
      <c r="S314" s="5">
        <v>3</v>
      </c>
      <c r="T314" s="5" t="s">
        <v>239</v>
      </c>
      <c r="V314" s="7" t="str">
        <f t="array" ref="V314">INDEX(xlRTCLNAME,MATCH(1,(xlRTCLENDU=1)*(xlRTCLEQCL=$D314),0))</f>
        <v>WOOD_HT</v>
      </c>
      <c r="W314" s="7" t="str">
        <f t="array" ref="W314">INDEX(xlRTCLNAME,MATCH(1,(xlRTCLENDU=2)*(xlRTCLEQCL=$F314),0))</f>
        <v>CENT_AIR</v>
      </c>
      <c r="X314" s="7" t="str">
        <f t="array" ref="X314">INDEX(xlRTTYNAME,MATCH(1,(xlRTTYENDU=1)*(xlRTTYEQCL=$D314)*(xlRTEQTYPE=$E314),0))</f>
        <v>WOOD_HT2</v>
      </c>
      <c r="Y314" s="7" t="str">
        <f t="array" ref="Y314">INDEX(xlRTTYNAME,MATCH(1,(xlRTTYENDU=2)*(xlRTTYEQCL=$F314)*(xlRTEQTYPE=$G314),0))</f>
        <v>CENT_AIR3</v>
      </c>
    </row>
    <row r="315" spans="2:25" x14ac:dyDescent="0.2">
      <c r="B315" s="5">
        <v>3</v>
      </c>
      <c r="C315" s="5">
        <v>1</v>
      </c>
      <c r="D315" s="5">
        <v>9</v>
      </c>
      <c r="E315" s="31">
        <v>29</v>
      </c>
      <c r="F315" s="5">
        <v>2</v>
      </c>
      <c r="G315" s="31">
        <v>6</v>
      </c>
      <c r="H315" s="31">
        <v>2020</v>
      </c>
      <c r="I315" s="5">
        <v>2050</v>
      </c>
      <c r="J315" s="142">
        <v>1.0821000000000001</v>
      </c>
      <c r="K315" s="142">
        <v>1.0769</v>
      </c>
      <c r="L315" s="142">
        <v>0.52210000000000001</v>
      </c>
      <c r="M315" s="142">
        <v>0.9194</v>
      </c>
      <c r="N315" s="142">
        <v>0.91400000000000003</v>
      </c>
      <c r="O315" s="142">
        <v>1.0538000000000001</v>
      </c>
      <c r="P315" s="26">
        <v>13002.990773011856</v>
      </c>
      <c r="Q315" s="35">
        <f t="array" ref="Q315">SUM(IF(($S315&gt;=4)*($C315='TaxCred&amp;Subs'!$D$114:$D$121)*($H315='TaxCred&amp;Subs'!$C$114:$C$121)*($H315&lt;='TaxCred&amp;Subs'!$C$123),'TaxCred&amp;Subs'!$E$114:$E$121,0))</f>
        <v>0</v>
      </c>
      <c r="R315" s="143">
        <v>0</v>
      </c>
      <c r="S315" s="5">
        <v>3</v>
      </c>
      <c r="T315" s="5" t="s">
        <v>239</v>
      </c>
      <c r="V315" s="7" t="str">
        <f t="array" ref="V315">INDEX(xlRTCLNAME,MATCH(1,(xlRTCLENDU=1)*(xlRTCLEQCL=$D315),0))</f>
        <v>WOOD_HT</v>
      </c>
      <c r="W315" s="7" t="str">
        <f t="array" ref="W315">INDEX(xlRTCLNAME,MATCH(1,(xlRTCLENDU=2)*(xlRTCLEQCL=$F315),0))</f>
        <v>CENT_AIR</v>
      </c>
      <c r="X315" s="7" t="str">
        <f t="array" ref="X315">INDEX(xlRTTYNAME,MATCH(1,(xlRTTYENDU=1)*(xlRTTYEQCL=$D315)*(xlRTEQTYPE=$E315),0))</f>
        <v>WOOD_HT2</v>
      </c>
      <c r="Y315" s="7" t="str">
        <f t="array" ref="Y315">INDEX(xlRTTYNAME,MATCH(1,(xlRTTYENDU=2)*(xlRTTYEQCL=$F315)*(xlRTEQTYPE=$G315),0))</f>
        <v>CENT_AIR3</v>
      </c>
    </row>
    <row r="316" spans="2:25" x14ac:dyDescent="0.2">
      <c r="B316" s="5">
        <v>4</v>
      </c>
      <c r="C316" s="5">
        <v>1</v>
      </c>
      <c r="D316" s="5">
        <v>9</v>
      </c>
      <c r="E316" s="31">
        <v>29</v>
      </c>
      <c r="F316" s="5">
        <v>2</v>
      </c>
      <c r="G316" s="31">
        <v>6</v>
      </c>
      <c r="H316" s="31">
        <v>2020</v>
      </c>
      <c r="I316" s="5">
        <v>2050</v>
      </c>
      <c r="J316" s="142">
        <v>1.0812999999999999</v>
      </c>
      <c r="K316" s="142">
        <v>1.0769</v>
      </c>
      <c r="L316" s="142">
        <v>0.52690000000000003</v>
      </c>
      <c r="M316" s="142">
        <v>0.86580000000000001</v>
      </c>
      <c r="N316" s="142">
        <v>0.85660000000000003</v>
      </c>
      <c r="O316" s="142">
        <v>1.0538000000000001</v>
      </c>
      <c r="P316" s="26">
        <v>10651.400362299652</v>
      </c>
      <c r="Q316" s="35">
        <f t="array" ref="Q316">SUM(IF(($S316&gt;=4)*($C316='TaxCred&amp;Subs'!$D$114:$D$121)*($H316='TaxCred&amp;Subs'!$C$114:$C$121)*($H316&lt;='TaxCred&amp;Subs'!$C$123),'TaxCred&amp;Subs'!$E$114:$E$121,0))</f>
        <v>0</v>
      </c>
      <c r="R316" s="143">
        <v>0</v>
      </c>
      <c r="S316" s="5">
        <v>3</v>
      </c>
      <c r="T316" s="5" t="s">
        <v>239</v>
      </c>
      <c r="V316" s="7" t="str">
        <f t="array" ref="V316">INDEX(xlRTCLNAME,MATCH(1,(xlRTCLENDU=1)*(xlRTCLEQCL=$D316),0))</f>
        <v>WOOD_HT</v>
      </c>
      <c r="W316" s="7" t="str">
        <f t="array" ref="W316">INDEX(xlRTCLNAME,MATCH(1,(xlRTCLENDU=2)*(xlRTCLEQCL=$F316),0))</f>
        <v>CENT_AIR</v>
      </c>
      <c r="X316" s="7" t="str">
        <f t="array" ref="X316">INDEX(xlRTTYNAME,MATCH(1,(xlRTTYENDU=1)*(xlRTTYEQCL=$D316)*(xlRTEQTYPE=$E316),0))</f>
        <v>WOOD_HT2</v>
      </c>
      <c r="Y316" s="7" t="str">
        <f t="array" ref="Y316">INDEX(xlRTTYNAME,MATCH(1,(xlRTTYENDU=2)*(xlRTTYEQCL=$F316)*(xlRTEQTYPE=$G316),0))</f>
        <v>CENT_AIR3</v>
      </c>
    </row>
    <row r="317" spans="2:25" x14ac:dyDescent="0.2">
      <c r="B317" s="5">
        <v>5</v>
      </c>
      <c r="C317" s="5">
        <v>1</v>
      </c>
      <c r="D317" s="5">
        <v>9</v>
      </c>
      <c r="E317" s="31">
        <v>29</v>
      </c>
      <c r="F317" s="5">
        <v>2</v>
      </c>
      <c r="G317" s="31">
        <v>6</v>
      </c>
      <c r="H317" s="31">
        <v>2020</v>
      </c>
      <c r="I317" s="5">
        <v>2050</v>
      </c>
      <c r="J317" s="142">
        <v>1.0838000000000001</v>
      </c>
      <c r="K317" s="142">
        <v>1.0465</v>
      </c>
      <c r="L317" s="142">
        <v>0.67900000000000005</v>
      </c>
      <c r="M317" s="142">
        <v>0.88390000000000002</v>
      </c>
      <c r="N317" s="142">
        <v>0.75670000000000004</v>
      </c>
      <c r="O317" s="142">
        <v>1.0538000000000001</v>
      </c>
      <c r="P317" s="26">
        <v>9465.5211500365494</v>
      </c>
      <c r="Q317" s="35">
        <f t="array" ref="Q317">SUM(IF(($S317&gt;=4)*($C317='TaxCred&amp;Subs'!$D$114:$D$121)*($H317='TaxCred&amp;Subs'!$C$114:$C$121)*($H317&lt;='TaxCred&amp;Subs'!$C$123),'TaxCred&amp;Subs'!$E$114:$E$121,0))</f>
        <v>0</v>
      </c>
      <c r="R317" s="143">
        <v>0</v>
      </c>
      <c r="S317" s="5">
        <v>3</v>
      </c>
      <c r="T317" s="5" t="s">
        <v>239</v>
      </c>
      <c r="V317" s="7" t="str">
        <f t="array" ref="V317">INDEX(xlRTCLNAME,MATCH(1,(xlRTCLENDU=1)*(xlRTCLEQCL=$D317),0))</f>
        <v>WOOD_HT</v>
      </c>
      <c r="W317" s="7" t="str">
        <f t="array" ref="W317">INDEX(xlRTCLNAME,MATCH(1,(xlRTCLENDU=2)*(xlRTCLEQCL=$F317),0))</f>
        <v>CENT_AIR</v>
      </c>
      <c r="X317" s="7" t="str">
        <f t="array" ref="X317">INDEX(xlRTTYNAME,MATCH(1,(xlRTTYENDU=1)*(xlRTTYEQCL=$D317)*(xlRTEQTYPE=$E317),0))</f>
        <v>WOOD_HT2</v>
      </c>
      <c r="Y317" s="7" t="str">
        <f t="array" ref="Y317">INDEX(xlRTTYNAME,MATCH(1,(xlRTTYENDU=2)*(xlRTTYEQCL=$F317)*(xlRTEQTYPE=$G317),0))</f>
        <v>CENT_AIR3</v>
      </c>
    </row>
    <row r="318" spans="2:25" x14ac:dyDescent="0.2">
      <c r="B318" s="5">
        <v>6</v>
      </c>
      <c r="C318" s="5">
        <v>1</v>
      </c>
      <c r="D318" s="5">
        <v>9</v>
      </c>
      <c r="E318" s="31">
        <v>29</v>
      </c>
      <c r="F318" s="5">
        <v>2</v>
      </c>
      <c r="G318" s="31">
        <v>6</v>
      </c>
      <c r="H318" s="31">
        <v>2020</v>
      </c>
      <c r="I318" s="5">
        <v>2050</v>
      </c>
      <c r="J318" s="142">
        <v>1.089</v>
      </c>
      <c r="K318" s="142">
        <v>1.0583</v>
      </c>
      <c r="L318" s="142">
        <v>0.7974</v>
      </c>
      <c r="M318" s="142">
        <v>0.89459999999999995</v>
      </c>
      <c r="N318" s="142">
        <v>0.88849999999999996</v>
      </c>
      <c r="O318" s="142">
        <v>1.0538000000000001</v>
      </c>
      <c r="P318" s="26">
        <v>9043.3373941968512</v>
      </c>
      <c r="Q318" s="35">
        <f t="array" ref="Q318">SUM(IF(($S318&gt;=4)*($C318='TaxCred&amp;Subs'!$D$114:$D$121)*($H318='TaxCred&amp;Subs'!$C$114:$C$121)*($H318&lt;='TaxCred&amp;Subs'!$C$123),'TaxCred&amp;Subs'!$E$114:$E$121,0))</f>
        <v>0</v>
      </c>
      <c r="R318" s="143">
        <v>0</v>
      </c>
      <c r="S318" s="5">
        <v>3</v>
      </c>
      <c r="T318" s="5" t="s">
        <v>239</v>
      </c>
      <c r="V318" s="7" t="str">
        <f t="array" ref="V318">INDEX(xlRTCLNAME,MATCH(1,(xlRTCLENDU=1)*(xlRTCLEQCL=$D318),0))</f>
        <v>WOOD_HT</v>
      </c>
      <c r="W318" s="7" t="str">
        <f t="array" ref="W318">INDEX(xlRTCLNAME,MATCH(1,(xlRTCLENDU=2)*(xlRTCLEQCL=$F318),0))</f>
        <v>CENT_AIR</v>
      </c>
      <c r="X318" s="7" t="str">
        <f t="array" ref="X318">INDEX(xlRTTYNAME,MATCH(1,(xlRTTYENDU=1)*(xlRTTYEQCL=$D318)*(xlRTEQTYPE=$E318),0))</f>
        <v>WOOD_HT2</v>
      </c>
      <c r="Y318" s="7" t="str">
        <f t="array" ref="Y318">INDEX(xlRTTYNAME,MATCH(1,(xlRTTYENDU=2)*(xlRTTYEQCL=$F318)*(xlRTEQTYPE=$G318),0))</f>
        <v>CENT_AIR3</v>
      </c>
    </row>
    <row r="319" spans="2:25" x14ac:dyDescent="0.2">
      <c r="B319" s="5">
        <v>7</v>
      </c>
      <c r="C319" s="5">
        <v>1</v>
      </c>
      <c r="D319" s="5">
        <v>9</v>
      </c>
      <c r="E319" s="31">
        <v>29</v>
      </c>
      <c r="F319" s="5">
        <v>2</v>
      </c>
      <c r="G319" s="31">
        <v>6</v>
      </c>
      <c r="H319" s="31">
        <v>2020</v>
      </c>
      <c r="I319" s="5">
        <v>2050</v>
      </c>
      <c r="J319" s="142">
        <v>1.0867</v>
      </c>
      <c r="K319" s="142">
        <v>1.0682</v>
      </c>
      <c r="L319" s="142">
        <v>0.71750000000000003</v>
      </c>
      <c r="M319" s="142">
        <v>0.81489999999999996</v>
      </c>
      <c r="N319" s="142">
        <v>0.87180000000000002</v>
      </c>
      <c r="O319" s="142">
        <v>1.0538000000000001</v>
      </c>
      <c r="P319" s="26">
        <v>8598.2965560346202</v>
      </c>
      <c r="Q319" s="35">
        <f t="array" ref="Q319">SUM(IF(($S319&gt;=4)*($C319='TaxCred&amp;Subs'!$D$114:$D$121)*($H319='TaxCred&amp;Subs'!$C$114:$C$121)*($H319&lt;='TaxCred&amp;Subs'!$C$123),'TaxCred&amp;Subs'!$E$114:$E$121,0))</f>
        <v>0</v>
      </c>
      <c r="R319" s="143">
        <v>0</v>
      </c>
      <c r="S319" s="5">
        <v>3</v>
      </c>
      <c r="T319" s="5" t="s">
        <v>239</v>
      </c>
      <c r="V319" s="7" t="str">
        <f t="array" ref="V319">INDEX(xlRTCLNAME,MATCH(1,(xlRTCLENDU=1)*(xlRTCLEQCL=$D319),0))</f>
        <v>WOOD_HT</v>
      </c>
      <c r="W319" s="7" t="str">
        <f t="array" ref="W319">INDEX(xlRTCLNAME,MATCH(1,(xlRTCLENDU=2)*(xlRTCLEQCL=$F319),0))</f>
        <v>CENT_AIR</v>
      </c>
      <c r="X319" s="7" t="str">
        <f t="array" ref="X319">INDEX(xlRTTYNAME,MATCH(1,(xlRTTYENDU=1)*(xlRTTYEQCL=$D319)*(xlRTEQTYPE=$E319),0))</f>
        <v>WOOD_HT2</v>
      </c>
      <c r="Y319" s="7" t="str">
        <f t="array" ref="Y319">INDEX(xlRTTYNAME,MATCH(1,(xlRTTYENDU=2)*(xlRTTYEQCL=$F319)*(xlRTEQTYPE=$G319),0))</f>
        <v>CENT_AIR3</v>
      </c>
    </row>
    <row r="320" spans="2:25" x14ac:dyDescent="0.2">
      <c r="B320" s="5">
        <v>8</v>
      </c>
      <c r="C320" s="5">
        <v>1</v>
      </c>
      <c r="D320" s="5">
        <v>9</v>
      </c>
      <c r="E320" s="31">
        <v>29</v>
      </c>
      <c r="F320" s="5">
        <v>2</v>
      </c>
      <c r="G320" s="31">
        <v>6</v>
      </c>
      <c r="H320" s="31">
        <v>2020</v>
      </c>
      <c r="I320" s="5">
        <v>2050</v>
      </c>
      <c r="J320" s="142">
        <v>1.0820000000000001</v>
      </c>
      <c r="K320" s="142">
        <v>1.0832999999999999</v>
      </c>
      <c r="L320" s="142">
        <v>0.58379999999999999</v>
      </c>
      <c r="M320" s="142">
        <v>0.79630000000000001</v>
      </c>
      <c r="N320" s="142">
        <v>0.86439999999999995</v>
      </c>
      <c r="O320" s="142">
        <v>1.0538000000000001</v>
      </c>
      <c r="P320" s="26">
        <v>13938.786613981378</v>
      </c>
      <c r="Q320" s="35">
        <f t="array" ref="Q320">SUM(IF(($S320&gt;=4)*($C320='TaxCred&amp;Subs'!$D$114:$D$121)*($H320='TaxCred&amp;Subs'!$C$114:$C$121)*($H320&lt;='TaxCred&amp;Subs'!$C$123),'TaxCred&amp;Subs'!$E$114:$E$121,0))</f>
        <v>0</v>
      </c>
      <c r="R320" s="143">
        <v>0</v>
      </c>
      <c r="S320" s="5">
        <v>3</v>
      </c>
      <c r="T320" s="5" t="s">
        <v>239</v>
      </c>
      <c r="V320" s="7" t="str">
        <f t="array" ref="V320">INDEX(xlRTCLNAME,MATCH(1,(xlRTCLENDU=1)*(xlRTCLEQCL=$D320),0))</f>
        <v>WOOD_HT</v>
      </c>
      <c r="W320" s="7" t="str">
        <f t="array" ref="W320">INDEX(xlRTCLNAME,MATCH(1,(xlRTCLENDU=2)*(xlRTCLEQCL=$F320),0))</f>
        <v>CENT_AIR</v>
      </c>
      <c r="X320" s="7" t="str">
        <f t="array" ref="X320">INDEX(xlRTTYNAME,MATCH(1,(xlRTTYENDU=1)*(xlRTTYEQCL=$D320)*(xlRTEQTYPE=$E320),0))</f>
        <v>WOOD_HT2</v>
      </c>
      <c r="Y320" s="7" t="str">
        <f t="array" ref="Y320">INDEX(xlRTTYNAME,MATCH(1,(xlRTTYENDU=2)*(xlRTTYEQCL=$F320)*(xlRTEQTYPE=$G320),0))</f>
        <v>CENT_AIR3</v>
      </c>
    </row>
    <row r="321" spans="2:25" x14ac:dyDescent="0.2">
      <c r="B321" s="5">
        <v>9</v>
      </c>
      <c r="C321" s="5">
        <v>1</v>
      </c>
      <c r="D321" s="5">
        <v>9</v>
      </c>
      <c r="E321" s="31">
        <v>29</v>
      </c>
      <c r="F321" s="5">
        <v>2</v>
      </c>
      <c r="G321" s="31">
        <v>6</v>
      </c>
      <c r="H321" s="31">
        <v>2020</v>
      </c>
      <c r="I321" s="5">
        <v>2050</v>
      </c>
      <c r="J321" s="142">
        <v>1.0414000000000001</v>
      </c>
      <c r="K321" s="142">
        <v>1.07</v>
      </c>
      <c r="L321" s="142">
        <v>0.89259999999999995</v>
      </c>
      <c r="M321" s="142">
        <v>0.90590000000000004</v>
      </c>
      <c r="N321" s="142">
        <v>1.026</v>
      </c>
      <c r="O321" s="142">
        <v>1.0538000000000001</v>
      </c>
      <c r="P321" s="26">
        <v>13599.963981906205</v>
      </c>
      <c r="Q321" s="35">
        <f t="array" ref="Q321">SUM(IF(($S321&gt;=4)*($C321='TaxCred&amp;Subs'!$D$114:$D$121)*($H321='TaxCred&amp;Subs'!$C$114:$C$121)*($H321&lt;='TaxCred&amp;Subs'!$C$123),'TaxCred&amp;Subs'!$E$114:$E$121,0))</f>
        <v>0</v>
      </c>
      <c r="R321" s="143">
        <v>0</v>
      </c>
      <c r="S321" s="5">
        <v>3</v>
      </c>
      <c r="T321" s="5" t="s">
        <v>239</v>
      </c>
      <c r="V321" s="7" t="str">
        <f t="array" ref="V321">INDEX(xlRTCLNAME,MATCH(1,(xlRTCLENDU=1)*(xlRTCLEQCL=$D321),0))</f>
        <v>WOOD_HT</v>
      </c>
      <c r="W321" s="7" t="str">
        <f t="array" ref="W321">INDEX(xlRTCLNAME,MATCH(1,(xlRTCLENDU=2)*(xlRTCLEQCL=$F321),0))</f>
        <v>CENT_AIR</v>
      </c>
      <c r="X321" s="7" t="str">
        <f t="array" ref="X321">INDEX(xlRTTYNAME,MATCH(1,(xlRTTYENDU=1)*(xlRTTYEQCL=$D321)*(xlRTEQTYPE=$E321),0))</f>
        <v>WOOD_HT2</v>
      </c>
      <c r="Y321" s="7" t="str">
        <f t="array" ref="Y321">INDEX(xlRTTYNAME,MATCH(1,(xlRTTYENDU=2)*(xlRTTYEQCL=$F321)*(xlRTEQTYPE=$G321),0))</f>
        <v>CENT_AIR3</v>
      </c>
    </row>
    <row r="322" spans="2:25" x14ac:dyDescent="0.2">
      <c r="B322" s="5">
        <v>1</v>
      </c>
      <c r="C322" s="5">
        <v>1</v>
      </c>
      <c r="D322" s="5">
        <v>10</v>
      </c>
      <c r="E322" s="31">
        <v>33</v>
      </c>
      <c r="F322" s="5">
        <v>4</v>
      </c>
      <c r="G322" s="31">
        <v>14</v>
      </c>
      <c r="H322" s="31">
        <v>2020</v>
      </c>
      <c r="I322" s="5">
        <v>2050</v>
      </c>
      <c r="J322" s="142">
        <v>1.1071</v>
      </c>
      <c r="K322" s="142">
        <v>1.0713999999999999</v>
      </c>
      <c r="L322" s="142">
        <v>0.50919999999999999</v>
      </c>
      <c r="M322" s="142">
        <v>0.96350000000000002</v>
      </c>
      <c r="N322" s="142">
        <v>0.80640000000000001</v>
      </c>
      <c r="O322" s="142">
        <v>1.0538000000000001</v>
      </c>
      <c r="P322" s="26">
        <v>14588.196658792125</v>
      </c>
      <c r="Q322" s="35">
        <f t="array" ref="Q322">SUM(IF(($S322&gt;=4)*($C322='TaxCred&amp;Subs'!$D$114:$D$121)*($H322='TaxCred&amp;Subs'!$C$114:$C$121)*($H322&lt;='TaxCred&amp;Subs'!$C$123),'TaxCred&amp;Subs'!$E$114:$E$121,0))</f>
        <v>0</v>
      </c>
      <c r="R322" s="143">
        <v>0</v>
      </c>
      <c r="S322" s="5">
        <v>3</v>
      </c>
      <c r="T322" s="5" t="s">
        <v>239</v>
      </c>
      <c r="V322" s="7" t="str">
        <f t="array" ref="V322">INDEX(xlRTCLNAME,MATCH(1,(xlRTCLENDU=1)*(xlRTCLEQCL=$D322),0))</f>
        <v>GEO_HP</v>
      </c>
      <c r="W322" s="7" t="str">
        <f t="array" ref="W322">INDEX(xlRTCLNAME,MATCH(1,(xlRTCLENDU=2)*(xlRTCLEQCL=$F322),0))</f>
        <v>GEO_HP</v>
      </c>
      <c r="X322" s="7" t="str">
        <f t="array" ref="X322">INDEX(xlRTTYNAME,MATCH(1,(xlRTTYENDU=1)*(xlRTTYEQCL=$D322)*(xlRTEQTYPE=$E322),0))</f>
        <v>GEO_HP3</v>
      </c>
      <c r="Y322" s="7" t="str">
        <f t="array" ref="Y322">INDEX(xlRTTYNAME,MATCH(1,(xlRTTYENDU=2)*(xlRTTYEQCL=$F322)*(xlRTEQTYPE=$G322),0))</f>
        <v>GEO_HP3</v>
      </c>
    </row>
    <row r="323" spans="2:25" x14ac:dyDescent="0.2">
      <c r="B323" s="5">
        <v>2</v>
      </c>
      <c r="C323" s="5">
        <v>1</v>
      </c>
      <c r="D323" s="5">
        <v>10</v>
      </c>
      <c r="E323" s="31">
        <v>33</v>
      </c>
      <c r="F323" s="5">
        <v>4</v>
      </c>
      <c r="G323" s="31">
        <v>14</v>
      </c>
      <c r="H323" s="31">
        <v>2020</v>
      </c>
      <c r="I323" s="5">
        <v>2050</v>
      </c>
      <c r="J323" s="142">
        <v>1.0371999999999999</v>
      </c>
      <c r="K323" s="142">
        <v>1.0698000000000001</v>
      </c>
      <c r="L323" s="142">
        <v>0.58069999999999999</v>
      </c>
      <c r="M323" s="142">
        <v>0.83250000000000002</v>
      </c>
      <c r="N323" s="142">
        <v>0.95350000000000001</v>
      </c>
      <c r="O323" s="142">
        <v>1.0538000000000001</v>
      </c>
      <c r="P323" s="26">
        <v>14238.61775268282</v>
      </c>
      <c r="Q323" s="35">
        <f t="array" ref="Q323">SUM(IF(($S323&gt;=4)*($C323='TaxCred&amp;Subs'!$D$114:$D$121)*($H323='TaxCred&amp;Subs'!$C$114:$C$121)*($H323&lt;='TaxCred&amp;Subs'!$C$123),'TaxCred&amp;Subs'!$E$114:$E$121,0))</f>
        <v>0</v>
      </c>
      <c r="R323" s="143">
        <v>0</v>
      </c>
      <c r="S323" s="5">
        <v>3</v>
      </c>
      <c r="T323" s="5" t="s">
        <v>239</v>
      </c>
      <c r="V323" s="7" t="str">
        <f t="array" ref="V323">INDEX(xlRTCLNAME,MATCH(1,(xlRTCLENDU=1)*(xlRTCLEQCL=$D323),0))</f>
        <v>GEO_HP</v>
      </c>
      <c r="W323" s="7" t="str">
        <f t="array" ref="W323">INDEX(xlRTCLNAME,MATCH(1,(xlRTCLENDU=2)*(xlRTCLEQCL=$F323),0))</f>
        <v>GEO_HP</v>
      </c>
      <c r="X323" s="7" t="str">
        <f t="array" ref="X323">INDEX(xlRTTYNAME,MATCH(1,(xlRTTYENDU=1)*(xlRTTYEQCL=$D323)*(xlRTEQTYPE=$E323),0))</f>
        <v>GEO_HP3</v>
      </c>
      <c r="Y323" s="7" t="str">
        <f t="array" ref="Y323">INDEX(xlRTTYNAME,MATCH(1,(xlRTTYENDU=2)*(xlRTTYEQCL=$F323)*(xlRTEQTYPE=$G323),0))</f>
        <v>GEO_HP3</v>
      </c>
    </row>
    <row r="324" spans="2:25" x14ac:dyDescent="0.2">
      <c r="B324" s="5">
        <v>3</v>
      </c>
      <c r="C324" s="5">
        <v>1</v>
      </c>
      <c r="D324" s="5">
        <v>10</v>
      </c>
      <c r="E324" s="31">
        <v>33</v>
      </c>
      <c r="F324" s="5">
        <v>4</v>
      </c>
      <c r="G324" s="31">
        <v>14</v>
      </c>
      <c r="H324" s="31">
        <v>2020</v>
      </c>
      <c r="I324" s="5">
        <v>2050</v>
      </c>
      <c r="J324" s="142">
        <v>1.0431999999999999</v>
      </c>
      <c r="K324" s="142">
        <v>1.0625</v>
      </c>
      <c r="L324" s="142">
        <v>0.4728</v>
      </c>
      <c r="M324" s="142">
        <v>0.89749999999999996</v>
      </c>
      <c r="N324" s="142">
        <v>0.91259999999999997</v>
      </c>
      <c r="O324" s="142">
        <v>1.0538000000000001</v>
      </c>
      <c r="P324" s="26">
        <v>13047.360403402652</v>
      </c>
      <c r="Q324" s="35">
        <f t="array" ref="Q324">SUM(IF(($S324&gt;=4)*($C324='TaxCred&amp;Subs'!$D$114:$D$121)*($H324='TaxCred&amp;Subs'!$C$114:$C$121)*($H324&lt;='TaxCred&amp;Subs'!$C$123),'TaxCred&amp;Subs'!$E$114:$E$121,0))</f>
        <v>0</v>
      </c>
      <c r="R324" s="143">
        <v>0</v>
      </c>
      <c r="S324" s="5">
        <v>3</v>
      </c>
      <c r="T324" s="5" t="s">
        <v>239</v>
      </c>
      <c r="V324" s="7" t="str">
        <f t="array" ref="V324">INDEX(xlRTCLNAME,MATCH(1,(xlRTCLENDU=1)*(xlRTCLEQCL=$D324),0))</f>
        <v>GEO_HP</v>
      </c>
      <c r="W324" s="7" t="str">
        <f t="array" ref="W324">INDEX(xlRTCLNAME,MATCH(1,(xlRTCLENDU=2)*(xlRTCLEQCL=$F324),0))</f>
        <v>GEO_HP</v>
      </c>
      <c r="X324" s="7" t="str">
        <f t="array" ref="X324">INDEX(xlRTTYNAME,MATCH(1,(xlRTTYENDU=1)*(xlRTTYEQCL=$D324)*(xlRTEQTYPE=$E324),0))</f>
        <v>GEO_HP3</v>
      </c>
      <c r="Y324" s="7" t="str">
        <f t="array" ref="Y324">INDEX(xlRTTYNAME,MATCH(1,(xlRTTYENDU=2)*(xlRTTYEQCL=$F324)*(xlRTEQTYPE=$G324),0))</f>
        <v>GEO_HP3</v>
      </c>
    </row>
    <row r="325" spans="2:25" x14ac:dyDescent="0.2">
      <c r="B325" s="5">
        <v>4</v>
      </c>
      <c r="C325" s="5">
        <v>1</v>
      </c>
      <c r="D325" s="5">
        <v>10</v>
      </c>
      <c r="E325" s="31">
        <v>33</v>
      </c>
      <c r="F325" s="5">
        <v>4</v>
      </c>
      <c r="G325" s="31">
        <v>14</v>
      </c>
      <c r="H325" s="31">
        <v>2020</v>
      </c>
      <c r="I325" s="5">
        <v>2050</v>
      </c>
      <c r="J325" s="142">
        <v>1.0781000000000001</v>
      </c>
      <c r="K325" s="142">
        <v>1.087</v>
      </c>
      <c r="L325" s="142">
        <v>0.47520000000000001</v>
      </c>
      <c r="M325" s="142">
        <v>0.84709999999999996</v>
      </c>
      <c r="N325" s="142">
        <v>0.84850000000000003</v>
      </c>
      <c r="O325" s="142">
        <v>1.0538000000000001</v>
      </c>
      <c r="P325" s="26">
        <v>10562.661101518059</v>
      </c>
      <c r="Q325" s="35">
        <f t="array" ref="Q325">SUM(IF(($S325&gt;=4)*($C325='TaxCred&amp;Subs'!$D$114:$D$121)*($H325='TaxCred&amp;Subs'!$C$114:$C$121)*($H325&lt;='TaxCred&amp;Subs'!$C$123),'TaxCred&amp;Subs'!$E$114:$E$121,0))</f>
        <v>0</v>
      </c>
      <c r="R325" s="143">
        <v>0</v>
      </c>
      <c r="S325" s="5">
        <v>3</v>
      </c>
      <c r="T325" s="5" t="s">
        <v>239</v>
      </c>
      <c r="V325" s="7" t="str">
        <f t="array" ref="V325">INDEX(xlRTCLNAME,MATCH(1,(xlRTCLENDU=1)*(xlRTCLEQCL=$D325),0))</f>
        <v>GEO_HP</v>
      </c>
      <c r="W325" s="7" t="str">
        <f t="array" ref="W325">INDEX(xlRTCLNAME,MATCH(1,(xlRTCLENDU=2)*(xlRTCLEQCL=$F325),0))</f>
        <v>GEO_HP</v>
      </c>
      <c r="X325" s="7" t="str">
        <f t="array" ref="X325">INDEX(xlRTTYNAME,MATCH(1,(xlRTTYENDU=1)*(xlRTTYEQCL=$D325)*(xlRTEQTYPE=$E325),0))</f>
        <v>GEO_HP3</v>
      </c>
      <c r="Y325" s="7" t="str">
        <f t="array" ref="Y325">INDEX(xlRTTYNAME,MATCH(1,(xlRTTYENDU=2)*(xlRTTYEQCL=$F325)*(xlRTEQTYPE=$G325),0))</f>
        <v>GEO_HP3</v>
      </c>
    </row>
    <row r="326" spans="2:25" x14ac:dyDescent="0.2">
      <c r="B326" s="5">
        <v>5</v>
      </c>
      <c r="C326" s="5">
        <v>1</v>
      </c>
      <c r="D326" s="5">
        <v>10</v>
      </c>
      <c r="E326" s="31">
        <v>33</v>
      </c>
      <c r="F326" s="5">
        <v>4</v>
      </c>
      <c r="G326" s="31">
        <v>14</v>
      </c>
      <c r="H326" s="31">
        <v>2020</v>
      </c>
      <c r="I326" s="5">
        <v>2050</v>
      </c>
      <c r="J326" s="142">
        <v>1.0843</v>
      </c>
      <c r="K326" s="142">
        <v>1.0722</v>
      </c>
      <c r="L326" s="142">
        <v>0.67849999999999999</v>
      </c>
      <c r="M326" s="142">
        <v>0.87050000000000005</v>
      </c>
      <c r="N326" s="142">
        <v>0.76049999999999995</v>
      </c>
      <c r="O326" s="142">
        <v>1.0538000000000001</v>
      </c>
      <c r="P326" s="26">
        <v>9887.7049058762477</v>
      </c>
      <c r="Q326" s="35">
        <f t="array" ref="Q326">SUM(IF(($S326&gt;=4)*($C326='TaxCred&amp;Subs'!$D$114:$D$121)*($H326='TaxCred&amp;Subs'!$C$114:$C$121)*($H326&lt;='TaxCred&amp;Subs'!$C$123),'TaxCred&amp;Subs'!$E$114:$E$121,0))</f>
        <v>0</v>
      </c>
      <c r="R326" s="143">
        <v>0</v>
      </c>
      <c r="S326" s="5">
        <v>3</v>
      </c>
      <c r="T326" s="5" t="s">
        <v>239</v>
      </c>
      <c r="V326" s="7" t="str">
        <f t="array" ref="V326">INDEX(xlRTCLNAME,MATCH(1,(xlRTCLENDU=1)*(xlRTCLEQCL=$D326),0))</f>
        <v>GEO_HP</v>
      </c>
      <c r="W326" s="7" t="str">
        <f t="array" ref="W326">INDEX(xlRTCLNAME,MATCH(1,(xlRTCLENDU=2)*(xlRTCLEQCL=$F326),0))</f>
        <v>GEO_HP</v>
      </c>
      <c r="X326" s="7" t="str">
        <f t="array" ref="X326">INDEX(xlRTTYNAME,MATCH(1,(xlRTTYENDU=1)*(xlRTTYEQCL=$D326)*(xlRTEQTYPE=$E326),0))</f>
        <v>GEO_HP3</v>
      </c>
      <c r="Y326" s="7" t="str">
        <f t="array" ref="Y326">INDEX(xlRTTYNAME,MATCH(1,(xlRTTYENDU=2)*(xlRTTYEQCL=$F326)*(xlRTEQTYPE=$G326),0))</f>
        <v>GEO_HP3</v>
      </c>
    </row>
    <row r="327" spans="2:25" x14ac:dyDescent="0.2">
      <c r="B327" s="5">
        <v>6</v>
      </c>
      <c r="C327" s="5">
        <v>1</v>
      </c>
      <c r="D327" s="5">
        <v>10</v>
      </c>
      <c r="E327" s="31">
        <v>33</v>
      </c>
      <c r="F327" s="5">
        <v>4</v>
      </c>
      <c r="G327" s="31">
        <v>14</v>
      </c>
      <c r="H327" s="31">
        <v>2020</v>
      </c>
      <c r="I327" s="5">
        <v>2050</v>
      </c>
      <c r="J327" s="142">
        <v>1.0982000000000001</v>
      </c>
      <c r="K327" s="142">
        <v>1.0805</v>
      </c>
      <c r="L327" s="142">
        <v>0.5081</v>
      </c>
      <c r="M327" s="142">
        <v>0.76859999999999995</v>
      </c>
      <c r="N327" s="142">
        <v>0.88680000000000003</v>
      </c>
      <c r="O327" s="142">
        <v>1.0538000000000001</v>
      </c>
      <c r="P327" s="26">
        <v>8501.4900897274292</v>
      </c>
      <c r="Q327" s="35">
        <f t="array" ref="Q327">SUM(IF(($S327&gt;=4)*($C327='TaxCred&amp;Subs'!$D$114:$D$121)*($H327='TaxCred&amp;Subs'!$C$114:$C$121)*($H327&lt;='TaxCred&amp;Subs'!$C$123),'TaxCred&amp;Subs'!$E$114:$E$121,0))</f>
        <v>0</v>
      </c>
      <c r="R327" s="143">
        <v>0</v>
      </c>
      <c r="S327" s="5">
        <v>3</v>
      </c>
      <c r="T327" s="5" t="s">
        <v>239</v>
      </c>
      <c r="V327" s="7" t="str">
        <f t="array" ref="V327">INDEX(xlRTCLNAME,MATCH(1,(xlRTCLENDU=1)*(xlRTCLEQCL=$D327),0))</f>
        <v>GEO_HP</v>
      </c>
      <c r="W327" s="7" t="str">
        <f t="array" ref="W327">INDEX(xlRTCLNAME,MATCH(1,(xlRTCLENDU=2)*(xlRTCLEQCL=$F327),0))</f>
        <v>GEO_HP</v>
      </c>
      <c r="X327" s="7" t="str">
        <f t="array" ref="X327">INDEX(xlRTTYNAME,MATCH(1,(xlRTTYENDU=1)*(xlRTTYEQCL=$D327)*(xlRTEQTYPE=$E327),0))</f>
        <v>GEO_HP3</v>
      </c>
      <c r="Y327" s="7" t="str">
        <f t="array" ref="Y327">INDEX(xlRTTYNAME,MATCH(1,(xlRTTYENDU=2)*(xlRTTYEQCL=$F327)*(xlRTEQTYPE=$G327),0))</f>
        <v>GEO_HP3</v>
      </c>
    </row>
    <row r="328" spans="2:25" x14ac:dyDescent="0.2">
      <c r="B328" s="5">
        <v>7</v>
      </c>
      <c r="C328" s="5">
        <v>1</v>
      </c>
      <c r="D328" s="5">
        <v>10</v>
      </c>
      <c r="E328" s="31">
        <v>33</v>
      </c>
      <c r="F328" s="5">
        <v>4</v>
      </c>
      <c r="G328" s="31">
        <v>14</v>
      </c>
      <c r="H328" s="31">
        <v>2020</v>
      </c>
      <c r="I328" s="5">
        <v>2050</v>
      </c>
      <c r="J328" s="142">
        <v>1.1200000000000001</v>
      </c>
      <c r="K328" s="142">
        <v>1.0769</v>
      </c>
      <c r="L328" s="142">
        <v>0.86129999999999995</v>
      </c>
      <c r="M328" s="142">
        <v>0.82499999999999996</v>
      </c>
      <c r="N328" s="142">
        <v>0.8871</v>
      </c>
      <c r="O328" s="142">
        <v>1.0538000000000001</v>
      </c>
      <c r="P328" s="26">
        <v>8506.8682267444947</v>
      </c>
      <c r="Q328" s="35">
        <f t="array" ref="Q328">SUM(IF(($S328&gt;=4)*($C328='TaxCred&amp;Subs'!$D$114:$D$121)*($H328='TaxCred&amp;Subs'!$C$114:$C$121)*($H328&lt;='TaxCred&amp;Subs'!$C$123),'TaxCred&amp;Subs'!$E$114:$E$121,0))</f>
        <v>0</v>
      </c>
      <c r="R328" s="143">
        <v>0</v>
      </c>
      <c r="S328" s="5">
        <v>3</v>
      </c>
      <c r="T328" s="5" t="s">
        <v>239</v>
      </c>
      <c r="V328" s="7" t="str">
        <f t="array" ref="V328">INDEX(xlRTCLNAME,MATCH(1,(xlRTCLENDU=1)*(xlRTCLEQCL=$D328),0))</f>
        <v>GEO_HP</v>
      </c>
      <c r="W328" s="7" t="str">
        <f t="array" ref="W328">INDEX(xlRTCLNAME,MATCH(1,(xlRTCLENDU=2)*(xlRTCLEQCL=$F328),0))</f>
        <v>GEO_HP</v>
      </c>
      <c r="X328" s="7" t="str">
        <f t="array" ref="X328">INDEX(xlRTTYNAME,MATCH(1,(xlRTTYENDU=1)*(xlRTTYEQCL=$D328)*(xlRTEQTYPE=$E328),0))</f>
        <v>GEO_HP3</v>
      </c>
      <c r="Y328" s="7" t="str">
        <f t="array" ref="Y328">INDEX(xlRTTYNAME,MATCH(1,(xlRTTYENDU=2)*(xlRTTYEQCL=$F328)*(xlRTEQTYPE=$G328),0))</f>
        <v>GEO_HP3</v>
      </c>
    </row>
    <row r="329" spans="2:25" x14ac:dyDescent="0.2">
      <c r="B329" s="5">
        <v>8</v>
      </c>
      <c r="C329" s="5">
        <v>1</v>
      </c>
      <c r="D329" s="5">
        <v>10</v>
      </c>
      <c r="E329" s="31">
        <v>33</v>
      </c>
      <c r="F329" s="5">
        <v>4</v>
      </c>
      <c r="G329" s="31">
        <v>14</v>
      </c>
      <c r="H329" s="31">
        <v>2020</v>
      </c>
      <c r="I329" s="5">
        <v>2050</v>
      </c>
      <c r="J329" s="142">
        <v>1.0417000000000001</v>
      </c>
      <c r="K329" s="142">
        <v>1.0667</v>
      </c>
      <c r="L329" s="142">
        <v>0.49790000000000001</v>
      </c>
      <c r="M329" s="142">
        <v>0.87719999999999998</v>
      </c>
      <c r="N329" s="142">
        <v>0.88300000000000001</v>
      </c>
      <c r="O329" s="142">
        <v>1.0538000000000001</v>
      </c>
      <c r="P329" s="26">
        <v>13922.65220293018</v>
      </c>
      <c r="Q329" s="35">
        <f t="array" ref="Q329">SUM(IF(($S329&gt;=4)*($C329='TaxCred&amp;Subs'!$D$114:$D$121)*($H329='TaxCred&amp;Subs'!$C$114:$C$121)*($H329&lt;='TaxCred&amp;Subs'!$C$123),'TaxCred&amp;Subs'!$E$114:$E$121,0))</f>
        <v>0</v>
      </c>
      <c r="R329" s="143">
        <v>0</v>
      </c>
      <c r="S329" s="5">
        <v>3</v>
      </c>
      <c r="T329" s="5" t="s">
        <v>239</v>
      </c>
      <c r="V329" s="7" t="str">
        <f t="array" ref="V329">INDEX(xlRTCLNAME,MATCH(1,(xlRTCLENDU=1)*(xlRTCLEQCL=$D329),0))</f>
        <v>GEO_HP</v>
      </c>
      <c r="W329" s="7" t="str">
        <f t="array" ref="W329">INDEX(xlRTCLNAME,MATCH(1,(xlRTCLENDU=2)*(xlRTCLEQCL=$F329),0))</f>
        <v>GEO_HP</v>
      </c>
      <c r="X329" s="7" t="str">
        <f t="array" ref="X329">INDEX(xlRTTYNAME,MATCH(1,(xlRTTYENDU=1)*(xlRTTYEQCL=$D329)*(xlRTEQTYPE=$E329),0))</f>
        <v>GEO_HP3</v>
      </c>
      <c r="Y329" s="7" t="str">
        <f t="array" ref="Y329">INDEX(xlRTTYNAME,MATCH(1,(xlRTTYENDU=2)*(xlRTTYEQCL=$F329)*(xlRTEQTYPE=$G329),0))</f>
        <v>GEO_HP3</v>
      </c>
    </row>
    <row r="330" spans="2:25" x14ac:dyDescent="0.2">
      <c r="B330" s="5">
        <v>9</v>
      </c>
      <c r="C330" s="5">
        <v>1</v>
      </c>
      <c r="D330" s="5">
        <v>10</v>
      </c>
      <c r="E330" s="31">
        <v>33</v>
      </c>
      <c r="F330" s="5">
        <v>4</v>
      </c>
      <c r="G330" s="31">
        <v>14</v>
      </c>
      <c r="H330" s="31">
        <v>2020</v>
      </c>
      <c r="I330" s="5">
        <v>2050</v>
      </c>
      <c r="J330" s="142">
        <v>1.0611999999999999</v>
      </c>
      <c r="K330" s="142">
        <v>1.0428999999999999</v>
      </c>
      <c r="L330" s="142">
        <v>0.84819999999999995</v>
      </c>
      <c r="M330" s="142">
        <v>0.90049999999999997</v>
      </c>
      <c r="N330" s="142">
        <v>1.0349999999999999</v>
      </c>
      <c r="O330" s="142">
        <v>1.0538000000000001</v>
      </c>
      <c r="P330" s="26">
        <v>12555.260866341094</v>
      </c>
      <c r="Q330" s="35">
        <f t="array" ref="Q330">SUM(IF(($S330&gt;=4)*($C330='TaxCred&amp;Subs'!$D$114:$D$121)*($H330='TaxCred&amp;Subs'!$C$114:$C$121)*($H330&lt;='TaxCred&amp;Subs'!$C$123),'TaxCred&amp;Subs'!$E$114:$E$121,0))</f>
        <v>0</v>
      </c>
      <c r="R330" s="143">
        <v>0</v>
      </c>
      <c r="S330" s="5">
        <v>3</v>
      </c>
      <c r="T330" s="5" t="s">
        <v>239</v>
      </c>
      <c r="V330" s="7" t="str">
        <f t="array" ref="V330">INDEX(xlRTCLNAME,MATCH(1,(xlRTCLENDU=1)*(xlRTCLEQCL=$D330),0))</f>
        <v>GEO_HP</v>
      </c>
      <c r="W330" s="7" t="str">
        <f t="array" ref="W330">INDEX(xlRTCLNAME,MATCH(1,(xlRTCLENDU=2)*(xlRTCLEQCL=$F330),0))</f>
        <v>GEO_HP</v>
      </c>
      <c r="X330" s="7" t="str">
        <f t="array" ref="X330">INDEX(xlRTTYNAME,MATCH(1,(xlRTTYENDU=1)*(xlRTTYEQCL=$D330)*(xlRTEQTYPE=$E330),0))</f>
        <v>GEO_HP3</v>
      </c>
      <c r="Y330" s="7" t="str">
        <f t="array" ref="Y330">INDEX(xlRTTYNAME,MATCH(1,(xlRTTYENDU=2)*(xlRTTYEQCL=$F330)*(xlRTEQTYPE=$G330),0))</f>
        <v>GEO_HP3</v>
      </c>
    </row>
    <row r="331" spans="2:25" x14ac:dyDescent="0.2">
      <c r="B331" s="5">
        <v>1</v>
      </c>
      <c r="C331" s="5">
        <v>1</v>
      </c>
      <c r="D331" s="5">
        <v>11</v>
      </c>
      <c r="E331" s="31">
        <v>35</v>
      </c>
      <c r="F331" s="5">
        <v>5</v>
      </c>
      <c r="G331" s="31">
        <v>16</v>
      </c>
      <c r="H331" s="31">
        <v>2020</v>
      </c>
      <c r="I331" s="5">
        <v>2050</v>
      </c>
      <c r="J331" s="142">
        <v>1.0803</v>
      </c>
      <c r="K331" s="142">
        <v>1.0667</v>
      </c>
      <c r="L331" s="142">
        <v>0.57279999999999998</v>
      </c>
      <c r="M331" s="142">
        <v>0.95909999999999995</v>
      </c>
      <c r="N331" s="142">
        <v>0.79790000000000005</v>
      </c>
      <c r="O331" s="142">
        <v>1.0538000000000001</v>
      </c>
      <c r="P331" s="26">
        <v>14588.196658792125</v>
      </c>
      <c r="Q331" s="35">
        <f t="array" ref="Q331">SUM(IF(($S331&gt;=4)*($C331='TaxCred&amp;Subs'!$D$114:$D$121)*($H331='TaxCred&amp;Subs'!$C$114:$C$121)*($H331&lt;='TaxCred&amp;Subs'!$C$123),'TaxCred&amp;Subs'!$E$114:$E$121,0))</f>
        <v>0</v>
      </c>
      <c r="R331" s="143">
        <v>0</v>
      </c>
      <c r="S331" s="5">
        <v>3</v>
      </c>
      <c r="T331" s="5" t="s">
        <v>239</v>
      </c>
      <c r="V331" s="7" t="str">
        <f t="array" ref="V331">INDEX(xlRTCLNAME,MATCH(1,(xlRTCLENDU=1)*(xlRTCLEQCL=$D331),0))</f>
        <v>NG_HP</v>
      </c>
      <c r="W331" s="7" t="str">
        <f t="array" ref="W331">INDEX(xlRTCLNAME,MATCH(1,(xlRTCLENDU=2)*(xlRTCLEQCL=$F331),0))</f>
        <v>NG_HP</v>
      </c>
      <c r="X331" s="7" t="str">
        <f t="array" ref="X331">INDEX(xlRTTYNAME,MATCH(1,(xlRTTYENDU=1)*(xlRTTYEQCL=$D331)*(xlRTEQTYPE=$E331),0))</f>
        <v>NG_HP2</v>
      </c>
      <c r="Y331" s="7" t="str">
        <f t="array" ref="Y331">INDEX(xlRTTYNAME,MATCH(1,(xlRTTYENDU=2)*(xlRTTYEQCL=$F331)*(xlRTEQTYPE=$G331),0))</f>
        <v>NG_HP2</v>
      </c>
    </row>
    <row r="332" spans="2:25" x14ac:dyDescent="0.2">
      <c r="B332" s="5">
        <v>2</v>
      </c>
      <c r="C332" s="5">
        <v>1</v>
      </c>
      <c r="D332" s="5">
        <v>11</v>
      </c>
      <c r="E332" s="31">
        <v>35</v>
      </c>
      <c r="F332" s="5">
        <v>5</v>
      </c>
      <c r="G332" s="31">
        <v>16</v>
      </c>
      <c r="H332" s="31">
        <v>2020</v>
      </c>
      <c r="I332" s="5">
        <v>2050</v>
      </c>
      <c r="J332" s="142">
        <v>1.0649</v>
      </c>
      <c r="K332" s="142">
        <v>1.0597000000000001</v>
      </c>
      <c r="L332" s="142">
        <v>0.6411</v>
      </c>
      <c r="M332" s="142">
        <v>0.84060000000000001</v>
      </c>
      <c r="N332" s="142">
        <v>0.93169999999999997</v>
      </c>
      <c r="O332" s="142">
        <v>1.0538000000000001</v>
      </c>
      <c r="P332" s="26">
        <v>14476.600315688</v>
      </c>
      <c r="Q332" s="35">
        <f t="array" ref="Q332">SUM(IF(($S332&gt;=4)*($C332='TaxCred&amp;Subs'!$D$114:$D$121)*($H332='TaxCred&amp;Subs'!$C$114:$C$121)*($H332&lt;='TaxCred&amp;Subs'!$C$123),'TaxCred&amp;Subs'!$E$114:$E$121,0))</f>
        <v>0</v>
      </c>
      <c r="R332" s="143">
        <v>0</v>
      </c>
      <c r="S332" s="5">
        <v>3</v>
      </c>
      <c r="T332" s="5" t="s">
        <v>239</v>
      </c>
      <c r="V332" s="7" t="str">
        <f t="array" ref="V332">INDEX(xlRTCLNAME,MATCH(1,(xlRTCLENDU=1)*(xlRTCLEQCL=$D332),0))</f>
        <v>NG_HP</v>
      </c>
      <c r="W332" s="7" t="str">
        <f t="array" ref="W332">INDEX(xlRTCLNAME,MATCH(1,(xlRTCLENDU=2)*(xlRTCLEQCL=$F332),0))</f>
        <v>NG_HP</v>
      </c>
      <c r="X332" s="7" t="str">
        <f t="array" ref="X332">INDEX(xlRTTYNAME,MATCH(1,(xlRTTYENDU=1)*(xlRTTYEQCL=$D332)*(xlRTEQTYPE=$E332),0))</f>
        <v>NG_HP2</v>
      </c>
      <c r="Y332" s="7" t="str">
        <f t="array" ref="Y332">INDEX(xlRTTYNAME,MATCH(1,(xlRTTYENDU=2)*(xlRTTYEQCL=$F332)*(xlRTEQTYPE=$G332),0))</f>
        <v>NG_HP2</v>
      </c>
    </row>
    <row r="333" spans="2:25" x14ac:dyDescent="0.2">
      <c r="B333" s="5">
        <v>3</v>
      </c>
      <c r="C333" s="5">
        <v>1</v>
      </c>
      <c r="D333" s="5">
        <v>11</v>
      </c>
      <c r="E333" s="31">
        <v>35</v>
      </c>
      <c r="F333" s="5">
        <v>5</v>
      </c>
      <c r="G333" s="31">
        <v>16</v>
      </c>
      <c r="H333" s="31">
        <v>2020</v>
      </c>
      <c r="I333" s="5">
        <v>2050</v>
      </c>
      <c r="J333" s="142">
        <v>1.0469999999999999</v>
      </c>
      <c r="K333" s="142">
        <v>1.0769</v>
      </c>
      <c r="L333" s="142">
        <v>0.52969999999999995</v>
      </c>
      <c r="M333" s="142">
        <v>0.9194</v>
      </c>
      <c r="N333" s="142">
        <v>0.91600000000000004</v>
      </c>
      <c r="O333" s="142">
        <v>1.0538000000000001</v>
      </c>
      <c r="P333" s="26">
        <v>13002.990773011856</v>
      </c>
      <c r="Q333" s="35">
        <f t="array" ref="Q333">SUM(IF(($S333&gt;=4)*($C333='TaxCred&amp;Subs'!$D$114:$D$121)*($H333='TaxCred&amp;Subs'!$C$114:$C$121)*($H333&lt;='TaxCred&amp;Subs'!$C$123),'TaxCred&amp;Subs'!$E$114:$E$121,0))</f>
        <v>0</v>
      </c>
      <c r="R333" s="143">
        <v>0</v>
      </c>
      <c r="S333" s="5">
        <v>3</v>
      </c>
      <c r="T333" s="5" t="s">
        <v>239</v>
      </c>
      <c r="V333" s="7" t="str">
        <f t="array" ref="V333">INDEX(xlRTCLNAME,MATCH(1,(xlRTCLENDU=1)*(xlRTCLEQCL=$D333),0))</f>
        <v>NG_HP</v>
      </c>
      <c r="W333" s="7" t="str">
        <f t="array" ref="W333">INDEX(xlRTCLNAME,MATCH(1,(xlRTCLENDU=2)*(xlRTCLEQCL=$F333),0))</f>
        <v>NG_HP</v>
      </c>
      <c r="X333" s="7" t="str">
        <f t="array" ref="X333">INDEX(xlRTTYNAME,MATCH(1,(xlRTTYENDU=1)*(xlRTTYEQCL=$D333)*(xlRTEQTYPE=$E333),0))</f>
        <v>NG_HP2</v>
      </c>
      <c r="Y333" s="7" t="str">
        <f t="array" ref="Y333">INDEX(xlRTTYNAME,MATCH(1,(xlRTTYENDU=2)*(xlRTTYEQCL=$F333)*(xlRTEQTYPE=$G333),0))</f>
        <v>NG_HP2</v>
      </c>
    </row>
    <row r="334" spans="2:25" x14ac:dyDescent="0.2">
      <c r="B334" s="5">
        <v>4</v>
      </c>
      <c r="C334" s="5">
        <v>1</v>
      </c>
      <c r="D334" s="5">
        <v>11</v>
      </c>
      <c r="E334" s="31">
        <v>35</v>
      </c>
      <c r="F334" s="5">
        <v>5</v>
      </c>
      <c r="G334" s="31">
        <v>16</v>
      </c>
      <c r="H334" s="31">
        <v>2020</v>
      </c>
      <c r="I334" s="5">
        <v>2050</v>
      </c>
      <c r="J334" s="142">
        <v>1.0862000000000001</v>
      </c>
      <c r="K334" s="142">
        <v>1.0769</v>
      </c>
      <c r="L334" s="142">
        <v>0.53590000000000004</v>
      </c>
      <c r="M334" s="142">
        <v>0.85419999999999996</v>
      </c>
      <c r="N334" s="142">
        <v>0.85770000000000002</v>
      </c>
      <c r="O334" s="142">
        <v>1.0538000000000001</v>
      </c>
      <c r="P334" s="26">
        <v>10395.938853989004</v>
      </c>
      <c r="Q334" s="35">
        <f t="array" ref="Q334">SUM(IF(($S334&gt;=4)*($C334='TaxCred&amp;Subs'!$D$114:$D$121)*($H334='TaxCred&amp;Subs'!$C$114:$C$121)*($H334&lt;='TaxCred&amp;Subs'!$C$123),'TaxCred&amp;Subs'!$E$114:$E$121,0))</f>
        <v>0</v>
      </c>
      <c r="R334" s="143">
        <v>0</v>
      </c>
      <c r="S334" s="5">
        <v>3</v>
      </c>
      <c r="T334" s="5" t="s">
        <v>239</v>
      </c>
      <c r="V334" s="7" t="str">
        <f t="array" ref="V334">INDEX(xlRTCLNAME,MATCH(1,(xlRTCLENDU=1)*(xlRTCLEQCL=$D334),0))</f>
        <v>NG_HP</v>
      </c>
      <c r="W334" s="7" t="str">
        <f t="array" ref="W334">INDEX(xlRTCLNAME,MATCH(1,(xlRTCLENDU=2)*(xlRTCLEQCL=$F334),0))</f>
        <v>NG_HP</v>
      </c>
      <c r="X334" s="7" t="str">
        <f t="array" ref="X334">INDEX(xlRTTYNAME,MATCH(1,(xlRTTYENDU=1)*(xlRTTYEQCL=$D334)*(xlRTEQTYPE=$E334),0))</f>
        <v>NG_HP2</v>
      </c>
      <c r="Y334" s="7" t="str">
        <f t="array" ref="Y334">INDEX(xlRTTYNAME,MATCH(1,(xlRTTYENDU=2)*(xlRTTYEQCL=$F334)*(xlRTEQTYPE=$G334),0))</f>
        <v>NG_HP2</v>
      </c>
    </row>
    <row r="335" spans="2:25" x14ac:dyDescent="0.2">
      <c r="B335" s="5">
        <v>5</v>
      </c>
      <c r="C335" s="5">
        <v>1</v>
      </c>
      <c r="D335" s="5">
        <v>11</v>
      </c>
      <c r="E335" s="31">
        <v>35</v>
      </c>
      <c r="F335" s="5">
        <v>5</v>
      </c>
      <c r="G335" s="31">
        <v>16</v>
      </c>
      <c r="H335" s="31">
        <v>2020</v>
      </c>
      <c r="I335" s="5">
        <v>2050</v>
      </c>
      <c r="J335" s="142">
        <v>1.0849</v>
      </c>
      <c r="K335" s="142">
        <v>1.0471999999999999</v>
      </c>
      <c r="L335" s="142">
        <v>0.6915</v>
      </c>
      <c r="M335" s="142">
        <v>0.88759999999999994</v>
      </c>
      <c r="N335" s="142">
        <v>0.76180000000000003</v>
      </c>
      <c r="O335" s="142">
        <v>1.0538000000000001</v>
      </c>
      <c r="P335" s="26">
        <v>9562.3276163437404</v>
      </c>
      <c r="Q335" s="35">
        <f t="array" ref="Q335">SUM(IF(($S335&gt;=4)*($C335='TaxCred&amp;Subs'!$D$114:$D$121)*($H335='TaxCred&amp;Subs'!$C$114:$C$121)*($H335&lt;='TaxCred&amp;Subs'!$C$123),'TaxCred&amp;Subs'!$E$114:$E$121,0))</f>
        <v>0</v>
      </c>
      <c r="R335" s="143">
        <v>0</v>
      </c>
      <c r="S335" s="5">
        <v>3</v>
      </c>
      <c r="T335" s="5" t="s">
        <v>239</v>
      </c>
      <c r="V335" s="7" t="str">
        <f t="array" ref="V335">INDEX(xlRTCLNAME,MATCH(1,(xlRTCLENDU=1)*(xlRTCLEQCL=$D335),0))</f>
        <v>NG_HP</v>
      </c>
      <c r="W335" s="7" t="str">
        <f t="array" ref="W335">INDEX(xlRTCLNAME,MATCH(1,(xlRTCLENDU=2)*(xlRTCLEQCL=$F335),0))</f>
        <v>NG_HP</v>
      </c>
      <c r="X335" s="7" t="str">
        <f t="array" ref="X335">INDEX(xlRTTYNAME,MATCH(1,(xlRTTYENDU=1)*(xlRTTYEQCL=$D335)*(xlRTEQTYPE=$E335),0))</f>
        <v>NG_HP2</v>
      </c>
      <c r="Y335" s="7" t="str">
        <f t="array" ref="Y335">INDEX(xlRTTYNAME,MATCH(1,(xlRTTYENDU=2)*(xlRTTYEQCL=$F335)*(xlRTEQTYPE=$G335),0))</f>
        <v>NG_HP2</v>
      </c>
    </row>
    <row r="336" spans="2:25" x14ac:dyDescent="0.2">
      <c r="B336" s="5">
        <v>6</v>
      </c>
      <c r="C336" s="5">
        <v>1</v>
      </c>
      <c r="D336" s="5">
        <v>11</v>
      </c>
      <c r="E336" s="31">
        <v>35</v>
      </c>
      <c r="F336" s="5">
        <v>5</v>
      </c>
      <c r="G336" s="31">
        <v>16</v>
      </c>
      <c r="H336" s="31">
        <v>2020</v>
      </c>
      <c r="I336" s="5">
        <v>2050</v>
      </c>
      <c r="J336" s="142">
        <v>1.0924</v>
      </c>
      <c r="K336" s="142">
        <v>1.0661</v>
      </c>
      <c r="L336" s="142">
        <v>0.75209999999999999</v>
      </c>
      <c r="M336" s="142">
        <v>0.89880000000000004</v>
      </c>
      <c r="N336" s="142">
        <v>0.89100000000000001</v>
      </c>
      <c r="O336" s="142">
        <v>1.0538000000000001</v>
      </c>
      <c r="P336" s="26">
        <v>10342.157483818342</v>
      </c>
      <c r="Q336" s="35">
        <f t="array" ref="Q336">SUM(IF(($S336&gt;=4)*($C336='TaxCred&amp;Subs'!$D$114:$D$121)*($H336='TaxCred&amp;Subs'!$C$114:$C$121)*($H336&lt;='TaxCred&amp;Subs'!$C$123),'TaxCred&amp;Subs'!$E$114:$E$121,0))</f>
        <v>0</v>
      </c>
      <c r="R336" s="143">
        <v>0</v>
      </c>
      <c r="S336" s="5">
        <v>3</v>
      </c>
      <c r="T336" s="5" t="s">
        <v>239</v>
      </c>
      <c r="V336" s="7" t="str">
        <f t="array" ref="V336">INDEX(xlRTCLNAME,MATCH(1,(xlRTCLENDU=1)*(xlRTCLEQCL=$D336),0))</f>
        <v>NG_HP</v>
      </c>
      <c r="W336" s="7" t="str">
        <f t="array" ref="W336">INDEX(xlRTCLNAME,MATCH(1,(xlRTCLENDU=2)*(xlRTCLEQCL=$F336),0))</f>
        <v>NG_HP</v>
      </c>
      <c r="X336" s="7" t="str">
        <f t="array" ref="X336">INDEX(xlRTTYNAME,MATCH(1,(xlRTTYENDU=1)*(xlRTTYEQCL=$D336)*(xlRTEQTYPE=$E336),0))</f>
        <v>NG_HP2</v>
      </c>
      <c r="Y336" s="7" t="str">
        <f t="array" ref="Y336">INDEX(xlRTTYNAME,MATCH(1,(xlRTTYENDU=2)*(xlRTTYEQCL=$F336)*(xlRTEQTYPE=$G336),0))</f>
        <v>NG_HP2</v>
      </c>
    </row>
    <row r="337" spans="2:25" x14ac:dyDescent="0.2">
      <c r="B337" s="5">
        <v>7</v>
      </c>
      <c r="C337" s="5">
        <v>1</v>
      </c>
      <c r="D337" s="5">
        <v>11</v>
      </c>
      <c r="E337" s="31">
        <v>35</v>
      </c>
      <c r="F337" s="5">
        <v>5</v>
      </c>
      <c r="G337" s="31">
        <v>16</v>
      </c>
      <c r="H337" s="31">
        <v>2020</v>
      </c>
      <c r="I337" s="5">
        <v>2050</v>
      </c>
      <c r="J337" s="142">
        <v>1.0905</v>
      </c>
      <c r="K337" s="142">
        <v>1.0562</v>
      </c>
      <c r="L337" s="142">
        <v>0.77559999999999996</v>
      </c>
      <c r="M337" s="142">
        <v>0.80289999999999995</v>
      </c>
      <c r="N337" s="142">
        <v>0.87180000000000002</v>
      </c>
      <c r="O337" s="142">
        <v>1.0538000000000001</v>
      </c>
      <c r="P337" s="26">
        <v>9279.9754229477639</v>
      </c>
      <c r="Q337" s="35">
        <f t="array" ref="Q337">SUM(IF(($S337&gt;=4)*($C337='TaxCred&amp;Subs'!$D$114:$D$121)*($H337='TaxCred&amp;Subs'!$C$114:$C$121)*($H337&lt;='TaxCred&amp;Subs'!$C$123),'TaxCred&amp;Subs'!$E$114:$E$121,0))</f>
        <v>0</v>
      </c>
      <c r="R337" s="143">
        <v>0</v>
      </c>
      <c r="S337" s="5">
        <v>3</v>
      </c>
      <c r="T337" s="5" t="s">
        <v>239</v>
      </c>
      <c r="V337" s="7" t="str">
        <f t="array" ref="V337">INDEX(xlRTCLNAME,MATCH(1,(xlRTCLENDU=1)*(xlRTCLEQCL=$D337),0))</f>
        <v>NG_HP</v>
      </c>
      <c r="W337" s="7" t="str">
        <f t="array" ref="W337">INDEX(xlRTCLNAME,MATCH(1,(xlRTCLENDU=2)*(xlRTCLEQCL=$F337),0))</f>
        <v>NG_HP</v>
      </c>
      <c r="X337" s="7" t="str">
        <f t="array" ref="X337">INDEX(xlRTTYNAME,MATCH(1,(xlRTTYENDU=1)*(xlRTTYEQCL=$D337)*(xlRTEQTYPE=$E337),0))</f>
        <v>NG_HP2</v>
      </c>
      <c r="Y337" s="7" t="str">
        <f t="array" ref="Y337">INDEX(xlRTTYNAME,MATCH(1,(xlRTTYENDU=2)*(xlRTTYEQCL=$F337)*(xlRTEQTYPE=$G337),0))</f>
        <v>NG_HP2</v>
      </c>
    </row>
    <row r="338" spans="2:25" x14ac:dyDescent="0.2">
      <c r="B338" s="5">
        <v>8</v>
      </c>
      <c r="C338" s="5">
        <v>1</v>
      </c>
      <c r="D338" s="5">
        <v>11</v>
      </c>
      <c r="E338" s="31">
        <v>35</v>
      </c>
      <c r="F338" s="5">
        <v>5</v>
      </c>
      <c r="G338" s="31">
        <v>16</v>
      </c>
      <c r="H338" s="31">
        <v>2020</v>
      </c>
      <c r="I338" s="5">
        <v>2050</v>
      </c>
      <c r="J338" s="142">
        <v>1.0801000000000001</v>
      </c>
      <c r="K338" s="142">
        <v>1.0822000000000001</v>
      </c>
      <c r="L338" s="142">
        <v>0.53920000000000001</v>
      </c>
      <c r="M338" s="142">
        <v>0.89190000000000003</v>
      </c>
      <c r="N338" s="142">
        <v>0.86950000000000005</v>
      </c>
      <c r="O338" s="142">
        <v>1.0538000000000001</v>
      </c>
      <c r="P338" s="26">
        <v>11509.213216521712</v>
      </c>
      <c r="Q338" s="35">
        <f t="array" ref="Q338">SUM(IF(($S338&gt;=4)*($C338='TaxCred&amp;Subs'!$D$114:$D$121)*($H338='TaxCred&amp;Subs'!$C$114:$C$121)*($H338&lt;='TaxCred&amp;Subs'!$C$123),'TaxCred&amp;Subs'!$E$114:$E$121,0))</f>
        <v>0</v>
      </c>
      <c r="R338" s="143">
        <v>0</v>
      </c>
      <c r="S338" s="5">
        <v>3</v>
      </c>
      <c r="T338" s="5" t="s">
        <v>239</v>
      </c>
      <c r="V338" s="7" t="str">
        <f t="array" ref="V338">INDEX(xlRTCLNAME,MATCH(1,(xlRTCLENDU=1)*(xlRTCLEQCL=$D338),0))</f>
        <v>NG_HP</v>
      </c>
      <c r="W338" s="7" t="str">
        <f t="array" ref="W338">INDEX(xlRTCLNAME,MATCH(1,(xlRTCLENDU=2)*(xlRTCLEQCL=$F338),0))</f>
        <v>NG_HP</v>
      </c>
      <c r="X338" s="7" t="str">
        <f t="array" ref="X338">INDEX(xlRTTYNAME,MATCH(1,(xlRTTYENDU=1)*(xlRTTYEQCL=$D338)*(xlRTEQTYPE=$E338),0))</f>
        <v>NG_HP2</v>
      </c>
      <c r="Y338" s="7" t="str">
        <f t="array" ref="Y338">INDEX(xlRTTYNAME,MATCH(1,(xlRTTYENDU=2)*(xlRTTYEQCL=$F338)*(xlRTEQTYPE=$G338),0))</f>
        <v>NG_HP2</v>
      </c>
    </row>
    <row r="339" spans="2:25" x14ac:dyDescent="0.2">
      <c r="B339" s="5">
        <v>9</v>
      </c>
      <c r="C339" s="5">
        <v>1</v>
      </c>
      <c r="D339" s="5">
        <v>11</v>
      </c>
      <c r="E339" s="31">
        <v>35</v>
      </c>
      <c r="F339" s="5">
        <v>5</v>
      </c>
      <c r="G339" s="31">
        <v>16</v>
      </c>
      <c r="H339" s="31">
        <v>2020</v>
      </c>
      <c r="I339" s="5">
        <v>2050</v>
      </c>
      <c r="J339" s="142">
        <v>1.0781000000000001</v>
      </c>
      <c r="K339" s="142">
        <v>1.0707</v>
      </c>
      <c r="L339" s="142">
        <v>0.89380000000000004</v>
      </c>
      <c r="M339" s="142">
        <v>0.90590000000000004</v>
      </c>
      <c r="N339" s="142">
        <v>1.0339</v>
      </c>
      <c r="O339" s="142">
        <v>1.0538000000000001</v>
      </c>
      <c r="P339" s="26">
        <v>13599.963981906205</v>
      </c>
      <c r="Q339" s="35">
        <f t="array" ref="Q339">SUM(IF(($S339&gt;=4)*($C339='TaxCred&amp;Subs'!$D$114:$D$121)*($H339='TaxCred&amp;Subs'!$C$114:$C$121)*($H339&lt;='TaxCred&amp;Subs'!$C$123),'TaxCred&amp;Subs'!$E$114:$E$121,0))</f>
        <v>0</v>
      </c>
      <c r="R339" s="143">
        <v>0</v>
      </c>
      <c r="S339" s="5">
        <v>3</v>
      </c>
      <c r="T339" s="5" t="s">
        <v>239</v>
      </c>
      <c r="V339" s="7" t="str">
        <f t="array" ref="V339">INDEX(xlRTCLNAME,MATCH(1,(xlRTCLENDU=1)*(xlRTCLEQCL=$D339),0))</f>
        <v>NG_HP</v>
      </c>
      <c r="W339" s="7" t="str">
        <f t="array" ref="W339">INDEX(xlRTCLNAME,MATCH(1,(xlRTCLENDU=2)*(xlRTCLEQCL=$F339),0))</f>
        <v>NG_HP</v>
      </c>
      <c r="X339" s="7" t="str">
        <f t="array" ref="X339">INDEX(xlRTTYNAME,MATCH(1,(xlRTTYENDU=1)*(xlRTTYEQCL=$D339)*(xlRTEQTYPE=$E339),0))</f>
        <v>NG_HP2</v>
      </c>
      <c r="Y339" s="7" t="str">
        <f t="array" ref="Y339">INDEX(xlRTTYNAME,MATCH(1,(xlRTTYENDU=2)*(xlRTTYEQCL=$F339)*(xlRTEQTYPE=$G339),0))</f>
        <v>NG_HP2</v>
      </c>
    </row>
    <row r="340" spans="2:25" x14ac:dyDescent="0.2">
      <c r="B340" s="5">
        <v>5</v>
      </c>
      <c r="C340" s="5">
        <v>1</v>
      </c>
      <c r="D340" s="5">
        <v>1</v>
      </c>
      <c r="E340" s="5">
        <v>1</v>
      </c>
      <c r="F340" s="5">
        <v>2</v>
      </c>
      <c r="G340" s="31">
        <v>6</v>
      </c>
      <c r="H340" s="31">
        <v>2020</v>
      </c>
      <c r="I340" s="5">
        <v>2022</v>
      </c>
      <c r="J340" s="142">
        <v>1.0401</v>
      </c>
      <c r="K340" s="142">
        <v>1.032</v>
      </c>
      <c r="L340" s="142">
        <v>0.36320000000000002</v>
      </c>
      <c r="M340" s="142">
        <v>0.75860000000000005</v>
      </c>
      <c r="N340" s="142">
        <v>0.76090000000000002</v>
      </c>
      <c r="O340" s="142">
        <v>1.0538000000000001</v>
      </c>
      <c r="P340" s="26">
        <v>15568.362130152442</v>
      </c>
      <c r="Q340" s="35">
        <f t="array" ref="Q340">SUM(IF(($S340&gt;=4)*($C340='TaxCred&amp;Subs'!$D$114:$D$121)*($H340='TaxCred&amp;Subs'!$C$114:$C$121)*($H340&lt;='TaxCred&amp;Subs'!$C$123),'TaxCred&amp;Subs'!$E$114:$E$121,0))</f>
        <v>2000</v>
      </c>
      <c r="R340" s="143">
        <v>0</v>
      </c>
      <c r="S340" s="5">
        <v>4</v>
      </c>
      <c r="T340" s="5" t="s">
        <v>240</v>
      </c>
      <c r="V340" s="7" t="str">
        <f t="array" ref="V340">INDEX(xlRTCLNAME,MATCH(1,(xlRTCLENDU=1)*(xlRTCLEQCL=$D340),0))</f>
        <v>ELEC_RAD</v>
      </c>
      <c r="W340" s="7" t="str">
        <f t="array" ref="W340">INDEX(xlRTCLNAME,MATCH(1,(xlRTCLENDU=2)*(xlRTCLEQCL=$F340),0))</f>
        <v>CENT_AIR</v>
      </c>
      <c r="X340" s="7" t="str">
        <f t="array" ref="X340">INDEX(xlRTTYNAME,MATCH(1,(xlRTTYENDU=1)*(xlRTTYEQCL=$D340)*(xlRTEQTYPE=$E340),0))</f>
        <v>ELEC_RAD2</v>
      </c>
      <c r="Y340" s="7" t="str">
        <f t="array" ref="Y340">INDEX(xlRTTYNAME,MATCH(1,(xlRTTYENDU=2)*(xlRTTYEQCL=$F340)*(xlRTEQTYPE=$G340),0))</f>
        <v>CENT_AIR3</v>
      </c>
    </row>
    <row r="341" spans="2:25" x14ac:dyDescent="0.2">
      <c r="B341" s="5">
        <v>5</v>
      </c>
      <c r="C341" s="5">
        <v>1</v>
      </c>
      <c r="D341" s="5">
        <v>1</v>
      </c>
      <c r="E341" s="5">
        <v>1</v>
      </c>
      <c r="F341" s="5">
        <v>2</v>
      </c>
      <c r="G341" s="31">
        <v>6</v>
      </c>
      <c r="H341" s="5">
        <v>2023</v>
      </c>
      <c r="I341" s="5">
        <v>2032</v>
      </c>
      <c r="J341" s="142">
        <v>1.0401</v>
      </c>
      <c r="K341" s="142">
        <v>1.032</v>
      </c>
      <c r="L341" s="142">
        <v>0.36320000000000002</v>
      </c>
      <c r="M341" s="142">
        <v>0.75860000000000005</v>
      </c>
      <c r="N341" s="142">
        <v>0.76090000000000002</v>
      </c>
      <c r="O341" s="142">
        <v>1.0538000000000001</v>
      </c>
      <c r="P341" s="26">
        <v>15568.362130152442</v>
      </c>
      <c r="Q341" s="35">
        <f t="array" ref="Q341">SUM(IF(($S341&gt;=4)*($C341='TaxCred&amp;Subs'!$D$114:$D$121)*($H341='TaxCred&amp;Subs'!$C$114:$C$121)*($H341&lt;='TaxCred&amp;Subs'!$C$123),'TaxCred&amp;Subs'!$E$114:$E$121,0))</f>
        <v>2500</v>
      </c>
      <c r="R341" s="143">
        <v>0</v>
      </c>
      <c r="S341" s="5">
        <v>4</v>
      </c>
      <c r="T341" s="5" t="s">
        <v>240</v>
      </c>
      <c r="V341" s="7" t="str">
        <f t="array" ref="V341">INDEX(xlRTCLNAME,MATCH(1,(xlRTCLENDU=1)*(xlRTCLEQCL=$D341),0))</f>
        <v>ELEC_RAD</v>
      </c>
      <c r="W341" s="7" t="str">
        <f t="array" ref="W341">INDEX(xlRTCLNAME,MATCH(1,(xlRTCLENDU=2)*(xlRTCLEQCL=$F341),0))</f>
        <v>CENT_AIR</v>
      </c>
      <c r="X341" s="7" t="str">
        <f t="array" ref="X341">INDEX(xlRTTYNAME,MATCH(1,(xlRTTYENDU=1)*(xlRTTYEQCL=$D341)*(xlRTEQTYPE=$E341),0))</f>
        <v>ELEC_RAD2</v>
      </c>
      <c r="Y341" s="7" t="str">
        <f t="array" ref="Y341">INDEX(xlRTTYNAME,MATCH(1,(xlRTTYENDU=2)*(xlRTTYEQCL=$F341)*(xlRTEQTYPE=$G341),0))</f>
        <v>CENT_AIR3</v>
      </c>
    </row>
    <row r="342" spans="2:25" x14ac:dyDescent="0.2">
      <c r="B342" s="5">
        <v>5</v>
      </c>
      <c r="C342" s="5">
        <v>1</v>
      </c>
      <c r="D342" s="5">
        <v>1</v>
      </c>
      <c r="E342" s="5">
        <v>1</v>
      </c>
      <c r="F342" s="5">
        <v>2</v>
      </c>
      <c r="G342" s="31">
        <v>6</v>
      </c>
      <c r="H342" s="5">
        <v>2033</v>
      </c>
      <c r="I342" s="5">
        <v>2050</v>
      </c>
      <c r="J342" s="142">
        <v>1.0401</v>
      </c>
      <c r="K342" s="142">
        <v>1.032</v>
      </c>
      <c r="L342" s="142">
        <v>0.36320000000000002</v>
      </c>
      <c r="M342" s="142">
        <v>0.75860000000000005</v>
      </c>
      <c r="N342" s="142">
        <v>0.76090000000000002</v>
      </c>
      <c r="O342" s="142">
        <v>1.0538000000000001</v>
      </c>
      <c r="P342" s="26">
        <v>15568.362130152442</v>
      </c>
      <c r="Q342" s="35">
        <f t="array" ref="Q342">SUM(IF(($S342&gt;=4)*($C342='TaxCred&amp;Subs'!$D$114:$D$121)*($H342='TaxCred&amp;Subs'!$C$114:$C$121)*($H342&lt;='TaxCred&amp;Subs'!$C$123),'TaxCred&amp;Subs'!$E$114:$E$121,0))</f>
        <v>0</v>
      </c>
      <c r="R342" s="143">
        <v>0</v>
      </c>
      <c r="S342" s="5">
        <v>4</v>
      </c>
      <c r="T342" s="5" t="s">
        <v>240</v>
      </c>
      <c r="V342" s="7" t="str">
        <f t="array" ref="V342">INDEX(xlRTCLNAME,MATCH(1,(xlRTCLENDU=1)*(xlRTCLEQCL=$D342),0))</f>
        <v>ELEC_RAD</v>
      </c>
      <c r="W342" s="7" t="str">
        <f t="array" ref="W342">INDEX(xlRTCLNAME,MATCH(1,(xlRTCLENDU=2)*(xlRTCLEQCL=$F342),0))</f>
        <v>CENT_AIR</v>
      </c>
      <c r="X342" s="7" t="str">
        <f t="array" ref="X342">INDEX(xlRTTYNAME,MATCH(1,(xlRTTYENDU=1)*(xlRTTYEQCL=$D342)*(xlRTEQTYPE=$E342),0))</f>
        <v>ELEC_RAD2</v>
      </c>
      <c r="Y342" s="7" t="str">
        <f t="array" ref="Y342">INDEX(xlRTTYNAME,MATCH(1,(xlRTTYENDU=2)*(xlRTTYEQCL=$F342)*(xlRTEQTYPE=$G342),0))</f>
        <v>CENT_AIR3</v>
      </c>
    </row>
    <row r="343" spans="2:25" x14ac:dyDescent="0.2">
      <c r="B343" s="5">
        <v>6</v>
      </c>
      <c r="C343" s="5">
        <v>1</v>
      </c>
      <c r="D343" s="5">
        <v>1</v>
      </c>
      <c r="E343" s="5">
        <v>1</v>
      </c>
      <c r="F343" s="5">
        <v>2</v>
      </c>
      <c r="G343" s="31">
        <v>6</v>
      </c>
      <c r="H343" s="31">
        <v>2020</v>
      </c>
      <c r="I343" s="5">
        <v>2022</v>
      </c>
      <c r="J343" s="142">
        <v>1.0918000000000001</v>
      </c>
      <c r="K343" s="142">
        <v>1.0613999999999999</v>
      </c>
      <c r="L343" s="142">
        <v>0.48459999999999998</v>
      </c>
      <c r="M343" s="142">
        <v>0.79949999999999999</v>
      </c>
      <c r="N343" s="142">
        <v>0.89190000000000003</v>
      </c>
      <c r="O343" s="142">
        <v>1.0538000000000001</v>
      </c>
      <c r="P343" s="26">
        <v>15382.816403063658</v>
      </c>
      <c r="Q343" s="35">
        <f t="array" ref="Q343">SUM(IF(($S343&gt;=4)*($C343='TaxCred&amp;Subs'!$D$114:$D$121)*($H343='TaxCred&amp;Subs'!$C$114:$C$121)*($H343&lt;='TaxCred&amp;Subs'!$C$123),'TaxCred&amp;Subs'!$E$114:$E$121,0))</f>
        <v>2000</v>
      </c>
      <c r="R343" s="143">
        <v>0</v>
      </c>
      <c r="S343" s="5">
        <v>4</v>
      </c>
      <c r="T343" s="5" t="s">
        <v>240</v>
      </c>
      <c r="V343" s="7" t="str">
        <f t="array" ref="V343">INDEX(xlRTCLNAME,MATCH(1,(xlRTCLENDU=1)*(xlRTCLEQCL=$D343),0))</f>
        <v>ELEC_RAD</v>
      </c>
      <c r="W343" s="7" t="str">
        <f t="array" ref="W343">INDEX(xlRTCLNAME,MATCH(1,(xlRTCLENDU=2)*(xlRTCLEQCL=$F343),0))</f>
        <v>CENT_AIR</v>
      </c>
      <c r="X343" s="7" t="str">
        <f t="array" ref="X343">INDEX(xlRTTYNAME,MATCH(1,(xlRTTYENDU=1)*(xlRTTYEQCL=$D343)*(xlRTEQTYPE=$E343),0))</f>
        <v>ELEC_RAD2</v>
      </c>
      <c r="Y343" s="7" t="str">
        <f t="array" ref="Y343">INDEX(xlRTTYNAME,MATCH(1,(xlRTTYENDU=2)*(xlRTTYEQCL=$F343)*(xlRTEQTYPE=$G343),0))</f>
        <v>CENT_AIR3</v>
      </c>
    </row>
    <row r="344" spans="2:25" x14ac:dyDescent="0.2">
      <c r="B344" s="5">
        <v>6</v>
      </c>
      <c r="C344" s="5">
        <v>1</v>
      </c>
      <c r="D344" s="5">
        <v>1</v>
      </c>
      <c r="E344" s="5">
        <v>1</v>
      </c>
      <c r="F344" s="5">
        <v>2</v>
      </c>
      <c r="G344" s="31">
        <v>6</v>
      </c>
      <c r="H344" s="5">
        <v>2023</v>
      </c>
      <c r="I344" s="5">
        <v>2032</v>
      </c>
      <c r="J344" s="142">
        <v>1.0918000000000001</v>
      </c>
      <c r="K344" s="142">
        <v>1.0613999999999999</v>
      </c>
      <c r="L344" s="142">
        <v>0.48459999999999998</v>
      </c>
      <c r="M344" s="142">
        <v>0.79949999999999999</v>
      </c>
      <c r="N344" s="142">
        <v>0.89190000000000003</v>
      </c>
      <c r="O344" s="142">
        <v>1.0538000000000001</v>
      </c>
      <c r="P344" s="26">
        <v>15382.816403063658</v>
      </c>
      <c r="Q344" s="35">
        <f t="array" ref="Q344">SUM(IF(($S344&gt;=4)*($C344='TaxCred&amp;Subs'!$D$114:$D$121)*($H344='TaxCred&amp;Subs'!$C$114:$C$121)*($H344&lt;='TaxCred&amp;Subs'!$C$123),'TaxCred&amp;Subs'!$E$114:$E$121,0))</f>
        <v>2500</v>
      </c>
      <c r="R344" s="143">
        <v>0</v>
      </c>
      <c r="S344" s="5">
        <v>4</v>
      </c>
      <c r="T344" s="5" t="s">
        <v>240</v>
      </c>
      <c r="V344" s="7" t="str">
        <f t="array" ref="V344">INDEX(xlRTCLNAME,MATCH(1,(xlRTCLENDU=1)*(xlRTCLEQCL=$D344),0))</f>
        <v>ELEC_RAD</v>
      </c>
      <c r="W344" s="7" t="str">
        <f t="array" ref="W344">INDEX(xlRTCLNAME,MATCH(1,(xlRTCLENDU=2)*(xlRTCLEQCL=$F344),0))</f>
        <v>CENT_AIR</v>
      </c>
      <c r="X344" s="7" t="str">
        <f t="array" ref="X344">INDEX(xlRTTYNAME,MATCH(1,(xlRTTYENDU=1)*(xlRTTYEQCL=$D344)*(xlRTEQTYPE=$E344),0))</f>
        <v>ELEC_RAD2</v>
      </c>
      <c r="Y344" s="7" t="str">
        <f t="array" ref="Y344">INDEX(xlRTTYNAME,MATCH(1,(xlRTTYENDU=2)*(xlRTTYEQCL=$F344)*(xlRTEQTYPE=$G344),0))</f>
        <v>CENT_AIR3</v>
      </c>
    </row>
    <row r="345" spans="2:25" x14ac:dyDescent="0.2">
      <c r="B345" s="5">
        <v>6</v>
      </c>
      <c r="C345" s="5">
        <v>1</v>
      </c>
      <c r="D345" s="5">
        <v>1</v>
      </c>
      <c r="E345" s="5">
        <v>1</v>
      </c>
      <c r="F345" s="5">
        <v>2</v>
      </c>
      <c r="G345" s="31">
        <v>6</v>
      </c>
      <c r="H345" s="5">
        <v>2033</v>
      </c>
      <c r="I345" s="5">
        <v>2050</v>
      </c>
      <c r="J345" s="142">
        <v>1.0918000000000001</v>
      </c>
      <c r="K345" s="142">
        <v>1.0613999999999999</v>
      </c>
      <c r="L345" s="142">
        <v>0.48459999999999998</v>
      </c>
      <c r="M345" s="142">
        <v>0.79949999999999999</v>
      </c>
      <c r="N345" s="142">
        <v>0.89190000000000003</v>
      </c>
      <c r="O345" s="142">
        <v>1.0538000000000001</v>
      </c>
      <c r="P345" s="26">
        <v>15382.816403063658</v>
      </c>
      <c r="Q345" s="35">
        <f t="array" ref="Q345">SUM(IF(($S345&gt;=4)*($C345='TaxCred&amp;Subs'!$D$114:$D$121)*($H345='TaxCred&amp;Subs'!$C$114:$C$121)*($H345&lt;='TaxCred&amp;Subs'!$C$123),'TaxCred&amp;Subs'!$E$114:$E$121,0))</f>
        <v>0</v>
      </c>
      <c r="R345" s="143">
        <v>0</v>
      </c>
      <c r="S345" s="5">
        <v>4</v>
      </c>
      <c r="T345" s="5" t="s">
        <v>240</v>
      </c>
      <c r="V345" s="7" t="str">
        <f t="array" ref="V345">INDEX(xlRTCLNAME,MATCH(1,(xlRTCLENDU=1)*(xlRTCLEQCL=$D345),0))</f>
        <v>ELEC_RAD</v>
      </c>
      <c r="W345" s="7" t="str">
        <f t="array" ref="W345">INDEX(xlRTCLNAME,MATCH(1,(xlRTCLENDU=2)*(xlRTCLEQCL=$F345),0))</f>
        <v>CENT_AIR</v>
      </c>
      <c r="X345" s="7" t="str">
        <f t="array" ref="X345">INDEX(xlRTTYNAME,MATCH(1,(xlRTTYENDU=1)*(xlRTTYEQCL=$D345)*(xlRTEQTYPE=$E345),0))</f>
        <v>ELEC_RAD2</v>
      </c>
      <c r="Y345" s="7" t="str">
        <f t="array" ref="Y345">INDEX(xlRTTYNAME,MATCH(1,(xlRTTYENDU=2)*(xlRTTYEQCL=$F345)*(xlRTEQTYPE=$G345),0))</f>
        <v>CENT_AIR3</v>
      </c>
    </row>
    <row r="346" spans="2:25" x14ac:dyDescent="0.2">
      <c r="B346" s="5">
        <v>7</v>
      </c>
      <c r="C346" s="5">
        <v>1</v>
      </c>
      <c r="D346" s="5">
        <v>1</v>
      </c>
      <c r="E346" s="5">
        <v>1</v>
      </c>
      <c r="F346" s="5">
        <v>2</v>
      </c>
      <c r="G346" s="31">
        <v>6</v>
      </c>
      <c r="H346" s="31">
        <v>2020</v>
      </c>
      <c r="I346" s="5">
        <v>2022</v>
      </c>
      <c r="J346" s="142">
        <v>1.0906</v>
      </c>
      <c r="K346" s="142">
        <v>1.0542</v>
      </c>
      <c r="L346" s="142">
        <v>0.41959999999999997</v>
      </c>
      <c r="M346" s="142">
        <v>0.67279999999999995</v>
      </c>
      <c r="N346" s="142">
        <v>0.87239999999999995</v>
      </c>
      <c r="O346" s="142">
        <v>1.0538000000000001</v>
      </c>
      <c r="P346" s="26">
        <v>15600.63095225484</v>
      </c>
      <c r="Q346" s="35">
        <f t="array" ref="Q346">SUM(IF(($S346&gt;=4)*($C346='TaxCred&amp;Subs'!$D$114:$D$121)*($H346='TaxCred&amp;Subs'!$C$114:$C$121)*($H346&lt;='TaxCred&amp;Subs'!$C$123),'TaxCred&amp;Subs'!$E$114:$E$121,0))</f>
        <v>2000</v>
      </c>
      <c r="R346" s="143">
        <v>0</v>
      </c>
      <c r="S346" s="5">
        <v>4</v>
      </c>
      <c r="T346" s="5" t="s">
        <v>240</v>
      </c>
      <c r="V346" s="7" t="str">
        <f t="array" ref="V346">INDEX(xlRTCLNAME,MATCH(1,(xlRTCLENDU=1)*(xlRTCLEQCL=$D346),0))</f>
        <v>ELEC_RAD</v>
      </c>
      <c r="W346" s="7" t="str">
        <f t="array" ref="W346">INDEX(xlRTCLNAME,MATCH(1,(xlRTCLENDU=2)*(xlRTCLEQCL=$F346),0))</f>
        <v>CENT_AIR</v>
      </c>
      <c r="X346" s="7" t="str">
        <f t="array" ref="X346">INDEX(xlRTTYNAME,MATCH(1,(xlRTTYENDU=1)*(xlRTTYEQCL=$D346)*(xlRTEQTYPE=$E346),0))</f>
        <v>ELEC_RAD2</v>
      </c>
      <c r="Y346" s="7" t="str">
        <f t="array" ref="Y346">INDEX(xlRTTYNAME,MATCH(1,(xlRTTYENDU=2)*(xlRTTYEQCL=$F346)*(xlRTEQTYPE=$G346),0))</f>
        <v>CENT_AIR3</v>
      </c>
    </row>
    <row r="347" spans="2:25" x14ac:dyDescent="0.2">
      <c r="B347" s="5">
        <v>7</v>
      </c>
      <c r="C347" s="5">
        <v>1</v>
      </c>
      <c r="D347" s="5">
        <v>1</v>
      </c>
      <c r="E347" s="5">
        <v>1</v>
      </c>
      <c r="F347" s="5">
        <v>2</v>
      </c>
      <c r="G347" s="31">
        <v>6</v>
      </c>
      <c r="H347" s="5">
        <v>2023</v>
      </c>
      <c r="I347" s="5">
        <v>2032</v>
      </c>
      <c r="J347" s="142">
        <v>1.0906</v>
      </c>
      <c r="K347" s="142">
        <v>1.0542</v>
      </c>
      <c r="L347" s="142">
        <v>0.41959999999999997</v>
      </c>
      <c r="M347" s="142">
        <v>0.67279999999999995</v>
      </c>
      <c r="N347" s="142">
        <v>0.87239999999999995</v>
      </c>
      <c r="O347" s="142">
        <v>1.0538000000000001</v>
      </c>
      <c r="P347" s="26">
        <v>15600.63095225484</v>
      </c>
      <c r="Q347" s="35">
        <f t="array" ref="Q347">SUM(IF(($S347&gt;=4)*($C347='TaxCred&amp;Subs'!$D$114:$D$121)*($H347='TaxCred&amp;Subs'!$C$114:$C$121)*($H347&lt;='TaxCred&amp;Subs'!$C$123),'TaxCred&amp;Subs'!$E$114:$E$121,0))</f>
        <v>2500</v>
      </c>
      <c r="R347" s="143">
        <v>0</v>
      </c>
      <c r="S347" s="5">
        <v>4</v>
      </c>
      <c r="T347" s="5" t="s">
        <v>240</v>
      </c>
      <c r="V347" s="7" t="str">
        <f t="array" ref="V347">INDEX(xlRTCLNAME,MATCH(1,(xlRTCLENDU=1)*(xlRTCLEQCL=$D347),0))</f>
        <v>ELEC_RAD</v>
      </c>
      <c r="W347" s="7" t="str">
        <f t="array" ref="W347">INDEX(xlRTCLNAME,MATCH(1,(xlRTCLENDU=2)*(xlRTCLEQCL=$F347),0))</f>
        <v>CENT_AIR</v>
      </c>
      <c r="X347" s="7" t="str">
        <f t="array" ref="X347">INDEX(xlRTTYNAME,MATCH(1,(xlRTTYENDU=1)*(xlRTTYEQCL=$D347)*(xlRTEQTYPE=$E347),0))</f>
        <v>ELEC_RAD2</v>
      </c>
      <c r="Y347" s="7" t="str">
        <f t="array" ref="Y347">INDEX(xlRTTYNAME,MATCH(1,(xlRTTYENDU=2)*(xlRTTYEQCL=$F347)*(xlRTEQTYPE=$G347),0))</f>
        <v>CENT_AIR3</v>
      </c>
    </row>
    <row r="348" spans="2:25" x14ac:dyDescent="0.2">
      <c r="B348" s="5">
        <v>7</v>
      </c>
      <c r="C348" s="5">
        <v>1</v>
      </c>
      <c r="D348" s="5">
        <v>1</v>
      </c>
      <c r="E348" s="5">
        <v>1</v>
      </c>
      <c r="F348" s="5">
        <v>2</v>
      </c>
      <c r="G348" s="31">
        <v>6</v>
      </c>
      <c r="H348" s="5">
        <v>2033</v>
      </c>
      <c r="I348" s="5">
        <v>2050</v>
      </c>
      <c r="J348" s="142">
        <v>1.0906</v>
      </c>
      <c r="K348" s="142">
        <v>1.0542</v>
      </c>
      <c r="L348" s="142">
        <v>0.41959999999999997</v>
      </c>
      <c r="M348" s="142">
        <v>0.67279999999999995</v>
      </c>
      <c r="N348" s="142">
        <v>0.87239999999999995</v>
      </c>
      <c r="O348" s="142">
        <v>1.0538000000000001</v>
      </c>
      <c r="P348" s="26">
        <v>15600.63095225484</v>
      </c>
      <c r="Q348" s="35">
        <f t="array" ref="Q348">SUM(IF(($S348&gt;=4)*($C348='TaxCred&amp;Subs'!$D$114:$D$121)*($H348='TaxCred&amp;Subs'!$C$114:$C$121)*($H348&lt;='TaxCred&amp;Subs'!$C$123),'TaxCred&amp;Subs'!$E$114:$E$121,0))</f>
        <v>0</v>
      </c>
      <c r="R348" s="143">
        <v>0</v>
      </c>
      <c r="S348" s="5">
        <v>4</v>
      </c>
      <c r="T348" s="5" t="s">
        <v>240</v>
      </c>
      <c r="V348" s="7" t="str">
        <f t="array" ref="V348">INDEX(xlRTCLNAME,MATCH(1,(xlRTCLENDU=1)*(xlRTCLEQCL=$D348),0))</f>
        <v>ELEC_RAD</v>
      </c>
      <c r="W348" s="7" t="str">
        <f t="array" ref="W348">INDEX(xlRTCLNAME,MATCH(1,(xlRTCLENDU=2)*(xlRTCLEQCL=$F348),0))</f>
        <v>CENT_AIR</v>
      </c>
      <c r="X348" s="7" t="str">
        <f t="array" ref="X348">INDEX(xlRTTYNAME,MATCH(1,(xlRTTYENDU=1)*(xlRTTYEQCL=$D348)*(xlRTEQTYPE=$E348),0))</f>
        <v>ELEC_RAD2</v>
      </c>
      <c r="Y348" s="7" t="str">
        <f t="array" ref="Y348">INDEX(xlRTTYNAME,MATCH(1,(xlRTTYENDU=2)*(xlRTTYEQCL=$F348)*(xlRTEQTYPE=$G348),0))</f>
        <v>CENT_AIR3</v>
      </c>
    </row>
    <row r="349" spans="2:25" x14ac:dyDescent="0.2">
      <c r="B349" s="5">
        <v>9</v>
      </c>
      <c r="C349" s="5">
        <v>1</v>
      </c>
      <c r="D349" s="5">
        <v>1</v>
      </c>
      <c r="E349" s="5">
        <v>1</v>
      </c>
      <c r="F349" s="5">
        <v>2</v>
      </c>
      <c r="G349" s="31">
        <v>6</v>
      </c>
      <c r="H349" s="31">
        <v>2020</v>
      </c>
      <c r="I349" s="5">
        <v>2022</v>
      </c>
      <c r="J349" s="142">
        <v>1.0367</v>
      </c>
      <c r="K349" s="142">
        <v>1.0638000000000001</v>
      </c>
      <c r="L349" s="142">
        <v>0.48180000000000001</v>
      </c>
      <c r="M349" s="142">
        <v>0.79649999999999999</v>
      </c>
      <c r="N349" s="142">
        <v>1.0334000000000001</v>
      </c>
      <c r="O349" s="142">
        <v>1.0538000000000001</v>
      </c>
      <c r="P349" s="26">
        <v>19815.745839380488</v>
      </c>
      <c r="Q349" s="35">
        <f t="array" ref="Q349">SUM(IF(($S349&gt;=4)*($C349='TaxCred&amp;Subs'!$D$114:$D$121)*($H349='TaxCred&amp;Subs'!$C$114:$C$121)*($H349&lt;='TaxCred&amp;Subs'!$C$123),'TaxCred&amp;Subs'!$E$114:$E$121,0))</f>
        <v>2000</v>
      </c>
      <c r="R349" s="143">
        <v>0</v>
      </c>
      <c r="S349" s="5">
        <v>4</v>
      </c>
      <c r="T349" s="5" t="s">
        <v>240</v>
      </c>
      <c r="V349" s="7" t="str">
        <f t="array" ref="V349">INDEX(xlRTCLNAME,MATCH(1,(xlRTCLENDU=1)*(xlRTCLEQCL=$D349),0))</f>
        <v>ELEC_RAD</v>
      </c>
      <c r="W349" s="7" t="str">
        <f t="array" ref="W349">INDEX(xlRTCLNAME,MATCH(1,(xlRTCLENDU=2)*(xlRTCLEQCL=$F349),0))</f>
        <v>CENT_AIR</v>
      </c>
      <c r="X349" s="7" t="str">
        <f t="array" ref="X349">INDEX(xlRTTYNAME,MATCH(1,(xlRTTYENDU=1)*(xlRTTYEQCL=$D349)*(xlRTEQTYPE=$E349),0))</f>
        <v>ELEC_RAD2</v>
      </c>
      <c r="Y349" s="7" t="str">
        <f t="array" ref="Y349">INDEX(xlRTTYNAME,MATCH(1,(xlRTTYENDU=2)*(xlRTTYEQCL=$F349)*(xlRTEQTYPE=$G349),0))</f>
        <v>CENT_AIR3</v>
      </c>
    </row>
    <row r="350" spans="2:25" x14ac:dyDescent="0.2">
      <c r="B350" s="5">
        <v>9</v>
      </c>
      <c r="C350" s="5">
        <v>1</v>
      </c>
      <c r="D350" s="5">
        <v>1</v>
      </c>
      <c r="E350" s="5">
        <v>1</v>
      </c>
      <c r="F350" s="5">
        <v>2</v>
      </c>
      <c r="G350" s="31">
        <v>6</v>
      </c>
      <c r="H350" s="5">
        <v>2023</v>
      </c>
      <c r="I350" s="5">
        <v>2032</v>
      </c>
      <c r="J350" s="142">
        <v>1.0367</v>
      </c>
      <c r="K350" s="142">
        <v>1.0638000000000001</v>
      </c>
      <c r="L350" s="142">
        <v>0.48180000000000001</v>
      </c>
      <c r="M350" s="142">
        <v>0.79649999999999999</v>
      </c>
      <c r="N350" s="142">
        <v>1.0334000000000001</v>
      </c>
      <c r="O350" s="142">
        <v>1.0538000000000001</v>
      </c>
      <c r="P350" s="26">
        <v>19815.745839380488</v>
      </c>
      <c r="Q350" s="35">
        <f t="array" ref="Q350">SUM(IF(($S350&gt;=4)*($C350='TaxCred&amp;Subs'!$D$114:$D$121)*($H350='TaxCred&amp;Subs'!$C$114:$C$121)*($H350&lt;='TaxCred&amp;Subs'!$C$123),'TaxCred&amp;Subs'!$E$114:$E$121,0))</f>
        <v>2500</v>
      </c>
      <c r="R350" s="143">
        <v>0</v>
      </c>
      <c r="S350" s="5">
        <v>4</v>
      </c>
      <c r="T350" s="5" t="s">
        <v>240</v>
      </c>
      <c r="V350" s="7" t="str">
        <f t="array" ref="V350">INDEX(xlRTCLNAME,MATCH(1,(xlRTCLENDU=1)*(xlRTCLEQCL=$D350),0))</f>
        <v>ELEC_RAD</v>
      </c>
      <c r="W350" s="7" t="str">
        <f t="array" ref="W350">INDEX(xlRTCLNAME,MATCH(1,(xlRTCLENDU=2)*(xlRTCLEQCL=$F350),0))</f>
        <v>CENT_AIR</v>
      </c>
      <c r="X350" s="7" t="str">
        <f t="array" ref="X350">INDEX(xlRTTYNAME,MATCH(1,(xlRTTYENDU=1)*(xlRTTYEQCL=$D350)*(xlRTEQTYPE=$E350),0))</f>
        <v>ELEC_RAD2</v>
      </c>
      <c r="Y350" s="7" t="str">
        <f t="array" ref="Y350">INDEX(xlRTTYNAME,MATCH(1,(xlRTTYENDU=2)*(xlRTTYEQCL=$F350)*(xlRTEQTYPE=$G350),0))</f>
        <v>CENT_AIR3</v>
      </c>
    </row>
    <row r="351" spans="2:25" x14ac:dyDescent="0.2">
      <c r="B351" s="5">
        <v>9</v>
      </c>
      <c r="C351" s="5">
        <v>1</v>
      </c>
      <c r="D351" s="5">
        <v>1</v>
      </c>
      <c r="E351" s="5">
        <v>1</v>
      </c>
      <c r="F351" s="5">
        <v>2</v>
      </c>
      <c r="G351" s="31">
        <v>6</v>
      </c>
      <c r="H351" s="5">
        <v>2033</v>
      </c>
      <c r="I351" s="5">
        <v>2050</v>
      </c>
      <c r="J351" s="142">
        <v>1.0367</v>
      </c>
      <c r="K351" s="142">
        <v>1.0638000000000001</v>
      </c>
      <c r="L351" s="142">
        <v>0.48180000000000001</v>
      </c>
      <c r="M351" s="142">
        <v>0.79649999999999999</v>
      </c>
      <c r="N351" s="142">
        <v>1.0334000000000001</v>
      </c>
      <c r="O351" s="142">
        <v>1.0538000000000001</v>
      </c>
      <c r="P351" s="26">
        <v>19815.745839380488</v>
      </c>
      <c r="Q351" s="35">
        <f t="array" ref="Q351">SUM(IF(($S351&gt;=4)*($C351='TaxCred&amp;Subs'!$D$114:$D$121)*($H351='TaxCred&amp;Subs'!$C$114:$C$121)*($H351&lt;='TaxCred&amp;Subs'!$C$123),'TaxCred&amp;Subs'!$E$114:$E$121,0))</f>
        <v>0</v>
      </c>
      <c r="R351" s="143">
        <v>0</v>
      </c>
      <c r="S351" s="5">
        <v>4</v>
      </c>
      <c r="T351" s="5" t="s">
        <v>240</v>
      </c>
      <c r="V351" s="7" t="str">
        <f t="array" ref="V351">INDEX(xlRTCLNAME,MATCH(1,(xlRTCLENDU=1)*(xlRTCLEQCL=$D351),0))</f>
        <v>ELEC_RAD</v>
      </c>
      <c r="W351" s="7" t="str">
        <f t="array" ref="W351">INDEX(xlRTCLNAME,MATCH(1,(xlRTCLENDU=2)*(xlRTCLEQCL=$F351),0))</f>
        <v>CENT_AIR</v>
      </c>
      <c r="X351" s="7" t="str">
        <f t="array" ref="X351">INDEX(xlRTTYNAME,MATCH(1,(xlRTTYENDU=1)*(xlRTTYEQCL=$D351)*(xlRTEQTYPE=$E351),0))</f>
        <v>ELEC_RAD2</v>
      </c>
      <c r="Y351" s="7" t="str">
        <f t="array" ref="Y351">INDEX(xlRTTYNAME,MATCH(1,(xlRTTYENDU=2)*(xlRTTYEQCL=$F351)*(xlRTEQTYPE=$G351),0))</f>
        <v>CENT_AIR3</v>
      </c>
    </row>
    <row r="352" spans="2:25" x14ac:dyDescent="0.2">
      <c r="B352" s="5">
        <v>1</v>
      </c>
      <c r="C352" s="5">
        <v>1</v>
      </c>
      <c r="D352" s="5">
        <v>2</v>
      </c>
      <c r="E352" s="5">
        <v>4</v>
      </c>
      <c r="F352" s="5">
        <v>3</v>
      </c>
      <c r="G352" s="31">
        <v>10</v>
      </c>
      <c r="H352" s="31">
        <v>2020</v>
      </c>
      <c r="I352" s="5">
        <v>2022</v>
      </c>
      <c r="J352" s="142">
        <v>1.0790999999999999</v>
      </c>
      <c r="K352" s="142">
        <v>1.0667</v>
      </c>
      <c r="L352" s="142">
        <v>0.45689999999999997</v>
      </c>
      <c r="M352" s="142">
        <v>0.95850000000000002</v>
      </c>
      <c r="N352" s="142">
        <v>0.80149999999999999</v>
      </c>
      <c r="O352" s="142">
        <v>1.0538000000000001</v>
      </c>
      <c r="P352" s="26">
        <v>19744.485523904365</v>
      </c>
      <c r="Q352" s="35">
        <f t="array" ref="Q352">SUM(IF(($S352&gt;=4)*($C352='TaxCred&amp;Subs'!$D$114:$D$121)*($H352='TaxCred&amp;Subs'!$C$114:$C$121)*($H352&lt;='TaxCred&amp;Subs'!$C$123),'TaxCred&amp;Subs'!$E$114:$E$121,0))</f>
        <v>2000</v>
      </c>
      <c r="R352" s="143">
        <v>0</v>
      </c>
      <c r="S352" s="5">
        <v>4</v>
      </c>
      <c r="T352" s="5" t="s">
        <v>240</v>
      </c>
      <c r="V352" s="7" t="str">
        <f t="array" ref="V352">INDEX(xlRTCLNAME,MATCH(1,(xlRTCLENDU=1)*(xlRTCLEQCL=$D352),0))</f>
        <v>ELEC_HP</v>
      </c>
      <c r="W352" s="7" t="str">
        <f t="array" ref="W352">INDEX(xlRTCLNAME,MATCH(1,(xlRTCLENDU=2)*(xlRTCLEQCL=$F352),0))</f>
        <v>ELEC_HP</v>
      </c>
      <c r="X352" s="7" t="str">
        <f t="array" ref="X352">INDEX(xlRTTYNAME,MATCH(1,(xlRTTYENDU=1)*(xlRTTYEQCL=$D352)*(xlRTEQTYPE=$E352),0))</f>
        <v>ELEC_HP3</v>
      </c>
      <c r="Y352" s="7" t="str">
        <f t="array" ref="Y352">INDEX(xlRTTYNAME,MATCH(1,(xlRTTYENDU=2)*(xlRTTYEQCL=$F352)*(xlRTEQTYPE=$G352),0))</f>
        <v>ELEC_HP3</v>
      </c>
    </row>
    <row r="353" spans="2:25" x14ac:dyDescent="0.2">
      <c r="B353" s="5">
        <v>1</v>
      </c>
      <c r="C353" s="5">
        <v>1</v>
      </c>
      <c r="D353" s="5">
        <v>2</v>
      </c>
      <c r="E353" s="5">
        <v>4</v>
      </c>
      <c r="F353" s="5">
        <v>3</v>
      </c>
      <c r="G353" s="31">
        <v>10</v>
      </c>
      <c r="H353" s="5">
        <v>2023</v>
      </c>
      <c r="I353" s="5">
        <v>2032</v>
      </c>
      <c r="J353" s="142">
        <v>1.0790999999999999</v>
      </c>
      <c r="K353" s="142">
        <v>1.0667</v>
      </c>
      <c r="L353" s="142">
        <v>0.45689999999999997</v>
      </c>
      <c r="M353" s="142">
        <v>0.95850000000000002</v>
      </c>
      <c r="N353" s="142">
        <v>0.80149999999999999</v>
      </c>
      <c r="O353" s="142">
        <v>1.0538000000000001</v>
      </c>
      <c r="P353" s="26">
        <v>19744.485523904365</v>
      </c>
      <c r="Q353" s="35">
        <f t="array" ref="Q353">SUM(IF(($S353&gt;=4)*($C353='TaxCred&amp;Subs'!$D$114:$D$121)*($H353='TaxCred&amp;Subs'!$C$114:$C$121)*($H353&lt;='TaxCred&amp;Subs'!$C$123),'TaxCred&amp;Subs'!$E$114:$E$121,0))</f>
        <v>2500</v>
      </c>
      <c r="R353" s="143">
        <v>0</v>
      </c>
      <c r="S353" s="5">
        <v>4</v>
      </c>
      <c r="T353" s="5" t="s">
        <v>240</v>
      </c>
      <c r="V353" s="7" t="str">
        <f t="array" ref="V353">INDEX(xlRTCLNAME,MATCH(1,(xlRTCLENDU=1)*(xlRTCLEQCL=$D353),0))</f>
        <v>ELEC_HP</v>
      </c>
      <c r="W353" s="7" t="str">
        <f t="array" ref="W353">INDEX(xlRTCLNAME,MATCH(1,(xlRTCLENDU=2)*(xlRTCLEQCL=$F353),0))</f>
        <v>ELEC_HP</v>
      </c>
      <c r="X353" s="7" t="str">
        <f t="array" ref="X353">INDEX(xlRTTYNAME,MATCH(1,(xlRTTYENDU=1)*(xlRTTYEQCL=$D353)*(xlRTEQTYPE=$E353),0))</f>
        <v>ELEC_HP3</v>
      </c>
      <c r="Y353" s="7" t="str">
        <f t="array" ref="Y353">INDEX(xlRTTYNAME,MATCH(1,(xlRTTYENDU=2)*(xlRTTYEQCL=$F353)*(xlRTEQTYPE=$G353),0))</f>
        <v>ELEC_HP3</v>
      </c>
    </row>
    <row r="354" spans="2:25" x14ac:dyDescent="0.2">
      <c r="B354" s="5">
        <v>1</v>
      </c>
      <c r="C354" s="5">
        <v>1</v>
      </c>
      <c r="D354" s="5">
        <v>2</v>
      </c>
      <c r="E354" s="5">
        <v>4</v>
      </c>
      <c r="F354" s="5">
        <v>3</v>
      </c>
      <c r="G354" s="31">
        <v>10</v>
      </c>
      <c r="H354" s="5">
        <v>2033</v>
      </c>
      <c r="I354" s="5">
        <v>2050</v>
      </c>
      <c r="J354" s="142">
        <v>1.0790999999999999</v>
      </c>
      <c r="K354" s="142">
        <v>1.0667</v>
      </c>
      <c r="L354" s="142">
        <v>0.45689999999999997</v>
      </c>
      <c r="M354" s="142">
        <v>0.95850000000000002</v>
      </c>
      <c r="N354" s="142">
        <v>0.80149999999999999</v>
      </c>
      <c r="O354" s="142">
        <v>1.0538000000000001</v>
      </c>
      <c r="P354" s="26">
        <v>19744.485523904365</v>
      </c>
      <c r="Q354" s="35">
        <f t="array" ref="Q354">SUM(IF(($S354&gt;=4)*($C354='TaxCred&amp;Subs'!$D$114:$D$121)*($H354='TaxCred&amp;Subs'!$C$114:$C$121)*($H354&lt;='TaxCred&amp;Subs'!$C$123),'TaxCred&amp;Subs'!$E$114:$E$121,0))</f>
        <v>0</v>
      </c>
      <c r="R354" s="143">
        <v>0</v>
      </c>
      <c r="S354" s="5">
        <v>4</v>
      </c>
      <c r="T354" s="5" t="s">
        <v>240</v>
      </c>
      <c r="V354" s="7" t="str">
        <f t="array" ref="V354">INDEX(xlRTCLNAME,MATCH(1,(xlRTCLENDU=1)*(xlRTCLEQCL=$D354),0))</f>
        <v>ELEC_HP</v>
      </c>
      <c r="W354" s="7" t="str">
        <f t="array" ref="W354">INDEX(xlRTCLNAME,MATCH(1,(xlRTCLENDU=2)*(xlRTCLEQCL=$F354),0))</f>
        <v>ELEC_HP</v>
      </c>
      <c r="X354" s="7" t="str">
        <f t="array" ref="X354">INDEX(xlRTTYNAME,MATCH(1,(xlRTTYENDU=1)*(xlRTTYEQCL=$D354)*(xlRTEQTYPE=$E354),0))</f>
        <v>ELEC_HP3</v>
      </c>
      <c r="Y354" s="7" t="str">
        <f t="array" ref="Y354">INDEX(xlRTTYNAME,MATCH(1,(xlRTTYENDU=2)*(xlRTTYEQCL=$F354)*(xlRTEQTYPE=$G354),0))</f>
        <v>ELEC_HP3</v>
      </c>
    </row>
    <row r="355" spans="2:25" x14ac:dyDescent="0.2">
      <c r="B355" s="5">
        <v>2</v>
      </c>
      <c r="C355" s="5">
        <v>1</v>
      </c>
      <c r="D355" s="5">
        <v>2</v>
      </c>
      <c r="E355" s="5">
        <v>4</v>
      </c>
      <c r="F355" s="5">
        <v>3</v>
      </c>
      <c r="G355" s="31">
        <v>10</v>
      </c>
      <c r="H355" s="31">
        <v>2020</v>
      </c>
      <c r="I355" s="5">
        <v>2022</v>
      </c>
      <c r="J355" s="142">
        <v>1.0588</v>
      </c>
      <c r="K355" s="142">
        <v>1.0734999999999999</v>
      </c>
      <c r="L355" s="142">
        <v>0.49159999999999998</v>
      </c>
      <c r="M355" s="142">
        <v>0.82399999999999995</v>
      </c>
      <c r="N355" s="142">
        <v>0.93840000000000001</v>
      </c>
      <c r="O355" s="142">
        <v>1.0538000000000001</v>
      </c>
      <c r="P355" s="26">
        <v>22272.209921925489</v>
      </c>
      <c r="Q355" s="35">
        <f t="array" ref="Q355">SUM(IF(($S355&gt;=4)*($C355='TaxCred&amp;Subs'!$D$114:$D$121)*($H355='TaxCred&amp;Subs'!$C$114:$C$121)*($H355&lt;='TaxCred&amp;Subs'!$C$123),'TaxCred&amp;Subs'!$E$114:$E$121,0))</f>
        <v>2000</v>
      </c>
      <c r="R355" s="143">
        <v>0</v>
      </c>
      <c r="S355" s="5">
        <v>4</v>
      </c>
      <c r="T355" s="5" t="s">
        <v>240</v>
      </c>
      <c r="V355" s="7" t="str">
        <f t="array" ref="V355">INDEX(xlRTCLNAME,MATCH(1,(xlRTCLENDU=1)*(xlRTCLEQCL=$D355),0))</f>
        <v>ELEC_HP</v>
      </c>
      <c r="W355" s="7" t="str">
        <f t="array" ref="W355">INDEX(xlRTCLNAME,MATCH(1,(xlRTCLENDU=2)*(xlRTCLEQCL=$F355),0))</f>
        <v>ELEC_HP</v>
      </c>
      <c r="X355" s="7" t="str">
        <f t="array" ref="X355">INDEX(xlRTTYNAME,MATCH(1,(xlRTTYENDU=1)*(xlRTTYEQCL=$D355)*(xlRTEQTYPE=$E355),0))</f>
        <v>ELEC_HP3</v>
      </c>
      <c r="Y355" s="7" t="str">
        <f t="array" ref="Y355">INDEX(xlRTTYNAME,MATCH(1,(xlRTTYENDU=2)*(xlRTTYEQCL=$F355)*(xlRTEQTYPE=$G355),0))</f>
        <v>ELEC_HP3</v>
      </c>
    </row>
    <row r="356" spans="2:25" x14ac:dyDescent="0.2">
      <c r="B356" s="5">
        <v>2</v>
      </c>
      <c r="C356" s="5">
        <v>1</v>
      </c>
      <c r="D356" s="5">
        <v>2</v>
      </c>
      <c r="E356" s="5">
        <v>4</v>
      </c>
      <c r="F356" s="5">
        <v>3</v>
      </c>
      <c r="G356" s="31">
        <v>10</v>
      </c>
      <c r="H356" s="5">
        <v>2023</v>
      </c>
      <c r="I356" s="5">
        <v>2032</v>
      </c>
      <c r="J356" s="142">
        <v>1.0588</v>
      </c>
      <c r="K356" s="142">
        <v>1.0734999999999999</v>
      </c>
      <c r="L356" s="142">
        <v>0.49159999999999998</v>
      </c>
      <c r="M356" s="142">
        <v>0.82399999999999995</v>
      </c>
      <c r="N356" s="142">
        <v>0.93840000000000001</v>
      </c>
      <c r="O356" s="142">
        <v>1.0538000000000001</v>
      </c>
      <c r="P356" s="26">
        <v>22272.209921925489</v>
      </c>
      <c r="Q356" s="35">
        <f t="array" ref="Q356">SUM(IF(($S356&gt;=4)*($C356='TaxCred&amp;Subs'!$D$114:$D$121)*($H356='TaxCred&amp;Subs'!$C$114:$C$121)*($H356&lt;='TaxCred&amp;Subs'!$C$123),'TaxCred&amp;Subs'!$E$114:$E$121,0))</f>
        <v>2500</v>
      </c>
      <c r="R356" s="143">
        <v>0</v>
      </c>
      <c r="S356" s="5">
        <v>4</v>
      </c>
      <c r="T356" s="5" t="s">
        <v>240</v>
      </c>
      <c r="V356" s="7" t="str">
        <f t="array" ref="V356">INDEX(xlRTCLNAME,MATCH(1,(xlRTCLENDU=1)*(xlRTCLEQCL=$D356),0))</f>
        <v>ELEC_HP</v>
      </c>
      <c r="W356" s="7" t="str">
        <f t="array" ref="W356">INDEX(xlRTCLNAME,MATCH(1,(xlRTCLENDU=2)*(xlRTCLEQCL=$F356),0))</f>
        <v>ELEC_HP</v>
      </c>
      <c r="X356" s="7" t="str">
        <f t="array" ref="X356">INDEX(xlRTTYNAME,MATCH(1,(xlRTTYENDU=1)*(xlRTTYEQCL=$D356)*(xlRTEQTYPE=$E356),0))</f>
        <v>ELEC_HP3</v>
      </c>
      <c r="Y356" s="7" t="str">
        <f t="array" ref="Y356">INDEX(xlRTTYNAME,MATCH(1,(xlRTTYENDU=2)*(xlRTTYEQCL=$F356)*(xlRTEQTYPE=$G356),0))</f>
        <v>ELEC_HP3</v>
      </c>
    </row>
    <row r="357" spans="2:25" x14ac:dyDescent="0.2">
      <c r="B357" s="5">
        <v>2</v>
      </c>
      <c r="C357" s="5">
        <v>1</v>
      </c>
      <c r="D357" s="5">
        <v>2</v>
      </c>
      <c r="E357" s="5">
        <v>4</v>
      </c>
      <c r="F357" s="5">
        <v>3</v>
      </c>
      <c r="G357" s="31">
        <v>10</v>
      </c>
      <c r="H357" s="5">
        <v>2033</v>
      </c>
      <c r="I357" s="5">
        <v>2050</v>
      </c>
      <c r="J357" s="142">
        <v>1.0588</v>
      </c>
      <c r="K357" s="142">
        <v>1.0734999999999999</v>
      </c>
      <c r="L357" s="142">
        <v>0.49159999999999998</v>
      </c>
      <c r="M357" s="142">
        <v>0.82399999999999995</v>
      </c>
      <c r="N357" s="142">
        <v>0.93840000000000001</v>
      </c>
      <c r="O357" s="142">
        <v>1.0538000000000001</v>
      </c>
      <c r="P357" s="26">
        <v>22272.209921925489</v>
      </c>
      <c r="Q357" s="35">
        <f t="array" ref="Q357">SUM(IF(($S357&gt;=4)*($C357='TaxCred&amp;Subs'!$D$114:$D$121)*($H357='TaxCred&amp;Subs'!$C$114:$C$121)*($H357&lt;='TaxCred&amp;Subs'!$C$123),'TaxCred&amp;Subs'!$E$114:$E$121,0))</f>
        <v>0</v>
      </c>
      <c r="R357" s="143">
        <v>0</v>
      </c>
      <c r="S357" s="5">
        <v>4</v>
      </c>
      <c r="T357" s="5" t="s">
        <v>240</v>
      </c>
      <c r="V357" s="7" t="str">
        <f t="array" ref="V357">INDEX(xlRTCLNAME,MATCH(1,(xlRTCLENDU=1)*(xlRTCLEQCL=$D357),0))</f>
        <v>ELEC_HP</v>
      </c>
      <c r="W357" s="7" t="str">
        <f t="array" ref="W357">INDEX(xlRTCLNAME,MATCH(1,(xlRTCLENDU=2)*(xlRTCLEQCL=$F357),0))</f>
        <v>ELEC_HP</v>
      </c>
      <c r="X357" s="7" t="str">
        <f t="array" ref="X357">INDEX(xlRTTYNAME,MATCH(1,(xlRTTYENDU=1)*(xlRTTYEQCL=$D357)*(xlRTEQTYPE=$E357),0))</f>
        <v>ELEC_HP3</v>
      </c>
      <c r="Y357" s="7" t="str">
        <f t="array" ref="Y357">INDEX(xlRTTYNAME,MATCH(1,(xlRTTYENDU=2)*(xlRTTYEQCL=$F357)*(xlRTEQTYPE=$G357),0))</f>
        <v>ELEC_HP3</v>
      </c>
    </row>
    <row r="358" spans="2:25" x14ac:dyDescent="0.2">
      <c r="B358" s="5">
        <v>3</v>
      </c>
      <c r="C358" s="5">
        <v>1</v>
      </c>
      <c r="D358" s="5">
        <v>2</v>
      </c>
      <c r="E358" s="5">
        <v>4</v>
      </c>
      <c r="F358" s="5">
        <v>3</v>
      </c>
      <c r="G358" s="31">
        <v>10</v>
      </c>
      <c r="H358" s="31">
        <v>2020</v>
      </c>
      <c r="I358" s="5">
        <v>2022</v>
      </c>
      <c r="J358" s="142">
        <v>1.0965</v>
      </c>
      <c r="K358" s="142">
        <v>1.0769</v>
      </c>
      <c r="L358" s="142">
        <v>0.45319999999999999</v>
      </c>
      <c r="M358" s="142">
        <v>0.90190000000000003</v>
      </c>
      <c r="N358" s="142">
        <v>0.91520000000000001</v>
      </c>
      <c r="O358" s="142">
        <v>1.0538000000000001</v>
      </c>
      <c r="P358" s="26">
        <v>17265.164359036837</v>
      </c>
      <c r="Q358" s="35">
        <f t="array" ref="Q358">SUM(IF(($S358&gt;=4)*($C358='TaxCred&amp;Subs'!$D$114:$D$121)*($H358='TaxCred&amp;Subs'!$C$114:$C$121)*($H358&lt;='TaxCred&amp;Subs'!$C$123),'TaxCred&amp;Subs'!$E$114:$E$121,0))</f>
        <v>2000</v>
      </c>
      <c r="R358" s="143">
        <v>0</v>
      </c>
      <c r="S358" s="5">
        <v>4</v>
      </c>
      <c r="T358" s="5" t="s">
        <v>240</v>
      </c>
      <c r="V358" s="7" t="str">
        <f t="array" ref="V358">INDEX(xlRTCLNAME,MATCH(1,(xlRTCLENDU=1)*(xlRTCLEQCL=$D358),0))</f>
        <v>ELEC_HP</v>
      </c>
      <c r="W358" s="7" t="str">
        <f t="array" ref="W358">INDEX(xlRTCLNAME,MATCH(1,(xlRTCLENDU=2)*(xlRTCLEQCL=$F358),0))</f>
        <v>ELEC_HP</v>
      </c>
      <c r="X358" s="7" t="str">
        <f t="array" ref="X358">INDEX(xlRTTYNAME,MATCH(1,(xlRTTYENDU=1)*(xlRTTYEQCL=$D358)*(xlRTEQTYPE=$E358),0))</f>
        <v>ELEC_HP3</v>
      </c>
      <c r="Y358" s="7" t="str">
        <f t="array" ref="Y358">INDEX(xlRTTYNAME,MATCH(1,(xlRTTYENDU=2)*(xlRTTYEQCL=$F358)*(xlRTEQTYPE=$G358),0))</f>
        <v>ELEC_HP3</v>
      </c>
    </row>
    <row r="359" spans="2:25" x14ac:dyDescent="0.2">
      <c r="B359" s="5">
        <v>3</v>
      </c>
      <c r="C359" s="5">
        <v>1</v>
      </c>
      <c r="D359" s="5">
        <v>2</v>
      </c>
      <c r="E359" s="5">
        <v>4</v>
      </c>
      <c r="F359" s="5">
        <v>3</v>
      </c>
      <c r="G359" s="31">
        <v>10</v>
      </c>
      <c r="H359" s="5">
        <v>2023</v>
      </c>
      <c r="I359" s="5">
        <v>2032</v>
      </c>
      <c r="J359" s="142">
        <v>1.0965</v>
      </c>
      <c r="K359" s="142">
        <v>1.0769</v>
      </c>
      <c r="L359" s="142">
        <v>0.45319999999999999</v>
      </c>
      <c r="M359" s="142">
        <v>0.90190000000000003</v>
      </c>
      <c r="N359" s="142">
        <v>0.91520000000000001</v>
      </c>
      <c r="O359" s="142">
        <v>1.0538000000000001</v>
      </c>
      <c r="P359" s="26">
        <v>17265.164359036837</v>
      </c>
      <c r="Q359" s="35">
        <f t="array" ref="Q359">SUM(IF(($S359&gt;=4)*($C359='TaxCred&amp;Subs'!$D$114:$D$121)*($H359='TaxCred&amp;Subs'!$C$114:$C$121)*($H359&lt;='TaxCred&amp;Subs'!$C$123),'TaxCred&amp;Subs'!$E$114:$E$121,0))</f>
        <v>2500</v>
      </c>
      <c r="R359" s="143">
        <v>0</v>
      </c>
      <c r="S359" s="5">
        <v>4</v>
      </c>
      <c r="T359" s="5" t="s">
        <v>240</v>
      </c>
      <c r="V359" s="7" t="str">
        <f t="array" ref="V359">INDEX(xlRTCLNAME,MATCH(1,(xlRTCLENDU=1)*(xlRTCLEQCL=$D359),0))</f>
        <v>ELEC_HP</v>
      </c>
      <c r="W359" s="7" t="str">
        <f t="array" ref="W359">INDEX(xlRTCLNAME,MATCH(1,(xlRTCLENDU=2)*(xlRTCLEQCL=$F359),0))</f>
        <v>ELEC_HP</v>
      </c>
      <c r="X359" s="7" t="str">
        <f t="array" ref="X359">INDEX(xlRTTYNAME,MATCH(1,(xlRTTYENDU=1)*(xlRTTYEQCL=$D359)*(xlRTEQTYPE=$E359),0))</f>
        <v>ELEC_HP3</v>
      </c>
      <c r="Y359" s="7" t="str">
        <f t="array" ref="Y359">INDEX(xlRTTYNAME,MATCH(1,(xlRTTYENDU=2)*(xlRTTYEQCL=$F359)*(xlRTEQTYPE=$G359),0))</f>
        <v>ELEC_HP3</v>
      </c>
    </row>
    <row r="360" spans="2:25" x14ac:dyDescent="0.2">
      <c r="B360" s="5">
        <v>3</v>
      </c>
      <c r="C360" s="5">
        <v>1</v>
      </c>
      <c r="D360" s="5">
        <v>2</v>
      </c>
      <c r="E360" s="5">
        <v>4</v>
      </c>
      <c r="F360" s="5">
        <v>3</v>
      </c>
      <c r="G360" s="31">
        <v>10</v>
      </c>
      <c r="H360" s="5">
        <v>2033</v>
      </c>
      <c r="I360" s="5">
        <v>2050</v>
      </c>
      <c r="J360" s="142">
        <v>1.0965</v>
      </c>
      <c r="K360" s="142">
        <v>1.0769</v>
      </c>
      <c r="L360" s="142">
        <v>0.45319999999999999</v>
      </c>
      <c r="M360" s="142">
        <v>0.90190000000000003</v>
      </c>
      <c r="N360" s="142">
        <v>0.91520000000000001</v>
      </c>
      <c r="O360" s="142">
        <v>1.0538000000000001</v>
      </c>
      <c r="P360" s="26">
        <v>17265.164359036837</v>
      </c>
      <c r="Q360" s="35">
        <f t="array" ref="Q360">SUM(IF(($S360&gt;=4)*($C360='TaxCred&amp;Subs'!$D$114:$D$121)*($H360='TaxCred&amp;Subs'!$C$114:$C$121)*($H360&lt;='TaxCred&amp;Subs'!$C$123),'TaxCred&amp;Subs'!$E$114:$E$121,0))</f>
        <v>0</v>
      </c>
      <c r="R360" s="143">
        <v>0</v>
      </c>
      <c r="S360" s="5">
        <v>4</v>
      </c>
      <c r="T360" s="5" t="s">
        <v>240</v>
      </c>
      <c r="V360" s="7" t="str">
        <f t="array" ref="V360">INDEX(xlRTCLNAME,MATCH(1,(xlRTCLENDU=1)*(xlRTCLEQCL=$D360),0))</f>
        <v>ELEC_HP</v>
      </c>
      <c r="W360" s="7" t="str">
        <f t="array" ref="W360">INDEX(xlRTCLNAME,MATCH(1,(xlRTCLENDU=2)*(xlRTCLEQCL=$F360),0))</f>
        <v>ELEC_HP</v>
      </c>
      <c r="X360" s="7" t="str">
        <f t="array" ref="X360">INDEX(xlRTTYNAME,MATCH(1,(xlRTTYENDU=1)*(xlRTTYEQCL=$D360)*(xlRTEQTYPE=$E360),0))</f>
        <v>ELEC_HP3</v>
      </c>
      <c r="Y360" s="7" t="str">
        <f t="array" ref="Y360">INDEX(xlRTTYNAME,MATCH(1,(xlRTTYENDU=2)*(xlRTTYEQCL=$F360)*(xlRTEQTYPE=$G360),0))</f>
        <v>ELEC_HP3</v>
      </c>
    </row>
    <row r="361" spans="2:25" x14ac:dyDescent="0.2">
      <c r="B361" s="5">
        <v>4</v>
      </c>
      <c r="C361" s="5">
        <v>1</v>
      </c>
      <c r="D361" s="5">
        <v>2</v>
      </c>
      <c r="E361" s="5">
        <v>4</v>
      </c>
      <c r="F361" s="5">
        <v>3</v>
      </c>
      <c r="G361" s="31">
        <v>10</v>
      </c>
      <c r="H361" s="31">
        <v>2020</v>
      </c>
      <c r="I361" s="5">
        <v>2022</v>
      </c>
      <c r="J361" s="142">
        <v>1.1016999999999999</v>
      </c>
      <c r="K361" s="142">
        <v>1.0789</v>
      </c>
      <c r="L361" s="142">
        <v>0.45269999999999999</v>
      </c>
      <c r="M361" s="142">
        <v>0.85729999999999995</v>
      </c>
      <c r="N361" s="142">
        <v>0.85340000000000005</v>
      </c>
      <c r="O361" s="142">
        <v>1.0538000000000001</v>
      </c>
      <c r="P361" s="26">
        <v>14059.794696865367</v>
      </c>
      <c r="Q361" s="35">
        <f t="array" ref="Q361">SUM(IF(($S361&gt;=4)*($C361='TaxCred&amp;Subs'!$D$114:$D$121)*($H361='TaxCred&amp;Subs'!$C$114:$C$121)*($H361&lt;='TaxCred&amp;Subs'!$C$123),'TaxCred&amp;Subs'!$E$114:$E$121,0))</f>
        <v>2000</v>
      </c>
      <c r="R361" s="143">
        <v>0</v>
      </c>
      <c r="S361" s="5">
        <v>4</v>
      </c>
      <c r="T361" s="5" t="s">
        <v>240</v>
      </c>
      <c r="V361" s="7" t="str">
        <f t="array" ref="V361">INDEX(xlRTCLNAME,MATCH(1,(xlRTCLENDU=1)*(xlRTCLEQCL=$D361),0))</f>
        <v>ELEC_HP</v>
      </c>
      <c r="W361" s="7" t="str">
        <f t="array" ref="W361">INDEX(xlRTCLNAME,MATCH(1,(xlRTCLENDU=2)*(xlRTCLEQCL=$F361),0))</f>
        <v>ELEC_HP</v>
      </c>
      <c r="X361" s="7" t="str">
        <f t="array" ref="X361">INDEX(xlRTTYNAME,MATCH(1,(xlRTTYENDU=1)*(xlRTTYEQCL=$D361)*(xlRTEQTYPE=$E361),0))</f>
        <v>ELEC_HP3</v>
      </c>
      <c r="Y361" s="7" t="str">
        <f t="array" ref="Y361">INDEX(xlRTTYNAME,MATCH(1,(xlRTTYENDU=2)*(xlRTTYEQCL=$F361)*(xlRTEQTYPE=$G361),0))</f>
        <v>ELEC_HP3</v>
      </c>
    </row>
    <row r="362" spans="2:25" x14ac:dyDescent="0.2">
      <c r="B362" s="5">
        <v>4</v>
      </c>
      <c r="C362" s="5">
        <v>1</v>
      </c>
      <c r="D362" s="5">
        <v>2</v>
      </c>
      <c r="E362" s="5">
        <v>4</v>
      </c>
      <c r="F362" s="5">
        <v>3</v>
      </c>
      <c r="G362" s="31">
        <v>10</v>
      </c>
      <c r="H362" s="5">
        <v>2023</v>
      </c>
      <c r="I362" s="5">
        <v>2032</v>
      </c>
      <c r="J362" s="142">
        <v>1.1016999999999999</v>
      </c>
      <c r="K362" s="142">
        <v>1.0789</v>
      </c>
      <c r="L362" s="142">
        <v>0.45269999999999999</v>
      </c>
      <c r="M362" s="142">
        <v>0.85729999999999995</v>
      </c>
      <c r="N362" s="142">
        <v>0.85340000000000005</v>
      </c>
      <c r="O362" s="142">
        <v>1.0538000000000001</v>
      </c>
      <c r="P362" s="26">
        <v>14059.794696865367</v>
      </c>
      <c r="Q362" s="35">
        <f t="array" ref="Q362">SUM(IF(($S362&gt;=4)*($C362='TaxCred&amp;Subs'!$D$114:$D$121)*($H362='TaxCred&amp;Subs'!$C$114:$C$121)*($H362&lt;='TaxCred&amp;Subs'!$C$123),'TaxCred&amp;Subs'!$E$114:$E$121,0))</f>
        <v>2500</v>
      </c>
      <c r="R362" s="143">
        <v>0</v>
      </c>
      <c r="S362" s="5">
        <v>4</v>
      </c>
      <c r="T362" s="5" t="s">
        <v>240</v>
      </c>
      <c r="V362" s="7" t="str">
        <f t="array" ref="V362">INDEX(xlRTCLNAME,MATCH(1,(xlRTCLENDU=1)*(xlRTCLEQCL=$D362),0))</f>
        <v>ELEC_HP</v>
      </c>
      <c r="W362" s="7" t="str">
        <f t="array" ref="W362">INDEX(xlRTCLNAME,MATCH(1,(xlRTCLENDU=2)*(xlRTCLEQCL=$F362),0))</f>
        <v>ELEC_HP</v>
      </c>
      <c r="X362" s="7" t="str">
        <f t="array" ref="X362">INDEX(xlRTTYNAME,MATCH(1,(xlRTTYENDU=1)*(xlRTTYEQCL=$D362)*(xlRTEQTYPE=$E362),0))</f>
        <v>ELEC_HP3</v>
      </c>
      <c r="Y362" s="7" t="str">
        <f t="array" ref="Y362">INDEX(xlRTTYNAME,MATCH(1,(xlRTTYENDU=2)*(xlRTTYEQCL=$F362)*(xlRTEQTYPE=$G362),0))</f>
        <v>ELEC_HP3</v>
      </c>
    </row>
    <row r="363" spans="2:25" x14ac:dyDescent="0.2">
      <c r="B363" s="5">
        <v>4</v>
      </c>
      <c r="C363" s="5">
        <v>1</v>
      </c>
      <c r="D363" s="5">
        <v>2</v>
      </c>
      <c r="E363" s="5">
        <v>4</v>
      </c>
      <c r="F363" s="5">
        <v>3</v>
      </c>
      <c r="G363" s="31">
        <v>10</v>
      </c>
      <c r="H363" s="5">
        <v>2033</v>
      </c>
      <c r="I363" s="5">
        <v>2050</v>
      </c>
      <c r="J363" s="142">
        <v>1.1016999999999999</v>
      </c>
      <c r="K363" s="142">
        <v>1.0789</v>
      </c>
      <c r="L363" s="142">
        <v>0.45269999999999999</v>
      </c>
      <c r="M363" s="142">
        <v>0.85729999999999995</v>
      </c>
      <c r="N363" s="142">
        <v>0.85340000000000005</v>
      </c>
      <c r="O363" s="142">
        <v>1.0538000000000001</v>
      </c>
      <c r="P363" s="26">
        <v>14059.794696865367</v>
      </c>
      <c r="Q363" s="35">
        <f t="array" ref="Q363">SUM(IF(($S363&gt;=4)*($C363='TaxCred&amp;Subs'!$D$114:$D$121)*($H363='TaxCred&amp;Subs'!$C$114:$C$121)*($H363&lt;='TaxCred&amp;Subs'!$C$123),'TaxCred&amp;Subs'!$E$114:$E$121,0))</f>
        <v>0</v>
      </c>
      <c r="R363" s="143">
        <v>0</v>
      </c>
      <c r="S363" s="5">
        <v>4</v>
      </c>
      <c r="T363" s="5" t="s">
        <v>240</v>
      </c>
      <c r="V363" s="7" t="str">
        <f t="array" ref="V363">INDEX(xlRTCLNAME,MATCH(1,(xlRTCLENDU=1)*(xlRTCLEQCL=$D363),0))</f>
        <v>ELEC_HP</v>
      </c>
      <c r="W363" s="7" t="str">
        <f t="array" ref="W363">INDEX(xlRTCLNAME,MATCH(1,(xlRTCLENDU=2)*(xlRTCLEQCL=$F363),0))</f>
        <v>ELEC_HP</v>
      </c>
      <c r="X363" s="7" t="str">
        <f t="array" ref="X363">INDEX(xlRTTYNAME,MATCH(1,(xlRTTYENDU=1)*(xlRTTYEQCL=$D363)*(xlRTEQTYPE=$E363),0))</f>
        <v>ELEC_HP3</v>
      </c>
      <c r="Y363" s="7" t="str">
        <f t="array" ref="Y363">INDEX(xlRTTYNAME,MATCH(1,(xlRTTYENDU=2)*(xlRTTYEQCL=$F363)*(xlRTEQTYPE=$G363),0))</f>
        <v>ELEC_HP3</v>
      </c>
    </row>
    <row r="364" spans="2:25" x14ac:dyDescent="0.2">
      <c r="B364" s="5">
        <v>5</v>
      </c>
      <c r="C364" s="5">
        <v>1</v>
      </c>
      <c r="D364" s="5">
        <v>2</v>
      </c>
      <c r="E364" s="5">
        <v>4</v>
      </c>
      <c r="F364" s="5">
        <v>3</v>
      </c>
      <c r="G364" s="31">
        <v>10</v>
      </c>
      <c r="H364" s="31">
        <v>2020</v>
      </c>
      <c r="I364" s="5">
        <v>2022</v>
      </c>
      <c r="J364" s="142">
        <v>1.0806</v>
      </c>
      <c r="K364" s="142">
        <v>1.0507</v>
      </c>
      <c r="L364" s="142">
        <v>0.42309999999999998</v>
      </c>
      <c r="M364" s="142">
        <v>0.79590000000000005</v>
      </c>
      <c r="N364" s="142">
        <v>0.78859999999999997</v>
      </c>
      <c r="O364" s="142">
        <v>1.0538000000000001</v>
      </c>
      <c r="P364" s="26">
        <v>14297.777259870547</v>
      </c>
      <c r="Q364" s="35">
        <f t="array" ref="Q364">SUM(IF(($S364&gt;=4)*($C364='TaxCred&amp;Subs'!$D$114:$D$121)*($H364='TaxCred&amp;Subs'!$C$114:$C$121)*($H364&lt;='TaxCred&amp;Subs'!$C$123),'TaxCred&amp;Subs'!$E$114:$E$121,0))</f>
        <v>2000</v>
      </c>
      <c r="R364" s="143">
        <v>0</v>
      </c>
      <c r="S364" s="5">
        <v>4</v>
      </c>
      <c r="T364" s="5" t="s">
        <v>240</v>
      </c>
      <c r="V364" s="7" t="str">
        <f t="array" ref="V364">INDEX(xlRTCLNAME,MATCH(1,(xlRTCLENDU=1)*(xlRTCLEQCL=$D364),0))</f>
        <v>ELEC_HP</v>
      </c>
      <c r="W364" s="7" t="str">
        <f t="array" ref="W364">INDEX(xlRTCLNAME,MATCH(1,(xlRTCLENDU=2)*(xlRTCLEQCL=$F364),0))</f>
        <v>ELEC_HP</v>
      </c>
      <c r="X364" s="7" t="str">
        <f t="array" ref="X364">INDEX(xlRTTYNAME,MATCH(1,(xlRTTYENDU=1)*(xlRTTYEQCL=$D364)*(xlRTEQTYPE=$E364),0))</f>
        <v>ELEC_HP3</v>
      </c>
      <c r="Y364" s="7" t="str">
        <f t="array" ref="Y364">INDEX(xlRTTYNAME,MATCH(1,(xlRTTYENDU=2)*(xlRTTYEQCL=$F364)*(xlRTEQTYPE=$G364),0))</f>
        <v>ELEC_HP3</v>
      </c>
    </row>
    <row r="365" spans="2:25" x14ac:dyDescent="0.2">
      <c r="B365" s="5">
        <v>5</v>
      </c>
      <c r="C365" s="5">
        <v>1</v>
      </c>
      <c r="D365" s="5">
        <v>2</v>
      </c>
      <c r="E365" s="5">
        <v>4</v>
      </c>
      <c r="F365" s="5">
        <v>3</v>
      </c>
      <c r="G365" s="31">
        <v>10</v>
      </c>
      <c r="H365" s="5">
        <v>2023</v>
      </c>
      <c r="I365" s="5">
        <v>2032</v>
      </c>
      <c r="J365" s="142">
        <v>1.0806</v>
      </c>
      <c r="K365" s="142">
        <v>1.0507</v>
      </c>
      <c r="L365" s="142">
        <v>0.42309999999999998</v>
      </c>
      <c r="M365" s="142">
        <v>0.79590000000000005</v>
      </c>
      <c r="N365" s="142">
        <v>0.78859999999999997</v>
      </c>
      <c r="O365" s="142">
        <v>1.0538000000000001</v>
      </c>
      <c r="P365" s="26">
        <v>14297.777259870547</v>
      </c>
      <c r="Q365" s="35">
        <f t="array" ref="Q365">SUM(IF(($S365&gt;=4)*($C365='TaxCred&amp;Subs'!$D$114:$D$121)*($H365='TaxCred&amp;Subs'!$C$114:$C$121)*($H365&lt;='TaxCred&amp;Subs'!$C$123),'TaxCred&amp;Subs'!$E$114:$E$121,0))</f>
        <v>2500</v>
      </c>
      <c r="R365" s="143">
        <v>0</v>
      </c>
      <c r="S365" s="5">
        <v>4</v>
      </c>
      <c r="T365" s="5" t="s">
        <v>240</v>
      </c>
      <c r="V365" s="7" t="str">
        <f t="array" ref="V365">INDEX(xlRTCLNAME,MATCH(1,(xlRTCLENDU=1)*(xlRTCLEQCL=$D365),0))</f>
        <v>ELEC_HP</v>
      </c>
      <c r="W365" s="7" t="str">
        <f t="array" ref="W365">INDEX(xlRTCLNAME,MATCH(1,(xlRTCLENDU=2)*(xlRTCLEQCL=$F365),0))</f>
        <v>ELEC_HP</v>
      </c>
      <c r="X365" s="7" t="str">
        <f t="array" ref="X365">INDEX(xlRTTYNAME,MATCH(1,(xlRTTYENDU=1)*(xlRTTYEQCL=$D365)*(xlRTEQTYPE=$E365),0))</f>
        <v>ELEC_HP3</v>
      </c>
      <c r="Y365" s="7" t="str">
        <f t="array" ref="Y365">INDEX(xlRTTYNAME,MATCH(1,(xlRTTYENDU=2)*(xlRTTYEQCL=$F365)*(xlRTEQTYPE=$G365),0))</f>
        <v>ELEC_HP3</v>
      </c>
    </row>
    <row r="366" spans="2:25" x14ac:dyDescent="0.2">
      <c r="B366" s="5">
        <v>5</v>
      </c>
      <c r="C366" s="5">
        <v>1</v>
      </c>
      <c r="D366" s="5">
        <v>2</v>
      </c>
      <c r="E366" s="5">
        <v>4</v>
      </c>
      <c r="F366" s="5">
        <v>3</v>
      </c>
      <c r="G366" s="31">
        <v>10</v>
      </c>
      <c r="H366" s="5">
        <v>2033</v>
      </c>
      <c r="I366" s="5">
        <v>2050</v>
      </c>
      <c r="J366" s="142">
        <v>1.0806</v>
      </c>
      <c r="K366" s="142">
        <v>1.0507</v>
      </c>
      <c r="L366" s="142">
        <v>0.42309999999999998</v>
      </c>
      <c r="M366" s="142">
        <v>0.79590000000000005</v>
      </c>
      <c r="N366" s="142">
        <v>0.78859999999999997</v>
      </c>
      <c r="O366" s="142">
        <v>1.0538000000000001</v>
      </c>
      <c r="P366" s="26">
        <v>14297.777259870547</v>
      </c>
      <c r="Q366" s="35">
        <f t="array" ref="Q366">SUM(IF(($S366&gt;=4)*($C366='TaxCred&amp;Subs'!$D$114:$D$121)*($H366='TaxCred&amp;Subs'!$C$114:$C$121)*($H366&lt;='TaxCred&amp;Subs'!$C$123),'TaxCred&amp;Subs'!$E$114:$E$121,0))</f>
        <v>0</v>
      </c>
      <c r="R366" s="143">
        <v>0</v>
      </c>
      <c r="S366" s="5">
        <v>4</v>
      </c>
      <c r="T366" s="5" t="s">
        <v>240</v>
      </c>
      <c r="V366" s="7" t="str">
        <f t="array" ref="V366">INDEX(xlRTCLNAME,MATCH(1,(xlRTCLENDU=1)*(xlRTCLEQCL=$D366),0))</f>
        <v>ELEC_HP</v>
      </c>
      <c r="W366" s="7" t="str">
        <f t="array" ref="W366">INDEX(xlRTCLNAME,MATCH(1,(xlRTCLENDU=2)*(xlRTCLEQCL=$F366),0))</f>
        <v>ELEC_HP</v>
      </c>
      <c r="X366" s="7" t="str">
        <f t="array" ref="X366">INDEX(xlRTTYNAME,MATCH(1,(xlRTTYENDU=1)*(xlRTTYEQCL=$D366)*(xlRTEQTYPE=$E366),0))</f>
        <v>ELEC_HP3</v>
      </c>
      <c r="Y366" s="7" t="str">
        <f t="array" ref="Y366">INDEX(xlRTTYNAME,MATCH(1,(xlRTTYENDU=2)*(xlRTTYEQCL=$F366)*(xlRTEQTYPE=$G366),0))</f>
        <v>ELEC_HP3</v>
      </c>
    </row>
    <row r="367" spans="2:25" x14ac:dyDescent="0.2">
      <c r="B367" s="5">
        <v>6</v>
      </c>
      <c r="C367" s="5">
        <v>1</v>
      </c>
      <c r="D367" s="5">
        <v>2</v>
      </c>
      <c r="E367" s="5">
        <v>4</v>
      </c>
      <c r="F367" s="5">
        <v>3</v>
      </c>
      <c r="G367" s="31">
        <v>10</v>
      </c>
      <c r="H367" s="31">
        <v>2020</v>
      </c>
      <c r="I367" s="5">
        <v>2022</v>
      </c>
      <c r="J367" s="142">
        <v>1.0885</v>
      </c>
      <c r="K367" s="142">
        <v>1.0526</v>
      </c>
      <c r="L367" s="142">
        <v>0.54320000000000002</v>
      </c>
      <c r="M367" s="142">
        <v>0.83309999999999995</v>
      </c>
      <c r="N367" s="142">
        <v>0.88680000000000003</v>
      </c>
      <c r="O367" s="142">
        <v>1.0538000000000001</v>
      </c>
      <c r="P367" s="26">
        <v>12013.413561871672</v>
      </c>
      <c r="Q367" s="35">
        <f t="array" ref="Q367">SUM(IF(($S367&gt;=4)*($C367='TaxCred&amp;Subs'!$D$114:$D$121)*($H367='TaxCred&amp;Subs'!$C$114:$C$121)*($H367&lt;='TaxCred&amp;Subs'!$C$123),'TaxCred&amp;Subs'!$E$114:$E$121,0))</f>
        <v>2000</v>
      </c>
      <c r="R367" s="143">
        <v>0</v>
      </c>
      <c r="S367" s="5">
        <v>4</v>
      </c>
      <c r="T367" s="5" t="s">
        <v>240</v>
      </c>
      <c r="V367" s="7" t="str">
        <f t="array" ref="V367">INDEX(xlRTCLNAME,MATCH(1,(xlRTCLENDU=1)*(xlRTCLEQCL=$D367),0))</f>
        <v>ELEC_HP</v>
      </c>
      <c r="W367" s="7" t="str">
        <f t="array" ref="W367">INDEX(xlRTCLNAME,MATCH(1,(xlRTCLENDU=2)*(xlRTCLEQCL=$F367),0))</f>
        <v>ELEC_HP</v>
      </c>
      <c r="X367" s="7" t="str">
        <f t="array" ref="X367">INDEX(xlRTTYNAME,MATCH(1,(xlRTTYENDU=1)*(xlRTTYEQCL=$D367)*(xlRTEQTYPE=$E367),0))</f>
        <v>ELEC_HP3</v>
      </c>
      <c r="Y367" s="7" t="str">
        <f t="array" ref="Y367">INDEX(xlRTTYNAME,MATCH(1,(xlRTTYENDU=2)*(xlRTTYEQCL=$F367)*(xlRTEQTYPE=$G367),0))</f>
        <v>ELEC_HP3</v>
      </c>
    </row>
    <row r="368" spans="2:25" x14ac:dyDescent="0.2">
      <c r="B368" s="5">
        <v>6</v>
      </c>
      <c r="C368" s="5">
        <v>1</v>
      </c>
      <c r="D368" s="5">
        <v>2</v>
      </c>
      <c r="E368" s="5">
        <v>4</v>
      </c>
      <c r="F368" s="5">
        <v>3</v>
      </c>
      <c r="G368" s="31">
        <v>10</v>
      </c>
      <c r="H368" s="5">
        <v>2023</v>
      </c>
      <c r="I368" s="5">
        <v>2032</v>
      </c>
      <c r="J368" s="142">
        <v>1.0885</v>
      </c>
      <c r="K368" s="142">
        <v>1.0526</v>
      </c>
      <c r="L368" s="142">
        <v>0.54320000000000002</v>
      </c>
      <c r="M368" s="142">
        <v>0.83309999999999995</v>
      </c>
      <c r="N368" s="142">
        <v>0.88680000000000003</v>
      </c>
      <c r="O368" s="142">
        <v>1.0538000000000001</v>
      </c>
      <c r="P368" s="26">
        <v>12013.413561871672</v>
      </c>
      <c r="Q368" s="35">
        <f t="array" ref="Q368">SUM(IF(($S368&gt;=4)*($C368='TaxCred&amp;Subs'!$D$114:$D$121)*($H368='TaxCred&amp;Subs'!$C$114:$C$121)*($H368&lt;='TaxCred&amp;Subs'!$C$123),'TaxCred&amp;Subs'!$E$114:$E$121,0))</f>
        <v>2500</v>
      </c>
      <c r="R368" s="143">
        <v>0</v>
      </c>
      <c r="S368" s="5">
        <v>4</v>
      </c>
      <c r="T368" s="5" t="s">
        <v>240</v>
      </c>
      <c r="V368" s="7" t="str">
        <f t="array" ref="V368">INDEX(xlRTCLNAME,MATCH(1,(xlRTCLENDU=1)*(xlRTCLEQCL=$D368),0))</f>
        <v>ELEC_HP</v>
      </c>
      <c r="W368" s="7" t="str">
        <f t="array" ref="W368">INDEX(xlRTCLNAME,MATCH(1,(xlRTCLENDU=2)*(xlRTCLEQCL=$F368),0))</f>
        <v>ELEC_HP</v>
      </c>
      <c r="X368" s="7" t="str">
        <f t="array" ref="X368">INDEX(xlRTTYNAME,MATCH(1,(xlRTTYENDU=1)*(xlRTTYEQCL=$D368)*(xlRTEQTYPE=$E368),0))</f>
        <v>ELEC_HP3</v>
      </c>
      <c r="Y368" s="7" t="str">
        <f t="array" ref="Y368">INDEX(xlRTTYNAME,MATCH(1,(xlRTTYENDU=2)*(xlRTTYEQCL=$F368)*(xlRTEQTYPE=$G368),0))</f>
        <v>ELEC_HP3</v>
      </c>
    </row>
    <row r="369" spans="2:25" x14ac:dyDescent="0.2">
      <c r="B369" s="5">
        <v>6</v>
      </c>
      <c r="C369" s="5">
        <v>1</v>
      </c>
      <c r="D369" s="5">
        <v>2</v>
      </c>
      <c r="E369" s="5">
        <v>4</v>
      </c>
      <c r="F369" s="5">
        <v>3</v>
      </c>
      <c r="G369" s="31">
        <v>10</v>
      </c>
      <c r="H369" s="5">
        <v>2033</v>
      </c>
      <c r="I369" s="5">
        <v>2050</v>
      </c>
      <c r="J369" s="142">
        <v>1.0885</v>
      </c>
      <c r="K369" s="142">
        <v>1.0526</v>
      </c>
      <c r="L369" s="142">
        <v>0.54320000000000002</v>
      </c>
      <c r="M369" s="142">
        <v>0.83309999999999995</v>
      </c>
      <c r="N369" s="142">
        <v>0.88680000000000003</v>
      </c>
      <c r="O369" s="142">
        <v>1.0538000000000001</v>
      </c>
      <c r="P369" s="26">
        <v>12013.413561871672</v>
      </c>
      <c r="Q369" s="35">
        <f t="array" ref="Q369">SUM(IF(($S369&gt;=4)*($C369='TaxCred&amp;Subs'!$D$114:$D$121)*($H369='TaxCred&amp;Subs'!$C$114:$C$121)*($H369&lt;='TaxCred&amp;Subs'!$C$123),'TaxCred&amp;Subs'!$E$114:$E$121,0))</f>
        <v>0</v>
      </c>
      <c r="R369" s="143">
        <v>0</v>
      </c>
      <c r="S369" s="5">
        <v>4</v>
      </c>
      <c r="T369" s="5" t="s">
        <v>240</v>
      </c>
      <c r="V369" s="7" t="str">
        <f t="array" ref="V369">INDEX(xlRTCLNAME,MATCH(1,(xlRTCLENDU=1)*(xlRTCLEQCL=$D369),0))</f>
        <v>ELEC_HP</v>
      </c>
      <c r="W369" s="7" t="str">
        <f t="array" ref="W369">INDEX(xlRTCLNAME,MATCH(1,(xlRTCLENDU=2)*(xlRTCLEQCL=$F369),0))</f>
        <v>ELEC_HP</v>
      </c>
      <c r="X369" s="7" t="str">
        <f t="array" ref="X369">INDEX(xlRTTYNAME,MATCH(1,(xlRTTYENDU=1)*(xlRTTYEQCL=$D369)*(xlRTEQTYPE=$E369),0))</f>
        <v>ELEC_HP3</v>
      </c>
      <c r="Y369" s="7" t="str">
        <f t="array" ref="Y369">INDEX(xlRTTYNAME,MATCH(1,(xlRTTYENDU=2)*(xlRTTYEQCL=$F369)*(xlRTEQTYPE=$G369),0))</f>
        <v>ELEC_HP3</v>
      </c>
    </row>
    <row r="370" spans="2:25" x14ac:dyDescent="0.2">
      <c r="B370" s="5">
        <v>7</v>
      </c>
      <c r="C370" s="5">
        <v>1</v>
      </c>
      <c r="D370" s="5">
        <v>2</v>
      </c>
      <c r="E370" s="5">
        <v>4</v>
      </c>
      <c r="F370" s="5">
        <v>3</v>
      </c>
      <c r="G370" s="31">
        <v>10</v>
      </c>
      <c r="H370" s="31">
        <v>2020</v>
      </c>
      <c r="I370" s="5">
        <v>2022</v>
      </c>
      <c r="J370" s="142">
        <v>1.0765</v>
      </c>
      <c r="K370" s="142">
        <v>1.0508</v>
      </c>
      <c r="L370" s="142">
        <v>0.4753</v>
      </c>
      <c r="M370" s="142">
        <v>0.69379999999999997</v>
      </c>
      <c r="N370" s="142">
        <v>0.86099999999999999</v>
      </c>
      <c r="O370" s="142">
        <v>1.0538000000000001</v>
      </c>
      <c r="P370" s="26">
        <v>12414.084769643105</v>
      </c>
      <c r="Q370" s="35">
        <f t="array" ref="Q370">SUM(IF(($S370&gt;=4)*($C370='TaxCred&amp;Subs'!$D$114:$D$121)*($H370='TaxCred&amp;Subs'!$C$114:$C$121)*($H370&lt;='TaxCred&amp;Subs'!$C$123),'TaxCred&amp;Subs'!$E$114:$E$121,0))</f>
        <v>2000</v>
      </c>
      <c r="R370" s="143">
        <v>0</v>
      </c>
      <c r="S370" s="5">
        <v>4</v>
      </c>
      <c r="T370" s="5" t="s">
        <v>240</v>
      </c>
      <c r="V370" s="7" t="str">
        <f t="array" ref="V370">INDEX(xlRTCLNAME,MATCH(1,(xlRTCLENDU=1)*(xlRTCLEQCL=$D370),0))</f>
        <v>ELEC_HP</v>
      </c>
      <c r="W370" s="7" t="str">
        <f t="array" ref="W370">INDEX(xlRTCLNAME,MATCH(1,(xlRTCLENDU=2)*(xlRTCLEQCL=$F370),0))</f>
        <v>ELEC_HP</v>
      </c>
      <c r="X370" s="7" t="str">
        <f t="array" ref="X370">INDEX(xlRTTYNAME,MATCH(1,(xlRTTYENDU=1)*(xlRTTYEQCL=$D370)*(xlRTEQTYPE=$E370),0))</f>
        <v>ELEC_HP3</v>
      </c>
      <c r="Y370" s="7" t="str">
        <f t="array" ref="Y370">INDEX(xlRTTYNAME,MATCH(1,(xlRTTYENDU=2)*(xlRTTYEQCL=$F370)*(xlRTEQTYPE=$G370),0))</f>
        <v>ELEC_HP3</v>
      </c>
    </row>
    <row r="371" spans="2:25" x14ac:dyDescent="0.2">
      <c r="B371" s="5">
        <v>7</v>
      </c>
      <c r="C371" s="5">
        <v>1</v>
      </c>
      <c r="D371" s="5">
        <v>2</v>
      </c>
      <c r="E371" s="5">
        <v>4</v>
      </c>
      <c r="F371" s="5">
        <v>3</v>
      </c>
      <c r="G371" s="31">
        <v>10</v>
      </c>
      <c r="H371" s="5">
        <v>2023</v>
      </c>
      <c r="I371" s="5">
        <v>2032</v>
      </c>
      <c r="J371" s="142">
        <v>1.0765</v>
      </c>
      <c r="K371" s="142">
        <v>1.0508</v>
      </c>
      <c r="L371" s="142">
        <v>0.4753</v>
      </c>
      <c r="M371" s="142">
        <v>0.69379999999999997</v>
      </c>
      <c r="N371" s="142">
        <v>0.86099999999999999</v>
      </c>
      <c r="O371" s="142">
        <v>1.0538000000000001</v>
      </c>
      <c r="P371" s="26">
        <v>12414.084769643105</v>
      </c>
      <c r="Q371" s="35">
        <f t="array" ref="Q371">SUM(IF(($S371&gt;=4)*($C371='TaxCred&amp;Subs'!$D$114:$D$121)*($H371='TaxCred&amp;Subs'!$C$114:$C$121)*($H371&lt;='TaxCred&amp;Subs'!$C$123),'TaxCred&amp;Subs'!$E$114:$E$121,0))</f>
        <v>2500</v>
      </c>
      <c r="R371" s="143">
        <v>0</v>
      </c>
      <c r="S371" s="5">
        <v>4</v>
      </c>
      <c r="T371" s="5" t="s">
        <v>240</v>
      </c>
      <c r="V371" s="7" t="str">
        <f t="array" ref="V371">INDEX(xlRTCLNAME,MATCH(1,(xlRTCLENDU=1)*(xlRTCLEQCL=$D371),0))</f>
        <v>ELEC_HP</v>
      </c>
      <c r="W371" s="7" t="str">
        <f t="array" ref="W371">INDEX(xlRTCLNAME,MATCH(1,(xlRTCLENDU=2)*(xlRTCLEQCL=$F371),0))</f>
        <v>ELEC_HP</v>
      </c>
      <c r="X371" s="7" t="str">
        <f t="array" ref="X371">INDEX(xlRTTYNAME,MATCH(1,(xlRTTYENDU=1)*(xlRTTYEQCL=$D371)*(xlRTEQTYPE=$E371),0))</f>
        <v>ELEC_HP3</v>
      </c>
      <c r="Y371" s="7" t="str">
        <f t="array" ref="Y371">INDEX(xlRTTYNAME,MATCH(1,(xlRTTYENDU=2)*(xlRTTYEQCL=$F371)*(xlRTEQTYPE=$G371),0))</f>
        <v>ELEC_HP3</v>
      </c>
    </row>
    <row r="372" spans="2:25" x14ac:dyDescent="0.2">
      <c r="B372" s="5">
        <v>7</v>
      </c>
      <c r="C372" s="5">
        <v>1</v>
      </c>
      <c r="D372" s="5">
        <v>2</v>
      </c>
      <c r="E372" s="5">
        <v>4</v>
      </c>
      <c r="F372" s="5">
        <v>3</v>
      </c>
      <c r="G372" s="31">
        <v>10</v>
      </c>
      <c r="H372" s="5">
        <v>2033</v>
      </c>
      <c r="I372" s="5">
        <v>2050</v>
      </c>
      <c r="J372" s="142">
        <v>1.0765</v>
      </c>
      <c r="K372" s="142">
        <v>1.0508</v>
      </c>
      <c r="L372" s="142">
        <v>0.4753</v>
      </c>
      <c r="M372" s="142">
        <v>0.69379999999999997</v>
      </c>
      <c r="N372" s="142">
        <v>0.86099999999999999</v>
      </c>
      <c r="O372" s="142">
        <v>1.0538000000000001</v>
      </c>
      <c r="P372" s="26">
        <v>12414.084769643105</v>
      </c>
      <c r="Q372" s="35">
        <f t="array" ref="Q372">SUM(IF(($S372&gt;=4)*($C372='TaxCred&amp;Subs'!$D$114:$D$121)*($H372='TaxCred&amp;Subs'!$C$114:$C$121)*($H372&lt;='TaxCred&amp;Subs'!$C$123),'TaxCred&amp;Subs'!$E$114:$E$121,0))</f>
        <v>0</v>
      </c>
      <c r="R372" s="143">
        <v>0</v>
      </c>
      <c r="S372" s="5">
        <v>4</v>
      </c>
      <c r="T372" s="5" t="s">
        <v>240</v>
      </c>
      <c r="V372" s="7" t="str">
        <f t="array" ref="V372">INDEX(xlRTCLNAME,MATCH(1,(xlRTCLENDU=1)*(xlRTCLEQCL=$D372),0))</f>
        <v>ELEC_HP</v>
      </c>
      <c r="W372" s="7" t="str">
        <f t="array" ref="W372">INDEX(xlRTCLNAME,MATCH(1,(xlRTCLENDU=2)*(xlRTCLEQCL=$F372),0))</f>
        <v>ELEC_HP</v>
      </c>
      <c r="X372" s="7" t="str">
        <f t="array" ref="X372">INDEX(xlRTTYNAME,MATCH(1,(xlRTTYENDU=1)*(xlRTTYEQCL=$D372)*(xlRTEQTYPE=$E372),0))</f>
        <v>ELEC_HP3</v>
      </c>
      <c r="Y372" s="7" t="str">
        <f t="array" ref="Y372">INDEX(xlRTTYNAME,MATCH(1,(xlRTTYENDU=2)*(xlRTTYEQCL=$F372)*(xlRTEQTYPE=$G372),0))</f>
        <v>ELEC_HP3</v>
      </c>
    </row>
    <row r="373" spans="2:25" x14ac:dyDescent="0.2">
      <c r="B373" s="5">
        <v>8</v>
      </c>
      <c r="C373" s="5">
        <v>1</v>
      </c>
      <c r="D373" s="5">
        <v>2</v>
      </c>
      <c r="E373" s="5">
        <v>4</v>
      </c>
      <c r="F373" s="5">
        <v>3</v>
      </c>
      <c r="G373" s="31">
        <v>10</v>
      </c>
      <c r="H373" s="31">
        <v>2020</v>
      </c>
      <c r="I373" s="5">
        <v>2022</v>
      </c>
      <c r="J373" s="142">
        <v>1.0488999999999999</v>
      </c>
      <c r="K373" s="142">
        <v>1.0810999999999999</v>
      </c>
      <c r="L373" s="142">
        <v>0.45029999999999998</v>
      </c>
      <c r="M373" s="142">
        <v>0.77290000000000003</v>
      </c>
      <c r="N373" s="142">
        <v>0.87419999999999998</v>
      </c>
      <c r="O373" s="142">
        <v>1.0538000000000001</v>
      </c>
      <c r="P373" s="26">
        <v>16260.797271099718</v>
      </c>
      <c r="Q373" s="35">
        <f t="array" ref="Q373">SUM(IF(($S373&gt;=4)*($C373='TaxCred&amp;Subs'!$D$114:$D$121)*($H373='TaxCred&amp;Subs'!$C$114:$C$121)*($H373&lt;='TaxCred&amp;Subs'!$C$123),'TaxCred&amp;Subs'!$E$114:$E$121,0))</f>
        <v>2000</v>
      </c>
      <c r="R373" s="143">
        <v>0</v>
      </c>
      <c r="S373" s="5">
        <v>4</v>
      </c>
      <c r="T373" s="5" t="s">
        <v>240</v>
      </c>
      <c r="V373" s="7" t="str">
        <f t="array" ref="V373">INDEX(xlRTCLNAME,MATCH(1,(xlRTCLENDU=1)*(xlRTCLEQCL=$D373),0))</f>
        <v>ELEC_HP</v>
      </c>
      <c r="W373" s="7" t="str">
        <f t="array" ref="W373">INDEX(xlRTCLNAME,MATCH(1,(xlRTCLENDU=2)*(xlRTCLEQCL=$F373),0))</f>
        <v>ELEC_HP</v>
      </c>
      <c r="X373" s="7" t="str">
        <f t="array" ref="X373">INDEX(xlRTTYNAME,MATCH(1,(xlRTTYENDU=1)*(xlRTTYEQCL=$D373)*(xlRTEQTYPE=$E373),0))</f>
        <v>ELEC_HP3</v>
      </c>
      <c r="Y373" s="7" t="str">
        <f t="array" ref="Y373">INDEX(xlRTTYNAME,MATCH(1,(xlRTTYENDU=2)*(xlRTTYEQCL=$F373)*(xlRTEQTYPE=$G373),0))</f>
        <v>ELEC_HP3</v>
      </c>
    </row>
    <row r="374" spans="2:25" x14ac:dyDescent="0.2">
      <c r="B374" s="5">
        <v>8</v>
      </c>
      <c r="C374" s="5">
        <v>1</v>
      </c>
      <c r="D374" s="5">
        <v>2</v>
      </c>
      <c r="E374" s="5">
        <v>4</v>
      </c>
      <c r="F374" s="5">
        <v>3</v>
      </c>
      <c r="G374" s="31">
        <v>10</v>
      </c>
      <c r="H374" s="5">
        <v>2023</v>
      </c>
      <c r="I374" s="5">
        <v>2032</v>
      </c>
      <c r="J374" s="142">
        <v>1.0488999999999999</v>
      </c>
      <c r="K374" s="142">
        <v>1.0810999999999999</v>
      </c>
      <c r="L374" s="142">
        <v>0.45029999999999998</v>
      </c>
      <c r="M374" s="142">
        <v>0.77290000000000003</v>
      </c>
      <c r="N374" s="142">
        <v>0.87419999999999998</v>
      </c>
      <c r="O374" s="142">
        <v>1.0538000000000001</v>
      </c>
      <c r="P374" s="26">
        <v>16260.797271099718</v>
      </c>
      <c r="Q374" s="35">
        <f t="array" ref="Q374">SUM(IF(($S374&gt;=4)*($C374='TaxCred&amp;Subs'!$D$114:$D$121)*($H374='TaxCred&amp;Subs'!$C$114:$C$121)*($H374&lt;='TaxCred&amp;Subs'!$C$123),'TaxCred&amp;Subs'!$E$114:$E$121,0))</f>
        <v>2500</v>
      </c>
      <c r="R374" s="143">
        <v>0</v>
      </c>
      <c r="S374" s="5">
        <v>4</v>
      </c>
      <c r="T374" s="5" t="s">
        <v>240</v>
      </c>
      <c r="V374" s="7" t="str">
        <f t="array" ref="V374">INDEX(xlRTCLNAME,MATCH(1,(xlRTCLENDU=1)*(xlRTCLEQCL=$D374),0))</f>
        <v>ELEC_HP</v>
      </c>
      <c r="W374" s="7" t="str">
        <f t="array" ref="W374">INDEX(xlRTCLNAME,MATCH(1,(xlRTCLENDU=2)*(xlRTCLEQCL=$F374),0))</f>
        <v>ELEC_HP</v>
      </c>
      <c r="X374" s="7" t="str">
        <f t="array" ref="X374">INDEX(xlRTTYNAME,MATCH(1,(xlRTTYENDU=1)*(xlRTTYEQCL=$D374)*(xlRTEQTYPE=$E374),0))</f>
        <v>ELEC_HP3</v>
      </c>
      <c r="Y374" s="7" t="str">
        <f t="array" ref="Y374">INDEX(xlRTTYNAME,MATCH(1,(xlRTTYENDU=2)*(xlRTTYEQCL=$F374)*(xlRTEQTYPE=$G374),0))</f>
        <v>ELEC_HP3</v>
      </c>
    </row>
    <row r="375" spans="2:25" x14ac:dyDescent="0.2">
      <c r="B375" s="5">
        <v>8</v>
      </c>
      <c r="C375" s="5">
        <v>1</v>
      </c>
      <c r="D375" s="5">
        <v>2</v>
      </c>
      <c r="E375" s="5">
        <v>4</v>
      </c>
      <c r="F375" s="5">
        <v>3</v>
      </c>
      <c r="G375" s="31">
        <v>10</v>
      </c>
      <c r="H375" s="5">
        <v>2033</v>
      </c>
      <c r="I375" s="5">
        <v>2050</v>
      </c>
      <c r="J375" s="142">
        <v>1.0488999999999999</v>
      </c>
      <c r="K375" s="142">
        <v>1.0810999999999999</v>
      </c>
      <c r="L375" s="142">
        <v>0.45029999999999998</v>
      </c>
      <c r="M375" s="142">
        <v>0.77290000000000003</v>
      </c>
      <c r="N375" s="142">
        <v>0.87419999999999998</v>
      </c>
      <c r="O375" s="142">
        <v>1.0538000000000001</v>
      </c>
      <c r="P375" s="26">
        <v>16260.797271099718</v>
      </c>
      <c r="Q375" s="35">
        <f t="array" ref="Q375">SUM(IF(($S375&gt;=4)*($C375='TaxCred&amp;Subs'!$D$114:$D$121)*($H375='TaxCred&amp;Subs'!$C$114:$C$121)*($H375&lt;='TaxCred&amp;Subs'!$C$123),'TaxCred&amp;Subs'!$E$114:$E$121,0))</f>
        <v>0</v>
      </c>
      <c r="R375" s="143">
        <v>0</v>
      </c>
      <c r="S375" s="5">
        <v>4</v>
      </c>
      <c r="T375" s="5" t="s">
        <v>240</v>
      </c>
      <c r="V375" s="7" t="str">
        <f t="array" ref="V375">INDEX(xlRTCLNAME,MATCH(1,(xlRTCLENDU=1)*(xlRTCLEQCL=$D375),0))</f>
        <v>ELEC_HP</v>
      </c>
      <c r="W375" s="7" t="str">
        <f t="array" ref="W375">INDEX(xlRTCLNAME,MATCH(1,(xlRTCLENDU=2)*(xlRTCLEQCL=$F375),0))</f>
        <v>ELEC_HP</v>
      </c>
      <c r="X375" s="7" t="str">
        <f t="array" ref="X375">INDEX(xlRTTYNAME,MATCH(1,(xlRTTYENDU=1)*(xlRTTYEQCL=$D375)*(xlRTEQTYPE=$E375),0))</f>
        <v>ELEC_HP3</v>
      </c>
      <c r="Y375" s="7" t="str">
        <f t="array" ref="Y375">INDEX(xlRTTYNAME,MATCH(1,(xlRTTYENDU=2)*(xlRTTYEQCL=$F375)*(xlRTEQTYPE=$G375),0))</f>
        <v>ELEC_HP3</v>
      </c>
    </row>
    <row r="376" spans="2:25" x14ac:dyDescent="0.2">
      <c r="B376" s="5">
        <v>9</v>
      </c>
      <c r="C376" s="5">
        <v>1</v>
      </c>
      <c r="D376" s="5">
        <v>2</v>
      </c>
      <c r="E376" s="5">
        <v>4</v>
      </c>
      <c r="F376" s="5">
        <v>3</v>
      </c>
      <c r="G376" s="31">
        <v>10</v>
      </c>
      <c r="H376" s="31">
        <v>2020</v>
      </c>
      <c r="I376" s="5">
        <v>2022</v>
      </c>
      <c r="J376" s="142">
        <v>1.0710999999999999</v>
      </c>
      <c r="K376" s="142">
        <v>1.0754999999999999</v>
      </c>
      <c r="L376" s="142">
        <v>0.58599999999999997</v>
      </c>
      <c r="M376" s="142">
        <v>0.83950000000000002</v>
      </c>
      <c r="N376" s="142">
        <v>1.0228999999999999</v>
      </c>
      <c r="O376" s="142">
        <v>1.0538000000000001</v>
      </c>
      <c r="P376" s="26">
        <v>16609.031642954757</v>
      </c>
      <c r="Q376" s="35">
        <f t="array" ref="Q376">SUM(IF(($S376&gt;=4)*($C376='TaxCred&amp;Subs'!$D$114:$D$121)*($H376='TaxCred&amp;Subs'!$C$114:$C$121)*($H376&lt;='TaxCred&amp;Subs'!$C$123),'TaxCred&amp;Subs'!$E$114:$E$121,0))</f>
        <v>2000</v>
      </c>
      <c r="R376" s="143">
        <v>0</v>
      </c>
      <c r="S376" s="5">
        <v>4</v>
      </c>
      <c r="T376" s="5" t="s">
        <v>240</v>
      </c>
      <c r="V376" s="7" t="str">
        <f t="array" ref="V376">INDEX(xlRTCLNAME,MATCH(1,(xlRTCLENDU=1)*(xlRTCLEQCL=$D376),0))</f>
        <v>ELEC_HP</v>
      </c>
      <c r="W376" s="7" t="str">
        <f t="array" ref="W376">INDEX(xlRTCLNAME,MATCH(1,(xlRTCLENDU=2)*(xlRTCLEQCL=$F376),0))</f>
        <v>ELEC_HP</v>
      </c>
      <c r="X376" s="7" t="str">
        <f t="array" ref="X376">INDEX(xlRTTYNAME,MATCH(1,(xlRTTYENDU=1)*(xlRTTYEQCL=$D376)*(xlRTEQTYPE=$E376),0))</f>
        <v>ELEC_HP3</v>
      </c>
      <c r="Y376" s="7" t="str">
        <f t="array" ref="Y376">INDEX(xlRTTYNAME,MATCH(1,(xlRTTYENDU=2)*(xlRTTYEQCL=$F376)*(xlRTEQTYPE=$G376),0))</f>
        <v>ELEC_HP3</v>
      </c>
    </row>
    <row r="377" spans="2:25" x14ac:dyDescent="0.2">
      <c r="B377" s="5">
        <v>9</v>
      </c>
      <c r="C377" s="5">
        <v>1</v>
      </c>
      <c r="D377" s="5">
        <v>2</v>
      </c>
      <c r="E377" s="5">
        <v>4</v>
      </c>
      <c r="F377" s="5">
        <v>3</v>
      </c>
      <c r="G377" s="31">
        <v>10</v>
      </c>
      <c r="H377" s="5">
        <v>2023</v>
      </c>
      <c r="I377" s="5">
        <v>2032</v>
      </c>
      <c r="J377" s="142">
        <v>1.0710999999999999</v>
      </c>
      <c r="K377" s="142">
        <v>1.0754999999999999</v>
      </c>
      <c r="L377" s="142">
        <v>0.58599999999999997</v>
      </c>
      <c r="M377" s="142">
        <v>0.83950000000000002</v>
      </c>
      <c r="N377" s="142">
        <v>1.0228999999999999</v>
      </c>
      <c r="O377" s="142">
        <v>1.0538000000000001</v>
      </c>
      <c r="P377" s="26">
        <v>16609.031642954757</v>
      </c>
      <c r="Q377" s="35">
        <f t="array" ref="Q377">SUM(IF(($S377&gt;=4)*($C377='TaxCred&amp;Subs'!$D$114:$D$121)*($H377='TaxCred&amp;Subs'!$C$114:$C$121)*($H377&lt;='TaxCred&amp;Subs'!$C$123),'TaxCred&amp;Subs'!$E$114:$E$121,0))</f>
        <v>2500</v>
      </c>
      <c r="R377" s="143">
        <v>0</v>
      </c>
      <c r="S377" s="5">
        <v>4</v>
      </c>
      <c r="T377" s="5" t="s">
        <v>240</v>
      </c>
      <c r="V377" s="7" t="str">
        <f t="array" ref="V377">INDEX(xlRTCLNAME,MATCH(1,(xlRTCLENDU=1)*(xlRTCLEQCL=$D377),0))</f>
        <v>ELEC_HP</v>
      </c>
      <c r="W377" s="7" t="str">
        <f t="array" ref="W377">INDEX(xlRTCLNAME,MATCH(1,(xlRTCLENDU=2)*(xlRTCLEQCL=$F377),0))</f>
        <v>ELEC_HP</v>
      </c>
      <c r="X377" s="7" t="str">
        <f t="array" ref="X377">INDEX(xlRTTYNAME,MATCH(1,(xlRTTYENDU=1)*(xlRTTYEQCL=$D377)*(xlRTEQTYPE=$E377),0))</f>
        <v>ELEC_HP3</v>
      </c>
      <c r="Y377" s="7" t="str">
        <f t="array" ref="Y377">INDEX(xlRTTYNAME,MATCH(1,(xlRTTYENDU=2)*(xlRTTYEQCL=$F377)*(xlRTEQTYPE=$G377),0))</f>
        <v>ELEC_HP3</v>
      </c>
    </row>
    <row r="378" spans="2:25" x14ac:dyDescent="0.2">
      <c r="B378" s="5">
        <v>9</v>
      </c>
      <c r="C378" s="5">
        <v>1</v>
      </c>
      <c r="D378" s="5">
        <v>2</v>
      </c>
      <c r="E378" s="5">
        <v>4</v>
      </c>
      <c r="F378" s="5">
        <v>3</v>
      </c>
      <c r="G378" s="31">
        <v>10</v>
      </c>
      <c r="H378" s="5">
        <v>2033</v>
      </c>
      <c r="I378" s="5">
        <v>2050</v>
      </c>
      <c r="J378" s="142">
        <v>1.0710999999999999</v>
      </c>
      <c r="K378" s="142">
        <v>1.0754999999999999</v>
      </c>
      <c r="L378" s="142">
        <v>0.58599999999999997</v>
      </c>
      <c r="M378" s="142">
        <v>0.83950000000000002</v>
      </c>
      <c r="N378" s="142">
        <v>1.0228999999999999</v>
      </c>
      <c r="O378" s="142">
        <v>1.0538000000000001</v>
      </c>
      <c r="P378" s="26">
        <v>16609.031642954757</v>
      </c>
      <c r="Q378" s="35">
        <f t="array" ref="Q378">SUM(IF(($S378&gt;=4)*($C378='TaxCred&amp;Subs'!$D$114:$D$121)*($H378='TaxCred&amp;Subs'!$C$114:$C$121)*($H378&lt;='TaxCred&amp;Subs'!$C$123),'TaxCred&amp;Subs'!$E$114:$E$121,0))</f>
        <v>0</v>
      </c>
      <c r="R378" s="143">
        <v>0</v>
      </c>
      <c r="S378" s="5">
        <v>4</v>
      </c>
      <c r="T378" s="5" t="s">
        <v>240</v>
      </c>
      <c r="V378" s="7" t="str">
        <f t="array" ref="V378">INDEX(xlRTCLNAME,MATCH(1,(xlRTCLENDU=1)*(xlRTCLEQCL=$D378),0))</f>
        <v>ELEC_HP</v>
      </c>
      <c r="W378" s="7" t="str">
        <f t="array" ref="W378">INDEX(xlRTCLNAME,MATCH(1,(xlRTCLENDU=2)*(xlRTCLEQCL=$F378),0))</f>
        <v>ELEC_HP</v>
      </c>
      <c r="X378" s="7" t="str">
        <f t="array" ref="X378">INDEX(xlRTTYNAME,MATCH(1,(xlRTTYENDU=1)*(xlRTTYEQCL=$D378)*(xlRTEQTYPE=$E378),0))</f>
        <v>ELEC_HP3</v>
      </c>
      <c r="Y378" s="7" t="str">
        <f t="array" ref="Y378">INDEX(xlRTTYNAME,MATCH(1,(xlRTTYENDU=2)*(xlRTTYEQCL=$F378)*(xlRTEQTYPE=$G378),0))</f>
        <v>ELEC_HP3</v>
      </c>
    </row>
    <row r="379" spans="2:25" x14ac:dyDescent="0.2">
      <c r="B379" s="5">
        <v>1</v>
      </c>
      <c r="C379" s="5">
        <v>1</v>
      </c>
      <c r="D379" s="5">
        <v>3</v>
      </c>
      <c r="E379" s="5">
        <v>8</v>
      </c>
      <c r="F379" s="5">
        <v>2</v>
      </c>
      <c r="G379" s="31">
        <v>6</v>
      </c>
      <c r="H379" s="31">
        <v>2020</v>
      </c>
      <c r="I379" s="5">
        <v>2022</v>
      </c>
      <c r="J379" s="142">
        <v>1.0803</v>
      </c>
      <c r="K379" s="142">
        <v>1.0667</v>
      </c>
      <c r="L379" s="142">
        <v>0.46639999999999998</v>
      </c>
      <c r="M379" s="142">
        <v>0.94740000000000002</v>
      </c>
      <c r="N379" s="142">
        <v>0.79790000000000005</v>
      </c>
      <c r="O379" s="142">
        <v>1.0538000000000001</v>
      </c>
      <c r="P379" s="26">
        <v>16939.787069504328</v>
      </c>
      <c r="Q379" s="35">
        <f t="array" ref="Q379">SUM(IF(($S379&gt;=4)*($C379='TaxCred&amp;Subs'!$D$114:$D$121)*($H379='TaxCred&amp;Subs'!$C$114:$C$121)*($H379&lt;='TaxCred&amp;Subs'!$C$123),'TaxCred&amp;Subs'!$E$114:$E$121,0))</f>
        <v>2000</v>
      </c>
      <c r="R379" s="143">
        <v>0</v>
      </c>
      <c r="S379" s="5">
        <v>4</v>
      </c>
      <c r="T379" s="5" t="s">
        <v>240</v>
      </c>
      <c r="V379" s="7" t="str">
        <f t="array" ref="V379">INDEX(xlRTCLNAME,MATCH(1,(xlRTCLENDU=1)*(xlRTCLEQCL=$D379),0))</f>
        <v>NG_FA</v>
      </c>
      <c r="W379" s="7" t="str">
        <f t="array" ref="W379">INDEX(xlRTCLNAME,MATCH(1,(xlRTCLENDU=2)*(xlRTCLEQCL=$F379),0))</f>
        <v>CENT_AIR</v>
      </c>
      <c r="X379" s="7" t="str">
        <f t="array" ref="X379">INDEX(xlRTTYNAME,MATCH(1,(xlRTTYENDU=1)*(xlRTTYEQCL=$D379)*(xlRTEQTYPE=$E379),0))</f>
        <v>NG_FA3</v>
      </c>
      <c r="Y379" s="7" t="str">
        <f t="array" ref="Y379">INDEX(xlRTTYNAME,MATCH(1,(xlRTTYENDU=2)*(xlRTTYEQCL=$F379)*(xlRTEQTYPE=$G379),0))</f>
        <v>CENT_AIR3</v>
      </c>
    </row>
    <row r="380" spans="2:25" x14ac:dyDescent="0.2">
      <c r="B380" s="5">
        <v>1</v>
      </c>
      <c r="C380" s="5">
        <v>1</v>
      </c>
      <c r="D380" s="5">
        <v>3</v>
      </c>
      <c r="E380" s="5">
        <v>8</v>
      </c>
      <c r="F380" s="5">
        <v>2</v>
      </c>
      <c r="G380" s="31">
        <v>6</v>
      </c>
      <c r="H380" s="5">
        <v>2023</v>
      </c>
      <c r="I380" s="31">
        <v>2028</v>
      </c>
      <c r="J380" s="142">
        <v>1.0803</v>
      </c>
      <c r="K380" s="142">
        <v>1.0667</v>
      </c>
      <c r="L380" s="142">
        <v>0.46639999999999998</v>
      </c>
      <c r="M380" s="142">
        <v>0.94740000000000002</v>
      </c>
      <c r="N380" s="142">
        <v>0.79790000000000005</v>
      </c>
      <c r="O380" s="142">
        <v>1.0538000000000001</v>
      </c>
      <c r="P380" s="26">
        <v>16939.787069504328</v>
      </c>
      <c r="Q380" s="35">
        <f t="array" ref="Q380">SUM(IF(($S380&gt;=4)*($C380='TaxCred&amp;Subs'!$D$114:$D$121)*($H380='TaxCred&amp;Subs'!$C$114:$C$121)*($H380&lt;='TaxCred&amp;Subs'!$C$123),'TaxCred&amp;Subs'!$E$114:$E$121,0))</f>
        <v>2500</v>
      </c>
      <c r="R380" s="143">
        <v>0</v>
      </c>
      <c r="S380" s="5">
        <v>4</v>
      </c>
      <c r="T380" s="5" t="s">
        <v>240</v>
      </c>
      <c r="V380" s="7" t="str">
        <f t="array" ref="V380">INDEX(xlRTCLNAME,MATCH(1,(xlRTCLENDU=1)*(xlRTCLEQCL=$D380),0))</f>
        <v>NG_FA</v>
      </c>
      <c r="W380" s="7" t="str">
        <f t="array" ref="W380">INDEX(xlRTCLNAME,MATCH(1,(xlRTCLENDU=2)*(xlRTCLEQCL=$F380),0))</f>
        <v>CENT_AIR</v>
      </c>
      <c r="X380" s="7" t="str">
        <f t="array" ref="X380">INDEX(xlRTTYNAME,MATCH(1,(xlRTTYENDU=1)*(xlRTTYEQCL=$D380)*(xlRTEQTYPE=$E380),0))</f>
        <v>NG_FA3</v>
      </c>
      <c r="Y380" s="7" t="str">
        <f t="array" ref="Y380">INDEX(xlRTTYNAME,MATCH(1,(xlRTTYENDU=2)*(xlRTTYEQCL=$F380)*(xlRTEQTYPE=$G380),0))</f>
        <v>CENT_AIR3</v>
      </c>
    </row>
    <row r="381" spans="2:25" x14ac:dyDescent="0.2">
      <c r="B381" s="152">
        <v>1</v>
      </c>
      <c r="C381" s="152">
        <v>1</v>
      </c>
      <c r="D381" s="152">
        <v>3</v>
      </c>
      <c r="E381" s="152">
        <v>9</v>
      </c>
      <c r="F381" s="152">
        <v>2</v>
      </c>
      <c r="G381" s="152">
        <v>6</v>
      </c>
      <c r="H381" s="152">
        <v>2029</v>
      </c>
      <c r="I381" s="152">
        <v>2032</v>
      </c>
      <c r="J381" s="229">
        <v>1.0803</v>
      </c>
      <c r="K381" s="229">
        <v>1.0667</v>
      </c>
      <c r="L381" s="229">
        <v>0.46639999999999998</v>
      </c>
      <c r="M381" s="229">
        <v>0.94740000000000002</v>
      </c>
      <c r="N381" s="229">
        <v>0.79790000000000005</v>
      </c>
      <c r="O381" s="229">
        <v>1.0538000000000001</v>
      </c>
      <c r="P381" s="155">
        <v>16939.787069504328</v>
      </c>
      <c r="Q381" s="41">
        <f t="array" ref="Q381">SUM(IF(($S381&gt;=4)*($C381='TaxCred&amp;Subs'!$D$114:$D$121)*($H381='TaxCred&amp;Subs'!$C$114:$C$121)*($H381&lt;='TaxCred&amp;Subs'!$C$123),'TaxCred&amp;Subs'!$E$114:$E$121,0))</f>
        <v>2500</v>
      </c>
      <c r="R381" s="230">
        <v>0</v>
      </c>
      <c r="S381" s="152">
        <v>4</v>
      </c>
      <c r="T381" s="152" t="s">
        <v>240</v>
      </c>
      <c r="V381" s="7" t="str">
        <f t="array" ref="V381">INDEX(xlRTCLNAME,MATCH(1,(xlRTCLENDU=1)*(xlRTCLEQCL=$D381),0))</f>
        <v>NG_FA</v>
      </c>
      <c r="W381" s="7" t="str">
        <f t="array" ref="W381">INDEX(xlRTCLNAME,MATCH(1,(xlRTCLENDU=2)*(xlRTCLEQCL=$F381),0))</f>
        <v>CENT_AIR</v>
      </c>
      <c r="X381" s="7" t="str">
        <f t="array" ref="X381">INDEX(xlRTTYNAME,MATCH(1,(xlRTTYENDU=1)*(xlRTTYEQCL=$D381)*(xlRTEQTYPE=$E381),0))</f>
        <v>NG_FA4</v>
      </c>
      <c r="Y381" s="7" t="str">
        <f t="array" ref="Y381">INDEX(xlRTTYNAME,MATCH(1,(xlRTTYENDU=2)*(xlRTTYEQCL=$F381)*(xlRTEQTYPE=$G381),0))</f>
        <v>CENT_AIR3</v>
      </c>
    </row>
    <row r="382" spans="2:25" x14ac:dyDescent="0.2">
      <c r="B382" s="5">
        <v>1</v>
      </c>
      <c r="C382" s="5">
        <v>1</v>
      </c>
      <c r="D382" s="5">
        <v>3</v>
      </c>
      <c r="E382" s="31">
        <v>9</v>
      </c>
      <c r="F382" s="5">
        <v>2</v>
      </c>
      <c r="G382" s="31">
        <v>6</v>
      </c>
      <c r="H382" s="5">
        <v>2033</v>
      </c>
      <c r="I382" s="5">
        <v>2050</v>
      </c>
      <c r="J382" s="142">
        <v>1.0803</v>
      </c>
      <c r="K382" s="142">
        <v>1.0667</v>
      </c>
      <c r="L382" s="142">
        <v>0.46639999999999998</v>
      </c>
      <c r="M382" s="142">
        <v>0.94740000000000002</v>
      </c>
      <c r="N382" s="142">
        <v>0.79790000000000005</v>
      </c>
      <c r="O382" s="142">
        <v>1.0538000000000001</v>
      </c>
      <c r="P382" s="26">
        <v>16939.787069504328</v>
      </c>
      <c r="Q382" s="35">
        <f t="array" ref="Q382">SUM(IF(($S382&gt;=4)*($C382='TaxCred&amp;Subs'!$D$114:$D$121)*($H382='TaxCred&amp;Subs'!$C$114:$C$121)*($H382&lt;='TaxCred&amp;Subs'!$C$123),'TaxCred&amp;Subs'!$E$114:$E$121,0))</f>
        <v>0</v>
      </c>
      <c r="R382" s="143">
        <v>0</v>
      </c>
      <c r="S382" s="5">
        <v>4</v>
      </c>
      <c r="T382" s="5" t="s">
        <v>240</v>
      </c>
      <c r="V382" s="7" t="str">
        <f t="array" ref="V382">INDEX(xlRTCLNAME,MATCH(1,(xlRTCLENDU=1)*(xlRTCLEQCL=$D382),0))</f>
        <v>NG_FA</v>
      </c>
      <c r="W382" s="7" t="str">
        <f t="array" ref="W382">INDEX(xlRTCLNAME,MATCH(1,(xlRTCLENDU=2)*(xlRTCLEQCL=$F382),0))</f>
        <v>CENT_AIR</v>
      </c>
      <c r="X382" s="7" t="str">
        <f t="array" ref="X382">INDEX(xlRTTYNAME,MATCH(1,(xlRTTYENDU=1)*(xlRTTYEQCL=$D382)*(xlRTEQTYPE=$E382),0))</f>
        <v>NG_FA4</v>
      </c>
      <c r="Y382" s="7" t="str">
        <f t="array" ref="Y382">INDEX(xlRTTYNAME,MATCH(1,(xlRTTYENDU=2)*(xlRTTYEQCL=$F382)*(xlRTEQTYPE=$G382),0))</f>
        <v>CENT_AIR3</v>
      </c>
    </row>
    <row r="383" spans="2:25" x14ac:dyDescent="0.2">
      <c r="B383" s="5">
        <v>2</v>
      </c>
      <c r="C383" s="5">
        <v>1</v>
      </c>
      <c r="D383" s="5">
        <v>3</v>
      </c>
      <c r="E383" s="5">
        <v>8</v>
      </c>
      <c r="F383" s="5">
        <v>2</v>
      </c>
      <c r="G383" s="31">
        <v>6</v>
      </c>
      <c r="H383" s="31">
        <v>2020</v>
      </c>
      <c r="I383" s="5">
        <v>2022</v>
      </c>
      <c r="J383" s="142">
        <v>1.0649</v>
      </c>
      <c r="K383" s="142">
        <v>1.0597000000000001</v>
      </c>
      <c r="L383" s="142">
        <v>0.49669999999999997</v>
      </c>
      <c r="M383" s="142">
        <v>0.82399999999999995</v>
      </c>
      <c r="N383" s="142">
        <v>0.93169999999999997</v>
      </c>
      <c r="O383" s="142">
        <v>1.0538000000000001</v>
      </c>
      <c r="P383" s="26">
        <v>20134.400457641663</v>
      </c>
      <c r="Q383" s="35">
        <f t="array" ref="Q383">SUM(IF(($S383&gt;=4)*($C383='TaxCred&amp;Subs'!$D$114:$D$121)*($H383='TaxCred&amp;Subs'!$C$114:$C$121)*($H383&lt;='TaxCred&amp;Subs'!$C$123),'TaxCred&amp;Subs'!$E$114:$E$121,0))</f>
        <v>2000</v>
      </c>
      <c r="R383" s="143">
        <v>0</v>
      </c>
      <c r="S383" s="5">
        <v>4</v>
      </c>
      <c r="T383" s="5" t="s">
        <v>240</v>
      </c>
      <c r="V383" s="7" t="str">
        <f t="array" ref="V383">INDEX(xlRTCLNAME,MATCH(1,(xlRTCLENDU=1)*(xlRTCLEQCL=$D383),0))</f>
        <v>NG_FA</v>
      </c>
      <c r="W383" s="7" t="str">
        <f t="array" ref="W383">INDEX(xlRTCLNAME,MATCH(1,(xlRTCLENDU=2)*(xlRTCLEQCL=$F383),0))</f>
        <v>CENT_AIR</v>
      </c>
      <c r="X383" s="7" t="str">
        <f t="array" ref="X383">INDEX(xlRTTYNAME,MATCH(1,(xlRTTYENDU=1)*(xlRTTYEQCL=$D383)*(xlRTEQTYPE=$E383),0))</f>
        <v>NG_FA3</v>
      </c>
      <c r="Y383" s="7" t="str">
        <f t="array" ref="Y383">INDEX(xlRTTYNAME,MATCH(1,(xlRTTYENDU=2)*(xlRTTYEQCL=$F383)*(xlRTEQTYPE=$G383),0))</f>
        <v>CENT_AIR3</v>
      </c>
    </row>
    <row r="384" spans="2:25" x14ac:dyDescent="0.2">
      <c r="B384" s="5">
        <v>2</v>
      </c>
      <c r="C384" s="5">
        <v>1</v>
      </c>
      <c r="D384" s="5">
        <v>3</v>
      </c>
      <c r="E384" s="5">
        <v>8</v>
      </c>
      <c r="F384" s="5">
        <v>2</v>
      </c>
      <c r="G384" s="31">
        <v>6</v>
      </c>
      <c r="H384" s="5">
        <v>2023</v>
      </c>
      <c r="I384" s="31">
        <v>2028</v>
      </c>
      <c r="J384" s="142">
        <v>1.0649</v>
      </c>
      <c r="K384" s="142">
        <v>1.0597000000000001</v>
      </c>
      <c r="L384" s="142">
        <v>0.49669999999999997</v>
      </c>
      <c r="M384" s="142">
        <v>0.82399999999999995</v>
      </c>
      <c r="N384" s="142">
        <v>0.93169999999999997</v>
      </c>
      <c r="O384" s="142">
        <v>1.0538000000000001</v>
      </c>
      <c r="P384" s="26">
        <v>20134.400457641663</v>
      </c>
      <c r="Q384" s="35">
        <f t="array" ref="Q384">SUM(IF(($S384&gt;=4)*($C384='TaxCred&amp;Subs'!$D$114:$D$121)*($H384='TaxCred&amp;Subs'!$C$114:$C$121)*($H384&lt;='TaxCred&amp;Subs'!$C$123),'TaxCred&amp;Subs'!$E$114:$E$121,0))</f>
        <v>2500</v>
      </c>
      <c r="R384" s="143">
        <v>0</v>
      </c>
      <c r="S384" s="5">
        <v>4</v>
      </c>
      <c r="T384" s="5" t="s">
        <v>240</v>
      </c>
      <c r="V384" s="7" t="str">
        <f t="array" ref="V384">INDEX(xlRTCLNAME,MATCH(1,(xlRTCLENDU=1)*(xlRTCLEQCL=$D384),0))</f>
        <v>NG_FA</v>
      </c>
      <c r="W384" s="7" t="str">
        <f t="array" ref="W384">INDEX(xlRTCLNAME,MATCH(1,(xlRTCLENDU=2)*(xlRTCLEQCL=$F384),0))</f>
        <v>CENT_AIR</v>
      </c>
      <c r="X384" s="7" t="str">
        <f t="array" ref="X384">INDEX(xlRTTYNAME,MATCH(1,(xlRTTYENDU=1)*(xlRTTYEQCL=$D384)*(xlRTEQTYPE=$E384),0))</f>
        <v>NG_FA3</v>
      </c>
      <c r="Y384" s="7" t="str">
        <f t="array" ref="Y384">INDEX(xlRTTYNAME,MATCH(1,(xlRTTYENDU=2)*(xlRTTYEQCL=$F384)*(xlRTEQTYPE=$G384),0))</f>
        <v>CENT_AIR3</v>
      </c>
    </row>
    <row r="385" spans="2:25" x14ac:dyDescent="0.2">
      <c r="B385" s="152">
        <v>2</v>
      </c>
      <c r="C385" s="152">
        <v>1</v>
      </c>
      <c r="D385" s="152">
        <v>3</v>
      </c>
      <c r="E385" s="152">
        <v>9</v>
      </c>
      <c r="F385" s="152">
        <v>2</v>
      </c>
      <c r="G385" s="152">
        <v>6</v>
      </c>
      <c r="H385" s="152">
        <v>2029</v>
      </c>
      <c r="I385" s="152">
        <v>2032</v>
      </c>
      <c r="J385" s="229">
        <v>1.0649</v>
      </c>
      <c r="K385" s="229">
        <v>1.0597000000000001</v>
      </c>
      <c r="L385" s="229">
        <v>0.49669999999999997</v>
      </c>
      <c r="M385" s="229">
        <v>0.82399999999999995</v>
      </c>
      <c r="N385" s="229">
        <v>0.93169999999999997</v>
      </c>
      <c r="O385" s="229">
        <v>1.0538000000000001</v>
      </c>
      <c r="P385" s="155">
        <v>20134.400457641663</v>
      </c>
      <c r="Q385" s="41">
        <f t="array" ref="Q385">SUM(IF(($S385&gt;=4)*($C385='TaxCred&amp;Subs'!$D$114:$D$121)*($H385='TaxCred&amp;Subs'!$C$114:$C$121)*($H385&lt;='TaxCred&amp;Subs'!$C$123),'TaxCred&amp;Subs'!$E$114:$E$121,0))</f>
        <v>2500</v>
      </c>
      <c r="R385" s="230">
        <v>0</v>
      </c>
      <c r="S385" s="152">
        <v>4</v>
      </c>
      <c r="T385" s="152" t="s">
        <v>240</v>
      </c>
      <c r="V385" s="7" t="str">
        <f t="array" ref="V385">INDEX(xlRTCLNAME,MATCH(1,(xlRTCLENDU=1)*(xlRTCLEQCL=$D385),0))</f>
        <v>NG_FA</v>
      </c>
      <c r="W385" s="7" t="str">
        <f t="array" ref="W385">INDEX(xlRTCLNAME,MATCH(1,(xlRTCLENDU=2)*(xlRTCLEQCL=$F385),0))</f>
        <v>CENT_AIR</v>
      </c>
      <c r="X385" s="7" t="str">
        <f t="array" ref="X385">INDEX(xlRTTYNAME,MATCH(1,(xlRTTYENDU=1)*(xlRTTYEQCL=$D385)*(xlRTEQTYPE=$E385),0))</f>
        <v>NG_FA4</v>
      </c>
      <c r="Y385" s="7" t="str">
        <f t="array" ref="Y385">INDEX(xlRTTYNAME,MATCH(1,(xlRTTYENDU=2)*(xlRTTYEQCL=$F385)*(xlRTEQTYPE=$G385),0))</f>
        <v>CENT_AIR3</v>
      </c>
    </row>
    <row r="386" spans="2:25" x14ac:dyDescent="0.2">
      <c r="B386" s="5">
        <v>2</v>
      </c>
      <c r="C386" s="5">
        <v>1</v>
      </c>
      <c r="D386" s="5">
        <v>3</v>
      </c>
      <c r="E386" s="31">
        <v>9</v>
      </c>
      <c r="F386" s="5">
        <v>2</v>
      </c>
      <c r="G386" s="31">
        <v>6</v>
      </c>
      <c r="H386" s="5">
        <v>2033</v>
      </c>
      <c r="I386" s="5">
        <v>2050</v>
      </c>
      <c r="J386" s="142">
        <v>1.0649</v>
      </c>
      <c r="K386" s="142">
        <v>1.0597000000000001</v>
      </c>
      <c r="L386" s="142">
        <v>0.49669999999999997</v>
      </c>
      <c r="M386" s="142">
        <v>0.82399999999999995</v>
      </c>
      <c r="N386" s="142">
        <v>0.93169999999999997</v>
      </c>
      <c r="O386" s="142">
        <v>1.0538000000000001</v>
      </c>
      <c r="P386" s="26">
        <v>20134.400457641663</v>
      </c>
      <c r="Q386" s="35">
        <f t="array" ref="Q386">SUM(IF(($S386&gt;=4)*($C386='TaxCred&amp;Subs'!$D$114:$D$121)*($H386='TaxCred&amp;Subs'!$C$114:$C$121)*($H386&lt;='TaxCred&amp;Subs'!$C$123),'TaxCred&amp;Subs'!$E$114:$E$121,0))</f>
        <v>0</v>
      </c>
      <c r="R386" s="143">
        <v>0</v>
      </c>
      <c r="S386" s="5">
        <v>4</v>
      </c>
      <c r="T386" s="5" t="s">
        <v>240</v>
      </c>
      <c r="V386" s="7" t="str">
        <f t="array" ref="V386">INDEX(xlRTCLNAME,MATCH(1,(xlRTCLENDU=1)*(xlRTCLEQCL=$D386),0))</f>
        <v>NG_FA</v>
      </c>
      <c r="W386" s="7" t="str">
        <f t="array" ref="W386">INDEX(xlRTCLNAME,MATCH(1,(xlRTCLENDU=2)*(xlRTCLEQCL=$F386),0))</f>
        <v>CENT_AIR</v>
      </c>
      <c r="X386" s="7" t="str">
        <f t="array" ref="X386">INDEX(xlRTTYNAME,MATCH(1,(xlRTTYENDU=1)*(xlRTTYEQCL=$D386)*(xlRTEQTYPE=$E386),0))</f>
        <v>NG_FA4</v>
      </c>
      <c r="Y386" s="7" t="str">
        <f t="array" ref="Y386">INDEX(xlRTTYNAME,MATCH(1,(xlRTTYENDU=2)*(xlRTTYEQCL=$F386)*(xlRTEQTYPE=$G386),0))</f>
        <v>CENT_AIR3</v>
      </c>
    </row>
    <row r="387" spans="2:25" x14ac:dyDescent="0.2">
      <c r="B387" s="5">
        <v>3</v>
      </c>
      <c r="C387" s="5">
        <v>1</v>
      </c>
      <c r="D387" s="5">
        <v>3</v>
      </c>
      <c r="E387" s="5">
        <v>8</v>
      </c>
      <c r="F387" s="5">
        <v>2</v>
      </c>
      <c r="G387" s="31">
        <v>6</v>
      </c>
      <c r="H387" s="31">
        <v>2020</v>
      </c>
      <c r="I387" s="5">
        <v>2022</v>
      </c>
      <c r="J387" s="142">
        <v>1.0469999999999999</v>
      </c>
      <c r="K387" s="142">
        <v>1.0769</v>
      </c>
      <c r="L387" s="142">
        <v>0.45619999999999999</v>
      </c>
      <c r="M387" s="142">
        <v>0.90190000000000003</v>
      </c>
      <c r="N387" s="142">
        <v>0.91600000000000004</v>
      </c>
      <c r="O387" s="142">
        <v>1.0538000000000001</v>
      </c>
      <c r="P387" s="26">
        <v>17265.164359036837</v>
      </c>
      <c r="Q387" s="35">
        <f t="array" ref="Q387">SUM(IF(($S387&gt;=4)*($C387='TaxCred&amp;Subs'!$D$114:$D$121)*($H387='TaxCred&amp;Subs'!$C$114:$C$121)*($H387&lt;='TaxCred&amp;Subs'!$C$123),'TaxCred&amp;Subs'!$E$114:$E$121,0))</f>
        <v>2000</v>
      </c>
      <c r="R387" s="143">
        <v>0</v>
      </c>
      <c r="S387" s="5">
        <v>4</v>
      </c>
      <c r="T387" s="5" t="s">
        <v>240</v>
      </c>
      <c r="V387" s="7" t="str">
        <f t="array" ref="V387">INDEX(xlRTCLNAME,MATCH(1,(xlRTCLENDU=1)*(xlRTCLEQCL=$D387),0))</f>
        <v>NG_FA</v>
      </c>
      <c r="W387" s="7" t="str">
        <f t="array" ref="W387">INDEX(xlRTCLNAME,MATCH(1,(xlRTCLENDU=2)*(xlRTCLEQCL=$F387),0))</f>
        <v>CENT_AIR</v>
      </c>
      <c r="X387" s="7" t="str">
        <f t="array" ref="X387">INDEX(xlRTTYNAME,MATCH(1,(xlRTTYENDU=1)*(xlRTTYEQCL=$D387)*(xlRTEQTYPE=$E387),0))</f>
        <v>NG_FA3</v>
      </c>
      <c r="Y387" s="7" t="str">
        <f t="array" ref="Y387">INDEX(xlRTTYNAME,MATCH(1,(xlRTTYENDU=2)*(xlRTTYEQCL=$F387)*(xlRTEQTYPE=$G387),0))</f>
        <v>CENT_AIR3</v>
      </c>
    </row>
    <row r="388" spans="2:25" x14ac:dyDescent="0.2">
      <c r="B388" s="5">
        <v>3</v>
      </c>
      <c r="C388" s="5">
        <v>1</v>
      </c>
      <c r="D388" s="5">
        <v>3</v>
      </c>
      <c r="E388" s="5">
        <v>8</v>
      </c>
      <c r="F388" s="5">
        <v>2</v>
      </c>
      <c r="G388" s="31">
        <v>6</v>
      </c>
      <c r="H388" s="5">
        <v>2023</v>
      </c>
      <c r="I388" s="31">
        <v>2028</v>
      </c>
      <c r="J388" s="142">
        <v>1.0469999999999999</v>
      </c>
      <c r="K388" s="142">
        <v>1.0769</v>
      </c>
      <c r="L388" s="142">
        <v>0.45619999999999999</v>
      </c>
      <c r="M388" s="142">
        <v>0.90190000000000003</v>
      </c>
      <c r="N388" s="142">
        <v>0.91600000000000004</v>
      </c>
      <c r="O388" s="142">
        <v>1.0538000000000001</v>
      </c>
      <c r="P388" s="26">
        <v>17265.164359036837</v>
      </c>
      <c r="Q388" s="35">
        <f t="array" ref="Q388">SUM(IF(($S388&gt;=4)*($C388='TaxCred&amp;Subs'!$D$114:$D$121)*($H388='TaxCred&amp;Subs'!$C$114:$C$121)*($H388&lt;='TaxCred&amp;Subs'!$C$123),'TaxCred&amp;Subs'!$E$114:$E$121,0))</f>
        <v>2500</v>
      </c>
      <c r="R388" s="143">
        <v>0</v>
      </c>
      <c r="S388" s="5">
        <v>4</v>
      </c>
      <c r="T388" s="5" t="s">
        <v>240</v>
      </c>
      <c r="V388" s="7" t="str">
        <f t="array" ref="V388">INDEX(xlRTCLNAME,MATCH(1,(xlRTCLENDU=1)*(xlRTCLEQCL=$D388),0))</f>
        <v>NG_FA</v>
      </c>
      <c r="W388" s="7" t="str">
        <f t="array" ref="W388">INDEX(xlRTCLNAME,MATCH(1,(xlRTCLENDU=2)*(xlRTCLEQCL=$F388),0))</f>
        <v>CENT_AIR</v>
      </c>
      <c r="X388" s="7" t="str">
        <f t="array" ref="X388">INDEX(xlRTTYNAME,MATCH(1,(xlRTTYENDU=1)*(xlRTTYEQCL=$D388)*(xlRTEQTYPE=$E388),0))</f>
        <v>NG_FA3</v>
      </c>
      <c r="Y388" s="7" t="str">
        <f t="array" ref="Y388">INDEX(xlRTTYNAME,MATCH(1,(xlRTTYENDU=2)*(xlRTTYEQCL=$F388)*(xlRTEQTYPE=$G388),0))</f>
        <v>CENT_AIR3</v>
      </c>
    </row>
    <row r="389" spans="2:25" x14ac:dyDescent="0.2">
      <c r="B389" s="152">
        <v>3</v>
      </c>
      <c r="C389" s="152">
        <v>1</v>
      </c>
      <c r="D389" s="152">
        <v>3</v>
      </c>
      <c r="E389" s="152">
        <v>9</v>
      </c>
      <c r="F389" s="152">
        <v>2</v>
      </c>
      <c r="G389" s="152">
        <v>6</v>
      </c>
      <c r="H389" s="152">
        <v>2029</v>
      </c>
      <c r="I389" s="152">
        <v>2032</v>
      </c>
      <c r="J389" s="229">
        <v>1.0469999999999999</v>
      </c>
      <c r="K389" s="229">
        <v>1.0769</v>
      </c>
      <c r="L389" s="229">
        <v>0.45619999999999999</v>
      </c>
      <c r="M389" s="229">
        <v>0.90190000000000003</v>
      </c>
      <c r="N389" s="229">
        <v>0.91600000000000004</v>
      </c>
      <c r="O389" s="229">
        <v>1.0538000000000001</v>
      </c>
      <c r="P389" s="155">
        <v>17265.164359036837</v>
      </c>
      <c r="Q389" s="41">
        <f t="array" ref="Q389">SUM(IF(($S389&gt;=4)*($C389='TaxCred&amp;Subs'!$D$114:$D$121)*($H389='TaxCred&amp;Subs'!$C$114:$C$121)*($H389&lt;='TaxCred&amp;Subs'!$C$123),'TaxCred&amp;Subs'!$E$114:$E$121,0))</f>
        <v>2500</v>
      </c>
      <c r="R389" s="230">
        <v>0</v>
      </c>
      <c r="S389" s="152">
        <v>4</v>
      </c>
      <c r="T389" s="152" t="s">
        <v>240</v>
      </c>
      <c r="V389" s="7" t="str">
        <f t="array" ref="V389">INDEX(xlRTCLNAME,MATCH(1,(xlRTCLENDU=1)*(xlRTCLEQCL=$D389),0))</f>
        <v>NG_FA</v>
      </c>
      <c r="W389" s="7" t="str">
        <f t="array" ref="W389">INDEX(xlRTCLNAME,MATCH(1,(xlRTCLENDU=2)*(xlRTCLEQCL=$F389),0))</f>
        <v>CENT_AIR</v>
      </c>
      <c r="X389" s="7" t="str">
        <f t="array" ref="X389">INDEX(xlRTTYNAME,MATCH(1,(xlRTTYENDU=1)*(xlRTTYEQCL=$D389)*(xlRTEQTYPE=$E389),0))</f>
        <v>NG_FA4</v>
      </c>
      <c r="Y389" s="7" t="str">
        <f t="array" ref="Y389">INDEX(xlRTTYNAME,MATCH(1,(xlRTTYENDU=2)*(xlRTTYEQCL=$F389)*(xlRTEQTYPE=$G389),0))</f>
        <v>CENT_AIR3</v>
      </c>
    </row>
    <row r="390" spans="2:25" x14ac:dyDescent="0.2">
      <c r="B390" s="5">
        <v>3</v>
      </c>
      <c r="C390" s="5">
        <v>1</v>
      </c>
      <c r="D390" s="5">
        <v>3</v>
      </c>
      <c r="E390" s="31">
        <v>9</v>
      </c>
      <c r="F390" s="5">
        <v>2</v>
      </c>
      <c r="G390" s="31">
        <v>6</v>
      </c>
      <c r="H390" s="5">
        <v>2033</v>
      </c>
      <c r="I390" s="5">
        <v>2050</v>
      </c>
      <c r="J390" s="142">
        <v>1.0469999999999999</v>
      </c>
      <c r="K390" s="142">
        <v>1.0769</v>
      </c>
      <c r="L390" s="142">
        <v>0.45619999999999999</v>
      </c>
      <c r="M390" s="142">
        <v>0.90190000000000003</v>
      </c>
      <c r="N390" s="142">
        <v>0.91600000000000004</v>
      </c>
      <c r="O390" s="142">
        <v>1.0538000000000001</v>
      </c>
      <c r="P390" s="26">
        <v>17265.164359036837</v>
      </c>
      <c r="Q390" s="35">
        <f t="array" ref="Q390">SUM(IF(($S390&gt;=4)*($C390='TaxCred&amp;Subs'!$D$114:$D$121)*($H390='TaxCred&amp;Subs'!$C$114:$C$121)*($H390&lt;='TaxCred&amp;Subs'!$C$123),'TaxCred&amp;Subs'!$E$114:$E$121,0))</f>
        <v>0</v>
      </c>
      <c r="R390" s="143">
        <v>0</v>
      </c>
      <c r="S390" s="5">
        <v>4</v>
      </c>
      <c r="T390" s="5" t="s">
        <v>240</v>
      </c>
      <c r="V390" s="7" t="str">
        <f t="array" ref="V390">INDEX(xlRTCLNAME,MATCH(1,(xlRTCLENDU=1)*(xlRTCLEQCL=$D390),0))</f>
        <v>NG_FA</v>
      </c>
      <c r="W390" s="7" t="str">
        <f t="array" ref="W390">INDEX(xlRTCLNAME,MATCH(1,(xlRTCLENDU=2)*(xlRTCLEQCL=$F390),0))</f>
        <v>CENT_AIR</v>
      </c>
      <c r="X390" s="7" t="str">
        <f t="array" ref="X390">INDEX(xlRTTYNAME,MATCH(1,(xlRTTYENDU=1)*(xlRTTYEQCL=$D390)*(xlRTEQTYPE=$E390),0))</f>
        <v>NG_FA4</v>
      </c>
      <c r="Y390" s="7" t="str">
        <f t="array" ref="Y390">INDEX(xlRTTYNAME,MATCH(1,(xlRTTYENDU=2)*(xlRTTYEQCL=$F390)*(xlRTEQTYPE=$G390),0))</f>
        <v>CENT_AIR3</v>
      </c>
    </row>
    <row r="391" spans="2:25" x14ac:dyDescent="0.2">
      <c r="B391" s="5">
        <v>4</v>
      </c>
      <c r="C391" s="5">
        <v>1</v>
      </c>
      <c r="D391" s="5">
        <v>3</v>
      </c>
      <c r="E391" s="5">
        <v>8</v>
      </c>
      <c r="F391" s="5">
        <v>2</v>
      </c>
      <c r="G391" s="31">
        <v>6</v>
      </c>
      <c r="H391" s="31">
        <v>2020</v>
      </c>
      <c r="I391" s="5">
        <v>2022</v>
      </c>
      <c r="J391" s="142">
        <v>1.0862000000000001</v>
      </c>
      <c r="K391" s="142">
        <v>1.0769</v>
      </c>
      <c r="L391" s="142">
        <v>0.45779999999999998</v>
      </c>
      <c r="M391" s="142">
        <v>0.85729999999999995</v>
      </c>
      <c r="N391" s="142">
        <v>0.85770000000000002</v>
      </c>
      <c r="O391" s="142">
        <v>1.0538000000000001</v>
      </c>
      <c r="P391" s="26">
        <v>14059.794696865367</v>
      </c>
      <c r="Q391" s="35">
        <f t="array" ref="Q391">SUM(IF(($S391&gt;=4)*($C391='TaxCred&amp;Subs'!$D$114:$D$121)*($H391='TaxCred&amp;Subs'!$C$114:$C$121)*($H391&lt;='TaxCred&amp;Subs'!$C$123),'TaxCred&amp;Subs'!$E$114:$E$121,0))</f>
        <v>2000</v>
      </c>
      <c r="R391" s="143">
        <v>0</v>
      </c>
      <c r="S391" s="5">
        <v>4</v>
      </c>
      <c r="T391" s="5" t="s">
        <v>240</v>
      </c>
      <c r="V391" s="7" t="str">
        <f t="array" ref="V391">INDEX(xlRTCLNAME,MATCH(1,(xlRTCLENDU=1)*(xlRTCLEQCL=$D391),0))</f>
        <v>NG_FA</v>
      </c>
      <c r="W391" s="7" t="str">
        <f t="array" ref="W391">INDEX(xlRTCLNAME,MATCH(1,(xlRTCLENDU=2)*(xlRTCLEQCL=$F391),0))</f>
        <v>CENT_AIR</v>
      </c>
      <c r="X391" s="7" t="str">
        <f t="array" ref="X391">INDEX(xlRTTYNAME,MATCH(1,(xlRTTYENDU=1)*(xlRTTYEQCL=$D391)*(xlRTEQTYPE=$E391),0))</f>
        <v>NG_FA3</v>
      </c>
      <c r="Y391" s="7" t="str">
        <f t="array" ref="Y391">INDEX(xlRTTYNAME,MATCH(1,(xlRTTYENDU=2)*(xlRTTYEQCL=$F391)*(xlRTEQTYPE=$G391),0))</f>
        <v>CENT_AIR3</v>
      </c>
    </row>
    <row r="392" spans="2:25" x14ac:dyDescent="0.2">
      <c r="B392" s="5">
        <v>4</v>
      </c>
      <c r="C392" s="5">
        <v>1</v>
      </c>
      <c r="D392" s="5">
        <v>3</v>
      </c>
      <c r="E392" s="5">
        <v>8</v>
      </c>
      <c r="F392" s="5">
        <v>2</v>
      </c>
      <c r="G392" s="31">
        <v>6</v>
      </c>
      <c r="H392" s="5">
        <v>2023</v>
      </c>
      <c r="I392" s="31">
        <v>2028</v>
      </c>
      <c r="J392" s="142">
        <v>1.0862000000000001</v>
      </c>
      <c r="K392" s="142">
        <v>1.0769</v>
      </c>
      <c r="L392" s="142">
        <v>0.45779999999999998</v>
      </c>
      <c r="M392" s="142">
        <v>0.85729999999999995</v>
      </c>
      <c r="N392" s="142">
        <v>0.85770000000000002</v>
      </c>
      <c r="O392" s="142">
        <v>1.0538000000000001</v>
      </c>
      <c r="P392" s="26">
        <v>14059.794696865367</v>
      </c>
      <c r="Q392" s="35">
        <f t="array" ref="Q392">SUM(IF(($S392&gt;=4)*($C392='TaxCred&amp;Subs'!$D$114:$D$121)*($H392='TaxCred&amp;Subs'!$C$114:$C$121)*($H392&lt;='TaxCred&amp;Subs'!$C$123),'TaxCred&amp;Subs'!$E$114:$E$121,0))</f>
        <v>2500</v>
      </c>
      <c r="R392" s="143">
        <v>0</v>
      </c>
      <c r="S392" s="5">
        <v>4</v>
      </c>
      <c r="T392" s="5" t="s">
        <v>240</v>
      </c>
      <c r="V392" s="7" t="str">
        <f t="array" ref="V392">INDEX(xlRTCLNAME,MATCH(1,(xlRTCLENDU=1)*(xlRTCLEQCL=$D392),0))</f>
        <v>NG_FA</v>
      </c>
      <c r="W392" s="7" t="str">
        <f t="array" ref="W392">INDEX(xlRTCLNAME,MATCH(1,(xlRTCLENDU=2)*(xlRTCLEQCL=$F392),0))</f>
        <v>CENT_AIR</v>
      </c>
      <c r="X392" s="7" t="str">
        <f t="array" ref="X392">INDEX(xlRTTYNAME,MATCH(1,(xlRTTYENDU=1)*(xlRTTYEQCL=$D392)*(xlRTEQTYPE=$E392),0))</f>
        <v>NG_FA3</v>
      </c>
      <c r="Y392" s="7" t="str">
        <f t="array" ref="Y392">INDEX(xlRTTYNAME,MATCH(1,(xlRTTYENDU=2)*(xlRTTYEQCL=$F392)*(xlRTEQTYPE=$G392),0))</f>
        <v>CENT_AIR3</v>
      </c>
    </row>
    <row r="393" spans="2:25" x14ac:dyDescent="0.2">
      <c r="B393" s="152">
        <v>4</v>
      </c>
      <c r="C393" s="152">
        <v>1</v>
      </c>
      <c r="D393" s="152">
        <v>3</v>
      </c>
      <c r="E393" s="152">
        <v>9</v>
      </c>
      <c r="F393" s="152">
        <v>2</v>
      </c>
      <c r="G393" s="152">
        <v>6</v>
      </c>
      <c r="H393" s="152">
        <v>2029</v>
      </c>
      <c r="I393" s="152">
        <v>2032</v>
      </c>
      <c r="J393" s="229">
        <v>1.0862000000000001</v>
      </c>
      <c r="K393" s="229">
        <v>1.0769</v>
      </c>
      <c r="L393" s="229">
        <v>0.45779999999999998</v>
      </c>
      <c r="M393" s="229">
        <v>0.85729999999999995</v>
      </c>
      <c r="N393" s="229">
        <v>0.85770000000000002</v>
      </c>
      <c r="O393" s="229">
        <v>1.0538000000000001</v>
      </c>
      <c r="P393" s="155">
        <v>14059.794696865367</v>
      </c>
      <c r="Q393" s="41">
        <f t="array" ref="Q393">SUM(IF(($S393&gt;=4)*($C393='TaxCred&amp;Subs'!$D$114:$D$121)*($H393='TaxCred&amp;Subs'!$C$114:$C$121)*($H393&lt;='TaxCred&amp;Subs'!$C$123),'TaxCred&amp;Subs'!$E$114:$E$121,0))</f>
        <v>2500</v>
      </c>
      <c r="R393" s="230">
        <v>0</v>
      </c>
      <c r="S393" s="152">
        <v>4</v>
      </c>
      <c r="T393" s="152" t="s">
        <v>240</v>
      </c>
      <c r="V393" s="7" t="str">
        <f t="array" ref="V393">INDEX(xlRTCLNAME,MATCH(1,(xlRTCLENDU=1)*(xlRTCLEQCL=$D393),0))</f>
        <v>NG_FA</v>
      </c>
      <c r="W393" s="7" t="str">
        <f t="array" ref="W393">INDEX(xlRTCLNAME,MATCH(1,(xlRTCLENDU=2)*(xlRTCLEQCL=$F393),0))</f>
        <v>CENT_AIR</v>
      </c>
      <c r="X393" s="7" t="str">
        <f t="array" ref="X393">INDEX(xlRTTYNAME,MATCH(1,(xlRTTYENDU=1)*(xlRTTYEQCL=$D393)*(xlRTEQTYPE=$E393),0))</f>
        <v>NG_FA4</v>
      </c>
      <c r="Y393" s="7" t="str">
        <f t="array" ref="Y393">INDEX(xlRTTYNAME,MATCH(1,(xlRTTYENDU=2)*(xlRTTYEQCL=$F393)*(xlRTEQTYPE=$G393),0))</f>
        <v>CENT_AIR3</v>
      </c>
    </row>
    <row r="394" spans="2:25" x14ac:dyDescent="0.2">
      <c r="B394" s="5">
        <v>4</v>
      </c>
      <c r="C394" s="5">
        <v>1</v>
      </c>
      <c r="D394" s="5">
        <v>3</v>
      </c>
      <c r="E394" s="31">
        <v>9</v>
      </c>
      <c r="F394" s="5">
        <v>2</v>
      </c>
      <c r="G394" s="31">
        <v>6</v>
      </c>
      <c r="H394" s="5">
        <v>2033</v>
      </c>
      <c r="I394" s="5">
        <v>2050</v>
      </c>
      <c r="J394" s="142">
        <v>1.0862000000000001</v>
      </c>
      <c r="K394" s="142">
        <v>1.0769</v>
      </c>
      <c r="L394" s="142">
        <v>0.45779999999999998</v>
      </c>
      <c r="M394" s="142">
        <v>0.85729999999999995</v>
      </c>
      <c r="N394" s="142">
        <v>0.85770000000000002</v>
      </c>
      <c r="O394" s="142">
        <v>1.0538000000000001</v>
      </c>
      <c r="P394" s="26">
        <v>14059.794696865367</v>
      </c>
      <c r="Q394" s="35">
        <f t="array" ref="Q394">SUM(IF(($S394&gt;=4)*($C394='TaxCred&amp;Subs'!$D$114:$D$121)*($H394='TaxCred&amp;Subs'!$C$114:$C$121)*($H394&lt;='TaxCred&amp;Subs'!$C$123),'TaxCred&amp;Subs'!$E$114:$E$121,0))</f>
        <v>0</v>
      </c>
      <c r="R394" s="143">
        <v>0</v>
      </c>
      <c r="S394" s="5">
        <v>4</v>
      </c>
      <c r="T394" s="5" t="s">
        <v>240</v>
      </c>
      <c r="V394" s="7" t="str">
        <f t="array" ref="V394">INDEX(xlRTCLNAME,MATCH(1,(xlRTCLENDU=1)*(xlRTCLEQCL=$D394),0))</f>
        <v>NG_FA</v>
      </c>
      <c r="W394" s="7" t="str">
        <f t="array" ref="W394">INDEX(xlRTCLNAME,MATCH(1,(xlRTCLENDU=2)*(xlRTCLEQCL=$F394),0))</f>
        <v>CENT_AIR</v>
      </c>
      <c r="X394" s="7" t="str">
        <f t="array" ref="X394">INDEX(xlRTTYNAME,MATCH(1,(xlRTTYENDU=1)*(xlRTTYEQCL=$D394)*(xlRTEQTYPE=$E394),0))</f>
        <v>NG_FA4</v>
      </c>
      <c r="Y394" s="7" t="str">
        <f t="array" ref="Y394">INDEX(xlRTTYNAME,MATCH(1,(xlRTTYENDU=2)*(xlRTTYEQCL=$F394)*(xlRTEQTYPE=$G394),0))</f>
        <v>CENT_AIR3</v>
      </c>
    </row>
    <row r="395" spans="2:25" x14ac:dyDescent="0.2">
      <c r="B395" s="5">
        <v>5</v>
      </c>
      <c r="C395" s="5">
        <v>1</v>
      </c>
      <c r="D395" s="5">
        <v>3</v>
      </c>
      <c r="E395" s="5">
        <v>8</v>
      </c>
      <c r="F395" s="5">
        <v>2</v>
      </c>
      <c r="G395" s="31">
        <v>6</v>
      </c>
      <c r="H395" s="31">
        <v>2020</v>
      </c>
      <c r="I395" s="5">
        <v>2022</v>
      </c>
      <c r="J395" s="142">
        <v>1.0849</v>
      </c>
      <c r="K395" s="142">
        <v>1.0471999999999999</v>
      </c>
      <c r="L395" s="142">
        <v>0.41520000000000001</v>
      </c>
      <c r="M395" s="142">
        <v>0.77729999999999999</v>
      </c>
      <c r="N395" s="142">
        <v>0.76180000000000003</v>
      </c>
      <c r="O395" s="142">
        <v>1.0538000000000001</v>
      </c>
      <c r="P395" s="26">
        <v>13109.208979098914</v>
      </c>
      <c r="Q395" s="35">
        <f t="array" ref="Q395">SUM(IF(($S395&gt;=4)*($C395='TaxCred&amp;Subs'!$D$114:$D$121)*($H395='TaxCred&amp;Subs'!$C$114:$C$121)*($H395&lt;='TaxCred&amp;Subs'!$C$123),'TaxCred&amp;Subs'!$E$114:$E$121,0))</f>
        <v>2000</v>
      </c>
      <c r="R395" s="143">
        <v>0</v>
      </c>
      <c r="S395" s="5">
        <v>4</v>
      </c>
      <c r="T395" s="5" t="s">
        <v>240</v>
      </c>
      <c r="V395" s="7" t="str">
        <f t="array" ref="V395">INDEX(xlRTCLNAME,MATCH(1,(xlRTCLENDU=1)*(xlRTCLEQCL=$D395),0))</f>
        <v>NG_FA</v>
      </c>
      <c r="W395" s="7" t="str">
        <f t="array" ref="W395">INDEX(xlRTCLNAME,MATCH(1,(xlRTCLENDU=2)*(xlRTCLEQCL=$F395),0))</f>
        <v>CENT_AIR</v>
      </c>
      <c r="X395" s="7" t="str">
        <f t="array" ref="X395">INDEX(xlRTTYNAME,MATCH(1,(xlRTTYENDU=1)*(xlRTTYEQCL=$D395)*(xlRTEQTYPE=$E395),0))</f>
        <v>NG_FA3</v>
      </c>
      <c r="Y395" s="7" t="str">
        <f t="array" ref="Y395">INDEX(xlRTTYNAME,MATCH(1,(xlRTTYENDU=2)*(xlRTTYEQCL=$F395)*(xlRTEQTYPE=$G395),0))</f>
        <v>CENT_AIR3</v>
      </c>
    </row>
    <row r="396" spans="2:25" x14ac:dyDescent="0.2">
      <c r="B396" s="5">
        <v>5</v>
      </c>
      <c r="C396" s="5">
        <v>1</v>
      </c>
      <c r="D396" s="5">
        <v>3</v>
      </c>
      <c r="E396" s="5">
        <v>8</v>
      </c>
      <c r="F396" s="5">
        <v>2</v>
      </c>
      <c r="G396" s="31">
        <v>6</v>
      </c>
      <c r="H396" s="5">
        <v>2023</v>
      </c>
      <c r="I396" s="31">
        <v>2028</v>
      </c>
      <c r="J396" s="142">
        <v>1.0849</v>
      </c>
      <c r="K396" s="142">
        <v>1.0471999999999999</v>
      </c>
      <c r="L396" s="142">
        <v>0.41520000000000001</v>
      </c>
      <c r="M396" s="142">
        <v>0.77729999999999999</v>
      </c>
      <c r="N396" s="142">
        <v>0.76180000000000003</v>
      </c>
      <c r="O396" s="142">
        <v>1.0538000000000001</v>
      </c>
      <c r="P396" s="26">
        <v>13109.208979098914</v>
      </c>
      <c r="Q396" s="35">
        <f t="array" ref="Q396">SUM(IF(($S396&gt;=4)*($C396='TaxCred&amp;Subs'!$D$114:$D$121)*($H396='TaxCred&amp;Subs'!$C$114:$C$121)*($H396&lt;='TaxCred&amp;Subs'!$C$123),'TaxCred&amp;Subs'!$E$114:$E$121,0))</f>
        <v>2500</v>
      </c>
      <c r="R396" s="143">
        <v>0</v>
      </c>
      <c r="S396" s="5">
        <v>4</v>
      </c>
      <c r="T396" s="5" t="s">
        <v>240</v>
      </c>
      <c r="V396" s="7" t="str">
        <f t="array" ref="V396">INDEX(xlRTCLNAME,MATCH(1,(xlRTCLENDU=1)*(xlRTCLEQCL=$D396),0))</f>
        <v>NG_FA</v>
      </c>
      <c r="W396" s="7" t="str">
        <f t="array" ref="W396">INDEX(xlRTCLNAME,MATCH(1,(xlRTCLENDU=2)*(xlRTCLEQCL=$F396),0))</f>
        <v>CENT_AIR</v>
      </c>
      <c r="X396" s="7" t="str">
        <f t="array" ref="X396">INDEX(xlRTTYNAME,MATCH(1,(xlRTTYENDU=1)*(xlRTTYEQCL=$D396)*(xlRTEQTYPE=$E396),0))</f>
        <v>NG_FA3</v>
      </c>
      <c r="Y396" s="7" t="str">
        <f t="array" ref="Y396">INDEX(xlRTTYNAME,MATCH(1,(xlRTTYENDU=2)*(xlRTTYEQCL=$F396)*(xlRTEQTYPE=$G396),0))</f>
        <v>CENT_AIR3</v>
      </c>
    </row>
    <row r="397" spans="2:25" x14ac:dyDescent="0.2">
      <c r="B397" s="152">
        <v>5</v>
      </c>
      <c r="C397" s="152">
        <v>1</v>
      </c>
      <c r="D397" s="152">
        <v>3</v>
      </c>
      <c r="E397" s="152">
        <v>9</v>
      </c>
      <c r="F397" s="152">
        <v>2</v>
      </c>
      <c r="G397" s="152">
        <v>6</v>
      </c>
      <c r="H397" s="152">
        <v>2029</v>
      </c>
      <c r="I397" s="152">
        <v>2032</v>
      </c>
      <c r="J397" s="229">
        <v>1.0849</v>
      </c>
      <c r="K397" s="229">
        <v>1.0471999999999999</v>
      </c>
      <c r="L397" s="229">
        <v>0.41520000000000001</v>
      </c>
      <c r="M397" s="229">
        <v>0.77729999999999999</v>
      </c>
      <c r="N397" s="229">
        <v>0.76180000000000003</v>
      </c>
      <c r="O397" s="229">
        <v>1.0538000000000001</v>
      </c>
      <c r="P397" s="155">
        <v>13109.208979098914</v>
      </c>
      <c r="Q397" s="41">
        <f t="array" ref="Q397">SUM(IF(($S397&gt;=4)*($C397='TaxCred&amp;Subs'!$D$114:$D$121)*($H397='TaxCred&amp;Subs'!$C$114:$C$121)*($H397&lt;='TaxCred&amp;Subs'!$C$123),'TaxCred&amp;Subs'!$E$114:$E$121,0))</f>
        <v>2500</v>
      </c>
      <c r="R397" s="230">
        <v>0</v>
      </c>
      <c r="S397" s="152">
        <v>4</v>
      </c>
      <c r="T397" s="152" t="s">
        <v>240</v>
      </c>
      <c r="V397" s="7" t="str">
        <f t="array" ref="V397">INDEX(xlRTCLNAME,MATCH(1,(xlRTCLENDU=1)*(xlRTCLEQCL=$D397),0))</f>
        <v>NG_FA</v>
      </c>
      <c r="W397" s="7" t="str">
        <f t="array" ref="W397">INDEX(xlRTCLNAME,MATCH(1,(xlRTCLENDU=2)*(xlRTCLEQCL=$F397),0))</f>
        <v>CENT_AIR</v>
      </c>
      <c r="X397" s="7" t="str">
        <f t="array" ref="X397">INDEX(xlRTTYNAME,MATCH(1,(xlRTTYENDU=1)*(xlRTTYEQCL=$D397)*(xlRTEQTYPE=$E397),0))</f>
        <v>NG_FA4</v>
      </c>
      <c r="Y397" s="7" t="str">
        <f t="array" ref="Y397">INDEX(xlRTTYNAME,MATCH(1,(xlRTTYENDU=2)*(xlRTTYEQCL=$F397)*(xlRTEQTYPE=$G397),0))</f>
        <v>CENT_AIR3</v>
      </c>
    </row>
    <row r="398" spans="2:25" x14ac:dyDescent="0.2">
      <c r="B398" s="5">
        <v>5</v>
      </c>
      <c r="C398" s="5">
        <v>1</v>
      </c>
      <c r="D398" s="5">
        <v>3</v>
      </c>
      <c r="E398" s="31">
        <v>9</v>
      </c>
      <c r="F398" s="5">
        <v>2</v>
      </c>
      <c r="G398" s="31">
        <v>6</v>
      </c>
      <c r="H398" s="5">
        <v>2033</v>
      </c>
      <c r="I398" s="5">
        <v>2050</v>
      </c>
      <c r="J398" s="142">
        <v>1.0849</v>
      </c>
      <c r="K398" s="142">
        <v>1.0471999999999999</v>
      </c>
      <c r="L398" s="142">
        <v>0.41520000000000001</v>
      </c>
      <c r="M398" s="142">
        <v>0.77729999999999999</v>
      </c>
      <c r="N398" s="142">
        <v>0.76180000000000003</v>
      </c>
      <c r="O398" s="142">
        <v>1.0538000000000001</v>
      </c>
      <c r="P398" s="26">
        <v>13109.208979098914</v>
      </c>
      <c r="Q398" s="35">
        <f t="array" ref="Q398">SUM(IF(($S398&gt;=4)*($C398='TaxCred&amp;Subs'!$D$114:$D$121)*($H398='TaxCred&amp;Subs'!$C$114:$C$121)*($H398&lt;='TaxCred&amp;Subs'!$C$123),'TaxCred&amp;Subs'!$E$114:$E$121,0))</f>
        <v>0</v>
      </c>
      <c r="R398" s="143">
        <v>0</v>
      </c>
      <c r="S398" s="5">
        <v>4</v>
      </c>
      <c r="T398" s="5" t="s">
        <v>240</v>
      </c>
      <c r="V398" s="7" t="str">
        <f t="array" ref="V398">INDEX(xlRTCLNAME,MATCH(1,(xlRTCLENDU=1)*(xlRTCLEQCL=$D398),0))</f>
        <v>NG_FA</v>
      </c>
      <c r="W398" s="7" t="str">
        <f t="array" ref="W398">INDEX(xlRTCLNAME,MATCH(1,(xlRTCLENDU=2)*(xlRTCLEQCL=$F398),0))</f>
        <v>CENT_AIR</v>
      </c>
      <c r="X398" s="7" t="str">
        <f t="array" ref="X398">INDEX(xlRTTYNAME,MATCH(1,(xlRTTYENDU=1)*(xlRTTYEQCL=$D398)*(xlRTEQTYPE=$E398),0))</f>
        <v>NG_FA4</v>
      </c>
      <c r="Y398" s="7" t="str">
        <f t="array" ref="Y398">INDEX(xlRTTYNAME,MATCH(1,(xlRTTYENDU=2)*(xlRTTYEQCL=$F398)*(xlRTEQTYPE=$G398),0))</f>
        <v>CENT_AIR3</v>
      </c>
    </row>
    <row r="399" spans="2:25" x14ac:dyDescent="0.2">
      <c r="B399" s="5">
        <v>6</v>
      </c>
      <c r="C399" s="5">
        <v>1</v>
      </c>
      <c r="D399" s="5">
        <v>3</v>
      </c>
      <c r="E399" s="5">
        <v>8</v>
      </c>
      <c r="F399" s="5">
        <v>2</v>
      </c>
      <c r="G399" s="31">
        <v>6</v>
      </c>
      <c r="H399" s="31">
        <v>2020</v>
      </c>
      <c r="I399" s="5">
        <v>2022</v>
      </c>
      <c r="J399" s="142">
        <v>1.0924</v>
      </c>
      <c r="K399" s="142">
        <v>1.0661</v>
      </c>
      <c r="L399" s="142">
        <v>0.57899999999999996</v>
      </c>
      <c r="M399" s="142">
        <v>0.84570000000000001</v>
      </c>
      <c r="N399" s="142">
        <v>0.89100000000000001</v>
      </c>
      <c r="O399" s="142">
        <v>1.0538000000000001</v>
      </c>
      <c r="P399" s="26">
        <v>11834.590506054219</v>
      </c>
      <c r="Q399" s="35">
        <f t="array" ref="Q399">SUM(IF(($S399&gt;=4)*($C399='TaxCred&amp;Subs'!$D$114:$D$121)*($H399='TaxCred&amp;Subs'!$C$114:$C$121)*($H399&lt;='TaxCred&amp;Subs'!$C$123),'TaxCred&amp;Subs'!$E$114:$E$121,0))</f>
        <v>2000</v>
      </c>
      <c r="R399" s="143">
        <v>0</v>
      </c>
      <c r="S399" s="5">
        <v>4</v>
      </c>
      <c r="T399" s="5" t="s">
        <v>240</v>
      </c>
      <c r="V399" s="7" t="str">
        <f t="array" ref="V399">INDEX(xlRTCLNAME,MATCH(1,(xlRTCLENDU=1)*(xlRTCLEQCL=$D399),0))</f>
        <v>NG_FA</v>
      </c>
      <c r="W399" s="7" t="str">
        <f t="array" ref="W399">INDEX(xlRTCLNAME,MATCH(1,(xlRTCLENDU=2)*(xlRTCLEQCL=$F399),0))</f>
        <v>CENT_AIR</v>
      </c>
      <c r="X399" s="7" t="str">
        <f t="array" ref="X399">INDEX(xlRTTYNAME,MATCH(1,(xlRTTYENDU=1)*(xlRTTYEQCL=$D399)*(xlRTEQTYPE=$E399),0))</f>
        <v>NG_FA3</v>
      </c>
      <c r="Y399" s="7" t="str">
        <f t="array" ref="Y399">INDEX(xlRTTYNAME,MATCH(1,(xlRTTYENDU=2)*(xlRTTYEQCL=$F399)*(xlRTEQTYPE=$G399),0))</f>
        <v>CENT_AIR3</v>
      </c>
    </row>
    <row r="400" spans="2:25" x14ac:dyDescent="0.2">
      <c r="B400" s="5">
        <v>6</v>
      </c>
      <c r="C400" s="5">
        <v>1</v>
      </c>
      <c r="D400" s="5">
        <v>3</v>
      </c>
      <c r="E400" s="5">
        <v>8</v>
      </c>
      <c r="F400" s="5">
        <v>2</v>
      </c>
      <c r="G400" s="31">
        <v>6</v>
      </c>
      <c r="H400" s="5">
        <v>2023</v>
      </c>
      <c r="I400" s="31">
        <v>2028</v>
      </c>
      <c r="J400" s="142">
        <v>1.0924</v>
      </c>
      <c r="K400" s="142">
        <v>1.0661</v>
      </c>
      <c r="L400" s="142">
        <v>0.57899999999999996</v>
      </c>
      <c r="M400" s="142">
        <v>0.84570000000000001</v>
      </c>
      <c r="N400" s="142">
        <v>0.89100000000000001</v>
      </c>
      <c r="O400" s="142">
        <v>1.0538000000000001</v>
      </c>
      <c r="P400" s="26">
        <v>11834.590506054219</v>
      </c>
      <c r="Q400" s="35">
        <f t="array" ref="Q400">SUM(IF(($S400&gt;=4)*($C400='TaxCred&amp;Subs'!$D$114:$D$121)*($H400='TaxCred&amp;Subs'!$C$114:$C$121)*($H400&lt;='TaxCred&amp;Subs'!$C$123),'TaxCred&amp;Subs'!$E$114:$E$121,0))</f>
        <v>2500</v>
      </c>
      <c r="R400" s="143">
        <v>0</v>
      </c>
      <c r="S400" s="5">
        <v>4</v>
      </c>
      <c r="T400" s="5" t="s">
        <v>240</v>
      </c>
      <c r="V400" s="7" t="str">
        <f t="array" ref="V400">INDEX(xlRTCLNAME,MATCH(1,(xlRTCLENDU=1)*(xlRTCLEQCL=$D400),0))</f>
        <v>NG_FA</v>
      </c>
      <c r="W400" s="7" t="str">
        <f t="array" ref="W400">INDEX(xlRTCLNAME,MATCH(1,(xlRTCLENDU=2)*(xlRTCLEQCL=$F400),0))</f>
        <v>CENT_AIR</v>
      </c>
      <c r="X400" s="7" t="str">
        <f t="array" ref="X400">INDEX(xlRTTYNAME,MATCH(1,(xlRTTYENDU=1)*(xlRTTYEQCL=$D400)*(xlRTEQTYPE=$E400),0))</f>
        <v>NG_FA3</v>
      </c>
      <c r="Y400" s="7" t="str">
        <f t="array" ref="Y400">INDEX(xlRTTYNAME,MATCH(1,(xlRTTYENDU=2)*(xlRTTYEQCL=$F400)*(xlRTEQTYPE=$G400),0))</f>
        <v>CENT_AIR3</v>
      </c>
    </row>
    <row r="401" spans="2:25" x14ac:dyDescent="0.2">
      <c r="B401" s="152">
        <v>6</v>
      </c>
      <c r="C401" s="152">
        <v>1</v>
      </c>
      <c r="D401" s="152">
        <v>3</v>
      </c>
      <c r="E401" s="152">
        <v>9</v>
      </c>
      <c r="F401" s="152">
        <v>2</v>
      </c>
      <c r="G401" s="152">
        <v>6</v>
      </c>
      <c r="H401" s="152">
        <v>2029</v>
      </c>
      <c r="I401" s="152">
        <v>2032</v>
      </c>
      <c r="J401" s="229">
        <v>1.0924</v>
      </c>
      <c r="K401" s="229">
        <v>1.0661</v>
      </c>
      <c r="L401" s="229">
        <v>0.57899999999999996</v>
      </c>
      <c r="M401" s="229">
        <v>0.84570000000000001</v>
      </c>
      <c r="N401" s="229">
        <v>0.89100000000000001</v>
      </c>
      <c r="O401" s="229">
        <v>1.0538000000000001</v>
      </c>
      <c r="P401" s="155">
        <v>11834.590506054219</v>
      </c>
      <c r="Q401" s="41">
        <f t="array" ref="Q401">SUM(IF(($S401&gt;=4)*($C401='TaxCred&amp;Subs'!$D$114:$D$121)*($H401='TaxCred&amp;Subs'!$C$114:$C$121)*($H401&lt;='TaxCred&amp;Subs'!$C$123),'TaxCred&amp;Subs'!$E$114:$E$121,0))</f>
        <v>2500</v>
      </c>
      <c r="R401" s="230">
        <v>0</v>
      </c>
      <c r="S401" s="152">
        <v>4</v>
      </c>
      <c r="T401" s="152" t="s">
        <v>240</v>
      </c>
      <c r="V401" s="7" t="str">
        <f t="array" ref="V401">INDEX(xlRTCLNAME,MATCH(1,(xlRTCLENDU=1)*(xlRTCLEQCL=$D401),0))</f>
        <v>NG_FA</v>
      </c>
      <c r="W401" s="7" t="str">
        <f t="array" ref="W401">INDEX(xlRTCLNAME,MATCH(1,(xlRTCLENDU=2)*(xlRTCLEQCL=$F401),0))</f>
        <v>CENT_AIR</v>
      </c>
      <c r="X401" s="7" t="str">
        <f t="array" ref="X401">INDEX(xlRTTYNAME,MATCH(1,(xlRTTYENDU=1)*(xlRTTYEQCL=$D401)*(xlRTEQTYPE=$E401),0))</f>
        <v>NG_FA4</v>
      </c>
      <c r="Y401" s="7" t="str">
        <f t="array" ref="Y401">INDEX(xlRTTYNAME,MATCH(1,(xlRTTYENDU=2)*(xlRTTYEQCL=$F401)*(xlRTEQTYPE=$G401),0))</f>
        <v>CENT_AIR3</v>
      </c>
    </row>
    <row r="402" spans="2:25" x14ac:dyDescent="0.2">
      <c r="B402" s="5">
        <v>6</v>
      </c>
      <c r="C402" s="5">
        <v>1</v>
      </c>
      <c r="D402" s="5">
        <v>3</v>
      </c>
      <c r="E402" s="31">
        <v>9</v>
      </c>
      <c r="F402" s="5">
        <v>2</v>
      </c>
      <c r="G402" s="31">
        <v>6</v>
      </c>
      <c r="H402" s="5">
        <v>2033</v>
      </c>
      <c r="I402" s="5">
        <v>2050</v>
      </c>
      <c r="J402" s="142">
        <v>1.0924</v>
      </c>
      <c r="K402" s="142">
        <v>1.0661</v>
      </c>
      <c r="L402" s="142">
        <v>0.57899999999999996</v>
      </c>
      <c r="M402" s="142">
        <v>0.84570000000000001</v>
      </c>
      <c r="N402" s="142">
        <v>0.89100000000000001</v>
      </c>
      <c r="O402" s="142">
        <v>1.0538000000000001</v>
      </c>
      <c r="P402" s="26">
        <v>11834.590506054219</v>
      </c>
      <c r="Q402" s="35">
        <f t="array" ref="Q402">SUM(IF(($S402&gt;=4)*($C402='TaxCred&amp;Subs'!$D$114:$D$121)*($H402='TaxCred&amp;Subs'!$C$114:$C$121)*($H402&lt;='TaxCred&amp;Subs'!$C$123),'TaxCred&amp;Subs'!$E$114:$E$121,0))</f>
        <v>0</v>
      </c>
      <c r="R402" s="143">
        <v>0</v>
      </c>
      <c r="S402" s="5">
        <v>4</v>
      </c>
      <c r="T402" s="5" t="s">
        <v>240</v>
      </c>
      <c r="V402" s="7" t="str">
        <f t="array" ref="V402">INDEX(xlRTCLNAME,MATCH(1,(xlRTCLENDU=1)*(xlRTCLEQCL=$D402),0))</f>
        <v>NG_FA</v>
      </c>
      <c r="W402" s="7" t="str">
        <f t="array" ref="W402">INDEX(xlRTCLNAME,MATCH(1,(xlRTCLENDU=2)*(xlRTCLEQCL=$F402),0))</f>
        <v>CENT_AIR</v>
      </c>
      <c r="X402" s="7" t="str">
        <f t="array" ref="X402">INDEX(xlRTTYNAME,MATCH(1,(xlRTTYENDU=1)*(xlRTTYEQCL=$D402)*(xlRTEQTYPE=$E402),0))</f>
        <v>NG_FA4</v>
      </c>
      <c r="Y402" s="7" t="str">
        <f t="array" ref="Y402">INDEX(xlRTTYNAME,MATCH(1,(xlRTTYENDU=2)*(xlRTTYEQCL=$F402)*(xlRTEQTYPE=$G402),0))</f>
        <v>CENT_AIR3</v>
      </c>
    </row>
    <row r="403" spans="2:25" x14ac:dyDescent="0.2">
      <c r="B403" s="5">
        <v>7</v>
      </c>
      <c r="C403" s="5">
        <v>1</v>
      </c>
      <c r="D403" s="5">
        <v>3</v>
      </c>
      <c r="E403" s="5">
        <v>8</v>
      </c>
      <c r="F403" s="5">
        <v>2</v>
      </c>
      <c r="G403" s="31">
        <v>6</v>
      </c>
      <c r="H403" s="31">
        <v>2020</v>
      </c>
      <c r="I403" s="5">
        <v>2022</v>
      </c>
      <c r="J403" s="142">
        <v>1.0905</v>
      </c>
      <c r="K403" s="142">
        <v>1.0562</v>
      </c>
      <c r="L403" s="142">
        <v>0.48959999999999998</v>
      </c>
      <c r="M403" s="142">
        <v>0.70569999999999999</v>
      </c>
      <c r="N403" s="142">
        <v>0.87180000000000002</v>
      </c>
      <c r="O403" s="142">
        <v>1.0538000000000001</v>
      </c>
      <c r="P403" s="26">
        <v>13115.931650370245</v>
      </c>
      <c r="Q403" s="35">
        <f t="array" ref="Q403">SUM(IF(($S403&gt;=4)*($C403='TaxCred&amp;Subs'!$D$114:$D$121)*($H403='TaxCred&amp;Subs'!$C$114:$C$121)*($H403&lt;='TaxCred&amp;Subs'!$C$123),'TaxCred&amp;Subs'!$E$114:$E$121,0))</f>
        <v>2000</v>
      </c>
      <c r="R403" s="143">
        <v>0</v>
      </c>
      <c r="S403" s="5">
        <v>4</v>
      </c>
      <c r="T403" s="5" t="s">
        <v>240</v>
      </c>
      <c r="V403" s="7" t="str">
        <f t="array" ref="V403">INDEX(xlRTCLNAME,MATCH(1,(xlRTCLENDU=1)*(xlRTCLEQCL=$D403),0))</f>
        <v>NG_FA</v>
      </c>
      <c r="W403" s="7" t="str">
        <f t="array" ref="W403">INDEX(xlRTCLNAME,MATCH(1,(xlRTCLENDU=2)*(xlRTCLEQCL=$F403),0))</f>
        <v>CENT_AIR</v>
      </c>
      <c r="X403" s="7" t="str">
        <f t="array" ref="X403">INDEX(xlRTTYNAME,MATCH(1,(xlRTTYENDU=1)*(xlRTTYEQCL=$D403)*(xlRTEQTYPE=$E403),0))</f>
        <v>NG_FA3</v>
      </c>
      <c r="Y403" s="7" t="str">
        <f t="array" ref="Y403">INDEX(xlRTTYNAME,MATCH(1,(xlRTTYENDU=2)*(xlRTTYEQCL=$F403)*(xlRTEQTYPE=$G403),0))</f>
        <v>CENT_AIR3</v>
      </c>
    </row>
    <row r="404" spans="2:25" x14ac:dyDescent="0.2">
      <c r="B404" s="5">
        <v>7</v>
      </c>
      <c r="C404" s="5">
        <v>1</v>
      </c>
      <c r="D404" s="5">
        <v>3</v>
      </c>
      <c r="E404" s="5">
        <v>8</v>
      </c>
      <c r="F404" s="5">
        <v>2</v>
      </c>
      <c r="G404" s="31">
        <v>6</v>
      </c>
      <c r="H404" s="5">
        <v>2023</v>
      </c>
      <c r="I404" s="31">
        <v>2028</v>
      </c>
      <c r="J404" s="142">
        <v>1.0905</v>
      </c>
      <c r="K404" s="142">
        <v>1.0562</v>
      </c>
      <c r="L404" s="142">
        <v>0.48959999999999998</v>
      </c>
      <c r="M404" s="142">
        <v>0.70569999999999999</v>
      </c>
      <c r="N404" s="142">
        <v>0.87180000000000002</v>
      </c>
      <c r="O404" s="142">
        <v>1.0538000000000001</v>
      </c>
      <c r="P404" s="26">
        <v>13115.931650370245</v>
      </c>
      <c r="Q404" s="35">
        <f t="array" ref="Q404">SUM(IF(($S404&gt;=4)*($C404='TaxCred&amp;Subs'!$D$114:$D$121)*($H404='TaxCred&amp;Subs'!$C$114:$C$121)*($H404&lt;='TaxCred&amp;Subs'!$C$123),'TaxCred&amp;Subs'!$E$114:$E$121,0))</f>
        <v>2500</v>
      </c>
      <c r="R404" s="143">
        <v>0</v>
      </c>
      <c r="S404" s="5">
        <v>4</v>
      </c>
      <c r="T404" s="5" t="s">
        <v>240</v>
      </c>
      <c r="V404" s="7" t="str">
        <f t="array" ref="V404">INDEX(xlRTCLNAME,MATCH(1,(xlRTCLENDU=1)*(xlRTCLEQCL=$D404),0))</f>
        <v>NG_FA</v>
      </c>
      <c r="W404" s="7" t="str">
        <f t="array" ref="W404">INDEX(xlRTCLNAME,MATCH(1,(xlRTCLENDU=2)*(xlRTCLEQCL=$F404),0))</f>
        <v>CENT_AIR</v>
      </c>
      <c r="X404" s="7" t="str">
        <f t="array" ref="X404">INDEX(xlRTTYNAME,MATCH(1,(xlRTTYENDU=1)*(xlRTTYEQCL=$D404)*(xlRTEQTYPE=$E404),0))</f>
        <v>NG_FA3</v>
      </c>
      <c r="Y404" s="7" t="str">
        <f t="array" ref="Y404">INDEX(xlRTTYNAME,MATCH(1,(xlRTTYENDU=2)*(xlRTTYEQCL=$F404)*(xlRTEQTYPE=$G404),0))</f>
        <v>CENT_AIR3</v>
      </c>
    </row>
    <row r="405" spans="2:25" x14ac:dyDescent="0.2">
      <c r="B405" s="152">
        <v>7</v>
      </c>
      <c r="C405" s="152">
        <v>1</v>
      </c>
      <c r="D405" s="152">
        <v>3</v>
      </c>
      <c r="E405" s="152">
        <v>9</v>
      </c>
      <c r="F405" s="152">
        <v>2</v>
      </c>
      <c r="G405" s="152">
        <v>6</v>
      </c>
      <c r="H405" s="152">
        <v>2029</v>
      </c>
      <c r="I405" s="152">
        <v>2032</v>
      </c>
      <c r="J405" s="229">
        <v>1.0905</v>
      </c>
      <c r="K405" s="229">
        <v>1.0562</v>
      </c>
      <c r="L405" s="229">
        <v>0.48959999999999998</v>
      </c>
      <c r="M405" s="229">
        <v>0.70569999999999999</v>
      </c>
      <c r="N405" s="229">
        <v>0.87180000000000002</v>
      </c>
      <c r="O405" s="229">
        <v>1.0538000000000001</v>
      </c>
      <c r="P405" s="155">
        <v>13115.931650370245</v>
      </c>
      <c r="Q405" s="41">
        <f t="array" ref="Q405">SUM(IF(($S405&gt;=4)*($C405='TaxCred&amp;Subs'!$D$114:$D$121)*($H405='TaxCred&amp;Subs'!$C$114:$C$121)*($H405&lt;='TaxCred&amp;Subs'!$C$123),'TaxCred&amp;Subs'!$E$114:$E$121,0))</f>
        <v>2500</v>
      </c>
      <c r="R405" s="230">
        <v>0</v>
      </c>
      <c r="S405" s="152">
        <v>4</v>
      </c>
      <c r="T405" s="152" t="s">
        <v>240</v>
      </c>
      <c r="V405" s="7" t="str">
        <f t="array" ref="V405">INDEX(xlRTCLNAME,MATCH(1,(xlRTCLENDU=1)*(xlRTCLEQCL=$D405),0))</f>
        <v>NG_FA</v>
      </c>
      <c r="W405" s="7" t="str">
        <f t="array" ref="W405">INDEX(xlRTCLNAME,MATCH(1,(xlRTCLENDU=2)*(xlRTCLEQCL=$F405),0))</f>
        <v>CENT_AIR</v>
      </c>
      <c r="X405" s="7" t="str">
        <f t="array" ref="X405">INDEX(xlRTTYNAME,MATCH(1,(xlRTTYENDU=1)*(xlRTTYEQCL=$D405)*(xlRTEQTYPE=$E405),0))</f>
        <v>NG_FA4</v>
      </c>
      <c r="Y405" s="7" t="str">
        <f t="array" ref="Y405">INDEX(xlRTTYNAME,MATCH(1,(xlRTTYENDU=2)*(xlRTTYEQCL=$F405)*(xlRTEQTYPE=$G405),0))</f>
        <v>CENT_AIR3</v>
      </c>
    </row>
    <row r="406" spans="2:25" x14ac:dyDescent="0.2">
      <c r="B406" s="5">
        <v>7</v>
      </c>
      <c r="C406" s="5">
        <v>1</v>
      </c>
      <c r="D406" s="5">
        <v>3</v>
      </c>
      <c r="E406" s="31">
        <v>9</v>
      </c>
      <c r="F406" s="5">
        <v>2</v>
      </c>
      <c r="G406" s="31">
        <v>6</v>
      </c>
      <c r="H406" s="5">
        <v>2033</v>
      </c>
      <c r="I406" s="5">
        <v>2050</v>
      </c>
      <c r="J406" s="142">
        <v>1.0905</v>
      </c>
      <c r="K406" s="142">
        <v>1.0562</v>
      </c>
      <c r="L406" s="142">
        <v>0.48959999999999998</v>
      </c>
      <c r="M406" s="142">
        <v>0.70569999999999999</v>
      </c>
      <c r="N406" s="142">
        <v>0.87180000000000002</v>
      </c>
      <c r="O406" s="142">
        <v>1.0538000000000001</v>
      </c>
      <c r="P406" s="26">
        <v>13115.931650370245</v>
      </c>
      <c r="Q406" s="35">
        <f t="array" ref="Q406">SUM(IF(($S406&gt;=4)*($C406='TaxCred&amp;Subs'!$D$114:$D$121)*($H406='TaxCred&amp;Subs'!$C$114:$C$121)*($H406&lt;='TaxCred&amp;Subs'!$C$123),'TaxCred&amp;Subs'!$E$114:$E$121,0))</f>
        <v>0</v>
      </c>
      <c r="R406" s="143">
        <v>0</v>
      </c>
      <c r="S406" s="5">
        <v>4</v>
      </c>
      <c r="T406" s="5" t="s">
        <v>240</v>
      </c>
      <c r="V406" s="7" t="str">
        <f t="array" ref="V406">INDEX(xlRTCLNAME,MATCH(1,(xlRTCLENDU=1)*(xlRTCLEQCL=$D406),0))</f>
        <v>NG_FA</v>
      </c>
      <c r="W406" s="7" t="str">
        <f t="array" ref="W406">INDEX(xlRTCLNAME,MATCH(1,(xlRTCLENDU=2)*(xlRTCLEQCL=$F406),0))</f>
        <v>CENT_AIR</v>
      </c>
      <c r="X406" s="7" t="str">
        <f t="array" ref="X406">INDEX(xlRTTYNAME,MATCH(1,(xlRTTYENDU=1)*(xlRTTYEQCL=$D406)*(xlRTEQTYPE=$E406),0))</f>
        <v>NG_FA4</v>
      </c>
      <c r="Y406" s="7" t="str">
        <f t="array" ref="Y406">INDEX(xlRTTYNAME,MATCH(1,(xlRTTYENDU=2)*(xlRTTYEQCL=$F406)*(xlRTEQTYPE=$G406),0))</f>
        <v>CENT_AIR3</v>
      </c>
    </row>
    <row r="407" spans="2:25" x14ac:dyDescent="0.2">
      <c r="B407" s="5">
        <v>8</v>
      </c>
      <c r="C407" s="5">
        <v>1</v>
      </c>
      <c r="D407" s="5">
        <v>3</v>
      </c>
      <c r="E407" s="5">
        <v>8</v>
      </c>
      <c r="F407" s="5">
        <v>2</v>
      </c>
      <c r="G407" s="31">
        <v>6</v>
      </c>
      <c r="H407" s="31">
        <v>2020</v>
      </c>
      <c r="I407" s="5">
        <v>2022</v>
      </c>
      <c r="J407" s="142">
        <v>1.0801000000000001</v>
      </c>
      <c r="K407" s="142">
        <v>1.0822000000000001</v>
      </c>
      <c r="L407" s="142">
        <v>0.44240000000000002</v>
      </c>
      <c r="M407" s="142">
        <v>0.77290000000000003</v>
      </c>
      <c r="N407" s="142">
        <v>0.86950000000000005</v>
      </c>
      <c r="O407" s="142">
        <v>1.0538000000000001</v>
      </c>
      <c r="P407" s="26">
        <v>16260.797271099718</v>
      </c>
      <c r="Q407" s="35">
        <f t="array" ref="Q407">SUM(IF(($S407&gt;=4)*($C407='TaxCred&amp;Subs'!$D$114:$D$121)*($H407='TaxCred&amp;Subs'!$C$114:$C$121)*($H407&lt;='TaxCred&amp;Subs'!$C$123),'TaxCred&amp;Subs'!$E$114:$E$121,0))</f>
        <v>2000</v>
      </c>
      <c r="R407" s="143">
        <v>0</v>
      </c>
      <c r="S407" s="5">
        <v>4</v>
      </c>
      <c r="T407" s="5" t="s">
        <v>240</v>
      </c>
      <c r="V407" s="7" t="str">
        <f t="array" ref="V407">INDEX(xlRTCLNAME,MATCH(1,(xlRTCLENDU=1)*(xlRTCLEQCL=$D407),0))</f>
        <v>NG_FA</v>
      </c>
      <c r="W407" s="7" t="str">
        <f t="array" ref="W407">INDEX(xlRTCLNAME,MATCH(1,(xlRTCLENDU=2)*(xlRTCLEQCL=$F407),0))</f>
        <v>CENT_AIR</v>
      </c>
      <c r="X407" s="7" t="str">
        <f t="array" ref="X407">INDEX(xlRTTYNAME,MATCH(1,(xlRTTYENDU=1)*(xlRTTYEQCL=$D407)*(xlRTEQTYPE=$E407),0))</f>
        <v>NG_FA3</v>
      </c>
      <c r="Y407" s="7" t="str">
        <f t="array" ref="Y407">INDEX(xlRTTYNAME,MATCH(1,(xlRTTYENDU=2)*(xlRTTYEQCL=$F407)*(xlRTEQTYPE=$G407),0))</f>
        <v>CENT_AIR3</v>
      </c>
    </row>
    <row r="408" spans="2:25" x14ac:dyDescent="0.2">
      <c r="B408" s="5">
        <v>8</v>
      </c>
      <c r="C408" s="5">
        <v>1</v>
      </c>
      <c r="D408" s="5">
        <v>3</v>
      </c>
      <c r="E408" s="5">
        <v>8</v>
      </c>
      <c r="F408" s="5">
        <v>2</v>
      </c>
      <c r="G408" s="31">
        <v>6</v>
      </c>
      <c r="H408" s="5">
        <v>2023</v>
      </c>
      <c r="I408" s="31">
        <v>2028</v>
      </c>
      <c r="J408" s="142">
        <v>1.0801000000000001</v>
      </c>
      <c r="K408" s="142">
        <v>1.0822000000000001</v>
      </c>
      <c r="L408" s="142">
        <v>0.44240000000000002</v>
      </c>
      <c r="M408" s="142">
        <v>0.77290000000000003</v>
      </c>
      <c r="N408" s="142">
        <v>0.86950000000000005</v>
      </c>
      <c r="O408" s="142">
        <v>1.0538000000000001</v>
      </c>
      <c r="P408" s="26">
        <v>16260.797271099718</v>
      </c>
      <c r="Q408" s="35">
        <f t="array" ref="Q408">SUM(IF(($S408&gt;=4)*($C408='TaxCred&amp;Subs'!$D$114:$D$121)*($H408='TaxCred&amp;Subs'!$C$114:$C$121)*($H408&lt;='TaxCred&amp;Subs'!$C$123),'TaxCred&amp;Subs'!$E$114:$E$121,0))</f>
        <v>2500</v>
      </c>
      <c r="R408" s="143">
        <v>0</v>
      </c>
      <c r="S408" s="5">
        <v>4</v>
      </c>
      <c r="T408" s="5" t="s">
        <v>240</v>
      </c>
      <c r="V408" s="7" t="str">
        <f t="array" ref="V408">INDEX(xlRTCLNAME,MATCH(1,(xlRTCLENDU=1)*(xlRTCLEQCL=$D408),0))</f>
        <v>NG_FA</v>
      </c>
      <c r="W408" s="7" t="str">
        <f t="array" ref="W408">INDEX(xlRTCLNAME,MATCH(1,(xlRTCLENDU=2)*(xlRTCLEQCL=$F408),0))</f>
        <v>CENT_AIR</v>
      </c>
      <c r="X408" s="7" t="str">
        <f t="array" ref="X408">INDEX(xlRTTYNAME,MATCH(1,(xlRTTYENDU=1)*(xlRTTYEQCL=$D408)*(xlRTEQTYPE=$E408),0))</f>
        <v>NG_FA3</v>
      </c>
      <c r="Y408" s="7" t="str">
        <f t="array" ref="Y408">INDEX(xlRTTYNAME,MATCH(1,(xlRTTYENDU=2)*(xlRTTYEQCL=$F408)*(xlRTEQTYPE=$G408),0))</f>
        <v>CENT_AIR3</v>
      </c>
    </row>
    <row r="409" spans="2:25" x14ac:dyDescent="0.2">
      <c r="B409" s="152">
        <v>8</v>
      </c>
      <c r="C409" s="152">
        <v>1</v>
      </c>
      <c r="D409" s="152">
        <v>3</v>
      </c>
      <c r="E409" s="152">
        <v>9</v>
      </c>
      <c r="F409" s="152">
        <v>2</v>
      </c>
      <c r="G409" s="152">
        <v>6</v>
      </c>
      <c r="H409" s="152">
        <v>2029</v>
      </c>
      <c r="I409" s="152">
        <v>2032</v>
      </c>
      <c r="J409" s="229">
        <v>1.0801000000000001</v>
      </c>
      <c r="K409" s="229">
        <v>1.0822000000000001</v>
      </c>
      <c r="L409" s="229">
        <v>0.44240000000000002</v>
      </c>
      <c r="M409" s="229">
        <v>0.77290000000000003</v>
      </c>
      <c r="N409" s="229">
        <v>0.86950000000000005</v>
      </c>
      <c r="O409" s="229">
        <v>1.0538000000000001</v>
      </c>
      <c r="P409" s="155">
        <v>16260.797271099718</v>
      </c>
      <c r="Q409" s="41">
        <f t="array" ref="Q409">SUM(IF(($S409&gt;=4)*($C409='TaxCred&amp;Subs'!$D$114:$D$121)*($H409='TaxCred&amp;Subs'!$C$114:$C$121)*($H409&lt;='TaxCred&amp;Subs'!$C$123),'TaxCred&amp;Subs'!$E$114:$E$121,0))</f>
        <v>2500</v>
      </c>
      <c r="R409" s="230">
        <v>0</v>
      </c>
      <c r="S409" s="152">
        <v>4</v>
      </c>
      <c r="T409" s="152" t="s">
        <v>240</v>
      </c>
      <c r="V409" s="7" t="str">
        <f t="array" ref="V409">INDEX(xlRTCLNAME,MATCH(1,(xlRTCLENDU=1)*(xlRTCLEQCL=$D409),0))</f>
        <v>NG_FA</v>
      </c>
      <c r="W409" s="7" t="str">
        <f t="array" ref="W409">INDEX(xlRTCLNAME,MATCH(1,(xlRTCLENDU=2)*(xlRTCLEQCL=$F409),0))</f>
        <v>CENT_AIR</v>
      </c>
      <c r="X409" s="7" t="str">
        <f t="array" ref="X409">INDEX(xlRTTYNAME,MATCH(1,(xlRTTYENDU=1)*(xlRTTYEQCL=$D409)*(xlRTEQTYPE=$E409),0))</f>
        <v>NG_FA4</v>
      </c>
      <c r="Y409" s="7" t="str">
        <f t="array" ref="Y409">INDEX(xlRTTYNAME,MATCH(1,(xlRTTYENDU=2)*(xlRTTYEQCL=$F409)*(xlRTEQTYPE=$G409),0))</f>
        <v>CENT_AIR3</v>
      </c>
    </row>
    <row r="410" spans="2:25" x14ac:dyDescent="0.2">
      <c r="B410" s="5">
        <v>8</v>
      </c>
      <c r="C410" s="5">
        <v>1</v>
      </c>
      <c r="D410" s="5">
        <v>3</v>
      </c>
      <c r="E410" s="31">
        <v>9</v>
      </c>
      <c r="F410" s="5">
        <v>2</v>
      </c>
      <c r="G410" s="31">
        <v>6</v>
      </c>
      <c r="H410" s="5">
        <v>2033</v>
      </c>
      <c r="I410" s="5">
        <v>2050</v>
      </c>
      <c r="J410" s="142">
        <v>1.0801000000000001</v>
      </c>
      <c r="K410" s="142">
        <v>1.0822000000000001</v>
      </c>
      <c r="L410" s="142">
        <v>0.44240000000000002</v>
      </c>
      <c r="M410" s="142">
        <v>0.77290000000000003</v>
      </c>
      <c r="N410" s="142">
        <v>0.86950000000000005</v>
      </c>
      <c r="O410" s="142">
        <v>1.0538000000000001</v>
      </c>
      <c r="P410" s="26">
        <v>16260.797271099718</v>
      </c>
      <c r="Q410" s="35">
        <f t="array" ref="Q410">SUM(IF(($S410&gt;=4)*($C410='TaxCred&amp;Subs'!$D$114:$D$121)*($H410='TaxCred&amp;Subs'!$C$114:$C$121)*($H410&lt;='TaxCred&amp;Subs'!$C$123),'TaxCred&amp;Subs'!$E$114:$E$121,0))</f>
        <v>0</v>
      </c>
      <c r="R410" s="143">
        <v>0</v>
      </c>
      <c r="S410" s="5">
        <v>4</v>
      </c>
      <c r="T410" s="5" t="s">
        <v>240</v>
      </c>
      <c r="V410" s="7" t="str">
        <f t="array" ref="V410">INDEX(xlRTCLNAME,MATCH(1,(xlRTCLENDU=1)*(xlRTCLEQCL=$D410),0))</f>
        <v>NG_FA</v>
      </c>
      <c r="W410" s="7" t="str">
        <f t="array" ref="W410">INDEX(xlRTCLNAME,MATCH(1,(xlRTCLENDU=2)*(xlRTCLEQCL=$F410),0))</f>
        <v>CENT_AIR</v>
      </c>
      <c r="X410" s="7" t="str">
        <f t="array" ref="X410">INDEX(xlRTTYNAME,MATCH(1,(xlRTTYENDU=1)*(xlRTTYEQCL=$D410)*(xlRTEQTYPE=$E410),0))</f>
        <v>NG_FA4</v>
      </c>
      <c r="Y410" s="7" t="str">
        <f t="array" ref="Y410">INDEX(xlRTTYNAME,MATCH(1,(xlRTTYENDU=2)*(xlRTTYEQCL=$F410)*(xlRTEQTYPE=$G410),0))</f>
        <v>CENT_AIR3</v>
      </c>
    </row>
    <row r="411" spans="2:25" x14ac:dyDescent="0.2">
      <c r="B411" s="5">
        <v>9</v>
      </c>
      <c r="C411" s="5">
        <v>1</v>
      </c>
      <c r="D411" s="5">
        <v>3</v>
      </c>
      <c r="E411" s="5">
        <v>8</v>
      </c>
      <c r="F411" s="5">
        <v>2</v>
      </c>
      <c r="G411" s="31">
        <v>6</v>
      </c>
      <c r="H411" s="31">
        <v>2020</v>
      </c>
      <c r="I411" s="5">
        <v>2022</v>
      </c>
      <c r="J411" s="142">
        <v>1.0781000000000001</v>
      </c>
      <c r="K411" s="142">
        <v>1.0707</v>
      </c>
      <c r="L411" s="142">
        <v>0.55130000000000001</v>
      </c>
      <c r="M411" s="142">
        <v>0.82869999999999999</v>
      </c>
      <c r="N411" s="142">
        <v>1.0339</v>
      </c>
      <c r="O411" s="142">
        <v>1.0538000000000001</v>
      </c>
      <c r="P411" s="26">
        <v>16965.333220335393</v>
      </c>
      <c r="Q411" s="35">
        <f t="array" ref="Q411">SUM(IF(($S411&gt;=4)*($C411='TaxCred&amp;Subs'!$D$114:$D$121)*($H411='TaxCred&amp;Subs'!$C$114:$C$121)*($H411&lt;='TaxCred&amp;Subs'!$C$123),'TaxCred&amp;Subs'!$E$114:$E$121,0))</f>
        <v>2000</v>
      </c>
      <c r="R411" s="143">
        <v>0</v>
      </c>
      <c r="S411" s="5">
        <v>4</v>
      </c>
      <c r="T411" s="5" t="s">
        <v>240</v>
      </c>
      <c r="V411" s="7" t="str">
        <f t="array" ref="V411">INDEX(xlRTCLNAME,MATCH(1,(xlRTCLENDU=1)*(xlRTCLEQCL=$D411),0))</f>
        <v>NG_FA</v>
      </c>
      <c r="W411" s="7" t="str">
        <f t="array" ref="W411">INDEX(xlRTCLNAME,MATCH(1,(xlRTCLENDU=2)*(xlRTCLEQCL=$F411),0))</f>
        <v>CENT_AIR</v>
      </c>
      <c r="X411" s="7" t="str">
        <f t="array" ref="X411">INDEX(xlRTTYNAME,MATCH(1,(xlRTTYENDU=1)*(xlRTTYEQCL=$D411)*(xlRTEQTYPE=$E411),0))</f>
        <v>NG_FA3</v>
      </c>
      <c r="Y411" s="7" t="str">
        <f t="array" ref="Y411">INDEX(xlRTTYNAME,MATCH(1,(xlRTTYENDU=2)*(xlRTTYEQCL=$F411)*(xlRTEQTYPE=$G411),0))</f>
        <v>CENT_AIR3</v>
      </c>
    </row>
    <row r="412" spans="2:25" x14ac:dyDescent="0.2">
      <c r="B412" s="5">
        <v>9</v>
      </c>
      <c r="C412" s="5">
        <v>1</v>
      </c>
      <c r="D412" s="5">
        <v>3</v>
      </c>
      <c r="E412" s="5">
        <v>8</v>
      </c>
      <c r="F412" s="5">
        <v>2</v>
      </c>
      <c r="G412" s="31">
        <v>6</v>
      </c>
      <c r="H412" s="5">
        <v>2023</v>
      </c>
      <c r="I412" s="31">
        <v>2028</v>
      </c>
      <c r="J412" s="142">
        <v>1.0781000000000001</v>
      </c>
      <c r="K412" s="142">
        <v>1.0707</v>
      </c>
      <c r="L412" s="142">
        <v>0.55130000000000001</v>
      </c>
      <c r="M412" s="142">
        <v>0.82869999999999999</v>
      </c>
      <c r="N412" s="142">
        <v>1.0339</v>
      </c>
      <c r="O412" s="142">
        <v>1.0538000000000001</v>
      </c>
      <c r="P412" s="26">
        <v>16965.333220335393</v>
      </c>
      <c r="Q412" s="35">
        <f t="array" ref="Q412">SUM(IF(($S412&gt;=4)*($C412='TaxCred&amp;Subs'!$D$114:$D$121)*($H412='TaxCred&amp;Subs'!$C$114:$C$121)*($H412&lt;='TaxCred&amp;Subs'!$C$123),'TaxCred&amp;Subs'!$E$114:$E$121,0))</f>
        <v>2500</v>
      </c>
      <c r="R412" s="143">
        <v>0</v>
      </c>
      <c r="S412" s="5">
        <v>4</v>
      </c>
      <c r="T412" s="5" t="s">
        <v>240</v>
      </c>
      <c r="V412" s="7" t="str">
        <f t="array" ref="V412">INDEX(xlRTCLNAME,MATCH(1,(xlRTCLENDU=1)*(xlRTCLEQCL=$D412),0))</f>
        <v>NG_FA</v>
      </c>
      <c r="W412" s="7" t="str">
        <f t="array" ref="W412">INDEX(xlRTCLNAME,MATCH(1,(xlRTCLENDU=2)*(xlRTCLEQCL=$F412),0))</f>
        <v>CENT_AIR</v>
      </c>
      <c r="X412" s="7" t="str">
        <f t="array" ref="X412">INDEX(xlRTTYNAME,MATCH(1,(xlRTTYENDU=1)*(xlRTTYEQCL=$D412)*(xlRTEQTYPE=$E412),0))</f>
        <v>NG_FA3</v>
      </c>
      <c r="Y412" s="7" t="str">
        <f t="array" ref="Y412">INDEX(xlRTTYNAME,MATCH(1,(xlRTTYENDU=2)*(xlRTTYEQCL=$F412)*(xlRTEQTYPE=$G412),0))</f>
        <v>CENT_AIR3</v>
      </c>
    </row>
    <row r="413" spans="2:25" x14ac:dyDescent="0.2">
      <c r="B413" s="152">
        <v>9</v>
      </c>
      <c r="C413" s="152">
        <v>1</v>
      </c>
      <c r="D413" s="152">
        <v>3</v>
      </c>
      <c r="E413" s="152">
        <v>9</v>
      </c>
      <c r="F413" s="152">
        <v>2</v>
      </c>
      <c r="G413" s="152">
        <v>6</v>
      </c>
      <c r="H413" s="152">
        <v>2029</v>
      </c>
      <c r="I413" s="152">
        <v>2032</v>
      </c>
      <c r="J413" s="229">
        <v>1.0781000000000001</v>
      </c>
      <c r="K413" s="229">
        <v>1.0707</v>
      </c>
      <c r="L413" s="229">
        <v>0.55130000000000001</v>
      </c>
      <c r="M413" s="229">
        <v>0.82869999999999999</v>
      </c>
      <c r="N413" s="229">
        <v>1.0339</v>
      </c>
      <c r="O413" s="229">
        <v>1.0538000000000001</v>
      </c>
      <c r="P413" s="155">
        <v>16965.333220335393</v>
      </c>
      <c r="Q413" s="41">
        <f t="array" ref="Q413">SUM(IF(($S413&gt;=4)*($C413='TaxCred&amp;Subs'!$D$114:$D$121)*($H413='TaxCred&amp;Subs'!$C$114:$C$121)*($H413&lt;='TaxCred&amp;Subs'!$C$123),'TaxCred&amp;Subs'!$E$114:$E$121,0))</f>
        <v>2500</v>
      </c>
      <c r="R413" s="230">
        <v>0</v>
      </c>
      <c r="S413" s="152">
        <v>4</v>
      </c>
      <c r="T413" s="152" t="s">
        <v>240</v>
      </c>
      <c r="V413" s="7" t="str">
        <f t="array" ref="V413">INDEX(xlRTCLNAME,MATCH(1,(xlRTCLENDU=1)*(xlRTCLEQCL=$D413),0))</f>
        <v>NG_FA</v>
      </c>
      <c r="W413" s="7" t="str">
        <f t="array" ref="W413">INDEX(xlRTCLNAME,MATCH(1,(xlRTCLENDU=2)*(xlRTCLEQCL=$F413),0))</f>
        <v>CENT_AIR</v>
      </c>
      <c r="X413" s="7" t="str">
        <f t="array" ref="X413">INDEX(xlRTTYNAME,MATCH(1,(xlRTTYENDU=1)*(xlRTTYEQCL=$D413)*(xlRTEQTYPE=$E413),0))</f>
        <v>NG_FA4</v>
      </c>
      <c r="Y413" s="7" t="str">
        <f t="array" ref="Y413">INDEX(xlRTTYNAME,MATCH(1,(xlRTTYENDU=2)*(xlRTTYEQCL=$F413)*(xlRTEQTYPE=$G413),0))</f>
        <v>CENT_AIR3</v>
      </c>
    </row>
    <row r="414" spans="2:25" x14ac:dyDescent="0.2">
      <c r="B414" s="5">
        <v>9</v>
      </c>
      <c r="C414" s="5">
        <v>1</v>
      </c>
      <c r="D414" s="5">
        <v>3</v>
      </c>
      <c r="E414" s="31">
        <v>9</v>
      </c>
      <c r="F414" s="5">
        <v>2</v>
      </c>
      <c r="G414" s="31">
        <v>6</v>
      </c>
      <c r="H414" s="5">
        <v>2033</v>
      </c>
      <c r="I414" s="5">
        <v>2050</v>
      </c>
      <c r="J414" s="142">
        <v>1.0781000000000001</v>
      </c>
      <c r="K414" s="142">
        <v>1.0707</v>
      </c>
      <c r="L414" s="142">
        <v>0.55130000000000001</v>
      </c>
      <c r="M414" s="142">
        <v>0.82869999999999999</v>
      </c>
      <c r="N414" s="142">
        <v>1.0339</v>
      </c>
      <c r="O414" s="142">
        <v>1.0538000000000001</v>
      </c>
      <c r="P414" s="26">
        <v>16965.333220335393</v>
      </c>
      <c r="Q414" s="35">
        <f t="array" ref="Q414">SUM(IF(($S414&gt;=4)*($C414='TaxCred&amp;Subs'!$D$114:$D$121)*($H414='TaxCred&amp;Subs'!$C$114:$C$121)*($H414&lt;='TaxCred&amp;Subs'!$C$123),'TaxCred&amp;Subs'!$E$114:$E$121,0))</f>
        <v>0</v>
      </c>
      <c r="R414" s="143">
        <v>0</v>
      </c>
      <c r="S414" s="5">
        <v>4</v>
      </c>
      <c r="T414" s="5" t="s">
        <v>240</v>
      </c>
      <c r="V414" s="7" t="str">
        <f t="array" ref="V414">INDEX(xlRTCLNAME,MATCH(1,(xlRTCLENDU=1)*(xlRTCLEQCL=$D414),0))</f>
        <v>NG_FA</v>
      </c>
      <c r="W414" s="7" t="str">
        <f t="array" ref="W414">INDEX(xlRTCLNAME,MATCH(1,(xlRTCLENDU=2)*(xlRTCLEQCL=$F414),0))</f>
        <v>CENT_AIR</v>
      </c>
      <c r="X414" s="7" t="str">
        <f t="array" ref="X414">INDEX(xlRTTYNAME,MATCH(1,(xlRTTYENDU=1)*(xlRTTYEQCL=$D414)*(xlRTEQTYPE=$E414),0))</f>
        <v>NG_FA4</v>
      </c>
      <c r="Y414" s="7" t="str">
        <f t="array" ref="Y414">INDEX(xlRTTYNAME,MATCH(1,(xlRTTYENDU=2)*(xlRTTYEQCL=$F414)*(xlRTEQTYPE=$G414),0))</f>
        <v>CENT_AIR3</v>
      </c>
    </row>
    <row r="415" spans="2:25" x14ac:dyDescent="0.2">
      <c r="B415" s="5">
        <v>1</v>
      </c>
      <c r="C415" s="5">
        <v>1</v>
      </c>
      <c r="D415" s="5">
        <v>4</v>
      </c>
      <c r="E415" s="5">
        <v>12</v>
      </c>
      <c r="F415" s="5">
        <v>2</v>
      </c>
      <c r="G415" s="31">
        <v>6</v>
      </c>
      <c r="H415" s="31">
        <v>2020</v>
      </c>
      <c r="I415" s="5">
        <v>2022</v>
      </c>
      <c r="J415" s="142">
        <v>1.0592999999999999</v>
      </c>
      <c r="K415" s="142">
        <v>1.0889</v>
      </c>
      <c r="L415" s="142">
        <v>0.4773</v>
      </c>
      <c r="M415" s="142">
        <v>0.95850000000000002</v>
      </c>
      <c r="N415" s="142">
        <v>0.8095</v>
      </c>
      <c r="O415" s="142">
        <v>1.0538000000000001</v>
      </c>
      <c r="P415" s="26">
        <v>16549.872135767029</v>
      </c>
      <c r="Q415" s="35">
        <f t="array" ref="Q415">SUM(IF(($S415&gt;=4)*($C415='TaxCred&amp;Subs'!$D$114:$D$121)*($H415='TaxCred&amp;Subs'!$C$114:$C$121)*($H415&lt;='TaxCred&amp;Subs'!$C$123),'TaxCred&amp;Subs'!$E$114:$E$121,0))</f>
        <v>2000</v>
      </c>
      <c r="R415" s="143">
        <v>0</v>
      </c>
      <c r="S415" s="5">
        <v>4</v>
      </c>
      <c r="T415" s="5" t="s">
        <v>240</v>
      </c>
      <c r="V415" s="7" t="str">
        <f t="array" ref="V415">INDEX(xlRTCLNAME,MATCH(1,(xlRTCLENDU=1)*(xlRTCLEQCL=$D415),0))</f>
        <v>NG_RAD</v>
      </c>
      <c r="W415" s="7" t="str">
        <f t="array" ref="W415">INDEX(xlRTCLNAME,MATCH(1,(xlRTCLENDU=2)*(xlRTCLEQCL=$F415),0))</f>
        <v>CENT_AIR</v>
      </c>
      <c r="X415" s="7" t="str">
        <f t="array" ref="X415">INDEX(xlRTTYNAME,MATCH(1,(xlRTTYENDU=1)*(xlRTTYEQCL=$D415)*(xlRTEQTYPE=$E415),0))</f>
        <v>NG_RAD3</v>
      </c>
      <c r="Y415" s="7" t="str">
        <f t="array" ref="Y415">INDEX(xlRTTYNAME,MATCH(1,(xlRTTYENDU=2)*(xlRTTYEQCL=$F415)*(xlRTEQTYPE=$G415),0))</f>
        <v>CENT_AIR3</v>
      </c>
    </row>
    <row r="416" spans="2:25" x14ac:dyDescent="0.2">
      <c r="B416" s="5">
        <v>1</v>
      </c>
      <c r="C416" s="5">
        <v>1</v>
      </c>
      <c r="D416" s="5">
        <v>4</v>
      </c>
      <c r="E416" s="5">
        <v>12</v>
      </c>
      <c r="F416" s="5">
        <v>2</v>
      </c>
      <c r="G416" s="31">
        <v>6</v>
      </c>
      <c r="H416" s="5">
        <v>2023</v>
      </c>
      <c r="I416" s="5">
        <v>2032</v>
      </c>
      <c r="J416" s="142">
        <v>1.0592999999999999</v>
      </c>
      <c r="K416" s="142">
        <v>1.0889</v>
      </c>
      <c r="L416" s="142">
        <v>0.4773</v>
      </c>
      <c r="M416" s="142">
        <v>0.95850000000000002</v>
      </c>
      <c r="N416" s="142">
        <v>0.8095</v>
      </c>
      <c r="O416" s="142">
        <v>1.0538000000000001</v>
      </c>
      <c r="P416" s="26">
        <v>16549.872135767029</v>
      </c>
      <c r="Q416" s="35">
        <f t="array" ref="Q416">SUM(IF(($S416&gt;=4)*($C416='TaxCred&amp;Subs'!$D$114:$D$121)*($H416='TaxCred&amp;Subs'!$C$114:$C$121)*($H416&lt;='TaxCred&amp;Subs'!$C$123),'TaxCred&amp;Subs'!$E$114:$E$121,0))</f>
        <v>2500</v>
      </c>
      <c r="R416" s="143">
        <v>0</v>
      </c>
      <c r="S416" s="5">
        <v>4</v>
      </c>
      <c r="T416" s="5" t="s">
        <v>240</v>
      </c>
      <c r="V416" s="7" t="str">
        <f t="array" ref="V416">INDEX(xlRTCLNAME,MATCH(1,(xlRTCLENDU=1)*(xlRTCLEQCL=$D416),0))</f>
        <v>NG_RAD</v>
      </c>
      <c r="W416" s="7" t="str">
        <f t="array" ref="W416">INDEX(xlRTCLNAME,MATCH(1,(xlRTCLENDU=2)*(xlRTCLEQCL=$F416),0))</f>
        <v>CENT_AIR</v>
      </c>
      <c r="X416" s="7" t="str">
        <f t="array" ref="X416">INDEX(xlRTTYNAME,MATCH(1,(xlRTTYENDU=1)*(xlRTTYEQCL=$D416)*(xlRTEQTYPE=$E416),0))</f>
        <v>NG_RAD3</v>
      </c>
      <c r="Y416" s="7" t="str">
        <f t="array" ref="Y416">INDEX(xlRTTYNAME,MATCH(1,(xlRTTYENDU=2)*(xlRTTYEQCL=$F416)*(xlRTEQTYPE=$G416),0))</f>
        <v>CENT_AIR3</v>
      </c>
    </row>
    <row r="417" spans="2:25" x14ac:dyDescent="0.2">
      <c r="B417" s="5">
        <v>1</v>
      </c>
      <c r="C417" s="5">
        <v>1</v>
      </c>
      <c r="D417" s="5">
        <v>4</v>
      </c>
      <c r="E417" s="5">
        <v>12</v>
      </c>
      <c r="F417" s="5">
        <v>2</v>
      </c>
      <c r="G417" s="31">
        <v>6</v>
      </c>
      <c r="H417" s="5">
        <v>2033</v>
      </c>
      <c r="I417" s="5">
        <v>2050</v>
      </c>
      <c r="J417" s="142">
        <v>1.0592999999999999</v>
      </c>
      <c r="K417" s="142">
        <v>1.0889</v>
      </c>
      <c r="L417" s="142">
        <v>0.4773</v>
      </c>
      <c r="M417" s="142">
        <v>0.95850000000000002</v>
      </c>
      <c r="N417" s="142">
        <v>0.8095</v>
      </c>
      <c r="O417" s="142">
        <v>1.0538000000000001</v>
      </c>
      <c r="P417" s="26">
        <v>16549.872135767029</v>
      </c>
      <c r="Q417" s="35">
        <f t="array" ref="Q417">SUM(IF(($S417&gt;=4)*($C417='TaxCred&amp;Subs'!$D$114:$D$121)*($H417='TaxCred&amp;Subs'!$C$114:$C$121)*($H417&lt;='TaxCred&amp;Subs'!$C$123),'TaxCred&amp;Subs'!$E$114:$E$121,0))</f>
        <v>0</v>
      </c>
      <c r="R417" s="143">
        <v>0</v>
      </c>
      <c r="S417" s="5">
        <v>4</v>
      </c>
      <c r="T417" s="5" t="s">
        <v>240</v>
      </c>
      <c r="V417" s="7" t="str">
        <f t="array" ref="V417">INDEX(xlRTCLNAME,MATCH(1,(xlRTCLENDU=1)*(xlRTCLEQCL=$D417),0))</f>
        <v>NG_RAD</v>
      </c>
      <c r="W417" s="7" t="str">
        <f t="array" ref="W417">INDEX(xlRTCLNAME,MATCH(1,(xlRTCLENDU=2)*(xlRTCLEQCL=$F417),0))</f>
        <v>CENT_AIR</v>
      </c>
      <c r="X417" s="7" t="str">
        <f t="array" ref="X417">INDEX(xlRTTYNAME,MATCH(1,(xlRTTYENDU=1)*(xlRTTYEQCL=$D417)*(xlRTEQTYPE=$E417),0))</f>
        <v>NG_RAD3</v>
      </c>
      <c r="Y417" s="7" t="str">
        <f t="array" ref="Y417">INDEX(xlRTTYNAME,MATCH(1,(xlRTTYENDU=2)*(xlRTTYEQCL=$F417)*(xlRTEQTYPE=$G417),0))</f>
        <v>CENT_AIR3</v>
      </c>
    </row>
    <row r="418" spans="2:25" x14ac:dyDescent="0.2">
      <c r="B418" s="5">
        <v>2</v>
      </c>
      <c r="C418" s="5">
        <v>1</v>
      </c>
      <c r="D418" s="5">
        <v>4</v>
      </c>
      <c r="E418" s="5">
        <v>12</v>
      </c>
      <c r="F418" s="5">
        <v>2</v>
      </c>
      <c r="G418" s="31">
        <v>6</v>
      </c>
      <c r="H418" s="31">
        <v>2020</v>
      </c>
      <c r="I418" s="5">
        <v>2022</v>
      </c>
      <c r="J418" s="142">
        <v>1.0717000000000001</v>
      </c>
      <c r="K418" s="142">
        <v>1.0895999999999999</v>
      </c>
      <c r="L418" s="142">
        <v>0.52270000000000005</v>
      </c>
      <c r="M418" s="142">
        <v>0.83919999999999995</v>
      </c>
      <c r="N418" s="142">
        <v>0.92630000000000001</v>
      </c>
      <c r="O418" s="142">
        <v>1.0538000000000001</v>
      </c>
      <c r="P418" s="26">
        <v>17060.79515238832</v>
      </c>
      <c r="Q418" s="35">
        <f t="array" ref="Q418">SUM(IF(($S418&gt;=4)*($C418='TaxCred&amp;Subs'!$D$114:$D$121)*($H418='TaxCred&amp;Subs'!$C$114:$C$121)*($H418&lt;='TaxCred&amp;Subs'!$C$123),'TaxCred&amp;Subs'!$E$114:$E$121,0))</f>
        <v>2000</v>
      </c>
      <c r="R418" s="143">
        <v>0</v>
      </c>
      <c r="S418" s="5">
        <v>4</v>
      </c>
      <c r="T418" s="5" t="s">
        <v>240</v>
      </c>
      <c r="V418" s="7" t="str">
        <f t="array" ref="V418">INDEX(xlRTCLNAME,MATCH(1,(xlRTCLENDU=1)*(xlRTCLEQCL=$D418),0))</f>
        <v>NG_RAD</v>
      </c>
      <c r="W418" s="7" t="str">
        <f t="array" ref="W418">INDEX(xlRTCLNAME,MATCH(1,(xlRTCLENDU=2)*(xlRTCLEQCL=$F418),0))</f>
        <v>CENT_AIR</v>
      </c>
      <c r="X418" s="7" t="str">
        <f t="array" ref="X418">INDEX(xlRTTYNAME,MATCH(1,(xlRTTYENDU=1)*(xlRTTYEQCL=$D418)*(xlRTEQTYPE=$E418),0))</f>
        <v>NG_RAD3</v>
      </c>
      <c r="Y418" s="7" t="str">
        <f t="array" ref="Y418">INDEX(xlRTTYNAME,MATCH(1,(xlRTTYENDU=2)*(xlRTTYEQCL=$F418)*(xlRTEQTYPE=$G418),0))</f>
        <v>CENT_AIR3</v>
      </c>
    </row>
    <row r="419" spans="2:25" x14ac:dyDescent="0.2">
      <c r="B419" s="5">
        <v>2</v>
      </c>
      <c r="C419" s="5">
        <v>1</v>
      </c>
      <c r="D419" s="5">
        <v>4</v>
      </c>
      <c r="E419" s="5">
        <v>12</v>
      </c>
      <c r="F419" s="5">
        <v>2</v>
      </c>
      <c r="G419" s="31">
        <v>6</v>
      </c>
      <c r="H419" s="5">
        <v>2023</v>
      </c>
      <c r="I419" s="5">
        <v>2032</v>
      </c>
      <c r="J419" s="142">
        <v>1.0717000000000001</v>
      </c>
      <c r="K419" s="142">
        <v>1.0895999999999999</v>
      </c>
      <c r="L419" s="142">
        <v>0.52270000000000005</v>
      </c>
      <c r="M419" s="142">
        <v>0.83919999999999995</v>
      </c>
      <c r="N419" s="142">
        <v>0.92630000000000001</v>
      </c>
      <c r="O419" s="142">
        <v>1.0538000000000001</v>
      </c>
      <c r="P419" s="26">
        <v>17060.79515238832</v>
      </c>
      <c r="Q419" s="35">
        <f t="array" ref="Q419">SUM(IF(($S419&gt;=4)*($C419='TaxCred&amp;Subs'!$D$114:$D$121)*($H419='TaxCred&amp;Subs'!$C$114:$C$121)*($H419&lt;='TaxCred&amp;Subs'!$C$123),'TaxCred&amp;Subs'!$E$114:$E$121,0))</f>
        <v>2500</v>
      </c>
      <c r="R419" s="143">
        <v>0</v>
      </c>
      <c r="S419" s="5">
        <v>4</v>
      </c>
      <c r="T419" s="5" t="s">
        <v>240</v>
      </c>
      <c r="V419" s="7" t="str">
        <f t="array" ref="V419">INDEX(xlRTCLNAME,MATCH(1,(xlRTCLENDU=1)*(xlRTCLEQCL=$D419),0))</f>
        <v>NG_RAD</v>
      </c>
      <c r="W419" s="7" t="str">
        <f t="array" ref="W419">INDEX(xlRTCLNAME,MATCH(1,(xlRTCLENDU=2)*(xlRTCLEQCL=$F419),0))</f>
        <v>CENT_AIR</v>
      </c>
      <c r="X419" s="7" t="str">
        <f t="array" ref="X419">INDEX(xlRTTYNAME,MATCH(1,(xlRTTYENDU=1)*(xlRTTYEQCL=$D419)*(xlRTEQTYPE=$E419),0))</f>
        <v>NG_RAD3</v>
      </c>
      <c r="Y419" s="7" t="str">
        <f t="array" ref="Y419">INDEX(xlRTTYNAME,MATCH(1,(xlRTTYENDU=2)*(xlRTTYEQCL=$F419)*(xlRTEQTYPE=$G419),0))</f>
        <v>CENT_AIR3</v>
      </c>
    </row>
    <row r="420" spans="2:25" x14ac:dyDescent="0.2">
      <c r="B420" s="5">
        <v>2</v>
      </c>
      <c r="C420" s="5">
        <v>1</v>
      </c>
      <c r="D420" s="5">
        <v>4</v>
      </c>
      <c r="E420" s="5">
        <v>12</v>
      </c>
      <c r="F420" s="5">
        <v>2</v>
      </c>
      <c r="G420" s="31">
        <v>6</v>
      </c>
      <c r="H420" s="5">
        <v>2033</v>
      </c>
      <c r="I420" s="5">
        <v>2050</v>
      </c>
      <c r="J420" s="142">
        <v>1.0717000000000001</v>
      </c>
      <c r="K420" s="142">
        <v>1.0895999999999999</v>
      </c>
      <c r="L420" s="142">
        <v>0.52270000000000005</v>
      </c>
      <c r="M420" s="142">
        <v>0.83919999999999995</v>
      </c>
      <c r="N420" s="142">
        <v>0.92630000000000001</v>
      </c>
      <c r="O420" s="142">
        <v>1.0538000000000001</v>
      </c>
      <c r="P420" s="26">
        <v>17060.79515238832</v>
      </c>
      <c r="Q420" s="35">
        <f t="array" ref="Q420">SUM(IF(($S420&gt;=4)*($C420='TaxCred&amp;Subs'!$D$114:$D$121)*($H420='TaxCred&amp;Subs'!$C$114:$C$121)*($H420&lt;='TaxCred&amp;Subs'!$C$123),'TaxCred&amp;Subs'!$E$114:$E$121,0))</f>
        <v>0</v>
      </c>
      <c r="R420" s="143">
        <v>0</v>
      </c>
      <c r="S420" s="5">
        <v>4</v>
      </c>
      <c r="T420" s="5" t="s">
        <v>240</v>
      </c>
      <c r="V420" s="7" t="str">
        <f t="array" ref="V420">INDEX(xlRTCLNAME,MATCH(1,(xlRTCLENDU=1)*(xlRTCLEQCL=$D420),0))</f>
        <v>NG_RAD</v>
      </c>
      <c r="W420" s="7" t="str">
        <f t="array" ref="W420">INDEX(xlRTCLNAME,MATCH(1,(xlRTCLENDU=2)*(xlRTCLEQCL=$F420),0))</f>
        <v>CENT_AIR</v>
      </c>
      <c r="X420" s="7" t="str">
        <f t="array" ref="X420">INDEX(xlRTTYNAME,MATCH(1,(xlRTTYENDU=1)*(xlRTTYEQCL=$D420)*(xlRTEQTYPE=$E420),0))</f>
        <v>NG_RAD3</v>
      </c>
      <c r="Y420" s="7" t="str">
        <f t="array" ref="Y420">INDEX(xlRTTYNAME,MATCH(1,(xlRTTYENDU=2)*(xlRTTYEQCL=$F420)*(xlRTEQTYPE=$G420),0))</f>
        <v>CENT_AIR3</v>
      </c>
    </row>
    <row r="421" spans="2:25" x14ac:dyDescent="0.2">
      <c r="B421" s="5">
        <v>3</v>
      </c>
      <c r="C421" s="5">
        <v>1</v>
      </c>
      <c r="D421" s="5">
        <v>4</v>
      </c>
      <c r="E421" s="5">
        <v>12</v>
      </c>
      <c r="F421" s="5">
        <v>2</v>
      </c>
      <c r="G421" s="31">
        <v>6</v>
      </c>
      <c r="H421" s="31">
        <v>2020</v>
      </c>
      <c r="I421" s="5">
        <v>2022</v>
      </c>
      <c r="J421" s="142">
        <v>1.0821000000000001</v>
      </c>
      <c r="K421" s="142">
        <v>1.0769</v>
      </c>
      <c r="L421" s="142">
        <v>0.46970000000000001</v>
      </c>
      <c r="M421" s="142">
        <v>0.91859999999999997</v>
      </c>
      <c r="N421" s="142">
        <v>0.91400000000000003</v>
      </c>
      <c r="O421" s="142">
        <v>1.0538000000000001</v>
      </c>
      <c r="P421" s="26">
        <v>14781.809591406507</v>
      </c>
      <c r="Q421" s="35">
        <f t="array" ref="Q421">SUM(IF(($S421&gt;=4)*($C421='TaxCred&amp;Subs'!$D$114:$D$121)*($H421='TaxCred&amp;Subs'!$C$114:$C$121)*($H421&lt;='TaxCred&amp;Subs'!$C$123),'TaxCred&amp;Subs'!$E$114:$E$121,0))</f>
        <v>2000</v>
      </c>
      <c r="R421" s="143">
        <v>0</v>
      </c>
      <c r="S421" s="5">
        <v>4</v>
      </c>
      <c r="T421" s="5" t="s">
        <v>240</v>
      </c>
      <c r="V421" s="7" t="str">
        <f t="array" ref="V421">INDEX(xlRTCLNAME,MATCH(1,(xlRTCLENDU=1)*(xlRTCLEQCL=$D421),0))</f>
        <v>NG_RAD</v>
      </c>
      <c r="W421" s="7" t="str">
        <f t="array" ref="W421">INDEX(xlRTCLNAME,MATCH(1,(xlRTCLENDU=2)*(xlRTCLEQCL=$F421),0))</f>
        <v>CENT_AIR</v>
      </c>
      <c r="X421" s="7" t="str">
        <f t="array" ref="X421">INDEX(xlRTTYNAME,MATCH(1,(xlRTTYENDU=1)*(xlRTTYEQCL=$D421)*(xlRTEQTYPE=$E421),0))</f>
        <v>NG_RAD3</v>
      </c>
      <c r="Y421" s="7" t="str">
        <f t="array" ref="Y421">INDEX(xlRTTYNAME,MATCH(1,(xlRTTYENDU=2)*(xlRTTYEQCL=$F421)*(xlRTEQTYPE=$G421),0))</f>
        <v>CENT_AIR3</v>
      </c>
    </row>
    <row r="422" spans="2:25" x14ac:dyDescent="0.2">
      <c r="B422" s="5">
        <v>3</v>
      </c>
      <c r="C422" s="5">
        <v>1</v>
      </c>
      <c r="D422" s="5">
        <v>4</v>
      </c>
      <c r="E422" s="5">
        <v>12</v>
      </c>
      <c r="F422" s="5">
        <v>2</v>
      </c>
      <c r="G422" s="31">
        <v>6</v>
      </c>
      <c r="H422" s="5">
        <v>2023</v>
      </c>
      <c r="I422" s="5">
        <v>2032</v>
      </c>
      <c r="J422" s="142">
        <v>1.0821000000000001</v>
      </c>
      <c r="K422" s="142">
        <v>1.0769</v>
      </c>
      <c r="L422" s="142">
        <v>0.46970000000000001</v>
      </c>
      <c r="M422" s="142">
        <v>0.91859999999999997</v>
      </c>
      <c r="N422" s="142">
        <v>0.91400000000000003</v>
      </c>
      <c r="O422" s="142">
        <v>1.0538000000000001</v>
      </c>
      <c r="P422" s="26">
        <v>14781.809591406507</v>
      </c>
      <c r="Q422" s="35">
        <f t="array" ref="Q422">SUM(IF(($S422&gt;=4)*($C422='TaxCred&amp;Subs'!$D$114:$D$121)*($H422='TaxCred&amp;Subs'!$C$114:$C$121)*($H422&lt;='TaxCred&amp;Subs'!$C$123),'TaxCred&amp;Subs'!$E$114:$E$121,0))</f>
        <v>2500</v>
      </c>
      <c r="R422" s="143">
        <v>0</v>
      </c>
      <c r="S422" s="5">
        <v>4</v>
      </c>
      <c r="T422" s="5" t="s">
        <v>240</v>
      </c>
      <c r="V422" s="7" t="str">
        <f t="array" ref="V422">INDEX(xlRTCLNAME,MATCH(1,(xlRTCLENDU=1)*(xlRTCLEQCL=$D422),0))</f>
        <v>NG_RAD</v>
      </c>
      <c r="W422" s="7" t="str">
        <f t="array" ref="W422">INDEX(xlRTCLNAME,MATCH(1,(xlRTCLENDU=2)*(xlRTCLEQCL=$F422),0))</f>
        <v>CENT_AIR</v>
      </c>
      <c r="X422" s="7" t="str">
        <f t="array" ref="X422">INDEX(xlRTTYNAME,MATCH(1,(xlRTTYENDU=1)*(xlRTTYEQCL=$D422)*(xlRTEQTYPE=$E422),0))</f>
        <v>NG_RAD3</v>
      </c>
      <c r="Y422" s="7" t="str">
        <f t="array" ref="Y422">INDEX(xlRTTYNAME,MATCH(1,(xlRTTYENDU=2)*(xlRTTYEQCL=$F422)*(xlRTEQTYPE=$G422),0))</f>
        <v>CENT_AIR3</v>
      </c>
    </row>
    <row r="423" spans="2:25" x14ac:dyDescent="0.2">
      <c r="B423" s="5">
        <v>3</v>
      </c>
      <c r="C423" s="5">
        <v>1</v>
      </c>
      <c r="D423" s="5">
        <v>4</v>
      </c>
      <c r="E423" s="5">
        <v>12</v>
      </c>
      <c r="F423" s="5">
        <v>2</v>
      </c>
      <c r="G423" s="31">
        <v>6</v>
      </c>
      <c r="H423" s="5">
        <v>2033</v>
      </c>
      <c r="I423" s="5">
        <v>2050</v>
      </c>
      <c r="J423" s="142">
        <v>1.0821000000000001</v>
      </c>
      <c r="K423" s="142">
        <v>1.0769</v>
      </c>
      <c r="L423" s="142">
        <v>0.46970000000000001</v>
      </c>
      <c r="M423" s="142">
        <v>0.91859999999999997</v>
      </c>
      <c r="N423" s="142">
        <v>0.91400000000000003</v>
      </c>
      <c r="O423" s="142">
        <v>1.0538000000000001</v>
      </c>
      <c r="P423" s="26">
        <v>14781.809591406507</v>
      </c>
      <c r="Q423" s="35">
        <f t="array" ref="Q423">SUM(IF(($S423&gt;=4)*($C423='TaxCred&amp;Subs'!$D$114:$D$121)*($H423='TaxCred&amp;Subs'!$C$114:$C$121)*($H423&lt;='TaxCred&amp;Subs'!$C$123),'TaxCred&amp;Subs'!$E$114:$E$121,0))</f>
        <v>0</v>
      </c>
      <c r="R423" s="143">
        <v>0</v>
      </c>
      <c r="S423" s="5">
        <v>4</v>
      </c>
      <c r="T423" s="5" t="s">
        <v>240</v>
      </c>
      <c r="V423" s="7" t="str">
        <f t="array" ref="V423">INDEX(xlRTCLNAME,MATCH(1,(xlRTCLENDU=1)*(xlRTCLEQCL=$D423),0))</f>
        <v>NG_RAD</v>
      </c>
      <c r="W423" s="7" t="str">
        <f t="array" ref="W423">INDEX(xlRTCLNAME,MATCH(1,(xlRTCLENDU=2)*(xlRTCLEQCL=$F423),0))</f>
        <v>CENT_AIR</v>
      </c>
      <c r="X423" s="7" t="str">
        <f t="array" ref="X423">INDEX(xlRTTYNAME,MATCH(1,(xlRTTYENDU=1)*(xlRTTYEQCL=$D423)*(xlRTEQTYPE=$E423),0))</f>
        <v>NG_RAD3</v>
      </c>
      <c r="Y423" s="7" t="str">
        <f t="array" ref="Y423">INDEX(xlRTTYNAME,MATCH(1,(xlRTTYENDU=2)*(xlRTTYEQCL=$F423)*(xlRTEQTYPE=$G423),0))</f>
        <v>CENT_AIR3</v>
      </c>
    </row>
    <row r="424" spans="2:25" x14ac:dyDescent="0.2">
      <c r="B424" s="5">
        <v>4</v>
      </c>
      <c r="C424" s="5">
        <v>1</v>
      </c>
      <c r="D424" s="5">
        <v>4</v>
      </c>
      <c r="E424" s="5">
        <v>12</v>
      </c>
      <c r="F424" s="5">
        <v>2</v>
      </c>
      <c r="G424" s="31">
        <v>6</v>
      </c>
      <c r="H424" s="31">
        <v>2020</v>
      </c>
      <c r="I424" s="5">
        <v>2022</v>
      </c>
      <c r="J424" s="142">
        <v>1.0812999999999999</v>
      </c>
      <c r="K424" s="142">
        <v>1.0769</v>
      </c>
      <c r="L424" s="142">
        <v>0.47370000000000001</v>
      </c>
      <c r="M424" s="142">
        <v>0.85729999999999995</v>
      </c>
      <c r="N424" s="142">
        <v>0.85660000000000003</v>
      </c>
      <c r="O424" s="142">
        <v>1.0538000000000001</v>
      </c>
      <c r="P424" s="26">
        <v>12406.017564117505</v>
      </c>
      <c r="Q424" s="35">
        <f t="array" ref="Q424">SUM(IF(($S424&gt;=4)*($C424='TaxCred&amp;Subs'!$D$114:$D$121)*($H424='TaxCred&amp;Subs'!$C$114:$C$121)*($H424&lt;='TaxCred&amp;Subs'!$C$123),'TaxCred&amp;Subs'!$E$114:$E$121,0))</f>
        <v>2000</v>
      </c>
      <c r="R424" s="143">
        <v>0</v>
      </c>
      <c r="S424" s="5">
        <v>4</v>
      </c>
      <c r="T424" s="5" t="s">
        <v>240</v>
      </c>
      <c r="V424" s="7" t="str">
        <f t="array" ref="V424">INDEX(xlRTCLNAME,MATCH(1,(xlRTCLENDU=1)*(xlRTCLEQCL=$D424),0))</f>
        <v>NG_RAD</v>
      </c>
      <c r="W424" s="7" t="str">
        <f t="array" ref="W424">INDEX(xlRTCLNAME,MATCH(1,(xlRTCLENDU=2)*(xlRTCLEQCL=$F424),0))</f>
        <v>CENT_AIR</v>
      </c>
      <c r="X424" s="7" t="str">
        <f t="array" ref="X424">INDEX(xlRTTYNAME,MATCH(1,(xlRTTYENDU=1)*(xlRTTYEQCL=$D424)*(xlRTEQTYPE=$E424),0))</f>
        <v>NG_RAD3</v>
      </c>
      <c r="Y424" s="7" t="str">
        <f t="array" ref="Y424">INDEX(xlRTTYNAME,MATCH(1,(xlRTTYENDU=2)*(xlRTTYEQCL=$F424)*(xlRTEQTYPE=$G424),0))</f>
        <v>CENT_AIR3</v>
      </c>
    </row>
    <row r="425" spans="2:25" x14ac:dyDescent="0.2">
      <c r="B425" s="5">
        <v>4</v>
      </c>
      <c r="C425" s="5">
        <v>1</v>
      </c>
      <c r="D425" s="5">
        <v>4</v>
      </c>
      <c r="E425" s="5">
        <v>12</v>
      </c>
      <c r="F425" s="5">
        <v>2</v>
      </c>
      <c r="G425" s="31">
        <v>6</v>
      </c>
      <c r="H425" s="5">
        <v>2023</v>
      </c>
      <c r="I425" s="5">
        <v>2032</v>
      </c>
      <c r="J425" s="142">
        <v>1.0812999999999999</v>
      </c>
      <c r="K425" s="142">
        <v>1.0769</v>
      </c>
      <c r="L425" s="142">
        <v>0.47370000000000001</v>
      </c>
      <c r="M425" s="142">
        <v>0.85729999999999995</v>
      </c>
      <c r="N425" s="142">
        <v>0.85660000000000003</v>
      </c>
      <c r="O425" s="142">
        <v>1.0538000000000001</v>
      </c>
      <c r="P425" s="26">
        <v>12406.017564117505</v>
      </c>
      <c r="Q425" s="35">
        <f t="array" ref="Q425">SUM(IF(($S425&gt;=4)*($C425='TaxCred&amp;Subs'!$D$114:$D$121)*($H425='TaxCred&amp;Subs'!$C$114:$C$121)*($H425&lt;='TaxCred&amp;Subs'!$C$123),'TaxCred&amp;Subs'!$E$114:$E$121,0))</f>
        <v>2500</v>
      </c>
      <c r="R425" s="143">
        <v>0</v>
      </c>
      <c r="S425" s="5">
        <v>4</v>
      </c>
      <c r="T425" s="5" t="s">
        <v>240</v>
      </c>
      <c r="V425" s="7" t="str">
        <f t="array" ref="V425">INDEX(xlRTCLNAME,MATCH(1,(xlRTCLENDU=1)*(xlRTCLEQCL=$D425),0))</f>
        <v>NG_RAD</v>
      </c>
      <c r="W425" s="7" t="str">
        <f t="array" ref="W425">INDEX(xlRTCLNAME,MATCH(1,(xlRTCLENDU=2)*(xlRTCLEQCL=$F425),0))</f>
        <v>CENT_AIR</v>
      </c>
      <c r="X425" s="7" t="str">
        <f t="array" ref="X425">INDEX(xlRTTYNAME,MATCH(1,(xlRTTYENDU=1)*(xlRTTYEQCL=$D425)*(xlRTEQTYPE=$E425),0))</f>
        <v>NG_RAD3</v>
      </c>
      <c r="Y425" s="7" t="str">
        <f t="array" ref="Y425">INDEX(xlRTTYNAME,MATCH(1,(xlRTTYENDU=2)*(xlRTTYEQCL=$F425)*(xlRTEQTYPE=$G425),0))</f>
        <v>CENT_AIR3</v>
      </c>
    </row>
    <row r="426" spans="2:25" x14ac:dyDescent="0.2">
      <c r="B426" s="5">
        <v>4</v>
      </c>
      <c r="C426" s="5">
        <v>1</v>
      </c>
      <c r="D426" s="5">
        <v>4</v>
      </c>
      <c r="E426" s="5">
        <v>12</v>
      </c>
      <c r="F426" s="5">
        <v>2</v>
      </c>
      <c r="G426" s="31">
        <v>6</v>
      </c>
      <c r="H426" s="5">
        <v>2033</v>
      </c>
      <c r="I426" s="5">
        <v>2050</v>
      </c>
      <c r="J426" s="142">
        <v>1.0812999999999999</v>
      </c>
      <c r="K426" s="142">
        <v>1.0769</v>
      </c>
      <c r="L426" s="142">
        <v>0.47370000000000001</v>
      </c>
      <c r="M426" s="142">
        <v>0.85729999999999995</v>
      </c>
      <c r="N426" s="142">
        <v>0.85660000000000003</v>
      </c>
      <c r="O426" s="142">
        <v>1.0538000000000001</v>
      </c>
      <c r="P426" s="26">
        <v>12406.017564117505</v>
      </c>
      <c r="Q426" s="35">
        <f t="array" ref="Q426">SUM(IF(($S426&gt;=4)*($C426='TaxCred&amp;Subs'!$D$114:$D$121)*($H426='TaxCred&amp;Subs'!$C$114:$C$121)*($H426&lt;='TaxCred&amp;Subs'!$C$123),'TaxCred&amp;Subs'!$E$114:$E$121,0))</f>
        <v>0</v>
      </c>
      <c r="R426" s="143">
        <v>0</v>
      </c>
      <c r="S426" s="5">
        <v>4</v>
      </c>
      <c r="T426" s="5" t="s">
        <v>240</v>
      </c>
      <c r="V426" s="7" t="str">
        <f t="array" ref="V426">INDEX(xlRTCLNAME,MATCH(1,(xlRTCLENDU=1)*(xlRTCLEQCL=$D426),0))</f>
        <v>NG_RAD</v>
      </c>
      <c r="W426" s="7" t="str">
        <f t="array" ref="W426">INDEX(xlRTCLNAME,MATCH(1,(xlRTCLENDU=2)*(xlRTCLEQCL=$F426),0))</f>
        <v>CENT_AIR</v>
      </c>
      <c r="X426" s="7" t="str">
        <f t="array" ref="X426">INDEX(xlRTTYNAME,MATCH(1,(xlRTTYENDU=1)*(xlRTTYEQCL=$D426)*(xlRTEQTYPE=$E426),0))</f>
        <v>NG_RAD3</v>
      </c>
      <c r="Y426" s="7" t="str">
        <f t="array" ref="Y426">INDEX(xlRTTYNAME,MATCH(1,(xlRTTYENDU=2)*(xlRTTYEQCL=$F426)*(xlRTEQTYPE=$G426),0))</f>
        <v>CENT_AIR3</v>
      </c>
    </row>
    <row r="427" spans="2:25" x14ac:dyDescent="0.2">
      <c r="B427" s="5">
        <v>5</v>
      </c>
      <c r="C427" s="5">
        <v>1</v>
      </c>
      <c r="D427" s="5">
        <v>4</v>
      </c>
      <c r="E427" s="5">
        <v>12</v>
      </c>
      <c r="F427" s="5">
        <v>2</v>
      </c>
      <c r="G427" s="31">
        <v>6</v>
      </c>
      <c r="H427" s="31">
        <v>2020</v>
      </c>
      <c r="I427" s="5">
        <v>2022</v>
      </c>
      <c r="J427" s="142">
        <v>1.0838000000000001</v>
      </c>
      <c r="K427" s="142">
        <v>1.0465</v>
      </c>
      <c r="L427" s="142">
        <v>0.40329999999999999</v>
      </c>
      <c r="M427" s="142">
        <v>0.77349999999999997</v>
      </c>
      <c r="N427" s="142">
        <v>0.75670000000000004</v>
      </c>
      <c r="O427" s="142">
        <v>1.0538000000000001</v>
      </c>
      <c r="P427" s="26">
        <v>13314.922720001698</v>
      </c>
      <c r="Q427" s="35">
        <f t="array" ref="Q427">SUM(IF(($S427&gt;=4)*($C427='TaxCred&amp;Subs'!$D$114:$D$121)*($H427='TaxCred&amp;Subs'!$C$114:$C$121)*($H427&lt;='TaxCred&amp;Subs'!$C$123),'TaxCred&amp;Subs'!$E$114:$E$121,0))</f>
        <v>2000</v>
      </c>
      <c r="R427" s="143">
        <v>0</v>
      </c>
      <c r="S427" s="5">
        <v>4</v>
      </c>
      <c r="T427" s="5" t="s">
        <v>240</v>
      </c>
      <c r="V427" s="7" t="str">
        <f t="array" ref="V427">INDEX(xlRTCLNAME,MATCH(1,(xlRTCLENDU=1)*(xlRTCLEQCL=$D427),0))</f>
        <v>NG_RAD</v>
      </c>
      <c r="W427" s="7" t="str">
        <f t="array" ref="W427">INDEX(xlRTCLNAME,MATCH(1,(xlRTCLENDU=2)*(xlRTCLEQCL=$F427),0))</f>
        <v>CENT_AIR</v>
      </c>
      <c r="X427" s="7" t="str">
        <f t="array" ref="X427">INDEX(xlRTTYNAME,MATCH(1,(xlRTTYENDU=1)*(xlRTTYEQCL=$D427)*(xlRTEQTYPE=$E427),0))</f>
        <v>NG_RAD3</v>
      </c>
      <c r="Y427" s="7" t="str">
        <f t="array" ref="Y427">INDEX(xlRTTYNAME,MATCH(1,(xlRTTYENDU=2)*(xlRTTYEQCL=$F427)*(xlRTEQTYPE=$G427),0))</f>
        <v>CENT_AIR3</v>
      </c>
    </row>
    <row r="428" spans="2:25" x14ac:dyDescent="0.2">
      <c r="B428" s="5">
        <v>5</v>
      </c>
      <c r="C428" s="5">
        <v>1</v>
      </c>
      <c r="D428" s="5">
        <v>4</v>
      </c>
      <c r="E428" s="5">
        <v>12</v>
      </c>
      <c r="F428" s="5">
        <v>2</v>
      </c>
      <c r="G428" s="31">
        <v>6</v>
      </c>
      <c r="H428" s="5">
        <v>2023</v>
      </c>
      <c r="I428" s="5">
        <v>2032</v>
      </c>
      <c r="J428" s="142">
        <v>1.0838000000000001</v>
      </c>
      <c r="K428" s="142">
        <v>1.0465</v>
      </c>
      <c r="L428" s="142">
        <v>0.40329999999999999</v>
      </c>
      <c r="M428" s="142">
        <v>0.77349999999999997</v>
      </c>
      <c r="N428" s="142">
        <v>0.75670000000000004</v>
      </c>
      <c r="O428" s="142">
        <v>1.0538000000000001</v>
      </c>
      <c r="P428" s="26">
        <v>13314.922720001698</v>
      </c>
      <c r="Q428" s="35">
        <f t="array" ref="Q428">SUM(IF(($S428&gt;=4)*($C428='TaxCred&amp;Subs'!$D$114:$D$121)*($H428='TaxCred&amp;Subs'!$C$114:$C$121)*($H428&lt;='TaxCred&amp;Subs'!$C$123),'TaxCred&amp;Subs'!$E$114:$E$121,0))</f>
        <v>2500</v>
      </c>
      <c r="R428" s="143">
        <v>0</v>
      </c>
      <c r="S428" s="5">
        <v>4</v>
      </c>
      <c r="T428" s="5" t="s">
        <v>240</v>
      </c>
      <c r="V428" s="7" t="str">
        <f t="array" ref="V428">INDEX(xlRTCLNAME,MATCH(1,(xlRTCLENDU=1)*(xlRTCLEQCL=$D428),0))</f>
        <v>NG_RAD</v>
      </c>
      <c r="W428" s="7" t="str">
        <f t="array" ref="W428">INDEX(xlRTCLNAME,MATCH(1,(xlRTCLENDU=2)*(xlRTCLEQCL=$F428),0))</f>
        <v>CENT_AIR</v>
      </c>
      <c r="X428" s="7" t="str">
        <f t="array" ref="X428">INDEX(xlRTTYNAME,MATCH(1,(xlRTTYENDU=1)*(xlRTTYEQCL=$D428)*(xlRTEQTYPE=$E428),0))</f>
        <v>NG_RAD3</v>
      </c>
      <c r="Y428" s="7" t="str">
        <f t="array" ref="Y428">INDEX(xlRTTYNAME,MATCH(1,(xlRTTYENDU=2)*(xlRTTYEQCL=$F428)*(xlRTEQTYPE=$G428),0))</f>
        <v>CENT_AIR3</v>
      </c>
    </row>
    <row r="429" spans="2:25" x14ac:dyDescent="0.2">
      <c r="B429" s="5">
        <v>5</v>
      </c>
      <c r="C429" s="5">
        <v>1</v>
      </c>
      <c r="D429" s="5">
        <v>4</v>
      </c>
      <c r="E429" s="5">
        <v>12</v>
      </c>
      <c r="F429" s="5">
        <v>2</v>
      </c>
      <c r="G429" s="31">
        <v>6</v>
      </c>
      <c r="H429" s="5">
        <v>2033</v>
      </c>
      <c r="I429" s="5">
        <v>2050</v>
      </c>
      <c r="J429" s="142">
        <v>1.0838000000000001</v>
      </c>
      <c r="K429" s="142">
        <v>1.0465</v>
      </c>
      <c r="L429" s="142">
        <v>0.40329999999999999</v>
      </c>
      <c r="M429" s="142">
        <v>0.77349999999999997</v>
      </c>
      <c r="N429" s="142">
        <v>0.75670000000000004</v>
      </c>
      <c r="O429" s="142">
        <v>1.0538000000000001</v>
      </c>
      <c r="P429" s="26">
        <v>13314.922720001698</v>
      </c>
      <c r="Q429" s="35">
        <f t="array" ref="Q429">SUM(IF(($S429&gt;=4)*($C429='TaxCred&amp;Subs'!$D$114:$D$121)*($H429='TaxCred&amp;Subs'!$C$114:$C$121)*($H429&lt;='TaxCred&amp;Subs'!$C$123),'TaxCred&amp;Subs'!$E$114:$E$121,0))</f>
        <v>0</v>
      </c>
      <c r="R429" s="143">
        <v>0</v>
      </c>
      <c r="S429" s="5">
        <v>4</v>
      </c>
      <c r="T429" s="5" t="s">
        <v>240</v>
      </c>
      <c r="V429" s="7" t="str">
        <f t="array" ref="V429">INDEX(xlRTCLNAME,MATCH(1,(xlRTCLENDU=1)*(xlRTCLEQCL=$D429),0))</f>
        <v>NG_RAD</v>
      </c>
      <c r="W429" s="7" t="str">
        <f t="array" ref="W429">INDEX(xlRTCLNAME,MATCH(1,(xlRTCLENDU=2)*(xlRTCLEQCL=$F429),0))</f>
        <v>CENT_AIR</v>
      </c>
      <c r="X429" s="7" t="str">
        <f t="array" ref="X429">INDEX(xlRTTYNAME,MATCH(1,(xlRTTYENDU=1)*(xlRTTYEQCL=$D429)*(xlRTEQTYPE=$E429),0))</f>
        <v>NG_RAD3</v>
      </c>
      <c r="Y429" s="7" t="str">
        <f t="array" ref="Y429">INDEX(xlRTTYNAME,MATCH(1,(xlRTTYENDU=2)*(xlRTTYEQCL=$F429)*(xlRTEQTYPE=$G429),0))</f>
        <v>CENT_AIR3</v>
      </c>
    </row>
    <row r="430" spans="2:25" x14ac:dyDescent="0.2">
      <c r="B430" s="5">
        <v>6</v>
      </c>
      <c r="C430" s="5">
        <v>1</v>
      </c>
      <c r="D430" s="5">
        <v>4</v>
      </c>
      <c r="E430" s="5">
        <v>12</v>
      </c>
      <c r="F430" s="5">
        <v>2</v>
      </c>
      <c r="G430" s="31">
        <v>6</v>
      </c>
      <c r="H430" s="31">
        <v>2020</v>
      </c>
      <c r="I430" s="5">
        <v>2022</v>
      </c>
      <c r="J430" s="142">
        <v>1.089</v>
      </c>
      <c r="K430" s="142">
        <v>1.0583</v>
      </c>
      <c r="L430" s="142">
        <v>0.60009999999999997</v>
      </c>
      <c r="M430" s="142">
        <v>0.85409999999999997</v>
      </c>
      <c r="N430" s="142">
        <v>0.88849999999999996</v>
      </c>
      <c r="O430" s="142">
        <v>1.0538000000000001</v>
      </c>
      <c r="P430" s="26">
        <v>12559.294469103892</v>
      </c>
      <c r="Q430" s="35">
        <f t="array" ref="Q430">SUM(IF(($S430&gt;=4)*($C430='TaxCred&amp;Subs'!$D$114:$D$121)*($H430='TaxCred&amp;Subs'!$C$114:$C$121)*($H430&lt;='TaxCred&amp;Subs'!$C$123),'TaxCred&amp;Subs'!$E$114:$E$121,0))</f>
        <v>2000</v>
      </c>
      <c r="R430" s="143">
        <v>0</v>
      </c>
      <c r="S430" s="5">
        <v>4</v>
      </c>
      <c r="T430" s="5" t="s">
        <v>240</v>
      </c>
      <c r="V430" s="7" t="str">
        <f t="array" ref="V430">INDEX(xlRTCLNAME,MATCH(1,(xlRTCLENDU=1)*(xlRTCLEQCL=$D430),0))</f>
        <v>NG_RAD</v>
      </c>
      <c r="W430" s="7" t="str">
        <f t="array" ref="W430">INDEX(xlRTCLNAME,MATCH(1,(xlRTCLENDU=2)*(xlRTCLEQCL=$F430),0))</f>
        <v>CENT_AIR</v>
      </c>
      <c r="X430" s="7" t="str">
        <f t="array" ref="X430">INDEX(xlRTTYNAME,MATCH(1,(xlRTTYENDU=1)*(xlRTTYEQCL=$D430)*(xlRTEQTYPE=$E430),0))</f>
        <v>NG_RAD3</v>
      </c>
      <c r="Y430" s="7" t="str">
        <f t="array" ref="Y430">INDEX(xlRTTYNAME,MATCH(1,(xlRTTYENDU=2)*(xlRTTYEQCL=$F430)*(xlRTEQTYPE=$G430),0))</f>
        <v>CENT_AIR3</v>
      </c>
    </row>
    <row r="431" spans="2:25" x14ac:dyDescent="0.2">
      <c r="B431" s="5">
        <v>6</v>
      </c>
      <c r="C431" s="5">
        <v>1</v>
      </c>
      <c r="D431" s="5">
        <v>4</v>
      </c>
      <c r="E431" s="5">
        <v>12</v>
      </c>
      <c r="F431" s="5">
        <v>2</v>
      </c>
      <c r="G431" s="31">
        <v>6</v>
      </c>
      <c r="H431" s="5">
        <v>2023</v>
      </c>
      <c r="I431" s="5">
        <v>2032</v>
      </c>
      <c r="J431" s="142">
        <v>1.089</v>
      </c>
      <c r="K431" s="142">
        <v>1.0583</v>
      </c>
      <c r="L431" s="142">
        <v>0.60009999999999997</v>
      </c>
      <c r="M431" s="142">
        <v>0.85409999999999997</v>
      </c>
      <c r="N431" s="142">
        <v>0.88849999999999996</v>
      </c>
      <c r="O431" s="142">
        <v>1.0538000000000001</v>
      </c>
      <c r="P431" s="26">
        <v>12559.294469103892</v>
      </c>
      <c r="Q431" s="35">
        <f t="array" ref="Q431">SUM(IF(($S431&gt;=4)*($C431='TaxCred&amp;Subs'!$D$114:$D$121)*($H431='TaxCred&amp;Subs'!$C$114:$C$121)*($H431&lt;='TaxCred&amp;Subs'!$C$123),'TaxCred&amp;Subs'!$E$114:$E$121,0))</f>
        <v>2500</v>
      </c>
      <c r="R431" s="143">
        <v>0</v>
      </c>
      <c r="S431" s="5">
        <v>4</v>
      </c>
      <c r="T431" s="5" t="s">
        <v>240</v>
      </c>
      <c r="V431" s="7" t="str">
        <f t="array" ref="V431">INDEX(xlRTCLNAME,MATCH(1,(xlRTCLENDU=1)*(xlRTCLEQCL=$D431),0))</f>
        <v>NG_RAD</v>
      </c>
      <c r="W431" s="7" t="str">
        <f t="array" ref="W431">INDEX(xlRTCLNAME,MATCH(1,(xlRTCLENDU=2)*(xlRTCLEQCL=$F431),0))</f>
        <v>CENT_AIR</v>
      </c>
      <c r="X431" s="7" t="str">
        <f t="array" ref="X431">INDEX(xlRTTYNAME,MATCH(1,(xlRTTYENDU=1)*(xlRTTYEQCL=$D431)*(xlRTEQTYPE=$E431),0))</f>
        <v>NG_RAD3</v>
      </c>
      <c r="Y431" s="7" t="str">
        <f t="array" ref="Y431">INDEX(xlRTTYNAME,MATCH(1,(xlRTTYENDU=2)*(xlRTTYEQCL=$F431)*(xlRTEQTYPE=$G431),0))</f>
        <v>CENT_AIR3</v>
      </c>
    </row>
    <row r="432" spans="2:25" x14ac:dyDescent="0.2">
      <c r="B432" s="5">
        <v>6</v>
      </c>
      <c r="C432" s="5">
        <v>1</v>
      </c>
      <c r="D432" s="5">
        <v>4</v>
      </c>
      <c r="E432" s="5">
        <v>12</v>
      </c>
      <c r="F432" s="5">
        <v>2</v>
      </c>
      <c r="G432" s="31">
        <v>6</v>
      </c>
      <c r="H432" s="5">
        <v>2033</v>
      </c>
      <c r="I432" s="5">
        <v>2050</v>
      </c>
      <c r="J432" s="142">
        <v>1.089</v>
      </c>
      <c r="K432" s="142">
        <v>1.0583</v>
      </c>
      <c r="L432" s="142">
        <v>0.60009999999999997</v>
      </c>
      <c r="M432" s="142">
        <v>0.85409999999999997</v>
      </c>
      <c r="N432" s="142">
        <v>0.88849999999999996</v>
      </c>
      <c r="O432" s="142">
        <v>1.0538000000000001</v>
      </c>
      <c r="P432" s="26">
        <v>12559.294469103892</v>
      </c>
      <c r="Q432" s="35">
        <f t="array" ref="Q432">SUM(IF(($S432&gt;=4)*($C432='TaxCred&amp;Subs'!$D$114:$D$121)*($H432='TaxCred&amp;Subs'!$C$114:$C$121)*($H432&lt;='TaxCred&amp;Subs'!$C$123),'TaxCred&amp;Subs'!$E$114:$E$121,0))</f>
        <v>0</v>
      </c>
      <c r="R432" s="143">
        <v>0</v>
      </c>
      <c r="S432" s="5">
        <v>4</v>
      </c>
      <c r="T432" s="5" t="s">
        <v>240</v>
      </c>
      <c r="V432" s="7" t="str">
        <f t="array" ref="V432">INDEX(xlRTCLNAME,MATCH(1,(xlRTCLENDU=1)*(xlRTCLEQCL=$D432),0))</f>
        <v>NG_RAD</v>
      </c>
      <c r="W432" s="7" t="str">
        <f t="array" ref="W432">INDEX(xlRTCLNAME,MATCH(1,(xlRTCLENDU=2)*(xlRTCLEQCL=$F432),0))</f>
        <v>CENT_AIR</v>
      </c>
      <c r="X432" s="7" t="str">
        <f t="array" ref="X432">INDEX(xlRTTYNAME,MATCH(1,(xlRTTYENDU=1)*(xlRTTYEQCL=$D432)*(xlRTEQTYPE=$E432),0))</f>
        <v>NG_RAD3</v>
      </c>
      <c r="Y432" s="7" t="str">
        <f t="array" ref="Y432">INDEX(xlRTTYNAME,MATCH(1,(xlRTTYENDU=2)*(xlRTTYEQCL=$F432)*(xlRTEQTYPE=$G432),0))</f>
        <v>CENT_AIR3</v>
      </c>
    </row>
    <row r="433" spans="2:25" x14ac:dyDescent="0.2">
      <c r="B433" s="5">
        <v>7</v>
      </c>
      <c r="C433" s="5">
        <v>1</v>
      </c>
      <c r="D433" s="5">
        <v>4</v>
      </c>
      <c r="E433" s="5">
        <v>12</v>
      </c>
      <c r="F433" s="5">
        <v>2</v>
      </c>
      <c r="G433" s="31">
        <v>6</v>
      </c>
      <c r="H433" s="31">
        <v>2020</v>
      </c>
      <c r="I433" s="5">
        <v>2022</v>
      </c>
      <c r="J433" s="142">
        <v>1.0867</v>
      </c>
      <c r="K433" s="142">
        <v>1.0682</v>
      </c>
      <c r="L433" s="142">
        <v>0.47589999999999999</v>
      </c>
      <c r="M433" s="142">
        <v>0.73570000000000002</v>
      </c>
      <c r="N433" s="142">
        <v>0.87180000000000002</v>
      </c>
      <c r="O433" s="142">
        <v>1.0538000000000001</v>
      </c>
      <c r="P433" s="26">
        <v>11938.119643632743</v>
      </c>
      <c r="Q433" s="35">
        <f t="array" ref="Q433">SUM(IF(($S433&gt;=4)*($C433='TaxCred&amp;Subs'!$D$114:$D$121)*($H433='TaxCred&amp;Subs'!$C$114:$C$121)*($H433&lt;='TaxCred&amp;Subs'!$C$123),'TaxCred&amp;Subs'!$E$114:$E$121,0))</f>
        <v>2000</v>
      </c>
      <c r="R433" s="143">
        <v>0</v>
      </c>
      <c r="S433" s="5">
        <v>4</v>
      </c>
      <c r="T433" s="5" t="s">
        <v>240</v>
      </c>
      <c r="V433" s="7" t="str">
        <f t="array" ref="V433">INDEX(xlRTCLNAME,MATCH(1,(xlRTCLENDU=1)*(xlRTCLEQCL=$D433),0))</f>
        <v>NG_RAD</v>
      </c>
      <c r="W433" s="7" t="str">
        <f t="array" ref="W433">INDEX(xlRTCLNAME,MATCH(1,(xlRTCLENDU=2)*(xlRTCLEQCL=$F433),0))</f>
        <v>CENT_AIR</v>
      </c>
      <c r="X433" s="7" t="str">
        <f t="array" ref="X433">INDEX(xlRTTYNAME,MATCH(1,(xlRTTYENDU=1)*(xlRTTYEQCL=$D433)*(xlRTEQTYPE=$E433),0))</f>
        <v>NG_RAD3</v>
      </c>
      <c r="Y433" s="7" t="str">
        <f t="array" ref="Y433">INDEX(xlRTTYNAME,MATCH(1,(xlRTTYENDU=2)*(xlRTTYEQCL=$F433)*(xlRTEQTYPE=$G433),0))</f>
        <v>CENT_AIR3</v>
      </c>
    </row>
    <row r="434" spans="2:25" x14ac:dyDescent="0.2">
      <c r="B434" s="5">
        <v>7</v>
      </c>
      <c r="C434" s="5">
        <v>1</v>
      </c>
      <c r="D434" s="5">
        <v>4</v>
      </c>
      <c r="E434" s="5">
        <v>12</v>
      </c>
      <c r="F434" s="5">
        <v>2</v>
      </c>
      <c r="G434" s="31">
        <v>6</v>
      </c>
      <c r="H434" s="5">
        <v>2023</v>
      </c>
      <c r="I434" s="5">
        <v>2032</v>
      </c>
      <c r="J434" s="142">
        <v>1.0867</v>
      </c>
      <c r="K434" s="142">
        <v>1.0682</v>
      </c>
      <c r="L434" s="142">
        <v>0.47589999999999999</v>
      </c>
      <c r="M434" s="142">
        <v>0.73570000000000002</v>
      </c>
      <c r="N434" s="142">
        <v>0.87180000000000002</v>
      </c>
      <c r="O434" s="142">
        <v>1.0538000000000001</v>
      </c>
      <c r="P434" s="26">
        <v>11938.119643632743</v>
      </c>
      <c r="Q434" s="35">
        <f t="array" ref="Q434">SUM(IF(($S434&gt;=4)*($C434='TaxCred&amp;Subs'!$D$114:$D$121)*($H434='TaxCred&amp;Subs'!$C$114:$C$121)*($H434&lt;='TaxCred&amp;Subs'!$C$123),'TaxCred&amp;Subs'!$E$114:$E$121,0))</f>
        <v>2500</v>
      </c>
      <c r="R434" s="143">
        <v>0</v>
      </c>
      <c r="S434" s="5">
        <v>4</v>
      </c>
      <c r="T434" s="5" t="s">
        <v>240</v>
      </c>
      <c r="V434" s="7" t="str">
        <f t="array" ref="V434">INDEX(xlRTCLNAME,MATCH(1,(xlRTCLENDU=1)*(xlRTCLEQCL=$D434),0))</f>
        <v>NG_RAD</v>
      </c>
      <c r="W434" s="7" t="str">
        <f t="array" ref="W434">INDEX(xlRTCLNAME,MATCH(1,(xlRTCLENDU=2)*(xlRTCLEQCL=$F434),0))</f>
        <v>CENT_AIR</v>
      </c>
      <c r="X434" s="7" t="str">
        <f t="array" ref="X434">INDEX(xlRTTYNAME,MATCH(1,(xlRTTYENDU=1)*(xlRTTYEQCL=$D434)*(xlRTEQTYPE=$E434),0))</f>
        <v>NG_RAD3</v>
      </c>
      <c r="Y434" s="7" t="str">
        <f t="array" ref="Y434">INDEX(xlRTTYNAME,MATCH(1,(xlRTTYENDU=2)*(xlRTTYEQCL=$F434)*(xlRTEQTYPE=$G434),0))</f>
        <v>CENT_AIR3</v>
      </c>
    </row>
    <row r="435" spans="2:25" x14ac:dyDescent="0.2">
      <c r="B435" s="5">
        <v>7</v>
      </c>
      <c r="C435" s="5">
        <v>1</v>
      </c>
      <c r="D435" s="5">
        <v>4</v>
      </c>
      <c r="E435" s="5">
        <v>12</v>
      </c>
      <c r="F435" s="5">
        <v>2</v>
      </c>
      <c r="G435" s="31">
        <v>6</v>
      </c>
      <c r="H435" s="5">
        <v>2033</v>
      </c>
      <c r="I435" s="5">
        <v>2050</v>
      </c>
      <c r="J435" s="142">
        <v>1.0867</v>
      </c>
      <c r="K435" s="142">
        <v>1.0682</v>
      </c>
      <c r="L435" s="142">
        <v>0.47589999999999999</v>
      </c>
      <c r="M435" s="142">
        <v>0.73570000000000002</v>
      </c>
      <c r="N435" s="142">
        <v>0.87180000000000002</v>
      </c>
      <c r="O435" s="142">
        <v>1.0538000000000001</v>
      </c>
      <c r="P435" s="26">
        <v>11938.119643632743</v>
      </c>
      <c r="Q435" s="35">
        <f t="array" ref="Q435">SUM(IF(($S435&gt;=4)*($C435='TaxCred&amp;Subs'!$D$114:$D$121)*($H435='TaxCred&amp;Subs'!$C$114:$C$121)*($H435&lt;='TaxCred&amp;Subs'!$C$123),'TaxCred&amp;Subs'!$E$114:$E$121,0))</f>
        <v>0</v>
      </c>
      <c r="R435" s="143">
        <v>0</v>
      </c>
      <c r="S435" s="5">
        <v>4</v>
      </c>
      <c r="T435" s="5" t="s">
        <v>240</v>
      </c>
      <c r="V435" s="7" t="str">
        <f t="array" ref="V435">INDEX(xlRTCLNAME,MATCH(1,(xlRTCLENDU=1)*(xlRTCLEQCL=$D435),0))</f>
        <v>NG_RAD</v>
      </c>
      <c r="W435" s="7" t="str">
        <f t="array" ref="W435">INDEX(xlRTCLNAME,MATCH(1,(xlRTCLENDU=2)*(xlRTCLEQCL=$F435),0))</f>
        <v>CENT_AIR</v>
      </c>
      <c r="X435" s="7" t="str">
        <f t="array" ref="X435">INDEX(xlRTTYNAME,MATCH(1,(xlRTTYENDU=1)*(xlRTTYEQCL=$D435)*(xlRTEQTYPE=$E435),0))</f>
        <v>NG_RAD3</v>
      </c>
      <c r="Y435" s="7" t="str">
        <f t="array" ref="Y435">INDEX(xlRTTYNAME,MATCH(1,(xlRTTYENDU=2)*(xlRTTYEQCL=$F435)*(xlRTEQTYPE=$G435),0))</f>
        <v>CENT_AIR3</v>
      </c>
    </row>
    <row r="436" spans="2:25" x14ac:dyDescent="0.2">
      <c r="B436" s="5">
        <v>8</v>
      </c>
      <c r="C436" s="5">
        <v>1</v>
      </c>
      <c r="D436" s="5">
        <v>4</v>
      </c>
      <c r="E436" s="5">
        <v>12</v>
      </c>
      <c r="F436" s="5">
        <v>2</v>
      </c>
      <c r="G436" s="31">
        <v>6</v>
      </c>
      <c r="H436" s="31">
        <v>2020</v>
      </c>
      <c r="I436" s="5">
        <v>2022</v>
      </c>
      <c r="J436" s="142">
        <v>1.0820000000000001</v>
      </c>
      <c r="K436" s="142">
        <v>1.0832999999999999</v>
      </c>
      <c r="L436" s="142">
        <v>0.46889999999999998</v>
      </c>
      <c r="M436" s="142">
        <v>0.7802</v>
      </c>
      <c r="N436" s="142">
        <v>0.86439999999999995</v>
      </c>
      <c r="O436" s="142">
        <v>1.0538000000000001</v>
      </c>
      <c r="P436" s="26">
        <v>15736.428911935764</v>
      </c>
      <c r="Q436" s="35">
        <f t="array" ref="Q436">SUM(IF(($S436&gt;=4)*($C436='TaxCred&amp;Subs'!$D$114:$D$121)*($H436='TaxCred&amp;Subs'!$C$114:$C$121)*($H436&lt;='TaxCred&amp;Subs'!$C$123),'TaxCred&amp;Subs'!$E$114:$E$121,0))</f>
        <v>2000</v>
      </c>
      <c r="R436" s="143">
        <v>0</v>
      </c>
      <c r="S436" s="5">
        <v>4</v>
      </c>
      <c r="T436" s="5" t="s">
        <v>240</v>
      </c>
      <c r="V436" s="7" t="str">
        <f t="array" ref="V436">INDEX(xlRTCLNAME,MATCH(1,(xlRTCLENDU=1)*(xlRTCLEQCL=$D436),0))</f>
        <v>NG_RAD</v>
      </c>
      <c r="W436" s="7" t="str">
        <f t="array" ref="W436">INDEX(xlRTCLNAME,MATCH(1,(xlRTCLENDU=2)*(xlRTCLEQCL=$F436),0))</f>
        <v>CENT_AIR</v>
      </c>
      <c r="X436" s="7" t="str">
        <f t="array" ref="X436">INDEX(xlRTTYNAME,MATCH(1,(xlRTTYENDU=1)*(xlRTTYEQCL=$D436)*(xlRTEQTYPE=$E436),0))</f>
        <v>NG_RAD3</v>
      </c>
      <c r="Y436" s="7" t="str">
        <f t="array" ref="Y436">INDEX(xlRTTYNAME,MATCH(1,(xlRTTYENDU=2)*(xlRTTYEQCL=$F436)*(xlRTEQTYPE=$G436),0))</f>
        <v>CENT_AIR3</v>
      </c>
    </row>
    <row r="437" spans="2:25" x14ac:dyDescent="0.2">
      <c r="B437" s="5">
        <v>8</v>
      </c>
      <c r="C437" s="5">
        <v>1</v>
      </c>
      <c r="D437" s="5">
        <v>4</v>
      </c>
      <c r="E437" s="5">
        <v>12</v>
      </c>
      <c r="F437" s="5">
        <v>2</v>
      </c>
      <c r="G437" s="31">
        <v>6</v>
      </c>
      <c r="H437" s="5">
        <v>2023</v>
      </c>
      <c r="I437" s="5">
        <v>2032</v>
      </c>
      <c r="J437" s="142">
        <v>1.0820000000000001</v>
      </c>
      <c r="K437" s="142">
        <v>1.0832999999999999</v>
      </c>
      <c r="L437" s="142">
        <v>0.46889999999999998</v>
      </c>
      <c r="M437" s="142">
        <v>0.7802</v>
      </c>
      <c r="N437" s="142">
        <v>0.86439999999999995</v>
      </c>
      <c r="O437" s="142">
        <v>1.0538000000000001</v>
      </c>
      <c r="P437" s="26">
        <v>15736.428911935764</v>
      </c>
      <c r="Q437" s="35">
        <f t="array" ref="Q437">SUM(IF(($S437&gt;=4)*($C437='TaxCred&amp;Subs'!$D$114:$D$121)*($H437='TaxCred&amp;Subs'!$C$114:$C$121)*($H437&lt;='TaxCred&amp;Subs'!$C$123),'TaxCred&amp;Subs'!$E$114:$E$121,0))</f>
        <v>2500</v>
      </c>
      <c r="R437" s="143">
        <v>0</v>
      </c>
      <c r="S437" s="5">
        <v>4</v>
      </c>
      <c r="T437" s="5" t="s">
        <v>240</v>
      </c>
      <c r="V437" s="7" t="str">
        <f t="array" ref="V437">INDEX(xlRTCLNAME,MATCH(1,(xlRTCLENDU=1)*(xlRTCLEQCL=$D437),0))</f>
        <v>NG_RAD</v>
      </c>
      <c r="W437" s="7" t="str">
        <f t="array" ref="W437">INDEX(xlRTCLNAME,MATCH(1,(xlRTCLENDU=2)*(xlRTCLEQCL=$F437),0))</f>
        <v>CENT_AIR</v>
      </c>
      <c r="X437" s="7" t="str">
        <f t="array" ref="X437">INDEX(xlRTTYNAME,MATCH(1,(xlRTTYENDU=1)*(xlRTTYEQCL=$D437)*(xlRTEQTYPE=$E437),0))</f>
        <v>NG_RAD3</v>
      </c>
      <c r="Y437" s="7" t="str">
        <f t="array" ref="Y437">INDEX(xlRTTYNAME,MATCH(1,(xlRTTYENDU=2)*(xlRTTYEQCL=$F437)*(xlRTEQTYPE=$G437),0))</f>
        <v>CENT_AIR3</v>
      </c>
    </row>
    <row r="438" spans="2:25" x14ac:dyDescent="0.2">
      <c r="B438" s="5">
        <v>8</v>
      </c>
      <c r="C438" s="5">
        <v>1</v>
      </c>
      <c r="D438" s="5">
        <v>4</v>
      </c>
      <c r="E438" s="5">
        <v>12</v>
      </c>
      <c r="F438" s="5">
        <v>2</v>
      </c>
      <c r="G438" s="31">
        <v>6</v>
      </c>
      <c r="H438" s="5">
        <v>2033</v>
      </c>
      <c r="I438" s="5">
        <v>2050</v>
      </c>
      <c r="J438" s="142">
        <v>1.0820000000000001</v>
      </c>
      <c r="K438" s="142">
        <v>1.0832999999999999</v>
      </c>
      <c r="L438" s="142">
        <v>0.46889999999999998</v>
      </c>
      <c r="M438" s="142">
        <v>0.7802</v>
      </c>
      <c r="N438" s="142">
        <v>0.86439999999999995</v>
      </c>
      <c r="O438" s="142">
        <v>1.0538000000000001</v>
      </c>
      <c r="P438" s="26">
        <v>15736.428911935764</v>
      </c>
      <c r="Q438" s="35">
        <f t="array" ref="Q438">SUM(IF(($S438&gt;=4)*($C438='TaxCred&amp;Subs'!$D$114:$D$121)*($H438='TaxCred&amp;Subs'!$C$114:$C$121)*($H438&lt;='TaxCred&amp;Subs'!$C$123),'TaxCred&amp;Subs'!$E$114:$E$121,0))</f>
        <v>0</v>
      </c>
      <c r="R438" s="143">
        <v>0</v>
      </c>
      <c r="S438" s="5">
        <v>4</v>
      </c>
      <c r="T438" s="5" t="s">
        <v>240</v>
      </c>
      <c r="V438" s="7" t="str">
        <f t="array" ref="V438">INDEX(xlRTCLNAME,MATCH(1,(xlRTCLENDU=1)*(xlRTCLEQCL=$D438),0))</f>
        <v>NG_RAD</v>
      </c>
      <c r="W438" s="7" t="str">
        <f t="array" ref="W438">INDEX(xlRTCLNAME,MATCH(1,(xlRTCLENDU=2)*(xlRTCLEQCL=$F438),0))</f>
        <v>CENT_AIR</v>
      </c>
      <c r="X438" s="7" t="str">
        <f t="array" ref="X438">INDEX(xlRTTYNAME,MATCH(1,(xlRTTYENDU=1)*(xlRTTYEQCL=$D438)*(xlRTEQTYPE=$E438),0))</f>
        <v>NG_RAD3</v>
      </c>
      <c r="Y438" s="7" t="str">
        <f t="array" ref="Y438">INDEX(xlRTTYNAME,MATCH(1,(xlRTTYENDU=2)*(xlRTTYEQCL=$F438)*(xlRTEQTYPE=$G438),0))</f>
        <v>CENT_AIR3</v>
      </c>
    </row>
    <row r="439" spans="2:25" x14ac:dyDescent="0.2">
      <c r="B439" s="5">
        <v>9</v>
      </c>
      <c r="C439" s="5">
        <v>1</v>
      </c>
      <c r="D439" s="5">
        <v>4</v>
      </c>
      <c r="E439" s="5">
        <v>12</v>
      </c>
      <c r="F439" s="5">
        <v>2</v>
      </c>
      <c r="G439" s="31">
        <v>6</v>
      </c>
      <c r="H439" s="31">
        <v>2020</v>
      </c>
      <c r="I439" s="5">
        <v>2022</v>
      </c>
      <c r="J439" s="142">
        <v>1.0414000000000001</v>
      </c>
      <c r="K439" s="142">
        <v>1.07</v>
      </c>
      <c r="L439" s="142">
        <v>0.56499999999999995</v>
      </c>
      <c r="M439" s="142">
        <v>0.82869999999999999</v>
      </c>
      <c r="N439" s="142">
        <v>1.026</v>
      </c>
      <c r="O439" s="142">
        <v>1.0538000000000001</v>
      </c>
      <c r="P439" s="26">
        <v>16459.788340731167</v>
      </c>
      <c r="Q439" s="35">
        <f t="array" ref="Q439">SUM(IF(($S439&gt;=4)*($C439='TaxCred&amp;Subs'!$D$114:$D$121)*($H439='TaxCred&amp;Subs'!$C$114:$C$121)*($H439&lt;='TaxCred&amp;Subs'!$C$123),'TaxCred&amp;Subs'!$E$114:$E$121,0))</f>
        <v>2000</v>
      </c>
      <c r="R439" s="143">
        <v>0</v>
      </c>
      <c r="S439" s="5">
        <v>4</v>
      </c>
      <c r="T439" s="5" t="s">
        <v>240</v>
      </c>
      <c r="V439" s="7" t="str">
        <f t="array" ref="V439">INDEX(xlRTCLNAME,MATCH(1,(xlRTCLENDU=1)*(xlRTCLEQCL=$D439),0))</f>
        <v>NG_RAD</v>
      </c>
      <c r="W439" s="7" t="str">
        <f t="array" ref="W439">INDEX(xlRTCLNAME,MATCH(1,(xlRTCLENDU=2)*(xlRTCLEQCL=$F439),0))</f>
        <v>CENT_AIR</v>
      </c>
      <c r="X439" s="7" t="str">
        <f t="array" ref="X439">INDEX(xlRTTYNAME,MATCH(1,(xlRTTYENDU=1)*(xlRTTYEQCL=$D439)*(xlRTEQTYPE=$E439),0))</f>
        <v>NG_RAD3</v>
      </c>
      <c r="Y439" s="7" t="str">
        <f t="array" ref="Y439">INDEX(xlRTTYNAME,MATCH(1,(xlRTTYENDU=2)*(xlRTTYEQCL=$F439)*(xlRTEQTYPE=$G439),0))</f>
        <v>CENT_AIR3</v>
      </c>
    </row>
    <row r="440" spans="2:25" x14ac:dyDescent="0.2">
      <c r="B440" s="5">
        <v>9</v>
      </c>
      <c r="C440" s="5">
        <v>1</v>
      </c>
      <c r="D440" s="5">
        <v>4</v>
      </c>
      <c r="E440" s="5">
        <v>12</v>
      </c>
      <c r="F440" s="5">
        <v>2</v>
      </c>
      <c r="G440" s="31">
        <v>6</v>
      </c>
      <c r="H440" s="5">
        <v>2023</v>
      </c>
      <c r="I440" s="5">
        <v>2032</v>
      </c>
      <c r="J440" s="142">
        <v>1.0414000000000001</v>
      </c>
      <c r="K440" s="142">
        <v>1.07</v>
      </c>
      <c r="L440" s="142">
        <v>0.56499999999999995</v>
      </c>
      <c r="M440" s="142">
        <v>0.82869999999999999</v>
      </c>
      <c r="N440" s="142">
        <v>1.026</v>
      </c>
      <c r="O440" s="142">
        <v>1.0538000000000001</v>
      </c>
      <c r="P440" s="26">
        <v>16459.788340731167</v>
      </c>
      <c r="Q440" s="35">
        <f t="array" ref="Q440">SUM(IF(($S440&gt;=4)*($C440='TaxCred&amp;Subs'!$D$114:$D$121)*($H440='TaxCred&amp;Subs'!$C$114:$C$121)*($H440&lt;='TaxCred&amp;Subs'!$C$123),'TaxCred&amp;Subs'!$E$114:$E$121,0))</f>
        <v>2500</v>
      </c>
      <c r="R440" s="143">
        <v>0</v>
      </c>
      <c r="S440" s="5">
        <v>4</v>
      </c>
      <c r="T440" s="5" t="s">
        <v>240</v>
      </c>
      <c r="V440" s="7" t="str">
        <f t="array" ref="V440">INDEX(xlRTCLNAME,MATCH(1,(xlRTCLENDU=1)*(xlRTCLEQCL=$D440),0))</f>
        <v>NG_RAD</v>
      </c>
      <c r="W440" s="7" t="str">
        <f t="array" ref="W440">INDEX(xlRTCLNAME,MATCH(1,(xlRTCLENDU=2)*(xlRTCLEQCL=$F440),0))</f>
        <v>CENT_AIR</v>
      </c>
      <c r="X440" s="7" t="str">
        <f t="array" ref="X440">INDEX(xlRTTYNAME,MATCH(1,(xlRTTYENDU=1)*(xlRTTYEQCL=$D440)*(xlRTEQTYPE=$E440),0))</f>
        <v>NG_RAD3</v>
      </c>
      <c r="Y440" s="7" t="str">
        <f t="array" ref="Y440">INDEX(xlRTTYNAME,MATCH(1,(xlRTTYENDU=2)*(xlRTTYEQCL=$F440)*(xlRTEQTYPE=$G440),0))</f>
        <v>CENT_AIR3</v>
      </c>
    </row>
    <row r="441" spans="2:25" x14ac:dyDescent="0.2">
      <c r="B441" s="5">
        <v>9</v>
      </c>
      <c r="C441" s="5">
        <v>1</v>
      </c>
      <c r="D441" s="5">
        <v>4</v>
      </c>
      <c r="E441" s="5">
        <v>12</v>
      </c>
      <c r="F441" s="5">
        <v>2</v>
      </c>
      <c r="G441" s="31">
        <v>6</v>
      </c>
      <c r="H441" s="5">
        <v>2033</v>
      </c>
      <c r="I441" s="5">
        <v>2050</v>
      </c>
      <c r="J441" s="142">
        <v>1.0414000000000001</v>
      </c>
      <c r="K441" s="142">
        <v>1.07</v>
      </c>
      <c r="L441" s="142">
        <v>0.56499999999999995</v>
      </c>
      <c r="M441" s="142">
        <v>0.82869999999999999</v>
      </c>
      <c r="N441" s="142">
        <v>1.026</v>
      </c>
      <c r="O441" s="142">
        <v>1.0538000000000001</v>
      </c>
      <c r="P441" s="26">
        <v>16459.788340731167</v>
      </c>
      <c r="Q441" s="35">
        <f t="array" ref="Q441">SUM(IF(($S441&gt;=4)*($C441='TaxCred&amp;Subs'!$D$114:$D$121)*($H441='TaxCred&amp;Subs'!$C$114:$C$121)*($H441&lt;='TaxCred&amp;Subs'!$C$123),'TaxCred&amp;Subs'!$E$114:$E$121,0))</f>
        <v>0</v>
      </c>
      <c r="R441" s="143">
        <v>0</v>
      </c>
      <c r="S441" s="5">
        <v>4</v>
      </c>
      <c r="T441" s="5" t="s">
        <v>240</v>
      </c>
      <c r="V441" s="7" t="str">
        <f t="array" ref="V441">INDEX(xlRTCLNAME,MATCH(1,(xlRTCLENDU=1)*(xlRTCLEQCL=$D441),0))</f>
        <v>NG_RAD</v>
      </c>
      <c r="W441" s="7" t="str">
        <f t="array" ref="W441">INDEX(xlRTCLNAME,MATCH(1,(xlRTCLENDU=2)*(xlRTCLEQCL=$F441),0))</f>
        <v>CENT_AIR</v>
      </c>
      <c r="X441" s="7" t="str">
        <f t="array" ref="X441">INDEX(xlRTTYNAME,MATCH(1,(xlRTTYENDU=1)*(xlRTTYEQCL=$D441)*(xlRTEQTYPE=$E441),0))</f>
        <v>NG_RAD3</v>
      </c>
      <c r="Y441" s="7" t="str">
        <f t="array" ref="Y441">INDEX(xlRTTYNAME,MATCH(1,(xlRTTYENDU=2)*(xlRTTYEQCL=$F441)*(xlRTEQTYPE=$G441),0))</f>
        <v>CENT_AIR3</v>
      </c>
    </row>
    <row r="442" spans="2:25" x14ac:dyDescent="0.2">
      <c r="B442" s="29">
        <v>1</v>
      </c>
      <c r="C442" s="29">
        <v>1</v>
      </c>
      <c r="D442" s="29">
        <v>5</v>
      </c>
      <c r="E442" s="29">
        <v>16</v>
      </c>
      <c r="F442" s="29">
        <v>2</v>
      </c>
      <c r="G442" s="32">
        <v>6</v>
      </c>
      <c r="H442" s="31">
        <v>2020</v>
      </c>
      <c r="I442" s="5">
        <v>2022</v>
      </c>
      <c r="J442" s="144">
        <v>1.0309999999999999</v>
      </c>
      <c r="K442" s="144">
        <v>1.0667</v>
      </c>
      <c r="L442" s="144">
        <v>0.46589999999999998</v>
      </c>
      <c r="M442" s="144">
        <v>0.95850000000000002</v>
      </c>
      <c r="N442" s="144">
        <v>0.79790000000000005</v>
      </c>
      <c r="O442" s="144">
        <v>1.0538000000000001</v>
      </c>
      <c r="P442" s="143">
        <v>17710.205197199066</v>
      </c>
      <c r="Q442" s="35">
        <f t="array" ref="Q442">SUM(IF(($S442&gt;=4)*($C442='TaxCred&amp;Subs'!$D$114:$D$121)*($H442='TaxCred&amp;Subs'!$C$114:$C$121)*($H442&lt;='TaxCred&amp;Subs'!$C$123),'TaxCred&amp;Subs'!$E$114:$E$121,0))</f>
        <v>2000</v>
      </c>
      <c r="R442" s="143">
        <v>0</v>
      </c>
      <c r="S442" s="29">
        <v>4</v>
      </c>
      <c r="T442" s="29" t="s">
        <v>240</v>
      </c>
      <c r="U442" s="30" t="s">
        <v>227</v>
      </c>
      <c r="V442" s="7" t="str">
        <f t="array" ref="V442">INDEX(xlRTCLNAME,MATCH(1,(xlRTCLENDU=1)*(xlRTCLEQCL=$D442),0))</f>
        <v>KERO_FA</v>
      </c>
      <c r="W442" s="7" t="str">
        <f t="array" ref="W442">INDEX(xlRTCLNAME,MATCH(1,(xlRTCLENDU=2)*(xlRTCLEQCL=$F442),0))</f>
        <v>CENT_AIR</v>
      </c>
      <c r="X442" s="7" t="str">
        <f t="array" ref="X442">INDEX(xlRTTYNAME,MATCH(1,(xlRTTYENDU=1)*(xlRTTYEQCL=$D442)*(xlRTEQTYPE=$E442),0))</f>
        <v>KERO_FA3</v>
      </c>
      <c r="Y442" s="7" t="str">
        <f t="array" ref="Y442">INDEX(xlRTTYNAME,MATCH(1,(xlRTTYENDU=2)*(xlRTTYEQCL=$F442)*(xlRTEQTYPE=$G442),0))</f>
        <v>CENT_AIR3</v>
      </c>
    </row>
    <row r="443" spans="2:25" x14ac:dyDescent="0.2">
      <c r="B443" s="29">
        <v>1</v>
      </c>
      <c r="C443" s="29">
        <v>1</v>
      </c>
      <c r="D443" s="29">
        <v>5</v>
      </c>
      <c r="E443" s="29">
        <v>16</v>
      </c>
      <c r="F443" s="29">
        <v>2</v>
      </c>
      <c r="G443" s="32">
        <v>6</v>
      </c>
      <c r="H443" s="5">
        <v>2023</v>
      </c>
      <c r="I443" s="5">
        <v>2032</v>
      </c>
      <c r="J443" s="144">
        <v>1.0309999999999999</v>
      </c>
      <c r="K443" s="144">
        <v>1.0667</v>
      </c>
      <c r="L443" s="144">
        <v>0.46589999999999998</v>
      </c>
      <c r="M443" s="144">
        <v>0.95850000000000002</v>
      </c>
      <c r="N443" s="144">
        <v>0.79790000000000005</v>
      </c>
      <c r="O443" s="144">
        <v>1.0538000000000001</v>
      </c>
      <c r="P443" s="143">
        <v>17710.205197199066</v>
      </c>
      <c r="Q443" s="35">
        <f t="array" ref="Q443">SUM(IF(($S443&gt;=4)*($C443='TaxCred&amp;Subs'!$D$114:$D$121)*($H443='TaxCred&amp;Subs'!$C$114:$C$121)*($H443&lt;='TaxCred&amp;Subs'!$C$123),'TaxCred&amp;Subs'!$E$114:$E$121,0))</f>
        <v>2500</v>
      </c>
      <c r="R443" s="143">
        <v>0</v>
      </c>
      <c r="S443" s="29">
        <v>4</v>
      </c>
      <c r="T443" s="29" t="s">
        <v>240</v>
      </c>
      <c r="U443" s="30" t="s">
        <v>227</v>
      </c>
      <c r="V443" s="7" t="str">
        <f t="array" ref="V443">INDEX(xlRTCLNAME,MATCH(1,(xlRTCLENDU=1)*(xlRTCLEQCL=$D443),0))</f>
        <v>KERO_FA</v>
      </c>
      <c r="W443" s="7" t="str">
        <f t="array" ref="W443">INDEX(xlRTCLNAME,MATCH(1,(xlRTCLENDU=2)*(xlRTCLEQCL=$F443),0))</f>
        <v>CENT_AIR</v>
      </c>
      <c r="X443" s="7" t="str">
        <f t="array" ref="X443">INDEX(xlRTTYNAME,MATCH(1,(xlRTTYENDU=1)*(xlRTTYEQCL=$D443)*(xlRTEQTYPE=$E443),0))</f>
        <v>KERO_FA3</v>
      </c>
      <c r="Y443" s="7" t="str">
        <f t="array" ref="Y443">INDEX(xlRTTYNAME,MATCH(1,(xlRTTYENDU=2)*(xlRTTYEQCL=$F443)*(xlRTEQTYPE=$G443),0))</f>
        <v>CENT_AIR3</v>
      </c>
    </row>
    <row r="444" spans="2:25" x14ac:dyDescent="0.2">
      <c r="B444" s="29">
        <v>1</v>
      </c>
      <c r="C444" s="29">
        <v>1</v>
      </c>
      <c r="D444" s="29">
        <v>5</v>
      </c>
      <c r="E444" s="29">
        <v>16</v>
      </c>
      <c r="F444" s="29">
        <v>2</v>
      </c>
      <c r="G444" s="32">
        <v>6</v>
      </c>
      <c r="H444" s="5">
        <v>2033</v>
      </c>
      <c r="I444" s="5">
        <v>2050</v>
      </c>
      <c r="J444" s="144">
        <v>1.0309999999999999</v>
      </c>
      <c r="K444" s="144">
        <v>1.0667</v>
      </c>
      <c r="L444" s="144">
        <v>0.46589999999999998</v>
      </c>
      <c r="M444" s="144">
        <v>0.95850000000000002</v>
      </c>
      <c r="N444" s="144">
        <v>0.79790000000000005</v>
      </c>
      <c r="O444" s="144">
        <v>1.0538000000000001</v>
      </c>
      <c r="P444" s="143">
        <v>17710.205197199066</v>
      </c>
      <c r="Q444" s="35">
        <f t="array" ref="Q444">SUM(IF(($S444&gt;=4)*($C444='TaxCred&amp;Subs'!$D$114:$D$121)*($H444='TaxCred&amp;Subs'!$C$114:$C$121)*($H444&lt;='TaxCred&amp;Subs'!$C$123),'TaxCred&amp;Subs'!$E$114:$E$121,0))</f>
        <v>0</v>
      </c>
      <c r="R444" s="143">
        <v>0</v>
      </c>
      <c r="S444" s="29">
        <v>4</v>
      </c>
      <c r="T444" s="29" t="s">
        <v>240</v>
      </c>
      <c r="U444" s="30" t="s">
        <v>227</v>
      </c>
      <c r="V444" s="7" t="str">
        <f t="array" ref="V444">INDEX(xlRTCLNAME,MATCH(1,(xlRTCLENDU=1)*(xlRTCLEQCL=$D444),0))</f>
        <v>KERO_FA</v>
      </c>
      <c r="W444" s="7" t="str">
        <f t="array" ref="W444">INDEX(xlRTCLNAME,MATCH(1,(xlRTCLENDU=2)*(xlRTCLEQCL=$F444),0))</f>
        <v>CENT_AIR</v>
      </c>
      <c r="X444" s="7" t="str">
        <f t="array" ref="X444">INDEX(xlRTTYNAME,MATCH(1,(xlRTTYENDU=1)*(xlRTTYEQCL=$D444)*(xlRTEQTYPE=$E444),0))</f>
        <v>KERO_FA3</v>
      </c>
      <c r="Y444" s="7" t="str">
        <f t="array" ref="Y444">INDEX(xlRTTYNAME,MATCH(1,(xlRTTYENDU=2)*(xlRTTYEQCL=$F444)*(xlRTEQTYPE=$G444),0))</f>
        <v>CENT_AIR3</v>
      </c>
    </row>
    <row r="445" spans="2:25" x14ac:dyDescent="0.2">
      <c r="B445" s="29">
        <v>2</v>
      </c>
      <c r="C445" s="29">
        <v>1</v>
      </c>
      <c r="D445" s="29">
        <v>5</v>
      </c>
      <c r="E445" s="29">
        <v>16</v>
      </c>
      <c r="F445" s="29">
        <v>2</v>
      </c>
      <c r="G445" s="32">
        <v>6</v>
      </c>
      <c r="H445" s="31">
        <v>2020</v>
      </c>
      <c r="I445" s="5">
        <v>2022</v>
      </c>
      <c r="J445" s="144">
        <v>1.0772999999999999</v>
      </c>
      <c r="K445" s="144">
        <v>1.0758000000000001</v>
      </c>
      <c r="L445" s="144">
        <v>0.51419999999999999</v>
      </c>
      <c r="M445" s="144">
        <v>0.83919999999999995</v>
      </c>
      <c r="N445" s="144">
        <v>0.93169999999999997</v>
      </c>
      <c r="O445" s="144">
        <v>1.0538000000000001</v>
      </c>
      <c r="P445" s="143">
        <v>18775.076326578179</v>
      </c>
      <c r="Q445" s="35">
        <f t="array" ref="Q445">SUM(IF(($S445&gt;=4)*($C445='TaxCred&amp;Subs'!$D$114:$D$121)*($H445='TaxCred&amp;Subs'!$C$114:$C$121)*($H445&lt;='TaxCred&amp;Subs'!$C$123),'TaxCred&amp;Subs'!$E$114:$E$121,0))</f>
        <v>2000</v>
      </c>
      <c r="R445" s="143">
        <v>0</v>
      </c>
      <c r="S445" s="29">
        <v>4</v>
      </c>
      <c r="T445" s="29" t="s">
        <v>240</v>
      </c>
      <c r="U445" s="30" t="s">
        <v>227</v>
      </c>
      <c r="V445" s="7" t="str">
        <f t="array" ref="V445">INDEX(xlRTCLNAME,MATCH(1,(xlRTCLENDU=1)*(xlRTCLEQCL=$D445),0))</f>
        <v>KERO_FA</v>
      </c>
      <c r="W445" s="7" t="str">
        <f t="array" ref="W445">INDEX(xlRTCLNAME,MATCH(1,(xlRTCLENDU=2)*(xlRTCLEQCL=$F445),0))</f>
        <v>CENT_AIR</v>
      </c>
      <c r="X445" s="7" t="str">
        <f t="array" ref="X445">INDEX(xlRTTYNAME,MATCH(1,(xlRTTYENDU=1)*(xlRTTYEQCL=$D445)*(xlRTEQTYPE=$E445),0))</f>
        <v>KERO_FA3</v>
      </c>
      <c r="Y445" s="7" t="str">
        <f t="array" ref="Y445">INDEX(xlRTTYNAME,MATCH(1,(xlRTTYENDU=2)*(xlRTTYEQCL=$F445)*(xlRTEQTYPE=$G445),0))</f>
        <v>CENT_AIR3</v>
      </c>
    </row>
    <row r="446" spans="2:25" x14ac:dyDescent="0.2">
      <c r="B446" s="29">
        <v>2</v>
      </c>
      <c r="C446" s="29">
        <v>1</v>
      </c>
      <c r="D446" s="29">
        <v>5</v>
      </c>
      <c r="E446" s="29">
        <v>16</v>
      </c>
      <c r="F446" s="29">
        <v>2</v>
      </c>
      <c r="G446" s="32">
        <v>6</v>
      </c>
      <c r="H446" s="5">
        <v>2023</v>
      </c>
      <c r="I446" s="5">
        <v>2032</v>
      </c>
      <c r="J446" s="144">
        <v>1.0772999999999999</v>
      </c>
      <c r="K446" s="144">
        <v>1.0758000000000001</v>
      </c>
      <c r="L446" s="144">
        <v>0.51419999999999999</v>
      </c>
      <c r="M446" s="144">
        <v>0.83919999999999995</v>
      </c>
      <c r="N446" s="144">
        <v>0.93169999999999997</v>
      </c>
      <c r="O446" s="144">
        <v>1.0538000000000001</v>
      </c>
      <c r="P446" s="143">
        <v>18775.076326578179</v>
      </c>
      <c r="Q446" s="35">
        <f t="array" ref="Q446">SUM(IF(($S446&gt;=4)*($C446='TaxCred&amp;Subs'!$D$114:$D$121)*($H446='TaxCred&amp;Subs'!$C$114:$C$121)*($H446&lt;='TaxCred&amp;Subs'!$C$123),'TaxCred&amp;Subs'!$E$114:$E$121,0))</f>
        <v>2500</v>
      </c>
      <c r="R446" s="143">
        <v>0</v>
      </c>
      <c r="S446" s="29">
        <v>4</v>
      </c>
      <c r="T446" s="29" t="s">
        <v>240</v>
      </c>
      <c r="U446" s="30" t="s">
        <v>227</v>
      </c>
      <c r="V446" s="7" t="str">
        <f t="array" ref="V446">INDEX(xlRTCLNAME,MATCH(1,(xlRTCLENDU=1)*(xlRTCLEQCL=$D446),0))</f>
        <v>KERO_FA</v>
      </c>
      <c r="W446" s="7" t="str">
        <f t="array" ref="W446">INDEX(xlRTCLNAME,MATCH(1,(xlRTCLENDU=2)*(xlRTCLEQCL=$F446),0))</f>
        <v>CENT_AIR</v>
      </c>
      <c r="X446" s="7" t="str">
        <f t="array" ref="X446">INDEX(xlRTTYNAME,MATCH(1,(xlRTTYENDU=1)*(xlRTTYEQCL=$D446)*(xlRTEQTYPE=$E446),0))</f>
        <v>KERO_FA3</v>
      </c>
      <c r="Y446" s="7" t="str">
        <f t="array" ref="Y446">INDEX(xlRTTYNAME,MATCH(1,(xlRTTYENDU=2)*(xlRTTYEQCL=$F446)*(xlRTEQTYPE=$G446),0))</f>
        <v>CENT_AIR3</v>
      </c>
    </row>
    <row r="447" spans="2:25" x14ac:dyDescent="0.2">
      <c r="B447" s="29">
        <v>2</v>
      </c>
      <c r="C447" s="29">
        <v>1</v>
      </c>
      <c r="D447" s="29">
        <v>5</v>
      </c>
      <c r="E447" s="29">
        <v>16</v>
      </c>
      <c r="F447" s="29">
        <v>2</v>
      </c>
      <c r="G447" s="32">
        <v>6</v>
      </c>
      <c r="H447" s="5">
        <v>2033</v>
      </c>
      <c r="I447" s="5">
        <v>2050</v>
      </c>
      <c r="J447" s="144">
        <v>1.0772999999999999</v>
      </c>
      <c r="K447" s="144">
        <v>1.0758000000000001</v>
      </c>
      <c r="L447" s="144">
        <v>0.51419999999999999</v>
      </c>
      <c r="M447" s="144">
        <v>0.83919999999999995</v>
      </c>
      <c r="N447" s="144">
        <v>0.93169999999999997</v>
      </c>
      <c r="O447" s="144">
        <v>1.0538000000000001</v>
      </c>
      <c r="P447" s="143">
        <v>18775.076326578179</v>
      </c>
      <c r="Q447" s="35">
        <f t="array" ref="Q447">SUM(IF(($S447&gt;=4)*($C447='TaxCred&amp;Subs'!$D$114:$D$121)*($H447='TaxCred&amp;Subs'!$C$114:$C$121)*($H447&lt;='TaxCred&amp;Subs'!$C$123),'TaxCred&amp;Subs'!$E$114:$E$121,0))</f>
        <v>0</v>
      </c>
      <c r="R447" s="143">
        <v>0</v>
      </c>
      <c r="S447" s="29">
        <v>4</v>
      </c>
      <c r="T447" s="29" t="s">
        <v>240</v>
      </c>
      <c r="U447" s="30" t="s">
        <v>227</v>
      </c>
      <c r="V447" s="7" t="str">
        <f t="array" ref="V447">INDEX(xlRTCLNAME,MATCH(1,(xlRTCLENDU=1)*(xlRTCLEQCL=$D447),0))</f>
        <v>KERO_FA</v>
      </c>
      <c r="W447" s="7" t="str">
        <f t="array" ref="W447">INDEX(xlRTCLNAME,MATCH(1,(xlRTCLENDU=2)*(xlRTCLEQCL=$F447),0))</f>
        <v>CENT_AIR</v>
      </c>
      <c r="X447" s="7" t="str">
        <f t="array" ref="X447">INDEX(xlRTTYNAME,MATCH(1,(xlRTTYENDU=1)*(xlRTTYEQCL=$D447)*(xlRTEQTYPE=$E447),0))</f>
        <v>KERO_FA3</v>
      </c>
      <c r="Y447" s="7" t="str">
        <f t="array" ref="Y447">INDEX(xlRTTYNAME,MATCH(1,(xlRTTYENDU=2)*(xlRTTYEQCL=$F447)*(xlRTEQTYPE=$G447),0))</f>
        <v>CENT_AIR3</v>
      </c>
    </row>
    <row r="448" spans="2:25" x14ac:dyDescent="0.2">
      <c r="B448" s="29">
        <v>3</v>
      </c>
      <c r="C448" s="29">
        <v>1</v>
      </c>
      <c r="D448" s="29">
        <v>5</v>
      </c>
      <c r="E448" s="29">
        <v>16</v>
      </c>
      <c r="F448" s="29">
        <v>2</v>
      </c>
      <c r="G448" s="32">
        <v>6</v>
      </c>
      <c r="H448" s="31">
        <v>2020</v>
      </c>
      <c r="I448" s="5">
        <v>2022</v>
      </c>
      <c r="J448" s="144">
        <v>1.0842000000000001</v>
      </c>
      <c r="K448" s="144">
        <v>1.0577000000000001</v>
      </c>
      <c r="L448" s="144">
        <v>0.4531</v>
      </c>
      <c r="M448" s="144">
        <v>0.90190000000000003</v>
      </c>
      <c r="N448" s="144">
        <v>0.91220000000000001</v>
      </c>
      <c r="O448" s="144">
        <v>1.0538000000000001</v>
      </c>
      <c r="P448" s="143">
        <v>17265.164359036837</v>
      </c>
      <c r="Q448" s="35">
        <f t="array" ref="Q448">SUM(IF(($S448&gt;=4)*($C448='TaxCred&amp;Subs'!$D$114:$D$121)*($H448='TaxCred&amp;Subs'!$C$114:$C$121)*($H448&lt;='TaxCred&amp;Subs'!$C$123),'TaxCred&amp;Subs'!$E$114:$E$121,0))</f>
        <v>2000</v>
      </c>
      <c r="R448" s="143">
        <v>0</v>
      </c>
      <c r="S448" s="29">
        <v>4</v>
      </c>
      <c r="T448" s="29" t="s">
        <v>240</v>
      </c>
      <c r="U448" s="30" t="s">
        <v>227</v>
      </c>
      <c r="V448" s="7" t="str">
        <f t="array" ref="V448">INDEX(xlRTCLNAME,MATCH(1,(xlRTCLENDU=1)*(xlRTCLEQCL=$D448),0))</f>
        <v>KERO_FA</v>
      </c>
      <c r="W448" s="7" t="str">
        <f t="array" ref="W448">INDEX(xlRTCLNAME,MATCH(1,(xlRTCLENDU=2)*(xlRTCLEQCL=$F448),0))</f>
        <v>CENT_AIR</v>
      </c>
      <c r="X448" s="7" t="str">
        <f t="array" ref="X448">INDEX(xlRTTYNAME,MATCH(1,(xlRTTYENDU=1)*(xlRTTYEQCL=$D448)*(xlRTEQTYPE=$E448),0))</f>
        <v>KERO_FA3</v>
      </c>
      <c r="Y448" s="7" t="str">
        <f t="array" ref="Y448">INDEX(xlRTTYNAME,MATCH(1,(xlRTTYENDU=2)*(xlRTTYEQCL=$F448)*(xlRTEQTYPE=$G448),0))</f>
        <v>CENT_AIR3</v>
      </c>
    </row>
    <row r="449" spans="2:25" x14ac:dyDescent="0.2">
      <c r="B449" s="29">
        <v>3</v>
      </c>
      <c r="C449" s="29">
        <v>1</v>
      </c>
      <c r="D449" s="29">
        <v>5</v>
      </c>
      <c r="E449" s="29">
        <v>16</v>
      </c>
      <c r="F449" s="29">
        <v>2</v>
      </c>
      <c r="G449" s="32">
        <v>6</v>
      </c>
      <c r="H449" s="5">
        <v>2023</v>
      </c>
      <c r="I449" s="5">
        <v>2032</v>
      </c>
      <c r="J449" s="144">
        <v>1.0842000000000001</v>
      </c>
      <c r="K449" s="144">
        <v>1.0577000000000001</v>
      </c>
      <c r="L449" s="144">
        <v>0.4531</v>
      </c>
      <c r="M449" s="144">
        <v>0.90190000000000003</v>
      </c>
      <c r="N449" s="144">
        <v>0.91220000000000001</v>
      </c>
      <c r="O449" s="144">
        <v>1.0538000000000001</v>
      </c>
      <c r="P449" s="143">
        <v>17265.164359036837</v>
      </c>
      <c r="Q449" s="35">
        <f t="array" ref="Q449">SUM(IF(($S449&gt;=4)*($C449='TaxCred&amp;Subs'!$D$114:$D$121)*($H449='TaxCred&amp;Subs'!$C$114:$C$121)*($H449&lt;='TaxCred&amp;Subs'!$C$123),'TaxCred&amp;Subs'!$E$114:$E$121,0))</f>
        <v>2500</v>
      </c>
      <c r="R449" s="143">
        <v>0</v>
      </c>
      <c r="S449" s="29">
        <v>4</v>
      </c>
      <c r="T449" s="29" t="s">
        <v>240</v>
      </c>
      <c r="U449" s="30" t="s">
        <v>227</v>
      </c>
      <c r="V449" s="7" t="str">
        <f t="array" ref="V449">INDEX(xlRTCLNAME,MATCH(1,(xlRTCLENDU=1)*(xlRTCLEQCL=$D449),0))</f>
        <v>KERO_FA</v>
      </c>
      <c r="W449" s="7" t="str">
        <f t="array" ref="W449">INDEX(xlRTCLNAME,MATCH(1,(xlRTCLENDU=2)*(xlRTCLEQCL=$F449),0))</f>
        <v>CENT_AIR</v>
      </c>
      <c r="X449" s="7" t="str">
        <f t="array" ref="X449">INDEX(xlRTTYNAME,MATCH(1,(xlRTTYENDU=1)*(xlRTTYEQCL=$D449)*(xlRTEQTYPE=$E449),0))</f>
        <v>KERO_FA3</v>
      </c>
      <c r="Y449" s="7" t="str">
        <f t="array" ref="Y449">INDEX(xlRTTYNAME,MATCH(1,(xlRTTYENDU=2)*(xlRTTYEQCL=$F449)*(xlRTEQTYPE=$G449),0))</f>
        <v>CENT_AIR3</v>
      </c>
    </row>
    <row r="450" spans="2:25" x14ac:dyDescent="0.2">
      <c r="B450" s="29">
        <v>3</v>
      </c>
      <c r="C450" s="29">
        <v>1</v>
      </c>
      <c r="D450" s="29">
        <v>5</v>
      </c>
      <c r="E450" s="29">
        <v>16</v>
      </c>
      <c r="F450" s="29">
        <v>2</v>
      </c>
      <c r="G450" s="32">
        <v>6</v>
      </c>
      <c r="H450" s="5">
        <v>2033</v>
      </c>
      <c r="I450" s="5">
        <v>2050</v>
      </c>
      <c r="J450" s="144">
        <v>1.0842000000000001</v>
      </c>
      <c r="K450" s="144">
        <v>1.0577000000000001</v>
      </c>
      <c r="L450" s="144">
        <v>0.4531</v>
      </c>
      <c r="M450" s="144">
        <v>0.90190000000000003</v>
      </c>
      <c r="N450" s="144">
        <v>0.91220000000000001</v>
      </c>
      <c r="O450" s="144">
        <v>1.0538000000000001</v>
      </c>
      <c r="P450" s="143">
        <v>17265.164359036837</v>
      </c>
      <c r="Q450" s="35">
        <f t="array" ref="Q450">SUM(IF(($S450&gt;=4)*($C450='TaxCred&amp;Subs'!$D$114:$D$121)*($H450='TaxCred&amp;Subs'!$C$114:$C$121)*($H450&lt;='TaxCred&amp;Subs'!$C$123),'TaxCred&amp;Subs'!$E$114:$E$121,0))</f>
        <v>0</v>
      </c>
      <c r="R450" s="143">
        <v>0</v>
      </c>
      <c r="S450" s="29">
        <v>4</v>
      </c>
      <c r="T450" s="29" t="s">
        <v>240</v>
      </c>
      <c r="U450" s="30" t="s">
        <v>227</v>
      </c>
      <c r="V450" s="7" t="str">
        <f t="array" ref="V450">INDEX(xlRTCLNAME,MATCH(1,(xlRTCLENDU=1)*(xlRTCLEQCL=$D450),0))</f>
        <v>KERO_FA</v>
      </c>
      <c r="W450" s="7" t="str">
        <f t="array" ref="W450">INDEX(xlRTCLNAME,MATCH(1,(xlRTCLENDU=2)*(xlRTCLEQCL=$F450),0))</f>
        <v>CENT_AIR</v>
      </c>
      <c r="X450" s="7" t="str">
        <f t="array" ref="X450">INDEX(xlRTTYNAME,MATCH(1,(xlRTTYENDU=1)*(xlRTTYEQCL=$D450)*(xlRTEQTYPE=$E450),0))</f>
        <v>KERO_FA3</v>
      </c>
      <c r="Y450" s="7" t="str">
        <f t="array" ref="Y450">INDEX(xlRTTYNAME,MATCH(1,(xlRTTYENDU=2)*(xlRTTYEQCL=$F450)*(xlRTEQTYPE=$G450),0))</f>
        <v>CENT_AIR3</v>
      </c>
    </row>
    <row r="451" spans="2:25" x14ac:dyDescent="0.2">
      <c r="B451" s="29">
        <v>4</v>
      </c>
      <c r="C451" s="29">
        <v>1</v>
      </c>
      <c r="D451" s="29">
        <v>5</v>
      </c>
      <c r="E451" s="29">
        <v>16</v>
      </c>
      <c r="F451" s="29">
        <v>2</v>
      </c>
      <c r="G451" s="32">
        <v>6</v>
      </c>
      <c r="H451" s="31">
        <v>2020</v>
      </c>
      <c r="I451" s="5">
        <v>2022</v>
      </c>
      <c r="J451" s="144">
        <v>1.0342</v>
      </c>
      <c r="K451" s="144">
        <v>1.0769</v>
      </c>
      <c r="L451" s="144">
        <v>0.45760000000000001</v>
      </c>
      <c r="M451" s="144">
        <v>0.85729999999999995</v>
      </c>
      <c r="N451" s="144">
        <v>0.85760000000000003</v>
      </c>
      <c r="O451" s="144">
        <v>1.0538000000000001</v>
      </c>
      <c r="P451" s="143">
        <v>14059.794696865367</v>
      </c>
      <c r="Q451" s="35">
        <f t="array" ref="Q451">SUM(IF(($S451&gt;=4)*($C451='TaxCred&amp;Subs'!$D$114:$D$121)*($H451='TaxCred&amp;Subs'!$C$114:$C$121)*($H451&lt;='TaxCred&amp;Subs'!$C$123),'TaxCred&amp;Subs'!$E$114:$E$121,0))</f>
        <v>2000</v>
      </c>
      <c r="R451" s="143">
        <v>0</v>
      </c>
      <c r="S451" s="29">
        <v>4</v>
      </c>
      <c r="T451" s="29" t="s">
        <v>240</v>
      </c>
      <c r="U451" s="30" t="s">
        <v>227</v>
      </c>
      <c r="V451" s="7" t="str">
        <f t="array" ref="V451">INDEX(xlRTCLNAME,MATCH(1,(xlRTCLENDU=1)*(xlRTCLEQCL=$D451),0))</f>
        <v>KERO_FA</v>
      </c>
      <c r="W451" s="7" t="str">
        <f t="array" ref="W451">INDEX(xlRTCLNAME,MATCH(1,(xlRTCLENDU=2)*(xlRTCLEQCL=$F451),0))</f>
        <v>CENT_AIR</v>
      </c>
      <c r="X451" s="7" t="str">
        <f t="array" ref="X451">INDEX(xlRTTYNAME,MATCH(1,(xlRTTYENDU=1)*(xlRTTYEQCL=$D451)*(xlRTEQTYPE=$E451),0))</f>
        <v>KERO_FA3</v>
      </c>
      <c r="Y451" s="7" t="str">
        <f t="array" ref="Y451">INDEX(xlRTTYNAME,MATCH(1,(xlRTTYENDU=2)*(xlRTTYEQCL=$F451)*(xlRTEQTYPE=$G451),0))</f>
        <v>CENT_AIR3</v>
      </c>
    </row>
    <row r="452" spans="2:25" x14ac:dyDescent="0.2">
      <c r="B452" s="29">
        <v>4</v>
      </c>
      <c r="C452" s="29">
        <v>1</v>
      </c>
      <c r="D452" s="29">
        <v>5</v>
      </c>
      <c r="E452" s="29">
        <v>16</v>
      </c>
      <c r="F452" s="29">
        <v>2</v>
      </c>
      <c r="G452" s="32">
        <v>6</v>
      </c>
      <c r="H452" s="5">
        <v>2023</v>
      </c>
      <c r="I452" s="5">
        <v>2032</v>
      </c>
      <c r="J452" s="144">
        <v>1.0342</v>
      </c>
      <c r="K452" s="144">
        <v>1.0769</v>
      </c>
      <c r="L452" s="144">
        <v>0.45760000000000001</v>
      </c>
      <c r="M452" s="144">
        <v>0.85729999999999995</v>
      </c>
      <c r="N452" s="144">
        <v>0.85760000000000003</v>
      </c>
      <c r="O452" s="144">
        <v>1.0538000000000001</v>
      </c>
      <c r="P452" s="143">
        <v>14059.794696865367</v>
      </c>
      <c r="Q452" s="35">
        <f t="array" ref="Q452">SUM(IF(($S452&gt;=4)*($C452='TaxCred&amp;Subs'!$D$114:$D$121)*($H452='TaxCred&amp;Subs'!$C$114:$C$121)*($H452&lt;='TaxCred&amp;Subs'!$C$123),'TaxCred&amp;Subs'!$E$114:$E$121,0))</f>
        <v>2500</v>
      </c>
      <c r="R452" s="143">
        <v>0</v>
      </c>
      <c r="S452" s="29">
        <v>4</v>
      </c>
      <c r="T452" s="29" t="s">
        <v>240</v>
      </c>
      <c r="U452" s="30" t="s">
        <v>227</v>
      </c>
      <c r="V452" s="7" t="str">
        <f t="array" ref="V452">INDEX(xlRTCLNAME,MATCH(1,(xlRTCLENDU=1)*(xlRTCLEQCL=$D452),0))</f>
        <v>KERO_FA</v>
      </c>
      <c r="W452" s="7" t="str">
        <f t="array" ref="W452">INDEX(xlRTCLNAME,MATCH(1,(xlRTCLENDU=2)*(xlRTCLEQCL=$F452),0))</f>
        <v>CENT_AIR</v>
      </c>
      <c r="X452" s="7" t="str">
        <f t="array" ref="X452">INDEX(xlRTTYNAME,MATCH(1,(xlRTTYENDU=1)*(xlRTTYEQCL=$D452)*(xlRTEQTYPE=$E452),0))</f>
        <v>KERO_FA3</v>
      </c>
      <c r="Y452" s="7" t="str">
        <f t="array" ref="Y452">INDEX(xlRTTYNAME,MATCH(1,(xlRTTYENDU=2)*(xlRTTYEQCL=$F452)*(xlRTEQTYPE=$G452),0))</f>
        <v>CENT_AIR3</v>
      </c>
    </row>
    <row r="453" spans="2:25" x14ac:dyDescent="0.2">
      <c r="B453" s="29">
        <v>4</v>
      </c>
      <c r="C453" s="29">
        <v>1</v>
      </c>
      <c r="D453" s="29">
        <v>5</v>
      </c>
      <c r="E453" s="29">
        <v>16</v>
      </c>
      <c r="F453" s="29">
        <v>2</v>
      </c>
      <c r="G453" s="32">
        <v>6</v>
      </c>
      <c r="H453" s="5">
        <v>2033</v>
      </c>
      <c r="I453" s="5">
        <v>2050</v>
      </c>
      <c r="J453" s="144">
        <v>1.0342</v>
      </c>
      <c r="K453" s="144">
        <v>1.0769</v>
      </c>
      <c r="L453" s="144">
        <v>0.45760000000000001</v>
      </c>
      <c r="M453" s="144">
        <v>0.85729999999999995</v>
      </c>
      <c r="N453" s="144">
        <v>0.85760000000000003</v>
      </c>
      <c r="O453" s="144">
        <v>1.0538000000000001</v>
      </c>
      <c r="P453" s="143">
        <v>14059.794696865367</v>
      </c>
      <c r="Q453" s="35">
        <f t="array" ref="Q453">SUM(IF(($S453&gt;=4)*($C453='TaxCred&amp;Subs'!$D$114:$D$121)*($H453='TaxCred&amp;Subs'!$C$114:$C$121)*($H453&lt;='TaxCred&amp;Subs'!$C$123),'TaxCred&amp;Subs'!$E$114:$E$121,0))</f>
        <v>0</v>
      </c>
      <c r="R453" s="143">
        <v>0</v>
      </c>
      <c r="S453" s="29">
        <v>4</v>
      </c>
      <c r="T453" s="29" t="s">
        <v>240</v>
      </c>
      <c r="U453" s="30" t="s">
        <v>227</v>
      </c>
      <c r="V453" s="7" t="str">
        <f t="array" ref="V453">INDEX(xlRTCLNAME,MATCH(1,(xlRTCLENDU=1)*(xlRTCLEQCL=$D453),0))</f>
        <v>KERO_FA</v>
      </c>
      <c r="W453" s="7" t="str">
        <f t="array" ref="W453">INDEX(xlRTCLNAME,MATCH(1,(xlRTCLENDU=2)*(xlRTCLEQCL=$F453),0))</f>
        <v>CENT_AIR</v>
      </c>
      <c r="X453" s="7" t="str">
        <f t="array" ref="X453">INDEX(xlRTTYNAME,MATCH(1,(xlRTTYENDU=1)*(xlRTTYEQCL=$D453)*(xlRTEQTYPE=$E453),0))</f>
        <v>KERO_FA3</v>
      </c>
      <c r="Y453" s="7" t="str">
        <f t="array" ref="Y453">INDEX(xlRTTYNAME,MATCH(1,(xlRTTYENDU=2)*(xlRTTYEQCL=$F453)*(xlRTEQTYPE=$G453),0))</f>
        <v>CENT_AIR3</v>
      </c>
    </row>
    <row r="454" spans="2:25" x14ac:dyDescent="0.2">
      <c r="B454" s="29">
        <v>5</v>
      </c>
      <c r="C454" s="29">
        <v>1</v>
      </c>
      <c r="D454" s="29">
        <v>5</v>
      </c>
      <c r="E454" s="29">
        <v>16</v>
      </c>
      <c r="F454" s="29">
        <v>2</v>
      </c>
      <c r="G454" s="32">
        <v>6</v>
      </c>
      <c r="H454" s="31">
        <v>2020</v>
      </c>
      <c r="I454" s="5">
        <v>2022</v>
      </c>
      <c r="J454" s="144">
        <v>1.0847</v>
      </c>
      <c r="K454" s="144">
        <v>1.056</v>
      </c>
      <c r="L454" s="144">
        <v>0.43070000000000003</v>
      </c>
      <c r="M454" s="144">
        <v>0.79220000000000002</v>
      </c>
      <c r="N454" s="144">
        <v>0.76280000000000003</v>
      </c>
      <c r="O454" s="144">
        <v>1.0538000000000001</v>
      </c>
      <c r="P454" s="143">
        <v>12906.184306704663</v>
      </c>
      <c r="Q454" s="35">
        <f t="array" ref="Q454">SUM(IF(($S454&gt;=4)*($C454='TaxCred&amp;Subs'!$D$114:$D$121)*($H454='TaxCred&amp;Subs'!$C$114:$C$121)*($H454&lt;='TaxCred&amp;Subs'!$C$123),'TaxCred&amp;Subs'!$E$114:$E$121,0))</f>
        <v>2000</v>
      </c>
      <c r="R454" s="143">
        <v>0</v>
      </c>
      <c r="S454" s="29">
        <v>4</v>
      </c>
      <c r="T454" s="29" t="s">
        <v>240</v>
      </c>
      <c r="U454" s="30" t="s">
        <v>227</v>
      </c>
      <c r="V454" s="7" t="str">
        <f t="array" ref="V454">INDEX(xlRTCLNAME,MATCH(1,(xlRTCLENDU=1)*(xlRTCLEQCL=$D454),0))</f>
        <v>KERO_FA</v>
      </c>
      <c r="W454" s="7" t="str">
        <f t="array" ref="W454">INDEX(xlRTCLNAME,MATCH(1,(xlRTCLENDU=2)*(xlRTCLEQCL=$F454),0))</f>
        <v>CENT_AIR</v>
      </c>
      <c r="X454" s="7" t="str">
        <f t="array" ref="X454">INDEX(xlRTTYNAME,MATCH(1,(xlRTTYENDU=1)*(xlRTTYEQCL=$D454)*(xlRTEQTYPE=$E454),0))</f>
        <v>KERO_FA3</v>
      </c>
      <c r="Y454" s="7" t="str">
        <f t="array" ref="Y454">INDEX(xlRTTYNAME,MATCH(1,(xlRTTYENDU=2)*(xlRTTYEQCL=$F454)*(xlRTEQTYPE=$G454),0))</f>
        <v>CENT_AIR3</v>
      </c>
    </row>
    <row r="455" spans="2:25" x14ac:dyDescent="0.2">
      <c r="B455" s="29">
        <v>5</v>
      </c>
      <c r="C455" s="29">
        <v>1</v>
      </c>
      <c r="D455" s="29">
        <v>5</v>
      </c>
      <c r="E455" s="29">
        <v>16</v>
      </c>
      <c r="F455" s="29">
        <v>2</v>
      </c>
      <c r="G455" s="32">
        <v>6</v>
      </c>
      <c r="H455" s="5">
        <v>2023</v>
      </c>
      <c r="I455" s="5">
        <v>2032</v>
      </c>
      <c r="J455" s="144">
        <v>1.0847</v>
      </c>
      <c r="K455" s="144">
        <v>1.056</v>
      </c>
      <c r="L455" s="144">
        <v>0.43070000000000003</v>
      </c>
      <c r="M455" s="144">
        <v>0.79220000000000002</v>
      </c>
      <c r="N455" s="144">
        <v>0.76280000000000003</v>
      </c>
      <c r="O455" s="144">
        <v>1.0538000000000001</v>
      </c>
      <c r="P455" s="143">
        <v>12906.184306704663</v>
      </c>
      <c r="Q455" s="35">
        <f t="array" ref="Q455">SUM(IF(($S455&gt;=4)*($C455='TaxCred&amp;Subs'!$D$114:$D$121)*($H455='TaxCred&amp;Subs'!$C$114:$C$121)*($H455&lt;='TaxCred&amp;Subs'!$C$123),'TaxCred&amp;Subs'!$E$114:$E$121,0))</f>
        <v>2500</v>
      </c>
      <c r="R455" s="143">
        <v>0</v>
      </c>
      <c r="S455" s="29">
        <v>4</v>
      </c>
      <c r="T455" s="29" t="s">
        <v>240</v>
      </c>
      <c r="U455" s="30" t="s">
        <v>227</v>
      </c>
      <c r="V455" s="7" t="str">
        <f t="array" ref="V455">INDEX(xlRTCLNAME,MATCH(1,(xlRTCLENDU=1)*(xlRTCLEQCL=$D455),0))</f>
        <v>KERO_FA</v>
      </c>
      <c r="W455" s="7" t="str">
        <f t="array" ref="W455">INDEX(xlRTCLNAME,MATCH(1,(xlRTCLENDU=2)*(xlRTCLEQCL=$F455),0))</f>
        <v>CENT_AIR</v>
      </c>
      <c r="X455" s="7" t="str">
        <f t="array" ref="X455">INDEX(xlRTTYNAME,MATCH(1,(xlRTTYENDU=1)*(xlRTTYEQCL=$D455)*(xlRTEQTYPE=$E455),0))</f>
        <v>KERO_FA3</v>
      </c>
      <c r="Y455" s="7" t="str">
        <f t="array" ref="Y455">INDEX(xlRTTYNAME,MATCH(1,(xlRTTYENDU=2)*(xlRTTYEQCL=$F455)*(xlRTEQTYPE=$G455),0))</f>
        <v>CENT_AIR3</v>
      </c>
    </row>
    <row r="456" spans="2:25" x14ac:dyDescent="0.2">
      <c r="B456" s="29">
        <v>5</v>
      </c>
      <c r="C456" s="29">
        <v>1</v>
      </c>
      <c r="D456" s="29">
        <v>5</v>
      </c>
      <c r="E456" s="29">
        <v>16</v>
      </c>
      <c r="F456" s="29">
        <v>2</v>
      </c>
      <c r="G456" s="32">
        <v>6</v>
      </c>
      <c r="H456" s="5">
        <v>2033</v>
      </c>
      <c r="I456" s="5">
        <v>2050</v>
      </c>
      <c r="J456" s="144">
        <v>1.0847</v>
      </c>
      <c r="K456" s="144">
        <v>1.056</v>
      </c>
      <c r="L456" s="144">
        <v>0.43070000000000003</v>
      </c>
      <c r="M456" s="144">
        <v>0.79220000000000002</v>
      </c>
      <c r="N456" s="144">
        <v>0.76280000000000003</v>
      </c>
      <c r="O456" s="144">
        <v>1.0538000000000001</v>
      </c>
      <c r="P456" s="143">
        <v>12906.184306704663</v>
      </c>
      <c r="Q456" s="35">
        <f t="array" ref="Q456">SUM(IF(($S456&gt;=4)*($C456='TaxCred&amp;Subs'!$D$114:$D$121)*($H456='TaxCred&amp;Subs'!$C$114:$C$121)*($H456&lt;='TaxCred&amp;Subs'!$C$123),'TaxCred&amp;Subs'!$E$114:$E$121,0))</f>
        <v>0</v>
      </c>
      <c r="R456" s="143">
        <v>0</v>
      </c>
      <c r="S456" s="29">
        <v>4</v>
      </c>
      <c r="T456" s="29" t="s">
        <v>240</v>
      </c>
      <c r="U456" s="30" t="s">
        <v>227</v>
      </c>
      <c r="V456" s="7" t="str">
        <f t="array" ref="V456">INDEX(xlRTCLNAME,MATCH(1,(xlRTCLENDU=1)*(xlRTCLEQCL=$D456),0))</f>
        <v>KERO_FA</v>
      </c>
      <c r="W456" s="7" t="str">
        <f t="array" ref="W456">INDEX(xlRTCLNAME,MATCH(1,(xlRTCLENDU=2)*(xlRTCLEQCL=$F456),0))</f>
        <v>CENT_AIR</v>
      </c>
      <c r="X456" s="7" t="str">
        <f t="array" ref="X456">INDEX(xlRTTYNAME,MATCH(1,(xlRTTYENDU=1)*(xlRTTYEQCL=$D456)*(xlRTEQTYPE=$E456),0))</f>
        <v>KERO_FA3</v>
      </c>
      <c r="Y456" s="7" t="str">
        <f t="array" ref="Y456">INDEX(xlRTTYNAME,MATCH(1,(xlRTTYENDU=2)*(xlRTTYEQCL=$F456)*(xlRTEQTYPE=$G456),0))</f>
        <v>CENT_AIR3</v>
      </c>
    </row>
    <row r="457" spans="2:25" x14ac:dyDescent="0.2">
      <c r="B457" s="29">
        <v>6</v>
      </c>
      <c r="C457" s="29">
        <v>1</v>
      </c>
      <c r="D457" s="29">
        <v>5</v>
      </c>
      <c r="E457" s="29">
        <v>16</v>
      </c>
      <c r="F457" s="29">
        <v>2</v>
      </c>
      <c r="G457" s="32">
        <v>6</v>
      </c>
      <c r="H457" s="31">
        <v>2020</v>
      </c>
      <c r="I457" s="5">
        <v>2022</v>
      </c>
      <c r="J457" s="144">
        <v>1.0907</v>
      </c>
      <c r="K457" s="144">
        <v>1.0603</v>
      </c>
      <c r="L457" s="144">
        <v>0.5444</v>
      </c>
      <c r="M457" s="144">
        <v>0.82889999999999997</v>
      </c>
      <c r="N457" s="144">
        <v>0.89139999999999997</v>
      </c>
      <c r="O457" s="144">
        <v>1.0538000000000001</v>
      </c>
      <c r="P457" s="143">
        <v>12926.352320518663</v>
      </c>
      <c r="Q457" s="35">
        <f t="array" ref="Q457">SUM(IF(($S457&gt;=4)*($C457='TaxCred&amp;Subs'!$D$114:$D$121)*($H457='TaxCred&amp;Subs'!$C$114:$C$121)*($H457&lt;='TaxCred&amp;Subs'!$C$123),'TaxCred&amp;Subs'!$E$114:$E$121,0))</f>
        <v>2000</v>
      </c>
      <c r="R457" s="143">
        <v>0</v>
      </c>
      <c r="S457" s="29">
        <v>4</v>
      </c>
      <c r="T457" s="29" t="s">
        <v>240</v>
      </c>
      <c r="U457" s="30" t="s">
        <v>227</v>
      </c>
      <c r="V457" s="7" t="str">
        <f t="array" ref="V457">INDEX(xlRTCLNAME,MATCH(1,(xlRTCLENDU=1)*(xlRTCLEQCL=$D457),0))</f>
        <v>KERO_FA</v>
      </c>
      <c r="W457" s="7" t="str">
        <f t="array" ref="W457">INDEX(xlRTCLNAME,MATCH(1,(xlRTCLENDU=2)*(xlRTCLEQCL=$F457),0))</f>
        <v>CENT_AIR</v>
      </c>
      <c r="X457" s="7" t="str">
        <f t="array" ref="X457">INDEX(xlRTTYNAME,MATCH(1,(xlRTTYENDU=1)*(xlRTTYEQCL=$D457)*(xlRTEQTYPE=$E457),0))</f>
        <v>KERO_FA3</v>
      </c>
      <c r="Y457" s="7" t="str">
        <f t="array" ref="Y457">INDEX(xlRTTYNAME,MATCH(1,(xlRTTYENDU=2)*(xlRTTYEQCL=$F457)*(xlRTEQTYPE=$G457),0))</f>
        <v>CENT_AIR3</v>
      </c>
    </row>
    <row r="458" spans="2:25" x14ac:dyDescent="0.2">
      <c r="B458" s="29">
        <v>6</v>
      </c>
      <c r="C458" s="29">
        <v>1</v>
      </c>
      <c r="D458" s="29">
        <v>5</v>
      </c>
      <c r="E458" s="29">
        <v>16</v>
      </c>
      <c r="F458" s="29">
        <v>2</v>
      </c>
      <c r="G458" s="32">
        <v>6</v>
      </c>
      <c r="H458" s="5">
        <v>2023</v>
      </c>
      <c r="I458" s="5">
        <v>2032</v>
      </c>
      <c r="J458" s="144">
        <v>1.0907</v>
      </c>
      <c r="K458" s="144">
        <v>1.0603</v>
      </c>
      <c r="L458" s="144">
        <v>0.5444</v>
      </c>
      <c r="M458" s="144">
        <v>0.82889999999999997</v>
      </c>
      <c r="N458" s="144">
        <v>0.89139999999999997</v>
      </c>
      <c r="O458" s="144">
        <v>1.0538000000000001</v>
      </c>
      <c r="P458" s="143">
        <v>12926.352320518663</v>
      </c>
      <c r="Q458" s="35">
        <f t="array" ref="Q458">SUM(IF(($S458&gt;=4)*($C458='TaxCred&amp;Subs'!$D$114:$D$121)*($H458='TaxCred&amp;Subs'!$C$114:$C$121)*($H458&lt;='TaxCred&amp;Subs'!$C$123),'TaxCred&amp;Subs'!$E$114:$E$121,0))</f>
        <v>2500</v>
      </c>
      <c r="R458" s="143">
        <v>0</v>
      </c>
      <c r="S458" s="29">
        <v>4</v>
      </c>
      <c r="T458" s="29" t="s">
        <v>240</v>
      </c>
      <c r="U458" s="30" t="s">
        <v>227</v>
      </c>
      <c r="V458" s="7" t="str">
        <f t="array" ref="V458">INDEX(xlRTCLNAME,MATCH(1,(xlRTCLENDU=1)*(xlRTCLEQCL=$D458),0))</f>
        <v>KERO_FA</v>
      </c>
      <c r="W458" s="7" t="str">
        <f t="array" ref="W458">INDEX(xlRTCLNAME,MATCH(1,(xlRTCLENDU=2)*(xlRTCLEQCL=$F458),0))</f>
        <v>CENT_AIR</v>
      </c>
      <c r="X458" s="7" t="str">
        <f t="array" ref="X458">INDEX(xlRTTYNAME,MATCH(1,(xlRTTYENDU=1)*(xlRTTYEQCL=$D458)*(xlRTEQTYPE=$E458),0))</f>
        <v>KERO_FA3</v>
      </c>
      <c r="Y458" s="7" t="str">
        <f t="array" ref="Y458">INDEX(xlRTTYNAME,MATCH(1,(xlRTTYENDU=2)*(xlRTTYEQCL=$F458)*(xlRTEQTYPE=$G458),0))</f>
        <v>CENT_AIR3</v>
      </c>
    </row>
    <row r="459" spans="2:25" x14ac:dyDescent="0.2">
      <c r="B459" s="29">
        <v>6</v>
      </c>
      <c r="C459" s="29">
        <v>1</v>
      </c>
      <c r="D459" s="29">
        <v>5</v>
      </c>
      <c r="E459" s="29">
        <v>16</v>
      </c>
      <c r="F459" s="29">
        <v>2</v>
      </c>
      <c r="G459" s="32">
        <v>6</v>
      </c>
      <c r="H459" s="5">
        <v>2033</v>
      </c>
      <c r="I459" s="5">
        <v>2050</v>
      </c>
      <c r="J459" s="144">
        <v>1.0907</v>
      </c>
      <c r="K459" s="144">
        <v>1.0603</v>
      </c>
      <c r="L459" s="144">
        <v>0.5444</v>
      </c>
      <c r="M459" s="144">
        <v>0.82889999999999997</v>
      </c>
      <c r="N459" s="144">
        <v>0.89139999999999997</v>
      </c>
      <c r="O459" s="144">
        <v>1.0538000000000001</v>
      </c>
      <c r="P459" s="143">
        <v>12926.352320518663</v>
      </c>
      <c r="Q459" s="35">
        <f t="array" ref="Q459">SUM(IF(($S459&gt;=4)*($C459='TaxCred&amp;Subs'!$D$114:$D$121)*($H459='TaxCred&amp;Subs'!$C$114:$C$121)*($H459&lt;='TaxCred&amp;Subs'!$C$123),'TaxCred&amp;Subs'!$E$114:$E$121,0))</f>
        <v>0</v>
      </c>
      <c r="R459" s="143">
        <v>0</v>
      </c>
      <c r="S459" s="29">
        <v>4</v>
      </c>
      <c r="T459" s="29" t="s">
        <v>240</v>
      </c>
      <c r="U459" s="30" t="s">
        <v>227</v>
      </c>
      <c r="V459" s="7" t="str">
        <f t="array" ref="V459">INDEX(xlRTCLNAME,MATCH(1,(xlRTCLENDU=1)*(xlRTCLEQCL=$D459),0))</f>
        <v>KERO_FA</v>
      </c>
      <c r="W459" s="7" t="str">
        <f t="array" ref="W459">INDEX(xlRTCLNAME,MATCH(1,(xlRTCLENDU=2)*(xlRTCLEQCL=$F459),0))</f>
        <v>CENT_AIR</v>
      </c>
      <c r="X459" s="7" t="str">
        <f t="array" ref="X459">INDEX(xlRTTYNAME,MATCH(1,(xlRTTYENDU=1)*(xlRTTYEQCL=$D459)*(xlRTEQTYPE=$E459),0))</f>
        <v>KERO_FA3</v>
      </c>
      <c r="Y459" s="7" t="str">
        <f t="array" ref="Y459">INDEX(xlRTTYNAME,MATCH(1,(xlRTTYENDU=2)*(xlRTTYEQCL=$F459)*(xlRTEQTYPE=$G459),0))</f>
        <v>CENT_AIR3</v>
      </c>
    </row>
    <row r="460" spans="2:25" x14ac:dyDescent="0.2">
      <c r="B460" s="29">
        <v>7</v>
      </c>
      <c r="C460" s="29">
        <v>1</v>
      </c>
      <c r="D460" s="29">
        <v>5</v>
      </c>
      <c r="E460" s="29">
        <v>16</v>
      </c>
      <c r="F460" s="29">
        <v>2</v>
      </c>
      <c r="G460" s="32">
        <v>6</v>
      </c>
      <c r="H460" s="31">
        <v>2020</v>
      </c>
      <c r="I460" s="5">
        <v>2022</v>
      </c>
      <c r="J460" s="144">
        <v>1.0885</v>
      </c>
      <c r="K460" s="144">
        <v>1.0575000000000001</v>
      </c>
      <c r="L460" s="144">
        <v>0.49830000000000002</v>
      </c>
      <c r="M460" s="144">
        <v>0.70269999999999999</v>
      </c>
      <c r="N460" s="144">
        <v>0.872</v>
      </c>
      <c r="O460" s="144">
        <v>1.0538000000000001</v>
      </c>
      <c r="P460" s="143">
        <v>12322.656440352979</v>
      </c>
      <c r="Q460" s="35">
        <f t="array" ref="Q460">SUM(IF(($S460&gt;=4)*($C460='TaxCred&amp;Subs'!$D$114:$D$121)*($H460='TaxCred&amp;Subs'!$C$114:$C$121)*($H460&lt;='TaxCred&amp;Subs'!$C$123),'TaxCred&amp;Subs'!$E$114:$E$121,0))</f>
        <v>2000</v>
      </c>
      <c r="R460" s="143">
        <v>0</v>
      </c>
      <c r="S460" s="29">
        <v>4</v>
      </c>
      <c r="T460" s="29" t="s">
        <v>240</v>
      </c>
      <c r="U460" s="30" t="s">
        <v>227</v>
      </c>
      <c r="V460" s="7" t="str">
        <f t="array" ref="V460">INDEX(xlRTCLNAME,MATCH(1,(xlRTCLENDU=1)*(xlRTCLEQCL=$D460),0))</f>
        <v>KERO_FA</v>
      </c>
      <c r="W460" s="7" t="str">
        <f t="array" ref="W460">INDEX(xlRTCLNAME,MATCH(1,(xlRTCLENDU=2)*(xlRTCLEQCL=$F460),0))</f>
        <v>CENT_AIR</v>
      </c>
      <c r="X460" s="7" t="str">
        <f t="array" ref="X460">INDEX(xlRTTYNAME,MATCH(1,(xlRTTYENDU=1)*(xlRTTYEQCL=$D460)*(xlRTEQTYPE=$E460),0))</f>
        <v>KERO_FA3</v>
      </c>
      <c r="Y460" s="7" t="str">
        <f t="array" ref="Y460">INDEX(xlRTTYNAME,MATCH(1,(xlRTTYENDU=2)*(xlRTTYEQCL=$F460)*(xlRTEQTYPE=$G460),0))</f>
        <v>CENT_AIR3</v>
      </c>
    </row>
    <row r="461" spans="2:25" x14ac:dyDescent="0.2">
      <c r="B461" s="29">
        <v>7</v>
      </c>
      <c r="C461" s="29">
        <v>1</v>
      </c>
      <c r="D461" s="29">
        <v>5</v>
      </c>
      <c r="E461" s="29">
        <v>16</v>
      </c>
      <c r="F461" s="29">
        <v>2</v>
      </c>
      <c r="G461" s="32">
        <v>6</v>
      </c>
      <c r="H461" s="5">
        <v>2023</v>
      </c>
      <c r="I461" s="5">
        <v>2032</v>
      </c>
      <c r="J461" s="144">
        <v>1.0885</v>
      </c>
      <c r="K461" s="144">
        <v>1.0575000000000001</v>
      </c>
      <c r="L461" s="144">
        <v>0.49830000000000002</v>
      </c>
      <c r="M461" s="144">
        <v>0.70269999999999999</v>
      </c>
      <c r="N461" s="144">
        <v>0.872</v>
      </c>
      <c r="O461" s="144">
        <v>1.0538000000000001</v>
      </c>
      <c r="P461" s="143">
        <v>12322.656440352979</v>
      </c>
      <c r="Q461" s="35">
        <f t="array" ref="Q461">SUM(IF(($S461&gt;=4)*($C461='TaxCred&amp;Subs'!$D$114:$D$121)*($H461='TaxCred&amp;Subs'!$C$114:$C$121)*($H461&lt;='TaxCred&amp;Subs'!$C$123),'TaxCred&amp;Subs'!$E$114:$E$121,0))</f>
        <v>2500</v>
      </c>
      <c r="R461" s="143">
        <v>0</v>
      </c>
      <c r="S461" s="29">
        <v>4</v>
      </c>
      <c r="T461" s="29" t="s">
        <v>240</v>
      </c>
      <c r="U461" s="30" t="s">
        <v>227</v>
      </c>
      <c r="V461" s="7" t="str">
        <f t="array" ref="V461">INDEX(xlRTCLNAME,MATCH(1,(xlRTCLENDU=1)*(xlRTCLEQCL=$D461),0))</f>
        <v>KERO_FA</v>
      </c>
      <c r="W461" s="7" t="str">
        <f t="array" ref="W461">INDEX(xlRTCLNAME,MATCH(1,(xlRTCLENDU=2)*(xlRTCLEQCL=$F461),0))</f>
        <v>CENT_AIR</v>
      </c>
      <c r="X461" s="7" t="str">
        <f t="array" ref="X461">INDEX(xlRTTYNAME,MATCH(1,(xlRTTYENDU=1)*(xlRTTYEQCL=$D461)*(xlRTEQTYPE=$E461),0))</f>
        <v>KERO_FA3</v>
      </c>
      <c r="Y461" s="7" t="str">
        <f t="array" ref="Y461">INDEX(xlRTTYNAME,MATCH(1,(xlRTTYENDU=2)*(xlRTTYEQCL=$F461)*(xlRTEQTYPE=$G461),0))</f>
        <v>CENT_AIR3</v>
      </c>
    </row>
    <row r="462" spans="2:25" x14ac:dyDescent="0.2">
      <c r="B462" s="29">
        <v>7</v>
      </c>
      <c r="C462" s="29">
        <v>1</v>
      </c>
      <c r="D462" s="29">
        <v>5</v>
      </c>
      <c r="E462" s="29">
        <v>16</v>
      </c>
      <c r="F462" s="29">
        <v>2</v>
      </c>
      <c r="G462" s="32">
        <v>6</v>
      </c>
      <c r="H462" s="5">
        <v>2033</v>
      </c>
      <c r="I462" s="5">
        <v>2050</v>
      </c>
      <c r="J462" s="144">
        <v>1.0885</v>
      </c>
      <c r="K462" s="144">
        <v>1.0575000000000001</v>
      </c>
      <c r="L462" s="144">
        <v>0.49830000000000002</v>
      </c>
      <c r="M462" s="144">
        <v>0.70269999999999999</v>
      </c>
      <c r="N462" s="144">
        <v>0.872</v>
      </c>
      <c r="O462" s="144">
        <v>1.0538000000000001</v>
      </c>
      <c r="P462" s="143">
        <v>12322.656440352979</v>
      </c>
      <c r="Q462" s="35">
        <f t="array" ref="Q462">SUM(IF(($S462&gt;=4)*($C462='TaxCred&amp;Subs'!$D$114:$D$121)*($H462='TaxCred&amp;Subs'!$C$114:$C$121)*($H462&lt;='TaxCred&amp;Subs'!$C$123),'TaxCred&amp;Subs'!$E$114:$E$121,0))</f>
        <v>0</v>
      </c>
      <c r="R462" s="143">
        <v>0</v>
      </c>
      <c r="S462" s="29">
        <v>4</v>
      </c>
      <c r="T462" s="29" t="s">
        <v>240</v>
      </c>
      <c r="U462" s="30" t="s">
        <v>227</v>
      </c>
      <c r="V462" s="7" t="str">
        <f t="array" ref="V462">INDEX(xlRTCLNAME,MATCH(1,(xlRTCLENDU=1)*(xlRTCLEQCL=$D462),0))</f>
        <v>KERO_FA</v>
      </c>
      <c r="W462" s="7" t="str">
        <f t="array" ref="W462">INDEX(xlRTCLNAME,MATCH(1,(xlRTCLENDU=2)*(xlRTCLEQCL=$F462),0))</f>
        <v>CENT_AIR</v>
      </c>
      <c r="X462" s="7" t="str">
        <f t="array" ref="X462">INDEX(xlRTTYNAME,MATCH(1,(xlRTTYENDU=1)*(xlRTTYEQCL=$D462)*(xlRTEQTYPE=$E462),0))</f>
        <v>KERO_FA3</v>
      </c>
      <c r="Y462" s="7" t="str">
        <f t="array" ref="Y462">INDEX(xlRTTYNAME,MATCH(1,(xlRTTYENDU=2)*(xlRTTYEQCL=$F462)*(xlRTEQTYPE=$G462),0))</f>
        <v>CENT_AIR3</v>
      </c>
    </row>
    <row r="463" spans="2:25" x14ac:dyDescent="0.2">
      <c r="B463" s="29">
        <v>8</v>
      </c>
      <c r="C463" s="29">
        <v>1</v>
      </c>
      <c r="D463" s="29">
        <v>5</v>
      </c>
      <c r="E463" s="29">
        <v>16</v>
      </c>
      <c r="F463" s="29">
        <v>2</v>
      </c>
      <c r="G463" s="32">
        <v>6</v>
      </c>
      <c r="H463" s="31">
        <v>2020</v>
      </c>
      <c r="I463" s="5">
        <v>2022</v>
      </c>
      <c r="J463" s="144">
        <v>1.0838000000000001</v>
      </c>
      <c r="K463" s="144">
        <v>1.0832999999999999</v>
      </c>
      <c r="L463" s="144">
        <v>0.46579999999999999</v>
      </c>
      <c r="M463" s="144">
        <v>0.78759999999999997</v>
      </c>
      <c r="N463" s="144">
        <v>0.86950000000000005</v>
      </c>
      <c r="O463" s="144">
        <v>1.0538000000000001</v>
      </c>
      <c r="P463" s="143">
        <v>15936.764515821478</v>
      </c>
      <c r="Q463" s="35">
        <f t="array" ref="Q463">SUM(IF(($S463&gt;=4)*($C463='TaxCred&amp;Subs'!$D$114:$D$121)*($H463='TaxCred&amp;Subs'!$C$114:$C$121)*($H463&lt;='TaxCred&amp;Subs'!$C$123),'TaxCred&amp;Subs'!$E$114:$E$121,0))</f>
        <v>2000</v>
      </c>
      <c r="R463" s="143">
        <v>0</v>
      </c>
      <c r="S463" s="29">
        <v>4</v>
      </c>
      <c r="T463" s="29" t="s">
        <v>240</v>
      </c>
      <c r="U463" s="30" t="s">
        <v>227</v>
      </c>
      <c r="V463" s="7" t="str">
        <f t="array" ref="V463">INDEX(xlRTCLNAME,MATCH(1,(xlRTCLENDU=1)*(xlRTCLEQCL=$D463),0))</f>
        <v>KERO_FA</v>
      </c>
      <c r="W463" s="7" t="str">
        <f t="array" ref="W463">INDEX(xlRTCLNAME,MATCH(1,(xlRTCLENDU=2)*(xlRTCLEQCL=$F463),0))</f>
        <v>CENT_AIR</v>
      </c>
      <c r="X463" s="7" t="str">
        <f t="array" ref="X463">INDEX(xlRTTYNAME,MATCH(1,(xlRTTYENDU=1)*(xlRTTYEQCL=$D463)*(xlRTEQTYPE=$E463),0))</f>
        <v>KERO_FA3</v>
      </c>
      <c r="Y463" s="7" t="str">
        <f t="array" ref="Y463">INDEX(xlRTTYNAME,MATCH(1,(xlRTTYENDU=2)*(xlRTTYEQCL=$F463)*(xlRTEQTYPE=$G463),0))</f>
        <v>CENT_AIR3</v>
      </c>
    </row>
    <row r="464" spans="2:25" x14ac:dyDescent="0.2">
      <c r="B464" s="29">
        <v>8</v>
      </c>
      <c r="C464" s="29">
        <v>1</v>
      </c>
      <c r="D464" s="29">
        <v>5</v>
      </c>
      <c r="E464" s="29">
        <v>16</v>
      </c>
      <c r="F464" s="29">
        <v>2</v>
      </c>
      <c r="G464" s="32">
        <v>6</v>
      </c>
      <c r="H464" s="5">
        <v>2023</v>
      </c>
      <c r="I464" s="5">
        <v>2032</v>
      </c>
      <c r="J464" s="144">
        <v>1.0838000000000001</v>
      </c>
      <c r="K464" s="144">
        <v>1.0832999999999999</v>
      </c>
      <c r="L464" s="144">
        <v>0.46579999999999999</v>
      </c>
      <c r="M464" s="144">
        <v>0.78759999999999997</v>
      </c>
      <c r="N464" s="144">
        <v>0.86950000000000005</v>
      </c>
      <c r="O464" s="144">
        <v>1.0538000000000001</v>
      </c>
      <c r="P464" s="143">
        <v>15936.764515821478</v>
      </c>
      <c r="Q464" s="35">
        <f t="array" ref="Q464">SUM(IF(($S464&gt;=4)*($C464='TaxCred&amp;Subs'!$D$114:$D$121)*($H464='TaxCred&amp;Subs'!$C$114:$C$121)*($H464&lt;='TaxCred&amp;Subs'!$C$123),'TaxCred&amp;Subs'!$E$114:$E$121,0))</f>
        <v>2500</v>
      </c>
      <c r="R464" s="143">
        <v>0</v>
      </c>
      <c r="S464" s="29">
        <v>4</v>
      </c>
      <c r="T464" s="29" t="s">
        <v>240</v>
      </c>
      <c r="U464" s="30" t="s">
        <v>227</v>
      </c>
      <c r="V464" s="7" t="str">
        <f t="array" ref="V464">INDEX(xlRTCLNAME,MATCH(1,(xlRTCLENDU=1)*(xlRTCLEQCL=$D464),0))</f>
        <v>KERO_FA</v>
      </c>
      <c r="W464" s="7" t="str">
        <f t="array" ref="W464">INDEX(xlRTCLNAME,MATCH(1,(xlRTCLENDU=2)*(xlRTCLEQCL=$F464),0))</f>
        <v>CENT_AIR</v>
      </c>
      <c r="X464" s="7" t="str">
        <f t="array" ref="X464">INDEX(xlRTTYNAME,MATCH(1,(xlRTTYENDU=1)*(xlRTTYEQCL=$D464)*(xlRTEQTYPE=$E464),0))</f>
        <v>KERO_FA3</v>
      </c>
      <c r="Y464" s="7" t="str">
        <f t="array" ref="Y464">INDEX(xlRTTYNAME,MATCH(1,(xlRTTYENDU=2)*(xlRTTYEQCL=$F464)*(xlRTEQTYPE=$G464),0))</f>
        <v>CENT_AIR3</v>
      </c>
    </row>
    <row r="465" spans="2:25" x14ac:dyDescent="0.2">
      <c r="B465" s="29">
        <v>8</v>
      </c>
      <c r="C465" s="29">
        <v>1</v>
      </c>
      <c r="D465" s="29">
        <v>5</v>
      </c>
      <c r="E465" s="29">
        <v>16</v>
      </c>
      <c r="F465" s="29">
        <v>2</v>
      </c>
      <c r="G465" s="32">
        <v>6</v>
      </c>
      <c r="H465" s="5">
        <v>2033</v>
      </c>
      <c r="I465" s="5">
        <v>2050</v>
      </c>
      <c r="J465" s="144">
        <v>1.0838000000000001</v>
      </c>
      <c r="K465" s="144">
        <v>1.0832999999999999</v>
      </c>
      <c r="L465" s="144">
        <v>0.46579999999999999</v>
      </c>
      <c r="M465" s="144">
        <v>0.78759999999999997</v>
      </c>
      <c r="N465" s="144">
        <v>0.86950000000000005</v>
      </c>
      <c r="O465" s="144">
        <v>1.0538000000000001</v>
      </c>
      <c r="P465" s="143">
        <v>15936.764515821478</v>
      </c>
      <c r="Q465" s="35">
        <f t="array" ref="Q465">SUM(IF(($S465&gt;=4)*($C465='TaxCred&amp;Subs'!$D$114:$D$121)*($H465='TaxCred&amp;Subs'!$C$114:$C$121)*($H465&lt;='TaxCred&amp;Subs'!$C$123),'TaxCred&amp;Subs'!$E$114:$E$121,0))</f>
        <v>0</v>
      </c>
      <c r="R465" s="143">
        <v>0</v>
      </c>
      <c r="S465" s="29">
        <v>4</v>
      </c>
      <c r="T465" s="29" t="s">
        <v>240</v>
      </c>
      <c r="U465" s="30" t="s">
        <v>227</v>
      </c>
      <c r="V465" s="7" t="str">
        <f t="array" ref="V465">INDEX(xlRTCLNAME,MATCH(1,(xlRTCLENDU=1)*(xlRTCLEQCL=$D465),0))</f>
        <v>KERO_FA</v>
      </c>
      <c r="W465" s="7" t="str">
        <f t="array" ref="W465">INDEX(xlRTCLNAME,MATCH(1,(xlRTCLENDU=2)*(xlRTCLEQCL=$F465),0))</f>
        <v>CENT_AIR</v>
      </c>
      <c r="X465" s="7" t="str">
        <f t="array" ref="X465">INDEX(xlRTTYNAME,MATCH(1,(xlRTTYENDU=1)*(xlRTTYEQCL=$D465)*(xlRTEQTYPE=$E465),0))</f>
        <v>KERO_FA3</v>
      </c>
      <c r="Y465" s="7" t="str">
        <f t="array" ref="Y465">INDEX(xlRTTYNAME,MATCH(1,(xlRTTYENDU=2)*(xlRTTYEQCL=$F465)*(xlRTEQTYPE=$G465),0))</f>
        <v>CENT_AIR3</v>
      </c>
    </row>
    <row r="466" spans="2:25" x14ac:dyDescent="0.2">
      <c r="B466" s="29">
        <v>9</v>
      </c>
      <c r="C466" s="29">
        <v>1</v>
      </c>
      <c r="D466" s="29">
        <v>5</v>
      </c>
      <c r="E466" s="29">
        <v>16</v>
      </c>
      <c r="F466" s="29">
        <v>2</v>
      </c>
      <c r="G466" s="32">
        <v>6</v>
      </c>
      <c r="H466" s="31">
        <v>2020</v>
      </c>
      <c r="I466" s="5">
        <v>2022</v>
      </c>
      <c r="J466" s="144">
        <v>1.0790999999999999</v>
      </c>
      <c r="K466" s="144">
        <v>1.0722</v>
      </c>
      <c r="L466" s="144">
        <v>0.5464</v>
      </c>
      <c r="M466" s="144">
        <v>0.82330000000000003</v>
      </c>
      <c r="N466" s="144">
        <v>1.0336000000000001</v>
      </c>
      <c r="O466" s="144">
        <v>1.0538000000000001</v>
      </c>
      <c r="P466" s="143">
        <v>17098.442111507782</v>
      </c>
      <c r="Q466" s="35">
        <f t="array" ref="Q466">SUM(IF(($S466&gt;=4)*($C466='TaxCred&amp;Subs'!$D$114:$D$121)*($H466='TaxCred&amp;Subs'!$C$114:$C$121)*($H466&lt;='TaxCred&amp;Subs'!$C$123),'TaxCred&amp;Subs'!$E$114:$E$121,0))</f>
        <v>2000</v>
      </c>
      <c r="R466" s="143">
        <v>0</v>
      </c>
      <c r="S466" s="29">
        <v>4</v>
      </c>
      <c r="T466" s="29" t="s">
        <v>240</v>
      </c>
      <c r="U466" s="30" t="s">
        <v>227</v>
      </c>
      <c r="V466" s="7" t="str">
        <f t="array" ref="V466">INDEX(xlRTCLNAME,MATCH(1,(xlRTCLENDU=1)*(xlRTCLEQCL=$D466),0))</f>
        <v>KERO_FA</v>
      </c>
      <c r="W466" s="7" t="str">
        <f t="array" ref="W466">INDEX(xlRTCLNAME,MATCH(1,(xlRTCLENDU=2)*(xlRTCLEQCL=$F466),0))</f>
        <v>CENT_AIR</v>
      </c>
      <c r="X466" s="7" t="str">
        <f t="array" ref="X466">INDEX(xlRTTYNAME,MATCH(1,(xlRTTYENDU=1)*(xlRTTYEQCL=$D466)*(xlRTEQTYPE=$E466),0))</f>
        <v>KERO_FA3</v>
      </c>
      <c r="Y466" s="7" t="str">
        <f t="array" ref="Y466">INDEX(xlRTTYNAME,MATCH(1,(xlRTTYENDU=2)*(xlRTTYEQCL=$F466)*(xlRTEQTYPE=$G466),0))</f>
        <v>CENT_AIR3</v>
      </c>
    </row>
    <row r="467" spans="2:25" x14ac:dyDescent="0.2">
      <c r="B467" s="29">
        <v>9</v>
      </c>
      <c r="C467" s="29">
        <v>1</v>
      </c>
      <c r="D467" s="29">
        <v>5</v>
      </c>
      <c r="E467" s="29">
        <v>16</v>
      </c>
      <c r="F467" s="29">
        <v>2</v>
      </c>
      <c r="G467" s="32">
        <v>6</v>
      </c>
      <c r="H467" s="5">
        <v>2023</v>
      </c>
      <c r="I467" s="5">
        <v>2032</v>
      </c>
      <c r="J467" s="144">
        <v>1.0790999999999999</v>
      </c>
      <c r="K467" s="144">
        <v>1.0722</v>
      </c>
      <c r="L467" s="144">
        <v>0.5464</v>
      </c>
      <c r="M467" s="144">
        <v>0.82330000000000003</v>
      </c>
      <c r="N467" s="144">
        <v>1.0336000000000001</v>
      </c>
      <c r="O467" s="144">
        <v>1.0538000000000001</v>
      </c>
      <c r="P467" s="143">
        <v>17098.442111507782</v>
      </c>
      <c r="Q467" s="35">
        <f t="array" ref="Q467">SUM(IF(($S467&gt;=4)*($C467='TaxCred&amp;Subs'!$D$114:$D$121)*($H467='TaxCred&amp;Subs'!$C$114:$C$121)*($H467&lt;='TaxCred&amp;Subs'!$C$123),'TaxCred&amp;Subs'!$E$114:$E$121,0))</f>
        <v>2500</v>
      </c>
      <c r="R467" s="143">
        <v>0</v>
      </c>
      <c r="S467" s="29">
        <v>4</v>
      </c>
      <c r="T467" s="29" t="s">
        <v>240</v>
      </c>
      <c r="U467" s="30" t="s">
        <v>227</v>
      </c>
      <c r="V467" s="7" t="str">
        <f t="array" ref="V467">INDEX(xlRTCLNAME,MATCH(1,(xlRTCLENDU=1)*(xlRTCLEQCL=$D467),0))</f>
        <v>KERO_FA</v>
      </c>
      <c r="W467" s="7" t="str">
        <f t="array" ref="W467">INDEX(xlRTCLNAME,MATCH(1,(xlRTCLENDU=2)*(xlRTCLEQCL=$F467),0))</f>
        <v>CENT_AIR</v>
      </c>
      <c r="X467" s="7" t="str">
        <f t="array" ref="X467">INDEX(xlRTTYNAME,MATCH(1,(xlRTTYENDU=1)*(xlRTTYEQCL=$D467)*(xlRTEQTYPE=$E467),0))</f>
        <v>KERO_FA3</v>
      </c>
      <c r="Y467" s="7" t="str">
        <f t="array" ref="Y467">INDEX(xlRTTYNAME,MATCH(1,(xlRTTYENDU=2)*(xlRTTYEQCL=$F467)*(xlRTEQTYPE=$G467),0))</f>
        <v>CENT_AIR3</v>
      </c>
    </row>
    <row r="468" spans="2:25" x14ac:dyDescent="0.2">
      <c r="B468" s="29">
        <v>9</v>
      </c>
      <c r="C468" s="29">
        <v>1</v>
      </c>
      <c r="D468" s="29">
        <v>5</v>
      </c>
      <c r="E468" s="29">
        <v>16</v>
      </c>
      <c r="F468" s="29">
        <v>2</v>
      </c>
      <c r="G468" s="32">
        <v>6</v>
      </c>
      <c r="H468" s="5">
        <v>2033</v>
      </c>
      <c r="I468" s="5">
        <v>2050</v>
      </c>
      <c r="J468" s="144">
        <v>1.0790999999999999</v>
      </c>
      <c r="K468" s="144">
        <v>1.0722</v>
      </c>
      <c r="L468" s="144">
        <v>0.5464</v>
      </c>
      <c r="M468" s="144">
        <v>0.82330000000000003</v>
      </c>
      <c r="N468" s="144">
        <v>1.0336000000000001</v>
      </c>
      <c r="O468" s="144">
        <v>1.0538000000000001</v>
      </c>
      <c r="P468" s="143">
        <v>17098.442111507782</v>
      </c>
      <c r="Q468" s="35">
        <f t="array" ref="Q468">SUM(IF(($S468&gt;=4)*($C468='TaxCred&amp;Subs'!$D$114:$D$121)*($H468='TaxCred&amp;Subs'!$C$114:$C$121)*($H468&lt;='TaxCred&amp;Subs'!$C$123),'TaxCred&amp;Subs'!$E$114:$E$121,0))</f>
        <v>0</v>
      </c>
      <c r="R468" s="143">
        <v>0</v>
      </c>
      <c r="S468" s="29">
        <v>4</v>
      </c>
      <c r="T468" s="29" t="s">
        <v>240</v>
      </c>
      <c r="U468" s="30" t="s">
        <v>227</v>
      </c>
      <c r="V468" s="7" t="str">
        <f t="array" ref="V468">INDEX(xlRTCLNAME,MATCH(1,(xlRTCLENDU=1)*(xlRTCLEQCL=$D468),0))</f>
        <v>KERO_FA</v>
      </c>
      <c r="W468" s="7" t="str">
        <f t="array" ref="W468">INDEX(xlRTCLNAME,MATCH(1,(xlRTCLENDU=2)*(xlRTCLEQCL=$F468),0))</f>
        <v>CENT_AIR</v>
      </c>
      <c r="X468" s="7" t="str">
        <f t="array" ref="X468">INDEX(xlRTTYNAME,MATCH(1,(xlRTTYENDU=1)*(xlRTTYEQCL=$D468)*(xlRTEQTYPE=$E468),0))</f>
        <v>KERO_FA3</v>
      </c>
      <c r="Y468" s="7" t="str">
        <f t="array" ref="Y468">INDEX(xlRTTYNAME,MATCH(1,(xlRTTYENDU=2)*(xlRTTYEQCL=$F468)*(xlRTEQTYPE=$G468),0))</f>
        <v>CENT_AIR3</v>
      </c>
    </row>
    <row r="469" spans="2:25" x14ac:dyDescent="0.2">
      <c r="B469" s="5">
        <v>1</v>
      </c>
      <c r="C469" s="5">
        <v>1</v>
      </c>
      <c r="D469" s="5">
        <v>6</v>
      </c>
      <c r="E469" s="5">
        <v>20</v>
      </c>
      <c r="F469" s="5">
        <v>2</v>
      </c>
      <c r="G469" s="31">
        <v>6</v>
      </c>
      <c r="H469" s="31">
        <v>2020</v>
      </c>
      <c r="I469" s="5">
        <v>2022</v>
      </c>
      <c r="J469" s="142">
        <v>1.0803</v>
      </c>
      <c r="K469" s="142">
        <v>1.0667</v>
      </c>
      <c r="L469" s="142">
        <v>0.46639999999999998</v>
      </c>
      <c r="M469" s="142">
        <v>0.94740000000000002</v>
      </c>
      <c r="N469" s="142">
        <v>0.79790000000000005</v>
      </c>
      <c r="O469" s="142">
        <v>1.0538000000000001</v>
      </c>
      <c r="P469" s="26">
        <v>16939.787069504328</v>
      </c>
      <c r="Q469" s="35">
        <f t="array" ref="Q469">SUM(IF(($S469&gt;=4)*($C469='TaxCred&amp;Subs'!$D$114:$D$121)*($H469='TaxCred&amp;Subs'!$C$114:$C$121)*($H469&lt;='TaxCred&amp;Subs'!$C$123),'TaxCred&amp;Subs'!$E$114:$E$121,0))</f>
        <v>2000</v>
      </c>
      <c r="R469" s="143">
        <v>0</v>
      </c>
      <c r="S469" s="5">
        <v>4</v>
      </c>
      <c r="T469" s="5" t="s">
        <v>240</v>
      </c>
      <c r="V469" s="7" t="str">
        <f t="array" ref="V469">INDEX(xlRTCLNAME,MATCH(1,(xlRTCLENDU=1)*(xlRTCLEQCL=$D469),0))</f>
        <v>LPG_FA</v>
      </c>
      <c r="W469" s="7" t="str">
        <f t="array" ref="W469">INDEX(xlRTCLNAME,MATCH(1,(xlRTCLENDU=2)*(xlRTCLEQCL=$F469),0))</f>
        <v>CENT_AIR</v>
      </c>
      <c r="X469" s="7" t="str">
        <f t="array" ref="X469">INDEX(xlRTTYNAME,MATCH(1,(xlRTTYENDU=1)*(xlRTTYEQCL=$D469)*(xlRTEQTYPE=$E469),0))</f>
        <v>LPG_FA3</v>
      </c>
      <c r="Y469" s="7" t="str">
        <f t="array" ref="Y469">INDEX(xlRTTYNAME,MATCH(1,(xlRTTYENDU=2)*(xlRTTYEQCL=$F469)*(xlRTEQTYPE=$G469),0))</f>
        <v>CENT_AIR3</v>
      </c>
    </row>
    <row r="470" spans="2:25" x14ac:dyDescent="0.2">
      <c r="B470" s="5">
        <v>1</v>
      </c>
      <c r="C470" s="5">
        <v>1</v>
      </c>
      <c r="D470" s="5">
        <v>6</v>
      </c>
      <c r="E470" s="5">
        <v>20</v>
      </c>
      <c r="F470" s="5">
        <v>2</v>
      </c>
      <c r="G470" s="31">
        <v>6</v>
      </c>
      <c r="H470" s="5">
        <v>2023</v>
      </c>
      <c r="I470" s="31">
        <v>2028</v>
      </c>
      <c r="J470" s="142">
        <v>1.0803</v>
      </c>
      <c r="K470" s="142">
        <v>1.0667</v>
      </c>
      <c r="L470" s="142">
        <v>0.46639999999999998</v>
      </c>
      <c r="M470" s="142">
        <v>0.94740000000000002</v>
      </c>
      <c r="N470" s="142">
        <v>0.79790000000000005</v>
      </c>
      <c r="O470" s="142">
        <v>1.0538000000000001</v>
      </c>
      <c r="P470" s="26">
        <v>16939.787069504328</v>
      </c>
      <c r="Q470" s="35">
        <f t="array" ref="Q470">SUM(IF(($S470&gt;=4)*($C470='TaxCred&amp;Subs'!$D$114:$D$121)*($H470='TaxCred&amp;Subs'!$C$114:$C$121)*($H470&lt;='TaxCred&amp;Subs'!$C$123),'TaxCred&amp;Subs'!$E$114:$E$121,0))</f>
        <v>2500</v>
      </c>
      <c r="R470" s="143">
        <v>0</v>
      </c>
      <c r="S470" s="5">
        <v>4</v>
      </c>
      <c r="T470" s="5" t="s">
        <v>240</v>
      </c>
      <c r="V470" s="7" t="str">
        <f t="array" ref="V470">INDEX(xlRTCLNAME,MATCH(1,(xlRTCLENDU=1)*(xlRTCLEQCL=$D470),0))</f>
        <v>LPG_FA</v>
      </c>
      <c r="W470" s="7" t="str">
        <f t="array" ref="W470">INDEX(xlRTCLNAME,MATCH(1,(xlRTCLENDU=2)*(xlRTCLEQCL=$F470),0))</f>
        <v>CENT_AIR</v>
      </c>
      <c r="X470" s="7" t="str">
        <f t="array" ref="X470">INDEX(xlRTTYNAME,MATCH(1,(xlRTTYENDU=1)*(xlRTTYEQCL=$D470)*(xlRTEQTYPE=$E470),0))</f>
        <v>LPG_FA3</v>
      </c>
      <c r="Y470" s="7" t="str">
        <f t="array" ref="Y470">INDEX(xlRTTYNAME,MATCH(1,(xlRTTYENDU=2)*(xlRTTYEQCL=$F470)*(xlRTEQTYPE=$G470),0))</f>
        <v>CENT_AIR3</v>
      </c>
    </row>
    <row r="471" spans="2:25" x14ac:dyDescent="0.2">
      <c r="B471" s="152">
        <v>1</v>
      </c>
      <c r="C471" s="152">
        <v>1</v>
      </c>
      <c r="D471" s="152">
        <v>6</v>
      </c>
      <c r="E471" s="152">
        <v>21</v>
      </c>
      <c r="F471" s="152">
        <v>2</v>
      </c>
      <c r="G471" s="152">
        <v>6</v>
      </c>
      <c r="H471" s="152">
        <v>2029</v>
      </c>
      <c r="I471" s="152">
        <v>2032</v>
      </c>
      <c r="J471" s="229">
        <v>1.0803</v>
      </c>
      <c r="K471" s="229">
        <v>1.0667</v>
      </c>
      <c r="L471" s="229">
        <v>0.46639999999999998</v>
      </c>
      <c r="M471" s="229">
        <v>0.94740000000000002</v>
      </c>
      <c r="N471" s="229">
        <v>0.79790000000000005</v>
      </c>
      <c r="O471" s="229">
        <v>1.0538000000000001</v>
      </c>
      <c r="P471" s="155">
        <v>16939.787069504328</v>
      </c>
      <c r="Q471" s="41">
        <f t="array" ref="Q471">SUM(IF(($S471&gt;=4)*($C471='TaxCred&amp;Subs'!$D$114:$D$121)*($H471='TaxCred&amp;Subs'!$C$114:$C$121)*($H471&lt;='TaxCred&amp;Subs'!$C$123),'TaxCred&amp;Subs'!$E$114:$E$121,0))</f>
        <v>2500</v>
      </c>
      <c r="R471" s="230">
        <v>0</v>
      </c>
      <c r="S471" s="152">
        <v>4</v>
      </c>
      <c r="T471" s="152" t="s">
        <v>240</v>
      </c>
      <c r="V471" s="7" t="str">
        <f t="array" ref="V471">INDEX(xlRTCLNAME,MATCH(1,(xlRTCLENDU=1)*(xlRTCLEQCL=$D471),0))</f>
        <v>LPG_FA</v>
      </c>
      <c r="W471" s="7" t="str">
        <f t="array" ref="W471">INDEX(xlRTCLNAME,MATCH(1,(xlRTCLENDU=2)*(xlRTCLEQCL=$F471),0))</f>
        <v>CENT_AIR</v>
      </c>
      <c r="X471" s="7" t="str">
        <f t="array" ref="X471">INDEX(xlRTTYNAME,MATCH(1,(xlRTTYENDU=1)*(xlRTTYEQCL=$D471)*(xlRTEQTYPE=$E471),0))</f>
        <v>LPG_FA4</v>
      </c>
      <c r="Y471" s="7" t="str">
        <f t="array" ref="Y471">INDEX(xlRTTYNAME,MATCH(1,(xlRTTYENDU=2)*(xlRTTYEQCL=$F471)*(xlRTEQTYPE=$G471),0))</f>
        <v>CENT_AIR3</v>
      </c>
    </row>
    <row r="472" spans="2:25" x14ac:dyDescent="0.2">
      <c r="B472" s="5">
        <v>1</v>
      </c>
      <c r="C472" s="5">
        <v>1</v>
      </c>
      <c r="D472" s="5">
        <v>6</v>
      </c>
      <c r="E472" s="31">
        <v>21</v>
      </c>
      <c r="F472" s="5">
        <v>2</v>
      </c>
      <c r="G472" s="31">
        <v>6</v>
      </c>
      <c r="H472" s="5">
        <v>2033</v>
      </c>
      <c r="I472" s="5">
        <v>2050</v>
      </c>
      <c r="J472" s="142">
        <v>1.0803</v>
      </c>
      <c r="K472" s="142">
        <v>1.0667</v>
      </c>
      <c r="L472" s="142">
        <v>0.46639999999999998</v>
      </c>
      <c r="M472" s="142">
        <v>0.94740000000000002</v>
      </c>
      <c r="N472" s="142">
        <v>0.79790000000000005</v>
      </c>
      <c r="O472" s="142">
        <v>1.0538000000000001</v>
      </c>
      <c r="P472" s="26">
        <v>16939.787069504328</v>
      </c>
      <c r="Q472" s="35">
        <f t="array" ref="Q472">SUM(IF(($S472&gt;=4)*($C472='TaxCred&amp;Subs'!$D$114:$D$121)*($H472='TaxCred&amp;Subs'!$C$114:$C$121)*($H472&lt;='TaxCred&amp;Subs'!$C$123),'TaxCred&amp;Subs'!$E$114:$E$121,0))</f>
        <v>0</v>
      </c>
      <c r="R472" s="143">
        <v>0</v>
      </c>
      <c r="S472" s="5">
        <v>4</v>
      </c>
      <c r="T472" s="5" t="s">
        <v>240</v>
      </c>
      <c r="V472" s="7" t="str">
        <f t="array" ref="V472">INDEX(xlRTCLNAME,MATCH(1,(xlRTCLENDU=1)*(xlRTCLEQCL=$D472),0))</f>
        <v>LPG_FA</v>
      </c>
      <c r="W472" s="7" t="str">
        <f t="array" ref="W472">INDEX(xlRTCLNAME,MATCH(1,(xlRTCLENDU=2)*(xlRTCLEQCL=$F472),0))</f>
        <v>CENT_AIR</v>
      </c>
      <c r="X472" s="7" t="str">
        <f t="array" ref="X472">INDEX(xlRTTYNAME,MATCH(1,(xlRTTYENDU=1)*(xlRTTYEQCL=$D472)*(xlRTEQTYPE=$E472),0))</f>
        <v>LPG_FA4</v>
      </c>
      <c r="Y472" s="7" t="str">
        <f t="array" ref="Y472">INDEX(xlRTTYNAME,MATCH(1,(xlRTTYENDU=2)*(xlRTTYEQCL=$F472)*(xlRTEQTYPE=$G472),0))</f>
        <v>CENT_AIR3</v>
      </c>
    </row>
    <row r="473" spans="2:25" x14ac:dyDescent="0.2">
      <c r="B473" s="5">
        <v>2</v>
      </c>
      <c r="C473" s="5">
        <v>1</v>
      </c>
      <c r="D473" s="5">
        <v>6</v>
      </c>
      <c r="E473" s="5">
        <v>20</v>
      </c>
      <c r="F473" s="5">
        <v>2</v>
      </c>
      <c r="G473" s="31">
        <v>6</v>
      </c>
      <c r="H473" s="31">
        <v>2020</v>
      </c>
      <c r="I473" s="5">
        <v>2022</v>
      </c>
      <c r="J473" s="142">
        <v>1.0649</v>
      </c>
      <c r="K473" s="142">
        <v>1.0597000000000001</v>
      </c>
      <c r="L473" s="142">
        <v>0.49669999999999997</v>
      </c>
      <c r="M473" s="142">
        <v>0.82399999999999995</v>
      </c>
      <c r="N473" s="142">
        <v>0.93169999999999997</v>
      </c>
      <c r="O473" s="142">
        <v>1.0538000000000001</v>
      </c>
      <c r="P473" s="26">
        <v>20134.400457641663</v>
      </c>
      <c r="Q473" s="35">
        <f t="array" ref="Q473">SUM(IF(($S473&gt;=4)*($C473='TaxCred&amp;Subs'!$D$114:$D$121)*($H473='TaxCred&amp;Subs'!$C$114:$C$121)*($H473&lt;='TaxCred&amp;Subs'!$C$123),'TaxCred&amp;Subs'!$E$114:$E$121,0))</f>
        <v>2000</v>
      </c>
      <c r="R473" s="143">
        <v>0</v>
      </c>
      <c r="S473" s="5">
        <v>4</v>
      </c>
      <c r="T473" s="5" t="s">
        <v>240</v>
      </c>
      <c r="V473" s="7" t="str">
        <f t="array" ref="V473">INDEX(xlRTCLNAME,MATCH(1,(xlRTCLENDU=1)*(xlRTCLEQCL=$D473),0))</f>
        <v>LPG_FA</v>
      </c>
      <c r="W473" s="7" t="str">
        <f t="array" ref="W473">INDEX(xlRTCLNAME,MATCH(1,(xlRTCLENDU=2)*(xlRTCLEQCL=$F473),0))</f>
        <v>CENT_AIR</v>
      </c>
      <c r="X473" s="7" t="str">
        <f t="array" ref="X473">INDEX(xlRTTYNAME,MATCH(1,(xlRTTYENDU=1)*(xlRTTYEQCL=$D473)*(xlRTEQTYPE=$E473),0))</f>
        <v>LPG_FA3</v>
      </c>
      <c r="Y473" s="7" t="str">
        <f t="array" ref="Y473">INDEX(xlRTTYNAME,MATCH(1,(xlRTTYENDU=2)*(xlRTTYEQCL=$F473)*(xlRTEQTYPE=$G473),0))</f>
        <v>CENT_AIR3</v>
      </c>
    </row>
    <row r="474" spans="2:25" x14ac:dyDescent="0.2">
      <c r="B474" s="5">
        <v>2</v>
      </c>
      <c r="C474" s="5">
        <v>1</v>
      </c>
      <c r="D474" s="5">
        <v>6</v>
      </c>
      <c r="E474" s="5">
        <v>20</v>
      </c>
      <c r="F474" s="5">
        <v>2</v>
      </c>
      <c r="G474" s="31">
        <v>6</v>
      </c>
      <c r="H474" s="5">
        <v>2023</v>
      </c>
      <c r="I474" s="31">
        <v>2028</v>
      </c>
      <c r="J474" s="142">
        <v>1.0649</v>
      </c>
      <c r="K474" s="142">
        <v>1.0597000000000001</v>
      </c>
      <c r="L474" s="142">
        <v>0.49669999999999997</v>
      </c>
      <c r="M474" s="142">
        <v>0.82399999999999995</v>
      </c>
      <c r="N474" s="142">
        <v>0.93169999999999997</v>
      </c>
      <c r="O474" s="142">
        <v>1.0538000000000001</v>
      </c>
      <c r="P474" s="26">
        <v>20134.400457641663</v>
      </c>
      <c r="Q474" s="35">
        <f t="array" ref="Q474">SUM(IF(($S474&gt;=4)*($C474='TaxCred&amp;Subs'!$D$114:$D$121)*($H474='TaxCred&amp;Subs'!$C$114:$C$121)*($H474&lt;='TaxCred&amp;Subs'!$C$123),'TaxCred&amp;Subs'!$E$114:$E$121,0))</f>
        <v>2500</v>
      </c>
      <c r="R474" s="143">
        <v>0</v>
      </c>
      <c r="S474" s="5">
        <v>4</v>
      </c>
      <c r="T474" s="5" t="s">
        <v>240</v>
      </c>
      <c r="V474" s="7" t="str">
        <f t="array" ref="V474">INDEX(xlRTCLNAME,MATCH(1,(xlRTCLENDU=1)*(xlRTCLEQCL=$D474),0))</f>
        <v>LPG_FA</v>
      </c>
      <c r="W474" s="7" t="str">
        <f t="array" ref="W474">INDEX(xlRTCLNAME,MATCH(1,(xlRTCLENDU=2)*(xlRTCLEQCL=$F474),0))</f>
        <v>CENT_AIR</v>
      </c>
      <c r="X474" s="7" t="str">
        <f t="array" ref="X474">INDEX(xlRTTYNAME,MATCH(1,(xlRTTYENDU=1)*(xlRTTYEQCL=$D474)*(xlRTEQTYPE=$E474),0))</f>
        <v>LPG_FA3</v>
      </c>
      <c r="Y474" s="7" t="str">
        <f t="array" ref="Y474">INDEX(xlRTTYNAME,MATCH(1,(xlRTTYENDU=2)*(xlRTTYEQCL=$F474)*(xlRTEQTYPE=$G474),0))</f>
        <v>CENT_AIR3</v>
      </c>
    </row>
    <row r="475" spans="2:25" x14ac:dyDescent="0.2">
      <c r="B475" s="152">
        <v>2</v>
      </c>
      <c r="C475" s="152">
        <v>1</v>
      </c>
      <c r="D475" s="152">
        <v>6</v>
      </c>
      <c r="E475" s="152">
        <v>21</v>
      </c>
      <c r="F475" s="152">
        <v>2</v>
      </c>
      <c r="G475" s="152">
        <v>6</v>
      </c>
      <c r="H475" s="152">
        <v>2029</v>
      </c>
      <c r="I475" s="152">
        <v>2032</v>
      </c>
      <c r="J475" s="229">
        <v>1.0649</v>
      </c>
      <c r="K475" s="229">
        <v>1.0597000000000001</v>
      </c>
      <c r="L475" s="229">
        <v>0.49669999999999997</v>
      </c>
      <c r="M475" s="229">
        <v>0.82399999999999995</v>
      </c>
      <c r="N475" s="229">
        <v>0.93169999999999997</v>
      </c>
      <c r="O475" s="229">
        <v>1.0538000000000001</v>
      </c>
      <c r="P475" s="155">
        <v>20134.400457641663</v>
      </c>
      <c r="Q475" s="41">
        <f t="array" ref="Q475">SUM(IF(($S475&gt;=4)*($C475='TaxCred&amp;Subs'!$D$114:$D$121)*($H475='TaxCred&amp;Subs'!$C$114:$C$121)*($H475&lt;='TaxCred&amp;Subs'!$C$123),'TaxCred&amp;Subs'!$E$114:$E$121,0))</f>
        <v>2500</v>
      </c>
      <c r="R475" s="230">
        <v>0</v>
      </c>
      <c r="S475" s="152">
        <v>4</v>
      </c>
      <c r="T475" s="152" t="s">
        <v>240</v>
      </c>
      <c r="V475" s="7" t="str">
        <f t="array" ref="V475">INDEX(xlRTCLNAME,MATCH(1,(xlRTCLENDU=1)*(xlRTCLEQCL=$D475),0))</f>
        <v>LPG_FA</v>
      </c>
      <c r="W475" s="7" t="str">
        <f t="array" ref="W475">INDEX(xlRTCLNAME,MATCH(1,(xlRTCLENDU=2)*(xlRTCLEQCL=$F475),0))</f>
        <v>CENT_AIR</v>
      </c>
      <c r="X475" s="7" t="str">
        <f t="array" ref="X475">INDEX(xlRTTYNAME,MATCH(1,(xlRTTYENDU=1)*(xlRTTYEQCL=$D475)*(xlRTEQTYPE=$E475),0))</f>
        <v>LPG_FA4</v>
      </c>
      <c r="Y475" s="7" t="str">
        <f t="array" ref="Y475">INDEX(xlRTTYNAME,MATCH(1,(xlRTTYENDU=2)*(xlRTTYEQCL=$F475)*(xlRTEQTYPE=$G475),0))</f>
        <v>CENT_AIR3</v>
      </c>
    </row>
    <row r="476" spans="2:25" x14ac:dyDescent="0.2">
      <c r="B476" s="5">
        <v>2</v>
      </c>
      <c r="C476" s="5">
        <v>1</v>
      </c>
      <c r="D476" s="5">
        <v>6</v>
      </c>
      <c r="E476" s="31">
        <v>21</v>
      </c>
      <c r="F476" s="5">
        <v>2</v>
      </c>
      <c r="G476" s="31">
        <v>6</v>
      </c>
      <c r="H476" s="5">
        <v>2033</v>
      </c>
      <c r="I476" s="5">
        <v>2050</v>
      </c>
      <c r="J476" s="142">
        <v>1.0649</v>
      </c>
      <c r="K476" s="142">
        <v>1.0597000000000001</v>
      </c>
      <c r="L476" s="142">
        <v>0.49669999999999997</v>
      </c>
      <c r="M476" s="142">
        <v>0.82399999999999995</v>
      </c>
      <c r="N476" s="142">
        <v>0.93169999999999997</v>
      </c>
      <c r="O476" s="142">
        <v>1.0538000000000001</v>
      </c>
      <c r="P476" s="26">
        <v>20134.400457641663</v>
      </c>
      <c r="Q476" s="35">
        <f t="array" ref="Q476">SUM(IF(($S476&gt;=4)*($C476='TaxCred&amp;Subs'!$D$114:$D$121)*($H476='TaxCred&amp;Subs'!$C$114:$C$121)*($H476&lt;='TaxCred&amp;Subs'!$C$123),'TaxCred&amp;Subs'!$E$114:$E$121,0))</f>
        <v>0</v>
      </c>
      <c r="R476" s="143">
        <v>0</v>
      </c>
      <c r="S476" s="5">
        <v>4</v>
      </c>
      <c r="T476" s="5" t="s">
        <v>240</v>
      </c>
      <c r="V476" s="7" t="str">
        <f t="array" ref="V476">INDEX(xlRTCLNAME,MATCH(1,(xlRTCLENDU=1)*(xlRTCLEQCL=$D476),0))</f>
        <v>LPG_FA</v>
      </c>
      <c r="W476" s="7" t="str">
        <f t="array" ref="W476">INDEX(xlRTCLNAME,MATCH(1,(xlRTCLENDU=2)*(xlRTCLEQCL=$F476),0))</f>
        <v>CENT_AIR</v>
      </c>
      <c r="X476" s="7" t="str">
        <f t="array" ref="X476">INDEX(xlRTTYNAME,MATCH(1,(xlRTTYENDU=1)*(xlRTTYEQCL=$D476)*(xlRTEQTYPE=$E476),0))</f>
        <v>LPG_FA4</v>
      </c>
      <c r="Y476" s="7" t="str">
        <f t="array" ref="Y476">INDEX(xlRTTYNAME,MATCH(1,(xlRTTYENDU=2)*(xlRTTYEQCL=$F476)*(xlRTEQTYPE=$G476),0))</f>
        <v>CENT_AIR3</v>
      </c>
    </row>
    <row r="477" spans="2:25" x14ac:dyDescent="0.2">
      <c r="B477" s="5">
        <v>3</v>
      </c>
      <c r="C477" s="5">
        <v>1</v>
      </c>
      <c r="D477" s="5">
        <v>6</v>
      </c>
      <c r="E477" s="5">
        <v>20</v>
      </c>
      <c r="F477" s="5">
        <v>2</v>
      </c>
      <c r="G477" s="31">
        <v>6</v>
      </c>
      <c r="H477" s="31">
        <v>2020</v>
      </c>
      <c r="I477" s="5">
        <v>2022</v>
      </c>
      <c r="J477" s="142">
        <v>1.0469999999999999</v>
      </c>
      <c r="K477" s="142">
        <v>1.0769</v>
      </c>
      <c r="L477" s="142">
        <v>0.45619999999999999</v>
      </c>
      <c r="M477" s="142">
        <v>0.90190000000000003</v>
      </c>
      <c r="N477" s="142">
        <v>0.91600000000000004</v>
      </c>
      <c r="O477" s="142">
        <v>1.0538000000000001</v>
      </c>
      <c r="P477" s="26">
        <v>17265.164359036837</v>
      </c>
      <c r="Q477" s="35">
        <f t="array" ref="Q477">SUM(IF(($S477&gt;=4)*($C477='TaxCred&amp;Subs'!$D$114:$D$121)*($H477='TaxCred&amp;Subs'!$C$114:$C$121)*($H477&lt;='TaxCred&amp;Subs'!$C$123),'TaxCred&amp;Subs'!$E$114:$E$121,0))</f>
        <v>2000</v>
      </c>
      <c r="R477" s="143">
        <v>0</v>
      </c>
      <c r="S477" s="5">
        <v>4</v>
      </c>
      <c r="T477" s="5" t="s">
        <v>240</v>
      </c>
      <c r="V477" s="7" t="str">
        <f t="array" ref="V477">INDEX(xlRTCLNAME,MATCH(1,(xlRTCLENDU=1)*(xlRTCLEQCL=$D477),0))</f>
        <v>LPG_FA</v>
      </c>
      <c r="W477" s="7" t="str">
        <f t="array" ref="W477">INDEX(xlRTCLNAME,MATCH(1,(xlRTCLENDU=2)*(xlRTCLEQCL=$F477),0))</f>
        <v>CENT_AIR</v>
      </c>
      <c r="X477" s="7" t="str">
        <f t="array" ref="X477">INDEX(xlRTTYNAME,MATCH(1,(xlRTTYENDU=1)*(xlRTTYEQCL=$D477)*(xlRTEQTYPE=$E477),0))</f>
        <v>LPG_FA3</v>
      </c>
      <c r="Y477" s="7" t="str">
        <f t="array" ref="Y477">INDEX(xlRTTYNAME,MATCH(1,(xlRTTYENDU=2)*(xlRTTYEQCL=$F477)*(xlRTEQTYPE=$G477),0))</f>
        <v>CENT_AIR3</v>
      </c>
    </row>
    <row r="478" spans="2:25" x14ac:dyDescent="0.2">
      <c r="B478" s="5">
        <v>3</v>
      </c>
      <c r="C478" s="5">
        <v>1</v>
      </c>
      <c r="D478" s="5">
        <v>6</v>
      </c>
      <c r="E478" s="5">
        <v>20</v>
      </c>
      <c r="F478" s="5">
        <v>2</v>
      </c>
      <c r="G478" s="31">
        <v>6</v>
      </c>
      <c r="H478" s="5">
        <v>2023</v>
      </c>
      <c r="I478" s="31">
        <v>2028</v>
      </c>
      <c r="J478" s="142">
        <v>1.0469999999999999</v>
      </c>
      <c r="K478" s="142">
        <v>1.0769</v>
      </c>
      <c r="L478" s="142">
        <v>0.45619999999999999</v>
      </c>
      <c r="M478" s="142">
        <v>0.90190000000000003</v>
      </c>
      <c r="N478" s="142">
        <v>0.91600000000000004</v>
      </c>
      <c r="O478" s="142">
        <v>1.0538000000000001</v>
      </c>
      <c r="P478" s="26">
        <v>17265.164359036837</v>
      </c>
      <c r="Q478" s="35">
        <f t="array" ref="Q478">SUM(IF(($S478&gt;=4)*($C478='TaxCred&amp;Subs'!$D$114:$D$121)*($H478='TaxCred&amp;Subs'!$C$114:$C$121)*($H478&lt;='TaxCred&amp;Subs'!$C$123),'TaxCred&amp;Subs'!$E$114:$E$121,0))</f>
        <v>2500</v>
      </c>
      <c r="R478" s="143">
        <v>0</v>
      </c>
      <c r="S478" s="5">
        <v>4</v>
      </c>
      <c r="T478" s="5" t="s">
        <v>240</v>
      </c>
      <c r="V478" s="7" t="str">
        <f t="array" ref="V478">INDEX(xlRTCLNAME,MATCH(1,(xlRTCLENDU=1)*(xlRTCLEQCL=$D478),0))</f>
        <v>LPG_FA</v>
      </c>
      <c r="W478" s="7" t="str">
        <f t="array" ref="W478">INDEX(xlRTCLNAME,MATCH(1,(xlRTCLENDU=2)*(xlRTCLEQCL=$F478),0))</f>
        <v>CENT_AIR</v>
      </c>
      <c r="X478" s="7" t="str">
        <f t="array" ref="X478">INDEX(xlRTTYNAME,MATCH(1,(xlRTTYENDU=1)*(xlRTTYEQCL=$D478)*(xlRTEQTYPE=$E478),0))</f>
        <v>LPG_FA3</v>
      </c>
      <c r="Y478" s="7" t="str">
        <f t="array" ref="Y478">INDEX(xlRTTYNAME,MATCH(1,(xlRTTYENDU=2)*(xlRTTYEQCL=$F478)*(xlRTEQTYPE=$G478),0))</f>
        <v>CENT_AIR3</v>
      </c>
    </row>
    <row r="479" spans="2:25" x14ac:dyDescent="0.2">
      <c r="B479" s="152">
        <v>3</v>
      </c>
      <c r="C479" s="152">
        <v>1</v>
      </c>
      <c r="D479" s="152">
        <v>6</v>
      </c>
      <c r="E479" s="152">
        <v>21</v>
      </c>
      <c r="F479" s="152">
        <v>2</v>
      </c>
      <c r="G479" s="152">
        <v>6</v>
      </c>
      <c r="H479" s="152">
        <v>2029</v>
      </c>
      <c r="I479" s="152">
        <v>2032</v>
      </c>
      <c r="J479" s="229">
        <v>1.0469999999999999</v>
      </c>
      <c r="K479" s="229">
        <v>1.0769</v>
      </c>
      <c r="L479" s="229">
        <v>0.45619999999999999</v>
      </c>
      <c r="M479" s="229">
        <v>0.90190000000000003</v>
      </c>
      <c r="N479" s="229">
        <v>0.91600000000000004</v>
      </c>
      <c r="O479" s="229">
        <v>1.0538000000000001</v>
      </c>
      <c r="P479" s="155">
        <v>17265.164359036837</v>
      </c>
      <c r="Q479" s="41">
        <f t="array" ref="Q479">SUM(IF(($S479&gt;=4)*($C479='TaxCred&amp;Subs'!$D$114:$D$121)*($H479='TaxCred&amp;Subs'!$C$114:$C$121)*($H479&lt;='TaxCred&amp;Subs'!$C$123),'TaxCred&amp;Subs'!$E$114:$E$121,0))</f>
        <v>2500</v>
      </c>
      <c r="R479" s="230">
        <v>0</v>
      </c>
      <c r="S479" s="152">
        <v>4</v>
      </c>
      <c r="T479" s="152" t="s">
        <v>240</v>
      </c>
      <c r="V479" s="7" t="str">
        <f t="array" ref="V479">INDEX(xlRTCLNAME,MATCH(1,(xlRTCLENDU=1)*(xlRTCLEQCL=$D479),0))</f>
        <v>LPG_FA</v>
      </c>
      <c r="W479" s="7" t="str">
        <f t="array" ref="W479">INDEX(xlRTCLNAME,MATCH(1,(xlRTCLENDU=2)*(xlRTCLEQCL=$F479),0))</f>
        <v>CENT_AIR</v>
      </c>
      <c r="X479" s="7" t="str">
        <f t="array" ref="X479">INDEX(xlRTTYNAME,MATCH(1,(xlRTTYENDU=1)*(xlRTTYEQCL=$D479)*(xlRTEQTYPE=$E479),0))</f>
        <v>LPG_FA4</v>
      </c>
      <c r="Y479" s="7" t="str">
        <f t="array" ref="Y479">INDEX(xlRTTYNAME,MATCH(1,(xlRTTYENDU=2)*(xlRTTYEQCL=$F479)*(xlRTEQTYPE=$G479),0))</f>
        <v>CENT_AIR3</v>
      </c>
    </row>
    <row r="480" spans="2:25" x14ac:dyDescent="0.2">
      <c r="B480" s="5">
        <v>3</v>
      </c>
      <c r="C480" s="5">
        <v>1</v>
      </c>
      <c r="D480" s="5">
        <v>6</v>
      </c>
      <c r="E480" s="31">
        <v>21</v>
      </c>
      <c r="F480" s="5">
        <v>2</v>
      </c>
      <c r="G480" s="31">
        <v>6</v>
      </c>
      <c r="H480" s="5">
        <v>2033</v>
      </c>
      <c r="I480" s="5">
        <v>2050</v>
      </c>
      <c r="J480" s="142">
        <v>1.0469999999999999</v>
      </c>
      <c r="K480" s="142">
        <v>1.0769</v>
      </c>
      <c r="L480" s="142">
        <v>0.45619999999999999</v>
      </c>
      <c r="M480" s="142">
        <v>0.90190000000000003</v>
      </c>
      <c r="N480" s="142">
        <v>0.91600000000000004</v>
      </c>
      <c r="O480" s="142">
        <v>1.0538000000000001</v>
      </c>
      <c r="P480" s="26">
        <v>17265.164359036837</v>
      </c>
      <c r="Q480" s="35">
        <f t="array" ref="Q480">SUM(IF(($S480&gt;=4)*($C480='TaxCred&amp;Subs'!$D$114:$D$121)*($H480='TaxCred&amp;Subs'!$C$114:$C$121)*($H480&lt;='TaxCred&amp;Subs'!$C$123),'TaxCred&amp;Subs'!$E$114:$E$121,0))</f>
        <v>0</v>
      </c>
      <c r="R480" s="143">
        <v>0</v>
      </c>
      <c r="S480" s="5">
        <v>4</v>
      </c>
      <c r="T480" s="5" t="s">
        <v>240</v>
      </c>
      <c r="V480" s="7" t="str">
        <f t="array" ref="V480">INDEX(xlRTCLNAME,MATCH(1,(xlRTCLENDU=1)*(xlRTCLEQCL=$D480),0))</f>
        <v>LPG_FA</v>
      </c>
      <c r="W480" s="7" t="str">
        <f t="array" ref="W480">INDEX(xlRTCLNAME,MATCH(1,(xlRTCLENDU=2)*(xlRTCLEQCL=$F480),0))</f>
        <v>CENT_AIR</v>
      </c>
      <c r="X480" s="7" t="str">
        <f t="array" ref="X480">INDEX(xlRTTYNAME,MATCH(1,(xlRTTYENDU=1)*(xlRTTYEQCL=$D480)*(xlRTEQTYPE=$E480),0))</f>
        <v>LPG_FA4</v>
      </c>
      <c r="Y480" s="7" t="str">
        <f t="array" ref="Y480">INDEX(xlRTTYNAME,MATCH(1,(xlRTTYENDU=2)*(xlRTTYEQCL=$F480)*(xlRTEQTYPE=$G480),0))</f>
        <v>CENT_AIR3</v>
      </c>
    </row>
    <row r="481" spans="2:25" x14ac:dyDescent="0.2">
      <c r="B481" s="5">
        <v>4</v>
      </c>
      <c r="C481" s="5">
        <v>1</v>
      </c>
      <c r="D481" s="5">
        <v>6</v>
      </c>
      <c r="E481" s="5">
        <v>20</v>
      </c>
      <c r="F481" s="5">
        <v>2</v>
      </c>
      <c r="G481" s="31">
        <v>6</v>
      </c>
      <c r="H481" s="31">
        <v>2020</v>
      </c>
      <c r="I481" s="5">
        <v>2022</v>
      </c>
      <c r="J481" s="142">
        <v>1.0862000000000001</v>
      </c>
      <c r="K481" s="142">
        <v>1.0769</v>
      </c>
      <c r="L481" s="142">
        <v>0.45779999999999998</v>
      </c>
      <c r="M481" s="142">
        <v>0.85729999999999995</v>
      </c>
      <c r="N481" s="142">
        <v>0.85770000000000002</v>
      </c>
      <c r="O481" s="142">
        <v>1.0538000000000001</v>
      </c>
      <c r="P481" s="26">
        <v>14059.794696865367</v>
      </c>
      <c r="Q481" s="35">
        <f t="array" ref="Q481">SUM(IF(($S481&gt;=4)*($C481='TaxCred&amp;Subs'!$D$114:$D$121)*($H481='TaxCred&amp;Subs'!$C$114:$C$121)*($H481&lt;='TaxCred&amp;Subs'!$C$123),'TaxCred&amp;Subs'!$E$114:$E$121,0))</f>
        <v>2000</v>
      </c>
      <c r="R481" s="143">
        <v>0</v>
      </c>
      <c r="S481" s="5">
        <v>4</v>
      </c>
      <c r="T481" s="5" t="s">
        <v>240</v>
      </c>
      <c r="V481" s="7" t="str">
        <f t="array" ref="V481">INDEX(xlRTCLNAME,MATCH(1,(xlRTCLENDU=1)*(xlRTCLEQCL=$D481),0))</f>
        <v>LPG_FA</v>
      </c>
      <c r="W481" s="7" t="str">
        <f t="array" ref="W481">INDEX(xlRTCLNAME,MATCH(1,(xlRTCLENDU=2)*(xlRTCLEQCL=$F481),0))</f>
        <v>CENT_AIR</v>
      </c>
      <c r="X481" s="7" t="str">
        <f t="array" ref="X481">INDEX(xlRTTYNAME,MATCH(1,(xlRTTYENDU=1)*(xlRTTYEQCL=$D481)*(xlRTEQTYPE=$E481),0))</f>
        <v>LPG_FA3</v>
      </c>
      <c r="Y481" s="7" t="str">
        <f t="array" ref="Y481">INDEX(xlRTTYNAME,MATCH(1,(xlRTTYENDU=2)*(xlRTTYEQCL=$F481)*(xlRTEQTYPE=$G481),0))</f>
        <v>CENT_AIR3</v>
      </c>
    </row>
    <row r="482" spans="2:25" x14ac:dyDescent="0.2">
      <c r="B482" s="5">
        <v>4</v>
      </c>
      <c r="C482" s="5">
        <v>1</v>
      </c>
      <c r="D482" s="5">
        <v>6</v>
      </c>
      <c r="E482" s="5">
        <v>20</v>
      </c>
      <c r="F482" s="5">
        <v>2</v>
      </c>
      <c r="G482" s="31">
        <v>6</v>
      </c>
      <c r="H482" s="5">
        <v>2023</v>
      </c>
      <c r="I482" s="31">
        <v>2028</v>
      </c>
      <c r="J482" s="142">
        <v>1.0862000000000001</v>
      </c>
      <c r="K482" s="142">
        <v>1.0769</v>
      </c>
      <c r="L482" s="142">
        <v>0.45779999999999998</v>
      </c>
      <c r="M482" s="142">
        <v>0.85729999999999995</v>
      </c>
      <c r="N482" s="142">
        <v>0.85770000000000002</v>
      </c>
      <c r="O482" s="142">
        <v>1.0538000000000001</v>
      </c>
      <c r="P482" s="26">
        <v>14059.794696865367</v>
      </c>
      <c r="Q482" s="35">
        <f t="array" ref="Q482">SUM(IF(($S482&gt;=4)*($C482='TaxCred&amp;Subs'!$D$114:$D$121)*($H482='TaxCred&amp;Subs'!$C$114:$C$121)*($H482&lt;='TaxCred&amp;Subs'!$C$123),'TaxCred&amp;Subs'!$E$114:$E$121,0))</f>
        <v>2500</v>
      </c>
      <c r="R482" s="143">
        <v>0</v>
      </c>
      <c r="S482" s="5">
        <v>4</v>
      </c>
      <c r="T482" s="5" t="s">
        <v>240</v>
      </c>
      <c r="V482" s="7" t="str">
        <f t="array" ref="V482">INDEX(xlRTCLNAME,MATCH(1,(xlRTCLENDU=1)*(xlRTCLEQCL=$D482),0))</f>
        <v>LPG_FA</v>
      </c>
      <c r="W482" s="7" t="str">
        <f t="array" ref="W482">INDEX(xlRTCLNAME,MATCH(1,(xlRTCLENDU=2)*(xlRTCLEQCL=$F482),0))</f>
        <v>CENT_AIR</v>
      </c>
      <c r="X482" s="7" t="str">
        <f t="array" ref="X482">INDEX(xlRTTYNAME,MATCH(1,(xlRTTYENDU=1)*(xlRTTYEQCL=$D482)*(xlRTEQTYPE=$E482),0))</f>
        <v>LPG_FA3</v>
      </c>
      <c r="Y482" s="7" t="str">
        <f t="array" ref="Y482">INDEX(xlRTTYNAME,MATCH(1,(xlRTTYENDU=2)*(xlRTTYEQCL=$F482)*(xlRTEQTYPE=$G482),0))</f>
        <v>CENT_AIR3</v>
      </c>
    </row>
    <row r="483" spans="2:25" x14ac:dyDescent="0.2">
      <c r="B483" s="152">
        <v>4</v>
      </c>
      <c r="C483" s="152">
        <v>1</v>
      </c>
      <c r="D483" s="152">
        <v>6</v>
      </c>
      <c r="E483" s="152">
        <v>21</v>
      </c>
      <c r="F483" s="152">
        <v>2</v>
      </c>
      <c r="G483" s="152">
        <v>6</v>
      </c>
      <c r="H483" s="152">
        <v>2029</v>
      </c>
      <c r="I483" s="152">
        <v>2032</v>
      </c>
      <c r="J483" s="229">
        <v>1.0862000000000001</v>
      </c>
      <c r="K483" s="229">
        <v>1.0769</v>
      </c>
      <c r="L483" s="229">
        <v>0.45779999999999998</v>
      </c>
      <c r="M483" s="229">
        <v>0.85729999999999995</v>
      </c>
      <c r="N483" s="229">
        <v>0.85770000000000002</v>
      </c>
      <c r="O483" s="229">
        <v>1.0538000000000001</v>
      </c>
      <c r="P483" s="155">
        <v>14059.794696865367</v>
      </c>
      <c r="Q483" s="41">
        <f t="array" ref="Q483">SUM(IF(($S483&gt;=4)*($C483='TaxCred&amp;Subs'!$D$114:$D$121)*($H483='TaxCred&amp;Subs'!$C$114:$C$121)*($H483&lt;='TaxCred&amp;Subs'!$C$123),'TaxCred&amp;Subs'!$E$114:$E$121,0))</f>
        <v>2500</v>
      </c>
      <c r="R483" s="230">
        <v>0</v>
      </c>
      <c r="S483" s="152">
        <v>4</v>
      </c>
      <c r="T483" s="152" t="s">
        <v>240</v>
      </c>
      <c r="V483" s="7" t="str">
        <f t="array" ref="V483">INDEX(xlRTCLNAME,MATCH(1,(xlRTCLENDU=1)*(xlRTCLEQCL=$D483),0))</f>
        <v>LPG_FA</v>
      </c>
      <c r="W483" s="7" t="str">
        <f t="array" ref="W483">INDEX(xlRTCLNAME,MATCH(1,(xlRTCLENDU=2)*(xlRTCLEQCL=$F483),0))</f>
        <v>CENT_AIR</v>
      </c>
      <c r="X483" s="7" t="str">
        <f t="array" ref="X483">INDEX(xlRTTYNAME,MATCH(1,(xlRTTYENDU=1)*(xlRTTYEQCL=$D483)*(xlRTEQTYPE=$E483),0))</f>
        <v>LPG_FA4</v>
      </c>
      <c r="Y483" s="7" t="str">
        <f t="array" ref="Y483">INDEX(xlRTTYNAME,MATCH(1,(xlRTTYENDU=2)*(xlRTTYEQCL=$F483)*(xlRTEQTYPE=$G483),0))</f>
        <v>CENT_AIR3</v>
      </c>
    </row>
    <row r="484" spans="2:25" x14ac:dyDescent="0.2">
      <c r="B484" s="5">
        <v>4</v>
      </c>
      <c r="C484" s="5">
        <v>1</v>
      </c>
      <c r="D484" s="5">
        <v>6</v>
      </c>
      <c r="E484" s="31">
        <v>21</v>
      </c>
      <c r="F484" s="5">
        <v>2</v>
      </c>
      <c r="G484" s="31">
        <v>6</v>
      </c>
      <c r="H484" s="5">
        <v>2033</v>
      </c>
      <c r="I484" s="5">
        <v>2050</v>
      </c>
      <c r="J484" s="142">
        <v>1.0862000000000001</v>
      </c>
      <c r="K484" s="142">
        <v>1.0769</v>
      </c>
      <c r="L484" s="142">
        <v>0.45779999999999998</v>
      </c>
      <c r="M484" s="142">
        <v>0.85729999999999995</v>
      </c>
      <c r="N484" s="142">
        <v>0.85770000000000002</v>
      </c>
      <c r="O484" s="142">
        <v>1.0538000000000001</v>
      </c>
      <c r="P484" s="26">
        <v>14059.794696865367</v>
      </c>
      <c r="Q484" s="35">
        <f t="array" ref="Q484">SUM(IF(($S484&gt;=4)*($C484='TaxCred&amp;Subs'!$D$114:$D$121)*($H484='TaxCred&amp;Subs'!$C$114:$C$121)*($H484&lt;='TaxCred&amp;Subs'!$C$123),'TaxCred&amp;Subs'!$E$114:$E$121,0))</f>
        <v>0</v>
      </c>
      <c r="R484" s="143">
        <v>0</v>
      </c>
      <c r="S484" s="5">
        <v>4</v>
      </c>
      <c r="T484" s="5" t="s">
        <v>240</v>
      </c>
      <c r="V484" s="7" t="str">
        <f t="array" ref="V484">INDEX(xlRTCLNAME,MATCH(1,(xlRTCLENDU=1)*(xlRTCLEQCL=$D484),0))</f>
        <v>LPG_FA</v>
      </c>
      <c r="W484" s="7" t="str">
        <f t="array" ref="W484">INDEX(xlRTCLNAME,MATCH(1,(xlRTCLENDU=2)*(xlRTCLEQCL=$F484),0))</f>
        <v>CENT_AIR</v>
      </c>
      <c r="X484" s="7" t="str">
        <f t="array" ref="X484">INDEX(xlRTTYNAME,MATCH(1,(xlRTTYENDU=1)*(xlRTTYEQCL=$D484)*(xlRTEQTYPE=$E484),0))</f>
        <v>LPG_FA4</v>
      </c>
      <c r="Y484" s="7" t="str">
        <f t="array" ref="Y484">INDEX(xlRTTYNAME,MATCH(1,(xlRTTYENDU=2)*(xlRTTYEQCL=$F484)*(xlRTEQTYPE=$G484),0))</f>
        <v>CENT_AIR3</v>
      </c>
    </row>
    <row r="485" spans="2:25" x14ac:dyDescent="0.2">
      <c r="B485" s="5">
        <v>5</v>
      </c>
      <c r="C485" s="5">
        <v>1</v>
      </c>
      <c r="D485" s="5">
        <v>6</v>
      </c>
      <c r="E485" s="5">
        <v>20</v>
      </c>
      <c r="F485" s="5">
        <v>2</v>
      </c>
      <c r="G485" s="31">
        <v>6</v>
      </c>
      <c r="H485" s="31">
        <v>2020</v>
      </c>
      <c r="I485" s="5">
        <v>2022</v>
      </c>
      <c r="J485" s="142">
        <v>1.0849</v>
      </c>
      <c r="K485" s="142">
        <v>1.0471999999999999</v>
      </c>
      <c r="L485" s="142">
        <v>0.41520000000000001</v>
      </c>
      <c r="M485" s="142">
        <v>0.77729999999999999</v>
      </c>
      <c r="N485" s="142">
        <v>0.76180000000000003</v>
      </c>
      <c r="O485" s="142">
        <v>1.0538000000000001</v>
      </c>
      <c r="P485" s="26">
        <v>13109.208979098914</v>
      </c>
      <c r="Q485" s="35">
        <f t="array" ref="Q485">SUM(IF(($S485&gt;=4)*($C485='TaxCred&amp;Subs'!$D$114:$D$121)*($H485='TaxCred&amp;Subs'!$C$114:$C$121)*($H485&lt;='TaxCred&amp;Subs'!$C$123),'TaxCred&amp;Subs'!$E$114:$E$121,0))</f>
        <v>2000</v>
      </c>
      <c r="R485" s="143">
        <v>0</v>
      </c>
      <c r="S485" s="5">
        <v>4</v>
      </c>
      <c r="T485" s="5" t="s">
        <v>240</v>
      </c>
      <c r="V485" s="7" t="str">
        <f t="array" ref="V485">INDEX(xlRTCLNAME,MATCH(1,(xlRTCLENDU=1)*(xlRTCLEQCL=$D485),0))</f>
        <v>LPG_FA</v>
      </c>
      <c r="W485" s="7" t="str">
        <f t="array" ref="W485">INDEX(xlRTCLNAME,MATCH(1,(xlRTCLENDU=2)*(xlRTCLEQCL=$F485),0))</f>
        <v>CENT_AIR</v>
      </c>
      <c r="X485" s="7" t="str">
        <f t="array" ref="X485">INDEX(xlRTTYNAME,MATCH(1,(xlRTTYENDU=1)*(xlRTTYEQCL=$D485)*(xlRTEQTYPE=$E485),0))</f>
        <v>LPG_FA3</v>
      </c>
      <c r="Y485" s="7" t="str">
        <f t="array" ref="Y485">INDEX(xlRTTYNAME,MATCH(1,(xlRTTYENDU=2)*(xlRTTYEQCL=$F485)*(xlRTEQTYPE=$G485),0))</f>
        <v>CENT_AIR3</v>
      </c>
    </row>
    <row r="486" spans="2:25" x14ac:dyDescent="0.2">
      <c r="B486" s="5">
        <v>5</v>
      </c>
      <c r="C486" s="5">
        <v>1</v>
      </c>
      <c r="D486" s="5">
        <v>6</v>
      </c>
      <c r="E486" s="5">
        <v>20</v>
      </c>
      <c r="F486" s="5">
        <v>2</v>
      </c>
      <c r="G486" s="31">
        <v>6</v>
      </c>
      <c r="H486" s="5">
        <v>2023</v>
      </c>
      <c r="I486" s="31">
        <v>2028</v>
      </c>
      <c r="J486" s="142">
        <v>1.0849</v>
      </c>
      <c r="K486" s="142">
        <v>1.0471999999999999</v>
      </c>
      <c r="L486" s="142">
        <v>0.41520000000000001</v>
      </c>
      <c r="M486" s="142">
        <v>0.77729999999999999</v>
      </c>
      <c r="N486" s="142">
        <v>0.76180000000000003</v>
      </c>
      <c r="O486" s="142">
        <v>1.0538000000000001</v>
      </c>
      <c r="P486" s="26">
        <v>13109.208979098914</v>
      </c>
      <c r="Q486" s="35">
        <f t="array" ref="Q486">SUM(IF(($S486&gt;=4)*($C486='TaxCred&amp;Subs'!$D$114:$D$121)*($H486='TaxCred&amp;Subs'!$C$114:$C$121)*($H486&lt;='TaxCred&amp;Subs'!$C$123),'TaxCred&amp;Subs'!$E$114:$E$121,0))</f>
        <v>2500</v>
      </c>
      <c r="R486" s="143">
        <v>0</v>
      </c>
      <c r="S486" s="5">
        <v>4</v>
      </c>
      <c r="T486" s="5" t="s">
        <v>240</v>
      </c>
      <c r="V486" s="7" t="str">
        <f t="array" ref="V486">INDEX(xlRTCLNAME,MATCH(1,(xlRTCLENDU=1)*(xlRTCLEQCL=$D486),0))</f>
        <v>LPG_FA</v>
      </c>
      <c r="W486" s="7" t="str">
        <f t="array" ref="W486">INDEX(xlRTCLNAME,MATCH(1,(xlRTCLENDU=2)*(xlRTCLEQCL=$F486),0))</f>
        <v>CENT_AIR</v>
      </c>
      <c r="X486" s="7" t="str">
        <f t="array" ref="X486">INDEX(xlRTTYNAME,MATCH(1,(xlRTTYENDU=1)*(xlRTTYEQCL=$D486)*(xlRTEQTYPE=$E486),0))</f>
        <v>LPG_FA3</v>
      </c>
      <c r="Y486" s="7" t="str">
        <f t="array" ref="Y486">INDEX(xlRTTYNAME,MATCH(1,(xlRTTYENDU=2)*(xlRTTYEQCL=$F486)*(xlRTEQTYPE=$G486),0))</f>
        <v>CENT_AIR3</v>
      </c>
    </row>
    <row r="487" spans="2:25" x14ac:dyDescent="0.2">
      <c r="B487" s="152">
        <v>5</v>
      </c>
      <c r="C487" s="152">
        <v>1</v>
      </c>
      <c r="D487" s="152">
        <v>6</v>
      </c>
      <c r="E487" s="152">
        <v>21</v>
      </c>
      <c r="F487" s="152">
        <v>2</v>
      </c>
      <c r="G487" s="152">
        <v>6</v>
      </c>
      <c r="H487" s="152">
        <v>2029</v>
      </c>
      <c r="I487" s="152">
        <v>2032</v>
      </c>
      <c r="J487" s="229">
        <v>1.0849</v>
      </c>
      <c r="K487" s="229">
        <v>1.0471999999999999</v>
      </c>
      <c r="L487" s="229">
        <v>0.41520000000000001</v>
      </c>
      <c r="M487" s="229">
        <v>0.77729999999999999</v>
      </c>
      <c r="N487" s="229">
        <v>0.76180000000000003</v>
      </c>
      <c r="O487" s="229">
        <v>1.0538000000000001</v>
      </c>
      <c r="P487" s="155">
        <v>13109.208979098914</v>
      </c>
      <c r="Q487" s="41">
        <f t="array" ref="Q487">SUM(IF(($S487&gt;=4)*($C487='TaxCred&amp;Subs'!$D$114:$D$121)*($H487='TaxCred&amp;Subs'!$C$114:$C$121)*($H487&lt;='TaxCred&amp;Subs'!$C$123),'TaxCred&amp;Subs'!$E$114:$E$121,0))</f>
        <v>2500</v>
      </c>
      <c r="R487" s="230">
        <v>0</v>
      </c>
      <c r="S487" s="152">
        <v>4</v>
      </c>
      <c r="T487" s="152" t="s">
        <v>240</v>
      </c>
      <c r="V487" s="7" t="str">
        <f t="array" ref="V487">INDEX(xlRTCLNAME,MATCH(1,(xlRTCLENDU=1)*(xlRTCLEQCL=$D487),0))</f>
        <v>LPG_FA</v>
      </c>
      <c r="W487" s="7" t="str">
        <f t="array" ref="W487">INDEX(xlRTCLNAME,MATCH(1,(xlRTCLENDU=2)*(xlRTCLEQCL=$F487),0))</f>
        <v>CENT_AIR</v>
      </c>
      <c r="X487" s="7" t="str">
        <f t="array" ref="X487">INDEX(xlRTTYNAME,MATCH(1,(xlRTTYENDU=1)*(xlRTTYEQCL=$D487)*(xlRTEQTYPE=$E487),0))</f>
        <v>LPG_FA4</v>
      </c>
      <c r="Y487" s="7" t="str">
        <f t="array" ref="Y487">INDEX(xlRTTYNAME,MATCH(1,(xlRTTYENDU=2)*(xlRTTYEQCL=$F487)*(xlRTEQTYPE=$G487),0))</f>
        <v>CENT_AIR3</v>
      </c>
    </row>
    <row r="488" spans="2:25" x14ac:dyDescent="0.2">
      <c r="B488" s="5">
        <v>5</v>
      </c>
      <c r="C488" s="5">
        <v>1</v>
      </c>
      <c r="D488" s="5">
        <v>6</v>
      </c>
      <c r="E488" s="31">
        <v>21</v>
      </c>
      <c r="F488" s="5">
        <v>2</v>
      </c>
      <c r="G488" s="31">
        <v>6</v>
      </c>
      <c r="H488" s="5">
        <v>2033</v>
      </c>
      <c r="I488" s="5">
        <v>2050</v>
      </c>
      <c r="J488" s="142">
        <v>1.0849</v>
      </c>
      <c r="K488" s="142">
        <v>1.0471999999999999</v>
      </c>
      <c r="L488" s="142">
        <v>0.41520000000000001</v>
      </c>
      <c r="M488" s="142">
        <v>0.77729999999999999</v>
      </c>
      <c r="N488" s="142">
        <v>0.76180000000000003</v>
      </c>
      <c r="O488" s="142">
        <v>1.0538000000000001</v>
      </c>
      <c r="P488" s="26">
        <v>13109.208979098914</v>
      </c>
      <c r="Q488" s="35">
        <f t="array" ref="Q488">SUM(IF(($S488&gt;=4)*($C488='TaxCred&amp;Subs'!$D$114:$D$121)*($H488='TaxCred&amp;Subs'!$C$114:$C$121)*($H488&lt;='TaxCred&amp;Subs'!$C$123),'TaxCred&amp;Subs'!$E$114:$E$121,0))</f>
        <v>0</v>
      </c>
      <c r="R488" s="143">
        <v>0</v>
      </c>
      <c r="S488" s="5">
        <v>4</v>
      </c>
      <c r="T488" s="5" t="s">
        <v>240</v>
      </c>
      <c r="V488" s="7" t="str">
        <f t="array" ref="V488">INDEX(xlRTCLNAME,MATCH(1,(xlRTCLENDU=1)*(xlRTCLEQCL=$D488),0))</f>
        <v>LPG_FA</v>
      </c>
      <c r="W488" s="7" t="str">
        <f t="array" ref="W488">INDEX(xlRTCLNAME,MATCH(1,(xlRTCLENDU=2)*(xlRTCLEQCL=$F488),0))</f>
        <v>CENT_AIR</v>
      </c>
      <c r="X488" s="7" t="str">
        <f t="array" ref="X488">INDEX(xlRTTYNAME,MATCH(1,(xlRTTYENDU=1)*(xlRTTYEQCL=$D488)*(xlRTEQTYPE=$E488),0))</f>
        <v>LPG_FA4</v>
      </c>
      <c r="Y488" s="7" t="str">
        <f t="array" ref="Y488">INDEX(xlRTTYNAME,MATCH(1,(xlRTTYENDU=2)*(xlRTTYEQCL=$F488)*(xlRTEQTYPE=$G488),0))</f>
        <v>CENT_AIR3</v>
      </c>
    </row>
    <row r="489" spans="2:25" x14ac:dyDescent="0.2">
      <c r="B489" s="5">
        <v>6</v>
      </c>
      <c r="C489" s="5">
        <v>1</v>
      </c>
      <c r="D489" s="5">
        <v>6</v>
      </c>
      <c r="E489" s="5">
        <v>20</v>
      </c>
      <c r="F489" s="5">
        <v>2</v>
      </c>
      <c r="G489" s="31">
        <v>6</v>
      </c>
      <c r="H489" s="31">
        <v>2020</v>
      </c>
      <c r="I489" s="5">
        <v>2022</v>
      </c>
      <c r="J489" s="142">
        <v>1.0924</v>
      </c>
      <c r="K489" s="142">
        <v>1.0661</v>
      </c>
      <c r="L489" s="142">
        <v>0.57899999999999996</v>
      </c>
      <c r="M489" s="142">
        <v>0.84570000000000001</v>
      </c>
      <c r="N489" s="142">
        <v>0.89100000000000001</v>
      </c>
      <c r="O489" s="142">
        <v>1.0538000000000001</v>
      </c>
      <c r="P489" s="26">
        <v>11834.590506054219</v>
      </c>
      <c r="Q489" s="35">
        <f t="array" ref="Q489">SUM(IF(($S489&gt;=4)*($C489='TaxCred&amp;Subs'!$D$114:$D$121)*($H489='TaxCred&amp;Subs'!$C$114:$C$121)*($H489&lt;='TaxCred&amp;Subs'!$C$123),'TaxCred&amp;Subs'!$E$114:$E$121,0))</f>
        <v>2000</v>
      </c>
      <c r="R489" s="143">
        <v>0</v>
      </c>
      <c r="S489" s="5">
        <v>4</v>
      </c>
      <c r="T489" s="5" t="s">
        <v>240</v>
      </c>
      <c r="V489" s="7" t="str">
        <f t="array" ref="V489">INDEX(xlRTCLNAME,MATCH(1,(xlRTCLENDU=1)*(xlRTCLEQCL=$D489),0))</f>
        <v>LPG_FA</v>
      </c>
      <c r="W489" s="7" t="str">
        <f t="array" ref="W489">INDEX(xlRTCLNAME,MATCH(1,(xlRTCLENDU=2)*(xlRTCLEQCL=$F489),0))</f>
        <v>CENT_AIR</v>
      </c>
      <c r="X489" s="7" t="str">
        <f t="array" ref="X489">INDEX(xlRTTYNAME,MATCH(1,(xlRTTYENDU=1)*(xlRTTYEQCL=$D489)*(xlRTEQTYPE=$E489),0))</f>
        <v>LPG_FA3</v>
      </c>
      <c r="Y489" s="7" t="str">
        <f t="array" ref="Y489">INDEX(xlRTTYNAME,MATCH(1,(xlRTTYENDU=2)*(xlRTTYEQCL=$F489)*(xlRTEQTYPE=$G489),0))</f>
        <v>CENT_AIR3</v>
      </c>
    </row>
    <row r="490" spans="2:25" x14ac:dyDescent="0.2">
      <c r="B490" s="5">
        <v>6</v>
      </c>
      <c r="C490" s="5">
        <v>1</v>
      </c>
      <c r="D490" s="5">
        <v>6</v>
      </c>
      <c r="E490" s="5">
        <v>20</v>
      </c>
      <c r="F490" s="5">
        <v>2</v>
      </c>
      <c r="G490" s="31">
        <v>6</v>
      </c>
      <c r="H490" s="5">
        <v>2023</v>
      </c>
      <c r="I490" s="31">
        <v>2028</v>
      </c>
      <c r="J490" s="142">
        <v>1.0924</v>
      </c>
      <c r="K490" s="142">
        <v>1.0661</v>
      </c>
      <c r="L490" s="142">
        <v>0.57899999999999996</v>
      </c>
      <c r="M490" s="142">
        <v>0.84570000000000001</v>
      </c>
      <c r="N490" s="142">
        <v>0.89100000000000001</v>
      </c>
      <c r="O490" s="142">
        <v>1.0538000000000001</v>
      </c>
      <c r="P490" s="26">
        <v>11834.590506054219</v>
      </c>
      <c r="Q490" s="35">
        <f t="array" ref="Q490">SUM(IF(($S490&gt;=4)*($C490='TaxCred&amp;Subs'!$D$114:$D$121)*($H490='TaxCred&amp;Subs'!$C$114:$C$121)*($H490&lt;='TaxCred&amp;Subs'!$C$123),'TaxCred&amp;Subs'!$E$114:$E$121,0))</f>
        <v>2500</v>
      </c>
      <c r="R490" s="143">
        <v>0</v>
      </c>
      <c r="S490" s="5">
        <v>4</v>
      </c>
      <c r="T490" s="5" t="s">
        <v>240</v>
      </c>
      <c r="V490" s="7" t="str">
        <f t="array" ref="V490">INDEX(xlRTCLNAME,MATCH(1,(xlRTCLENDU=1)*(xlRTCLEQCL=$D490),0))</f>
        <v>LPG_FA</v>
      </c>
      <c r="W490" s="7" t="str">
        <f t="array" ref="W490">INDEX(xlRTCLNAME,MATCH(1,(xlRTCLENDU=2)*(xlRTCLEQCL=$F490),0))</f>
        <v>CENT_AIR</v>
      </c>
      <c r="X490" s="7" t="str">
        <f t="array" ref="X490">INDEX(xlRTTYNAME,MATCH(1,(xlRTTYENDU=1)*(xlRTTYEQCL=$D490)*(xlRTEQTYPE=$E490),0))</f>
        <v>LPG_FA3</v>
      </c>
      <c r="Y490" s="7" t="str">
        <f t="array" ref="Y490">INDEX(xlRTTYNAME,MATCH(1,(xlRTTYENDU=2)*(xlRTTYEQCL=$F490)*(xlRTEQTYPE=$G490),0))</f>
        <v>CENT_AIR3</v>
      </c>
    </row>
    <row r="491" spans="2:25" x14ac:dyDescent="0.2">
      <c r="B491" s="152">
        <v>6</v>
      </c>
      <c r="C491" s="152">
        <v>1</v>
      </c>
      <c r="D491" s="152">
        <v>6</v>
      </c>
      <c r="E491" s="152">
        <v>21</v>
      </c>
      <c r="F491" s="152">
        <v>2</v>
      </c>
      <c r="G491" s="152">
        <v>6</v>
      </c>
      <c r="H491" s="152">
        <v>2029</v>
      </c>
      <c r="I491" s="152">
        <v>2032</v>
      </c>
      <c r="J491" s="229">
        <v>1.0924</v>
      </c>
      <c r="K491" s="229">
        <v>1.0661</v>
      </c>
      <c r="L491" s="229">
        <v>0.57899999999999996</v>
      </c>
      <c r="M491" s="229">
        <v>0.84570000000000001</v>
      </c>
      <c r="N491" s="229">
        <v>0.89100000000000001</v>
      </c>
      <c r="O491" s="229">
        <v>1.0538000000000001</v>
      </c>
      <c r="P491" s="155">
        <v>11834.590506054219</v>
      </c>
      <c r="Q491" s="41">
        <f t="array" ref="Q491">SUM(IF(($S491&gt;=4)*($C491='TaxCred&amp;Subs'!$D$114:$D$121)*($H491='TaxCred&amp;Subs'!$C$114:$C$121)*($H491&lt;='TaxCred&amp;Subs'!$C$123),'TaxCred&amp;Subs'!$E$114:$E$121,0))</f>
        <v>2500</v>
      </c>
      <c r="R491" s="230">
        <v>0</v>
      </c>
      <c r="S491" s="152">
        <v>4</v>
      </c>
      <c r="T491" s="152" t="s">
        <v>240</v>
      </c>
      <c r="V491" s="7" t="str">
        <f t="array" ref="V491">INDEX(xlRTCLNAME,MATCH(1,(xlRTCLENDU=1)*(xlRTCLEQCL=$D491),0))</f>
        <v>LPG_FA</v>
      </c>
      <c r="W491" s="7" t="str">
        <f t="array" ref="W491">INDEX(xlRTCLNAME,MATCH(1,(xlRTCLENDU=2)*(xlRTCLEQCL=$F491),0))</f>
        <v>CENT_AIR</v>
      </c>
      <c r="X491" s="7" t="str">
        <f t="array" ref="X491">INDEX(xlRTTYNAME,MATCH(1,(xlRTTYENDU=1)*(xlRTTYEQCL=$D491)*(xlRTEQTYPE=$E491),0))</f>
        <v>LPG_FA4</v>
      </c>
      <c r="Y491" s="7" t="str">
        <f t="array" ref="Y491">INDEX(xlRTTYNAME,MATCH(1,(xlRTTYENDU=2)*(xlRTTYEQCL=$F491)*(xlRTEQTYPE=$G491),0))</f>
        <v>CENT_AIR3</v>
      </c>
    </row>
    <row r="492" spans="2:25" x14ac:dyDescent="0.2">
      <c r="B492" s="5">
        <v>6</v>
      </c>
      <c r="C492" s="5">
        <v>1</v>
      </c>
      <c r="D492" s="5">
        <v>6</v>
      </c>
      <c r="E492" s="31">
        <v>21</v>
      </c>
      <c r="F492" s="5">
        <v>2</v>
      </c>
      <c r="G492" s="31">
        <v>6</v>
      </c>
      <c r="H492" s="5">
        <v>2033</v>
      </c>
      <c r="I492" s="5">
        <v>2050</v>
      </c>
      <c r="J492" s="142">
        <v>1.0924</v>
      </c>
      <c r="K492" s="142">
        <v>1.0661</v>
      </c>
      <c r="L492" s="142">
        <v>0.57899999999999996</v>
      </c>
      <c r="M492" s="142">
        <v>0.84570000000000001</v>
      </c>
      <c r="N492" s="142">
        <v>0.89100000000000001</v>
      </c>
      <c r="O492" s="142">
        <v>1.0538000000000001</v>
      </c>
      <c r="P492" s="26">
        <v>11834.590506054219</v>
      </c>
      <c r="Q492" s="35">
        <f t="array" ref="Q492">SUM(IF(($S492&gt;=4)*($C492='TaxCred&amp;Subs'!$D$114:$D$121)*($H492='TaxCred&amp;Subs'!$C$114:$C$121)*($H492&lt;='TaxCred&amp;Subs'!$C$123),'TaxCred&amp;Subs'!$E$114:$E$121,0))</f>
        <v>0</v>
      </c>
      <c r="R492" s="143">
        <v>0</v>
      </c>
      <c r="S492" s="5">
        <v>4</v>
      </c>
      <c r="T492" s="5" t="s">
        <v>240</v>
      </c>
      <c r="V492" s="7" t="str">
        <f t="array" ref="V492">INDEX(xlRTCLNAME,MATCH(1,(xlRTCLENDU=1)*(xlRTCLEQCL=$D492),0))</f>
        <v>LPG_FA</v>
      </c>
      <c r="W492" s="7" t="str">
        <f t="array" ref="W492">INDEX(xlRTCLNAME,MATCH(1,(xlRTCLENDU=2)*(xlRTCLEQCL=$F492),0))</f>
        <v>CENT_AIR</v>
      </c>
      <c r="X492" s="7" t="str">
        <f t="array" ref="X492">INDEX(xlRTTYNAME,MATCH(1,(xlRTTYENDU=1)*(xlRTTYEQCL=$D492)*(xlRTEQTYPE=$E492),0))</f>
        <v>LPG_FA4</v>
      </c>
      <c r="Y492" s="7" t="str">
        <f t="array" ref="Y492">INDEX(xlRTTYNAME,MATCH(1,(xlRTTYENDU=2)*(xlRTTYEQCL=$F492)*(xlRTEQTYPE=$G492),0))</f>
        <v>CENT_AIR3</v>
      </c>
    </row>
    <row r="493" spans="2:25" x14ac:dyDescent="0.2">
      <c r="B493" s="5">
        <v>7</v>
      </c>
      <c r="C493" s="5">
        <v>1</v>
      </c>
      <c r="D493" s="5">
        <v>6</v>
      </c>
      <c r="E493" s="5">
        <v>20</v>
      </c>
      <c r="F493" s="5">
        <v>2</v>
      </c>
      <c r="G493" s="31">
        <v>6</v>
      </c>
      <c r="H493" s="31">
        <v>2020</v>
      </c>
      <c r="I493" s="5">
        <v>2022</v>
      </c>
      <c r="J493" s="142">
        <v>1.0905</v>
      </c>
      <c r="K493" s="142">
        <v>1.0562</v>
      </c>
      <c r="L493" s="142">
        <v>0.48959999999999998</v>
      </c>
      <c r="M493" s="142">
        <v>0.70569999999999999</v>
      </c>
      <c r="N493" s="142">
        <v>0.87180000000000002</v>
      </c>
      <c r="O493" s="142">
        <v>1.0538000000000001</v>
      </c>
      <c r="P493" s="26">
        <v>13115.931650370245</v>
      </c>
      <c r="Q493" s="35">
        <f t="array" ref="Q493">SUM(IF(($S493&gt;=4)*($C493='TaxCred&amp;Subs'!$D$114:$D$121)*($H493='TaxCred&amp;Subs'!$C$114:$C$121)*($H493&lt;='TaxCred&amp;Subs'!$C$123),'TaxCred&amp;Subs'!$E$114:$E$121,0))</f>
        <v>2000</v>
      </c>
      <c r="R493" s="143">
        <v>0</v>
      </c>
      <c r="S493" s="5">
        <v>4</v>
      </c>
      <c r="T493" s="5" t="s">
        <v>240</v>
      </c>
      <c r="V493" s="7" t="str">
        <f t="array" ref="V493">INDEX(xlRTCLNAME,MATCH(1,(xlRTCLENDU=1)*(xlRTCLEQCL=$D493),0))</f>
        <v>LPG_FA</v>
      </c>
      <c r="W493" s="7" t="str">
        <f t="array" ref="W493">INDEX(xlRTCLNAME,MATCH(1,(xlRTCLENDU=2)*(xlRTCLEQCL=$F493),0))</f>
        <v>CENT_AIR</v>
      </c>
      <c r="X493" s="7" t="str">
        <f t="array" ref="X493">INDEX(xlRTTYNAME,MATCH(1,(xlRTTYENDU=1)*(xlRTTYEQCL=$D493)*(xlRTEQTYPE=$E493),0))</f>
        <v>LPG_FA3</v>
      </c>
      <c r="Y493" s="7" t="str">
        <f t="array" ref="Y493">INDEX(xlRTTYNAME,MATCH(1,(xlRTTYENDU=2)*(xlRTTYEQCL=$F493)*(xlRTEQTYPE=$G493),0))</f>
        <v>CENT_AIR3</v>
      </c>
    </row>
    <row r="494" spans="2:25" x14ac:dyDescent="0.2">
      <c r="B494" s="5">
        <v>7</v>
      </c>
      <c r="C494" s="5">
        <v>1</v>
      </c>
      <c r="D494" s="5">
        <v>6</v>
      </c>
      <c r="E494" s="5">
        <v>20</v>
      </c>
      <c r="F494" s="5">
        <v>2</v>
      </c>
      <c r="G494" s="31">
        <v>6</v>
      </c>
      <c r="H494" s="5">
        <v>2023</v>
      </c>
      <c r="I494" s="31">
        <v>2028</v>
      </c>
      <c r="J494" s="142">
        <v>1.0905</v>
      </c>
      <c r="K494" s="142">
        <v>1.0562</v>
      </c>
      <c r="L494" s="142">
        <v>0.48959999999999998</v>
      </c>
      <c r="M494" s="142">
        <v>0.70569999999999999</v>
      </c>
      <c r="N494" s="142">
        <v>0.87180000000000002</v>
      </c>
      <c r="O494" s="142">
        <v>1.0538000000000001</v>
      </c>
      <c r="P494" s="26">
        <v>13115.931650370245</v>
      </c>
      <c r="Q494" s="35">
        <f t="array" ref="Q494">SUM(IF(($S494&gt;=4)*($C494='TaxCred&amp;Subs'!$D$114:$D$121)*($H494='TaxCred&amp;Subs'!$C$114:$C$121)*($H494&lt;='TaxCred&amp;Subs'!$C$123),'TaxCred&amp;Subs'!$E$114:$E$121,0))</f>
        <v>2500</v>
      </c>
      <c r="R494" s="143">
        <v>0</v>
      </c>
      <c r="S494" s="5">
        <v>4</v>
      </c>
      <c r="T494" s="5" t="s">
        <v>240</v>
      </c>
      <c r="V494" s="7" t="str">
        <f t="array" ref="V494">INDEX(xlRTCLNAME,MATCH(1,(xlRTCLENDU=1)*(xlRTCLEQCL=$D494),0))</f>
        <v>LPG_FA</v>
      </c>
      <c r="W494" s="7" t="str">
        <f t="array" ref="W494">INDEX(xlRTCLNAME,MATCH(1,(xlRTCLENDU=2)*(xlRTCLEQCL=$F494),0))</f>
        <v>CENT_AIR</v>
      </c>
      <c r="X494" s="7" t="str">
        <f t="array" ref="X494">INDEX(xlRTTYNAME,MATCH(1,(xlRTTYENDU=1)*(xlRTTYEQCL=$D494)*(xlRTEQTYPE=$E494),0))</f>
        <v>LPG_FA3</v>
      </c>
      <c r="Y494" s="7" t="str">
        <f t="array" ref="Y494">INDEX(xlRTTYNAME,MATCH(1,(xlRTTYENDU=2)*(xlRTTYEQCL=$F494)*(xlRTEQTYPE=$G494),0))</f>
        <v>CENT_AIR3</v>
      </c>
    </row>
    <row r="495" spans="2:25" x14ac:dyDescent="0.2">
      <c r="B495" s="152">
        <v>7</v>
      </c>
      <c r="C495" s="152">
        <v>1</v>
      </c>
      <c r="D495" s="152">
        <v>6</v>
      </c>
      <c r="E495" s="152">
        <v>21</v>
      </c>
      <c r="F495" s="152">
        <v>2</v>
      </c>
      <c r="G495" s="152">
        <v>6</v>
      </c>
      <c r="H495" s="152">
        <v>2029</v>
      </c>
      <c r="I495" s="152">
        <v>2032</v>
      </c>
      <c r="J495" s="229">
        <v>1.0905</v>
      </c>
      <c r="K495" s="229">
        <v>1.0562</v>
      </c>
      <c r="L495" s="229">
        <v>0.48959999999999998</v>
      </c>
      <c r="M495" s="229">
        <v>0.70569999999999999</v>
      </c>
      <c r="N495" s="229">
        <v>0.87180000000000002</v>
      </c>
      <c r="O495" s="229">
        <v>1.0538000000000001</v>
      </c>
      <c r="P495" s="155">
        <v>13115.931650370245</v>
      </c>
      <c r="Q495" s="41">
        <f t="array" ref="Q495">SUM(IF(($S495&gt;=4)*($C495='TaxCred&amp;Subs'!$D$114:$D$121)*($H495='TaxCred&amp;Subs'!$C$114:$C$121)*($H495&lt;='TaxCred&amp;Subs'!$C$123),'TaxCred&amp;Subs'!$E$114:$E$121,0))</f>
        <v>2500</v>
      </c>
      <c r="R495" s="230">
        <v>0</v>
      </c>
      <c r="S495" s="152">
        <v>4</v>
      </c>
      <c r="T495" s="152" t="s">
        <v>240</v>
      </c>
      <c r="V495" s="7" t="str">
        <f t="array" ref="V495">INDEX(xlRTCLNAME,MATCH(1,(xlRTCLENDU=1)*(xlRTCLEQCL=$D495),0))</f>
        <v>LPG_FA</v>
      </c>
      <c r="W495" s="7" t="str">
        <f t="array" ref="W495">INDEX(xlRTCLNAME,MATCH(1,(xlRTCLENDU=2)*(xlRTCLEQCL=$F495),0))</f>
        <v>CENT_AIR</v>
      </c>
      <c r="X495" s="7" t="str">
        <f t="array" ref="X495">INDEX(xlRTTYNAME,MATCH(1,(xlRTTYENDU=1)*(xlRTTYEQCL=$D495)*(xlRTEQTYPE=$E495),0))</f>
        <v>LPG_FA4</v>
      </c>
      <c r="Y495" s="7" t="str">
        <f t="array" ref="Y495">INDEX(xlRTTYNAME,MATCH(1,(xlRTTYENDU=2)*(xlRTTYEQCL=$F495)*(xlRTEQTYPE=$G495),0))</f>
        <v>CENT_AIR3</v>
      </c>
    </row>
    <row r="496" spans="2:25" x14ac:dyDescent="0.2">
      <c r="B496" s="5">
        <v>7</v>
      </c>
      <c r="C496" s="5">
        <v>1</v>
      </c>
      <c r="D496" s="5">
        <v>6</v>
      </c>
      <c r="E496" s="31">
        <v>21</v>
      </c>
      <c r="F496" s="5">
        <v>2</v>
      </c>
      <c r="G496" s="31">
        <v>6</v>
      </c>
      <c r="H496" s="5">
        <v>2033</v>
      </c>
      <c r="I496" s="5">
        <v>2050</v>
      </c>
      <c r="J496" s="142">
        <v>1.0905</v>
      </c>
      <c r="K496" s="142">
        <v>1.0562</v>
      </c>
      <c r="L496" s="142">
        <v>0.48959999999999998</v>
      </c>
      <c r="M496" s="142">
        <v>0.70569999999999999</v>
      </c>
      <c r="N496" s="142">
        <v>0.87180000000000002</v>
      </c>
      <c r="O496" s="142">
        <v>1.0538000000000001</v>
      </c>
      <c r="P496" s="26">
        <v>13115.931650370245</v>
      </c>
      <c r="Q496" s="35">
        <f t="array" ref="Q496">SUM(IF(($S496&gt;=4)*($C496='TaxCred&amp;Subs'!$D$114:$D$121)*($H496='TaxCred&amp;Subs'!$C$114:$C$121)*($H496&lt;='TaxCred&amp;Subs'!$C$123),'TaxCred&amp;Subs'!$E$114:$E$121,0))</f>
        <v>0</v>
      </c>
      <c r="R496" s="143">
        <v>0</v>
      </c>
      <c r="S496" s="5">
        <v>4</v>
      </c>
      <c r="T496" s="5" t="s">
        <v>240</v>
      </c>
      <c r="V496" s="7" t="str">
        <f t="array" ref="V496">INDEX(xlRTCLNAME,MATCH(1,(xlRTCLENDU=1)*(xlRTCLEQCL=$D496),0))</f>
        <v>LPG_FA</v>
      </c>
      <c r="W496" s="7" t="str">
        <f t="array" ref="W496">INDEX(xlRTCLNAME,MATCH(1,(xlRTCLENDU=2)*(xlRTCLEQCL=$F496),0))</f>
        <v>CENT_AIR</v>
      </c>
      <c r="X496" s="7" t="str">
        <f t="array" ref="X496">INDEX(xlRTTYNAME,MATCH(1,(xlRTTYENDU=1)*(xlRTTYEQCL=$D496)*(xlRTEQTYPE=$E496),0))</f>
        <v>LPG_FA4</v>
      </c>
      <c r="Y496" s="7" t="str">
        <f t="array" ref="Y496">INDEX(xlRTTYNAME,MATCH(1,(xlRTTYENDU=2)*(xlRTTYEQCL=$F496)*(xlRTEQTYPE=$G496),0))</f>
        <v>CENT_AIR3</v>
      </c>
    </row>
    <row r="497" spans="2:25" x14ac:dyDescent="0.2">
      <c r="B497" s="5">
        <v>8</v>
      </c>
      <c r="C497" s="5">
        <v>1</v>
      </c>
      <c r="D497" s="5">
        <v>6</v>
      </c>
      <c r="E497" s="5">
        <v>20</v>
      </c>
      <c r="F497" s="5">
        <v>2</v>
      </c>
      <c r="G497" s="31">
        <v>6</v>
      </c>
      <c r="H497" s="31">
        <v>2020</v>
      </c>
      <c r="I497" s="5">
        <v>2022</v>
      </c>
      <c r="J497" s="142">
        <v>1.0801000000000001</v>
      </c>
      <c r="K497" s="142">
        <v>1.0822000000000001</v>
      </c>
      <c r="L497" s="142">
        <v>0.44240000000000002</v>
      </c>
      <c r="M497" s="142">
        <v>0.77290000000000003</v>
      </c>
      <c r="N497" s="142">
        <v>0.86950000000000005</v>
      </c>
      <c r="O497" s="142">
        <v>1.0538000000000001</v>
      </c>
      <c r="P497" s="26">
        <v>16260.797271099718</v>
      </c>
      <c r="Q497" s="35">
        <f t="array" ref="Q497">SUM(IF(($S497&gt;=4)*($C497='TaxCred&amp;Subs'!$D$114:$D$121)*($H497='TaxCred&amp;Subs'!$C$114:$C$121)*($H497&lt;='TaxCred&amp;Subs'!$C$123),'TaxCred&amp;Subs'!$E$114:$E$121,0))</f>
        <v>2000</v>
      </c>
      <c r="R497" s="143">
        <v>0</v>
      </c>
      <c r="S497" s="5">
        <v>4</v>
      </c>
      <c r="T497" s="5" t="s">
        <v>240</v>
      </c>
      <c r="V497" s="7" t="str">
        <f t="array" ref="V497">INDEX(xlRTCLNAME,MATCH(1,(xlRTCLENDU=1)*(xlRTCLEQCL=$D497),0))</f>
        <v>LPG_FA</v>
      </c>
      <c r="W497" s="7" t="str">
        <f t="array" ref="W497">INDEX(xlRTCLNAME,MATCH(1,(xlRTCLENDU=2)*(xlRTCLEQCL=$F497),0))</f>
        <v>CENT_AIR</v>
      </c>
      <c r="X497" s="7" t="str">
        <f t="array" ref="X497">INDEX(xlRTTYNAME,MATCH(1,(xlRTTYENDU=1)*(xlRTTYEQCL=$D497)*(xlRTEQTYPE=$E497),0))</f>
        <v>LPG_FA3</v>
      </c>
      <c r="Y497" s="7" t="str">
        <f t="array" ref="Y497">INDEX(xlRTTYNAME,MATCH(1,(xlRTTYENDU=2)*(xlRTTYEQCL=$F497)*(xlRTEQTYPE=$G497),0))</f>
        <v>CENT_AIR3</v>
      </c>
    </row>
    <row r="498" spans="2:25" x14ac:dyDescent="0.2">
      <c r="B498" s="5">
        <v>8</v>
      </c>
      <c r="C498" s="5">
        <v>1</v>
      </c>
      <c r="D498" s="5">
        <v>6</v>
      </c>
      <c r="E498" s="5">
        <v>20</v>
      </c>
      <c r="F498" s="5">
        <v>2</v>
      </c>
      <c r="G498" s="31">
        <v>6</v>
      </c>
      <c r="H498" s="5">
        <v>2023</v>
      </c>
      <c r="I498" s="31">
        <v>2028</v>
      </c>
      <c r="J498" s="142">
        <v>1.0801000000000001</v>
      </c>
      <c r="K498" s="142">
        <v>1.0822000000000001</v>
      </c>
      <c r="L498" s="142">
        <v>0.44240000000000002</v>
      </c>
      <c r="M498" s="142">
        <v>0.77290000000000003</v>
      </c>
      <c r="N498" s="142">
        <v>0.86950000000000005</v>
      </c>
      <c r="O498" s="142">
        <v>1.0538000000000001</v>
      </c>
      <c r="P498" s="26">
        <v>16260.797271099718</v>
      </c>
      <c r="Q498" s="35">
        <f t="array" ref="Q498">SUM(IF(($S498&gt;=4)*($C498='TaxCred&amp;Subs'!$D$114:$D$121)*($H498='TaxCred&amp;Subs'!$C$114:$C$121)*($H498&lt;='TaxCred&amp;Subs'!$C$123),'TaxCred&amp;Subs'!$E$114:$E$121,0))</f>
        <v>2500</v>
      </c>
      <c r="R498" s="143">
        <v>0</v>
      </c>
      <c r="S498" s="5">
        <v>4</v>
      </c>
      <c r="T498" s="5" t="s">
        <v>240</v>
      </c>
      <c r="V498" s="7" t="str">
        <f t="array" ref="V498">INDEX(xlRTCLNAME,MATCH(1,(xlRTCLENDU=1)*(xlRTCLEQCL=$D498),0))</f>
        <v>LPG_FA</v>
      </c>
      <c r="W498" s="7" t="str">
        <f t="array" ref="W498">INDEX(xlRTCLNAME,MATCH(1,(xlRTCLENDU=2)*(xlRTCLEQCL=$F498),0))</f>
        <v>CENT_AIR</v>
      </c>
      <c r="X498" s="7" t="str">
        <f t="array" ref="X498">INDEX(xlRTTYNAME,MATCH(1,(xlRTTYENDU=1)*(xlRTTYEQCL=$D498)*(xlRTEQTYPE=$E498),0))</f>
        <v>LPG_FA3</v>
      </c>
      <c r="Y498" s="7" t="str">
        <f t="array" ref="Y498">INDEX(xlRTTYNAME,MATCH(1,(xlRTTYENDU=2)*(xlRTTYEQCL=$F498)*(xlRTEQTYPE=$G498),0))</f>
        <v>CENT_AIR3</v>
      </c>
    </row>
    <row r="499" spans="2:25" x14ac:dyDescent="0.2">
      <c r="B499" s="152">
        <v>8</v>
      </c>
      <c r="C499" s="152">
        <v>1</v>
      </c>
      <c r="D499" s="152">
        <v>6</v>
      </c>
      <c r="E499" s="152">
        <v>21</v>
      </c>
      <c r="F499" s="152">
        <v>2</v>
      </c>
      <c r="G499" s="152">
        <v>6</v>
      </c>
      <c r="H499" s="152">
        <v>2029</v>
      </c>
      <c r="I499" s="152">
        <v>2032</v>
      </c>
      <c r="J499" s="229">
        <v>1.0801000000000001</v>
      </c>
      <c r="K499" s="229">
        <v>1.0822000000000001</v>
      </c>
      <c r="L499" s="229">
        <v>0.44240000000000002</v>
      </c>
      <c r="M499" s="229">
        <v>0.77290000000000003</v>
      </c>
      <c r="N499" s="229">
        <v>0.86950000000000005</v>
      </c>
      <c r="O499" s="229">
        <v>1.0538000000000001</v>
      </c>
      <c r="P499" s="155">
        <v>16260.797271099718</v>
      </c>
      <c r="Q499" s="41">
        <f t="array" ref="Q499">SUM(IF(($S499&gt;=4)*($C499='TaxCred&amp;Subs'!$D$114:$D$121)*($H499='TaxCred&amp;Subs'!$C$114:$C$121)*($H499&lt;='TaxCred&amp;Subs'!$C$123),'TaxCred&amp;Subs'!$E$114:$E$121,0))</f>
        <v>2500</v>
      </c>
      <c r="R499" s="230">
        <v>0</v>
      </c>
      <c r="S499" s="152">
        <v>4</v>
      </c>
      <c r="T499" s="152" t="s">
        <v>240</v>
      </c>
      <c r="V499" s="7" t="str">
        <f t="array" ref="V499">INDEX(xlRTCLNAME,MATCH(1,(xlRTCLENDU=1)*(xlRTCLEQCL=$D499),0))</f>
        <v>LPG_FA</v>
      </c>
      <c r="W499" s="7" t="str">
        <f t="array" ref="W499">INDEX(xlRTCLNAME,MATCH(1,(xlRTCLENDU=2)*(xlRTCLEQCL=$F499),0))</f>
        <v>CENT_AIR</v>
      </c>
      <c r="X499" s="7" t="str">
        <f t="array" ref="X499">INDEX(xlRTTYNAME,MATCH(1,(xlRTTYENDU=1)*(xlRTTYEQCL=$D499)*(xlRTEQTYPE=$E499),0))</f>
        <v>LPG_FA4</v>
      </c>
      <c r="Y499" s="7" t="str">
        <f t="array" ref="Y499">INDEX(xlRTTYNAME,MATCH(1,(xlRTTYENDU=2)*(xlRTTYEQCL=$F499)*(xlRTEQTYPE=$G499),0))</f>
        <v>CENT_AIR3</v>
      </c>
    </row>
    <row r="500" spans="2:25" x14ac:dyDescent="0.2">
      <c r="B500" s="5">
        <v>8</v>
      </c>
      <c r="C500" s="5">
        <v>1</v>
      </c>
      <c r="D500" s="5">
        <v>6</v>
      </c>
      <c r="E500" s="31">
        <v>21</v>
      </c>
      <c r="F500" s="5">
        <v>2</v>
      </c>
      <c r="G500" s="31">
        <v>6</v>
      </c>
      <c r="H500" s="5">
        <v>2033</v>
      </c>
      <c r="I500" s="5">
        <v>2050</v>
      </c>
      <c r="J500" s="142">
        <v>1.0801000000000001</v>
      </c>
      <c r="K500" s="142">
        <v>1.0822000000000001</v>
      </c>
      <c r="L500" s="142">
        <v>0.44240000000000002</v>
      </c>
      <c r="M500" s="142">
        <v>0.77290000000000003</v>
      </c>
      <c r="N500" s="142">
        <v>0.86950000000000005</v>
      </c>
      <c r="O500" s="142">
        <v>1.0538000000000001</v>
      </c>
      <c r="P500" s="26">
        <v>16260.797271099718</v>
      </c>
      <c r="Q500" s="35">
        <f t="array" ref="Q500">SUM(IF(($S500&gt;=4)*($C500='TaxCred&amp;Subs'!$D$114:$D$121)*($H500='TaxCred&amp;Subs'!$C$114:$C$121)*($H500&lt;='TaxCred&amp;Subs'!$C$123),'TaxCred&amp;Subs'!$E$114:$E$121,0))</f>
        <v>0</v>
      </c>
      <c r="R500" s="143">
        <v>0</v>
      </c>
      <c r="S500" s="5">
        <v>4</v>
      </c>
      <c r="T500" s="5" t="s">
        <v>240</v>
      </c>
      <c r="V500" s="7" t="str">
        <f t="array" ref="V500">INDEX(xlRTCLNAME,MATCH(1,(xlRTCLENDU=1)*(xlRTCLEQCL=$D500),0))</f>
        <v>LPG_FA</v>
      </c>
      <c r="W500" s="7" t="str">
        <f t="array" ref="W500">INDEX(xlRTCLNAME,MATCH(1,(xlRTCLENDU=2)*(xlRTCLEQCL=$F500),0))</f>
        <v>CENT_AIR</v>
      </c>
      <c r="X500" s="7" t="str">
        <f t="array" ref="X500">INDEX(xlRTTYNAME,MATCH(1,(xlRTTYENDU=1)*(xlRTTYEQCL=$D500)*(xlRTEQTYPE=$E500),0))</f>
        <v>LPG_FA4</v>
      </c>
      <c r="Y500" s="7" t="str">
        <f t="array" ref="Y500">INDEX(xlRTTYNAME,MATCH(1,(xlRTTYENDU=2)*(xlRTTYEQCL=$F500)*(xlRTEQTYPE=$G500),0))</f>
        <v>CENT_AIR3</v>
      </c>
    </row>
    <row r="501" spans="2:25" x14ac:dyDescent="0.2">
      <c r="B501" s="5">
        <v>9</v>
      </c>
      <c r="C501" s="5">
        <v>1</v>
      </c>
      <c r="D501" s="5">
        <v>6</v>
      </c>
      <c r="E501" s="5">
        <v>20</v>
      </c>
      <c r="F501" s="5">
        <v>2</v>
      </c>
      <c r="G501" s="31">
        <v>6</v>
      </c>
      <c r="H501" s="31">
        <v>2020</v>
      </c>
      <c r="I501" s="5">
        <v>2022</v>
      </c>
      <c r="J501" s="142">
        <v>1.0781000000000001</v>
      </c>
      <c r="K501" s="142">
        <v>1.0707</v>
      </c>
      <c r="L501" s="142">
        <v>0.55130000000000001</v>
      </c>
      <c r="M501" s="142">
        <v>0.82869999999999999</v>
      </c>
      <c r="N501" s="142">
        <v>1.0339</v>
      </c>
      <c r="O501" s="142">
        <v>1.0538000000000001</v>
      </c>
      <c r="P501" s="26">
        <v>16965.333220335393</v>
      </c>
      <c r="Q501" s="35">
        <f t="array" ref="Q501">SUM(IF(($S501&gt;=4)*($C501='TaxCred&amp;Subs'!$D$114:$D$121)*($H501='TaxCred&amp;Subs'!$C$114:$C$121)*($H501&lt;='TaxCred&amp;Subs'!$C$123),'TaxCred&amp;Subs'!$E$114:$E$121,0))</f>
        <v>2000</v>
      </c>
      <c r="R501" s="143">
        <v>0</v>
      </c>
      <c r="S501" s="5">
        <v>4</v>
      </c>
      <c r="T501" s="5" t="s">
        <v>240</v>
      </c>
      <c r="V501" s="7" t="str">
        <f t="array" ref="V501">INDEX(xlRTCLNAME,MATCH(1,(xlRTCLENDU=1)*(xlRTCLEQCL=$D501),0))</f>
        <v>LPG_FA</v>
      </c>
      <c r="W501" s="7" t="str">
        <f t="array" ref="W501">INDEX(xlRTCLNAME,MATCH(1,(xlRTCLENDU=2)*(xlRTCLEQCL=$F501),0))</f>
        <v>CENT_AIR</v>
      </c>
      <c r="X501" s="7" t="str">
        <f t="array" ref="X501">INDEX(xlRTTYNAME,MATCH(1,(xlRTTYENDU=1)*(xlRTTYEQCL=$D501)*(xlRTEQTYPE=$E501),0))</f>
        <v>LPG_FA3</v>
      </c>
      <c r="Y501" s="7" t="str">
        <f t="array" ref="Y501">INDEX(xlRTTYNAME,MATCH(1,(xlRTTYENDU=2)*(xlRTTYEQCL=$F501)*(xlRTEQTYPE=$G501),0))</f>
        <v>CENT_AIR3</v>
      </c>
    </row>
    <row r="502" spans="2:25" x14ac:dyDescent="0.2">
      <c r="B502" s="5">
        <v>9</v>
      </c>
      <c r="C502" s="5">
        <v>1</v>
      </c>
      <c r="D502" s="5">
        <v>6</v>
      </c>
      <c r="E502" s="5">
        <v>20</v>
      </c>
      <c r="F502" s="5">
        <v>2</v>
      </c>
      <c r="G502" s="31">
        <v>6</v>
      </c>
      <c r="H502" s="5">
        <v>2023</v>
      </c>
      <c r="I502" s="31">
        <v>2028</v>
      </c>
      <c r="J502" s="142">
        <v>1.0781000000000001</v>
      </c>
      <c r="K502" s="142">
        <v>1.0707</v>
      </c>
      <c r="L502" s="142">
        <v>0.55130000000000001</v>
      </c>
      <c r="M502" s="142">
        <v>0.82869999999999999</v>
      </c>
      <c r="N502" s="142">
        <v>1.0339</v>
      </c>
      <c r="O502" s="142">
        <v>1.0538000000000001</v>
      </c>
      <c r="P502" s="26">
        <v>16965.333220335393</v>
      </c>
      <c r="Q502" s="35">
        <f t="array" ref="Q502">SUM(IF(($S502&gt;=4)*($C502='TaxCred&amp;Subs'!$D$114:$D$121)*($H502='TaxCred&amp;Subs'!$C$114:$C$121)*($H502&lt;='TaxCred&amp;Subs'!$C$123),'TaxCred&amp;Subs'!$E$114:$E$121,0))</f>
        <v>2500</v>
      </c>
      <c r="R502" s="143">
        <v>0</v>
      </c>
      <c r="S502" s="5">
        <v>4</v>
      </c>
      <c r="T502" s="5" t="s">
        <v>240</v>
      </c>
      <c r="V502" s="7" t="str">
        <f t="array" ref="V502">INDEX(xlRTCLNAME,MATCH(1,(xlRTCLENDU=1)*(xlRTCLEQCL=$D502),0))</f>
        <v>LPG_FA</v>
      </c>
      <c r="W502" s="7" t="str">
        <f t="array" ref="W502">INDEX(xlRTCLNAME,MATCH(1,(xlRTCLENDU=2)*(xlRTCLEQCL=$F502),0))</f>
        <v>CENT_AIR</v>
      </c>
      <c r="X502" s="7" t="str">
        <f t="array" ref="X502">INDEX(xlRTTYNAME,MATCH(1,(xlRTTYENDU=1)*(xlRTTYEQCL=$D502)*(xlRTEQTYPE=$E502),0))</f>
        <v>LPG_FA3</v>
      </c>
      <c r="Y502" s="7" t="str">
        <f t="array" ref="Y502">INDEX(xlRTTYNAME,MATCH(1,(xlRTTYENDU=2)*(xlRTTYEQCL=$F502)*(xlRTEQTYPE=$G502),0))</f>
        <v>CENT_AIR3</v>
      </c>
    </row>
    <row r="503" spans="2:25" x14ac:dyDescent="0.2">
      <c r="B503" s="152">
        <v>9</v>
      </c>
      <c r="C503" s="152">
        <v>1</v>
      </c>
      <c r="D503" s="152">
        <v>6</v>
      </c>
      <c r="E503" s="152">
        <v>21</v>
      </c>
      <c r="F503" s="152">
        <v>2</v>
      </c>
      <c r="G503" s="152">
        <v>6</v>
      </c>
      <c r="H503" s="152">
        <v>2029</v>
      </c>
      <c r="I503" s="152">
        <v>2032</v>
      </c>
      <c r="J503" s="229">
        <v>1.0781000000000001</v>
      </c>
      <c r="K503" s="229">
        <v>1.0707</v>
      </c>
      <c r="L503" s="229">
        <v>0.55130000000000001</v>
      </c>
      <c r="M503" s="229">
        <v>0.82869999999999999</v>
      </c>
      <c r="N503" s="229">
        <v>1.0339</v>
      </c>
      <c r="O503" s="229">
        <v>1.0538000000000001</v>
      </c>
      <c r="P503" s="155">
        <v>16965.333220335393</v>
      </c>
      <c r="Q503" s="41">
        <f t="array" ref="Q503">SUM(IF(($S503&gt;=4)*($C503='TaxCred&amp;Subs'!$D$114:$D$121)*($H503='TaxCred&amp;Subs'!$C$114:$C$121)*($H503&lt;='TaxCred&amp;Subs'!$C$123),'TaxCred&amp;Subs'!$E$114:$E$121,0))</f>
        <v>2500</v>
      </c>
      <c r="R503" s="230">
        <v>0</v>
      </c>
      <c r="S503" s="152">
        <v>4</v>
      </c>
      <c r="T503" s="152" t="s">
        <v>240</v>
      </c>
      <c r="V503" s="7" t="str">
        <f t="array" ref="V503">INDEX(xlRTCLNAME,MATCH(1,(xlRTCLENDU=1)*(xlRTCLEQCL=$D503),0))</f>
        <v>LPG_FA</v>
      </c>
      <c r="W503" s="7" t="str">
        <f t="array" ref="W503">INDEX(xlRTCLNAME,MATCH(1,(xlRTCLENDU=2)*(xlRTCLEQCL=$F503),0))</f>
        <v>CENT_AIR</v>
      </c>
      <c r="X503" s="7" t="str">
        <f t="array" ref="X503">INDEX(xlRTTYNAME,MATCH(1,(xlRTTYENDU=1)*(xlRTTYEQCL=$D503)*(xlRTEQTYPE=$E503),0))</f>
        <v>LPG_FA4</v>
      </c>
      <c r="Y503" s="7" t="str">
        <f t="array" ref="Y503">INDEX(xlRTTYNAME,MATCH(1,(xlRTTYENDU=2)*(xlRTTYEQCL=$F503)*(xlRTEQTYPE=$G503),0))</f>
        <v>CENT_AIR3</v>
      </c>
    </row>
    <row r="504" spans="2:25" x14ac:dyDescent="0.2">
      <c r="B504" s="5">
        <v>9</v>
      </c>
      <c r="C504" s="5">
        <v>1</v>
      </c>
      <c r="D504" s="5">
        <v>6</v>
      </c>
      <c r="E504" s="31">
        <v>21</v>
      </c>
      <c r="F504" s="5">
        <v>2</v>
      </c>
      <c r="G504" s="31">
        <v>6</v>
      </c>
      <c r="H504" s="5">
        <v>2033</v>
      </c>
      <c r="I504" s="5">
        <v>2050</v>
      </c>
      <c r="J504" s="142">
        <v>1.0781000000000001</v>
      </c>
      <c r="K504" s="142">
        <v>1.0707</v>
      </c>
      <c r="L504" s="142">
        <v>0.55130000000000001</v>
      </c>
      <c r="M504" s="142">
        <v>0.82869999999999999</v>
      </c>
      <c r="N504" s="142">
        <v>1.0339</v>
      </c>
      <c r="O504" s="142">
        <v>1.0538000000000001</v>
      </c>
      <c r="P504" s="26">
        <v>16965.333220335393</v>
      </c>
      <c r="Q504" s="35">
        <f t="array" ref="Q504">SUM(IF(($S504&gt;=4)*($C504='TaxCred&amp;Subs'!$D$114:$D$121)*($H504='TaxCred&amp;Subs'!$C$114:$C$121)*($H504&lt;='TaxCred&amp;Subs'!$C$123),'TaxCred&amp;Subs'!$E$114:$E$121,0))</f>
        <v>0</v>
      </c>
      <c r="R504" s="143">
        <v>0</v>
      </c>
      <c r="S504" s="5">
        <v>4</v>
      </c>
      <c r="T504" s="5" t="s">
        <v>240</v>
      </c>
      <c r="V504" s="7" t="str">
        <f t="array" ref="V504">INDEX(xlRTCLNAME,MATCH(1,(xlRTCLENDU=1)*(xlRTCLEQCL=$D504),0))</f>
        <v>LPG_FA</v>
      </c>
      <c r="W504" s="7" t="str">
        <f t="array" ref="W504">INDEX(xlRTCLNAME,MATCH(1,(xlRTCLENDU=2)*(xlRTCLEQCL=$F504),0))</f>
        <v>CENT_AIR</v>
      </c>
      <c r="X504" s="7" t="str">
        <f t="array" ref="X504">INDEX(xlRTTYNAME,MATCH(1,(xlRTTYENDU=1)*(xlRTTYEQCL=$D504)*(xlRTEQTYPE=$E504),0))</f>
        <v>LPG_FA4</v>
      </c>
      <c r="Y504" s="7" t="str">
        <f t="array" ref="Y504">INDEX(xlRTTYNAME,MATCH(1,(xlRTTYENDU=2)*(xlRTTYEQCL=$F504)*(xlRTEQTYPE=$G504),0))</f>
        <v>CENT_AIR3</v>
      </c>
    </row>
    <row r="505" spans="2:25" x14ac:dyDescent="0.2">
      <c r="B505" s="5">
        <v>1</v>
      </c>
      <c r="C505" s="5">
        <v>1</v>
      </c>
      <c r="D505" s="5">
        <v>7</v>
      </c>
      <c r="E505" s="5">
        <v>24</v>
      </c>
      <c r="F505" s="5">
        <v>2</v>
      </c>
      <c r="G505" s="31">
        <v>6</v>
      </c>
      <c r="H505" s="31">
        <v>2020</v>
      </c>
      <c r="I505" s="5">
        <v>2022</v>
      </c>
      <c r="J505" s="142">
        <v>1.0309999999999999</v>
      </c>
      <c r="K505" s="142">
        <v>1.0667</v>
      </c>
      <c r="L505" s="142">
        <v>0.46589999999999998</v>
      </c>
      <c r="M505" s="142">
        <v>0.95850000000000002</v>
      </c>
      <c r="N505" s="142">
        <v>0.79790000000000005</v>
      </c>
      <c r="O505" s="142">
        <v>1.0538000000000001</v>
      </c>
      <c r="P505" s="26">
        <v>17710.205197199066</v>
      </c>
      <c r="Q505" s="35">
        <f t="array" ref="Q505">SUM(IF(($S505&gt;=4)*($C505='TaxCred&amp;Subs'!$D$114:$D$121)*($H505='TaxCred&amp;Subs'!$C$114:$C$121)*($H505&lt;='TaxCred&amp;Subs'!$C$123),'TaxCred&amp;Subs'!$E$114:$E$121,0))</f>
        <v>2000</v>
      </c>
      <c r="R505" s="143">
        <v>0</v>
      </c>
      <c r="S505" s="5">
        <v>4</v>
      </c>
      <c r="T505" s="5" t="s">
        <v>240</v>
      </c>
      <c r="V505" s="7" t="str">
        <f t="array" ref="V505">INDEX(xlRTCLNAME,MATCH(1,(xlRTCLENDU=1)*(xlRTCLEQCL=$D505),0))</f>
        <v>DIST_FA</v>
      </c>
      <c r="W505" s="7" t="str">
        <f t="array" ref="W505">INDEX(xlRTCLNAME,MATCH(1,(xlRTCLENDU=2)*(xlRTCLEQCL=$F505),0))</f>
        <v>CENT_AIR</v>
      </c>
      <c r="X505" s="7" t="str">
        <f t="array" ref="X505">INDEX(xlRTTYNAME,MATCH(1,(xlRTTYENDU=1)*(xlRTTYEQCL=$D505)*(xlRTEQTYPE=$E505),0))</f>
        <v>DIST_FA3</v>
      </c>
      <c r="Y505" s="7" t="str">
        <f t="array" ref="Y505">INDEX(xlRTTYNAME,MATCH(1,(xlRTTYENDU=2)*(xlRTTYEQCL=$F505)*(xlRTEQTYPE=$G505),0))</f>
        <v>CENT_AIR3</v>
      </c>
    </row>
    <row r="506" spans="2:25" x14ac:dyDescent="0.2">
      <c r="B506" s="5">
        <v>1</v>
      </c>
      <c r="C506" s="5">
        <v>1</v>
      </c>
      <c r="D506" s="5">
        <v>7</v>
      </c>
      <c r="E506" s="5">
        <v>24</v>
      </c>
      <c r="F506" s="5">
        <v>2</v>
      </c>
      <c r="G506" s="31">
        <v>6</v>
      </c>
      <c r="H506" s="5">
        <v>2023</v>
      </c>
      <c r="I506" s="5">
        <v>2032</v>
      </c>
      <c r="J506" s="142">
        <v>1.0309999999999999</v>
      </c>
      <c r="K506" s="142">
        <v>1.0667</v>
      </c>
      <c r="L506" s="142">
        <v>0.46589999999999998</v>
      </c>
      <c r="M506" s="142">
        <v>0.95850000000000002</v>
      </c>
      <c r="N506" s="142">
        <v>0.79790000000000005</v>
      </c>
      <c r="O506" s="142">
        <v>1.0538000000000001</v>
      </c>
      <c r="P506" s="26">
        <v>17710.205197199066</v>
      </c>
      <c r="Q506" s="35">
        <f t="array" ref="Q506">SUM(IF(($S506&gt;=4)*($C506='TaxCred&amp;Subs'!$D$114:$D$121)*($H506='TaxCred&amp;Subs'!$C$114:$C$121)*($H506&lt;='TaxCred&amp;Subs'!$C$123),'TaxCred&amp;Subs'!$E$114:$E$121,0))</f>
        <v>2500</v>
      </c>
      <c r="R506" s="143">
        <v>0</v>
      </c>
      <c r="S506" s="5">
        <v>4</v>
      </c>
      <c r="T506" s="5" t="s">
        <v>240</v>
      </c>
      <c r="V506" s="7" t="str">
        <f t="array" ref="V506">INDEX(xlRTCLNAME,MATCH(1,(xlRTCLENDU=1)*(xlRTCLEQCL=$D506),0))</f>
        <v>DIST_FA</v>
      </c>
      <c r="W506" s="7" t="str">
        <f t="array" ref="W506">INDEX(xlRTCLNAME,MATCH(1,(xlRTCLENDU=2)*(xlRTCLEQCL=$F506),0))</f>
        <v>CENT_AIR</v>
      </c>
      <c r="X506" s="7" t="str">
        <f t="array" ref="X506">INDEX(xlRTTYNAME,MATCH(1,(xlRTTYENDU=1)*(xlRTTYEQCL=$D506)*(xlRTEQTYPE=$E506),0))</f>
        <v>DIST_FA3</v>
      </c>
      <c r="Y506" s="7" t="str">
        <f t="array" ref="Y506">INDEX(xlRTTYNAME,MATCH(1,(xlRTTYENDU=2)*(xlRTTYEQCL=$F506)*(xlRTEQTYPE=$G506),0))</f>
        <v>CENT_AIR3</v>
      </c>
    </row>
    <row r="507" spans="2:25" x14ac:dyDescent="0.2">
      <c r="B507" s="5">
        <v>1</v>
      </c>
      <c r="C507" s="5">
        <v>1</v>
      </c>
      <c r="D507" s="5">
        <v>7</v>
      </c>
      <c r="E507" s="5">
        <v>24</v>
      </c>
      <c r="F507" s="5">
        <v>2</v>
      </c>
      <c r="G507" s="31">
        <v>6</v>
      </c>
      <c r="H507" s="5">
        <v>2033</v>
      </c>
      <c r="I507" s="5">
        <v>2050</v>
      </c>
      <c r="J507" s="142">
        <v>1.0309999999999999</v>
      </c>
      <c r="K507" s="142">
        <v>1.0667</v>
      </c>
      <c r="L507" s="142">
        <v>0.46589999999999998</v>
      </c>
      <c r="M507" s="142">
        <v>0.95850000000000002</v>
      </c>
      <c r="N507" s="142">
        <v>0.79790000000000005</v>
      </c>
      <c r="O507" s="142">
        <v>1.0538000000000001</v>
      </c>
      <c r="P507" s="26">
        <v>17710.205197199066</v>
      </c>
      <c r="Q507" s="35">
        <f t="array" ref="Q507">SUM(IF(($S507&gt;=4)*($C507='TaxCred&amp;Subs'!$D$114:$D$121)*($H507='TaxCred&amp;Subs'!$C$114:$C$121)*($H507&lt;='TaxCred&amp;Subs'!$C$123),'TaxCred&amp;Subs'!$E$114:$E$121,0))</f>
        <v>0</v>
      </c>
      <c r="R507" s="143">
        <v>0</v>
      </c>
      <c r="S507" s="5">
        <v>4</v>
      </c>
      <c r="T507" s="5" t="s">
        <v>240</v>
      </c>
      <c r="V507" s="7" t="str">
        <f t="array" ref="V507">INDEX(xlRTCLNAME,MATCH(1,(xlRTCLENDU=1)*(xlRTCLEQCL=$D507),0))</f>
        <v>DIST_FA</v>
      </c>
      <c r="W507" s="7" t="str">
        <f t="array" ref="W507">INDEX(xlRTCLNAME,MATCH(1,(xlRTCLENDU=2)*(xlRTCLEQCL=$F507),0))</f>
        <v>CENT_AIR</v>
      </c>
      <c r="X507" s="7" t="str">
        <f t="array" ref="X507">INDEX(xlRTTYNAME,MATCH(1,(xlRTTYENDU=1)*(xlRTTYEQCL=$D507)*(xlRTEQTYPE=$E507),0))</f>
        <v>DIST_FA3</v>
      </c>
      <c r="Y507" s="7" t="str">
        <f t="array" ref="Y507">INDEX(xlRTTYNAME,MATCH(1,(xlRTTYENDU=2)*(xlRTTYEQCL=$F507)*(xlRTEQTYPE=$G507),0))</f>
        <v>CENT_AIR3</v>
      </c>
    </row>
    <row r="508" spans="2:25" x14ac:dyDescent="0.2">
      <c r="B508" s="5">
        <v>2</v>
      </c>
      <c r="C508" s="5">
        <v>1</v>
      </c>
      <c r="D508" s="5">
        <v>7</v>
      </c>
      <c r="E508" s="5">
        <v>24</v>
      </c>
      <c r="F508" s="5">
        <v>2</v>
      </c>
      <c r="G508" s="31">
        <v>6</v>
      </c>
      <c r="H508" s="31">
        <v>2020</v>
      </c>
      <c r="I508" s="5">
        <v>2022</v>
      </c>
      <c r="J508" s="142">
        <v>1.0772999999999999</v>
      </c>
      <c r="K508" s="142">
        <v>1.0758000000000001</v>
      </c>
      <c r="L508" s="142">
        <v>0.51419999999999999</v>
      </c>
      <c r="M508" s="142">
        <v>0.83919999999999995</v>
      </c>
      <c r="N508" s="142">
        <v>0.93169999999999997</v>
      </c>
      <c r="O508" s="142">
        <v>1.0538000000000001</v>
      </c>
      <c r="P508" s="26">
        <v>18775.076326578179</v>
      </c>
      <c r="Q508" s="35">
        <f t="array" ref="Q508">SUM(IF(($S508&gt;=4)*($C508='TaxCred&amp;Subs'!$D$114:$D$121)*($H508='TaxCred&amp;Subs'!$C$114:$C$121)*($H508&lt;='TaxCred&amp;Subs'!$C$123),'TaxCred&amp;Subs'!$E$114:$E$121,0))</f>
        <v>2000</v>
      </c>
      <c r="R508" s="143">
        <v>0</v>
      </c>
      <c r="S508" s="5">
        <v>4</v>
      </c>
      <c r="T508" s="5" t="s">
        <v>240</v>
      </c>
      <c r="V508" s="7" t="str">
        <f t="array" ref="V508">INDEX(xlRTCLNAME,MATCH(1,(xlRTCLENDU=1)*(xlRTCLEQCL=$D508),0))</f>
        <v>DIST_FA</v>
      </c>
      <c r="W508" s="7" t="str">
        <f t="array" ref="W508">INDEX(xlRTCLNAME,MATCH(1,(xlRTCLENDU=2)*(xlRTCLEQCL=$F508),0))</f>
        <v>CENT_AIR</v>
      </c>
      <c r="X508" s="7" t="str">
        <f t="array" ref="X508">INDEX(xlRTTYNAME,MATCH(1,(xlRTTYENDU=1)*(xlRTTYEQCL=$D508)*(xlRTEQTYPE=$E508),0))</f>
        <v>DIST_FA3</v>
      </c>
      <c r="Y508" s="7" t="str">
        <f t="array" ref="Y508">INDEX(xlRTTYNAME,MATCH(1,(xlRTTYENDU=2)*(xlRTTYEQCL=$F508)*(xlRTEQTYPE=$G508),0))</f>
        <v>CENT_AIR3</v>
      </c>
    </row>
    <row r="509" spans="2:25" x14ac:dyDescent="0.2">
      <c r="B509" s="5">
        <v>2</v>
      </c>
      <c r="C509" s="5">
        <v>1</v>
      </c>
      <c r="D509" s="5">
        <v>7</v>
      </c>
      <c r="E509" s="5">
        <v>24</v>
      </c>
      <c r="F509" s="5">
        <v>2</v>
      </c>
      <c r="G509" s="31">
        <v>6</v>
      </c>
      <c r="H509" s="5">
        <v>2023</v>
      </c>
      <c r="I509" s="5">
        <v>2032</v>
      </c>
      <c r="J509" s="142">
        <v>1.0772999999999999</v>
      </c>
      <c r="K509" s="142">
        <v>1.0758000000000001</v>
      </c>
      <c r="L509" s="142">
        <v>0.51419999999999999</v>
      </c>
      <c r="M509" s="142">
        <v>0.83919999999999995</v>
      </c>
      <c r="N509" s="142">
        <v>0.93169999999999997</v>
      </c>
      <c r="O509" s="142">
        <v>1.0538000000000001</v>
      </c>
      <c r="P509" s="26">
        <v>18775.076326578179</v>
      </c>
      <c r="Q509" s="35">
        <f t="array" ref="Q509">SUM(IF(($S509&gt;=4)*($C509='TaxCred&amp;Subs'!$D$114:$D$121)*($H509='TaxCred&amp;Subs'!$C$114:$C$121)*($H509&lt;='TaxCred&amp;Subs'!$C$123),'TaxCred&amp;Subs'!$E$114:$E$121,0))</f>
        <v>2500</v>
      </c>
      <c r="R509" s="143">
        <v>0</v>
      </c>
      <c r="S509" s="5">
        <v>4</v>
      </c>
      <c r="T509" s="5" t="s">
        <v>240</v>
      </c>
      <c r="V509" s="7" t="str">
        <f t="array" ref="V509">INDEX(xlRTCLNAME,MATCH(1,(xlRTCLENDU=1)*(xlRTCLEQCL=$D509),0))</f>
        <v>DIST_FA</v>
      </c>
      <c r="W509" s="7" t="str">
        <f t="array" ref="W509">INDEX(xlRTCLNAME,MATCH(1,(xlRTCLENDU=2)*(xlRTCLEQCL=$F509),0))</f>
        <v>CENT_AIR</v>
      </c>
      <c r="X509" s="7" t="str">
        <f t="array" ref="X509">INDEX(xlRTTYNAME,MATCH(1,(xlRTTYENDU=1)*(xlRTTYEQCL=$D509)*(xlRTEQTYPE=$E509),0))</f>
        <v>DIST_FA3</v>
      </c>
      <c r="Y509" s="7" t="str">
        <f t="array" ref="Y509">INDEX(xlRTTYNAME,MATCH(1,(xlRTTYENDU=2)*(xlRTTYEQCL=$F509)*(xlRTEQTYPE=$G509),0))</f>
        <v>CENT_AIR3</v>
      </c>
    </row>
    <row r="510" spans="2:25" x14ac:dyDescent="0.2">
      <c r="B510" s="5">
        <v>2</v>
      </c>
      <c r="C510" s="5">
        <v>1</v>
      </c>
      <c r="D510" s="5">
        <v>7</v>
      </c>
      <c r="E510" s="5">
        <v>24</v>
      </c>
      <c r="F510" s="5">
        <v>2</v>
      </c>
      <c r="G510" s="31">
        <v>6</v>
      </c>
      <c r="H510" s="5">
        <v>2033</v>
      </c>
      <c r="I510" s="5">
        <v>2050</v>
      </c>
      <c r="J510" s="142">
        <v>1.0772999999999999</v>
      </c>
      <c r="K510" s="142">
        <v>1.0758000000000001</v>
      </c>
      <c r="L510" s="142">
        <v>0.51419999999999999</v>
      </c>
      <c r="M510" s="142">
        <v>0.83919999999999995</v>
      </c>
      <c r="N510" s="142">
        <v>0.93169999999999997</v>
      </c>
      <c r="O510" s="142">
        <v>1.0538000000000001</v>
      </c>
      <c r="P510" s="26">
        <v>18775.076326578179</v>
      </c>
      <c r="Q510" s="35">
        <f t="array" ref="Q510">SUM(IF(($S510&gt;=4)*($C510='TaxCred&amp;Subs'!$D$114:$D$121)*($H510='TaxCred&amp;Subs'!$C$114:$C$121)*($H510&lt;='TaxCred&amp;Subs'!$C$123),'TaxCred&amp;Subs'!$E$114:$E$121,0))</f>
        <v>0</v>
      </c>
      <c r="R510" s="143">
        <v>0</v>
      </c>
      <c r="S510" s="5">
        <v>4</v>
      </c>
      <c r="T510" s="5" t="s">
        <v>240</v>
      </c>
      <c r="V510" s="7" t="str">
        <f t="array" ref="V510">INDEX(xlRTCLNAME,MATCH(1,(xlRTCLENDU=1)*(xlRTCLEQCL=$D510),0))</f>
        <v>DIST_FA</v>
      </c>
      <c r="W510" s="7" t="str">
        <f t="array" ref="W510">INDEX(xlRTCLNAME,MATCH(1,(xlRTCLENDU=2)*(xlRTCLEQCL=$F510),0))</f>
        <v>CENT_AIR</v>
      </c>
      <c r="X510" s="7" t="str">
        <f t="array" ref="X510">INDEX(xlRTTYNAME,MATCH(1,(xlRTTYENDU=1)*(xlRTTYEQCL=$D510)*(xlRTEQTYPE=$E510),0))</f>
        <v>DIST_FA3</v>
      </c>
      <c r="Y510" s="7" t="str">
        <f t="array" ref="Y510">INDEX(xlRTTYNAME,MATCH(1,(xlRTTYENDU=2)*(xlRTTYEQCL=$F510)*(xlRTEQTYPE=$G510),0))</f>
        <v>CENT_AIR3</v>
      </c>
    </row>
    <row r="511" spans="2:25" x14ac:dyDescent="0.2">
      <c r="B511" s="5">
        <v>3</v>
      </c>
      <c r="C511" s="5">
        <v>1</v>
      </c>
      <c r="D511" s="5">
        <v>7</v>
      </c>
      <c r="E511" s="5">
        <v>24</v>
      </c>
      <c r="F511" s="5">
        <v>2</v>
      </c>
      <c r="G511" s="31">
        <v>6</v>
      </c>
      <c r="H511" s="31">
        <v>2020</v>
      </c>
      <c r="I511" s="5">
        <v>2022</v>
      </c>
      <c r="J511" s="142">
        <v>1.0842000000000001</v>
      </c>
      <c r="K511" s="142">
        <v>1.0577000000000001</v>
      </c>
      <c r="L511" s="142">
        <v>0.4531</v>
      </c>
      <c r="M511" s="142">
        <v>0.90190000000000003</v>
      </c>
      <c r="N511" s="142">
        <v>0.91220000000000001</v>
      </c>
      <c r="O511" s="142">
        <v>1.0538000000000001</v>
      </c>
      <c r="P511" s="26">
        <v>17265.164359036837</v>
      </c>
      <c r="Q511" s="35">
        <f t="array" ref="Q511">SUM(IF(($S511&gt;=4)*($C511='TaxCred&amp;Subs'!$D$114:$D$121)*($H511='TaxCred&amp;Subs'!$C$114:$C$121)*($H511&lt;='TaxCred&amp;Subs'!$C$123),'TaxCred&amp;Subs'!$E$114:$E$121,0))</f>
        <v>2000</v>
      </c>
      <c r="R511" s="143">
        <v>0</v>
      </c>
      <c r="S511" s="5">
        <v>4</v>
      </c>
      <c r="T511" s="5" t="s">
        <v>240</v>
      </c>
      <c r="V511" s="7" t="str">
        <f t="array" ref="V511">INDEX(xlRTCLNAME,MATCH(1,(xlRTCLENDU=1)*(xlRTCLEQCL=$D511),0))</f>
        <v>DIST_FA</v>
      </c>
      <c r="W511" s="7" t="str">
        <f t="array" ref="W511">INDEX(xlRTCLNAME,MATCH(1,(xlRTCLENDU=2)*(xlRTCLEQCL=$F511),0))</f>
        <v>CENT_AIR</v>
      </c>
      <c r="X511" s="7" t="str">
        <f t="array" ref="X511">INDEX(xlRTTYNAME,MATCH(1,(xlRTTYENDU=1)*(xlRTTYEQCL=$D511)*(xlRTEQTYPE=$E511),0))</f>
        <v>DIST_FA3</v>
      </c>
      <c r="Y511" s="7" t="str">
        <f t="array" ref="Y511">INDEX(xlRTTYNAME,MATCH(1,(xlRTTYENDU=2)*(xlRTTYEQCL=$F511)*(xlRTEQTYPE=$G511),0))</f>
        <v>CENT_AIR3</v>
      </c>
    </row>
    <row r="512" spans="2:25" x14ac:dyDescent="0.2">
      <c r="B512" s="5">
        <v>3</v>
      </c>
      <c r="C512" s="5">
        <v>1</v>
      </c>
      <c r="D512" s="5">
        <v>7</v>
      </c>
      <c r="E512" s="5">
        <v>24</v>
      </c>
      <c r="F512" s="5">
        <v>2</v>
      </c>
      <c r="G512" s="31">
        <v>6</v>
      </c>
      <c r="H512" s="5">
        <v>2023</v>
      </c>
      <c r="I512" s="5">
        <v>2032</v>
      </c>
      <c r="J512" s="142">
        <v>1.0842000000000001</v>
      </c>
      <c r="K512" s="142">
        <v>1.0577000000000001</v>
      </c>
      <c r="L512" s="142">
        <v>0.4531</v>
      </c>
      <c r="M512" s="142">
        <v>0.90190000000000003</v>
      </c>
      <c r="N512" s="142">
        <v>0.91220000000000001</v>
      </c>
      <c r="O512" s="142">
        <v>1.0538000000000001</v>
      </c>
      <c r="P512" s="26">
        <v>17265.164359036837</v>
      </c>
      <c r="Q512" s="35">
        <f t="array" ref="Q512">SUM(IF(($S512&gt;=4)*($C512='TaxCred&amp;Subs'!$D$114:$D$121)*($H512='TaxCred&amp;Subs'!$C$114:$C$121)*($H512&lt;='TaxCred&amp;Subs'!$C$123),'TaxCred&amp;Subs'!$E$114:$E$121,0))</f>
        <v>2500</v>
      </c>
      <c r="R512" s="143">
        <v>0</v>
      </c>
      <c r="S512" s="5">
        <v>4</v>
      </c>
      <c r="T512" s="5" t="s">
        <v>240</v>
      </c>
      <c r="V512" s="7" t="str">
        <f t="array" ref="V512">INDEX(xlRTCLNAME,MATCH(1,(xlRTCLENDU=1)*(xlRTCLEQCL=$D512),0))</f>
        <v>DIST_FA</v>
      </c>
      <c r="W512" s="7" t="str">
        <f t="array" ref="W512">INDEX(xlRTCLNAME,MATCH(1,(xlRTCLENDU=2)*(xlRTCLEQCL=$F512),0))</f>
        <v>CENT_AIR</v>
      </c>
      <c r="X512" s="7" t="str">
        <f t="array" ref="X512">INDEX(xlRTTYNAME,MATCH(1,(xlRTTYENDU=1)*(xlRTTYEQCL=$D512)*(xlRTEQTYPE=$E512),0))</f>
        <v>DIST_FA3</v>
      </c>
      <c r="Y512" s="7" t="str">
        <f t="array" ref="Y512">INDEX(xlRTTYNAME,MATCH(1,(xlRTTYENDU=2)*(xlRTTYEQCL=$F512)*(xlRTEQTYPE=$G512),0))</f>
        <v>CENT_AIR3</v>
      </c>
    </row>
    <row r="513" spans="2:25" x14ac:dyDescent="0.2">
      <c r="B513" s="5">
        <v>3</v>
      </c>
      <c r="C513" s="5">
        <v>1</v>
      </c>
      <c r="D513" s="5">
        <v>7</v>
      </c>
      <c r="E513" s="5">
        <v>24</v>
      </c>
      <c r="F513" s="5">
        <v>2</v>
      </c>
      <c r="G513" s="31">
        <v>6</v>
      </c>
      <c r="H513" s="5">
        <v>2033</v>
      </c>
      <c r="I513" s="5">
        <v>2050</v>
      </c>
      <c r="J513" s="142">
        <v>1.0842000000000001</v>
      </c>
      <c r="K513" s="142">
        <v>1.0577000000000001</v>
      </c>
      <c r="L513" s="142">
        <v>0.4531</v>
      </c>
      <c r="M513" s="142">
        <v>0.90190000000000003</v>
      </c>
      <c r="N513" s="142">
        <v>0.91220000000000001</v>
      </c>
      <c r="O513" s="142">
        <v>1.0538000000000001</v>
      </c>
      <c r="P513" s="26">
        <v>17265.164359036837</v>
      </c>
      <c r="Q513" s="35">
        <f t="array" ref="Q513">SUM(IF(($S513&gt;=4)*($C513='TaxCred&amp;Subs'!$D$114:$D$121)*($H513='TaxCred&amp;Subs'!$C$114:$C$121)*($H513&lt;='TaxCred&amp;Subs'!$C$123),'TaxCred&amp;Subs'!$E$114:$E$121,0))</f>
        <v>0</v>
      </c>
      <c r="R513" s="143">
        <v>0</v>
      </c>
      <c r="S513" s="5">
        <v>4</v>
      </c>
      <c r="T513" s="5" t="s">
        <v>240</v>
      </c>
      <c r="V513" s="7" t="str">
        <f t="array" ref="V513">INDEX(xlRTCLNAME,MATCH(1,(xlRTCLENDU=1)*(xlRTCLEQCL=$D513),0))</f>
        <v>DIST_FA</v>
      </c>
      <c r="W513" s="7" t="str">
        <f t="array" ref="W513">INDEX(xlRTCLNAME,MATCH(1,(xlRTCLENDU=2)*(xlRTCLEQCL=$F513),0))</f>
        <v>CENT_AIR</v>
      </c>
      <c r="X513" s="7" t="str">
        <f t="array" ref="X513">INDEX(xlRTTYNAME,MATCH(1,(xlRTTYENDU=1)*(xlRTTYEQCL=$D513)*(xlRTEQTYPE=$E513),0))</f>
        <v>DIST_FA3</v>
      </c>
      <c r="Y513" s="7" t="str">
        <f t="array" ref="Y513">INDEX(xlRTTYNAME,MATCH(1,(xlRTTYENDU=2)*(xlRTTYEQCL=$F513)*(xlRTEQTYPE=$G513),0))</f>
        <v>CENT_AIR3</v>
      </c>
    </row>
    <row r="514" spans="2:25" x14ac:dyDescent="0.2">
      <c r="B514" s="5">
        <v>4</v>
      </c>
      <c r="C514" s="5">
        <v>1</v>
      </c>
      <c r="D514" s="5">
        <v>7</v>
      </c>
      <c r="E514" s="5">
        <v>24</v>
      </c>
      <c r="F514" s="5">
        <v>2</v>
      </c>
      <c r="G514" s="31">
        <v>6</v>
      </c>
      <c r="H514" s="31">
        <v>2020</v>
      </c>
      <c r="I514" s="5">
        <v>2022</v>
      </c>
      <c r="J514" s="142">
        <v>1.0342</v>
      </c>
      <c r="K514" s="142">
        <v>1.0769</v>
      </c>
      <c r="L514" s="142">
        <v>0.45760000000000001</v>
      </c>
      <c r="M514" s="142">
        <v>0.85729999999999995</v>
      </c>
      <c r="N514" s="142">
        <v>0.85760000000000003</v>
      </c>
      <c r="O514" s="142">
        <v>1.0538000000000001</v>
      </c>
      <c r="P514" s="26">
        <v>14059.794696865367</v>
      </c>
      <c r="Q514" s="35">
        <f t="array" ref="Q514">SUM(IF(($S514&gt;=4)*($C514='TaxCred&amp;Subs'!$D$114:$D$121)*($H514='TaxCred&amp;Subs'!$C$114:$C$121)*($H514&lt;='TaxCred&amp;Subs'!$C$123),'TaxCred&amp;Subs'!$E$114:$E$121,0))</f>
        <v>2000</v>
      </c>
      <c r="R514" s="143">
        <v>0</v>
      </c>
      <c r="S514" s="5">
        <v>4</v>
      </c>
      <c r="T514" s="5" t="s">
        <v>240</v>
      </c>
      <c r="V514" s="7" t="str">
        <f t="array" ref="V514">INDEX(xlRTCLNAME,MATCH(1,(xlRTCLENDU=1)*(xlRTCLEQCL=$D514),0))</f>
        <v>DIST_FA</v>
      </c>
      <c r="W514" s="7" t="str">
        <f t="array" ref="W514">INDEX(xlRTCLNAME,MATCH(1,(xlRTCLENDU=2)*(xlRTCLEQCL=$F514),0))</f>
        <v>CENT_AIR</v>
      </c>
      <c r="X514" s="7" t="str">
        <f t="array" ref="X514">INDEX(xlRTTYNAME,MATCH(1,(xlRTTYENDU=1)*(xlRTTYEQCL=$D514)*(xlRTEQTYPE=$E514),0))</f>
        <v>DIST_FA3</v>
      </c>
      <c r="Y514" s="7" t="str">
        <f t="array" ref="Y514">INDEX(xlRTTYNAME,MATCH(1,(xlRTTYENDU=2)*(xlRTTYEQCL=$F514)*(xlRTEQTYPE=$G514),0))</f>
        <v>CENT_AIR3</v>
      </c>
    </row>
    <row r="515" spans="2:25" x14ac:dyDescent="0.2">
      <c r="B515" s="5">
        <v>4</v>
      </c>
      <c r="C515" s="5">
        <v>1</v>
      </c>
      <c r="D515" s="5">
        <v>7</v>
      </c>
      <c r="E515" s="5">
        <v>24</v>
      </c>
      <c r="F515" s="5">
        <v>2</v>
      </c>
      <c r="G515" s="31">
        <v>6</v>
      </c>
      <c r="H515" s="5">
        <v>2023</v>
      </c>
      <c r="I515" s="5">
        <v>2032</v>
      </c>
      <c r="J515" s="142">
        <v>1.0342</v>
      </c>
      <c r="K515" s="142">
        <v>1.0769</v>
      </c>
      <c r="L515" s="142">
        <v>0.45760000000000001</v>
      </c>
      <c r="M515" s="142">
        <v>0.85729999999999995</v>
      </c>
      <c r="N515" s="142">
        <v>0.85760000000000003</v>
      </c>
      <c r="O515" s="142">
        <v>1.0538000000000001</v>
      </c>
      <c r="P515" s="26">
        <v>14059.794696865367</v>
      </c>
      <c r="Q515" s="35">
        <f t="array" ref="Q515">SUM(IF(($S515&gt;=4)*($C515='TaxCred&amp;Subs'!$D$114:$D$121)*($H515='TaxCred&amp;Subs'!$C$114:$C$121)*($H515&lt;='TaxCred&amp;Subs'!$C$123),'TaxCred&amp;Subs'!$E$114:$E$121,0))</f>
        <v>2500</v>
      </c>
      <c r="R515" s="143">
        <v>0</v>
      </c>
      <c r="S515" s="5">
        <v>4</v>
      </c>
      <c r="T515" s="5" t="s">
        <v>240</v>
      </c>
      <c r="V515" s="7" t="str">
        <f t="array" ref="V515">INDEX(xlRTCLNAME,MATCH(1,(xlRTCLENDU=1)*(xlRTCLEQCL=$D515),0))</f>
        <v>DIST_FA</v>
      </c>
      <c r="W515" s="7" t="str">
        <f t="array" ref="W515">INDEX(xlRTCLNAME,MATCH(1,(xlRTCLENDU=2)*(xlRTCLEQCL=$F515),0))</f>
        <v>CENT_AIR</v>
      </c>
      <c r="X515" s="7" t="str">
        <f t="array" ref="X515">INDEX(xlRTTYNAME,MATCH(1,(xlRTTYENDU=1)*(xlRTTYEQCL=$D515)*(xlRTEQTYPE=$E515),0))</f>
        <v>DIST_FA3</v>
      </c>
      <c r="Y515" s="7" t="str">
        <f t="array" ref="Y515">INDEX(xlRTTYNAME,MATCH(1,(xlRTTYENDU=2)*(xlRTTYEQCL=$F515)*(xlRTEQTYPE=$G515),0))</f>
        <v>CENT_AIR3</v>
      </c>
    </row>
    <row r="516" spans="2:25" x14ac:dyDescent="0.2">
      <c r="B516" s="5">
        <v>4</v>
      </c>
      <c r="C516" s="5">
        <v>1</v>
      </c>
      <c r="D516" s="5">
        <v>7</v>
      </c>
      <c r="E516" s="5">
        <v>24</v>
      </c>
      <c r="F516" s="5">
        <v>2</v>
      </c>
      <c r="G516" s="31">
        <v>6</v>
      </c>
      <c r="H516" s="5">
        <v>2033</v>
      </c>
      <c r="I516" s="5">
        <v>2050</v>
      </c>
      <c r="J516" s="142">
        <v>1.0342</v>
      </c>
      <c r="K516" s="142">
        <v>1.0769</v>
      </c>
      <c r="L516" s="142">
        <v>0.45760000000000001</v>
      </c>
      <c r="M516" s="142">
        <v>0.85729999999999995</v>
      </c>
      <c r="N516" s="142">
        <v>0.85760000000000003</v>
      </c>
      <c r="O516" s="142">
        <v>1.0538000000000001</v>
      </c>
      <c r="P516" s="26">
        <v>14059.794696865367</v>
      </c>
      <c r="Q516" s="35">
        <f t="array" ref="Q516">SUM(IF(($S516&gt;=4)*($C516='TaxCred&amp;Subs'!$D$114:$D$121)*($H516='TaxCred&amp;Subs'!$C$114:$C$121)*($H516&lt;='TaxCred&amp;Subs'!$C$123),'TaxCred&amp;Subs'!$E$114:$E$121,0))</f>
        <v>0</v>
      </c>
      <c r="R516" s="143">
        <v>0</v>
      </c>
      <c r="S516" s="5">
        <v>4</v>
      </c>
      <c r="T516" s="5" t="s">
        <v>240</v>
      </c>
      <c r="V516" s="7" t="str">
        <f t="array" ref="V516">INDEX(xlRTCLNAME,MATCH(1,(xlRTCLENDU=1)*(xlRTCLEQCL=$D516),0))</f>
        <v>DIST_FA</v>
      </c>
      <c r="W516" s="7" t="str">
        <f t="array" ref="W516">INDEX(xlRTCLNAME,MATCH(1,(xlRTCLENDU=2)*(xlRTCLEQCL=$F516),0))</f>
        <v>CENT_AIR</v>
      </c>
      <c r="X516" s="7" t="str">
        <f t="array" ref="X516">INDEX(xlRTTYNAME,MATCH(1,(xlRTTYENDU=1)*(xlRTTYEQCL=$D516)*(xlRTEQTYPE=$E516),0))</f>
        <v>DIST_FA3</v>
      </c>
      <c r="Y516" s="7" t="str">
        <f t="array" ref="Y516">INDEX(xlRTTYNAME,MATCH(1,(xlRTTYENDU=2)*(xlRTTYEQCL=$F516)*(xlRTEQTYPE=$G516),0))</f>
        <v>CENT_AIR3</v>
      </c>
    </row>
    <row r="517" spans="2:25" x14ac:dyDescent="0.2">
      <c r="B517" s="5">
        <v>5</v>
      </c>
      <c r="C517" s="5">
        <v>1</v>
      </c>
      <c r="D517" s="5">
        <v>7</v>
      </c>
      <c r="E517" s="5">
        <v>24</v>
      </c>
      <c r="F517" s="5">
        <v>2</v>
      </c>
      <c r="G517" s="31">
        <v>6</v>
      </c>
      <c r="H517" s="31">
        <v>2020</v>
      </c>
      <c r="I517" s="5">
        <v>2022</v>
      </c>
      <c r="J517" s="142">
        <v>1.0847</v>
      </c>
      <c r="K517" s="142">
        <v>1.056</v>
      </c>
      <c r="L517" s="142">
        <v>0.43070000000000003</v>
      </c>
      <c r="M517" s="142">
        <v>0.79220000000000002</v>
      </c>
      <c r="N517" s="142">
        <v>0.76280000000000003</v>
      </c>
      <c r="O517" s="142">
        <v>1.0538000000000001</v>
      </c>
      <c r="P517" s="26">
        <v>12906.184306704663</v>
      </c>
      <c r="Q517" s="35">
        <f t="array" ref="Q517">SUM(IF(($S517&gt;=4)*($C517='TaxCred&amp;Subs'!$D$114:$D$121)*($H517='TaxCred&amp;Subs'!$C$114:$C$121)*($H517&lt;='TaxCred&amp;Subs'!$C$123),'TaxCred&amp;Subs'!$E$114:$E$121,0))</f>
        <v>2000</v>
      </c>
      <c r="R517" s="143">
        <v>0</v>
      </c>
      <c r="S517" s="5">
        <v>4</v>
      </c>
      <c r="T517" s="5" t="s">
        <v>240</v>
      </c>
      <c r="V517" s="7" t="str">
        <f t="array" ref="V517">INDEX(xlRTCLNAME,MATCH(1,(xlRTCLENDU=1)*(xlRTCLEQCL=$D517),0))</f>
        <v>DIST_FA</v>
      </c>
      <c r="W517" s="7" t="str">
        <f t="array" ref="W517">INDEX(xlRTCLNAME,MATCH(1,(xlRTCLENDU=2)*(xlRTCLEQCL=$F517),0))</f>
        <v>CENT_AIR</v>
      </c>
      <c r="X517" s="7" t="str">
        <f t="array" ref="X517">INDEX(xlRTTYNAME,MATCH(1,(xlRTTYENDU=1)*(xlRTTYEQCL=$D517)*(xlRTEQTYPE=$E517),0))</f>
        <v>DIST_FA3</v>
      </c>
      <c r="Y517" s="7" t="str">
        <f t="array" ref="Y517">INDEX(xlRTTYNAME,MATCH(1,(xlRTTYENDU=2)*(xlRTTYEQCL=$F517)*(xlRTEQTYPE=$G517),0))</f>
        <v>CENT_AIR3</v>
      </c>
    </row>
    <row r="518" spans="2:25" x14ac:dyDescent="0.2">
      <c r="B518" s="5">
        <v>5</v>
      </c>
      <c r="C518" s="5">
        <v>1</v>
      </c>
      <c r="D518" s="5">
        <v>7</v>
      </c>
      <c r="E518" s="5">
        <v>24</v>
      </c>
      <c r="F518" s="5">
        <v>2</v>
      </c>
      <c r="G518" s="31">
        <v>6</v>
      </c>
      <c r="H518" s="5">
        <v>2023</v>
      </c>
      <c r="I518" s="5">
        <v>2032</v>
      </c>
      <c r="J518" s="142">
        <v>1.0847</v>
      </c>
      <c r="K518" s="142">
        <v>1.056</v>
      </c>
      <c r="L518" s="142">
        <v>0.43070000000000003</v>
      </c>
      <c r="M518" s="142">
        <v>0.79220000000000002</v>
      </c>
      <c r="N518" s="142">
        <v>0.76280000000000003</v>
      </c>
      <c r="O518" s="142">
        <v>1.0538000000000001</v>
      </c>
      <c r="P518" s="26">
        <v>12906.184306704663</v>
      </c>
      <c r="Q518" s="35">
        <f t="array" ref="Q518">SUM(IF(($S518&gt;=4)*($C518='TaxCred&amp;Subs'!$D$114:$D$121)*($H518='TaxCred&amp;Subs'!$C$114:$C$121)*($H518&lt;='TaxCred&amp;Subs'!$C$123),'TaxCred&amp;Subs'!$E$114:$E$121,0))</f>
        <v>2500</v>
      </c>
      <c r="R518" s="143">
        <v>0</v>
      </c>
      <c r="S518" s="5">
        <v>4</v>
      </c>
      <c r="T518" s="5" t="s">
        <v>240</v>
      </c>
      <c r="V518" s="7" t="str">
        <f t="array" ref="V518">INDEX(xlRTCLNAME,MATCH(1,(xlRTCLENDU=1)*(xlRTCLEQCL=$D518),0))</f>
        <v>DIST_FA</v>
      </c>
      <c r="W518" s="7" t="str">
        <f t="array" ref="W518">INDEX(xlRTCLNAME,MATCH(1,(xlRTCLENDU=2)*(xlRTCLEQCL=$F518),0))</f>
        <v>CENT_AIR</v>
      </c>
      <c r="X518" s="7" t="str">
        <f t="array" ref="X518">INDEX(xlRTTYNAME,MATCH(1,(xlRTTYENDU=1)*(xlRTTYEQCL=$D518)*(xlRTEQTYPE=$E518),0))</f>
        <v>DIST_FA3</v>
      </c>
      <c r="Y518" s="7" t="str">
        <f t="array" ref="Y518">INDEX(xlRTTYNAME,MATCH(1,(xlRTTYENDU=2)*(xlRTTYEQCL=$F518)*(xlRTEQTYPE=$G518),0))</f>
        <v>CENT_AIR3</v>
      </c>
    </row>
    <row r="519" spans="2:25" x14ac:dyDescent="0.2">
      <c r="B519" s="5">
        <v>5</v>
      </c>
      <c r="C519" s="5">
        <v>1</v>
      </c>
      <c r="D519" s="5">
        <v>7</v>
      </c>
      <c r="E519" s="5">
        <v>24</v>
      </c>
      <c r="F519" s="5">
        <v>2</v>
      </c>
      <c r="G519" s="31">
        <v>6</v>
      </c>
      <c r="H519" s="5">
        <v>2033</v>
      </c>
      <c r="I519" s="5">
        <v>2050</v>
      </c>
      <c r="J519" s="142">
        <v>1.0847</v>
      </c>
      <c r="K519" s="142">
        <v>1.056</v>
      </c>
      <c r="L519" s="142">
        <v>0.43070000000000003</v>
      </c>
      <c r="M519" s="142">
        <v>0.79220000000000002</v>
      </c>
      <c r="N519" s="142">
        <v>0.76280000000000003</v>
      </c>
      <c r="O519" s="142">
        <v>1.0538000000000001</v>
      </c>
      <c r="P519" s="26">
        <v>12906.184306704663</v>
      </c>
      <c r="Q519" s="35">
        <f t="array" ref="Q519">SUM(IF(($S519&gt;=4)*($C519='TaxCred&amp;Subs'!$D$114:$D$121)*($H519='TaxCred&amp;Subs'!$C$114:$C$121)*($H519&lt;='TaxCred&amp;Subs'!$C$123),'TaxCred&amp;Subs'!$E$114:$E$121,0))</f>
        <v>0</v>
      </c>
      <c r="R519" s="143">
        <v>0</v>
      </c>
      <c r="S519" s="5">
        <v>4</v>
      </c>
      <c r="T519" s="5" t="s">
        <v>240</v>
      </c>
      <c r="V519" s="7" t="str">
        <f t="array" ref="V519">INDEX(xlRTCLNAME,MATCH(1,(xlRTCLENDU=1)*(xlRTCLEQCL=$D519),0))</f>
        <v>DIST_FA</v>
      </c>
      <c r="W519" s="7" t="str">
        <f t="array" ref="W519">INDEX(xlRTCLNAME,MATCH(1,(xlRTCLENDU=2)*(xlRTCLEQCL=$F519),0))</f>
        <v>CENT_AIR</v>
      </c>
      <c r="X519" s="7" t="str">
        <f t="array" ref="X519">INDEX(xlRTTYNAME,MATCH(1,(xlRTTYENDU=1)*(xlRTTYEQCL=$D519)*(xlRTEQTYPE=$E519),0))</f>
        <v>DIST_FA3</v>
      </c>
      <c r="Y519" s="7" t="str">
        <f t="array" ref="Y519">INDEX(xlRTTYNAME,MATCH(1,(xlRTTYENDU=2)*(xlRTTYEQCL=$F519)*(xlRTEQTYPE=$G519),0))</f>
        <v>CENT_AIR3</v>
      </c>
    </row>
    <row r="520" spans="2:25" x14ac:dyDescent="0.2">
      <c r="B520" s="5">
        <v>6</v>
      </c>
      <c r="C520" s="5">
        <v>1</v>
      </c>
      <c r="D520" s="5">
        <v>7</v>
      </c>
      <c r="E520" s="5">
        <v>24</v>
      </c>
      <c r="F520" s="5">
        <v>2</v>
      </c>
      <c r="G520" s="31">
        <v>6</v>
      </c>
      <c r="H520" s="31">
        <v>2020</v>
      </c>
      <c r="I520" s="5">
        <v>2022</v>
      </c>
      <c r="J520" s="142">
        <v>1.0907</v>
      </c>
      <c r="K520" s="142">
        <v>1.0603</v>
      </c>
      <c r="L520" s="142">
        <v>0.5444</v>
      </c>
      <c r="M520" s="142">
        <v>0.82889999999999997</v>
      </c>
      <c r="N520" s="142">
        <v>0.89139999999999997</v>
      </c>
      <c r="O520" s="142">
        <v>1.0538000000000001</v>
      </c>
      <c r="P520" s="26">
        <v>12926.352320518663</v>
      </c>
      <c r="Q520" s="35">
        <f t="array" ref="Q520">SUM(IF(($S520&gt;=4)*($C520='TaxCred&amp;Subs'!$D$114:$D$121)*($H520='TaxCred&amp;Subs'!$C$114:$C$121)*($H520&lt;='TaxCred&amp;Subs'!$C$123),'TaxCred&amp;Subs'!$E$114:$E$121,0))</f>
        <v>2000</v>
      </c>
      <c r="R520" s="143">
        <v>0</v>
      </c>
      <c r="S520" s="5">
        <v>4</v>
      </c>
      <c r="T520" s="5" t="s">
        <v>240</v>
      </c>
      <c r="V520" s="7" t="str">
        <f t="array" ref="V520">INDEX(xlRTCLNAME,MATCH(1,(xlRTCLENDU=1)*(xlRTCLEQCL=$D520),0))</f>
        <v>DIST_FA</v>
      </c>
      <c r="W520" s="7" t="str">
        <f t="array" ref="W520">INDEX(xlRTCLNAME,MATCH(1,(xlRTCLENDU=2)*(xlRTCLEQCL=$F520),0))</f>
        <v>CENT_AIR</v>
      </c>
      <c r="X520" s="7" t="str">
        <f t="array" ref="X520">INDEX(xlRTTYNAME,MATCH(1,(xlRTTYENDU=1)*(xlRTTYEQCL=$D520)*(xlRTEQTYPE=$E520),0))</f>
        <v>DIST_FA3</v>
      </c>
      <c r="Y520" s="7" t="str">
        <f t="array" ref="Y520">INDEX(xlRTTYNAME,MATCH(1,(xlRTTYENDU=2)*(xlRTTYEQCL=$F520)*(xlRTEQTYPE=$G520),0))</f>
        <v>CENT_AIR3</v>
      </c>
    </row>
    <row r="521" spans="2:25" x14ac:dyDescent="0.2">
      <c r="B521" s="5">
        <v>6</v>
      </c>
      <c r="C521" s="5">
        <v>1</v>
      </c>
      <c r="D521" s="5">
        <v>7</v>
      </c>
      <c r="E521" s="5">
        <v>24</v>
      </c>
      <c r="F521" s="5">
        <v>2</v>
      </c>
      <c r="G521" s="31">
        <v>6</v>
      </c>
      <c r="H521" s="5">
        <v>2023</v>
      </c>
      <c r="I521" s="5">
        <v>2032</v>
      </c>
      <c r="J521" s="142">
        <v>1.0907</v>
      </c>
      <c r="K521" s="142">
        <v>1.0603</v>
      </c>
      <c r="L521" s="142">
        <v>0.5444</v>
      </c>
      <c r="M521" s="142">
        <v>0.82889999999999997</v>
      </c>
      <c r="N521" s="142">
        <v>0.89139999999999997</v>
      </c>
      <c r="O521" s="142">
        <v>1.0538000000000001</v>
      </c>
      <c r="P521" s="26">
        <v>12926.352320518663</v>
      </c>
      <c r="Q521" s="35">
        <f t="array" ref="Q521">SUM(IF(($S521&gt;=4)*($C521='TaxCred&amp;Subs'!$D$114:$D$121)*($H521='TaxCred&amp;Subs'!$C$114:$C$121)*($H521&lt;='TaxCred&amp;Subs'!$C$123),'TaxCred&amp;Subs'!$E$114:$E$121,0))</f>
        <v>2500</v>
      </c>
      <c r="R521" s="143">
        <v>0</v>
      </c>
      <c r="S521" s="5">
        <v>4</v>
      </c>
      <c r="T521" s="5" t="s">
        <v>240</v>
      </c>
      <c r="V521" s="7" t="str">
        <f t="array" ref="V521">INDEX(xlRTCLNAME,MATCH(1,(xlRTCLENDU=1)*(xlRTCLEQCL=$D521),0))</f>
        <v>DIST_FA</v>
      </c>
      <c r="W521" s="7" t="str">
        <f t="array" ref="W521">INDEX(xlRTCLNAME,MATCH(1,(xlRTCLENDU=2)*(xlRTCLEQCL=$F521),0))</f>
        <v>CENT_AIR</v>
      </c>
      <c r="X521" s="7" t="str">
        <f t="array" ref="X521">INDEX(xlRTTYNAME,MATCH(1,(xlRTTYENDU=1)*(xlRTTYEQCL=$D521)*(xlRTEQTYPE=$E521),0))</f>
        <v>DIST_FA3</v>
      </c>
      <c r="Y521" s="7" t="str">
        <f t="array" ref="Y521">INDEX(xlRTTYNAME,MATCH(1,(xlRTTYENDU=2)*(xlRTTYEQCL=$F521)*(xlRTEQTYPE=$G521),0))</f>
        <v>CENT_AIR3</v>
      </c>
    </row>
    <row r="522" spans="2:25" x14ac:dyDescent="0.2">
      <c r="B522" s="5">
        <v>6</v>
      </c>
      <c r="C522" s="5">
        <v>1</v>
      </c>
      <c r="D522" s="5">
        <v>7</v>
      </c>
      <c r="E522" s="5">
        <v>24</v>
      </c>
      <c r="F522" s="5">
        <v>2</v>
      </c>
      <c r="G522" s="31">
        <v>6</v>
      </c>
      <c r="H522" s="5">
        <v>2033</v>
      </c>
      <c r="I522" s="5">
        <v>2050</v>
      </c>
      <c r="J522" s="142">
        <v>1.0907</v>
      </c>
      <c r="K522" s="142">
        <v>1.0603</v>
      </c>
      <c r="L522" s="142">
        <v>0.5444</v>
      </c>
      <c r="M522" s="142">
        <v>0.82889999999999997</v>
      </c>
      <c r="N522" s="142">
        <v>0.89139999999999997</v>
      </c>
      <c r="O522" s="142">
        <v>1.0538000000000001</v>
      </c>
      <c r="P522" s="26">
        <v>12926.352320518663</v>
      </c>
      <c r="Q522" s="35">
        <f t="array" ref="Q522">SUM(IF(($S522&gt;=4)*($C522='TaxCred&amp;Subs'!$D$114:$D$121)*($H522='TaxCred&amp;Subs'!$C$114:$C$121)*($H522&lt;='TaxCred&amp;Subs'!$C$123),'TaxCred&amp;Subs'!$E$114:$E$121,0))</f>
        <v>0</v>
      </c>
      <c r="R522" s="143">
        <v>0</v>
      </c>
      <c r="S522" s="5">
        <v>4</v>
      </c>
      <c r="T522" s="5" t="s">
        <v>240</v>
      </c>
      <c r="V522" s="7" t="str">
        <f t="array" ref="V522">INDEX(xlRTCLNAME,MATCH(1,(xlRTCLENDU=1)*(xlRTCLEQCL=$D522),0))</f>
        <v>DIST_FA</v>
      </c>
      <c r="W522" s="7" t="str">
        <f t="array" ref="W522">INDEX(xlRTCLNAME,MATCH(1,(xlRTCLENDU=2)*(xlRTCLEQCL=$F522),0))</f>
        <v>CENT_AIR</v>
      </c>
      <c r="X522" s="7" t="str">
        <f t="array" ref="X522">INDEX(xlRTTYNAME,MATCH(1,(xlRTTYENDU=1)*(xlRTTYEQCL=$D522)*(xlRTEQTYPE=$E522),0))</f>
        <v>DIST_FA3</v>
      </c>
      <c r="Y522" s="7" t="str">
        <f t="array" ref="Y522">INDEX(xlRTTYNAME,MATCH(1,(xlRTTYENDU=2)*(xlRTTYEQCL=$F522)*(xlRTEQTYPE=$G522),0))</f>
        <v>CENT_AIR3</v>
      </c>
    </row>
    <row r="523" spans="2:25" x14ac:dyDescent="0.2">
      <c r="B523" s="5">
        <v>7</v>
      </c>
      <c r="C523" s="5">
        <v>1</v>
      </c>
      <c r="D523" s="5">
        <v>7</v>
      </c>
      <c r="E523" s="5">
        <v>24</v>
      </c>
      <c r="F523" s="5">
        <v>2</v>
      </c>
      <c r="G523" s="31">
        <v>6</v>
      </c>
      <c r="H523" s="31">
        <v>2020</v>
      </c>
      <c r="I523" s="5">
        <v>2022</v>
      </c>
      <c r="J523" s="142">
        <v>1.0885</v>
      </c>
      <c r="K523" s="142">
        <v>1.0575000000000001</v>
      </c>
      <c r="L523" s="142">
        <v>0.49830000000000002</v>
      </c>
      <c r="M523" s="142">
        <v>0.70269999999999999</v>
      </c>
      <c r="N523" s="142">
        <v>0.872</v>
      </c>
      <c r="O523" s="142">
        <v>1.0538000000000001</v>
      </c>
      <c r="P523" s="26">
        <v>12322.656440352979</v>
      </c>
      <c r="Q523" s="35">
        <f t="array" ref="Q523">SUM(IF(($S523&gt;=4)*($C523='TaxCred&amp;Subs'!$D$114:$D$121)*($H523='TaxCred&amp;Subs'!$C$114:$C$121)*($H523&lt;='TaxCred&amp;Subs'!$C$123),'TaxCred&amp;Subs'!$E$114:$E$121,0))</f>
        <v>2000</v>
      </c>
      <c r="R523" s="143">
        <v>0</v>
      </c>
      <c r="S523" s="5">
        <v>4</v>
      </c>
      <c r="T523" s="5" t="s">
        <v>240</v>
      </c>
      <c r="V523" s="7" t="str">
        <f t="array" ref="V523">INDEX(xlRTCLNAME,MATCH(1,(xlRTCLENDU=1)*(xlRTCLEQCL=$D523),0))</f>
        <v>DIST_FA</v>
      </c>
      <c r="W523" s="7" t="str">
        <f t="array" ref="W523">INDEX(xlRTCLNAME,MATCH(1,(xlRTCLENDU=2)*(xlRTCLEQCL=$F523),0))</f>
        <v>CENT_AIR</v>
      </c>
      <c r="X523" s="7" t="str">
        <f t="array" ref="X523">INDEX(xlRTTYNAME,MATCH(1,(xlRTTYENDU=1)*(xlRTTYEQCL=$D523)*(xlRTEQTYPE=$E523),0))</f>
        <v>DIST_FA3</v>
      </c>
      <c r="Y523" s="7" t="str">
        <f t="array" ref="Y523">INDEX(xlRTTYNAME,MATCH(1,(xlRTTYENDU=2)*(xlRTTYEQCL=$F523)*(xlRTEQTYPE=$G523),0))</f>
        <v>CENT_AIR3</v>
      </c>
    </row>
    <row r="524" spans="2:25" x14ac:dyDescent="0.2">
      <c r="B524" s="5">
        <v>7</v>
      </c>
      <c r="C524" s="5">
        <v>1</v>
      </c>
      <c r="D524" s="5">
        <v>7</v>
      </c>
      <c r="E524" s="5">
        <v>24</v>
      </c>
      <c r="F524" s="5">
        <v>2</v>
      </c>
      <c r="G524" s="31">
        <v>6</v>
      </c>
      <c r="H524" s="5">
        <v>2023</v>
      </c>
      <c r="I524" s="5">
        <v>2032</v>
      </c>
      <c r="J524" s="142">
        <v>1.0885</v>
      </c>
      <c r="K524" s="142">
        <v>1.0575000000000001</v>
      </c>
      <c r="L524" s="142">
        <v>0.49830000000000002</v>
      </c>
      <c r="M524" s="142">
        <v>0.70269999999999999</v>
      </c>
      <c r="N524" s="142">
        <v>0.872</v>
      </c>
      <c r="O524" s="142">
        <v>1.0538000000000001</v>
      </c>
      <c r="P524" s="26">
        <v>12322.656440352979</v>
      </c>
      <c r="Q524" s="35">
        <f t="array" ref="Q524">SUM(IF(($S524&gt;=4)*($C524='TaxCred&amp;Subs'!$D$114:$D$121)*($H524='TaxCred&amp;Subs'!$C$114:$C$121)*($H524&lt;='TaxCred&amp;Subs'!$C$123),'TaxCred&amp;Subs'!$E$114:$E$121,0))</f>
        <v>2500</v>
      </c>
      <c r="R524" s="143">
        <v>0</v>
      </c>
      <c r="S524" s="5">
        <v>4</v>
      </c>
      <c r="T524" s="5" t="s">
        <v>240</v>
      </c>
      <c r="V524" s="7" t="str">
        <f t="array" ref="V524">INDEX(xlRTCLNAME,MATCH(1,(xlRTCLENDU=1)*(xlRTCLEQCL=$D524),0))</f>
        <v>DIST_FA</v>
      </c>
      <c r="W524" s="7" t="str">
        <f t="array" ref="W524">INDEX(xlRTCLNAME,MATCH(1,(xlRTCLENDU=2)*(xlRTCLEQCL=$F524),0))</f>
        <v>CENT_AIR</v>
      </c>
      <c r="X524" s="7" t="str">
        <f t="array" ref="X524">INDEX(xlRTTYNAME,MATCH(1,(xlRTTYENDU=1)*(xlRTTYEQCL=$D524)*(xlRTEQTYPE=$E524),0))</f>
        <v>DIST_FA3</v>
      </c>
      <c r="Y524" s="7" t="str">
        <f t="array" ref="Y524">INDEX(xlRTTYNAME,MATCH(1,(xlRTTYENDU=2)*(xlRTTYEQCL=$F524)*(xlRTEQTYPE=$G524),0))</f>
        <v>CENT_AIR3</v>
      </c>
    </row>
    <row r="525" spans="2:25" x14ac:dyDescent="0.2">
      <c r="B525" s="5">
        <v>7</v>
      </c>
      <c r="C525" s="5">
        <v>1</v>
      </c>
      <c r="D525" s="5">
        <v>7</v>
      </c>
      <c r="E525" s="5">
        <v>24</v>
      </c>
      <c r="F525" s="5">
        <v>2</v>
      </c>
      <c r="G525" s="31">
        <v>6</v>
      </c>
      <c r="H525" s="5">
        <v>2033</v>
      </c>
      <c r="I525" s="5">
        <v>2050</v>
      </c>
      <c r="J525" s="142">
        <v>1.0885</v>
      </c>
      <c r="K525" s="142">
        <v>1.0575000000000001</v>
      </c>
      <c r="L525" s="142">
        <v>0.49830000000000002</v>
      </c>
      <c r="M525" s="142">
        <v>0.70269999999999999</v>
      </c>
      <c r="N525" s="142">
        <v>0.872</v>
      </c>
      <c r="O525" s="142">
        <v>1.0538000000000001</v>
      </c>
      <c r="P525" s="26">
        <v>12322.656440352979</v>
      </c>
      <c r="Q525" s="35">
        <f t="array" ref="Q525">SUM(IF(($S525&gt;=4)*($C525='TaxCred&amp;Subs'!$D$114:$D$121)*($H525='TaxCred&amp;Subs'!$C$114:$C$121)*($H525&lt;='TaxCred&amp;Subs'!$C$123),'TaxCred&amp;Subs'!$E$114:$E$121,0))</f>
        <v>0</v>
      </c>
      <c r="R525" s="143">
        <v>0</v>
      </c>
      <c r="S525" s="5">
        <v>4</v>
      </c>
      <c r="T525" s="5" t="s">
        <v>240</v>
      </c>
      <c r="V525" s="7" t="str">
        <f t="array" ref="V525">INDEX(xlRTCLNAME,MATCH(1,(xlRTCLENDU=1)*(xlRTCLEQCL=$D525),0))</f>
        <v>DIST_FA</v>
      </c>
      <c r="W525" s="7" t="str">
        <f t="array" ref="W525">INDEX(xlRTCLNAME,MATCH(1,(xlRTCLENDU=2)*(xlRTCLEQCL=$F525),0))</f>
        <v>CENT_AIR</v>
      </c>
      <c r="X525" s="7" t="str">
        <f t="array" ref="X525">INDEX(xlRTTYNAME,MATCH(1,(xlRTTYENDU=1)*(xlRTTYEQCL=$D525)*(xlRTEQTYPE=$E525),0))</f>
        <v>DIST_FA3</v>
      </c>
      <c r="Y525" s="7" t="str">
        <f t="array" ref="Y525">INDEX(xlRTTYNAME,MATCH(1,(xlRTTYENDU=2)*(xlRTTYEQCL=$F525)*(xlRTEQTYPE=$G525),0))</f>
        <v>CENT_AIR3</v>
      </c>
    </row>
    <row r="526" spans="2:25" x14ac:dyDescent="0.2">
      <c r="B526" s="5">
        <v>8</v>
      </c>
      <c r="C526" s="5">
        <v>1</v>
      </c>
      <c r="D526" s="5">
        <v>7</v>
      </c>
      <c r="E526" s="5">
        <v>24</v>
      </c>
      <c r="F526" s="5">
        <v>2</v>
      </c>
      <c r="G526" s="31">
        <v>6</v>
      </c>
      <c r="H526" s="31">
        <v>2020</v>
      </c>
      <c r="I526" s="5">
        <v>2022</v>
      </c>
      <c r="J526" s="142">
        <v>1.0838000000000001</v>
      </c>
      <c r="K526" s="142">
        <v>1.0832999999999999</v>
      </c>
      <c r="L526" s="142">
        <v>0.46579999999999999</v>
      </c>
      <c r="M526" s="142">
        <v>0.78759999999999997</v>
      </c>
      <c r="N526" s="142">
        <v>0.86950000000000005</v>
      </c>
      <c r="O526" s="142">
        <v>1.0538000000000001</v>
      </c>
      <c r="P526" s="26">
        <v>15936.764515821478</v>
      </c>
      <c r="Q526" s="35">
        <f t="array" ref="Q526">SUM(IF(($S526&gt;=4)*($C526='TaxCred&amp;Subs'!$D$114:$D$121)*($H526='TaxCred&amp;Subs'!$C$114:$C$121)*($H526&lt;='TaxCred&amp;Subs'!$C$123),'TaxCred&amp;Subs'!$E$114:$E$121,0))</f>
        <v>2000</v>
      </c>
      <c r="R526" s="143">
        <v>0</v>
      </c>
      <c r="S526" s="5">
        <v>4</v>
      </c>
      <c r="T526" s="5" t="s">
        <v>240</v>
      </c>
      <c r="V526" s="7" t="str">
        <f t="array" ref="V526">INDEX(xlRTCLNAME,MATCH(1,(xlRTCLENDU=1)*(xlRTCLEQCL=$D526),0))</f>
        <v>DIST_FA</v>
      </c>
      <c r="W526" s="7" t="str">
        <f t="array" ref="W526">INDEX(xlRTCLNAME,MATCH(1,(xlRTCLENDU=2)*(xlRTCLEQCL=$F526),0))</f>
        <v>CENT_AIR</v>
      </c>
      <c r="X526" s="7" t="str">
        <f t="array" ref="X526">INDEX(xlRTTYNAME,MATCH(1,(xlRTTYENDU=1)*(xlRTTYEQCL=$D526)*(xlRTEQTYPE=$E526),0))</f>
        <v>DIST_FA3</v>
      </c>
      <c r="Y526" s="7" t="str">
        <f t="array" ref="Y526">INDEX(xlRTTYNAME,MATCH(1,(xlRTTYENDU=2)*(xlRTTYEQCL=$F526)*(xlRTEQTYPE=$G526),0))</f>
        <v>CENT_AIR3</v>
      </c>
    </row>
    <row r="527" spans="2:25" x14ac:dyDescent="0.2">
      <c r="B527" s="5">
        <v>8</v>
      </c>
      <c r="C527" s="5">
        <v>1</v>
      </c>
      <c r="D527" s="5">
        <v>7</v>
      </c>
      <c r="E527" s="5">
        <v>24</v>
      </c>
      <c r="F527" s="5">
        <v>2</v>
      </c>
      <c r="G527" s="31">
        <v>6</v>
      </c>
      <c r="H527" s="5">
        <v>2023</v>
      </c>
      <c r="I527" s="5">
        <v>2032</v>
      </c>
      <c r="J527" s="142">
        <v>1.0838000000000001</v>
      </c>
      <c r="K527" s="142">
        <v>1.0832999999999999</v>
      </c>
      <c r="L527" s="142">
        <v>0.46579999999999999</v>
      </c>
      <c r="M527" s="142">
        <v>0.78759999999999997</v>
      </c>
      <c r="N527" s="142">
        <v>0.86950000000000005</v>
      </c>
      <c r="O527" s="142">
        <v>1.0538000000000001</v>
      </c>
      <c r="P527" s="26">
        <v>15936.764515821478</v>
      </c>
      <c r="Q527" s="35">
        <f t="array" ref="Q527">SUM(IF(($S527&gt;=4)*($C527='TaxCred&amp;Subs'!$D$114:$D$121)*($H527='TaxCred&amp;Subs'!$C$114:$C$121)*($H527&lt;='TaxCred&amp;Subs'!$C$123),'TaxCred&amp;Subs'!$E$114:$E$121,0))</f>
        <v>2500</v>
      </c>
      <c r="R527" s="143">
        <v>0</v>
      </c>
      <c r="S527" s="5">
        <v>4</v>
      </c>
      <c r="T527" s="5" t="s">
        <v>240</v>
      </c>
      <c r="V527" s="7" t="str">
        <f t="array" ref="V527">INDEX(xlRTCLNAME,MATCH(1,(xlRTCLENDU=1)*(xlRTCLEQCL=$D527),0))</f>
        <v>DIST_FA</v>
      </c>
      <c r="W527" s="7" t="str">
        <f t="array" ref="W527">INDEX(xlRTCLNAME,MATCH(1,(xlRTCLENDU=2)*(xlRTCLEQCL=$F527),0))</f>
        <v>CENT_AIR</v>
      </c>
      <c r="X527" s="7" t="str">
        <f t="array" ref="X527">INDEX(xlRTTYNAME,MATCH(1,(xlRTTYENDU=1)*(xlRTTYEQCL=$D527)*(xlRTEQTYPE=$E527),0))</f>
        <v>DIST_FA3</v>
      </c>
      <c r="Y527" s="7" t="str">
        <f t="array" ref="Y527">INDEX(xlRTTYNAME,MATCH(1,(xlRTTYENDU=2)*(xlRTTYEQCL=$F527)*(xlRTEQTYPE=$G527),0))</f>
        <v>CENT_AIR3</v>
      </c>
    </row>
    <row r="528" spans="2:25" x14ac:dyDescent="0.2">
      <c r="B528" s="5">
        <v>8</v>
      </c>
      <c r="C528" s="5">
        <v>1</v>
      </c>
      <c r="D528" s="5">
        <v>7</v>
      </c>
      <c r="E528" s="5">
        <v>24</v>
      </c>
      <c r="F528" s="5">
        <v>2</v>
      </c>
      <c r="G528" s="31">
        <v>6</v>
      </c>
      <c r="H528" s="5">
        <v>2033</v>
      </c>
      <c r="I528" s="5">
        <v>2050</v>
      </c>
      <c r="J528" s="142">
        <v>1.0838000000000001</v>
      </c>
      <c r="K528" s="142">
        <v>1.0832999999999999</v>
      </c>
      <c r="L528" s="142">
        <v>0.46579999999999999</v>
      </c>
      <c r="M528" s="142">
        <v>0.78759999999999997</v>
      </c>
      <c r="N528" s="142">
        <v>0.86950000000000005</v>
      </c>
      <c r="O528" s="142">
        <v>1.0538000000000001</v>
      </c>
      <c r="P528" s="26">
        <v>15936.764515821478</v>
      </c>
      <c r="Q528" s="35">
        <f t="array" ref="Q528">SUM(IF(($S528&gt;=4)*($C528='TaxCred&amp;Subs'!$D$114:$D$121)*($H528='TaxCred&amp;Subs'!$C$114:$C$121)*($H528&lt;='TaxCred&amp;Subs'!$C$123),'TaxCred&amp;Subs'!$E$114:$E$121,0))</f>
        <v>0</v>
      </c>
      <c r="R528" s="143">
        <v>0</v>
      </c>
      <c r="S528" s="5">
        <v>4</v>
      </c>
      <c r="T528" s="5" t="s">
        <v>240</v>
      </c>
      <c r="V528" s="7" t="str">
        <f t="array" ref="V528">INDEX(xlRTCLNAME,MATCH(1,(xlRTCLENDU=1)*(xlRTCLEQCL=$D528),0))</f>
        <v>DIST_FA</v>
      </c>
      <c r="W528" s="7" t="str">
        <f t="array" ref="W528">INDEX(xlRTCLNAME,MATCH(1,(xlRTCLENDU=2)*(xlRTCLEQCL=$F528),0))</f>
        <v>CENT_AIR</v>
      </c>
      <c r="X528" s="7" t="str">
        <f t="array" ref="X528">INDEX(xlRTTYNAME,MATCH(1,(xlRTTYENDU=1)*(xlRTTYEQCL=$D528)*(xlRTEQTYPE=$E528),0))</f>
        <v>DIST_FA3</v>
      </c>
      <c r="Y528" s="7" t="str">
        <f t="array" ref="Y528">INDEX(xlRTTYNAME,MATCH(1,(xlRTTYENDU=2)*(xlRTTYEQCL=$F528)*(xlRTEQTYPE=$G528),0))</f>
        <v>CENT_AIR3</v>
      </c>
    </row>
    <row r="529" spans="2:25" x14ac:dyDescent="0.2">
      <c r="B529" s="5">
        <v>9</v>
      </c>
      <c r="C529" s="5">
        <v>1</v>
      </c>
      <c r="D529" s="5">
        <v>7</v>
      </c>
      <c r="E529" s="5">
        <v>24</v>
      </c>
      <c r="F529" s="5">
        <v>2</v>
      </c>
      <c r="G529" s="31">
        <v>6</v>
      </c>
      <c r="H529" s="31">
        <v>2020</v>
      </c>
      <c r="I529" s="5">
        <v>2022</v>
      </c>
      <c r="J529" s="142">
        <v>1.0790999999999999</v>
      </c>
      <c r="K529" s="142">
        <v>1.0722</v>
      </c>
      <c r="L529" s="142">
        <v>0.5464</v>
      </c>
      <c r="M529" s="142">
        <v>0.82330000000000003</v>
      </c>
      <c r="N529" s="142">
        <v>1.0336000000000001</v>
      </c>
      <c r="O529" s="142">
        <v>1.0538000000000001</v>
      </c>
      <c r="P529" s="26">
        <v>17098.442111507782</v>
      </c>
      <c r="Q529" s="35">
        <f t="array" ref="Q529">SUM(IF(($S529&gt;=4)*($C529='TaxCred&amp;Subs'!$D$114:$D$121)*($H529='TaxCred&amp;Subs'!$C$114:$C$121)*($H529&lt;='TaxCred&amp;Subs'!$C$123),'TaxCred&amp;Subs'!$E$114:$E$121,0))</f>
        <v>2000</v>
      </c>
      <c r="R529" s="143">
        <v>0</v>
      </c>
      <c r="S529" s="5">
        <v>4</v>
      </c>
      <c r="T529" s="5" t="s">
        <v>240</v>
      </c>
      <c r="V529" s="7" t="str">
        <f t="array" ref="V529">INDEX(xlRTCLNAME,MATCH(1,(xlRTCLENDU=1)*(xlRTCLEQCL=$D529),0))</f>
        <v>DIST_FA</v>
      </c>
      <c r="W529" s="7" t="str">
        <f t="array" ref="W529">INDEX(xlRTCLNAME,MATCH(1,(xlRTCLENDU=2)*(xlRTCLEQCL=$F529),0))</f>
        <v>CENT_AIR</v>
      </c>
      <c r="X529" s="7" t="str">
        <f t="array" ref="X529">INDEX(xlRTTYNAME,MATCH(1,(xlRTTYENDU=1)*(xlRTTYEQCL=$D529)*(xlRTEQTYPE=$E529),0))</f>
        <v>DIST_FA3</v>
      </c>
      <c r="Y529" s="7" t="str">
        <f t="array" ref="Y529">INDEX(xlRTTYNAME,MATCH(1,(xlRTTYENDU=2)*(xlRTTYEQCL=$F529)*(xlRTEQTYPE=$G529),0))</f>
        <v>CENT_AIR3</v>
      </c>
    </row>
    <row r="530" spans="2:25" x14ac:dyDescent="0.2">
      <c r="B530" s="5">
        <v>9</v>
      </c>
      <c r="C530" s="5">
        <v>1</v>
      </c>
      <c r="D530" s="5">
        <v>7</v>
      </c>
      <c r="E530" s="5">
        <v>24</v>
      </c>
      <c r="F530" s="5">
        <v>2</v>
      </c>
      <c r="G530" s="31">
        <v>6</v>
      </c>
      <c r="H530" s="5">
        <v>2023</v>
      </c>
      <c r="I530" s="5">
        <v>2032</v>
      </c>
      <c r="J530" s="142">
        <v>1.0790999999999999</v>
      </c>
      <c r="K530" s="142">
        <v>1.0722</v>
      </c>
      <c r="L530" s="142">
        <v>0.5464</v>
      </c>
      <c r="M530" s="142">
        <v>0.82330000000000003</v>
      </c>
      <c r="N530" s="142">
        <v>1.0336000000000001</v>
      </c>
      <c r="O530" s="142">
        <v>1.0538000000000001</v>
      </c>
      <c r="P530" s="26">
        <v>17098.442111507782</v>
      </c>
      <c r="Q530" s="35">
        <f t="array" ref="Q530">SUM(IF(($S530&gt;=4)*($C530='TaxCred&amp;Subs'!$D$114:$D$121)*($H530='TaxCred&amp;Subs'!$C$114:$C$121)*($H530&lt;='TaxCred&amp;Subs'!$C$123),'TaxCred&amp;Subs'!$E$114:$E$121,0))</f>
        <v>2500</v>
      </c>
      <c r="R530" s="143">
        <v>0</v>
      </c>
      <c r="S530" s="5">
        <v>4</v>
      </c>
      <c r="T530" s="5" t="s">
        <v>240</v>
      </c>
      <c r="V530" s="7" t="str">
        <f t="array" ref="V530">INDEX(xlRTCLNAME,MATCH(1,(xlRTCLENDU=1)*(xlRTCLEQCL=$D530),0))</f>
        <v>DIST_FA</v>
      </c>
      <c r="W530" s="7" t="str">
        <f t="array" ref="W530">INDEX(xlRTCLNAME,MATCH(1,(xlRTCLENDU=2)*(xlRTCLEQCL=$F530),0))</f>
        <v>CENT_AIR</v>
      </c>
      <c r="X530" s="7" t="str">
        <f t="array" ref="X530">INDEX(xlRTTYNAME,MATCH(1,(xlRTTYENDU=1)*(xlRTTYEQCL=$D530)*(xlRTEQTYPE=$E530),0))</f>
        <v>DIST_FA3</v>
      </c>
      <c r="Y530" s="7" t="str">
        <f t="array" ref="Y530">INDEX(xlRTTYNAME,MATCH(1,(xlRTTYENDU=2)*(xlRTTYEQCL=$F530)*(xlRTEQTYPE=$G530),0))</f>
        <v>CENT_AIR3</v>
      </c>
    </row>
    <row r="531" spans="2:25" x14ac:dyDescent="0.2">
      <c r="B531" s="5">
        <v>9</v>
      </c>
      <c r="C531" s="5">
        <v>1</v>
      </c>
      <c r="D531" s="5">
        <v>7</v>
      </c>
      <c r="E531" s="5">
        <v>24</v>
      </c>
      <c r="F531" s="5">
        <v>2</v>
      </c>
      <c r="G531" s="31">
        <v>6</v>
      </c>
      <c r="H531" s="5">
        <v>2033</v>
      </c>
      <c r="I531" s="5">
        <v>2050</v>
      </c>
      <c r="J531" s="142">
        <v>1.0790999999999999</v>
      </c>
      <c r="K531" s="142">
        <v>1.0722</v>
      </c>
      <c r="L531" s="142">
        <v>0.5464</v>
      </c>
      <c r="M531" s="142">
        <v>0.82330000000000003</v>
      </c>
      <c r="N531" s="142">
        <v>1.0336000000000001</v>
      </c>
      <c r="O531" s="142">
        <v>1.0538000000000001</v>
      </c>
      <c r="P531" s="26">
        <v>17098.442111507782</v>
      </c>
      <c r="Q531" s="35">
        <f t="array" ref="Q531">SUM(IF(($S531&gt;=4)*($C531='TaxCred&amp;Subs'!$D$114:$D$121)*($H531='TaxCred&amp;Subs'!$C$114:$C$121)*($H531&lt;='TaxCred&amp;Subs'!$C$123),'TaxCred&amp;Subs'!$E$114:$E$121,0))</f>
        <v>0</v>
      </c>
      <c r="R531" s="143">
        <v>0</v>
      </c>
      <c r="S531" s="5">
        <v>4</v>
      </c>
      <c r="T531" s="5" t="s">
        <v>240</v>
      </c>
      <c r="V531" s="7" t="str">
        <f t="array" ref="V531">INDEX(xlRTCLNAME,MATCH(1,(xlRTCLENDU=1)*(xlRTCLEQCL=$D531),0))</f>
        <v>DIST_FA</v>
      </c>
      <c r="W531" s="7" t="str">
        <f t="array" ref="W531">INDEX(xlRTCLNAME,MATCH(1,(xlRTCLENDU=2)*(xlRTCLEQCL=$F531),0))</f>
        <v>CENT_AIR</v>
      </c>
      <c r="X531" s="7" t="str">
        <f t="array" ref="X531">INDEX(xlRTTYNAME,MATCH(1,(xlRTTYENDU=1)*(xlRTTYEQCL=$D531)*(xlRTEQTYPE=$E531),0))</f>
        <v>DIST_FA3</v>
      </c>
      <c r="Y531" s="7" t="str">
        <f t="array" ref="Y531">INDEX(xlRTTYNAME,MATCH(1,(xlRTTYENDU=2)*(xlRTTYEQCL=$F531)*(xlRTEQTYPE=$G531),0))</f>
        <v>CENT_AIR3</v>
      </c>
    </row>
    <row r="532" spans="2:25" x14ac:dyDescent="0.2">
      <c r="B532" s="5">
        <v>1</v>
      </c>
      <c r="C532" s="5">
        <v>1</v>
      </c>
      <c r="D532" s="5">
        <v>8</v>
      </c>
      <c r="E532" s="31">
        <v>27</v>
      </c>
      <c r="F532" s="5">
        <v>2</v>
      </c>
      <c r="G532" s="31">
        <v>6</v>
      </c>
      <c r="H532" s="31">
        <v>2020</v>
      </c>
      <c r="I532" s="5">
        <v>2022</v>
      </c>
      <c r="J532" s="142">
        <v>1.0592999999999999</v>
      </c>
      <c r="K532" s="142">
        <v>1.0889</v>
      </c>
      <c r="L532" s="142">
        <v>0.4773</v>
      </c>
      <c r="M532" s="142">
        <v>0.95850000000000002</v>
      </c>
      <c r="N532" s="142">
        <v>0.8095</v>
      </c>
      <c r="O532" s="142">
        <v>1.0538000000000001</v>
      </c>
      <c r="P532" s="26">
        <v>16549.872135767029</v>
      </c>
      <c r="Q532" s="35">
        <f t="array" ref="Q532">SUM(IF(($S532&gt;=4)*($C532='TaxCred&amp;Subs'!$D$114:$D$121)*($H532='TaxCred&amp;Subs'!$C$114:$C$121)*($H532&lt;='TaxCred&amp;Subs'!$C$123),'TaxCred&amp;Subs'!$E$114:$E$121,0))</f>
        <v>2000</v>
      </c>
      <c r="R532" s="143">
        <v>0</v>
      </c>
      <c r="S532" s="5">
        <v>4</v>
      </c>
      <c r="T532" s="5" t="s">
        <v>240</v>
      </c>
      <c r="V532" s="7" t="str">
        <f t="array" ref="V532">INDEX(xlRTCLNAME,MATCH(1,(xlRTCLENDU=1)*(xlRTCLEQCL=$D532),0))</f>
        <v>DIST_RAD</v>
      </c>
      <c r="W532" s="7" t="str">
        <f t="array" ref="W532">INDEX(xlRTCLNAME,MATCH(1,(xlRTCLENDU=2)*(xlRTCLEQCL=$F532),0))</f>
        <v>CENT_AIR</v>
      </c>
      <c r="X532" s="7" t="str">
        <f t="array" ref="X532">INDEX(xlRTTYNAME,MATCH(1,(xlRTTYENDU=1)*(xlRTTYEQCL=$D532)*(xlRTEQTYPE=$E532),0))</f>
        <v>DIST_RAD3</v>
      </c>
      <c r="Y532" s="7" t="str">
        <f t="array" ref="Y532">INDEX(xlRTTYNAME,MATCH(1,(xlRTTYENDU=2)*(xlRTTYEQCL=$F532)*(xlRTEQTYPE=$G532),0))</f>
        <v>CENT_AIR3</v>
      </c>
    </row>
    <row r="533" spans="2:25" x14ac:dyDescent="0.2">
      <c r="B533" s="5">
        <v>1</v>
      </c>
      <c r="C533" s="5">
        <v>1</v>
      </c>
      <c r="D533" s="5">
        <v>8</v>
      </c>
      <c r="E533" s="31">
        <v>27</v>
      </c>
      <c r="F533" s="5">
        <v>2</v>
      </c>
      <c r="G533" s="31">
        <v>6</v>
      </c>
      <c r="H533" s="5">
        <v>2023</v>
      </c>
      <c r="I533" s="5">
        <v>2032</v>
      </c>
      <c r="J533" s="142">
        <v>1.0592999999999999</v>
      </c>
      <c r="K533" s="142">
        <v>1.0889</v>
      </c>
      <c r="L533" s="142">
        <v>0.4773</v>
      </c>
      <c r="M533" s="142">
        <v>0.95850000000000002</v>
      </c>
      <c r="N533" s="142">
        <v>0.8095</v>
      </c>
      <c r="O533" s="142">
        <v>1.0538000000000001</v>
      </c>
      <c r="P533" s="26">
        <v>16549.872135767029</v>
      </c>
      <c r="Q533" s="35">
        <f t="array" ref="Q533">SUM(IF(($S533&gt;=4)*($C533='TaxCred&amp;Subs'!$D$114:$D$121)*($H533='TaxCred&amp;Subs'!$C$114:$C$121)*($H533&lt;='TaxCred&amp;Subs'!$C$123),'TaxCred&amp;Subs'!$E$114:$E$121,0))</f>
        <v>2500</v>
      </c>
      <c r="R533" s="143">
        <v>0</v>
      </c>
      <c r="S533" s="5">
        <v>4</v>
      </c>
      <c r="T533" s="5" t="s">
        <v>240</v>
      </c>
      <c r="V533" s="7" t="str">
        <f t="array" ref="V533">INDEX(xlRTCLNAME,MATCH(1,(xlRTCLENDU=1)*(xlRTCLEQCL=$D533),0))</f>
        <v>DIST_RAD</v>
      </c>
      <c r="W533" s="7" t="str">
        <f t="array" ref="W533">INDEX(xlRTCLNAME,MATCH(1,(xlRTCLENDU=2)*(xlRTCLEQCL=$F533),0))</f>
        <v>CENT_AIR</v>
      </c>
      <c r="X533" s="7" t="str">
        <f t="array" ref="X533">INDEX(xlRTTYNAME,MATCH(1,(xlRTTYENDU=1)*(xlRTTYEQCL=$D533)*(xlRTEQTYPE=$E533),0))</f>
        <v>DIST_RAD3</v>
      </c>
      <c r="Y533" s="7" t="str">
        <f t="array" ref="Y533">INDEX(xlRTTYNAME,MATCH(1,(xlRTTYENDU=2)*(xlRTTYEQCL=$F533)*(xlRTEQTYPE=$G533),0))</f>
        <v>CENT_AIR3</v>
      </c>
    </row>
    <row r="534" spans="2:25" x14ac:dyDescent="0.2">
      <c r="B534" s="5">
        <v>1</v>
      </c>
      <c r="C534" s="5">
        <v>1</v>
      </c>
      <c r="D534" s="5">
        <v>8</v>
      </c>
      <c r="E534" s="31">
        <v>27</v>
      </c>
      <c r="F534" s="5">
        <v>2</v>
      </c>
      <c r="G534" s="31">
        <v>6</v>
      </c>
      <c r="H534" s="5">
        <v>2033</v>
      </c>
      <c r="I534" s="5">
        <v>2050</v>
      </c>
      <c r="J534" s="142">
        <v>1.0592999999999999</v>
      </c>
      <c r="K534" s="142">
        <v>1.0889</v>
      </c>
      <c r="L534" s="142">
        <v>0.4773</v>
      </c>
      <c r="M534" s="142">
        <v>0.95850000000000002</v>
      </c>
      <c r="N534" s="142">
        <v>0.8095</v>
      </c>
      <c r="O534" s="142">
        <v>1.0538000000000001</v>
      </c>
      <c r="P534" s="26">
        <v>16549.872135767029</v>
      </c>
      <c r="Q534" s="35">
        <f t="array" ref="Q534">SUM(IF(($S534&gt;=4)*($C534='TaxCred&amp;Subs'!$D$114:$D$121)*($H534='TaxCred&amp;Subs'!$C$114:$C$121)*($H534&lt;='TaxCred&amp;Subs'!$C$123),'TaxCred&amp;Subs'!$E$114:$E$121,0))</f>
        <v>0</v>
      </c>
      <c r="R534" s="143">
        <v>0</v>
      </c>
      <c r="S534" s="5">
        <v>4</v>
      </c>
      <c r="T534" s="5" t="s">
        <v>240</v>
      </c>
      <c r="V534" s="7" t="str">
        <f t="array" ref="V534">INDEX(xlRTCLNAME,MATCH(1,(xlRTCLENDU=1)*(xlRTCLEQCL=$D534),0))</f>
        <v>DIST_RAD</v>
      </c>
      <c r="W534" s="7" t="str">
        <f t="array" ref="W534">INDEX(xlRTCLNAME,MATCH(1,(xlRTCLENDU=2)*(xlRTCLEQCL=$F534),0))</f>
        <v>CENT_AIR</v>
      </c>
      <c r="X534" s="7" t="str">
        <f t="array" ref="X534">INDEX(xlRTTYNAME,MATCH(1,(xlRTTYENDU=1)*(xlRTTYEQCL=$D534)*(xlRTEQTYPE=$E534),0))</f>
        <v>DIST_RAD3</v>
      </c>
      <c r="Y534" s="7" t="str">
        <f t="array" ref="Y534">INDEX(xlRTTYNAME,MATCH(1,(xlRTTYENDU=2)*(xlRTTYEQCL=$F534)*(xlRTEQTYPE=$G534),0))</f>
        <v>CENT_AIR3</v>
      </c>
    </row>
    <row r="535" spans="2:25" x14ac:dyDescent="0.2">
      <c r="B535" s="5">
        <v>2</v>
      </c>
      <c r="C535" s="5">
        <v>1</v>
      </c>
      <c r="D535" s="5">
        <v>8</v>
      </c>
      <c r="E535" s="31">
        <v>27</v>
      </c>
      <c r="F535" s="5">
        <v>2</v>
      </c>
      <c r="G535" s="31">
        <v>6</v>
      </c>
      <c r="H535" s="31">
        <v>2020</v>
      </c>
      <c r="I535" s="5">
        <v>2022</v>
      </c>
      <c r="J535" s="142">
        <v>1.0717000000000001</v>
      </c>
      <c r="K535" s="142">
        <v>1.0895999999999999</v>
      </c>
      <c r="L535" s="142">
        <v>0.52270000000000005</v>
      </c>
      <c r="M535" s="142">
        <v>0.83919999999999995</v>
      </c>
      <c r="N535" s="142">
        <v>0.92630000000000001</v>
      </c>
      <c r="O535" s="142">
        <v>1.0538000000000001</v>
      </c>
      <c r="P535" s="26">
        <v>17060.79515238832</v>
      </c>
      <c r="Q535" s="35">
        <f t="array" ref="Q535">SUM(IF(($S535&gt;=4)*($C535='TaxCred&amp;Subs'!$D$114:$D$121)*($H535='TaxCred&amp;Subs'!$C$114:$C$121)*($H535&lt;='TaxCred&amp;Subs'!$C$123),'TaxCred&amp;Subs'!$E$114:$E$121,0))</f>
        <v>2000</v>
      </c>
      <c r="R535" s="143">
        <v>0</v>
      </c>
      <c r="S535" s="5">
        <v>4</v>
      </c>
      <c r="T535" s="5" t="s">
        <v>240</v>
      </c>
      <c r="V535" s="7" t="str">
        <f t="array" ref="V535">INDEX(xlRTCLNAME,MATCH(1,(xlRTCLENDU=1)*(xlRTCLEQCL=$D535),0))</f>
        <v>DIST_RAD</v>
      </c>
      <c r="W535" s="7" t="str">
        <f t="array" ref="W535">INDEX(xlRTCLNAME,MATCH(1,(xlRTCLENDU=2)*(xlRTCLEQCL=$F535),0))</f>
        <v>CENT_AIR</v>
      </c>
      <c r="X535" s="7" t="str">
        <f t="array" ref="X535">INDEX(xlRTTYNAME,MATCH(1,(xlRTTYENDU=1)*(xlRTTYEQCL=$D535)*(xlRTEQTYPE=$E535),0))</f>
        <v>DIST_RAD3</v>
      </c>
      <c r="Y535" s="7" t="str">
        <f t="array" ref="Y535">INDEX(xlRTTYNAME,MATCH(1,(xlRTTYENDU=2)*(xlRTTYEQCL=$F535)*(xlRTEQTYPE=$G535),0))</f>
        <v>CENT_AIR3</v>
      </c>
    </row>
    <row r="536" spans="2:25" x14ac:dyDescent="0.2">
      <c r="B536" s="5">
        <v>2</v>
      </c>
      <c r="C536" s="5">
        <v>1</v>
      </c>
      <c r="D536" s="5">
        <v>8</v>
      </c>
      <c r="E536" s="31">
        <v>27</v>
      </c>
      <c r="F536" s="5">
        <v>2</v>
      </c>
      <c r="G536" s="31">
        <v>6</v>
      </c>
      <c r="H536" s="5">
        <v>2023</v>
      </c>
      <c r="I536" s="5">
        <v>2032</v>
      </c>
      <c r="J536" s="142">
        <v>1.0717000000000001</v>
      </c>
      <c r="K536" s="142">
        <v>1.0895999999999999</v>
      </c>
      <c r="L536" s="142">
        <v>0.52270000000000005</v>
      </c>
      <c r="M536" s="142">
        <v>0.83919999999999995</v>
      </c>
      <c r="N536" s="142">
        <v>0.92630000000000001</v>
      </c>
      <c r="O536" s="142">
        <v>1.0538000000000001</v>
      </c>
      <c r="P536" s="26">
        <v>17060.79515238832</v>
      </c>
      <c r="Q536" s="35">
        <f t="array" ref="Q536">SUM(IF(($S536&gt;=4)*($C536='TaxCred&amp;Subs'!$D$114:$D$121)*($H536='TaxCred&amp;Subs'!$C$114:$C$121)*($H536&lt;='TaxCred&amp;Subs'!$C$123),'TaxCred&amp;Subs'!$E$114:$E$121,0))</f>
        <v>2500</v>
      </c>
      <c r="R536" s="143">
        <v>0</v>
      </c>
      <c r="S536" s="5">
        <v>4</v>
      </c>
      <c r="T536" s="5" t="s">
        <v>240</v>
      </c>
      <c r="V536" s="7" t="str">
        <f t="array" ref="V536">INDEX(xlRTCLNAME,MATCH(1,(xlRTCLENDU=1)*(xlRTCLEQCL=$D536),0))</f>
        <v>DIST_RAD</v>
      </c>
      <c r="W536" s="7" t="str">
        <f t="array" ref="W536">INDEX(xlRTCLNAME,MATCH(1,(xlRTCLENDU=2)*(xlRTCLEQCL=$F536),0))</f>
        <v>CENT_AIR</v>
      </c>
      <c r="X536" s="7" t="str">
        <f t="array" ref="X536">INDEX(xlRTTYNAME,MATCH(1,(xlRTTYENDU=1)*(xlRTTYEQCL=$D536)*(xlRTEQTYPE=$E536),0))</f>
        <v>DIST_RAD3</v>
      </c>
      <c r="Y536" s="7" t="str">
        <f t="array" ref="Y536">INDEX(xlRTTYNAME,MATCH(1,(xlRTTYENDU=2)*(xlRTTYEQCL=$F536)*(xlRTEQTYPE=$G536),0))</f>
        <v>CENT_AIR3</v>
      </c>
    </row>
    <row r="537" spans="2:25" x14ac:dyDescent="0.2">
      <c r="B537" s="5">
        <v>2</v>
      </c>
      <c r="C537" s="5">
        <v>1</v>
      </c>
      <c r="D537" s="5">
        <v>8</v>
      </c>
      <c r="E537" s="31">
        <v>27</v>
      </c>
      <c r="F537" s="5">
        <v>2</v>
      </c>
      <c r="G537" s="31">
        <v>6</v>
      </c>
      <c r="H537" s="5">
        <v>2033</v>
      </c>
      <c r="I537" s="5">
        <v>2050</v>
      </c>
      <c r="J537" s="142">
        <v>1.0717000000000001</v>
      </c>
      <c r="K537" s="142">
        <v>1.0895999999999999</v>
      </c>
      <c r="L537" s="142">
        <v>0.52270000000000005</v>
      </c>
      <c r="M537" s="142">
        <v>0.83919999999999995</v>
      </c>
      <c r="N537" s="142">
        <v>0.92630000000000001</v>
      </c>
      <c r="O537" s="142">
        <v>1.0538000000000001</v>
      </c>
      <c r="P537" s="26">
        <v>17060.79515238832</v>
      </c>
      <c r="Q537" s="35">
        <f t="array" ref="Q537">SUM(IF(($S537&gt;=4)*($C537='TaxCred&amp;Subs'!$D$114:$D$121)*($H537='TaxCred&amp;Subs'!$C$114:$C$121)*($H537&lt;='TaxCred&amp;Subs'!$C$123),'TaxCred&amp;Subs'!$E$114:$E$121,0))</f>
        <v>0</v>
      </c>
      <c r="R537" s="143">
        <v>0</v>
      </c>
      <c r="S537" s="5">
        <v>4</v>
      </c>
      <c r="T537" s="5" t="s">
        <v>240</v>
      </c>
      <c r="V537" s="7" t="str">
        <f t="array" ref="V537">INDEX(xlRTCLNAME,MATCH(1,(xlRTCLENDU=1)*(xlRTCLEQCL=$D537),0))</f>
        <v>DIST_RAD</v>
      </c>
      <c r="W537" s="7" t="str">
        <f t="array" ref="W537">INDEX(xlRTCLNAME,MATCH(1,(xlRTCLENDU=2)*(xlRTCLEQCL=$F537),0))</f>
        <v>CENT_AIR</v>
      </c>
      <c r="X537" s="7" t="str">
        <f t="array" ref="X537">INDEX(xlRTTYNAME,MATCH(1,(xlRTTYENDU=1)*(xlRTTYEQCL=$D537)*(xlRTEQTYPE=$E537),0))</f>
        <v>DIST_RAD3</v>
      </c>
      <c r="Y537" s="7" t="str">
        <f t="array" ref="Y537">INDEX(xlRTTYNAME,MATCH(1,(xlRTTYENDU=2)*(xlRTTYEQCL=$F537)*(xlRTEQTYPE=$G537),0))</f>
        <v>CENT_AIR3</v>
      </c>
    </row>
    <row r="538" spans="2:25" x14ac:dyDescent="0.2">
      <c r="B538" s="5">
        <v>3</v>
      </c>
      <c r="C538" s="5">
        <v>1</v>
      </c>
      <c r="D538" s="5">
        <v>8</v>
      </c>
      <c r="E538" s="31">
        <v>27</v>
      </c>
      <c r="F538" s="5">
        <v>2</v>
      </c>
      <c r="G538" s="31">
        <v>6</v>
      </c>
      <c r="H538" s="31">
        <v>2020</v>
      </c>
      <c r="I538" s="5">
        <v>2022</v>
      </c>
      <c r="J538" s="142">
        <v>1.0821000000000001</v>
      </c>
      <c r="K538" s="142">
        <v>1.0769</v>
      </c>
      <c r="L538" s="142">
        <v>0.46970000000000001</v>
      </c>
      <c r="M538" s="142">
        <v>0.91859999999999997</v>
      </c>
      <c r="N538" s="142">
        <v>0.91400000000000003</v>
      </c>
      <c r="O538" s="142">
        <v>1.0538000000000001</v>
      </c>
      <c r="P538" s="26">
        <v>14781.809591406507</v>
      </c>
      <c r="Q538" s="35">
        <f t="array" ref="Q538">SUM(IF(($S538&gt;=4)*($C538='TaxCred&amp;Subs'!$D$114:$D$121)*($H538='TaxCred&amp;Subs'!$C$114:$C$121)*($H538&lt;='TaxCred&amp;Subs'!$C$123),'TaxCred&amp;Subs'!$E$114:$E$121,0))</f>
        <v>2000</v>
      </c>
      <c r="R538" s="143">
        <v>0</v>
      </c>
      <c r="S538" s="5">
        <v>4</v>
      </c>
      <c r="T538" s="5" t="s">
        <v>240</v>
      </c>
      <c r="V538" s="7" t="str">
        <f t="array" ref="V538">INDEX(xlRTCLNAME,MATCH(1,(xlRTCLENDU=1)*(xlRTCLEQCL=$D538),0))</f>
        <v>DIST_RAD</v>
      </c>
      <c r="W538" s="7" t="str">
        <f t="array" ref="W538">INDEX(xlRTCLNAME,MATCH(1,(xlRTCLENDU=2)*(xlRTCLEQCL=$F538),0))</f>
        <v>CENT_AIR</v>
      </c>
      <c r="X538" s="7" t="str">
        <f t="array" ref="X538">INDEX(xlRTTYNAME,MATCH(1,(xlRTTYENDU=1)*(xlRTTYEQCL=$D538)*(xlRTEQTYPE=$E538),0))</f>
        <v>DIST_RAD3</v>
      </c>
      <c r="Y538" s="7" t="str">
        <f t="array" ref="Y538">INDEX(xlRTTYNAME,MATCH(1,(xlRTTYENDU=2)*(xlRTTYEQCL=$F538)*(xlRTEQTYPE=$G538),0))</f>
        <v>CENT_AIR3</v>
      </c>
    </row>
    <row r="539" spans="2:25" x14ac:dyDescent="0.2">
      <c r="B539" s="5">
        <v>3</v>
      </c>
      <c r="C539" s="5">
        <v>1</v>
      </c>
      <c r="D539" s="5">
        <v>8</v>
      </c>
      <c r="E539" s="31">
        <v>27</v>
      </c>
      <c r="F539" s="5">
        <v>2</v>
      </c>
      <c r="G539" s="31">
        <v>6</v>
      </c>
      <c r="H539" s="5">
        <v>2023</v>
      </c>
      <c r="I539" s="5">
        <v>2032</v>
      </c>
      <c r="J539" s="142">
        <v>1.0821000000000001</v>
      </c>
      <c r="K539" s="142">
        <v>1.0769</v>
      </c>
      <c r="L539" s="142">
        <v>0.46970000000000001</v>
      </c>
      <c r="M539" s="142">
        <v>0.91859999999999997</v>
      </c>
      <c r="N539" s="142">
        <v>0.91400000000000003</v>
      </c>
      <c r="O539" s="142">
        <v>1.0538000000000001</v>
      </c>
      <c r="P539" s="26">
        <v>14781.809591406507</v>
      </c>
      <c r="Q539" s="35">
        <f t="array" ref="Q539">SUM(IF(($S539&gt;=4)*($C539='TaxCred&amp;Subs'!$D$114:$D$121)*($H539='TaxCred&amp;Subs'!$C$114:$C$121)*($H539&lt;='TaxCred&amp;Subs'!$C$123),'TaxCred&amp;Subs'!$E$114:$E$121,0))</f>
        <v>2500</v>
      </c>
      <c r="R539" s="143">
        <v>0</v>
      </c>
      <c r="S539" s="5">
        <v>4</v>
      </c>
      <c r="T539" s="5" t="s">
        <v>240</v>
      </c>
      <c r="V539" s="7" t="str">
        <f t="array" ref="V539">INDEX(xlRTCLNAME,MATCH(1,(xlRTCLENDU=1)*(xlRTCLEQCL=$D539),0))</f>
        <v>DIST_RAD</v>
      </c>
      <c r="W539" s="7" t="str">
        <f t="array" ref="W539">INDEX(xlRTCLNAME,MATCH(1,(xlRTCLENDU=2)*(xlRTCLEQCL=$F539),0))</f>
        <v>CENT_AIR</v>
      </c>
      <c r="X539" s="7" t="str">
        <f t="array" ref="X539">INDEX(xlRTTYNAME,MATCH(1,(xlRTTYENDU=1)*(xlRTTYEQCL=$D539)*(xlRTEQTYPE=$E539),0))</f>
        <v>DIST_RAD3</v>
      </c>
      <c r="Y539" s="7" t="str">
        <f t="array" ref="Y539">INDEX(xlRTTYNAME,MATCH(1,(xlRTTYENDU=2)*(xlRTTYEQCL=$F539)*(xlRTEQTYPE=$G539),0))</f>
        <v>CENT_AIR3</v>
      </c>
    </row>
    <row r="540" spans="2:25" x14ac:dyDescent="0.2">
      <c r="B540" s="5">
        <v>3</v>
      </c>
      <c r="C540" s="5">
        <v>1</v>
      </c>
      <c r="D540" s="5">
        <v>8</v>
      </c>
      <c r="E540" s="31">
        <v>27</v>
      </c>
      <c r="F540" s="5">
        <v>2</v>
      </c>
      <c r="G540" s="31">
        <v>6</v>
      </c>
      <c r="H540" s="5">
        <v>2033</v>
      </c>
      <c r="I540" s="5">
        <v>2050</v>
      </c>
      <c r="J540" s="142">
        <v>1.0821000000000001</v>
      </c>
      <c r="K540" s="142">
        <v>1.0769</v>
      </c>
      <c r="L540" s="142">
        <v>0.46970000000000001</v>
      </c>
      <c r="M540" s="142">
        <v>0.91859999999999997</v>
      </c>
      <c r="N540" s="142">
        <v>0.91400000000000003</v>
      </c>
      <c r="O540" s="142">
        <v>1.0538000000000001</v>
      </c>
      <c r="P540" s="26">
        <v>14781.809591406507</v>
      </c>
      <c r="Q540" s="35">
        <f t="array" ref="Q540">SUM(IF(($S540&gt;=4)*($C540='TaxCred&amp;Subs'!$D$114:$D$121)*($H540='TaxCred&amp;Subs'!$C$114:$C$121)*($H540&lt;='TaxCred&amp;Subs'!$C$123),'TaxCred&amp;Subs'!$E$114:$E$121,0))</f>
        <v>0</v>
      </c>
      <c r="R540" s="143">
        <v>0</v>
      </c>
      <c r="S540" s="5">
        <v>4</v>
      </c>
      <c r="T540" s="5" t="s">
        <v>240</v>
      </c>
      <c r="V540" s="7" t="str">
        <f t="array" ref="V540">INDEX(xlRTCLNAME,MATCH(1,(xlRTCLENDU=1)*(xlRTCLEQCL=$D540),0))</f>
        <v>DIST_RAD</v>
      </c>
      <c r="W540" s="7" t="str">
        <f t="array" ref="W540">INDEX(xlRTCLNAME,MATCH(1,(xlRTCLENDU=2)*(xlRTCLEQCL=$F540),0))</f>
        <v>CENT_AIR</v>
      </c>
      <c r="X540" s="7" t="str">
        <f t="array" ref="X540">INDEX(xlRTTYNAME,MATCH(1,(xlRTTYENDU=1)*(xlRTTYEQCL=$D540)*(xlRTEQTYPE=$E540),0))</f>
        <v>DIST_RAD3</v>
      </c>
      <c r="Y540" s="7" t="str">
        <f t="array" ref="Y540">INDEX(xlRTTYNAME,MATCH(1,(xlRTTYENDU=2)*(xlRTTYEQCL=$F540)*(xlRTEQTYPE=$G540),0))</f>
        <v>CENT_AIR3</v>
      </c>
    </row>
    <row r="541" spans="2:25" x14ac:dyDescent="0.2">
      <c r="B541" s="5">
        <v>4</v>
      </c>
      <c r="C541" s="5">
        <v>1</v>
      </c>
      <c r="D541" s="5">
        <v>8</v>
      </c>
      <c r="E541" s="31">
        <v>27</v>
      </c>
      <c r="F541" s="5">
        <v>2</v>
      </c>
      <c r="G541" s="31">
        <v>6</v>
      </c>
      <c r="H541" s="31">
        <v>2020</v>
      </c>
      <c r="I541" s="5">
        <v>2022</v>
      </c>
      <c r="J541" s="142">
        <v>1.0812999999999999</v>
      </c>
      <c r="K541" s="142">
        <v>1.0769</v>
      </c>
      <c r="L541" s="142">
        <v>0.47370000000000001</v>
      </c>
      <c r="M541" s="142">
        <v>0.85729999999999995</v>
      </c>
      <c r="N541" s="142">
        <v>0.85660000000000003</v>
      </c>
      <c r="O541" s="142">
        <v>1.0538000000000001</v>
      </c>
      <c r="P541" s="26">
        <v>12406.017564117505</v>
      </c>
      <c r="Q541" s="35">
        <f t="array" ref="Q541">SUM(IF(($S541&gt;=4)*($C541='TaxCred&amp;Subs'!$D$114:$D$121)*($H541='TaxCred&amp;Subs'!$C$114:$C$121)*($H541&lt;='TaxCred&amp;Subs'!$C$123),'TaxCred&amp;Subs'!$E$114:$E$121,0))</f>
        <v>2000</v>
      </c>
      <c r="R541" s="143">
        <v>0</v>
      </c>
      <c r="S541" s="5">
        <v>4</v>
      </c>
      <c r="T541" s="5" t="s">
        <v>240</v>
      </c>
      <c r="V541" s="7" t="str">
        <f t="array" ref="V541">INDEX(xlRTCLNAME,MATCH(1,(xlRTCLENDU=1)*(xlRTCLEQCL=$D541),0))</f>
        <v>DIST_RAD</v>
      </c>
      <c r="W541" s="7" t="str">
        <f t="array" ref="W541">INDEX(xlRTCLNAME,MATCH(1,(xlRTCLENDU=2)*(xlRTCLEQCL=$F541),0))</f>
        <v>CENT_AIR</v>
      </c>
      <c r="X541" s="7" t="str">
        <f t="array" ref="X541">INDEX(xlRTTYNAME,MATCH(1,(xlRTTYENDU=1)*(xlRTTYEQCL=$D541)*(xlRTEQTYPE=$E541),0))</f>
        <v>DIST_RAD3</v>
      </c>
      <c r="Y541" s="7" t="str">
        <f t="array" ref="Y541">INDEX(xlRTTYNAME,MATCH(1,(xlRTTYENDU=2)*(xlRTTYEQCL=$F541)*(xlRTEQTYPE=$G541),0))</f>
        <v>CENT_AIR3</v>
      </c>
    </row>
    <row r="542" spans="2:25" x14ac:dyDescent="0.2">
      <c r="B542" s="5">
        <v>4</v>
      </c>
      <c r="C542" s="5">
        <v>1</v>
      </c>
      <c r="D542" s="5">
        <v>8</v>
      </c>
      <c r="E542" s="31">
        <v>27</v>
      </c>
      <c r="F542" s="5">
        <v>2</v>
      </c>
      <c r="G542" s="31">
        <v>6</v>
      </c>
      <c r="H542" s="5">
        <v>2023</v>
      </c>
      <c r="I542" s="5">
        <v>2032</v>
      </c>
      <c r="J542" s="142">
        <v>1.0812999999999999</v>
      </c>
      <c r="K542" s="142">
        <v>1.0769</v>
      </c>
      <c r="L542" s="142">
        <v>0.47370000000000001</v>
      </c>
      <c r="M542" s="142">
        <v>0.85729999999999995</v>
      </c>
      <c r="N542" s="142">
        <v>0.85660000000000003</v>
      </c>
      <c r="O542" s="142">
        <v>1.0538000000000001</v>
      </c>
      <c r="P542" s="26">
        <v>12406.017564117505</v>
      </c>
      <c r="Q542" s="35">
        <f t="array" ref="Q542">SUM(IF(($S542&gt;=4)*($C542='TaxCred&amp;Subs'!$D$114:$D$121)*($H542='TaxCred&amp;Subs'!$C$114:$C$121)*($H542&lt;='TaxCred&amp;Subs'!$C$123),'TaxCred&amp;Subs'!$E$114:$E$121,0))</f>
        <v>2500</v>
      </c>
      <c r="R542" s="143">
        <v>0</v>
      </c>
      <c r="S542" s="5">
        <v>4</v>
      </c>
      <c r="T542" s="5" t="s">
        <v>240</v>
      </c>
      <c r="V542" s="7" t="str">
        <f t="array" ref="V542">INDEX(xlRTCLNAME,MATCH(1,(xlRTCLENDU=1)*(xlRTCLEQCL=$D542),0))</f>
        <v>DIST_RAD</v>
      </c>
      <c r="W542" s="7" t="str">
        <f t="array" ref="W542">INDEX(xlRTCLNAME,MATCH(1,(xlRTCLENDU=2)*(xlRTCLEQCL=$F542),0))</f>
        <v>CENT_AIR</v>
      </c>
      <c r="X542" s="7" t="str">
        <f t="array" ref="X542">INDEX(xlRTTYNAME,MATCH(1,(xlRTTYENDU=1)*(xlRTTYEQCL=$D542)*(xlRTEQTYPE=$E542),0))</f>
        <v>DIST_RAD3</v>
      </c>
      <c r="Y542" s="7" t="str">
        <f t="array" ref="Y542">INDEX(xlRTTYNAME,MATCH(1,(xlRTTYENDU=2)*(xlRTTYEQCL=$F542)*(xlRTEQTYPE=$G542),0))</f>
        <v>CENT_AIR3</v>
      </c>
    </row>
    <row r="543" spans="2:25" x14ac:dyDescent="0.2">
      <c r="B543" s="5">
        <v>4</v>
      </c>
      <c r="C543" s="5">
        <v>1</v>
      </c>
      <c r="D543" s="5">
        <v>8</v>
      </c>
      <c r="E543" s="31">
        <v>27</v>
      </c>
      <c r="F543" s="5">
        <v>2</v>
      </c>
      <c r="G543" s="31">
        <v>6</v>
      </c>
      <c r="H543" s="5">
        <v>2033</v>
      </c>
      <c r="I543" s="5">
        <v>2050</v>
      </c>
      <c r="J543" s="142">
        <v>1.0812999999999999</v>
      </c>
      <c r="K543" s="142">
        <v>1.0769</v>
      </c>
      <c r="L543" s="142">
        <v>0.47370000000000001</v>
      </c>
      <c r="M543" s="142">
        <v>0.85729999999999995</v>
      </c>
      <c r="N543" s="142">
        <v>0.85660000000000003</v>
      </c>
      <c r="O543" s="142">
        <v>1.0538000000000001</v>
      </c>
      <c r="P543" s="26">
        <v>12406.017564117505</v>
      </c>
      <c r="Q543" s="35">
        <f t="array" ref="Q543">SUM(IF(($S543&gt;=4)*($C543='TaxCred&amp;Subs'!$D$114:$D$121)*($H543='TaxCred&amp;Subs'!$C$114:$C$121)*($H543&lt;='TaxCred&amp;Subs'!$C$123),'TaxCred&amp;Subs'!$E$114:$E$121,0))</f>
        <v>0</v>
      </c>
      <c r="R543" s="143">
        <v>0</v>
      </c>
      <c r="S543" s="5">
        <v>4</v>
      </c>
      <c r="T543" s="5" t="s">
        <v>240</v>
      </c>
      <c r="V543" s="7" t="str">
        <f t="array" ref="V543">INDEX(xlRTCLNAME,MATCH(1,(xlRTCLENDU=1)*(xlRTCLEQCL=$D543),0))</f>
        <v>DIST_RAD</v>
      </c>
      <c r="W543" s="7" t="str">
        <f t="array" ref="W543">INDEX(xlRTCLNAME,MATCH(1,(xlRTCLENDU=2)*(xlRTCLEQCL=$F543),0))</f>
        <v>CENT_AIR</v>
      </c>
      <c r="X543" s="7" t="str">
        <f t="array" ref="X543">INDEX(xlRTTYNAME,MATCH(1,(xlRTTYENDU=1)*(xlRTTYEQCL=$D543)*(xlRTEQTYPE=$E543),0))</f>
        <v>DIST_RAD3</v>
      </c>
      <c r="Y543" s="7" t="str">
        <f t="array" ref="Y543">INDEX(xlRTTYNAME,MATCH(1,(xlRTTYENDU=2)*(xlRTTYEQCL=$F543)*(xlRTEQTYPE=$G543),0))</f>
        <v>CENT_AIR3</v>
      </c>
    </row>
    <row r="544" spans="2:25" x14ac:dyDescent="0.2">
      <c r="B544" s="5">
        <v>5</v>
      </c>
      <c r="C544" s="5">
        <v>1</v>
      </c>
      <c r="D544" s="5">
        <v>8</v>
      </c>
      <c r="E544" s="31">
        <v>27</v>
      </c>
      <c r="F544" s="5">
        <v>2</v>
      </c>
      <c r="G544" s="31">
        <v>6</v>
      </c>
      <c r="H544" s="31">
        <v>2020</v>
      </c>
      <c r="I544" s="5">
        <v>2022</v>
      </c>
      <c r="J544" s="142">
        <v>1.0838000000000001</v>
      </c>
      <c r="K544" s="142">
        <v>1.0465</v>
      </c>
      <c r="L544" s="142">
        <v>0.40329999999999999</v>
      </c>
      <c r="M544" s="142">
        <v>0.77349999999999997</v>
      </c>
      <c r="N544" s="142">
        <v>0.75670000000000004</v>
      </c>
      <c r="O544" s="142">
        <v>1.0538000000000001</v>
      </c>
      <c r="P544" s="26">
        <v>13314.922720001698</v>
      </c>
      <c r="Q544" s="35">
        <f t="array" ref="Q544">SUM(IF(($S544&gt;=4)*($C544='TaxCred&amp;Subs'!$D$114:$D$121)*($H544='TaxCred&amp;Subs'!$C$114:$C$121)*($H544&lt;='TaxCred&amp;Subs'!$C$123),'TaxCred&amp;Subs'!$E$114:$E$121,0))</f>
        <v>2000</v>
      </c>
      <c r="R544" s="143">
        <v>0</v>
      </c>
      <c r="S544" s="5">
        <v>4</v>
      </c>
      <c r="T544" s="5" t="s">
        <v>240</v>
      </c>
      <c r="V544" s="7" t="str">
        <f t="array" ref="V544">INDEX(xlRTCLNAME,MATCH(1,(xlRTCLENDU=1)*(xlRTCLEQCL=$D544),0))</f>
        <v>DIST_RAD</v>
      </c>
      <c r="W544" s="7" t="str">
        <f t="array" ref="W544">INDEX(xlRTCLNAME,MATCH(1,(xlRTCLENDU=2)*(xlRTCLEQCL=$F544),0))</f>
        <v>CENT_AIR</v>
      </c>
      <c r="X544" s="7" t="str">
        <f t="array" ref="X544">INDEX(xlRTTYNAME,MATCH(1,(xlRTTYENDU=1)*(xlRTTYEQCL=$D544)*(xlRTEQTYPE=$E544),0))</f>
        <v>DIST_RAD3</v>
      </c>
      <c r="Y544" s="7" t="str">
        <f t="array" ref="Y544">INDEX(xlRTTYNAME,MATCH(1,(xlRTTYENDU=2)*(xlRTTYEQCL=$F544)*(xlRTEQTYPE=$G544),0))</f>
        <v>CENT_AIR3</v>
      </c>
    </row>
    <row r="545" spans="2:25" x14ac:dyDescent="0.2">
      <c r="B545" s="5">
        <v>5</v>
      </c>
      <c r="C545" s="5">
        <v>1</v>
      </c>
      <c r="D545" s="5">
        <v>8</v>
      </c>
      <c r="E545" s="31">
        <v>27</v>
      </c>
      <c r="F545" s="5">
        <v>2</v>
      </c>
      <c r="G545" s="31">
        <v>6</v>
      </c>
      <c r="H545" s="5">
        <v>2023</v>
      </c>
      <c r="I545" s="5">
        <v>2032</v>
      </c>
      <c r="J545" s="142">
        <v>1.0838000000000001</v>
      </c>
      <c r="K545" s="142">
        <v>1.0465</v>
      </c>
      <c r="L545" s="142">
        <v>0.40329999999999999</v>
      </c>
      <c r="M545" s="142">
        <v>0.77349999999999997</v>
      </c>
      <c r="N545" s="142">
        <v>0.75670000000000004</v>
      </c>
      <c r="O545" s="142">
        <v>1.0538000000000001</v>
      </c>
      <c r="P545" s="26">
        <v>13314.922720001698</v>
      </c>
      <c r="Q545" s="35">
        <f t="array" ref="Q545">SUM(IF(($S545&gt;=4)*($C545='TaxCred&amp;Subs'!$D$114:$D$121)*($H545='TaxCred&amp;Subs'!$C$114:$C$121)*($H545&lt;='TaxCred&amp;Subs'!$C$123),'TaxCred&amp;Subs'!$E$114:$E$121,0))</f>
        <v>2500</v>
      </c>
      <c r="R545" s="143">
        <v>0</v>
      </c>
      <c r="S545" s="5">
        <v>4</v>
      </c>
      <c r="T545" s="5" t="s">
        <v>240</v>
      </c>
      <c r="V545" s="7" t="str">
        <f t="array" ref="V545">INDEX(xlRTCLNAME,MATCH(1,(xlRTCLENDU=1)*(xlRTCLEQCL=$D545),0))</f>
        <v>DIST_RAD</v>
      </c>
      <c r="W545" s="7" t="str">
        <f t="array" ref="W545">INDEX(xlRTCLNAME,MATCH(1,(xlRTCLENDU=2)*(xlRTCLEQCL=$F545),0))</f>
        <v>CENT_AIR</v>
      </c>
      <c r="X545" s="7" t="str">
        <f t="array" ref="X545">INDEX(xlRTTYNAME,MATCH(1,(xlRTTYENDU=1)*(xlRTTYEQCL=$D545)*(xlRTEQTYPE=$E545),0))</f>
        <v>DIST_RAD3</v>
      </c>
      <c r="Y545" s="7" t="str">
        <f t="array" ref="Y545">INDEX(xlRTTYNAME,MATCH(1,(xlRTTYENDU=2)*(xlRTTYEQCL=$F545)*(xlRTEQTYPE=$G545),0))</f>
        <v>CENT_AIR3</v>
      </c>
    </row>
    <row r="546" spans="2:25" x14ac:dyDescent="0.2">
      <c r="B546" s="5">
        <v>5</v>
      </c>
      <c r="C546" s="5">
        <v>1</v>
      </c>
      <c r="D546" s="5">
        <v>8</v>
      </c>
      <c r="E546" s="31">
        <v>27</v>
      </c>
      <c r="F546" s="5">
        <v>2</v>
      </c>
      <c r="G546" s="31">
        <v>6</v>
      </c>
      <c r="H546" s="5">
        <v>2033</v>
      </c>
      <c r="I546" s="5">
        <v>2050</v>
      </c>
      <c r="J546" s="142">
        <v>1.0838000000000001</v>
      </c>
      <c r="K546" s="142">
        <v>1.0465</v>
      </c>
      <c r="L546" s="142">
        <v>0.40329999999999999</v>
      </c>
      <c r="M546" s="142">
        <v>0.77349999999999997</v>
      </c>
      <c r="N546" s="142">
        <v>0.75670000000000004</v>
      </c>
      <c r="O546" s="142">
        <v>1.0538000000000001</v>
      </c>
      <c r="P546" s="26">
        <v>13314.922720001698</v>
      </c>
      <c r="Q546" s="35">
        <f t="array" ref="Q546">SUM(IF(($S546&gt;=4)*($C546='TaxCred&amp;Subs'!$D$114:$D$121)*($H546='TaxCred&amp;Subs'!$C$114:$C$121)*($H546&lt;='TaxCred&amp;Subs'!$C$123),'TaxCred&amp;Subs'!$E$114:$E$121,0))</f>
        <v>0</v>
      </c>
      <c r="R546" s="143">
        <v>0</v>
      </c>
      <c r="S546" s="5">
        <v>4</v>
      </c>
      <c r="T546" s="5" t="s">
        <v>240</v>
      </c>
      <c r="V546" s="7" t="str">
        <f t="array" ref="V546">INDEX(xlRTCLNAME,MATCH(1,(xlRTCLENDU=1)*(xlRTCLEQCL=$D546),0))</f>
        <v>DIST_RAD</v>
      </c>
      <c r="W546" s="7" t="str">
        <f t="array" ref="W546">INDEX(xlRTCLNAME,MATCH(1,(xlRTCLENDU=2)*(xlRTCLEQCL=$F546),0))</f>
        <v>CENT_AIR</v>
      </c>
      <c r="X546" s="7" t="str">
        <f t="array" ref="X546">INDEX(xlRTTYNAME,MATCH(1,(xlRTTYENDU=1)*(xlRTTYEQCL=$D546)*(xlRTEQTYPE=$E546),0))</f>
        <v>DIST_RAD3</v>
      </c>
      <c r="Y546" s="7" t="str">
        <f t="array" ref="Y546">INDEX(xlRTTYNAME,MATCH(1,(xlRTTYENDU=2)*(xlRTTYEQCL=$F546)*(xlRTEQTYPE=$G546),0))</f>
        <v>CENT_AIR3</v>
      </c>
    </row>
    <row r="547" spans="2:25" x14ac:dyDescent="0.2">
      <c r="B547" s="5">
        <v>6</v>
      </c>
      <c r="C547" s="5">
        <v>1</v>
      </c>
      <c r="D547" s="5">
        <v>8</v>
      </c>
      <c r="E547" s="31">
        <v>27</v>
      </c>
      <c r="F547" s="5">
        <v>2</v>
      </c>
      <c r="G547" s="31">
        <v>6</v>
      </c>
      <c r="H547" s="31">
        <v>2020</v>
      </c>
      <c r="I547" s="5">
        <v>2022</v>
      </c>
      <c r="J547" s="142">
        <v>1.089</v>
      </c>
      <c r="K547" s="142">
        <v>1.0583</v>
      </c>
      <c r="L547" s="142">
        <v>0.60009999999999997</v>
      </c>
      <c r="M547" s="142">
        <v>0.85409999999999997</v>
      </c>
      <c r="N547" s="142">
        <v>0.88849999999999996</v>
      </c>
      <c r="O547" s="142">
        <v>1.0538000000000001</v>
      </c>
      <c r="P547" s="26">
        <v>12559.294469103892</v>
      </c>
      <c r="Q547" s="35">
        <f t="array" ref="Q547">SUM(IF(($S547&gt;=4)*($C547='TaxCred&amp;Subs'!$D$114:$D$121)*($H547='TaxCred&amp;Subs'!$C$114:$C$121)*($H547&lt;='TaxCred&amp;Subs'!$C$123),'TaxCred&amp;Subs'!$E$114:$E$121,0))</f>
        <v>2000</v>
      </c>
      <c r="R547" s="143">
        <v>0</v>
      </c>
      <c r="S547" s="5">
        <v>4</v>
      </c>
      <c r="T547" s="5" t="s">
        <v>240</v>
      </c>
      <c r="V547" s="7" t="str">
        <f t="array" ref="V547">INDEX(xlRTCLNAME,MATCH(1,(xlRTCLENDU=1)*(xlRTCLEQCL=$D547),0))</f>
        <v>DIST_RAD</v>
      </c>
      <c r="W547" s="7" t="str">
        <f t="array" ref="W547">INDEX(xlRTCLNAME,MATCH(1,(xlRTCLENDU=2)*(xlRTCLEQCL=$F547),0))</f>
        <v>CENT_AIR</v>
      </c>
      <c r="X547" s="7" t="str">
        <f t="array" ref="X547">INDEX(xlRTTYNAME,MATCH(1,(xlRTTYENDU=1)*(xlRTTYEQCL=$D547)*(xlRTEQTYPE=$E547),0))</f>
        <v>DIST_RAD3</v>
      </c>
      <c r="Y547" s="7" t="str">
        <f t="array" ref="Y547">INDEX(xlRTTYNAME,MATCH(1,(xlRTTYENDU=2)*(xlRTTYEQCL=$F547)*(xlRTEQTYPE=$G547),0))</f>
        <v>CENT_AIR3</v>
      </c>
    </row>
    <row r="548" spans="2:25" x14ac:dyDescent="0.2">
      <c r="B548" s="5">
        <v>6</v>
      </c>
      <c r="C548" s="5">
        <v>1</v>
      </c>
      <c r="D548" s="5">
        <v>8</v>
      </c>
      <c r="E548" s="31">
        <v>27</v>
      </c>
      <c r="F548" s="5">
        <v>2</v>
      </c>
      <c r="G548" s="31">
        <v>6</v>
      </c>
      <c r="H548" s="5">
        <v>2023</v>
      </c>
      <c r="I548" s="5">
        <v>2032</v>
      </c>
      <c r="J548" s="142">
        <v>1.089</v>
      </c>
      <c r="K548" s="142">
        <v>1.0583</v>
      </c>
      <c r="L548" s="142">
        <v>0.60009999999999997</v>
      </c>
      <c r="M548" s="142">
        <v>0.85409999999999997</v>
      </c>
      <c r="N548" s="142">
        <v>0.88849999999999996</v>
      </c>
      <c r="O548" s="142">
        <v>1.0538000000000001</v>
      </c>
      <c r="P548" s="26">
        <v>12559.294469103892</v>
      </c>
      <c r="Q548" s="35">
        <f t="array" ref="Q548">SUM(IF(($S548&gt;=4)*($C548='TaxCred&amp;Subs'!$D$114:$D$121)*($H548='TaxCred&amp;Subs'!$C$114:$C$121)*($H548&lt;='TaxCred&amp;Subs'!$C$123),'TaxCred&amp;Subs'!$E$114:$E$121,0))</f>
        <v>2500</v>
      </c>
      <c r="R548" s="143">
        <v>0</v>
      </c>
      <c r="S548" s="5">
        <v>4</v>
      </c>
      <c r="T548" s="5" t="s">
        <v>240</v>
      </c>
      <c r="V548" s="7" t="str">
        <f t="array" ref="V548">INDEX(xlRTCLNAME,MATCH(1,(xlRTCLENDU=1)*(xlRTCLEQCL=$D548),0))</f>
        <v>DIST_RAD</v>
      </c>
      <c r="W548" s="7" t="str">
        <f t="array" ref="W548">INDEX(xlRTCLNAME,MATCH(1,(xlRTCLENDU=2)*(xlRTCLEQCL=$F548),0))</f>
        <v>CENT_AIR</v>
      </c>
      <c r="X548" s="7" t="str">
        <f t="array" ref="X548">INDEX(xlRTTYNAME,MATCH(1,(xlRTTYENDU=1)*(xlRTTYEQCL=$D548)*(xlRTEQTYPE=$E548),0))</f>
        <v>DIST_RAD3</v>
      </c>
      <c r="Y548" s="7" t="str">
        <f t="array" ref="Y548">INDEX(xlRTTYNAME,MATCH(1,(xlRTTYENDU=2)*(xlRTTYEQCL=$F548)*(xlRTEQTYPE=$G548),0))</f>
        <v>CENT_AIR3</v>
      </c>
    </row>
    <row r="549" spans="2:25" x14ac:dyDescent="0.2">
      <c r="B549" s="5">
        <v>6</v>
      </c>
      <c r="C549" s="5">
        <v>1</v>
      </c>
      <c r="D549" s="5">
        <v>8</v>
      </c>
      <c r="E549" s="31">
        <v>27</v>
      </c>
      <c r="F549" s="5">
        <v>2</v>
      </c>
      <c r="G549" s="31">
        <v>6</v>
      </c>
      <c r="H549" s="5">
        <v>2033</v>
      </c>
      <c r="I549" s="5">
        <v>2050</v>
      </c>
      <c r="J549" s="142">
        <v>1.089</v>
      </c>
      <c r="K549" s="142">
        <v>1.0583</v>
      </c>
      <c r="L549" s="142">
        <v>0.60009999999999997</v>
      </c>
      <c r="M549" s="142">
        <v>0.85409999999999997</v>
      </c>
      <c r="N549" s="142">
        <v>0.88849999999999996</v>
      </c>
      <c r="O549" s="142">
        <v>1.0538000000000001</v>
      </c>
      <c r="P549" s="26">
        <v>12559.294469103892</v>
      </c>
      <c r="Q549" s="35">
        <f t="array" ref="Q549">SUM(IF(($S549&gt;=4)*($C549='TaxCred&amp;Subs'!$D$114:$D$121)*($H549='TaxCred&amp;Subs'!$C$114:$C$121)*($H549&lt;='TaxCred&amp;Subs'!$C$123),'TaxCred&amp;Subs'!$E$114:$E$121,0))</f>
        <v>0</v>
      </c>
      <c r="R549" s="143">
        <v>0</v>
      </c>
      <c r="S549" s="5">
        <v>4</v>
      </c>
      <c r="T549" s="5" t="s">
        <v>240</v>
      </c>
      <c r="V549" s="7" t="str">
        <f t="array" ref="V549">INDEX(xlRTCLNAME,MATCH(1,(xlRTCLENDU=1)*(xlRTCLEQCL=$D549),0))</f>
        <v>DIST_RAD</v>
      </c>
      <c r="W549" s="7" t="str">
        <f t="array" ref="W549">INDEX(xlRTCLNAME,MATCH(1,(xlRTCLENDU=2)*(xlRTCLEQCL=$F549),0))</f>
        <v>CENT_AIR</v>
      </c>
      <c r="X549" s="7" t="str">
        <f t="array" ref="X549">INDEX(xlRTTYNAME,MATCH(1,(xlRTTYENDU=1)*(xlRTTYEQCL=$D549)*(xlRTEQTYPE=$E549),0))</f>
        <v>DIST_RAD3</v>
      </c>
      <c r="Y549" s="7" t="str">
        <f t="array" ref="Y549">INDEX(xlRTTYNAME,MATCH(1,(xlRTTYENDU=2)*(xlRTTYEQCL=$F549)*(xlRTEQTYPE=$G549),0))</f>
        <v>CENT_AIR3</v>
      </c>
    </row>
    <row r="550" spans="2:25" x14ac:dyDescent="0.2">
      <c r="B550" s="5">
        <v>7</v>
      </c>
      <c r="C550" s="5">
        <v>1</v>
      </c>
      <c r="D550" s="5">
        <v>8</v>
      </c>
      <c r="E550" s="31">
        <v>27</v>
      </c>
      <c r="F550" s="5">
        <v>2</v>
      </c>
      <c r="G550" s="31">
        <v>6</v>
      </c>
      <c r="H550" s="31">
        <v>2020</v>
      </c>
      <c r="I550" s="5">
        <v>2022</v>
      </c>
      <c r="J550" s="142">
        <v>1.0867</v>
      </c>
      <c r="K550" s="142">
        <v>1.0682</v>
      </c>
      <c r="L550" s="142">
        <v>0.47589999999999999</v>
      </c>
      <c r="M550" s="142">
        <v>0.73570000000000002</v>
      </c>
      <c r="N550" s="142">
        <v>0.87180000000000002</v>
      </c>
      <c r="O550" s="142">
        <v>1.0538000000000001</v>
      </c>
      <c r="P550" s="26">
        <v>11938.119643632743</v>
      </c>
      <c r="Q550" s="35">
        <f t="array" ref="Q550">SUM(IF(($S550&gt;=4)*($C550='TaxCred&amp;Subs'!$D$114:$D$121)*($H550='TaxCred&amp;Subs'!$C$114:$C$121)*($H550&lt;='TaxCred&amp;Subs'!$C$123),'TaxCred&amp;Subs'!$E$114:$E$121,0))</f>
        <v>2000</v>
      </c>
      <c r="R550" s="143">
        <v>0</v>
      </c>
      <c r="S550" s="5">
        <v>4</v>
      </c>
      <c r="T550" s="5" t="s">
        <v>240</v>
      </c>
      <c r="V550" s="7" t="str">
        <f t="array" ref="V550">INDEX(xlRTCLNAME,MATCH(1,(xlRTCLENDU=1)*(xlRTCLEQCL=$D550),0))</f>
        <v>DIST_RAD</v>
      </c>
      <c r="W550" s="7" t="str">
        <f t="array" ref="W550">INDEX(xlRTCLNAME,MATCH(1,(xlRTCLENDU=2)*(xlRTCLEQCL=$F550),0))</f>
        <v>CENT_AIR</v>
      </c>
      <c r="X550" s="7" t="str">
        <f t="array" ref="X550">INDEX(xlRTTYNAME,MATCH(1,(xlRTTYENDU=1)*(xlRTTYEQCL=$D550)*(xlRTEQTYPE=$E550),0))</f>
        <v>DIST_RAD3</v>
      </c>
      <c r="Y550" s="7" t="str">
        <f t="array" ref="Y550">INDEX(xlRTTYNAME,MATCH(1,(xlRTTYENDU=2)*(xlRTTYEQCL=$F550)*(xlRTEQTYPE=$G550),0))</f>
        <v>CENT_AIR3</v>
      </c>
    </row>
    <row r="551" spans="2:25" x14ac:dyDescent="0.2">
      <c r="B551" s="5">
        <v>7</v>
      </c>
      <c r="C551" s="5">
        <v>1</v>
      </c>
      <c r="D551" s="5">
        <v>8</v>
      </c>
      <c r="E551" s="31">
        <v>27</v>
      </c>
      <c r="F551" s="5">
        <v>2</v>
      </c>
      <c r="G551" s="31">
        <v>6</v>
      </c>
      <c r="H551" s="5">
        <v>2023</v>
      </c>
      <c r="I551" s="5">
        <v>2032</v>
      </c>
      <c r="J551" s="142">
        <v>1.0867</v>
      </c>
      <c r="K551" s="142">
        <v>1.0682</v>
      </c>
      <c r="L551" s="142">
        <v>0.47589999999999999</v>
      </c>
      <c r="M551" s="142">
        <v>0.73570000000000002</v>
      </c>
      <c r="N551" s="142">
        <v>0.87180000000000002</v>
      </c>
      <c r="O551" s="142">
        <v>1.0538000000000001</v>
      </c>
      <c r="P551" s="26">
        <v>11938.119643632743</v>
      </c>
      <c r="Q551" s="35">
        <f t="array" ref="Q551">SUM(IF(($S551&gt;=4)*($C551='TaxCred&amp;Subs'!$D$114:$D$121)*($H551='TaxCred&amp;Subs'!$C$114:$C$121)*($H551&lt;='TaxCred&amp;Subs'!$C$123),'TaxCred&amp;Subs'!$E$114:$E$121,0))</f>
        <v>2500</v>
      </c>
      <c r="R551" s="143">
        <v>0</v>
      </c>
      <c r="S551" s="5">
        <v>4</v>
      </c>
      <c r="T551" s="5" t="s">
        <v>240</v>
      </c>
      <c r="V551" s="7" t="str">
        <f t="array" ref="V551">INDEX(xlRTCLNAME,MATCH(1,(xlRTCLENDU=1)*(xlRTCLEQCL=$D551),0))</f>
        <v>DIST_RAD</v>
      </c>
      <c r="W551" s="7" t="str">
        <f t="array" ref="W551">INDEX(xlRTCLNAME,MATCH(1,(xlRTCLENDU=2)*(xlRTCLEQCL=$F551),0))</f>
        <v>CENT_AIR</v>
      </c>
      <c r="X551" s="7" t="str">
        <f t="array" ref="X551">INDEX(xlRTTYNAME,MATCH(1,(xlRTTYENDU=1)*(xlRTTYEQCL=$D551)*(xlRTEQTYPE=$E551),0))</f>
        <v>DIST_RAD3</v>
      </c>
      <c r="Y551" s="7" t="str">
        <f t="array" ref="Y551">INDEX(xlRTTYNAME,MATCH(1,(xlRTTYENDU=2)*(xlRTTYEQCL=$F551)*(xlRTEQTYPE=$G551),0))</f>
        <v>CENT_AIR3</v>
      </c>
    </row>
    <row r="552" spans="2:25" x14ac:dyDescent="0.2">
      <c r="B552" s="5">
        <v>7</v>
      </c>
      <c r="C552" s="5">
        <v>1</v>
      </c>
      <c r="D552" s="5">
        <v>8</v>
      </c>
      <c r="E552" s="31">
        <v>27</v>
      </c>
      <c r="F552" s="5">
        <v>2</v>
      </c>
      <c r="G552" s="31">
        <v>6</v>
      </c>
      <c r="H552" s="5">
        <v>2033</v>
      </c>
      <c r="I552" s="5">
        <v>2050</v>
      </c>
      <c r="J552" s="142">
        <v>1.0867</v>
      </c>
      <c r="K552" s="142">
        <v>1.0682</v>
      </c>
      <c r="L552" s="142">
        <v>0.47589999999999999</v>
      </c>
      <c r="M552" s="142">
        <v>0.73570000000000002</v>
      </c>
      <c r="N552" s="142">
        <v>0.87180000000000002</v>
      </c>
      <c r="O552" s="142">
        <v>1.0538000000000001</v>
      </c>
      <c r="P552" s="26">
        <v>11938.119643632743</v>
      </c>
      <c r="Q552" s="35">
        <f t="array" ref="Q552">SUM(IF(($S552&gt;=4)*($C552='TaxCred&amp;Subs'!$D$114:$D$121)*($H552='TaxCred&amp;Subs'!$C$114:$C$121)*($H552&lt;='TaxCred&amp;Subs'!$C$123),'TaxCred&amp;Subs'!$E$114:$E$121,0))</f>
        <v>0</v>
      </c>
      <c r="R552" s="143">
        <v>0</v>
      </c>
      <c r="S552" s="5">
        <v>4</v>
      </c>
      <c r="T552" s="5" t="s">
        <v>240</v>
      </c>
      <c r="V552" s="7" t="str">
        <f t="array" ref="V552">INDEX(xlRTCLNAME,MATCH(1,(xlRTCLENDU=1)*(xlRTCLEQCL=$D552),0))</f>
        <v>DIST_RAD</v>
      </c>
      <c r="W552" s="7" t="str">
        <f t="array" ref="W552">INDEX(xlRTCLNAME,MATCH(1,(xlRTCLENDU=2)*(xlRTCLEQCL=$F552),0))</f>
        <v>CENT_AIR</v>
      </c>
      <c r="X552" s="7" t="str">
        <f t="array" ref="X552">INDEX(xlRTTYNAME,MATCH(1,(xlRTTYENDU=1)*(xlRTTYEQCL=$D552)*(xlRTEQTYPE=$E552),0))</f>
        <v>DIST_RAD3</v>
      </c>
      <c r="Y552" s="7" t="str">
        <f t="array" ref="Y552">INDEX(xlRTTYNAME,MATCH(1,(xlRTTYENDU=2)*(xlRTTYEQCL=$F552)*(xlRTEQTYPE=$G552),0))</f>
        <v>CENT_AIR3</v>
      </c>
    </row>
    <row r="553" spans="2:25" x14ac:dyDescent="0.2">
      <c r="B553" s="5">
        <v>8</v>
      </c>
      <c r="C553" s="5">
        <v>1</v>
      </c>
      <c r="D553" s="5">
        <v>8</v>
      </c>
      <c r="E553" s="31">
        <v>27</v>
      </c>
      <c r="F553" s="5">
        <v>2</v>
      </c>
      <c r="G553" s="31">
        <v>6</v>
      </c>
      <c r="H553" s="31">
        <v>2020</v>
      </c>
      <c r="I553" s="5">
        <v>2022</v>
      </c>
      <c r="J553" s="142">
        <v>1.0820000000000001</v>
      </c>
      <c r="K553" s="142">
        <v>1.0832999999999999</v>
      </c>
      <c r="L553" s="142">
        <v>0.46889999999999998</v>
      </c>
      <c r="M553" s="142">
        <v>0.7802</v>
      </c>
      <c r="N553" s="142">
        <v>0.86439999999999995</v>
      </c>
      <c r="O553" s="142">
        <v>1.0538000000000001</v>
      </c>
      <c r="P553" s="26">
        <v>15736.428911935764</v>
      </c>
      <c r="Q553" s="35">
        <f t="array" ref="Q553">SUM(IF(($S553&gt;=4)*($C553='TaxCred&amp;Subs'!$D$114:$D$121)*($H553='TaxCred&amp;Subs'!$C$114:$C$121)*($H553&lt;='TaxCred&amp;Subs'!$C$123),'TaxCred&amp;Subs'!$E$114:$E$121,0))</f>
        <v>2000</v>
      </c>
      <c r="R553" s="143">
        <v>0</v>
      </c>
      <c r="S553" s="5">
        <v>4</v>
      </c>
      <c r="T553" s="5" t="s">
        <v>240</v>
      </c>
      <c r="V553" s="7" t="str">
        <f t="array" ref="V553">INDEX(xlRTCLNAME,MATCH(1,(xlRTCLENDU=1)*(xlRTCLEQCL=$D553),0))</f>
        <v>DIST_RAD</v>
      </c>
      <c r="W553" s="7" t="str">
        <f t="array" ref="W553">INDEX(xlRTCLNAME,MATCH(1,(xlRTCLENDU=2)*(xlRTCLEQCL=$F553),0))</f>
        <v>CENT_AIR</v>
      </c>
      <c r="X553" s="7" t="str">
        <f t="array" ref="X553">INDEX(xlRTTYNAME,MATCH(1,(xlRTTYENDU=1)*(xlRTTYEQCL=$D553)*(xlRTEQTYPE=$E553),0))</f>
        <v>DIST_RAD3</v>
      </c>
      <c r="Y553" s="7" t="str">
        <f t="array" ref="Y553">INDEX(xlRTTYNAME,MATCH(1,(xlRTTYENDU=2)*(xlRTTYEQCL=$F553)*(xlRTEQTYPE=$G553),0))</f>
        <v>CENT_AIR3</v>
      </c>
    </row>
    <row r="554" spans="2:25" x14ac:dyDescent="0.2">
      <c r="B554" s="5">
        <v>8</v>
      </c>
      <c r="C554" s="5">
        <v>1</v>
      </c>
      <c r="D554" s="5">
        <v>8</v>
      </c>
      <c r="E554" s="31">
        <v>27</v>
      </c>
      <c r="F554" s="5">
        <v>2</v>
      </c>
      <c r="G554" s="31">
        <v>6</v>
      </c>
      <c r="H554" s="5">
        <v>2023</v>
      </c>
      <c r="I554" s="5">
        <v>2032</v>
      </c>
      <c r="J554" s="142">
        <v>1.0820000000000001</v>
      </c>
      <c r="K554" s="142">
        <v>1.0832999999999999</v>
      </c>
      <c r="L554" s="142">
        <v>0.46889999999999998</v>
      </c>
      <c r="M554" s="142">
        <v>0.7802</v>
      </c>
      <c r="N554" s="142">
        <v>0.86439999999999995</v>
      </c>
      <c r="O554" s="142">
        <v>1.0538000000000001</v>
      </c>
      <c r="P554" s="26">
        <v>15736.428911935764</v>
      </c>
      <c r="Q554" s="35">
        <f t="array" ref="Q554">SUM(IF(($S554&gt;=4)*($C554='TaxCred&amp;Subs'!$D$114:$D$121)*($H554='TaxCred&amp;Subs'!$C$114:$C$121)*($H554&lt;='TaxCred&amp;Subs'!$C$123),'TaxCred&amp;Subs'!$E$114:$E$121,0))</f>
        <v>2500</v>
      </c>
      <c r="R554" s="143">
        <v>0</v>
      </c>
      <c r="S554" s="5">
        <v>4</v>
      </c>
      <c r="T554" s="5" t="s">
        <v>240</v>
      </c>
      <c r="V554" s="7" t="str">
        <f t="array" ref="V554">INDEX(xlRTCLNAME,MATCH(1,(xlRTCLENDU=1)*(xlRTCLEQCL=$D554),0))</f>
        <v>DIST_RAD</v>
      </c>
      <c r="W554" s="7" t="str">
        <f t="array" ref="W554">INDEX(xlRTCLNAME,MATCH(1,(xlRTCLENDU=2)*(xlRTCLEQCL=$F554),0))</f>
        <v>CENT_AIR</v>
      </c>
      <c r="X554" s="7" t="str">
        <f t="array" ref="X554">INDEX(xlRTTYNAME,MATCH(1,(xlRTTYENDU=1)*(xlRTTYEQCL=$D554)*(xlRTEQTYPE=$E554),0))</f>
        <v>DIST_RAD3</v>
      </c>
      <c r="Y554" s="7" t="str">
        <f t="array" ref="Y554">INDEX(xlRTTYNAME,MATCH(1,(xlRTTYENDU=2)*(xlRTTYEQCL=$F554)*(xlRTEQTYPE=$G554),0))</f>
        <v>CENT_AIR3</v>
      </c>
    </row>
    <row r="555" spans="2:25" x14ac:dyDescent="0.2">
      <c r="B555" s="5">
        <v>8</v>
      </c>
      <c r="C555" s="5">
        <v>1</v>
      </c>
      <c r="D555" s="5">
        <v>8</v>
      </c>
      <c r="E555" s="31">
        <v>27</v>
      </c>
      <c r="F555" s="5">
        <v>2</v>
      </c>
      <c r="G555" s="31">
        <v>6</v>
      </c>
      <c r="H555" s="5">
        <v>2033</v>
      </c>
      <c r="I555" s="5">
        <v>2050</v>
      </c>
      <c r="J555" s="142">
        <v>1.0820000000000001</v>
      </c>
      <c r="K555" s="142">
        <v>1.0832999999999999</v>
      </c>
      <c r="L555" s="142">
        <v>0.46889999999999998</v>
      </c>
      <c r="M555" s="142">
        <v>0.7802</v>
      </c>
      <c r="N555" s="142">
        <v>0.86439999999999995</v>
      </c>
      <c r="O555" s="142">
        <v>1.0538000000000001</v>
      </c>
      <c r="P555" s="26">
        <v>15736.428911935764</v>
      </c>
      <c r="Q555" s="35">
        <f t="array" ref="Q555">SUM(IF(($S555&gt;=4)*($C555='TaxCred&amp;Subs'!$D$114:$D$121)*($H555='TaxCred&amp;Subs'!$C$114:$C$121)*($H555&lt;='TaxCred&amp;Subs'!$C$123),'TaxCred&amp;Subs'!$E$114:$E$121,0))</f>
        <v>0</v>
      </c>
      <c r="R555" s="143">
        <v>0</v>
      </c>
      <c r="S555" s="5">
        <v>4</v>
      </c>
      <c r="T555" s="5" t="s">
        <v>240</v>
      </c>
      <c r="V555" s="7" t="str">
        <f t="array" ref="V555">INDEX(xlRTCLNAME,MATCH(1,(xlRTCLENDU=1)*(xlRTCLEQCL=$D555),0))</f>
        <v>DIST_RAD</v>
      </c>
      <c r="W555" s="7" t="str">
        <f t="array" ref="W555">INDEX(xlRTCLNAME,MATCH(1,(xlRTCLENDU=2)*(xlRTCLEQCL=$F555),0))</f>
        <v>CENT_AIR</v>
      </c>
      <c r="X555" s="7" t="str">
        <f t="array" ref="X555">INDEX(xlRTTYNAME,MATCH(1,(xlRTTYENDU=1)*(xlRTTYEQCL=$D555)*(xlRTEQTYPE=$E555),0))</f>
        <v>DIST_RAD3</v>
      </c>
      <c r="Y555" s="7" t="str">
        <f t="array" ref="Y555">INDEX(xlRTTYNAME,MATCH(1,(xlRTTYENDU=2)*(xlRTTYEQCL=$F555)*(xlRTEQTYPE=$G555),0))</f>
        <v>CENT_AIR3</v>
      </c>
    </row>
    <row r="556" spans="2:25" x14ac:dyDescent="0.2">
      <c r="B556" s="5">
        <v>9</v>
      </c>
      <c r="C556" s="5">
        <v>1</v>
      </c>
      <c r="D556" s="5">
        <v>8</v>
      </c>
      <c r="E556" s="31">
        <v>27</v>
      </c>
      <c r="F556" s="5">
        <v>2</v>
      </c>
      <c r="G556" s="31">
        <v>6</v>
      </c>
      <c r="H556" s="31">
        <v>2020</v>
      </c>
      <c r="I556" s="5">
        <v>2022</v>
      </c>
      <c r="J556" s="142">
        <v>1.0414000000000001</v>
      </c>
      <c r="K556" s="142">
        <v>1.07</v>
      </c>
      <c r="L556" s="142">
        <v>0.56499999999999995</v>
      </c>
      <c r="M556" s="142">
        <v>0.82869999999999999</v>
      </c>
      <c r="N556" s="142">
        <v>1.026</v>
      </c>
      <c r="O556" s="142">
        <v>1.0538000000000001</v>
      </c>
      <c r="P556" s="26">
        <v>16459.788340731167</v>
      </c>
      <c r="Q556" s="35">
        <f t="array" ref="Q556">SUM(IF(($S556&gt;=4)*($C556='TaxCred&amp;Subs'!$D$114:$D$121)*($H556='TaxCred&amp;Subs'!$C$114:$C$121)*($H556&lt;='TaxCred&amp;Subs'!$C$123),'TaxCred&amp;Subs'!$E$114:$E$121,0))</f>
        <v>2000</v>
      </c>
      <c r="R556" s="143">
        <v>0</v>
      </c>
      <c r="S556" s="5">
        <v>4</v>
      </c>
      <c r="T556" s="5" t="s">
        <v>240</v>
      </c>
      <c r="V556" s="7" t="str">
        <f t="array" ref="V556">INDEX(xlRTCLNAME,MATCH(1,(xlRTCLENDU=1)*(xlRTCLEQCL=$D556),0))</f>
        <v>DIST_RAD</v>
      </c>
      <c r="W556" s="7" t="str">
        <f t="array" ref="W556">INDEX(xlRTCLNAME,MATCH(1,(xlRTCLENDU=2)*(xlRTCLEQCL=$F556),0))</f>
        <v>CENT_AIR</v>
      </c>
      <c r="X556" s="7" t="str">
        <f t="array" ref="X556">INDEX(xlRTTYNAME,MATCH(1,(xlRTTYENDU=1)*(xlRTTYEQCL=$D556)*(xlRTEQTYPE=$E556),0))</f>
        <v>DIST_RAD3</v>
      </c>
      <c r="Y556" s="7" t="str">
        <f t="array" ref="Y556">INDEX(xlRTTYNAME,MATCH(1,(xlRTTYENDU=2)*(xlRTTYEQCL=$F556)*(xlRTEQTYPE=$G556),0))</f>
        <v>CENT_AIR3</v>
      </c>
    </row>
    <row r="557" spans="2:25" x14ac:dyDescent="0.2">
      <c r="B557" s="5">
        <v>9</v>
      </c>
      <c r="C557" s="5">
        <v>1</v>
      </c>
      <c r="D557" s="5">
        <v>8</v>
      </c>
      <c r="E557" s="31">
        <v>27</v>
      </c>
      <c r="F557" s="5">
        <v>2</v>
      </c>
      <c r="G557" s="31">
        <v>6</v>
      </c>
      <c r="H557" s="5">
        <v>2023</v>
      </c>
      <c r="I557" s="5">
        <v>2032</v>
      </c>
      <c r="J557" s="142">
        <v>1.0414000000000001</v>
      </c>
      <c r="K557" s="142">
        <v>1.07</v>
      </c>
      <c r="L557" s="142">
        <v>0.56499999999999995</v>
      </c>
      <c r="M557" s="142">
        <v>0.82869999999999999</v>
      </c>
      <c r="N557" s="142">
        <v>1.026</v>
      </c>
      <c r="O557" s="142">
        <v>1.0538000000000001</v>
      </c>
      <c r="P557" s="26">
        <v>16459.788340731167</v>
      </c>
      <c r="Q557" s="35">
        <f t="array" ref="Q557">SUM(IF(($S557&gt;=4)*($C557='TaxCred&amp;Subs'!$D$114:$D$121)*($H557='TaxCred&amp;Subs'!$C$114:$C$121)*($H557&lt;='TaxCred&amp;Subs'!$C$123),'TaxCred&amp;Subs'!$E$114:$E$121,0))</f>
        <v>2500</v>
      </c>
      <c r="R557" s="143">
        <v>0</v>
      </c>
      <c r="S557" s="5">
        <v>4</v>
      </c>
      <c r="T557" s="5" t="s">
        <v>240</v>
      </c>
      <c r="V557" s="7" t="str">
        <f t="array" ref="V557">INDEX(xlRTCLNAME,MATCH(1,(xlRTCLENDU=1)*(xlRTCLEQCL=$D557),0))</f>
        <v>DIST_RAD</v>
      </c>
      <c r="W557" s="7" t="str">
        <f t="array" ref="W557">INDEX(xlRTCLNAME,MATCH(1,(xlRTCLENDU=2)*(xlRTCLEQCL=$F557),0))</f>
        <v>CENT_AIR</v>
      </c>
      <c r="X557" s="7" t="str">
        <f t="array" ref="X557">INDEX(xlRTTYNAME,MATCH(1,(xlRTTYENDU=1)*(xlRTTYEQCL=$D557)*(xlRTEQTYPE=$E557),0))</f>
        <v>DIST_RAD3</v>
      </c>
      <c r="Y557" s="7" t="str">
        <f t="array" ref="Y557">INDEX(xlRTTYNAME,MATCH(1,(xlRTTYENDU=2)*(xlRTTYEQCL=$F557)*(xlRTEQTYPE=$G557),0))</f>
        <v>CENT_AIR3</v>
      </c>
    </row>
    <row r="558" spans="2:25" x14ac:dyDescent="0.2">
      <c r="B558" s="5">
        <v>9</v>
      </c>
      <c r="C558" s="5">
        <v>1</v>
      </c>
      <c r="D558" s="5">
        <v>8</v>
      </c>
      <c r="E558" s="31">
        <v>27</v>
      </c>
      <c r="F558" s="5">
        <v>2</v>
      </c>
      <c r="G558" s="31">
        <v>6</v>
      </c>
      <c r="H558" s="5">
        <v>2033</v>
      </c>
      <c r="I558" s="5">
        <v>2050</v>
      </c>
      <c r="J558" s="142">
        <v>1.0414000000000001</v>
      </c>
      <c r="K558" s="142">
        <v>1.07</v>
      </c>
      <c r="L558" s="142">
        <v>0.56499999999999995</v>
      </c>
      <c r="M558" s="142">
        <v>0.82869999999999999</v>
      </c>
      <c r="N558" s="142">
        <v>1.026</v>
      </c>
      <c r="O558" s="142">
        <v>1.0538000000000001</v>
      </c>
      <c r="P558" s="26">
        <v>16459.788340731167</v>
      </c>
      <c r="Q558" s="35">
        <f t="array" ref="Q558">SUM(IF(($S558&gt;=4)*($C558='TaxCred&amp;Subs'!$D$114:$D$121)*($H558='TaxCred&amp;Subs'!$C$114:$C$121)*($H558&lt;='TaxCred&amp;Subs'!$C$123),'TaxCred&amp;Subs'!$E$114:$E$121,0))</f>
        <v>0</v>
      </c>
      <c r="R558" s="143">
        <v>0</v>
      </c>
      <c r="S558" s="5">
        <v>4</v>
      </c>
      <c r="T558" s="5" t="s">
        <v>240</v>
      </c>
      <c r="V558" s="7" t="str">
        <f t="array" ref="V558">INDEX(xlRTCLNAME,MATCH(1,(xlRTCLENDU=1)*(xlRTCLEQCL=$D558),0))</f>
        <v>DIST_RAD</v>
      </c>
      <c r="W558" s="7" t="str">
        <f t="array" ref="W558">INDEX(xlRTCLNAME,MATCH(1,(xlRTCLENDU=2)*(xlRTCLEQCL=$F558),0))</f>
        <v>CENT_AIR</v>
      </c>
      <c r="X558" s="7" t="str">
        <f t="array" ref="X558">INDEX(xlRTTYNAME,MATCH(1,(xlRTTYENDU=1)*(xlRTTYEQCL=$D558)*(xlRTEQTYPE=$E558),0))</f>
        <v>DIST_RAD3</v>
      </c>
      <c r="Y558" s="7" t="str">
        <f t="array" ref="Y558">INDEX(xlRTTYNAME,MATCH(1,(xlRTTYENDU=2)*(xlRTTYEQCL=$F558)*(xlRTEQTYPE=$G558),0))</f>
        <v>CENT_AIR3</v>
      </c>
    </row>
    <row r="559" spans="2:25" x14ac:dyDescent="0.2">
      <c r="B559" s="5">
        <v>1</v>
      </c>
      <c r="C559" s="5">
        <v>1</v>
      </c>
      <c r="D559" s="5">
        <v>9</v>
      </c>
      <c r="E559" s="31">
        <v>29</v>
      </c>
      <c r="F559" s="5">
        <v>2</v>
      </c>
      <c r="G559" s="31">
        <v>6</v>
      </c>
      <c r="H559" s="31">
        <v>2020</v>
      </c>
      <c r="I559" s="5">
        <v>2022</v>
      </c>
      <c r="J559" s="142">
        <v>1.0592999999999999</v>
      </c>
      <c r="K559" s="142">
        <v>1.0889</v>
      </c>
      <c r="L559" s="142">
        <v>0.4773</v>
      </c>
      <c r="M559" s="142">
        <v>0.95850000000000002</v>
      </c>
      <c r="N559" s="142">
        <v>0.8095</v>
      </c>
      <c r="O559" s="142">
        <v>1.0538000000000001</v>
      </c>
      <c r="P559" s="26">
        <v>16549.872135767029</v>
      </c>
      <c r="Q559" s="35">
        <f t="array" ref="Q559">SUM(IF(($S559&gt;=4)*($C559='TaxCred&amp;Subs'!$D$114:$D$121)*($H559='TaxCred&amp;Subs'!$C$114:$C$121)*($H559&lt;='TaxCred&amp;Subs'!$C$123),'TaxCred&amp;Subs'!$E$114:$E$121,0))</f>
        <v>2000</v>
      </c>
      <c r="R559" s="143">
        <v>0</v>
      </c>
      <c r="S559" s="5">
        <v>4</v>
      </c>
      <c r="T559" s="5" t="s">
        <v>240</v>
      </c>
      <c r="V559" s="7" t="str">
        <f t="array" ref="V559">INDEX(xlRTCLNAME,MATCH(1,(xlRTCLENDU=1)*(xlRTCLEQCL=$D559),0))</f>
        <v>WOOD_HT</v>
      </c>
      <c r="W559" s="7" t="str">
        <f t="array" ref="W559">INDEX(xlRTCLNAME,MATCH(1,(xlRTCLENDU=2)*(xlRTCLEQCL=$F559),0))</f>
        <v>CENT_AIR</v>
      </c>
      <c r="X559" s="7" t="str">
        <f t="array" ref="X559">INDEX(xlRTTYNAME,MATCH(1,(xlRTTYENDU=1)*(xlRTTYEQCL=$D559)*(xlRTEQTYPE=$E559),0))</f>
        <v>WOOD_HT2</v>
      </c>
      <c r="Y559" s="7" t="str">
        <f t="array" ref="Y559">INDEX(xlRTTYNAME,MATCH(1,(xlRTTYENDU=2)*(xlRTTYEQCL=$F559)*(xlRTEQTYPE=$G559),0))</f>
        <v>CENT_AIR3</v>
      </c>
    </row>
    <row r="560" spans="2:25" x14ac:dyDescent="0.2">
      <c r="B560" s="5">
        <v>1</v>
      </c>
      <c r="C560" s="5">
        <v>1</v>
      </c>
      <c r="D560" s="5">
        <v>9</v>
      </c>
      <c r="E560" s="31">
        <v>29</v>
      </c>
      <c r="F560" s="5">
        <v>2</v>
      </c>
      <c r="G560" s="31">
        <v>6</v>
      </c>
      <c r="H560" s="5">
        <v>2023</v>
      </c>
      <c r="I560" s="5">
        <v>2032</v>
      </c>
      <c r="J560" s="142">
        <v>1.0592999999999999</v>
      </c>
      <c r="K560" s="142">
        <v>1.0889</v>
      </c>
      <c r="L560" s="142">
        <v>0.4773</v>
      </c>
      <c r="M560" s="142">
        <v>0.95850000000000002</v>
      </c>
      <c r="N560" s="142">
        <v>0.8095</v>
      </c>
      <c r="O560" s="142">
        <v>1.0538000000000001</v>
      </c>
      <c r="P560" s="26">
        <v>16549.872135767029</v>
      </c>
      <c r="Q560" s="35">
        <f t="array" ref="Q560">SUM(IF(($S560&gt;=4)*($C560='TaxCred&amp;Subs'!$D$114:$D$121)*($H560='TaxCred&amp;Subs'!$C$114:$C$121)*($H560&lt;='TaxCred&amp;Subs'!$C$123),'TaxCred&amp;Subs'!$E$114:$E$121,0))</f>
        <v>2500</v>
      </c>
      <c r="R560" s="143">
        <v>0</v>
      </c>
      <c r="S560" s="5">
        <v>4</v>
      </c>
      <c r="T560" s="5" t="s">
        <v>240</v>
      </c>
      <c r="V560" s="7" t="str">
        <f t="array" ref="V560">INDEX(xlRTCLNAME,MATCH(1,(xlRTCLENDU=1)*(xlRTCLEQCL=$D560),0))</f>
        <v>WOOD_HT</v>
      </c>
      <c r="W560" s="7" t="str">
        <f t="array" ref="W560">INDEX(xlRTCLNAME,MATCH(1,(xlRTCLENDU=2)*(xlRTCLEQCL=$F560),0))</f>
        <v>CENT_AIR</v>
      </c>
      <c r="X560" s="7" t="str">
        <f t="array" ref="X560">INDEX(xlRTTYNAME,MATCH(1,(xlRTTYENDU=1)*(xlRTTYEQCL=$D560)*(xlRTEQTYPE=$E560),0))</f>
        <v>WOOD_HT2</v>
      </c>
      <c r="Y560" s="7" t="str">
        <f t="array" ref="Y560">INDEX(xlRTTYNAME,MATCH(1,(xlRTTYENDU=2)*(xlRTTYEQCL=$F560)*(xlRTEQTYPE=$G560),0))</f>
        <v>CENT_AIR3</v>
      </c>
    </row>
    <row r="561" spans="2:25" x14ac:dyDescent="0.2">
      <c r="B561" s="5">
        <v>1</v>
      </c>
      <c r="C561" s="5">
        <v>1</v>
      </c>
      <c r="D561" s="5">
        <v>9</v>
      </c>
      <c r="E561" s="31">
        <v>29</v>
      </c>
      <c r="F561" s="5">
        <v>2</v>
      </c>
      <c r="G561" s="31">
        <v>6</v>
      </c>
      <c r="H561" s="5">
        <v>2033</v>
      </c>
      <c r="I561" s="5">
        <v>2050</v>
      </c>
      <c r="J561" s="142">
        <v>1.0592999999999999</v>
      </c>
      <c r="K561" s="142">
        <v>1.0889</v>
      </c>
      <c r="L561" s="142">
        <v>0.4773</v>
      </c>
      <c r="M561" s="142">
        <v>0.95850000000000002</v>
      </c>
      <c r="N561" s="142">
        <v>0.8095</v>
      </c>
      <c r="O561" s="142">
        <v>1.0538000000000001</v>
      </c>
      <c r="P561" s="26">
        <v>16549.872135767029</v>
      </c>
      <c r="Q561" s="35">
        <f t="array" ref="Q561">SUM(IF(($S561&gt;=4)*($C561='TaxCred&amp;Subs'!$D$114:$D$121)*($H561='TaxCred&amp;Subs'!$C$114:$C$121)*($H561&lt;='TaxCred&amp;Subs'!$C$123),'TaxCred&amp;Subs'!$E$114:$E$121,0))</f>
        <v>0</v>
      </c>
      <c r="R561" s="143">
        <v>0</v>
      </c>
      <c r="S561" s="5">
        <v>4</v>
      </c>
      <c r="T561" s="5" t="s">
        <v>240</v>
      </c>
      <c r="V561" s="7" t="str">
        <f t="array" ref="V561">INDEX(xlRTCLNAME,MATCH(1,(xlRTCLENDU=1)*(xlRTCLEQCL=$D561),0))</f>
        <v>WOOD_HT</v>
      </c>
      <c r="W561" s="7" t="str">
        <f t="array" ref="W561">INDEX(xlRTCLNAME,MATCH(1,(xlRTCLENDU=2)*(xlRTCLEQCL=$F561),0))</f>
        <v>CENT_AIR</v>
      </c>
      <c r="X561" s="7" t="str">
        <f t="array" ref="X561">INDEX(xlRTTYNAME,MATCH(1,(xlRTTYENDU=1)*(xlRTTYEQCL=$D561)*(xlRTEQTYPE=$E561),0))</f>
        <v>WOOD_HT2</v>
      </c>
      <c r="Y561" s="7" t="str">
        <f t="array" ref="Y561">INDEX(xlRTTYNAME,MATCH(1,(xlRTTYENDU=2)*(xlRTTYEQCL=$F561)*(xlRTEQTYPE=$G561),0))</f>
        <v>CENT_AIR3</v>
      </c>
    </row>
    <row r="562" spans="2:25" x14ac:dyDescent="0.2">
      <c r="B562" s="5">
        <v>2</v>
      </c>
      <c r="C562" s="5">
        <v>1</v>
      </c>
      <c r="D562" s="5">
        <v>9</v>
      </c>
      <c r="E562" s="31">
        <v>29</v>
      </c>
      <c r="F562" s="5">
        <v>2</v>
      </c>
      <c r="G562" s="31">
        <v>6</v>
      </c>
      <c r="H562" s="31">
        <v>2020</v>
      </c>
      <c r="I562" s="5">
        <v>2022</v>
      </c>
      <c r="J562" s="142">
        <v>1.0717000000000001</v>
      </c>
      <c r="K562" s="142">
        <v>1.0895999999999999</v>
      </c>
      <c r="L562" s="142">
        <v>0.52270000000000005</v>
      </c>
      <c r="M562" s="142">
        <v>0.83919999999999995</v>
      </c>
      <c r="N562" s="142">
        <v>0.92630000000000001</v>
      </c>
      <c r="O562" s="142">
        <v>1.0538000000000001</v>
      </c>
      <c r="P562" s="26">
        <v>17060.79515238832</v>
      </c>
      <c r="Q562" s="35">
        <f t="array" ref="Q562">SUM(IF(($S562&gt;=4)*($C562='TaxCred&amp;Subs'!$D$114:$D$121)*($H562='TaxCred&amp;Subs'!$C$114:$C$121)*($H562&lt;='TaxCred&amp;Subs'!$C$123),'TaxCred&amp;Subs'!$E$114:$E$121,0))</f>
        <v>2000</v>
      </c>
      <c r="R562" s="143">
        <v>0</v>
      </c>
      <c r="S562" s="5">
        <v>4</v>
      </c>
      <c r="T562" s="5" t="s">
        <v>240</v>
      </c>
      <c r="V562" s="7" t="str">
        <f t="array" ref="V562">INDEX(xlRTCLNAME,MATCH(1,(xlRTCLENDU=1)*(xlRTCLEQCL=$D562),0))</f>
        <v>WOOD_HT</v>
      </c>
      <c r="W562" s="7" t="str">
        <f t="array" ref="W562">INDEX(xlRTCLNAME,MATCH(1,(xlRTCLENDU=2)*(xlRTCLEQCL=$F562),0))</f>
        <v>CENT_AIR</v>
      </c>
      <c r="X562" s="7" t="str">
        <f t="array" ref="X562">INDEX(xlRTTYNAME,MATCH(1,(xlRTTYENDU=1)*(xlRTTYEQCL=$D562)*(xlRTEQTYPE=$E562),0))</f>
        <v>WOOD_HT2</v>
      </c>
      <c r="Y562" s="7" t="str">
        <f t="array" ref="Y562">INDEX(xlRTTYNAME,MATCH(1,(xlRTTYENDU=2)*(xlRTTYEQCL=$F562)*(xlRTEQTYPE=$G562),0))</f>
        <v>CENT_AIR3</v>
      </c>
    </row>
    <row r="563" spans="2:25" x14ac:dyDescent="0.2">
      <c r="B563" s="5">
        <v>2</v>
      </c>
      <c r="C563" s="5">
        <v>1</v>
      </c>
      <c r="D563" s="5">
        <v>9</v>
      </c>
      <c r="E563" s="31">
        <v>29</v>
      </c>
      <c r="F563" s="5">
        <v>2</v>
      </c>
      <c r="G563" s="31">
        <v>6</v>
      </c>
      <c r="H563" s="5">
        <v>2023</v>
      </c>
      <c r="I563" s="5">
        <v>2032</v>
      </c>
      <c r="J563" s="142">
        <v>1.0717000000000001</v>
      </c>
      <c r="K563" s="142">
        <v>1.0895999999999999</v>
      </c>
      <c r="L563" s="142">
        <v>0.52270000000000005</v>
      </c>
      <c r="M563" s="142">
        <v>0.83919999999999995</v>
      </c>
      <c r="N563" s="142">
        <v>0.92630000000000001</v>
      </c>
      <c r="O563" s="142">
        <v>1.0538000000000001</v>
      </c>
      <c r="P563" s="26">
        <v>17060.79515238832</v>
      </c>
      <c r="Q563" s="35">
        <f t="array" ref="Q563">SUM(IF(($S563&gt;=4)*($C563='TaxCred&amp;Subs'!$D$114:$D$121)*($H563='TaxCred&amp;Subs'!$C$114:$C$121)*($H563&lt;='TaxCred&amp;Subs'!$C$123),'TaxCred&amp;Subs'!$E$114:$E$121,0))</f>
        <v>2500</v>
      </c>
      <c r="R563" s="143">
        <v>0</v>
      </c>
      <c r="S563" s="5">
        <v>4</v>
      </c>
      <c r="T563" s="5" t="s">
        <v>240</v>
      </c>
      <c r="V563" s="7" t="str">
        <f t="array" ref="V563">INDEX(xlRTCLNAME,MATCH(1,(xlRTCLENDU=1)*(xlRTCLEQCL=$D563),0))</f>
        <v>WOOD_HT</v>
      </c>
      <c r="W563" s="7" t="str">
        <f t="array" ref="W563">INDEX(xlRTCLNAME,MATCH(1,(xlRTCLENDU=2)*(xlRTCLEQCL=$F563),0))</f>
        <v>CENT_AIR</v>
      </c>
      <c r="X563" s="7" t="str">
        <f t="array" ref="X563">INDEX(xlRTTYNAME,MATCH(1,(xlRTTYENDU=1)*(xlRTTYEQCL=$D563)*(xlRTEQTYPE=$E563),0))</f>
        <v>WOOD_HT2</v>
      </c>
      <c r="Y563" s="7" t="str">
        <f t="array" ref="Y563">INDEX(xlRTTYNAME,MATCH(1,(xlRTTYENDU=2)*(xlRTTYEQCL=$F563)*(xlRTEQTYPE=$G563),0))</f>
        <v>CENT_AIR3</v>
      </c>
    </row>
    <row r="564" spans="2:25" x14ac:dyDescent="0.2">
      <c r="B564" s="5">
        <v>2</v>
      </c>
      <c r="C564" s="5">
        <v>1</v>
      </c>
      <c r="D564" s="5">
        <v>9</v>
      </c>
      <c r="E564" s="31">
        <v>29</v>
      </c>
      <c r="F564" s="5">
        <v>2</v>
      </c>
      <c r="G564" s="31">
        <v>6</v>
      </c>
      <c r="H564" s="5">
        <v>2033</v>
      </c>
      <c r="I564" s="5">
        <v>2050</v>
      </c>
      <c r="J564" s="142">
        <v>1.0717000000000001</v>
      </c>
      <c r="K564" s="142">
        <v>1.0895999999999999</v>
      </c>
      <c r="L564" s="142">
        <v>0.52270000000000005</v>
      </c>
      <c r="M564" s="142">
        <v>0.83919999999999995</v>
      </c>
      <c r="N564" s="142">
        <v>0.92630000000000001</v>
      </c>
      <c r="O564" s="142">
        <v>1.0538000000000001</v>
      </c>
      <c r="P564" s="26">
        <v>17060.79515238832</v>
      </c>
      <c r="Q564" s="35">
        <f t="array" ref="Q564">SUM(IF(($S564&gt;=4)*($C564='TaxCred&amp;Subs'!$D$114:$D$121)*($H564='TaxCred&amp;Subs'!$C$114:$C$121)*($H564&lt;='TaxCred&amp;Subs'!$C$123),'TaxCred&amp;Subs'!$E$114:$E$121,0))</f>
        <v>0</v>
      </c>
      <c r="R564" s="143">
        <v>0</v>
      </c>
      <c r="S564" s="5">
        <v>4</v>
      </c>
      <c r="T564" s="5" t="s">
        <v>240</v>
      </c>
      <c r="V564" s="7" t="str">
        <f t="array" ref="V564">INDEX(xlRTCLNAME,MATCH(1,(xlRTCLENDU=1)*(xlRTCLEQCL=$D564),0))</f>
        <v>WOOD_HT</v>
      </c>
      <c r="W564" s="7" t="str">
        <f t="array" ref="W564">INDEX(xlRTCLNAME,MATCH(1,(xlRTCLENDU=2)*(xlRTCLEQCL=$F564),0))</f>
        <v>CENT_AIR</v>
      </c>
      <c r="X564" s="7" t="str">
        <f t="array" ref="X564">INDEX(xlRTTYNAME,MATCH(1,(xlRTTYENDU=1)*(xlRTTYEQCL=$D564)*(xlRTEQTYPE=$E564),0))</f>
        <v>WOOD_HT2</v>
      </c>
      <c r="Y564" s="7" t="str">
        <f t="array" ref="Y564">INDEX(xlRTTYNAME,MATCH(1,(xlRTTYENDU=2)*(xlRTTYEQCL=$F564)*(xlRTEQTYPE=$G564),0))</f>
        <v>CENT_AIR3</v>
      </c>
    </row>
    <row r="565" spans="2:25" x14ac:dyDescent="0.2">
      <c r="B565" s="5">
        <v>3</v>
      </c>
      <c r="C565" s="5">
        <v>1</v>
      </c>
      <c r="D565" s="5">
        <v>9</v>
      </c>
      <c r="E565" s="31">
        <v>29</v>
      </c>
      <c r="F565" s="5">
        <v>2</v>
      </c>
      <c r="G565" s="31">
        <v>6</v>
      </c>
      <c r="H565" s="31">
        <v>2020</v>
      </c>
      <c r="I565" s="5">
        <v>2022</v>
      </c>
      <c r="J565" s="142">
        <v>1.0821000000000001</v>
      </c>
      <c r="K565" s="142">
        <v>1.0769</v>
      </c>
      <c r="L565" s="142">
        <v>0.46970000000000001</v>
      </c>
      <c r="M565" s="142">
        <v>0.91859999999999997</v>
      </c>
      <c r="N565" s="142">
        <v>0.91400000000000003</v>
      </c>
      <c r="O565" s="142">
        <v>1.0538000000000001</v>
      </c>
      <c r="P565" s="26">
        <v>14781.809591406507</v>
      </c>
      <c r="Q565" s="35">
        <f t="array" ref="Q565">SUM(IF(($S565&gt;=4)*($C565='TaxCred&amp;Subs'!$D$114:$D$121)*($H565='TaxCred&amp;Subs'!$C$114:$C$121)*($H565&lt;='TaxCred&amp;Subs'!$C$123),'TaxCred&amp;Subs'!$E$114:$E$121,0))</f>
        <v>2000</v>
      </c>
      <c r="R565" s="143">
        <v>0</v>
      </c>
      <c r="S565" s="5">
        <v>4</v>
      </c>
      <c r="T565" s="5" t="s">
        <v>240</v>
      </c>
      <c r="V565" s="7" t="str">
        <f t="array" ref="V565">INDEX(xlRTCLNAME,MATCH(1,(xlRTCLENDU=1)*(xlRTCLEQCL=$D565),0))</f>
        <v>WOOD_HT</v>
      </c>
      <c r="W565" s="7" t="str">
        <f t="array" ref="W565">INDEX(xlRTCLNAME,MATCH(1,(xlRTCLENDU=2)*(xlRTCLEQCL=$F565),0))</f>
        <v>CENT_AIR</v>
      </c>
      <c r="X565" s="7" t="str">
        <f t="array" ref="X565">INDEX(xlRTTYNAME,MATCH(1,(xlRTTYENDU=1)*(xlRTTYEQCL=$D565)*(xlRTEQTYPE=$E565),0))</f>
        <v>WOOD_HT2</v>
      </c>
      <c r="Y565" s="7" t="str">
        <f t="array" ref="Y565">INDEX(xlRTTYNAME,MATCH(1,(xlRTTYENDU=2)*(xlRTTYEQCL=$F565)*(xlRTEQTYPE=$G565),0))</f>
        <v>CENT_AIR3</v>
      </c>
    </row>
    <row r="566" spans="2:25" x14ac:dyDescent="0.2">
      <c r="B566" s="5">
        <v>3</v>
      </c>
      <c r="C566" s="5">
        <v>1</v>
      </c>
      <c r="D566" s="5">
        <v>9</v>
      </c>
      <c r="E566" s="31">
        <v>29</v>
      </c>
      <c r="F566" s="5">
        <v>2</v>
      </c>
      <c r="G566" s="31">
        <v>6</v>
      </c>
      <c r="H566" s="5">
        <v>2023</v>
      </c>
      <c r="I566" s="5">
        <v>2032</v>
      </c>
      <c r="J566" s="142">
        <v>1.0821000000000001</v>
      </c>
      <c r="K566" s="142">
        <v>1.0769</v>
      </c>
      <c r="L566" s="142">
        <v>0.46970000000000001</v>
      </c>
      <c r="M566" s="142">
        <v>0.91859999999999997</v>
      </c>
      <c r="N566" s="142">
        <v>0.91400000000000003</v>
      </c>
      <c r="O566" s="142">
        <v>1.0538000000000001</v>
      </c>
      <c r="P566" s="26">
        <v>14781.809591406507</v>
      </c>
      <c r="Q566" s="35">
        <f t="array" ref="Q566">SUM(IF(($S566&gt;=4)*($C566='TaxCred&amp;Subs'!$D$114:$D$121)*($H566='TaxCred&amp;Subs'!$C$114:$C$121)*($H566&lt;='TaxCred&amp;Subs'!$C$123),'TaxCred&amp;Subs'!$E$114:$E$121,0))</f>
        <v>2500</v>
      </c>
      <c r="R566" s="143">
        <v>0</v>
      </c>
      <c r="S566" s="5">
        <v>4</v>
      </c>
      <c r="T566" s="5" t="s">
        <v>240</v>
      </c>
      <c r="V566" s="7" t="str">
        <f t="array" ref="V566">INDEX(xlRTCLNAME,MATCH(1,(xlRTCLENDU=1)*(xlRTCLEQCL=$D566),0))</f>
        <v>WOOD_HT</v>
      </c>
      <c r="W566" s="7" t="str">
        <f t="array" ref="W566">INDEX(xlRTCLNAME,MATCH(1,(xlRTCLENDU=2)*(xlRTCLEQCL=$F566),0))</f>
        <v>CENT_AIR</v>
      </c>
      <c r="X566" s="7" t="str">
        <f t="array" ref="X566">INDEX(xlRTTYNAME,MATCH(1,(xlRTTYENDU=1)*(xlRTTYEQCL=$D566)*(xlRTEQTYPE=$E566),0))</f>
        <v>WOOD_HT2</v>
      </c>
      <c r="Y566" s="7" t="str">
        <f t="array" ref="Y566">INDEX(xlRTTYNAME,MATCH(1,(xlRTTYENDU=2)*(xlRTTYEQCL=$F566)*(xlRTEQTYPE=$G566),0))</f>
        <v>CENT_AIR3</v>
      </c>
    </row>
    <row r="567" spans="2:25" x14ac:dyDescent="0.2">
      <c r="B567" s="5">
        <v>3</v>
      </c>
      <c r="C567" s="5">
        <v>1</v>
      </c>
      <c r="D567" s="5">
        <v>9</v>
      </c>
      <c r="E567" s="31">
        <v>29</v>
      </c>
      <c r="F567" s="5">
        <v>2</v>
      </c>
      <c r="G567" s="31">
        <v>6</v>
      </c>
      <c r="H567" s="5">
        <v>2033</v>
      </c>
      <c r="I567" s="5">
        <v>2050</v>
      </c>
      <c r="J567" s="142">
        <v>1.0821000000000001</v>
      </c>
      <c r="K567" s="142">
        <v>1.0769</v>
      </c>
      <c r="L567" s="142">
        <v>0.46970000000000001</v>
      </c>
      <c r="M567" s="142">
        <v>0.91859999999999997</v>
      </c>
      <c r="N567" s="142">
        <v>0.91400000000000003</v>
      </c>
      <c r="O567" s="142">
        <v>1.0538000000000001</v>
      </c>
      <c r="P567" s="26">
        <v>14781.809591406507</v>
      </c>
      <c r="Q567" s="35">
        <f t="array" ref="Q567">SUM(IF(($S567&gt;=4)*($C567='TaxCred&amp;Subs'!$D$114:$D$121)*($H567='TaxCred&amp;Subs'!$C$114:$C$121)*($H567&lt;='TaxCred&amp;Subs'!$C$123),'TaxCred&amp;Subs'!$E$114:$E$121,0))</f>
        <v>0</v>
      </c>
      <c r="R567" s="143">
        <v>0</v>
      </c>
      <c r="S567" s="5">
        <v>4</v>
      </c>
      <c r="T567" s="5" t="s">
        <v>240</v>
      </c>
      <c r="V567" s="7" t="str">
        <f t="array" ref="V567">INDEX(xlRTCLNAME,MATCH(1,(xlRTCLENDU=1)*(xlRTCLEQCL=$D567),0))</f>
        <v>WOOD_HT</v>
      </c>
      <c r="W567" s="7" t="str">
        <f t="array" ref="W567">INDEX(xlRTCLNAME,MATCH(1,(xlRTCLENDU=2)*(xlRTCLEQCL=$F567),0))</f>
        <v>CENT_AIR</v>
      </c>
      <c r="X567" s="7" t="str">
        <f t="array" ref="X567">INDEX(xlRTTYNAME,MATCH(1,(xlRTTYENDU=1)*(xlRTTYEQCL=$D567)*(xlRTEQTYPE=$E567),0))</f>
        <v>WOOD_HT2</v>
      </c>
      <c r="Y567" s="7" t="str">
        <f t="array" ref="Y567">INDEX(xlRTTYNAME,MATCH(1,(xlRTTYENDU=2)*(xlRTTYEQCL=$F567)*(xlRTEQTYPE=$G567),0))</f>
        <v>CENT_AIR3</v>
      </c>
    </row>
    <row r="568" spans="2:25" x14ac:dyDescent="0.2">
      <c r="B568" s="5">
        <v>4</v>
      </c>
      <c r="C568" s="5">
        <v>1</v>
      </c>
      <c r="D568" s="5">
        <v>9</v>
      </c>
      <c r="E568" s="31">
        <v>29</v>
      </c>
      <c r="F568" s="5">
        <v>2</v>
      </c>
      <c r="G568" s="31">
        <v>6</v>
      </c>
      <c r="H568" s="31">
        <v>2020</v>
      </c>
      <c r="I568" s="5">
        <v>2022</v>
      </c>
      <c r="J568" s="142">
        <v>1.0812999999999999</v>
      </c>
      <c r="K568" s="142">
        <v>1.0769</v>
      </c>
      <c r="L568" s="142">
        <v>0.47370000000000001</v>
      </c>
      <c r="M568" s="142">
        <v>0.85729999999999995</v>
      </c>
      <c r="N568" s="142">
        <v>0.85660000000000003</v>
      </c>
      <c r="O568" s="142">
        <v>1.0538000000000001</v>
      </c>
      <c r="P568" s="26">
        <v>12406.017564117505</v>
      </c>
      <c r="Q568" s="35">
        <f t="array" ref="Q568">SUM(IF(($S568&gt;=4)*($C568='TaxCred&amp;Subs'!$D$114:$D$121)*($H568='TaxCred&amp;Subs'!$C$114:$C$121)*($H568&lt;='TaxCred&amp;Subs'!$C$123),'TaxCred&amp;Subs'!$E$114:$E$121,0))</f>
        <v>2000</v>
      </c>
      <c r="R568" s="143">
        <v>0</v>
      </c>
      <c r="S568" s="5">
        <v>4</v>
      </c>
      <c r="T568" s="5" t="s">
        <v>240</v>
      </c>
      <c r="V568" s="7" t="str">
        <f t="array" ref="V568">INDEX(xlRTCLNAME,MATCH(1,(xlRTCLENDU=1)*(xlRTCLEQCL=$D568),0))</f>
        <v>WOOD_HT</v>
      </c>
      <c r="W568" s="7" t="str">
        <f t="array" ref="W568">INDEX(xlRTCLNAME,MATCH(1,(xlRTCLENDU=2)*(xlRTCLEQCL=$F568),0))</f>
        <v>CENT_AIR</v>
      </c>
      <c r="X568" s="7" t="str">
        <f t="array" ref="X568">INDEX(xlRTTYNAME,MATCH(1,(xlRTTYENDU=1)*(xlRTTYEQCL=$D568)*(xlRTEQTYPE=$E568),0))</f>
        <v>WOOD_HT2</v>
      </c>
      <c r="Y568" s="7" t="str">
        <f t="array" ref="Y568">INDEX(xlRTTYNAME,MATCH(1,(xlRTTYENDU=2)*(xlRTTYEQCL=$F568)*(xlRTEQTYPE=$G568),0))</f>
        <v>CENT_AIR3</v>
      </c>
    </row>
    <row r="569" spans="2:25" x14ac:dyDescent="0.2">
      <c r="B569" s="5">
        <v>4</v>
      </c>
      <c r="C569" s="5">
        <v>1</v>
      </c>
      <c r="D569" s="5">
        <v>9</v>
      </c>
      <c r="E569" s="31">
        <v>29</v>
      </c>
      <c r="F569" s="5">
        <v>2</v>
      </c>
      <c r="G569" s="31">
        <v>6</v>
      </c>
      <c r="H569" s="5">
        <v>2023</v>
      </c>
      <c r="I569" s="5">
        <v>2032</v>
      </c>
      <c r="J569" s="142">
        <v>1.0812999999999999</v>
      </c>
      <c r="K569" s="142">
        <v>1.0769</v>
      </c>
      <c r="L569" s="142">
        <v>0.47370000000000001</v>
      </c>
      <c r="M569" s="142">
        <v>0.85729999999999995</v>
      </c>
      <c r="N569" s="142">
        <v>0.85660000000000003</v>
      </c>
      <c r="O569" s="142">
        <v>1.0538000000000001</v>
      </c>
      <c r="P569" s="26">
        <v>12406.017564117505</v>
      </c>
      <c r="Q569" s="35">
        <f t="array" ref="Q569">SUM(IF(($S569&gt;=4)*($C569='TaxCred&amp;Subs'!$D$114:$D$121)*($H569='TaxCred&amp;Subs'!$C$114:$C$121)*($H569&lt;='TaxCred&amp;Subs'!$C$123),'TaxCred&amp;Subs'!$E$114:$E$121,0))</f>
        <v>2500</v>
      </c>
      <c r="R569" s="143">
        <v>0</v>
      </c>
      <c r="S569" s="5">
        <v>4</v>
      </c>
      <c r="T569" s="5" t="s">
        <v>240</v>
      </c>
      <c r="V569" s="7" t="str">
        <f t="array" ref="V569">INDEX(xlRTCLNAME,MATCH(1,(xlRTCLENDU=1)*(xlRTCLEQCL=$D569),0))</f>
        <v>WOOD_HT</v>
      </c>
      <c r="W569" s="7" t="str">
        <f t="array" ref="W569">INDEX(xlRTCLNAME,MATCH(1,(xlRTCLENDU=2)*(xlRTCLEQCL=$F569),0))</f>
        <v>CENT_AIR</v>
      </c>
      <c r="X569" s="7" t="str">
        <f t="array" ref="X569">INDEX(xlRTTYNAME,MATCH(1,(xlRTTYENDU=1)*(xlRTTYEQCL=$D569)*(xlRTEQTYPE=$E569),0))</f>
        <v>WOOD_HT2</v>
      </c>
      <c r="Y569" s="7" t="str">
        <f t="array" ref="Y569">INDEX(xlRTTYNAME,MATCH(1,(xlRTTYENDU=2)*(xlRTTYEQCL=$F569)*(xlRTEQTYPE=$G569),0))</f>
        <v>CENT_AIR3</v>
      </c>
    </row>
    <row r="570" spans="2:25" x14ac:dyDescent="0.2">
      <c r="B570" s="5">
        <v>4</v>
      </c>
      <c r="C570" s="5">
        <v>1</v>
      </c>
      <c r="D570" s="5">
        <v>9</v>
      </c>
      <c r="E570" s="31">
        <v>29</v>
      </c>
      <c r="F570" s="5">
        <v>2</v>
      </c>
      <c r="G570" s="31">
        <v>6</v>
      </c>
      <c r="H570" s="5">
        <v>2033</v>
      </c>
      <c r="I570" s="5">
        <v>2050</v>
      </c>
      <c r="J570" s="142">
        <v>1.0812999999999999</v>
      </c>
      <c r="K570" s="142">
        <v>1.0769</v>
      </c>
      <c r="L570" s="142">
        <v>0.47370000000000001</v>
      </c>
      <c r="M570" s="142">
        <v>0.85729999999999995</v>
      </c>
      <c r="N570" s="142">
        <v>0.85660000000000003</v>
      </c>
      <c r="O570" s="142">
        <v>1.0538000000000001</v>
      </c>
      <c r="P570" s="26">
        <v>12406.017564117505</v>
      </c>
      <c r="Q570" s="35">
        <f t="array" ref="Q570">SUM(IF(($S570&gt;=4)*($C570='TaxCred&amp;Subs'!$D$114:$D$121)*($H570='TaxCred&amp;Subs'!$C$114:$C$121)*($H570&lt;='TaxCred&amp;Subs'!$C$123),'TaxCred&amp;Subs'!$E$114:$E$121,0))</f>
        <v>0</v>
      </c>
      <c r="R570" s="143">
        <v>0</v>
      </c>
      <c r="S570" s="5">
        <v>4</v>
      </c>
      <c r="T570" s="5" t="s">
        <v>240</v>
      </c>
      <c r="V570" s="7" t="str">
        <f t="array" ref="V570">INDEX(xlRTCLNAME,MATCH(1,(xlRTCLENDU=1)*(xlRTCLEQCL=$D570),0))</f>
        <v>WOOD_HT</v>
      </c>
      <c r="W570" s="7" t="str">
        <f t="array" ref="W570">INDEX(xlRTCLNAME,MATCH(1,(xlRTCLENDU=2)*(xlRTCLEQCL=$F570),0))</f>
        <v>CENT_AIR</v>
      </c>
      <c r="X570" s="7" t="str">
        <f t="array" ref="X570">INDEX(xlRTTYNAME,MATCH(1,(xlRTTYENDU=1)*(xlRTTYEQCL=$D570)*(xlRTEQTYPE=$E570),0))</f>
        <v>WOOD_HT2</v>
      </c>
      <c r="Y570" s="7" t="str">
        <f t="array" ref="Y570">INDEX(xlRTTYNAME,MATCH(1,(xlRTTYENDU=2)*(xlRTTYEQCL=$F570)*(xlRTEQTYPE=$G570),0))</f>
        <v>CENT_AIR3</v>
      </c>
    </row>
    <row r="571" spans="2:25" x14ac:dyDescent="0.2">
      <c r="B571" s="5">
        <v>5</v>
      </c>
      <c r="C571" s="5">
        <v>1</v>
      </c>
      <c r="D571" s="5">
        <v>9</v>
      </c>
      <c r="E571" s="31">
        <v>29</v>
      </c>
      <c r="F571" s="5">
        <v>2</v>
      </c>
      <c r="G571" s="31">
        <v>6</v>
      </c>
      <c r="H571" s="31">
        <v>2020</v>
      </c>
      <c r="I571" s="5">
        <v>2022</v>
      </c>
      <c r="J571" s="142">
        <v>1.0838000000000001</v>
      </c>
      <c r="K571" s="142">
        <v>1.0465</v>
      </c>
      <c r="L571" s="142">
        <v>0.40329999999999999</v>
      </c>
      <c r="M571" s="142">
        <v>0.77349999999999997</v>
      </c>
      <c r="N571" s="142">
        <v>0.75670000000000004</v>
      </c>
      <c r="O571" s="142">
        <v>1.0538000000000001</v>
      </c>
      <c r="P571" s="26">
        <v>13314.922720001698</v>
      </c>
      <c r="Q571" s="35">
        <f t="array" ref="Q571">SUM(IF(($S571&gt;=4)*($C571='TaxCred&amp;Subs'!$D$114:$D$121)*($H571='TaxCred&amp;Subs'!$C$114:$C$121)*($H571&lt;='TaxCred&amp;Subs'!$C$123),'TaxCred&amp;Subs'!$E$114:$E$121,0))</f>
        <v>2000</v>
      </c>
      <c r="R571" s="143">
        <v>0</v>
      </c>
      <c r="S571" s="5">
        <v>4</v>
      </c>
      <c r="T571" s="5" t="s">
        <v>240</v>
      </c>
      <c r="V571" s="7" t="str">
        <f t="array" ref="V571">INDEX(xlRTCLNAME,MATCH(1,(xlRTCLENDU=1)*(xlRTCLEQCL=$D571),0))</f>
        <v>WOOD_HT</v>
      </c>
      <c r="W571" s="7" t="str">
        <f t="array" ref="W571">INDEX(xlRTCLNAME,MATCH(1,(xlRTCLENDU=2)*(xlRTCLEQCL=$F571),0))</f>
        <v>CENT_AIR</v>
      </c>
      <c r="X571" s="7" t="str">
        <f t="array" ref="X571">INDEX(xlRTTYNAME,MATCH(1,(xlRTTYENDU=1)*(xlRTTYEQCL=$D571)*(xlRTEQTYPE=$E571),0))</f>
        <v>WOOD_HT2</v>
      </c>
      <c r="Y571" s="7" t="str">
        <f t="array" ref="Y571">INDEX(xlRTTYNAME,MATCH(1,(xlRTTYENDU=2)*(xlRTTYEQCL=$F571)*(xlRTEQTYPE=$G571),0))</f>
        <v>CENT_AIR3</v>
      </c>
    </row>
    <row r="572" spans="2:25" x14ac:dyDescent="0.2">
      <c r="B572" s="5">
        <v>5</v>
      </c>
      <c r="C572" s="5">
        <v>1</v>
      </c>
      <c r="D572" s="5">
        <v>9</v>
      </c>
      <c r="E572" s="31">
        <v>29</v>
      </c>
      <c r="F572" s="5">
        <v>2</v>
      </c>
      <c r="G572" s="31">
        <v>6</v>
      </c>
      <c r="H572" s="5">
        <v>2023</v>
      </c>
      <c r="I572" s="5">
        <v>2032</v>
      </c>
      <c r="J572" s="142">
        <v>1.0838000000000001</v>
      </c>
      <c r="K572" s="142">
        <v>1.0465</v>
      </c>
      <c r="L572" s="142">
        <v>0.40329999999999999</v>
      </c>
      <c r="M572" s="142">
        <v>0.77349999999999997</v>
      </c>
      <c r="N572" s="142">
        <v>0.75670000000000004</v>
      </c>
      <c r="O572" s="142">
        <v>1.0538000000000001</v>
      </c>
      <c r="P572" s="26">
        <v>13314.922720001698</v>
      </c>
      <c r="Q572" s="35">
        <f t="array" ref="Q572">SUM(IF(($S572&gt;=4)*($C572='TaxCred&amp;Subs'!$D$114:$D$121)*($H572='TaxCred&amp;Subs'!$C$114:$C$121)*($H572&lt;='TaxCred&amp;Subs'!$C$123),'TaxCred&amp;Subs'!$E$114:$E$121,0))</f>
        <v>2500</v>
      </c>
      <c r="R572" s="143">
        <v>0</v>
      </c>
      <c r="S572" s="5">
        <v>4</v>
      </c>
      <c r="T572" s="5" t="s">
        <v>240</v>
      </c>
      <c r="V572" s="7" t="str">
        <f t="array" ref="V572">INDEX(xlRTCLNAME,MATCH(1,(xlRTCLENDU=1)*(xlRTCLEQCL=$D572),0))</f>
        <v>WOOD_HT</v>
      </c>
      <c r="W572" s="7" t="str">
        <f t="array" ref="W572">INDEX(xlRTCLNAME,MATCH(1,(xlRTCLENDU=2)*(xlRTCLEQCL=$F572),0))</f>
        <v>CENT_AIR</v>
      </c>
      <c r="X572" s="7" t="str">
        <f t="array" ref="X572">INDEX(xlRTTYNAME,MATCH(1,(xlRTTYENDU=1)*(xlRTTYEQCL=$D572)*(xlRTEQTYPE=$E572),0))</f>
        <v>WOOD_HT2</v>
      </c>
      <c r="Y572" s="7" t="str">
        <f t="array" ref="Y572">INDEX(xlRTTYNAME,MATCH(1,(xlRTTYENDU=2)*(xlRTTYEQCL=$F572)*(xlRTEQTYPE=$G572),0))</f>
        <v>CENT_AIR3</v>
      </c>
    </row>
    <row r="573" spans="2:25" x14ac:dyDescent="0.2">
      <c r="B573" s="5">
        <v>5</v>
      </c>
      <c r="C573" s="5">
        <v>1</v>
      </c>
      <c r="D573" s="5">
        <v>9</v>
      </c>
      <c r="E573" s="31">
        <v>29</v>
      </c>
      <c r="F573" s="5">
        <v>2</v>
      </c>
      <c r="G573" s="31">
        <v>6</v>
      </c>
      <c r="H573" s="5">
        <v>2033</v>
      </c>
      <c r="I573" s="5">
        <v>2050</v>
      </c>
      <c r="J573" s="142">
        <v>1.0838000000000001</v>
      </c>
      <c r="K573" s="142">
        <v>1.0465</v>
      </c>
      <c r="L573" s="142">
        <v>0.40329999999999999</v>
      </c>
      <c r="M573" s="142">
        <v>0.77349999999999997</v>
      </c>
      <c r="N573" s="142">
        <v>0.75670000000000004</v>
      </c>
      <c r="O573" s="142">
        <v>1.0538000000000001</v>
      </c>
      <c r="P573" s="26">
        <v>13314.922720001698</v>
      </c>
      <c r="Q573" s="35">
        <f t="array" ref="Q573">SUM(IF(($S573&gt;=4)*($C573='TaxCred&amp;Subs'!$D$114:$D$121)*($H573='TaxCred&amp;Subs'!$C$114:$C$121)*($H573&lt;='TaxCred&amp;Subs'!$C$123),'TaxCred&amp;Subs'!$E$114:$E$121,0))</f>
        <v>0</v>
      </c>
      <c r="R573" s="143">
        <v>0</v>
      </c>
      <c r="S573" s="5">
        <v>4</v>
      </c>
      <c r="T573" s="5" t="s">
        <v>240</v>
      </c>
      <c r="V573" s="7" t="str">
        <f t="array" ref="V573">INDEX(xlRTCLNAME,MATCH(1,(xlRTCLENDU=1)*(xlRTCLEQCL=$D573),0))</f>
        <v>WOOD_HT</v>
      </c>
      <c r="W573" s="7" t="str">
        <f t="array" ref="W573">INDEX(xlRTCLNAME,MATCH(1,(xlRTCLENDU=2)*(xlRTCLEQCL=$F573),0))</f>
        <v>CENT_AIR</v>
      </c>
      <c r="X573" s="7" t="str">
        <f t="array" ref="X573">INDEX(xlRTTYNAME,MATCH(1,(xlRTTYENDU=1)*(xlRTTYEQCL=$D573)*(xlRTEQTYPE=$E573),0))</f>
        <v>WOOD_HT2</v>
      </c>
      <c r="Y573" s="7" t="str">
        <f t="array" ref="Y573">INDEX(xlRTTYNAME,MATCH(1,(xlRTTYENDU=2)*(xlRTTYEQCL=$F573)*(xlRTEQTYPE=$G573),0))</f>
        <v>CENT_AIR3</v>
      </c>
    </row>
    <row r="574" spans="2:25" x14ac:dyDescent="0.2">
      <c r="B574" s="5">
        <v>6</v>
      </c>
      <c r="C574" s="5">
        <v>1</v>
      </c>
      <c r="D574" s="5">
        <v>9</v>
      </c>
      <c r="E574" s="31">
        <v>29</v>
      </c>
      <c r="F574" s="5">
        <v>2</v>
      </c>
      <c r="G574" s="31">
        <v>6</v>
      </c>
      <c r="H574" s="31">
        <v>2020</v>
      </c>
      <c r="I574" s="5">
        <v>2022</v>
      </c>
      <c r="J574" s="142">
        <v>1.089</v>
      </c>
      <c r="K574" s="142">
        <v>1.0583</v>
      </c>
      <c r="L574" s="142">
        <v>0.60009999999999997</v>
      </c>
      <c r="M574" s="142">
        <v>0.85409999999999997</v>
      </c>
      <c r="N574" s="142">
        <v>0.88849999999999996</v>
      </c>
      <c r="O574" s="142">
        <v>1.0538000000000001</v>
      </c>
      <c r="P574" s="26">
        <v>12559.294469103892</v>
      </c>
      <c r="Q574" s="35">
        <f t="array" ref="Q574">SUM(IF(($S574&gt;=4)*($C574='TaxCred&amp;Subs'!$D$114:$D$121)*($H574='TaxCred&amp;Subs'!$C$114:$C$121)*($H574&lt;='TaxCred&amp;Subs'!$C$123),'TaxCred&amp;Subs'!$E$114:$E$121,0))</f>
        <v>2000</v>
      </c>
      <c r="R574" s="143">
        <v>0</v>
      </c>
      <c r="S574" s="5">
        <v>4</v>
      </c>
      <c r="T574" s="5" t="s">
        <v>240</v>
      </c>
      <c r="V574" s="7" t="str">
        <f t="array" ref="V574">INDEX(xlRTCLNAME,MATCH(1,(xlRTCLENDU=1)*(xlRTCLEQCL=$D574),0))</f>
        <v>WOOD_HT</v>
      </c>
      <c r="W574" s="7" t="str">
        <f t="array" ref="W574">INDEX(xlRTCLNAME,MATCH(1,(xlRTCLENDU=2)*(xlRTCLEQCL=$F574),0))</f>
        <v>CENT_AIR</v>
      </c>
      <c r="X574" s="7" t="str">
        <f t="array" ref="X574">INDEX(xlRTTYNAME,MATCH(1,(xlRTTYENDU=1)*(xlRTTYEQCL=$D574)*(xlRTEQTYPE=$E574),0))</f>
        <v>WOOD_HT2</v>
      </c>
      <c r="Y574" s="7" t="str">
        <f t="array" ref="Y574">INDEX(xlRTTYNAME,MATCH(1,(xlRTTYENDU=2)*(xlRTTYEQCL=$F574)*(xlRTEQTYPE=$G574),0))</f>
        <v>CENT_AIR3</v>
      </c>
    </row>
    <row r="575" spans="2:25" x14ac:dyDescent="0.2">
      <c r="B575" s="5">
        <v>6</v>
      </c>
      <c r="C575" s="5">
        <v>1</v>
      </c>
      <c r="D575" s="5">
        <v>9</v>
      </c>
      <c r="E575" s="31">
        <v>29</v>
      </c>
      <c r="F575" s="5">
        <v>2</v>
      </c>
      <c r="G575" s="31">
        <v>6</v>
      </c>
      <c r="H575" s="5">
        <v>2023</v>
      </c>
      <c r="I575" s="5">
        <v>2032</v>
      </c>
      <c r="J575" s="142">
        <v>1.089</v>
      </c>
      <c r="K575" s="142">
        <v>1.0583</v>
      </c>
      <c r="L575" s="142">
        <v>0.60009999999999997</v>
      </c>
      <c r="M575" s="142">
        <v>0.85409999999999997</v>
      </c>
      <c r="N575" s="142">
        <v>0.88849999999999996</v>
      </c>
      <c r="O575" s="142">
        <v>1.0538000000000001</v>
      </c>
      <c r="P575" s="26">
        <v>12559.294469103892</v>
      </c>
      <c r="Q575" s="35">
        <f t="array" ref="Q575">SUM(IF(($S575&gt;=4)*($C575='TaxCred&amp;Subs'!$D$114:$D$121)*($H575='TaxCred&amp;Subs'!$C$114:$C$121)*($H575&lt;='TaxCred&amp;Subs'!$C$123),'TaxCred&amp;Subs'!$E$114:$E$121,0))</f>
        <v>2500</v>
      </c>
      <c r="R575" s="143">
        <v>0</v>
      </c>
      <c r="S575" s="5">
        <v>4</v>
      </c>
      <c r="T575" s="5" t="s">
        <v>240</v>
      </c>
      <c r="V575" s="7" t="str">
        <f t="array" ref="V575">INDEX(xlRTCLNAME,MATCH(1,(xlRTCLENDU=1)*(xlRTCLEQCL=$D575),0))</f>
        <v>WOOD_HT</v>
      </c>
      <c r="W575" s="7" t="str">
        <f t="array" ref="W575">INDEX(xlRTCLNAME,MATCH(1,(xlRTCLENDU=2)*(xlRTCLEQCL=$F575),0))</f>
        <v>CENT_AIR</v>
      </c>
      <c r="X575" s="7" t="str">
        <f t="array" ref="X575">INDEX(xlRTTYNAME,MATCH(1,(xlRTTYENDU=1)*(xlRTTYEQCL=$D575)*(xlRTEQTYPE=$E575),0))</f>
        <v>WOOD_HT2</v>
      </c>
      <c r="Y575" s="7" t="str">
        <f t="array" ref="Y575">INDEX(xlRTTYNAME,MATCH(1,(xlRTTYENDU=2)*(xlRTTYEQCL=$F575)*(xlRTEQTYPE=$G575),0))</f>
        <v>CENT_AIR3</v>
      </c>
    </row>
    <row r="576" spans="2:25" x14ac:dyDescent="0.2">
      <c r="B576" s="5">
        <v>6</v>
      </c>
      <c r="C576" s="5">
        <v>1</v>
      </c>
      <c r="D576" s="5">
        <v>9</v>
      </c>
      <c r="E576" s="31">
        <v>29</v>
      </c>
      <c r="F576" s="5">
        <v>2</v>
      </c>
      <c r="G576" s="31">
        <v>6</v>
      </c>
      <c r="H576" s="5">
        <v>2033</v>
      </c>
      <c r="I576" s="5">
        <v>2050</v>
      </c>
      <c r="J576" s="142">
        <v>1.089</v>
      </c>
      <c r="K576" s="142">
        <v>1.0583</v>
      </c>
      <c r="L576" s="142">
        <v>0.60009999999999997</v>
      </c>
      <c r="M576" s="142">
        <v>0.85409999999999997</v>
      </c>
      <c r="N576" s="142">
        <v>0.88849999999999996</v>
      </c>
      <c r="O576" s="142">
        <v>1.0538000000000001</v>
      </c>
      <c r="P576" s="26">
        <v>12559.294469103892</v>
      </c>
      <c r="Q576" s="35">
        <f t="array" ref="Q576">SUM(IF(($S576&gt;=4)*($C576='TaxCred&amp;Subs'!$D$114:$D$121)*($H576='TaxCred&amp;Subs'!$C$114:$C$121)*($H576&lt;='TaxCred&amp;Subs'!$C$123),'TaxCred&amp;Subs'!$E$114:$E$121,0))</f>
        <v>0</v>
      </c>
      <c r="R576" s="143">
        <v>0</v>
      </c>
      <c r="S576" s="5">
        <v>4</v>
      </c>
      <c r="T576" s="5" t="s">
        <v>240</v>
      </c>
      <c r="V576" s="7" t="str">
        <f t="array" ref="V576">INDEX(xlRTCLNAME,MATCH(1,(xlRTCLENDU=1)*(xlRTCLEQCL=$D576),0))</f>
        <v>WOOD_HT</v>
      </c>
      <c r="W576" s="7" t="str">
        <f t="array" ref="W576">INDEX(xlRTCLNAME,MATCH(1,(xlRTCLENDU=2)*(xlRTCLEQCL=$F576),0))</f>
        <v>CENT_AIR</v>
      </c>
      <c r="X576" s="7" t="str">
        <f t="array" ref="X576">INDEX(xlRTTYNAME,MATCH(1,(xlRTTYENDU=1)*(xlRTTYEQCL=$D576)*(xlRTEQTYPE=$E576),0))</f>
        <v>WOOD_HT2</v>
      </c>
      <c r="Y576" s="7" t="str">
        <f t="array" ref="Y576">INDEX(xlRTTYNAME,MATCH(1,(xlRTTYENDU=2)*(xlRTTYEQCL=$F576)*(xlRTEQTYPE=$G576),0))</f>
        <v>CENT_AIR3</v>
      </c>
    </row>
    <row r="577" spans="2:25" x14ac:dyDescent="0.2">
      <c r="B577" s="5">
        <v>7</v>
      </c>
      <c r="C577" s="5">
        <v>1</v>
      </c>
      <c r="D577" s="5">
        <v>9</v>
      </c>
      <c r="E577" s="31">
        <v>29</v>
      </c>
      <c r="F577" s="5">
        <v>2</v>
      </c>
      <c r="G577" s="31">
        <v>6</v>
      </c>
      <c r="H577" s="31">
        <v>2020</v>
      </c>
      <c r="I577" s="5">
        <v>2022</v>
      </c>
      <c r="J577" s="142">
        <v>1.0867</v>
      </c>
      <c r="K577" s="142">
        <v>1.0682</v>
      </c>
      <c r="L577" s="142">
        <v>0.47589999999999999</v>
      </c>
      <c r="M577" s="142">
        <v>0.73570000000000002</v>
      </c>
      <c r="N577" s="142">
        <v>0.87180000000000002</v>
      </c>
      <c r="O577" s="142">
        <v>1.0538000000000001</v>
      </c>
      <c r="P577" s="26">
        <v>11938.119643632743</v>
      </c>
      <c r="Q577" s="35">
        <f t="array" ref="Q577">SUM(IF(($S577&gt;=4)*($C577='TaxCred&amp;Subs'!$D$114:$D$121)*($H577='TaxCred&amp;Subs'!$C$114:$C$121)*($H577&lt;='TaxCred&amp;Subs'!$C$123),'TaxCred&amp;Subs'!$E$114:$E$121,0))</f>
        <v>2000</v>
      </c>
      <c r="R577" s="143">
        <v>0</v>
      </c>
      <c r="S577" s="5">
        <v>4</v>
      </c>
      <c r="T577" s="5" t="s">
        <v>240</v>
      </c>
      <c r="V577" s="7" t="str">
        <f t="array" ref="V577">INDEX(xlRTCLNAME,MATCH(1,(xlRTCLENDU=1)*(xlRTCLEQCL=$D577),0))</f>
        <v>WOOD_HT</v>
      </c>
      <c r="W577" s="7" t="str">
        <f t="array" ref="W577">INDEX(xlRTCLNAME,MATCH(1,(xlRTCLENDU=2)*(xlRTCLEQCL=$F577),0))</f>
        <v>CENT_AIR</v>
      </c>
      <c r="X577" s="7" t="str">
        <f t="array" ref="X577">INDEX(xlRTTYNAME,MATCH(1,(xlRTTYENDU=1)*(xlRTTYEQCL=$D577)*(xlRTEQTYPE=$E577),0))</f>
        <v>WOOD_HT2</v>
      </c>
      <c r="Y577" s="7" t="str">
        <f t="array" ref="Y577">INDEX(xlRTTYNAME,MATCH(1,(xlRTTYENDU=2)*(xlRTTYEQCL=$F577)*(xlRTEQTYPE=$G577),0))</f>
        <v>CENT_AIR3</v>
      </c>
    </row>
    <row r="578" spans="2:25" x14ac:dyDescent="0.2">
      <c r="B578" s="5">
        <v>7</v>
      </c>
      <c r="C578" s="5">
        <v>1</v>
      </c>
      <c r="D578" s="5">
        <v>9</v>
      </c>
      <c r="E578" s="31">
        <v>29</v>
      </c>
      <c r="F578" s="5">
        <v>2</v>
      </c>
      <c r="G578" s="31">
        <v>6</v>
      </c>
      <c r="H578" s="5">
        <v>2023</v>
      </c>
      <c r="I578" s="5">
        <v>2032</v>
      </c>
      <c r="J578" s="142">
        <v>1.0867</v>
      </c>
      <c r="K578" s="142">
        <v>1.0682</v>
      </c>
      <c r="L578" s="142">
        <v>0.47589999999999999</v>
      </c>
      <c r="M578" s="142">
        <v>0.73570000000000002</v>
      </c>
      <c r="N578" s="142">
        <v>0.87180000000000002</v>
      </c>
      <c r="O578" s="142">
        <v>1.0538000000000001</v>
      </c>
      <c r="P578" s="26">
        <v>11938.119643632743</v>
      </c>
      <c r="Q578" s="35">
        <f t="array" ref="Q578">SUM(IF(($S578&gt;=4)*($C578='TaxCred&amp;Subs'!$D$114:$D$121)*($H578='TaxCred&amp;Subs'!$C$114:$C$121)*($H578&lt;='TaxCred&amp;Subs'!$C$123),'TaxCred&amp;Subs'!$E$114:$E$121,0))</f>
        <v>2500</v>
      </c>
      <c r="R578" s="143">
        <v>0</v>
      </c>
      <c r="S578" s="5">
        <v>4</v>
      </c>
      <c r="T578" s="5" t="s">
        <v>240</v>
      </c>
      <c r="V578" s="7" t="str">
        <f t="array" ref="V578">INDEX(xlRTCLNAME,MATCH(1,(xlRTCLENDU=1)*(xlRTCLEQCL=$D578),0))</f>
        <v>WOOD_HT</v>
      </c>
      <c r="W578" s="7" t="str">
        <f t="array" ref="W578">INDEX(xlRTCLNAME,MATCH(1,(xlRTCLENDU=2)*(xlRTCLEQCL=$F578),0))</f>
        <v>CENT_AIR</v>
      </c>
      <c r="X578" s="7" t="str">
        <f t="array" ref="X578">INDEX(xlRTTYNAME,MATCH(1,(xlRTTYENDU=1)*(xlRTTYEQCL=$D578)*(xlRTEQTYPE=$E578),0))</f>
        <v>WOOD_HT2</v>
      </c>
      <c r="Y578" s="7" t="str">
        <f t="array" ref="Y578">INDEX(xlRTTYNAME,MATCH(1,(xlRTTYENDU=2)*(xlRTTYEQCL=$F578)*(xlRTEQTYPE=$G578),0))</f>
        <v>CENT_AIR3</v>
      </c>
    </row>
    <row r="579" spans="2:25" x14ac:dyDescent="0.2">
      <c r="B579" s="5">
        <v>7</v>
      </c>
      <c r="C579" s="5">
        <v>1</v>
      </c>
      <c r="D579" s="5">
        <v>9</v>
      </c>
      <c r="E579" s="31">
        <v>29</v>
      </c>
      <c r="F579" s="5">
        <v>2</v>
      </c>
      <c r="G579" s="31">
        <v>6</v>
      </c>
      <c r="H579" s="5">
        <v>2033</v>
      </c>
      <c r="I579" s="5">
        <v>2050</v>
      </c>
      <c r="J579" s="142">
        <v>1.0867</v>
      </c>
      <c r="K579" s="142">
        <v>1.0682</v>
      </c>
      <c r="L579" s="142">
        <v>0.47589999999999999</v>
      </c>
      <c r="M579" s="142">
        <v>0.73570000000000002</v>
      </c>
      <c r="N579" s="142">
        <v>0.87180000000000002</v>
      </c>
      <c r="O579" s="142">
        <v>1.0538000000000001</v>
      </c>
      <c r="P579" s="26">
        <v>11938.119643632743</v>
      </c>
      <c r="Q579" s="35">
        <f t="array" ref="Q579">SUM(IF(($S579&gt;=4)*($C579='TaxCred&amp;Subs'!$D$114:$D$121)*($H579='TaxCred&amp;Subs'!$C$114:$C$121)*($H579&lt;='TaxCred&amp;Subs'!$C$123),'TaxCred&amp;Subs'!$E$114:$E$121,0))</f>
        <v>0</v>
      </c>
      <c r="R579" s="143">
        <v>0</v>
      </c>
      <c r="S579" s="5">
        <v>4</v>
      </c>
      <c r="T579" s="5" t="s">
        <v>240</v>
      </c>
      <c r="V579" s="7" t="str">
        <f t="array" ref="V579">INDEX(xlRTCLNAME,MATCH(1,(xlRTCLENDU=1)*(xlRTCLEQCL=$D579),0))</f>
        <v>WOOD_HT</v>
      </c>
      <c r="W579" s="7" t="str">
        <f t="array" ref="W579">INDEX(xlRTCLNAME,MATCH(1,(xlRTCLENDU=2)*(xlRTCLEQCL=$F579),0))</f>
        <v>CENT_AIR</v>
      </c>
      <c r="X579" s="7" t="str">
        <f t="array" ref="X579">INDEX(xlRTTYNAME,MATCH(1,(xlRTTYENDU=1)*(xlRTTYEQCL=$D579)*(xlRTEQTYPE=$E579),0))</f>
        <v>WOOD_HT2</v>
      </c>
      <c r="Y579" s="7" t="str">
        <f t="array" ref="Y579">INDEX(xlRTTYNAME,MATCH(1,(xlRTTYENDU=2)*(xlRTTYEQCL=$F579)*(xlRTEQTYPE=$G579),0))</f>
        <v>CENT_AIR3</v>
      </c>
    </row>
    <row r="580" spans="2:25" x14ac:dyDescent="0.2">
      <c r="B580" s="5">
        <v>8</v>
      </c>
      <c r="C580" s="5">
        <v>1</v>
      </c>
      <c r="D580" s="5">
        <v>9</v>
      </c>
      <c r="E580" s="31">
        <v>29</v>
      </c>
      <c r="F580" s="5">
        <v>2</v>
      </c>
      <c r="G580" s="31">
        <v>6</v>
      </c>
      <c r="H580" s="31">
        <v>2020</v>
      </c>
      <c r="I580" s="5">
        <v>2022</v>
      </c>
      <c r="J580" s="142">
        <v>1.0820000000000001</v>
      </c>
      <c r="K580" s="142">
        <v>1.0832999999999999</v>
      </c>
      <c r="L580" s="142">
        <v>0.46889999999999998</v>
      </c>
      <c r="M580" s="142">
        <v>0.7802</v>
      </c>
      <c r="N580" s="142">
        <v>0.86439999999999995</v>
      </c>
      <c r="O580" s="142">
        <v>1.0538000000000001</v>
      </c>
      <c r="P580" s="26">
        <v>15736.428911935764</v>
      </c>
      <c r="Q580" s="35">
        <f t="array" ref="Q580">SUM(IF(($S580&gt;=4)*($C580='TaxCred&amp;Subs'!$D$114:$D$121)*($H580='TaxCred&amp;Subs'!$C$114:$C$121)*($H580&lt;='TaxCred&amp;Subs'!$C$123),'TaxCred&amp;Subs'!$E$114:$E$121,0))</f>
        <v>2000</v>
      </c>
      <c r="R580" s="143">
        <v>0</v>
      </c>
      <c r="S580" s="5">
        <v>4</v>
      </c>
      <c r="T580" s="5" t="s">
        <v>240</v>
      </c>
      <c r="V580" s="7" t="str">
        <f t="array" ref="V580">INDEX(xlRTCLNAME,MATCH(1,(xlRTCLENDU=1)*(xlRTCLEQCL=$D580),0))</f>
        <v>WOOD_HT</v>
      </c>
      <c r="W580" s="7" t="str">
        <f t="array" ref="W580">INDEX(xlRTCLNAME,MATCH(1,(xlRTCLENDU=2)*(xlRTCLEQCL=$F580),0))</f>
        <v>CENT_AIR</v>
      </c>
      <c r="X580" s="7" t="str">
        <f t="array" ref="X580">INDEX(xlRTTYNAME,MATCH(1,(xlRTTYENDU=1)*(xlRTTYEQCL=$D580)*(xlRTEQTYPE=$E580),0))</f>
        <v>WOOD_HT2</v>
      </c>
      <c r="Y580" s="7" t="str">
        <f t="array" ref="Y580">INDEX(xlRTTYNAME,MATCH(1,(xlRTTYENDU=2)*(xlRTTYEQCL=$F580)*(xlRTEQTYPE=$G580),0))</f>
        <v>CENT_AIR3</v>
      </c>
    </row>
    <row r="581" spans="2:25" x14ac:dyDescent="0.2">
      <c r="B581" s="5">
        <v>8</v>
      </c>
      <c r="C581" s="5">
        <v>1</v>
      </c>
      <c r="D581" s="5">
        <v>9</v>
      </c>
      <c r="E581" s="31">
        <v>29</v>
      </c>
      <c r="F581" s="5">
        <v>2</v>
      </c>
      <c r="G581" s="31">
        <v>6</v>
      </c>
      <c r="H581" s="5">
        <v>2023</v>
      </c>
      <c r="I581" s="5">
        <v>2032</v>
      </c>
      <c r="J581" s="142">
        <v>1.0820000000000001</v>
      </c>
      <c r="K581" s="142">
        <v>1.0832999999999999</v>
      </c>
      <c r="L581" s="142">
        <v>0.46889999999999998</v>
      </c>
      <c r="M581" s="142">
        <v>0.7802</v>
      </c>
      <c r="N581" s="142">
        <v>0.86439999999999995</v>
      </c>
      <c r="O581" s="142">
        <v>1.0538000000000001</v>
      </c>
      <c r="P581" s="26">
        <v>15736.428911935764</v>
      </c>
      <c r="Q581" s="35">
        <f t="array" ref="Q581">SUM(IF(($S581&gt;=4)*($C581='TaxCred&amp;Subs'!$D$114:$D$121)*($H581='TaxCred&amp;Subs'!$C$114:$C$121)*($H581&lt;='TaxCred&amp;Subs'!$C$123),'TaxCred&amp;Subs'!$E$114:$E$121,0))</f>
        <v>2500</v>
      </c>
      <c r="R581" s="143">
        <v>0</v>
      </c>
      <c r="S581" s="5">
        <v>4</v>
      </c>
      <c r="T581" s="5" t="s">
        <v>240</v>
      </c>
      <c r="V581" s="7" t="str">
        <f t="array" ref="V581">INDEX(xlRTCLNAME,MATCH(1,(xlRTCLENDU=1)*(xlRTCLEQCL=$D581),0))</f>
        <v>WOOD_HT</v>
      </c>
      <c r="W581" s="7" t="str">
        <f t="array" ref="W581">INDEX(xlRTCLNAME,MATCH(1,(xlRTCLENDU=2)*(xlRTCLEQCL=$F581),0))</f>
        <v>CENT_AIR</v>
      </c>
      <c r="X581" s="7" t="str">
        <f t="array" ref="X581">INDEX(xlRTTYNAME,MATCH(1,(xlRTTYENDU=1)*(xlRTTYEQCL=$D581)*(xlRTEQTYPE=$E581),0))</f>
        <v>WOOD_HT2</v>
      </c>
      <c r="Y581" s="7" t="str">
        <f t="array" ref="Y581">INDEX(xlRTTYNAME,MATCH(1,(xlRTTYENDU=2)*(xlRTTYEQCL=$F581)*(xlRTEQTYPE=$G581),0))</f>
        <v>CENT_AIR3</v>
      </c>
    </row>
    <row r="582" spans="2:25" x14ac:dyDescent="0.2">
      <c r="B582" s="5">
        <v>8</v>
      </c>
      <c r="C582" s="5">
        <v>1</v>
      </c>
      <c r="D582" s="5">
        <v>9</v>
      </c>
      <c r="E582" s="31">
        <v>29</v>
      </c>
      <c r="F582" s="5">
        <v>2</v>
      </c>
      <c r="G582" s="31">
        <v>6</v>
      </c>
      <c r="H582" s="5">
        <v>2033</v>
      </c>
      <c r="I582" s="5">
        <v>2050</v>
      </c>
      <c r="J582" s="142">
        <v>1.0820000000000001</v>
      </c>
      <c r="K582" s="142">
        <v>1.0832999999999999</v>
      </c>
      <c r="L582" s="142">
        <v>0.46889999999999998</v>
      </c>
      <c r="M582" s="142">
        <v>0.7802</v>
      </c>
      <c r="N582" s="142">
        <v>0.86439999999999995</v>
      </c>
      <c r="O582" s="142">
        <v>1.0538000000000001</v>
      </c>
      <c r="P582" s="26">
        <v>15736.428911935764</v>
      </c>
      <c r="Q582" s="35">
        <f t="array" ref="Q582">SUM(IF(($S582&gt;=4)*($C582='TaxCred&amp;Subs'!$D$114:$D$121)*($H582='TaxCred&amp;Subs'!$C$114:$C$121)*($H582&lt;='TaxCred&amp;Subs'!$C$123),'TaxCred&amp;Subs'!$E$114:$E$121,0))</f>
        <v>0</v>
      </c>
      <c r="R582" s="143">
        <v>0</v>
      </c>
      <c r="S582" s="5">
        <v>4</v>
      </c>
      <c r="T582" s="5" t="s">
        <v>240</v>
      </c>
      <c r="V582" s="7" t="str">
        <f t="array" ref="V582">INDEX(xlRTCLNAME,MATCH(1,(xlRTCLENDU=1)*(xlRTCLEQCL=$D582),0))</f>
        <v>WOOD_HT</v>
      </c>
      <c r="W582" s="7" t="str">
        <f t="array" ref="W582">INDEX(xlRTCLNAME,MATCH(1,(xlRTCLENDU=2)*(xlRTCLEQCL=$F582),0))</f>
        <v>CENT_AIR</v>
      </c>
      <c r="X582" s="7" t="str">
        <f t="array" ref="X582">INDEX(xlRTTYNAME,MATCH(1,(xlRTTYENDU=1)*(xlRTTYEQCL=$D582)*(xlRTEQTYPE=$E582),0))</f>
        <v>WOOD_HT2</v>
      </c>
      <c r="Y582" s="7" t="str">
        <f t="array" ref="Y582">INDEX(xlRTTYNAME,MATCH(1,(xlRTTYENDU=2)*(xlRTTYEQCL=$F582)*(xlRTEQTYPE=$G582),0))</f>
        <v>CENT_AIR3</v>
      </c>
    </row>
    <row r="583" spans="2:25" x14ac:dyDescent="0.2">
      <c r="B583" s="5">
        <v>9</v>
      </c>
      <c r="C583" s="5">
        <v>1</v>
      </c>
      <c r="D583" s="5">
        <v>9</v>
      </c>
      <c r="E583" s="31">
        <v>29</v>
      </c>
      <c r="F583" s="5">
        <v>2</v>
      </c>
      <c r="G583" s="31">
        <v>6</v>
      </c>
      <c r="H583" s="31">
        <v>2020</v>
      </c>
      <c r="I583" s="5">
        <v>2022</v>
      </c>
      <c r="J583" s="142">
        <v>1.0414000000000001</v>
      </c>
      <c r="K583" s="142">
        <v>1.07</v>
      </c>
      <c r="L583" s="142">
        <v>0.56499999999999995</v>
      </c>
      <c r="M583" s="142">
        <v>0.82869999999999999</v>
      </c>
      <c r="N583" s="142">
        <v>1.026</v>
      </c>
      <c r="O583" s="142">
        <v>1.0538000000000001</v>
      </c>
      <c r="P583" s="26">
        <v>16459.788340731167</v>
      </c>
      <c r="Q583" s="35">
        <f t="array" ref="Q583">SUM(IF(($S583&gt;=4)*($C583='TaxCred&amp;Subs'!$D$114:$D$121)*($H583='TaxCred&amp;Subs'!$C$114:$C$121)*($H583&lt;='TaxCred&amp;Subs'!$C$123),'TaxCred&amp;Subs'!$E$114:$E$121,0))</f>
        <v>2000</v>
      </c>
      <c r="R583" s="143">
        <v>0</v>
      </c>
      <c r="S583" s="5">
        <v>4</v>
      </c>
      <c r="T583" s="5" t="s">
        <v>240</v>
      </c>
      <c r="V583" s="7" t="str">
        <f t="array" ref="V583">INDEX(xlRTCLNAME,MATCH(1,(xlRTCLENDU=1)*(xlRTCLEQCL=$D583),0))</f>
        <v>WOOD_HT</v>
      </c>
      <c r="W583" s="7" t="str">
        <f t="array" ref="W583">INDEX(xlRTCLNAME,MATCH(1,(xlRTCLENDU=2)*(xlRTCLEQCL=$F583),0))</f>
        <v>CENT_AIR</v>
      </c>
      <c r="X583" s="7" t="str">
        <f t="array" ref="X583">INDEX(xlRTTYNAME,MATCH(1,(xlRTTYENDU=1)*(xlRTTYEQCL=$D583)*(xlRTEQTYPE=$E583),0))</f>
        <v>WOOD_HT2</v>
      </c>
      <c r="Y583" s="7" t="str">
        <f t="array" ref="Y583">INDEX(xlRTTYNAME,MATCH(1,(xlRTTYENDU=2)*(xlRTTYEQCL=$F583)*(xlRTEQTYPE=$G583),0))</f>
        <v>CENT_AIR3</v>
      </c>
    </row>
    <row r="584" spans="2:25" x14ac:dyDescent="0.2">
      <c r="B584" s="5">
        <v>9</v>
      </c>
      <c r="C584" s="5">
        <v>1</v>
      </c>
      <c r="D584" s="5">
        <v>9</v>
      </c>
      <c r="E584" s="31">
        <v>29</v>
      </c>
      <c r="F584" s="5">
        <v>2</v>
      </c>
      <c r="G584" s="31">
        <v>6</v>
      </c>
      <c r="H584" s="5">
        <v>2023</v>
      </c>
      <c r="I584" s="5">
        <v>2032</v>
      </c>
      <c r="J584" s="142">
        <v>1.0414000000000001</v>
      </c>
      <c r="K584" s="142">
        <v>1.07</v>
      </c>
      <c r="L584" s="142">
        <v>0.56499999999999995</v>
      </c>
      <c r="M584" s="142">
        <v>0.82869999999999999</v>
      </c>
      <c r="N584" s="142">
        <v>1.026</v>
      </c>
      <c r="O584" s="142">
        <v>1.0538000000000001</v>
      </c>
      <c r="P584" s="26">
        <v>16459.788340731167</v>
      </c>
      <c r="Q584" s="35">
        <f t="array" ref="Q584">SUM(IF(($S584&gt;=4)*($C584='TaxCred&amp;Subs'!$D$114:$D$121)*($H584='TaxCred&amp;Subs'!$C$114:$C$121)*($H584&lt;='TaxCred&amp;Subs'!$C$123),'TaxCred&amp;Subs'!$E$114:$E$121,0))</f>
        <v>2500</v>
      </c>
      <c r="R584" s="143">
        <v>0</v>
      </c>
      <c r="S584" s="5">
        <v>4</v>
      </c>
      <c r="T584" s="5" t="s">
        <v>240</v>
      </c>
      <c r="V584" s="7" t="str">
        <f t="array" ref="V584">INDEX(xlRTCLNAME,MATCH(1,(xlRTCLENDU=1)*(xlRTCLEQCL=$D584),0))</f>
        <v>WOOD_HT</v>
      </c>
      <c r="W584" s="7" t="str">
        <f t="array" ref="W584">INDEX(xlRTCLNAME,MATCH(1,(xlRTCLENDU=2)*(xlRTCLEQCL=$F584),0))</f>
        <v>CENT_AIR</v>
      </c>
      <c r="X584" s="7" t="str">
        <f t="array" ref="X584">INDEX(xlRTTYNAME,MATCH(1,(xlRTTYENDU=1)*(xlRTTYEQCL=$D584)*(xlRTEQTYPE=$E584),0))</f>
        <v>WOOD_HT2</v>
      </c>
      <c r="Y584" s="7" t="str">
        <f t="array" ref="Y584">INDEX(xlRTTYNAME,MATCH(1,(xlRTTYENDU=2)*(xlRTTYEQCL=$F584)*(xlRTEQTYPE=$G584),0))</f>
        <v>CENT_AIR3</v>
      </c>
    </row>
    <row r="585" spans="2:25" x14ac:dyDescent="0.2">
      <c r="B585" s="5">
        <v>9</v>
      </c>
      <c r="C585" s="5">
        <v>1</v>
      </c>
      <c r="D585" s="5">
        <v>9</v>
      </c>
      <c r="E585" s="31">
        <v>29</v>
      </c>
      <c r="F585" s="5">
        <v>2</v>
      </c>
      <c r="G585" s="31">
        <v>6</v>
      </c>
      <c r="H585" s="5">
        <v>2033</v>
      </c>
      <c r="I585" s="5">
        <v>2050</v>
      </c>
      <c r="J585" s="142">
        <v>1.0414000000000001</v>
      </c>
      <c r="K585" s="142">
        <v>1.07</v>
      </c>
      <c r="L585" s="142">
        <v>0.56499999999999995</v>
      </c>
      <c r="M585" s="142">
        <v>0.82869999999999999</v>
      </c>
      <c r="N585" s="142">
        <v>1.026</v>
      </c>
      <c r="O585" s="142">
        <v>1.0538000000000001</v>
      </c>
      <c r="P585" s="26">
        <v>16459.788340731167</v>
      </c>
      <c r="Q585" s="35">
        <f t="array" ref="Q585">SUM(IF(($S585&gt;=4)*($C585='TaxCred&amp;Subs'!$D$114:$D$121)*($H585='TaxCred&amp;Subs'!$C$114:$C$121)*($H585&lt;='TaxCred&amp;Subs'!$C$123),'TaxCred&amp;Subs'!$E$114:$E$121,0))</f>
        <v>0</v>
      </c>
      <c r="R585" s="143">
        <v>0</v>
      </c>
      <c r="S585" s="5">
        <v>4</v>
      </c>
      <c r="T585" s="5" t="s">
        <v>240</v>
      </c>
      <c r="V585" s="7" t="str">
        <f t="array" ref="V585">INDEX(xlRTCLNAME,MATCH(1,(xlRTCLENDU=1)*(xlRTCLEQCL=$D585),0))</f>
        <v>WOOD_HT</v>
      </c>
      <c r="W585" s="7" t="str">
        <f t="array" ref="W585">INDEX(xlRTCLNAME,MATCH(1,(xlRTCLENDU=2)*(xlRTCLEQCL=$F585),0))</f>
        <v>CENT_AIR</v>
      </c>
      <c r="X585" s="7" t="str">
        <f t="array" ref="X585">INDEX(xlRTTYNAME,MATCH(1,(xlRTTYENDU=1)*(xlRTTYEQCL=$D585)*(xlRTEQTYPE=$E585),0))</f>
        <v>WOOD_HT2</v>
      </c>
      <c r="Y585" s="7" t="str">
        <f t="array" ref="Y585">INDEX(xlRTTYNAME,MATCH(1,(xlRTTYENDU=2)*(xlRTTYEQCL=$F585)*(xlRTEQTYPE=$G585),0))</f>
        <v>CENT_AIR3</v>
      </c>
    </row>
    <row r="586" spans="2:25" x14ac:dyDescent="0.2">
      <c r="B586" s="5">
        <v>1</v>
      </c>
      <c r="C586" s="5">
        <v>1</v>
      </c>
      <c r="D586" s="5">
        <v>10</v>
      </c>
      <c r="E586" s="31">
        <v>33</v>
      </c>
      <c r="F586" s="5">
        <v>4</v>
      </c>
      <c r="G586" s="31">
        <v>14</v>
      </c>
      <c r="H586" s="31">
        <v>2020</v>
      </c>
      <c r="I586" s="5">
        <v>2022</v>
      </c>
      <c r="J586" s="142">
        <v>1.1071</v>
      </c>
      <c r="K586" s="142">
        <v>1.0713999999999999</v>
      </c>
      <c r="L586" s="142">
        <v>0.46389999999999998</v>
      </c>
      <c r="M586" s="142">
        <v>0.96289999999999998</v>
      </c>
      <c r="N586" s="142">
        <v>0.80640000000000001</v>
      </c>
      <c r="O586" s="142">
        <v>1.0538000000000001</v>
      </c>
      <c r="P586" s="26">
        <v>14588.196658792125</v>
      </c>
      <c r="Q586" s="35">
        <f t="array" ref="Q586">SUM(IF(($S586&gt;=4)*($C586='TaxCred&amp;Subs'!$D$114:$D$121)*($H586='TaxCred&amp;Subs'!$C$114:$C$121)*($H586&lt;='TaxCred&amp;Subs'!$C$123),'TaxCred&amp;Subs'!$E$114:$E$121,0))</f>
        <v>2000</v>
      </c>
      <c r="R586" s="143">
        <v>0</v>
      </c>
      <c r="S586" s="5">
        <v>4</v>
      </c>
      <c r="T586" s="5" t="s">
        <v>240</v>
      </c>
      <c r="V586" s="7" t="str">
        <f t="array" ref="V586">INDEX(xlRTCLNAME,MATCH(1,(xlRTCLENDU=1)*(xlRTCLEQCL=$D586),0))</f>
        <v>GEO_HP</v>
      </c>
      <c r="W586" s="7" t="str">
        <f t="array" ref="W586">INDEX(xlRTCLNAME,MATCH(1,(xlRTCLENDU=2)*(xlRTCLEQCL=$F586),0))</f>
        <v>GEO_HP</v>
      </c>
      <c r="X586" s="7" t="str">
        <f t="array" ref="X586">INDEX(xlRTTYNAME,MATCH(1,(xlRTTYENDU=1)*(xlRTTYEQCL=$D586)*(xlRTEQTYPE=$E586),0))</f>
        <v>GEO_HP3</v>
      </c>
      <c r="Y586" s="7" t="str">
        <f t="array" ref="Y586">INDEX(xlRTTYNAME,MATCH(1,(xlRTTYENDU=2)*(xlRTTYEQCL=$F586)*(xlRTEQTYPE=$G586),0))</f>
        <v>GEO_HP3</v>
      </c>
    </row>
    <row r="587" spans="2:25" x14ac:dyDescent="0.2">
      <c r="B587" s="5">
        <v>1</v>
      </c>
      <c r="C587" s="5">
        <v>1</v>
      </c>
      <c r="D587" s="5">
        <v>10</v>
      </c>
      <c r="E587" s="31">
        <v>33</v>
      </c>
      <c r="F587" s="5">
        <v>4</v>
      </c>
      <c r="G587" s="31">
        <v>14</v>
      </c>
      <c r="H587" s="5">
        <v>2023</v>
      </c>
      <c r="I587" s="5">
        <v>2032</v>
      </c>
      <c r="J587" s="142">
        <v>1.1071</v>
      </c>
      <c r="K587" s="142">
        <v>1.0713999999999999</v>
      </c>
      <c r="L587" s="142">
        <v>0.46389999999999998</v>
      </c>
      <c r="M587" s="142">
        <v>0.96289999999999998</v>
      </c>
      <c r="N587" s="142">
        <v>0.80640000000000001</v>
      </c>
      <c r="O587" s="142">
        <v>1.0538000000000001</v>
      </c>
      <c r="P587" s="26">
        <v>14588.196658792125</v>
      </c>
      <c r="Q587" s="35">
        <f t="array" ref="Q587">SUM(IF(($S587&gt;=4)*($C587='TaxCred&amp;Subs'!$D$114:$D$121)*($H587='TaxCred&amp;Subs'!$C$114:$C$121)*($H587&lt;='TaxCred&amp;Subs'!$C$123),'TaxCred&amp;Subs'!$E$114:$E$121,0))</f>
        <v>2500</v>
      </c>
      <c r="R587" s="143">
        <v>0</v>
      </c>
      <c r="S587" s="5">
        <v>4</v>
      </c>
      <c r="T587" s="5" t="s">
        <v>240</v>
      </c>
      <c r="V587" s="7" t="str">
        <f t="array" ref="V587">INDEX(xlRTCLNAME,MATCH(1,(xlRTCLENDU=1)*(xlRTCLEQCL=$D587),0))</f>
        <v>GEO_HP</v>
      </c>
      <c r="W587" s="7" t="str">
        <f t="array" ref="W587">INDEX(xlRTCLNAME,MATCH(1,(xlRTCLENDU=2)*(xlRTCLEQCL=$F587),0))</f>
        <v>GEO_HP</v>
      </c>
      <c r="X587" s="7" t="str">
        <f t="array" ref="X587">INDEX(xlRTTYNAME,MATCH(1,(xlRTTYENDU=1)*(xlRTTYEQCL=$D587)*(xlRTEQTYPE=$E587),0))</f>
        <v>GEO_HP3</v>
      </c>
      <c r="Y587" s="7" t="str">
        <f t="array" ref="Y587">INDEX(xlRTTYNAME,MATCH(1,(xlRTTYENDU=2)*(xlRTTYEQCL=$F587)*(xlRTEQTYPE=$G587),0))</f>
        <v>GEO_HP3</v>
      </c>
    </row>
    <row r="588" spans="2:25" x14ac:dyDescent="0.2">
      <c r="B588" s="5">
        <v>1</v>
      </c>
      <c r="C588" s="5">
        <v>1</v>
      </c>
      <c r="D588" s="5">
        <v>10</v>
      </c>
      <c r="E588" s="31">
        <v>33</v>
      </c>
      <c r="F588" s="5">
        <v>4</v>
      </c>
      <c r="G588" s="31">
        <v>14</v>
      </c>
      <c r="H588" s="5">
        <v>2033</v>
      </c>
      <c r="I588" s="5">
        <v>2050</v>
      </c>
      <c r="J588" s="142">
        <v>1.1071</v>
      </c>
      <c r="K588" s="142">
        <v>1.0713999999999999</v>
      </c>
      <c r="L588" s="142">
        <v>0.46389999999999998</v>
      </c>
      <c r="M588" s="142">
        <v>0.96289999999999998</v>
      </c>
      <c r="N588" s="142">
        <v>0.80640000000000001</v>
      </c>
      <c r="O588" s="142">
        <v>1.0538000000000001</v>
      </c>
      <c r="P588" s="26">
        <v>14588.196658792125</v>
      </c>
      <c r="Q588" s="35">
        <f t="array" ref="Q588">SUM(IF(($S588&gt;=4)*($C588='TaxCred&amp;Subs'!$D$114:$D$121)*($H588='TaxCred&amp;Subs'!$C$114:$C$121)*($H588&lt;='TaxCred&amp;Subs'!$C$123),'TaxCred&amp;Subs'!$E$114:$E$121,0))</f>
        <v>0</v>
      </c>
      <c r="R588" s="143">
        <v>0</v>
      </c>
      <c r="S588" s="5">
        <v>4</v>
      </c>
      <c r="T588" s="5" t="s">
        <v>240</v>
      </c>
      <c r="V588" s="7" t="str">
        <f t="array" ref="V588">INDEX(xlRTCLNAME,MATCH(1,(xlRTCLENDU=1)*(xlRTCLEQCL=$D588),0))</f>
        <v>GEO_HP</v>
      </c>
      <c r="W588" s="7" t="str">
        <f t="array" ref="W588">INDEX(xlRTCLNAME,MATCH(1,(xlRTCLENDU=2)*(xlRTCLEQCL=$F588),0))</f>
        <v>GEO_HP</v>
      </c>
      <c r="X588" s="7" t="str">
        <f t="array" ref="X588">INDEX(xlRTTYNAME,MATCH(1,(xlRTTYENDU=1)*(xlRTTYEQCL=$D588)*(xlRTEQTYPE=$E588),0))</f>
        <v>GEO_HP3</v>
      </c>
      <c r="Y588" s="7" t="str">
        <f t="array" ref="Y588">INDEX(xlRTTYNAME,MATCH(1,(xlRTTYENDU=2)*(xlRTTYEQCL=$F588)*(xlRTEQTYPE=$G588),0))</f>
        <v>GEO_HP3</v>
      </c>
    </row>
    <row r="589" spans="2:25" x14ac:dyDescent="0.2">
      <c r="B589" s="5">
        <v>2</v>
      </c>
      <c r="C589" s="5">
        <v>1</v>
      </c>
      <c r="D589" s="5">
        <v>10</v>
      </c>
      <c r="E589" s="31">
        <v>33</v>
      </c>
      <c r="F589" s="5">
        <v>4</v>
      </c>
      <c r="G589" s="31">
        <v>14</v>
      </c>
      <c r="H589" s="31">
        <v>2020</v>
      </c>
      <c r="I589" s="5">
        <v>2022</v>
      </c>
      <c r="J589" s="142">
        <v>1.0371999999999999</v>
      </c>
      <c r="K589" s="142">
        <v>1.0698000000000001</v>
      </c>
      <c r="L589" s="142">
        <v>0.55069999999999997</v>
      </c>
      <c r="M589" s="142">
        <v>0.83109999999999995</v>
      </c>
      <c r="N589" s="142">
        <v>0.95350000000000001</v>
      </c>
      <c r="O589" s="142">
        <v>1.0538000000000001</v>
      </c>
      <c r="P589" s="26">
        <v>14102.819793001898</v>
      </c>
      <c r="Q589" s="35">
        <f t="array" ref="Q589">SUM(IF(($S589&gt;=4)*($C589='TaxCred&amp;Subs'!$D$114:$D$121)*($H589='TaxCred&amp;Subs'!$C$114:$C$121)*($H589&lt;='TaxCred&amp;Subs'!$C$123),'TaxCred&amp;Subs'!$E$114:$E$121,0))</f>
        <v>2000</v>
      </c>
      <c r="R589" s="143">
        <v>0</v>
      </c>
      <c r="S589" s="5">
        <v>4</v>
      </c>
      <c r="T589" s="5" t="s">
        <v>240</v>
      </c>
      <c r="V589" s="7" t="str">
        <f t="array" ref="V589">INDEX(xlRTCLNAME,MATCH(1,(xlRTCLENDU=1)*(xlRTCLEQCL=$D589),0))</f>
        <v>GEO_HP</v>
      </c>
      <c r="W589" s="7" t="str">
        <f t="array" ref="W589">INDEX(xlRTCLNAME,MATCH(1,(xlRTCLENDU=2)*(xlRTCLEQCL=$F589),0))</f>
        <v>GEO_HP</v>
      </c>
      <c r="X589" s="7" t="str">
        <f t="array" ref="X589">INDEX(xlRTTYNAME,MATCH(1,(xlRTTYENDU=1)*(xlRTTYEQCL=$D589)*(xlRTEQTYPE=$E589),0))</f>
        <v>GEO_HP3</v>
      </c>
      <c r="Y589" s="7" t="str">
        <f t="array" ref="Y589">INDEX(xlRTTYNAME,MATCH(1,(xlRTTYENDU=2)*(xlRTTYEQCL=$F589)*(xlRTEQTYPE=$G589),0))</f>
        <v>GEO_HP3</v>
      </c>
    </row>
    <row r="590" spans="2:25" x14ac:dyDescent="0.2">
      <c r="B590" s="5">
        <v>2</v>
      </c>
      <c r="C590" s="5">
        <v>1</v>
      </c>
      <c r="D590" s="5">
        <v>10</v>
      </c>
      <c r="E590" s="31">
        <v>33</v>
      </c>
      <c r="F590" s="5">
        <v>4</v>
      </c>
      <c r="G590" s="31">
        <v>14</v>
      </c>
      <c r="H590" s="5">
        <v>2023</v>
      </c>
      <c r="I590" s="5">
        <v>2032</v>
      </c>
      <c r="J590" s="142">
        <v>1.0371999999999999</v>
      </c>
      <c r="K590" s="142">
        <v>1.0698000000000001</v>
      </c>
      <c r="L590" s="142">
        <v>0.55069999999999997</v>
      </c>
      <c r="M590" s="142">
        <v>0.83109999999999995</v>
      </c>
      <c r="N590" s="142">
        <v>0.95350000000000001</v>
      </c>
      <c r="O590" s="142">
        <v>1.0538000000000001</v>
      </c>
      <c r="P590" s="26">
        <v>14102.819793001898</v>
      </c>
      <c r="Q590" s="35">
        <f t="array" ref="Q590">SUM(IF(($S590&gt;=4)*($C590='TaxCred&amp;Subs'!$D$114:$D$121)*($H590='TaxCred&amp;Subs'!$C$114:$C$121)*($H590&lt;='TaxCred&amp;Subs'!$C$123),'TaxCred&amp;Subs'!$E$114:$E$121,0))</f>
        <v>2500</v>
      </c>
      <c r="R590" s="143">
        <v>0</v>
      </c>
      <c r="S590" s="5">
        <v>4</v>
      </c>
      <c r="T590" s="5" t="s">
        <v>240</v>
      </c>
      <c r="V590" s="7" t="str">
        <f t="array" ref="V590">INDEX(xlRTCLNAME,MATCH(1,(xlRTCLENDU=1)*(xlRTCLEQCL=$D590),0))</f>
        <v>GEO_HP</v>
      </c>
      <c r="W590" s="7" t="str">
        <f t="array" ref="W590">INDEX(xlRTCLNAME,MATCH(1,(xlRTCLENDU=2)*(xlRTCLEQCL=$F590),0))</f>
        <v>GEO_HP</v>
      </c>
      <c r="X590" s="7" t="str">
        <f t="array" ref="X590">INDEX(xlRTTYNAME,MATCH(1,(xlRTTYENDU=1)*(xlRTTYEQCL=$D590)*(xlRTEQTYPE=$E590),0))</f>
        <v>GEO_HP3</v>
      </c>
      <c r="Y590" s="7" t="str">
        <f t="array" ref="Y590">INDEX(xlRTTYNAME,MATCH(1,(xlRTTYENDU=2)*(xlRTTYEQCL=$F590)*(xlRTEQTYPE=$G590),0))</f>
        <v>GEO_HP3</v>
      </c>
    </row>
    <row r="591" spans="2:25" x14ac:dyDescent="0.2">
      <c r="B591" s="5">
        <v>2</v>
      </c>
      <c r="C591" s="5">
        <v>1</v>
      </c>
      <c r="D591" s="5">
        <v>10</v>
      </c>
      <c r="E591" s="31">
        <v>33</v>
      </c>
      <c r="F591" s="5">
        <v>4</v>
      </c>
      <c r="G591" s="31">
        <v>14</v>
      </c>
      <c r="H591" s="5">
        <v>2033</v>
      </c>
      <c r="I591" s="5">
        <v>2050</v>
      </c>
      <c r="J591" s="142">
        <v>1.0371999999999999</v>
      </c>
      <c r="K591" s="142">
        <v>1.0698000000000001</v>
      </c>
      <c r="L591" s="142">
        <v>0.55069999999999997</v>
      </c>
      <c r="M591" s="142">
        <v>0.83109999999999995</v>
      </c>
      <c r="N591" s="142">
        <v>0.95350000000000001</v>
      </c>
      <c r="O591" s="142">
        <v>1.0538000000000001</v>
      </c>
      <c r="P591" s="26">
        <v>14102.819793001898</v>
      </c>
      <c r="Q591" s="35">
        <f t="array" ref="Q591">SUM(IF(($S591&gt;=4)*($C591='TaxCred&amp;Subs'!$D$114:$D$121)*($H591='TaxCred&amp;Subs'!$C$114:$C$121)*($H591&lt;='TaxCred&amp;Subs'!$C$123),'TaxCred&amp;Subs'!$E$114:$E$121,0))</f>
        <v>0</v>
      </c>
      <c r="R591" s="143">
        <v>0</v>
      </c>
      <c r="S591" s="5">
        <v>4</v>
      </c>
      <c r="T591" s="5" t="s">
        <v>240</v>
      </c>
      <c r="V591" s="7" t="str">
        <f t="array" ref="V591">INDEX(xlRTCLNAME,MATCH(1,(xlRTCLENDU=1)*(xlRTCLEQCL=$D591),0))</f>
        <v>GEO_HP</v>
      </c>
      <c r="W591" s="7" t="str">
        <f t="array" ref="W591">INDEX(xlRTCLNAME,MATCH(1,(xlRTCLENDU=2)*(xlRTCLEQCL=$F591),0))</f>
        <v>GEO_HP</v>
      </c>
      <c r="X591" s="7" t="str">
        <f t="array" ref="X591">INDEX(xlRTTYNAME,MATCH(1,(xlRTTYENDU=1)*(xlRTTYEQCL=$D591)*(xlRTEQTYPE=$E591),0))</f>
        <v>GEO_HP3</v>
      </c>
      <c r="Y591" s="7" t="str">
        <f t="array" ref="Y591">INDEX(xlRTTYNAME,MATCH(1,(xlRTTYENDU=2)*(xlRTTYEQCL=$F591)*(xlRTEQTYPE=$G591),0))</f>
        <v>GEO_HP3</v>
      </c>
    </row>
    <row r="592" spans="2:25" x14ac:dyDescent="0.2">
      <c r="B592" s="5">
        <v>3</v>
      </c>
      <c r="C592" s="5">
        <v>1</v>
      </c>
      <c r="D592" s="5">
        <v>10</v>
      </c>
      <c r="E592" s="31">
        <v>33</v>
      </c>
      <c r="F592" s="5">
        <v>4</v>
      </c>
      <c r="G592" s="31">
        <v>14</v>
      </c>
      <c r="H592" s="31">
        <v>2020</v>
      </c>
      <c r="I592" s="5">
        <v>2022</v>
      </c>
      <c r="J592" s="142">
        <v>1.0431999999999999</v>
      </c>
      <c r="K592" s="142">
        <v>1.0625</v>
      </c>
      <c r="L592" s="142">
        <v>0.43969999999999998</v>
      </c>
      <c r="M592" s="142">
        <v>0.89670000000000005</v>
      </c>
      <c r="N592" s="142">
        <v>0.91259999999999997</v>
      </c>
      <c r="O592" s="142">
        <v>1.0538000000000001</v>
      </c>
      <c r="P592" s="26">
        <v>13047.360403402652</v>
      </c>
      <c r="Q592" s="35">
        <f t="array" ref="Q592">SUM(IF(($S592&gt;=4)*($C592='TaxCred&amp;Subs'!$D$114:$D$121)*($H592='TaxCred&amp;Subs'!$C$114:$C$121)*($H592&lt;='TaxCred&amp;Subs'!$C$123),'TaxCred&amp;Subs'!$E$114:$E$121,0))</f>
        <v>2000</v>
      </c>
      <c r="R592" s="143">
        <v>0</v>
      </c>
      <c r="S592" s="5">
        <v>4</v>
      </c>
      <c r="T592" s="5" t="s">
        <v>240</v>
      </c>
      <c r="V592" s="7" t="str">
        <f t="array" ref="V592">INDEX(xlRTCLNAME,MATCH(1,(xlRTCLENDU=1)*(xlRTCLEQCL=$D592),0))</f>
        <v>GEO_HP</v>
      </c>
      <c r="W592" s="7" t="str">
        <f t="array" ref="W592">INDEX(xlRTCLNAME,MATCH(1,(xlRTCLENDU=2)*(xlRTCLEQCL=$F592),0))</f>
        <v>GEO_HP</v>
      </c>
      <c r="X592" s="7" t="str">
        <f t="array" ref="X592">INDEX(xlRTTYNAME,MATCH(1,(xlRTTYENDU=1)*(xlRTTYEQCL=$D592)*(xlRTEQTYPE=$E592),0))</f>
        <v>GEO_HP3</v>
      </c>
      <c r="Y592" s="7" t="str">
        <f t="array" ref="Y592">INDEX(xlRTTYNAME,MATCH(1,(xlRTTYENDU=2)*(xlRTTYEQCL=$F592)*(xlRTEQTYPE=$G592),0))</f>
        <v>GEO_HP3</v>
      </c>
    </row>
    <row r="593" spans="2:25" x14ac:dyDescent="0.2">
      <c r="B593" s="5">
        <v>3</v>
      </c>
      <c r="C593" s="5">
        <v>1</v>
      </c>
      <c r="D593" s="5">
        <v>10</v>
      </c>
      <c r="E593" s="31">
        <v>33</v>
      </c>
      <c r="F593" s="5">
        <v>4</v>
      </c>
      <c r="G593" s="31">
        <v>14</v>
      </c>
      <c r="H593" s="5">
        <v>2023</v>
      </c>
      <c r="I593" s="5">
        <v>2032</v>
      </c>
      <c r="J593" s="142">
        <v>1.0431999999999999</v>
      </c>
      <c r="K593" s="142">
        <v>1.0625</v>
      </c>
      <c r="L593" s="142">
        <v>0.43969999999999998</v>
      </c>
      <c r="M593" s="142">
        <v>0.89670000000000005</v>
      </c>
      <c r="N593" s="142">
        <v>0.91259999999999997</v>
      </c>
      <c r="O593" s="142">
        <v>1.0538000000000001</v>
      </c>
      <c r="P593" s="26">
        <v>13047.360403402652</v>
      </c>
      <c r="Q593" s="35">
        <f t="array" ref="Q593">SUM(IF(($S593&gt;=4)*($C593='TaxCred&amp;Subs'!$D$114:$D$121)*($H593='TaxCred&amp;Subs'!$C$114:$C$121)*($H593&lt;='TaxCred&amp;Subs'!$C$123),'TaxCred&amp;Subs'!$E$114:$E$121,0))</f>
        <v>2500</v>
      </c>
      <c r="R593" s="143">
        <v>0</v>
      </c>
      <c r="S593" s="5">
        <v>4</v>
      </c>
      <c r="T593" s="5" t="s">
        <v>240</v>
      </c>
      <c r="V593" s="7" t="str">
        <f t="array" ref="V593">INDEX(xlRTCLNAME,MATCH(1,(xlRTCLENDU=1)*(xlRTCLEQCL=$D593),0))</f>
        <v>GEO_HP</v>
      </c>
      <c r="W593" s="7" t="str">
        <f t="array" ref="W593">INDEX(xlRTCLNAME,MATCH(1,(xlRTCLENDU=2)*(xlRTCLEQCL=$F593),0))</f>
        <v>GEO_HP</v>
      </c>
      <c r="X593" s="7" t="str">
        <f t="array" ref="X593">INDEX(xlRTTYNAME,MATCH(1,(xlRTTYENDU=1)*(xlRTTYEQCL=$D593)*(xlRTEQTYPE=$E593),0))</f>
        <v>GEO_HP3</v>
      </c>
      <c r="Y593" s="7" t="str">
        <f t="array" ref="Y593">INDEX(xlRTTYNAME,MATCH(1,(xlRTTYENDU=2)*(xlRTTYEQCL=$F593)*(xlRTEQTYPE=$G593),0))</f>
        <v>GEO_HP3</v>
      </c>
    </row>
    <row r="594" spans="2:25" x14ac:dyDescent="0.2">
      <c r="B594" s="5">
        <v>3</v>
      </c>
      <c r="C594" s="5">
        <v>1</v>
      </c>
      <c r="D594" s="5">
        <v>10</v>
      </c>
      <c r="E594" s="31">
        <v>33</v>
      </c>
      <c r="F594" s="5">
        <v>4</v>
      </c>
      <c r="G594" s="31">
        <v>14</v>
      </c>
      <c r="H594" s="5">
        <v>2033</v>
      </c>
      <c r="I594" s="5">
        <v>2050</v>
      </c>
      <c r="J594" s="142">
        <v>1.0431999999999999</v>
      </c>
      <c r="K594" s="142">
        <v>1.0625</v>
      </c>
      <c r="L594" s="142">
        <v>0.43969999999999998</v>
      </c>
      <c r="M594" s="142">
        <v>0.89670000000000005</v>
      </c>
      <c r="N594" s="142">
        <v>0.91259999999999997</v>
      </c>
      <c r="O594" s="142">
        <v>1.0538000000000001</v>
      </c>
      <c r="P594" s="26">
        <v>13047.360403402652</v>
      </c>
      <c r="Q594" s="35">
        <f t="array" ref="Q594">SUM(IF(($S594&gt;=4)*($C594='TaxCred&amp;Subs'!$D$114:$D$121)*($H594='TaxCred&amp;Subs'!$C$114:$C$121)*($H594&lt;='TaxCred&amp;Subs'!$C$123),'TaxCred&amp;Subs'!$E$114:$E$121,0))</f>
        <v>0</v>
      </c>
      <c r="R594" s="143">
        <v>0</v>
      </c>
      <c r="S594" s="5">
        <v>4</v>
      </c>
      <c r="T594" s="5" t="s">
        <v>240</v>
      </c>
      <c r="V594" s="7" t="str">
        <f t="array" ref="V594">INDEX(xlRTCLNAME,MATCH(1,(xlRTCLENDU=1)*(xlRTCLEQCL=$D594),0))</f>
        <v>GEO_HP</v>
      </c>
      <c r="W594" s="7" t="str">
        <f t="array" ref="W594">INDEX(xlRTCLNAME,MATCH(1,(xlRTCLENDU=2)*(xlRTCLEQCL=$F594),0))</f>
        <v>GEO_HP</v>
      </c>
      <c r="X594" s="7" t="str">
        <f t="array" ref="X594">INDEX(xlRTTYNAME,MATCH(1,(xlRTTYENDU=1)*(xlRTTYEQCL=$D594)*(xlRTEQTYPE=$E594),0))</f>
        <v>GEO_HP3</v>
      </c>
      <c r="Y594" s="7" t="str">
        <f t="array" ref="Y594">INDEX(xlRTTYNAME,MATCH(1,(xlRTTYENDU=2)*(xlRTTYEQCL=$F594)*(xlRTEQTYPE=$G594),0))</f>
        <v>GEO_HP3</v>
      </c>
    </row>
    <row r="595" spans="2:25" x14ac:dyDescent="0.2">
      <c r="B595" s="5">
        <v>4</v>
      </c>
      <c r="C595" s="5">
        <v>1</v>
      </c>
      <c r="D595" s="5">
        <v>10</v>
      </c>
      <c r="E595" s="31">
        <v>33</v>
      </c>
      <c r="F595" s="5">
        <v>4</v>
      </c>
      <c r="G595" s="31">
        <v>14</v>
      </c>
      <c r="H595" s="31">
        <v>2020</v>
      </c>
      <c r="I595" s="5">
        <v>2022</v>
      </c>
      <c r="J595" s="142">
        <v>1.0781000000000001</v>
      </c>
      <c r="K595" s="142">
        <v>1.087</v>
      </c>
      <c r="L595" s="142">
        <v>0.43419999999999997</v>
      </c>
      <c r="M595" s="142">
        <v>0.83850000000000002</v>
      </c>
      <c r="N595" s="142">
        <v>0.84850000000000003</v>
      </c>
      <c r="O595" s="142">
        <v>1.0538000000000001</v>
      </c>
      <c r="P595" s="26">
        <v>10562.661101518059</v>
      </c>
      <c r="Q595" s="35">
        <f t="array" ref="Q595">SUM(IF(($S595&gt;=4)*($C595='TaxCred&amp;Subs'!$D$114:$D$121)*($H595='TaxCred&amp;Subs'!$C$114:$C$121)*($H595&lt;='TaxCred&amp;Subs'!$C$123),'TaxCred&amp;Subs'!$E$114:$E$121,0))</f>
        <v>2000</v>
      </c>
      <c r="R595" s="143">
        <v>0</v>
      </c>
      <c r="S595" s="5">
        <v>4</v>
      </c>
      <c r="T595" s="5" t="s">
        <v>240</v>
      </c>
      <c r="V595" s="7" t="str">
        <f t="array" ref="V595">INDEX(xlRTCLNAME,MATCH(1,(xlRTCLENDU=1)*(xlRTCLEQCL=$D595),0))</f>
        <v>GEO_HP</v>
      </c>
      <c r="W595" s="7" t="str">
        <f t="array" ref="W595">INDEX(xlRTCLNAME,MATCH(1,(xlRTCLENDU=2)*(xlRTCLEQCL=$F595),0))</f>
        <v>GEO_HP</v>
      </c>
      <c r="X595" s="7" t="str">
        <f t="array" ref="X595">INDEX(xlRTTYNAME,MATCH(1,(xlRTTYENDU=1)*(xlRTTYEQCL=$D595)*(xlRTEQTYPE=$E595),0))</f>
        <v>GEO_HP3</v>
      </c>
      <c r="Y595" s="7" t="str">
        <f t="array" ref="Y595">INDEX(xlRTTYNAME,MATCH(1,(xlRTTYENDU=2)*(xlRTTYEQCL=$F595)*(xlRTEQTYPE=$G595),0))</f>
        <v>GEO_HP3</v>
      </c>
    </row>
    <row r="596" spans="2:25" x14ac:dyDescent="0.2">
      <c r="B596" s="5">
        <v>4</v>
      </c>
      <c r="C596" s="5">
        <v>1</v>
      </c>
      <c r="D596" s="5">
        <v>10</v>
      </c>
      <c r="E596" s="31">
        <v>33</v>
      </c>
      <c r="F596" s="5">
        <v>4</v>
      </c>
      <c r="G596" s="31">
        <v>14</v>
      </c>
      <c r="H596" s="5">
        <v>2023</v>
      </c>
      <c r="I596" s="5">
        <v>2032</v>
      </c>
      <c r="J596" s="142">
        <v>1.0781000000000001</v>
      </c>
      <c r="K596" s="142">
        <v>1.087</v>
      </c>
      <c r="L596" s="142">
        <v>0.43419999999999997</v>
      </c>
      <c r="M596" s="142">
        <v>0.83850000000000002</v>
      </c>
      <c r="N596" s="142">
        <v>0.84850000000000003</v>
      </c>
      <c r="O596" s="142">
        <v>1.0538000000000001</v>
      </c>
      <c r="P596" s="26">
        <v>10562.661101518059</v>
      </c>
      <c r="Q596" s="35">
        <f t="array" ref="Q596">SUM(IF(($S596&gt;=4)*($C596='TaxCred&amp;Subs'!$D$114:$D$121)*($H596='TaxCred&amp;Subs'!$C$114:$C$121)*($H596&lt;='TaxCred&amp;Subs'!$C$123),'TaxCred&amp;Subs'!$E$114:$E$121,0))</f>
        <v>2500</v>
      </c>
      <c r="R596" s="143">
        <v>0</v>
      </c>
      <c r="S596" s="5">
        <v>4</v>
      </c>
      <c r="T596" s="5" t="s">
        <v>240</v>
      </c>
      <c r="V596" s="7" t="str">
        <f t="array" ref="V596">INDEX(xlRTCLNAME,MATCH(1,(xlRTCLENDU=1)*(xlRTCLEQCL=$D596),0))</f>
        <v>GEO_HP</v>
      </c>
      <c r="W596" s="7" t="str">
        <f t="array" ref="W596">INDEX(xlRTCLNAME,MATCH(1,(xlRTCLENDU=2)*(xlRTCLEQCL=$F596),0))</f>
        <v>GEO_HP</v>
      </c>
      <c r="X596" s="7" t="str">
        <f t="array" ref="X596">INDEX(xlRTTYNAME,MATCH(1,(xlRTTYENDU=1)*(xlRTTYEQCL=$D596)*(xlRTEQTYPE=$E596),0))</f>
        <v>GEO_HP3</v>
      </c>
      <c r="Y596" s="7" t="str">
        <f t="array" ref="Y596">INDEX(xlRTTYNAME,MATCH(1,(xlRTTYENDU=2)*(xlRTTYEQCL=$F596)*(xlRTEQTYPE=$G596),0))</f>
        <v>GEO_HP3</v>
      </c>
    </row>
    <row r="597" spans="2:25" x14ac:dyDescent="0.2">
      <c r="B597" s="5">
        <v>4</v>
      </c>
      <c r="C597" s="5">
        <v>1</v>
      </c>
      <c r="D597" s="5">
        <v>10</v>
      </c>
      <c r="E597" s="31">
        <v>33</v>
      </c>
      <c r="F597" s="5">
        <v>4</v>
      </c>
      <c r="G597" s="31">
        <v>14</v>
      </c>
      <c r="H597" s="5">
        <v>2033</v>
      </c>
      <c r="I597" s="5">
        <v>2050</v>
      </c>
      <c r="J597" s="142">
        <v>1.0781000000000001</v>
      </c>
      <c r="K597" s="142">
        <v>1.087</v>
      </c>
      <c r="L597" s="142">
        <v>0.43419999999999997</v>
      </c>
      <c r="M597" s="142">
        <v>0.83850000000000002</v>
      </c>
      <c r="N597" s="142">
        <v>0.84850000000000003</v>
      </c>
      <c r="O597" s="142">
        <v>1.0538000000000001</v>
      </c>
      <c r="P597" s="26">
        <v>10562.661101518059</v>
      </c>
      <c r="Q597" s="35">
        <f t="array" ref="Q597">SUM(IF(($S597&gt;=4)*($C597='TaxCred&amp;Subs'!$D$114:$D$121)*($H597='TaxCred&amp;Subs'!$C$114:$C$121)*($H597&lt;='TaxCred&amp;Subs'!$C$123),'TaxCred&amp;Subs'!$E$114:$E$121,0))</f>
        <v>0</v>
      </c>
      <c r="R597" s="143">
        <v>0</v>
      </c>
      <c r="S597" s="5">
        <v>4</v>
      </c>
      <c r="T597" s="5" t="s">
        <v>240</v>
      </c>
      <c r="V597" s="7" t="str">
        <f t="array" ref="V597">INDEX(xlRTCLNAME,MATCH(1,(xlRTCLENDU=1)*(xlRTCLEQCL=$D597),0))</f>
        <v>GEO_HP</v>
      </c>
      <c r="W597" s="7" t="str">
        <f t="array" ref="W597">INDEX(xlRTCLNAME,MATCH(1,(xlRTCLENDU=2)*(xlRTCLEQCL=$F597),0))</f>
        <v>GEO_HP</v>
      </c>
      <c r="X597" s="7" t="str">
        <f t="array" ref="X597">INDEX(xlRTTYNAME,MATCH(1,(xlRTTYENDU=1)*(xlRTTYEQCL=$D597)*(xlRTEQTYPE=$E597),0))</f>
        <v>GEO_HP3</v>
      </c>
      <c r="Y597" s="7" t="str">
        <f t="array" ref="Y597">INDEX(xlRTTYNAME,MATCH(1,(xlRTTYENDU=2)*(xlRTTYEQCL=$F597)*(xlRTEQTYPE=$G597),0))</f>
        <v>GEO_HP3</v>
      </c>
    </row>
    <row r="598" spans="2:25" x14ac:dyDescent="0.2">
      <c r="B598" s="5">
        <v>5</v>
      </c>
      <c r="C598" s="5">
        <v>1</v>
      </c>
      <c r="D598" s="5">
        <v>10</v>
      </c>
      <c r="E598" s="31">
        <v>33</v>
      </c>
      <c r="F598" s="5">
        <v>4</v>
      </c>
      <c r="G598" s="31">
        <v>14</v>
      </c>
      <c r="H598" s="31">
        <v>2020</v>
      </c>
      <c r="I598" s="5">
        <v>2022</v>
      </c>
      <c r="J598" s="142">
        <v>1.0843</v>
      </c>
      <c r="K598" s="142">
        <v>1.0722</v>
      </c>
      <c r="L598" s="142">
        <v>0.60219999999999996</v>
      </c>
      <c r="M598" s="142">
        <v>0.83479999999999999</v>
      </c>
      <c r="N598" s="142">
        <v>0.76049999999999995</v>
      </c>
      <c r="O598" s="142">
        <v>1.0538000000000001</v>
      </c>
      <c r="P598" s="26">
        <v>9887.7049058762477</v>
      </c>
      <c r="Q598" s="35">
        <f t="array" ref="Q598">SUM(IF(($S598&gt;=4)*($C598='TaxCred&amp;Subs'!$D$114:$D$121)*($H598='TaxCred&amp;Subs'!$C$114:$C$121)*($H598&lt;='TaxCred&amp;Subs'!$C$123),'TaxCred&amp;Subs'!$E$114:$E$121,0))</f>
        <v>2000</v>
      </c>
      <c r="R598" s="143">
        <v>0</v>
      </c>
      <c r="S598" s="5">
        <v>4</v>
      </c>
      <c r="T598" s="5" t="s">
        <v>240</v>
      </c>
      <c r="V598" s="7" t="str">
        <f t="array" ref="V598">INDEX(xlRTCLNAME,MATCH(1,(xlRTCLENDU=1)*(xlRTCLEQCL=$D598),0))</f>
        <v>GEO_HP</v>
      </c>
      <c r="W598" s="7" t="str">
        <f t="array" ref="W598">INDEX(xlRTCLNAME,MATCH(1,(xlRTCLENDU=2)*(xlRTCLEQCL=$F598),0))</f>
        <v>GEO_HP</v>
      </c>
      <c r="X598" s="7" t="str">
        <f t="array" ref="X598">INDEX(xlRTTYNAME,MATCH(1,(xlRTTYENDU=1)*(xlRTTYEQCL=$D598)*(xlRTEQTYPE=$E598),0))</f>
        <v>GEO_HP3</v>
      </c>
      <c r="Y598" s="7" t="str">
        <f t="array" ref="Y598">INDEX(xlRTTYNAME,MATCH(1,(xlRTTYENDU=2)*(xlRTTYEQCL=$F598)*(xlRTEQTYPE=$G598),0))</f>
        <v>GEO_HP3</v>
      </c>
    </row>
    <row r="599" spans="2:25" x14ac:dyDescent="0.2">
      <c r="B599" s="5">
        <v>5</v>
      </c>
      <c r="C599" s="5">
        <v>1</v>
      </c>
      <c r="D599" s="5">
        <v>10</v>
      </c>
      <c r="E599" s="31">
        <v>33</v>
      </c>
      <c r="F599" s="5">
        <v>4</v>
      </c>
      <c r="G599" s="31">
        <v>14</v>
      </c>
      <c r="H599" s="5">
        <v>2023</v>
      </c>
      <c r="I599" s="5">
        <v>2032</v>
      </c>
      <c r="J599" s="142">
        <v>1.0843</v>
      </c>
      <c r="K599" s="142">
        <v>1.0722</v>
      </c>
      <c r="L599" s="142">
        <v>0.60219999999999996</v>
      </c>
      <c r="M599" s="142">
        <v>0.83479999999999999</v>
      </c>
      <c r="N599" s="142">
        <v>0.76049999999999995</v>
      </c>
      <c r="O599" s="142">
        <v>1.0538000000000001</v>
      </c>
      <c r="P599" s="26">
        <v>9887.7049058762477</v>
      </c>
      <c r="Q599" s="35">
        <f t="array" ref="Q599">SUM(IF(($S599&gt;=4)*($C599='TaxCred&amp;Subs'!$D$114:$D$121)*($H599='TaxCred&amp;Subs'!$C$114:$C$121)*($H599&lt;='TaxCred&amp;Subs'!$C$123),'TaxCred&amp;Subs'!$E$114:$E$121,0))</f>
        <v>2500</v>
      </c>
      <c r="R599" s="143">
        <v>0</v>
      </c>
      <c r="S599" s="5">
        <v>4</v>
      </c>
      <c r="T599" s="5" t="s">
        <v>240</v>
      </c>
      <c r="V599" s="7" t="str">
        <f t="array" ref="V599">INDEX(xlRTCLNAME,MATCH(1,(xlRTCLENDU=1)*(xlRTCLEQCL=$D599),0))</f>
        <v>GEO_HP</v>
      </c>
      <c r="W599" s="7" t="str">
        <f t="array" ref="W599">INDEX(xlRTCLNAME,MATCH(1,(xlRTCLENDU=2)*(xlRTCLEQCL=$F599),0))</f>
        <v>GEO_HP</v>
      </c>
      <c r="X599" s="7" t="str">
        <f t="array" ref="X599">INDEX(xlRTTYNAME,MATCH(1,(xlRTTYENDU=1)*(xlRTTYEQCL=$D599)*(xlRTEQTYPE=$E599),0))</f>
        <v>GEO_HP3</v>
      </c>
      <c r="Y599" s="7" t="str">
        <f t="array" ref="Y599">INDEX(xlRTTYNAME,MATCH(1,(xlRTTYENDU=2)*(xlRTTYEQCL=$F599)*(xlRTEQTYPE=$G599),0))</f>
        <v>GEO_HP3</v>
      </c>
    </row>
    <row r="600" spans="2:25" x14ac:dyDescent="0.2">
      <c r="B600" s="5">
        <v>5</v>
      </c>
      <c r="C600" s="5">
        <v>1</v>
      </c>
      <c r="D600" s="5">
        <v>10</v>
      </c>
      <c r="E600" s="31">
        <v>33</v>
      </c>
      <c r="F600" s="5">
        <v>4</v>
      </c>
      <c r="G600" s="31">
        <v>14</v>
      </c>
      <c r="H600" s="5">
        <v>2033</v>
      </c>
      <c r="I600" s="5">
        <v>2050</v>
      </c>
      <c r="J600" s="142">
        <v>1.0843</v>
      </c>
      <c r="K600" s="142">
        <v>1.0722</v>
      </c>
      <c r="L600" s="142">
        <v>0.60219999999999996</v>
      </c>
      <c r="M600" s="142">
        <v>0.83479999999999999</v>
      </c>
      <c r="N600" s="142">
        <v>0.76049999999999995</v>
      </c>
      <c r="O600" s="142">
        <v>1.0538000000000001</v>
      </c>
      <c r="P600" s="26">
        <v>9887.7049058762477</v>
      </c>
      <c r="Q600" s="35">
        <f t="array" ref="Q600">SUM(IF(($S600&gt;=4)*($C600='TaxCred&amp;Subs'!$D$114:$D$121)*($H600='TaxCred&amp;Subs'!$C$114:$C$121)*($H600&lt;='TaxCred&amp;Subs'!$C$123),'TaxCred&amp;Subs'!$E$114:$E$121,0))</f>
        <v>0</v>
      </c>
      <c r="R600" s="143">
        <v>0</v>
      </c>
      <c r="S600" s="5">
        <v>4</v>
      </c>
      <c r="T600" s="5" t="s">
        <v>240</v>
      </c>
      <c r="V600" s="7" t="str">
        <f t="array" ref="V600">INDEX(xlRTCLNAME,MATCH(1,(xlRTCLENDU=1)*(xlRTCLEQCL=$D600),0))</f>
        <v>GEO_HP</v>
      </c>
      <c r="W600" s="7" t="str">
        <f t="array" ref="W600">INDEX(xlRTCLNAME,MATCH(1,(xlRTCLENDU=2)*(xlRTCLEQCL=$F600),0))</f>
        <v>GEO_HP</v>
      </c>
      <c r="X600" s="7" t="str">
        <f t="array" ref="X600">INDEX(xlRTTYNAME,MATCH(1,(xlRTTYENDU=1)*(xlRTTYEQCL=$D600)*(xlRTEQTYPE=$E600),0))</f>
        <v>GEO_HP3</v>
      </c>
      <c r="Y600" s="7" t="str">
        <f t="array" ref="Y600">INDEX(xlRTTYNAME,MATCH(1,(xlRTTYENDU=2)*(xlRTTYEQCL=$F600)*(xlRTEQTYPE=$G600),0))</f>
        <v>GEO_HP3</v>
      </c>
    </row>
    <row r="601" spans="2:25" x14ac:dyDescent="0.2">
      <c r="B601" s="5">
        <v>6</v>
      </c>
      <c r="C601" s="5">
        <v>1</v>
      </c>
      <c r="D601" s="5">
        <v>10</v>
      </c>
      <c r="E601" s="31">
        <v>33</v>
      </c>
      <c r="F601" s="5">
        <v>4</v>
      </c>
      <c r="G601" s="31">
        <v>14</v>
      </c>
      <c r="H601" s="31">
        <v>2020</v>
      </c>
      <c r="I601" s="5">
        <v>2022</v>
      </c>
      <c r="J601" s="142">
        <v>1.0982000000000001</v>
      </c>
      <c r="K601" s="142">
        <v>1.0805</v>
      </c>
      <c r="L601" s="142">
        <v>0.45900000000000002</v>
      </c>
      <c r="M601" s="142">
        <v>0.76590000000000003</v>
      </c>
      <c r="N601" s="142">
        <v>0.88680000000000003</v>
      </c>
      <c r="O601" s="142">
        <v>1.0538000000000001</v>
      </c>
      <c r="P601" s="26">
        <v>8501.4900897274292</v>
      </c>
      <c r="Q601" s="35">
        <f t="array" ref="Q601">SUM(IF(($S601&gt;=4)*($C601='TaxCred&amp;Subs'!$D$114:$D$121)*($H601='TaxCred&amp;Subs'!$C$114:$C$121)*($H601&lt;='TaxCred&amp;Subs'!$C$123),'TaxCred&amp;Subs'!$E$114:$E$121,0))</f>
        <v>2000</v>
      </c>
      <c r="R601" s="143">
        <v>0</v>
      </c>
      <c r="S601" s="5">
        <v>4</v>
      </c>
      <c r="T601" s="5" t="s">
        <v>240</v>
      </c>
      <c r="V601" s="7" t="str">
        <f t="array" ref="V601">INDEX(xlRTCLNAME,MATCH(1,(xlRTCLENDU=1)*(xlRTCLEQCL=$D601),0))</f>
        <v>GEO_HP</v>
      </c>
      <c r="W601" s="7" t="str">
        <f t="array" ref="W601">INDEX(xlRTCLNAME,MATCH(1,(xlRTCLENDU=2)*(xlRTCLEQCL=$F601),0))</f>
        <v>GEO_HP</v>
      </c>
      <c r="X601" s="7" t="str">
        <f t="array" ref="X601">INDEX(xlRTTYNAME,MATCH(1,(xlRTTYENDU=1)*(xlRTTYEQCL=$D601)*(xlRTEQTYPE=$E601),0))</f>
        <v>GEO_HP3</v>
      </c>
      <c r="Y601" s="7" t="str">
        <f t="array" ref="Y601">INDEX(xlRTTYNAME,MATCH(1,(xlRTTYENDU=2)*(xlRTTYEQCL=$F601)*(xlRTEQTYPE=$G601),0))</f>
        <v>GEO_HP3</v>
      </c>
    </row>
    <row r="602" spans="2:25" x14ac:dyDescent="0.2">
      <c r="B602" s="5">
        <v>6</v>
      </c>
      <c r="C602" s="5">
        <v>1</v>
      </c>
      <c r="D602" s="5">
        <v>10</v>
      </c>
      <c r="E602" s="31">
        <v>33</v>
      </c>
      <c r="F602" s="5">
        <v>4</v>
      </c>
      <c r="G602" s="31">
        <v>14</v>
      </c>
      <c r="H602" s="5">
        <v>2023</v>
      </c>
      <c r="I602" s="5">
        <v>2032</v>
      </c>
      <c r="J602" s="142">
        <v>1.0982000000000001</v>
      </c>
      <c r="K602" s="142">
        <v>1.0805</v>
      </c>
      <c r="L602" s="142">
        <v>0.45900000000000002</v>
      </c>
      <c r="M602" s="142">
        <v>0.76590000000000003</v>
      </c>
      <c r="N602" s="142">
        <v>0.88680000000000003</v>
      </c>
      <c r="O602" s="142">
        <v>1.0538000000000001</v>
      </c>
      <c r="P602" s="26">
        <v>8501.4900897274292</v>
      </c>
      <c r="Q602" s="35">
        <f t="array" ref="Q602">SUM(IF(($S602&gt;=4)*($C602='TaxCred&amp;Subs'!$D$114:$D$121)*($H602='TaxCred&amp;Subs'!$C$114:$C$121)*($H602&lt;='TaxCred&amp;Subs'!$C$123),'TaxCred&amp;Subs'!$E$114:$E$121,0))</f>
        <v>2500</v>
      </c>
      <c r="R602" s="143">
        <v>0</v>
      </c>
      <c r="S602" s="5">
        <v>4</v>
      </c>
      <c r="T602" s="5" t="s">
        <v>240</v>
      </c>
      <c r="V602" s="7" t="str">
        <f t="array" ref="V602">INDEX(xlRTCLNAME,MATCH(1,(xlRTCLENDU=1)*(xlRTCLEQCL=$D602),0))</f>
        <v>GEO_HP</v>
      </c>
      <c r="W602" s="7" t="str">
        <f t="array" ref="W602">INDEX(xlRTCLNAME,MATCH(1,(xlRTCLENDU=2)*(xlRTCLEQCL=$F602),0))</f>
        <v>GEO_HP</v>
      </c>
      <c r="X602" s="7" t="str">
        <f t="array" ref="X602">INDEX(xlRTTYNAME,MATCH(1,(xlRTTYENDU=1)*(xlRTTYEQCL=$D602)*(xlRTEQTYPE=$E602),0))</f>
        <v>GEO_HP3</v>
      </c>
      <c r="Y602" s="7" t="str">
        <f t="array" ref="Y602">INDEX(xlRTTYNAME,MATCH(1,(xlRTTYENDU=2)*(xlRTTYEQCL=$F602)*(xlRTEQTYPE=$G602),0))</f>
        <v>GEO_HP3</v>
      </c>
    </row>
    <row r="603" spans="2:25" x14ac:dyDescent="0.2">
      <c r="B603" s="5">
        <v>6</v>
      </c>
      <c r="C603" s="5">
        <v>1</v>
      </c>
      <c r="D603" s="5">
        <v>10</v>
      </c>
      <c r="E603" s="31">
        <v>33</v>
      </c>
      <c r="F603" s="5">
        <v>4</v>
      </c>
      <c r="G603" s="31">
        <v>14</v>
      </c>
      <c r="H603" s="5">
        <v>2033</v>
      </c>
      <c r="I603" s="5">
        <v>2050</v>
      </c>
      <c r="J603" s="142">
        <v>1.0982000000000001</v>
      </c>
      <c r="K603" s="142">
        <v>1.0805</v>
      </c>
      <c r="L603" s="142">
        <v>0.45900000000000002</v>
      </c>
      <c r="M603" s="142">
        <v>0.76590000000000003</v>
      </c>
      <c r="N603" s="142">
        <v>0.88680000000000003</v>
      </c>
      <c r="O603" s="142">
        <v>1.0538000000000001</v>
      </c>
      <c r="P603" s="26">
        <v>8501.4900897274292</v>
      </c>
      <c r="Q603" s="35">
        <f t="array" ref="Q603">SUM(IF(($S603&gt;=4)*($C603='TaxCred&amp;Subs'!$D$114:$D$121)*($H603='TaxCred&amp;Subs'!$C$114:$C$121)*($H603&lt;='TaxCred&amp;Subs'!$C$123),'TaxCred&amp;Subs'!$E$114:$E$121,0))</f>
        <v>0</v>
      </c>
      <c r="R603" s="143">
        <v>0</v>
      </c>
      <c r="S603" s="5">
        <v>4</v>
      </c>
      <c r="T603" s="5" t="s">
        <v>240</v>
      </c>
      <c r="V603" s="7" t="str">
        <f t="array" ref="V603">INDEX(xlRTCLNAME,MATCH(1,(xlRTCLENDU=1)*(xlRTCLEQCL=$D603),0))</f>
        <v>GEO_HP</v>
      </c>
      <c r="W603" s="7" t="str">
        <f t="array" ref="W603">INDEX(xlRTCLNAME,MATCH(1,(xlRTCLENDU=2)*(xlRTCLEQCL=$F603),0))</f>
        <v>GEO_HP</v>
      </c>
      <c r="X603" s="7" t="str">
        <f t="array" ref="X603">INDEX(xlRTTYNAME,MATCH(1,(xlRTTYENDU=1)*(xlRTTYEQCL=$D603)*(xlRTEQTYPE=$E603),0))</f>
        <v>GEO_HP3</v>
      </c>
      <c r="Y603" s="7" t="str">
        <f t="array" ref="Y603">INDEX(xlRTTYNAME,MATCH(1,(xlRTTYENDU=2)*(xlRTTYEQCL=$F603)*(xlRTEQTYPE=$G603),0))</f>
        <v>GEO_HP3</v>
      </c>
    </row>
    <row r="604" spans="2:25" x14ac:dyDescent="0.2">
      <c r="B604" s="5">
        <v>7</v>
      </c>
      <c r="C604" s="5">
        <v>1</v>
      </c>
      <c r="D604" s="5">
        <v>10</v>
      </c>
      <c r="E604" s="31">
        <v>33</v>
      </c>
      <c r="F604" s="5">
        <v>4</v>
      </c>
      <c r="G604" s="31">
        <v>14</v>
      </c>
      <c r="H604" s="31">
        <v>2020</v>
      </c>
      <c r="I604" s="5">
        <v>2022</v>
      </c>
      <c r="J604" s="142">
        <v>1.1200000000000001</v>
      </c>
      <c r="K604" s="142">
        <v>1.0769</v>
      </c>
      <c r="L604" s="142">
        <v>0.52949999999999997</v>
      </c>
      <c r="M604" s="142">
        <v>0.72550000000000003</v>
      </c>
      <c r="N604" s="142">
        <v>0.8871</v>
      </c>
      <c r="O604" s="142">
        <v>1.0538000000000001</v>
      </c>
      <c r="P604" s="26">
        <v>11409.717681705988</v>
      </c>
      <c r="Q604" s="35">
        <f t="array" ref="Q604">SUM(IF(($S604&gt;=4)*($C604='TaxCred&amp;Subs'!$D$114:$D$121)*($H604='TaxCred&amp;Subs'!$C$114:$C$121)*($H604&lt;='TaxCred&amp;Subs'!$C$123),'TaxCred&amp;Subs'!$E$114:$E$121,0))</f>
        <v>2000</v>
      </c>
      <c r="R604" s="143">
        <v>0</v>
      </c>
      <c r="S604" s="5">
        <v>4</v>
      </c>
      <c r="T604" s="5" t="s">
        <v>240</v>
      </c>
      <c r="V604" s="7" t="str">
        <f t="array" ref="V604">INDEX(xlRTCLNAME,MATCH(1,(xlRTCLENDU=1)*(xlRTCLEQCL=$D604),0))</f>
        <v>GEO_HP</v>
      </c>
      <c r="W604" s="7" t="str">
        <f t="array" ref="W604">INDEX(xlRTCLNAME,MATCH(1,(xlRTCLENDU=2)*(xlRTCLEQCL=$F604),0))</f>
        <v>GEO_HP</v>
      </c>
      <c r="X604" s="7" t="str">
        <f t="array" ref="X604">INDEX(xlRTTYNAME,MATCH(1,(xlRTTYENDU=1)*(xlRTTYEQCL=$D604)*(xlRTEQTYPE=$E604),0))</f>
        <v>GEO_HP3</v>
      </c>
      <c r="Y604" s="7" t="str">
        <f t="array" ref="Y604">INDEX(xlRTTYNAME,MATCH(1,(xlRTTYENDU=2)*(xlRTTYEQCL=$F604)*(xlRTEQTYPE=$G604),0))</f>
        <v>GEO_HP3</v>
      </c>
    </row>
    <row r="605" spans="2:25" x14ac:dyDescent="0.2">
      <c r="B605" s="5">
        <v>7</v>
      </c>
      <c r="C605" s="5">
        <v>1</v>
      </c>
      <c r="D605" s="5">
        <v>10</v>
      </c>
      <c r="E605" s="31">
        <v>33</v>
      </c>
      <c r="F605" s="5">
        <v>4</v>
      </c>
      <c r="G605" s="31">
        <v>14</v>
      </c>
      <c r="H605" s="5">
        <v>2023</v>
      </c>
      <c r="I605" s="5">
        <v>2032</v>
      </c>
      <c r="J605" s="142">
        <v>1.1200000000000001</v>
      </c>
      <c r="K605" s="142">
        <v>1.0769</v>
      </c>
      <c r="L605" s="142">
        <v>0.52949999999999997</v>
      </c>
      <c r="M605" s="142">
        <v>0.72550000000000003</v>
      </c>
      <c r="N605" s="142">
        <v>0.8871</v>
      </c>
      <c r="O605" s="142">
        <v>1.0538000000000001</v>
      </c>
      <c r="P605" s="26">
        <v>11409.717681705988</v>
      </c>
      <c r="Q605" s="35">
        <f t="array" ref="Q605">SUM(IF(($S605&gt;=4)*($C605='TaxCred&amp;Subs'!$D$114:$D$121)*($H605='TaxCred&amp;Subs'!$C$114:$C$121)*($H605&lt;='TaxCred&amp;Subs'!$C$123),'TaxCred&amp;Subs'!$E$114:$E$121,0))</f>
        <v>2500</v>
      </c>
      <c r="R605" s="143">
        <v>0</v>
      </c>
      <c r="S605" s="5">
        <v>4</v>
      </c>
      <c r="T605" s="5" t="s">
        <v>240</v>
      </c>
      <c r="V605" s="7" t="str">
        <f t="array" ref="V605">INDEX(xlRTCLNAME,MATCH(1,(xlRTCLENDU=1)*(xlRTCLEQCL=$D605),0))</f>
        <v>GEO_HP</v>
      </c>
      <c r="W605" s="7" t="str">
        <f t="array" ref="W605">INDEX(xlRTCLNAME,MATCH(1,(xlRTCLENDU=2)*(xlRTCLEQCL=$F605),0))</f>
        <v>GEO_HP</v>
      </c>
      <c r="X605" s="7" t="str">
        <f t="array" ref="X605">INDEX(xlRTTYNAME,MATCH(1,(xlRTTYENDU=1)*(xlRTTYEQCL=$D605)*(xlRTEQTYPE=$E605),0))</f>
        <v>GEO_HP3</v>
      </c>
      <c r="Y605" s="7" t="str">
        <f t="array" ref="Y605">INDEX(xlRTTYNAME,MATCH(1,(xlRTTYENDU=2)*(xlRTTYEQCL=$F605)*(xlRTEQTYPE=$G605),0))</f>
        <v>GEO_HP3</v>
      </c>
    </row>
    <row r="606" spans="2:25" x14ac:dyDescent="0.2">
      <c r="B606" s="5">
        <v>7</v>
      </c>
      <c r="C606" s="5">
        <v>1</v>
      </c>
      <c r="D606" s="5">
        <v>10</v>
      </c>
      <c r="E606" s="31">
        <v>33</v>
      </c>
      <c r="F606" s="5">
        <v>4</v>
      </c>
      <c r="G606" s="31">
        <v>14</v>
      </c>
      <c r="H606" s="5">
        <v>2033</v>
      </c>
      <c r="I606" s="5">
        <v>2050</v>
      </c>
      <c r="J606" s="142">
        <v>1.1200000000000001</v>
      </c>
      <c r="K606" s="142">
        <v>1.0769</v>
      </c>
      <c r="L606" s="142">
        <v>0.52949999999999997</v>
      </c>
      <c r="M606" s="142">
        <v>0.72550000000000003</v>
      </c>
      <c r="N606" s="142">
        <v>0.8871</v>
      </c>
      <c r="O606" s="142">
        <v>1.0538000000000001</v>
      </c>
      <c r="P606" s="26">
        <v>11409.717681705988</v>
      </c>
      <c r="Q606" s="35">
        <f t="array" ref="Q606">SUM(IF(($S606&gt;=4)*($C606='TaxCred&amp;Subs'!$D$114:$D$121)*($H606='TaxCred&amp;Subs'!$C$114:$C$121)*($H606&lt;='TaxCred&amp;Subs'!$C$123),'TaxCred&amp;Subs'!$E$114:$E$121,0))</f>
        <v>0</v>
      </c>
      <c r="R606" s="143">
        <v>0</v>
      </c>
      <c r="S606" s="5">
        <v>4</v>
      </c>
      <c r="T606" s="5" t="s">
        <v>240</v>
      </c>
      <c r="V606" s="7" t="str">
        <f t="array" ref="V606">INDEX(xlRTCLNAME,MATCH(1,(xlRTCLENDU=1)*(xlRTCLEQCL=$D606),0))</f>
        <v>GEO_HP</v>
      </c>
      <c r="W606" s="7" t="str">
        <f t="array" ref="W606">INDEX(xlRTCLNAME,MATCH(1,(xlRTCLENDU=2)*(xlRTCLEQCL=$F606),0))</f>
        <v>GEO_HP</v>
      </c>
      <c r="X606" s="7" t="str">
        <f t="array" ref="X606">INDEX(xlRTTYNAME,MATCH(1,(xlRTTYENDU=1)*(xlRTTYEQCL=$D606)*(xlRTEQTYPE=$E606),0))</f>
        <v>GEO_HP3</v>
      </c>
      <c r="Y606" s="7" t="str">
        <f t="array" ref="Y606">INDEX(xlRTTYNAME,MATCH(1,(xlRTTYENDU=2)*(xlRTTYEQCL=$F606)*(xlRTEQTYPE=$G606),0))</f>
        <v>GEO_HP3</v>
      </c>
    </row>
    <row r="607" spans="2:25" x14ac:dyDescent="0.2">
      <c r="B607" s="5">
        <v>8</v>
      </c>
      <c r="C607" s="5">
        <v>1</v>
      </c>
      <c r="D607" s="5">
        <v>10</v>
      </c>
      <c r="E607" s="31">
        <v>33</v>
      </c>
      <c r="F607" s="5">
        <v>4</v>
      </c>
      <c r="G607" s="31">
        <v>14</v>
      </c>
      <c r="H607" s="31">
        <v>2020</v>
      </c>
      <c r="I607" s="5">
        <v>2022</v>
      </c>
      <c r="J607" s="142">
        <v>1.0417000000000001</v>
      </c>
      <c r="K607" s="142">
        <v>1.0667</v>
      </c>
      <c r="L607" s="142">
        <v>0.46510000000000001</v>
      </c>
      <c r="M607" s="142">
        <v>0.7732</v>
      </c>
      <c r="N607" s="142">
        <v>0.88300000000000001</v>
      </c>
      <c r="O607" s="142">
        <v>1.0538000000000001</v>
      </c>
      <c r="P607" s="26">
        <v>15195.926141720607</v>
      </c>
      <c r="Q607" s="35">
        <f t="array" ref="Q607">SUM(IF(($S607&gt;=4)*($C607='TaxCred&amp;Subs'!$D$114:$D$121)*($H607='TaxCred&amp;Subs'!$C$114:$C$121)*($H607&lt;='TaxCred&amp;Subs'!$C$123),'TaxCred&amp;Subs'!$E$114:$E$121,0))</f>
        <v>2000</v>
      </c>
      <c r="R607" s="143">
        <v>0</v>
      </c>
      <c r="S607" s="5">
        <v>4</v>
      </c>
      <c r="T607" s="5" t="s">
        <v>240</v>
      </c>
      <c r="V607" s="7" t="str">
        <f t="array" ref="V607">INDEX(xlRTCLNAME,MATCH(1,(xlRTCLENDU=1)*(xlRTCLEQCL=$D607),0))</f>
        <v>GEO_HP</v>
      </c>
      <c r="W607" s="7" t="str">
        <f t="array" ref="W607">INDEX(xlRTCLNAME,MATCH(1,(xlRTCLENDU=2)*(xlRTCLEQCL=$F607),0))</f>
        <v>GEO_HP</v>
      </c>
      <c r="X607" s="7" t="str">
        <f t="array" ref="X607">INDEX(xlRTTYNAME,MATCH(1,(xlRTTYENDU=1)*(xlRTTYEQCL=$D607)*(xlRTEQTYPE=$E607),0))</f>
        <v>GEO_HP3</v>
      </c>
      <c r="Y607" s="7" t="str">
        <f t="array" ref="Y607">INDEX(xlRTTYNAME,MATCH(1,(xlRTTYENDU=2)*(xlRTTYEQCL=$F607)*(xlRTEQTYPE=$G607),0))</f>
        <v>GEO_HP3</v>
      </c>
    </row>
    <row r="608" spans="2:25" x14ac:dyDescent="0.2">
      <c r="B608" s="5">
        <v>8</v>
      </c>
      <c r="C608" s="5">
        <v>1</v>
      </c>
      <c r="D608" s="5">
        <v>10</v>
      </c>
      <c r="E608" s="31">
        <v>33</v>
      </c>
      <c r="F608" s="5">
        <v>4</v>
      </c>
      <c r="G608" s="31">
        <v>14</v>
      </c>
      <c r="H608" s="5">
        <v>2023</v>
      </c>
      <c r="I608" s="5">
        <v>2032</v>
      </c>
      <c r="J608" s="142">
        <v>1.0417000000000001</v>
      </c>
      <c r="K608" s="142">
        <v>1.0667</v>
      </c>
      <c r="L608" s="142">
        <v>0.46510000000000001</v>
      </c>
      <c r="M608" s="142">
        <v>0.7732</v>
      </c>
      <c r="N608" s="142">
        <v>0.88300000000000001</v>
      </c>
      <c r="O608" s="142">
        <v>1.0538000000000001</v>
      </c>
      <c r="P608" s="26">
        <v>15195.926141720607</v>
      </c>
      <c r="Q608" s="35">
        <f t="array" ref="Q608">SUM(IF(($S608&gt;=4)*($C608='TaxCred&amp;Subs'!$D$114:$D$121)*($H608='TaxCred&amp;Subs'!$C$114:$C$121)*($H608&lt;='TaxCred&amp;Subs'!$C$123),'TaxCred&amp;Subs'!$E$114:$E$121,0))</f>
        <v>2500</v>
      </c>
      <c r="R608" s="143">
        <v>0</v>
      </c>
      <c r="S608" s="5">
        <v>4</v>
      </c>
      <c r="T608" s="5" t="s">
        <v>240</v>
      </c>
      <c r="V608" s="7" t="str">
        <f t="array" ref="V608">INDEX(xlRTCLNAME,MATCH(1,(xlRTCLENDU=1)*(xlRTCLEQCL=$D608),0))</f>
        <v>GEO_HP</v>
      </c>
      <c r="W608" s="7" t="str">
        <f t="array" ref="W608">INDEX(xlRTCLNAME,MATCH(1,(xlRTCLENDU=2)*(xlRTCLEQCL=$F608),0))</f>
        <v>GEO_HP</v>
      </c>
      <c r="X608" s="7" t="str">
        <f t="array" ref="X608">INDEX(xlRTTYNAME,MATCH(1,(xlRTTYENDU=1)*(xlRTTYEQCL=$D608)*(xlRTEQTYPE=$E608),0))</f>
        <v>GEO_HP3</v>
      </c>
      <c r="Y608" s="7" t="str">
        <f t="array" ref="Y608">INDEX(xlRTTYNAME,MATCH(1,(xlRTTYENDU=2)*(xlRTTYEQCL=$F608)*(xlRTEQTYPE=$G608),0))</f>
        <v>GEO_HP3</v>
      </c>
    </row>
    <row r="609" spans="2:25" x14ac:dyDescent="0.2">
      <c r="B609" s="5">
        <v>8</v>
      </c>
      <c r="C609" s="5">
        <v>1</v>
      </c>
      <c r="D609" s="5">
        <v>10</v>
      </c>
      <c r="E609" s="31">
        <v>33</v>
      </c>
      <c r="F609" s="5">
        <v>4</v>
      </c>
      <c r="G609" s="31">
        <v>14</v>
      </c>
      <c r="H609" s="5">
        <v>2033</v>
      </c>
      <c r="I609" s="5">
        <v>2050</v>
      </c>
      <c r="J609" s="142">
        <v>1.0417000000000001</v>
      </c>
      <c r="K609" s="142">
        <v>1.0667</v>
      </c>
      <c r="L609" s="142">
        <v>0.46510000000000001</v>
      </c>
      <c r="M609" s="142">
        <v>0.7732</v>
      </c>
      <c r="N609" s="142">
        <v>0.88300000000000001</v>
      </c>
      <c r="O609" s="142">
        <v>1.0538000000000001</v>
      </c>
      <c r="P609" s="26">
        <v>15195.926141720607</v>
      </c>
      <c r="Q609" s="35">
        <f t="array" ref="Q609">SUM(IF(($S609&gt;=4)*($C609='TaxCred&amp;Subs'!$D$114:$D$121)*($H609='TaxCred&amp;Subs'!$C$114:$C$121)*($H609&lt;='TaxCred&amp;Subs'!$C$123),'TaxCred&amp;Subs'!$E$114:$E$121,0))</f>
        <v>0</v>
      </c>
      <c r="R609" s="143">
        <v>0</v>
      </c>
      <c r="S609" s="5">
        <v>4</v>
      </c>
      <c r="T609" s="5" t="s">
        <v>240</v>
      </c>
      <c r="V609" s="7" t="str">
        <f t="array" ref="V609">INDEX(xlRTCLNAME,MATCH(1,(xlRTCLENDU=1)*(xlRTCLEQCL=$D609),0))</f>
        <v>GEO_HP</v>
      </c>
      <c r="W609" s="7" t="str">
        <f t="array" ref="W609">INDEX(xlRTCLNAME,MATCH(1,(xlRTCLENDU=2)*(xlRTCLEQCL=$F609),0))</f>
        <v>GEO_HP</v>
      </c>
      <c r="X609" s="7" t="str">
        <f t="array" ref="X609">INDEX(xlRTTYNAME,MATCH(1,(xlRTTYENDU=1)*(xlRTTYEQCL=$D609)*(xlRTEQTYPE=$E609),0))</f>
        <v>GEO_HP3</v>
      </c>
      <c r="Y609" s="7" t="str">
        <f t="array" ref="Y609">INDEX(xlRTTYNAME,MATCH(1,(xlRTTYENDU=2)*(xlRTTYEQCL=$F609)*(xlRTEQTYPE=$G609),0))</f>
        <v>GEO_HP3</v>
      </c>
    </row>
    <row r="610" spans="2:25" x14ac:dyDescent="0.2">
      <c r="B610" s="5">
        <v>9</v>
      </c>
      <c r="C610" s="5">
        <v>1</v>
      </c>
      <c r="D610" s="5">
        <v>10</v>
      </c>
      <c r="E610" s="31">
        <v>33</v>
      </c>
      <c r="F610" s="5">
        <v>4</v>
      </c>
      <c r="G610" s="31">
        <v>14</v>
      </c>
      <c r="H610" s="31">
        <v>2020</v>
      </c>
      <c r="I610" s="5">
        <v>2022</v>
      </c>
      <c r="J610" s="142">
        <v>1.0611999999999999</v>
      </c>
      <c r="K610" s="142">
        <v>1.0428999999999999</v>
      </c>
      <c r="L610" s="142">
        <v>0.72189999999999999</v>
      </c>
      <c r="M610" s="142">
        <v>0.87170000000000003</v>
      </c>
      <c r="N610" s="142">
        <v>1.0349999999999999</v>
      </c>
      <c r="O610" s="142">
        <v>1.0538000000000001</v>
      </c>
      <c r="P610" s="26">
        <v>12555.260866341094</v>
      </c>
      <c r="Q610" s="35">
        <f t="array" ref="Q610">SUM(IF(($S610&gt;=4)*($C610='TaxCred&amp;Subs'!$D$114:$D$121)*($H610='TaxCred&amp;Subs'!$C$114:$C$121)*($H610&lt;='TaxCred&amp;Subs'!$C$123),'TaxCred&amp;Subs'!$E$114:$E$121,0))</f>
        <v>2000</v>
      </c>
      <c r="R610" s="143">
        <v>0</v>
      </c>
      <c r="S610" s="5">
        <v>4</v>
      </c>
      <c r="T610" s="5" t="s">
        <v>240</v>
      </c>
      <c r="V610" s="7" t="str">
        <f t="array" ref="V610">INDEX(xlRTCLNAME,MATCH(1,(xlRTCLENDU=1)*(xlRTCLEQCL=$D610),0))</f>
        <v>GEO_HP</v>
      </c>
      <c r="W610" s="7" t="str">
        <f t="array" ref="W610">INDEX(xlRTCLNAME,MATCH(1,(xlRTCLENDU=2)*(xlRTCLEQCL=$F610),0))</f>
        <v>GEO_HP</v>
      </c>
      <c r="X610" s="7" t="str">
        <f t="array" ref="X610">INDEX(xlRTTYNAME,MATCH(1,(xlRTTYENDU=1)*(xlRTTYEQCL=$D610)*(xlRTEQTYPE=$E610),0))</f>
        <v>GEO_HP3</v>
      </c>
      <c r="Y610" s="7" t="str">
        <f t="array" ref="Y610">INDEX(xlRTTYNAME,MATCH(1,(xlRTTYENDU=2)*(xlRTTYEQCL=$F610)*(xlRTEQTYPE=$G610),0))</f>
        <v>GEO_HP3</v>
      </c>
    </row>
    <row r="611" spans="2:25" x14ac:dyDescent="0.2">
      <c r="B611" s="5">
        <v>9</v>
      </c>
      <c r="C611" s="5">
        <v>1</v>
      </c>
      <c r="D611" s="5">
        <v>10</v>
      </c>
      <c r="E611" s="31">
        <v>33</v>
      </c>
      <c r="F611" s="5">
        <v>4</v>
      </c>
      <c r="G611" s="31">
        <v>14</v>
      </c>
      <c r="H611" s="5">
        <v>2023</v>
      </c>
      <c r="I611" s="5">
        <v>2032</v>
      </c>
      <c r="J611" s="142">
        <v>1.0611999999999999</v>
      </c>
      <c r="K611" s="142">
        <v>1.0428999999999999</v>
      </c>
      <c r="L611" s="142">
        <v>0.72189999999999999</v>
      </c>
      <c r="M611" s="142">
        <v>0.87170000000000003</v>
      </c>
      <c r="N611" s="142">
        <v>1.0349999999999999</v>
      </c>
      <c r="O611" s="142">
        <v>1.0538000000000001</v>
      </c>
      <c r="P611" s="26">
        <v>12555.260866341094</v>
      </c>
      <c r="Q611" s="35">
        <f t="array" ref="Q611">SUM(IF(($S611&gt;=4)*($C611='TaxCred&amp;Subs'!$D$114:$D$121)*($H611='TaxCred&amp;Subs'!$C$114:$C$121)*($H611&lt;='TaxCred&amp;Subs'!$C$123),'TaxCred&amp;Subs'!$E$114:$E$121,0))</f>
        <v>2500</v>
      </c>
      <c r="R611" s="143">
        <v>0</v>
      </c>
      <c r="S611" s="5">
        <v>4</v>
      </c>
      <c r="T611" s="5" t="s">
        <v>240</v>
      </c>
      <c r="V611" s="7" t="str">
        <f t="array" ref="V611">INDEX(xlRTCLNAME,MATCH(1,(xlRTCLENDU=1)*(xlRTCLEQCL=$D611),0))</f>
        <v>GEO_HP</v>
      </c>
      <c r="W611" s="7" t="str">
        <f t="array" ref="W611">INDEX(xlRTCLNAME,MATCH(1,(xlRTCLENDU=2)*(xlRTCLEQCL=$F611),0))</f>
        <v>GEO_HP</v>
      </c>
      <c r="X611" s="7" t="str">
        <f t="array" ref="X611">INDEX(xlRTTYNAME,MATCH(1,(xlRTTYENDU=1)*(xlRTTYEQCL=$D611)*(xlRTEQTYPE=$E611),0))</f>
        <v>GEO_HP3</v>
      </c>
      <c r="Y611" s="7" t="str">
        <f t="array" ref="Y611">INDEX(xlRTTYNAME,MATCH(1,(xlRTTYENDU=2)*(xlRTTYEQCL=$F611)*(xlRTEQTYPE=$G611),0))</f>
        <v>GEO_HP3</v>
      </c>
    </row>
    <row r="612" spans="2:25" x14ac:dyDescent="0.2">
      <c r="B612" s="5">
        <v>9</v>
      </c>
      <c r="C612" s="5">
        <v>1</v>
      </c>
      <c r="D612" s="5">
        <v>10</v>
      </c>
      <c r="E612" s="31">
        <v>33</v>
      </c>
      <c r="F612" s="5">
        <v>4</v>
      </c>
      <c r="G612" s="31">
        <v>14</v>
      </c>
      <c r="H612" s="5">
        <v>2033</v>
      </c>
      <c r="I612" s="5">
        <v>2050</v>
      </c>
      <c r="J612" s="142">
        <v>1.0611999999999999</v>
      </c>
      <c r="K612" s="142">
        <v>1.0428999999999999</v>
      </c>
      <c r="L612" s="142">
        <v>0.72189999999999999</v>
      </c>
      <c r="M612" s="142">
        <v>0.87170000000000003</v>
      </c>
      <c r="N612" s="142">
        <v>1.0349999999999999</v>
      </c>
      <c r="O612" s="142">
        <v>1.0538000000000001</v>
      </c>
      <c r="P612" s="26">
        <v>12555.260866341094</v>
      </c>
      <c r="Q612" s="35">
        <f t="array" ref="Q612">SUM(IF(($S612&gt;=4)*($C612='TaxCred&amp;Subs'!$D$114:$D$121)*($H612='TaxCred&amp;Subs'!$C$114:$C$121)*($H612&lt;='TaxCred&amp;Subs'!$C$123),'TaxCred&amp;Subs'!$E$114:$E$121,0))</f>
        <v>0</v>
      </c>
      <c r="R612" s="143">
        <v>0</v>
      </c>
      <c r="S612" s="5">
        <v>4</v>
      </c>
      <c r="T612" s="5" t="s">
        <v>240</v>
      </c>
      <c r="V612" s="7" t="str">
        <f t="array" ref="V612">INDEX(xlRTCLNAME,MATCH(1,(xlRTCLENDU=1)*(xlRTCLEQCL=$D612),0))</f>
        <v>GEO_HP</v>
      </c>
      <c r="W612" s="7" t="str">
        <f t="array" ref="W612">INDEX(xlRTCLNAME,MATCH(1,(xlRTCLENDU=2)*(xlRTCLEQCL=$F612),0))</f>
        <v>GEO_HP</v>
      </c>
      <c r="X612" s="7" t="str">
        <f t="array" ref="X612">INDEX(xlRTTYNAME,MATCH(1,(xlRTTYENDU=1)*(xlRTTYEQCL=$D612)*(xlRTEQTYPE=$E612),0))</f>
        <v>GEO_HP3</v>
      </c>
      <c r="Y612" s="7" t="str">
        <f t="array" ref="Y612">INDEX(xlRTTYNAME,MATCH(1,(xlRTTYENDU=2)*(xlRTTYEQCL=$F612)*(xlRTEQTYPE=$G612),0))</f>
        <v>GEO_HP3</v>
      </c>
    </row>
    <row r="613" spans="2:25" x14ac:dyDescent="0.2">
      <c r="B613" s="5">
        <v>1</v>
      </c>
      <c r="C613" s="5">
        <v>1</v>
      </c>
      <c r="D613" s="5">
        <v>11</v>
      </c>
      <c r="E613" s="31">
        <v>35</v>
      </c>
      <c r="F613" s="5">
        <v>5</v>
      </c>
      <c r="G613" s="31">
        <v>16</v>
      </c>
      <c r="H613" s="31">
        <v>2020</v>
      </c>
      <c r="I613" s="5">
        <v>2022</v>
      </c>
      <c r="J613" s="142">
        <v>1.0803</v>
      </c>
      <c r="K613" s="142">
        <v>1.0667</v>
      </c>
      <c r="L613" s="142">
        <v>0.46639999999999998</v>
      </c>
      <c r="M613" s="142">
        <v>0.94740000000000002</v>
      </c>
      <c r="N613" s="142">
        <v>0.79790000000000005</v>
      </c>
      <c r="O613" s="142">
        <v>1.0538000000000001</v>
      </c>
      <c r="P613" s="26">
        <v>16939.787069504328</v>
      </c>
      <c r="Q613" s="35">
        <f t="array" ref="Q613">SUM(IF(($S613&gt;=4)*($C613='TaxCred&amp;Subs'!$D$114:$D$121)*($H613='TaxCred&amp;Subs'!$C$114:$C$121)*($H613&lt;='TaxCred&amp;Subs'!$C$123),'TaxCred&amp;Subs'!$E$114:$E$121,0))</f>
        <v>2000</v>
      </c>
      <c r="R613" s="143">
        <v>0</v>
      </c>
      <c r="S613" s="5">
        <v>4</v>
      </c>
      <c r="T613" s="5" t="s">
        <v>240</v>
      </c>
      <c r="V613" s="7" t="str">
        <f t="array" ref="V613">INDEX(xlRTCLNAME,MATCH(1,(xlRTCLENDU=1)*(xlRTCLEQCL=$D613),0))</f>
        <v>NG_HP</v>
      </c>
      <c r="W613" s="7" t="str">
        <f t="array" ref="W613">INDEX(xlRTCLNAME,MATCH(1,(xlRTCLENDU=2)*(xlRTCLEQCL=$F613),0))</f>
        <v>NG_HP</v>
      </c>
      <c r="X613" s="7" t="str">
        <f t="array" ref="X613">INDEX(xlRTTYNAME,MATCH(1,(xlRTTYENDU=1)*(xlRTTYEQCL=$D613)*(xlRTEQTYPE=$E613),0))</f>
        <v>NG_HP2</v>
      </c>
      <c r="Y613" s="7" t="str">
        <f t="array" ref="Y613">INDEX(xlRTTYNAME,MATCH(1,(xlRTTYENDU=2)*(xlRTTYEQCL=$F613)*(xlRTEQTYPE=$G613),0))</f>
        <v>NG_HP2</v>
      </c>
    </row>
    <row r="614" spans="2:25" x14ac:dyDescent="0.2">
      <c r="B614" s="5">
        <v>1</v>
      </c>
      <c r="C614" s="5">
        <v>1</v>
      </c>
      <c r="D614" s="5">
        <v>11</v>
      </c>
      <c r="E614" s="31">
        <v>35</v>
      </c>
      <c r="F614" s="5">
        <v>5</v>
      </c>
      <c r="G614" s="31">
        <v>16</v>
      </c>
      <c r="H614" s="5">
        <v>2023</v>
      </c>
      <c r="I614" s="5">
        <v>2032</v>
      </c>
      <c r="J614" s="142">
        <v>1.0803</v>
      </c>
      <c r="K614" s="142">
        <v>1.0667</v>
      </c>
      <c r="L614" s="142">
        <v>0.46639999999999998</v>
      </c>
      <c r="M614" s="142">
        <v>0.94740000000000002</v>
      </c>
      <c r="N614" s="142">
        <v>0.79790000000000005</v>
      </c>
      <c r="O614" s="142">
        <v>1.0538000000000001</v>
      </c>
      <c r="P614" s="26">
        <v>16939.787069504328</v>
      </c>
      <c r="Q614" s="35">
        <f t="array" ref="Q614">SUM(IF(($S614&gt;=4)*($C614='TaxCred&amp;Subs'!$D$114:$D$121)*($H614='TaxCred&amp;Subs'!$C$114:$C$121)*($H614&lt;='TaxCred&amp;Subs'!$C$123),'TaxCred&amp;Subs'!$E$114:$E$121,0))</f>
        <v>2500</v>
      </c>
      <c r="R614" s="143">
        <v>0</v>
      </c>
      <c r="S614" s="5">
        <v>4</v>
      </c>
      <c r="T614" s="5" t="s">
        <v>240</v>
      </c>
      <c r="V614" s="7" t="str">
        <f t="array" ref="V614">INDEX(xlRTCLNAME,MATCH(1,(xlRTCLENDU=1)*(xlRTCLEQCL=$D614),0))</f>
        <v>NG_HP</v>
      </c>
      <c r="W614" s="7" t="str">
        <f t="array" ref="W614">INDEX(xlRTCLNAME,MATCH(1,(xlRTCLENDU=2)*(xlRTCLEQCL=$F614),0))</f>
        <v>NG_HP</v>
      </c>
      <c r="X614" s="7" t="str">
        <f t="array" ref="X614">INDEX(xlRTTYNAME,MATCH(1,(xlRTTYENDU=1)*(xlRTTYEQCL=$D614)*(xlRTEQTYPE=$E614),0))</f>
        <v>NG_HP2</v>
      </c>
      <c r="Y614" s="7" t="str">
        <f t="array" ref="Y614">INDEX(xlRTTYNAME,MATCH(1,(xlRTTYENDU=2)*(xlRTTYEQCL=$F614)*(xlRTEQTYPE=$G614),0))</f>
        <v>NG_HP2</v>
      </c>
    </row>
    <row r="615" spans="2:25" x14ac:dyDescent="0.2">
      <c r="B615" s="5">
        <v>1</v>
      </c>
      <c r="C615" s="5">
        <v>1</v>
      </c>
      <c r="D615" s="5">
        <v>11</v>
      </c>
      <c r="E615" s="31">
        <v>35</v>
      </c>
      <c r="F615" s="5">
        <v>5</v>
      </c>
      <c r="G615" s="31">
        <v>16</v>
      </c>
      <c r="H615" s="5">
        <v>2033</v>
      </c>
      <c r="I615" s="5">
        <v>2050</v>
      </c>
      <c r="J615" s="142">
        <v>1.0803</v>
      </c>
      <c r="K615" s="142">
        <v>1.0667</v>
      </c>
      <c r="L615" s="142">
        <v>0.46639999999999998</v>
      </c>
      <c r="M615" s="142">
        <v>0.94740000000000002</v>
      </c>
      <c r="N615" s="142">
        <v>0.79790000000000005</v>
      </c>
      <c r="O615" s="142">
        <v>1.0538000000000001</v>
      </c>
      <c r="P615" s="26">
        <v>16939.787069504328</v>
      </c>
      <c r="Q615" s="35">
        <f t="array" ref="Q615">SUM(IF(($S615&gt;=4)*($C615='TaxCred&amp;Subs'!$D$114:$D$121)*($H615='TaxCred&amp;Subs'!$C$114:$C$121)*($H615&lt;='TaxCred&amp;Subs'!$C$123),'TaxCred&amp;Subs'!$E$114:$E$121,0))</f>
        <v>0</v>
      </c>
      <c r="R615" s="143">
        <v>0</v>
      </c>
      <c r="S615" s="5">
        <v>4</v>
      </c>
      <c r="T615" s="5" t="s">
        <v>240</v>
      </c>
      <c r="V615" s="7" t="str">
        <f t="array" ref="V615">INDEX(xlRTCLNAME,MATCH(1,(xlRTCLENDU=1)*(xlRTCLEQCL=$D615),0))</f>
        <v>NG_HP</v>
      </c>
      <c r="W615" s="7" t="str">
        <f t="array" ref="W615">INDEX(xlRTCLNAME,MATCH(1,(xlRTCLENDU=2)*(xlRTCLEQCL=$F615),0))</f>
        <v>NG_HP</v>
      </c>
      <c r="X615" s="7" t="str">
        <f t="array" ref="X615">INDEX(xlRTTYNAME,MATCH(1,(xlRTTYENDU=1)*(xlRTTYEQCL=$D615)*(xlRTEQTYPE=$E615),0))</f>
        <v>NG_HP2</v>
      </c>
      <c r="Y615" s="7" t="str">
        <f t="array" ref="Y615">INDEX(xlRTTYNAME,MATCH(1,(xlRTTYENDU=2)*(xlRTTYEQCL=$F615)*(xlRTEQTYPE=$G615),0))</f>
        <v>NG_HP2</v>
      </c>
    </row>
    <row r="616" spans="2:25" x14ac:dyDescent="0.2">
      <c r="B616" s="5">
        <v>2</v>
      </c>
      <c r="C616" s="5">
        <v>1</v>
      </c>
      <c r="D616" s="5">
        <v>11</v>
      </c>
      <c r="E616" s="31">
        <v>35</v>
      </c>
      <c r="F616" s="5">
        <v>5</v>
      </c>
      <c r="G616" s="31">
        <v>16</v>
      </c>
      <c r="H616" s="31">
        <v>2020</v>
      </c>
      <c r="I616" s="5">
        <v>2022</v>
      </c>
      <c r="J616" s="142">
        <v>1.0649</v>
      </c>
      <c r="K616" s="142">
        <v>1.0597000000000001</v>
      </c>
      <c r="L616" s="142">
        <v>0.49669999999999997</v>
      </c>
      <c r="M616" s="142">
        <v>0.82399999999999995</v>
      </c>
      <c r="N616" s="142">
        <v>0.93169999999999997</v>
      </c>
      <c r="O616" s="142">
        <v>1.0538000000000001</v>
      </c>
      <c r="P616" s="26">
        <v>20134.400457641663</v>
      </c>
      <c r="Q616" s="35">
        <f t="array" ref="Q616">SUM(IF(($S616&gt;=4)*($C616='TaxCred&amp;Subs'!$D$114:$D$121)*($H616='TaxCred&amp;Subs'!$C$114:$C$121)*($H616&lt;='TaxCred&amp;Subs'!$C$123),'TaxCred&amp;Subs'!$E$114:$E$121,0))</f>
        <v>2000</v>
      </c>
      <c r="R616" s="143">
        <v>0</v>
      </c>
      <c r="S616" s="5">
        <v>4</v>
      </c>
      <c r="T616" s="5" t="s">
        <v>240</v>
      </c>
      <c r="V616" s="7" t="str">
        <f t="array" ref="V616">INDEX(xlRTCLNAME,MATCH(1,(xlRTCLENDU=1)*(xlRTCLEQCL=$D616),0))</f>
        <v>NG_HP</v>
      </c>
      <c r="W616" s="7" t="str">
        <f t="array" ref="W616">INDEX(xlRTCLNAME,MATCH(1,(xlRTCLENDU=2)*(xlRTCLEQCL=$F616),0))</f>
        <v>NG_HP</v>
      </c>
      <c r="X616" s="7" t="str">
        <f t="array" ref="X616">INDEX(xlRTTYNAME,MATCH(1,(xlRTTYENDU=1)*(xlRTTYEQCL=$D616)*(xlRTEQTYPE=$E616),0))</f>
        <v>NG_HP2</v>
      </c>
      <c r="Y616" s="7" t="str">
        <f t="array" ref="Y616">INDEX(xlRTTYNAME,MATCH(1,(xlRTTYENDU=2)*(xlRTTYEQCL=$F616)*(xlRTEQTYPE=$G616),0))</f>
        <v>NG_HP2</v>
      </c>
    </row>
    <row r="617" spans="2:25" x14ac:dyDescent="0.2">
      <c r="B617" s="5">
        <v>2</v>
      </c>
      <c r="C617" s="5">
        <v>1</v>
      </c>
      <c r="D617" s="5">
        <v>11</v>
      </c>
      <c r="E617" s="31">
        <v>35</v>
      </c>
      <c r="F617" s="5">
        <v>5</v>
      </c>
      <c r="G617" s="31">
        <v>16</v>
      </c>
      <c r="H617" s="5">
        <v>2023</v>
      </c>
      <c r="I617" s="5">
        <v>2032</v>
      </c>
      <c r="J617" s="142">
        <v>1.0649</v>
      </c>
      <c r="K617" s="142">
        <v>1.0597000000000001</v>
      </c>
      <c r="L617" s="142">
        <v>0.49669999999999997</v>
      </c>
      <c r="M617" s="142">
        <v>0.82399999999999995</v>
      </c>
      <c r="N617" s="142">
        <v>0.93169999999999997</v>
      </c>
      <c r="O617" s="142">
        <v>1.0538000000000001</v>
      </c>
      <c r="P617" s="26">
        <v>20134.400457641663</v>
      </c>
      <c r="Q617" s="35">
        <f t="array" ref="Q617">SUM(IF(($S617&gt;=4)*($C617='TaxCred&amp;Subs'!$D$114:$D$121)*($H617='TaxCred&amp;Subs'!$C$114:$C$121)*($H617&lt;='TaxCred&amp;Subs'!$C$123),'TaxCred&amp;Subs'!$E$114:$E$121,0))</f>
        <v>2500</v>
      </c>
      <c r="R617" s="143">
        <v>0</v>
      </c>
      <c r="S617" s="5">
        <v>4</v>
      </c>
      <c r="T617" s="5" t="s">
        <v>240</v>
      </c>
      <c r="V617" s="7" t="str">
        <f t="array" ref="V617">INDEX(xlRTCLNAME,MATCH(1,(xlRTCLENDU=1)*(xlRTCLEQCL=$D617),0))</f>
        <v>NG_HP</v>
      </c>
      <c r="W617" s="7" t="str">
        <f t="array" ref="W617">INDEX(xlRTCLNAME,MATCH(1,(xlRTCLENDU=2)*(xlRTCLEQCL=$F617),0))</f>
        <v>NG_HP</v>
      </c>
      <c r="X617" s="7" t="str">
        <f t="array" ref="X617">INDEX(xlRTTYNAME,MATCH(1,(xlRTTYENDU=1)*(xlRTTYEQCL=$D617)*(xlRTEQTYPE=$E617),0))</f>
        <v>NG_HP2</v>
      </c>
      <c r="Y617" s="7" t="str">
        <f t="array" ref="Y617">INDEX(xlRTTYNAME,MATCH(1,(xlRTTYENDU=2)*(xlRTTYEQCL=$F617)*(xlRTEQTYPE=$G617),0))</f>
        <v>NG_HP2</v>
      </c>
    </row>
    <row r="618" spans="2:25" x14ac:dyDescent="0.2">
      <c r="B618" s="5">
        <v>2</v>
      </c>
      <c r="C618" s="5">
        <v>1</v>
      </c>
      <c r="D618" s="5">
        <v>11</v>
      </c>
      <c r="E618" s="31">
        <v>35</v>
      </c>
      <c r="F618" s="5">
        <v>5</v>
      </c>
      <c r="G618" s="31">
        <v>16</v>
      </c>
      <c r="H618" s="5">
        <v>2033</v>
      </c>
      <c r="I618" s="5">
        <v>2050</v>
      </c>
      <c r="J618" s="142">
        <v>1.0649</v>
      </c>
      <c r="K618" s="142">
        <v>1.0597000000000001</v>
      </c>
      <c r="L618" s="142">
        <v>0.49669999999999997</v>
      </c>
      <c r="M618" s="142">
        <v>0.82399999999999995</v>
      </c>
      <c r="N618" s="142">
        <v>0.93169999999999997</v>
      </c>
      <c r="O618" s="142">
        <v>1.0538000000000001</v>
      </c>
      <c r="P618" s="26">
        <v>20134.400457641663</v>
      </c>
      <c r="Q618" s="35">
        <f t="array" ref="Q618">SUM(IF(($S618&gt;=4)*($C618='TaxCred&amp;Subs'!$D$114:$D$121)*($H618='TaxCred&amp;Subs'!$C$114:$C$121)*($H618&lt;='TaxCred&amp;Subs'!$C$123),'TaxCred&amp;Subs'!$E$114:$E$121,0))</f>
        <v>0</v>
      </c>
      <c r="R618" s="143">
        <v>0</v>
      </c>
      <c r="S618" s="5">
        <v>4</v>
      </c>
      <c r="T618" s="5" t="s">
        <v>240</v>
      </c>
      <c r="V618" s="7" t="str">
        <f t="array" ref="V618">INDEX(xlRTCLNAME,MATCH(1,(xlRTCLENDU=1)*(xlRTCLEQCL=$D618),0))</f>
        <v>NG_HP</v>
      </c>
      <c r="W618" s="7" t="str">
        <f t="array" ref="W618">INDEX(xlRTCLNAME,MATCH(1,(xlRTCLENDU=2)*(xlRTCLEQCL=$F618),0))</f>
        <v>NG_HP</v>
      </c>
      <c r="X618" s="7" t="str">
        <f t="array" ref="X618">INDEX(xlRTTYNAME,MATCH(1,(xlRTTYENDU=1)*(xlRTTYEQCL=$D618)*(xlRTEQTYPE=$E618),0))</f>
        <v>NG_HP2</v>
      </c>
      <c r="Y618" s="7" t="str">
        <f t="array" ref="Y618">INDEX(xlRTTYNAME,MATCH(1,(xlRTTYENDU=2)*(xlRTTYEQCL=$F618)*(xlRTEQTYPE=$G618),0))</f>
        <v>NG_HP2</v>
      </c>
    </row>
    <row r="619" spans="2:25" x14ac:dyDescent="0.2">
      <c r="B619" s="5">
        <v>3</v>
      </c>
      <c r="C619" s="5">
        <v>1</v>
      </c>
      <c r="D619" s="5">
        <v>11</v>
      </c>
      <c r="E619" s="31">
        <v>35</v>
      </c>
      <c r="F619" s="5">
        <v>5</v>
      </c>
      <c r="G619" s="31">
        <v>16</v>
      </c>
      <c r="H619" s="31">
        <v>2020</v>
      </c>
      <c r="I619" s="5">
        <v>2022</v>
      </c>
      <c r="J619" s="142">
        <v>1.0469999999999999</v>
      </c>
      <c r="K619" s="142">
        <v>1.0769</v>
      </c>
      <c r="L619" s="142">
        <v>0.45619999999999999</v>
      </c>
      <c r="M619" s="142">
        <v>0.90190000000000003</v>
      </c>
      <c r="N619" s="142">
        <v>0.91600000000000004</v>
      </c>
      <c r="O619" s="142">
        <v>1.0538000000000001</v>
      </c>
      <c r="P619" s="26">
        <v>17265.164359036837</v>
      </c>
      <c r="Q619" s="35">
        <f t="array" ref="Q619">SUM(IF(($S619&gt;=4)*($C619='TaxCred&amp;Subs'!$D$114:$D$121)*($H619='TaxCred&amp;Subs'!$C$114:$C$121)*($H619&lt;='TaxCred&amp;Subs'!$C$123),'TaxCred&amp;Subs'!$E$114:$E$121,0))</f>
        <v>2000</v>
      </c>
      <c r="R619" s="143">
        <v>0</v>
      </c>
      <c r="S619" s="5">
        <v>4</v>
      </c>
      <c r="T619" s="5" t="s">
        <v>240</v>
      </c>
      <c r="V619" s="7" t="str">
        <f t="array" ref="V619">INDEX(xlRTCLNAME,MATCH(1,(xlRTCLENDU=1)*(xlRTCLEQCL=$D619),0))</f>
        <v>NG_HP</v>
      </c>
      <c r="W619" s="7" t="str">
        <f t="array" ref="W619">INDEX(xlRTCLNAME,MATCH(1,(xlRTCLENDU=2)*(xlRTCLEQCL=$F619),0))</f>
        <v>NG_HP</v>
      </c>
      <c r="X619" s="7" t="str">
        <f t="array" ref="X619">INDEX(xlRTTYNAME,MATCH(1,(xlRTTYENDU=1)*(xlRTTYEQCL=$D619)*(xlRTEQTYPE=$E619),0))</f>
        <v>NG_HP2</v>
      </c>
      <c r="Y619" s="7" t="str">
        <f t="array" ref="Y619">INDEX(xlRTTYNAME,MATCH(1,(xlRTTYENDU=2)*(xlRTTYEQCL=$F619)*(xlRTEQTYPE=$G619),0))</f>
        <v>NG_HP2</v>
      </c>
    </row>
    <row r="620" spans="2:25" x14ac:dyDescent="0.2">
      <c r="B620" s="5">
        <v>3</v>
      </c>
      <c r="C620" s="5">
        <v>1</v>
      </c>
      <c r="D620" s="5">
        <v>11</v>
      </c>
      <c r="E620" s="31">
        <v>35</v>
      </c>
      <c r="F620" s="5">
        <v>5</v>
      </c>
      <c r="G620" s="31">
        <v>16</v>
      </c>
      <c r="H620" s="5">
        <v>2023</v>
      </c>
      <c r="I620" s="5">
        <v>2032</v>
      </c>
      <c r="J620" s="142">
        <v>1.0469999999999999</v>
      </c>
      <c r="K620" s="142">
        <v>1.0769</v>
      </c>
      <c r="L620" s="142">
        <v>0.45619999999999999</v>
      </c>
      <c r="M620" s="142">
        <v>0.90190000000000003</v>
      </c>
      <c r="N620" s="142">
        <v>0.91600000000000004</v>
      </c>
      <c r="O620" s="142">
        <v>1.0538000000000001</v>
      </c>
      <c r="P620" s="26">
        <v>17265.164359036837</v>
      </c>
      <c r="Q620" s="35">
        <f t="array" ref="Q620">SUM(IF(($S620&gt;=4)*($C620='TaxCred&amp;Subs'!$D$114:$D$121)*($H620='TaxCred&amp;Subs'!$C$114:$C$121)*($H620&lt;='TaxCred&amp;Subs'!$C$123),'TaxCred&amp;Subs'!$E$114:$E$121,0))</f>
        <v>2500</v>
      </c>
      <c r="R620" s="143">
        <v>0</v>
      </c>
      <c r="S620" s="5">
        <v>4</v>
      </c>
      <c r="T620" s="5" t="s">
        <v>240</v>
      </c>
      <c r="V620" s="7" t="str">
        <f t="array" ref="V620">INDEX(xlRTCLNAME,MATCH(1,(xlRTCLENDU=1)*(xlRTCLEQCL=$D620),0))</f>
        <v>NG_HP</v>
      </c>
      <c r="W620" s="7" t="str">
        <f t="array" ref="W620">INDEX(xlRTCLNAME,MATCH(1,(xlRTCLENDU=2)*(xlRTCLEQCL=$F620),0))</f>
        <v>NG_HP</v>
      </c>
      <c r="X620" s="7" t="str">
        <f t="array" ref="X620">INDEX(xlRTTYNAME,MATCH(1,(xlRTTYENDU=1)*(xlRTTYEQCL=$D620)*(xlRTEQTYPE=$E620),0))</f>
        <v>NG_HP2</v>
      </c>
      <c r="Y620" s="7" t="str">
        <f t="array" ref="Y620">INDEX(xlRTTYNAME,MATCH(1,(xlRTTYENDU=2)*(xlRTTYEQCL=$F620)*(xlRTEQTYPE=$G620),0))</f>
        <v>NG_HP2</v>
      </c>
    </row>
    <row r="621" spans="2:25" x14ac:dyDescent="0.2">
      <c r="B621" s="5">
        <v>3</v>
      </c>
      <c r="C621" s="5">
        <v>1</v>
      </c>
      <c r="D621" s="5">
        <v>11</v>
      </c>
      <c r="E621" s="31">
        <v>35</v>
      </c>
      <c r="F621" s="5">
        <v>5</v>
      </c>
      <c r="G621" s="31">
        <v>16</v>
      </c>
      <c r="H621" s="5">
        <v>2033</v>
      </c>
      <c r="I621" s="5">
        <v>2050</v>
      </c>
      <c r="J621" s="142">
        <v>1.0469999999999999</v>
      </c>
      <c r="K621" s="142">
        <v>1.0769</v>
      </c>
      <c r="L621" s="142">
        <v>0.45619999999999999</v>
      </c>
      <c r="M621" s="142">
        <v>0.90190000000000003</v>
      </c>
      <c r="N621" s="142">
        <v>0.91600000000000004</v>
      </c>
      <c r="O621" s="142">
        <v>1.0538000000000001</v>
      </c>
      <c r="P621" s="26">
        <v>17265.164359036837</v>
      </c>
      <c r="Q621" s="35">
        <f t="array" ref="Q621">SUM(IF(($S621&gt;=4)*($C621='TaxCred&amp;Subs'!$D$114:$D$121)*($H621='TaxCred&amp;Subs'!$C$114:$C$121)*($H621&lt;='TaxCred&amp;Subs'!$C$123),'TaxCred&amp;Subs'!$E$114:$E$121,0))</f>
        <v>0</v>
      </c>
      <c r="R621" s="143">
        <v>0</v>
      </c>
      <c r="S621" s="5">
        <v>4</v>
      </c>
      <c r="T621" s="5" t="s">
        <v>240</v>
      </c>
      <c r="V621" s="7" t="str">
        <f t="array" ref="V621">INDEX(xlRTCLNAME,MATCH(1,(xlRTCLENDU=1)*(xlRTCLEQCL=$D621),0))</f>
        <v>NG_HP</v>
      </c>
      <c r="W621" s="7" t="str">
        <f t="array" ref="W621">INDEX(xlRTCLNAME,MATCH(1,(xlRTCLENDU=2)*(xlRTCLEQCL=$F621),0))</f>
        <v>NG_HP</v>
      </c>
      <c r="X621" s="7" t="str">
        <f t="array" ref="X621">INDEX(xlRTTYNAME,MATCH(1,(xlRTTYENDU=1)*(xlRTTYEQCL=$D621)*(xlRTEQTYPE=$E621),0))</f>
        <v>NG_HP2</v>
      </c>
      <c r="Y621" s="7" t="str">
        <f t="array" ref="Y621">INDEX(xlRTTYNAME,MATCH(1,(xlRTTYENDU=2)*(xlRTTYEQCL=$F621)*(xlRTEQTYPE=$G621),0))</f>
        <v>NG_HP2</v>
      </c>
    </row>
    <row r="622" spans="2:25" x14ac:dyDescent="0.2">
      <c r="B622" s="5">
        <v>4</v>
      </c>
      <c r="C622" s="5">
        <v>1</v>
      </c>
      <c r="D622" s="5">
        <v>11</v>
      </c>
      <c r="E622" s="31">
        <v>35</v>
      </c>
      <c r="F622" s="5">
        <v>5</v>
      </c>
      <c r="G622" s="31">
        <v>16</v>
      </c>
      <c r="H622" s="31">
        <v>2020</v>
      </c>
      <c r="I622" s="5">
        <v>2022</v>
      </c>
      <c r="J622" s="142">
        <v>1.0862000000000001</v>
      </c>
      <c r="K622" s="142">
        <v>1.0769</v>
      </c>
      <c r="L622" s="142">
        <v>0.45779999999999998</v>
      </c>
      <c r="M622" s="142">
        <v>0.85729999999999995</v>
      </c>
      <c r="N622" s="142">
        <v>0.85770000000000002</v>
      </c>
      <c r="O622" s="142">
        <v>1.0538000000000001</v>
      </c>
      <c r="P622" s="26">
        <v>14059.794696865367</v>
      </c>
      <c r="Q622" s="35">
        <f t="array" ref="Q622">SUM(IF(($S622&gt;=4)*($C622='TaxCred&amp;Subs'!$D$114:$D$121)*($H622='TaxCred&amp;Subs'!$C$114:$C$121)*($H622&lt;='TaxCred&amp;Subs'!$C$123),'TaxCred&amp;Subs'!$E$114:$E$121,0))</f>
        <v>2000</v>
      </c>
      <c r="R622" s="143">
        <v>0</v>
      </c>
      <c r="S622" s="5">
        <v>4</v>
      </c>
      <c r="T622" s="5" t="s">
        <v>240</v>
      </c>
      <c r="V622" s="7" t="str">
        <f t="array" ref="V622">INDEX(xlRTCLNAME,MATCH(1,(xlRTCLENDU=1)*(xlRTCLEQCL=$D622),0))</f>
        <v>NG_HP</v>
      </c>
      <c r="W622" s="7" t="str">
        <f t="array" ref="W622">INDEX(xlRTCLNAME,MATCH(1,(xlRTCLENDU=2)*(xlRTCLEQCL=$F622),0))</f>
        <v>NG_HP</v>
      </c>
      <c r="X622" s="7" t="str">
        <f t="array" ref="X622">INDEX(xlRTTYNAME,MATCH(1,(xlRTTYENDU=1)*(xlRTTYEQCL=$D622)*(xlRTEQTYPE=$E622),0))</f>
        <v>NG_HP2</v>
      </c>
      <c r="Y622" s="7" t="str">
        <f t="array" ref="Y622">INDEX(xlRTTYNAME,MATCH(1,(xlRTTYENDU=2)*(xlRTTYEQCL=$F622)*(xlRTEQTYPE=$G622),0))</f>
        <v>NG_HP2</v>
      </c>
    </row>
    <row r="623" spans="2:25" x14ac:dyDescent="0.2">
      <c r="B623" s="5">
        <v>4</v>
      </c>
      <c r="C623" s="5">
        <v>1</v>
      </c>
      <c r="D623" s="5">
        <v>11</v>
      </c>
      <c r="E623" s="31">
        <v>35</v>
      </c>
      <c r="F623" s="5">
        <v>5</v>
      </c>
      <c r="G623" s="31">
        <v>16</v>
      </c>
      <c r="H623" s="5">
        <v>2023</v>
      </c>
      <c r="I623" s="5">
        <v>2032</v>
      </c>
      <c r="J623" s="142">
        <v>1.0862000000000001</v>
      </c>
      <c r="K623" s="142">
        <v>1.0769</v>
      </c>
      <c r="L623" s="142">
        <v>0.45779999999999998</v>
      </c>
      <c r="M623" s="142">
        <v>0.85729999999999995</v>
      </c>
      <c r="N623" s="142">
        <v>0.85770000000000002</v>
      </c>
      <c r="O623" s="142">
        <v>1.0538000000000001</v>
      </c>
      <c r="P623" s="26">
        <v>14059.794696865367</v>
      </c>
      <c r="Q623" s="35">
        <f t="array" ref="Q623">SUM(IF(($S623&gt;=4)*($C623='TaxCred&amp;Subs'!$D$114:$D$121)*($H623='TaxCred&amp;Subs'!$C$114:$C$121)*($H623&lt;='TaxCred&amp;Subs'!$C$123),'TaxCred&amp;Subs'!$E$114:$E$121,0))</f>
        <v>2500</v>
      </c>
      <c r="R623" s="143">
        <v>0</v>
      </c>
      <c r="S623" s="5">
        <v>4</v>
      </c>
      <c r="T623" s="5" t="s">
        <v>240</v>
      </c>
      <c r="V623" s="7" t="str">
        <f t="array" ref="V623">INDEX(xlRTCLNAME,MATCH(1,(xlRTCLENDU=1)*(xlRTCLEQCL=$D623),0))</f>
        <v>NG_HP</v>
      </c>
      <c r="W623" s="7" t="str">
        <f t="array" ref="W623">INDEX(xlRTCLNAME,MATCH(1,(xlRTCLENDU=2)*(xlRTCLEQCL=$F623),0))</f>
        <v>NG_HP</v>
      </c>
      <c r="X623" s="7" t="str">
        <f t="array" ref="X623">INDEX(xlRTTYNAME,MATCH(1,(xlRTTYENDU=1)*(xlRTTYEQCL=$D623)*(xlRTEQTYPE=$E623),0))</f>
        <v>NG_HP2</v>
      </c>
      <c r="Y623" s="7" t="str">
        <f t="array" ref="Y623">INDEX(xlRTTYNAME,MATCH(1,(xlRTTYENDU=2)*(xlRTTYEQCL=$F623)*(xlRTEQTYPE=$G623),0))</f>
        <v>NG_HP2</v>
      </c>
    </row>
    <row r="624" spans="2:25" x14ac:dyDescent="0.2">
      <c r="B624" s="5">
        <v>4</v>
      </c>
      <c r="C624" s="5">
        <v>1</v>
      </c>
      <c r="D624" s="5">
        <v>11</v>
      </c>
      <c r="E624" s="31">
        <v>35</v>
      </c>
      <c r="F624" s="5">
        <v>5</v>
      </c>
      <c r="G624" s="31">
        <v>16</v>
      </c>
      <c r="H624" s="5">
        <v>2033</v>
      </c>
      <c r="I624" s="5">
        <v>2050</v>
      </c>
      <c r="J624" s="142">
        <v>1.0862000000000001</v>
      </c>
      <c r="K624" s="142">
        <v>1.0769</v>
      </c>
      <c r="L624" s="142">
        <v>0.45779999999999998</v>
      </c>
      <c r="M624" s="142">
        <v>0.85729999999999995</v>
      </c>
      <c r="N624" s="142">
        <v>0.85770000000000002</v>
      </c>
      <c r="O624" s="142">
        <v>1.0538000000000001</v>
      </c>
      <c r="P624" s="26">
        <v>14059.794696865367</v>
      </c>
      <c r="Q624" s="35">
        <f t="array" ref="Q624">SUM(IF(($S624&gt;=4)*($C624='TaxCred&amp;Subs'!$D$114:$D$121)*($H624='TaxCred&amp;Subs'!$C$114:$C$121)*($H624&lt;='TaxCred&amp;Subs'!$C$123),'TaxCred&amp;Subs'!$E$114:$E$121,0))</f>
        <v>0</v>
      </c>
      <c r="R624" s="143">
        <v>0</v>
      </c>
      <c r="S624" s="5">
        <v>4</v>
      </c>
      <c r="T624" s="5" t="s">
        <v>240</v>
      </c>
      <c r="V624" s="7" t="str">
        <f t="array" ref="V624">INDEX(xlRTCLNAME,MATCH(1,(xlRTCLENDU=1)*(xlRTCLEQCL=$D624),0))</f>
        <v>NG_HP</v>
      </c>
      <c r="W624" s="7" t="str">
        <f t="array" ref="W624">INDEX(xlRTCLNAME,MATCH(1,(xlRTCLENDU=2)*(xlRTCLEQCL=$F624),0))</f>
        <v>NG_HP</v>
      </c>
      <c r="X624" s="7" t="str">
        <f t="array" ref="X624">INDEX(xlRTTYNAME,MATCH(1,(xlRTTYENDU=1)*(xlRTTYEQCL=$D624)*(xlRTEQTYPE=$E624),0))</f>
        <v>NG_HP2</v>
      </c>
      <c r="Y624" s="7" t="str">
        <f t="array" ref="Y624">INDEX(xlRTTYNAME,MATCH(1,(xlRTTYENDU=2)*(xlRTTYEQCL=$F624)*(xlRTEQTYPE=$G624),0))</f>
        <v>NG_HP2</v>
      </c>
    </row>
    <row r="625" spans="2:25" x14ac:dyDescent="0.2">
      <c r="B625" s="5">
        <v>5</v>
      </c>
      <c r="C625" s="5">
        <v>1</v>
      </c>
      <c r="D625" s="5">
        <v>11</v>
      </c>
      <c r="E625" s="31">
        <v>35</v>
      </c>
      <c r="F625" s="5">
        <v>5</v>
      </c>
      <c r="G625" s="31">
        <v>16</v>
      </c>
      <c r="H625" s="31">
        <v>2020</v>
      </c>
      <c r="I625" s="5">
        <v>2022</v>
      </c>
      <c r="J625" s="142">
        <v>1.0849</v>
      </c>
      <c r="K625" s="142">
        <v>1.0471999999999999</v>
      </c>
      <c r="L625" s="142">
        <v>0.41520000000000001</v>
      </c>
      <c r="M625" s="142">
        <v>0.77729999999999999</v>
      </c>
      <c r="N625" s="142">
        <v>0.76180000000000003</v>
      </c>
      <c r="O625" s="142">
        <v>1.0538000000000001</v>
      </c>
      <c r="P625" s="26">
        <v>13109.208979098914</v>
      </c>
      <c r="Q625" s="35">
        <f t="array" ref="Q625">SUM(IF(($S625&gt;=4)*($C625='TaxCred&amp;Subs'!$D$114:$D$121)*($H625='TaxCred&amp;Subs'!$C$114:$C$121)*($H625&lt;='TaxCred&amp;Subs'!$C$123),'TaxCred&amp;Subs'!$E$114:$E$121,0))</f>
        <v>2000</v>
      </c>
      <c r="R625" s="143">
        <v>0</v>
      </c>
      <c r="S625" s="5">
        <v>4</v>
      </c>
      <c r="T625" s="5" t="s">
        <v>240</v>
      </c>
      <c r="V625" s="7" t="str">
        <f t="array" ref="V625">INDEX(xlRTCLNAME,MATCH(1,(xlRTCLENDU=1)*(xlRTCLEQCL=$D625),0))</f>
        <v>NG_HP</v>
      </c>
      <c r="W625" s="7" t="str">
        <f t="array" ref="W625">INDEX(xlRTCLNAME,MATCH(1,(xlRTCLENDU=2)*(xlRTCLEQCL=$F625),0))</f>
        <v>NG_HP</v>
      </c>
      <c r="X625" s="7" t="str">
        <f t="array" ref="X625">INDEX(xlRTTYNAME,MATCH(1,(xlRTTYENDU=1)*(xlRTTYEQCL=$D625)*(xlRTEQTYPE=$E625),0))</f>
        <v>NG_HP2</v>
      </c>
      <c r="Y625" s="7" t="str">
        <f t="array" ref="Y625">INDEX(xlRTTYNAME,MATCH(1,(xlRTTYENDU=2)*(xlRTTYEQCL=$F625)*(xlRTEQTYPE=$G625),0))</f>
        <v>NG_HP2</v>
      </c>
    </row>
    <row r="626" spans="2:25" x14ac:dyDescent="0.2">
      <c r="B626" s="5">
        <v>5</v>
      </c>
      <c r="C626" s="5">
        <v>1</v>
      </c>
      <c r="D626" s="5">
        <v>11</v>
      </c>
      <c r="E626" s="31">
        <v>35</v>
      </c>
      <c r="F626" s="5">
        <v>5</v>
      </c>
      <c r="G626" s="31">
        <v>16</v>
      </c>
      <c r="H626" s="5">
        <v>2023</v>
      </c>
      <c r="I626" s="5">
        <v>2032</v>
      </c>
      <c r="J626" s="142">
        <v>1.0849</v>
      </c>
      <c r="K626" s="142">
        <v>1.0471999999999999</v>
      </c>
      <c r="L626" s="142">
        <v>0.41520000000000001</v>
      </c>
      <c r="M626" s="142">
        <v>0.77729999999999999</v>
      </c>
      <c r="N626" s="142">
        <v>0.76180000000000003</v>
      </c>
      <c r="O626" s="142">
        <v>1.0538000000000001</v>
      </c>
      <c r="P626" s="26">
        <v>13109.208979098914</v>
      </c>
      <c r="Q626" s="35">
        <f t="array" ref="Q626">SUM(IF(($S626&gt;=4)*($C626='TaxCred&amp;Subs'!$D$114:$D$121)*($H626='TaxCred&amp;Subs'!$C$114:$C$121)*($H626&lt;='TaxCred&amp;Subs'!$C$123),'TaxCred&amp;Subs'!$E$114:$E$121,0))</f>
        <v>2500</v>
      </c>
      <c r="R626" s="143">
        <v>0</v>
      </c>
      <c r="S626" s="5">
        <v>4</v>
      </c>
      <c r="T626" s="5" t="s">
        <v>240</v>
      </c>
      <c r="V626" s="7" t="str">
        <f t="array" ref="V626">INDEX(xlRTCLNAME,MATCH(1,(xlRTCLENDU=1)*(xlRTCLEQCL=$D626),0))</f>
        <v>NG_HP</v>
      </c>
      <c r="W626" s="7" t="str">
        <f t="array" ref="W626">INDEX(xlRTCLNAME,MATCH(1,(xlRTCLENDU=2)*(xlRTCLEQCL=$F626),0))</f>
        <v>NG_HP</v>
      </c>
      <c r="X626" s="7" t="str">
        <f t="array" ref="X626">INDEX(xlRTTYNAME,MATCH(1,(xlRTTYENDU=1)*(xlRTTYEQCL=$D626)*(xlRTEQTYPE=$E626),0))</f>
        <v>NG_HP2</v>
      </c>
      <c r="Y626" s="7" t="str">
        <f t="array" ref="Y626">INDEX(xlRTTYNAME,MATCH(1,(xlRTTYENDU=2)*(xlRTTYEQCL=$F626)*(xlRTEQTYPE=$G626),0))</f>
        <v>NG_HP2</v>
      </c>
    </row>
    <row r="627" spans="2:25" x14ac:dyDescent="0.2">
      <c r="B627" s="5">
        <v>5</v>
      </c>
      <c r="C627" s="5">
        <v>1</v>
      </c>
      <c r="D627" s="5">
        <v>11</v>
      </c>
      <c r="E627" s="31">
        <v>35</v>
      </c>
      <c r="F627" s="5">
        <v>5</v>
      </c>
      <c r="G627" s="31">
        <v>16</v>
      </c>
      <c r="H627" s="5">
        <v>2033</v>
      </c>
      <c r="I627" s="5">
        <v>2050</v>
      </c>
      <c r="J627" s="142">
        <v>1.0849</v>
      </c>
      <c r="K627" s="142">
        <v>1.0471999999999999</v>
      </c>
      <c r="L627" s="142">
        <v>0.41520000000000001</v>
      </c>
      <c r="M627" s="142">
        <v>0.77729999999999999</v>
      </c>
      <c r="N627" s="142">
        <v>0.76180000000000003</v>
      </c>
      <c r="O627" s="142">
        <v>1.0538000000000001</v>
      </c>
      <c r="P627" s="26">
        <v>13109.208979098914</v>
      </c>
      <c r="Q627" s="35">
        <f t="array" ref="Q627">SUM(IF(($S627&gt;=4)*($C627='TaxCred&amp;Subs'!$D$114:$D$121)*($H627='TaxCred&amp;Subs'!$C$114:$C$121)*($H627&lt;='TaxCred&amp;Subs'!$C$123),'TaxCred&amp;Subs'!$E$114:$E$121,0))</f>
        <v>0</v>
      </c>
      <c r="R627" s="143">
        <v>0</v>
      </c>
      <c r="S627" s="5">
        <v>4</v>
      </c>
      <c r="T627" s="5" t="s">
        <v>240</v>
      </c>
      <c r="V627" s="7" t="str">
        <f t="array" ref="V627">INDEX(xlRTCLNAME,MATCH(1,(xlRTCLENDU=1)*(xlRTCLEQCL=$D627),0))</f>
        <v>NG_HP</v>
      </c>
      <c r="W627" s="7" t="str">
        <f t="array" ref="W627">INDEX(xlRTCLNAME,MATCH(1,(xlRTCLENDU=2)*(xlRTCLEQCL=$F627),0))</f>
        <v>NG_HP</v>
      </c>
      <c r="X627" s="7" t="str">
        <f t="array" ref="X627">INDEX(xlRTTYNAME,MATCH(1,(xlRTTYENDU=1)*(xlRTTYEQCL=$D627)*(xlRTEQTYPE=$E627),0))</f>
        <v>NG_HP2</v>
      </c>
      <c r="Y627" s="7" t="str">
        <f t="array" ref="Y627">INDEX(xlRTTYNAME,MATCH(1,(xlRTTYENDU=2)*(xlRTTYEQCL=$F627)*(xlRTEQTYPE=$G627),0))</f>
        <v>NG_HP2</v>
      </c>
    </row>
    <row r="628" spans="2:25" x14ac:dyDescent="0.2">
      <c r="B628" s="5">
        <v>6</v>
      </c>
      <c r="C628" s="5">
        <v>1</v>
      </c>
      <c r="D628" s="5">
        <v>11</v>
      </c>
      <c r="E628" s="31">
        <v>35</v>
      </c>
      <c r="F628" s="5">
        <v>5</v>
      </c>
      <c r="G628" s="31">
        <v>16</v>
      </c>
      <c r="H628" s="31">
        <v>2020</v>
      </c>
      <c r="I628" s="5">
        <v>2022</v>
      </c>
      <c r="J628" s="142">
        <v>1.0924</v>
      </c>
      <c r="K628" s="142">
        <v>1.0661</v>
      </c>
      <c r="L628" s="142">
        <v>0.57899999999999996</v>
      </c>
      <c r="M628" s="142">
        <v>0.84570000000000001</v>
      </c>
      <c r="N628" s="142">
        <v>0.89100000000000001</v>
      </c>
      <c r="O628" s="142">
        <v>1.0538000000000001</v>
      </c>
      <c r="P628" s="26">
        <v>11834.590506054219</v>
      </c>
      <c r="Q628" s="35">
        <f t="array" ref="Q628">SUM(IF(($S628&gt;=4)*($C628='TaxCred&amp;Subs'!$D$114:$D$121)*($H628='TaxCred&amp;Subs'!$C$114:$C$121)*($H628&lt;='TaxCred&amp;Subs'!$C$123),'TaxCred&amp;Subs'!$E$114:$E$121,0))</f>
        <v>2000</v>
      </c>
      <c r="R628" s="143">
        <v>0</v>
      </c>
      <c r="S628" s="5">
        <v>4</v>
      </c>
      <c r="T628" s="5" t="s">
        <v>240</v>
      </c>
      <c r="V628" s="7" t="str">
        <f t="array" ref="V628">INDEX(xlRTCLNAME,MATCH(1,(xlRTCLENDU=1)*(xlRTCLEQCL=$D628),0))</f>
        <v>NG_HP</v>
      </c>
      <c r="W628" s="7" t="str">
        <f t="array" ref="W628">INDEX(xlRTCLNAME,MATCH(1,(xlRTCLENDU=2)*(xlRTCLEQCL=$F628),0))</f>
        <v>NG_HP</v>
      </c>
      <c r="X628" s="7" t="str">
        <f t="array" ref="X628">INDEX(xlRTTYNAME,MATCH(1,(xlRTTYENDU=1)*(xlRTTYEQCL=$D628)*(xlRTEQTYPE=$E628),0))</f>
        <v>NG_HP2</v>
      </c>
      <c r="Y628" s="7" t="str">
        <f t="array" ref="Y628">INDEX(xlRTTYNAME,MATCH(1,(xlRTTYENDU=2)*(xlRTTYEQCL=$F628)*(xlRTEQTYPE=$G628),0))</f>
        <v>NG_HP2</v>
      </c>
    </row>
    <row r="629" spans="2:25" x14ac:dyDescent="0.2">
      <c r="B629" s="5">
        <v>6</v>
      </c>
      <c r="C629" s="5">
        <v>1</v>
      </c>
      <c r="D629" s="5">
        <v>11</v>
      </c>
      <c r="E629" s="31">
        <v>35</v>
      </c>
      <c r="F629" s="5">
        <v>5</v>
      </c>
      <c r="G629" s="31">
        <v>16</v>
      </c>
      <c r="H629" s="5">
        <v>2023</v>
      </c>
      <c r="I629" s="5">
        <v>2032</v>
      </c>
      <c r="J629" s="142">
        <v>1.0924</v>
      </c>
      <c r="K629" s="142">
        <v>1.0661</v>
      </c>
      <c r="L629" s="142">
        <v>0.57899999999999996</v>
      </c>
      <c r="M629" s="142">
        <v>0.84570000000000001</v>
      </c>
      <c r="N629" s="142">
        <v>0.89100000000000001</v>
      </c>
      <c r="O629" s="142">
        <v>1.0538000000000001</v>
      </c>
      <c r="P629" s="26">
        <v>11834.590506054219</v>
      </c>
      <c r="Q629" s="35">
        <f t="array" ref="Q629">SUM(IF(($S629&gt;=4)*($C629='TaxCred&amp;Subs'!$D$114:$D$121)*($H629='TaxCred&amp;Subs'!$C$114:$C$121)*($H629&lt;='TaxCred&amp;Subs'!$C$123),'TaxCred&amp;Subs'!$E$114:$E$121,0))</f>
        <v>2500</v>
      </c>
      <c r="R629" s="143">
        <v>0</v>
      </c>
      <c r="S629" s="5">
        <v>4</v>
      </c>
      <c r="T629" s="5" t="s">
        <v>240</v>
      </c>
      <c r="V629" s="7" t="str">
        <f t="array" ref="V629">INDEX(xlRTCLNAME,MATCH(1,(xlRTCLENDU=1)*(xlRTCLEQCL=$D629),0))</f>
        <v>NG_HP</v>
      </c>
      <c r="W629" s="7" t="str">
        <f t="array" ref="W629">INDEX(xlRTCLNAME,MATCH(1,(xlRTCLENDU=2)*(xlRTCLEQCL=$F629),0))</f>
        <v>NG_HP</v>
      </c>
      <c r="X629" s="7" t="str">
        <f t="array" ref="X629">INDEX(xlRTTYNAME,MATCH(1,(xlRTTYENDU=1)*(xlRTTYEQCL=$D629)*(xlRTEQTYPE=$E629),0))</f>
        <v>NG_HP2</v>
      </c>
      <c r="Y629" s="7" t="str">
        <f t="array" ref="Y629">INDEX(xlRTTYNAME,MATCH(1,(xlRTTYENDU=2)*(xlRTTYEQCL=$F629)*(xlRTEQTYPE=$G629),0))</f>
        <v>NG_HP2</v>
      </c>
    </row>
    <row r="630" spans="2:25" x14ac:dyDescent="0.2">
      <c r="B630" s="5">
        <v>6</v>
      </c>
      <c r="C630" s="5">
        <v>1</v>
      </c>
      <c r="D630" s="5">
        <v>11</v>
      </c>
      <c r="E630" s="31">
        <v>35</v>
      </c>
      <c r="F630" s="5">
        <v>5</v>
      </c>
      <c r="G630" s="31">
        <v>16</v>
      </c>
      <c r="H630" s="5">
        <v>2033</v>
      </c>
      <c r="I630" s="5">
        <v>2050</v>
      </c>
      <c r="J630" s="142">
        <v>1.0924</v>
      </c>
      <c r="K630" s="142">
        <v>1.0661</v>
      </c>
      <c r="L630" s="142">
        <v>0.57899999999999996</v>
      </c>
      <c r="M630" s="142">
        <v>0.84570000000000001</v>
      </c>
      <c r="N630" s="142">
        <v>0.89100000000000001</v>
      </c>
      <c r="O630" s="142">
        <v>1.0538000000000001</v>
      </c>
      <c r="P630" s="26">
        <v>11834.590506054219</v>
      </c>
      <c r="Q630" s="35">
        <f t="array" ref="Q630">SUM(IF(($S630&gt;=4)*($C630='TaxCred&amp;Subs'!$D$114:$D$121)*($H630='TaxCred&amp;Subs'!$C$114:$C$121)*($H630&lt;='TaxCred&amp;Subs'!$C$123),'TaxCred&amp;Subs'!$E$114:$E$121,0))</f>
        <v>0</v>
      </c>
      <c r="R630" s="143">
        <v>0</v>
      </c>
      <c r="S630" s="5">
        <v>4</v>
      </c>
      <c r="T630" s="5" t="s">
        <v>240</v>
      </c>
      <c r="V630" s="7" t="str">
        <f t="array" ref="V630">INDEX(xlRTCLNAME,MATCH(1,(xlRTCLENDU=1)*(xlRTCLEQCL=$D630),0))</f>
        <v>NG_HP</v>
      </c>
      <c r="W630" s="7" t="str">
        <f t="array" ref="W630">INDEX(xlRTCLNAME,MATCH(1,(xlRTCLENDU=2)*(xlRTCLEQCL=$F630),0))</f>
        <v>NG_HP</v>
      </c>
      <c r="X630" s="7" t="str">
        <f t="array" ref="X630">INDEX(xlRTTYNAME,MATCH(1,(xlRTTYENDU=1)*(xlRTTYEQCL=$D630)*(xlRTEQTYPE=$E630),0))</f>
        <v>NG_HP2</v>
      </c>
      <c r="Y630" s="7" t="str">
        <f t="array" ref="Y630">INDEX(xlRTTYNAME,MATCH(1,(xlRTTYENDU=2)*(xlRTTYEQCL=$F630)*(xlRTEQTYPE=$G630),0))</f>
        <v>NG_HP2</v>
      </c>
    </row>
    <row r="631" spans="2:25" x14ac:dyDescent="0.2">
      <c r="B631" s="5">
        <v>7</v>
      </c>
      <c r="C631" s="5">
        <v>1</v>
      </c>
      <c r="D631" s="5">
        <v>11</v>
      </c>
      <c r="E631" s="31">
        <v>35</v>
      </c>
      <c r="F631" s="5">
        <v>5</v>
      </c>
      <c r="G631" s="31">
        <v>16</v>
      </c>
      <c r="H631" s="31">
        <v>2020</v>
      </c>
      <c r="I631" s="5">
        <v>2022</v>
      </c>
      <c r="J631" s="142">
        <v>1.0905</v>
      </c>
      <c r="K631" s="142">
        <v>1.0562</v>
      </c>
      <c r="L631" s="142">
        <v>0.48959999999999998</v>
      </c>
      <c r="M631" s="142">
        <v>0.70569999999999999</v>
      </c>
      <c r="N631" s="142">
        <v>0.87180000000000002</v>
      </c>
      <c r="O631" s="142">
        <v>1.0538000000000001</v>
      </c>
      <c r="P631" s="26">
        <v>13115.931650370245</v>
      </c>
      <c r="Q631" s="35">
        <f t="array" ref="Q631">SUM(IF(($S631&gt;=4)*($C631='TaxCred&amp;Subs'!$D$114:$D$121)*($H631='TaxCred&amp;Subs'!$C$114:$C$121)*($H631&lt;='TaxCred&amp;Subs'!$C$123),'TaxCred&amp;Subs'!$E$114:$E$121,0))</f>
        <v>2000</v>
      </c>
      <c r="R631" s="143">
        <v>0</v>
      </c>
      <c r="S631" s="5">
        <v>4</v>
      </c>
      <c r="T631" s="5" t="s">
        <v>240</v>
      </c>
      <c r="V631" s="7" t="str">
        <f t="array" ref="V631">INDEX(xlRTCLNAME,MATCH(1,(xlRTCLENDU=1)*(xlRTCLEQCL=$D631),0))</f>
        <v>NG_HP</v>
      </c>
      <c r="W631" s="7" t="str">
        <f t="array" ref="W631">INDEX(xlRTCLNAME,MATCH(1,(xlRTCLENDU=2)*(xlRTCLEQCL=$F631),0))</f>
        <v>NG_HP</v>
      </c>
      <c r="X631" s="7" t="str">
        <f t="array" ref="X631">INDEX(xlRTTYNAME,MATCH(1,(xlRTTYENDU=1)*(xlRTTYEQCL=$D631)*(xlRTEQTYPE=$E631),0))</f>
        <v>NG_HP2</v>
      </c>
      <c r="Y631" s="7" t="str">
        <f t="array" ref="Y631">INDEX(xlRTTYNAME,MATCH(1,(xlRTTYENDU=2)*(xlRTTYEQCL=$F631)*(xlRTEQTYPE=$G631),0))</f>
        <v>NG_HP2</v>
      </c>
    </row>
    <row r="632" spans="2:25" x14ac:dyDescent="0.2">
      <c r="B632" s="5">
        <v>7</v>
      </c>
      <c r="C632" s="5">
        <v>1</v>
      </c>
      <c r="D632" s="5">
        <v>11</v>
      </c>
      <c r="E632" s="31">
        <v>35</v>
      </c>
      <c r="F632" s="5">
        <v>5</v>
      </c>
      <c r="G632" s="31">
        <v>16</v>
      </c>
      <c r="H632" s="5">
        <v>2023</v>
      </c>
      <c r="I632" s="5">
        <v>2032</v>
      </c>
      <c r="J632" s="142">
        <v>1.0905</v>
      </c>
      <c r="K632" s="142">
        <v>1.0562</v>
      </c>
      <c r="L632" s="142">
        <v>0.48959999999999998</v>
      </c>
      <c r="M632" s="142">
        <v>0.70569999999999999</v>
      </c>
      <c r="N632" s="142">
        <v>0.87180000000000002</v>
      </c>
      <c r="O632" s="142">
        <v>1.0538000000000001</v>
      </c>
      <c r="P632" s="26">
        <v>13115.931650370245</v>
      </c>
      <c r="Q632" s="35">
        <f t="array" ref="Q632">SUM(IF(($S632&gt;=4)*($C632='TaxCred&amp;Subs'!$D$114:$D$121)*($H632='TaxCred&amp;Subs'!$C$114:$C$121)*($H632&lt;='TaxCred&amp;Subs'!$C$123),'TaxCred&amp;Subs'!$E$114:$E$121,0))</f>
        <v>2500</v>
      </c>
      <c r="R632" s="143">
        <v>0</v>
      </c>
      <c r="S632" s="5">
        <v>4</v>
      </c>
      <c r="T632" s="5" t="s">
        <v>240</v>
      </c>
      <c r="V632" s="7" t="str">
        <f t="array" ref="V632">INDEX(xlRTCLNAME,MATCH(1,(xlRTCLENDU=1)*(xlRTCLEQCL=$D632),0))</f>
        <v>NG_HP</v>
      </c>
      <c r="W632" s="7" t="str">
        <f t="array" ref="W632">INDEX(xlRTCLNAME,MATCH(1,(xlRTCLENDU=2)*(xlRTCLEQCL=$F632),0))</f>
        <v>NG_HP</v>
      </c>
      <c r="X632" s="7" t="str">
        <f t="array" ref="X632">INDEX(xlRTTYNAME,MATCH(1,(xlRTTYENDU=1)*(xlRTTYEQCL=$D632)*(xlRTEQTYPE=$E632),0))</f>
        <v>NG_HP2</v>
      </c>
      <c r="Y632" s="7" t="str">
        <f t="array" ref="Y632">INDEX(xlRTTYNAME,MATCH(1,(xlRTTYENDU=2)*(xlRTTYEQCL=$F632)*(xlRTEQTYPE=$G632),0))</f>
        <v>NG_HP2</v>
      </c>
    </row>
    <row r="633" spans="2:25" x14ac:dyDescent="0.2">
      <c r="B633" s="5">
        <v>7</v>
      </c>
      <c r="C633" s="5">
        <v>1</v>
      </c>
      <c r="D633" s="5">
        <v>11</v>
      </c>
      <c r="E633" s="31">
        <v>35</v>
      </c>
      <c r="F633" s="5">
        <v>5</v>
      </c>
      <c r="G633" s="31">
        <v>16</v>
      </c>
      <c r="H633" s="5">
        <v>2033</v>
      </c>
      <c r="I633" s="5">
        <v>2050</v>
      </c>
      <c r="J633" s="142">
        <v>1.0905</v>
      </c>
      <c r="K633" s="142">
        <v>1.0562</v>
      </c>
      <c r="L633" s="142">
        <v>0.48959999999999998</v>
      </c>
      <c r="M633" s="142">
        <v>0.70569999999999999</v>
      </c>
      <c r="N633" s="142">
        <v>0.87180000000000002</v>
      </c>
      <c r="O633" s="142">
        <v>1.0538000000000001</v>
      </c>
      <c r="P633" s="26">
        <v>13115.931650370245</v>
      </c>
      <c r="Q633" s="35">
        <f t="array" ref="Q633">SUM(IF(($S633&gt;=4)*($C633='TaxCred&amp;Subs'!$D$114:$D$121)*($H633='TaxCred&amp;Subs'!$C$114:$C$121)*($H633&lt;='TaxCred&amp;Subs'!$C$123),'TaxCred&amp;Subs'!$E$114:$E$121,0))</f>
        <v>0</v>
      </c>
      <c r="R633" s="143">
        <v>0</v>
      </c>
      <c r="S633" s="5">
        <v>4</v>
      </c>
      <c r="T633" s="5" t="s">
        <v>240</v>
      </c>
      <c r="V633" s="7" t="str">
        <f t="array" ref="V633">INDEX(xlRTCLNAME,MATCH(1,(xlRTCLENDU=1)*(xlRTCLEQCL=$D633),0))</f>
        <v>NG_HP</v>
      </c>
      <c r="W633" s="7" t="str">
        <f t="array" ref="W633">INDEX(xlRTCLNAME,MATCH(1,(xlRTCLENDU=2)*(xlRTCLEQCL=$F633),0))</f>
        <v>NG_HP</v>
      </c>
      <c r="X633" s="7" t="str">
        <f t="array" ref="X633">INDEX(xlRTTYNAME,MATCH(1,(xlRTTYENDU=1)*(xlRTTYEQCL=$D633)*(xlRTEQTYPE=$E633),0))</f>
        <v>NG_HP2</v>
      </c>
      <c r="Y633" s="7" t="str">
        <f t="array" ref="Y633">INDEX(xlRTTYNAME,MATCH(1,(xlRTTYENDU=2)*(xlRTTYEQCL=$F633)*(xlRTEQTYPE=$G633),0))</f>
        <v>NG_HP2</v>
      </c>
    </row>
    <row r="634" spans="2:25" x14ac:dyDescent="0.2">
      <c r="B634" s="5">
        <v>8</v>
      </c>
      <c r="C634" s="5">
        <v>1</v>
      </c>
      <c r="D634" s="5">
        <v>11</v>
      </c>
      <c r="E634" s="31">
        <v>35</v>
      </c>
      <c r="F634" s="5">
        <v>5</v>
      </c>
      <c r="G634" s="31">
        <v>16</v>
      </c>
      <c r="H634" s="31">
        <v>2020</v>
      </c>
      <c r="I634" s="5">
        <v>2022</v>
      </c>
      <c r="J634" s="142">
        <v>1.0801000000000001</v>
      </c>
      <c r="K634" s="142">
        <v>1.0822000000000001</v>
      </c>
      <c r="L634" s="142">
        <v>0.44240000000000002</v>
      </c>
      <c r="M634" s="142">
        <v>0.77290000000000003</v>
      </c>
      <c r="N634" s="142">
        <v>0.86950000000000005</v>
      </c>
      <c r="O634" s="142">
        <v>1.0538000000000001</v>
      </c>
      <c r="P634" s="26">
        <v>16260.797271099718</v>
      </c>
      <c r="Q634" s="35">
        <f t="array" ref="Q634">SUM(IF(($S634&gt;=4)*($C634='TaxCred&amp;Subs'!$D$114:$D$121)*($H634='TaxCred&amp;Subs'!$C$114:$C$121)*($H634&lt;='TaxCred&amp;Subs'!$C$123),'TaxCred&amp;Subs'!$E$114:$E$121,0))</f>
        <v>2000</v>
      </c>
      <c r="R634" s="143">
        <v>0</v>
      </c>
      <c r="S634" s="5">
        <v>4</v>
      </c>
      <c r="T634" s="5" t="s">
        <v>240</v>
      </c>
      <c r="V634" s="7" t="str">
        <f t="array" ref="V634">INDEX(xlRTCLNAME,MATCH(1,(xlRTCLENDU=1)*(xlRTCLEQCL=$D634),0))</f>
        <v>NG_HP</v>
      </c>
      <c r="W634" s="7" t="str">
        <f t="array" ref="W634">INDEX(xlRTCLNAME,MATCH(1,(xlRTCLENDU=2)*(xlRTCLEQCL=$F634),0))</f>
        <v>NG_HP</v>
      </c>
      <c r="X634" s="7" t="str">
        <f t="array" ref="X634">INDEX(xlRTTYNAME,MATCH(1,(xlRTTYENDU=1)*(xlRTTYEQCL=$D634)*(xlRTEQTYPE=$E634),0))</f>
        <v>NG_HP2</v>
      </c>
      <c r="Y634" s="7" t="str">
        <f t="array" ref="Y634">INDEX(xlRTTYNAME,MATCH(1,(xlRTTYENDU=2)*(xlRTTYEQCL=$F634)*(xlRTEQTYPE=$G634),0))</f>
        <v>NG_HP2</v>
      </c>
    </row>
    <row r="635" spans="2:25" x14ac:dyDescent="0.2">
      <c r="B635" s="5">
        <v>8</v>
      </c>
      <c r="C635" s="5">
        <v>1</v>
      </c>
      <c r="D635" s="5">
        <v>11</v>
      </c>
      <c r="E635" s="31">
        <v>35</v>
      </c>
      <c r="F635" s="5">
        <v>5</v>
      </c>
      <c r="G635" s="31">
        <v>16</v>
      </c>
      <c r="H635" s="5">
        <v>2023</v>
      </c>
      <c r="I635" s="5">
        <v>2032</v>
      </c>
      <c r="J635" s="142">
        <v>1.0801000000000001</v>
      </c>
      <c r="K635" s="142">
        <v>1.0822000000000001</v>
      </c>
      <c r="L635" s="142">
        <v>0.44240000000000002</v>
      </c>
      <c r="M635" s="142">
        <v>0.77290000000000003</v>
      </c>
      <c r="N635" s="142">
        <v>0.86950000000000005</v>
      </c>
      <c r="O635" s="142">
        <v>1.0538000000000001</v>
      </c>
      <c r="P635" s="26">
        <v>16260.797271099718</v>
      </c>
      <c r="Q635" s="35">
        <f t="array" ref="Q635">SUM(IF(($S635&gt;=4)*($C635='TaxCred&amp;Subs'!$D$114:$D$121)*($H635='TaxCred&amp;Subs'!$C$114:$C$121)*($H635&lt;='TaxCred&amp;Subs'!$C$123),'TaxCred&amp;Subs'!$E$114:$E$121,0))</f>
        <v>2500</v>
      </c>
      <c r="R635" s="143">
        <v>0</v>
      </c>
      <c r="S635" s="5">
        <v>4</v>
      </c>
      <c r="T635" s="5" t="s">
        <v>240</v>
      </c>
      <c r="V635" s="7" t="str">
        <f t="array" ref="V635">INDEX(xlRTCLNAME,MATCH(1,(xlRTCLENDU=1)*(xlRTCLEQCL=$D635),0))</f>
        <v>NG_HP</v>
      </c>
      <c r="W635" s="7" t="str">
        <f t="array" ref="W635">INDEX(xlRTCLNAME,MATCH(1,(xlRTCLENDU=2)*(xlRTCLEQCL=$F635),0))</f>
        <v>NG_HP</v>
      </c>
      <c r="X635" s="7" t="str">
        <f t="array" ref="X635">INDEX(xlRTTYNAME,MATCH(1,(xlRTTYENDU=1)*(xlRTTYEQCL=$D635)*(xlRTEQTYPE=$E635),0))</f>
        <v>NG_HP2</v>
      </c>
      <c r="Y635" s="7" t="str">
        <f t="array" ref="Y635">INDEX(xlRTTYNAME,MATCH(1,(xlRTTYENDU=2)*(xlRTTYEQCL=$F635)*(xlRTEQTYPE=$G635),0))</f>
        <v>NG_HP2</v>
      </c>
    </row>
    <row r="636" spans="2:25" x14ac:dyDescent="0.2">
      <c r="B636" s="5">
        <v>8</v>
      </c>
      <c r="C636" s="5">
        <v>1</v>
      </c>
      <c r="D636" s="5">
        <v>11</v>
      </c>
      <c r="E636" s="31">
        <v>35</v>
      </c>
      <c r="F636" s="5">
        <v>5</v>
      </c>
      <c r="G636" s="31">
        <v>16</v>
      </c>
      <c r="H636" s="5">
        <v>2033</v>
      </c>
      <c r="I636" s="5">
        <v>2050</v>
      </c>
      <c r="J636" s="142">
        <v>1.0801000000000001</v>
      </c>
      <c r="K636" s="142">
        <v>1.0822000000000001</v>
      </c>
      <c r="L636" s="142">
        <v>0.44240000000000002</v>
      </c>
      <c r="M636" s="142">
        <v>0.77290000000000003</v>
      </c>
      <c r="N636" s="142">
        <v>0.86950000000000005</v>
      </c>
      <c r="O636" s="142">
        <v>1.0538000000000001</v>
      </c>
      <c r="P636" s="26">
        <v>16260.797271099718</v>
      </c>
      <c r="Q636" s="35">
        <f t="array" ref="Q636">SUM(IF(($S636&gt;=4)*($C636='TaxCred&amp;Subs'!$D$114:$D$121)*($H636='TaxCred&amp;Subs'!$C$114:$C$121)*($H636&lt;='TaxCred&amp;Subs'!$C$123),'TaxCred&amp;Subs'!$E$114:$E$121,0))</f>
        <v>0</v>
      </c>
      <c r="R636" s="143">
        <v>0</v>
      </c>
      <c r="S636" s="5">
        <v>4</v>
      </c>
      <c r="T636" s="5" t="s">
        <v>240</v>
      </c>
      <c r="V636" s="7" t="str">
        <f t="array" ref="V636">INDEX(xlRTCLNAME,MATCH(1,(xlRTCLENDU=1)*(xlRTCLEQCL=$D636),0))</f>
        <v>NG_HP</v>
      </c>
      <c r="W636" s="7" t="str">
        <f t="array" ref="W636">INDEX(xlRTCLNAME,MATCH(1,(xlRTCLENDU=2)*(xlRTCLEQCL=$F636),0))</f>
        <v>NG_HP</v>
      </c>
      <c r="X636" s="7" t="str">
        <f t="array" ref="X636">INDEX(xlRTTYNAME,MATCH(1,(xlRTTYENDU=1)*(xlRTTYEQCL=$D636)*(xlRTEQTYPE=$E636),0))</f>
        <v>NG_HP2</v>
      </c>
      <c r="Y636" s="7" t="str">
        <f t="array" ref="Y636">INDEX(xlRTTYNAME,MATCH(1,(xlRTTYENDU=2)*(xlRTTYEQCL=$F636)*(xlRTEQTYPE=$G636),0))</f>
        <v>NG_HP2</v>
      </c>
    </row>
    <row r="637" spans="2:25" x14ac:dyDescent="0.2">
      <c r="B637" s="5">
        <v>9</v>
      </c>
      <c r="C637" s="5">
        <v>1</v>
      </c>
      <c r="D637" s="5">
        <v>11</v>
      </c>
      <c r="E637" s="31">
        <v>35</v>
      </c>
      <c r="F637" s="5">
        <v>5</v>
      </c>
      <c r="G637" s="31">
        <v>16</v>
      </c>
      <c r="H637" s="31">
        <v>2020</v>
      </c>
      <c r="I637" s="5">
        <v>2022</v>
      </c>
      <c r="J637" s="142">
        <v>1.0781000000000001</v>
      </c>
      <c r="K637" s="142">
        <v>1.0707</v>
      </c>
      <c r="L637" s="142">
        <v>0.55130000000000001</v>
      </c>
      <c r="M637" s="142">
        <v>0.82869999999999999</v>
      </c>
      <c r="N637" s="142">
        <v>1.0339</v>
      </c>
      <c r="O637" s="142">
        <v>1.0538000000000001</v>
      </c>
      <c r="P637" s="26">
        <v>16965.333220335393</v>
      </c>
      <c r="Q637" s="35">
        <f t="array" ref="Q637">SUM(IF(($S637&gt;=4)*($C637='TaxCred&amp;Subs'!$D$114:$D$121)*($H637='TaxCred&amp;Subs'!$C$114:$C$121)*($H637&lt;='TaxCred&amp;Subs'!$C$123),'TaxCred&amp;Subs'!$E$114:$E$121,0))</f>
        <v>2000</v>
      </c>
      <c r="R637" s="143">
        <v>0</v>
      </c>
      <c r="S637" s="5">
        <v>4</v>
      </c>
      <c r="T637" s="5" t="s">
        <v>240</v>
      </c>
      <c r="V637" s="7" t="str">
        <f t="array" ref="V637">INDEX(xlRTCLNAME,MATCH(1,(xlRTCLENDU=1)*(xlRTCLEQCL=$D637),0))</f>
        <v>NG_HP</v>
      </c>
      <c r="W637" s="7" t="str">
        <f t="array" ref="W637">INDEX(xlRTCLNAME,MATCH(1,(xlRTCLENDU=2)*(xlRTCLEQCL=$F637),0))</f>
        <v>NG_HP</v>
      </c>
      <c r="X637" s="7" t="str">
        <f t="array" ref="X637">INDEX(xlRTTYNAME,MATCH(1,(xlRTTYENDU=1)*(xlRTTYEQCL=$D637)*(xlRTEQTYPE=$E637),0))</f>
        <v>NG_HP2</v>
      </c>
      <c r="Y637" s="7" t="str">
        <f t="array" ref="Y637">INDEX(xlRTTYNAME,MATCH(1,(xlRTTYENDU=2)*(xlRTTYEQCL=$F637)*(xlRTEQTYPE=$G637),0))</f>
        <v>NG_HP2</v>
      </c>
    </row>
    <row r="638" spans="2:25" x14ac:dyDescent="0.2">
      <c r="B638" s="5">
        <v>9</v>
      </c>
      <c r="C638" s="5">
        <v>1</v>
      </c>
      <c r="D638" s="5">
        <v>11</v>
      </c>
      <c r="E638" s="31">
        <v>35</v>
      </c>
      <c r="F638" s="5">
        <v>5</v>
      </c>
      <c r="G638" s="31">
        <v>16</v>
      </c>
      <c r="H638" s="5">
        <v>2023</v>
      </c>
      <c r="I638" s="5">
        <v>2032</v>
      </c>
      <c r="J638" s="142">
        <v>1.0781000000000001</v>
      </c>
      <c r="K638" s="142">
        <v>1.0707</v>
      </c>
      <c r="L638" s="142">
        <v>0.55130000000000001</v>
      </c>
      <c r="M638" s="142">
        <v>0.82869999999999999</v>
      </c>
      <c r="N638" s="142">
        <v>1.0339</v>
      </c>
      <c r="O638" s="142">
        <v>1.0538000000000001</v>
      </c>
      <c r="P638" s="26">
        <v>16965.333220335393</v>
      </c>
      <c r="Q638" s="35">
        <f t="array" ref="Q638">SUM(IF(($S638&gt;=4)*($C638='TaxCred&amp;Subs'!$D$114:$D$121)*($H638='TaxCred&amp;Subs'!$C$114:$C$121)*($H638&lt;='TaxCred&amp;Subs'!$C$123),'TaxCred&amp;Subs'!$E$114:$E$121,0))</f>
        <v>2500</v>
      </c>
      <c r="R638" s="143">
        <v>0</v>
      </c>
      <c r="S638" s="5">
        <v>4</v>
      </c>
      <c r="T638" s="5" t="s">
        <v>240</v>
      </c>
      <c r="V638" s="7" t="str">
        <f t="array" ref="V638">INDEX(xlRTCLNAME,MATCH(1,(xlRTCLENDU=1)*(xlRTCLEQCL=$D638),0))</f>
        <v>NG_HP</v>
      </c>
      <c r="W638" s="7" t="str">
        <f t="array" ref="W638">INDEX(xlRTCLNAME,MATCH(1,(xlRTCLENDU=2)*(xlRTCLEQCL=$F638),0))</f>
        <v>NG_HP</v>
      </c>
      <c r="X638" s="7" t="str">
        <f t="array" ref="X638">INDEX(xlRTTYNAME,MATCH(1,(xlRTTYENDU=1)*(xlRTTYEQCL=$D638)*(xlRTEQTYPE=$E638),0))</f>
        <v>NG_HP2</v>
      </c>
      <c r="Y638" s="7" t="str">
        <f t="array" ref="Y638">INDEX(xlRTTYNAME,MATCH(1,(xlRTTYENDU=2)*(xlRTTYEQCL=$F638)*(xlRTEQTYPE=$G638),0))</f>
        <v>NG_HP2</v>
      </c>
    </row>
    <row r="639" spans="2:25" x14ac:dyDescent="0.2">
      <c r="B639" s="5">
        <v>9</v>
      </c>
      <c r="C639" s="5">
        <v>1</v>
      </c>
      <c r="D639" s="5">
        <v>11</v>
      </c>
      <c r="E639" s="31">
        <v>35</v>
      </c>
      <c r="F639" s="5">
        <v>5</v>
      </c>
      <c r="G639" s="31">
        <v>16</v>
      </c>
      <c r="H639" s="5">
        <v>2033</v>
      </c>
      <c r="I639" s="5">
        <v>2050</v>
      </c>
      <c r="J639" s="142">
        <v>1.0781000000000001</v>
      </c>
      <c r="K639" s="142">
        <v>1.0707</v>
      </c>
      <c r="L639" s="142">
        <v>0.55130000000000001</v>
      </c>
      <c r="M639" s="142">
        <v>0.82869999999999999</v>
      </c>
      <c r="N639" s="142">
        <v>1.0339</v>
      </c>
      <c r="O639" s="142">
        <v>1.0538000000000001</v>
      </c>
      <c r="P639" s="26">
        <v>16965.333220335393</v>
      </c>
      <c r="Q639" s="35">
        <f t="array" ref="Q639">SUM(IF(($S639&gt;=4)*($C639='TaxCred&amp;Subs'!$D$114:$D$121)*($H639='TaxCred&amp;Subs'!$C$114:$C$121)*($H639&lt;='TaxCred&amp;Subs'!$C$123),'TaxCred&amp;Subs'!$E$114:$E$121,0))</f>
        <v>0</v>
      </c>
      <c r="R639" s="143">
        <v>0</v>
      </c>
      <c r="S639" s="5">
        <v>4</v>
      </c>
      <c r="T639" s="5" t="s">
        <v>240</v>
      </c>
      <c r="V639" s="7" t="str">
        <f t="array" ref="V639">INDEX(xlRTCLNAME,MATCH(1,(xlRTCLENDU=1)*(xlRTCLEQCL=$D639),0))</f>
        <v>NG_HP</v>
      </c>
      <c r="W639" s="7" t="str">
        <f t="array" ref="W639">INDEX(xlRTCLNAME,MATCH(1,(xlRTCLENDU=2)*(xlRTCLEQCL=$F639),0))</f>
        <v>NG_HP</v>
      </c>
      <c r="X639" s="7" t="str">
        <f t="array" ref="X639">INDEX(xlRTTYNAME,MATCH(1,(xlRTTYENDU=1)*(xlRTTYEQCL=$D639)*(xlRTEQTYPE=$E639),0))</f>
        <v>NG_HP2</v>
      </c>
      <c r="Y639" s="7" t="str">
        <f t="array" ref="Y639">INDEX(xlRTTYNAME,MATCH(1,(xlRTTYENDU=2)*(xlRTTYEQCL=$F639)*(xlRTEQTYPE=$G639),0))</f>
        <v>NG_HP2</v>
      </c>
    </row>
    <row r="640" spans="2:25" x14ac:dyDescent="0.2">
      <c r="B640" s="5">
        <v>2</v>
      </c>
      <c r="C640" s="5">
        <v>1</v>
      </c>
      <c r="D640" s="5">
        <v>2</v>
      </c>
      <c r="E640" s="5">
        <v>5</v>
      </c>
      <c r="F640" s="5">
        <v>3</v>
      </c>
      <c r="G640" s="31">
        <v>11</v>
      </c>
      <c r="H640" s="31">
        <v>2020</v>
      </c>
      <c r="I640" s="5">
        <v>2022</v>
      </c>
      <c r="J640" s="142">
        <v>1.0588</v>
      </c>
      <c r="K640" s="142">
        <v>1.0734999999999999</v>
      </c>
      <c r="L640" s="142">
        <v>0.46600000000000003</v>
      </c>
      <c r="M640" s="142">
        <v>0.81589999999999996</v>
      </c>
      <c r="N640" s="142">
        <v>0.93840000000000001</v>
      </c>
      <c r="O640" s="142">
        <v>1.0538000000000001</v>
      </c>
      <c r="P640" s="26">
        <v>22424.142292657609</v>
      </c>
      <c r="Q640" s="35">
        <f t="array" ref="Q640">SUM(IF(($S640&gt;=4)*($C640='TaxCred&amp;Subs'!$D$114:$D$121)*($H640='TaxCred&amp;Subs'!$C$114:$C$121)*($H640&lt;='TaxCred&amp;Subs'!$C$123),'TaxCred&amp;Subs'!$E$114:$E$121,0))</f>
        <v>2000</v>
      </c>
      <c r="R640" s="143">
        <v>0</v>
      </c>
      <c r="S640" s="5">
        <v>5</v>
      </c>
      <c r="T640" s="5" t="s">
        <v>221</v>
      </c>
      <c r="V640" s="7" t="str">
        <f t="array" ref="V640">INDEX(xlRTCLNAME,MATCH(1,(xlRTCLENDU=1)*(xlRTCLEQCL=$D640),0))</f>
        <v>ELEC_HP</v>
      </c>
      <c r="W640" s="7" t="str">
        <f t="array" ref="W640">INDEX(xlRTCLNAME,MATCH(1,(xlRTCLENDU=2)*(xlRTCLEQCL=$F640),0))</f>
        <v>ELEC_HP</v>
      </c>
      <c r="X640" s="7" t="str">
        <f t="array" ref="X640">INDEX(xlRTTYNAME,MATCH(1,(xlRTTYENDU=1)*(xlRTTYEQCL=$D640)*(xlRTEQTYPE=$E640),0))</f>
        <v>ELEC_HP4</v>
      </c>
      <c r="Y640" s="7" t="str">
        <f t="array" ref="Y640">INDEX(xlRTTYNAME,MATCH(1,(xlRTTYENDU=2)*(xlRTTYEQCL=$F640)*(xlRTEQTYPE=$G640),0))</f>
        <v>ELEC_HP4</v>
      </c>
    </row>
    <row r="641" spans="2:25" x14ac:dyDescent="0.2">
      <c r="B641" s="5">
        <v>2</v>
      </c>
      <c r="C641" s="5">
        <v>1</v>
      </c>
      <c r="D641" s="5">
        <v>2</v>
      </c>
      <c r="E641" s="5">
        <v>5</v>
      </c>
      <c r="F641" s="5">
        <v>3</v>
      </c>
      <c r="G641" s="31">
        <v>11</v>
      </c>
      <c r="H641" s="5">
        <v>2023</v>
      </c>
      <c r="I641" s="5">
        <v>2032</v>
      </c>
      <c r="J641" s="142">
        <v>1.0588</v>
      </c>
      <c r="K641" s="142">
        <v>1.0734999999999999</v>
      </c>
      <c r="L641" s="142">
        <v>0.46600000000000003</v>
      </c>
      <c r="M641" s="142">
        <v>0.81589999999999996</v>
      </c>
      <c r="N641" s="142">
        <v>0.93840000000000001</v>
      </c>
      <c r="O641" s="142">
        <v>1.0538000000000001</v>
      </c>
      <c r="P641" s="26">
        <v>22424.142292657609</v>
      </c>
      <c r="Q641" s="35">
        <f t="array" ref="Q641">SUM(IF(($S641&gt;=4)*($C641='TaxCred&amp;Subs'!$D$114:$D$121)*($H641='TaxCred&amp;Subs'!$C$114:$C$121)*($H641&lt;='TaxCred&amp;Subs'!$C$123),'TaxCred&amp;Subs'!$E$114:$E$121,0))</f>
        <v>2500</v>
      </c>
      <c r="R641" s="143">
        <v>0</v>
      </c>
      <c r="S641" s="5">
        <v>5</v>
      </c>
      <c r="T641" s="5" t="s">
        <v>221</v>
      </c>
      <c r="V641" s="7" t="str">
        <f t="array" ref="V641">INDEX(xlRTCLNAME,MATCH(1,(xlRTCLENDU=1)*(xlRTCLEQCL=$D641),0))</f>
        <v>ELEC_HP</v>
      </c>
      <c r="W641" s="7" t="str">
        <f t="array" ref="W641">INDEX(xlRTCLNAME,MATCH(1,(xlRTCLENDU=2)*(xlRTCLEQCL=$F641),0))</f>
        <v>ELEC_HP</v>
      </c>
      <c r="X641" s="7" t="str">
        <f t="array" ref="X641">INDEX(xlRTTYNAME,MATCH(1,(xlRTTYENDU=1)*(xlRTTYEQCL=$D641)*(xlRTEQTYPE=$E641),0))</f>
        <v>ELEC_HP4</v>
      </c>
      <c r="Y641" s="7" t="str">
        <f t="array" ref="Y641">INDEX(xlRTTYNAME,MATCH(1,(xlRTTYENDU=2)*(xlRTTYEQCL=$F641)*(xlRTEQTYPE=$G641),0))</f>
        <v>ELEC_HP4</v>
      </c>
    </row>
    <row r="642" spans="2:25" x14ac:dyDescent="0.2">
      <c r="B642" s="5">
        <v>2</v>
      </c>
      <c r="C642" s="5">
        <v>1</v>
      </c>
      <c r="D642" s="5">
        <v>2</v>
      </c>
      <c r="E642" s="5">
        <v>5</v>
      </c>
      <c r="F642" s="5">
        <v>3</v>
      </c>
      <c r="G642" s="31">
        <v>11</v>
      </c>
      <c r="H642" s="5">
        <v>2033</v>
      </c>
      <c r="I642" s="5">
        <v>2050</v>
      </c>
      <c r="J642" s="142">
        <v>1.0588</v>
      </c>
      <c r="K642" s="142">
        <v>1.0734999999999999</v>
      </c>
      <c r="L642" s="142">
        <v>0.46600000000000003</v>
      </c>
      <c r="M642" s="142">
        <v>0.81589999999999996</v>
      </c>
      <c r="N642" s="142">
        <v>0.93840000000000001</v>
      </c>
      <c r="O642" s="142">
        <v>1.0538000000000001</v>
      </c>
      <c r="P642" s="26">
        <v>22424.142292657609</v>
      </c>
      <c r="Q642" s="35">
        <f t="array" ref="Q642">SUM(IF(($S642&gt;=4)*($C642='TaxCred&amp;Subs'!$D$114:$D$121)*($H642='TaxCred&amp;Subs'!$C$114:$C$121)*($H642&lt;='TaxCred&amp;Subs'!$C$123),'TaxCred&amp;Subs'!$E$114:$E$121,0))</f>
        <v>0</v>
      </c>
      <c r="R642" s="143">
        <v>0</v>
      </c>
      <c r="S642" s="5">
        <v>5</v>
      </c>
      <c r="T642" s="5" t="s">
        <v>221</v>
      </c>
      <c r="V642" s="7" t="str">
        <f t="array" ref="V642">INDEX(xlRTCLNAME,MATCH(1,(xlRTCLENDU=1)*(xlRTCLEQCL=$D642),0))</f>
        <v>ELEC_HP</v>
      </c>
      <c r="W642" s="7" t="str">
        <f t="array" ref="W642">INDEX(xlRTCLNAME,MATCH(1,(xlRTCLENDU=2)*(xlRTCLEQCL=$F642),0))</f>
        <v>ELEC_HP</v>
      </c>
      <c r="X642" s="7" t="str">
        <f t="array" ref="X642">INDEX(xlRTTYNAME,MATCH(1,(xlRTTYENDU=1)*(xlRTTYEQCL=$D642)*(xlRTEQTYPE=$E642),0))</f>
        <v>ELEC_HP4</v>
      </c>
      <c r="Y642" s="7" t="str">
        <f t="array" ref="Y642">INDEX(xlRTTYNAME,MATCH(1,(xlRTTYENDU=2)*(xlRTTYEQCL=$F642)*(xlRTEQTYPE=$G642),0))</f>
        <v>ELEC_HP4</v>
      </c>
    </row>
    <row r="643" spans="2:25" x14ac:dyDescent="0.2">
      <c r="B643" s="5">
        <v>5</v>
      </c>
      <c r="C643" s="5">
        <v>1</v>
      </c>
      <c r="D643" s="5">
        <v>2</v>
      </c>
      <c r="E643" s="5">
        <v>5</v>
      </c>
      <c r="F643" s="5">
        <v>3</v>
      </c>
      <c r="G643" s="31">
        <v>11</v>
      </c>
      <c r="H643" s="31">
        <v>2020</v>
      </c>
      <c r="I643" s="5">
        <v>2022</v>
      </c>
      <c r="J643" s="142">
        <v>1.0806</v>
      </c>
      <c r="K643" s="142">
        <v>1.0507</v>
      </c>
      <c r="L643" s="142">
        <v>0.33310000000000001</v>
      </c>
      <c r="M643" s="142">
        <v>0.73150000000000004</v>
      </c>
      <c r="N643" s="142">
        <v>0.78859999999999997</v>
      </c>
      <c r="O643" s="142">
        <v>1.0538000000000001</v>
      </c>
      <c r="P643" s="26">
        <v>15568.362130152442</v>
      </c>
      <c r="Q643" s="35">
        <f t="array" ref="Q643">SUM(IF(($S643&gt;=4)*($C643='TaxCred&amp;Subs'!$D$114:$D$121)*($H643='TaxCred&amp;Subs'!$C$114:$C$121)*($H643&lt;='TaxCred&amp;Subs'!$C$123),'TaxCred&amp;Subs'!$E$114:$E$121,0))</f>
        <v>2000</v>
      </c>
      <c r="R643" s="143">
        <v>0</v>
      </c>
      <c r="S643" s="5">
        <v>5</v>
      </c>
      <c r="T643" s="5" t="s">
        <v>221</v>
      </c>
      <c r="V643" s="7" t="str">
        <f t="array" ref="V643">INDEX(xlRTCLNAME,MATCH(1,(xlRTCLENDU=1)*(xlRTCLEQCL=$D643),0))</f>
        <v>ELEC_HP</v>
      </c>
      <c r="W643" s="7" t="str">
        <f t="array" ref="W643">INDEX(xlRTCLNAME,MATCH(1,(xlRTCLENDU=2)*(xlRTCLEQCL=$F643),0))</f>
        <v>ELEC_HP</v>
      </c>
      <c r="X643" s="7" t="str">
        <f t="array" ref="X643">INDEX(xlRTTYNAME,MATCH(1,(xlRTTYENDU=1)*(xlRTTYEQCL=$D643)*(xlRTEQTYPE=$E643),0))</f>
        <v>ELEC_HP4</v>
      </c>
      <c r="Y643" s="7" t="str">
        <f t="array" ref="Y643">INDEX(xlRTTYNAME,MATCH(1,(xlRTTYENDU=2)*(xlRTTYEQCL=$F643)*(xlRTEQTYPE=$G643),0))</f>
        <v>ELEC_HP4</v>
      </c>
    </row>
    <row r="644" spans="2:25" x14ac:dyDescent="0.2">
      <c r="B644" s="5">
        <v>5</v>
      </c>
      <c r="C644" s="5">
        <v>1</v>
      </c>
      <c r="D644" s="5">
        <v>2</v>
      </c>
      <c r="E644" s="5">
        <v>5</v>
      </c>
      <c r="F644" s="5">
        <v>3</v>
      </c>
      <c r="G644" s="31">
        <v>11</v>
      </c>
      <c r="H644" s="5">
        <v>2023</v>
      </c>
      <c r="I644" s="5">
        <v>2032</v>
      </c>
      <c r="J644" s="142">
        <v>1.0806</v>
      </c>
      <c r="K644" s="142">
        <v>1.0507</v>
      </c>
      <c r="L644" s="142">
        <v>0.33310000000000001</v>
      </c>
      <c r="M644" s="142">
        <v>0.73150000000000004</v>
      </c>
      <c r="N644" s="142">
        <v>0.78859999999999997</v>
      </c>
      <c r="O644" s="142">
        <v>1.0538000000000001</v>
      </c>
      <c r="P644" s="26">
        <v>15568.362130152442</v>
      </c>
      <c r="Q644" s="35">
        <f t="array" ref="Q644">SUM(IF(($S644&gt;=4)*($C644='TaxCred&amp;Subs'!$D$114:$D$121)*($H644='TaxCred&amp;Subs'!$C$114:$C$121)*($H644&lt;='TaxCred&amp;Subs'!$C$123),'TaxCred&amp;Subs'!$E$114:$E$121,0))</f>
        <v>2500</v>
      </c>
      <c r="R644" s="143">
        <v>0</v>
      </c>
      <c r="S644" s="5">
        <v>5</v>
      </c>
      <c r="T644" s="5" t="s">
        <v>221</v>
      </c>
      <c r="V644" s="7" t="str">
        <f t="array" ref="V644">INDEX(xlRTCLNAME,MATCH(1,(xlRTCLENDU=1)*(xlRTCLEQCL=$D644),0))</f>
        <v>ELEC_HP</v>
      </c>
      <c r="W644" s="7" t="str">
        <f t="array" ref="W644">INDEX(xlRTCLNAME,MATCH(1,(xlRTCLENDU=2)*(xlRTCLEQCL=$F644),0))</f>
        <v>ELEC_HP</v>
      </c>
      <c r="X644" s="7" t="str">
        <f t="array" ref="X644">INDEX(xlRTTYNAME,MATCH(1,(xlRTTYENDU=1)*(xlRTTYEQCL=$D644)*(xlRTEQTYPE=$E644),0))</f>
        <v>ELEC_HP4</v>
      </c>
      <c r="Y644" s="7" t="str">
        <f t="array" ref="Y644">INDEX(xlRTTYNAME,MATCH(1,(xlRTTYENDU=2)*(xlRTTYEQCL=$F644)*(xlRTEQTYPE=$G644),0))</f>
        <v>ELEC_HP4</v>
      </c>
    </row>
    <row r="645" spans="2:25" x14ac:dyDescent="0.2">
      <c r="B645" s="5">
        <v>5</v>
      </c>
      <c r="C645" s="5">
        <v>1</v>
      </c>
      <c r="D645" s="5">
        <v>2</v>
      </c>
      <c r="E645" s="5">
        <v>5</v>
      </c>
      <c r="F645" s="5">
        <v>3</v>
      </c>
      <c r="G645" s="31">
        <v>11</v>
      </c>
      <c r="H645" s="5">
        <v>2033</v>
      </c>
      <c r="I645" s="5">
        <v>2050</v>
      </c>
      <c r="J645" s="142">
        <v>1.0806</v>
      </c>
      <c r="K645" s="142">
        <v>1.0507</v>
      </c>
      <c r="L645" s="142">
        <v>0.33310000000000001</v>
      </c>
      <c r="M645" s="142">
        <v>0.73150000000000004</v>
      </c>
      <c r="N645" s="142">
        <v>0.78859999999999997</v>
      </c>
      <c r="O645" s="142">
        <v>1.0538000000000001</v>
      </c>
      <c r="P645" s="26">
        <v>15568.362130152442</v>
      </c>
      <c r="Q645" s="35">
        <f t="array" ref="Q645">SUM(IF(($S645&gt;=4)*($C645='TaxCred&amp;Subs'!$D$114:$D$121)*($H645='TaxCred&amp;Subs'!$C$114:$C$121)*($H645&lt;='TaxCred&amp;Subs'!$C$123),'TaxCred&amp;Subs'!$E$114:$E$121,0))</f>
        <v>0</v>
      </c>
      <c r="R645" s="143">
        <v>0</v>
      </c>
      <c r="S645" s="5">
        <v>5</v>
      </c>
      <c r="T645" s="5" t="s">
        <v>221</v>
      </c>
      <c r="V645" s="7" t="str">
        <f t="array" ref="V645">INDEX(xlRTCLNAME,MATCH(1,(xlRTCLENDU=1)*(xlRTCLEQCL=$D645),0))</f>
        <v>ELEC_HP</v>
      </c>
      <c r="W645" s="7" t="str">
        <f t="array" ref="W645">INDEX(xlRTCLNAME,MATCH(1,(xlRTCLENDU=2)*(xlRTCLEQCL=$F645),0))</f>
        <v>ELEC_HP</v>
      </c>
      <c r="X645" s="7" t="str">
        <f t="array" ref="X645">INDEX(xlRTTYNAME,MATCH(1,(xlRTTYENDU=1)*(xlRTTYEQCL=$D645)*(xlRTEQTYPE=$E645),0))</f>
        <v>ELEC_HP4</v>
      </c>
      <c r="Y645" s="7" t="str">
        <f t="array" ref="Y645">INDEX(xlRTTYNAME,MATCH(1,(xlRTTYENDU=2)*(xlRTTYEQCL=$F645)*(xlRTEQTYPE=$G645),0))</f>
        <v>ELEC_HP4</v>
      </c>
    </row>
    <row r="646" spans="2:25" x14ac:dyDescent="0.2">
      <c r="B646" s="5">
        <v>6</v>
      </c>
      <c r="C646" s="5">
        <v>1</v>
      </c>
      <c r="D646" s="5">
        <v>2</v>
      </c>
      <c r="E646" s="5">
        <v>5</v>
      </c>
      <c r="F646" s="5">
        <v>3</v>
      </c>
      <c r="G646" s="31">
        <v>11</v>
      </c>
      <c r="H646" s="31">
        <v>2020</v>
      </c>
      <c r="I646" s="5">
        <v>2022</v>
      </c>
      <c r="J646" s="142">
        <v>1.0885</v>
      </c>
      <c r="K646" s="142">
        <v>1.0526</v>
      </c>
      <c r="L646" s="142">
        <v>0.42320000000000002</v>
      </c>
      <c r="M646" s="142">
        <v>0.76590000000000003</v>
      </c>
      <c r="N646" s="142">
        <v>0.88680000000000003</v>
      </c>
      <c r="O646" s="142">
        <v>1.0538000000000001</v>
      </c>
      <c r="P646" s="26">
        <v>15382.816403063658</v>
      </c>
      <c r="Q646" s="35">
        <f t="array" ref="Q646">SUM(IF(($S646&gt;=4)*($C646='TaxCred&amp;Subs'!$D$114:$D$121)*($H646='TaxCred&amp;Subs'!$C$114:$C$121)*($H646&lt;='TaxCred&amp;Subs'!$C$123),'TaxCred&amp;Subs'!$E$114:$E$121,0))</f>
        <v>2000</v>
      </c>
      <c r="R646" s="143">
        <v>0</v>
      </c>
      <c r="S646" s="5">
        <v>5</v>
      </c>
      <c r="T646" s="5" t="s">
        <v>221</v>
      </c>
      <c r="V646" s="7" t="str">
        <f t="array" ref="V646">INDEX(xlRTCLNAME,MATCH(1,(xlRTCLENDU=1)*(xlRTCLEQCL=$D646),0))</f>
        <v>ELEC_HP</v>
      </c>
      <c r="W646" s="7" t="str">
        <f t="array" ref="W646">INDEX(xlRTCLNAME,MATCH(1,(xlRTCLENDU=2)*(xlRTCLEQCL=$F646),0))</f>
        <v>ELEC_HP</v>
      </c>
      <c r="X646" s="7" t="str">
        <f t="array" ref="X646">INDEX(xlRTTYNAME,MATCH(1,(xlRTTYENDU=1)*(xlRTTYEQCL=$D646)*(xlRTEQTYPE=$E646),0))</f>
        <v>ELEC_HP4</v>
      </c>
      <c r="Y646" s="7" t="str">
        <f t="array" ref="Y646">INDEX(xlRTTYNAME,MATCH(1,(xlRTTYENDU=2)*(xlRTTYEQCL=$F646)*(xlRTEQTYPE=$G646),0))</f>
        <v>ELEC_HP4</v>
      </c>
    </row>
    <row r="647" spans="2:25" x14ac:dyDescent="0.2">
      <c r="B647" s="5">
        <v>6</v>
      </c>
      <c r="C647" s="5">
        <v>1</v>
      </c>
      <c r="D647" s="5">
        <v>2</v>
      </c>
      <c r="E647" s="5">
        <v>5</v>
      </c>
      <c r="F647" s="5">
        <v>3</v>
      </c>
      <c r="G647" s="31">
        <v>11</v>
      </c>
      <c r="H647" s="5">
        <v>2023</v>
      </c>
      <c r="I647" s="5">
        <v>2032</v>
      </c>
      <c r="J647" s="142">
        <v>1.0885</v>
      </c>
      <c r="K647" s="142">
        <v>1.0526</v>
      </c>
      <c r="L647" s="142">
        <v>0.42320000000000002</v>
      </c>
      <c r="M647" s="142">
        <v>0.76590000000000003</v>
      </c>
      <c r="N647" s="142">
        <v>0.88680000000000003</v>
      </c>
      <c r="O647" s="142">
        <v>1.0538000000000001</v>
      </c>
      <c r="P647" s="26">
        <v>15382.816403063658</v>
      </c>
      <c r="Q647" s="35">
        <f t="array" ref="Q647">SUM(IF(($S647&gt;=4)*($C647='TaxCred&amp;Subs'!$D$114:$D$121)*($H647='TaxCred&amp;Subs'!$C$114:$C$121)*($H647&lt;='TaxCred&amp;Subs'!$C$123),'TaxCred&amp;Subs'!$E$114:$E$121,0))</f>
        <v>2500</v>
      </c>
      <c r="R647" s="143">
        <v>0</v>
      </c>
      <c r="S647" s="5">
        <v>5</v>
      </c>
      <c r="T647" s="5" t="s">
        <v>221</v>
      </c>
      <c r="V647" s="7" t="str">
        <f t="array" ref="V647">INDEX(xlRTCLNAME,MATCH(1,(xlRTCLENDU=1)*(xlRTCLEQCL=$D647),0))</f>
        <v>ELEC_HP</v>
      </c>
      <c r="W647" s="7" t="str">
        <f t="array" ref="W647">INDEX(xlRTCLNAME,MATCH(1,(xlRTCLENDU=2)*(xlRTCLEQCL=$F647),0))</f>
        <v>ELEC_HP</v>
      </c>
      <c r="X647" s="7" t="str">
        <f t="array" ref="X647">INDEX(xlRTTYNAME,MATCH(1,(xlRTTYENDU=1)*(xlRTTYEQCL=$D647)*(xlRTEQTYPE=$E647),0))</f>
        <v>ELEC_HP4</v>
      </c>
      <c r="Y647" s="7" t="str">
        <f t="array" ref="Y647">INDEX(xlRTTYNAME,MATCH(1,(xlRTTYENDU=2)*(xlRTTYEQCL=$F647)*(xlRTEQTYPE=$G647),0))</f>
        <v>ELEC_HP4</v>
      </c>
    </row>
    <row r="648" spans="2:25" x14ac:dyDescent="0.2">
      <c r="B648" s="5">
        <v>6</v>
      </c>
      <c r="C648" s="5">
        <v>1</v>
      </c>
      <c r="D648" s="5">
        <v>2</v>
      </c>
      <c r="E648" s="5">
        <v>5</v>
      </c>
      <c r="F648" s="5">
        <v>3</v>
      </c>
      <c r="G648" s="31">
        <v>11</v>
      </c>
      <c r="H648" s="5">
        <v>2033</v>
      </c>
      <c r="I648" s="5">
        <v>2050</v>
      </c>
      <c r="J648" s="142">
        <v>1.0885</v>
      </c>
      <c r="K648" s="142">
        <v>1.0526</v>
      </c>
      <c r="L648" s="142">
        <v>0.42320000000000002</v>
      </c>
      <c r="M648" s="142">
        <v>0.76590000000000003</v>
      </c>
      <c r="N648" s="142">
        <v>0.88680000000000003</v>
      </c>
      <c r="O648" s="142">
        <v>1.0538000000000001</v>
      </c>
      <c r="P648" s="26">
        <v>15382.816403063658</v>
      </c>
      <c r="Q648" s="35">
        <f t="array" ref="Q648">SUM(IF(($S648&gt;=4)*($C648='TaxCred&amp;Subs'!$D$114:$D$121)*($H648='TaxCred&amp;Subs'!$C$114:$C$121)*($H648&lt;='TaxCred&amp;Subs'!$C$123),'TaxCred&amp;Subs'!$E$114:$E$121,0))</f>
        <v>0</v>
      </c>
      <c r="R648" s="143">
        <v>0</v>
      </c>
      <c r="S648" s="5">
        <v>5</v>
      </c>
      <c r="T648" s="5" t="s">
        <v>221</v>
      </c>
      <c r="V648" s="7" t="str">
        <f t="array" ref="V648">INDEX(xlRTCLNAME,MATCH(1,(xlRTCLENDU=1)*(xlRTCLEQCL=$D648),0))</f>
        <v>ELEC_HP</v>
      </c>
      <c r="W648" s="7" t="str">
        <f t="array" ref="W648">INDEX(xlRTCLNAME,MATCH(1,(xlRTCLENDU=2)*(xlRTCLEQCL=$F648),0))</f>
        <v>ELEC_HP</v>
      </c>
      <c r="X648" s="7" t="str">
        <f t="array" ref="X648">INDEX(xlRTTYNAME,MATCH(1,(xlRTTYENDU=1)*(xlRTTYEQCL=$D648)*(xlRTEQTYPE=$E648),0))</f>
        <v>ELEC_HP4</v>
      </c>
      <c r="Y648" s="7" t="str">
        <f t="array" ref="Y648">INDEX(xlRTTYNAME,MATCH(1,(xlRTTYENDU=2)*(xlRTTYEQCL=$F648)*(xlRTEQTYPE=$G648),0))</f>
        <v>ELEC_HP4</v>
      </c>
    </row>
    <row r="649" spans="2:25" x14ac:dyDescent="0.2">
      <c r="B649" s="5">
        <v>7</v>
      </c>
      <c r="C649" s="5">
        <v>1</v>
      </c>
      <c r="D649" s="5">
        <v>2</v>
      </c>
      <c r="E649" s="5">
        <v>5</v>
      </c>
      <c r="F649" s="5">
        <v>3</v>
      </c>
      <c r="G649" s="31">
        <v>11</v>
      </c>
      <c r="H649" s="31">
        <v>2020</v>
      </c>
      <c r="I649" s="5">
        <v>2022</v>
      </c>
      <c r="J649" s="142">
        <v>1.0765</v>
      </c>
      <c r="K649" s="142">
        <v>1.0508</v>
      </c>
      <c r="L649" s="142">
        <v>0.37619999999999998</v>
      </c>
      <c r="M649" s="142">
        <v>0.65339999999999998</v>
      </c>
      <c r="N649" s="142">
        <v>0.86099999999999999</v>
      </c>
      <c r="O649" s="142">
        <v>1.0538000000000001</v>
      </c>
      <c r="P649" s="26">
        <v>15600.63095225484</v>
      </c>
      <c r="Q649" s="35">
        <f t="array" ref="Q649">SUM(IF(($S649&gt;=4)*($C649='TaxCred&amp;Subs'!$D$114:$D$121)*($H649='TaxCred&amp;Subs'!$C$114:$C$121)*($H649&lt;='TaxCred&amp;Subs'!$C$123),'TaxCred&amp;Subs'!$E$114:$E$121,0))</f>
        <v>2000</v>
      </c>
      <c r="R649" s="143">
        <v>0</v>
      </c>
      <c r="S649" s="5">
        <v>5</v>
      </c>
      <c r="T649" s="5" t="s">
        <v>221</v>
      </c>
      <c r="V649" s="7" t="str">
        <f t="array" ref="V649">INDEX(xlRTCLNAME,MATCH(1,(xlRTCLENDU=1)*(xlRTCLEQCL=$D649),0))</f>
        <v>ELEC_HP</v>
      </c>
      <c r="W649" s="7" t="str">
        <f t="array" ref="W649">INDEX(xlRTCLNAME,MATCH(1,(xlRTCLENDU=2)*(xlRTCLEQCL=$F649),0))</f>
        <v>ELEC_HP</v>
      </c>
      <c r="X649" s="7" t="str">
        <f t="array" ref="X649">INDEX(xlRTTYNAME,MATCH(1,(xlRTTYENDU=1)*(xlRTTYEQCL=$D649)*(xlRTEQTYPE=$E649),0))</f>
        <v>ELEC_HP4</v>
      </c>
      <c r="Y649" s="7" t="str">
        <f t="array" ref="Y649">INDEX(xlRTTYNAME,MATCH(1,(xlRTTYENDU=2)*(xlRTTYEQCL=$F649)*(xlRTEQTYPE=$G649),0))</f>
        <v>ELEC_HP4</v>
      </c>
    </row>
    <row r="650" spans="2:25" x14ac:dyDescent="0.2">
      <c r="B650" s="5">
        <v>7</v>
      </c>
      <c r="C650" s="5">
        <v>1</v>
      </c>
      <c r="D650" s="5">
        <v>2</v>
      </c>
      <c r="E650" s="5">
        <v>5</v>
      </c>
      <c r="F650" s="5">
        <v>3</v>
      </c>
      <c r="G650" s="31">
        <v>11</v>
      </c>
      <c r="H650" s="5">
        <v>2023</v>
      </c>
      <c r="I650" s="5">
        <v>2032</v>
      </c>
      <c r="J650" s="142">
        <v>1.0765</v>
      </c>
      <c r="K650" s="142">
        <v>1.0508</v>
      </c>
      <c r="L650" s="142">
        <v>0.37619999999999998</v>
      </c>
      <c r="M650" s="142">
        <v>0.65339999999999998</v>
      </c>
      <c r="N650" s="142">
        <v>0.86099999999999999</v>
      </c>
      <c r="O650" s="142">
        <v>1.0538000000000001</v>
      </c>
      <c r="P650" s="26">
        <v>15600.63095225484</v>
      </c>
      <c r="Q650" s="35">
        <f t="array" ref="Q650">SUM(IF(($S650&gt;=4)*($C650='TaxCred&amp;Subs'!$D$114:$D$121)*($H650='TaxCred&amp;Subs'!$C$114:$C$121)*($H650&lt;='TaxCred&amp;Subs'!$C$123),'TaxCred&amp;Subs'!$E$114:$E$121,0))</f>
        <v>2500</v>
      </c>
      <c r="R650" s="143">
        <v>0</v>
      </c>
      <c r="S650" s="5">
        <v>5</v>
      </c>
      <c r="T650" s="5" t="s">
        <v>221</v>
      </c>
      <c r="V650" s="7" t="str">
        <f t="array" ref="V650">INDEX(xlRTCLNAME,MATCH(1,(xlRTCLENDU=1)*(xlRTCLEQCL=$D650),0))</f>
        <v>ELEC_HP</v>
      </c>
      <c r="W650" s="7" t="str">
        <f t="array" ref="W650">INDEX(xlRTCLNAME,MATCH(1,(xlRTCLENDU=2)*(xlRTCLEQCL=$F650),0))</f>
        <v>ELEC_HP</v>
      </c>
      <c r="X650" s="7" t="str">
        <f t="array" ref="X650">INDEX(xlRTTYNAME,MATCH(1,(xlRTTYENDU=1)*(xlRTTYEQCL=$D650)*(xlRTEQTYPE=$E650),0))</f>
        <v>ELEC_HP4</v>
      </c>
      <c r="Y650" s="7" t="str">
        <f t="array" ref="Y650">INDEX(xlRTTYNAME,MATCH(1,(xlRTTYENDU=2)*(xlRTTYEQCL=$F650)*(xlRTEQTYPE=$G650),0))</f>
        <v>ELEC_HP4</v>
      </c>
    </row>
    <row r="651" spans="2:25" x14ac:dyDescent="0.2">
      <c r="B651" s="5">
        <v>7</v>
      </c>
      <c r="C651" s="5">
        <v>1</v>
      </c>
      <c r="D651" s="5">
        <v>2</v>
      </c>
      <c r="E651" s="5">
        <v>5</v>
      </c>
      <c r="F651" s="5">
        <v>3</v>
      </c>
      <c r="G651" s="31">
        <v>11</v>
      </c>
      <c r="H651" s="5">
        <v>2033</v>
      </c>
      <c r="I651" s="5">
        <v>2050</v>
      </c>
      <c r="J651" s="142">
        <v>1.0765</v>
      </c>
      <c r="K651" s="142">
        <v>1.0508</v>
      </c>
      <c r="L651" s="142">
        <v>0.37619999999999998</v>
      </c>
      <c r="M651" s="142">
        <v>0.65339999999999998</v>
      </c>
      <c r="N651" s="142">
        <v>0.86099999999999999</v>
      </c>
      <c r="O651" s="142">
        <v>1.0538000000000001</v>
      </c>
      <c r="P651" s="26">
        <v>15600.63095225484</v>
      </c>
      <c r="Q651" s="35">
        <f t="array" ref="Q651">SUM(IF(($S651&gt;=4)*($C651='TaxCred&amp;Subs'!$D$114:$D$121)*($H651='TaxCred&amp;Subs'!$C$114:$C$121)*($H651&lt;='TaxCred&amp;Subs'!$C$123),'TaxCred&amp;Subs'!$E$114:$E$121,0))</f>
        <v>0</v>
      </c>
      <c r="R651" s="143">
        <v>0</v>
      </c>
      <c r="S651" s="5">
        <v>5</v>
      </c>
      <c r="T651" s="5" t="s">
        <v>221</v>
      </c>
      <c r="V651" s="7" t="str">
        <f t="array" ref="V651">INDEX(xlRTCLNAME,MATCH(1,(xlRTCLENDU=1)*(xlRTCLEQCL=$D651),0))</f>
        <v>ELEC_HP</v>
      </c>
      <c r="W651" s="7" t="str">
        <f t="array" ref="W651">INDEX(xlRTCLNAME,MATCH(1,(xlRTCLENDU=2)*(xlRTCLEQCL=$F651),0))</f>
        <v>ELEC_HP</v>
      </c>
      <c r="X651" s="7" t="str">
        <f t="array" ref="X651">INDEX(xlRTTYNAME,MATCH(1,(xlRTTYENDU=1)*(xlRTTYEQCL=$D651)*(xlRTEQTYPE=$E651),0))</f>
        <v>ELEC_HP4</v>
      </c>
      <c r="Y651" s="7" t="str">
        <f t="array" ref="Y651">INDEX(xlRTTYNAME,MATCH(1,(xlRTTYENDU=2)*(xlRTTYEQCL=$F651)*(xlRTEQTYPE=$G651),0))</f>
        <v>ELEC_HP4</v>
      </c>
    </row>
    <row r="652" spans="2:25" x14ac:dyDescent="0.2">
      <c r="B652" s="5">
        <v>9</v>
      </c>
      <c r="C652" s="5">
        <v>1</v>
      </c>
      <c r="D652" s="5">
        <v>2</v>
      </c>
      <c r="E652" s="5">
        <v>5</v>
      </c>
      <c r="F652" s="5">
        <v>3</v>
      </c>
      <c r="G652" s="31">
        <v>11</v>
      </c>
      <c r="H652" s="31">
        <v>2020</v>
      </c>
      <c r="I652" s="5">
        <v>2022</v>
      </c>
      <c r="J652" s="142">
        <v>1.0710999999999999</v>
      </c>
      <c r="K652" s="142">
        <v>1.0754999999999999</v>
      </c>
      <c r="L652" s="142">
        <v>0.40110000000000001</v>
      </c>
      <c r="M652" s="142">
        <v>0.76029999999999998</v>
      </c>
      <c r="N652" s="142">
        <v>1.0228999999999999</v>
      </c>
      <c r="O652" s="142">
        <v>1.0538000000000001</v>
      </c>
      <c r="P652" s="26">
        <v>19815.745839380488</v>
      </c>
      <c r="Q652" s="35">
        <f t="array" ref="Q652">SUM(IF(($S652&gt;=4)*($C652='TaxCred&amp;Subs'!$D$114:$D$121)*($H652='TaxCred&amp;Subs'!$C$114:$C$121)*($H652&lt;='TaxCred&amp;Subs'!$C$123),'TaxCred&amp;Subs'!$E$114:$E$121,0))</f>
        <v>2000</v>
      </c>
      <c r="R652" s="143">
        <v>0</v>
      </c>
      <c r="S652" s="5">
        <v>5</v>
      </c>
      <c r="T652" s="5" t="s">
        <v>221</v>
      </c>
      <c r="V652" s="7" t="str">
        <f t="array" ref="V652">INDEX(xlRTCLNAME,MATCH(1,(xlRTCLENDU=1)*(xlRTCLEQCL=$D652),0))</f>
        <v>ELEC_HP</v>
      </c>
      <c r="W652" s="7" t="str">
        <f t="array" ref="W652">INDEX(xlRTCLNAME,MATCH(1,(xlRTCLENDU=2)*(xlRTCLEQCL=$F652),0))</f>
        <v>ELEC_HP</v>
      </c>
      <c r="X652" s="7" t="str">
        <f t="array" ref="X652">INDEX(xlRTTYNAME,MATCH(1,(xlRTTYENDU=1)*(xlRTTYEQCL=$D652)*(xlRTEQTYPE=$E652),0))</f>
        <v>ELEC_HP4</v>
      </c>
      <c r="Y652" s="7" t="str">
        <f t="array" ref="Y652">INDEX(xlRTTYNAME,MATCH(1,(xlRTTYENDU=2)*(xlRTTYEQCL=$F652)*(xlRTEQTYPE=$G652),0))</f>
        <v>ELEC_HP4</v>
      </c>
    </row>
    <row r="653" spans="2:25" x14ac:dyDescent="0.2">
      <c r="B653" s="5">
        <v>9</v>
      </c>
      <c r="C653" s="5">
        <v>1</v>
      </c>
      <c r="D653" s="5">
        <v>2</v>
      </c>
      <c r="E653" s="5">
        <v>5</v>
      </c>
      <c r="F653" s="5">
        <v>3</v>
      </c>
      <c r="G653" s="31">
        <v>11</v>
      </c>
      <c r="H653" s="5">
        <v>2023</v>
      </c>
      <c r="I653" s="5">
        <v>2032</v>
      </c>
      <c r="J653" s="142">
        <v>1.0710999999999999</v>
      </c>
      <c r="K653" s="142">
        <v>1.0754999999999999</v>
      </c>
      <c r="L653" s="142">
        <v>0.40110000000000001</v>
      </c>
      <c r="M653" s="142">
        <v>0.76029999999999998</v>
      </c>
      <c r="N653" s="142">
        <v>1.0228999999999999</v>
      </c>
      <c r="O653" s="142">
        <v>1.0538000000000001</v>
      </c>
      <c r="P653" s="26">
        <v>19815.745839380488</v>
      </c>
      <c r="Q653" s="35">
        <f t="array" ref="Q653">SUM(IF(($S653&gt;=4)*($C653='TaxCred&amp;Subs'!$D$114:$D$121)*($H653='TaxCred&amp;Subs'!$C$114:$C$121)*($H653&lt;='TaxCred&amp;Subs'!$C$123),'TaxCred&amp;Subs'!$E$114:$E$121,0))</f>
        <v>2500</v>
      </c>
      <c r="R653" s="143">
        <v>0</v>
      </c>
      <c r="S653" s="5">
        <v>5</v>
      </c>
      <c r="T653" s="5" t="s">
        <v>221</v>
      </c>
      <c r="V653" s="7" t="str">
        <f t="array" ref="V653">INDEX(xlRTCLNAME,MATCH(1,(xlRTCLENDU=1)*(xlRTCLEQCL=$D653),0))</f>
        <v>ELEC_HP</v>
      </c>
      <c r="W653" s="7" t="str">
        <f t="array" ref="W653">INDEX(xlRTCLNAME,MATCH(1,(xlRTCLENDU=2)*(xlRTCLEQCL=$F653),0))</f>
        <v>ELEC_HP</v>
      </c>
      <c r="X653" s="7" t="str">
        <f t="array" ref="X653">INDEX(xlRTTYNAME,MATCH(1,(xlRTTYENDU=1)*(xlRTTYEQCL=$D653)*(xlRTEQTYPE=$E653),0))</f>
        <v>ELEC_HP4</v>
      </c>
      <c r="Y653" s="7" t="str">
        <f t="array" ref="Y653">INDEX(xlRTTYNAME,MATCH(1,(xlRTTYENDU=2)*(xlRTTYEQCL=$F653)*(xlRTEQTYPE=$G653),0))</f>
        <v>ELEC_HP4</v>
      </c>
    </row>
    <row r="654" spans="2:25" x14ac:dyDescent="0.2">
      <c r="B654" s="5">
        <v>9</v>
      </c>
      <c r="C654" s="5">
        <v>1</v>
      </c>
      <c r="D654" s="5">
        <v>2</v>
      </c>
      <c r="E654" s="5">
        <v>5</v>
      </c>
      <c r="F654" s="5">
        <v>3</v>
      </c>
      <c r="G654" s="31">
        <v>11</v>
      </c>
      <c r="H654" s="5">
        <v>2033</v>
      </c>
      <c r="I654" s="5">
        <v>2050</v>
      </c>
      <c r="J654" s="142">
        <v>1.0710999999999999</v>
      </c>
      <c r="K654" s="142">
        <v>1.0754999999999999</v>
      </c>
      <c r="L654" s="142">
        <v>0.40110000000000001</v>
      </c>
      <c r="M654" s="142">
        <v>0.76029999999999998</v>
      </c>
      <c r="N654" s="142">
        <v>1.0228999999999999</v>
      </c>
      <c r="O654" s="142">
        <v>1.0538000000000001</v>
      </c>
      <c r="P654" s="26">
        <v>19815.745839380488</v>
      </c>
      <c r="Q654" s="35">
        <f t="array" ref="Q654">SUM(IF(($S654&gt;=4)*($C654='TaxCred&amp;Subs'!$D$114:$D$121)*($H654='TaxCred&amp;Subs'!$C$114:$C$121)*($H654&lt;='TaxCred&amp;Subs'!$C$123),'TaxCred&amp;Subs'!$E$114:$E$121,0))</f>
        <v>0</v>
      </c>
      <c r="R654" s="143">
        <v>0</v>
      </c>
      <c r="S654" s="5">
        <v>5</v>
      </c>
      <c r="T654" s="5" t="s">
        <v>221</v>
      </c>
      <c r="V654" s="7" t="str">
        <f t="array" ref="V654">INDEX(xlRTCLNAME,MATCH(1,(xlRTCLENDU=1)*(xlRTCLEQCL=$D654),0))</f>
        <v>ELEC_HP</v>
      </c>
      <c r="W654" s="7" t="str">
        <f t="array" ref="W654">INDEX(xlRTCLNAME,MATCH(1,(xlRTCLENDU=2)*(xlRTCLEQCL=$F654),0))</f>
        <v>ELEC_HP</v>
      </c>
      <c r="X654" s="7" t="str">
        <f t="array" ref="X654">INDEX(xlRTTYNAME,MATCH(1,(xlRTTYENDU=1)*(xlRTTYEQCL=$D654)*(xlRTEQTYPE=$E654),0))</f>
        <v>ELEC_HP4</v>
      </c>
      <c r="Y654" s="7" t="str">
        <f t="array" ref="Y654">INDEX(xlRTTYNAME,MATCH(1,(xlRTTYENDU=2)*(xlRTTYEQCL=$F654)*(xlRTEQTYPE=$G654),0))</f>
        <v>ELEC_HP4</v>
      </c>
    </row>
    <row r="655" spans="2:25" x14ac:dyDescent="0.2">
      <c r="B655" s="5">
        <v>1</v>
      </c>
      <c r="C655" s="5">
        <v>1</v>
      </c>
      <c r="D655" s="5">
        <v>3</v>
      </c>
      <c r="E655" s="5">
        <v>9</v>
      </c>
      <c r="F655" s="5">
        <v>2</v>
      </c>
      <c r="G655" s="31">
        <v>7</v>
      </c>
      <c r="H655" s="31">
        <v>2020</v>
      </c>
      <c r="I655" s="5">
        <v>2022</v>
      </c>
      <c r="J655" s="142">
        <v>1.0803</v>
      </c>
      <c r="K655" s="142">
        <v>1.0667</v>
      </c>
      <c r="L655" s="142">
        <v>0.44319999999999998</v>
      </c>
      <c r="M655" s="142">
        <v>0.96350000000000002</v>
      </c>
      <c r="N655" s="142">
        <v>0.79790000000000005</v>
      </c>
      <c r="O655" s="142">
        <v>1.0538000000000001</v>
      </c>
      <c r="P655" s="26">
        <v>19744.485523904365</v>
      </c>
      <c r="Q655" s="35">
        <f t="array" ref="Q655">SUM(IF(($S655&gt;=4)*($C655='TaxCred&amp;Subs'!$D$114:$D$121)*($H655='TaxCred&amp;Subs'!$C$114:$C$121)*($H655&lt;='TaxCred&amp;Subs'!$C$123),'TaxCred&amp;Subs'!$E$114:$E$121,0))</f>
        <v>2000</v>
      </c>
      <c r="R655" s="143">
        <v>0</v>
      </c>
      <c r="S655" s="5">
        <v>5</v>
      </c>
      <c r="T655" s="5" t="s">
        <v>221</v>
      </c>
      <c r="V655" s="7" t="str">
        <f t="array" ref="V655">INDEX(xlRTCLNAME,MATCH(1,(xlRTCLENDU=1)*(xlRTCLEQCL=$D655),0))</f>
        <v>NG_FA</v>
      </c>
      <c r="W655" s="7" t="str">
        <f t="array" ref="W655">INDEX(xlRTCLNAME,MATCH(1,(xlRTCLENDU=2)*(xlRTCLEQCL=$F655),0))</f>
        <v>CENT_AIR</v>
      </c>
      <c r="X655" s="7" t="str">
        <f t="array" ref="X655">INDEX(xlRTTYNAME,MATCH(1,(xlRTTYENDU=1)*(xlRTTYEQCL=$D655)*(xlRTEQTYPE=$E655),0))</f>
        <v>NG_FA4</v>
      </c>
      <c r="Y655" s="7" t="str">
        <f t="array" ref="Y655">INDEX(xlRTTYNAME,MATCH(1,(xlRTTYENDU=2)*(xlRTTYEQCL=$F655)*(xlRTEQTYPE=$G655),0))</f>
        <v>CENT_AIR4</v>
      </c>
    </row>
    <row r="656" spans="2:25" x14ac:dyDescent="0.2">
      <c r="B656" s="5">
        <v>1</v>
      </c>
      <c r="C656" s="5">
        <v>1</v>
      </c>
      <c r="D656" s="5">
        <v>3</v>
      </c>
      <c r="E656" s="5">
        <v>9</v>
      </c>
      <c r="F656" s="5">
        <v>2</v>
      </c>
      <c r="G656" s="31">
        <v>7</v>
      </c>
      <c r="H656" s="5">
        <v>2023</v>
      </c>
      <c r="I656" s="5">
        <v>2032</v>
      </c>
      <c r="J656" s="142">
        <v>1.0803</v>
      </c>
      <c r="K656" s="142">
        <v>1.0667</v>
      </c>
      <c r="L656" s="142">
        <v>0.44319999999999998</v>
      </c>
      <c r="M656" s="142">
        <v>0.96350000000000002</v>
      </c>
      <c r="N656" s="142">
        <v>0.79790000000000005</v>
      </c>
      <c r="O656" s="142">
        <v>1.0538000000000001</v>
      </c>
      <c r="P656" s="26">
        <v>19744.485523904365</v>
      </c>
      <c r="Q656" s="35">
        <f t="array" ref="Q656">SUM(IF(($S656&gt;=4)*($C656='TaxCred&amp;Subs'!$D$114:$D$121)*($H656='TaxCred&amp;Subs'!$C$114:$C$121)*($H656&lt;='TaxCred&amp;Subs'!$C$123),'TaxCred&amp;Subs'!$E$114:$E$121,0))</f>
        <v>2500</v>
      </c>
      <c r="R656" s="143">
        <v>0</v>
      </c>
      <c r="S656" s="5">
        <v>5</v>
      </c>
      <c r="T656" s="5" t="s">
        <v>221</v>
      </c>
      <c r="V656" s="7" t="str">
        <f t="array" ref="V656">INDEX(xlRTCLNAME,MATCH(1,(xlRTCLENDU=1)*(xlRTCLEQCL=$D656),0))</f>
        <v>NG_FA</v>
      </c>
      <c r="W656" s="7" t="str">
        <f t="array" ref="W656">INDEX(xlRTCLNAME,MATCH(1,(xlRTCLENDU=2)*(xlRTCLEQCL=$F656),0))</f>
        <v>CENT_AIR</v>
      </c>
      <c r="X656" s="7" t="str">
        <f t="array" ref="X656">INDEX(xlRTTYNAME,MATCH(1,(xlRTTYENDU=1)*(xlRTTYEQCL=$D656)*(xlRTEQTYPE=$E656),0))</f>
        <v>NG_FA4</v>
      </c>
      <c r="Y656" s="7" t="str">
        <f t="array" ref="Y656">INDEX(xlRTTYNAME,MATCH(1,(xlRTTYENDU=2)*(xlRTTYEQCL=$F656)*(xlRTEQTYPE=$G656),0))</f>
        <v>CENT_AIR4</v>
      </c>
    </row>
    <row r="657" spans="2:25" x14ac:dyDescent="0.2">
      <c r="B657" s="5">
        <v>1</v>
      </c>
      <c r="C657" s="5">
        <v>1</v>
      </c>
      <c r="D657" s="5">
        <v>3</v>
      </c>
      <c r="E657" s="5">
        <v>9</v>
      </c>
      <c r="F657" s="5">
        <v>2</v>
      </c>
      <c r="G657" s="31">
        <v>7</v>
      </c>
      <c r="H657" s="5">
        <v>2033</v>
      </c>
      <c r="I657" s="5">
        <v>2050</v>
      </c>
      <c r="J657" s="142">
        <v>1.0803</v>
      </c>
      <c r="K657" s="142">
        <v>1.0667</v>
      </c>
      <c r="L657" s="142">
        <v>0.44319999999999998</v>
      </c>
      <c r="M657" s="142">
        <v>0.96350000000000002</v>
      </c>
      <c r="N657" s="142">
        <v>0.79790000000000005</v>
      </c>
      <c r="O657" s="142">
        <v>1.0538000000000001</v>
      </c>
      <c r="P657" s="26">
        <v>19744.485523904365</v>
      </c>
      <c r="Q657" s="35">
        <f t="array" ref="Q657">SUM(IF(($S657&gt;=4)*($C657='TaxCred&amp;Subs'!$D$114:$D$121)*($H657='TaxCred&amp;Subs'!$C$114:$C$121)*($H657&lt;='TaxCred&amp;Subs'!$C$123),'TaxCred&amp;Subs'!$E$114:$E$121,0))</f>
        <v>0</v>
      </c>
      <c r="R657" s="143">
        <v>0</v>
      </c>
      <c r="S657" s="5">
        <v>5</v>
      </c>
      <c r="T657" s="5" t="s">
        <v>221</v>
      </c>
      <c r="V657" s="7" t="str">
        <f t="array" ref="V657">INDEX(xlRTCLNAME,MATCH(1,(xlRTCLENDU=1)*(xlRTCLEQCL=$D657),0))</f>
        <v>NG_FA</v>
      </c>
      <c r="W657" s="7" t="str">
        <f t="array" ref="W657">INDEX(xlRTCLNAME,MATCH(1,(xlRTCLENDU=2)*(xlRTCLEQCL=$F657),0))</f>
        <v>CENT_AIR</v>
      </c>
      <c r="X657" s="7" t="str">
        <f t="array" ref="X657">INDEX(xlRTTYNAME,MATCH(1,(xlRTTYENDU=1)*(xlRTTYEQCL=$D657)*(xlRTEQTYPE=$E657),0))</f>
        <v>NG_FA4</v>
      </c>
      <c r="Y657" s="7" t="str">
        <f t="array" ref="Y657">INDEX(xlRTTYNAME,MATCH(1,(xlRTTYENDU=2)*(xlRTTYEQCL=$F657)*(xlRTEQTYPE=$G657),0))</f>
        <v>CENT_AIR4</v>
      </c>
    </row>
    <row r="658" spans="2:25" x14ac:dyDescent="0.2">
      <c r="B658" s="5">
        <v>2</v>
      </c>
      <c r="C658" s="5">
        <v>1</v>
      </c>
      <c r="D658" s="5">
        <v>3</v>
      </c>
      <c r="E658" s="5">
        <v>9</v>
      </c>
      <c r="F658" s="5">
        <v>2</v>
      </c>
      <c r="G658" s="31">
        <v>7</v>
      </c>
      <c r="H658" s="31">
        <v>2020</v>
      </c>
      <c r="I658" s="5">
        <v>2022</v>
      </c>
      <c r="J658" s="142">
        <v>1.0649</v>
      </c>
      <c r="K658" s="142">
        <v>1.0597000000000001</v>
      </c>
      <c r="L658" s="142">
        <v>0.46200000000000002</v>
      </c>
      <c r="M658" s="142">
        <v>0.81589999999999996</v>
      </c>
      <c r="N658" s="142">
        <v>0.93169999999999997</v>
      </c>
      <c r="O658" s="142">
        <v>1.0538000000000001</v>
      </c>
      <c r="P658" s="26">
        <v>22424.142292657609</v>
      </c>
      <c r="Q658" s="35">
        <f t="array" ref="Q658">SUM(IF(($S658&gt;=4)*($C658='TaxCred&amp;Subs'!$D$114:$D$121)*($H658='TaxCred&amp;Subs'!$C$114:$C$121)*($H658&lt;='TaxCred&amp;Subs'!$C$123),'TaxCred&amp;Subs'!$E$114:$E$121,0))</f>
        <v>2000</v>
      </c>
      <c r="R658" s="143">
        <v>0</v>
      </c>
      <c r="S658" s="5">
        <v>5</v>
      </c>
      <c r="T658" s="5" t="s">
        <v>221</v>
      </c>
      <c r="V658" s="7" t="str">
        <f t="array" ref="V658">INDEX(xlRTCLNAME,MATCH(1,(xlRTCLENDU=1)*(xlRTCLEQCL=$D658),0))</f>
        <v>NG_FA</v>
      </c>
      <c r="W658" s="7" t="str">
        <f t="array" ref="W658">INDEX(xlRTCLNAME,MATCH(1,(xlRTCLENDU=2)*(xlRTCLEQCL=$F658),0))</f>
        <v>CENT_AIR</v>
      </c>
      <c r="X658" s="7" t="str">
        <f t="array" ref="X658">INDEX(xlRTTYNAME,MATCH(1,(xlRTTYENDU=1)*(xlRTTYEQCL=$D658)*(xlRTEQTYPE=$E658),0))</f>
        <v>NG_FA4</v>
      </c>
      <c r="Y658" s="7" t="str">
        <f t="array" ref="Y658">INDEX(xlRTTYNAME,MATCH(1,(xlRTTYENDU=2)*(xlRTTYEQCL=$F658)*(xlRTEQTYPE=$G658),0))</f>
        <v>CENT_AIR4</v>
      </c>
    </row>
    <row r="659" spans="2:25" x14ac:dyDescent="0.2">
      <c r="B659" s="5">
        <v>2</v>
      </c>
      <c r="C659" s="5">
        <v>1</v>
      </c>
      <c r="D659" s="5">
        <v>3</v>
      </c>
      <c r="E659" s="5">
        <v>9</v>
      </c>
      <c r="F659" s="5">
        <v>2</v>
      </c>
      <c r="G659" s="31">
        <v>7</v>
      </c>
      <c r="H659" s="5">
        <v>2023</v>
      </c>
      <c r="I659" s="5">
        <v>2032</v>
      </c>
      <c r="J659" s="142">
        <v>1.0649</v>
      </c>
      <c r="K659" s="142">
        <v>1.0597000000000001</v>
      </c>
      <c r="L659" s="142">
        <v>0.46200000000000002</v>
      </c>
      <c r="M659" s="142">
        <v>0.81589999999999996</v>
      </c>
      <c r="N659" s="142">
        <v>0.93169999999999997</v>
      </c>
      <c r="O659" s="142">
        <v>1.0538000000000001</v>
      </c>
      <c r="P659" s="26">
        <v>22424.142292657609</v>
      </c>
      <c r="Q659" s="35">
        <f t="array" ref="Q659">SUM(IF(($S659&gt;=4)*($C659='TaxCred&amp;Subs'!$D$114:$D$121)*($H659='TaxCred&amp;Subs'!$C$114:$C$121)*($H659&lt;='TaxCred&amp;Subs'!$C$123),'TaxCred&amp;Subs'!$E$114:$E$121,0))</f>
        <v>2500</v>
      </c>
      <c r="R659" s="143">
        <v>0</v>
      </c>
      <c r="S659" s="5">
        <v>5</v>
      </c>
      <c r="T659" s="5" t="s">
        <v>221</v>
      </c>
      <c r="V659" s="7" t="str">
        <f t="array" ref="V659">INDEX(xlRTCLNAME,MATCH(1,(xlRTCLENDU=1)*(xlRTCLEQCL=$D659),0))</f>
        <v>NG_FA</v>
      </c>
      <c r="W659" s="7" t="str">
        <f t="array" ref="W659">INDEX(xlRTCLNAME,MATCH(1,(xlRTCLENDU=2)*(xlRTCLEQCL=$F659),0))</f>
        <v>CENT_AIR</v>
      </c>
      <c r="X659" s="7" t="str">
        <f t="array" ref="X659">INDEX(xlRTTYNAME,MATCH(1,(xlRTTYENDU=1)*(xlRTTYEQCL=$D659)*(xlRTEQTYPE=$E659),0))</f>
        <v>NG_FA4</v>
      </c>
      <c r="Y659" s="7" t="str">
        <f t="array" ref="Y659">INDEX(xlRTTYNAME,MATCH(1,(xlRTTYENDU=2)*(xlRTTYEQCL=$F659)*(xlRTEQTYPE=$G659),0))</f>
        <v>CENT_AIR4</v>
      </c>
    </row>
    <row r="660" spans="2:25" x14ac:dyDescent="0.2">
      <c r="B660" s="5">
        <v>2</v>
      </c>
      <c r="C660" s="5">
        <v>1</v>
      </c>
      <c r="D660" s="5">
        <v>3</v>
      </c>
      <c r="E660" s="5">
        <v>9</v>
      </c>
      <c r="F660" s="5">
        <v>2</v>
      </c>
      <c r="G660" s="31">
        <v>7</v>
      </c>
      <c r="H660" s="5">
        <v>2033</v>
      </c>
      <c r="I660" s="5">
        <v>2050</v>
      </c>
      <c r="J660" s="142">
        <v>1.0649</v>
      </c>
      <c r="K660" s="142">
        <v>1.0597000000000001</v>
      </c>
      <c r="L660" s="142">
        <v>0.46200000000000002</v>
      </c>
      <c r="M660" s="142">
        <v>0.81589999999999996</v>
      </c>
      <c r="N660" s="142">
        <v>0.93169999999999997</v>
      </c>
      <c r="O660" s="142">
        <v>1.0538000000000001</v>
      </c>
      <c r="P660" s="26">
        <v>22424.142292657609</v>
      </c>
      <c r="Q660" s="35">
        <f t="array" ref="Q660">SUM(IF(($S660&gt;=4)*($C660='TaxCred&amp;Subs'!$D$114:$D$121)*($H660='TaxCred&amp;Subs'!$C$114:$C$121)*($H660&lt;='TaxCred&amp;Subs'!$C$123),'TaxCred&amp;Subs'!$E$114:$E$121,0))</f>
        <v>0</v>
      </c>
      <c r="R660" s="143">
        <v>0</v>
      </c>
      <c r="S660" s="5">
        <v>5</v>
      </c>
      <c r="T660" s="5" t="s">
        <v>221</v>
      </c>
      <c r="V660" s="7" t="str">
        <f t="array" ref="V660">INDEX(xlRTCLNAME,MATCH(1,(xlRTCLENDU=1)*(xlRTCLEQCL=$D660),0))</f>
        <v>NG_FA</v>
      </c>
      <c r="W660" s="7" t="str">
        <f t="array" ref="W660">INDEX(xlRTCLNAME,MATCH(1,(xlRTCLENDU=2)*(xlRTCLEQCL=$F660),0))</f>
        <v>CENT_AIR</v>
      </c>
      <c r="X660" s="7" t="str">
        <f t="array" ref="X660">INDEX(xlRTTYNAME,MATCH(1,(xlRTTYENDU=1)*(xlRTTYEQCL=$D660)*(xlRTEQTYPE=$E660),0))</f>
        <v>NG_FA4</v>
      </c>
      <c r="Y660" s="7" t="str">
        <f t="array" ref="Y660">INDEX(xlRTTYNAME,MATCH(1,(xlRTTYENDU=2)*(xlRTTYEQCL=$F660)*(xlRTEQTYPE=$G660),0))</f>
        <v>CENT_AIR4</v>
      </c>
    </row>
    <row r="661" spans="2:25" x14ac:dyDescent="0.2">
      <c r="B661" s="5">
        <v>5</v>
      </c>
      <c r="C661" s="5">
        <v>1</v>
      </c>
      <c r="D661" s="5">
        <v>3</v>
      </c>
      <c r="E661" s="5">
        <v>9</v>
      </c>
      <c r="F661" s="5">
        <v>2</v>
      </c>
      <c r="G661" s="31">
        <v>7</v>
      </c>
      <c r="H661" s="31">
        <v>2020</v>
      </c>
      <c r="I661" s="5">
        <v>2022</v>
      </c>
      <c r="J661" s="142">
        <v>1.0849</v>
      </c>
      <c r="K661" s="142">
        <v>1.0471999999999999</v>
      </c>
      <c r="L661" s="142">
        <v>0.33260000000000001</v>
      </c>
      <c r="M661" s="142">
        <v>0.73150000000000004</v>
      </c>
      <c r="N661" s="142">
        <v>0.76180000000000003</v>
      </c>
      <c r="O661" s="142">
        <v>1.0538000000000001</v>
      </c>
      <c r="P661" s="26">
        <v>15568.362130152442</v>
      </c>
      <c r="Q661" s="35">
        <f t="array" ref="Q661">SUM(IF(($S661&gt;=4)*($C661='TaxCred&amp;Subs'!$D$114:$D$121)*($H661='TaxCred&amp;Subs'!$C$114:$C$121)*($H661&lt;='TaxCred&amp;Subs'!$C$123),'TaxCred&amp;Subs'!$E$114:$E$121,0))</f>
        <v>2000</v>
      </c>
      <c r="R661" s="143">
        <v>0</v>
      </c>
      <c r="S661" s="5">
        <v>5</v>
      </c>
      <c r="T661" s="5" t="s">
        <v>221</v>
      </c>
      <c r="V661" s="7" t="str">
        <f t="array" ref="V661">INDEX(xlRTCLNAME,MATCH(1,(xlRTCLENDU=1)*(xlRTCLEQCL=$D661),0))</f>
        <v>NG_FA</v>
      </c>
      <c r="W661" s="7" t="str">
        <f t="array" ref="W661">INDEX(xlRTCLNAME,MATCH(1,(xlRTCLENDU=2)*(xlRTCLEQCL=$F661),0))</f>
        <v>CENT_AIR</v>
      </c>
      <c r="X661" s="7" t="str">
        <f t="array" ref="X661">INDEX(xlRTTYNAME,MATCH(1,(xlRTTYENDU=1)*(xlRTTYEQCL=$D661)*(xlRTEQTYPE=$E661),0))</f>
        <v>NG_FA4</v>
      </c>
      <c r="Y661" s="7" t="str">
        <f t="array" ref="Y661">INDEX(xlRTTYNAME,MATCH(1,(xlRTTYENDU=2)*(xlRTTYEQCL=$F661)*(xlRTEQTYPE=$G661),0))</f>
        <v>CENT_AIR4</v>
      </c>
    </row>
    <row r="662" spans="2:25" x14ac:dyDescent="0.2">
      <c r="B662" s="5">
        <v>5</v>
      </c>
      <c r="C662" s="5">
        <v>1</v>
      </c>
      <c r="D662" s="5">
        <v>3</v>
      </c>
      <c r="E662" s="5">
        <v>9</v>
      </c>
      <c r="F662" s="5">
        <v>2</v>
      </c>
      <c r="G662" s="31">
        <v>7</v>
      </c>
      <c r="H662" s="5">
        <v>2023</v>
      </c>
      <c r="I662" s="5">
        <v>2032</v>
      </c>
      <c r="J662" s="142">
        <v>1.0849</v>
      </c>
      <c r="K662" s="142">
        <v>1.0471999999999999</v>
      </c>
      <c r="L662" s="142">
        <v>0.33260000000000001</v>
      </c>
      <c r="M662" s="142">
        <v>0.73150000000000004</v>
      </c>
      <c r="N662" s="142">
        <v>0.76180000000000003</v>
      </c>
      <c r="O662" s="142">
        <v>1.0538000000000001</v>
      </c>
      <c r="P662" s="26">
        <v>15568.362130152442</v>
      </c>
      <c r="Q662" s="35">
        <f t="array" ref="Q662">SUM(IF(($S662&gt;=4)*($C662='TaxCred&amp;Subs'!$D$114:$D$121)*($H662='TaxCred&amp;Subs'!$C$114:$C$121)*($H662&lt;='TaxCred&amp;Subs'!$C$123),'TaxCred&amp;Subs'!$E$114:$E$121,0))</f>
        <v>2500</v>
      </c>
      <c r="R662" s="143">
        <v>0</v>
      </c>
      <c r="S662" s="5">
        <v>5</v>
      </c>
      <c r="T662" s="5" t="s">
        <v>221</v>
      </c>
      <c r="V662" s="7" t="str">
        <f t="array" ref="V662">INDEX(xlRTCLNAME,MATCH(1,(xlRTCLENDU=1)*(xlRTCLEQCL=$D662),0))</f>
        <v>NG_FA</v>
      </c>
      <c r="W662" s="7" t="str">
        <f t="array" ref="W662">INDEX(xlRTCLNAME,MATCH(1,(xlRTCLENDU=2)*(xlRTCLEQCL=$F662),0))</f>
        <v>CENT_AIR</v>
      </c>
      <c r="X662" s="7" t="str">
        <f t="array" ref="X662">INDEX(xlRTTYNAME,MATCH(1,(xlRTTYENDU=1)*(xlRTTYEQCL=$D662)*(xlRTEQTYPE=$E662),0))</f>
        <v>NG_FA4</v>
      </c>
      <c r="Y662" s="7" t="str">
        <f t="array" ref="Y662">INDEX(xlRTTYNAME,MATCH(1,(xlRTTYENDU=2)*(xlRTTYEQCL=$F662)*(xlRTEQTYPE=$G662),0))</f>
        <v>CENT_AIR4</v>
      </c>
    </row>
    <row r="663" spans="2:25" x14ac:dyDescent="0.2">
      <c r="B663" s="5">
        <v>5</v>
      </c>
      <c r="C663" s="5">
        <v>1</v>
      </c>
      <c r="D663" s="5">
        <v>3</v>
      </c>
      <c r="E663" s="5">
        <v>9</v>
      </c>
      <c r="F663" s="5">
        <v>2</v>
      </c>
      <c r="G663" s="31">
        <v>7</v>
      </c>
      <c r="H663" s="5">
        <v>2033</v>
      </c>
      <c r="I663" s="5">
        <v>2050</v>
      </c>
      <c r="J663" s="142">
        <v>1.0849</v>
      </c>
      <c r="K663" s="142">
        <v>1.0471999999999999</v>
      </c>
      <c r="L663" s="142">
        <v>0.33260000000000001</v>
      </c>
      <c r="M663" s="142">
        <v>0.73150000000000004</v>
      </c>
      <c r="N663" s="142">
        <v>0.76180000000000003</v>
      </c>
      <c r="O663" s="142">
        <v>1.0538000000000001</v>
      </c>
      <c r="P663" s="26">
        <v>15568.362130152442</v>
      </c>
      <c r="Q663" s="35">
        <f t="array" ref="Q663">SUM(IF(($S663&gt;=4)*($C663='TaxCred&amp;Subs'!$D$114:$D$121)*($H663='TaxCred&amp;Subs'!$C$114:$C$121)*($H663&lt;='TaxCred&amp;Subs'!$C$123),'TaxCred&amp;Subs'!$E$114:$E$121,0))</f>
        <v>0</v>
      </c>
      <c r="R663" s="143">
        <v>0</v>
      </c>
      <c r="S663" s="5">
        <v>5</v>
      </c>
      <c r="T663" s="5" t="s">
        <v>221</v>
      </c>
      <c r="V663" s="7" t="str">
        <f t="array" ref="V663">INDEX(xlRTCLNAME,MATCH(1,(xlRTCLENDU=1)*(xlRTCLEQCL=$D663),0))</f>
        <v>NG_FA</v>
      </c>
      <c r="W663" s="7" t="str">
        <f t="array" ref="W663">INDEX(xlRTCLNAME,MATCH(1,(xlRTCLENDU=2)*(xlRTCLEQCL=$F663),0))</f>
        <v>CENT_AIR</v>
      </c>
      <c r="X663" s="7" t="str">
        <f t="array" ref="X663">INDEX(xlRTTYNAME,MATCH(1,(xlRTTYENDU=1)*(xlRTTYEQCL=$D663)*(xlRTEQTYPE=$E663),0))</f>
        <v>NG_FA4</v>
      </c>
      <c r="Y663" s="7" t="str">
        <f t="array" ref="Y663">INDEX(xlRTTYNAME,MATCH(1,(xlRTTYENDU=2)*(xlRTTYEQCL=$F663)*(xlRTEQTYPE=$G663),0))</f>
        <v>CENT_AIR4</v>
      </c>
    </row>
    <row r="664" spans="2:25" x14ac:dyDescent="0.2">
      <c r="B664" s="5">
        <v>6</v>
      </c>
      <c r="C664" s="5">
        <v>1</v>
      </c>
      <c r="D664" s="5">
        <v>3</v>
      </c>
      <c r="E664" s="5">
        <v>9</v>
      </c>
      <c r="F664" s="5">
        <v>2</v>
      </c>
      <c r="G664" s="31">
        <v>7</v>
      </c>
      <c r="H664" s="31">
        <v>2020</v>
      </c>
      <c r="I664" s="5">
        <v>2022</v>
      </c>
      <c r="J664" s="142">
        <v>1.0924</v>
      </c>
      <c r="K664" s="142">
        <v>1.0661</v>
      </c>
      <c r="L664" s="142">
        <v>0.41849999999999998</v>
      </c>
      <c r="M664" s="142">
        <v>0.76590000000000003</v>
      </c>
      <c r="N664" s="142">
        <v>0.89100000000000001</v>
      </c>
      <c r="O664" s="142">
        <v>1.0538000000000001</v>
      </c>
      <c r="P664" s="26">
        <v>15382.816403063658</v>
      </c>
      <c r="Q664" s="35">
        <f t="array" ref="Q664">SUM(IF(($S664&gt;=4)*($C664='TaxCred&amp;Subs'!$D$114:$D$121)*($H664='TaxCred&amp;Subs'!$C$114:$C$121)*($H664&lt;='TaxCred&amp;Subs'!$C$123),'TaxCred&amp;Subs'!$E$114:$E$121,0))</f>
        <v>2000</v>
      </c>
      <c r="R664" s="143">
        <v>0</v>
      </c>
      <c r="S664" s="5">
        <v>5</v>
      </c>
      <c r="T664" s="5" t="s">
        <v>221</v>
      </c>
      <c r="V664" s="7" t="str">
        <f t="array" ref="V664">INDEX(xlRTCLNAME,MATCH(1,(xlRTCLENDU=1)*(xlRTCLEQCL=$D664),0))</f>
        <v>NG_FA</v>
      </c>
      <c r="W664" s="7" t="str">
        <f t="array" ref="W664">INDEX(xlRTCLNAME,MATCH(1,(xlRTCLENDU=2)*(xlRTCLEQCL=$F664),0))</f>
        <v>CENT_AIR</v>
      </c>
      <c r="X664" s="7" t="str">
        <f t="array" ref="X664">INDEX(xlRTTYNAME,MATCH(1,(xlRTTYENDU=1)*(xlRTTYEQCL=$D664)*(xlRTEQTYPE=$E664),0))</f>
        <v>NG_FA4</v>
      </c>
      <c r="Y664" s="7" t="str">
        <f t="array" ref="Y664">INDEX(xlRTTYNAME,MATCH(1,(xlRTTYENDU=2)*(xlRTTYEQCL=$F664)*(xlRTEQTYPE=$G664),0))</f>
        <v>CENT_AIR4</v>
      </c>
    </row>
    <row r="665" spans="2:25" x14ac:dyDescent="0.2">
      <c r="B665" s="5">
        <v>6</v>
      </c>
      <c r="C665" s="5">
        <v>1</v>
      </c>
      <c r="D665" s="5">
        <v>3</v>
      </c>
      <c r="E665" s="5">
        <v>9</v>
      </c>
      <c r="F665" s="5">
        <v>2</v>
      </c>
      <c r="G665" s="31">
        <v>7</v>
      </c>
      <c r="H665" s="5">
        <v>2023</v>
      </c>
      <c r="I665" s="5">
        <v>2032</v>
      </c>
      <c r="J665" s="142">
        <v>1.0924</v>
      </c>
      <c r="K665" s="142">
        <v>1.0661</v>
      </c>
      <c r="L665" s="142">
        <v>0.41849999999999998</v>
      </c>
      <c r="M665" s="142">
        <v>0.76590000000000003</v>
      </c>
      <c r="N665" s="142">
        <v>0.89100000000000001</v>
      </c>
      <c r="O665" s="142">
        <v>1.0538000000000001</v>
      </c>
      <c r="P665" s="26">
        <v>15382.816403063658</v>
      </c>
      <c r="Q665" s="35">
        <f t="array" ref="Q665">SUM(IF(($S665&gt;=4)*($C665='TaxCred&amp;Subs'!$D$114:$D$121)*($H665='TaxCred&amp;Subs'!$C$114:$C$121)*($H665&lt;='TaxCred&amp;Subs'!$C$123),'TaxCred&amp;Subs'!$E$114:$E$121,0))</f>
        <v>2500</v>
      </c>
      <c r="R665" s="143">
        <v>0</v>
      </c>
      <c r="S665" s="5">
        <v>5</v>
      </c>
      <c r="T665" s="5" t="s">
        <v>221</v>
      </c>
      <c r="V665" s="7" t="str">
        <f t="array" ref="V665">INDEX(xlRTCLNAME,MATCH(1,(xlRTCLENDU=1)*(xlRTCLEQCL=$D665),0))</f>
        <v>NG_FA</v>
      </c>
      <c r="W665" s="7" t="str">
        <f t="array" ref="W665">INDEX(xlRTCLNAME,MATCH(1,(xlRTCLENDU=2)*(xlRTCLEQCL=$F665),0))</f>
        <v>CENT_AIR</v>
      </c>
      <c r="X665" s="7" t="str">
        <f t="array" ref="X665">INDEX(xlRTTYNAME,MATCH(1,(xlRTTYENDU=1)*(xlRTTYEQCL=$D665)*(xlRTEQTYPE=$E665),0))</f>
        <v>NG_FA4</v>
      </c>
      <c r="Y665" s="7" t="str">
        <f t="array" ref="Y665">INDEX(xlRTTYNAME,MATCH(1,(xlRTTYENDU=2)*(xlRTTYEQCL=$F665)*(xlRTEQTYPE=$G665),0))</f>
        <v>CENT_AIR4</v>
      </c>
    </row>
    <row r="666" spans="2:25" x14ac:dyDescent="0.2">
      <c r="B666" s="5">
        <v>6</v>
      </c>
      <c r="C666" s="5">
        <v>1</v>
      </c>
      <c r="D666" s="5">
        <v>3</v>
      </c>
      <c r="E666" s="5">
        <v>9</v>
      </c>
      <c r="F666" s="5">
        <v>2</v>
      </c>
      <c r="G666" s="31">
        <v>7</v>
      </c>
      <c r="H666" s="5">
        <v>2033</v>
      </c>
      <c r="I666" s="5">
        <v>2050</v>
      </c>
      <c r="J666" s="142">
        <v>1.0924</v>
      </c>
      <c r="K666" s="142">
        <v>1.0661</v>
      </c>
      <c r="L666" s="142">
        <v>0.41849999999999998</v>
      </c>
      <c r="M666" s="142">
        <v>0.76590000000000003</v>
      </c>
      <c r="N666" s="142">
        <v>0.89100000000000001</v>
      </c>
      <c r="O666" s="142">
        <v>1.0538000000000001</v>
      </c>
      <c r="P666" s="26">
        <v>15382.816403063658</v>
      </c>
      <c r="Q666" s="35">
        <f t="array" ref="Q666">SUM(IF(($S666&gt;=4)*($C666='TaxCred&amp;Subs'!$D$114:$D$121)*($H666='TaxCred&amp;Subs'!$C$114:$C$121)*($H666&lt;='TaxCred&amp;Subs'!$C$123),'TaxCred&amp;Subs'!$E$114:$E$121,0))</f>
        <v>0</v>
      </c>
      <c r="R666" s="143">
        <v>0</v>
      </c>
      <c r="S666" s="5">
        <v>5</v>
      </c>
      <c r="T666" s="5" t="s">
        <v>221</v>
      </c>
      <c r="V666" s="7" t="str">
        <f t="array" ref="V666">INDEX(xlRTCLNAME,MATCH(1,(xlRTCLENDU=1)*(xlRTCLEQCL=$D666),0))</f>
        <v>NG_FA</v>
      </c>
      <c r="W666" s="7" t="str">
        <f t="array" ref="W666">INDEX(xlRTCLNAME,MATCH(1,(xlRTCLENDU=2)*(xlRTCLEQCL=$F666),0))</f>
        <v>CENT_AIR</v>
      </c>
      <c r="X666" s="7" t="str">
        <f t="array" ref="X666">INDEX(xlRTTYNAME,MATCH(1,(xlRTTYENDU=1)*(xlRTTYEQCL=$D666)*(xlRTEQTYPE=$E666),0))</f>
        <v>NG_FA4</v>
      </c>
      <c r="Y666" s="7" t="str">
        <f t="array" ref="Y666">INDEX(xlRTTYNAME,MATCH(1,(xlRTTYENDU=2)*(xlRTTYEQCL=$F666)*(xlRTEQTYPE=$G666),0))</f>
        <v>CENT_AIR4</v>
      </c>
    </row>
    <row r="667" spans="2:25" x14ac:dyDescent="0.2">
      <c r="B667" s="5">
        <v>7</v>
      </c>
      <c r="C667" s="5">
        <v>1</v>
      </c>
      <c r="D667" s="5">
        <v>3</v>
      </c>
      <c r="E667" s="5">
        <v>9</v>
      </c>
      <c r="F667" s="5">
        <v>2</v>
      </c>
      <c r="G667" s="31">
        <v>7</v>
      </c>
      <c r="H667" s="31">
        <v>2020</v>
      </c>
      <c r="I667" s="5">
        <v>2022</v>
      </c>
      <c r="J667" s="142">
        <v>1.0905</v>
      </c>
      <c r="K667" s="142">
        <v>1.0562</v>
      </c>
      <c r="L667" s="142">
        <v>0.37419999999999998</v>
      </c>
      <c r="M667" s="142">
        <v>0.65339999999999998</v>
      </c>
      <c r="N667" s="142">
        <v>0.87180000000000002</v>
      </c>
      <c r="O667" s="142">
        <v>1.0538000000000001</v>
      </c>
      <c r="P667" s="26">
        <v>15600.63095225484</v>
      </c>
      <c r="Q667" s="35">
        <f t="array" ref="Q667">SUM(IF(($S667&gt;=4)*($C667='TaxCred&amp;Subs'!$D$114:$D$121)*($H667='TaxCred&amp;Subs'!$C$114:$C$121)*($H667&lt;='TaxCred&amp;Subs'!$C$123),'TaxCred&amp;Subs'!$E$114:$E$121,0))</f>
        <v>2000</v>
      </c>
      <c r="R667" s="143">
        <v>0</v>
      </c>
      <c r="S667" s="5">
        <v>5</v>
      </c>
      <c r="T667" s="5" t="s">
        <v>221</v>
      </c>
      <c r="V667" s="7" t="str">
        <f t="array" ref="V667">INDEX(xlRTCLNAME,MATCH(1,(xlRTCLENDU=1)*(xlRTCLEQCL=$D667),0))</f>
        <v>NG_FA</v>
      </c>
      <c r="W667" s="7" t="str">
        <f t="array" ref="W667">INDEX(xlRTCLNAME,MATCH(1,(xlRTCLENDU=2)*(xlRTCLEQCL=$F667),0))</f>
        <v>CENT_AIR</v>
      </c>
      <c r="X667" s="7" t="str">
        <f t="array" ref="X667">INDEX(xlRTTYNAME,MATCH(1,(xlRTTYENDU=1)*(xlRTTYEQCL=$D667)*(xlRTEQTYPE=$E667),0))</f>
        <v>NG_FA4</v>
      </c>
      <c r="Y667" s="7" t="str">
        <f t="array" ref="Y667">INDEX(xlRTTYNAME,MATCH(1,(xlRTTYENDU=2)*(xlRTTYEQCL=$F667)*(xlRTEQTYPE=$G667),0))</f>
        <v>CENT_AIR4</v>
      </c>
    </row>
    <row r="668" spans="2:25" x14ac:dyDescent="0.2">
      <c r="B668" s="5">
        <v>7</v>
      </c>
      <c r="C668" s="5">
        <v>1</v>
      </c>
      <c r="D668" s="5">
        <v>3</v>
      </c>
      <c r="E668" s="5">
        <v>9</v>
      </c>
      <c r="F668" s="5">
        <v>2</v>
      </c>
      <c r="G668" s="31">
        <v>7</v>
      </c>
      <c r="H668" s="5">
        <v>2023</v>
      </c>
      <c r="I668" s="5">
        <v>2032</v>
      </c>
      <c r="J668" s="142">
        <v>1.0905</v>
      </c>
      <c r="K668" s="142">
        <v>1.0562</v>
      </c>
      <c r="L668" s="142">
        <v>0.37419999999999998</v>
      </c>
      <c r="M668" s="142">
        <v>0.65339999999999998</v>
      </c>
      <c r="N668" s="142">
        <v>0.87180000000000002</v>
      </c>
      <c r="O668" s="142">
        <v>1.0538000000000001</v>
      </c>
      <c r="P668" s="26">
        <v>15600.63095225484</v>
      </c>
      <c r="Q668" s="35">
        <f t="array" ref="Q668">SUM(IF(($S668&gt;=4)*($C668='TaxCred&amp;Subs'!$D$114:$D$121)*($H668='TaxCred&amp;Subs'!$C$114:$C$121)*($H668&lt;='TaxCred&amp;Subs'!$C$123),'TaxCred&amp;Subs'!$E$114:$E$121,0))</f>
        <v>2500</v>
      </c>
      <c r="R668" s="143">
        <v>0</v>
      </c>
      <c r="S668" s="5">
        <v>5</v>
      </c>
      <c r="T668" s="5" t="s">
        <v>221</v>
      </c>
      <c r="V668" s="7" t="str">
        <f t="array" ref="V668">INDEX(xlRTCLNAME,MATCH(1,(xlRTCLENDU=1)*(xlRTCLEQCL=$D668),0))</f>
        <v>NG_FA</v>
      </c>
      <c r="W668" s="7" t="str">
        <f t="array" ref="W668">INDEX(xlRTCLNAME,MATCH(1,(xlRTCLENDU=2)*(xlRTCLEQCL=$F668),0))</f>
        <v>CENT_AIR</v>
      </c>
      <c r="X668" s="7" t="str">
        <f t="array" ref="X668">INDEX(xlRTTYNAME,MATCH(1,(xlRTTYENDU=1)*(xlRTTYEQCL=$D668)*(xlRTEQTYPE=$E668),0))</f>
        <v>NG_FA4</v>
      </c>
      <c r="Y668" s="7" t="str">
        <f t="array" ref="Y668">INDEX(xlRTTYNAME,MATCH(1,(xlRTTYENDU=2)*(xlRTTYEQCL=$F668)*(xlRTEQTYPE=$G668),0))</f>
        <v>CENT_AIR4</v>
      </c>
    </row>
    <row r="669" spans="2:25" x14ac:dyDescent="0.2">
      <c r="B669" s="5">
        <v>7</v>
      </c>
      <c r="C669" s="5">
        <v>1</v>
      </c>
      <c r="D669" s="5">
        <v>3</v>
      </c>
      <c r="E669" s="5">
        <v>9</v>
      </c>
      <c r="F669" s="5">
        <v>2</v>
      </c>
      <c r="G669" s="31">
        <v>7</v>
      </c>
      <c r="H669" s="5">
        <v>2033</v>
      </c>
      <c r="I669" s="5">
        <v>2050</v>
      </c>
      <c r="J669" s="142">
        <v>1.0905</v>
      </c>
      <c r="K669" s="142">
        <v>1.0562</v>
      </c>
      <c r="L669" s="142">
        <v>0.37419999999999998</v>
      </c>
      <c r="M669" s="142">
        <v>0.65339999999999998</v>
      </c>
      <c r="N669" s="142">
        <v>0.87180000000000002</v>
      </c>
      <c r="O669" s="142">
        <v>1.0538000000000001</v>
      </c>
      <c r="P669" s="26">
        <v>15600.63095225484</v>
      </c>
      <c r="Q669" s="35">
        <f t="array" ref="Q669">SUM(IF(($S669&gt;=4)*($C669='TaxCred&amp;Subs'!$D$114:$D$121)*($H669='TaxCred&amp;Subs'!$C$114:$C$121)*($H669&lt;='TaxCred&amp;Subs'!$C$123),'TaxCred&amp;Subs'!$E$114:$E$121,0))</f>
        <v>0</v>
      </c>
      <c r="R669" s="143">
        <v>0</v>
      </c>
      <c r="S669" s="5">
        <v>5</v>
      </c>
      <c r="T669" s="5" t="s">
        <v>221</v>
      </c>
      <c r="V669" s="7" t="str">
        <f t="array" ref="V669">INDEX(xlRTCLNAME,MATCH(1,(xlRTCLENDU=1)*(xlRTCLEQCL=$D669),0))</f>
        <v>NG_FA</v>
      </c>
      <c r="W669" s="7" t="str">
        <f t="array" ref="W669">INDEX(xlRTCLNAME,MATCH(1,(xlRTCLENDU=2)*(xlRTCLEQCL=$F669),0))</f>
        <v>CENT_AIR</v>
      </c>
      <c r="X669" s="7" t="str">
        <f t="array" ref="X669">INDEX(xlRTTYNAME,MATCH(1,(xlRTTYENDU=1)*(xlRTTYEQCL=$D669)*(xlRTEQTYPE=$E669),0))</f>
        <v>NG_FA4</v>
      </c>
      <c r="Y669" s="7" t="str">
        <f t="array" ref="Y669">INDEX(xlRTTYNAME,MATCH(1,(xlRTTYENDU=2)*(xlRTTYEQCL=$F669)*(xlRTEQTYPE=$G669),0))</f>
        <v>CENT_AIR4</v>
      </c>
    </row>
    <row r="670" spans="2:25" x14ac:dyDescent="0.2">
      <c r="B670" s="5">
        <v>8</v>
      </c>
      <c r="C670" s="5">
        <v>1</v>
      </c>
      <c r="D670" s="5">
        <v>3</v>
      </c>
      <c r="E670" s="5">
        <v>9</v>
      </c>
      <c r="F670" s="5">
        <v>2</v>
      </c>
      <c r="G670" s="31">
        <v>7</v>
      </c>
      <c r="H670" s="31">
        <v>2020</v>
      </c>
      <c r="I670" s="5">
        <v>2022</v>
      </c>
      <c r="J670" s="142">
        <v>1.0801000000000001</v>
      </c>
      <c r="K670" s="142">
        <v>1.0822000000000001</v>
      </c>
      <c r="L670" s="142">
        <v>0.43120000000000003</v>
      </c>
      <c r="M670" s="142">
        <v>0.78110000000000002</v>
      </c>
      <c r="N670" s="142">
        <v>0.86950000000000005</v>
      </c>
      <c r="O670" s="142">
        <v>1.0538000000000001</v>
      </c>
      <c r="P670" s="26">
        <v>16260.797271099718</v>
      </c>
      <c r="Q670" s="35">
        <f t="array" ref="Q670">SUM(IF(($S670&gt;=4)*($C670='TaxCred&amp;Subs'!$D$114:$D$121)*($H670='TaxCred&amp;Subs'!$C$114:$C$121)*($H670&lt;='TaxCred&amp;Subs'!$C$123),'TaxCred&amp;Subs'!$E$114:$E$121,0))</f>
        <v>2000</v>
      </c>
      <c r="R670" s="143">
        <v>0</v>
      </c>
      <c r="S670" s="5">
        <v>5</v>
      </c>
      <c r="T670" s="5" t="s">
        <v>221</v>
      </c>
      <c r="V670" s="7" t="str">
        <f t="array" ref="V670">INDEX(xlRTCLNAME,MATCH(1,(xlRTCLENDU=1)*(xlRTCLEQCL=$D670),0))</f>
        <v>NG_FA</v>
      </c>
      <c r="W670" s="7" t="str">
        <f t="array" ref="W670">INDEX(xlRTCLNAME,MATCH(1,(xlRTCLENDU=2)*(xlRTCLEQCL=$F670),0))</f>
        <v>CENT_AIR</v>
      </c>
      <c r="X670" s="7" t="str">
        <f t="array" ref="X670">INDEX(xlRTTYNAME,MATCH(1,(xlRTTYENDU=1)*(xlRTTYEQCL=$D670)*(xlRTEQTYPE=$E670),0))</f>
        <v>NG_FA4</v>
      </c>
      <c r="Y670" s="7" t="str">
        <f t="array" ref="Y670">INDEX(xlRTTYNAME,MATCH(1,(xlRTTYENDU=2)*(xlRTTYEQCL=$F670)*(xlRTEQTYPE=$G670),0))</f>
        <v>CENT_AIR4</v>
      </c>
    </row>
    <row r="671" spans="2:25" x14ac:dyDescent="0.2">
      <c r="B671" s="5">
        <v>8</v>
      </c>
      <c r="C671" s="5">
        <v>1</v>
      </c>
      <c r="D671" s="5">
        <v>3</v>
      </c>
      <c r="E671" s="5">
        <v>9</v>
      </c>
      <c r="F671" s="5">
        <v>2</v>
      </c>
      <c r="G671" s="31">
        <v>7</v>
      </c>
      <c r="H671" s="5">
        <v>2023</v>
      </c>
      <c r="I671" s="5">
        <v>2032</v>
      </c>
      <c r="J671" s="142">
        <v>1.0801000000000001</v>
      </c>
      <c r="K671" s="142">
        <v>1.0822000000000001</v>
      </c>
      <c r="L671" s="142">
        <v>0.43120000000000003</v>
      </c>
      <c r="M671" s="142">
        <v>0.78110000000000002</v>
      </c>
      <c r="N671" s="142">
        <v>0.86950000000000005</v>
      </c>
      <c r="O671" s="142">
        <v>1.0538000000000001</v>
      </c>
      <c r="P671" s="26">
        <v>16260.797271099718</v>
      </c>
      <c r="Q671" s="35">
        <f t="array" ref="Q671">SUM(IF(($S671&gt;=4)*($C671='TaxCred&amp;Subs'!$D$114:$D$121)*($H671='TaxCred&amp;Subs'!$C$114:$C$121)*($H671&lt;='TaxCred&amp;Subs'!$C$123),'TaxCred&amp;Subs'!$E$114:$E$121,0))</f>
        <v>2500</v>
      </c>
      <c r="R671" s="143">
        <v>0</v>
      </c>
      <c r="S671" s="5">
        <v>5</v>
      </c>
      <c r="T671" s="5" t="s">
        <v>221</v>
      </c>
      <c r="V671" s="7" t="str">
        <f t="array" ref="V671">INDEX(xlRTCLNAME,MATCH(1,(xlRTCLENDU=1)*(xlRTCLEQCL=$D671),0))</f>
        <v>NG_FA</v>
      </c>
      <c r="W671" s="7" t="str">
        <f t="array" ref="W671">INDEX(xlRTCLNAME,MATCH(1,(xlRTCLENDU=2)*(xlRTCLEQCL=$F671),0))</f>
        <v>CENT_AIR</v>
      </c>
      <c r="X671" s="7" t="str">
        <f t="array" ref="X671">INDEX(xlRTTYNAME,MATCH(1,(xlRTTYENDU=1)*(xlRTTYEQCL=$D671)*(xlRTEQTYPE=$E671),0))</f>
        <v>NG_FA4</v>
      </c>
      <c r="Y671" s="7" t="str">
        <f t="array" ref="Y671">INDEX(xlRTTYNAME,MATCH(1,(xlRTTYENDU=2)*(xlRTTYEQCL=$F671)*(xlRTEQTYPE=$G671),0))</f>
        <v>CENT_AIR4</v>
      </c>
    </row>
    <row r="672" spans="2:25" x14ac:dyDescent="0.2">
      <c r="B672" s="5">
        <v>8</v>
      </c>
      <c r="C672" s="5">
        <v>1</v>
      </c>
      <c r="D672" s="5">
        <v>3</v>
      </c>
      <c r="E672" s="5">
        <v>9</v>
      </c>
      <c r="F672" s="5">
        <v>2</v>
      </c>
      <c r="G672" s="31">
        <v>7</v>
      </c>
      <c r="H672" s="5">
        <v>2033</v>
      </c>
      <c r="I672" s="5">
        <v>2050</v>
      </c>
      <c r="J672" s="142">
        <v>1.0801000000000001</v>
      </c>
      <c r="K672" s="142">
        <v>1.0822000000000001</v>
      </c>
      <c r="L672" s="142">
        <v>0.43120000000000003</v>
      </c>
      <c r="M672" s="142">
        <v>0.78110000000000002</v>
      </c>
      <c r="N672" s="142">
        <v>0.86950000000000005</v>
      </c>
      <c r="O672" s="142">
        <v>1.0538000000000001</v>
      </c>
      <c r="P672" s="26">
        <v>16260.797271099718</v>
      </c>
      <c r="Q672" s="35">
        <f t="array" ref="Q672">SUM(IF(($S672&gt;=4)*($C672='TaxCred&amp;Subs'!$D$114:$D$121)*($H672='TaxCred&amp;Subs'!$C$114:$C$121)*($H672&lt;='TaxCred&amp;Subs'!$C$123),'TaxCred&amp;Subs'!$E$114:$E$121,0))</f>
        <v>0</v>
      </c>
      <c r="R672" s="143">
        <v>0</v>
      </c>
      <c r="S672" s="5">
        <v>5</v>
      </c>
      <c r="T672" s="5" t="s">
        <v>221</v>
      </c>
      <c r="V672" s="7" t="str">
        <f t="array" ref="V672">INDEX(xlRTCLNAME,MATCH(1,(xlRTCLENDU=1)*(xlRTCLEQCL=$D672),0))</f>
        <v>NG_FA</v>
      </c>
      <c r="W672" s="7" t="str">
        <f t="array" ref="W672">INDEX(xlRTCLNAME,MATCH(1,(xlRTCLENDU=2)*(xlRTCLEQCL=$F672),0))</f>
        <v>CENT_AIR</v>
      </c>
      <c r="X672" s="7" t="str">
        <f t="array" ref="X672">INDEX(xlRTTYNAME,MATCH(1,(xlRTTYENDU=1)*(xlRTTYEQCL=$D672)*(xlRTEQTYPE=$E672),0))</f>
        <v>NG_FA4</v>
      </c>
      <c r="Y672" s="7" t="str">
        <f t="array" ref="Y672">INDEX(xlRTTYNAME,MATCH(1,(xlRTTYENDU=2)*(xlRTTYEQCL=$F672)*(xlRTEQTYPE=$G672),0))</f>
        <v>CENT_AIR4</v>
      </c>
    </row>
    <row r="673" spans="2:25" x14ac:dyDescent="0.2">
      <c r="B673" s="5">
        <v>9</v>
      </c>
      <c r="C673" s="5">
        <v>1</v>
      </c>
      <c r="D673" s="5">
        <v>3</v>
      </c>
      <c r="E673" s="5">
        <v>9</v>
      </c>
      <c r="F673" s="5">
        <v>2</v>
      </c>
      <c r="G673" s="31">
        <v>7</v>
      </c>
      <c r="H673" s="31">
        <v>2020</v>
      </c>
      <c r="I673" s="5">
        <v>2022</v>
      </c>
      <c r="J673" s="142">
        <v>1.0781000000000001</v>
      </c>
      <c r="K673" s="142">
        <v>1.0707</v>
      </c>
      <c r="L673" s="142">
        <v>0.39879999999999999</v>
      </c>
      <c r="M673" s="142">
        <v>0.76029999999999998</v>
      </c>
      <c r="N673" s="142">
        <v>1.0339</v>
      </c>
      <c r="O673" s="142">
        <v>1.0538000000000001</v>
      </c>
      <c r="P673" s="26">
        <v>19815.745839380488</v>
      </c>
      <c r="Q673" s="35">
        <f t="array" ref="Q673">SUM(IF(($S673&gt;=4)*($C673='TaxCred&amp;Subs'!$D$114:$D$121)*($H673='TaxCred&amp;Subs'!$C$114:$C$121)*($H673&lt;='TaxCred&amp;Subs'!$C$123),'TaxCred&amp;Subs'!$E$114:$E$121,0))</f>
        <v>2000</v>
      </c>
      <c r="R673" s="143">
        <v>0</v>
      </c>
      <c r="S673" s="5">
        <v>5</v>
      </c>
      <c r="T673" s="5" t="s">
        <v>221</v>
      </c>
      <c r="V673" s="7" t="str">
        <f t="array" ref="V673">INDEX(xlRTCLNAME,MATCH(1,(xlRTCLENDU=1)*(xlRTCLEQCL=$D673),0))</f>
        <v>NG_FA</v>
      </c>
      <c r="W673" s="7" t="str">
        <f t="array" ref="W673">INDEX(xlRTCLNAME,MATCH(1,(xlRTCLENDU=2)*(xlRTCLEQCL=$F673),0))</f>
        <v>CENT_AIR</v>
      </c>
      <c r="X673" s="7" t="str">
        <f t="array" ref="X673">INDEX(xlRTTYNAME,MATCH(1,(xlRTTYENDU=1)*(xlRTTYEQCL=$D673)*(xlRTEQTYPE=$E673),0))</f>
        <v>NG_FA4</v>
      </c>
      <c r="Y673" s="7" t="str">
        <f t="array" ref="Y673">INDEX(xlRTTYNAME,MATCH(1,(xlRTTYENDU=2)*(xlRTTYEQCL=$F673)*(xlRTEQTYPE=$G673),0))</f>
        <v>CENT_AIR4</v>
      </c>
    </row>
    <row r="674" spans="2:25" x14ac:dyDescent="0.2">
      <c r="B674" s="5">
        <v>9</v>
      </c>
      <c r="C674" s="5">
        <v>1</v>
      </c>
      <c r="D674" s="5">
        <v>3</v>
      </c>
      <c r="E674" s="5">
        <v>9</v>
      </c>
      <c r="F674" s="5">
        <v>2</v>
      </c>
      <c r="G674" s="31">
        <v>7</v>
      </c>
      <c r="H674" s="5">
        <v>2023</v>
      </c>
      <c r="I674" s="5">
        <v>2032</v>
      </c>
      <c r="J674" s="142">
        <v>1.0781000000000001</v>
      </c>
      <c r="K674" s="142">
        <v>1.0707</v>
      </c>
      <c r="L674" s="142">
        <v>0.39879999999999999</v>
      </c>
      <c r="M674" s="142">
        <v>0.76029999999999998</v>
      </c>
      <c r="N674" s="142">
        <v>1.0339</v>
      </c>
      <c r="O674" s="142">
        <v>1.0538000000000001</v>
      </c>
      <c r="P674" s="26">
        <v>19815.745839380488</v>
      </c>
      <c r="Q674" s="35">
        <f t="array" ref="Q674">SUM(IF(($S674&gt;=4)*($C674='TaxCred&amp;Subs'!$D$114:$D$121)*($H674='TaxCred&amp;Subs'!$C$114:$C$121)*($H674&lt;='TaxCred&amp;Subs'!$C$123),'TaxCred&amp;Subs'!$E$114:$E$121,0))</f>
        <v>2500</v>
      </c>
      <c r="R674" s="143">
        <v>0</v>
      </c>
      <c r="S674" s="5">
        <v>5</v>
      </c>
      <c r="T674" s="5" t="s">
        <v>221</v>
      </c>
      <c r="V674" s="7" t="str">
        <f t="array" ref="V674">INDEX(xlRTCLNAME,MATCH(1,(xlRTCLENDU=1)*(xlRTCLEQCL=$D674),0))</f>
        <v>NG_FA</v>
      </c>
      <c r="W674" s="7" t="str">
        <f t="array" ref="W674">INDEX(xlRTCLNAME,MATCH(1,(xlRTCLENDU=2)*(xlRTCLEQCL=$F674),0))</f>
        <v>CENT_AIR</v>
      </c>
      <c r="X674" s="7" t="str">
        <f t="array" ref="X674">INDEX(xlRTTYNAME,MATCH(1,(xlRTTYENDU=1)*(xlRTTYEQCL=$D674)*(xlRTEQTYPE=$E674),0))</f>
        <v>NG_FA4</v>
      </c>
      <c r="Y674" s="7" t="str">
        <f t="array" ref="Y674">INDEX(xlRTTYNAME,MATCH(1,(xlRTTYENDU=2)*(xlRTTYEQCL=$F674)*(xlRTEQTYPE=$G674),0))</f>
        <v>CENT_AIR4</v>
      </c>
    </row>
    <row r="675" spans="2:25" x14ac:dyDescent="0.2">
      <c r="B675" s="5">
        <v>9</v>
      </c>
      <c r="C675" s="5">
        <v>1</v>
      </c>
      <c r="D675" s="5">
        <v>3</v>
      </c>
      <c r="E675" s="5">
        <v>9</v>
      </c>
      <c r="F675" s="5">
        <v>2</v>
      </c>
      <c r="G675" s="31">
        <v>7</v>
      </c>
      <c r="H675" s="5">
        <v>2033</v>
      </c>
      <c r="I675" s="5">
        <v>2050</v>
      </c>
      <c r="J675" s="142">
        <v>1.0781000000000001</v>
      </c>
      <c r="K675" s="142">
        <v>1.0707</v>
      </c>
      <c r="L675" s="142">
        <v>0.39879999999999999</v>
      </c>
      <c r="M675" s="142">
        <v>0.76029999999999998</v>
      </c>
      <c r="N675" s="142">
        <v>1.0339</v>
      </c>
      <c r="O675" s="142">
        <v>1.0538000000000001</v>
      </c>
      <c r="P675" s="26">
        <v>19815.745839380488</v>
      </c>
      <c r="Q675" s="35">
        <f t="array" ref="Q675">SUM(IF(($S675&gt;=4)*($C675='TaxCred&amp;Subs'!$D$114:$D$121)*($H675='TaxCred&amp;Subs'!$C$114:$C$121)*($H675&lt;='TaxCred&amp;Subs'!$C$123),'TaxCred&amp;Subs'!$E$114:$E$121,0))</f>
        <v>0</v>
      </c>
      <c r="R675" s="143">
        <v>0</v>
      </c>
      <c r="S675" s="5">
        <v>5</v>
      </c>
      <c r="T675" s="5" t="s">
        <v>221</v>
      </c>
      <c r="V675" s="7" t="str">
        <f t="array" ref="V675">INDEX(xlRTCLNAME,MATCH(1,(xlRTCLENDU=1)*(xlRTCLEQCL=$D675),0))</f>
        <v>NG_FA</v>
      </c>
      <c r="W675" s="7" t="str">
        <f t="array" ref="W675">INDEX(xlRTCLNAME,MATCH(1,(xlRTCLENDU=2)*(xlRTCLEQCL=$F675),0))</f>
        <v>CENT_AIR</v>
      </c>
      <c r="X675" s="7" t="str">
        <f t="array" ref="X675">INDEX(xlRTTYNAME,MATCH(1,(xlRTTYENDU=1)*(xlRTTYEQCL=$D675)*(xlRTEQTYPE=$E675),0))</f>
        <v>NG_FA4</v>
      </c>
      <c r="Y675" s="7" t="str">
        <f t="array" ref="Y675">INDEX(xlRTTYNAME,MATCH(1,(xlRTTYENDU=2)*(xlRTTYEQCL=$F675)*(xlRTEQTYPE=$G675),0))</f>
        <v>CENT_AIR4</v>
      </c>
    </row>
    <row r="676" spans="2:25" x14ac:dyDescent="0.2">
      <c r="B676" s="5">
        <v>1</v>
      </c>
      <c r="C676" s="5">
        <v>1</v>
      </c>
      <c r="D676" s="5">
        <v>4</v>
      </c>
      <c r="E676" s="5">
        <v>13</v>
      </c>
      <c r="F676" s="5">
        <v>2</v>
      </c>
      <c r="G676" s="31">
        <v>7</v>
      </c>
      <c r="H676" s="31">
        <v>2020</v>
      </c>
      <c r="I676" s="5">
        <v>2022</v>
      </c>
      <c r="J676" s="142">
        <v>1.0592999999999999</v>
      </c>
      <c r="K676" s="142">
        <v>1.0889</v>
      </c>
      <c r="L676" s="142">
        <v>0.44009999999999999</v>
      </c>
      <c r="M676" s="142">
        <v>0.96350000000000002</v>
      </c>
      <c r="N676" s="142">
        <v>0.8095</v>
      </c>
      <c r="O676" s="142">
        <v>1.0538000000000001</v>
      </c>
      <c r="P676" s="26">
        <v>19744.485523904365</v>
      </c>
      <c r="Q676" s="35">
        <f t="array" ref="Q676">SUM(IF(($S676&gt;=4)*($C676='TaxCred&amp;Subs'!$D$114:$D$121)*($H676='TaxCred&amp;Subs'!$C$114:$C$121)*($H676&lt;='TaxCred&amp;Subs'!$C$123),'TaxCred&amp;Subs'!$E$114:$E$121,0))</f>
        <v>2000</v>
      </c>
      <c r="R676" s="143">
        <v>0</v>
      </c>
      <c r="S676" s="5">
        <v>5</v>
      </c>
      <c r="T676" s="5" t="s">
        <v>221</v>
      </c>
      <c r="V676" s="7" t="str">
        <f t="array" ref="V676">INDEX(xlRTCLNAME,MATCH(1,(xlRTCLENDU=1)*(xlRTCLEQCL=$D676),0))</f>
        <v>NG_RAD</v>
      </c>
      <c r="W676" s="7" t="str">
        <f t="array" ref="W676">INDEX(xlRTCLNAME,MATCH(1,(xlRTCLENDU=2)*(xlRTCLEQCL=$F676),0))</f>
        <v>CENT_AIR</v>
      </c>
      <c r="X676" s="7" t="str">
        <f t="array" ref="X676">INDEX(xlRTTYNAME,MATCH(1,(xlRTTYENDU=1)*(xlRTTYEQCL=$D676)*(xlRTEQTYPE=$E676),0))</f>
        <v>NG_RAD4</v>
      </c>
      <c r="Y676" s="7" t="str">
        <f t="array" ref="Y676">INDEX(xlRTTYNAME,MATCH(1,(xlRTTYENDU=2)*(xlRTTYEQCL=$F676)*(xlRTEQTYPE=$G676),0))</f>
        <v>CENT_AIR4</v>
      </c>
    </row>
    <row r="677" spans="2:25" x14ac:dyDescent="0.2">
      <c r="B677" s="5">
        <v>1</v>
      </c>
      <c r="C677" s="5">
        <v>1</v>
      </c>
      <c r="D677" s="5">
        <v>4</v>
      </c>
      <c r="E677" s="5">
        <v>13</v>
      </c>
      <c r="F677" s="5">
        <v>2</v>
      </c>
      <c r="G677" s="31">
        <v>7</v>
      </c>
      <c r="H677" s="5">
        <v>2023</v>
      </c>
      <c r="I677" s="5">
        <v>2032</v>
      </c>
      <c r="J677" s="142">
        <v>1.0592999999999999</v>
      </c>
      <c r="K677" s="142">
        <v>1.0889</v>
      </c>
      <c r="L677" s="142">
        <v>0.44009999999999999</v>
      </c>
      <c r="M677" s="142">
        <v>0.96350000000000002</v>
      </c>
      <c r="N677" s="142">
        <v>0.8095</v>
      </c>
      <c r="O677" s="142">
        <v>1.0538000000000001</v>
      </c>
      <c r="P677" s="26">
        <v>19744.485523904365</v>
      </c>
      <c r="Q677" s="35">
        <f t="array" ref="Q677">SUM(IF(($S677&gt;=4)*($C677='TaxCred&amp;Subs'!$D$114:$D$121)*($H677='TaxCred&amp;Subs'!$C$114:$C$121)*($H677&lt;='TaxCred&amp;Subs'!$C$123),'TaxCred&amp;Subs'!$E$114:$E$121,0))</f>
        <v>2500</v>
      </c>
      <c r="R677" s="143">
        <v>0</v>
      </c>
      <c r="S677" s="5">
        <v>5</v>
      </c>
      <c r="T677" s="5" t="s">
        <v>221</v>
      </c>
      <c r="V677" s="7" t="str">
        <f t="array" ref="V677">INDEX(xlRTCLNAME,MATCH(1,(xlRTCLENDU=1)*(xlRTCLEQCL=$D677),0))</f>
        <v>NG_RAD</v>
      </c>
      <c r="W677" s="7" t="str">
        <f t="array" ref="W677">INDEX(xlRTCLNAME,MATCH(1,(xlRTCLENDU=2)*(xlRTCLEQCL=$F677),0))</f>
        <v>CENT_AIR</v>
      </c>
      <c r="X677" s="7" t="str">
        <f t="array" ref="X677">INDEX(xlRTTYNAME,MATCH(1,(xlRTTYENDU=1)*(xlRTTYEQCL=$D677)*(xlRTEQTYPE=$E677),0))</f>
        <v>NG_RAD4</v>
      </c>
      <c r="Y677" s="7" t="str">
        <f t="array" ref="Y677">INDEX(xlRTTYNAME,MATCH(1,(xlRTTYENDU=2)*(xlRTTYEQCL=$F677)*(xlRTEQTYPE=$G677),0))</f>
        <v>CENT_AIR4</v>
      </c>
    </row>
    <row r="678" spans="2:25" x14ac:dyDescent="0.2">
      <c r="B678" s="5">
        <v>1</v>
      </c>
      <c r="C678" s="5">
        <v>1</v>
      </c>
      <c r="D678" s="5">
        <v>4</v>
      </c>
      <c r="E678" s="5">
        <v>13</v>
      </c>
      <c r="F678" s="5">
        <v>2</v>
      </c>
      <c r="G678" s="31">
        <v>7</v>
      </c>
      <c r="H678" s="5">
        <v>2033</v>
      </c>
      <c r="I678" s="5">
        <v>2050</v>
      </c>
      <c r="J678" s="142">
        <v>1.0592999999999999</v>
      </c>
      <c r="K678" s="142">
        <v>1.0889</v>
      </c>
      <c r="L678" s="142">
        <v>0.44009999999999999</v>
      </c>
      <c r="M678" s="142">
        <v>0.96350000000000002</v>
      </c>
      <c r="N678" s="142">
        <v>0.8095</v>
      </c>
      <c r="O678" s="142">
        <v>1.0538000000000001</v>
      </c>
      <c r="P678" s="26">
        <v>19744.485523904365</v>
      </c>
      <c r="Q678" s="35">
        <f t="array" ref="Q678">SUM(IF(($S678&gt;=4)*($C678='TaxCred&amp;Subs'!$D$114:$D$121)*($H678='TaxCred&amp;Subs'!$C$114:$C$121)*($H678&lt;='TaxCred&amp;Subs'!$C$123),'TaxCred&amp;Subs'!$E$114:$E$121,0))</f>
        <v>0</v>
      </c>
      <c r="R678" s="143">
        <v>0</v>
      </c>
      <c r="S678" s="5">
        <v>5</v>
      </c>
      <c r="T678" s="5" t="s">
        <v>221</v>
      </c>
      <c r="V678" s="7" t="str">
        <f t="array" ref="V678">INDEX(xlRTCLNAME,MATCH(1,(xlRTCLENDU=1)*(xlRTCLEQCL=$D678),0))</f>
        <v>NG_RAD</v>
      </c>
      <c r="W678" s="7" t="str">
        <f t="array" ref="W678">INDEX(xlRTCLNAME,MATCH(1,(xlRTCLENDU=2)*(xlRTCLEQCL=$F678),0))</f>
        <v>CENT_AIR</v>
      </c>
      <c r="X678" s="7" t="str">
        <f t="array" ref="X678">INDEX(xlRTTYNAME,MATCH(1,(xlRTTYENDU=1)*(xlRTTYEQCL=$D678)*(xlRTEQTYPE=$E678),0))</f>
        <v>NG_RAD4</v>
      </c>
      <c r="Y678" s="7" t="str">
        <f t="array" ref="Y678">INDEX(xlRTTYNAME,MATCH(1,(xlRTTYENDU=2)*(xlRTTYEQCL=$F678)*(xlRTEQTYPE=$G678),0))</f>
        <v>CENT_AIR4</v>
      </c>
    </row>
    <row r="679" spans="2:25" x14ac:dyDescent="0.2">
      <c r="B679" s="5">
        <v>2</v>
      </c>
      <c r="C679" s="5">
        <v>1</v>
      </c>
      <c r="D679" s="5">
        <v>4</v>
      </c>
      <c r="E679" s="5">
        <v>13</v>
      </c>
      <c r="F679" s="5">
        <v>2</v>
      </c>
      <c r="G679" s="31">
        <v>7</v>
      </c>
      <c r="H679" s="31">
        <v>2020</v>
      </c>
      <c r="I679" s="5">
        <v>2022</v>
      </c>
      <c r="J679" s="142">
        <v>1.0717000000000001</v>
      </c>
      <c r="K679" s="142">
        <v>1.0895999999999999</v>
      </c>
      <c r="L679" s="142">
        <v>0.4546</v>
      </c>
      <c r="M679" s="142">
        <v>0.81589999999999996</v>
      </c>
      <c r="N679" s="142">
        <v>0.92630000000000001</v>
      </c>
      <c r="O679" s="142">
        <v>1.0538000000000001</v>
      </c>
      <c r="P679" s="26">
        <v>22424.142292657609</v>
      </c>
      <c r="Q679" s="35">
        <f t="array" ref="Q679">SUM(IF(($S679&gt;=4)*($C679='TaxCred&amp;Subs'!$D$114:$D$121)*($H679='TaxCred&amp;Subs'!$C$114:$C$121)*($H679&lt;='TaxCred&amp;Subs'!$C$123),'TaxCred&amp;Subs'!$E$114:$E$121,0))</f>
        <v>2000</v>
      </c>
      <c r="R679" s="143">
        <v>0</v>
      </c>
      <c r="S679" s="5">
        <v>5</v>
      </c>
      <c r="T679" s="5" t="s">
        <v>221</v>
      </c>
      <c r="V679" s="7" t="str">
        <f t="array" ref="V679">INDEX(xlRTCLNAME,MATCH(1,(xlRTCLENDU=1)*(xlRTCLEQCL=$D679),0))</f>
        <v>NG_RAD</v>
      </c>
      <c r="W679" s="7" t="str">
        <f t="array" ref="W679">INDEX(xlRTCLNAME,MATCH(1,(xlRTCLENDU=2)*(xlRTCLEQCL=$F679),0))</f>
        <v>CENT_AIR</v>
      </c>
      <c r="X679" s="7" t="str">
        <f t="array" ref="X679">INDEX(xlRTTYNAME,MATCH(1,(xlRTTYENDU=1)*(xlRTTYEQCL=$D679)*(xlRTEQTYPE=$E679),0))</f>
        <v>NG_RAD4</v>
      </c>
      <c r="Y679" s="7" t="str">
        <f t="array" ref="Y679">INDEX(xlRTTYNAME,MATCH(1,(xlRTTYENDU=2)*(xlRTTYEQCL=$F679)*(xlRTEQTYPE=$G679),0))</f>
        <v>CENT_AIR4</v>
      </c>
    </row>
    <row r="680" spans="2:25" x14ac:dyDescent="0.2">
      <c r="B680" s="5">
        <v>2</v>
      </c>
      <c r="C680" s="5">
        <v>1</v>
      </c>
      <c r="D680" s="5">
        <v>4</v>
      </c>
      <c r="E680" s="5">
        <v>13</v>
      </c>
      <c r="F680" s="5">
        <v>2</v>
      </c>
      <c r="G680" s="31">
        <v>7</v>
      </c>
      <c r="H680" s="5">
        <v>2023</v>
      </c>
      <c r="I680" s="5">
        <v>2032</v>
      </c>
      <c r="J680" s="142">
        <v>1.0717000000000001</v>
      </c>
      <c r="K680" s="142">
        <v>1.0895999999999999</v>
      </c>
      <c r="L680" s="142">
        <v>0.4546</v>
      </c>
      <c r="M680" s="142">
        <v>0.81589999999999996</v>
      </c>
      <c r="N680" s="142">
        <v>0.92630000000000001</v>
      </c>
      <c r="O680" s="142">
        <v>1.0538000000000001</v>
      </c>
      <c r="P680" s="26">
        <v>22424.142292657609</v>
      </c>
      <c r="Q680" s="35">
        <f t="array" ref="Q680">SUM(IF(($S680&gt;=4)*($C680='TaxCred&amp;Subs'!$D$114:$D$121)*($H680='TaxCred&amp;Subs'!$C$114:$C$121)*($H680&lt;='TaxCred&amp;Subs'!$C$123),'TaxCred&amp;Subs'!$E$114:$E$121,0))</f>
        <v>2500</v>
      </c>
      <c r="R680" s="143">
        <v>0</v>
      </c>
      <c r="S680" s="5">
        <v>5</v>
      </c>
      <c r="T680" s="5" t="s">
        <v>221</v>
      </c>
      <c r="V680" s="7" t="str">
        <f t="array" ref="V680">INDEX(xlRTCLNAME,MATCH(1,(xlRTCLENDU=1)*(xlRTCLEQCL=$D680),0))</f>
        <v>NG_RAD</v>
      </c>
      <c r="W680" s="7" t="str">
        <f t="array" ref="W680">INDEX(xlRTCLNAME,MATCH(1,(xlRTCLENDU=2)*(xlRTCLEQCL=$F680),0))</f>
        <v>CENT_AIR</v>
      </c>
      <c r="X680" s="7" t="str">
        <f t="array" ref="X680">INDEX(xlRTTYNAME,MATCH(1,(xlRTTYENDU=1)*(xlRTTYEQCL=$D680)*(xlRTEQTYPE=$E680),0))</f>
        <v>NG_RAD4</v>
      </c>
      <c r="Y680" s="7" t="str">
        <f t="array" ref="Y680">INDEX(xlRTTYNAME,MATCH(1,(xlRTTYENDU=2)*(xlRTTYEQCL=$F680)*(xlRTEQTYPE=$G680),0))</f>
        <v>CENT_AIR4</v>
      </c>
    </row>
    <row r="681" spans="2:25" x14ac:dyDescent="0.2">
      <c r="B681" s="5">
        <v>2</v>
      </c>
      <c r="C681" s="5">
        <v>1</v>
      </c>
      <c r="D681" s="5">
        <v>4</v>
      </c>
      <c r="E681" s="5">
        <v>13</v>
      </c>
      <c r="F681" s="5">
        <v>2</v>
      </c>
      <c r="G681" s="31">
        <v>7</v>
      </c>
      <c r="H681" s="5">
        <v>2033</v>
      </c>
      <c r="I681" s="5">
        <v>2050</v>
      </c>
      <c r="J681" s="142">
        <v>1.0717000000000001</v>
      </c>
      <c r="K681" s="142">
        <v>1.0895999999999999</v>
      </c>
      <c r="L681" s="142">
        <v>0.4546</v>
      </c>
      <c r="M681" s="142">
        <v>0.81589999999999996</v>
      </c>
      <c r="N681" s="142">
        <v>0.92630000000000001</v>
      </c>
      <c r="O681" s="142">
        <v>1.0538000000000001</v>
      </c>
      <c r="P681" s="26">
        <v>22424.142292657609</v>
      </c>
      <c r="Q681" s="35">
        <f t="array" ref="Q681">SUM(IF(($S681&gt;=4)*($C681='TaxCred&amp;Subs'!$D$114:$D$121)*($H681='TaxCred&amp;Subs'!$C$114:$C$121)*($H681&lt;='TaxCred&amp;Subs'!$C$123),'TaxCred&amp;Subs'!$E$114:$E$121,0))</f>
        <v>0</v>
      </c>
      <c r="R681" s="143">
        <v>0</v>
      </c>
      <c r="S681" s="5">
        <v>5</v>
      </c>
      <c r="T681" s="5" t="s">
        <v>221</v>
      </c>
      <c r="V681" s="7" t="str">
        <f t="array" ref="V681">INDEX(xlRTCLNAME,MATCH(1,(xlRTCLENDU=1)*(xlRTCLEQCL=$D681),0))</f>
        <v>NG_RAD</v>
      </c>
      <c r="W681" s="7" t="str">
        <f t="array" ref="W681">INDEX(xlRTCLNAME,MATCH(1,(xlRTCLENDU=2)*(xlRTCLEQCL=$F681),0))</f>
        <v>CENT_AIR</v>
      </c>
      <c r="X681" s="7" t="str">
        <f t="array" ref="X681">INDEX(xlRTTYNAME,MATCH(1,(xlRTTYENDU=1)*(xlRTTYEQCL=$D681)*(xlRTEQTYPE=$E681),0))</f>
        <v>NG_RAD4</v>
      </c>
      <c r="Y681" s="7" t="str">
        <f t="array" ref="Y681">INDEX(xlRTTYNAME,MATCH(1,(xlRTTYENDU=2)*(xlRTTYEQCL=$F681)*(xlRTEQTYPE=$G681),0))</f>
        <v>CENT_AIR4</v>
      </c>
    </row>
    <row r="682" spans="2:25" x14ac:dyDescent="0.2">
      <c r="B682" s="5">
        <v>3</v>
      </c>
      <c r="C682" s="5">
        <v>1</v>
      </c>
      <c r="D682" s="5">
        <v>4</v>
      </c>
      <c r="E682" s="5">
        <v>13</v>
      </c>
      <c r="F682" s="5">
        <v>2</v>
      </c>
      <c r="G682" s="31">
        <v>7</v>
      </c>
      <c r="H682" s="31">
        <v>2020</v>
      </c>
      <c r="I682" s="5">
        <v>2022</v>
      </c>
      <c r="J682" s="142">
        <v>1.0821000000000001</v>
      </c>
      <c r="K682" s="142">
        <v>1.0769</v>
      </c>
      <c r="L682" s="142">
        <v>0.43490000000000001</v>
      </c>
      <c r="M682" s="142">
        <v>0.89800000000000002</v>
      </c>
      <c r="N682" s="142">
        <v>0.91400000000000003</v>
      </c>
      <c r="O682" s="142">
        <v>1.0538000000000001</v>
      </c>
      <c r="P682" s="26">
        <v>17265.164359036837</v>
      </c>
      <c r="Q682" s="35">
        <f t="array" ref="Q682">SUM(IF(($S682&gt;=4)*($C682='TaxCred&amp;Subs'!$D$114:$D$121)*($H682='TaxCred&amp;Subs'!$C$114:$C$121)*($H682&lt;='TaxCred&amp;Subs'!$C$123),'TaxCred&amp;Subs'!$E$114:$E$121,0))</f>
        <v>2000</v>
      </c>
      <c r="R682" s="143">
        <v>0</v>
      </c>
      <c r="S682" s="5">
        <v>5</v>
      </c>
      <c r="T682" s="5" t="s">
        <v>221</v>
      </c>
      <c r="V682" s="7" t="str">
        <f t="array" ref="V682">INDEX(xlRTCLNAME,MATCH(1,(xlRTCLENDU=1)*(xlRTCLEQCL=$D682),0))</f>
        <v>NG_RAD</v>
      </c>
      <c r="W682" s="7" t="str">
        <f t="array" ref="W682">INDEX(xlRTCLNAME,MATCH(1,(xlRTCLENDU=2)*(xlRTCLEQCL=$F682),0))</f>
        <v>CENT_AIR</v>
      </c>
      <c r="X682" s="7" t="str">
        <f t="array" ref="X682">INDEX(xlRTTYNAME,MATCH(1,(xlRTTYENDU=1)*(xlRTTYEQCL=$D682)*(xlRTEQTYPE=$E682),0))</f>
        <v>NG_RAD4</v>
      </c>
      <c r="Y682" s="7" t="str">
        <f t="array" ref="Y682">INDEX(xlRTTYNAME,MATCH(1,(xlRTTYENDU=2)*(xlRTTYEQCL=$F682)*(xlRTEQTYPE=$G682),0))</f>
        <v>CENT_AIR4</v>
      </c>
    </row>
    <row r="683" spans="2:25" x14ac:dyDescent="0.2">
      <c r="B683" s="5">
        <v>3</v>
      </c>
      <c r="C683" s="5">
        <v>1</v>
      </c>
      <c r="D683" s="5">
        <v>4</v>
      </c>
      <c r="E683" s="5">
        <v>13</v>
      </c>
      <c r="F683" s="5">
        <v>2</v>
      </c>
      <c r="G683" s="31">
        <v>7</v>
      </c>
      <c r="H683" s="5">
        <v>2023</v>
      </c>
      <c r="I683" s="5">
        <v>2032</v>
      </c>
      <c r="J683" s="142">
        <v>1.0821000000000001</v>
      </c>
      <c r="K683" s="142">
        <v>1.0769</v>
      </c>
      <c r="L683" s="142">
        <v>0.43490000000000001</v>
      </c>
      <c r="M683" s="142">
        <v>0.89800000000000002</v>
      </c>
      <c r="N683" s="142">
        <v>0.91400000000000003</v>
      </c>
      <c r="O683" s="142">
        <v>1.0538000000000001</v>
      </c>
      <c r="P683" s="26">
        <v>17265.164359036837</v>
      </c>
      <c r="Q683" s="35">
        <f t="array" ref="Q683">SUM(IF(($S683&gt;=4)*($C683='TaxCred&amp;Subs'!$D$114:$D$121)*($H683='TaxCred&amp;Subs'!$C$114:$C$121)*($H683&lt;='TaxCred&amp;Subs'!$C$123),'TaxCred&amp;Subs'!$E$114:$E$121,0))</f>
        <v>2500</v>
      </c>
      <c r="R683" s="143">
        <v>0</v>
      </c>
      <c r="S683" s="5">
        <v>5</v>
      </c>
      <c r="T683" s="5" t="s">
        <v>221</v>
      </c>
      <c r="V683" s="7" t="str">
        <f t="array" ref="V683">INDEX(xlRTCLNAME,MATCH(1,(xlRTCLENDU=1)*(xlRTCLEQCL=$D683),0))</f>
        <v>NG_RAD</v>
      </c>
      <c r="W683" s="7" t="str">
        <f t="array" ref="W683">INDEX(xlRTCLNAME,MATCH(1,(xlRTCLENDU=2)*(xlRTCLEQCL=$F683),0))</f>
        <v>CENT_AIR</v>
      </c>
      <c r="X683" s="7" t="str">
        <f t="array" ref="X683">INDEX(xlRTTYNAME,MATCH(1,(xlRTTYENDU=1)*(xlRTTYEQCL=$D683)*(xlRTEQTYPE=$E683),0))</f>
        <v>NG_RAD4</v>
      </c>
      <c r="Y683" s="7" t="str">
        <f t="array" ref="Y683">INDEX(xlRTTYNAME,MATCH(1,(xlRTTYENDU=2)*(xlRTTYEQCL=$F683)*(xlRTEQTYPE=$G683),0))</f>
        <v>CENT_AIR4</v>
      </c>
    </row>
    <row r="684" spans="2:25" x14ac:dyDescent="0.2">
      <c r="B684" s="5">
        <v>3</v>
      </c>
      <c r="C684" s="5">
        <v>1</v>
      </c>
      <c r="D684" s="5">
        <v>4</v>
      </c>
      <c r="E684" s="5">
        <v>13</v>
      </c>
      <c r="F684" s="5">
        <v>2</v>
      </c>
      <c r="G684" s="31">
        <v>7</v>
      </c>
      <c r="H684" s="5">
        <v>2033</v>
      </c>
      <c r="I684" s="5">
        <v>2050</v>
      </c>
      <c r="J684" s="142">
        <v>1.0821000000000001</v>
      </c>
      <c r="K684" s="142">
        <v>1.0769</v>
      </c>
      <c r="L684" s="142">
        <v>0.43490000000000001</v>
      </c>
      <c r="M684" s="142">
        <v>0.89800000000000002</v>
      </c>
      <c r="N684" s="142">
        <v>0.91400000000000003</v>
      </c>
      <c r="O684" s="142">
        <v>1.0538000000000001</v>
      </c>
      <c r="P684" s="26">
        <v>17265.164359036837</v>
      </c>
      <c r="Q684" s="35">
        <f t="array" ref="Q684">SUM(IF(($S684&gt;=4)*($C684='TaxCred&amp;Subs'!$D$114:$D$121)*($H684='TaxCred&amp;Subs'!$C$114:$C$121)*($H684&lt;='TaxCred&amp;Subs'!$C$123),'TaxCred&amp;Subs'!$E$114:$E$121,0))</f>
        <v>0</v>
      </c>
      <c r="R684" s="143">
        <v>0</v>
      </c>
      <c r="S684" s="5">
        <v>5</v>
      </c>
      <c r="T684" s="5" t="s">
        <v>221</v>
      </c>
      <c r="V684" s="7" t="str">
        <f t="array" ref="V684">INDEX(xlRTCLNAME,MATCH(1,(xlRTCLENDU=1)*(xlRTCLEQCL=$D684),0))</f>
        <v>NG_RAD</v>
      </c>
      <c r="W684" s="7" t="str">
        <f t="array" ref="W684">INDEX(xlRTCLNAME,MATCH(1,(xlRTCLENDU=2)*(xlRTCLEQCL=$F684),0))</f>
        <v>CENT_AIR</v>
      </c>
      <c r="X684" s="7" t="str">
        <f t="array" ref="X684">INDEX(xlRTTYNAME,MATCH(1,(xlRTTYENDU=1)*(xlRTTYEQCL=$D684)*(xlRTEQTYPE=$E684),0))</f>
        <v>NG_RAD4</v>
      </c>
      <c r="Y684" s="7" t="str">
        <f t="array" ref="Y684">INDEX(xlRTTYNAME,MATCH(1,(xlRTTYENDU=2)*(xlRTTYEQCL=$F684)*(xlRTEQTYPE=$G684),0))</f>
        <v>CENT_AIR4</v>
      </c>
    </row>
    <row r="685" spans="2:25" x14ac:dyDescent="0.2">
      <c r="B685" s="5">
        <v>4</v>
      </c>
      <c r="C685" s="5">
        <v>1</v>
      </c>
      <c r="D685" s="5">
        <v>4</v>
      </c>
      <c r="E685" s="5">
        <v>13</v>
      </c>
      <c r="F685" s="5">
        <v>2</v>
      </c>
      <c r="G685" s="31">
        <v>7</v>
      </c>
      <c r="H685" s="31">
        <v>2020</v>
      </c>
      <c r="I685" s="5">
        <v>2022</v>
      </c>
      <c r="J685" s="142">
        <v>1.0812999999999999</v>
      </c>
      <c r="K685" s="142">
        <v>1.0769</v>
      </c>
      <c r="L685" s="142">
        <v>0.44280000000000003</v>
      </c>
      <c r="M685" s="142">
        <v>0.86639999999999995</v>
      </c>
      <c r="N685" s="142">
        <v>0.85660000000000003</v>
      </c>
      <c r="O685" s="142">
        <v>1.0538000000000001</v>
      </c>
      <c r="P685" s="26">
        <v>14059.794696865367</v>
      </c>
      <c r="Q685" s="35">
        <f t="array" ref="Q685">SUM(IF(($S685&gt;=4)*($C685='TaxCred&amp;Subs'!$D$114:$D$121)*($H685='TaxCred&amp;Subs'!$C$114:$C$121)*($H685&lt;='TaxCred&amp;Subs'!$C$123),'TaxCred&amp;Subs'!$E$114:$E$121,0))</f>
        <v>2000</v>
      </c>
      <c r="R685" s="143">
        <v>0</v>
      </c>
      <c r="S685" s="5">
        <v>5</v>
      </c>
      <c r="T685" s="5" t="s">
        <v>221</v>
      </c>
      <c r="V685" s="7" t="str">
        <f t="array" ref="V685">INDEX(xlRTCLNAME,MATCH(1,(xlRTCLENDU=1)*(xlRTCLEQCL=$D685),0))</f>
        <v>NG_RAD</v>
      </c>
      <c r="W685" s="7" t="str">
        <f t="array" ref="W685">INDEX(xlRTCLNAME,MATCH(1,(xlRTCLENDU=2)*(xlRTCLEQCL=$F685),0))</f>
        <v>CENT_AIR</v>
      </c>
      <c r="X685" s="7" t="str">
        <f t="array" ref="X685">INDEX(xlRTTYNAME,MATCH(1,(xlRTTYENDU=1)*(xlRTTYEQCL=$D685)*(xlRTEQTYPE=$E685),0))</f>
        <v>NG_RAD4</v>
      </c>
      <c r="Y685" s="7" t="str">
        <f t="array" ref="Y685">INDEX(xlRTTYNAME,MATCH(1,(xlRTTYENDU=2)*(xlRTTYEQCL=$F685)*(xlRTEQTYPE=$G685),0))</f>
        <v>CENT_AIR4</v>
      </c>
    </row>
    <row r="686" spans="2:25" x14ac:dyDescent="0.2">
      <c r="B686" s="5">
        <v>4</v>
      </c>
      <c r="C686" s="5">
        <v>1</v>
      </c>
      <c r="D686" s="5">
        <v>4</v>
      </c>
      <c r="E686" s="5">
        <v>13</v>
      </c>
      <c r="F686" s="5">
        <v>2</v>
      </c>
      <c r="G686" s="31">
        <v>7</v>
      </c>
      <c r="H686" s="5">
        <v>2023</v>
      </c>
      <c r="I686" s="5">
        <v>2032</v>
      </c>
      <c r="J686" s="142">
        <v>1.0812999999999999</v>
      </c>
      <c r="K686" s="142">
        <v>1.0769</v>
      </c>
      <c r="L686" s="142">
        <v>0.44280000000000003</v>
      </c>
      <c r="M686" s="142">
        <v>0.86639999999999995</v>
      </c>
      <c r="N686" s="142">
        <v>0.85660000000000003</v>
      </c>
      <c r="O686" s="142">
        <v>1.0538000000000001</v>
      </c>
      <c r="P686" s="26">
        <v>14059.794696865367</v>
      </c>
      <c r="Q686" s="35">
        <f t="array" ref="Q686">SUM(IF(($S686&gt;=4)*($C686='TaxCred&amp;Subs'!$D$114:$D$121)*($H686='TaxCred&amp;Subs'!$C$114:$C$121)*($H686&lt;='TaxCred&amp;Subs'!$C$123),'TaxCred&amp;Subs'!$E$114:$E$121,0))</f>
        <v>2500</v>
      </c>
      <c r="R686" s="143">
        <v>0</v>
      </c>
      <c r="S686" s="5">
        <v>5</v>
      </c>
      <c r="T686" s="5" t="s">
        <v>221</v>
      </c>
      <c r="V686" s="7" t="str">
        <f t="array" ref="V686">INDEX(xlRTCLNAME,MATCH(1,(xlRTCLENDU=1)*(xlRTCLEQCL=$D686),0))</f>
        <v>NG_RAD</v>
      </c>
      <c r="W686" s="7" t="str">
        <f t="array" ref="W686">INDEX(xlRTCLNAME,MATCH(1,(xlRTCLENDU=2)*(xlRTCLEQCL=$F686),0))</f>
        <v>CENT_AIR</v>
      </c>
      <c r="X686" s="7" t="str">
        <f t="array" ref="X686">INDEX(xlRTTYNAME,MATCH(1,(xlRTTYENDU=1)*(xlRTTYEQCL=$D686)*(xlRTEQTYPE=$E686),0))</f>
        <v>NG_RAD4</v>
      </c>
      <c r="Y686" s="7" t="str">
        <f t="array" ref="Y686">INDEX(xlRTTYNAME,MATCH(1,(xlRTTYENDU=2)*(xlRTTYEQCL=$F686)*(xlRTEQTYPE=$G686),0))</f>
        <v>CENT_AIR4</v>
      </c>
    </row>
    <row r="687" spans="2:25" x14ac:dyDescent="0.2">
      <c r="B687" s="5">
        <v>4</v>
      </c>
      <c r="C687" s="5">
        <v>1</v>
      </c>
      <c r="D687" s="5">
        <v>4</v>
      </c>
      <c r="E687" s="5">
        <v>13</v>
      </c>
      <c r="F687" s="5">
        <v>2</v>
      </c>
      <c r="G687" s="31">
        <v>7</v>
      </c>
      <c r="H687" s="5">
        <v>2033</v>
      </c>
      <c r="I687" s="5">
        <v>2050</v>
      </c>
      <c r="J687" s="142">
        <v>1.0812999999999999</v>
      </c>
      <c r="K687" s="142">
        <v>1.0769</v>
      </c>
      <c r="L687" s="142">
        <v>0.44280000000000003</v>
      </c>
      <c r="M687" s="142">
        <v>0.86639999999999995</v>
      </c>
      <c r="N687" s="142">
        <v>0.85660000000000003</v>
      </c>
      <c r="O687" s="142">
        <v>1.0538000000000001</v>
      </c>
      <c r="P687" s="26">
        <v>14059.794696865367</v>
      </c>
      <c r="Q687" s="35">
        <f t="array" ref="Q687">SUM(IF(($S687&gt;=4)*($C687='TaxCred&amp;Subs'!$D$114:$D$121)*($H687='TaxCred&amp;Subs'!$C$114:$C$121)*($H687&lt;='TaxCred&amp;Subs'!$C$123),'TaxCred&amp;Subs'!$E$114:$E$121,0))</f>
        <v>0</v>
      </c>
      <c r="R687" s="143">
        <v>0</v>
      </c>
      <c r="S687" s="5">
        <v>5</v>
      </c>
      <c r="T687" s="5" t="s">
        <v>221</v>
      </c>
      <c r="V687" s="7" t="str">
        <f t="array" ref="V687">INDEX(xlRTCLNAME,MATCH(1,(xlRTCLENDU=1)*(xlRTCLEQCL=$D687),0))</f>
        <v>NG_RAD</v>
      </c>
      <c r="W687" s="7" t="str">
        <f t="array" ref="W687">INDEX(xlRTCLNAME,MATCH(1,(xlRTCLENDU=2)*(xlRTCLEQCL=$F687),0))</f>
        <v>CENT_AIR</v>
      </c>
      <c r="X687" s="7" t="str">
        <f t="array" ref="X687">INDEX(xlRTTYNAME,MATCH(1,(xlRTTYENDU=1)*(xlRTTYEQCL=$D687)*(xlRTEQTYPE=$E687),0))</f>
        <v>NG_RAD4</v>
      </c>
      <c r="Y687" s="7" t="str">
        <f t="array" ref="Y687">INDEX(xlRTTYNAME,MATCH(1,(xlRTTYENDU=2)*(xlRTTYEQCL=$F687)*(xlRTEQTYPE=$G687),0))</f>
        <v>CENT_AIR4</v>
      </c>
    </row>
    <row r="688" spans="2:25" x14ac:dyDescent="0.2">
      <c r="B688" s="5">
        <v>5</v>
      </c>
      <c r="C688" s="5">
        <v>1</v>
      </c>
      <c r="D688" s="5">
        <v>4</v>
      </c>
      <c r="E688" s="5">
        <v>13</v>
      </c>
      <c r="F688" s="5">
        <v>2</v>
      </c>
      <c r="G688" s="31">
        <v>7</v>
      </c>
      <c r="H688" s="31">
        <v>2020</v>
      </c>
      <c r="I688" s="5">
        <v>2022</v>
      </c>
      <c r="J688" s="142">
        <v>1.0838000000000001</v>
      </c>
      <c r="K688" s="142">
        <v>1.0465</v>
      </c>
      <c r="L688" s="142">
        <v>0.32329999999999998</v>
      </c>
      <c r="M688" s="142">
        <v>0.73150000000000004</v>
      </c>
      <c r="N688" s="142">
        <v>0.75670000000000004</v>
      </c>
      <c r="O688" s="142">
        <v>1.0538000000000001</v>
      </c>
      <c r="P688" s="26">
        <v>15568.362130152442</v>
      </c>
      <c r="Q688" s="35">
        <f t="array" ref="Q688">SUM(IF(($S688&gt;=4)*($C688='TaxCred&amp;Subs'!$D$114:$D$121)*($H688='TaxCred&amp;Subs'!$C$114:$C$121)*($H688&lt;='TaxCred&amp;Subs'!$C$123),'TaxCred&amp;Subs'!$E$114:$E$121,0))</f>
        <v>2000</v>
      </c>
      <c r="R688" s="143">
        <v>0</v>
      </c>
      <c r="S688" s="5">
        <v>5</v>
      </c>
      <c r="T688" s="5" t="s">
        <v>221</v>
      </c>
      <c r="V688" s="7" t="str">
        <f t="array" ref="V688">INDEX(xlRTCLNAME,MATCH(1,(xlRTCLENDU=1)*(xlRTCLEQCL=$D688),0))</f>
        <v>NG_RAD</v>
      </c>
      <c r="W688" s="7" t="str">
        <f t="array" ref="W688">INDEX(xlRTCLNAME,MATCH(1,(xlRTCLENDU=2)*(xlRTCLEQCL=$F688),0))</f>
        <v>CENT_AIR</v>
      </c>
      <c r="X688" s="7" t="str">
        <f t="array" ref="X688">INDEX(xlRTTYNAME,MATCH(1,(xlRTTYENDU=1)*(xlRTTYEQCL=$D688)*(xlRTEQTYPE=$E688),0))</f>
        <v>NG_RAD4</v>
      </c>
      <c r="Y688" s="7" t="str">
        <f t="array" ref="Y688">INDEX(xlRTTYNAME,MATCH(1,(xlRTTYENDU=2)*(xlRTTYEQCL=$F688)*(xlRTEQTYPE=$G688),0))</f>
        <v>CENT_AIR4</v>
      </c>
    </row>
    <row r="689" spans="2:25" x14ac:dyDescent="0.2">
      <c r="B689" s="5">
        <v>5</v>
      </c>
      <c r="C689" s="5">
        <v>1</v>
      </c>
      <c r="D689" s="5">
        <v>4</v>
      </c>
      <c r="E689" s="5">
        <v>13</v>
      </c>
      <c r="F689" s="5">
        <v>2</v>
      </c>
      <c r="G689" s="31">
        <v>7</v>
      </c>
      <c r="H689" s="5">
        <v>2023</v>
      </c>
      <c r="I689" s="5">
        <v>2032</v>
      </c>
      <c r="J689" s="142">
        <v>1.0838000000000001</v>
      </c>
      <c r="K689" s="142">
        <v>1.0465</v>
      </c>
      <c r="L689" s="142">
        <v>0.32329999999999998</v>
      </c>
      <c r="M689" s="142">
        <v>0.73150000000000004</v>
      </c>
      <c r="N689" s="142">
        <v>0.75670000000000004</v>
      </c>
      <c r="O689" s="142">
        <v>1.0538000000000001</v>
      </c>
      <c r="P689" s="26">
        <v>15568.362130152442</v>
      </c>
      <c r="Q689" s="35">
        <f t="array" ref="Q689">SUM(IF(($S689&gt;=4)*($C689='TaxCred&amp;Subs'!$D$114:$D$121)*($H689='TaxCred&amp;Subs'!$C$114:$C$121)*($H689&lt;='TaxCred&amp;Subs'!$C$123),'TaxCred&amp;Subs'!$E$114:$E$121,0))</f>
        <v>2500</v>
      </c>
      <c r="R689" s="143">
        <v>0</v>
      </c>
      <c r="S689" s="5">
        <v>5</v>
      </c>
      <c r="T689" s="5" t="s">
        <v>221</v>
      </c>
      <c r="V689" s="7" t="str">
        <f t="array" ref="V689">INDEX(xlRTCLNAME,MATCH(1,(xlRTCLENDU=1)*(xlRTCLEQCL=$D689),0))</f>
        <v>NG_RAD</v>
      </c>
      <c r="W689" s="7" t="str">
        <f t="array" ref="W689">INDEX(xlRTCLNAME,MATCH(1,(xlRTCLENDU=2)*(xlRTCLEQCL=$F689),0))</f>
        <v>CENT_AIR</v>
      </c>
      <c r="X689" s="7" t="str">
        <f t="array" ref="X689">INDEX(xlRTTYNAME,MATCH(1,(xlRTTYENDU=1)*(xlRTTYEQCL=$D689)*(xlRTEQTYPE=$E689),0))</f>
        <v>NG_RAD4</v>
      </c>
      <c r="Y689" s="7" t="str">
        <f t="array" ref="Y689">INDEX(xlRTTYNAME,MATCH(1,(xlRTTYENDU=2)*(xlRTTYEQCL=$F689)*(xlRTEQTYPE=$G689),0))</f>
        <v>CENT_AIR4</v>
      </c>
    </row>
    <row r="690" spans="2:25" x14ac:dyDescent="0.2">
      <c r="B690" s="5">
        <v>5</v>
      </c>
      <c r="C690" s="5">
        <v>1</v>
      </c>
      <c r="D690" s="5">
        <v>4</v>
      </c>
      <c r="E690" s="5">
        <v>13</v>
      </c>
      <c r="F690" s="5">
        <v>2</v>
      </c>
      <c r="G690" s="31">
        <v>7</v>
      </c>
      <c r="H690" s="5">
        <v>2033</v>
      </c>
      <c r="I690" s="5">
        <v>2050</v>
      </c>
      <c r="J690" s="142">
        <v>1.0838000000000001</v>
      </c>
      <c r="K690" s="142">
        <v>1.0465</v>
      </c>
      <c r="L690" s="142">
        <v>0.32329999999999998</v>
      </c>
      <c r="M690" s="142">
        <v>0.73150000000000004</v>
      </c>
      <c r="N690" s="142">
        <v>0.75670000000000004</v>
      </c>
      <c r="O690" s="142">
        <v>1.0538000000000001</v>
      </c>
      <c r="P690" s="26">
        <v>15568.362130152442</v>
      </c>
      <c r="Q690" s="35">
        <f t="array" ref="Q690">SUM(IF(($S690&gt;=4)*($C690='TaxCred&amp;Subs'!$D$114:$D$121)*($H690='TaxCred&amp;Subs'!$C$114:$C$121)*($H690&lt;='TaxCred&amp;Subs'!$C$123),'TaxCred&amp;Subs'!$E$114:$E$121,0))</f>
        <v>0</v>
      </c>
      <c r="R690" s="143">
        <v>0</v>
      </c>
      <c r="S690" s="5">
        <v>5</v>
      </c>
      <c r="T690" s="5" t="s">
        <v>221</v>
      </c>
      <c r="V690" s="7" t="str">
        <f t="array" ref="V690">INDEX(xlRTCLNAME,MATCH(1,(xlRTCLENDU=1)*(xlRTCLEQCL=$D690),0))</f>
        <v>NG_RAD</v>
      </c>
      <c r="W690" s="7" t="str">
        <f t="array" ref="W690">INDEX(xlRTCLNAME,MATCH(1,(xlRTCLENDU=2)*(xlRTCLEQCL=$F690),0))</f>
        <v>CENT_AIR</v>
      </c>
      <c r="X690" s="7" t="str">
        <f t="array" ref="X690">INDEX(xlRTTYNAME,MATCH(1,(xlRTTYENDU=1)*(xlRTTYEQCL=$D690)*(xlRTEQTYPE=$E690),0))</f>
        <v>NG_RAD4</v>
      </c>
      <c r="Y690" s="7" t="str">
        <f t="array" ref="Y690">INDEX(xlRTTYNAME,MATCH(1,(xlRTTYENDU=2)*(xlRTTYEQCL=$F690)*(xlRTEQTYPE=$G690),0))</f>
        <v>CENT_AIR4</v>
      </c>
    </row>
    <row r="691" spans="2:25" x14ac:dyDescent="0.2">
      <c r="B691" s="5">
        <v>6</v>
      </c>
      <c r="C691" s="5">
        <v>1</v>
      </c>
      <c r="D691" s="5">
        <v>4</v>
      </c>
      <c r="E691" s="5">
        <v>13</v>
      </c>
      <c r="F691" s="5">
        <v>2</v>
      </c>
      <c r="G691" s="31">
        <v>7</v>
      </c>
      <c r="H691" s="31">
        <v>2020</v>
      </c>
      <c r="I691" s="5">
        <v>2022</v>
      </c>
      <c r="J691" s="142">
        <v>1.089</v>
      </c>
      <c r="K691" s="142">
        <v>1.0583</v>
      </c>
      <c r="L691" s="142">
        <v>0.41599999999999998</v>
      </c>
      <c r="M691" s="142">
        <v>0.76590000000000003</v>
      </c>
      <c r="N691" s="142">
        <v>0.88849999999999996</v>
      </c>
      <c r="O691" s="142">
        <v>1.0538000000000001</v>
      </c>
      <c r="P691" s="26">
        <v>15382.816403063658</v>
      </c>
      <c r="Q691" s="35">
        <f t="array" ref="Q691">SUM(IF(($S691&gt;=4)*($C691='TaxCred&amp;Subs'!$D$114:$D$121)*($H691='TaxCred&amp;Subs'!$C$114:$C$121)*($H691&lt;='TaxCred&amp;Subs'!$C$123),'TaxCred&amp;Subs'!$E$114:$E$121,0))</f>
        <v>2000</v>
      </c>
      <c r="R691" s="143">
        <v>0</v>
      </c>
      <c r="S691" s="5">
        <v>5</v>
      </c>
      <c r="T691" s="5" t="s">
        <v>221</v>
      </c>
      <c r="V691" s="7" t="str">
        <f t="array" ref="V691">INDEX(xlRTCLNAME,MATCH(1,(xlRTCLENDU=1)*(xlRTCLEQCL=$D691),0))</f>
        <v>NG_RAD</v>
      </c>
      <c r="W691" s="7" t="str">
        <f t="array" ref="W691">INDEX(xlRTCLNAME,MATCH(1,(xlRTCLENDU=2)*(xlRTCLEQCL=$F691),0))</f>
        <v>CENT_AIR</v>
      </c>
      <c r="X691" s="7" t="str">
        <f t="array" ref="X691">INDEX(xlRTTYNAME,MATCH(1,(xlRTTYENDU=1)*(xlRTTYEQCL=$D691)*(xlRTEQTYPE=$E691),0))</f>
        <v>NG_RAD4</v>
      </c>
      <c r="Y691" s="7" t="str">
        <f t="array" ref="Y691">INDEX(xlRTTYNAME,MATCH(1,(xlRTTYENDU=2)*(xlRTTYEQCL=$F691)*(xlRTEQTYPE=$G691),0))</f>
        <v>CENT_AIR4</v>
      </c>
    </row>
    <row r="692" spans="2:25" x14ac:dyDescent="0.2">
      <c r="B692" s="5">
        <v>6</v>
      </c>
      <c r="C692" s="5">
        <v>1</v>
      </c>
      <c r="D692" s="5">
        <v>4</v>
      </c>
      <c r="E692" s="5">
        <v>13</v>
      </c>
      <c r="F692" s="5">
        <v>2</v>
      </c>
      <c r="G692" s="31">
        <v>7</v>
      </c>
      <c r="H692" s="5">
        <v>2023</v>
      </c>
      <c r="I692" s="5">
        <v>2032</v>
      </c>
      <c r="J692" s="142">
        <v>1.089</v>
      </c>
      <c r="K692" s="142">
        <v>1.0583</v>
      </c>
      <c r="L692" s="142">
        <v>0.41599999999999998</v>
      </c>
      <c r="M692" s="142">
        <v>0.76590000000000003</v>
      </c>
      <c r="N692" s="142">
        <v>0.88849999999999996</v>
      </c>
      <c r="O692" s="142">
        <v>1.0538000000000001</v>
      </c>
      <c r="P692" s="26">
        <v>15382.816403063658</v>
      </c>
      <c r="Q692" s="35">
        <f t="array" ref="Q692">SUM(IF(($S692&gt;=4)*($C692='TaxCred&amp;Subs'!$D$114:$D$121)*($H692='TaxCred&amp;Subs'!$C$114:$C$121)*($H692&lt;='TaxCred&amp;Subs'!$C$123),'TaxCred&amp;Subs'!$E$114:$E$121,0))</f>
        <v>2500</v>
      </c>
      <c r="R692" s="143">
        <v>0</v>
      </c>
      <c r="S692" s="5">
        <v>5</v>
      </c>
      <c r="T692" s="5" t="s">
        <v>221</v>
      </c>
      <c r="V692" s="7" t="str">
        <f t="array" ref="V692">INDEX(xlRTCLNAME,MATCH(1,(xlRTCLENDU=1)*(xlRTCLEQCL=$D692),0))</f>
        <v>NG_RAD</v>
      </c>
      <c r="W692" s="7" t="str">
        <f t="array" ref="W692">INDEX(xlRTCLNAME,MATCH(1,(xlRTCLENDU=2)*(xlRTCLEQCL=$F692),0))</f>
        <v>CENT_AIR</v>
      </c>
      <c r="X692" s="7" t="str">
        <f t="array" ref="X692">INDEX(xlRTTYNAME,MATCH(1,(xlRTTYENDU=1)*(xlRTTYEQCL=$D692)*(xlRTEQTYPE=$E692),0))</f>
        <v>NG_RAD4</v>
      </c>
      <c r="Y692" s="7" t="str">
        <f t="array" ref="Y692">INDEX(xlRTTYNAME,MATCH(1,(xlRTTYENDU=2)*(xlRTTYEQCL=$F692)*(xlRTEQTYPE=$G692),0))</f>
        <v>CENT_AIR4</v>
      </c>
    </row>
    <row r="693" spans="2:25" x14ac:dyDescent="0.2">
      <c r="B693" s="5">
        <v>6</v>
      </c>
      <c r="C693" s="5">
        <v>1</v>
      </c>
      <c r="D693" s="5">
        <v>4</v>
      </c>
      <c r="E693" s="5">
        <v>13</v>
      </c>
      <c r="F693" s="5">
        <v>2</v>
      </c>
      <c r="G693" s="31">
        <v>7</v>
      </c>
      <c r="H693" s="5">
        <v>2033</v>
      </c>
      <c r="I693" s="5">
        <v>2050</v>
      </c>
      <c r="J693" s="142">
        <v>1.089</v>
      </c>
      <c r="K693" s="142">
        <v>1.0583</v>
      </c>
      <c r="L693" s="142">
        <v>0.41599999999999998</v>
      </c>
      <c r="M693" s="142">
        <v>0.76590000000000003</v>
      </c>
      <c r="N693" s="142">
        <v>0.88849999999999996</v>
      </c>
      <c r="O693" s="142">
        <v>1.0538000000000001</v>
      </c>
      <c r="P693" s="26">
        <v>15382.816403063658</v>
      </c>
      <c r="Q693" s="35">
        <f t="array" ref="Q693">SUM(IF(($S693&gt;=4)*($C693='TaxCred&amp;Subs'!$D$114:$D$121)*($H693='TaxCred&amp;Subs'!$C$114:$C$121)*($H693&lt;='TaxCred&amp;Subs'!$C$123),'TaxCred&amp;Subs'!$E$114:$E$121,0))</f>
        <v>0</v>
      </c>
      <c r="R693" s="143">
        <v>0</v>
      </c>
      <c r="S693" s="5">
        <v>5</v>
      </c>
      <c r="T693" s="5" t="s">
        <v>221</v>
      </c>
      <c r="V693" s="7" t="str">
        <f t="array" ref="V693">INDEX(xlRTCLNAME,MATCH(1,(xlRTCLENDU=1)*(xlRTCLEQCL=$D693),0))</f>
        <v>NG_RAD</v>
      </c>
      <c r="W693" s="7" t="str">
        <f t="array" ref="W693">INDEX(xlRTCLNAME,MATCH(1,(xlRTCLENDU=2)*(xlRTCLEQCL=$F693),0))</f>
        <v>CENT_AIR</v>
      </c>
      <c r="X693" s="7" t="str">
        <f t="array" ref="X693">INDEX(xlRTTYNAME,MATCH(1,(xlRTTYENDU=1)*(xlRTTYEQCL=$D693)*(xlRTEQTYPE=$E693),0))</f>
        <v>NG_RAD4</v>
      </c>
      <c r="Y693" s="7" t="str">
        <f t="array" ref="Y693">INDEX(xlRTTYNAME,MATCH(1,(xlRTTYENDU=2)*(xlRTTYEQCL=$F693)*(xlRTEQTYPE=$G693),0))</f>
        <v>CENT_AIR4</v>
      </c>
    </row>
    <row r="694" spans="2:25" x14ac:dyDescent="0.2">
      <c r="B694" s="5">
        <v>7</v>
      </c>
      <c r="C694" s="5">
        <v>1</v>
      </c>
      <c r="D694" s="5">
        <v>4</v>
      </c>
      <c r="E694" s="5">
        <v>13</v>
      </c>
      <c r="F694" s="5">
        <v>2</v>
      </c>
      <c r="G694" s="31">
        <v>7</v>
      </c>
      <c r="H694" s="31">
        <v>2020</v>
      </c>
      <c r="I694" s="5">
        <v>2022</v>
      </c>
      <c r="J694" s="142">
        <v>1.0867</v>
      </c>
      <c r="K694" s="142">
        <v>1.0682</v>
      </c>
      <c r="L694" s="142">
        <v>0.32069999999999999</v>
      </c>
      <c r="M694" s="142">
        <v>0.65339999999999998</v>
      </c>
      <c r="N694" s="142">
        <v>0.87180000000000002</v>
      </c>
      <c r="O694" s="142">
        <v>1.0538000000000001</v>
      </c>
      <c r="P694" s="26">
        <v>15600.63095225484</v>
      </c>
      <c r="Q694" s="35">
        <f t="array" ref="Q694">SUM(IF(($S694&gt;=4)*($C694='TaxCred&amp;Subs'!$D$114:$D$121)*($H694='TaxCred&amp;Subs'!$C$114:$C$121)*($H694&lt;='TaxCred&amp;Subs'!$C$123),'TaxCred&amp;Subs'!$E$114:$E$121,0))</f>
        <v>2000</v>
      </c>
      <c r="R694" s="143">
        <v>0</v>
      </c>
      <c r="S694" s="5">
        <v>5</v>
      </c>
      <c r="T694" s="5" t="s">
        <v>221</v>
      </c>
      <c r="V694" s="7" t="str">
        <f t="array" ref="V694">INDEX(xlRTCLNAME,MATCH(1,(xlRTCLENDU=1)*(xlRTCLEQCL=$D694),0))</f>
        <v>NG_RAD</v>
      </c>
      <c r="W694" s="7" t="str">
        <f t="array" ref="W694">INDEX(xlRTCLNAME,MATCH(1,(xlRTCLENDU=2)*(xlRTCLEQCL=$F694),0))</f>
        <v>CENT_AIR</v>
      </c>
      <c r="X694" s="7" t="str">
        <f t="array" ref="X694">INDEX(xlRTTYNAME,MATCH(1,(xlRTTYENDU=1)*(xlRTTYEQCL=$D694)*(xlRTEQTYPE=$E694),0))</f>
        <v>NG_RAD4</v>
      </c>
      <c r="Y694" s="7" t="str">
        <f t="array" ref="Y694">INDEX(xlRTTYNAME,MATCH(1,(xlRTTYENDU=2)*(xlRTTYEQCL=$F694)*(xlRTEQTYPE=$G694),0))</f>
        <v>CENT_AIR4</v>
      </c>
    </row>
    <row r="695" spans="2:25" x14ac:dyDescent="0.2">
      <c r="B695" s="5">
        <v>7</v>
      </c>
      <c r="C695" s="5">
        <v>1</v>
      </c>
      <c r="D695" s="5">
        <v>4</v>
      </c>
      <c r="E695" s="5">
        <v>13</v>
      </c>
      <c r="F695" s="5">
        <v>2</v>
      </c>
      <c r="G695" s="31">
        <v>7</v>
      </c>
      <c r="H695" s="5">
        <v>2023</v>
      </c>
      <c r="I695" s="5">
        <v>2032</v>
      </c>
      <c r="J695" s="142">
        <v>1.0867</v>
      </c>
      <c r="K695" s="142">
        <v>1.0682</v>
      </c>
      <c r="L695" s="142">
        <v>0.32069999999999999</v>
      </c>
      <c r="M695" s="142">
        <v>0.65339999999999998</v>
      </c>
      <c r="N695" s="142">
        <v>0.87180000000000002</v>
      </c>
      <c r="O695" s="142">
        <v>1.0538000000000001</v>
      </c>
      <c r="P695" s="26">
        <v>15600.63095225484</v>
      </c>
      <c r="Q695" s="35">
        <f t="array" ref="Q695">SUM(IF(($S695&gt;=4)*($C695='TaxCred&amp;Subs'!$D$114:$D$121)*($H695='TaxCred&amp;Subs'!$C$114:$C$121)*($H695&lt;='TaxCred&amp;Subs'!$C$123),'TaxCred&amp;Subs'!$E$114:$E$121,0))</f>
        <v>2500</v>
      </c>
      <c r="R695" s="143">
        <v>0</v>
      </c>
      <c r="S695" s="5">
        <v>5</v>
      </c>
      <c r="T695" s="5" t="s">
        <v>221</v>
      </c>
      <c r="V695" s="7" t="str">
        <f t="array" ref="V695">INDEX(xlRTCLNAME,MATCH(1,(xlRTCLENDU=1)*(xlRTCLEQCL=$D695),0))</f>
        <v>NG_RAD</v>
      </c>
      <c r="W695" s="7" t="str">
        <f t="array" ref="W695">INDEX(xlRTCLNAME,MATCH(1,(xlRTCLENDU=2)*(xlRTCLEQCL=$F695),0))</f>
        <v>CENT_AIR</v>
      </c>
      <c r="X695" s="7" t="str">
        <f t="array" ref="X695">INDEX(xlRTTYNAME,MATCH(1,(xlRTTYENDU=1)*(xlRTTYEQCL=$D695)*(xlRTEQTYPE=$E695),0))</f>
        <v>NG_RAD4</v>
      </c>
      <c r="Y695" s="7" t="str">
        <f t="array" ref="Y695">INDEX(xlRTTYNAME,MATCH(1,(xlRTTYENDU=2)*(xlRTTYEQCL=$F695)*(xlRTEQTYPE=$G695),0))</f>
        <v>CENT_AIR4</v>
      </c>
    </row>
    <row r="696" spans="2:25" x14ac:dyDescent="0.2">
      <c r="B696" s="5">
        <v>7</v>
      </c>
      <c r="C696" s="5">
        <v>1</v>
      </c>
      <c r="D696" s="5">
        <v>4</v>
      </c>
      <c r="E696" s="5">
        <v>13</v>
      </c>
      <c r="F696" s="5">
        <v>2</v>
      </c>
      <c r="G696" s="31">
        <v>7</v>
      </c>
      <c r="H696" s="5">
        <v>2033</v>
      </c>
      <c r="I696" s="5">
        <v>2050</v>
      </c>
      <c r="J696" s="142">
        <v>1.0867</v>
      </c>
      <c r="K696" s="142">
        <v>1.0682</v>
      </c>
      <c r="L696" s="142">
        <v>0.32069999999999999</v>
      </c>
      <c r="M696" s="142">
        <v>0.65339999999999998</v>
      </c>
      <c r="N696" s="142">
        <v>0.87180000000000002</v>
      </c>
      <c r="O696" s="142">
        <v>1.0538000000000001</v>
      </c>
      <c r="P696" s="26">
        <v>15600.63095225484</v>
      </c>
      <c r="Q696" s="35">
        <f t="array" ref="Q696">SUM(IF(($S696&gt;=4)*($C696='TaxCred&amp;Subs'!$D$114:$D$121)*($H696='TaxCred&amp;Subs'!$C$114:$C$121)*($H696&lt;='TaxCred&amp;Subs'!$C$123),'TaxCred&amp;Subs'!$E$114:$E$121,0))</f>
        <v>0</v>
      </c>
      <c r="R696" s="143">
        <v>0</v>
      </c>
      <c r="S696" s="5">
        <v>5</v>
      </c>
      <c r="T696" s="5" t="s">
        <v>221</v>
      </c>
      <c r="V696" s="7" t="str">
        <f t="array" ref="V696">INDEX(xlRTCLNAME,MATCH(1,(xlRTCLENDU=1)*(xlRTCLEQCL=$D696),0))</f>
        <v>NG_RAD</v>
      </c>
      <c r="W696" s="7" t="str">
        <f t="array" ref="W696">INDEX(xlRTCLNAME,MATCH(1,(xlRTCLENDU=2)*(xlRTCLEQCL=$F696),0))</f>
        <v>CENT_AIR</v>
      </c>
      <c r="X696" s="7" t="str">
        <f t="array" ref="X696">INDEX(xlRTTYNAME,MATCH(1,(xlRTTYENDU=1)*(xlRTTYEQCL=$D696)*(xlRTEQTYPE=$E696),0))</f>
        <v>NG_RAD4</v>
      </c>
      <c r="Y696" s="7" t="str">
        <f t="array" ref="Y696">INDEX(xlRTTYNAME,MATCH(1,(xlRTTYENDU=2)*(xlRTTYEQCL=$F696)*(xlRTEQTYPE=$G696),0))</f>
        <v>CENT_AIR4</v>
      </c>
    </row>
    <row r="697" spans="2:25" x14ac:dyDescent="0.2">
      <c r="B697" s="5">
        <v>8</v>
      </c>
      <c r="C697" s="5">
        <v>1</v>
      </c>
      <c r="D697" s="5">
        <v>4</v>
      </c>
      <c r="E697" s="5">
        <v>13</v>
      </c>
      <c r="F697" s="5">
        <v>2</v>
      </c>
      <c r="G697" s="31">
        <v>7</v>
      </c>
      <c r="H697" s="31">
        <v>2020</v>
      </c>
      <c r="I697" s="5">
        <v>2022</v>
      </c>
      <c r="J697" s="142">
        <v>1.0820000000000001</v>
      </c>
      <c r="K697" s="142">
        <v>1.0832999999999999</v>
      </c>
      <c r="L697" s="142">
        <v>0.42730000000000001</v>
      </c>
      <c r="M697" s="142">
        <v>0.78110000000000002</v>
      </c>
      <c r="N697" s="142">
        <v>0.86439999999999995</v>
      </c>
      <c r="O697" s="142">
        <v>1.0538000000000001</v>
      </c>
      <c r="P697" s="26">
        <v>16260.797271099718</v>
      </c>
      <c r="Q697" s="35">
        <f t="array" ref="Q697">SUM(IF(($S697&gt;=4)*($C697='TaxCred&amp;Subs'!$D$114:$D$121)*($H697='TaxCred&amp;Subs'!$C$114:$C$121)*($H697&lt;='TaxCred&amp;Subs'!$C$123),'TaxCred&amp;Subs'!$E$114:$E$121,0))</f>
        <v>2000</v>
      </c>
      <c r="R697" s="143">
        <v>0</v>
      </c>
      <c r="S697" s="5">
        <v>5</v>
      </c>
      <c r="T697" s="5" t="s">
        <v>221</v>
      </c>
      <c r="V697" s="7" t="str">
        <f t="array" ref="V697">INDEX(xlRTCLNAME,MATCH(1,(xlRTCLENDU=1)*(xlRTCLEQCL=$D697),0))</f>
        <v>NG_RAD</v>
      </c>
      <c r="W697" s="7" t="str">
        <f t="array" ref="W697">INDEX(xlRTCLNAME,MATCH(1,(xlRTCLENDU=2)*(xlRTCLEQCL=$F697),0))</f>
        <v>CENT_AIR</v>
      </c>
      <c r="X697" s="7" t="str">
        <f t="array" ref="X697">INDEX(xlRTTYNAME,MATCH(1,(xlRTTYENDU=1)*(xlRTTYEQCL=$D697)*(xlRTEQTYPE=$E697),0))</f>
        <v>NG_RAD4</v>
      </c>
      <c r="Y697" s="7" t="str">
        <f t="array" ref="Y697">INDEX(xlRTTYNAME,MATCH(1,(xlRTTYENDU=2)*(xlRTTYEQCL=$F697)*(xlRTEQTYPE=$G697),0))</f>
        <v>CENT_AIR4</v>
      </c>
    </row>
    <row r="698" spans="2:25" x14ac:dyDescent="0.2">
      <c r="B698" s="5">
        <v>8</v>
      </c>
      <c r="C698" s="5">
        <v>1</v>
      </c>
      <c r="D698" s="5">
        <v>4</v>
      </c>
      <c r="E698" s="5">
        <v>13</v>
      </c>
      <c r="F698" s="5">
        <v>2</v>
      </c>
      <c r="G698" s="31">
        <v>7</v>
      </c>
      <c r="H698" s="5">
        <v>2023</v>
      </c>
      <c r="I698" s="5">
        <v>2032</v>
      </c>
      <c r="J698" s="142">
        <v>1.0820000000000001</v>
      </c>
      <c r="K698" s="142">
        <v>1.0832999999999999</v>
      </c>
      <c r="L698" s="142">
        <v>0.42730000000000001</v>
      </c>
      <c r="M698" s="142">
        <v>0.78110000000000002</v>
      </c>
      <c r="N698" s="142">
        <v>0.86439999999999995</v>
      </c>
      <c r="O698" s="142">
        <v>1.0538000000000001</v>
      </c>
      <c r="P698" s="26">
        <v>16260.797271099718</v>
      </c>
      <c r="Q698" s="35">
        <f t="array" ref="Q698">SUM(IF(($S698&gt;=4)*($C698='TaxCred&amp;Subs'!$D$114:$D$121)*($H698='TaxCred&amp;Subs'!$C$114:$C$121)*($H698&lt;='TaxCred&amp;Subs'!$C$123),'TaxCred&amp;Subs'!$E$114:$E$121,0))</f>
        <v>2500</v>
      </c>
      <c r="R698" s="143">
        <v>0</v>
      </c>
      <c r="S698" s="5">
        <v>5</v>
      </c>
      <c r="T698" s="5" t="s">
        <v>221</v>
      </c>
      <c r="V698" s="7" t="str">
        <f t="array" ref="V698">INDEX(xlRTCLNAME,MATCH(1,(xlRTCLENDU=1)*(xlRTCLEQCL=$D698),0))</f>
        <v>NG_RAD</v>
      </c>
      <c r="W698" s="7" t="str">
        <f t="array" ref="W698">INDEX(xlRTCLNAME,MATCH(1,(xlRTCLENDU=2)*(xlRTCLEQCL=$F698),0))</f>
        <v>CENT_AIR</v>
      </c>
      <c r="X698" s="7" t="str">
        <f t="array" ref="X698">INDEX(xlRTTYNAME,MATCH(1,(xlRTTYENDU=1)*(xlRTTYEQCL=$D698)*(xlRTEQTYPE=$E698),0))</f>
        <v>NG_RAD4</v>
      </c>
      <c r="Y698" s="7" t="str">
        <f t="array" ref="Y698">INDEX(xlRTTYNAME,MATCH(1,(xlRTTYENDU=2)*(xlRTTYEQCL=$F698)*(xlRTEQTYPE=$G698),0))</f>
        <v>CENT_AIR4</v>
      </c>
    </row>
    <row r="699" spans="2:25" x14ac:dyDescent="0.2">
      <c r="B699" s="5">
        <v>8</v>
      </c>
      <c r="C699" s="5">
        <v>1</v>
      </c>
      <c r="D699" s="5">
        <v>4</v>
      </c>
      <c r="E699" s="5">
        <v>13</v>
      </c>
      <c r="F699" s="5">
        <v>2</v>
      </c>
      <c r="G699" s="31">
        <v>7</v>
      </c>
      <c r="H699" s="5">
        <v>2033</v>
      </c>
      <c r="I699" s="5">
        <v>2050</v>
      </c>
      <c r="J699" s="142">
        <v>1.0820000000000001</v>
      </c>
      <c r="K699" s="142">
        <v>1.0832999999999999</v>
      </c>
      <c r="L699" s="142">
        <v>0.42730000000000001</v>
      </c>
      <c r="M699" s="142">
        <v>0.78110000000000002</v>
      </c>
      <c r="N699" s="142">
        <v>0.86439999999999995</v>
      </c>
      <c r="O699" s="142">
        <v>1.0538000000000001</v>
      </c>
      <c r="P699" s="26">
        <v>16260.797271099718</v>
      </c>
      <c r="Q699" s="35">
        <f t="array" ref="Q699">SUM(IF(($S699&gt;=4)*($C699='TaxCred&amp;Subs'!$D$114:$D$121)*($H699='TaxCred&amp;Subs'!$C$114:$C$121)*($H699&lt;='TaxCred&amp;Subs'!$C$123),'TaxCred&amp;Subs'!$E$114:$E$121,0))</f>
        <v>0</v>
      </c>
      <c r="R699" s="143">
        <v>0</v>
      </c>
      <c r="S699" s="5">
        <v>5</v>
      </c>
      <c r="T699" s="5" t="s">
        <v>221</v>
      </c>
      <c r="V699" s="7" t="str">
        <f t="array" ref="V699">INDEX(xlRTCLNAME,MATCH(1,(xlRTCLENDU=1)*(xlRTCLEQCL=$D699),0))</f>
        <v>NG_RAD</v>
      </c>
      <c r="W699" s="7" t="str">
        <f t="array" ref="W699">INDEX(xlRTCLNAME,MATCH(1,(xlRTCLENDU=2)*(xlRTCLEQCL=$F699),0))</f>
        <v>CENT_AIR</v>
      </c>
      <c r="X699" s="7" t="str">
        <f t="array" ref="X699">INDEX(xlRTTYNAME,MATCH(1,(xlRTTYENDU=1)*(xlRTTYEQCL=$D699)*(xlRTEQTYPE=$E699),0))</f>
        <v>NG_RAD4</v>
      </c>
      <c r="Y699" s="7" t="str">
        <f t="array" ref="Y699">INDEX(xlRTTYNAME,MATCH(1,(xlRTTYENDU=2)*(xlRTTYEQCL=$F699)*(xlRTEQTYPE=$G699),0))</f>
        <v>CENT_AIR4</v>
      </c>
    </row>
    <row r="700" spans="2:25" x14ac:dyDescent="0.2">
      <c r="B700" s="5">
        <v>9</v>
      </c>
      <c r="C700" s="5">
        <v>1</v>
      </c>
      <c r="D700" s="5">
        <v>4</v>
      </c>
      <c r="E700" s="5">
        <v>13</v>
      </c>
      <c r="F700" s="5">
        <v>2</v>
      </c>
      <c r="G700" s="31">
        <v>7</v>
      </c>
      <c r="H700" s="31">
        <v>2020</v>
      </c>
      <c r="I700" s="5">
        <v>2022</v>
      </c>
      <c r="J700" s="142">
        <v>1.0414000000000001</v>
      </c>
      <c r="K700" s="142">
        <v>1.07</v>
      </c>
      <c r="L700" s="142">
        <v>0.39019999999999999</v>
      </c>
      <c r="M700" s="142">
        <v>0.76029999999999998</v>
      </c>
      <c r="N700" s="142">
        <v>1.026</v>
      </c>
      <c r="O700" s="142">
        <v>1.0538000000000001</v>
      </c>
      <c r="P700" s="26">
        <v>19815.745839380488</v>
      </c>
      <c r="Q700" s="35">
        <f t="array" ref="Q700">SUM(IF(($S700&gt;=4)*($C700='TaxCred&amp;Subs'!$D$114:$D$121)*($H700='TaxCred&amp;Subs'!$C$114:$C$121)*($H700&lt;='TaxCred&amp;Subs'!$C$123),'TaxCred&amp;Subs'!$E$114:$E$121,0))</f>
        <v>2000</v>
      </c>
      <c r="R700" s="143">
        <v>0</v>
      </c>
      <c r="S700" s="5">
        <v>5</v>
      </c>
      <c r="T700" s="5" t="s">
        <v>221</v>
      </c>
      <c r="V700" s="7" t="str">
        <f t="array" ref="V700">INDEX(xlRTCLNAME,MATCH(1,(xlRTCLENDU=1)*(xlRTCLEQCL=$D700),0))</f>
        <v>NG_RAD</v>
      </c>
      <c r="W700" s="7" t="str">
        <f t="array" ref="W700">INDEX(xlRTCLNAME,MATCH(1,(xlRTCLENDU=2)*(xlRTCLEQCL=$F700),0))</f>
        <v>CENT_AIR</v>
      </c>
      <c r="X700" s="7" t="str">
        <f t="array" ref="X700">INDEX(xlRTTYNAME,MATCH(1,(xlRTTYENDU=1)*(xlRTTYEQCL=$D700)*(xlRTEQTYPE=$E700),0))</f>
        <v>NG_RAD4</v>
      </c>
      <c r="Y700" s="7" t="str">
        <f t="array" ref="Y700">INDEX(xlRTTYNAME,MATCH(1,(xlRTTYENDU=2)*(xlRTTYEQCL=$F700)*(xlRTEQTYPE=$G700),0))</f>
        <v>CENT_AIR4</v>
      </c>
    </row>
    <row r="701" spans="2:25" x14ac:dyDescent="0.2">
      <c r="B701" s="5">
        <v>9</v>
      </c>
      <c r="C701" s="5">
        <v>1</v>
      </c>
      <c r="D701" s="5">
        <v>4</v>
      </c>
      <c r="E701" s="5">
        <v>13</v>
      </c>
      <c r="F701" s="5">
        <v>2</v>
      </c>
      <c r="G701" s="31">
        <v>7</v>
      </c>
      <c r="H701" s="5">
        <v>2023</v>
      </c>
      <c r="I701" s="5">
        <v>2032</v>
      </c>
      <c r="J701" s="142">
        <v>1.0414000000000001</v>
      </c>
      <c r="K701" s="142">
        <v>1.07</v>
      </c>
      <c r="L701" s="142">
        <v>0.39019999999999999</v>
      </c>
      <c r="M701" s="142">
        <v>0.76029999999999998</v>
      </c>
      <c r="N701" s="142">
        <v>1.026</v>
      </c>
      <c r="O701" s="142">
        <v>1.0538000000000001</v>
      </c>
      <c r="P701" s="26">
        <v>19815.745839380488</v>
      </c>
      <c r="Q701" s="35">
        <f t="array" ref="Q701">SUM(IF(($S701&gt;=4)*($C701='TaxCred&amp;Subs'!$D$114:$D$121)*($H701='TaxCred&amp;Subs'!$C$114:$C$121)*($H701&lt;='TaxCred&amp;Subs'!$C$123),'TaxCred&amp;Subs'!$E$114:$E$121,0))</f>
        <v>2500</v>
      </c>
      <c r="R701" s="143">
        <v>0</v>
      </c>
      <c r="S701" s="5">
        <v>5</v>
      </c>
      <c r="T701" s="5" t="s">
        <v>221</v>
      </c>
      <c r="V701" s="7" t="str">
        <f t="array" ref="V701">INDEX(xlRTCLNAME,MATCH(1,(xlRTCLENDU=1)*(xlRTCLEQCL=$D701),0))</f>
        <v>NG_RAD</v>
      </c>
      <c r="W701" s="7" t="str">
        <f t="array" ref="W701">INDEX(xlRTCLNAME,MATCH(1,(xlRTCLENDU=2)*(xlRTCLEQCL=$F701),0))</f>
        <v>CENT_AIR</v>
      </c>
      <c r="X701" s="7" t="str">
        <f t="array" ref="X701">INDEX(xlRTTYNAME,MATCH(1,(xlRTTYENDU=1)*(xlRTTYEQCL=$D701)*(xlRTEQTYPE=$E701),0))</f>
        <v>NG_RAD4</v>
      </c>
      <c r="Y701" s="7" t="str">
        <f t="array" ref="Y701">INDEX(xlRTTYNAME,MATCH(1,(xlRTTYENDU=2)*(xlRTTYEQCL=$F701)*(xlRTEQTYPE=$G701),0))</f>
        <v>CENT_AIR4</v>
      </c>
    </row>
    <row r="702" spans="2:25" x14ac:dyDescent="0.2">
      <c r="B702" s="5">
        <v>9</v>
      </c>
      <c r="C702" s="5">
        <v>1</v>
      </c>
      <c r="D702" s="5">
        <v>4</v>
      </c>
      <c r="E702" s="5">
        <v>13</v>
      </c>
      <c r="F702" s="5">
        <v>2</v>
      </c>
      <c r="G702" s="31">
        <v>7</v>
      </c>
      <c r="H702" s="5">
        <v>2033</v>
      </c>
      <c r="I702" s="5">
        <v>2050</v>
      </c>
      <c r="J702" s="142">
        <v>1.0414000000000001</v>
      </c>
      <c r="K702" s="142">
        <v>1.07</v>
      </c>
      <c r="L702" s="142">
        <v>0.39019999999999999</v>
      </c>
      <c r="M702" s="142">
        <v>0.76029999999999998</v>
      </c>
      <c r="N702" s="142">
        <v>1.026</v>
      </c>
      <c r="O702" s="142">
        <v>1.0538000000000001</v>
      </c>
      <c r="P702" s="26">
        <v>19815.745839380488</v>
      </c>
      <c r="Q702" s="35">
        <f t="array" ref="Q702">SUM(IF(($S702&gt;=4)*($C702='TaxCred&amp;Subs'!$D$114:$D$121)*($H702='TaxCred&amp;Subs'!$C$114:$C$121)*($H702&lt;='TaxCred&amp;Subs'!$C$123),'TaxCred&amp;Subs'!$E$114:$E$121,0))</f>
        <v>0</v>
      </c>
      <c r="R702" s="143">
        <v>0</v>
      </c>
      <c r="S702" s="5">
        <v>5</v>
      </c>
      <c r="T702" s="5" t="s">
        <v>221</v>
      </c>
      <c r="V702" s="7" t="str">
        <f t="array" ref="V702">INDEX(xlRTCLNAME,MATCH(1,(xlRTCLENDU=1)*(xlRTCLEQCL=$D702),0))</f>
        <v>NG_RAD</v>
      </c>
      <c r="W702" s="7" t="str">
        <f t="array" ref="W702">INDEX(xlRTCLNAME,MATCH(1,(xlRTCLENDU=2)*(xlRTCLEQCL=$F702),0))</f>
        <v>CENT_AIR</v>
      </c>
      <c r="X702" s="7" t="str">
        <f t="array" ref="X702">INDEX(xlRTTYNAME,MATCH(1,(xlRTTYENDU=1)*(xlRTTYEQCL=$D702)*(xlRTEQTYPE=$E702),0))</f>
        <v>NG_RAD4</v>
      </c>
      <c r="Y702" s="7" t="str">
        <f t="array" ref="Y702">INDEX(xlRTTYNAME,MATCH(1,(xlRTTYENDU=2)*(xlRTTYEQCL=$F702)*(xlRTEQTYPE=$G702),0))</f>
        <v>CENT_AIR4</v>
      </c>
    </row>
    <row r="703" spans="2:25" x14ac:dyDescent="0.2">
      <c r="B703" s="29">
        <v>1</v>
      </c>
      <c r="C703" s="29">
        <v>1</v>
      </c>
      <c r="D703" s="29">
        <v>5</v>
      </c>
      <c r="E703" s="29">
        <v>17</v>
      </c>
      <c r="F703" s="29">
        <v>2</v>
      </c>
      <c r="G703" s="32">
        <v>7</v>
      </c>
      <c r="H703" s="32">
        <v>2020</v>
      </c>
      <c r="I703" s="29">
        <v>2022</v>
      </c>
      <c r="J703" s="144">
        <v>1.0309999999999999</v>
      </c>
      <c r="K703" s="144">
        <v>1.0667</v>
      </c>
      <c r="L703" s="144">
        <v>0.44290000000000002</v>
      </c>
      <c r="M703" s="144">
        <v>0.96350000000000002</v>
      </c>
      <c r="N703" s="144">
        <v>0.79790000000000005</v>
      </c>
      <c r="O703" s="144">
        <v>1.0538000000000001</v>
      </c>
      <c r="P703" s="143">
        <v>19744.485523904365</v>
      </c>
      <c r="Q703" s="35">
        <f t="array" ref="Q703">SUM(IF(($S703&gt;=4)*($C703='TaxCred&amp;Subs'!$D$114:$D$121)*($H703='TaxCred&amp;Subs'!$C$114:$C$121)*($H703&lt;='TaxCred&amp;Subs'!$C$123),'TaxCred&amp;Subs'!$E$114:$E$121,0))</f>
        <v>2000</v>
      </c>
      <c r="R703" s="143">
        <v>0</v>
      </c>
      <c r="S703" s="29">
        <v>5</v>
      </c>
      <c r="T703" s="29" t="s">
        <v>221</v>
      </c>
      <c r="U703" s="30" t="s">
        <v>227</v>
      </c>
      <c r="V703" s="7" t="str">
        <f t="array" ref="V703">INDEX(xlRTCLNAME,MATCH(1,(xlRTCLENDU=1)*(xlRTCLEQCL=$D703),0))</f>
        <v>KERO_FA</v>
      </c>
      <c r="W703" s="7" t="str">
        <f t="array" ref="W703">INDEX(xlRTCLNAME,MATCH(1,(xlRTCLENDU=2)*(xlRTCLEQCL=$F703),0))</f>
        <v>CENT_AIR</v>
      </c>
      <c r="X703" s="7" t="str">
        <f t="array" ref="X703">INDEX(xlRTTYNAME,MATCH(1,(xlRTTYENDU=1)*(xlRTTYEQCL=$D703)*(xlRTEQTYPE=$E703),0))</f>
        <v>KERO_FA4</v>
      </c>
      <c r="Y703" s="7" t="str">
        <f t="array" ref="Y703">INDEX(xlRTTYNAME,MATCH(1,(xlRTTYENDU=2)*(xlRTTYEQCL=$F703)*(xlRTEQTYPE=$G703),0))</f>
        <v>CENT_AIR4</v>
      </c>
    </row>
    <row r="704" spans="2:25" x14ac:dyDescent="0.2">
      <c r="B704" s="29">
        <v>1</v>
      </c>
      <c r="C704" s="29">
        <v>1</v>
      </c>
      <c r="D704" s="29">
        <v>5</v>
      </c>
      <c r="E704" s="29">
        <v>17</v>
      </c>
      <c r="F704" s="29">
        <v>2</v>
      </c>
      <c r="G704" s="32">
        <v>7</v>
      </c>
      <c r="H704" s="29">
        <v>2023</v>
      </c>
      <c r="I704" s="29">
        <v>2032</v>
      </c>
      <c r="J704" s="144">
        <v>1.0309999999999999</v>
      </c>
      <c r="K704" s="144">
        <v>1.0667</v>
      </c>
      <c r="L704" s="144">
        <v>0.44290000000000002</v>
      </c>
      <c r="M704" s="144">
        <v>0.96350000000000002</v>
      </c>
      <c r="N704" s="144">
        <v>0.79790000000000005</v>
      </c>
      <c r="O704" s="144">
        <v>1.0538000000000001</v>
      </c>
      <c r="P704" s="143">
        <v>19744.485523904365</v>
      </c>
      <c r="Q704" s="35">
        <f t="array" ref="Q704">SUM(IF(($S704&gt;=4)*($C704='TaxCred&amp;Subs'!$D$114:$D$121)*($H704='TaxCred&amp;Subs'!$C$114:$C$121)*($H704&lt;='TaxCred&amp;Subs'!$C$123),'TaxCred&amp;Subs'!$E$114:$E$121,0))</f>
        <v>2500</v>
      </c>
      <c r="R704" s="143">
        <v>0</v>
      </c>
      <c r="S704" s="29">
        <v>5</v>
      </c>
      <c r="T704" s="29" t="s">
        <v>221</v>
      </c>
      <c r="U704" s="30" t="s">
        <v>227</v>
      </c>
      <c r="V704" s="7" t="str">
        <f t="array" ref="V704">INDEX(xlRTCLNAME,MATCH(1,(xlRTCLENDU=1)*(xlRTCLEQCL=$D704),0))</f>
        <v>KERO_FA</v>
      </c>
      <c r="W704" s="7" t="str">
        <f t="array" ref="W704">INDEX(xlRTCLNAME,MATCH(1,(xlRTCLENDU=2)*(xlRTCLEQCL=$F704),0))</f>
        <v>CENT_AIR</v>
      </c>
      <c r="X704" s="7" t="str">
        <f t="array" ref="X704">INDEX(xlRTTYNAME,MATCH(1,(xlRTTYENDU=1)*(xlRTTYEQCL=$D704)*(xlRTEQTYPE=$E704),0))</f>
        <v>KERO_FA4</v>
      </c>
      <c r="Y704" s="7" t="str">
        <f t="array" ref="Y704">INDEX(xlRTTYNAME,MATCH(1,(xlRTTYENDU=2)*(xlRTTYEQCL=$F704)*(xlRTEQTYPE=$G704),0))</f>
        <v>CENT_AIR4</v>
      </c>
    </row>
    <row r="705" spans="2:25" x14ac:dyDescent="0.2">
      <c r="B705" s="29">
        <v>1</v>
      </c>
      <c r="C705" s="29">
        <v>1</v>
      </c>
      <c r="D705" s="29">
        <v>5</v>
      </c>
      <c r="E705" s="29">
        <v>17</v>
      </c>
      <c r="F705" s="29">
        <v>2</v>
      </c>
      <c r="G705" s="32">
        <v>7</v>
      </c>
      <c r="H705" s="29">
        <v>2033</v>
      </c>
      <c r="I705" s="29">
        <v>2050</v>
      </c>
      <c r="J705" s="144">
        <v>1.0309999999999999</v>
      </c>
      <c r="K705" s="144">
        <v>1.0667</v>
      </c>
      <c r="L705" s="144">
        <v>0.44290000000000002</v>
      </c>
      <c r="M705" s="144">
        <v>0.96350000000000002</v>
      </c>
      <c r="N705" s="144">
        <v>0.79790000000000005</v>
      </c>
      <c r="O705" s="144">
        <v>1.0538000000000001</v>
      </c>
      <c r="P705" s="143">
        <v>19744.485523904365</v>
      </c>
      <c r="Q705" s="35">
        <f t="array" ref="Q705">SUM(IF(($S705&gt;=4)*($C705='TaxCred&amp;Subs'!$D$114:$D$121)*($H705='TaxCred&amp;Subs'!$C$114:$C$121)*($H705&lt;='TaxCred&amp;Subs'!$C$123),'TaxCred&amp;Subs'!$E$114:$E$121,0))</f>
        <v>0</v>
      </c>
      <c r="R705" s="143">
        <v>0</v>
      </c>
      <c r="S705" s="29">
        <v>5</v>
      </c>
      <c r="T705" s="29" t="s">
        <v>221</v>
      </c>
      <c r="U705" s="30" t="s">
        <v>227</v>
      </c>
      <c r="V705" s="7" t="str">
        <f t="array" ref="V705">INDEX(xlRTCLNAME,MATCH(1,(xlRTCLENDU=1)*(xlRTCLEQCL=$D705),0))</f>
        <v>KERO_FA</v>
      </c>
      <c r="W705" s="7" t="str">
        <f t="array" ref="W705">INDEX(xlRTCLNAME,MATCH(1,(xlRTCLENDU=2)*(xlRTCLEQCL=$F705),0))</f>
        <v>CENT_AIR</v>
      </c>
      <c r="X705" s="7" t="str">
        <f t="array" ref="X705">INDEX(xlRTTYNAME,MATCH(1,(xlRTTYENDU=1)*(xlRTTYEQCL=$D705)*(xlRTEQTYPE=$E705),0))</f>
        <v>KERO_FA4</v>
      </c>
      <c r="Y705" s="7" t="str">
        <f t="array" ref="Y705">INDEX(xlRTTYNAME,MATCH(1,(xlRTTYENDU=2)*(xlRTTYEQCL=$F705)*(xlRTEQTYPE=$G705),0))</f>
        <v>CENT_AIR4</v>
      </c>
    </row>
    <row r="706" spans="2:25" x14ac:dyDescent="0.2">
      <c r="B706" s="29">
        <v>2</v>
      </c>
      <c r="C706" s="29">
        <v>1</v>
      </c>
      <c r="D706" s="29">
        <v>5</v>
      </c>
      <c r="E706" s="29">
        <v>17</v>
      </c>
      <c r="F706" s="29">
        <v>2</v>
      </c>
      <c r="G706" s="32">
        <v>7</v>
      </c>
      <c r="H706" s="32">
        <v>2020</v>
      </c>
      <c r="I706" s="29">
        <v>2022</v>
      </c>
      <c r="J706" s="144">
        <v>1.0772999999999999</v>
      </c>
      <c r="K706" s="144">
        <v>1.0758000000000001</v>
      </c>
      <c r="L706" s="144">
        <v>0.4617</v>
      </c>
      <c r="M706" s="144">
        <v>0.81589999999999996</v>
      </c>
      <c r="N706" s="144">
        <v>0.93169999999999997</v>
      </c>
      <c r="O706" s="144">
        <v>1.0538000000000001</v>
      </c>
      <c r="P706" s="143">
        <v>22424.142292657609</v>
      </c>
      <c r="Q706" s="35">
        <f t="array" ref="Q706">SUM(IF(($S706&gt;=4)*($C706='TaxCred&amp;Subs'!$D$114:$D$121)*($H706='TaxCred&amp;Subs'!$C$114:$C$121)*($H706&lt;='TaxCred&amp;Subs'!$C$123),'TaxCred&amp;Subs'!$E$114:$E$121,0))</f>
        <v>2000</v>
      </c>
      <c r="R706" s="143">
        <v>0</v>
      </c>
      <c r="S706" s="29">
        <v>5</v>
      </c>
      <c r="T706" s="29" t="s">
        <v>221</v>
      </c>
      <c r="U706" s="30" t="s">
        <v>227</v>
      </c>
      <c r="V706" s="7" t="str">
        <f t="array" ref="V706">INDEX(xlRTCLNAME,MATCH(1,(xlRTCLENDU=1)*(xlRTCLEQCL=$D706),0))</f>
        <v>KERO_FA</v>
      </c>
      <c r="W706" s="7" t="str">
        <f t="array" ref="W706">INDEX(xlRTCLNAME,MATCH(1,(xlRTCLENDU=2)*(xlRTCLEQCL=$F706),0))</f>
        <v>CENT_AIR</v>
      </c>
      <c r="X706" s="7" t="str">
        <f t="array" ref="X706">INDEX(xlRTTYNAME,MATCH(1,(xlRTTYENDU=1)*(xlRTTYEQCL=$D706)*(xlRTEQTYPE=$E706),0))</f>
        <v>KERO_FA4</v>
      </c>
      <c r="Y706" s="7" t="str">
        <f t="array" ref="Y706">INDEX(xlRTTYNAME,MATCH(1,(xlRTTYENDU=2)*(xlRTTYEQCL=$F706)*(xlRTEQTYPE=$G706),0))</f>
        <v>CENT_AIR4</v>
      </c>
    </row>
    <row r="707" spans="2:25" x14ac:dyDescent="0.2">
      <c r="B707" s="29">
        <v>2</v>
      </c>
      <c r="C707" s="29">
        <v>1</v>
      </c>
      <c r="D707" s="29">
        <v>5</v>
      </c>
      <c r="E707" s="29">
        <v>17</v>
      </c>
      <c r="F707" s="29">
        <v>2</v>
      </c>
      <c r="G707" s="32">
        <v>7</v>
      </c>
      <c r="H707" s="29">
        <v>2023</v>
      </c>
      <c r="I707" s="29">
        <v>2032</v>
      </c>
      <c r="J707" s="144">
        <v>1.0772999999999999</v>
      </c>
      <c r="K707" s="144">
        <v>1.0758000000000001</v>
      </c>
      <c r="L707" s="144">
        <v>0.4617</v>
      </c>
      <c r="M707" s="144">
        <v>0.81589999999999996</v>
      </c>
      <c r="N707" s="144">
        <v>0.93169999999999997</v>
      </c>
      <c r="O707" s="144">
        <v>1.0538000000000001</v>
      </c>
      <c r="P707" s="143">
        <v>22424.142292657609</v>
      </c>
      <c r="Q707" s="35">
        <f t="array" ref="Q707">SUM(IF(($S707&gt;=4)*($C707='TaxCred&amp;Subs'!$D$114:$D$121)*($H707='TaxCred&amp;Subs'!$C$114:$C$121)*($H707&lt;='TaxCred&amp;Subs'!$C$123),'TaxCred&amp;Subs'!$E$114:$E$121,0))</f>
        <v>2500</v>
      </c>
      <c r="R707" s="143">
        <v>0</v>
      </c>
      <c r="S707" s="29">
        <v>5</v>
      </c>
      <c r="T707" s="29" t="s">
        <v>221</v>
      </c>
      <c r="U707" s="30" t="s">
        <v>227</v>
      </c>
      <c r="V707" s="7" t="str">
        <f t="array" ref="V707">INDEX(xlRTCLNAME,MATCH(1,(xlRTCLENDU=1)*(xlRTCLEQCL=$D707),0))</f>
        <v>KERO_FA</v>
      </c>
      <c r="W707" s="7" t="str">
        <f t="array" ref="W707">INDEX(xlRTCLNAME,MATCH(1,(xlRTCLENDU=2)*(xlRTCLEQCL=$F707),0))</f>
        <v>CENT_AIR</v>
      </c>
      <c r="X707" s="7" t="str">
        <f t="array" ref="X707">INDEX(xlRTTYNAME,MATCH(1,(xlRTTYENDU=1)*(xlRTTYEQCL=$D707)*(xlRTEQTYPE=$E707),0))</f>
        <v>KERO_FA4</v>
      </c>
      <c r="Y707" s="7" t="str">
        <f t="array" ref="Y707">INDEX(xlRTTYNAME,MATCH(1,(xlRTTYENDU=2)*(xlRTTYEQCL=$F707)*(xlRTEQTYPE=$G707),0))</f>
        <v>CENT_AIR4</v>
      </c>
    </row>
    <row r="708" spans="2:25" x14ac:dyDescent="0.2">
      <c r="B708" s="29">
        <v>2</v>
      </c>
      <c r="C708" s="29">
        <v>1</v>
      </c>
      <c r="D708" s="29">
        <v>5</v>
      </c>
      <c r="E708" s="29">
        <v>17</v>
      </c>
      <c r="F708" s="29">
        <v>2</v>
      </c>
      <c r="G708" s="32">
        <v>7</v>
      </c>
      <c r="H708" s="29">
        <v>2033</v>
      </c>
      <c r="I708" s="29">
        <v>2050</v>
      </c>
      <c r="J708" s="144">
        <v>1.0772999999999999</v>
      </c>
      <c r="K708" s="144">
        <v>1.0758000000000001</v>
      </c>
      <c r="L708" s="144">
        <v>0.4617</v>
      </c>
      <c r="M708" s="144">
        <v>0.81589999999999996</v>
      </c>
      <c r="N708" s="144">
        <v>0.93169999999999997</v>
      </c>
      <c r="O708" s="144">
        <v>1.0538000000000001</v>
      </c>
      <c r="P708" s="143">
        <v>22424.142292657609</v>
      </c>
      <c r="Q708" s="35">
        <f t="array" ref="Q708">SUM(IF(($S708&gt;=4)*($C708='TaxCred&amp;Subs'!$D$114:$D$121)*($H708='TaxCred&amp;Subs'!$C$114:$C$121)*($H708&lt;='TaxCred&amp;Subs'!$C$123),'TaxCred&amp;Subs'!$E$114:$E$121,0))</f>
        <v>0</v>
      </c>
      <c r="R708" s="143">
        <v>0</v>
      </c>
      <c r="S708" s="29">
        <v>5</v>
      </c>
      <c r="T708" s="29" t="s">
        <v>221</v>
      </c>
      <c r="U708" s="30" t="s">
        <v>227</v>
      </c>
      <c r="V708" s="7" t="str">
        <f t="array" ref="V708">INDEX(xlRTCLNAME,MATCH(1,(xlRTCLENDU=1)*(xlRTCLEQCL=$D708),0))</f>
        <v>KERO_FA</v>
      </c>
      <c r="W708" s="7" t="str">
        <f t="array" ref="W708">INDEX(xlRTCLNAME,MATCH(1,(xlRTCLENDU=2)*(xlRTCLEQCL=$F708),0))</f>
        <v>CENT_AIR</v>
      </c>
      <c r="X708" s="7" t="str">
        <f t="array" ref="X708">INDEX(xlRTTYNAME,MATCH(1,(xlRTTYENDU=1)*(xlRTTYEQCL=$D708)*(xlRTEQTYPE=$E708),0))</f>
        <v>KERO_FA4</v>
      </c>
      <c r="Y708" s="7" t="str">
        <f t="array" ref="Y708">INDEX(xlRTTYNAME,MATCH(1,(xlRTTYENDU=2)*(xlRTTYEQCL=$F708)*(xlRTEQTYPE=$G708),0))</f>
        <v>CENT_AIR4</v>
      </c>
    </row>
    <row r="709" spans="2:25" x14ac:dyDescent="0.2">
      <c r="B709" s="29">
        <v>5</v>
      </c>
      <c r="C709" s="29">
        <v>1</v>
      </c>
      <c r="D709" s="29">
        <v>5</v>
      </c>
      <c r="E709" s="29">
        <v>17</v>
      </c>
      <c r="F709" s="29">
        <v>2</v>
      </c>
      <c r="G709" s="32">
        <v>7</v>
      </c>
      <c r="H709" s="32">
        <v>2020</v>
      </c>
      <c r="I709" s="29">
        <v>2022</v>
      </c>
      <c r="J709" s="144">
        <v>1.0847</v>
      </c>
      <c r="K709" s="144">
        <v>1.056</v>
      </c>
      <c r="L709" s="144">
        <v>0.32740000000000002</v>
      </c>
      <c r="M709" s="144">
        <v>0.73150000000000004</v>
      </c>
      <c r="N709" s="144">
        <v>0.76280000000000003</v>
      </c>
      <c r="O709" s="144">
        <v>1.0538000000000001</v>
      </c>
      <c r="P709" s="143">
        <v>15568.362130152442</v>
      </c>
      <c r="Q709" s="35">
        <f t="array" ref="Q709">SUM(IF(($S709&gt;=4)*($C709='TaxCred&amp;Subs'!$D$114:$D$121)*($H709='TaxCred&amp;Subs'!$C$114:$C$121)*($H709&lt;='TaxCred&amp;Subs'!$C$123),'TaxCred&amp;Subs'!$E$114:$E$121,0))</f>
        <v>2000</v>
      </c>
      <c r="R709" s="143">
        <v>0</v>
      </c>
      <c r="S709" s="29">
        <v>5</v>
      </c>
      <c r="T709" s="29" t="s">
        <v>221</v>
      </c>
      <c r="U709" s="30" t="s">
        <v>227</v>
      </c>
      <c r="V709" s="7" t="str">
        <f t="array" ref="V709">INDEX(xlRTCLNAME,MATCH(1,(xlRTCLENDU=1)*(xlRTCLEQCL=$D709),0))</f>
        <v>KERO_FA</v>
      </c>
      <c r="W709" s="7" t="str">
        <f t="array" ref="W709">INDEX(xlRTCLNAME,MATCH(1,(xlRTCLENDU=2)*(xlRTCLEQCL=$F709),0))</f>
        <v>CENT_AIR</v>
      </c>
      <c r="X709" s="7" t="str">
        <f t="array" ref="X709">INDEX(xlRTTYNAME,MATCH(1,(xlRTTYENDU=1)*(xlRTTYEQCL=$D709)*(xlRTEQTYPE=$E709),0))</f>
        <v>KERO_FA4</v>
      </c>
      <c r="Y709" s="7" t="str">
        <f t="array" ref="Y709">INDEX(xlRTTYNAME,MATCH(1,(xlRTTYENDU=2)*(xlRTTYEQCL=$F709)*(xlRTEQTYPE=$G709),0))</f>
        <v>CENT_AIR4</v>
      </c>
    </row>
    <row r="710" spans="2:25" x14ac:dyDescent="0.2">
      <c r="B710" s="29">
        <v>5</v>
      </c>
      <c r="C710" s="29">
        <v>1</v>
      </c>
      <c r="D710" s="29">
        <v>5</v>
      </c>
      <c r="E710" s="29">
        <v>17</v>
      </c>
      <c r="F710" s="29">
        <v>2</v>
      </c>
      <c r="G710" s="32">
        <v>7</v>
      </c>
      <c r="H710" s="29">
        <v>2023</v>
      </c>
      <c r="I710" s="29">
        <v>2032</v>
      </c>
      <c r="J710" s="144">
        <v>1.0847</v>
      </c>
      <c r="K710" s="144">
        <v>1.056</v>
      </c>
      <c r="L710" s="144">
        <v>0.32740000000000002</v>
      </c>
      <c r="M710" s="144">
        <v>0.73150000000000004</v>
      </c>
      <c r="N710" s="144">
        <v>0.76280000000000003</v>
      </c>
      <c r="O710" s="144">
        <v>1.0538000000000001</v>
      </c>
      <c r="P710" s="143">
        <v>15568.362130152442</v>
      </c>
      <c r="Q710" s="35">
        <f t="array" ref="Q710">SUM(IF(($S710&gt;=4)*($C710='TaxCred&amp;Subs'!$D$114:$D$121)*($H710='TaxCred&amp;Subs'!$C$114:$C$121)*($H710&lt;='TaxCred&amp;Subs'!$C$123),'TaxCred&amp;Subs'!$E$114:$E$121,0))</f>
        <v>2500</v>
      </c>
      <c r="R710" s="143">
        <v>0</v>
      </c>
      <c r="S710" s="29">
        <v>5</v>
      </c>
      <c r="T710" s="29" t="s">
        <v>221</v>
      </c>
      <c r="U710" s="30" t="s">
        <v>227</v>
      </c>
      <c r="V710" s="7" t="str">
        <f t="array" ref="V710">INDEX(xlRTCLNAME,MATCH(1,(xlRTCLENDU=1)*(xlRTCLEQCL=$D710),0))</f>
        <v>KERO_FA</v>
      </c>
      <c r="W710" s="7" t="str">
        <f t="array" ref="W710">INDEX(xlRTCLNAME,MATCH(1,(xlRTCLENDU=2)*(xlRTCLEQCL=$F710),0))</f>
        <v>CENT_AIR</v>
      </c>
      <c r="X710" s="7" t="str">
        <f t="array" ref="X710">INDEX(xlRTTYNAME,MATCH(1,(xlRTTYENDU=1)*(xlRTTYEQCL=$D710)*(xlRTEQTYPE=$E710),0))</f>
        <v>KERO_FA4</v>
      </c>
      <c r="Y710" s="7" t="str">
        <f t="array" ref="Y710">INDEX(xlRTTYNAME,MATCH(1,(xlRTTYENDU=2)*(xlRTTYEQCL=$F710)*(xlRTEQTYPE=$G710),0))</f>
        <v>CENT_AIR4</v>
      </c>
    </row>
    <row r="711" spans="2:25" x14ac:dyDescent="0.2">
      <c r="B711" s="29">
        <v>5</v>
      </c>
      <c r="C711" s="29">
        <v>1</v>
      </c>
      <c r="D711" s="29">
        <v>5</v>
      </c>
      <c r="E711" s="29">
        <v>17</v>
      </c>
      <c r="F711" s="29">
        <v>2</v>
      </c>
      <c r="G711" s="32">
        <v>7</v>
      </c>
      <c r="H711" s="29">
        <v>2033</v>
      </c>
      <c r="I711" s="29">
        <v>2050</v>
      </c>
      <c r="J711" s="144">
        <v>1.0847</v>
      </c>
      <c r="K711" s="144">
        <v>1.056</v>
      </c>
      <c r="L711" s="144">
        <v>0.32740000000000002</v>
      </c>
      <c r="M711" s="144">
        <v>0.73150000000000004</v>
      </c>
      <c r="N711" s="144">
        <v>0.76280000000000003</v>
      </c>
      <c r="O711" s="144">
        <v>1.0538000000000001</v>
      </c>
      <c r="P711" s="143">
        <v>15568.362130152442</v>
      </c>
      <c r="Q711" s="35">
        <f t="array" ref="Q711">SUM(IF(($S711&gt;=4)*($C711='TaxCred&amp;Subs'!$D$114:$D$121)*($H711='TaxCred&amp;Subs'!$C$114:$C$121)*($H711&lt;='TaxCred&amp;Subs'!$C$123),'TaxCred&amp;Subs'!$E$114:$E$121,0))</f>
        <v>0</v>
      </c>
      <c r="R711" s="143">
        <v>0</v>
      </c>
      <c r="S711" s="29">
        <v>5</v>
      </c>
      <c r="T711" s="29" t="s">
        <v>221</v>
      </c>
      <c r="U711" s="30" t="s">
        <v>227</v>
      </c>
      <c r="V711" s="7" t="str">
        <f t="array" ref="V711">INDEX(xlRTCLNAME,MATCH(1,(xlRTCLENDU=1)*(xlRTCLEQCL=$D711),0))</f>
        <v>KERO_FA</v>
      </c>
      <c r="W711" s="7" t="str">
        <f t="array" ref="W711">INDEX(xlRTCLNAME,MATCH(1,(xlRTCLENDU=2)*(xlRTCLEQCL=$F711),0))</f>
        <v>CENT_AIR</v>
      </c>
      <c r="X711" s="7" t="str">
        <f t="array" ref="X711">INDEX(xlRTTYNAME,MATCH(1,(xlRTTYENDU=1)*(xlRTTYEQCL=$D711)*(xlRTEQTYPE=$E711),0))</f>
        <v>KERO_FA4</v>
      </c>
      <c r="Y711" s="7" t="str">
        <f t="array" ref="Y711">INDEX(xlRTTYNAME,MATCH(1,(xlRTTYENDU=2)*(xlRTTYEQCL=$F711)*(xlRTEQTYPE=$G711),0))</f>
        <v>CENT_AIR4</v>
      </c>
    </row>
    <row r="712" spans="2:25" x14ac:dyDescent="0.2">
      <c r="B712" s="29">
        <v>6</v>
      </c>
      <c r="C712" s="29">
        <v>1</v>
      </c>
      <c r="D712" s="29">
        <v>5</v>
      </c>
      <c r="E712" s="29">
        <v>17</v>
      </c>
      <c r="F712" s="29">
        <v>2</v>
      </c>
      <c r="G712" s="32">
        <v>7</v>
      </c>
      <c r="H712" s="32">
        <v>2020</v>
      </c>
      <c r="I712" s="29">
        <v>2022</v>
      </c>
      <c r="J712" s="144">
        <v>1.0907</v>
      </c>
      <c r="K712" s="144">
        <v>1.0603</v>
      </c>
      <c r="L712" s="144">
        <v>0.41909999999999997</v>
      </c>
      <c r="M712" s="144">
        <v>0.76590000000000003</v>
      </c>
      <c r="N712" s="144">
        <v>0.89139999999999997</v>
      </c>
      <c r="O712" s="144">
        <v>1.0538000000000001</v>
      </c>
      <c r="P712" s="143">
        <v>15382.816403063658</v>
      </c>
      <c r="Q712" s="35">
        <f t="array" ref="Q712">SUM(IF(($S712&gt;=4)*($C712='TaxCred&amp;Subs'!$D$114:$D$121)*($H712='TaxCred&amp;Subs'!$C$114:$C$121)*($H712&lt;='TaxCred&amp;Subs'!$C$123),'TaxCred&amp;Subs'!$E$114:$E$121,0))</f>
        <v>2000</v>
      </c>
      <c r="R712" s="143">
        <v>0</v>
      </c>
      <c r="S712" s="29">
        <v>5</v>
      </c>
      <c r="T712" s="29" t="s">
        <v>221</v>
      </c>
      <c r="U712" s="30" t="s">
        <v>227</v>
      </c>
      <c r="V712" s="7" t="str">
        <f t="array" ref="V712">INDEX(xlRTCLNAME,MATCH(1,(xlRTCLENDU=1)*(xlRTCLEQCL=$D712),0))</f>
        <v>KERO_FA</v>
      </c>
      <c r="W712" s="7" t="str">
        <f t="array" ref="W712">INDEX(xlRTCLNAME,MATCH(1,(xlRTCLENDU=2)*(xlRTCLEQCL=$F712),0))</f>
        <v>CENT_AIR</v>
      </c>
      <c r="X712" s="7" t="str">
        <f t="array" ref="X712">INDEX(xlRTTYNAME,MATCH(1,(xlRTTYENDU=1)*(xlRTTYEQCL=$D712)*(xlRTEQTYPE=$E712),0))</f>
        <v>KERO_FA4</v>
      </c>
      <c r="Y712" s="7" t="str">
        <f t="array" ref="Y712">INDEX(xlRTTYNAME,MATCH(1,(xlRTTYENDU=2)*(xlRTTYEQCL=$F712)*(xlRTEQTYPE=$G712),0))</f>
        <v>CENT_AIR4</v>
      </c>
    </row>
    <row r="713" spans="2:25" x14ac:dyDescent="0.2">
      <c r="B713" s="29">
        <v>6</v>
      </c>
      <c r="C713" s="29">
        <v>1</v>
      </c>
      <c r="D713" s="29">
        <v>5</v>
      </c>
      <c r="E713" s="29">
        <v>17</v>
      </c>
      <c r="F713" s="29">
        <v>2</v>
      </c>
      <c r="G713" s="32">
        <v>7</v>
      </c>
      <c r="H713" s="29">
        <v>2023</v>
      </c>
      <c r="I713" s="29">
        <v>2032</v>
      </c>
      <c r="J713" s="144">
        <v>1.0907</v>
      </c>
      <c r="K713" s="144">
        <v>1.0603</v>
      </c>
      <c r="L713" s="144">
        <v>0.41909999999999997</v>
      </c>
      <c r="M713" s="144">
        <v>0.76590000000000003</v>
      </c>
      <c r="N713" s="144">
        <v>0.89139999999999997</v>
      </c>
      <c r="O713" s="144">
        <v>1.0538000000000001</v>
      </c>
      <c r="P713" s="143">
        <v>15382.816403063658</v>
      </c>
      <c r="Q713" s="35">
        <f t="array" ref="Q713">SUM(IF(($S713&gt;=4)*($C713='TaxCred&amp;Subs'!$D$114:$D$121)*($H713='TaxCred&amp;Subs'!$C$114:$C$121)*($H713&lt;='TaxCred&amp;Subs'!$C$123),'TaxCred&amp;Subs'!$E$114:$E$121,0))</f>
        <v>2500</v>
      </c>
      <c r="R713" s="143">
        <v>0</v>
      </c>
      <c r="S713" s="29">
        <v>5</v>
      </c>
      <c r="T713" s="29" t="s">
        <v>221</v>
      </c>
      <c r="U713" s="30" t="s">
        <v>227</v>
      </c>
      <c r="V713" s="7" t="str">
        <f t="array" ref="V713">INDEX(xlRTCLNAME,MATCH(1,(xlRTCLENDU=1)*(xlRTCLEQCL=$D713),0))</f>
        <v>KERO_FA</v>
      </c>
      <c r="W713" s="7" t="str">
        <f t="array" ref="W713">INDEX(xlRTCLNAME,MATCH(1,(xlRTCLENDU=2)*(xlRTCLEQCL=$F713),0))</f>
        <v>CENT_AIR</v>
      </c>
      <c r="X713" s="7" t="str">
        <f t="array" ref="X713">INDEX(xlRTTYNAME,MATCH(1,(xlRTTYENDU=1)*(xlRTTYEQCL=$D713)*(xlRTEQTYPE=$E713),0))</f>
        <v>KERO_FA4</v>
      </c>
      <c r="Y713" s="7" t="str">
        <f t="array" ref="Y713">INDEX(xlRTTYNAME,MATCH(1,(xlRTTYENDU=2)*(xlRTTYEQCL=$F713)*(xlRTEQTYPE=$G713),0))</f>
        <v>CENT_AIR4</v>
      </c>
    </row>
    <row r="714" spans="2:25" x14ac:dyDescent="0.2">
      <c r="B714" s="29">
        <v>6</v>
      </c>
      <c r="C714" s="29">
        <v>1</v>
      </c>
      <c r="D714" s="29">
        <v>5</v>
      </c>
      <c r="E714" s="29">
        <v>17</v>
      </c>
      <c r="F714" s="29">
        <v>2</v>
      </c>
      <c r="G714" s="32">
        <v>7</v>
      </c>
      <c r="H714" s="29">
        <v>2033</v>
      </c>
      <c r="I714" s="29">
        <v>2050</v>
      </c>
      <c r="J714" s="144">
        <v>1.0907</v>
      </c>
      <c r="K714" s="144">
        <v>1.0603</v>
      </c>
      <c r="L714" s="144">
        <v>0.41909999999999997</v>
      </c>
      <c r="M714" s="144">
        <v>0.76590000000000003</v>
      </c>
      <c r="N714" s="144">
        <v>0.89139999999999997</v>
      </c>
      <c r="O714" s="144">
        <v>1.0538000000000001</v>
      </c>
      <c r="P714" s="143">
        <v>15382.816403063658</v>
      </c>
      <c r="Q714" s="35">
        <f t="array" ref="Q714">SUM(IF(($S714&gt;=4)*($C714='TaxCred&amp;Subs'!$D$114:$D$121)*($H714='TaxCred&amp;Subs'!$C$114:$C$121)*($H714&lt;='TaxCred&amp;Subs'!$C$123),'TaxCred&amp;Subs'!$E$114:$E$121,0))</f>
        <v>0</v>
      </c>
      <c r="R714" s="143">
        <v>0</v>
      </c>
      <c r="S714" s="29">
        <v>5</v>
      </c>
      <c r="T714" s="29" t="s">
        <v>221</v>
      </c>
      <c r="U714" s="30" t="s">
        <v>227</v>
      </c>
      <c r="V714" s="7" t="str">
        <f t="array" ref="V714">INDEX(xlRTCLNAME,MATCH(1,(xlRTCLENDU=1)*(xlRTCLEQCL=$D714),0))</f>
        <v>KERO_FA</v>
      </c>
      <c r="W714" s="7" t="str">
        <f t="array" ref="W714">INDEX(xlRTCLNAME,MATCH(1,(xlRTCLENDU=2)*(xlRTCLEQCL=$F714),0))</f>
        <v>CENT_AIR</v>
      </c>
      <c r="X714" s="7" t="str">
        <f t="array" ref="X714">INDEX(xlRTTYNAME,MATCH(1,(xlRTTYENDU=1)*(xlRTTYEQCL=$D714)*(xlRTEQTYPE=$E714),0))</f>
        <v>KERO_FA4</v>
      </c>
      <c r="Y714" s="7" t="str">
        <f t="array" ref="Y714">INDEX(xlRTTYNAME,MATCH(1,(xlRTTYENDU=2)*(xlRTTYEQCL=$F714)*(xlRTEQTYPE=$G714),0))</f>
        <v>CENT_AIR4</v>
      </c>
    </row>
    <row r="715" spans="2:25" x14ac:dyDescent="0.2">
      <c r="B715" s="29">
        <v>7</v>
      </c>
      <c r="C715" s="29">
        <v>1</v>
      </c>
      <c r="D715" s="29">
        <v>5</v>
      </c>
      <c r="E715" s="29">
        <v>17</v>
      </c>
      <c r="F715" s="29">
        <v>2</v>
      </c>
      <c r="G715" s="32">
        <v>7</v>
      </c>
      <c r="H715" s="32">
        <v>2020</v>
      </c>
      <c r="I715" s="29">
        <v>2022</v>
      </c>
      <c r="J715" s="144">
        <v>1.0885</v>
      </c>
      <c r="K715" s="144">
        <v>1.0575000000000001</v>
      </c>
      <c r="L715" s="144">
        <v>0.37530000000000002</v>
      </c>
      <c r="M715" s="144">
        <v>0.65339999999999998</v>
      </c>
      <c r="N715" s="144">
        <v>0.872</v>
      </c>
      <c r="O715" s="144">
        <v>1.0538000000000001</v>
      </c>
      <c r="P715" s="143">
        <v>15600.63095225484</v>
      </c>
      <c r="Q715" s="35">
        <f t="array" ref="Q715">SUM(IF(($S715&gt;=4)*($C715='TaxCred&amp;Subs'!$D$114:$D$121)*($H715='TaxCred&amp;Subs'!$C$114:$C$121)*($H715&lt;='TaxCred&amp;Subs'!$C$123),'TaxCred&amp;Subs'!$E$114:$E$121,0))</f>
        <v>2000</v>
      </c>
      <c r="R715" s="143">
        <v>0</v>
      </c>
      <c r="S715" s="29">
        <v>5</v>
      </c>
      <c r="T715" s="29" t="s">
        <v>221</v>
      </c>
      <c r="U715" s="30" t="s">
        <v>227</v>
      </c>
      <c r="V715" s="7" t="str">
        <f t="array" ref="V715">INDEX(xlRTCLNAME,MATCH(1,(xlRTCLENDU=1)*(xlRTCLEQCL=$D715),0))</f>
        <v>KERO_FA</v>
      </c>
      <c r="W715" s="7" t="str">
        <f t="array" ref="W715">INDEX(xlRTCLNAME,MATCH(1,(xlRTCLENDU=2)*(xlRTCLEQCL=$F715),0))</f>
        <v>CENT_AIR</v>
      </c>
      <c r="X715" s="7" t="str">
        <f t="array" ref="X715">INDEX(xlRTTYNAME,MATCH(1,(xlRTTYENDU=1)*(xlRTTYEQCL=$D715)*(xlRTEQTYPE=$E715),0))</f>
        <v>KERO_FA4</v>
      </c>
      <c r="Y715" s="7" t="str">
        <f t="array" ref="Y715">INDEX(xlRTTYNAME,MATCH(1,(xlRTTYENDU=2)*(xlRTTYEQCL=$F715)*(xlRTEQTYPE=$G715),0))</f>
        <v>CENT_AIR4</v>
      </c>
    </row>
    <row r="716" spans="2:25" x14ac:dyDescent="0.2">
      <c r="B716" s="29">
        <v>7</v>
      </c>
      <c r="C716" s="29">
        <v>1</v>
      </c>
      <c r="D716" s="29">
        <v>5</v>
      </c>
      <c r="E716" s="29">
        <v>17</v>
      </c>
      <c r="F716" s="29">
        <v>2</v>
      </c>
      <c r="G716" s="32">
        <v>7</v>
      </c>
      <c r="H716" s="29">
        <v>2023</v>
      </c>
      <c r="I716" s="29">
        <v>2032</v>
      </c>
      <c r="J716" s="144">
        <v>1.0885</v>
      </c>
      <c r="K716" s="144">
        <v>1.0575000000000001</v>
      </c>
      <c r="L716" s="144">
        <v>0.37530000000000002</v>
      </c>
      <c r="M716" s="144">
        <v>0.65339999999999998</v>
      </c>
      <c r="N716" s="144">
        <v>0.872</v>
      </c>
      <c r="O716" s="144">
        <v>1.0538000000000001</v>
      </c>
      <c r="P716" s="143">
        <v>15600.63095225484</v>
      </c>
      <c r="Q716" s="35">
        <f t="array" ref="Q716">SUM(IF(($S716&gt;=4)*($C716='TaxCred&amp;Subs'!$D$114:$D$121)*($H716='TaxCred&amp;Subs'!$C$114:$C$121)*($H716&lt;='TaxCred&amp;Subs'!$C$123),'TaxCred&amp;Subs'!$E$114:$E$121,0))</f>
        <v>2500</v>
      </c>
      <c r="R716" s="143">
        <v>0</v>
      </c>
      <c r="S716" s="29">
        <v>5</v>
      </c>
      <c r="T716" s="29" t="s">
        <v>221</v>
      </c>
      <c r="U716" s="30" t="s">
        <v>227</v>
      </c>
      <c r="V716" s="7" t="str">
        <f t="array" ref="V716">INDEX(xlRTCLNAME,MATCH(1,(xlRTCLENDU=1)*(xlRTCLEQCL=$D716),0))</f>
        <v>KERO_FA</v>
      </c>
      <c r="W716" s="7" t="str">
        <f t="array" ref="W716">INDEX(xlRTCLNAME,MATCH(1,(xlRTCLENDU=2)*(xlRTCLEQCL=$F716),0))</f>
        <v>CENT_AIR</v>
      </c>
      <c r="X716" s="7" t="str">
        <f t="array" ref="X716">INDEX(xlRTTYNAME,MATCH(1,(xlRTTYENDU=1)*(xlRTTYEQCL=$D716)*(xlRTEQTYPE=$E716),0))</f>
        <v>KERO_FA4</v>
      </c>
      <c r="Y716" s="7" t="str">
        <f t="array" ref="Y716">INDEX(xlRTTYNAME,MATCH(1,(xlRTTYENDU=2)*(xlRTTYEQCL=$F716)*(xlRTEQTYPE=$G716),0))</f>
        <v>CENT_AIR4</v>
      </c>
    </row>
    <row r="717" spans="2:25" x14ac:dyDescent="0.2">
      <c r="B717" s="29">
        <v>7</v>
      </c>
      <c r="C717" s="29">
        <v>1</v>
      </c>
      <c r="D717" s="29">
        <v>5</v>
      </c>
      <c r="E717" s="29">
        <v>17</v>
      </c>
      <c r="F717" s="29">
        <v>2</v>
      </c>
      <c r="G717" s="32">
        <v>7</v>
      </c>
      <c r="H717" s="29">
        <v>2033</v>
      </c>
      <c r="I717" s="29">
        <v>2050</v>
      </c>
      <c r="J717" s="144">
        <v>1.0885</v>
      </c>
      <c r="K717" s="144">
        <v>1.0575000000000001</v>
      </c>
      <c r="L717" s="144">
        <v>0.37530000000000002</v>
      </c>
      <c r="M717" s="144">
        <v>0.65339999999999998</v>
      </c>
      <c r="N717" s="144">
        <v>0.872</v>
      </c>
      <c r="O717" s="144">
        <v>1.0538000000000001</v>
      </c>
      <c r="P717" s="143">
        <v>15600.63095225484</v>
      </c>
      <c r="Q717" s="35">
        <f t="array" ref="Q717">SUM(IF(($S717&gt;=4)*($C717='TaxCred&amp;Subs'!$D$114:$D$121)*($H717='TaxCred&amp;Subs'!$C$114:$C$121)*($H717&lt;='TaxCred&amp;Subs'!$C$123),'TaxCred&amp;Subs'!$E$114:$E$121,0))</f>
        <v>0</v>
      </c>
      <c r="R717" s="143">
        <v>0</v>
      </c>
      <c r="S717" s="29">
        <v>5</v>
      </c>
      <c r="T717" s="29" t="s">
        <v>221</v>
      </c>
      <c r="U717" s="30" t="s">
        <v>227</v>
      </c>
      <c r="V717" s="7" t="str">
        <f t="array" ref="V717">INDEX(xlRTCLNAME,MATCH(1,(xlRTCLENDU=1)*(xlRTCLEQCL=$D717),0))</f>
        <v>KERO_FA</v>
      </c>
      <c r="W717" s="7" t="str">
        <f t="array" ref="W717">INDEX(xlRTCLNAME,MATCH(1,(xlRTCLENDU=2)*(xlRTCLEQCL=$F717),0))</f>
        <v>CENT_AIR</v>
      </c>
      <c r="X717" s="7" t="str">
        <f t="array" ref="X717">INDEX(xlRTTYNAME,MATCH(1,(xlRTTYENDU=1)*(xlRTTYEQCL=$D717)*(xlRTEQTYPE=$E717),0))</f>
        <v>KERO_FA4</v>
      </c>
      <c r="Y717" s="7" t="str">
        <f t="array" ref="Y717">INDEX(xlRTTYNAME,MATCH(1,(xlRTTYENDU=2)*(xlRTTYEQCL=$F717)*(xlRTEQTYPE=$G717),0))</f>
        <v>CENT_AIR4</v>
      </c>
    </row>
    <row r="718" spans="2:25" x14ac:dyDescent="0.2">
      <c r="B718" s="29">
        <v>8</v>
      </c>
      <c r="C718" s="29">
        <v>1</v>
      </c>
      <c r="D718" s="29">
        <v>5</v>
      </c>
      <c r="E718" s="29">
        <v>17</v>
      </c>
      <c r="F718" s="29">
        <v>2</v>
      </c>
      <c r="G718" s="32">
        <v>7</v>
      </c>
      <c r="H718" s="32">
        <v>2020</v>
      </c>
      <c r="I718" s="29">
        <v>2022</v>
      </c>
      <c r="J718" s="144">
        <v>1.0838000000000001</v>
      </c>
      <c r="K718" s="144">
        <v>1.0832999999999999</v>
      </c>
      <c r="L718" s="144">
        <v>0.43130000000000002</v>
      </c>
      <c r="M718" s="144">
        <v>0.78110000000000002</v>
      </c>
      <c r="N718" s="144">
        <v>0.86950000000000005</v>
      </c>
      <c r="O718" s="144">
        <v>1.0538000000000001</v>
      </c>
      <c r="P718" s="143">
        <v>16260.797271099718</v>
      </c>
      <c r="Q718" s="35">
        <f t="array" ref="Q718">SUM(IF(($S718&gt;=4)*($C718='TaxCred&amp;Subs'!$D$114:$D$121)*($H718='TaxCred&amp;Subs'!$C$114:$C$121)*($H718&lt;='TaxCred&amp;Subs'!$C$123),'TaxCred&amp;Subs'!$E$114:$E$121,0))</f>
        <v>2000</v>
      </c>
      <c r="R718" s="143">
        <v>0</v>
      </c>
      <c r="S718" s="29">
        <v>5</v>
      </c>
      <c r="T718" s="29" t="s">
        <v>221</v>
      </c>
      <c r="U718" s="30" t="s">
        <v>227</v>
      </c>
      <c r="V718" s="7" t="str">
        <f t="array" ref="V718">INDEX(xlRTCLNAME,MATCH(1,(xlRTCLENDU=1)*(xlRTCLEQCL=$D718),0))</f>
        <v>KERO_FA</v>
      </c>
      <c r="W718" s="7" t="str">
        <f t="array" ref="W718">INDEX(xlRTCLNAME,MATCH(1,(xlRTCLENDU=2)*(xlRTCLEQCL=$F718),0))</f>
        <v>CENT_AIR</v>
      </c>
      <c r="X718" s="7" t="str">
        <f t="array" ref="X718">INDEX(xlRTTYNAME,MATCH(1,(xlRTTYENDU=1)*(xlRTTYEQCL=$D718)*(xlRTEQTYPE=$E718),0))</f>
        <v>KERO_FA4</v>
      </c>
      <c r="Y718" s="7" t="str">
        <f t="array" ref="Y718">INDEX(xlRTTYNAME,MATCH(1,(xlRTTYENDU=2)*(xlRTTYEQCL=$F718)*(xlRTEQTYPE=$G718),0))</f>
        <v>CENT_AIR4</v>
      </c>
    </row>
    <row r="719" spans="2:25" x14ac:dyDescent="0.2">
      <c r="B719" s="29">
        <v>8</v>
      </c>
      <c r="C719" s="29">
        <v>1</v>
      </c>
      <c r="D719" s="29">
        <v>5</v>
      </c>
      <c r="E719" s="29">
        <v>17</v>
      </c>
      <c r="F719" s="29">
        <v>2</v>
      </c>
      <c r="G719" s="32">
        <v>7</v>
      </c>
      <c r="H719" s="29">
        <v>2023</v>
      </c>
      <c r="I719" s="29">
        <v>2032</v>
      </c>
      <c r="J719" s="144">
        <v>1.0838000000000001</v>
      </c>
      <c r="K719" s="144">
        <v>1.0832999999999999</v>
      </c>
      <c r="L719" s="144">
        <v>0.43130000000000002</v>
      </c>
      <c r="M719" s="144">
        <v>0.78110000000000002</v>
      </c>
      <c r="N719" s="144">
        <v>0.86950000000000005</v>
      </c>
      <c r="O719" s="144">
        <v>1.0538000000000001</v>
      </c>
      <c r="P719" s="143">
        <v>16260.797271099718</v>
      </c>
      <c r="Q719" s="35">
        <f t="array" ref="Q719">SUM(IF(($S719&gt;=4)*($C719='TaxCred&amp;Subs'!$D$114:$D$121)*($H719='TaxCred&amp;Subs'!$C$114:$C$121)*($H719&lt;='TaxCred&amp;Subs'!$C$123),'TaxCred&amp;Subs'!$E$114:$E$121,0))</f>
        <v>2500</v>
      </c>
      <c r="R719" s="143">
        <v>0</v>
      </c>
      <c r="S719" s="29">
        <v>5</v>
      </c>
      <c r="T719" s="29" t="s">
        <v>221</v>
      </c>
      <c r="U719" s="30" t="s">
        <v>227</v>
      </c>
      <c r="V719" s="7" t="str">
        <f t="array" ref="V719">INDEX(xlRTCLNAME,MATCH(1,(xlRTCLENDU=1)*(xlRTCLEQCL=$D719),0))</f>
        <v>KERO_FA</v>
      </c>
      <c r="W719" s="7" t="str">
        <f t="array" ref="W719">INDEX(xlRTCLNAME,MATCH(1,(xlRTCLENDU=2)*(xlRTCLEQCL=$F719),0))</f>
        <v>CENT_AIR</v>
      </c>
      <c r="X719" s="7" t="str">
        <f t="array" ref="X719">INDEX(xlRTTYNAME,MATCH(1,(xlRTTYENDU=1)*(xlRTTYEQCL=$D719)*(xlRTEQTYPE=$E719),0))</f>
        <v>KERO_FA4</v>
      </c>
      <c r="Y719" s="7" t="str">
        <f t="array" ref="Y719">INDEX(xlRTTYNAME,MATCH(1,(xlRTTYENDU=2)*(xlRTTYEQCL=$F719)*(xlRTEQTYPE=$G719),0))</f>
        <v>CENT_AIR4</v>
      </c>
    </row>
    <row r="720" spans="2:25" x14ac:dyDescent="0.2">
      <c r="B720" s="29">
        <v>8</v>
      </c>
      <c r="C720" s="29">
        <v>1</v>
      </c>
      <c r="D720" s="29">
        <v>5</v>
      </c>
      <c r="E720" s="29">
        <v>17</v>
      </c>
      <c r="F720" s="29">
        <v>2</v>
      </c>
      <c r="G720" s="32">
        <v>7</v>
      </c>
      <c r="H720" s="29">
        <v>2033</v>
      </c>
      <c r="I720" s="29">
        <v>2050</v>
      </c>
      <c r="J720" s="144">
        <v>1.0838000000000001</v>
      </c>
      <c r="K720" s="144">
        <v>1.0832999999999999</v>
      </c>
      <c r="L720" s="144">
        <v>0.43130000000000002</v>
      </c>
      <c r="M720" s="144">
        <v>0.78110000000000002</v>
      </c>
      <c r="N720" s="144">
        <v>0.86950000000000005</v>
      </c>
      <c r="O720" s="144">
        <v>1.0538000000000001</v>
      </c>
      <c r="P720" s="143">
        <v>16260.797271099718</v>
      </c>
      <c r="Q720" s="35">
        <f t="array" ref="Q720">SUM(IF(($S720&gt;=4)*($C720='TaxCred&amp;Subs'!$D$114:$D$121)*($H720='TaxCred&amp;Subs'!$C$114:$C$121)*($H720&lt;='TaxCred&amp;Subs'!$C$123),'TaxCred&amp;Subs'!$E$114:$E$121,0))</f>
        <v>0</v>
      </c>
      <c r="R720" s="143">
        <v>0</v>
      </c>
      <c r="S720" s="29">
        <v>5</v>
      </c>
      <c r="T720" s="29" t="s">
        <v>221</v>
      </c>
      <c r="U720" s="30" t="s">
        <v>227</v>
      </c>
      <c r="V720" s="7" t="str">
        <f t="array" ref="V720">INDEX(xlRTCLNAME,MATCH(1,(xlRTCLENDU=1)*(xlRTCLEQCL=$D720),0))</f>
        <v>KERO_FA</v>
      </c>
      <c r="W720" s="7" t="str">
        <f t="array" ref="W720">INDEX(xlRTCLNAME,MATCH(1,(xlRTCLENDU=2)*(xlRTCLEQCL=$F720),0))</f>
        <v>CENT_AIR</v>
      </c>
      <c r="X720" s="7" t="str">
        <f t="array" ref="X720">INDEX(xlRTTYNAME,MATCH(1,(xlRTTYENDU=1)*(xlRTTYEQCL=$D720)*(xlRTEQTYPE=$E720),0))</f>
        <v>KERO_FA4</v>
      </c>
      <c r="Y720" s="7" t="str">
        <f t="array" ref="Y720">INDEX(xlRTTYNAME,MATCH(1,(xlRTTYENDU=2)*(xlRTTYEQCL=$F720)*(xlRTEQTYPE=$G720),0))</f>
        <v>CENT_AIR4</v>
      </c>
    </row>
    <row r="721" spans="2:25" x14ac:dyDescent="0.2">
      <c r="B721" s="29">
        <v>9</v>
      </c>
      <c r="C721" s="29">
        <v>1</v>
      </c>
      <c r="D721" s="29">
        <v>5</v>
      </c>
      <c r="E721" s="29">
        <v>17</v>
      </c>
      <c r="F721" s="29">
        <v>2</v>
      </c>
      <c r="G721" s="32">
        <v>7</v>
      </c>
      <c r="H721" s="32">
        <v>2020</v>
      </c>
      <c r="I721" s="29">
        <v>2022</v>
      </c>
      <c r="J721" s="144">
        <v>1.0790999999999999</v>
      </c>
      <c r="K721" s="144">
        <v>1.0722</v>
      </c>
      <c r="L721" s="144">
        <v>0.39839999999999998</v>
      </c>
      <c r="M721" s="144">
        <v>0.76029999999999998</v>
      </c>
      <c r="N721" s="144">
        <v>1.0336000000000001</v>
      </c>
      <c r="O721" s="144">
        <v>1.0538000000000001</v>
      </c>
      <c r="P721" s="143">
        <v>19815.745839380488</v>
      </c>
      <c r="Q721" s="35">
        <f t="array" ref="Q721">SUM(IF(($S721&gt;=4)*($C721='TaxCred&amp;Subs'!$D$114:$D$121)*($H721='TaxCred&amp;Subs'!$C$114:$C$121)*($H721&lt;='TaxCred&amp;Subs'!$C$123),'TaxCred&amp;Subs'!$E$114:$E$121,0))</f>
        <v>2000</v>
      </c>
      <c r="R721" s="143">
        <v>0</v>
      </c>
      <c r="S721" s="29">
        <v>5</v>
      </c>
      <c r="T721" s="29" t="s">
        <v>221</v>
      </c>
      <c r="U721" s="30" t="s">
        <v>227</v>
      </c>
      <c r="V721" s="7" t="str">
        <f t="array" ref="V721">INDEX(xlRTCLNAME,MATCH(1,(xlRTCLENDU=1)*(xlRTCLEQCL=$D721),0))</f>
        <v>KERO_FA</v>
      </c>
      <c r="W721" s="7" t="str">
        <f t="array" ref="W721">INDEX(xlRTCLNAME,MATCH(1,(xlRTCLENDU=2)*(xlRTCLEQCL=$F721),0))</f>
        <v>CENT_AIR</v>
      </c>
      <c r="X721" s="7" t="str">
        <f t="array" ref="X721">INDEX(xlRTTYNAME,MATCH(1,(xlRTTYENDU=1)*(xlRTTYEQCL=$D721)*(xlRTEQTYPE=$E721),0))</f>
        <v>KERO_FA4</v>
      </c>
      <c r="Y721" s="7" t="str">
        <f t="array" ref="Y721">INDEX(xlRTTYNAME,MATCH(1,(xlRTTYENDU=2)*(xlRTTYEQCL=$F721)*(xlRTEQTYPE=$G721),0))</f>
        <v>CENT_AIR4</v>
      </c>
    </row>
    <row r="722" spans="2:25" x14ac:dyDescent="0.2">
      <c r="B722" s="29">
        <v>9</v>
      </c>
      <c r="C722" s="29">
        <v>1</v>
      </c>
      <c r="D722" s="29">
        <v>5</v>
      </c>
      <c r="E722" s="29">
        <v>17</v>
      </c>
      <c r="F722" s="29">
        <v>2</v>
      </c>
      <c r="G722" s="32">
        <v>7</v>
      </c>
      <c r="H722" s="29">
        <v>2023</v>
      </c>
      <c r="I722" s="29">
        <v>2032</v>
      </c>
      <c r="J722" s="144">
        <v>1.0790999999999999</v>
      </c>
      <c r="K722" s="144">
        <v>1.0722</v>
      </c>
      <c r="L722" s="144">
        <v>0.39839999999999998</v>
      </c>
      <c r="M722" s="144">
        <v>0.76029999999999998</v>
      </c>
      <c r="N722" s="144">
        <v>1.0336000000000001</v>
      </c>
      <c r="O722" s="144">
        <v>1.0538000000000001</v>
      </c>
      <c r="P722" s="143">
        <v>19815.745839380488</v>
      </c>
      <c r="Q722" s="35">
        <f t="array" ref="Q722">SUM(IF(($S722&gt;=4)*($C722='TaxCred&amp;Subs'!$D$114:$D$121)*($H722='TaxCred&amp;Subs'!$C$114:$C$121)*($H722&lt;='TaxCred&amp;Subs'!$C$123),'TaxCred&amp;Subs'!$E$114:$E$121,0))</f>
        <v>2500</v>
      </c>
      <c r="R722" s="143">
        <v>0</v>
      </c>
      <c r="S722" s="29">
        <v>5</v>
      </c>
      <c r="T722" s="29" t="s">
        <v>221</v>
      </c>
      <c r="U722" s="30" t="s">
        <v>227</v>
      </c>
      <c r="V722" s="7" t="str">
        <f t="array" ref="V722">INDEX(xlRTCLNAME,MATCH(1,(xlRTCLENDU=1)*(xlRTCLEQCL=$D722),0))</f>
        <v>KERO_FA</v>
      </c>
      <c r="W722" s="7" t="str">
        <f t="array" ref="W722">INDEX(xlRTCLNAME,MATCH(1,(xlRTCLENDU=2)*(xlRTCLEQCL=$F722),0))</f>
        <v>CENT_AIR</v>
      </c>
      <c r="X722" s="7" t="str">
        <f t="array" ref="X722">INDEX(xlRTTYNAME,MATCH(1,(xlRTTYENDU=1)*(xlRTTYEQCL=$D722)*(xlRTEQTYPE=$E722),0))</f>
        <v>KERO_FA4</v>
      </c>
      <c r="Y722" s="7" t="str">
        <f t="array" ref="Y722">INDEX(xlRTTYNAME,MATCH(1,(xlRTTYENDU=2)*(xlRTTYEQCL=$F722)*(xlRTEQTYPE=$G722),0))</f>
        <v>CENT_AIR4</v>
      </c>
    </row>
    <row r="723" spans="2:25" x14ac:dyDescent="0.2">
      <c r="B723" s="29">
        <v>9</v>
      </c>
      <c r="C723" s="29">
        <v>1</v>
      </c>
      <c r="D723" s="29">
        <v>5</v>
      </c>
      <c r="E723" s="29">
        <v>17</v>
      </c>
      <c r="F723" s="29">
        <v>2</v>
      </c>
      <c r="G723" s="32">
        <v>7</v>
      </c>
      <c r="H723" s="29">
        <v>2033</v>
      </c>
      <c r="I723" s="29">
        <v>2050</v>
      </c>
      <c r="J723" s="144">
        <v>1.0790999999999999</v>
      </c>
      <c r="K723" s="144">
        <v>1.0722</v>
      </c>
      <c r="L723" s="144">
        <v>0.39839999999999998</v>
      </c>
      <c r="M723" s="144">
        <v>0.76029999999999998</v>
      </c>
      <c r="N723" s="144">
        <v>1.0336000000000001</v>
      </c>
      <c r="O723" s="144">
        <v>1.0538000000000001</v>
      </c>
      <c r="P723" s="143">
        <v>19815.745839380488</v>
      </c>
      <c r="Q723" s="35">
        <f t="array" ref="Q723">SUM(IF(($S723&gt;=4)*($C723='TaxCred&amp;Subs'!$D$114:$D$121)*($H723='TaxCred&amp;Subs'!$C$114:$C$121)*($H723&lt;='TaxCred&amp;Subs'!$C$123),'TaxCred&amp;Subs'!$E$114:$E$121,0))</f>
        <v>0</v>
      </c>
      <c r="R723" s="143">
        <v>0</v>
      </c>
      <c r="S723" s="29">
        <v>5</v>
      </c>
      <c r="T723" s="29" t="s">
        <v>221</v>
      </c>
      <c r="U723" s="30" t="s">
        <v>227</v>
      </c>
      <c r="V723" s="7" t="str">
        <f t="array" ref="V723">INDEX(xlRTCLNAME,MATCH(1,(xlRTCLENDU=1)*(xlRTCLEQCL=$D723),0))</f>
        <v>KERO_FA</v>
      </c>
      <c r="W723" s="7" t="str">
        <f t="array" ref="W723">INDEX(xlRTCLNAME,MATCH(1,(xlRTCLENDU=2)*(xlRTCLEQCL=$F723),0))</f>
        <v>CENT_AIR</v>
      </c>
      <c r="X723" s="7" t="str">
        <f t="array" ref="X723">INDEX(xlRTTYNAME,MATCH(1,(xlRTTYENDU=1)*(xlRTTYEQCL=$D723)*(xlRTEQTYPE=$E723),0))</f>
        <v>KERO_FA4</v>
      </c>
      <c r="Y723" s="7" t="str">
        <f t="array" ref="Y723">INDEX(xlRTTYNAME,MATCH(1,(xlRTTYENDU=2)*(xlRTTYEQCL=$F723)*(xlRTEQTYPE=$G723),0))</f>
        <v>CENT_AIR4</v>
      </c>
    </row>
    <row r="724" spans="2:25" x14ac:dyDescent="0.2">
      <c r="B724" s="5">
        <v>1</v>
      </c>
      <c r="C724" s="5">
        <v>1</v>
      </c>
      <c r="D724" s="5">
        <v>6</v>
      </c>
      <c r="E724" s="5">
        <v>21</v>
      </c>
      <c r="F724" s="5">
        <v>2</v>
      </c>
      <c r="G724" s="31">
        <v>7</v>
      </c>
      <c r="H724" s="96">
        <v>2020</v>
      </c>
      <c r="I724" s="97">
        <v>2022</v>
      </c>
      <c r="J724" s="142">
        <v>1.0803</v>
      </c>
      <c r="K724" s="142">
        <v>1.0667</v>
      </c>
      <c r="L724" s="142">
        <v>0.44319999999999998</v>
      </c>
      <c r="M724" s="142">
        <v>0.96350000000000002</v>
      </c>
      <c r="N724" s="142">
        <v>0.79790000000000005</v>
      </c>
      <c r="O724" s="142">
        <v>1.0538000000000001</v>
      </c>
      <c r="P724" s="26">
        <v>19744.485523904365</v>
      </c>
      <c r="Q724" s="35">
        <f t="array" ref="Q724">SUM(IF(($S724&gt;=4)*($C724='TaxCred&amp;Subs'!$D$114:$D$121)*($H724='TaxCred&amp;Subs'!$C$114:$C$121)*($H724&lt;='TaxCred&amp;Subs'!$C$123),'TaxCred&amp;Subs'!$E$114:$E$121,0))</f>
        <v>2000</v>
      </c>
      <c r="R724" s="143">
        <v>0</v>
      </c>
      <c r="S724" s="5">
        <v>5</v>
      </c>
      <c r="T724" s="5" t="s">
        <v>221</v>
      </c>
      <c r="V724" s="7" t="str">
        <f t="array" ref="V724">INDEX(xlRTCLNAME,MATCH(1,(xlRTCLENDU=1)*(xlRTCLEQCL=$D724),0))</f>
        <v>LPG_FA</v>
      </c>
      <c r="W724" s="7" t="str">
        <f t="array" ref="W724">INDEX(xlRTCLNAME,MATCH(1,(xlRTCLENDU=2)*(xlRTCLEQCL=$F724),0))</f>
        <v>CENT_AIR</v>
      </c>
      <c r="X724" s="7" t="str">
        <f t="array" ref="X724">INDEX(xlRTTYNAME,MATCH(1,(xlRTTYENDU=1)*(xlRTTYEQCL=$D724)*(xlRTEQTYPE=$E724),0))</f>
        <v>LPG_FA4</v>
      </c>
      <c r="Y724" s="7" t="str">
        <f t="array" ref="Y724">INDEX(xlRTTYNAME,MATCH(1,(xlRTTYENDU=2)*(xlRTTYEQCL=$F724)*(xlRTEQTYPE=$G724),0))</f>
        <v>CENT_AIR4</v>
      </c>
    </row>
    <row r="725" spans="2:25" x14ac:dyDescent="0.2">
      <c r="B725" s="5">
        <v>1</v>
      </c>
      <c r="C725" s="5">
        <v>1</v>
      </c>
      <c r="D725" s="5">
        <v>6</v>
      </c>
      <c r="E725" s="5">
        <v>21</v>
      </c>
      <c r="F725" s="5">
        <v>2</v>
      </c>
      <c r="G725" s="31">
        <v>7</v>
      </c>
      <c r="H725" s="97">
        <v>2023</v>
      </c>
      <c r="I725" s="97">
        <v>2032</v>
      </c>
      <c r="J725" s="142">
        <v>1.0803</v>
      </c>
      <c r="K725" s="142">
        <v>1.0667</v>
      </c>
      <c r="L725" s="142">
        <v>0.44319999999999998</v>
      </c>
      <c r="M725" s="142">
        <v>0.96350000000000002</v>
      </c>
      <c r="N725" s="142">
        <v>0.79790000000000005</v>
      </c>
      <c r="O725" s="142">
        <v>1.0538000000000001</v>
      </c>
      <c r="P725" s="26">
        <v>19744.485523904365</v>
      </c>
      <c r="Q725" s="35">
        <f t="array" ref="Q725">SUM(IF(($S725&gt;=4)*($C725='TaxCred&amp;Subs'!$D$114:$D$121)*($H725='TaxCred&amp;Subs'!$C$114:$C$121)*($H725&lt;='TaxCred&amp;Subs'!$C$123),'TaxCred&amp;Subs'!$E$114:$E$121,0))</f>
        <v>2500</v>
      </c>
      <c r="R725" s="143">
        <v>0</v>
      </c>
      <c r="S725" s="5">
        <v>5</v>
      </c>
      <c r="T725" s="5" t="s">
        <v>221</v>
      </c>
      <c r="V725" s="7" t="str">
        <f t="array" ref="V725">INDEX(xlRTCLNAME,MATCH(1,(xlRTCLENDU=1)*(xlRTCLEQCL=$D725),0))</f>
        <v>LPG_FA</v>
      </c>
      <c r="W725" s="7" t="str">
        <f t="array" ref="W725">INDEX(xlRTCLNAME,MATCH(1,(xlRTCLENDU=2)*(xlRTCLEQCL=$F725),0))</f>
        <v>CENT_AIR</v>
      </c>
      <c r="X725" s="7" t="str">
        <f t="array" ref="X725">INDEX(xlRTTYNAME,MATCH(1,(xlRTTYENDU=1)*(xlRTTYEQCL=$D725)*(xlRTEQTYPE=$E725),0))</f>
        <v>LPG_FA4</v>
      </c>
      <c r="Y725" s="7" t="str">
        <f t="array" ref="Y725">INDEX(xlRTTYNAME,MATCH(1,(xlRTTYENDU=2)*(xlRTTYEQCL=$F725)*(xlRTEQTYPE=$G725),0))</f>
        <v>CENT_AIR4</v>
      </c>
    </row>
    <row r="726" spans="2:25" x14ac:dyDescent="0.2">
      <c r="B726" s="5">
        <v>1</v>
      </c>
      <c r="C726" s="5">
        <v>1</v>
      </c>
      <c r="D726" s="5">
        <v>6</v>
      </c>
      <c r="E726" s="5">
        <v>21</v>
      </c>
      <c r="F726" s="5">
        <v>2</v>
      </c>
      <c r="G726" s="31">
        <v>7</v>
      </c>
      <c r="H726" s="97">
        <v>2033</v>
      </c>
      <c r="I726" s="97">
        <v>2050</v>
      </c>
      <c r="J726" s="142">
        <v>1.0803</v>
      </c>
      <c r="K726" s="142">
        <v>1.0667</v>
      </c>
      <c r="L726" s="142">
        <v>0.44319999999999998</v>
      </c>
      <c r="M726" s="142">
        <v>0.96350000000000002</v>
      </c>
      <c r="N726" s="142">
        <v>0.79790000000000005</v>
      </c>
      <c r="O726" s="142">
        <v>1.0538000000000001</v>
      </c>
      <c r="P726" s="26">
        <v>19744.485523904365</v>
      </c>
      <c r="Q726" s="35">
        <f t="array" ref="Q726">SUM(IF(($S726&gt;=4)*($C726='TaxCred&amp;Subs'!$D$114:$D$121)*($H726='TaxCred&amp;Subs'!$C$114:$C$121)*($H726&lt;='TaxCred&amp;Subs'!$C$123),'TaxCred&amp;Subs'!$E$114:$E$121,0))</f>
        <v>0</v>
      </c>
      <c r="R726" s="143">
        <v>0</v>
      </c>
      <c r="S726" s="5">
        <v>5</v>
      </c>
      <c r="T726" s="5" t="s">
        <v>221</v>
      </c>
      <c r="V726" s="7" t="str">
        <f t="array" ref="V726">INDEX(xlRTCLNAME,MATCH(1,(xlRTCLENDU=1)*(xlRTCLEQCL=$D726),0))</f>
        <v>LPG_FA</v>
      </c>
      <c r="W726" s="7" t="str">
        <f t="array" ref="W726">INDEX(xlRTCLNAME,MATCH(1,(xlRTCLENDU=2)*(xlRTCLEQCL=$F726),0))</f>
        <v>CENT_AIR</v>
      </c>
      <c r="X726" s="7" t="str">
        <f t="array" ref="X726">INDEX(xlRTTYNAME,MATCH(1,(xlRTTYENDU=1)*(xlRTTYEQCL=$D726)*(xlRTEQTYPE=$E726),0))</f>
        <v>LPG_FA4</v>
      </c>
      <c r="Y726" s="7" t="str">
        <f t="array" ref="Y726">INDEX(xlRTTYNAME,MATCH(1,(xlRTTYENDU=2)*(xlRTTYEQCL=$F726)*(xlRTEQTYPE=$G726),0))</f>
        <v>CENT_AIR4</v>
      </c>
    </row>
    <row r="727" spans="2:25" x14ac:dyDescent="0.2">
      <c r="B727" s="5">
        <v>2</v>
      </c>
      <c r="C727" s="5">
        <v>1</v>
      </c>
      <c r="D727" s="5">
        <v>6</v>
      </c>
      <c r="E727" s="5">
        <v>21</v>
      </c>
      <c r="F727" s="5">
        <v>2</v>
      </c>
      <c r="G727" s="31">
        <v>7</v>
      </c>
      <c r="H727" s="96">
        <v>2020</v>
      </c>
      <c r="I727" s="97">
        <v>2022</v>
      </c>
      <c r="J727" s="142">
        <v>1.0649</v>
      </c>
      <c r="K727" s="142">
        <v>1.0597000000000001</v>
      </c>
      <c r="L727" s="142">
        <v>0.46200000000000002</v>
      </c>
      <c r="M727" s="142">
        <v>0.81589999999999996</v>
      </c>
      <c r="N727" s="142">
        <v>0.93169999999999997</v>
      </c>
      <c r="O727" s="142">
        <v>1.0538000000000001</v>
      </c>
      <c r="P727" s="26">
        <v>22424.142292657609</v>
      </c>
      <c r="Q727" s="35">
        <f t="array" ref="Q727">SUM(IF(($S727&gt;=4)*($C727='TaxCred&amp;Subs'!$D$114:$D$121)*($H727='TaxCred&amp;Subs'!$C$114:$C$121)*($H727&lt;='TaxCred&amp;Subs'!$C$123),'TaxCred&amp;Subs'!$E$114:$E$121,0))</f>
        <v>2000</v>
      </c>
      <c r="R727" s="143">
        <v>0</v>
      </c>
      <c r="S727" s="5">
        <v>5</v>
      </c>
      <c r="T727" s="5" t="s">
        <v>221</v>
      </c>
      <c r="V727" s="7" t="str">
        <f t="array" ref="V727">INDEX(xlRTCLNAME,MATCH(1,(xlRTCLENDU=1)*(xlRTCLEQCL=$D727),0))</f>
        <v>LPG_FA</v>
      </c>
      <c r="W727" s="7" t="str">
        <f t="array" ref="W727">INDEX(xlRTCLNAME,MATCH(1,(xlRTCLENDU=2)*(xlRTCLEQCL=$F727),0))</f>
        <v>CENT_AIR</v>
      </c>
      <c r="X727" s="7" t="str">
        <f t="array" ref="X727">INDEX(xlRTTYNAME,MATCH(1,(xlRTTYENDU=1)*(xlRTTYEQCL=$D727)*(xlRTEQTYPE=$E727),0))</f>
        <v>LPG_FA4</v>
      </c>
      <c r="Y727" s="7" t="str">
        <f t="array" ref="Y727">INDEX(xlRTTYNAME,MATCH(1,(xlRTTYENDU=2)*(xlRTTYEQCL=$F727)*(xlRTEQTYPE=$G727),0))</f>
        <v>CENT_AIR4</v>
      </c>
    </row>
    <row r="728" spans="2:25" x14ac:dyDescent="0.2">
      <c r="B728" s="5">
        <v>2</v>
      </c>
      <c r="C728" s="5">
        <v>1</v>
      </c>
      <c r="D728" s="5">
        <v>6</v>
      </c>
      <c r="E728" s="5">
        <v>21</v>
      </c>
      <c r="F728" s="5">
        <v>2</v>
      </c>
      <c r="G728" s="31">
        <v>7</v>
      </c>
      <c r="H728" s="97">
        <v>2023</v>
      </c>
      <c r="I728" s="97">
        <v>2032</v>
      </c>
      <c r="J728" s="142">
        <v>1.0649</v>
      </c>
      <c r="K728" s="142">
        <v>1.0597000000000001</v>
      </c>
      <c r="L728" s="142">
        <v>0.46200000000000002</v>
      </c>
      <c r="M728" s="142">
        <v>0.81589999999999996</v>
      </c>
      <c r="N728" s="142">
        <v>0.93169999999999997</v>
      </c>
      <c r="O728" s="142">
        <v>1.0538000000000001</v>
      </c>
      <c r="P728" s="26">
        <v>22424.142292657609</v>
      </c>
      <c r="Q728" s="35">
        <f t="array" ref="Q728">SUM(IF(($S728&gt;=4)*($C728='TaxCred&amp;Subs'!$D$114:$D$121)*($H728='TaxCred&amp;Subs'!$C$114:$C$121)*($H728&lt;='TaxCred&amp;Subs'!$C$123),'TaxCred&amp;Subs'!$E$114:$E$121,0))</f>
        <v>2500</v>
      </c>
      <c r="R728" s="143">
        <v>0</v>
      </c>
      <c r="S728" s="5">
        <v>5</v>
      </c>
      <c r="T728" s="5" t="s">
        <v>221</v>
      </c>
      <c r="V728" s="7" t="str">
        <f t="array" ref="V728">INDEX(xlRTCLNAME,MATCH(1,(xlRTCLENDU=1)*(xlRTCLEQCL=$D728),0))</f>
        <v>LPG_FA</v>
      </c>
      <c r="W728" s="7" t="str">
        <f t="array" ref="W728">INDEX(xlRTCLNAME,MATCH(1,(xlRTCLENDU=2)*(xlRTCLEQCL=$F728),0))</f>
        <v>CENT_AIR</v>
      </c>
      <c r="X728" s="7" t="str">
        <f t="array" ref="X728">INDEX(xlRTTYNAME,MATCH(1,(xlRTTYENDU=1)*(xlRTTYEQCL=$D728)*(xlRTEQTYPE=$E728),0))</f>
        <v>LPG_FA4</v>
      </c>
      <c r="Y728" s="7" t="str">
        <f t="array" ref="Y728">INDEX(xlRTTYNAME,MATCH(1,(xlRTTYENDU=2)*(xlRTTYEQCL=$F728)*(xlRTEQTYPE=$G728),0))</f>
        <v>CENT_AIR4</v>
      </c>
    </row>
    <row r="729" spans="2:25" x14ac:dyDescent="0.2">
      <c r="B729" s="5">
        <v>2</v>
      </c>
      <c r="C729" s="5">
        <v>1</v>
      </c>
      <c r="D729" s="5">
        <v>6</v>
      </c>
      <c r="E729" s="5">
        <v>21</v>
      </c>
      <c r="F729" s="5">
        <v>2</v>
      </c>
      <c r="G729" s="31">
        <v>7</v>
      </c>
      <c r="H729" s="97">
        <v>2033</v>
      </c>
      <c r="I729" s="97">
        <v>2050</v>
      </c>
      <c r="J729" s="142">
        <v>1.0649</v>
      </c>
      <c r="K729" s="142">
        <v>1.0597000000000001</v>
      </c>
      <c r="L729" s="142">
        <v>0.46200000000000002</v>
      </c>
      <c r="M729" s="142">
        <v>0.81589999999999996</v>
      </c>
      <c r="N729" s="142">
        <v>0.93169999999999997</v>
      </c>
      <c r="O729" s="142">
        <v>1.0538000000000001</v>
      </c>
      <c r="P729" s="26">
        <v>22424.142292657609</v>
      </c>
      <c r="Q729" s="35">
        <f t="array" ref="Q729">SUM(IF(($S729&gt;=4)*($C729='TaxCred&amp;Subs'!$D$114:$D$121)*($H729='TaxCred&amp;Subs'!$C$114:$C$121)*($H729&lt;='TaxCred&amp;Subs'!$C$123),'TaxCred&amp;Subs'!$E$114:$E$121,0))</f>
        <v>0</v>
      </c>
      <c r="R729" s="143">
        <v>0</v>
      </c>
      <c r="S729" s="5">
        <v>5</v>
      </c>
      <c r="T729" s="5" t="s">
        <v>221</v>
      </c>
      <c r="V729" s="7" t="str">
        <f t="array" ref="V729">INDEX(xlRTCLNAME,MATCH(1,(xlRTCLENDU=1)*(xlRTCLEQCL=$D729),0))</f>
        <v>LPG_FA</v>
      </c>
      <c r="W729" s="7" t="str">
        <f t="array" ref="W729">INDEX(xlRTCLNAME,MATCH(1,(xlRTCLENDU=2)*(xlRTCLEQCL=$F729),0))</f>
        <v>CENT_AIR</v>
      </c>
      <c r="X729" s="7" t="str">
        <f t="array" ref="X729">INDEX(xlRTTYNAME,MATCH(1,(xlRTTYENDU=1)*(xlRTTYEQCL=$D729)*(xlRTEQTYPE=$E729),0))</f>
        <v>LPG_FA4</v>
      </c>
      <c r="Y729" s="7" t="str">
        <f t="array" ref="Y729">INDEX(xlRTTYNAME,MATCH(1,(xlRTTYENDU=2)*(xlRTTYEQCL=$F729)*(xlRTEQTYPE=$G729),0))</f>
        <v>CENT_AIR4</v>
      </c>
    </row>
    <row r="730" spans="2:25" x14ac:dyDescent="0.2">
      <c r="B730" s="5">
        <v>5</v>
      </c>
      <c r="C730" s="5">
        <v>1</v>
      </c>
      <c r="D730" s="5">
        <v>6</v>
      </c>
      <c r="E730" s="5">
        <v>21</v>
      </c>
      <c r="F730" s="5">
        <v>2</v>
      </c>
      <c r="G730" s="31">
        <v>7</v>
      </c>
      <c r="H730" s="96">
        <v>2020</v>
      </c>
      <c r="I730" s="97">
        <v>2022</v>
      </c>
      <c r="J730" s="142">
        <v>1.0849</v>
      </c>
      <c r="K730" s="142">
        <v>1.0471999999999999</v>
      </c>
      <c r="L730" s="142">
        <v>0.33260000000000001</v>
      </c>
      <c r="M730" s="142">
        <v>0.73150000000000004</v>
      </c>
      <c r="N730" s="142">
        <v>0.76180000000000003</v>
      </c>
      <c r="O730" s="142">
        <v>1.0538000000000001</v>
      </c>
      <c r="P730" s="26">
        <v>15568.362130152442</v>
      </c>
      <c r="Q730" s="35">
        <f t="array" ref="Q730">SUM(IF(($S730&gt;=4)*($C730='TaxCred&amp;Subs'!$D$114:$D$121)*($H730='TaxCred&amp;Subs'!$C$114:$C$121)*($H730&lt;='TaxCred&amp;Subs'!$C$123),'TaxCred&amp;Subs'!$E$114:$E$121,0))</f>
        <v>2000</v>
      </c>
      <c r="R730" s="143">
        <v>0</v>
      </c>
      <c r="S730" s="5">
        <v>5</v>
      </c>
      <c r="T730" s="5" t="s">
        <v>221</v>
      </c>
      <c r="V730" s="7" t="str">
        <f t="array" ref="V730">INDEX(xlRTCLNAME,MATCH(1,(xlRTCLENDU=1)*(xlRTCLEQCL=$D730),0))</f>
        <v>LPG_FA</v>
      </c>
      <c r="W730" s="7" t="str">
        <f t="array" ref="W730">INDEX(xlRTCLNAME,MATCH(1,(xlRTCLENDU=2)*(xlRTCLEQCL=$F730),0))</f>
        <v>CENT_AIR</v>
      </c>
      <c r="X730" s="7" t="str">
        <f t="array" ref="X730">INDEX(xlRTTYNAME,MATCH(1,(xlRTTYENDU=1)*(xlRTTYEQCL=$D730)*(xlRTEQTYPE=$E730),0))</f>
        <v>LPG_FA4</v>
      </c>
      <c r="Y730" s="7" t="str">
        <f t="array" ref="Y730">INDEX(xlRTTYNAME,MATCH(1,(xlRTTYENDU=2)*(xlRTTYEQCL=$F730)*(xlRTEQTYPE=$G730),0))</f>
        <v>CENT_AIR4</v>
      </c>
    </row>
    <row r="731" spans="2:25" x14ac:dyDescent="0.2">
      <c r="B731" s="5">
        <v>5</v>
      </c>
      <c r="C731" s="5">
        <v>1</v>
      </c>
      <c r="D731" s="5">
        <v>6</v>
      </c>
      <c r="E731" s="5">
        <v>21</v>
      </c>
      <c r="F731" s="5">
        <v>2</v>
      </c>
      <c r="G731" s="31">
        <v>7</v>
      </c>
      <c r="H731" s="97">
        <v>2023</v>
      </c>
      <c r="I731" s="97">
        <v>2032</v>
      </c>
      <c r="J731" s="142">
        <v>1.0849</v>
      </c>
      <c r="K731" s="142">
        <v>1.0471999999999999</v>
      </c>
      <c r="L731" s="142">
        <v>0.33260000000000001</v>
      </c>
      <c r="M731" s="142">
        <v>0.73150000000000004</v>
      </c>
      <c r="N731" s="142">
        <v>0.76180000000000003</v>
      </c>
      <c r="O731" s="142">
        <v>1.0538000000000001</v>
      </c>
      <c r="P731" s="26">
        <v>15568.362130152442</v>
      </c>
      <c r="Q731" s="35">
        <f t="array" ref="Q731">SUM(IF(($S731&gt;=4)*($C731='TaxCred&amp;Subs'!$D$114:$D$121)*($H731='TaxCred&amp;Subs'!$C$114:$C$121)*($H731&lt;='TaxCred&amp;Subs'!$C$123),'TaxCred&amp;Subs'!$E$114:$E$121,0))</f>
        <v>2500</v>
      </c>
      <c r="R731" s="143">
        <v>0</v>
      </c>
      <c r="S731" s="5">
        <v>5</v>
      </c>
      <c r="T731" s="5" t="s">
        <v>221</v>
      </c>
      <c r="V731" s="7" t="str">
        <f t="array" ref="V731">INDEX(xlRTCLNAME,MATCH(1,(xlRTCLENDU=1)*(xlRTCLEQCL=$D731),0))</f>
        <v>LPG_FA</v>
      </c>
      <c r="W731" s="7" t="str">
        <f t="array" ref="W731">INDEX(xlRTCLNAME,MATCH(1,(xlRTCLENDU=2)*(xlRTCLEQCL=$F731),0))</f>
        <v>CENT_AIR</v>
      </c>
      <c r="X731" s="7" t="str">
        <f t="array" ref="X731">INDEX(xlRTTYNAME,MATCH(1,(xlRTTYENDU=1)*(xlRTTYEQCL=$D731)*(xlRTEQTYPE=$E731),0))</f>
        <v>LPG_FA4</v>
      </c>
      <c r="Y731" s="7" t="str">
        <f t="array" ref="Y731">INDEX(xlRTTYNAME,MATCH(1,(xlRTTYENDU=2)*(xlRTTYEQCL=$F731)*(xlRTEQTYPE=$G731),0))</f>
        <v>CENT_AIR4</v>
      </c>
    </row>
    <row r="732" spans="2:25" x14ac:dyDescent="0.2">
      <c r="B732" s="5">
        <v>5</v>
      </c>
      <c r="C732" s="5">
        <v>1</v>
      </c>
      <c r="D732" s="5">
        <v>6</v>
      </c>
      <c r="E732" s="5">
        <v>21</v>
      </c>
      <c r="F732" s="5">
        <v>2</v>
      </c>
      <c r="G732" s="31">
        <v>7</v>
      </c>
      <c r="H732" s="97">
        <v>2033</v>
      </c>
      <c r="I732" s="97">
        <v>2050</v>
      </c>
      <c r="J732" s="142">
        <v>1.0849</v>
      </c>
      <c r="K732" s="142">
        <v>1.0471999999999999</v>
      </c>
      <c r="L732" s="142">
        <v>0.33260000000000001</v>
      </c>
      <c r="M732" s="142">
        <v>0.73150000000000004</v>
      </c>
      <c r="N732" s="142">
        <v>0.76180000000000003</v>
      </c>
      <c r="O732" s="142">
        <v>1.0538000000000001</v>
      </c>
      <c r="P732" s="26">
        <v>15568.362130152442</v>
      </c>
      <c r="Q732" s="35">
        <f t="array" ref="Q732">SUM(IF(($S732&gt;=4)*($C732='TaxCred&amp;Subs'!$D$114:$D$121)*($H732='TaxCred&amp;Subs'!$C$114:$C$121)*($H732&lt;='TaxCred&amp;Subs'!$C$123),'TaxCred&amp;Subs'!$E$114:$E$121,0))</f>
        <v>0</v>
      </c>
      <c r="R732" s="143">
        <v>0</v>
      </c>
      <c r="S732" s="5">
        <v>5</v>
      </c>
      <c r="T732" s="5" t="s">
        <v>221</v>
      </c>
      <c r="V732" s="7" t="str">
        <f t="array" ref="V732">INDEX(xlRTCLNAME,MATCH(1,(xlRTCLENDU=1)*(xlRTCLEQCL=$D732),0))</f>
        <v>LPG_FA</v>
      </c>
      <c r="W732" s="7" t="str">
        <f t="array" ref="W732">INDEX(xlRTCLNAME,MATCH(1,(xlRTCLENDU=2)*(xlRTCLEQCL=$F732),0))</f>
        <v>CENT_AIR</v>
      </c>
      <c r="X732" s="7" t="str">
        <f t="array" ref="X732">INDEX(xlRTTYNAME,MATCH(1,(xlRTTYENDU=1)*(xlRTTYEQCL=$D732)*(xlRTEQTYPE=$E732),0))</f>
        <v>LPG_FA4</v>
      </c>
      <c r="Y732" s="7" t="str">
        <f t="array" ref="Y732">INDEX(xlRTTYNAME,MATCH(1,(xlRTTYENDU=2)*(xlRTTYEQCL=$F732)*(xlRTEQTYPE=$G732),0))</f>
        <v>CENT_AIR4</v>
      </c>
    </row>
    <row r="733" spans="2:25" x14ac:dyDescent="0.2">
      <c r="B733" s="5">
        <v>6</v>
      </c>
      <c r="C733" s="5">
        <v>1</v>
      </c>
      <c r="D733" s="5">
        <v>6</v>
      </c>
      <c r="E733" s="5">
        <v>21</v>
      </c>
      <c r="F733" s="5">
        <v>2</v>
      </c>
      <c r="G733" s="31">
        <v>7</v>
      </c>
      <c r="H733" s="96">
        <v>2020</v>
      </c>
      <c r="I733" s="97">
        <v>2022</v>
      </c>
      <c r="J733" s="142">
        <v>1.0924</v>
      </c>
      <c r="K733" s="142">
        <v>1.0661</v>
      </c>
      <c r="L733" s="142">
        <v>0.41849999999999998</v>
      </c>
      <c r="M733" s="142">
        <v>0.76590000000000003</v>
      </c>
      <c r="N733" s="142">
        <v>0.89100000000000001</v>
      </c>
      <c r="O733" s="142">
        <v>1.0538000000000001</v>
      </c>
      <c r="P733" s="26">
        <v>15382.816403063658</v>
      </c>
      <c r="Q733" s="35">
        <f t="array" ref="Q733">SUM(IF(($S733&gt;=4)*($C733='TaxCred&amp;Subs'!$D$114:$D$121)*($H733='TaxCred&amp;Subs'!$C$114:$C$121)*($H733&lt;='TaxCred&amp;Subs'!$C$123),'TaxCred&amp;Subs'!$E$114:$E$121,0))</f>
        <v>2000</v>
      </c>
      <c r="R733" s="143">
        <v>0</v>
      </c>
      <c r="S733" s="5">
        <v>5</v>
      </c>
      <c r="T733" s="5" t="s">
        <v>221</v>
      </c>
      <c r="V733" s="7" t="str">
        <f t="array" ref="V733">INDEX(xlRTCLNAME,MATCH(1,(xlRTCLENDU=1)*(xlRTCLEQCL=$D733),0))</f>
        <v>LPG_FA</v>
      </c>
      <c r="W733" s="7" t="str">
        <f t="array" ref="W733">INDEX(xlRTCLNAME,MATCH(1,(xlRTCLENDU=2)*(xlRTCLEQCL=$F733),0))</f>
        <v>CENT_AIR</v>
      </c>
      <c r="X733" s="7" t="str">
        <f t="array" ref="X733">INDEX(xlRTTYNAME,MATCH(1,(xlRTTYENDU=1)*(xlRTTYEQCL=$D733)*(xlRTEQTYPE=$E733),0))</f>
        <v>LPG_FA4</v>
      </c>
      <c r="Y733" s="7" t="str">
        <f t="array" ref="Y733">INDEX(xlRTTYNAME,MATCH(1,(xlRTTYENDU=2)*(xlRTTYEQCL=$F733)*(xlRTEQTYPE=$G733),0))</f>
        <v>CENT_AIR4</v>
      </c>
    </row>
    <row r="734" spans="2:25" x14ac:dyDescent="0.2">
      <c r="B734" s="5">
        <v>6</v>
      </c>
      <c r="C734" s="5">
        <v>1</v>
      </c>
      <c r="D734" s="5">
        <v>6</v>
      </c>
      <c r="E734" s="5">
        <v>21</v>
      </c>
      <c r="F734" s="5">
        <v>2</v>
      </c>
      <c r="G734" s="31">
        <v>7</v>
      </c>
      <c r="H734" s="97">
        <v>2023</v>
      </c>
      <c r="I734" s="97">
        <v>2032</v>
      </c>
      <c r="J734" s="142">
        <v>1.0924</v>
      </c>
      <c r="K734" s="142">
        <v>1.0661</v>
      </c>
      <c r="L734" s="142">
        <v>0.41849999999999998</v>
      </c>
      <c r="M734" s="142">
        <v>0.76590000000000003</v>
      </c>
      <c r="N734" s="142">
        <v>0.89100000000000001</v>
      </c>
      <c r="O734" s="142">
        <v>1.0538000000000001</v>
      </c>
      <c r="P734" s="26">
        <v>15382.816403063658</v>
      </c>
      <c r="Q734" s="35">
        <f t="array" ref="Q734">SUM(IF(($S734&gt;=4)*($C734='TaxCred&amp;Subs'!$D$114:$D$121)*($H734='TaxCred&amp;Subs'!$C$114:$C$121)*($H734&lt;='TaxCred&amp;Subs'!$C$123),'TaxCred&amp;Subs'!$E$114:$E$121,0))</f>
        <v>2500</v>
      </c>
      <c r="R734" s="143">
        <v>0</v>
      </c>
      <c r="S734" s="5">
        <v>5</v>
      </c>
      <c r="T734" s="5" t="s">
        <v>221</v>
      </c>
      <c r="V734" s="7" t="str">
        <f t="array" ref="V734">INDEX(xlRTCLNAME,MATCH(1,(xlRTCLENDU=1)*(xlRTCLEQCL=$D734),0))</f>
        <v>LPG_FA</v>
      </c>
      <c r="W734" s="7" t="str">
        <f t="array" ref="W734">INDEX(xlRTCLNAME,MATCH(1,(xlRTCLENDU=2)*(xlRTCLEQCL=$F734),0))</f>
        <v>CENT_AIR</v>
      </c>
      <c r="X734" s="7" t="str">
        <f t="array" ref="X734">INDEX(xlRTTYNAME,MATCH(1,(xlRTTYENDU=1)*(xlRTTYEQCL=$D734)*(xlRTEQTYPE=$E734),0))</f>
        <v>LPG_FA4</v>
      </c>
      <c r="Y734" s="7" t="str">
        <f t="array" ref="Y734">INDEX(xlRTTYNAME,MATCH(1,(xlRTTYENDU=2)*(xlRTTYEQCL=$F734)*(xlRTEQTYPE=$G734),0))</f>
        <v>CENT_AIR4</v>
      </c>
    </row>
    <row r="735" spans="2:25" x14ac:dyDescent="0.2">
      <c r="B735" s="5">
        <v>6</v>
      </c>
      <c r="C735" s="5">
        <v>1</v>
      </c>
      <c r="D735" s="5">
        <v>6</v>
      </c>
      <c r="E735" s="5">
        <v>21</v>
      </c>
      <c r="F735" s="5">
        <v>2</v>
      </c>
      <c r="G735" s="31">
        <v>7</v>
      </c>
      <c r="H735" s="97">
        <v>2033</v>
      </c>
      <c r="I735" s="97">
        <v>2050</v>
      </c>
      <c r="J735" s="142">
        <v>1.0924</v>
      </c>
      <c r="K735" s="142">
        <v>1.0661</v>
      </c>
      <c r="L735" s="142">
        <v>0.41849999999999998</v>
      </c>
      <c r="M735" s="142">
        <v>0.76590000000000003</v>
      </c>
      <c r="N735" s="142">
        <v>0.89100000000000001</v>
      </c>
      <c r="O735" s="142">
        <v>1.0538000000000001</v>
      </c>
      <c r="P735" s="26">
        <v>15382.816403063658</v>
      </c>
      <c r="Q735" s="35">
        <f t="array" ref="Q735">SUM(IF(($S735&gt;=4)*($C735='TaxCred&amp;Subs'!$D$114:$D$121)*($H735='TaxCred&amp;Subs'!$C$114:$C$121)*($H735&lt;='TaxCred&amp;Subs'!$C$123),'TaxCred&amp;Subs'!$E$114:$E$121,0))</f>
        <v>0</v>
      </c>
      <c r="R735" s="143">
        <v>0</v>
      </c>
      <c r="S735" s="5">
        <v>5</v>
      </c>
      <c r="T735" s="5" t="s">
        <v>221</v>
      </c>
      <c r="V735" s="7" t="str">
        <f t="array" ref="V735">INDEX(xlRTCLNAME,MATCH(1,(xlRTCLENDU=1)*(xlRTCLEQCL=$D735),0))</f>
        <v>LPG_FA</v>
      </c>
      <c r="W735" s="7" t="str">
        <f t="array" ref="W735">INDEX(xlRTCLNAME,MATCH(1,(xlRTCLENDU=2)*(xlRTCLEQCL=$F735),0))</f>
        <v>CENT_AIR</v>
      </c>
      <c r="X735" s="7" t="str">
        <f t="array" ref="X735">INDEX(xlRTTYNAME,MATCH(1,(xlRTTYENDU=1)*(xlRTTYEQCL=$D735)*(xlRTEQTYPE=$E735),0))</f>
        <v>LPG_FA4</v>
      </c>
      <c r="Y735" s="7" t="str">
        <f t="array" ref="Y735">INDEX(xlRTTYNAME,MATCH(1,(xlRTTYENDU=2)*(xlRTTYEQCL=$F735)*(xlRTEQTYPE=$G735),0))</f>
        <v>CENT_AIR4</v>
      </c>
    </row>
    <row r="736" spans="2:25" x14ac:dyDescent="0.2">
      <c r="B736" s="5">
        <v>7</v>
      </c>
      <c r="C736" s="5">
        <v>1</v>
      </c>
      <c r="D736" s="5">
        <v>6</v>
      </c>
      <c r="E736" s="5">
        <v>21</v>
      </c>
      <c r="F736" s="5">
        <v>2</v>
      </c>
      <c r="G736" s="31">
        <v>7</v>
      </c>
      <c r="H736" s="96">
        <v>2020</v>
      </c>
      <c r="I736" s="97">
        <v>2022</v>
      </c>
      <c r="J736" s="142">
        <v>1.0905</v>
      </c>
      <c r="K736" s="142">
        <v>1.0562</v>
      </c>
      <c r="L736" s="142">
        <v>0.37419999999999998</v>
      </c>
      <c r="M736" s="142">
        <v>0.65339999999999998</v>
      </c>
      <c r="N736" s="142">
        <v>0.87180000000000002</v>
      </c>
      <c r="O736" s="142">
        <v>1.0538000000000001</v>
      </c>
      <c r="P736" s="26">
        <v>15600.63095225484</v>
      </c>
      <c r="Q736" s="35">
        <f t="array" ref="Q736">SUM(IF(($S736&gt;=4)*($C736='TaxCred&amp;Subs'!$D$114:$D$121)*($H736='TaxCred&amp;Subs'!$C$114:$C$121)*($H736&lt;='TaxCred&amp;Subs'!$C$123),'TaxCred&amp;Subs'!$E$114:$E$121,0))</f>
        <v>2000</v>
      </c>
      <c r="R736" s="143">
        <v>0</v>
      </c>
      <c r="S736" s="5">
        <v>5</v>
      </c>
      <c r="T736" s="5" t="s">
        <v>221</v>
      </c>
      <c r="V736" s="7" t="str">
        <f t="array" ref="V736">INDEX(xlRTCLNAME,MATCH(1,(xlRTCLENDU=1)*(xlRTCLEQCL=$D736),0))</f>
        <v>LPG_FA</v>
      </c>
      <c r="W736" s="7" t="str">
        <f t="array" ref="W736">INDEX(xlRTCLNAME,MATCH(1,(xlRTCLENDU=2)*(xlRTCLEQCL=$F736),0))</f>
        <v>CENT_AIR</v>
      </c>
      <c r="X736" s="7" t="str">
        <f t="array" ref="X736">INDEX(xlRTTYNAME,MATCH(1,(xlRTTYENDU=1)*(xlRTTYEQCL=$D736)*(xlRTEQTYPE=$E736),0))</f>
        <v>LPG_FA4</v>
      </c>
      <c r="Y736" s="7" t="str">
        <f t="array" ref="Y736">INDEX(xlRTTYNAME,MATCH(1,(xlRTTYENDU=2)*(xlRTTYEQCL=$F736)*(xlRTEQTYPE=$G736),0))</f>
        <v>CENT_AIR4</v>
      </c>
    </row>
    <row r="737" spans="2:25" x14ac:dyDescent="0.2">
      <c r="B737" s="5">
        <v>7</v>
      </c>
      <c r="C737" s="5">
        <v>1</v>
      </c>
      <c r="D737" s="5">
        <v>6</v>
      </c>
      <c r="E737" s="5">
        <v>21</v>
      </c>
      <c r="F737" s="5">
        <v>2</v>
      </c>
      <c r="G737" s="31">
        <v>7</v>
      </c>
      <c r="H737" s="97">
        <v>2023</v>
      </c>
      <c r="I737" s="97">
        <v>2032</v>
      </c>
      <c r="J737" s="142">
        <v>1.0905</v>
      </c>
      <c r="K737" s="142">
        <v>1.0562</v>
      </c>
      <c r="L737" s="142">
        <v>0.37419999999999998</v>
      </c>
      <c r="M737" s="142">
        <v>0.65339999999999998</v>
      </c>
      <c r="N737" s="142">
        <v>0.87180000000000002</v>
      </c>
      <c r="O737" s="142">
        <v>1.0538000000000001</v>
      </c>
      <c r="P737" s="26">
        <v>15600.63095225484</v>
      </c>
      <c r="Q737" s="35">
        <f t="array" ref="Q737">SUM(IF(($S737&gt;=4)*($C737='TaxCred&amp;Subs'!$D$114:$D$121)*($H737='TaxCred&amp;Subs'!$C$114:$C$121)*($H737&lt;='TaxCred&amp;Subs'!$C$123),'TaxCred&amp;Subs'!$E$114:$E$121,0))</f>
        <v>2500</v>
      </c>
      <c r="R737" s="143">
        <v>0</v>
      </c>
      <c r="S737" s="5">
        <v>5</v>
      </c>
      <c r="T737" s="5" t="s">
        <v>221</v>
      </c>
      <c r="V737" s="7" t="str">
        <f t="array" ref="V737">INDEX(xlRTCLNAME,MATCH(1,(xlRTCLENDU=1)*(xlRTCLEQCL=$D737),0))</f>
        <v>LPG_FA</v>
      </c>
      <c r="W737" s="7" t="str">
        <f t="array" ref="W737">INDEX(xlRTCLNAME,MATCH(1,(xlRTCLENDU=2)*(xlRTCLEQCL=$F737),0))</f>
        <v>CENT_AIR</v>
      </c>
      <c r="X737" s="7" t="str">
        <f t="array" ref="X737">INDEX(xlRTTYNAME,MATCH(1,(xlRTTYENDU=1)*(xlRTTYEQCL=$D737)*(xlRTEQTYPE=$E737),0))</f>
        <v>LPG_FA4</v>
      </c>
      <c r="Y737" s="7" t="str">
        <f t="array" ref="Y737">INDEX(xlRTTYNAME,MATCH(1,(xlRTTYENDU=2)*(xlRTTYEQCL=$F737)*(xlRTEQTYPE=$G737),0))</f>
        <v>CENT_AIR4</v>
      </c>
    </row>
    <row r="738" spans="2:25" x14ac:dyDescent="0.2">
      <c r="B738" s="5">
        <v>7</v>
      </c>
      <c r="C738" s="5">
        <v>1</v>
      </c>
      <c r="D738" s="5">
        <v>6</v>
      </c>
      <c r="E738" s="5">
        <v>21</v>
      </c>
      <c r="F738" s="5">
        <v>2</v>
      </c>
      <c r="G738" s="31">
        <v>7</v>
      </c>
      <c r="H738" s="97">
        <v>2033</v>
      </c>
      <c r="I738" s="97">
        <v>2050</v>
      </c>
      <c r="J738" s="142">
        <v>1.0905</v>
      </c>
      <c r="K738" s="142">
        <v>1.0562</v>
      </c>
      <c r="L738" s="142">
        <v>0.37419999999999998</v>
      </c>
      <c r="M738" s="142">
        <v>0.65339999999999998</v>
      </c>
      <c r="N738" s="142">
        <v>0.87180000000000002</v>
      </c>
      <c r="O738" s="142">
        <v>1.0538000000000001</v>
      </c>
      <c r="P738" s="26">
        <v>15600.63095225484</v>
      </c>
      <c r="Q738" s="35">
        <f t="array" ref="Q738">SUM(IF(($S738&gt;=4)*($C738='TaxCred&amp;Subs'!$D$114:$D$121)*($H738='TaxCred&amp;Subs'!$C$114:$C$121)*($H738&lt;='TaxCred&amp;Subs'!$C$123),'TaxCred&amp;Subs'!$E$114:$E$121,0))</f>
        <v>0</v>
      </c>
      <c r="R738" s="143">
        <v>0</v>
      </c>
      <c r="S738" s="5">
        <v>5</v>
      </c>
      <c r="T738" s="5" t="s">
        <v>221</v>
      </c>
      <c r="V738" s="7" t="str">
        <f t="array" ref="V738">INDEX(xlRTCLNAME,MATCH(1,(xlRTCLENDU=1)*(xlRTCLEQCL=$D738),0))</f>
        <v>LPG_FA</v>
      </c>
      <c r="W738" s="7" t="str">
        <f t="array" ref="W738">INDEX(xlRTCLNAME,MATCH(1,(xlRTCLENDU=2)*(xlRTCLEQCL=$F738),0))</f>
        <v>CENT_AIR</v>
      </c>
      <c r="X738" s="7" t="str">
        <f t="array" ref="X738">INDEX(xlRTTYNAME,MATCH(1,(xlRTTYENDU=1)*(xlRTTYEQCL=$D738)*(xlRTEQTYPE=$E738),0))</f>
        <v>LPG_FA4</v>
      </c>
      <c r="Y738" s="7" t="str">
        <f t="array" ref="Y738">INDEX(xlRTTYNAME,MATCH(1,(xlRTTYENDU=2)*(xlRTTYEQCL=$F738)*(xlRTEQTYPE=$G738),0))</f>
        <v>CENT_AIR4</v>
      </c>
    </row>
    <row r="739" spans="2:25" x14ac:dyDescent="0.2">
      <c r="B739" s="5">
        <v>8</v>
      </c>
      <c r="C739" s="5">
        <v>1</v>
      </c>
      <c r="D739" s="5">
        <v>6</v>
      </c>
      <c r="E739" s="5">
        <v>21</v>
      </c>
      <c r="F739" s="5">
        <v>2</v>
      </c>
      <c r="G739" s="31">
        <v>7</v>
      </c>
      <c r="H739" s="96">
        <v>2020</v>
      </c>
      <c r="I739" s="97">
        <v>2022</v>
      </c>
      <c r="J739" s="142">
        <v>1.0801000000000001</v>
      </c>
      <c r="K739" s="142">
        <v>1.0822000000000001</v>
      </c>
      <c r="L739" s="142">
        <v>0.43120000000000003</v>
      </c>
      <c r="M739" s="142">
        <v>0.78110000000000002</v>
      </c>
      <c r="N739" s="142">
        <v>0.86950000000000005</v>
      </c>
      <c r="O739" s="142">
        <v>1.0538000000000001</v>
      </c>
      <c r="P739" s="26">
        <v>16260.797271099718</v>
      </c>
      <c r="Q739" s="35">
        <f t="array" ref="Q739">SUM(IF(($S739&gt;=4)*($C739='TaxCred&amp;Subs'!$D$114:$D$121)*($H739='TaxCred&amp;Subs'!$C$114:$C$121)*($H739&lt;='TaxCred&amp;Subs'!$C$123),'TaxCred&amp;Subs'!$E$114:$E$121,0))</f>
        <v>2000</v>
      </c>
      <c r="R739" s="143">
        <v>0</v>
      </c>
      <c r="S739" s="5">
        <v>5</v>
      </c>
      <c r="T739" s="5" t="s">
        <v>221</v>
      </c>
      <c r="V739" s="7" t="str">
        <f t="array" ref="V739">INDEX(xlRTCLNAME,MATCH(1,(xlRTCLENDU=1)*(xlRTCLEQCL=$D739),0))</f>
        <v>LPG_FA</v>
      </c>
      <c r="W739" s="7" t="str">
        <f t="array" ref="W739">INDEX(xlRTCLNAME,MATCH(1,(xlRTCLENDU=2)*(xlRTCLEQCL=$F739),0))</f>
        <v>CENT_AIR</v>
      </c>
      <c r="X739" s="7" t="str">
        <f t="array" ref="X739">INDEX(xlRTTYNAME,MATCH(1,(xlRTTYENDU=1)*(xlRTTYEQCL=$D739)*(xlRTEQTYPE=$E739),0))</f>
        <v>LPG_FA4</v>
      </c>
      <c r="Y739" s="7" t="str">
        <f t="array" ref="Y739">INDEX(xlRTTYNAME,MATCH(1,(xlRTTYENDU=2)*(xlRTTYEQCL=$F739)*(xlRTEQTYPE=$G739),0))</f>
        <v>CENT_AIR4</v>
      </c>
    </row>
    <row r="740" spans="2:25" x14ac:dyDescent="0.2">
      <c r="B740" s="5">
        <v>8</v>
      </c>
      <c r="C740" s="5">
        <v>1</v>
      </c>
      <c r="D740" s="5">
        <v>6</v>
      </c>
      <c r="E740" s="5">
        <v>21</v>
      </c>
      <c r="F740" s="5">
        <v>2</v>
      </c>
      <c r="G740" s="31">
        <v>7</v>
      </c>
      <c r="H740" s="97">
        <v>2023</v>
      </c>
      <c r="I740" s="97">
        <v>2032</v>
      </c>
      <c r="J740" s="142">
        <v>1.0801000000000001</v>
      </c>
      <c r="K740" s="142">
        <v>1.0822000000000001</v>
      </c>
      <c r="L740" s="142">
        <v>0.43120000000000003</v>
      </c>
      <c r="M740" s="142">
        <v>0.78110000000000002</v>
      </c>
      <c r="N740" s="142">
        <v>0.86950000000000005</v>
      </c>
      <c r="O740" s="142">
        <v>1.0538000000000001</v>
      </c>
      <c r="P740" s="26">
        <v>16260.797271099718</v>
      </c>
      <c r="Q740" s="35">
        <f t="array" ref="Q740">SUM(IF(($S740&gt;=4)*($C740='TaxCred&amp;Subs'!$D$114:$D$121)*($H740='TaxCred&amp;Subs'!$C$114:$C$121)*($H740&lt;='TaxCred&amp;Subs'!$C$123),'TaxCred&amp;Subs'!$E$114:$E$121,0))</f>
        <v>2500</v>
      </c>
      <c r="R740" s="143">
        <v>0</v>
      </c>
      <c r="S740" s="5">
        <v>5</v>
      </c>
      <c r="T740" s="5" t="s">
        <v>221</v>
      </c>
      <c r="V740" s="7" t="str">
        <f t="array" ref="V740">INDEX(xlRTCLNAME,MATCH(1,(xlRTCLENDU=1)*(xlRTCLEQCL=$D740),0))</f>
        <v>LPG_FA</v>
      </c>
      <c r="W740" s="7" t="str">
        <f t="array" ref="W740">INDEX(xlRTCLNAME,MATCH(1,(xlRTCLENDU=2)*(xlRTCLEQCL=$F740),0))</f>
        <v>CENT_AIR</v>
      </c>
      <c r="X740" s="7" t="str">
        <f t="array" ref="X740">INDEX(xlRTTYNAME,MATCH(1,(xlRTTYENDU=1)*(xlRTTYEQCL=$D740)*(xlRTEQTYPE=$E740),0))</f>
        <v>LPG_FA4</v>
      </c>
      <c r="Y740" s="7" t="str">
        <f t="array" ref="Y740">INDEX(xlRTTYNAME,MATCH(1,(xlRTTYENDU=2)*(xlRTTYEQCL=$F740)*(xlRTEQTYPE=$G740),0))</f>
        <v>CENT_AIR4</v>
      </c>
    </row>
    <row r="741" spans="2:25" x14ac:dyDescent="0.2">
      <c r="B741" s="5">
        <v>8</v>
      </c>
      <c r="C741" s="5">
        <v>1</v>
      </c>
      <c r="D741" s="5">
        <v>6</v>
      </c>
      <c r="E741" s="5">
        <v>21</v>
      </c>
      <c r="F741" s="5">
        <v>2</v>
      </c>
      <c r="G741" s="31">
        <v>7</v>
      </c>
      <c r="H741" s="97">
        <v>2033</v>
      </c>
      <c r="I741" s="97">
        <v>2050</v>
      </c>
      <c r="J741" s="142">
        <v>1.0801000000000001</v>
      </c>
      <c r="K741" s="142">
        <v>1.0822000000000001</v>
      </c>
      <c r="L741" s="142">
        <v>0.43120000000000003</v>
      </c>
      <c r="M741" s="142">
        <v>0.78110000000000002</v>
      </c>
      <c r="N741" s="142">
        <v>0.86950000000000005</v>
      </c>
      <c r="O741" s="142">
        <v>1.0538000000000001</v>
      </c>
      <c r="P741" s="26">
        <v>16260.797271099718</v>
      </c>
      <c r="Q741" s="35">
        <f t="array" ref="Q741">SUM(IF(($S741&gt;=4)*($C741='TaxCred&amp;Subs'!$D$114:$D$121)*($H741='TaxCred&amp;Subs'!$C$114:$C$121)*($H741&lt;='TaxCred&amp;Subs'!$C$123),'TaxCred&amp;Subs'!$E$114:$E$121,0))</f>
        <v>0</v>
      </c>
      <c r="R741" s="143">
        <v>0</v>
      </c>
      <c r="S741" s="5">
        <v>5</v>
      </c>
      <c r="T741" s="5" t="s">
        <v>221</v>
      </c>
      <c r="V741" s="7" t="str">
        <f t="array" ref="V741">INDEX(xlRTCLNAME,MATCH(1,(xlRTCLENDU=1)*(xlRTCLEQCL=$D741),0))</f>
        <v>LPG_FA</v>
      </c>
      <c r="W741" s="7" t="str">
        <f t="array" ref="W741">INDEX(xlRTCLNAME,MATCH(1,(xlRTCLENDU=2)*(xlRTCLEQCL=$F741),0))</f>
        <v>CENT_AIR</v>
      </c>
      <c r="X741" s="7" t="str">
        <f t="array" ref="X741">INDEX(xlRTTYNAME,MATCH(1,(xlRTTYENDU=1)*(xlRTTYEQCL=$D741)*(xlRTEQTYPE=$E741),0))</f>
        <v>LPG_FA4</v>
      </c>
      <c r="Y741" s="7" t="str">
        <f t="array" ref="Y741">INDEX(xlRTTYNAME,MATCH(1,(xlRTTYENDU=2)*(xlRTTYEQCL=$F741)*(xlRTEQTYPE=$G741),0))</f>
        <v>CENT_AIR4</v>
      </c>
    </row>
    <row r="742" spans="2:25" x14ac:dyDescent="0.2">
      <c r="B742" s="5">
        <v>9</v>
      </c>
      <c r="C742" s="5">
        <v>1</v>
      </c>
      <c r="D742" s="5">
        <v>6</v>
      </c>
      <c r="E742" s="5">
        <v>21</v>
      </c>
      <c r="F742" s="5">
        <v>2</v>
      </c>
      <c r="G742" s="31">
        <v>7</v>
      </c>
      <c r="H742" s="96">
        <v>2020</v>
      </c>
      <c r="I742" s="97">
        <v>2022</v>
      </c>
      <c r="J742" s="142">
        <v>1.0781000000000001</v>
      </c>
      <c r="K742" s="142">
        <v>1.0707</v>
      </c>
      <c r="L742" s="142">
        <v>0.39879999999999999</v>
      </c>
      <c r="M742" s="142">
        <v>0.76029999999999998</v>
      </c>
      <c r="N742" s="142">
        <v>1.0339</v>
      </c>
      <c r="O742" s="142">
        <v>1.0538000000000001</v>
      </c>
      <c r="P742" s="26">
        <v>19815.745839380488</v>
      </c>
      <c r="Q742" s="35">
        <f t="array" ref="Q742">SUM(IF(($S742&gt;=4)*($C742='TaxCred&amp;Subs'!$D$114:$D$121)*($H742='TaxCred&amp;Subs'!$C$114:$C$121)*($H742&lt;='TaxCred&amp;Subs'!$C$123),'TaxCred&amp;Subs'!$E$114:$E$121,0))</f>
        <v>2000</v>
      </c>
      <c r="R742" s="143">
        <v>0</v>
      </c>
      <c r="S742" s="5">
        <v>5</v>
      </c>
      <c r="T742" s="5" t="s">
        <v>221</v>
      </c>
      <c r="V742" s="7" t="str">
        <f t="array" ref="V742">INDEX(xlRTCLNAME,MATCH(1,(xlRTCLENDU=1)*(xlRTCLEQCL=$D742),0))</f>
        <v>LPG_FA</v>
      </c>
      <c r="W742" s="7" t="str">
        <f t="array" ref="W742">INDEX(xlRTCLNAME,MATCH(1,(xlRTCLENDU=2)*(xlRTCLEQCL=$F742),0))</f>
        <v>CENT_AIR</v>
      </c>
      <c r="X742" s="7" t="str">
        <f t="array" ref="X742">INDEX(xlRTTYNAME,MATCH(1,(xlRTTYENDU=1)*(xlRTTYEQCL=$D742)*(xlRTEQTYPE=$E742),0))</f>
        <v>LPG_FA4</v>
      </c>
      <c r="Y742" s="7" t="str">
        <f t="array" ref="Y742">INDEX(xlRTTYNAME,MATCH(1,(xlRTTYENDU=2)*(xlRTTYEQCL=$F742)*(xlRTEQTYPE=$G742),0))</f>
        <v>CENT_AIR4</v>
      </c>
    </row>
    <row r="743" spans="2:25" x14ac:dyDescent="0.2">
      <c r="B743" s="5">
        <v>9</v>
      </c>
      <c r="C743" s="5">
        <v>1</v>
      </c>
      <c r="D743" s="5">
        <v>6</v>
      </c>
      <c r="E743" s="5">
        <v>21</v>
      </c>
      <c r="F743" s="5">
        <v>2</v>
      </c>
      <c r="G743" s="31">
        <v>7</v>
      </c>
      <c r="H743" s="97">
        <v>2023</v>
      </c>
      <c r="I743" s="97">
        <v>2032</v>
      </c>
      <c r="J743" s="142">
        <v>1.0781000000000001</v>
      </c>
      <c r="K743" s="142">
        <v>1.0707</v>
      </c>
      <c r="L743" s="142">
        <v>0.39879999999999999</v>
      </c>
      <c r="M743" s="142">
        <v>0.76029999999999998</v>
      </c>
      <c r="N743" s="142">
        <v>1.0339</v>
      </c>
      <c r="O743" s="142">
        <v>1.0538000000000001</v>
      </c>
      <c r="P743" s="26">
        <v>19815.745839380488</v>
      </c>
      <c r="Q743" s="35">
        <f t="array" ref="Q743">SUM(IF(($S743&gt;=4)*($C743='TaxCred&amp;Subs'!$D$114:$D$121)*($H743='TaxCred&amp;Subs'!$C$114:$C$121)*($H743&lt;='TaxCred&amp;Subs'!$C$123),'TaxCred&amp;Subs'!$E$114:$E$121,0))</f>
        <v>2500</v>
      </c>
      <c r="R743" s="143">
        <v>0</v>
      </c>
      <c r="S743" s="5">
        <v>5</v>
      </c>
      <c r="T743" s="5" t="s">
        <v>221</v>
      </c>
      <c r="V743" s="7" t="str">
        <f t="array" ref="V743">INDEX(xlRTCLNAME,MATCH(1,(xlRTCLENDU=1)*(xlRTCLEQCL=$D743),0))</f>
        <v>LPG_FA</v>
      </c>
      <c r="W743" s="7" t="str">
        <f t="array" ref="W743">INDEX(xlRTCLNAME,MATCH(1,(xlRTCLENDU=2)*(xlRTCLEQCL=$F743),0))</f>
        <v>CENT_AIR</v>
      </c>
      <c r="X743" s="7" t="str">
        <f t="array" ref="X743">INDEX(xlRTTYNAME,MATCH(1,(xlRTTYENDU=1)*(xlRTTYEQCL=$D743)*(xlRTEQTYPE=$E743),0))</f>
        <v>LPG_FA4</v>
      </c>
      <c r="Y743" s="7" t="str">
        <f t="array" ref="Y743">INDEX(xlRTTYNAME,MATCH(1,(xlRTTYENDU=2)*(xlRTTYEQCL=$F743)*(xlRTEQTYPE=$G743),0))</f>
        <v>CENT_AIR4</v>
      </c>
    </row>
    <row r="744" spans="2:25" x14ac:dyDescent="0.2">
      <c r="B744" s="5">
        <v>9</v>
      </c>
      <c r="C744" s="5">
        <v>1</v>
      </c>
      <c r="D744" s="5">
        <v>6</v>
      </c>
      <c r="E744" s="5">
        <v>21</v>
      </c>
      <c r="F744" s="5">
        <v>2</v>
      </c>
      <c r="G744" s="31">
        <v>7</v>
      </c>
      <c r="H744" s="97">
        <v>2033</v>
      </c>
      <c r="I744" s="97">
        <v>2050</v>
      </c>
      <c r="J744" s="142">
        <v>1.0781000000000001</v>
      </c>
      <c r="K744" s="142">
        <v>1.0707</v>
      </c>
      <c r="L744" s="142">
        <v>0.39879999999999999</v>
      </c>
      <c r="M744" s="142">
        <v>0.76029999999999998</v>
      </c>
      <c r="N744" s="142">
        <v>1.0339</v>
      </c>
      <c r="O744" s="142">
        <v>1.0538000000000001</v>
      </c>
      <c r="P744" s="26">
        <v>19815.745839380488</v>
      </c>
      <c r="Q744" s="35">
        <f t="array" ref="Q744">SUM(IF(($S744&gt;=4)*($C744='TaxCred&amp;Subs'!$D$114:$D$121)*($H744='TaxCred&amp;Subs'!$C$114:$C$121)*($H744&lt;='TaxCred&amp;Subs'!$C$123),'TaxCred&amp;Subs'!$E$114:$E$121,0))</f>
        <v>0</v>
      </c>
      <c r="R744" s="143">
        <v>0</v>
      </c>
      <c r="S744" s="5">
        <v>5</v>
      </c>
      <c r="T744" s="5" t="s">
        <v>221</v>
      </c>
      <c r="V744" s="7" t="str">
        <f t="array" ref="V744">INDEX(xlRTCLNAME,MATCH(1,(xlRTCLENDU=1)*(xlRTCLEQCL=$D744),0))</f>
        <v>LPG_FA</v>
      </c>
      <c r="W744" s="7" t="str">
        <f t="array" ref="W744">INDEX(xlRTCLNAME,MATCH(1,(xlRTCLENDU=2)*(xlRTCLEQCL=$F744),0))</f>
        <v>CENT_AIR</v>
      </c>
      <c r="X744" s="7" t="str">
        <f t="array" ref="X744">INDEX(xlRTTYNAME,MATCH(1,(xlRTTYENDU=1)*(xlRTTYEQCL=$D744)*(xlRTEQTYPE=$E744),0))</f>
        <v>LPG_FA4</v>
      </c>
      <c r="Y744" s="7" t="str">
        <f t="array" ref="Y744">INDEX(xlRTTYNAME,MATCH(1,(xlRTTYENDU=2)*(xlRTTYEQCL=$F744)*(xlRTEQTYPE=$G744),0))</f>
        <v>CENT_AIR4</v>
      </c>
    </row>
    <row r="745" spans="2:25" x14ac:dyDescent="0.2">
      <c r="B745" s="5">
        <v>1</v>
      </c>
      <c r="C745" s="5">
        <v>1</v>
      </c>
      <c r="D745" s="5">
        <v>7</v>
      </c>
      <c r="E745" s="5">
        <v>25</v>
      </c>
      <c r="F745" s="5">
        <v>2</v>
      </c>
      <c r="G745" s="31">
        <v>7</v>
      </c>
      <c r="H745" s="96">
        <v>2020</v>
      </c>
      <c r="I745" s="97">
        <v>2022</v>
      </c>
      <c r="J745" s="142">
        <v>1.0309999999999999</v>
      </c>
      <c r="K745" s="142">
        <v>1.0667</v>
      </c>
      <c r="L745" s="142">
        <v>0.44290000000000002</v>
      </c>
      <c r="M745" s="142">
        <v>0.96350000000000002</v>
      </c>
      <c r="N745" s="142">
        <v>0.79790000000000005</v>
      </c>
      <c r="O745" s="142">
        <v>1.0538000000000001</v>
      </c>
      <c r="P745" s="26">
        <v>19744.485523904365</v>
      </c>
      <c r="Q745" s="35">
        <f t="array" ref="Q745">SUM(IF(($S745&gt;=4)*($C745='TaxCred&amp;Subs'!$D$114:$D$121)*($H745='TaxCred&amp;Subs'!$C$114:$C$121)*($H745&lt;='TaxCred&amp;Subs'!$C$123),'TaxCred&amp;Subs'!$E$114:$E$121,0))</f>
        <v>2000</v>
      </c>
      <c r="R745" s="143">
        <v>0</v>
      </c>
      <c r="S745" s="5">
        <v>5</v>
      </c>
      <c r="T745" s="5" t="s">
        <v>221</v>
      </c>
      <c r="V745" s="7" t="str">
        <f t="array" ref="V745">INDEX(xlRTCLNAME,MATCH(1,(xlRTCLENDU=1)*(xlRTCLEQCL=$D745),0))</f>
        <v>DIST_FA</v>
      </c>
      <c r="W745" s="7" t="str">
        <f t="array" ref="W745">INDEX(xlRTCLNAME,MATCH(1,(xlRTCLENDU=2)*(xlRTCLEQCL=$F745),0))</f>
        <v>CENT_AIR</v>
      </c>
      <c r="X745" s="7" t="str">
        <f t="array" ref="X745">INDEX(xlRTTYNAME,MATCH(1,(xlRTTYENDU=1)*(xlRTTYEQCL=$D745)*(xlRTEQTYPE=$E745),0))</f>
        <v>DIST_FA4</v>
      </c>
      <c r="Y745" s="7" t="str">
        <f t="array" ref="Y745">INDEX(xlRTTYNAME,MATCH(1,(xlRTTYENDU=2)*(xlRTTYEQCL=$F745)*(xlRTEQTYPE=$G745),0))</f>
        <v>CENT_AIR4</v>
      </c>
    </row>
    <row r="746" spans="2:25" x14ac:dyDescent="0.2">
      <c r="B746" s="5">
        <v>1</v>
      </c>
      <c r="C746" s="5">
        <v>1</v>
      </c>
      <c r="D746" s="5">
        <v>7</v>
      </c>
      <c r="E746" s="5">
        <v>25</v>
      </c>
      <c r="F746" s="5">
        <v>2</v>
      </c>
      <c r="G746" s="31">
        <v>7</v>
      </c>
      <c r="H746" s="97">
        <v>2023</v>
      </c>
      <c r="I746" s="97">
        <v>2032</v>
      </c>
      <c r="J746" s="142">
        <v>1.0309999999999999</v>
      </c>
      <c r="K746" s="142">
        <v>1.0667</v>
      </c>
      <c r="L746" s="142">
        <v>0.44290000000000002</v>
      </c>
      <c r="M746" s="142">
        <v>0.96350000000000002</v>
      </c>
      <c r="N746" s="142">
        <v>0.79790000000000005</v>
      </c>
      <c r="O746" s="142">
        <v>1.0538000000000001</v>
      </c>
      <c r="P746" s="26">
        <v>19744.485523904365</v>
      </c>
      <c r="Q746" s="35">
        <f t="array" ref="Q746">SUM(IF(($S746&gt;=4)*($C746='TaxCred&amp;Subs'!$D$114:$D$121)*($H746='TaxCred&amp;Subs'!$C$114:$C$121)*($H746&lt;='TaxCred&amp;Subs'!$C$123),'TaxCred&amp;Subs'!$E$114:$E$121,0))</f>
        <v>2500</v>
      </c>
      <c r="R746" s="143">
        <v>0</v>
      </c>
      <c r="S746" s="5">
        <v>5</v>
      </c>
      <c r="T746" s="5" t="s">
        <v>221</v>
      </c>
      <c r="V746" s="7" t="str">
        <f t="array" ref="V746">INDEX(xlRTCLNAME,MATCH(1,(xlRTCLENDU=1)*(xlRTCLEQCL=$D746),0))</f>
        <v>DIST_FA</v>
      </c>
      <c r="W746" s="7" t="str">
        <f t="array" ref="W746">INDEX(xlRTCLNAME,MATCH(1,(xlRTCLENDU=2)*(xlRTCLEQCL=$F746),0))</f>
        <v>CENT_AIR</v>
      </c>
      <c r="X746" s="7" t="str">
        <f t="array" ref="X746">INDEX(xlRTTYNAME,MATCH(1,(xlRTTYENDU=1)*(xlRTTYEQCL=$D746)*(xlRTEQTYPE=$E746),0))</f>
        <v>DIST_FA4</v>
      </c>
      <c r="Y746" s="7" t="str">
        <f t="array" ref="Y746">INDEX(xlRTTYNAME,MATCH(1,(xlRTTYENDU=2)*(xlRTTYEQCL=$F746)*(xlRTEQTYPE=$G746),0))</f>
        <v>CENT_AIR4</v>
      </c>
    </row>
    <row r="747" spans="2:25" x14ac:dyDescent="0.2">
      <c r="B747" s="5">
        <v>1</v>
      </c>
      <c r="C747" s="5">
        <v>1</v>
      </c>
      <c r="D747" s="5">
        <v>7</v>
      </c>
      <c r="E747" s="5">
        <v>25</v>
      </c>
      <c r="F747" s="5">
        <v>2</v>
      </c>
      <c r="G747" s="31">
        <v>7</v>
      </c>
      <c r="H747" s="97">
        <v>2033</v>
      </c>
      <c r="I747" s="97">
        <v>2050</v>
      </c>
      <c r="J747" s="142">
        <v>1.0309999999999999</v>
      </c>
      <c r="K747" s="142">
        <v>1.0667</v>
      </c>
      <c r="L747" s="142">
        <v>0.44290000000000002</v>
      </c>
      <c r="M747" s="142">
        <v>0.96350000000000002</v>
      </c>
      <c r="N747" s="142">
        <v>0.79790000000000005</v>
      </c>
      <c r="O747" s="142">
        <v>1.0538000000000001</v>
      </c>
      <c r="P747" s="26">
        <v>19744.485523904365</v>
      </c>
      <c r="Q747" s="35">
        <f t="array" ref="Q747">SUM(IF(($S747&gt;=4)*($C747='TaxCred&amp;Subs'!$D$114:$D$121)*($H747='TaxCred&amp;Subs'!$C$114:$C$121)*($H747&lt;='TaxCred&amp;Subs'!$C$123),'TaxCred&amp;Subs'!$E$114:$E$121,0))</f>
        <v>0</v>
      </c>
      <c r="R747" s="143">
        <v>0</v>
      </c>
      <c r="S747" s="5">
        <v>5</v>
      </c>
      <c r="T747" s="5" t="s">
        <v>221</v>
      </c>
      <c r="V747" s="7" t="str">
        <f t="array" ref="V747">INDEX(xlRTCLNAME,MATCH(1,(xlRTCLENDU=1)*(xlRTCLEQCL=$D747),0))</f>
        <v>DIST_FA</v>
      </c>
      <c r="W747" s="7" t="str">
        <f t="array" ref="W747">INDEX(xlRTCLNAME,MATCH(1,(xlRTCLENDU=2)*(xlRTCLEQCL=$F747),0))</f>
        <v>CENT_AIR</v>
      </c>
      <c r="X747" s="7" t="str">
        <f t="array" ref="X747">INDEX(xlRTTYNAME,MATCH(1,(xlRTTYENDU=1)*(xlRTTYEQCL=$D747)*(xlRTEQTYPE=$E747),0))</f>
        <v>DIST_FA4</v>
      </c>
      <c r="Y747" s="7" t="str">
        <f t="array" ref="Y747">INDEX(xlRTTYNAME,MATCH(1,(xlRTTYENDU=2)*(xlRTTYEQCL=$F747)*(xlRTEQTYPE=$G747),0))</f>
        <v>CENT_AIR4</v>
      </c>
    </row>
    <row r="748" spans="2:25" x14ac:dyDescent="0.2">
      <c r="B748" s="5">
        <v>2</v>
      </c>
      <c r="C748" s="5">
        <v>1</v>
      </c>
      <c r="D748" s="5">
        <v>7</v>
      </c>
      <c r="E748" s="5">
        <v>25</v>
      </c>
      <c r="F748" s="5">
        <v>2</v>
      </c>
      <c r="G748" s="31">
        <v>7</v>
      </c>
      <c r="H748" s="96">
        <v>2020</v>
      </c>
      <c r="I748" s="97">
        <v>2022</v>
      </c>
      <c r="J748" s="142">
        <v>1.0772999999999999</v>
      </c>
      <c r="K748" s="142">
        <v>1.0758000000000001</v>
      </c>
      <c r="L748" s="142">
        <v>0.4617</v>
      </c>
      <c r="M748" s="142">
        <v>0.81589999999999996</v>
      </c>
      <c r="N748" s="142">
        <v>0.93169999999999997</v>
      </c>
      <c r="O748" s="142">
        <v>1.0538000000000001</v>
      </c>
      <c r="P748" s="26">
        <v>22424.142292657609</v>
      </c>
      <c r="Q748" s="35">
        <f t="array" ref="Q748">SUM(IF(($S748&gt;=4)*($C748='TaxCred&amp;Subs'!$D$114:$D$121)*($H748='TaxCred&amp;Subs'!$C$114:$C$121)*($H748&lt;='TaxCred&amp;Subs'!$C$123),'TaxCred&amp;Subs'!$E$114:$E$121,0))</f>
        <v>2000</v>
      </c>
      <c r="R748" s="143">
        <v>0</v>
      </c>
      <c r="S748" s="5">
        <v>5</v>
      </c>
      <c r="T748" s="5" t="s">
        <v>221</v>
      </c>
      <c r="V748" s="7" t="str">
        <f t="array" ref="V748">INDEX(xlRTCLNAME,MATCH(1,(xlRTCLENDU=1)*(xlRTCLEQCL=$D748),0))</f>
        <v>DIST_FA</v>
      </c>
      <c r="W748" s="7" t="str">
        <f t="array" ref="W748">INDEX(xlRTCLNAME,MATCH(1,(xlRTCLENDU=2)*(xlRTCLEQCL=$F748),0))</f>
        <v>CENT_AIR</v>
      </c>
      <c r="X748" s="7" t="str">
        <f t="array" ref="X748">INDEX(xlRTTYNAME,MATCH(1,(xlRTTYENDU=1)*(xlRTTYEQCL=$D748)*(xlRTEQTYPE=$E748),0))</f>
        <v>DIST_FA4</v>
      </c>
      <c r="Y748" s="7" t="str">
        <f t="array" ref="Y748">INDEX(xlRTTYNAME,MATCH(1,(xlRTTYENDU=2)*(xlRTTYEQCL=$F748)*(xlRTEQTYPE=$G748),0))</f>
        <v>CENT_AIR4</v>
      </c>
    </row>
    <row r="749" spans="2:25" x14ac:dyDescent="0.2">
      <c r="B749" s="5">
        <v>2</v>
      </c>
      <c r="C749" s="5">
        <v>1</v>
      </c>
      <c r="D749" s="5">
        <v>7</v>
      </c>
      <c r="E749" s="5">
        <v>25</v>
      </c>
      <c r="F749" s="5">
        <v>2</v>
      </c>
      <c r="G749" s="31">
        <v>7</v>
      </c>
      <c r="H749" s="97">
        <v>2023</v>
      </c>
      <c r="I749" s="97">
        <v>2032</v>
      </c>
      <c r="J749" s="142">
        <v>1.0772999999999999</v>
      </c>
      <c r="K749" s="142">
        <v>1.0758000000000001</v>
      </c>
      <c r="L749" s="142">
        <v>0.4617</v>
      </c>
      <c r="M749" s="142">
        <v>0.81589999999999996</v>
      </c>
      <c r="N749" s="142">
        <v>0.93169999999999997</v>
      </c>
      <c r="O749" s="142">
        <v>1.0538000000000001</v>
      </c>
      <c r="P749" s="26">
        <v>22424.142292657609</v>
      </c>
      <c r="Q749" s="35">
        <f t="array" ref="Q749">SUM(IF(($S749&gt;=4)*($C749='TaxCred&amp;Subs'!$D$114:$D$121)*($H749='TaxCred&amp;Subs'!$C$114:$C$121)*($H749&lt;='TaxCred&amp;Subs'!$C$123),'TaxCred&amp;Subs'!$E$114:$E$121,0))</f>
        <v>2500</v>
      </c>
      <c r="R749" s="143">
        <v>0</v>
      </c>
      <c r="S749" s="5">
        <v>5</v>
      </c>
      <c r="T749" s="5" t="s">
        <v>221</v>
      </c>
      <c r="V749" s="7" t="str">
        <f t="array" ref="V749">INDEX(xlRTCLNAME,MATCH(1,(xlRTCLENDU=1)*(xlRTCLEQCL=$D749),0))</f>
        <v>DIST_FA</v>
      </c>
      <c r="W749" s="7" t="str">
        <f t="array" ref="W749">INDEX(xlRTCLNAME,MATCH(1,(xlRTCLENDU=2)*(xlRTCLEQCL=$F749),0))</f>
        <v>CENT_AIR</v>
      </c>
      <c r="X749" s="7" t="str">
        <f t="array" ref="X749">INDEX(xlRTTYNAME,MATCH(1,(xlRTTYENDU=1)*(xlRTTYEQCL=$D749)*(xlRTEQTYPE=$E749),0))</f>
        <v>DIST_FA4</v>
      </c>
      <c r="Y749" s="7" t="str">
        <f t="array" ref="Y749">INDEX(xlRTTYNAME,MATCH(1,(xlRTTYENDU=2)*(xlRTTYEQCL=$F749)*(xlRTEQTYPE=$G749),0))</f>
        <v>CENT_AIR4</v>
      </c>
    </row>
    <row r="750" spans="2:25" x14ac:dyDescent="0.2">
      <c r="B750" s="5">
        <v>2</v>
      </c>
      <c r="C750" s="5">
        <v>1</v>
      </c>
      <c r="D750" s="5">
        <v>7</v>
      </c>
      <c r="E750" s="5">
        <v>25</v>
      </c>
      <c r="F750" s="5">
        <v>2</v>
      </c>
      <c r="G750" s="31">
        <v>7</v>
      </c>
      <c r="H750" s="97">
        <v>2033</v>
      </c>
      <c r="I750" s="97">
        <v>2050</v>
      </c>
      <c r="J750" s="142">
        <v>1.0772999999999999</v>
      </c>
      <c r="K750" s="142">
        <v>1.0758000000000001</v>
      </c>
      <c r="L750" s="142">
        <v>0.4617</v>
      </c>
      <c r="M750" s="142">
        <v>0.81589999999999996</v>
      </c>
      <c r="N750" s="142">
        <v>0.93169999999999997</v>
      </c>
      <c r="O750" s="142">
        <v>1.0538000000000001</v>
      </c>
      <c r="P750" s="26">
        <v>22424.142292657609</v>
      </c>
      <c r="Q750" s="35">
        <f t="array" ref="Q750">SUM(IF(($S750&gt;=4)*($C750='TaxCred&amp;Subs'!$D$114:$D$121)*($H750='TaxCred&amp;Subs'!$C$114:$C$121)*($H750&lt;='TaxCred&amp;Subs'!$C$123),'TaxCred&amp;Subs'!$E$114:$E$121,0))</f>
        <v>0</v>
      </c>
      <c r="R750" s="143">
        <v>0</v>
      </c>
      <c r="S750" s="5">
        <v>5</v>
      </c>
      <c r="T750" s="5" t="s">
        <v>221</v>
      </c>
      <c r="V750" s="7" t="str">
        <f t="array" ref="V750">INDEX(xlRTCLNAME,MATCH(1,(xlRTCLENDU=1)*(xlRTCLEQCL=$D750),0))</f>
        <v>DIST_FA</v>
      </c>
      <c r="W750" s="7" t="str">
        <f t="array" ref="W750">INDEX(xlRTCLNAME,MATCH(1,(xlRTCLENDU=2)*(xlRTCLEQCL=$F750),0))</f>
        <v>CENT_AIR</v>
      </c>
      <c r="X750" s="7" t="str">
        <f t="array" ref="X750">INDEX(xlRTTYNAME,MATCH(1,(xlRTTYENDU=1)*(xlRTTYEQCL=$D750)*(xlRTEQTYPE=$E750),0))</f>
        <v>DIST_FA4</v>
      </c>
      <c r="Y750" s="7" t="str">
        <f t="array" ref="Y750">INDEX(xlRTTYNAME,MATCH(1,(xlRTTYENDU=2)*(xlRTTYEQCL=$F750)*(xlRTEQTYPE=$G750),0))</f>
        <v>CENT_AIR4</v>
      </c>
    </row>
    <row r="751" spans="2:25" x14ac:dyDescent="0.2">
      <c r="B751" s="5">
        <v>5</v>
      </c>
      <c r="C751" s="5">
        <v>1</v>
      </c>
      <c r="D751" s="5">
        <v>7</v>
      </c>
      <c r="E751" s="5">
        <v>25</v>
      </c>
      <c r="F751" s="5">
        <v>2</v>
      </c>
      <c r="G751" s="31">
        <v>7</v>
      </c>
      <c r="H751" s="96">
        <v>2020</v>
      </c>
      <c r="I751" s="97">
        <v>2022</v>
      </c>
      <c r="J751" s="142">
        <v>1.0847</v>
      </c>
      <c r="K751" s="142">
        <v>1.056</v>
      </c>
      <c r="L751" s="142">
        <v>0.32740000000000002</v>
      </c>
      <c r="M751" s="142">
        <v>0.73150000000000004</v>
      </c>
      <c r="N751" s="142">
        <v>0.76280000000000003</v>
      </c>
      <c r="O751" s="142">
        <v>1.0538000000000001</v>
      </c>
      <c r="P751" s="26">
        <v>15568.362130152442</v>
      </c>
      <c r="Q751" s="35">
        <f t="array" ref="Q751">SUM(IF(($S751&gt;=4)*($C751='TaxCred&amp;Subs'!$D$114:$D$121)*($H751='TaxCred&amp;Subs'!$C$114:$C$121)*($H751&lt;='TaxCred&amp;Subs'!$C$123),'TaxCred&amp;Subs'!$E$114:$E$121,0))</f>
        <v>2000</v>
      </c>
      <c r="R751" s="143">
        <v>0</v>
      </c>
      <c r="S751" s="5">
        <v>5</v>
      </c>
      <c r="T751" s="5" t="s">
        <v>221</v>
      </c>
      <c r="V751" s="7" t="str">
        <f t="array" ref="V751">INDEX(xlRTCLNAME,MATCH(1,(xlRTCLENDU=1)*(xlRTCLEQCL=$D751),0))</f>
        <v>DIST_FA</v>
      </c>
      <c r="W751" s="7" t="str">
        <f t="array" ref="W751">INDEX(xlRTCLNAME,MATCH(1,(xlRTCLENDU=2)*(xlRTCLEQCL=$F751),0))</f>
        <v>CENT_AIR</v>
      </c>
      <c r="X751" s="7" t="str">
        <f t="array" ref="X751">INDEX(xlRTTYNAME,MATCH(1,(xlRTTYENDU=1)*(xlRTTYEQCL=$D751)*(xlRTEQTYPE=$E751),0))</f>
        <v>DIST_FA4</v>
      </c>
      <c r="Y751" s="7" t="str">
        <f t="array" ref="Y751">INDEX(xlRTTYNAME,MATCH(1,(xlRTTYENDU=2)*(xlRTTYEQCL=$F751)*(xlRTEQTYPE=$G751),0))</f>
        <v>CENT_AIR4</v>
      </c>
    </row>
    <row r="752" spans="2:25" x14ac:dyDescent="0.2">
      <c r="B752" s="5">
        <v>5</v>
      </c>
      <c r="C752" s="5">
        <v>1</v>
      </c>
      <c r="D752" s="5">
        <v>7</v>
      </c>
      <c r="E752" s="5">
        <v>25</v>
      </c>
      <c r="F752" s="5">
        <v>2</v>
      </c>
      <c r="G752" s="31">
        <v>7</v>
      </c>
      <c r="H752" s="97">
        <v>2023</v>
      </c>
      <c r="I752" s="97">
        <v>2032</v>
      </c>
      <c r="J752" s="142">
        <v>1.0847</v>
      </c>
      <c r="K752" s="142">
        <v>1.056</v>
      </c>
      <c r="L752" s="142">
        <v>0.32740000000000002</v>
      </c>
      <c r="M752" s="142">
        <v>0.73150000000000004</v>
      </c>
      <c r="N752" s="142">
        <v>0.76280000000000003</v>
      </c>
      <c r="O752" s="142">
        <v>1.0538000000000001</v>
      </c>
      <c r="P752" s="26">
        <v>15568.362130152442</v>
      </c>
      <c r="Q752" s="35">
        <f t="array" ref="Q752">SUM(IF(($S752&gt;=4)*($C752='TaxCred&amp;Subs'!$D$114:$D$121)*($H752='TaxCred&amp;Subs'!$C$114:$C$121)*($H752&lt;='TaxCred&amp;Subs'!$C$123),'TaxCred&amp;Subs'!$E$114:$E$121,0))</f>
        <v>2500</v>
      </c>
      <c r="R752" s="143">
        <v>0</v>
      </c>
      <c r="S752" s="5">
        <v>5</v>
      </c>
      <c r="T752" s="5" t="s">
        <v>221</v>
      </c>
      <c r="V752" s="7" t="str">
        <f t="array" ref="V752">INDEX(xlRTCLNAME,MATCH(1,(xlRTCLENDU=1)*(xlRTCLEQCL=$D752),0))</f>
        <v>DIST_FA</v>
      </c>
      <c r="W752" s="7" t="str">
        <f t="array" ref="W752">INDEX(xlRTCLNAME,MATCH(1,(xlRTCLENDU=2)*(xlRTCLEQCL=$F752),0))</f>
        <v>CENT_AIR</v>
      </c>
      <c r="X752" s="7" t="str">
        <f t="array" ref="X752">INDEX(xlRTTYNAME,MATCH(1,(xlRTTYENDU=1)*(xlRTTYEQCL=$D752)*(xlRTEQTYPE=$E752),0))</f>
        <v>DIST_FA4</v>
      </c>
      <c r="Y752" s="7" t="str">
        <f t="array" ref="Y752">INDEX(xlRTTYNAME,MATCH(1,(xlRTTYENDU=2)*(xlRTTYEQCL=$F752)*(xlRTEQTYPE=$G752),0))</f>
        <v>CENT_AIR4</v>
      </c>
    </row>
    <row r="753" spans="2:25" x14ac:dyDescent="0.2">
      <c r="B753" s="5">
        <v>5</v>
      </c>
      <c r="C753" s="5">
        <v>1</v>
      </c>
      <c r="D753" s="5">
        <v>7</v>
      </c>
      <c r="E753" s="5">
        <v>25</v>
      </c>
      <c r="F753" s="5">
        <v>2</v>
      </c>
      <c r="G753" s="31">
        <v>7</v>
      </c>
      <c r="H753" s="97">
        <v>2033</v>
      </c>
      <c r="I753" s="97">
        <v>2050</v>
      </c>
      <c r="J753" s="142">
        <v>1.0847</v>
      </c>
      <c r="K753" s="142">
        <v>1.056</v>
      </c>
      <c r="L753" s="142">
        <v>0.32740000000000002</v>
      </c>
      <c r="M753" s="142">
        <v>0.73150000000000004</v>
      </c>
      <c r="N753" s="142">
        <v>0.76280000000000003</v>
      </c>
      <c r="O753" s="142">
        <v>1.0538000000000001</v>
      </c>
      <c r="P753" s="26">
        <v>15568.362130152442</v>
      </c>
      <c r="Q753" s="35">
        <f t="array" ref="Q753">SUM(IF(($S753&gt;=4)*($C753='TaxCred&amp;Subs'!$D$114:$D$121)*($H753='TaxCred&amp;Subs'!$C$114:$C$121)*($H753&lt;='TaxCred&amp;Subs'!$C$123),'TaxCred&amp;Subs'!$E$114:$E$121,0))</f>
        <v>0</v>
      </c>
      <c r="R753" s="143">
        <v>0</v>
      </c>
      <c r="S753" s="5">
        <v>5</v>
      </c>
      <c r="T753" s="5" t="s">
        <v>221</v>
      </c>
      <c r="V753" s="7" t="str">
        <f t="array" ref="V753">INDEX(xlRTCLNAME,MATCH(1,(xlRTCLENDU=1)*(xlRTCLEQCL=$D753),0))</f>
        <v>DIST_FA</v>
      </c>
      <c r="W753" s="7" t="str">
        <f t="array" ref="W753">INDEX(xlRTCLNAME,MATCH(1,(xlRTCLENDU=2)*(xlRTCLEQCL=$F753),0))</f>
        <v>CENT_AIR</v>
      </c>
      <c r="X753" s="7" t="str">
        <f t="array" ref="X753">INDEX(xlRTTYNAME,MATCH(1,(xlRTTYENDU=1)*(xlRTTYEQCL=$D753)*(xlRTEQTYPE=$E753),0))</f>
        <v>DIST_FA4</v>
      </c>
      <c r="Y753" s="7" t="str">
        <f t="array" ref="Y753">INDEX(xlRTTYNAME,MATCH(1,(xlRTTYENDU=2)*(xlRTTYEQCL=$F753)*(xlRTEQTYPE=$G753),0))</f>
        <v>CENT_AIR4</v>
      </c>
    </row>
    <row r="754" spans="2:25" x14ac:dyDescent="0.2">
      <c r="B754" s="5">
        <v>6</v>
      </c>
      <c r="C754" s="5">
        <v>1</v>
      </c>
      <c r="D754" s="5">
        <v>7</v>
      </c>
      <c r="E754" s="5">
        <v>25</v>
      </c>
      <c r="F754" s="5">
        <v>2</v>
      </c>
      <c r="G754" s="31">
        <v>7</v>
      </c>
      <c r="H754" s="96">
        <v>2020</v>
      </c>
      <c r="I754" s="97">
        <v>2022</v>
      </c>
      <c r="J754" s="142">
        <v>1.0907</v>
      </c>
      <c r="K754" s="142">
        <v>1.0603</v>
      </c>
      <c r="L754" s="142">
        <v>0.41909999999999997</v>
      </c>
      <c r="M754" s="142">
        <v>0.76590000000000003</v>
      </c>
      <c r="N754" s="142">
        <v>0.89139999999999997</v>
      </c>
      <c r="O754" s="142">
        <v>1.0538000000000001</v>
      </c>
      <c r="P754" s="26">
        <v>15382.816403063658</v>
      </c>
      <c r="Q754" s="35">
        <f t="array" ref="Q754">SUM(IF(($S754&gt;=4)*($C754='TaxCred&amp;Subs'!$D$114:$D$121)*($H754='TaxCred&amp;Subs'!$C$114:$C$121)*($H754&lt;='TaxCred&amp;Subs'!$C$123),'TaxCred&amp;Subs'!$E$114:$E$121,0))</f>
        <v>2000</v>
      </c>
      <c r="R754" s="143">
        <v>0</v>
      </c>
      <c r="S754" s="5">
        <v>5</v>
      </c>
      <c r="T754" s="5" t="s">
        <v>221</v>
      </c>
      <c r="V754" s="7" t="str">
        <f t="array" ref="V754">INDEX(xlRTCLNAME,MATCH(1,(xlRTCLENDU=1)*(xlRTCLEQCL=$D754),0))</f>
        <v>DIST_FA</v>
      </c>
      <c r="W754" s="7" t="str">
        <f t="array" ref="W754">INDEX(xlRTCLNAME,MATCH(1,(xlRTCLENDU=2)*(xlRTCLEQCL=$F754),0))</f>
        <v>CENT_AIR</v>
      </c>
      <c r="X754" s="7" t="str">
        <f t="array" ref="X754">INDEX(xlRTTYNAME,MATCH(1,(xlRTTYENDU=1)*(xlRTTYEQCL=$D754)*(xlRTEQTYPE=$E754),0))</f>
        <v>DIST_FA4</v>
      </c>
      <c r="Y754" s="7" t="str">
        <f t="array" ref="Y754">INDEX(xlRTTYNAME,MATCH(1,(xlRTTYENDU=2)*(xlRTTYEQCL=$F754)*(xlRTEQTYPE=$G754),0))</f>
        <v>CENT_AIR4</v>
      </c>
    </row>
    <row r="755" spans="2:25" x14ac:dyDescent="0.2">
      <c r="B755" s="5">
        <v>6</v>
      </c>
      <c r="C755" s="5">
        <v>1</v>
      </c>
      <c r="D755" s="5">
        <v>7</v>
      </c>
      <c r="E755" s="5">
        <v>25</v>
      </c>
      <c r="F755" s="5">
        <v>2</v>
      </c>
      <c r="G755" s="31">
        <v>7</v>
      </c>
      <c r="H755" s="97">
        <v>2023</v>
      </c>
      <c r="I755" s="97">
        <v>2032</v>
      </c>
      <c r="J755" s="142">
        <v>1.0907</v>
      </c>
      <c r="K755" s="142">
        <v>1.0603</v>
      </c>
      <c r="L755" s="142">
        <v>0.41909999999999997</v>
      </c>
      <c r="M755" s="142">
        <v>0.76590000000000003</v>
      </c>
      <c r="N755" s="142">
        <v>0.89139999999999997</v>
      </c>
      <c r="O755" s="142">
        <v>1.0538000000000001</v>
      </c>
      <c r="P755" s="26">
        <v>15382.816403063658</v>
      </c>
      <c r="Q755" s="35">
        <f t="array" ref="Q755">SUM(IF(($S755&gt;=4)*($C755='TaxCred&amp;Subs'!$D$114:$D$121)*($H755='TaxCred&amp;Subs'!$C$114:$C$121)*($H755&lt;='TaxCred&amp;Subs'!$C$123),'TaxCred&amp;Subs'!$E$114:$E$121,0))</f>
        <v>2500</v>
      </c>
      <c r="R755" s="143">
        <v>0</v>
      </c>
      <c r="S755" s="5">
        <v>5</v>
      </c>
      <c r="T755" s="5" t="s">
        <v>221</v>
      </c>
      <c r="V755" s="7" t="str">
        <f t="array" ref="V755">INDEX(xlRTCLNAME,MATCH(1,(xlRTCLENDU=1)*(xlRTCLEQCL=$D755),0))</f>
        <v>DIST_FA</v>
      </c>
      <c r="W755" s="7" t="str">
        <f t="array" ref="W755">INDEX(xlRTCLNAME,MATCH(1,(xlRTCLENDU=2)*(xlRTCLEQCL=$F755),0))</f>
        <v>CENT_AIR</v>
      </c>
      <c r="X755" s="7" t="str">
        <f t="array" ref="X755">INDEX(xlRTTYNAME,MATCH(1,(xlRTTYENDU=1)*(xlRTTYEQCL=$D755)*(xlRTEQTYPE=$E755),0))</f>
        <v>DIST_FA4</v>
      </c>
      <c r="Y755" s="7" t="str">
        <f t="array" ref="Y755">INDEX(xlRTTYNAME,MATCH(1,(xlRTTYENDU=2)*(xlRTTYEQCL=$F755)*(xlRTEQTYPE=$G755),0))</f>
        <v>CENT_AIR4</v>
      </c>
    </row>
    <row r="756" spans="2:25" x14ac:dyDescent="0.2">
      <c r="B756" s="5">
        <v>6</v>
      </c>
      <c r="C756" s="5">
        <v>1</v>
      </c>
      <c r="D756" s="5">
        <v>7</v>
      </c>
      <c r="E756" s="5">
        <v>25</v>
      </c>
      <c r="F756" s="5">
        <v>2</v>
      </c>
      <c r="G756" s="31">
        <v>7</v>
      </c>
      <c r="H756" s="97">
        <v>2033</v>
      </c>
      <c r="I756" s="97">
        <v>2050</v>
      </c>
      <c r="J756" s="142">
        <v>1.0907</v>
      </c>
      <c r="K756" s="142">
        <v>1.0603</v>
      </c>
      <c r="L756" s="142">
        <v>0.41909999999999997</v>
      </c>
      <c r="M756" s="142">
        <v>0.76590000000000003</v>
      </c>
      <c r="N756" s="142">
        <v>0.89139999999999997</v>
      </c>
      <c r="O756" s="142">
        <v>1.0538000000000001</v>
      </c>
      <c r="P756" s="26">
        <v>15382.816403063658</v>
      </c>
      <c r="Q756" s="35">
        <f t="array" ref="Q756">SUM(IF(($S756&gt;=4)*($C756='TaxCred&amp;Subs'!$D$114:$D$121)*($H756='TaxCred&amp;Subs'!$C$114:$C$121)*($H756&lt;='TaxCred&amp;Subs'!$C$123),'TaxCred&amp;Subs'!$E$114:$E$121,0))</f>
        <v>0</v>
      </c>
      <c r="R756" s="143">
        <v>0</v>
      </c>
      <c r="S756" s="5">
        <v>5</v>
      </c>
      <c r="T756" s="5" t="s">
        <v>221</v>
      </c>
      <c r="V756" s="7" t="str">
        <f t="array" ref="V756">INDEX(xlRTCLNAME,MATCH(1,(xlRTCLENDU=1)*(xlRTCLEQCL=$D756),0))</f>
        <v>DIST_FA</v>
      </c>
      <c r="W756" s="7" t="str">
        <f t="array" ref="W756">INDEX(xlRTCLNAME,MATCH(1,(xlRTCLENDU=2)*(xlRTCLEQCL=$F756),0))</f>
        <v>CENT_AIR</v>
      </c>
      <c r="X756" s="7" t="str">
        <f t="array" ref="X756">INDEX(xlRTTYNAME,MATCH(1,(xlRTTYENDU=1)*(xlRTTYEQCL=$D756)*(xlRTEQTYPE=$E756),0))</f>
        <v>DIST_FA4</v>
      </c>
      <c r="Y756" s="7" t="str">
        <f t="array" ref="Y756">INDEX(xlRTTYNAME,MATCH(1,(xlRTTYENDU=2)*(xlRTTYEQCL=$F756)*(xlRTEQTYPE=$G756),0))</f>
        <v>CENT_AIR4</v>
      </c>
    </row>
    <row r="757" spans="2:25" x14ac:dyDescent="0.2">
      <c r="B757" s="5">
        <v>7</v>
      </c>
      <c r="C757" s="5">
        <v>1</v>
      </c>
      <c r="D757" s="5">
        <v>7</v>
      </c>
      <c r="E757" s="5">
        <v>25</v>
      </c>
      <c r="F757" s="5">
        <v>2</v>
      </c>
      <c r="G757" s="31">
        <v>7</v>
      </c>
      <c r="H757" s="96">
        <v>2020</v>
      </c>
      <c r="I757" s="97">
        <v>2022</v>
      </c>
      <c r="J757" s="142">
        <v>1.0885</v>
      </c>
      <c r="K757" s="142">
        <v>1.0575000000000001</v>
      </c>
      <c r="L757" s="142">
        <v>0.37530000000000002</v>
      </c>
      <c r="M757" s="142">
        <v>0.65339999999999998</v>
      </c>
      <c r="N757" s="142">
        <v>0.872</v>
      </c>
      <c r="O757" s="142">
        <v>1.0538000000000001</v>
      </c>
      <c r="P757" s="26">
        <v>15600.63095225484</v>
      </c>
      <c r="Q757" s="35">
        <f t="array" ref="Q757">SUM(IF(($S757&gt;=4)*($C757='TaxCred&amp;Subs'!$D$114:$D$121)*($H757='TaxCred&amp;Subs'!$C$114:$C$121)*($H757&lt;='TaxCred&amp;Subs'!$C$123),'TaxCred&amp;Subs'!$E$114:$E$121,0))</f>
        <v>2000</v>
      </c>
      <c r="R757" s="143">
        <v>0</v>
      </c>
      <c r="S757" s="5">
        <v>5</v>
      </c>
      <c r="T757" s="5" t="s">
        <v>221</v>
      </c>
      <c r="V757" s="7" t="str">
        <f t="array" ref="V757">INDEX(xlRTCLNAME,MATCH(1,(xlRTCLENDU=1)*(xlRTCLEQCL=$D757),0))</f>
        <v>DIST_FA</v>
      </c>
      <c r="W757" s="7" t="str">
        <f t="array" ref="W757">INDEX(xlRTCLNAME,MATCH(1,(xlRTCLENDU=2)*(xlRTCLEQCL=$F757),0))</f>
        <v>CENT_AIR</v>
      </c>
      <c r="X757" s="7" t="str">
        <f t="array" ref="X757">INDEX(xlRTTYNAME,MATCH(1,(xlRTTYENDU=1)*(xlRTTYEQCL=$D757)*(xlRTEQTYPE=$E757),0))</f>
        <v>DIST_FA4</v>
      </c>
      <c r="Y757" s="7" t="str">
        <f t="array" ref="Y757">INDEX(xlRTTYNAME,MATCH(1,(xlRTTYENDU=2)*(xlRTTYEQCL=$F757)*(xlRTEQTYPE=$G757),0))</f>
        <v>CENT_AIR4</v>
      </c>
    </row>
    <row r="758" spans="2:25" x14ac:dyDescent="0.2">
      <c r="B758" s="5">
        <v>7</v>
      </c>
      <c r="C758" s="5">
        <v>1</v>
      </c>
      <c r="D758" s="5">
        <v>7</v>
      </c>
      <c r="E758" s="5">
        <v>25</v>
      </c>
      <c r="F758" s="5">
        <v>2</v>
      </c>
      <c r="G758" s="31">
        <v>7</v>
      </c>
      <c r="H758" s="97">
        <v>2023</v>
      </c>
      <c r="I758" s="97">
        <v>2032</v>
      </c>
      <c r="J758" s="142">
        <v>1.0885</v>
      </c>
      <c r="K758" s="142">
        <v>1.0575000000000001</v>
      </c>
      <c r="L758" s="142">
        <v>0.37530000000000002</v>
      </c>
      <c r="M758" s="142">
        <v>0.65339999999999998</v>
      </c>
      <c r="N758" s="142">
        <v>0.872</v>
      </c>
      <c r="O758" s="142">
        <v>1.0538000000000001</v>
      </c>
      <c r="P758" s="26">
        <v>15600.63095225484</v>
      </c>
      <c r="Q758" s="35">
        <f t="array" ref="Q758">SUM(IF(($S758&gt;=4)*($C758='TaxCred&amp;Subs'!$D$114:$D$121)*($H758='TaxCred&amp;Subs'!$C$114:$C$121)*($H758&lt;='TaxCred&amp;Subs'!$C$123),'TaxCred&amp;Subs'!$E$114:$E$121,0))</f>
        <v>2500</v>
      </c>
      <c r="R758" s="143">
        <v>0</v>
      </c>
      <c r="S758" s="5">
        <v>5</v>
      </c>
      <c r="T758" s="5" t="s">
        <v>221</v>
      </c>
      <c r="V758" s="7" t="str">
        <f t="array" ref="V758">INDEX(xlRTCLNAME,MATCH(1,(xlRTCLENDU=1)*(xlRTCLEQCL=$D758),0))</f>
        <v>DIST_FA</v>
      </c>
      <c r="W758" s="7" t="str">
        <f t="array" ref="W758">INDEX(xlRTCLNAME,MATCH(1,(xlRTCLENDU=2)*(xlRTCLEQCL=$F758),0))</f>
        <v>CENT_AIR</v>
      </c>
      <c r="X758" s="7" t="str">
        <f t="array" ref="X758">INDEX(xlRTTYNAME,MATCH(1,(xlRTTYENDU=1)*(xlRTTYEQCL=$D758)*(xlRTEQTYPE=$E758),0))</f>
        <v>DIST_FA4</v>
      </c>
      <c r="Y758" s="7" t="str">
        <f t="array" ref="Y758">INDEX(xlRTTYNAME,MATCH(1,(xlRTTYENDU=2)*(xlRTTYEQCL=$F758)*(xlRTEQTYPE=$G758),0))</f>
        <v>CENT_AIR4</v>
      </c>
    </row>
    <row r="759" spans="2:25" x14ac:dyDescent="0.2">
      <c r="B759" s="5">
        <v>7</v>
      </c>
      <c r="C759" s="5">
        <v>1</v>
      </c>
      <c r="D759" s="5">
        <v>7</v>
      </c>
      <c r="E759" s="5">
        <v>25</v>
      </c>
      <c r="F759" s="5">
        <v>2</v>
      </c>
      <c r="G759" s="31">
        <v>7</v>
      </c>
      <c r="H759" s="97">
        <v>2033</v>
      </c>
      <c r="I759" s="97">
        <v>2050</v>
      </c>
      <c r="J759" s="142">
        <v>1.0885</v>
      </c>
      <c r="K759" s="142">
        <v>1.0575000000000001</v>
      </c>
      <c r="L759" s="142">
        <v>0.37530000000000002</v>
      </c>
      <c r="M759" s="142">
        <v>0.65339999999999998</v>
      </c>
      <c r="N759" s="142">
        <v>0.872</v>
      </c>
      <c r="O759" s="142">
        <v>1.0538000000000001</v>
      </c>
      <c r="P759" s="26">
        <v>15600.63095225484</v>
      </c>
      <c r="Q759" s="35">
        <f t="array" ref="Q759">SUM(IF(($S759&gt;=4)*($C759='TaxCred&amp;Subs'!$D$114:$D$121)*($H759='TaxCred&amp;Subs'!$C$114:$C$121)*($H759&lt;='TaxCred&amp;Subs'!$C$123),'TaxCred&amp;Subs'!$E$114:$E$121,0))</f>
        <v>0</v>
      </c>
      <c r="R759" s="143">
        <v>0</v>
      </c>
      <c r="S759" s="5">
        <v>5</v>
      </c>
      <c r="T759" s="5" t="s">
        <v>221</v>
      </c>
      <c r="V759" s="7" t="str">
        <f t="array" ref="V759">INDEX(xlRTCLNAME,MATCH(1,(xlRTCLENDU=1)*(xlRTCLEQCL=$D759),0))</f>
        <v>DIST_FA</v>
      </c>
      <c r="W759" s="7" t="str">
        <f t="array" ref="W759">INDEX(xlRTCLNAME,MATCH(1,(xlRTCLENDU=2)*(xlRTCLEQCL=$F759),0))</f>
        <v>CENT_AIR</v>
      </c>
      <c r="X759" s="7" t="str">
        <f t="array" ref="X759">INDEX(xlRTTYNAME,MATCH(1,(xlRTTYENDU=1)*(xlRTTYEQCL=$D759)*(xlRTEQTYPE=$E759),0))</f>
        <v>DIST_FA4</v>
      </c>
      <c r="Y759" s="7" t="str">
        <f t="array" ref="Y759">INDEX(xlRTTYNAME,MATCH(1,(xlRTTYENDU=2)*(xlRTTYEQCL=$F759)*(xlRTEQTYPE=$G759),0))</f>
        <v>CENT_AIR4</v>
      </c>
    </row>
    <row r="760" spans="2:25" x14ac:dyDescent="0.2">
      <c r="B760" s="5">
        <v>8</v>
      </c>
      <c r="C760" s="5">
        <v>1</v>
      </c>
      <c r="D760" s="5">
        <v>7</v>
      </c>
      <c r="E760" s="5">
        <v>25</v>
      </c>
      <c r="F760" s="5">
        <v>2</v>
      </c>
      <c r="G760" s="31">
        <v>7</v>
      </c>
      <c r="H760" s="96">
        <v>2020</v>
      </c>
      <c r="I760" s="97">
        <v>2022</v>
      </c>
      <c r="J760" s="142">
        <v>1.0838000000000001</v>
      </c>
      <c r="K760" s="142">
        <v>1.0832999999999999</v>
      </c>
      <c r="L760" s="142">
        <v>0.43130000000000002</v>
      </c>
      <c r="M760" s="142">
        <v>0.78110000000000002</v>
      </c>
      <c r="N760" s="142">
        <v>0.86950000000000005</v>
      </c>
      <c r="O760" s="142">
        <v>1.0538000000000001</v>
      </c>
      <c r="P760" s="26">
        <v>16260.797271099718</v>
      </c>
      <c r="Q760" s="35">
        <f t="array" ref="Q760">SUM(IF(($S760&gt;=4)*($C760='TaxCred&amp;Subs'!$D$114:$D$121)*($H760='TaxCred&amp;Subs'!$C$114:$C$121)*($H760&lt;='TaxCred&amp;Subs'!$C$123),'TaxCred&amp;Subs'!$E$114:$E$121,0))</f>
        <v>2000</v>
      </c>
      <c r="R760" s="143">
        <v>0</v>
      </c>
      <c r="S760" s="5">
        <v>5</v>
      </c>
      <c r="T760" s="5" t="s">
        <v>221</v>
      </c>
      <c r="V760" s="7" t="str">
        <f t="array" ref="V760">INDEX(xlRTCLNAME,MATCH(1,(xlRTCLENDU=1)*(xlRTCLEQCL=$D760),0))</f>
        <v>DIST_FA</v>
      </c>
      <c r="W760" s="7" t="str">
        <f t="array" ref="W760">INDEX(xlRTCLNAME,MATCH(1,(xlRTCLENDU=2)*(xlRTCLEQCL=$F760),0))</f>
        <v>CENT_AIR</v>
      </c>
      <c r="X760" s="7" t="str">
        <f t="array" ref="X760">INDEX(xlRTTYNAME,MATCH(1,(xlRTTYENDU=1)*(xlRTTYEQCL=$D760)*(xlRTEQTYPE=$E760),0))</f>
        <v>DIST_FA4</v>
      </c>
      <c r="Y760" s="7" t="str">
        <f t="array" ref="Y760">INDEX(xlRTTYNAME,MATCH(1,(xlRTTYENDU=2)*(xlRTTYEQCL=$F760)*(xlRTEQTYPE=$G760),0))</f>
        <v>CENT_AIR4</v>
      </c>
    </row>
    <row r="761" spans="2:25" x14ac:dyDescent="0.2">
      <c r="B761" s="5">
        <v>8</v>
      </c>
      <c r="C761" s="5">
        <v>1</v>
      </c>
      <c r="D761" s="5">
        <v>7</v>
      </c>
      <c r="E761" s="5">
        <v>25</v>
      </c>
      <c r="F761" s="5">
        <v>2</v>
      </c>
      <c r="G761" s="31">
        <v>7</v>
      </c>
      <c r="H761" s="97">
        <v>2023</v>
      </c>
      <c r="I761" s="97">
        <v>2032</v>
      </c>
      <c r="J761" s="142">
        <v>1.0838000000000001</v>
      </c>
      <c r="K761" s="142">
        <v>1.0832999999999999</v>
      </c>
      <c r="L761" s="142">
        <v>0.43130000000000002</v>
      </c>
      <c r="M761" s="142">
        <v>0.78110000000000002</v>
      </c>
      <c r="N761" s="142">
        <v>0.86950000000000005</v>
      </c>
      <c r="O761" s="142">
        <v>1.0538000000000001</v>
      </c>
      <c r="P761" s="26">
        <v>16260.797271099718</v>
      </c>
      <c r="Q761" s="35">
        <f t="array" ref="Q761">SUM(IF(($S761&gt;=4)*($C761='TaxCred&amp;Subs'!$D$114:$D$121)*($H761='TaxCred&amp;Subs'!$C$114:$C$121)*($H761&lt;='TaxCred&amp;Subs'!$C$123),'TaxCred&amp;Subs'!$E$114:$E$121,0))</f>
        <v>2500</v>
      </c>
      <c r="R761" s="143">
        <v>0</v>
      </c>
      <c r="S761" s="5">
        <v>5</v>
      </c>
      <c r="T761" s="5" t="s">
        <v>221</v>
      </c>
      <c r="V761" s="7" t="str">
        <f t="array" ref="V761">INDEX(xlRTCLNAME,MATCH(1,(xlRTCLENDU=1)*(xlRTCLEQCL=$D761),0))</f>
        <v>DIST_FA</v>
      </c>
      <c r="W761" s="7" t="str">
        <f t="array" ref="W761">INDEX(xlRTCLNAME,MATCH(1,(xlRTCLENDU=2)*(xlRTCLEQCL=$F761),0))</f>
        <v>CENT_AIR</v>
      </c>
      <c r="X761" s="7" t="str">
        <f t="array" ref="X761">INDEX(xlRTTYNAME,MATCH(1,(xlRTTYENDU=1)*(xlRTTYEQCL=$D761)*(xlRTEQTYPE=$E761),0))</f>
        <v>DIST_FA4</v>
      </c>
      <c r="Y761" s="7" t="str">
        <f t="array" ref="Y761">INDEX(xlRTTYNAME,MATCH(1,(xlRTTYENDU=2)*(xlRTTYEQCL=$F761)*(xlRTEQTYPE=$G761),0))</f>
        <v>CENT_AIR4</v>
      </c>
    </row>
    <row r="762" spans="2:25" x14ac:dyDescent="0.2">
      <c r="B762" s="5">
        <v>8</v>
      </c>
      <c r="C762" s="5">
        <v>1</v>
      </c>
      <c r="D762" s="5">
        <v>7</v>
      </c>
      <c r="E762" s="5">
        <v>25</v>
      </c>
      <c r="F762" s="5">
        <v>2</v>
      </c>
      <c r="G762" s="31">
        <v>7</v>
      </c>
      <c r="H762" s="97">
        <v>2033</v>
      </c>
      <c r="I762" s="97">
        <v>2050</v>
      </c>
      <c r="J762" s="142">
        <v>1.0838000000000001</v>
      </c>
      <c r="K762" s="142">
        <v>1.0832999999999999</v>
      </c>
      <c r="L762" s="142">
        <v>0.43130000000000002</v>
      </c>
      <c r="M762" s="142">
        <v>0.78110000000000002</v>
      </c>
      <c r="N762" s="142">
        <v>0.86950000000000005</v>
      </c>
      <c r="O762" s="142">
        <v>1.0538000000000001</v>
      </c>
      <c r="P762" s="26">
        <v>16260.797271099718</v>
      </c>
      <c r="Q762" s="35">
        <f t="array" ref="Q762">SUM(IF(($S762&gt;=4)*($C762='TaxCred&amp;Subs'!$D$114:$D$121)*($H762='TaxCred&amp;Subs'!$C$114:$C$121)*($H762&lt;='TaxCred&amp;Subs'!$C$123),'TaxCred&amp;Subs'!$E$114:$E$121,0))</f>
        <v>0</v>
      </c>
      <c r="R762" s="143">
        <v>0</v>
      </c>
      <c r="S762" s="5">
        <v>5</v>
      </c>
      <c r="T762" s="5" t="s">
        <v>221</v>
      </c>
      <c r="V762" s="7" t="str">
        <f t="array" ref="V762">INDEX(xlRTCLNAME,MATCH(1,(xlRTCLENDU=1)*(xlRTCLEQCL=$D762),0))</f>
        <v>DIST_FA</v>
      </c>
      <c r="W762" s="7" t="str">
        <f t="array" ref="W762">INDEX(xlRTCLNAME,MATCH(1,(xlRTCLENDU=2)*(xlRTCLEQCL=$F762),0))</f>
        <v>CENT_AIR</v>
      </c>
      <c r="X762" s="7" t="str">
        <f t="array" ref="X762">INDEX(xlRTTYNAME,MATCH(1,(xlRTTYENDU=1)*(xlRTTYEQCL=$D762)*(xlRTEQTYPE=$E762),0))</f>
        <v>DIST_FA4</v>
      </c>
      <c r="Y762" s="7" t="str">
        <f t="array" ref="Y762">INDEX(xlRTTYNAME,MATCH(1,(xlRTTYENDU=2)*(xlRTTYEQCL=$F762)*(xlRTEQTYPE=$G762),0))</f>
        <v>CENT_AIR4</v>
      </c>
    </row>
    <row r="763" spans="2:25" x14ac:dyDescent="0.2">
      <c r="B763" s="5">
        <v>9</v>
      </c>
      <c r="C763" s="5">
        <v>1</v>
      </c>
      <c r="D763" s="5">
        <v>7</v>
      </c>
      <c r="E763" s="5">
        <v>25</v>
      </c>
      <c r="F763" s="5">
        <v>2</v>
      </c>
      <c r="G763" s="31">
        <v>7</v>
      </c>
      <c r="H763" s="96">
        <v>2020</v>
      </c>
      <c r="I763" s="97">
        <v>2022</v>
      </c>
      <c r="J763" s="142">
        <v>1.0790999999999999</v>
      </c>
      <c r="K763" s="142">
        <v>1.0722</v>
      </c>
      <c r="L763" s="142">
        <v>0.39839999999999998</v>
      </c>
      <c r="M763" s="142">
        <v>0.76029999999999998</v>
      </c>
      <c r="N763" s="142">
        <v>1.0336000000000001</v>
      </c>
      <c r="O763" s="142">
        <v>1.0538000000000001</v>
      </c>
      <c r="P763" s="26">
        <v>19815.745839380488</v>
      </c>
      <c r="Q763" s="35">
        <f t="array" ref="Q763">SUM(IF(($S763&gt;=4)*($C763='TaxCred&amp;Subs'!$D$114:$D$121)*($H763='TaxCred&amp;Subs'!$C$114:$C$121)*($H763&lt;='TaxCred&amp;Subs'!$C$123),'TaxCred&amp;Subs'!$E$114:$E$121,0))</f>
        <v>2000</v>
      </c>
      <c r="R763" s="143">
        <v>0</v>
      </c>
      <c r="S763" s="5">
        <v>5</v>
      </c>
      <c r="T763" s="5" t="s">
        <v>221</v>
      </c>
      <c r="V763" s="7" t="str">
        <f t="array" ref="V763">INDEX(xlRTCLNAME,MATCH(1,(xlRTCLENDU=1)*(xlRTCLEQCL=$D763),0))</f>
        <v>DIST_FA</v>
      </c>
      <c r="W763" s="7" t="str">
        <f t="array" ref="W763">INDEX(xlRTCLNAME,MATCH(1,(xlRTCLENDU=2)*(xlRTCLEQCL=$F763),0))</f>
        <v>CENT_AIR</v>
      </c>
      <c r="X763" s="7" t="str">
        <f t="array" ref="X763">INDEX(xlRTTYNAME,MATCH(1,(xlRTTYENDU=1)*(xlRTTYEQCL=$D763)*(xlRTEQTYPE=$E763),0))</f>
        <v>DIST_FA4</v>
      </c>
      <c r="Y763" s="7" t="str">
        <f t="array" ref="Y763">INDEX(xlRTTYNAME,MATCH(1,(xlRTTYENDU=2)*(xlRTTYEQCL=$F763)*(xlRTEQTYPE=$G763),0))</f>
        <v>CENT_AIR4</v>
      </c>
    </row>
    <row r="764" spans="2:25" x14ac:dyDescent="0.2">
      <c r="B764" s="5">
        <v>9</v>
      </c>
      <c r="C764" s="5">
        <v>1</v>
      </c>
      <c r="D764" s="5">
        <v>7</v>
      </c>
      <c r="E764" s="5">
        <v>25</v>
      </c>
      <c r="F764" s="5">
        <v>2</v>
      </c>
      <c r="G764" s="31">
        <v>7</v>
      </c>
      <c r="H764" s="97">
        <v>2023</v>
      </c>
      <c r="I764" s="97">
        <v>2032</v>
      </c>
      <c r="J764" s="142">
        <v>1.0790999999999999</v>
      </c>
      <c r="K764" s="142">
        <v>1.0722</v>
      </c>
      <c r="L764" s="142">
        <v>0.39839999999999998</v>
      </c>
      <c r="M764" s="142">
        <v>0.76029999999999998</v>
      </c>
      <c r="N764" s="142">
        <v>1.0336000000000001</v>
      </c>
      <c r="O764" s="142">
        <v>1.0538000000000001</v>
      </c>
      <c r="P764" s="26">
        <v>19815.745839380488</v>
      </c>
      <c r="Q764" s="35">
        <f t="array" ref="Q764">SUM(IF(($S764&gt;=4)*($C764='TaxCred&amp;Subs'!$D$114:$D$121)*($H764='TaxCred&amp;Subs'!$C$114:$C$121)*($H764&lt;='TaxCred&amp;Subs'!$C$123),'TaxCred&amp;Subs'!$E$114:$E$121,0))</f>
        <v>2500</v>
      </c>
      <c r="R764" s="143">
        <v>0</v>
      </c>
      <c r="S764" s="5">
        <v>5</v>
      </c>
      <c r="T764" s="5" t="s">
        <v>221</v>
      </c>
      <c r="V764" s="7" t="str">
        <f t="array" ref="V764">INDEX(xlRTCLNAME,MATCH(1,(xlRTCLENDU=1)*(xlRTCLEQCL=$D764),0))</f>
        <v>DIST_FA</v>
      </c>
      <c r="W764" s="7" t="str">
        <f t="array" ref="W764">INDEX(xlRTCLNAME,MATCH(1,(xlRTCLENDU=2)*(xlRTCLEQCL=$F764),0))</f>
        <v>CENT_AIR</v>
      </c>
      <c r="X764" s="7" t="str">
        <f t="array" ref="X764">INDEX(xlRTTYNAME,MATCH(1,(xlRTTYENDU=1)*(xlRTTYEQCL=$D764)*(xlRTEQTYPE=$E764),0))</f>
        <v>DIST_FA4</v>
      </c>
      <c r="Y764" s="7" t="str">
        <f t="array" ref="Y764">INDEX(xlRTTYNAME,MATCH(1,(xlRTTYENDU=2)*(xlRTTYEQCL=$F764)*(xlRTEQTYPE=$G764),0))</f>
        <v>CENT_AIR4</v>
      </c>
    </row>
    <row r="765" spans="2:25" x14ac:dyDescent="0.2">
      <c r="B765" s="5">
        <v>9</v>
      </c>
      <c r="C765" s="5">
        <v>1</v>
      </c>
      <c r="D765" s="5">
        <v>7</v>
      </c>
      <c r="E765" s="5">
        <v>25</v>
      </c>
      <c r="F765" s="5">
        <v>2</v>
      </c>
      <c r="G765" s="31">
        <v>7</v>
      </c>
      <c r="H765" s="97">
        <v>2033</v>
      </c>
      <c r="I765" s="97">
        <v>2050</v>
      </c>
      <c r="J765" s="142">
        <v>1.0790999999999999</v>
      </c>
      <c r="K765" s="142">
        <v>1.0722</v>
      </c>
      <c r="L765" s="142">
        <v>0.39839999999999998</v>
      </c>
      <c r="M765" s="142">
        <v>0.76029999999999998</v>
      </c>
      <c r="N765" s="142">
        <v>1.0336000000000001</v>
      </c>
      <c r="O765" s="142">
        <v>1.0538000000000001</v>
      </c>
      <c r="P765" s="26">
        <v>19815.745839380488</v>
      </c>
      <c r="Q765" s="35">
        <f t="array" ref="Q765">SUM(IF(($S765&gt;=4)*($C765='TaxCred&amp;Subs'!$D$114:$D$121)*($H765='TaxCred&amp;Subs'!$C$114:$C$121)*($H765&lt;='TaxCred&amp;Subs'!$C$123),'TaxCred&amp;Subs'!$E$114:$E$121,0))</f>
        <v>0</v>
      </c>
      <c r="R765" s="143">
        <v>0</v>
      </c>
      <c r="S765" s="5">
        <v>5</v>
      </c>
      <c r="T765" s="5" t="s">
        <v>221</v>
      </c>
      <c r="V765" s="7" t="str">
        <f t="array" ref="V765">INDEX(xlRTCLNAME,MATCH(1,(xlRTCLENDU=1)*(xlRTCLEQCL=$D765),0))</f>
        <v>DIST_FA</v>
      </c>
      <c r="W765" s="7" t="str">
        <f t="array" ref="W765">INDEX(xlRTCLNAME,MATCH(1,(xlRTCLENDU=2)*(xlRTCLEQCL=$F765),0))</f>
        <v>CENT_AIR</v>
      </c>
      <c r="X765" s="7" t="str">
        <f t="array" ref="X765">INDEX(xlRTTYNAME,MATCH(1,(xlRTTYENDU=1)*(xlRTTYEQCL=$D765)*(xlRTEQTYPE=$E765),0))</f>
        <v>DIST_FA4</v>
      </c>
      <c r="Y765" s="7" t="str">
        <f t="array" ref="Y765">INDEX(xlRTTYNAME,MATCH(1,(xlRTTYENDU=2)*(xlRTTYEQCL=$F765)*(xlRTEQTYPE=$G765),0))</f>
        <v>CENT_AIR4</v>
      </c>
    </row>
    <row r="766" spans="2:25" x14ac:dyDescent="0.2">
      <c r="B766" s="5">
        <v>1</v>
      </c>
      <c r="C766" s="5">
        <v>1</v>
      </c>
      <c r="D766" s="5">
        <v>8</v>
      </c>
      <c r="E766" s="31">
        <v>28</v>
      </c>
      <c r="F766" s="5">
        <v>2</v>
      </c>
      <c r="G766" s="31">
        <v>7</v>
      </c>
      <c r="H766" s="96">
        <v>2020</v>
      </c>
      <c r="I766" s="97">
        <v>2022</v>
      </c>
      <c r="J766" s="142">
        <v>1.0592999999999999</v>
      </c>
      <c r="K766" s="142">
        <v>1.0889</v>
      </c>
      <c r="L766" s="142">
        <v>0.44009999999999999</v>
      </c>
      <c r="M766" s="142">
        <v>0.96350000000000002</v>
      </c>
      <c r="N766" s="142">
        <v>0.8095</v>
      </c>
      <c r="O766" s="142">
        <v>1.0538000000000001</v>
      </c>
      <c r="P766" s="26">
        <v>19744.485523904365</v>
      </c>
      <c r="Q766" s="35">
        <f t="array" ref="Q766">SUM(IF(($S766&gt;=4)*($C766='TaxCred&amp;Subs'!$D$114:$D$121)*($H766='TaxCred&amp;Subs'!$C$114:$C$121)*($H766&lt;='TaxCred&amp;Subs'!$C$123),'TaxCred&amp;Subs'!$E$114:$E$121,0))</f>
        <v>2000</v>
      </c>
      <c r="R766" s="143">
        <v>0</v>
      </c>
      <c r="S766" s="5">
        <v>5</v>
      </c>
      <c r="T766" s="5" t="s">
        <v>221</v>
      </c>
      <c r="V766" s="7" t="str">
        <f t="array" ref="V766">INDEX(xlRTCLNAME,MATCH(1,(xlRTCLENDU=1)*(xlRTCLEQCL=$D766),0))</f>
        <v>DIST_RAD</v>
      </c>
      <c r="W766" s="7" t="str">
        <f t="array" ref="W766">INDEX(xlRTCLNAME,MATCH(1,(xlRTCLENDU=2)*(xlRTCLEQCL=$F766),0))</f>
        <v>CENT_AIR</v>
      </c>
      <c r="X766" s="7" t="str">
        <f t="array" ref="X766">INDEX(xlRTTYNAME,MATCH(1,(xlRTTYENDU=1)*(xlRTTYEQCL=$D766)*(xlRTEQTYPE=$E766),0))</f>
        <v>DIST_RAD4</v>
      </c>
      <c r="Y766" s="7" t="str">
        <f t="array" ref="Y766">INDEX(xlRTTYNAME,MATCH(1,(xlRTTYENDU=2)*(xlRTTYEQCL=$F766)*(xlRTEQTYPE=$G766),0))</f>
        <v>CENT_AIR4</v>
      </c>
    </row>
    <row r="767" spans="2:25" x14ac:dyDescent="0.2">
      <c r="B767" s="5">
        <v>1</v>
      </c>
      <c r="C767" s="5">
        <v>1</v>
      </c>
      <c r="D767" s="5">
        <v>8</v>
      </c>
      <c r="E767" s="31">
        <v>28</v>
      </c>
      <c r="F767" s="5">
        <v>2</v>
      </c>
      <c r="G767" s="31">
        <v>7</v>
      </c>
      <c r="H767" s="97">
        <v>2023</v>
      </c>
      <c r="I767" s="97">
        <v>2032</v>
      </c>
      <c r="J767" s="142">
        <v>1.0592999999999999</v>
      </c>
      <c r="K767" s="142">
        <v>1.0889</v>
      </c>
      <c r="L767" s="142">
        <v>0.44009999999999999</v>
      </c>
      <c r="M767" s="142">
        <v>0.96350000000000002</v>
      </c>
      <c r="N767" s="142">
        <v>0.8095</v>
      </c>
      <c r="O767" s="142">
        <v>1.0538000000000001</v>
      </c>
      <c r="P767" s="26">
        <v>19744.485523904365</v>
      </c>
      <c r="Q767" s="35">
        <f t="array" ref="Q767">SUM(IF(($S767&gt;=4)*($C767='TaxCred&amp;Subs'!$D$114:$D$121)*($H767='TaxCred&amp;Subs'!$C$114:$C$121)*($H767&lt;='TaxCred&amp;Subs'!$C$123),'TaxCred&amp;Subs'!$E$114:$E$121,0))</f>
        <v>2500</v>
      </c>
      <c r="R767" s="143">
        <v>0</v>
      </c>
      <c r="S767" s="5">
        <v>5</v>
      </c>
      <c r="T767" s="5" t="s">
        <v>221</v>
      </c>
      <c r="V767" s="7" t="str">
        <f t="array" ref="V767">INDEX(xlRTCLNAME,MATCH(1,(xlRTCLENDU=1)*(xlRTCLEQCL=$D767),0))</f>
        <v>DIST_RAD</v>
      </c>
      <c r="W767" s="7" t="str">
        <f t="array" ref="W767">INDEX(xlRTCLNAME,MATCH(1,(xlRTCLENDU=2)*(xlRTCLEQCL=$F767),0))</f>
        <v>CENT_AIR</v>
      </c>
      <c r="X767" s="7" t="str">
        <f t="array" ref="X767">INDEX(xlRTTYNAME,MATCH(1,(xlRTTYENDU=1)*(xlRTTYEQCL=$D767)*(xlRTEQTYPE=$E767),0))</f>
        <v>DIST_RAD4</v>
      </c>
      <c r="Y767" s="7" t="str">
        <f t="array" ref="Y767">INDEX(xlRTTYNAME,MATCH(1,(xlRTTYENDU=2)*(xlRTTYEQCL=$F767)*(xlRTEQTYPE=$G767),0))</f>
        <v>CENT_AIR4</v>
      </c>
    </row>
    <row r="768" spans="2:25" x14ac:dyDescent="0.2">
      <c r="B768" s="5">
        <v>1</v>
      </c>
      <c r="C768" s="5">
        <v>1</v>
      </c>
      <c r="D768" s="5">
        <v>8</v>
      </c>
      <c r="E768" s="31">
        <v>28</v>
      </c>
      <c r="F768" s="5">
        <v>2</v>
      </c>
      <c r="G768" s="31">
        <v>7</v>
      </c>
      <c r="H768" s="97">
        <v>2033</v>
      </c>
      <c r="I768" s="97">
        <v>2050</v>
      </c>
      <c r="J768" s="142">
        <v>1.0592999999999999</v>
      </c>
      <c r="K768" s="142">
        <v>1.0889</v>
      </c>
      <c r="L768" s="142">
        <v>0.44009999999999999</v>
      </c>
      <c r="M768" s="142">
        <v>0.96350000000000002</v>
      </c>
      <c r="N768" s="142">
        <v>0.8095</v>
      </c>
      <c r="O768" s="142">
        <v>1.0538000000000001</v>
      </c>
      <c r="P768" s="26">
        <v>19744.485523904365</v>
      </c>
      <c r="Q768" s="35">
        <f t="array" ref="Q768">SUM(IF(($S768&gt;=4)*($C768='TaxCred&amp;Subs'!$D$114:$D$121)*($H768='TaxCred&amp;Subs'!$C$114:$C$121)*($H768&lt;='TaxCred&amp;Subs'!$C$123),'TaxCred&amp;Subs'!$E$114:$E$121,0))</f>
        <v>0</v>
      </c>
      <c r="R768" s="143">
        <v>0</v>
      </c>
      <c r="S768" s="5">
        <v>5</v>
      </c>
      <c r="T768" s="5" t="s">
        <v>221</v>
      </c>
      <c r="V768" s="7" t="str">
        <f t="array" ref="V768">INDEX(xlRTCLNAME,MATCH(1,(xlRTCLENDU=1)*(xlRTCLEQCL=$D768),0))</f>
        <v>DIST_RAD</v>
      </c>
      <c r="W768" s="7" t="str">
        <f t="array" ref="W768">INDEX(xlRTCLNAME,MATCH(1,(xlRTCLENDU=2)*(xlRTCLEQCL=$F768),0))</f>
        <v>CENT_AIR</v>
      </c>
      <c r="X768" s="7" t="str">
        <f t="array" ref="X768">INDEX(xlRTTYNAME,MATCH(1,(xlRTTYENDU=1)*(xlRTTYEQCL=$D768)*(xlRTEQTYPE=$E768),0))</f>
        <v>DIST_RAD4</v>
      </c>
      <c r="Y768" s="7" t="str">
        <f t="array" ref="Y768">INDEX(xlRTTYNAME,MATCH(1,(xlRTTYENDU=2)*(xlRTTYEQCL=$F768)*(xlRTEQTYPE=$G768),0))</f>
        <v>CENT_AIR4</v>
      </c>
    </row>
    <row r="769" spans="2:25" x14ac:dyDescent="0.2">
      <c r="B769" s="5">
        <v>2</v>
      </c>
      <c r="C769" s="5">
        <v>1</v>
      </c>
      <c r="D769" s="5">
        <v>8</v>
      </c>
      <c r="E769" s="31">
        <v>28</v>
      </c>
      <c r="F769" s="5">
        <v>2</v>
      </c>
      <c r="G769" s="31">
        <v>7</v>
      </c>
      <c r="H769" s="96">
        <v>2020</v>
      </c>
      <c r="I769" s="97">
        <v>2022</v>
      </c>
      <c r="J769" s="142">
        <v>1.0717000000000001</v>
      </c>
      <c r="K769" s="142">
        <v>1.0895999999999999</v>
      </c>
      <c r="L769" s="142">
        <v>0.4546</v>
      </c>
      <c r="M769" s="142">
        <v>0.81589999999999996</v>
      </c>
      <c r="N769" s="142">
        <v>0.92630000000000001</v>
      </c>
      <c r="O769" s="142">
        <v>1.0538000000000001</v>
      </c>
      <c r="P769" s="26">
        <v>22424.142292657609</v>
      </c>
      <c r="Q769" s="35">
        <f t="array" ref="Q769">SUM(IF(($S769&gt;=4)*($C769='TaxCred&amp;Subs'!$D$114:$D$121)*($H769='TaxCred&amp;Subs'!$C$114:$C$121)*($H769&lt;='TaxCred&amp;Subs'!$C$123),'TaxCred&amp;Subs'!$E$114:$E$121,0))</f>
        <v>2000</v>
      </c>
      <c r="R769" s="143">
        <v>0</v>
      </c>
      <c r="S769" s="5">
        <v>5</v>
      </c>
      <c r="T769" s="5" t="s">
        <v>221</v>
      </c>
      <c r="V769" s="7" t="str">
        <f t="array" ref="V769">INDEX(xlRTCLNAME,MATCH(1,(xlRTCLENDU=1)*(xlRTCLEQCL=$D769),0))</f>
        <v>DIST_RAD</v>
      </c>
      <c r="W769" s="7" t="str">
        <f t="array" ref="W769">INDEX(xlRTCLNAME,MATCH(1,(xlRTCLENDU=2)*(xlRTCLEQCL=$F769),0))</f>
        <v>CENT_AIR</v>
      </c>
      <c r="X769" s="7" t="str">
        <f t="array" ref="X769">INDEX(xlRTTYNAME,MATCH(1,(xlRTTYENDU=1)*(xlRTTYEQCL=$D769)*(xlRTEQTYPE=$E769),0))</f>
        <v>DIST_RAD4</v>
      </c>
      <c r="Y769" s="7" t="str">
        <f t="array" ref="Y769">INDEX(xlRTTYNAME,MATCH(1,(xlRTTYENDU=2)*(xlRTTYEQCL=$F769)*(xlRTEQTYPE=$G769),0))</f>
        <v>CENT_AIR4</v>
      </c>
    </row>
    <row r="770" spans="2:25" x14ac:dyDescent="0.2">
      <c r="B770" s="5">
        <v>2</v>
      </c>
      <c r="C770" s="5">
        <v>1</v>
      </c>
      <c r="D770" s="5">
        <v>8</v>
      </c>
      <c r="E770" s="31">
        <v>28</v>
      </c>
      <c r="F770" s="5">
        <v>2</v>
      </c>
      <c r="G770" s="31">
        <v>7</v>
      </c>
      <c r="H770" s="97">
        <v>2023</v>
      </c>
      <c r="I770" s="97">
        <v>2032</v>
      </c>
      <c r="J770" s="142">
        <v>1.0717000000000001</v>
      </c>
      <c r="K770" s="142">
        <v>1.0895999999999999</v>
      </c>
      <c r="L770" s="142">
        <v>0.4546</v>
      </c>
      <c r="M770" s="142">
        <v>0.81589999999999996</v>
      </c>
      <c r="N770" s="142">
        <v>0.92630000000000001</v>
      </c>
      <c r="O770" s="142">
        <v>1.0538000000000001</v>
      </c>
      <c r="P770" s="26">
        <v>22424.142292657609</v>
      </c>
      <c r="Q770" s="35">
        <f t="array" ref="Q770">SUM(IF(($S770&gt;=4)*($C770='TaxCred&amp;Subs'!$D$114:$D$121)*($H770='TaxCred&amp;Subs'!$C$114:$C$121)*($H770&lt;='TaxCred&amp;Subs'!$C$123),'TaxCred&amp;Subs'!$E$114:$E$121,0))</f>
        <v>2500</v>
      </c>
      <c r="R770" s="143">
        <v>0</v>
      </c>
      <c r="S770" s="5">
        <v>5</v>
      </c>
      <c r="T770" s="5" t="s">
        <v>221</v>
      </c>
      <c r="V770" s="7" t="str">
        <f t="array" ref="V770">INDEX(xlRTCLNAME,MATCH(1,(xlRTCLENDU=1)*(xlRTCLEQCL=$D770),0))</f>
        <v>DIST_RAD</v>
      </c>
      <c r="W770" s="7" t="str">
        <f t="array" ref="W770">INDEX(xlRTCLNAME,MATCH(1,(xlRTCLENDU=2)*(xlRTCLEQCL=$F770),0))</f>
        <v>CENT_AIR</v>
      </c>
      <c r="X770" s="7" t="str">
        <f t="array" ref="X770">INDEX(xlRTTYNAME,MATCH(1,(xlRTTYENDU=1)*(xlRTTYEQCL=$D770)*(xlRTEQTYPE=$E770),0))</f>
        <v>DIST_RAD4</v>
      </c>
      <c r="Y770" s="7" t="str">
        <f t="array" ref="Y770">INDEX(xlRTTYNAME,MATCH(1,(xlRTTYENDU=2)*(xlRTTYEQCL=$F770)*(xlRTEQTYPE=$G770),0))</f>
        <v>CENT_AIR4</v>
      </c>
    </row>
    <row r="771" spans="2:25" x14ac:dyDescent="0.2">
      <c r="B771" s="5">
        <v>2</v>
      </c>
      <c r="C771" s="5">
        <v>1</v>
      </c>
      <c r="D771" s="5">
        <v>8</v>
      </c>
      <c r="E771" s="31">
        <v>28</v>
      </c>
      <c r="F771" s="5">
        <v>2</v>
      </c>
      <c r="G771" s="31">
        <v>7</v>
      </c>
      <c r="H771" s="97">
        <v>2033</v>
      </c>
      <c r="I771" s="97">
        <v>2050</v>
      </c>
      <c r="J771" s="142">
        <v>1.0717000000000001</v>
      </c>
      <c r="K771" s="142">
        <v>1.0895999999999999</v>
      </c>
      <c r="L771" s="142">
        <v>0.4546</v>
      </c>
      <c r="M771" s="142">
        <v>0.81589999999999996</v>
      </c>
      <c r="N771" s="142">
        <v>0.92630000000000001</v>
      </c>
      <c r="O771" s="142">
        <v>1.0538000000000001</v>
      </c>
      <c r="P771" s="26">
        <v>22424.142292657609</v>
      </c>
      <c r="Q771" s="35">
        <f t="array" ref="Q771">SUM(IF(($S771&gt;=4)*($C771='TaxCred&amp;Subs'!$D$114:$D$121)*($H771='TaxCred&amp;Subs'!$C$114:$C$121)*($H771&lt;='TaxCred&amp;Subs'!$C$123),'TaxCred&amp;Subs'!$E$114:$E$121,0))</f>
        <v>0</v>
      </c>
      <c r="R771" s="143">
        <v>0</v>
      </c>
      <c r="S771" s="5">
        <v>5</v>
      </c>
      <c r="T771" s="5" t="s">
        <v>221</v>
      </c>
      <c r="V771" s="7" t="str">
        <f t="array" ref="V771">INDEX(xlRTCLNAME,MATCH(1,(xlRTCLENDU=1)*(xlRTCLEQCL=$D771),0))</f>
        <v>DIST_RAD</v>
      </c>
      <c r="W771" s="7" t="str">
        <f t="array" ref="W771">INDEX(xlRTCLNAME,MATCH(1,(xlRTCLENDU=2)*(xlRTCLEQCL=$F771),0))</f>
        <v>CENT_AIR</v>
      </c>
      <c r="X771" s="7" t="str">
        <f t="array" ref="X771">INDEX(xlRTTYNAME,MATCH(1,(xlRTTYENDU=1)*(xlRTTYEQCL=$D771)*(xlRTEQTYPE=$E771),0))</f>
        <v>DIST_RAD4</v>
      </c>
      <c r="Y771" s="7" t="str">
        <f t="array" ref="Y771">INDEX(xlRTTYNAME,MATCH(1,(xlRTTYENDU=2)*(xlRTTYEQCL=$F771)*(xlRTEQTYPE=$G771),0))</f>
        <v>CENT_AIR4</v>
      </c>
    </row>
    <row r="772" spans="2:25" x14ac:dyDescent="0.2">
      <c r="B772" s="5">
        <v>3</v>
      </c>
      <c r="C772" s="5">
        <v>1</v>
      </c>
      <c r="D772" s="5">
        <v>8</v>
      </c>
      <c r="E772" s="31">
        <v>28</v>
      </c>
      <c r="F772" s="5">
        <v>2</v>
      </c>
      <c r="G772" s="31">
        <v>7</v>
      </c>
      <c r="H772" s="96">
        <v>2020</v>
      </c>
      <c r="I772" s="97">
        <v>2022</v>
      </c>
      <c r="J772" s="142">
        <v>1.0821000000000001</v>
      </c>
      <c r="K772" s="142">
        <v>1.0769</v>
      </c>
      <c r="L772" s="142">
        <v>0.43490000000000001</v>
      </c>
      <c r="M772" s="142">
        <v>0.89800000000000002</v>
      </c>
      <c r="N772" s="142">
        <v>0.91400000000000003</v>
      </c>
      <c r="O772" s="142">
        <v>1.0538000000000001</v>
      </c>
      <c r="P772" s="26">
        <v>17265.164359036837</v>
      </c>
      <c r="Q772" s="35">
        <f t="array" ref="Q772">SUM(IF(($S772&gt;=4)*($C772='TaxCred&amp;Subs'!$D$114:$D$121)*($H772='TaxCred&amp;Subs'!$C$114:$C$121)*($H772&lt;='TaxCred&amp;Subs'!$C$123),'TaxCred&amp;Subs'!$E$114:$E$121,0))</f>
        <v>2000</v>
      </c>
      <c r="R772" s="143">
        <v>0</v>
      </c>
      <c r="S772" s="5">
        <v>5</v>
      </c>
      <c r="T772" s="5" t="s">
        <v>221</v>
      </c>
      <c r="V772" s="7" t="str">
        <f t="array" ref="V772">INDEX(xlRTCLNAME,MATCH(1,(xlRTCLENDU=1)*(xlRTCLEQCL=$D772),0))</f>
        <v>DIST_RAD</v>
      </c>
      <c r="W772" s="7" t="str">
        <f t="array" ref="W772">INDEX(xlRTCLNAME,MATCH(1,(xlRTCLENDU=2)*(xlRTCLEQCL=$F772),0))</f>
        <v>CENT_AIR</v>
      </c>
      <c r="X772" s="7" t="str">
        <f t="array" ref="X772">INDEX(xlRTTYNAME,MATCH(1,(xlRTTYENDU=1)*(xlRTTYEQCL=$D772)*(xlRTEQTYPE=$E772),0))</f>
        <v>DIST_RAD4</v>
      </c>
      <c r="Y772" s="7" t="str">
        <f t="array" ref="Y772">INDEX(xlRTTYNAME,MATCH(1,(xlRTTYENDU=2)*(xlRTTYEQCL=$F772)*(xlRTEQTYPE=$G772),0))</f>
        <v>CENT_AIR4</v>
      </c>
    </row>
    <row r="773" spans="2:25" x14ac:dyDescent="0.2">
      <c r="B773" s="5">
        <v>3</v>
      </c>
      <c r="C773" s="5">
        <v>1</v>
      </c>
      <c r="D773" s="5">
        <v>8</v>
      </c>
      <c r="E773" s="31">
        <v>28</v>
      </c>
      <c r="F773" s="5">
        <v>2</v>
      </c>
      <c r="G773" s="31">
        <v>7</v>
      </c>
      <c r="H773" s="97">
        <v>2023</v>
      </c>
      <c r="I773" s="97">
        <v>2032</v>
      </c>
      <c r="J773" s="142">
        <v>1.0821000000000001</v>
      </c>
      <c r="K773" s="142">
        <v>1.0769</v>
      </c>
      <c r="L773" s="142">
        <v>0.43490000000000001</v>
      </c>
      <c r="M773" s="142">
        <v>0.89800000000000002</v>
      </c>
      <c r="N773" s="142">
        <v>0.91400000000000003</v>
      </c>
      <c r="O773" s="142">
        <v>1.0538000000000001</v>
      </c>
      <c r="P773" s="26">
        <v>17265.164359036837</v>
      </c>
      <c r="Q773" s="35">
        <f t="array" ref="Q773">SUM(IF(($S773&gt;=4)*($C773='TaxCred&amp;Subs'!$D$114:$D$121)*($H773='TaxCred&amp;Subs'!$C$114:$C$121)*($H773&lt;='TaxCred&amp;Subs'!$C$123),'TaxCred&amp;Subs'!$E$114:$E$121,0))</f>
        <v>2500</v>
      </c>
      <c r="R773" s="143">
        <v>0</v>
      </c>
      <c r="S773" s="5">
        <v>5</v>
      </c>
      <c r="T773" s="5" t="s">
        <v>221</v>
      </c>
      <c r="V773" s="7" t="str">
        <f t="array" ref="V773">INDEX(xlRTCLNAME,MATCH(1,(xlRTCLENDU=1)*(xlRTCLEQCL=$D773),0))</f>
        <v>DIST_RAD</v>
      </c>
      <c r="W773" s="7" t="str">
        <f t="array" ref="W773">INDEX(xlRTCLNAME,MATCH(1,(xlRTCLENDU=2)*(xlRTCLEQCL=$F773),0))</f>
        <v>CENT_AIR</v>
      </c>
      <c r="X773" s="7" t="str">
        <f t="array" ref="X773">INDEX(xlRTTYNAME,MATCH(1,(xlRTTYENDU=1)*(xlRTTYEQCL=$D773)*(xlRTEQTYPE=$E773),0))</f>
        <v>DIST_RAD4</v>
      </c>
      <c r="Y773" s="7" t="str">
        <f t="array" ref="Y773">INDEX(xlRTTYNAME,MATCH(1,(xlRTTYENDU=2)*(xlRTTYEQCL=$F773)*(xlRTEQTYPE=$G773),0))</f>
        <v>CENT_AIR4</v>
      </c>
    </row>
    <row r="774" spans="2:25" x14ac:dyDescent="0.2">
      <c r="B774" s="5">
        <v>3</v>
      </c>
      <c r="C774" s="5">
        <v>1</v>
      </c>
      <c r="D774" s="5">
        <v>8</v>
      </c>
      <c r="E774" s="31">
        <v>28</v>
      </c>
      <c r="F774" s="5">
        <v>2</v>
      </c>
      <c r="G774" s="31">
        <v>7</v>
      </c>
      <c r="H774" s="97">
        <v>2033</v>
      </c>
      <c r="I774" s="97">
        <v>2050</v>
      </c>
      <c r="J774" s="142">
        <v>1.0821000000000001</v>
      </c>
      <c r="K774" s="142">
        <v>1.0769</v>
      </c>
      <c r="L774" s="142">
        <v>0.43490000000000001</v>
      </c>
      <c r="M774" s="142">
        <v>0.89800000000000002</v>
      </c>
      <c r="N774" s="142">
        <v>0.91400000000000003</v>
      </c>
      <c r="O774" s="142">
        <v>1.0538000000000001</v>
      </c>
      <c r="P774" s="26">
        <v>17265.164359036837</v>
      </c>
      <c r="Q774" s="35">
        <f t="array" ref="Q774">SUM(IF(($S774&gt;=4)*($C774='TaxCred&amp;Subs'!$D$114:$D$121)*($H774='TaxCred&amp;Subs'!$C$114:$C$121)*($H774&lt;='TaxCred&amp;Subs'!$C$123),'TaxCred&amp;Subs'!$E$114:$E$121,0))</f>
        <v>0</v>
      </c>
      <c r="R774" s="143">
        <v>0</v>
      </c>
      <c r="S774" s="5">
        <v>5</v>
      </c>
      <c r="T774" s="5" t="s">
        <v>221</v>
      </c>
      <c r="V774" s="7" t="str">
        <f t="array" ref="V774">INDEX(xlRTCLNAME,MATCH(1,(xlRTCLENDU=1)*(xlRTCLEQCL=$D774),0))</f>
        <v>DIST_RAD</v>
      </c>
      <c r="W774" s="7" t="str">
        <f t="array" ref="W774">INDEX(xlRTCLNAME,MATCH(1,(xlRTCLENDU=2)*(xlRTCLEQCL=$F774),0))</f>
        <v>CENT_AIR</v>
      </c>
      <c r="X774" s="7" t="str">
        <f t="array" ref="X774">INDEX(xlRTTYNAME,MATCH(1,(xlRTTYENDU=1)*(xlRTTYEQCL=$D774)*(xlRTEQTYPE=$E774),0))</f>
        <v>DIST_RAD4</v>
      </c>
      <c r="Y774" s="7" t="str">
        <f t="array" ref="Y774">INDEX(xlRTTYNAME,MATCH(1,(xlRTTYENDU=2)*(xlRTTYEQCL=$F774)*(xlRTEQTYPE=$G774),0))</f>
        <v>CENT_AIR4</v>
      </c>
    </row>
    <row r="775" spans="2:25" x14ac:dyDescent="0.2">
      <c r="B775" s="5">
        <v>4</v>
      </c>
      <c r="C775" s="5">
        <v>1</v>
      </c>
      <c r="D775" s="5">
        <v>8</v>
      </c>
      <c r="E775" s="31">
        <v>28</v>
      </c>
      <c r="F775" s="5">
        <v>2</v>
      </c>
      <c r="G775" s="31">
        <v>7</v>
      </c>
      <c r="H775" s="96">
        <v>2020</v>
      </c>
      <c r="I775" s="97">
        <v>2022</v>
      </c>
      <c r="J775" s="142">
        <v>1.0812999999999999</v>
      </c>
      <c r="K775" s="142">
        <v>1.0769</v>
      </c>
      <c r="L775" s="142">
        <v>0.44280000000000003</v>
      </c>
      <c r="M775" s="142">
        <v>0.86639999999999995</v>
      </c>
      <c r="N775" s="142">
        <v>0.85660000000000003</v>
      </c>
      <c r="O775" s="142">
        <v>1.0538000000000001</v>
      </c>
      <c r="P775" s="26">
        <v>14059.794696865367</v>
      </c>
      <c r="Q775" s="35">
        <f t="array" ref="Q775">SUM(IF(($S775&gt;=4)*($C775='TaxCred&amp;Subs'!$D$114:$D$121)*($H775='TaxCred&amp;Subs'!$C$114:$C$121)*($H775&lt;='TaxCred&amp;Subs'!$C$123),'TaxCred&amp;Subs'!$E$114:$E$121,0))</f>
        <v>2000</v>
      </c>
      <c r="R775" s="143">
        <v>0</v>
      </c>
      <c r="S775" s="5">
        <v>5</v>
      </c>
      <c r="T775" s="5" t="s">
        <v>221</v>
      </c>
      <c r="V775" s="7" t="str">
        <f t="array" ref="V775">INDEX(xlRTCLNAME,MATCH(1,(xlRTCLENDU=1)*(xlRTCLEQCL=$D775),0))</f>
        <v>DIST_RAD</v>
      </c>
      <c r="W775" s="7" t="str">
        <f t="array" ref="W775">INDEX(xlRTCLNAME,MATCH(1,(xlRTCLENDU=2)*(xlRTCLEQCL=$F775),0))</f>
        <v>CENT_AIR</v>
      </c>
      <c r="X775" s="7" t="str">
        <f t="array" ref="X775">INDEX(xlRTTYNAME,MATCH(1,(xlRTTYENDU=1)*(xlRTTYEQCL=$D775)*(xlRTEQTYPE=$E775),0))</f>
        <v>DIST_RAD4</v>
      </c>
      <c r="Y775" s="7" t="str">
        <f t="array" ref="Y775">INDEX(xlRTTYNAME,MATCH(1,(xlRTTYENDU=2)*(xlRTTYEQCL=$F775)*(xlRTEQTYPE=$G775),0))</f>
        <v>CENT_AIR4</v>
      </c>
    </row>
    <row r="776" spans="2:25" x14ac:dyDescent="0.2">
      <c r="B776" s="5">
        <v>4</v>
      </c>
      <c r="C776" s="5">
        <v>1</v>
      </c>
      <c r="D776" s="5">
        <v>8</v>
      </c>
      <c r="E776" s="31">
        <v>28</v>
      </c>
      <c r="F776" s="5">
        <v>2</v>
      </c>
      <c r="G776" s="31">
        <v>7</v>
      </c>
      <c r="H776" s="97">
        <v>2023</v>
      </c>
      <c r="I776" s="97">
        <v>2032</v>
      </c>
      <c r="J776" s="142">
        <v>1.0812999999999999</v>
      </c>
      <c r="K776" s="142">
        <v>1.0769</v>
      </c>
      <c r="L776" s="142">
        <v>0.44280000000000003</v>
      </c>
      <c r="M776" s="142">
        <v>0.86639999999999995</v>
      </c>
      <c r="N776" s="142">
        <v>0.85660000000000003</v>
      </c>
      <c r="O776" s="142">
        <v>1.0538000000000001</v>
      </c>
      <c r="P776" s="26">
        <v>14059.794696865367</v>
      </c>
      <c r="Q776" s="35">
        <f t="array" ref="Q776">SUM(IF(($S776&gt;=4)*($C776='TaxCred&amp;Subs'!$D$114:$D$121)*($H776='TaxCred&amp;Subs'!$C$114:$C$121)*($H776&lt;='TaxCred&amp;Subs'!$C$123),'TaxCred&amp;Subs'!$E$114:$E$121,0))</f>
        <v>2500</v>
      </c>
      <c r="R776" s="143">
        <v>0</v>
      </c>
      <c r="S776" s="5">
        <v>5</v>
      </c>
      <c r="T776" s="5" t="s">
        <v>221</v>
      </c>
      <c r="V776" s="7" t="str">
        <f t="array" ref="V776">INDEX(xlRTCLNAME,MATCH(1,(xlRTCLENDU=1)*(xlRTCLEQCL=$D776),0))</f>
        <v>DIST_RAD</v>
      </c>
      <c r="W776" s="7" t="str">
        <f t="array" ref="W776">INDEX(xlRTCLNAME,MATCH(1,(xlRTCLENDU=2)*(xlRTCLEQCL=$F776),0))</f>
        <v>CENT_AIR</v>
      </c>
      <c r="X776" s="7" t="str">
        <f t="array" ref="X776">INDEX(xlRTTYNAME,MATCH(1,(xlRTTYENDU=1)*(xlRTTYEQCL=$D776)*(xlRTEQTYPE=$E776),0))</f>
        <v>DIST_RAD4</v>
      </c>
      <c r="Y776" s="7" t="str">
        <f t="array" ref="Y776">INDEX(xlRTTYNAME,MATCH(1,(xlRTTYENDU=2)*(xlRTTYEQCL=$F776)*(xlRTEQTYPE=$G776),0))</f>
        <v>CENT_AIR4</v>
      </c>
    </row>
    <row r="777" spans="2:25" x14ac:dyDescent="0.2">
      <c r="B777" s="5">
        <v>4</v>
      </c>
      <c r="C777" s="5">
        <v>1</v>
      </c>
      <c r="D777" s="5">
        <v>8</v>
      </c>
      <c r="E777" s="31">
        <v>28</v>
      </c>
      <c r="F777" s="5">
        <v>2</v>
      </c>
      <c r="G777" s="31">
        <v>7</v>
      </c>
      <c r="H777" s="97">
        <v>2033</v>
      </c>
      <c r="I777" s="97">
        <v>2050</v>
      </c>
      <c r="J777" s="142">
        <v>1.0812999999999999</v>
      </c>
      <c r="K777" s="142">
        <v>1.0769</v>
      </c>
      <c r="L777" s="142">
        <v>0.44280000000000003</v>
      </c>
      <c r="M777" s="142">
        <v>0.86639999999999995</v>
      </c>
      <c r="N777" s="142">
        <v>0.85660000000000003</v>
      </c>
      <c r="O777" s="142">
        <v>1.0538000000000001</v>
      </c>
      <c r="P777" s="26">
        <v>14059.794696865367</v>
      </c>
      <c r="Q777" s="35">
        <f t="array" ref="Q777">SUM(IF(($S777&gt;=4)*($C777='TaxCred&amp;Subs'!$D$114:$D$121)*($H777='TaxCred&amp;Subs'!$C$114:$C$121)*($H777&lt;='TaxCred&amp;Subs'!$C$123),'TaxCred&amp;Subs'!$E$114:$E$121,0))</f>
        <v>0</v>
      </c>
      <c r="R777" s="143">
        <v>0</v>
      </c>
      <c r="S777" s="5">
        <v>5</v>
      </c>
      <c r="T777" s="5" t="s">
        <v>221</v>
      </c>
      <c r="V777" s="7" t="str">
        <f t="array" ref="V777">INDEX(xlRTCLNAME,MATCH(1,(xlRTCLENDU=1)*(xlRTCLEQCL=$D777),0))</f>
        <v>DIST_RAD</v>
      </c>
      <c r="W777" s="7" t="str">
        <f t="array" ref="W777">INDEX(xlRTCLNAME,MATCH(1,(xlRTCLENDU=2)*(xlRTCLEQCL=$F777),0))</f>
        <v>CENT_AIR</v>
      </c>
      <c r="X777" s="7" t="str">
        <f t="array" ref="X777">INDEX(xlRTTYNAME,MATCH(1,(xlRTTYENDU=1)*(xlRTTYEQCL=$D777)*(xlRTEQTYPE=$E777),0))</f>
        <v>DIST_RAD4</v>
      </c>
      <c r="Y777" s="7" t="str">
        <f t="array" ref="Y777">INDEX(xlRTTYNAME,MATCH(1,(xlRTTYENDU=2)*(xlRTTYEQCL=$F777)*(xlRTEQTYPE=$G777),0))</f>
        <v>CENT_AIR4</v>
      </c>
    </row>
    <row r="778" spans="2:25" x14ac:dyDescent="0.2">
      <c r="B778" s="5">
        <v>5</v>
      </c>
      <c r="C778" s="5">
        <v>1</v>
      </c>
      <c r="D778" s="5">
        <v>8</v>
      </c>
      <c r="E778" s="31">
        <v>28</v>
      </c>
      <c r="F778" s="5">
        <v>2</v>
      </c>
      <c r="G778" s="31">
        <v>7</v>
      </c>
      <c r="H778" s="96">
        <v>2020</v>
      </c>
      <c r="I778" s="97">
        <v>2022</v>
      </c>
      <c r="J778" s="142">
        <v>1.0838000000000001</v>
      </c>
      <c r="K778" s="142">
        <v>1.0465</v>
      </c>
      <c r="L778" s="142">
        <v>0.32329999999999998</v>
      </c>
      <c r="M778" s="142">
        <v>0.73150000000000004</v>
      </c>
      <c r="N778" s="142">
        <v>0.75670000000000004</v>
      </c>
      <c r="O778" s="142">
        <v>1.0538000000000001</v>
      </c>
      <c r="P778" s="26">
        <v>15568.362130152442</v>
      </c>
      <c r="Q778" s="35">
        <f t="array" ref="Q778">SUM(IF(($S778&gt;=4)*($C778='TaxCred&amp;Subs'!$D$114:$D$121)*($H778='TaxCred&amp;Subs'!$C$114:$C$121)*($H778&lt;='TaxCred&amp;Subs'!$C$123),'TaxCred&amp;Subs'!$E$114:$E$121,0))</f>
        <v>2000</v>
      </c>
      <c r="R778" s="143">
        <v>0</v>
      </c>
      <c r="S778" s="5">
        <v>5</v>
      </c>
      <c r="T778" s="5" t="s">
        <v>221</v>
      </c>
      <c r="V778" s="7" t="str">
        <f t="array" ref="V778">INDEX(xlRTCLNAME,MATCH(1,(xlRTCLENDU=1)*(xlRTCLEQCL=$D778),0))</f>
        <v>DIST_RAD</v>
      </c>
      <c r="W778" s="7" t="str">
        <f t="array" ref="W778">INDEX(xlRTCLNAME,MATCH(1,(xlRTCLENDU=2)*(xlRTCLEQCL=$F778),0))</f>
        <v>CENT_AIR</v>
      </c>
      <c r="X778" s="7" t="str">
        <f t="array" ref="X778">INDEX(xlRTTYNAME,MATCH(1,(xlRTTYENDU=1)*(xlRTTYEQCL=$D778)*(xlRTEQTYPE=$E778),0))</f>
        <v>DIST_RAD4</v>
      </c>
      <c r="Y778" s="7" t="str">
        <f t="array" ref="Y778">INDEX(xlRTTYNAME,MATCH(1,(xlRTTYENDU=2)*(xlRTTYEQCL=$F778)*(xlRTEQTYPE=$G778),0))</f>
        <v>CENT_AIR4</v>
      </c>
    </row>
    <row r="779" spans="2:25" x14ac:dyDescent="0.2">
      <c r="B779" s="5">
        <v>5</v>
      </c>
      <c r="C779" s="5">
        <v>1</v>
      </c>
      <c r="D779" s="5">
        <v>8</v>
      </c>
      <c r="E779" s="31">
        <v>28</v>
      </c>
      <c r="F779" s="5">
        <v>2</v>
      </c>
      <c r="G779" s="31">
        <v>7</v>
      </c>
      <c r="H779" s="97">
        <v>2023</v>
      </c>
      <c r="I779" s="97">
        <v>2032</v>
      </c>
      <c r="J779" s="142">
        <v>1.0838000000000001</v>
      </c>
      <c r="K779" s="142">
        <v>1.0465</v>
      </c>
      <c r="L779" s="142">
        <v>0.32329999999999998</v>
      </c>
      <c r="M779" s="142">
        <v>0.73150000000000004</v>
      </c>
      <c r="N779" s="142">
        <v>0.75670000000000004</v>
      </c>
      <c r="O779" s="142">
        <v>1.0538000000000001</v>
      </c>
      <c r="P779" s="26">
        <v>15568.362130152442</v>
      </c>
      <c r="Q779" s="35">
        <f t="array" ref="Q779">SUM(IF(($S779&gt;=4)*($C779='TaxCred&amp;Subs'!$D$114:$D$121)*($H779='TaxCred&amp;Subs'!$C$114:$C$121)*($H779&lt;='TaxCred&amp;Subs'!$C$123),'TaxCred&amp;Subs'!$E$114:$E$121,0))</f>
        <v>2500</v>
      </c>
      <c r="R779" s="143">
        <v>0</v>
      </c>
      <c r="S779" s="5">
        <v>5</v>
      </c>
      <c r="T779" s="5" t="s">
        <v>221</v>
      </c>
      <c r="V779" s="7" t="str">
        <f t="array" ref="V779">INDEX(xlRTCLNAME,MATCH(1,(xlRTCLENDU=1)*(xlRTCLEQCL=$D779),0))</f>
        <v>DIST_RAD</v>
      </c>
      <c r="W779" s="7" t="str">
        <f t="array" ref="W779">INDEX(xlRTCLNAME,MATCH(1,(xlRTCLENDU=2)*(xlRTCLEQCL=$F779),0))</f>
        <v>CENT_AIR</v>
      </c>
      <c r="X779" s="7" t="str">
        <f t="array" ref="X779">INDEX(xlRTTYNAME,MATCH(1,(xlRTTYENDU=1)*(xlRTTYEQCL=$D779)*(xlRTEQTYPE=$E779),0))</f>
        <v>DIST_RAD4</v>
      </c>
      <c r="Y779" s="7" t="str">
        <f t="array" ref="Y779">INDEX(xlRTTYNAME,MATCH(1,(xlRTTYENDU=2)*(xlRTTYEQCL=$F779)*(xlRTEQTYPE=$G779),0))</f>
        <v>CENT_AIR4</v>
      </c>
    </row>
    <row r="780" spans="2:25" x14ac:dyDescent="0.2">
      <c r="B780" s="5">
        <v>5</v>
      </c>
      <c r="C780" s="5">
        <v>1</v>
      </c>
      <c r="D780" s="5">
        <v>8</v>
      </c>
      <c r="E780" s="31">
        <v>28</v>
      </c>
      <c r="F780" s="5">
        <v>2</v>
      </c>
      <c r="G780" s="31">
        <v>7</v>
      </c>
      <c r="H780" s="97">
        <v>2033</v>
      </c>
      <c r="I780" s="97">
        <v>2050</v>
      </c>
      <c r="J780" s="142">
        <v>1.0838000000000001</v>
      </c>
      <c r="K780" s="142">
        <v>1.0465</v>
      </c>
      <c r="L780" s="142">
        <v>0.32329999999999998</v>
      </c>
      <c r="M780" s="142">
        <v>0.73150000000000004</v>
      </c>
      <c r="N780" s="142">
        <v>0.75670000000000004</v>
      </c>
      <c r="O780" s="142">
        <v>1.0538000000000001</v>
      </c>
      <c r="P780" s="26">
        <v>15568.362130152442</v>
      </c>
      <c r="Q780" s="35">
        <f t="array" ref="Q780">SUM(IF(($S780&gt;=4)*($C780='TaxCred&amp;Subs'!$D$114:$D$121)*($H780='TaxCred&amp;Subs'!$C$114:$C$121)*($H780&lt;='TaxCred&amp;Subs'!$C$123),'TaxCred&amp;Subs'!$E$114:$E$121,0))</f>
        <v>0</v>
      </c>
      <c r="R780" s="143">
        <v>0</v>
      </c>
      <c r="S780" s="5">
        <v>5</v>
      </c>
      <c r="T780" s="5" t="s">
        <v>221</v>
      </c>
      <c r="V780" s="7" t="str">
        <f t="array" ref="V780">INDEX(xlRTCLNAME,MATCH(1,(xlRTCLENDU=1)*(xlRTCLEQCL=$D780),0))</f>
        <v>DIST_RAD</v>
      </c>
      <c r="W780" s="7" t="str">
        <f t="array" ref="W780">INDEX(xlRTCLNAME,MATCH(1,(xlRTCLENDU=2)*(xlRTCLEQCL=$F780),0))</f>
        <v>CENT_AIR</v>
      </c>
      <c r="X780" s="7" t="str">
        <f t="array" ref="X780">INDEX(xlRTTYNAME,MATCH(1,(xlRTTYENDU=1)*(xlRTTYEQCL=$D780)*(xlRTEQTYPE=$E780),0))</f>
        <v>DIST_RAD4</v>
      </c>
      <c r="Y780" s="7" t="str">
        <f t="array" ref="Y780">INDEX(xlRTTYNAME,MATCH(1,(xlRTTYENDU=2)*(xlRTTYEQCL=$F780)*(xlRTEQTYPE=$G780),0))</f>
        <v>CENT_AIR4</v>
      </c>
    </row>
    <row r="781" spans="2:25" x14ac:dyDescent="0.2">
      <c r="B781" s="5">
        <v>6</v>
      </c>
      <c r="C781" s="5">
        <v>1</v>
      </c>
      <c r="D781" s="5">
        <v>8</v>
      </c>
      <c r="E781" s="31">
        <v>28</v>
      </c>
      <c r="F781" s="5">
        <v>2</v>
      </c>
      <c r="G781" s="31">
        <v>7</v>
      </c>
      <c r="H781" s="96">
        <v>2020</v>
      </c>
      <c r="I781" s="97">
        <v>2022</v>
      </c>
      <c r="J781" s="142">
        <v>1.089</v>
      </c>
      <c r="K781" s="142">
        <v>1.0583</v>
      </c>
      <c r="L781" s="142">
        <v>0.41599999999999998</v>
      </c>
      <c r="M781" s="142">
        <v>0.76590000000000003</v>
      </c>
      <c r="N781" s="142">
        <v>0.88849999999999996</v>
      </c>
      <c r="O781" s="142">
        <v>1.0538000000000001</v>
      </c>
      <c r="P781" s="26">
        <v>15382.816403063658</v>
      </c>
      <c r="Q781" s="35">
        <f t="array" ref="Q781">SUM(IF(($S781&gt;=4)*($C781='TaxCred&amp;Subs'!$D$114:$D$121)*($H781='TaxCred&amp;Subs'!$C$114:$C$121)*($H781&lt;='TaxCred&amp;Subs'!$C$123),'TaxCred&amp;Subs'!$E$114:$E$121,0))</f>
        <v>2000</v>
      </c>
      <c r="R781" s="143">
        <v>0</v>
      </c>
      <c r="S781" s="5">
        <v>5</v>
      </c>
      <c r="T781" s="5" t="s">
        <v>221</v>
      </c>
      <c r="V781" s="7" t="str">
        <f t="array" ref="V781">INDEX(xlRTCLNAME,MATCH(1,(xlRTCLENDU=1)*(xlRTCLEQCL=$D781),0))</f>
        <v>DIST_RAD</v>
      </c>
      <c r="W781" s="7" t="str">
        <f t="array" ref="W781">INDEX(xlRTCLNAME,MATCH(1,(xlRTCLENDU=2)*(xlRTCLEQCL=$F781),0))</f>
        <v>CENT_AIR</v>
      </c>
      <c r="X781" s="7" t="str">
        <f t="array" ref="X781">INDEX(xlRTTYNAME,MATCH(1,(xlRTTYENDU=1)*(xlRTTYEQCL=$D781)*(xlRTEQTYPE=$E781),0))</f>
        <v>DIST_RAD4</v>
      </c>
      <c r="Y781" s="7" t="str">
        <f t="array" ref="Y781">INDEX(xlRTTYNAME,MATCH(1,(xlRTTYENDU=2)*(xlRTTYEQCL=$F781)*(xlRTEQTYPE=$G781),0))</f>
        <v>CENT_AIR4</v>
      </c>
    </row>
    <row r="782" spans="2:25" x14ac:dyDescent="0.2">
      <c r="B782" s="5">
        <v>6</v>
      </c>
      <c r="C782" s="5">
        <v>1</v>
      </c>
      <c r="D782" s="5">
        <v>8</v>
      </c>
      <c r="E782" s="31">
        <v>28</v>
      </c>
      <c r="F782" s="5">
        <v>2</v>
      </c>
      <c r="G782" s="31">
        <v>7</v>
      </c>
      <c r="H782" s="97">
        <v>2023</v>
      </c>
      <c r="I782" s="97">
        <v>2032</v>
      </c>
      <c r="J782" s="142">
        <v>1.089</v>
      </c>
      <c r="K782" s="142">
        <v>1.0583</v>
      </c>
      <c r="L782" s="142">
        <v>0.41599999999999998</v>
      </c>
      <c r="M782" s="142">
        <v>0.76590000000000003</v>
      </c>
      <c r="N782" s="142">
        <v>0.88849999999999996</v>
      </c>
      <c r="O782" s="142">
        <v>1.0538000000000001</v>
      </c>
      <c r="P782" s="26">
        <v>15382.816403063658</v>
      </c>
      <c r="Q782" s="35">
        <f t="array" ref="Q782">SUM(IF(($S782&gt;=4)*($C782='TaxCred&amp;Subs'!$D$114:$D$121)*($H782='TaxCred&amp;Subs'!$C$114:$C$121)*($H782&lt;='TaxCred&amp;Subs'!$C$123),'TaxCred&amp;Subs'!$E$114:$E$121,0))</f>
        <v>2500</v>
      </c>
      <c r="R782" s="143">
        <v>0</v>
      </c>
      <c r="S782" s="5">
        <v>5</v>
      </c>
      <c r="T782" s="5" t="s">
        <v>221</v>
      </c>
      <c r="V782" s="7" t="str">
        <f t="array" ref="V782">INDEX(xlRTCLNAME,MATCH(1,(xlRTCLENDU=1)*(xlRTCLEQCL=$D782),0))</f>
        <v>DIST_RAD</v>
      </c>
      <c r="W782" s="7" t="str">
        <f t="array" ref="W782">INDEX(xlRTCLNAME,MATCH(1,(xlRTCLENDU=2)*(xlRTCLEQCL=$F782),0))</f>
        <v>CENT_AIR</v>
      </c>
      <c r="X782" s="7" t="str">
        <f t="array" ref="X782">INDEX(xlRTTYNAME,MATCH(1,(xlRTTYENDU=1)*(xlRTTYEQCL=$D782)*(xlRTEQTYPE=$E782),0))</f>
        <v>DIST_RAD4</v>
      </c>
      <c r="Y782" s="7" t="str">
        <f t="array" ref="Y782">INDEX(xlRTTYNAME,MATCH(1,(xlRTTYENDU=2)*(xlRTTYEQCL=$F782)*(xlRTEQTYPE=$G782),0))</f>
        <v>CENT_AIR4</v>
      </c>
    </row>
    <row r="783" spans="2:25" x14ac:dyDescent="0.2">
      <c r="B783" s="5">
        <v>6</v>
      </c>
      <c r="C783" s="5">
        <v>1</v>
      </c>
      <c r="D783" s="5">
        <v>8</v>
      </c>
      <c r="E783" s="31">
        <v>28</v>
      </c>
      <c r="F783" s="5">
        <v>2</v>
      </c>
      <c r="G783" s="31">
        <v>7</v>
      </c>
      <c r="H783" s="97">
        <v>2033</v>
      </c>
      <c r="I783" s="97">
        <v>2050</v>
      </c>
      <c r="J783" s="142">
        <v>1.089</v>
      </c>
      <c r="K783" s="142">
        <v>1.0583</v>
      </c>
      <c r="L783" s="142">
        <v>0.41599999999999998</v>
      </c>
      <c r="M783" s="142">
        <v>0.76590000000000003</v>
      </c>
      <c r="N783" s="142">
        <v>0.88849999999999996</v>
      </c>
      <c r="O783" s="142">
        <v>1.0538000000000001</v>
      </c>
      <c r="P783" s="26">
        <v>15382.816403063658</v>
      </c>
      <c r="Q783" s="35">
        <f t="array" ref="Q783">SUM(IF(($S783&gt;=4)*($C783='TaxCred&amp;Subs'!$D$114:$D$121)*($H783='TaxCred&amp;Subs'!$C$114:$C$121)*($H783&lt;='TaxCred&amp;Subs'!$C$123),'TaxCred&amp;Subs'!$E$114:$E$121,0))</f>
        <v>0</v>
      </c>
      <c r="R783" s="143">
        <v>0</v>
      </c>
      <c r="S783" s="5">
        <v>5</v>
      </c>
      <c r="T783" s="5" t="s">
        <v>221</v>
      </c>
      <c r="V783" s="7" t="str">
        <f t="array" ref="V783">INDEX(xlRTCLNAME,MATCH(1,(xlRTCLENDU=1)*(xlRTCLEQCL=$D783),0))</f>
        <v>DIST_RAD</v>
      </c>
      <c r="W783" s="7" t="str">
        <f t="array" ref="W783">INDEX(xlRTCLNAME,MATCH(1,(xlRTCLENDU=2)*(xlRTCLEQCL=$F783),0))</f>
        <v>CENT_AIR</v>
      </c>
      <c r="X783" s="7" t="str">
        <f t="array" ref="X783">INDEX(xlRTTYNAME,MATCH(1,(xlRTTYENDU=1)*(xlRTTYEQCL=$D783)*(xlRTEQTYPE=$E783),0))</f>
        <v>DIST_RAD4</v>
      </c>
      <c r="Y783" s="7" t="str">
        <f t="array" ref="Y783">INDEX(xlRTTYNAME,MATCH(1,(xlRTTYENDU=2)*(xlRTTYEQCL=$F783)*(xlRTEQTYPE=$G783),0))</f>
        <v>CENT_AIR4</v>
      </c>
    </row>
    <row r="784" spans="2:25" x14ac:dyDescent="0.2">
      <c r="B784" s="5">
        <v>7</v>
      </c>
      <c r="C784" s="5">
        <v>1</v>
      </c>
      <c r="D784" s="5">
        <v>8</v>
      </c>
      <c r="E784" s="31">
        <v>28</v>
      </c>
      <c r="F784" s="5">
        <v>2</v>
      </c>
      <c r="G784" s="31">
        <v>7</v>
      </c>
      <c r="H784" s="96">
        <v>2020</v>
      </c>
      <c r="I784" s="97">
        <v>2022</v>
      </c>
      <c r="J784" s="142">
        <v>1.0867</v>
      </c>
      <c r="K784" s="142">
        <v>1.0682</v>
      </c>
      <c r="L784" s="142">
        <v>0.32069999999999999</v>
      </c>
      <c r="M784" s="142">
        <v>0.65339999999999998</v>
      </c>
      <c r="N784" s="142">
        <v>0.87180000000000002</v>
      </c>
      <c r="O784" s="142">
        <v>1.0538000000000001</v>
      </c>
      <c r="P784" s="26">
        <v>15600.63095225484</v>
      </c>
      <c r="Q784" s="35">
        <f t="array" ref="Q784">SUM(IF(($S784&gt;=4)*($C784='TaxCred&amp;Subs'!$D$114:$D$121)*($H784='TaxCred&amp;Subs'!$C$114:$C$121)*($H784&lt;='TaxCred&amp;Subs'!$C$123),'TaxCred&amp;Subs'!$E$114:$E$121,0))</f>
        <v>2000</v>
      </c>
      <c r="R784" s="143">
        <v>0</v>
      </c>
      <c r="S784" s="5">
        <v>5</v>
      </c>
      <c r="T784" s="5" t="s">
        <v>221</v>
      </c>
      <c r="V784" s="7" t="str">
        <f t="array" ref="V784">INDEX(xlRTCLNAME,MATCH(1,(xlRTCLENDU=1)*(xlRTCLEQCL=$D784),0))</f>
        <v>DIST_RAD</v>
      </c>
      <c r="W784" s="7" t="str">
        <f t="array" ref="W784">INDEX(xlRTCLNAME,MATCH(1,(xlRTCLENDU=2)*(xlRTCLEQCL=$F784),0))</f>
        <v>CENT_AIR</v>
      </c>
      <c r="X784" s="7" t="str">
        <f t="array" ref="X784">INDEX(xlRTTYNAME,MATCH(1,(xlRTTYENDU=1)*(xlRTTYEQCL=$D784)*(xlRTEQTYPE=$E784),0))</f>
        <v>DIST_RAD4</v>
      </c>
      <c r="Y784" s="7" t="str">
        <f t="array" ref="Y784">INDEX(xlRTTYNAME,MATCH(1,(xlRTTYENDU=2)*(xlRTTYEQCL=$F784)*(xlRTEQTYPE=$G784),0))</f>
        <v>CENT_AIR4</v>
      </c>
    </row>
    <row r="785" spans="2:25" x14ac:dyDescent="0.2">
      <c r="B785" s="5">
        <v>7</v>
      </c>
      <c r="C785" s="5">
        <v>1</v>
      </c>
      <c r="D785" s="5">
        <v>8</v>
      </c>
      <c r="E785" s="31">
        <v>28</v>
      </c>
      <c r="F785" s="5">
        <v>2</v>
      </c>
      <c r="G785" s="31">
        <v>7</v>
      </c>
      <c r="H785" s="97">
        <v>2023</v>
      </c>
      <c r="I785" s="97">
        <v>2032</v>
      </c>
      <c r="J785" s="142">
        <v>1.0867</v>
      </c>
      <c r="K785" s="142">
        <v>1.0682</v>
      </c>
      <c r="L785" s="142">
        <v>0.32069999999999999</v>
      </c>
      <c r="M785" s="142">
        <v>0.65339999999999998</v>
      </c>
      <c r="N785" s="142">
        <v>0.87180000000000002</v>
      </c>
      <c r="O785" s="142">
        <v>1.0538000000000001</v>
      </c>
      <c r="P785" s="26">
        <v>15600.63095225484</v>
      </c>
      <c r="Q785" s="35">
        <f t="array" ref="Q785">SUM(IF(($S785&gt;=4)*($C785='TaxCred&amp;Subs'!$D$114:$D$121)*($H785='TaxCred&amp;Subs'!$C$114:$C$121)*($H785&lt;='TaxCred&amp;Subs'!$C$123),'TaxCred&amp;Subs'!$E$114:$E$121,0))</f>
        <v>2500</v>
      </c>
      <c r="R785" s="143">
        <v>0</v>
      </c>
      <c r="S785" s="5">
        <v>5</v>
      </c>
      <c r="T785" s="5" t="s">
        <v>221</v>
      </c>
      <c r="V785" s="7" t="str">
        <f t="array" ref="V785">INDEX(xlRTCLNAME,MATCH(1,(xlRTCLENDU=1)*(xlRTCLEQCL=$D785),0))</f>
        <v>DIST_RAD</v>
      </c>
      <c r="W785" s="7" t="str">
        <f t="array" ref="W785">INDEX(xlRTCLNAME,MATCH(1,(xlRTCLENDU=2)*(xlRTCLEQCL=$F785),0))</f>
        <v>CENT_AIR</v>
      </c>
      <c r="X785" s="7" t="str">
        <f t="array" ref="X785">INDEX(xlRTTYNAME,MATCH(1,(xlRTTYENDU=1)*(xlRTTYEQCL=$D785)*(xlRTEQTYPE=$E785),0))</f>
        <v>DIST_RAD4</v>
      </c>
      <c r="Y785" s="7" t="str">
        <f t="array" ref="Y785">INDEX(xlRTTYNAME,MATCH(1,(xlRTTYENDU=2)*(xlRTTYEQCL=$F785)*(xlRTEQTYPE=$G785),0))</f>
        <v>CENT_AIR4</v>
      </c>
    </row>
    <row r="786" spans="2:25" x14ac:dyDescent="0.2">
      <c r="B786" s="5">
        <v>7</v>
      </c>
      <c r="C786" s="5">
        <v>1</v>
      </c>
      <c r="D786" s="5">
        <v>8</v>
      </c>
      <c r="E786" s="31">
        <v>28</v>
      </c>
      <c r="F786" s="5">
        <v>2</v>
      </c>
      <c r="G786" s="31">
        <v>7</v>
      </c>
      <c r="H786" s="97">
        <v>2033</v>
      </c>
      <c r="I786" s="97">
        <v>2050</v>
      </c>
      <c r="J786" s="142">
        <v>1.0867</v>
      </c>
      <c r="K786" s="142">
        <v>1.0682</v>
      </c>
      <c r="L786" s="142">
        <v>0.32069999999999999</v>
      </c>
      <c r="M786" s="142">
        <v>0.65339999999999998</v>
      </c>
      <c r="N786" s="142">
        <v>0.87180000000000002</v>
      </c>
      <c r="O786" s="142">
        <v>1.0538000000000001</v>
      </c>
      <c r="P786" s="26">
        <v>15600.63095225484</v>
      </c>
      <c r="Q786" s="35">
        <f t="array" ref="Q786">SUM(IF(($S786&gt;=4)*($C786='TaxCred&amp;Subs'!$D$114:$D$121)*($H786='TaxCred&amp;Subs'!$C$114:$C$121)*($H786&lt;='TaxCred&amp;Subs'!$C$123),'TaxCred&amp;Subs'!$E$114:$E$121,0))</f>
        <v>0</v>
      </c>
      <c r="R786" s="143">
        <v>0</v>
      </c>
      <c r="S786" s="5">
        <v>5</v>
      </c>
      <c r="T786" s="5" t="s">
        <v>221</v>
      </c>
      <c r="V786" s="7" t="str">
        <f t="array" ref="V786">INDEX(xlRTCLNAME,MATCH(1,(xlRTCLENDU=1)*(xlRTCLEQCL=$D786),0))</f>
        <v>DIST_RAD</v>
      </c>
      <c r="W786" s="7" t="str">
        <f t="array" ref="W786">INDEX(xlRTCLNAME,MATCH(1,(xlRTCLENDU=2)*(xlRTCLEQCL=$F786),0))</f>
        <v>CENT_AIR</v>
      </c>
      <c r="X786" s="7" t="str">
        <f t="array" ref="X786">INDEX(xlRTTYNAME,MATCH(1,(xlRTTYENDU=1)*(xlRTTYEQCL=$D786)*(xlRTEQTYPE=$E786),0))</f>
        <v>DIST_RAD4</v>
      </c>
      <c r="Y786" s="7" t="str">
        <f t="array" ref="Y786">INDEX(xlRTTYNAME,MATCH(1,(xlRTTYENDU=2)*(xlRTTYEQCL=$F786)*(xlRTEQTYPE=$G786),0))</f>
        <v>CENT_AIR4</v>
      </c>
    </row>
    <row r="787" spans="2:25" x14ac:dyDescent="0.2">
      <c r="B787" s="5">
        <v>8</v>
      </c>
      <c r="C787" s="5">
        <v>1</v>
      </c>
      <c r="D787" s="5">
        <v>8</v>
      </c>
      <c r="E787" s="31">
        <v>28</v>
      </c>
      <c r="F787" s="5">
        <v>2</v>
      </c>
      <c r="G787" s="31">
        <v>7</v>
      </c>
      <c r="H787" s="96">
        <v>2020</v>
      </c>
      <c r="I787" s="97">
        <v>2022</v>
      </c>
      <c r="J787" s="142">
        <v>1.0820000000000001</v>
      </c>
      <c r="K787" s="142">
        <v>1.0832999999999999</v>
      </c>
      <c r="L787" s="142">
        <v>0.42730000000000001</v>
      </c>
      <c r="M787" s="142">
        <v>0.78110000000000002</v>
      </c>
      <c r="N787" s="142">
        <v>0.86439999999999995</v>
      </c>
      <c r="O787" s="142">
        <v>1.0538000000000001</v>
      </c>
      <c r="P787" s="26">
        <v>16260.797271099718</v>
      </c>
      <c r="Q787" s="35">
        <f t="array" ref="Q787">SUM(IF(($S787&gt;=4)*($C787='TaxCred&amp;Subs'!$D$114:$D$121)*($H787='TaxCred&amp;Subs'!$C$114:$C$121)*($H787&lt;='TaxCred&amp;Subs'!$C$123),'TaxCred&amp;Subs'!$E$114:$E$121,0))</f>
        <v>2000</v>
      </c>
      <c r="R787" s="143">
        <v>0</v>
      </c>
      <c r="S787" s="5">
        <v>5</v>
      </c>
      <c r="T787" s="5" t="s">
        <v>221</v>
      </c>
      <c r="V787" s="7" t="str">
        <f t="array" ref="V787">INDEX(xlRTCLNAME,MATCH(1,(xlRTCLENDU=1)*(xlRTCLEQCL=$D787),0))</f>
        <v>DIST_RAD</v>
      </c>
      <c r="W787" s="7" t="str">
        <f t="array" ref="W787">INDEX(xlRTCLNAME,MATCH(1,(xlRTCLENDU=2)*(xlRTCLEQCL=$F787),0))</f>
        <v>CENT_AIR</v>
      </c>
      <c r="X787" s="7" t="str">
        <f t="array" ref="X787">INDEX(xlRTTYNAME,MATCH(1,(xlRTTYENDU=1)*(xlRTTYEQCL=$D787)*(xlRTEQTYPE=$E787),0))</f>
        <v>DIST_RAD4</v>
      </c>
      <c r="Y787" s="7" t="str">
        <f t="array" ref="Y787">INDEX(xlRTTYNAME,MATCH(1,(xlRTTYENDU=2)*(xlRTTYEQCL=$F787)*(xlRTEQTYPE=$G787),0))</f>
        <v>CENT_AIR4</v>
      </c>
    </row>
    <row r="788" spans="2:25" x14ac:dyDescent="0.2">
      <c r="B788" s="5">
        <v>8</v>
      </c>
      <c r="C788" s="5">
        <v>1</v>
      </c>
      <c r="D788" s="5">
        <v>8</v>
      </c>
      <c r="E788" s="31">
        <v>28</v>
      </c>
      <c r="F788" s="5">
        <v>2</v>
      </c>
      <c r="G788" s="31">
        <v>7</v>
      </c>
      <c r="H788" s="97">
        <v>2023</v>
      </c>
      <c r="I788" s="97">
        <v>2032</v>
      </c>
      <c r="J788" s="142">
        <v>1.0820000000000001</v>
      </c>
      <c r="K788" s="142">
        <v>1.0832999999999999</v>
      </c>
      <c r="L788" s="142">
        <v>0.42730000000000001</v>
      </c>
      <c r="M788" s="142">
        <v>0.78110000000000002</v>
      </c>
      <c r="N788" s="142">
        <v>0.86439999999999995</v>
      </c>
      <c r="O788" s="142">
        <v>1.0538000000000001</v>
      </c>
      <c r="P788" s="26">
        <v>16260.797271099718</v>
      </c>
      <c r="Q788" s="35">
        <f t="array" ref="Q788">SUM(IF(($S788&gt;=4)*($C788='TaxCred&amp;Subs'!$D$114:$D$121)*($H788='TaxCred&amp;Subs'!$C$114:$C$121)*($H788&lt;='TaxCred&amp;Subs'!$C$123),'TaxCred&amp;Subs'!$E$114:$E$121,0))</f>
        <v>2500</v>
      </c>
      <c r="R788" s="143">
        <v>0</v>
      </c>
      <c r="S788" s="5">
        <v>5</v>
      </c>
      <c r="T788" s="5" t="s">
        <v>221</v>
      </c>
      <c r="V788" s="7" t="str">
        <f t="array" ref="V788">INDEX(xlRTCLNAME,MATCH(1,(xlRTCLENDU=1)*(xlRTCLEQCL=$D788),0))</f>
        <v>DIST_RAD</v>
      </c>
      <c r="W788" s="7" t="str">
        <f t="array" ref="W788">INDEX(xlRTCLNAME,MATCH(1,(xlRTCLENDU=2)*(xlRTCLEQCL=$F788),0))</f>
        <v>CENT_AIR</v>
      </c>
      <c r="X788" s="7" t="str">
        <f t="array" ref="X788">INDEX(xlRTTYNAME,MATCH(1,(xlRTTYENDU=1)*(xlRTTYEQCL=$D788)*(xlRTEQTYPE=$E788),0))</f>
        <v>DIST_RAD4</v>
      </c>
      <c r="Y788" s="7" t="str">
        <f t="array" ref="Y788">INDEX(xlRTTYNAME,MATCH(1,(xlRTTYENDU=2)*(xlRTTYEQCL=$F788)*(xlRTEQTYPE=$G788),0))</f>
        <v>CENT_AIR4</v>
      </c>
    </row>
    <row r="789" spans="2:25" x14ac:dyDescent="0.2">
      <c r="B789" s="5">
        <v>8</v>
      </c>
      <c r="C789" s="5">
        <v>1</v>
      </c>
      <c r="D789" s="5">
        <v>8</v>
      </c>
      <c r="E789" s="31">
        <v>28</v>
      </c>
      <c r="F789" s="5">
        <v>2</v>
      </c>
      <c r="G789" s="31">
        <v>7</v>
      </c>
      <c r="H789" s="97">
        <v>2033</v>
      </c>
      <c r="I789" s="97">
        <v>2050</v>
      </c>
      <c r="J789" s="142">
        <v>1.0820000000000001</v>
      </c>
      <c r="K789" s="142">
        <v>1.0832999999999999</v>
      </c>
      <c r="L789" s="142">
        <v>0.42730000000000001</v>
      </c>
      <c r="M789" s="142">
        <v>0.78110000000000002</v>
      </c>
      <c r="N789" s="142">
        <v>0.86439999999999995</v>
      </c>
      <c r="O789" s="142">
        <v>1.0538000000000001</v>
      </c>
      <c r="P789" s="26">
        <v>16260.797271099718</v>
      </c>
      <c r="Q789" s="35">
        <f t="array" ref="Q789">SUM(IF(($S789&gt;=4)*($C789='TaxCred&amp;Subs'!$D$114:$D$121)*($H789='TaxCred&amp;Subs'!$C$114:$C$121)*($H789&lt;='TaxCred&amp;Subs'!$C$123),'TaxCred&amp;Subs'!$E$114:$E$121,0))</f>
        <v>0</v>
      </c>
      <c r="R789" s="143">
        <v>0</v>
      </c>
      <c r="S789" s="5">
        <v>5</v>
      </c>
      <c r="T789" s="5" t="s">
        <v>221</v>
      </c>
      <c r="V789" s="7" t="str">
        <f t="array" ref="V789">INDEX(xlRTCLNAME,MATCH(1,(xlRTCLENDU=1)*(xlRTCLEQCL=$D789),0))</f>
        <v>DIST_RAD</v>
      </c>
      <c r="W789" s="7" t="str">
        <f t="array" ref="W789">INDEX(xlRTCLNAME,MATCH(1,(xlRTCLENDU=2)*(xlRTCLEQCL=$F789),0))</f>
        <v>CENT_AIR</v>
      </c>
      <c r="X789" s="7" t="str">
        <f t="array" ref="X789">INDEX(xlRTTYNAME,MATCH(1,(xlRTTYENDU=1)*(xlRTTYEQCL=$D789)*(xlRTEQTYPE=$E789),0))</f>
        <v>DIST_RAD4</v>
      </c>
      <c r="Y789" s="7" t="str">
        <f t="array" ref="Y789">INDEX(xlRTTYNAME,MATCH(1,(xlRTTYENDU=2)*(xlRTTYEQCL=$F789)*(xlRTEQTYPE=$G789),0))</f>
        <v>CENT_AIR4</v>
      </c>
    </row>
    <row r="790" spans="2:25" x14ac:dyDescent="0.2">
      <c r="B790" s="5">
        <v>9</v>
      </c>
      <c r="C790" s="5">
        <v>1</v>
      </c>
      <c r="D790" s="5">
        <v>8</v>
      </c>
      <c r="E790" s="31">
        <v>28</v>
      </c>
      <c r="F790" s="5">
        <v>2</v>
      </c>
      <c r="G790" s="31">
        <v>7</v>
      </c>
      <c r="H790" s="96">
        <v>2020</v>
      </c>
      <c r="I790" s="97">
        <v>2022</v>
      </c>
      <c r="J790" s="142">
        <v>1.0414000000000001</v>
      </c>
      <c r="K790" s="142">
        <v>1.07</v>
      </c>
      <c r="L790" s="142">
        <v>0.39019999999999999</v>
      </c>
      <c r="M790" s="142">
        <v>0.76029999999999998</v>
      </c>
      <c r="N790" s="142">
        <v>1.026</v>
      </c>
      <c r="O790" s="142">
        <v>1.0538000000000001</v>
      </c>
      <c r="P790" s="26">
        <v>19815.745839380488</v>
      </c>
      <c r="Q790" s="35">
        <f t="array" ref="Q790">SUM(IF(($S790&gt;=4)*($C790='TaxCred&amp;Subs'!$D$114:$D$121)*($H790='TaxCred&amp;Subs'!$C$114:$C$121)*($H790&lt;='TaxCred&amp;Subs'!$C$123),'TaxCred&amp;Subs'!$E$114:$E$121,0))</f>
        <v>2000</v>
      </c>
      <c r="R790" s="143">
        <v>0</v>
      </c>
      <c r="S790" s="5">
        <v>5</v>
      </c>
      <c r="T790" s="5" t="s">
        <v>221</v>
      </c>
      <c r="V790" s="7" t="str">
        <f t="array" ref="V790">INDEX(xlRTCLNAME,MATCH(1,(xlRTCLENDU=1)*(xlRTCLEQCL=$D790),0))</f>
        <v>DIST_RAD</v>
      </c>
      <c r="W790" s="7" t="str">
        <f t="array" ref="W790">INDEX(xlRTCLNAME,MATCH(1,(xlRTCLENDU=2)*(xlRTCLEQCL=$F790),0))</f>
        <v>CENT_AIR</v>
      </c>
      <c r="X790" s="7" t="str">
        <f t="array" ref="X790">INDEX(xlRTTYNAME,MATCH(1,(xlRTTYENDU=1)*(xlRTTYEQCL=$D790)*(xlRTEQTYPE=$E790),0))</f>
        <v>DIST_RAD4</v>
      </c>
      <c r="Y790" s="7" t="str">
        <f t="array" ref="Y790">INDEX(xlRTTYNAME,MATCH(1,(xlRTTYENDU=2)*(xlRTTYEQCL=$F790)*(xlRTEQTYPE=$G790),0))</f>
        <v>CENT_AIR4</v>
      </c>
    </row>
    <row r="791" spans="2:25" x14ac:dyDescent="0.2">
      <c r="B791" s="5">
        <v>9</v>
      </c>
      <c r="C791" s="5">
        <v>1</v>
      </c>
      <c r="D791" s="5">
        <v>8</v>
      </c>
      <c r="E791" s="31">
        <v>28</v>
      </c>
      <c r="F791" s="5">
        <v>2</v>
      </c>
      <c r="G791" s="31">
        <v>7</v>
      </c>
      <c r="H791" s="97">
        <v>2023</v>
      </c>
      <c r="I791" s="97">
        <v>2032</v>
      </c>
      <c r="J791" s="142">
        <v>1.0414000000000001</v>
      </c>
      <c r="K791" s="142">
        <v>1.07</v>
      </c>
      <c r="L791" s="142">
        <v>0.39019999999999999</v>
      </c>
      <c r="M791" s="142">
        <v>0.76029999999999998</v>
      </c>
      <c r="N791" s="142">
        <v>1.026</v>
      </c>
      <c r="O791" s="142">
        <v>1.0538000000000001</v>
      </c>
      <c r="P791" s="26">
        <v>19815.745839380488</v>
      </c>
      <c r="Q791" s="35">
        <f t="array" ref="Q791">SUM(IF(($S791&gt;=4)*($C791='TaxCred&amp;Subs'!$D$114:$D$121)*($H791='TaxCred&amp;Subs'!$C$114:$C$121)*($H791&lt;='TaxCred&amp;Subs'!$C$123),'TaxCred&amp;Subs'!$E$114:$E$121,0))</f>
        <v>2500</v>
      </c>
      <c r="R791" s="143">
        <v>0</v>
      </c>
      <c r="S791" s="5">
        <v>5</v>
      </c>
      <c r="T791" s="5" t="s">
        <v>221</v>
      </c>
      <c r="V791" s="7" t="str">
        <f t="array" ref="V791">INDEX(xlRTCLNAME,MATCH(1,(xlRTCLENDU=1)*(xlRTCLEQCL=$D791),0))</f>
        <v>DIST_RAD</v>
      </c>
      <c r="W791" s="7" t="str">
        <f t="array" ref="W791">INDEX(xlRTCLNAME,MATCH(1,(xlRTCLENDU=2)*(xlRTCLEQCL=$F791),0))</f>
        <v>CENT_AIR</v>
      </c>
      <c r="X791" s="7" t="str">
        <f t="array" ref="X791">INDEX(xlRTTYNAME,MATCH(1,(xlRTTYENDU=1)*(xlRTTYEQCL=$D791)*(xlRTEQTYPE=$E791),0))</f>
        <v>DIST_RAD4</v>
      </c>
      <c r="Y791" s="7" t="str">
        <f t="array" ref="Y791">INDEX(xlRTTYNAME,MATCH(1,(xlRTTYENDU=2)*(xlRTTYEQCL=$F791)*(xlRTEQTYPE=$G791),0))</f>
        <v>CENT_AIR4</v>
      </c>
    </row>
    <row r="792" spans="2:25" x14ac:dyDescent="0.2">
      <c r="B792" s="5">
        <v>9</v>
      </c>
      <c r="C792" s="5">
        <v>1</v>
      </c>
      <c r="D792" s="5">
        <v>8</v>
      </c>
      <c r="E792" s="31">
        <v>28</v>
      </c>
      <c r="F792" s="5">
        <v>2</v>
      </c>
      <c r="G792" s="31">
        <v>7</v>
      </c>
      <c r="H792" s="97">
        <v>2033</v>
      </c>
      <c r="I792" s="97">
        <v>2050</v>
      </c>
      <c r="J792" s="142">
        <v>1.0414000000000001</v>
      </c>
      <c r="K792" s="142">
        <v>1.07</v>
      </c>
      <c r="L792" s="142">
        <v>0.39019999999999999</v>
      </c>
      <c r="M792" s="142">
        <v>0.76029999999999998</v>
      </c>
      <c r="N792" s="142">
        <v>1.026</v>
      </c>
      <c r="O792" s="142">
        <v>1.0538000000000001</v>
      </c>
      <c r="P792" s="26">
        <v>19815.745839380488</v>
      </c>
      <c r="Q792" s="35">
        <f t="array" ref="Q792">SUM(IF(($S792&gt;=4)*($C792='TaxCred&amp;Subs'!$D$114:$D$121)*($H792='TaxCred&amp;Subs'!$C$114:$C$121)*($H792&lt;='TaxCred&amp;Subs'!$C$123),'TaxCred&amp;Subs'!$E$114:$E$121,0))</f>
        <v>0</v>
      </c>
      <c r="R792" s="143">
        <v>0</v>
      </c>
      <c r="S792" s="5">
        <v>5</v>
      </c>
      <c r="T792" s="5" t="s">
        <v>221</v>
      </c>
      <c r="V792" s="7" t="str">
        <f t="array" ref="V792">INDEX(xlRTCLNAME,MATCH(1,(xlRTCLENDU=1)*(xlRTCLEQCL=$D792),0))</f>
        <v>DIST_RAD</v>
      </c>
      <c r="W792" s="7" t="str">
        <f t="array" ref="W792">INDEX(xlRTCLNAME,MATCH(1,(xlRTCLENDU=2)*(xlRTCLEQCL=$F792),0))</f>
        <v>CENT_AIR</v>
      </c>
      <c r="X792" s="7" t="str">
        <f t="array" ref="X792">INDEX(xlRTTYNAME,MATCH(1,(xlRTTYENDU=1)*(xlRTTYEQCL=$D792)*(xlRTEQTYPE=$E792),0))</f>
        <v>DIST_RAD4</v>
      </c>
      <c r="Y792" s="7" t="str">
        <f t="array" ref="Y792">INDEX(xlRTTYNAME,MATCH(1,(xlRTTYENDU=2)*(xlRTTYEQCL=$F792)*(xlRTEQTYPE=$G792),0))</f>
        <v>CENT_AIR4</v>
      </c>
    </row>
    <row r="793" spans="2:25" x14ac:dyDescent="0.2">
      <c r="B793" s="5">
        <v>1</v>
      </c>
      <c r="C793" s="5">
        <v>1</v>
      </c>
      <c r="D793" s="5">
        <v>9</v>
      </c>
      <c r="E793" s="31">
        <v>30</v>
      </c>
      <c r="F793" s="5">
        <v>2</v>
      </c>
      <c r="G793" s="31">
        <v>7</v>
      </c>
      <c r="H793" s="96">
        <v>2020</v>
      </c>
      <c r="I793" s="97">
        <v>2022</v>
      </c>
      <c r="J793" s="142">
        <v>1.0592999999999999</v>
      </c>
      <c r="K793" s="142">
        <v>1.0889</v>
      </c>
      <c r="L793" s="142">
        <v>0.44009999999999999</v>
      </c>
      <c r="M793" s="142">
        <v>0.96350000000000002</v>
      </c>
      <c r="N793" s="142">
        <v>0.8095</v>
      </c>
      <c r="O793" s="142">
        <v>1.0538000000000001</v>
      </c>
      <c r="P793" s="26">
        <v>19744.485523904365</v>
      </c>
      <c r="Q793" s="35">
        <f t="array" ref="Q793">SUM(IF(($S793&gt;=4)*($C793='TaxCred&amp;Subs'!$D$114:$D$121)*($H793='TaxCred&amp;Subs'!$C$114:$C$121)*($H793&lt;='TaxCred&amp;Subs'!$C$123),'TaxCred&amp;Subs'!$E$114:$E$121,0))</f>
        <v>2000</v>
      </c>
      <c r="R793" s="143">
        <v>0</v>
      </c>
      <c r="S793" s="5">
        <v>5</v>
      </c>
      <c r="T793" s="5" t="s">
        <v>221</v>
      </c>
      <c r="V793" s="7" t="str">
        <f t="array" ref="V793">INDEX(xlRTCLNAME,MATCH(1,(xlRTCLENDU=1)*(xlRTCLEQCL=$D793),0))</f>
        <v>WOOD_HT</v>
      </c>
      <c r="W793" s="7" t="str">
        <f t="array" ref="W793">INDEX(xlRTCLNAME,MATCH(1,(xlRTCLENDU=2)*(xlRTCLEQCL=$F793),0))</f>
        <v>CENT_AIR</v>
      </c>
      <c r="X793" s="7" t="str">
        <f t="array" ref="X793">INDEX(xlRTTYNAME,MATCH(1,(xlRTTYENDU=1)*(xlRTTYEQCL=$D793)*(xlRTEQTYPE=$E793),0))</f>
        <v>WOOD_HT4</v>
      </c>
      <c r="Y793" s="7" t="str">
        <f t="array" ref="Y793">INDEX(xlRTTYNAME,MATCH(1,(xlRTTYENDU=2)*(xlRTTYEQCL=$F793)*(xlRTEQTYPE=$G793),0))</f>
        <v>CENT_AIR4</v>
      </c>
    </row>
    <row r="794" spans="2:25" x14ac:dyDescent="0.2">
      <c r="B794" s="5">
        <v>1</v>
      </c>
      <c r="C794" s="5">
        <v>1</v>
      </c>
      <c r="D794" s="5">
        <v>9</v>
      </c>
      <c r="E794" s="31">
        <v>30</v>
      </c>
      <c r="F794" s="5">
        <v>2</v>
      </c>
      <c r="G794" s="31">
        <v>7</v>
      </c>
      <c r="H794" s="97">
        <v>2023</v>
      </c>
      <c r="I794" s="97">
        <v>2032</v>
      </c>
      <c r="J794" s="142">
        <v>1.0592999999999999</v>
      </c>
      <c r="K794" s="142">
        <v>1.0889</v>
      </c>
      <c r="L794" s="142">
        <v>0.44009999999999999</v>
      </c>
      <c r="M794" s="142">
        <v>0.96350000000000002</v>
      </c>
      <c r="N794" s="142">
        <v>0.8095</v>
      </c>
      <c r="O794" s="142">
        <v>1.0538000000000001</v>
      </c>
      <c r="P794" s="26">
        <v>19744.485523904365</v>
      </c>
      <c r="Q794" s="35">
        <f t="array" ref="Q794">SUM(IF(($S794&gt;=4)*($C794='TaxCred&amp;Subs'!$D$114:$D$121)*($H794='TaxCred&amp;Subs'!$C$114:$C$121)*($H794&lt;='TaxCred&amp;Subs'!$C$123),'TaxCred&amp;Subs'!$E$114:$E$121,0))</f>
        <v>2500</v>
      </c>
      <c r="R794" s="143">
        <v>0</v>
      </c>
      <c r="S794" s="5">
        <v>5</v>
      </c>
      <c r="T794" s="5" t="s">
        <v>221</v>
      </c>
      <c r="V794" s="7" t="str">
        <f t="array" ref="V794">INDEX(xlRTCLNAME,MATCH(1,(xlRTCLENDU=1)*(xlRTCLEQCL=$D794),0))</f>
        <v>WOOD_HT</v>
      </c>
      <c r="W794" s="7" t="str">
        <f t="array" ref="W794">INDEX(xlRTCLNAME,MATCH(1,(xlRTCLENDU=2)*(xlRTCLEQCL=$F794),0))</f>
        <v>CENT_AIR</v>
      </c>
      <c r="X794" s="7" t="str">
        <f t="array" ref="X794">INDEX(xlRTTYNAME,MATCH(1,(xlRTTYENDU=1)*(xlRTTYEQCL=$D794)*(xlRTEQTYPE=$E794),0))</f>
        <v>WOOD_HT4</v>
      </c>
      <c r="Y794" s="7" t="str">
        <f t="array" ref="Y794">INDEX(xlRTTYNAME,MATCH(1,(xlRTTYENDU=2)*(xlRTTYEQCL=$F794)*(xlRTEQTYPE=$G794),0))</f>
        <v>CENT_AIR4</v>
      </c>
    </row>
    <row r="795" spans="2:25" x14ac:dyDescent="0.2">
      <c r="B795" s="5">
        <v>1</v>
      </c>
      <c r="C795" s="5">
        <v>1</v>
      </c>
      <c r="D795" s="5">
        <v>9</v>
      </c>
      <c r="E795" s="31">
        <v>30</v>
      </c>
      <c r="F795" s="5">
        <v>2</v>
      </c>
      <c r="G795" s="31">
        <v>7</v>
      </c>
      <c r="H795" s="97">
        <v>2033</v>
      </c>
      <c r="I795" s="97">
        <v>2050</v>
      </c>
      <c r="J795" s="142">
        <v>1.0592999999999999</v>
      </c>
      <c r="K795" s="142">
        <v>1.0889</v>
      </c>
      <c r="L795" s="142">
        <v>0.44009999999999999</v>
      </c>
      <c r="M795" s="142">
        <v>0.96350000000000002</v>
      </c>
      <c r="N795" s="142">
        <v>0.8095</v>
      </c>
      <c r="O795" s="142">
        <v>1.0538000000000001</v>
      </c>
      <c r="P795" s="26">
        <v>19744.485523904365</v>
      </c>
      <c r="Q795" s="35">
        <f t="array" ref="Q795">SUM(IF(($S795&gt;=4)*($C795='TaxCred&amp;Subs'!$D$114:$D$121)*($H795='TaxCred&amp;Subs'!$C$114:$C$121)*($H795&lt;='TaxCred&amp;Subs'!$C$123),'TaxCred&amp;Subs'!$E$114:$E$121,0))</f>
        <v>0</v>
      </c>
      <c r="R795" s="143">
        <v>0</v>
      </c>
      <c r="S795" s="5">
        <v>5</v>
      </c>
      <c r="T795" s="5" t="s">
        <v>221</v>
      </c>
      <c r="V795" s="7" t="str">
        <f t="array" ref="V795">INDEX(xlRTCLNAME,MATCH(1,(xlRTCLENDU=1)*(xlRTCLEQCL=$D795),0))</f>
        <v>WOOD_HT</v>
      </c>
      <c r="W795" s="7" t="str">
        <f t="array" ref="W795">INDEX(xlRTCLNAME,MATCH(1,(xlRTCLENDU=2)*(xlRTCLEQCL=$F795),0))</f>
        <v>CENT_AIR</v>
      </c>
      <c r="X795" s="7" t="str">
        <f t="array" ref="X795">INDEX(xlRTTYNAME,MATCH(1,(xlRTTYENDU=1)*(xlRTTYEQCL=$D795)*(xlRTEQTYPE=$E795),0))</f>
        <v>WOOD_HT4</v>
      </c>
      <c r="Y795" s="7" t="str">
        <f t="array" ref="Y795">INDEX(xlRTTYNAME,MATCH(1,(xlRTTYENDU=2)*(xlRTTYEQCL=$F795)*(xlRTEQTYPE=$G795),0))</f>
        <v>CENT_AIR4</v>
      </c>
    </row>
    <row r="796" spans="2:25" x14ac:dyDescent="0.2">
      <c r="B796" s="5">
        <v>2</v>
      </c>
      <c r="C796" s="5">
        <v>1</v>
      </c>
      <c r="D796" s="5">
        <v>9</v>
      </c>
      <c r="E796" s="31">
        <v>30</v>
      </c>
      <c r="F796" s="5">
        <v>2</v>
      </c>
      <c r="G796" s="31">
        <v>7</v>
      </c>
      <c r="H796" s="96">
        <v>2020</v>
      </c>
      <c r="I796" s="97">
        <v>2022</v>
      </c>
      <c r="J796" s="142">
        <v>1.0717000000000001</v>
      </c>
      <c r="K796" s="142">
        <v>1.0895999999999999</v>
      </c>
      <c r="L796" s="142">
        <v>0.4546</v>
      </c>
      <c r="M796" s="142">
        <v>0.81589999999999996</v>
      </c>
      <c r="N796" s="142">
        <v>0.92630000000000001</v>
      </c>
      <c r="O796" s="142">
        <v>1.0538000000000001</v>
      </c>
      <c r="P796" s="26">
        <v>22424.142292657609</v>
      </c>
      <c r="Q796" s="35">
        <f t="array" ref="Q796">SUM(IF(($S796&gt;=4)*($C796='TaxCred&amp;Subs'!$D$114:$D$121)*($H796='TaxCred&amp;Subs'!$C$114:$C$121)*($H796&lt;='TaxCred&amp;Subs'!$C$123),'TaxCred&amp;Subs'!$E$114:$E$121,0))</f>
        <v>2000</v>
      </c>
      <c r="R796" s="143">
        <v>0</v>
      </c>
      <c r="S796" s="5">
        <v>5</v>
      </c>
      <c r="T796" s="5" t="s">
        <v>221</v>
      </c>
      <c r="V796" s="7" t="str">
        <f t="array" ref="V796">INDEX(xlRTCLNAME,MATCH(1,(xlRTCLENDU=1)*(xlRTCLEQCL=$D796),0))</f>
        <v>WOOD_HT</v>
      </c>
      <c r="W796" s="7" t="str">
        <f t="array" ref="W796">INDEX(xlRTCLNAME,MATCH(1,(xlRTCLENDU=2)*(xlRTCLEQCL=$F796),0))</f>
        <v>CENT_AIR</v>
      </c>
      <c r="X796" s="7" t="str">
        <f t="array" ref="X796">INDEX(xlRTTYNAME,MATCH(1,(xlRTTYENDU=1)*(xlRTTYEQCL=$D796)*(xlRTEQTYPE=$E796),0))</f>
        <v>WOOD_HT4</v>
      </c>
      <c r="Y796" s="7" t="str">
        <f t="array" ref="Y796">INDEX(xlRTTYNAME,MATCH(1,(xlRTTYENDU=2)*(xlRTTYEQCL=$F796)*(xlRTEQTYPE=$G796),0))</f>
        <v>CENT_AIR4</v>
      </c>
    </row>
    <row r="797" spans="2:25" x14ac:dyDescent="0.2">
      <c r="B797" s="5">
        <v>2</v>
      </c>
      <c r="C797" s="5">
        <v>1</v>
      </c>
      <c r="D797" s="5">
        <v>9</v>
      </c>
      <c r="E797" s="31">
        <v>30</v>
      </c>
      <c r="F797" s="5">
        <v>2</v>
      </c>
      <c r="G797" s="31">
        <v>7</v>
      </c>
      <c r="H797" s="97">
        <v>2023</v>
      </c>
      <c r="I797" s="97">
        <v>2032</v>
      </c>
      <c r="J797" s="142">
        <v>1.0717000000000001</v>
      </c>
      <c r="K797" s="142">
        <v>1.0895999999999999</v>
      </c>
      <c r="L797" s="142">
        <v>0.4546</v>
      </c>
      <c r="M797" s="142">
        <v>0.81589999999999996</v>
      </c>
      <c r="N797" s="142">
        <v>0.92630000000000001</v>
      </c>
      <c r="O797" s="142">
        <v>1.0538000000000001</v>
      </c>
      <c r="P797" s="26">
        <v>22424.142292657609</v>
      </c>
      <c r="Q797" s="35">
        <f t="array" ref="Q797">SUM(IF(($S797&gt;=4)*($C797='TaxCred&amp;Subs'!$D$114:$D$121)*($H797='TaxCred&amp;Subs'!$C$114:$C$121)*($H797&lt;='TaxCred&amp;Subs'!$C$123),'TaxCred&amp;Subs'!$E$114:$E$121,0))</f>
        <v>2500</v>
      </c>
      <c r="R797" s="143">
        <v>0</v>
      </c>
      <c r="S797" s="5">
        <v>5</v>
      </c>
      <c r="T797" s="5" t="s">
        <v>221</v>
      </c>
      <c r="V797" s="7" t="str">
        <f t="array" ref="V797">INDEX(xlRTCLNAME,MATCH(1,(xlRTCLENDU=1)*(xlRTCLEQCL=$D797),0))</f>
        <v>WOOD_HT</v>
      </c>
      <c r="W797" s="7" t="str">
        <f t="array" ref="W797">INDEX(xlRTCLNAME,MATCH(1,(xlRTCLENDU=2)*(xlRTCLEQCL=$F797),0))</f>
        <v>CENT_AIR</v>
      </c>
      <c r="X797" s="7" t="str">
        <f t="array" ref="X797">INDEX(xlRTTYNAME,MATCH(1,(xlRTTYENDU=1)*(xlRTTYEQCL=$D797)*(xlRTEQTYPE=$E797),0))</f>
        <v>WOOD_HT4</v>
      </c>
      <c r="Y797" s="7" t="str">
        <f t="array" ref="Y797">INDEX(xlRTTYNAME,MATCH(1,(xlRTTYENDU=2)*(xlRTTYEQCL=$F797)*(xlRTEQTYPE=$G797),0))</f>
        <v>CENT_AIR4</v>
      </c>
    </row>
    <row r="798" spans="2:25" x14ac:dyDescent="0.2">
      <c r="B798" s="5">
        <v>2</v>
      </c>
      <c r="C798" s="5">
        <v>1</v>
      </c>
      <c r="D798" s="5">
        <v>9</v>
      </c>
      <c r="E798" s="31">
        <v>30</v>
      </c>
      <c r="F798" s="5">
        <v>2</v>
      </c>
      <c r="G798" s="31">
        <v>7</v>
      </c>
      <c r="H798" s="97">
        <v>2033</v>
      </c>
      <c r="I798" s="97">
        <v>2050</v>
      </c>
      <c r="J798" s="142">
        <v>1.0717000000000001</v>
      </c>
      <c r="K798" s="142">
        <v>1.0895999999999999</v>
      </c>
      <c r="L798" s="142">
        <v>0.4546</v>
      </c>
      <c r="M798" s="142">
        <v>0.81589999999999996</v>
      </c>
      <c r="N798" s="142">
        <v>0.92630000000000001</v>
      </c>
      <c r="O798" s="142">
        <v>1.0538000000000001</v>
      </c>
      <c r="P798" s="26">
        <v>22424.142292657609</v>
      </c>
      <c r="Q798" s="35">
        <f t="array" ref="Q798">SUM(IF(($S798&gt;=4)*($C798='TaxCred&amp;Subs'!$D$114:$D$121)*($H798='TaxCred&amp;Subs'!$C$114:$C$121)*($H798&lt;='TaxCred&amp;Subs'!$C$123),'TaxCred&amp;Subs'!$E$114:$E$121,0))</f>
        <v>0</v>
      </c>
      <c r="R798" s="143">
        <v>0</v>
      </c>
      <c r="S798" s="5">
        <v>5</v>
      </c>
      <c r="T798" s="5" t="s">
        <v>221</v>
      </c>
      <c r="V798" s="7" t="str">
        <f t="array" ref="V798">INDEX(xlRTCLNAME,MATCH(1,(xlRTCLENDU=1)*(xlRTCLEQCL=$D798),0))</f>
        <v>WOOD_HT</v>
      </c>
      <c r="W798" s="7" t="str">
        <f t="array" ref="W798">INDEX(xlRTCLNAME,MATCH(1,(xlRTCLENDU=2)*(xlRTCLEQCL=$F798),0))</f>
        <v>CENT_AIR</v>
      </c>
      <c r="X798" s="7" t="str">
        <f t="array" ref="X798">INDEX(xlRTTYNAME,MATCH(1,(xlRTTYENDU=1)*(xlRTTYEQCL=$D798)*(xlRTEQTYPE=$E798),0))</f>
        <v>WOOD_HT4</v>
      </c>
      <c r="Y798" s="7" t="str">
        <f t="array" ref="Y798">INDEX(xlRTTYNAME,MATCH(1,(xlRTTYENDU=2)*(xlRTTYEQCL=$F798)*(xlRTEQTYPE=$G798),0))</f>
        <v>CENT_AIR4</v>
      </c>
    </row>
    <row r="799" spans="2:25" x14ac:dyDescent="0.2">
      <c r="B799" s="5">
        <v>3</v>
      </c>
      <c r="C799" s="5">
        <v>1</v>
      </c>
      <c r="D799" s="5">
        <v>9</v>
      </c>
      <c r="E799" s="31">
        <v>30</v>
      </c>
      <c r="F799" s="5">
        <v>2</v>
      </c>
      <c r="G799" s="31">
        <v>7</v>
      </c>
      <c r="H799" s="96">
        <v>2020</v>
      </c>
      <c r="I799" s="97">
        <v>2022</v>
      </c>
      <c r="J799" s="142">
        <v>1.0821000000000001</v>
      </c>
      <c r="K799" s="142">
        <v>1.0769</v>
      </c>
      <c r="L799" s="142">
        <v>0.43490000000000001</v>
      </c>
      <c r="M799" s="142">
        <v>0.89800000000000002</v>
      </c>
      <c r="N799" s="142">
        <v>0.91400000000000003</v>
      </c>
      <c r="O799" s="142">
        <v>1.0538000000000001</v>
      </c>
      <c r="P799" s="26">
        <v>17265.164359036837</v>
      </c>
      <c r="Q799" s="35">
        <f t="array" ref="Q799">SUM(IF(($S799&gt;=4)*($C799='TaxCred&amp;Subs'!$D$114:$D$121)*($H799='TaxCred&amp;Subs'!$C$114:$C$121)*($H799&lt;='TaxCred&amp;Subs'!$C$123),'TaxCred&amp;Subs'!$E$114:$E$121,0))</f>
        <v>2000</v>
      </c>
      <c r="R799" s="143">
        <v>0</v>
      </c>
      <c r="S799" s="5">
        <v>5</v>
      </c>
      <c r="T799" s="5" t="s">
        <v>221</v>
      </c>
      <c r="V799" s="7" t="str">
        <f t="array" ref="V799">INDEX(xlRTCLNAME,MATCH(1,(xlRTCLENDU=1)*(xlRTCLEQCL=$D799),0))</f>
        <v>WOOD_HT</v>
      </c>
      <c r="W799" s="7" t="str">
        <f t="array" ref="W799">INDEX(xlRTCLNAME,MATCH(1,(xlRTCLENDU=2)*(xlRTCLEQCL=$F799),0))</f>
        <v>CENT_AIR</v>
      </c>
      <c r="X799" s="7" t="str">
        <f t="array" ref="X799">INDEX(xlRTTYNAME,MATCH(1,(xlRTTYENDU=1)*(xlRTTYEQCL=$D799)*(xlRTEQTYPE=$E799),0))</f>
        <v>WOOD_HT4</v>
      </c>
      <c r="Y799" s="7" t="str">
        <f t="array" ref="Y799">INDEX(xlRTTYNAME,MATCH(1,(xlRTTYENDU=2)*(xlRTTYEQCL=$F799)*(xlRTEQTYPE=$G799),0))</f>
        <v>CENT_AIR4</v>
      </c>
    </row>
    <row r="800" spans="2:25" x14ac:dyDescent="0.2">
      <c r="B800" s="5">
        <v>3</v>
      </c>
      <c r="C800" s="5">
        <v>1</v>
      </c>
      <c r="D800" s="5">
        <v>9</v>
      </c>
      <c r="E800" s="31">
        <v>30</v>
      </c>
      <c r="F800" s="5">
        <v>2</v>
      </c>
      <c r="G800" s="31">
        <v>7</v>
      </c>
      <c r="H800" s="97">
        <v>2023</v>
      </c>
      <c r="I800" s="97">
        <v>2032</v>
      </c>
      <c r="J800" s="142">
        <v>1.0821000000000001</v>
      </c>
      <c r="K800" s="142">
        <v>1.0769</v>
      </c>
      <c r="L800" s="142">
        <v>0.43490000000000001</v>
      </c>
      <c r="M800" s="142">
        <v>0.89800000000000002</v>
      </c>
      <c r="N800" s="142">
        <v>0.91400000000000003</v>
      </c>
      <c r="O800" s="142">
        <v>1.0538000000000001</v>
      </c>
      <c r="P800" s="26">
        <v>17265.164359036837</v>
      </c>
      <c r="Q800" s="35">
        <f t="array" ref="Q800">SUM(IF(($S800&gt;=4)*($C800='TaxCred&amp;Subs'!$D$114:$D$121)*($H800='TaxCred&amp;Subs'!$C$114:$C$121)*($H800&lt;='TaxCred&amp;Subs'!$C$123),'TaxCred&amp;Subs'!$E$114:$E$121,0))</f>
        <v>2500</v>
      </c>
      <c r="R800" s="143">
        <v>0</v>
      </c>
      <c r="S800" s="5">
        <v>5</v>
      </c>
      <c r="T800" s="5" t="s">
        <v>221</v>
      </c>
      <c r="V800" s="7" t="str">
        <f t="array" ref="V800">INDEX(xlRTCLNAME,MATCH(1,(xlRTCLENDU=1)*(xlRTCLEQCL=$D800),0))</f>
        <v>WOOD_HT</v>
      </c>
      <c r="W800" s="7" t="str">
        <f t="array" ref="W800">INDEX(xlRTCLNAME,MATCH(1,(xlRTCLENDU=2)*(xlRTCLEQCL=$F800),0))</f>
        <v>CENT_AIR</v>
      </c>
      <c r="X800" s="7" t="str">
        <f t="array" ref="X800">INDEX(xlRTTYNAME,MATCH(1,(xlRTTYENDU=1)*(xlRTTYEQCL=$D800)*(xlRTEQTYPE=$E800),0))</f>
        <v>WOOD_HT4</v>
      </c>
      <c r="Y800" s="7" t="str">
        <f t="array" ref="Y800">INDEX(xlRTTYNAME,MATCH(1,(xlRTTYENDU=2)*(xlRTTYEQCL=$F800)*(xlRTEQTYPE=$G800),0))</f>
        <v>CENT_AIR4</v>
      </c>
    </row>
    <row r="801" spans="2:25" x14ac:dyDescent="0.2">
      <c r="B801" s="5">
        <v>3</v>
      </c>
      <c r="C801" s="5">
        <v>1</v>
      </c>
      <c r="D801" s="5">
        <v>9</v>
      </c>
      <c r="E801" s="31">
        <v>30</v>
      </c>
      <c r="F801" s="5">
        <v>2</v>
      </c>
      <c r="G801" s="31">
        <v>7</v>
      </c>
      <c r="H801" s="97">
        <v>2033</v>
      </c>
      <c r="I801" s="97">
        <v>2050</v>
      </c>
      <c r="J801" s="142">
        <v>1.0821000000000001</v>
      </c>
      <c r="K801" s="142">
        <v>1.0769</v>
      </c>
      <c r="L801" s="142">
        <v>0.43490000000000001</v>
      </c>
      <c r="M801" s="142">
        <v>0.89800000000000002</v>
      </c>
      <c r="N801" s="142">
        <v>0.91400000000000003</v>
      </c>
      <c r="O801" s="142">
        <v>1.0538000000000001</v>
      </c>
      <c r="P801" s="26">
        <v>17265.164359036837</v>
      </c>
      <c r="Q801" s="35">
        <f t="array" ref="Q801">SUM(IF(($S801&gt;=4)*($C801='TaxCred&amp;Subs'!$D$114:$D$121)*($H801='TaxCred&amp;Subs'!$C$114:$C$121)*($H801&lt;='TaxCred&amp;Subs'!$C$123),'TaxCred&amp;Subs'!$E$114:$E$121,0))</f>
        <v>0</v>
      </c>
      <c r="R801" s="143">
        <v>0</v>
      </c>
      <c r="S801" s="5">
        <v>5</v>
      </c>
      <c r="T801" s="5" t="s">
        <v>221</v>
      </c>
      <c r="V801" s="7" t="str">
        <f t="array" ref="V801">INDEX(xlRTCLNAME,MATCH(1,(xlRTCLENDU=1)*(xlRTCLEQCL=$D801),0))</f>
        <v>WOOD_HT</v>
      </c>
      <c r="W801" s="7" t="str">
        <f t="array" ref="W801">INDEX(xlRTCLNAME,MATCH(1,(xlRTCLENDU=2)*(xlRTCLEQCL=$F801),0))</f>
        <v>CENT_AIR</v>
      </c>
      <c r="X801" s="7" t="str">
        <f t="array" ref="X801">INDEX(xlRTTYNAME,MATCH(1,(xlRTTYENDU=1)*(xlRTTYEQCL=$D801)*(xlRTEQTYPE=$E801),0))</f>
        <v>WOOD_HT4</v>
      </c>
      <c r="Y801" s="7" t="str">
        <f t="array" ref="Y801">INDEX(xlRTTYNAME,MATCH(1,(xlRTTYENDU=2)*(xlRTTYEQCL=$F801)*(xlRTEQTYPE=$G801),0))</f>
        <v>CENT_AIR4</v>
      </c>
    </row>
    <row r="802" spans="2:25" x14ac:dyDescent="0.2">
      <c r="B802" s="5">
        <v>4</v>
      </c>
      <c r="C802" s="5">
        <v>1</v>
      </c>
      <c r="D802" s="5">
        <v>9</v>
      </c>
      <c r="E802" s="31">
        <v>30</v>
      </c>
      <c r="F802" s="5">
        <v>2</v>
      </c>
      <c r="G802" s="31">
        <v>7</v>
      </c>
      <c r="H802" s="96">
        <v>2020</v>
      </c>
      <c r="I802" s="97">
        <v>2022</v>
      </c>
      <c r="J802" s="142">
        <v>1.0812999999999999</v>
      </c>
      <c r="K802" s="142">
        <v>1.0769</v>
      </c>
      <c r="L802" s="142">
        <v>0.44280000000000003</v>
      </c>
      <c r="M802" s="142">
        <v>0.86639999999999995</v>
      </c>
      <c r="N802" s="142">
        <v>0.85660000000000003</v>
      </c>
      <c r="O802" s="142">
        <v>1.0538000000000001</v>
      </c>
      <c r="P802" s="26">
        <v>14059.794696865367</v>
      </c>
      <c r="Q802" s="35">
        <f t="array" ref="Q802">SUM(IF(($S802&gt;=4)*($C802='TaxCred&amp;Subs'!$D$114:$D$121)*($H802='TaxCred&amp;Subs'!$C$114:$C$121)*($H802&lt;='TaxCred&amp;Subs'!$C$123),'TaxCred&amp;Subs'!$E$114:$E$121,0))</f>
        <v>2000</v>
      </c>
      <c r="R802" s="143">
        <v>0</v>
      </c>
      <c r="S802" s="5">
        <v>5</v>
      </c>
      <c r="T802" s="5" t="s">
        <v>221</v>
      </c>
      <c r="V802" s="7" t="str">
        <f t="array" ref="V802">INDEX(xlRTCLNAME,MATCH(1,(xlRTCLENDU=1)*(xlRTCLEQCL=$D802),0))</f>
        <v>WOOD_HT</v>
      </c>
      <c r="W802" s="7" t="str">
        <f t="array" ref="W802">INDEX(xlRTCLNAME,MATCH(1,(xlRTCLENDU=2)*(xlRTCLEQCL=$F802),0))</f>
        <v>CENT_AIR</v>
      </c>
      <c r="X802" s="7" t="str">
        <f t="array" ref="X802">INDEX(xlRTTYNAME,MATCH(1,(xlRTTYENDU=1)*(xlRTTYEQCL=$D802)*(xlRTEQTYPE=$E802),0))</f>
        <v>WOOD_HT4</v>
      </c>
      <c r="Y802" s="7" t="str">
        <f t="array" ref="Y802">INDEX(xlRTTYNAME,MATCH(1,(xlRTTYENDU=2)*(xlRTTYEQCL=$F802)*(xlRTEQTYPE=$G802),0))</f>
        <v>CENT_AIR4</v>
      </c>
    </row>
    <row r="803" spans="2:25" x14ac:dyDescent="0.2">
      <c r="B803" s="5">
        <v>4</v>
      </c>
      <c r="C803" s="5">
        <v>1</v>
      </c>
      <c r="D803" s="5">
        <v>9</v>
      </c>
      <c r="E803" s="31">
        <v>30</v>
      </c>
      <c r="F803" s="5">
        <v>2</v>
      </c>
      <c r="G803" s="31">
        <v>7</v>
      </c>
      <c r="H803" s="97">
        <v>2023</v>
      </c>
      <c r="I803" s="97">
        <v>2032</v>
      </c>
      <c r="J803" s="142">
        <v>1.0812999999999999</v>
      </c>
      <c r="K803" s="142">
        <v>1.0769</v>
      </c>
      <c r="L803" s="142">
        <v>0.44280000000000003</v>
      </c>
      <c r="M803" s="142">
        <v>0.86639999999999995</v>
      </c>
      <c r="N803" s="142">
        <v>0.85660000000000003</v>
      </c>
      <c r="O803" s="142">
        <v>1.0538000000000001</v>
      </c>
      <c r="P803" s="26">
        <v>14059.794696865367</v>
      </c>
      <c r="Q803" s="35">
        <f t="array" ref="Q803">SUM(IF(($S803&gt;=4)*($C803='TaxCred&amp;Subs'!$D$114:$D$121)*($H803='TaxCred&amp;Subs'!$C$114:$C$121)*($H803&lt;='TaxCred&amp;Subs'!$C$123),'TaxCred&amp;Subs'!$E$114:$E$121,0))</f>
        <v>2500</v>
      </c>
      <c r="R803" s="143">
        <v>0</v>
      </c>
      <c r="S803" s="5">
        <v>5</v>
      </c>
      <c r="T803" s="5" t="s">
        <v>221</v>
      </c>
      <c r="V803" s="7" t="str">
        <f t="array" ref="V803">INDEX(xlRTCLNAME,MATCH(1,(xlRTCLENDU=1)*(xlRTCLEQCL=$D803),0))</f>
        <v>WOOD_HT</v>
      </c>
      <c r="W803" s="7" t="str">
        <f t="array" ref="W803">INDEX(xlRTCLNAME,MATCH(1,(xlRTCLENDU=2)*(xlRTCLEQCL=$F803),0))</f>
        <v>CENT_AIR</v>
      </c>
      <c r="X803" s="7" t="str">
        <f t="array" ref="X803">INDEX(xlRTTYNAME,MATCH(1,(xlRTTYENDU=1)*(xlRTTYEQCL=$D803)*(xlRTEQTYPE=$E803),0))</f>
        <v>WOOD_HT4</v>
      </c>
      <c r="Y803" s="7" t="str">
        <f t="array" ref="Y803">INDEX(xlRTTYNAME,MATCH(1,(xlRTTYENDU=2)*(xlRTTYEQCL=$F803)*(xlRTEQTYPE=$G803),0))</f>
        <v>CENT_AIR4</v>
      </c>
    </row>
    <row r="804" spans="2:25" x14ac:dyDescent="0.2">
      <c r="B804" s="5">
        <v>4</v>
      </c>
      <c r="C804" s="5">
        <v>1</v>
      </c>
      <c r="D804" s="5">
        <v>9</v>
      </c>
      <c r="E804" s="31">
        <v>30</v>
      </c>
      <c r="F804" s="5">
        <v>2</v>
      </c>
      <c r="G804" s="31">
        <v>7</v>
      </c>
      <c r="H804" s="97">
        <v>2033</v>
      </c>
      <c r="I804" s="97">
        <v>2050</v>
      </c>
      <c r="J804" s="142">
        <v>1.0812999999999999</v>
      </c>
      <c r="K804" s="142">
        <v>1.0769</v>
      </c>
      <c r="L804" s="142">
        <v>0.44280000000000003</v>
      </c>
      <c r="M804" s="142">
        <v>0.86639999999999995</v>
      </c>
      <c r="N804" s="142">
        <v>0.85660000000000003</v>
      </c>
      <c r="O804" s="142">
        <v>1.0538000000000001</v>
      </c>
      <c r="P804" s="26">
        <v>14059.794696865367</v>
      </c>
      <c r="Q804" s="35">
        <f t="array" ref="Q804">SUM(IF(($S804&gt;=4)*($C804='TaxCred&amp;Subs'!$D$114:$D$121)*($H804='TaxCred&amp;Subs'!$C$114:$C$121)*($H804&lt;='TaxCred&amp;Subs'!$C$123),'TaxCred&amp;Subs'!$E$114:$E$121,0))</f>
        <v>0</v>
      </c>
      <c r="R804" s="143">
        <v>0</v>
      </c>
      <c r="S804" s="5">
        <v>5</v>
      </c>
      <c r="T804" s="5" t="s">
        <v>221</v>
      </c>
      <c r="V804" s="7" t="str">
        <f t="array" ref="V804">INDEX(xlRTCLNAME,MATCH(1,(xlRTCLENDU=1)*(xlRTCLEQCL=$D804),0))</f>
        <v>WOOD_HT</v>
      </c>
      <c r="W804" s="7" t="str">
        <f t="array" ref="W804">INDEX(xlRTCLNAME,MATCH(1,(xlRTCLENDU=2)*(xlRTCLEQCL=$F804),0))</f>
        <v>CENT_AIR</v>
      </c>
      <c r="X804" s="7" t="str">
        <f t="array" ref="X804">INDEX(xlRTTYNAME,MATCH(1,(xlRTTYENDU=1)*(xlRTTYEQCL=$D804)*(xlRTEQTYPE=$E804),0))</f>
        <v>WOOD_HT4</v>
      </c>
      <c r="Y804" s="7" t="str">
        <f t="array" ref="Y804">INDEX(xlRTTYNAME,MATCH(1,(xlRTTYENDU=2)*(xlRTTYEQCL=$F804)*(xlRTEQTYPE=$G804),0))</f>
        <v>CENT_AIR4</v>
      </c>
    </row>
    <row r="805" spans="2:25" x14ac:dyDescent="0.2">
      <c r="B805" s="5">
        <v>5</v>
      </c>
      <c r="C805" s="5">
        <v>1</v>
      </c>
      <c r="D805" s="5">
        <v>9</v>
      </c>
      <c r="E805" s="31">
        <v>30</v>
      </c>
      <c r="F805" s="5">
        <v>2</v>
      </c>
      <c r="G805" s="31">
        <v>7</v>
      </c>
      <c r="H805" s="96">
        <v>2020</v>
      </c>
      <c r="I805" s="97">
        <v>2022</v>
      </c>
      <c r="J805" s="142">
        <v>1.0838000000000001</v>
      </c>
      <c r="K805" s="142">
        <v>1.0465</v>
      </c>
      <c r="L805" s="142">
        <v>0.32329999999999998</v>
      </c>
      <c r="M805" s="142">
        <v>0.73150000000000004</v>
      </c>
      <c r="N805" s="142">
        <v>0.75670000000000004</v>
      </c>
      <c r="O805" s="142">
        <v>1.0538000000000001</v>
      </c>
      <c r="P805" s="26">
        <v>15568.362130152442</v>
      </c>
      <c r="Q805" s="35">
        <f t="array" ref="Q805">SUM(IF(($S805&gt;=4)*($C805='TaxCred&amp;Subs'!$D$114:$D$121)*($H805='TaxCred&amp;Subs'!$C$114:$C$121)*($H805&lt;='TaxCred&amp;Subs'!$C$123),'TaxCred&amp;Subs'!$E$114:$E$121,0))</f>
        <v>2000</v>
      </c>
      <c r="R805" s="143">
        <v>0</v>
      </c>
      <c r="S805" s="5">
        <v>5</v>
      </c>
      <c r="T805" s="5" t="s">
        <v>221</v>
      </c>
      <c r="V805" s="7" t="str">
        <f t="array" ref="V805">INDEX(xlRTCLNAME,MATCH(1,(xlRTCLENDU=1)*(xlRTCLEQCL=$D805),0))</f>
        <v>WOOD_HT</v>
      </c>
      <c r="W805" s="7" t="str">
        <f t="array" ref="W805">INDEX(xlRTCLNAME,MATCH(1,(xlRTCLENDU=2)*(xlRTCLEQCL=$F805),0))</f>
        <v>CENT_AIR</v>
      </c>
      <c r="X805" s="7" t="str">
        <f t="array" ref="X805">INDEX(xlRTTYNAME,MATCH(1,(xlRTTYENDU=1)*(xlRTTYEQCL=$D805)*(xlRTEQTYPE=$E805),0))</f>
        <v>WOOD_HT4</v>
      </c>
      <c r="Y805" s="7" t="str">
        <f t="array" ref="Y805">INDEX(xlRTTYNAME,MATCH(1,(xlRTTYENDU=2)*(xlRTTYEQCL=$F805)*(xlRTEQTYPE=$G805),0))</f>
        <v>CENT_AIR4</v>
      </c>
    </row>
    <row r="806" spans="2:25" x14ac:dyDescent="0.2">
      <c r="B806" s="5">
        <v>5</v>
      </c>
      <c r="C806" s="5">
        <v>1</v>
      </c>
      <c r="D806" s="5">
        <v>9</v>
      </c>
      <c r="E806" s="31">
        <v>30</v>
      </c>
      <c r="F806" s="5">
        <v>2</v>
      </c>
      <c r="G806" s="31">
        <v>7</v>
      </c>
      <c r="H806" s="97">
        <v>2023</v>
      </c>
      <c r="I806" s="97">
        <v>2032</v>
      </c>
      <c r="J806" s="142">
        <v>1.0838000000000001</v>
      </c>
      <c r="K806" s="142">
        <v>1.0465</v>
      </c>
      <c r="L806" s="142">
        <v>0.32329999999999998</v>
      </c>
      <c r="M806" s="142">
        <v>0.73150000000000004</v>
      </c>
      <c r="N806" s="142">
        <v>0.75670000000000004</v>
      </c>
      <c r="O806" s="142">
        <v>1.0538000000000001</v>
      </c>
      <c r="P806" s="26">
        <v>15568.362130152442</v>
      </c>
      <c r="Q806" s="35">
        <f t="array" ref="Q806">SUM(IF(($S806&gt;=4)*($C806='TaxCred&amp;Subs'!$D$114:$D$121)*($H806='TaxCred&amp;Subs'!$C$114:$C$121)*($H806&lt;='TaxCred&amp;Subs'!$C$123),'TaxCred&amp;Subs'!$E$114:$E$121,0))</f>
        <v>2500</v>
      </c>
      <c r="R806" s="143">
        <v>0</v>
      </c>
      <c r="S806" s="5">
        <v>5</v>
      </c>
      <c r="T806" s="5" t="s">
        <v>221</v>
      </c>
      <c r="V806" s="7" t="str">
        <f t="array" ref="V806">INDEX(xlRTCLNAME,MATCH(1,(xlRTCLENDU=1)*(xlRTCLEQCL=$D806),0))</f>
        <v>WOOD_HT</v>
      </c>
      <c r="W806" s="7" t="str">
        <f t="array" ref="W806">INDEX(xlRTCLNAME,MATCH(1,(xlRTCLENDU=2)*(xlRTCLEQCL=$F806),0))</f>
        <v>CENT_AIR</v>
      </c>
      <c r="X806" s="7" t="str">
        <f t="array" ref="X806">INDEX(xlRTTYNAME,MATCH(1,(xlRTTYENDU=1)*(xlRTTYEQCL=$D806)*(xlRTEQTYPE=$E806),0))</f>
        <v>WOOD_HT4</v>
      </c>
      <c r="Y806" s="7" t="str">
        <f t="array" ref="Y806">INDEX(xlRTTYNAME,MATCH(1,(xlRTTYENDU=2)*(xlRTTYEQCL=$F806)*(xlRTEQTYPE=$G806),0))</f>
        <v>CENT_AIR4</v>
      </c>
    </row>
    <row r="807" spans="2:25" x14ac:dyDescent="0.2">
      <c r="B807" s="5">
        <v>5</v>
      </c>
      <c r="C807" s="5">
        <v>1</v>
      </c>
      <c r="D807" s="5">
        <v>9</v>
      </c>
      <c r="E807" s="31">
        <v>30</v>
      </c>
      <c r="F807" s="5">
        <v>2</v>
      </c>
      <c r="G807" s="31">
        <v>7</v>
      </c>
      <c r="H807" s="97">
        <v>2033</v>
      </c>
      <c r="I807" s="97">
        <v>2050</v>
      </c>
      <c r="J807" s="142">
        <v>1.0838000000000001</v>
      </c>
      <c r="K807" s="142">
        <v>1.0465</v>
      </c>
      <c r="L807" s="142">
        <v>0.32329999999999998</v>
      </c>
      <c r="M807" s="142">
        <v>0.73150000000000004</v>
      </c>
      <c r="N807" s="142">
        <v>0.75670000000000004</v>
      </c>
      <c r="O807" s="142">
        <v>1.0538000000000001</v>
      </c>
      <c r="P807" s="26">
        <v>15568.362130152442</v>
      </c>
      <c r="Q807" s="35">
        <f t="array" ref="Q807">SUM(IF(($S807&gt;=4)*($C807='TaxCred&amp;Subs'!$D$114:$D$121)*($H807='TaxCred&amp;Subs'!$C$114:$C$121)*($H807&lt;='TaxCred&amp;Subs'!$C$123),'TaxCred&amp;Subs'!$E$114:$E$121,0))</f>
        <v>0</v>
      </c>
      <c r="R807" s="143">
        <v>0</v>
      </c>
      <c r="S807" s="5">
        <v>5</v>
      </c>
      <c r="T807" s="5" t="s">
        <v>221</v>
      </c>
      <c r="V807" s="7" t="str">
        <f t="array" ref="V807">INDEX(xlRTCLNAME,MATCH(1,(xlRTCLENDU=1)*(xlRTCLEQCL=$D807),0))</f>
        <v>WOOD_HT</v>
      </c>
      <c r="W807" s="7" t="str">
        <f t="array" ref="W807">INDEX(xlRTCLNAME,MATCH(1,(xlRTCLENDU=2)*(xlRTCLEQCL=$F807),0))</f>
        <v>CENT_AIR</v>
      </c>
      <c r="X807" s="7" t="str">
        <f t="array" ref="X807">INDEX(xlRTTYNAME,MATCH(1,(xlRTTYENDU=1)*(xlRTTYEQCL=$D807)*(xlRTEQTYPE=$E807),0))</f>
        <v>WOOD_HT4</v>
      </c>
      <c r="Y807" s="7" t="str">
        <f t="array" ref="Y807">INDEX(xlRTTYNAME,MATCH(1,(xlRTTYENDU=2)*(xlRTTYEQCL=$F807)*(xlRTEQTYPE=$G807),0))</f>
        <v>CENT_AIR4</v>
      </c>
    </row>
    <row r="808" spans="2:25" x14ac:dyDescent="0.2">
      <c r="B808" s="5">
        <v>6</v>
      </c>
      <c r="C808" s="5">
        <v>1</v>
      </c>
      <c r="D808" s="5">
        <v>9</v>
      </c>
      <c r="E808" s="31">
        <v>30</v>
      </c>
      <c r="F808" s="5">
        <v>2</v>
      </c>
      <c r="G808" s="31">
        <v>7</v>
      </c>
      <c r="H808" s="96">
        <v>2020</v>
      </c>
      <c r="I808" s="97">
        <v>2022</v>
      </c>
      <c r="J808" s="142">
        <v>1.089</v>
      </c>
      <c r="K808" s="142">
        <v>1.0583</v>
      </c>
      <c r="L808" s="142">
        <v>0.41599999999999998</v>
      </c>
      <c r="M808" s="142">
        <v>0.76590000000000003</v>
      </c>
      <c r="N808" s="142">
        <v>0.88849999999999996</v>
      </c>
      <c r="O808" s="142">
        <v>1.0538000000000001</v>
      </c>
      <c r="P808" s="26">
        <v>15382.816403063658</v>
      </c>
      <c r="Q808" s="35">
        <f t="array" ref="Q808">SUM(IF(($S808&gt;=4)*($C808='TaxCred&amp;Subs'!$D$114:$D$121)*($H808='TaxCred&amp;Subs'!$C$114:$C$121)*($H808&lt;='TaxCred&amp;Subs'!$C$123),'TaxCred&amp;Subs'!$E$114:$E$121,0))</f>
        <v>2000</v>
      </c>
      <c r="R808" s="143">
        <v>0</v>
      </c>
      <c r="S808" s="5">
        <v>5</v>
      </c>
      <c r="T808" s="5" t="s">
        <v>221</v>
      </c>
      <c r="V808" s="7" t="str">
        <f t="array" ref="V808">INDEX(xlRTCLNAME,MATCH(1,(xlRTCLENDU=1)*(xlRTCLEQCL=$D808),0))</f>
        <v>WOOD_HT</v>
      </c>
      <c r="W808" s="7" t="str">
        <f t="array" ref="W808">INDEX(xlRTCLNAME,MATCH(1,(xlRTCLENDU=2)*(xlRTCLEQCL=$F808),0))</f>
        <v>CENT_AIR</v>
      </c>
      <c r="X808" s="7" t="str">
        <f t="array" ref="X808">INDEX(xlRTTYNAME,MATCH(1,(xlRTTYENDU=1)*(xlRTTYEQCL=$D808)*(xlRTEQTYPE=$E808),0))</f>
        <v>WOOD_HT4</v>
      </c>
      <c r="Y808" s="7" t="str">
        <f t="array" ref="Y808">INDEX(xlRTTYNAME,MATCH(1,(xlRTTYENDU=2)*(xlRTTYEQCL=$F808)*(xlRTEQTYPE=$G808),0))</f>
        <v>CENT_AIR4</v>
      </c>
    </row>
    <row r="809" spans="2:25" x14ac:dyDescent="0.2">
      <c r="B809" s="5">
        <v>6</v>
      </c>
      <c r="C809" s="5">
        <v>1</v>
      </c>
      <c r="D809" s="5">
        <v>9</v>
      </c>
      <c r="E809" s="31">
        <v>30</v>
      </c>
      <c r="F809" s="5">
        <v>2</v>
      </c>
      <c r="G809" s="31">
        <v>7</v>
      </c>
      <c r="H809" s="97">
        <v>2023</v>
      </c>
      <c r="I809" s="97">
        <v>2032</v>
      </c>
      <c r="J809" s="142">
        <v>1.089</v>
      </c>
      <c r="K809" s="142">
        <v>1.0583</v>
      </c>
      <c r="L809" s="142">
        <v>0.41599999999999998</v>
      </c>
      <c r="M809" s="142">
        <v>0.76590000000000003</v>
      </c>
      <c r="N809" s="142">
        <v>0.88849999999999996</v>
      </c>
      <c r="O809" s="142">
        <v>1.0538000000000001</v>
      </c>
      <c r="P809" s="26">
        <v>15382.816403063658</v>
      </c>
      <c r="Q809" s="35">
        <f t="array" ref="Q809">SUM(IF(($S809&gt;=4)*($C809='TaxCred&amp;Subs'!$D$114:$D$121)*($H809='TaxCred&amp;Subs'!$C$114:$C$121)*($H809&lt;='TaxCred&amp;Subs'!$C$123),'TaxCred&amp;Subs'!$E$114:$E$121,0))</f>
        <v>2500</v>
      </c>
      <c r="R809" s="143">
        <v>0</v>
      </c>
      <c r="S809" s="5">
        <v>5</v>
      </c>
      <c r="T809" s="5" t="s">
        <v>221</v>
      </c>
      <c r="V809" s="7" t="str">
        <f t="array" ref="V809">INDEX(xlRTCLNAME,MATCH(1,(xlRTCLENDU=1)*(xlRTCLEQCL=$D809),0))</f>
        <v>WOOD_HT</v>
      </c>
      <c r="W809" s="7" t="str">
        <f t="array" ref="W809">INDEX(xlRTCLNAME,MATCH(1,(xlRTCLENDU=2)*(xlRTCLEQCL=$F809),0))</f>
        <v>CENT_AIR</v>
      </c>
      <c r="X809" s="7" t="str">
        <f t="array" ref="X809">INDEX(xlRTTYNAME,MATCH(1,(xlRTTYENDU=1)*(xlRTTYEQCL=$D809)*(xlRTEQTYPE=$E809),0))</f>
        <v>WOOD_HT4</v>
      </c>
      <c r="Y809" s="7" t="str">
        <f t="array" ref="Y809">INDEX(xlRTTYNAME,MATCH(1,(xlRTTYENDU=2)*(xlRTTYEQCL=$F809)*(xlRTEQTYPE=$G809),0))</f>
        <v>CENT_AIR4</v>
      </c>
    </row>
    <row r="810" spans="2:25" x14ac:dyDescent="0.2">
      <c r="B810" s="5">
        <v>6</v>
      </c>
      <c r="C810" s="5">
        <v>1</v>
      </c>
      <c r="D810" s="5">
        <v>9</v>
      </c>
      <c r="E810" s="31">
        <v>30</v>
      </c>
      <c r="F810" s="5">
        <v>2</v>
      </c>
      <c r="G810" s="31">
        <v>7</v>
      </c>
      <c r="H810" s="97">
        <v>2033</v>
      </c>
      <c r="I810" s="97">
        <v>2050</v>
      </c>
      <c r="J810" s="142">
        <v>1.089</v>
      </c>
      <c r="K810" s="142">
        <v>1.0583</v>
      </c>
      <c r="L810" s="142">
        <v>0.41599999999999998</v>
      </c>
      <c r="M810" s="142">
        <v>0.76590000000000003</v>
      </c>
      <c r="N810" s="142">
        <v>0.88849999999999996</v>
      </c>
      <c r="O810" s="142">
        <v>1.0538000000000001</v>
      </c>
      <c r="P810" s="26">
        <v>15382.816403063658</v>
      </c>
      <c r="Q810" s="35">
        <f t="array" ref="Q810">SUM(IF(($S810&gt;=4)*($C810='TaxCred&amp;Subs'!$D$114:$D$121)*($H810='TaxCred&amp;Subs'!$C$114:$C$121)*($H810&lt;='TaxCred&amp;Subs'!$C$123),'TaxCred&amp;Subs'!$E$114:$E$121,0))</f>
        <v>0</v>
      </c>
      <c r="R810" s="143">
        <v>0</v>
      </c>
      <c r="S810" s="5">
        <v>5</v>
      </c>
      <c r="T810" s="5" t="s">
        <v>221</v>
      </c>
      <c r="V810" s="7" t="str">
        <f t="array" ref="V810">INDEX(xlRTCLNAME,MATCH(1,(xlRTCLENDU=1)*(xlRTCLEQCL=$D810),0))</f>
        <v>WOOD_HT</v>
      </c>
      <c r="W810" s="7" t="str">
        <f t="array" ref="W810">INDEX(xlRTCLNAME,MATCH(1,(xlRTCLENDU=2)*(xlRTCLEQCL=$F810),0))</f>
        <v>CENT_AIR</v>
      </c>
      <c r="X810" s="7" t="str">
        <f t="array" ref="X810">INDEX(xlRTTYNAME,MATCH(1,(xlRTTYENDU=1)*(xlRTTYEQCL=$D810)*(xlRTEQTYPE=$E810),0))</f>
        <v>WOOD_HT4</v>
      </c>
      <c r="Y810" s="7" t="str">
        <f t="array" ref="Y810">INDEX(xlRTTYNAME,MATCH(1,(xlRTTYENDU=2)*(xlRTTYEQCL=$F810)*(xlRTEQTYPE=$G810),0))</f>
        <v>CENT_AIR4</v>
      </c>
    </row>
    <row r="811" spans="2:25" x14ac:dyDescent="0.2">
      <c r="B811" s="5">
        <v>7</v>
      </c>
      <c r="C811" s="5">
        <v>1</v>
      </c>
      <c r="D811" s="5">
        <v>9</v>
      </c>
      <c r="E811" s="31">
        <v>30</v>
      </c>
      <c r="F811" s="5">
        <v>2</v>
      </c>
      <c r="G811" s="31">
        <v>7</v>
      </c>
      <c r="H811" s="96">
        <v>2020</v>
      </c>
      <c r="I811" s="97">
        <v>2022</v>
      </c>
      <c r="J811" s="142">
        <v>1.0867</v>
      </c>
      <c r="K811" s="142">
        <v>1.0682</v>
      </c>
      <c r="L811" s="142">
        <v>0.32069999999999999</v>
      </c>
      <c r="M811" s="142">
        <v>0.65339999999999998</v>
      </c>
      <c r="N811" s="142">
        <v>0.87180000000000002</v>
      </c>
      <c r="O811" s="142">
        <v>1.0538000000000001</v>
      </c>
      <c r="P811" s="26">
        <v>15600.63095225484</v>
      </c>
      <c r="Q811" s="35">
        <f t="array" ref="Q811">SUM(IF(($S811&gt;=4)*($C811='TaxCred&amp;Subs'!$D$114:$D$121)*($H811='TaxCred&amp;Subs'!$C$114:$C$121)*($H811&lt;='TaxCred&amp;Subs'!$C$123),'TaxCred&amp;Subs'!$E$114:$E$121,0))</f>
        <v>2000</v>
      </c>
      <c r="R811" s="143">
        <v>0</v>
      </c>
      <c r="S811" s="5">
        <v>5</v>
      </c>
      <c r="T811" s="5" t="s">
        <v>221</v>
      </c>
      <c r="V811" s="7" t="str">
        <f t="array" ref="V811">INDEX(xlRTCLNAME,MATCH(1,(xlRTCLENDU=1)*(xlRTCLEQCL=$D811),0))</f>
        <v>WOOD_HT</v>
      </c>
      <c r="W811" s="7" t="str">
        <f t="array" ref="W811">INDEX(xlRTCLNAME,MATCH(1,(xlRTCLENDU=2)*(xlRTCLEQCL=$F811),0))</f>
        <v>CENT_AIR</v>
      </c>
      <c r="X811" s="7" t="str">
        <f t="array" ref="X811">INDEX(xlRTTYNAME,MATCH(1,(xlRTTYENDU=1)*(xlRTTYEQCL=$D811)*(xlRTEQTYPE=$E811),0))</f>
        <v>WOOD_HT4</v>
      </c>
      <c r="Y811" s="7" t="str">
        <f t="array" ref="Y811">INDEX(xlRTTYNAME,MATCH(1,(xlRTTYENDU=2)*(xlRTTYEQCL=$F811)*(xlRTEQTYPE=$G811),0))</f>
        <v>CENT_AIR4</v>
      </c>
    </row>
    <row r="812" spans="2:25" x14ac:dyDescent="0.2">
      <c r="B812" s="5">
        <v>7</v>
      </c>
      <c r="C812" s="5">
        <v>1</v>
      </c>
      <c r="D812" s="5">
        <v>9</v>
      </c>
      <c r="E812" s="31">
        <v>30</v>
      </c>
      <c r="F812" s="5">
        <v>2</v>
      </c>
      <c r="G812" s="31">
        <v>7</v>
      </c>
      <c r="H812" s="97">
        <v>2023</v>
      </c>
      <c r="I812" s="97">
        <v>2032</v>
      </c>
      <c r="J812" s="142">
        <v>1.0867</v>
      </c>
      <c r="K812" s="142">
        <v>1.0682</v>
      </c>
      <c r="L812" s="142">
        <v>0.32069999999999999</v>
      </c>
      <c r="M812" s="142">
        <v>0.65339999999999998</v>
      </c>
      <c r="N812" s="142">
        <v>0.87180000000000002</v>
      </c>
      <c r="O812" s="142">
        <v>1.0538000000000001</v>
      </c>
      <c r="P812" s="26">
        <v>15600.63095225484</v>
      </c>
      <c r="Q812" s="35">
        <f t="array" ref="Q812">SUM(IF(($S812&gt;=4)*($C812='TaxCred&amp;Subs'!$D$114:$D$121)*($H812='TaxCred&amp;Subs'!$C$114:$C$121)*($H812&lt;='TaxCred&amp;Subs'!$C$123),'TaxCred&amp;Subs'!$E$114:$E$121,0))</f>
        <v>2500</v>
      </c>
      <c r="R812" s="143">
        <v>0</v>
      </c>
      <c r="S812" s="5">
        <v>5</v>
      </c>
      <c r="T812" s="5" t="s">
        <v>221</v>
      </c>
      <c r="V812" s="7" t="str">
        <f t="array" ref="V812">INDEX(xlRTCLNAME,MATCH(1,(xlRTCLENDU=1)*(xlRTCLEQCL=$D812),0))</f>
        <v>WOOD_HT</v>
      </c>
      <c r="W812" s="7" t="str">
        <f t="array" ref="W812">INDEX(xlRTCLNAME,MATCH(1,(xlRTCLENDU=2)*(xlRTCLEQCL=$F812),0))</f>
        <v>CENT_AIR</v>
      </c>
      <c r="X812" s="7" t="str">
        <f t="array" ref="X812">INDEX(xlRTTYNAME,MATCH(1,(xlRTTYENDU=1)*(xlRTTYEQCL=$D812)*(xlRTEQTYPE=$E812),0))</f>
        <v>WOOD_HT4</v>
      </c>
      <c r="Y812" s="7" t="str">
        <f t="array" ref="Y812">INDEX(xlRTTYNAME,MATCH(1,(xlRTTYENDU=2)*(xlRTTYEQCL=$F812)*(xlRTEQTYPE=$G812),0))</f>
        <v>CENT_AIR4</v>
      </c>
    </row>
    <row r="813" spans="2:25" x14ac:dyDescent="0.2">
      <c r="B813" s="5">
        <v>7</v>
      </c>
      <c r="C813" s="5">
        <v>1</v>
      </c>
      <c r="D813" s="5">
        <v>9</v>
      </c>
      <c r="E813" s="31">
        <v>30</v>
      </c>
      <c r="F813" s="5">
        <v>2</v>
      </c>
      <c r="G813" s="31">
        <v>7</v>
      </c>
      <c r="H813" s="97">
        <v>2033</v>
      </c>
      <c r="I813" s="97">
        <v>2050</v>
      </c>
      <c r="J813" s="142">
        <v>1.0867</v>
      </c>
      <c r="K813" s="142">
        <v>1.0682</v>
      </c>
      <c r="L813" s="142">
        <v>0.32069999999999999</v>
      </c>
      <c r="M813" s="142">
        <v>0.65339999999999998</v>
      </c>
      <c r="N813" s="142">
        <v>0.87180000000000002</v>
      </c>
      <c r="O813" s="142">
        <v>1.0538000000000001</v>
      </c>
      <c r="P813" s="26">
        <v>15600.63095225484</v>
      </c>
      <c r="Q813" s="35">
        <f t="array" ref="Q813">SUM(IF(($S813&gt;=4)*($C813='TaxCred&amp;Subs'!$D$114:$D$121)*($H813='TaxCred&amp;Subs'!$C$114:$C$121)*($H813&lt;='TaxCred&amp;Subs'!$C$123),'TaxCred&amp;Subs'!$E$114:$E$121,0))</f>
        <v>0</v>
      </c>
      <c r="R813" s="143">
        <v>0</v>
      </c>
      <c r="S813" s="5">
        <v>5</v>
      </c>
      <c r="T813" s="5" t="s">
        <v>221</v>
      </c>
      <c r="V813" s="7" t="str">
        <f t="array" ref="V813">INDEX(xlRTCLNAME,MATCH(1,(xlRTCLENDU=1)*(xlRTCLEQCL=$D813),0))</f>
        <v>WOOD_HT</v>
      </c>
      <c r="W813" s="7" t="str">
        <f t="array" ref="W813">INDEX(xlRTCLNAME,MATCH(1,(xlRTCLENDU=2)*(xlRTCLEQCL=$F813),0))</f>
        <v>CENT_AIR</v>
      </c>
      <c r="X813" s="7" t="str">
        <f t="array" ref="X813">INDEX(xlRTTYNAME,MATCH(1,(xlRTTYENDU=1)*(xlRTTYEQCL=$D813)*(xlRTEQTYPE=$E813),0))</f>
        <v>WOOD_HT4</v>
      </c>
      <c r="Y813" s="7" t="str">
        <f t="array" ref="Y813">INDEX(xlRTTYNAME,MATCH(1,(xlRTTYENDU=2)*(xlRTTYEQCL=$F813)*(xlRTEQTYPE=$G813),0))</f>
        <v>CENT_AIR4</v>
      </c>
    </row>
    <row r="814" spans="2:25" x14ac:dyDescent="0.2">
      <c r="B814" s="5">
        <v>8</v>
      </c>
      <c r="C814" s="5">
        <v>1</v>
      </c>
      <c r="D814" s="5">
        <v>9</v>
      </c>
      <c r="E814" s="31">
        <v>30</v>
      </c>
      <c r="F814" s="5">
        <v>2</v>
      </c>
      <c r="G814" s="31">
        <v>7</v>
      </c>
      <c r="H814" s="96">
        <v>2020</v>
      </c>
      <c r="I814" s="97">
        <v>2022</v>
      </c>
      <c r="J814" s="142">
        <v>1.0820000000000001</v>
      </c>
      <c r="K814" s="142">
        <v>1.0832999999999999</v>
      </c>
      <c r="L814" s="142">
        <v>0.42730000000000001</v>
      </c>
      <c r="M814" s="142">
        <v>0.78110000000000002</v>
      </c>
      <c r="N814" s="142">
        <v>0.86439999999999995</v>
      </c>
      <c r="O814" s="142">
        <v>1.0538000000000001</v>
      </c>
      <c r="P814" s="26">
        <v>16260.797271099718</v>
      </c>
      <c r="Q814" s="35">
        <f t="array" ref="Q814">SUM(IF(($S814&gt;=4)*($C814='TaxCred&amp;Subs'!$D$114:$D$121)*($H814='TaxCred&amp;Subs'!$C$114:$C$121)*($H814&lt;='TaxCred&amp;Subs'!$C$123),'TaxCred&amp;Subs'!$E$114:$E$121,0))</f>
        <v>2000</v>
      </c>
      <c r="R814" s="143">
        <v>0</v>
      </c>
      <c r="S814" s="5">
        <v>5</v>
      </c>
      <c r="T814" s="5" t="s">
        <v>221</v>
      </c>
      <c r="V814" s="7" t="str">
        <f t="array" ref="V814">INDEX(xlRTCLNAME,MATCH(1,(xlRTCLENDU=1)*(xlRTCLEQCL=$D814),0))</f>
        <v>WOOD_HT</v>
      </c>
      <c r="W814" s="7" t="str">
        <f t="array" ref="W814">INDEX(xlRTCLNAME,MATCH(1,(xlRTCLENDU=2)*(xlRTCLEQCL=$F814),0))</f>
        <v>CENT_AIR</v>
      </c>
      <c r="X814" s="7" t="str">
        <f t="array" ref="X814">INDEX(xlRTTYNAME,MATCH(1,(xlRTTYENDU=1)*(xlRTTYEQCL=$D814)*(xlRTEQTYPE=$E814),0))</f>
        <v>WOOD_HT4</v>
      </c>
      <c r="Y814" s="7" t="str">
        <f t="array" ref="Y814">INDEX(xlRTTYNAME,MATCH(1,(xlRTTYENDU=2)*(xlRTTYEQCL=$F814)*(xlRTEQTYPE=$G814),0))</f>
        <v>CENT_AIR4</v>
      </c>
    </row>
    <row r="815" spans="2:25" x14ac:dyDescent="0.2">
      <c r="B815" s="5">
        <v>8</v>
      </c>
      <c r="C815" s="5">
        <v>1</v>
      </c>
      <c r="D815" s="5">
        <v>9</v>
      </c>
      <c r="E815" s="31">
        <v>30</v>
      </c>
      <c r="F815" s="5">
        <v>2</v>
      </c>
      <c r="G815" s="31">
        <v>7</v>
      </c>
      <c r="H815" s="97">
        <v>2023</v>
      </c>
      <c r="I815" s="97">
        <v>2032</v>
      </c>
      <c r="J815" s="142">
        <v>1.0820000000000001</v>
      </c>
      <c r="K815" s="142">
        <v>1.0832999999999999</v>
      </c>
      <c r="L815" s="142">
        <v>0.42730000000000001</v>
      </c>
      <c r="M815" s="142">
        <v>0.78110000000000002</v>
      </c>
      <c r="N815" s="142">
        <v>0.86439999999999995</v>
      </c>
      <c r="O815" s="142">
        <v>1.0538000000000001</v>
      </c>
      <c r="P815" s="26">
        <v>16260.797271099718</v>
      </c>
      <c r="Q815" s="35">
        <f t="array" ref="Q815">SUM(IF(($S815&gt;=4)*($C815='TaxCred&amp;Subs'!$D$114:$D$121)*($H815='TaxCred&amp;Subs'!$C$114:$C$121)*($H815&lt;='TaxCred&amp;Subs'!$C$123),'TaxCred&amp;Subs'!$E$114:$E$121,0))</f>
        <v>2500</v>
      </c>
      <c r="R815" s="143">
        <v>0</v>
      </c>
      <c r="S815" s="5">
        <v>5</v>
      </c>
      <c r="T815" s="5" t="s">
        <v>221</v>
      </c>
      <c r="V815" s="7" t="str">
        <f t="array" ref="V815">INDEX(xlRTCLNAME,MATCH(1,(xlRTCLENDU=1)*(xlRTCLEQCL=$D815),0))</f>
        <v>WOOD_HT</v>
      </c>
      <c r="W815" s="7" t="str">
        <f t="array" ref="W815">INDEX(xlRTCLNAME,MATCH(1,(xlRTCLENDU=2)*(xlRTCLEQCL=$F815),0))</f>
        <v>CENT_AIR</v>
      </c>
      <c r="X815" s="7" t="str">
        <f t="array" ref="X815">INDEX(xlRTTYNAME,MATCH(1,(xlRTTYENDU=1)*(xlRTTYEQCL=$D815)*(xlRTEQTYPE=$E815),0))</f>
        <v>WOOD_HT4</v>
      </c>
      <c r="Y815" s="7" t="str">
        <f t="array" ref="Y815">INDEX(xlRTTYNAME,MATCH(1,(xlRTTYENDU=2)*(xlRTTYEQCL=$F815)*(xlRTEQTYPE=$G815),0))</f>
        <v>CENT_AIR4</v>
      </c>
    </row>
    <row r="816" spans="2:25" x14ac:dyDescent="0.2">
      <c r="B816" s="5">
        <v>8</v>
      </c>
      <c r="C816" s="5">
        <v>1</v>
      </c>
      <c r="D816" s="5">
        <v>9</v>
      </c>
      <c r="E816" s="31">
        <v>30</v>
      </c>
      <c r="F816" s="5">
        <v>2</v>
      </c>
      <c r="G816" s="31">
        <v>7</v>
      </c>
      <c r="H816" s="97">
        <v>2033</v>
      </c>
      <c r="I816" s="97">
        <v>2050</v>
      </c>
      <c r="J816" s="142">
        <v>1.0820000000000001</v>
      </c>
      <c r="K816" s="142">
        <v>1.0832999999999999</v>
      </c>
      <c r="L816" s="142">
        <v>0.42730000000000001</v>
      </c>
      <c r="M816" s="142">
        <v>0.78110000000000002</v>
      </c>
      <c r="N816" s="142">
        <v>0.86439999999999995</v>
      </c>
      <c r="O816" s="142">
        <v>1.0538000000000001</v>
      </c>
      <c r="P816" s="26">
        <v>16260.797271099718</v>
      </c>
      <c r="Q816" s="35">
        <f t="array" ref="Q816">SUM(IF(($S816&gt;=4)*($C816='TaxCred&amp;Subs'!$D$114:$D$121)*($H816='TaxCred&amp;Subs'!$C$114:$C$121)*($H816&lt;='TaxCred&amp;Subs'!$C$123),'TaxCred&amp;Subs'!$E$114:$E$121,0))</f>
        <v>0</v>
      </c>
      <c r="R816" s="143">
        <v>0</v>
      </c>
      <c r="S816" s="5">
        <v>5</v>
      </c>
      <c r="T816" s="5" t="s">
        <v>221</v>
      </c>
      <c r="V816" s="7" t="str">
        <f t="array" ref="V816">INDEX(xlRTCLNAME,MATCH(1,(xlRTCLENDU=1)*(xlRTCLEQCL=$D816),0))</f>
        <v>WOOD_HT</v>
      </c>
      <c r="W816" s="7" t="str">
        <f t="array" ref="W816">INDEX(xlRTCLNAME,MATCH(1,(xlRTCLENDU=2)*(xlRTCLEQCL=$F816),0))</f>
        <v>CENT_AIR</v>
      </c>
      <c r="X816" s="7" t="str">
        <f t="array" ref="X816">INDEX(xlRTTYNAME,MATCH(1,(xlRTTYENDU=1)*(xlRTTYEQCL=$D816)*(xlRTEQTYPE=$E816),0))</f>
        <v>WOOD_HT4</v>
      </c>
      <c r="Y816" s="7" t="str">
        <f t="array" ref="Y816">INDEX(xlRTTYNAME,MATCH(1,(xlRTTYENDU=2)*(xlRTTYEQCL=$F816)*(xlRTEQTYPE=$G816),0))</f>
        <v>CENT_AIR4</v>
      </c>
    </row>
    <row r="817" spans="2:25" x14ac:dyDescent="0.2">
      <c r="B817" s="5">
        <v>9</v>
      </c>
      <c r="C817" s="5">
        <v>1</v>
      </c>
      <c r="D817" s="5">
        <v>9</v>
      </c>
      <c r="E817" s="31">
        <v>30</v>
      </c>
      <c r="F817" s="5">
        <v>2</v>
      </c>
      <c r="G817" s="31">
        <v>7</v>
      </c>
      <c r="H817" s="96">
        <v>2020</v>
      </c>
      <c r="I817" s="97">
        <v>2022</v>
      </c>
      <c r="J817" s="142">
        <v>1.0414000000000001</v>
      </c>
      <c r="K817" s="142">
        <v>1.07</v>
      </c>
      <c r="L817" s="142">
        <v>0.39019999999999999</v>
      </c>
      <c r="M817" s="142">
        <v>0.76029999999999998</v>
      </c>
      <c r="N817" s="142">
        <v>1.026</v>
      </c>
      <c r="O817" s="142">
        <v>1.0538000000000001</v>
      </c>
      <c r="P817" s="26">
        <v>19815.745839380488</v>
      </c>
      <c r="Q817" s="35">
        <f t="array" ref="Q817">SUM(IF(($S817&gt;=4)*($C817='TaxCred&amp;Subs'!$D$114:$D$121)*($H817='TaxCred&amp;Subs'!$C$114:$C$121)*($H817&lt;='TaxCred&amp;Subs'!$C$123),'TaxCred&amp;Subs'!$E$114:$E$121,0))</f>
        <v>2000</v>
      </c>
      <c r="R817" s="143">
        <v>0</v>
      </c>
      <c r="S817" s="5">
        <v>5</v>
      </c>
      <c r="T817" s="5" t="s">
        <v>221</v>
      </c>
      <c r="V817" s="7" t="str">
        <f t="array" ref="V817">INDEX(xlRTCLNAME,MATCH(1,(xlRTCLENDU=1)*(xlRTCLEQCL=$D817),0))</f>
        <v>WOOD_HT</v>
      </c>
      <c r="W817" s="7" t="str">
        <f t="array" ref="W817">INDEX(xlRTCLNAME,MATCH(1,(xlRTCLENDU=2)*(xlRTCLEQCL=$F817),0))</f>
        <v>CENT_AIR</v>
      </c>
      <c r="X817" s="7" t="str">
        <f t="array" ref="X817">INDEX(xlRTTYNAME,MATCH(1,(xlRTTYENDU=1)*(xlRTTYEQCL=$D817)*(xlRTEQTYPE=$E817),0))</f>
        <v>WOOD_HT4</v>
      </c>
      <c r="Y817" s="7" t="str">
        <f t="array" ref="Y817">INDEX(xlRTTYNAME,MATCH(1,(xlRTTYENDU=2)*(xlRTTYEQCL=$F817)*(xlRTEQTYPE=$G817),0))</f>
        <v>CENT_AIR4</v>
      </c>
    </row>
    <row r="818" spans="2:25" x14ac:dyDescent="0.2">
      <c r="B818" s="5">
        <v>9</v>
      </c>
      <c r="C818" s="5">
        <v>1</v>
      </c>
      <c r="D818" s="5">
        <v>9</v>
      </c>
      <c r="E818" s="31">
        <v>30</v>
      </c>
      <c r="F818" s="5">
        <v>2</v>
      </c>
      <c r="G818" s="31">
        <v>7</v>
      </c>
      <c r="H818" s="97">
        <v>2023</v>
      </c>
      <c r="I818" s="97">
        <v>2032</v>
      </c>
      <c r="J818" s="142">
        <v>1.0414000000000001</v>
      </c>
      <c r="K818" s="142">
        <v>1.07</v>
      </c>
      <c r="L818" s="142">
        <v>0.39019999999999999</v>
      </c>
      <c r="M818" s="142">
        <v>0.76029999999999998</v>
      </c>
      <c r="N818" s="142">
        <v>1.026</v>
      </c>
      <c r="O818" s="142">
        <v>1.0538000000000001</v>
      </c>
      <c r="P818" s="26">
        <v>19815.745839380488</v>
      </c>
      <c r="Q818" s="35">
        <f t="array" ref="Q818">SUM(IF(($S818&gt;=4)*($C818='TaxCred&amp;Subs'!$D$114:$D$121)*($H818='TaxCred&amp;Subs'!$C$114:$C$121)*($H818&lt;='TaxCred&amp;Subs'!$C$123),'TaxCred&amp;Subs'!$E$114:$E$121,0))</f>
        <v>2500</v>
      </c>
      <c r="R818" s="143">
        <v>0</v>
      </c>
      <c r="S818" s="5">
        <v>5</v>
      </c>
      <c r="T818" s="5" t="s">
        <v>221</v>
      </c>
      <c r="V818" s="7" t="str">
        <f t="array" ref="V818">INDEX(xlRTCLNAME,MATCH(1,(xlRTCLENDU=1)*(xlRTCLEQCL=$D818),0))</f>
        <v>WOOD_HT</v>
      </c>
      <c r="W818" s="7" t="str">
        <f t="array" ref="W818">INDEX(xlRTCLNAME,MATCH(1,(xlRTCLENDU=2)*(xlRTCLEQCL=$F818),0))</f>
        <v>CENT_AIR</v>
      </c>
      <c r="X818" s="7" t="str">
        <f t="array" ref="X818">INDEX(xlRTTYNAME,MATCH(1,(xlRTTYENDU=1)*(xlRTTYEQCL=$D818)*(xlRTEQTYPE=$E818),0))</f>
        <v>WOOD_HT4</v>
      </c>
      <c r="Y818" s="7" t="str">
        <f t="array" ref="Y818">INDEX(xlRTTYNAME,MATCH(1,(xlRTTYENDU=2)*(xlRTTYEQCL=$F818)*(xlRTEQTYPE=$G818),0))</f>
        <v>CENT_AIR4</v>
      </c>
    </row>
    <row r="819" spans="2:25" x14ac:dyDescent="0.2">
      <c r="B819" s="5">
        <v>9</v>
      </c>
      <c r="C819" s="5">
        <v>1</v>
      </c>
      <c r="D819" s="5">
        <v>9</v>
      </c>
      <c r="E819" s="31">
        <v>30</v>
      </c>
      <c r="F819" s="5">
        <v>2</v>
      </c>
      <c r="G819" s="31">
        <v>7</v>
      </c>
      <c r="H819" s="97">
        <v>2033</v>
      </c>
      <c r="I819" s="97">
        <v>2050</v>
      </c>
      <c r="J819" s="142">
        <v>1.0414000000000001</v>
      </c>
      <c r="K819" s="142">
        <v>1.07</v>
      </c>
      <c r="L819" s="142">
        <v>0.39019999999999999</v>
      </c>
      <c r="M819" s="142">
        <v>0.76029999999999998</v>
      </c>
      <c r="N819" s="142">
        <v>1.026</v>
      </c>
      <c r="O819" s="142">
        <v>1.0538000000000001</v>
      </c>
      <c r="P819" s="26">
        <v>19815.745839380488</v>
      </c>
      <c r="Q819" s="35">
        <f t="array" ref="Q819">SUM(IF(($S819&gt;=4)*($C819='TaxCred&amp;Subs'!$D$114:$D$121)*($H819='TaxCred&amp;Subs'!$C$114:$C$121)*($H819&lt;='TaxCred&amp;Subs'!$C$123),'TaxCred&amp;Subs'!$E$114:$E$121,0))</f>
        <v>0</v>
      </c>
      <c r="R819" s="143">
        <v>0</v>
      </c>
      <c r="S819" s="5">
        <v>5</v>
      </c>
      <c r="T819" s="5" t="s">
        <v>221</v>
      </c>
      <c r="V819" s="7" t="str">
        <f t="array" ref="V819">INDEX(xlRTCLNAME,MATCH(1,(xlRTCLENDU=1)*(xlRTCLEQCL=$D819),0))</f>
        <v>WOOD_HT</v>
      </c>
      <c r="W819" s="7" t="str">
        <f t="array" ref="W819">INDEX(xlRTCLNAME,MATCH(1,(xlRTCLENDU=2)*(xlRTCLEQCL=$F819),0))</f>
        <v>CENT_AIR</v>
      </c>
      <c r="X819" s="7" t="str">
        <f t="array" ref="X819">INDEX(xlRTTYNAME,MATCH(1,(xlRTTYENDU=1)*(xlRTTYEQCL=$D819)*(xlRTEQTYPE=$E819),0))</f>
        <v>WOOD_HT4</v>
      </c>
      <c r="Y819" s="7" t="str">
        <f t="array" ref="Y819">INDEX(xlRTTYNAME,MATCH(1,(xlRTTYENDU=2)*(xlRTTYEQCL=$F819)*(xlRTEQTYPE=$G819),0))</f>
        <v>CENT_AIR4</v>
      </c>
    </row>
    <row r="820" spans="2:25" x14ac:dyDescent="0.2">
      <c r="B820" s="5">
        <v>1</v>
      </c>
      <c r="C820" s="5">
        <v>1</v>
      </c>
      <c r="D820" s="5">
        <v>10</v>
      </c>
      <c r="E820" s="31">
        <v>34</v>
      </c>
      <c r="F820" s="5">
        <v>4</v>
      </c>
      <c r="G820" s="31">
        <v>15</v>
      </c>
      <c r="H820" s="96">
        <v>2020</v>
      </c>
      <c r="I820" s="97">
        <v>2022</v>
      </c>
      <c r="J820" s="142">
        <v>1.1071</v>
      </c>
      <c r="K820" s="142">
        <v>1.0713999999999999</v>
      </c>
      <c r="L820" s="142">
        <v>0.38369999999999999</v>
      </c>
      <c r="M820" s="142">
        <v>0.95</v>
      </c>
      <c r="N820" s="142">
        <v>0.80640000000000001</v>
      </c>
      <c r="O820" s="142">
        <v>1.0538000000000001</v>
      </c>
      <c r="P820" s="26">
        <v>19744.485523904365</v>
      </c>
      <c r="Q820" s="35">
        <f t="array" ref="Q820">SUM(IF(($S820&gt;=4)*($C820='TaxCred&amp;Subs'!$D$114:$D$121)*($H820='TaxCred&amp;Subs'!$C$114:$C$121)*($H820&lt;='TaxCred&amp;Subs'!$C$123),'TaxCred&amp;Subs'!$E$114:$E$121,0))</f>
        <v>2000</v>
      </c>
      <c r="R820" s="143">
        <v>0</v>
      </c>
      <c r="S820" s="5">
        <v>5</v>
      </c>
      <c r="T820" s="5" t="s">
        <v>221</v>
      </c>
      <c r="V820" s="7" t="str">
        <f t="array" ref="V820">INDEX(xlRTCLNAME,MATCH(1,(xlRTCLENDU=1)*(xlRTCLEQCL=$D820),0))</f>
        <v>GEO_HP</v>
      </c>
      <c r="W820" s="7" t="str">
        <f t="array" ref="W820">INDEX(xlRTCLNAME,MATCH(1,(xlRTCLENDU=2)*(xlRTCLEQCL=$F820),0))</f>
        <v>GEO_HP</v>
      </c>
      <c r="X820" s="7" t="str">
        <f t="array" ref="X820">INDEX(xlRTTYNAME,MATCH(1,(xlRTTYENDU=1)*(xlRTTYEQCL=$D820)*(xlRTEQTYPE=$E820),0))</f>
        <v>GEO_HP4</v>
      </c>
      <c r="Y820" s="7" t="str">
        <f t="array" ref="Y820">INDEX(xlRTTYNAME,MATCH(1,(xlRTTYENDU=2)*(xlRTTYEQCL=$F820)*(xlRTEQTYPE=$G820),0))</f>
        <v>GEO_HP4</v>
      </c>
    </row>
    <row r="821" spans="2:25" x14ac:dyDescent="0.2">
      <c r="B821" s="5">
        <v>1</v>
      </c>
      <c r="C821" s="5">
        <v>1</v>
      </c>
      <c r="D821" s="5">
        <v>10</v>
      </c>
      <c r="E821" s="31">
        <v>34</v>
      </c>
      <c r="F821" s="5">
        <v>4</v>
      </c>
      <c r="G821" s="31">
        <v>15</v>
      </c>
      <c r="H821" s="97">
        <v>2023</v>
      </c>
      <c r="I821" s="97">
        <v>2032</v>
      </c>
      <c r="J821" s="142">
        <v>1.1071</v>
      </c>
      <c r="K821" s="142">
        <v>1.0713999999999999</v>
      </c>
      <c r="L821" s="142">
        <v>0.38369999999999999</v>
      </c>
      <c r="M821" s="142">
        <v>0.95</v>
      </c>
      <c r="N821" s="142">
        <v>0.80640000000000001</v>
      </c>
      <c r="O821" s="142">
        <v>1.0538000000000001</v>
      </c>
      <c r="P821" s="26">
        <v>19744.485523904365</v>
      </c>
      <c r="Q821" s="35">
        <f t="array" ref="Q821">SUM(IF(($S821&gt;=4)*($C821='TaxCred&amp;Subs'!$D$114:$D$121)*($H821='TaxCred&amp;Subs'!$C$114:$C$121)*($H821&lt;='TaxCred&amp;Subs'!$C$123),'TaxCred&amp;Subs'!$E$114:$E$121,0))</f>
        <v>2500</v>
      </c>
      <c r="R821" s="143">
        <v>0</v>
      </c>
      <c r="S821" s="5">
        <v>5</v>
      </c>
      <c r="T821" s="5" t="s">
        <v>221</v>
      </c>
      <c r="V821" s="7" t="str">
        <f t="array" ref="V821">INDEX(xlRTCLNAME,MATCH(1,(xlRTCLENDU=1)*(xlRTCLEQCL=$D821),0))</f>
        <v>GEO_HP</v>
      </c>
      <c r="W821" s="7" t="str">
        <f t="array" ref="W821">INDEX(xlRTCLNAME,MATCH(1,(xlRTCLENDU=2)*(xlRTCLEQCL=$F821),0))</f>
        <v>GEO_HP</v>
      </c>
      <c r="X821" s="7" t="str">
        <f t="array" ref="X821">INDEX(xlRTTYNAME,MATCH(1,(xlRTTYENDU=1)*(xlRTTYEQCL=$D821)*(xlRTEQTYPE=$E821),0))</f>
        <v>GEO_HP4</v>
      </c>
      <c r="Y821" s="7" t="str">
        <f t="array" ref="Y821">INDEX(xlRTTYNAME,MATCH(1,(xlRTTYENDU=2)*(xlRTTYEQCL=$F821)*(xlRTEQTYPE=$G821),0))</f>
        <v>GEO_HP4</v>
      </c>
    </row>
    <row r="822" spans="2:25" x14ac:dyDescent="0.2">
      <c r="B822" s="5">
        <v>1</v>
      </c>
      <c r="C822" s="5">
        <v>1</v>
      </c>
      <c r="D822" s="5">
        <v>10</v>
      </c>
      <c r="E822" s="31">
        <v>34</v>
      </c>
      <c r="F822" s="5">
        <v>4</v>
      </c>
      <c r="G822" s="31">
        <v>15</v>
      </c>
      <c r="H822" s="97">
        <v>2033</v>
      </c>
      <c r="I822" s="97">
        <v>2050</v>
      </c>
      <c r="J822" s="142">
        <v>1.1071</v>
      </c>
      <c r="K822" s="142">
        <v>1.0713999999999999</v>
      </c>
      <c r="L822" s="142">
        <v>0.38369999999999999</v>
      </c>
      <c r="M822" s="142">
        <v>0.95</v>
      </c>
      <c r="N822" s="142">
        <v>0.80640000000000001</v>
      </c>
      <c r="O822" s="142">
        <v>1.0538000000000001</v>
      </c>
      <c r="P822" s="26">
        <v>19744.485523904365</v>
      </c>
      <c r="Q822" s="35">
        <f t="array" ref="Q822">SUM(IF(($S822&gt;=4)*($C822='TaxCred&amp;Subs'!$D$114:$D$121)*($H822='TaxCred&amp;Subs'!$C$114:$C$121)*($H822&lt;='TaxCred&amp;Subs'!$C$123),'TaxCred&amp;Subs'!$E$114:$E$121,0))</f>
        <v>0</v>
      </c>
      <c r="R822" s="143">
        <v>0</v>
      </c>
      <c r="S822" s="5">
        <v>5</v>
      </c>
      <c r="T822" s="5" t="s">
        <v>221</v>
      </c>
      <c r="V822" s="7" t="str">
        <f t="array" ref="V822">INDEX(xlRTCLNAME,MATCH(1,(xlRTCLENDU=1)*(xlRTCLEQCL=$D822),0))</f>
        <v>GEO_HP</v>
      </c>
      <c r="W822" s="7" t="str">
        <f t="array" ref="W822">INDEX(xlRTCLNAME,MATCH(1,(xlRTCLENDU=2)*(xlRTCLEQCL=$F822),0))</f>
        <v>GEO_HP</v>
      </c>
      <c r="X822" s="7" t="str">
        <f t="array" ref="X822">INDEX(xlRTTYNAME,MATCH(1,(xlRTTYENDU=1)*(xlRTTYEQCL=$D822)*(xlRTEQTYPE=$E822),0))</f>
        <v>GEO_HP4</v>
      </c>
      <c r="Y822" s="7" t="str">
        <f t="array" ref="Y822">INDEX(xlRTTYNAME,MATCH(1,(xlRTTYENDU=2)*(xlRTTYEQCL=$F822)*(xlRTEQTYPE=$G822),0))</f>
        <v>GEO_HP4</v>
      </c>
    </row>
    <row r="823" spans="2:25" x14ac:dyDescent="0.2">
      <c r="B823" s="5">
        <v>2</v>
      </c>
      <c r="C823" s="5">
        <v>1</v>
      </c>
      <c r="D823" s="5">
        <v>10</v>
      </c>
      <c r="E823" s="31">
        <v>34</v>
      </c>
      <c r="F823" s="5">
        <v>4</v>
      </c>
      <c r="G823" s="31">
        <v>15</v>
      </c>
      <c r="H823" s="96">
        <v>2020</v>
      </c>
      <c r="I823" s="97">
        <v>2022</v>
      </c>
      <c r="J823" s="142">
        <v>1.0371999999999999</v>
      </c>
      <c r="K823" s="142">
        <v>1.0698000000000001</v>
      </c>
      <c r="L823" s="142">
        <v>0.42</v>
      </c>
      <c r="M823" s="142">
        <v>0.80730000000000002</v>
      </c>
      <c r="N823" s="142">
        <v>0.95350000000000001</v>
      </c>
      <c r="O823" s="142">
        <v>1.0538000000000001</v>
      </c>
      <c r="P823" s="26">
        <v>22424.142292657609</v>
      </c>
      <c r="Q823" s="35">
        <f t="array" ref="Q823">SUM(IF(($S823&gt;=4)*($C823='TaxCred&amp;Subs'!$D$114:$D$121)*($H823='TaxCred&amp;Subs'!$C$114:$C$121)*($H823&lt;='TaxCred&amp;Subs'!$C$123),'TaxCred&amp;Subs'!$E$114:$E$121,0))</f>
        <v>2000</v>
      </c>
      <c r="R823" s="143">
        <v>0</v>
      </c>
      <c r="S823" s="5">
        <v>5</v>
      </c>
      <c r="T823" s="5" t="s">
        <v>221</v>
      </c>
      <c r="V823" s="7" t="str">
        <f t="array" ref="V823">INDEX(xlRTCLNAME,MATCH(1,(xlRTCLENDU=1)*(xlRTCLEQCL=$D823),0))</f>
        <v>GEO_HP</v>
      </c>
      <c r="W823" s="7" t="str">
        <f t="array" ref="W823">INDEX(xlRTCLNAME,MATCH(1,(xlRTCLENDU=2)*(xlRTCLEQCL=$F823),0))</f>
        <v>GEO_HP</v>
      </c>
      <c r="X823" s="7" t="str">
        <f t="array" ref="X823">INDEX(xlRTTYNAME,MATCH(1,(xlRTTYENDU=1)*(xlRTTYEQCL=$D823)*(xlRTEQTYPE=$E823),0))</f>
        <v>GEO_HP4</v>
      </c>
      <c r="Y823" s="7" t="str">
        <f t="array" ref="Y823">INDEX(xlRTTYNAME,MATCH(1,(xlRTTYENDU=2)*(xlRTTYEQCL=$F823)*(xlRTEQTYPE=$G823),0))</f>
        <v>GEO_HP4</v>
      </c>
    </row>
    <row r="824" spans="2:25" x14ac:dyDescent="0.2">
      <c r="B824" s="5">
        <v>2</v>
      </c>
      <c r="C824" s="5">
        <v>1</v>
      </c>
      <c r="D824" s="5">
        <v>10</v>
      </c>
      <c r="E824" s="31">
        <v>34</v>
      </c>
      <c r="F824" s="5">
        <v>4</v>
      </c>
      <c r="G824" s="31">
        <v>15</v>
      </c>
      <c r="H824" s="97">
        <v>2023</v>
      </c>
      <c r="I824" s="97">
        <v>2032</v>
      </c>
      <c r="J824" s="142">
        <v>1.0371999999999999</v>
      </c>
      <c r="K824" s="142">
        <v>1.0698000000000001</v>
      </c>
      <c r="L824" s="142">
        <v>0.42</v>
      </c>
      <c r="M824" s="142">
        <v>0.80730000000000002</v>
      </c>
      <c r="N824" s="142">
        <v>0.95350000000000001</v>
      </c>
      <c r="O824" s="142">
        <v>1.0538000000000001</v>
      </c>
      <c r="P824" s="26">
        <v>22424.142292657609</v>
      </c>
      <c r="Q824" s="35">
        <f t="array" ref="Q824">SUM(IF(($S824&gt;=4)*($C824='TaxCred&amp;Subs'!$D$114:$D$121)*($H824='TaxCred&amp;Subs'!$C$114:$C$121)*($H824&lt;='TaxCred&amp;Subs'!$C$123),'TaxCred&amp;Subs'!$E$114:$E$121,0))</f>
        <v>2500</v>
      </c>
      <c r="R824" s="143">
        <v>0</v>
      </c>
      <c r="S824" s="5">
        <v>5</v>
      </c>
      <c r="T824" s="5" t="s">
        <v>221</v>
      </c>
      <c r="V824" s="7" t="str">
        <f t="array" ref="V824">INDEX(xlRTCLNAME,MATCH(1,(xlRTCLENDU=1)*(xlRTCLEQCL=$D824),0))</f>
        <v>GEO_HP</v>
      </c>
      <c r="W824" s="7" t="str">
        <f t="array" ref="W824">INDEX(xlRTCLNAME,MATCH(1,(xlRTCLENDU=2)*(xlRTCLEQCL=$F824),0))</f>
        <v>GEO_HP</v>
      </c>
      <c r="X824" s="7" t="str">
        <f t="array" ref="X824">INDEX(xlRTTYNAME,MATCH(1,(xlRTTYENDU=1)*(xlRTTYEQCL=$D824)*(xlRTEQTYPE=$E824),0))</f>
        <v>GEO_HP4</v>
      </c>
      <c r="Y824" s="7" t="str">
        <f t="array" ref="Y824">INDEX(xlRTTYNAME,MATCH(1,(xlRTTYENDU=2)*(xlRTTYEQCL=$F824)*(xlRTEQTYPE=$G824),0))</f>
        <v>GEO_HP4</v>
      </c>
    </row>
    <row r="825" spans="2:25" x14ac:dyDescent="0.2">
      <c r="B825" s="5">
        <v>2</v>
      </c>
      <c r="C825" s="5">
        <v>1</v>
      </c>
      <c r="D825" s="5">
        <v>10</v>
      </c>
      <c r="E825" s="31">
        <v>34</v>
      </c>
      <c r="F825" s="5">
        <v>4</v>
      </c>
      <c r="G825" s="31">
        <v>15</v>
      </c>
      <c r="H825" s="97">
        <v>2033</v>
      </c>
      <c r="I825" s="97">
        <v>2050</v>
      </c>
      <c r="J825" s="142">
        <v>1.0371999999999999</v>
      </c>
      <c r="K825" s="142">
        <v>1.0698000000000001</v>
      </c>
      <c r="L825" s="142">
        <v>0.42</v>
      </c>
      <c r="M825" s="142">
        <v>0.80730000000000002</v>
      </c>
      <c r="N825" s="142">
        <v>0.95350000000000001</v>
      </c>
      <c r="O825" s="142">
        <v>1.0538000000000001</v>
      </c>
      <c r="P825" s="26">
        <v>22424.142292657609</v>
      </c>
      <c r="Q825" s="35">
        <f t="array" ref="Q825">SUM(IF(($S825&gt;=4)*($C825='TaxCred&amp;Subs'!$D$114:$D$121)*($H825='TaxCred&amp;Subs'!$C$114:$C$121)*($H825&lt;='TaxCred&amp;Subs'!$C$123),'TaxCred&amp;Subs'!$E$114:$E$121,0))</f>
        <v>0</v>
      </c>
      <c r="R825" s="143">
        <v>0</v>
      </c>
      <c r="S825" s="5">
        <v>5</v>
      </c>
      <c r="T825" s="5" t="s">
        <v>221</v>
      </c>
      <c r="V825" s="7" t="str">
        <f t="array" ref="V825">INDEX(xlRTCLNAME,MATCH(1,(xlRTCLENDU=1)*(xlRTCLEQCL=$D825),0))</f>
        <v>GEO_HP</v>
      </c>
      <c r="W825" s="7" t="str">
        <f t="array" ref="W825">INDEX(xlRTCLNAME,MATCH(1,(xlRTCLENDU=2)*(xlRTCLEQCL=$F825),0))</f>
        <v>GEO_HP</v>
      </c>
      <c r="X825" s="7" t="str">
        <f t="array" ref="X825">INDEX(xlRTTYNAME,MATCH(1,(xlRTTYENDU=1)*(xlRTTYEQCL=$D825)*(xlRTEQTYPE=$E825),0))</f>
        <v>GEO_HP4</v>
      </c>
      <c r="Y825" s="7" t="str">
        <f t="array" ref="Y825">INDEX(xlRTTYNAME,MATCH(1,(xlRTTYENDU=2)*(xlRTTYEQCL=$F825)*(xlRTEQTYPE=$G825),0))</f>
        <v>GEO_HP4</v>
      </c>
    </row>
    <row r="826" spans="2:25" x14ac:dyDescent="0.2">
      <c r="B826" s="5">
        <v>3</v>
      </c>
      <c r="C826" s="5">
        <v>1</v>
      </c>
      <c r="D826" s="5">
        <v>10</v>
      </c>
      <c r="E826" s="31">
        <v>34</v>
      </c>
      <c r="F826" s="5">
        <v>4</v>
      </c>
      <c r="G826" s="31">
        <v>15</v>
      </c>
      <c r="H826" s="96">
        <v>2020</v>
      </c>
      <c r="I826" s="97">
        <v>2022</v>
      </c>
      <c r="J826" s="142">
        <v>1.0431999999999999</v>
      </c>
      <c r="K826" s="142">
        <v>1.0625</v>
      </c>
      <c r="L826" s="142">
        <v>0.38159999999999999</v>
      </c>
      <c r="M826" s="142">
        <v>0.87960000000000005</v>
      </c>
      <c r="N826" s="142">
        <v>0.91259999999999997</v>
      </c>
      <c r="O826" s="142">
        <v>1.0538000000000001</v>
      </c>
      <c r="P826" s="26">
        <v>17265.164359036837</v>
      </c>
      <c r="Q826" s="35">
        <f t="array" ref="Q826">SUM(IF(($S826&gt;=4)*($C826='TaxCred&amp;Subs'!$D$114:$D$121)*($H826='TaxCred&amp;Subs'!$C$114:$C$121)*($H826&lt;='TaxCred&amp;Subs'!$C$123),'TaxCred&amp;Subs'!$E$114:$E$121,0))</f>
        <v>2000</v>
      </c>
      <c r="R826" s="143">
        <v>0</v>
      </c>
      <c r="S826" s="5">
        <v>5</v>
      </c>
      <c r="T826" s="5" t="s">
        <v>221</v>
      </c>
      <c r="V826" s="7" t="str">
        <f t="array" ref="V826">INDEX(xlRTCLNAME,MATCH(1,(xlRTCLENDU=1)*(xlRTCLEQCL=$D826),0))</f>
        <v>GEO_HP</v>
      </c>
      <c r="W826" s="7" t="str">
        <f t="array" ref="W826">INDEX(xlRTCLNAME,MATCH(1,(xlRTCLENDU=2)*(xlRTCLEQCL=$F826),0))</f>
        <v>GEO_HP</v>
      </c>
      <c r="X826" s="7" t="str">
        <f t="array" ref="X826">INDEX(xlRTTYNAME,MATCH(1,(xlRTTYENDU=1)*(xlRTTYEQCL=$D826)*(xlRTEQTYPE=$E826),0))</f>
        <v>GEO_HP4</v>
      </c>
      <c r="Y826" s="7" t="str">
        <f t="array" ref="Y826">INDEX(xlRTTYNAME,MATCH(1,(xlRTTYENDU=2)*(xlRTTYEQCL=$F826)*(xlRTEQTYPE=$G826),0))</f>
        <v>GEO_HP4</v>
      </c>
    </row>
    <row r="827" spans="2:25" x14ac:dyDescent="0.2">
      <c r="B827" s="5">
        <v>3</v>
      </c>
      <c r="C827" s="5">
        <v>1</v>
      </c>
      <c r="D827" s="5">
        <v>10</v>
      </c>
      <c r="E827" s="31">
        <v>34</v>
      </c>
      <c r="F827" s="5">
        <v>4</v>
      </c>
      <c r="G827" s="31">
        <v>15</v>
      </c>
      <c r="H827" s="97">
        <v>2023</v>
      </c>
      <c r="I827" s="97">
        <v>2032</v>
      </c>
      <c r="J827" s="142">
        <v>1.0431999999999999</v>
      </c>
      <c r="K827" s="142">
        <v>1.0625</v>
      </c>
      <c r="L827" s="142">
        <v>0.38159999999999999</v>
      </c>
      <c r="M827" s="142">
        <v>0.87960000000000005</v>
      </c>
      <c r="N827" s="142">
        <v>0.91259999999999997</v>
      </c>
      <c r="O827" s="142">
        <v>1.0538000000000001</v>
      </c>
      <c r="P827" s="26">
        <v>17265.164359036837</v>
      </c>
      <c r="Q827" s="35">
        <f t="array" ref="Q827">SUM(IF(($S827&gt;=4)*($C827='TaxCred&amp;Subs'!$D$114:$D$121)*($H827='TaxCred&amp;Subs'!$C$114:$C$121)*($H827&lt;='TaxCred&amp;Subs'!$C$123),'TaxCred&amp;Subs'!$E$114:$E$121,0))</f>
        <v>2500</v>
      </c>
      <c r="R827" s="143">
        <v>0</v>
      </c>
      <c r="S827" s="5">
        <v>5</v>
      </c>
      <c r="T827" s="5" t="s">
        <v>221</v>
      </c>
      <c r="V827" s="7" t="str">
        <f t="array" ref="V827">INDEX(xlRTCLNAME,MATCH(1,(xlRTCLENDU=1)*(xlRTCLEQCL=$D827),0))</f>
        <v>GEO_HP</v>
      </c>
      <c r="W827" s="7" t="str">
        <f t="array" ref="W827">INDEX(xlRTCLNAME,MATCH(1,(xlRTCLENDU=2)*(xlRTCLEQCL=$F827),0))</f>
        <v>GEO_HP</v>
      </c>
      <c r="X827" s="7" t="str">
        <f t="array" ref="X827">INDEX(xlRTTYNAME,MATCH(1,(xlRTTYENDU=1)*(xlRTTYEQCL=$D827)*(xlRTEQTYPE=$E827),0))</f>
        <v>GEO_HP4</v>
      </c>
      <c r="Y827" s="7" t="str">
        <f t="array" ref="Y827">INDEX(xlRTTYNAME,MATCH(1,(xlRTTYENDU=2)*(xlRTTYEQCL=$F827)*(xlRTEQTYPE=$G827),0))</f>
        <v>GEO_HP4</v>
      </c>
    </row>
    <row r="828" spans="2:25" x14ac:dyDescent="0.2">
      <c r="B828" s="5">
        <v>3</v>
      </c>
      <c r="C828" s="5">
        <v>1</v>
      </c>
      <c r="D828" s="5">
        <v>10</v>
      </c>
      <c r="E828" s="31">
        <v>34</v>
      </c>
      <c r="F828" s="5">
        <v>4</v>
      </c>
      <c r="G828" s="31">
        <v>15</v>
      </c>
      <c r="H828" s="97">
        <v>2033</v>
      </c>
      <c r="I828" s="97">
        <v>2050</v>
      </c>
      <c r="J828" s="142">
        <v>1.0431999999999999</v>
      </c>
      <c r="K828" s="142">
        <v>1.0625</v>
      </c>
      <c r="L828" s="142">
        <v>0.38159999999999999</v>
      </c>
      <c r="M828" s="142">
        <v>0.87960000000000005</v>
      </c>
      <c r="N828" s="142">
        <v>0.91259999999999997</v>
      </c>
      <c r="O828" s="142">
        <v>1.0538000000000001</v>
      </c>
      <c r="P828" s="26">
        <v>17265.164359036837</v>
      </c>
      <c r="Q828" s="35">
        <f t="array" ref="Q828">SUM(IF(($S828&gt;=4)*($C828='TaxCred&amp;Subs'!$D$114:$D$121)*($H828='TaxCred&amp;Subs'!$C$114:$C$121)*($H828&lt;='TaxCred&amp;Subs'!$C$123),'TaxCred&amp;Subs'!$E$114:$E$121,0))</f>
        <v>0</v>
      </c>
      <c r="R828" s="143">
        <v>0</v>
      </c>
      <c r="S828" s="5">
        <v>5</v>
      </c>
      <c r="T828" s="5" t="s">
        <v>221</v>
      </c>
      <c r="V828" s="7" t="str">
        <f t="array" ref="V828">INDEX(xlRTCLNAME,MATCH(1,(xlRTCLENDU=1)*(xlRTCLEQCL=$D828),0))</f>
        <v>GEO_HP</v>
      </c>
      <c r="W828" s="7" t="str">
        <f t="array" ref="W828">INDEX(xlRTCLNAME,MATCH(1,(xlRTCLENDU=2)*(xlRTCLEQCL=$F828),0))</f>
        <v>GEO_HP</v>
      </c>
      <c r="X828" s="7" t="str">
        <f t="array" ref="X828">INDEX(xlRTTYNAME,MATCH(1,(xlRTTYENDU=1)*(xlRTTYEQCL=$D828)*(xlRTEQTYPE=$E828),0))</f>
        <v>GEO_HP4</v>
      </c>
      <c r="Y828" s="7" t="str">
        <f t="array" ref="Y828">INDEX(xlRTTYNAME,MATCH(1,(xlRTTYENDU=2)*(xlRTTYEQCL=$F828)*(xlRTEQTYPE=$G828),0))</f>
        <v>GEO_HP4</v>
      </c>
    </row>
    <row r="829" spans="2:25" x14ac:dyDescent="0.2">
      <c r="B829" s="5">
        <v>4</v>
      </c>
      <c r="C829" s="5">
        <v>1</v>
      </c>
      <c r="D829" s="5">
        <v>10</v>
      </c>
      <c r="E829" s="31">
        <v>34</v>
      </c>
      <c r="F829" s="5">
        <v>4</v>
      </c>
      <c r="G829" s="31">
        <v>15</v>
      </c>
      <c r="H829" s="96">
        <v>2020</v>
      </c>
      <c r="I829" s="97">
        <v>2022</v>
      </c>
      <c r="J829" s="142">
        <v>1.0781000000000001</v>
      </c>
      <c r="K829" s="142">
        <v>1.087</v>
      </c>
      <c r="L829" s="142">
        <v>0.38290000000000002</v>
      </c>
      <c r="M829" s="142">
        <v>0.84770000000000001</v>
      </c>
      <c r="N829" s="142">
        <v>0.84850000000000003</v>
      </c>
      <c r="O829" s="142">
        <v>1.0538000000000001</v>
      </c>
      <c r="P829" s="26">
        <v>14059.794696865367</v>
      </c>
      <c r="Q829" s="35">
        <f t="array" ref="Q829">SUM(IF(($S829&gt;=4)*($C829='TaxCred&amp;Subs'!$D$114:$D$121)*($H829='TaxCred&amp;Subs'!$C$114:$C$121)*($H829&lt;='TaxCred&amp;Subs'!$C$123),'TaxCred&amp;Subs'!$E$114:$E$121,0))</f>
        <v>2000</v>
      </c>
      <c r="R829" s="143">
        <v>0</v>
      </c>
      <c r="S829" s="5">
        <v>5</v>
      </c>
      <c r="T829" s="5" t="s">
        <v>221</v>
      </c>
      <c r="V829" s="7" t="str">
        <f t="array" ref="V829">INDEX(xlRTCLNAME,MATCH(1,(xlRTCLENDU=1)*(xlRTCLEQCL=$D829),0))</f>
        <v>GEO_HP</v>
      </c>
      <c r="W829" s="7" t="str">
        <f t="array" ref="W829">INDEX(xlRTCLNAME,MATCH(1,(xlRTCLENDU=2)*(xlRTCLEQCL=$F829),0))</f>
        <v>GEO_HP</v>
      </c>
      <c r="X829" s="7" t="str">
        <f t="array" ref="X829">INDEX(xlRTTYNAME,MATCH(1,(xlRTTYENDU=1)*(xlRTTYEQCL=$D829)*(xlRTEQTYPE=$E829),0))</f>
        <v>GEO_HP4</v>
      </c>
      <c r="Y829" s="7" t="str">
        <f t="array" ref="Y829">INDEX(xlRTTYNAME,MATCH(1,(xlRTTYENDU=2)*(xlRTTYEQCL=$F829)*(xlRTEQTYPE=$G829),0))</f>
        <v>GEO_HP4</v>
      </c>
    </row>
    <row r="830" spans="2:25" x14ac:dyDescent="0.2">
      <c r="B830" s="5">
        <v>4</v>
      </c>
      <c r="C830" s="5">
        <v>1</v>
      </c>
      <c r="D830" s="5">
        <v>10</v>
      </c>
      <c r="E830" s="31">
        <v>34</v>
      </c>
      <c r="F830" s="5">
        <v>4</v>
      </c>
      <c r="G830" s="31">
        <v>15</v>
      </c>
      <c r="H830" s="97">
        <v>2023</v>
      </c>
      <c r="I830" s="97">
        <v>2032</v>
      </c>
      <c r="J830" s="142">
        <v>1.0781000000000001</v>
      </c>
      <c r="K830" s="142">
        <v>1.087</v>
      </c>
      <c r="L830" s="142">
        <v>0.38290000000000002</v>
      </c>
      <c r="M830" s="142">
        <v>0.84770000000000001</v>
      </c>
      <c r="N830" s="142">
        <v>0.84850000000000003</v>
      </c>
      <c r="O830" s="142">
        <v>1.0538000000000001</v>
      </c>
      <c r="P830" s="26">
        <v>14059.794696865367</v>
      </c>
      <c r="Q830" s="35">
        <f t="array" ref="Q830">SUM(IF(($S830&gt;=4)*($C830='TaxCred&amp;Subs'!$D$114:$D$121)*($H830='TaxCred&amp;Subs'!$C$114:$C$121)*($H830&lt;='TaxCred&amp;Subs'!$C$123),'TaxCred&amp;Subs'!$E$114:$E$121,0))</f>
        <v>2500</v>
      </c>
      <c r="R830" s="143">
        <v>0</v>
      </c>
      <c r="S830" s="5">
        <v>5</v>
      </c>
      <c r="T830" s="5" t="s">
        <v>221</v>
      </c>
      <c r="V830" s="7" t="str">
        <f t="array" ref="V830">INDEX(xlRTCLNAME,MATCH(1,(xlRTCLENDU=1)*(xlRTCLEQCL=$D830),0))</f>
        <v>GEO_HP</v>
      </c>
      <c r="W830" s="7" t="str">
        <f t="array" ref="W830">INDEX(xlRTCLNAME,MATCH(1,(xlRTCLENDU=2)*(xlRTCLEQCL=$F830),0))</f>
        <v>GEO_HP</v>
      </c>
      <c r="X830" s="7" t="str">
        <f t="array" ref="X830">INDEX(xlRTTYNAME,MATCH(1,(xlRTTYENDU=1)*(xlRTTYEQCL=$D830)*(xlRTEQTYPE=$E830),0))</f>
        <v>GEO_HP4</v>
      </c>
      <c r="Y830" s="7" t="str">
        <f t="array" ref="Y830">INDEX(xlRTTYNAME,MATCH(1,(xlRTTYENDU=2)*(xlRTTYEQCL=$F830)*(xlRTEQTYPE=$G830),0))</f>
        <v>GEO_HP4</v>
      </c>
    </row>
    <row r="831" spans="2:25" x14ac:dyDescent="0.2">
      <c r="B831" s="5">
        <v>4</v>
      </c>
      <c r="C831" s="5">
        <v>1</v>
      </c>
      <c r="D831" s="5">
        <v>10</v>
      </c>
      <c r="E831" s="31">
        <v>34</v>
      </c>
      <c r="F831" s="5">
        <v>4</v>
      </c>
      <c r="G831" s="31">
        <v>15</v>
      </c>
      <c r="H831" s="97">
        <v>2033</v>
      </c>
      <c r="I831" s="97">
        <v>2050</v>
      </c>
      <c r="J831" s="142">
        <v>1.0781000000000001</v>
      </c>
      <c r="K831" s="142">
        <v>1.087</v>
      </c>
      <c r="L831" s="142">
        <v>0.38290000000000002</v>
      </c>
      <c r="M831" s="142">
        <v>0.84770000000000001</v>
      </c>
      <c r="N831" s="142">
        <v>0.84850000000000003</v>
      </c>
      <c r="O831" s="142">
        <v>1.0538000000000001</v>
      </c>
      <c r="P831" s="26">
        <v>14059.794696865367</v>
      </c>
      <c r="Q831" s="35">
        <f t="array" ref="Q831">SUM(IF(($S831&gt;=4)*($C831='TaxCred&amp;Subs'!$D$114:$D$121)*($H831='TaxCred&amp;Subs'!$C$114:$C$121)*($H831&lt;='TaxCred&amp;Subs'!$C$123),'TaxCred&amp;Subs'!$E$114:$E$121,0))</f>
        <v>0</v>
      </c>
      <c r="R831" s="143">
        <v>0</v>
      </c>
      <c r="S831" s="5">
        <v>5</v>
      </c>
      <c r="T831" s="5" t="s">
        <v>221</v>
      </c>
      <c r="V831" s="7" t="str">
        <f t="array" ref="V831">INDEX(xlRTCLNAME,MATCH(1,(xlRTCLENDU=1)*(xlRTCLEQCL=$D831),0))</f>
        <v>GEO_HP</v>
      </c>
      <c r="W831" s="7" t="str">
        <f t="array" ref="W831">INDEX(xlRTCLNAME,MATCH(1,(xlRTCLENDU=2)*(xlRTCLEQCL=$F831),0))</f>
        <v>GEO_HP</v>
      </c>
      <c r="X831" s="7" t="str">
        <f t="array" ref="X831">INDEX(xlRTTYNAME,MATCH(1,(xlRTTYENDU=1)*(xlRTTYEQCL=$D831)*(xlRTEQTYPE=$E831),0))</f>
        <v>GEO_HP4</v>
      </c>
      <c r="Y831" s="7" t="str">
        <f t="array" ref="Y831">INDEX(xlRTTYNAME,MATCH(1,(xlRTTYENDU=2)*(xlRTTYEQCL=$F831)*(xlRTEQTYPE=$G831),0))</f>
        <v>GEO_HP4</v>
      </c>
    </row>
    <row r="832" spans="2:25" x14ac:dyDescent="0.2">
      <c r="B832" s="5">
        <v>5</v>
      </c>
      <c r="C832" s="5">
        <v>1</v>
      </c>
      <c r="D832" s="5">
        <v>10</v>
      </c>
      <c r="E832" s="31">
        <v>34</v>
      </c>
      <c r="F832" s="5">
        <v>4</v>
      </c>
      <c r="G832" s="31">
        <v>15</v>
      </c>
      <c r="H832" s="96">
        <v>2020</v>
      </c>
      <c r="I832" s="97">
        <v>2022</v>
      </c>
      <c r="J832" s="142">
        <v>1.0843</v>
      </c>
      <c r="K832" s="142">
        <v>1.0722</v>
      </c>
      <c r="L832" s="142">
        <v>0.32629999999999998</v>
      </c>
      <c r="M832" s="142">
        <v>0.70760000000000001</v>
      </c>
      <c r="N832" s="142">
        <v>0.76049999999999995</v>
      </c>
      <c r="O832" s="142">
        <v>1.0538000000000001</v>
      </c>
      <c r="P832" s="26">
        <v>15568.362130152442</v>
      </c>
      <c r="Q832" s="35">
        <f t="array" ref="Q832">SUM(IF(($S832&gt;=4)*($C832='TaxCred&amp;Subs'!$D$114:$D$121)*($H832='TaxCred&amp;Subs'!$C$114:$C$121)*($H832&lt;='TaxCred&amp;Subs'!$C$123),'TaxCred&amp;Subs'!$E$114:$E$121,0))</f>
        <v>2000</v>
      </c>
      <c r="R832" s="143">
        <v>0</v>
      </c>
      <c r="S832" s="5">
        <v>5</v>
      </c>
      <c r="T832" s="5" t="s">
        <v>221</v>
      </c>
      <c r="V832" s="7" t="str">
        <f t="array" ref="V832">INDEX(xlRTCLNAME,MATCH(1,(xlRTCLENDU=1)*(xlRTCLEQCL=$D832),0))</f>
        <v>GEO_HP</v>
      </c>
      <c r="W832" s="7" t="str">
        <f t="array" ref="W832">INDEX(xlRTCLNAME,MATCH(1,(xlRTCLENDU=2)*(xlRTCLEQCL=$F832),0))</f>
        <v>GEO_HP</v>
      </c>
      <c r="X832" s="7" t="str">
        <f t="array" ref="X832">INDEX(xlRTTYNAME,MATCH(1,(xlRTTYENDU=1)*(xlRTTYEQCL=$D832)*(xlRTEQTYPE=$E832),0))</f>
        <v>GEO_HP4</v>
      </c>
      <c r="Y832" s="7" t="str">
        <f t="array" ref="Y832">INDEX(xlRTTYNAME,MATCH(1,(xlRTTYENDU=2)*(xlRTTYEQCL=$F832)*(xlRTEQTYPE=$G832),0))</f>
        <v>GEO_HP4</v>
      </c>
    </row>
    <row r="833" spans="2:25" x14ac:dyDescent="0.2">
      <c r="B833" s="5">
        <v>5</v>
      </c>
      <c r="C833" s="5">
        <v>1</v>
      </c>
      <c r="D833" s="5">
        <v>10</v>
      </c>
      <c r="E833" s="31">
        <v>34</v>
      </c>
      <c r="F833" s="5">
        <v>4</v>
      </c>
      <c r="G833" s="31">
        <v>15</v>
      </c>
      <c r="H833" s="97">
        <v>2023</v>
      </c>
      <c r="I833" s="97">
        <v>2032</v>
      </c>
      <c r="J833" s="142">
        <v>1.0843</v>
      </c>
      <c r="K833" s="142">
        <v>1.0722</v>
      </c>
      <c r="L833" s="142">
        <v>0.32629999999999998</v>
      </c>
      <c r="M833" s="142">
        <v>0.70760000000000001</v>
      </c>
      <c r="N833" s="142">
        <v>0.76049999999999995</v>
      </c>
      <c r="O833" s="142">
        <v>1.0538000000000001</v>
      </c>
      <c r="P833" s="26">
        <v>15568.362130152442</v>
      </c>
      <c r="Q833" s="35">
        <f t="array" ref="Q833">SUM(IF(($S833&gt;=4)*($C833='TaxCred&amp;Subs'!$D$114:$D$121)*($H833='TaxCred&amp;Subs'!$C$114:$C$121)*($H833&lt;='TaxCred&amp;Subs'!$C$123),'TaxCred&amp;Subs'!$E$114:$E$121,0))</f>
        <v>2500</v>
      </c>
      <c r="R833" s="143">
        <v>0</v>
      </c>
      <c r="S833" s="5">
        <v>5</v>
      </c>
      <c r="T833" s="5" t="s">
        <v>221</v>
      </c>
      <c r="V833" s="7" t="str">
        <f t="array" ref="V833">INDEX(xlRTCLNAME,MATCH(1,(xlRTCLENDU=1)*(xlRTCLEQCL=$D833),0))</f>
        <v>GEO_HP</v>
      </c>
      <c r="W833" s="7" t="str">
        <f t="array" ref="W833">INDEX(xlRTCLNAME,MATCH(1,(xlRTCLENDU=2)*(xlRTCLEQCL=$F833),0))</f>
        <v>GEO_HP</v>
      </c>
      <c r="X833" s="7" t="str">
        <f t="array" ref="X833">INDEX(xlRTTYNAME,MATCH(1,(xlRTTYENDU=1)*(xlRTTYEQCL=$D833)*(xlRTEQTYPE=$E833),0))</f>
        <v>GEO_HP4</v>
      </c>
      <c r="Y833" s="7" t="str">
        <f t="array" ref="Y833">INDEX(xlRTTYNAME,MATCH(1,(xlRTTYENDU=2)*(xlRTTYEQCL=$F833)*(xlRTEQTYPE=$G833),0))</f>
        <v>GEO_HP4</v>
      </c>
    </row>
    <row r="834" spans="2:25" x14ac:dyDescent="0.2">
      <c r="B834" s="5">
        <v>5</v>
      </c>
      <c r="C834" s="5">
        <v>1</v>
      </c>
      <c r="D834" s="5">
        <v>10</v>
      </c>
      <c r="E834" s="31">
        <v>34</v>
      </c>
      <c r="F834" s="5">
        <v>4</v>
      </c>
      <c r="G834" s="31">
        <v>15</v>
      </c>
      <c r="H834" s="97">
        <v>2033</v>
      </c>
      <c r="I834" s="97">
        <v>2050</v>
      </c>
      <c r="J834" s="142">
        <v>1.0843</v>
      </c>
      <c r="K834" s="142">
        <v>1.0722</v>
      </c>
      <c r="L834" s="142">
        <v>0.32629999999999998</v>
      </c>
      <c r="M834" s="142">
        <v>0.70760000000000001</v>
      </c>
      <c r="N834" s="142">
        <v>0.76049999999999995</v>
      </c>
      <c r="O834" s="142">
        <v>1.0538000000000001</v>
      </c>
      <c r="P834" s="26">
        <v>15568.362130152442</v>
      </c>
      <c r="Q834" s="35">
        <f t="array" ref="Q834">SUM(IF(($S834&gt;=4)*($C834='TaxCred&amp;Subs'!$D$114:$D$121)*($H834='TaxCred&amp;Subs'!$C$114:$C$121)*($H834&lt;='TaxCred&amp;Subs'!$C$123),'TaxCred&amp;Subs'!$E$114:$E$121,0))</f>
        <v>0</v>
      </c>
      <c r="R834" s="143">
        <v>0</v>
      </c>
      <c r="S834" s="5">
        <v>5</v>
      </c>
      <c r="T834" s="5" t="s">
        <v>221</v>
      </c>
      <c r="V834" s="7" t="str">
        <f t="array" ref="V834">INDEX(xlRTCLNAME,MATCH(1,(xlRTCLENDU=1)*(xlRTCLEQCL=$D834),0))</f>
        <v>GEO_HP</v>
      </c>
      <c r="W834" s="7" t="str">
        <f t="array" ref="W834">INDEX(xlRTCLNAME,MATCH(1,(xlRTCLENDU=2)*(xlRTCLEQCL=$F834),0))</f>
        <v>GEO_HP</v>
      </c>
      <c r="X834" s="7" t="str">
        <f t="array" ref="X834">INDEX(xlRTTYNAME,MATCH(1,(xlRTTYENDU=1)*(xlRTTYEQCL=$D834)*(xlRTEQTYPE=$E834),0))</f>
        <v>GEO_HP4</v>
      </c>
      <c r="Y834" s="7" t="str">
        <f t="array" ref="Y834">INDEX(xlRTTYNAME,MATCH(1,(xlRTTYENDU=2)*(xlRTTYEQCL=$F834)*(xlRTEQTYPE=$G834),0))</f>
        <v>GEO_HP4</v>
      </c>
    </row>
    <row r="835" spans="2:25" x14ac:dyDescent="0.2">
      <c r="B835" s="5">
        <v>6</v>
      </c>
      <c r="C835" s="5">
        <v>1</v>
      </c>
      <c r="D835" s="5">
        <v>10</v>
      </c>
      <c r="E835" s="31">
        <v>34</v>
      </c>
      <c r="F835" s="5">
        <v>4</v>
      </c>
      <c r="G835" s="31">
        <v>15</v>
      </c>
      <c r="H835" s="96">
        <v>2020</v>
      </c>
      <c r="I835" s="97">
        <v>2022</v>
      </c>
      <c r="J835" s="142">
        <v>1.0982000000000001</v>
      </c>
      <c r="K835" s="142">
        <v>1.0805</v>
      </c>
      <c r="L835" s="142">
        <v>0.26529999999999998</v>
      </c>
      <c r="M835" s="142">
        <v>0.64410000000000001</v>
      </c>
      <c r="N835" s="142">
        <v>0.88680000000000003</v>
      </c>
      <c r="O835" s="142">
        <v>1.0538000000000001</v>
      </c>
      <c r="P835" s="26">
        <v>15382.816403063658</v>
      </c>
      <c r="Q835" s="35">
        <f t="array" ref="Q835">SUM(IF(($S835&gt;=4)*($C835='TaxCred&amp;Subs'!$D$114:$D$121)*($H835='TaxCred&amp;Subs'!$C$114:$C$121)*($H835&lt;='TaxCred&amp;Subs'!$C$123),'TaxCred&amp;Subs'!$E$114:$E$121,0))</f>
        <v>2000</v>
      </c>
      <c r="R835" s="143">
        <v>0</v>
      </c>
      <c r="S835" s="5">
        <v>5</v>
      </c>
      <c r="T835" s="5" t="s">
        <v>221</v>
      </c>
      <c r="V835" s="7" t="str">
        <f t="array" ref="V835">INDEX(xlRTCLNAME,MATCH(1,(xlRTCLENDU=1)*(xlRTCLEQCL=$D835),0))</f>
        <v>GEO_HP</v>
      </c>
      <c r="W835" s="7" t="str">
        <f t="array" ref="W835">INDEX(xlRTCLNAME,MATCH(1,(xlRTCLENDU=2)*(xlRTCLEQCL=$F835),0))</f>
        <v>GEO_HP</v>
      </c>
      <c r="X835" s="7" t="str">
        <f t="array" ref="X835">INDEX(xlRTTYNAME,MATCH(1,(xlRTTYENDU=1)*(xlRTTYEQCL=$D835)*(xlRTEQTYPE=$E835),0))</f>
        <v>GEO_HP4</v>
      </c>
      <c r="Y835" s="7" t="str">
        <f t="array" ref="Y835">INDEX(xlRTTYNAME,MATCH(1,(xlRTTYENDU=2)*(xlRTTYEQCL=$F835)*(xlRTEQTYPE=$G835),0))</f>
        <v>GEO_HP4</v>
      </c>
    </row>
    <row r="836" spans="2:25" x14ac:dyDescent="0.2">
      <c r="B836" s="5">
        <v>6</v>
      </c>
      <c r="C836" s="5">
        <v>1</v>
      </c>
      <c r="D836" s="5">
        <v>10</v>
      </c>
      <c r="E836" s="31">
        <v>34</v>
      </c>
      <c r="F836" s="5">
        <v>4</v>
      </c>
      <c r="G836" s="31">
        <v>15</v>
      </c>
      <c r="H836" s="97">
        <v>2023</v>
      </c>
      <c r="I836" s="97">
        <v>2032</v>
      </c>
      <c r="J836" s="142">
        <v>1.0982000000000001</v>
      </c>
      <c r="K836" s="142">
        <v>1.0805</v>
      </c>
      <c r="L836" s="142">
        <v>0.26529999999999998</v>
      </c>
      <c r="M836" s="142">
        <v>0.64410000000000001</v>
      </c>
      <c r="N836" s="142">
        <v>0.88680000000000003</v>
      </c>
      <c r="O836" s="142">
        <v>1.0538000000000001</v>
      </c>
      <c r="P836" s="26">
        <v>15382.816403063658</v>
      </c>
      <c r="Q836" s="35">
        <f t="array" ref="Q836">SUM(IF(($S836&gt;=4)*($C836='TaxCred&amp;Subs'!$D$114:$D$121)*($H836='TaxCred&amp;Subs'!$C$114:$C$121)*($H836&lt;='TaxCred&amp;Subs'!$C$123),'TaxCred&amp;Subs'!$E$114:$E$121,0))</f>
        <v>2500</v>
      </c>
      <c r="R836" s="143">
        <v>0</v>
      </c>
      <c r="S836" s="5">
        <v>5</v>
      </c>
      <c r="T836" s="5" t="s">
        <v>221</v>
      </c>
      <c r="V836" s="7" t="str">
        <f t="array" ref="V836">INDEX(xlRTCLNAME,MATCH(1,(xlRTCLENDU=1)*(xlRTCLEQCL=$D836),0))</f>
        <v>GEO_HP</v>
      </c>
      <c r="W836" s="7" t="str">
        <f t="array" ref="W836">INDEX(xlRTCLNAME,MATCH(1,(xlRTCLENDU=2)*(xlRTCLEQCL=$F836),0))</f>
        <v>GEO_HP</v>
      </c>
      <c r="X836" s="7" t="str">
        <f t="array" ref="X836">INDEX(xlRTTYNAME,MATCH(1,(xlRTTYENDU=1)*(xlRTTYEQCL=$D836)*(xlRTEQTYPE=$E836),0))</f>
        <v>GEO_HP4</v>
      </c>
      <c r="Y836" s="7" t="str">
        <f t="array" ref="Y836">INDEX(xlRTTYNAME,MATCH(1,(xlRTTYENDU=2)*(xlRTTYEQCL=$F836)*(xlRTEQTYPE=$G836),0))</f>
        <v>GEO_HP4</v>
      </c>
    </row>
    <row r="837" spans="2:25" x14ac:dyDescent="0.2">
      <c r="B837" s="5">
        <v>6</v>
      </c>
      <c r="C837" s="5">
        <v>1</v>
      </c>
      <c r="D837" s="5">
        <v>10</v>
      </c>
      <c r="E837" s="31">
        <v>34</v>
      </c>
      <c r="F837" s="5">
        <v>4</v>
      </c>
      <c r="G837" s="31">
        <v>15</v>
      </c>
      <c r="H837" s="97">
        <v>2033</v>
      </c>
      <c r="I837" s="97">
        <v>2050</v>
      </c>
      <c r="J837" s="142">
        <v>1.0982000000000001</v>
      </c>
      <c r="K837" s="142">
        <v>1.0805</v>
      </c>
      <c r="L837" s="142">
        <v>0.26529999999999998</v>
      </c>
      <c r="M837" s="142">
        <v>0.64410000000000001</v>
      </c>
      <c r="N837" s="142">
        <v>0.88680000000000003</v>
      </c>
      <c r="O837" s="142">
        <v>1.0538000000000001</v>
      </c>
      <c r="P837" s="26">
        <v>15382.816403063658</v>
      </c>
      <c r="Q837" s="35">
        <f t="array" ref="Q837">SUM(IF(($S837&gt;=4)*($C837='TaxCred&amp;Subs'!$D$114:$D$121)*($H837='TaxCred&amp;Subs'!$C$114:$C$121)*($H837&lt;='TaxCred&amp;Subs'!$C$123),'TaxCred&amp;Subs'!$E$114:$E$121,0))</f>
        <v>0</v>
      </c>
      <c r="R837" s="143">
        <v>0</v>
      </c>
      <c r="S837" s="5">
        <v>5</v>
      </c>
      <c r="T837" s="5" t="s">
        <v>221</v>
      </c>
      <c r="V837" s="7" t="str">
        <f t="array" ref="V837">INDEX(xlRTCLNAME,MATCH(1,(xlRTCLENDU=1)*(xlRTCLEQCL=$D837),0))</f>
        <v>GEO_HP</v>
      </c>
      <c r="W837" s="7" t="str">
        <f t="array" ref="W837">INDEX(xlRTCLNAME,MATCH(1,(xlRTCLENDU=2)*(xlRTCLEQCL=$F837),0))</f>
        <v>GEO_HP</v>
      </c>
      <c r="X837" s="7" t="str">
        <f t="array" ref="X837">INDEX(xlRTTYNAME,MATCH(1,(xlRTTYENDU=1)*(xlRTTYEQCL=$D837)*(xlRTEQTYPE=$E837),0))</f>
        <v>GEO_HP4</v>
      </c>
      <c r="Y837" s="7" t="str">
        <f t="array" ref="Y837">INDEX(xlRTTYNAME,MATCH(1,(xlRTTYENDU=2)*(xlRTTYEQCL=$F837)*(xlRTEQTYPE=$G837),0))</f>
        <v>GEO_HP4</v>
      </c>
    </row>
    <row r="838" spans="2:25" x14ac:dyDescent="0.2">
      <c r="B838" s="5">
        <v>7</v>
      </c>
      <c r="C838" s="5">
        <v>1</v>
      </c>
      <c r="D838" s="5">
        <v>10</v>
      </c>
      <c r="E838" s="31">
        <v>34</v>
      </c>
      <c r="F838" s="5">
        <v>4</v>
      </c>
      <c r="G838" s="31">
        <v>15</v>
      </c>
      <c r="H838" s="96">
        <v>2020</v>
      </c>
      <c r="I838" s="97">
        <v>2022</v>
      </c>
      <c r="J838" s="142">
        <v>1.1200000000000001</v>
      </c>
      <c r="K838" s="142">
        <v>1.0769</v>
      </c>
      <c r="L838" s="142">
        <v>0.35949999999999999</v>
      </c>
      <c r="M838" s="142">
        <v>0.65269999999999995</v>
      </c>
      <c r="N838" s="142">
        <v>0.8871</v>
      </c>
      <c r="O838" s="142">
        <v>1.0538000000000001</v>
      </c>
      <c r="P838" s="26">
        <v>15600.63095225484</v>
      </c>
      <c r="Q838" s="35">
        <f t="array" ref="Q838">SUM(IF(($S838&gt;=4)*($C838='TaxCred&amp;Subs'!$D$114:$D$121)*($H838='TaxCred&amp;Subs'!$C$114:$C$121)*($H838&lt;='TaxCred&amp;Subs'!$C$123),'TaxCred&amp;Subs'!$E$114:$E$121,0))</f>
        <v>2000</v>
      </c>
      <c r="R838" s="143">
        <v>0</v>
      </c>
      <c r="S838" s="5">
        <v>5</v>
      </c>
      <c r="T838" s="5" t="s">
        <v>221</v>
      </c>
      <c r="V838" s="7" t="str">
        <f t="array" ref="V838">INDEX(xlRTCLNAME,MATCH(1,(xlRTCLENDU=1)*(xlRTCLEQCL=$D838),0))</f>
        <v>GEO_HP</v>
      </c>
      <c r="W838" s="7" t="str">
        <f t="array" ref="W838">INDEX(xlRTCLNAME,MATCH(1,(xlRTCLENDU=2)*(xlRTCLEQCL=$F838),0))</f>
        <v>GEO_HP</v>
      </c>
      <c r="X838" s="7" t="str">
        <f t="array" ref="X838">INDEX(xlRTTYNAME,MATCH(1,(xlRTTYENDU=1)*(xlRTTYEQCL=$D838)*(xlRTEQTYPE=$E838),0))</f>
        <v>GEO_HP4</v>
      </c>
      <c r="Y838" s="7" t="str">
        <f t="array" ref="Y838">INDEX(xlRTTYNAME,MATCH(1,(xlRTTYENDU=2)*(xlRTTYEQCL=$F838)*(xlRTEQTYPE=$G838),0))</f>
        <v>GEO_HP4</v>
      </c>
    </row>
    <row r="839" spans="2:25" x14ac:dyDescent="0.2">
      <c r="B839" s="5">
        <v>7</v>
      </c>
      <c r="C839" s="5">
        <v>1</v>
      </c>
      <c r="D839" s="5">
        <v>10</v>
      </c>
      <c r="E839" s="31">
        <v>34</v>
      </c>
      <c r="F839" s="5">
        <v>4</v>
      </c>
      <c r="G839" s="31">
        <v>15</v>
      </c>
      <c r="H839" s="97">
        <v>2023</v>
      </c>
      <c r="I839" s="97">
        <v>2032</v>
      </c>
      <c r="J839" s="142">
        <v>1.1200000000000001</v>
      </c>
      <c r="K839" s="142">
        <v>1.0769</v>
      </c>
      <c r="L839" s="142">
        <v>0.35949999999999999</v>
      </c>
      <c r="M839" s="142">
        <v>0.65269999999999995</v>
      </c>
      <c r="N839" s="142">
        <v>0.8871</v>
      </c>
      <c r="O839" s="142">
        <v>1.0538000000000001</v>
      </c>
      <c r="P839" s="26">
        <v>15600.63095225484</v>
      </c>
      <c r="Q839" s="35">
        <f t="array" ref="Q839">SUM(IF(($S839&gt;=4)*($C839='TaxCred&amp;Subs'!$D$114:$D$121)*($H839='TaxCred&amp;Subs'!$C$114:$C$121)*($H839&lt;='TaxCred&amp;Subs'!$C$123),'TaxCred&amp;Subs'!$E$114:$E$121,0))</f>
        <v>2500</v>
      </c>
      <c r="R839" s="143">
        <v>0</v>
      </c>
      <c r="S839" s="5">
        <v>5</v>
      </c>
      <c r="T839" s="5" t="s">
        <v>221</v>
      </c>
      <c r="V839" s="7" t="str">
        <f t="array" ref="V839">INDEX(xlRTCLNAME,MATCH(1,(xlRTCLENDU=1)*(xlRTCLEQCL=$D839),0))</f>
        <v>GEO_HP</v>
      </c>
      <c r="W839" s="7" t="str">
        <f t="array" ref="W839">INDEX(xlRTCLNAME,MATCH(1,(xlRTCLENDU=2)*(xlRTCLEQCL=$F839),0))</f>
        <v>GEO_HP</v>
      </c>
      <c r="X839" s="7" t="str">
        <f t="array" ref="X839">INDEX(xlRTTYNAME,MATCH(1,(xlRTTYENDU=1)*(xlRTTYEQCL=$D839)*(xlRTEQTYPE=$E839),0))</f>
        <v>GEO_HP4</v>
      </c>
      <c r="Y839" s="7" t="str">
        <f t="array" ref="Y839">INDEX(xlRTTYNAME,MATCH(1,(xlRTTYENDU=2)*(xlRTTYEQCL=$F839)*(xlRTEQTYPE=$G839),0))</f>
        <v>GEO_HP4</v>
      </c>
    </row>
    <row r="840" spans="2:25" x14ac:dyDescent="0.2">
      <c r="B840" s="5">
        <v>7</v>
      </c>
      <c r="C840" s="5">
        <v>1</v>
      </c>
      <c r="D840" s="5">
        <v>10</v>
      </c>
      <c r="E840" s="31">
        <v>34</v>
      </c>
      <c r="F840" s="5">
        <v>4</v>
      </c>
      <c r="G840" s="31">
        <v>15</v>
      </c>
      <c r="H840" s="97">
        <v>2033</v>
      </c>
      <c r="I840" s="97">
        <v>2050</v>
      </c>
      <c r="J840" s="142">
        <v>1.1200000000000001</v>
      </c>
      <c r="K840" s="142">
        <v>1.0769</v>
      </c>
      <c r="L840" s="142">
        <v>0.35949999999999999</v>
      </c>
      <c r="M840" s="142">
        <v>0.65269999999999995</v>
      </c>
      <c r="N840" s="142">
        <v>0.8871</v>
      </c>
      <c r="O840" s="142">
        <v>1.0538000000000001</v>
      </c>
      <c r="P840" s="26">
        <v>15600.63095225484</v>
      </c>
      <c r="Q840" s="35">
        <f t="array" ref="Q840">SUM(IF(($S840&gt;=4)*($C840='TaxCred&amp;Subs'!$D$114:$D$121)*($H840='TaxCred&amp;Subs'!$C$114:$C$121)*($H840&lt;='TaxCred&amp;Subs'!$C$123),'TaxCred&amp;Subs'!$E$114:$E$121,0))</f>
        <v>0</v>
      </c>
      <c r="R840" s="143">
        <v>0</v>
      </c>
      <c r="S840" s="5">
        <v>5</v>
      </c>
      <c r="T840" s="5" t="s">
        <v>221</v>
      </c>
      <c r="V840" s="7" t="str">
        <f t="array" ref="V840">INDEX(xlRTCLNAME,MATCH(1,(xlRTCLENDU=1)*(xlRTCLEQCL=$D840),0))</f>
        <v>GEO_HP</v>
      </c>
      <c r="W840" s="7" t="str">
        <f t="array" ref="W840">INDEX(xlRTCLNAME,MATCH(1,(xlRTCLENDU=2)*(xlRTCLEQCL=$F840),0))</f>
        <v>GEO_HP</v>
      </c>
      <c r="X840" s="7" t="str">
        <f t="array" ref="X840">INDEX(xlRTTYNAME,MATCH(1,(xlRTTYENDU=1)*(xlRTTYEQCL=$D840)*(xlRTEQTYPE=$E840),0))</f>
        <v>GEO_HP4</v>
      </c>
      <c r="Y840" s="7" t="str">
        <f t="array" ref="Y840">INDEX(xlRTTYNAME,MATCH(1,(xlRTTYENDU=2)*(xlRTTYEQCL=$F840)*(xlRTEQTYPE=$G840),0))</f>
        <v>GEO_HP4</v>
      </c>
    </row>
    <row r="841" spans="2:25" x14ac:dyDescent="0.2">
      <c r="B841" s="5">
        <v>8</v>
      </c>
      <c r="C841" s="5">
        <v>1</v>
      </c>
      <c r="D841" s="5">
        <v>10</v>
      </c>
      <c r="E841" s="31">
        <v>34</v>
      </c>
      <c r="F841" s="5">
        <v>4</v>
      </c>
      <c r="G841" s="31">
        <v>15</v>
      </c>
      <c r="H841" s="96">
        <v>2020</v>
      </c>
      <c r="I841" s="97">
        <v>2022</v>
      </c>
      <c r="J841" s="142">
        <v>1.0417000000000001</v>
      </c>
      <c r="K841" s="142">
        <v>1.0667</v>
      </c>
      <c r="L841" s="142">
        <v>0.41089999999999999</v>
      </c>
      <c r="M841" s="142">
        <v>0.76959999999999995</v>
      </c>
      <c r="N841" s="142">
        <v>0.88300000000000001</v>
      </c>
      <c r="O841" s="142">
        <v>1.0538000000000001</v>
      </c>
      <c r="P841" s="26">
        <v>16260.797271099718</v>
      </c>
      <c r="Q841" s="35">
        <f t="array" ref="Q841">SUM(IF(($S841&gt;=4)*($C841='TaxCred&amp;Subs'!$D$114:$D$121)*($H841='TaxCred&amp;Subs'!$C$114:$C$121)*($H841&lt;='TaxCred&amp;Subs'!$C$123),'TaxCred&amp;Subs'!$E$114:$E$121,0))</f>
        <v>2000</v>
      </c>
      <c r="R841" s="143">
        <v>0</v>
      </c>
      <c r="S841" s="5">
        <v>5</v>
      </c>
      <c r="T841" s="5" t="s">
        <v>221</v>
      </c>
      <c r="V841" s="7" t="str">
        <f t="array" ref="V841">INDEX(xlRTCLNAME,MATCH(1,(xlRTCLENDU=1)*(xlRTCLEQCL=$D841),0))</f>
        <v>GEO_HP</v>
      </c>
      <c r="W841" s="7" t="str">
        <f t="array" ref="W841">INDEX(xlRTCLNAME,MATCH(1,(xlRTCLENDU=2)*(xlRTCLEQCL=$F841),0))</f>
        <v>GEO_HP</v>
      </c>
      <c r="X841" s="7" t="str">
        <f t="array" ref="X841">INDEX(xlRTTYNAME,MATCH(1,(xlRTTYENDU=1)*(xlRTTYEQCL=$D841)*(xlRTEQTYPE=$E841),0))</f>
        <v>GEO_HP4</v>
      </c>
      <c r="Y841" s="7" t="str">
        <f t="array" ref="Y841">INDEX(xlRTTYNAME,MATCH(1,(xlRTTYENDU=2)*(xlRTTYEQCL=$F841)*(xlRTEQTYPE=$G841),0))</f>
        <v>GEO_HP4</v>
      </c>
    </row>
    <row r="842" spans="2:25" x14ac:dyDescent="0.2">
      <c r="B842" s="5">
        <v>8</v>
      </c>
      <c r="C842" s="5">
        <v>1</v>
      </c>
      <c r="D842" s="5">
        <v>10</v>
      </c>
      <c r="E842" s="31">
        <v>34</v>
      </c>
      <c r="F842" s="5">
        <v>4</v>
      </c>
      <c r="G842" s="31">
        <v>15</v>
      </c>
      <c r="H842" s="97">
        <v>2023</v>
      </c>
      <c r="I842" s="97">
        <v>2032</v>
      </c>
      <c r="J842" s="142">
        <v>1.0417000000000001</v>
      </c>
      <c r="K842" s="142">
        <v>1.0667</v>
      </c>
      <c r="L842" s="142">
        <v>0.41089999999999999</v>
      </c>
      <c r="M842" s="142">
        <v>0.76959999999999995</v>
      </c>
      <c r="N842" s="142">
        <v>0.88300000000000001</v>
      </c>
      <c r="O842" s="142">
        <v>1.0538000000000001</v>
      </c>
      <c r="P842" s="26">
        <v>16260.797271099718</v>
      </c>
      <c r="Q842" s="35">
        <f t="array" ref="Q842">SUM(IF(($S842&gt;=4)*($C842='TaxCred&amp;Subs'!$D$114:$D$121)*($H842='TaxCred&amp;Subs'!$C$114:$C$121)*($H842&lt;='TaxCred&amp;Subs'!$C$123),'TaxCred&amp;Subs'!$E$114:$E$121,0))</f>
        <v>2500</v>
      </c>
      <c r="R842" s="143">
        <v>0</v>
      </c>
      <c r="S842" s="5">
        <v>5</v>
      </c>
      <c r="T842" s="5" t="s">
        <v>221</v>
      </c>
      <c r="V842" s="7" t="str">
        <f t="array" ref="V842">INDEX(xlRTCLNAME,MATCH(1,(xlRTCLENDU=1)*(xlRTCLEQCL=$D842),0))</f>
        <v>GEO_HP</v>
      </c>
      <c r="W842" s="7" t="str">
        <f t="array" ref="W842">INDEX(xlRTCLNAME,MATCH(1,(xlRTCLENDU=2)*(xlRTCLEQCL=$F842),0))</f>
        <v>GEO_HP</v>
      </c>
      <c r="X842" s="7" t="str">
        <f t="array" ref="X842">INDEX(xlRTTYNAME,MATCH(1,(xlRTTYENDU=1)*(xlRTTYEQCL=$D842)*(xlRTEQTYPE=$E842),0))</f>
        <v>GEO_HP4</v>
      </c>
      <c r="Y842" s="7" t="str">
        <f t="array" ref="Y842">INDEX(xlRTTYNAME,MATCH(1,(xlRTTYENDU=2)*(xlRTTYEQCL=$F842)*(xlRTEQTYPE=$G842),0))</f>
        <v>GEO_HP4</v>
      </c>
    </row>
    <row r="843" spans="2:25" x14ac:dyDescent="0.2">
      <c r="B843" s="5">
        <v>8</v>
      </c>
      <c r="C843" s="5">
        <v>1</v>
      </c>
      <c r="D843" s="5">
        <v>10</v>
      </c>
      <c r="E843" s="31">
        <v>34</v>
      </c>
      <c r="F843" s="5">
        <v>4</v>
      </c>
      <c r="G843" s="31">
        <v>15</v>
      </c>
      <c r="H843" s="97">
        <v>2033</v>
      </c>
      <c r="I843" s="97">
        <v>2050</v>
      </c>
      <c r="J843" s="142">
        <v>1.0417000000000001</v>
      </c>
      <c r="K843" s="142">
        <v>1.0667</v>
      </c>
      <c r="L843" s="142">
        <v>0.41089999999999999</v>
      </c>
      <c r="M843" s="142">
        <v>0.76959999999999995</v>
      </c>
      <c r="N843" s="142">
        <v>0.88300000000000001</v>
      </c>
      <c r="O843" s="142">
        <v>1.0538000000000001</v>
      </c>
      <c r="P843" s="26">
        <v>16260.797271099718</v>
      </c>
      <c r="Q843" s="35">
        <f t="array" ref="Q843">SUM(IF(($S843&gt;=4)*($C843='TaxCred&amp;Subs'!$D$114:$D$121)*($H843='TaxCred&amp;Subs'!$C$114:$C$121)*($H843&lt;='TaxCred&amp;Subs'!$C$123),'TaxCred&amp;Subs'!$E$114:$E$121,0))</f>
        <v>0</v>
      </c>
      <c r="R843" s="143">
        <v>0</v>
      </c>
      <c r="S843" s="5">
        <v>5</v>
      </c>
      <c r="T843" s="5" t="s">
        <v>221</v>
      </c>
      <c r="V843" s="7" t="str">
        <f t="array" ref="V843">INDEX(xlRTCLNAME,MATCH(1,(xlRTCLENDU=1)*(xlRTCLEQCL=$D843),0))</f>
        <v>GEO_HP</v>
      </c>
      <c r="W843" s="7" t="str">
        <f t="array" ref="W843">INDEX(xlRTCLNAME,MATCH(1,(xlRTCLENDU=2)*(xlRTCLEQCL=$F843),0))</f>
        <v>GEO_HP</v>
      </c>
      <c r="X843" s="7" t="str">
        <f t="array" ref="X843">INDEX(xlRTTYNAME,MATCH(1,(xlRTTYENDU=1)*(xlRTTYEQCL=$D843)*(xlRTEQTYPE=$E843),0))</f>
        <v>GEO_HP4</v>
      </c>
      <c r="Y843" s="7" t="str">
        <f t="array" ref="Y843">INDEX(xlRTTYNAME,MATCH(1,(xlRTTYENDU=2)*(xlRTTYEQCL=$F843)*(xlRTEQTYPE=$G843),0))</f>
        <v>GEO_HP4</v>
      </c>
    </row>
    <row r="844" spans="2:25" x14ac:dyDescent="0.2">
      <c r="B844" s="5">
        <v>9</v>
      </c>
      <c r="C844" s="5">
        <v>1</v>
      </c>
      <c r="D844" s="5">
        <v>10</v>
      </c>
      <c r="E844" s="31">
        <v>34</v>
      </c>
      <c r="F844" s="5">
        <v>4</v>
      </c>
      <c r="G844" s="31">
        <v>15</v>
      </c>
      <c r="H844" s="96">
        <v>2020</v>
      </c>
      <c r="I844" s="97">
        <v>2022</v>
      </c>
      <c r="J844" s="142">
        <v>1.0611999999999999</v>
      </c>
      <c r="K844" s="142">
        <v>1.0428999999999999</v>
      </c>
      <c r="L844" s="142">
        <v>0.3911</v>
      </c>
      <c r="M844" s="142">
        <v>0.75870000000000004</v>
      </c>
      <c r="N844" s="142">
        <v>1.0349999999999999</v>
      </c>
      <c r="O844" s="142">
        <v>1.0538000000000001</v>
      </c>
      <c r="P844" s="26">
        <v>19815.745839380488</v>
      </c>
      <c r="Q844" s="35">
        <f t="array" ref="Q844">SUM(IF(($S844&gt;=4)*($C844='TaxCred&amp;Subs'!$D$114:$D$121)*($H844='TaxCred&amp;Subs'!$C$114:$C$121)*($H844&lt;='TaxCred&amp;Subs'!$C$123),'TaxCred&amp;Subs'!$E$114:$E$121,0))</f>
        <v>2000</v>
      </c>
      <c r="R844" s="143">
        <v>0</v>
      </c>
      <c r="S844" s="5">
        <v>5</v>
      </c>
      <c r="T844" s="5" t="s">
        <v>221</v>
      </c>
      <c r="V844" s="7" t="str">
        <f t="array" ref="V844">INDEX(xlRTCLNAME,MATCH(1,(xlRTCLENDU=1)*(xlRTCLEQCL=$D844),0))</f>
        <v>GEO_HP</v>
      </c>
      <c r="W844" s="7" t="str">
        <f t="array" ref="W844">INDEX(xlRTCLNAME,MATCH(1,(xlRTCLENDU=2)*(xlRTCLEQCL=$F844),0))</f>
        <v>GEO_HP</v>
      </c>
      <c r="X844" s="7" t="str">
        <f t="array" ref="X844">INDEX(xlRTTYNAME,MATCH(1,(xlRTTYENDU=1)*(xlRTTYEQCL=$D844)*(xlRTEQTYPE=$E844),0))</f>
        <v>GEO_HP4</v>
      </c>
      <c r="Y844" s="7" t="str">
        <f t="array" ref="Y844">INDEX(xlRTTYNAME,MATCH(1,(xlRTTYENDU=2)*(xlRTTYEQCL=$F844)*(xlRTEQTYPE=$G844),0))</f>
        <v>GEO_HP4</v>
      </c>
    </row>
    <row r="845" spans="2:25" x14ac:dyDescent="0.2">
      <c r="B845" s="5">
        <v>9</v>
      </c>
      <c r="C845" s="5">
        <v>1</v>
      </c>
      <c r="D845" s="5">
        <v>10</v>
      </c>
      <c r="E845" s="31">
        <v>34</v>
      </c>
      <c r="F845" s="5">
        <v>4</v>
      </c>
      <c r="G845" s="31">
        <v>15</v>
      </c>
      <c r="H845" s="97">
        <v>2023</v>
      </c>
      <c r="I845" s="97">
        <v>2032</v>
      </c>
      <c r="J845" s="142">
        <v>1.0611999999999999</v>
      </c>
      <c r="K845" s="142">
        <v>1.0428999999999999</v>
      </c>
      <c r="L845" s="142">
        <v>0.3911</v>
      </c>
      <c r="M845" s="142">
        <v>0.75870000000000004</v>
      </c>
      <c r="N845" s="142">
        <v>1.0349999999999999</v>
      </c>
      <c r="O845" s="142">
        <v>1.0538000000000001</v>
      </c>
      <c r="P845" s="26">
        <v>19815.745839380488</v>
      </c>
      <c r="Q845" s="35">
        <f t="array" ref="Q845">SUM(IF(($S845&gt;=4)*($C845='TaxCred&amp;Subs'!$D$114:$D$121)*($H845='TaxCred&amp;Subs'!$C$114:$C$121)*($H845&lt;='TaxCred&amp;Subs'!$C$123),'TaxCred&amp;Subs'!$E$114:$E$121,0))</f>
        <v>2500</v>
      </c>
      <c r="R845" s="143">
        <v>0</v>
      </c>
      <c r="S845" s="5">
        <v>5</v>
      </c>
      <c r="T845" s="5" t="s">
        <v>221</v>
      </c>
      <c r="V845" s="7" t="str">
        <f t="array" ref="V845">INDEX(xlRTCLNAME,MATCH(1,(xlRTCLENDU=1)*(xlRTCLEQCL=$D845),0))</f>
        <v>GEO_HP</v>
      </c>
      <c r="W845" s="7" t="str">
        <f t="array" ref="W845">INDEX(xlRTCLNAME,MATCH(1,(xlRTCLENDU=2)*(xlRTCLEQCL=$F845),0))</f>
        <v>GEO_HP</v>
      </c>
      <c r="X845" s="7" t="str">
        <f t="array" ref="X845">INDEX(xlRTTYNAME,MATCH(1,(xlRTTYENDU=1)*(xlRTTYEQCL=$D845)*(xlRTEQTYPE=$E845),0))</f>
        <v>GEO_HP4</v>
      </c>
      <c r="Y845" s="7" t="str">
        <f t="array" ref="Y845">INDEX(xlRTTYNAME,MATCH(1,(xlRTTYENDU=2)*(xlRTTYEQCL=$F845)*(xlRTEQTYPE=$G845),0))</f>
        <v>GEO_HP4</v>
      </c>
    </row>
    <row r="846" spans="2:25" x14ac:dyDescent="0.2">
      <c r="B846" s="5">
        <v>9</v>
      </c>
      <c r="C846" s="5">
        <v>1</v>
      </c>
      <c r="D846" s="5">
        <v>10</v>
      </c>
      <c r="E846" s="31">
        <v>34</v>
      </c>
      <c r="F846" s="5">
        <v>4</v>
      </c>
      <c r="G846" s="31">
        <v>15</v>
      </c>
      <c r="H846" s="97">
        <v>2033</v>
      </c>
      <c r="I846" s="97">
        <v>2050</v>
      </c>
      <c r="J846" s="142">
        <v>1.0611999999999999</v>
      </c>
      <c r="K846" s="142">
        <v>1.0428999999999999</v>
      </c>
      <c r="L846" s="142">
        <v>0.3911</v>
      </c>
      <c r="M846" s="142">
        <v>0.75870000000000004</v>
      </c>
      <c r="N846" s="142">
        <v>1.0349999999999999</v>
      </c>
      <c r="O846" s="142">
        <v>1.0538000000000001</v>
      </c>
      <c r="P846" s="26">
        <v>19815.745839380488</v>
      </c>
      <c r="Q846" s="35">
        <f t="array" ref="Q846">SUM(IF(($S846&gt;=4)*($C846='TaxCred&amp;Subs'!$D$114:$D$121)*($H846='TaxCred&amp;Subs'!$C$114:$C$121)*($H846&lt;='TaxCred&amp;Subs'!$C$123),'TaxCred&amp;Subs'!$E$114:$E$121,0))</f>
        <v>0</v>
      </c>
      <c r="R846" s="143">
        <v>0</v>
      </c>
      <c r="S846" s="5">
        <v>5</v>
      </c>
      <c r="T846" s="5" t="s">
        <v>221</v>
      </c>
      <c r="V846" s="7" t="str">
        <f t="array" ref="V846">INDEX(xlRTCLNAME,MATCH(1,(xlRTCLENDU=1)*(xlRTCLEQCL=$D846),0))</f>
        <v>GEO_HP</v>
      </c>
      <c r="W846" s="7" t="str">
        <f t="array" ref="W846">INDEX(xlRTCLNAME,MATCH(1,(xlRTCLENDU=2)*(xlRTCLEQCL=$F846),0))</f>
        <v>GEO_HP</v>
      </c>
      <c r="X846" s="7" t="str">
        <f t="array" ref="X846">INDEX(xlRTTYNAME,MATCH(1,(xlRTTYENDU=1)*(xlRTTYEQCL=$D846)*(xlRTEQTYPE=$E846),0))</f>
        <v>GEO_HP4</v>
      </c>
      <c r="Y846" s="7" t="str">
        <f t="array" ref="Y846">INDEX(xlRTTYNAME,MATCH(1,(xlRTTYENDU=2)*(xlRTTYEQCL=$F846)*(xlRTEQTYPE=$G846),0))</f>
        <v>GEO_HP4</v>
      </c>
    </row>
    <row r="847" spans="2:25" x14ac:dyDescent="0.2">
      <c r="B847" s="5">
        <v>1</v>
      </c>
      <c r="C847" s="5">
        <v>1</v>
      </c>
      <c r="D847" s="5">
        <v>11</v>
      </c>
      <c r="E847" s="31">
        <v>35</v>
      </c>
      <c r="F847" s="5">
        <v>5</v>
      </c>
      <c r="G847" s="31">
        <v>16</v>
      </c>
      <c r="H847" s="96">
        <v>2020</v>
      </c>
      <c r="I847" s="97">
        <v>2022</v>
      </c>
      <c r="J847" s="142">
        <v>1.0803</v>
      </c>
      <c r="K847" s="142">
        <v>1.0667</v>
      </c>
      <c r="L847" s="142">
        <v>0.44319999999999998</v>
      </c>
      <c r="M847" s="142">
        <v>0.96350000000000002</v>
      </c>
      <c r="N847" s="142">
        <v>0.79790000000000005</v>
      </c>
      <c r="O847" s="142">
        <v>1.0538000000000001</v>
      </c>
      <c r="P847" s="26">
        <v>19744.485523904365</v>
      </c>
      <c r="Q847" s="35">
        <f t="array" ref="Q847">SUM(IF(($S847&gt;=4)*($C847='TaxCred&amp;Subs'!$D$114:$D$121)*($H847='TaxCred&amp;Subs'!$C$114:$C$121)*($H847&lt;='TaxCred&amp;Subs'!$C$123),'TaxCred&amp;Subs'!$E$114:$E$121,0))</f>
        <v>2000</v>
      </c>
      <c r="R847" s="143">
        <v>0</v>
      </c>
      <c r="S847" s="5">
        <v>5</v>
      </c>
      <c r="T847" s="5" t="s">
        <v>221</v>
      </c>
      <c r="V847" s="7" t="str">
        <f t="array" ref="V847">INDEX(xlRTCLNAME,MATCH(1,(xlRTCLENDU=1)*(xlRTCLEQCL=$D847),0))</f>
        <v>NG_HP</v>
      </c>
      <c r="W847" s="7" t="str">
        <f t="array" ref="W847">INDEX(xlRTCLNAME,MATCH(1,(xlRTCLENDU=2)*(xlRTCLEQCL=$F847),0))</f>
        <v>NG_HP</v>
      </c>
      <c r="X847" s="7" t="str">
        <f t="array" ref="X847">INDEX(xlRTTYNAME,MATCH(1,(xlRTTYENDU=1)*(xlRTTYEQCL=$D847)*(xlRTEQTYPE=$E847),0))</f>
        <v>NG_HP2</v>
      </c>
      <c r="Y847" s="7" t="str">
        <f t="array" ref="Y847">INDEX(xlRTTYNAME,MATCH(1,(xlRTTYENDU=2)*(xlRTTYEQCL=$F847)*(xlRTEQTYPE=$G847),0))</f>
        <v>NG_HP2</v>
      </c>
    </row>
    <row r="848" spans="2:25" x14ac:dyDescent="0.2">
      <c r="B848" s="5">
        <v>1</v>
      </c>
      <c r="C848" s="5">
        <v>1</v>
      </c>
      <c r="D848" s="5">
        <v>11</v>
      </c>
      <c r="E848" s="31">
        <v>35</v>
      </c>
      <c r="F848" s="5">
        <v>5</v>
      </c>
      <c r="G848" s="31">
        <v>16</v>
      </c>
      <c r="H848" s="97">
        <v>2023</v>
      </c>
      <c r="I848" s="97">
        <v>2032</v>
      </c>
      <c r="J848" s="142">
        <v>1.0803</v>
      </c>
      <c r="K848" s="142">
        <v>1.0667</v>
      </c>
      <c r="L848" s="142">
        <v>0.44319999999999998</v>
      </c>
      <c r="M848" s="142">
        <v>0.96350000000000002</v>
      </c>
      <c r="N848" s="142">
        <v>0.79790000000000005</v>
      </c>
      <c r="O848" s="142">
        <v>1.0538000000000001</v>
      </c>
      <c r="P848" s="26">
        <v>19744.485523904365</v>
      </c>
      <c r="Q848" s="35">
        <f t="array" ref="Q848">SUM(IF(($S848&gt;=4)*($C848='TaxCred&amp;Subs'!$D$114:$D$121)*($H848='TaxCred&amp;Subs'!$C$114:$C$121)*($H848&lt;='TaxCred&amp;Subs'!$C$123),'TaxCred&amp;Subs'!$E$114:$E$121,0))</f>
        <v>2500</v>
      </c>
      <c r="R848" s="143">
        <v>0</v>
      </c>
      <c r="S848" s="5">
        <v>5</v>
      </c>
      <c r="T848" s="5" t="s">
        <v>221</v>
      </c>
      <c r="V848" s="7" t="str">
        <f t="array" ref="V848">INDEX(xlRTCLNAME,MATCH(1,(xlRTCLENDU=1)*(xlRTCLEQCL=$D848),0))</f>
        <v>NG_HP</v>
      </c>
      <c r="W848" s="7" t="str">
        <f t="array" ref="W848">INDEX(xlRTCLNAME,MATCH(1,(xlRTCLENDU=2)*(xlRTCLEQCL=$F848),0))</f>
        <v>NG_HP</v>
      </c>
      <c r="X848" s="7" t="str">
        <f t="array" ref="X848">INDEX(xlRTTYNAME,MATCH(1,(xlRTTYENDU=1)*(xlRTTYEQCL=$D848)*(xlRTEQTYPE=$E848),0))</f>
        <v>NG_HP2</v>
      </c>
      <c r="Y848" s="7" t="str">
        <f t="array" ref="Y848">INDEX(xlRTTYNAME,MATCH(1,(xlRTTYENDU=2)*(xlRTTYEQCL=$F848)*(xlRTEQTYPE=$G848),0))</f>
        <v>NG_HP2</v>
      </c>
    </row>
    <row r="849" spans="2:25" x14ac:dyDescent="0.2">
      <c r="B849" s="5">
        <v>1</v>
      </c>
      <c r="C849" s="5">
        <v>1</v>
      </c>
      <c r="D849" s="5">
        <v>11</v>
      </c>
      <c r="E849" s="31">
        <v>35</v>
      </c>
      <c r="F849" s="5">
        <v>5</v>
      </c>
      <c r="G849" s="31">
        <v>16</v>
      </c>
      <c r="H849" s="97">
        <v>2033</v>
      </c>
      <c r="I849" s="97">
        <v>2050</v>
      </c>
      <c r="J849" s="142">
        <v>1.0803</v>
      </c>
      <c r="K849" s="142">
        <v>1.0667</v>
      </c>
      <c r="L849" s="142">
        <v>0.44319999999999998</v>
      </c>
      <c r="M849" s="142">
        <v>0.96350000000000002</v>
      </c>
      <c r="N849" s="142">
        <v>0.79790000000000005</v>
      </c>
      <c r="O849" s="142">
        <v>1.0538000000000001</v>
      </c>
      <c r="P849" s="26">
        <v>19744.485523904365</v>
      </c>
      <c r="Q849" s="35">
        <f t="array" ref="Q849">SUM(IF(($S849&gt;=4)*($C849='TaxCred&amp;Subs'!$D$114:$D$121)*($H849='TaxCred&amp;Subs'!$C$114:$C$121)*($H849&lt;='TaxCred&amp;Subs'!$C$123),'TaxCred&amp;Subs'!$E$114:$E$121,0))</f>
        <v>0</v>
      </c>
      <c r="R849" s="143">
        <v>0</v>
      </c>
      <c r="S849" s="5">
        <v>5</v>
      </c>
      <c r="T849" s="5" t="s">
        <v>221</v>
      </c>
      <c r="V849" s="7" t="str">
        <f t="array" ref="V849">INDEX(xlRTCLNAME,MATCH(1,(xlRTCLENDU=1)*(xlRTCLEQCL=$D849),0))</f>
        <v>NG_HP</v>
      </c>
      <c r="W849" s="7" t="str">
        <f t="array" ref="W849">INDEX(xlRTCLNAME,MATCH(1,(xlRTCLENDU=2)*(xlRTCLEQCL=$F849),0))</f>
        <v>NG_HP</v>
      </c>
      <c r="X849" s="7" t="str">
        <f t="array" ref="X849">INDEX(xlRTTYNAME,MATCH(1,(xlRTTYENDU=1)*(xlRTTYEQCL=$D849)*(xlRTEQTYPE=$E849),0))</f>
        <v>NG_HP2</v>
      </c>
      <c r="Y849" s="7" t="str">
        <f t="array" ref="Y849">INDEX(xlRTTYNAME,MATCH(1,(xlRTTYENDU=2)*(xlRTTYEQCL=$F849)*(xlRTEQTYPE=$G849),0))</f>
        <v>NG_HP2</v>
      </c>
    </row>
    <row r="850" spans="2:25" x14ac:dyDescent="0.2">
      <c r="B850" s="5">
        <v>2</v>
      </c>
      <c r="C850" s="5">
        <v>1</v>
      </c>
      <c r="D850" s="5">
        <v>11</v>
      </c>
      <c r="E850" s="31">
        <v>35</v>
      </c>
      <c r="F850" s="5">
        <v>5</v>
      </c>
      <c r="G850" s="31">
        <v>16</v>
      </c>
      <c r="H850" s="96">
        <v>2020</v>
      </c>
      <c r="I850" s="97">
        <v>2022</v>
      </c>
      <c r="J850" s="142">
        <v>1.0649</v>
      </c>
      <c r="K850" s="142">
        <v>1.0597000000000001</v>
      </c>
      <c r="L850" s="142">
        <v>0.46200000000000002</v>
      </c>
      <c r="M850" s="142">
        <v>0.81589999999999996</v>
      </c>
      <c r="N850" s="142">
        <v>0.93169999999999997</v>
      </c>
      <c r="O850" s="142">
        <v>1.0538000000000001</v>
      </c>
      <c r="P850" s="26">
        <v>22424.142292657609</v>
      </c>
      <c r="Q850" s="35">
        <f t="array" ref="Q850">SUM(IF(($S850&gt;=4)*($C850='TaxCred&amp;Subs'!$D$114:$D$121)*($H850='TaxCred&amp;Subs'!$C$114:$C$121)*($H850&lt;='TaxCred&amp;Subs'!$C$123),'TaxCred&amp;Subs'!$E$114:$E$121,0))</f>
        <v>2000</v>
      </c>
      <c r="R850" s="143">
        <v>0</v>
      </c>
      <c r="S850" s="5">
        <v>5</v>
      </c>
      <c r="T850" s="5" t="s">
        <v>221</v>
      </c>
      <c r="V850" s="7" t="str">
        <f t="array" ref="V850">INDEX(xlRTCLNAME,MATCH(1,(xlRTCLENDU=1)*(xlRTCLEQCL=$D850),0))</f>
        <v>NG_HP</v>
      </c>
      <c r="W850" s="7" t="str">
        <f t="array" ref="W850">INDEX(xlRTCLNAME,MATCH(1,(xlRTCLENDU=2)*(xlRTCLEQCL=$F850),0))</f>
        <v>NG_HP</v>
      </c>
      <c r="X850" s="7" t="str">
        <f t="array" ref="X850">INDEX(xlRTTYNAME,MATCH(1,(xlRTTYENDU=1)*(xlRTTYEQCL=$D850)*(xlRTEQTYPE=$E850),0))</f>
        <v>NG_HP2</v>
      </c>
      <c r="Y850" s="7" t="str">
        <f t="array" ref="Y850">INDEX(xlRTTYNAME,MATCH(1,(xlRTTYENDU=2)*(xlRTTYEQCL=$F850)*(xlRTEQTYPE=$G850),0))</f>
        <v>NG_HP2</v>
      </c>
    </row>
    <row r="851" spans="2:25" x14ac:dyDescent="0.2">
      <c r="B851" s="5">
        <v>2</v>
      </c>
      <c r="C851" s="5">
        <v>1</v>
      </c>
      <c r="D851" s="5">
        <v>11</v>
      </c>
      <c r="E851" s="31">
        <v>35</v>
      </c>
      <c r="F851" s="5">
        <v>5</v>
      </c>
      <c r="G851" s="31">
        <v>16</v>
      </c>
      <c r="H851" s="97">
        <v>2023</v>
      </c>
      <c r="I851" s="97">
        <v>2032</v>
      </c>
      <c r="J851" s="142">
        <v>1.0649</v>
      </c>
      <c r="K851" s="142">
        <v>1.0597000000000001</v>
      </c>
      <c r="L851" s="142">
        <v>0.46200000000000002</v>
      </c>
      <c r="M851" s="142">
        <v>0.81589999999999996</v>
      </c>
      <c r="N851" s="142">
        <v>0.93169999999999997</v>
      </c>
      <c r="O851" s="142">
        <v>1.0538000000000001</v>
      </c>
      <c r="P851" s="26">
        <v>22424.142292657609</v>
      </c>
      <c r="Q851" s="35">
        <f t="array" ref="Q851">SUM(IF(($S851&gt;=4)*($C851='TaxCred&amp;Subs'!$D$114:$D$121)*($H851='TaxCred&amp;Subs'!$C$114:$C$121)*($H851&lt;='TaxCred&amp;Subs'!$C$123),'TaxCred&amp;Subs'!$E$114:$E$121,0))</f>
        <v>2500</v>
      </c>
      <c r="R851" s="143">
        <v>0</v>
      </c>
      <c r="S851" s="5">
        <v>5</v>
      </c>
      <c r="T851" s="5" t="s">
        <v>221</v>
      </c>
      <c r="V851" s="7" t="str">
        <f t="array" ref="V851">INDEX(xlRTCLNAME,MATCH(1,(xlRTCLENDU=1)*(xlRTCLEQCL=$D851),0))</f>
        <v>NG_HP</v>
      </c>
      <c r="W851" s="7" t="str">
        <f t="array" ref="W851">INDEX(xlRTCLNAME,MATCH(1,(xlRTCLENDU=2)*(xlRTCLEQCL=$F851),0))</f>
        <v>NG_HP</v>
      </c>
      <c r="X851" s="7" t="str">
        <f t="array" ref="X851">INDEX(xlRTTYNAME,MATCH(1,(xlRTTYENDU=1)*(xlRTTYEQCL=$D851)*(xlRTEQTYPE=$E851),0))</f>
        <v>NG_HP2</v>
      </c>
      <c r="Y851" s="7" t="str">
        <f t="array" ref="Y851">INDEX(xlRTTYNAME,MATCH(1,(xlRTTYENDU=2)*(xlRTTYEQCL=$F851)*(xlRTEQTYPE=$G851),0))</f>
        <v>NG_HP2</v>
      </c>
    </row>
    <row r="852" spans="2:25" x14ac:dyDescent="0.2">
      <c r="B852" s="5">
        <v>2</v>
      </c>
      <c r="C852" s="5">
        <v>1</v>
      </c>
      <c r="D852" s="5">
        <v>11</v>
      </c>
      <c r="E852" s="31">
        <v>35</v>
      </c>
      <c r="F852" s="5">
        <v>5</v>
      </c>
      <c r="G852" s="31">
        <v>16</v>
      </c>
      <c r="H852" s="97">
        <v>2033</v>
      </c>
      <c r="I852" s="97">
        <v>2050</v>
      </c>
      <c r="J852" s="142">
        <v>1.0649</v>
      </c>
      <c r="K852" s="142">
        <v>1.0597000000000001</v>
      </c>
      <c r="L852" s="142">
        <v>0.46200000000000002</v>
      </c>
      <c r="M852" s="142">
        <v>0.81589999999999996</v>
      </c>
      <c r="N852" s="142">
        <v>0.93169999999999997</v>
      </c>
      <c r="O852" s="142">
        <v>1.0538000000000001</v>
      </c>
      <c r="P852" s="26">
        <v>22424.142292657609</v>
      </c>
      <c r="Q852" s="35">
        <f t="array" ref="Q852">SUM(IF(($S852&gt;=4)*($C852='TaxCred&amp;Subs'!$D$114:$D$121)*($H852='TaxCred&amp;Subs'!$C$114:$C$121)*($H852&lt;='TaxCred&amp;Subs'!$C$123),'TaxCred&amp;Subs'!$E$114:$E$121,0))</f>
        <v>0</v>
      </c>
      <c r="R852" s="143">
        <v>0</v>
      </c>
      <c r="S852" s="5">
        <v>5</v>
      </c>
      <c r="T852" s="5" t="s">
        <v>221</v>
      </c>
      <c r="V852" s="7" t="str">
        <f t="array" ref="V852">INDEX(xlRTCLNAME,MATCH(1,(xlRTCLENDU=1)*(xlRTCLEQCL=$D852),0))</f>
        <v>NG_HP</v>
      </c>
      <c r="W852" s="7" t="str">
        <f t="array" ref="W852">INDEX(xlRTCLNAME,MATCH(1,(xlRTCLENDU=2)*(xlRTCLEQCL=$F852),0))</f>
        <v>NG_HP</v>
      </c>
      <c r="X852" s="7" t="str">
        <f t="array" ref="X852">INDEX(xlRTTYNAME,MATCH(1,(xlRTTYENDU=1)*(xlRTTYEQCL=$D852)*(xlRTEQTYPE=$E852),0))</f>
        <v>NG_HP2</v>
      </c>
      <c r="Y852" s="7" t="str">
        <f t="array" ref="Y852">INDEX(xlRTTYNAME,MATCH(1,(xlRTTYENDU=2)*(xlRTTYEQCL=$F852)*(xlRTEQTYPE=$G852),0))</f>
        <v>NG_HP2</v>
      </c>
    </row>
    <row r="853" spans="2:25" x14ac:dyDescent="0.2">
      <c r="B853" s="5">
        <v>5</v>
      </c>
      <c r="C853" s="5">
        <v>1</v>
      </c>
      <c r="D853" s="5">
        <v>11</v>
      </c>
      <c r="E853" s="31">
        <v>35</v>
      </c>
      <c r="F853" s="5">
        <v>5</v>
      </c>
      <c r="G853" s="31">
        <v>16</v>
      </c>
      <c r="H853" s="96">
        <v>2020</v>
      </c>
      <c r="I853" s="97">
        <v>2022</v>
      </c>
      <c r="J853" s="142">
        <v>1.0849</v>
      </c>
      <c r="K853" s="142">
        <v>1.0471999999999999</v>
      </c>
      <c r="L853" s="142">
        <v>0.33260000000000001</v>
      </c>
      <c r="M853" s="142">
        <v>0.73150000000000004</v>
      </c>
      <c r="N853" s="142">
        <v>0.76180000000000003</v>
      </c>
      <c r="O853" s="142">
        <v>1.0538000000000001</v>
      </c>
      <c r="P853" s="26">
        <v>15568.362130152442</v>
      </c>
      <c r="Q853" s="35">
        <f t="array" ref="Q853">SUM(IF(($S853&gt;=4)*($C853='TaxCred&amp;Subs'!$D$114:$D$121)*($H853='TaxCred&amp;Subs'!$C$114:$C$121)*($H853&lt;='TaxCred&amp;Subs'!$C$123),'TaxCred&amp;Subs'!$E$114:$E$121,0))</f>
        <v>2000</v>
      </c>
      <c r="R853" s="143">
        <v>0</v>
      </c>
      <c r="S853" s="5">
        <v>5</v>
      </c>
      <c r="T853" s="5" t="s">
        <v>221</v>
      </c>
      <c r="V853" s="7" t="str">
        <f t="array" ref="V853">INDEX(xlRTCLNAME,MATCH(1,(xlRTCLENDU=1)*(xlRTCLEQCL=$D853),0))</f>
        <v>NG_HP</v>
      </c>
      <c r="W853" s="7" t="str">
        <f t="array" ref="W853">INDEX(xlRTCLNAME,MATCH(1,(xlRTCLENDU=2)*(xlRTCLEQCL=$F853),0))</f>
        <v>NG_HP</v>
      </c>
      <c r="X853" s="7" t="str">
        <f t="array" ref="X853">INDEX(xlRTTYNAME,MATCH(1,(xlRTTYENDU=1)*(xlRTTYEQCL=$D853)*(xlRTEQTYPE=$E853),0))</f>
        <v>NG_HP2</v>
      </c>
      <c r="Y853" s="7" t="str">
        <f t="array" ref="Y853">INDEX(xlRTTYNAME,MATCH(1,(xlRTTYENDU=2)*(xlRTTYEQCL=$F853)*(xlRTEQTYPE=$G853),0))</f>
        <v>NG_HP2</v>
      </c>
    </row>
    <row r="854" spans="2:25" x14ac:dyDescent="0.2">
      <c r="B854" s="5">
        <v>5</v>
      </c>
      <c r="C854" s="5">
        <v>1</v>
      </c>
      <c r="D854" s="5">
        <v>11</v>
      </c>
      <c r="E854" s="31">
        <v>35</v>
      </c>
      <c r="F854" s="5">
        <v>5</v>
      </c>
      <c r="G854" s="31">
        <v>16</v>
      </c>
      <c r="H854" s="97">
        <v>2023</v>
      </c>
      <c r="I854" s="97">
        <v>2032</v>
      </c>
      <c r="J854" s="142">
        <v>1.0849</v>
      </c>
      <c r="K854" s="142">
        <v>1.0471999999999999</v>
      </c>
      <c r="L854" s="142">
        <v>0.33260000000000001</v>
      </c>
      <c r="M854" s="142">
        <v>0.73150000000000004</v>
      </c>
      <c r="N854" s="142">
        <v>0.76180000000000003</v>
      </c>
      <c r="O854" s="142">
        <v>1.0538000000000001</v>
      </c>
      <c r="P854" s="26">
        <v>15568.362130152442</v>
      </c>
      <c r="Q854" s="35">
        <f t="array" ref="Q854">SUM(IF(($S854&gt;=4)*($C854='TaxCred&amp;Subs'!$D$114:$D$121)*($H854='TaxCred&amp;Subs'!$C$114:$C$121)*($H854&lt;='TaxCred&amp;Subs'!$C$123),'TaxCred&amp;Subs'!$E$114:$E$121,0))</f>
        <v>2500</v>
      </c>
      <c r="R854" s="143">
        <v>0</v>
      </c>
      <c r="S854" s="5">
        <v>5</v>
      </c>
      <c r="T854" s="5" t="s">
        <v>221</v>
      </c>
      <c r="V854" s="7" t="str">
        <f t="array" ref="V854">INDEX(xlRTCLNAME,MATCH(1,(xlRTCLENDU=1)*(xlRTCLEQCL=$D854),0))</f>
        <v>NG_HP</v>
      </c>
      <c r="W854" s="7" t="str">
        <f t="array" ref="W854">INDEX(xlRTCLNAME,MATCH(1,(xlRTCLENDU=2)*(xlRTCLEQCL=$F854),0))</f>
        <v>NG_HP</v>
      </c>
      <c r="X854" s="7" t="str">
        <f t="array" ref="X854">INDEX(xlRTTYNAME,MATCH(1,(xlRTTYENDU=1)*(xlRTTYEQCL=$D854)*(xlRTEQTYPE=$E854),0))</f>
        <v>NG_HP2</v>
      </c>
      <c r="Y854" s="7" t="str">
        <f t="array" ref="Y854">INDEX(xlRTTYNAME,MATCH(1,(xlRTTYENDU=2)*(xlRTTYEQCL=$F854)*(xlRTEQTYPE=$G854),0))</f>
        <v>NG_HP2</v>
      </c>
    </row>
    <row r="855" spans="2:25" x14ac:dyDescent="0.2">
      <c r="B855" s="5">
        <v>5</v>
      </c>
      <c r="C855" s="5">
        <v>1</v>
      </c>
      <c r="D855" s="5">
        <v>11</v>
      </c>
      <c r="E855" s="31">
        <v>35</v>
      </c>
      <c r="F855" s="5">
        <v>5</v>
      </c>
      <c r="G855" s="31">
        <v>16</v>
      </c>
      <c r="H855" s="97">
        <v>2033</v>
      </c>
      <c r="I855" s="97">
        <v>2050</v>
      </c>
      <c r="J855" s="142">
        <v>1.0849</v>
      </c>
      <c r="K855" s="142">
        <v>1.0471999999999999</v>
      </c>
      <c r="L855" s="142">
        <v>0.33260000000000001</v>
      </c>
      <c r="M855" s="142">
        <v>0.73150000000000004</v>
      </c>
      <c r="N855" s="142">
        <v>0.76180000000000003</v>
      </c>
      <c r="O855" s="142">
        <v>1.0538000000000001</v>
      </c>
      <c r="P855" s="26">
        <v>15568.362130152442</v>
      </c>
      <c r="Q855" s="35">
        <f t="array" ref="Q855">SUM(IF(($S855&gt;=4)*($C855='TaxCred&amp;Subs'!$D$114:$D$121)*($H855='TaxCred&amp;Subs'!$C$114:$C$121)*($H855&lt;='TaxCred&amp;Subs'!$C$123),'TaxCred&amp;Subs'!$E$114:$E$121,0))</f>
        <v>0</v>
      </c>
      <c r="R855" s="143">
        <v>0</v>
      </c>
      <c r="S855" s="5">
        <v>5</v>
      </c>
      <c r="T855" s="5" t="s">
        <v>221</v>
      </c>
      <c r="V855" s="7" t="str">
        <f t="array" ref="V855">INDEX(xlRTCLNAME,MATCH(1,(xlRTCLENDU=1)*(xlRTCLEQCL=$D855),0))</f>
        <v>NG_HP</v>
      </c>
      <c r="W855" s="7" t="str">
        <f t="array" ref="W855">INDEX(xlRTCLNAME,MATCH(1,(xlRTCLENDU=2)*(xlRTCLEQCL=$F855),0))</f>
        <v>NG_HP</v>
      </c>
      <c r="X855" s="7" t="str">
        <f t="array" ref="X855">INDEX(xlRTTYNAME,MATCH(1,(xlRTTYENDU=1)*(xlRTTYEQCL=$D855)*(xlRTEQTYPE=$E855),0))</f>
        <v>NG_HP2</v>
      </c>
      <c r="Y855" s="7" t="str">
        <f t="array" ref="Y855">INDEX(xlRTTYNAME,MATCH(1,(xlRTTYENDU=2)*(xlRTTYEQCL=$F855)*(xlRTEQTYPE=$G855),0))</f>
        <v>NG_HP2</v>
      </c>
    </row>
    <row r="856" spans="2:25" x14ac:dyDescent="0.2">
      <c r="B856" s="5">
        <v>6</v>
      </c>
      <c r="C856" s="5">
        <v>1</v>
      </c>
      <c r="D856" s="5">
        <v>11</v>
      </c>
      <c r="E856" s="31">
        <v>35</v>
      </c>
      <c r="F856" s="5">
        <v>5</v>
      </c>
      <c r="G856" s="31">
        <v>16</v>
      </c>
      <c r="H856" s="96">
        <v>2020</v>
      </c>
      <c r="I856" s="97">
        <v>2022</v>
      </c>
      <c r="J856" s="142">
        <v>1.0924</v>
      </c>
      <c r="K856" s="142">
        <v>1.0661</v>
      </c>
      <c r="L856" s="142">
        <v>0.41849999999999998</v>
      </c>
      <c r="M856" s="142">
        <v>0.76590000000000003</v>
      </c>
      <c r="N856" s="142">
        <v>0.89100000000000001</v>
      </c>
      <c r="O856" s="142">
        <v>1.0538000000000001</v>
      </c>
      <c r="P856" s="26">
        <v>15382.816403063658</v>
      </c>
      <c r="Q856" s="35">
        <f t="array" ref="Q856">SUM(IF(($S856&gt;=4)*($C856='TaxCred&amp;Subs'!$D$114:$D$121)*($H856='TaxCred&amp;Subs'!$C$114:$C$121)*($H856&lt;='TaxCred&amp;Subs'!$C$123),'TaxCred&amp;Subs'!$E$114:$E$121,0))</f>
        <v>2000</v>
      </c>
      <c r="R856" s="143">
        <v>0</v>
      </c>
      <c r="S856" s="5">
        <v>5</v>
      </c>
      <c r="T856" s="5" t="s">
        <v>221</v>
      </c>
      <c r="V856" s="7" t="str">
        <f t="array" ref="V856">INDEX(xlRTCLNAME,MATCH(1,(xlRTCLENDU=1)*(xlRTCLEQCL=$D856),0))</f>
        <v>NG_HP</v>
      </c>
      <c r="W856" s="7" t="str">
        <f t="array" ref="W856">INDEX(xlRTCLNAME,MATCH(1,(xlRTCLENDU=2)*(xlRTCLEQCL=$F856),0))</f>
        <v>NG_HP</v>
      </c>
      <c r="X856" s="7" t="str">
        <f t="array" ref="X856">INDEX(xlRTTYNAME,MATCH(1,(xlRTTYENDU=1)*(xlRTTYEQCL=$D856)*(xlRTEQTYPE=$E856),0))</f>
        <v>NG_HP2</v>
      </c>
      <c r="Y856" s="7" t="str">
        <f t="array" ref="Y856">INDEX(xlRTTYNAME,MATCH(1,(xlRTTYENDU=2)*(xlRTTYEQCL=$F856)*(xlRTEQTYPE=$G856),0))</f>
        <v>NG_HP2</v>
      </c>
    </row>
    <row r="857" spans="2:25" x14ac:dyDescent="0.2">
      <c r="B857" s="5">
        <v>6</v>
      </c>
      <c r="C857" s="5">
        <v>1</v>
      </c>
      <c r="D857" s="5">
        <v>11</v>
      </c>
      <c r="E857" s="31">
        <v>35</v>
      </c>
      <c r="F857" s="5">
        <v>5</v>
      </c>
      <c r="G857" s="31">
        <v>16</v>
      </c>
      <c r="H857" s="97">
        <v>2023</v>
      </c>
      <c r="I857" s="97">
        <v>2032</v>
      </c>
      <c r="J857" s="142">
        <v>1.0924</v>
      </c>
      <c r="K857" s="142">
        <v>1.0661</v>
      </c>
      <c r="L857" s="142">
        <v>0.41849999999999998</v>
      </c>
      <c r="M857" s="142">
        <v>0.76590000000000003</v>
      </c>
      <c r="N857" s="142">
        <v>0.89100000000000001</v>
      </c>
      <c r="O857" s="142">
        <v>1.0538000000000001</v>
      </c>
      <c r="P857" s="26">
        <v>15382.816403063658</v>
      </c>
      <c r="Q857" s="35">
        <f t="array" ref="Q857">SUM(IF(($S857&gt;=4)*($C857='TaxCred&amp;Subs'!$D$114:$D$121)*($H857='TaxCred&amp;Subs'!$C$114:$C$121)*($H857&lt;='TaxCred&amp;Subs'!$C$123),'TaxCred&amp;Subs'!$E$114:$E$121,0))</f>
        <v>2500</v>
      </c>
      <c r="R857" s="143">
        <v>0</v>
      </c>
      <c r="S857" s="5">
        <v>5</v>
      </c>
      <c r="T857" s="5" t="s">
        <v>221</v>
      </c>
      <c r="V857" s="7" t="str">
        <f t="array" ref="V857">INDEX(xlRTCLNAME,MATCH(1,(xlRTCLENDU=1)*(xlRTCLEQCL=$D857),0))</f>
        <v>NG_HP</v>
      </c>
      <c r="W857" s="7" t="str">
        <f t="array" ref="W857">INDEX(xlRTCLNAME,MATCH(1,(xlRTCLENDU=2)*(xlRTCLEQCL=$F857),0))</f>
        <v>NG_HP</v>
      </c>
      <c r="X857" s="7" t="str">
        <f t="array" ref="X857">INDEX(xlRTTYNAME,MATCH(1,(xlRTTYENDU=1)*(xlRTTYEQCL=$D857)*(xlRTEQTYPE=$E857),0))</f>
        <v>NG_HP2</v>
      </c>
      <c r="Y857" s="7" t="str">
        <f t="array" ref="Y857">INDEX(xlRTTYNAME,MATCH(1,(xlRTTYENDU=2)*(xlRTTYEQCL=$F857)*(xlRTEQTYPE=$G857),0))</f>
        <v>NG_HP2</v>
      </c>
    </row>
    <row r="858" spans="2:25" x14ac:dyDescent="0.2">
      <c r="B858" s="5">
        <v>6</v>
      </c>
      <c r="C858" s="5">
        <v>1</v>
      </c>
      <c r="D858" s="5">
        <v>11</v>
      </c>
      <c r="E858" s="31">
        <v>35</v>
      </c>
      <c r="F858" s="5">
        <v>5</v>
      </c>
      <c r="G858" s="31">
        <v>16</v>
      </c>
      <c r="H858" s="97">
        <v>2033</v>
      </c>
      <c r="I858" s="97">
        <v>2050</v>
      </c>
      <c r="J858" s="142">
        <v>1.0924</v>
      </c>
      <c r="K858" s="142">
        <v>1.0661</v>
      </c>
      <c r="L858" s="142">
        <v>0.41849999999999998</v>
      </c>
      <c r="M858" s="142">
        <v>0.76590000000000003</v>
      </c>
      <c r="N858" s="142">
        <v>0.89100000000000001</v>
      </c>
      <c r="O858" s="142">
        <v>1.0538000000000001</v>
      </c>
      <c r="P858" s="26">
        <v>15382.816403063658</v>
      </c>
      <c r="Q858" s="35">
        <f t="array" ref="Q858">SUM(IF(($S858&gt;=4)*($C858='TaxCred&amp;Subs'!$D$114:$D$121)*($H858='TaxCred&amp;Subs'!$C$114:$C$121)*($H858&lt;='TaxCred&amp;Subs'!$C$123),'TaxCred&amp;Subs'!$E$114:$E$121,0))</f>
        <v>0</v>
      </c>
      <c r="R858" s="143">
        <v>0</v>
      </c>
      <c r="S858" s="5">
        <v>5</v>
      </c>
      <c r="T858" s="5" t="s">
        <v>221</v>
      </c>
      <c r="V858" s="7" t="str">
        <f t="array" ref="V858">INDEX(xlRTCLNAME,MATCH(1,(xlRTCLENDU=1)*(xlRTCLEQCL=$D858),0))</f>
        <v>NG_HP</v>
      </c>
      <c r="W858" s="7" t="str">
        <f t="array" ref="W858">INDEX(xlRTCLNAME,MATCH(1,(xlRTCLENDU=2)*(xlRTCLEQCL=$F858),0))</f>
        <v>NG_HP</v>
      </c>
      <c r="X858" s="7" t="str">
        <f t="array" ref="X858">INDEX(xlRTTYNAME,MATCH(1,(xlRTTYENDU=1)*(xlRTTYEQCL=$D858)*(xlRTEQTYPE=$E858),0))</f>
        <v>NG_HP2</v>
      </c>
      <c r="Y858" s="7" t="str">
        <f t="array" ref="Y858">INDEX(xlRTTYNAME,MATCH(1,(xlRTTYENDU=2)*(xlRTTYEQCL=$F858)*(xlRTEQTYPE=$G858),0))</f>
        <v>NG_HP2</v>
      </c>
    </row>
    <row r="859" spans="2:25" ht="14.25" customHeight="1" x14ac:dyDescent="0.2">
      <c r="B859" s="5">
        <v>7</v>
      </c>
      <c r="C859" s="5">
        <v>1</v>
      </c>
      <c r="D859" s="5">
        <v>11</v>
      </c>
      <c r="E859" s="31">
        <v>35</v>
      </c>
      <c r="F859" s="5">
        <v>5</v>
      </c>
      <c r="G859" s="31">
        <v>16</v>
      </c>
      <c r="H859" s="96">
        <v>2020</v>
      </c>
      <c r="I859" s="97">
        <v>2022</v>
      </c>
      <c r="J859" s="142">
        <v>1.0905</v>
      </c>
      <c r="K859" s="142">
        <v>1.0562</v>
      </c>
      <c r="L859" s="142">
        <v>0.37419999999999998</v>
      </c>
      <c r="M859" s="142">
        <v>0.65339999999999998</v>
      </c>
      <c r="N859" s="142">
        <v>0.87180000000000002</v>
      </c>
      <c r="O859" s="142">
        <v>1.0538000000000001</v>
      </c>
      <c r="P859" s="26">
        <v>15600.63095225484</v>
      </c>
      <c r="Q859" s="35">
        <f t="array" ref="Q859">SUM(IF(($S859&gt;=4)*($C859='TaxCred&amp;Subs'!$D$114:$D$121)*($H859='TaxCred&amp;Subs'!$C$114:$C$121)*($H859&lt;='TaxCred&amp;Subs'!$C$123),'TaxCred&amp;Subs'!$E$114:$E$121,0))</f>
        <v>2000</v>
      </c>
      <c r="R859" s="143">
        <v>0</v>
      </c>
      <c r="S859" s="5">
        <v>5</v>
      </c>
      <c r="T859" s="5" t="s">
        <v>221</v>
      </c>
      <c r="V859" s="7" t="str">
        <f t="array" ref="V859">INDEX(xlRTCLNAME,MATCH(1,(xlRTCLENDU=1)*(xlRTCLEQCL=$D859),0))</f>
        <v>NG_HP</v>
      </c>
      <c r="W859" s="7" t="str">
        <f t="array" ref="W859">INDEX(xlRTCLNAME,MATCH(1,(xlRTCLENDU=2)*(xlRTCLEQCL=$F859),0))</f>
        <v>NG_HP</v>
      </c>
      <c r="X859" s="7" t="str">
        <f t="array" ref="X859">INDEX(xlRTTYNAME,MATCH(1,(xlRTTYENDU=1)*(xlRTTYEQCL=$D859)*(xlRTEQTYPE=$E859),0))</f>
        <v>NG_HP2</v>
      </c>
      <c r="Y859" s="7" t="str">
        <f t="array" ref="Y859">INDEX(xlRTTYNAME,MATCH(1,(xlRTTYENDU=2)*(xlRTTYEQCL=$F859)*(xlRTEQTYPE=$G859),0))</f>
        <v>NG_HP2</v>
      </c>
    </row>
    <row r="860" spans="2:25" ht="14.25" customHeight="1" x14ac:dyDescent="0.2">
      <c r="B860" s="5">
        <v>7</v>
      </c>
      <c r="C860" s="5">
        <v>1</v>
      </c>
      <c r="D860" s="5">
        <v>11</v>
      </c>
      <c r="E860" s="31">
        <v>35</v>
      </c>
      <c r="F860" s="5">
        <v>5</v>
      </c>
      <c r="G860" s="31">
        <v>16</v>
      </c>
      <c r="H860" s="97">
        <v>2023</v>
      </c>
      <c r="I860" s="97">
        <v>2032</v>
      </c>
      <c r="J860" s="142">
        <v>1.0905</v>
      </c>
      <c r="K860" s="142">
        <v>1.0562</v>
      </c>
      <c r="L860" s="142">
        <v>0.37419999999999998</v>
      </c>
      <c r="M860" s="142">
        <v>0.65339999999999998</v>
      </c>
      <c r="N860" s="142">
        <v>0.87180000000000002</v>
      </c>
      <c r="O860" s="142">
        <v>1.0538000000000001</v>
      </c>
      <c r="P860" s="26">
        <v>15600.63095225484</v>
      </c>
      <c r="Q860" s="35">
        <f t="array" ref="Q860">SUM(IF(($S860&gt;=4)*($C860='TaxCred&amp;Subs'!$D$114:$D$121)*($H860='TaxCred&amp;Subs'!$C$114:$C$121)*($H860&lt;='TaxCred&amp;Subs'!$C$123),'TaxCred&amp;Subs'!$E$114:$E$121,0))</f>
        <v>2500</v>
      </c>
      <c r="R860" s="143">
        <v>0</v>
      </c>
      <c r="S860" s="5">
        <v>5</v>
      </c>
      <c r="T860" s="5" t="s">
        <v>221</v>
      </c>
      <c r="V860" s="7" t="str">
        <f t="array" ref="V860">INDEX(xlRTCLNAME,MATCH(1,(xlRTCLENDU=1)*(xlRTCLEQCL=$D860),0))</f>
        <v>NG_HP</v>
      </c>
      <c r="W860" s="7" t="str">
        <f t="array" ref="W860">INDEX(xlRTCLNAME,MATCH(1,(xlRTCLENDU=2)*(xlRTCLEQCL=$F860),0))</f>
        <v>NG_HP</v>
      </c>
      <c r="X860" s="7" t="str">
        <f t="array" ref="X860">INDEX(xlRTTYNAME,MATCH(1,(xlRTTYENDU=1)*(xlRTTYEQCL=$D860)*(xlRTEQTYPE=$E860),0))</f>
        <v>NG_HP2</v>
      </c>
      <c r="Y860" s="7" t="str">
        <f t="array" ref="Y860">INDEX(xlRTTYNAME,MATCH(1,(xlRTTYENDU=2)*(xlRTTYEQCL=$F860)*(xlRTEQTYPE=$G860),0))</f>
        <v>NG_HP2</v>
      </c>
    </row>
    <row r="861" spans="2:25" ht="14.25" customHeight="1" x14ac:dyDescent="0.2">
      <c r="B861" s="5">
        <v>7</v>
      </c>
      <c r="C861" s="5">
        <v>1</v>
      </c>
      <c r="D861" s="5">
        <v>11</v>
      </c>
      <c r="E861" s="31">
        <v>35</v>
      </c>
      <c r="F861" s="5">
        <v>5</v>
      </c>
      <c r="G861" s="31">
        <v>16</v>
      </c>
      <c r="H861" s="97">
        <v>2033</v>
      </c>
      <c r="I861" s="97">
        <v>2050</v>
      </c>
      <c r="J861" s="142">
        <v>1.0905</v>
      </c>
      <c r="K861" s="142">
        <v>1.0562</v>
      </c>
      <c r="L861" s="142">
        <v>0.37419999999999998</v>
      </c>
      <c r="M861" s="142">
        <v>0.65339999999999998</v>
      </c>
      <c r="N861" s="142">
        <v>0.87180000000000002</v>
      </c>
      <c r="O861" s="142">
        <v>1.0538000000000001</v>
      </c>
      <c r="P861" s="26">
        <v>15600.63095225484</v>
      </c>
      <c r="Q861" s="35">
        <f t="array" ref="Q861">SUM(IF(($S861&gt;=4)*($C861='TaxCred&amp;Subs'!$D$114:$D$121)*($H861='TaxCred&amp;Subs'!$C$114:$C$121)*($H861&lt;='TaxCred&amp;Subs'!$C$123),'TaxCred&amp;Subs'!$E$114:$E$121,0))</f>
        <v>0</v>
      </c>
      <c r="R861" s="143">
        <v>0</v>
      </c>
      <c r="S861" s="5">
        <v>5</v>
      </c>
      <c r="T861" s="5" t="s">
        <v>221</v>
      </c>
      <c r="V861" s="7" t="str">
        <f t="array" ref="V861">INDEX(xlRTCLNAME,MATCH(1,(xlRTCLENDU=1)*(xlRTCLEQCL=$D861),0))</f>
        <v>NG_HP</v>
      </c>
      <c r="W861" s="7" t="str">
        <f t="array" ref="W861">INDEX(xlRTCLNAME,MATCH(1,(xlRTCLENDU=2)*(xlRTCLEQCL=$F861),0))</f>
        <v>NG_HP</v>
      </c>
      <c r="X861" s="7" t="str">
        <f t="array" ref="X861">INDEX(xlRTTYNAME,MATCH(1,(xlRTTYENDU=1)*(xlRTTYEQCL=$D861)*(xlRTEQTYPE=$E861),0))</f>
        <v>NG_HP2</v>
      </c>
      <c r="Y861" s="7" t="str">
        <f t="array" ref="Y861">INDEX(xlRTTYNAME,MATCH(1,(xlRTTYENDU=2)*(xlRTTYEQCL=$F861)*(xlRTEQTYPE=$G861),0))</f>
        <v>NG_HP2</v>
      </c>
    </row>
    <row r="862" spans="2:25" ht="14.25" customHeight="1" x14ac:dyDescent="0.2">
      <c r="B862" s="5">
        <v>8</v>
      </c>
      <c r="C862" s="5">
        <v>1</v>
      </c>
      <c r="D862" s="5">
        <v>11</v>
      </c>
      <c r="E862" s="31">
        <v>35</v>
      </c>
      <c r="F862" s="5">
        <v>5</v>
      </c>
      <c r="G862" s="31">
        <v>16</v>
      </c>
      <c r="H862" s="96">
        <v>2020</v>
      </c>
      <c r="I862" s="97">
        <v>2022</v>
      </c>
      <c r="J862" s="142">
        <v>1.0801000000000001</v>
      </c>
      <c r="K862" s="142">
        <v>1.0822000000000001</v>
      </c>
      <c r="L862" s="142">
        <v>0.43120000000000003</v>
      </c>
      <c r="M862" s="142">
        <v>0.78110000000000002</v>
      </c>
      <c r="N862" s="142">
        <v>0.86950000000000005</v>
      </c>
      <c r="O862" s="142">
        <v>1.0538000000000001</v>
      </c>
      <c r="P862" s="26">
        <v>16260.797271099718</v>
      </c>
      <c r="Q862" s="35">
        <f t="array" ref="Q862">SUM(IF(($S862&gt;=4)*($C862='TaxCred&amp;Subs'!$D$114:$D$121)*($H862='TaxCred&amp;Subs'!$C$114:$C$121)*($H862&lt;='TaxCred&amp;Subs'!$C$123),'TaxCred&amp;Subs'!$E$114:$E$121,0))</f>
        <v>2000</v>
      </c>
      <c r="R862" s="143">
        <v>0</v>
      </c>
      <c r="S862" s="5">
        <v>5</v>
      </c>
      <c r="T862" s="5" t="s">
        <v>221</v>
      </c>
      <c r="V862" s="7" t="str">
        <f t="array" ref="V862">INDEX(xlRTCLNAME,MATCH(1,(xlRTCLENDU=1)*(xlRTCLEQCL=$D862),0))</f>
        <v>NG_HP</v>
      </c>
      <c r="W862" s="7" t="str">
        <f t="array" ref="W862">INDEX(xlRTCLNAME,MATCH(1,(xlRTCLENDU=2)*(xlRTCLEQCL=$F862),0))</f>
        <v>NG_HP</v>
      </c>
      <c r="X862" s="7" t="str">
        <f t="array" ref="X862">INDEX(xlRTTYNAME,MATCH(1,(xlRTTYENDU=1)*(xlRTTYEQCL=$D862)*(xlRTEQTYPE=$E862),0))</f>
        <v>NG_HP2</v>
      </c>
      <c r="Y862" s="7" t="str">
        <f t="array" ref="Y862">INDEX(xlRTTYNAME,MATCH(1,(xlRTTYENDU=2)*(xlRTTYEQCL=$F862)*(xlRTEQTYPE=$G862),0))</f>
        <v>NG_HP2</v>
      </c>
    </row>
    <row r="863" spans="2:25" ht="14.25" customHeight="1" x14ac:dyDescent="0.2">
      <c r="B863" s="5">
        <v>8</v>
      </c>
      <c r="C863" s="5">
        <v>1</v>
      </c>
      <c r="D863" s="5">
        <v>11</v>
      </c>
      <c r="E863" s="31">
        <v>35</v>
      </c>
      <c r="F863" s="5">
        <v>5</v>
      </c>
      <c r="G863" s="31">
        <v>16</v>
      </c>
      <c r="H863" s="97">
        <v>2023</v>
      </c>
      <c r="I863" s="97">
        <v>2032</v>
      </c>
      <c r="J863" s="142">
        <v>1.0801000000000001</v>
      </c>
      <c r="K863" s="142">
        <v>1.0822000000000001</v>
      </c>
      <c r="L863" s="142">
        <v>0.43120000000000003</v>
      </c>
      <c r="M863" s="142">
        <v>0.78110000000000002</v>
      </c>
      <c r="N863" s="142">
        <v>0.86950000000000005</v>
      </c>
      <c r="O863" s="142">
        <v>1.0538000000000001</v>
      </c>
      <c r="P863" s="26">
        <v>16260.797271099718</v>
      </c>
      <c r="Q863" s="35">
        <f t="array" ref="Q863">SUM(IF(($S863&gt;=4)*($C863='TaxCred&amp;Subs'!$D$114:$D$121)*($H863='TaxCred&amp;Subs'!$C$114:$C$121)*($H863&lt;='TaxCred&amp;Subs'!$C$123),'TaxCred&amp;Subs'!$E$114:$E$121,0))</f>
        <v>2500</v>
      </c>
      <c r="R863" s="143">
        <v>0</v>
      </c>
      <c r="S863" s="5">
        <v>5</v>
      </c>
      <c r="T863" s="5" t="s">
        <v>221</v>
      </c>
      <c r="V863" s="7" t="str">
        <f t="array" ref="V863">INDEX(xlRTCLNAME,MATCH(1,(xlRTCLENDU=1)*(xlRTCLEQCL=$D863),0))</f>
        <v>NG_HP</v>
      </c>
      <c r="W863" s="7" t="str">
        <f t="array" ref="W863">INDEX(xlRTCLNAME,MATCH(1,(xlRTCLENDU=2)*(xlRTCLEQCL=$F863),0))</f>
        <v>NG_HP</v>
      </c>
      <c r="X863" s="7" t="str">
        <f t="array" ref="X863">INDEX(xlRTTYNAME,MATCH(1,(xlRTTYENDU=1)*(xlRTTYEQCL=$D863)*(xlRTEQTYPE=$E863),0))</f>
        <v>NG_HP2</v>
      </c>
      <c r="Y863" s="7" t="str">
        <f t="array" ref="Y863">INDEX(xlRTTYNAME,MATCH(1,(xlRTTYENDU=2)*(xlRTTYEQCL=$F863)*(xlRTEQTYPE=$G863),0))</f>
        <v>NG_HP2</v>
      </c>
    </row>
    <row r="864" spans="2:25" ht="14.25" customHeight="1" x14ac:dyDescent="0.2">
      <c r="B864" s="5">
        <v>8</v>
      </c>
      <c r="C864" s="5">
        <v>1</v>
      </c>
      <c r="D864" s="5">
        <v>11</v>
      </c>
      <c r="E864" s="31">
        <v>35</v>
      </c>
      <c r="F864" s="5">
        <v>5</v>
      </c>
      <c r="G864" s="31">
        <v>16</v>
      </c>
      <c r="H864" s="97">
        <v>2033</v>
      </c>
      <c r="I864" s="97">
        <v>2050</v>
      </c>
      <c r="J864" s="142">
        <v>1.0801000000000001</v>
      </c>
      <c r="K864" s="142">
        <v>1.0822000000000001</v>
      </c>
      <c r="L864" s="142">
        <v>0.43120000000000003</v>
      </c>
      <c r="M864" s="142">
        <v>0.78110000000000002</v>
      </c>
      <c r="N864" s="142">
        <v>0.86950000000000005</v>
      </c>
      <c r="O864" s="142">
        <v>1.0538000000000001</v>
      </c>
      <c r="P864" s="26">
        <v>16260.797271099718</v>
      </c>
      <c r="Q864" s="35">
        <f t="array" ref="Q864">SUM(IF(($S864&gt;=4)*($C864='TaxCred&amp;Subs'!$D$114:$D$121)*($H864='TaxCred&amp;Subs'!$C$114:$C$121)*($H864&lt;='TaxCred&amp;Subs'!$C$123),'TaxCred&amp;Subs'!$E$114:$E$121,0))</f>
        <v>0</v>
      </c>
      <c r="R864" s="143">
        <v>0</v>
      </c>
      <c r="S864" s="5">
        <v>5</v>
      </c>
      <c r="T864" s="5" t="s">
        <v>221</v>
      </c>
      <c r="V864" s="7" t="str">
        <f t="array" ref="V864">INDEX(xlRTCLNAME,MATCH(1,(xlRTCLENDU=1)*(xlRTCLEQCL=$D864),0))</f>
        <v>NG_HP</v>
      </c>
      <c r="W864" s="7" t="str">
        <f t="array" ref="W864">INDEX(xlRTCLNAME,MATCH(1,(xlRTCLENDU=2)*(xlRTCLEQCL=$F864),0))</f>
        <v>NG_HP</v>
      </c>
      <c r="X864" s="7" t="str">
        <f t="array" ref="X864">INDEX(xlRTTYNAME,MATCH(1,(xlRTTYENDU=1)*(xlRTTYEQCL=$D864)*(xlRTEQTYPE=$E864),0))</f>
        <v>NG_HP2</v>
      </c>
      <c r="Y864" s="7" t="str">
        <f t="array" ref="Y864">INDEX(xlRTTYNAME,MATCH(1,(xlRTTYENDU=2)*(xlRTTYEQCL=$F864)*(xlRTEQTYPE=$G864),0))</f>
        <v>NG_HP2</v>
      </c>
    </row>
    <row r="865" spans="2:25" ht="14.25" customHeight="1" x14ac:dyDescent="0.2">
      <c r="B865" s="5">
        <v>9</v>
      </c>
      <c r="C865" s="5">
        <v>1</v>
      </c>
      <c r="D865" s="5">
        <v>11</v>
      </c>
      <c r="E865" s="31">
        <v>35</v>
      </c>
      <c r="F865" s="5">
        <v>5</v>
      </c>
      <c r="G865" s="31">
        <v>16</v>
      </c>
      <c r="H865" s="96">
        <v>2020</v>
      </c>
      <c r="I865" s="97">
        <v>2022</v>
      </c>
      <c r="J865" s="142">
        <v>1.0781000000000001</v>
      </c>
      <c r="K865" s="142">
        <v>1.0707</v>
      </c>
      <c r="L865" s="142">
        <v>0.39879999999999999</v>
      </c>
      <c r="M865" s="142">
        <v>0.76029999999999998</v>
      </c>
      <c r="N865" s="142">
        <v>1.0339</v>
      </c>
      <c r="O865" s="142">
        <v>1.0538000000000001</v>
      </c>
      <c r="P865" s="26">
        <v>19815.745839380488</v>
      </c>
      <c r="Q865" s="35">
        <f t="array" ref="Q865">SUM(IF(($S865&gt;=4)*($C865='TaxCred&amp;Subs'!$D$114:$D$121)*($H865='TaxCred&amp;Subs'!$C$114:$C$121)*($H865&lt;='TaxCred&amp;Subs'!$C$123),'TaxCred&amp;Subs'!$E$114:$E$121,0))</f>
        <v>2000</v>
      </c>
      <c r="R865" s="143">
        <v>0</v>
      </c>
      <c r="S865" s="5">
        <v>5</v>
      </c>
      <c r="T865" s="5" t="s">
        <v>221</v>
      </c>
      <c r="V865" s="7" t="str">
        <f t="array" ref="V865">INDEX(xlRTCLNAME,MATCH(1,(xlRTCLENDU=1)*(xlRTCLEQCL=$D865),0))</f>
        <v>NG_HP</v>
      </c>
      <c r="W865" s="7" t="str">
        <f t="array" ref="W865">INDEX(xlRTCLNAME,MATCH(1,(xlRTCLENDU=2)*(xlRTCLEQCL=$F865),0))</f>
        <v>NG_HP</v>
      </c>
      <c r="X865" s="7" t="str">
        <f t="array" ref="X865">INDEX(xlRTTYNAME,MATCH(1,(xlRTTYENDU=1)*(xlRTTYEQCL=$D865)*(xlRTEQTYPE=$E865),0))</f>
        <v>NG_HP2</v>
      </c>
      <c r="Y865" s="7" t="str">
        <f t="array" ref="Y865">INDEX(xlRTTYNAME,MATCH(1,(xlRTTYENDU=2)*(xlRTTYEQCL=$F865)*(xlRTEQTYPE=$G865),0))</f>
        <v>NG_HP2</v>
      </c>
    </row>
    <row r="866" spans="2:25" ht="14.25" customHeight="1" x14ac:dyDescent="0.2">
      <c r="B866" s="5">
        <v>9</v>
      </c>
      <c r="C866" s="5">
        <v>1</v>
      </c>
      <c r="D866" s="5">
        <v>11</v>
      </c>
      <c r="E866" s="31">
        <v>35</v>
      </c>
      <c r="F866" s="5">
        <v>5</v>
      </c>
      <c r="G866" s="31">
        <v>16</v>
      </c>
      <c r="H866" s="97">
        <v>2023</v>
      </c>
      <c r="I866" s="97">
        <v>2032</v>
      </c>
      <c r="J866" s="142">
        <v>1.0781000000000001</v>
      </c>
      <c r="K866" s="142">
        <v>1.0707</v>
      </c>
      <c r="L866" s="142">
        <v>0.39879999999999999</v>
      </c>
      <c r="M866" s="142">
        <v>0.76029999999999998</v>
      </c>
      <c r="N866" s="142">
        <v>1.0339</v>
      </c>
      <c r="O866" s="142">
        <v>1.0538000000000001</v>
      </c>
      <c r="P866" s="26">
        <v>19815.745839380488</v>
      </c>
      <c r="Q866" s="35">
        <f t="array" ref="Q866">SUM(IF(($S866&gt;=4)*($C866='TaxCred&amp;Subs'!$D$114:$D$121)*($H866='TaxCred&amp;Subs'!$C$114:$C$121)*($H866&lt;='TaxCred&amp;Subs'!$C$123),'TaxCred&amp;Subs'!$E$114:$E$121,0))</f>
        <v>2500</v>
      </c>
      <c r="R866" s="143">
        <v>0</v>
      </c>
      <c r="S866" s="5">
        <v>5</v>
      </c>
      <c r="T866" s="5" t="s">
        <v>221</v>
      </c>
      <c r="V866" s="7" t="str">
        <f t="array" ref="V866">INDEX(xlRTCLNAME,MATCH(1,(xlRTCLENDU=1)*(xlRTCLEQCL=$D866),0))</f>
        <v>NG_HP</v>
      </c>
      <c r="W866" s="7" t="str">
        <f t="array" ref="W866">INDEX(xlRTCLNAME,MATCH(1,(xlRTCLENDU=2)*(xlRTCLEQCL=$F866),0))</f>
        <v>NG_HP</v>
      </c>
      <c r="X866" s="7" t="str">
        <f t="array" ref="X866">INDEX(xlRTTYNAME,MATCH(1,(xlRTTYENDU=1)*(xlRTTYEQCL=$D866)*(xlRTEQTYPE=$E866),0))</f>
        <v>NG_HP2</v>
      </c>
      <c r="Y866" s="7" t="str">
        <f t="array" ref="Y866">INDEX(xlRTTYNAME,MATCH(1,(xlRTTYENDU=2)*(xlRTTYEQCL=$F866)*(xlRTEQTYPE=$G866),0))</f>
        <v>NG_HP2</v>
      </c>
    </row>
    <row r="867" spans="2:25" ht="14.25" customHeight="1" x14ac:dyDescent="0.2">
      <c r="B867" s="5">
        <v>9</v>
      </c>
      <c r="C867" s="5">
        <v>1</v>
      </c>
      <c r="D867" s="5">
        <v>11</v>
      </c>
      <c r="E867" s="31">
        <v>35</v>
      </c>
      <c r="F867" s="5">
        <v>5</v>
      </c>
      <c r="G867" s="31">
        <v>16</v>
      </c>
      <c r="H867" s="97">
        <v>2033</v>
      </c>
      <c r="I867" s="97">
        <v>2050</v>
      </c>
      <c r="J867" s="142">
        <v>1.0781000000000001</v>
      </c>
      <c r="K867" s="142">
        <v>1.0707</v>
      </c>
      <c r="L867" s="142">
        <v>0.39879999999999999</v>
      </c>
      <c r="M867" s="142">
        <v>0.76029999999999998</v>
      </c>
      <c r="N867" s="142">
        <v>1.0339</v>
      </c>
      <c r="O867" s="142">
        <v>1.0538000000000001</v>
      </c>
      <c r="P867" s="26">
        <v>19815.745839380488</v>
      </c>
      <c r="Q867" s="35">
        <f t="array" ref="Q867">SUM(IF(($S867&gt;=4)*($C867='TaxCred&amp;Subs'!$D$114:$D$121)*($H867='TaxCred&amp;Subs'!$C$114:$C$121)*($H867&lt;='TaxCred&amp;Subs'!$C$123),'TaxCred&amp;Subs'!$E$114:$E$121,0))</f>
        <v>0</v>
      </c>
      <c r="R867" s="143">
        <v>0</v>
      </c>
      <c r="S867" s="5">
        <v>5</v>
      </c>
      <c r="T867" s="5" t="s">
        <v>221</v>
      </c>
      <c r="V867" s="7" t="str">
        <f t="array" ref="V867">INDEX(xlRTCLNAME,MATCH(1,(xlRTCLENDU=1)*(xlRTCLEQCL=$D867),0))</f>
        <v>NG_HP</v>
      </c>
      <c r="W867" s="7" t="str">
        <f t="array" ref="W867">INDEX(xlRTCLNAME,MATCH(1,(xlRTCLENDU=2)*(xlRTCLEQCL=$F867),0))</f>
        <v>NG_HP</v>
      </c>
      <c r="X867" s="7" t="str">
        <f t="array" ref="X867">INDEX(xlRTTYNAME,MATCH(1,(xlRTTYENDU=1)*(xlRTTYEQCL=$D867)*(xlRTEQTYPE=$E867),0))</f>
        <v>NG_HP2</v>
      </c>
      <c r="Y867" s="7" t="str">
        <f t="array" ref="Y867">INDEX(xlRTTYNAME,MATCH(1,(xlRTTYENDU=2)*(xlRTTYEQCL=$F867)*(xlRTEQTYPE=$G867),0))</f>
        <v>NG_HP2</v>
      </c>
    </row>
    <row r="868" spans="2:25" ht="14.25" customHeight="1" x14ac:dyDescent="0.2">
      <c r="B868" s="5">
        <v>1</v>
      </c>
      <c r="C868" s="5">
        <v>2</v>
      </c>
      <c r="D868" s="5">
        <v>1</v>
      </c>
      <c r="E868" s="5">
        <v>1</v>
      </c>
      <c r="F868" s="5">
        <v>2</v>
      </c>
      <c r="G868" s="31">
        <v>4</v>
      </c>
      <c r="H868" s="31">
        <v>2020</v>
      </c>
      <c r="I868" s="96">
        <v>2050</v>
      </c>
      <c r="J868" s="142">
        <v>1.1039000000000001</v>
      </c>
      <c r="K868" s="142">
        <v>1.0417000000000001</v>
      </c>
      <c r="L868" s="142">
        <v>1.3352999999999999</v>
      </c>
      <c r="M868" s="142">
        <v>1.1909000000000001</v>
      </c>
      <c r="N868" s="142">
        <v>1.1114999999999999</v>
      </c>
      <c r="O868" s="142">
        <v>1.0538000000000001</v>
      </c>
      <c r="P868" s="26">
        <v>0</v>
      </c>
      <c r="Q868" s="35">
        <f t="array" ref="Q868">SUM(IF(($S868&gt;=4)*($C868='TaxCred&amp;Subs'!$D$114:$D$121)*($H868='TaxCred&amp;Subs'!$C$114:$C$121)*($H868&lt;='TaxCred&amp;Subs'!$C$123),'TaxCred&amp;Subs'!$E$114:$E$121,0))</f>
        <v>0</v>
      </c>
      <c r="R868" s="143">
        <v>0</v>
      </c>
      <c r="S868" s="5">
        <v>1</v>
      </c>
      <c r="T868" s="5" t="s">
        <v>219</v>
      </c>
      <c r="V868" s="7" t="str">
        <f t="array" ref="V868">INDEX(xlRTCLNAME,MATCH(1,(xlRTCLENDU=1)*(xlRTCLEQCL=$D868),0))</f>
        <v>ELEC_RAD</v>
      </c>
      <c r="W868" s="7" t="str">
        <f t="array" ref="W868">INDEX(xlRTCLNAME,MATCH(1,(xlRTCLENDU=2)*(xlRTCLEQCL=$F868),0))</f>
        <v>CENT_AIR</v>
      </c>
      <c r="X868" s="7" t="str">
        <f t="array" ref="X868">INDEX(xlRTTYNAME,MATCH(1,(xlRTTYENDU=1)*(xlRTTYEQCL=$D868)*(xlRTEQTYPE=$E868),0))</f>
        <v>ELEC_RAD2</v>
      </c>
      <c r="Y868" s="7" t="str">
        <f t="array" ref="Y868">INDEX(xlRTTYNAME,MATCH(1,(xlRTTYENDU=2)*(xlRTTYEQCL=$F868)*(xlRTEQTYPE=$G868),0))</f>
        <v>CENT_AIR1</v>
      </c>
    </row>
    <row r="869" spans="2:25" ht="14.25" customHeight="1" x14ac:dyDescent="0.2">
      <c r="B869" s="5">
        <v>2</v>
      </c>
      <c r="C869" s="5">
        <v>2</v>
      </c>
      <c r="D869" s="5">
        <v>1</v>
      </c>
      <c r="E869" s="5">
        <v>1</v>
      </c>
      <c r="F869" s="5">
        <v>2</v>
      </c>
      <c r="G869" s="31">
        <v>4</v>
      </c>
      <c r="H869" s="31">
        <v>2020</v>
      </c>
      <c r="I869" s="96">
        <v>2050</v>
      </c>
      <c r="J869" s="142">
        <v>1.1000000000000001</v>
      </c>
      <c r="K869" s="142">
        <v>1.0357000000000001</v>
      </c>
      <c r="L869" s="142">
        <v>1.3451</v>
      </c>
      <c r="M869" s="142">
        <v>1.2250000000000001</v>
      </c>
      <c r="N869" s="142">
        <v>1.1163000000000001</v>
      </c>
      <c r="O869" s="142">
        <v>1.0538000000000001</v>
      </c>
      <c r="P869" s="26">
        <v>0</v>
      </c>
      <c r="Q869" s="35">
        <f t="array" ref="Q869">SUM(IF(($S869&gt;=4)*($C869='TaxCred&amp;Subs'!$D$114:$D$121)*($H869='TaxCred&amp;Subs'!$C$114:$C$121)*($H869&lt;='TaxCred&amp;Subs'!$C$123),'TaxCred&amp;Subs'!$E$114:$E$121,0))</f>
        <v>0</v>
      </c>
      <c r="R869" s="143">
        <v>0</v>
      </c>
      <c r="S869" s="5">
        <v>1</v>
      </c>
      <c r="T869" s="5" t="s">
        <v>219</v>
      </c>
      <c r="V869" s="7" t="str">
        <f t="array" ref="V869">INDEX(xlRTCLNAME,MATCH(1,(xlRTCLENDU=1)*(xlRTCLEQCL=$D869),0))</f>
        <v>ELEC_RAD</v>
      </c>
      <c r="W869" s="7" t="str">
        <f t="array" ref="W869">INDEX(xlRTCLNAME,MATCH(1,(xlRTCLENDU=2)*(xlRTCLEQCL=$F869),0))</f>
        <v>CENT_AIR</v>
      </c>
      <c r="X869" s="7" t="str">
        <f t="array" ref="X869">INDEX(xlRTTYNAME,MATCH(1,(xlRTTYENDU=1)*(xlRTTYEQCL=$D869)*(xlRTEQTYPE=$E869),0))</f>
        <v>ELEC_RAD2</v>
      </c>
      <c r="Y869" s="7" t="str">
        <f t="array" ref="Y869">INDEX(xlRTTYNAME,MATCH(1,(xlRTTYENDU=2)*(xlRTTYEQCL=$F869)*(xlRTEQTYPE=$G869),0))</f>
        <v>CENT_AIR1</v>
      </c>
    </row>
    <row r="870" spans="2:25" ht="14.25" customHeight="1" x14ac:dyDescent="0.2">
      <c r="B870" s="5">
        <v>3</v>
      </c>
      <c r="C870" s="5">
        <v>2</v>
      </c>
      <c r="D870" s="5">
        <v>1</v>
      </c>
      <c r="E870" s="5">
        <v>1</v>
      </c>
      <c r="F870" s="5">
        <v>2</v>
      </c>
      <c r="G870" s="31">
        <v>4</v>
      </c>
      <c r="H870" s="31">
        <v>2020</v>
      </c>
      <c r="I870" s="96">
        <v>2050</v>
      </c>
      <c r="J870" s="142">
        <v>1.1020000000000001</v>
      </c>
      <c r="K870" s="142">
        <v>1.0345</v>
      </c>
      <c r="L870" s="142">
        <v>1.1896</v>
      </c>
      <c r="M870" s="142">
        <v>1.1345000000000001</v>
      </c>
      <c r="N870" s="142">
        <v>1.0386</v>
      </c>
      <c r="O870" s="142">
        <v>1.0538000000000001</v>
      </c>
      <c r="P870" s="26">
        <v>0</v>
      </c>
      <c r="Q870" s="35">
        <f t="array" ref="Q870">SUM(IF(($S870&gt;=4)*($C870='TaxCred&amp;Subs'!$D$114:$D$121)*($H870='TaxCred&amp;Subs'!$C$114:$C$121)*($H870&lt;='TaxCred&amp;Subs'!$C$123),'TaxCred&amp;Subs'!$E$114:$E$121,0))</f>
        <v>0</v>
      </c>
      <c r="R870" s="143">
        <v>0</v>
      </c>
      <c r="S870" s="5">
        <v>1</v>
      </c>
      <c r="T870" s="5" t="s">
        <v>219</v>
      </c>
      <c r="V870" s="7" t="str">
        <f t="array" ref="V870">INDEX(xlRTCLNAME,MATCH(1,(xlRTCLENDU=1)*(xlRTCLEQCL=$D870),0))</f>
        <v>ELEC_RAD</v>
      </c>
      <c r="W870" s="7" t="str">
        <f t="array" ref="W870">INDEX(xlRTCLNAME,MATCH(1,(xlRTCLENDU=2)*(xlRTCLEQCL=$F870),0))</f>
        <v>CENT_AIR</v>
      </c>
      <c r="X870" s="7" t="str">
        <f t="array" ref="X870">INDEX(xlRTTYNAME,MATCH(1,(xlRTTYENDU=1)*(xlRTTYEQCL=$D870)*(xlRTEQTYPE=$E870),0))</f>
        <v>ELEC_RAD2</v>
      </c>
      <c r="Y870" s="7" t="str">
        <f t="array" ref="Y870">INDEX(xlRTTYNAME,MATCH(1,(xlRTTYENDU=2)*(xlRTTYEQCL=$F870)*(xlRTEQTYPE=$G870),0))</f>
        <v>CENT_AIR1</v>
      </c>
    </row>
    <row r="871" spans="2:25" ht="14.25" customHeight="1" x14ac:dyDescent="0.2">
      <c r="B871" s="5">
        <v>4</v>
      </c>
      <c r="C871" s="5">
        <v>2</v>
      </c>
      <c r="D871" s="5">
        <v>1</v>
      </c>
      <c r="E871" s="5">
        <v>1</v>
      </c>
      <c r="F871" s="5">
        <v>2</v>
      </c>
      <c r="G871" s="31">
        <v>4</v>
      </c>
      <c r="H871" s="31">
        <v>2020</v>
      </c>
      <c r="I871" s="96">
        <v>2050</v>
      </c>
      <c r="J871" s="142">
        <v>1.1000000000000001</v>
      </c>
      <c r="K871" s="142">
        <v>1.0435000000000001</v>
      </c>
      <c r="L871" s="142">
        <v>1.4438</v>
      </c>
      <c r="M871" s="142">
        <v>1.2250000000000001</v>
      </c>
      <c r="N871" s="142">
        <v>1.1657</v>
      </c>
      <c r="O871" s="142">
        <v>1.0538000000000001</v>
      </c>
      <c r="P871" s="26">
        <v>0</v>
      </c>
      <c r="Q871" s="35">
        <f t="array" ref="Q871">SUM(IF(($S871&gt;=4)*($C871='TaxCred&amp;Subs'!$D$114:$D$121)*($H871='TaxCred&amp;Subs'!$C$114:$C$121)*($H871&lt;='TaxCred&amp;Subs'!$C$123),'TaxCred&amp;Subs'!$E$114:$E$121,0))</f>
        <v>0</v>
      </c>
      <c r="R871" s="143">
        <v>0</v>
      </c>
      <c r="S871" s="5">
        <v>1</v>
      </c>
      <c r="T871" s="5" t="s">
        <v>219</v>
      </c>
      <c r="V871" s="7" t="str">
        <f t="array" ref="V871">INDEX(xlRTCLNAME,MATCH(1,(xlRTCLENDU=1)*(xlRTCLEQCL=$D871),0))</f>
        <v>ELEC_RAD</v>
      </c>
      <c r="W871" s="7" t="str">
        <f t="array" ref="W871">INDEX(xlRTCLNAME,MATCH(1,(xlRTCLENDU=2)*(xlRTCLEQCL=$F871),0))</f>
        <v>CENT_AIR</v>
      </c>
      <c r="X871" s="7" t="str">
        <f t="array" ref="X871">INDEX(xlRTTYNAME,MATCH(1,(xlRTTYENDU=1)*(xlRTTYEQCL=$D871)*(xlRTEQTYPE=$E871),0))</f>
        <v>ELEC_RAD2</v>
      </c>
      <c r="Y871" s="7" t="str">
        <f t="array" ref="Y871">INDEX(xlRTTYNAME,MATCH(1,(xlRTTYENDU=2)*(xlRTTYEQCL=$F871)*(xlRTEQTYPE=$G871),0))</f>
        <v>CENT_AIR1</v>
      </c>
    </row>
    <row r="872" spans="2:25" ht="14.25" customHeight="1" x14ac:dyDescent="0.2">
      <c r="B872" s="5">
        <v>5</v>
      </c>
      <c r="C872" s="5">
        <v>2</v>
      </c>
      <c r="D872" s="5">
        <v>1</v>
      </c>
      <c r="E872" s="5">
        <v>1</v>
      </c>
      <c r="F872" s="5">
        <v>2</v>
      </c>
      <c r="G872" s="31">
        <v>4</v>
      </c>
      <c r="H872" s="31">
        <v>2020</v>
      </c>
      <c r="I872" s="96">
        <v>2050</v>
      </c>
      <c r="J872" s="142">
        <v>1.1200000000000001</v>
      </c>
      <c r="K872" s="142">
        <v>1.0577000000000001</v>
      </c>
      <c r="L872" s="142">
        <v>1.6361000000000001</v>
      </c>
      <c r="M872" s="142">
        <v>1.1687000000000001</v>
      </c>
      <c r="N872" s="142">
        <v>1.2619</v>
      </c>
      <c r="O872" s="142">
        <v>1.0538000000000001</v>
      </c>
      <c r="P872" s="26">
        <v>0</v>
      </c>
      <c r="Q872" s="35">
        <f t="array" ref="Q872">SUM(IF(($S872&gt;=4)*($C872='TaxCred&amp;Subs'!$D$114:$D$121)*($H872='TaxCred&amp;Subs'!$C$114:$C$121)*($H872&lt;='TaxCred&amp;Subs'!$C$123),'TaxCred&amp;Subs'!$E$114:$E$121,0))</f>
        <v>0</v>
      </c>
      <c r="R872" s="143">
        <v>0</v>
      </c>
      <c r="S872" s="5">
        <v>1</v>
      </c>
      <c r="T872" s="5" t="s">
        <v>219</v>
      </c>
      <c r="V872" s="7" t="str">
        <f t="array" ref="V872">INDEX(xlRTCLNAME,MATCH(1,(xlRTCLENDU=1)*(xlRTCLEQCL=$D872),0))</f>
        <v>ELEC_RAD</v>
      </c>
      <c r="W872" s="7" t="str">
        <f t="array" ref="W872">INDEX(xlRTCLNAME,MATCH(1,(xlRTCLENDU=2)*(xlRTCLEQCL=$F872),0))</f>
        <v>CENT_AIR</v>
      </c>
      <c r="X872" s="7" t="str">
        <f t="array" ref="X872">INDEX(xlRTTYNAME,MATCH(1,(xlRTTYENDU=1)*(xlRTTYEQCL=$D872)*(xlRTEQTYPE=$E872),0))</f>
        <v>ELEC_RAD2</v>
      </c>
      <c r="Y872" s="7" t="str">
        <f t="array" ref="Y872">INDEX(xlRTTYNAME,MATCH(1,(xlRTTYENDU=2)*(xlRTTYEQCL=$F872)*(xlRTEQTYPE=$G872),0))</f>
        <v>CENT_AIR1</v>
      </c>
    </row>
    <row r="873" spans="2:25" ht="14.25" customHeight="1" x14ac:dyDescent="0.2">
      <c r="B873" s="5">
        <v>6</v>
      </c>
      <c r="C873" s="5">
        <v>2</v>
      </c>
      <c r="D873" s="5">
        <v>1</v>
      </c>
      <c r="E873" s="5">
        <v>1</v>
      </c>
      <c r="F873" s="5">
        <v>2</v>
      </c>
      <c r="G873" s="31">
        <v>4</v>
      </c>
      <c r="H873" s="31">
        <v>2020</v>
      </c>
      <c r="I873" s="96">
        <v>2050</v>
      </c>
      <c r="J873" s="142">
        <v>1.1000000000000001</v>
      </c>
      <c r="K873" s="142">
        <v>1.0407999999999999</v>
      </c>
      <c r="L873" s="142">
        <v>1.7771999999999999</v>
      </c>
      <c r="M873" s="142">
        <v>1.2250000000000001</v>
      </c>
      <c r="N873" s="142">
        <v>1.3324</v>
      </c>
      <c r="O873" s="142">
        <v>1.0538000000000001</v>
      </c>
      <c r="P873" s="26">
        <v>0</v>
      </c>
      <c r="Q873" s="35">
        <f t="array" ref="Q873">SUM(IF(($S873&gt;=4)*($C873='TaxCred&amp;Subs'!$D$114:$D$121)*($H873='TaxCred&amp;Subs'!$C$114:$C$121)*($H873&lt;='TaxCred&amp;Subs'!$C$123),'TaxCred&amp;Subs'!$E$114:$E$121,0))</f>
        <v>0</v>
      </c>
      <c r="R873" s="143">
        <v>0</v>
      </c>
      <c r="S873" s="5">
        <v>1</v>
      </c>
      <c r="T873" s="5" t="s">
        <v>219</v>
      </c>
      <c r="V873" s="7" t="str">
        <f t="array" ref="V873">INDEX(xlRTCLNAME,MATCH(1,(xlRTCLENDU=1)*(xlRTCLEQCL=$D873),0))</f>
        <v>ELEC_RAD</v>
      </c>
      <c r="W873" s="7" t="str">
        <f t="array" ref="W873">INDEX(xlRTCLNAME,MATCH(1,(xlRTCLENDU=2)*(xlRTCLEQCL=$F873),0))</f>
        <v>CENT_AIR</v>
      </c>
      <c r="X873" s="7" t="str">
        <f t="array" ref="X873">INDEX(xlRTTYNAME,MATCH(1,(xlRTTYENDU=1)*(xlRTTYEQCL=$D873)*(xlRTEQTYPE=$E873),0))</f>
        <v>ELEC_RAD2</v>
      </c>
      <c r="Y873" s="7" t="str">
        <f t="array" ref="Y873">INDEX(xlRTTYNAME,MATCH(1,(xlRTTYENDU=2)*(xlRTTYEQCL=$F873)*(xlRTEQTYPE=$G873),0))</f>
        <v>CENT_AIR1</v>
      </c>
    </row>
    <row r="874" spans="2:25" ht="14.25" customHeight="1" x14ac:dyDescent="0.2">
      <c r="B874" s="5">
        <v>7</v>
      </c>
      <c r="C874" s="5">
        <v>2</v>
      </c>
      <c r="D874" s="5">
        <v>1</v>
      </c>
      <c r="E874" s="5">
        <v>1</v>
      </c>
      <c r="F874" s="5">
        <v>2</v>
      </c>
      <c r="G874" s="31">
        <v>4</v>
      </c>
      <c r="H874" s="31">
        <v>2020</v>
      </c>
      <c r="I874" s="96">
        <v>2050</v>
      </c>
      <c r="J874" s="142">
        <v>1.1200000000000001</v>
      </c>
      <c r="K874" s="142">
        <v>1.0455000000000001</v>
      </c>
      <c r="L874" s="142">
        <v>2</v>
      </c>
      <c r="M874" s="142">
        <v>1.2121</v>
      </c>
      <c r="N874" s="142">
        <v>1.4438</v>
      </c>
      <c r="O874" s="142">
        <v>1.0538000000000001</v>
      </c>
      <c r="P874" s="26">
        <v>0</v>
      </c>
      <c r="Q874" s="35">
        <f t="array" ref="Q874">SUM(IF(($S874&gt;=4)*($C874='TaxCred&amp;Subs'!$D$114:$D$121)*($H874='TaxCred&amp;Subs'!$C$114:$C$121)*($H874&lt;='TaxCred&amp;Subs'!$C$123),'TaxCred&amp;Subs'!$E$114:$E$121,0))</f>
        <v>0</v>
      </c>
      <c r="R874" s="143">
        <v>0</v>
      </c>
      <c r="S874" s="5">
        <v>1</v>
      </c>
      <c r="T874" s="5" t="s">
        <v>219</v>
      </c>
      <c r="V874" s="7" t="str">
        <f t="array" ref="V874">INDEX(xlRTCLNAME,MATCH(1,(xlRTCLENDU=1)*(xlRTCLEQCL=$D874),0))</f>
        <v>ELEC_RAD</v>
      </c>
      <c r="W874" s="7" t="str">
        <f t="array" ref="W874">INDEX(xlRTCLNAME,MATCH(1,(xlRTCLENDU=2)*(xlRTCLEQCL=$F874),0))</f>
        <v>CENT_AIR</v>
      </c>
      <c r="X874" s="7" t="str">
        <f t="array" ref="X874">INDEX(xlRTTYNAME,MATCH(1,(xlRTTYENDU=1)*(xlRTTYEQCL=$D874)*(xlRTEQTYPE=$E874),0))</f>
        <v>ELEC_RAD2</v>
      </c>
      <c r="Y874" s="7" t="str">
        <f t="array" ref="Y874">INDEX(xlRTTYNAME,MATCH(1,(xlRTTYENDU=2)*(xlRTTYEQCL=$F874)*(xlRTEQTYPE=$G874),0))</f>
        <v>CENT_AIR1</v>
      </c>
    </row>
    <row r="875" spans="2:25" ht="14.25" customHeight="1" x14ac:dyDescent="0.2">
      <c r="B875" s="5">
        <v>8</v>
      </c>
      <c r="C875" s="5">
        <v>2</v>
      </c>
      <c r="D875" s="5">
        <v>1</v>
      </c>
      <c r="E875" s="5">
        <v>1</v>
      </c>
      <c r="F875" s="5">
        <v>2</v>
      </c>
      <c r="G875" s="31">
        <v>4</v>
      </c>
      <c r="H875" s="31">
        <v>2020</v>
      </c>
      <c r="I875" s="96">
        <v>2050</v>
      </c>
      <c r="J875" s="142">
        <v>1.1026</v>
      </c>
      <c r="K875" s="142">
        <v>1.0645</v>
      </c>
      <c r="L875" s="142">
        <v>1.6693</v>
      </c>
      <c r="M875" s="142">
        <v>1.3391999999999999</v>
      </c>
      <c r="N875" s="142">
        <v>1.2785</v>
      </c>
      <c r="O875" s="142">
        <v>1.0538000000000001</v>
      </c>
      <c r="P875" s="26">
        <v>0</v>
      </c>
      <c r="Q875" s="35">
        <f t="array" ref="Q875">SUM(IF(($S875&gt;=4)*($C875='TaxCred&amp;Subs'!$D$114:$D$121)*($H875='TaxCred&amp;Subs'!$C$114:$C$121)*($H875&lt;='TaxCred&amp;Subs'!$C$123),'TaxCred&amp;Subs'!$E$114:$E$121,0))</f>
        <v>0</v>
      </c>
      <c r="R875" s="143">
        <v>0</v>
      </c>
      <c r="S875" s="5">
        <v>1</v>
      </c>
      <c r="T875" s="5" t="s">
        <v>219</v>
      </c>
      <c r="V875" s="7" t="str">
        <f t="array" ref="V875">INDEX(xlRTCLNAME,MATCH(1,(xlRTCLENDU=1)*(xlRTCLEQCL=$D875),0))</f>
        <v>ELEC_RAD</v>
      </c>
      <c r="W875" s="7" t="str">
        <f t="array" ref="W875">INDEX(xlRTCLNAME,MATCH(1,(xlRTCLENDU=2)*(xlRTCLEQCL=$F875),0))</f>
        <v>CENT_AIR</v>
      </c>
      <c r="X875" s="7" t="str">
        <f t="array" ref="X875">INDEX(xlRTTYNAME,MATCH(1,(xlRTTYENDU=1)*(xlRTTYEQCL=$D875)*(xlRTEQTYPE=$E875),0))</f>
        <v>ELEC_RAD2</v>
      </c>
      <c r="Y875" s="7" t="str">
        <f t="array" ref="Y875">INDEX(xlRTTYNAME,MATCH(1,(xlRTTYENDU=2)*(xlRTTYEQCL=$F875)*(xlRTEQTYPE=$G875),0))</f>
        <v>CENT_AIR1</v>
      </c>
    </row>
    <row r="876" spans="2:25" ht="14.25" customHeight="1" x14ac:dyDescent="0.2">
      <c r="B876" s="5">
        <v>9</v>
      </c>
      <c r="C876" s="5">
        <v>2</v>
      </c>
      <c r="D876" s="5">
        <v>1</v>
      </c>
      <c r="E876" s="5">
        <v>1</v>
      </c>
      <c r="F876" s="5">
        <v>2</v>
      </c>
      <c r="G876" s="31">
        <v>4</v>
      </c>
      <c r="H876" s="31">
        <v>2020</v>
      </c>
      <c r="I876" s="96">
        <v>2050</v>
      </c>
      <c r="J876" s="142">
        <v>1.1200000000000001</v>
      </c>
      <c r="K876" s="142">
        <v>1.0541</v>
      </c>
      <c r="L876" s="142">
        <v>2</v>
      </c>
      <c r="M876" s="142">
        <v>1.2834000000000001</v>
      </c>
      <c r="N876" s="142">
        <v>1.4438</v>
      </c>
      <c r="O876" s="142">
        <v>1.0538000000000001</v>
      </c>
      <c r="P876" s="26">
        <v>0</v>
      </c>
      <c r="Q876" s="35">
        <f t="array" ref="Q876">SUM(IF(($S876&gt;=4)*($C876='TaxCred&amp;Subs'!$D$114:$D$121)*($H876='TaxCred&amp;Subs'!$C$114:$C$121)*($H876&lt;='TaxCred&amp;Subs'!$C$123),'TaxCred&amp;Subs'!$E$114:$E$121,0))</f>
        <v>0</v>
      </c>
      <c r="R876" s="143">
        <v>0</v>
      </c>
      <c r="S876" s="5">
        <v>1</v>
      </c>
      <c r="T876" s="5" t="s">
        <v>219</v>
      </c>
      <c r="V876" s="7" t="str">
        <f t="array" ref="V876">INDEX(xlRTCLNAME,MATCH(1,(xlRTCLENDU=1)*(xlRTCLEQCL=$D876),0))</f>
        <v>ELEC_RAD</v>
      </c>
      <c r="W876" s="7" t="str">
        <f t="array" ref="W876">INDEX(xlRTCLNAME,MATCH(1,(xlRTCLENDU=2)*(xlRTCLEQCL=$F876),0))</f>
        <v>CENT_AIR</v>
      </c>
      <c r="X876" s="7" t="str">
        <f t="array" ref="X876">INDEX(xlRTTYNAME,MATCH(1,(xlRTTYENDU=1)*(xlRTTYEQCL=$D876)*(xlRTEQTYPE=$E876),0))</f>
        <v>ELEC_RAD2</v>
      </c>
      <c r="Y876" s="7" t="str">
        <f t="array" ref="Y876">INDEX(xlRTTYNAME,MATCH(1,(xlRTTYENDU=2)*(xlRTTYEQCL=$F876)*(xlRTEQTYPE=$G876),0))</f>
        <v>CENT_AIR1</v>
      </c>
    </row>
    <row r="877" spans="2:25" ht="14.25" customHeight="1" x14ac:dyDescent="0.2">
      <c r="B877" s="5">
        <v>1</v>
      </c>
      <c r="C877" s="5">
        <v>2</v>
      </c>
      <c r="D877" s="5">
        <v>2</v>
      </c>
      <c r="E877" s="5">
        <v>2</v>
      </c>
      <c r="F877" s="5">
        <v>3</v>
      </c>
      <c r="G877" s="31">
        <v>8</v>
      </c>
      <c r="H877" s="31">
        <v>2020</v>
      </c>
      <c r="I877" s="96">
        <v>2050</v>
      </c>
      <c r="J877" s="142">
        <v>1.0909</v>
      </c>
      <c r="K877" s="142">
        <v>1.04</v>
      </c>
      <c r="L877" s="142">
        <v>1.3361000000000001</v>
      </c>
      <c r="M877" s="142">
        <v>1.1909000000000001</v>
      </c>
      <c r="N877" s="142">
        <v>1.1119000000000001</v>
      </c>
      <c r="O877" s="142">
        <v>1.0538000000000001</v>
      </c>
      <c r="P877" s="26">
        <v>0</v>
      </c>
      <c r="Q877" s="35">
        <f t="array" ref="Q877">SUM(IF(($S877&gt;=4)*($C877='TaxCred&amp;Subs'!$D$114:$D$121)*($H877='TaxCred&amp;Subs'!$C$114:$C$121)*($H877&lt;='TaxCred&amp;Subs'!$C$123),'TaxCred&amp;Subs'!$E$114:$E$121,0))</f>
        <v>0</v>
      </c>
      <c r="R877" s="143">
        <v>0</v>
      </c>
      <c r="S877" s="5">
        <v>1</v>
      </c>
      <c r="T877" s="5" t="s">
        <v>219</v>
      </c>
      <c r="V877" s="7" t="str">
        <f t="array" ref="V877">INDEX(xlRTCLNAME,MATCH(1,(xlRTCLENDU=1)*(xlRTCLEQCL=$D877),0))</f>
        <v>ELEC_HP</v>
      </c>
      <c r="W877" s="7" t="str">
        <f t="array" ref="W877">INDEX(xlRTCLNAME,MATCH(1,(xlRTCLENDU=2)*(xlRTCLEQCL=$F877),0))</f>
        <v>ELEC_HP</v>
      </c>
      <c r="X877" s="7" t="str">
        <f t="array" ref="X877">INDEX(xlRTTYNAME,MATCH(1,(xlRTTYENDU=1)*(xlRTTYEQCL=$D877)*(xlRTEQTYPE=$E877),0))</f>
        <v>ELEC_HP1</v>
      </c>
      <c r="Y877" s="7" t="str">
        <f t="array" ref="Y877">INDEX(xlRTTYNAME,MATCH(1,(xlRTTYENDU=2)*(xlRTTYEQCL=$F877)*(xlRTEQTYPE=$G877),0))</f>
        <v>ELEC_HP1</v>
      </c>
    </row>
    <row r="878" spans="2:25" ht="14.25" customHeight="1" x14ac:dyDescent="0.2">
      <c r="B878" s="5">
        <v>2</v>
      </c>
      <c r="C878" s="5">
        <v>2</v>
      </c>
      <c r="D878" s="5">
        <v>2</v>
      </c>
      <c r="E878" s="5">
        <v>2</v>
      </c>
      <c r="F878" s="5">
        <v>3</v>
      </c>
      <c r="G878" s="31">
        <v>8</v>
      </c>
      <c r="H878" s="31">
        <v>2020</v>
      </c>
      <c r="I878" s="96">
        <v>2050</v>
      </c>
      <c r="J878" s="142">
        <v>1.0847</v>
      </c>
      <c r="K878" s="142">
        <v>1.0345</v>
      </c>
      <c r="L878" s="142">
        <v>1.3549</v>
      </c>
      <c r="M878" s="142">
        <v>1.2250000000000001</v>
      </c>
      <c r="N878" s="142">
        <v>1.1213</v>
      </c>
      <c r="O878" s="142">
        <v>1.0538000000000001</v>
      </c>
      <c r="P878" s="26">
        <v>0</v>
      </c>
      <c r="Q878" s="35">
        <f t="array" ref="Q878">SUM(IF(($S878&gt;=4)*($C878='TaxCred&amp;Subs'!$D$114:$D$121)*($H878='TaxCred&amp;Subs'!$C$114:$C$121)*($H878&lt;='TaxCred&amp;Subs'!$C$123),'TaxCred&amp;Subs'!$E$114:$E$121,0))</f>
        <v>0</v>
      </c>
      <c r="R878" s="143">
        <v>0</v>
      </c>
      <c r="S878" s="5">
        <v>1</v>
      </c>
      <c r="T878" s="5" t="s">
        <v>219</v>
      </c>
      <c r="V878" s="7" t="str">
        <f t="array" ref="V878">INDEX(xlRTCLNAME,MATCH(1,(xlRTCLENDU=1)*(xlRTCLEQCL=$D878),0))</f>
        <v>ELEC_HP</v>
      </c>
      <c r="W878" s="7" t="str">
        <f t="array" ref="W878">INDEX(xlRTCLNAME,MATCH(1,(xlRTCLENDU=2)*(xlRTCLEQCL=$F878),0))</f>
        <v>ELEC_HP</v>
      </c>
      <c r="X878" s="7" t="str">
        <f t="array" ref="X878">INDEX(xlRTTYNAME,MATCH(1,(xlRTTYENDU=1)*(xlRTTYEQCL=$D878)*(xlRTEQTYPE=$E878),0))</f>
        <v>ELEC_HP1</v>
      </c>
      <c r="Y878" s="7" t="str">
        <f t="array" ref="Y878">INDEX(xlRTTYNAME,MATCH(1,(xlRTTYENDU=2)*(xlRTTYEQCL=$F878)*(xlRTEQTYPE=$G878),0))</f>
        <v>ELEC_HP1</v>
      </c>
    </row>
    <row r="879" spans="2:25" ht="14.25" customHeight="1" x14ac:dyDescent="0.2">
      <c r="B879" s="5">
        <v>3</v>
      </c>
      <c r="C879" s="5">
        <v>2</v>
      </c>
      <c r="D879" s="5">
        <v>2</v>
      </c>
      <c r="E879" s="5">
        <v>2</v>
      </c>
      <c r="F879" s="5">
        <v>3</v>
      </c>
      <c r="G879" s="31">
        <v>8</v>
      </c>
      <c r="H879" s="31">
        <v>2020</v>
      </c>
      <c r="I879" s="96">
        <v>2050</v>
      </c>
      <c r="J879" s="142">
        <v>1.0932999999999999</v>
      </c>
      <c r="K879" s="142">
        <v>1.0345</v>
      </c>
      <c r="L879" s="142">
        <v>1.1840999999999999</v>
      </c>
      <c r="M879" s="142">
        <v>1.1345000000000001</v>
      </c>
      <c r="N879" s="142">
        <v>1.0358000000000001</v>
      </c>
      <c r="O879" s="142">
        <v>1.0538000000000001</v>
      </c>
      <c r="P879" s="26">
        <v>0</v>
      </c>
      <c r="Q879" s="35">
        <f t="array" ref="Q879">SUM(IF(($S879&gt;=4)*($C879='TaxCred&amp;Subs'!$D$114:$D$121)*($H879='TaxCred&amp;Subs'!$C$114:$C$121)*($H879&lt;='TaxCred&amp;Subs'!$C$123),'TaxCred&amp;Subs'!$E$114:$E$121,0))</f>
        <v>0</v>
      </c>
      <c r="R879" s="143">
        <v>0</v>
      </c>
      <c r="S879" s="5">
        <v>1</v>
      </c>
      <c r="T879" s="5" t="s">
        <v>219</v>
      </c>
      <c r="V879" s="7" t="str">
        <f t="array" ref="V879">INDEX(xlRTCLNAME,MATCH(1,(xlRTCLENDU=1)*(xlRTCLEQCL=$D879),0))</f>
        <v>ELEC_HP</v>
      </c>
      <c r="W879" s="7" t="str">
        <f t="array" ref="W879">INDEX(xlRTCLNAME,MATCH(1,(xlRTCLENDU=2)*(xlRTCLEQCL=$F879),0))</f>
        <v>ELEC_HP</v>
      </c>
      <c r="X879" s="7" t="str">
        <f t="array" ref="X879">INDEX(xlRTTYNAME,MATCH(1,(xlRTTYENDU=1)*(xlRTTYEQCL=$D879)*(xlRTEQTYPE=$E879),0))</f>
        <v>ELEC_HP1</v>
      </c>
      <c r="Y879" s="7" t="str">
        <f t="array" ref="Y879">INDEX(xlRTTYNAME,MATCH(1,(xlRTTYENDU=2)*(xlRTTYEQCL=$F879)*(xlRTEQTYPE=$G879),0))</f>
        <v>ELEC_HP1</v>
      </c>
    </row>
    <row r="880" spans="2:25" ht="14.25" customHeight="1" x14ac:dyDescent="0.2">
      <c r="B880" s="5">
        <v>4</v>
      </c>
      <c r="C880" s="5">
        <v>2</v>
      </c>
      <c r="D880" s="5">
        <v>2</v>
      </c>
      <c r="E880" s="5">
        <v>2</v>
      </c>
      <c r="F880" s="5">
        <v>3</v>
      </c>
      <c r="G880" s="31">
        <v>8</v>
      </c>
      <c r="H880" s="31">
        <v>2020</v>
      </c>
      <c r="I880" s="96">
        <v>2050</v>
      </c>
      <c r="J880" s="142">
        <v>1.0956999999999999</v>
      </c>
      <c r="K880" s="142">
        <v>1.0417000000000001</v>
      </c>
      <c r="L880" s="142">
        <v>1.4368000000000001</v>
      </c>
      <c r="M880" s="142">
        <v>1.2250000000000001</v>
      </c>
      <c r="N880" s="142">
        <v>1.1621999999999999</v>
      </c>
      <c r="O880" s="142">
        <v>1.0538000000000001</v>
      </c>
      <c r="P880" s="26">
        <v>0</v>
      </c>
      <c r="Q880" s="35">
        <f t="array" ref="Q880">SUM(IF(($S880&gt;=4)*($C880='TaxCred&amp;Subs'!$D$114:$D$121)*($H880='TaxCred&amp;Subs'!$C$114:$C$121)*($H880&lt;='TaxCred&amp;Subs'!$C$123),'TaxCred&amp;Subs'!$E$114:$E$121,0))</f>
        <v>0</v>
      </c>
      <c r="R880" s="143">
        <v>0</v>
      </c>
      <c r="S880" s="5">
        <v>1</v>
      </c>
      <c r="T880" s="5" t="s">
        <v>219</v>
      </c>
      <c r="V880" s="7" t="str">
        <f t="array" ref="V880">INDEX(xlRTCLNAME,MATCH(1,(xlRTCLENDU=1)*(xlRTCLEQCL=$D880),0))</f>
        <v>ELEC_HP</v>
      </c>
      <c r="W880" s="7" t="str">
        <f t="array" ref="W880">INDEX(xlRTCLNAME,MATCH(1,(xlRTCLENDU=2)*(xlRTCLEQCL=$F880),0))</f>
        <v>ELEC_HP</v>
      </c>
      <c r="X880" s="7" t="str">
        <f t="array" ref="X880">INDEX(xlRTTYNAME,MATCH(1,(xlRTTYENDU=1)*(xlRTTYEQCL=$D880)*(xlRTEQTYPE=$E880),0))</f>
        <v>ELEC_HP1</v>
      </c>
      <c r="Y880" s="7" t="str">
        <f t="array" ref="Y880">INDEX(xlRTTYNAME,MATCH(1,(xlRTTYENDU=2)*(xlRTTYEQCL=$F880)*(xlRTEQTYPE=$G880),0))</f>
        <v>ELEC_HP1</v>
      </c>
    </row>
    <row r="881" spans="2:25" ht="14.25" customHeight="1" x14ac:dyDescent="0.2">
      <c r="B881" s="5">
        <v>5</v>
      </c>
      <c r="C881" s="5">
        <v>2</v>
      </c>
      <c r="D881" s="5">
        <v>2</v>
      </c>
      <c r="E881" s="5">
        <v>2</v>
      </c>
      <c r="F881" s="5">
        <v>3</v>
      </c>
      <c r="G881" s="31">
        <v>8</v>
      </c>
      <c r="H881" s="31">
        <v>2020</v>
      </c>
      <c r="I881" s="96">
        <v>2050</v>
      </c>
      <c r="J881" s="142">
        <v>1.1200000000000001</v>
      </c>
      <c r="K881" s="142">
        <v>1.0545</v>
      </c>
      <c r="L881" s="142">
        <v>1.6105</v>
      </c>
      <c r="M881" s="142">
        <v>1.1687000000000001</v>
      </c>
      <c r="N881" s="142">
        <v>1.2490000000000001</v>
      </c>
      <c r="O881" s="142">
        <v>1.0538000000000001</v>
      </c>
      <c r="P881" s="26">
        <v>0</v>
      </c>
      <c r="Q881" s="35">
        <f t="array" ref="Q881">SUM(IF(($S881&gt;=4)*($C881='TaxCred&amp;Subs'!$D$114:$D$121)*($H881='TaxCred&amp;Subs'!$C$114:$C$121)*($H881&lt;='TaxCred&amp;Subs'!$C$123),'TaxCred&amp;Subs'!$E$114:$E$121,0))</f>
        <v>0</v>
      </c>
      <c r="R881" s="143">
        <v>0</v>
      </c>
      <c r="S881" s="5">
        <v>1</v>
      </c>
      <c r="T881" s="5" t="s">
        <v>219</v>
      </c>
      <c r="V881" s="7" t="str">
        <f t="array" ref="V881">INDEX(xlRTCLNAME,MATCH(1,(xlRTCLENDU=1)*(xlRTCLEQCL=$D881),0))</f>
        <v>ELEC_HP</v>
      </c>
      <c r="W881" s="7" t="str">
        <f t="array" ref="W881">INDEX(xlRTCLNAME,MATCH(1,(xlRTCLENDU=2)*(xlRTCLEQCL=$F881),0))</f>
        <v>ELEC_HP</v>
      </c>
      <c r="X881" s="7" t="str">
        <f t="array" ref="X881">INDEX(xlRTTYNAME,MATCH(1,(xlRTTYENDU=1)*(xlRTTYEQCL=$D881)*(xlRTEQTYPE=$E881),0))</f>
        <v>ELEC_HP1</v>
      </c>
      <c r="Y881" s="7" t="str">
        <f t="array" ref="Y881">INDEX(xlRTTYNAME,MATCH(1,(xlRTTYENDU=2)*(xlRTTYEQCL=$F881)*(xlRTEQTYPE=$G881),0))</f>
        <v>ELEC_HP1</v>
      </c>
    </row>
    <row r="882" spans="2:25" ht="14.25" customHeight="1" x14ac:dyDescent="0.2">
      <c r="B882" s="5">
        <v>6</v>
      </c>
      <c r="C882" s="5">
        <v>2</v>
      </c>
      <c r="D882" s="5">
        <v>2</v>
      </c>
      <c r="E882" s="5">
        <v>2</v>
      </c>
      <c r="F882" s="5">
        <v>3</v>
      </c>
      <c r="G882" s="31">
        <v>8</v>
      </c>
      <c r="H882" s="31">
        <v>2020</v>
      </c>
      <c r="I882" s="96">
        <v>2050</v>
      </c>
      <c r="J882" s="142">
        <v>1.087</v>
      </c>
      <c r="K882" s="142">
        <v>1.0385</v>
      </c>
      <c r="L882" s="142">
        <v>1.7771999999999999</v>
      </c>
      <c r="M882" s="142">
        <v>1.2250000000000001</v>
      </c>
      <c r="N882" s="142">
        <v>1.3324</v>
      </c>
      <c r="O882" s="142">
        <v>1.0538000000000001</v>
      </c>
      <c r="P882" s="26">
        <v>0</v>
      </c>
      <c r="Q882" s="35">
        <f t="array" ref="Q882">SUM(IF(($S882&gt;=4)*($C882='TaxCred&amp;Subs'!$D$114:$D$121)*($H882='TaxCred&amp;Subs'!$C$114:$C$121)*($H882&lt;='TaxCred&amp;Subs'!$C$123),'TaxCred&amp;Subs'!$E$114:$E$121,0))</f>
        <v>0</v>
      </c>
      <c r="R882" s="143">
        <v>0</v>
      </c>
      <c r="S882" s="5">
        <v>1</v>
      </c>
      <c r="T882" s="5" t="s">
        <v>219</v>
      </c>
      <c r="V882" s="7" t="str">
        <f t="array" ref="V882">INDEX(xlRTCLNAME,MATCH(1,(xlRTCLENDU=1)*(xlRTCLEQCL=$D882),0))</f>
        <v>ELEC_HP</v>
      </c>
      <c r="W882" s="7" t="str">
        <f t="array" ref="W882">INDEX(xlRTCLNAME,MATCH(1,(xlRTCLENDU=2)*(xlRTCLEQCL=$F882),0))</f>
        <v>ELEC_HP</v>
      </c>
      <c r="X882" s="7" t="str">
        <f t="array" ref="X882">INDEX(xlRTTYNAME,MATCH(1,(xlRTTYENDU=1)*(xlRTTYEQCL=$D882)*(xlRTEQTYPE=$E882),0))</f>
        <v>ELEC_HP1</v>
      </c>
      <c r="Y882" s="7" t="str">
        <f t="array" ref="Y882">INDEX(xlRTTYNAME,MATCH(1,(xlRTTYENDU=2)*(xlRTTYEQCL=$F882)*(xlRTEQTYPE=$G882),0))</f>
        <v>ELEC_HP1</v>
      </c>
    </row>
    <row r="883" spans="2:25" ht="14.25" customHeight="1" x14ac:dyDescent="0.2">
      <c r="B883" s="5">
        <v>7</v>
      </c>
      <c r="C883" s="5">
        <v>2</v>
      </c>
      <c r="D883" s="5">
        <v>2</v>
      </c>
      <c r="E883" s="5">
        <v>2</v>
      </c>
      <c r="F883" s="5">
        <v>3</v>
      </c>
      <c r="G883" s="31">
        <v>8</v>
      </c>
      <c r="H883" s="31">
        <v>2020</v>
      </c>
      <c r="I883" s="96">
        <v>2050</v>
      </c>
      <c r="J883" s="142">
        <v>1.1200000000000001</v>
      </c>
      <c r="K883" s="142">
        <v>1.0435000000000001</v>
      </c>
      <c r="L883" s="142">
        <v>2</v>
      </c>
      <c r="M883" s="142">
        <v>1.2121</v>
      </c>
      <c r="N883" s="142">
        <v>1.4438</v>
      </c>
      <c r="O883" s="142">
        <v>1.0538000000000001</v>
      </c>
      <c r="P883" s="26">
        <v>0</v>
      </c>
      <c r="Q883" s="35">
        <f t="array" ref="Q883">SUM(IF(($S883&gt;=4)*($C883='TaxCred&amp;Subs'!$D$114:$D$121)*($H883='TaxCred&amp;Subs'!$C$114:$C$121)*($H883&lt;='TaxCred&amp;Subs'!$C$123),'TaxCred&amp;Subs'!$E$114:$E$121,0))</f>
        <v>0</v>
      </c>
      <c r="R883" s="143">
        <v>0</v>
      </c>
      <c r="S883" s="5">
        <v>1</v>
      </c>
      <c r="T883" s="5" t="s">
        <v>219</v>
      </c>
      <c r="V883" s="7" t="str">
        <f t="array" ref="V883">INDEX(xlRTCLNAME,MATCH(1,(xlRTCLENDU=1)*(xlRTCLEQCL=$D883),0))</f>
        <v>ELEC_HP</v>
      </c>
      <c r="W883" s="7" t="str">
        <f t="array" ref="W883">INDEX(xlRTCLNAME,MATCH(1,(xlRTCLENDU=2)*(xlRTCLEQCL=$F883),0))</f>
        <v>ELEC_HP</v>
      </c>
      <c r="X883" s="7" t="str">
        <f t="array" ref="X883">INDEX(xlRTTYNAME,MATCH(1,(xlRTTYENDU=1)*(xlRTTYEQCL=$D883)*(xlRTEQTYPE=$E883),0))</f>
        <v>ELEC_HP1</v>
      </c>
      <c r="Y883" s="7" t="str">
        <f t="array" ref="Y883">INDEX(xlRTTYNAME,MATCH(1,(xlRTTYENDU=2)*(xlRTTYEQCL=$F883)*(xlRTEQTYPE=$G883),0))</f>
        <v>ELEC_HP1</v>
      </c>
    </row>
    <row r="884" spans="2:25" ht="14.25" customHeight="1" x14ac:dyDescent="0.2">
      <c r="B884" s="5">
        <v>8</v>
      </c>
      <c r="C884" s="5">
        <v>2</v>
      </c>
      <c r="D884" s="5">
        <v>2</v>
      </c>
      <c r="E884" s="5">
        <v>2</v>
      </c>
      <c r="F884" s="5">
        <v>3</v>
      </c>
      <c r="G884" s="31">
        <v>8</v>
      </c>
      <c r="H884" s="31">
        <v>2020</v>
      </c>
      <c r="I884" s="96">
        <v>2050</v>
      </c>
      <c r="J884" s="142">
        <v>1.0889</v>
      </c>
      <c r="K884" s="142">
        <v>1.0313000000000001</v>
      </c>
      <c r="L884" s="142">
        <v>1.6535</v>
      </c>
      <c r="M884" s="142">
        <v>1.3391999999999999</v>
      </c>
      <c r="N884" s="142">
        <v>1.2706</v>
      </c>
      <c r="O884" s="142">
        <v>1.0538000000000001</v>
      </c>
      <c r="P884" s="26">
        <v>0</v>
      </c>
      <c r="Q884" s="35">
        <f t="array" ref="Q884">SUM(IF(($S884&gt;=4)*($C884='TaxCred&amp;Subs'!$D$114:$D$121)*($H884='TaxCred&amp;Subs'!$C$114:$C$121)*($H884&lt;='TaxCred&amp;Subs'!$C$123),'TaxCred&amp;Subs'!$E$114:$E$121,0))</f>
        <v>0</v>
      </c>
      <c r="R884" s="143">
        <v>0</v>
      </c>
      <c r="S884" s="5">
        <v>1</v>
      </c>
      <c r="T884" s="5" t="s">
        <v>219</v>
      </c>
      <c r="V884" s="7" t="str">
        <f t="array" ref="V884">INDEX(xlRTCLNAME,MATCH(1,(xlRTCLENDU=1)*(xlRTCLEQCL=$D884),0))</f>
        <v>ELEC_HP</v>
      </c>
      <c r="W884" s="7" t="str">
        <f t="array" ref="W884">INDEX(xlRTCLNAME,MATCH(1,(xlRTCLENDU=2)*(xlRTCLEQCL=$F884),0))</f>
        <v>ELEC_HP</v>
      </c>
      <c r="X884" s="7" t="str">
        <f t="array" ref="X884">INDEX(xlRTTYNAME,MATCH(1,(xlRTTYENDU=1)*(xlRTTYEQCL=$D884)*(xlRTEQTYPE=$E884),0))</f>
        <v>ELEC_HP1</v>
      </c>
      <c r="Y884" s="7" t="str">
        <f t="array" ref="Y884">INDEX(xlRTTYNAME,MATCH(1,(xlRTTYENDU=2)*(xlRTTYEQCL=$F884)*(xlRTEQTYPE=$G884),0))</f>
        <v>ELEC_HP1</v>
      </c>
    </row>
    <row r="885" spans="2:25" ht="14.25" customHeight="1" x14ac:dyDescent="0.2">
      <c r="B885" s="5">
        <v>9</v>
      </c>
      <c r="C885" s="5">
        <v>2</v>
      </c>
      <c r="D885" s="5">
        <v>2</v>
      </c>
      <c r="E885" s="5">
        <v>2</v>
      </c>
      <c r="F885" s="5">
        <v>3</v>
      </c>
      <c r="G885" s="31">
        <v>8</v>
      </c>
      <c r="H885" s="31">
        <v>2020</v>
      </c>
      <c r="I885" s="96">
        <v>2050</v>
      </c>
      <c r="J885" s="142">
        <v>1.1200000000000001</v>
      </c>
      <c r="K885" s="142">
        <v>1.0512999999999999</v>
      </c>
      <c r="L885" s="142">
        <v>2</v>
      </c>
      <c r="M885" s="142">
        <v>1.2834000000000001</v>
      </c>
      <c r="N885" s="142">
        <v>1.4438</v>
      </c>
      <c r="O885" s="142">
        <v>1.0538000000000001</v>
      </c>
      <c r="P885" s="26">
        <v>0</v>
      </c>
      <c r="Q885" s="35">
        <f t="array" ref="Q885">SUM(IF(($S885&gt;=4)*($C885='TaxCred&amp;Subs'!$D$114:$D$121)*($H885='TaxCred&amp;Subs'!$C$114:$C$121)*($H885&lt;='TaxCred&amp;Subs'!$C$123),'TaxCred&amp;Subs'!$E$114:$E$121,0))</f>
        <v>0</v>
      </c>
      <c r="R885" s="143">
        <v>0</v>
      </c>
      <c r="S885" s="5">
        <v>1</v>
      </c>
      <c r="T885" s="5" t="s">
        <v>219</v>
      </c>
      <c r="V885" s="7" t="str">
        <f t="array" ref="V885">INDEX(xlRTCLNAME,MATCH(1,(xlRTCLENDU=1)*(xlRTCLEQCL=$D885),0))</f>
        <v>ELEC_HP</v>
      </c>
      <c r="W885" s="7" t="str">
        <f t="array" ref="W885">INDEX(xlRTCLNAME,MATCH(1,(xlRTCLENDU=2)*(xlRTCLEQCL=$F885),0))</f>
        <v>ELEC_HP</v>
      </c>
      <c r="X885" s="7" t="str">
        <f t="array" ref="X885">INDEX(xlRTTYNAME,MATCH(1,(xlRTTYENDU=1)*(xlRTTYEQCL=$D885)*(xlRTEQTYPE=$E885),0))</f>
        <v>ELEC_HP1</v>
      </c>
      <c r="Y885" s="7" t="str">
        <f t="array" ref="Y885">INDEX(xlRTTYNAME,MATCH(1,(xlRTTYENDU=2)*(xlRTTYEQCL=$F885)*(xlRTEQTYPE=$G885),0))</f>
        <v>ELEC_HP1</v>
      </c>
    </row>
    <row r="886" spans="2:25" ht="14.25" customHeight="1" x14ac:dyDescent="0.2">
      <c r="B886" s="5">
        <v>1</v>
      </c>
      <c r="C886" s="5">
        <v>2</v>
      </c>
      <c r="D886" s="5">
        <v>3</v>
      </c>
      <c r="E886" s="5">
        <v>6</v>
      </c>
      <c r="F886" s="5">
        <v>2</v>
      </c>
      <c r="G886" s="31">
        <v>4</v>
      </c>
      <c r="H886" s="31">
        <v>2020</v>
      </c>
      <c r="I886" s="96">
        <v>2050</v>
      </c>
      <c r="J886" s="142">
        <v>1.1042000000000001</v>
      </c>
      <c r="K886" s="142">
        <v>1.0417000000000001</v>
      </c>
      <c r="L886" s="142">
        <v>1.3378000000000001</v>
      </c>
      <c r="M886" s="142">
        <v>1.1909000000000001</v>
      </c>
      <c r="N886" s="142">
        <v>1.1127</v>
      </c>
      <c r="O886" s="142">
        <v>1.0538000000000001</v>
      </c>
      <c r="P886" s="26">
        <v>0</v>
      </c>
      <c r="Q886" s="35">
        <f t="array" ref="Q886">SUM(IF(($S886&gt;=4)*($C886='TaxCred&amp;Subs'!$D$114:$D$121)*($H886='TaxCred&amp;Subs'!$C$114:$C$121)*($H886&lt;='TaxCred&amp;Subs'!$C$123),'TaxCred&amp;Subs'!$E$114:$E$121,0))</f>
        <v>0</v>
      </c>
      <c r="R886" s="143">
        <v>0</v>
      </c>
      <c r="S886" s="5">
        <v>1</v>
      </c>
      <c r="T886" s="5" t="s">
        <v>219</v>
      </c>
      <c r="V886" s="7" t="str">
        <f t="array" ref="V886">INDEX(xlRTCLNAME,MATCH(1,(xlRTCLENDU=1)*(xlRTCLEQCL=$D886),0))</f>
        <v>NG_FA</v>
      </c>
      <c r="W886" s="7" t="str">
        <f t="array" ref="W886">INDEX(xlRTCLNAME,MATCH(1,(xlRTCLENDU=2)*(xlRTCLEQCL=$F886),0))</f>
        <v>CENT_AIR</v>
      </c>
      <c r="X886" s="7" t="str">
        <f t="array" ref="X886">INDEX(xlRTTYNAME,MATCH(1,(xlRTTYENDU=1)*(xlRTTYEQCL=$D886)*(xlRTEQTYPE=$E886),0))</f>
        <v>NG_FA1</v>
      </c>
      <c r="Y886" s="7" t="str">
        <f t="array" ref="Y886">INDEX(xlRTTYNAME,MATCH(1,(xlRTTYENDU=2)*(xlRTTYEQCL=$F886)*(xlRTEQTYPE=$G886),0))</f>
        <v>CENT_AIR1</v>
      </c>
    </row>
    <row r="887" spans="2:25" ht="14.25" customHeight="1" x14ac:dyDescent="0.2">
      <c r="B887" s="5">
        <v>2</v>
      </c>
      <c r="C887" s="5">
        <v>2</v>
      </c>
      <c r="D887" s="5">
        <v>3</v>
      </c>
      <c r="E887" s="5">
        <v>6</v>
      </c>
      <c r="F887" s="5">
        <v>2</v>
      </c>
      <c r="G887" s="31">
        <v>4</v>
      </c>
      <c r="H887" s="31">
        <v>2020</v>
      </c>
      <c r="I887" s="96">
        <v>2050</v>
      </c>
      <c r="J887" s="142">
        <v>1.0847</v>
      </c>
      <c r="K887" s="142">
        <v>1.0357000000000001</v>
      </c>
      <c r="L887" s="142">
        <v>1.3448</v>
      </c>
      <c r="M887" s="142">
        <v>1.2250000000000001</v>
      </c>
      <c r="N887" s="142">
        <v>1.1162000000000001</v>
      </c>
      <c r="O887" s="142">
        <v>1.0538000000000001</v>
      </c>
      <c r="P887" s="26">
        <v>0</v>
      </c>
      <c r="Q887" s="35">
        <f t="array" ref="Q887">SUM(IF(($S887&gt;=4)*($C887='TaxCred&amp;Subs'!$D$114:$D$121)*($H887='TaxCred&amp;Subs'!$C$114:$C$121)*($H887&lt;='TaxCred&amp;Subs'!$C$123),'TaxCred&amp;Subs'!$E$114:$E$121,0))</f>
        <v>0</v>
      </c>
      <c r="R887" s="143">
        <v>0</v>
      </c>
      <c r="S887" s="5">
        <v>1</v>
      </c>
      <c r="T887" s="5" t="s">
        <v>219</v>
      </c>
      <c r="V887" s="7" t="str">
        <f t="array" ref="V887">INDEX(xlRTCLNAME,MATCH(1,(xlRTCLENDU=1)*(xlRTCLEQCL=$D887),0))</f>
        <v>NG_FA</v>
      </c>
      <c r="W887" s="7" t="str">
        <f t="array" ref="W887">INDEX(xlRTCLNAME,MATCH(1,(xlRTCLENDU=2)*(xlRTCLEQCL=$F887),0))</f>
        <v>CENT_AIR</v>
      </c>
      <c r="X887" s="7" t="str">
        <f t="array" ref="X887">INDEX(xlRTTYNAME,MATCH(1,(xlRTTYENDU=1)*(xlRTTYEQCL=$D887)*(xlRTEQTYPE=$E887),0))</f>
        <v>NG_FA1</v>
      </c>
      <c r="Y887" s="7" t="str">
        <f t="array" ref="Y887">INDEX(xlRTTYNAME,MATCH(1,(xlRTTYENDU=2)*(xlRTTYEQCL=$F887)*(xlRTEQTYPE=$G887),0))</f>
        <v>CENT_AIR1</v>
      </c>
    </row>
    <row r="888" spans="2:25" ht="14.25" customHeight="1" x14ac:dyDescent="0.2">
      <c r="B888" s="5">
        <v>3</v>
      </c>
      <c r="C888" s="5">
        <v>2</v>
      </c>
      <c r="D888" s="5">
        <v>3</v>
      </c>
      <c r="E888" s="5">
        <v>6</v>
      </c>
      <c r="F888" s="5">
        <v>2</v>
      </c>
      <c r="G888" s="31">
        <v>4</v>
      </c>
      <c r="H888" s="31">
        <v>2020</v>
      </c>
      <c r="I888" s="96">
        <v>2050</v>
      </c>
      <c r="J888" s="142">
        <v>1.0984</v>
      </c>
      <c r="K888" s="142">
        <v>1.0345</v>
      </c>
      <c r="L888" s="142">
        <v>1.1920999999999999</v>
      </c>
      <c r="M888" s="142">
        <v>1.1345000000000001</v>
      </c>
      <c r="N888" s="142">
        <v>1.0399</v>
      </c>
      <c r="O888" s="142">
        <v>1.0538000000000001</v>
      </c>
      <c r="P888" s="26">
        <v>0</v>
      </c>
      <c r="Q888" s="35">
        <f t="array" ref="Q888">SUM(IF(($S888&gt;=4)*($C888='TaxCred&amp;Subs'!$D$114:$D$121)*($H888='TaxCred&amp;Subs'!$C$114:$C$121)*($H888&lt;='TaxCred&amp;Subs'!$C$123),'TaxCred&amp;Subs'!$E$114:$E$121,0))</f>
        <v>0</v>
      </c>
      <c r="R888" s="143">
        <v>0</v>
      </c>
      <c r="S888" s="5">
        <v>1</v>
      </c>
      <c r="T888" s="5" t="s">
        <v>219</v>
      </c>
      <c r="V888" s="7" t="str">
        <f t="array" ref="V888">INDEX(xlRTCLNAME,MATCH(1,(xlRTCLENDU=1)*(xlRTCLEQCL=$D888),0))</f>
        <v>NG_FA</v>
      </c>
      <c r="W888" s="7" t="str">
        <f t="array" ref="W888">INDEX(xlRTCLNAME,MATCH(1,(xlRTCLENDU=2)*(xlRTCLEQCL=$F888),0))</f>
        <v>CENT_AIR</v>
      </c>
      <c r="X888" s="7" t="str">
        <f t="array" ref="X888">INDEX(xlRTTYNAME,MATCH(1,(xlRTTYENDU=1)*(xlRTTYEQCL=$D888)*(xlRTEQTYPE=$E888),0))</f>
        <v>NG_FA1</v>
      </c>
      <c r="Y888" s="7" t="str">
        <f t="array" ref="Y888">INDEX(xlRTTYNAME,MATCH(1,(xlRTTYENDU=2)*(xlRTTYEQCL=$F888)*(xlRTEQTYPE=$G888),0))</f>
        <v>CENT_AIR1</v>
      </c>
    </row>
    <row r="889" spans="2:25" ht="14.25" customHeight="1" x14ac:dyDescent="0.2">
      <c r="B889" s="5">
        <v>4</v>
      </c>
      <c r="C889" s="5">
        <v>2</v>
      </c>
      <c r="D889" s="5">
        <v>3</v>
      </c>
      <c r="E889" s="5">
        <v>6</v>
      </c>
      <c r="F889" s="5">
        <v>2</v>
      </c>
      <c r="G889" s="31">
        <v>4</v>
      </c>
      <c r="H889" s="31">
        <v>2020</v>
      </c>
      <c r="I889" s="96">
        <v>2050</v>
      </c>
      <c r="J889" s="142">
        <v>1.1000000000000001</v>
      </c>
      <c r="K889" s="142">
        <v>1.0435000000000001</v>
      </c>
      <c r="L889" s="142">
        <v>1.4516</v>
      </c>
      <c r="M889" s="142">
        <v>1.2250000000000001</v>
      </c>
      <c r="N889" s="142">
        <v>1.1696</v>
      </c>
      <c r="O889" s="142">
        <v>1.0538000000000001</v>
      </c>
      <c r="P889" s="26">
        <v>0</v>
      </c>
      <c r="Q889" s="35">
        <f t="array" ref="Q889">SUM(IF(($S889&gt;=4)*($C889='TaxCred&amp;Subs'!$D$114:$D$121)*($H889='TaxCred&amp;Subs'!$C$114:$C$121)*($H889&lt;='TaxCred&amp;Subs'!$C$123),'TaxCred&amp;Subs'!$E$114:$E$121,0))</f>
        <v>0</v>
      </c>
      <c r="R889" s="143">
        <v>0</v>
      </c>
      <c r="S889" s="5">
        <v>1</v>
      </c>
      <c r="T889" s="5" t="s">
        <v>219</v>
      </c>
      <c r="V889" s="7" t="str">
        <f t="array" ref="V889">INDEX(xlRTCLNAME,MATCH(1,(xlRTCLENDU=1)*(xlRTCLEQCL=$D889),0))</f>
        <v>NG_FA</v>
      </c>
      <c r="W889" s="7" t="str">
        <f t="array" ref="W889">INDEX(xlRTCLNAME,MATCH(1,(xlRTCLENDU=2)*(xlRTCLEQCL=$F889),0))</f>
        <v>CENT_AIR</v>
      </c>
      <c r="X889" s="7" t="str">
        <f t="array" ref="X889">INDEX(xlRTTYNAME,MATCH(1,(xlRTTYENDU=1)*(xlRTTYEQCL=$D889)*(xlRTEQTYPE=$E889),0))</f>
        <v>NG_FA1</v>
      </c>
      <c r="Y889" s="7" t="str">
        <f t="array" ref="Y889">INDEX(xlRTTYNAME,MATCH(1,(xlRTTYENDU=2)*(xlRTTYEQCL=$F889)*(xlRTEQTYPE=$G889),0))</f>
        <v>CENT_AIR1</v>
      </c>
    </row>
    <row r="890" spans="2:25" ht="14.25" customHeight="1" x14ac:dyDescent="0.2">
      <c r="B890" s="5">
        <v>5</v>
      </c>
      <c r="C890" s="5">
        <v>2</v>
      </c>
      <c r="D890" s="5">
        <v>3</v>
      </c>
      <c r="E890" s="5">
        <v>6</v>
      </c>
      <c r="F890" s="5">
        <v>2</v>
      </c>
      <c r="G890" s="31">
        <v>4</v>
      </c>
      <c r="H890" s="31">
        <v>2020</v>
      </c>
      <c r="I890" s="96">
        <v>2050</v>
      </c>
      <c r="J890" s="142">
        <v>1.1200000000000001</v>
      </c>
      <c r="K890" s="142">
        <v>1.0391999999999999</v>
      </c>
      <c r="L890" s="142">
        <v>1.6626000000000001</v>
      </c>
      <c r="M890" s="142">
        <v>1.1687000000000001</v>
      </c>
      <c r="N890" s="142">
        <v>1.2750999999999999</v>
      </c>
      <c r="O890" s="142">
        <v>1.0538000000000001</v>
      </c>
      <c r="P890" s="26">
        <v>0</v>
      </c>
      <c r="Q890" s="35">
        <f t="array" ref="Q890">SUM(IF(($S890&gt;=4)*($C890='TaxCred&amp;Subs'!$D$114:$D$121)*($H890='TaxCred&amp;Subs'!$C$114:$C$121)*($H890&lt;='TaxCred&amp;Subs'!$C$123),'TaxCred&amp;Subs'!$E$114:$E$121,0))</f>
        <v>0</v>
      </c>
      <c r="R890" s="143">
        <v>0</v>
      </c>
      <c r="S890" s="5">
        <v>1</v>
      </c>
      <c r="T890" s="5" t="s">
        <v>219</v>
      </c>
      <c r="V890" s="7" t="str">
        <f t="array" ref="V890">INDEX(xlRTCLNAME,MATCH(1,(xlRTCLENDU=1)*(xlRTCLEQCL=$D890),0))</f>
        <v>NG_FA</v>
      </c>
      <c r="W890" s="7" t="str">
        <f t="array" ref="W890">INDEX(xlRTCLNAME,MATCH(1,(xlRTCLENDU=2)*(xlRTCLEQCL=$F890),0))</f>
        <v>CENT_AIR</v>
      </c>
      <c r="X890" s="7" t="str">
        <f t="array" ref="X890">INDEX(xlRTTYNAME,MATCH(1,(xlRTTYENDU=1)*(xlRTTYEQCL=$D890)*(xlRTEQTYPE=$E890),0))</f>
        <v>NG_FA1</v>
      </c>
      <c r="Y890" s="7" t="str">
        <f t="array" ref="Y890">INDEX(xlRTTYNAME,MATCH(1,(xlRTTYENDU=2)*(xlRTTYEQCL=$F890)*(xlRTEQTYPE=$G890),0))</f>
        <v>CENT_AIR1</v>
      </c>
    </row>
    <row r="891" spans="2:25" ht="14.25" customHeight="1" x14ac:dyDescent="0.2">
      <c r="B891" s="5">
        <v>6</v>
      </c>
      <c r="C891" s="5">
        <v>2</v>
      </c>
      <c r="D891" s="5">
        <v>3</v>
      </c>
      <c r="E891" s="5">
        <v>6</v>
      </c>
      <c r="F891" s="5">
        <v>2</v>
      </c>
      <c r="G891" s="31">
        <v>4</v>
      </c>
      <c r="H891" s="31">
        <v>2020</v>
      </c>
      <c r="I891" s="96">
        <v>2050</v>
      </c>
      <c r="J891" s="142">
        <v>1.1200000000000001</v>
      </c>
      <c r="K891" s="142">
        <v>1.03</v>
      </c>
      <c r="L891" s="142">
        <v>1.7771999999999999</v>
      </c>
      <c r="M891" s="142">
        <v>1.2250000000000001</v>
      </c>
      <c r="N891" s="142">
        <v>1.3324</v>
      </c>
      <c r="O891" s="142">
        <v>1.0538000000000001</v>
      </c>
      <c r="P891" s="26">
        <v>0</v>
      </c>
      <c r="Q891" s="35">
        <f t="array" ref="Q891">SUM(IF(($S891&gt;=4)*($C891='TaxCred&amp;Subs'!$D$114:$D$121)*($H891='TaxCred&amp;Subs'!$C$114:$C$121)*($H891&lt;='TaxCred&amp;Subs'!$C$123),'TaxCred&amp;Subs'!$E$114:$E$121,0))</f>
        <v>0</v>
      </c>
      <c r="R891" s="143">
        <v>0</v>
      </c>
      <c r="S891" s="5">
        <v>1</v>
      </c>
      <c r="T891" s="5" t="s">
        <v>219</v>
      </c>
      <c r="V891" s="7" t="str">
        <f t="array" ref="V891">INDEX(xlRTCLNAME,MATCH(1,(xlRTCLENDU=1)*(xlRTCLEQCL=$D891),0))</f>
        <v>NG_FA</v>
      </c>
      <c r="W891" s="7" t="str">
        <f t="array" ref="W891">INDEX(xlRTCLNAME,MATCH(1,(xlRTCLENDU=2)*(xlRTCLEQCL=$F891),0))</f>
        <v>CENT_AIR</v>
      </c>
      <c r="X891" s="7" t="str">
        <f t="array" ref="X891">INDEX(xlRTTYNAME,MATCH(1,(xlRTTYENDU=1)*(xlRTTYEQCL=$D891)*(xlRTEQTYPE=$E891),0))</f>
        <v>NG_FA1</v>
      </c>
      <c r="Y891" s="7" t="str">
        <f t="array" ref="Y891">INDEX(xlRTTYNAME,MATCH(1,(xlRTTYENDU=2)*(xlRTTYEQCL=$F891)*(xlRTEQTYPE=$G891),0))</f>
        <v>CENT_AIR1</v>
      </c>
    </row>
    <row r="892" spans="2:25" ht="14.25" customHeight="1" x14ac:dyDescent="0.2">
      <c r="B892" s="5">
        <v>7</v>
      </c>
      <c r="C892" s="5">
        <v>2</v>
      </c>
      <c r="D892" s="5">
        <v>3</v>
      </c>
      <c r="E892" s="5">
        <v>6</v>
      </c>
      <c r="F892" s="5">
        <v>2</v>
      </c>
      <c r="G892" s="31">
        <v>4</v>
      </c>
      <c r="H892" s="31">
        <v>2020</v>
      </c>
      <c r="I892" s="96">
        <v>2050</v>
      </c>
      <c r="J892" s="142">
        <v>1.1200000000000001</v>
      </c>
      <c r="K892" s="142">
        <v>1.0462</v>
      </c>
      <c r="L892" s="142">
        <v>2</v>
      </c>
      <c r="M892" s="142">
        <v>1.2121</v>
      </c>
      <c r="N892" s="142">
        <v>1.4438</v>
      </c>
      <c r="O892" s="142">
        <v>1.0538000000000001</v>
      </c>
      <c r="P892" s="26">
        <v>0</v>
      </c>
      <c r="Q892" s="35">
        <f t="array" ref="Q892">SUM(IF(($S892&gt;=4)*($C892='TaxCred&amp;Subs'!$D$114:$D$121)*($H892='TaxCred&amp;Subs'!$C$114:$C$121)*($H892&lt;='TaxCred&amp;Subs'!$C$123),'TaxCred&amp;Subs'!$E$114:$E$121,0))</f>
        <v>0</v>
      </c>
      <c r="R892" s="143">
        <v>0</v>
      </c>
      <c r="S892" s="5">
        <v>1</v>
      </c>
      <c r="T892" s="5" t="s">
        <v>219</v>
      </c>
      <c r="V892" s="7" t="str">
        <f t="array" ref="V892">INDEX(xlRTCLNAME,MATCH(1,(xlRTCLENDU=1)*(xlRTCLEQCL=$D892),0))</f>
        <v>NG_FA</v>
      </c>
      <c r="W892" s="7" t="str">
        <f t="array" ref="W892">INDEX(xlRTCLNAME,MATCH(1,(xlRTCLENDU=2)*(xlRTCLEQCL=$F892),0))</f>
        <v>CENT_AIR</v>
      </c>
      <c r="X892" s="7" t="str">
        <f t="array" ref="X892">INDEX(xlRTTYNAME,MATCH(1,(xlRTTYENDU=1)*(xlRTTYEQCL=$D892)*(xlRTEQTYPE=$E892),0))</f>
        <v>NG_FA1</v>
      </c>
      <c r="Y892" s="7" t="str">
        <f t="array" ref="Y892">INDEX(xlRTTYNAME,MATCH(1,(xlRTTYENDU=2)*(xlRTTYEQCL=$F892)*(xlRTEQTYPE=$G892),0))</f>
        <v>CENT_AIR1</v>
      </c>
    </row>
    <row r="893" spans="2:25" ht="14.25" customHeight="1" x14ac:dyDescent="0.2">
      <c r="B893" s="5">
        <v>8</v>
      </c>
      <c r="C893" s="5">
        <v>2</v>
      </c>
      <c r="D893" s="5">
        <v>3</v>
      </c>
      <c r="E893" s="5">
        <v>6</v>
      </c>
      <c r="F893" s="5">
        <v>2</v>
      </c>
      <c r="G893" s="31">
        <v>4</v>
      </c>
      <c r="H893" s="31">
        <v>2020</v>
      </c>
      <c r="I893" s="96">
        <v>2050</v>
      </c>
      <c r="J893" s="142">
        <v>1.0932999999999999</v>
      </c>
      <c r="K893" s="142">
        <v>1.0323</v>
      </c>
      <c r="L893" s="142">
        <v>1.6819</v>
      </c>
      <c r="M893" s="142">
        <v>1.3391999999999999</v>
      </c>
      <c r="N893" s="142">
        <v>1.2847999999999999</v>
      </c>
      <c r="O893" s="142">
        <v>1.0538000000000001</v>
      </c>
      <c r="P893" s="26">
        <v>0</v>
      </c>
      <c r="Q893" s="35">
        <f t="array" ref="Q893">SUM(IF(($S893&gt;=4)*($C893='TaxCred&amp;Subs'!$D$114:$D$121)*($H893='TaxCred&amp;Subs'!$C$114:$C$121)*($H893&lt;='TaxCred&amp;Subs'!$C$123),'TaxCred&amp;Subs'!$E$114:$E$121,0))</f>
        <v>0</v>
      </c>
      <c r="R893" s="143">
        <v>0</v>
      </c>
      <c r="S893" s="5">
        <v>1</v>
      </c>
      <c r="T893" s="5" t="s">
        <v>219</v>
      </c>
      <c r="V893" s="7" t="str">
        <f t="array" ref="V893">INDEX(xlRTCLNAME,MATCH(1,(xlRTCLENDU=1)*(xlRTCLEQCL=$D893),0))</f>
        <v>NG_FA</v>
      </c>
      <c r="W893" s="7" t="str">
        <f t="array" ref="W893">INDEX(xlRTCLNAME,MATCH(1,(xlRTCLENDU=2)*(xlRTCLEQCL=$F893),0))</f>
        <v>CENT_AIR</v>
      </c>
      <c r="X893" s="7" t="str">
        <f t="array" ref="X893">INDEX(xlRTTYNAME,MATCH(1,(xlRTTYENDU=1)*(xlRTTYEQCL=$D893)*(xlRTEQTYPE=$E893),0))</f>
        <v>NG_FA1</v>
      </c>
      <c r="Y893" s="7" t="str">
        <f t="array" ref="Y893">INDEX(xlRTTYNAME,MATCH(1,(xlRTTYENDU=2)*(xlRTTYEQCL=$F893)*(xlRTEQTYPE=$G893),0))</f>
        <v>CENT_AIR1</v>
      </c>
    </row>
    <row r="894" spans="2:25" ht="14.25" customHeight="1" x14ac:dyDescent="0.2">
      <c r="B894" s="5">
        <v>9</v>
      </c>
      <c r="C894" s="5">
        <v>2</v>
      </c>
      <c r="D894" s="5">
        <v>3</v>
      </c>
      <c r="E894" s="5">
        <v>6</v>
      </c>
      <c r="F894" s="5">
        <v>2</v>
      </c>
      <c r="G894" s="31">
        <v>4</v>
      </c>
      <c r="H894" s="31">
        <v>2020</v>
      </c>
      <c r="I894" s="96">
        <v>2050</v>
      </c>
      <c r="J894" s="142">
        <v>1.07</v>
      </c>
      <c r="K894" s="142">
        <v>1.0541</v>
      </c>
      <c r="L894" s="142">
        <v>2</v>
      </c>
      <c r="M894" s="142">
        <v>1.2834000000000001</v>
      </c>
      <c r="N894" s="142">
        <v>1.4438</v>
      </c>
      <c r="O894" s="142">
        <v>1.0538000000000001</v>
      </c>
      <c r="P894" s="26">
        <v>0</v>
      </c>
      <c r="Q894" s="35">
        <f t="array" ref="Q894">SUM(IF(($S894&gt;=4)*($C894='TaxCred&amp;Subs'!$D$114:$D$121)*($H894='TaxCred&amp;Subs'!$C$114:$C$121)*($H894&lt;='TaxCred&amp;Subs'!$C$123),'TaxCred&amp;Subs'!$E$114:$E$121,0))</f>
        <v>0</v>
      </c>
      <c r="R894" s="143">
        <v>0</v>
      </c>
      <c r="S894" s="5">
        <v>1</v>
      </c>
      <c r="T894" s="5" t="s">
        <v>219</v>
      </c>
      <c r="V894" s="7" t="str">
        <f t="array" ref="V894">INDEX(xlRTCLNAME,MATCH(1,(xlRTCLENDU=1)*(xlRTCLEQCL=$D894),0))</f>
        <v>NG_FA</v>
      </c>
      <c r="W894" s="7" t="str">
        <f t="array" ref="W894">INDEX(xlRTCLNAME,MATCH(1,(xlRTCLENDU=2)*(xlRTCLEQCL=$F894),0))</f>
        <v>CENT_AIR</v>
      </c>
      <c r="X894" s="7" t="str">
        <f t="array" ref="X894">INDEX(xlRTTYNAME,MATCH(1,(xlRTTYENDU=1)*(xlRTTYEQCL=$D894)*(xlRTEQTYPE=$E894),0))</f>
        <v>NG_FA1</v>
      </c>
      <c r="Y894" s="7" t="str">
        <f t="array" ref="Y894">INDEX(xlRTTYNAME,MATCH(1,(xlRTTYENDU=2)*(xlRTTYEQCL=$F894)*(xlRTEQTYPE=$G894),0))</f>
        <v>CENT_AIR1</v>
      </c>
    </row>
    <row r="895" spans="2:25" ht="14.25" customHeight="1" x14ac:dyDescent="0.2">
      <c r="B895" s="5">
        <v>1</v>
      </c>
      <c r="C895" s="5">
        <v>2</v>
      </c>
      <c r="D895" s="5">
        <v>4</v>
      </c>
      <c r="E895" s="5">
        <v>10</v>
      </c>
      <c r="F895" s="5">
        <v>2</v>
      </c>
      <c r="G895" s="31">
        <v>4</v>
      </c>
      <c r="H895" s="31">
        <v>2020</v>
      </c>
      <c r="I895" s="96">
        <v>2050</v>
      </c>
      <c r="J895" s="142">
        <v>1.0864</v>
      </c>
      <c r="K895" s="142">
        <v>1.0417000000000001</v>
      </c>
      <c r="L895" s="142">
        <v>1.3438000000000001</v>
      </c>
      <c r="M895" s="142">
        <v>1.1909000000000001</v>
      </c>
      <c r="N895" s="142">
        <v>1.1156999999999999</v>
      </c>
      <c r="O895" s="142">
        <v>1.0538000000000001</v>
      </c>
      <c r="P895" s="26">
        <v>0</v>
      </c>
      <c r="Q895" s="35">
        <f t="array" ref="Q895">SUM(IF(($S895&gt;=4)*($C895='TaxCred&amp;Subs'!$D$114:$D$121)*($H895='TaxCred&amp;Subs'!$C$114:$C$121)*($H895&lt;='TaxCred&amp;Subs'!$C$123),'TaxCred&amp;Subs'!$E$114:$E$121,0))</f>
        <v>0</v>
      </c>
      <c r="R895" s="143">
        <v>0</v>
      </c>
      <c r="S895" s="5">
        <v>1</v>
      </c>
      <c r="T895" s="5" t="s">
        <v>219</v>
      </c>
      <c r="V895" s="7" t="str">
        <f t="array" ref="V895">INDEX(xlRTCLNAME,MATCH(1,(xlRTCLENDU=1)*(xlRTCLEQCL=$D895),0))</f>
        <v>NG_RAD</v>
      </c>
      <c r="W895" s="7" t="str">
        <f t="array" ref="W895">INDEX(xlRTCLNAME,MATCH(1,(xlRTCLENDU=2)*(xlRTCLEQCL=$F895),0))</f>
        <v>CENT_AIR</v>
      </c>
      <c r="X895" s="7" t="str">
        <f t="array" ref="X895">INDEX(xlRTTYNAME,MATCH(1,(xlRTTYENDU=1)*(xlRTTYEQCL=$D895)*(xlRTEQTYPE=$E895),0))</f>
        <v>NG_RAD1</v>
      </c>
      <c r="Y895" s="7" t="str">
        <f t="array" ref="Y895">INDEX(xlRTTYNAME,MATCH(1,(xlRTTYENDU=2)*(xlRTTYEQCL=$F895)*(xlRTEQTYPE=$G895),0))</f>
        <v>CENT_AIR1</v>
      </c>
    </row>
    <row r="896" spans="2:25" ht="14.25" customHeight="1" x14ac:dyDescent="0.2">
      <c r="B896" s="5">
        <v>2</v>
      </c>
      <c r="C896" s="5">
        <v>2</v>
      </c>
      <c r="D896" s="5">
        <v>4</v>
      </c>
      <c r="E896" s="5">
        <v>10</v>
      </c>
      <c r="F896" s="5">
        <v>2</v>
      </c>
      <c r="G896" s="31">
        <v>4</v>
      </c>
      <c r="H896" s="31">
        <v>2020</v>
      </c>
      <c r="I896" s="96">
        <v>2050</v>
      </c>
      <c r="J896" s="142">
        <v>1.0891</v>
      </c>
      <c r="K896" s="142">
        <v>1.0713999999999999</v>
      </c>
      <c r="L896" s="142">
        <v>1.3633999999999999</v>
      </c>
      <c r="M896" s="142">
        <v>1.2250000000000001</v>
      </c>
      <c r="N896" s="142">
        <v>1.1254999999999999</v>
      </c>
      <c r="O896" s="142">
        <v>1.0538000000000001</v>
      </c>
      <c r="P896" s="26">
        <v>0</v>
      </c>
      <c r="Q896" s="35">
        <f t="array" ref="Q896">SUM(IF(($S896&gt;=4)*($C896='TaxCred&amp;Subs'!$D$114:$D$121)*($H896='TaxCred&amp;Subs'!$C$114:$C$121)*($H896&lt;='TaxCred&amp;Subs'!$C$123),'TaxCred&amp;Subs'!$E$114:$E$121,0))</f>
        <v>0</v>
      </c>
      <c r="R896" s="143">
        <v>0</v>
      </c>
      <c r="S896" s="5">
        <v>1</v>
      </c>
      <c r="T896" s="5" t="s">
        <v>219</v>
      </c>
      <c r="V896" s="7" t="str">
        <f t="array" ref="V896">INDEX(xlRTCLNAME,MATCH(1,(xlRTCLENDU=1)*(xlRTCLEQCL=$D896),0))</f>
        <v>NG_RAD</v>
      </c>
      <c r="W896" s="7" t="str">
        <f t="array" ref="W896">INDEX(xlRTCLNAME,MATCH(1,(xlRTCLENDU=2)*(xlRTCLEQCL=$F896),0))</f>
        <v>CENT_AIR</v>
      </c>
      <c r="X896" s="7" t="str">
        <f t="array" ref="X896">INDEX(xlRTTYNAME,MATCH(1,(xlRTTYENDU=1)*(xlRTTYEQCL=$D896)*(xlRTEQTYPE=$E896),0))</f>
        <v>NG_RAD1</v>
      </c>
      <c r="Y896" s="7" t="str">
        <f t="array" ref="Y896">INDEX(xlRTTYNAME,MATCH(1,(xlRTTYENDU=2)*(xlRTTYEQCL=$F896)*(xlRTEQTYPE=$G896),0))</f>
        <v>CENT_AIR1</v>
      </c>
    </row>
    <row r="897" spans="2:25" ht="14.25" customHeight="1" x14ac:dyDescent="0.2">
      <c r="B897" s="5">
        <v>3</v>
      </c>
      <c r="C897" s="5">
        <v>2</v>
      </c>
      <c r="D897" s="5">
        <v>4</v>
      </c>
      <c r="E897" s="5">
        <v>10</v>
      </c>
      <c r="F897" s="5">
        <v>2</v>
      </c>
      <c r="G897" s="31">
        <v>4</v>
      </c>
      <c r="H897" s="31">
        <v>2020</v>
      </c>
      <c r="I897" s="96">
        <v>2050</v>
      </c>
      <c r="J897" s="142">
        <v>1.0962000000000001</v>
      </c>
      <c r="K897" s="142">
        <v>1.0345</v>
      </c>
      <c r="L897" s="142">
        <v>1.1958</v>
      </c>
      <c r="M897" s="142">
        <v>1.1345000000000001</v>
      </c>
      <c r="N897" s="142">
        <v>1.0417000000000001</v>
      </c>
      <c r="O897" s="142">
        <v>1.0538000000000001</v>
      </c>
      <c r="P897" s="26">
        <v>0</v>
      </c>
      <c r="Q897" s="35">
        <f t="array" ref="Q897">SUM(IF(($S897&gt;=4)*($C897='TaxCred&amp;Subs'!$D$114:$D$121)*($H897='TaxCred&amp;Subs'!$C$114:$C$121)*($H897&lt;='TaxCred&amp;Subs'!$C$123),'TaxCred&amp;Subs'!$E$114:$E$121,0))</f>
        <v>0</v>
      </c>
      <c r="R897" s="143">
        <v>0</v>
      </c>
      <c r="S897" s="5">
        <v>1</v>
      </c>
      <c r="T897" s="5" t="s">
        <v>219</v>
      </c>
      <c r="V897" s="7" t="str">
        <f t="array" ref="V897">INDEX(xlRTCLNAME,MATCH(1,(xlRTCLENDU=1)*(xlRTCLEQCL=$D897),0))</f>
        <v>NG_RAD</v>
      </c>
      <c r="W897" s="7" t="str">
        <f t="array" ref="W897">INDEX(xlRTCLNAME,MATCH(1,(xlRTCLENDU=2)*(xlRTCLEQCL=$F897),0))</f>
        <v>CENT_AIR</v>
      </c>
      <c r="X897" s="7" t="str">
        <f t="array" ref="X897">INDEX(xlRTTYNAME,MATCH(1,(xlRTTYENDU=1)*(xlRTTYEQCL=$D897)*(xlRTEQTYPE=$E897),0))</f>
        <v>NG_RAD1</v>
      </c>
      <c r="Y897" s="7" t="str">
        <f t="array" ref="Y897">INDEX(xlRTTYNAME,MATCH(1,(xlRTTYENDU=2)*(xlRTTYEQCL=$F897)*(xlRTEQTYPE=$G897),0))</f>
        <v>CENT_AIR1</v>
      </c>
    </row>
    <row r="898" spans="2:25" ht="14.25" customHeight="1" x14ac:dyDescent="0.2">
      <c r="B898" s="5">
        <v>4</v>
      </c>
      <c r="C898" s="5">
        <v>2</v>
      </c>
      <c r="D898" s="5">
        <v>4</v>
      </c>
      <c r="E898" s="5">
        <v>10</v>
      </c>
      <c r="F898" s="5">
        <v>2</v>
      </c>
      <c r="G898" s="31">
        <v>4</v>
      </c>
      <c r="H898" s="31">
        <v>2020</v>
      </c>
      <c r="I898" s="96">
        <v>2050</v>
      </c>
      <c r="J898" s="142">
        <v>1.1024</v>
      </c>
      <c r="K898" s="142">
        <v>1.0435000000000001</v>
      </c>
      <c r="L898" s="142">
        <v>1.4481999999999999</v>
      </c>
      <c r="M898" s="142">
        <v>1.2250000000000001</v>
      </c>
      <c r="N898" s="142">
        <v>1.1678999999999999</v>
      </c>
      <c r="O898" s="142">
        <v>1.0538000000000001</v>
      </c>
      <c r="P898" s="26">
        <v>0</v>
      </c>
      <c r="Q898" s="35">
        <f t="array" ref="Q898">SUM(IF(($S898&gt;=4)*($C898='TaxCred&amp;Subs'!$D$114:$D$121)*($H898='TaxCred&amp;Subs'!$C$114:$C$121)*($H898&lt;='TaxCred&amp;Subs'!$C$123),'TaxCred&amp;Subs'!$E$114:$E$121,0))</f>
        <v>0</v>
      </c>
      <c r="R898" s="143">
        <v>0</v>
      </c>
      <c r="S898" s="5">
        <v>1</v>
      </c>
      <c r="T898" s="5" t="s">
        <v>219</v>
      </c>
      <c r="V898" s="7" t="str">
        <f t="array" ref="V898">INDEX(xlRTCLNAME,MATCH(1,(xlRTCLENDU=1)*(xlRTCLEQCL=$D898),0))</f>
        <v>NG_RAD</v>
      </c>
      <c r="W898" s="7" t="str">
        <f t="array" ref="W898">INDEX(xlRTCLNAME,MATCH(1,(xlRTCLENDU=2)*(xlRTCLEQCL=$F898),0))</f>
        <v>CENT_AIR</v>
      </c>
      <c r="X898" s="7" t="str">
        <f t="array" ref="X898">INDEX(xlRTTYNAME,MATCH(1,(xlRTTYENDU=1)*(xlRTTYEQCL=$D898)*(xlRTEQTYPE=$E898),0))</f>
        <v>NG_RAD1</v>
      </c>
      <c r="Y898" s="7" t="str">
        <f t="array" ref="Y898">INDEX(xlRTTYNAME,MATCH(1,(xlRTTYENDU=2)*(xlRTTYEQCL=$F898)*(xlRTEQTYPE=$G898),0))</f>
        <v>CENT_AIR1</v>
      </c>
    </row>
    <row r="899" spans="2:25" ht="14.25" customHeight="1" x14ac:dyDescent="0.2">
      <c r="B899" s="5">
        <v>5</v>
      </c>
      <c r="C899" s="5">
        <v>2</v>
      </c>
      <c r="D899" s="5">
        <v>4</v>
      </c>
      <c r="E899" s="5">
        <v>10</v>
      </c>
      <c r="F899" s="5">
        <v>2</v>
      </c>
      <c r="G899" s="31">
        <v>4</v>
      </c>
      <c r="H899" s="31">
        <v>2020</v>
      </c>
      <c r="I899" s="96">
        <v>2050</v>
      </c>
      <c r="J899" s="142">
        <v>1.03</v>
      </c>
      <c r="K899" s="142">
        <v>1.03</v>
      </c>
      <c r="L899" s="142">
        <v>1.7131000000000001</v>
      </c>
      <c r="M899" s="142">
        <v>1.1687000000000001</v>
      </c>
      <c r="N899" s="142">
        <v>1.3003</v>
      </c>
      <c r="O899" s="142">
        <v>1.0538000000000001</v>
      </c>
      <c r="P899" s="26">
        <v>0</v>
      </c>
      <c r="Q899" s="35">
        <f t="array" ref="Q899">SUM(IF(($S899&gt;=4)*($C899='TaxCred&amp;Subs'!$D$114:$D$121)*($H899='TaxCred&amp;Subs'!$C$114:$C$121)*($H899&lt;='TaxCred&amp;Subs'!$C$123),'TaxCred&amp;Subs'!$E$114:$E$121,0))</f>
        <v>0</v>
      </c>
      <c r="R899" s="143">
        <v>0</v>
      </c>
      <c r="S899" s="5">
        <v>1</v>
      </c>
      <c r="T899" s="5" t="s">
        <v>219</v>
      </c>
      <c r="V899" s="7" t="str">
        <f t="array" ref="V899">INDEX(xlRTCLNAME,MATCH(1,(xlRTCLENDU=1)*(xlRTCLEQCL=$D899),0))</f>
        <v>NG_RAD</v>
      </c>
      <c r="W899" s="7" t="str">
        <f t="array" ref="W899">INDEX(xlRTCLNAME,MATCH(1,(xlRTCLENDU=2)*(xlRTCLEQCL=$F899),0))</f>
        <v>CENT_AIR</v>
      </c>
      <c r="X899" s="7" t="str">
        <f t="array" ref="X899">INDEX(xlRTTYNAME,MATCH(1,(xlRTTYENDU=1)*(xlRTTYEQCL=$D899)*(xlRTEQTYPE=$E899),0))</f>
        <v>NG_RAD1</v>
      </c>
      <c r="Y899" s="7" t="str">
        <f t="array" ref="Y899">INDEX(xlRTTYNAME,MATCH(1,(xlRTTYENDU=2)*(xlRTTYEQCL=$F899)*(xlRTEQTYPE=$G899),0))</f>
        <v>CENT_AIR1</v>
      </c>
    </row>
    <row r="900" spans="2:25" ht="14.25" customHeight="1" x14ac:dyDescent="0.2">
      <c r="B900" s="5">
        <v>6</v>
      </c>
      <c r="C900" s="5">
        <v>2</v>
      </c>
      <c r="D900" s="5">
        <v>4</v>
      </c>
      <c r="E900" s="5">
        <v>10</v>
      </c>
      <c r="F900" s="5">
        <v>2</v>
      </c>
      <c r="G900" s="31">
        <v>4</v>
      </c>
      <c r="H900" s="31">
        <v>2020</v>
      </c>
      <c r="I900" s="96">
        <v>2050</v>
      </c>
      <c r="J900" s="142">
        <v>1.1200000000000001</v>
      </c>
      <c r="K900" s="142">
        <v>1.0417000000000001</v>
      </c>
      <c r="L900" s="142">
        <v>1.8438000000000001</v>
      </c>
      <c r="M900" s="142">
        <v>1.2250000000000001</v>
      </c>
      <c r="N900" s="142">
        <v>1.3656999999999999</v>
      </c>
      <c r="O900" s="142">
        <v>1.0538000000000001</v>
      </c>
      <c r="P900" s="26">
        <v>0</v>
      </c>
      <c r="Q900" s="35">
        <f t="array" ref="Q900">SUM(IF(($S900&gt;=4)*($C900='TaxCred&amp;Subs'!$D$114:$D$121)*($H900='TaxCred&amp;Subs'!$C$114:$C$121)*($H900&lt;='TaxCred&amp;Subs'!$C$123),'TaxCred&amp;Subs'!$E$114:$E$121,0))</f>
        <v>0</v>
      </c>
      <c r="R900" s="143">
        <v>0</v>
      </c>
      <c r="S900" s="5">
        <v>1</v>
      </c>
      <c r="T900" s="5" t="s">
        <v>219</v>
      </c>
      <c r="V900" s="7" t="str">
        <f t="array" ref="V900">INDEX(xlRTCLNAME,MATCH(1,(xlRTCLENDU=1)*(xlRTCLEQCL=$D900),0))</f>
        <v>NG_RAD</v>
      </c>
      <c r="W900" s="7" t="str">
        <f t="array" ref="W900">INDEX(xlRTCLNAME,MATCH(1,(xlRTCLENDU=2)*(xlRTCLEQCL=$F900),0))</f>
        <v>CENT_AIR</v>
      </c>
      <c r="X900" s="7" t="str">
        <f t="array" ref="X900">INDEX(xlRTTYNAME,MATCH(1,(xlRTTYENDU=1)*(xlRTTYEQCL=$D900)*(xlRTEQTYPE=$E900),0))</f>
        <v>NG_RAD1</v>
      </c>
      <c r="Y900" s="7" t="str">
        <f t="array" ref="Y900">INDEX(xlRTTYNAME,MATCH(1,(xlRTTYENDU=2)*(xlRTTYEQCL=$F900)*(xlRTEQTYPE=$G900),0))</f>
        <v>CENT_AIR1</v>
      </c>
    </row>
    <row r="901" spans="2:25" ht="14.25" customHeight="1" x14ac:dyDescent="0.2">
      <c r="B901" s="5">
        <v>7</v>
      </c>
      <c r="C901" s="5">
        <v>2</v>
      </c>
      <c r="D901" s="5">
        <v>4</v>
      </c>
      <c r="E901" s="5">
        <v>10</v>
      </c>
      <c r="F901" s="5">
        <v>2</v>
      </c>
      <c r="G901" s="31">
        <v>4</v>
      </c>
      <c r="H901" s="31">
        <v>2020</v>
      </c>
      <c r="I901" s="96">
        <v>2050</v>
      </c>
      <c r="J901" s="142">
        <v>1.1200000000000001</v>
      </c>
      <c r="K901" s="142">
        <v>1.0462</v>
      </c>
      <c r="L901" s="142">
        <v>2</v>
      </c>
      <c r="M901" s="142">
        <v>1.2121</v>
      </c>
      <c r="N901" s="142">
        <v>1.4438</v>
      </c>
      <c r="O901" s="142">
        <v>1.0538000000000001</v>
      </c>
      <c r="P901" s="26">
        <v>0</v>
      </c>
      <c r="Q901" s="35">
        <f t="array" ref="Q901">SUM(IF(($S901&gt;=4)*($C901='TaxCred&amp;Subs'!$D$114:$D$121)*($H901='TaxCred&amp;Subs'!$C$114:$C$121)*($H901&lt;='TaxCred&amp;Subs'!$C$123),'TaxCred&amp;Subs'!$E$114:$E$121,0))</f>
        <v>0</v>
      </c>
      <c r="R901" s="143">
        <v>0</v>
      </c>
      <c r="S901" s="5">
        <v>1</v>
      </c>
      <c r="T901" s="5" t="s">
        <v>219</v>
      </c>
      <c r="V901" s="7" t="str">
        <f t="array" ref="V901">INDEX(xlRTCLNAME,MATCH(1,(xlRTCLENDU=1)*(xlRTCLEQCL=$D901),0))</f>
        <v>NG_RAD</v>
      </c>
      <c r="W901" s="7" t="str">
        <f t="array" ref="W901">INDEX(xlRTCLNAME,MATCH(1,(xlRTCLENDU=2)*(xlRTCLEQCL=$F901),0))</f>
        <v>CENT_AIR</v>
      </c>
      <c r="X901" s="7" t="str">
        <f t="array" ref="X901">INDEX(xlRTTYNAME,MATCH(1,(xlRTTYENDU=1)*(xlRTTYEQCL=$D901)*(xlRTEQTYPE=$E901),0))</f>
        <v>NG_RAD1</v>
      </c>
      <c r="Y901" s="7" t="str">
        <f t="array" ref="Y901">INDEX(xlRTTYNAME,MATCH(1,(xlRTTYENDU=2)*(xlRTTYEQCL=$F901)*(xlRTEQTYPE=$G901),0))</f>
        <v>CENT_AIR1</v>
      </c>
    </row>
    <row r="902" spans="2:25" ht="14.25" customHeight="1" x14ac:dyDescent="0.2">
      <c r="B902" s="5">
        <v>8</v>
      </c>
      <c r="C902" s="5">
        <v>2</v>
      </c>
      <c r="D902" s="5">
        <v>4</v>
      </c>
      <c r="E902" s="5">
        <v>10</v>
      </c>
      <c r="F902" s="5">
        <v>2</v>
      </c>
      <c r="G902" s="31">
        <v>4</v>
      </c>
      <c r="H902" s="31">
        <v>2020</v>
      </c>
      <c r="I902" s="96">
        <v>2050</v>
      </c>
      <c r="J902" s="142">
        <v>1.1045</v>
      </c>
      <c r="K902" s="142">
        <v>1.0323</v>
      </c>
      <c r="L902" s="142">
        <v>1.6819</v>
      </c>
      <c r="M902" s="142">
        <v>1.3391999999999999</v>
      </c>
      <c r="N902" s="142">
        <v>1.2847999999999999</v>
      </c>
      <c r="O902" s="142">
        <v>1.0538000000000001</v>
      </c>
      <c r="P902" s="26">
        <v>0</v>
      </c>
      <c r="Q902" s="35">
        <f t="array" ref="Q902">SUM(IF(($S902&gt;=4)*($C902='TaxCred&amp;Subs'!$D$114:$D$121)*($H902='TaxCred&amp;Subs'!$C$114:$C$121)*($H902&lt;='TaxCred&amp;Subs'!$C$123),'TaxCred&amp;Subs'!$E$114:$E$121,0))</f>
        <v>0</v>
      </c>
      <c r="R902" s="143">
        <v>0</v>
      </c>
      <c r="S902" s="5">
        <v>1</v>
      </c>
      <c r="T902" s="5" t="s">
        <v>219</v>
      </c>
      <c r="V902" s="7" t="str">
        <f t="array" ref="V902">INDEX(xlRTCLNAME,MATCH(1,(xlRTCLENDU=1)*(xlRTCLEQCL=$D902),0))</f>
        <v>NG_RAD</v>
      </c>
      <c r="W902" s="7" t="str">
        <f t="array" ref="W902">INDEX(xlRTCLNAME,MATCH(1,(xlRTCLENDU=2)*(xlRTCLEQCL=$F902),0))</f>
        <v>CENT_AIR</v>
      </c>
      <c r="X902" s="7" t="str">
        <f t="array" ref="X902">INDEX(xlRTTYNAME,MATCH(1,(xlRTTYENDU=1)*(xlRTTYEQCL=$D902)*(xlRTEQTYPE=$E902),0))</f>
        <v>NG_RAD1</v>
      </c>
      <c r="Y902" s="7" t="str">
        <f t="array" ref="Y902">INDEX(xlRTTYNAME,MATCH(1,(xlRTTYENDU=2)*(xlRTTYEQCL=$F902)*(xlRTEQTYPE=$G902),0))</f>
        <v>CENT_AIR1</v>
      </c>
    </row>
    <row r="903" spans="2:25" ht="14.25" customHeight="1" x14ac:dyDescent="0.2">
      <c r="B903" s="5">
        <v>9</v>
      </c>
      <c r="C903" s="5">
        <v>2</v>
      </c>
      <c r="D903" s="5">
        <v>4</v>
      </c>
      <c r="E903" s="5">
        <v>10</v>
      </c>
      <c r="F903" s="5">
        <v>2</v>
      </c>
      <c r="G903" s="31">
        <v>4</v>
      </c>
      <c r="H903" s="31">
        <v>2020</v>
      </c>
      <c r="I903" s="96">
        <v>2050</v>
      </c>
      <c r="J903" s="142">
        <v>1.1200000000000001</v>
      </c>
      <c r="K903" s="142">
        <v>1.0541</v>
      </c>
      <c r="L903" s="142">
        <v>2</v>
      </c>
      <c r="M903" s="142">
        <v>1.2834000000000001</v>
      </c>
      <c r="N903" s="142">
        <v>1.4438</v>
      </c>
      <c r="O903" s="142">
        <v>1.0538000000000001</v>
      </c>
      <c r="P903" s="26">
        <v>0</v>
      </c>
      <c r="Q903" s="35">
        <f t="array" ref="Q903">SUM(IF(($S903&gt;=4)*($C903='TaxCred&amp;Subs'!$D$114:$D$121)*($H903='TaxCred&amp;Subs'!$C$114:$C$121)*($H903&lt;='TaxCred&amp;Subs'!$C$123),'TaxCred&amp;Subs'!$E$114:$E$121,0))</f>
        <v>0</v>
      </c>
      <c r="R903" s="143">
        <v>0</v>
      </c>
      <c r="S903" s="5">
        <v>1</v>
      </c>
      <c r="T903" s="5" t="s">
        <v>219</v>
      </c>
      <c r="V903" s="7" t="str">
        <f t="array" ref="V903">INDEX(xlRTCLNAME,MATCH(1,(xlRTCLENDU=1)*(xlRTCLEQCL=$D903),0))</f>
        <v>NG_RAD</v>
      </c>
      <c r="W903" s="7" t="str">
        <f t="array" ref="W903">INDEX(xlRTCLNAME,MATCH(1,(xlRTCLENDU=2)*(xlRTCLEQCL=$F903),0))</f>
        <v>CENT_AIR</v>
      </c>
      <c r="X903" s="7" t="str">
        <f t="array" ref="X903">INDEX(xlRTTYNAME,MATCH(1,(xlRTTYENDU=1)*(xlRTTYEQCL=$D903)*(xlRTEQTYPE=$E903),0))</f>
        <v>NG_RAD1</v>
      </c>
      <c r="Y903" s="7" t="str">
        <f t="array" ref="Y903">INDEX(xlRTTYNAME,MATCH(1,(xlRTTYENDU=2)*(xlRTTYEQCL=$F903)*(xlRTEQTYPE=$G903),0))</f>
        <v>CENT_AIR1</v>
      </c>
    </row>
    <row r="904" spans="2:25" ht="14.25" customHeight="1" x14ac:dyDescent="0.2">
      <c r="B904" s="29">
        <v>1</v>
      </c>
      <c r="C904" s="29">
        <v>2</v>
      </c>
      <c r="D904" s="29">
        <v>5</v>
      </c>
      <c r="E904" s="29">
        <v>14</v>
      </c>
      <c r="F904" s="29">
        <v>2</v>
      </c>
      <c r="G904" s="32">
        <v>4</v>
      </c>
      <c r="H904" s="32">
        <v>2020</v>
      </c>
      <c r="I904" s="96">
        <v>2050</v>
      </c>
      <c r="J904" s="144">
        <v>1.0956999999999999</v>
      </c>
      <c r="K904" s="144">
        <v>1.0417000000000001</v>
      </c>
      <c r="L904" s="144">
        <v>1.343</v>
      </c>
      <c r="M904" s="144">
        <v>1.1909000000000001</v>
      </c>
      <c r="N904" s="144">
        <v>1.1153</v>
      </c>
      <c r="O904" s="144">
        <v>1.0538000000000001</v>
      </c>
      <c r="P904" s="143">
        <v>0</v>
      </c>
      <c r="Q904" s="35">
        <f t="array" ref="Q904">SUM(IF(($S904&gt;=4)*($C904='TaxCred&amp;Subs'!$D$114:$D$121)*($H904='TaxCred&amp;Subs'!$C$114:$C$121)*($H904&lt;='TaxCred&amp;Subs'!$C$123),'TaxCred&amp;Subs'!$E$114:$E$121,0))</f>
        <v>0</v>
      </c>
      <c r="R904" s="143">
        <v>0</v>
      </c>
      <c r="S904" s="29">
        <v>1</v>
      </c>
      <c r="T904" s="29" t="s">
        <v>219</v>
      </c>
      <c r="U904" s="30" t="s">
        <v>227</v>
      </c>
      <c r="V904" s="7" t="str">
        <f t="array" ref="V904">INDEX(xlRTCLNAME,MATCH(1,(xlRTCLENDU=1)*(xlRTCLEQCL=$D904),0))</f>
        <v>KERO_FA</v>
      </c>
      <c r="W904" s="7" t="str">
        <f t="array" ref="W904">INDEX(xlRTCLNAME,MATCH(1,(xlRTCLENDU=2)*(xlRTCLEQCL=$F904),0))</f>
        <v>CENT_AIR</v>
      </c>
      <c r="X904" s="7" t="str">
        <f t="array" ref="X904">INDEX(xlRTTYNAME,MATCH(1,(xlRTTYENDU=1)*(xlRTTYEQCL=$D904)*(xlRTEQTYPE=$E904),0))</f>
        <v>KERO_FA1</v>
      </c>
      <c r="Y904" s="7" t="str">
        <f t="array" ref="Y904">INDEX(xlRTTYNAME,MATCH(1,(xlRTTYENDU=2)*(xlRTTYEQCL=$F904)*(xlRTEQTYPE=$G904),0))</f>
        <v>CENT_AIR1</v>
      </c>
    </row>
    <row r="905" spans="2:25" ht="14.25" customHeight="1" x14ac:dyDescent="0.2">
      <c r="B905" s="29">
        <v>2</v>
      </c>
      <c r="C905" s="29">
        <v>2</v>
      </c>
      <c r="D905" s="29">
        <v>5</v>
      </c>
      <c r="E905" s="29">
        <v>14</v>
      </c>
      <c r="F905" s="29">
        <v>2</v>
      </c>
      <c r="G905" s="32">
        <v>4</v>
      </c>
      <c r="H905" s="32">
        <v>2020</v>
      </c>
      <c r="I905" s="96">
        <v>2050</v>
      </c>
      <c r="J905" s="144">
        <v>1.1059000000000001</v>
      </c>
      <c r="K905" s="144">
        <v>1.0357000000000001</v>
      </c>
      <c r="L905" s="144">
        <v>1.3479000000000001</v>
      </c>
      <c r="M905" s="144">
        <v>1.2250000000000001</v>
      </c>
      <c r="N905" s="144">
        <v>1.1176999999999999</v>
      </c>
      <c r="O905" s="144">
        <v>1.0538000000000001</v>
      </c>
      <c r="P905" s="143">
        <v>0</v>
      </c>
      <c r="Q905" s="35">
        <f t="array" ref="Q905">SUM(IF(($S905&gt;=4)*($C905='TaxCred&amp;Subs'!$D$114:$D$121)*($H905='TaxCred&amp;Subs'!$C$114:$C$121)*($H905&lt;='TaxCred&amp;Subs'!$C$123),'TaxCred&amp;Subs'!$E$114:$E$121,0))</f>
        <v>0</v>
      </c>
      <c r="R905" s="143">
        <v>0</v>
      </c>
      <c r="S905" s="29">
        <v>1</v>
      </c>
      <c r="T905" s="29" t="s">
        <v>219</v>
      </c>
      <c r="U905" s="30" t="s">
        <v>227</v>
      </c>
      <c r="V905" s="7" t="str">
        <f t="array" ref="V905">INDEX(xlRTCLNAME,MATCH(1,(xlRTCLENDU=1)*(xlRTCLEQCL=$D905),0))</f>
        <v>KERO_FA</v>
      </c>
      <c r="W905" s="7" t="str">
        <f t="array" ref="W905">INDEX(xlRTCLNAME,MATCH(1,(xlRTCLENDU=2)*(xlRTCLEQCL=$F905),0))</f>
        <v>CENT_AIR</v>
      </c>
      <c r="X905" s="7" t="str">
        <f t="array" ref="X905">INDEX(xlRTTYNAME,MATCH(1,(xlRTTYENDU=1)*(xlRTTYEQCL=$D905)*(xlRTEQTYPE=$E905),0))</f>
        <v>KERO_FA1</v>
      </c>
      <c r="Y905" s="7" t="str">
        <f t="array" ref="Y905">INDEX(xlRTTYNAME,MATCH(1,(xlRTTYENDU=2)*(xlRTTYEQCL=$F905)*(xlRTEQTYPE=$G905),0))</f>
        <v>CENT_AIR1</v>
      </c>
    </row>
    <row r="906" spans="2:25" ht="14.25" customHeight="1" x14ac:dyDescent="0.2">
      <c r="B906" s="29">
        <v>3</v>
      </c>
      <c r="C906" s="29">
        <v>2</v>
      </c>
      <c r="D906" s="29">
        <v>5</v>
      </c>
      <c r="E906" s="29">
        <v>14</v>
      </c>
      <c r="F906" s="29">
        <v>2</v>
      </c>
      <c r="G906" s="32">
        <v>4</v>
      </c>
      <c r="H906" s="32">
        <v>2020</v>
      </c>
      <c r="I906" s="96">
        <v>2050</v>
      </c>
      <c r="J906" s="144">
        <v>1.099</v>
      </c>
      <c r="K906" s="144">
        <v>1.03</v>
      </c>
      <c r="L906" s="144">
        <v>1.1887000000000001</v>
      </c>
      <c r="M906" s="144">
        <v>1.1345000000000001</v>
      </c>
      <c r="N906" s="144">
        <v>1.0381</v>
      </c>
      <c r="O906" s="144">
        <v>1.0538000000000001</v>
      </c>
      <c r="P906" s="143">
        <v>0</v>
      </c>
      <c r="Q906" s="35">
        <f t="array" ref="Q906">SUM(IF(($S906&gt;=4)*($C906='TaxCred&amp;Subs'!$D$114:$D$121)*($H906='TaxCred&amp;Subs'!$C$114:$C$121)*($H906&lt;='TaxCred&amp;Subs'!$C$123),'TaxCred&amp;Subs'!$E$114:$E$121,0))</f>
        <v>0</v>
      </c>
      <c r="R906" s="143">
        <v>0</v>
      </c>
      <c r="S906" s="29">
        <v>1</v>
      </c>
      <c r="T906" s="29" t="s">
        <v>219</v>
      </c>
      <c r="U906" s="30" t="s">
        <v>227</v>
      </c>
      <c r="V906" s="7" t="str">
        <f t="array" ref="V906">INDEX(xlRTCLNAME,MATCH(1,(xlRTCLENDU=1)*(xlRTCLEQCL=$D906),0))</f>
        <v>KERO_FA</v>
      </c>
      <c r="W906" s="7" t="str">
        <f t="array" ref="W906">INDEX(xlRTCLNAME,MATCH(1,(xlRTCLENDU=2)*(xlRTCLEQCL=$F906),0))</f>
        <v>CENT_AIR</v>
      </c>
      <c r="X906" s="7" t="str">
        <f t="array" ref="X906">INDEX(xlRTTYNAME,MATCH(1,(xlRTTYENDU=1)*(xlRTTYEQCL=$D906)*(xlRTEQTYPE=$E906),0))</f>
        <v>KERO_FA1</v>
      </c>
      <c r="Y906" s="7" t="str">
        <f t="array" ref="Y906">INDEX(xlRTTYNAME,MATCH(1,(xlRTTYENDU=2)*(xlRTTYEQCL=$F906)*(xlRTEQTYPE=$G906),0))</f>
        <v>CENT_AIR1</v>
      </c>
    </row>
    <row r="907" spans="2:25" ht="14.25" customHeight="1" x14ac:dyDescent="0.2">
      <c r="B907" s="29">
        <v>4</v>
      </c>
      <c r="C907" s="29">
        <v>2</v>
      </c>
      <c r="D907" s="29">
        <v>5</v>
      </c>
      <c r="E907" s="29">
        <v>14</v>
      </c>
      <c r="F907" s="29">
        <v>2</v>
      </c>
      <c r="G907" s="32">
        <v>4</v>
      </c>
      <c r="H907" s="32">
        <v>2020</v>
      </c>
      <c r="I907" s="96">
        <v>2050</v>
      </c>
      <c r="J907" s="144">
        <v>1.0934999999999999</v>
      </c>
      <c r="K907" s="144">
        <v>1.0435000000000001</v>
      </c>
      <c r="L907" s="144">
        <v>1.4517</v>
      </c>
      <c r="M907" s="144">
        <v>1.2250000000000001</v>
      </c>
      <c r="N907" s="144">
        <v>1.1696</v>
      </c>
      <c r="O907" s="144">
        <v>1.0538000000000001</v>
      </c>
      <c r="P907" s="143">
        <v>0</v>
      </c>
      <c r="Q907" s="35">
        <f t="array" ref="Q907">SUM(IF(($S907&gt;=4)*($C907='TaxCred&amp;Subs'!$D$114:$D$121)*($H907='TaxCred&amp;Subs'!$C$114:$C$121)*($H907&lt;='TaxCred&amp;Subs'!$C$123),'TaxCred&amp;Subs'!$E$114:$E$121,0))</f>
        <v>0</v>
      </c>
      <c r="R907" s="143">
        <v>0</v>
      </c>
      <c r="S907" s="29">
        <v>1</v>
      </c>
      <c r="T907" s="29" t="s">
        <v>219</v>
      </c>
      <c r="U907" s="30" t="s">
        <v>227</v>
      </c>
      <c r="V907" s="7" t="str">
        <f t="array" ref="V907">INDEX(xlRTCLNAME,MATCH(1,(xlRTCLENDU=1)*(xlRTCLEQCL=$D907),0))</f>
        <v>KERO_FA</v>
      </c>
      <c r="W907" s="7" t="str">
        <f t="array" ref="W907">INDEX(xlRTCLNAME,MATCH(1,(xlRTCLENDU=2)*(xlRTCLEQCL=$F907),0))</f>
        <v>CENT_AIR</v>
      </c>
      <c r="X907" s="7" t="str">
        <f t="array" ref="X907">INDEX(xlRTTYNAME,MATCH(1,(xlRTTYENDU=1)*(xlRTTYEQCL=$D907)*(xlRTEQTYPE=$E907),0))</f>
        <v>KERO_FA1</v>
      </c>
      <c r="Y907" s="7" t="str">
        <f t="array" ref="Y907">INDEX(xlRTTYNAME,MATCH(1,(xlRTTYENDU=2)*(xlRTTYEQCL=$F907)*(xlRTEQTYPE=$G907),0))</f>
        <v>CENT_AIR1</v>
      </c>
    </row>
    <row r="908" spans="2:25" ht="14.25" customHeight="1" x14ac:dyDescent="0.2">
      <c r="B908" s="29">
        <v>5</v>
      </c>
      <c r="C908" s="29">
        <v>2</v>
      </c>
      <c r="D908" s="29">
        <v>5</v>
      </c>
      <c r="E908" s="29">
        <v>14</v>
      </c>
      <c r="F908" s="29">
        <v>2</v>
      </c>
      <c r="G908" s="32">
        <v>4</v>
      </c>
      <c r="H908" s="32">
        <v>2020</v>
      </c>
      <c r="I908" s="96">
        <v>2050</v>
      </c>
      <c r="J908" s="144">
        <v>1.1200000000000001</v>
      </c>
      <c r="K908" s="144">
        <v>1.0391999999999999</v>
      </c>
      <c r="L908" s="144">
        <v>1.6313</v>
      </c>
      <c r="M908" s="144">
        <v>1.1687000000000001</v>
      </c>
      <c r="N908" s="144">
        <v>1.2595000000000001</v>
      </c>
      <c r="O908" s="144">
        <v>1.0538000000000001</v>
      </c>
      <c r="P908" s="143">
        <v>0</v>
      </c>
      <c r="Q908" s="35">
        <f t="array" ref="Q908">SUM(IF(($S908&gt;=4)*($C908='TaxCred&amp;Subs'!$D$114:$D$121)*($H908='TaxCred&amp;Subs'!$C$114:$C$121)*($H908&lt;='TaxCred&amp;Subs'!$C$123),'TaxCred&amp;Subs'!$E$114:$E$121,0))</f>
        <v>0</v>
      </c>
      <c r="R908" s="143">
        <v>0</v>
      </c>
      <c r="S908" s="29">
        <v>1</v>
      </c>
      <c r="T908" s="29" t="s">
        <v>219</v>
      </c>
      <c r="U908" s="30" t="s">
        <v>227</v>
      </c>
      <c r="V908" s="7" t="str">
        <f t="array" ref="V908">INDEX(xlRTCLNAME,MATCH(1,(xlRTCLENDU=1)*(xlRTCLEQCL=$D908),0))</f>
        <v>KERO_FA</v>
      </c>
      <c r="W908" s="7" t="str">
        <f t="array" ref="W908">INDEX(xlRTCLNAME,MATCH(1,(xlRTCLENDU=2)*(xlRTCLEQCL=$F908),0))</f>
        <v>CENT_AIR</v>
      </c>
      <c r="X908" s="7" t="str">
        <f t="array" ref="X908">INDEX(xlRTTYNAME,MATCH(1,(xlRTTYENDU=1)*(xlRTTYEQCL=$D908)*(xlRTEQTYPE=$E908),0))</f>
        <v>KERO_FA1</v>
      </c>
      <c r="Y908" s="7" t="str">
        <f t="array" ref="Y908">INDEX(xlRTTYNAME,MATCH(1,(xlRTTYENDU=2)*(xlRTTYEQCL=$F908)*(xlRTEQTYPE=$G908),0))</f>
        <v>CENT_AIR1</v>
      </c>
    </row>
    <row r="909" spans="2:25" ht="14.25" customHeight="1" x14ac:dyDescent="0.2">
      <c r="B909" s="29">
        <v>6</v>
      </c>
      <c r="C909" s="29">
        <v>2</v>
      </c>
      <c r="D909" s="29">
        <v>5</v>
      </c>
      <c r="E909" s="29">
        <v>14</v>
      </c>
      <c r="F909" s="29">
        <v>2</v>
      </c>
      <c r="G909" s="32">
        <v>4</v>
      </c>
      <c r="H909" s="32">
        <v>2020</v>
      </c>
      <c r="I909" s="96">
        <v>2050</v>
      </c>
      <c r="J909" s="144">
        <v>1.1200000000000001</v>
      </c>
      <c r="K909" s="144">
        <v>1.03</v>
      </c>
      <c r="L909" s="144">
        <v>1.7887</v>
      </c>
      <c r="M909" s="144">
        <v>1.2250000000000001</v>
      </c>
      <c r="N909" s="144">
        <v>1.3381000000000001</v>
      </c>
      <c r="O909" s="144">
        <v>1.0538000000000001</v>
      </c>
      <c r="P909" s="143">
        <v>0</v>
      </c>
      <c r="Q909" s="35">
        <f t="array" ref="Q909">SUM(IF(($S909&gt;=4)*($C909='TaxCred&amp;Subs'!$D$114:$D$121)*($H909='TaxCred&amp;Subs'!$C$114:$C$121)*($H909&lt;='TaxCred&amp;Subs'!$C$123),'TaxCred&amp;Subs'!$E$114:$E$121,0))</f>
        <v>0</v>
      </c>
      <c r="R909" s="143">
        <v>0</v>
      </c>
      <c r="S909" s="29">
        <v>1</v>
      </c>
      <c r="T909" s="29" t="s">
        <v>219</v>
      </c>
      <c r="U909" s="30" t="s">
        <v>227</v>
      </c>
      <c r="V909" s="7" t="str">
        <f t="array" ref="V909">INDEX(xlRTCLNAME,MATCH(1,(xlRTCLENDU=1)*(xlRTCLEQCL=$D909),0))</f>
        <v>KERO_FA</v>
      </c>
      <c r="W909" s="7" t="str">
        <f t="array" ref="W909">INDEX(xlRTCLNAME,MATCH(1,(xlRTCLENDU=2)*(xlRTCLEQCL=$F909),0))</f>
        <v>CENT_AIR</v>
      </c>
      <c r="X909" s="7" t="str">
        <f t="array" ref="X909">INDEX(xlRTTYNAME,MATCH(1,(xlRTTYENDU=1)*(xlRTTYEQCL=$D909)*(xlRTEQTYPE=$E909),0))</f>
        <v>KERO_FA1</v>
      </c>
      <c r="Y909" s="7" t="str">
        <f t="array" ref="Y909">INDEX(xlRTTYNAME,MATCH(1,(xlRTTYENDU=2)*(xlRTTYEQCL=$F909)*(xlRTEQTYPE=$G909),0))</f>
        <v>CENT_AIR1</v>
      </c>
    </row>
    <row r="910" spans="2:25" ht="14.25" customHeight="1" x14ac:dyDescent="0.2">
      <c r="B910" s="29">
        <v>7</v>
      </c>
      <c r="C910" s="29">
        <v>2</v>
      </c>
      <c r="D910" s="29">
        <v>5</v>
      </c>
      <c r="E910" s="29">
        <v>14</v>
      </c>
      <c r="F910" s="29">
        <v>2</v>
      </c>
      <c r="G910" s="32">
        <v>4</v>
      </c>
      <c r="H910" s="32">
        <v>2020</v>
      </c>
      <c r="I910" s="96">
        <v>2050</v>
      </c>
      <c r="J910" s="144">
        <v>1.1200000000000001</v>
      </c>
      <c r="K910" s="144">
        <v>1.0476000000000001</v>
      </c>
      <c r="L910" s="144">
        <v>2</v>
      </c>
      <c r="M910" s="144">
        <v>1.2121</v>
      </c>
      <c r="N910" s="144">
        <v>1.4438</v>
      </c>
      <c r="O910" s="144">
        <v>1.0538000000000001</v>
      </c>
      <c r="P910" s="143">
        <v>0</v>
      </c>
      <c r="Q910" s="35">
        <f t="array" ref="Q910">SUM(IF(($S910&gt;=4)*($C910='TaxCred&amp;Subs'!$D$114:$D$121)*($H910='TaxCred&amp;Subs'!$C$114:$C$121)*($H910&lt;='TaxCred&amp;Subs'!$C$123),'TaxCred&amp;Subs'!$E$114:$E$121,0))</f>
        <v>0</v>
      </c>
      <c r="R910" s="143">
        <v>0</v>
      </c>
      <c r="S910" s="29">
        <v>1</v>
      </c>
      <c r="T910" s="29" t="s">
        <v>219</v>
      </c>
      <c r="U910" s="30" t="s">
        <v>227</v>
      </c>
      <c r="V910" s="7" t="str">
        <f t="array" ref="V910">INDEX(xlRTCLNAME,MATCH(1,(xlRTCLENDU=1)*(xlRTCLEQCL=$D910),0))</f>
        <v>KERO_FA</v>
      </c>
      <c r="W910" s="7" t="str">
        <f t="array" ref="W910">INDEX(xlRTCLNAME,MATCH(1,(xlRTCLENDU=2)*(xlRTCLEQCL=$F910),0))</f>
        <v>CENT_AIR</v>
      </c>
      <c r="X910" s="7" t="str">
        <f t="array" ref="X910">INDEX(xlRTTYNAME,MATCH(1,(xlRTTYENDU=1)*(xlRTTYEQCL=$D910)*(xlRTEQTYPE=$E910),0))</f>
        <v>KERO_FA1</v>
      </c>
      <c r="Y910" s="7" t="str">
        <f t="array" ref="Y910">INDEX(xlRTTYNAME,MATCH(1,(xlRTTYENDU=2)*(xlRTTYEQCL=$F910)*(xlRTEQTYPE=$G910),0))</f>
        <v>CENT_AIR1</v>
      </c>
    </row>
    <row r="911" spans="2:25" ht="14.25" customHeight="1" x14ac:dyDescent="0.2">
      <c r="B911" s="29">
        <v>8</v>
      </c>
      <c r="C911" s="29">
        <v>2</v>
      </c>
      <c r="D911" s="29">
        <v>5</v>
      </c>
      <c r="E911" s="29">
        <v>14</v>
      </c>
      <c r="F911" s="29">
        <v>2</v>
      </c>
      <c r="G911" s="32">
        <v>4</v>
      </c>
      <c r="H911" s="32">
        <v>2020</v>
      </c>
      <c r="I911" s="96">
        <v>2050</v>
      </c>
      <c r="J911" s="144">
        <v>1.1064000000000001</v>
      </c>
      <c r="K911" s="144">
        <v>1.0645</v>
      </c>
      <c r="L911" s="144">
        <v>1.6777</v>
      </c>
      <c r="M911" s="144">
        <v>1.3391999999999999</v>
      </c>
      <c r="N911" s="144">
        <v>1.2826</v>
      </c>
      <c r="O911" s="144">
        <v>1.0538000000000001</v>
      </c>
      <c r="P911" s="143">
        <v>0</v>
      </c>
      <c r="Q911" s="35">
        <f t="array" ref="Q911">SUM(IF(($S911&gt;=4)*($C911='TaxCred&amp;Subs'!$D$114:$D$121)*($H911='TaxCred&amp;Subs'!$C$114:$C$121)*($H911&lt;='TaxCred&amp;Subs'!$C$123),'TaxCred&amp;Subs'!$E$114:$E$121,0))</f>
        <v>0</v>
      </c>
      <c r="R911" s="143">
        <v>0</v>
      </c>
      <c r="S911" s="29">
        <v>1</v>
      </c>
      <c r="T911" s="29" t="s">
        <v>219</v>
      </c>
      <c r="U911" s="30" t="s">
        <v>227</v>
      </c>
      <c r="V911" s="7" t="str">
        <f t="array" ref="V911">INDEX(xlRTCLNAME,MATCH(1,(xlRTCLENDU=1)*(xlRTCLEQCL=$D911),0))</f>
        <v>KERO_FA</v>
      </c>
      <c r="W911" s="7" t="str">
        <f t="array" ref="W911">INDEX(xlRTCLNAME,MATCH(1,(xlRTCLENDU=2)*(xlRTCLEQCL=$F911),0))</f>
        <v>CENT_AIR</v>
      </c>
      <c r="X911" s="7" t="str">
        <f t="array" ref="X911">INDEX(xlRTTYNAME,MATCH(1,(xlRTTYENDU=1)*(xlRTTYEQCL=$D911)*(xlRTEQTYPE=$E911),0))</f>
        <v>KERO_FA1</v>
      </c>
      <c r="Y911" s="7" t="str">
        <f t="array" ref="Y911">INDEX(xlRTTYNAME,MATCH(1,(xlRTTYENDU=2)*(xlRTTYEQCL=$F911)*(xlRTEQTYPE=$G911),0))</f>
        <v>CENT_AIR1</v>
      </c>
    </row>
    <row r="912" spans="2:25" ht="14.25" customHeight="1" x14ac:dyDescent="0.2">
      <c r="B912" s="29">
        <v>9</v>
      </c>
      <c r="C912" s="29">
        <v>2</v>
      </c>
      <c r="D912" s="29">
        <v>5</v>
      </c>
      <c r="E912" s="29">
        <v>14</v>
      </c>
      <c r="F912" s="29">
        <v>2</v>
      </c>
      <c r="G912" s="32">
        <v>4</v>
      </c>
      <c r="H912" s="32">
        <v>2020</v>
      </c>
      <c r="I912" s="96">
        <v>2050</v>
      </c>
      <c r="J912" s="144">
        <v>1.03</v>
      </c>
      <c r="K912" s="144">
        <v>1.0556000000000001</v>
      </c>
      <c r="L912" s="144">
        <v>2</v>
      </c>
      <c r="M912" s="144">
        <v>1.2834000000000001</v>
      </c>
      <c r="N912" s="144">
        <v>1.4438</v>
      </c>
      <c r="O912" s="144">
        <v>1.0538000000000001</v>
      </c>
      <c r="P912" s="143">
        <v>0</v>
      </c>
      <c r="Q912" s="35">
        <f t="array" ref="Q912">SUM(IF(($S912&gt;=4)*($C912='TaxCred&amp;Subs'!$D$114:$D$121)*($H912='TaxCred&amp;Subs'!$C$114:$C$121)*($H912&lt;='TaxCred&amp;Subs'!$C$123),'TaxCred&amp;Subs'!$E$114:$E$121,0))</f>
        <v>0</v>
      </c>
      <c r="R912" s="143">
        <v>0</v>
      </c>
      <c r="S912" s="29">
        <v>1</v>
      </c>
      <c r="T912" s="29" t="s">
        <v>219</v>
      </c>
      <c r="U912" s="30" t="s">
        <v>227</v>
      </c>
      <c r="V912" s="7" t="str">
        <f t="array" ref="V912">INDEX(xlRTCLNAME,MATCH(1,(xlRTCLENDU=1)*(xlRTCLEQCL=$D912),0))</f>
        <v>KERO_FA</v>
      </c>
      <c r="W912" s="7" t="str">
        <f t="array" ref="W912">INDEX(xlRTCLNAME,MATCH(1,(xlRTCLENDU=2)*(xlRTCLEQCL=$F912),0))</f>
        <v>CENT_AIR</v>
      </c>
      <c r="X912" s="7" t="str">
        <f t="array" ref="X912">INDEX(xlRTTYNAME,MATCH(1,(xlRTTYENDU=1)*(xlRTTYEQCL=$D912)*(xlRTEQTYPE=$E912),0))</f>
        <v>KERO_FA1</v>
      </c>
      <c r="Y912" s="7" t="str">
        <f t="array" ref="Y912">INDEX(xlRTTYNAME,MATCH(1,(xlRTTYENDU=2)*(xlRTTYEQCL=$F912)*(xlRTEQTYPE=$G912),0))</f>
        <v>CENT_AIR1</v>
      </c>
    </row>
    <row r="913" spans="2:25" ht="14.25" customHeight="1" x14ac:dyDescent="0.2">
      <c r="B913" s="5">
        <v>1</v>
      </c>
      <c r="C913" s="5">
        <v>2</v>
      </c>
      <c r="D913" s="5">
        <v>6</v>
      </c>
      <c r="E913" s="5">
        <v>18</v>
      </c>
      <c r="F913" s="5">
        <v>2</v>
      </c>
      <c r="G913" s="31">
        <v>4</v>
      </c>
      <c r="H913" s="31">
        <v>2020</v>
      </c>
      <c r="I913" s="96">
        <v>2050</v>
      </c>
      <c r="J913" s="142">
        <v>1.1042000000000001</v>
      </c>
      <c r="K913" s="142">
        <v>1.0417000000000001</v>
      </c>
      <c r="L913" s="142">
        <v>1.3378000000000001</v>
      </c>
      <c r="M913" s="142">
        <v>1.1909000000000001</v>
      </c>
      <c r="N913" s="142">
        <v>1.1127</v>
      </c>
      <c r="O913" s="142">
        <v>1.0538000000000001</v>
      </c>
      <c r="P913" s="26">
        <v>0</v>
      </c>
      <c r="Q913" s="35">
        <f t="array" ref="Q913">SUM(IF(($S913&gt;=4)*($C913='TaxCred&amp;Subs'!$D$114:$D$121)*($H913='TaxCred&amp;Subs'!$C$114:$C$121)*($H913&lt;='TaxCred&amp;Subs'!$C$123),'TaxCred&amp;Subs'!$E$114:$E$121,0))</f>
        <v>0</v>
      </c>
      <c r="R913" s="143">
        <v>0</v>
      </c>
      <c r="S913" s="5">
        <v>1</v>
      </c>
      <c r="T913" s="5" t="s">
        <v>219</v>
      </c>
      <c r="V913" s="7" t="str">
        <f t="array" ref="V913">INDEX(xlRTCLNAME,MATCH(1,(xlRTCLENDU=1)*(xlRTCLEQCL=$D913),0))</f>
        <v>LPG_FA</v>
      </c>
      <c r="W913" s="7" t="str">
        <f t="array" ref="W913">INDEX(xlRTCLNAME,MATCH(1,(xlRTCLENDU=2)*(xlRTCLEQCL=$F913),0))</f>
        <v>CENT_AIR</v>
      </c>
      <c r="X913" s="7" t="str">
        <f t="array" ref="X913">INDEX(xlRTTYNAME,MATCH(1,(xlRTTYENDU=1)*(xlRTTYEQCL=$D913)*(xlRTEQTYPE=$E913),0))</f>
        <v>LPG_FA1</v>
      </c>
      <c r="Y913" s="7" t="str">
        <f t="array" ref="Y913">INDEX(xlRTTYNAME,MATCH(1,(xlRTTYENDU=2)*(xlRTTYEQCL=$F913)*(xlRTEQTYPE=$G913),0))</f>
        <v>CENT_AIR1</v>
      </c>
    </row>
    <row r="914" spans="2:25" ht="14.25" customHeight="1" x14ac:dyDescent="0.2">
      <c r="B914" s="5">
        <v>2</v>
      </c>
      <c r="C914" s="5">
        <v>2</v>
      </c>
      <c r="D914" s="5">
        <v>6</v>
      </c>
      <c r="E914" s="5">
        <v>18</v>
      </c>
      <c r="F914" s="5">
        <v>2</v>
      </c>
      <c r="G914" s="31">
        <v>4</v>
      </c>
      <c r="H914" s="31">
        <v>2020</v>
      </c>
      <c r="I914" s="96">
        <v>2050</v>
      </c>
      <c r="J914" s="142">
        <v>1.0847</v>
      </c>
      <c r="K914" s="142">
        <v>1.0357000000000001</v>
      </c>
      <c r="L914" s="142">
        <v>1.3448</v>
      </c>
      <c r="M914" s="142">
        <v>1.2250000000000001</v>
      </c>
      <c r="N914" s="142">
        <v>1.1162000000000001</v>
      </c>
      <c r="O914" s="142">
        <v>1.0538000000000001</v>
      </c>
      <c r="P914" s="26">
        <v>0</v>
      </c>
      <c r="Q914" s="35">
        <f t="array" ref="Q914">SUM(IF(($S914&gt;=4)*($C914='TaxCred&amp;Subs'!$D$114:$D$121)*($H914='TaxCred&amp;Subs'!$C$114:$C$121)*($H914&lt;='TaxCred&amp;Subs'!$C$123),'TaxCred&amp;Subs'!$E$114:$E$121,0))</f>
        <v>0</v>
      </c>
      <c r="R914" s="143">
        <v>0</v>
      </c>
      <c r="S914" s="5">
        <v>1</v>
      </c>
      <c r="T914" s="5" t="s">
        <v>219</v>
      </c>
      <c r="V914" s="7" t="str">
        <f t="array" ref="V914">INDEX(xlRTCLNAME,MATCH(1,(xlRTCLENDU=1)*(xlRTCLEQCL=$D914),0))</f>
        <v>LPG_FA</v>
      </c>
      <c r="W914" s="7" t="str">
        <f t="array" ref="W914">INDEX(xlRTCLNAME,MATCH(1,(xlRTCLENDU=2)*(xlRTCLEQCL=$F914),0))</f>
        <v>CENT_AIR</v>
      </c>
      <c r="X914" s="7" t="str">
        <f t="array" ref="X914">INDEX(xlRTTYNAME,MATCH(1,(xlRTTYENDU=1)*(xlRTTYEQCL=$D914)*(xlRTEQTYPE=$E914),0))</f>
        <v>LPG_FA1</v>
      </c>
      <c r="Y914" s="7" t="str">
        <f t="array" ref="Y914">INDEX(xlRTTYNAME,MATCH(1,(xlRTTYENDU=2)*(xlRTTYEQCL=$F914)*(xlRTEQTYPE=$G914),0))</f>
        <v>CENT_AIR1</v>
      </c>
    </row>
    <row r="915" spans="2:25" ht="14.25" customHeight="1" x14ac:dyDescent="0.2">
      <c r="B915" s="5">
        <v>3</v>
      </c>
      <c r="C915" s="5">
        <v>2</v>
      </c>
      <c r="D915" s="5">
        <v>6</v>
      </c>
      <c r="E915" s="5">
        <v>18</v>
      </c>
      <c r="F915" s="5">
        <v>2</v>
      </c>
      <c r="G915" s="31">
        <v>4</v>
      </c>
      <c r="H915" s="31">
        <v>2020</v>
      </c>
      <c r="I915" s="96">
        <v>2050</v>
      </c>
      <c r="J915" s="142">
        <v>1.0984</v>
      </c>
      <c r="K915" s="142">
        <v>1.0345</v>
      </c>
      <c r="L915" s="142">
        <v>1.1920999999999999</v>
      </c>
      <c r="M915" s="142">
        <v>1.1345000000000001</v>
      </c>
      <c r="N915" s="142">
        <v>1.0399</v>
      </c>
      <c r="O915" s="142">
        <v>1.0538000000000001</v>
      </c>
      <c r="P915" s="26">
        <v>0</v>
      </c>
      <c r="Q915" s="35">
        <f t="array" ref="Q915">SUM(IF(($S915&gt;=4)*($C915='TaxCred&amp;Subs'!$D$114:$D$121)*($H915='TaxCred&amp;Subs'!$C$114:$C$121)*($H915&lt;='TaxCred&amp;Subs'!$C$123),'TaxCred&amp;Subs'!$E$114:$E$121,0))</f>
        <v>0</v>
      </c>
      <c r="R915" s="143">
        <v>0</v>
      </c>
      <c r="S915" s="5">
        <v>1</v>
      </c>
      <c r="T915" s="5" t="s">
        <v>219</v>
      </c>
      <c r="V915" s="7" t="str">
        <f t="array" ref="V915">INDEX(xlRTCLNAME,MATCH(1,(xlRTCLENDU=1)*(xlRTCLEQCL=$D915),0))</f>
        <v>LPG_FA</v>
      </c>
      <c r="W915" s="7" t="str">
        <f t="array" ref="W915">INDEX(xlRTCLNAME,MATCH(1,(xlRTCLENDU=2)*(xlRTCLEQCL=$F915),0))</f>
        <v>CENT_AIR</v>
      </c>
      <c r="X915" s="7" t="str">
        <f t="array" ref="X915">INDEX(xlRTTYNAME,MATCH(1,(xlRTTYENDU=1)*(xlRTTYEQCL=$D915)*(xlRTEQTYPE=$E915),0))</f>
        <v>LPG_FA1</v>
      </c>
      <c r="Y915" s="7" t="str">
        <f t="array" ref="Y915">INDEX(xlRTTYNAME,MATCH(1,(xlRTTYENDU=2)*(xlRTTYEQCL=$F915)*(xlRTEQTYPE=$G915),0))</f>
        <v>CENT_AIR1</v>
      </c>
    </row>
    <row r="916" spans="2:25" ht="14.25" customHeight="1" x14ac:dyDescent="0.2">
      <c r="B916" s="5">
        <v>4</v>
      </c>
      <c r="C916" s="5">
        <v>2</v>
      </c>
      <c r="D916" s="5">
        <v>6</v>
      </c>
      <c r="E916" s="5">
        <v>18</v>
      </c>
      <c r="F916" s="5">
        <v>2</v>
      </c>
      <c r="G916" s="31">
        <v>4</v>
      </c>
      <c r="H916" s="31">
        <v>2020</v>
      </c>
      <c r="I916" s="96">
        <v>2050</v>
      </c>
      <c r="J916" s="142">
        <v>1.1000000000000001</v>
      </c>
      <c r="K916" s="142">
        <v>1.0435000000000001</v>
      </c>
      <c r="L916" s="142">
        <v>1.4516</v>
      </c>
      <c r="M916" s="142">
        <v>1.2250000000000001</v>
      </c>
      <c r="N916" s="142">
        <v>1.1696</v>
      </c>
      <c r="O916" s="142">
        <v>1.0538000000000001</v>
      </c>
      <c r="P916" s="26">
        <v>0</v>
      </c>
      <c r="Q916" s="35">
        <f t="array" ref="Q916">SUM(IF(($S916&gt;=4)*($C916='TaxCred&amp;Subs'!$D$114:$D$121)*($H916='TaxCred&amp;Subs'!$C$114:$C$121)*($H916&lt;='TaxCred&amp;Subs'!$C$123),'TaxCred&amp;Subs'!$E$114:$E$121,0))</f>
        <v>0</v>
      </c>
      <c r="R916" s="143">
        <v>0</v>
      </c>
      <c r="S916" s="5">
        <v>1</v>
      </c>
      <c r="T916" s="5" t="s">
        <v>219</v>
      </c>
      <c r="V916" s="7" t="str">
        <f t="array" ref="V916">INDEX(xlRTCLNAME,MATCH(1,(xlRTCLENDU=1)*(xlRTCLEQCL=$D916),0))</f>
        <v>LPG_FA</v>
      </c>
      <c r="W916" s="7" t="str">
        <f t="array" ref="W916">INDEX(xlRTCLNAME,MATCH(1,(xlRTCLENDU=2)*(xlRTCLEQCL=$F916),0))</f>
        <v>CENT_AIR</v>
      </c>
      <c r="X916" s="7" t="str">
        <f t="array" ref="X916">INDEX(xlRTTYNAME,MATCH(1,(xlRTTYENDU=1)*(xlRTTYEQCL=$D916)*(xlRTEQTYPE=$E916),0))</f>
        <v>LPG_FA1</v>
      </c>
      <c r="Y916" s="7" t="str">
        <f t="array" ref="Y916">INDEX(xlRTTYNAME,MATCH(1,(xlRTTYENDU=2)*(xlRTTYEQCL=$F916)*(xlRTEQTYPE=$G916),0))</f>
        <v>CENT_AIR1</v>
      </c>
    </row>
    <row r="917" spans="2:25" ht="14.25" customHeight="1" x14ac:dyDescent="0.2">
      <c r="B917" s="5">
        <v>5</v>
      </c>
      <c r="C917" s="5">
        <v>2</v>
      </c>
      <c r="D917" s="5">
        <v>6</v>
      </c>
      <c r="E917" s="5">
        <v>18</v>
      </c>
      <c r="F917" s="5">
        <v>2</v>
      </c>
      <c r="G917" s="31">
        <v>4</v>
      </c>
      <c r="H917" s="31">
        <v>2020</v>
      </c>
      <c r="I917" s="96">
        <v>2050</v>
      </c>
      <c r="J917" s="142">
        <v>1.1200000000000001</v>
      </c>
      <c r="K917" s="142">
        <v>1.0391999999999999</v>
      </c>
      <c r="L917" s="142">
        <v>1.6626000000000001</v>
      </c>
      <c r="M917" s="142">
        <v>1.1687000000000001</v>
      </c>
      <c r="N917" s="142">
        <v>1.2750999999999999</v>
      </c>
      <c r="O917" s="142">
        <v>1.0538000000000001</v>
      </c>
      <c r="P917" s="26">
        <v>0</v>
      </c>
      <c r="Q917" s="35">
        <f t="array" ref="Q917">SUM(IF(($S917&gt;=4)*($C917='TaxCred&amp;Subs'!$D$114:$D$121)*($H917='TaxCred&amp;Subs'!$C$114:$C$121)*($H917&lt;='TaxCred&amp;Subs'!$C$123),'TaxCred&amp;Subs'!$E$114:$E$121,0))</f>
        <v>0</v>
      </c>
      <c r="R917" s="143">
        <v>0</v>
      </c>
      <c r="S917" s="5">
        <v>1</v>
      </c>
      <c r="T917" s="5" t="s">
        <v>219</v>
      </c>
      <c r="V917" s="7" t="str">
        <f t="array" ref="V917">INDEX(xlRTCLNAME,MATCH(1,(xlRTCLENDU=1)*(xlRTCLEQCL=$D917),0))</f>
        <v>LPG_FA</v>
      </c>
      <c r="W917" s="7" t="str">
        <f t="array" ref="W917">INDEX(xlRTCLNAME,MATCH(1,(xlRTCLENDU=2)*(xlRTCLEQCL=$F917),0))</f>
        <v>CENT_AIR</v>
      </c>
      <c r="X917" s="7" t="str">
        <f t="array" ref="X917">INDEX(xlRTTYNAME,MATCH(1,(xlRTTYENDU=1)*(xlRTTYEQCL=$D917)*(xlRTEQTYPE=$E917),0))</f>
        <v>LPG_FA1</v>
      </c>
      <c r="Y917" s="7" t="str">
        <f t="array" ref="Y917">INDEX(xlRTTYNAME,MATCH(1,(xlRTTYENDU=2)*(xlRTTYEQCL=$F917)*(xlRTEQTYPE=$G917),0))</f>
        <v>CENT_AIR1</v>
      </c>
    </row>
    <row r="918" spans="2:25" ht="14.25" customHeight="1" x14ac:dyDescent="0.2">
      <c r="B918" s="5">
        <v>6</v>
      </c>
      <c r="C918" s="5">
        <v>2</v>
      </c>
      <c r="D918" s="5">
        <v>6</v>
      </c>
      <c r="E918" s="5">
        <v>18</v>
      </c>
      <c r="F918" s="5">
        <v>2</v>
      </c>
      <c r="G918" s="31">
        <v>4</v>
      </c>
      <c r="H918" s="31">
        <v>2020</v>
      </c>
      <c r="I918" s="96">
        <v>2050</v>
      </c>
      <c r="J918" s="142">
        <v>1.1200000000000001</v>
      </c>
      <c r="K918" s="142">
        <v>1.03</v>
      </c>
      <c r="L918" s="142">
        <v>1.7771999999999999</v>
      </c>
      <c r="M918" s="142">
        <v>1.2250000000000001</v>
      </c>
      <c r="N918" s="142">
        <v>1.3324</v>
      </c>
      <c r="O918" s="142">
        <v>1.0538000000000001</v>
      </c>
      <c r="P918" s="26">
        <v>0</v>
      </c>
      <c r="Q918" s="35">
        <f t="array" ref="Q918">SUM(IF(($S918&gt;=4)*($C918='TaxCred&amp;Subs'!$D$114:$D$121)*($H918='TaxCred&amp;Subs'!$C$114:$C$121)*($H918&lt;='TaxCred&amp;Subs'!$C$123),'TaxCred&amp;Subs'!$E$114:$E$121,0))</f>
        <v>0</v>
      </c>
      <c r="R918" s="143">
        <v>0</v>
      </c>
      <c r="S918" s="5">
        <v>1</v>
      </c>
      <c r="T918" s="5" t="s">
        <v>219</v>
      </c>
      <c r="V918" s="7" t="str">
        <f t="array" ref="V918">INDEX(xlRTCLNAME,MATCH(1,(xlRTCLENDU=1)*(xlRTCLEQCL=$D918),0))</f>
        <v>LPG_FA</v>
      </c>
      <c r="W918" s="7" t="str">
        <f t="array" ref="W918">INDEX(xlRTCLNAME,MATCH(1,(xlRTCLENDU=2)*(xlRTCLEQCL=$F918),0))</f>
        <v>CENT_AIR</v>
      </c>
      <c r="X918" s="7" t="str">
        <f t="array" ref="X918">INDEX(xlRTTYNAME,MATCH(1,(xlRTTYENDU=1)*(xlRTTYEQCL=$D918)*(xlRTEQTYPE=$E918),0))</f>
        <v>LPG_FA1</v>
      </c>
      <c r="Y918" s="7" t="str">
        <f t="array" ref="Y918">INDEX(xlRTTYNAME,MATCH(1,(xlRTTYENDU=2)*(xlRTTYEQCL=$F918)*(xlRTEQTYPE=$G918),0))</f>
        <v>CENT_AIR1</v>
      </c>
    </row>
    <row r="919" spans="2:25" ht="14.25" customHeight="1" x14ac:dyDescent="0.2">
      <c r="B919" s="5">
        <v>7</v>
      </c>
      <c r="C919" s="5">
        <v>2</v>
      </c>
      <c r="D919" s="5">
        <v>6</v>
      </c>
      <c r="E919" s="5">
        <v>18</v>
      </c>
      <c r="F919" s="5">
        <v>2</v>
      </c>
      <c r="G919" s="31">
        <v>4</v>
      </c>
      <c r="H919" s="31">
        <v>2020</v>
      </c>
      <c r="I919" s="96">
        <v>2050</v>
      </c>
      <c r="J919" s="142">
        <v>1.1200000000000001</v>
      </c>
      <c r="K919" s="142">
        <v>1.0462</v>
      </c>
      <c r="L919" s="142">
        <v>2</v>
      </c>
      <c r="M919" s="142">
        <v>1.2121</v>
      </c>
      <c r="N919" s="142">
        <v>1.4438</v>
      </c>
      <c r="O919" s="142">
        <v>1.0538000000000001</v>
      </c>
      <c r="P919" s="26">
        <v>0</v>
      </c>
      <c r="Q919" s="35">
        <f t="array" ref="Q919">SUM(IF(($S919&gt;=4)*($C919='TaxCred&amp;Subs'!$D$114:$D$121)*($H919='TaxCred&amp;Subs'!$C$114:$C$121)*($H919&lt;='TaxCred&amp;Subs'!$C$123),'TaxCred&amp;Subs'!$E$114:$E$121,0))</f>
        <v>0</v>
      </c>
      <c r="R919" s="143">
        <v>0</v>
      </c>
      <c r="S919" s="5">
        <v>1</v>
      </c>
      <c r="T919" s="5" t="s">
        <v>219</v>
      </c>
      <c r="V919" s="7" t="str">
        <f t="array" ref="V919">INDEX(xlRTCLNAME,MATCH(1,(xlRTCLENDU=1)*(xlRTCLEQCL=$D919),0))</f>
        <v>LPG_FA</v>
      </c>
      <c r="W919" s="7" t="str">
        <f t="array" ref="W919">INDEX(xlRTCLNAME,MATCH(1,(xlRTCLENDU=2)*(xlRTCLEQCL=$F919),0))</f>
        <v>CENT_AIR</v>
      </c>
      <c r="X919" s="7" t="str">
        <f t="array" ref="X919">INDEX(xlRTTYNAME,MATCH(1,(xlRTTYENDU=1)*(xlRTTYEQCL=$D919)*(xlRTEQTYPE=$E919),0))</f>
        <v>LPG_FA1</v>
      </c>
      <c r="Y919" s="7" t="str">
        <f t="array" ref="Y919">INDEX(xlRTTYNAME,MATCH(1,(xlRTTYENDU=2)*(xlRTTYEQCL=$F919)*(xlRTEQTYPE=$G919),0))</f>
        <v>CENT_AIR1</v>
      </c>
    </row>
    <row r="920" spans="2:25" ht="14.25" customHeight="1" x14ac:dyDescent="0.2">
      <c r="B920" s="5">
        <v>8</v>
      </c>
      <c r="C920" s="5">
        <v>2</v>
      </c>
      <c r="D920" s="5">
        <v>6</v>
      </c>
      <c r="E920" s="5">
        <v>18</v>
      </c>
      <c r="F920" s="5">
        <v>2</v>
      </c>
      <c r="G920" s="31">
        <v>4</v>
      </c>
      <c r="H920" s="31">
        <v>2020</v>
      </c>
      <c r="I920" s="96">
        <v>2050</v>
      </c>
      <c r="J920" s="142">
        <v>1.0932999999999999</v>
      </c>
      <c r="K920" s="142">
        <v>1.0323</v>
      </c>
      <c r="L920" s="142">
        <v>1.6819</v>
      </c>
      <c r="M920" s="142">
        <v>1.3391999999999999</v>
      </c>
      <c r="N920" s="142">
        <v>1.2847999999999999</v>
      </c>
      <c r="O920" s="142">
        <v>1.0538000000000001</v>
      </c>
      <c r="P920" s="26">
        <v>0</v>
      </c>
      <c r="Q920" s="35">
        <f t="array" ref="Q920">SUM(IF(($S920&gt;=4)*($C920='TaxCred&amp;Subs'!$D$114:$D$121)*($H920='TaxCred&amp;Subs'!$C$114:$C$121)*($H920&lt;='TaxCred&amp;Subs'!$C$123),'TaxCred&amp;Subs'!$E$114:$E$121,0))</f>
        <v>0</v>
      </c>
      <c r="R920" s="143">
        <v>0</v>
      </c>
      <c r="S920" s="5">
        <v>1</v>
      </c>
      <c r="T920" s="5" t="s">
        <v>219</v>
      </c>
      <c r="V920" s="7" t="str">
        <f t="array" ref="V920">INDEX(xlRTCLNAME,MATCH(1,(xlRTCLENDU=1)*(xlRTCLEQCL=$D920),0))</f>
        <v>LPG_FA</v>
      </c>
      <c r="W920" s="7" t="str">
        <f t="array" ref="W920">INDEX(xlRTCLNAME,MATCH(1,(xlRTCLENDU=2)*(xlRTCLEQCL=$F920),0))</f>
        <v>CENT_AIR</v>
      </c>
      <c r="X920" s="7" t="str">
        <f t="array" ref="X920">INDEX(xlRTTYNAME,MATCH(1,(xlRTTYENDU=1)*(xlRTTYEQCL=$D920)*(xlRTEQTYPE=$E920),0))</f>
        <v>LPG_FA1</v>
      </c>
      <c r="Y920" s="7" t="str">
        <f t="array" ref="Y920">INDEX(xlRTTYNAME,MATCH(1,(xlRTTYENDU=2)*(xlRTTYEQCL=$F920)*(xlRTEQTYPE=$G920),0))</f>
        <v>CENT_AIR1</v>
      </c>
    </row>
    <row r="921" spans="2:25" ht="14.25" customHeight="1" x14ac:dyDescent="0.2">
      <c r="B921" s="5">
        <v>9</v>
      </c>
      <c r="C921" s="5">
        <v>2</v>
      </c>
      <c r="D921" s="5">
        <v>6</v>
      </c>
      <c r="E921" s="5">
        <v>18</v>
      </c>
      <c r="F921" s="5">
        <v>2</v>
      </c>
      <c r="G921" s="31">
        <v>4</v>
      </c>
      <c r="H921" s="31">
        <v>2020</v>
      </c>
      <c r="I921" s="96">
        <v>2050</v>
      </c>
      <c r="J921" s="142">
        <v>1.07</v>
      </c>
      <c r="K921" s="142">
        <v>1.0541</v>
      </c>
      <c r="L921" s="142">
        <v>2</v>
      </c>
      <c r="M921" s="142">
        <v>1.2834000000000001</v>
      </c>
      <c r="N921" s="142">
        <v>1.4438</v>
      </c>
      <c r="O921" s="142">
        <v>1.0538000000000001</v>
      </c>
      <c r="P921" s="26">
        <v>0</v>
      </c>
      <c r="Q921" s="35">
        <f t="array" ref="Q921">SUM(IF(($S921&gt;=4)*($C921='TaxCred&amp;Subs'!$D$114:$D$121)*($H921='TaxCred&amp;Subs'!$C$114:$C$121)*($H921&lt;='TaxCred&amp;Subs'!$C$123),'TaxCred&amp;Subs'!$E$114:$E$121,0))</f>
        <v>0</v>
      </c>
      <c r="R921" s="143">
        <v>0</v>
      </c>
      <c r="S921" s="5">
        <v>1</v>
      </c>
      <c r="T921" s="5" t="s">
        <v>219</v>
      </c>
      <c r="V921" s="7" t="str">
        <f t="array" ref="V921">INDEX(xlRTCLNAME,MATCH(1,(xlRTCLENDU=1)*(xlRTCLEQCL=$D921),0))</f>
        <v>LPG_FA</v>
      </c>
      <c r="W921" s="7" t="str">
        <f t="array" ref="W921">INDEX(xlRTCLNAME,MATCH(1,(xlRTCLENDU=2)*(xlRTCLEQCL=$F921),0))</f>
        <v>CENT_AIR</v>
      </c>
      <c r="X921" s="7" t="str">
        <f t="array" ref="X921">INDEX(xlRTTYNAME,MATCH(1,(xlRTTYENDU=1)*(xlRTTYEQCL=$D921)*(xlRTEQTYPE=$E921),0))</f>
        <v>LPG_FA1</v>
      </c>
      <c r="Y921" s="7" t="str">
        <f t="array" ref="Y921">INDEX(xlRTTYNAME,MATCH(1,(xlRTTYENDU=2)*(xlRTTYEQCL=$F921)*(xlRTEQTYPE=$G921),0))</f>
        <v>CENT_AIR1</v>
      </c>
    </row>
    <row r="922" spans="2:25" ht="14.25" customHeight="1" x14ac:dyDescent="0.2">
      <c r="B922" s="5">
        <v>1</v>
      </c>
      <c r="C922" s="5">
        <v>2</v>
      </c>
      <c r="D922" s="5">
        <v>7</v>
      </c>
      <c r="E922" s="5">
        <v>22</v>
      </c>
      <c r="F922" s="5">
        <v>2</v>
      </c>
      <c r="G922" s="31">
        <v>4</v>
      </c>
      <c r="H922" s="31">
        <v>2020</v>
      </c>
      <c r="I922" s="96">
        <v>2050</v>
      </c>
      <c r="J922" s="142">
        <v>1.0956999999999999</v>
      </c>
      <c r="K922" s="142">
        <v>1.0417000000000001</v>
      </c>
      <c r="L922" s="142">
        <v>1.343</v>
      </c>
      <c r="M922" s="142">
        <v>1.1909000000000001</v>
      </c>
      <c r="N922" s="142">
        <v>1.1153</v>
      </c>
      <c r="O922" s="142">
        <v>1.0538000000000001</v>
      </c>
      <c r="P922" s="26">
        <v>0</v>
      </c>
      <c r="Q922" s="35">
        <f t="array" ref="Q922">SUM(IF(($S922&gt;=4)*($C922='TaxCred&amp;Subs'!$D$114:$D$121)*($H922='TaxCred&amp;Subs'!$C$114:$C$121)*($H922&lt;='TaxCred&amp;Subs'!$C$123),'TaxCred&amp;Subs'!$E$114:$E$121,0))</f>
        <v>0</v>
      </c>
      <c r="R922" s="143">
        <v>0</v>
      </c>
      <c r="S922" s="5">
        <v>1</v>
      </c>
      <c r="T922" s="5" t="s">
        <v>219</v>
      </c>
      <c r="V922" s="7" t="str">
        <f t="array" ref="V922">INDEX(xlRTCLNAME,MATCH(1,(xlRTCLENDU=1)*(xlRTCLEQCL=$D922),0))</f>
        <v>DIST_FA</v>
      </c>
      <c r="W922" s="7" t="str">
        <f t="array" ref="W922">INDEX(xlRTCLNAME,MATCH(1,(xlRTCLENDU=2)*(xlRTCLEQCL=$F922),0))</f>
        <v>CENT_AIR</v>
      </c>
      <c r="X922" s="7" t="str">
        <f t="array" ref="X922">INDEX(xlRTTYNAME,MATCH(1,(xlRTTYENDU=1)*(xlRTTYEQCL=$D922)*(xlRTEQTYPE=$E922),0))</f>
        <v>DIST_FA1</v>
      </c>
      <c r="Y922" s="7" t="str">
        <f t="array" ref="Y922">INDEX(xlRTTYNAME,MATCH(1,(xlRTTYENDU=2)*(xlRTTYEQCL=$F922)*(xlRTEQTYPE=$G922),0))</f>
        <v>CENT_AIR1</v>
      </c>
    </row>
    <row r="923" spans="2:25" ht="14.25" customHeight="1" x14ac:dyDescent="0.2">
      <c r="B923" s="5">
        <v>2</v>
      </c>
      <c r="C923" s="5">
        <v>2</v>
      </c>
      <c r="D923" s="5">
        <v>7</v>
      </c>
      <c r="E923" s="5">
        <v>22</v>
      </c>
      <c r="F923" s="5">
        <v>2</v>
      </c>
      <c r="G923" s="31">
        <v>4</v>
      </c>
      <c r="H923" s="31">
        <v>2020</v>
      </c>
      <c r="I923" s="96">
        <v>2050</v>
      </c>
      <c r="J923" s="142">
        <v>1.1059000000000001</v>
      </c>
      <c r="K923" s="142">
        <v>1.0357000000000001</v>
      </c>
      <c r="L923" s="142">
        <v>1.3479000000000001</v>
      </c>
      <c r="M923" s="142">
        <v>1.2250000000000001</v>
      </c>
      <c r="N923" s="142">
        <v>1.1176999999999999</v>
      </c>
      <c r="O923" s="142">
        <v>1.0538000000000001</v>
      </c>
      <c r="P923" s="26">
        <v>0</v>
      </c>
      <c r="Q923" s="35">
        <f t="array" ref="Q923">SUM(IF(($S923&gt;=4)*($C923='TaxCred&amp;Subs'!$D$114:$D$121)*($H923='TaxCred&amp;Subs'!$C$114:$C$121)*($H923&lt;='TaxCred&amp;Subs'!$C$123),'TaxCred&amp;Subs'!$E$114:$E$121,0))</f>
        <v>0</v>
      </c>
      <c r="R923" s="143">
        <v>0</v>
      </c>
      <c r="S923" s="5">
        <v>1</v>
      </c>
      <c r="T923" s="5" t="s">
        <v>219</v>
      </c>
      <c r="V923" s="7" t="str">
        <f t="array" ref="V923">INDEX(xlRTCLNAME,MATCH(1,(xlRTCLENDU=1)*(xlRTCLEQCL=$D923),0))</f>
        <v>DIST_FA</v>
      </c>
      <c r="W923" s="7" t="str">
        <f t="array" ref="W923">INDEX(xlRTCLNAME,MATCH(1,(xlRTCLENDU=2)*(xlRTCLEQCL=$F923),0))</f>
        <v>CENT_AIR</v>
      </c>
      <c r="X923" s="7" t="str">
        <f t="array" ref="X923">INDEX(xlRTTYNAME,MATCH(1,(xlRTTYENDU=1)*(xlRTTYEQCL=$D923)*(xlRTEQTYPE=$E923),0))</f>
        <v>DIST_FA1</v>
      </c>
      <c r="Y923" s="7" t="str">
        <f t="array" ref="Y923">INDEX(xlRTTYNAME,MATCH(1,(xlRTTYENDU=2)*(xlRTTYEQCL=$F923)*(xlRTEQTYPE=$G923),0))</f>
        <v>CENT_AIR1</v>
      </c>
    </row>
    <row r="924" spans="2:25" ht="14.25" customHeight="1" x14ac:dyDescent="0.2">
      <c r="B924" s="5">
        <v>3</v>
      </c>
      <c r="C924" s="5">
        <v>2</v>
      </c>
      <c r="D924" s="5">
        <v>7</v>
      </c>
      <c r="E924" s="5">
        <v>22</v>
      </c>
      <c r="F924" s="5">
        <v>2</v>
      </c>
      <c r="G924" s="31">
        <v>4</v>
      </c>
      <c r="H924" s="31">
        <v>2020</v>
      </c>
      <c r="I924" s="96">
        <v>2050</v>
      </c>
      <c r="J924" s="142">
        <v>1.099</v>
      </c>
      <c r="K924" s="142">
        <v>1.03</v>
      </c>
      <c r="L924" s="142">
        <v>1.1887000000000001</v>
      </c>
      <c r="M924" s="142">
        <v>1.1345000000000001</v>
      </c>
      <c r="N924" s="142">
        <v>1.0381</v>
      </c>
      <c r="O924" s="142">
        <v>1.0538000000000001</v>
      </c>
      <c r="P924" s="26">
        <v>0</v>
      </c>
      <c r="Q924" s="35">
        <f t="array" ref="Q924">SUM(IF(($S924&gt;=4)*($C924='TaxCred&amp;Subs'!$D$114:$D$121)*($H924='TaxCred&amp;Subs'!$C$114:$C$121)*($H924&lt;='TaxCred&amp;Subs'!$C$123),'TaxCred&amp;Subs'!$E$114:$E$121,0))</f>
        <v>0</v>
      </c>
      <c r="R924" s="143">
        <v>0</v>
      </c>
      <c r="S924" s="5">
        <v>1</v>
      </c>
      <c r="T924" s="5" t="s">
        <v>219</v>
      </c>
      <c r="V924" s="7" t="str">
        <f t="array" ref="V924">INDEX(xlRTCLNAME,MATCH(1,(xlRTCLENDU=1)*(xlRTCLEQCL=$D924),0))</f>
        <v>DIST_FA</v>
      </c>
      <c r="W924" s="7" t="str">
        <f t="array" ref="W924">INDEX(xlRTCLNAME,MATCH(1,(xlRTCLENDU=2)*(xlRTCLEQCL=$F924),0))</f>
        <v>CENT_AIR</v>
      </c>
      <c r="X924" s="7" t="str">
        <f t="array" ref="X924">INDEX(xlRTTYNAME,MATCH(1,(xlRTTYENDU=1)*(xlRTTYEQCL=$D924)*(xlRTEQTYPE=$E924),0))</f>
        <v>DIST_FA1</v>
      </c>
      <c r="Y924" s="7" t="str">
        <f t="array" ref="Y924">INDEX(xlRTTYNAME,MATCH(1,(xlRTTYENDU=2)*(xlRTTYEQCL=$F924)*(xlRTEQTYPE=$G924),0))</f>
        <v>CENT_AIR1</v>
      </c>
    </row>
    <row r="925" spans="2:25" ht="14.25" customHeight="1" x14ac:dyDescent="0.2">
      <c r="B925" s="5">
        <v>4</v>
      </c>
      <c r="C925" s="5">
        <v>2</v>
      </c>
      <c r="D925" s="5">
        <v>7</v>
      </c>
      <c r="E925" s="5">
        <v>22</v>
      </c>
      <c r="F925" s="5">
        <v>2</v>
      </c>
      <c r="G925" s="31">
        <v>4</v>
      </c>
      <c r="H925" s="31">
        <v>2020</v>
      </c>
      <c r="I925" s="96">
        <v>2050</v>
      </c>
      <c r="J925" s="142">
        <v>1.0934999999999999</v>
      </c>
      <c r="K925" s="142">
        <v>1.0435000000000001</v>
      </c>
      <c r="L925" s="142">
        <v>1.4517</v>
      </c>
      <c r="M925" s="142">
        <v>1.2250000000000001</v>
      </c>
      <c r="N925" s="142">
        <v>1.1696</v>
      </c>
      <c r="O925" s="142">
        <v>1.0538000000000001</v>
      </c>
      <c r="P925" s="26">
        <v>0</v>
      </c>
      <c r="Q925" s="35">
        <f t="array" ref="Q925">SUM(IF(($S925&gt;=4)*($C925='TaxCred&amp;Subs'!$D$114:$D$121)*($H925='TaxCred&amp;Subs'!$C$114:$C$121)*($H925&lt;='TaxCred&amp;Subs'!$C$123),'TaxCred&amp;Subs'!$E$114:$E$121,0))</f>
        <v>0</v>
      </c>
      <c r="R925" s="143">
        <v>0</v>
      </c>
      <c r="S925" s="5">
        <v>1</v>
      </c>
      <c r="T925" s="5" t="s">
        <v>219</v>
      </c>
      <c r="V925" s="7" t="str">
        <f t="array" ref="V925">INDEX(xlRTCLNAME,MATCH(1,(xlRTCLENDU=1)*(xlRTCLEQCL=$D925),0))</f>
        <v>DIST_FA</v>
      </c>
      <c r="W925" s="7" t="str">
        <f t="array" ref="W925">INDEX(xlRTCLNAME,MATCH(1,(xlRTCLENDU=2)*(xlRTCLEQCL=$F925),0))</f>
        <v>CENT_AIR</v>
      </c>
      <c r="X925" s="7" t="str">
        <f t="array" ref="X925">INDEX(xlRTTYNAME,MATCH(1,(xlRTTYENDU=1)*(xlRTTYEQCL=$D925)*(xlRTEQTYPE=$E925),0))</f>
        <v>DIST_FA1</v>
      </c>
      <c r="Y925" s="7" t="str">
        <f t="array" ref="Y925">INDEX(xlRTTYNAME,MATCH(1,(xlRTTYENDU=2)*(xlRTTYEQCL=$F925)*(xlRTEQTYPE=$G925),0))</f>
        <v>CENT_AIR1</v>
      </c>
    </row>
    <row r="926" spans="2:25" ht="14.25" customHeight="1" x14ac:dyDescent="0.2">
      <c r="B926" s="5">
        <v>5</v>
      </c>
      <c r="C926" s="5">
        <v>2</v>
      </c>
      <c r="D926" s="5">
        <v>7</v>
      </c>
      <c r="E926" s="5">
        <v>22</v>
      </c>
      <c r="F926" s="5">
        <v>2</v>
      </c>
      <c r="G926" s="31">
        <v>4</v>
      </c>
      <c r="H926" s="31">
        <v>2020</v>
      </c>
      <c r="I926" s="96">
        <v>2050</v>
      </c>
      <c r="J926" s="142">
        <v>1.1200000000000001</v>
      </c>
      <c r="K926" s="142">
        <v>1.0391999999999999</v>
      </c>
      <c r="L926" s="142">
        <v>1.6313</v>
      </c>
      <c r="M926" s="142">
        <v>1.1687000000000001</v>
      </c>
      <c r="N926" s="142">
        <v>1.2595000000000001</v>
      </c>
      <c r="O926" s="142">
        <v>1.0538000000000001</v>
      </c>
      <c r="P926" s="26">
        <v>0</v>
      </c>
      <c r="Q926" s="35">
        <f t="array" ref="Q926">SUM(IF(($S926&gt;=4)*($C926='TaxCred&amp;Subs'!$D$114:$D$121)*($H926='TaxCred&amp;Subs'!$C$114:$C$121)*($H926&lt;='TaxCred&amp;Subs'!$C$123),'TaxCred&amp;Subs'!$E$114:$E$121,0))</f>
        <v>0</v>
      </c>
      <c r="R926" s="143">
        <v>0</v>
      </c>
      <c r="S926" s="5">
        <v>1</v>
      </c>
      <c r="T926" s="5" t="s">
        <v>219</v>
      </c>
      <c r="V926" s="7" t="str">
        <f t="array" ref="V926">INDEX(xlRTCLNAME,MATCH(1,(xlRTCLENDU=1)*(xlRTCLEQCL=$D926),0))</f>
        <v>DIST_FA</v>
      </c>
      <c r="W926" s="7" t="str">
        <f t="array" ref="W926">INDEX(xlRTCLNAME,MATCH(1,(xlRTCLENDU=2)*(xlRTCLEQCL=$F926),0))</f>
        <v>CENT_AIR</v>
      </c>
      <c r="X926" s="7" t="str">
        <f t="array" ref="X926">INDEX(xlRTTYNAME,MATCH(1,(xlRTTYENDU=1)*(xlRTTYEQCL=$D926)*(xlRTEQTYPE=$E926),0))</f>
        <v>DIST_FA1</v>
      </c>
      <c r="Y926" s="7" t="str">
        <f t="array" ref="Y926">INDEX(xlRTTYNAME,MATCH(1,(xlRTTYENDU=2)*(xlRTTYEQCL=$F926)*(xlRTEQTYPE=$G926),0))</f>
        <v>CENT_AIR1</v>
      </c>
    </row>
    <row r="927" spans="2:25" ht="14.25" customHeight="1" x14ac:dyDescent="0.2">
      <c r="B927" s="5">
        <v>6</v>
      </c>
      <c r="C927" s="5">
        <v>2</v>
      </c>
      <c r="D927" s="5">
        <v>7</v>
      </c>
      <c r="E927" s="5">
        <v>22</v>
      </c>
      <c r="F927" s="5">
        <v>2</v>
      </c>
      <c r="G927" s="31">
        <v>4</v>
      </c>
      <c r="H927" s="31">
        <v>2020</v>
      </c>
      <c r="I927" s="96">
        <v>2050</v>
      </c>
      <c r="J927" s="142">
        <v>1.1200000000000001</v>
      </c>
      <c r="K927" s="142">
        <v>1.03</v>
      </c>
      <c r="L927" s="142">
        <v>1.7887</v>
      </c>
      <c r="M927" s="142">
        <v>1.2250000000000001</v>
      </c>
      <c r="N927" s="142">
        <v>1.3381000000000001</v>
      </c>
      <c r="O927" s="142">
        <v>1.0538000000000001</v>
      </c>
      <c r="P927" s="26">
        <v>0</v>
      </c>
      <c r="Q927" s="35">
        <f t="array" ref="Q927">SUM(IF(($S927&gt;=4)*($C927='TaxCred&amp;Subs'!$D$114:$D$121)*($H927='TaxCred&amp;Subs'!$C$114:$C$121)*($H927&lt;='TaxCred&amp;Subs'!$C$123),'TaxCred&amp;Subs'!$E$114:$E$121,0))</f>
        <v>0</v>
      </c>
      <c r="R927" s="143">
        <v>0</v>
      </c>
      <c r="S927" s="5">
        <v>1</v>
      </c>
      <c r="T927" s="5" t="s">
        <v>219</v>
      </c>
      <c r="V927" s="7" t="str">
        <f t="array" ref="V927">INDEX(xlRTCLNAME,MATCH(1,(xlRTCLENDU=1)*(xlRTCLEQCL=$D927),0))</f>
        <v>DIST_FA</v>
      </c>
      <c r="W927" s="7" t="str">
        <f t="array" ref="W927">INDEX(xlRTCLNAME,MATCH(1,(xlRTCLENDU=2)*(xlRTCLEQCL=$F927),0))</f>
        <v>CENT_AIR</v>
      </c>
      <c r="X927" s="7" t="str">
        <f t="array" ref="X927">INDEX(xlRTTYNAME,MATCH(1,(xlRTTYENDU=1)*(xlRTTYEQCL=$D927)*(xlRTEQTYPE=$E927),0))</f>
        <v>DIST_FA1</v>
      </c>
      <c r="Y927" s="7" t="str">
        <f t="array" ref="Y927">INDEX(xlRTTYNAME,MATCH(1,(xlRTTYENDU=2)*(xlRTTYEQCL=$F927)*(xlRTEQTYPE=$G927),0))</f>
        <v>CENT_AIR1</v>
      </c>
    </row>
    <row r="928" spans="2:25" ht="14.25" customHeight="1" x14ac:dyDescent="0.2">
      <c r="B928" s="5">
        <v>7</v>
      </c>
      <c r="C928" s="5">
        <v>2</v>
      </c>
      <c r="D928" s="5">
        <v>7</v>
      </c>
      <c r="E928" s="5">
        <v>22</v>
      </c>
      <c r="F928" s="5">
        <v>2</v>
      </c>
      <c r="G928" s="31">
        <v>4</v>
      </c>
      <c r="H928" s="31">
        <v>2020</v>
      </c>
      <c r="I928" s="96">
        <v>2050</v>
      </c>
      <c r="J928" s="142">
        <v>1.1200000000000001</v>
      </c>
      <c r="K928" s="142">
        <v>1.0476000000000001</v>
      </c>
      <c r="L928" s="142">
        <v>2</v>
      </c>
      <c r="M928" s="142">
        <v>1.2121</v>
      </c>
      <c r="N928" s="142">
        <v>1.4438</v>
      </c>
      <c r="O928" s="142">
        <v>1.0538000000000001</v>
      </c>
      <c r="P928" s="26">
        <v>0</v>
      </c>
      <c r="Q928" s="35">
        <f t="array" ref="Q928">SUM(IF(($S928&gt;=4)*($C928='TaxCred&amp;Subs'!$D$114:$D$121)*($H928='TaxCred&amp;Subs'!$C$114:$C$121)*($H928&lt;='TaxCred&amp;Subs'!$C$123),'TaxCred&amp;Subs'!$E$114:$E$121,0))</f>
        <v>0</v>
      </c>
      <c r="R928" s="143">
        <v>0</v>
      </c>
      <c r="S928" s="5">
        <v>1</v>
      </c>
      <c r="T928" s="5" t="s">
        <v>219</v>
      </c>
      <c r="V928" s="7" t="str">
        <f t="array" ref="V928">INDEX(xlRTCLNAME,MATCH(1,(xlRTCLENDU=1)*(xlRTCLEQCL=$D928),0))</f>
        <v>DIST_FA</v>
      </c>
      <c r="W928" s="7" t="str">
        <f t="array" ref="W928">INDEX(xlRTCLNAME,MATCH(1,(xlRTCLENDU=2)*(xlRTCLEQCL=$F928),0))</f>
        <v>CENT_AIR</v>
      </c>
      <c r="X928" s="7" t="str">
        <f t="array" ref="X928">INDEX(xlRTTYNAME,MATCH(1,(xlRTTYENDU=1)*(xlRTTYEQCL=$D928)*(xlRTEQTYPE=$E928),0))</f>
        <v>DIST_FA1</v>
      </c>
      <c r="Y928" s="7" t="str">
        <f t="array" ref="Y928">INDEX(xlRTTYNAME,MATCH(1,(xlRTTYENDU=2)*(xlRTTYEQCL=$F928)*(xlRTEQTYPE=$G928),0))</f>
        <v>CENT_AIR1</v>
      </c>
    </row>
    <row r="929" spans="2:25" ht="14.25" customHeight="1" x14ac:dyDescent="0.2">
      <c r="B929" s="5">
        <v>8</v>
      </c>
      <c r="C929" s="5">
        <v>2</v>
      </c>
      <c r="D929" s="5">
        <v>7</v>
      </c>
      <c r="E929" s="5">
        <v>22</v>
      </c>
      <c r="F929" s="5">
        <v>2</v>
      </c>
      <c r="G929" s="31">
        <v>4</v>
      </c>
      <c r="H929" s="31">
        <v>2020</v>
      </c>
      <c r="I929" s="96">
        <v>2050</v>
      </c>
      <c r="J929" s="142">
        <v>1.1064000000000001</v>
      </c>
      <c r="K929" s="142">
        <v>1.0645</v>
      </c>
      <c r="L929" s="142">
        <v>1.6777</v>
      </c>
      <c r="M929" s="142">
        <v>1.3391999999999999</v>
      </c>
      <c r="N929" s="142">
        <v>1.2826</v>
      </c>
      <c r="O929" s="142">
        <v>1.0538000000000001</v>
      </c>
      <c r="P929" s="26">
        <v>0</v>
      </c>
      <c r="Q929" s="35">
        <f t="array" ref="Q929">SUM(IF(($S929&gt;=4)*($C929='TaxCred&amp;Subs'!$D$114:$D$121)*($H929='TaxCred&amp;Subs'!$C$114:$C$121)*($H929&lt;='TaxCred&amp;Subs'!$C$123),'TaxCred&amp;Subs'!$E$114:$E$121,0))</f>
        <v>0</v>
      </c>
      <c r="R929" s="143">
        <v>0</v>
      </c>
      <c r="S929" s="5">
        <v>1</v>
      </c>
      <c r="T929" s="5" t="s">
        <v>219</v>
      </c>
      <c r="V929" s="7" t="str">
        <f t="array" ref="V929">INDEX(xlRTCLNAME,MATCH(1,(xlRTCLENDU=1)*(xlRTCLEQCL=$D929),0))</f>
        <v>DIST_FA</v>
      </c>
      <c r="W929" s="7" t="str">
        <f t="array" ref="W929">INDEX(xlRTCLNAME,MATCH(1,(xlRTCLENDU=2)*(xlRTCLEQCL=$F929),0))</f>
        <v>CENT_AIR</v>
      </c>
      <c r="X929" s="7" t="str">
        <f t="array" ref="X929">INDEX(xlRTTYNAME,MATCH(1,(xlRTTYENDU=1)*(xlRTTYEQCL=$D929)*(xlRTEQTYPE=$E929),0))</f>
        <v>DIST_FA1</v>
      </c>
      <c r="Y929" s="7" t="str">
        <f t="array" ref="Y929">INDEX(xlRTTYNAME,MATCH(1,(xlRTTYENDU=2)*(xlRTTYEQCL=$F929)*(xlRTEQTYPE=$G929),0))</f>
        <v>CENT_AIR1</v>
      </c>
    </row>
    <row r="930" spans="2:25" ht="14.25" customHeight="1" x14ac:dyDescent="0.2">
      <c r="B930" s="5">
        <v>9</v>
      </c>
      <c r="C930" s="5">
        <v>2</v>
      </c>
      <c r="D930" s="5">
        <v>7</v>
      </c>
      <c r="E930" s="5">
        <v>22</v>
      </c>
      <c r="F930" s="5">
        <v>2</v>
      </c>
      <c r="G930" s="31">
        <v>4</v>
      </c>
      <c r="H930" s="31">
        <v>2020</v>
      </c>
      <c r="I930" s="96">
        <v>2050</v>
      </c>
      <c r="J930" s="142">
        <v>1.03</v>
      </c>
      <c r="K930" s="142">
        <v>1.0556000000000001</v>
      </c>
      <c r="L930" s="142">
        <v>2</v>
      </c>
      <c r="M930" s="142">
        <v>1.2834000000000001</v>
      </c>
      <c r="N930" s="142">
        <v>1.4438</v>
      </c>
      <c r="O930" s="142">
        <v>1.0538000000000001</v>
      </c>
      <c r="P930" s="26">
        <v>0</v>
      </c>
      <c r="Q930" s="35">
        <f t="array" ref="Q930">SUM(IF(($S930&gt;=4)*($C930='TaxCred&amp;Subs'!$D$114:$D$121)*($H930='TaxCred&amp;Subs'!$C$114:$C$121)*($H930&lt;='TaxCred&amp;Subs'!$C$123),'TaxCred&amp;Subs'!$E$114:$E$121,0))</f>
        <v>0</v>
      </c>
      <c r="R930" s="143">
        <v>0</v>
      </c>
      <c r="S930" s="5">
        <v>1</v>
      </c>
      <c r="T930" s="5" t="s">
        <v>219</v>
      </c>
      <c r="V930" s="7" t="str">
        <f t="array" ref="V930">INDEX(xlRTCLNAME,MATCH(1,(xlRTCLENDU=1)*(xlRTCLEQCL=$D930),0))</f>
        <v>DIST_FA</v>
      </c>
      <c r="W930" s="7" t="str">
        <f t="array" ref="W930">INDEX(xlRTCLNAME,MATCH(1,(xlRTCLENDU=2)*(xlRTCLEQCL=$F930),0))</f>
        <v>CENT_AIR</v>
      </c>
      <c r="X930" s="7" t="str">
        <f t="array" ref="X930">INDEX(xlRTTYNAME,MATCH(1,(xlRTTYENDU=1)*(xlRTTYEQCL=$D930)*(xlRTEQTYPE=$E930),0))</f>
        <v>DIST_FA1</v>
      </c>
      <c r="Y930" s="7" t="str">
        <f t="array" ref="Y930">INDEX(xlRTTYNAME,MATCH(1,(xlRTTYENDU=2)*(xlRTTYEQCL=$F930)*(xlRTEQTYPE=$G930),0))</f>
        <v>CENT_AIR1</v>
      </c>
    </row>
    <row r="931" spans="2:25" ht="14.25" customHeight="1" x14ac:dyDescent="0.2">
      <c r="B931" s="5">
        <v>1</v>
      </c>
      <c r="C931" s="5">
        <v>2</v>
      </c>
      <c r="D931" s="5">
        <v>8</v>
      </c>
      <c r="E931" s="5">
        <v>26</v>
      </c>
      <c r="F931" s="5">
        <v>2</v>
      </c>
      <c r="G931" s="31">
        <v>4</v>
      </c>
      <c r="H931" s="31">
        <v>2020</v>
      </c>
      <c r="I931" s="96">
        <v>2050</v>
      </c>
      <c r="J931" s="142">
        <v>1.0864</v>
      </c>
      <c r="K931" s="142">
        <v>1.0417000000000001</v>
      </c>
      <c r="L931" s="142">
        <v>1.3438000000000001</v>
      </c>
      <c r="M931" s="142">
        <v>1.1909000000000001</v>
      </c>
      <c r="N931" s="142">
        <v>1.1156999999999999</v>
      </c>
      <c r="O931" s="142">
        <v>1.0538000000000001</v>
      </c>
      <c r="P931" s="26">
        <v>0</v>
      </c>
      <c r="Q931" s="35">
        <f t="array" ref="Q931">SUM(IF(($S931&gt;=4)*($C931='TaxCred&amp;Subs'!$D$114:$D$121)*($H931='TaxCred&amp;Subs'!$C$114:$C$121)*($H931&lt;='TaxCred&amp;Subs'!$C$123),'TaxCred&amp;Subs'!$E$114:$E$121,0))</f>
        <v>0</v>
      </c>
      <c r="R931" s="143">
        <v>0</v>
      </c>
      <c r="S931" s="5">
        <v>1</v>
      </c>
      <c r="T931" s="5" t="s">
        <v>219</v>
      </c>
      <c r="V931" s="7" t="str">
        <f t="array" ref="V931">INDEX(xlRTCLNAME,MATCH(1,(xlRTCLENDU=1)*(xlRTCLEQCL=$D931),0))</f>
        <v>DIST_RAD</v>
      </c>
      <c r="W931" s="7" t="str">
        <f t="array" ref="W931">INDEX(xlRTCLNAME,MATCH(1,(xlRTCLENDU=2)*(xlRTCLEQCL=$F931),0))</f>
        <v>CENT_AIR</v>
      </c>
      <c r="X931" s="7" t="str">
        <f t="array" ref="X931">INDEX(xlRTTYNAME,MATCH(1,(xlRTTYENDU=1)*(xlRTTYEQCL=$D931)*(xlRTEQTYPE=$E931),0))</f>
        <v>DIST_RAD1</v>
      </c>
      <c r="Y931" s="7" t="str">
        <f t="array" ref="Y931">INDEX(xlRTTYNAME,MATCH(1,(xlRTTYENDU=2)*(xlRTTYEQCL=$F931)*(xlRTEQTYPE=$G931),0))</f>
        <v>CENT_AIR1</v>
      </c>
    </row>
    <row r="932" spans="2:25" ht="14.25" customHeight="1" x14ac:dyDescent="0.2">
      <c r="B932" s="5">
        <v>2</v>
      </c>
      <c r="C932" s="5">
        <v>2</v>
      </c>
      <c r="D932" s="5">
        <v>8</v>
      </c>
      <c r="E932" s="5">
        <v>26</v>
      </c>
      <c r="F932" s="5">
        <v>2</v>
      </c>
      <c r="G932" s="31">
        <v>4</v>
      </c>
      <c r="H932" s="31">
        <v>2020</v>
      </c>
      <c r="I932" s="96">
        <v>2050</v>
      </c>
      <c r="J932" s="142">
        <v>1.0891</v>
      </c>
      <c r="K932" s="142">
        <v>1.0713999999999999</v>
      </c>
      <c r="L932" s="142">
        <v>1.3633999999999999</v>
      </c>
      <c r="M932" s="142">
        <v>1.2250000000000001</v>
      </c>
      <c r="N932" s="142">
        <v>1.1254999999999999</v>
      </c>
      <c r="O932" s="142">
        <v>1.0538000000000001</v>
      </c>
      <c r="P932" s="26">
        <v>0</v>
      </c>
      <c r="Q932" s="35">
        <f t="array" ref="Q932">SUM(IF(($S932&gt;=4)*($C932='TaxCred&amp;Subs'!$D$114:$D$121)*($H932='TaxCred&amp;Subs'!$C$114:$C$121)*($H932&lt;='TaxCred&amp;Subs'!$C$123),'TaxCred&amp;Subs'!$E$114:$E$121,0))</f>
        <v>0</v>
      </c>
      <c r="R932" s="143">
        <v>0</v>
      </c>
      <c r="S932" s="5">
        <v>1</v>
      </c>
      <c r="T932" s="5" t="s">
        <v>219</v>
      </c>
      <c r="V932" s="7" t="str">
        <f t="array" ref="V932">INDEX(xlRTCLNAME,MATCH(1,(xlRTCLENDU=1)*(xlRTCLEQCL=$D932),0))</f>
        <v>DIST_RAD</v>
      </c>
      <c r="W932" s="7" t="str">
        <f t="array" ref="W932">INDEX(xlRTCLNAME,MATCH(1,(xlRTCLENDU=2)*(xlRTCLEQCL=$F932),0))</f>
        <v>CENT_AIR</v>
      </c>
      <c r="X932" s="7" t="str">
        <f t="array" ref="X932">INDEX(xlRTTYNAME,MATCH(1,(xlRTTYENDU=1)*(xlRTTYEQCL=$D932)*(xlRTEQTYPE=$E932),0))</f>
        <v>DIST_RAD1</v>
      </c>
      <c r="Y932" s="7" t="str">
        <f t="array" ref="Y932">INDEX(xlRTTYNAME,MATCH(1,(xlRTTYENDU=2)*(xlRTTYEQCL=$F932)*(xlRTEQTYPE=$G932),0))</f>
        <v>CENT_AIR1</v>
      </c>
    </row>
    <row r="933" spans="2:25" ht="14.25" customHeight="1" x14ac:dyDescent="0.2">
      <c r="B933" s="5">
        <v>3</v>
      </c>
      <c r="C933" s="5">
        <v>2</v>
      </c>
      <c r="D933" s="5">
        <v>8</v>
      </c>
      <c r="E933" s="5">
        <v>26</v>
      </c>
      <c r="F933" s="5">
        <v>2</v>
      </c>
      <c r="G933" s="31">
        <v>4</v>
      </c>
      <c r="H933" s="31">
        <v>2020</v>
      </c>
      <c r="I933" s="96">
        <v>2050</v>
      </c>
      <c r="J933" s="142">
        <v>1.0962000000000001</v>
      </c>
      <c r="K933" s="142">
        <v>1.0345</v>
      </c>
      <c r="L933" s="142">
        <v>1.1958</v>
      </c>
      <c r="M933" s="142">
        <v>1.1345000000000001</v>
      </c>
      <c r="N933" s="142">
        <v>1.0417000000000001</v>
      </c>
      <c r="O933" s="142">
        <v>1.0538000000000001</v>
      </c>
      <c r="P933" s="26">
        <v>0</v>
      </c>
      <c r="Q933" s="35">
        <f t="array" ref="Q933">SUM(IF(($S933&gt;=4)*($C933='TaxCred&amp;Subs'!$D$114:$D$121)*($H933='TaxCred&amp;Subs'!$C$114:$C$121)*($H933&lt;='TaxCred&amp;Subs'!$C$123),'TaxCred&amp;Subs'!$E$114:$E$121,0))</f>
        <v>0</v>
      </c>
      <c r="R933" s="143">
        <v>0</v>
      </c>
      <c r="S933" s="5">
        <v>1</v>
      </c>
      <c r="T933" s="5" t="s">
        <v>219</v>
      </c>
      <c r="V933" s="7" t="str">
        <f t="array" ref="V933">INDEX(xlRTCLNAME,MATCH(1,(xlRTCLENDU=1)*(xlRTCLEQCL=$D933),0))</f>
        <v>DIST_RAD</v>
      </c>
      <c r="W933" s="7" t="str">
        <f t="array" ref="W933">INDEX(xlRTCLNAME,MATCH(1,(xlRTCLENDU=2)*(xlRTCLEQCL=$F933),0))</f>
        <v>CENT_AIR</v>
      </c>
      <c r="X933" s="7" t="str">
        <f t="array" ref="X933">INDEX(xlRTTYNAME,MATCH(1,(xlRTTYENDU=1)*(xlRTTYEQCL=$D933)*(xlRTEQTYPE=$E933),0))</f>
        <v>DIST_RAD1</v>
      </c>
      <c r="Y933" s="7" t="str">
        <f t="array" ref="Y933">INDEX(xlRTTYNAME,MATCH(1,(xlRTTYENDU=2)*(xlRTTYEQCL=$F933)*(xlRTEQTYPE=$G933),0))</f>
        <v>CENT_AIR1</v>
      </c>
    </row>
    <row r="934" spans="2:25" ht="14.25" customHeight="1" x14ac:dyDescent="0.2">
      <c r="B934" s="5">
        <v>4</v>
      </c>
      <c r="C934" s="5">
        <v>2</v>
      </c>
      <c r="D934" s="5">
        <v>8</v>
      </c>
      <c r="E934" s="5">
        <v>26</v>
      </c>
      <c r="F934" s="5">
        <v>2</v>
      </c>
      <c r="G934" s="31">
        <v>4</v>
      </c>
      <c r="H934" s="31">
        <v>2020</v>
      </c>
      <c r="I934" s="96">
        <v>2050</v>
      </c>
      <c r="J934" s="142">
        <v>1.1024</v>
      </c>
      <c r="K934" s="142">
        <v>1.0435000000000001</v>
      </c>
      <c r="L934" s="142">
        <v>1.4481999999999999</v>
      </c>
      <c r="M934" s="142">
        <v>1.2250000000000001</v>
      </c>
      <c r="N934" s="142">
        <v>1.1678999999999999</v>
      </c>
      <c r="O934" s="142">
        <v>1.0538000000000001</v>
      </c>
      <c r="P934" s="26">
        <v>0</v>
      </c>
      <c r="Q934" s="35">
        <f t="array" ref="Q934">SUM(IF(($S934&gt;=4)*($C934='TaxCred&amp;Subs'!$D$114:$D$121)*($H934='TaxCred&amp;Subs'!$C$114:$C$121)*($H934&lt;='TaxCred&amp;Subs'!$C$123),'TaxCred&amp;Subs'!$E$114:$E$121,0))</f>
        <v>0</v>
      </c>
      <c r="R934" s="143">
        <v>0</v>
      </c>
      <c r="S934" s="5">
        <v>1</v>
      </c>
      <c r="T934" s="5" t="s">
        <v>219</v>
      </c>
      <c r="V934" s="7" t="str">
        <f t="array" ref="V934">INDEX(xlRTCLNAME,MATCH(1,(xlRTCLENDU=1)*(xlRTCLEQCL=$D934),0))</f>
        <v>DIST_RAD</v>
      </c>
      <c r="W934" s="7" t="str">
        <f t="array" ref="W934">INDEX(xlRTCLNAME,MATCH(1,(xlRTCLENDU=2)*(xlRTCLEQCL=$F934),0))</f>
        <v>CENT_AIR</v>
      </c>
      <c r="X934" s="7" t="str">
        <f t="array" ref="X934">INDEX(xlRTTYNAME,MATCH(1,(xlRTTYENDU=1)*(xlRTTYEQCL=$D934)*(xlRTEQTYPE=$E934),0))</f>
        <v>DIST_RAD1</v>
      </c>
      <c r="Y934" s="7" t="str">
        <f t="array" ref="Y934">INDEX(xlRTTYNAME,MATCH(1,(xlRTTYENDU=2)*(xlRTTYEQCL=$F934)*(xlRTEQTYPE=$G934),0))</f>
        <v>CENT_AIR1</v>
      </c>
    </row>
    <row r="935" spans="2:25" ht="14.25" customHeight="1" x14ac:dyDescent="0.2">
      <c r="B935" s="5">
        <v>5</v>
      </c>
      <c r="C935" s="5">
        <v>2</v>
      </c>
      <c r="D935" s="5">
        <v>8</v>
      </c>
      <c r="E935" s="5">
        <v>26</v>
      </c>
      <c r="F935" s="5">
        <v>2</v>
      </c>
      <c r="G935" s="31">
        <v>4</v>
      </c>
      <c r="H935" s="31">
        <v>2020</v>
      </c>
      <c r="I935" s="96">
        <v>2050</v>
      </c>
      <c r="J935" s="142">
        <v>1.03</v>
      </c>
      <c r="K935" s="142">
        <v>1.03</v>
      </c>
      <c r="L935" s="142">
        <v>1.7131000000000001</v>
      </c>
      <c r="M935" s="142">
        <v>1.1687000000000001</v>
      </c>
      <c r="N935" s="142">
        <v>1.3003</v>
      </c>
      <c r="O935" s="142">
        <v>1.0538000000000001</v>
      </c>
      <c r="P935" s="26">
        <v>0</v>
      </c>
      <c r="Q935" s="35">
        <f t="array" ref="Q935">SUM(IF(($S935&gt;=4)*($C935='TaxCred&amp;Subs'!$D$114:$D$121)*($H935='TaxCred&amp;Subs'!$C$114:$C$121)*($H935&lt;='TaxCred&amp;Subs'!$C$123),'TaxCred&amp;Subs'!$E$114:$E$121,0))</f>
        <v>0</v>
      </c>
      <c r="R935" s="143">
        <v>0</v>
      </c>
      <c r="S935" s="5">
        <v>1</v>
      </c>
      <c r="T935" s="5" t="s">
        <v>219</v>
      </c>
      <c r="V935" s="7" t="str">
        <f t="array" ref="V935">INDEX(xlRTCLNAME,MATCH(1,(xlRTCLENDU=1)*(xlRTCLEQCL=$D935),0))</f>
        <v>DIST_RAD</v>
      </c>
      <c r="W935" s="7" t="str">
        <f t="array" ref="W935">INDEX(xlRTCLNAME,MATCH(1,(xlRTCLENDU=2)*(xlRTCLEQCL=$F935),0))</f>
        <v>CENT_AIR</v>
      </c>
      <c r="X935" s="7" t="str">
        <f t="array" ref="X935">INDEX(xlRTTYNAME,MATCH(1,(xlRTTYENDU=1)*(xlRTTYEQCL=$D935)*(xlRTEQTYPE=$E935),0))</f>
        <v>DIST_RAD1</v>
      </c>
      <c r="Y935" s="7" t="str">
        <f t="array" ref="Y935">INDEX(xlRTTYNAME,MATCH(1,(xlRTTYENDU=2)*(xlRTTYEQCL=$F935)*(xlRTEQTYPE=$G935),0))</f>
        <v>CENT_AIR1</v>
      </c>
    </row>
    <row r="936" spans="2:25" ht="14.25" customHeight="1" x14ac:dyDescent="0.2">
      <c r="B936" s="5">
        <v>6</v>
      </c>
      <c r="C936" s="5">
        <v>2</v>
      </c>
      <c r="D936" s="5">
        <v>8</v>
      </c>
      <c r="E936" s="5">
        <v>26</v>
      </c>
      <c r="F936" s="5">
        <v>2</v>
      </c>
      <c r="G936" s="31">
        <v>4</v>
      </c>
      <c r="H936" s="31">
        <v>2020</v>
      </c>
      <c r="I936" s="96">
        <v>2050</v>
      </c>
      <c r="J936" s="142">
        <v>1.1200000000000001</v>
      </c>
      <c r="K936" s="142">
        <v>1.0417000000000001</v>
      </c>
      <c r="L936" s="142">
        <v>1.8438000000000001</v>
      </c>
      <c r="M936" s="142">
        <v>1.2250000000000001</v>
      </c>
      <c r="N936" s="142">
        <v>1.3656999999999999</v>
      </c>
      <c r="O936" s="142">
        <v>1.0538000000000001</v>
      </c>
      <c r="P936" s="26">
        <v>0</v>
      </c>
      <c r="Q936" s="35">
        <f t="array" ref="Q936">SUM(IF(($S936&gt;=4)*($C936='TaxCred&amp;Subs'!$D$114:$D$121)*($H936='TaxCred&amp;Subs'!$C$114:$C$121)*($H936&lt;='TaxCred&amp;Subs'!$C$123),'TaxCred&amp;Subs'!$E$114:$E$121,0))</f>
        <v>0</v>
      </c>
      <c r="R936" s="143">
        <v>0</v>
      </c>
      <c r="S936" s="5">
        <v>1</v>
      </c>
      <c r="T936" s="5" t="s">
        <v>219</v>
      </c>
      <c r="V936" s="7" t="str">
        <f t="array" ref="V936">INDEX(xlRTCLNAME,MATCH(1,(xlRTCLENDU=1)*(xlRTCLEQCL=$D936),0))</f>
        <v>DIST_RAD</v>
      </c>
      <c r="W936" s="7" t="str">
        <f t="array" ref="W936">INDEX(xlRTCLNAME,MATCH(1,(xlRTCLENDU=2)*(xlRTCLEQCL=$F936),0))</f>
        <v>CENT_AIR</v>
      </c>
      <c r="X936" s="7" t="str">
        <f t="array" ref="X936">INDEX(xlRTTYNAME,MATCH(1,(xlRTTYENDU=1)*(xlRTTYEQCL=$D936)*(xlRTEQTYPE=$E936),0))</f>
        <v>DIST_RAD1</v>
      </c>
      <c r="Y936" s="7" t="str">
        <f t="array" ref="Y936">INDEX(xlRTTYNAME,MATCH(1,(xlRTTYENDU=2)*(xlRTTYEQCL=$F936)*(xlRTEQTYPE=$G936),0))</f>
        <v>CENT_AIR1</v>
      </c>
    </row>
    <row r="937" spans="2:25" ht="14.25" customHeight="1" x14ac:dyDescent="0.2">
      <c r="B937" s="5">
        <v>7</v>
      </c>
      <c r="C937" s="5">
        <v>2</v>
      </c>
      <c r="D937" s="5">
        <v>8</v>
      </c>
      <c r="E937" s="5">
        <v>26</v>
      </c>
      <c r="F937" s="5">
        <v>2</v>
      </c>
      <c r="G937" s="31">
        <v>4</v>
      </c>
      <c r="H937" s="31">
        <v>2020</v>
      </c>
      <c r="I937" s="96">
        <v>2050</v>
      </c>
      <c r="J937" s="142">
        <v>1.1200000000000001</v>
      </c>
      <c r="K937" s="142">
        <v>1.0462</v>
      </c>
      <c r="L937" s="142">
        <v>2</v>
      </c>
      <c r="M937" s="142">
        <v>1.2121</v>
      </c>
      <c r="N937" s="142">
        <v>1.4438</v>
      </c>
      <c r="O937" s="142">
        <v>1.0538000000000001</v>
      </c>
      <c r="P937" s="26">
        <v>0</v>
      </c>
      <c r="Q937" s="35">
        <f t="array" ref="Q937">SUM(IF(($S937&gt;=4)*($C937='TaxCred&amp;Subs'!$D$114:$D$121)*($H937='TaxCred&amp;Subs'!$C$114:$C$121)*($H937&lt;='TaxCred&amp;Subs'!$C$123),'TaxCred&amp;Subs'!$E$114:$E$121,0))</f>
        <v>0</v>
      </c>
      <c r="R937" s="143">
        <v>0</v>
      </c>
      <c r="S937" s="5">
        <v>1</v>
      </c>
      <c r="T937" s="5" t="s">
        <v>219</v>
      </c>
      <c r="V937" s="7" t="str">
        <f t="array" ref="V937">INDEX(xlRTCLNAME,MATCH(1,(xlRTCLENDU=1)*(xlRTCLEQCL=$D937),0))</f>
        <v>DIST_RAD</v>
      </c>
      <c r="W937" s="7" t="str">
        <f t="array" ref="W937">INDEX(xlRTCLNAME,MATCH(1,(xlRTCLENDU=2)*(xlRTCLEQCL=$F937),0))</f>
        <v>CENT_AIR</v>
      </c>
      <c r="X937" s="7" t="str">
        <f t="array" ref="X937">INDEX(xlRTTYNAME,MATCH(1,(xlRTTYENDU=1)*(xlRTTYEQCL=$D937)*(xlRTEQTYPE=$E937),0))</f>
        <v>DIST_RAD1</v>
      </c>
      <c r="Y937" s="7" t="str">
        <f t="array" ref="Y937">INDEX(xlRTTYNAME,MATCH(1,(xlRTTYENDU=2)*(xlRTTYEQCL=$F937)*(xlRTEQTYPE=$G937),0))</f>
        <v>CENT_AIR1</v>
      </c>
    </row>
    <row r="938" spans="2:25" ht="14.25" customHeight="1" x14ac:dyDescent="0.2">
      <c r="B938" s="5">
        <v>8</v>
      </c>
      <c r="C938" s="5">
        <v>2</v>
      </c>
      <c r="D938" s="5">
        <v>8</v>
      </c>
      <c r="E938" s="5">
        <v>26</v>
      </c>
      <c r="F938" s="5">
        <v>2</v>
      </c>
      <c r="G938" s="31">
        <v>4</v>
      </c>
      <c r="H938" s="31">
        <v>2020</v>
      </c>
      <c r="I938" s="96">
        <v>2050</v>
      </c>
      <c r="J938" s="142">
        <v>1.1045</v>
      </c>
      <c r="K938" s="142">
        <v>1.0323</v>
      </c>
      <c r="L938" s="142">
        <v>1.6819</v>
      </c>
      <c r="M938" s="142">
        <v>1.3391999999999999</v>
      </c>
      <c r="N938" s="142">
        <v>1.2847999999999999</v>
      </c>
      <c r="O938" s="142">
        <v>1.0538000000000001</v>
      </c>
      <c r="P938" s="26">
        <v>0</v>
      </c>
      <c r="Q938" s="35">
        <f t="array" ref="Q938">SUM(IF(($S938&gt;=4)*($C938='TaxCred&amp;Subs'!$D$114:$D$121)*($H938='TaxCred&amp;Subs'!$C$114:$C$121)*($H938&lt;='TaxCred&amp;Subs'!$C$123),'TaxCred&amp;Subs'!$E$114:$E$121,0))</f>
        <v>0</v>
      </c>
      <c r="R938" s="143">
        <v>0</v>
      </c>
      <c r="S938" s="5">
        <v>1</v>
      </c>
      <c r="T938" s="5" t="s">
        <v>219</v>
      </c>
      <c r="V938" s="7" t="str">
        <f t="array" ref="V938">INDEX(xlRTCLNAME,MATCH(1,(xlRTCLENDU=1)*(xlRTCLEQCL=$D938),0))</f>
        <v>DIST_RAD</v>
      </c>
      <c r="W938" s="7" t="str">
        <f t="array" ref="W938">INDEX(xlRTCLNAME,MATCH(1,(xlRTCLENDU=2)*(xlRTCLEQCL=$F938),0))</f>
        <v>CENT_AIR</v>
      </c>
      <c r="X938" s="7" t="str">
        <f t="array" ref="X938">INDEX(xlRTTYNAME,MATCH(1,(xlRTTYENDU=1)*(xlRTTYEQCL=$D938)*(xlRTEQTYPE=$E938),0))</f>
        <v>DIST_RAD1</v>
      </c>
      <c r="Y938" s="7" t="str">
        <f t="array" ref="Y938">INDEX(xlRTTYNAME,MATCH(1,(xlRTTYENDU=2)*(xlRTTYEQCL=$F938)*(xlRTEQTYPE=$G938),0))</f>
        <v>CENT_AIR1</v>
      </c>
    </row>
    <row r="939" spans="2:25" ht="14.25" customHeight="1" x14ac:dyDescent="0.2">
      <c r="B939" s="5">
        <v>9</v>
      </c>
      <c r="C939" s="5">
        <v>2</v>
      </c>
      <c r="D939" s="5">
        <v>8</v>
      </c>
      <c r="E939" s="5">
        <v>26</v>
      </c>
      <c r="F939" s="5">
        <v>2</v>
      </c>
      <c r="G939" s="31">
        <v>4</v>
      </c>
      <c r="H939" s="31">
        <v>2020</v>
      </c>
      <c r="I939" s="96">
        <v>2050</v>
      </c>
      <c r="J939" s="142">
        <v>1.1200000000000001</v>
      </c>
      <c r="K939" s="142">
        <v>1.0541</v>
      </c>
      <c r="L939" s="142">
        <v>2</v>
      </c>
      <c r="M939" s="142">
        <v>1.2834000000000001</v>
      </c>
      <c r="N939" s="142">
        <v>1.4438</v>
      </c>
      <c r="O939" s="142">
        <v>1.0538000000000001</v>
      </c>
      <c r="P939" s="26">
        <v>0</v>
      </c>
      <c r="Q939" s="35">
        <f t="array" ref="Q939">SUM(IF(($S939&gt;=4)*($C939='TaxCred&amp;Subs'!$D$114:$D$121)*($H939='TaxCred&amp;Subs'!$C$114:$C$121)*($H939&lt;='TaxCred&amp;Subs'!$C$123),'TaxCred&amp;Subs'!$E$114:$E$121,0))</f>
        <v>0</v>
      </c>
      <c r="R939" s="143">
        <v>0</v>
      </c>
      <c r="S939" s="5">
        <v>1</v>
      </c>
      <c r="T939" s="5" t="s">
        <v>219</v>
      </c>
      <c r="V939" s="7" t="str">
        <f t="array" ref="V939">INDEX(xlRTCLNAME,MATCH(1,(xlRTCLENDU=1)*(xlRTCLEQCL=$D939),0))</f>
        <v>DIST_RAD</v>
      </c>
      <c r="W939" s="7" t="str">
        <f t="array" ref="W939">INDEX(xlRTCLNAME,MATCH(1,(xlRTCLENDU=2)*(xlRTCLEQCL=$F939),0))</f>
        <v>CENT_AIR</v>
      </c>
      <c r="X939" s="7" t="str">
        <f t="array" ref="X939">INDEX(xlRTTYNAME,MATCH(1,(xlRTTYENDU=1)*(xlRTTYEQCL=$D939)*(xlRTEQTYPE=$E939),0))</f>
        <v>DIST_RAD1</v>
      </c>
      <c r="Y939" s="7" t="str">
        <f t="array" ref="Y939">INDEX(xlRTTYNAME,MATCH(1,(xlRTTYENDU=2)*(xlRTTYEQCL=$F939)*(xlRTEQTYPE=$G939),0))</f>
        <v>CENT_AIR1</v>
      </c>
    </row>
    <row r="940" spans="2:25" ht="14.25" customHeight="1" x14ac:dyDescent="0.2">
      <c r="B940" s="5">
        <v>1</v>
      </c>
      <c r="C940" s="5">
        <v>2</v>
      </c>
      <c r="D940" s="5">
        <v>9</v>
      </c>
      <c r="E940" s="31">
        <v>29</v>
      </c>
      <c r="F940" s="5">
        <v>2</v>
      </c>
      <c r="G940" s="31">
        <v>4</v>
      </c>
      <c r="H940" s="31">
        <v>2020</v>
      </c>
      <c r="I940" s="96">
        <v>2050</v>
      </c>
      <c r="J940" s="142">
        <v>1.0864</v>
      </c>
      <c r="K940" s="142">
        <v>1.0417000000000001</v>
      </c>
      <c r="L940" s="142">
        <v>1.3438000000000001</v>
      </c>
      <c r="M940" s="142">
        <v>1.1909000000000001</v>
      </c>
      <c r="N940" s="142">
        <v>1.1156999999999999</v>
      </c>
      <c r="O940" s="142">
        <v>1.0538000000000001</v>
      </c>
      <c r="P940" s="26">
        <v>0</v>
      </c>
      <c r="Q940" s="35">
        <f t="array" ref="Q940">SUM(IF(($S940&gt;=4)*($C940='TaxCred&amp;Subs'!$D$114:$D$121)*($H940='TaxCred&amp;Subs'!$C$114:$C$121)*($H940&lt;='TaxCred&amp;Subs'!$C$123),'TaxCred&amp;Subs'!$E$114:$E$121,0))</f>
        <v>0</v>
      </c>
      <c r="R940" s="143">
        <v>0</v>
      </c>
      <c r="S940" s="5">
        <v>1</v>
      </c>
      <c r="T940" s="5" t="s">
        <v>219</v>
      </c>
      <c r="V940" s="7" t="str">
        <f t="array" ref="V940">INDEX(xlRTCLNAME,MATCH(1,(xlRTCLENDU=1)*(xlRTCLEQCL=$D940),0))</f>
        <v>WOOD_HT</v>
      </c>
      <c r="W940" s="7" t="str">
        <f t="array" ref="W940">INDEX(xlRTCLNAME,MATCH(1,(xlRTCLENDU=2)*(xlRTCLEQCL=$F940),0))</f>
        <v>CENT_AIR</v>
      </c>
      <c r="X940" s="7" t="str">
        <f t="array" ref="X940">INDEX(xlRTTYNAME,MATCH(1,(xlRTTYENDU=1)*(xlRTTYEQCL=$D940)*(xlRTEQTYPE=$E940),0))</f>
        <v>WOOD_HT2</v>
      </c>
      <c r="Y940" s="7" t="str">
        <f t="array" ref="Y940">INDEX(xlRTTYNAME,MATCH(1,(xlRTTYENDU=2)*(xlRTTYEQCL=$F940)*(xlRTEQTYPE=$G940),0))</f>
        <v>CENT_AIR1</v>
      </c>
    </row>
    <row r="941" spans="2:25" ht="14.25" customHeight="1" x14ac:dyDescent="0.2">
      <c r="B941" s="5">
        <v>2</v>
      </c>
      <c r="C941" s="5">
        <v>2</v>
      </c>
      <c r="D941" s="5">
        <v>9</v>
      </c>
      <c r="E941" s="31">
        <v>29</v>
      </c>
      <c r="F941" s="5">
        <v>2</v>
      </c>
      <c r="G941" s="31">
        <v>4</v>
      </c>
      <c r="H941" s="31">
        <v>2020</v>
      </c>
      <c r="I941" s="96">
        <v>2050</v>
      </c>
      <c r="J941" s="142">
        <v>1.0891</v>
      </c>
      <c r="K941" s="142">
        <v>1.0713999999999999</v>
      </c>
      <c r="L941" s="142">
        <v>1.3633999999999999</v>
      </c>
      <c r="M941" s="142">
        <v>1.2250000000000001</v>
      </c>
      <c r="N941" s="142">
        <v>1.1254999999999999</v>
      </c>
      <c r="O941" s="142">
        <v>1.0538000000000001</v>
      </c>
      <c r="P941" s="26">
        <v>0</v>
      </c>
      <c r="Q941" s="35">
        <f t="array" ref="Q941">SUM(IF(($S941&gt;=4)*($C941='TaxCred&amp;Subs'!$D$114:$D$121)*($H941='TaxCred&amp;Subs'!$C$114:$C$121)*($H941&lt;='TaxCred&amp;Subs'!$C$123),'TaxCred&amp;Subs'!$E$114:$E$121,0))</f>
        <v>0</v>
      </c>
      <c r="R941" s="143">
        <v>0</v>
      </c>
      <c r="S941" s="5">
        <v>1</v>
      </c>
      <c r="T941" s="5" t="s">
        <v>219</v>
      </c>
      <c r="V941" s="7" t="str">
        <f t="array" ref="V941">INDEX(xlRTCLNAME,MATCH(1,(xlRTCLENDU=1)*(xlRTCLEQCL=$D941),0))</f>
        <v>WOOD_HT</v>
      </c>
      <c r="W941" s="7" t="str">
        <f t="array" ref="W941">INDEX(xlRTCLNAME,MATCH(1,(xlRTCLENDU=2)*(xlRTCLEQCL=$F941),0))</f>
        <v>CENT_AIR</v>
      </c>
      <c r="X941" s="7" t="str">
        <f t="array" ref="X941">INDEX(xlRTTYNAME,MATCH(1,(xlRTTYENDU=1)*(xlRTTYEQCL=$D941)*(xlRTEQTYPE=$E941),0))</f>
        <v>WOOD_HT2</v>
      </c>
      <c r="Y941" s="7" t="str">
        <f t="array" ref="Y941">INDEX(xlRTTYNAME,MATCH(1,(xlRTTYENDU=2)*(xlRTTYEQCL=$F941)*(xlRTEQTYPE=$G941),0))</f>
        <v>CENT_AIR1</v>
      </c>
    </row>
    <row r="942" spans="2:25" ht="14.25" customHeight="1" x14ac:dyDescent="0.2">
      <c r="B942" s="5">
        <v>3</v>
      </c>
      <c r="C942" s="5">
        <v>2</v>
      </c>
      <c r="D942" s="5">
        <v>9</v>
      </c>
      <c r="E942" s="31">
        <v>29</v>
      </c>
      <c r="F942" s="5">
        <v>2</v>
      </c>
      <c r="G942" s="31">
        <v>4</v>
      </c>
      <c r="H942" s="31">
        <v>2020</v>
      </c>
      <c r="I942" s="96">
        <v>2050</v>
      </c>
      <c r="J942" s="142">
        <v>1.0962000000000001</v>
      </c>
      <c r="K942" s="142">
        <v>1.0345</v>
      </c>
      <c r="L942" s="142">
        <v>1.1958</v>
      </c>
      <c r="M942" s="142">
        <v>1.1345000000000001</v>
      </c>
      <c r="N942" s="142">
        <v>1.0417000000000001</v>
      </c>
      <c r="O942" s="142">
        <v>1.0538000000000001</v>
      </c>
      <c r="P942" s="26">
        <v>0</v>
      </c>
      <c r="Q942" s="35">
        <f t="array" ref="Q942">SUM(IF(($S942&gt;=4)*($C942='TaxCred&amp;Subs'!$D$114:$D$121)*($H942='TaxCred&amp;Subs'!$C$114:$C$121)*($H942&lt;='TaxCred&amp;Subs'!$C$123),'TaxCred&amp;Subs'!$E$114:$E$121,0))</f>
        <v>0</v>
      </c>
      <c r="R942" s="143">
        <v>0</v>
      </c>
      <c r="S942" s="5">
        <v>1</v>
      </c>
      <c r="T942" s="5" t="s">
        <v>219</v>
      </c>
      <c r="V942" s="7" t="str">
        <f t="array" ref="V942">INDEX(xlRTCLNAME,MATCH(1,(xlRTCLENDU=1)*(xlRTCLEQCL=$D942),0))</f>
        <v>WOOD_HT</v>
      </c>
      <c r="W942" s="7" t="str">
        <f t="array" ref="W942">INDEX(xlRTCLNAME,MATCH(1,(xlRTCLENDU=2)*(xlRTCLEQCL=$F942),0))</f>
        <v>CENT_AIR</v>
      </c>
      <c r="X942" s="7" t="str">
        <f t="array" ref="X942">INDEX(xlRTTYNAME,MATCH(1,(xlRTTYENDU=1)*(xlRTTYEQCL=$D942)*(xlRTEQTYPE=$E942),0))</f>
        <v>WOOD_HT2</v>
      </c>
      <c r="Y942" s="7" t="str">
        <f t="array" ref="Y942">INDEX(xlRTTYNAME,MATCH(1,(xlRTTYENDU=2)*(xlRTTYEQCL=$F942)*(xlRTEQTYPE=$G942),0))</f>
        <v>CENT_AIR1</v>
      </c>
    </row>
    <row r="943" spans="2:25" ht="14.25" customHeight="1" x14ac:dyDescent="0.2">
      <c r="B943" s="5">
        <v>4</v>
      </c>
      <c r="C943" s="5">
        <v>2</v>
      </c>
      <c r="D943" s="5">
        <v>9</v>
      </c>
      <c r="E943" s="31">
        <v>29</v>
      </c>
      <c r="F943" s="5">
        <v>2</v>
      </c>
      <c r="G943" s="31">
        <v>4</v>
      </c>
      <c r="H943" s="31">
        <v>2020</v>
      </c>
      <c r="I943" s="96">
        <v>2050</v>
      </c>
      <c r="J943" s="142">
        <v>1.1024</v>
      </c>
      <c r="K943" s="142">
        <v>1.0435000000000001</v>
      </c>
      <c r="L943" s="142">
        <v>1.4481999999999999</v>
      </c>
      <c r="M943" s="142">
        <v>1.2250000000000001</v>
      </c>
      <c r="N943" s="142">
        <v>1.1678999999999999</v>
      </c>
      <c r="O943" s="142">
        <v>1.0538000000000001</v>
      </c>
      <c r="P943" s="26">
        <v>0</v>
      </c>
      <c r="Q943" s="35">
        <f t="array" ref="Q943">SUM(IF(($S943&gt;=4)*($C943='TaxCred&amp;Subs'!$D$114:$D$121)*($H943='TaxCred&amp;Subs'!$C$114:$C$121)*($H943&lt;='TaxCred&amp;Subs'!$C$123),'TaxCred&amp;Subs'!$E$114:$E$121,0))</f>
        <v>0</v>
      </c>
      <c r="R943" s="143">
        <v>0</v>
      </c>
      <c r="S943" s="5">
        <v>1</v>
      </c>
      <c r="T943" s="5" t="s">
        <v>219</v>
      </c>
      <c r="V943" s="7" t="str">
        <f t="array" ref="V943">INDEX(xlRTCLNAME,MATCH(1,(xlRTCLENDU=1)*(xlRTCLEQCL=$D943),0))</f>
        <v>WOOD_HT</v>
      </c>
      <c r="W943" s="7" t="str">
        <f t="array" ref="W943">INDEX(xlRTCLNAME,MATCH(1,(xlRTCLENDU=2)*(xlRTCLEQCL=$F943),0))</f>
        <v>CENT_AIR</v>
      </c>
      <c r="X943" s="7" t="str">
        <f t="array" ref="X943">INDEX(xlRTTYNAME,MATCH(1,(xlRTTYENDU=1)*(xlRTTYEQCL=$D943)*(xlRTEQTYPE=$E943),0))</f>
        <v>WOOD_HT2</v>
      </c>
      <c r="Y943" s="7" t="str">
        <f t="array" ref="Y943">INDEX(xlRTTYNAME,MATCH(1,(xlRTTYENDU=2)*(xlRTTYEQCL=$F943)*(xlRTEQTYPE=$G943),0))</f>
        <v>CENT_AIR1</v>
      </c>
    </row>
    <row r="944" spans="2:25" ht="14.25" customHeight="1" x14ac:dyDescent="0.2">
      <c r="B944" s="5">
        <v>5</v>
      </c>
      <c r="C944" s="5">
        <v>2</v>
      </c>
      <c r="D944" s="5">
        <v>9</v>
      </c>
      <c r="E944" s="31">
        <v>29</v>
      </c>
      <c r="F944" s="5">
        <v>2</v>
      </c>
      <c r="G944" s="31">
        <v>4</v>
      </c>
      <c r="H944" s="31">
        <v>2020</v>
      </c>
      <c r="I944" s="96">
        <v>2050</v>
      </c>
      <c r="J944" s="142">
        <v>1.03</v>
      </c>
      <c r="K944" s="142">
        <v>1.03</v>
      </c>
      <c r="L944" s="142">
        <v>1.7131000000000001</v>
      </c>
      <c r="M944" s="142">
        <v>1.1687000000000001</v>
      </c>
      <c r="N944" s="142">
        <v>1.3003</v>
      </c>
      <c r="O944" s="142">
        <v>1.0538000000000001</v>
      </c>
      <c r="P944" s="26">
        <v>0</v>
      </c>
      <c r="Q944" s="35">
        <f t="array" ref="Q944">SUM(IF(($S944&gt;=4)*($C944='TaxCred&amp;Subs'!$D$114:$D$121)*($H944='TaxCred&amp;Subs'!$C$114:$C$121)*($H944&lt;='TaxCred&amp;Subs'!$C$123),'TaxCred&amp;Subs'!$E$114:$E$121,0))</f>
        <v>0</v>
      </c>
      <c r="R944" s="143">
        <v>0</v>
      </c>
      <c r="S944" s="5">
        <v>1</v>
      </c>
      <c r="T944" s="5" t="s">
        <v>219</v>
      </c>
      <c r="V944" s="7" t="str">
        <f t="array" ref="V944">INDEX(xlRTCLNAME,MATCH(1,(xlRTCLENDU=1)*(xlRTCLEQCL=$D944),0))</f>
        <v>WOOD_HT</v>
      </c>
      <c r="W944" s="7" t="str">
        <f t="array" ref="W944">INDEX(xlRTCLNAME,MATCH(1,(xlRTCLENDU=2)*(xlRTCLEQCL=$F944),0))</f>
        <v>CENT_AIR</v>
      </c>
      <c r="X944" s="7" t="str">
        <f t="array" ref="X944">INDEX(xlRTTYNAME,MATCH(1,(xlRTTYENDU=1)*(xlRTTYEQCL=$D944)*(xlRTEQTYPE=$E944),0))</f>
        <v>WOOD_HT2</v>
      </c>
      <c r="Y944" s="7" t="str">
        <f t="array" ref="Y944">INDEX(xlRTTYNAME,MATCH(1,(xlRTTYENDU=2)*(xlRTTYEQCL=$F944)*(xlRTEQTYPE=$G944),0))</f>
        <v>CENT_AIR1</v>
      </c>
    </row>
    <row r="945" spans="2:25" ht="14.25" customHeight="1" x14ac:dyDescent="0.2">
      <c r="B945" s="5">
        <v>6</v>
      </c>
      <c r="C945" s="5">
        <v>2</v>
      </c>
      <c r="D945" s="5">
        <v>9</v>
      </c>
      <c r="E945" s="31">
        <v>29</v>
      </c>
      <c r="F945" s="5">
        <v>2</v>
      </c>
      <c r="G945" s="31">
        <v>4</v>
      </c>
      <c r="H945" s="31">
        <v>2020</v>
      </c>
      <c r="I945" s="96">
        <v>2050</v>
      </c>
      <c r="J945" s="142">
        <v>1.1200000000000001</v>
      </c>
      <c r="K945" s="142">
        <v>1.0417000000000001</v>
      </c>
      <c r="L945" s="142">
        <v>1.8438000000000001</v>
      </c>
      <c r="M945" s="142">
        <v>1.2250000000000001</v>
      </c>
      <c r="N945" s="142">
        <v>1.3656999999999999</v>
      </c>
      <c r="O945" s="142">
        <v>1.0538000000000001</v>
      </c>
      <c r="P945" s="26">
        <v>0</v>
      </c>
      <c r="Q945" s="35">
        <f t="array" ref="Q945">SUM(IF(($S945&gt;=4)*($C945='TaxCred&amp;Subs'!$D$114:$D$121)*($H945='TaxCred&amp;Subs'!$C$114:$C$121)*($H945&lt;='TaxCred&amp;Subs'!$C$123),'TaxCred&amp;Subs'!$E$114:$E$121,0))</f>
        <v>0</v>
      </c>
      <c r="R945" s="143">
        <v>0</v>
      </c>
      <c r="S945" s="5">
        <v>1</v>
      </c>
      <c r="T945" s="5" t="s">
        <v>219</v>
      </c>
      <c r="V945" s="7" t="str">
        <f t="array" ref="V945">INDEX(xlRTCLNAME,MATCH(1,(xlRTCLENDU=1)*(xlRTCLEQCL=$D945),0))</f>
        <v>WOOD_HT</v>
      </c>
      <c r="W945" s="7" t="str">
        <f t="array" ref="W945">INDEX(xlRTCLNAME,MATCH(1,(xlRTCLENDU=2)*(xlRTCLEQCL=$F945),0))</f>
        <v>CENT_AIR</v>
      </c>
      <c r="X945" s="7" t="str">
        <f t="array" ref="X945">INDEX(xlRTTYNAME,MATCH(1,(xlRTTYENDU=1)*(xlRTTYEQCL=$D945)*(xlRTEQTYPE=$E945),0))</f>
        <v>WOOD_HT2</v>
      </c>
      <c r="Y945" s="7" t="str">
        <f t="array" ref="Y945">INDEX(xlRTTYNAME,MATCH(1,(xlRTTYENDU=2)*(xlRTTYEQCL=$F945)*(xlRTEQTYPE=$G945),0))</f>
        <v>CENT_AIR1</v>
      </c>
    </row>
    <row r="946" spans="2:25" ht="14.25" customHeight="1" x14ac:dyDescent="0.2">
      <c r="B946" s="5">
        <v>7</v>
      </c>
      <c r="C946" s="5">
        <v>2</v>
      </c>
      <c r="D946" s="5">
        <v>9</v>
      </c>
      <c r="E946" s="31">
        <v>29</v>
      </c>
      <c r="F946" s="5">
        <v>2</v>
      </c>
      <c r="G946" s="31">
        <v>4</v>
      </c>
      <c r="H946" s="31">
        <v>2020</v>
      </c>
      <c r="I946" s="96">
        <v>2050</v>
      </c>
      <c r="J946" s="142">
        <v>1.1200000000000001</v>
      </c>
      <c r="K946" s="142">
        <v>1.0462</v>
      </c>
      <c r="L946" s="142">
        <v>2</v>
      </c>
      <c r="M946" s="142">
        <v>1.2121</v>
      </c>
      <c r="N946" s="142">
        <v>1.4438</v>
      </c>
      <c r="O946" s="142">
        <v>1.0538000000000001</v>
      </c>
      <c r="P946" s="26">
        <v>0</v>
      </c>
      <c r="Q946" s="35">
        <f t="array" ref="Q946">SUM(IF(($S946&gt;=4)*($C946='TaxCred&amp;Subs'!$D$114:$D$121)*($H946='TaxCred&amp;Subs'!$C$114:$C$121)*($H946&lt;='TaxCred&amp;Subs'!$C$123),'TaxCred&amp;Subs'!$E$114:$E$121,0))</f>
        <v>0</v>
      </c>
      <c r="R946" s="143">
        <v>0</v>
      </c>
      <c r="S946" s="5">
        <v>1</v>
      </c>
      <c r="T946" s="5" t="s">
        <v>219</v>
      </c>
      <c r="V946" s="7" t="str">
        <f t="array" ref="V946">INDEX(xlRTCLNAME,MATCH(1,(xlRTCLENDU=1)*(xlRTCLEQCL=$D946),0))</f>
        <v>WOOD_HT</v>
      </c>
      <c r="W946" s="7" t="str">
        <f t="array" ref="W946">INDEX(xlRTCLNAME,MATCH(1,(xlRTCLENDU=2)*(xlRTCLEQCL=$F946),0))</f>
        <v>CENT_AIR</v>
      </c>
      <c r="X946" s="7" t="str">
        <f t="array" ref="X946">INDEX(xlRTTYNAME,MATCH(1,(xlRTTYENDU=1)*(xlRTTYEQCL=$D946)*(xlRTEQTYPE=$E946),0))</f>
        <v>WOOD_HT2</v>
      </c>
      <c r="Y946" s="7" t="str">
        <f t="array" ref="Y946">INDEX(xlRTTYNAME,MATCH(1,(xlRTTYENDU=2)*(xlRTTYEQCL=$F946)*(xlRTEQTYPE=$G946),0))</f>
        <v>CENT_AIR1</v>
      </c>
    </row>
    <row r="947" spans="2:25" ht="14.25" customHeight="1" x14ac:dyDescent="0.2">
      <c r="B947" s="5">
        <v>8</v>
      </c>
      <c r="C947" s="5">
        <v>2</v>
      </c>
      <c r="D947" s="5">
        <v>9</v>
      </c>
      <c r="E947" s="31">
        <v>29</v>
      </c>
      <c r="F947" s="5">
        <v>2</v>
      </c>
      <c r="G947" s="31">
        <v>4</v>
      </c>
      <c r="H947" s="31">
        <v>2020</v>
      </c>
      <c r="I947" s="96">
        <v>2050</v>
      </c>
      <c r="J947" s="142">
        <v>1.1045</v>
      </c>
      <c r="K947" s="142">
        <v>1.0323</v>
      </c>
      <c r="L947" s="142">
        <v>1.6819</v>
      </c>
      <c r="M947" s="142">
        <v>1.3391999999999999</v>
      </c>
      <c r="N947" s="142">
        <v>1.2847999999999999</v>
      </c>
      <c r="O947" s="142">
        <v>1.0538000000000001</v>
      </c>
      <c r="P947" s="26">
        <v>0</v>
      </c>
      <c r="Q947" s="35">
        <f t="array" ref="Q947">SUM(IF(($S947&gt;=4)*($C947='TaxCred&amp;Subs'!$D$114:$D$121)*($H947='TaxCred&amp;Subs'!$C$114:$C$121)*($H947&lt;='TaxCred&amp;Subs'!$C$123),'TaxCred&amp;Subs'!$E$114:$E$121,0))</f>
        <v>0</v>
      </c>
      <c r="R947" s="143">
        <v>0</v>
      </c>
      <c r="S947" s="5">
        <v>1</v>
      </c>
      <c r="T947" s="5" t="s">
        <v>219</v>
      </c>
      <c r="V947" s="7" t="str">
        <f t="array" ref="V947">INDEX(xlRTCLNAME,MATCH(1,(xlRTCLENDU=1)*(xlRTCLEQCL=$D947),0))</f>
        <v>WOOD_HT</v>
      </c>
      <c r="W947" s="7" t="str">
        <f t="array" ref="W947">INDEX(xlRTCLNAME,MATCH(1,(xlRTCLENDU=2)*(xlRTCLEQCL=$F947),0))</f>
        <v>CENT_AIR</v>
      </c>
      <c r="X947" s="7" t="str">
        <f t="array" ref="X947">INDEX(xlRTTYNAME,MATCH(1,(xlRTTYENDU=1)*(xlRTTYEQCL=$D947)*(xlRTEQTYPE=$E947),0))</f>
        <v>WOOD_HT2</v>
      </c>
      <c r="Y947" s="7" t="str">
        <f t="array" ref="Y947">INDEX(xlRTTYNAME,MATCH(1,(xlRTTYENDU=2)*(xlRTTYEQCL=$F947)*(xlRTEQTYPE=$G947),0))</f>
        <v>CENT_AIR1</v>
      </c>
    </row>
    <row r="948" spans="2:25" ht="14.25" customHeight="1" x14ac:dyDescent="0.2">
      <c r="B948" s="5">
        <v>9</v>
      </c>
      <c r="C948" s="5">
        <v>2</v>
      </c>
      <c r="D948" s="5">
        <v>9</v>
      </c>
      <c r="E948" s="31">
        <v>29</v>
      </c>
      <c r="F948" s="5">
        <v>2</v>
      </c>
      <c r="G948" s="31">
        <v>4</v>
      </c>
      <c r="H948" s="31">
        <v>2020</v>
      </c>
      <c r="I948" s="96">
        <v>2050</v>
      </c>
      <c r="J948" s="142">
        <v>1.1200000000000001</v>
      </c>
      <c r="K948" s="142">
        <v>1.0541</v>
      </c>
      <c r="L948" s="142">
        <v>2</v>
      </c>
      <c r="M948" s="142">
        <v>1.2834000000000001</v>
      </c>
      <c r="N948" s="142">
        <v>1.4438</v>
      </c>
      <c r="O948" s="142">
        <v>1.0538000000000001</v>
      </c>
      <c r="P948" s="26">
        <v>0</v>
      </c>
      <c r="Q948" s="35">
        <f t="array" ref="Q948">SUM(IF(($S948&gt;=4)*($C948='TaxCred&amp;Subs'!$D$114:$D$121)*($H948='TaxCred&amp;Subs'!$C$114:$C$121)*($H948&lt;='TaxCred&amp;Subs'!$C$123),'TaxCred&amp;Subs'!$E$114:$E$121,0))</f>
        <v>0</v>
      </c>
      <c r="R948" s="143">
        <v>0</v>
      </c>
      <c r="S948" s="5">
        <v>1</v>
      </c>
      <c r="T948" s="5" t="s">
        <v>219</v>
      </c>
      <c r="V948" s="7" t="str">
        <f t="array" ref="V948">INDEX(xlRTCLNAME,MATCH(1,(xlRTCLENDU=1)*(xlRTCLEQCL=$D948),0))</f>
        <v>WOOD_HT</v>
      </c>
      <c r="W948" s="7" t="str">
        <f t="array" ref="W948">INDEX(xlRTCLNAME,MATCH(1,(xlRTCLENDU=2)*(xlRTCLEQCL=$F948),0))</f>
        <v>CENT_AIR</v>
      </c>
      <c r="X948" s="7" t="str">
        <f t="array" ref="X948">INDEX(xlRTTYNAME,MATCH(1,(xlRTTYENDU=1)*(xlRTTYEQCL=$D948)*(xlRTEQTYPE=$E948),0))</f>
        <v>WOOD_HT2</v>
      </c>
      <c r="Y948" s="7" t="str">
        <f t="array" ref="Y948">INDEX(xlRTTYNAME,MATCH(1,(xlRTTYENDU=2)*(xlRTTYEQCL=$F948)*(xlRTEQTYPE=$G948),0))</f>
        <v>CENT_AIR1</v>
      </c>
    </row>
    <row r="949" spans="2:25" ht="14.25" customHeight="1" x14ac:dyDescent="0.2">
      <c r="B949" s="5">
        <v>1</v>
      </c>
      <c r="C949" s="5">
        <v>2</v>
      </c>
      <c r="D949" s="5">
        <v>10</v>
      </c>
      <c r="E949" s="31">
        <v>31</v>
      </c>
      <c r="F949" s="5">
        <v>4</v>
      </c>
      <c r="G949" s="31">
        <v>12</v>
      </c>
      <c r="H949" s="31">
        <v>2020</v>
      </c>
      <c r="I949" s="5">
        <v>2050</v>
      </c>
      <c r="J949" s="142">
        <v>1.1111</v>
      </c>
      <c r="K949" s="142">
        <v>1.0526</v>
      </c>
      <c r="L949" s="142">
        <v>1.3837999999999999</v>
      </c>
      <c r="M949" s="142">
        <v>1.2177</v>
      </c>
      <c r="N949" s="142">
        <v>1.1356999999999999</v>
      </c>
      <c r="O949" s="142">
        <v>1.0538000000000001</v>
      </c>
      <c r="P949" s="26">
        <v>0</v>
      </c>
      <c r="Q949" s="35">
        <f t="array" ref="Q949">SUM(IF(($S949&gt;=4)*($C949='TaxCred&amp;Subs'!$D$114:$D$121)*($H949='TaxCred&amp;Subs'!$C$114:$C$121)*($H949&lt;='TaxCred&amp;Subs'!$C$123),'TaxCred&amp;Subs'!$E$114:$E$121,0))</f>
        <v>0</v>
      </c>
      <c r="R949" s="143">
        <v>0</v>
      </c>
      <c r="S949" s="5">
        <v>1</v>
      </c>
      <c r="T949" s="5" t="s">
        <v>219</v>
      </c>
      <c r="V949" s="7" t="str">
        <f t="array" ref="V949">INDEX(xlRTCLNAME,MATCH(1,(xlRTCLENDU=1)*(xlRTCLEQCL=$D949),0))</f>
        <v>GEO_HP</v>
      </c>
      <c r="W949" s="7" t="str">
        <f t="array" ref="W949">INDEX(xlRTCLNAME,MATCH(1,(xlRTCLENDU=2)*(xlRTCLEQCL=$F949),0))</f>
        <v>GEO_HP</v>
      </c>
      <c r="X949" s="7" t="str">
        <f t="array" ref="X949">INDEX(xlRTTYNAME,MATCH(1,(xlRTTYENDU=1)*(xlRTTYEQCL=$D949)*(xlRTEQTYPE=$E949),0))</f>
        <v>GEO_HP1</v>
      </c>
      <c r="Y949" s="7" t="str">
        <f t="array" ref="Y949">INDEX(xlRTTYNAME,MATCH(1,(xlRTTYENDU=2)*(xlRTTYEQCL=$F949)*(xlRTEQTYPE=$G949),0))</f>
        <v>GEO_HP1</v>
      </c>
    </row>
    <row r="950" spans="2:25" ht="14.25" customHeight="1" x14ac:dyDescent="0.2">
      <c r="B950" s="5">
        <v>2</v>
      </c>
      <c r="C950" s="5">
        <v>2</v>
      </c>
      <c r="D950" s="5">
        <v>10</v>
      </c>
      <c r="E950" s="31">
        <v>31</v>
      </c>
      <c r="F950" s="5">
        <v>4</v>
      </c>
      <c r="G950" s="31">
        <v>12</v>
      </c>
      <c r="H950" s="31">
        <v>2020</v>
      </c>
      <c r="I950" s="5">
        <v>2050</v>
      </c>
      <c r="J950" s="142">
        <v>1.0588</v>
      </c>
      <c r="K950" s="142">
        <v>1.0455000000000001</v>
      </c>
      <c r="L950" s="142">
        <v>1.3912</v>
      </c>
      <c r="M950" s="142">
        <v>1.2316</v>
      </c>
      <c r="N950" s="142">
        <v>1.1394</v>
      </c>
      <c r="O950" s="142">
        <v>1.0538000000000001</v>
      </c>
      <c r="P950" s="26">
        <v>0</v>
      </c>
      <c r="Q950" s="35">
        <f t="array" ref="Q950">SUM(IF(($S950&gt;=4)*($C950='TaxCred&amp;Subs'!$D$114:$D$121)*($H950='TaxCred&amp;Subs'!$C$114:$C$121)*($H950&lt;='TaxCred&amp;Subs'!$C$123),'TaxCred&amp;Subs'!$E$114:$E$121,0))</f>
        <v>0</v>
      </c>
      <c r="R950" s="143">
        <v>0</v>
      </c>
      <c r="S950" s="5">
        <v>1</v>
      </c>
      <c r="T950" s="5" t="s">
        <v>219</v>
      </c>
      <c r="V950" s="7" t="str">
        <f t="array" ref="V950">INDEX(xlRTCLNAME,MATCH(1,(xlRTCLENDU=1)*(xlRTCLEQCL=$D950),0))</f>
        <v>GEO_HP</v>
      </c>
      <c r="W950" s="7" t="str">
        <f t="array" ref="W950">INDEX(xlRTCLNAME,MATCH(1,(xlRTCLENDU=2)*(xlRTCLEQCL=$F950),0))</f>
        <v>GEO_HP</v>
      </c>
      <c r="X950" s="7" t="str">
        <f t="array" ref="X950">INDEX(xlRTTYNAME,MATCH(1,(xlRTTYENDU=1)*(xlRTTYEQCL=$D950)*(xlRTEQTYPE=$E950),0))</f>
        <v>GEO_HP1</v>
      </c>
      <c r="Y950" s="7" t="str">
        <f t="array" ref="Y950">INDEX(xlRTTYNAME,MATCH(1,(xlRTTYENDU=2)*(xlRTTYEQCL=$F950)*(xlRTEQTYPE=$G950),0))</f>
        <v>GEO_HP1</v>
      </c>
    </row>
    <row r="951" spans="2:25" ht="14.25" customHeight="1" x14ac:dyDescent="0.2">
      <c r="B951" s="5">
        <v>3</v>
      </c>
      <c r="C951" s="5">
        <v>2</v>
      </c>
      <c r="D951" s="5">
        <v>10</v>
      </c>
      <c r="E951" s="31">
        <v>31</v>
      </c>
      <c r="F951" s="5">
        <v>4</v>
      </c>
      <c r="G951" s="31">
        <v>12</v>
      </c>
      <c r="H951" s="31">
        <v>2020</v>
      </c>
      <c r="I951" s="5">
        <v>2050</v>
      </c>
      <c r="J951" s="142">
        <v>1.1000000000000001</v>
      </c>
      <c r="K951" s="142">
        <v>1.03</v>
      </c>
      <c r="L951" s="142">
        <v>1.2023999999999999</v>
      </c>
      <c r="M951" s="142">
        <v>1.1455</v>
      </c>
      <c r="N951" s="142">
        <v>1.0449999999999999</v>
      </c>
      <c r="O951" s="142">
        <v>1.0538000000000001</v>
      </c>
      <c r="P951" s="26">
        <v>0</v>
      </c>
      <c r="Q951" s="35">
        <f t="array" ref="Q951">SUM(IF(($S951&gt;=4)*($C951='TaxCred&amp;Subs'!$D$114:$D$121)*($H951='TaxCred&amp;Subs'!$C$114:$C$121)*($H951&lt;='TaxCred&amp;Subs'!$C$123),'TaxCred&amp;Subs'!$E$114:$E$121,0))</f>
        <v>0</v>
      </c>
      <c r="R951" s="143">
        <v>0</v>
      </c>
      <c r="S951" s="5">
        <v>1</v>
      </c>
      <c r="T951" s="5" t="s">
        <v>219</v>
      </c>
      <c r="V951" s="7" t="str">
        <f t="array" ref="V951">INDEX(xlRTCLNAME,MATCH(1,(xlRTCLENDU=1)*(xlRTCLEQCL=$D951),0))</f>
        <v>GEO_HP</v>
      </c>
      <c r="W951" s="7" t="str">
        <f t="array" ref="W951">INDEX(xlRTCLNAME,MATCH(1,(xlRTCLENDU=2)*(xlRTCLEQCL=$F951),0))</f>
        <v>GEO_HP</v>
      </c>
      <c r="X951" s="7" t="str">
        <f t="array" ref="X951">INDEX(xlRTTYNAME,MATCH(1,(xlRTTYENDU=1)*(xlRTTYEQCL=$D951)*(xlRTEQTYPE=$E951),0))</f>
        <v>GEO_HP1</v>
      </c>
      <c r="Y951" s="7" t="str">
        <f t="array" ref="Y951">INDEX(xlRTTYNAME,MATCH(1,(xlRTTYENDU=2)*(xlRTTYEQCL=$F951)*(xlRTEQTYPE=$G951),0))</f>
        <v>GEO_HP1</v>
      </c>
    </row>
    <row r="952" spans="2:25" ht="14.25" customHeight="1" x14ac:dyDescent="0.2">
      <c r="B952" s="5">
        <v>4</v>
      </c>
      <c r="C952" s="5">
        <v>2</v>
      </c>
      <c r="D952" s="5">
        <v>10</v>
      </c>
      <c r="E952" s="31">
        <v>31</v>
      </c>
      <c r="F952" s="5">
        <v>4</v>
      </c>
      <c r="G952" s="31">
        <v>12</v>
      </c>
      <c r="H952" s="31">
        <v>2020</v>
      </c>
      <c r="I952" s="5">
        <v>2050</v>
      </c>
      <c r="J952" s="142">
        <v>1.1033999999999999</v>
      </c>
      <c r="K952" s="142">
        <v>1.0556000000000001</v>
      </c>
      <c r="L952" s="142">
        <v>1.4631000000000001</v>
      </c>
      <c r="M952" s="142">
        <v>1.1938</v>
      </c>
      <c r="N952" s="142">
        <v>1.1753</v>
      </c>
      <c r="O952" s="142">
        <v>1.0538000000000001</v>
      </c>
      <c r="P952" s="26">
        <v>0</v>
      </c>
      <c r="Q952" s="35">
        <f t="array" ref="Q952">SUM(IF(($S952&gt;=4)*($C952='TaxCred&amp;Subs'!$D$114:$D$121)*($H952='TaxCred&amp;Subs'!$C$114:$C$121)*($H952&lt;='TaxCred&amp;Subs'!$C$123),'TaxCred&amp;Subs'!$E$114:$E$121,0))</f>
        <v>0</v>
      </c>
      <c r="R952" s="143">
        <v>0</v>
      </c>
      <c r="S952" s="5">
        <v>1</v>
      </c>
      <c r="T952" s="5" t="s">
        <v>219</v>
      </c>
      <c r="V952" s="7" t="str">
        <f t="array" ref="V952">INDEX(xlRTCLNAME,MATCH(1,(xlRTCLENDU=1)*(xlRTCLEQCL=$D952),0))</f>
        <v>GEO_HP</v>
      </c>
      <c r="W952" s="7" t="str">
        <f t="array" ref="W952">INDEX(xlRTCLNAME,MATCH(1,(xlRTCLENDU=2)*(xlRTCLEQCL=$F952),0))</f>
        <v>GEO_HP</v>
      </c>
      <c r="X952" s="7" t="str">
        <f t="array" ref="X952">INDEX(xlRTTYNAME,MATCH(1,(xlRTTYENDU=1)*(xlRTTYEQCL=$D952)*(xlRTEQTYPE=$E952),0))</f>
        <v>GEO_HP1</v>
      </c>
      <c r="Y952" s="7" t="str">
        <f t="array" ref="Y952">INDEX(xlRTTYNAME,MATCH(1,(xlRTTYENDU=2)*(xlRTTYEQCL=$F952)*(xlRTEQTYPE=$G952),0))</f>
        <v>GEO_HP1</v>
      </c>
    </row>
    <row r="953" spans="2:25" ht="14.25" customHeight="1" x14ac:dyDescent="0.2">
      <c r="B953" s="5">
        <v>5</v>
      </c>
      <c r="C953" s="5">
        <v>2</v>
      </c>
      <c r="D953" s="5">
        <v>10</v>
      </c>
      <c r="E953" s="31">
        <v>31</v>
      </c>
      <c r="F953" s="5">
        <v>4</v>
      </c>
      <c r="G953" s="31">
        <v>12</v>
      </c>
      <c r="H953" s="31">
        <v>2020</v>
      </c>
      <c r="I953" s="5">
        <v>2050</v>
      </c>
      <c r="J953" s="142">
        <v>1.03</v>
      </c>
      <c r="K953" s="142">
        <v>1.0512999999999999</v>
      </c>
      <c r="L953" s="142">
        <v>1.6105</v>
      </c>
      <c r="M953" s="142">
        <v>1.1769000000000001</v>
      </c>
      <c r="N953" s="142">
        <v>1.2490000000000001</v>
      </c>
      <c r="O953" s="142">
        <v>1.0538000000000001</v>
      </c>
      <c r="P953" s="26">
        <v>0</v>
      </c>
      <c r="Q953" s="35">
        <f t="array" ref="Q953">SUM(IF(($S953&gt;=4)*($C953='TaxCred&amp;Subs'!$D$114:$D$121)*($H953='TaxCred&amp;Subs'!$C$114:$C$121)*($H953&lt;='TaxCred&amp;Subs'!$C$123),'TaxCred&amp;Subs'!$E$114:$E$121,0))</f>
        <v>0</v>
      </c>
      <c r="R953" s="143">
        <v>0</v>
      </c>
      <c r="S953" s="5">
        <v>1</v>
      </c>
      <c r="T953" s="5" t="s">
        <v>219</v>
      </c>
      <c r="V953" s="7" t="str">
        <f t="array" ref="V953">INDEX(xlRTCLNAME,MATCH(1,(xlRTCLENDU=1)*(xlRTCLEQCL=$D953),0))</f>
        <v>GEO_HP</v>
      </c>
      <c r="W953" s="7" t="str">
        <f t="array" ref="W953">INDEX(xlRTCLNAME,MATCH(1,(xlRTCLENDU=2)*(xlRTCLEQCL=$F953),0))</f>
        <v>GEO_HP</v>
      </c>
      <c r="X953" s="7" t="str">
        <f t="array" ref="X953">INDEX(xlRTTYNAME,MATCH(1,(xlRTTYENDU=1)*(xlRTTYEQCL=$D953)*(xlRTEQTYPE=$E953),0))</f>
        <v>GEO_HP1</v>
      </c>
      <c r="Y953" s="7" t="str">
        <f t="array" ref="Y953">INDEX(xlRTTYNAME,MATCH(1,(xlRTTYENDU=2)*(xlRTTYEQCL=$F953)*(xlRTEQTYPE=$G953),0))</f>
        <v>GEO_HP1</v>
      </c>
    </row>
    <row r="954" spans="2:25" ht="14.25" customHeight="1" x14ac:dyDescent="0.2">
      <c r="B954" s="5">
        <v>6</v>
      </c>
      <c r="C954" s="5">
        <v>2</v>
      </c>
      <c r="D954" s="5">
        <v>10</v>
      </c>
      <c r="E954" s="31">
        <v>31</v>
      </c>
      <c r="F954" s="5">
        <v>4</v>
      </c>
      <c r="G954" s="31">
        <v>12</v>
      </c>
      <c r="H954" s="31">
        <v>2020</v>
      </c>
      <c r="I954" s="5">
        <v>2050</v>
      </c>
      <c r="J954" s="142">
        <v>1.1200000000000001</v>
      </c>
      <c r="K954" s="142">
        <v>1.03</v>
      </c>
      <c r="L954" s="142">
        <v>1.8438000000000001</v>
      </c>
      <c r="M954" s="142">
        <v>1.2177</v>
      </c>
      <c r="N954" s="142">
        <v>1.3656999999999999</v>
      </c>
      <c r="O954" s="142">
        <v>1.0538000000000001</v>
      </c>
      <c r="P954" s="26">
        <v>0</v>
      </c>
      <c r="Q954" s="35">
        <f t="array" ref="Q954">SUM(IF(($S954&gt;=4)*($C954='TaxCred&amp;Subs'!$D$114:$D$121)*($H954='TaxCred&amp;Subs'!$C$114:$C$121)*($H954&lt;='TaxCred&amp;Subs'!$C$123),'TaxCred&amp;Subs'!$E$114:$E$121,0))</f>
        <v>0</v>
      </c>
      <c r="R954" s="143">
        <v>0</v>
      </c>
      <c r="S954" s="5">
        <v>1</v>
      </c>
      <c r="T954" s="5" t="s">
        <v>219</v>
      </c>
      <c r="V954" s="7" t="str">
        <f t="array" ref="V954">INDEX(xlRTCLNAME,MATCH(1,(xlRTCLENDU=1)*(xlRTCLEQCL=$D954),0))</f>
        <v>GEO_HP</v>
      </c>
      <c r="W954" s="7" t="str">
        <f t="array" ref="W954">INDEX(xlRTCLNAME,MATCH(1,(xlRTCLENDU=2)*(xlRTCLEQCL=$F954),0))</f>
        <v>GEO_HP</v>
      </c>
      <c r="X954" s="7" t="str">
        <f t="array" ref="X954">INDEX(xlRTTYNAME,MATCH(1,(xlRTTYENDU=1)*(xlRTTYEQCL=$D954)*(xlRTEQTYPE=$E954),0))</f>
        <v>GEO_HP1</v>
      </c>
      <c r="Y954" s="7" t="str">
        <f t="array" ref="Y954">INDEX(xlRTTYNAME,MATCH(1,(xlRTTYENDU=2)*(xlRTTYEQCL=$F954)*(xlRTEQTYPE=$G954),0))</f>
        <v>GEO_HP1</v>
      </c>
    </row>
    <row r="955" spans="2:25" ht="14.25" customHeight="1" x14ac:dyDescent="0.2">
      <c r="B955" s="5">
        <v>7</v>
      </c>
      <c r="C955" s="5">
        <v>2</v>
      </c>
      <c r="D955" s="5">
        <v>10</v>
      </c>
      <c r="E955" s="31">
        <v>31</v>
      </c>
      <c r="F955" s="5">
        <v>4</v>
      </c>
      <c r="G955" s="31">
        <v>12</v>
      </c>
      <c r="H955" s="31">
        <v>2020</v>
      </c>
      <c r="I955" s="5">
        <v>2050</v>
      </c>
      <c r="J955" s="142">
        <v>1.03</v>
      </c>
      <c r="K955" s="142">
        <v>1.0611999999999999</v>
      </c>
      <c r="L955" s="142">
        <v>2</v>
      </c>
      <c r="M955" s="142">
        <v>1.2250000000000001</v>
      </c>
      <c r="N955" s="142">
        <v>1.4438</v>
      </c>
      <c r="O955" s="142">
        <v>1.0538000000000001</v>
      </c>
      <c r="P955" s="26">
        <v>0</v>
      </c>
      <c r="Q955" s="35">
        <f t="array" ref="Q955">SUM(IF(($S955&gt;=4)*($C955='TaxCred&amp;Subs'!$D$114:$D$121)*($H955='TaxCred&amp;Subs'!$C$114:$C$121)*($H955&lt;='TaxCred&amp;Subs'!$C$123),'TaxCred&amp;Subs'!$E$114:$E$121,0))</f>
        <v>0</v>
      </c>
      <c r="R955" s="143">
        <v>0</v>
      </c>
      <c r="S955" s="5">
        <v>1</v>
      </c>
      <c r="T955" s="5" t="s">
        <v>219</v>
      </c>
      <c r="V955" s="7" t="str">
        <f t="array" ref="V955">INDEX(xlRTCLNAME,MATCH(1,(xlRTCLENDU=1)*(xlRTCLEQCL=$D955),0))</f>
        <v>GEO_HP</v>
      </c>
      <c r="W955" s="7" t="str">
        <f t="array" ref="W955">INDEX(xlRTCLNAME,MATCH(1,(xlRTCLENDU=2)*(xlRTCLEQCL=$F955),0))</f>
        <v>GEO_HP</v>
      </c>
      <c r="X955" s="7" t="str">
        <f t="array" ref="X955">INDEX(xlRTTYNAME,MATCH(1,(xlRTTYENDU=1)*(xlRTTYEQCL=$D955)*(xlRTEQTYPE=$E955),0))</f>
        <v>GEO_HP1</v>
      </c>
      <c r="Y955" s="7" t="str">
        <f t="array" ref="Y955">INDEX(xlRTTYNAME,MATCH(1,(xlRTTYENDU=2)*(xlRTTYEQCL=$F955)*(xlRTEQTYPE=$G955),0))</f>
        <v>GEO_HP1</v>
      </c>
    </row>
    <row r="956" spans="2:25" ht="14.25" customHeight="1" x14ac:dyDescent="0.2">
      <c r="B956" s="5">
        <v>8</v>
      </c>
      <c r="C956" s="5">
        <v>2</v>
      </c>
      <c r="D956" s="5">
        <v>10</v>
      </c>
      <c r="E956" s="31">
        <v>31</v>
      </c>
      <c r="F956" s="5">
        <v>4</v>
      </c>
      <c r="G956" s="31">
        <v>12</v>
      </c>
      <c r="H956" s="31">
        <v>2020</v>
      </c>
      <c r="I956" s="5">
        <v>2050</v>
      </c>
      <c r="J956" s="142">
        <v>1.1111</v>
      </c>
      <c r="K956" s="142">
        <v>1.0417000000000001</v>
      </c>
      <c r="L956" s="142">
        <v>1.6938</v>
      </c>
      <c r="M956" s="142">
        <v>1.3222</v>
      </c>
      <c r="N956" s="142">
        <v>1.2907</v>
      </c>
      <c r="O956" s="142">
        <v>1.0538000000000001</v>
      </c>
      <c r="P956" s="26">
        <v>0</v>
      </c>
      <c r="Q956" s="35">
        <f t="array" ref="Q956">SUM(IF(($S956&gt;=4)*($C956='TaxCred&amp;Subs'!$D$114:$D$121)*($H956='TaxCred&amp;Subs'!$C$114:$C$121)*($H956&lt;='TaxCred&amp;Subs'!$C$123),'TaxCred&amp;Subs'!$E$114:$E$121,0))</f>
        <v>0</v>
      </c>
      <c r="R956" s="143">
        <v>0</v>
      </c>
      <c r="S956" s="5">
        <v>1</v>
      </c>
      <c r="T956" s="5" t="s">
        <v>219</v>
      </c>
      <c r="V956" s="7" t="str">
        <f t="array" ref="V956">INDEX(xlRTCLNAME,MATCH(1,(xlRTCLENDU=1)*(xlRTCLEQCL=$D956),0))</f>
        <v>GEO_HP</v>
      </c>
      <c r="W956" s="7" t="str">
        <f t="array" ref="W956">INDEX(xlRTCLNAME,MATCH(1,(xlRTCLENDU=2)*(xlRTCLEQCL=$F956),0))</f>
        <v>GEO_HP</v>
      </c>
      <c r="X956" s="7" t="str">
        <f t="array" ref="X956">INDEX(xlRTTYNAME,MATCH(1,(xlRTTYENDU=1)*(xlRTTYEQCL=$D956)*(xlRTEQTYPE=$E956),0))</f>
        <v>GEO_HP1</v>
      </c>
      <c r="Y956" s="7" t="str">
        <f t="array" ref="Y956">INDEX(xlRTTYNAME,MATCH(1,(xlRTTYENDU=2)*(xlRTTYEQCL=$F956)*(xlRTEQTYPE=$G956),0))</f>
        <v>GEO_HP1</v>
      </c>
    </row>
    <row r="957" spans="2:25" ht="14.25" customHeight="1" x14ac:dyDescent="0.2">
      <c r="B957" s="5">
        <v>9</v>
      </c>
      <c r="C957" s="5">
        <v>2</v>
      </c>
      <c r="D957" s="5">
        <v>10</v>
      </c>
      <c r="E957" s="31">
        <v>31</v>
      </c>
      <c r="F957" s="5">
        <v>4</v>
      </c>
      <c r="G957" s="31">
        <v>12</v>
      </c>
      <c r="H957" s="31">
        <v>2020</v>
      </c>
      <c r="I957" s="5">
        <v>2050</v>
      </c>
      <c r="J957" s="142">
        <v>1.03</v>
      </c>
      <c r="K957" s="142">
        <v>1.0741000000000001</v>
      </c>
      <c r="L957" s="142">
        <v>2</v>
      </c>
      <c r="M957" s="142">
        <v>1.3046</v>
      </c>
      <c r="N957" s="142">
        <v>1.4438</v>
      </c>
      <c r="O957" s="142">
        <v>1.0538000000000001</v>
      </c>
      <c r="P957" s="26">
        <v>0</v>
      </c>
      <c r="Q957" s="35">
        <f t="array" ref="Q957">SUM(IF(($S957&gt;=4)*($C957='TaxCred&amp;Subs'!$D$114:$D$121)*($H957='TaxCred&amp;Subs'!$C$114:$C$121)*($H957&lt;='TaxCred&amp;Subs'!$C$123),'TaxCred&amp;Subs'!$E$114:$E$121,0))</f>
        <v>0</v>
      </c>
      <c r="R957" s="143">
        <v>0</v>
      </c>
      <c r="S957" s="5">
        <v>1</v>
      </c>
      <c r="T957" s="5" t="s">
        <v>219</v>
      </c>
      <c r="V957" s="7" t="str">
        <f t="array" ref="V957">INDEX(xlRTCLNAME,MATCH(1,(xlRTCLENDU=1)*(xlRTCLEQCL=$D957),0))</f>
        <v>GEO_HP</v>
      </c>
      <c r="W957" s="7" t="str">
        <f t="array" ref="W957">INDEX(xlRTCLNAME,MATCH(1,(xlRTCLENDU=2)*(xlRTCLEQCL=$F957),0))</f>
        <v>GEO_HP</v>
      </c>
      <c r="X957" s="7" t="str">
        <f t="array" ref="X957">INDEX(xlRTTYNAME,MATCH(1,(xlRTTYENDU=1)*(xlRTTYEQCL=$D957)*(xlRTEQTYPE=$E957),0))</f>
        <v>GEO_HP1</v>
      </c>
      <c r="Y957" s="7" t="str">
        <f t="array" ref="Y957">INDEX(xlRTTYNAME,MATCH(1,(xlRTTYENDU=2)*(xlRTTYEQCL=$F957)*(xlRTEQTYPE=$G957),0))</f>
        <v>GEO_HP1</v>
      </c>
    </row>
    <row r="958" spans="2:25" ht="14.25" customHeight="1" x14ac:dyDescent="0.2">
      <c r="B958" s="5">
        <v>1</v>
      </c>
      <c r="C958" s="5">
        <v>2</v>
      </c>
      <c r="D958" s="5">
        <v>11</v>
      </c>
      <c r="E958" s="31">
        <v>35</v>
      </c>
      <c r="F958" s="5">
        <v>5</v>
      </c>
      <c r="G958" s="31">
        <v>16</v>
      </c>
      <c r="H958" s="31">
        <v>2020</v>
      </c>
      <c r="I958" s="5">
        <v>2050</v>
      </c>
      <c r="J958" s="142">
        <v>1.1042000000000001</v>
      </c>
      <c r="K958" s="142">
        <v>1.0417000000000001</v>
      </c>
      <c r="L958" s="142">
        <v>1.3378000000000001</v>
      </c>
      <c r="M958" s="142">
        <v>1.1909000000000001</v>
      </c>
      <c r="N958" s="142">
        <v>1.1127</v>
      </c>
      <c r="O958" s="142">
        <v>1.0538000000000001</v>
      </c>
      <c r="P958" s="26">
        <v>0</v>
      </c>
      <c r="Q958" s="35">
        <f t="array" ref="Q958">SUM(IF(($S958&gt;=4)*($C958='TaxCred&amp;Subs'!$D$114:$D$121)*($H958='TaxCred&amp;Subs'!$C$114:$C$121)*($H958&lt;='TaxCred&amp;Subs'!$C$123),'TaxCred&amp;Subs'!$E$114:$E$121,0))</f>
        <v>0</v>
      </c>
      <c r="R958" s="143">
        <v>0</v>
      </c>
      <c r="S958" s="5">
        <v>1</v>
      </c>
      <c r="T958" s="5" t="s">
        <v>219</v>
      </c>
      <c r="V958" s="7" t="str">
        <f t="array" ref="V958">INDEX(xlRTCLNAME,MATCH(1,(xlRTCLENDU=1)*(xlRTCLEQCL=$D958),0))</f>
        <v>NG_HP</v>
      </c>
      <c r="W958" s="7" t="str">
        <f t="array" ref="W958">INDEX(xlRTCLNAME,MATCH(1,(xlRTCLENDU=2)*(xlRTCLEQCL=$F958),0))</f>
        <v>NG_HP</v>
      </c>
      <c r="X958" s="7" t="str">
        <f t="array" ref="X958">INDEX(xlRTTYNAME,MATCH(1,(xlRTTYENDU=1)*(xlRTTYEQCL=$D958)*(xlRTEQTYPE=$E958),0))</f>
        <v>NG_HP2</v>
      </c>
      <c r="Y958" s="7" t="str">
        <f t="array" ref="Y958">INDEX(xlRTTYNAME,MATCH(1,(xlRTTYENDU=2)*(xlRTTYEQCL=$F958)*(xlRTEQTYPE=$G958),0))</f>
        <v>NG_HP2</v>
      </c>
    </row>
    <row r="959" spans="2:25" ht="14.25" customHeight="1" x14ac:dyDescent="0.2">
      <c r="B959" s="5">
        <v>2</v>
      </c>
      <c r="C959" s="5">
        <v>2</v>
      </c>
      <c r="D959" s="5">
        <v>11</v>
      </c>
      <c r="E959" s="31">
        <v>35</v>
      </c>
      <c r="F959" s="5">
        <v>5</v>
      </c>
      <c r="G959" s="31">
        <v>16</v>
      </c>
      <c r="H959" s="31">
        <v>2020</v>
      </c>
      <c r="I959" s="5">
        <v>2050</v>
      </c>
      <c r="J959" s="142">
        <v>1.0847</v>
      </c>
      <c r="K959" s="142">
        <v>1.0357000000000001</v>
      </c>
      <c r="L959" s="142">
        <v>1.3448</v>
      </c>
      <c r="M959" s="142">
        <v>1.2250000000000001</v>
      </c>
      <c r="N959" s="142">
        <v>1.1162000000000001</v>
      </c>
      <c r="O959" s="142">
        <v>1.0538000000000001</v>
      </c>
      <c r="P959" s="26">
        <v>0</v>
      </c>
      <c r="Q959" s="35">
        <f t="array" ref="Q959">SUM(IF(($S959&gt;=4)*($C959='TaxCred&amp;Subs'!$D$114:$D$121)*($H959='TaxCred&amp;Subs'!$C$114:$C$121)*($H959&lt;='TaxCred&amp;Subs'!$C$123),'TaxCred&amp;Subs'!$E$114:$E$121,0))</f>
        <v>0</v>
      </c>
      <c r="R959" s="143">
        <v>0</v>
      </c>
      <c r="S959" s="5">
        <v>1</v>
      </c>
      <c r="T959" s="5" t="s">
        <v>219</v>
      </c>
      <c r="V959" s="7" t="str">
        <f t="array" ref="V959">INDEX(xlRTCLNAME,MATCH(1,(xlRTCLENDU=1)*(xlRTCLEQCL=$D959),0))</f>
        <v>NG_HP</v>
      </c>
      <c r="W959" s="7" t="str">
        <f t="array" ref="W959">INDEX(xlRTCLNAME,MATCH(1,(xlRTCLENDU=2)*(xlRTCLEQCL=$F959),0))</f>
        <v>NG_HP</v>
      </c>
      <c r="X959" s="7" t="str">
        <f t="array" ref="X959">INDEX(xlRTTYNAME,MATCH(1,(xlRTTYENDU=1)*(xlRTTYEQCL=$D959)*(xlRTEQTYPE=$E959),0))</f>
        <v>NG_HP2</v>
      </c>
      <c r="Y959" s="7" t="str">
        <f t="array" ref="Y959">INDEX(xlRTTYNAME,MATCH(1,(xlRTTYENDU=2)*(xlRTTYEQCL=$F959)*(xlRTEQTYPE=$G959),0))</f>
        <v>NG_HP2</v>
      </c>
    </row>
    <row r="960" spans="2:25" ht="14.25" customHeight="1" x14ac:dyDescent="0.2">
      <c r="B960" s="5">
        <v>3</v>
      </c>
      <c r="C960" s="5">
        <v>2</v>
      </c>
      <c r="D960" s="5">
        <v>11</v>
      </c>
      <c r="E960" s="31">
        <v>35</v>
      </c>
      <c r="F960" s="5">
        <v>5</v>
      </c>
      <c r="G960" s="31">
        <v>16</v>
      </c>
      <c r="H960" s="31">
        <v>2020</v>
      </c>
      <c r="I960" s="5">
        <v>2050</v>
      </c>
      <c r="J960" s="142">
        <v>1.0984</v>
      </c>
      <c r="K960" s="142">
        <v>1.0345</v>
      </c>
      <c r="L960" s="142">
        <v>1.1920999999999999</v>
      </c>
      <c r="M960" s="142">
        <v>1.1345000000000001</v>
      </c>
      <c r="N960" s="142">
        <v>1.0399</v>
      </c>
      <c r="O960" s="142">
        <v>1.0538000000000001</v>
      </c>
      <c r="P960" s="26">
        <v>0</v>
      </c>
      <c r="Q960" s="35">
        <f t="array" ref="Q960">SUM(IF(($S960&gt;=4)*($C960='TaxCred&amp;Subs'!$D$114:$D$121)*($H960='TaxCred&amp;Subs'!$C$114:$C$121)*($H960&lt;='TaxCred&amp;Subs'!$C$123),'TaxCred&amp;Subs'!$E$114:$E$121,0))</f>
        <v>0</v>
      </c>
      <c r="R960" s="143">
        <v>0</v>
      </c>
      <c r="S960" s="5">
        <v>1</v>
      </c>
      <c r="T960" s="5" t="s">
        <v>219</v>
      </c>
      <c r="V960" s="7" t="str">
        <f t="array" ref="V960">INDEX(xlRTCLNAME,MATCH(1,(xlRTCLENDU=1)*(xlRTCLEQCL=$D960),0))</f>
        <v>NG_HP</v>
      </c>
      <c r="W960" s="7" t="str">
        <f t="array" ref="W960">INDEX(xlRTCLNAME,MATCH(1,(xlRTCLENDU=2)*(xlRTCLEQCL=$F960),0))</f>
        <v>NG_HP</v>
      </c>
      <c r="X960" s="7" t="str">
        <f t="array" ref="X960">INDEX(xlRTTYNAME,MATCH(1,(xlRTTYENDU=1)*(xlRTTYEQCL=$D960)*(xlRTEQTYPE=$E960),0))</f>
        <v>NG_HP2</v>
      </c>
      <c r="Y960" s="7" t="str">
        <f t="array" ref="Y960">INDEX(xlRTTYNAME,MATCH(1,(xlRTTYENDU=2)*(xlRTTYEQCL=$F960)*(xlRTEQTYPE=$G960),0))</f>
        <v>NG_HP2</v>
      </c>
    </row>
    <row r="961" spans="2:25" ht="14.25" customHeight="1" x14ac:dyDescent="0.2">
      <c r="B961" s="5">
        <v>4</v>
      </c>
      <c r="C961" s="5">
        <v>2</v>
      </c>
      <c r="D961" s="5">
        <v>11</v>
      </c>
      <c r="E961" s="31">
        <v>35</v>
      </c>
      <c r="F961" s="5">
        <v>5</v>
      </c>
      <c r="G961" s="31">
        <v>16</v>
      </c>
      <c r="H961" s="31">
        <v>2020</v>
      </c>
      <c r="I961" s="5">
        <v>2050</v>
      </c>
      <c r="J961" s="142">
        <v>1.1000000000000001</v>
      </c>
      <c r="K961" s="142">
        <v>1.0435000000000001</v>
      </c>
      <c r="L961" s="142">
        <v>1.4516</v>
      </c>
      <c r="M961" s="142">
        <v>1.2250000000000001</v>
      </c>
      <c r="N961" s="142">
        <v>1.1696</v>
      </c>
      <c r="O961" s="142">
        <v>1.0538000000000001</v>
      </c>
      <c r="P961" s="26">
        <v>0</v>
      </c>
      <c r="Q961" s="35">
        <f t="array" ref="Q961">SUM(IF(($S961&gt;=4)*($C961='TaxCred&amp;Subs'!$D$114:$D$121)*($H961='TaxCred&amp;Subs'!$C$114:$C$121)*($H961&lt;='TaxCred&amp;Subs'!$C$123),'TaxCred&amp;Subs'!$E$114:$E$121,0))</f>
        <v>0</v>
      </c>
      <c r="R961" s="143">
        <v>0</v>
      </c>
      <c r="S961" s="5">
        <v>1</v>
      </c>
      <c r="T961" s="5" t="s">
        <v>219</v>
      </c>
      <c r="V961" s="7" t="str">
        <f t="array" ref="V961">INDEX(xlRTCLNAME,MATCH(1,(xlRTCLENDU=1)*(xlRTCLEQCL=$D961),0))</f>
        <v>NG_HP</v>
      </c>
      <c r="W961" s="7" t="str">
        <f t="array" ref="W961">INDEX(xlRTCLNAME,MATCH(1,(xlRTCLENDU=2)*(xlRTCLEQCL=$F961),0))</f>
        <v>NG_HP</v>
      </c>
      <c r="X961" s="7" t="str">
        <f t="array" ref="X961">INDEX(xlRTTYNAME,MATCH(1,(xlRTTYENDU=1)*(xlRTTYEQCL=$D961)*(xlRTEQTYPE=$E961),0))</f>
        <v>NG_HP2</v>
      </c>
      <c r="Y961" s="7" t="str">
        <f t="array" ref="Y961">INDEX(xlRTTYNAME,MATCH(1,(xlRTTYENDU=2)*(xlRTTYEQCL=$F961)*(xlRTEQTYPE=$G961),0))</f>
        <v>NG_HP2</v>
      </c>
    </row>
    <row r="962" spans="2:25" ht="14.25" customHeight="1" x14ac:dyDescent="0.2">
      <c r="B962" s="5">
        <v>5</v>
      </c>
      <c r="C962" s="5">
        <v>2</v>
      </c>
      <c r="D962" s="5">
        <v>11</v>
      </c>
      <c r="E962" s="31">
        <v>35</v>
      </c>
      <c r="F962" s="5">
        <v>5</v>
      </c>
      <c r="G962" s="31">
        <v>16</v>
      </c>
      <c r="H962" s="31">
        <v>2020</v>
      </c>
      <c r="I962" s="5">
        <v>2050</v>
      </c>
      <c r="J962" s="142">
        <v>1.1200000000000001</v>
      </c>
      <c r="K962" s="142">
        <v>1.0391999999999999</v>
      </c>
      <c r="L962" s="142">
        <v>1.6626000000000001</v>
      </c>
      <c r="M962" s="142">
        <v>1.1687000000000001</v>
      </c>
      <c r="N962" s="142">
        <v>1.2750999999999999</v>
      </c>
      <c r="O962" s="142">
        <v>1.0538000000000001</v>
      </c>
      <c r="P962" s="26">
        <v>0</v>
      </c>
      <c r="Q962" s="35">
        <f t="array" ref="Q962">SUM(IF(($S962&gt;=4)*($C962='TaxCred&amp;Subs'!$D$114:$D$121)*($H962='TaxCred&amp;Subs'!$C$114:$C$121)*($H962&lt;='TaxCred&amp;Subs'!$C$123),'TaxCred&amp;Subs'!$E$114:$E$121,0))</f>
        <v>0</v>
      </c>
      <c r="R962" s="143">
        <v>0</v>
      </c>
      <c r="S962" s="5">
        <v>1</v>
      </c>
      <c r="T962" s="5" t="s">
        <v>219</v>
      </c>
      <c r="V962" s="7" t="str">
        <f t="array" ref="V962">INDEX(xlRTCLNAME,MATCH(1,(xlRTCLENDU=1)*(xlRTCLEQCL=$D962),0))</f>
        <v>NG_HP</v>
      </c>
      <c r="W962" s="7" t="str">
        <f t="array" ref="W962">INDEX(xlRTCLNAME,MATCH(1,(xlRTCLENDU=2)*(xlRTCLEQCL=$F962),0))</f>
        <v>NG_HP</v>
      </c>
      <c r="X962" s="7" t="str">
        <f t="array" ref="X962">INDEX(xlRTTYNAME,MATCH(1,(xlRTTYENDU=1)*(xlRTTYEQCL=$D962)*(xlRTEQTYPE=$E962),0))</f>
        <v>NG_HP2</v>
      </c>
      <c r="Y962" s="7" t="str">
        <f t="array" ref="Y962">INDEX(xlRTTYNAME,MATCH(1,(xlRTTYENDU=2)*(xlRTTYEQCL=$F962)*(xlRTEQTYPE=$G962),0))</f>
        <v>NG_HP2</v>
      </c>
    </row>
    <row r="963" spans="2:25" ht="14.25" customHeight="1" x14ac:dyDescent="0.2">
      <c r="B963" s="5">
        <v>6</v>
      </c>
      <c r="C963" s="5">
        <v>2</v>
      </c>
      <c r="D963" s="5">
        <v>11</v>
      </c>
      <c r="E963" s="31">
        <v>35</v>
      </c>
      <c r="F963" s="5">
        <v>5</v>
      </c>
      <c r="G963" s="31">
        <v>16</v>
      </c>
      <c r="H963" s="31">
        <v>2020</v>
      </c>
      <c r="I963" s="5">
        <v>2050</v>
      </c>
      <c r="J963" s="142">
        <v>1.1200000000000001</v>
      </c>
      <c r="K963" s="142">
        <v>1.03</v>
      </c>
      <c r="L963" s="142">
        <v>1.7771999999999999</v>
      </c>
      <c r="M963" s="142">
        <v>1.2250000000000001</v>
      </c>
      <c r="N963" s="142">
        <v>1.3324</v>
      </c>
      <c r="O963" s="142">
        <v>1.0538000000000001</v>
      </c>
      <c r="P963" s="26">
        <v>0</v>
      </c>
      <c r="Q963" s="35">
        <f t="array" ref="Q963">SUM(IF(($S963&gt;=4)*($C963='TaxCred&amp;Subs'!$D$114:$D$121)*($H963='TaxCred&amp;Subs'!$C$114:$C$121)*($H963&lt;='TaxCred&amp;Subs'!$C$123),'TaxCred&amp;Subs'!$E$114:$E$121,0))</f>
        <v>0</v>
      </c>
      <c r="R963" s="143">
        <v>0</v>
      </c>
      <c r="S963" s="5">
        <v>1</v>
      </c>
      <c r="T963" s="5" t="s">
        <v>219</v>
      </c>
      <c r="V963" s="7" t="str">
        <f t="array" ref="V963">INDEX(xlRTCLNAME,MATCH(1,(xlRTCLENDU=1)*(xlRTCLEQCL=$D963),0))</f>
        <v>NG_HP</v>
      </c>
      <c r="W963" s="7" t="str">
        <f t="array" ref="W963">INDEX(xlRTCLNAME,MATCH(1,(xlRTCLENDU=2)*(xlRTCLEQCL=$F963),0))</f>
        <v>NG_HP</v>
      </c>
      <c r="X963" s="7" t="str">
        <f t="array" ref="X963">INDEX(xlRTTYNAME,MATCH(1,(xlRTTYENDU=1)*(xlRTTYEQCL=$D963)*(xlRTEQTYPE=$E963),0))</f>
        <v>NG_HP2</v>
      </c>
      <c r="Y963" s="7" t="str">
        <f t="array" ref="Y963">INDEX(xlRTTYNAME,MATCH(1,(xlRTTYENDU=2)*(xlRTTYEQCL=$F963)*(xlRTEQTYPE=$G963),0))</f>
        <v>NG_HP2</v>
      </c>
    </row>
    <row r="964" spans="2:25" ht="14.25" customHeight="1" x14ac:dyDescent="0.2">
      <c r="B964" s="5">
        <v>7</v>
      </c>
      <c r="C964" s="5">
        <v>2</v>
      </c>
      <c r="D964" s="5">
        <v>11</v>
      </c>
      <c r="E964" s="31">
        <v>35</v>
      </c>
      <c r="F964" s="5">
        <v>5</v>
      </c>
      <c r="G964" s="31">
        <v>16</v>
      </c>
      <c r="H964" s="31">
        <v>2020</v>
      </c>
      <c r="I964" s="5">
        <v>2050</v>
      </c>
      <c r="J964" s="142">
        <v>1.1200000000000001</v>
      </c>
      <c r="K964" s="142">
        <v>1.0462</v>
      </c>
      <c r="L964" s="142">
        <v>2</v>
      </c>
      <c r="M964" s="142">
        <v>1.2121</v>
      </c>
      <c r="N964" s="142">
        <v>1.4438</v>
      </c>
      <c r="O964" s="142">
        <v>1.0538000000000001</v>
      </c>
      <c r="P964" s="26">
        <v>0</v>
      </c>
      <c r="Q964" s="35">
        <f t="array" ref="Q964">SUM(IF(($S964&gt;=4)*($C964='TaxCred&amp;Subs'!$D$114:$D$121)*($H964='TaxCred&amp;Subs'!$C$114:$C$121)*($H964&lt;='TaxCred&amp;Subs'!$C$123),'TaxCred&amp;Subs'!$E$114:$E$121,0))</f>
        <v>0</v>
      </c>
      <c r="R964" s="143">
        <v>0</v>
      </c>
      <c r="S964" s="5">
        <v>1</v>
      </c>
      <c r="T964" s="5" t="s">
        <v>219</v>
      </c>
      <c r="V964" s="7" t="str">
        <f t="array" ref="V964">INDEX(xlRTCLNAME,MATCH(1,(xlRTCLENDU=1)*(xlRTCLEQCL=$D964),0))</f>
        <v>NG_HP</v>
      </c>
      <c r="W964" s="7" t="str">
        <f t="array" ref="W964">INDEX(xlRTCLNAME,MATCH(1,(xlRTCLENDU=2)*(xlRTCLEQCL=$F964),0))</f>
        <v>NG_HP</v>
      </c>
      <c r="X964" s="7" t="str">
        <f t="array" ref="X964">INDEX(xlRTTYNAME,MATCH(1,(xlRTTYENDU=1)*(xlRTTYEQCL=$D964)*(xlRTEQTYPE=$E964),0))</f>
        <v>NG_HP2</v>
      </c>
      <c r="Y964" s="7" t="str">
        <f t="array" ref="Y964">INDEX(xlRTTYNAME,MATCH(1,(xlRTTYENDU=2)*(xlRTTYEQCL=$F964)*(xlRTEQTYPE=$G964),0))</f>
        <v>NG_HP2</v>
      </c>
    </row>
    <row r="965" spans="2:25" ht="14.25" customHeight="1" x14ac:dyDescent="0.2">
      <c r="B965" s="5">
        <v>8</v>
      </c>
      <c r="C965" s="5">
        <v>2</v>
      </c>
      <c r="D965" s="5">
        <v>11</v>
      </c>
      <c r="E965" s="31">
        <v>35</v>
      </c>
      <c r="F965" s="5">
        <v>5</v>
      </c>
      <c r="G965" s="31">
        <v>16</v>
      </c>
      <c r="H965" s="31">
        <v>2020</v>
      </c>
      <c r="I965" s="5">
        <v>2050</v>
      </c>
      <c r="J965" s="142">
        <v>1.0932999999999999</v>
      </c>
      <c r="K965" s="142">
        <v>1.0323</v>
      </c>
      <c r="L965" s="142">
        <v>1.6819</v>
      </c>
      <c r="M965" s="142">
        <v>1.3391999999999999</v>
      </c>
      <c r="N965" s="142">
        <v>1.2847999999999999</v>
      </c>
      <c r="O965" s="142">
        <v>1.0538000000000001</v>
      </c>
      <c r="P965" s="26">
        <v>0</v>
      </c>
      <c r="Q965" s="35">
        <f t="array" ref="Q965">SUM(IF(($S965&gt;=4)*($C965='TaxCred&amp;Subs'!$D$114:$D$121)*($H965='TaxCred&amp;Subs'!$C$114:$C$121)*($H965&lt;='TaxCred&amp;Subs'!$C$123),'TaxCred&amp;Subs'!$E$114:$E$121,0))</f>
        <v>0</v>
      </c>
      <c r="R965" s="143">
        <v>0</v>
      </c>
      <c r="S965" s="5">
        <v>1</v>
      </c>
      <c r="T965" s="5" t="s">
        <v>219</v>
      </c>
      <c r="V965" s="7" t="str">
        <f t="array" ref="V965">INDEX(xlRTCLNAME,MATCH(1,(xlRTCLENDU=1)*(xlRTCLEQCL=$D965),0))</f>
        <v>NG_HP</v>
      </c>
      <c r="W965" s="7" t="str">
        <f t="array" ref="W965">INDEX(xlRTCLNAME,MATCH(1,(xlRTCLENDU=2)*(xlRTCLEQCL=$F965),0))</f>
        <v>NG_HP</v>
      </c>
      <c r="X965" s="7" t="str">
        <f t="array" ref="X965">INDEX(xlRTTYNAME,MATCH(1,(xlRTTYENDU=1)*(xlRTTYEQCL=$D965)*(xlRTEQTYPE=$E965),0))</f>
        <v>NG_HP2</v>
      </c>
      <c r="Y965" s="7" t="str">
        <f t="array" ref="Y965">INDEX(xlRTTYNAME,MATCH(1,(xlRTTYENDU=2)*(xlRTTYEQCL=$F965)*(xlRTEQTYPE=$G965),0))</f>
        <v>NG_HP2</v>
      </c>
    </row>
    <row r="966" spans="2:25" ht="14.25" customHeight="1" x14ac:dyDescent="0.2">
      <c r="B966" s="5">
        <v>9</v>
      </c>
      <c r="C966" s="5">
        <v>2</v>
      </c>
      <c r="D966" s="5">
        <v>11</v>
      </c>
      <c r="E966" s="31">
        <v>35</v>
      </c>
      <c r="F966" s="5">
        <v>5</v>
      </c>
      <c r="G966" s="31">
        <v>16</v>
      </c>
      <c r="H966" s="31">
        <v>2020</v>
      </c>
      <c r="I966" s="5">
        <v>2050</v>
      </c>
      <c r="J966" s="142">
        <v>1.07</v>
      </c>
      <c r="K966" s="142">
        <v>1.0541</v>
      </c>
      <c r="L966" s="142">
        <v>2</v>
      </c>
      <c r="M966" s="142">
        <v>1.2834000000000001</v>
      </c>
      <c r="N966" s="142">
        <v>1.4438</v>
      </c>
      <c r="O966" s="142">
        <v>1.0538000000000001</v>
      </c>
      <c r="P966" s="26">
        <v>0</v>
      </c>
      <c r="Q966" s="35">
        <f t="array" ref="Q966">SUM(IF(($S966&gt;=4)*($C966='TaxCred&amp;Subs'!$D$114:$D$121)*($H966='TaxCred&amp;Subs'!$C$114:$C$121)*($H966&lt;='TaxCred&amp;Subs'!$C$123),'TaxCred&amp;Subs'!$E$114:$E$121,0))</f>
        <v>0</v>
      </c>
      <c r="R966" s="143">
        <v>0</v>
      </c>
      <c r="S966" s="5">
        <v>1</v>
      </c>
      <c r="T966" s="5" t="s">
        <v>219</v>
      </c>
      <c r="V966" s="7" t="str">
        <f t="array" ref="V966">INDEX(xlRTCLNAME,MATCH(1,(xlRTCLENDU=1)*(xlRTCLEQCL=$D966),0))</f>
        <v>NG_HP</v>
      </c>
      <c r="W966" s="7" t="str">
        <f t="array" ref="W966">INDEX(xlRTCLNAME,MATCH(1,(xlRTCLENDU=2)*(xlRTCLEQCL=$F966),0))</f>
        <v>NG_HP</v>
      </c>
      <c r="X966" s="7" t="str">
        <f t="array" ref="X966">INDEX(xlRTTYNAME,MATCH(1,(xlRTTYENDU=1)*(xlRTTYEQCL=$D966)*(xlRTEQTYPE=$E966),0))</f>
        <v>NG_HP2</v>
      </c>
      <c r="Y966" s="7" t="str">
        <f t="array" ref="Y966">INDEX(xlRTTYNAME,MATCH(1,(xlRTTYENDU=2)*(xlRTTYEQCL=$F966)*(xlRTEQTYPE=$G966),0))</f>
        <v>NG_HP2</v>
      </c>
    </row>
    <row r="967" spans="2:25" ht="14.25" customHeight="1" x14ac:dyDescent="0.2">
      <c r="B967" s="5">
        <v>1</v>
      </c>
      <c r="C967" s="5">
        <v>2</v>
      </c>
      <c r="D967" s="5">
        <v>1</v>
      </c>
      <c r="E967" s="5">
        <v>1</v>
      </c>
      <c r="F967" s="5">
        <v>2</v>
      </c>
      <c r="G967" s="31">
        <v>4</v>
      </c>
      <c r="H967" s="31">
        <v>2020</v>
      </c>
      <c r="I967" s="96">
        <v>2050</v>
      </c>
      <c r="J967" s="142">
        <v>1.1039000000000001</v>
      </c>
      <c r="K967" s="142">
        <v>1.0417000000000001</v>
      </c>
      <c r="L967" s="142">
        <v>0.80700000000000005</v>
      </c>
      <c r="M967" s="142">
        <v>1.1455</v>
      </c>
      <c r="N967" s="142">
        <v>1.1114999999999999</v>
      </c>
      <c r="O967" s="142">
        <v>1.0538000000000001</v>
      </c>
      <c r="P967" s="26">
        <v>4090.0732014788609</v>
      </c>
      <c r="Q967" s="35">
        <f t="array" ref="Q967">SUM(IF(($S967&gt;=4)*($C967='TaxCred&amp;Subs'!$D$114:$D$121)*($H967='TaxCred&amp;Subs'!$C$114:$C$121)*($H967&lt;='TaxCred&amp;Subs'!$C$123),'TaxCred&amp;Subs'!$E$114:$E$121,0))</f>
        <v>0</v>
      </c>
      <c r="R967" s="143">
        <v>0</v>
      </c>
      <c r="S967" s="5">
        <v>2</v>
      </c>
      <c r="T967" s="5" t="s">
        <v>220</v>
      </c>
      <c r="V967" s="7" t="str">
        <f t="array" ref="V967">INDEX(xlRTCLNAME,MATCH(1,(xlRTCLENDU=1)*(xlRTCLEQCL=$D967),0))</f>
        <v>ELEC_RAD</v>
      </c>
      <c r="W967" s="7" t="str">
        <f t="array" ref="W967">INDEX(xlRTCLNAME,MATCH(1,(xlRTCLENDU=2)*(xlRTCLEQCL=$F967),0))</f>
        <v>CENT_AIR</v>
      </c>
      <c r="X967" s="7" t="str">
        <f t="array" ref="X967">INDEX(xlRTTYNAME,MATCH(1,(xlRTTYENDU=1)*(xlRTTYEQCL=$D967)*(xlRTEQTYPE=$E967),0))</f>
        <v>ELEC_RAD2</v>
      </c>
      <c r="Y967" s="7" t="str">
        <f t="array" ref="Y967">INDEX(xlRTTYNAME,MATCH(1,(xlRTTYENDU=2)*(xlRTTYEQCL=$F967)*(xlRTEQTYPE=$G967),0))</f>
        <v>CENT_AIR1</v>
      </c>
    </row>
    <row r="968" spans="2:25" ht="14.25" customHeight="1" x14ac:dyDescent="0.2">
      <c r="B968" s="5">
        <v>2</v>
      </c>
      <c r="C968" s="5">
        <v>2</v>
      </c>
      <c r="D968" s="5">
        <v>1</v>
      </c>
      <c r="E968" s="5">
        <v>1</v>
      </c>
      <c r="F968" s="5">
        <v>2</v>
      </c>
      <c r="G968" s="31">
        <v>4</v>
      </c>
      <c r="H968" s="31">
        <v>2020</v>
      </c>
      <c r="I968" s="96">
        <v>2050</v>
      </c>
      <c r="J968" s="142">
        <v>1.1000000000000001</v>
      </c>
      <c r="K968" s="142">
        <v>1.0357000000000001</v>
      </c>
      <c r="L968" s="142">
        <v>0.87590000000000001</v>
      </c>
      <c r="M968" s="142">
        <v>1.1834</v>
      </c>
      <c r="N968" s="142">
        <v>1.1163000000000001</v>
      </c>
      <c r="O968" s="142">
        <v>1.0538000000000001</v>
      </c>
      <c r="P968" s="26">
        <v>2937.8073455724229</v>
      </c>
      <c r="Q968" s="35">
        <f t="array" ref="Q968">SUM(IF(($S968&gt;=4)*($C968='TaxCred&amp;Subs'!$D$114:$D$121)*($H968='TaxCred&amp;Subs'!$C$114:$C$121)*($H968&lt;='TaxCred&amp;Subs'!$C$123),'TaxCred&amp;Subs'!$E$114:$E$121,0))</f>
        <v>0</v>
      </c>
      <c r="R968" s="143">
        <v>0</v>
      </c>
      <c r="S968" s="5">
        <v>2</v>
      </c>
      <c r="T968" s="5" t="s">
        <v>220</v>
      </c>
      <c r="V968" s="7" t="str">
        <f t="array" ref="V968">INDEX(xlRTCLNAME,MATCH(1,(xlRTCLENDU=1)*(xlRTCLEQCL=$D968),0))</f>
        <v>ELEC_RAD</v>
      </c>
      <c r="W968" s="7" t="str">
        <f t="array" ref="W968">INDEX(xlRTCLNAME,MATCH(1,(xlRTCLENDU=2)*(xlRTCLEQCL=$F968),0))</f>
        <v>CENT_AIR</v>
      </c>
      <c r="X968" s="7" t="str">
        <f t="array" ref="X968">INDEX(xlRTTYNAME,MATCH(1,(xlRTTYENDU=1)*(xlRTTYEQCL=$D968)*(xlRTEQTYPE=$E968),0))</f>
        <v>ELEC_RAD2</v>
      </c>
      <c r="Y968" s="7" t="str">
        <f t="array" ref="Y968">INDEX(xlRTTYNAME,MATCH(1,(xlRTTYENDU=2)*(xlRTTYEQCL=$F968)*(xlRTEQTYPE=$G968),0))</f>
        <v>CENT_AIR1</v>
      </c>
    </row>
    <row r="969" spans="2:25" ht="14.25" customHeight="1" x14ac:dyDescent="0.2">
      <c r="B969" s="5">
        <v>3</v>
      </c>
      <c r="C969" s="5">
        <v>2</v>
      </c>
      <c r="D969" s="5">
        <v>1</v>
      </c>
      <c r="E969" s="5">
        <v>1</v>
      </c>
      <c r="F969" s="5">
        <v>2</v>
      </c>
      <c r="G969" s="31">
        <v>4</v>
      </c>
      <c r="H969" s="31">
        <v>2020</v>
      </c>
      <c r="I969" s="96">
        <v>2050</v>
      </c>
      <c r="J969" s="142">
        <v>1.1020000000000001</v>
      </c>
      <c r="K969" s="142">
        <v>1.0345</v>
      </c>
      <c r="L969" s="142">
        <v>0.85909999999999997</v>
      </c>
      <c r="M969" s="142">
        <v>1.1000000000000001</v>
      </c>
      <c r="N969" s="142">
        <v>1.0386</v>
      </c>
      <c r="O969" s="142">
        <v>1.0538000000000001</v>
      </c>
      <c r="P969" s="26">
        <v>3255.1174295793303</v>
      </c>
      <c r="Q969" s="35">
        <f t="array" ref="Q969">SUM(IF(($S969&gt;=4)*($C969='TaxCred&amp;Subs'!$D$114:$D$121)*($H969='TaxCred&amp;Subs'!$C$114:$C$121)*($H969&lt;='TaxCred&amp;Subs'!$C$123),'TaxCred&amp;Subs'!$E$114:$E$121,0))</f>
        <v>0</v>
      </c>
      <c r="R969" s="143">
        <v>0</v>
      </c>
      <c r="S969" s="5">
        <v>2</v>
      </c>
      <c r="T969" s="5" t="s">
        <v>220</v>
      </c>
      <c r="V969" s="7" t="str">
        <f t="array" ref="V969">INDEX(xlRTCLNAME,MATCH(1,(xlRTCLENDU=1)*(xlRTCLEQCL=$D969),0))</f>
        <v>ELEC_RAD</v>
      </c>
      <c r="W969" s="7" t="str">
        <f t="array" ref="W969">INDEX(xlRTCLNAME,MATCH(1,(xlRTCLENDU=2)*(xlRTCLEQCL=$F969),0))</f>
        <v>CENT_AIR</v>
      </c>
      <c r="X969" s="7" t="str">
        <f t="array" ref="X969">INDEX(xlRTTYNAME,MATCH(1,(xlRTTYENDU=1)*(xlRTTYEQCL=$D969)*(xlRTEQTYPE=$E969),0))</f>
        <v>ELEC_RAD2</v>
      </c>
      <c r="Y969" s="7" t="str">
        <f t="array" ref="Y969">INDEX(xlRTTYNAME,MATCH(1,(xlRTTYENDU=2)*(xlRTTYEQCL=$F969)*(xlRTEQTYPE=$G969),0))</f>
        <v>CENT_AIR1</v>
      </c>
    </row>
    <row r="970" spans="2:25" ht="14.25" customHeight="1" x14ac:dyDescent="0.2">
      <c r="B970" s="5">
        <v>4</v>
      </c>
      <c r="C970" s="5">
        <v>2</v>
      </c>
      <c r="D970" s="5">
        <v>1</v>
      </c>
      <c r="E970" s="5">
        <v>1</v>
      </c>
      <c r="F970" s="5">
        <v>2</v>
      </c>
      <c r="G970" s="31">
        <v>4</v>
      </c>
      <c r="H970" s="31">
        <v>2020</v>
      </c>
      <c r="I970" s="96">
        <v>2050</v>
      </c>
      <c r="J970" s="142">
        <v>1.1000000000000001</v>
      </c>
      <c r="K970" s="142">
        <v>1.0435000000000001</v>
      </c>
      <c r="L970" s="142">
        <v>1.0206999999999999</v>
      </c>
      <c r="M970" s="142">
        <v>1.175</v>
      </c>
      <c r="N970" s="142">
        <v>1.1657</v>
      </c>
      <c r="O970" s="142">
        <v>1.0538000000000001</v>
      </c>
      <c r="P970" s="26">
        <v>2816.7992626884329</v>
      </c>
      <c r="Q970" s="35">
        <f t="array" ref="Q970">SUM(IF(($S970&gt;=4)*($C970='TaxCred&amp;Subs'!$D$114:$D$121)*($H970='TaxCred&amp;Subs'!$C$114:$C$121)*($H970&lt;='TaxCred&amp;Subs'!$C$123),'TaxCred&amp;Subs'!$E$114:$E$121,0))</f>
        <v>0</v>
      </c>
      <c r="R970" s="143">
        <v>0</v>
      </c>
      <c r="S970" s="5">
        <v>2</v>
      </c>
      <c r="T970" s="5" t="s">
        <v>220</v>
      </c>
      <c r="V970" s="7" t="str">
        <f t="array" ref="V970">INDEX(xlRTCLNAME,MATCH(1,(xlRTCLENDU=1)*(xlRTCLEQCL=$D970),0))</f>
        <v>ELEC_RAD</v>
      </c>
      <c r="W970" s="7" t="str">
        <f t="array" ref="W970">INDEX(xlRTCLNAME,MATCH(1,(xlRTCLENDU=2)*(xlRTCLEQCL=$F970),0))</f>
        <v>CENT_AIR</v>
      </c>
      <c r="X970" s="7" t="str">
        <f t="array" ref="X970">INDEX(xlRTTYNAME,MATCH(1,(xlRTTYENDU=1)*(xlRTTYEQCL=$D970)*(xlRTEQTYPE=$E970),0))</f>
        <v>ELEC_RAD2</v>
      </c>
      <c r="Y970" s="7" t="str">
        <f t="array" ref="Y970">INDEX(xlRTTYNAME,MATCH(1,(xlRTTYENDU=2)*(xlRTTYEQCL=$F970)*(xlRTEQTYPE=$G970),0))</f>
        <v>CENT_AIR1</v>
      </c>
    </row>
    <row r="971" spans="2:25" ht="14.25" customHeight="1" x14ac:dyDescent="0.2">
      <c r="B971" s="5">
        <v>5</v>
      </c>
      <c r="C971" s="5">
        <v>2</v>
      </c>
      <c r="D971" s="5">
        <v>1</v>
      </c>
      <c r="E971" s="5">
        <v>1</v>
      </c>
      <c r="F971" s="5">
        <v>2</v>
      </c>
      <c r="G971" s="31">
        <v>4</v>
      </c>
      <c r="H971" s="31">
        <v>2020</v>
      </c>
      <c r="I971" s="96">
        <v>2050</v>
      </c>
      <c r="J971" s="142">
        <v>1.1200000000000001</v>
      </c>
      <c r="K971" s="142">
        <v>1.0577000000000001</v>
      </c>
      <c r="L971" s="142">
        <v>0.71309999999999996</v>
      </c>
      <c r="M971" s="142">
        <v>1.1097999999999999</v>
      </c>
      <c r="N971" s="142">
        <v>1.2619</v>
      </c>
      <c r="O971" s="142">
        <v>1.0538000000000001</v>
      </c>
      <c r="P971" s="26">
        <v>2356.968547729271</v>
      </c>
      <c r="Q971" s="35">
        <f t="array" ref="Q971">SUM(IF(($S971&gt;=4)*($C971='TaxCred&amp;Subs'!$D$114:$D$121)*($H971='TaxCred&amp;Subs'!$C$114:$C$121)*($H971&lt;='TaxCred&amp;Subs'!$C$123),'TaxCred&amp;Subs'!$E$114:$E$121,0))</f>
        <v>0</v>
      </c>
      <c r="R971" s="143">
        <v>0</v>
      </c>
      <c r="S971" s="5">
        <v>2</v>
      </c>
      <c r="T971" s="5" t="s">
        <v>220</v>
      </c>
      <c r="V971" s="7" t="str">
        <f t="array" ref="V971">INDEX(xlRTCLNAME,MATCH(1,(xlRTCLENDU=1)*(xlRTCLEQCL=$D971),0))</f>
        <v>ELEC_RAD</v>
      </c>
      <c r="W971" s="7" t="str">
        <f t="array" ref="W971">INDEX(xlRTCLNAME,MATCH(1,(xlRTCLENDU=2)*(xlRTCLEQCL=$F971),0))</f>
        <v>CENT_AIR</v>
      </c>
      <c r="X971" s="7" t="str">
        <f t="array" ref="X971">INDEX(xlRTTYNAME,MATCH(1,(xlRTTYENDU=1)*(xlRTTYEQCL=$D971)*(xlRTEQTYPE=$E971),0))</f>
        <v>ELEC_RAD2</v>
      </c>
      <c r="Y971" s="7" t="str">
        <f t="array" ref="Y971">INDEX(xlRTTYNAME,MATCH(1,(xlRTTYENDU=2)*(xlRTTYEQCL=$F971)*(xlRTEQTYPE=$G971),0))</f>
        <v>CENT_AIR1</v>
      </c>
    </row>
    <row r="972" spans="2:25" ht="14.25" customHeight="1" x14ac:dyDescent="0.2">
      <c r="B972" s="5">
        <v>6</v>
      </c>
      <c r="C972" s="5">
        <v>2</v>
      </c>
      <c r="D972" s="5">
        <v>1</v>
      </c>
      <c r="E972" s="5">
        <v>1</v>
      </c>
      <c r="F972" s="5">
        <v>2</v>
      </c>
      <c r="G972" s="31">
        <v>4</v>
      </c>
      <c r="H972" s="31">
        <v>2020</v>
      </c>
      <c r="I972" s="96">
        <v>2050</v>
      </c>
      <c r="J972" s="142">
        <v>1.1000000000000001</v>
      </c>
      <c r="K972" s="142">
        <v>1.0407999999999999</v>
      </c>
      <c r="L972" s="142">
        <v>1.0688</v>
      </c>
      <c r="M972" s="142">
        <v>1.1568000000000001</v>
      </c>
      <c r="N972" s="142">
        <v>1.3324</v>
      </c>
      <c r="O972" s="142">
        <v>1.0538000000000001</v>
      </c>
      <c r="P972" s="26">
        <v>2592.2620422259183</v>
      </c>
      <c r="Q972" s="35">
        <f t="array" ref="Q972">SUM(IF(($S972&gt;=4)*($C972='TaxCred&amp;Subs'!$D$114:$D$121)*($H972='TaxCred&amp;Subs'!$C$114:$C$121)*($H972&lt;='TaxCred&amp;Subs'!$C$123),'TaxCred&amp;Subs'!$E$114:$E$121,0))</f>
        <v>0</v>
      </c>
      <c r="R972" s="143">
        <v>0</v>
      </c>
      <c r="S972" s="5">
        <v>2</v>
      </c>
      <c r="T972" s="5" t="s">
        <v>220</v>
      </c>
      <c r="V972" s="7" t="str">
        <f t="array" ref="V972">INDEX(xlRTCLNAME,MATCH(1,(xlRTCLENDU=1)*(xlRTCLEQCL=$D972),0))</f>
        <v>ELEC_RAD</v>
      </c>
      <c r="W972" s="7" t="str">
        <f t="array" ref="W972">INDEX(xlRTCLNAME,MATCH(1,(xlRTCLENDU=2)*(xlRTCLEQCL=$F972),0))</f>
        <v>CENT_AIR</v>
      </c>
      <c r="X972" s="7" t="str">
        <f t="array" ref="X972">INDEX(xlRTTYNAME,MATCH(1,(xlRTTYENDU=1)*(xlRTTYEQCL=$D972)*(xlRTEQTYPE=$E972),0))</f>
        <v>ELEC_RAD2</v>
      </c>
      <c r="Y972" s="7" t="str">
        <f t="array" ref="Y972">INDEX(xlRTTYNAME,MATCH(1,(xlRTTYENDU=2)*(xlRTTYEQCL=$F972)*(xlRTEQTYPE=$G972),0))</f>
        <v>CENT_AIR1</v>
      </c>
    </row>
    <row r="973" spans="2:25" ht="14.25" customHeight="1" x14ac:dyDescent="0.2">
      <c r="B973" s="5">
        <v>7</v>
      </c>
      <c r="C973" s="5">
        <v>2</v>
      </c>
      <c r="D973" s="5">
        <v>1</v>
      </c>
      <c r="E973" s="5">
        <v>1</v>
      </c>
      <c r="F973" s="5">
        <v>2</v>
      </c>
      <c r="G973" s="31">
        <v>4</v>
      </c>
      <c r="H973" s="31">
        <v>2020</v>
      </c>
      <c r="I973" s="96">
        <v>2050</v>
      </c>
      <c r="J973" s="142">
        <v>1.1200000000000001</v>
      </c>
      <c r="K973" s="142">
        <v>1.0455000000000001</v>
      </c>
      <c r="L973" s="142">
        <v>1.3438000000000001</v>
      </c>
      <c r="M973" s="142">
        <v>1.169</v>
      </c>
      <c r="N973" s="142">
        <v>1.4438</v>
      </c>
      <c r="O973" s="142">
        <v>1.0538000000000001</v>
      </c>
      <c r="P973" s="26">
        <v>1780.163352648919</v>
      </c>
      <c r="Q973" s="35">
        <f t="array" ref="Q973">SUM(IF(($S973&gt;=4)*($C973='TaxCred&amp;Subs'!$D$114:$D$121)*($H973='TaxCred&amp;Subs'!$C$114:$C$121)*($H973&lt;='TaxCred&amp;Subs'!$C$123),'TaxCred&amp;Subs'!$E$114:$E$121,0))</f>
        <v>0</v>
      </c>
      <c r="R973" s="143">
        <v>0</v>
      </c>
      <c r="S973" s="5">
        <v>2</v>
      </c>
      <c r="T973" s="5" t="s">
        <v>220</v>
      </c>
      <c r="V973" s="7" t="str">
        <f t="array" ref="V973">INDEX(xlRTCLNAME,MATCH(1,(xlRTCLENDU=1)*(xlRTCLEQCL=$D973),0))</f>
        <v>ELEC_RAD</v>
      </c>
      <c r="W973" s="7" t="str">
        <f t="array" ref="W973">INDEX(xlRTCLNAME,MATCH(1,(xlRTCLENDU=2)*(xlRTCLEQCL=$F973),0))</f>
        <v>CENT_AIR</v>
      </c>
      <c r="X973" s="7" t="str">
        <f t="array" ref="X973">INDEX(xlRTTYNAME,MATCH(1,(xlRTTYENDU=1)*(xlRTTYEQCL=$D973)*(xlRTEQTYPE=$E973),0))</f>
        <v>ELEC_RAD2</v>
      </c>
      <c r="Y973" s="7" t="str">
        <f t="array" ref="Y973">INDEX(xlRTTYNAME,MATCH(1,(xlRTTYENDU=2)*(xlRTTYEQCL=$F973)*(xlRTEQTYPE=$G973),0))</f>
        <v>CENT_AIR1</v>
      </c>
    </row>
    <row r="974" spans="2:25" ht="14.25" customHeight="1" x14ac:dyDescent="0.2">
      <c r="B974" s="5">
        <v>8</v>
      </c>
      <c r="C974" s="5">
        <v>2</v>
      </c>
      <c r="D974" s="5">
        <v>1</v>
      </c>
      <c r="E974" s="5">
        <v>1</v>
      </c>
      <c r="F974" s="5">
        <v>2</v>
      </c>
      <c r="G974" s="31">
        <v>4</v>
      </c>
      <c r="H974" s="31">
        <v>2020</v>
      </c>
      <c r="I974" s="96">
        <v>2050</v>
      </c>
      <c r="J974" s="142">
        <v>1.1026</v>
      </c>
      <c r="K974" s="142">
        <v>1.0645</v>
      </c>
      <c r="L974" s="142">
        <v>0.82620000000000005</v>
      </c>
      <c r="M974" s="142">
        <v>1.2739</v>
      </c>
      <c r="N974" s="142">
        <v>1.2785</v>
      </c>
      <c r="O974" s="142">
        <v>1.0538000000000001</v>
      </c>
      <c r="P974" s="26">
        <v>3213.4368676970671</v>
      </c>
      <c r="Q974" s="35">
        <f t="array" ref="Q974">SUM(IF(($S974&gt;=4)*($C974='TaxCred&amp;Subs'!$D$114:$D$121)*($H974='TaxCred&amp;Subs'!$C$114:$C$121)*($H974&lt;='TaxCred&amp;Subs'!$C$123),'TaxCred&amp;Subs'!$E$114:$E$121,0))</f>
        <v>0</v>
      </c>
      <c r="R974" s="143">
        <v>0</v>
      </c>
      <c r="S974" s="5">
        <v>2</v>
      </c>
      <c r="T974" s="5" t="s">
        <v>220</v>
      </c>
      <c r="V974" s="7" t="str">
        <f t="array" ref="V974">INDEX(xlRTCLNAME,MATCH(1,(xlRTCLENDU=1)*(xlRTCLEQCL=$D974),0))</f>
        <v>ELEC_RAD</v>
      </c>
      <c r="W974" s="7" t="str">
        <f t="array" ref="W974">INDEX(xlRTCLNAME,MATCH(1,(xlRTCLENDU=2)*(xlRTCLEQCL=$F974),0))</f>
        <v>CENT_AIR</v>
      </c>
      <c r="X974" s="7" t="str">
        <f t="array" ref="X974">INDEX(xlRTTYNAME,MATCH(1,(xlRTTYENDU=1)*(xlRTTYEQCL=$D974)*(xlRTEQTYPE=$E974),0))</f>
        <v>ELEC_RAD2</v>
      </c>
      <c r="Y974" s="7" t="str">
        <f t="array" ref="Y974">INDEX(xlRTTYNAME,MATCH(1,(xlRTTYENDU=2)*(xlRTTYEQCL=$F974)*(xlRTEQTYPE=$G974),0))</f>
        <v>CENT_AIR1</v>
      </c>
    </row>
    <row r="975" spans="2:25" ht="14.25" customHeight="1" x14ac:dyDescent="0.2">
      <c r="B975" s="5">
        <v>9</v>
      </c>
      <c r="C975" s="5">
        <v>2</v>
      </c>
      <c r="D975" s="5">
        <v>1</v>
      </c>
      <c r="E975" s="5">
        <v>1</v>
      </c>
      <c r="F975" s="5">
        <v>2</v>
      </c>
      <c r="G975" s="31">
        <v>4</v>
      </c>
      <c r="H975" s="31">
        <v>2020</v>
      </c>
      <c r="I975" s="96">
        <v>2050</v>
      </c>
      <c r="J975" s="142">
        <v>1.1200000000000001</v>
      </c>
      <c r="K975" s="142">
        <v>1.0541</v>
      </c>
      <c r="L975" s="142">
        <v>0.94379999999999997</v>
      </c>
      <c r="M975" s="142">
        <v>1.2166999999999999</v>
      </c>
      <c r="N975" s="142">
        <v>1.4438</v>
      </c>
      <c r="O975" s="142">
        <v>1.0538000000000001</v>
      </c>
      <c r="P975" s="26">
        <v>2564.026822886321</v>
      </c>
      <c r="Q975" s="35">
        <f t="array" ref="Q975">SUM(IF(($S975&gt;=4)*($C975='TaxCred&amp;Subs'!$D$114:$D$121)*($H975='TaxCred&amp;Subs'!$C$114:$C$121)*($H975&lt;='TaxCred&amp;Subs'!$C$123),'TaxCred&amp;Subs'!$E$114:$E$121,0))</f>
        <v>0</v>
      </c>
      <c r="R975" s="143">
        <v>0</v>
      </c>
      <c r="S975" s="5">
        <v>2</v>
      </c>
      <c r="T975" s="5" t="s">
        <v>220</v>
      </c>
      <c r="V975" s="7" t="str">
        <f t="array" ref="V975">INDEX(xlRTCLNAME,MATCH(1,(xlRTCLENDU=1)*(xlRTCLEQCL=$D975),0))</f>
        <v>ELEC_RAD</v>
      </c>
      <c r="W975" s="7" t="str">
        <f t="array" ref="W975">INDEX(xlRTCLNAME,MATCH(1,(xlRTCLENDU=2)*(xlRTCLEQCL=$F975),0))</f>
        <v>CENT_AIR</v>
      </c>
      <c r="X975" s="7" t="str">
        <f t="array" ref="X975">INDEX(xlRTTYNAME,MATCH(1,(xlRTTYENDU=1)*(xlRTTYEQCL=$D975)*(xlRTEQTYPE=$E975),0))</f>
        <v>ELEC_RAD2</v>
      </c>
      <c r="Y975" s="7" t="str">
        <f t="array" ref="Y975">INDEX(xlRTTYNAME,MATCH(1,(xlRTTYENDU=2)*(xlRTTYEQCL=$F975)*(xlRTEQTYPE=$G975),0))</f>
        <v>CENT_AIR1</v>
      </c>
    </row>
    <row r="976" spans="2:25" ht="14.25" customHeight="1" x14ac:dyDescent="0.2">
      <c r="B976" s="5">
        <v>1</v>
      </c>
      <c r="C976" s="5">
        <v>2</v>
      </c>
      <c r="D976" s="5">
        <v>2</v>
      </c>
      <c r="E976" s="5">
        <v>2</v>
      </c>
      <c r="F976" s="5">
        <v>3</v>
      </c>
      <c r="G976" s="31">
        <v>8</v>
      </c>
      <c r="H976" s="31">
        <v>2020</v>
      </c>
      <c r="I976" s="96">
        <v>2050</v>
      </c>
      <c r="J976" s="142">
        <v>1.0909</v>
      </c>
      <c r="K976" s="142">
        <v>1.04</v>
      </c>
      <c r="L976" s="142">
        <v>1.0361</v>
      </c>
      <c r="M976" s="142">
        <v>1.1681999999999999</v>
      </c>
      <c r="N976" s="142">
        <v>1.1119000000000001</v>
      </c>
      <c r="O976" s="142">
        <v>1.0538000000000001</v>
      </c>
      <c r="P976" s="26">
        <v>2822.1773997054997</v>
      </c>
      <c r="Q976" s="35">
        <f t="array" ref="Q976">SUM(IF(($S976&gt;=4)*($C976='TaxCred&amp;Subs'!$D$114:$D$121)*($H976='TaxCred&amp;Subs'!$C$114:$C$121)*($H976&lt;='TaxCred&amp;Subs'!$C$123),'TaxCred&amp;Subs'!$E$114:$E$121,0))</f>
        <v>0</v>
      </c>
      <c r="R976" s="143">
        <v>0</v>
      </c>
      <c r="S976" s="5">
        <v>2</v>
      </c>
      <c r="T976" s="5" t="s">
        <v>220</v>
      </c>
      <c r="V976" s="7" t="str">
        <f t="array" ref="V976">INDEX(xlRTCLNAME,MATCH(1,(xlRTCLENDU=1)*(xlRTCLEQCL=$D976),0))</f>
        <v>ELEC_HP</v>
      </c>
      <c r="W976" s="7" t="str">
        <f t="array" ref="W976">INDEX(xlRTCLNAME,MATCH(1,(xlRTCLENDU=2)*(xlRTCLEQCL=$F976),0))</f>
        <v>ELEC_HP</v>
      </c>
      <c r="X976" s="7" t="str">
        <f t="array" ref="X976">INDEX(xlRTTYNAME,MATCH(1,(xlRTTYENDU=1)*(xlRTTYEQCL=$D976)*(xlRTEQTYPE=$E976),0))</f>
        <v>ELEC_HP1</v>
      </c>
      <c r="Y976" s="7" t="str">
        <f t="array" ref="Y976">INDEX(xlRTTYNAME,MATCH(1,(xlRTTYENDU=2)*(xlRTTYEQCL=$F976)*(xlRTEQTYPE=$G976),0))</f>
        <v>ELEC_HP1</v>
      </c>
    </row>
    <row r="977" spans="2:25" ht="14.25" customHeight="1" x14ac:dyDescent="0.2">
      <c r="B977" s="5">
        <v>2</v>
      </c>
      <c r="C977" s="5">
        <v>2</v>
      </c>
      <c r="D977" s="5">
        <v>2</v>
      </c>
      <c r="E977" s="5">
        <v>2</v>
      </c>
      <c r="F977" s="5">
        <v>3</v>
      </c>
      <c r="G977" s="31">
        <v>8</v>
      </c>
      <c r="H977" s="31">
        <v>2020</v>
      </c>
      <c r="I977" s="96">
        <v>2050</v>
      </c>
      <c r="J977" s="142">
        <v>1.0847</v>
      </c>
      <c r="K977" s="142">
        <v>1.0345</v>
      </c>
      <c r="L977" s="142">
        <v>1.0993999999999999</v>
      </c>
      <c r="M977" s="142">
        <v>1.2041999999999999</v>
      </c>
      <c r="N977" s="142">
        <v>1.1213</v>
      </c>
      <c r="O977" s="142">
        <v>1.0538000000000001</v>
      </c>
      <c r="P977" s="26">
        <v>200.33560388571672</v>
      </c>
      <c r="Q977" s="35">
        <f t="array" ref="Q977">SUM(IF(($S977&gt;=4)*($C977='TaxCred&amp;Subs'!$D$114:$D$121)*($H977='TaxCred&amp;Subs'!$C$114:$C$121)*($H977&lt;='TaxCred&amp;Subs'!$C$123),'TaxCred&amp;Subs'!$E$114:$E$121,0))</f>
        <v>0</v>
      </c>
      <c r="R977" s="143">
        <v>0</v>
      </c>
      <c r="S977" s="5">
        <v>2</v>
      </c>
      <c r="T977" s="5" t="s">
        <v>220</v>
      </c>
      <c r="V977" s="7" t="str">
        <f t="array" ref="V977">INDEX(xlRTCLNAME,MATCH(1,(xlRTCLENDU=1)*(xlRTCLEQCL=$D977),0))</f>
        <v>ELEC_HP</v>
      </c>
      <c r="W977" s="7" t="str">
        <f t="array" ref="W977">INDEX(xlRTCLNAME,MATCH(1,(xlRTCLENDU=2)*(xlRTCLEQCL=$F977),0))</f>
        <v>ELEC_HP</v>
      </c>
      <c r="X977" s="7" t="str">
        <f t="array" ref="X977">INDEX(xlRTTYNAME,MATCH(1,(xlRTTYENDU=1)*(xlRTTYEQCL=$D977)*(xlRTEQTYPE=$E977),0))</f>
        <v>ELEC_HP1</v>
      </c>
      <c r="Y977" s="7" t="str">
        <f t="array" ref="Y977">INDEX(xlRTTYNAME,MATCH(1,(xlRTTYENDU=2)*(xlRTTYEQCL=$F977)*(xlRTEQTYPE=$G977),0))</f>
        <v>ELEC_HP1</v>
      </c>
    </row>
    <row r="978" spans="2:25" ht="14.25" customHeight="1" x14ac:dyDescent="0.2">
      <c r="B978" s="5">
        <v>3</v>
      </c>
      <c r="C978" s="5">
        <v>2</v>
      </c>
      <c r="D978" s="5">
        <v>2</v>
      </c>
      <c r="E978" s="5">
        <v>2</v>
      </c>
      <c r="F978" s="5">
        <v>3</v>
      </c>
      <c r="G978" s="31">
        <v>8</v>
      </c>
      <c r="H978" s="31">
        <v>2020</v>
      </c>
      <c r="I978" s="96">
        <v>2050</v>
      </c>
      <c r="J978" s="142">
        <v>1.0932999999999999</v>
      </c>
      <c r="K978" s="142">
        <v>1.0345</v>
      </c>
      <c r="L978" s="142">
        <v>0.93079999999999996</v>
      </c>
      <c r="M978" s="142">
        <v>1.1000000000000001</v>
      </c>
      <c r="N978" s="142">
        <v>1.0358000000000001</v>
      </c>
      <c r="O978" s="142">
        <v>1.0538000000000001</v>
      </c>
      <c r="P978" s="26">
        <v>2410.7499178999333</v>
      </c>
      <c r="Q978" s="35">
        <f t="array" ref="Q978">SUM(IF(($S978&gt;=4)*($C978='TaxCred&amp;Subs'!$D$114:$D$121)*($H978='TaxCred&amp;Subs'!$C$114:$C$121)*($H978&lt;='TaxCred&amp;Subs'!$C$123),'TaxCred&amp;Subs'!$E$114:$E$121,0))</f>
        <v>0</v>
      </c>
      <c r="R978" s="143">
        <v>0</v>
      </c>
      <c r="S978" s="5">
        <v>2</v>
      </c>
      <c r="T978" s="5" t="s">
        <v>220</v>
      </c>
      <c r="V978" s="7" t="str">
        <f t="array" ref="V978">INDEX(xlRTCLNAME,MATCH(1,(xlRTCLENDU=1)*(xlRTCLEQCL=$D978),0))</f>
        <v>ELEC_HP</v>
      </c>
      <c r="W978" s="7" t="str">
        <f t="array" ref="W978">INDEX(xlRTCLNAME,MATCH(1,(xlRTCLENDU=2)*(xlRTCLEQCL=$F978),0))</f>
        <v>ELEC_HP</v>
      </c>
      <c r="X978" s="7" t="str">
        <f t="array" ref="X978">INDEX(xlRTTYNAME,MATCH(1,(xlRTTYENDU=1)*(xlRTTYEQCL=$D978)*(xlRTEQTYPE=$E978),0))</f>
        <v>ELEC_HP1</v>
      </c>
      <c r="Y978" s="7" t="str">
        <f t="array" ref="Y978">INDEX(xlRTTYNAME,MATCH(1,(xlRTTYENDU=2)*(xlRTTYEQCL=$F978)*(xlRTEQTYPE=$G978),0))</f>
        <v>ELEC_HP1</v>
      </c>
    </row>
    <row r="979" spans="2:25" ht="14.25" customHeight="1" x14ac:dyDescent="0.2">
      <c r="B979" s="5">
        <v>4</v>
      </c>
      <c r="C979" s="5">
        <v>2</v>
      </c>
      <c r="D979" s="5">
        <v>2</v>
      </c>
      <c r="E979" s="5">
        <v>2</v>
      </c>
      <c r="F979" s="5">
        <v>3</v>
      </c>
      <c r="G979" s="31">
        <v>8</v>
      </c>
      <c r="H979" s="31">
        <v>2020</v>
      </c>
      <c r="I979" s="96">
        <v>2050</v>
      </c>
      <c r="J979" s="142">
        <v>1.0956999999999999</v>
      </c>
      <c r="K979" s="142">
        <v>1.0417000000000001</v>
      </c>
      <c r="L979" s="142">
        <v>1.1057999999999999</v>
      </c>
      <c r="M979" s="142">
        <v>1.2</v>
      </c>
      <c r="N979" s="142">
        <v>1.1621999999999999</v>
      </c>
      <c r="O979" s="142">
        <v>1.0538000000000001</v>
      </c>
      <c r="P979" s="26">
        <v>2085.3726283674273</v>
      </c>
      <c r="Q979" s="35">
        <f t="array" ref="Q979">SUM(IF(($S979&gt;=4)*($C979='TaxCred&amp;Subs'!$D$114:$D$121)*($H979='TaxCred&amp;Subs'!$C$114:$C$121)*($H979&lt;='TaxCred&amp;Subs'!$C$123),'TaxCred&amp;Subs'!$E$114:$E$121,0))</f>
        <v>0</v>
      </c>
      <c r="R979" s="143">
        <v>0</v>
      </c>
      <c r="S979" s="5">
        <v>2</v>
      </c>
      <c r="T979" s="5" t="s">
        <v>220</v>
      </c>
      <c r="V979" s="7" t="str">
        <f t="array" ref="V979">INDEX(xlRTCLNAME,MATCH(1,(xlRTCLENDU=1)*(xlRTCLEQCL=$D979),0))</f>
        <v>ELEC_HP</v>
      </c>
      <c r="W979" s="7" t="str">
        <f t="array" ref="W979">INDEX(xlRTCLNAME,MATCH(1,(xlRTCLENDU=2)*(xlRTCLEQCL=$F979),0))</f>
        <v>ELEC_HP</v>
      </c>
      <c r="X979" s="7" t="str">
        <f t="array" ref="X979">INDEX(xlRTTYNAME,MATCH(1,(xlRTTYENDU=1)*(xlRTTYEQCL=$D979)*(xlRTEQTYPE=$E979),0))</f>
        <v>ELEC_HP1</v>
      </c>
      <c r="Y979" s="7" t="str">
        <f t="array" ref="Y979">INDEX(xlRTTYNAME,MATCH(1,(xlRTTYENDU=2)*(xlRTTYEQCL=$F979)*(xlRTEQTYPE=$G979),0))</f>
        <v>ELEC_HP1</v>
      </c>
    </row>
    <row r="980" spans="2:25" ht="14.25" customHeight="1" x14ac:dyDescent="0.2">
      <c r="B980" s="5">
        <v>5</v>
      </c>
      <c r="C980" s="5">
        <v>2</v>
      </c>
      <c r="D980" s="5">
        <v>2</v>
      </c>
      <c r="E980" s="5">
        <v>2</v>
      </c>
      <c r="F980" s="5">
        <v>3</v>
      </c>
      <c r="G980" s="31">
        <v>8</v>
      </c>
      <c r="H980" s="31">
        <v>2020</v>
      </c>
      <c r="I980" s="96">
        <v>2050</v>
      </c>
      <c r="J980" s="142">
        <v>1.1200000000000001</v>
      </c>
      <c r="K980" s="142">
        <v>1.0545</v>
      </c>
      <c r="L980" s="142">
        <v>1.1105</v>
      </c>
      <c r="M980" s="142">
        <v>1.1392</v>
      </c>
      <c r="N980" s="142">
        <v>1.2490000000000001</v>
      </c>
      <c r="O980" s="142">
        <v>1.0538000000000001</v>
      </c>
      <c r="P980" s="26">
        <v>1733.1046537495897</v>
      </c>
      <c r="Q980" s="35">
        <f t="array" ref="Q980">SUM(IF(($S980&gt;=4)*($C980='TaxCred&amp;Subs'!$D$114:$D$121)*($H980='TaxCred&amp;Subs'!$C$114:$C$121)*($H980&lt;='TaxCred&amp;Subs'!$C$123),'TaxCred&amp;Subs'!$E$114:$E$121,0))</f>
        <v>0</v>
      </c>
      <c r="R980" s="143">
        <v>0</v>
      </c>
      <c r="S980" s="5">
        <v>2</v>
      </c>
      <c r="T980" s="5" t="s">
        <v>220</v>
      </c>
      <c r="V980" s="7" t="str">
        <f t="array" ref="V980">INDEX(xlRTCLNAME,MATCH(1,(xlRTCLENDU=1)*(xlRTCLEQCL=$D980),0))</f>
        <v>ELEC_HP</v>
      </c>
      <c r="W980" s="7" t="str">
        <f t="array" ref="W980">INDEX(xlRTCLNAME,MATCH(1,(xlRTCLENDU=2)*(xlRTCLEQCL=$F980),0))</f>
        <v>ELEC_HP</v>
      </c>
      <c r="X980" s="7" t="str">
        <f t="array" ref="X980">INDEX(xlRTTYNAME,MATCH(1,(xlRTTYENDU=1)*(xlRTTYEQCL=$D980)*(xlRTEQTYPE=$E980),0))</f>
        <v>ELEC_HP1</v>
      </c>
      <c r="Y980" s="7" t="str">
        <f t="array" ref="Y980">INDEX(xlRTTYNAME,MATCH(1,(xlRTTYENDU=2)*(xlRTTYEQCL=$F980)*(xlRTEQTYPE=$G980),0))</f>
        <v>ELEC_HP1</v>
      </c>
    </row>
    <row r="981" spans="2:25" ht="14.25" customHeight="1" x14ac:dyDescent="0.2">
      <c r="B981" s="5">
        <v>6</v>
      </c>
      <c r="C981" s="5">
        <v>2</v>
      </c>
      <c r="D981" s="5">
        <v>2</v>
      </c>
      <c r="E981" s="5">
        <v>2</v>
      </c>
      <c r="F981" s="5">
        <v>3</v>
      </c>
      <c r="G981" s="31">
        <v>8</v>
      </c>
      <c r="H981" s="31">
        <v>2020</v>
      </c>
      <c r="I981" s="96">
        <v>2050</v>
      </c>
      <c r="J981" s="142">
        <v>1.087</v>
      </c>
      <c r="K981" s="142">
        <v>1.0385</v>
      </c>
      <c r="L981" s="142">
        <v>1.4021999999999999</v>
      </c>
      <c r="M981" s="142">
        <v>1.1909000000000001</v>
      </c>
      <c r="N981" s="142">
        <v>1.3324</v>
      </c>
      <c r="O981" s="142">
        <v>1.0538000000000001</v>
      </c>
      <c r="P981" s="26">
        <v>1901.1714355329091</v>
      </c>
      <c r="Q981" s="35">
        <f t="array" ref="Q981">SUM(IF(($S981&gt;=4)*($C981='TaxCred&amp;Subs'!$D$114:$D$121)*($H981='TaxCred&amp;Subs'!$C$114:$C$121)*($H981&lt;='TaxCred&amp;Subs'!$C$123),'TaxCred&amp;Subs'!$E$114:$E$121,0))</f>
        <v>0</v>
      </c>
      <c r="R981" s="143">
        <v>0</v>
      </c>
      <c r="S981" s="5">
        <v>2</v>
      </c>
      <c r="T981" s="5" t="s">
        <v>220</v>
      </c>
      <c r="V981" s="7" t="str">
        <f t="array" ref="V981">INDEX(xlRTCLNAME,MATCH(1,(xlRTCLENDU=1)*(xlRTCLEQCL=$D981),0))</f>
        <v>ELEC_HP</v>
      </c>
      <c r="W981" s="7" t="str">
        <f t="array" ref="W981">INDEX(xlRTCLNAME,MATCH(1,(xlRTCLENDU=2)*(xlRTCLEQCL=$F981),0))</f>
        <v>ELEC_HP</v>
      </c>
      <c r="X981" s="7" t="str">
        <f t="array" ref="X981">INDEX(xlRTTYNAME,MATCH(1,(xlRTTYENDU=1)*(xlRTTYEQCL=$D981)*(xlRTEQTYPE=$E981),0))</f>
        <v>ELEC_HP1</v>
      </c>
      <c r="Y981" s="7" t="str">
        <f t="array" ref="Y981">INDEX(xlRTTYNAME,MATCH(1,(xlRTTYENDU=2)*(xlRTTYEQCL=$F981)*(xlRTEQTYPE=$G981),0))</f>
        <v>ELEC_HP1</v>
      </c>
    </row>
    <row r="982" spans="2:25" ht="14.25" customHeight="1" x14ac:dyDescent="0.2">
      <c r="B982" s="5">
        <v>7</v>
      </c>
      <c r="C982" s="5">
        <v>2</v>
      </c>
      <c r="D982" s="5">
        <v>2</v>
      </c>
      <c r="E982" s="5">
        <v>2</v>
      </c>
      <c r="F982" s="5">
        <v>3</v>
      </c>
      <c r="G982" s="31">
        <v>8</v>
      </c>
      <c r="H982" s="31">
        <v>2020</v>
      </c>
      <c r="I982" s="96">
        <v>2050</v>
      </c>
      <c r="J982" s="142">
        <v>1.1200000000000001</v>
      </c>
      <c r="K982" s="142">
        <v>1.0435000000000001</v>
      </c>
      <c r="L982" s="142">
        <v>2</v>
      </c>
      <c r="M982" s="142">
        <v>1.1949000000000001</v>
      </c>
      <c r="N982" s="142">
        <v>1.4438</v>
      </c>
      <c r="O982" s="142">
        <v>1.0538000000000001</v>
      </c>
      <c r="P982" s="26">
        <v>1652.4325984935963</v>
      </c>
      <c r="Q982" s="35">
        <f t="array" ref="Q982">SUM(IF(($S982&gt;=4)*($C982='TaxCred&amp;Subs'!$D$114:$D$121)*($H982='TaxCred&amp;Subs'!$C$114:$C$121)*($H982&lt;='TaxCred&amp;Subs'!$C$123),'TaxCred&amp;Subs'!$E$114:$E$121,0))</f>
        <v>0</v>
      </c>
      <c r="R982" s="143">
        <v>0</v>
      </c>
      <c r="S982" s="5">
        <v>2</v>
      </c>
      <c r="T982" s="5" t="s">
        <v>220</v>
      </c>
      <c r="V982" s="7" t="str">
        <f t="array" ref="V982">INDEX(xlRTCLNAME,MATCH(1,(xlRTCLENDU=1)*(xlRTCLEQCL=$D982),0))</f>
        <v>ELEC_HP</v>
      </c>
      <c r="W982" s="7" t="str">
        <f t="array" ref="W982">INDEX(xlRTCLNAME,MATCH(1,(xlRTCLENDU=2)*(xlRTCLEQCL=$F982),0))</f>
        <v>ELEC_HP</v>
      </c>
      <c r="X982" s="7" t="str">
        <f t="array" ref="X982">INDEX(xlRTTYNAME,MATCH(1,(xlRTTYENDU=1)*(xlRTTYEQCL=$D982)*(xlRTEQTYPE=$E982),0))</f>
        <v>ELEC_HP1</v>
      </c>
      <c r="Y982" s="7" t="str">
        <f t="array" ref="Y982">INDEX(xlRTTYNAME,MATCH(1,(xlRTTYENDU=2)*(xlRTTYEQCL=$F982)*(xlRTEQTYPE=$G982),0))</f>
        <v>ELEC_HP1</v>
      </c>
    </row>
    <row r="983" spans="2:25" ht="14.25" customHeight="1" x14ac:dyDescent="0.2">
      <c r="B983" s="5">
        <v>8</v>
      </c>
      <c r="C983" s="5">
        <v>2</v>
      </c>
      <c r="D983" s="5">
        <v>2</v>
      </c>
      <c r="E983" s="5">
        <v>2</v>
      </c>
      <c r="F983" s="5">
        <v>3</v>
      </c>
      <c r="G983" s="31">
        <v>8</v>
      </c>
      <c r="H983" s="31">
        <v>2020</v>
      </c>
      <c r="I983" s="96">
        <v>2050</v>
      </c>
      <c r="J983" s="142">
        <v>1.0889</v>
      </c>
      <c r="K983" s="142">
        <v>1.0313000000000001</v>
      </c>
      <c r="L983" s="142">
        <v>1.1696</v>
      </c>
      <c r="M983" s="142">
        <v>1.2957000000000001</v>
      </c>
      <c r="N983" s="142">
        <v>1.2706</v>
      </c>
      <c r="O983" s="142">
        <v>1.0538000000000001</v>
      </c>
      <c r="P983" s="26">
        <v>2213.1033825227496</v>
      </c>
      <c r="Q983" s="35">
        <f t="array" ref="Q983">SUM(IF(($S983&gt;=4)*($C983='TaxCred&amp;Subs'!$D$114:$D$121)*($H983='TaxCred&amp;Subs'!$C$114:$C$121)*($H983&lt;='TaxCred&amp;Subs'!$C$123),'TaxCred&amp;Subs'!$E$114:$E$121,0))</f>
        <v>0</v>
      </c>
      <c r="R983" s="143">
        <v>0</v>
      </c>
      <c r="S983" s="5">
        <v>2</v>
      </c>
      <c r="T983" s="5" t="s">
        <v>220</v>
      </c>
      <c r="V983" s="7" t="str">
        <f t="array" ref="V983">INDEX(xlRTCLNAME,MATCH(1,(xlRTCLENDU=1)*(xlRTCLEQCL=$D983),0))</f>
        <v>ELEC_HP</v>
      </c>
      <c r="W983" s="7" t="str">
        <f t="array" ref="W983">INDEX(xlRTCLNAME,MATCH(1,(xlRTCLENDU=2)*(xlRTCLEQCL=$F983),0))</f>
        <v>ELEC_HP</v>
      </c>
      <c r="X983" s="7" t="str">
        <f t="array" ref="X983">INDEX(xlRTTYNAME,MATCH(1,(xlRTTYENDU=1)*(xlRTTYEQCL=$D983)*(xlRTEQTYPE=$E983),0))</f>
        <v>ELEC_HP1</v>
      </c>
      <c r="Y983" s="7" t="str">
        <f t="array" ref="Y983">INDEX(xlRTTYNAME,MATCH(1,(xlRTTYENDU=2)*(xlRTTYEQCL=$F983)*(xlRTEQTYPE=$G983),0))</f>
        <v>ELEC_HP1</v>
      </c>
    </row>
    <row r="984" spans="2:25" ht="14.25" customHeight="1" x14ac:dyDescent="0.2">
      <c r="B984" s="5">
        <v>9</v>
      </c>
      <c r="C984" s="5">
        <v>2</v>
      </c>
      <c r="D984" s="5">
        <v>2</v>
      </c>
      <c r="E984" s="5">
        <v>2</v>
      </c>
      <c r="F984" s="5">
        <v>3</v>
      </c>
      <c r="G984" s="31">
        <v>8</v>
      </c>
      <c r="H984" s="31">
        <v>2020</v>
      </c>
      <c r="I984" s="96">
        <v>2050</v>
      </c>
      <c r="J984" s="142">
        <v>1.1200000000000001</v>
      </c>
      <c r="K984" s="142">
        <v>1.0512999999999999</v>
      </c>
      <c r="L984" s="142">
        <v>2</v>
      </c>
      <c r="M984" s="142">
        <v>1.25</v>
      </c>
      <c r="N984" s="142">
        <v>1.4438</v>
      </c>
      <c r="O984" s="142">
        <v>1.0538000000000001</v>
      </c>
      <c r="P984" s="26">
        <v>2381.1701643060692</v>
      </c>
      <c r="Q984" s="35">
        <f t="array" ref="Q984">SUM(IF(($S984&gt;=4)*($C984='TaxCred&amp;Subs'!$D$114:$D$121)*($H984='TaxCred&amp;Subs'!$C$114:$C$121)*($H984&lt;='TaxCred&amp;Subs'!$C$123),'TaxCred&amp;Subs'!$E$114:$E$121,0))</f>
        <v>0</v>
      </c>
      <c r="R984" s="143">
        <v>0</v>
      </c>
      <c r="S984" s="5">
        <v>2</v>
      </c>
      <c r="T984" s="5" t="s">
        <v>220</v>
      </c>
      <c r="V984" s="7" t="str">
        <f t="array" ref="V984">INDEX(xlRTCLNAME,MATCH(1,(xlRTCLENDU=1)*(xlRTCLEQCL=$D984),0))</f>
        <v>ELEC_HP</v>
      </c>
      <c r="W984" s="7" t="str">
        <f t="array" ref="W984">INDEX(xlRTCLNAME,MATCH(1,(xlRTCLENDU=2)*(xlRTCLEQCL=$F984),0))</f>
        <v>ELEC_HP</v>
      </c>
      <c r="X984" s="7" t="str">
        <f t="array" ref="X984">INDEX(xlRTTYNAME,MATCH(1,(xlRTTYENDU=1)*(xlRTTYEQCL=$D984)*(xlRTEQTYPE=$E984),0))</f>
        <v>ELEC_HP1</v>
      </c>
      <c r="Y984" s="7" t="str">
        <f t="array" ref="Y984">INDEX(xlRTTYNAME,MATCH(1,(xlRTTYENDU=2)*(xlRTTYEQCL=$F984)*(xlRTEQTYPE=$G984),0))</f>
        <v>ELEC_HP1</v>
      </c>
    </row>
    <row r="985" spans="2:25" ht="14.25" customHeight="1" x14ac:dyDescent="0.2">
      <c r="B985" s="5">
        <v>1</v>
      </c>
      <c r="C985" s="5">
        <v>2</v>
      </c>
      <c r="D985" s="5">
        <v>3</v>
      </c>
      <c r="E985" s="5">
        <v>6</v>
      </c>
      <c r="F985" s="5">
        <v>2</v>
      </c>
      <c r="G985" s="31">
        <v>4</v>
      </c>
      <c r="H985" s="31">
        <v>2020</v>
      </c>
      <c r="I985" s="96">
        <v>2050</v>
      </c>
      <c r="J985" s="142">
        <v>1.1042000000000001</v>
      </c>
      <c r="K985" s="142">
        <v>1.0417000000000001</v>
      </c>
      <c r="L985" s="142">
        <v>0.8075</v>
      </c>
      <c r="M985" s="142">
        <v>1.1455</v>
      </c>
      <c r="N985" s="142">
        <v>1.1127</v>
      </c>
      <c r="O985" s="142">
        <v>1.0538000000000001</v>
      </c>
      <c r="P985" s="26">
        <v>4090.0732014788609</v>
      </c>
      <c r="Q985" s="35">
        <f t="array" ref="Q985">SUM(IF(($S985&gt;=4)*($C985='TaxCred&amp;Subs'!$D$114:$D$121)*($H985='TaxCred&amp;Subs'!$C$114:$C$121)*($H985&lt;='TaxCred&amp;Subs'!$C$123),'TaxCred&amp;Subs'!$E$114:$E$121,0))</f>
        <v>0</v>
      </c>
      <c r="R985" s="143">
        <v>0</v>
      </c>
      <c r="S985" s="5">
        <v>2</v>
      </c>
      <c r="T985" s="5" t="s">
        <v>220</v>
      </c>
      <c r="V985" s="7" t="str">
        <f t="array" ref="V985">INDEX(xlRTCLNAME,MATCH(1,(xlRTCLENDU=1)*(xlRTCLEQCL=$D985),0))</f>
        <v>NG_FA</v>
      </c>
      <c r="W985" s="7" t="str">
        <f t="array" ref="W985">INDEX(xlRTCLNAME,MATCH(1,(xlRTCLENDU=2)*(xlRTCLEQCL=$F985),0))</f>
        <v>CENT_AIR</v>
      </c>
      <c r="X985" s="7" t="str">
        <f t="array" ref="X985">INDEX(xlRTTYNAME,MATCH(1,(xlRTTYENDU=1)*(xlRTTYEQCL=$D985)*(xlRTEQTYPE=$E985),0))</f>
        <v>NG_FA1</v>
      </c>
      <c r="Y985" s="7" t="str">
        <f t="array" ref="Y985">INDEX(xlRTTYNAME,MATCH(1,(xlRTTYENDU=2)*(xlRTTYEQCL=$F985)*(xlRTEQTYPE=$G985),0))</f>
        <v>CENT_AIR1</v>
      </c>
    </row>
    <row r="986" spans="2:25" ht="14.25" customHeight="1" x14ac:dyDescent="0.2">
      <c r="B986" s="5">
        <v>2</v>
      </c>
      <c r="C986" s="5">
        <v>2</v>
      </c>
      <c r="D986" s="5">
        <v>3</v>
      </c>
      <c r="E986" s="5">
        <v>6</v>
      </c>
      <c r="F986" s="5">
        <v>2</v>
      </c>
      <c r="G986" s="31">
        <v>4</v>
      </c>
      <c r="H986" s="31">
        <v>2020</v>
      </c>
      <c r="I986" s="96">
        <v>2050</v>
      </c>
      <c r="J986" s="142">
        <v>1.0847</v>
      </c>
      <c r="K986" s="142">
        <v>1.0357000000000001</v>
      </c>
      <c r="L986" s="142">
        <v>1.028</v>
      </c>
      <c r="M986" s="142">
        <v>1.1834</v>
      </c>
      <c r="N986" s="142">
        <v>1.1162000000000001</v>
      </c>
      <c r="O986" s="142">
        <v>1.0538000000000001</v>
      </c>
      <c r="P986" s="26">
        <v>2804.6984544000343</v>
      </c>
      <c r="Q986" s="35">
        <f t="array" ref="Q986">SUM(IF(($S986&gt;=4)*($C986='TaxCred&amp;Subs'!$D$114:$D$121)*($H986='TaxCred&amp;Subs'!$C$114:$C$121)*($H986&lt;='TaxCred&amp;Subs'!$C$123),'TaxCred&amp;Subs'!$E$114:$E$121,0))</f>
        <v>0</v>
      </c>
      <c r="R986" s="143">
        <v>0</v>
      </c>
      <c r="S986" s="5">
        <v>2</v>
      </c>
      <c r="T986" s="5" t="s">
        <v>220</v>
      </c>
      <c r="V986" s="7" t="str">
        <f t="array" ref="V986">INDEX(xlRTCLNAME,MATCH(1,(xlRTCLENDU=1)*(xlRTCLEQCL=$D986),0))</f>
        <v>NG_FA</v>
      </c>
      <c r="W986" s="7" t="str">
        <f t="array" ref="W986">INDEX(xlRTCLNAME,MATCH(1,(xlRTCLENDU=2)*(xlRTCLEQCL=$F986),0))</f>
        <v>CENT_AIR</v>
      </c>
      <c r="X986" s="7" t="str">
        <f t="array" ref="X986">INDEX(xlRTTYNAME,MATCH(1,(xlRTTYENDU=1)*(xlRTTYEQCL=$D986)*(xlRTEQTYPE=$E986),0))</f>
        <v>NG_FA1</v>
      </c>
      <c r="Y986" s="7" t="str">
        <f t="array" ref="Y986">INDEX(xlRTTYNAME,MATCH(1,(xlRTTYENDU=2)*(xlRTTYEQCL=$F986)*(xlRTEQTYPE=$G986),0))</f>
        <v>CENT_AIR1</v>
      </c>
    </row>
    <row r="987" spans="2:25" ht="14.25" customHeight="1" x14ac:dyDescent="0.2">
      <c r="B987" s="5">
        <v>3</v>
      </c>
      <c r="C987" s="5">
        <v>2</v>
      </c>
      <c r="D987" s="5">
        <v>3</v>
      </c>
      <c r="E987" s="5">
        <v>6</v>
      </c>
      <c r="F987" s="5">
        <v>2</v>
      </c>
      <c r="G987" s="31">
        <v>4</v>
      </c>
      <c r="H987" s="31">
        <v>2020</v>
      </c>
      <c r="I987" s="96">
        <v>2050</v>
      </c>
      <c r="J987" s="142">
        <v>1.0984</v>
      </c>
      <c r="K987" s="142">
        <v>1.0345</v>
      </c>
      <c r="L987" s="142">
        <v>0.85880000000000001</v>
      </c>
      <c r="M987" s="142">
        <v>1.1000000000000001</v>
      </c>
      <c r="N987" s="142">
        <v>1.0399</v>
      </c>
      <c r="O987" s="142">
        <v>1.0538000000000001</v>
      </c>
      <c r="P987" s="26">
        <v>3255.1174295793303</v>
      </c>
      <c r="Q987" s="35">
        <f t="array" ref="Q987">SUM(IF(($S987&gt;=4)*($C987='TaxCred&amp;Subs'!$D$114:$D$121)*($H987='TaxCred&amp;Subs'!$C$114:$C$121)*($H987&lt;='TaxCred&amp;Subs'!$C$123),'TaxCred&amp;Subs'!$E$114:$E$121,0))</f>
        <v>0</v>
      </c>
      <c r="R987" s="143">
        <v>0</v>
      </c>
      <c r="S987" s="5">
        <v>2</v>
      </c>
      <c r="T987" s="5" t="s">
        <v>220</v>
      </c>
      <c r="V987" s="7" t="str">
        <f t="array" ref="V987">INDEX(xlRTCLNAME,MATCH(1,(xlRTCLENDU=1)*(xlRTCLEQCL=$D987),0))</f>
        <v>NG_FA</v>
      </c>
      <c r="W987" s="7" t="str">
        <f t="array" ref="W987">INDEX(xlRTCLNAME,MATCH(1,(xlRTCLENDU=2)*(xlRTCLEQCL=$F987),0))</f>
        <v>CENT_AIR</v>
      </c>
      <c r="X987" s="7" t="str">
        <f t="array" ref="X987">INDEX(xlRTTYNAME,MATCH(1,(xlRTTYENDU=1)*(xlRTTYEQCL=$D987)*(xlRTEQTYPE=$E987),0))</f>
        <v>NG_FA1</v>
      </c>
      <c r="Y987" s="7" t="str">
        <f t="array" ref="Y987">INDEX(xlRTTYNAME,MATCH(1,(xlRTTYENDU=2)*(xlRTTYEQCL=$F987)*(xlRTEQTYPE=$G987),0))</f>
        <v>CENT_AIR1</v>
      </c>
    </row>
    <row r="988" spans="2:25" ht="14.25" customHeight="1" x14ac:dyDescent="0.2">
      <c r="B988" s="5">
        <v>4</v>
      </c>
      <c r="C988" s="5">
        <v>2</v>
      </c>
      <c r="D988" s="5">
        <v>3</v>
      </c>
      <c r="E988" s="5">
        <v>6</v>
      </c>
      <c r="F988" s="5">
        <v>2</v>
      </c>
      <c r="G988" s="31">
        <v>4</v>
      </c>
      <c r="H988" s="31">
        <v>2020</v>
      </c>
      <c r="I988" s="96">
        <v>2050</v>
      </c>
      <c r="J988" s="142">
        <v>1.1000000000000001</v>
      </c>
      <c r="K988" s="142">
        <v>1.0435000000000001</v>
      </c>
      <c r="L988" s="142">
        <v>1.0251999999999999</v>
      </c>
      <c r="M988" s="142">
        <v>1.175</v>
      </c>
      <c r="N988" s="142">
        <v>1.1696</v>
      </c>
      <c r="O988" s="142">
        <v>1.0538000000000001</v>
      </c>
      <c r="P988" s="26">
        <v>2816.7992626884329</v>
      </c>
      <c r="Q988" s="35">
        <f t="array" ref="Q988">SUM(IF(($S988&gt;=4)*($C988='TaxCred&amp;Subs'!$D$114:$D$121)*($H988='TaxCred&amp;Subs'!$C$114:$C$121)*($H988&lt;='TaxCred&amp;Subs'!$C$123),'TaxCred&amp;Subs'!$E$114:$E$121,0))</f>
        <v>0</v>
      </c>
      <c r="R988" s="143">
        <v>0</v>
      </c>
      <c r="S988" s="5">
        <v>2</v>
      </c>
      <c r="T988" s="5" t="s">
        <v>220</v>
      </c>
      <c r="V988" s="7" t="str">
        <f t="array" ref="V988">INDEX(xlRTCLNAME,MATCH(1,(xlRTCLENDU=1)*(xlRTCLEQCL=$D988),0))</f>
        <v>NG_FA</v>
      </c>
      <c r="W988" s="7" t="str">
        <f t="array" ref="W988">INDEX(xlRTCLNAME,MATCH(1,(xlRTCLENDU=2)*(xlRTCLEQCL=$F988),0))</f>
        <v>CENT_AIR</v>
      </c>
      <c r="X988" s="7" t="str">
        <f t="array" ref="X988">INDEX(xlRTTYNAME,MATCH(1,(xlRTTYENDU=1)*(xlRTTYEQCL=$D988)*(xlRTEQTYPE=$E988),0))</f>
        <v>NG_FA1</v>
      </c>
      <c r="Y988" s="7" t="str">
        <f t="array" ref="Y988">INDEX(xlRTTYNAME,MATCH(1,(xlRTTYENDU=2)*(xlRTTYEQCL=$F988)*(xlRTEQTYPE=$G988),0))</f>
        <v>CENT_AIR1</v>
      </c>
    </row>
    <row r="989" spans="2:25" ht="14.25" customHeight="1" x14ac:dyDescent="0.2">
      <c r="B989" s="5">
        <v>5</v>
      </c>
      <c r="C989" s="5">
        <v>2</v>
      </c>
      <c r="D989" s="5">
        <v>3</v>
      </c>
      <c r="E989" s="5">
        <v>6</v>
      </c>
      <c r="F989" s="5">
        <v>2</v>
      </c>
      <c r="G989" s="31">
        <v>4</v>
      </c>
      <c r="H989" s="31">
        <v>2020</v>
      </c>
      <c r="I989" s="96">
        <v>2050</v>
      </c>
      <c r="J989" s="142">
        <v>1.1200000000000001</v>
      </c>
      <c r="K989" s="142">
        <v>1.0391999999999999</v>
      </c>
      <c r="L989" s="142">
        <v>0.53759999999999997</v>
      </c>
      <c r="M989" s="142">
        <v>1.1000000000000001</v>
      </c>
      <c r="N989" s="142">
        <v>1.2750999999999999</v>
      </c>
      <c r="O989" s="142">
        <v>1.0538000000000001</v>
      </c>
      <c r="P989" s="26">
        <v>2421.506191934066</v>
      </c>
      <c r="Q989" s="35">
        <f t="array" ref="Q989">SUM(IF(($S989&gt;=4)*($C989='TaxCred&amp;Subs'!$D$114:$D$121)*($H989='TaxCred&amp;Subs'!$C$114:$C$121)*($H989&lt;='TaxCred&amp;Subs'!$C$123),'TaxCred&amp;Subs'!$E$114:$E$121,0))</f>
        <v>0</v>
      </c>
      <c r="R989" s="143">
        <v>0</v>
      </c>
      <c r="S989" s="5">
        <v>2</v>
      </c>
      <c r="T989" s="5" t="s">
        <v>220</v>
      </c>
      <c r="V989" s="7" t="str">
        <f t="array" ref="V989">INDEX(xlRTCLNAME,MATCH(1,(xlRTCLENDU=1)*(xlRTCLEQCL=$D989),0))</f>
        <v>NG_FA</v>
      </c>
      <c r="W989" s="7" t="str">
        <f t="array" ref="W989">INDEX(xlRTCLNAME,MATCH(1,(xlRTCLENDU=2)*(xlRTCLEQCL=$F989),0))</f>
        <v>CENT_AIR</v>
      </c>
      <c r="X989" s="7" t="str">
        <f t="array" ref="X989">INDEX(xlRTTYNAME,MATCH(1,(xlRTTYENDU=1)*(xlRTTYEQCL=$D989)*(xlRTEQTYPE=$E989),0))</f>
        <v>NG_FA1</v>
      </c>
      <c r="Y989" s="7" t="str">
        <f t="array" ref="Y989">INDEX(xlRTTYNAME,MATCH(1,(xlRTTYENDU=2)*(xlRTTYEQCL=$F989)*(xlRTEQTYPE=$G989),0))</f>
        <v>CENT_AIR1</v>
      </c>
    </row>
    <row r="990" spans="2:25" ht="14.25" customHeight="1" x14ac:dyDescent="0.2">
      <c r="B990" s="5">
        <v>6</v>
      </c>
      <c r="C990" s="5">
        <v>2</v>
      </c>
      <c r="D990" s="5">
        <v>3</v>
      </c>
      <c r="E990" s="5">
        <v>6</v>
      </c>
      <c r="F990" s="5">
        <v>2</v>
      </c>
      <c r="G990" s="31">
        <v>4</v>
      </c>
      <c r="H990" s="31">
        <v>2020</v>
      </c>
      <c r="I990" s="96">
        <v>2050</v>
      </c>
      <c r="J990" s="142">
        <v>1.1200000000000001</v>
      </c>
      <c r="K990" s="142">
        <v>1.03</v>
      </c>
      <c r="L990" s="142">
        <v>0.89380000000000004</v>
      </c>
      <c r="M990" s="142">
        <v>1.1341000000000001</v>
      </c>
      <c r="N990" s="142">
        <v>1.3324</v>
      </c>
      <c r="O990" s="142">
        <v>1.0538000000000001</v>
      </c>
      <c r="P990" s="26">
        <v>2715.9591936184415</v>
      </c>
      <c r="Q990" s="35">
        <f t="array" ref="Q990">SUM(IF(($S990&gt;=4)*($C990='TaxCred&amp;Subs'!$D$114:$D$121)*($H990='TaxCred&amp;Subs'!$C$114:$C$121)*($H990&lt;='TaxCred&amp;Subs'!$C$123),'TaxCred&amp;Subs'!$E$114:$E$121,0))</f>
        <v>0</v>
      </c>
      <c r="R990" s="143">
        <v>0</v>
      </c>
      <c r="S990" s="5">
        <v>2</v>
      </c>
      <c r="T990" s="5" t="s">
        <v>220</v>
      </c>
      <c r="V990" s="7" t="str">
        <f t="array" ref="V990">INDEX(xlRTCLNAME,MATCH(1,(xlRTCLENDU=1)*(xlRTCLEQCL=$D990),0))</f>
        <v>NG_FA</v>
      </c>
      <c r="W990" s="7" t="str">
        <f t="array" ref="W990">INDEX(xlRTCLNAME,MATCH(1,(xlRTCLENDU=2)*(xlRTCLEQCL=$F990),0))</f>
        <v>CENT_AIR</v>
      </c>
      <c r="X990" s="7" t="str">
        <f t="array" ref="X990">INDEX(xlRTTYNAME,MATCH(1,(xlRTTYENDU=1)*(xlRTTYEQCL=$D990)*(xlRTEQTYPE=$E990),0))</f>
        <v>NG_FA1</v>
      </c>
      <c r="Y990" s="7" t="str">
        <f t="array" ref="Y990">INDEX(xlRTTYNAME,MATCH(1,(xlRTTYENDU=2)*(xlRTTYEQCL=$F990)*(xlRTEQTYPE=$G990),0))</f>
        <v>CENT_AIR1</v>
      </c>
    </row>
    <row r="991" spans="2:25" ht="14.25" customHeight="1" x14ac:dyDescent="0.2">
      <c r="B991" s="5">
        <v>7</v>
      </c>
      <c r="C991" s="5">
        <v>2</v>
      </c>
      <c r="D991" s="5">
        <v>3</v>
      </c>
      <c r="E991" s="5">
        <v>6</v>
      </c>
      <c r="F991" s="5">
        <v>2</v>
      </c>
      <c r="G991" s="31">
        <v>4</v>
      </c>
      <c r="H991" s="31">
        <v>2020</v>
      </c>
      <c r="I991" s="96">
        <v>2050</v>
      </c>
      <c r="J991" s="142">
        <v>1.1200000000000001</v>
      </c>
      <c r="K991" s="142">
        <v>1.0462</v>
      </c>
      <c r="L991" s="142">
        <v>0.86050000000000004</v>
      </c>
      <c r="M991" s="142">
        <v>1.1604000000000001</v>
      </c>
      <c r="N991" s="142">
        <v>1.4438</v>
      </c>
      <c r="O991" s="142">
        <v>1.0538000000000001</v>
      </c>
      <c r="P991" s="26">
        <v>1804.3649692257172</v>
      </c>
      <c r="Q991" s="35">
        <f t="array" ref="Q991">SUM(IF(($S991&gt;=4)*($C991='TaxCred&amp;Subs'!$D$114:$D$121)*($H991='TaxCred&amp;Subs'!$C$114:$C$121)*($H991&lt;='TaxCred&amp;Subs'!$C$123),'TaxCred&amp;Subs'!$E$114:$E$121,0))</f>
        <v>0</v>
      </c>
      <c r="R991" s="143">
        <v>0</v>
      </c>
      <c r="S991" s="5">
        <v>2</v>
      </c>
      <c r="T991" s="5" t="s">
        <v>220</v>
      </c>
      <c r="V991" s="7" t="str">
        <f t="array" ref="V991">INDEX(xlRTCLNAME,MATCH(1,(xlRTCLENDU=1)*(xlRTCLEQCL=$D991),0))</f>
        <v>NG_FA</v>
      </c>
      <c r="W991" s="7" t="str">
        <f t="array" ref="W991">INDEX(xlRTCLNAME,MATCH(1,(xlRTCLENDU=2)*(xlRTCLEQCL=$F991),0))</f>
        <v>CENT_AIR</v>
      </c>
      <c r="X991" s="7" t="str">
        <f t="array" ref="X991">INDEX(xlRTTYNAME,MATCH(1,(xlRTTYENDU=1)*(xlRTTYEQCL=$D991)*(xlRTEQTYPE=$E991),0))</f>
        <v>NG_FA1</v>
      </c>
      <c r="Y991" s="7" t="str">
        <f t="array" ref="Y991">INDEX(xlRTTYNAME,MATCH(1,(xlRTTYENDU=2)*(xlRTTYEQCL=$F991)*(xlRTEQTYPE=$G991),0))</f>
        <v>CENT_AIR1</v>
      </c>
    </row>
    <row r="992" spans="2:25" ht="14.25" customHeight="1" x14ac:dyDescent="0.2">
      <c r="B992" s="5">
        <v>8</v>
      </c>
      <c r="C992" s="5">
        <v>2</v>
      </c>
      <c r="D992" s="5">
        <v>3</v>
      </c>
      <c r="E992" s="5">
        <v>6</v>
      </c>
      <c r="F992" s="5">
        <v>2</v>
      </c>
      <c r="G992" s="31">
        <v>4</v>
      </c>
      <c r="H992" s="31">
        <v>2020</v>
      </c>
      <c r="I992" s="96">
        <v>2050</v>
      </c>
      <c r="J992" s="142">
        <v>1.0932999999999999</v>
      </c>
      <c r="K992" s="142">
        <v>1.0323</v>
      </c>
      <c r="L992" s="142">
        <v>1.0390999999999999</v>
      </c>
      <c r="M992" s="142">
        <v>1.2739</v>
      </c>
      <c r="N992" s="142">
        <v>1.2847999999999999</v>
      </c>
      <c r="O992" s="142">
        <v>1.0538000000000001</v>
      </c>
      <c r="P992" s="26">
        <v>3147.5546892380057</v>
      </c>
      <c r="Q992" s="35">
        <f t="array" ref="Q992">SUM(IF(($S992&gt;=4)*($C992='TaxCred&amp;Subs'!$D$114:$D$121)*($H992='TaxCred&amp;Subs'!$C$114:$C$121)*($H992&lt;='TaxCred&amp;Subs'!$C$123),'TaxCred&amp;Subs'!$E$114:$E$121,0))</f>
        <v>0</v>
      </c>
      <c r="R992" s="143">
        <v>0</v>
      </c>
      <c r="S992" s="5">
        <v>2</v>
      </c>
      <c r="T992" s="5" t="s">
        <v>220</v>
      </c>
      <c r="V992" s="7" t="str">
        <f t="array" ref="V992">INDEX(xlRTCLNAME,MATCH(1,(xlRTCLENDU=1)*(xlRTCLEQCL=$D992),0))</f>
        <v>NG_FA</v>
      </c>
      <c r="W992" s="7" t="str">
        <f t="array" ref="W992">INDEX(xlRTCLNAME,MATCH(1,(xlRTCLENDU=2)*(xlRTCLEQCL=$F992),0))</f>
        <v>CENT_AIR</v>
      </c>
      <c r="X992" s="7" t="str">
        <f t="array" ref="X992">INDEX(xlRTTYNAME,MATCH(1,(xlRTTYENDU=1)*(xlRTTYEQCL=$D992)*(xlRTEQTYPE=$E992),0))</f>
        <v>NG_FA1</v>
      </c>
      <c r="Y992" s="7" t="str">
        <f t="array" ref="Y992">INDEX(xlRTTYNAME,MATCH(1,(xlRTTYENDU=2)*(xlRTTYEQCL=$F992)*(xlRTEQTYPE=$G992),0))</f>
        <v>CENT_AIR1</v>
      </c>
    </row>
    <row r="993" spans="2:25" ht="14.25" customHeight="1" x14ac:dyDescent="0.2">
      <c r="B993" s="5">
        <v>9</v>
      </c>
      <c r="C993" s="5">
        <v>2</v>
      </c>
      <c r="D993" s="5">
        <v>3</v>
      </c>
      <c r="E993" s="5">
        <v>6</v>
      </c>
      <c r="F993" s="5">
        <v>2</v>
      </c>
      <c r="G993" s="31">
        <v>4</v>
      </c>
      <c r="H993" s="31">
        <v>2020</v>
      </c>
      <c r="I993" s="96">
        <v>2050</v>
      </c>
      <c r="J993" s="142">
        <v>1.07</v>
      </c>
      <c r="K993" s="142">
        <v>1.0541</v>
      </c>
      <c r="L993" s="142">
        <v>0.88129999999999997</v>
      </c>
      <c r="M993" s="142">
        <v>1.2166999999999999</v>
      </c>
      <c r="N993" s="142">
        <v>1.4438</v>
      </c>
      <c r="O993" s="142">
        <v>1.0538000000000001</v>
      </c>
      <c r="P993" s="26">
        <v>2564.026822886321</v>
      </c>
      <c r="Q993" s="35">
        <f t="array" ref="Q993">SUM(IF(($S993&gt;=4)*($C993='TaxCred&amp;Subs'!$D$114:$D$121)*($H993='TaxCred&amp;Subs'!$C$114:$C$121)*($H993&lt;='TaxCred&amp;Subs'!$C$123),'TaxCred&amp;Subs'!$E$114:$E$121,0))</f>
        <v>0</v>
      </c>
      <c r="R993" s="143">
        <v>0</v>
      </c>
      <c r="S993" s="5">
        <v>2</v>
      </c>
      <c r="T993" s="5" t="s">
        <v>220</v>
      </c>
      <c r="V993" s="7" t="str">
        <f t="array" ref="V993">INDEX(xlRTCLNAME,MATCH(1,(xlRTCLENDU=1)*(xlRTCLEQCL=$D993),0))</f>
        <v>NG_FA</v>
      </c>
      <c r="W993" s="7" t="str">
        <f t="array" ref="W993">INDEX(xlRTCLNAME,MATCH(1,(xlRTCLENDU=2)*(xlRTCLEQCL=$F993),0))</f>
        <v>CENT_AIR</v>
      </c>
      <c r="X993" s="7" t="str">
        <f t="array" ref="X993">INDEX(xlRTTYNAME,MATCH(1,(xlRTTYENDU=1)*(xlRTTYEQCL=$D993)*(xlRTEQTYPE=$E993),0))</f>
        <v>NG_FA1</v>
      </c>
      <c r="Y993" s="7" t="str">
        <f t="array" ref="Y993">INDEX(xlRTTYNAME,MATCH(1,(xlRTTYENDU=2)*(xlRTTYEQCL=$F993)*(xlRTEQTYPE=$G993),0))</f>
        <v>CENT_AIR1</v>
      </c>
    </row>
    <row r="994" spans="2:25" ht="14.25" customHeight="1" x14ac:dyDescent="0.2">
      <c r="B994" s="5">
        <v>1</v>
      </c>
      <c r="C994" s="5">
        <v>2</v>
      </c>
      <c r="D994" s="5">
        <v>4</v>
      </c>
      <c r="E994" s="5">
        <v>10</v>
      </c>
      <c r="F994" s="5">
        <v>2</v>
      </c>
      <c r="G994" s="31">
        <v>4</v>
      </c>
      <c r="H994" s="31">
        <v>2020</v>
      </c>
      <c r="I994" s="96">
        <v>2050</v>
      </c>
      <c r="J994" s="142">
        <v>1.0864</v>
      </c>
      <c r="K994" s="142">
        <v>1.0417000000000001</v>
      </c>
      <c r="L994" s="142">
        <v>0.79600000000000004</v>
      </c>
      <c r="M994" s="142">
        <v>1.1455</v>
      </c>
      <c r="N994" s="142">
        <v>1.1156999999999999</v>
      </c>
      <c r="O994" s="142">
        <v>1.0538000000000001</v>
      </c>
      <c r="P994" s="26">
        <v>4090.0732014788609</v>
      </c>
      <c r="Q994" s="35">
        <f t="array" ref="Q994">SUM(IF(($S994&gt;=4)*($C994='TaxCred&amp;Subs'!$D$114:$D$121)*($H994='TaxCred&amp;Subs'!$C$114:$C$121)*($H994&lt;='TaxCred&amp;Subs'!$C$123),'TaxCred&amp;Subs'!$E$114:$E$121,0))</f>
        <v>0</v>
      </c>
      <c r="R994" s="143">
        <v>0</v>
      </c>
      <c r="S994" s="5">
        <v>2</v>
      </c>
      <c r="T994" s="5" t="s">
        <v>220</v>
      </c>
      <c r="V994" s="7" t="str">
        <f t="array" ref="V994">INDEX(xlRTCLNAME,MATCH(1,(xlRTCLENDU=1)*(xlRTCLEQCL=$D994),0))</f>
        <v>NG_RAD</v>
      </c>
      <c r="W994" s="7" t="str">
        <f t="array" ref="W994">INDEX(xlRTCLNAME,MATCH(1,(xlRTCLENDU=2)*(xlRTCLEQCL=$F994),0))</f>
        <v>CENT_AIR</v>
      </c>
      <c r="X994" s="7" t="str">
        <f t="array" ref="X994">INDEX(xlRTTYNAME,MATCH(1,(xlRTTYENDU=1)*(xlRTTYEQCL=$D994)*(xlRTEQTYPE=$E994),0))</f>
        <v>NG_RAD1</v>
      </c>
      <c r="Y994" s="7" t="str">
        <f t="array" ref="Y994">INDEX(xlRTTYNAME,MATCH(1,(xlRTTYENDU=2)*(xlRTTYEQCL=$F994)*(xlRTEQTYPE=$G994),0))</f>
        <v>CENT_AIR1</v>
      </c>
    </row>
    <row r="995" spans="2:25" ht="14.25" customHeight="1" x14ac:dyDescent="0.2">
      <c r="B995" s="5">
        <v>2</v>
      </c>
      <c r="C995" s="5">
        <v>2</v>
      </c>
      <c r="D995" s="5">
        <v>4</v>
      </c>
      <c r="E995" s="5">
        <v>10</v>
      </c>
      <c r="F995" s="5">
        <v>2</v>
      </c>
      <c r="G995" s="31">
        <v>4</v>
      </c>
      <c r="H995" s="31">
        <v>2020</v>
      </c>
      <c r="I995" s="96">
        <v>2050</v>
      </c>
      <c r="J995" s="142">
        <v>1.0891</v>
      </c>
      <c r="K995" s="142">
        <v>1.0713999999999999</v>
      </c>
      <c r="L995" s="142">
        <v>1.0243</v>
      </c>
      <c r="M995" s="142">
        <v>1.1834</v>
      </c>
      <c r="N995" s="142">
        <v>1.1254999999999999</v>
      </c>
      <c r="O995" s="142">
        <v>1.0538000000000001</v>
      </c>
      <c r="P995" s="26">
        <v>2686.3794400245774</v>
      </c>
      <c r="Q995" s="35">
        <f t="array" ref="Q995">SUM(IF(($S995&gt;=4)*($C995='TaxCred&amp;Subs'!$D$114:$D$121)*($H995='TaxCred&amp;Subs'!$C$114:$C$121)*($H995&lt;='TaxCred&amp;Subs'!$C$123),'TaxCred&amp;Subs'!$E$114:$E$121,0))</f>
        <v>0</v>
      </c>
      <c r="R995" s="143">
        <v>0</v>
      </c>
      <c r="S995" s="5">
        <v>2</v>
      </c>
      <c r="T995" s="5" t="s">
        <v>220</v>
      </c>
      <c r="V995" s="7" t="str">
        <f t="array" ref="V995">INDEX(xlRTCLNAME,MATCH(1,(xlRTCLENDU=1)*(xlRTCLEQCL=$D995),0))</f>
        <v>NG_RAD</v>
      </c>
      <c r="W995" s="7" t="str">
        <f t="array" ref="W995">INDEX(xlRTCLNAME,MATCH(1,(xlRTCLENDU=2)*(xlRTCLEQCL=$F995),0))</f>
        <v>CENT_AIR</v>
      </c>
      <c r="X995" s="7" t="str">
        <f t="array" ref="X995">INDEX(xlRTTYNAME,MATCH(1,(xlRTTYENDU=1)*(xlRTTYEQCL=$D995)*(xlRTEQTYPE=$E995),0))</f>
        <v>NG_RAD1</v>
      </c>
      <c r="Y995" s="7" t="str">
        <f t="array" ref="Y995">INDEX(xlRTTYNAME,MATCH(1,(xlRTTYENDU=2)*(xlRTTYEQCL=$F995)*(xlRTEQTYPE=$G995),0))</f>
        <v>CENT_AIR1</v>
      </c>
    </row>
    <row r="996" spans="2:25" ht="14.25" customHeight="1" x14ac:dyDescent="0.2">
      <c r="B996" s="5">
        <v>3</v>
      </c>
      <c r="C996" s="5">
        <v>2</v>
      </c>
      <c r="D996" s="5">
        <v>4</v>
      </c>
      <c r="E996" s="5">
        <v>10</v>
      </c>
      <c r="F996" s="5">
        <v>2</v>
      </c>
      <c r="G996" s="31">
        <v>4</v>
      </c>
      <c r="H996" s="31">
        <v>2020</v>
      </c>
      <c r="I996" s="96">
        <v>2050</v>
      </c>
      <c r="J996" s="142">
        <v>1.0962000000000001</v>
      </c>
      <c r="K996" s="142">
        <v>1.0345</v>
      </c>
      <c r="L996" s="142">
        <v>0.84689999999999999</v>
      </c>
      <c r="M996" s="142">
        <v>1.1000000000000001</v>
      </c>
      <c r="N996" s="142">
        <v>1.0417000000000001</v>
      </c>
      <c r="O996" s="142">
        <v>1.0538000000000001</v>
      </c>
      <c r="P996" s="26">
        <v>3255.1174295793303</v>
      </c>
      <c r="Q996" s="35">
        <f t="array" ref="Q996">SUM(IF(($S996&gt;=4)*($C996='TaxCred&amp;Subs'!$D$114:$D$121)*($H996='TaxCred&amp;Subs'!$C$114:$C$121)*($H996&lt;='TaxCred&amp;Subs'!$C$123),'TaxCred&amp;Subs'!$E$114:$E$121,0))</f>
        <v>0</v>
      </c>
      <c r="R996" s="143">
        <v>0</v>
      </c>
      <c r="S996" s="5">
        <v>2</v>
      </c>
      <c r="T996" s="5" t="s">
        <v>220</v>
      </c>
      <c r="V996" s="7" t="str">
        <f t="array" ref="V996">INDEX(xlRTCLNAME,MATCH(1,(xlRTCLENDU=1)*(xlRTCLEQCL=$D996),0))</f>
        <v>NG_RAD</v>
      </c>
      <c r="W996" s="7" t="str">
        <f t="array" ref="W996">INDEX(xlRTCLNAME,MATCH(1,(xlRTCLENDU=2)*(xlRTCLEQCL=$F996),0))</f>
        <v>CENT_AIR</v>
      </c>
      <c r="X996" s="7" t="str">
        <f t="array" ref="X996">INDEX(xlRTTYNAME,MATCH(1,(xlRTTYENDU=1)*(xlRTTYEQCL=$D996)*(xlRTEQTYPE=$E996),0))</f>
        <v>NG_RAD1</v>
      </c>
      <c r="Y996" s="7" t="str">
        <f t="array" ref="Y996">INDEX(xlRTTYNAME,MATCH(1,(xlRTTYENDU=2)*(xlRTTYEQCL=$F996)*(xlRTEQTYPE=$G996),0))</f>
        <v>CENT_AIR1</v>
      </c>
    </row>
    <row r="997" spans="2:25" ht="14.25" customHeight="1" x14ac:dyDescent="0.2">
      <c r="B997" s="5">
        <v>4</v>
      </c>
      <c r="C997" s="5">
        <v>2</v>
      </c>
      <c r="D997" s="5">
        <v>4</v>
      </c>
      <c r="E997" s="5">
        <v>10</v>
      </c>
      <c r="F997" s="5">
        <v>2</v>
      </c>
      <c r="G997" s="31">
        <v>4</v>
      </c>
      <c r="H997" s="31">
        <v>2020</v>
      </c>
      <c r="I997" s="96">
        <v>2050</v>
      </c>
      <c r="J997" s="142">
        <v>1.1024</v>
      </c>
      <c r="K997" s="142">
        <v>1.0435000000000001</v>
      </c>
      <c r="L997" s="142">
        <v>1.0007999999999999</v>
      </c>
      <c r="M997" s="142">
        <v>1.175</v>
      </c>
      <c r="N997" s="142">
        <v>1.1678999999999999</v>
      </c>
      <c r="O997" s="142">
        <v>1.0538000000000001</v>
      </c>
      <c r="P997" s="26">
        <v>2816.7992626884329</v>
      </c>
      <c r="Q997" s="35">
        <f t="array" ref="Q997">SUM(IF(($S997&gt;=4)*($C997='TaxCred&amp;Subs'!$D$114:$D$121)*($H997='TaxCred&amp;Subs'!$C$114:$C$121)*($H997&lt;='TaxCred&amp;Subs'!$C$123),'TaxCred&amp;Subs'!$E$114:$E$121,0))</f>
        <v>0</v>
      </c>
      <c r="R997" s="143">
        <v>0</v>
      </c>
      <c r="S997" s="5">
        <v>2</v>
      </c>
      <c r="T997" s="5" t="s">
        <v>220</v>
      </c>
      <c r="V997" s="7" t="str">
        <f t="array" ref="V997">INDEX(xlRTCLNAME,MATCH(1,(xlRTCLENDU=1)*(xlRTCLEQCL=$D997),0))</f>
        <v>NG_RAD</v>
      </c>
      <c r="W997" s="7" t="str">
        <f t="array" ref="W997">INDEX(xlRTCLNAME,MATCH(1,(xlRTCLENDU=2)*(xlRTCLEQCL=$F997),0))</f>
        <v>CENT_AIR</v>
      </c>
      <c r="X997" s="7" t="str">
        <f t="array" ref="X997">INDEX(xlRTTYNAME,MATCH(1,(xlRTTYENDU=1)*(xlRTTYEQCL=$D997)*(xlRTEQTYPE=$E997),0))</f>
        <v>NG_RAD1</v>
      </c>
      <c r="Y997" s="7" t="str">
        <f t="array" ref="Y997">INDEX(xlRTTYNAME,MATCH(1,(xlRTTYENDU=2)*(xlRTTYEQCL=$F997)*(xlRTEQTYPE=$G997),0))</f>
        <v>CENT_AIR1</v>
      </c>
    </row>
    <row r="998" spans="2:25" ht="14.25" customHeight="1" x14ac:dyDescent="0.2">
      <c r="B998" s="5">
        <v>5</v>
      </c>
      <c r="C998" s="5">
        <v>2</v>
      </c>
      <c r="D998" s="5">
        <v>4</v>
      </c>
      <c r="E998" s="5">
        <v>10</v>
      </c>
      <c r="F998" s="5">
        <v>2</v>
      </c>
      <c r="G998" s="31">
        <v>4</v>
      </c>
      <c r="H998" s="31">
        <v>2020</v>
      </c>
      <c r="I998" s="96">
        <v>2050</v>
      </c>
      <c r="J998" s="142">
        <v>1.03</v>
      </c>
      <c r="K998" s="142">
        <v>1.03</v>
      </c>
      <c r="L998" s="142">
        <v>0.67459999999999998</v>
      </c>
      <c r="M998" s="142">
        <v>1.1097999999999999</v>
      </c>
      <c r="N998" s="142">
        <v>1.3003</v>
      </c>
      <c r="O998" s="142">
        <v>1.0538000000000001</v>
      </c>
      <c r="P998" s="26">
        <v>2395.9600411030015</v>
      </c>
      <c r="Q998" s="35">
        <f t="array" ref="Q998">SUM(IF(($S998&gt;=4)*($C998='TaxCred&amp;Subs'!$D$114:$D$121)*($H998='TaxCred&amp;Subs'!$C$114:$C$121)*($H998&lt;='TaxCred&amp;Subs'!$C$123),'TaxCred&amp;Subs'!$E$114:$E$121,0))</f>
        <v>0</v>
      </c>
      <c r="R998" s="143">
        <v>0</v>
      </c>
      <c r="S998" s="5">
        <v>2</v>
      </c>
      <c r="T998" s="5" t="s">
        <v>220</v>
      </c>
      <c r="V998" s="7" t="str">
        <f t="array" ref="V998">INDEX(xlRTCLNAME,MATCH(1,(xlRTCLENDU=1)*(xlRTCLEQCL=$D998),0))</f>
        <v>NG_RAD</v>
      </c>
      <c r="W998" s="7" t="str">
        <f t="array" ref="W998">INDEX(xlRTCLNAME,MATCH(1,(xlRTCLENDU=2)*(xlRTCLEQCL=$F998),0))</f>
        <v>CENT_AIR</v>
      </c>
      <c r="X998" s="7" t="str">
        <f t="array" ref="X998">INDEX(xlRTTYNAME,MATCH(1,(xlRTTYENDU=1)*(xlRTTYEQCL=$D998)*(xlRTEQTYPE=$E998),0))</f>
        <v>NG_RAD1</v>
      </c>
      <c r="Y998" s="7" t="str">
        <f t="array" ref="Y998">INDEX(xlRTTYNAME,MATCH(1,(xlRTTYENDU=2)*(xlRTTYEQCL=$F998)*(xlRTEQTYPE=$G998),0))</f>
        <v>CENT_AIR1</v>
      </c>
    </row>
    <row r="999" spans="2:25" ht="14.25" customHeight="1" x14ac:dyDescent="0.2">
      <c r="B999" s="5">
        <v>6</v>
      </c>
      <c r="C999" s="5">
        <v>2</v>
      </c>
      <c r="D999" s="5">
        <v>4</v>
      </c>
      <c r="E999" s="5">
        <v>10</v>
      </c>
      <c r="F999" s="5">
        <v>2</v>
      </c>
      <c r="G999" s="31">
        <v>4</v>
      </c>
      <c r="H999" s="31">
        <v>2020</v>
      </c>
      <c r="I999" s="96">
        <v>2050</v>
      </c>
      <c r="J999" s="142">
        <v>1.1200000000000001</v>
      </c>
      <c r="K999" s="142">
        <v>1.0417000000000001</v>
      </c>
      <c r="L999" s="142">
        <v>1.0438000000000001</v>
      </c>
      <c r="M999" s="142">
        <v>1.1455</v>
      </c>
      <c r="N999" s="142">
        <v>1.3656999999999999</v>
      </c>
      <c r="O999" s="142">
        <v>1.0538000000000001</v>
      </c>
      <c r="P999" s="26">
        <v>2686.3794400245774</v>
      </c>
      <c r="Q999" s="35">
        <f t="array" ref="Q999">SUM(IF(($S999&gt;=4)*($C999='TaxCred&amp;Subs'!$D$114:$D$121)*($H999='TaxCred&amp;Subs'!$C$114:$C$121)*($H999&lt;='TaxCred&amp;Subs'!$C$123),'TaxCred&amp;Subs'!$E$114:$E$121,0))</f>
        <v>0</v>
      </c>
      <c r="R999" s="143">
        <v>0</v>
      </c>
      <c r="S999" s="5">
        <v>2</v>
      </c>
      <c r="T999" s="5" t="s">
        <v>220</v>
      </c>
      <c r="V999" s="7" t="str">
        <f t="array" ref="V999">INDEX(xlRTCLNAME,MATCH(1,(xlRTCLENDU=1)*(xlRTCLEQCL=$D999),0))</f>
        <v>NG_RAD</v>
      </c>
      <c r="W999" s="7" t="str">
        <f t="array" ref="W999">INDEX(xlRTCLNAME,MATCH(1,(xlRTCLENDU=2)*(xlRTCLEQCL=$F999),0))</f>
        <v>CENT_AIR</v>
      </c>
      <c r="X999" s="7" t="str">
        <f t="array" ref="X999">INDEX(xlRTTYNAME,MATCH(1,(xlRTTYENDU=1)*(xlRTTYEQCL=$D999)*(xlRTEQTYPE=$E999),0))</f>
        <v>NG_RAD1</v>
      </c>
      <c r="Y999" s="7" t="str">
        <f t="array" ref="Y999">INDEX(xlRTTYNAME,MATCH(1,(xlRTTYENDU=2)*(xlRTTYEQCL=$F999)*(xlRTEQTYPE=$G999),0))</f>
        <v>CENT_AIR1</v>
      </c>
    </row>
    <row r="1000" spans="2:25" ht="14.25" customHeight="1" x14ac:dyDescent="0.2">
      <c r="B1000" s="5">
        <v>7</v>
      </c>
      <c r="C1000" s="5">
        <v>2</v>
      </c>
      <c r="D1000" s="5">
        <v>4</v>
      </c>
      <c r="E1000" s="5">
        <v>10</v>
      </c>
      <c r="F1000" s="5">
        <v>2</v>
      </c>
      <c r="G1000" s="31">
        <v>4</v>
      </c>
      <c r="H1000" s="31">
        <v>2020</v>
      </c>
      <c r="I1000" s="96">
        <v>2050</v>
      </c>
      <c r="J1000" s="142">
        <v>1.1200000000000001</v>
      </c>
      <c r="K1000" s="142">
        <v>1.0462</v>
      </c>
      <c r="L1000" s="142">
        <v>0.74380000000000002</v>
      </c>
      <c r="M1000" s="142">
        <v>1.1604000000000001</v>
      </c>
      <c r="N1000" s="142">
        <v>1.4438</v>
      </c>
      <c r="O1000" s="142">
        <v>1.0538000000000001</v>
      </c>
      <c r="P1000" s="26">
        <v>1804.3649692257172</v>
      </c>
      <c r="Q1000" s="35">
        <f t="array" ref="Q1000">SUM(IF(($S1000&gt;=4)*($C1000='TaxCred&amp;Subs'!$D$114:$D$121)*($H1000='TaxCred&amp;Subs'!$C$114:$C$121)*($H1000&lt;='TaxCred&amp;Subs'!$C$123),'TaxCred&amp;Subs'!$E$114:$E$121,0))</f>
        <v>0</v>
      </c>
      <c r="R1000" s="143">
        <v>0</v>
      </c>
      <c r="S1000" s="5">
        <v>2</v>
      </c>
      <c r="T1000" s="5" t="s">
        <v>220</v>
      </c>
      <c r="V1000" s="7" t="str">
        <f t="array" ref="V1000">INDEX(xlRTCLNAME,MATCH(1,(xlRTCLENDU=1)*(xlRTCLEQCL=$D1000),0))</f>
        <v>NG_RAD</v>
      </c>
      <c r="W1000" s="7" t="str">
        <f t="array" ref="W1000">INDEX(xlRTCLNAME,MATCH(1,(xlRTCLENDU=2)*(xlRTCLEQCL=$F1000),0))</f>
        <v>CENT_AIR</v>
      </c>
      <c r="X1000" s="7" t="str">
        <f t="array" ref="X1000">INDEX(xlRTTYNAME,MATCH(1,(xlRTTYENDU=1)*(xlRTTYEQCL=$D1000)*(xlRTEQTYPE=$E1000),0))</f>
        <v>NG_RAD1</v>
      </c>
      <c r="Y1000" s="7" t="str">
        <f t="array" ref="Y1000">INDEX(xlRTTYNAME,MATCH(1,(xlRTTYENDU=2)*(xlRTTYEQCL=$F1000)*(xlRTEQTYPE=$G1000),0))</f>
        <v>CENT_AIR1</v>
      </c>
    </row>
    <row r="1001" spans="2:25" ht="14.25" customHeight="1" x14ac:dyDescent="0.2">
      <c r="B1001" s="5">
        <v>8</v>
      </c>
      <c r="C1001" s="5">
        <v>2</v>
      </c>
      <c r="D1001" s="5">
        <v>4</v>
      </c>
      <c r="E1001" s="5">
        <v>10</v>
      </c>
      <c r="F1001" s="5">
        <v>2</v>
      </c>
      <c r="G1001" s="31">
        <v>4</v>
      </c>
      <c r="H1001" s="31">
        <v>2020</v>
      </c>
      <c r="I1001" s="96">
        <v>2050</v>
      </c>
      <c r="J1001" s="142">
        <v>1.1045</v>
      </c>
      <c r="K1001" s="142">
        <v>1.0323</v>
      </c>
      <c r="L1001" s="142">
        <v>0.97560000000000002</v>
      </c>
      <c r="M1001" s="142">
        <v>1.2739</v>
      </c>
      <c r="N1001" s="142">
        <v>1.2847999999999999</v>
      </c>
      <c r="O1001" s="142">
        <v>1.0538000000000001</v>
      </c>
      <c r="P1001" s="26">
        <v>2988.8996472345525</v>
      </c>
      <c r="Q1001" s="35">
        <f t="array" ref="Q1001">SUM(IF(($S1001&gt;=4)*($C1001='TaxCred&amp;Subs'!$D$114:$D$121)*($H1001='TaxCred&amp;Subs'!$C$114:$C$121)*($H1001&lt;='TaxCred&amp;Subs'!$C$123),'TaxCred&amp;Subs'!$E$114:$E$121,0))</f>
        <v>0</v>
      </c>
      <c r="R1001" s="143">
        <v>0</v>
      </c>
      <c r="S1001" s="5">
        <v>2</v>
      </c>
      <c r="T1001" s="5" t="s">
        <v>220</v>
      </c>
      <c r="V1001" s="7" t="str">
        <f t="array" ref="V1001">INDEX(xlRTCLNAME,MATCH(1,(xlRTCLENDU=1)*(xlRTCLEQCL=$D1001),0))</f>
        <v>NG_RAD</v>
      </c>
      <c r="W1001" s="7" t="str">
        <f t="array" ref="W1001">INDEX(xlRTCLNAME,MATCH(1,(xlRTCLENDU=2)*(xlRTCLEQCL=$F1001),0))</f>
        <v>CENT_AIR</v>
      </c>
      <c r="X1001" s="7" t="str">
        <f t="array" ref="X1001">INDEX(xlRTTYNAME,MATCH(1,(xlRTTYENDU=1)*(xlRTTYEQCL=$D1001)*(xlRTEQTYPE=$E1001),0))</f>
        <v>NG_RAD1</v>
      </c>
      <c r="Y1001" s="7" t="str">
        <f t="array" ref="Y1001">INDEX(xlRTTYNAME,MATCH(1,(xlRTTYENDU=2)*(xlRTTYEQCL=$F1001)*(xlRTEQTYPE=$G1001),0))</f>
        <v>CENT_AIR1</v>
      </c>
    </row>
    <row r="1002" spans="2:25" ht="14.25" customHeight="1" x14ac:dyDescent="0.2">
      <c r="B1002" s="5">
        <v>9</v>
      </c>
      <c r="C1002" s="5">
        <v>2</v>
      </c>
      <c r="D1002" s="5">
        <v>4</v>
      </c>
      <c r="E1002" s="5">
        <v>10</v>
      </c>
      <c r="F1002" s="5">
        <v>2</v>
      </c>
      <c r="G1002" s="31">
        <v>4</v>
      </c>
      <c r="H1002" s="31">
        <v>2020</v>
      </c>
      <c r="I1002" s="96">
        <v>2050</v>
      </c>
      <c r="J1002" s="142">
        <v>1.1200000000000001</v>
      </c>
      <c r="K1002" s="142">
        <v>1.0541</v>
      </c>
      <c r="L1002" s="142">
        <v>0.84379999999999999</v>
      </c>
      <c r="M1002" s="142">
        <v>1.2166999999999999</v>
      </c>
      <c r="N1002" s="142">
        <v>1.4438</v>
      </c>
      <c r="O1002" s="142">
        <v>1.0538000000000001</v>
      </c>
      <c r="P1002" s="26">
        <v>2564.026822886321</v>
      </c>
      <c r="Q1002" s="35">
        <f t="array" ref="Q1002">SUM(IF(($S1002&gt;=4)*($C1002='TaxCred&amp;Subs'!$D$114:$D$121)*($H1002='TaxCred&amp;Subs'!$C$114:$C$121)*($H1002&lt;='TaxCred&amp;Subs'!$C$123),'TaxCred&amp;Subs'!$E$114:$E$121,0))</f>
        <v>0</v>
      </c>
      <c r="R1002" s="143">
        <v>0</v>
      </c>
      <c r="S1002" s="5">
        <v>2</v>
      </c>
      <c r="T1002" s="5" t="s">
        <v>220</v>
      </c>
      <c r="V1002" s="7" t="str">
        <f t="array" ref="V1002">INDEX(xlRTCLNAME,MATCH(1,(xlRTCLENDU=1)*(xlRTCLEQCL=$D1002),0))</f>
        <v>NG_RAD</v>
      </c>
      <c r="W1002" s="7" t="str">
        <f t="array" ref="W1002">INDEX(xlRTCLNAME,MATCH(1,(xlRTCLENDU=2)*(xlRTCLEQCL=$F1002),0))</f>
        <v>CENT_AIR</v>
      </c>
      <c r="X1002" s="7" t="str">
        <f t="array" ref="X1002">INDEX(xlRTTYNAME,MATCH(1,(xlRTTYENDU=1)*(xlRTTYEQCL=$D1002)*(xlRTEQTYPE=$E1002),0))</f>
        <v>NG_RAD1</v>
      </c>
      <c r="Y1002" s="7" t="str">
        <f t="array" ref="Y1002">INDEX(xlRTTYNAME,MATCH(1,(xlRTTYENDU=2)*(xlRTTYEQCL=$F1002)*(xlRTEQTYPE=$G1002),0))</f>
        <v>CENT_AIR1</v>
      </c>
    </row>
    <row r="1003" spans="2:25" ht="14.25" customHeight="1" x14ac:dyDescent="0.2">
      <c r="B1003" s="29">
        <v>1</v>
      </c>
      <c r="C1003" s="29">
        <v>2</v>
      </c>
      <c r="D1003" s="29">
        <v>5</v>
      </c>
      <c r="E1003" s="29">
        <v>14</v>
      </c>
      <c r="F1003" s="29">
        <v>2</v>
      </c>
      <c r="G1003" s="32">
        <v>4</v>
      </c>
      <c r="H1003" s="32">
        <v>2020</v>
      </c>
      <c r="I1003" s="96">
        <v>2050</v>
      </c>
      <c r="J1003" s="144">
        <v>1.0956999999999999</v>
      </c>
      <c r="K1003" s="144">
        <v>1.0417000000000001</v>
      </c>
      <c r="L1003" s="144">
        <v>0.80820000000000003</v>
      </c>
      <c r="M1003" s="144">
        <v>1.1455</v>
      </c>
      <c r="N1003" s="144">
        <v>1.1153</v>
      </c>
      <c r="O1003" s="144">
        <v>1.0538000000000001</v>
      </c>
      <c r="P1003" s="143">
        <v>4090.0732014788609</v>
      </c>
      <c r="Q1003" s="35">
        <f t="array" ref="Q1003">SUM(IF(($S1003&gt;=4)*($C1003='TaxCred&amp;Subs'!$D$114:$D$121)*($H1003='TaxCred&amp;Subs'!$C$114:$C$121)*($H1003&lt;='TaxCred&amp;Subs'!$C$123),'TaxCred&amp;Subs'!$E$114:$E$121,0))</f>
        <v>0</v>
      </c>
      <c r="R1003" s="143">
        <v>0</v>
      </c>
      <c r="S1003" s="29">
        <v>2</v>
      </c>
      <c r="T1003" s="29" t="s">
        <v>220</v>
      </c>
      <c r="U1003" s="30" t="s">
        <v>227</v>
      </c>
      <c r="V1003" s="7" t="str">
        <f t="array" ref="V1003">INDEX(xlRTCLNAME,MATCH(1,(xlRTCLENDU=1)*(xlRTCLEQCL=$D1003),0))</f>
        <v>KERO_FA</v>
      </c>
      <c r="W1003" s="7" t="str">
        <f t="array" ref="W1003">INDEX(xlRTCLNAME,MATCH(1,(xlRTCLENDU=2)*(xlRTCLEQCL=$F1003),0))</f>
        <v>CENT_AIR</v>
      </c>
      <c r="X1003" s="7" t="str">
        <f t="array" ref="X1003">INDEX(xlRTTYNAME,MATCH(1,(xlRTTYENDU=1)*(xlRTTYEQCL=$D1003)*(xlRTEQTYPE=$E1003),0))</f>
        <v>KERO_FA1</v>
      </c>
      <c r="Y1003" s="7" t="str">
        <f t="array" ref="Y1003">INDEX(xlRTTYNAME,MATCH(1,(xlRTTYENDU=2)*(xlRTTYEQCL=$F1003)*(xlRTEQTYPE=$G1003),0))</f>
        <v>CENT_AIR1</v>
      </c>
    </row>
    <row r="1004" spans="2:25" ht="14.25" customHeight="1" x14ac:dyDescent="0.2">
      <c r="B1004" s="29">
        <v>2</v>
      </c>
      <c r="C1004" s="29">
        <v>2</v>
      </c>
      <c r="D1004" s="29">
        <v>5</v>
      </c>
      <c r="E1004" s="29">
        <v>14</v>
      </c>
      <c r="F1004" s="29">
        <v>2</v>
      </c>
      <c r="G1004" s="32">
        <v>4</v>
      </c>
      <c r="H1004" s="32">
        <v>2020</v>
      </c>
      <c r="I1004" s="96">
        <v>2050</v>
      </c>
      <c r="J1004" s="144">
        <v>1.1059000000000001</v>
      </c>
      <c r="K1004" s="144">
        <v>1.0357000000000001</v>
      </c>
      <c r="L1004" s="144">
        <v>0.87309999999999999</v>
      </c>
      <c r="M1004" s="144">
        <v>1.1834</v>
      </c>
      <c r="N1004" s="144">
        <v>1.1176999999999999</v>
      </c>
      <c r="O1004" s="144">
        <v>1.0538000000000001</v>
      </c>
      <c r="P1004" s="143">
        <v>2996.9668527601516</v>
      </c>
      <c r="Q1004" s="35">
        <f t="array" ref="Q1004">SUM(IF(($S1004&gt;=4)*($C1004='TaxCred&amp;Subs'!$D$114:$D$121)*($H1004='TaxCred&amp;Subs'!$C$114:$C$121)*($H1004&lt;='TaxCred&amp;Subs'!$C$123),'TaxCred&amp;Subs'!$E$114:$E$121,0))</f>
        <v>0</v>
      </c>
      <c r="R1004" s="143">
        <v>0</v>
      </c>
      <c r="S1004" s="29">
        <v>2</v>
      </c>
      <c r="T1004" s="29" t="s">
        <v>220</v>
      </c>
      <c r="U1004" s="30" t="s">
        <v>227</v>
      </c>
      <c r="V1004" s="7" t="str">
        <f t="array" ref="V1004">INDEX(xlRTCLNAME,MATCH(1,(xlRTCLENDU=1)*(xlRTCLEQCL=$D1004),0))</f>
        <v>KERO_FA</v>
      </c>
      <c r="W1004" s="7" t="str">
        <f t="array" ref="W1004">INDEX(xlRTCLNAME,MATCH(1,(xlRTCLENDU=2)*(xlRTCLEQCL=$F1004),0))</f>
        <v>CENT_AIR</v>
      </c>
      <c r="X1004" s="7" t="str">
        <f t="array" ref="X1004">INDEX(xlRTTYNAME,MATCH(1,(xlRTTYENDU=1)*(xlRTTYEQCL=$D1004)*(xlRTEQTYPE=$E1004),0))</f>
        <v>KERO_FA1</v>
      </c>
      <c r="Y1004" s="7" t="str">
        <f t="array" ref="Y1004">INDEX(xlRTTYNAME,MATCH(1,(xlRTTYENDU=2)*(xlRTTYEQCL=$F1004)*(xlRTEQTYPE=$G1004),0))</f>
        <v>CENT_AIR1</v>
      </c>
    </row>
    <row r="1005" spans="2:25" ht="14.25" customHeight="1" x14ac:dyDescent="0.2">
      <c r="B1005" s="29">
        <v>3</v>
      </c>
      <c r="C1005" s="29">
        <v>2</v>
      </c>
      <c r="D1005" s="29">
        <v>5</v>
      </c>
      <c r="E1005" s="29">
        <v>14</v>
      </c>
      <c r="F1005" s="29">
        <v>2</v>
      </c>
      <c r="G1005" s="32">
        <v>4</v>
      </c>
      <c r="H1005" s="32">
        <v>2020</v>
      </c>
      <c r="I1005" s="96">
        <v>2050</v>
      </c>
      <c r="J1005" s="144">
        <v>1.099</v>
      </c>
      <c r="K1005" s="144">
        <v>1.03</v>
      </c>
      <c r="L1005" s="144">
        <v>0.79210000000000003</v>
      </c>
      <c r="M1005" s="144">
        <v>1.0828</v>
      </c>
      <c r="N1005" s="144">
        <v>1.0381</v>
      </c>
      <c r="O1005" s="144">
        <v>1.0538000000000001</v>
      </c>
      <c r="P1005" s="143">
        <v>3447.3858279394476</v>
      </c>
      <c r="Q1005" s="35">
        <f t="array" ref="Q1005">SUM(IF(($S1005&gt;=4)*($C1005='TaxCred&amp;Subs'!$D$114:$D$121)*($H1005='TaxCred&amp;Subs'!$C$114:$C$121)*($H1005&lt;='TaxCred&amp;Subs'!$C$123),'TaxCred&amp;Subs'!$E$114:$E$121,0))</f>
        <v>0</v>
      </c>
      <c r="R1005" s="143">
        <v>0</v>
      </c>
      <c r="S1005" s="29">
        <v>2</v>
      </c>
      <c r="T1005" s="29" t="s">
        <v>220</v>
      </c>
      <c r="U1005" s="30" t="s">
        <v>227</v>
      </c>
      <c r="V1005" s="7" t="str">
        <f t="array" ref="V1005">INDEX(xlRTCLNAME,MATCH(1,(xlRTCLENDU=1)*(xlRTCLEQCL=$D1005),0))</f>
        <v>KERO_FA</v>
      </c>
      <c r="W1005" s="7" t="str">
        <f t="array" ref="W1005">INDEX(xlRTCLNAME,MATCH(1,(xlRTCLENDU=2)*(xlRTCLEQCL=$F1005),0))</f>
        <v>CENT_AIR</v>
      </c>
      <c r="X1005" s="7" t="str">
        <f t="array" ref="X1005">INDEX(xlRTTYNAME,MATCH(1,(xlRTTYENDU=1)*(xlRTTYEQCL=$D1005)*(xlRTEQTYPE=$E1005),0))</f>
        <v>KERO_FA1</v>
      </c>
      <c r="Y1005" s="7" t="str">
        <f t="array" ref="Y1005">INDEX(xlRTTYNAME,MATCH(1,(xlRTTYENDU=2)*(xlRTTYEQCL=$F1005)*(xlRTEQTYPE=$G1005),0))</f>
        <v>CENT_AIR1</v>
      </c>
    </row>
    <row r="1006" spans="2:25" ht="14.25" customHeight="1" x14ac:dyDescent="0.2">
      <c r="B1006" s="29">
        <v>4</v>
      </c>
      <c r="C1006" s="29">
        <v>2</v>
      </c>
      <c r="D1006" s="29">
        <v>5</v>
      </c>
      <c r="E1006" s="29">
        <v>14</v>
      </c>
      <c r="F1006" s="29">
        <v>2</v>
      </c>
      <c r="G1006" s="32">
        <v>4</v>
      </c>
      <c r="H1006" s="32">
        <v>2020</v>
      </c>
      <c r="I1006" s="96">
        <v>2050</v>
      </c>
      <c r="J1006" s="144">
        <v>1.0934999999999999</v>
      </c>
      <c r="K1006" s="144">
        <v>1.0435000000000001</v>
      </c>
      <c r="L1006" s="144">
        <v>0.86509999999999998</v>
      </c>
      <c r="M1006" s="144">
        <v>1.175</v>
      </c>
      <c r="N1006" s="144">
        <v>1.1696</v>
      </c>
      <c r="O1006" s="144">
        <v>1.0538000000000001</v>
      </c>
      <c r="P1006" s="143">
        <v>3013.1012638113507</v>
      </c>
      <c r="Q1006" s="35">
        <f t="array" ref="Q1006">SUM(IF(($S1006&gt;=4)*($C1006='TaxCred&amp;Subs'!$D$114:$D$121)*($H1006='TaxCred&amp;Subs'!$C$114:$C$121)*($H1006&lt;='TaxCred&amp;Subs'!$C$123),'TaxCred&amp;Subs'!$E$114:$E$121,0))</f>
        <v>0</v>
      </c>
      <c r="R1006" s="143">
        <v>0</v>
      </c>
      <c r="S1006" s="29">
        <v>2</v>
      </c>
      <c r="T1006" s="29" t="s">
        <v>220</v>
      </c>
      <c r="U1006" s="30" t="s">
        <v>227</v>
      </c>
      <c r="V1006" s="7" t="str">
        <f t="array" ref="V1006">INDEX(xlRTCLNAME,MATCH(1,(xlRTCLENDU=1)*(xlRTCLEQCL=$D1006),0))</f>
        <v>KERO_FA</v>
      </c>
      <c r="W1006" s="7" t="str">
        <f t="array" ref="W1006">INDEX(xlRTCLNAME,MATCH(1,(xlRTCLENDU=2)*(xlRTCLEQCL=$F1006),0))</f>
        <v>CENT_AIR</v>
      </c>
      <c r="X1006" s="7" t="str">
        <f t="array" ref="X1006">INDEX(xlRTTYNAME,MATCH(1,(xlRTTYENDU=1)*(xlRTTYEQCL=$D1006)*(xlRTEQTYPE=$E1006),0))</f>
        <v>KERO_FA1</v>
      </c>
      <c r="Y1006" s="7" t="str">
        <f t="array" ref="Y1006">INDEX(xlRTTYNAME,MATCH(1,(xlRTTYENDU=2)*(xlRTTYEQCL=$F1006)*(xlRTEQTYPE=$G1006),0))</f>
        <v>CENT_AIR1</v>
      </c>
    </row>
    <row r="1007" spans="2:25" ht="14.25" customHeight="1" x14ac:dyDescent="0.2">
      <c r="B1007" s="29">
        <v>5</v>
      </c>
      <c r="C1007" s="29">
        <v>2</v>
      </c>
      <c r="D1007" s="29">
        <v>5</v>
      </c>
      <c r="E1007" s="29">
        <v>14</v>
      </c>
      <c r="F1007" s="29">
        <v>2</v>
      </c>
      <c r="G1007" s="32">
        <v>4</v>
      </c>
      <c r="H1007" s="32">
        <v>2020</v>
      </c>
      <c r="I1007" s="96">
        <v>2050</v>
      </c>
      <c r="J1007" s="144">
        <v>1.1200000000000001</v>
      </c>
      <c r="K1007" s="144">
        <v>1.0391999999999999</v>
      </c>
      <c r="L1007" s="144">
        <v>0.56879999999999997</v>
      </c>
      <c r="M1007" s="144">
        <v>1.1000000000000001</v>
      </c>
      <c r="N1007" s="144">
        <v>1.2595000000000001</v>
      </c>
      <c r="O1007" s="144">
        <v>1.0538000000000001</v>
      </c>
      <c r="P1007" s="143">
        <v>2676.9677002447115</v>
      </c>
      <c r="Q1007" s="35">
        <f t="array" ref="Q1007">SUM(IF(($S1007&gt;=4)*($C1007='TaxCred&amp;Subs'!$D$114:$D$121)*($H1007='TaxCred&amp;Subs'!$C$114:$C$121)*($H1007&lt;='TaxCred&amp;Subs'!$C$123),'TaxCred&amp;Subs'!$E$114:$E$121,0))</f>
        <v>0</v>
      </c>
      <c r="R1007" s="143">
        <v>0</v>
      </c>
      <c r="S1007" s="29">
        <v>2</v>
      </c>
      <c r="T1007" s="29" t="s">
        <v>220</v>
      </c>
      <c r="U1007" s="30" t="s">
        <v>227</v>
      </c>
      <c r="V1007" s="7" t="str">
        <f t="array" ref="V1007">INDEX(xlRTCLNAME,MATCH(1,(xlRTCLENDU=1)*(xlRTCLEQCL=$D1007),0))</f>
        <v>KERO_FA</v>
      </c>
      <c r="W1007" s="7" t="str">
        <f t="array" ref="W1007">INDEX(xlRTCLNAME,MATCH(1,(xlRTCLENDU=2)*(xlRTCLEQCL=$F1007),0))</f>
        <v>CENT_AIR</v>
      </c>
      <c r="X1007" s="7" t="str">
        <f t="array" ref="X1007">INDEX(xlRTTYNAME,MATCH(1,(xlRTTYENDU=1)*(xlRTTYEQCL=$D1007)*(xlRTEQTYPE=$E1007),0))</f>
        <v>KERO_FA1</v>
      </c>
      <c r="Y1007" s="7" t="str">
        <f t="array" ref="Y1007">INDEX(xlRTTYNAME,MATCH(1,(xlRTTYENDU=2)*(xlRTTYEQCL=$F1007)*(xlRTEQTYPE=$G1007),0))</f>
        <v>CENT_AIR1</v>
      </c>
    </row>
    <row r="1008" spans="2:25" ht="14.25" customHeight="1" x14ac:dyDescent="0.2">
      <c r="B1008" s="29">
        <v>6</v>
      </c>
      <c r="C1008" s="29">
        <v>2</v>
      </c>
      <c r="D1008" s="29">
        <v>5</v>
      </c>
      <c r="E1008" s="29">
        <v>14</v>
      </c>
      <c r="F1008" s="29">
        <v>2</v>
      </c>
      <c r="G1008" s="32">
        <v>4</v>
      </c>
      <c r="H1008" s="32">
        <v>2020</v>
      </c>
      <c r="I1008" s="96">
        <v>2050</v>
      </c>
      <c r="J1008" s="144">
        <v>1.1200000000000001</v>
      </c>
      <c r="K1008" s="144">
        <v>1.03</v>
      </c>
      <c r="L1008" s="144">
        <v>0.94379999999999997</v>
      </c>
      <c r="M1008" s="144">
        <v>1.1455</v>
      </c>
      <c r="N1008" s="144">
        <v>1.3381000000000001</v>
      </c>
      <c r="O1008" s="144">
        <v>1.0538000000000001</v>
      </c>
      <c r="P1008" s="143">
        <v>2949.908153860822</v>
      </c>
      <c r="Q1008" s="35">
        <f t="array" ref="Q1008">SUM(IF(($S1008&gt;=4)*($C1008='TaxCred&amp;Subs'!$D$114:$D$121)*($H1008='TaxCred&amp;Subs'!$C$114:$C$121)*($H1008&lt;='TaxCred&amp;Subs'!$C$123),'TaxCred&amp;Subs'!$E$114:$E$121,0))</f>
        <v>0</v>
      </c>
      <c r="R1008" s="143">
        <v>0</v>
      </c>
      <c r="S1008" s="29">
        <v>2</v>
      </c>
      <c r="T1008" s="29" t="s">
        <v>220</v>
      </c>
      <c r="U1008" s="30" t="s">
        <v>227</v>
      </c>
      <c r="V1008" s="7" t="str">
        <f t="array" ref="V1008">INDEX(xlRTCLNAME,MATCH(1,(xlRTCLENDU=1)*(xlRTCLEQCL=$D1008),0))</f>
        <v>KERO_FA</v>
      </c>
      <c r="W1008" s="7" t="str">
        <f t="array" ref="W1008">INDEX(xlRTCLNAME,MATCH(1,(xlRTCLENDU=2)*(xlRTCLEQCL=$F1008),0))</f>
        <v>CENT_AIR</v>
      </c>
      <c r="X1008" s="7" t="str">
        <f t="array" ref="X1008">INDEX(xlRTTYNAME,MATCH(1,(xlRTTYENDU=1)*(xlRTTYEQCL=$D1008)*(xlRTEQTYPE=$E1008),0))</f>
        <v>KERO_FA1</v>
      </c>
      <c r="Y1008" s="7" t="str">
        <f t="array" ref="Y1008">INDEX(xlRTTYNAME,MATCH(1,(xlRTTYENDU=2)*(xlRTTYEQCL=$F1008)*(xlRTEQTYPE=$G1008),0))</f>
        <v>CENT_AIR1</v>
      </c>
    </row>
    <row r="1009" spans="2:25" ht="14.25" customHeight="1" x14ac:dyDescent="0.2">
      <c r="B1009" s="29">
        <v>7</v>
      </c>
      <c r="C1009" s="29">
        <v>2</v>
      </c>
      <c r="D1009" s="29">
        <v>5</v>
      </c>
      <c r="E1009" s="29">
        <v>14</v>
      </c>
      <c r="F1009" s="29">
        <v>2</v>
      </c>
      <c r="G1009" s="32">
        <v>4</v>
      </c>
      <c r="H1009" s="32">
        <v>2020</v>
      </c>
      <c r="I1009" s="96">
        <v>2050</v>
      </c>
      <c r="J1009" s="144">
        <v>1.1200000000000001</v>
      </c>
      <c r="K1009" s="144">
        <v>1.0476000000000001</v>
      </c>
      <c r="L1009" s="144">
        <v>0.86050000000000004</v>
      </c>
      <c r="M1009" s="144">
        <v>1.1431</v>
      </c>
      <c r="N1009" s="144">
        <v>1.4438</v>
      </c>
      <c r="O1009" s="144">
        <v>1.0538000000000001</v>
      </c>
      <c r="P1009" s="143">
        <v>1917.3058465841077</v>
      </c>
      <c r="Q1009" s="35">
        <f t="array" ref="Q1009">SUM(IF(($S1009&gt;=4)*($C1009='TaxCred&amp;Subs'!$D$114:$D$121)*($H1009='TaxCred&amp;Subs'!$C$114:$C$121)*($H1009&lt;='TaxCred&amp;Subs'!$C$123),'TaxCred&amp;Subs'!$E$114:$E$121,0))</f>
        <v>0</v>
      </c>
      <c r="R1009" s="143">
        <v>0</v>
      </c>
      <c r="S1009" s="29">
        <v>2</v>
      </c>
      <c r="T1009" s="29" t="s">
        <v>220</v>
      </c>
      <c r="U1009" s="30" t="s">
        <v>227</v>
      </c>
      <c r="V1009" s="7" t="str">
        <f t="array" ref="V1009">INDEX(xlRTCLNAME,MATCH(1,(xlRTCLENDU=1)*(xlRTCLEQCL=$D1009),0))</f>
        <v>KERO_FA</v>
      </c>
      <c r="W1009" s="7" t="str">
        <f t="array" ref="W1009">INDEX(xlRTCLNAME,MATCH(1,(xlRTCLENDU=2)*(xlRTCLEQCL=$F1009),0))</f>
        <v>CENT_AIR</v>
      </c>
      <c r="X1009" s="7" t="str">
        <f t="array" ref="X1009">INDEX(xlRTTYNAME,MATCH(1,(xlRTTYENDU=1)*(xlRTTYEQCL=$D1009)*(xlRTEQTYPE=$E1009),0))</f>
        <v>KERO_FA1</v>
      </c>
      <c r="Y1009" s="7" t="str">
        <f t="array" ref="Y1009">INDEX(xlRTTYNAME,MATCH(1,(xlRTTYENDU=2)*(xlRTTYEQCL=$F1009)*(xlRTEQTYPE=$G1009),0))</f>
        <v>CENT_AIR1</v>
      </c>
    </row>
    <row r="1010" spans="2:25" ht="14.25" customHeight="1" x14ac:dyDescent="0.2">
      <c r="B1010" s="29">
        <v>8</v>
      </c>
      <c r="C1010" s="29">
        <v>2</v>
      </c>
      <c r="D1010" s="29">
        <v>5</v>
      </c>
      <c r="E1010" s="29">
        <v>14</v>
      </c>
      <c r="F1010" s="29">
        <v>2</v>
      </c>
      <c r="G1010" s="32">
        <v>4</v>
      </c>
      <c r="H1010" s="32">
        <v>2020</v>
      </c>
      <c r="I1010" s="96">
        <v>2050</v>
      </c>
      <c r="J1010" s="144">
        <v>1.1064000000000001</v>
      </c>
      <c r="K1010" s="144">
        <v>1.0645</v>
      </c>
      <c r="L1010" s="144">
        <v>0.82289999999999996</v>
      </c>
      <c r="M1010" s="144">
        <v>1.2739</v>
      </c>
      <c r="N1010" s="144">
        <v>1.2826</v>
      </c>
      <c r="O1010" s="144">
        <v>1.0538000000000001</v>
      </c>
      <c r="P1010" s="143">
        <v>3213.4368676970671</v>
      </c>
      <c r="Q1010" s="35">
        <f t="array" ref="Q1010">SUM(IF(($S1010&gt;=4)*($C1010='TaxCred&amp;Subs'!$D$114:$D$121)*($H1010='TaxCred&amp;Subs'!$C$114:$C$121)*($H1010&lt;='TaxCred&amp;Subs'!$C$123),'TaxCred&amp;Subs'!$E$114:$E$121,0))</f>
        <v>0</v>
      </c>
      <c r="R1010" s="143">
        <v>0</v>
      </c>
      <c r="S1010" s="29">
        <v>2</v>
      </c>
      <c r="T1010" s="29" t="s">
        <v>220</v>
      </c>
      <c r="U1010" s="30" t="s">
        <v>227</v>
      </c>
      <c r="V1010" s="7" t="str">
        <f t="array" ref="V1010">INDEX(xlRTCLNAME,MATCH(1,(xlRTCLENDU=1)*(xlRTCLEQCL=$D1010),0))</f>
        <v>KERO_FA</v>
      </c>
      <c r="W1010" s="7" t="str">
        <f t="array" ref="W1010">INDEX(xlRTCLNAME,MATCH(1,(xlRTCLENDU=2)*(xlRTCLEQCL=$F1010),0))</f>
        <v>CENT_AIR</v>
      </c>
      <c r="X1010" s="7" t="str">
        <f t="array" ref="X1010">INDEX(xlRTTYNAME,MATCH(1,(xlRTTYENDU=1)*(xlRTTYEQCL=$D1010)*(xlRTEQTYPE=$E1010),0))</f>
        <v>KERO_FA1</v>
      </c>
      <c r="Y1010" s="7" t="str">
        <f t="array" ref="Y1010">INDEX(xlRTTYNAME,MATCH(1,(xlRTTYENDU=2)*(xlRTTYEQCL=$F1010)*(xlRTEQTYPE=$G1010),0))</f>
        <v>CENT_AIR1</v>
      </c>
    </row>
    <row r="1011" spans="2:25" ht="14.25" customHeight="1" x14ac:dyDescent="0.2">
      <c r="B1011" s="29">
        <v>9</v>
      </c>
      <c r="C1011" s="29">
        <v>2</v>
      </c>
      <c r="D1011" s="29">
        <v>5</v>
      </c>
      <c r="E1011" s="29">
        <v>14</v>
      </c>
      <c r="F1011" s="29">
        <v>2</v>
      </c>
      <c r="G1011" s="32">
        <v>4</v>
      </c>
      <c r="H1011" s="32">
        <v>2020</v>
      </c>
      <c r="I1011" s="96">
        <v>2050</v>
      </c>
      <c r="J1011" s="144">
        <v>1.03</v>
      </c>
      <c r="K1011" s="144">
        <v>1.0556000000000001</v>
      </c>
      <c r="L1011" s="144">
        <v>0.44379999999999997</v>
      </c>
      <c r="M1011" s="144">
        <v>1.2</v>
      </c>
      <c r="N1011" s="144">
        <v>1.4438</v>
      </c>
      <c r="O1011" s="144">
        <v>1.0538000000000001</v>
      </c>
      <c r="P1011" s="143">
        <v>3351.9238958865221</v>
      </c>
      <c r="Q1011" s="35">
        <f t="array" ref="Q1011">SUM(IF(($S1011&gt;=4)*($C1011='TaxCred&amp;Subs'!$D$114:$D$121)*($H1011='TaxCred&amp;Subs'!$C$114:$C$121)*($H1011&lt;='TaxCred&amp;Subs'!$C$123),'TaxCred&amp;Subs'!$E$114:$E$121,0))</f>
        <v>0</v>
      </c>
      <c r="R1011" s="143">
        <v>0</v>
      </c>
      <c r="S1011" s="29">
        <v>2</v>
      </c>
      <c r="T1011" s="29" t="s">
        <v>220</v>
      </c>
      <c r="U1011" s="30" t="s">
        <v>227</v>
      </c>
      <c r="V1011" s="7" t="str">
        <f t="array" ref="V1011">INDEX(xlRTCLNAME,MATCH(1,(xlRTCLENDU=1)*(xlRTCLEQCL=$D1011),0))</f>
        <v>KERO_FA</v>
      </c>
      <c r="W1011" s="7" t="str">
        <f t="array" ref="W1011">INDEX(xlRTCLNAME,MATCH(1,(xlRTCLENDU=2)*(xlRTCLEQCL=$F1011),0))</f>
        <v>CENT_AIR</v>
      </c>
      <c r="X1011" s="7" t="str">
        <f t="array" ref="X1011">INDEX(xlRTTYNAME,MATCH(1,(xlRTTYENDU=1)*(xlRTTYEQCL=$D1011)*(xlRTEQTYPE=$E1011),0))</f>
        <v>KERO_FA1</v>
      </c>
      <c r="Y1011" s="7" t="str">
        <f t="array" ref="Y1011">INDEX(xlRTTYNAME,MATCH(1,(xlRTTYENDU=2)*(xlRTTYEQCL=$F1011)*(xlRTEQTYPE=$G1011),0))</f>
        <v>CENT_AIR1</v>
      </c>
    </row>
    <row r="1012" spans="2:25" ht="14.25" customHeight="1" x14ac:dyDescent="0.2">
      <c r="B1012" s="5">
        <v>1</v>
      </c>
      <c r="C1012" s="5">
        <v>2</v>
      </c>
      <c r="D1012" s="5">
        <v>6</v>
      </c>
      <c r="E1012" s="5">
        <v>18</v>
      </c>
      <c r="F1012" s="5">
        <v>2</v>
      </c>
      <c r="G1012" s="31">
        <v>4</v>
      </c>
      <c r="H1012" s="31">
        <v>2020</v>
      </c>
      <c r="I1012" s="96">
        <v>2050</v>
      </c>
      <c r="J1012" s="142">
        <v>1.1042000000000001</v>
      </c>
      <c r="K1012" s="142">
        <v>1.0417000000000001</v>
      </c>
      <c r="L1012" s="142">
        <v>0.8075</v>
      </c>
      <c r="M1012" s="142">
        <v>1.1455</v>
      </c>
      <c r="N1012" s="142">
        <v>1.1127</v>
      </c>
      <c r="O1012" s="142">
        <v>1.0538000000000001</v>
      </c>
      <c r="P1012" s="26">
        <v>4090.0732014788609</v>
      </c>
      <c r="Q1012" s="35">
        <f t="array" ref="Q1012">SUM(IF(($S1012&gt;=4)*($C1012='TaxCred&amp;Subs'!$D$114:$D$121)*($H1012='TaxCred&amp;Subs'!$C$114:$C$121)*($H1012&lt;='TaxCred&amp;Subs'!$C$123),'TaxCred&amp;Subs'!$E$114:$E$121,0))</f>
        <v>0</v>
      </c>
      <c r="R1012" s="143">
        <v>0</v>
      </c>
      <c r="S1012" s="5">
        <v>2</v>
      </c>
      <c r="T1012" s="5" t="s">
        <v>220</v>
      </c>
      <c r="V1012" s="7" t="str">
        <f t="array" ref="V1012">INDEX(xlRTCLNAME,MATCH(1,(xlRTCLENDU=1)*(xlRTCLEQCL=$D1012),0))</f>
        <v>LPG_FA</v>
      </c>
      <c r="W1012" s="7" t="str">
        <f t="array" ref="W1012">INDEX(xlRTCLNAME,MATCH(1,(xlRTCLENDU=2)*(xlRTCLEQCL=$F1012),0))</f>
        <v>CENT_AIR</v>
      </c>
      <c r="X1012" s="7" t="str">
        <f t="array" ref="X1012">INDEX(xlRTTYNAME,MATCH(1,(xlRTTYENDU=1)*(xlRTTYEQCL=$D1012)*(xlRTEQTYPE=$E1012),0))</f>
        <v>LPG_FA1</v>
      </c>
      <c r="Y1012" s="7" t="str">
        <f t="array" ref="Y1012">INDEX(xlRTTYNAME,MATCH(1,(xlRTTYENDU=2)*(xlRTTYEQCL=$F1012)*(xlRTEQTYPE=$G1012),0))</f>
        <v>CENT_AIR1</v>
      </c>
    </row>
    <row r="1013" spans="2:25" ht="14.25" customHeight="1" x14ac:dyDescent="0.2">
      <c r="B1013" s="5">
        <v>2</v>
      </c>
      <c r="C1013" s="5">
        <v>2</v>
      </c>
      <c r="D1013" s="5">
        <v>6</v>
      </c>
      <c r="E1013" s="5">
        <v>18</v>
      </c>
      <c r="F1013" s="5">
        <v>2</v>
      </c>
      <c r="G1013" s="31">
        <v>4</v>
      </c>
      <c r="H1013" s="31">
        <v>2020</v>
      </c>
      <c r="I1013" s="96">
        <v>2050</v>
      </c>
      <c r="J1013" s="142">
        <v>1.0847</v>
      </c>
      <c r="K1013" s="142">
        <v>1.0357000000000001</v>
      </c>
      <c r="L1013" s="142">
        <v>1.028</v>
      </c>
      <c r="M1013" s="142">
        <v>1.1834</v>
      </c>
      <c r="N1013" s="142">
        <v>1.1162000000000001</v>
      </c>
      <c r="O1013" s="142">
        <v>1.0538000000000001</v>
      </c>
      <c r="P1013" s="26">
        <v>2804.6984544000343</v>
      </c>
      <c r="Q1013" s="35">
        <f t="array" ref="Q1013">SUM(IF(($S1013&gt;=4)*($C1013='TaxCred&amp;Subs'!$D$114:$D$121)*($H1013='TaxCred&amp;Subs'!$C$114:$C$121)*($H1013&lt;='TaxCred&amp;Subs'!$C$123),'TaxCred&amp;Subs'!$E$114:$E$121,0))</f>
        <v>0</v>
      </c>
      <c r="R1013" s="143">
        <v>0</v>
      </c>
      <c r="S1013" s="5">
        <v>2</v>
      </c>
      <c r="T1013" s="5" t="s">
        <v>220</v>
      </c>
      <c r="V1013" s="7" t="str">
        <f t="array" ref="V1013">INDEX(xlRTCLNAME,MATCH(1,(xlRTCLENDU=1)*(xlRTCLEQCL=$D1013),0))</f>
        <v>LPG_FA</v>
      </c>
      <c r="W1013" s="7" t="str">
        <f t="array" ref="W1013">INDEX(xlRTCLNAME,MATCH(1,(xlRTCLENDU=2)*(xlRTCLEQCL=$F1013),0))</f>
        <v>CENT_AIR</v>
      </c>
      <c r="X1013" s="7" t="str">
        <f t="array" ref="X1013">INDEX(xlRTTYNAME,MATCH(1,(xlRTTYENDU=1)*(xlRTTYEQCL=$D1013)*(xlRTEQTYPE=$E1013),0))</f>
        <v>LPG_FA1</v>
      </c>
      <c r="Y1013" s="7" t="str">
        <f t="array" ref="Y1013">INDEX(xlRTTYNAME,MATCH(1,(xlRTTYENDU=2)*(xlRTTYEQCL=$F1013)*(xlRTEQTYPE=$G1013),0))</f>
        <v>CENT_AIR1</v>
      </c>
    </row>
    <row r="1014" spans="2:25" ht="14.25" customHeight="1" x14ac:dyDescent="0.2">
      <c r="B1014" s="5">
        <v>3</v>
      </c>
      <c r="C1014" s="5">
        <v>2</v>
      </c>
      <c r="D1014" s="5">
        <v>6</v>
      </c>
      <c r="E1014" s="5">
        <v>18</v>
      </c>
      <c r="F1014" s="5">
        <v>2</v>
      </c>
      <c r="G1014" s="31">
        <v>4</v>
      </c>
      <c r="H1014" s="31">
        <v>2020</v>
      </c>
      <c r="I1014" s="96">
        <v>2050</v>
      </c>
      <c r="J1014" s="142">
        <v>1.0984</v>
      </c>
      <c r="K1014" s="142">
        <v>1.0345</v>
      </c>
      <c r="L1014" s="142">
        <v>0.85880000000000001</v>
      </c>
      <c r="M1014" s="142">
        <v>1.1000000000000001</v>
      </c>
      <c r="N1014" s="142">
        <v>1.0399</v>
      </c>
      <c r="O1014" s="142">
        <v>1.0538000000000001</v>
      </c>
      <c r="P1014" s="26">
        <v>3255.1174295793303</v>
      </c>
      <c r="Q1014" s="35">
        <f t="array" ref="Q1014">SUM(IF(($S1014&gt;=4)*($C1014='TaxCred&amp;Subs'!$D$114:$D$121)*($H1014='TaxCred&amp;Subs'!$C$114:$C$121)*($H1014&lt;='TaxCred&amp;Subs'!$C$123),'TaxCred&amp;Subs'!$E$114:$E$121,0))</f>
        <v>0</v>
      </c>
      <c r="R1014" s="143">
        <v>0</v>
      </c>
      <c r="S1014" s="5">
        <v>2</v>
      </c>
      <c r="T1014" s="5" t="s">
        <v>220</v>
      </c>
      <c r="V1014" s="7" t="str">
        <f t="array" ref="V1014">INDEX(xlRTCLNAME,MATCH(1,(xlRTCLENDU=1)*(xlRTCLEQCL=$D1014),0))</f>
        <v>LPG_FA</v>
      </c>
      <c r="W1014" s="7" t="str">
        <f t="array" ref="W1014">INDEX(xlRTCLNAME,MATCH(1,(xlRTCLENDU=2)*(xlRTCLEQCL=$F1014),0))</f>
        <v>CENT_AIR</v>
      </c>
      <c r="X1014" s="7" t="str">
        <f t="array" ref="X1014">INDEX(xlRTTYNAME,MATCH(1,(xlRTTYENDU=1)*(xlRTTYEQCL=$D1014)*(xlRTEQTYPE=$E1014),0))</f>
        <v>LPG_FA1</v>
      </c>
      <c r="Y1014" s="7" t="str">
        <f t="array" ref="Y1014">INDEX(xlRTTYNAME,MATCH(1,(xlRTTYENDU=2)*(xlRTTYEQCL=$F1014)*(xlRTEQTYPE=$G1014),0))</f>
        <v>CENT_AIR1</v>
      </c>
    </row>
    <row r="1015" spans="2:25" ht="14.25" customHeight="1" x14ac:dyDescent="0.2">
      <c r="B1015" s="5">
        <v>4</v>
      </c>
      <c r="C1015" s="5">
        <v>2</v>
      </c>
      <c r="D1015" s="5">
        <v>6</v>
      </c>
      <c r="E1015" s="5">
        <v>18</v>
      </c>
      <c r="F1015" s="5">
        <v>2</v>
      </c>
      <c r="G1015" s="31">
        <v>4</v>
      </c>
      <c r="H1015" s="31">
        <v>2020</v>
      </c>
      <c r="I1015" s="96">
        <v>2050</v>
      </c>
      <c r="J1015" s="142">
        <v>1.1000000000000001</v>
      </c>
      <c r="K1015" s="142">
        <v>1.0435000000000001</v>
      </c>
      <c r="L1015" s="142">
        <v>1.0251999999999999</v>
      </c>
      <c r="M1015" s="142">
        <v>1.175</v>
      </c>
      <c r="N1015" s="142">
        <v>1.1696</v>
      </c>
      <c r="O1015" s="142">
        <v>1.0538000000000001</v>
      </c>
      <c r="P1015" s="26">
        <v>2816.7992626884329</v>
      </c>
      <c r="Q1015" s="35">
        <f t="array" ref="Q1015">SUM(IF(($S1015&gt;=4)*($C1015='TaxCred&amp;Subs'!$D$114:$D$121)*($H1015='TaxCred&amp;Subs'!$C$114:$C$121)*($H1015&lt;='TaxCred&amp;Subs'!$C$123),'TaxCred&amp;Subs'!$E$114:$E$121,0))</f>
        <v>0</v>
      </c>
      <c r="R1015" s="143">
        <v>0</v>
      </c>
      <c r="S1015" s="5">
        <v>2</v>
      </c>
      <c r="T1015" s="5" t="s">
        <v>220</v>
      </c>
      <c r="V1015" s="7" t="str">
        <f t="array" ref="V1015">INDEX(xlRTCLNAME,MATCH(1,(xlRTCLENDU=1)*(xlRTCLEQCL=$D1015),0))</f>
        <v>LPG_FA</v>
      </c>
      <c r="W1015" s="7" t="str">
        <f t="array" ref="W1015">INDEX(xlRTCLNAME,MATCH(1,(xlRTCLENDU=2)*(xlRTCLEQCL=$F1015),0))</f>
        <v>CENT_AIR</v>
      </c>
      <c r="X1015" s="7" t="str">
        <f t="array" ref="X1015">INDEX(xlRTTYNAME,MATCH(1,(xlRTTYENDU=1)*(xlRTTYEQCL=$D1015)*(xlRTEQTYPE=$E1015),0))</f>
        <v>LPG_FA1</v>
      </c>
      <c r="Y1015" s="7" t="str">
        <f t="array" ref="Y1015">INDEX(xlRTTYNAME,MATCH(1,(xlRTTYENDU=2)*(xlRTTYEQCL=$F1015)*(xlRTEQTYPE=$G1015),0))</f>
        <v>CENT_AIR1</v>
      </c>
    </row>
    <row r="1016" spans="2:25" ht="14.25" customHeight="1" x14ac:dyDescent="0.2">
      <c r="B1016" s="5">
        <v>5</v>
      </c>
      <c r="C1016" s="5">
        <v>2</v>
      </c>
      <c r="D1016" s="5">
        <v>6</v>
      </c>
      <c r="E1016" s="5">
        <v>18</v>
      </c>
      <c r="F1016" s="5">
        <v>2</v>
      </c>
      <c r="G1016" s="31">
        <v>4</v>
      </c>
      <c r="H1016" s="31">
        <v>2020</v>
      </c>
      <c r="I1016" s="96">
        <v>2050</v>
      </c>
      <c r="J1016" s="142">
        <v>1.1200000000000001</v>
      </c>
      <c r="K1016" s="142">
        <v>1.0391999999999999</v>
      </c>
      <c r="L1016" s="142">
        <v>0.53759999999999997</v>
      </c>
      <c r="M1016" s="142">
        <v>1.1000000000000001</v>
      </c>
      <c r="N1016" s="142">
        <v>1.2750999999999999</v>
      </c>
      <c r="O1016" s="142">
        <v>1.0538000000000001</v>
      </c>
      <c r="P1016" s="26">
        <v>2421.506191934066</v>
      </c>
      <c r="Q1016" s="35">
        <f t="array" ref="Q1016">SUM(IF(($S1016&gt;=4)*($C1016='TaxCred&amp;Subs'!$D$114:$D$121)*($H1016='TaxCred&amp;Subs'!$C$114:$C$121)*($H1016&lt;='TaxCred&amp;Subs'!$C$123),'TaxCred&amp;Subs'!$E$114:$E$121,0))</f>
        <v>0</v>
      </c>
      <c r="R1016" s="143">
        <v>0</v>
      </c>
      <c r="S1016" s="5">
        <v>2</v>
      </c>
      <c r="T1016" s="5" t="s">
        <v>220</v>
      </c>
      <c r="V1016" s="7" t="str">
        <f t="array" ref="V1016">INDEX(xlRTCLNAME,MATCH(1,(xlRTCLENDU=1)*(xlRTCLEQCL=$D1016),0))</f>
        <v>LPG_FA</v>
      </c>
      <c r="W1016" s="7" t="str">
        <f t="array" ref="W1016">INDEX(xlRTCLNAME,MATCH(1,(xlRTCLENDU=2)*(xlRTCLEQCL=$F1016),0))</f>
        <v>CENT_AIR</v>
      </c>
      <c r="X1016" s="7" t="str">
        <f t="array" ref="X1016">INDEX(xlRTTYNAME,MATCH(1,(xlRTTYENDU=1)*(xlRTTYEQCL=$D1016)*(xlRTEQTYPE=$E1016),0))</f>
        <v>LPG_FA1</v>
      </c>
      <c r="Y1016" s="7" t="str">
        <f t="array" ref="Y1016">INDEX(xlRTTYNAME,MATCH(1,(xlRTTYENDU=2)*(xlRTTYEQCL=$F1016)*(xlRTEQTYPE=$G1016),0))</f>
        <v>CENT_AIR1</v>
      </c>
    </row>
    <row r="1017" spans="2:25" ht="14.25" customHeight="1" x14ac:dyDescent="0.2">
      <c r="B1017" s="5">
        <v>6</v>
      </c>
      <c r="C1017" s="5">
        <v>2</v>
      </c>
      <c r="D1017" s="5">
        <v>6</v>
      </c>
      <c r="E1017" s="5">
        <v>18</v>
      </c>
      <c r="F1017" s="5">
        <v>2</v>
      </c>
      <c r="G1017" s="31">
        <v>4</v>
      </c>
      <c r="H1017" s="31">
        <v>2020</v>
      </c>
      <c r="I1017" s="96">
        <v>2050</v>
      </c>
      <c r="J1017" s="142">
        <v>1.1200000000000001</v>
      </c>
      <c r="K1017" s="142">
        <v>1.03</v>
      </c>
      <c r="L1017" s="142">
        <v>0.89380000000000004</v>
      </c>
      <c r="M1017" s="142">
        <v>1.1341000000000001</v>
      </c>
      <c r="N1017" s="142">
        <v>1.3324</v>
      </c>
      <c r="O1017" s="142">
        <v>1.0538000000000001</v>
      </c>
      <c r="P1017" s="26">
        <v>2715.9591936184415</v>
      </c>
      <c r="Q1017" s="35">
        <f t="array" ref="Q1017">SUM(IF(($S1017&gt;=4)*($C1017='TaxCred&amp;Subs'!$D$114:$D$121)*($H1017='TaxCred&amp;Subs'!$C$114:$C$121)*($H1017&lt;='TaxCred&amp;Subs'!$C$123),'TaxCred&amp;Subs'!$E$114:$E$121,0))</f>
        <v>0</v>
      </c>
      <c r="R1017" s="143">
        <v>0</v>
      </c>
      <c r="S1017" s="5">
        <v>2</v>
      </c>
      <c r="T1017" s="5" t="s">
        <v>220</v>
      </c>
      <c r="V1017" s="7" t="str">
        <f t="array" ref="V1017">INDEX(xlRTCLNAME,MATCH(1,(xlRTCLENDU=1)*(xlRTCLEQCL=$D1017),0))</f>
        <v>LPG_FA</v>
      </c>
      <c r="W1017" s="7" t="str">
        <f t="array" ref="W1017">INDEX(xlRTCLNAME,MATCH(1,(xlRTCLENDU=2)*(xlRTCLEQCL=$F1017),0))</f>
        <v>CENT_AIR</v>
      </c>
      <c r="X1017" s="7" t="str">
        <f t="array" ref="X1017">INDEX(xlRTTYNAME,MATCH(1,(xlRTTYENDU=1)*(xlRTTYEQCL=$D1017)*(xlRTEQTYPE=$E1017),0))</f>
        <v>LPG_FA1</v>
      </c>
      <c r="Y1017" s="7" t="str">
        <f t="array" ref="Y1017">INDEX(xlRTTYNAME,MATCH(1,(xlRTTYENDU=2)*(xlRTTYEQCL=$F1017)*(xlRTEQTYPE=$G1017),0))</f>
        <v>CENT_AIR1</v>
      </c>
    </row>
    <row r="1018" spans="2:25" ht="14.25" customHeight="1" x14ac:dyDescent="0.2">
      <c r="B1018" s="5">
        <v>7</v>
      </c>
      <c r="C1018" s="5">
        <v>2</v>
      </c>
      <c r="D1018" s="5">
        <v>6</v>
      </c>
      <c r="E1018" s="5">
        <v>18</v>
      </c>
      <c r="F1018" s="5">
        <v>2</v>
      </c>
      <c r="G1018" s="31">
        <v>4</v>
      </c>
      <c r="H1018" s="31">
        <v>2020</v>
      </c>
      <c r="I1018" s="96">
        <v>2050</v>
      </c>
      <c r="J1018" s="142">
        <v>1.1200000000000001</v>
      </c>
      <c r="K1018" s="142">
        <v>1.0462</v>
      </c>
      <c r="L1018" s="142">
        <v>0.86050000000000004</v>
      </c>
      <c r="M1018" s="142">
        <v>1.1604000000000001</v>
      </c>
      <c r="N1018" s="142">
        <v>1.4438</v>
      </c>
      <c r="O1018" s="142">
        <v>1.0538000000000001</v>
      </c>
      <c r="P1018" s="26">
        <v>1804.3649692257172</v>
      </c>
      <c r="Q1018" s="35">
        <f t="array" ref="Q1018">SUM(IF(($S1018&gt;=4)*($C1018='TaxCred&amp;Subs'!$D$114:$D$121)*($H1018='TaxCred&amp;Subs'!$C$114:$C$121)*($H1018&lt;='TaxCred&amp;Subs'!$C$123),'TaxCred&amp;Subs'!$E$114:$E$121,0))</f>
        <v>0</v>
      </c>
      <c r="R1018" s="143">
        <v>0</v>
      </c>
      <c r="S1018" s="5">
        <v>2</v>
      </c>
      <c r="T1018" s="5" t="s">
        <v>220</v>
      </c>
      <c r="V1018" s="7" t="str">
        <f t="array" ref="V1018">INDEX(xlRTCLNAME,MATCH(1,(xlRTCLENDU=1)*(xlRTCLEQCL=$D1018),0))</f>
        <v>LPG_FA</v>
      </c>
      <c r="W1018" s="7" t="str">
        <f t="array" ref="W1018">INDEX(xlRTCLNAME,MATCH(1,(xlRTCLENDU=2)*(xlRTCLEQCL=$F1018),0))</f>
        <v>CENT_AIR</v>
      </c>
      <c r="X1018" s="7" t="str">
        <f t="array" ref="X1018">INDEX(xlRTTYNAME,MATCH(1,(xlRTTYENDU=1)*(xlRTTYEQCL=$D1018)*(xlRTEQTYPE=$E1018),0))</f>
        <v>LPG_FA1</v>
      </c>
      <c r="Y1018" s="7" t="str">
        <f t="array" ref="Y1018">INDEX(xlRTTYNAME,MATCH(1,(xlRTTYENDU=2)*(xlRTTYEQCL=$F1018)*(xlRTEQTYPE=$G1018),0))</f>
        <v>CENT_AIR1</v>
      </c>
    </row>
    <row r="1019" spans="2:25" ht="14.25" customHeight="1" x14ac:dyDescent="0.2">
      <c r="B1019" s="5">
        <v>8</v>
      </c>
      <c r="C1019" s="5">
        <v>2</v>
      </c>
      <c r="D1019" s="5">
        <v>6</v>
      </c>
      <c r="E1019" s="5">
        <v>18</v>
      </c>
      <c r="F1019" s="5">
        <v>2</v>
      </c>
      <c r="G1019" s="31">
        <v>4</v>
      </c>
      <c r="H1019" s="31">
        <v>2020</v>
      </c>
      <c r="I1019" s="96">
        <v>2050</v>
      </c>
      <c r="J1019" s="142">
        <v>1.0932999999999999</v>
      </c>
      <c r="K1019" s="142">
        <v>1.0323</v>
      </c>
      <c r="L1019" s="142">
        <v>1.0390999999999999</v>
      </c>
      <c r="M1019" s="142">
        <v>1.2739</v>
      </c>
      <c r="N1019" s="142">
        <v>1.2847999999999999</v>
      </c>
      <c r="O1019" s="142">
        <v>1.0538000000000001</v>
      </c>
      <c r="P1019" s="26">
        <v>3147.5546892380057</v>
      </c>
      <c r="Q1019" s="35">
        <f t="array" ref="Q1019">SUM(IF(($S1019&gt;=4)*($C1019='TaxCred&amp;Subs'!$D$114:$D$121)*($H1019='TaxCred&amp;Subs'!$C$114:$C$121)*($H1019&lt;='TaxCred&amp;Subs'!$C$123),'TaxCred&amp;Subs'!$E$114:$E$121,0))</f>
        <v>0</v>
      </c>
      <c r="R1019" s="143">
        <v>0</v>
      </c>
      <c r="S1019" s="5">
        <v>2</v>
      </c>
      <c r="T1019" s="5" t="s">
        <v>220</v>
      </c>
      <c r="V1019" s="7" t="str">
        <f t="array" ref="V1019">INDEX(xlRTCLNAME,MATCH(1,(xlRTCLENDU=1)*(xlRTCLEQCL=$D1019),0))</f>
        <v>LPG_FA</v>
      </c>
      <c r="W1019" s="7" t="str">
        <f t="array" ref="W1019">INDEX(xlRTCLNAME,MATCH(1,(xlRTCLENDU=2)*(xlRTCLEQCL=$F1019),0))</f>
        <v>CENT_AIR</v>
      </c>
      <c r="X1019" s="7" t="str">
        <f t="array" ref="X1019">INDEX(xlRTTYNAME,MATCH(1,(xlRTTYENDU=1)*(xlRTTYEQCL=$D1019)*(xlRTEQTYPE=$E1019),0))</f>
        <v>LPG_FA1</v>
      </c>
      <c r="Y1019" s="7" t="str">
        <f t="array" ref="Y1019">INDEX(xlRTTYNAME,MATCH(1,(xlRTTYENDU=2)*(xlRTTYEQCL=$F1019)*(xlRTEQTYPE=$G1019),0))</f>
        <v>CENT_AIR1</v>
      </c>
    </row>
    <row r="1020" spans="2:25" ht="14.25" customHeight="1" x14ac:dyDescent="0.2">
      <c r="B1020" s="5">
        <v>9</v>
      </c>
      <c r="C1020" s="5">
        <v>2</v>
      </c>
      <c r="D1020" s="5">
        <v>6</v>
      </c>
      <c r="E1020" s="5">
        <v>18</v>
      </c>
      <c r="F1020" s="5">
        <v>2</v>
      </c>
      <c r="G1020" s="31">
        <v>4</v>
      </c>
      <c r="H1020" s="31">
        <v>2020</v>
      </c>
      <c r="I1020" s="96">
        <v>2050</v>
      </c>
      <c r="J1020" s="142">
        <v>1.07</v>
      </c>
      <c r="K1020" s="142">
        <v>1.0541</v>
      </c>
      <c r="L1020" s="142">
        <v>0.88129999999999997</v>
      </c>
      <c r="M1020" s="142">
        <v>1.2166999999999999</v>
      </c>
      <c r="N1020" s="142">
        <v>1.4438</v>
      </c>
      <c r="O1020" s="142">
        <v>1.0538000000000001</v>
      </c>
      <c r="P1020" s="26">
        <v>2564.026822886321</v>
      </c>
      <c r="Q1020" s="35">
        <f t="array" ref="Q1020">SUM(IF(($S1020&gt;=4)*($C1020='TaxCred&amp;Subs'!$D$114:$D$121)*($H1020='TaxCred&amp;Subs'!$C$114:$C$121)*($H1020&lt;='TaxCred&amp;Subs'!$C$123),'TaxCred&amp;Subs'!$E$114:$E$121,0))</f>
        <v>0</v>
      </c>
      <c r="R1020" s="143">
        <v>0</v>
      </c>
      <c r="S1020" s="5">
        <v>2</v>
      </c>
      <c r="T1020" s="5" t="s">
        <v>220</v>
      </c>
      <c r="V1020" s="7" t="str">
        <f t="array" ref="V1020">INDEX(xlRTCLNAME,MATCH(1,(xlRTCLENDU=1)*(xlRTCLEQCL=$D1020),0))</f>
        <v>LPG_FA</v>
      </c>
      <c r="W1020" s="7" t="str">
        <f t="array" ref="W1020">INDEX(xlRTCLNAME,MATCH(1,(xlRTCLENDU=2)*(xlRTCLEQCL=$F1020),0))</f>
        <v>CENT_AIR</v>
      </c>
      <c r="X1020" s="7" t="str">
        <f t="array" ref="X1020">INDEX(xlRTTYNAME,MATCH(1,(xlRTTYENDU=1)*(xlRTTYEQCL=$D1020)*(xlRTEQTYPE=$E1020),0))</f>
        <v>LPG_FA1</v>
      </c>
      <c r="Y1020" s="7" t="str">
        <f t="array" ref="Y1020">INDEX(xlRTTYNAME,MATCH(1,(xlRTTYENDU=2)*(xlRTTYEQCL=$F1020)*(xlRTEQTYPE=$G1020),0))</f>
        <v>CENT_AIR1</v>
      </c>
    </row>
    <row r="1021" spans="2:25" ht="14.25" customHeight="1" x14ac:dyDescent="0.2">
      <c r="B1021" s="5">
        <v>1</v>
      </c>
      <c r="C1021" s="5">
        <v>2</v>
      </c>
      <c r="D1021" s="5">
        <v>7</v>
      </c>
      <c r="E1021" s="5">
        <v>22</v>
      </c>
      <c r="F1021" s="5">
        <v>2</v>
      </c>
      <c r="G1021" s="31">
        <v>4</v>
      </c>
      <c r="H1021" s="31">
        <v>2020</v>
      </c>
      <c r="I1021" s="96">
        <v>2050</v>
      </c>
      <c r="J1021" s="142">
        <v>1.0956999999999999</v>
      </c>
      <c r="K1021" s="142">
        <v>1.0417000000000001</v>
      </c>
      <c r="L1021" s="142">
        <v>0.80820000000000003</v>
      </c>
      <c r="M1021" s="142">
        <v>1.1455</v>
      </c>
      <c r="N1021" s="142">
        <v>1.1153</v>
      </c>
      <c r="O1021" s="142">
        <v>1.0538000000000001</v>
      </c>
      <c r="P1021" s="26">
        <v>4090.0732014788609</v>
      </c>
      <c r="Q1021" s="35">
        <f t="array" ref="Q1021">SUM(IF(($S1021&gt;=4)*($C1021='TaxCred&amp;Subs'!$D$114:$D$121)*($H1021='TaxCred&amp;Subs'!$C$114:$C$121)*($H1021&lt;='TaxCred&amp;Subs'!$C$123),'TaxCred&amp;Subs'!$E$114:$E$121,0))</f>
        <v>0</v>
      </c>
      <c r="R1021" s="143">
        <v>0</v>
      </c>
      <c r="S1021" s="5">
        <v>2</v>
      </c>
      <c r="T1021" s="5" t="s">
        <v>220</v>
      </c>
      <c r="V1021" s="7" t="str">
        <f t="array" ref="V1021">INDEX(xlRTCLNAME,MATCH(1,(xlRTCLENDU=1)*(xlRTCLEQCL=$D1021),0))</f>
        <v>DIST_FA</v>
      </c>
      <c r="W1021" s="7" t="str">
        <f t="array" ref="W1021">INDEX(xlRTCLNAME,MATCH(1,(xlRTCLENDU=2)*(xlRTCLEQCL=$F1021),0))</f>
        <v>CENT_AIR</v>
      </c>
      <c r="X1021" s="7" t="str">
        <f t="array" ref="X1021">INDEX(xlRTTYNAME,MATCH(1,(xlRTTYENDU=1)*(xlRTTYEQCL=$D1021)*(xlRTEQTYPE=$E1021),0))</f>
        <v>DIST_FA1</v>
      </c>
      <c r="Y1021" s="7" t="str">
        <f t="array" ref="Y1021">INDEX(xlRTTYNAME,MATCH(1,(xlRTTYENDU=2)*(xlRTTYEQCL=$F1021)*(xlRTEQTYPE=$G1021),0))</f>
        <v>CENT_AIR1</v>
      </c>
    </row>
    <row r="1022" spans="2:25" ht="14.25" customHeight="1" x14ac:dyDescent="0.2">
      <c r="B1022" s="5">
        <v>2</v>
      </c>
      <c r="C1022" s="5">
        <v>2</v>
      </c>
      <c r="D1022" s="5">
        <v>7</v>
      </c>
      <c r="E1022" s="5">
        <v>22</v>
      </c>
      <c r="F1022" s="5">
        <v>2</v>
      </c>
      <c r="G1022" s="31">
        <v>4</v>
      </c>
      <c r="H1022" s="31">
        <v>2020</v>
      </c>
      <c r="I1022" s="96">
        <v>2050</v>
      </c>
      <c r="J1022" s="142">
        <v>1.1059000000000001</v>
      </c>
      <c r="K1022" s="142">
        <v>1.0357000000000001</v>
      </c>
      <c r="L1022" s="142">
        <v>0.87309999999999999</v>
      </c>
      <c r="M1022" s="142">
        <v>1.1834</v>
      </c>
      <c r="N1022" s="142">
        <v>1.1176999999999999</v>
      </c>
      <c r="O1022" s="142">
        <v>1.0538000000000001</v>
      </c>
      <c r="P1022" s="26">
        <v>2996.9668527601516</v>
      </c>
      <c r="Q1022" s="35">
        <f t="array" ref="Q1022">SUM(IF(($S1022&gt;=4)*($C1022='TaxCred&amp;Subs'!$D$114:$D$121)*($H1022='TaxCred&amp;Subs'!$C$114:$C$121)*($H1022&lt;='TaxCred&amp;Subs'!$C$123),'TaxCred&amp;Subs'!$E$114:$E$121,0))</f>
        <v>0</v>
      </c>
      <c r="R1022" s="143">
        <v>0</v>
      </c>
      <c r="S1022" s="5">
        <v>2</v>
      </c>
      <c r="T1022" s="5" t="s">
        <v>220</v>
      </c>
      <c r="V1022" s="7" t="str">
        <f t="array" ref="V1022">INDEX(xlRTCLNAME,MATCH(1,(xlRTCLENDU=1)*(xlRTCLEQCL=$D1022),0))</f>
        <v>DIST_FA</v>
      </c>
      <c r="W1022" s="7" t="str">
        <f t="array" ref="W1022">INDEX(xlRTCLNAME,MATCH(1,(xlRTCLENDU=2)*(xlRTCLEQCL=$F1022),0))</f>
        <v>CENT_AIR</v>
      </c>
      <c r="X1022" s="7" t="str">
        <f t="array" ref="X1022">INDEX(xlRTTYNAME,MATCH(1,(xlRTTYENDU=1)*(xlRTTYEQCL=$D1022)*(xlRTEQTYPE=$E1022),0))</f>
        <v>DIST_FA1</v>
      </c>
      <c r="Y1022" s="7" t="str">
        <f t="array" ref="Y1022">INDEX(xlRTTYNAME,MATCH(1,(xlRTTYENDU=2)*(xlRTTYEQCL=$F1022)*(xlRTEQTYPE=$G1022),0))</f>
        <v>CENT_AIR1</v>
      </c>
    </row>
    <row r="1023" spans="2:25" ht="14.25" customHeight="1" x14ac:dyDescent="0.2">
      <c r="B1023" s="5">
        <v>3</v>
      </c>
      <c r="C1023" s="5">
        <v>2</v>
      </c>
      <c r="D1023" s="5">
        <v>7</v>
      </c>
      <c r="E1023" s="5">
        <v>22</v>
      </c>
      <c r="F1023" s="5">
        <v>2</v>
      </c>
      <c r="G1023" s="31">
        <v>4</v>
      </c>
      <c r="H1023" s="31">
        <v>2020</v>
      </c>
      <c r="I1023" s="96">
        <v>2050</v>
      </c>
      <c r="J1023" s="142">
        <v>1.099</v>
      </c>
      <c r="K1023" s="142">
        <v>1.03</v>
      </c>
      <c r="L1023" s="142">
        <v>0.79210000000000003</v>
      </c>
      <c r="M1023" s="142">
        <v>1.0828</v>
      </c>
      <c r="N1023" s="142">
        <v>1.0381</v>
      </c>
      <c r="O1023" s="142">
        <v>1.0538000000000001</v>
      </c>
      <c r="P1023" s="26">
        <v>3447.3858279394476</v>
      </c>
      <c r="Q1023" s="35">
        <f t="array" ref="Q1023">SUM(IF(($S1023&gt;=4)*($C1023='TaxCred&amp;Subs'!$D$114:$D$121)*($H1023='TaxCred&amp;Subs'!$C$114:$C$121)*($H1023&lt;='TaxCred&amp;Subs'!$C$123),'TaxCred&amp;Subs'!$E$114:$E$121,0))</f>
        <v>0</v>
      </c>
      <c r="R1023" s="143">
        <v>0</v>
      </c>
      <c r="S1023" s="5">
        <v>2</v>
      </c>
      <c r="T1023" s="5" t="s">
        <v>220</v>
      </c>
      <c r="V1023" s="7" t="str">
        <f t="array" ref="V1023">INDEX(xlRTCLNAME,MATCH(1,(xlRTCLENDU=1)*(xlRTCLEQCL=$D1023),0))</f>
        <v>DIST_FA</v>
      </c>
      <c r="W1023" s="7" t="str">
        <f t="array" ref="W1023">INDEX(xlRTCLNAME,MATCH(1,(xlRTCLENDU=2)*(xlRTCLEQCL=$F1023),0))</f>
        <v>CENT_AIR</v>
      </c>
      <c r="X1023" s="7" t="str">
        <f t="array" ref="X1023">INDEX(xlRTTYNAME,MATCH(1,(xlRTTYENDU=1)*(xlRTTYEQCL=$D1023)*(xlRTEQTYPE=$E1023),0))</f>
        <v>DIST_FA1</v>
      </c>
      <c r="Y1023" s="7" t="str">
        <f t="array" ref="Y1023">INDEX(xlRTTYNAME,MATCH(1,(xlRTTYENDU=2)*(xlRTTYEQCL=$F1023)*(xlRTEQTYPE=$G1023),0))</f>
        <v>CENT_AIR1</v>
      </c>
    </row>
    <row r="1024" spans="2:25" ht="14.25" customHeight="1" x14ac:dyDescent="0.2">
      <c r="B1024" s="5">
        <v>4</v>
      </c>
      <c r="C1024" s="5">
        <v>2</v>
      </c>
      <c r="D1024" s="5">
        <v>7</v>
      </c>
      <c r="E1024" s="5">
        <v>22</v>
      </c>
      <c r="F1024" s="5">
        <v>2</v>
      </c>
      <c r="G1024" s="31">
        <v>4</v>
      </c>
      <c r="H1024" s="31">
        <v>2020</v>
      </c>
      <c r="I1024" s="96">
        <v>2050</v>
      </c>
      <c r="J1024" s="142">
        <v>1.0934999999999999</v>
      </c>
      <c r="K1024" s="142">
        <v>1.0435000000000001</v>
      </c>
      <c r="L1024" s="142">
        <v>0.86509999999999998</v>
      </c>
      <c r="M1024" s="142">
        <v>1.175</v>
      </c>
      <c r="N1024" s="142">
        <v>1.1696</v>
      </c>
      <c r="O1024" s="142">
        <v>1.0538000000000001</v>
      </c>
      <c r="P1024" s="26">
        <v>3013.1012638113507</v>
      </c>
      <c r="Q1024" s="35">
        <f t="array" ref="Q1024">SUM(IF(($S1024&gt;=4)*($C1024='TaxCred&amp;Subs'!$D$114:$D$121)*($H1024='TaxCred&amp;Subs'!$C$114:$C$121)*($H1024&lt;='TaxCred&amp;Subs'!$C$123),'TaxCred&amp;Subs'!$E$114:$E$121,0))</f>
        <v>0</v>
      </c>
      <c r="R1024" s="143">
        <v>0</v>
      </c>
      <c r="S1024" s="5">
        <v>2</v>
      </c>
      <c r="T1024" s="5" t="s">
        <v>220</v>
      </c>
      <c r="V1024" s="7" t="str">
        <f t="array" ref="V1024">INDEX(xlRTCLNAME,MATCH(1,(xlRTCLENDU=1)*(xlRTCLEQCL=$D1024),0))</f>
        <v>DIST_FA</v>
      </c>
      <c r="W1024" s="7" t="str">
        <f t="array" ref="W1024">INDEX(xlRTCLNAME,MATCH(1,(xlRTCLENDU=2)*(xlRTCLEQCL=$F1024),0))</f>
        <v>CENT_AIR</v>
      </c>
      <c r="X1024" s="7" t="str">
        <f t="array" ref="X1024">INDEX(xlRTTYNAME,MATCH(1,(xlRTTYENDU=1)*(xlRTTYEQCL=$D1024)*(xlRTEQTYPE=$E1024),0))</f>
        <v>DIST_FA1</v>
      </c>
      <c r="Y1024" s="7" t="str">
        <f t="array" ref="Y1024">INDEX(xlRTTYNAME,MATCH(1,(xlRTTYENDU=2)*(xlRTTYEQCL=$F1024)*(xlRTEQTYPE=$G1024),0))</f>
        <v>CENT_AIR1</v>
      </c>
    </row>
    <row r="1025" spans="2:25" ht="14.25" customHeight="1" x14ac:dyDescent="0.2">
      <c r="B1025" s="5">
        <v>5</v>
      </c>
      <c r="C1025" s="5">
        <v>2</v>
      </c>
      <c r="D1025" s="5">
        <v>7</v>
      </c>
      <c r="E1025" s="5">
        <v>22</v>
      </c>
      <c r="F1025" s="5">
        <v>2</v>
      </c>
      <c r="G1025" s="31">
        <v>4</v>
      </c>
      <c r="H1025" s="31">
        <v>2020</v>
      </c>
      <c r="I1025" s="96">
        <v>2050</v>
      </c>
      <c r="J1025" s="142">
        <v>1.1200000000000001</v>
      </c>
      <c r="K1025" s="142">
        <v>1.0391999999999999</v>
      </c>
      <c r="L1025" s="142">
        <v>0.56879999999999997</v>
      </c>
      <c r="M1025" s="142">
        <v>1.1000000000000001</v>
      </c>
      <c r="N1025" s="142">
        <v>1.2595000000000001</v>
      </c>
      <c r="O1025" s="142">
        <v>1.0538000000000001</v>
      </c>
      <c r="P1025" s="26">
        <v>2676.9677002447115</v>
      </c>
      <c r="Q1025" s="35">
        <f t="array" ref="Q1025">SUM(IF(($S1025&gt;=4)*($C1025='TaxCred&amp;Subs'!$D$114:$D$121)*($H1025='TaxCred&amp;Subs'!$C$114:$C$121)*($H1025&lt;='TaxCred&amp;Subs'!$C$123),'TaxCred&amp;Subs'!$E$114:$E$121,0))</f>
        <v>0</v>
      </c>
      <c r="R1025" s="143">
        <v>0</v>
      </c>
      <c r="S1025" s="5">
        <v>2</v>
      </c>
      <c r="T1025" s="5" t="s">
        <v>220</v>
      </c>
      <c r="V1025" s="7" t="str">
        <f t="array" ref="V1025">INDEX(xlRTCLNAME,MATCH(1,(xlRTCLENDU=1)*(xlRTCLEQCL=$D1025),0))</f>
        <v>DIST_FA</v>
      </c>
      <c r="W1025" s="7" t="str">
        <f t="array" ref="W1025">INDEX(xlRTCLNAME,MATCH(1,(xlRTCLENDU=2)*(xlRTCLEQCL=$F1025),0))</f>
        <v>CENT_AIR</v>
      </c>
      <c r="X1025" s="7" t="str">
        <f t="array" ref="X1025">INDEX(xlRTTYNAME,MATCH(1,(xlRTTYENDU=1)*(xlRTTYEQCL=$D1025)*(xlRTEQTYPE=$E1025),0))</f>
        <v>DIST_FA1</v>
      </c>
      <c r="Y1025" s="7" t="str">
        <f t="array" ref="Y1025">INDEX(xlRTTYNAME,MATCH(1,(xlRTTYENDU=2)*(xlRTTYEQCL=$F1025)*(xlRTEQTYPE=$G1025),0))</f>
        <v>CENT_AIR1</v>
      </c>
    </row>
    <row r="1026" spans="2:25" ht="14.25" customHeight="1" x14ac:dyDescent="0.2">
      <c r="B1026" s="5">
        <v>6</v>
      </c>
      <c r="C1026" s="5">
        <v>2</v>
      </c>
      <c r="D1026" s="5">
        <v>7</v>
      </c>
      <c r="E1026" s="5">
        <v>22</v>
      </c>
      <c r="F1026" s="5">
        <v>2</v>
      </c>
      <c r="G1026" s="31">
        <v>4</v>
      </c>
      <c r="H1026" s="31">
        <v>2020</v>
      </c>
      <c r="I1026" s="96">
        <v>2050</v>
      </c>
      <c r="J1026" s="142">
        <v>1.1200000000000001</v>
      </c>
      <c r="K1026" s="142">
        <v>1.03</v>
      </c>
      <c r="L1026" s="142">
        <v>0.94379999999999997</v>
      </c>
      <c r="M1026" s="142">
        <v>1.1455</v>
      </c>
      <c r="N1026" s="142">
        <v>1.3381000000000001</v>
      </c>
      <c r="O1026" s="142">
        <v>1.0538000000000001</v>
      </c>
      <c r="P1026" s="26">
        <v>2949.908153860822</v>
      </c>
      <c r="Q1026" s="35">
        <f t="array" ref="Q1026">SUM(IF(($S1026&gt;=4)*($C1026='TaxCred&amp;Subs'!$D$114:$D$121)*($H1026='TaxCred&amp;Subs'!$C$114:$C$121)*($H1026&lt;='TaxCred&amp;Subs'!$C$123),'TaxCred&amp;Subs'!$E$114:$E$121,0))</f>
        <v>0</v>
      </c>
      <c r="R1026" s="143">
        <v>0</v>
      </c>
      <c r="S1026" s="5">
        <v>2</v>
      </c>
      <c r="T1026" s="5" t="s">
        <v>220</v>
      </c>
      <c r="V1026" s="7" t="str">
        <f t="array" ref="V1026">INDEX(xlRTCLNAME,MATCH(1,(xlRTCLENDU=1)*(xlRTCLEQCL=$D1026),0))</f>
        <v>DIST_FA</v>
      </c>
      <c r="W1026" s="7" t="str">
        <f t="array" ref="W1026">INDEX(xlRTCLNAME,MATCH(1,(xlRTCLENDU=2)*(xlRTCLEQCL=$F1026),0))</f>
        <v>CENT_AIR</v>
      </c>
      <c r="X1026" s="7" t="str">
        <f t="array" ref="X1026">INDEX(xlRTTYNAME,MATCH(1,(xlRTTYENDU=1)*(xlRTTYEQCL=$D1026)*(xlRTEQTYPE=$E1026),0))</f>
        <v>DIST_FA1</v>
      </c>
      <c r="Y1026" s="7" t="str">
        <f t="array" ref="Y1026">INDEX(xlRTTYNAME,MATCH(1,(xlRTTYENDU=2)*(xlRTTYEQCL=$F1026)*(xlRTEQTYPE=$G1026),0))</f>
        <v>CENT_AIR1</v>
      </c>
    </row>
    <row r="1027" spans="2:25" ht="14.25" customHeight="1" x14ac:dyDescent="0.2">
      <c r="B1027" s="5">
        <v>7</v>
      </c>
      <c r="C1027" s="5">
        <v>2</v>
      </c>
      <c r="D1027" s="5">
        <v>7</v>
      </c>
      <c r="E1027" s="5">
        <v>22</v>
      </c>
      <c r="F1027" s="5">
        <v>2</v>
      </c>
      <c r="G1027" s="31">
        <v>4</v>
      </c>
      <c r="H1027" s="31">
        <v>2020</v>
      </c>
      <c r="I1027" s="96">
        <v>2050</v>
      </c>
      <c r="J1027" s="142">
        <v>1.1200000000000001</v>
      </c>
      <c r="K1027" s="142">
        <v>1.0476000000000001</v>
      </c>
      <c r="L1027" s="142">
        <v>0.86050000000000004</v>
      </c>
      <c r="M1027" s="142">
        <v>1.1431</v>
      </c>
      <c r="N1027" s="142">
        <v>1.4438</v>
      </c>
      <c r="O1027" s="142">
        <v>1.0538000000000001</v>
      </c>
      <c r="P1027" s="26">
        <v>1917.3058465841077</v>
      </c>
      <c r="Q1027" s="35">
        <f t="array" ref="Q1027">SUM(IF(($S1027&gt;=4)*($C1027='TaxCred&amp;Subs'!$D$114:$D$121)*($H1027='TaxCred&amp;Subs'!$C$114:$C$121)*($H1027&lt;='TaxCred&amp;Subs'!$C$123),'TaxCred&amp;Subs'!$E$114:$E$121,0))</f>
        <v>0</v>
      </c>
      <c r="R1027" s="143">
        <v>0</v>
      </c>
      <c r="S1027" s="5">
        <v>2</v>
      </c>
      <c r="T1027" s="5" t="s">
        <v>220</v>
      </c>
      <c r="V1027" s="7" t="str">
        <f t="array" ref="V1027">INDEX(xlRTCLNAME,MATCH(1,(xlRTCLENDU=1)*(xlRTCLEQCL=$D1027),0))</f>
        <v>DIST_FA</v>
      </c>
      <c r="W1027" s="7" t="str">
        <f t="array" ref="W1027">INDEX(xlRTCLNAME,MATCH(1,(xlRTCLENDU=2)*(xlRTCLEQCL=$F1027),0))</f>
        <v>CENT_AIR</v>
      </c>
      <c r="X1027" s="7" t="str">
        <f t="array" ref="X1027">INDEX(xlRTTYNAME,MATCH(1,(xlRTTYENDU=1)*(xlRTTYEQCL=$D1027)*(xlRTEQTYPE=$E1027),0))</f>
        <v>DIST_FA1</v>
      </c>
      <c r="Y1027" s="7" t="str">
        <f t="array" ref="Y1027">INDEX(xlRTTYNAME,MATCH(1,(xlRTTYENDU=2)*(xlRTTYEQCL=$F1027)*(xlRTEQTYPE=$G1027),0))</f>
        <v>CENT_AIR1</v>
      </c>
    </row>
    <row r="1028" spans="2:25" ht="14.25" customHeight="1" x14ac:dyDescent="0.2">
      <c r="B1028" s="5">
        <v>8</v>
      </c>
      <c r="C1028" s="5">
        <v>2</v>
      </c>
      <c r="D1028" s="5">
        <v>7</v>
      </c>
      <c r="E1028" s="5">
        <v>22</v>
      </c>
      <c r="F1028" s="5">
        <v>2</v>
      </c>
      <c r="G1028" s="31">
        <v>4</v>
      </c>
      <c r="H1028" s="31">
        <v>2020</v>
      </c>
      <c r="I1028" s="96">
        <v>2050</v>
      </c>
      <c r="J1028" s="142">
        <v>1.1064000000000001</v>
      </c>
      <c r="K1028" s="142">
        <v>1.0645</v>
      </c>
      <c r="L1028" s="142">
        <v>0.82289999999999996</v>
      </c>
      <c r="M1028" s="142">
        <v>1.2739</v>
      </c>
      <c r="N1028" s="142">
        <v>1.2826</v>
      </c>
      <c r="O1028" s="142">
        <v>1.0538000000000001</v>
      </c>
      <c r="P1028" s="26">
        <v>3213.4368676970671</v>
      </c>
      <c r="Q1028" s="35">
        <f t="array" ref="Q1028">SUM(IF(($S1028&gt;=4)*($C1028='TaxCred&amp;Subs'!$D$114:$D$121)*($H1028='TaxCred&amp;Subs'!$C$114:$C$121)*($H1028&lt;='TaxCred&amp;Subs'!$C$123),'TaxCred&amp;Subs'!$E$114:$E$121,0))</f>
        <v>0</v>
      </c>
      <c r="R1028" s="143">
        <v>0</v>
      </c>
      <c r="S1028" s="5">
        <v>2</v>
      </c>
      <c r="T1028" s="5" t="s">
        <v>220</v>
      </c>
      <c r="V1028" s="7" t="str">
        <f t="array" ref="V1028">INDEX(xlRTCLNAME,MATCH(1,(xlRTCLENDU=1)*(xlRTCLEQCL=$D1028),0))</f>
        <v>DIST_FA</v>
      </c>
      <c r="W1028" s="7" t="str">
        <f t="array" ref="W1028">INDEX(xlRTCLNAME,MATCH(1,(xlRTCLENDU=2)*(xlRTCLEQCL=$F1028),0))</f>
        <v>CENT_AIR</v>
      </c>
      <c r="X1028" s="7" t="str">
        <f t="array" ref="X1028">INDEX(xlRTTYNAME,MATCH(1,(xlRTTYENDU=1)*(xlRTTYEQCL=$D1028)*(xlRTEQTYPE=$E1028),0))</f>
        <v>DIST_FA1</v>
      </c>
      <c r="Y1028" s="7" t="str">
        <f t="array" ref="Y1028">INDEX(xlRTTYNAME,MATCH(1,(xlRTTYENDU=2)*(xlRTTYEQCL=$F1028)*(xlRTEQTYPE=$G1028),0))</f>
        <v>CENT_AIR1</v>
      </c>
    </row>
    <row r="1029" spans="2:25" ht="14.25" customHeight="1" x14ac:dyDescent="0.2">
      <c r="B1029" s="5">
        <v>9</v>
      </c>
      <c r="C1029" s="5">
        <v>2</v>
      </c>
      <c r="D1029" s="5">
        <v>7</v>
      </c>
      <c r="E1029" s="5">
        <v>22</v>
      </c>
      <c r="F1029" s="5">
        <v>2</v>
      </c>
      <c r="G1029" s="31">
        <v>4</v>
      </c>
      <c r="H1029" s="31">
        <v>2020</v>
      </c>
      <c r="I1029" s="96">
        <v>2050</v>
      </c>
      <c r="J1029" s="142">
        <v>1.03</v>
      </c>
      <c r="K1029" s="142">
        <v>1.0556000000000001</v>
      </c>
      <c r="L1029" s="142">
        <v>0.44379999999999997</v>
      </c>
      <c r="M1029" s="142">
        <v>1.2</v>
      </c>
      <c r="N1029" s="142">
        <v>1.4438</v>
      </c>
      <c r="O1029" s="142">
        <v>1.0538000000000001</v>
      </c>
      <c r="P1029" s="26">
        <v>3351.9238958865221</v>
      </c>
      <c r="Q1029" s="35">
        <f t="array" ref="Q1029">SUM(IF(($S1029&gt;=4)*($C1029='TaxCred&amp;Subs'!$D$114:$D$121)*($H1029='TaxCred&amp;Subs'!$C$114:$C$121)*($H1029&lt;='TaxCred&amp;Subs'!$C$123),'TaxCred&amp;Subs'!$E$114:$E$121,0))</f>
        <v>0</v>
      </c>
      <c r="R1029" s="143">
        <v>0</v>
      </c>
      <c r="S1029" s="5">
        <v>2</v>
      </c>
      <c r="T1029" s="5" t="s">
        <v>220</v>
      </c>
      <c r="V1029" s="7" t="str">
        <f t="array" ref="V1029">INDEX(xlRTCLNAME,MATCH(1,(xlRTCLENDU=1)*(xlRTCLEQCL=$D1029),0))</f>
        <v>DIST_FA</v>
      </c>
      <c r="W1029" s="7" t="str">
        <f t="array" ref="W1029">INDEX(xlRTCLNAME,MATCH(1,(xlRTCLENDU=2)*(xlRTCLEQCL=$F1029),0))</f>
        <v>CENT_AIR</v>
      </c>
      <c r="X1029" s="7" t="str">
        <f t="array" ref="X1029">INDEX(xlRTTYNAME,MATCH(1,(xlRTTYENDU=1)*(xlRTTYEQCL=$D1029)*(xlRTEQTYPE=$E1029),0))</f>
        <v>DIST_FA1</v>
      </c>
      <c r="Y1029" s="7" t="str">
        <f t="array" ref="Y1029">INDEX(xlRTTYNAME,MATCH(1,(xlRTTYENDU=2)*(xlRTTYEQCL=$F1029)*(xlRTEQTYPE=$G1029),0))</f>
        <v>CENT_AIR1</v>
      </c>
    </row>
    <row r="1030" spans="2:25" ht="14.25" customHeight="1" x14ac:dyDescent="0.2">
      <c r="B1030" s="5">
        <v>1</v>
      </c>
      <c r="C1030" s="5">
        <v>2</v>
      </c>
      <c r="D1030" s="5">
        <v>8</v>
      </c>
      <c r="E1030" s="5">
        <v>26</v>
      </c>
      <c r="F1030" s="5">
        <v>2</v>
      </c>
      <c r="G1030" s="31">
        <v>4</v>
      </c>
      <c r="H1030" s="31">
        <v>2020</v>
      </c>
      <c r="I1030" s="96">
        <v>2050</v>
      </c>
      <c r="J1030" s="142">
        <v>1.0864</v>
      </c>
      <c r="K1030" s="142">
        <v>1.0417000000000001</v>
      </c>
      <c r="L1030" s="142">
        <v>0.79600000000000004</v>
      </c>
      <c r="M1030" s="142">
        <v>1.1455</v>
      </c>
      <c r="N1030" s="142">
        <v>1.1156999999999999</v>
      </c>
      <c r="O1030" s="142">
        <v>1.0538000000000001</v>
      </c>
      <c r="P1030" s="26">
        <v>4090.0732014788609</v>
      </c>
      <c r="Q1030" s="35">
        <f t="array" ref="Q1030">SUM(IF(($S1030&gt;=4)*($C1030='TaxCred&amp;Subs'!$D$114:$D$121)*($H1030='TaxCred&amp;Subs'!$C$114:$C$121)*($H1030&lt;='TaxCred&amp;Subs'!$C$123),'TaxCred&amp;Subs'!$E$114:$E$121,0))</f>
        <v>0</v>
      </c>
      <c r="R1030" s="143">
        <v>0</v>
      </c>
      <c r="S1030" s="5">
        <v>2</v>
      </c>
      <c r="T1030" s="5" t="s">
        <v>220</v>
      </c>
      <c r="V1030" s="7" t="str">
        <f t="array" ref="V1030">INDEX(xlRTCLNAME,MATCH(1,(xlRTCLENDU=1)*(xlRTCLEQCL=$D1030),0))</f>
        <v>DIST_RAD</v>
      </c>
      <c r="W1030" s="7" t="str">
        <f t="array" ref="W1030">INDEX(xlRTCLNAME,MATCH(1,(xlRTCLENDU=2)*(xlRTCLEQCL=$F1030),0))</f>
        <v>CENT_AIR</v>
      </c>
      <c r="X1030" s="7" t="str">
        <f t="array" ref="X1030">INDEX(xlRTTYNAME,MATCH(1,(xlRTTYENDU=1)*(xlRTTYEQCL=$D1030)*(xlRTEQTYPE=$E1030),0))</f>
        <v>DIST_RAD1</v>
      </c>
      <c r="Y1030" s="7" t="str">
        <f t="array" ref="Y1030">INDEX(xlRTTYNAME,MATCH(1,(xlRTTYENDU=2)*(xlRTTYEQCL=$F1030)*(xlRTEQTYPE=$G1030),0))</f>
        <v>CENT_AIR1</v>
      </c>
    </row>
    <row r="1031" spans="2:25" ht="14.25" customHeight="1" x14ac:dyDescent="0.2">
      <c r="B1031" s="5">
        <v>2</v>
      </c>
      <c r="C1031" s="5">
        <v>2</v>
      </c>
      <c r="D1031" s="5">
        <v>8</v>
      </c>
      <c r="E1031" s="5">
        <v>26</v>
      </c>
      <c r="F1031" s="5">
        <v>2</v>
      </c>
      <c r="G1031" s="31">
        <v>4</v>
      </c>
      <c r="H1031" s="31">
        <v>2020</v>
      </c>
      <c r="I1031" s="96">
        <v>2050</v>
      </c>
      <c r="J1031" s="142">
        <v>1.0891</v>
      </c>
      <c r="K1031" s="142">
        <v>1.0713999999999999</v>
      </c>
      <c r="L1031" s="142">
        <v>1.0243</v>
      </c>
      <c r="M1031" s="142">
        <v>1.1834</v>
      </c>
      <c r="N1031" s="142">
        <v>1.1254999999999999</v>
      </c>
      <c r="O1031" s="142">
        <v>1.0538000000000001</v>
      </c>
      <c r="P1031" s="26">
        <v>2686.3794400245774</v>
      </c>
      <c r="Q1031" s="35">
        <f t="array" ref="Q1031">SUM(IF(($S1031&gt;=4)*($C1031='TaxCred&amp;Subs'!$D$114:$D$121)*($H1031='TaxCred&amp;Subs'!$C$114:$C$121)*($H1031&lt;='TaxCred&amp;Subs'!$C$123),'TaxCred&amp;Subs'!$E$114:$E$121,0))</f>
        <v>0</v>
      </c>
      <c r="R1031" s="143">
        <v>0</v>
      </c>
      <c r="S1031" s="5">
        <v>2</v>
      </c>
      <c r="T1031" s="5" t="s">
        <v>220</v>
      </c>
      <c r="V1031" s="7" t="str">
        <f t="array" ref="V1031">INDEX(xlRTCLNAME,MATCH(1,(xlRTCLENDU=1)*(xlRTCLEQCL=$D1031),0))</f>
        <v>DIST_RAD</v>
      </c>
      <c r="W1031" s="7" t="str">
        <f t="array" ref="W1031">INDEX(xlRTCLNAME,MATCH(1,(xlRTCLENDU=2)*(xlRTCLEQCL=$F1031),0))</f>
        <v>CENT_AIR</v>
      </c>
      <c r="X1031" s="7" t="str">
        <f t="array" ref="X1031">INDEX(xlRTTYNAME,MATCH(1,(xlRTTYENDU=1)*(xlRTTYEQCL=$D1031)*(xlRTEQTYPE=$E1031),0))</f>
        <v>DIST_RAD1</v>
      </c>
      <c r="Y1031" s="7" t="str">
        <f t="array" ref="Y1031">INDEX(xlRTTYNAME,MATCH(1,(xlRTTYENDU=2)*(xlRTTYEQCL=$F1031)*(xlRTEQTYPE=$G1031),0))</f>
        <v>CENT_AIR1</v>
      </c>
    </row>
    <row r="1032" spans="2:25" ht="14.25" customHeight="1" x14ac:dyDescent="0.2">
      <c r="B1032" s="5">
        <v>3</v>
      </c>
      <c r="C1032" s="5">
        <v>2</v>
      </c>
      <c r="D1032" s="5">
        <v>8</v>
      </c>
      <c r="E1032" s="5">
        <v>26</v>
      </c>
      <c r="F1032" s="5">
        <v>2</v>
      </c>
      <c r="G1032" s="31">
        <v>4</v>
      </c>
      <c r="H1032" s="31">
        <v>2020</v>
      </c>
      <c r="I1032" s="96">
        <v>2050</v>
      </c>
      <c r="J1032" s="142">
        <v>1.0962000000000001</v>
      </c>
      <c r="K1032" s="142">
        <v>1.0345</v>
      </c>
      <c r="L1032" s="142">
        <v>0.84689999999999999</v>
      </c>
      <c r="M1032" s="142">
        <v>1.1000000000000001</v>
      </c>
      <c r="N1032" s="142">
        <v>1.0417000000000001</v>
      </c>
      <c r="O1032" s="142">
        <v>1.0538000000000001</v>
      </c>
      <c r="P1032" s="26">
        <v>3255.1174295793303</v>
      </c>
      <c r="Q1032" s="35">
        <f t="array" ref="Q1032">SUM(IF(($S1032&gt;=4)*($C1032='TaxCred&amp;Subs'!$D$114:$D$121)*($H1032='TaxCred&amp;Subs'!$C$114:$C$121)*($H1032&lt;='TaxCred&amp;Subs'!$C$123),'TaxCred&amp;Subs'!$E$114:$E$121,0))</f>
        <v>0</v>
      </c>
      <c r="R1032" s="143">
        <v>0</v>
      </c>
      <c r="S1032" s="5">
        <v>2</v>
      </c>
      <c r="T1032" s="5" t="s">
        <v>220</v>
      </c>
      <c r="V1032" s="7" t="str">
        <f t="array" ref="V1032">INDEX(xlRTCLNAME,MATCH(1,(xlRTCLENDU=1)*(xlRTCLEQCL=$D1032),0))</f>
        <v>DIST_RAD</v>
      </c>
      <c r="W1032" s="7" t="str">
        <f t="array" ref="W1032">INDEX(xlRTCLNAME,MATCH(1,(xlRTCLENDU=2)*(xlRTCLEQCL=$F1032),0))</f>
        <v>CENT_AIR</v>
      </c>
      <c r="X1032" s="7" t="str">
        <f t="array" ref="X1032">INDEX(xlRTTYNAME,MATCH(1,(xlRTTYENDU=1)*(xlRTTYEQCL=$D1032)*(xlRTEQTYPE=$E1032),0))</f>
        <v>DIST_RAD1</v>
      </c>
      <c r="Y1032" s="7" t="str">
        <f t="array" ref="Y1032">INDEX(xlRTTYNAME,MATCH(1,(xlRTTYENDU=2)*(xlRTTYEQCL=$F1032)*(xlRTEQTYPE=$G1032),0))</f>
        <v>CENT_AIR1</v>
      </c>
    </row>
    <row r="1033" spans="2:25" ht="14.25" customHeight="1" x14ac:dyDescent="0.2">
      <c r="B1033" s="5">
        <v>4</v>
      </c>
      <c r="C1033" s="5">
        <v>2</v>
      </c>
      <c r="D1033" s="5">
        <v>8</v>
      </c>
      <c r="E1033" s="5">
        <v>26</v>
      </c>
      <c r="F1033" s="5">
        <v>2</v>
      </c>
      <c r="G1033" s="31">
        <v>4</v>
      </c>
      <c r="H1033" s="31">
        <v>2020</v>
      </c>
      <c r="I1033" s="96">
        <v>2050</v>
      </c>
      <c r="J1033" s="142">
        <v>1.1024</v>
      </c>
      <c r="K1033" s="142">
        <v>1.0435000000000001</v>
      </c>
      <c r="L1033" s="142">
        <v>1.0007999999999999</v>
      </c>
      <c r="M1033" s="142">
        <v>1.175</v>
      </c>
      <c r="N1033" s="142">
        <v>1.1678999999999999</v>
      </c>
      <c r="O1033" s="142">
        <v>1.0538000000000001</v>
      </c>
      <c r="P1033" s="26">
        <v>2816.7992626884329</v>
      </c>
      <c r="Q1033" s="35">
        <f t="array" ref="Q1033">SUM(IF(($S1033&gt;=4)*($C1033='TaxCred&amp;Subs'!$D$114:$D$121)*($H1033='TaxCred&amp;Subs'!$C$114:$C$121)*($H1033&lt;='TaxCred&amp;Subs'!$C$123),'TaxCred&amp;Subs'!$E$114:$E$121,0))</f>
        <v>0</v>
      </c>
      <c r="R1033" s="143">
        <v>0</v>
      </c>
      <c r="S1033" s="5">
        <v>2</v>
      </c>
      <c r="T1033" s="5" t="s">
        <v>220</v>
      </c>
      <c r="V1033" s="7" t="str">
        <f t="array" ref="V1033">INDEX(xlRTCLNAME,MATCH(1,(xlRTCLENDU=1)*(xlRTCLEQCL=$D1033),0))</f>
        <v>DIST_RAD</v>
      </c>
      <c r="W1033" s="7" t="str">
        <f t="array" ref="W1033">INDEX(xlRTCLNAME,MATCH(1,(xlRTCLENDU=2)*(xlRTCLEQCL=$F1033),0))</f>
        <v>CENT_AIR</v>
      </c>
      <c r="X1033" s="7" t="str">
        <f t="array" ref="X1033">INDEX(xlRTTYNAME,MATCH(1,(xlRTTYENDU=1)*(xlRTTYEQCL=$D1033)*(xlRTEQTYPE=$E1033),0))</f>
        <v>DIST_RAD1</v>
      </c>
      <c r="Y1033" s="7" t="str">
        <f t="array" ref="Y1033">INDEX(xlRTTYNAME,MATCH(1,(xlRTTYENDU=2)*(xlRTTYEQCL=$F1033)*(xlRTEQTYPE=$G1033),0))</f>
        <v>CENT_AIR1</v>
      </c>
    </row>
    <row r="1034" spans="2:25" ht="14.25" customHeight="1" x14ac:dyDescent="0.2">
      <c r="B1034" s="5">
        <v>5</v>
      </c>
      <c r="C1034" s="5">
        <v>2</v>
      </c>
      <c r="D1034" s="5">
        <v>8</v>
      </c>
      <c r="E1034" s="5">
        <v>26</v>
      </c>
      <c r="F1034" s="5">
        <v>2</v>
      </c>
      <c r="G1034" s="31">
        <v>4</v>
      </c>
      <c r="H1034" s="31">
        <v>2020</v>
      </c>
      <c r="I1034" s="96">
        <v>2050</v>
      </c>
      <c r="J1034" s="142">
        <v>1.03</v>
      </c>
      <c r="K1034" s="142">
        <v>1.03</v>
      </c>
      <c r="L1034" s="142">
        <v>0.67459999999999998</v>
      </c>
      <c r="M1034" s="142">
        <v>1.1097999999999999</v>
      </c>
      <c r="N1034" s="142">
        <v>1.3003</v>
      </c>
      <c r="O1034" s="142">
        <v>1.0538000000000001</v>
      </c>
      <c r="P1034" s="26">
        <v>2395.9600411030015</v>
      </c>
      <c r="Q1034" s="35">
        <f t="array" ref="Q1034">SUM(IF(($S1034&gt;=4)*($C1034='TaxCred&amp;Subs'!$D$114:$D$121)*($H1034='TaxCred&amp;Subs'!$C$114:$C$121)*($H1034&lt;='TaxCred&amp;Subs'!$C$123),'TaxCred&amp;Subs'!$E$114:$E$121,0))</f>
        <v>0</v>
      </c>
      <c r="R1034" s="143">
        <v>0</v>
      </c>
      <c r="S1034" s="5">
        <v>2</v>
      </c>
      <c r="T1034" s="5" t="s">
        <v>220</v>
      </c>
      <c r="V1034" s="7" t="str">
        <f t="array" ref="V1034">INDEX(xlRTCLNAME,MATCH(1,(xlRTCLENDU=1)*(xlRTCLEQCL=$D1034),0))</f>
        <v>DIST_RAD</v>
      </c>
      <c r="W1034" s="7" t="str">
        <f t="array" ref="W1034">INDEX(xlRTCLNAME,MATCH(1,(xlRTCLENDU=2)*(xlRTCLEQCL=$F1034),0))</f>
        <v>CENT_AIR</v>
      </c>
      <c r="X1034" s="7" t="str">
        <f t="array" ref="X1034">INDEX(xlRTTYNAME,MATCH(1,(xlRTTYENDU=1)*(xlRTTYEQCL=$D1034)*(xlRTEQTYPE=$E1034),0))</f>
        <v>DIST_RAD1</v>
      </c>
      <c r="Y1034" s="7" t="str">
        <f t="array" ref="Y1034">INDEX(xlRTTYNAME,MATCH(1,(xlRTTYENDU=2)*(xlRTTYEQCL=$F1034)*(xlRTEQTYPE=$G1034),0))</f>
        <v>CENT_AIR1</v>
      </c>
    </row>
    <row r="1035" spans="2:25" ht="14.25" customHeight="1" x14ac:dyDescent="0.2">
      <c r="B1035" s="5">
        <v>6</v>
      </c>
      <c r="C1035" s="5">
        <v>2</v>
      </c>
      <c r="D1035" s="5">
        <v>8</v>
      </c>
      <c r="E1035" s="5">
        <v>26</v>
      </c>
      <c r="F1035" s="5">
        <v>2</v>
      </c>
      <c r="G1035" s="31">
        <v>4</v>
      </c>
      <c r="H1035" s="31">
        <v>2020</v>
      </c>
      <c r="I1035" s="96">
        <v>2050</v>
      </c>
      <c r="J1035" s="142">
        <v>1.1200000000000001</v>
      </c>
      <c r="K1035" s="142">
        <v>1.0417000000000001</v>
      </c>
      <c r="L1035" s="142">
        <v>1.0438000000000001</v>
      </c>
      <c r="M1035" s="142">
        <v>1.1455</v>
      </c>
      <c r="N1035" s="142">
        <v>1.3656999999999999</v>
      </c>
      <c r="O1035" s="142">
        <v>1.0538000000000001</v>
      </c>
      <c r="P1035" s="26">
        <v>2686.3794400245774</v>
      </c>
      <c r="Q1035" s="35">
        <f t="array" ref="Q1035">SUM(IF(($S1035&gt;=4)*($C1035='TaxCred&amp;Subs'!$D$114:$D$121)*($H1035='TaxCred&amp;Subs'!$C$114:$C$121)*($H1035&lt;='TaxCred&amp;Subs'!$C$123),'TaxCred&amp;Subs'!$E$114:$E$121,0))</f>
        <v>0</v>
      </c>
      <c r="R1035" s="143">
        <v>0</v>
      </c>
      <c r="S1035" s="5">
        <v>2</v>
      </c>
      <c r="T1035" s="5" t="s">
        <v>220</v>
      </c>
      <c r="V1035" s="7" t="str">
        <f t="array" ref="V1035">INDEX(xlRTCLNAME,MATCH(1,(xlRTCLENDU=1)*(xlRTCLEQCL=$D1035),0))</f>
        <v>DIST_RAD</v>
      </c>
      <c r="W1035" s="7" t="str">
        <f t="array" ref="W1035">INDEX(xlRTCLNAME,MATCH(1,(xlRTCLENDU=2)*(xlRTCLEQCL=$F1035),0))</f>
        <v>CENT_AIR</v>
      </c>
      <c r="X1035" s="7" t="str">
        <f t="array" ref="X1035">INDEX(xlRTTYNAME,MATCH(1,(xlRTTYENDU=1)*(xlRTTYEQCL=$D1035)*(xlRTEQTYPE=$E1035),0))</f>
        <v>DIST_RAD1</v>
      </c>
      <c r="Y1035" s="7" t="str">
        <f t="array" ref="Y1035">INDEX(xlRTTYNAME,MATCH(1,(xlRTTYENDU=2)*(xlRTTYEQCL=$F1035)*(xlRTEQTYPE=$G1035),0))</f>
        <v>CENT_AIR1</v>
      </c>
    </row>
    <row r="1036" spans="2:25" ht="14.25" customHeight="1" x14ac:dyDescent="0.2">
      <c r="B1036" s="5">
        <v>7</v>
      </c>
      <c r="C1036" s="5">
        <v>2</v>
      </c>
      <c r="D1036" s="5">
        <v>8</v>
      </c>
      <c r="E1036" s="5">
        <v>26</v>
      </c>
      <c r="F1036" s="5">
        <v>2</v>
      </c>
      <c r="G1036" s="31">
        <v>4</v>
      </c>
      <c r="H1036" s="31">
        <v>2020</v>
      </c>
      <c r="I1036" s="96">
        <v>2050</v>
      </c>
      <c r="J1036" s="142">
        <v>1.1200000000000001</v>
      </c>
      <c r="K1036" s="142">
        <v>1.0462</v>
      </c>
      <c r="L1036" s="142">
        <v>0.74380000000000002</v>
      </c>
      <c r="M1036" s="142">
        <v>1.1604000000000001</v>
      </c>
      <c r="N1036" s="142">
        <v>1.4438</v>
      </c>
      <c r="O1036" s="142">
        <v>1.0538000000000001</v>
      </c>
      <c r="P1036" s="26">
        <v>1804.3649692257172</v>
      </c>
      <c r="Q1036" s="35">
        <f t="array" ref="Q1036">SUM(IF(($S1036&gt;=4)*($C1036='TaxCred&amp;Subs'!$D$114:$D$121)*($H1036='TaxCred&amp;Subs'!$C$114:$C$121)*($H1036&lt;='TaxCred&amp;Subs'!$C$123),'TaxCred&amp;Subs'!$E$114:$E$121,0))</f>
        <v>0</v>
      </c>
      <c r="R1036" s="143">
        <v>0</v>
      </c>
      <c r="S1036" s="5">
        <v>2</v>
      </c>
      <c r="T1036" s="5" t="s">
        <v>220</v>
      </c>
      <c r="V1036" s="7" t="str">
        <f t="array" ref="V1036">INDEX(xlRTCLNAME,MATCH(1,(xlRTCLENDU=1)*(xlRTCLEQCL=$D1036),0))</f>
        <v>DIST_RAD</v>
      </c>
      <c r="W1036" s="7" t="str">
        <f t="array" ref="W1036">INDEX(xlRTCLNAME,MATCH(1,(xlRTCLENDU=2)*(xlRTCLEQCL=$F1036),0))</f>
        <v>CENT_AIR</v>
      </c>
      <c r="X1036" s="7" t="str">
        <f t="array" ref="X1036">INDEX(xlRTTYNAME,MATCH(1,(xlRTTYENDU=1)*(xlRTTYEQCL=$D1036)*(xlRTEQTYPE=$E1036),0))</f>
        <v>DIST_RAD1</v>
      </c>
      <c r="Y1036" s="7" t="str">
        <f t="array" ref="Y1036">INDEX(xlRTTYNAME,MATCH(1,(xlRTTYENDU=2)*(xlRTTYEQCL=$F1036)*(xlRTEQTYPE=$G1036),0))</f>
        <v>CENT_AIR1</v>
      </c>
    </row>
    <row r="1037" spans="2:25" ht="14.25" customHeight="1" x14ac:dyDescent="0.2">
      <c r="B1037" s="5">
        <v>8</v>
      </c>
      <c r="C1037" s="5">
        <v>2</v>
      </c>
      <c r="D1037" s="5">
        <v>8</v>
      </c>
      <c r="E1037" s="5">
        <v>26</v>
      </c>
      <c r="F1037" s="5">
        <v>2</v>
      </c>
      <c r="G1037" s="31">
        <v>4</v>
      </c>
      <c r="H1037" s="31">
        <v>2020</v>
      </c>
      <c r="I1037" s="96">
        <v>2050</v>
      </c>
      <c r="J1037" s="142">
        <v>1.1045</v>
      </c>
      <c r="K1037" s="142">
        <v>1.0323</v>
      </c>
      <c r="L1037" s="142">
        <v>0.97560000000000002</v>
      </c>
      <c r="M1037" s="142">
        <v>1.2739</v>
      </c>
      <c r="N1037" s="142">
        <v>1.2847999999999999</v>
      </c>
      <c r="O1037" s="142">
        <v>1.0538000000000001</v>
      </c>
      <c r="P1037" s="26">
        <v>2988.8996472345525</v>
      </c>
      <c r="Q1037" s="35">
        <f t="array" ref="Q1037">SUM(IF(($S1037&gt;=4)*($C1037='TaxCred&amp;Subs'!$D$114:$D$121)*($H1037='TaxCred&amp;Subs'!$C$114:$C$121)*($H1037&lt;='TaxCred&amp;Subs'!$C$123),'TaxCred&amp;Subs'!$E$114:$E$121,0))</f>
        <v>0</v>
      </c>
      <c r="R1037" s="143">
        <v>0</v>
      </c>
      <c r="S1037" s="5">
        <v>2</v>
      </c>
      <c r="T1037" s="5" t="s">
        <v>220</v>
      </c>
      <c r="V1037" s="7" t="str">
        <f t="array" ref="V1037">INDEX(xlRTCLNAME,MATCH(1,(xlRTCLENDU=1)*(xlRTCLEQCL=$D1037),0))</f>
        <v>DIST_RAD</v>
      </c>
      <c r="W1037" s="7" t="str">
        <f t="array" ref="W1037">INDEX(xlRTCLNAME,MATCH(1,(xlRTCLENDU=2)*(xlRTCLEQCL=$F1037),0))</f>
        <v>CENT_AIR</v>
      </c>
      <c r="X1037" s="7" t="str">
        <f t="array" ref="X1037">INDEX(xlRTTYNAME,MATCH(1,(xlRTTYENDU=1)*(xlRTTYEQCL=$D1037)*(xlRTEQTYPE=$E1037),0))</f>
        <v>DIST_RAD1</v>
      </c>
      <c r="Y1037" s="7" t="str">
        <f t="array" ref="Y1037">INDEX(xlRTTYNAME,MATCH(1,(xlRTTYENDU=2)*(xlRTTYEQCL=$F1037)*(xlRTEQTYPE=$G1037),0))</f>
        <v>CENT_AIR1</v>
      </c>
    </row>
    <row r="1038" spans="2:25" ht="14.25" customHeight="1" x14ac:dyDescent="0.2">
      <c r="B1038" s="5">
        <v>9</v>
      </c>
      <c r="C1038" s="5">
        <v>2</v>
      </c>
      <c r="D1038" s="5">
        <v>8</v>
      </c>
      <c r="E1038" s="5">
        <v>26</v>
      </c>
      <c r="F1038" s="5">
        <v>2</v>
      </c>
      <c r="G1038" s="31">
        <v>4</v>
      </c>
      <c r="H1038" s="31">
        <v>2020</v>
      </c>
      <c r="I1038" s="96">
        <v>2050</v>
      </c>
      <c r="J1038" s="142">
        <v>1.1200000000000001</v>
      </c>
      <c r="K1038" s="142">
        <v>1.0541</v>
      </c>
      <c r="L1038" s="142">
        <v>0.84379999999999999</v>
      </c>
      <c r="M1038" s="142">
        <v>1.2166999999999999</v>
      </c>
      <c r="N1038" s="142">
        <v>1.4438</v>
      </c>
      <c r="O1038" s="142">
        <v>1.0538000000000001</v>
      </c>
      <c r="P1038" s="26">
        <v>2564.026822886321</v>
      </c>
      <c r="Q1038" s="35">
        <f t="array" ref="Q1038">SUM(IF(($S1038&gt;=4)*($C1038='TaxCred&amp;Subs'!$D$114:$D$121)*($H1038='TaxCred&amp;Subs'!$C$114:$C$121)*($H1038&lt;='TaxCred&amp;Subs'!$C$123),'TaxCred&amp;Subs'!$E$114:$E$121,0))</f>
        <v>0</v>
      </c>
      <c r="R1038" s="143">
        <v>0</v>
      </c>
      <c r="S1038" s="5">
        <v>2</v>
      </c>
      <c r="T1038" s="5" t="s">
        <v>220</v>
      </c>
      <c r="V1038" s="7" t="str">
        <f t="array" ref="V1038">INDEX(xlRTCLNAME,MATCH(1,(xlRTCLENDU=1)*(xlRTCLEQCL=$D1038),0))</f>
        <v>DIST_RAD</v>
      </c>
      <c r="W1038" s="7" t="str">
        <f t="array" ref="W1038">INDEX(xlRTCLNAME,MATCH(1,(xlRTCLENDU=2)*(xlRTCLEQCL=$F1038),0))</f>
        <v>CENT_AIR</v>
      </c>
      <c r="X1038" s="7" t="str">
        <f t="array" ref="X1038">INDEX(xlRTTYNAME,MATCH(1,(xlRTTYENDU=1)*(xlRTTYEQCL=$D1038)*(xlRTEQTYPE=$E1038),0))</f>
        <v>DIST_RAD1</v>
      </c>
      <c r="Y1038" s="7" t="str">
        <f t="array" ref="Y1038">INDEX(xlRTTYNAME,MATCH(1,(xlRTTYENDU=2)*(xlRTTYEQCL=$F1038)*(xlRTEQTYPE=$G1038),0))</f>
        <v>CENT_AIR1</v>
      </c>
    </row>
    <row r="1039" spans="2:25" ht="14.25" customHeight="1" x14ac:dyDescent="0.2">
      <c r="B1039" s="5">
        <v>1</v>
      </c>
      <c r="C1039" s="5">
        <v>2</v>
      </c>
      <c r="D1039" s="5">
        <v>9</v>
      </c>
      <c r="E1039" s="31">
        <v>29</v>
      </c>
      <c r="F1039" s="5">
        <v>2</v>
      </c>
      <c r="G1039" s="31">
        <v>4</v>
      </c>
      <c r="H1039" s="31">
        <v>2020</v>
      </c>
      <c r="I1039" s="96">
        <v>2050</v>
      </c>
      <c r="J1039" s="142">
        <v>1.0864</v>
      </c>
      <c r="K1039" s="142">
        <v>1.0417000000000001</v>
      </c>
      <c r="L1039" s="142">
        <v>0.79600000000000004</v>
      </c>
      <c r="M1039" s="142">
        <v>1.1455</v>
      </c>
      <c r="N1039" s="142">
        <v>1.1156999999999999</v>
      </c>
      <c r="O1039" s="142">
        <v>1.0538000000000001</v>
      </c>
      <c r="P1039" s="26">
        <v>4090.0732014788609</v>
      </c>
      <c r="Q1039" s="35">
        <f t="array" ref="Q1039">SUM(IF(($S1039&gt;=4)*($C1039='TaxCred&amp;Subs'!$D$114:$D$121)*($H1039='TaxCred&amp;Subs'!$C$114:$C$121)*($H1039&lt;='TaxCred&amp;Subs'!$C$123),'TaxCred&amp;Subs'!$E$114:$E$121,0))</f>
        <v>0</v>
      </c>
      <c r="R1039" s="143">
        <v>0</v>
      </c>
      <c r="S1039" s="5">
        <v>2</v>
      </c>
      <c r="T1039" s="5" t="s">
        <v>220</v>
      </c>
      <c r="V1039" s="7" t="str">
        <f t="array" ref="V1039">INDEX(xlRTCLNAME,MATCH(1,(xlRTCLENDU=1)*(xlRTCLEQCL=$D1039),0))</f>
        <v>WOOD_HT</v>
      </c>
      <c r="W1039" s="7" t="str">
        <f t="array" ref="W1039">INDEX(xlRTCLNAME,MATCH(1,(xlRTCLENDU=2)*(xlRTCLEQCL=$F1039),0))</f>
        <v>CENT_AIR</v>
      </c>
      <c r="X1039" s="7" t="str">
        <f t="array" ref="X1039">INDEX(xlRTTYNAME,MATCH(1,(xlRTTYENDU=1)*(xlRTTYEQCL=$D1039)*(xlRTEQTYPE=$E1039),0))</f>
        <v>WOOD_HT2</v>
      </c>
      <c r="Y1039" s="7" t="str">
        <f t="array" ref="Y1039">INDEX(xlRTTYNAME,MATCH(1,(xlRTTYENDU=2)*(xlRTTYEQCL=$F1039)*(xlRTEQTYPE=$G1039),0))</f>
        <v>CENT_AIR1</v>
      </c>
    </row>
    <row r="1040" spans="2:25" ht="14.25" customHeight="1" x14ac:dyDescent="0.2">
      <c r="B1040" s="5">
        <v>2</v>
      </c>
      <c r="C1040" s="5">
        <v>2</v>
      </c>
      <c r="D1040" s="5">
        <v>9</v>
      </c>
      <c r="E1040" s="31">
        <v>29</v>
      </c>
      <c r="F1040" s="5">
        <v>2</v>
      </c>
      <c r="G1040" s="31">
        <v>4</v>
      </c>
      <c r="H1040" s="31">
        <v>2020</v>
      </c>
      <c r="I1040" s="96">
        <v>2050</v>
      </c>
      <c r="J1040" s="142">
        <v>1.0891</v>
      </c>
      <c r="K1040" s="142">
        <v>1.0713999999999999</v>
      </c>
      <c r="L1040" s="142">
        <v>1.0243</v>
      </c>
      <c r="M1040" s="142">
        <v>1.1834</v>
      </c>
      <c r="N1040" s="142">
        <v>1.1254999999999999</v>
      </c>
      <c r="O1040" s="142">
        <v>1.0538000000000001</v>
      </c>
      <c r="P1040" s="26">
        <v>2686.3794400245774</v>
      </c>
      <c r="Q1040" s="35">
        <f t="array" ref="Q1040">SUM(IF(($S1040&gt;=4)*($C1040='TaxCred&amp;Subs'!$D$114:$D$121)*($H1040='TaxCred&amp;Subs'!$C$114:$C$121)*($H1040&lt;='TaxCred&amp;Subs'!$C$123),'TaxCred&amp;Subs'!$E$114:$E$121,0))</f>
        <v>0</v>
      </c>
      <c r="R1040" s="143">
        <v>0</v>
      </c>
      <c r="S1040" s="5">
        <v>2</v>
      </c>
      <c r="T1040" s="5" t="s">
        <v>220</v>
      </c>
      <c r="V1040" s="7" t="str">
        <f t="array" ref="V1040">INDEX(xlRTCLNAME,MATCH(1,(xlRTCLENDU=1)*(xlRTCLEQCL=$D1040),0))</f>
        <v>WOOD_HT</v>
      </c>
      <c r="W1040" s="7" t="str">
        <f t="array" ref="W1040">INDEX(xlRTCLNAME,MATCH(1,(xlRTCLENDU=2)*(xlRTCLEQCL=$F1040),0))</f>
        <v>CENT_AIR</v>
      </c>
      <c r="X1040" s="7" t="str">
        <f t="array" ref="X1040">INDEX(xlRTTYNAME,MATCH(1,(xlRTTYENDU=1)*(xlRTTYEQCL=$D1040)*(xlRTEQTYPE=$E1040),0))</f>
        <v>WOOD_HT2</v>
      </c>
      <c r="Y1040" s="7" t="str">
        <f t="array" ref="Y1040">INDEX(xlRTTYNAME,MATCH(1,(xlRTTYENDU=2)*(xlRTTYEQCL=$F1040)*(xlRTEQTYPE=$G1040),0))</f>
        <v>CENT_AIR1</v>
      </c>
    </row>
    <row r="1041" spans="2:25" ht="14.25" customHeight="1" x14ac:dyDescent="0.2">
      <c r="B1041" s="5">
        <v>3</v>
      </c>
      <c r="C1041" s="5">
        <v>2</v>
      </c>
      <c r="D1041" s="5">
        <v>9</v>
      </c>
      <c r="E1041" s="31">
        <v>29</v>
      </c>
      <c r="F1041" s="5">
        <v>2</v>
      </c>
      <c r="G1041" s="31">
        <v>4</v>
      </c>
      <c r="H1041" s="31">
        <v>2020</v>
      </c>
      <c r="I1041" s="96">
        <v>2050</v>
      </c>
      <c r="J1041" s="142">
        <v>1.0962000000000001</v>
      </c>
      <c r="K1041" s="142">
        <v>1.0345</v>
      </c>
      <c r="L1041" s="142">
        <v>0.84689999999999999</v>
      </c>
      <c r="M1041" s="142">
        <v>1.1000000000000001</v>
      </c>
      <c r="N1041" s="142">
        <v>1.0417000000000001</v>
      </c>
      <c r="O1041" s="142">
        <v>1.0538000000000001</v>
      </c>
      <c r="P1041" s="26">
        <v>3255.1174295793303</v>
      </c>
      <c r="Q1041" s="35">
        <f t="array" ref="Q1041">SUM(IF(($S1041&gt;=4)*($C1041='TaxCred&amp;Subs'!$D$114:$D$121)*($H1041='TaxCred&amp;Subs'!$C$114:$C$121)*($H1041&lt;='TaxCred&amp;Subs'!$C$123),'TaxCred&amp;Subs'!$E$114:$E$121,0))</f>
        <v>0</v>
      </c>
      <c r="R1041" s="143">
        <v>0</v>
      </c>
      <c r="S1041" s="5">
        <v>2</v>
      </c>
      <c r="T1041" s="5" t="s">
        <v>220</v>
      </c>
      <c r="V1041" s="7" t="str">
        <f t="array" ref="V1041">INDEX(xlRTCLNAME,MATCH(1,(xlRTCLENDU=1)*(xlRTCLEQCL=$D1041),0))</f>
        <v>WOOD_HT</v>
      </c>
      <c r="W1041" s="7" t="str">
        <f t="array" ref="W1041">INDEX(xlRTCLNAME,MATCH(1,(xlRTCLENDU=2)*(xlRTCLEQCL=$F1041),0))</f>
        <v>CENT_AIR</v>
      </c>
      <c r="X1041" s="7" t="str">
        <f t="array" ref="X1041">INDEX(xlRTTYNAME,MATCH(1,(xlRTTYENDU=1)*(xlRTTYEQCL=$D1041)*(xlRTEQTYPE=$E1041),0))</f>
        <v>WOOD_HT2</v>
      </c>
      <c r="Y1041" s="7" t="str">
        <f t="array" ref="Y1041">INDEX(xlRTTYNAME,MATCH(1,(xlRTTYENDU=2)*(xlRTTYEQCL=$F1041)*(xlRTEQTYPE=$G1041),0))</f>
        <v>CENT_AIR1</v>
      </c>
    </row>
    <row r="1042" spans="2:25" ht="14.25" customHeight="1" x14ac:dyDescent="0.2">
      <c r="B1042" s="5">
        <v>4</v>
      </c>
      <c r="C1042" s="5">
        <v>2</v>
      </c>
      <c r="D1042" s="5">
        <v>9</v>
      </c>
      <c r="E1042" s="31">
        <v>29</v>
      </c>
      <c r="F1042" s="5">
        <v>2</v>
      </c>
      <c r="G1042" s="31">
        <v>4</v>
      </c>
      <c r="H1042" s="31">
        <v>2020</v>
      </c>
      <c r="I1042" s="96">
        <v>2050</v>
      </c>
      <c r="J1042" s="142">
        <v>1.1024</v>
      </c>
      <c r="K1042" s="142">
        <v>1.0435000000000001</v>
      </c>
      <c r="L1042" s="142">
        <v>1.0007999999999999</v>
      </c>
      <c r="M1042" s="142">
        <v>1.175</v>
      </c>
      <c r="N1042" s="142">
        <v>1.1678999999999999</v>
      </c>
      <c r="O1042" s="142">
        <v>1.0538000000000001</v>
      </c>
      <c r="P1042" s="26">
        <v>2816.7992626884329</v>
      </c>
      <c r="Q1042" s="35">
        <f t="array" ref="Q1042">SUM(IF(($S1042&gt;=4)*($C1042='TaxCred&amp;Subs'!$D$114:$D$121)*($H1042='TaxCred&amp;Subs'!$C$114:$C$121)*($H1042&lt;='TaxCred&amp;Subs'!$C$123),'TaxCred&amp;Subs'!$E$114:$E$121,0))</f>
        <v>0</v>
      </c>
      <c r="R1042" s="143">
        <v>0</v>
      </c>
      <c r="S1042" s="5">
        <v>2</v>
      </c>
      <c r="T1042" s="5" t="s">
        <v>220</v>
      </c>
      <c r="V1042" s="7" t="str">
        <f t="array" ref="V1042">INDEX(xlRTCLNAME,MATCH(1,(xlRTCLENDU=1)*(xlRTCLEQCL=$D1042),0))</f>
        <v>WOOD_HT</v>
      </c>
      <c r="W1042" s="7" t="str">
        <f t="array" ref="W1042">INDEX(xlRTCLNAME,MATCH(1,(xlRTCLENDU=2)*(xlRTCLEQCL=$F1042),0))</f>
        <v>CENT_AIR</v>
      </c>
      <c r="X1042" s="7" t="str">
        <f t="array" ref="X1042">INDEX(xlRTTYNAME,MATCH(1,(xlRTTYENDU=1)*(xlRTTYEQCL=$D1042)*(xlRTEQTYPE=$E1042),0))</f>
        <v>WOOD_HT2</v>
      </c>
      <c r="Y1042" s="7" t="str">
        <f t="array" ref="Y1042">INDEX(xlRTTYNAME,MATCH(1,(xlRTTYENDU=2)*(xlRTTYEQCL=$F1042)*(xlRTEQTYPE=$G1042),0))</f>
        <v>CENT_AIR1</v>
      </c>
    </row>
    <row r="1043" spans="2:25" ht="14.25" customHeight="1" x14ac:dyDescent="0.2">
      <c r="B1043" s="5">
        <v>5</v>
      </c>
      <c r="C1043" s="5">
        <v>2</v>
      </c>
      <c r="D1043" s="5">
        <v>9</v>
      </c>
      <c r="E1043" s="31">
        <v>29</v>
      </c>
      <c r="F1043" s="5">
        <v>2</v>
      </c>
      <c r="G1043" s="31">
        <v>4</v>
      </c>
      <c r="H1043" s="31">
        <v>2020</v>
      </c>
      <c r="I1043" s="96">
        <v>2050</v>
      </c>
      <c r="J1043" s="142">
        <v>1.03</v>
      </c>
      <c r="K1043" s="142">
        <v>1.03</v>
      </c>
      <c r="L1043" s="142">
        <v>0.67459999999999998</v>
      </c>
      <c r="M1043" s="142">
        <v>1.1097999999999999</v>
      </c>
      <c r="N1043" s="142">
        <v>1.3003</v>
      </c>
      <c r="O1043" s="142">
        <v>1.0538000000000001</v>
      </c>
      <c r="P1043" s="26">
        <v>2395.9600411030015</v>
      </c>
      <c r="Q1043" s="35">
        <f t="array" ref="Q1043">SUM(IF(($S1043&gt;=4)*($C1043='TaxCred&amp;Subs'!$D$114:$D$121)*($H1043='TaxCred&amp;Subs'!$C$114:$C$121)*($H1043&lt;='TaxCred&amp;Subs'!$C$123),'TaxCred&amp;Subs'!$E$114:$E$121,0))</f>
        <v>0</v>
      </c>
      <c r="R1043" s="143">
        <v>0</v>
      </c>
      <c r="S1043" s="5">
        <v>2</v>
      </c>
      <c r="T1043" s="5" t="s">
        <v>220</v>
      </c>
      <c r="V1043" s="7" t="str">
        <f t="array" ref="V1043">INDEX(xlRTCLNAME,MATCH(1,(xlRTCLENDU=1)*(xlRTCLEQCL=$D1043),0))</f>
        <v>WOOD_HT</v>
      </c>
      <c r="W1043" s="7" t="str">
        <f t="array" ref="W1043">INDEX(xlRTCLNAME,MATCH(1,(xlRTCLENDU=2)*(xlRTCLEQCL=$F1043),0))</f>
        <v>CENT_AIR</v>
      </c>
      <c r="X1043" s="7" t="str">
        <f t="array" ref="X1043">INDEX(xlRTTYNAME,MATCH(1,(xlRTTYENDU=1)*(xlRTTYEQCL=$D1043)*(xlRTEQTYPE=$E1043),0))</f>
        <v>WOOD_HT2</v>
      </c>
      <c r="Y1043" s="7" t="str">
        <f t="array" ref="Y1043">INDEX(xlRTTYNAME,MATCH(1,(xlRTTYENDU=2)*(xlRTTYEQCL=$F1043)*(xlRTEQTYPE=$G1043),0))</f>
        <v>CENT_AIR1</v>
      </c>
    </row>
    <row r="1044" spans="2:25" ht="14.25" customHeight="1" x14ac:dyDescent="0.2">
      <c r="B1044" s="5">
        <v>6</v>
      </c>
      <c r="C1044" s="5">
        <v>2</v>
      </c>
      <c r="D1044" s="5">
        <v>9</v>
      </c>
      <c r="E1044" s="31">
        <v>29</v>
      </c>
      <c r="F1044" s="5">
        <v>2</v>
      </c>
      <c r="G1044" s="31">
        <v>4</v>
      </c>
      <c r="H1044" s="31">
        <v>2020</v>
      </c>
      <c r="I1044" s="96">
        <v>2050</v>
      </c>
      <c r="J1044" s="142">
        <v>1.1200000000000001</v>
      </c>
      <c r="K1044" s="142">
        <v>1.0417000000000001</v>
      </c>
      <c r="L1044" s="142">
        <v>1.0438000000000001</v>
      </c>
      <c r="M1044" s="142">
        <v>1.1455</v>
      </c>
      <c r="N1044" s="142">
        <v>1.3656999999999999</v>
      </c>
      <c r="O1044" s="142">
        <v>1.0538000000000001</v>
      </c>
      <c r="P1044" s="26">
        <v>2686.3794400245774</v>
      </c>
      <c r="Q1044" s="35">
        <f t="array" ref="Q1044">SUM(IF(($S1044&gt;=4)*($C1044='TaxCred&amp;Subs'!$D$114:$D$121)*($H1044='TaxCred&amp;Subs'!$C$114:$C$121)*($H1044&lt;='TaxCred&amp;Subs'!$C$123),'TaxCred&amp;Subs'!$E$114:$E$121,0))</f>
        <v>0</v>
      </c>
      <c r="R1044" s="143">
        <v>0</v>
      </c>
      <c r="S1044" s="5">
        <v>2</v>
      </c>
      <c r="T1044" s="5" t="s">
        <v>220</v>
      </c>
      <c r="V1044" s="7" t="str">
        <f t="array" ref="V1044">INDEX(xlRTCLNAME,MATCH(1,(xlRTCLENDU=1)*(xlRTCLEQCL=$D1044),0))</f>
        <v>WOOD_HT</v>
      </c>
      <c r="W1044" s="7" t="str">
        <f t="array" ref="W1044">INDEX(xlRTCLNAME,MATCH(1,(xlRTCLENDU=2)*(xlRTCLEQCL=$F1044),0))</f>
        <v>CENT_AIR</v>
      </c>
      <c r="X1044" s="7" t="str">
        <f t="array" ref="X1044">INDEX(xlRTTYNAME,MATCH(1,(xlRTTYENDU=1)*(xlRTTYEQCL=$D1044)*(xlRTEQTYPE=$E1044),0))</f>
        <v>WOOD_HT2</v>
      </c>
      <c r="Y1044" s="7" t="str">
        <f t="array" ref="Y1044">INDEX(xlRTTYNAME,MATCH(1,(xlRTTYENDU=2)*(xlRTTYEQCL=$F1044)*(xlRTEQTYPE=$G1044),0))</f>
        <v>CENT_AIR1</v>
      </c>
    </row>
    <row r="1045" spans="2:25" ht="14.25" customHeight="1" x14ac:dyDescent="0.2">
      <c r="B1045" s="5">
        <v>7</v>
      </c>
      <c r="C1045" s="5">
        <v>2</v>
      </c>
      <c r="D1045" s="5">
        <v>9</v>
      </c>
      <c r="E1045" s="31">
        <v>29</v>
      </c>
      <c r="F1045" s="5">
        <v>2</v>
      </c>
      <c r="G1045" s="31">
        <v>4</v>
      </c>
      <c r="H1045" s="31">
        <v>2020</v>
      </c>
      <c r="I1045" s="96">
        <v>2050</v>
      </c>
      <c r="J1045" s="142">
        <v>1.1200000000000001</v>
      </c>
      <c r="K1045" s="142">
        <v>1.0462</v>
      </c>
      <c r="L1045" s="142">
        <v>0.74380000000000002</v>
      </c>
      <c r="M1045" s="142">
        <v>1.1604000000000001</v>
      </c>
      <c r="N1045" s="142">
        <v>1.4438</v>
      </c>
      <c r="O1045" s="142">
        <v>1.0538000000000001</v>
      </c>
      <c r="P1045" s="26">
        <v>1804.3649692257172</v>
      </c>
      <c r="Q1045" s="35">
        <f t="array" ref="Q1045">SUM(IF(($S1045&gt;=4)*($C1045='TaxCred&amp;Subs'!$D$114:$D$121)*($H1045='TaxCred&amp;Subs'!$C$114:$C$121)*($H1045&lt;='TaxCred&amp;Subs'!$C$123),'TaxCred&amp;Subs'!$E$114:$E$121,0))</f>
        <v>0</v>
      </c>
      <c r="R1045" s="143">
        <v>0</v>
      </c>
      <c r="S1045" s="5">
        <v>2</v>
      </c>
      <c r="T1045" s="5" t="s">
        <v>220</v>
      </c>
      <c r="V1045" s="7" t="str">
        <f t="array" ref="V1045">INDEX(xlRTCLNAME,MATCH(1,(xlRTCLENDU=1)*(xlRTCLEQCL=$D1045),0))</f>
        <v>WOOD_HT</v>
      </c>
      <c r="W1045" s="7" t="str">
        <f t="array" ref="W1045">INDEX(xlRTCLNAME,MATCH(1,(xlRTCLENDU=2)*(xlRTCLEQCL=$F1045),0))</f>
        <v>CENT_AIR</v>
      </c>
      <c r="X1045" s="7" t="str">
        <f t="array" ref="X1045">INDEX(xlRTTYNAME,MATCH(1,(xlRTTYENDU=1)*(xlRTTYEQCL=$D1045)*(xlRTEQTYPE=$E1045),0))</f>
        <v>WOOD_HT2</v>
      </c>
      <c r="Y1045" s="7" t="str">
        <f t="array" ref="Y1045">INDEX(xlRTTYNAME,MATCH(1,(xlRTTYENDU=2)*(xlRTTYEQCL=$F1045)*(xlRTEQTYPE=$G1045),0))</f>
        <v>CENT_AIR1</v>
      </c>
    </row>
    <row r="1046" spans="2:25" ht="14.25" customHeight="1" x14ac:dyDescent="0.2">
      <c r="B1046" s="5">
        <v>8</v>
      </c>
      <c r="C1046" s="5">
        <v>2</v>
      </c>
      <c r="D1046" s="5">
        <v>9</v>
      </c>
      <c r="E1046" s="31">
        <v>29</v>
      </c>
      <c r="F1046" s="5">
        <v>2</v>
      </c>
      <c r="G1046" s="31">
        <v>4</v>
      </c>
      <c r="H1046" s="31">
        <v>2020</v>
      </c>
      <c r="I1046" s="96">
        <v>2050</v>
      </c>
      <c r="J1046" s="142">
        <v>1.1045</v>
      </c>
      <c r="K1046" s="142">
        <v>1.0323</v>
      </c>
      <c r="L1046" s="142">
        <v>0.97560000000000002</v>
      </c>
      <c r="M1046" s="142">
        <v>1.2739</v>
      </c>
      <c r="N1046" s="142">
        <v>1.2847999999999999</v>
      </c>
      <c r="O1046" s="142">
        <v>1.0538000000000001</v>
      </c>
      <c r="P1046" s="26">
        <v>2988.8996472345525</v>
      </c>
      <c r="Q1046" s="35">
        <f t="array" ref="Q1046">SUM(IF(($S1046&gt;=4)*($C1046='TaxCred&amp;Subs'!$D$114:$D$121)*($H1046='TaxCred&amp;Subs'!$C$114:$C$121)*($H1046&lt;='TaxCred&amp;Subs'!$C$123),'TaxCred&amp;Subs'!$E$114:$E$121,0))</f>
        <v>0</v>
      </c>
      <c r="R1046" s="143">
        <v>0</v>
      </c>
      <c r="S1046" s="5">
        <v>2</v>
      </c>
      <c r="T1046" s="5" t="s">
        <v>220</v>
      </c>
      <c r="V1046" s="7" t="str">
        <f t="array" ref="V1046">INDEX(xlRTCLNAME,MATCH(1,(xlRTCLENDU=1)*(xlRTCLEQCL=$D1046),0))</f>
        <v>WOOD_HT</v>
      </c>
      <c r="W1046" s="7" t="str">
        <f t="array" ref="W1046">INDEX(xlRTCLNAME,MATCH(1,(xlRTCLENDU=2)*(xlRTCLEQCL=$F1046),0))</f>
        <v>CENT_AIR</v>
      </c>
      <c r="X1046" s="7" t="str">
        <f t="array" ref="X1046">INDEX(xlRTTYNAME,MATCH(1,(xlRTTYENDU=1)*(xlRTTYEQCL=$D1046)*(xlRTEQTYPE=$E1046),0))</f>
        <v>WOOD_HT2</v>
      </c>
      <c r="Y1046" s="7" t="str">
        <f t="array" ref="Y1046">INDEX(xlRTTYNAME,MATCH(1,(xlRTTYENDU=2)*(xlRTTYEQCL=$F1046)*(xlRTEQTYPE=$G1046),0))</f>
        <v>CENT_AIR1</v>
      </c>
    </row>
    <row r="1047" spans="2:25" ht="14.25" customHeight="1" x14ac:dyDescent="0.2">
      <c r="B1047" s="5">
        <v>9</v>
      </c>
      <c r="C1047" s="5">
        <v>2</v>
      </c>
      <c r="D1047" s="5">
        <v>9</v>
      </c>
      <c r="E1047" s="31">
        <v>29</v>
      </c>
      <c r="F1047" s="5">
        <v>2</v>
      </c>
      <c r="G1047" s="31">
        <v>4</v>
      </c>
      <c r="H1047" s="31">
        <v>2020</v>
      </c>
      <c r="I1047" s="96">
        <v>2050</v>
      </c>
      <c r="J1047" s="142">
        <v>1.1200000000000001</v>
      </c>
      <c r="K1047" s="142">
        <v>1.0541</v>
      </c>
      <c r="L1047" s="142">
        <v>0.84379999999999999</v>
      </c>
      <c r="M1047" s="142">
        <v>1.2166999999999999</v>
      </c>
      <c r="N1047" s="142">
        <v>1.4438</v>
      </c>
      <c r="O1047" s="142">
        <v>1.0538000000000001</v>
      </c>
      <c r="P1047" s="26">
        <v>2564.026822886321</v>
      </c>
      <c r="Q1047" s="35">
        <f t="array" ref="Q1047">SUM(IF(($S1047&gt;=4)*($C1047='TaxCred&amp;Subs'!$D$114:$D$121)*($H1047='TaxCred&amp;Subs'!$C$114:$C$121)*($H1047&lt;='TaxCred&amp;Subs'!$C$123),'TaxCred&amp;Subs'!$E$114:$E$121,0))</f>
        <v>0</v>
      </c>
      <c r="R1047" s="143">
        <v>0</v>
      </c>
      <c r="S1047" s="5">
        <v>2</v>
      </c>
      <c r="T1047" s="5" t="s">
        <v>220</v>
      </c>
      <c r="V1047" s="7" t="str">
        <f t="array" ref="V1047">INDEX(xlRTCLNAME,MATCH(1,(xlRTCLENDU=1)*(xlRTCLEQCL=$D1047),0))</f>
        <v>WOOD_HT</v>
      </c>
      <c r="W1047" s="7" t="str">
        <f t="array" ref="W1047">INDEX(xlRTCLNAME,MATCH(1,(xlRTCLENDU=2)*(xlRTCLEQCL=$F1047),0))</f>
        <v>CENT_AIR</v>
      </c>
      <c r="X1047" s="7" t="str">
        <f t="array" ref="X1047">INDEX(xlRTTYNAME,MATCH(1,(xlRTTYENDU=1)*(xlRTTYEQCL=$D1047)*(xlRTEQTYPE=$E1047),0))</f>
        <v>WOOD_HT2</v>
      </c>
      <c r="Y1047" s="7" t="str">
        <f t="array" ref="Y1047">INDEX(xlRTTYNAME,MATCH(1,(xlRTTYENDU=2)*(xlRTTYEQCL=$F1047)*(xlRTEQTYPE=$G1047),0))</f>
        <v>CENT_AIR1</v>
      </c>
    </row>
    <row r="1048" spans="2:25" ht="14.25" customHeight="1" x14ac:dyDescent="0.2">
      <c r="B1048" s="5">
        <v>1</v>
      </c>
      <c r="C1048" s="5">
        <v>2</v>
      </c>
      <c r="D1048" s="5">
        <v>10</v>
      </c>
      <c r="E1048" s="31">
        <v>31</v>
      </c>
      <c r="F1048" s="5">
        <v>4</v>
      </c>
      <c r="G1048" s="31">
        <v>12</v>
      </c>
      <c r="H1048" s="31">
        <v>2020</v>
      </c>
      <c r="I1048" s="5">
        <v>2050</v>
      </c>
      <c r="J1048" s="142">
        <v>1.1111</v>
      </c>
      <c r="K1048" s="142">
        <v>1.0526</v>
      </c>
      <c r="L1048" s="142">
        <v>0.80379999999999996</v>
      </c>
      <c r="M1048" s="142">
        <v>1.1588000000000001</v>
      </c>
      <c r="N1048" s="142">
        <v>1.1356999999999999</v>
      </c>
      <c r="O1048" s="142">
        <v>1.0538000000000001</v>
      </c>
      <c r="P1048" s="26">
        <v>4090.0732014788609</v>
      </c>
      <c r="Q1048" s="35">
        <f t="array" ref="Q1048">SUM(IF(($S1048&gt;=4)*($C1048='TaxCred&amp;Subs'!$D$114:$D$121)*($H1048='TaxCred&amp;Subs'!$C$114:$C$121)*($H1048&lt;='TaxCred&amp;Subs'!$C$123),'TaxCred&amp;Subs'!$E$114:$E$121,0))</f>
        <v>0</v>
      </c>
      <c r="R1048" s="143">
        <v>0</v>
      </c>
      <c r="S1048" s="5">
        <v>2</v>
      </c>
      <c r="T1048" s="5" t="s">
        <v>220</v>
      </c>
      <c r="V1048" s="7" t="str">
        <f t="array" ref="V1048">INDEX(xlRTCLNAME,MATCH(1,(xlRTCLENDU=1)*(xlRTCLEQCL=$D1048),0))</f>
        <v>GEO_HP</v>
      </c>
      <c r="W1048" s="7" t="str">
        <f t="array" ref="W1048">INDEX(xlRTCLNAME,MATCH(1,(xlRTCLENDU=2)*(xlRTCLEQCL=$F1048),0))</f>
        <v>GEO_HP</v>
      </c>
      <c r="X1048" s="7" t="str">
        <f t="array" ref="X1048">INDEX(xlRTTYNAME,MATCH(1,(xlRTTYENDU=1)*(xlRTTYEQCL=$D1048)*(xlRTEQTYPE=$E1048),0))</f>
        <v>GEO_HP1</v>
      </c>
      <c r="Y1048" s="7" t="str">
        <f t="array" ref="Y1048">INDEX(xlRTTYNAME,MATCH(1,(xlRTTYENDU=2)*(xlRTTYEQCL=$F1048)*(xlRTEQTYPE=$G1048),0))</f>
        <v>GEO_HP1</v>
      </c>
    </row>
    <row r="1049" spans="2:25" ht="14.25" customHeight="1" x14ac:dyDescent="0.2">
      <c r="B1049" s="5">
        <v>2</v>
      </c>
      <c r="C1049" s="5">
        <v>2</v>
      </c>
      <c r="D1049" s="5">
        <v>10</v>
      </c>
      <c r="E1049" s="31">
        <v>31</v>
      </c>
      <c r="F1049" s="5">
        <v>4</v>
      </c>
      <c r="G1049" s="31">
        <v>12</v>
      </c>
      <c r="H1049" s="31">
        <v>2020</v>
      </c>
      <c r="I1049" s="5">
        <v>2050</v>
      </c>
      <c r="J1049" s="142">
        <v>1.0588</v>
      </c>
      <c r="K1049" s="142">
        <v>1.0455000000000001</v>
      </c>
      <c r="L1049" s="142">
        <v>0.89119999999999999</v>
      </c>
      <c r="M1049" s="142">
        <v>1.179</v>
      </c>
      <c r="N1049" s="142">
        <v>1.1394</v>
      </c>
      <c r="O1049" s="142">
        <v>1.0538000000000001</v>
      </c>
      <c r="P1049" s="26">
        <v>2937.8073455724229</v>
      </c>
      <c r="Q1049" s="35">
        <f t="array" ref="Q1049">SUM(IF(($S1049&gt;=4)*($C1049='TaxCred&amp;Subs'!$D$114:$D$121)*($H1049='TaxCred&amp;Subs'!$C$114:$C$121)*($H1049&lt;='TaxCred&amp;Subs'!$C$123),'TaxCred&amp;Subs'!$E$114:$E$121,0))</f>
        <v>0</v>
      </c>
      <c r="R1049" s="143">
        <v>0</v>
      </c>
      <c r="S1049" s="5">
        <v>2</v>
      </c>
      <c r="T1049" s="5" t="s">
        <v>220</v>
      </c>
      <c r="V1049" s="7" t="str">
        <f t="array" ref="V1049">INDEX(xlRTCLNAME,MATCH(1,(xlRTCLENDU=1)*(xlRTCLEQCL=$D1049),0))</f>
        <v>GEO_HP</v>
      </c>
      <c r="W1049" s="7" t="str">
        <f t="array" ref="W1049">INDEX(xlRTCLNAME,MATCH(1,(xlRTCLENDU=2)*(xlRTCLEQCL=$F1049),0))</f>
        <v>GEO_HP</v>
      </c>
      <c r="X1049" s="7" t="str">
        <f t="array" ref="X1049">INDEX(xlRTTYNAME,MATCH(1,(xlRTTYENDU=1)*(xlRTTYEQCL=$D1049)*(xlRTEQTYPE=$E1049),0))</f>
        <v>GEO_HP1</v>
      </c>
      <c r="Y1049" s="7" t="str">
        <f t="array" ref="Y1049">INDEX(xlRTTYNAME,MATCH(1,(xlRTTYENDU=2)*(xlRTTYEQCL=$F1049)*(xlRTEQTYPE=$G1049),0))</f>
        <v>GEO_HP1</v>
      </c>
    </row>
    <row r="1050" spans="2:25" ht="14.25" customHeight="1" x14ac:dyDescent="0.2">
      <c r="B1050" s="5">
        <v>3</v>
      </c>
      <c r="C1050" s="5">
        <v>2</v>
      </c>
      <c r="D1050" s="5">
        <v>10</v>
      </c>
      <c r="E1050" s="31">
        <v>31</v>
      </c>
      <c r="F1050" s="5">
        <v>4</v>
      </c>
      <c r="G1050" s="31">
        <v>12</v>
      </c>
      <c r="H1050" s="31">
        <v>2020</v>
      </c>
      <c r="I1050" s="5">
        <v>2050</v>
      </c>
      <c r="J1050" s="142">
        <v>1.1000000000000001</v>
      </c>
      <c r="K1050" s="142">
        <v>1.03</v>
      </c>
      <c r="L1050" s="142">
        <v>0.78869999999999996</v>
      </c>
      <c r="M1050" s="142">
        <v>1.1000000000000001</v>
      </c>
      <c r="N1050" s="142">
        <v>1.0449999999999999</v>
      </c>
      <c r="O1050" s="142">
        <v>1.0538000000000001</v>
      </c>
      <c r="P1050" s="26">
        <v>3447.3858279394476</v>
      </c>
      <c r="Q1050" s="35">
        <f t="array" ref="Q1050">SUM(IF(($S1050&gt;=4)*($C1050='TaxCred&amp;Subs'!$D$114:$D$121)*($H1050='TaxCred&amp;Subs'!$C$114:$C$121)*($H1050&lt;='TaxCred&amp;Subs'!$C$123),'TaxCred&amp;Subs'!$E$114:$E$121,0))</f>
        <v>0</v>
      </c>
      <c r="R1050" s="143">
        <v>0</v>
      </c>
      <c r="S1050" s="5">
        <v>2</v>
      </c>
      <c r="T1050" s="5" t="s">
        <v>220</v>
      </c>
      <c r="V1050" s="7" t="str">
        <f t="array" ref="V1050">INDEX(xlRTCLNAME,MATCH(1,(xlRTCLENDU=1)*(xlRTCLEQCL=$D1050),0))</f>
        <v>GEO_HP</v>
      </c>
      <c r="W1050" s="7" t="str">
        <f t="array" ref="W1050">INDEX(xlRTCLNAME,MATCH(1,(xlRTCLENDU=2)*(xlRTCLEQCL=$F1050),0))</f>
        <v>GEO_HP</v>
      </c>
      <c r="X1050" s="7" t="str">
        <f t="array" ref="X1050">INDEX(xlRTTYNAME,MATCH(1,(xlRTTYENDU=1)*(xlRTTYEQCL=$D1050)*(xlRTEQTYPE=$E1050),0))</f>
        <v>GEO_HP1</v>
      </c>
      <c r="Y1050" s="7" t="str">
        <f t="array" ref="Y1050">INDEX(xlRTTYNAME,MATCH(1,(xlRTTYENDU=2)*(xlRTTYEQCL=$F1050)*(xlRTEQTYPE=$G1050),0))</f>
        <v>GEO_HP1</v>
      </c>
    </row>
    <row r="1051" spans="2:25" ht="14.25" customHeight="1" x14ac:dyDescent="0.2">
      <c r="B1051" s="5">
        <v>4</v>
      </c>
      <c r="C1051" s="5">
        <v>2</v>
      </c>
      <c r="D1051" s="5">
        <v>10</v>
      </c>
      <c r="E1051" s="31">
        <v>31</v>
      </c>
      <c r="F1051" s="5">
        <v>4</v>
      </c>
      <c r="G1051" s="31">
        <v>12</v>
      </c>
      <c r="H1051" s="31">
        <v>2020</v>
      </c>
      <c r="I1051" s="5">
        <v>2050</v>
      </c>
      <c r="J1051" s="142">
        <v>1.1033999999999999</v>
      </c>
      <c r="K1051" s="142">
        <v>1.0556000000000001</v>
      </c>
      <c r="L1051" s="142">
        <v>1.0015000000000001</v>
      </c>
      <c r="M1051" s="142">
        <v>1.1625000000000001</v>
      </c>
      <c r="N1051" s="142">
        <v>1.1753</v>
      </c>
      <c r="O1051" s="142">
        <v>1.0538000000000001</v>
      </c>
      <c r="P1051" s="26">
        <v>2955.2862908778884</v>
      </c>
      <c r="Q1051" s="35">
        <f t="array" ref="Q1051">SUM(IF(($S1051&gt;=4)*($C1051='TaxCred&amp;Subs'!$D$114:$D$121)*($H1051='TaxCred&amp;Subs'!$C$114:$C$121)*($H1051&lt;='TaxCred&amp;Subs'!$C$123),'TaxCred&amp;Subs'!$E$114:$E$121,0))</f>
        <v>0</v>
      </c>
      <c r="R1051" s="143">
        <v>0</v>
      </c>
      <c r="S1051" s="5">
        <v>2</v>
      </c>
      <c r="T1051" s="5" t="s">
        <v>220</v>
      </c>
      <c r="V1051" s="7" t="str">
        <f t="array" ref="V1051">INDEX(xlRTCLNAME,MATCH(1,(xlRTCLENDU=1)*(xlRTCLEQCL=$D1051),0))</f>
        <v>GEO_HP</v>
      </c>
      <c r="W1051" s="7" t="str">
        <f t="array" ref="W1051">INDEX(xlRTCLNAME,MATCH(1,(xlRTCLENDU=2)*(xlRTCLEQCL=$F1051),0))</f>
        <v>GEO_HP</v>
      </c>
      <c r="X1051" s="7" t="str">
        <f t="array" ref="X1051">INDEX(xlRTTYNAME,MATCH(1,(xlRTTYENDU=1)*(xlRTTYEQCL=$D1051)*(xlRTEQTYPE=$E1051),0))</f>
        <v>GEO_HP1</v>
      </c>
      <c r="Y1051" s="7" t="str">
        <f t="array" ref="Y1051">INDEX(xlRTTYNAME,MATCH(1,(xlRTTYENDU=2)*(xlRTTYEQCL=$F1051)*(xlRTEQTYPE=$G1051),0))</f>
        <v>GEO_HP1</v>
      </c>
    </row>
    <row r="1052" spans="2:25" ht="14.25" customHeight="1" x14ac:dyDescent="0.2">
      <c r="B1052" s="5">
        <v>5</v>
      </c>
      <c r="C1052" s="5">
        <v>2</v>
      </c>
      <c r="D1052" s="5">
        <v>10</v>
      </c>
      <c r="E1052" s="31">
        <v>31</v>
      </c>
      <c r="F1052" s="5">
        <v>4</v>
      </c>
      <c r="G1052" s="31">
        <v>12</v>
      </c>
      <c r="H1052" s="31">
        <v>2020</v>
      </c>
      <c r="I1052" s="5">
        <v>2050</v>
      </c>
      <c r="J1052" s="142">
        <v>1.03</v>
      </c>
      <c r="K1052" s="142">
        <v>1.0512999999999999</v>
      </c>
      <c r="L1052" s="142">
        <v>0.44379999999999997</v>
      </c>
      <c r="M1052" s="142">
        <v>1.1000000000000001</v>
      </c>
      <c r="N1052" s="142">
        <v>1.2490000000000001</v>
      </c>
      <c r="O1052" s="142">
        <v>1.0538000000000001</v>
      </c>
      <c r="P1052" s="26">
        <v>2636.6316726167147</v>
      </c>
      <c r="Q1052" s="35">
        <f t="array" ref="Q1052">SUM(IF(($S1052&gt;=4)*($C1052='TaxCred&amp;Subs'!$D$114:$D$121)*($H1052='TaxCred&amp;Subs'!$C$114:$C$121)*($H1052&lt;='TaxCred&amp;Subs'!$C$123),'TaxCred&amp;Subs'!$E$114:$E$121,0))</f>
        <v>0</v>
      </c>
      <c r="R1052" s="143">
        <v>0</v>
      </c>
      <c r="S1052" s="5">
        <v>2</v>
      </c>
      <c r="T1052" s="5" t="s">
        <v>220</v>
      </c>
      <c r="V1052" s="7" t="str">
        <f t="array" ref="V1052">INDEX(xlRTCLNAME,MATCH(1,(xlRTCLENDU=1)*(xlRTCLEQCL=$D1052),0))</f>
        <v>GEO_HP</v>
      </c>
      <c r="W1052" s="7" t="str">
        <f t="array" ref="W1052">INDEX(xlRTCLNAME,MATCH(1,(xlRTCLENDU=2)*(xlRTCLEQCL=$F1052),0))</f>
        <v>GEO_HP</v>
      </c>
      <c r="X1052" s="7" t="str">
        <f t="array" ref="X1052">INDEX(xlRTTYNAME,MATCH(1,(xlRTTYENDU=1)*(xlRTTYEQCL=$D1052)*(xlRTEQTYPE=$E1052),0))</f>
        <v>GEO_HP1</v>
      </c>
      <c r="Y1052" s="7" t="str">
        <f t="array" ref="Y1052">INDEX(xlRTTYNAME,MATCH(1,(xlRTTYENDU=2)*(xlRTTYEQCL=$F1052)*(xlRTEQTYPE=$G1052),0))</f>
        <v>GEO_HP1</v>
      </c>
    </row>
    <row r="1053" spans="2:25" ht="14.25" customHeight="1" x14ac:dyDescent="0.2">
      <c r="B1053" s="5">
        <v>6</v>
      </c>
      <c r="C1053" s="5">
        <v>2</v>
      </c>
      <c r="D1053" s="5">
        <v>10</v>
      </c>
      <c r="E1053" s="31">
        <v>31</v>
      </c>
      <c r="F1053" s="5">
        <v>4</v>
      </c>
      <c r="G1053" s="31">
        <v>12</v>
      </c>
      <c r="H1053" s="31">
        <v>2020</v>
      </c>
      <c r="I1053" s="5">
        <v>2050</v>
      </c>
      <c r="J1053" s="142">
        <v>1.1200000000000001</v>
      </c>
      <c r="K1053" s="142">
        <v>1.03</v>
      </c>
      <c r="L1053" s="142">
        <v>0.94379999999999997</v>
      </c>
      <c r="M1053" s="142">
        <v>1.1440999999999999</v>
      </c>
      <c r="N1053" s="142">
        <v>1.3656999999999999</v>
      </c>
      <c r="O1053" s="142">
        <v>1.0538000000000001</v>
      </c>
      <c r="P1053" s="26">
        <v>2902.8494549614925</v>
      </c>
      <c r="Q1053" s="35">
        <f t="array" ref="Q1053">SUM(IF(($S1053&gt;=4)*($C1053='TaxCred&amp;Subs'!$D$114:$D$121)*($H1053='TaxCred&amp;Subs'!$C$114:$C$121)*($H1053&lt;='TaxCred&amp;Subs'!$C$123),'TaxCred&amp;Subs'!$E$114:$E$121,0))</f>
        <v>0</v>
      </c>
      <c r="R1053" s="143">
        <v>0</v>
      </c>
      <c r="S1053" s="5">
        <v>2</v>
      </c>
      <c r="T1053" s="5" t="s">
        <v>220</v>
      </c>
      <c r="V1053" s="7" t="str">
        <f t="array" ref="V1053">INDEX(xlRTCLNAME,MATCH(1,(xlRTCLENDU=1)*(xlRTCLEQCL=$D1053),0))</f>
        <v>GEO_HP</v>
      </c>
      <c r="W1053" s="7" t="str">
        <f t="array" ref="W1053">INDEX(xlRTCLNAME,MATCH(1,(xlRTCLENDU=2)*(xlRTCLEQCL=$F1053),0))</f>
        <v>GEO_HP</v>
      </c>
      <c r="X1053" s="7" t="str">
        <f t="array" ref="X1053">INDEX(xlRTTYNAME,MATCH(1,(xlRTTYENDU=1)*(xlRTTYEQCL=$D1053)*(xlRTEQTYPE=$E1053),0))</f>
        <v>GEO_HP1</v>
      </c>
      <c r="Y1053" s="7" t="str">
        <f t="array" ref="Y1053">INDEX(xlRTTYNAME,MATCH(1,(xlRTTYENDU=2)*(xlRTTYEQCL=$F1053)*(xlRTEQTYPE=$G1053),0))</f>
        <v>GEO_HP1</v>
      </c>
    </row>
    <row r="1054" spans="2:25" ht="14.25" customHeight="1" x14ac:dyDescent="0.2">
      <c r="B1054" s="5">
        <v>7</v>
      </c>
      <c r="C1054" s="5">
        <v>2</v>
      </c>
      <c r="D1054" s="5">
        <v>10</v>
      </c>
      <c r="E1054" s="31">
        <v>31</v>
      </c>
      <c r="F1054" s="5">
        <v>4</v>
      </c>
      <c r="G1054" s="31">
        <v>12</v>
      </c>
      <c r="H1054" s="31">
        <v>2020</v>
      </c>
      <c r="I1054" s="5">
        <v>2050</v>
      </c>
      <c r="J1054" s="142">
        <v>1.03</v>
      </c>
      <c r="K1054" s="142">
        <v>1.0611999999999999</v>
      </c>
      <c r="L1054" s="142">
        <v>0.94379999999999997</v>
      </c>
      <c r="M1054" s="142">
        <v>1.1568000000000001</v>
      </c>
      <c r="N1054" s="142">
        <v>1.4438</v>
      </c>
      <c r="O1054" s="142">
        <v>1.0538000000000001</v>
      </c>
      <c r="P1054" s="26">
        <v>1804.3649692257172</v>
      </c>
      <c r="Q1054" s="35">
        <f t="array" ref="Q1054">SUM(IF(($S1054&gt;=4)*($C1054='TaxCred&amp;Subs'!$D$114:$D$121)*($H1054='TaxCred&amp;Subs'!$C$114:$C$121)*($H1054&lt;='TaxCred&amp;Subs'!$C$123),'TaxCred&amp;Subs'!$E$114:$E$121,0))</f>
        <v>0</v>
      </c>
      <c r="R1054" s="143">
        <v>0</v>
      </c>
      <c r="S1054" s="5">
        <v>2</v>
      </c>
      <c r="T1054" s="5" t="s">
        <v>220</v>
      </c>
      <c r="V1054" s="7" t="str">
        <f t="array" ref="V1054">INDEX(xlRTCLNAME,MATCH(1,(xlRTCLENDU=1)*(xlRTCLEQCL=$D1054),0))</f>
        <v>GEO_HP</v>
      </c>
      <c r="W1054" s="7" t="str">
        <f t="array" ref="W1054">INDEX(xlRTCLNAME,MATCH(1,(xlRTCLENDU=2)*(xlRTCLEQCL=$F1054),0))</f>
        <v>GEO_HP</v>
      </c>
      <c r="X1054" s="7" t="str">
        <f t="array" ref="X1054">INDEX(xlRTTYNAME,MATCH(1,(xlRTTYENDU=1)*(xlRTTYEQCL=$D1054)*(xlRTEQTYPE=$E1054),0))</f>
        <v>GEO_HP1</v>
      </c>
      <c r="Y1054" s="7" t="str">
        <f t="array" ref="Y1054">INDEX(xlRTTYNAME,MATCH(1,(xlRTTYENDU=2)*(xlRTTYEQCL=$F1054)*(xlRTEQTYPE=$G1054),0))</f>
        <v>GEO_HP1</v>
      </c>
    </row>
    <row r="1055" spans="2:25" ht="14.25" customHeight="1" x14ac:dyDescent="0.2">
      <c r="B1055" s="5">
        <v>8</v>
      </c>
      <c r="C1055" s="5">
        <v>2</v>
      </c>
      <c r="D1055" s="5">
        <v>10</v>
      </c>
      <c r="E1055" s="31">
        <v>31</v>
      </c>
      <c r="F1055" s="5">
        <v>4</v>
      </c>
      <c r="G1055" s="31">
        <v>12</v>
      </c>
      <c r="H1055" s="31">
        <v>2020</v>
      </c>
      <c r="I1055" s="5">
        <v>2050</v>
      </c>
      <c r="J1055" s="142">
        <v>1.1111</v>
      </c>
      <c r="K1055" s="142">
        <v>1.0417000000000001</v>
      </c>
      <c r="L1055" s="142">
        <v>0.81879999999999997</v>
      </c>
      <c r="M1055" s="142">
        <v>1.2666999999999999</v>
      </c>
      <c r="N1055" s="142">
        <v>1.2907</v>
      </c>
      <c r="O1055" s="142">
        <v>1.0538000000000001</v>
      </c>
      <c r="P1055" s="26">
        <v>3213.4368676970671</v>
      </c>
      <c r="Q1055" s="35">
        <f t="array" ref="Q1055">SUM(IF(($S1055&gt;=4)*($C1055='TaxCred&amp;Subs'!$D$114:$D$121)*($H1055='TaxCred&amp;Subs'!$C$114:$C$121)*($H1055&lt;='TaxCred&amp;Subs'!$C$123),'TaxCred&amp;Subs'!$E$114:$E$121,0))</f>
        <v>0</v>
      </c>
      <c r="R1055" s="143">
        <v>0</v>
      </c>
      <c r="S1055" s="5">
        <v>2</v>
      </c>
      <c r="T1055" s="5" t="s">
        <v>220</v>
      </c>
      <c r="V1055" s="7" t="str">
        <f t="array" ref="V1055">INDEX(xlRTCLNAME,MATCH(1,(xlRTCLENDU=1)*(xlRTCLEQCL=$D1055),0))</f>
        <v>GEO_HP</v>
      </c>
      <c r="W1055" s="7" t="str">
        <f t="array" ref="W1055">INDEX(xlRTCLNAME,MATCH(1,(xlRTCLENDU=2)*(xlRTCLEQCL=$F1055),0))</f>
        <v>GEO_HP</v>
      </c>
      <c r="X1055" s="7" t="str">
        <f t="array" ref="X1055">INDEX(xlRTTYNAME,MATCH(1,(xlRTTYENDU=1)*(xlRTTYEQCL=$D1055)*(xlRTEQTYPE=$E1055),0))</f>
        <v>GEO_HP1</v>
      </c>
      <c r="Y1055" s="7" t="str">
        <f t="array" ref="Y1055">INDEX(xlRTTYNAME,MATCH(1,(xlRTTYENDU=2)*(xlRTTYEQCL=$F1055)*(xlRTEQTYPE=$G1055),0))</f>
        <v>GEO_HP1</v>
      </c>
    </row>
    <row r="1056" spans="2:25" ht="14.25" customHeight="1" x14ac:dyDescent="0.2">
      <c r="B1056" s="5">
        <v>9</v>
      </c>
      <c r="C1056" s="5">
        <v>2</v>
      </c>
      <c r="D1056" s="5">
        <v>10</v>
      </c>
      <c r="E1056" s="31">
        <v>31</v>
      </c>
      <c r="F1056" s="5">
        <v>4</v>
      </c>
      <c r="G1056" s="31">
        <v>12</v>
      </c>
      <c r="H1056" s="31">
        <v>2020</v>
      </c>
      <c r="I1056" s="5">
        <v>2050</v>
      </c>
      <c r="J1056" s="142">
        <v>1.03</v>
      </c>
      <c r="K1056" s="142">
        <v>1.0741000000000001</v>
      </c>
      <c r="L1056" s="142">
        <v>0.44379999999999997</v>
      </c>
      <c r="M1056" s="142">
        <v>1.2137</v>
      </c>
      <c r="N1056" s="142">
        <v>1.4438</v>
      </c>
      <c r="O1056" s="142">
        <v>1.0538000000000001</v>
      </c>
      <c r="P1056" s="26">
        <v>4524.3577656069583</v>
      </c>
      <c r="Q1056" s="35">
        <f t="array" ref="Q1056">SUM(IF(($S1056&gt;=4)*($C1056='TaxCred&amp;Subs'!$D$114:$D$121)*($H1056='TaxCred&amp;Subs'!$C$114:$C$121)*($H1056&lt;='TaxCred&amp;Subs'!$C$123),'TaxCred&amp;Subs'!$E$114:$E$121,0))</f>
        <v>0</v>
      </c>
      <c r="R1056" s="143">
        <v>0</v>
      </c>
      <c r="S1056" s="5">
        <v>2</v>
      </c>
      <c r="T1056" s="5" t="s">
        <v>220</v>
      </c>
      <c r="V1056" s="7" t="str">
        <f t="array" ref="V1056">INDEX(xlRTCLNAME,MATCH(1,(xlRTCLENDU=1)*(xlRTCLEQCL=$D1056),0))</f>
        <v>GEO_HP</v>
      </c>
      <c r="W1056" s="7" t="str">
        <f t="array" ref="W1056">INDEX(xlRTCLNAME,MATCH(1,(xlRTCLENDU=2)*(xlRTCLEQCL=$F1056),0))</f>
        <v>GEO_HP</v>
      </c>
      <c r="X1056" s="7" t="str">
        <f t="array" ref="X1056">INDEX(xlRTTYNAME,MATCH(1,(xlRTTYENDU=1)*(xlRTTYEQCL=$D1056)*(xlRTEQTYPE=$E1056),0))</f>
        <v>GEO_HP1</v>
      </c>
      <c r="Y1056" s="7" t="str">
        <f t="array" ref="Y1056">INDEX(xlRTTYNAME,MATCH(1,(xlRTTYENDU=2)*(xlRTTYEQCL=$F1056)*(xlRTEQTYPE=$G1056),0))</f>
        <v>GEO_HP1</v>
      </c>
    </row>
    <row r="1057" spans="2:25" ht="14.25" customHeight="1" x14ac:dyDescent="0.2">
      <c r="B1057" s="5">
        <v>1</v>
      </c>
      <c r="C1057" s="5">
        <v>2</v>
      </c>
      <c r="D1057" s="5">
        <v>11</v>
      </c>
      <c r="E1057" s="31">
        <v>35</v>
      </c>
      <c r="F1057" s="5">
        <v>5</v>
      </c>
      <c r="G1057" s="31">
        <v>16</v>
      </c>
      <c r="H1057" s="31">
        <v>2020</v>
      </c>
      <c r="I1057" s="5">
        <v>2050</v>
      </c>
      <c r="J1057" s="142">
        <v>1.1042000000000001</v>
      </c>
      <c r="K1057" s="142">
        <v>1.0417000000000001</v>
      </c>
      <c r="L1057" s="142">
        <v>0.8075</v>
      </c>
      <c r="M1057" s="142">
        <v>1.1455</v>
      </c>
      <c r="N1057" s="142">
        <v>1.1127</v>
      </c>
      <c r="O1057" s="142">
        <v>1.0538000000000001</v>
      </c>
      <c r="P1057" s="26">
        <v>4090.0732014788609</v>
      </c>
      <c r="Q1057" s="35">
        <f t="array" ref="Q1057">SUM(IF(($S1057&gt;=4)*($C1057='TaxCred&amp;Subs'!$D$114:$D$121)*($H1057='TaxCred&amp;Subs'!$C$114:$C$121)*($H1057&lt;='TaxCred&amp;Subs'!$C$123),'TaxCred&amp;Subs'!$E$114:$E$121,0))</f>
        <v>0</v>
      </c>
      <c r="R1057" s="143">
        <v>0</v>
      </c>
      <c r="S1057" s="5">
        <v>2</v>
      </c>
      <c r="T1057" s="5" t="s">
        <v>220</v>
      </c>
      <c r="V1057" s="7" t="str">
        <f t="array" ref="V1057">INDEX(xlRTCLNAME,MATCH(1,(xlRTCLENDU=1)*(xlRTCLEQCL=$D1057),0))</f>
        <v>NG_HP</v>
      </c>
      <c r="W1057" s="7" t="str">
        <f t="array" ref="W1057">INDEX(xlRTCLNAME,MATCH(1,(xlRTCLENDU=2)*(xlRTCLEQCL=$F1057),0))</f>
        <v>NG_HP</v>
      </c>
      <c r="X1057" s="7" t="str">
        <f t="array" ref="X1057">INDEX(xlRTTYNAME,MATCH(1,(xlRTTYENDU=1)*(xlRTTYEQCL=$D1057)*(xlRTEQTYPE=$E1057),0))</f>
        <v>NG_HP2</v>
      </c>
      <c r="Y1057" s="7" t="str">
        <f t="array" ref="Y1057">INDEX(xlRTTYNAME,MATCH(1,(xlRTTYENDU=2)*(xlRTTYEQCL=$F1057)*(xlRTEQTYPE=$G1057),0))</f>
        <v>NG_HP2</v>
      </c>
    </row>
    <row r="1058" spans="2:25" ht="14.25" customHeight="1" x14ac:dyDescent="0.2">
      <c r="B1058" s="5">
        <v>2</v>
      </c>
      <c r="C1058" s="5">
        <v>2</v>
      </c>
      <c r="D1058" s="5">
        <v>11</v>
      </c>
      <c r="E1058" s="31">
        <v>35</v>
      </c>
      <c r="F1058" s="5">
        <v>5</v>
      </c>
      <c r="G1058" s="31">
        <v>16</v>
      </c>
      <c r="H1058" s="31">
        <v>2020</v>
      </c>
      <c r="I1058" s="5">
        <v>2050</v>
      </c>
      <c r="J1058" s="142">
        <v>1.0847</v>
      </c>
      <c r="K1058" s="142">
        <v>1.0357000000000001</v>
      </c>
      <c r="L1058" s="142">
        <v>1.028</v>
      </c>
      <c r="M1058" s="142">
        <v>1.1834</v>
      </c>
      <c r="N1058" s="142">
        <v>1.1162000000000001</v>
      </c>
      <c r="O1058" s="142">
        <v>1.0538000000000001</v>
      </c>
      <c r="P1058" s="26">
        <v>2804.6984544000343</v>
      </c>
      <c r="Q1058" s="35">
        <f t="array" ref="Q1058">SUM(IF(($S1058&gt;=4)*($C1058='TaxCred&amp;Subs'!$D$114:$D$121)*($H1058='TaxCred&amp;Subs'!$C$114:$C$121)*($H1058&lt;='TaxCred&amp;Subs'!$C$123),'TaxCred&amp;Subs'!$E$114:$E$121,0))</f>
        <v>0</v>
      </c>
      <c r="R1058" s="143">
        <v>0</v>
      </c>
      <c r="S1058" s="5">
        <v>2</v>
      </c>
      <c r="T1058" s="5" t="s">
        <v>220</v>
      </c>
      <c r="V1058" s="7" t="str">
        <f t="array" ref="V1058">INDEX(xlRTCLNAME,MATCH(1,(xlRTCLENDU=1)*(xlRTCLEQCL=$D1058),0))</f>
        <v>NG_HP</v>
      </c>
      <c r="W1058" s="7" t="str">
        <f t="array" ref="W1058">INDEX(xlRTCLNAME,MATCH(1,(xlRTCLENDU=2)*(xlRTCLEQCL=$F1058),0))</f>
        <v>NG_HP</v>
      </c>
      <c r="X1058" s="7" t="str">
        <f t="array" ref="X1058">INDEX(xlRTTYNAME,MATCH(1,(xlRTTYENDU=1)*(xlRTTYEQCL=$D1058)*(xlRTEQTYPE=$E1058),0))</f>
        <v>NG_HP2</v>
      </c>
      <c r="Y1058" s="7" t="str">
        <f t="array" ref="Y1058">INDEX(xlRTTYNAME,MATCH(1,(xlRTTYENDU=2)*(xlRTTYEQCL=$F1058)*(xlRTEQTYPE=$G1058),0))</f>
        <v>NG_HP2</v>
      </c>
    </row>
    <row r="1059" spans="2:25" ht="14.25" customHeight="1" x14ac:dyDescent="0.2">
      <c r="B1059" s="5">
        <v>3</v>
      </c>
      <c r="C1059" s="5">
        <v>2</v>
      </c>
      <c r="D1059" s="5">
        <v>11</v>
      </c>
      <c r="E1059" s="31">
        <v>35</v>
      </c>
      <c r="F1059" s="5">
        <v>5</v>
      </c>
      <c r="G1059" s="31">
        <v>16</v>
      </c>
      <c r="H1059" s="31">
        <v>2020</v>
      </c>
      <c r="I1059" s="5">
        <v>2050</v>
      </c>
      <c r="J1059" s="142">
        <v>1.0984</v>
      </c>
      <c r="K1059" s="142">
        <v>1.0345</v>
      </c>
      <c r="L1059" s="142">
        <v>0.85880000000000001</v>
      </c>
      <c r="M1059" s="142">
        <v>1.1000000000000001</v>
      </c>
      <c r="N1059" s="142">
        <v>1.0399</v>
      </c>
      <c r="O1059" s="142">
        <v>1.0538000000000001</v>
      </c>
      <c r="P1059" s="26">
        <v>3255.1174295793303</v>
      </c>
      <c r="Q1059" s="35">
        <f t="array" ref="Q1059">SUM(IF(($S1059&gt;=4)*($C1059='TaxCred&amp;Subs'!$D$114:$D$121)*($H1059='TaxCred&amp;Subs'!$C$114:$C$121)*($H1059&lt;='TaxCred&amp;Subs'!$C$123),'TaxCred&amp;Subs'!$E$114:$E$121,0))</f>
        <v>0</v>
      </c>
      <c r="R1059" s="143">
        <v>0</v>
      </c>
      <c r="S1059" s="5">
        <v>2</v>
      </c>
      <c r="T1059" s="5" t="s">
        <v>220</v>
      </c>
      <c r="V1059" s="7" t="str">
        <f t="array" ref="V1059">INDEX(xlRTCLNAME,MATCH(1,(xlRTCLENDU=1)*(xlRTCLEQCL=$D1059),0))</f>
        <v>NG_HP</v>
      </c>
      <c r="W1059" s="7" t="str">
        <f t="array" ref="W1059">INDEX(xlRTCLNAME,MATCH(1,(xlRTCLENDU=2)*(xlRTCLEQCL=$F1059),0))</f>
        <v>NG_HP</v>
      </c>
      <c r="X1059" s="7" t="str">
        <f t="array" ref="X1059">INDEX(xlRTTYNAME,MATCH(1,(xlRTTYENDU=1)*(xlRTTYEQCL=$D1059)*(xlRTEQTYPE=$E1059),0))</f>
        <v>NG_HP2</v>
      </c>
      <c r="Y1059" s="7" t="str">
        <f t="array" ref="Y1059">INDEX(xlRTTYNAME,MATCH(1,(xlRTTYENDU=2)*(xlRTTYEQCL=$F1059)*(xlRTEQTYPE=$G1059),0))</f>
        <v>NG_HP2</v>
      </c>
    </row>
    <row r="1060" spans="2:25" ht="14.25" customHeight="1" x14ac:dyDescent="0.2">
      <c r="B1060" s="5">
        <v>4</v>
      </c>
      <c r="C1060" s="5">
        <v>2</v>
      </c>
      <c r="D1060" s="5">
        <v>11</v>
      </c>
      <c r="E1060" s="31">
        <v>35</v>
      </c>
      <c r="F1060" s="5">
        <v>5</v>
      </c>
      <c r="G1060" s="31">
        <v>16</v>
      </c>
      <c r="H1060" s="31">
        <v>2020</v>
      </c>
      <c r="I1060" s="5">
        <v>2050</v>
      </c>
      <c r="J1060" s="142">
        <v>1.1000000000000001</v>
      </c>
      <c r="K1060" s="142">
        <v>1.0435000000000001</v>
      </c>
      <c r="L1060" s="142">
        <v>1.0251999999999999</v>
      </c>
      <c r="M1060" s="142">
        <v>1.175</v>
      </c>
      <c r="N1060" s="142">
        <v>1.1696</v>
      </c>
      <c r="O1060" s="142">
        <v>1.0538000000000001</v>
      </c>
      <c r="P1060" s="26">
        <v>2816.7992626884329</v>
      </c>
      <c r="Q1060" s="35">
        <f t="array" ref="Q1060">SUM(IF(($S1060&gt;=4)*($C1060='TaxCred&amp;Subs'!$D$114:$D$121)*($H1060='TaxCred&amp;Subs'!$C$114:$C$121)*($H1060&lt;='TaxCred&amp;Subs'!$C$123),'TaxCred&amp;Subs'!$E$114:$E$121,0))</f>
        <v>0</v>
      </c>
      <c r="R1060" s="143">
        <v>0</v>
      </c>
      <c r="S1060" s="5">
        <v>2</v>
      </c>
      <c r="T1060" s="5" t="s">
        <v>220</v>
      </c>
      <c r="V1060" s="7" t="str">
        <f t="array" ref="V1060">INDEX(xlRTCLNAME,MATCH(1,(xlRTCLENDU=1)*(xlRTCLEQCL=$D1060),0))</f>
        <v>NG_HP</v>
      </c>
      <c r="W1060" s="7" t="str">
        <f t="array" ref="W1060">INDEX(xlRTCLNAME,MATCH(1,(xlRTCLENDU=2)*(xlRTCLEQCL=$F1060),0))</f>
        <v>NG_HP</v>
      </c>
      <c r="X1060" s="7" t="str">
        <f t="array" ref="X1060">INDEX(xlRTTYNAME,MATCH(1,(xlRTTYENDU=1)*(xlRTTYEQCL=$D1060)*(xlRTEQTYPE=$E1060),0))</f>
        <v>NG_HP2</v>
      </c>
      <c r="Y1060" s="7" t="str">
        <f t="array" ref="Y1060">INDEX(xlRTTYNAME,MATCH(1,(xlRTTYENDU=2)*(xlRTTYEQCL=$F1060)*(xlRTEQTYPE=$G1060),0))</f>
        <v>NG_HP2</v>
      </c>
    </row>
    <row r="1061" spans="2:25" ht="14.25" customHeight="1" x14ac:dyDescent="0.2">
      <c r="B1061" s="5">
        <v>5</v>
      </c>
      <c r="C1061" s="5">
        <v>2</v>
      </c>
      <c r="D1061" s="5">
        <v>11</v>
      </c>
      <c r="E1061" s="31">
        <v>35</v>
      </c>
      <c r="F1061" s="5">
        <v>5</v>
      </c>
      <c r="G1061" s="31">
        <v>16</v>
      </c>
      <c r="H1061" s="31">
        <v>2020</v>
      </c>
      <c r="I1061" s="5">
        <v>2050</v>
      </c>
      <c r="J1061" s="142">
        <v>1.1200000000000001</v>
      </c>
      <c r="K1061" s="142">
        <v>1.0391999999999999</v>
      </c>
      <c r="L1061" s="142">
        <v>0.53759999999999997</v>
      </c>
      <c r="M1061" s="142">
        <v>1.1000000000000001</v>
      </c>
      <c r="N1061" s="142">
        <v>1.2750999999999999</v>
      </c>
      <c r="O1061" s="142">
        <v>1.0538000000000001</v>
      </c>
      <c r="P1061" s="26">
        <v>2421.506191934066</v>
      </c>
      <c r="Q1061" s="35">
        <f t="array" ref="Q1061">SUM(IF(($S1061&gt;=4)*($C1061='TaxCred&amp;Subs'!$D$114:$D$121)*($H1061='TaxCred&amp;Subs'!$C$114:$C$121)*($H1061&lt;='TaxCred&amp;Subs'!$C$123),'TaxCred&amp;Subs'!$E$114:$E$121,0))</f>
        <v>0</v>
      </c>
      <c r="R1061" s="143">
        <v>0</v>
      </c>
      <c r="S1061" s="5">
        <v>2</v>
      </c>
      <c r="T1061" s="5" t="s">
        <v>220</v>
      </c>
      <c r="V1061" s="7" t="str">
        <f t="array" ref="V1061">INDEX(xlRTCLNAME,MATCH(1,(xlRTCLENDU=1)*(xlRTCLEQCL=$D1061),0))</f>
        <v>NG_HP</v>
      </c>
      <c r="W1061" s="7" t="str">
        <f t="array" ref="W1061">INDEX(xlRTCLNAME,MATCH(1,(xlRTCLENDU=2)*(xlRTCLEQCL=$F1061),0))</f>
        <v>NG_HP</v>
      </c>
      <c r="X1061" s="7" t="str">
        <f t="array" ref="X1061">INDEX(xlRTTYNAME,MATCH(1,(xlRTTYENDU=1)*(xlRTTYEQCL=$D1061)*(xlRTEQTYPE=$E1061),0))</f>
        <v>NG_HP2</v>
      </c>
      <c r="Y1061" s="7" t="str">
        <f t="array" ref="Y1061">INDEX(xlRTTYNAME,MATCH(1,(xlRTTYENDU=2)*(xlRTTYEQCL=$F1061)*(xlRTEQTYPE=$G1061),0))</f>
        <v>NG_HP2</v>
      </c>
    </row>
    <row r="1062" spans="2:25" ht="14.25" customHeight="1" x14ac:dyDescent="0.2">
      <c r="B1062" s="5">
        <v>6</v>
      </c>
      <c r="C1062" s="5">
        <v>2</v>
      </c>
      <c r="D1062" s="5">
        <v>11</v>
      </c>
      <c r="E1062" s="31">
        <v>35</v>
      </c>
      <c r="F1062" s="5">
        <v>5</v>
      </c>
      <c r="G1062" s="31">
        <v>16</v>
      </c>
      <c r="H1062" s="31">
        <v>2020</v>
      </c>
      <c r="I1062" s="5">
        <v>2050</v>
      </c>
      <c r="J1062" s="142">
        <v>1.1200000000000001</v>
      </c>
      <c r="K1062" s="142">
        <v>1.03</v>
      </c>
      <c r="L1062" s="142">
        <v>0.89380000000000004</v>
      </c>
      <c r="M1062" s="142">
        <v>1.1341000000000001</v>
      </c>
      <c r="N1062" s="142">
        <v>1.3324</v>
      </c>
      <c r="O1062" s="142">
        <v>1.0538000000000001</v>
      </c>
      <c r="P1062" s="26">
        <v>2715.9591936184415</v>
      </c>
      <c r="Q1062" s="35">
        <f t="array" ref="Q1062">SUM(IF(($S1062&gt;=4)*($C1062='TaxCred&amp;Subs'!$D$114:$D$121)*($H1062='TaxCred&amp;Subs'!$C$114:$C$121)*($H1062&lt;='TaxCred&amp;Subs'!$C$123),'TaxCred&amp;Subs'!$E$114:$E$121,0))</f>
        <v>0</v>
      </c>
      <c r="R1062" s="143">
        <v>0</v>
      </c>
      <c r="S1062" s="5">
        <v>2</v>
      </c>
      <c r="T1062" s="5" t="s">
        <v>220</v>
      </c>
      <c r="V1062" s="7" t="str">
        <f t="array" ref="V1062">INDEX(xlRTCLNAME,MATCH(1,(xlRTCLENDU=1)*(xlRTCLEQCL=$D1062),0))</f>
        <v>NG_HP</v>
      </c>
      <c r="W1062" s="7" t="str">
        <f t="array" ref="W1062">INDEX(xlRTCLNAME,MATCH(1,(xlRTCLENDU=2)*(xlRTCLEQCL=$F1062),0))</f>
        <v>NG_HP</v>
      </c>
      <c r="X1062" s="7" t="str">
        <f t="array" ref="X1062">INDEX(xlRTTYNAME,MATCH(1,(xlRTTYENDU=1)*(xlRTTYEQCL=$D1062)*(xlRTEQTYPE=$E1062),0))</f>
        <v>NG_HP2</v>
      </c>
      <c r="Y1062" s="7" t="str">
        <f t="array" ref="Y1062">INDEX(xlRTTYNAME,MATCH(1,(xlRTTYENDU=2)*(xlRTTYEQCL=$F1062)*(xlRTEQTYPE=$G1062),0))</f>
        <v>NG_HP2</v>
      </c>
    </row>
    <row r="1063" spans="2:25" ht="14.25" customHeight="1" x14ac:dyDescent="0.2">
      <c r="B1063" s="5">
        <v>7</v>
      </c>
      <c r="C1063" s="5">
        <v>2</v>
      </c>
      <c r="D1063" s="5">
        <v>11</v>
      </c>
      <c r="E1063" s="31">
        <v>35</v>
      </c>
      <c r="F1063" s="5">
        <v>5</v>
      </c>
      <c r="G1063" s="31">
        <v>16</v>
      </c>
      <c r="H1063" s="31">
        <v>2020</v>
      </c>
      <c r="I1063" s="5">
        <v>2050</v>
      </c>
      <c r="J1063" s="142">
        <v>1.1200000000000001</v>
      </c>
      <c r="K1063" s="142">
        <v>1.0462</v>
      </c>
      <c r="L1063" s="142">
        <v>0.86050000000000004</v>
      </c>
      <c r="M1063" s="142">
        <v>1.1604000000000001</v>
      </c>
      <c r="N1063" s="142">
        <v>1.4438</v>
      </c>
      <c r="O1063" s="142">
        <v>1.0538000000000001</v>
      </c>
      <c r="P1063" s="26">
        <v>1804.3649692257172</v>
      </c>
      <c r="Q1063" s="35">
        <f t="array" ref="Q1063">SUM(IF(($S1063&gt;=4)*($C1063='TaxCred&amp;Subs'!$D$114:$D$121)*($H1063='TaxCred&amp;Subs'!$C$114:$C$121)*($H1063&lt;='TaxCred&amp;Subs'!$C$123),'TaxCred&amp;Subs'!$E$114:$E$121,0))</f>
        <v>0</v>
      </c>
      <c r="R1063" s="143">
        <v>0</v>
      </c>
      <c r="S1063" s="5">
        <v>2</v>
      </c>
      <c r="T1063" s="5" t="s">
        <v>220</v>
      </c>
      <c r="V1063" s="7" t="str">
        <f t="array" ref="V1063">INDEX(xlRTCLNAME,MATCH(1,(xlRTCLENDU=1)*(xlRTCLEQCL=$D1063),0))</f>
        <v>NG_HP</v>
      </c>
      <c r="W1063" s="7" t="str">
        <f t="array" ref="W1063">INDEX(xlRTCLNAME,MATCH(1,(xlRTCLENDU=2)*(xlRTCLEQCL=$F1063),0))</f>
        <v>NG_HP</v>
      </c>
      <c r="X1063" s="7" t="str">
        <f t="array" ref="X1063">INDEX(xlRTTYNAME,MATCH(1,(xlRTTYENDU=1)*(xlRTTYEQCL=$D1063)*(xlRTEQTYPE=$E1063),0))</f>
        <v>NG_HP2</v>
      </c>
      <c r="Y1063" s="7" t="str">
        <f t="array" ref="Y1063">INDEX(xlRTTYNAME,MATCH(1,(xlRTTYENDU=2)*(xlRTTYEQCL=$F1063)*(xlRTEQTYPE=$G1063),0))</f>
        <v>NG_HP2</v>
      </c>
    </row>
    <row r="1064" spans="2:25" ht="14.25" customHeight="1" x14ac:dyDescent="0.2">
      <c r="B1064" s="5">
        <v>8</v>
      </c>
      <c r="C1064" s="5">
        <v>2</v>
      </c>
      <c r="D1064" s="5">
        <v>11</v>
      </c>
      <c r="E1064" s="31">
        <v>35</v>
      </c>
      <c r="F1064" s="5">
        <v>5</v>
      </c>
      <c r="G1064" s="31">
        <v>16</v>
      </c>
      <c r="H1064" s="31">
        <v>2020</v>
      </c>
      <c r="I1064" s="5">
        <v>2050</v>
      </c>
      <c r="J1064" s="142">
        <v>1.0932999999999999</v>
      </c>
      <c r="K1064" s="142">
        <v>1.0323</v>
      </c>
      <c r="L1064" s="142">
        <v>1.0390999999999999</v>
      </c>
      <c r="M1064" s="142">
        <v>1.2739</v>
      </c>
      <c r="N1064" s="142">
        <v>1.2847999999999999</v>
      </c>
      <c r="O1064" s="142">
        <v>1.0538000000000001</v>
      </c>
      <c r="P1064" s="26">
        <v>3147.5546892380057</v>
      </c>
      <c r="Q1064" s="35">
        <f t="array" ref="Q1064">SUM(IF(($S1064&gt;=4)*($C1064='TaxCred&amp;Subs'!$D$114:$D$121)*($H1064='TaxCred&amp;Subs'!$C$114:$C$121)*($H1064&lt;='TaxCred&amp;Subs'!$C$123),'TaxCred&amp;Subs'!$E$114:$E$121,0))</f>
        <v>0</v>
      </c>
      <c r="R1064" s="143">
        <v>0</v>
      </c>
      <c r="S1064" s="5">
        <v>2</v>
      </c>
      <c r="T1064" s="5" t="s">
        <v>220</v>
      </c>
      <c r="V1064" s="7" t="str">
        <f t="array" ref="V1064">INDEX(xlRTCLNAME,MATCH(1,(xlRTCLENDU=1)*(xlRTCLEQCL=$D1064),0))</f>
        <v>NG_HP</v>
      </c>
      <c r="W1064" s="7" t="str">
        <f t="array" ref="W1064">INDEX(xlRTCLNAME,MATCH(1,(xlRTCLENDU=2)*(xlRTCLEQCL=$F1064),0))</f>
        <v>NG_HP</v>
      </c>
      <c r="X1064" s="7" t="str">
        <f t="array" ref="X1064">INDEX(xlRTTYNAME,MATCH(1,(xlRTTYENDU=1)*(xlRTTYEQCL=$D1064)*(xlRTEQTYPE=$E1064),0))</f>
        <v>NG_HP2</v>
      </c>
      <c r="Y1064" s="7" t="str">
        <f t="array" ref="Y1064">INDEX(xlRTTYNAME,MATCH(1,(xlRTTYENDU=2)*(xlRTTYEQCL=$F1064)*(xlRTEQTYPE=$G1064),0))</f>
        <v>NG_HP2</v>
      </c>
    </row>
    <row r="1065" spans="2:25" ht="14.25" customHeight="1" x14ac:dyDescent="0.2">
      <c r="B1065" s="5">
        <v>9</v>
      </c>
      <c r="C1065" s="5">
        <v>2</v>
      </c>
      <c r="D1065" s="5">
        <v>11</v>
      </c>
      <c r="E1065" s="31">
        <v>35</v>
      </c>
      <c r="F1065" s="5">
        <v>5</v>
      </c>
      <c r="G1065" s="31">
        <v>16</v>
      </c>
      <c r="H1065" s="31">
        <v>2020</v>
      </c>
      <c r="I1065" s="5">
        <v>2050</v>
      </c>
      <c r="J1065" s="142">
        <v>1.07</v>
      </c>
      <c r="K1065" s="142">
        <v>1.0541</v>
      </c>
      <c r="L1065" s="142">
        <v>0.88129999999999997</v>
      </c>
      <c r="M1065" s="142">
        <v>1.2166999999999999</v>
      </c>
      <c r="N1065" s="142">
        <v>1.4438</v>
      </c>
      <c r="O1065" s="142">
        <v>1.0538000000000001</v>
      </c>
      <c r="P1065" s="26">
        <v>2564.026822886321</v>
      </c>
      <c r="Q1065" s="35">
        <f t="array" ref="Q1065">SUM(IF(($S1065&gt;=4)*($C1065='TaxCred&amp;Subs'!$D$114:$D$121)*($H1065='TaxCred&amp;Subs'!$C$114:$C$121)*($H1065&lt;='TaxCred&amp;Subs'!$C$123),'TaxCred&amp;Subs'!$E$114:$E$121,0))</f>
        <v>0</v>
      </c>
      <c r="R1065" s="143">
        <v>0</v>
      </c>
      <c r="S1065" s="5">
        <v>2</v>
      </c>
      <c r="T1065" s="5" t="s">
        <v>220</v>
      </c>
      <c r="V1065" s="7" t="str">
        <f t="array" ref="V1065">INDEX(xlRTCLNAME,MATCH(1,(xlRTCLENDU=1)*(xlRTCLEQCL=$D1065),0))</f>
        <v>NG_HP</v>
      </c>
      <c r="W1065" s="7" t="str">
        <f t="array" ref="W1065">INDEX(xlRTCLNAME,MATCH(1,(xlRTCLENDU=2)*(xlRTCLEQCL=$F1065),0))</f>
        <v>NG_HP</v>
      </c>
      <c r="X1065" s="7" t="str">
        <f t="array" ref="X1065">INDEX(xlRTTYNAME,MATCH(1,(xlRTTYENDU=1)*(xlRTTYEQCL=$D1065)*(xlRTEQTYPE=$E1065),0))</f>
        <v>NG_HP2</v>
      </c>
      <c r="Y1065" s="7" t="str">
        <f t="array" ref="Y1065">INDEX(xlRTTYNAME,MATCH(1,(xlRTTYENDU=2)*(xlRTTYEQCL=$F1065)*(xlRTEQTYPE=$G1065),0))</f>
        <v>NG_HP2</v>
      </c>
    </row>
    <row r="1066" spans="2:25" ht="14.25" customHeight="1" x14ac:dyDescent="0.2">
      <c r="B1066" s="5">
        <v>1</v>
      </c>
      <c r="C1066" s="5">
        <v>2</v>
      </c>
      <c r="D1066" s="5">
        <v>1</v>
      </c>
      <c r="E1066" s="5">
        <v>1</v>
      </c>
      <c r="F1066" s="5">
        <v>2</v>
      </c>
      <c r="G1066" s="31">
        <v>6</v>
      </c>
      <c r="H1066" s="31">
        <v>2020</v>
      </c>
      <c r="I1066" s="5">
        <v>2050</v>
      </c>
      <c r="J1066" s="142">
        <v>1.1039000000000001</v>
      </c>
      <c r="K1066" s="142">
        <v>1.0417000000000001</v>
      </c>
      <c r="L1066" s="142">
        <v>0.92020000000000002</v>
      </c>
      <c r="M1066" s="142">
        <v>1.1455</v>
      </c>
      <c r="N1066" s="142">
        <v>1.1114999999999999</v>
      </c>
      <c r="O1066" s="142">
        <v>1.0538000000000001</v>
      </c>
      <c r="P1066" s="26">
        <v>4260.8290517707137</v>
      </c>
      <c r="Q1066" s="35">
        <f t="array" ref="Q1066">SUM(IF(($S1066&gt;=4)*($C1066='TaxCred&amp;Subs'!$D$114:$D$121)*($H1066='TaxCred&amp;Subs'!$C$114:$C$121)*($H1066&lt;='TaxCred&amp;Subs'!$C$123),'TaxCred&amp;Subs'!$E$114:$E$121,0))</f>
        <v>0</v>
      </c>
      <c r="R1066" s="143">
        <v>0</v>
      </c>
      <c r="S1066" s="5">
        <v>3</v>
      </c>
      <c r="T1066" s="5" t="s">
        <v>239</v>
      </c>
      <c r="V1066" s="7" t="str">
        <f t="array" ref="V1066">INDEX(xlRTCLNAME,MATCH(1,(xlRTCLENDU=1)*(xlRTCLEQCL=$D1066),0))</f>
        <v>ELEC_RAD</v>
      </c>
      <c r="W1066" s="7" t="str">
        <f t="array" ref="W1066">INDEX(xlRTCLNAME,MATCH(1,(xlRTCLENDU=2)*(xlRTCLEQCL=$F1066),0))</f>
        <v>CENT_AIR</v>
      </c>
      <c r="X1066" s="7" t="str">
        <f t="array" ref="X1066">INDEX(xlRTTYNAME,MATCH(1,(xlRTTYENDU=1)*(xlRTTYEQCL=$D1066)*(xlRTEQTYPE=$E1066),0))</f>
        <v>ELEC_RAD2</v>
      </c>
      <c r="Y1066" s="7" t="str">
        <f t="array" ref="Y1066">INDEX(xlRTTYNAME,MATCH(1,(xlRTTYENDU=2)*(xlRTTYEQCL=$F1066)*(xlRTEQTYPE=$G1066),0))</f>
        <v>CENT_AIR3</v>
      </c>
    </row>
    <row r="1067" spans="2:25" ht="14.25" customHeight="1" x14ac:dyDescent="0.2">
      <c r="B1067" s="5">
        <v>2</v>
      </c>
      <c r="C1067" s="5">
        <v>2</v>
      </c>
      <c r="D1067" s="5">
        <v>1</v>
      </c>
      <c r="E1067" s="5">
        <v>1</v>
      </c>
      <c r="F1067" s="5">
        <v>2</v>
      </c>
      <c r="G1067" s="31">
        <v>6</v>
      </c>
      <c r="H1067" s="31">
        <v>2020</v>
      </c>
      <c r="I1067" s="5">
        <v>2050</v>
      </c>
      <c r="J1067" s="142">
        <v>1.1000000000000001</v>
      </c>
      <c r="K1067" s="142">
        <v>1.0357000000000001</v>
      </c>
      <c r="L1067" s="142">
        <v>0.95</v>
      </c>
      <c r="M1067" s="142">
        <v>1.1625000000000001</v>
      </c>
      <c r="N1067" s="142">
        <v>1.1163000000000001</v>
      </c>
      <c r="O1067" s="142">
        <v>1.0538000000000001</v>
      </c>
      <c r="P1067" s="26">
        <v>3693.4355964702272</v>
      </c>
      <c r="Q1067" s="35">
        <f t="array" ref="Q1067">SUM(IF(($S1067&gt;=4)*($C1067='TaxCred&amp;Subs'!$D$114:$D$121)*($H1067='TaxCred&amp;Subs'!$C$114:$C$121)*($H1067&lt;='TaxCred&amp;Subs'!$C$123),'TaxCred&amp;Subs'!$E$114:$E$121,0))</f>
        <v>0</v>
      </c>
      <c r="R1067" s="143">
        <v>0</v>
      </c>
      <c r="S1067" s="5">
        <v>3</v>
      </c>
      <c r="T1067" s="5" t="s">
        <v>239</v>
      </c>
      <c r="V1067" s="7" t="str">
        <f t="array" ref="V1067">INDEX(xlRTCLNAME,MATCH(1,(xlRTCLENDU=1)*(xlRTCLEQCL=$D1067),0))</f>
        <v>ELEC_RAD</v>
      </c>
      <c r="W1067" s="7" t="str">
        <f t="array" ref="W1067">INDEX(xlRTCLNAME,MATCH(1,(xlRTCLENDU=2)*(xlRTCLEQCL=$F1067),0))</f>
        <v>CENT_AIR</v>
      </c>
      <c r="X1067" s="7" t="str">
        <f t="array" ref="X1067">INDEX(xlRTTYNAME,MATCH(1,(xlRTTYENDU=1)*(xlRTTYEQCL=$D1067)*(xlRTEQTYPE=$E1067),0))</f>
        <v>ELEC_RAD2</v>
      </c>
      <c r="Y1067" s="7" t="str">
        <f t="array" ref="Y1067">INDEX(xlRTTYNAME,MATCH(1,(xlRTTYENDU=2)*(xlRTTYEQCL=$F1067)*(xlRTEQTYPE=$G1067),0))</f>
        <v>CENT_AIR3</v>
      </c>
    </row>
    <row r="1068" spans="2:25" ht="14.25" customHeight="1" x14ac:dyDescent="0.2">
      <c r="B1068" s="5">
        <v>3</v>
      </c>
      <c r="C1068" s="5">
        <v>2</v>
      </c>
      <c r="D1068" s="5">
        <v>1</v>
      </c>
      <c r="E1068" s="5">
        <v>1</v>
      </c>
      <c r="F1068" s="5">
        <v>2</v>
      </c>
      <c r="G1068" s="31">
        <v>6</v>
      </c>
      <c r="H1068" s="31">
        <v>2020</v>
      </c>
      <c r="I1068" s="5">
        <v>2050</v>
      </c>
      <c r="J1068" s="142">
        <v>1.1020000000000001</v>
      </c>
      <c r="K1068" s="142">
        <v>1.0345</v>
      </c>
      <c r="L1068" s="142">
        <v>0.8337</v>
      </c>
      <c r="M1068" s="142">
        <v>1.0828</v>
      </c>
      <c r="N1068" s="142">
        <v>1.0386</v>
      </c>
      <c r="O1068" s="142">
        <v>1.0538000000000001</v>
      </c>
      <c r="P1068" s="26">
        <v>3572.4275135862376</v>
      </c>
      <c r="Q1068" s="35">
        <f t="array" ref="Q1068">SUM(IF(($S1068&gt;=4)*($C1068='TaxCred&amp;Subs'!$D$114:$D$121)*($H1068='TaxCred&amp;Subs'!$C$114:$C$121)*($H1068&lt;='TaxCred&amp;Subs'!$C$123),'TaxCred&amp;Subs'!$E$114:$E$121,0))</f>
        <v>0</v>
      </c>
      <c r="R1068" s="143">
        <v>0</v>
      </c>
      <c r="S1068" s="5">
        <v>3</v>
      </c>
      <c r="T1068" s="5" t="s">
        <v>239</v>
      </c>
      <c r="V1068" s="7" t="str">
        <f t="array" ref="V1068">INDEX(xlRTCLNAME,MATCH(1,(xlRTCLENDU=1)*(xlRTCLEQCL=$D1068),0))</f>
        <v>ELEC_RAD</v>
      </c>
      <c r="W1068" s="7" t="str">
        <f t="array" ref="W1068">INDEX(xlRTCLNAME,MATCH(1,(xlRTCLENDU=2)*(xlRTCLEQCL=$F1068),0))</f>
        <v>CENT_AIR</v>
      </c>
      <c r="X1068" s="7" t="str">
        <f t="array" ref="X1068">INDEX(xlRTTYNAME,MATCH(1,(xlRTTYENDU=1)*(xlRTTYEQCL=$D1068)*(xlRTEQTYPE=$E1068),0))</f>
        <v>ELEC_RAD2</v>
      </c>
      <c r="Y1068" s="7" t="str">
        <f t="array" ref="Y1068">INDEX(xlRTTYNAME,MATCH(1,(xlRTTYENDU=2)*(xlRTTYEQCL=$F1068)*(xlRTEQTYPE=$G1068),0))</f>
        <v>CENT_AIR3</v>
      </c>
    </row>
    <row r="1069" spans="2:25" ht="14.25" customHeight="1" x14ac:dyDescent="0.2">
      <c r="B1069" s="5">
        <v>4</v>
      </c>
      <c r="C1069" s="5">
        <v>2</v>
      </c>
      <c r="D1069" s="5">
        <v>1</v>
      </c>
      <c r="E1069" s="5">
        <v>1</v>
      </c>
      <c r="F1069" s="5">
        <v>2</v>
      </c>
      <c r="G1069" s="31">
        <v>6</v>
      </c>
      <c r="H1069" s="31">
        <v>2020</v>
      </c>
      <c r="I1069" s="5">
        <v>2050</v>
      </c>
      <c r="J1069" s="142">
        <v>1.1000000000000001</v>
      </c>
      <c r="K1069" s="142">
        <v>1.0435000000000001</v>
      </c>
      <c r="L1069" s="142">
        <v>0.98709999999999998</v>
      </c>
      <c r="M1069" s="142">
        <v>1.1499999999999999</v>
      </c>
      <c r="N1069" s="142">
        <v>1.1657</v>
      </c>
      <c r="O1069" s="142">
        <v>1.0538000000000001</v>
      </c>
      <c r="P1069" s="26">
        <v>3092.4287848130771</v>
      </c>
      <c r="Q1069" s="35">
        <f t="array" ref="Q1069">SUM(IF(($S1069&gt;=4)*($C1069='TaxCred&amp;Subs'!$D$114:$D$121)*($H1069='TaxCred&amp;Subs'!$C$114:$C$121)*($H1069&lt;='TaxCred&amp;Subs'!$C$123),'TaxCred&amp;Subs'!$E$114:$E$121,0))</f>
        <v>0</v>
      </c>
      <c r="R1069" s="143">
        <v>0</v>
      </c>
      <c r="S1069" s="5">
        <v>3</v>
      </c>
      <c r="T1069" s="5" t="s">
        <v>239</v>
      </c>
      <c r="V1069" s="7" t="str">
        <f t="array" ref="V1069">INDEX(xlRTCLNAME,MATCH(1,(xlRTCLENDU=1)*(xlRTCLEQCL=$D1069),0))</f>
        <v>ELEC_RAD</v>
      </c>
      <c r="W1069" s="7" t="str">
        <f t="array" ref="W1069">INDEX(xlRTCLNAME,MATCH(1,(xlRTCLENDU=2)*(xlRTCLEQCL=$F1069),0))</f>
        <v>CENT_AIR</v>
      </c>
      <c r="X1069" s="7" t="str">
        <f t="array" ref="X1069">INDEX(xlRTTYNAME,MATCH(1,(xlRTTYENDU=1)*(xlRTTYEQCL=$D1069)*(xlRTEQTYPE=$E1069),0))</f>
        <v>ELEC_RAD2</v>
      </c>
      <c r="Y1069" s="7" t="str">
        <f t="array" ref="Y1069">INDEX(xlRTTYNAME,MATCH(1,(xlRTTYENDU=2)*(xlRTTYEQCL=$F1069)*(xlRTEQTYPE=$G1069),0))</f>
        <v>CENT_AIR3</v>
      </c>
    </row>
    <row r="1070" spans="2:25" ht="14.25" customHeight="1" x14ac:dyDescent="0.2">
      <c r="B1070" s="5">
        <v>5</v>
      </c>
      <c r="C1070" s="5">
        <v>2</v>
      </c>
      <c r="D1070" s="5">
        <v>1</v>
      </c>
      <c r="E1070" s="5">
        <v>1</v>
      </c>
      <c r="F1070" s="5">
        <v>2</v>
      </c>
      <c r="G1070" s="31">
        <v>6</v>
      </c>
      <c r="H1070" s="31">
        <v>2020</v>
      </c>
      <c r="I1070" s="5">
        <v>2050</v>
      </c>
      <c r="J1070" s="142">
        <v>1.1200000000000001</v>
      </c>
      <c r="K1070" s="142">
        <v>1.0577000000000001</v>
      </c>
      <c r="L1070" s="142">
        <v>0.67459999999999998</v>
      </c>
      <c r="M1070" s="142">
        <v>1.1097999999999999</v>
      </c>
      <c r="N1070" s="142">
        <v>1.2619</v>
      </c>
      <c r="O1070" s="142">
        <v>1.0538000000000001</v>
      </c>
      <c r="P1070" s="26">
        <v>2515.6235897327247</v>
      </c>
      <c r="Q1070" s="35">
        <f t="array" ref="Q1070">SUM(IF(($S1070&gt;=4)*($C1070='TaxCred&amp;Subs'!$D$114:$D$121)*($H1070='TaxCred&amp;Subs'!$C$114:$C$121)*($H1070&lt;='TaxCred&amp;Subs'!$C$123),'TaxCred&amp;Subs'!$E$114:$E$121,0))</f>
        <v>0</v>
      </c>
      <c r="R1070" s="143">
        <v>0</v>
      </c>
      <c r="S1070" s="5">
        <v>3</v>
      </c>
      <c r="T1070" s="5" t="s">
        <v>239</v>
      </c>
      <c r="V1070" s="7" t="str">
        <f t="array" ref="V1070">INDEX(xlRTCLNAME,MATCH(1,(xlRTCLENDU=1)*(xlRTCLEQCL=$D1070),0))</f>
        <v>ELEC_RAD</v>
      </c>
      <c r="W1070" s="7" t="str">
        <f t="array" ref="W1070">INDEX(xlRTCLNAME,MATCH(1,(xlRTCLENDU=2)*(xlRTCLEQCL=$F1070),0))</f>
        <v>CENT_AIR</v>
      </c>
      <c r="X1070" s="7" t="str">
        <f t="array" ref="X1070">INDEX(xlRTTYNAME,MATCH(1,(xlRTTYENDU=1)*(xlRTTYEQCL=$D1070)*(xlRTEQTYPE=$E1070),0))</f>
        <v>ELEC_RAD2</v>
      </c>
      <c r="Y1070" s="7" t="str">
        <f t="array" ref="Y1070">INDEX(xlRTTYNAME,MATCH(1,(xlRTTYENDU=2)*(xlRTTYEQCL=$F1070)*(xlRTEQTYPE=$G1070),0))</f>
        <v>CENT_AIR3</v>
      </c>
    </row>
    <row r="1071" spans="2:25" ht="14.25" customHeight="1" x14ac:dyDescent="0.2">
      <c r="B1071" s="5">
        <v>6</v>
      </c>
      <c r="C1071" s="5">
        <v>2</v>
      </c>
      <c r="D1071" s="5">
        <v>1</v>
      </c>
      <c r="E1071" s="5">
        <v>1</v>
      </c>
      <c r="F1071" s="5">
        <v>2</v>
      </c>
      <c r="G1071" s="31">
        <v>6</v>
      </c>
      <c r="H1071" s="31">
        <v>2020</v>
      </c>
      <c r="I1071" s="5">
        <v>2050</v>
      </c>
      <c r="J1071" s="142">
        <v>1.1000000000000001</v>
      </c>
      <c r="K1071" s="142">
        <v>1.0407999999999999</v>
      </c>
      <c r="L1071" s="142">
        <v>1.0271999999999999</v>
      </c>
      <c r="M1071" s="142">
        <v>1.1568000000000001</v>
      </c>
      <c r="N1071" s="142">
        <v>1.3324</v>
      </c>
      <c r="O1071" s="142">
        <v>1.0538000000000001</v>
      </c>
      <c r="P1071" s="26">
        <v>2773.7741665519034</v>
      </c>
      <c r="Q1071" s="35">
        <f t="array" ref="Q1071">SUM(IF(($S1071&gt;=4)*($C1071='TaxCred&amp;Subs'!$D$114:$D$121)*($H1071='TaxCred&amp;Subs'!$C$114:$C$121)*($H1071&lt;='TaxCred&amp;Subs'!$C$123),'TaxCred&amp;Subs'!$E$114:$E$121,0))</f>
        <v>0</v>
      </c>
      <c r="R1071" s="143">
        <v>0</v>
      </c>
      <c r="S1071" s="5">
        <v>3</v>
      </c>
      <c r="T1071" s="5" t="s">
        <v>239</v>
      </c>
      <c r="V1071" s="7" t="str">
        <f t="array" ref="V1071">INDEX(xlRTCLNAME,MATCH(1,(xlRTCLENDU=1)*(xlRTCLEQCL=$D1071),0))</f>
        <v>ELEC_RAD</v>
      </c>
      <c r="W1071" s="7" t="str">
        <f t="array" ref="W1071">INDEX(xlRTCLNAME,MATCH(1,(xlRTCLENDU=2)*(xlRTCLEQCL=$F1071),0))</f>
        <v>CENT_AIR</v>
      </c>
      <c r="X1071" s="7" t="str">
        <f t="array" ref="X1071">INDEX(xlRTTYNAME,MATCH(1,(xlRTTYENDU=1)*(xlRTTYEQCL=$D1071)*(xlRTEQTYPE=$E1071),0))</f>
        <v>ELEC_RAD2</v>
      </c>
      <c r="Y1071" s="7" t="str">
        <f t="array" ref="Y1071">INDEX(xlRTTYNAME,MATCH(1,(xlRTTYENDU=2)*(xlRTTYEQCL=$F1071)*(xlRTEQTYPE=$G1071),0))</f>
        <v>CENT_AIR3</v>
      </c>
    </row>
    <row r="1072" spans="2:25" ht="14.25" customHeight="1" x14ac:dyDescent="0.2">
      <c r="B1072" s="5">
        <v>7</v>
      </c>
      <c r="C1072" s="5">
        <v>2</v>
      </c>
      <c r="D1072" s="5">
        <v>1</v>
      </c>
      <c r="E1072" s="5">
        <v>1</v>
      </c>
      <c r="F1072" s="5">
        <v>2</v>
      </c>
      <c r="G1072" s="31">
        <v>6</v>
      </c>
      <c r="H1072" s="31">
        <v>2020</v>
      </c>
      <c r="I1072" s="5">
        <v>2050</v>
      </c>
      <c r="J1072" s="142">
        <v>1.1200000000000001</v>
      </c>
      <c r="K1072" s="142">
        <v>1.0455000000000001</v>
      </c>
      <c r="L1072" s="142">
        <v>1.2438</v>
      </c>
      <c r="M1072" s="142">
        <v>1.1604000000000001</v>
      </c>
      <c r="N1072" s="142">
        <v>1.4438</v>
      </c>
      <c r="O1072" s="142">
        <v>1.0538000000000001</v>
      </c>
      <c r="P1072" s="26">
        <v>2010.0787101285</v>
      </c>
      <c r="Q1072" s="35">
        <f t="array" ref="Q1072">SUM(IF(($S1072&gt;=4)*($C1072='TaxCred&amp;Subs'!$D$114:$D$121)*($H1072='TaxCred&amp;Subs'!$C$114:$C$121)*($H1072&lt;='TaxCred&amp;Subs'!$C$123),'TaxCred&amp;Subs'!$E$114:$E$121,0))</f>
        <v>0</v>
      </c>
      <c r="R1072" s="143">
        <v>0</v>
      </c>
      <c r="S1072" s="5">
        <v>3</v>
      </c>
      <c r="T1072" s="5" t="s">
        <v>239</v>
      </c>
      <c r="V1072" s="7" t="str">
        <f t="array" ref="V1072">INDEX(xlRTCLNAME,MATCH(1,(xlRTCLENDU=1)*(xlRTCLEQCL=$D1072),0))</f>
        <v>ELEC_RAD</v>
      </c>
      <c r="W1072" s="7" t="str">
        <f t="array" ref="W1072">INDEX(xlRTCLNAME,MATCH(1,(xlRTCLENDU=2)*(xlRTCLEQCL=$F1072),0))</f>
        <v>CENT_AIR</v>
      </c>
      <c r="X1072" s="7" t="str">
        <f t="array" ref="X1072">INDEX(xlRTTYNAME,MATCH(1,(xlRTTYENDU=1)*(xlRTTYEQCL=$D1072)*(xlRTEQTYPE=$E1072),0))</f>
        <v>ELEC_RAD2</v>
      </c>
      <c r="Y1072" s="7" t="str">
        <f t="array" ref="Y1072">INDEX(xlRTTYNAME,MATCH(1,(xlRTTYENDU=2)*(xlRTTYEQCL=$F1072)*(xlRTEQTYPE=$G1072),0))</f>
        <v>CENT_AIR3</v>
      </c>
    </row>
    <row r="1073" spans="2:25" ht="14.25" customHeight="1" x14ac:dyDescent="0.2">
      <c r="B1073" s="5">
        <v>8</v>
      </c>
      <c r="C1073" s="5">
        <v>2</v>
      </c>
      <c r="D1073" s="5">
        <v>1</v>
      </c>
      <c r="E1073" s="5">
        <v>1</v>
      </c>
      <c r="F1073" s="5">
        <v>2</v>
      </c>
      <c r="G1073" s="31">
        <v>6</v>
      </c>
      <c r="H1073" s="31">
        <v>2020</v>
      </c>
      <c r="I1073" s="5">
        <v>2050</v>
      </c>
      <c r="J1073" s="142">
        <v>1.1026</v>
      </c>
      <c r="K1073" s="142">
        <v>1.0645</v>
      </c>
      <c r="L1073" s="142">
        <v>1.0025999999999999</v>
      </c>
      <c r="M1073" s="142">
        <v>1.2739</v>
      </c>
      <c r="N1073" s="142">
        <v>1.2785</v>
      </c>
      <c r="O1073" s="142">
        <v>1.0538000000000001</v>
      </c>
      <c r="P1073" s="26">
        <v>3295.4534572073267</v>
      </c>
      <c r="Q1073" s="35">
        <f t="array" ref="Q1073">SUM(IF(($S1073&gt;=4)*($C1073='TaxCred&amp;Subs'!$D$114:$D$121)*($H1073='TaxCred&amp;Subs'!$C$114:$C$121)*($H1073&lt;='TaxCred&amp;Subs'!$C$123),'TaxCred&amp;Subs'!$E$114:$E$121,0))</f>
        <v>0</v>
      </c>
      <c r="R1073" s="143">
        <v>0</v>
      </c>
      <c r="S1073" s="5">
        <v>3</v>
      </c>
      <c r="T1073" s="5" t="s">
        <v>239</v>
      </c>
      <c r="V1073" s="7" t="str">
        <f t="array" ref="V1073">INDEX(xlRTCLNAME,MATCH(1,(xlRTCLENDU=1)*(xlRTCLEQCL=$D1073),0))</f>
        <v>ELEC_RAD</v>
      </c>
      <c r="W1073" s="7" t="str">
        <f t="array" ref="W1073">INDEX(xlRTCLNAME,MATCH(1,(xlRTCLENDU=2)*(xlRTCLEQCL=$F1073),0))</f>
        <v>CENT_AIR</v>
      </c>
      <c r="X1073" s="7" t="str">
        <f t="array" ref="X1073">INDEX(xlRTTYNAME,MATCH(1,(xlRTTYENDU=1)*(xlRTTYEQCL=$D1073)*(xlRTEQTYPE=$E1073),0))</f>
        <v>ELEC_RAD2</v>
      </c>
      <c r="Y1073" s="7" t="str">
        <f t="array" ref="Y1073">INDEX(xlRTTYNAME,MATCH(1,(xlRTTYENDU=2)*(xlRTTYEQCL=$F1073)*(xlRTEQTYPE=$G1073),0))</f>
        <v>CENT_AIR3</v>
      </c>
    </row>
    <row r="1074" spans="2:25" ht="14.25" customHeight="1" x14ac:dyDescent="0.2">
      <c r="B1074" s="5">
        <v>9</v>
      </c>
      <c r="C1074" s="5">
        <v>2</v>
      </c>
      <c r="D1074" s="5">
        <v>1</v>
      </c>
      <c r="E1074" s="5">
        <v>1</v>
      </c>
      <c r="F1074" s="5">
        <v>2</v>
      </c>
      <c r="G1074" s="31">
        <v>6</v>
      </c>
      <c r="H1074" s="31">
        <v>2020</v>
      </c>
      <c r="I1074" s="5">
        <v>2050</v>
      </c>
      <c r="J1074" s="142">
        <v>1.1200000000000001</v>
      </c>
      <c r="K1074" s="142">
        <v>1.0541</v>
      </c>
      <c r="L1074" s="142">
        <v>0.86050000000000004</v>
      </c>
      <c r="M1074" s="142">
        <v>1.2</v>
      </c>
      <c r="N1074" s="142">
        <v>1.4438</v>
      </c>
      <c r="O1074" s="142">
        <v>1.0538000000000001</v>
      </c>
      <c r="P1074" s="26">
        <v>2894.7822494358934</v>
      </c>
      <c r="Q1074" s="35">
        <f t="array" ref="Q1074">SUM(IF(($S1074&gt;=4)*($C1074='TaxCred&amp;Subs'!$D$114:$D$121)*($H1074='TaxCred&amp;Subs'!$C$114:$C$121)*($H1074&lt;='TaxCred&amp;Subs'!$C$123),'TaxCred&amp;Subs'!$E$114:$E$121,0))</f>
        <v>0</v>
      </c>
      <c r="R1074" s="143">
        <v>0</v>
      </c>
      <c r="S1074" s="5">
        <v>3</v>
      </c>
      <c r="T1074" s="5" t="s">
        <v>239</v>
      </c>
      <c r="V1074" s="7" t="str">
        <f t="array" ref="V1074">INDEX(xlRTCLNAME,MATCH(1,(xlRTCLENDU=1)*(xlRTCLEQCL=$D1074),0))</f>
        <v>ELEC_RAD</v>
      </c>
      <c r="W1074" s="7" t="str">
        <f t="array" ref="W1074">INDEX(xlRTCLNAME,MATCH(1,(xlRTCLENDU=2)*(xlRTCLEQCL=$F1074),0))</f>
        <v>CENT_AIR</v>
      </c>
      <c r="X1074" s="7" t="str">
        <f t="array" ref="X1074">INDEX(xlRTTYNAME,MATCH(1,(xlRTTYENDU=1)*(xlRTTYEQCL=$D1074)*(xlRTEQTYPE=$E1074),0))</f>
        <v>ELEC_RAD2</v>
      </c>
      <c r="Y1074" s="7" t="str">
        <f t="array" ref="Y1074">INDEX(xlRTTYNAME,MATCH(1,(xlRTTYENDU=2)*(xlRTTYEQCL=$F1074)*(xlRTEQTYPE=$G1074),0))</f>
        <v>CENT_AIR3</v>
      </c>
    </row>
    <row r="1075" spans="2:25" ht="14.25" customHeight="1" x14ac:dyDescent="0.2">
      <c r="B1075" s="5">
        <v>1</v>
      </c>
      <c r="C1075" s="5">
        <v>2</v>
      </c>
      <c r="D1075" s="5">
        <v>2</v>
      </c>
      <c r="E1075" s="5">
        <v>4</v>
      </c>
      <c r="F1075" s="5">
        <v>3</v>
      </c>
      <c r="G1075" s="31">
        <v>10</v>
      </c>
      <c r="H1075" s="31">
        <v>2020</v>
      </c>
      <c r="I1075" s="5">
        <v>2050</v>
      </c>
      <c r="J1075" s="142">
        <v>1.0909</v>
      </c>
      <c r="K1075" s="142">
        <v>1.04</v>
      </c>
      <c r="L1075" s="142">
        <v>1.0054000000000001</v>
      </c>
      <c r="M1075" s="142">
        <v>1.1455</v>
      </c>
      <c r="N1075" s="142">
        <v>1.1119000000000001</v>
      </c>
      <c r="O1075" s="142">
        <v>1.0538000000000001</v>
      </c>
      <c r="P1075" s="26">
        <v>3206.7141964257344</v>
      </c>
      <c r="Q1075" s="35">
        <f t="array" ref="Q1075">SUM(IF(($S1075&gt;=4)*($C1075='TaxCred&amp;Subs'!$D$114:$D$121)*($H1075='TaxCred&amp;Subs'!$C$114:$C$121)*($H1075&lt;='TaxCred&amp;Subs'!$C$123),'TaxCred&amp;Subs'!$E$114:$E$121,0))</f>
        <v>0</v>
      </c>
      <c r="R1075" s="143">
        <v>0</v>
      </c>
      <c r="S1075" s="5">
        <v>3</v>
      </c>
      <c r="T1075" s="5" t="s">
        <v>239</v>
      </c>
      <c r="V1075" s="7" t="str">
        <f t="array" ref="V1075">INDEX(xlRTCLNAME,MATCH(1,(xlRTCLENDU=1)*(xlRTCLEQCL=$D1075),0))</f>
        <v>ELEC_HP</v>
      </c>
      <c r="W1075" s="7" t="str">
        <f t="array" ref="W1075">INDEX(xlRTCLNAME,MATCH(1,(xlRTCLENDU=2)*(xlRTCLEQCL=$F1075),0))</f>
        <v>ELEC_HP</v>
      </c>
      <c r="X1075" s="7" t="str">
        <f t="array" ref="X1075">INDEX(xlRTTYNAME,MATCH(1,(xlRTTYENDU=1)*(xlRTTYEQCL=$D1075)*(xlRTEQTYPE=$E1075),0))</f>
        <v>ELEC_HP3</v>
      </c>
      <c r="Y1075" s="7" t="str">
        <f t="array" ref="Y1075">INDEX(xlRTTYNAME,MATCH(1,(xlRTTYENDU=2)*(xlRTTYEQCL=$F1075)*(xlRTEQTYPE=$G1075),0))</f>
        <v>ELEC_HP3</v>
      </c>
    </row>
    <row r="1076" spans="2:25" ht="14.25" customHeight="1" x14ac:dyDescent="0.2">
      <c r="B1076" s="5">
        <v>2</v>
      </c>
      <c r="C1076" s="5">
        <v>2</v>
      </c>
      <c r="D1076" s="5">
        <v>2</v>
      </c>
      <c r="E1076" s="5">
        <v>4</v>
      </c>
      <c r="F1076" s="5">
        <v>3</v>
      </c>
      <c r="G1076" s="31">
        <v>10</v>
      </c>
      <c r="H1076" s="31">
        <v>2020</v>
      </c>
      <c r="I1076" s="5">
        <v>2050</v>
      </c>
      <c r="J1076" s="142">
        <v>1.0847</v>
      </c>
      <c r="K1076" s="142">
        <v>1.0345</v>
      </c>
      <c r="L1076" s="142">
        <v>1.0548999999999999</v>
      </c>
      <c r="M1076" s="142">
        <v>1.1834</v>
      </c>
      <c r="N1076" s="142">
        <v>1.1213</v>
      </c>
      <c r="O1076" s="142">
        <v>1.0538000000000001</v>
      </c>
      <c r="P1076" s="26">
        <v>551.25904424928763</v>
      </c>
      <c r="Q1076" s="35">
        <f t="array" ref="Q1076">SUM(IF(($S1076&gt;=4)*($C1076='TaxCred&amp;Subs'!$D$114:$D$121)*($H1076='TaxCred&amp;Subs'!$C$114:$C$121)*($H1076&lt;='TaxCred&amp;Subs'!$C$123),'TaxCred&amp;Subs'!$E$114:$E$121,0))</f>
        <v>0</v>
      </c>
      <c r="R1076" s="143">
        <v>0</v>
      </c>
      <c r="S1076" s="5">
        <v>3</v>
      </c>
      <c r="T1076" s="5" t="s">
        <v>239</v>
      </c>
      <c r="V1076" s="7" t="str">
        <f t="array" ref="V1076">INDEX(xlRTCLNAME,MATCH(1,(xlRTCLENDU=1)*(xlRTCLEQCL=$D1076),0))</f>
        <v>ELEC_HP</v>
      </c>
      <c r="W1076" s="7" t="str">
        <f t="array" ref="W1076">INDEX(xlRTCLNAME,MATCH(1,(xlRTCLENDU=2)*(xlRTCLEQCL=$F1076),0))</f>
        <v>ELEC_HP</v>
      </c>
      <c r="X1076" s="7" t="str">
        <f t="array" ref="X1076">INDEX(xlRTTYNAME,MATCH(1,(xlRTTYENDU=1)*(xlRTTYEQCL=$D1076)*(xlRTEQTYPE=$E1076),0))</f>
        <v>ELEC_HP3</v>
      </c>
      <c r="Y1076" s="7" t="str">
        <f t="array" ref="Y1076">INDEX(xlRTTYNAME,MATCH(1,(xlRTTYENDU=2)*(xlRTTYEQCL=$F1076)*(xlRTEQTYPE=$G1076),0))</f>
        <v>ELEC_HP3</v>
      </c>
    </row>
    <row r="1077" spans="2:25" ht="14.25" customHeight="1" x14ac:dyDescent="0.2">
      <c r="B1077" s="5">
        <v>3</v>
      </c>
      <c r="C1077" s="5">
        <v>2</v>
      </c>
      <c r="D1077" s="5">
        <v>2</v>
      </c>
      <c r="E1077" s="5">
        <v>4</v>
      </c>
      <c r="F1077" s="5">
        <v>3</v>
      </c>
      <c r="G1077" s="31">
        <v>10</v>
      </c>
      <c r="H1077" s="31">
        <v>2020</v>
      </c>
      <c r="I1077" s="5">
        <v>2050</v>
      </c>
      <c r="J1077" s="142">
        <v>1.0932999999999999</v>
      </c>
      <c r="K1077" s="142">
        <v>1.0345</v>
      </c>
      <c r="L1077" s="142">
        <v>0.90490000000000004</v>
      </c>
      <c r="M1077" s="142">
        <v>1.0828</v>
      </c>
      <c r="N1077" s="142">
        <v>1.0358000000000001</v>
      </c>
      <c r="O1077" s="142">
        <v>1.0538000000000001</v>
      </c>
      <c r="P1077" s="26">
        <v>2728.0600019068406</v>
      </c>
      <c r="Q1077" s="35">
        <f t="array" ref="Q1077">SUM(IF(($S1077&gt;=4)*($C1077='TaxCred&amp;Subs'!$D$114:$D$121)*($H1077='TaxCred&amp;Subs'!$C$114:$C$121)*($H1077&lt;='TaxCred&amp;Subs'!$C$123),'TaxCred&amp;Subs'!$E$114:$E$121,0))</f>
        <v>0</v>
      </c>
      <c r="R1077" s="143">
        <v>0</v>
      </c>
      <c r="S1077" s="5">
        <v>3</v>
      </c>
      <c r="T1077" s="5" t="s">
        <v>239</v>
      </c>
      <c r="V1077" s="7" t="str">
        <f t="array" ref="V1077">INDEX(xlRTCLNAME,MATCH(1,(xlRTCLENDU=1)*(xlRTCLEQCL=$D1077),0))</f>
        <v>ELEC_HP</v>
      </c>
      <c r="W1077" s="7" t="str">
        <f t="array" ref="W1077">INDEX(xlRTCLNAME,MATCH(1,(xlRTCLENDU=2)*(xlRTCLEQCL=$F1077),0))</f>
        <v>ELEC_HP</v>
      </c>
      <c r="X1077" s="7" t="str">
        <f t="array" ref="X1077">INDEX(xlRTTYNAME,MATCH(1,(xlRTTYENDU=1)*(xlRTTYEQCL=$D1077)*(xlRTEQTYPE=$E1077),0))</f>
        <v>ELEC_HP3</v>
      </c>
      <c r="Y1077" s="7" t="str">
        <f t="array" ref="Y1077">INDEX(xlRTTYNAME,MATCH(1,(xlRTTYENDU=2)*(xlRTTYEQCL=$F1077)*(xlRTEQTYPE=$G1077),0))</f>
        <v>ELEC_HP3</v>
      </c>
    </row>
    <row r="1078" spans="2:25" ht="14.25" customHeight="1" x14ac:dyDescent="0.2">
      <c r="B1078" s="5">
        <v>4</v>
      </c>
      <c r="C1078" s="5">
        <v>2</v>
      </c>
      <c r="D1078" s="5">
        <v>2</v>
      </c>
      <c r="E1078" s="5">
        <v>4</v>
      </c>
      <c r="F1078" s="5">
        <v>3</v>
      </c>
      <c r="G1078" s="31">
        <v>10</v>
      </c>
      <c r="H1078" s="31">
        <v>2020</v>
      </c>
      <c r="I1078" s="5">
        <v>2050</v>
      </c>
      <c r="J1078" s="142">
        <v>1.0956999999999999</v>
      </c>
      <c r="K1078" s="142">
        <v>1.0417000000000001</v>
      </c>
      <c r="L1078" s="142">
        <v>1.0775999999999999</v>
      </c>
      <c r="M1078" s="142">
        <v>1.175</v>
      </c>
      <c r="N1078" s="142">
        <v>1.1621999999999999</v>
      </c>
      <c r="O1078" s="142">
        <v>1.0538000000000001</v>
      </c>
      <c r="P1078" s="26">
        <v>2361.002150492071</v>
      </c>
      <c r="Q1078" s="35">
        <f t="array" ref="Q1078">SUM(IF(($S1078&gt;=4)*($C1078='TaxCred&amp;Subs'!$D$114:$D$121)*($H1078='TaxCred&amp;Subs'!$C$114:$C$121)*($H1078&lt;='TaxCred&amp;Subs'!$C$123),'TaxCred&amp;Subs'!$E$114:$E$121,0))</f>
        <v>0</v>
      </c>
      <c r="R1078" s="143">
        <v>0</v>
      </c>
      <c r="S1078" s="5">
        <v>3</v>
      </c>
      <c r="T1078" s="5" t="s">
        <v>239</v>
      </c>
      <c r="V1078" s="7" t="str">
        <f t="array" ref="V1078">INDEX(xlRTCLNAME,MATCH(1,(xlRTCLENDU=1)*(xlRTCLEQCL=$D1078),0))</f>
        <v>ELEC_HP</v>
      </c>
      <c r="W1078" s="7" t="str">
        <f t="array" ref="W1078">INDEX(xlRTCLNAME,MATCH(1,(xlRTCLENDU=2)*(xlRTCLEQCL=$F1078),0))</f>
        <v>ELEC_HP</v>
      </c>
      <c r="X1078" s="7" t="str">
        <f t="array" ref="X1078">INDEX(xlRTTYNAME,MATCH(1,(xlRTTYENDU=1)*(xlRTTYEQCL=$D1078)*(xlRTEQTYPE=$E1078),0))</f>
        <v>ELEC_HP3</v>
      </c>
      <c r="Y1078" s="7" t="str">
        <f t="array" ref="Y1078">INDEX(xlRTTYNAME,MATCH(1,(xlRTTYENDU=2)*(xlRTTYEQCL=$F1078)*(xlRTEQTYPE=$G1078),0))</f>
        <v>ELEC_HP3</v>
      </c>
    </row>
    <row r="1079" spans="2:25" ht="14.25" customHeight="1" x14ac:dyDescent="0.2">
      <c r="B1079" s="5">
        <v>5</v>
      </c>
      <c r="C1079" s="5">
        <v>2</v>
      </c>
      <c r="D1079" s="5">
        <v>2</v>
      </c>
      <c r="E1079" s="5">
        <v>4</v>
      </c>
      <c r="F1079" s="5">
        <v>3</v>
      </c>
      <c r="G1079" s="31">
        <v>10</v>
      </c>
      <c r="H1079" s="31">
        <v>2020</v>
      </c>
      <c r="I1079" s="5">
        <v>2050</v>
      </c>
      <c r="J1079" s="142">
        <v>1.1200000000000001</v>
      </c>
      <c r="K1079" s="142">
        <v>1.0545</v>
      </c>
      <c r="L1079" s="142">
        <v>1.2771999999999999</v>
      </c>
      <c r="M1079" s="142">
        <v>1.149</v>
      </c>
      <c r="N1079" s="142">
        <v>1.2490000000000001</v>
      </c>
      <c r="O1079" s="142">
        <v>1.0538000000000001</v>
      </c>
      <c r="P1079" s="26">
        <v>1946.885600177972</v>
      </c>
      <c r="Q1079" s="35">
        <f t="array" ref="Q1079">SUM(IF(($S1079&gt;=4)*($C1079='TaxCred&amp;Subs'!$D$114:$D$121)*($H1079='TaxCred&amp;Subs'!$C$114:$C$121)*($H1079&lt;='TaxCred&amp;Subs'!$C$123),'TaxCred&amp;Subs'!$E$114:$E$121,0))</f>
        <v>0</v>
      </c>
      <c r="R1079" s="143">
        <v>0</v>
      </c>
      <c r="S1079" s="5">
        <v>3</v>
      </c>
      <c r="T1079" s="5" t="s">
        <v>239</v>
      </c>
      <c r="V1079" s="7" t="str">
        <f t="array" ref="V1079">INDEX(xlRTCLNAME,MATCH(1,(xlRTCLENDU=1)*(xlRTCLEQCL=$D1079),0))</f>
        <v>ELEC_HP</v>
      </c>
      <c r="W1079" s="7" t="str">
        <f t="array" ref="W1079">INDEX(xlRTCLNAME,MATCH(1,(xlRTCLENDU=2)*(xlRTCLEQCL=$F1079),0))</f>
        <v>ELEC_HP</v>
      </c>
      <c r="X1079" s="7" t="str">
        <f t="array" ref="X1079">INDEX(xlRTTYNAME,MATCH(1,(xlRTTYENDU=1)*(xlRTTYEQCL=$D1079)*(xlRTEQTYPE=$E1079),0))</f>
        <v>ELEC_HP3</v>
      </c>
      <c r="Y1079" s="7" t="str">
        <f t="array" ref="Y1079">INDEX(xlRTTYNAME,MATCH(1,(xlRTTYENDU=2)*(xlRTTYEQCL=$F1079)*(xlRTEQTYPE=$G1079),0))</f>
        <v>ELEC_HP3</v>
      </c>
    </row>
    <row r="1080" spans="2:25" ht="14.25" customHeight="1" x14ac:dyDescent="0.2">
      <c r="B1080" s="5">
        <v>6</v>
      </c>
      <c r="C1080" s="5">
        <v>2</v>
      </c>
      <c r="D1080" s="5">
        <v>2</v>
      </c>
      <c r="E1080" s="5">
        <v>4</v>
      </c>
      <c r="F1080" s="5">
        <v>3</v>
      </c>
      <c r="G1080" s="31">
        <v>10</v>
      </c>
      <c r="H1080" s="31">
        <v>2020</v>
      </c>
      <c r="I1080" s="5">
        <v>2050</v>
      </c>
      <c r="J1080" s="142">
        <v>1.087</v>
      </c>
      <c r="K1080" s="142">
        <v>1.0385</v>
      </c>
      <c r="L1080" s="142">
        <v>1.4855</v>
      </c>
      <c r="M1080" s="142">
        <v>1.1796</v>
      </c>
      <c r="N1080" s="142">
        <v>1.3324</v>
      </c>
      <c r="O1080" s="142">
        <v>1.0538000000000001</v>
      </c>
      <c r="P1080" s="26">
        <v>2147.2212040636887</v>
      </c>
      <c r="Q1080" s="35">
        <f t="array" ref="Q1080">SUM(IF(($S1080&gt;=4)*($C1080='TaxCred&amp;Subs'!$D$114:$D$121)*($H1080='TaxCred&amp;Subs'!$C$114:$C$121)*($H1080&lt;='TaxCred&amp;Subs'!$C$123),'TaxCred&amp;Subs'!$E$114:$E$121,0))</f>
        <v>0</v>
      </c>
      <c r="R1080" s="143">
        <v>0</v>
      </c>
      <c r="S1080" s="5">
        <v>3</v>
      </c>
      <c r="T1080" s="5" t="s">
        <v>239</v>
      </c>
      <c r="V1080" s="7" t="str">
        <f t="array" ref="V1080">INDEX(xlRTCLNAME,MATCH(1,(xlRTCLENDU=1)*(xlRTCLEQCL=$D1080),0))</f>
        <v>ELEC_HP</v>
      </c>
      <c r="W1080" s="7" t="str">
        <f t="array" ref="W1080">INDEX(xlRTCLNAME,MATCH(1,(xlRTCLENDU=2)*(xlRTCLEQCL=$F1080),0))</f>
        <v>ELEC_HP</v>
      </c>
      <c r="X1080" s="7" t="str">
        <f t="array" ref="X1080">INDEX(xlRTTYNAME,MATCH(1,(xlRTTYENDU=1)*(xlRTTYEQCL=$D1080)*(xlRTEQTYPE=$E1080),0))</f>
        <v>ELEC_HP3</v>
      </c>
      <c r="Y1080" s="7" t="str">
        <f t="array" ref="Y1080">INDEX(xlRTTYNAME,MATCH(1,(xlRTTYENDU=2)*(xlRTTYEQCL=$F1080)*(xlRTEQTYPE=$G1080),0))</f>
        <v>ELEC_HP3</v>
      </c>
    </row>
    <row r="1081" spans="2:25" ht="14.25" customHeight="1" x14ac:dyDescent="0.2">
      <c r="B1081" s="5">
        <v>7</v>
      </c>
      <c r="C1081" s="5">
        <v>2</v>
      </c>
      <c r="D1081" s="5">
        <v>2</v>
      </c>
      <c r="E1081" s="5">
        <v>4</v>
      </c>
      <c r="F1081" s="5">
        <v>3</v>
      </c>
      <c r="G1081" s="31">
        <v>10</v>
      </c>
      <c r="H1081" s="31">
        <v>2020</v>
      </c>
      <c r="I1081" s="5">
        <v>2050</v>
      </c>
      <c r="J1081" s="142">
        <v>1.1200000000000001</v>
      </c>
      <c r="K1081" s="142">
        <v>1.0435000000000001</v>
      </c>
      <c r="L1081" s="142">
        <v>2</v>
      </c>
      <c r="M1081" s="142">
        <v>1.1861999999999999</v>
      </c>
      <c r="N1081" s="142">
        <v>1.4438</v>
      </c>
      <c r="O1081" s="142">
        <v>1.0538000000000001</v>
      </c>
      <c r="P1081" s="26">
        <v>1881.0034217189107</v>
      </c>
      <c r="Q1081" s="35">
        <f t="array" ref="Q1081">SUM(IF(($S1081&gt;=4)*($C1081='TaxCred&amp;Subs'!$D$114:$D$121)*($H1081='TaxCred&amp;Subs'!$C$114:$C$121)*($H1081&lt;='TaxCred&amp;Subs'!$C$123),'TaxCred&amp;Subs'!$E$114:$E$121,0))</f>
        <v>0</v>
      </c>
      <c r="R1081" s="143">
        <v>0</v>
      </c>
      <c r="S1081" s="5">
        <v>3</v>
      </c>
      <c r="T1081" s="5" t="s">
        <v>239</v>
      </c>
      <c r="V1081" s="7" t="str">
        <f t="array" ref="V1081">INDEX(xlRTCLNAME,MATCH(1,(xlRTCLENDU=1)*(xlRTCLEQCL=$D1081),0))</f>
        <v>ELEC_HP</v>
      </c>
      <c r="W1081" s="7" t="str">
        <f t="array" ref="W1081">INDEX(xlRTCLNAME,MATCH(1,(xlRTCLENDU=2)*(xlRTCLEQCL=$F1081),0))</f>
        <v>ELEC_HP</v>
      </c>
      <c r="X1081" s="7" t="str">
        <f t="array" ref="X1081">INDEX(xlRTTYNAME,MATCH(1,(xlRTTYENDU=1)*(xlRTTYEQCL=$D1081)*(xlRTEQTYPE=$E1081),0))</f>
        <v>ELEC_HP3</v>
      </c>
      <c r="Y1081" s="7" t="str">
        <f t="array" ref="Y1081">INDEX(xlRTTYNAME,MATCH(1,(xlRTTYENDU=2)*(xlRTTYEQCL=$F1081)*(xlRTEQTYPE=$G1081),0))</f>
        <v>ELEC_HP3</v>
      </c>
    </row>
    <row r="1082" spans="2:25" ht="14.25" customHeight="1" x14ac:dyDescent="0.2">
      <c r="B1082" s="5">
        <v>8</v>
      </c>
      <c r="C1082" s="5">
        <v>2</v>
      </c>
      <c r="D1082" s="5">
        <v>2</v>
      </c>
      <c r="E1082" s="5">
        <v>4</v>
      </c>
      <c r="F1082" s="5">
        <v>3</v>
      </c>
      <c r="G1082" s="31">
        <v>10</v>
      </c>
      <c r="H1082" s="31">
        <v>2020</v>
      </c>
      <c r="I1082" s="5">
        <v>2050</v>
      </c>
      <c r="J1082" s="142">
        <v>1.0889</v>
      </c>
      <c r="K1082" s="142">
        <v>1.0313000000000001</v>
      </c>
      <c r="L1082" s="142">
        <v>1.1374</v>
      </c>
      <c r="M1082" s="142">
        <v>1.2739</v>
      </c>
      <c r="N1082" s="142">
        <v>1.2706</v>
      </c>
      <c r="O1082" s="142">
        <v>1.0538000000000001</v>
      </c>
      <c r="P1082" s="26">
        <v>2521.001726749791</v>
      </c>
      <c r="Q1082" s="35">
        <f t="array" ref="Q1082">SUM(IF(($S1082&gt;=4)*($C1082='TaxCred&amp;Subs'!$D$114:$D$121)*($H1082='TaxCred&amp;Subs'!$C$114:$C$121)*($H1082&lt;='TaxCred&amp;Subs'!$C$123),'TaxCred&amp;Subs'!$E$114:$E$121,0))</f>
        <v>0</v>
      </c>
      <c r="R1082" s="143">
        <v>0</v>
      </c>
      <c r="S1082" s="5">
        <v>3</v>
      </c>
      <c r="T1082" s="5" t="s">
        <v>239</v>
      </c>
      <c r="V1082" s="7" t="str">
        <f t="array" ref="V1082">INDEX(xlRTCLNAME,MATCH(1,(xlRTCLENDU=1)*(xlRTCLEQCL=$D1082),0))</f>
        <v>ELEC_HP</v>
      </c>
      <c r="W1082" s="7" t="str">
        <f t="array" ref="W1082">INDEX(xlRTCLNAME,MATCH(1,(xlRTCLENDU=2)*(xlRTCLEQCL=$F1082),0))</f>
        <v>ELEC_HP</v>
      </c>
      <c r="X1082" s="7" t="str">
        <f t="array" ref="X1082">INDEX(xlRTTYNAME,MATCH(1,(xlRTTYENDU=1)*(xlRTTYEQCL=$D1082)*(xlRTEQTYPE=$E1082),0))</f>
        <v>ELEC_HP3</v>
      </c>
      <c r="Y1082" s="7" t="str">
        <f t="array" ref="Y1082">INDEX(xlRTTYNAME,MATCH(1,(xlRTTYENDU=2)*(xlRTTYEQCL=$F1082)*(xlRTEQTYPE=$G1082),0))</f>
        <v>ELEC_HP3</v>
      </c>
    </row>
    <row r="1083" spans="2:25" ht="14.25" customHeight="1" x14ac:dyDescent="0.2">
      <c r="B1083" s="5">
        <v>9</v>
      </c>
      <c r="C1083" s="5">
        <v>2</v>
      </c>
      <c r="D1083" s="5">
        <v>2</v>
      </c>
      <c r="E1083" s="5">
        <v>4</v>
      </c>
      <c r="F1083" s="5">
        <v>3</v>
      </c>
      <c r="G1083" s="31">
        <v>10</v>
      </c>
      <c r="H1083" s="31">
        <v>2020</v>
      </c>
      <c r="I1083" s="5">
        <v>2050</v>
      </c>
      <c r="J1083" s="142">
        <v>1.1200000000000001</v>
      </c>
      <c r="K1083" s="142">
        <v>1.0512999999999999</v>
      </c>
      <c r="L1083" s="142">
        <v>2</v>
      </c>
      <c r="M1083" s="142">
        <v>1.2334000000000001</v>
      </c>
      <c r="N1083" s="142">
        <v>1.4438</v>
      </c>
      <c r="O1083" s="142">
        <v>1.0538000000000001</v>
      </c>
      <c r="P1083" s="26">
        <v>2713.2701251099083</v>
      </c>
      <c r="Q1083" s="35">
        <f t="array" ref="Q1083">SUM(IF(($S1083&gt;=4)*($C1083='TaxCred&amp;Subs'!$D$114:$D$121)*($H1083='TaxCred&amp;Subs'!$C$114:$C$121)*($H1083&lt;='TaxCred&amp;Subs'!$C$123),'TaxCred&amp;Subs'!$E$114:$E$121,0))</f>
        <v>0</v>
      </c>
      <c r="R1083" s="143">
        <v>0</v>
      </c>
      <c r="S1083" s="5">
        <v>3</v>
      </c>
      <c r="T1083" s="5" t="s">
        <v>239</v>
      </c>
      <c r="V1083" s="7" t="str">
        <f t="array" ref="V1083">INDEX(xlRTCLNAME,MATCH(1,(xlRTCLENDU=1)*(xlRTCLEQCL=$D1083),0))</f>
        <v>ELEC_HP</v>
      </c>
      <c r="W1083" s="7" t="str">
        <f t="array" ref="W1083">INDEX(xlRTCLNAME,MATCH(1,(xlRTCLENDU=2)*(xlRTCLEQCL=$F1083),0))</f>
        <v>ELEC_HP</v>
      </c>
      <c r="X1083" s="7" t="str">
        <f t="array" ref="X1083">INDEX(xlRTTYNAME,MATCH(1,(xlRTTYENDU=1)*(xlRTTYEQCL=$D1083)*(xlRTEQTYPE=$E1083),0))</f>
        <v>ELEC_HP3</v>
      </c>
      <c r="Y1083" s="7" t="str">
        <f t="array" ref="Y1083">INDEX(xlRTTYNAME,MATCH(1,(xlRTTYENDU=2)*(xlRTTYEQCL=$F1083)*(xlRTEQTYPE=$G1083),0))</f>
        <v>ELEC_HP3</v>
      </c>
    </row>
    <row r="1084" spans="2:25" ht="14.25" customHeight="1" x14ac:dyDescent="0.2">
      <c r="B1084" s="5">
        <v>1</v>
      </c>
      <c r="C1084" s="5">
        <v>2</v>
      </c>
      <c r="D1084" s="5">
        <v>3</v>
      </c>
      <c r="E1084" s="5">
        <v>8</v>
      </c>
      <c r="F1084" s="5">
        <v>2</v>
      </c>
      <c r="G1084" s="31">
        <v>6</v>
      </c>
      <c r="H1084" s="31">
        <v>2020</v>
      </c>
      <c r="I1084" s="31">
        <v>2028</v>
      </c>
      <c r="J1084" s="142">
        <v>1.1042000000000001</v>
      </c>
      <c r="K1084" s="142">
        <v>1.0417000000000001</v>
      </c>
      <c r="L1084" s="142">
        <v>0.92490000000000006</v>
      </c>
      <c r="M1084" s="142">
        <v>1.1455</v>
      </c>
      <c r="N1084" s="142">
        <v>1.1127</v>
      </c>
      <c r="O1084" s="142">
        <v>1.0538000000000001</v>
      </c>
      <c r="P1084" s="26">
        <v>4194.9468733116528</v>
      </c>
      <c r="Q1084" s="35">
        <f t="array" ref="Q1084">SUM(IF(($S1084&gt;=4)*($C1084='TaxCred&amp;Subs'!$D$114:$D$121)*($H1084='TaxCred&amp;Subs'!$C$114:$C$121)*($H1084&lt;='TaxCred&amp;Subs'!$C$123),'TaxCred&amp;Subs'!$E$114:$E$121,0))</f>
        <v>0</v>
      </c>
      <c r="R1084" s="143">
        <v>0</v>
      </c>
      <c r="S1084" s="5">
        <v>3</v>
      </c>
      <c r="T1084" s="5" t="s">
        <v>239</v>
      </c>
      <c r="V1084" s="7" t="str">
        <f t="array" ref="V1084">INDEX(xlRTCLNAME,MATCH(1,(xlRTCLENDU=1)*(xlRTCLEQCL=$D1084),0))</f>
        <v>NG_FA</v>
      </c>
      <c r="W1084" s="7" t="str">
        <f t="array" ref="W1084">INDEX(xlRTCLNAME,MATCH(1,(xlRTCLENDU=2)*(xlRTCLEQCL=$F1084),0))</f>
        <v>CENT_AIR</v>
      </c>
      <c r="X1084" s="7" t="str">
        <f t="array" ref="X1084">INDEX(xlRTTYNAME,MATCH(1,(xlRTTYENDU=1)*(xlRTTYEQCL=$D1084)*(xlRTEQTYPE=$E1084),0))</f>
        <v>NG_FA3</v>
      </c>
      <c r="Y1084" s="7" t="str">
        <f t="array" ref="Y1084">INDEX(xlRTTYNAME,MATCH(1,(xlRTTYENDU=2)*(xlRTTYEQCL=$F1084)*(xlRTEQTYPE=$G1084),0))</f>
        <v>CENT_AIR3</v>
      </c>
    </row>
    <row r="1085" spans="2:25" ht="14.25" customHeight="1" x14ac:dyDescent="0.2">
      <c r="B1085" s="152">
        <v>1</v>
      </c>
      <c r="C1085" s="152">
        <v>2</v>
      </c>
      <c r="D1085" s="152">
        <v>3</v>
      </c>
      <c r="E1085" s="152">
        <v>9</v>
      </c>
      <c r="F1085" s="152">
        <v>2</v>
      </c>
      <c r="G1085" s="152">
        <v>6</v>
      </c>
      <c r="H1085" s="152">
        <v>2029</v>
      </c>
      <c r="I1085" s="152">
        <v>2050</v>
      </c>
      <c r="J1085" s="229">
        <v>1.1042000000000001</v>
      </c>
      <c r="K1085" s="229">
        <v>1.0417000000000001</v>
      </c>
      <c r="L1085" s="229">
        <v>0.92490000000000006</v>
      </c>
      <c r="M1085" s="229">
        <v>1.1455</v>
      </c>
      <c r="N1085" s="229">
        <v>1.1127</v>
      </c>
      <c r="O1085" s="229">
        <v>1.0538000000000001</v>
      </c>
      <c r="P1085" s="155">
        <v>4194.9468733116528</v>
      </c>
      <c r="Q1085" s="41">
        <f t="array" ref="Q1085">SUM(IF(($S1085&gt;=4)*($C1085='TaxCred&amp;Subs'!$D$114:$D$121)*($H1085='TaxCred&amp;Subs'!$C$114:$C$121)*($H1085&lt;='TaxCred&amp;Subs'!$C$123),'TaxCred&amp;Subs'!$E$114:$E$121,0))</f>
        <v>0</v>
      </c>
      <c r="R1085" s="230">
        <v>0</v>
      </c>
      <c r="S1085" s="152">
        <v>3</v>
      </c>
      <c r="T1085" s="152" t="s">
        <v>239</v>
      </c>
      <c r="V1085" s="7" t="str">
        <f t="array" ref="V1085">INDEX(xlRTCLNAME,MATCH(1,(xlRTCLENDU=1)*(xlRTCLEQCL=$D1085),0))</f>
        <v>NG_FA</v>
      </c>
      <c r="W1085" s="7" t="str">
        <f t="array" ref="W1085">INDEX(xlRTCLNAME,MATCH(1,(xlRTCLENDU=2)*(xlRTCLEQCL=$F1085),0))</f>
        <v>CENT_AIR</v>
      </c>
      <c r="X1085" s="7" t="str">
        <f t="array" ref="X1085">INDEX(xlRTTYNAME,MATCH(1,(xlRTTYENDU=1)*(xlRTTYEQCL=$D1085)*(xlRTEQTYPE=$E1085),0))</f>
        <v>NG_FA4</v>
      </c>
      <c r="Y1085" s="7" t="str">
        <f t="array" ref="Y1085">INDEX(xlRTTYNAME,MATCH(1,(xlRTTYENDU=2)*(xlRTTYEQCL=$F1085)*(xlRTEQTYPE=$G1085),0))</f>
        <v>CENT_AIR3</v>
      </c>
    </row>
    <row r="1086" spans="2:25" ht="14.25" customHeight="1" x14ac:dyDescent="0.2">
      <c r="B1086" s="5">
        <v>2</v>
      </c>
      <c r="C1086" s="5">
        <v>2</v>
      </c>
      <c r="D1086" s="5">
        <v>3</v>
      </c>
      <c r="E1086" s="5">
        <v>8</v>
      </c>
      <c r="F1086" s="5">
        <v>2</v>
      </c>
      <c r="G1086" s="31">
        <v>6</v>
      </c>
      <c r="H1086" s="31">
        <v>2020</v>
      </c>
      <c r="I1086" s="31">
        <v>2028</v>
      </c>
      <c r="J1086" s="142">
        <v>1.0847</v>
      </c>
      <c r="K1086" s="142">
        <v>1.0357000000000001</v>
      </c>
      <c r="L1086" s="142">
        <v>0.99829999999999997</v>
      </c>
      <c r="M1086" s="142">
        <v>1.1834</v>
      </c>
      <c r="N1086" s="142">
        <v>1.1162000000000001</v>
      </c>
      <c r="O1086" s="142">
        <v>1.0538000000000001</v>
      </c>
      <c r="P1086" s="26">
        <v>3038.6474146424148</v>
      </c>
      <c r="Q1086" s="35">
        <f t="array" ref="Q1086">SUM(IF(($S1086&gt;=4)*($C1086='TaxCred&amp;Subs'!$D$114:$D$121)*($H1086='TaxCred&amp;Subs'!$C$114:$C$121)*($H1086&lt;='TaxCred&amp;Subs'!$C$123),'TaxCred&amp;Subs'!$E$114:$E$121,0))</f>
        <v>0</v>
      </c>
      <c r="R1086" s="143">
        <v>0</v>
      </c>
      <c r="S1086" s="5">
        <v>3</v>
      </c>
      <c r="T1086" s="5" t="s">
        <v>239</v>
      </c>
      <c r="V1086" s="7" t="str">
        <f t="array" ref="V1086">INDEX(xlRTCLNAME,MATCH(1,(xlRTCLENDU=1)*(xlRTCLEQCL=$D1086),0))</f>
        <v>NG_FA</v>
      </c>
      <c r="W1086" s="7" t="str">
        <f t="array" ref="W1086">INDEX(xlRTCLNAME,MATCH(1,(xlRTCLENDU=2)*(xlRTCLEQCL=$F1086),0))</f>
        <v>CENT_AIR</v>
      </c>
      <c r="X1086" s="7" t="str">
        <f t="array" ref="X1086">INDEX(xlRTTYNAME,MATCH(1,(xlRTTYENDU=1)*(xlRTTYEQCL=$D1086)*(xlRTEQTYPE=$E1086),0))</f>
        <v>NG_FA3</v>
      </c>
      <c r="Y1086" s="7" t="str">
        <f t="array" ref="Y1086">INDEX(xlRTTYNAME,MATCH(1,(xlRTTYENDU=2)*(xlRTTYEQCL=$F1086)*(xlRTEQTYPE=$G1086),0))</f>
        <v>CENT_AIR3</v>
      </c>
    </row>
    <row r="1087" spans="2:25" ht="14.25" customHeight="1" x14ac:dyDescent="0.2">
      <c r="B1087" s="152">
        <v>2</v>
      </c>
      <c r="C1087" s="152">
        <v>2</v>
      </c>
      <c r="D1087" s="152">
        <v>3</v>
      </c>
      <c r="E1087" s="152">
        <v>9</v>
      </c>
      <c r="F1087" s="152">
        <v>2</v>
      </c>
      <c r="G1087" s="152">
        <v>6</v>
      </c>
      <c r="H1087" s="152">
        <v>2029</v>
      </c>
      <c r="I1087" s="152">
        <v>2050</v>
      </c>
      <c r="J1087" s="229">
        <v>1.0847</v>
      </c>
      <c r="K1087" s="229">
        <v>1.0357000000000001</v>
      </c>
      <c r="L1087" s="229">
        <v>0.99829999999999997</v>
      </c>
      <c r="M1087" s="229">
        <v>1.1834</v>
      </c>
      <c r="N1087" s="229">
        <v>1.1162000000000001</v>
      </c>
      <c r="O1087" s="229">
        <v>1.0538000000000001</v>
      </c>
      <c r="P1087" s="155">
        <v>3038.6474146424148</v>
      </c>
      <c r="Q1087" s="41">
        <f t="array" ref="Q1087">SUM(IF(($S1087&gt;=4)*($C1087='TaxCred&amp;Subs'!$D$114:$D$121)*($H1087='TaxCred&amp;Subs'!$C$114:$C$121)*($H1087&lt;='TaxCred&amp;Subs'!$C$123),'TaxCred&amp;Subs'!$E$114:$E$121,0))</f>
        <v>0</v>
      </c>
      <c r="R1087" s="230">
        <v>0</v>
      </c>
      <c r="S1087" s="152">
        <v>3</v>
      </c>
      <c r="T1087" s="152" t="s">
        <v>239</v>
      </c>
      <c r="V1087" s="7" t="str">
        <f t="array" ref="V1087">INDEX(xlRTCLNAME,MATCH(1,(xlRTCLENDU=1)*(xlRTCLEQCL=$D1087),0))</f>
        <v>NG_FA</v>
      </c>
      <c r="W1087" s="7" t="str">
        <f t="array" ref="W1087">INDEX(xlRTCLNAME,MATCH(1,(xlRTCLENDU=2)*(xlRTCLEQCL=$F1087),0))</f>
        <v>CENT_AIR</v>
      </c>
      <c r="X1087" s="7" t="str">
        <f t="array" ref="X1087">INDEX(xlRTTYNAME,MATCH(1,(xlRTTYENDU=1)*(xlRTTYEQCL=$D1087)*(xlRTEQTYPE=$E1087),0))</f>
        <v>NG_FA4</v>
      </c>
      <c r="Y1087" s="7" t="str">
        <f t="array" ref="Y1087">INDEX(xlRTTYNAME,MATCH(1,(xlRTTYENDU=2)*(xlRTTYEQCL=$F1087)*(xlRTEQTYPE=$G1087),0))</f>
        <v>CENT_AIR3</v>
      </c>
    </row>
    <row r="1088" spans="2:25" ht="14.25" customHeight="1" x14ac:dyDescent="0.2">
      <c r="B1088" s="5">
        <v>3</v>
      </c>
      <c r="C1088" s="5">
        <v>2</v>
      </c>
      <c r="D1088" s="5">
        <v>3</v>
      </c>
      <c r="E1088" s="5">
        <v>8</v>
      </c>
      <c r="F1088" s="5">
        <v>2</v>
      </c>
      <c r="G1088" s="31">
        <v>6</v>
      </c>
      <c r="H1088" s="31">
        <v>2020</v>
      </c>
      <c r="I1088" s="31">
        <v>2028</v>
      </c>
      <c r="J1088" s="142">
        <v>1.0984</v>
      </c>
      <c r="K1088" s="142">
        <v>1.0345</v>
      </c>
      <c r="L1088" s="142">
        <v>0.83499999999999996</v>
      </c>
      <c r="M1088" s="142">
        <v>1.0828</v>
      </c>
      <c r="N1088" s="142">
        <v>1.0399</v>
      </c>
      <c r="O1088" s="142">
        <v>1.0538000000000001</v>
      </c>
      <c r="P1088" s="26">
        <v>3572.4275135862376</v>
      </c>
      <c r="Q1088" s="35">
        <f t="array" ref="Q1088">SUM(IF(($S1088&gt;=4)*($C1088='TaxCred&amp;Subs'!$D$114:$D$121)*($H1088='TaxCred&amp;Subs'!$C$114:$C$121)*($H1088&lt;='TaxCred&amp;Subs'!$C$123),'TaxCred&amp;Subs'!$E$114:$E$121,0))</f>
        <v>0</v>
      </c>
      <c r="R1088" s="143">
        <v>0</v>
      </c>
      <c r="S1088" s="5">
        <v>3</v>
      </c>
      <c r="T1088" s="5" t="s">
        <v>239</v>
      </c>
      <c r="V1088" s="7" t="str">
        <f t="array" ref="V1088">INDEX(xlRTCLNAME,MATCH(1,(xlRTCLENDU=1)*(xlRTCLEQCL=$D1088),0))</f>
        <v>NG_FA</v>
      </c>
      <c r="W1088" s="7" t="str">
        <f t="array" ref="W1088">INDEX(xlRTCLNAME,MATCH(1,(xlRTCLENDU=2)*(xlRTCLEQCL=$F1088),0))</f>
        <v>CENT_AIR</v>
      </c>
      <c r="X1088" s="7" t="str">
        <f t="array" ref="X1088">INDEX(xlRTTYNAME,MATCH(1,(xlRTTYENDU=1)*(xlRTTYEQCL=$D1088)*(xlRTEQTYPE=$E1088),0))</f>
        <v>NG_FA3</v>
      </c>
      <c r="Y1088" s="7" t="str">
        <f t="array" ref="Y1088">INDEX(xlRTTYNAME,MATCH(1,(xlRTTYENDU=2)*(xlRTTYEQCL=$F1088)*(xlRTEQTYPE=$G1088),0))</f>
        <v>CENT_AIR3</v>
      </c>
    </row>
    <row r="1089" spans="2:25" ht="14.25" customHeight="1" x14ac:dyDescent="0.2">
      <c r="B1089" s="152">
        <v>3</v>
      </c>
      <c r="C1089" s="152">
        <v>2</v>
      </c>
      <c r="D1089" s="152">
        <v>3</v>
      </c>
      <c r="E1089" s="152">
        <v>9</v>
      </c>
      <c r="F1089" s="152">
        <v>2</v>
      </c>
      <c r="G1089" s="152">
        <v>6</v>
      </c>
      <c r="H1089" s="152">
        <v>2029</v>
      </c>
      <c r="I1089" s="152">
        <v>2050</v>
      </c>
      <c r="J1089" s="229">
        <v>1.0984</v>
      </c>
      <c r="K1089" s="229">
        <v>1.0345</v>
      </c>
      <c r="L1089" s="229">
        <v>0.83499999999999996</v>
      </c>
      <c r="M1089" s="229">
        <v>1.0828</v>
      </c>
      <c r="N1089" s="229">
        <v>1.0399</v>
      </c>
      <c r="O1089" s="229">
        <v>1.0538000000000001</v>
      </c>
      <c r="P1089" s="155">
        <v>3572.4275135862376</v>
      </c>
      <c r="Q1089" s="41">
        <f t="array" ref="Q1089">SUM(IF(($S1089&gt;=4)*($C1089='TaxCred&amp;Subs'!$D$114:$D$121)*($H1089='TaxCred&amp;Subs'!$C$114:$C$121)*($H1089&lt;='TaxCred&amp;Subs'!$C$123),'TaxCred&amp;Subs'!$E$114:$E$121,0))</f>
        <v>0</v>
      </c>
      <c r="R1089" s="230">
        <v>0</v>
      </c>
      <c r="S1089" s="152">
        <v>3</v>
      </c>
      <c r="T1089" s="152" t="s">
        <v>239</v>
      </c>
      <c r="V1089" s="7" t="str">
        <f t="array" ref="V1089">INDEX(xlRTCLNAME,MATCH(1,(xlRTCLENDU=1)*(xlRTCLEQCL=$D1089),0))</f>
        <v>NG_FA</v>
      </c>
      <c r="W1089" s="7" t="str">
        <f t="array" ref="W1089">INDEX(xlRTCLNAME,MATCH(1,(xlRTCLENDU=2)*(xlRTCLEQCL=$F1089),0))</f>
        <v>CENT_AIR</v>
      </c>
      <c r="X1089" s="7" t="str">
        <f t="array" ref="X1089">INDEX(xlRTTYNAME,MATCH(1,(xlRTTYENDU=1)*(xlRTTYEQCL=$D1089)*(xlRTEQTYPE=$E1089),0))</f>
        <v>NG_FA4</v>
      </c>
      <c r="Y1089" s="7" t="str">
        <f t="array" ref="Y1089">INDEX(xlRTTYNAME,MATCH(1,(xlRTTYENDU=2)*(xlRTTYEQCL=$F1089)*(xlRTEQTYPE=$G1089),0))</f>
        <v>CENT_AIR3</v>
      </c>
    </row>
    <row r="1090" spans="2:25" ht="14.25" customHeight="1" x14ac:dyDescent="0.2">
      <c r="B1090" s="5">
        <v>4</v>
      </c>
      <c r="C1090" s="5">
        <v>2</v>
      </c>
      <c r="D1090" s="5">
        <v>3</v>
      </c>
      <c r="E1090" s="5">
        <v>8</v>
      </c>
      <c r="F1090" s="5">
        <v>2</v>
      </c>
      <c r="G1090" s="31">
        <v>6</v>
      </c>
      <c r="H1090" s="31">
        <v>2020</v>
      </c>
      <c r="I1090" s="31">
        <v>2028</v>
      </c>
      <c r="J1090" s="142">
        <v>1.1000000000000001</v>
      </c>
      <c r="K1090" s="142">
        <v>1.0435000000000001</v>
      </c>
      <c r="L1090" s="142">
        <v>0.99419999999999997</v>
      </c>
      <c r="M1090" s="142">
        <v>1.1499999999999999</v>
      </c>
      <c r="N1090" s="142">
        <v>1.1696</v>
      </c>
      <c r="O1090" s="142">
        <v>1.0538000000000001</v>
      </c>
      <c r="P1090" s="26">
        <v>3092.4287848130771</v>
      </c>
      <c r="Q1090" s="35">
        <f t="array" ref="Q1090">SUM(IF(($S1090&gt;=4)*($C1090='TaxCred&amp;Subs'!$D$114:$D$121)*($H1090='TaxCred&amp;Subs'!$C$114:$C$121)*($H1090&lt;='TaxCred&amp;Subs'!$C$123),'TaxCred&amp;Subs'!$E$114:$E$121,0))</f>
        <v>0</v>
      </c>
      <c r="R1090" s="143">
        <v>0</v>
      </c>
      <c r="S1090" s="5">
        <v>3</v>
      </c>
      <c r="T1090" s="5" t="s">
        <v>239</v>
      </c>
      <c r="V1090" s="7" t="str">
        <f t="array" ref="V1090">INDEX(xlRTCLNAME,MATCH(1,(xlRTCLENDU=1)*(xlRTCLEQCL=$D1090),0))</f>
        <v>NG_FA</v>
      </c>
      <c r="W1090" s="7" t="str">
        <f t="array" ref="W1090">INDEX(xlRTCLNAME,MATCH(1,(xlRTCLENDU=2)*(xlRTCLEQCL=$F1090),0))</f>
        <v>CENT_AIR</v>
      </c>
      <c r="X1090" s="7" t="str">
        <f t="array" ref="X1090">INDEX(xlRTTYNAME,MATCH(1,(xlRTTYENDU=1)*(xlRTTYEQCL=$D1090)*(xlRTEQTYPE=$E1090),0))</f>
        <v>NG_FA3</v>
      </c>
      <c r="Y1090" s="7" t="str">
        <f t="array" ref="Y1090">INDEX(xlRTTYNAME,MATCH(1,(xlRTTYENDU=2)*(xlRTTYEQCL=$F1090)*(xlRTEQTYPE=$G1090),0))</f>
        <v>CENT_AIR3</v>
      </c>
    </row>
    <row r="1091" spans="2:25" ht="14.25" customHeight="1" x14ac:dyDescent="0.2">
      <c r="B1091" s="152">
        <v>4</v>
      </c>
      <c r="C1091" s="152">
        <v>2</v>
      </c>
      <c r="D1091" s="152">
        <v>3</v>
      </c>
      <c r="E1091" s="152">
        <v>9</v>
      </c>
      <c r="F1091" s="152">
        <v>2</v>
      </c>
      <c r="G1091" s="152">
        <v>6</v>
      </c>
      <c r="H1091" s="152">
        <v>2029</v>
      </c>
      <c r="I1091" s="152">
        <v>2050</v>
      </c>
      <c r="J1091" s="229">
        <v>1.1000000000000001</v>
      </c>
      <c r="K1091" s="229">
        <v>1.0435000000000001</v>
      </c>
      <c r="L1091" s="229">
        <v>0.99419999999999997</v>
      </c>
      <c r="M1091" s="229">
        <v>1.1499999999999999</v>
      </c>
      <c r="N1091" s="229">
        <v>1.1696</v>
      </c>
      <c r="O1091" s="229">
        <v>1.0538000000000001</v>
      </c>
      <c r="P1091" s="155">
        <v>3092.4287848130771</v>
      </c>
      <c r="Q1091" s="41">
        <f t="array" ref="Q1091">SUM(IF(($S1091&gt;=4)*($C1091='TaxCred&amp;Subs'!$D$114:$D$121)*($H1091='TaxCred&amp;Subs'!$C$114:$C$121)*($H1091&lt;='TaxCred&amp;Subs'!$C$123),'TaxCred&amp;Subs'!$E$114:$E$121,0))</f>
        <v>0</v>
      </c>
      <c r="R1091" s="230">
        <v>0</v>
      </c>
      <c r="S1091" s="152">
        <v>3</v>
      </c>
      <c r="T1091" s="152" t="s">
        <v>239</v>
      </c>
      <c r="V1091" s="7" t="str">
        <f t="array" ref="V1091">INDEX(xlRTCLNAME,MATCH(1,(xlRTCLENDU=1)*(xlRTCLEQCL=$D1091),0))</f>
        <v>NG_FA</v>
      </c>
      <c r="W1091" s="7" t="str">
        <f t="array" ref="W1091">INDEX(xlRTCLNAME,MATCH(1,(xlRTCLENDU=2)*(xlRTCLEQCL=$F1091),0))</f>
        <v>CENT_AIR</v>
      </c>
      <c r="X1091" s="7" t="str">
        <f t="array" ref="X1091">INDEX(xlRTTYNAME,MATCH(1,(xlRTTYENDU=1)*(xlRTTYEQCL=$D1091)*(xlRTEQTYPE=$E1091),0))</f>
        <v>NG_FA4</v>
      </c>
      <c r="Y1091" s="7" t="str">
        <f t="array" ref="Y1091">INDEX(xlRTTYNAME,MATCH(1,(xlRTTYENDU=2)*(xlRTTYEQCL=$F1091)*(xlRTEQTYPE=$G1091),0))</f>
        <v>CENT_AIR3</v>
      </c>
    </row>
    <row r="1092" spans="2:25" ht="14.25" customHeight="1" x14ac:dyDescent="0.2">
      <c r="B1092" s="5">
        <v>5</v>
      </c>
      <c r="C1092" s="5">
        <v>2</v>
      </c>
      <c r="D1092" s="5">
        <v>3</v>
      </c>
      <c r="E1092" s="5">
        <v>8</v>
      </c>
      <c r="F1092" s="5">
        <v>2</v>
      </c>
      <c r="G1092" s="31">
        <v>6</v>
      </c>
      <c r="H1092" s="31">
        <v>2020</v>
      </c>
      <c r="I1092" s="31">
        <v>2028</v>
      </c>
      <c r="J1092" s="142">
        <v>1.1200000000000001</v>
      </c>
      <c r="K1092" s="142">
        <v>1.0391999999999999</v>
      </c>
      <c r="L1092" s="142">
        <v>0.69379999999999997</v>
      </c>
      <c r="M1092" s="142">
        <v>1.1097999999999999</v>
      </c>
      <c r="N1092" s="142">
        <v>1.2750999999999999</v>
      </c>
      <c r="O1092" s="142">
        <v>1.0538000000000001</v>
      </c>
      <c r="P1092" s="26">
        <v>2515.6235897327247</v>
      </c>
      <c r="Q1092" s="35">
        <f t="array" ref="Q1092">SUM(IF(($S1092&gt;=4)*($C1092='TaxCred&amp;Subs'!$D$114:$D$121)*($H1092='TaxCred&amp;Subs'!$C$114:$C$121)*($H1092&lt;='TaxCred&amp;Subs'!$C$123),'TaxCred&amp;Subs'!$E$114:$E$121,0))</f>
        <v>0</v>
      </c>
      <c r="R1092" s="143">
        <v>0</v>
      </c>
      <c r="S1092" s="5">
        <v>3</v>
      </c>
      <c r="T1092" s="5" t="s">
        <v>239</v>
      </c>
      <c r="V1092" s="7" t="str">
        <f t="array" ref="V1092">INDEX(xlRTCLNAME,MATCH(1,(xlRTCLENDU=1)*(xlRTCLEQCL=$D1092),0))</f>
        <v>NG_FA</v>
      </c>
      <c r="W1092" s="7" t="str">
        <f t="array" ref="W1092">INDEX(xlRTCLNAME,MATCH(1,(xlRTCLENDU=2)*(xlRTCLEQCL=$F1092),0))</f>
        <v>CENT_AIR</v>
      </c>
      <c r="X1092" s="7" t="str">
        <f t="array" ref="X1092">INDEX(xlRTTYNAME,MATCH(1,(xlRTTYENDU=1)*(xlRTTYEQCL=$D1092)*(xlRTEQTYPE=$E1092),0))</f>
        <v>NG_FA3</v>
      </c>
      <c r="Y1092" s="7" t="str">
        <f t="array" ref="Y1092">INDEX(xlRTTYNAME,MATCH(1,(xlRTTYENDU=2)*(xlRTTYEQCL=$F1092)*(xlRTEQTYPE=$G1092),0))</f>
        <v>CENT_AIR3</v>
      </c>
    </row>
    <row r="1093" spans="2:25" ht="14.25" customHeight="1" x14ac:dyDescent="0.2">
      <c r="B1093" s="152">
        <v>5</v>
      </c>
      <c r="C1093" s="152">
        <v>2</v>
      </c>
      <c r="D1093" s="152">
        <v>3</v>
      </c>
      <c r="E1093" s="152">
        <v>9</v>
      </c>
      <c r="F1093" s="152">
        <v>2</v>
      </c>
      <c r="G1093" s="152">
        <v>6</v>
      </c>
      <c r="H1093" s="152">
        <v>2029</v>
      </c>
      <c r="I1093" s="152">
        <v>2050</v>
      </c>
      <c r="J1093" s="229">
        <v>1.1200000000000001</v>
      </c>
      <c r="K1093" s="229">
        <v>1.0391999999999999</v>
      </c>
      <c r="L1093" s="229">
        <v>0.69379999999999997</v>
      </c>
      <c r="M1093" s="229">
        <v>1.1097999999999999</v>
      </c>
      <c r="N1093" s="229">
        <v>1.2750999999999999</v>
      </c>
      <c r="O1093" s="229">
        <v>1.0538000000000001</v>
      </c>
      <c r="P1093" s="155">
        <v>2515.6235897327247</v>
      </c>
      <c r="Q1093" s="41">
        <f t="array" ref="Q1093">SUM(IF(($S1093&gt;=4)*($C1093='TaxCred&amp;Subs'!$D$114:$D$121)*($H1093='TaxCred&amp;Subs'!$C$114:$C$121)*($H1093&lt;='TaxCred&amp;Subs'!$C$123),'TaxCred&amp;Subs'!$E$114:$E$121,0))</f>
        <v>0</v>
      </c>
      <c r="R1093" s="230">
        <v>0</v>
      </c>
      <c r="S1093" s="152">
        <v>3</v>
      </c>
      <c r="T1093" s="152" t="s">
        <v>239</v>
      </c>
      <c r="V1093" s="7" t="str">
        <f t="array" ref="V1093">INDEX(xlRTCLNAME,MATCH(1,(xlRTCLENDU=1)*(xlRTCLEQCL=$D1093),0))</f>
        <v>NG_FA</v>
      </c>
      <c r="W1093" s="7" t="str">
        <f t="array" ref="W1093">INDEX(xlRTCLNAME,MATCH(1,(xlRTCLENDU=2)*(xlRTCLEQCL=$F1093),0))</f>
        <v>CENT_AIR</v>
      </c>
      <c r="X1093" s="7" t="str">
        <f t="array" ref="X1093">INDEX(xlRTTYNAME,MATCH(1,(xlRTTYENDU=1)*(xlRTTYEQCL=$D1093)*(xlRTEQTYPE=$E1093),0))</f>
        <v>NG_FA4</v>
      </c>
      <c r="Y1093" s="7" t="str">
        <f t="array" ref="Y1093">INDEX(xlRTTYNAME,MATCH(1,(xlRTTYENDU=2)*(xlRTTYEQCL=$F1093)*(xlRTEQTYPE=$G1093),0))</f>
        <v>CENT_AIR3</v>
      </c>
    </row>
    <row r="1094" spans="2:25" ht="14.25" customHeight="1" x14ac:dyDescent="0.2">
      <c r="B1094" s="5">
        <v>6</v>
      </c>
      <c r="C1094" s="5">
        <v>2</v>
      </c>
      <c r="D1094" s="5">
        <v>3</v>
      </c>
      <c r="E1094" s="5">
        <v>8</v>
      </c>
      <c r="F1094" s="5">
        <v>2</v>
      </c>
      <c r="G1094" s="31">
        <v>6</v>
      </c>
      <c r="H1094" s="31">
        <v>2020</v>
      </c>
      <c r="I1094" s="31">
        <v>2028</v>
      </c>
      <c r="J1094" s="142">
        <v>1.1200000000000001</v>
      </c>
      <c r="K1094" s="142">
        <v>1.03</v>
      </c>
      <c r="L1094" s="142">
        <v>1.0105</v>
      </c>
      <c r="M1094" s="142">
        <v>1.1568000000000001</v>
      </c>
      <c r="N1094" s="142">
        <v>1.3324</v>
      </c>
      <c r="O1094" s="142">
        <v>1.0538000000000001</v>
      </c>
      <c r="P1094" s="26">
        <v>2773.7741665519034</v>
      </c>
      <c r="Q1094" s="35">
        <f t="array" ref="Q1094">SUM(IF(($S1094&gt;=4)*($C1094='TaxCred&amp;Subs'!$D$114:$D$121)*($H1094='TaxCred&amp;Subs'!$C$114:$C$121)*($H1094&lt;='TaxCred&amp;Subs'!$C$123),'TaxCred&amp;Subs'!$E$114:$E$121,0))</f>
        <v>0</v>
      </c>
      <c r="R1094" s="143">
        <v>0</v>
      </c>
      <c r="S1094" s="5">
        <v>3</v>
      </c>
      <c r="T1094" s="5" t="s">
        <v>239</v>
      </c>
      <c r="V1094" s="7" t="str">
        <f t="array" ref="V1094">INDEX(xlRTCLNAME,MATCH(1,(xlRTCLENDU=1)*(xlRTCLEQCL=$D1094),0))</f>
        <v>NG_FA</v>
      </c>
      <c r="W1094" s="7" t="str">
        <f t="array" ref="W1094">INDEX(xlRTCLNAME,MATCH(1,(xlRTCLENDU=2)*(xlRTCLEQCL=$F1094),0))</f>
        <v>CENT_AIR</v>
      </c>
      <c r="X1094" s="7" t="str">
        <f t="array" ref="X1094">INDEX(xlRTTYNAME,MATCH(1,(xlRTTYENDU=1)*(xlRTTYEQCL=$D1094)*(xlRTEQTYPE=$E1094),0))</f>
        <v>NG_FA3</v>
      </c>
      <c r="Y1094" s="7" t="str">
        <f t="array" ref="Y1094">INDEX(xlRTTYNAME,MATCH(1,(xlRTTYENDU=2)*(xlRTTYEQCL=$F1094)*(xlRTEQTYPE=$G1094),0))</f>
        <v>CENT_AIR3</v>
      </c>
    </row>
    <row r="1095" spans="2:25" ht="14.25" customHeight="1" x14ac:dyDescent="0.2">
      <c r="B1095" s="152">
        <v>6</v>
      </c>
      <c r="C1095" s="152">
        <v>2</v>
      </c>
      <c r="D1095" s="152">
        <v>3</v>
      </c>
      <c r="E1095" s="152">
        <v>9</v>
      </c>
      <c r="F1095" s="152">
        <v>2</v>
      </c>
      <c r="G1095" s="152">
        <v>6</v>
      </c>
      <c r="H1095" s="152">
        <v>2029</v>
      </c>
      <c r="I1095" s="152">
        <v>2050</v>
      </c>
      <c r="J1095" s="229">
        <v>1.1200000000000001</v>
      </c>
      <c r="K1095" s="229">
        <v>1.03</v>
      </c>
      <c r="L1095" s="229">
        <v>1.0105</v>
      </c>
      <c r="M1095" s="229">
        <v>1.1568000000000001</v>
      </c>
      <c r="N1095" s="229">
        <v>1.3324</v>
      </c>
      <c r="O1095" s="229">
        <v>1.0538000000000001</v>
      </c>
      <c r="P1095" s="155">
        <v>2773.7741665519034</v>
      </c>
      <c r="Q1095" s="41">
        <f t="array" ref="Q1095">SUM(IF(($S1095&gt;=4)*($C1095='TaxCred&amp;Subs'!$D$114:$D$121)*($H1095='TaxCred&amp;Subs'!$C$114:$C$121)*($H1095&lt;='TaxCred&amp;Subs'!$C$123),'TaxCred&amp;Subs'!$E$114:$E$121,0))</f>
        <v>0</v>
      </c>
      <c r="R1095" s="230">
        <v>0</v>
      </c>
      <c r="S1095" s="152">
        <v>3</v>
      </c>
      <c r="T1095" s="152" t="s">
        <v>239</v>
      </c>
      <c r="V1095" s="7" t="str">
        <f t="array" ref="V1095">INDEX(xlRTCLNAME,MATCH(1,(xlRTCLENDU=1)*(xlRTCLEQCL=$D1095),0))</f>
        <v>NG_FA</v>
      </c>
      <c r="W1095" s="7" t="str">
        <f t="array" ref="W1095">INDEX(xlRTCLNAME,MATCH(1,(xlRTCLENDU=2)*(xlRTCLEQCL=$F1095),0))</f>
        <v>CENT_AIR</v>
      </c>
      <c r="X1095" s="7" t="str">
        <f t="array" ref="X1095">INDEX(xlRTTYNAME,MATCH(1,(xlRTTYENDU=1)*(xlRTTYEQCL=$D1095)*(xlRTEQTYPE=$E1095),0))</f>
        <v>NG_FA4</v>
      </c>
      <c r="Y1095" s="7" t="str">
        <f t="array" ref="Y1095">INDEX(xlRTTYNAME,MATCH(1,(xlRTTYENDU=2)*(xlRTTYEQCL=$F1095)*(xlRTEQTYPE=$G1095),0))</f>
        <v>CENT_AIR3</v>
      </c>
    </row>
    <row r="1096" spans="2:25" ht="14.25" customHeight="1" x14ac:dyDescent="0.2">
      <c r="B1096" s="5">
        <v>7</v>
      </c>
      <c r="C1096" s="5">
        <v>2</v>
      </c>
      <c r="D1096" s="5">
        <v>3</v>
      </c>
      <c r="E1096" s="5">
        <v>8</v>
      </c>
      <c r="F1096" s="5">
        <v>2</v>
      </c>
      <c r="G1096" s="31">
        <v>6</v>
      </c>
      <c r="H1096" s="31">
        <v>2020</v>
      </c>
      <c r="I1096" s="31">
        <v>2028</v>
      </c>
      <c r="J1096" s="142">
        <v>1.1200000000000001</v>
      </c>
      <c r="K1096" s="142">
        <v>1.0462</v>
      </c>
      <c r="L1096" s="142">
        <v>1.2771999999999999</v>
      </c>
      <c r="M1096" s="142">
        <v>1.1604000000000001</v>
      </c>
      <c r="N1096" s="142">
        <v>1.4438</v>
      </c>
      <c r="O1096" s="142">
        <v>1.0538000000000001</v>
      </c>
      <c r="P1096" s="26">
        <v>2010.0787101285</v>
      </c>
      <c r="Q1096" s="35">
        <f t="array" ref="Q1096">SUM(IF(($S1096&gt;=4)*($C1096='TaxCred&amp;Subs'!$D$114:$D$121)*($H1096='TaxCred&amp;Subs'!$C$114:$C$121)*($H1096&lt;='TaxCred&amp;Subs'!$C$123),'TaxCred&amp;Subs'!$E$114:$E$121,0))</f>
        <v>0</v>
      </c>
      <c r="R1096" s="143">
        <v>0</v>
      </c>
      <c r="S1096" s="5">
        <v>3</v>
      </c>
      <c r="T1096" s="5" t="s">
        <v>239</v>
      </c>
      <c r="V1096" s="7" t="str">
        <f t="array" ref="V1096">INDEX(xlRTCLNAME,MATCH(1,(xlRTCLENDU=1)*(xlRTCLEQCL=$D1096),0))</f>
        <v>NG_FA</v>
      </c>
      <c r="W1096" s="7" t="str">
        <f t="array" ref="W1096">INDEX(xlRTCLNAME,MATCH(1,(xlRTCLENDU=2)*(xlRTCLEQCL=$F1096),0))</f>
        <v>CENT_AIR</v>
      </c>
      <c r="X1096" s="7" t="str">
        <f t="array" ref="X1096">INDEX(xlRTTYNAME,MATCH(1,(xlRTTYENDU=1)*(xlRTTYEQCL=$D1096)*(xlRTEQTYPE=$E1096),0))</f>
        <v>NG_FA3</v>
      </c>
      <c r="Y1096" s="7" t="str">
        <f t="array" ref="Y1096">INDEX(xlRTTYNAME,MATCH(1,(xlRTTYENDU=2)*(xlRTTYEQCL=$F1096)*(xlRTEQTYPE=$G1096),0))</f>
        <v>CENT_AIR3</v>
      </c>
    </row>
    <row r="1097" spans="2:25" ht="14.25" customHeight="1" x14ac:dyDescent="0.2">
      <c r="B1097" s="152">
        <v>7</v>
      </c>
      <c r="C1097" s="152">
        <v>2</v>
      </c>
      <c r="D1097" s="152">
        <v>3</v>
      </c>
      <c r="E1097" s="152">
        <v>9</v>
      </c>
      <c r="F1097" s="152">
        <v>2</v>
      </c>
      <c r="G1097" s="152">
        <v>6</v>
      </c>
      <c r="H1097" s="152">
        <v>2029</v>
      </c>
      <c r="I1097" s="152">
        <v>2050</v>
      </c>
      <c r="J1097" s="229">
        <v>1.1200000000000001</v>
      </c>
      <c r="K1097" s="229">
        <v>1.0462</v>
      </c>
      <c r="L1097" s="229">
        <v>1.2771999999999999</v>
      </c>
      <c r="M1097" s="229">
        <v>1.1604000000000001</v>
      </c>
      <c r="N1097" s="229">
        <v>1.4438</v>
      </c>
      <c r="O1097" s="229">
        <v>1.0538000000000001</v>
      </c>
      <c r="P1097" s="155">
        <v>2010.0787101285</v>
      </c>
      <c r="Q1097" s="41">
        <f t="array" ref="Q1097">SUM(IF(($S1097&gt;=4)*($C1097='TaxCred&amp;Subs'!$D$114:$D$121)*($H1097='TaxCred&amp;Subs'!$C$114:$C$121)*($H1097&lt;='TaxCred&amp;Subs'!$C$123),'TaxCred&amp;Subs'!$E$114:$E$121,0))</f>
        <v>0</v>
      </c>
      <c r="R1097" s="230">
        <v>0</v>
      </c>
      <c r="S1097" s="152">
        <v>3</v>
      </c>
      <c r="T1097" s="152" t="s">
        <v>239</v>
      </c>
      <c r="V1097" s="7" t="str">
        <f t="array" ref="V1097">INDEX(xlRTCLNAME,MATCH(1,(xlRTCLENDU=1)*(xlRTCLEQCL=$D1097),0))</f>
        <v>NG_FA</v>
      </c>
      <c r="W1097" s="7" t="str">
        <f t="array" ref="W1097">INDEX(xlRTCLNAME,MATCH(1,(xlRTCLENDU=2)*(xlRTCLEQCL=$F1097),0))</f>
        <v>CENT_AIR</v>
      </c>
      <c r="X1097" s="7" t="str">
        <f t="array" ref="X1097">INDEX(xlRTTYNAME,MATCH(1,(xlRTTYENDU=1)*(xlRTTYEQCL=$D1097)*(xlRTEQTYPE=$E1097),0))</f>
        <v>NG_FA4</v>
      </c>
      <c r="Y1097" s="7" t="str">
        <f t="array" ref="Y1097">INDEX(xlRTTYNAME,MATCH(1,(xlRTTYENDU=2)*(xlRTTYEQCL=$F1097)*(xlRTEQTYPE=$G1097),0))</f>
        <v>CENT_AIR3</v>
      </c>
    </row>
    <row r="1098" spans="2:25" ht="14.25" customHeight="1" x14ac:dyDescent="0.2">
      <c r="B1098" s="5">
        <v>8</v>
      </c>
      <c r="C1098" s="5">
        <v>2</v>
      </c>
      <c r="D1098" s="5">
        <v>3</v>
      </c>
      <c r="E1098" s="5">
        <v>8</v>
      </c>
      <c r="F1098" s="5">
        <v>2</v>
      </c>
      <c r="G1098" s="31">
        <v>6</v>
      </c>
      <c r="H1098" s="31">
        <v>2020</v>
      </c>
      <c r="I1098" s="31">
        <v>2028</v>
      </c>
      <c r="J1098" s="142">
        <v>1.0932999999999999</v>
      </c>
      <c r="K1098" s="142">
        <v>1.0323</v>
      </c>
      <c r="L1098" s="142">
        <v>1.0073000000000001</v>
      </c>
      <c r="M1098" s="142">
        <v>1.2739</v>
      </c>
      <c r="N1098" s="142">
        <v>1.2847999999999999</v>
      </c>
      <c r="O1098" s="142">
        <v>1.0538000000000001</v>
      </c>
      <c r="P1098" s="26">
        <v>3295.4534572073267</v>
      </c>
      <c r="Q1098" s="35">
        <f t="array" ref="Q1098">SUM(IF(($S1098&gt;=4)*($C1098='TaxCred&amp;Subs'!$D$114:$D$121)*($H1098='TaxCred&amp;Subs'!$C$114:$C$121)*($H1098&lt;='TaxCred&amp;Subs'!$C$123),'TaxCred&amp;Subs'!$E$114:$E$121,0))</f>
        <v>0</v>
      </c>
      <c r="R1098" s="143">
        <v>0</v>
      </c>
      <c r="S1098" s="5">
        <v>3</v>
      </c>
      <c r="T1098" s="5" t="s">
        <v>239</v>
      </c>
      <c r="V1098" s="7" t="str">
        <f t="array" ref="V1098">INDEX(xlRTCLNAME,MATCH(1,(xlRTCLENDU=1)*(xlRTCLEQCL=$D1098),0))</f>
        <v>NG_FA</v>
      </c>
      <c r="W1098" s="7" t="str">
        <f t="array" ref="W1098">INDEX(xlRTCLNAME,MATCH(1,(xlRTCLENDU=2)*(xlRTCLEQCL=$F1098),0))</f>
        <v>CENT_AIR</v>
      </c>
      <c r="X1098" s="7" t="str">
        <f t="array" ref="X1098">INDEX(xlRTTYNAME,MATCH(1,(xlRTTYENDU=1)*(xlRTTYEQCL=$D1098)*(xlRTEQTYPE=$E1098),0))</f>
        <v>NG_FA3</v>
      </c>
      <c r="Y1098" s="7" t="str">
        <f t="array" ref="Y1098">INDEX(xlRTTYNAME,MATCH(1,(xlRTTYENDU=2)*(xlRTTYEQCL=$F1098)*(xlRTEQTYPE=$G1098),0))</f>
        <v>CENT_AIR3</v>
      </c>
    </row>
    <row r="1099" spans="2:25" ht="14.25" customHeight="1" x14ac:dyDescent="0.2">
      <c r="B1099" s="152">
        <v>8</v>
      </c>
      <c r="C1099" s="152">
        <v>2</v>
      </c>
      <c r="D1099" s="152">
        <v>3</v>
      </c>
      <c r="E1099" s="152">
        <v>9</v>
      </c>
      <c r="F1099" s="152">
        <v>2</v>
      </c>
      <c r="G1099" s="152">
        <v>6</v>
      </c>
      <c r="H1099" s="152">
        <v>2029</v>
      </c>
      <c r="I1099" s="152">
        <v>2050</v>
      </c>
      <c r="J1099" s="229">
        <v>1.0932999999999999</v>
      </c>
      <c r="K1099" s="229">
        <v>1.0323</v>
      </c>
      <c r="L1099" s="229">
        <v>1.0073000000000001</v>
      </c>
      <c r="M1099" s="229">
        <v>1.2739</v>
      </c>
      <c r="N1099" s="229">
        <v>1.2847999999999999</v>
      </c>
      <c r="O1099" s="229">
        <v>1.0538000000000001</v>
      </c>
      <c r="P1099" s="155">
        <v>3295.4534572073267</v>
      </c>
      <c r="Q1099" s="41">
        <f t="array" ref="Q1099">SUM(IF(($S1099&gt;=4)*($C1099='TaxCred&amp;Subs'!$D$114:$D$121)*($H1099='TaxCred&amp;Subs'!$C$114:$C$121)*($H1099&lt;='TaxCred&amp;Subs'!$C$123),'TaxCred&amp;Subs'!$E$114:$E$121,0))</f>
        <v>0</v>
      </c>
      <c r="R1099" s="230">
        <v>0</v>
      </c>
      <c r="S1099" s="152">
        <v>3</v>
      </c>
      <c r="T1099" s="152" t="s">
        <v>239</v>
      </c>
      <c r="V1099" s="7" t="str">
        <f t="array" ref="V1099">INDEX(xlRTCLNAME,MATCH(1,(xlRTCLENDU=1)*(xlRTCLEQCL=$D1099),0))</f>
        <v>NG_FA</v>
      </c>
      <c r="W1099" s="7" t="str">
        <f t="array" ref="W1099">INDEX(xlRTCLNAME,MATCH(1,(xlRTCLENDU=2)*(xlRTCLEQCL=$F1099),0))</f>
        <v>CENT_AIR</v>
      </c>
      <c r="X1099" s="7" t="str">
        <f t="array" ref="X1099">INDEX(xlRTTYNAME,MATCH(1,(xlRTTYENDU=1)*(xlRTTYEQCL=$D1099)*(xlRTEQTYPE=$E1099),0))</f>
        <v>NG_FA4</v>
      </c>
      <c r="Y1099" s="7" t="str">
        <f t="array" ref="Y1099">INDEX(xlRTTYNAME,MATCH(1,(xlRTTYENDU=2)*(xlRTTYEQCL=$F1099)*(xlRTEQTYPE=$G1099),0))</f>
        <v>CENT_AIR3</v>
      </c>
    </row>
    <row r="1100" spans="2:25" ht="14.25" customHeight="1" x14ac:dyDescent="0.2">
      <c r="B1100" s="5">
        <v>9</v>
      </c>
      <c r="C1100" s="5">
        <v>2</v>
      </c>
      <c r="D1100" s="5">
        <v>3</v>
      </c>
      <c r="E1100" s="5">
        <v>8</v>
      </c>
      <c r="F1100" s="5">
        <v>2</v>
      </c>
      <c r="G1100" s="31">
        <v>6</v>
      </c>
      <c r="H1100" s="31">
        <v>2020</v>
      </c>
      <c r="I1100" s="31">
        <v>2028</v>
      </c>
      <c r="J1100" s="142">
        <v>1.07</v>
      </c>
      <c r="K1100" s="142">
        <v>1.0541</v>
      </c>
      <c r="L1100" s="142">
        <v>0.81879999999999997</v>
      </c>
      <c r="M1100" s="142">
        <v>1.2</v>
      </c>
      <c r="N1100" s="142">
        <v>1.4438</v>
      </c>
      <c r="O1100" s="142">
        <v>1.0538000000000001</v>
      </c>
      <c r="P1100" s="26">
        <v>2894.7822494358934</v>
      </c>
      <c r="Q1100" s="35">
        <f t="array" ref="Q1100">SUM(IF(($S1100&gt;=4)*($C1100='TaxCred&amp;Subs'!$D$114:$D$121)*($H1100='TaxCred&amp;Subs'!$C$114:$C$121)*($H1100&lt;='TaxCred&amp;Subs'!$C$123),'TaxCred&amp;Subs'!$E$114:$E$121,0))</f>
        <v>0</v>
      </c>
      <c r="R1100" s="143">
        <v>0</v>
      </c>
      <c r="S1100" s="5">
        <v>3</v>
      </c>
      <c r="T1100" s="5" t="s">
        <v>239</v>
      </c>
      <c r="V1100" s="7" t="str">
        <f t="array" ref="V1100">INDEX(xlRTCLNAME,MATCH(1,(xlRTCLENDU=1)*(xlRTCLEQCL=$D1100),0))</f>
        <v>NG_FA</v>
      </c>
      <c r="W1100" s="7" t="str">
        <f t="array" ref="W1100">INDEX(xlRTCLNAME,MATCH(1,(xlRTCLENDU=2)*(xlRTCLEQCL=$F1100),0))</f>
        <v>CENT_AIR</v>
      </c>
      <c r="X1100" s="7" t="str">
        <f t="array" ref="X1100">INDEX(xlRTTYNAME,MATCH(1,(xlRTTYENDU=1)*(xlRTTYEQCL=$D1100)*(xlRTEQTYPE=$E1100),0))</f>
        <v>NG_FA3</v>
      </c>
      <c r="Y1100" s="7" t="str">
        <f t="array" ref="Y1100">INDEX(xlRTTYNAME,MATCH(1,(xlRTTYENDU=2)*(xlRTTYEQCL=$F1100)*(xlRTEQTYPE=$G1100),0))</f>
        <v>CENT_AIR3</v>
      </c>
    </row>
    <row r="1101" spans="2:25" ht="14.25" customHeight="1" x14ac:dyDescent="0.2">
      <c r="B1101" s="152">
        <v>9</v>
      </c>
      <c r="C1101" s="152">
        <v>2</v>
      </c>
      <c r="D1101" s="152">
        <v>3</v>
      </c>
      <c r="E1101" s="152">
        <v>9</v>
      </c>
      <c r="F1101" s="152">
        <v>2</v>
      </c>
      <c r="G1101" s="152">
        <v>6</v>
      </c>
      <c r="H1101" s="152">
        <v>2029</v>
      </c>
      <c r="I1101" s="152">
        <v>2050</v>
      </c>
      <c r="J1101" s="229">
        <v>1.07</v>
      </c>
      <c r="K1101" s="229">
        <v>1.0541</v>
      </c>
      <c r="L1101" s="229">
        <v>0.81879999999999997</v>
      </c>
      <c r="M1101" s="229">
        <v>1.2</v>
      </c>
      <c r="N1101" s="229">
        <v>1.4438</v>
      </c>
      <c r="O1101" s="229">
        <v>1.0538000000000001</v>
      </c>
      <c r="P1101" s="155">
        <v>2894.7822494358934</v>
      </c>
      <c r="Q1101" s="41">
        <f t="array" ref="Q1101">SUM(IF(($S1101&gt;=4)*($C1101='TaxCred&amp;Subs'!$D$114:$D$121)*($H1101='TaxCred&amp;Subs'!$C$114:$C$121)*($H1101&lt;='TaxCred&amp;Subs'!$C$123),'TaxCred&amp;Subs'!$E$114:$E$121,0))</f>
        <v>0</v>
      </c>
      <c r="R1101" s="230">
        <v>0</v>
      </c>
      <c r="S1101" s="152">
        <v>3</v>
      </c>
      <c r="T1101" s="152" t="s">
        <v>239</v>
      </c>
      <c r="V1101" s="7" t="str">
        <f t="array" ref="V1101">INDEX(xlRTCLNAME,MATCH(1,(xlRTCLENDU=1)*(xlRTCLEQCL=$D1101),0))</f>
        <v>NG_FA</v>
      </c>
      <c r="W1101" s="7" t="str">
        <f t="array" ref="W1101">INDEX(xlRTCLNAME,MATCH(1,(xlRTCLENDU=2)*(xlRTCLEQCL=$F1101),0))</f>
        <v>CENT_AIR</v>
      </c>
      <c r="X1101" s="7" t="str">
        <f t="array" ref="X1101">INDEX(xlRTTYNAME,MATCH(1,(xlRTTYENDU=1)*(xlRTTYEQCL=$D1101)*(xlRTEQTYPE=$E1101),0))</f>
        <v>NG_FA4</v>
      </c>
      <c r="Y1101" s="7" t="str">
        <f t="array" ref="Y1101">INDEX(xlRTTYNAME,MATCH(1,(xlRTTYENDU=2)*(xlRTTYEQCL=$F1101)*(xlRTEQTYPE=$G1101),0))</f>
        <v>CENT_AIR3</v>
      </c>
    </row>
    <row r="1102" spans="2:25" ht="14.25" customHeight="1" x14ac:dyDescent="0.2">
      <c r="B1102" s="5">
        <v>1</v>
      </c>
      <c r="C1102" s="5">
        <v>2</v>
      </c>
      <c r="D1102" s="5">
        <v>4</v>
      </c>
      <c r="E1102" s="5">
        <v>12</v>
      </c>
      <c r="F1102" s="5">
        <v>2</v>
      </c>
      <c r="G1102" s="31">
        <v>6</v>
      </c>
      <c r="H1102" s="31">
        <v>2020</v>
      </c>
      <c r="I1102" s="5">
        <v>2050</v>
      </c>
      <c r="J1102" s="142">
        <v>1.0864</v>
      </c>
      <c r="K1102" s="142">
        <v>1.0417000000000001</v>
      </c>
      <c r="L1102" s="142">
        <v>1.0046999999999999</v>
      </c>
      <c r="M1102" s="142">
        <v>1.1455</v>
      </c>
      <c r="N1102" s="142">
        <v>1.1156999999999999</v>
      </c>
      <c r="O1102" s="142">
        <v>1.0538000000000001</v>
      </c>
      <c r="P1102" s="26">
        <v>4153.2663114293891</v>
      </c>
      <c r="Q1102" s="35">
        <f t="array" ref="Q1102">SUM(IF(($S1102&gt;=4)*($C1102='TaxCred&amp;Subs'!$D$114:$D$121)*($H1102='TaxCred&amp;Subs'!$C$114:$C$121)*($H1102&lt;='TaxCred&amp;Subs'!$C$123),'TaxCred&amp;Subs'!$E$114:$E$121,0))</f>
        <v>0</v>
      </c>
      <c r="R1102" s="143">
        <v>0</v>
      </c>
      <c r="S1102" s="5">
        <v>3</v>
      </c>
      <c r="T1102" s="5" t="s">
        <v>239</v>
      </c>
      <c r="V1102" s="7" t="str">
        <f t="array" ref="V1102">INDEX(xlRTCLNAME,MATCH(1,(xlRTCLENDU=1)*(xlRTCLEQCL=$D1102),0))</f>
        <v>NG_RAD</v>
      </c>
      <c r="W1102" s="7" t="str">
        <f t="array" ref="W1102">INDEX(xlRTCLNAME,MATCH(1,(xlRTCLENDU=2)*(xlRTCLEQCL=$F1102),0))</f>
        <v>CENT_AIR</v>
      </c>
      <c r="X1102" s="7" t="str">
        <f t="array" ref="X1102">INDEX(xlRTTYNAME,MATCH(1,(xlRTTYENDU=1)*(xlRTTYEQCL=$D1102)*(xlRTEQTYPE=$E1102),0))</f>
        <v>NG_RAD3</v>
      </c>
      <c r="Y1102" s="7" t="str">
        <f t="array" ref="Y1102">INDEX(xlRTTYNAME,MATCH(1,(xlRTTYENDU=2)*(xlRTTYEQCL=$F1102)*(xlRTEQTYPE=$G1102),0))</f>
        <v>CENT_AIR3</v>
      </c>
    </row>
    <row r="1103" spans="2:25" ht="14.25" customHeight="1" x14ac:dyDescent="0.2">
      <c r="B1103" s="5">
        <v>2</v>
      </c>
      <c r="C1103" s="5">
        <v>2</v>
      </c>
      <c r="D1103" s="5">
        <v>4</v>
      </c>
      <c r="E1103" s="5">
        <v>12</v>
      </c>
      <c r="F1103" s="5">
        <v>2</v>
      </c>
      <c r="G1103" s="31">
        <v>6</v>
      </c>
      <c r="H1103" s="31">
        <v>2020</v>
      </c>
      <c r="I1103" s="5">
        <v>2050</v>
      </c>
      <c r="J1103" s="142">
        <v>1.0891</v>
      </c>
      <c r="K1103" s="142">
        <v>1.0713999999999999</v>
      </c>
      <c r="L1103" s="142">
        <v>1.0127999999999999</v>
      </c>
      <c r="M1103" s="142">
        <v>1.1834</v>
      </c>
      <c r="N1103" s="142">
        <v>1.1254999999999999</v>
      </c>
      <c r="O1103" s="142">
        <v>1.0538000000000001</v>
      </c>
      <c r="P1103" s="26">
        <v>3038.6474146424148</v>
      </c>
      <c r="Q1103" s="35">
        <f t="array" ref="Q1103">SUM(IF(($S1103&gt;=4)*($C1103='TaxCred&amp;Subs'!$D$114:$D$121)*($H1103='TaxCred&amp;Subs'!$C$114:$C$121)*($H1103&lt;='TaxCred&amp;Subs'!$C$123),'TaxCred&amp;Subs'!$E$114:$E$121,0))</f>
        <v>0</v>
      </c>
      <c r="R1103" s="143">
        <v>0</v>
      </c>
      <c r="S1103" s="5">
        <v>3</v>
      </c>
      <c r="T1103" s="5" t="s">
        <v>239</v>
      </c>
      <c r="V1103" s="7" t="str">
        <f t="array" ref="V1103">INDEX(xlRTCLNAME,MATCH(1,(xlRTCLENDU=1)*(xlRTCLEQCL=$D1103),0))</f>
        <v>NG_RAD</v>
      </c>
      <c r="W1103" s="7" t="str">
        <f t="array" ref="W1103">INDEX(xlRTCLNAME,MATCH(1,(xlRTCLENDU=2)*(xlRTCLEQCL=$F1103),0))</f>
        <v>CENT_AIR</v>
      </c>
      <c r="X1103" s="7" t="str">
        <f t="array" ref="X1103">INDEX(xlRTTYNAME,MATCH(1,(xlRTTYENDU=1)*(xlRTTYEQCL=$D1103)*(xlRTEQTYPE=$E1103),0))</f>
        <v>NG_RAD3</v>
      </c>
      <c r="Y1103" s="7" t="str">
        <f t="array" ref="Y1103">INDEX(xlRTTYNAME,MATCH(1,(xlRTTYENDU=2)*(xlRTTYEQCL=$F1103)*(xlRTEQTYPE=$G1103),0))</f>
        <v>CENT_AIR3</v>
      </c>
    </row>
    <row r="1104" spans="2:25" ht="14.25" customHeight="1" x14ac:dyDescent="0.2">
      <c r="B1104" s="5">
        <v>3</v>
      </c>
      <c r="C1104" s="5">
        <v>2</v>
      </c>
      <c r="D1104" s="5">
        <v>4</v>
      </c>
      <c r="E1104" s="5">
        <v>12</v>
      </c>
      <c r="F1104" s="5">
        <v>2</v>
      </c>
      <c r="G1104" s="31">
        <v>6</v>
      </c>
      <c r="H1104" s="31">
        <v>2020</v>
      </c>
      <c r="I1104" s="5">
        <v>2050</v>
      </c>
      <c r="J1104" s="142">
        <v>1.0962000000000001</v>
      </c>
      <c r="K1104" s="142">
        <v>1.0345</v>
      </c>
      <c r="L1104" s="142">
        <v>0.83919999999999995</v>
      </c>
      <c r="M1104" s="142">
        <v>1.0828</v>
      </c>
      <c r="N1104" s="142">
        <v>1.0417000000000001</v>
      </c>
      <c r="O1104" s="142">
        <v>1.0538000000000001</v>
      </c>
      <c r="P1104" s="26">
        <v>3572.4275135862376</v>
      </c>
      <c r="Q1104" s="35">
        <f t="array" ref="Q1104">SUM(IF(($S1104&gt;=4)*($C1104='TaxCred&amp;Subs'!$D$114:$D$121)*($H1104='TaxCred&amp;Subs'!$C$114:$C$121)*($H1104&lt;='TaxCred&amp;Subs'!$C$123),'TaxCred&amp;Subs'!$E$114:$E$121,0))</f>
        <v>0</v>
      </c>
      <c r="R1104" s="143">
        <v>0</v>
      </c>
      <c r="S1104" s="5">
        <v>3</v>
      </c>
      <c r="T1104" s="5" t="s">
        <v>239</v>
      </c>
      <c r="V1104" s="7" t="str">
        <f t="array" ref="V1104">INDEX(xlRTCLNAME,MATCH(1,(xlRTCLENDU=1)*(xlRTCLEQCL=$D1104),0))</f>
        <v>NG_RAD</v>
      </c>
      <c r="W1104" s="7" t="str">
        <f t="array" ref="W1104">INDEX(xlRTCLNAME,MATCH(1,(xlRTCLENDU=2)*(xlRTCLEQCL=$F1104),0))</f>
        <v>CENT_AIR</v>
      </c>
      <c r="X1104" s="7" t="str">
        <f t="array" ref="X1104">INDEX(xlRTTYNAME,MATCH(1,(xlRTTYENDU=1)*(xlRTTYEQCL=$D1104)*(xlRTEQTYPE=$E1104),0))</f>
        <v>NG_RAD3</v>
      </c>
      <c r="Y1104" s="7" t="str">
        <f t="array" ref="Y1104">INDEX(xlRTTYNAME,MATCH(1,(xlRTTYENDU=2)*(xlRTTYEQCL=$F1104)*(xlRTEQTYPE=$G1104),0))</f>
        <v>CENT_AIR3</v>
      </c>
    </row>
    <row r="1105" spans="2:25" ht="14.25" customHeight="1" x14ac:dyDescent="0.2">
      <c r="B1105" s="5">
        <v>4</v>
      </c>
      <c r="C1105" s="5">
        <v>2</v>
      </c>
      <c r="D1105" s="5">
        <v>4</v>
      </c>
      <c r="E1105" s="5">
        <v>12</v>
      </c>
      <c r="F1105" s="5">
        <v>2</v>
      </c>
      <c r="G1105" s="31">
        <v>6</v>
      </c>
      <c r="H1105" s="31">
        <v>2020</v>
      </c>
      <c r="I1105" s="5">
        <v>2050</v>
      </c>
      <c r="J1105" s="142">
        <v>1.1024</v>
      </c>
      <c r="K1105" s="142">
        <v>1.0435000000000001</v>
      </c>
      <c r="L1105" s="142">
        <v>0.99209999999999998</v>
      </c>
      <c r="M1105" s="142">
        <v>1.1499999999999999</v>
      </c>
      <c r="N1105" s="142">
        <v>1.1678999999999999</v>
      </c>
      <c r="O1105" s="142">
        <v>1.0538000000000001</v>
      </c>
      <c r="P1105" s="26">
        <v>3092.4287848130771</v>
      </c>
      <c r="Q1105" s="35">
        <f t="array" ref="Q1105">SUM(IF(($S1105&gt;=4)*($C1105='TaxCred&amp;Subs'!$D$114:$D$121)*($H1105='TaxCred&amp;Subs'!$C$114:$C$121)*($H1105&lt;='TaxCred&amp;Subs'!$C$123),'TaxCred&amp;Subs'!$E$114:$E$121,0))</f>
        <v>0</v>
      </c>
      <c r="R1105" s="143">
        <v>0</v>
      </c>
      <c r="S1105" s="5">
        <v>3</v>
      </c>
      <c r="T1105" s="5" t="s">
        <v>239</v>
      </c>
      <c r="V1105" s="7" t="str">
        <f t="array" ref="V1105">INDEX(xlRTCLNAME,MATCH(1,(xlRTCLENDU=1)*(xlRTCLEQCL=$D1105),0))</f>
        <v>NG_RAD</v>
      </c>
      <c r="W1105" s="7" t="str">
        <f t="array" ref="W1105">INDEX(xlRTCLNAME,MATCH(1,(xlRTCLENDU=2)*(xlRTCLEQCL=$F1105),0))</f>
        <v>CENT_AIR</v>
      </c>
      <c r="X1105" s="7" t="str">
        <f t="array" ref="X1105">INDEX(xlRTTYNAME,MATCH(1,(xlRTTYENDU=1)*(xlRTTYEQCL=$D1105)*(xlRTEQTYPE=$E1105),0))</f>
        <v>NG_RAD3</v>
      </c>
      <c r="Y1105" s="7" t="str">
        <f t="array" ref="Y1105">INDEX(xlRTTYNAME,MATCH(1,(xlRTTYENDU=2)*(xlRTTYEQCL=$F1105)*(xlRTEQTYPE=$G1105),0))</f>
        <v>CENT_AIR3</v>
      </c>
    </row>
    <row r="1106" spans="2:25" ht="14.25" customHeight="1" x14ac:dyDescent="0.2">
      <c r="B1106" s="5">
        <v>5</v>
      </c>
      <c r="C1106" s="5">
        <v>2</v>
      </c>
      <c r="D1106" s="5">
        <v>4</v>
      </c>
      <c r="E1106" s="5">
        <v>12</v>
      </c>
      <c r="F1106" s="5">
        <v>2</v>
      </c>
      <c r="G1106" s="31">
        <v>6</v>
      </c>
      <c r="H1106" s="31">
        <v>2020</v>
      </c>
      <c r="I1106" s="5">
        <v>2050</v>
      </c>
      <c r="J1106" s="142">
        <v>1.03</v>
      </c>
      <c r="K1106" s="142">
        <v>1.03</v>
      </c>
      <c r="L1106" s="142">
        <v>0.67459999999999998</v>
      </c>
      <c r="M1106" s="142">
        <v>1.1097999999999999</v>
      </c>
      <c r="N1106" s="142">
        <v>1.3003</v>
      </c>
      <c r="O1106" s="142">
        <v>1.0538000000000001</v>
      </c>
      <c r="P1106" s="26">
        <v>2515.6235897327247</v>
      </c>
      <c r="Q1106" s="35">
        <f t="array" ref="Q1106">SUM(IF(($S1106&gt;=4)*($C1106='TaxCred&amp;Subs'!$D$114:$D$121)*($H1106='TaxCred&amp;Subs'!$C$114:$C$121)*($H1106&lt;='TaxCred&amp;Subs'!$C$123),'TaxCred&amp;Subs'!$E$114:$E$121,0))</f>
        <v>0</v>
      </c>
      <c r="R1106" s="143">
        <v>0</v>
      </c>
      <c r="S1106" s="5">
        <v>3</v>
      </c>
      <c r="T1106" s="5" t="s">
        <v>239</v>
      </c>
      <c r="V1106" s="7" t="str">
        <f t="array" ref="V1106">INDEX(xlRTCLNAME,MATCH(1,(xlRTCLENDU=1)*(xlRTCLEQCL=$D1106),0))</f>
        <v>NG_RAD</v>
      </c>
      <c r="W1106" s="7" t="str">
        <f t="array" ref="W1106">INDEX(xlRTCLNAME,MATCH(1,(xlRTCLENDU=2)*(xlRTCLEQCL=$F1106),0))</f>
        <v>CENT_AIR</v>
      </c>
      <c r="X1106" s="7" t="str">
        <f t="array" ref="X1106">INDEX(xlRTTYNAME,MATCH(1,(xlRTTYENDU=1)*(xlRTTYEQCL=$D1106)*(xlRTEQTYPE=$E1106),0))</f>
        <v>NG_RAD3</v>
      </c>
      <c r="Y1106" s="7" t="str">
        <f t="array" ref="Y1106">INDEX(xlRTTYNAME,MATCH(1,(xlRTTYENDU=2)*(xlRTTYEQCL=$F1106)*(xlRTEQTYPE=$G1106),0))</f>
        <v>CENT_AIR3</v>
      </c>
    </row>
    <row r="1107" spans="2:25" ht="14.25" customHeight="1" x14ac:dyDescent="0.2">
      <c r="B1107" s="5">
        <v>6</v>
      </c>
      <c r="C1107" s="5">
        <v>2</v>
      </c>
      <c r="D1107" s="5">
        <v>4</v>
      </c>
      <c r="E1107" s="5">
        <v>12</v>
      </c>
      <c r="F1107" s="5">
        <v>2</v>
      </c>
      <c r="G1107" s="31">
        <v>6</v>
      </c>
      <c r="H1107" s="31">
        <v>2020</v>
      </c>
      <c r="I1107" s="5">
        <v>2050</v>
      </c>
      <c r="J1107" s="142">
        <v>1.1200000000000001</v>
      </c>
      <c r="K1107" s="142">
        <v>1.0417000000000001</v>
      </c>
      <c r="L1107" s="142">
        <v>1.0238</v>
      </c>
      <c r="M1107" s="142">
        <v>1.1568000000000001</v>
      </c>
      <c r="N1107" s="142">
        <v>1.3656999999999999</v>
      </c>
      <c r="O1107" s="142">
        <v>1.0538000000000001</v>
      </c>
      <c r="P1107" s="26">
        <v>2733.438138923907</v>
      </c>
      <c r="Q1107" s="35">
        <f t="array" ref="Q1107">SUM(IF(($S1107&gt;=4)*($C1107='TaxCred&amp;Subs'!$D$114:$D$121)*($H1107='TaxCred&amp;Subs'!$C$114:$C$121)*($H1107&lt;='TaxCred&amp;Subs'!$C$123),'TaxCred&amp;Subs'!$E$114:$E$121,0))</f>
        <v>0</v>
      </c>
      <c r="R1107" s="143">
        <v>0</v>
      </c>
      <c r="S1107" s="5">
        <v>3</v>
      </c>
      <c r="T1107" s="5" t="s">
        <v>239</v>
      </c>
      <c r="V1107" s="7" t="str">
        <f t="array" ref="V1107">INDEX(xlRTCLNAME,MATCH(1,(xlRTCLENDU=1)*(xlRTCLEQCL=$D1107),0))</f>
        <v>NG_RAD</v>
      </c>
      <c r="W1107" s="7" t="str">
        <f t="array" ref="W1107">INDEX(xlRTCLNAME,MATCH(1,(xlRTCLENDU=2)*(xlRTCLEQCL=$F1107),0))</f>
        <v>CENT_AIR</v>
      </c>
      <c r="X1107" s="7" t="str">
        <f t="array" ref="X1107">INDEX(xlRTTYNAME,MATCH(1,(xlRTTYENDU=1)*(xlRTTYEQCL=$D1107)*(xlRTEQTYPE=$E1107),0))</f>
        <v>NG_RAD3</v>
      </c>
      <c r="Y1107" s="7" t="str">
        <f t="array" ref="Y1107">INDEX(xlRTTYNAME,MATCH(1,(xlRTTYENDU=2)*(xlRTTYEQCL=$F1107)*(xlRTEQTYPE=$G1107),0))</f>
        <v>CENT_AIR3</v>
      </c>
    </row>
    <row r="1108" spans="2:25" ht="14.25" customHeight="1" x14ac:dyDescent="0.2">
      <c r="B1108" s="5">
        <v>7</v>
      </c>
      <c r="C1108" s="5">
        <v>2</v>
      </c>
      <c r="D1108" s="5">
        <v>4</v>
      </c>
      <c r="E1108" s="5">
        <v>12</v>
      </c>
      <c r="F1108" s="5">
        <v>2</v>
      </c>
      <c r="G1108" s="31">
        <v>6</v>
      </c>
      <c r="H1108" s="31">
        <v>2020</v>
      </c>
      <c r="I1108" s="5">
        <v>2050</v>
      </c>
      <c r="J1108" s="142">
        <v>1.1200000000000001</v>
      </c>
      <c r="K1108" s="142">
        <v>1.0462</v>
      </c>
      <c r="L1108" s="142">
        <v>1.2438</v>
      </c>
      <c r="M1108" s="142">
        <v>1.1604000000000001</v>
      </c>
      <c r="N1108" s="142">
        <v>1.4438</v>
      </c>
      <c r="O1108" s="142">
        <v>1.0538000000000001</v>
      </c>
      <c r="P1108" s="26">
        <v>2010.0787101285</v>
      </c>
      <c r="Q1108" s="35">
        <f t="array" ref="Q1108">SUM(IF(($S1108&gt;=4)*($C1108='TaxCred&amp;Subs'!$D$114:$D$121)*($H1108='TaxCred&amp;Subs'!$C$114:$C$121)*($H1108&lt;='TaxCred&amp;Subs'!$C$123),'TaxCred&amp;Subs'!$E$114:$E$121,0))</f>
        <v>0</v>
      </c>
      <c r="R1108" s="143">
        <v>0</v>
      </c>
      <c r="S1108" s="5">
        <v>3</v>
      </c>
      <c r="T1108" s="5" t="s">
        <v>239</v>
      </c>
      <c r="V1108" s="7" t="str">
        <f t="array" ref="V1108">INDEX(xlRTCLNAME,MATCH(1,(xlRTCLENDU=1)*(xlRTCLEQCL=$D1108),0))</f>
        <v>NG_RAD</v>
      </c>
      <c r="W1108" s="7" t="str">
        <f t="array" ref="W1108">INDEX(xlRTCLNAME,MATCH(1,(xlRTCLENDU=2)*(xlRTCLEQCL=$F1108),0))</f>
        <v>CENT_AIR</v>
      </c>
      <c r="X1108" s="7" t="str">
        <f t="array" ref="X1108">INDEX(xlRTTYNAME,MATCH(1,(xlRTTYENDU=1)*(xlRTTYEQCL=$D1108)*(xlRTEQTYPE=$E1108),0))</f>
        <v>NG_RAD3</v>
      </c>
      <c r="Y1108" s="7" t="str">
        <f t="array" ref="Y1108">INDEX(xlRTTYNAME,MATCH(1,(xlRTTYENDU=2)*(xlRTTYEQCL=$F1108)*(xlRTEQTYPE=$G1108),0))</f>
        <v>CENT_AIR3</v>
      </c>
    </row>
    <row r="1109" spans="2:25" ht="14.25" customHeight="1" x14ac:dyDescent="0.2">
      <c r="B1109" s="5">
        <v>8</v>
      </c>
      <c r="C1109" s="5">
        <v>2</v>
      </c>
      <c r="D1109" s="5">
        <v>4</v>
      </c>
      <c r="E1109" s="5">
        <v>12</v>
      </c>
      <c r="F1109" s="5">
        <v>2</v>
      </c>
      <c r="G1109" s="31">
        <v>6</v>
      </c>
      <c r="H1109" s="31">
        <v>2020</v>
      </c>
      <c r="I1109" s="5">
        <v>2050</v>
      </c>
      <c r="J1109" s="142">
        <v>1.1045</v>
      </c>
      <c r="K1109" s="142">
        <v>1.0323</v>
      </c>
      <c r="L1109" s="142">
        <v>0.9597</v>
      </c>
      <c r="M1109" s="142">
        <v>1.2739</v>
      </c>
      <c r="N1109" s="142">
        <v>1.2847999999999999</v>
      </c>
      <c r="O1109" s="142">
        <v>1.0538000000000001</v>
      </c>
      <c r="P1109" s="26">
        <v>3295.4534572073267</v>
      </c>
      <c r="Q1109" s="35">
        <f t="array" ref="Q1109">SUM(IF(($S1109&gt;=4)*($C1109='TaxCred&amp;Subs'!$D$114:$D$121)*($H1109='TaxCred&amp;Subs'!$C$114:$C$121)*($H1109&lt;='TaxCred&amp;Subs'!$C$123),'TaxCred&amp;Subs'!$E$114:$E$121,0))</f>
        <v>0</v>
      </c>
      <c r="R1109" s="143">
        <v>0</v>
      </c>
      <c r="S1109" s="5">
        <v>3</v>
      </c>
      <c r="T1109" s="5" t="s">
        <v>239</v>
      </c>
      <c r="V1109" s="7" t="str">
        <f t="array" ref="V1109">INDEX(xlRTCLNAME,MATCH(1,(xlRTCLENDU=1)*(xlRTCLEQCL=$D1109),0))</f>
        <v>NG_RAD</v>
      </c>
      <c r="W1109" s="7" t="str">
        <f t="array" ref="W1109">INDEX(xlRTCLNAME,MATCH(1,(xlRTCLENDU=2)*(xlRTCLEQCL=$F1109),0))</f>
        <v>CENT_AIR</v>
      </c>
      <c r="X1109" s="7" t="str">
        <f t="array" ref="X1109">INDEX(xlRTTYNAME,MATCH(1,(xlRTTYENDU=1)*(xlRTTYEQCL=$D1109)*(xlRTEQTYPE=$E1109),0))</f>
        <v>NG_RAD3</v>
      </c>
      <c r="Y1109" s="7" t="str">
        <f t="array" ref="Y1109">INDEX(xlRTTYNAME,MATCH(1,(xlRTTYENDU=2)*(xlRTTYEQCL=$F1109)*(xlRTEQTYPE=$G1109),0))</f>
        <v>CENT_AIR3</v>
      </c>
    </row>
    <row r="1110" spans="2:25" ht="14.25" customHeight="1" x14ac:dyDescent="0.2">
      <c r="B1110" s="5">
        <v>9</v>
      </c>
      <c r="C1110" s="5">
        <v>2</v>
      </c>
      <c r="D1110" s="5">
        <v>4</v>
      </c>
      <c r="E1110" s="5">
        <v>12</v>
      </c>
      <c r="F1110" s="5">
        <v>2</v>
      </c>
      <c r="G1110" s="31">
        <v>6</v>
      </c>
      <c r="H1110" s="31">
        <v>2020</v>
      </c>
      <c r="I1110" s="5">
        <v>2050</v>
      </c>
      <c r="J1110" s="142">
        <v>1.1200000000000001</v>
      </c>
      <c r="K1110" s="142">
        <v>1.0541</v>
      </c>
      <c r="L1110" s="142">
        <v>0.74380000000000002</v>
      </c>
      <c r="M1110" s="142">
        <v>1.2</v>
      </c>
      <c r="N1110" s="142">
        <v>1.4438</v>
      </c>
      <c r="O1110" s="142">
        <v>1.0538000000000001</v>
      </c>
      <c r="P1110" s="26">
        <v>2894.7822494358934</v>
      </c>
      <c r="Q1110" s="35">
        <f t="array" ref="Q1110">SUM(IF(($S1110&gt;=4)*($C1110='TaxCred&amp;Subs'!$D$114:$D$121)*($H1110='TaxCred&amp;Subs'!$C$114:$C$121)*($H1110&lt;='TaxCred&amp;Subs'!$C$123),'TaxCred&amp;Subs'!$E$114:$E$121,0))</f>
        <v>0</v>
      </c>
      <c r="R1110" s="143">
        <v>0</v>
      </c>
      <c r="S1110" s="5">
        <v>3</v>
      </c>
      <c r="T1110" s="5" t="s">
        <v>239</v>
      </c>
      <c r="V1110" s="7" t="str">
        <f t="array" ref="V1110">INDEX(xlRTCLNAME,MATCH(1,(xlRTCLENDU=1)*(xlRTCLEQCL=$D1110),0))</f>
        <v>NG_RAD</v>
      </c>
      <c r="W1110" s="7" t="str">
        <f t="array" ref="W1110">INDEX(xlRTCLNAME,MATCH(1,(xlRTCLENDU=2)*(xlRTCLEQCL=$F1110),0))</f>
        <v>CENT_AIR</v>
      </c>
      <c r="X1110" s="7" t="str">
        <f t="array" ref="X1110">INDEX(xlRTTYNAME,MATCH(1,(xlRTTYENDU=1)*(xlRTTYEQCL=$D1110)*(xlRTEQTYPE=$E1110),0))</f>
        <v>NG_RAD3</v>
      </c>
      <c r="Y1110" s="7" t="str">
        <f t="array" ref="Y1110">INDEX(xlRTTYNAME,MATCH(1,(xlRTTYENDU=2)*(xlRTTYEQCL=$F1110)*(xlRTEQTYPE=$G1110),0))</f>
        <v>CENT_AIR3</v>
      </c>
    </row>
    <row r="1111" spans="2:25" x14ac:dyDescent="0.2">
      <c r="B1111" s="29">
        <v>1</v>
      </c>
      <c r="C1111" s="29">
        <v>2</v>
      </c>
      <c r="D1111" s="29">
        <v>5</v>
      </c>
      <c r="E1111" s="29">
        <v>16</v>
      </c>
      <c r="F1111" s="29">
        <v>2</v>
      </c>
      <c r="G1111" s="32">
        <v>6</v>
      </c>
      <c r="H1111" s="32">
        <v>2020</v>
      </c>
      <c r="I1111" s="29">
        <v>2050</v>
      </c>
      <c r="J1111" s="144">
        <v>1.0956999999999999</v>
      </c>
      <c r="K1111" s="144">
        <v>1.0417000000000001</v>
      </c>
      <c r="L1111" s="144">
        <v>0.92830000000000001</v>
      </c>
      <c r="M1111" s="144">
        <v>1.1455</v>
      </c>
      <c r="N1111" s="144">
        <v>1.1153</v>
      </c>
      <c r="O1111" s="144">
        <v>1.0538000000000001</v>
      </c>
      <c r="P1111" s="143">
        <v>4194.9468733116528</v>
      </c>
      <c r="Q1111" s="35">
        <f t="array" ref="Q1111">SUM(IF(($S1111&gt;=4)*($C1111='TaxCred&amp;Subs'!$D$114:$D$121)*($H1111='TaxCred&amp;Subs'!$C$114:$C$121)*($H1111&lt;='TaxCred&amp;Subs'!$C$123),'TaxCred&amp;Subs'!$E$114:$E$121,0))</f>
        <v>0</v>
      </c>
      <c r="R1111" s="143">
        <v>0</v>
      </c>
      <c r="S1111" s="29">
        <v>3</v>
      </c>
      <c r="T1111" s="29" t="s">
        <v>239</v>
      </c>
      <c r="U1111" s="30" t="s">
        <v>227</v>
      </c>
      <c r="V1111" s="7" t="str">
        <f t="array" ref="V1111">INDEX(xlRTCLNAME,MATCH(1,(xlRTCLENDU=1)*(xlRTCLEQCL=$D1111),0))</f>
        <v>KERO_FA</v>
      </c>
      <c r="W1111" s="7" t="str">
        <f t="array" ref="W1111">INDEX(xlRTCLNAME,MATCH(1,(xlRTCLENDU=2)*(xlRTCLEQCL=$F1111),0))</f>
        <v>CENT_AIR</v>
      </c>
      <c r="X1111" s="7" t="str">
        <f t="array" ref="X1111">INDEX(xlRTTYNAME,MATCH(1,(xlRTTYENDU=1)*(xlRTTYEQCL=$D1111)*(xlRTEQTYPE=$E1111),0))</f>
        <v>KERO_FA3</v>
      </c>
      <c r="Y1111" s="7" t="str">
        <f t="array" ref="Y1111">INDEX(xlRTTYNAME,MATCH(1,(xlRTTYENDU=2)*(xlRTTYEQCL=$F1111)*(xlRTEQTYPE=$G1111),0))</f>
        <v>CENT_AIR3</v>
      </c>
    </row>
    <row r="1112" spans="2:25" x14ac:dyDescent="0.2">
      <c r="B1112" s="29">
        <v>2</v>
      </c>
      <c r="C1112" s="29">
        <v>2</v>
      </c>
      <c r="D1112" s="29">
        <v>5</v>
      </c>
      <c r="E1112" s="29">
        <v>16</v>
      </c>
      <c r="F1112" s="29">
        <v>2</v>
      </c>
      <c r="G1112" s="32">
        <v>6</v>
      </c>
      <c r="H1112" s="32">
        <v>2020</v>
      </c>
      <c r="I1112" s="29">
        <v>2050</v>
      </c>
      <c r="J1112" s="144">
        <v>1.1059000000000001</v>
      </c>
      <c r="K1112" s="144">
        <v>1.0357000000000001</v>
      </c>
      <c r="L1112" s="144">
        <v>0.85799999999999998</v>
      </c>
      <c r="M1112" s="144">
        <v>1.1625000000000001</v>
      </c>
      <c r="N1112" s="144">
        <v>1.1176999999999999</v>
      </c>
      <c r="O1112" s="144">
        <v>1.0538000000000001</v>
      </c>
      <c r="P1112" s="143">
        <v>3112.5967986270753</v>
      </c>
      <c r="Q1112" s="35">
        <f t="array" ref="Q1112">SUM(IF(($S1112&gt;=4)*($C1112='TaxCred&amp;Subs'!$D$114:$D$121)*($H1112='TaxCred&amp;Subs'!$C$114:$C$121)*($H1112&lt;='TaxCred&amp;Subs'!$C$123),'TaxCred&amp;Subs'!$E$114:$E$121,0))</f>
        <v>0</v>
      </c>
      <c r="R1112" s="143">
        <v>0</v>
      </c>
      <c r="S1112" s="29">
        <v>3</v>
      </c>
      <c r="T1112" s="29" t="s">
        <v>239</v>
      </c>
      <c r="U1112" s="30" t="s">
        <v>227</v>
      </c>
      <c r="V1112" s="7" t="str">
        <f t="array" ref="V1112">INDEX(xlRTCLNAME,MATCH(1,(xlRTCLENDU=1)*(xlRTCLEQCL=$D1112),0))</f>
        <v>KERO_FA</v>
      </c>
      <c r="W1112" s="7" t="str">
        <f t="array" ref="W1112">INDEX(xlRTCLNAME,MATCH(1,(xlRTCLENDU=2)*(xlRTCLEQCL=$F1112),0))</f>
        <v>CENT_AIR</v>
      </c>
      <c r="X1112" s="7" t="str">
        <f t="array" ref="X1112">INDEX(xlRTTYNAME,MATCH(1,(xlRTTYENDU=1)*(xlRTTYEQCL=$D1112)*(xlRTEQTYPE=$E1112),0))</f>
        <v>KERO_FA3</v>
      </c>
      <c r="Y1112" s="7" t="str">
        <f t="array" ref="Y1112">INDEX(xlRTTYNAME,MATCH(1,(xlRTTYENDU=2)*(xlRTTYEQCL=$F1112)*(xlRTEQTYPE=$G1112),0))</f>
        <v>CENT_AIR3</v>
      </c>
    </row>
    <row r="1113" spans="2:25" x14ac:dyDescent="0.2">
      <c r="B1113" s="29">
        <v>3</v>
      </c>
      <c r="C1113" s="29">
        <v>2</v>
      </c>
      <c r="D1113" s="29">
        <v>5</v>
      </c>
      <c r="E1113" s="29">
        <v>16</v>
      </c>
      <c r="F1113" s="29">
        <v>2</v>
      </c>
      <c r="G1113" s="32">
        <v>6</v>
      </c>
      <c r="H1113" s="32">
        <v>2020</v>
      </c>
      <c r="I1113" s="29">
        <v>2050</v>
      </c>
      <c r="J1113" s="144">
        <v>1.099</v>
      </c>
      <c r="K1113" s="144">
        <v>1.03</v>
      </c>
      <c r="L1113" s="144">
        <v>0.83350000000000002</v>
      </c>
      <c r="M1113" s="144">
        <v>1.0828</v>
      </c>
      <c r="N1113" s="144">
        <v>1.0381</v>
      </c>
      <c r="O1113" s="144">
        <v>1.0538000000000001</v>
      </c>
      <c r="P1113" s="143">
        <v>3572.4275135862376</v>
      </c>
      <c r="Q1113" s="35">
        <f t="array" ref="Q1113">SUM(IF(($S1113&gt;=4)*($C1113='TaxCred&amp;Subs'!$D$114:$D$121)*($H1113='TaxCred&amp;Subs'!$C$114:$C$121)*($H1113&lt;='TaxCred&amp;Subs'!$C$123),'TaxCred&amp;Subs'!$E$114:$E$121,0))</f>
        <v>0</v>
      </c>
      <c r="R1113" s="143">
        <v>0</v>
      </c>
      <c r="S1113" s="29">
        <v>3</v>
      </c>
      <c r="T1113" s="29" t="s">
        <v>239</v>
      </c>
      <c r="U1113" s="30" t="s">
        <v>227</v>
      </c>
      <c r="V1113" s="7" t="str">
        <f t="array" ref="V1113">INDEX(xlRTCLNAME,MATCH(1,(xlRTCLENDU=1)*(xlRTCLEQCL=$D1113),0))</f>
        <v>KERO_FA</v>
      </c>
      <c r="W1113" s="7" t="str">
        <f t="array" ref="W1113">INDEX(xlRTCLNAME,MATCH(1,(xlRTCLENDU=2)*(xlRTCLEQCL=$F1113),0))</f>
        <v>CENT_AIR</v>
      </c>
      <c r="X1113" s="7" t="str">
        <f t="array" ref="X1113">INDEX(xlRTTYNAME,MATCH(1,(xlRTTYENDU=1)*(xlRTTYEQCL=$D1113)*(xlRTEQTYPE=$E1113),0))</f>
        <v>KERO_FA3</v>
      </c>
      <c r="Y1113" s="7" t="str">
        <f t="array" ref="Y1113">INDEX(xlRTTYNAME,MATCH(1,(xlRTTYENDU=2)*(xlRTTYEQCL=$F1113)*(xlRTEQTYPE=$G1113),0))</f>
        <v>CENT_AIR3</v>
      </c>
    </row>
    <row r="1114" spans="2:25" x14ac:dyDescent="0.2">
      <c r="B1114" s="29">
        <v>4</v>
      </c>
      <c r="C1114" s="29">
        <v>2</v>
      </c>
      <c r="D1114" s="29">
        <v>5</v>
      </c>
      <c r="E1114" s="29">
        <v>16</v>
      </c>
      <c r="F1114" s="29">
        <v>2</v>
      </c>
      <c r="G1114" s="32">
        <v>6</v>
      </c>
      <c r="H1114" s="32">
        <v>2020</v>
      </c>
      <c r="I1114" s="29">
        <v>2050</v>
      </c>
      <c r="J1114" s="144">
        <v>1.0934999999999999</v>
      </c>
      <c r="K1114" s="144">
        <v>1.0435000000000001</v>
      </c>
      <c r="L1114" s="144">
        <v>0.84930000000000005</v>
      </c>
      <c r="M1114" s="144">
        <v>1.1499999999999999</v>
      </c>
      <c r="N1114" s="144">
        <v>1.1696</v>
      </c>
      <c r="O1114" s="144">
        <v>1.0538000000000001</v>
      </c>
      <c r="P1114" s="143">
        <v>3148.8992234922725</v>
      </c>
      <c r="Q1114" s="35">
        <f t="array" ref="Q1114">SUM(IF(($S1114&gt;=4)*($C1114='TaxCred&amp;Subs'!$D$114:$D$121)*($H1114='TaxCred&amp;Subs'!$C$114:$C$121)*($H1114&lt;='TaxCred&amp;Subs'!$C$123),'TaxCred&amp;Subs'!$E$114:$E$121,0))</f>
        <v>0</v>
      </c>
      <c r="R1114" s="143">
        <v>0</v>
      </c>
      <c r="S1114" s="29">
        <v>3</v>
      </c>
      <c r="T1114" s="29" t="s">
        <v>239</v>
      </c>
      <c r="U1114" s="30" t="s">
        <v>227</v>
      </c>
      <c r="V1114" s="7" t="str">
        <f t="array" ref="V1114">INDEX(xlRTCLNAME,MATCH(1,(xlRTCLENDU=1)*(xlRTCLEQCL=$D1114),0))</f>
        <v>KERO_FA</v>
      </c>
      <c r="W1114" s="7" t="str">
        <f t="array" ref="W1114">INDEX(xlRTCLNAME,MATCH(1,(xlRTCLENDU=2)*(xlRTCLEQCL=$F1114),0))</f>
        <v>CENT_AIR</v>
      </c>
      <c r="X1114" s="7" t="str">
        <f t="array" ref="X1114">INDEX(xlRTTYNAME,MATCH(1,(xlRTTYENDU=1)*(xlRTTYEQCL=$D1114)*(xlRTEQTYPE=$E1114),0))</f>
        <v>KERO_FA3</v>
      </c>
      <c r="Y1114" s="7" t="str">
        <f t="array" ref="Y1114">INDEX(xlRTTYNAME,MATCH(1,(xlRTTYENDU=2)*(xlRTTYEQCL=$F1114)*(xlRTEQTYPE=$G1114),0))</f>
        <v>CENT_AIR3</v>
      </c>
    </row>
    <row r="1115" spans="2:25" x14ac:dyDescent="0.2">
      <c r="B1115" s="29">
        <v>5</v>
      </c>
      <c r="C1115" s="29">
        <v>2</v>
      </c>
      <c r="D1115" s="29">
        <v>5</v>
      </c>
      <c r="E1115" s="29">
        <v>16</v>
      </c>
      <c r="F1115" s="29">
        <v>2</v>
      </c>
      <c r="G1115" s="32">
        <v>6</v>
      </c>
      <c r="H1115" s="32">
        <v>2020</v>
      </c>
      <c r="I1115" s="29">
        <v>2050</v>
      </c>
      <c r="J1115" s="144">
        <v>1.1200000000000001</v>
      </c>
      <c r="K1115" s="144">
        <v>1.0391999999999999</v>
      </c>
      <c r="L1115" s="144">
        <v>0.53759999999999997</v>
      </c>
      <c r="M1115" s="144">
        <v>1.1097999999999999</v>
      </c>
      <c r="N1115" s="144">
        <v>1.2595000000000001</v>
      </c>
      <c r="O1115" s="144">
        <v>1.0538000000000001</v>
      </c>
      <c r="P1115" s="143">
        <v>2757.6397555007047</v>
      </c>
      <c r="Q1115" s="35">
        <f t="array" ref="Q1115">SUM(IF(($S1115&gt;=4)*($C1115='TaxCred&amp;Subs'!$D$114:$D$121)*($H1115='TaxCred&amp;Subs'!$C$114:$C$121)*($H1115&lt;='TaxCred&amp;Subs'!$C$123),'TaxCred&amp;Subs'!$E$114:$E$121,0))</f>
        <v>0</v>
      </c>
      <c r="R1115" s="143">
        <v>0</v>
      </c>
      <c r="S1115" s="29">
        <v>3</v>
      </c>
      <c r="T1115" s="29" t="s">
        <v>239</v>
      </c>
      <c r="U1115" s="30" t="s">
        <v>227</v>
      </c>
      <c r="V1115" s="7" t="str">
        <f t="array" ref="V1115">INDEX(xlRTCLNAME,MATCH(1,(xlRTCLENDU=1)*(xlRTCLEQCL=$D1115),0))</f>
        <v>KERO_FA</v>
      </c>
      <c r="W1115" s="7" t="str">
        <f t="array" ref="W1115">INDEX(xlRTCLNAME,MATCH(1,(xlRTCLENDU=2)*(xlRTCLEQCL=$F1115),0))</f>
        <v>CENT_AIR</v>
      </c>
      <c r="X1115" s="7" t="str">
        <f t="array" ref="X1115">INDEX(xlRTTYNAME,MATCH(1,(xlRTTYENDU=1)*(xlRTTYEQCL=$D1115)*(xlRTEQTYPE=$E1115),0))</f>
        <v>KERO_FA3</v>
      </c>
      <c r="Y1115" s="7" t="str">
        <f t="array" ref="Y1115">INDEX(xlRTTYNAME,MATCH(1,(xlRTTYENDU=2)*(xlRTTYEQCL=$F1115)*(xlRTEQTYPE=$G1115),0))</f>
        <v>CENT_AIR3</v>
      </c>
    </row>
    <row r="1116" spans="2:25" x14ac:dyDescent="0.2">
      <c r="B1116" s="29">
        <v>6</v>
      </c>
      <c r="C1116" s="29">
        <v>2</v>
      </c>
      <c r="D1116" s="29">
        <v>5</v>
      </c>
      <c r="E1116" s="29">
        <v>16</v>
      </c>
      <c r="F1116" s="29">
        <v>2</v>
      </c>
      <c r="G1116" s="32">
        <v>6</v>
      </c>
      <c r="H1116" s="32">
        <v>2020</v>
      </c>
      <c r="I1116" s="29">
        <v>2050</v>
      </c>
      <c r="J1116" s="144">
        <v>1.1200000000000001</v>
      </c>
      <c r="K1116" s="144">
        <v>1.03</v>
      </c>
      <c r="L1116" s="144">
        <v>0.92659999999999998</v>
      </c>
      <c r="M1116" s="144">
        <v>1.1455</v>
      </c>
      <c r="N1116" s="144">
        <v>1.3381000000000001</v>
      </c>
      <c r="O1116" s="144">
        <v>1.0538000000000001</v>
      </c>
      <c r="P1116" s="143">
        <v>3038.6474146424148</v>
      </c>
      <c r="Q1116" s="35">
        <f t="array" ref="Q1116">SUM(IF(($S1116&gt;=4)*($C1116='TaxCred&amp;Subs'!$D$114:$D$121)*($H1116='TaxCred&amp;Subs'!$C$114:$C$121)*($H1116&lt;='TaxCred&amp;Subs'!$C$123),'TaxCred&amp;Subs'!$E$114:$E$121,0))</f>
        <v>0</v>
      </c>
      <c r="R1116" s="143">
        <v>0</v>
      </c>
      <c r="S1116" s="29">
        <v>3</v>
      </c>
      <c r="T1116" s="29" t="s">
        <v>239</v>
      </c>
      <c r="U1116" s="30" t="s">
        <v>227</v>
      </c>
      <c r="V1116" s="7" t="str">
        <f t="array" ref="V1116">INDEX(xlRTCLNAME,MATCH(1,(xlRTCLENDU=1)*(xlRTCLEQCL=$D1116),0))</f>
        <v>KERO_FA</v>
      </c>
      <c r="W1116" s="7" t="str">
        <f t="array" ref="W1116">INDEX(xlRTCLNAME,MATCH(1,(xlRTCLENDU=2)*(xlRTCLEQCL=$F1116),0))</f>
        <v>CENT_AIR</v>
      </c>
      <c r="X1116" s="7" t="str">
        <f t="array" ref="X1116">INDEX(xlRTTYNAME,MATCH(1,(xlRTTYENDU=1)*(xlRTTYEQCL=$D1116)*(xlRTEQTYPE=$E1116),0))</f>
        <v>KERO_FA3</v>
      </c>
      <c r="Y1116" s="7" t="str">
        <f t="array" ref="Y1116">INDEX(xlRTTYNAME,MATCH(1,(xlRTTYENDU=2)*(xlRTTYEQCL=$F1116)*(xlRTEQTYPE=$G1116),0))</f>
        <v>CENT_AIR3</v>
      </c>
    </row>
    <row r="1117" spans="2:25" x14ac:dyDescent="0.2">
      <c r="B1117" s="29">
        <v>7</v>
      </c>
      <c r="C1117" s="29">
        <v>2</v>
      </c>
      <c r="D1117" s="29">
        <v>5</v>
      </c>
      <c r="E1117" s="29">
        <v>16</v>
      </c>
      <c r="F1117" s="29">
        <v>2</v>
      </c>
      <c r="G1117" s="32">
        <v>6</v>
      </c>
      <c r="H1117" s="32">
        <v>2020</v>
      </c>
      <c r="I1117" s="29">
        <v>2050</v>
      </c>
      <c r="J1117" s="144">
        <v>1.1200000000000001</v>
      </c>
      <c r="K1117" s="144">
        <v>1.0476000000000001</v>
      </c>
      <c r="L1117" s="144">
        <v>0.7772</v>
      </c>
      <c r="M1117" s="144">
        <v>1.1516999999999999</v>
      </c>
      <c r="N1117" s="144">
        <v>1.4438</v>
      </c>
      <c r="O1117" s="144">
        <v>1.0538000000000001</v>
      </c>
      <c r="P1117" s="143">
        <v>2032.9357924510314</v>
      </c>
      <c r="Q1117" s="35">
        <f t="array" ref="Q1117">SUM(IF(($S1117&gt;=4)*($C1117='TaxCred&amp;Subs'!$D$114:$D$121)*($H1117='TaxCred&amp;Subs'!$C$114:$C$121)*($H1117&lt;='TaxCred&amp;Subs'!$C$123),'TaxCred&amp;Subs'!$E$114:$E$121,0))</f>
        <v>0</v>
      </c>
      <c r="R1117" s="143">
        <v>0</v>
      </c>
      <c r="S1117" s="29">
        <v>3</v>
      </c>
      <c r="T1117" s="29" t="s">
        <v>239</v>
      </c>
      <c r="U1117" s="30" t="s">
        <v>227</v>
      </c>
      <c r="V1117" s="7" t="str">
        <f t="array" ref="V1117">INDEX(xlRTCLNAME,MATCH(1,(xlRTCLENDU=1)*(xlRTCLEQCL=$D1117),0))</f>
        <v>KERO_FA</v>
      </c>
      <c r="W1117" s="7" t="str">
        <f t="array" ref="W1117">INDEX(xlRTCLNAME,MATCH(1,(xlRTCLENDU=2)*(xlRTCLEQCL=$F1117),0))</f>
        <v>CENT_AIR</v>
      </c>
      <c r="X1117" s="7" t="str">
        <f t="array" ref="X1117">INDEX(xlRTTYNAME,MATCH(1,(xlRTTYENDU=1)*(xlRTTYEQCL=$D1117)*(xlRTEQTYPE=$E1117),0))</f>
        <v>KERO_FA3</v>
      </c>
      <c r="Y1117" s="7" t="str">
        <f t="array" ref="Y1117">INDEX(xlRTTYNAME,MATCH(1,(xlRTTYENDU=2)*(xlRTTYEQCL=$F1117)*(xlRTEQTYPE=$G1117),0))</f>
        <v>CENT_AIR3</v>
      </c>
    </row>
    <row r="1118" spans="2:25" x14ac:dyDescent="0.2">
      <c r="B1118" s="29">
        <v>8</v>
      </c>
      <c r="C1118" s="29">
        <v>2</v>
      </c>
      <c r="D1118" s="29">
        <v>5</v>
      </c>
      <c r="E1118" s="29">
        <v>16</v>
      </c>
      <c r="F1118" s="29">
        <v>2</v>
      </c>
      <c r="G1118" s="32">
        <v>6</v>
      </c>
      <c r="H1118" s="32">
        <v>2020</v>
      </c>
      <c r="I1118" s="29">
        <v>2050</v>
      </c>
      <c r="J1118" s="144">
        <v>1.1064000000000001</v>
      </c>
      <c r="K1118" s="144">
        <v>1.0645</v>
      </c>
      <c r="L1118" s="144">
        <v>0.80669999999999997</v>
      </c>
      <c r="M1118" s="144">
        <v>1.2739</v>
      </c>
      <c r="N1118" s="144">
        <v>1.2826</v>
      </c>
      <c r="O1118" s="144">
        <v>1.0538000000000001</v>
      </c>
      <c r="P1118" s="143">
        <v>3362.6801699206544</v>
      </c>
      <c r="Q1118" s="35">
        <f t="array" ref="Q1118">SUM(IF(($S1118&gt;=4)*($C1118='TaxCred&amp;Subs'!$D$114:$D$121)*($H1118='TaxCred&amp;Subs'!$C$114:$C$121)*($H1118&lt;='TaxCred&amp;Subs'!$C$123),'TaxCred&amp;Subs'!$E$114:$E$121,0))</f>
        <v>0</v>
      </c>
      <c r="R1118" s="143">
        <v>0</v>
      </c>
      <c r="S1118" s="29">
        <v>3</v>
      </c>
      <c r="T1118" s="29" t="s">
        <v>239</v>
      </c>
      <c r="U1118" s="30" t="s">
        <v>227</v>
      </c>
      <c r="V1118" s="7" t="str">
        <f t="array" ref="V1118">INDEX(xlRTCLNAME,MATCH(1,(xlRTCLENDU=1)*(xlRTCLEQCL=$D1118),0))</f>
        <v>KERO_FA</v>
      </c>
      <c r="W1118" s="7" t="str">
        <f t="array" ref="W1118">INDEX(xlRTCLNAME,MATCH(1,(xlRTCLENDU=2)*(xlRTCLEQCL=$F1118),0))</f>
        <v>CENT_AIR</v>
      </c>
      <c r="X1118" s="7" t="str">
        <f t="array" ref="X1118">INDEX(xlRTTYNAME,MATCH(1,(xlRTTYENDU=1)*(xlRTTYEQCL=$D1118)*(xlRTEQTYPE=$E1118),0))</f>
        <v>KERO_FA3</v>
      </c>
      <c r="Y1118" s="7" t="str">
        <f t="array" ref="Y1118">INDEX(xlRTTYNAME,MATCH(1,(xlRTTYENDU=2)*(xlRTTYEQCL=$F1118)*(xlRTEQTYPE=$G1118),0))</f>
        <v>CENT_AIR3</v>
      </c>
    </row>
    <row r="1119" spans="2:25" x14ac:dyDescent="0.2">
      <c r="B1119" s="29">
        <v>9</v>
      </c>
      <c r="C1119" s="29">
        <v>2</v>
      </c>
      <c r="D1119" s="29">
        <v>5</v>
      </c>
      <c r="E1119" s="29">
        <v>16</v>
      </c>
      <c r="F1119" s="29">
        <v>2</v>
      </c>
      <c r="G1119" s="32">
        <v>6</v>
      </c>
      <c r="H1119" s="32">
        <v>2020</v>
      </c>
      <c r="I1119" s="29">
        <v>2050</v>
      </c>
      <c r="J1119" s="144">
        <v>1.03</v>
      </c>
      <c r="K1119" s="144">
        <v>1.0556000000000001</v>
      </c>
      <c r="L1119" s="144">
        <v>0.44379999999999997</v>
      </c>
      <c r="M1119" s="144">
        <v>1.2</v>
      </c>
      <c r="N1119" s="144">
        <v>1.4438</v>
      </c>
      <c r="O1119" s="144">
        <v>1.0538000000000001</v>
      </c>
      <c r="P1119" s="143">
        <v>3463.5202389906462</v>
      </c>
      <c r="Q1119" s="35">
        <f t="array" ref="Q1119">SUM(IF(($S1119&gt;=4)*($C1119='TaxCred&amp;Subs'!$D$114:$D$121)*($H1119='TaxCred&amp;Subs'!$C$114:$C$121)*($H1119&lt;='TaxCred&amp;Subs'!$C$123),'TaxCred&amp;Subs'!$E$114:$E$121,0))</f>
        <v>0</v>
      </c>
      <c r="R1119" s="143">
        <v>0</v>
      </c>
      <c r="S1119" s="29">
        <v>3</v>
      </c>
      <c r="T1119" s="29" t="s">
        <v>239</v>
      </c>
      <c r="U1119" s="30" t="s">
        <v>227</v>
      </c>
      <c r="V1119" s="7" t="str">
        <f t="array" ref="V1119">INDEX(xlRTCLNAME,MATCH(1,(xlRTCLENDU=1)*(xlRTCLEQCL=$D1119),0))</f>
        <v>KERO_FA</v>
      </c>
      <c r="W1119" s="7" t="str">
        <f t="array" ref="W1119">INDEX(xlRTCLNAME,MATCH(1,(xlRTCLENDU=2)*(xlRTCLEQCL=$F1119),0))</f>
        <v>CENT_AIR</v>
      </c>
      <c r="X1119" s="7" t="str">
        <f t="array" ref="X1119">INDEX(xlRTTYNAME,MATCH(1,(xlRTTYENDU=1)*(xlRTTYEQCL=$D1119)*(xlRTEQTYPE=$E1119),0))</f>
        <v>KERO_FA3</v>
      </c>
      <c r="Y1119" s="7" t="str">
        <f t="array" ref="Y1119">INDEX(xlRTTYNAME,MATCH(1,(xlRTTYENDU=2)*(xlRTTYEQCL=$F1119)*(xlRTEQTYPE=$G1119),0))</f>
        <v>CENT_AIR3</v>
      </c>
    </row>
    <row r="1120" spans="2:25" ht="14.25" customHeight="1" x14ac:dyDescent="0.2">
      <c r="B1120" s="5">
        <v>1</v>
      </c>
      <c r="C1120" s="5">
        <v>2</v>
      </c>
      <c r="D1120" s="5">
        <v>6</v>
      </c>
      <c r="E1120" s="5">
        <v>20</v>
      </c>
      <c r="F1120" s="5">
        <v>2</v>
      </c>
      <c r="G1120" s="31">
        <v>6</v>
      </c>
      <c r="H1120" s="31">
        <v>2020</v>
      </c>
      <c r="I1120" s="31">
        <v>2028</v>
      </c>
      <c r="J1120" s="142">
        <v>1.1042000000000001</v>
      </c>
      <c r="K1120" s="142">
        <v>1.0417000000000001</v>
      </c>
      <c r="L1120" s="142">
        <v>0.92490000000000006</v>
      </c>
      <c r="M1120" s="142">
        <v>1.1455</v>
      </c>
      <c r="N1120" s="142">
        <v>1.1127</v>
      </c>
      <c r="O1120" s="142">
        <v>1.0538000000000001</v>
      </c>
      <c r="P1120" s="26">
        <v>4194.9468733116528</v>
      </c>
      <c r="Q1120" s="35">
        <f t="array" ref="Q1120">SUM(IF(($S1120&gt;=4)*($C1120='TaxCred&amp;Subs'!$D$114:$D$121)*($H1120='TaxCred&amp;Subs'!$C$114:$C$121)*($H1120&lt;='TaxCred&amp;Subs'!$C$123),'TaxCred&amp;Subs'!$E$114:$E$121,0))</f>
        <v>0</v>
      </c>
      <c r="R1120" s="143">
        <v>0</v>
      </c>
      <c r="S1120" s="5">
        <v>3</v>
      </c>
      <c r="T1120" s="5" t="s">
        <v>239</v>
      </c>
      <c r="V1120" s="7" t="str">
        <f t="array" ref="V1120">INDEX(xlRTCLNAME,MATCH(1,(xlRTCLENDU=1)*(xlRTCLEQCL=$D1120),0))</f>
        <v>LPG_FA</v>
      </c>
      <c r="W1120" s="7" t="str">
        <f t="array" ref="W1120">INDEX(xlRTCLNAME,MATCH(1,(xlRTCLENDU=2)*(xlRTCLEQCL=$F1120),0))</f>
        <v>CENT_AIR</v>
      </c>
      <c r="X1120" s="7" t="str">
        <f t="array" ref="X1120">INDEX(xlRTTYNAME,MATCH(1,(xlRTTYENDU=1)*(xlRTTYEQCL=$D1120)*(xlRTEQTYPE=$E1120),0))</f>
        <v>LPG_FA3</v>
      </c>
      <c r="Y1120" s="7" t="str">
        <f t="array" ref="Y1120">INDEX(xlRTTYNAME,MATCH(1,(xlRTTYENDU=2)*(xlRTTYEQCL=$F1120)*(xlRTEQTYPE=$G1120),0))</f>
        <v>CENT_AIR3</v>
      </c>
    </row>
    <row r="1121" spans="2:25" ht="14.25" customHeight="1" x14ac:dyDescent="0.2">
      <c r="B1121" s="152">
        <v>1</v>
      </c>
      <c r="C1121" s="152">
        <v>2</v>
      </c>
      <c r="D1121" s="152">
        <v>6</v>
      </c>
      <c r="E1121" s="152">
        <v>21</v>
      </c>
      <c r="F1121" s="152">
        <v>2</v>
      </c>
      <c r="G1121" s="152">
        <v>6</v>
      </c>
      <c r="H1121" s="152">
        <v>2029</v>
      </c>
      <c r="I1121" s="152">
        <v>2050</v>
      </c>
      <c r="J1121" s="229">
        <v>1.1042000000000001</v>
      </c>
      <c r="K1121" s="229">
        <v>1.0417000000000001</v>
      </c>
      <c r="L1121" s="229">
        <v>0.92490000000000006</v>
      </c>
      <c r="M1121" s="229">
        <v>1.1455</v>
      </c>
      <c r="N1121" s="229">
        <v>1.1127</v>
      </c>
      <c r="O1121" s="229">
        <v>1.0538000000000001</v>
      </c>
      <c r="P1121" s="155">
        <v>4194.9468733116528</v>
      </c>
      <c r="Q1121" s="41">
        <f t="array" ref="Q1121">SUM(IF(($S1121&gt;=4)*($C1121='TaxCred&amp;Subs'!$D$114:$D$121)*($H1121='TaxCred&amp;Subs'!$C$114:$C$121)*($H1121&lt;='TaxCred&amp;Subs'!$C$123),'TaxCred&amp;Subs'!$E$114:$E$121,0))</f>
        <v>0</v>
      </c>
      <c r="R1121" s="230">
        <v>0</v>
      </c>
      <c r="S1121" s="152">
        <v>3</v>
      </c>
      <c r="T1121" s="152" t="s">
        <v>239</v>
      </c>
      <c r="V1121" s="7" t="str">
        <f t="array" ref="V1121">INDEX(xlRTCLNAME,MATCH(1,(xlRTCLENDU=1)*(xlRTCLEQCL=$D1121),0))</f>
        <v>LPG_FA</v>
      </c>
      <c r="W1121" s="7" t="str">
        <f t="array" ref="W1121">INDEX(xlRTCLNAME,MATCH(1,(xlRTCLENDU=2)*(xlRTCLEQCL=$F1121),0))</f>
        <v>CENT_AIR</v>
      </c>
      <c r="X1121" s="7" t="str">
        <f t="array" ref="X1121">INDEX(xlRTTYNAME,MATCH(1,(xlRTTYENDU=1)*(xlRTTYEQCL=$D1121)*(xlRTEQTYPE=$E1121),0))</f>
        <v>LPG_FA4</v>
      </c>
      <c r="Y1121" s="7" t="str">
        <f t="array" ref="Y1121">INDEX(xlRTTYNAME,MATCH(1,(xlRTTYENDU=2)*(xlRTTYEQCL=$F1121)*(xlRTEQTYPE=$G1121),0))</f>
        <v>CENT_AIR3</v>
      </c>
    </row>
    <row r="1122" spans="2:25" ht="14.25" customHeight="1" x14ac:dyDescent="0.2">
      <c r="B1122" s="5">
        <v>2</v>
      </c>
      <c r="C1122" s="5">
        <v>2</v>
      </c>
      <c r="D1122" s="5">
        <v>6</v>
      </c>
      <c r="E1122" s="5">
        <v>20</v>
      </c>
      <c r="F1122" s="5">
        <v>2</v>
      </c>
      <c r="G1122" s="31">
        <v>6</v>
      </c>
      <c r="H1122" s="31">
        <v>2020</v>
      </c>
      <c r="I1122" s="31">
        <v>2028</v>
      </c>
      <c r="J1122" s="142">
        <v>1.0847</v>
      </c>
      <c r="K1122" s="142">
        <v>1.0357000000000001</v>
      </c>
      <c r="L1122" s="142">
        <v>0.99829999999999997</v>
      </c>
      <c r="M1122" s="142">
        <v>1.1834</v>
      </c>
      <c r="N1122" s="142">
        <v>1.1162000000000001</v>
      </c>
      <c r="O1122" s="142">
        <v>1.0538000000000001</v>
      </c>
      <c r="P1122" s="26">
        <v>3038.6474146424148</v>
      </c>
      <c r="Q1122" s="35">
        <f t="array" ref="Q1122">SUM(IF(($S1122&gt;=4)*($C1122='TaxCred&amp;Subs'!$D$114:$D$121)*($H1122='TaxCred&amp;Subs'!$C$114:$C$121)*($H1122&lt;='TaxCred&amp;Subs'!$C$123),'TaxCred&amp;Subs'!$E$114:$E$121,0))</f>
        <v>0</v>
      </c>
      <c r="R1122" s="143">
        <v>0</v>
      </c>
      <c r="S1122" s="5">
        <v>3</v>
      </c>
      <c r="T1122" s="5" t="s">
        <v>239</v>
      </c>
      <c r="V1122" s="7" t="str">
        <f t="array" ref="V1122">INDEX(xlRTCLNAME,MATCH(1,(xlRTCLENDU=1)*(xlRTCLEQCL=$D1122),0))</f>
        <v>LPG_FA</v>
      </c>
      <c r="W1122" s="7" t="str">
        <f t="array" ref="W1122">INDEX(xlRTCLNAME,MATCH(1,(xlRTCLENDU=2)*(xlRTCLEQCL=$F1122),0))</f>
        <v>CENT_AIR</v>
      </c>
      <c r="X1122" s="7" t="str">
        <f t="array" ref="X1122">INDEX(xlRTTYNAME,MATCH(1,(xlRTTYENDU=1)*(xlRTTYEQCL=$D1122)*(xlRTEQTYPE=$E1122),0))</f>
        <v>LPG_FA3</v>
      </c>
      <c r="Y1122" s="7" t="str">
        <f t="array" ref="Y1122">INDEX(xlRTTYNAME,MATCH(1,(xlRTTYENDU=2)*(xlRTTYEQCL=$F1122)*(xlRTEQTYPE=$G1122),0))</f>
        <v>CENT_AIR3</v>
      </c>
    </row>
    <row r="1123" spans="2:25" ht="14.25" customHeight="1" x14ac:dyDescent="0.2">
      <c r="B1123" s="152">
        <v>2</v>
      </c>
      <c r="C1123" s="152">
        <v>2</v>
      </c>
      <c r="D1123" s="152">
        <v>6</v>
      </c>
      <c r="E1123" s="152">
        <v>21</v>
      </c>
      <c r="F1123" s="152">
        <v>2</v>
      </c>
      <c r="G1123" s="152">
        <v>6</v>
      </c>
      <c r="H1123" s="152">
        <v>2029</v>
      </c>
      <c r="I1123" s="152">
        <v>2050</v>
      </c>
      <c r="J1123" s="229">
        <v>1.0847</v>
      </c>
      <c r="K1123" s="229">
        <v>1.0357000000000001</v>
      </c>
      <c r="L1123" s="229">
        <v>0.99829999999999997</v>
      </c>
      <c r="M1123" s="229">
        <v>1.1834</v>
      </c>
      <c r="N1123" s="229">
        <v>1.1162000000000001</v>
      </c>
      <c r="O1123" s="229">
        <v>1.0538000000000001</v>
      </c>
      <c r="P1123" s="155">
        <v>3038.6474146424148</v>
      </c>
      <c r="Q1123" s="41">
        <f t="array" ref="Q1123">SUM(IF(($S1123&gt;=4)*($C1123='TaxCred&amp;Subs'!$D$114:$D$121)*($H1123='TaxCred&amp;Subs'!$C$114:$C$121)*($H1123&lt;='TaxCred&amp;Subs'!$C$123),'TaxCred&amp;Subs'!$E$114:$E$121,0))</f>
        <v>0</v>
      </c>
      <c r="R1123" s="230">
        <v>0</v>
      </c>
      <c r="S1123" s="152">
        <v>3</v>
      </c>
      <c r="T1123" s="152" t="s">
        <v>239</v>
      </c>
      <c r="V1123" s="7" t="str">
        <f t="array" ref="V1123">INDEX(xlRTCLNAME,MATCH(1,(xlRTCLENDU=1)*(xlRTCLEQCL=$D1123),0))</f>
        <v>LPG_FA</v>
      </c>
      <c r="W1123" s="7" t="str">
        <f t="array" ref="W1123">INDEX(xlRTCLNAME,MATCH(1,(xlRTCLENDU=2)*(xlRTCLEQCL=$F1123),0))</f>
        <v>CENT_AIR</v>
      </c>
      <c r="X1123" s="7" t="str">
        <f t="array" ref="X1123">INDEX(xlRTTYNAME,MATCH(1,(xlRTTYENDU=1)*(xlRTTYEQCL=$D1123)*(xlRTEQTYPE=$E1123),0))</f>
        <v>LPG_FA4</v>
      </c>
      <c r="Y1123" s="7" t="str">
        <f t="array" ref="Y1123">INDEX(xlRTTYNAME,MATCH(1,(xlRTTYENDU=2)*(xlRTTYEQCL=$F1123)*(xlRTEQTYPE=$G1123),0))</f>
        <v>CENT_AIR3</v>
      </c>
    </row>
    <row r="1124" spans="2:25" ht="14.25" customHeight="1" x14ac:dyDescent="0.2">
      <c r="B1124" s="5">
        <v>3</v>
      </c>
      <c r="C1124" s="5">
        <v>2</v>
      </c>
      <c r="D1124" s="5">
        <v>6</v>
      </c>
      <c r="E1124" s="5">
        <v>20</v>
      </c>
      <c r="F1124" s="5">
        <v>2</v>
      </c>
      <c r="G1124" s="31">
        <v>6</v>
      </c>
      <c r="H1124" s="31">
        <v>2020</v>
      </c>
      <c r="I1124" s="31">
        <v>2028</v>
      </c>
      <c r="J1124" s="142">
        <v>1.0984</v>
      </c>
      <c r="K1124" s="142">
        <v>1.0345</v>
      </c>
      <c r="L1124" s="142">
        <v>0.83499999999999996</v>
      </c>
      <c r="M1124" s="142">
        <v>1.0828</v>
      </c>
      <c r="N1124" s="142">
        <v>1.0399</v>
      </c>
      <c r="O1124" s="142">
        <v>1.0538000000000001</v>
      </c>
      <c r="P1124" s="26">
        <v>3572.4275135862376</v>
      </c>
      <c r="Q1124" s="35">
        <f t="array" ref="Q1124">SUM(IF(($S1124&gt;=4)*($C1124='TaxCred&amp;Subs'!$D$114:$D$121)*($H1124='TaxCred&amp;Subs'!$C$114:$C$121)*($H1124&lt;='TaxCred&amp;Subs'!$C$123),'TaxCred&amp;Subs'!$E$114:$E$121,0))</f>
        <v>0</v>
      </c>
      <c r="R1124" s="143">
        <v>0</v>
      </c>
      <c r="S1124" s="5">
        <v>3</v>
      </c>
      <c r="T1124" s="5" t="s">
        <v>239</v>
      </c>
      <c r="V1124" s="7" t="str">
        <f t="array" ref="V1124">INDEX(xlRTCLNAME,MATCH(1,(xlRTCLENDU=1)*(xlRTCLEQCL=$D1124),0))</f>
        <v>LPG_FA</v>
      </c>
      <c r="W1124" s="7" t="str">
        <f t="array" ref="W1124">INDEX(xlRTCLNAME,MATCH(1,(xlRTCLENDU=2)*(xlRTCLEQCL=$F1124),0))</f>
        <v>CENT_AIR</v>
      </c>
      <c r="X1124" s="7" t="str">
        <f t="array" ref="X1124">INDEX(xlRTTYNAME,MATCH(1,(xlRTTYENDU=1)*(xlRTTYEQCL=$D1124)*(xlRTEQTYPE=$E1124),0))</f>
        <v>LPG_FA3</v>
      </c>
      <c r="Y1124" s="7" t="str">
        <f t="array" ref="Y1124">INDEX(xlRTTYNAME,MATCH(1,(xlRTTYENDU=2)*(xlRTTYEQCL=$F1124)*(xlRTEQTYPE=$G1124),0))</f>
        <v>CENT_AIR3</v>
      </c>
    </row>
    <row r="1125" spans="2:25" ht="14.25" customHeight="1" x14ac:dyDescent="0.2">
      <c r="B1125" s="152">
        <v>3</v>
      </c>
      <c r="C1125" s="152">
        <v>2</v>
      </c>
      <c r="D1125" s="152">
        <v>6</v>
      </c>
      <c r="E1125" s="152">
        <v>21</v>
      </c>
      <c r="F1125" s="152">
        <v>2</v>
      </c>
      <c r="G1125" s="152">
        <v>6</v>
      </c>
      <c r="H1125" s="152">
        <v>2029</v>
      </c>
      <c r="I1125" s="152">
        <v>2050</v>
      </c>
      <c r="J1125" s="229">
        <v>1.0984</v>
      </c>
      <c r="K1125" s="229">
        <v>1.0345</v>
      </c>
      <c r="L1125" s="229">
        <v>0.83499999999999996</v>
      </c>
      <c r="M1125" s="229">
        <v>1.0828</v>
      </c>
      <c r="N1125" s="229">
        <v>1.0399</v>
      </c>
      <c r="O1125" s="229">
        <v>1.0538000000000001</v>
      </c>
      <c r="P1125" s="155">
        <v>3572.4275135862376</v>
      </c>
      <c r="Q1125" s="41">
        <f t="array" ref="Q1125">SUM(IF(($S1125&gt;=4)*($C1125='TaxCred&amp;Subs'!$D$114:$D$121)*($H1125='TaxCred&amp;Subs'!$C$114:$C$121)*($H1125&lt;='TaxCred&amp;Subs'!$C$123),'TaxCred&amp;Subs'!$E$114:$E$121,0))</f>
        <v>0</v>
      </c>
      <c r="R1125" s="230">
        <v>0</v>
      </c>
      <c r="S1125" s="152">
        <v>3</v>
      </c>
      <c r="T1125" s="152" t="s">
        <v>239</v>
      </c>
      <c r="V1125" s="7" t="str">
        <f t="array" ref="V1125">INDEX(xlRTCLNAME,MATCH(1,(xlRTCLENDU=1)*(xlRTCLEQCL=$D1125),0))</f>
        <v>LPG_FA</v>
      </c>
      <c r="W1125" s="7" t="str">
        <f t="array" ref="W1125">INDEX(xlRTCLNAME,MATCH(1,(xlRTCLENDU=2)*(xlRTCLEQCL=$F1125),0))</f>
        <v>CENT_AIR</v>
      </c>
      <c r="X1125" s="7" t="str">
        <f t="array" ref="X1125">INDEX(xlRTTYNAME,MATCH(1,(xlRTTYENDU=1)*(xlRTTYEQCL=$D1125)*(xlRTEQTYPE=$E1125),0))</f>
        <v>LPG_FA4</v>
      </c>
      <c r="Y1125" s="7" t="str">
        <f t="array" ref="Y1125">INDEX(xlRTTYNAME,MATCH(1,(xlRTTYENDU=2)*(xlRTTYEQCL=$F1125)*(xlRTEQTYPE=$G1125),0))</f>
        <v>CENT_AIR3</v>
      </c>
    </row>
    <row r="1126" spans="2:25" ht="14.25" customHeight="1" x14ac:dyDescent="0.2">
      <c r="B1126" s="5">
        <v>4</v>
      </c>
      <c r="C1126" s="5">
        <v>2</v>
      </c>
      <c r="D1126" s="5">
        <v>6</v>
      </c>
      <c r="E1126" s="5">
        <v>20</v>
      </c>
      <c r="F1126" s="5">
        <v>2</v>
      </c>
      <c r="G1126" s="31">
        <v>6</v>
      </c>
      <c r="H1126" s="31">
        <v>2020</v>
      </c>
      <c r="I1126" s="31">
        <v>2028</v>
      </c>
      <c r="J1126" s="142">
        <v>1.1000000000000001</v>
      </c>
      <c r="K1126" s="142">
        <v>1.0435000000000001</v>
      </c>
      <c r="L1126" s="142">
        <v>0.99419999999999997</v>
      </c>
      <c r="M1126" s="142">
        <v>1.1499999999999999</v>
      </c>
      <c r="N1126" s="142">
        <v>1.1696</v>
      </c>
      <c r="O1126" s="142">
        <v>1.0538000000000001</v>
      </c>
      <c r="P1126" s="26">
        <v>3092.4287848130771</v>
      </c>
      <c r="Q1126" s="35">
        <f t="array" ref="Q1126">SUM(IF(($S1126&gt;=4)*($C1126='TaxCred&amp;Subs'!$D$114:$D$121)*($H1126='TaxCred&amp;Subs'!$C$114:$C$121)*($H1126&lt;='TaxCred&amp;Subs'!$C$123),'TaxCred&amp;Subs'!$E$114:$E$121,0))</f>
        <v>0</v>
      </c>
      <c r="R1126" s="143">
        <v>0</v>
      </c>
      <c r="S1126" s="5">
        <v>3</v>
      </c>
      <c r="T1126" s="5" t="s">
        <v>239</v>
      </c>
      <c r="V1126" s="7" t="str">
        <f t="array" ref="V1126">INDEX(xlRTCLNAME,MATCH(1,(xlRTCLENDU=1)*(xlRTCLEQCL=$D1126),0))</f>
        <v>LPG_FA</v>
      </c>
      <c r="W1126" s="7" t="str">
        <f t="array" ref="W1126">INDEX(xlRTCLNAME,MATCH(1,(xlRTCLENDU=2)*(xlRTCLEQCL=$F1126),0))</f>
        <v>CENT_AIR</v>
      </c>
      <c r="X1126" s="7" t="str">
        <f t="array" ref="X1126">INDEX(xlRTTYNAME,MATCH(1,(xlRTTYENDU=1)*(xlRTTYEQCL=$D1126)*(xlRTEQTYPE=$E1126),0))</f>
        <v>LPG_FA3</v>
      </c>
      <c r="Y1126" s="7" t="str">
        <f t="array" ref="Y1126">INDEX(xlRTTYNAME,MATCH(1,(xlRTTYENDU=2)*(xlRTTYEQCL=$F1126)*(xlRTEQTYPE=$G1126),0))</f>
        <v>CENT_AIR3</v>
      </c>
    </row>
    <row r="1127" spans="2:25" ht="14.25" customHeight="1" x14ac:dyDescent="0.2">
      <c r="B1127" s="152">
        <v>4</v>
      </c>
      <c r="C1127" s="152">
        <v>2</v>
      </c>
      <c r="D1127" s="152">
        <v>6</v>
      </c>
      <c r="E1127" s="152">
        <v>21</v>
      </c>
      <c r="F1127" s="152">
        <v>2</v>
      </c>
      <c r="G1127" s="152">
        <v>6</v>
      </c>
      <c r="H1127" s="152">
        <v>2029</v>
      </c>
      <c r="I1127" s="152">
        <v>2050</v>
      </c>
      <c r="J1127" s="229">
        <v>1.1000000000000001</v>
      </c>
      <c r="K1127" s="229">
        <v>1.0435000000000001</v>
      </c>
      <c r="L1127" s="229">
        <v>0.99419999999999997</v>
      </c>
      <c r="M1127" s="229">
        <v>1.1499999999999999</v>
      </c>
      <c r="N1127" s="229">
        <v>1.1696</v>
      </c>
      <c r="O1127" s="229">
        <v>1.0538000000000001</v>
      </c>
      <c r="P1127" s="155">
        <v>3092.4287848130771</v>
      </c>
      <c r="Q1127" s="41">
        <f t="array" ref="Q1127">SUM(IF(($S1127&gt;=4)*($C1127='TaxCred&amp;Subs'!$D$114:$D$121)*($H1127='TaxCred&amp;Subs'!$C$114:$C$121)*($H1127&lt;='TaxCred&amp;Subs'!$C$123),'TaxCred&amp;Subs'!$E$114:$E$121,0))</f>
        <v>0</v>
      </c>
      <c r="R1127" s="230">
        <v>0</v>
      </c>
      <c r="S1127" s="152">
        <v>3</v>
      </c>
      <c r="T1127" s="152" t="s">
        <v>239</v>
      </c>
      <c r="V1127" s="7" t="str">
        <f t="array" ref="V1127">INDEX(xlRTCLNAME,MATCH(1,(xlRTCLENDU=1)*(xlRTCLEQCL=$D1127),0))</f>
        <v>LPG_FA</v>
      </c>
      <c r="W1127" s="7" t="str">
        <f t="array" ref="W1127">INDEX(xlRTCLNAME,MATCH(1,(xlRTCLENDU=2)*(xlRTCLEQCL=$F1127),0))</f>
        <v>CENT_AIR</v>
      </c>
      <c r="X1127" s="7" t="str">
        <f t="array" ref="X1127">INDEX(xlRTTYNAME,MATCH(1,(xlRTTYENDU=1)*(xlRTTYEQCL=$D1127)*(xlRTEQTYPE=$E1127),0))</f>
        <v>LPG_FA4</v>
      </c>
      <c r="Y1127" s="7" t="str">
        <f t="array" ref="Y1127">INDEX(xlRTTYNAME,MATCH(1,(xlRTTYENDU=2)*(xlRTTYEQCL=$F1127)*(xlRTEQTYPE=$G1127),0))</f>
        <v>CENT_AIR3</v>
      </c>
    </row>
    <row r="1128" spans="2:25" ht="14.25" customHeight="1" x14ac:dyDescent="0.2">
      <c r="B1128" s="5">
        <v>5</v>
      </c>
      <c r="C1128" s="5">
        <v>2</v>
      </c>
      <c r="D1128" s="5">
        <v>6</v>
      </c>
      <c r="E1128" s="5">
        <v>20</v>
      </c>
      <c r="F1128" s="5">
        <v>2</v>
      </c>
      <c r="G1128" s="31">
        <v>6</v>
      </c>
      <c r="H1128" s="31">
        <v>2020</v>
      </c>
      <c r="I1128" s="31">
        <v>2028</v>
      </c>
      <c r="J1128" s="142">
        <v>1.1200000000000001</v>
      </c>
      <c r="K1128" s="142">
        <v>1.0391999999999999</v>
      </c>
      <c r="L1128" s="142">
        <v>0.69379999999999997</v>
      </c>
      <c r="M1128" s="142">
        <v>1.1097999999999999</v>
      </c>
      <c r="N1128" s="142">
        <v>1.2750999999999999</v>
      </c>
      <c r="O1128" s="142">
        <v>1.0538000000000001</v>
      </c>
      <c r="P1128" s="26">
        <v>2515.6235897327247</v>
      </c>
      <c r="Q1128" s="35">
        <f t="array" ref="Q1128">SUM(IF(($S1128&gt;=4)*($C1128='TaxCred&amp;Subs'!$D$114:$D$121)*($H1128='TaxCred&amp;Subs'!$C$114:$C$121)*($H1128&lt;='TaxCred&amp;Subs'!$C$123),'TaxCred&amp;Subs'!$E$114:$E$121,0))</f>
        <v>0</v>
      </c>
      <c r="R1128" s="143">
        <v>0</v>
      </c>
      <c r="S1128" s="5">
        <v>3</v>
      </c>
      <c r="T1128" s="5" t="s">
        <v>239</v>
      </c>
      <c r="V1128" s="7" t="str">
        <f t="array" ref="V1128">INDEX(xlRTCLNAME,MATCH(1,(xlRTCLENDU=1)*(xlRTCLEQCL=$D1128),0))</f>
        <v>LPG_FA</v>
      </c>
      <c r="W1128" s="7" t="str">
        <f t="array" ref="W1128">INDEX(xlRTCLNAME,MATCH(1,(xlRTCLENDU=2)*(xlRTCLEQCL=$F1128),0))</f>
        <v>CENT_AIR</v>
      </c>
      <c r="X1128" s="7" t="str">
        <f t="array" ref="X1128">INDEX(xlRTTYNAME,MATCH(1,(xlRTTYENDU=1)*(xlRTTYEQCL=$D1128)*(xlRTEQTYPE=$E1128),0))</f>
        <v>LPG_FA3</v>
      </c>
      <c r="Y1128" s="7" t="str">
        <f t="array" ref="Y1128">INDEX(xlRTTYNAME,MATCH(1,(xlRTTYENDU=2)*(xlRTTYEQCL=$F1128)*(xlRTEQTYPE=$G1128),0))</f>
        <v>CENT_AIR3</v>
      </c>
    </row>
    <row r="1129" spans="2:25" ht="14.25" customHeight="1" x14ac:dyDescent="0.2">
      <c r="B1129" s="152">
        <v>5</v>
      </c>
      <c r="C1129" s="152">
        <v>2</v>
      </c>
      <c r="D1129" s="152">
        <v>6</v>
      </c>
      <c r="E1129" s="152">
        <v>21</v>
      </c>
      <c r="F1129" s="152">
        <v>2</v>
      </c>
      <c r="G1129" s="152">
        <v>6</v>
      </c>
      <c r="H1129" s="152">
        <v>2029</v>
      </c>
      <c r="I1129" s="152">
        <v>2050</v>
      </c>
      <c r="J1129" s="229">
        <v>1.1200000000000001</v>
      </c>
      <c r="K1129" s="229">
        <v>1.0391999999999999</v>
      </c>
      <c r="L1129" s="229">
        <v>0.69379999999999997</v>
      </c>
      <c r="M1129" s="229">
        <v>1.1097999999999999</v>
      </c>
      <c r="N1129" s="229">
        <v>1.2750999999999999</v>
      </c>
      <c r="O1129" s="229">
        <v>1.0538000000000001</v>
      </c>
      <c r="P1129" s="155">
        <v>2515.6235897327247</v>
      </c>
      <c r="Q1129" s="41">
        <f t="array" ref="Q1129">SUM(IF(($S1129&gt;=4)*($C1129='TaxCred&amp;Subs'!$D$114:$D$121)*($H1129='TaxCred&amp;Subs'!$C$114:$C$121)*($H1129&lt;='TaxCred&amp;Subs'!$C$123),'TaxCred&amp;Subs'!$E$114:$E$121,0))</f>
        <v>0</v>
      </c>
      <c r="R1129" s="230">
        <v>0</v>
      </c>
      <c r="S1129" s="152">
        <v>3</v>
      </c>
      <c r="T1129" s="152" t="s">
        <v>239</v>
      </c>
      <c r="V1129" s="7" t="str">
        <f t="array" ref="V1129">INDEX(xlRTCLNAME,MATCH(1,(xlRTCLENDU=1)*(xlRTCLEQCL=$D1129),0))</f>
        <v>LPG_FA</v>
      </c>
      <c r="W1129" s="7" t="str">
        <f t="array" ref="W1129">INDEX(xlRTCLNAME,MATCH(1,(xlRTCLENDU=2)*(xlRTCLEQCL=$F1129),0))</f>
        <v>CENT_AIR</v>
      </c>
      <c r="X1129" s="7" t="str">
        <f t="array" ref="X1129">INDEX(xlRTTYNAME,MATCH(1,(xlRTTYENDU=1)*(xlRTTYEQCL=$D1129)*(xlRTEQTYPE=$E1129),0))</f>
        <v>LPG_FA4</v>
      </c>
      <c r="Y1129" s="7" t="str">
        <f t="array" ref="Y1129">INDEX(xlRTTYNAME,MATCH(1,(xlRTTYENDU=2)*(xlRTTYEQCL=$F1129)*(xlRTEQTYPE=$G1129),0))</f>
        <v>CENT_AIR3</v>
      </c>
    </row>
    <row r="1130" spans="2:25" ht="14.25" customHeight="1" x14ac:dyDescent="0.2">
      <c r="B1130" s="5">
        <v>6</v>
      </c>
      <c r="C1130" s="5">
        <v>2</v>
      </c>
      <c r="D1130" s="5">
        <v>6</v>
      </c>
      <c r="E1130" s="5">
        <v>20</v>
      </c>
      <c r="F1130" s="5">
        <v>2</v>
      </c>
      <c r="G1130" s="31">
        <v>6</v>
      </c>
      <c r="H1130" s="31">
        <v>2020</v>
      </c>
      <c r="I1130" s="31">
        <v>2028</v>
      </c>
      <c r="J1130" s="142">
        <v>1.1200000000000001</v>
      </c>
      <c r="K1130" s="142">
        <v>1.03</v>
      </c>
      <c r="L1130" s="142">
        <v>1.0105</v>
      </c>
      <c r="M1130" s="142">
        <v>1.1568000000000001</v>
      </c>
      <c r="N1130" s="142">
        <v>1.3324</v>
      </c>
      <c r="O1130" s="142">
        <v>1.0538000000000001</v>
      </c>
      <c r="P1130" s="26">
        <v>2773.7741665519034</v>
      </c>
      <c r="Q1130" s="35">
        <f t="array" ref="Q1130">SUM(IF(($S1130&gt;=4)*($C1130='TaxCred&amp;Subs'!$D$114:$D$121)*($H1130='TaxCred&amp;Subs'!$C$114:$C$121)*($H1130&lt;='TaxCred&amp;Subs'!$C$123),'TaxCred&amp;Subs'!$E$114:$E$121,0))</f>
        <v>0</v>
      </c>
      <c r="R1130" s="143">
        <v>0</v>
      </c>
      <c r="S1130" s="5">
        <v>3</v>
      </c>
      <c r="T1130" s="5" t="s">
        <v>239</v>
      </c>
      <c r="V1130" s="7" t="str">
        <f t="array" ref="V1130">INDEX(xlRTCLNAME,MATCH(1,(xlRTCLENDU=1)*(xlRTCLEQCL=$D1130),0))</f>
        <v>LPG_FA</v>
      </c>
      <c r="W1130" s="7" t="str">
        <f t="array" ref="W1130">INDEX(xlRTCLNAME,MATCH(1,(xlRTCLENDU=2)*(xlRTCLEQCL=$F1130),0))</f>
        <v>CENT_AIR</v>
      </c>
      <c r="X1130" s="7" t="str">
        <f t="array" ref="X1130">INDEX(xlRTTYNAME,MATCH(1,(xlRTTYENDU=1)*(xlRTTYEQCL=$D1130)*(xlRTEQTYPE=$E1130),0))</f>
        <v>LPG_FA3</v>
      </c>
      <c r="Y1130" s="7" t="str">
        <f t="array" ref="Y1130">INDEX(xlRTTYNAME,MATCH(1,(xlRTTYENDU=2)*(xlRTTYEQCL=$F1130)*(xlRTEQTYPE=$G1130),0))</f>
        <v>CENT_AIR3</v>
      </c>
    </row>
    <row r="1131" spans="2:25" ht="14.25" customHeight="1" x14ac:dyDescent="0.2">
      <c r="B1131" s="152">
        <v>6</v>
      </c>
      <c r="C1131" s="152">
        <v>2</v>
      </c>
      <c r="D1131" s="152">
        <v>6</v>
      </c>
      <c r="E1131" s="152">
        <v>21</v>
      </c>
      <c r="F1131" s="152">
        <v>2</v>
      </c>
      <c r="G1131" s="152">
        <v>6</v>
      </c>
      <c r="H1131" s="152">
        <v>2029</v>
      </c>
      <c r="I1131" s="152">
        <v>2050</v>
      </c>
      <c r="J1131" s="229">
        <v>1.1200000000000001</v>
      </c>
      <c r="K1131" s="229">
        <v>1.03</v>
      </c>
      <c r="L1131" s="229">
        <v>1.0105</v>
      </c>
      <c r="M1131" s="229">
        <v>1.1568000000000001</v>
      </c>
      <c r="N1131" s="229">
        <v>1.3324</v>
      </c>
      <c r="O1131" s="229">
        <v>1.0538000000000001</v>
      </c>
      <c r="P1131" s="155">
        <v>2773.7741665519034</v>
      </c>
      <c r="Q1131" s="41">
        <f t="array" ref="Q1131">SUM(IF(($S1131&gt;=4)*($C1131='TaxCred&amp;Subs'!$D$114:$D$121)*($H1131='TaxCred&amp;Subs'!$C$114:$C$121)*($H1131&lt;='TaxCred&amp;Subs'!$C$123),'TaxCred&amp;Subs'!$E$114:$E$121,0))</f>
        <v>0</v>
      </c>
      <c r="R1131" s="230">
        <v>0</v>
      </c>
      <c r="S1131" s="152">
        <v>3</v>
      </c>
      <c r="T1131" s="152" t="s">
        <v>239</v>
      </c>
      <c r="V1131" s="7" t="str">
        <f t="array" ref="V1131">INDEX(xlRTCLNAME,MATCH(1,(xlRTCLENDU=1)*(xlRTCLEQCL=$D1131),0))</f>
        <v>LPG_FA</v>
      </c>
      <c r="W1131" s="7" t="str">
        <f t="array" ref="W1131">INDEX(xlRTCLNAME,MATCH(1,(xlRTCLENDU=2)*(xlRTCLEQCL=$F1131),0))</f>
        <v>CENT_AIR</v>
      </c>
      <c r="X1131" s="7" t="str">
        <f t="array" ref="X1131">INDEX(xlRTTYNAME,MATCH(1,(xlRTTYENDU=1)*(xlRTTYEQCL=$D1131)*(xlRTEQTYPE=$E1131),0))</f>
        <v>LPG_FA4</v>
      </c>
      <c r="Y1131" s="7" t="str">
        <f t="array" ref="Y1131">INDEX(xlRTTYNAME,MATCH(1,(xlRTTYENDU=2)*(xlRTTYEQCL=$F1131)*(xlRTEQTYPE=$G1131),0))</f>
        <v>CENT_AIR3</v>
      </c>
    </row>
    <row r="1132" spans="2:25" ht="14.25" customHeight="1" x14ac:dyDescent="0.2">
      <c r="B1132" s="5">
        <v>7</v>
      </c>
      <c r="C1132" s="5">
        <v>2</v>
      </c>
      <c r="D1132" s="5">
        <v>6</v>
      </c>
      <c r="E1132" s="5">
        <v>20</v>
      </c>
      <c r="F1132" s="5">
        <v>2</v>
      </c>
      <c r="G1132" s="31">
        <v>6</v>
      </c>
      <c r="H1132" s="31">
        <v>2020</v>
      </c>
      <c r="I1132" s="31">
        <v>2028</v>
      </c>
      <c r="J1132" s="142">
        <v>1.1200000000000001</v>
      </c>
      <c r="K1132" s="142">
        <v>1.0462</v>
      </c>
      <c r="L1132" s="142">
        <v>1.2771999999999999</v>
      </c>
      <c r="M1132" s="142">
        <v>1.1604000000000001</v>
      </c>
      <c r="N1132" s="142">
        <v>1.4438</v>
      </c>
      <c r="O1132" s="142">
        <v>1.0538000000000001</v>
      </c>
      <c r="P1132" s="26">
        <v>2010.0787101285</v>
      </c>
      <c r="Q1132" s="35">
        <f t="array" ref="Q1132">SUM(IF(($S1132&gt;=4)*($C1132='TaxCred&amp;Subs'!$D$114:$D$121)*($H1132='TaxCred&amp;Subs'!$C$114:$C$121)*($H1132&lt;='TaxCred&amp;Subs'!$C$123),'TaxCred&amp;Subs'!$E$114:$E$121,0))</f>
        <v>0</v>
      </c>
      <c r="R1132" s="143">
        <v>0</v>
      </c>
      <c r="S1132" s="5">
        <v>3</v>
      </c>
      <c r="T1132" s="5" t="s">
        <v>239</v>
      </c>
      <c r="V1132" s="7" t="str">
        <f t="array" ref="V1132">INDEX(xlRTCLNAME,MATCH(1,(xlRTCLENDU=1)*(xlRTCLEQCL=$D1132),0))</f>
        <v>LPG_FA</v>
      </c>
      <c r="W1132" s="7" t="str">
        <f t="array" ref="W1132">INDEX(xlRTCLNAME,MATCH(1,(xlRTCLENDU=2)*(xlRTCLEQCL=$F1132),0))</f>
        <v>CENT_AIR</v>
      </c>
      <c r="X1132" s="7" t="str">
        <f t="array" ref="X1132">INDEX(xlRTTYNAME,MATCH(1,(xlRTTYENDU=1)*(xlRTTYEQCL=$D1132)*(xlRTEQTYPE=$E1132),0))</f>
        <v>LPG_FA3</v>
      </c>
      <c r="Y1132" s="7" t="str">
        <f t="array" ref="Y1132">INDEX(xlRTTYNAME,MATCH(1,(xlRTTYENDU=2)*(xlRTTYEQCL=$F1132)*(xlRTEQTYPE=$G1132),0))</f>
        <v>CENT_AIR3</v>
      </c>
    </row>
    <row r="1133" spans="2:25" ht="14.25" customHeight="1" x14ac:dyDescent="0.2">
      <c r="B1133" s="152">
        <v>7</v>
      </c>
      <c r="C1133" s="152">
        <v>2</v>
      </c>
      <c r="D1133" s="152">
        <v>6</v>
      </c>
      <c r="E1133" s="152">
        <v>21</v>
      </c>
      <c r="F1133" s="152">
        <v>2</v>
      </c>
      <c r="G1133" s="152">
        <v>6</v>
      </c>
      <c r="H1133" s="152">
        <v>2029</v>
      </c>
      <c r="I1133" s="152">
        <v>2050</v>
      </c>
      <c r="J1133" s="229">
        <v>1.1200000000000001</v>
      </c>
      <c r="K1133" s="229">
        <v>1.0462</v>
      </c>
      <c r="L1133" s="229">
        <v>1.2771999999999999</v>
      </c>
      <c r="M1133" s="229">
        <v>1.1604000000000001</v>
      </c>
      <c r="N1133" s="229">
        <v>1.4438</v>
      </c>
      <c r="O1133" s="229">
        <v>1.0538000000000001</v>
      </c>
      <c r="P1133" s="155">
        <v>2010.0787101285</v>
      </c>
      <c r="Q1133" s="41">
        <f t="array" ref="Q1133">SUM(IF(($S1133&gt;=4)*($C1133='TaxCred&amp;Subs'!$D$114:$D$121)*($H1133='TaxCred&amp;Subs'!$C$114:$C$121)*($H1133&lt;='TaxCred&amp;Subs'!$C$123),'TaxCred&amp;Subs'!$E$114:$E$121,0))</f>
        <v>0</v>
      </c>
      <c r="R1133" s="230">
        <v>0</v>
      </c>
      <c r="S1133" s="152">
        <v>3</v>
      </c>
      <c r="T1133" s="152" t="s">
        <v>239</v>
      </c>
      <c r="V1133" s="7" t="str">
        <f t="array" ref="V1133">INDEX(xlRTCLNAME,MATCH(1,(xlRTCLENDU=1)*(xlRTCLEQCL=$D1133),0))</f>
        <v>LPG_FA</v>
      </c>
      <c r="W1133" s="7" t="str">
        <f t="array" ref="W1133">INDEX(xlRTCLNAME,MATCH(1,(xlRTCLENDU=2)*(xlRTCLEQCL=$F1133),0))</f>
        <v>CENT_AIR</v>
      </c>
      <c r="X1133" s="7" t="str">
        <f t="array" ref="X1133">INDEX(xlRTTYNAME,MATCH(1,(xlRTTYENDU=1)*(xlRTTYEQCL=$D1133)*(xlRTEQTYPE=$E1133),0))</f>
        <v>LPG_FA4</v>
      </c>
      <c r="Y1133" s="7" t="str">
        <f t="array" ref="Y1133">INDEX(xlRTTYNAME,MATCH(1,(xlRTTYENDU=2)*(xlRTTYEQCL=$F1133)*(xlRTEQTYPE=$G1133),0))</f>
        <v>CENT_AIR3</v>
      </c>
    </row>
    <row r="1134" spans="2:25" ht="14.25" customHeight="1" x14ac:dyDescent="0.2">
      <c r="B1134" s="5">
        <v>8</v>
      </c>
      <c r="C1134" s="5">
        <v>2</v>
      </c>
      <c r="D1134" s="5">
        <v>6</v>
      </c>
      <c r="E1134" s="5">
        <v>20</v>
      </c>
      <c r="F1134" s="5">
        <v>2</v>
      </c>
      <c r="G1134" s="31">
        <v>6</v>
      </c>
      <c r="H1134" s="31">
        <v>2020</v>
      </c>
      <c r="I1134" s="31">
        <v>2028</v>
      </c>
      <c r="J1134" s="142">
        <v>1.0932999999999999</v>
      </c>
      <c r="K1134" s="142">
        <v>1.0323</v>
      </c>
      <c r="L1134" s="142">
        <v>1.0073000000000001</v>
      </c>
      <c r="M1134" s="142">
        <v>1.2739</v>
      </c>
      <c r="N1134" s="142">
        <v>1.2847999999999999</v>
      </c>
      <c r="O1134" s="142">
        <v>1.0538000000000001</v>
      </c>
      <c r="P1134" s="26">
        <v>3295.4534572073267</v>
      </c>
      <c r="Q1134" s="35">
        <f t="array" ref="Q1134">SUM(IF(($S1134&gt;=4)*($C1134='TaxCred&amp;Subs'!$D$114:$D$121)*($H1134='TaxCred&amp;Subs'!$C$114:$C$121)*($H1134&lt;='TaxCred&amp;Subs'!$C$123),'TaxCred&amp;Subs'!$E$114:$E$121,0))</f>
        <v>0</v>
      </c>
      <c r="R1134" s="143">
        <v>0</v>
      </c>
      <c r="S1134" s="5">
        <v>3</v>
      </c>
      <c r="T1134" s="5" t="s">
        <v>239</v>
      </c>
      <c r="V1134" s="7" t="str">
        <f t="array" ref="V1134">INDEX(xlRTCLNAME,MATCH(1,(xlRTCLENDU=1)*(xlRTCLEQCL=$D1134),0))</f>
        <v>LPG_FA</v>
      </c>
      <c r="W1134" s="7" t="str">
        <f t="array" ref="W1134">INDEX(xlRTCLNAME,MATCH(1,(xlRTCLENDU=2)*(xlRTCLEQCL=$F1134),0))</f>
        <v>CENT_AIR</v>
      </c>
      <c r="X1134" s="7" t="str">
        <f t="array" ref="X1134">INDEX(xlRTTYNAME,MATCH(1,(xlRTTYENDU=1)*(xlRTTYEQCL=$D1134)*(xlRTEQTYPE=$E1134),0))</f>
        <v>LPG_FA3</v>
      </c>
      <c r="Y1134" s="7" t="str">
        <f t="array" ref="Y1134">INDEX(xlRTTYNAME,MATCH(1,(xlRTTYENDU=2)*(xlRTTYEQCL=$F1134)*(xlRTEQTYPE=$G1134),0))</f>
        <v>CENT_AIR3</v>
      </c>
    </row>
    <row r="1135" spans="2:25" ht="14.25" customHeight="1" x14ac:dyDescent="0.2">
      <c r="B1135" s="152">
        <v>8</v>
      </c>
      <c r="C1135" s="152">
        <v>2</v>
      </c>
      <c r="D1135" s="152">
        <v>6</v>
      </c>
      <c r="E1135" s="152">
        <v>21</v>
      </c>
      <c r="F1135" s="152">
        <v>2</v>
      </c>
      <c r="G1135" s="152">
        <v>6</v>
      </c>
      <c r="H1135" s="152">
        <v>2029</v>
      </c>
      <c r="I1135" s="152">
        <v>2050</v>
      </c>
      <c r="J1135" s="229">
        <v>1.0932999999999999</v>
      </c>
      <c r="K1135" s="229">
        <v>1.0323</v>
      </c>
      <c r="L1135" s="229">
        <v>1.0073000000000001</v>
      </c>
      <c r="M1135" s="229">
        <v>1.2739</v>
      </c>
      <c r="N1135" s="229">
        <v>1.2847999999999999</v>
      </c>
      <c r="O1135" s="229">
        <v>1.0538000000000001</v>
      </c>
      <c r="P1135" s="155">
        <v>3295.4534572073267</v>
      </c>
      <c r="Q1135" s="41">
        <f t="array" ref="Q1135">SUM(IF(($S1135&gt;=4)*($C1135='TaxCred&amp;Subs'!$D$114:$D$121)*($H1135='TaxCred&amp;Subs'!$C$114:$C$121)*($H1135&lt;='TaxCred&amp;Subs'!$C$123),'TaxCred&amp;Subs'!$E$114:$E$121,0))</f>
        <v>0</v>
      </c>
      <c r="R1135" s="230">
        <v>0</v>
      </c>
      <c r="S1135" s="152">
        <v>3</v>
      </c>
      <c r="T1135" s="152" t="s">
        <v>239</v>
      </c>
      <c r="V1135" s="7" t="str">
        <f t="array" ref="V1135">INDEX(xlRTCLNAME,MATCH(1,(xlRTCLENDU=1)*(xlRTCLEQCL=$D1135),0))</f>
        <v>LPG_FA</v>
      </c>
      <c r="W1135" s="7" t="str">
        <f t="array" ref="W1135">INDEX(xlRTCLNAME,MATCH(1,(xlRTCLENDU=2)*(xlRTCLEQCL=$F1135),0))</f>
        <v>CENT_AIR</v>
      </c>
      <c r="X1135" s="7" t="str">
        <f t="array" ref="X1135">INDEX(xlRTTYNAME,MATCH(1,(xlRTTYENDU=1)*(xlRTTYEQCL=$D1135)*(xlRTEQTYPE=$E1135),0))</f>
        <v>LPG_FA4</v>
      </c>
      <c r="Y1135" s="7" t="str">
        <f t="array" ref="Y1135">INDEX(xlRTTYNAME,MATCH(1,(xlRTTYENDU=2)*(xlRTTYEQCL=$F1135)*(xlRTEQTYPE=$G1135),0))</f>
        <v>CENT_AIR3</v>
      </c>
    </row>
    <row r="1136" spans="2:25" ht="14.25" customHeight="1" x14ac:dyDescent="0.2">
      <c r="B1136" s="5">
        <v>9</v>
      </c>
      <c r="C1136" s="5">
        <v>2</v>
      </c>
      <c r="D1136" s="5">
        <v>6</v>
      </c>
      <c r="E1136" s="5">
        <v>20</v>
      </c>
      <c r="F1136" s="5">
        <v>2</v>
      </c>
      <c r="G1136" s="31">
        <v>6</v>
      </c>
      <c r="H1136" s="31">
        <v>2020</v>
      </c>
      <c r="I1136" s="31">
        <v>2028</v>
      </c>
      <c r="J1136" s="142">
        <v>1.07</v>
      </c>
      <c r="K1136" s="142">
        <v>1.0541</v>
      </c>
      <c r="L1136" s="142">
        <v>0.81879999999999997</v>
      </c>
      <c r="M1136" s="142">
        <v>1.2</v>
      </c>
      <c r="N1136" s="142">
        <v>1.4438</v>
      </c>
      <c r="O1136" s="142">
        <v>1.0538000000000001</v>
      </c>
      <c r="P1136" s="26">
        <v>2894.7822494358934</v>
      </c>
      <c r="Q1136" s="35">
        <f t="array" ref="Q1136">SUM(IF(($S1136&gt;=4)*($C1136='TaxCred&amp;Subs'!$D$114:$D$121)*($H1136='TaxCred&amp;Subs'!$C$114:$C$121)*($H1136&lt;='TaxCred&amp;Subs'!$C$123),'TaxCred&amp;Subs'!$E$114:$E$121,0))</f>
        <v>0</v>
      </c>
      <c r="R1136" s="143">
        <v>0</v>
      </c>
      <c r="S1136" s="5">
        <v>3</v>
      </c>
      <c r="T1136" s="5" t="s">
        <v>239</v>
      </c>
      <c r="V1136" s="7" t="str">
        <f t="array" ref="V1136">INDEX(xlRTCLNAME,MATCH(1,(xlRTCLENDU=1)*(xlRTCLEQCL=$D1136),0))</f>
        <v>LPG_FA</v>
      </c>
      <c r="W1136" s="7" t="str">
        <f t="array" ref="W1136">INDEX(xlRTCLNAME,MATCH(1,(xlRTCLENDU=2)*(xlRTCLEQCL=$F1136),0))</f>
        <v>CENT_AIR</v>
      </c>
      <c r="X1136" s="7" t="str">
        <f t="array" ref="X1136">INDEX(xlRTTYNAME,MATCH(1,(xlRTTYENDU=1)*(xlRTTYEQCL=$D1136)*(xlRTEQTYPE=$E1136),0))</f>
        <v>LPG_FA3</v>
      </c>
      <c r="Y1136" s="7" t="str">
        <f t="array" ref="Y1136">INDEX(xlRTTYNAME,MATCH(1,(xlRTTYENDU=2)*(xlRTTYEQCL=$F1136)*(xlRTEQTYPE=$G1136),0))</f>
        <v>CENT_AIR3</v>
      </c>
    </row>
    <row r="1137" spans="2:25" ht="14.25" customHeight="1" x14ac:dyDescent="0.2">
      <c r="B1137" s="152">
        <v>9</v>
      </c>
      <c r="C1137" s="152">
        <v>2</v>
      </c>
      <c r="D1137" s="152">
        <v>6</v>
      </c>
      <c r="E1137" s="152">
        <v>21</v>
      </c>
      <c r="F1137" s="152">
        <v>2</v>
      </c>
      <c r="G1137" s="152">
        <v>6</v>
      </c>
      <c r="H1137" s="152">
        <v>2029</v>
      </c>
      <c r="I1137" s="152">
        <v>2050</v>
      </c>
      <c r="J1137" s="229">
        <v>1.07</v>
      </c>
      <c r="K1137" s="229">
        <v>1.0541</v>
      </c>
      <c r="L1137" s="229">
        <v>0.81879999999999997</v>
      </c>
      <c r="M1137" s="229">
        <v>1.2</v>
      </c>
      <c r="N1137" s="229">
        <v>1.4438</v>
      </c>
      <c r="O1137" s="229">
        <v>1.0538000000000001</v>
      </c>
      <c r="P1137" s="155">
        <v>2894.7822494358934</v>
      </c>
      <c r="Q1137" s="41">
        <f t="array" ref="Q1137">SUM(IF(($S1137&gt;=4)*($C1137='TaxCred&amp;Subs'!$D$114:$D$121)*($H1137='TaxCred&amp;Subs'!$C$114:$C$121)*($H1137&lt;='TaxCred&amp;Subs'!$C$123),'TaxCred&amp;Subs'!$E$114:$E$121,0))</f>
        <v>0</v>
      </c>
      <c r="R1137" s="230">
        <v>0</v>
      </c>
      <c r="S1137" s="152">
        <v>3</v>
      </c>
      <c r="T1137" s="152" t="s">
        <v>239</v>
      </c>
      <c r="V1137" s="7" t="str">
        <f t="array" ref="V1137">INDEX(xlRTCLNAME,MATCH(1,(xlRTCLENDU=1)*(xlRTCLEQCL=$D1137),0))</f>
        <v>LPG_FA</v>
      </c>
      <c r="W1137" s="7" t="str">
        <f t="array" ref="W1137">INDEX(xlRTCLNAME,MATCH(1,(xlRTCLENDU=2)*(xlRTCLEQCL=$F1137),0))</f>
        <v>CENT_AIR</v>
      </c>
      <c r="X1137" s="7" t="str">
        <f t="array" ref="X1137">INDEX(xlRTTYNAME,MATCH(1,(xlRTTYENDU=1)*(xlRTTYEQCL=$D1137)*(xlRTEQTYPE=$E1137),0))</f>
        <v>LPG_FA4</v>
      </c>
      <c r="Y1137" s="7" t="str">
        <f t="array" ref="Y1137">INDEX(xlRTTYNAME,MATCH(1,(xlRTTYENDU=2)*(xlRTTYEQCL=$F1137)*(xlRTEQTYPE=$G1137),0))</f>
        <v>CENT_AIR3</v>
      </c>
    </row>
    <row r="1138" spans="2:25" ht="14.25" customHeight="1" x14ac:dyDescent="0.2">
      <c r="B1138" s="5">
        <v>1</v>
      </c>
      <c r="C1138" s="5">
        <v>2</v>
      </c>
      <c r="D1138" s="5">
        <v>7</v>
      </c>
      <c r="E1138" s="5">
        <v>24</v>
      </c>
      <c r="F1138" s="5">
        <v>2</v>
      </c>
      <c r="G1138" s="31">
        <v>6</v>
      </c>
      <c r="H1138" s="31">
        <v>2020</v>
      </c>
      <c r="I1138" s="5">
        <v>2050</v>
      </c>
      <c r="J1138" s="142">
        <v>1.0956999999999999</v>
      </c>
      <c r="K1138" s="142">
        <v>1.0417000000000001</v>
      </c>
      <c r="L1138" s="142">
        <v>0.92830000000000001</v>
      </c>
      <c r="M1138" s="142">
        <v>1.1455</v>
      </c>
      <c r="N1138" s="142">
        <v>1.1153</v>
      </c>
      <c r="O1138" s="142">
        <v>1.0538000000000001</v>
      </c>
      <c r="P1138" s="26">
        <v>4194.9468733116528</v>
      </c>
      <c r="Q1138" s="35">
        <f t="array" ref="Q1138">SUM(IF(($S1138&gt;=4)*($C1138='TaxCred&amp;Subs'!$D$114:$D$121)*($H1138='TaxCred&amp;Subs'!$C$114:$C$121)*($H1138&lt;='TaxCred&amp;Subs'!$C$123),'TaxCred&amp;Subs'!$E$114:$E$121,0))</f>
        <v>0</v>
      </c>
      <c r="R1138" s="143">
        <v>0</v>
      </c>
      <c r="S1138" s="5">
        <v>3</v>
      </c>
      <c r="T1138" s="5" t="s">
        <v>239</v>
      </c>
      <c r="V1138" s="7" t="str">
        <f t="array" ref="V1138">INDEX(xlRTCLNAME,MATCH(1,(xlRTCLENDU=1)*(xlRTCLEQCL=$D1138),0))</f>
        <v>DIST_FA</v>
      </c>
      <c r="W1138" s="7" t="str">
        <f t="array" ref="W1138">INDEX(xlRTCLNAME,MATCH(1,(xlRTCLENDU=2)*(xlRTCLEQCL=$F1138),0))</f>
        <v>CENT_AIR</v>
      </c>
      <c r="X1138" s="7" t="str">
        <f t="array" ref="X1138">INDEX(xlRTTYNAME,MATCH(1,(xlRTTYENDU=1)*(xlRTTYEQCL=$D1138)*(xlRTEQTYPE=$E1138),0))</f>
        <v>DIST_FA3</v>
      </c>
      <c r="Y1138" s="7" t="str">
        <f t="array" ref="Y1138">INDEX(xlRTTYNAME,MATCH(1,(xlRTTYENDU=2)*(xlRTTYEQCL=$F1138)*(xlRTEQTYPE=$G1138),0))</f>
        <v>CENT_AIR3</v>
      </c>
    </row>
    <row r="1139" spans="2:25" ht="14.25" customHeight="1" x14ac:dyDescent="0.2">
      <c r="B1139" s="5">
        <v>2</v>
      </c>
      <c r="C1139" s="5">
        <v>2</v>
      </c>
      <c r="D1139" s="5">
        <v>7</v>
      </c>
      <c r="E1139" s="5">
        <v>24</v>
      </c>
      <c r="F1139" s="5">
        <v>2</v>
      </c>
      <c r="G1139" s="31">
        <v>6</v>
      </c>
      <c r="H1139" s="31">
        <v>2020</v>
      </c>
      <c r="I1139" s="5">
        <v>2050</v>
      </c>
      <c r="J1139" s="142">
        <v>1.1059000000000001</v>
      </c>
      <c r="K1139" s="142">
        <v>1.0357000000000001</v>
      </c>
      <c r="L1139" s="142">
        <v>0.85799999999999998</v>
      </c>
      <c r="M1139" s="142">
        <v>1.1625000000000001</v>
      </c>
      <c r="N1139" s="142">
        <v>1.1176999999999999</v>
      </c>
      <c r="O1139" s="142">
        <v>1.0538000000000001</v>
      </c>
      <c r="P1139" s="26">
        <v>3112.5967986270753</v>
      </c>
      <c r="Q1139" s="35">
        <f t="array" ref="Q1139">SUM(IF(($S1139&gt;=4)*($C1139='TaxCred&amp;Subs'!$D$114:$D$121)*($H1139='TaxCred&amp;Subs'!$C$114:$C$121)*($H1139&lt;='TaxCred&amp;Subs'!$C$123),'TaxCred&amp;Subs'!$E$114:$E$121,0))</f>
        <v>0</v>
      </c>
      <c r="R1139" s="143">
        <v>0</v>
      </c>
      <c r="S1139" s="5">
        <v>3</v>
      </c>
      <c r="T1139" s="5" t="s">
        <v>239</v>
      </c>
      <c r="V1139" s="7" t="str">
        <f t="array" ref="V1139">INDEX(xlRTCLNAME,MATCH(1,(xlRTCLENDU=1)*(xlRTCLEQCL=$D1139),0))</f>
        <v>DIST_FA</v>
      </c>
      <c r="W1139" s="7" t="str">
        <f t="array" ref="W1139">INDEX(xlRTCLNAME,MATCH(1,(xlRTCLENDU=2)*(xlRTCLEQCL=$F1139),0))</f>
        <v>CENT_AIR</v>
      </c>
      <c r="X1139" s="7" t="str">
        <f t="array" ref="X1139">INDEX(xlRTTYNAME,MATCH(1,(xlRTTYENDU=1)*(xlRTTYEQCL=$D1139)*(xlRTEQTYPE=$E1139),0))</f>
        <v>DIST_FA3</v>
      </c>
      <c r="Y1139" s="7" t="str">
        <f t="array" ref="Y1139">INDEX(xlRTTYNAME,MATCH(1,(xlRTTYENDU=2)*(xlRTTYEQCL=$F1139)*(xlRTEQTYPE=$G1139),0))</f>
        <v>CENT_AIR3</v>
      </c>
    </row>
    <row r="1140" spans="2:25" ht="14.25" customHeight="1" x14ac:dyDescent="0.2">
      <c r="B1140" s="5">
        <v>3</v>
      </c>
      <c r="C1140" s="5">
        <v>2</v>
      </c>
      <c r="D1140" s="5">
        <v>7</v>
      </c>
      <c r="E1140" s="5">
        <v>24</v>
      </c>
      <c r="F1140" s="5">
        <v>2</v>
      </c>
      <c r="G1140" s="31">
        <v>6</v>
      </c>
      <c r="H1140" s="31">
        <v>2020</v>
      </c>
      <c r="I1140" s="5">
        <v>2050</v>
      </c>
      <c r="J1140" s="142">
        <v>1.099</v>
      </c>
      <c r="K1140" s="142">
        <v>1.03</v>
      </c>
      <c r="L1140" s="142">
        <v>0.83350000000000002</v>
      </c>
      <c r="M1140" s="142">
        <v>1.0828</v>
      </c>
      <c r="N1140" s="142">
        <v>1.0381</v>
      </c>
      <c r="O1140" s="142">
        <v>1.0538000000000001</v>
      </c>
      <c r="P1140" s="26">
        <v>3572.4275135862376</v>
      </c>
      <c r="Q1140" s="35">
        <f t="array" ref="Q1140">SUM(IF(($S1140&gt;=4)*($C1140='TaxCred&amp;Subs'!$D$114:$D$121)*($H1140='TaxCred&amp;Subs'!$C$114:$C$121)*($H1140&lt;='TaxCred&amp;Subs'!$C$123),'TaxCred&amp;Subs'!$E$114:$E$121,0))</f>
        <v>0</v>
      </c>
      <c r="R1140" s="143">
        <v>0</v>
      </c>
      <c r="S1140" s="5">
        <v>3</v>
      </c>
      <c r="T1140" s="5" t="s">
        <v>239</v>
      </c>
      <c r="V1140" s="7" t="str">
        <f t="array" ref="V1140">INDEX(xlRTCLNAME,MATCH(1,(xlRTCLENDU=1)*(xlRTCLEQCL=$D1140),0))</f>
        <v>DIST_FA</v>
      </c>
      <c r="W1140" s="7" t="str">
        <f t="array" ref="W1140">INDEX(xlRTCLNAME,MATCH(1,(xlRTCLENDU=2)*(xlRTCLEQCL=$F1140),0))</f>
        <v>CENT_AIR</v>
      </c>
      <c r="X1140" s="7" t="str">
        <f t="array" ref="X1140">INDEX(xlRTTYNAME,MATCH(1,(xlRTTYENDU=1)*(xlRTTYEQCL=$D1140)*(xlRTEQTYPE=$E1140),0))</f>
        <v>DIST_FA3</v>
      </c>
      <c r="Y1140" s="7" t="str">
        <f t="array" ref="Y1140">INDEX(xlRTTYNAME,MATCH(1,(xlRTTYENDU=2)*(xlRTTYEQCL=$F1140)*(xlRTEQTYPE=$G1140),0))</f>
        <v>CENT_AIR3</v>
      </c>
    </row>
    <row r="1141" spans="2:25" ht="14.25" customHeight="1" x14ac:dyDescent="0.2">
      <c r="B1141" s="5">
        <v>4</v>
      </c>
      <c r="C1141" s="5">
        <v>2</v>
      </c>
      <c r="D1141" s="5">
        <v>7</v>
      </c>
      <c r="E1141" s="5">
        <v>24</v>
      </c>
      <c r="F1141" s="5">
        <v>2</v>
      </c>
      <c r="G1141" s="31">
        <v>6</v>
      </c>
      <c r="H1141" s="31">
        <v>2020</v>
      </c>
      <c r="I1141" s="5">
        <v>2050</v>
      </c>
      <c r="J1141" s="142">
        <v>1.0934999999999999</v>
      </c>
      <c r="K1141" s="142">
        <v>1.0435000000000001</v>
      </c>
      <c r="L1141" s="142">
        <v>0.84930000000000005</v>
      </c>
      <c r="M1141" s="142">
        <v>1.1499999999999999</v>
      </c>
      <c r="N1141" s="142">
        <v>1.1696</v>
      </c>
      <c r="O1141" s="142">
        <v>1.0538000000000001</v>
      </c>
      <c r="P1141" s="26">
        <v>3148.8992234922725</v>
      </c>
      <c r="Q1141" s="35">
        <f t="array" ref="Q1141">SUM(IF(($S1141&gt;=4)*($C1141='TaxCred&amp;Subs'!$D$114:$D$121)*($H1141='TaxCred&amp;Subs'!$C$114:$C$121)*($H1141&lt;='TaxCred&amp;Subs'!$C$123),'TaxCred&amp;Subs'!$E$114:$E$121,0))</f>
        <v>0</v>
      </c>
      <c r="R1141" s="143">
        <v>0</v>
      </c>
      <c r="S1141" s="5">
        <v>3</v>
      </c>
      <c r="T1141" s="5" t="s">
        <v>239</v>
      </c>
      <c r="V1141" s="7" t="str">
        <f t="array" ref="V1141">INDEX(xlRTCLNAME,MATCH(1,(xlRTCLENDU=1)*(xlRTCLEQCL=$D1141),0))</f>
        <v>DIST_FA</v>
      </c>
      <c r="W1141" s="7" t="str">
        <f t="array" ref="W1141">INDEX(xlRTCLNAME,MATCH(1,(xlRTCLENDU=2)*(xlRTCLEQCL=$F1141),0))</f>
        <v>CENT_AIR</v>
      </c>
      <c r="X1141" s="7" t="str">
        <f t="array" ref="X1141">INDEX(xlRTTYNAME,MATCH(1,(xlRTTYENDU=1)*(xlRTTYEQCL=$D1141)*(xlRTEQTYPE=$E1141),0))</f>
        <v>DIST_FA3</v>
      </c>
      <c r="Y1141" s="7" t="str">
        <f t="array" ref="Y1141">INDEX(xlRTTYNAME,MATCH(1,(xlRTTYENDU=2)*(xlRTTYEQCL=$F1141)*(xlRTEQTYPE=$G1141),0))</f>
        <v>CENT_AIR3</v>
      </c>
    </row>
    <row r="1142" spans="2:25" ht="14.25" customHeight="1" x14ac:dyDescent="0.2">
      <c r="B1142" s="5">
        <v>5</v>
      </c>
      <c r="C1142" s="5">
        <v>2</v>
      </c>
      <c r="D1142" s="5">
        <v>7</v>
      </c>
      <c r="E1142" s="5">
        <v>24</v>
      </c>
      <c r="F1142" s="5">
        <v>2</v>
      </c>
      <c r="G1142" s="31">
        <v>6</v>
      </c>
      <c r="H1142" s="31">
        <v>2020</v>
      </c>
      <c r="I1142" s="5">
        <v>2050</v>
      </c>
      <c r="J1142" s="142">
        <v>1.1200000000000001</v>
      </c>
      <c r="K1142" s="142">
        <v>1.0391999999999999</v>
      </c>
      <c r="L1142" s="142">
        <v>0.53759999999999997</v>
      </c>
      <c r="M1142" s="142">
        <v>1.1097999999999999</v>
      </c>
      <c r="N1142" s="142">
        <v>1.2595000000000001</v>
      </c>
      <c r="O1142" s="142">
        <v>1.0538000000000001</v>
      </c>
      <c r="P1142" s="26">
        <v>2757.6397555007047</v>
      </c>
      <c r="Q1142" s="35">
        <f t="array" ref="Q1142">SUM(IF(($S1142&gt;=4)*($C1142='TaxCred&amp;Subs'!$D$114:$D$121)*($H1142='TaxCred&amp;Subs'!$C$114:$C$121)*($H1142&lt;='TaxCred&amp;Subs'!$C$123),'TaxCred&amp;Subs'!$E$114:$E$121,0))</f>
        <v>0</v>
      </c>
      <c r="R1142" s="143">
        <v>0</v>
      </c>
      <c r="S1142" s="5">
        <v>3</v>
      </c>
      <c r="T1142" s="5" t="s">
        <v>239</v>
      </c>
      <c r="V1142" s="7" t="str">
        <f t="array" ref="V1142">INDEX(xlRTCLNAME,MATCH(1,(xlRTCLENDU=1)*(xlRTCLEQCL=$D1142),0))</f>
        <v>DIST_FA</v>
      </c>
      <c r="W1142" s="7" t="str">
        <f t="array" ref="W1142">INDEX(xlRTCLNAME,MATCH(1,(xlRTCLENDU=2)*(xlRTCLEQCL=$F1142),0))</f>
        <v>CENT_AIR</v>
      </c>
      <c r="X1142" s="7" t="str">
        <f t="array" ref="X1142">INDEX(xlRTTYNAME,MATCH(1,(xlRTTYENDU=1)*(xlRTTYEQCL=$D1142)*(xlRTEQTYPE=$E1142),0))</f>
        <v>DIST_FA3</v>
      </c>
      <c r="Y1142" s="7" t="str">
        <f t="array" ref="Y1142">INDEX(xlRTTYNAME,MATCH(1,(xlRTTYENDU=2)*(xlRTTYEQCL=$F1142)*(xlRTEQTYPE=$G1142),0))</f>
        <v>CENT_AIR3</v>
      </c>
    </row>
    <row r="1143" spans="2:25" ht="14.25" customHeight="1" x14ac:dyDescent="0.2">
      <c r="B1143" s="5">
        <v>6</v>
      </c>
      <c r="C1143" s="5">
        <v>2</v>
      </c>
      <c r="D1143" s="5">
        <v>7</v>
      </c>
      <c r="E1143" s="5">
        <v>24</v>
      </c>
      <c r="F1143" s="5">
        <v>2</v>
      </c>
      <c r="G1143" s="31">
        <v>6</v>
      </c>
      <c r="H1143" s="31">
        <v>2020</v>
      </c>
      <c r="I1143" s="5">
        <v>2050</v>
      </c>
      <c r="J1143" s="142">
        <v>1.1200000000000001</v>
      </c>
      <c r="K1143" s="142">
        <v>1.03</v>
      </c>
      <c r="L1143" s="142">
        <v>0.92659999999999998</v>
      </c>
      <c r="M1143" s="142">
        <v>1.1455</v>
      </c>
      <c r="N1143" s="142">
        <v>1.3381000000000001</v>
      </c>
      <c r="O1143" s="142">
        <v>1.0538000000000001</v>
      </c>
      <c r="P1143" s="26">
        <v>3038.6474146424148</v>
      </c>
      <c r="Q1143" s="35">
        <f t="array" ref="Q1143">SUM(IF(($S1143&gt;=4)*($C1143='TaxCred&amp;Subs'!$D$114:$D$121)*($H1143='TaxCred&amp;Subs'!$C$114:$C$121)*($H1143&lt;='TaxCred&amp;Subs'!$C$123),'TaxCred&amp;Subs'!$E$114:$E$121,0))</f>
        <v>0</v>
      </c>
      <c r="R1143" s="143">
        <v>0</v>
      </c>
      <c r="S1143" s="5">
        <v>3</v>
      </c>
      <c r="T1143" s="5" t="s">
        <v>239</v>
      </c>
      <c r="V1143" s="7" t="str">
        <f t="array" ref="V1143">INDEX(xlRTCLNAME,MATCH(1,(xlRTCLENDU=1)*(xlRTCLEQCL=$D1143),0))</f>
        <v>DIST_FA</v>
      </c>
      <c r="W1143" s="7" t="str">
        <f t="array" ref="W1143">INDEX(xlRTCLNAME,MATCH(1,(xlRTCLENDU=2)*(xlRTCLEQCL=$F1143),0))</f>
        <v>CENT_AIR</v>
      </c>
      <c r="X1143" s="7" t="str">
        <f t="array" ref="X1143">INDEX(xlRTTYNAME,MATCH(1,(xlRTTYENDU=1)*(xlRTTYEQCL=$D1143)*(xlRTEQTYPE=$E1143),0))</f>
        <v>DIST_FA3</v>
      </c>
      <c r="Y1143" s="7" t="str">
        <f t="array" ref="Y1143">INDEX(xlRTTYNAME,MATCH(1,(xlRTTYENDU=2)*(xlRTTYEQCL=$F1143)*(xlRTEQTYPE=$G1143),0))</f>
        <v>CENT_AIR3</v>
      </c>
    </row>
    <row r="1144" spans="2:25" ht="14.25" customHeight="1" x14ac:dyDescent="0.2">
      <c r="B1144" s="5">
        <v>7</v>
      </c>
      <c r="C1144" s="5">
        <v>2</v>
      </c>
      <c r="D1144" s="5">
        <v>7</v>
      </c>
      <c r="E1144" s="5">
        <v>24</v>
      </c>
      <c r="F1144" s="5">
        <v>2</v>
      </c>
      <c r="G1144" s="31">
        <v>6</v>
      </c>
      <c r="H1144" s="31">
        <v>2020</v>
      </c>
      <c r="I1144" s="5">
        <v>2050</v>
      </c>
      <c r="J1144" s="142">
        <v>1.1200000000000001</v>
      </c>
      <c r="K1144" s="142">
        <v>1.0476000000000001</v>
      </c>
      <c r="L1144" s="142">
        <v>0.7772</v>
      </c>
      <c r="M1144" s="142">
        <v>1.1516999999999999</v>
      </c>
      <c r="N1144" s="142">
        <v>1.4438</v>
      </c>
      <c r="O1144" s="142">
        <v>1.0538000000000001</v>
      </c>
      <c r="P1144" s="26">
        <v>2032.9357924510314</v>
      </c>
      <c r="Q1144" s="35">
        <f t="array" ref="Q1144">SUM(IF(($S1144&gt;=4)*($C1144='TaxCred&amp;Subs'!$D$114:$D$121)*($H1144='TaxCred&amp;Subs'!$C$114:$C$121)*($H1144&lt;='TaxCred&amp;Subs'!$C$123),'TaxCred&amp;Subs'!$E$114:$E$121,0))</f>
        <v>0</v>
      </c>
      <c r="R1144" s="143">
        <v>0</v>
      </c>
      <c r="S1144" s="5">
        <v>3</v>
      </c>
      <c r="T1144" s="5" t="s">
        <v>239</v>
      </c>
      <c r="V1144" s="7" t="str">
        <f t="array" ref="V1144">INDEX(xlRTCLNAME,MATCH(1,(xlRTCLENDU=1)*(xlRTCLEQCL=$D1144),0))</f>
        <v>DIST_FA</v>
      </c>
      <c r="W1144" s="7" t="str">
        <f t="array" ref="W1144">INDEX(xlRTCLNAME,MATCH(1,(xlRTCLENDU=2)*(xlRTCLEQCL=$F1144),0))</f>
        <v>CENT_AIR</v>
      </c>
      <c r="X1144" s="7" t="str">
        <f t="array" ref="X1144">INDEX(xlRTTYNAME,MATCH(1,(xlRTTYENDU=1)*(xlRTTYEQCL=$D1144)*(xlRTEQTYPE=$E1144),0))</f>
        <v>DIST_FA3</v>
      </c>
      <c r="Y1144" s="7" t="str">
        <f t="array" ref="Y1144">INDEX(xlRTTYNAME,MATCH(1,(xlRTTYENDU=2)*(xlRTTYEQCL=$F1144)*(xlRTEQTYPE=$G1144),0))</f>
        <v>CENT_AIR3</v>
      </c>
    </row>
    <row r="1145" spans="2:25" ht="14.25" customHeight="1" x14ac:dyDescent="0.2">
      <c r="B1145" s="5">
        <v>8</v>
      </c>
      <c r="C1145" s="5">
        <v>2</v>
      </c>
      <c r="D1145" s="5">
        <v>7</v>
      </c>
      <c r="E1145" s="5">
        <v>24</v>
      </c>
      <c r="F1145" s="5">
        <v>2</v>
      </c>
      <c r="G1145" s="31">
        <v>6</v>
      </c>
      <c r="H1145" s="31">
        <v>2020</v>
      </c>
      <c r="I1145" s="5">
        <v>2050</v>
      </c>
      <c r="J1145" s="142">
        <v>1.1064000000000001</v>
      </c>
      <c r="K1145" s="142">
        <v>1.0645</v>
      </c>
      <c r="L1145" s="142">
        <v>0.80669999999999997</v>
      </c>
      <c r="M1145" s="142">
        <v>1.2739</v>
      </c>
      <c r="N1145" s="142">
        <v>1.2826</v>
      </c>
      <c r="O1145" s="142">
        <v>1.0538000000000001</v>
      </c>
      <c r="P1145" s="26">
        <v>3362.6801699206544</v>
      </c>
      <c r="Q1145" s="35">
        <f t="array" ref="Q1145">SUM(IF(($S1145&gt;=4)*($C1145='TaxCred&amp;Subs'!$D$114:$D$121)*($H1145='TaxCred&amp;Subs'!$C$114:$C$121)*($H1145&lt;='TaxCred&amp;Subs'!$C$123),'TaxCred&amp;Subs'!$E$114:$E$121,0))</f>
        <v>0</v>
      </c>
      <c r="R1145" s="143">
        <v>0</v>
      </c>
      <c r="S1145" s="5">
        <v>3</v>
      </c>
      <c r="T1145" s="5" t="s">
        <v>239</v>
      </c>
      <c r="V1145" s="7" t="str">
        <f t="array" ref="V1145">INDEX(xlRTCLNAME,MATCH(1,(xlRTCLENDU=1)*(xlRTCLEQCL=$D1145),0))</f>
        <v>DIST_FA</v>
      </c>
      <c r="W1145" s="7" t="str">
        <f t="array" ref="W1145">INDEX(xlRTCLNAME,MATCH(1,(xlRTCLENDU=2)*(xlRTCLEQCL=$F1145),0))</f>
        <v>CENT_AIR</v>
      </c>
      <c r="X1145" s="7" t="str">
        <f t="array" ref="X1145">INDEX(xlRTTYNAME,MATCH(1,(xlRTTYENDU=1)*(xlRTTYEQCL=$D1145)*(xlRTEQTYPE=$E1145),0))</f>
        <v>DIST_FA3</v>
      </c>
      <c r="Y1145" s="7" t="str">
        <f t="array" ref="Y1145">INDEX(xlRTTYNAME,MATCH(1,(xlRTTYENDU=2)*(xlRTTYEQCL=$F1145)*(xlRTEQTYPE=$G1145),0))</f>
        <v>CENT_AIR3</v>
      </c>
    </row>
    <row r="1146" spans="2:25" ht="14.25" customHeight="1" x14ac:dyDescent="0.2">
      <c r="B1146" s="5">
        <v>9</v>
      </c>
      <c r="C1146" s="5">
        <v>2</v>
      </c>
      <c r="D1146" s="5">
        <v>7</v>
      </c>
      <c r="E1146" s="5">
        <v>24</v>
      </c>
      <c r="F1146" s="5">
        <v>2</v>
      </c>
      <c r="G1146" s="31">
        <v>6</v>
      </c>
      <c r="H1146" s="31">
        <v>2020</v>
      </c>
      <c r="I1146" s="5">
        <v>2050</v>
      </c>
      <c r="J1146" s="142">
        <v>1.03</v>
      </c>
      <c r="K1146" s="142">
        <v>1.0556000000000001</v>
      </c>
      <c r="L1146" s="142">
        <v>0.44379999999999997</v>
      </c>
      <c r="M1146" s="142">
        <v>1.2</v>
      </c>
      <c r="N1146" s="142">
        <v>1.4438</v>
      </c>
      <c r="O1146" s="142">
        <v>1.0538000000000001</v>
      </c>
      <c r="P1146" s="26">
        <v>3463.5202389906462</v>
      </c>
      <c r="Q1146" s="35">
        <f t="array" ref="Q1146">SUM(IF(($S1146&gt;=4)*($C1146='TaxCred&amp;Subs'!$D$114:$D$121)*($H1146='TaxCred&amp;Subs'!$C$114:$C$121)*($H1146&lt;='TaxCred&amp;Subs'!$C$123),'TaxCred&amp;Subs'!$E$114:$E$121,0))</f>
        <v>0</v>
      </c>
      <c r="R1146" s="143">
        <v>0</v>
      </c>
      <c r="S1146" s="5">
        <v>3</v>
      </c>
      <c r="T1146" s="5" t="s">
        <v>239</v>
      </c>
      <c r="V1146" s="7" t="str">
        <f t="array" ref="V1146">INDEX(xlRTCLNAME,MATCH(1,(xlRTCLENDU=1)*(xlRTCLEQCL=$D1146),0))</f>
        <v>DIST_FA</v>
      </c>
      <c r="W1146" s="7" t="str">
        <f t="array" ref="W1146">INDEX(xlRTCLNAME,MATCH(1,(xlRTCLENDU=2)*(xlRTCLEQCL=$F1146),0))</f>
        <v>CENT_AIR</v>
      </c>
      <c r="X1146" s="7" t="str">
        <f t="array" ref="X1146">INDEX(xlRTTYNAME,MATCH(1,(xlRTTYENDU=1)*(xlRTTYEQCL=$D1146)*(xlRTEQTYPE=$E1146),0))</f>
        <v>DIST_FA3</v>
      </c>
      <c r="Y1146" s="7" t="str">
        <f t="array" ref="Y1146">INDEX(xlRTTYNAME,MATCH(1,(xlRTTYENDU=2)*(xlRTTYEQCL=$F1146)*(xlRTEQTYPE=$G1146),0))</f>
        <v>CENT_AIR3</v>
      </c>
    </row>
    <row r="1147" spans="2:25" ht="14.25" customHeight="1" x14ac:dyDescent="0.2">
      <c r="B1147" s="5">
        <v>1</v>
      </c>
      <c r="C1147" s="5">
        <v>2</v>
      </c>
      <c r="D1147" s="5">
        <v>8</v>
      </c>
      <c r="E1147" s="31">
        <v>27</v>
      </c>
      <c r="F1147" s="5">
        <v>2</v>
      </c>
      <c r="G1147" s="31">
        <v>6</v>
      </c>
      <c r="H1147" s="31">
        <v>2020</v>
      </c>
      <c r="I1147" s="5">
        <v>2050</v>
      </c>
      <c r="J1147" s="142">
        <v>1.0864</v>
      </c>
      <c r="K1147" s="142">
        <v>1.0417000000000001</v>
      </c>
      <c r="L1147" s="142">
        <v>1.0046999999999999</v>
      </c>
      <c r="M1147" s="142">
        <v>1.1455</v>
      </c>
      <c r="N1147" s="142">
        <v>1.1156999999999999</v>
      </c>
      <c r="O1147" s="142">
        <v>1.0538000000000001</v>
      </c>
      <c r="P1147" s="26">
        <v>4153.2663114293891</v>
      </c>
      <c r="Q1147" s="35">
        <f t="array" ref="Q1147">SUM(IF(($S1147&gt;=4)*($C1147='TaxCred&amp;Subs'!$D$114:$D$121)*($H1147='TaxCred&amp;Subs'!$C$114:$C$121)*($H1147&lt;='TaxCred&amp;Subs'!$C$123),'TaxCred&amp;Subs'!$E$114:$E$121,0))</f>
        <v>0</v>
      </c>
      <c r="R1147" s="143">
        <v>0</v>
      </c>
      <c r="S1147" s="5">
        <v>3</v>
      </c>
      <c r="T1147" s="5" t="s">
        <v>239</v>
      </c>
      <c r="V1147" s="7" t="str">
        <f t="array" ref="V1147">INDEX(xlRTCLNAME,MATCH(1,(xlRTCLENDU=1)*(xlRTCLEQCL=$D1147),0))</f>
        <v>DIST_RAD</v>
      </c>
      <c r="W1147" s="7" t="str">
        <f t="array" ref="W1147">INDEX(xlRTCLNAME,MATCH(1,(xlRTCLENDU=2)*(xlRTCLEQCL=$F1147),0))</f>
        <v>CENT_AIR</v>
      </c>
      <c r="X1147" s="7" t="str">
        <f t="array" ref="X1147">INDEX(xlRTTYNAME,MATCH(1,(xlRTTYENDU=1)*(xlRTTYEQCL=$D1147)*(xlRTEQTYPE=$E1147),0))</f>
        <v>DIST_RAD3</v>
      </c>
      <c r="Y1147" s="7" t="str">
        <f t="array" ref="Y1147">INDEX(xlRTTYNAME,MATCH(1,(xlRTTYENDU=2)*(xlRTTYEQCL=$F1147)*(xlRTEQTYPE=$G1147),0))</f>
        <v>CENT_AIR3</v>
      </c>
    </row>
    <row r="1148" spans="2:25" ht="14.25" customHeight="1" x14ac:dyDescent="0.2">
      <c r="B1148" s="5">
        <v>2</v>
      </c>
      <c r="C1148" s="5">
        <v>2</v>
      </c>
      <c r="D1148" s="5">
        <v>8</v>
      </c>
      <c r="E1148" s="31">
        <v>27</v>
      </c>
      <c r="F1148" s="5">
        <v>2</v>
      </c>
      <c r="G1148" s="31">
        <v>6</v>
      </c>
      <c r="H1148" s="31">
        <v>2020</v>
      </c>
      <c r="I1148" s="5">
        <v>2050</v>
      </c>
      <c r="J1148" s="142">
        <v>1.0891</v>
      </c>
      <c r="K1148" s="142">
        <v>1.0713999999999999</v>
      </c>
      <c r="L1148" s="142">
        <v>1.0127999999999999</v>
      </c>
      <c r="M1148" s="142">
        <v>1.1834</v>
      </c>
      <c r="N1148" s="142">
        <v>1.1254999999999999</v>
      </c>
      <c r="O1148" s="142">
        <v>1.0538000000000001</v>
      </c>
      <c r="P1148" s="26">
        <v>3038.6474146424148</v>
      </c>
      <c r="Q1148" s="35">
        <f t="array" ref="Q1148">SUM(IF(($S1148&gt;=4)*($C1148='TaxCred&amp;Subs'!$D$114:$D$121)*($H1148='TaxCred&amp;Subs'!$C$114:$C$121)*($H1148&lt;='TaxCred&amp;Subs'!$C$123),'TaxCred&amp;Subs'!$E$114:$E$121,0))</f>
        <v>0</v>
      </c>
      <c r="R1148" s="143">
        <v>0</v>
      </c>
      <c r="S1148" s="5">
        <v>3</v>
      </c>
      <c r="T1148" s="5" t="s">
        <v>239</v>
      </c>
      <c r="V1148" s="7" t="str">
        <f t="array" ref="V1148">INDEX(xlRTCLNAME,MATCH(1,(xlRTCLENDU=1)*(xlRTCLEQCL=$D1148),0))</f>
        <v>DIST_RAD</v>
      </c>
      <c r="W1148" s="7" t="str">
        <f t="array" ref="W1148">INDEX(xlRTCLNAME,MATCH(1,(xlRTCLENDU=2)*(xlRTCLEQCL=$F1148),0))</f>
        <v>CENT_AIR</v>
      </c>
      <c r="X1148" s="7" t="str">
        <f t="array" ref="X1148">INDEX(xlRTTYNAME,MATCH(1,(xlRTTYENDU=1)*(xlRTTYEQCL=$D1148)*(xlRTEQTYPE=$E1148),0))</f>
        <v>DIST_RAD3</v>
      </c>
      <c r="Y1148" s="7" t="str">
        <f t="array" ref="Y1148">INDEX(xlRTTYNAME,MATCH(1,(xlRTTYENDU=2)*(xlRTTYEQCL=$F1148)*(xlRTEQTYPE=$G1148),0))</f>
        <v>CENT_AIR3</v>
      </c>
    </row>
    <row r="1149" spans="2:25" ht="14.25" customHeight="1" x14ac:dyDescent="0.2">
      <c r="B1149" s="5">
        <v>3</v>
      </c>
      <c r="C1149" s="5">
        <v>2</v>
      </c>
      <c r="D1149" s="5">
        <v>8</v>
      </c>
      <c r="E1149" s="31">
        <v>27</v>
      </c>
      <c r="F1149" s="5">
        <v>2</v>
      </c>
      <c r="G1149" s="31">
        <v>6</v>
      </c>
      <c r="H1149" s="31">
        <v>2020</v>
      </c>
      <c r="I1149" s="5">
        <v>2050</v>
      </c>
      <c r="J1149" s="142">
        <v>1.0962000000000001</v>
      </c>
      <c r="K1149" s="142">
        <v>1.0345</v>
      </c>
      <c r="L1149" s="142">
        <v>0.83919999999999995</v>
      </c>
      <c r="M1149" s="142">
        <v>1.0828</v>
      </c>
      <c r="N1149" s="142">
        <v>1.0417000000000001</v>
      </c>
      <c r="O1149" s="142">
        <v>1.0538000000000001</v>
      </c>
      <c r="P1149" s="26">
        <v>3572.4275135862376</v>
      </c>
      <c r="Q1149" s="35">
        <f t="array" ref="Q1149">SUM(IF(($S1149&gt;=4)*($C1149='TaxCred&amp;Subs'!$D$114:$D$121)*($H1149='TaxCred&amp;Subs'!$C$114:$C$121)*($H1149&lt;='TaxCred&amp;Subs'!$C$123),'TaxCred&amp;Subs'!$E$114:$E$121,0))</f>
        <v>0</v>
      </c>
      <c r="R1149" s="143">
        <v>0</v>
      </c>
      <c r="S1149" s="5">
        <v>3</v>
      </c>
      <c r="T1149" s="5" t="s">
        <v>239</v>
      </c>
      <c r="V1149" s="7" t="str">
        <f t="array" ref="V1149">INDEX(xlRTCLNAME,MATCH(1,(xlRTCLENDU=1)*(xlRTCLEQCL=$D1149),0))</f>
        <v>DIST_RAD</v>
      </c>
      <c r="W1149" s="7" t="str">
        <f t="array" ref="W1149">INDEX(xlRTCLNAME,MATCH(1,(xlRTCLENDU=2)*(xlRTCLEQCL=$F1149),0))</f>
        <v>CENT_AIR</v>
      </c>
      <c r="X1149" s="7" t="str">
        <f t="array" ref="X1149">INDEX(xlRTTYNAME,MATCH(1,(xlRTTYENDU=1)*(xlRTTYEQCL=$D1149)*(xlRTEQTYPE=$E1149),0))</f>
        <v>DIST_RAD3</v>
      </c>
      <c r="Y1149" s="7" t="str">
        <f t="array" ref="Y1149">INDEX(xlRTTYNAME,MATCH(1,(xlRTTYENDU=2)*(xlRTTYEQCL=$F1149)*(xlRTEQTYPE=$G1149),0))</f>
        <v>CENT_AIR3</v>
      </c>
    </row>
    <row r="1150" spans="2:25" ht="14.25" customHeight="1" x14ac:dyDescent="0.2">
      <c r="B1150" s="5">
        <v>4</v>
      </c>
      <c r="C1150" s="5">
        <v>2</v>
      </c>
      <c r="D1150" s="5">
        <v>8</v>
      </c>
      <c r="E1150" s="31">
        <v>27</v>
      </c>
      <c r="F1150" s="5">
        <v>2</v>
      </c>
      <c r="G1150" s="31">
        <v>6</v>
      </c>
      <c r="H1150" s="31">
        <v>2020</v>
      </c>
      <c r="I1150" s="5">
        <v>2050</v>
      </c>
      <c r="J1150" s="142">
        <v>1.1024</v>
      </c>
      <c r="K1150" s="142">
        <v>1.0435000000000001</v>
      </c>
      <c r="L1150" s="142">
        <v>0.99209999999999998</v>
      </c>
      <c r="M1150" s="142">
        <v>1.1499999999999999</v>
      </c>
      <c r="N1150" s="142">
        <v>1.1678999999999999</v>
      </c>
      <c r="O1150" s="142">
        <v>1.0538000000000001</v>
      </c>
      <c r="P1150" s="26">
        <v>3092.4287848130771</v>
      </c>
      <c r="Q1150" s="35">
        <f t="array" ref="Q1150">SUM(IF(($S1150&gt;=4)*($C1150='TaxCred&amp;Subs'!$D$114:$D$121)*($H1150='TaxCred&amp;Subs'!$C$114:$C$121)*($H1150&lt;='TaxCred&amp;Subs'!$C$123),'TaxCred&amp;Subs'!$E$114:$E$121,0))</f>
        <v>0</v>
      </c>
      <c r="R1150" s="143">
        <v>0</v>
      </c>
      <c r="S1150" s="5">
        <v>3</v>
      </c>
      <c r="T1150" s="5" t="s">
        <v>239</v>
      </c>
      <c r="V1150" s="7" t="str">
        <f t="array" ref="V1150">INDEX(xlRTCLNAME,MATCH(1,(xlRTCLENDU=1)*(xlRTCLEQCL=$D1150),0))</f>
        <v>DIST_RAD</v>
      </c>
      <c r="W1150" s="7" t="str">
        <f t="array" ref="W1150">INDEX(xlRTCLNAME,MATCH(1,(xlRTCLENDU=2)*(xlRTCLEQCL=$F1150),0))</f>
        <v>CENT_AIR</v>
      </c>
      <c r="X1150" s="7" t="str">
        <f t="array" ref="X1150">INDEX(xlRTTYNAME,MATCH(1,(xlRTTYENDU=1)*(xlRTTYEQCL=$D1150)*(xlRTEQTYPE=$E1150),0))</f>
        <v>DIST_RAD3</v>
      </c>
      <c r="Y1150" s="7" t="str">
        <f t="array" ref="Y1150">INDEX(xlRTTYNAME,MATCH(1,(xlRTTYENDU=2)*(xlRTTYEQCL=$F1150)*(xlRTEQTYPE=$G1150),0))</f>
        <v>CENT_AIR3</v>
      </c>
    </row>
    <row r="1151" spans="2:25" ht="14.25" customHeight="1" x14ac:dyDescent="0.2">
      <c r="B1151" s="5">
        <v>5</v>
      </c>
      <c r="C1151" s="5">
        <v>2</v>
      </c>
      <c r="D1151" s="5">
        <v>8</v>
      </c>
      <c r="E1151" s="31">
        <v>27</v>
      </c>
      <c r="F1151" s="5">
        <v>2</v>
      </c>
      <c r="G1151" s="31">
        <v>6</v>
      </c>
      <c r="H1151" s="31">
        <v>2020</v>
      </c>
      <c r="I1151" s="5">
        <v>2050</v>
      </c>
      <c r="J1151" s="142">
        <v>1.03</v>
      </c>
      <c r="K1151" s="142">
        <v>1.03</v>
      </c>
      <c r="L1151" s="142">
        <v>0.67459999999999998</v>
      </c>
      <c r="M1151" s="142">
        <v>1.1097999999999999</v>
      </c>
      <c r="N1151" s="142">
        <v>1.3003</v>
      </c>
      <c r="O1151" s="142">
        <v>1.0538000000000001</v>
      </c>
      <c r="P1151" s="26">
        <v>2515.6235897327247</v>
      </c>
      <c r="Q1151" s="35">
        <f t="array" ref="Q1151">SUM(IF(($S1151&gt;=4)*($C1151='TaxCred&amp;Subs'!$D$114:$D$121)*($H1151='TaxCred&amp;Subs'!$C$114:$C$121)*($H1151&lt;='TaxCred&amp;Subs'!$C$123),'TaxCred&amp;Subs'!$E$114:$E$121,0))</f>
        <v>0</v>
      </c>
      <c r="R1151" s="143">
        <v>0</v>
      </c>
      <c r="S1151" s="5">
        <v>3</v>
      </c>
      <c r="T1151" s="5" t="s">
        <v>239</v>
      </c>
      <c r="V1151" s="7" t="str">
        <f t="array" ref="V1151">INDEX(xlRTCLNAME,MATCH(1,(xlRTCLENDU=1)*(xlRTCLEQCL=$D1151),0))</f>
        <v>DIST_RAD</v>
      </c>
      <c r="W1151" s="7" t="str">
        <f t="array" ref="W1151">INDEX(xlRTCLNAME,MATCH(1,(xlRTCLENDU=2)*(xlRTCLEQCL=$F1151),0))</f>
        <v>CENT_AIR</v>
      </c>
      <c r="X1151" s="7" t="str">
        <f t="array" ref="X1151">INDEX(xlRTTYNAME,MATCH(1,(xlRTTYENDU=1)*(xlRTTYEQCL=$D1151)*(xlRTEQTYPE=$E1151),0))</f>
        <v>DIST_RAD3</v>
      </c>
      <c r="Y1151" s="7" t="str">
        <f t="array" ref="Y1151">INDEX(xlRTTYNAME,MATCH(1,(xlRTTYENDU=2)*(xlRTTYEQCL=$F1151)*(xlRTEQTYPE=$G1151),0))</f>
        <v>CENT_AIR3</v>
      </c>
    </row>
    <row r="1152" spans="2:25" ht="14.25" customHeight="1" x14ac:dyDescent="0.2">
      <c r="B1152" s="5">
        <v>6</v>
      </c>
      <c r="C1152" s="5">
        <v>2</v>
      </c>
      <c r="D1152" s="5">
        <v>8</v>
      </c>
      <c r="E1152" s="31">
        <v>27</v>
      </c>
      <c r="F1152" s="5">
        <v>2</v>
      </c>
      <c r="G1152" s="31">
        <v>6</v>
      </c>
      <c r="H1152" s="31">
        <v>2020</v>
      </c>
      <c r="I1152" s="5">
        <v>2050</v>
      </c>
      <c r="J1152" s="142">
        <v>1.1200000000000001</v>
      </c>
      <c r="K1152" s="142">
        <v>1.0417000000000001</v>
      </c>
      <c r="L1152" s="142">
        <v>1.0238</v>
      </c>
      <c r="M1152" s="142">
        <v>1.1568000000000001</v>
      </c>
      <c r="N1152" s="142">
        <v>1.3656999999999999</v>
      </c>
      <c r="O1152" s="142">
        <v>1.0538000000000001</v>
      </c>
      <c r="P1152" s="26">
        <v>2733.438138923907</v>
      </c>
      <c r="Q1152" s="35">
        <f t="array" ref="Q1152">SUM(IF(($S1152&gt;=4)*($C1152='TaxCred&amp;Subs'!$D$114:$D$121)*($H1152='TaxCred&amp;Subs'!$C$114:$C$121)*($H1152&lt;='TaxCred&amp;Subs'!$C$123),'TaxCred&amp;Subs'!$E$114:$E$121,0))</f>
        <v>0</v>
      </c>
      <c r="R1152" s="143">
        <v>0</v>
      </c>
      <c r="S1152" s="5">
        <v>3</v>
      </c>
      <c r="T1152" s="5" t="s">
        <v>239</v>
      </c>
      <c r="V1152" s="7" t="str">
        <f t="array" ref="V1152">INDEX(xlRTCLNAME,MATCH(1,(xlRTCLENDU=1)*(xlRTCLEQCL=$D1152),0))</f>
        <v>DIST_RAD</v>
      </c>
      <c r="W1152" s="7" t="str">
        <f t="array" ref="W1152">INDEX(xlRTCLNAME,MATCH(1,(xlRTCLENDU=2)*(xlRTCLEQCL=$F1152),0))</f>
        <v>CENT_AIR</v>
      </c>
      <c r="X1152" s="7" t="str">
        <f t="array" ref="X1152">INDEX(xlRTTYNAME,MATCH(1,(xlRTTYENDU=1)*(xlRTTYEQCL=$D1152)*(xlRTEQTYPE=$E1152),0))</f>
        <v>DIST_RAD3</v>
      </c>
      <c r="Y1152" s="7" t="str">
        <f t="array" ref="Y1152">INDEX(xlRTTYNAME,MATCH(1,(xlRTTYENDU=2)*(xlRTTYEQCL=$F1152)*(xlRTEQTYPE=$G1152),0))</f>
        <v>CENT_AIR3</v>
      </c>
    </row>
    <row r="1153" spans="2:25" ht="14.25" customHeight="1" x14ac:dyDescent="0.2">
      <c r="B1153" s="5">
        <v>7</v>
      </c>
      <c r="C1153" s="5">
        <v>2</v>
      </c>
      <c r="D1153" s="5">
        <v>8</v>
      </c>
      <c r="E1153" s="31">
        <v>27</v>
      </c>
      <c r="F1153" s="5">
        <v>2</v>
      </c>
      <c r="G1153" s="31">
        <v>6</v>
      </c>
      <c r="H1153" s="31">
        <v>2020</v>
      </c>
      <c r="I1153" s="5">
        <v>2050</v>
      </c>
      <c r="J1153" s="142">
        <v>1.1200000000000001</v>
      </c>
      <c r="K1153" s="142">
        <v>1.0462</v>
      </c>
      <c r="L1153" s="142">
        <v>1.2438</v>
      </c>
      <c r="M1153" s="142">
        <v>1.1604000000000001</v>
      </c>
      <c r="N1153" s="142">
        <v>1.4438</v>
      </c>
      <c r="O1153" s="142">
        <v>1.0538000000000001</v>
      </c>
      <c r="P1153" s="26">
        <v>2010.0787101285</v>
      </c>
      <c r="Q1153" s="35">
        <f t="array" ref="Q1153">SUM(IF(($S1153&gt;=4)*($C1153='TaxCred&amp;Subs'!$D$114:$D$121)*($H1153='TaxCred&amp;Subs'!$C$114:$C$121)*($H1153&lt;='TaxCred&amp;Subs'!$C$123),'TaxCred&amp;Subs'!$E$114:$E$121,0))</f>
        <v>0</v>
      </c>
      <c r="R1153" s="143">
        <v>0</v>
      </c>
      <c r="S1153" s="5">
        <v>3</v>
      </c>
      <c r="T1153" s="5" t="s">
        <v>239</v>
      </c>
      <c r="V1153" s="7" t="str">
        <f t="array" ref="V1153">INDEX(xlRTCLNAME,MATCH(1,(xlRTCLENDU=1)*(xlRTCLEQCL=$D1153),0))</f>
        <v>DIST_RAD</v>
      </c>
      <c r="W1153" s="7" t="str">
        <f t="array" ref="W1153">INDEX(xlRTCLNAME,MATCH(1,(xlRTCLENDU=2)*(xlRTCLEQCL=$F1153),0))</f>
        <v>CENT_AIR</v>
      </c>
      <c r="X1153" s="7" t="str">
        <f t="array" ref="X1153">INDEX(xlRTTYNAME,MATCH(1,(xlRTTYENDU=1)*(xlRTTYEQCL=$D1153)*(xlRTEQTYPE=$E1153),0))</f>
        <v>DIST_RAD3</v>
      </c>
      <c r="Y1153" s="7" t="str">
        <f t="array" ref="Y1153">INDEX(xlRTTYNAME,MATCH(1,(xlRTTYENDU=2)*(xlRTTYEQCL=$F1153)*(xlRTEQTYPE=$G1153),0))</f>
        <v>CENT_AIR3</v>
      </c>
    </row>
    <row r="1154" spans="2:25" ht="14.25" customHeight="1" x14ac:dyDescent="0.2">
      <c r="B1154" s="5">
        <v>8</v>
      </c>
      <c r="C1154" s="5">
        <v>2</v>
      </c>
      <c r="D1154" s="5">
        <v>8</v>
      </c>
      <c r="E1154" s="31">
        <v>27</v>
      </c>
      <c r="F1154" s="5">
        <v>2</v>
      </c>
      <c r="G1154" s="31">
        <v>6</v>
      </c>
      <c r="H1154" s="31">
        <v>2020</v>
      </c>
      <c r="I1154" s="5">
        <v>2050</v>
      </c>
      <c r="J1154" s="142">
        <v>1.1045</v>
      </c>
      <c r="K1154" s="142">
        <v>1.0323</v>
      </c>
      <c r="L1154" s="142">
        <v>0.9597</v>
      </c>
      <c r="M1154" s="142">
        <v>1.2739</v>
      </c>
      <c r="N1154" s="142">
        <v>1.2847999999999999</v>
      </c>
      <c r="O1154" s="142">
        <v>1.0538000000000001</v>
      </c>
      <c r="P1154" s="26">
        <v>3295.4534572073267</v>
      </c>
      <c r="Q1154" s="35">
        <f t="array" ref="Q1154">SUM(IF(($S1154&gt;=4)*($C1154='TaxCred&amp;Subs'!$D$114:$D$121)*($H1154='TaxCred&amp;Subs'!$C$114:$C$121)*($H1154&lt;='TaxCred&amp;Subs'!$C$123),'TaxCred&amp;Subs'!$E$114:$E$121,0))</f>
        <v>0</v>
      </c>
      <c r="R1154" s="143">
        <v>0</v>
      </c>
      <c r="S1154" s="5">
        <v>3</v>
      </c>
      <c r="T1154" s="5" t="s">
        <v>239</v>
      </c>
      <c r="V1154" s="7" t="str">
        <f t="array" ref="V1154">INDEX(xlRTCLNAME,MATCH(1,(xlRTCLENDU=1)*(xlRTCLEQCL=$D1154),0))</f>
        <v>DIST_RAD</v>
      </c>
      <c r="W1154" s="7" t="str">
        <f t="array" ref="W1154">INDEX(xlRTCLNAME,MATCH(1,(xlRTCLENDU=2)*(xlRTCLEQCL=$F1154),0))</f>
        <v>CENT_AIR</v>
      </c>
      <c r="X1154" s="7" t="str">
        <f t="array" ref="X1154">INDEX(xlRTTYNAME,MATCH(1,(xlRTTYENDU=1)*(xlRTTYEQCL=$D1154)*(xlRTEQTYPE=$E1154),0))</f>
        <v>DIST_RAD3</v>
      </c>
      <c r="Y1154" s="7" t="str">
        <f t="array" ref="Y1154">INDEX(xlRTTYNAME,MATCH(1,(xlRTTYENDU=2)*(xlRTTYEQCL=$F1154)*(xlRTEQTYPE=$G1154),0))</f>
        <v>CENT_AIR3</v>
      </c>
    </row>
    <row r="1155" spans="2:25" ht="14.25" customHeight="1" x14ac:dyDescent="0.2">
      <c r="B1155" s="5">
        <v>9</v>
      </c>
      <c r="C1155" s="5">
        <v>2</v>
      </c>
      <c r="D1155" s="5">
        <v>8</v>
      </c>
      <c r="E1155" s="31">
        <v>27</v>
      </c>
      <c r="F1155" s="5">
        <v>2</v>
      </c>
      <c r="G1155" s="31">
        <v>6</v>
      </c>
      <c r="H1155" s="31">
        <v>2020</v>
      </c>
      <c r="I1155" s="5">
        <v>2050</v>
      </c>
      <c r="J1155" s="142">
        <v>1.1200000000000001</v>
      </c>
      <c r="K1155" s="142">
        <v>1.0541</v>
      </c>
      <c r="L1155" s="142">
        <v>0.74380000000000002</v>
      </c>
      <c r="M1155" s="142">
        <v>1.2</v>
      </c>
      <c r="N1155" s="142">
        <v>1.4438</v>
      </c>
      <c r="O1155" s="142">
        <v>1.0538000000000001</v>
      </c>
      <c r="P1155" s="26">
        <v>2894.7822494358934</v>
      </c>
      <c r="Q1155" s="35">
        <f t="array" ref="Q1155">SUM(IF(($S1155&gt;=4)*($C1155='TaxCred&amp;Subs'!$D$114:$D$121)*($H1155='TaxCred&amp;Subs'!$C$114:$C$121)*($H1155&lt;='TaxCred&amp;Subs'!$C$123),'TaxCred&amp;Subs'!$E$114:$E$121,0))</f>
        <v>0</v>
      </c>
      <c r="R1155" s="143">
        <v>0</v>
      </c>
      <c r="S1155" s="5">
        <v>3</v>
      </c>
      <c r="T1155" s="5" t="s">
        <v>239</v>
      </c>
      <c r="V1155" s="7" t="str">
        <f t="array" ref="V1155">INDEX(xlRTCLNAME,MATCH(1,(xlRTCLENDU=1)*(xlRTCLEQCL=$D1155),0))</f>
        <v>DIST_RAD</v>
      </c>
      <c r="W1155" s="7" t="str">
        <f t="array" ref="W1155">INDEX(xlRTCLNAME,MATCH(1,(xlRTCLENDU=2)*(xlRTCLEQCL=$F1155),0))</f>
        <v>CENT_AIR</v>
      </c>
      <c r="X1155" s="7" t="str">
        <f t="array" ref="X1155">INDEX(xlRTTYNAME,MATCH(1,(xlRTTYENDU=1)*(xlRTTYEQCL=$D1155)*(xlRTEQTYPE=$E1155),0))</f>
        <v>DIST_RAD3</v>
      </c>
      <c r="Y1155" s="7" t="str">
        <f t="array" ref="Y1155">INDEX(xlRTTYNAME,MATCH(1,(xlRTTYENDU=2)*(xlRTTYEQCL=$F1155)*(xlRTEQTYPE=$G1155),0))</f>
        <v>CENT_AIR3</v>
      </c>
    </row>
    <row r="1156" spans="2:25" ht="14.25" customHeight="1" x14ac:dyDescent="0.2">
      <c r="B1156" s="5">
        <v>1</v>
      </c>
      <c r="C1156" s="5">
        <v>2</v>
      </c>
      <c r="D1156" s="5">
        <v>9</v>
      </c>
      <c r="E1156" s="31">
        <v>29</v>
      </c>
      <c r="F1156" s="5">
        <v>2</v>
      </c>
      <c r="G1156" s="31">
        <v>6</v>
      </c>
      <c r="H1156" s="31">
        <v>2020</v>
      </c>
      <c r="I1156" s="5">
        <v>2050</v>
      </c>
      <c r="J1156" s="142">
        <v>1.0864</v>
      </c>
      <c r="K1156" s="142">
        <v>1.0417000000000001</v>
      </c>
      <c r="L1156" s="142">
        <v>1.0046999999999999</v>
      </c>
      <c r="M1156" s="142">
        <v>1.1455</v>
      </c>
      <c r="N1156" s="142">
        <v>1.1156999999999999</v>
      </c>
      <c r="O1156" s="142">
        <v>1.0538000000000001</v>
      </c>
      <c r="P1156" s="26">
        <v>4153.2663114293891</v>
      </c>
      <c r="Q1156" s="35">
        <f t="array" ref="Q1156">SUM(IF(($S1156&gt;=4)*($C1156='TaxCred&amp;Subs'!$D$114:$D$121)*($H1156='TaxCred&amp;Subs'!$C$114:$C$121)*($H1156&lt;='TaxCred&amp;Subs'!$C$123),'TaxCred&amp;Subs'!$E$114:$E$121,0))</f>
        <v>0</v>
      </c>
      <c r="R1156" s="143">
        <v>0</v>
      </c>
      <c r="S1156" s="5">
        <v>3</v>
      </c>
      <c r="T1156" s="5" t="s">
        <v>239</v>
      </c>
      <c r="V1156" s="7" t="str">
        <f t="array" ref="V1156">INDEX(xlRTCLNAME,MATCH(1,(xlRTCLENDU=1)*(xlRTCLEQCL=$D1156),0))</f>
        <v>WOOD_HT</v>
      </c>
      <c r="W1156" s="7" t="str">
        <f t="array" ref="W1156">INDEX(xlRTCLNAME,MATCH(1,(xlRTCLENDU=2)*(xlRTCLEQCL=$F1156),0))</f>
        <v>CENT_AIR</v>
      </c>
      <c r="X1156" s="7" t="str">
        <f t="array" ref="X1156">INDEX(xlRTTYNAME,MATCH(1,(xlRTTYENDU=1)*(xlRTTYEQCL=$D1156)*(xlRTEQTYPE=$E1156),0))</f>
        <v>WOOD_HT2</v>
      </c>
      <c r="Y1156" s="7" t="str">
        <f t="array" ref="Y1156">INDEX(xlRTTYNAME,MATCH(1,(xlRTTYENDU=2)*(xlRTTYEQCL=$F1156)*(xlRTEQTYPE=$G1156),0))</f>
        <v>CENT_AIR3</v>
      </c>
    </row>
    <row r="1157" spans="2:25" ht="14.25" customHeight="1" x14ac:dyDescent="0.2">
      <c r="B1157" s="5">
        <v>2</v>
      </c>
      <c r="C1157" s="5">
        <v>2</v>
      </c>
      <c r="D1157" s="5">
        <v>9</v>
      </c>
      <c r="E1157" s="31">
        <v>29</v>
      </c>
      <c r="F1157" s="5">
        <v>2</v>
      </c>
      <c r="G1157" s="31">
        <v>6</v>
      </c>
      <c r="H1157" s="31">
        <v>2020</v>
      </c>
      <c r="I1157" s="5">
        <v>2050</v>
      </c>
      <c r="J1157" s="142">
        <v>1.0891</v>
      </c>
      <c r="K1157" s="142">
        <v>1.0713999999999999</v>
      </c>
      <c r="L1157" s="142">
        <v>1.0127999999999999</v>
      </c>
      <c r="M1157" s="142">
        <v>1.1834</v>
      </c>
      <c r="N1157" s="142">
        <v>1.1254999999999999</v>
      </c>
      <c r="O1157" s="142">
        <v>1.0538000000000001</v>
      </c>
      <c r="P1157" s="26">
        <v>3038.6474146424148</v>
      </c>
      <c r="Q1157" s="35">
        <f t="array" ref="Q1157">SUM(IF(($S1157&gt;=4)*($C1157='TaxCred&amp;Subs'!$D$114:$D$121)*($H1157='TaxCred&amp;Subs'!$C$114:$C$121)*($H1157&lt;='TaxCred&amp;Subs'!$C$123),'TaxCred&amp;Subs'!$E$114:$E$121,0))</f>
        <v>0</v>
      </c>
      <c r="R1157" s="143">
        <v>0</v>
      </c>
      <c r="S1157" s="5">
        <v>3</v>
      </c>
      <c r="T1157" s="5" t="s">
        <v>239</v>
      </c>
      <c r="V1157" s="7" t="str">
        <f t="array" ref="V1157">INDEX(xlRTCLNAME,MATCH(1,(xlRTCLENDU=1)*(xlRTCLEQCL=$D1157),0))</f>
        <v>WOOD_HT</v>
      </c>
      <c r="W1157" s="7" t="str">
        <f t="array" ref="W1157">INDEX(xlRTCLNAME,MATCH(1,(xlRTCLENDU=2)*(xlRTCLEQCL=$F1157),0))</f>
        <v>CENT_AIR</v>
      </c>
      <c r="X1157" s="7" t="str">
        <f t="array" ref="X1157">INDEX(xlRTTYNAME,MATCH(1,(xlRTTYENDU=1)*(xlRTTYEQCL=$D1157)*(xlRTEQTYPE=$E1157),0))</f>
        <v>WOOD_HT2</v>
      </c>
      <c r="Y1157" s="7" t="str">
        <f t="array" ref="Y1157">INDEX(xlRTTYNAME,MATCH(1,(xlRTTYENDU=2)*(xlRTTYEQCL=$F1157)*(xlRTEQTYPE=$G1157),0))</f>
        <v>CENT_AIR3</v>
      </c>
    </row>
    <row r="1158" spans="2:25" ht="14.25" customHeight="1" x14ac:dyDescent="0.2">
      <c r="B1158" s="5">
        <v>3</v>
      </c>
      <c r="C1158" s="5">
        <v>2</v>
      </c>
      <c r="D1158" s="5">
        <v>9</v>
      </c>
      <c r="E1158" s="31">
        <v>29</v>
      </c>
      <c r="F1158" s="5">
        <v>2</v>
      </c>
      <c r="G1158" s="31">
        <v>6</v>
      </c>
      <c r="H1158" s="31">
        <v>2020</v>
      </c>
      <c r="I1158" s="5">
        <v>2050</v>
      </c>
      <c r="J1158" s="142">
        <v>1.0962000000000001</v>
      </c>
      <c r="K1158" s="142">
        <v>1.0345</v>
      </c>
      <c r="L1158" s="142">
        <v>0.83919999999999995</v>
      </c>
      <c r="M1158" s="142">
        <v>1.0828</v>
      </c>
      <c r="N1158" s="142">
        <v>1.0417000000000001</v>
      </c>
      <c r="O1158" s="142">
        <v>1.0538000000000001</v>
      </c>
      <c r="P1158" s="26">
        <v>3572.4275135862376</v>
      </c>
      <c r="Q1158" s="35">
        <f t="array" ref="Q1158">SUM(IF(($S1158&gt;=4)*($C1158='TaxCred&amp;Subs'!$D$114:$D$121)*($H1158='TaxCred&amp;Subs'!$C$114:$C$121)*($H1158&lt;='TaxCred&amp;Subs'!$C$123),'TaxCred&amp;Subs'!$E$114:$E$121,0))</f>
        <v>0</v>
      </c>
      <c r="R1158" s="143">
        <v>0</v>
      </c>
      <c r="S1158" s="5">
        <v>3</v>
      </c>
      <c r="T1158" s="5" t="s">
        <v>239</v>
      </c>
      <c r="V1158" s="7" t="str">
        <f t="array" ref="V1158">INDEX(xlRTCLNAME,MATCH(1,(xlRTCLENDU=1)*(xlRTCLEQCL=$D1158),0))</f>
        <v>WOOD_HT</v>
      </c>
      <c r="W1158" s="7" t="str">
        <f t="array" ref="W1158">INDEX(xlRTCLNAME,MATCH(1,(xlRTCLENDU=2)*(xlRTCLEQCL=$F1158),0))</f>
        <v>CENT_AIR</v>
      </c>
      <c r="X1158" s="7" t="str">
        <f t="array" ref="X1158">INDEX(xlRTTYNAME,MATCH(1,(xlRTTYENDU=1)*(xlRTTYEQCL=$D1158)*(xlRTEQTYPE=$E1158),0))</f>
        <v>WOOD_HT2</v>
      </c>
      <c r="Y1158" s="7" t="str">
        <f t="array" ref="Y1158">INDEX(xlRTTYNAME,MATCH(1,(xlRTTYENDU=2)*(xlRTTYEQCL=$F1158)*(xlRTEQTYPE=$G1158),0))</f>
        <v>CENT_AIR3</v>
      </c>
    </row>
    <row r="1159" spans="2:25" ht="14.25" customHeight="1" x14ac:dyDescent="0.2">
      <c r="B1159" s="5">
        <v>4</v>
      </c>
      <c r="C1159" s="5">
        <v>2</v>
      </c>
      <c r="D1159" s="5">
        <v>9</v>
      </c>
      <c r="E1159" s="31">
        <v>29</v>
      </c>
      <c r="F1159" s="5">
        <v>2</v>
      </c>
      <c r="G1159" s="31">
        <v>6</v>
      </c>
      <c r="H1159" s="31">
        <v>2020</v>
      </c>
      <c r="I1159" s="5">
        <v>2050</v>
      </c>
      <c r="J1159" s="142">
        <v>1.1024</v>
      </c>
      <c r="K1159" s="142">
        <v>1.0435000000000001</v>
      </c>
      <c r="L1159" s="142">
        <v>0.99209999999999998</v>
      </c>
      <c r="M1159" s="142">
        <v>1.1499999999999999</v>
      </c>
      <c r="N1159" s="142">
        <v>1.1678999999999999</v>
      </c>
      <c r="O1159" s="142">
        <v>1.0538000000000001</v>
      </c>
      <c r="P1159" s="26">
        <v>3092.4287848130771</v>
      </c>
      <c r="Q1159" s="35">
        <f t="array" ref="Q1159">SUM(IF(($S1159&gt;=4)*($C1159='TaxCred&amp;Subs'!$D$114:$D$121)*($H1159='TaxCred&amp;Subs'!$C$114:$C$121)*($H1159&lt;='TaxCred&amp;Subs'!$C$123),'TaxCred&amp;Subs'!$E$114:$E$121,0))</f>
        <v>0</v>
      </c>
      <c r="R1159" s="143">
        <v>0</v>
      </c>
      <c r="S1159" s="5">
        <v>3</v>
      </c>
      <c r="T1159" s="5" t="s">
        <v>239</v>
      </c>
      <c r="V1159" s="7" t="str">
        <f t="array" ref="V1159">INDEX(xlRTCLNAME,MATCH(1,(xlRTCLENDU=1)*(xlRTCLEQCL=$D1159),0))</f>
        <v>WOOD_HT</v>
      </c>
      <c r="W1159" s="7" t="str">
        <f t="array" ref="W1159">INDEX(xlRTCLNAME,MATCH(1,(xlRTCLENDU=2)*(xlRTCLEQCL=$F1159),0))</f>
        <v>CENT_AIR</v>
      </c>
      <c r="X1159" s="7" t="str">
        <f t="array" ref="X1159">INDEX(xlRTTYNAME,MATCH(1,(xlRTTYENDU=1)*(xlRTTYEQCL=$D1159)*(xlRTEQTYPE=$E1159),0))</f>
        <v>WOOD_HT2</v>
      </c>
      <c r="Y1159" s="7" t="str">
        <f t="array" ref="Y1159">INDEX(xlRTTYNAME,MATCH(1,(xlRTTYENDU=2)*(xlRTTYEQCL=$F1159)*(xlRTEQTYPE=$G1159),0))</f>
        <v>CENT_AIR3</v>
      </c>
    </row>
    <row r="1160" spans="2:25" ht="14.25" customHeight="1" x14ac:dyDescent="0.2">
      <c r="B1160" s="5">
        <v>5</v>
      </c>
      <c r="C1160" s="5">
        <v>2</v>
      </c>
      <c r="D1160" s="5">
        <v>9</v>
      </c>
      <c r="E1160" s="31">
        <v>29</v>
      </c>
      <c r="F1160" s="5">
        <v>2</v>
      </c>
      <c r="G1160" s="31">
        <v>6</v>
      </c>
      <c r="H1160" s="31">
        <v>2020</v>
      </c>
      <c r="I1160" s="5">
        <v>2050</v>
      </c>
      <c r="J1160" s="142">
        <v>1.03</v>
      </c>
      <c r="K1160" s="142">
        <v>1.03</v>
      </c>
      <c r="L1160" s="142">
        <v>0.67459999999999998</v>
      </c>
      <c r="M1160" s="142">
        <v>1.1097999999999999</v>
      </c>
      <c r="N1160" s="142">
        <v>1.3003</v>
      </c>
      <c r="O1160" s="142">
        <v>1.0538000000000001</v>
      </c>
      <c r="P1160" s="26">
        <v>2515.6235897327247</v>
      </c>
      <c r="Q1160" s="35">
        <f t="array" ref="Q1160">SUM(IF(($S1160&gt;=4)*($C1160='TaxCred&amp;Subs'!$D$114:$D$121)*($H1160='TaxCred&amp;Subs'!$C$114:$C$121)*($H1160&lt;='TaxCred&amp;Subs'!$C$123),'TaxCred&amp;Subs'!$E$114:$E$121,0))</f>
        <v>0</v>
      </c>
      <c r="R1160" s="143">
        <v>0</v>
      </c>
      <c r="S1160" s="5">
        <v>3</v>
      </c>
      <c r="T1160" s="5" t="s">
        <v>239</v>
      </c>
      <c r="V1160" s="7" t="str">
        <f t="array" ref="V1160">INDEX(xlRTCLNAME,MATCH(1,(xlRTCLENDU=1)*(xlRTCLEQCL=$D1160),0))</f>
        <v>WOOD_HT</v>
      </c>
      <c r="W1160" s="7" t="str">
        <f t="array" ref="W1160">INDEX(xlRTCLNAME,MATCH(1,(xlRTCLENDU=2)*(xlRTCLEQCL=$F1160),0))</f>
        <v>CENT_AIR</v>
      </c>
      <c r="X1160" s="7" t="str">
        <f t="array" ref="X1160">INDEX(xlRTTYNAME,MATCH(1,(xlRTTYENDU=1)*(xlRTTYEQCL=$D1160)*(xlRTEQTYPE=$E1160),0))</f>
        <v>WOOD_HT2</v>
      </c>
      <c r="Y1160" s="7" t="str">
        <f t="array" ref="Y1160">INDEX(xlRTTYNAME,MATCH(1,(xlRTTYENDU=2)*(xlRTTYEQCL=$F1160)*(xlRTEQTYPE=$G1160),0))</f>
        <v>CENT_AIR3</v>
      </c>
    </row>
    <row r="1161" spans="2:25" ht="14.25" customHeight="1" x14ac:dyDescent="0.2">
      <c r="B1161" s="5">
        <v>6</v>
      </c>
      <c r="C1161" s="5">
        <v>2</v>
      </c>
      <c r="D1161" s="5">
        <v>9</v>
      </c>
      <c r="E1161" s="31">
        <v>29</v>
      </c>
      <c r="F1161" s="5">
        <v>2</v>
      </c>
      <c r="G1161" s="31">
        <v>6</v>
      </c>
      <c r="H1161" s="31">
        <v>2020</v>
      </c>
      <c r="I1161" s="5">
        <v>2050</v>
      </c>
      <c r="J1161" s="142">
        <v>1.1200000000000001</v>
      </c>
      <c r="K1161" s="142">
        <v>1.0417000000000001</v>
      </c>
      <c r="L1161" s="142">
        <v>1.0238</v>
      </c>
      <c r="M1161" s="142">
        <v>1.1568000000000001</v>
      </c>
      <c r="N1161" s="142">
        <v>1.3656999999999999</v>
      </c>
      <c r="O1161" s="142">
        <v>1.0538000000000001</v>
      </c>
      <c r="P1161" s="26">
        <v>2733.438138923907</v>
      </c>
      <c r="Q1161" s="35">
        <f t="array" ref="Q1161">SUM(IF(($S1161&gt;=4)*($C1161='TaxCred&amp;Subs'!$D$114:$D$121)*($H1161='TaxCred&amp;Subs'!$C$114:$C$121)*($H1161&lt;='TaxCred&amp;Subs'!$C$123),'TaxCred&amp;Subs'!$E$114:$E$121,0))</f>
        <v>0</v>
      </c>
      <c r="R1161" s="143">
        <v>0</v>
      </c>
      <c r="S1161" s="5">
        <v>3</v>
      </c>
      <c r="T1161" s="5" t="s">
        <v>239</v>
      </c>
      <c r="V1161" s="7" t="str">
        <f t="array" ref="V1161">INDEX(xlRTCLNAME,MATCH(1,(xlRTCLENDU=1)*(xlRTCLEQCL=$D1161),0))</f>
        <v>WOOD_HT</v>
      </c>
      <c r="W1161" s="7" t="str">
        <f t="array" ref="W1161">INDEX(xlRTCLNAME,MATCH(1,(xlRTCLENDU=2)*(xlRTCLEQCL=$F1161),0))</f>
        <v>CENT_AIR</v>
      </c>
      <c r="X1161" s="7" t="str">
        <f t="array" ref="X1161">INDEX(xlRTTYNAME,MATCH(1,(xlRTTYENDU=1)*(xlRTTYEQCL=$D1161)*(xlRTEQTYPE=$E1161),0))</f>
        <v>WOOD_HT2</v>
      </c>
      <c r="Y1161" s="7" t="str">
        <f t="array" ref="Y1161">INDEX(xlRTTYNAME,MATCH(1,(xlRTTYENDU=2)*(xlRTTYEQCL=$F1161)*(xlRTEQTYPE=$G1161),0))</f>
        <v>CENT_AIR3</v>
      </c>
    </row>
    <row r="1162" spans="2:25" ht="14.25" customHeight="1" x14ac:dyDescent="0.2">
      <c r="B1162" s="5">
        <v>7</v>
      </c>
      <c r="C1162" s="5">
        <v>2</v>
      </c>
      <c r="D1162" s="5">
        <v>9</v>
      </c>
      <c r="E1162" s="31">
        <v>29</v>
      </c>
      <c r="F1162" s="5">
        <v>2</v>
      </c>
      <c r="G1162" s="31">
        <v>6</v>
      </c>
      <c r="H1162" s="31">
        <v>2020</v>
      </c>
      <c r="I1162" s="5">
        <v>2050</v>
      </c>
      <c r="J1162" s="142">
        <v>1.1200000000000001</v>
      </c>
      <c r="K1162" s="142">
        <v>1.0462</v>
      </c>
      <c r="L1162" s="142">
        <v>1.2438</v>
      </c>
      <c r="M1162" s="142">
        <v>1.1604000000000001</v>
      </c>
      <c r="N1162" s="142">
        <v>1.4438</v>
      </c>
      <c r="O1162" s="142">
        <v>1.0538000000000001</v>
      </c>
      <c r="P1162" s="26">
        <v>2010.0787101285</v>
      </c>
      <c r="Q1162" s="35">
        <f t="array" ref="Q1162">SUM(IF(($S1162&gt;=4)*($C1162='TaxCred&amp;Subs'!$D$114:$D$121)*($H1162='TaxCred&amp;Subs'!$C$114:$C$121)*($H1162&lt;='TaxCred&amp;Subs'!$C$123),'TaxCred&amp;Subs'!$E$114:$E$121,0))</f>
        <v>0</v>
      </c>
      <c r="R1162" s="143">
        <v>0</v>
      </c>
      <c r="S1162" s="5">
        <v>3</v>
      </c>
      <c r="T1162" s="5" t="s">
        <v>239</v>
      </c>
      <c r="V1162" s="7" t="str">
        <f t="array" ref="V1162">INDEX(xlRTCLNAME,MATCH(1,(xlRTCLENDU=1)*(xlRTCLEQCL=$D1162),0))</f>
        <v>WOOD_HT</v>
      </c>
      <c r="W1162" s="7" t="str">
        <f t="array" ref="W1162">INDEX(xlRTCLNAME,MATCH(1,(xlRTCLENDU=2)*(xlRTCLEQCL=$F1162),0))</f>
        <v>CENT_AIR</v>
      </c>
      <c r="X1162" s="7" t="str">
        <f t="array" ref="X1162">INDEX(xlRTTYNAME,MATCH(1,(xlRTTYENDU=1)*(xlRTTYEQCL=$D1162)*(xlRTEQTYPE=$E1162),0))</f>
        <v>WOOD_HT2</v>
      </c>
      <c r="Y1162" s="7" t="str">
        <f t="array" ref="Y1162">INDEX(xlRTTYNAME,MATCH(1,(xlRTTYENDU=2)*(xlRTTYEQCL=$F1162)*(xlRTEQTYPE=$G1162),0))</f>
        <v>CENT_AIR3</v>
      </c>
    </row>
    <row r="1163" spans="2:25" ht="14.25" customHeight="1" x14ac:dyDescent="0.2">
      <c r="B1163" s="5">
        <v>8</v>
      </c>
      <c r="C1163" s="5">
        <v>2</v>
      </c>
      <c r="D1163" s="5">
        <v>9</v>
      </c>
      <c r="E1163" s="31">
        <v>29</v>
      </c>
      <c r="F1163" s="5">
        <v>2</v>
      </c>
      <c r="G1163" s="31">
        <v>6</v>
      </c>
      <c r="H1163" s="31">
        <v>2020</v>
      </c>
      <c r="I1163" s="5">
        <v>2050</v>
      </c>
      <c r="J1163" s="142">
        <v>1.1045</v>
      </c>
      <c r="K1163" s="142">
        <v>1.0323</v>
      </c>
      <c r="L1163" s="142">
        <v>0.9597</v>
      </c>
      <c r="M1163" s="142">
        <v>1.2739</v>
      </c>
      <c r="N1163" s="142">
        <v>1.2847999999999999</v>
      </c>
      <c r="O1163" s="142">
        <v>1.0538000000000001</v>
      </c>
      <c r="P1163" s="26">
        <v>3295.4534572073267</v>
      </c>
      <c r="Q1163" s="35">
        <f t="array" ref="Q1163">SUM(IF(($S1163&gt;=4)*($C1163='TaxCred&amp;Subs'!$D$114:$D$121)*($H1163='TaxCred&amp;Subs'!$C$114:$C$121)*($H1163&lt;='TaxCred&amp;Subs'!$C$123),'TaxCred&amp;Subs'!$E$114:$E$121,0))</f>
        <v>0</v>
      </c>
      <c r="R1163" s="143">
        <v>0</v>
      </c>
      <c r="S1163" s="5">
        <v>3</v>
      </c>
      <c r="T1163" s="5" t="s">
        <v>239</v>
      </c>
      <c r="V1163" s="7" t="str">
        <f t="array" ref="V1163">INDEX(xlRTCLNAME,MATCH(1,(xlRTCLENDU=1)*(xlRTCLEQCL=$D1163),0))</f>
        <v>WOOD_HT</v>
      </c>
      <c r="W1163" s="7" t="str">
        <f t="array" ref="W1163">INDEX(xlRTCLNAME,MATCH(1,(xlRTCLENDU=2)*(xlRTCLEQCL=$F1163),0))</f>
        <v>CENT_AIR</v>
      </c>
      <c r="X1163" s="7" t="str">
        <f t="array" ref="X1163">INDEX(xlRTTYNAME,MATCH(1,(xlRTTYENDU=1)*(xlRTTYEQCL=$D1163)*(xlRTEQTYPE=$E1163),0))</f>
        <v>WOOD_HT2</v>
      </c>
      <c r="Y1163" s="7" t="str">
        <f t="array" ref="Y1163">INDEX(xlRTTYNAME,MATCH(1,(xlRTTYENDU=2)*(xlRTTYEQCL=$F1163)*(xlRTEQTYPE=$G1163),0))</f>
        <v>CENT_AIR3</v>
      </c>
    </row>
    <row r="1164" spans="2:25" ht="14.25" customHeight="1" x14ac:dyDescent="0.2">
      <c r="B1164" s="5">
        <v>9</v>
      </c>
      <c r="C1164" s="5">
        <v>2</v>
      </c>
      <c r="D1164" s="5">
        <v>9</v>
      </c>
      <c r="E1164" s="31">
        <v>29</v>
      </c>
      <c r="F1164" s="5">
        <v>2</v>
      </c>
      <c r="G1164" s="31">
        <v>6</v>
      </c>
      <c r="H1164" s="31">
        <v>2020</v>
      </c>
      <c r="I1164" s="5">
        <v>2050</v>
      </c>
      <c r="J1164" s="142">
        <v>1.1200000000000001</v>
      </c>
      <c r="K1164" s="142">
        <v>1.0541</v>
      </c>
      <c r="L1164" s="142">
        <v>0.74380000000000002</v>
      </c>
      <c r="M1164" s="142">
        <v>1.2</v>
      </c>
      <c r="N1164" s="142">
        <v>1.4438</v>
      </c>
      <c r="O1164" s="142">
        <v>1.0538000000000001</v>
      </c>
      <c r="P1164" s="26">
        <v>2894.7822494358934</v>
      </c>
      <c r="Q1164" s="35">
        <f t="array" ref="Q1164">SUM(IF(($S1164&gt;=4)*($C1164='TaxCred&amp;Subs'!$D$114:$D$121)*($H1164='TaxCred&amp;Subs'!$C$114:$C$121)*($H1164&lt;='TaxCred&amp;Subs'!$C$123),'TaxCred&amp;Subs'!$E$114:$E$121,0))</f>
        <v>0</v>
      </c>
      <c r="R1164" s="143">
        <v>0</v>
      </c>
      <c r="S1164" s="5">
        <v>3</v>
      </c>
      <c r="T1164" s="5" t="s">
        <v>239</v>
      </c>
      <c r="V1164" s="7" t="str">
        <f t="array" ref="V1164">INDEX(xlRTCLNAME,MATCH(1,(xlRTCLENDU=1)*(xlRTCLEQCL=$D1164),0))</f>
        <v>WOOD_HT</v>
      </c>
      <c r="W1164" s="7" t="str">
        <f t="array" ref="W1164">INDEX(xlRTCLNAME,MATCH(1,(xlRTCLENDU=2)*(xlRTCLEQCL=$F1164),0))</f>
        <v>CENT_AIR</v>
      </c>
      <c r="X1164" s="7" t="str">
        <f t="array" ref="X1164">INDEX(xlRTTYNAME,MATCH(1,(xlRTTYENDU=1)*(xlRTTYEQCL=$D1164)*(xlRTEQTYPE=$E1164),0))</f>
        <v>WOOD_HT2</v>
      </c>
      <c r="Y1164" s="7" t="str">
        <f t="array" ref="Y1164">INDEX(xlRTTYNAME,MATCH(1,(xlRTTYENDU=2)*(xlRTTYEQCL=$F1164)*(xlRTEQTYPE=$G1164),0))</f>
        <v>CENT_AIR3</v>
      </c>
    </row>
    <row r="1165" spans="2:25" ht="14.25" customHeight="1" x14ac:dyDescent="0.2">
      <c r="B1165" s="5">
        <v>1</v>
      </c>
      <c r="C1165" s="5">
        <v>2</v>
      </c>
      <c r="D1165" s="5">
        <v>10</v>
      </c>
      <c r="E1165" s="31">
        <v>33</v>
      </c>
      <c r="F1165" s="5">
        <v>4</v>
      </c>
      <c r="G1165" s="31">
        <v>14</v>
      </c>
      <c r="H1165" s="31">
        <v>2020</v>
      </c>
      <c r="I1165" s="5">
        <v>2050</v>
      </c>
      <c r="J1165" s="142">
        <v>1.1111</v>
      </c>
      <c r="K1165" s="142">
        <v>1.0526</v>
      </c>
      <c r="L1165" s="142">
        <v>0.78380000000000005</v>
      </c>
      <c r="M1165" s="142">
        <v>1.1588000000000001</v>
      </c>
      <c r="N1165" s="142">
        <v>1.1356999999999999</v>
      </c>
      <c r="O1165" s="142">
        <v>1.0538000000000001</v>
      </c>
      <c r="P1165" s="26">
        <v>4278.3079970761792</v>
      </c>
      <c r="Q1165" s="35">
        <f t="array" ref="Q1165">SUM(IF(($S1165&gt;=4)*($C1165='TaxCred&amp;Subs'!$D$114:$D$121)*($H1165='TaxCred&amp;Subs'!$C$114:$C$121)*($H1165&lt;='TaxCred&amp;Subs'!$C$123),'TaxCred&amp;Subs'!$E$114:$E$121,0))</f>
        <v>0</v>
      </c>
      <c r="R1165" s="143">
        <v>0</v>
      </c>
      <c r="S1165" s="5">
        <v>3</v>
      </c>
      <c r="T1165" s="5" t="s">
        <v>239</v>
      </c>
      <c r="V1165" s="7" t="str">
        <f t="array" ref="V1165">INDEX(xlRTCLNAME,MATCH(1,(xlRTCLENDU=1)*(xlRTCLEQCL=$D1165),0))</f>
        <v>GEO_HP</v>
      </c>
      <c r="W1165" s="7" t="str">
        <f t="array" ref="W1165">INDEX(xlRTCLNAME,MATCH(1,(xlRTCLENDU=2)*(xlRTCLEQCL=$F1165),0))</f>
        <v>GEO_HP</v>
      </c>
      <c r="X1165" s="7" t="str">
        <f t="array" ref="X1165">INDEX(xlRTTYNAME,MATCH(1,(xlRTTYENDU=1)*(xlRTTYEQCL=$D1165)*(xlRTEQTYPE=$E1165),0))</f>
        <v>GEO_HP3</v>
      </c>
      <c r="Y1165" s="7" t="str">
        <f t="array" ref="Y1165">INDEX(xlRTTYNAME,MATCH(1,(xlRTTYENDU=2)*(xlRTTYEQCL=$F1165)*(xlRTEQTYPE=$G1165),0))</f>
        <v>GEO_HP3</v>
      </c>
    </row>
    <row r="1166" spans="2:25" ht="14.25" customHeight="1" x14ac:dyDescent="0.2">
      <c r="B1166" s="5">
        <v>2</v>
      </c>
      <c r="C1166" s="5">
        <v>2</v>
      </c>
      <c r="D1166" s="5">
        <v>10</v>
      </c>
      <c r="E1166" s="31">
        <v>33</v>
      </c>
      <c r="F1166" s="5">
        <v>4</v>
      </c>
      <c r="G1166" s="31">
        <v>14</v>
      </c>
      <c r="H1166" s="31">
        <v>2020</v>
      </c>
      <c r="I1166" s="5">
        <v>2050</v>
      </c>
      <c r="J1166" s="142">
        <v>1.0588</v>
      </c>
      <c r="K1166" s="142">
        <v>1.0455000000000001</v>
      </c>
      <c r="L1166" s="142">
        <v>0.8649</v>
      </c>
      <c r="M1166" s="142">
        <v>1.1527000000000001</v>
      </c>
      <c r="N1166" s="142">
        <v>1.1394</v>
      </c>
      <c r="O1166" s="142">
        <v>1.0538000000000001</v>
      </c>
      <c r="P1166" s="26">
        <v>3112.5967986270753</v>
      </c>
      <c r="Q1166" s="35">
        <f t="array" ref="Q1166">SUM(IF(($S1166&gt;=4)*($C1166='TaxCred&amp;Subs'!$D$114:$D$121)*($H1166='TaxCred&amp;Subs'!$C$114:$C$121)*($H1166&lt;='TaxCred&amp;Subs'!$C$123),'TaxCred&amp;Subs'!$E$114:$E$121,0))</f>
        <v>0</v>
      </c>
      <c r="R1166" s="143">
        <v>0</v>
      </c>
      <c r="S1166" s="5">
        <v>3</v>
      </c>
      <c r="T1166" s="5" t="s">
        <v>239</v>
      </c>
      <c r="V1166" s="7" t="str">
        <f t="array" ref="V1166">INDEX(xlRTCLNAME,MATCH(1,(xlRTCLENDU=1)*(xlRTCLEQCL=$D1166),0))</f>
        <v>GEO_HP</v>
      </c>
      <c r="W1166" s="7" t="str">
        <f t="array" ref="W1166">INDEX(xlRTCLNAME,MATCH(1,(xlRTCLENDU=2)*(xlRTCLEQCL=$F1166),0))</f>
        <v>GEO_HP</v>
      </c>
      <c r="X1166" s="7" t="str">
        <f t="array" ref="X1166">INDEX(xlRTTYNAME,MATCH(1,(xlRTTYENDU=1)*(xlRTTYEQCL=$D1166)*(xlRTEQTYPE=$E1166),0))</f>
        <v>GEO_HP3</v>
      </c>
      <c r="Y1166" s="7" t="str">
        <f t="array" ref="Y1166">INDEX(xlRTTYNAME,MATCH(1,(xlRTTYENDU=2)*(xlRTTYEQCL=$F1166)*(xlRTEQTYPE=$G1166),0))</f>
        <v>GEO_HP3</v>
      </c>
    </row>
    <row r="1167" spans="2:25" ht="14.25" customHeight="1" x14ac:dyDescent="0.2">
      <c r="B1167" s="5">
        <v>3</v>
      </c>
      <c r="C1167" s="5">
        <v>2</v>
      </c>
      <c r="D1167" s="5">
        <v>10</v>
      </c>
      <c r="E1167" s="31">
        <v>33</v>
      </c>
      <c r="F1167" s="5">
        <v>4</v>
      </c>
      <c r="G1167" s="31">
        <v>14</v>
      </c>
      <c r="H1167" s="31">
        <v>2020</v>
      </c>
      <c r="I1167" s="5">
        <v>2050</v>
      </c>
      <c r="J1167" s="142">
        <v>1.1000000000000001</v>
      </c>
      <c r="K1167" s="142">
        <v>1.03</v>
      </c>
      <c r="L1167" s="142">
        <v>0.77139999999999997</v>
      </c>
      <c r="M1167" s="142">
        <v>1.0772999999999999</v>
      </c>
      <c r="N1167" s="142">
        <v>1.0449999999999999</v>
      </c>
      <c r="O1167" s="142">
        <v>1.0538000000000001</v>
      </c>
      <c r="P1167" s="26">
        <v>3604.6963356886345</v>
      </c>
      <c r="Q1167" s="35">
        <f t="array" ref="Q1167">SUM(IF(($S1167&gt;=4)*($C1167='TaxCred&amp;Subs'!$D$114:$D$121)*($H1167='TaxCred&amp;Subs'!$C$114:$C$121)*($H1167&lt;='TaxCred&amp;Subs'!$C$123),'TaxCred&amp;Subs'!$E$114:$E$121,0))</f>
        <v>0</v>
      </c>
      <c r="R1167" s="143">
        <v>0</v>
      </c>
      <c r="S1167" s="5">
        <v>3</v>
      </c>
      <c r="T1167" s="5" t="s">
        <v>239</v>
      </c>
      <c r="V1167" s="7" t="str">
        <f t="array" ref="V1167">INDEX(xlRTCLNAME,MATCH(1,(xlRTCLENDU=1)*(xlRTCLEQCL=$D1167),0))</f>
        <v>GEO_HP</v>
      </c>
      <c r="W1167" s="7" t="str">
        <f t="array" ref="W1167">INDEX(xlRTCLNAME,MATCH(1,(xlRTCLENDU=2)*(xlRTCLEQCL=$F1167),0))</f>
        <v>GEO_HP</v>
      </c>
      <c r="X1167" s="7" t="str">
        <f t="array" ref="X1167">INDEX(xlRTTYNAME,MATCH(1,(xlRTTYENDU=1)*(xlRTTYEQCL=$D1167)*(xlRTEQTYPE=$E1167),0))</f>
        <v>GEO_HP3</v>
      </c>
      <c r="Y1167" s="7" t="str">
        <f t="array" ref="Y1167">INDEX(xlRTTYNAME,MATCH(1,(xlRTTYENDU=2)*(xlRTTYEQCL=$F1167)*(xlRTEQTYPE=$G1167),0))</f>
        <v>GEO_HP3</v>
      </c>
    </row>
    <row r="1168" spans="2:25" ht="14.25" customHeight="1" x14ac:dyDescent="0.2">
      <c r="B1168" s="5">
        <v>4</v>
      </c>
      <c r="C1168" s="5">
        <v>2</v>
      </c>
      <c r="D1168" s="5">
        <v>10</v>
      </c>
      <c r="E1168" s="31">
        <v>33</v>
      </c>
      <c r="F1168" s="5">
        <v>4</v>
      </c>
      <c r="G1168" s="31">
        <v>14</v>
      </c>
      <c r="H1168" s="31">
        <v>2020</v>
      </c>
      <c r="I1168" s="5">
        <v>2050</v>
      </c>
      <c r="J1168" s="142">
        <v>1.1033999999999999</v>
      </c>
      <c r="K1168" s="142">
        <v>1.0556000000000001</v>
      </c>
      <c r="L1168" s="142">
        <v>0.98229999999999995</v>
      </c>
      <c r="M1168" s="142">
        <v>1.1313</v>
      </c>
      <c r="N1168" s="142">
        <v>1.1753</v>
      </c>
      <c r="O1168" s="142">
        <v>1.0538000000000001</v>
      </c>
      <c r="P1168" s="26">
        <v>3092.4287848130771</v>
      </c>
      <c r="Q1168" s="35">
        <f t="array" ref="Q1168">SUM(IF(($S1168&gt;=4)*($C1168='TaxCred&amp;Subs'!$D$114:$D$121)*($H1168='TaxCred&amp;Subs'!$C$114:$C$121)*($H1168&lt;='TaxCred&amp;Subs'!$C$123),'TaxCred&amp;Subs'!$E$114:$E$121,0))</f>
        <v>0</v>
      </c>
      <c r="R1168" s="143">
        <v>0</v>
      </c>
      <c r="S1168" s="5">
        <v>3</v>
      </c>
      <c r="T1168" s="5" t="s">
        <v>239</v>
      </c>
      <c r="V1168" s="7" t="str">
        <f t="array" ref="V1168">INDEX(xlRTCLNAME,MATCH(1,(xlRTCLENDU=1)*(xlRTCLEQCL=$D1168),0))</f>
        <v>GEO_HP</v>
      </c>
      <c r="W1168" s="7" t="str">
        <f t="array" ref="W1168">INDEX(xlRTCLNAME,MATCH(1,(xlRTCLENDU=2)*(xlRTCLEQCL=$F1168),0))</f>
        <v>GEO_HP</v>
      </c>
      <c r="X1168" s="7" t="str">
        <f t="array" ref="X1168">INDEX(xlRTTYNAME,MATCH(1,(xlRTTYENDU=1)*(xlRTTYEQCL=$D1168)*(xlRTEQTYPE=$E1168),0))</f>
        <v>GEO_HP3</v>
      </c>
      <c r="Y1168" s="7" t="str">
        <f t="array" ref="Y1168">INDEX(xlRTTYNAME,MATCH(1,(xlRTTYENDU=2)*(xlRTTYEQCL=$F1168)*(xlRTEQTYPE=$G1168),0))</f>
        <v>GEO_HP3</v>
      </c>
    </row>
    <row r="1169" spans="2:25" ht="14.25" customHeight="1" x14ac:dyDescent="0.2">
      <c r="B1169" s="5">
        <v>5</v>
      </c>
      <c r="C1169" s="5">
        <v>2</v>
      </c>
      <c r="D1169" s="5">
        <v>10</v>
      </c>
      <c r="E1169" s="31">
        <v>33</v>
      </c>
      <c r="F1169" s="5">
        <v>4</v>
      </c>
      <c r="G1169" s="31">
        <v>14</v>
      </c>
      <c r="H1169" s="31">
        <v>2020</v>
      </c>
      <c r="I1169" s="5">
        <v>2050</v>
      </c>
      <c r="J1169" s="142">
        <v>1.03</v>
      </c>
      <c r="K1169" s="142">
        <v>1.0512999999999999</v>
      </c>
      <c r="L1169" s="142">
        <v>0.44379999999999997</v>
      </c>
      <c r="M1169" s="142">
        <v>1.1128</v>
      </c>
      <c r="N1169" s="142">
        <v>1.2490000000000001</v>
      </c>
      <c r="O1169" s="142">
        <v>1.0538000000000001</v>
      </c>
      <c r="P1169" s="26">
        <v>2757.6397555007047</v>
      </c>
      <c r="Q1169" s="35">
        <f t="array" ref="Q1169">SUM(IF(($S1169&gt;=4)*($C1169='TaxCred&amp;Subs'!$D$114:$D$121)*($H1169='TaxCred&amp;Subs'!$C$114:$C$121)*($H1169&lt;='TaxCred&amp;Subs'!$C$123),'TaxCred&amp;Subs'!$E$114:$E$121,0))</f>
        <v>0</v>
      </c>
      <c r="R1169" s="143">
        <v>0</v>
      </c>
      <c r="S1169" s="5">
        <v>3</v>
      </c>
      <c r="T1169" s="5" t="s">
        <v>239</v>
      </c>
      <c r="V1169" s="7" t="str">
        <f t="array" ref="V1169">INDEX(xlRTCLNAME,MATCH(1,(xlRTCLENDU=1)*(xlRTCLEQCL=$D1169),0))</f>
        <v>GEO_HP</v>
      </c>
      <c r="W1169" s="7" t="str">
        <f t="array" ref="W1169">INDEX(xlRTCLNAME,MATCH(1,(xlRTCLENDU=2)*(xlRTCLEQCL=$F1169),0))</f>
        <v>GEO_HP</v>
      </c>
      <c r="X1169" s="7" t="str">
        <f t="array" ref="X1169">INDEX(xlRTTYNAME,MATCH(1,(xlRTTYENDU=1)*(xlRTTYEQCL=$D1169)*(xlRTEQTYPE=$E1169),0))</f>
        <v>GEO_HP3</v>
      </c>
      <c r="Y1169" s="7" t="str">
        <f t="array" ref="Y1169">INDEX(xlRTTYNAME,MATCH(1,(xlRTTYENDU=2)*(xlRTTYEQCL=$F1169)*(xlRTEQTYPE=$G1169),0))</f>
        <v>GEO_HP3</v>
      </c>
    </row>
    <row r="1170" spans="2:25" ht="14.25" customHeight="1" x14ac:dyDescent="0.2">
      <c r="B1170" s="5">
        <v>6</v>
      </c>
      <c r="C1170" s="5">
        <v>2</v>
      </c>
      <c r="D1170" s="5">
        <v>10</v>
      </c>
      <c r="E1170" s="31">
        <v>33</v>
      </c>
      <c r="F1170" s="5">
        <v>4</v>
      </c>
      <c r="G1170" s="31">
        <v>14</v>
      </c>
      <c r="H1170" s="31">
        <v>2020</v>
      </c>
      <c r="I1170" s="5">
        <v>2050</v>
      </c>
      <c r="J1170" s="142">
        <v>1.1200000000000001</v>
      </c>
      <c r="K1170" s="142">
        <v>1.03</v>
      </c>
      <c r="L1170" s="142">
        <v>0.94379999999999997</v>
      </c>
      <c r="M1170" s="142">
        <v>1.1440999999999999</v>
      </c>
      <c r="N1170" s="142">
        <v>1.3656999999999999</v>
      </c>
      <c r="O1170" s="142">
        <v>1.0538000000000001</v>
      </c>
      <c r="P1170" s="26">
        <v>3038.6474146424148</v>
      </c>
      <c r="Q1170" s="35">
        <f t="array" ref="Q1170">SUM(IF(($S1170&gt;=4)*($C1170='TaxCred&amp;Subs'!$D$114:$D$121)*($H1170='TaxCred&amp;Subs'!$C$114:$C$121)*($H1170&lt;='TaxCred&amp;Subs'!$C$123),'TaxCred&amp;Subs'!$E$114:$E$121,0))</f>
        <v>0</v>
      </c>
      <c r="R1170" s="143">
        <v>0</v>
      </c>
      <c r="S1170" s="5">
        <v>3</v>
      </c>
      <c r="T1170" s="5" t="s">
        <v>239</v>
      </c>
      <c r="V1170" s="7" t="str">
        <f t="array" ref="V1170">INDEX(xlRTCLNAME,MATCH(1,(xlRTCLENDU=1)*(xlRTCLEQCL=$D1170),0))</f>
        <v>GEO_HP</v>
      </c>
      <c r="W1170" s="7" t="str">
        <f t="array" ref="W1170">INDEX(xlRTCLNAME,MATCH(1,(xlRTCLENDU=2)*(xlRTCLEQCL=$F1170),0))</f>
        <v>GEO_HP</v>
      </c>
      <c r="X1170" s="7" t="str">
        <f t="array" ref="X1170">INDEX(xlRTTYNAME,MATCH(1,(xlRTTYENDU=1)*(xlRTTYEQCL=$D1170)*(xlRTEQTYPE=$E1170),0))</f>
        <v>GEO_HP3</v>
      </c>
      <c r="Y1170" s="7" t="str">
        <f t="array" ref="Y1170">INDEX(xlRTTYNAME,MATCH(1,(xlRTTYENDU=2)*(xlRTTYEQCL=$F1170)*(xlRTEQTYPE=$G1170),0))</f>
        <v>GEO_HP3</v>
      </c>
    </row>
    <row r="1171" spans="2:25" ht="14.25" customHeight="1" x14ac:dyDescent="0.2">
      <c r="B1171" s="5">
        <v>7</v>
      </c>
      <c r="C1171" s="5">
        <v>2</v>
      </c>
      <c r="D1171" s="5">
        <v>10</v>
      </c>
      <c r="E1171" s="31">
        <v>33</v>
      </c>
      <c r="F1171" s="5">
        <v>4</v>
      </c>
      <c r="G1171" s="31">
        <v>14</v>
      </c>
      <c r="H1171" s="31">
        <v>2020</v>
      </c>
      <c r="I1171" s="5">
        <v>2050</v>
      </c>
      <c r="J1171" s="142">
        <v>1.03</v>
      </c>
      <c r="K1171" s="142">
        <v>1.0611999999999999</v>
      </c>
      <c r="L1171" s="142">
        <v>0.94379999999999997</v>
      </c>
      <c r="M1171" s="142">
        <v>1.1568000000000001</v>
      </c>
      <c r="N1171" s="142">
        <v>1.4438</v>
      </c>
      <c r="O1171" s="142">
        <v>1.0538000000000001</v>
      </c>
      <c r="P1171" s="26">
        <v>2032.9357924510314</v>
      </c>
      <c r="Q1171" s="35">
        <f t="array" ref="Q1171">SUM(IF(($S1171&gt;=4)*($C1171='TaxCred&amp;Subs'!$D$114:$D$121)*($H1171='TaxCred&amp;Subs'!$C$114:$C$121)*($H1171&lt;='TaxCred&amp;Subs'!$C$123),'TaxCred&amp;Subs'!$E$114:$E$121,0))</f>
        <v>0</v>
      </c>
      <c r="R1171" s="143">
        <v>0</v>
      </c>
      <c r="S1171" s="5">
        <v>3</v>
      </c>
      <c r="T1171" s="5" t="s">
        <v>239</v>
      </c>
      <c r="V1171" s="7" t="str">
        <f t="array" ref="V1171">INDEX(xlRTCLNAME,MATCH(1,(xlRTCLENDU=1)*(xlRTCLEQCL=$D1171),0))</f>
        <v>GEO_HP</v>
      </c>
      <c r="W1171" s="7" t="str">
        <f t="array" ref="W1171">INDEX(xlRTCLNAME,MATCH(1,(xlRTCLENDU=2)*(xlRTCLEQCL=$F1171),0))</f>
        <v>GEO_HP</v>
      </c>
      <c r="X1171" s="7" t="str">
        <f t="array" ref="X1171">INDEX(xlRTTYNAME,MATCH(1,(xlRTTYENDU=1)*(xlRTTYEQCL=$D1171)*(xlRTEQTYPE=$E1171),0))</f>
        <v>GEO_HP3</v>
      </c>
      <c r="Y1171" s="7" t="str">
        <f t="array" ref="Y1171">INDEX(xlRTTYNAME,MATCH(1,(xlRTTYENDU=2)*(xlRTTYEQCL=$F1171)*(xlRTEQTYPE=$G1171),0))</f>
        <v>GEO_HP3</v>
      </c>
    </row>
    <row r="1172" spans="2:25" ht="14.25" customHeight="1" x14ac:dyDescent="0.2">
      <c r="B1172" s="5">
        <v>8</v>
      </c>
      <c r="C1172" s="5">
        <v>2</v>
      </c>
      <c r="D1172" s="5">
        <v>10</v>
      </c>
      <c r="E1172" s="31">
        <v>33</v>
      </c>
      <c r="F1172" s="5">
        <v>4</v>
      </c>
      <c r="G1172" s="31">
        <v>14</v>
      </c>
      <c r="H1172" s="31">
        <v>2020</v>
      </c>
      <c r="I1172" s="5">
        <v>2050</v>
      </c>
      <c r="J1172" s="142">
        <v>1.1111</v>
      </c>
      <c r="K1172" s="142">
        <v>1.0417000000000001</v>
      </c>
      <c r="L1172" s="142">
        <v>0.7772</v>
      </c>
      <c r="M1172" s="142">
        <v>1.2388999999999999</v>
      </c>
      <c r="N1172" s="142">
        <v>1.2907</v>
      </c>
      <c r="O1172" s="142">
        <v>1.0538000000000001</v>
      </c>
      <c r="P1172" s="26">
        <v>3362.6801699206544</v>
      </c>
      <c r="Q1172" s="35">
        <f t="array" ref="Q1172">SUM(IF(($S1172&gt;=4)*($C1172='TaxCred&amp;Subs'!$D$114:$D$121)*($H1172='TaxCred&amp;Subs'!$C$114:$C$121)*($H1172&lt;='TaxCred&amp;Subs'!$C$123),'TaxCred&amp;Subs'!$E$114:$E$121,0))</f>
        <v>0</v>
      </c>
      <c r="R1172" s="143">
        <v>0</v>
      </c>
      <c r="S1172" s="5">
        <v>3</v>
      </c>
      <c r="T1172" s="5" t="s">
        <v>239</v>
      </c>
      <c r="V1172" s="7" t="str">
        <f t="array" ref="V1172">INDEX(xlRTCLNAME,MATCH(1,(xlRTCLENDU=1)*(xlRTCLEQCL=$D1172),0))</f>
        <v>GEO_HP</v>
      </c>
      <c r="W1172" s="7" t="str">
        <f t="array" ref="W1172">INDEX(xlRTCLNAME,MATCH(1,(xlRTCLENDU=2)*(xlRTCLEQCL=$F1172),0))</f>
        <v>GEO_HP</v>
      </c>
      <c r="X1172" s="7" t="str">
        <f t="array" ref="X1172">INDEX(xlRTTYNAME,MATCH(1,(xlRTTYENDU=1)*(xlRTTYEQCL=$D1172)*(xlRTEQTYPE=$E1172),0))</f>
        <v>GEO_HP3</v>
      </c>
      <c r="Y1172" s="7" t="str">
        <f t="array" ref="Y1172">INDEX(xlRTTYNAME,MATCH(1,(xlRTTYENDU=2)*(xlRTTYEQCL=$F1172)*(xlRTEQTYPE=$G1172),0))</f>
        <v>GEO_HP3</v>
      </c>
    </row>
    <row r="1173" spans="2:25" ht="14.25" customHeight="1" x14ac:dyDescent="0.2">
      <c r="B1173" s="5">
        <v>9</v>
      </c>
      <c r="C1173" s="5">
        <v>2</v>
      </c>
      <c r="D1173" s="5">
        <v>10</v>
      </c>
      <c r="E1173" s="31">
        <v>33</v>
      </c>
      <c r="F1173" s="5">
        <v>4</v>
      </c>
      <c r="G1173" s="31">
        <v>14</v>
      </c>
      <c r="H1173" s="31">
        <v>2020</v>
      </c>
      <c r="I1173" s="5">
        <v>2050</v>
      </c>
      <c r="J1173" s="142">
        <v>1.03</v>
      </c>
      <c r="K1173" s="142">
        <v>1.0741000000000001</v>
      </c>
      <c r="L1173" s="142">
        <v>0.44379999999999997</v>
      </c>
      <c r="M1173" s="142">
        <v>1.1909000000000001</v>
      </c>
      <c r="N1173" s="142">
        <v>1.4438</v>
      </c>
      <c r="O1173" s="142">
        <v>1.0538000000000001</v>
      </c>
      <c r="P1173" s="26">
        <v>4855.1131921565311</v>
      </c>
      <c r="Q1173" s="35">
        <f t="array" ref="Q1173">SUM(IF(($S1173&gt;=4)*($C1173='TaxCred&amp;Subs'!$D$114:$D$121)*($H1173='TaxCred&amp;Subs'!$C$114:$C$121)*($H1173&lt;='TaxCred&amp;Subs'!$C$123),'TaxCred&amp;Subs'!$E$114:$E$121,0))</f>
        <v>0</v>
      </c>
      <c r="R1173" s="143">
        <v>0</v>
      </c>
      <c r="S1173" s="5">
        <v>3</v>
      </c>
      <c r="T1173" s="5" t="s">
        <v>239</v>
      </c>
      <c r="V1173" s="7" t="str">
        <f t="array" ref="V1173">INDEX(xlRTCLNAME,MATCH(1,(xlRTCLENDU=1)*(xlRTCLEQCL=$D1173),0))</f>
        <v>GEO_HP</v>
      </c>
      <c r="W1173" s="7" t="str">
        <f t="array" ref="W1173">INDEX(xlRTCLNAME,MATCH(1,(xlRTCLENDU=2)*(xlRTCLEQCL=$F1173),0))</f>
        <v>GEO_HP</v>
      </c>
      <c r="X1173" s="7" t="str">
        <f t="array" ref="X1173">INDEX(xlRTTYNAME,MATCH(1,(xlRTTYENDU=1)*(xlRTTYEQCL=$D1173)*(xlRTEQTYPE=$E1173),0))</f>
        <v>GEO_HP3</v>
      </c>
      <c r="Y1173" s="7" t="str">
        <f t="array" ref="Y1173">INDEX(xlRTTYNAME,MATCH(1,(xlRTTYENDU=2)*(xlRTTYEQCL=$F1173)*(xlRTEQTYPE=$G1173),0))</f>
        <v>GEO_HP3</v>
      </c>
    </row>
    <row r="1174" spans="2:25" ht="14.25" customHeight="1" x14ac:dyDescent="0.2">
      <c r="B1174" s="5">
        <v>1</v>
      </c>
      <c r="C1174" s="5">
        <v>2</v>
      </c>
      <c r="D1174" s="5">
        <v>11</v>
      </c>
      <c r="E1174" s="31">
        <v>35</v>
      </c>
      <c r="F1174" s="5">
        <v>5</v>
      </c>
      <c r="G1174" s="31">
        <v>16</v>
      </c>
      <c r="H1174" s="31">
        <v>2020</v>
      </c>
      <c r="I1174" s="5">
        <v>2050</v>
      </c>
      <c r="J1174" s="142">
        <v>1.1042000000000001</v>
      </c>
      <c r="K1174" s="142">
        <v>1.0417000000000001</v>
      </c>
      <c r="L1174" s="142">
        <v>0.92490000000000006</v>
      </c>
      <c r="M1174" s="142">
        <v>1.1455</v>
      </c>
      <c r="N1174" s="142">
        <v>1.1127</v>
      </c>
      <c r="O1174" s="142">
        <v>1.0538000000000001</v>
      </c>
      <c r="P1174" s="26">
        <v>4194.9468733116528</v>
      </c>
      <c r="Q1174" s="35">
        <f t="array" ref="Q1174">SUM(IF(($S1174&gt;=4)*($C1174='TaxCred&amp;Subs'!$D$114:$D$121)*($H1174='TaxCred&amp;Subs'!$C$114:$C$121)*($H1174&lt;='TaxCred&amp;Subs'!$C$123),'TaxCred&amp;Subs'!$E$114:$E$121,0))</f>
        <v>0</v>
      </c>
      <c r="R1174" s="143">
        <v>0</v>
      </c>
      <c r="S1174" s="5">
        <v>3</v>
      </c>
      <c r="T1174" s="5" t="s">
        <v>239</v>
      </c>
      <c r="V1174" s="7" t="str">
        <f t="array" ref="V1174">INDEX(xlRTCLNAME,MATCH(1,(xlRTCLENDU=1)*(xlRTCLEQCL=$D1174),0))</f>
        <v>NG_HP</v>
      </c>
      <c r="W1174" s="7" t="str">
        <f t="array" ref="W1174">INDEX(xlRTCLNAME,MATCH(1,(xlRTCLENDU=2)*(xlRTCLEQCL=$F1174),0))</f>
        <v>NG_HP</v>
      </c>
      <c r="X1174" s="7" t="str">
        <f t="array" ref="X1174">INDEX(xlRTTYNAME,MATCH(1,(xlRTTYENDU=1)*(xlRTTYEQCL=$D1174)*(xlRTEQTYPE=$E1174),0))</f>
        <v>NG_HP2</v>
      </c>
      <c r="Y1174" s="7" t="str">
        <f t="array" ref="Y1174">INDEX(xlRTTYNAME,MATCH(1,(xlRTTYENDU=2)*(xlRTTYEQCL=$F1174)*(xlRTEQTYPE=$G1174),0))</f>
        <v>NG_HP2</v>
      </c>
    </row>
    <row r="1175" spans="2:25" ht="14.25" customHeight="1" x14ac:dyDescent="0.2">
      <c r="B1175" s="5">
        <v>2</v>
      </c>
      <c r="C1175" s="5">
        <v>2</v>
      </c>
      <c r="D1175" s="5">
        <v>11</v>
      </c>
      <c r="E1175" s="31">
        <v>35</v>
      </c>
      <c r="F1175" s="5">
        <v>5</v>
      </c>
      <c r="G1175" s="31">
        <v>16</v>
      </c>
      <c r="H1175" s="31">
        <v>2020</v>
      </c>
      <c r="I1175" s="5">
        <v>2050</v>
      </c>
      <c r="J1175" s="142">
        <v>1.0847</v>
      </c>
      <c r="K1175" s="142">
        <v>1.0357000000000001</v>
      </c>
      <c r="L1175" s="142">
        <v>0.99829999999999997</v>
      </c>
      <c r="M1175" s="142">
        <v>1.1834</v>
      </c>
      <c r="N1175" s="142">
        <v>1.1162000000000001</v>
      </c>
      <c r="O1175" s="142">
        <v>1.0538000000000001</v>
      </c>
      <c r="P1175" s="26">
        <v>3038.6474146424148</v>
      </c>
      <c r="Q1175" s="35">
        <f t="array" ref="Q1175">SUM(IF(($S1175&gt;=4)*($C1175='TaxCred&amp;Subs'!$D$114:$D$121)*($H1175='TaxCred&amp;Subs'!$C$114:$C$121)*($H1175&lt;='TaxCred&amp;Subs'!$C$123),'TaxCred&amp;Subs'!$E$114:$E$121,0))</f>
        <v>0</v>
      </c>
      <c r="R1175" s="143">
        <v>0</v>
      </c>
      <c r="S1175" s="5">
        <v>3</v>
      </c>
      <c r="T1175" s="5" t="s">
        <v>239</v>
      </c>
      <c r="V1175" s="7" t="str">
        <f t="array" ref="V1175">INDEX(xlRTCLNAME,MATCH(1,(xlRTCLENDU=1)*(xlRTCLEQCL=$D1175),0))</f>
        <v>NG_HP</v>
      </c>
      <c r="W1175" s="7" t="str">
        <f t="array" ref="W1175">INDEX(xlRTCLNAME,MATCH(1,(xlRTCLENDU=2)*(xlRTCLEQCL=$F1175),0))</f>
        <v>NG_HP</v>
      </c>
      <c r="X1175" s="7" t="str">
        <f t="array" ref="X1175">INDEX(xlRTTYNAME,MATCH(1,(xlRTTYENDU=1)*(xlRTTYEQCL=$D1175)*(xlRTEQTYPE=$E1175),0))</f>
        <v>NG_HP2</v>
      </c>
      <c r="Y1175" s="7" t="str">
        <f t="array" ref="Y1175">INDEX(xlRTTYNAME,MATCH(1,(xlRTTYENDU=2)*(xlRTTYEQCL=$F1175)*(xlRTEQTYPE=$G1175),0))</f>
        <v>NG_HP2</v>
      </c>
    </row>
    <row r="1176" spans="2:25" ht="14.25" customHeight="1" x14ac:dyDescent="0.2">
      <c r="B1176" s="5">
        <v>3</v>
      </c>
      <c r="C1176" s="5">
        <v>2</v>
      </c>
      <c r="D1176" s="5">
        <v>11</v>
      </c>
      <c r="E1176" s="31">
        <v>35</v>
      </c>
      <c r="F1176" s="5">
        <v>5</v>
      </c>
      <c r="G1176" s="31">
        <v>16</v>
      </c>
      <c r="H1176" s="31">
        <v>2020</v>
      </c>
      <c r="I1176" s="5">
        <v>2050</v>
      </c>
      <c r="J1176" s="142">
        <v>1.0984</v>
      </c>
      <c r="K1176" s="142">
        <v>1.0345</v>
      </c>
      <c r="L1176" s="142">
        <v>0.83499999999999996</v>
      </c>
      <c r="M1176" s="142">
        <v>1.0828</v>
      </c>
      <c r="N1176" s="142">
        <v>1.0399</v>
      </c>
      <c r="O1176" s="142">
        <v>1.0538000000000001</v>
      </c>
      <c r="P1176" s="26">
        <v>3572.4275135862376</v>
      </c>
      <c r="Q1176" s="35">
        <f t="array" ref="Q1176">SUM(IF(($S1176&gt;=4)*($C1176='TaxCred&amp;Subs'!$D$114:$D$121)*($H1176='TaxCred&amp;Subs'!$C$114:$C$121)*($H1176&lt;='TaxCred&amp;Subs'!$C$123),'TaxCred&amp;Subs'!$E$114:$E$121,0))</f>
        <v>0</v>
      </c>
      <c r="R1176" s="143">
        <v>0</v>
      </c>
      <c r="S1176" s="5">
        <v>3</v>
      </c>
      <c r="T1176" s="5" t="s">
        <v>239</v>
      </c>
      <c r="V1176" s="7" t="str">
        <f t="array" ref="V1176">INDEX(xlRTCLNAME,MATCH(1,(xlRTCLENDU=1)*(xlRTCLEQCL=$D1176),0))</f>
        <v>NG_HP</v>
      </c>
      <c r="W1176" s="7" t="str">
        <f t="array" ref="W1176">INDEX(xlRTCLNAME,MATCH(1,(xlRTCLENDU=2)*(xlRTCLEQCL=$F1176),0))</f>
        <v>NG_HP</v>
      </c>
      <c r="X1176" s="7" t="str">
        <f t="array" ref="X1176">INDEX(xlRTTYNAME,MATCH(1,(xlRTTYENDU=1)*(xlRTTYEQCL=$D1176)*(xlRTEQTYPE=$E1176),0))</f>
        <v>NG_HP2</v>
      </c>
      <c r="Y1176" s="7" t="str">
        <f t="array" ref="Y1176">INDEX(xlRTTYNAME,MATCH(1,(xlRTTYENDU=2)*(xlRTTYEQCL=$F1176)*(xlRTEQTYPE=$G1176),0))</f>
        <v>NG_HP2</v>
      </c>
    </row>
    <row r="1177" spans="2:25" ht="14.25" customHeight="1" x14ac:dyDescent="0.2">
      <c r="B1177" s="5">
        <v>4</v>
      </c>
      <c r="C1177" s="5">
        <v>2</v>
      </c>
      <c r="D1177" s="5">
        <v>11</v>
      </c>
      <c r="E1177" s="31">
        <v>35</v>
      </c>
      <c r="F1177" s="5">
        <v>5</v>
      </c>
      <c r="G1177" s="31">
        <v>16</v>
      </c>
      <c r="H1177" s="31">
        <v>2020</v>
      </c>
      <c r="I1177" s="5">
        <v>2050</v>
      </c>
      <c r="J1177" s="142">
        <v>1.1000000000000001</v>
      </c>
      <c r="K1177" s="142">
        <v>1.0435000000000001</v>
      </c>
      <c r="L1177" s="142">
        <v>0.99419999999999997</v>
      </c>
      <c r="M1177" s="142">
        <v>1.1499999999999999</v>
      </c>
      <c r="N1177" s="142">
        <v>1.1696</v>
      </c>
      <c r="O1177" s="142">
        <v>1.0538000000000001</v>
      </c>
      <c r="P1177" s="26">
        <v>3092.4287848130771</v>
      </c>
      <c r="Q1177" s="35">
        <f t="array" ref="Q1177">SUM(IF(($S1177&gt;=4)*($C1177='TaxCred&amp;Subs'!$D$114:$D$121)*($H1177='TaxCred&amp;Subs'!$C$114:$C$121)*($H1177&lt;='TaxCred&amp;Subs'!$C$123),'TaxCred&amp;Subs'!$E$114:$E$121,0))</f>
        <v>0</v>
      </c>
      <c r="R1177" s="143">
        <v>0</v>
      </c>
      <c r="S1177" s="5">
        <v>3</v>
      </c>
      <c r="T1177" s="5" t="s">
        <v>239</v>
      </c>
      <c r="V1177" s="7" t="str">
        <f t="array" ref="V1177">INDEX(xlRTCLNAME,MATCH(1,(xlRTCLENDU=1)*(xlRTCLEQCL=$D1177),0))</f>
        <v>NG_HP</v>
      </c>
      <c r="W1177" s="7" t="str">
        <f t="array" ref="W1177">INDEX(xlRTCLNAME,MATCH(1,(xlRTCLENDU=2)*(xlRTCLEQCL=$F1177),0))</f>
        <v>NG_HP</v>
      </c>
      <c r="X1177" s="7" t="str">
        <f t="array" ref="X1177">INDEX(xlRTTYNAME,MATCH(1,(xlRTTYENDU=1)*(xlRTTYEQCL=$D1177)*(xlRTEQTYPE=$E1177),0))</f>
        <v>NG_HP2</v>
      </c>
      <c r="Y1177" s="7" t="str">
        <f t="array" ref="Y1177">INDEX(xlRTTYNAME,MATCH(1,(xlRTTYENDU=2)*(xlRTTYEQCL=$F1177)*(xlRTEQTYPE=$G1177),0))</f>
        <v>NG_HP2</v>
      </c>
    </row>
    <row r="1178" spans="2:25" ht="14.25" customHeight="1" x14ac:dyDescent="0.2">
      <c r="B1178" s="5">
        <v>5</v>
      </c>
      <c r="C1178" s="5">
        <v>2</v>
      </c>
      <c r="D1178" s="5">
        <v>11</v>
      </c>
      <c r="E1178" s="31">
        <v>35</v>
      </c>
      <c r="F1178" s="5">
        <v>5</v>
      </c>
      <c r="G1178" s="31">
        <v>16</v>
      </c>
      <c r="H1178" s="31">
        <v>2020</v>
      </c>
      <c r="I1178" s="5">
        <v>2050</v>
      </c>
      <c r="J1178" s="142">
        <v>1.1200000000000001</v>
      </c>
      <c r="K1178" s="142">
        <v>1.0391999999999999</v>
      </c>
      <c r="L1178" s="142">
        <v>0.69379999999999997</v>
      </c>
      <c r="M1178" s="142">
        <v>1.1097999999999999</v>
      </c>
      <c r="N1178" s="142">
        <v>1.2750999999999999</v>
      </c>
      <c r="O1178" s="142">
        <v>1.0538000000000001</v>
      </c>
      <c r="P1178" s="26">
        <v>2515.6235897327247</v>
      </c>
      <c r="Q1178" s="35">
        <f t="array" ref="Q1178">SUM(IF(($S1178&gt;=4)*($C1178='TaxCred&amp;Subs'!$D$114:$D$121)*($H1178='TaxCred&amp;Subs'!$C$114:$C$121)*($H1178&lt;='TaxCred&amp;Subs'!$C$123),'TaxCred&amp;Subs'!$E$114:$E$121,0))</f>
        <v>0</v>
      </c>
      <c r="R1178" s="143">
        <v>0</v>
      </c>
      <c r="S1178" s="5">
        <v>3</v>
      </c>
      <c r="T1178" s="5" t="s">
        <v>239</v>
      </c>
      <c r="V1178" s="7" t="str">
        <f t="array" ref="V1178">INDEX(xlRTCLNAME,MATCH(1,(xlRTCLENDU=1)*(xlRTCLEQCL=$D1178),0))</f>
        <v>NG_HP</v>
      </c>
      <c r="W1178" s="7" t="str">
        <f t="array" ref="W1178">INDEX(xlRTCLNAME,MATCH(1,(xlRTCLENDU=2)*(xlRTCLEQCL=$F1178),0))</f>
        <v>NG_HP</v>
      </c>
      <c r="X1178" s="7" t="str">
        <f t="array" ref="X1178">INDEX(xlRTTYNAME,MATCH(1,(xlRTTYENDU=1)*(xlRTTYEQCL=$D1178)*(xlRTEQTYPE=$E1178),0))</f>
        <v>NG_HP2</v>
      </c>
      <c r="Y1178" s="7" t="str">
        <f t="array" ref="Y1178">INDEX(xlRTTYNAME,MATCH(1,(xlRTTYENDU=2)*(xlRTTYEQCL=$F1178)*(xlRTEQTYPE=$G1178),0))</f>
        <v>NG_HP2</v>
      </c>
    </row>
    <row r="1179" spans="2:25" ht="14.25" customHeight="1" x14ac:dyDescent="0.2">
      <c r="B1179" s="5">
        <v>6</v>
      </c>
      <c r="C1179" s="5">
        <v>2</v>
      </c>
      <c r="D1179" s="5">
        <v>11</v>
      </c>
      <c r="E1179" s="31">
        <v>35</v>
      </c>
      <c r="F1179" s="5">
        <v>5</v>
      </c>
      <c r="G1179" s="31">
        <v>16</v>
      </c>
      <c r="H1179" s="31">
        <v>2020</v>
      </c>
      <c r="I1179" s="5">
        <v>2050</v>
      </c>
      <c r="J1179" s="142">
        <v>1.1200000000000001</v>
      </c>
      <c r="K1179" s="142">
        <v>1.03</v>
      </c>
      <c r="L1179" s="142">
        <v>1.0105</v>
      </c>
      <c r="M1179" s="142">
        <v>1.1568000000000001</v>
      </c>
      <c r="N1179" s="142">
        <v>1.3324</v>
      </c>
      <c r="O1179" s="142">
        <v>1.0538000000000001</v>
      </c>
      <c r="P1179" s="26">
        <v>2773.7741665519034</v>
      </c>
      <c r="Q1179" s="35">
        <f t="array" ref="Q1179">SUM(IF(($S1179&gt;=4)*($C1179='TaxCred&amp;Subs'!$D$114:$D$121)*($H1179='TaxCred&amp;Subs'!$C$114:$C$121)*($H1179&lt;='TaxCred&amp;Subs'!$C$123),'TaxCred&amp;Subs'!$E$114:$E$121,0))</f>
        <v>0</v>
      </c>
      <c r="R1179" s="143">
        <v>0</v>
      </c>
      <c r="S1179" s="5">
        <v>3</v>
      </c>
      <c r="T1179" s="5" t="s">
        <v>239</v>
      </c>
      <c r="V1179" s="7" t="str">
        <f t="array" ref="V1179">INDEX(xlRTCLNAME,MATCH(1,(xlRTCLENDU=1)*(xlRTCLEQCL=$D1179),0))</f>
        <v>NG_HP</v>
      </c>
      <c r="W1179" s="7" t="str">
        <f t="array" ref="W1179">INDEX(xlRTCLNAME,MATCH(1,(xlRTCLENDU=2)*(xlRTCLEQCL=$F1179),0))</f>
        <v>NG_HP</v>
      </c>
      <c r="X1179" s="7" t="str">
        <f t="array" ref="X1179">INDEX(xlRTTYNAME,MATCH(1,(xlRTTYENDU=1)*(xlRTTYEQCL=$D1179)*(xlRTEQTYPE=$E1179),0))</f>
        <v>NG_HP2</v>
      </c>
      <c r="Y1179" s="7" t="str">
        <f t="array" ref="Y1179">INDEX(xlRTTYNAME,MATCH(1,(xlRTTYENDU=2)*(xlRTTYEQCL=$F1179)*(xlRTEQTYPE=$G1179),0))</f>
        <v>NG_HP2</v>
      </c>
    </row>
    <row r="1180" spans="2:25" ht="14.25" customHeight="1" x14ac:dyDescent="0.2">
      <c r="B1180" s="5">
        <v>7</v>
      </c>
      <c r="C1180" s="5">
        <v>2</v>
      </c>
      <c r="D1180" s="5">
        <v>11</v>
      </c>
      <c r="E1180" s="31">
        <v>35</v>
      </c>
      <c r="F1180" s="5">
        <v>5</v>
      </c>
      <c r="G1180" s="31">
        <v>16</v>
      </c>
      <c r="H1180" s="31">
        <v>2020</v>
      </c>
      <c r="I1180" s="5">
        <v>2050</v>
      </c>
      <c r="J1180" s="142">
        <v>1.1200000000000001</v>
      </c>
      <c r="K1180" s="142">
        <v>1.0462</v>
      </c>
      <c r="L1180" s="142">
        <v>1.2771999999999999</v>
      </c>
      <c r="M1180" s="142">
        <v>1.1604000000000001</v>
      </c>
      <c r="N1180" s="142">
        <v>1.4438</v>
      </c>
      <c r="O1180" s="142">
        <v>1.0538000000000001</v>
      </c>
      <c r="P1180" s="26">
        <v>2010.0787101285</v>
      </c>
      <c r="Q1180" s="35">
        <f t="array" ref="Q1180">SUM(IF(($S1180&gt;=4)*($C1180='TaxCred&amp;Subs'!$D$114:$D$121)*($H1180='TaxCred&amp;Subs'!$C$114:$C$121)*($H1180&lt;='TaxCred&amp;Subs'!$C$123),'TaxCred&amp;Subs'!$E$114:$E$121,0))</f>
        <v>0</v>
      </c>
      <c r="R1180" s="143">
        <v>0</v>
      </c>
      <c r="S1180" s="5">
        <v>3</v>
      </c>
      <c r="T1180" s="5" t="s">
        <v>239</v>
      </c>
      <c r="V1180" s="7" t="str">
        <f t="array" ref="V1180">INDEX(xlRTCLNAME,MATCH(1,(xlRTCLENDU=1)*(xlRTCLEQCL=$D1180),0))</f>
        <v>NG_HP</v>
      </c>
      <c r="W1180" s="7" t="str">
        <f t="array" ref="W1180">INDEX(xlRTCLNAME,MATCH(1,(xlRTCLENDU=2)*(xlRTCLEQCL=$F1180),0))</f>
        <v>NG_HP</v>
      </c>
      <c r="X1180" s="7" t="str">
        <f t="array" ref="X1180">INDEX(xlRTTYNAME,MATCH(1,(xlRTTYENDU=1)*(xlRTTYEQCL=$D1180)*(xlRTEQTYPE=$E1180),0))</f>
        <v>NG_HP2</v>
      </c>
      <c r="Y1180" s="7" t="str">
        <f t="array" ref="Y1180">INDEX(xlRTTYNAME,MATCH(1,(xlRTTYENDU=2)*(xlRTTYEQCL=$F1180)*(xlRTEQTYPE=$G1180),0))</f>
        <v>NG_HP2</v>
      </c>
    </row>
    <row r="1181" spans="2:25" ht="14.25" customHeight="1" x14ac:dyDescent="0.2">
      <c r="B1181" s="5">
        <v>8</v>
      </c>
      <c r="C1181" s="5">
        <v>2</v>
      </c>
      <c r="D1181" s="5">
        <v>11</v>
      </c>
      <c r="E1181" s="31">
        <v>35</v>
      </c>
      <c r="F1181" s="5">
        <v>5</v>
      </c>
      <c r="G1181" s="31">
        <v>16</v>
      </c>
      <c r="H1181" s="31">
        <v>2020</v>
      </c>
      <c r="I1181" s="5">
        <v>2050</v>
      </c>
      <c r="J1181" s="142">
        <v>1.0932999999999999</v>
      </c>
      <c r="K1181" s="142">
        <v>1.0323</v>
      </c>
      <c r="L1181" s="142">
        <v>1.0073000000000001</v>
      </c>
      <c r="M1181" s="142">
        <v>1.2739</v>
      </c>
      <c r="N1181" s="142">
        <v>1.2847999999999999</v>
      </c>
      <c r="O1181" s="142">
        <v>1.0538000000000001</v>
      </c>
      <c r="P1181" s="26">
        <v>3295.4534572073267</v>
      </c>
      <c r="Q1181" s="35">
        <f t="array" ref="Q1181">SUM(IF(($S1181&gt;=4)*($C1181='TaxCred&amp;Subs'!$D$114:$D$121)*($H1181='TaxCred&amp;Subs'!$C$114:$C$121)*($H1181&lt;='TaxCred&amp;Subs'!$C$123),'TaxCred&amp;Subs'!$E$114:$E$121,0))</f>
        <v>0</v>
      </c>
      <c r="R1181" s="143">
        <v>0</v>
      </c>
      <c r="S1181" s="5">
        <v>3</v>
      </c>
      <c r="T1181" s="5" t="s">
        <v>239</v>
      </c>
      <c r="V1181" s="7" t="str">
        <f t="array" ref="V1181">INDEX(xlRTCLNAME,MATCH(1,(xlRTCLENDU=1)*(xlRTCLEQCL=$D1181),0))</f>
        <v>NG_HP</v>
      </c>
      <c r="W1181" s="7" t="str">
        <f t="array" ref="W1181">INDEX(xlRTCLNAME,MATCH(1,(xlRTCLENDU=2)*(xlRTCLEQCL=$F1181),0))</f>
        <v>NG_HP</v>
      </c>
      <c r="X1181" s="7" t="str">
        <f t="array" ref="X1181">INDEX(xlRTTYNAME,MATCH(1,(xlRTTYENDU=1)*(xlRTTYEQCL=$D1181)*(xlRTEQTYPE=$E1181),0))</f>
        <v>NG_HP2</v>
      </c>
      <c r="Y1181" s="7" t="str">
        <f t="array" ref="Y1181">INDEX(xlRTTYNAME,MATCH(1,(xlRTTYENDU=2)*(xlRTTYEQCL=$F1181)*(xlRTEQTYPE=$G1181),0))</f>
        <v>NG_HP2</v>
      </c>
    </row>
    <row r="1182" spans="2:25" ht="14.25" customHeight="1" x14ac:dyDescent="0.2">
      <c r="B1182" s="5">
        <v>9</v>
      </c>
      <c r="C1182" s="5">
        <v>2</v>
      </c>
      <c r="D1182" s="5">
        <v>11</v>
      </c>
      <c r="E1182" s="31">
        <v>35</v>
      </c>
      <c r="F1182" s="5">
        <v>5</v>
      </c>
      <c r="G1182" s="31">
        <v>16</v>
      </c>
      <c r="H1182" s="31">
        <v>2020</v>
      </c>
      <c r="I1182" s="5">
        <v>2050</v>
      </c>
      <c r="J1182" s="142">
        <v>1.07</v>
      </c>
      <c r="K1182" s="142">
        <v>1.0541</v>
      </c>
      <c r="L1182" s="142">
        <v>0.81879999999999997</v>
      </c>
      <c r="M1182" s="142">
        <v>1.2</v>
      </c>
      <c r="N1182" s="142">
        <v>1.4438</v>
      </c>
      <c r="O1182" s="142">
        <v>1.0538000000000001</v>
      </c>
      <c r="P1182" s="26">
        <v>2894.7822494358934</v>
      </c>
      <c r="Q1182" s="35">
        <f t="array" ref="Q1182">SUM(IF(($S1182&gt;=4)*($C1182='TaxCred&amp;Subs'!$D$114:$D$121)*($H1182='TaxCred&amp;Subs'!$C$114:$C$121)*($H1182&lt;='TaxCred&amp;Subs'!$C$123),'TaxCred&amp;Subs'!$E$114:$E$121,0))</f>
        <v>0</v>
      </c>
      <c r="R1182" s="143">
        <v>0</v>
      </c>
      <c r="S1182" s="5">
        <v>3</v>
      </c>
      <c r="T1182" s="5" t="s">
        <v>239</v>
      </c>
      <c r="V1182" s="7" t="str">
        <f t="array" ref="V1182">INDEX(xlRTCLNAME,MATCH(1,(xlRTCLENDU=1)*(xlRTCLEQCL=$D1182),0))</f>
        <v>NG_HP</v>
      </c>
      <c r="W1182" s="7" t="str">
        <f t="array" ref="W1182">INDEX(xlRTCLNAME,MATCH(1,(xlRTCLENDU=2)*(xlRTCLEQCL=$F1182),0))</f>
        <v>NG_HP</v>
      </c>
      <c r="X1182" s="7" t="str">
        <f t="array" ref="X1182">INDEX(xlRTTYNAME,MATCH(1,(xlRTTYENDU=1)*(xlRTTYEQCL=$D1182)*(xlRTEQTYPE=$E1182),0))</f>
        <v>NG_HP2</v>
      </c>
      <c r="Y1182" s="7" t="str">
        <f t="array" ref="Y1182">INDEX(xlRTTYNAME,MATCH(1,(xlRTTYENDU=2)*(xlRTTYEQCL=$F1182)*(xlRTEQTYPE=$G1182),0))</f>
        <v>NG_HP2</v>
      </c>
    </row>
    <row r="1183" spans="2:25" ht="14.25" customHeight="1" x14ac:dyDescent="0.2">
      <c r="B1183" s="5">
        <v>1</v>
      </c>
      <c r="C1183" s="5">
        <v>2</v>
      </c>
      <c r="D1183" s="5">
        <v>1</v>
      </c>
      <c r="E1183" s="5">
        <v>1</v>
      </c>
      <c r="F1183" s="5">
        <v>2</v>
      </c>
      <c r="G1183" s="31">
        <v>6</v>
      </c>
      <c r="H1183" s="31">
        <v>2020</v>
      </c>
      <c r="I1183" s="5">
        <v>2022</v>
      </c>
      <c r="J1183" s="142">
        <v>1.1039000000000001</v>
      </c>
      <c r="K1183" s="142">
        <v>1.0417000000000001</v>
      </c>
      <c r="L1183" s="142">
        <v>0.58530000000000004</v>
      </c>
      <c r="M1183" s="142">
        <v>1.1228</v>
      </c>
      <c r="N1183" s="142">
        <v>1.1114999999999999</v>
      </c>
      <c r="O1183" s="142">
        <v>1.0538000000000001</v>
      </c>
      <c r="P1183" s="26">
        <v>5076.9613441105121</v>
      </c>
      <c r="Q1183" s="35">
        <f t="array" ref="Q1183">SUM(IF(($S1183&gt;=4)*($C1183='TaxCred&amp;Subs'!$D$114:$D$121)*($H1183='TaxCred&amp;Subs'!$C$114:$C$121)*($H1183&lt;='TaxCred&amp;Subs'!$C$123),'TaxCred&amp;Subs'!$E$114:$E$121,0))</f>
        <v>0</v>
      </c>
      <c r="R1183" s="143">
        <v>0</v>
      </c>
      <c r="S1183" s="5">
        <v>4</v>
      </c>
      <c r="T1183" s="5" t="s">
        <v>240</v>
      </c>
      <c r="V1183" s="7" t="str">
        <f t="array" ref="V1183">INDEX(xlRTCLNAME,MATCH(1,(xlRTCLENDU=1)*(xlRTCLEQCL=$D1183),0))</f>
        <v>ELEC_RAD</v>
      </c>
      <c r="W1183" s="7" t="str">
        <f t="array" ref="W1183">INDEX(xlRTCLNAME,MATCH(1,(xlRTCLENDU=2)*(xlRTCLEQCL=$F1183),0))</f>
        <v>CENT_AIR</v>
      </c>
      <c r="X1183" s="7" t="str">
        <f t="array" ref="X1183">INDEX(xlRTTYNAME,MATCH(1,(xlRTTYENDU=1)*(xlRTTYEQCL=$D1183)*(xlRTEQTYPE=$E1183),0))</f>
        <v>ELEC_RAD2</v>
      </c>
      <c r="Y1183" s="7" t="str">
        <f t="array" ref="Y1183">INDEX(xlRTTYNAME,MATCH(1,(xlRTTYENDU=2)*(xlRTTYEQCL=$F1183)*(xlRTEQTYPE=$G1183),0))</f>
        <v>CENT_AIR3</v>
      </c>
    </row>
    <row r="1184" spans="2:25" ht="14.25" customHeight="1" x14ac:dyDescent="0.2">
      <c r="B1184" s="5">
        <v>1</v>
      </c>
      <c r="C1184" s="5">
        <v>2</v>
      </c>
      <c r="D1184" s="5">
        <v>1</v>
      </c>
      <c r="E1184" s="5">
        <v>1</v>
      </c>
      <c r="F1184" s="5">
        <v>2</v>
      </c>
      <c r="G1184" s="31">
        <v>6</v>
      </c>
      <c r="H1184" s="5">
        <v>2023</v>
      </c>
      <c r="I1184" s="5">
        <v>2032</v>
      </c>
      <c r="J1184" s="142">
        <v>1.1039000000000001</v>
      </c>
      <c r="K1184" s="142">
        <v>1.0417000000000001</v>
      </c>
      <c r="L1184" s="142">
        <v>0.58530000000000004</v>
      </c>
      <c r="M1184" s="142">
        <v>1.1228</v>
      </c>
      <c r="N1184" s="142">
        <v>1.1114999999999999</v>
      </c>
      <c r="O1184" s="142">
        <v>1.0538000000000001</v>
      </c>
      <c r="P1184" s="26">
        <v>5076.9613441105121</v>
      </c>
      <c r="Q1184" s="35">
        <f t="array" ref="Q1184">SUM(IF(($S1184&gt;=4)*($C1184='TaxCred&amp;Subs'!$D$114:$D$121)*($H1184='TaxCred&amp;Subs'!$C$114:$C$121)*($H1184&lt;='TaxCred&amp;Subs'!$C$123),'TaxCred&amp;Subs'!$E$114:$E$121,0))</f>
        <v>500</v>
      </c>
      <c r="R1184" s="143">
        <v>0</v>
      </c>
      <c r="S1184" s="5">
        <v>4</v>
      </c>
      <c r="T1184" s="5" t="s">
        <v>240</v>
      </c>
      <c r="V1184" s="7" t="str">
        <f t="array" ref="V1184">INDEX(xlRTCLNAME,MATCH(1,(xlRTCLENDU=1)*(xlRTCLEQCL=$D1184),0))</f>
        <v>ELEC_RAD</v>
      </c>
      <c r="W1184" s="7" t="str">
        <f t="array" ref="W1184">INDEX(xlRTCLNAME,MATCH(1,(xlRTCLENDU=2)*(xlRTCLEQCL=$F1184),0))</f>
        <v>CENT_AIR</v>
      </c>
      <c r="X1184" s="7" t="str">
        <f t="array" ref="X1184">INDEX(xlRTTYNAME,MATCH(1,(xlRTTYENDU=1)*(xlRTTYEQCL=$D1184)*(xlRTEQTYPE=$E1184),0))</f>
        <v>ELEC_RAD2</v>
      </c>
      <c r="Y1184" s="7" t="str">
        <f t="array" ref="Y1184">INDEX(xlRTTYNAME,MATCH(1,(xlRTTYENDU=2)*(xlRTTYEQCL=$F1184)*(xlRTEQTYPE=$G1184),0))</f>
        <v>CENT_AIR3</v>
      </c>
    </row>
    <row r="1185" spans="2:25" ht="14.25" customHeight="1" x14ac:dyDescent="0.2">
      <c r="B1185" s="5">
        <v>1</v>
      </c>
      <c r="C1185" s="5">
        <v>2</v>
      </c>
      <c r="D1185" s="5">
        <v>1</v>
      </c>
      <c r="E1185" s="5">
        <v>1</v>
      </c>
      <c r="F1185" s="5">
        <v>2</v>
      </c>
      <c r="G1185" s="31">
        <v>6</v>
      </c>
      <c r="H1185" s="5">
        <v>2033</v>
      </c>
      <c r="I1185" s="5">
        <v>2050</v>
      </c>
      <c r="J1185" s="142">
        <v>1.1039000000000001</v>
      </c>
      <c r="K1185" s="142">
        <v>1.0417000000000001</v>
      </c>
      <c r="L1185" s="142">
        <v>0.58530000000000004</v>
      </c>
      <c r="M1185" s="142">
        <v>1.1228</v>
      </c>
      <c r="N1185" s="142">
        <v>1.1114999999999999</v>
      </c>
      <c r="O1185" s="142">
        <v>1.0538000000000001</v>
      </c>
      <c r="P1185" s="26">
        <v>5076.9613441105121</v>
      </c>
      <c r="Q1185" s="35">
        <f t="array" ref="Q1185">SUM(IF(($S1185&gt;=4)*($C1185='TaxCred&amp;Subs'!$D$114:$D$121)*($H1185='TaxCred&amp;Subs'!$C$114:$C$121)*($H1185&lt;='TaxCred&amp;Subs'!$C$123),'TaxCred&amp;Subs'!$E$114:$E$121,0))</f>
        <v>0</v>
      </c>
      <c r="R1185" s="143">
        <v>0</v>
      </c>
      <c r="S1185" s="5">
        <v>4</v>
      </c>
      <c r="T1185" s="5" t="s">
        <v>240</v>
      </c>
      <c r="V1185" s="7" t="str">
        <f t="array" ref="V1185">INDEX(xlRTCLNAME,MATCH(1,(xlRTCLENDU=1)*(xlRTCLEQCL=$D1185),0))</f>
        <v>ELEC_RAD</v>
      </c>
      <c r="W1185" s="7" t="str">
        <f t="array" ref="W1185">INDEX(xlRTCLNAME,MATCH(1,(xlRTCLENDU=2)*(xlRTCLEQCL=$F1185),0))</f>
        <v>CENT_AIR</v>
      </c>
      <c r="X1185" s="7" t="str">
        <f t="array" ref="X1185">INDEX(xlRTTYNAME,MATCH(1,(xlRTTYENDU=1)*(xlRTTYEQCL=$D1185)*(xlRTEQTYPE=$E1185),0))</f>
        <v>ELEC_RAD2</v>
      </c>
      <c r="Y1185" s="7" t="str">
        <f t="array" ref="Y1185">INDEX(xlRTTYNAME,MATCH(1,(xlRTTYENDU=2)*(xlRTTYEQCL=$F1185)*(xlRTEQTYPE=$G1185),0))</f>
        <v>CENT_AIR3</v>
      </c>
    </row>
    <row r="1186" spans="2:25" ht="14.25" customHeight="1" x14ac:dyDescent="0.2">
      <c r="B1186" s="5">
        <v>2</v>
      </c>
      <c r="C1186" s="5">
        <v>2</v>
      </c>
      <c r="D1186" s="5">
        <v>1</v>
      </c>
      <c r="E1186" s="5">
        <v>1</v>
      </c>
      <c r="F1186" s="5">
        <v>2</v>
      </c>
      <c r="G1186" s="31">
        <v>6</v>
      </c>
      <c r="H1186" s="31">
        <v>2020</v>
      </c>
      <c r="I1186" s="5">
        <v>2022</v>
      </c>
      <c r="J1186" s="142">
        <v>1.1000000000000001</v>
      </c>
      <c r="K1186" s="142">
        <v>1.0357000000000001</v>
      </c>
      <c r="L1186" s="142">
        <v>0.56730000000000003</v>
      </c>
      <c r="M1186" s="142">
        <v>1.1416999999999999</v>
      </c>
      <c r="N1186" s="142">
        <v>1.1163000000000001</v>
      </c>
      <c r="O1186" s="142">
        <v>1.0538000000000001</v>
      </c>
      <c r="P1186" s="26">
        <v>4802.6763562401347</v>
      </c>
      <c r="Q1186" s="35">
        <f t="array" ref="Q1186">SUM(IF(($S1186&gt;=4)*($C1186='TaxCred&amp;Subs'!$D$114:$D$121)*($H1186='TaxCred&amp;Subs'!$C$114:$C$121)*($H1186&lt;='TaxCred&amp;Subs'!$C$123),'TaxCred&amp;Subs'!$E$114:$E$121,0))</f>
        <v>0</v>
      </c>
      <c r="R1186" s="143">
        <v>0</v>
      </c>
      <c r="S1186" s="5">
        <v>4</v>
      </c>
      <c r="T1186" s="5" t="s">
        <v>240</v>
      </c>
      <c r="V1186" s="7" t="str">
        <f t="array" ref="V1186">INDEX(xlRTCLNAME,MATCH(1,(xlRTCLENDU=1)*(xlRTCLEQCL=$D1186),0))</f>
        <v>ELEC_RAD</v>
      </c>
      <c r="W1186" s="7" t="str">
        <f t="array" ref="W1186">INDEX(xlRTCLNAME,MATCH(1,(xlRTCLENDU=2)*(xlRTCLEQCL=$F1186),0))</f>
        <v>CENT_AIR</v>
      </c>
      <c r="X1186" s="7" t="str">
        <f t="array" ref="X1186">INDEX(xlRTTYNAME,MATCH(1,(xlRTTYENDU=1)*(xlRTTYEQCL=$D1186)*(xlRTEQTYPE=$E1186),0))</f>
        <v>ELEC_RAD2</v>
      </c>
      <c r="Y1186" s="7" t="str">
        <f t="array" ref="Y1186">INDEX(xlRTTYNAME,MATCH(1,(xlRTTYENDU=2)*(xlRTTYEQCL=$F1186)*(xlRTEQTYPE=$G1186),0))</f>
        <v>CENT_AIR3</v>
      </c>
    </row>
    <row r="1187" spans="2:25" ht="14.25" customHeight="1" x14ac:dyDescent="0.2">
      <c r="B1187" s="5">
        <v>2</v>
      </c>
      <c r="C1187" s="5">
        <v>2</v>
      </c>
      <c r="D1187" s="5">
        <v>1</v>
      </c>
      <c r="E1187" s="5">
        <v>1</v>
      </c>
      <c r="F1187" s="5">
        <v>2</v>
      </c>
      <c r="G1187" s="31">
        <v>6</v>
      </c>
      <c r="H1187" s="5">
        <v>2023</v>
      </c>
      <c r="I1187" s="5">
        <v>2032</v>
      </c>
      <c r="J1187" s="142">
        <v>1.1000000000000001</v>
      </c>
      <c r="K1187" s="142">
        <v>1.0357000000000001</v>
      </c>
      <c r="L1187" s="142">
        <v>0.56730000000000003</v>
      </c>
      <c r="M1187" s="142">
        <v>1.1416999999999999</v>
      </c>
      <c r="N1187" s="142">
        <v>1.1163000000000001</v>
      </c>
      <c r="O1187" s="142">
        <v>1.0538000000000001</v>
      </c>
      <c r="P1187" s="26">
        <v>4802.6763562401347</v>
      </c>
      <c r="Q1187" s="35">
        <f t="array" ref="Q1187">SUM(IF(($S1187&gt;=4)*($C1187='TaxCred&amp;Subs'!$D$114:$D$121)*($H1187='TaxCred&amp;Subs'!$C$114:$C$121)*($H1187&lt;='TaxCred&amp;Subs'!$C$123),'TaxCred&amp;Subs'!$E$114:$E$121,0))</f>
        <v>500</v>
      </c>
      <c r="R1187" s="143">
        <v>0</v>
      </c>
      <c r="S1187" s="5">
        <v>4</v>
      </c>
      <c r="T1187" s="5" t="s">
        <v>240</v>
      </c>
      <c r="V1187" s="7" t="str">
        <f t="array" ref="V1187">INDEX(xlRTCLNAME,MATCH(1,(xlRTCLENDU=1)*(xlRTCLEQCL=$D1187),0))</f>
        <v>ELEC_RAD</v>
      </c>
      <c r="W1187" s="7" t="str">
        <f t="array" ref="W1187">INDEX(xlRTCLNAME,MATCH(1,(xlRTCLENDU=2)*(xlRTCLEQCL=$F1187),0))</f>
        <v>CENT_AIR</v>
      </c>
      <c r="X1187" s="7" t="str">
        <f t="array" ref="X1187">INDEX(xlRTTYNAME,MATCH(1,(xlRTTYENDU=1)*(xlRTTYEQCL=$D1187)*(xlRTEQTYPE=$E1187),0))</f>
        <v>ELEC_RAD2</v>
      </c>
      <c r="Y1187" s="7" t="str">
        <f t="array" ref="Y1187">INDEX(xlRTTYNAME,MATCH(1,(xlRTTYENDU=2)*(xlRTTYEQCL=$F1187)*(xlRTEQTYPE=$G1187),0))</f>
        <v>CENT_AIR3</v>
      </c>
    </row>
    <row r="1188" spans="2:25" ht="14.25" customHeight="1" x14ac:dyDescent="0.2">
      <c r="B1188" s="5">
        <v>2</v>
      </c>
      <c r="C1188" s="5">
        <v>2</v>
      </c>
      <c r="D1188" s="5">
        <v>1</v>
      </c>
      <c r="E1188" s="5">
        <v>1</v>
      </c>
      <c r="F1188" s="5">
        <v>2</v>
      </c>
      <c r="G1188" s="31">
        <v>6</v>
      </c>
      <c r="H1188" s="5">
        <v>2033</v>
      </c>
      <c r="I1188" s="5">
        <v>2050</v>
      </c>
      <c r="J1188" s="142">
        <v>1.1000000000000001</v>
      </c>
      <c r="K1188" s="142">
        <v>1.0357000000000001</v>
      </c>
      <c r="L1188" s="142">
        <v>0.56730000000000003</v>
      </c>
      <c r="M1188" s="142">
        <v>1.1416999999999999</v>
      </c>
      <c r="N1188" s="142">
        <v>1.1163000000000001</v>
      </c>
      <c r="O1188" s="142">
        <v>1.0538000000000001</v>
      </c>
      <c r="P1188" s="26">
        <v>4802.6763562401347</v>
      </c>
      <c r="Q1188" s="35">
        <f t="array" ref="Q1188">SUM(IF(($S1188&gt;=4)*($C1188='TaxCred&amp;Subs'!$D$114:$D$121)*($H1188='TaxCred&amp;Subs'!$C$114:$C$121)*($H1188&lt;='TaxCred&amp;Subs'!$C$123),'TaxCred&amp;Subs'!$E$114:$E$121,0))</f>
        <v>0</v>
      </c>
      <c r="R1188" s="143">
        <v>0</v>
      </c>
      <c r="S1188" s="5">
        <v>4</v>
      </c>
      <c r="T1188" s="5" t="s">
        <v>240</v>
      </c>
      <c r="V1188" s="7" t="str">
        <f t="array" ref="V1188">INDEX(xlRTCLNAME,MATCH(1,(xlRTCLENDU=1)*(xlRTCLEQCL=$D1188),0))</f>
        <v>ELEC_RAD</v>
      </c>
      <c r="W1188" s="7" t="str">
        <f t="array" ref="W1188">INDEX(xlRTCLNAME,MATCH(1,(xlRTCLENDU=2)*(xlRTCLEQCL=$F1188),0))</f>
        <v>CENT_AIR</v>
      </c>
      <c r="X1188" s="7" t="str">
        <f t="array" ref="X1188">INDEX(xlRTTYNAME,MATCH(1,(xlRTTYENDU=1)*(xlRTTYEQCL=$D1188)*(xlRTEQTYPE=$E1188),0))</f>
        <v>ELEC_RAD2</v>
      </c>
      <c r="Y1188" s="7" t="str">
        <f t="array" ref="Y1188">INDEX(xlRTTYNAME,MATCH(1,(xlRTTYENDU=2)*(xlRTTYEQCL=$F1188)*(xlRTEQTYPE=$G1188),0))</f>
        <v>CENT_AIR3</v>
      </c>
    </row>
    <row r="1189" spans="2:25" ht="14.25" customHeight="1" x14ac:dyDescent="0.2">
      <c r="B1189" s="5">
        <v>3</v>
      </c>
      <c r="C1189" s="5">
        <v>2</v>
      </c>
      <c r="D1189" s="5">
        <v>1</v>
      </c>
      <c r="E1189" s="5">
        <v>1</v>
      </c>
      <c r="F1189" s="5">
        <v>2</v>
      </c>
      <c r="G1189" s="31">
        <v>6</v>
      </c>
      <c r="H1189" s="31">
        <v>2020</v>
      </c>
      <c r="I1189" s="5">
        <v>2022</v>
      </c>
      <c r="J1189" s="142">
        <v>1.1020000000000001</v>
      </c>
      <c r="K1189" s="142">
        <v>1.0345</v>
      </c>
      <c r="L1189" s="142">
        <v>0.55820000000000003</v>
      </c>
      <c r="M1189" s="142">
        <v>1.0310999999999999</v>
      </c>
      <c r="N1189" s="142">
        <v>1.0386</v>
      </c>
      <c r="O1189" s="142">
        <v>1.0538000000000001</v>
      </c>
      <c r="P1189" s="26">
        <v>4310.5768191785755</v>
      </c>
      <c r="Q1189" s="35">
        <f t="array" ref="Q1189">SUM(IF(($S1189&gt;=4)*($C1189='TaxCred&amp;Subs'!$D$114:$D$121)*($H1189='TaxCred&amp;Subs'!$C$114:$C$121)*($H1189&lt;='TaxCred&amp;Subs'!$C$123),'TaxCred&amp;Subs'!$E$114:$E$121,0))</f>
        <v>0</v>
      </c>
      <c r="R1189" s="143">
        <v>0</v>
      </c>
      <c r="S1189" s="5">
        <v>4</v>
      </c>
      <c r="T1189" s="5" t="s">
        <v>240</v>
      </c>
      <c r="V1189" s="7" t="str">
        <f t="array" ref="V1189">INDEX(xlRTCLNAME,MATCH(1,(xlRTCLENDU=1)*(xlRTCLEQCL=$D1189),0))</f>
        <v>ELEC_RAD</v>
      </c>
      <c r="W1189" s="7" t="str">
        <f t="array" ref="W1189">INDEX(xlRTCLNAME,MATCH(1,(xlRTCLENDU=2)*(xlRTCLEQCL=$F1189),0))</f>
        <v>CENT_AIR</v>
      </c>
      <c r="X1189" s="7" t="str">
        <f t="array" ref="X1189">INDEX(xlRTTYNAME,MATCH(1,(xlRTTYENDU=1)*(xlRTTYEQCL=$D1189)*(xlRTEQTYPE=$E1189),0))</f>
        <v>ELEC_RAD2</v>
      </c>
      <c r="Y1189" s="7" t="str">
        <f t="array" ref="Y1189">INDEX(xlRTTYNAME,MATCH(1,(xlRTTYENDU=2)*(xlRTTYEQCL=$F1189)*(xlRTEQTYPE=$G1189),0))</f>
        <v>CENT_AIR3</v>
      </c>
    </row>
    <row r="1190" spans="2:25" ht="14.25" customHeight="1" x14ac:dyDescent="0.2">
      <c r="B1190" s="5">
        <v>3</v>
      </c>
      <c r="C1190" s="5">
        <v>2</v>
      </c>
      <c r="D1190" s="5">
        <v>1</v>
      </c>
      <c r="E1190" s="5">
        <v>1</v>
      </c>
      <c r="F1190" s="5">
        <v>2</v>
      </c>
      <c r="G1190" s="31">
        <v>6</v>
      </c>
      <c r="H1190" s="5">
        <v>2023</v>
      </c>
      <c r="I1190" s="5">
        <v>2032</v>
      </c>
      <c r="J1190" s="142">
        <v>1.1020000000000001</v>
      </c>
      <c r="K1190" s="142">
        <v>1.0345</v>
      </c>
      <c r="L1190" s="142">
        <v>0.55820000000000003</v>
      </c>
      <c r="M1190" s="142">
        <v>1.0310999999999999</v>
      </c>
      <c r="N1190" s="142">
        <v>1.0386</v>
      </c>
      <c r="O1190" s="142">
        <v>1.0538000000000001</v>
      </c>
      <c r="P1190" s="26">
        <v>4310.5768191785755</v>
      </c>
      <c r="Q1190" s="35">
        <f t="array" ref="Q1190">SUM(IF(($S1190&gt;=4)*($C1190='TaxCred&amp;Subs'!$D$114:$D$121)*($H1190='TaxCred&amp;Subs'!$C$114:$C$121)*($H1190&lt;='TaxCred&amp;Subs'!$C$123),'TaxCred&amp;Subs'!$E$114:$E$121,0))</f>
        <v>500</v>
      </c>
      <c r="R1190" s="143">
        <v>0</v>
      </c>
      <c r="S1190" s="5">
        <v>4</v>
      </c>
      <c r="T1190" s="5" t="s">
        <v>240</v>
      </c>
      <c r="V1190" s="7" t="str">
        <f t="array" ref="V1190">INDEX(xlRTCLNAME,MATCH(1,(xlRTCLENDU=1)*(xlRTCLEQCL=$D1190),0))</f>
        <v>ELEC_RAD</v>
      </c>
      <c r="W1190" s="7" t="str">
        <f t="array" ref="W1190">INDEX(xlRTCLNAME,MATCH(1,(xlRTCLENDU=2)*(xlRTCLEQCL=$F1190),0))</f>
        <v>CENT_AIR</v>
      </c>
      <c r="X1190" s="7" t="str">
        <f t="array" ref="X1190">INDEX(xlRTTYNAME,MATCH(1,(xlRTTYENDU=1)*(xlRTTYEQCL=$D1190)*(xlRTEQTYPE=$E1190),0))</f>
        <v>ELEC_RAD2</v>
      </c>
      <c r="Y1190" s="7" t="str">
        <f t="array" ref="Y1190">INDEX(xlRTTYNAME,MATCH(1,(xlRTTYENDU=2)*(xlRTTYEQCL=$F1190)*(xlRTEQTYPE=$G1190),0))</f>
        <v>CENT_AIR3</v>
      </c>
    </row>
    <row r="1191" spans="2:25" ht="14.25" customHeight="1" x14ac:dyDescent="0.2">
      <c r="B1191" s="5">
        <v>3</v>
      </c>
      <c r="C1191" s="5">
        <v>2</v>
      </c>
      <c r="D1191" s="5">
        <v>1</v>
      </c>
      <c r="E1191" s="5">
        <v>1</v>
      </c>
      <c r="F1191" s="5">
        <v>2</v>
      </c>
      <c r="G1191" s="31">
        <v>6</v>
      </c>
      <c r="H1191" s="5">
        <v>2033</v>
      </c>
      <c r="I1191" s="5">
        <v>2050</v>
      </c>
      <c r="J1191" s="142">
        <v>1.1020000000000001</v>
      </c>
      <c r="K1191" s="142">
        <v>1.0345</v>
      </c>
      <c r="L1191" s="142">
        <v>0.55820000000000003</v>
      </c>
      <c r="M1191" s="142">
        <v>1.0310999999999999</v>
      </c>
      <c r="N1191" s="142">
        <v>1.0386</v>
      </c>
      <c r="O1191" s="142">
        <v>1.0538000000000001</v>
      </c>
      <c r="P1191" s="26">
        <v>4310.5768191785755</v>
      </c>
      <c r="Q1191" s="35">
        <f t="array" ref="Q1191">SUM(IF(($S1191&gt;=4)*($C1191='TaxCred&amp;Subs'!$D$114:$D$121)*($H1191='TaxCred&amp;Subs'!$C$114:$C$121)*($H1191&lt;='TaxCred&amp;Subs'!$C$123),'TaxCred&amp;Subs'!$E$114:$E$121,0))</f>
        <v>0</v>
      </c>
      <c r="R1191" s="143">
        <v>0</v>
      </c>
      <c r="S1191" s="5">
        <v>4</v>
      </c>
      <c r="T1191" s="5" t="s">
        <v>240</v>
      </c>
      <c r="V1191" s="7" t="str">
        <f t="array" ref="V1191">INDEX(xlRTCLNAME,MATCH(1,(xlRTCLENDU=1)*(xlRTCLEQCL=$D1191),0))</f>
        <v>ELEC_RAD</v>
      </c>
      <c r="W1191" s="7" t="str">
        <f t="array" ref="W1191">INDEX(xlRTCLNAME,MATCH(1,(xlRTCLENDU=2)*(xlRTCLEQCL=$F1191),0))</f>
        <v>CENT_AIR</v>
      </c>
      <c r="X1191" s="7" t="str">
        <f t="array" ref="X1191">INDEX(xlRTTYNAME,MATCH(1,(xlRTTYENDU=1)*(xlRTTYEQCL=$D1191)*(xlRTEQTYPE=$E1191),0))</f>
        <v>ELEC_RAD2</v>
      </c>
      <c r="Y1191" s="7" t="str">
        <f t="array" ref="Y1191">INDEX(xlRTTYNAME,MATCH(1,(xlRTTYENDU=2)*(xlRTTYEQCL=$F1191)*(xlRTEQTYPE=$G1191),0))</f>
        <v>CENT_AIR3</v>
      </c>
    </row>
    <row r="1192" spans="2:25" ht="14.25" customHeight="1" x14ac:dyDescent="0.2">
      <c r="B1192" s="5">
        <v>4</v>
      </c>
      <c r="C1192" s="5">
        <v>2</v>
      </c>
      <c r="D1192" s="5">
        <v>1</v>
      </c>
      <c r="E1192" s="5">
        <v>1</v>
      </c>
      <c r="F1192" s="5">
        <v>2</v>
      </c>
      <c r="G1192" s="31">
        <v>6</v>
      </c>
      <c r="H1192" s="31">
        <v>2020</v>
      </c>
      <c r="I1192" s="5">
        <v>2022</v>
      </c>
      <c r="J1192" s="142">
        <v>1.1000000000000001</v>
      </c>
      <c r="K1192" s="142">
        <v>1.0435000000000001</v>
      </c>
      <c r="L1192" s="142">
        <v>0.62170000000000003</v>
      </c>
      <c r="M1192" s="142">
        <v>1.1499999999999999</v>
      </c>
      <c r="N1192" s="142">
        <v>1.1657</v>
      </c>
      <c r="O1192" s="142">
        <v>1.0538000000000001</v>
      </c>
      <c r="P1192" s="26">
        <v>3733.7716240982236</v>
      </c>
      <c r="Q1192" s="35">
        <f t="array" ref="Q1192">SUM(IF(($S1192&gt;=4)*($C1192='TaxCred&amp;Subs'!$D$114:$D$121)*($H1192='TaxCred&amp;Subs'!$C$114:$C$121)*($H1192&lt;='TaxCred&amp;Subs'!$C$123),'TaxCred&amp;Subs'!$E$114:$E$121,0))</f>
        <v>0</v>
      </c>
      <c r="R1192" s="143">
        <v>0</v>
      </c>
      <c r="S1192" s="5">
        <v>4</v>
      </c>
      <c r="T1192" s="5" t="s">
        <v>240</v>
      </c>
      <c r="V1192" s="7" t="str">
        <f t="array" ref="V1192">INDEX(xlRTCLNAME,MATCH(1,(xlRTCLENDU=1)*(xlRTCLEQCL=$D1192),0))</f>
        <v>ELEC_RAD</v>
      </c>
      <c r="W1192" s="7" t="str">
        <f t="array" ref="W1192">INDEX(xlRTCLNAME,MATCH(1,(xlRTCLENDU=2)*(xlRTCLEQCL=$F1192),0))</f>
        <v>CENT_AIR</v>
      </c>
      <c r="X1192" s="7" t="str">
        <f t="array" ref="X1192">INDEX(xlRTTYNAME,MATCH(1,(xlRTTYENDU=1)*(xlRTTYEQCL=$D1192)*(xlRTEQTYPE=$E1192),0))</f>
        <v>ELEC_RAD2</v>
      </c>
      <c r="Y1192" s="7" t="str">
        <f t="array" ref="Y1192">INDEX(xlRTTYNAME,MATCH(1,(xlRTTYENDU=2)*(xlRTTYEQCL=$F1192)*(xlRTEQTYPE=$G1192),0))</f>
        <v>CENT_AIR3</v>
      </c>
    </row>
    <row r="1193" spans="2:25" ht="14.25" customHeight="1" x14ac:dyDescent="0.2">
      <c r="B1193" s="5">
        <v>4</v>
      </c>
      <c r="C1193" s="5">
        <v>2</v>
      </c>
      <c r="D1193" s="5">
        <v>1</v>
      </c>
      <c r="E1193" s="5">
        <v>1</v>
      </c>
      <c r="F1193" s="5">
        <v>2</v>
      </c>
      <c r="G1193" s="31">
        <v>6</v>
      </c>
      <c r="H1193" s="5">
        <v>2023</v>
      </c>
      <c r="I1193" s="5">
        <v>2032</v>
      </c>
      <c r="J1193" s="142">
        <v>1.1000000000000001</v>
      </c>
      <c r="K1193" s="142">
        <v>1.0435000000000001</v>
      </c>
      <c r="L1193" s="142">
        <v>0.62170000000000003</v>
      </c>
      <c r="M1193" s="142">
        <v>1.1499999999999999</v>
      </c>
      <c r="N1193" s="142">
        <v>1.1657</v>
      </c>
      <c r="O1193" s="142">
        <v>1.0538000000000001</v>
      </c>
      <c r="P1193" s="26">
        <v>3733.7716240982236</v>
      </c>
      <c r="Q1193" s="35">
        <f t="array" ref="Q1193">SUM(IF(($S1193&gt;=4)*($C1193='TaxCred&amp;Subs'!$D$114:$D$121)*($H1193='TaxCred&amp;Subs'!$C$114:$C$121)*($H1193&lt;='TaxCred&amp;Subs'!$C$123),'TaxCred&amp;Subs'!$E$114:$E$121,0))</f>
        <v>500</v>
      </c>
      <c r="R1193" s="143">
        <v>0</v>
      </c>
      <c r="S1193" s="5">
        <v>4</v>
      </c>
      <c r="T1193" s="5" t="s">
        <v>240</v>
      </c>
      <c r="V1193" s="7" t="str">
        <f t="array" ref="V1193">INDEX(xlRTCLNAME,MATCH(1,(xlRTCLENDU=1)*(xlRTCLEQCL=$D1193),0))</f>
        <v>ELEC_RAD</v>
      </c>
      <c r="W1193" s="7" t="str">
        <f t="array" ref="W1193">INDEX(xlRTCLNAME,MATCH(1,(xlRTCLENDU=2)*(xlRTCLEQCL=$F1193),0))</f>
        <v>CENT_AIR</v>
      </c>
      <c r="X1193" s="7" t="str">
        <f t="array" ref="X1193">INDEX(xlRTTYNAME,MATCH(1,(xlRTTYENDU=1)*(xlRTTYEQCL=$D1193)*(xlRTEQTYPE=$E1193),0))</f>
        <v>ELEC_RAD2</v>
      </c>
      <c r="Y1193" s="7" t="str">
        <f t="array" ref="Y1193">INDEX(xlRTTYNAME,MATCH(1,(xlRTTYENDU=2)*(xlRTTYEQCL=$F1193)*(xlRTEQTYPE=$G1193),0))</f>
        <v>CENT_AIR3</v>
      </c>
    </row>
    <row r="1194" spans="2:25" ht="14.25" customHeight="1" x14ac:dyDescent="0.2">
      <c r="B1194" s="5">
        <v>4</v>
      </c>
      <c r="C1194" s="5">
        <v>2</v>
      </c>
      <c r="D1194" s="5">
        <v>1</v>
      </c>
      <c r="E1194" s="5">
        <v>1</v>
      </c>
      <c r="F1194" s="5">
        <v>2</v>
      </c>
      <c r="G1194" s="31">
        <v>6</v>
      </c>
      <c r="H1194" s="5">
        <v>2033</v>
      </c>
      <c r="I1194" s="5">
        <v>2050</v>
      </c>
      <c r="J1194" s="142">
        <v>1.1000000000000001</v>
      </c>
      <c r="K1194" s="142">
        <v>1.0435000000000001</v>
      </c>
      <c r="L1194" s="142">
        <v>0.62170000000000003</v>
      </c>
      <c r="M1194" s="142">
        <v>1.1499999999999999</v>
      </c>
      <c r="N1194" s="142">
        <v>1.1657</v>
      </c>
      <c r="O1194" s="142">
        <v>1.0538000000000001</v>
      </c>
      <c r="P1194" s="26">
        <v>3733.7716240982236</v>
      </c>
      <c r="Q1194" s="35">
        <f t="array" ref="Q1194">SUM(IF(($S1194&gt;=4)*($C1194='TaxCred&amp;Subs'!$D$114:$D$121)*($H1194='TaxCred&amp;Subs'!$C$114:$C$121)*($H1194&lt;='TaxCred&amp;Subs'!$C$123),'TaxCred&amp;Subs'!$E$114:$E$121,0))</f>
        <v>0</v>
      </c>
      <c r="R1194" s="143">
        <v>0</v>
      </c>
      <c r="S1194" s="5">
        <v>4</v>
      </c>
      <c r="T1194" s="5" t="s">
        <v>240</v>
      </c>
      <c r="V1194" s="7" t="str">
        <f t="array" ref="V1194">INDEX(xlRTCLNAME,MATCH(1,(xlRTCLENDU=1)*(xlRTCLEQCL=$D1194),0))</f>
        <v>ELEC_RAD</v>
      </c>
      <c r="W1194" s="7" t="str">
        <f t="array" ref="W1194">INDEX(xlRTCLNAME,MATCH(1,(xlRTCLENDU=2)*(xlRTCLEQCL=$F1194),0))</f>
        <v>CENT_AIR</v>
      </c>
      <c r="X1194" s="7" t="str">
        <f t="array" ref="X1194">INDEX(xlRTTYNAME,MATCH(1,(xlRTTYENDU=1)*(xlRTTYEQCL=$D1194)*(xlRTEQTYPE=$E1194),0))</f>
        <v>ELEC_RAD2</v>
      </c>
      <c r="Y1194" s="7" t="str">
        <f t="array" ref="Y1194">INDEX(xlRTTYNAME,MATCH(1,(xlRTTYENDU=2)*(xlRTTYEQCL=$F1194)*(xlRTEQTYPE=$G1194),0))</f>
        <v>CENT_AIR3</v>
      </c>
    </row>
    <row r="1195" spans="2:25" ht="14.25" customHeight="1" x14ac:dyDescent="0.2">
      <c r="B1195" s="5">
        <v>5</v>
      </c>
      <c r="C1195" s="5">
        <v>2</v>
      </c>
      <c r="D1195" s="5">
        <v>1</v>
      </c>
      <c r="E1195" s="5">
        <v>1</v>
      </c>
      <c r="F1195" s="5">
        <v>2</v>
      </c>
      <c r="G1195" s="31">
        <v>6</v>
      </c>
      <c r="H1195" s="31">
        <v>2020</v>
      </c>
      <c r="I1195" s="5">
        <v>2022</v>
      </c>
      <c r="J1195" s="142">
        <v>1.1200000000000001</v>
      </c>
      <c r="K1195" s="142">
        <v>1.0577000000000001</v>
      </c>
      <c r="L1195" s="142">
        <v>0.79</v>
      </c>
      <c r="M1195" s="142">
        <v>1.1000000000000001</v>
      </c>
      <c r="N1195" s="142">
        <v>1.2619</v>
      </c>
      <c r="O1195" s="142">
        <v>1.0538000000000001</v>
      </c>
      <c r="P1195" s="26">
        <v>2785.8749748403025</v>
      </c>
      <c r="Q1195" s="35">
        <f t="array" ref="Q1195">SUM(IF(($S1195&gt;=4)*($C1195='TaxCred&amp;Subs'!$D$114:$D$121)*($H1195='TaxCred&amp;Subs'!$C$114:$C$121)*($H1195&lt;='TaxCred&amp;Subs'!$C$123),'TaxCred&amp;Subs'!$E$114:$E$121,0))</f>
        <v>0</v>
      </c>
      <c r="R1195" s="143">
        <v>0</v>
      </c>
      <c r="S1195" s="5">
        <v>4</v>
      </c>
      <c r="T1195" s="5" t="s">
        <v>240</v>
      </c>
      <c r="V1195" s="7" t="str">
        <f t="array" ref="V1195">INDEX(xlRTCLNAME,MATCH(1,(xlRTCLENDU=1)*(xlRTCLEQCL=$D1195),0))</f>
        <v>ELEC_RAD</v>
      </c>
      <c r="W1195" s="7" t="str">
        <f t="array" ref="W1195">INDEX(xlRTCLNAME,MATCH(1,(xlRTCLENDU=2)*(xlRTCLEQCL=$F1195),0))</f>
        <v>CENT_AIR</v>
      </c>
      <c r="X1195" s="7" t="str">
        <f t="array" ref="X1195">INDEX(xlRTTYNAME,MATCH(1,(xlRTTYENDU=1)*(xlRTTYEQCL=$D1195)*(xlRTEQTYPE=$E1195),0))</f>
        <v>ELEC_RAD2</v>
      </c>
      <c r="Y1195" s="7" t="str">
        <f t="array" ref="Y1195">INDEX(xlRTTYNAME,MATCH(1,(xlRTTYENDU=2)*(xlRTTYEQCL=$F1195)*(xlRTEQTYPE=$G1195),0))</f>
        <v>CENT_AIR3</v>
      </c>
    </row>
    <row r="1196" spans="2:25" ht="14.25" customHeight="1" x14ac:dyDescent="0.2">
      <c r="B1196" s="5">
        <v>5</v>
      </c>
      <c r="C1196" s="5">
        <v>2</v>
      </c>
      <c r="D1196" s="5">
        <v>1</v>
      </c>
      <c r="E1196" s="5">
        <v>1</v>
      </c>
      <c r="F1196" s="5">
        <v>2</v>
      </c>
      <c r="G1196" s="31">
        <v>6</v>
      </c>
      <c r="H1196" s="5">
        <v>2023</v>
      </c>
      <c r="I1196" s="5">
        <v>2032</v>
      </c>
      <c r="J1196" s="142">
        <v>1.1200000000000001</v>
      </c>
      <c r="K1196" s="142">
        <v>1.0577000000000001</v>
      </c>
      <c r="L1196" s="142">
        <v>0.79</v>
      </c>
      <c r="M1196" s="142">
        <v>1.1000000000000001</v>
      </c>
      <c r="N1196" s="142">
        <v>1.2619</v>
      </c>
      <c r="O1196" s="142">
        <v>1.0538000000000001</v>
      </c>
      <c r="P1196" s="26">
        <v>2785.8749748403025</v>
      </c>
      <c r="Q1196" s="35">
        <f t="array" ref="Q1196">SUM(IF(($S1196&gt;=4)*($C1196='TaxCred&amp;Subs'!$D$114:$D$121)*($H1196='TaxCred&amp;Subs'!$C$114:$C$121)*($H1196&lt;='TaxCred&amp;Subs'!$C$123),'TaxCred&amp;Subs'!$E$114:$E$121,0))</f>
        <v>500</v>
      </c>
      <c r="R1196" s="143">
        <v>0</v>
      </c>
      <c r="S1196" s="5">
        <v>4</v>
      </c>
      <c r="T1196" s="5" t="s">
        <v>240</v>
      </c>
      <c r="V1196" s="7" t="str">
        <f t="array" ref="V1196">INDEX(xlRTCLNAME,MATCH(1,(xlRTCLENDU=1)*(xlRTCLEQCL=$D1196),0))</f>
        <v>ELEC_RAD</v>
      </c>
      <c r="W1196" s="7" t="str">
        <f t="array" ref="W1196">INDEX(xlRTCLNAME,MATCH(1,(xlRTCLENDU=2)*(xlRTCLEQCL=$F1196),0))</f>
        <v>CENT_AIR</v>
      </c>
      <c r="X1196" s="7" t="str">
        <f t="array" ref="X1196">INDEX(xlRTTYNAME,MATCH(1,(xlRTTYENDU=1)*(xlRTTYEQCL=$D1196)*(xlRTEQTYPE=$E1196),0))</f>
        <v>ELEC_RAD2</v>
      </c>
      <c r="Y1196" s="7" t="str">
        <f t="array" ref="Y1196">INDEX(xlRTTYNAME,MATCH(1,(xlRTTYENDU=2)*(xlRTTYEQCL=$F1196)*(xlRTEQTYPE=$G1196),0))</f>
        <v>CENT_AIR3</v>
      </c>
    </row>
    <row r="1197" spans="2:25" ht="14.25" customHeight="1" x14ac:dyDescent="0.2">
      <c r="B1197" s="5">
        <v>5</v>
      </c>
      <c r="C1197" s="5">
        <v>2</v>
      </c>
      <c r="D1197" s="5">
        <v>1</v>
      </c>
      <c r="E1197" s="5">
        <v>1</v>
      </c>
      <c r="F1197" s="5">
        <v>2</v>
      </c>
      <c r="G1197" s="31">
        <v>6</v>
      </c>
      <c r="H1197" s="5">
        <v>2033</v>
      </c>
      <c r="I1197" s="5">
        <v>2050</v>
      </c>
      <c r="J1197" s="142">
        <v>1.1200000000000001</v>
      </c>
      <c r="K1197" s="142">
        <v>1.0577000000000001</v>
      </c>
      <c r="L1197" s="142">
        <v>0.79</v>
      </c>
      <c r="M1197" s="142">
        <v>1.1000000000000001</v>
      </c>
      <c r="N1197" s="142">
        <v>1.2619</v>
      </c>
      <c r="O1197" s="142">
        <v>1.0538000000000001</v>
      </c>
      <c r="P1197" s="26">
        <v>2785.8749748403025</v>
      </c>
      <c r="Q1197" s="35">
        <f t="array" ref="Q1197">SUM(IF(($S1197&gt;=4)*($C1197='TaxCred&amp;Subs'!$D$114:$D$121)*($H1197='TaxCred&amp;Subs'!$C$114:$C$121)*($H1197&lt;='TaxCred&amp;Subs'!$C$123),'TaxCred&amp;Subs'!$E$114:$E$121,0))</f>
        <v>0</v>
      </c>
      <c r="R1197" s="143">
        <v>0</v>
      </c>
      <c r="S1197" s="5">
        <v>4</v>
      </c>
      <c r="T1197" s="5" t="s">
        <v>240</v>
      </c>
      <c r="V1197" s="7" t="str">
        <f t="array" ref="V1197">INDEX(xlRTCLNAME,MATCH(1,(xlRTCLENDU=1)*(xlRTCLEQCL=$D1197),0))</f>
        <v>ELEC_RAD</v>
      </c>
      <c r="W1197" s="7" t="str">
        <f t="array" ref="W1197">INDEX(xlRTCLNAME,MATCH(1,(xlRTCLENDU=2)*(xlRTCLEQCL=$F1197),0))</f>
        <v>CENT_AIR</v>
      </c>
      <c r="X1197" s="7" t="str">
        <f t="array" ref="X1197">INDEX(xlRTTYNAME,MATCH(1,(xlRTTYENDU=1)*(xlRTTYEQCL=$D1197)*(xlRTEQTYPE=$E1197),0))</f>
        <v>ELEC_RAD2</v>
      </c>
      <c r="Y1197" s="7" t="str">
        <f t="array" ref="Y1197">INDEX(xlRTTYNAME,MATCH(1,(xlRTTYENDU=2)*(xlRTTYEQCL=$F1197)*(xlRTEQTYPE=$G1197),0))</f>
        <v>CENT_AIR3</v>
      </c>
    </row>
    <row r="1198" spans="2:25" ht="14.25" customHeight="1" x14ac:dyDescent="0.2">
      <c r="B1198" s="5">
        <v>6</v>
      </c>
      <c r="C1198" s="5">
        <v>2</v>
      </c>
      <c r="D1198" s="5">
        <v>1</v>
      </c>
      <c r="E1198" s="5">
        <v>1</v>
      </c>
      <c r="F1198" s="5">
        <v>2</v>
      </c>
      <c r="G1198" s="31">
        <v>6</v>
      </c>
      <c r="H1198" s="31">
        <v>2020</v>
      </c>
      <c r="I1198" s="5">
        <v>2022</v>
      </c>
      <c r="J1198" s="142">
        <v>1.1000000000000001</v>
      </c>
      <c r="K1198" s="142">
        <v>1.0407999999999999</v>
      </c>
      <c r="L1198" s="142">
        <v>1.0063</v>
      </c>
      <c r="M1198" s="142">
        <v>1.1228</v>
      </c>
      <c r="N1198" s="142">
        <v>1.3324</v>
      </c>
      <c r="O1198" s="142">
        <v>1.0538000000000001</v>
      </c>
      <c r="P1198" s="26">
        <v>3333.1004163267903</v>
      </c>
      <c r="Q1198" s="35">
        <f t="array" ref="Q1198">SUM(IF(($S1198&gt;=4)*($C1198='TaxCred&amp;Subs'!$D$114:$D$121)*($H1198='TaxCred&amp;Subs'!$C$114:$C$121)*($H1198&lt;='TaxCred&amp;Subs'!$C$123),'TaxCred&amp;Subs'!$E$114:$E$121,0))</f>
        <v>0</v>
      </c>
      <c r="R1198" s="143">
        <v>0</v>
      </c>
      <c r="S1198" s="5">
        <v>4</v>
      </c>
      <c r="T1198" s="5" t="s">
        <v>240</v>
      </c>
      <c r="V1198" s="7" t="str">
        <f t="array" ref="V1198">INDEX(xlRTCLNAME,MATCH(1,(xlRTCLENDU=1)*(xlRTCLEQCL=$D1198),0))</f>
        <v>ELEC_RAD</v>
      </c>
      <c r="W1198" s="7" t="str">
        <f t="array" ref="W1198">INDEX(xlRTCLNAME,MATCH(1,(xlRTCLENDU=2)*(xlRTCLEQCL=$F1198),0))</f>
        <v>CENT_AIR</v>
      </c>
      <c r="X1198" s="7" t="str">
        <f t="array" ref="X1198">INDEX(xlRTTYNAME,MATCH(1,(xlRTTYENDU=1)*(xlRTTYEQCL=$D1198)*(xlRTEQTYPE=$E1198),0))</f>
        <v>ELEC_RAD2</v>
      </c>
      <c r="Y1198" s="7" t="str">
        <f t="array" ref="Y1198">INDEX(xlRTTYNAME,MATCH(1,(xlRTTYENDU=2)*(xlRTTYEQCL=$F1198)*(xlRTEQTYPE=$G1198),0))</f>
        <v>CENT_AIR3</v>
      </c>
    </row>
    <row r="1199" spans="2:25" ht="14.25" customHeight="1" x14ac:dyDescent="0.2">
      <c r="B1199" s="5">
        <v>6</v>
      </c>
      <c r="C1199" s="5">
        <v>2</v>
      </c>
      <c r="D1199" s="5">
        <v>1</v>
      </c>
      <c r="E1199" s="5">
        <v>1</v>
      </c>
      <c r="F1199" s="5">
        <v>2</v>
      </c>
      <c r="G1199" s="31">
        <v>6</v>
      </c>
      <c r="H1199" s="5">
        <v>2023</v>
      </c>
      <c r="I1199" s="5">
        <v>2032</v>
      </c>
      <c r="J1199" s="142">
        <v>1.1000000000000001</v>
      </c>
      <c r="K1199" s="142">
        <v>1.0407999999999999</v>
      </c>
      <c r="L1199" s="142">
        <v>1.0063</v>
      </c>
      <c r="M1199" s="142">
        <v>1.1228</v>
      </c>
      <c r="N1199" s="142">
        <v>1.3324</v>
      </c>
      <c r="O1199" s="142">
        <v>1.0538000000000001</v>
      </c>
      <c r="P1199" s="26">
        <v>3333.1004163267903</v>
      </c>
      <c r="Q1199" s="35">
        <f t="array" ref="Q1199">SUM(IF(($S1199&gt;=4)*($C1199='TaxCred&amp;Subs'!$D$114:$D$121)*($H1199='TaxCred&amp;Subs'!$C$114:$C$121)*($H1199&lt;='TaxCred&amp;Subs'!$C$123),'TaxCred&amp;Subs'!$E$114:$E$121,0))</f>
        <v>500</v>
      </c>
      <c r="R1199" s="143">
        <v>0</v>
      </c>
      <c r="S1199" s="5">
        <v>4</v>
      </c>
      <c r="T1199" s="5" t="s">
        <v>240</v>
      </c>
      <c r="V1199" s="7" t="str">
        <f t="array" ref="V1199">INDEX(xlRTCLNAME,MATCH(1,(xlRTCLENDU=1)*(xlRTCLEQCL=$D1199),0))</f>
        <v>ELEC_RAD</v>
      </c>
      <c r="W1199" s="7" t="str">
        <f t="array" ref="W1199">INDEX(xlRTCLNAME,MATCH(1,(xlRTCLENDU=2)*(xlRTCLEQCL=$F1199),0))</f>
        <v>CENT_AIR</v>
      </c>
      <c r="X1199" s="7" t="str">
        <f t="array" ref="X1199">INDEX(xlRTTYNAME,MATCH(1,(xlRTTYENDU=1)*(xlRTTYEQCL=$D1199)*(xlRTEQTYPE=$E1199),0))</f>
        <v>ELEC_RAD2</v>
      </c>
      <c r="Y1199" s="7" t="str">
        <f t="array" ref="Y1199">INDEX(xlRTTYNAME,MATCH(1,(xlRTTYENDU=2)*(xlRTTYEQCL=$F1199)*(xlRTEQTYPE=$G1199),0))</f>
        <v>CENT_AIR3</v>
      </c>
    </row>
    <row r="1200" spans="2:25" ht="14.25" customHeight="1" x14ac:dyDescent="0.2">
      <c r="B1200" s="5">
        <v>6</v>
      </c>
      <c r="C1200" s="5">
        <v>2</v>
      </c>
      <c r="D1200" s="5">
        <v>1</v>
      </c>
      <c r="E1200" s="5">
        <v>1</v>
      </c>
      <c r="F1200" s="5">
        <v>2</v>
      </c>
      <c r="G1200" s="31">
        <v>6</v>
      </c>
      <c r="H1200" s="5">
        <v>2033</v>
      </c>
      <c r="I1200" s="5">
        <v>2050</v>
      </c>
      <c r="J1200" s="142">
        <v>1.1000000000000001</v>
      </c>
      <c r="K1200" s="142">
        <v>1.0407999999999999</v>
      </c>
      <c r="L1200" s="142">
        <v>1.0063</v>
      </c>
      <c r="M1200" s="142">
        <v>1.1228</v>
      </c>
      <c r="N1200" s="142">
        <v>1.3324</v>
      </c>
      <c r="O1200" s="142">
        <v>1.0538000000000001</v>
      </c>
      <c r="P1200" s="26">
        <v>3333.1004163267903</v>
      </c>
      <c r="Q1200" s="35">
        <f t="array" ref="Q1200">SUM(IF(($S1200&gt;=4)*($C1200='TaxCred&amp;Subs'!$D$114:$D$121)*($H1200='TaxCred&amp;Subs'!$C$114:$C$121)*($H1200&lt;='TaxCred&amp;Subs'!$C$123),'TaxCred&amp;Subs'!$E$114:$E$121,0))</f>
        <v>0</v>
      </c>
      <c r="R1200" s="143">
        <v>0</v>
      </c>
      <c r="S1200" s="5">
        <v>4</v>
      </c>
      <c r="T1200" s="5" t="s">
        <v>240</v>
      </c>
      <c r="V1200" s="7" t="str">
        <f t="array" ref="V1200">INDEX(xlRTCLNAME,MATCH(1,(xlRTCLENDU=1)*(xlRTCLEQCL=$D1200),0))</f>
        <v>ELEC_RAD</v>
      </c>
      <c r="W1200" s="7" t="str">
        <f t="array" ref="W1200">INDEX(xlRTCLNAME,MATCH(1,(xlRTCLENDU=2)*(xlRTCLEQCL=$F1200),0))</f>
        <v>CENT_AIR</v>
      </c>
      <c r="X1200" s="7" t="str">
        <f t="array" ref="X1200">INDEX(xlRTTYNAME,MATCH(1,(xlRTTYENDU=1)*(xlRTTYEQCL=$D1200)*(xlRTEQTYPE=$E1200),0))</f>
        <v>ELEC_RAD2</v>
      </c>
      <c r="Y1200" s="7" t="str">
        <f t="array" ref="Y1200">INDEX(xlRTTYNAME,MATCH(1,(xlRTTYENDU=2)*(xlRTTYEQCL=$F1200)*(xlRTEQTYPE=$G1200),0))</f>
        <v>CENT_AIR3</v>
      </c>
    </row>
    <row r="1201" spans="2:25" ht="14.25" customHeight="1" x14ac:dyDescent="0.2">
      <c r="B1201" s="5">
        <v>7</v>
      </c>
      <c r="C1201" s="5">
        <v>2</v>
      </c>
      <c r="D1201" s="5">
        <v>1</v>
      </c>
      <c r="E1201" s="5">
        <v>1</v>
      </c>
      <c r="F1201" s="5">
        <v>2</v>
      </c>
      <c r="G1201" s="31">
        <v>6</v>
      </c>
      <c r="H1201" s="31">
        <v>2020</v>
      </c>
      <c r="I1201" s="5">
        <v>2022</v>
      </c>
      <c r="J1201" s="142">
        <v>1.1200000000000001</v>
      </c>
      <c r="K1201" s="142">
        <v>1.0455000000000001</v>
      </c>
      <c r="L1201" s="142">
        <v>0.64380000000000004</v>
      </c>
      <c r="M1201" s="142">
        <v>1.1086</v>
      </c>
      <c r="N1201" s="142">
        <v>1.4438</v>
      </c>
      <c r="O1201" s="142">
        <v>1.0538000000000001</v>
      </c>
      <c r="P1201" s="26">
        <v>2963.3534964034875</v>
      </c>
      <c r="Q1201" s="35">
        <f t="array" ref="Q1201">SUM(IF(($S1201&gt;=4)*($C1201='TaxCred&amp;Subs'!$D$114:$D$121)*($H1201='TaxCred&amp;Subs'!$C$114:$C$121)*($H1201&lt;='TaxCred&amp;Subs'!$C$123),'TaxCred&amp;Subs'!$E$114:$E$121,0))</f>
        <v>0</v>
      </c>
      <c r="R1201" s="143">
        <v>0</v>
      </c>
      <c r="S1201" s="5">
        <v>4</v>
      </c>
      <c r="T1201" s="5" t="s">
        <v>240</v>
      </c>
      <c r="V1201" s="7" t="str">
        <f t="array" ref="V1201">INDEX(xlRTCLNAME,MATCH(1,(xlRTCLENDU=1)*(xlRTCLEQCL=$D1201),0))</f>
        <v>ELEC_RAD</v>
      </c>
      <c r="W1201" s="7" t="str">
        <f t="array" ref="W1201">INDEX(xlRTCLNAME,MATCH(1,(xlRTCLENDU=2)*(xlRTCLEQCL=$F1201),0))</f>
        <v>CENT_AIR</v>
      </c>
      <c r="X1201" s="7" t="str">
        <f t="array" ref="X1201">INDEX(xlRTTYNAME,MATCH(1,(xlRTTYENDU=1)*(xlRTTYEQCL=$D1201)*(xlRTEQTYPE=$E1201),0))</f>
        <v>ELEC_RAD2</v>
      </c>
      <c r="Y1201" s="7" t="str">
        <f t="array" ref="Y1201">INDEX(xlRTTYNAME,MATCH(1,(xlRTTYENDU=2)*(xlRTTYEQCL=$F1201)*(xlRTEQTYPE=$G1201),0))</f>
        <v>CENT_AIR3</v>
      </c>
    </row>
    <row r="1202" spans="2:25" ht="14.25" customHeight="1" x14ac:dyDescent="0.2">
      <c r="B1202" s="5">
        <v>7</v>
      </c>
      <c r="C1202" s="5">
        <v>2</v>
      </c>
      <c r="D1202" s="5">
        <v>1</v>
      </c>
      <c r="E1202" s="5">
        <v>1</v>
      </c>
      <c r="F1202" s="5">
        <v>2</v>
      </c>
      <c r="G1202" s="31">
        <v>6</v>
      </c>
      <c r="H1202" s="5">
        <v>2023</v>
      </c>
      <c r="I1202" s="5">
        <v>2032</v>
      </c>
      <c r="J1202" s="142">
        <v>1.1200000000000001</v>
      </c>
      <c r="K1202" s="142">
        <v>1.0455000000000001</v>
      </c>
      <c r="L1202" s="142">
        <v>0.64380000000000004</v>
      </c>
      <c r="M1202" s="142">
        <v>1.1086</v>
      </c>
      <c r="N1202" s="142">
        <v>1.4438</v>
      </c>
      <c r="O1202" s="142">
        <v>1.0538000000000001</v>
      </c>
      <c r="P1202" s="26">
        <v>2963.3534964034875</v>
      </c>
      <c r="Q1202" s="35">
        <f t="array" ref="Q1202">SUM(IF(($S1202&gt;=4)*($C1202='TaxCred&amp;Subs'!$D$114:$D$121)*($H1202='TaxCred&amp;Subs'!$C$114:$C$121)*($H1202&lt;='TaxCred&amp;Subs'!$C$123),'TaxCred&amp;Subs'!$E$114:$E$121,0))</f>
        <v>500</v>
      </c>
      <c r="R1202" s="143">
        <v>0</v>
      </c>
      <c r="S1202" s="5">
        <v>4</v>
      </c>
      <c r="T1202" s="5" t="s">
        <v>240</v>
      </c>
      <c r="V1202" s="7" t="str">
        <f t="array" ref="V1202">INDEX(xlRTCLNAME,MATCH(1,(xlRTCLENDU=1)*(xlRTCLEQCL=$D1202),0))</f>
        <v>ELEC_RAD</v>
      </c>
      <c r="W1202" s="7" t="str">
        <f t="array" ref="W1202">INDEX(xlRTCLNAME,MATCH(1,(xlRTCLENDU=2)*(xlRTCLEQCL=$F1202),0))</f>
        <v>CENT_AIR</v>
      </c>
      <c r="X1202" s="7" t="str">
        <f t="array" ref="X1202">INDEX(xlRTTYNAME,MATCH(1,(xlRTTYENDU=1)*(xlRTTYEQCL=$D1202)*(xlRTEQTYPE=$E1202),0))</f>
        <v>ELEC_RAD2</v>
      </c>
      <c r="Y1202" s="7" t="str">
        <f t="array" ref="Y1202">INDEX(xlRTTYNAME,MATCH(1,(xlRTTYENDU=2)*(xlRTTYEQCL=$F1202)*(xlRTEQTYPE=$G1202),0))</f>
        <v>CENT_AIR3</v>
      </c>
    </row>
    <row r="1203" spans="2:25" ht="14.25" customHeight="1" x14ac:dyDescent="0.2">
      <c r="B1203" s="5">
        <v>7</v>
      </c>
      <c r="C1203" s="5">
        <v>2</v>
      </c>
      <c r="D1203" s="5">
        <v>1</v>
      </c>
      <c r="E1203" s="5">
        <v>1</v>
      </c>
      <c r="F1203" s="5">
        <v>2</v>
      </c>
      <c r="G1203" s="31">
        <v>6</v>
      </c>
      <c r="H1203" s="5">
        <v>2033</v>
      </c>
      <c r="I1203" s="5">
        <v>2050</v>
      </c>
      <c r="J1203" s="142">
        <v>1.1200000000000001</v>
      </c>
      <c r="K1203" s="142">
        <v>1.0455000000000001</v>
      </c>
      <c r="L1203" s="142">
        <v>0.64380000000000004</v>
      </c>
      <c r="M1203" s="142">
        <v>1.1086</v>
      </c>
      <c r="N1203" s="142">
        <v>1.4438</v>
      </c>
      <c r="O1203" s="142">
        <v>1.0538000000000001</v>
      </c>
      <c r="P1203" s="26">
        <v>2963.3534964034875</v>
      </c>
      <c r="Q1203" s="35">
        <f t="array" ref="Q1203">SUM(IF(($S1203&gt;=4)*($C1203='TaxCred&amp;Subs'!$D$114:$D$121)*($H1203='TaxCred&amp;Subs'!$C$114:$C$121)*($H1203&lt;='TaxCred&amp;Subs'!$C$123),'TaxCred&amp;Subs'!$E$114:$E$121,0))</f>
        <v>0</v>
      </c>
      <c r="R1203" s="143">
        <v>0</v>
      </c>
      <c r="S1203" s="5">
        <v>4</v>
      </c>
      <c r="T1203" s="5" t="s">
        <v>240</v>
      </c>
      <c r="V1203" s="7" t="str">
        <f t="array" ref="V1203">INDEX(xlRTCLNAME,MATCH(1,(xlRTCLENDU=1)*(xlRTCLEQCL=$D1203),0))</f>
        <v>ELEC_RAD</v>
      </c>
      <c r="W1203" s="7" t="str">
        <f t="array" ref="W1203">INDEX(xlRTCLNAME,MATCH(1,(xlRTCLENDU=2)*(xlRTCLEQCL=$F1203),0))</f>
        <v>CENT_AIR</v>
      </c>
      <c r="X1203" s="7" t="str">
        <f t="array" ref="X1203">INDEX(xlRTTYNAME,MATCH(1,(xlRTTYENDU=1)*(xlRTTYEQCL=$D1203)*(xlRTEQTYPE=$E1203),0))</f>
        <v>ELEC_RAD2</v>
      </c>
      <c r="Y1203" s="7" t="str">
        <f t="array" ref="Y1203">INDEX(xlRTTYNAME,MATCH(1,(xlRTTYENDU=2)*(xlRTTYEQCL=$F1203)*(xlRTEQTYPE=$G1203),0))</f>
        <v>CENT_AIR3</v>
      </c>
    </row>
    <row r="1204" spans="2:25" ht="14.25" customHeight="1" x14ac:dyDescent="0.2">
      <c r="B1204" s="5">
        <v>8</v>
      </c>
      <c r="C1204" s="5">
        <v>2</v>
      </c>
      <c r="D1204" s="5">
        <v>1</v>
      </c>
      <c r="E1204" s="5">
        <v>1</v>
      </c>
      <c r="F1204" s="5">
        <v>2</v>
      </c>
      <c r="G1204" s="31">
        <v>6</v>
      </c>
      <c r="H1204" s="31">
        <v>2020</v>
      </c>
      <c r="I1204" s="5">
        <v>2022</v>
      </c>
      <c r="J1204" s="142">
        <v>1.1026</v>
      </c>
      <c r="K1204" s="142">
        <v>1.0645</v>
      </c>
      <c r="L1204" s="142">
        <v>0.86539999999999995</v>
      </c>
      <c r="M1204" s="142">
        <v>1.2087000000000001</v>
      </c>
      <c r="N1204" s="142">
        <v>1.2785</v>
      </c>
      <c r="O1204" s="142">
        <v>1.0538000000000001</v>
      </c>
      <c r="P1204" s="26">
        <v>3679.9902539275613</v>
      </c>
      <c r="Q1204" s="35">
        <f t="array" ref="Q1204">SUM(IF(($S1204&gt;=4)*($C1204='TaxCred&amp;Subs'!$D$114:$D$121)*($H1204='TaxCred&amp;Subs'!$C$114:$C$121)*($H1204&lt;='TaxCred&amp;Subs'!$C$123),'TaxCred&amp;Subs'!$E$114:$E$121,0))</f>
        <v>0</v>
      </c>
      <c r="R1204" s="143">
        <v>0</v>
      </c>
      <c r="S1204" s="5">
        <v>4</v>
      </c>
      <c r="T1204" s="5" t="s">
        <v>240</v>
      </c>
      <c r="V1204" s="7" t="str">
        <f t="array" ref="V1204">INDEX(xlRTCLNAME,MATCH(1,(xlRTCLENDU=1)*(xlRTCLEQCL=$D1204),0))</f>
        <v>ELEC_RAD</v>
      </c>
      <c r="W1204" s="7" t="str">
        <f t="array" ref="W1204">INDEX(xlRTCLNAME,MATCH(1,(xlRTCLENDU=2)*(xlRTCLEQCL=$F1204),0))</f>
        <v>CENT_AIR</v>
      </c>
      <c r="X1204" s="7" t="str">
        <f t="array" ref="X1204">INDEX(xlRTTYNAME,MATCH(1,(xlRTTYENDU=1)*(xlRTTYEQCL=$D1204)*(xlRTEQTYPE=$E1204),0))</f>
        <v>ELEC_RAD2</v>
      </c>
      <c r="Y1204" s="7" t="str">
        <f t="array" ref="Y1204">INDEX(xlRTTYNAME,MATCH(1,(xlRTTYENDU=2)*(xlRTTYEQCL=$F1204)*(xlRTEQTYPE=$G1204),0))</f>
        <v>CENT_AIR3</v>
      </c>
    </row>
    <row r="1205" spans="2:25" ht="14.25" customHeight="1" x14ac:dyDescent="0.2">
      <c r="B1205" s="5">
        <v>8</v>
      </c>
      <c r="C1205" s="5">
        <v>2</v>
      </c>
      <c r="D1205" s="5">
        <v>1</v>
      </c>
      <c r="E1205" s="5">
        <v>1</v>
      </c>
      <c r="F1205" s="5">
        <v>2</v>
      </c>
      <c r="G1205" s="31">
        <v>6</v>
      </c>
      <c r="H1205" s="5">
        <v>2023</v>
      </c>
      <c r="I1205" s="5">
        <v>2032</v>
      </c>
      <c r="J1205" s="142">
        <v>1.1026</v>
      </c>
      <c r="K1205" s="142">
        <v>1.0645</v>
      </c>
      <c r="L1205" s="142">
        <v>0.86539999999999995</v>
      </c>
      <c r="M1205" s="142">
        <v>1.2087000000000001</v>
      </c>
      <c r="N1205" s="142">
        <v>1.2785</v>
      </c>
      <c r="O1205" s="142">
        <v>1.0538000000000001</v>
      </c>
      <c r="P1205" s="26">
        <v>3679.9902539275613</v>
      </c>
      <c r="Q1205" s="35">
        <f t="array" ref="Q1205">SUM(IF(($S1205&gt;=4)*($C1205='TaxCred&amp;Subs'!$D$114:$D$121)*($H1205='TaxCred&amp;Subs'!$C$114:$C$121)*($H1205&lt;='TaxCred&amp;Subs'!$C$123),'TaxCred&amp;Subs'!$E$114:$E$121,0))</f>
        <v>500</v>
      </c>
      <c r="R1205" s="143">
        <v>0</v>
      </c>
      <c r="S1205" s="5">
        <v>4</v>
      </c>
      <c r="T1205" s="5" t="s">
        <v>240</v>
      </c>
      <c r="V1205" s="7" t="str">
        <f t="array" ref="V1205">INDEX(xlRTCLNAME,MATCH(1,(xlRTCLENDU=1)*(xlRTCLEQCL=$D1205),0))</f>
        <v>ELEC_RAD</v>
      </c>
      <c r="W1205" s="7" t="str">
        <f t="array" ref="W1205">INDEX(xlRTCLNAME,MATCH(1,(xlRTCLENDU=2)*(xlRTCLEQCL=$F1205),0))</f>
        <v>CENT_AIR</v>
      </c>
      <c r="X1205" s="7" t="str">
        <f t="array" ref="X1205">INDEX(xlRTTYNAME,MATCH(1,(xlRTTYENDU=1)*(xlRTTYEQCL=$D1205)*(xlRTEQTYPE=$E1205),0))</f>
        <v>ELEC_RAD2</v>
      </c>
      <c r="Y1205" s="7" t="str">
        <f t="array" ref="Y1205">INDEX(xlRTTYNAME,MATCH(1,(xlRTTYENDU=2)*(xlRTTYEQCL=$F1205)*(xlRTEQTYPE=$G1205),0))</f>
        <v>CENT_AIR3</v>
      </c>
    </row>
    <row r="1206" spans="2:25" ht="14.25" customHeight="1" x14ac:dyDescent="0.2">
      <c r="B1206" s="5">
        <v>8</v>
      </c>
      <c r="C1206" s="5">
        <v>2</v>
      </c>
      <c r="D1206" s="5">
        <v>1</v>
      </c>
      <c r="E1206" s="5">
        <v>1</v>
      </c>
      <c r="F1206" s="5">
        <v>2</v>
      </c>
      <c r="G1206" s="31">
        <v>6</v>
      </c>
      <c r="H1206" s="5">
        <v>2033</v>
      </c>
      <c r="I1206" s="5">
        <v>2050</v>
      </c>
      <c r="J1206" s="142">
        <v>1.1026</v>
      </c>
      <c r="K1206" s="142">
        <v>1.0645</v>
      </c>
      <c r="L1206" s="142">
        <v>0.86539999999999995</v>
      </c>
      <c r="M1206" s="142">
        <v>1.2087000000000001</v>
      </c>
      <c r="N1206" s="142">
        <v>1.2785</v>
      </c>
      <c r="O1206" s="142">
        <v>1.0538000000000001</v>
      </c>
      <c r="P1206" s="26">
        <v>3679.9902539275613</v>
      </c>
      <c r="Q1206" s="35">
        <f t="array" ref="Q1206">SUM(IF(($S1206&gt;=4)*($C1206='TaxCred&amp;Subs'!$D$114:$D$121)*($H1206='TaxCred&amp;Subs'!$C$114:$C$121)*($H1206&lt;='TaxCred&amp;Subs'!$C$123),'TaxCred&amp;Subs'!$E$114:$E$121,0))</f>
        <v>0</v>
      </c>
      <c r="R1206" s="143">
        <v>0</v>
      </c>
      <c r="S1206" s="5">
        <v>4</v>
      </c>
      <c r="T1206" s="5" t="s">
        <v>240</v>
      </c>
      <c r="V1206" s="7" t="str">
        <f t="array" ref="V1206">INDEX(xlRTCLNAME,MATCH(1,(xlRTCLENDU=1)*(xlRTCLEQCL=$D1206),0))</f>
        <v>ELEC_RAD</v>
      </c>
      <c r="W1206" s="7" t="str">
        <f t="array" ref="W1206">INDEX(xlRTCLNAME,MATCH(1,(xlRTCLENDU=2)*(xlRTCLEQCL=$F1206),0))</f>
        <v>CENT_AIR</v>
      </c>
      <c r="X1206" s="7" t="str">
        <f t="array" ref="X1206">INDEX(xlRTTYNAME,MATCH(1,(xlRTTYENDU=1)*(xlRTTYEQCL=$D1206)*(xlRTEQTYPE=$E1206),0))</f>
        <v>ELEC_RAD2</v>
      </c>
      <c r="Y1206" s="7" t="str">
        <f t="array" ref="Y1206">INDEX(xlRTTYNAME,MATCH(1,(xlRTTYENDU=2)*(xlRTTYEQCL=$F1206)*(xlRTEQTYPE=$G1206),0))</f>
        <v>CENT_AIR3</v>
      </c>
    </row>
    <row r="1207" spans="2:25" ht="14.25" customHeight="1" x14ac:dyDescent="0.2">
      <c r="B1207" s="5">
        <v>9</v>
      </c>
      <c r="C1207" s="5">
        <v>2</v>
      </c>
      <c r="D1207" s="5">
        <v>1</v>
      </c>
      <c r="E1207" s="5">
        <v>1</v>
      </c>
      <c r="F1207" s="5">
        <v>2</v>
      </c>
      <c r="G1207" s="31">
        <v>6</v>
      </c>
      <c r="H1207" s="31">
        <v>2020</v>
      </c>
      <c r="I1207" s="5">
        <v>2022</v>
      </c>
      <c r="J1207" s="142">
        <v>1.1200000000000001</v>
      </c>
      <c r="K1207" s="142">
        <v>1.0541</v>
      </c>
      <c r="L1207" s="142">
        <v>0.44379999999999997</v>
      </c>
      <c r="M1207" s="142">
        <v>1.2</v>
      </c>
      <c r="N1207" s="142">
        <v>1.4438</v>
      </c>
      <c r="O1207" s="142">
        <v>1.0538000000000001</v>
      </c>
      <c r="P1207" s="26">
        <v>3463.5202389906462</v>
      </c>
      <c r="Q1207" s="35">
        <f t="array" ref="Q1207">SUM(IF(($S1207&gt;=4)*($C1207='TaxCred&amp;Subs'!$D$114:$D$121)*($H1207='TaxCred&amp;Subs'!$C$114:$C$121)*($H1207&lt;='TaxCred&amp;Subs'!$C$123),'TaxCred&amp;Subs'!$E$114:$E$121,0))</f>
        <v>0</v>
      </c>
      <c r="R1207" s="143">
        <v>0</v>
      </c>
      <c r="S1207" s="5">
        <v>4</v>
      </c>
      <c r="T1207" s="5" t="s">
        <v>240</v>
      </c>
      <c r="V1207" s="7" t="str">
        <f t="array" ref="V1207">INDEX(xlRTCLNAME,MATCH(1,(xlRTCLENDU=1)*(xlRTCLEQCL=$D1207),0))</f>
        <v>ELEC_RAD</v>
      </c>
      <c r="W1207" s="7" t="str">
        <f t="array" ref="W1207">INDEX(xlRTCLNAME,MATCH(1,(xlRTCLENDU=2)*(xlRTCLEQCL=$F1207),0))</f>
        <v>CENT_AIR</v>
      </c>
      <c r="X1207" s="7" t="str">
        <f t="array" ref="X1207">INDEX(xlRTTYNAME,MATCH(1,(xlRTTYENDU=1)*(xlRTTYEQCL=$D1207)*(xlRTEQTYPE=$E1207),0))</f>
        <v>ELEC_RAD2</v>
      </c>
      <c r="Y1207" s="7" t="str">
        <f t="array" ref="Y1207">INDEX(xlRTTYNAME,MATCH(1,(xlRTTYENDU=2)*(xlRTTYEQCL=$F1207)*(xlRTEQTYPE=$G1207),0))</f>
        <v>CENT_AIR3</v>
      </c>
    </row>
    <row r="1208" spans="2:25" ht="14.25" customHeight="1" x14ac:dyDescent="0.2">
      <c r="B1208" s="5">
        <v>9</v>
      </c>
      <c r="C1208" s="5">
        <v>2</v>
      </c>
      <c r="D1208" s="5">
        <v>1</v>
      </c>
      <c r="E1208" s="5">
        <v>1</v>
      </c>
      <c r="F1208" s="5">
        <v>2</v>
      </c>
      <c r="G1208" s="31">
        <v>6</v>
      </c>
      <c r="H1208" s="5">
        <v>2023</v>
      </c>
      <c r="I1208" s="5">
        <v>2032</v>
      </c>
      <c r="J1208" s="142">
        <v>1.1200000000000001</v>
      </c>
      <c r="K1208" s="142">
        <v>1.0541</v>
      </c>
      <c r="L1208" s="142">
        <v>0.44379999999999997</v>
      </c>
      <c r="M1208" s="142">
        <v>1.2</v>
      </c>
      <c r="N1208" s="142">
        <v>1.4438</v>
      </c>
      <c r="O1208" s="142">
        <v>1.0538000000000001</v>
      </c>
      <c r="P1208" s="26">
        <v>3463.5202389906462</v>
      </c>
      <c r="Q1208" s="35">
        <f t="array" ref="Q1208">SUM(IF(($S1208&gt;=4)*($C1208='TaxCred&amp;Subs'!$D$114:$D$121)*($H1208='TaxCred&amp;Subs'!$C$114:$C$121)*($H1208&lt;='TaxCred&amp;Subs'!$C$123),'TaxCred&amp;Subs'!$E$114:$E$121,0))</f>
        <v>500</v>
      </c>
      <c r="R1208" s="143">
        <v>0</v>
      </c>
      <c r="S1208" s="5">
        <v>4</v>
      </c>
      <c r="T1208" s="5" t="s">
        <v>240</v>
      </c>
      <c r="V1208" s="7" t="str">
        <f t="array" ref="V1208">INDEX(xlRTCLNAME,MATCH(1,(xlRTCLENDU=1)*(xlRTCLEQCL=$D1208),0))</f>
        <v>ELEC_RAD</v>
      </c>
      <c r="W1208" s="7" t="str">
        <f t="array" ref="W1208">INDEX(xlRTCLNAME,MATCH(1,(xlRTCLENDU=2)*(xlRTCLEQCL=$F1208),0))</f>
        <v>CENT_AIR</v>
      </c>
      <c r="X1208" s="7" t="str">
        <f t="array" ref="X1208">INDEX(xlRTTYNAME,MATCH(1,(xlRTTYENDU=1)*(xlRTTYEQCL=$D1208)*(xlRTEQTYPE=$E1208),0))</f>
        <v>ELEC_RAD2</v>
      </c>
      <c r="Y1208" s="7" t="str">
        <f t="array" ref="Y1208">INDEX(xlRTTYNAME,MATCH(1,(xlRTTYENDU=2)*(xlRTTYEQCL=$F1208)*(xlRTEQTYPE=$G1208),0))</f>
        <v>CENT_AIR3</v>
      </c>
    </row>
    <row r="1209" spans="2:25" ht="14.25" customHeight="1" x14ac:dyDescent="0.2">
      <c r="B1209" s="5">
        <v>9</v>
      </c>
      <c r="C1209" s="5">
        <v>2</v>
      </c>
      <c r="D1209" s="5">
        <v>1</v>
      </c>
      <c r="E1209" s="5">
        <v>1</v>
      </c>
      <c r="F1209" s="5">
        <v>2</v>
      </c>
      <c r="G1209" s="31">
        <v>6</v>
      </c>
      <c r="H1209" s="5">
        <v>2033</v>
      </c>
      <c r="I1209" s="5">
        <v>2050</v>
      </c>
      <c r="J1209" s="142">
        <v>1.1200000000000001</v>
      </c>
      <c r="K1209" s="142">
        <v>1.0541</v>
      </c>
      <c r="L1209" s="142">
        <v>0.44379999999999997</v>
      </c>
      <c r="M1209" s="142">
        <v>1.2</v>
      </c>
      <c r="N1209" s="142">
        <v>1.4438</v>
      </c>
      <c r="O1209" s="142">
        <v>1.0538000000000001</v>
      </c>
      <c r="P1209" s="26">
        <v>3463.5202389906462</v>
      </c>
      <c r="Q1209" s="35">
        <f t="array" ref="Q1209">SUM(IF(($S1209&gt;=4)*($C1209='TaxCred&amp;Subs'!$D$114:$D$121)*($H1209='TaxCred&amp;Subs'!$C$114:$C$121)*($H1209&lt;='TaxCred&amp;Subs'!$C$123),'TaxCred&amp;Subs'!$E$114:$E$121,0))</f>
        <v>0</v>
      </c>
      <c r="R1209" s="143">
        <v>0</v>
      </c>
      <c r="S1209" s="5">
        <v>4</v>
      </c>
      <c r="T1209" s="5" t="s">
        <v>240</v>
      </c>
      <c r="V1209" s="7" t="str">
        <f t="array" ref="V1209">INDEX(xlRTCLNAME,MATCH(1,(xlRTCLENDU=1)*(xlRTCLEQCL=$D1209),0))</f>
        <v>ELEC_RAD</v>
      </c>
      <c r="W1209" s="7" t="str">
        <f t="array" ref="W1209">INDEX(xlRTCLNAME,MATCH(1,(xlRTCLENDU=2)*(xlRTCLEQCL=$F1209),0))</f>
        <v>CENT_AIR</v>
      </c>
      <c r="X1209" s="7" t="str">
        <f t="array" ref="X1209">INDEX(xlRTTYNAME,MATCH(1,(xlRTTYENDU=1)*(xlRTTYEQCL=$D1209)*(xlRTEQTYPE=$E1209),0))</f>
        <v>ELEC_RAD2</v>
      </c>
      <c r="Y1209" s="7" t="str">
        <f t="array" ref="Y1209">INDEX(xlRTTYNAME,MATCH(1,(xlRTTYENDU=2)*(xlRTTYEQCL=$F1209)*(xlRTEQTYPE=$G1209),0))</f>
        <v>CENT_AIR3</v>
      </c>
    </row>
    <row r="1210" spans="2:25" ht="14.25" customHeight="1" x14ac:dyDescent="0.2">
      <c r="B1210" s="5">
        <v>1</v>
      </c>
      <c r="C1210" s="5">
        <v>2</v>
      </c>
      <c r="D1210" s="5">
        <v>2</v>
      </c>
      <c r="E1210" s="5">
        <v>4</v>
      </c>
      <c r="F1210" s="5">
        <v>3</v>
      </c>
      <c r="G1210" s="31">
        <v>10</v>
      </c>
      <c r="H1210" s="31">
        <v>2020</v>
      </c>
      <c r="I1210" s="5">
        <v>2022</v>
      </c>
      <c r="J1210" s="142">
        <v>1.0909</v>
      </c>
      <c r="K1210" s="142">
        <v>1.04</v>
      </c>
      <c r="L1210" s="142">
        <v>0.92069999999999996</v>
      </c>
      <c r="M1210" s="142">
        <v>1.1455</v>
      </c>
      <c r="N1210" s="142">
        <v>1.1119000000000001</v>
      </c>
      <c r="O1210" s="142">
        <v>1.0538000000000001</v>
      </c>
      <c r="P1210" s="26">
        <v>4260.8290517707137</v>
      </c>
      <c r="Q1210" s="35">
        <f t="array" ref="Q1210">SUM(IF(($S1210&gt;=4)*($C1210='TaxCred&amp;Subs'!$D$114:$D$121)*($H1210='TaxCred&amp;Subs'!$C$114:$C$121)*($H1210&lt;='TaxCred&amp;Subs'!$C$123),'TaxCred&amp;Subs'!$E$114:$E$121,0))</f>
        <v>0</v>
      </c>
      <c r="R1210" s="143">
        <v>0</v>
      </c>
      <c r="S1210" s="5">
        <v>4</v>
      </c>
      <c r="T1210" s="5" t="s">
        <v>240</v>
      </c>
      <c r="V1210" s="7" t="str">
        <f t="array" ref="V1210">INDEX(xlRTCLNAME,MATCH(1,(xlRTCLENDU=1)*(xlRTCLEQCL=$D1210),0))</f>
        <v>ELEC_HP</v>
      </c>
      <c r="W1210" s="7" t="str">
        <f t="array" ref="W1210">INDEX(xlRTCLNAME,MATCH(1,(xlRTCLENDU=2)*(xlRTCLEQCL=$F1210),0))</f>
        <v>ELEC_HP</v>
      </c>
      <c r="X1210" s="7" t="str">
        <f t="array" ref="X1210">INDEX(xlRTTYNAME,MATCH(1,(xlRTTYENDU=1)*(xlRTTYEQCL=$D1210)*(xlRTEQTYPE=$E1210),0))</f>
        <v>ELEC_HP3</v>
      </c>
      <c r="Y1210" s="7" t="str">
        <f t="array" ref="Y1210">INDEX(xlRTTYNAME,MATCH(1,(xlRTTYENDU=2)*(xlRTTYEQCL=$F1210)*(xlRTEQTYPE=$G1210),0))</f>
        <v>ELEC_HP3</v>
      </c>
    </row>
    <row r="1211" spans="2:25" ht="14.25" customHeight="1" x14ac:dyDescent="0.2">
      <c r="B1211" s="5">
        <v>1</v>
      </c>
      <c r="C1211" s="5">
        <v>2</v>
      </c>
      <c r="D1211" s="5">
        <v>2</v>
      </c>
      <c r="E1211" s="5">
        <v>4</v>
      </c>
      <c r="F1211" s="5">
        <v>3</v>
      </c>
      <c r="G1211" s="31">
        <v>10</v>
      </c>
      <c r="H1211" s="5">
        <v>2023</v>
      </c>
      <c r="I1211" s="5">
        <v>2032</v>
      </c>
      <c r="J1211" s="142">
        <v>1.0909</v>
      </c>
      <c r="K1211" s="142">
        <v>1.04</v>
      </c>
      <c r="L1211" s="142">
        <v>0.92069999999999996</v>
      </c>
      <c r="M1211" s="142">
        <v>1.1455</v>
      </c>
      <c r="N1211" s="142">
        <v>1.1119000000000001</v>
      </c>
      <c r="O1211" s="142">
        <v>1.0538000000000001</v>
      </c>
      <c r="P1211" s="26">
        <v>4260.8290517707137</v>
      </c>
      <c r="Q1211" s="35">
        <f t="array" ref="Q1211">SUM(IF(($S1211&gt;=4)*($C1211='TaxCred&amp;Subs'!$D$114:$D$121)*($H1211='TaxCred&amp;Subs'!$C$114:$C$121)*($H1211&lt;='TaxCred&amp;Subs'!$C$123),'TaxCred&amp;Subs'!$E$114:$E$121,0))</f>
        <v>500</v>
      </c>
      <c r="R1211" s="143">
        <v>0</v>
      </c>
      <c r="S1211" s="5">
        <v>4</v>
      </c>
      <c r="T1211" s="5" t="s">
        <v>240</v>
      </c>
      <c r="V1211" s="7" t="str">
        <f t="array" ref="V1211">INDEX(xlRTCLNAME,MATCH(1,(xlRTCLENDU=1)*(xlRTCLEQCL=$D1211),0))</f>
        <v>ELEC_HP</v>
      </c>
      <c r="W1211" s="7" t="str">
        <f t="array" ref="W1211">INDEX(xlRTCLNAME,MATCH(1,(xlRTCLENDU=2)*(xlRTCLEQCL=$F1211),0))</f>
        <v>ELEC_HP</v>
      </c>
      <c r="X1211" s="7" t="str">
        <f t="array" ref="X1211">INDEX(xlRTTYNAME,MATCH(1,(xlRTTYENDU=1)*(xlRTTYEQCL=$D1211)*(xlRTEQTYPE=$E1211),0))</f>
        <v>ELEC_HP3</v>
      </c>
      <c r="Y1211" s="7" t="str">
        <f t="array" ref="Y1211">INDEX(xlRTTYNAME,MATCH(1,(xlRTTYENDU=2)*(xlRTTYEQCL=$F1211)*(xlRTEQTYPE=$G1211),0))</f>
        <v>ELEC_HP3</v>
      </c>
    </row>
    <row r="1212" spans="2:25" ht="14.25" customHeight="1" x14ac:dyDescent="0.2">
      <c r="B1212" s="5">
        <v>1</v>
      </c>
      <c r="C1212" s="5">
        <v>2</v>
      </c>
      <c r="D1212" s="5">
        <v>2</v>
      </c>
      <c r="E1212" s="5">
        <v>4</v>
      </c>
      <c r="F1212" s="5">
        <v>3</v>
      </c>
      <c r="G1212" s="31">
        <v>10</v>
      </c>
      <c r="H1212" s="5">
        <v>2033</v>
      </c>
      <c r="I1212" s="5">
        <v>2050</v>
      </c>
      <c r="J1212" s="142">
        <v>1.0909</v>
      </c>
      <c r="K1212" s="142">
        <v>1.04</v>
      </c>
      <c r="L1212" s="142">
        <v>0.92069999999999996</v>
      </c>
      <c r="M1212" s="142">
        <v>1.1455</v>
      </c>
      <c r="N1212" s="142">
        <v>1.1119000000000001</v>
      </c>
      <c r="O1212" s="142">
        <v>1.0538000000000001</v>
      </c>
      <c r="P1212" s="26">
        <v>4260.8290517707137</v>
      </c>
      <c r="Q1212" s="35">
        <f t="array" ref="Q1212">SUM(IF(($S1212&gt;=4)*($C1212='TaxCred&amp;Subs'!$D$114:$D$121)*($H1212='TaxCred&amp;Subs'!$C$114:$C$121)*($H1212&lt;='TaxCred&amp;Subs'!$C$123),'TaxCred&amp;Subs'!$E$114:$E$121,0))</f>
        <v>0</v>
      </c>
      <c r="R1212" s="143">
        <v>0</v>
      </c>
      <c r="S1212" s="5">
        <v>4</v>
      </c>
      <c r="T1212" s="5" t="s">
        <v>240</v>
      </c>
      <c r="V1212" s="7" t="str">
        <f t="array" ref="V1212">INDEX(xlRTCLNAME,MATCH(1,(xlRTCLENDU=1)*(xlRTCLEQCL=$D1212),0))</f>
        <v>ELEC_HP</v>
      </c>
      <c r="W1212" s="7" t="str">
        <f t="array" ref="W1212">INDEX(xlRTCLNAME,MATCH(1,(xlRTCLENDU=2)*(xlRTCLEQCL=$F1212),0))</f>
        <v>ELEC_HP</v>
      </c>
      <c r="X1212" s="7" t="str">
        <f t="array" ref="X1212">INDEX(xlRTTYNAME,MATCH(1,(xlRTTYENDU=1)*(xlRTTYEQCL=$D1212)*(xlRTEQTYPE=$E1212),0))</f>
        <v>ELEC_HP3</v>
      </c>
      <c r="Y1212" s="7" t="str">
        <f t="array" ref="Y1212">INDEX(xlRTTYNAME,MATCH(1,(xlRTTYENDU=2)*(xlRTTYEQCL=$F1212)*(xlRTEQTYPE=$G1212),0))</f>
        <v>ELEC_HP3</v>
      </c>
    </row>
    <row r="1213" spans="2:25" ht="14.25" customHeight="1" x14ac:dyDescent="0.2">
      <c r="B1213" s="5">
        <v>2</v>
      </c>
      <c r="C1213" s="5">
        <v>2</v>
      </c>
      <c r="D1213" s="5">
        <v>2</v>
      </c>
      <c r="E1213" s="5">
        <v>4</v>
      </c>
      <c r="F1213" s="5">
        <v>3</v>
      </c>
      <c r="G1213" s="31">
        <v>10</v>
      </c>
      <c r="H1213" s="31">
        <v>2020</v>
      </c>
      <c r="I1213" s="5">
        <v>2022</v>
      </c>
      <c r="J1213" s="142">
        <v>1.0847</v>
      </c>
      <c r="K1213" s="142">
        <v>1.0345</v>
      </c>
      <c r="L1213" s="142">
        <v>0.89939999999999998</v>
      </c>
      <c r="M1213" s="142">
        <v>1.1625000000000001</v>
      </c>
      <c r="N1213" s="142">
        <v>1.1213</v>
      </c>
      <c r="O1213" s="142">
        <v>1.0538000000000001</v>
      </c>
      <c r="P1213" s="26">
        <v>4098.1404070044609</v>
      </c>
      <c r="Q1213" s="35">
        <f t="array" ref="Q1213">SUM(IF(($S1213&gt;=4)*($C1213='TaxCred&amp;Subs'!$D$114:$D$121)*($H1213='TaxCred&amp;Subs'!$C$114:$C$121)*($H1213&lt;='TaxCred&amp;Subs'!$C$123),'TaxCred&amp;Subs'!$E$114:$E$121,0))</f>
        <v>0</v>
      </c>
      <c r="R1213" s="143">
        <v>0</v>
      </c>
      <c r="S1213" s="5">
        <v>4</v>
      </c>
      <c r="T1213" s="5" t="s">
        <v>240</v>
      </c>
      <c r="V1213" s="7" t="str">
        <f t="array" ref="V1213">INDEX(xlRTCLNAME,MATCH(1,(xlRTCLENDU=1)*(xlRTCLEQCL=$D1213),0))</f>
        <v>ELEC_HP</v>
      </c>
      <c r="W1213" s="7" t="str">
        <f t="array" ref="W1213">INDEX(xlRTCLNAME,MATCH(1,(xlRTCLENDU=2)*(xlRTCLEQCL=$F1213),0))</f>
        <v>ELEC_HP</v>
      </c>
      <c r="X1213" s="7" t="str">
        <f t="array" ref="X1213">INDEX(xlRTTYNAME,MATCH(1,(xlRTTYENDU=1)*(xlRTTYEQCL=$D1213)*(xlRTEQTYPE=$E1213),0))</f>
        <v>ELEC_HP3</v>
      </c>
      <c r="Y1213" s="7" t="str">
        <f t="array" ref="Y1213">INDEX(xlRTTYNAME,MATCH(1,(xlRTTYENDU=2)*(xlRTTYEQCL=$F1213)*(xlRTEQTYPE=$G1213),0))</f>
        <v>ELEC_HP3</v>
      </c>
    </row>
    <row r="1214" spans="2:25" ht="14.25" customHeight="1" x14ac:dyDescent="0.2">
      <c r="B1214" s="5">
        <v>2</v>
      </c>
      <c r="C1214" s="5">
        <v>2</v>
      </c>
      <c r="D1214" s="5">
        <v>2</v>
      </c>
      <c r="E1214" s="5">
        <v>4</v>
      </c>
      <c r="F1214" s="5">
        <v>3</v>
      </c>
      <c r="G1214" s="31">
        <v>10</v>
      </c>
      <c r="H1214" s="5">
        <v>2023</v>
      </c>
      <c r="I1214" s="5">
        <v>2032</v>
      </c>
      <c r="J1214" s="142">
        <v>1.0847</v>
      </c>
      <c r="K1214" s="142">
        <v>1.0345</v>
      </c>
      <c r="L1214" s="142">
        <v>0.89939999999999998</v>
      </c>
      <c r="M1214" s="142">
        <v>1.1625000000000001</v>
      </c>
      <c r="N1214" s="142">
        <v>1.1213</v>
      </c>
      <c r="O1214" s="142">
        <v>1.0538000000000001</v>
      </c>
      <c r="P1214" s="26">
        <v>4098.1404070044609</v>
      </c>
      <c r="Q1214" s="35">
        <f t="array" ref="Q1214">SUM(IF(($S1214&gt;=4)*($C1214='TaxCred&amp;Subs'!$D$114:$D$121)*($H1214='TaxCred&amp;Subs'!$C$114:$C$121)*($H1214&lt;='TaxCred&amp;Subs'!$C$123),'TaxCred&amp;Subs'!$E$114:$E$121,0))</f>
        <v>500</v>
      </c>
      <c r="R1214" s="143">
        <v>0</v>
      </c>
      <c r="S1214" s="5">
        <v>4</v>
      </c>
      <c r="T1214" s="5" t="s">
        <v>240</v>
      </c>
      <c r="V1214" s="7" t="str">
        <f t="array" ref="V1214">INDEX(xlRTCLNAME,MATCH(1,(xlRTCLENDU=1)*(xlRTCLEQCL=$D1214),0))</f>
        <v>ELEC_HP</v>
      </c>
      <c r="W1214" s="7" t="str">
        <f t="array" ref="W1214">INDEX(xlRTCLNAME,MATCH(1,(xlRTCLENDU=2)*(xlRTCLEQCL=$F1214),0))</f>
        <v>ELEC_HP</v>
      </c>
      <c r="X1214" s="7" t="str">
        <f t="array" ref="X1214">INDEX(xlRTTYNAME,MATCH(1,(xlRTTYENDU=1)*(xlRTTYEQCL=$D1214)*(xlRTEQTYPE=$E1214),0))</f>
        <v>ELEC_HP3</v>
      </c>
      <c r="Y1214" s="7" t="str">
        <f t="array" ref="Y1214">INDEX(xlRTTYNAME,MATCH(1,(xlRTTYENDU=2)*(xlRTTYEQCL=$F1214)*(xlRTEQTYPE=$G1214),0))</f>
        <v>ELEC_HP3</v>
      </c>
    </row>
    <row r="1215" spans="2:25" ht="14.25" customHeight="1" x14ac:dyDescent="0.2">
      <c r="B1215" s="5">
        <v>2</v>
      </c>
      <c r="C1215" s="5">
        <v>2</v>
      </c>
      <c r="D1215" s="5">
        <v>2</v>
      </c>
      <c r="E1215" s="5">
        <v>4</v>
      </c>
      <c r="F1215" s="5">
        <v>3</v>
      </c>
      <c r="G1215" s="31">
        <v>10</v>
      </c>
      <c r="H1215" s="5">
        <v>2033</v>
      </c>
      <c r="I1215" s="5">
        <v>2050</v>
      </c>
      <c r="J1215" s="142">
        <v>1.0847</v>
      </c>
      <c r="K1215" s="142">
        <v>1.0345</v>
      </c>
      <c r="L1215" s="142">
        <v>0.89939999999999998</v>
      </c>
      <c r="M1215" s="142">
        <v>1.1625000000000001</v>
      </c>
      <c r="N1215" s="142">
        <v>1.1213</v>
      </c>
      <c r="O1215" s="142">
        <v>1.0538000000000001</v>
      </c>
      <c r="P1215" s="26">
        <v>4098.1404070044609</v>
      </c>
      <c r="Q1215" s="35">
        <f t="array" ref="Q1215">SUM(IF(($S1215&gt;=4)*($C1215='TaxCred&amp;Subs'!$D$114:$D$121)*($H1215='TaxCred&amp;Subs'!$C$114:$C$121)*($H1215&lt;='TaxCred&amp;Subs'!$C$123),'TaxCred&amp;Subs'!$E$114:$E$121,0))</f>
        <v>0</v>
      </c>
      <c r="R1215" s="143">
        <v>0</v>
      </c>
      <c r="S1215" s="5">
        <v>4</v>
      </c>
      <c r="T1215" s="5" t="s">
        <v>240</v>
      </c>
      <c r="V1215" s="7" t="str">
        <f t="array" ref="V1215">INDEX(xlRTCLNAME,MATCH(1,(xlRTCLENDU=1)*(xlRTCLEQCL=$D1215),0))</f>
        <v>ELEC_HP</v>
      </c>
      <c r="W1215" s="7" t="str">
        <f t="array" ref="W1215">INDEX(xlRTCLNAME,MATCH(1,(xlRTCLENDU=2)*(xlRTCLEQCL=$F1215),0))</f>
        <v>ELEC_HP</v>
      </c>
      <c r="X1215" s="7" t="str">
        <f t="array" ref="X1215">INDEX(xlRTTYNAME,MATCH(1,(xlRTTYENDU=1)*(xlRTTYEQCL=$D1215)*(xlRTEQTYPE=$E1215),0))</f>
        <v>ELEC_HP3</v>
      </c>
      <c r="Y1215" s="7" t="str">
        <f t="array" ref="Y1215">INDEX(xlRTTYNAME,MATCH(1,(xlRTTYENDU=2)*(xlRTTYEQCL=$F1215)*(xlRTEQTYPE=$G1215),0))</f>
        <v>ELEC_HP3</v>
      </c>
    </row>
    <row r="1216" spans="2:25" ht="14.25" customHeight="1" x14ac:dyDescent="0.2">
      <c r="B1216" s="5">
        <v>3</v>
      </c>
      <c r="C1216" s="5">
        <v>2</v>
      </c>
      <c r="D1216" s="5">
        <v>2</v>
      </c>
      <c r="E1216" s="5">
        <v>4</v>
      </c>
      <c r="F1216" s="5">
        <v>3</v>
      </c>
      <c r="G1216" s="31">
        <v>10</v>
      </c>
      <c r="H1216" s="31">
        <v>2020</v>
      </c>
      <c r="I1216" s="5">
        <v>2022</v>
      </c>
      <c r="J1216" s="142">
        <v>1.0932999999999999</v>
      </c>
      <c r="K1216" s="142">
        <v>1.0345</v>
      </c>
      <c r="L1216" s="142">
        <v>0.81399999999999995</v>
      </c>
      <c r="M1216" s="142">
        <v>1.0654999999999999</v>
      </c>
      <c r="N1216" s="142">
        <v>1.0358000000000001</v>
      </c>
      <c r="O1216" s="142">
        <v>1.0538000000000001</v>
      </c>
      <c r="P1216" s="26">
        <v>4091.4177357331278</v>
      </c>
      <c r="Q1216" s="35">
        <f t="array" ref="Q1216">SUM(IF(($S1216&gt;=4)*($C1216='TaxCred&amp;Subs'!$D$114:$D$121)*($H1216='TaxCred&amp;Subs'!$C$114:$C$121)*($H1216&lt;='TaxCred&amp;Subs'!$C$123),'TaxCred&amp;Subs'!$E$114:$E$121,0))</f>
        <v>0</v>
      </c>
      <c r="R1216" s="143">
        <v>0</v>
      </c>
      <c r="S1216" s="5">
        <v>4</v>
      </c>
      <c r="T1216" s="5" t="s">
        <v>240</v>
      </c>
      <c r="V1216" s="7" t="str">
        <f t="array" ref="V1216">INDEX(xlRTCLNAME,MATCH(1,(xlRTCLENDU=1)*(xlRTCLEQCL=$D1216),0))</f>
        <v>ELEC_HP</v>
      </c>
      <c r="W1216" s="7" t="str">
        <f t="array" ref="W1216">INDEX(xlRTCLNAME,MATCH(1,(xlRTCLENDU=2)*(xlRTCLEQCL=$F1216),0))</f>
        <v>ELEC_HP</v>
      </c>
      <c r="X1216" s="7" t="str">
        <f t="array" ref="X1216">INDEX(xlRTTYNAME,MATCH(1,(xlRTTYENDU=1)*(xlRTTYEQCL=$D1216)*(xlRTEQTYPE=$E1216),0))</f>
        <v>ELEC_HP3</v>
      </c>
      <c r="Y1216" s="7" t="str">
        <f t="array" ref="Y1216">INDEX(xlRTTYNAME,MATCH(1,(xlRTTYENDU=2)*(xlRTTYEQCL=$F1216)*(xlRTEQTYPE=$G1216),0))</f>
        <v>ELEC_HP3</v>
      </c>
    </row>
    <row r="1217" spans="2:25" ht="14.25" customHeight="1" x14ac:dyDescent="0.2">
      <c r="B1217" s="5">
        <v>3</v>
      </c>
      <c r="C1217" s="5">
        <v>2</v>
      </c>
      <c r="D1217" s="5">
        <v>2</v>
      </c>
      <c r="E1217" s="5">
        <v>4</v>
      </c>
      <c r="F1217" s="5">
        <v>3</v>
      </c>
      <c r="G1217" s="31">
        <v>10</v>
      </c>
      <c r="H1217" s="5">
        <v>2023</v>
      </c>
      <c r="I1217" s="5">
        <v>2032</v>
      </c>
      <c r="J1217" s="142">
        <v>1.0932999999999999</v>
      </c>
      <c r="K1217" s="142">
        <v>1.0345</v>
      </c>
      <c r="L1217" s="142">
        <v>0.81399999999999995</v>
      </c>
      <c r="M1217" s="142">
        <v>1.0654999999999999</v>
      </c>
      <c r="N1217" s="142">
        <v>1.0358000000000001</v>
      </c>
      <c r="O1217" s="142">
        <v>1.0538000000000001</v>
      </c>
      <c r="P1217" s="26">
        <v>4091.4177357331278</v>
      </c>
      <c r="Q1217" s="35">
        <f t="array" ref="Q1217">SUM(IF(($S1217&gt;=4)*($C1217='TaxCred&amp;Subs'!$D$114:$D$121)*($H1217='TaxCred&amp;Subs'!$C$114:$C$121)*($H1217&lt;='TaxCred&amp;Subs'!$C$123),'TaxCred&amp;Subs'!$E$114:$E$121,0))</f>
        <v>500</v>
      </c>
      <c r="R1217" s="143">
        <v>0</v>
      </c>
      <c r="S1217" s="5">
        <v>4</v>
      </c>
      <c r="T1217" s="5" t="s">
        <v>240</v>
      </c>
      <c r="V1217" s="7" t="str">
        <f t="array" ref="V1217">INDEX(xlRTCLNAME,MATCH(1,(xlRTCLENDU=1)*(xlRTCLEQCL=$D1217),0))</f>
        <v>ELEC_HP</v>
      </c>
      <c r="W1217" s="7" t="str">
        <f t="array" ref="W1217">INDEX(xlRTCLNAME,MATCH(1,(xlRTCLENDU=2)*(xlRTCLEQCL=$F1217),0))</f>
        <v>ELEC_HP</v>
      </c>
      <c r="X1217" s="7" t="str">
        <f t="array" ref="X1217">INDEX(xlRTTYNAME,MATCH(1,(xlRTTYENDU=1)*(xlRTTYEQCL=$D1217)*(xlRTEQTYPE=$E1217),0))</f>
        <v>ELEC_HP3</v>
      </c>
      <c r="Y1217" s="7" t="str">
        <f t="array" ref="Y1217">INDEX(xlRTTYNAME,MATCH(1,(xlRTTYENDU=2)*(xlRTTYEQCL=$F1217)*(xlRTEQTYPE=$G1217),0))</f>
        <v>ELEC_HP3</v>
      </c>
    </row>
    <row r="1218" spans="2:25" ht="14.25" customHeight="1" x14ac:dyDescent="0.2">
      <c r="B1218" s="5">
        <v>3</v>
      </c>
      <c r="C1218" s="5">
        <v>2</v>
      </c>
      <c r="D1218" s="5">
        <v>2</v>
      </c>
      <c r="E1218" s="5">
        <v>4</v>
      </c>
      <c r="F1218" s="5">
        <v>3</v>
      </c>
      <c r="G1218" s="31">
        <v>10</v>
      </c>
      <c r="H1218" s="5">
        <v>2033</v>
      </c>
      <c r="I1218" s="5">
        <v>2050</v>
      </c>
      <c r="J1218" s="142">
        <v>1.0932999999999999</v>
      </c>
      <c r="K1218" s="142">
        <v>1.0345</v>
      </c>
      <c r="L1218" s="142">
        <v>0.81399999999999995</v>
      </c>
      <c r="M1218" s="142">
        <v>1.0654999999999999</v>
      </c>
      <c r="N1218" s="142">
        <v>1.0358000000000001</v>
      </c>
      <c r="O1218" s="142">
        <v>1.0538000000000001</v>
      </c>
      <c r="P1218" s="26">
        <v>4091.4177357331278</v>
      </c>
      <c r="Q1218" s="35">
        <f t="array" ref="Q1218">SUM(IF(($S1218&gt;=4)*($C1218='TaxCred&amp;Subs'!$D$114:$D$121)*($H1218='TaxCred&amp;Subs'!$C$114:$C$121)*($H1218&lt;='TaxCred&amp;Subs'!$C$123),'TaxCred&amp;Subs'!$E$114:$E$121,0))</f>
        <v>0</v>
      </c>
      <c r="R1218" s="143">
        <v>0</v>
      </c>
      <c r="S1218" s="5">
        <v>4</v>
      </c>
      <c r="T1218" s="5" t="s">
        <v>240</v>
      </c>
      <c r="V1218" s="7" t="str">
        <f t="array" ref="V1218">INDEX(xlRTCLNAME,MATCH(1,(xlRTCLENDU=1)*(xlRTCLEQCL=$D1218),0))</f>
        <v>ELEC_HP</v>
      </c>
      <c r="W1218" s="7" t="str">
        <f t="array" ref="W1218">INDEX(xlRTCLNAME,MATCH(1,(xlRTCLENDU=2)*(xlRTCLEQCL=$F1218),0))</f>
        <v>ELEC_HP</v>
      </c>
      <c r="X1218" s="7" t="str">
        <f t="array" ref="X1218">INDEX(xlRTTYNAME,MATCH(1,(xlRTTYENDU=1)*(xlRTTYEQCL=$D1218)*(xlRTEQTYPE=$E1218),0))</f>
        <v>ELEC_HP3</v>
      </c>
      <c r="Y1218" s="7" t="str">
        <f t="array" ref="Y1218">INDEX(xlRTTYNAME,MATCH(1,(xlRTTYENDU=2)*(xlRTTYEQCL=$F1218)*(xlRTEQTYPE=$G1218),0))</f>
        <v>ELEC_HP3</v>
      </c>
    </row>
    <row r="1219" spans="2:25" ht="14.25" customHeight="1" x14ac:dyDescent="0.2">
      <c r="B1219" s="5">
        <v>4</v>
      </c>
      <c r="C1219" s="5">
        <v>2</v>
      </c>
      <c r="D1219" s="5">
        <v>2</v>
      </c>
      <c r="E1219" s="5">
        <v>4</v>
      </c>
      <c r="F1219" s="5">
        <v>3</v>
      </c>
      <c r="G1219" s="31">
        <v>10</v>
      </c>
      <c r="H1219" s="31">
        <v>2020</v>
      </c>
      <c r="I1219" s="5">
        <v>2022</v>
      </c>
      <c r="J1219" s="142">
        <v>1.0956999999999999</v>
      </c>
      <c r="K1219" s="142">
        <v>1.0417000000000001</v>
      </c>
      <c r="L1219" s="142">
        <v>0.96499999999999997</v>
      </c>
      <c r="M1219" s="142">
        <v>1.1499999999999999</v>
      </c>
      <c r="N1219" s="142">
        <v>1.1621999999999999</v>
      </c>
      <c r="O1219" s="142">
        <v>1.0538000000000001</v>
      </c>
      <c r="P1219" s="26">
        <v>3495.7890610930435</v>
      </c>
      <c r="Q1219" s="35">
        <f t="array" ref="Q1219">SUM(IF(($S1219&gt;=4)*($C1219='TaxCred&amp;Subs'!$D$114:$D$121)*($H1219='TaxCred&amp;Subs'!$C$114:$C$121)*($H1219&lt;='TaxCred&amp;Subs'!$C$123),'TaxCred&amp;Subs'!$E$114:$E$121,0))</f>
        <v>0</v>
      </c>
      <c r="R1219" s="143">
        <v>0</v>
      </c>
      <c r="S1219" s="5">
        <v>4</v>
      </c>
      <c r="T1219" s="5" t="s">
        <v>240</v>
      </c>
      <c r="V1219" s="7" t="str">
        <f t="array" ref="V1219">INDEX(xlRTCLNAME,MATCH(1,(xlRTCLENDU=1)*(xlRTCLEQCL=$D1219),0))</f>
        <v>ELEC_HP</v>
      </c>
      <c r="W1219" s="7" t="str">
        <f t="array" ref="W1219">INDEX(xlRTCLNAME,MATCH(1,(xlRTCLENDU=2)*(xlRTCLEQCL=$F1219),0))</f>
        <v>ELEC_HP</v>
      </c>
      <c r="X1219" s="7" t="str">
        <f t="array" ref="X1219">INDEX(xlRTTYNAME,MATCH(1,(xlRTTYENDU=1)*(xlRTTYEQCL=$D1219)*(xlRTEQTYPE=$E1219),0))</f>
        <v>ELEC_HP3</v>
      </c>
      <c r="Y1219" s="7" t="str">
        <f t="array" ref="Y1219">INDEX(xlRTTYNAME,MATCH(1,(xlRTTYENDU=2)*(xlRTTYEQCL=$F1219)*(xlRTEQTYPE=$G1219),0))</f>
        <v>ELEC_HP3</v>
      </c>
    </row>
    <row r="1220" spans="2:25" ht="14.25" customHeight="1" x14ac:dyDescent="0.2">
      <c r="B1220" s="5">
        <v>4</v>
      </c>
      <c r="C1220" s="5">
        <v>2</v>
      </c>
      <c r="D1220" s="5">
        <v>2</v>
      </c>
      <c r="E1220" s="5">
        <v>4</v>
      </c>
      <c r="F1220" s="5">
        <v>3</v>
      </c>
      <c r="G1220" s="31">
        <v>10</v>
      </c>
      <c r="H1220" s="5">
        <v>2023</v>
      </c>
      <c r="I1220" s="5">
        <v>2032</v>
      </c>
      <c r="J1220" s="142">
        <v>1.0956999999999999</v>
      </c>
      <c r="K1220" s="142">
        <v>1.0417000000000001</v>
      </c>
      <c r="L1220" s="142">
        <v>0.96499999999999997</v>
      </c>
      <c r="M1220" s="142">
        <v>1.1499999999999999</v>
      </c>
      <c r="N1220" s="142">
        <v>1.1621999999999999</v>
      </c>
      <c r="O1220" s="142">
        <v>1.0538000000000001</v>
      </c>
      <c r="P1220" s="26">
        <v>3495.7890610930435</v>
      </c>
      <c r="Q1220" s="35">
        <f t="array" ref="Q1220">SUM(IF(($S1220&gt;=4)*($C1220='TaxCred&amp;Subs'!$D$114:$D$121)*($H1220='TaxCred&amp;Subs'!$C$114:$C$121)*($H1220&lt;='TaxCred&amp;Subs'!$C$123),'TaxCred&amp;Subs'!$E$114:$E$121,0))</f>
        <v>500</v>
      </c>
      <c r="R1220" s="143">
        <v>0</v>
      </c>
      <c r="S1220" s="5">
        <v>4</v>
      </c>
      <c r="T1220" s="5" t="s">
        <v>240</v>
      </c>
      <c r="V1220" s="7" t="str">
        <f t="array" ref="V1220">INDEX(xlRTCLNAME,MATCH(1,(xlRTCLENDU=1)*(xlRTCLEQCL=$D1220),0))</f>
        <v>ELEC_HP</v>
      </c>
      <c r="W1220" s="7" t="str">
        <f t="array" ref="W1220">INDEX(xlRTCLNAME,MATCH(1,(xlRTCLENDU=2)*(xlRTCLEQCL=$F1220),0))</f>
        <v>ELEC_HP</v>
      </c>
      <c r="X1220" s="7" t="str">
        <f t="array" ref="X1220">INDEX(xlRTTYNAME,MATCH(1,(xlRTTYENDU=1)*(xlRTTYEQCL=$D1220)*(xlRTEQTYPE=$E1220),0))</f>
        <v>ELEC_HP3</v>
      </c>
      <c r="Y1220" s="7" t="str">
        <f t="array" ref="Y1220">INDEX(xlRTTYNAME,MATCH(1,(xlRTTYENDU=2)*(xlRTTYEQCL=$F1220)*(xlRTEQTYPE=$G1220),0))</f>
        <v>ELEC_HP3</v>
      </c>
    </row>
    <row r="1221" spans="2:25" ht="14.25" customHeight="1" x14ac:dyDescent="0.2">
      <c r="B1221" s="5">
        <v>4</v>
      </c>
      <c r="C1221" s="5">
        <v>2</v>
      </c>
      <c r="D1221" s="5">
        <v>2</v>
      </c>
      <c r="E1221" s="5">
        <v>4</v>
      </c>
      <c r="F1221" s="5">
        <v>3</v>
      </c>
      <c r="G1221" s="31">
        <v>10</v>
      </c>
      <c r="H1221" s="5">
        <v>2033</v>
      </c>
      <c r="I1221" s="5">
        <v>2050</v>
      </c>
      <c r="J1221" s="142">
        <v>1.0956999999999999</v>
      </c>
      <c r="K1221" s="142">
        <v>1.0417000000000001</v>
      </c>
      <c r="L1221" s="142">
        <v>0.96499999999999997</v>
      </c>
      <c r="M1221" s="142">
        <v>1.1499999999999999</v>
      </c>
      <c r="N1221" s="142">
        <v>1.1621999999999999</v>
      </c>
      <c r="O1221" s="142">
        <v>1.0538000000000001</v>
      </c>
      <c r="P1221" s="26">
        <v>3495.7890610930435</v>
      </c>
      <c r="Q1221" s="35">
        <f t="array" ref="Q1221">SUM(IF(($S1221&gt;=4)*($C1221='TaxCred&amp;Subs'!$D$114:$D$121)*($H1221='TaxCred&amp;Subs'!$C$114:$C$121)*($H1221&lt;='TaxCred&amp;Subs'!$C$123),'TaxCred&amp;Subs'!$E$114:$E$121,0))</f>
        <v>0</v>
      </c>
      <c r="R1221" s="143">
        <v>0</v>
      </c>
      <c r="S1221" s="5">
        <v>4</v>
      </c>
      <c r="T1221" s="5" t="s">
        <v>240</v>
      </c>
      <c r="V1221" s="7" t="str">
        <f t="array" ref="V1221">INDEX(xlRTCLNAME,MATCH(1,(xlRTCLENDU=1)*(xlRTCLEQCL=$D1221),0))</f>
        <v>ELEC_HP</v>
      </c>
      <c r="W1221" s="7" t="str">
        <f t="array" ref="W1221">INDEX(xlRTCLNAME,MATCH(1,(xlRTCLENDU=2)*(xlRTCLEQCL=$F1221),0))</f>
        <v>ELEC_HP</v>
      </c>
      <c r="X1221" s="7" t="str">
        <f t="array" ref="X1221">INDEX(xlRTTYNAME,MATCH(1,(xlRTTYENDU=1)*(xlRTTYEQCL=$D1221)*(xlRTEQTYPE=$E1221),0))</f>
        <v>ELEC_HP3</v>
      </c>
      <c r="Y1221" s="7" t="str">
        <f t="array" ref="Y1221">INDEX(xlRTTYNAME,MATCH(1,(xlRTTYENDU=2)*(xlRTTYEQCL=$F1221)*(xlRTEQTYPE=$G1221),0))</f>
        <v>ELEC_HP3</v>
      </c>
    </row>
    <row r="1222" spans="2:25" ht="14.25" customHeight="1" x14ac:dyDescent="0.2">
      <c r="B1222" s="5">
        <v>5</v>
      </c>
      <c r="C1222" s="5">
        <v>2</v>
      </c>
      <c r="D1222" s="5">
        <v>2</v>
      </c>
      <c r="E1222" s="5">
        <v>4</v>
      </c>
      <c r="F1222" s="5">
        <v>3</v>
      </c>
      <c r="G1222" s="31">
        <v>10</v>
      </c>
      <c r="H1222" s="31">
        <v>2020</v>
      </c>
      <c r="I1222" s="5">
        <v>2022</v>
      </c>
      <c r="J1222" s="142">
        <v>1.1200000000000001</v>
      </c>
      <c r="K1222" s="142">
        <v>1.0545</v>
      </c>
      <c r="L1222" s="142">
        <v>0.44379999999999997</v>
      </c>
      <c r="M1222" s="142">
        <v>1.0509999999999999</v>
      </c>
      <c r="N1222" s="142">
        <v>1.2490000000000001</v>
      </c>
      <c r="O1222" s="142">
        <v>1.0538000000000001</v>
      </c>
      <c r="P1222" s="26">
        <v>2549.2369460893888</v>
      </c>
      <c r="Q1222" s="35">
        <f t="array" ref="Q1222">SUM(IF(($S1222&gt;=4)*($C1222='TaxCred&amp;Subs'!$D$114:$D$121)*($H1222='TaxCred&amp;Subs'!$C$114:$C$121)*($H1222&lt;='TaxCred&amp;Subs'!$C$123),'TaxCred&amp;Subs'!$E$114:$E$121,0))</f>
        <v>0</v>
      </c>
      <c r="R1222" s="143">
        <v>0</v>
      </c>
      <c r="S1222" s="5">
        <v>4</v>
      </c>
      <c r="T1222" s="5" t="s">
        <v>240</v>
      </c>
      <c r="V1222" s="7" t="str">
        <f t="array" ref="V1222">INDEX(xlRTCLNAME,MATCH(1,(xlRTCLENDU=1)*(xlRTCLEQCL=$D1222),0))</f>
        <v>ELEC_HP</v>
      </c>
      <c r="W1222" s="7" t="str">
        <f t="array" ref="W1222">INDEX(xlRTCLNAME,MATCH(1,(xlRTCLENDU=2)*(xlRTCLEQCL=$F1222),0))</f>
        <v>ELEC_HP</v>
      </c>
      <c r="X1222" s="7" t="str">
        <f t="array" ref="X1222">INDEX(xlRTTYNAME,MATCH(1,(xlRTTYENDU=1)*(xlRTTYEQCL=$D1222)*(xlRTEQTYPE=$E1222),0))</f>
        <v>ELEC_HP3</v>
      </c>
      <c r="Y1222" s="7" t="str">
        <f t="array" ref="Y1222">INDEX(xlRTTYNAME,MATCH(1,(xlRTTYENDU=2)*(xlRTTYEQCL=$F1222)*(xlRTEQTYPE=$G1222),0))</f>
        <v>ELEC_HP3</v>
      </c>
    </row>
    <row r="1223" spans="2:25" ht="14.25" customHeight="1" x14ac:dyDescent="0.2">
      <c r="B1223" s="5">
        <v>5</v>
      </c>
      <c r="C1223" s="5">
        <v>2</v>
      </c>
      <c r="D1223" s="5">
        <v>2</v>
      </c>
      <c r="E1223" s="5">
        <v>4</v>
      </c>
      <c r="F1223" s="5">
        <v>3</v>
      </c>
      <c r="G1223" s="31">
        <v>10</v>
      </c>
      <c r="H1223" s="5">
        <v>2023</v>
      </c>
      <c r="I1223" s="5">
        <v>2032</v>
      </c>
      <c r="J1223" s="142">
        <v>1.1200000000000001</v>
      </c>
      <c r="K1223" s="142">
        <v>1.0545</v>
      </c>
      <c r="L1223" s="142">
        <v>0.44379999999999997</v>
      </c>
      <c r="M1223" s="142">
        <v>1.0509999999999999</v>
      </c>
      <c r="N1223" s="142">
        <v>1.2490000000000001</v>
      </c>
      <c r="O1223" s="142">
        <v>1.0538000000000001</v>
      </c>
      <c r="P1223" s="26">
        <v>2549.2369460893888</v>
      </c>
      <c r="Q1223" s="35">
        <f t="array" ref="Q1223">SUM(IF(($S1223&gt;=4)*($C1223='TaxCred&amp;Subs'!$D$114:$D$121)*($H1223='TaxCred&amp;Subs'!$C$114:$C$121)*($H1223&lt;='TaxCred&amp;Subs'!$C$123),'TaxCred&amp;Subs'!$E$114:$E$121,0))</f>
        <v>500</v>
      </c>
      <c r="R1223" s="143">
        <v>0</v>
      </c>
      <c r="S1223" s="5">
        <v>4</v>
      </c>
      <c r="T1223" s="5" t="s">
        <v>240</v>
      </c>
      <c r="V1223" s="7" t="str">
        <f t="array" ref="V1223">INDEX(xlRTCLNAME,MATCH(1,(xlRTCLENDU=1)*(xlRTCLEQCL=$D1223),0))</f>
        <v>ELEC_HP</v>
      </c>
      <c r="W1223" s="7" t="str">
        <f t="array" ref="W1223">INDEX(xlRTCLNAME,MATCH(1,(xlRTCLENDU=2)*(xlRTCLEQCL=$F1223),0))</f>
        <v>ELEC_HP</v>
      </c>
      <c r="X1223" s="7" t="str">
        <f t="array" ref="X1223">INDEX(xlRTTYNAME,MATCH(1,(xlRTTYENDU=1)*(xlRTTYEQCL=$D1223)*(xlRTEQTYPE=$E1223),0))</f>
        <v>ELEC_HP3</v>
      </c>
      <c r="Y1223" s="7" t="str">
        <f t="array" ref="Y1223">INDEX(xlRTTYNAME,MATCH(1,(xlRTTYENDU=2)*(xlRTTYEQCL=$F1223)*(xlRTEQTYPE=$G1223),0))</f>
        <v>ELEC_HP3</v>
      </c>
    </row>
    <row r="1224" spans="2:25" ht="14.25" customHeight="1" x14ac:dyDescent="0.2">
      <c r="B1224" s="5">
        <v>5</v>
      </c>
      <c r="C1224" s="5">
        <v>2</v>
      </c>
      <c r="D1224" s="5">
        <v>2</v>
      </c>
      <c r="E1224" s="5">
        <v>4</v>
      </c>
      <c r="F1224" s="5">
        <v>3</v>
      </c>
      <c r="G1224" s="31">
        <v>10</v>
      </c>
      <c r="H1224" s="5">
        <v>2033</v>
      </c>
      <c r="I1224" s="5">
        <v>2050</v>
      </c>
      <c r="J1224" s="142">
        <v>1.1200000000000001</v>
      </c>
      <c r="K1224" s="142">
        <v>1.0545</v>
      </c>
      <c r="L1224" s="142">
        <v>0.44379999999999997</v>
      </c>
      <c r="M1224" s="142">
        <v>1.0509999999999999</v>
      </c>
      <c r="N1224" s="142">
        <v>1.2490000000000001</v>
      </c>
      <c r="O1224" s="142">
        <v>1.0538000000000001</v>
      </c>
      <c r="P1224" s="26">
        <v>2549.2369460893888</v>
      </c>
      <c r="Q1224" s="35">
        <f t="array" ref="Q1224">SUM(IF(($S1224&gt;=4)*($C1224='TaxCred&amp;Subs'!$D$114:$D$121)*($H1224='TaxCred&amp;Subs'!$C$114:$C$121)*($H1224&lt;='TaxCred&amp;Subs'!$C$123),'TaxCred&amp;Subs'!$E$114:$E$121,0))</f>
        <v>0</v>
      </c>
      <c r="R1224" s="143">
        <v>0</v>
      </c>
      <c r="S1224" s="5">
        <v>4</v>
      </c>
      <c r="T1224" s="5" t="s">
        <v>240</v>
      </c>
      <c r="V1224" s="7" t="str">
        <f t="array" ref="V1224">INDEX(xlRTCLNAME,MATCH(1,(xlRTCLENDU=1)*(xlRTCLEQCL=$D1224),0))</f>
        <v>ELEC_HP</v>
      </c>
      <c r="W1224" s="7" t="str">
        <f t="array" ref="W1224">INDEX(xlRTCLNAME,MATCH(1,(xlRTCLENDU=2)*(xlRTCLEQCL=$F1224),0))</f>
        <v>ELEC_HP</v>
      </c>
      <c r="X1224" s="7" t="str">
        <f t="array" ref="X1224">INDEX(xlRTTYNAME,MATCH(1,(xlRTTYENDU=1)*(xlRTTYEQCL=$D1224)*(xlRTEQTYPE=$E1224),0))</f>
        <v>ELEC_HP3</v>
      </c>
      <c r="Y1224" s="7" t="str">
        <f t="array" ref="Y1224">INDEX(xlRTTYNAME,MATCH(1,(xlRTTYENDU=2)*(xlRTTYEQCL=$F1224)*(xlRTEQTYPE=$G1224),0))</f>
        <v>ELEC_HP3</v>
      </c>
    </row>
    <row r="1225" spans="2:25" ht="14.25" customHeight="1" x14ac:dyDescent="0.2">
      <c r="B1225" s="5">
        <v>6</v>
      </c>
      <c r="C1225" s="5">
        <v>2</v>
      </c>
      <c r="D1225" s="5">
        <v>2</v>
      </c>
      <c r="E1225" s="5">
        <v>4</v>
      </c>
      <c r="F1225" s="5">
        <v>3</v>
      </c>
      <c r="G1225" s="31">
        <v>10</v>
      </c>
      <c r="H1225" s="31">
        <v>2020</v>
      </c>
      <c r="I1225" s="5">
        <v>2022</v>
      </c>
      <c r="J1225" s="142">
        <v>1.087</v>
      </c>
      <c r="K1225" s="142">
        <v>1.0385</v>
      </c>
      <c r="L1225" s="142">
        <v>1.1105</v>
      </c>
      <c r="M1225" s="142">
        <v>1.1228</v>
      </c>
      <c r="N1225" s="142">
        <v>1.3324</v>
      </c>
      <c r="O1225" s="142">
        <v>1.0538000000000001</v>
      </c>
      <c r="P1225" s="26">
        <v>3116.6304013898753</v>
      </c>
      <c r="Q1225" s="35">
        <f t="array" ref="Q1225">SUM(IF(($S1225&gt;=4)*($C1225='TaxCred&amp;Subs'!$D$114:$D$121)*($H1225='TaxCred&amp;Subs'!$C$114:$C$121)*($H1225&lt;='TaxCred&amp;Subs'!$C$123),'TaxCred&amp;Subs'!$E$114:$E$121,0))</f>
        <v>0</v>
      </c>
      <c r="R1225" s="143">
        <v>0</v>
      </c>
      <c r="S1225" s="5">
        <v>4</v>
      </c>
      <c r="T1225" s="5" t="s">
        <v>240</v>
      </c>
      <c r="V1225" s="7" t="str">
        <f t="array" ref="V1225">INDEX(xlRTCLNAME,MATCH(1,(xlRTCLENDU=1)*(xlRTCLEQCL=$D1225),0))</f>
        <v>ELEC_HP</v>
      </c>
      <c r="W1225" s="7" t="str">
        <f t="array" ref="W1225">INDEX(xlRTCLNAME,MATCH(1,(xlRTCLENDU=2)*(xlRTCLEQCL=$F1225),0))</f>
        <v>ELEC_HP</v>
      </c>
      <c r="X1225" s="7" t="str">
        <f t="array" ref="X1225">INDEX(xlRTTYNAME,MATCH(1,(xlRTTYENDU=1)*(xlRTTYEQCL=$D1225)*(xlRTEQTYPE=$E1225),0))</f>
        <v>ELEC_HP3</v>
      </c>
      <c r="Y1225" s="7" t="str">
        <f t="array" ref="Y1225">INDEX(xlRTTYNAME,MATCH(1,(xlRTTYENDU=2)*(xlRTTYEQCL=$F1225)*(xlRTEQTYPE=$G1225),0))</f>
        <v>ELEC_HP3</v>
      </c>
    </row>
    <row r="1226" spans="2:25" ht="14.25" customHeight="1" x14ac:dyDescent="0.2">
      <c r="B1226" s="5">
        <v>6</v>
      </c>
      <c r="C1226" s="5">
        <v>2</v>
      </c>
      <c r="D1226" s="5">
        <v>2</v>
      </c>
      <c r="E1226" s="5">
        <v>4</v>
      </c>
      <c r="F1226" s="5">
        <v>3</v>
      </c>
      <c r="G1226" s="31">
        <v>10</v>
      </c>
      <c r="H1226" s="5">
        <v>2023</v>
      </c>
      <c r="I1226" s="5">
        <v>2032</v>
      </c>
      <c r="J1226" s="142">
        <v>1.087</v>
      </c>
      <c r="K1226" s="142">
        <v>1.0385</v>
      </c>
      <c r="L1226" s="142">
        <v>1.1105</v>
      </c>
      <c r="M1226" s="142">
        <v>1.1228</v>
      </c>
      <c r="N1226" s="142">
        <v>1.3324</v>
      </c>
      <c r="O1226" s="142">
        <v>1.0538000000000001</v>
      </c>
      <c r="P1226" s="26">
        <v>3116.6304013898753</v>
      </c>
      <c r="Q1226" s="35">
        <f t="array" ref="Q1226">SUM(IF(($S1226&gt;=4)*($C1226='TaxCred&amp;Subs'!$D$114:$D$121)*($H1226='TaxCred&amp;Subs'!$C$114:$C$121)*($H1226&lt;='TaxCred&amp;Subs'!$C$123),'TaxCred&amp;Subs'!$E$114:$E$121,0))</f>
        <v>500</v>
      </c>
      <c r="R1226" s="143">
        <v>0</v>
      </c>
      <c r="S1226" s="5">
        <v>4</v>
      </c>
      <c r="T1226" s="5" t="s">
        <v>240</v>
      </c>
      <c r="V1226" s="7" t="str">
        <f t="array" ref="V1226">INDEX(xlRTCLNAME,MATCH(1,(xlRTCLENDU=1)*(xlRTCLEQCL=$D1226),0))</f>
        <v>ELEC_HP</v>
      </c>
      <c r="W1226" s="7" t="str">
        <f t="array" ref="W1226">INDEX(xlRTCLNAME,MATCH(1,(xlRTCLENDU=2)*(xlRTCLEQCL=$F1226),0))</f>
        <v>ELEC_HP</v>
      </c>
      <c r="X1226" s="7" t="str">
        <f t="array" ref="X1226">INDEX(xlRTTYNAME,MATCH(1,(xlRTTYENDU=1)*(xlRTTYEQCL=$D1226)*(xlRTEQTYPE=$E1226),0))</f>
        <v>ELEC_HP3</v>
      </c>
      <c r="Y1226" s="7" t="str">
        <f t="array" ref="Y1226">INDEX(xlRTTYNAME,MATCH(1,(xlRTTYENDU=2)*(xlRTTYEQCL=$F1226)*(xlRTEQTYPE=$G1226),0))</f>
        <v>ELEC_HP3</v>
      </c>
    </row>
    <row r="1227" spans="2:25" ht="14.25" customHeight="1" x14ac:dyDescent="0.2">
      <c r="B1227" s="5">
        <v>6</v>
      </c>
      <c r="C1227" s="5">
        <v>2</v>
      </c>
      <c r="D1227" s="5">
        <v>2</v>
      </c>
      <c r="E1227" s="5">
        <v>4</v>
      </c>
      <c r="F1227" s="5">
        <v>3</v>
      </c>
      <c r="G1227" s="31">
        <v>10</v>
      </c>
      <c r="H1227" s="5">
        <v>2033</v>
      </c>
      <c r="I1227" s="5">
        <v>2050</v>
      </c>
      <c r="J1227" s="142">
        <v>1.087</v>
      </c>
      <c r="K1227" s="142">
        <v>1.0385</v>
      </c>
      <c r="L1227" s="142">
        <v>1.1105</v>
      </c>
      <c r="M1227" s="142">
        <v>1.1228</v>
      </c>
      <c r="N1227" s="142">
        <v>1.3324</v>
      </c>
      <c r="O1227" s="142">
        <v>1.0538000000000001</v>
      </c>
      <c r="P1227" s="26">
        <v>3116.6304013898753</v>
      </c>
      <c r="Q1227" s="35">
        <f t="array" ref="Q1227">SUM(IF(($S1227&gt;=4)*($C1227='TaxCred&amp;Subs'!$D$114:$D$121)*($H1227='TaxCred&amp;Subs'!$C$114:$C$121)*($H1227&lt;='TaxCred&amp;Subs'!$C$123),'TaxCred&amp;Subs'!$E$114:$E$121,0))</f>
        <v>0</v>
      </c>
      <c r="R1227" s="143">
        <v>0</v>
      </c>
      <c r="S1227" s="5">
        <v>4</v>
      </c>
      <c r="T1227" s="5" t="s">
        <v>240</v>
      </c>
      <c r="V1227" s="7" t="str">
        <f t="array" ref="V1227">INDEX(xlRTCLNAME,MATCH(1,(xlRTCLENDU=1)*(xlRTCLEQCL=$D1227),0))</f>
        <v>ELEC_HP</v>
      </c>
      <c r="W1227" s="7" t="str">
        <f t="array" ref="W1227">INDEX(xlRTCLNAME,MATCH(1,(xlRTCLENDU=2)*(xlRTCLEQCL=$F1227),0))</f>
        <v>ELEC_HP</v>
      </c>
      <c r="X1227" s="7" t="str">
        <f t="array" ref="X1227">INDEX(xlRTTYNAME,MATCH(1,(xlRTTYENDU=1)*(xlRTTYEQCL=$D1227)*(xlRTEQTYPE=$E1227),0))</f>
        <v>ELEC_HP3</v>
      </c>
      <c r="Y1227" s="7" t="str">
        <f t="array" ref="Y1227">INDEX(xlRTTYNAME,MATCH(1,(xlRTTYENDU=2)*(xlRTTYEQCL=$F1227)*(xlRTEQTYPE=$G1227),0))</f>
        <v>ELEC_HP3</v>
      </c>
    </row>
    <row r="1228" spans="2:25" ht="14.25" customHeight="1" x14ac:dyDescent="0.2">
      <c r="B1228" s="5">
        <v>7</v>
      </c>
      <c r="C1228" s="5">
        <v>2</v>
      </c>
      <c r="D1228" s="5">
        <v>2</v>
      </c>
      <c r="E1228" s="5">
        <v>4</v>
      </c>
      <c r="F1228" s="5">
        <v>3</v>
      </c>
      <c r="G1228" s="31">
        <v>10</v>
      </c>
      <c r="H1228" s="31">
        <v>2020</v>
      </c>
      <c r="I1228" s="5">
        <v>2022</v>
      </c>
      <c r="J1228" s="142">
        <v>1.1200000000000001</v>
      </c>
      <c r="K1228" s="142">
        <v>1.0435000000000001</v>
      </c>
      <c r="L1228" s="142">
        <v>0.94379999999999997</v>
      </c>
      <c r="M1228" s="142">
        <v>1.1258999999999999</v>
      </c>
      <c r="N1228" s="142">
        <v>1.4438</v>
      </c>
      <c r="O1228" s="142">
        <v>1.0538000000000001</v>
      </c>
      <c r="P1228" s="26">
        <v>2693.1021112959102</v>
      </c>
      <c r="Q1228" s="35">
        <f t="array" ref="Q1228">SUM(IF(($S1228&gt;=4)*($C1228='TaxCred&amp;Subs'!$D$114:$D$121)*($H1228='TaxCred&amp;Subs'!$C$114:$C$121)*($H1228&lt;='TaxCred&amp;Subs'!$C$123),'TaxCred&amp;Subs'!$E$114:$E$121,0))</f>
        <v>0</v>
      </c>
      <c r="R1228" s="143">
        <v>0</v>
      </c>
      <c r="S1228" s="5">
        <v>4</v>
      </c>
      <c r="T1228" s="5" t="s">
        <v>240</v>
      </c>
      <c r="V1228" s="7" t="str">
        <f t="array" ref="V1228">INDEX(xlRTCLNAME,MATCH(1,(xlRTCLENDU=1)*(xlRTCLEQCL=$D1228),0))</f>
        <v>ELEC_HP</v>
      </c>
      <c r="W1228" s="7" t="str">
        <f t="array" ref="W1228">INDEX(xlRTCLNAME,MATCH(1,(xlRTCLENDU=2)*(xlRTCLEQCL=$F1228),0))</f>
        <v>ELEC_HP</v>
      </c>
      <c r="X1228" s="7" t="str">
        <f t="array" ref="X1228">INDEX(xlRTTYNAME,MATCH(1,(xlRTTYENDU=1)*(xlRTTYEQCL=$D1228)*(xlRTEQTYPE=$E1228),0))</f>
        <v>ELEC_HP3</v>
      </c>
      <c r="Y1228" s="7" t="str">
        <f t="array" ref="Y1228">INDEX(xlRTTYNAME,MATCH(1,(xlRTTYENDU=2)*(xlRTTYEQCL=$F1228)*(xlRTEQTYPE=$G1228),0))</f>
        <v>ELEC_HP3</v>
      </c>
    </row>
    <row r="1229" spans="2:25" ht="14.25" customHeight="1" x14ac:dyDescent="0.2">
      <c r="B1229" s="5">
        <v>7</v>
      </c>
      <c r="C1229" s="5">
        <v>2</v>
      </c>
      <c r="D1229" s="5">
        <v>2</v>
      </c>
      <c r="E1229" s="5">
        <v>4</v>
      </c>
      <c r="F1229" s="5">
        <v>3</v>
      </c>
      <c r="G1229" s="31">
        <v>10</v>
      </c>
      <c r="H1229" s="5">
        <v>2023</v>
      </c>
      <c r="I1229" s="5">
        <v>2032</v>
      </c>
      <c r="J1229" s="142">
        <v>1.1200000000000001</v>
      </c>
      <c r="K1229" s="142">
        <v>1.0435000000000001</v>
      </c>
      <c r="L1229" s="142">
        <v>0.94379999999999997</v>
      </c>
      <c r="M1229" s="142">
        <v>1.1258999999999999</v>
      </c>
      <c r="N1229" s="142">
        <v>1.4438</v>
      </c>
      <c r="O1229" s="142">
        <v>1.0538000000000001</v>
      </c>
      <c r="P1229" s="26">
        <v>2693.1021112959102</v>
      </c>
      <c r="Q1229" s="35">
        <f t="array" ref="Q1229">SUM(IF(($S1229&gt;=4)*($C1229='TaxCred&amp;Subs'!$D$114:$D$121)*($H1229='TaxCred&amp;Subs'!$C$114:$C$121)*($H1229&lt;='TaxCred&amp;Subs'!$C$123),'TaxCred&amp;Subs'!$E$114:$E$121,0))</f>
        <v>500</v>
      </c>
      <c r="R1229" s="143">
        <v>0</v>
      </c>
      <c r="S1229" s="5">
        <v>4</v>
      </c>
      <c r="T1229" s="5" t="s">
        <v>240</v>
      </c>
      <c r="V1229" s="7" t="str">
        <f t="array" ref="V1229">INDEX(xlRTCLNAME,MATCH(1,(xlRTCLENDU=1)*(xlRTCLEQCL=$D1229),0))</f>
        <v>ELEC_HP</v>
      </c>
      <c r="W1229" s="7" t="str">
        <f t="array" ref="W1229">INDEX(xlRTCLNAME,MATCH(1,(xlRTCLENDU=2)*(xlRTCLEQCL=$F1229),0))</f>
        <v>ELEC_HP</v>
      </c>
      <c r="X1229" s="7" t="str">
        <f t="array" ref="X1229">INDEX(xlRTTYNAME,MATCH(1,(xlRTTYENDU=1)*(xlRTTYEQCL=$D1229)*(xlRTEQTYPE=$E1229),0))</f>
        <v>ELEC_HP3</v>
      </c>
      <c r="Y1229" s="7" t="str">
        <f t="array" ref="Y1229">INDEX(xlRTTYNAME,MATCH(1,(xlRTTYENDU=2)*(xlRTTYEQCL=$F1229)*(xlRTEQTYPE=$G1229),0))</f>
        <v>ELEC_HP3</v>
      </c>
    </row>
    <row r="1230" spans="2:25" ht="14.25" customHeight="1" x14ac:dyDescent="0.2">
      <c r="B1230" s="5">
        <v>7</v>
      </c>
      <c r="C1230" s="5">
        <v>2</v>
      </c>
      <c r="D1230" s="5">
        <v>2</v>
      </c>
      <c r="E1230" s="5">
        <v>4</v>
      </c>
      <c r="F1230" s="5">
        <v>3</v>
      </c>
      <c r="G1230" s="31">
        <v>10</v>
      </c>
      <c r="H1230" s="5">
        <v>2033</v>
      </c>
      <c r="I1230" s="5">
        <v>2050</v>
      </c>
      <c r="J1230" s="142">
        <v>1.1200000000000001</v>
      </c>
      <c r="K1230" s="142">
        <v>1.0435000000000001</v>
      </c>
      <c r="L1230" s="142">
        <v>0.94379999999999997</v>
      </c>
      <c r="M1230" s="142">
        <v>1.1258999999999999</v>
      </c>
      <c r="N1230" s="142">
        <v>1.4438</v>
      </c>
      <c r="O1230" s="142">
        <v>1.0538000000000001</v>
      </c>
      <c r="P1230" s="26">
        <v>2693.1021112959102</v>
      </c>
      <c r="Q1230" s="35">
        <f t="array" ref="Q1230">SUM(IF(($S1230&gt;=4)*($C1230='TaxCred&amp;Subs'!$D$114:$D$121)*($H1230='TaxCred&amp;Subs'!$C$114:$C$121)*($H1230&lt;='TaxCred&amp;Subs'!$C$123),'TaxCred&amp;Subs'!$E$114:$E$121,0))</f>
        <v>0</v>
      </c>
      <c r="R1230" s="143">
        <v>0</v>
      </c>
      <c r="S1230" s="5">
        <v>4</v>
      </c>
      <c r="T1230" s="5" t="s">
        <v>240</v>
      </c>
      <c r="V1230" s="7" t="str">
        <f t="array" ref="V1230">INDEX(xlRTCLNAME,MATCH(1,(xlRTCLENDU=1)*(xlRTCLEQCL=$D1230),0))</f>
        <v>ELEC_HP</v>
      </c>
      <c r="W1230" s="7" t="str">
        <f t="array" ref="W1230">INDEX(xlRTCLNAME,MATCH(1,(xlRTCLENDU=2)*(xlRTCLEQCL=$F1230),0))</f>
        <v>ELEC_HP</v>
      </c>
      <c r="X1230" s="7" t="str">
        <f t="array" ref="X1230">INDEX(xlRTTYNAME,MATCH(1,(xlRTTYENDU=1)*(xlRTTYEQCL=$D1230)*(xlRTEQTYPE=$E1230),0))</f>
        <v>ELEC_HP3</v>
      </c>
      <c r="Y1230" s="7" t="str">
        <f t="array" ref="Y1230">INDEX(xlRTTYNAME,MATCH(1,(xlRTTYENDU=2)*(xlRTTYEQCL=$F1230)*(xlRTEQTYPE=$G1230),0))</f>
        <v>ELEC_HP3</v>
      </c>
    </row>
    <row r="1231" spans="2:25" ht="14.25" customHeight="1" x14ac:dyDescent="0.2">
      <c r="B1231" s="5">
        <v>8</v>
      </c>
      <c r="C1231" s="5">
        <v>2</v>
      </c>
      <c r="D1231" s="5">
        <v>2</v>
      </c>
      <c r="E1231" s="5">
        <v>4</v>
      </c>
      <c r="F1231" s="5">
        <v>3</v>
      </c>
      <c r="G1231" s="31">
        <v>10</v>
      </c>
      <c r="H1231" s="31">
        <v>2020</v>
      </c>
      <c r="I1231" s="5">
        <v>2022</v>
      </c>
      <c r="J1231" s="142">
        <v>1.0889</v>
      </c>
      <c r="K1231" s="142">
        <v>1.0313000000000001</v>
      </c>
      <c r="L1231" s="142">
        <v>0.99219999999999997</v>
      </c>
      <c r="M1231" s="142">
        <v>1.2739</v>
      </c>
      <c r="N1231" s="142">
        <v>1.2706</v>
      </c>
      <c r="O1231" s="142">
        <v>1.0538000000000001</v>
      </c>
      <c r="P1231" s="26">
        <v>3295.4534572073267</v>
      </c>
      <c r="Q1231" s="35">
        <f t="array" ref="Q1231">SUM(IF(($S1231&gt;=4)*($C1231='TaxCred&amp;Subs'!$D$114:$D$121)*($H1231='TaxCred&amp;Subs'!$C$114:$C$121)*($H1231&lt;='TaxCred&amp;Subs'!$C$123),'TaxCred&amp;Subs'!$E$114:$E$121,0))</f>
        <v>0</v>
      </c>
      <c r="R1231" s="143">
        <v>0</v>
      </c>
      <c r="S1231" s="5">
        <v>4</v>
      </c>
      <c r="T1231" s="5" t="s">
        <v>240</v>
      </c>
      <c r="V1231" s="7" t="str">
        <f t="array" ref="V1231">INDEX(xlRTCLNAME,MATCH(1,(xlRTCLENDU=1)*(xlRTCLEQCL=$D1231),0))</f>
        <v>ELEC_HP</v>
      </c>
      <c r="W1231" s="7" t="str">
        <f t="array" ref="W1231">INDEX(xlRTCLNAME,MATCH(1,(xlRTCLENDU=2)*(xlRTCLEQCL=$F1231),0))</f>
        <v>ELEC_HP</v>
      </c>
      <c r="X1231" s="7" t="str">
        <f t="array" ref="X1231">INDEX(xlRTTYNAME,MATCH(1,(xlRTTYENDU=1)*(xlRTTYEQCL=$D1231)*(xlRTEQTYPE=$E1231),0))</f>
        <v>ELEC_HP3</v>
      </c>
      <c r="Y1231" s="7" t="str">
        <f t="array" ref="Y1231">INDEX(xlRTTYNAME,MATCH(1,(xlRTTYENDU=2)*(xlRTTYEQCL=$F1231)*(xlRTEQTYPE=$G1231),0))</f>
        <v>ELEC_HP3</v>
      </c>
    </row>
    <row r="1232" spans="2:25" ht="14.25" customHeight="1" x14ac:dyDescent="0.2">
      <c r="B1232" s="5">
        <v>8</v>
      </c>
      <c r="C1232" s="5">
        <v>2</v>
      </c>
      <c r="D1232" s="5">
        <v>2</v>
      </c>
      <c r="E1232" s="5">
        <v>4</v>
      </c>
      <c r="F1232" s="5">
        <v>3</v>
      </c>
      <c r="G1232" s="31">
        <v>10</v>
      </c>
      <c r="H1232" s="5">
        <v>2023</v>
      </c>
      <c r="I1232" s="5">
        <v>2032</v>
      </c>
      <c r="J1232" s="142">
        <v>1.0889</v>
      </c>
      <c r="K1232" s="142">
        <v>1.0313000000000001</v>
      </c>
      <c r="L1232" s="142">
        <v>0.99219999999999997</v>
      </c>
      <c r="M1232" s="142">
        <v>1.2739</v>
      </c>
      <c r="N1232" s="142">
        <v>1.2706</v>
      </c>
      <c r="O1232" s="142">
        <v>1.0538000000000001</v>
      </c>
      <c r="P1232" s="26">
        <v>3295.4534572073267</v>
      </c>
      <c r="Q1232" s="35">
        <f t="array" ref="Q1232">SUM(IF(($S1232&gt;=4)*($C1232='TaxCred&amp;Subs'!$D$114:$D$121)*($H1232='TaxCred&amp;Subs'!$C$114:$C$121)*($H1232&lt;='TaxCred&amp;Subs'!$C$123),'TaxCred&amp;Subs'!$E$114:$E$121,0))</f>
        <v>500</v>
      </c>
      <c r="R1232" s="143">
        <v>0</v>
      </c>
      <c r="S1232" s="5">
        <v>4</v>
      </c>
      <c r="T1232" s="5" t="s">
        <v>240</v>
      </c>
      <c r="V1232" s="7" t="str">
        <f t="array" ref="V1232">INDEX(xlRTCLNAME,MATCH(1,(xlRTCLENDU=1)*(xlRTCLEQCL=$D1232),0))</f>
        <v>ELEC_HP</v>
      </c>
      <c r="W1232" s="7" t="str">
        <f t="array" ref="W1232">INDEX(xlRTCLNAME,MATCH(1,(xlRTCLENDU=2)*(xlRTCLEQCL=$F1232),0))</f>
        <v>ELEC_HP</v>
      </c>
      <c r="X1232" s="7" t="str">
        <f t="array" ref="X1232">INDEX(xlRTTYNAME,MATCH(1,(xlRTTYENDU=1)*(xlRTTYEQCL=$D1232)*(xlRTEQTYPE=$E1232),0))</f>
        <v>ELEC_HP3</v>
      </c>
      <c r="Y1232" s="7" t="str">
        <f t="array" ref="Y1232">INDEX(xlRTTYNAME,MATCH(1,(xlRTTYENDU=2)*(xlRTTYEQCL=$F1232)*(xlRTEQTYPE=$G1232),0))</f>
        <v>ELEC_HP3</v>
      </c>
    </row>
    <row r="1233" spans="2:25" ht="14.25" customHeight="1" x14ac:dyDescent="0.2">
      <c r="B1233" s="5">
        <v>8</v>
      </c>
      <c r="C1233" s="5">
        <v>2</v>
      </c>
      <c r="D1233" s="5">
        <v>2</v>
      </c>
      <c r="E1233" s="5">
        <v>4</v>
      </c>
      <c r="F1233" s="5">
        <v>3</v>
      </c>
      <c r="G1233" s="31">
        <v>10</v>
      </c>
      <c r="H1233" s="5">
        <v>2033</v>
      </c>
      <c r="I1233" s="5">
        <v>2050</v>
      </c>
      <c r="J1233" s="142">
        <v>1.0889</v>
      </c>
      <c r="K1233" s="142">
        <v>1.0313000000000001</v>
      </c>
      <c r="L1233" s="142">
        <v>0.99219999999999997</v>
      </c>
      <c r="M1233" s="142">
        <v>1.2739</v>
      </c>
      <c r="N1233" s="142">
        <v>1.2706</v>
      </c>
      <c r="O1233" s="142">
        <v>1.0538000000000001</v>
      </c>
      <c r="P1233" s="26">
        <v>3295.4534572073267</v>
      </c>
      <c r="Q1233" s="35">
        <f t="array" ref="Q1233">SUM(IF(($S1233&gt;=4)*($C1233='TaxCred&amp;Subs'!$D$114:$D$121)*($H1233='TaxCred&amp;Subs'!$C$114:$C$121)*($H1233&lt;='TaxCred&amp;Subs'!$C$123),'TaxCred&amp;Subs'!$E$114:$E$121,0))</f>
        <v>0</v>
      </c>
      <c r="R1233" s="143">
        <v>0</v>
      </c>
      <c r="S1233" s="5">
        <v>4</v>
      </c>
      <c r="T1233" s="5" t="s">
        <v>240</v>
      </c>
      <c r="V1233" s="7" t="str">
        <f t="array" ref="V1233">INDEX(xlRTCLNAME,MATCH(1,(xlRTCLENDU=1)*(xlRTCLEQCL=$D1233),0))</f>
        <v>ELEC_HP</v>
      </c>
      <c r="W1233" s="7" t="str">
        <f t="array" ref="W1233">INDEX(xlRTCLNAME,MATCH(1,(xlRTCLENDU=2)*(xlRTCLEQCL=$F1233),0))</f>
        <v>ELEC_HP</v>
      </c>
      <c r="X1233" s="7" t="str">
        <f t="array" ref="X1233">INDEX(xlRTTYNAME,MATCH(1,(xlRTTYENDU=1)*(xlRTTYEQCL=$D1233)*(xlRTEQTYPE=$E1233),0))</f>
        <v>ELEC_HP3</v>
      </c>
      <c r="Y1233" s="7" t="str">
        <f t="array" ref="Y1233">INDEX(xlRTTYNAME,MATCH(1,(xlRTTYENDU=2)*(xlRTTYEQCL=$F1233)*(xlRTEQTYPE=$G1233),0))</f>
        <v>ELEC_HP3</v>
      </c>
    </row>
    <row r="1234" spans="2:25" ht="14.25" customHeight="1" x14ac:dyDescent="0.2">
      <c r="B1234" s="5">
        <v>9</v>
      </c>
      <c r="C1234" s="5">
        <v>2</v>
      </c>
      <c r="D1234" s="5">
        <v>2</v>
      </c>
      <c r="E1234" s="5">
        <v>4</v>
      </c>
      <c r="F1234" s="5">
        <v>3</v>
      </c>
      <c r="G1234" s="31">
        <v>10</v>
      </c>
      <c r="H1234" s="31">
        <v>2020</v>
      </c>
      <c r="I1234" s="5">
        <v>2022</v>
      </c>
      <c r="J1234" s="142">
        <v>1.1200000000000001</v>
      </c>
      <c r="K1234" s="142">
        <v>1.0512999999999999</v>
      </c>
      <c r="L1234" s="142">
        <v>2</v>
      </c>
      <c r="M1234" s="142">
        <v>1.1667000000000001</v>
      </c>
      <c r="N1234" s="142">
        <v>1.4438</v>
      </c>
      <c r="O1234" s="142">
        <v>1.0538000000000001</v>
      </c>
      <c r="P1234" s="26">
        <v>3264.5291693591957</v>
      </c>
      <c r="Q1234" s="35">
        <f t="array" ref="Q1234">SUM(IF(($S1234&gt;=4)*($C1234='TaxCred&amp;Subs'!$D$114:$D$121)*($H1234='TaxCred&amp;Subs'!$C$114:$C$121)*($H1234&lt;='TaxCred&amp;Subs'!$C$123),'TaxCred&amp;Subs'!$E$114:$E$121,0))</f>
        <v>0</v>
      </c>
      <c r="R1234" s="143">
        <v>0</v>
      </c>
      <c r="S1234" s="5">
        <v>4</v>
      </c>
      <c r="T1234" s="5" t="s">
        <v>240</v>
      </c>
      <c r="V1234" s="7" t="str">
        <f t="array" ref="V1234">INDEX(xlRTCLNAME,MATCH(1,(xlRTCLENDU=1)*(xlRTCLEQCL=$D1234),0))</f>
        <v>ELEC_HP</v>
      </c>
      <c r="W1234" s="7" t="str">
        <f t="array" ref="W1234">INDEX(xlRTCLNAME,MATCH(1,(xlRTCLENDU=2)*(xlRTCLEQCL=$F1234),0))</f>
        <v>ELEC_HP</v>
      </c>
      <c r="X1234" s="7" t="str">
        <f t="array" ref="X1234">INDEX(xlRTTYNAME,MATCH(1,(xlRTTYENDU=1)*(xlRTTYEQCL=$D1234)*(xlRTEQTYPE=$E1234),0))</f>
        <v>ELEC_HP3</v>
      </c>
      <c r="Y1234" s="7" t="str">
        <f t="array" ref="Y1234">INDEX(xlRTTYNAME,MATCH(1,(xlRTTYENDU=2)*(xlRTTYEQCL=$F1234)*(xlRTEQTYPE=$G1234),0))</f>
        <v>ELEC_HP3</v>
      </c>
    </row>
    <row r="1235" spans="2:25" ht="14.25" customHeight="1" x14ac:dyDescent="0.2">
      <c r="B1235" s="5">
        <v>9</v>
      </c>
      <c r="C1235" s="5">
        <v>2</v>
      </c>
      <c r="D1235" s="5">
        <v>2</v>
      </c>
      <c r="E1235" s="5">
        <v>4</v>
      </c>
      <c r="F1235" s="5">
        <v>3</v>
      </c>
      <c r="G1235" s="31">
        <v>10</v>
      </c>
      <c r="H1235" s="5">
        <v>2023</v>
      </c>
      <c r="I1235" s="5">
        <v>2032</v>
      </c>
      <c r="J1235" s="142">
        <v>1.1200000000000001</v>
      </c>
      <c r="K1235" s="142">
        <v>1.0512999999999999</v>
      </c>
      <c r="L1235" s="142">
        <v>2</v>
      </c>
      <c r="M1235" s="142">
        <v>1.1667000000000001</v>
      </c>
      <c r="N1235" s="142">
        <v>1.4438</v>
      </c>
      <c r="O1235" s="142">
        <v>1.0538000000000001</v>
      </c>
      <c r="P1235" s="26">
        <v>3264.5291693591957</v>
      </c>
      <c r="Q1235" s="35">
        <f t="array" ref="Q1235">SUM(IF(($S1235&gt;=4)*($C1235='TaxCred&amp;Subs'!$D$114:$D$121)*($H1235='TaxCred&amp;Subs'!$C$114:$C$121)*($H1235&lt;='TaxCred&amp;Subs'!$C$123),'TaxCred&amp;Subs'!$E$114:$E$121,0))</f>
        <v>500</v>
      </c>
      <c r="R1235" s="143">
        <v>0</v>
      </c>
      <c r="S1235" s="5">
        <v>4</v>
      </c>
      <c r="T1235" s="5" t="s">
        <v>240</v>
      </c>
      <c r="V1235" s="7" t="str">
        <f t="array" ref="V1235">INDEX(xlRTCLNAME,MATCH(1,(xlRTCLENDU=1)*(xlRTCLEQCL=$D1235),0))</f>
        <v>ELEC_HP</v>
      </c>
      <c r="W1235" s="7" t="str">
        <f t="array" ref="W1235">INDEX(xlRTCLNAME,MATCH(1,(xlRTCLENDU=2)*(xlRTCLEQCL=$F1235),0))</f>
        <v>ELEC_HP</v>
      </c>
      <c r="X1235" s="7" t="str">
        <f t="array" ref="X1235">INDEX(xlRTTYNAME,MATCH(1,(xlRTTYENDU=1)*(xlRTTYEQCL=$D1235)*(xlRTEQTYPE=$E1235),0))</f>
        <v>ELEC_HP3</v>
      </c>
      <c r="Y1235" s="7" t="str">
        <f t="array" ref="Y1235">INDEX(xlRTTYNAME,MATCH(1,(xlRTTYENDU=2)*(xlRTTYEQCL=$F1235)*(xlRTEQTYPE=$G1235),0))</f>
        <v>ELEC_HP3</v>
      </c>
    </row>
    <row r="1236" spans="2:25" ht="14.25" customHeight="1" x14ac:dyDescent="0.2">
      <c r="B1236" s="5">
        <v>9</v>
      </c>
      <c r="C1236" s="5">
        <v>2</v>
      </c>
      <c r="D1236" s="5">
        <v>2</v>
      </c>
      <c r="E1236" s="5">
        <v>4</v>
      </c>
      <c r="F1236" s="5">
        <v>3</v>
      </c>
      <c r="G1236" s="31">
        <v>10</v>
      </c>
      <c r="H1236" s="5">
        <v>2033</v>
      </c>
      <c r="I1236" s="5">
        <v>2050</v>
      </c>
      <c r="J1236" s="142">
        <v>1.1200000000000001</v>
      </c>
      <c r="K1236" s="142">
        <v>1.0512999999999999</v>
      </c>
      <c r="L1236" s="142">
        <v>2</v>
      </c>
      <c r="M1236" s="142">
        <v>1.1667000000000001</v>
      </c>
      <c r="N1236" s="142">
        <v>1.4438</v>
      </c>
      <c r="O1236" s="142">
        <v>1.0538000000000001</v>
      </c>
      <c r="P1236" s="26">
        <v>3264.5291693591957</v>
      </c>
      <c r="Q1236" s="35">
        <f t="array" ref="Q1236">SUM(IF(($S1236&gt;=4)*($C1236='TaxCred&amp;Subs'!$D$114:$D$121)*($H1236='TaxCred&amp;Subs'!$C$114:$C$121)*($H1236&lt;='TaxCred&amp;Subs'!$C$123),'TaxCred&amp;Subs'!$E$114:$E$121,0))</f>
        <v>0</v>
      </c>
      <c r="R1236" s="143">
        <v>0</v>
      </c>
      <c r="S1236" s="5">
        <v>4</v>
      </c>
      <c r="T1236" s="5" t="s">
        <v>240</v>
      </c>
      <c r="V1236" s="7" t="str">
        <f t="array" ref="V1236">INDEX(xlRTCLNAME,MATCH(1,(xlRTCLENDU=1)*(xlRTCLEQCL=$D1236),0))</f>
        <v>ELEC_HP</v>
      </c>
      <c r="W1236" s="7" t="str">
        <f t="array" ref="W1236">INDEX(xlRTCLNAME,MATCH(1,(xlRTCLENDU=2)*(xlRTCLEQCL=$F1236),0))</f>
        <v>ELEC_HP</v>
      </c>
      <c r="X1236" s="7" t="str">
        <f t="array" ref="X1236">INDEX(xlRTTYNAME,MATCH(1,(xlRTTYENDU=1)*(xlRTTYEQCL=$D1236)*(xlRTEQTYPE=$E1236),0))</f>
        <v>ELEC_HP3</v>
      </c>
      <c r="Y1236" s="7" t="str">
        <f t="array" ref="Y1236">INDEX(xlRTTYNAME,MATCH(1,(xlRTTYENDU=2)*(xlRTTYEQCL=$F1236)*(xlRTEQTYPE=$G1236),0))</f>
        <v>ELEC_HP3</v>
      </c>
    </row>
    <row r="1237" spans="2:25" ht="14.25" customHeight="1" x14ac:dyDescent="0.2">
      <c r="B1237" s="5">
        <v>1</v>
      </c>
      <c r="C1237" s="5">
        <v>2</v>
      </c>
      <c r="D1237" s="5">
        <v>3</v>
      </c>
      <c r="E1237" s="5">
        <v>8</v>
      </c>
      <c r="F1237" s="5">
        <v>2</v>
      </c>
      <c r="G1237" s="31">
        <v>6</v>
      </c>
      <c r="H1237" s="31">
        <v>2020</v>
      </c>
      <c r="I1237" s="5">
        <v>2022</v>
      </c>
      <c r="J1237" s="142">
        <v>1.1042000000000001</v>
      </c>
      <c r="K1237" s="142">
        <v>1.0417000000000001</v>
      </c>
      <c r="L1237" s="142">
        <v>0.89459999999999995</v>
      </c>
      <c r="M1237" s="142">
        <v>1.1228</v>
      </c>
      <c r="N1237" s="142">
        <v>1.1127</v>
      </c>
      <c r="O1237" s="142">
        <v>1.0538000000000001</v>
      </c>
      <c r="P1237" s="26">
        <v>4871.2476032077293</v>
      </c>
      <c r="Q1237" s="35">
        <f t="array" ref="Q1237">SUM(IF(($S1237&gt;=4)*($C1237='TaxCred&amp;Subs'!$D$114:$D$121)*($H1237='TaxCred&amp;Subs'!$C$114:$C$121)*($H1237&lt;='TaxCred&amp;Subs'!$C$123),'TaxCred&amp;Subs'!$E$114:$E$121,0))</f>
        <v>0</v>
      </c>
      <c r="R1237" s="143">
        <v>0</v>
      </c>
      <c r="S1237" s="5">
        <v>4</v>
      </c>
      <c r="T1237" s="5" t="s">
        <v>240</v>
      </c>
      <c r="V1237" s="7" t="str">
        <f t="array" ref="V1237">INDEX(xlRTCLNAME,MATCH(1,(xlRTCLENDU=1)*(xlRTCLEQCL=$D1237),0))</f>
        <v>NG_FA</v>
      </c>
      <c r="W1237" s="7" t="str">
        <f t="array" ref="W1237">INDEX(xlRTCLNAME,MATCH(1,(xlRTCLENDU=2)*(xlRTCLEQCL=$F1237),0))</f>
        <v>CENT_AIR</v>
      </c>
      <c r="X1237" s="7" t="str">
        <f t="array" ref="X1237">INDEX(xlRTTYNAME,MATCH(1,(xlRTTYENDU=1)*(xlRTTYEQCL=$D1237)*(xlRTEQTYPE=$E1237),0))</f>
        <v>NG_FA3</v>
      </c>
      <c r="Y1237" s="7" t="str">
        <f t="array" ref="Y1237">INDEX(xlRTTYNAME,MATCH(1,(xlRTTYENDU=2)*(xlRTTYEQCL=$F1237)*(xlRTEQTYPE=$G1237),0))</f>
        <v>CENT_AIR3</v>
      </c>
    </row>
    <row r="1238" spans="2:25" ht="14.25" customHeight="1" x14ac:dyDescent="0.2">
      <c r="B1238" s="5">
        <v>1</v>
      </c>
      <c r="C1238" s="5">
        <v>2</v>
      </c>
      <c r="D1238" s="5">
        <v>3</v>
      </c>
      <c r="E1238" s="5">
        <v>8</v>
      </c>
      <c r="F1238" s="5">
        <v>2</v>
      </c>
      <c r="G1238" s="31">
        <v>6</v>
      </c>
      <c r="H1238" s="5">
        <v>2023</v>
      </c>
      <c r="I1238" s="31">
        <v>2028</v>
      </c>
      <c r="J1238" s="142">
        <v>1.1042000000000001</v>
      </c>
      <c r="K1238" s="142">
        <v>1.0417000000000001</v>
      </c>
      <c r="L1238" s="142">
        <v>0.89459999999999995</v>
      </c>
      <c r="M1238" s="142">
        <v>1.1228</v>
      </c>
      <c r="N1238" s="142">
        <v>1.1127</v>
      </c>
      <c r="O1238" s="142">
        <v>1.0538000000000001</v>
      </c>
      <c r="P1238" s="26">
        <v>4871.2476032077293</v>
      </c>
      <c r="Q1238" s="35">
        <f t="array" ref="Q1238">SUM(IF(($S1238&gt;=4)*($C1238='TaxCred&amp;Subs'!$D$114:$D$121)*($H1238='TaxCred&amp;Subs'!$C$114:$C$121)*($H1238&lt;='TaxCred&amp;Subs'!$C$123),'TaxCred&amp;Subs'!$E$114:$E$121,0))</f>
        <v>500</v>
      </c>
      <c r="R1238" s="143">
        <v>0</v>
      </c>
      <c r="S1238" s="5">
        <v>4</v>
      </c>
      <c r="T1238" s="5" t="s">
        <v>240</v>
      </c>
      <c r="V1238" s="7" t="str">
        <f t="array" ref="V1238">INDEX(xlRTCLNAME,MATCH(1,(xlRTCLENDU=1)*(xlRTCLEQCL=$D1238),0))</f>
        <v>NG_FA</v>
      </c>
      <c r="W1238" s="7" t="str">
        <f t="array" ref="W1238">INDEX(xlRTCLNAME,MATCH(1,(xlRTCLENDU=2)*(xlRTCLEQCL=$F1238),0))</f>
        <v>CENT_AIR</v>
      </c>
      <c r="X1238" s="7" t="str">
        <f t="array" ref="X1238">INDEX(xlRTTYNAME,MATCH(1,(xlRTTYENDU=1)*(xlRTTYEQCL=$D1238)*(xlRTEQTYPE=$E1238),0))</f>
        <v>NG_FA3</v>
      </c>
      <c r="Y1238" s="7" t="str">
        <f t="array" ref="Y1238">INDEX(xlRTTYNAME,MATCH(1,(xlRTTYENDU=2)*(xlRTTYEQCL=$F1238)*(xlRTEQTYPE=$G1238),0))</f>
        <v>CENT_AIR3</v>
      </c>
    </row>
    <row r="1239" spans="2:25" ht="14.25" customHeight="1" x14ac:dyDescent="0.2">
      <c r="B1239" s="152">
        <v>1</v>
      </c>
      <c r="C1239" s="152">
        <v>2</v>
      </c>
      <c r="D1239" s="152">
        <v>3</v>
      </c>
      <c r="E1239" s="152">
        <v>9</v>
      </c>
      <c r="F1239" s="152">
        <v>2</v>
      </c>
      <c r="G1239" s="152">
        <v>6</v>
      </c>
      <c r="H1239" s="152">
        <v>2029</v>
      </c>
      <c r="I1239" s="152">
        <v>2032</v>
      </c>
      <c r="J1239" s="229">
        <v>1.1042000000000001</v>
      </c>
      <c r="K1239" s="229">
        <v>1.0417000000000001</v>
      </c>
      <c r="L1239" s="229">
        <v>0.89459999999999995</v>
      </c>
      <c r="M1239" s="229">
        <v>1.1228</v>
      </c>
      <c r="N1239" s="229">
        <v>1.1127</v>
      </c>
      <c r="O1239" s="229">
        <v>1.0538000000000001</v>
      </c>
      <c r="P1239" s="155">
        <v>4871.2476032077293</v>
      </c>
      <c r="Q1239" s="41">
        <f t="array" ref="Q1239">SUM(IF(($S1239&gt;=4)*($C1239='TaxCred&amp;Subs'!$D$114:$D$121)*($H1239='TaxCred&amp;Subs'!$C$114:$C$121)*($H1239&lt;='TaxCred&amp;Subs'!$C$123),'TaxCred&amp;Subs'!$E$114:$E$121,0))</f>
        <v>500</v>
      </c>
      <c r="R1239" s="230">
        <v>0</v>
      </c>
      <c r="S1239" s="152">
        <v>4</v>
      </c>
      <c r="T1239" s="152" t="s">
        <v>240</v>
      </c>
      <c r="V1239" s="7" t="str">
        <f t="array" ref="V1239">INDEX(xlRTCLNAME,MATCH(1,(xlRTCLENDU=1)*(xlRTCLEQCL=$D1239),0))</f>
        <v>NG_FA</v>
      </c>
      <c r="W1239" s="7" t="str">
        <f t="array" ref="W1239">INDEX(xlRTCLNAME,MATCH(1,(xlRTCLENDU=2)*(xlRTCLEQCL=$F1239),0))</f>
        <v>CENT_AIR</v>
      </c>
      <c r="X1239" s="7" t="str">
        <f t="array" ref="X1239">INDEX(xlRTTYNAME,MATCH(1,(xlRTTYENDU=1)*(xlRTTYEQCL=$D1239)*(xlRTEQTYPE=$E1239),0))</f>
        <v>NG_FA4</v>
      </c>
      <c r="Y1239" s="7" t="str">
        <f t="array" ref="Y1239">INDEX(xlRTTYNAME,MATCH(1,(xlRTTYENDU=2)*(xlRTTYEQCL=$F1239)*(xlRTEQTYPE=$G1239),0))</f>
        <v>CENT_AIR3</v>
      </c>
    </row>
    <row r="1240" spans="2:25" ht="14.25" customHeight="1" x14ac:dyDescent="0.2">
      <c r="B1240" s="5">
        <v>1</v>
      </c>
      <c r="C1240" s="5">
        <v>2</v>
      </c>
      <c r="D1240" s="5">
        <v>3</v>
      </c>
      <c r="E1240" s="31">
        <v>9</v>
      </c>
      <c r="F1240" s="5">
        <v>2</v>
      </c>
      <c r="G1240" s="31">
        <v>6</v>
      </c>
      <c r="H1240" s="5">
        <v>2033</v>
      </c>
      <c r="I1240" s="5">
        <v>2050</v>
      </c>
      <c r="J1240" s="142">
        <v>1.1042000000000001</v>
      </c>
      <c r="K1240" s="142">
        <v>1.0417000000000001</v>
      </c>
      <c r="L1240" s="142">
        <v>0.89459999999999995</v>
      </c>
      <c r="M1240" s="142">
        <v>1.1228</v>
      </c>
      <c r="N1240" s="142">
        <v>1.1127</v>
      </c>
      <c r="O1240" s="142">
        <v>1.0538000000000001</v>
      </c>
      <c r="P1240" s="26">
        <v>4871.2476032077293</v>
      </c>
      <c r="Q1240" s="35">
        <f t="array" ref="Q1240">SUM(IF(($S1240&gt;=4)*($C1240='TaxCred&amp;Subs'!$D$114:$D$121)*($H1240='TaxCred&amp;Subs'!$C$114:$C$121)*($H1240&lt;='TaxCred&amp;Subs'!$C$123),'TaxCred&amp;Subs'!$E$114:$E$121,0))</f>
        <v>0</v>
      </c>
      <c r="R1240" s="143">
        <v>0</v>
      </c>
      <c r="S1240" s="5">
        <v>4</v>
      </c>
      <c r="T1240" s="5" t="s">
        <v>240</v>
      </c>
      <c r="V1240" s="7" t="str">
        <f t="array" ref="V1240">INDEX(xlRTCLNAME,MATCH(1,(xlRTCLENDU=1)*(xlRTCLEQCL=$D1240),0))</f>
        <v>NG_FA</v>
      </c>
      <c r="W1240" s="7" t="str">
        <f t="array" ref="W1240">INDEX(xlRTCLNAME,MATCH(1,(xlRTCLENDU=2)*(xlRTCLEQCL=$F1240),0))</f>
        <v>CENT_AIR</v>
      </c>
      <c r="X1240" s="7" t="str">
        <f t="array" ref="X1240">INDEX(xlRTTYNAME,MATCH(1,(xlRTTYENDU=1)*(xlRTTYEQCL=$D1240)*(xlRTEQTYPE=$E1240),0))</f>
        <v>NG_FA4</v>
      </c>
      <c r="Y1240" s="7" t="str">
        <f t="array" ref="Y1240">INDEX(xlRTTYNAME,MATCH(1,(xlRTTYENDU=2)*(xlRTTYEQCL=$F1240)*(xlRTEQTYPE=$G1240),0))</f>
        <v>CENT_AIR3</v>
      </c>
    </row>
    <row r="1241" spans="2:25" ht="14.25" customHeight="1" x14ac:dyDescent="0.2">
      <c r="B1241" s="5">
        <v>2</v>
      </c>
      <c r="C1241" s="5">
        <v>2</v>
      </c>
      <c r="D1241" s="5">
        <v>3</v>
      </c>
      <c r="E1241" s="5">
        <v>8</v>
      </c>
      <c r="F1241" s="5">
        <v>2</v>
      </c>
      <c r="G1241" s="31">
        <v>6</v>
      </c>
      <c r="H1241" s="31">
        <v>2020</v>
      </c>
      <c r="I1241" s="5">
        <v>2022</v>
      </c>
      <c r="J1241" s="142">
        <v>1.0847</v>
      </c>
      <c r="K1241" s="142">
        <v>1.0357000000000001</v>
      </c>
      <c r="L1241" s="142">
        <v>0.91410000000000002</v>
      </c>
      <c r="M1241" s="142">
        <v>1.1625000000000001</v>
      </c>
      <c r="N1241" s="142">
        <v>1.1162000000000001</v>
      </c>
      <c r="O1241" s="142">
        <v>1.0538000000000001</v>
      </c>
      <c r="P1241" s="26">
        <v>3979.8213926290036</v>
      </c>
      <c r="Q1241" s="35">
        <f t="array" ref="Q1241">SUM(IF(($S1241&gt;=4)*($C1241='TaxCred&amp;Subs'!$D$114:$D$121)*($H1241='TaxCred&amp;Subs'!$C$114:$C$121)*($H1241&lt;='TaxCred&amp;Subs'!$C$123),'TaxCred&amp;Subs'!$E$114:$E$121,0))</f>
        <v>0</v>
      </c>
      <c r="R1241" s="143">
        <v>0</v>
      </c>
      <c r="S1241" s="5">
        <v>4</v>
      </c>
      <c r="T1241" s="5" t="s">
        <v>240</v>
      </c>
      <c r="V1241" s="7" t="str">
        <f t="array" ref="V1241">INDEX(xlRTCLNAME,MATCH(1,(xlRTCLENDU=1)*(xlRTCLEQCL=$D1241),0))</f>
        <v>NG_FA</v>
      </c>
      <c r="W1241" s="7" t="str">
        <f t="array" ref="W1241">INDEX(xlRTCLNAME,MATCH(1,(xlRTCLENDU=2)*(xlRTCLEQCL=$F1241),0))</f>
        <v>CENT_AIR</v>
      </c>
      <c r="X1241" s="7" t="str">
        <f t="array" ref="X1241">INDEX(xlRTTYNAME,MATCH(1,(xlRTTYENDU=1)*(xlRTTYEQCL=$D1241)*(xlRTEQTYPE=$E1241),0))</f>
        <v>NG_FA3</v>
      </c>
      <c r="Y1241" s="7" t="str">
        <f t="array" ref="Y1241">INDEX(xlRTTYNAME,MATCH(1,(xlRTTYENDU=2)*(xlRTTYEQCL=$F1241)*(xlRTEQTYPE=$G1241),0))</f>
        <v>CENT_AIR3</v>
      </c>
    </row>
    <row r="1242" spans="2:25" ht="14.25" customHeight="1" x14ac:dyDescent="0.2">
      <c r="B1242" s="5">
        <v>2</v>
      </c>
      <c r="C1242" s="5">
        <v>2</v>
      </c>
      <c r="D1242" s="5">
        <v>3</v>
      </c>
      <c r="E1242" s="5">
        <v>8</v>
      </c>
      <c r="F1242" s="5">
        <v>2</v>
      </c>
      <c r="G1242" s="31">
        <v>6</v>
      </c>
      <c r="H1242" s="5">
        <v>2023</v>
      </c>
      <c r="I1242" s="31">
        <v>2028</v>
      </c>
      <c r="J1242" s="142">
        <v>1.0847</v>
      </c>
      <c r="K1242" s="142">
        <v>1.0357000000000001</v>
      </c>
      <c r="L1242" s="142">
        <v>0.91410000000000002</v>
      </c>
      <c r="M1242" s="142">
        <v>1.1625000000000001</v>
      </c>
      <c r="N1242" s="142">
        <v>1.1162000000000001</v>
      </c>
      <c r="O1242" s="142">
        <v>1.0538000000000001</v>
      </c>
      <c r="P1242" s="26">
        <v>3979.8213926290036</v>
      </c>
      <c r="Q1242" s="35">
        <f t="array" ref="Q1242">SUM(IF(($S1242&gt;=4)*($C1242='TaxCred&amp;Subs'!$D$114:$D$121)*($H1242='TaxCred&amp;Subs'!$C$114:$C$121)*($H1242&lt;='TaxCred&amp;Subs'!$C$123),'TaxCred&amp;Subs'!$E$114:$E$121,0))</f>
        <v>500</v>
      </c>
      <c r="R1242" s="143">
        <v>0</v>
      </c>
      <c r="S1242" s="5">
        <v>4</v>
      </c>
      <c r="T1242" s="5" t="s">
        <v>240</v>
      </c>
      <c r="V1242" s="7" t="str">
        <f t="array" ref="V1242">INDEX(xlRTCLNAME,MATCH(1,(xlRTCLENDU=1)*(xlRTCLEQCL=$D1242),0))</f>
        <v>NG_FA</v>
      </c>
      <c r="W1242" s="7" t="str">
        <f t="array" ref="W1242">INDEX(xlRTCLNAME,MATCH(1,(xlRTCLENDU=2)*(xlRTCLEQCL=$F1242),0))</f>
        <v>CENT_AIR</v>
      </c>
      <c r="X1242" s="7" t="str">
        <f t="array" ref="X1242">INDEX(xlRTTYNAME,MATCH(1,(xlRTTYENDU=1)*(xlRTTYEQCL=$D1242)*(xlRTEQTYPE=$E1242),0))</f>
        <v>NG_FA3</v>
      </c>
      <c r="Y1242" s="7" t="str">
        <f t="array" ref="Y1242">INDEX(xlRTTYNAME,MATCH(1,(xlRTTYENDU=2)*(xlRTTYEQCL=$F1242)*(xlRTEQTYPE=$G1242),0))</f>
        <v>CENT_AIR3</v>
      </c>
    </row>
    <row r="1243" spans="2:25" ht="14.25" customHeight="1" x14ac:dyDescent="0.2">
      <c r="B1243" s="152">
        <v>2</v>
      </c>
      <c r="C1243" s="152">
        <v>2</v>
      </c>
      <c r="D1243" s="152">
        <v>3</v>
      </c>
      <c r="E1243" s="152">
        <v>9</v>
      </c>
      <c r="F1243" s="152">
        <v>2</v>
      </c>
      <c r="G1243" s="152">
        <v>6</v>
      </c>
      <c r="H1243" s="152">
        <v>2029</v>
      </c>
      <c r="I1243" s="152">
        <v>2032</v>
      </c>
      <c r="J1243" s="229">
        <v>1.0847</v>
      </c>
      <c r="K1243" s="229">
        <v>1.0357000000000001</v>
      </c>
      <c r="L1243" s="229">
        <v>0.91410000000000002</v>
      </c>
      <c r="M1243" s="229">
        <v>1.1625000000000001</v>
      </c>
      <c r="N1243" s="229">
        <v>1.1162000000000001</v>
      </c>
      <c r="O1243" s="229">
        <v>1.0538000000000001</v>
      </c>
      <c r="P1243" s="155">
        <v>3979.8213926290036</v>
      </c>
      <c r="Q1243" s="41">
        <f t="array" ref="Q1243">SUM(IF(($S1243&gt;=4)*($C1243='TaxCred&amp;Subs'!$D$114:$D$121)*($H1243='TaxCred&amp;Subs'!$C$114:$C$121)*($H1243&lt;='TaxCred&amp;Subs'!$C$123),'TaxCred&amp;Subs'!$E$114:$E$121,0))</f>
        <v>500</v>
      </c>
      <c r="R1243" s="230">
        <v>0</v>
      </c>
      <c r="S1243" s="152">
        <v>4</v>
      </c>
      <c r="T1243" s="152" t="s">
        <v>240</v>
      </c>
      <c r="V1243" s="7" t="str">
        <f t="array" ref="V1243">INDEX(xlRTCLNAME,MATCH(1,(xlRTCLENDU=1)*(xlRTCLEQCL=$D1243),0))</f>
        <v>NG_FA</v>
      </c>
      <c r="W1243" s="7" t="str">
        <f t="array" ref="W1243">INDEX(xlRTCLNAME,MATCH(1,(xlRTCLENDU=2)*(xlRTCLEQCL=$F1243),0))</f>
        <v>CENT_AIR</v>
      </c>
      <c r="X1243" s="7" t="str">
        <f t="array" ref="X1243">INDEX(xlRTTYNAME,MATCH(1,(xlRTTYENDU=1)*(xlRTTYEQCL=$D1243)*(xlRTEQTYPE=$E1243),0))</f>
        <v>NG_FA4</v>
      </c>
      <c r="Y1243" s="7" t="str">
        <f t="array" ref="Y1243">INDEX(xlRTTYNAME,MATCH(1,(xlRTTYENDU=2)*(xlRTTYEQCL=$F1243)*(xlRTEQTYPE=$G1243),0))</f>
        <v>CENT_AIR3</v>
      </c>
    </row>
    <row r="1244" spans="2:25" ht="14.25" customHeight="1" x14ac:dyDescent="0.2">
      <c r="B1244" s="5">
        <v>2</v>
      </c>
      <c r="C1244" s="5">
        <v>2</v>
      </c>
      <c r="D1244" s="5">
        <v>3</v>
      </c>
      <c r="E1244" s="31">
        <v>9</v>
      </c>
      <c r="F1244" s="5">
        <v>2</v>
      </c>
      <c r="G1244" s="31">
        <v>6</v>
      </c>
      <c r="H1244" s="5">
        <v>2033</v>
      </c>
      <c r="I1244" s="5">
        <v>2050</v>
      </c>
      <c r="J1244" s="142">
        <v>1.0847</v>
      </c>
      <c r="K1244" s="142">
        <v>1.0357000000000001</v>
      </c>
      <c r="L1244" s="142">
        <v>0.91410000000000002</v>
      </c>
      <c r="M1244" s="142">
        <v>1.1625000000000001</v>
      </c>
      <c r="N1244" s="142">
        <v>1.1162000000000001</v>
      </c>
      <c r="O1244" s="142">
        <v>1.0538000000000001</v>
      </c>
      <c r="P1244" s="26">
        <v>3979.8213926290036</v>
      </c>
      <c r="Q1244" s="35">
        <f t="array" ref="Q1244">SUM(IF(($S1244&gt;=4)*($C1244='TaxCred&amp;Subs'!$D$114:$D$121)*($H1244='TaxCred&amp;Subs'!$C$114:$C$121)*($H1244&lt;='TaxCred&amp;Subs'!$C$123),'TaxCred&amp;Subs'!$E$114:$E$121,0))</f>
        <v>0</v>
      </c>
      <c r="R1244" s="143">
        <v>0</v>
      </c>
      <c r="S1244" s="5">
        <v>4</v>
      </c>
      <c r="T1244" s="5" t="s">
        <v>240</v>
      </c>
      <c r="V1244" s="7" t="str">
        <f t="array" ref="V1244">INDEX(xlRTCLNAME,MATCH(1,(xlRTCLENDU=1)*(xlRTCLEQCL=$D1244),0))</f>
        <v>NG_FA</v>
      </c>
      <c r="W1244" s="7" t="str">
        <f t="array" ref="W1244">INDEX(xlRTCLNAME,MATCH(1,(xlRTCLENDU=2)*(xlRTCLEQCL=$F1244),0))</f>
        <v>CENT_AIR</v>
      </c>
      <c r="X1244" s="7" t="str">
        <f t="array" ref="X1244">INDEX(xlRTTYNAME,MATCH(1,(xlRTTYENDU=1)*(xlRTTYEQCL=$D1244)*(xlRTEQTYPE=$E1244),0))</f>
        <v>NG_FA4</v>
      </c>
      <c r="Y1244" s="7" t="str">
        <f t="array" ref="Y1244">INDEX(xlRTTYNAME,MATCH(1,(xlRTTYENDU=2)*(xlRTTYEQCL=$F1244)*(xlRTEQTYPE=$G1244),0))</f>
        <v>CENT_AIR3</v>
      </c>
    </row>
    <row r="1245" spans="2:25" ht="14.25" customHeight="1" x14ac:dyDescent="0.2">
      <c r="B1245" s="5">
        <v>3</v>
      </c>
      <c r="C1245" s="5">
        <v>2</v>
      </c>
      <c r="D1245" s="5">
        <v>3</v>
      </c>
      <c r="E1245" s="5">
        <v>8</v>
      </c>
      <c r="F1245" s="5">
        <v>2</v>
      </c>
      <c r="G1245" s="31">
        <v>6</v>
      </c>
      <c r="H1245" s="31">
        <v>2020</v>
      </c>
      <c r="I1245" s="5">
        <v>2022</v>
      </c>
      <c r="J1245" s="142">
        <v>1.0984</v>
      </c>
      <c r="K1245" s="142">
        <v>1.0345</v>
      </c>
      <c r="L1245" s="142">
        <v>0.81459999999999999</v>
      </c>
      <c r="M1245" s="142">
        <v>1.0654999999999999</v>
      </c>
      <c r="N1245" s="142">
        <v>1.0399</v>
      </c>
      <c r="O1245" s="142">
        <v>1.0538000000000001</v>
      </c>
      <c r="P1245" s="26">
        <v>4091.4177357331278</v>
      </c>
      <c r="Q1245" s="35">
        <f t="array" ref="Q1245">SUM(IF(($S1245&gt;=4)*($C1245='TaxCred&amp;Subs'!$D$114:$D$121)*($H1245='TaxCred&amp;Subs'!$C$114:$C$121)*($H1245&lt;='TaxCred&amp;Subs'!$C$123),'TaxCred&amp;Subs'!$E$114:$E$121,0))</f>
        <v>0</v>
      </c>
      <c r="R1245" s="143">
        <v>0</v>
      </c>
      <c r="S1245" s="5">
        <v>4</v>
      </c>
      <c r="T1245" s="5" t="s">
        <v>240</v>
      </c>
      <c r="V1245" s="7" t="str">
        <f t="array" ref="V1245">INDEX(xlRTCLNAME,MATCH(1,(xlRTCLENDU=1)*(xlRTCLEQCL=$D1245),0))</f>
        <v>NG_FA</v>
      </c>
      <c r="W1245" s="7" t="str">
        <f t="array" ref="W1245">INDEX(xlRTCLNAME,MATCH(1,(xlRTCLENDU=2)*(xlRTCLEQCL=$F1245),0))</f>
        <v>CENT_AIR</v>
      </c>
      <c r="X1245" s="7" t="str">
        <f t="array" ref="X1245">INDEX(xlRTTYNAME,MATCH(1,(xlRTTYENDU=1)*(xlRTTYEQCL=$D1245)*(xlRTEQTYPE=$E1245),0))</f>
        <v>NG_FA3</v>
      </c>
      <c r="Y1245" s="7" t="str">
        <f t="array" ref="Y1245">INDEX(xlRTTYNAME,MATCH(1,(xlRTTYENDU=2)*(xlRTTYEQCL=$F1245)*(xlRTEQTYPE=$G1245),0))</f>
        <v>CENT_AIR3</v>
      </c>
    </row>
    <row r="1246" spans="2:25" ht="14.25" customHeight="1" x14ac:dyDescent="0.2">
      <c r="B1246" s="5">
        <v>3</v>
      </c>
      <c r="C1246" s="5">
        <v>2</v>
      </c>
      <c r="D1246" s="5">
        <v>3</v>
      </c>
      <c r="E1246" s="5">
        <v>8</v>
      </c>
      <c r="F1246" s="5">
        <v>2</v>
      </c>
      <c r="G1246" s="31">
        <v>6</v>
      </c>
      <c r="H1246" s="5">
        <v>2023</v>
      </c>
      <c r="I1246" s="31">
        <v>2028</v>
      </c>
      <c r="J1246" s="142">
        <v>1.0984</v>
      </c>
      <c r="K1246" s="142">
        <v>1.0345</v>
      </c>
      <c r="L1246" s="142">
        <v>0.81459999999999999</v>
      </c>
      <c r="M1246" s="142">
        <v>1.0654999999999999</v>
      </c>
      <c r="N1246" s="142">
        <v>1.0399</v>
      </c>
      <c r="O1246" s="142">
        <v>1.0538000000000001</v>
      </c>
      <c r="P1246" s="26">
        <v>4091.4177357331278</v>
      </c>
      <c r="Q1246" s="35">
        <f t="array" ref="Q1246">SUM(IF(($S1246&gt;=4)*($C1246='TaxCred&amp;Subs'!$D$114:$D$121)*($H1246='TaxCred&amp;Subs'!$C$114:$C$121)*($H1246&lt;='TaxCred&amp;Subs'!$C$123),'TaxCred&amp;Subs'!$E$114:$E$121,0))</f>
        <v>500</v>
      </c>
      <c r="R1246" s="143">
        <v>0</v>
      </c>
      <c r="S1246" s="5">
        <v>4</v>
      </c>
      <c r="T1246" s="5" t="s">
        <v>240</v>
      </c>
      <c r="V1246" s="7" t="str">
        <f t="array" ref="V1246">INDEX(xlRTCLNAME,MATCH(1,(xlRTCLENDU=1)*(xlRTCLEQCL=$D1246),0))</f>
        <v>NG_FA</v>
      </c>
      <c r="W1246" s="7" t="str">
        <f t="array" ref="W1246">INDEX(xlRTCLNAME,MATCH(1,(xlRTCLENDU=2)*(xlRTCLEQCL=$F1246),0))</f>
        <v>CENT_AIR</v>
      </c>
      <c r="X1246" s="7" t="str">
        <f t="array" ref="X1246">INDEX(xlRTTYNAME,MATCH(1,(xlRTTYENDU=1)*(xlRTTYEQCL=$D1246)*(xlRTEQTYPE=$E1246),0))</f>
        <v>NG_FA3</v>
      </c>
      <c r="Y1246" s="7" t="str">
        <f t="array" ref="Y1246">INDEX(xlRTTYNAME,MATCH(1,(xlRTTYENDU=2)*(xlRTTYEQCL=$F1246)*(xlRTEQTYPE=$G1246),0))</f>
        <v>CENT_AIR3</v>
      </c>
    </row>
    <row r="1247" spans="2:25" ht="14.25" customHeight="1" x14ac:dyDescent="0.2">
      <c r="B1247" s="152">
        <v>3</v>
      </c>
      <c r="C1247" s="152">
        <v>2</v>
      </c>
      <c r="D1247" s="152">
        <v>3</v>
      </c>
      <c r="E1247" s="152">
        <v>9</v>
      </c>
      <c r="F1247" s="152">
        <v>2</v>
      </c>
      <c r="G1247" s="152">
        <v>6</v>
      </c>
      <c r="H1247" s="152">
        <v>2029</v>
      </c>
      <c r="I1247" s="152">
        <v>2032</v>
      </c>
      <c r="J1247" s="229">
        <v>1.0984</v>
      </c>
      <c r="K1247" s="229">
        <v>1.0345</v>
      </c>
      <c r="L1247" s="229">
        <v>0.81459999999999999</v>
      </c>
      <c r="M1247" s="229">
        <v>1.0654999999999999</v>
      </c>
      <c r="N1247" s="229">
        <v>1.0399</v>
      </c>
      <c r="O1247" s="229">
        <v>1.0538000000000001</v>
      </c>
      <c r="P1247" s="155">
        <v>4091.4177357331278</v>
      </c>
      <c r="Q1247" s="41">
        <f t="array" ref="Q1247">SUM(IF(($S1247&gt;=4)*($C1247='TaxCred&amp;Subs'!$D$114:$D$121)*($H1247='TaxCred&amp;Subs'!$C$114:$C$121)*($H1247&lt;='TaxCred&amp;Subs'!$C$123),'TaxCred&amp;Subs'!$E$114:$E$121,0))</f>
        <v>500</v>
      </c>
      <c r="R1247" s="230">
        <v>0</v>
      </c>
      <c r="S1247" s="152">
        <v>4</v>
      </c>
      <c r="T1247" s="152" t="s">
        <v>240</v>
      </c>
      <c r="V1247" s="7" t="str">
        <f t="array" ref="V1247">INDEX(xlRTCLNAME,MATCH(1,(xlRTCLENDU=1)*(xlRTCLEQCL=$D1247),0))</f>
        <v>NG_FA</v>
      </c>
      <c r="W1247" s="7" t="str">
        <f t="array" ref="W1247">INDEX(xlRTCLNAME,MATCH(1,(xlRTCLENDU=2)*(xlRTCLEQCL=$F1247),0))</f>
        <v>CENT_AIR</v>
      </c>
      <c r="X1247" s="7" t="str">
        <f t="array" ref="X1247">INDEX(xlRTTYNAME,MATCH(1,(xlRTTYENDU=1)*(xlRTTYEQCL=$D1247)*(xlRTEQTYPE=$E1247),0))</f>
        <v>NG_FA4</v>
      </c>
      <c r="Y1247" s="7" t="str">
        <f t="array" ref="Y1247">INDEX(xlRTTYNAME,MATCH(1,(xlRTTYENDU=2)*(xlRTTYEQCL=$F1247)*(xlRTEQTYPE=$G1247),0))</f>
        <v>CENT_AIR3</v>
      </c>
    </row>
    <row r="1248" spans="2:25" ht="14.25" customHeight="1" x14ac:dyDescent="0.2">
      <c r="B1248" s="5">
        <v>3</v>
      </c>
      <c r="C1248" s="5">
        <v>2</v>
      </c>
      <c r="D1248" s="5">
        <v>3</v>
      </c>
      <c r="E1248" s="31">
        <v>9</v>
      </c>
      <c r="F1248" s="5">
        <v>2</v>
      </c>
      <c r="G1248" s="31">
        <v>6</v>
      </c>
      <c r="H1248" s="5">
        <v>2033</v>
      </c>
      <c r="I1248" s="5">
        <v>2050</v>
      </c>
      <c r="J1248" s="142">
        <v>1.0984</v>
      </c>
      <c r="K1248" s="142">
        <v>1.0345</v>
      </c>
      <c r="L1248" s="142">
        <v>0.81459999999999999</v>
      </c>
      <c r="M1248" s="142">
        <v>1.0654999999999999</v>
      </c>
      <c r="N1248" s="142">
        <v>1.0399</v>
      </c>
      <c r="O1248" s="142">
        <v>1.0538000000000001</v>
      </c>
      <c r="P1248" s="26">
        <v>4091.4177357331278</v>
      </c>
      <c r="Q1248" s="35">
        <f t="array" ref="Q1248">SUM(IF(($S1248&gt;=4)*($C1248='TaxCred&amp;Subs'!$D$114:$D$121)*($H1248='TaxCred&amp;Subs'!$C$114:$C$121)*($H1248&lt;='TaxCred&amp;Subs'!$C$123),'TaxCred&amp;Subs'!$E$114:$E$121,0))</f>
        <v>0</v>
      </c>
      <c r="R1248" s="143">
        <v>0</v>
      </c>
      <c r="S1248" s="5">
        <v>4</v>
      </c>
      <c r="T1248" s="5" t="s">
        <v>240</v>
      </c>
      <c r="V1248" s="7" t="str">
        <f t="array" ref="V1248">INDEX(xlRTCLNAME,MATCH(1,(xlRTCLENDU=1)*(xlRTCLEQCL=$D1248),0))</f>
        <v>NG_FA</v>
      </c>
      <c r="W1248" s="7" t="str">
        <f t="array" ref="W1248">INDEX(xlRTCLNAME,MATCH(1,(xlRTCLENDU=2)*(xlRTCLEQCL=$F1248),0))</f>
        <v>CENT_AIR</v>
      </c>
      <c r="X1248" s="7" t="str">
        <f t="array" ref="X1248">INDEX(xlRTTYNAME,MATCH(1,(xlRTTYENDU=1)*(xlRTTYEQCL=$D1248)*(xlRTEQTYPE=$E1248),0))</f>
        <v>NG_FA4</v>
      </c>
      <c r="Y1248" s="7" t="str">
        <f t="array" ref="Y1248">INDEX(xlRTTYNAME,MATCH(1,(xlRTTYENDU=2)*(xlRTTYEQCL=$F1248)*(xlRTEQTYPE=$G1248),0))</f>
        <v>CENT_AIR3</v>
      </c>
    </row>
    <row r="1249" spans="2:25" ht="14.25" customHeight="1" x14ac:dyDescent="0.2">
      <c r="B1249" s="5">
        <v>4</v>
      </c>
      <c r="C1249" s="5">
        <v>2</v>
      </c>
      <c r="D1249" s="5">
        <v>3</v>
      </c>
      <c r="E1249" s="5">
        <v>8</v>
      </c>
      <c r="F1249" s="5">
        <v>2</v>
      </c>
      <c r="G1249" s="31">
        <v>6</v>
      </c>
      <c r="H1249" s="31">
        <v>2020</v>
      </c>
      <c r="I1249" s="5">
        <v>2022</v>
      </c>
      <c r="J1249" s="142">
        <v>1.1000000000000001</v>
      </c>
      <c r="K1249" s="142">
        <v>1.0435000000000001</v>
      </c>
      <c r="L1249" s="142">
        <v>0.95930000000000004</v>
      </c>
      <c r="M1249" s="142">
        <v>1.1499999999999999</v>
      </c>
      <c r="N1249" s="142">
        <v>1.1696</v>
      </c>
      <c r="O1249" s="142">
        <v>1.0538000000000001</v>
      </c>
      <c r="P1249" s="26">
        <v>3588.5619246374358</v>
      </c>
      <c r="Q1249" s="35">
        <f t="array" ref="Q1249">SUM(IF(($S1249&gt;=4)*($C1249='TaxCred&amp;Subs'!$D$114:$D$121)*($H1249='TaxCred&amp;Subs'!$C$114:$C$121)*($H1249&lt;='TaxCred&amp;Subs'!$C$123),'TaxCred&amp;Subs'!$E$114:$E$121,0))</f>
        <v>0</v>
      </c>
      <c r="R1249" s="143">
        <v>0</v>
      </c>
      <c r="S1249" s="5">
        <v>4</v>
      </c>
      <c r="T1249" s="5" t="s">
        <v>240</v>
      </c>
      <c r="V1249" s="7" t="str">
        <f t="array" ref="V1249">INDEX(xlRTCLNAME,MATCH(1,(xlRTCLENDU=1)*(xlRTCLEQCL=$D1249),0))</f>
        <v>NG_FA</v>
      </c>
      <c r="W1249" s="7" t="str">
        <f t="array" ref="W1249">INDEX(xlRTCLNAME,MATCH(1,(xlRTCLENDU=2)*(xlRTCLEQCL=$F1249),0))</f>
        <v>CENT_AIR</v>
      </c>
      <c r="X1249" s="7" t="str">
        <f t="array" ref="X1249">INDEX(xlRTTYNAME,MATCH(1,(xlRTTYENDU=1)*(xlRTTYEQCL=$D1249)*(xlRTEQTYPE=$E1249),0))</f>
        <v>NG_FA3</v>
      </c>
      <c r="Y1249" s="7" t="str">
        <f t="array" ref="Y1249">INDEX(xlRTTYNAME,MATCH(1,(xlRTTYENDU=2)*(xlRTTYEQCL=$F1249)*(xlRTEQTYPE=$G1249),0))</f>
        <v>CENT_AIR3</v>
      </c>
    </row>
    <row r="1250" spans="2:25" ht="14.25" customHeight="1" x14ac:dyDescent="0.2">
      <c r="B1250" s="5">
        <v>4</v>
      </c>
      <c r="C1250" s="5">
        <v>2</v>
      </c>
      <c r="D1250" s="5">
        <v>3</v>
      </c>
      <c r="E1250" s="5">
        <v>8</v>
      </c>
      <c r="F1250" s="5">
        <v>2</v>
      </c>
      <c r="G1250" s="31">
        <v>6</v>
      </c>
      <c r="H1250" s="5">
        <v>2023</v>
      </c>
      <c r="I1250" s="31">
        <v>2028</v>
      </c>
      <c r="J1250" s="142">
        <v>1.1000000000000001</v>
      </c>
      <c r="K1250" s="142">
        <v>1.0435000000000001</v>
      </c>
      <c r="L1250" s="142">
        <v>0.95930000000000004</v>
      </c>
      <c r="M1250" s="142">
        <v>1.1499999999999999</v>
      </c>
      <c r="N1250" s="142">
        <v>1.1696</v>
      </c>
      <c r="O1250" s="142">
        <v>1.0538000000000001</v>
      </c>
      <c r="P1250" s="26">
        <v>3588.5619246374358</v>
      </c>
      <c r="Q1250" s="35">
        <f t="array" ref="Q1250">SUM(IF(($S1250&gt;=4)*($C1250='TaxCred&amp;Subs'!$D$114:$D$121)*($H1250='TaxCred&amp;Subs'!$C$114:$C$121)*($H1250&lt;='TaxCred&amp;Subs'!$C$123),'TaxCred&amp;Subs'!$E$114:$E$121,0))</f>
        <v>500</v>
      </c>
      <c r="R1250" s="143">
        <v>0</v>
      </c>
      <c r="S1250" s="5">
        <v>4</v>
      </c>
      <c r="T1250" s="5" t="s">
        <v>240</v>
      </c>
      <c r="V1250" s="7" t="str">
        <f t="array" ref="V1250">INDEX(xlRTCLNAME,MATCH(1,(xlRTCLENDU=1)*(xlRTCLEQCL=$D1250),0))</f>
        <v>NG_FA</v>
      </c>
      <c r="W1250" s="7" t="str">
        <f t="array" ref="W1250">INDEX(xlRTCLNAME,MATCH(1,(xlRTCLENDU=2)*(xlRTCLEQCL=$F1250),0))</f>
        <v>CENT_AIR</v>
      </c>
      <c r="X1250" s="7" t="str">
        <f t="array" ref="X1250">INDEX(xlRTTYNAME,MATCH(1,(xlRTTYENDU=1)*(xlRTTYEQCL=$D1250)*(xlRTEQTYPE=$E1250),0))</f>
        <v>NG_FA3</v>
      </c>
      <c r="Y1250" s="7" t="str">
        <f t="array" ref="Y1250">INDEX(xlRTTYNAME,MATCH(1,(xlRTTYENDU=2)*(xlRTTYEQCL=$F1250)*(xlRTEQTYPE=$G1250),0))</f>
        <v>CENT_AIR3</v>
      </c>
    </row>
    <row r="1251" spans="2:25" ht="14.25" customHeight="1" x14ac:dyDescent="0.2">
      <c r="B1251" s="152">
        <v>4</v>
      </c>
      <c r="C1251" s="152">
        <v>2</v>
      </c>
      <c r="D1251" s="152">
        <v>3</v>
      </c>
      <c r="E1251" s="152">
        <v>9</v>
      </c>
      <c r="F1251" s="152">
        <v>2</v>
      </c>
      <c r="G1251" s="152">
        <v>6</v>
      </c>
      <c r="H1251" s="152">
        <v>2029</v>
      </c>
      <c r="I1251" s="152">
        <v>2032</v>
      </c>
      <c r="J1251" s="229">
        <v>1.1000000000000001</v>
      </c>
      <c r="K1251" s="229">
        <v>1.0435000000000001</v>
      </c>
      <c r="L1251" s="229">
        <v>0.95930000000000004</v>
      </c>
      <c r="M1251" s="229">
        <v>1.1499999999999999</v>
      </c>
      <c r="N1251" s="229">
        <v>1.1696</v>
      </c>
      <c r="O1251" s="229">
        <v>1.0538000000000001</v>
      </c>
      <c r="P1251" s="155">
        <v>3588.5619246374358</v>
      </c>
      <c r="Q1251" s="41">
        <f t="array" ref="Q1251">SUM(IF(($S1251&gt;=4)*($C1251='TaxCred&amp;Subs'!$D$114:$D$121)*($H1251='TaxCred&amp;Subs'!$C$114:$C$121)*($H1251&lt;='TaxCred&amp;Subs'!$C$123),'TaxCred&amp;Subs'!$E$114:$E$121,0))</f>
        <v>500</v>
      </c>
      <c r="R1251" s="230">
        <v>0</v>
      </c>
      <c r="S1251" s="152">
        <v>4</v>
      </c>
      <c r="T1251" s="152" t="s">
        <v>240</v>
      </c>
      <c r="V1251" s="7" t="str">
        <f t="array" ref="V1251">INDEX(xlRTCLNAME,MATCH(1,(xlRTCLENDU=1)*(xlRTCLEQCL=$D1251),0))</f>
        <v>NG_FA</v>
      </c>
      <c r="W1251" s="7" t="str">
        <f t="array" ref="W1251">INDEX(xlRTCLNAME,MATCH(1,(xlRTCLENDU=2)*(xlRTCLEQCL=$F1251),0))</f>
        <v>CENT_AIR</v>
      </c>
      <c r="X1251" s="7" t="str">
        <f t="array" ref="X1251">INDEX(xlRTTYNAME,MATCH(1,(xlRTTYENDU=1)*(xlRTTYEQCL=$D1251)*(xlRTEQTYPE=$E1251),0))</f>
        <v>NG_FA4</v>
      </c>
      <c r="Y1251" s="7" t="str">
        <f t="array" ref="Y1251">INDEX(xlRTTYNAME,MATCH(1,(xlRTTYENDU=2)*(xlRTTYEQCL=$F1251)*(xlRTEQTYPE=$G1251),0))</f>
        <v>CENT_AIR3</v>
      </c>
    </row>
    <row r="1252" spans="2:25" ht="14.25" customHeight="1" x14ac:dyDescent="0.2">
      <c r="B1252" s="5">
        <v>4</v>
      </c>
      <c r="C1252" s="5">
        <v>2</v>
      </c>
      <c r="D1252" s="5">
        <v>3</v>
      </c>
      <c r="E1252" s="31">
        <v>9</v>
      </c>
      <c r="F1252" s="5">
        <v>2</v>
      </c>
      <c r="G1252" s="31">
        <v>6</v>
      </c>
      <c r="H1252" s="5">
        <v>2033</v>
      </c>
      <c r="I1252" s="5">
        <v>2050</v>
      </c>
      <c r="J1252" s="142">
        <v>1.1000000000000001</v>
      </c>
      <c r="K1252" s="142">
        <v>1.0435000000000001</v>
      </c>
      <c r="L1252" s="142">
        <v>0.95930000000000004</v>
      </c>
      <c r="M1252" s="142">
        <v>1.1499999999999999</v>
      </c>
      <c r="N1252" s="142">
        <v>1.1696</v>
      </c>
      <c r="O1252" s="142">
        <v>1.0538000000000001</v>
      </c>
      <c r="P1252" s="26">
        <v>3588.5619246374358</v>
      </c>
      <c r="Q1252" s="35">
        <f t="array" ref="Q1252">SUM(IF(($S1252&gt;=4)*($C1252='TaxCred&amp;Subs'!$D$114:$D$121)*($H1252='TaxCred&amp;Subs'!$C$114:$C$121)*($H1252&lt;='TaxCred&amp;Subs'!$C$123),'TaxCred&amp;Subs'!$E$114:$E$121,0))</f>
        <v>0</v>
      </c>
      <c r="R1252" s="143">
        <v>0</v>
      </c>
      <c r="S1252" s="5">
        <v>4</v>
      </c>
      <c r="T1252" s="5" t="s">
        <v>240</v>
      </c>
      <c r="V1252" s="7" t="str">
        <f t="array" ref="V1252">INDEX(xlRTCLNAME,MATCH(1,(xlRTCLENDU=1)*(xlRTCLEQCL=$D1252),0))</f>
        <v>NG_FA</v>
      </c>
      <c r="W1252" s="7" t="str">
        <f t="array" ref="W1252">INDEX(xlRTCLNAME,MATCH(1,(xlRTCLENDU=2)*(xlRTCLEQCL=$F1252),0))</f>
        <v>CENT_AIR</v>
      </c>
      <c r="X1252" s="7" t="str">
        <f t="array" ref="X1252">INDEX(xlRTTYNAME,MATCH(1,(xlRTTYENDU=1)*(xlRTTYEQCL=$D1252)*(xlRTEQTYPE=$E1252),0))</f>
        <v>NG_FA4</v>
      </c>
      <c r="Y1252" s="7" t="str">
        <f t="array" ref="Y1252">INDEX(xlRTTYNAME,MATCH(1,(xlRTTYENDU=2)*(xlRTTYEQCL=$F1252)*(xlRTEQTYPE=$G1252),0))</f>
        <v>CENT_AIR3</v>
      </c>
    </row>
    <row r="1253" spans="2:25" ht="14.25" customHeight="1" x14ac:dyDescent="0.2">
      <c r="B1253" s="5">
        <v>5</v>
      </c>
      <c r="C1253" s="5">
        <v>2</v>
      </c>
      <c r="D1253" s="5">
        <v>3</v>
      </c>
      <c r="E1253" s="5">
        <v>8</v>
      </c>
      <c r="F1253" s="5">
        <v>2</v>
      </c>
      <c r="G1253" s="31">
        <v>6</v>
      </c>
      <c r="H1253" s="31">
        <v>2020</v>
      </c>
      <c r="I1253" s="5">
        <v>2022</v>
      </c>
      <c r="J1253" s="142">
        <v>1.1200000000000001</v>
      </c>
      <c r="K1253" s="142">
        <v>1.0391999999999999</v>
      </c>
      <c r="L1253" s="142">
        <v>0.63129999999999997</v>
      </c>
      <c r="M1253" s="142">
        <v>1.0902000000000001</v>
      </c>
      <c r="N1253" s="142">
        <v>1.2750999999999999</v>
      </c>
      <c r="O1253" s="142">
        <v>1.0538000000000001</v>
      </c>
      <c r="P1253" s="26">
        <v>3025.2020720997493</v>
      </c>
      <c r="Q1253" s="35">
        <f t="array" ref="Q1253">SUM(IF(($S1253&gt;=4)*($C1253='TaxCred&amp;Subs'!$D$114:$D$121)*($H1253='TaxCred&amp;Subs'!$C$114:$C$121)*($H1253&lt;='TaxCred&amp;Subs'!$C$123),'TaxCred&amp;Subs'!$E$114:$E$121,0))</f>
        <v>0</v>
      </c>
      <c r="R1253" s="143">
        <v>0</v>
      </c>
      <c r="S1253" s="5">
        <v>4</v>
      </c>
      <c r="T1253" s="5" t="s">
        <v>240</v>
      </c>
      <c r="V1253" s="7" t="str">
        <f t="array" ref="V1253">INDEX(xlRTCLNAME,MATCH(1,(xlRTCLENDU=1)*(xlRTCLEQCL=$D1253),0))</f>
        <v>NG_FA</v>
      </c>
      <c r="W1253" s="7" t="str">
        <f t="array" ref="W1253">INDEX(xlRTCLNAME,MATCH(1,(xlRTCLENDU=2)*(xlRTCLEQCL=$F1253),0))</f>
        <v>CENT_AIR</v>
      </c>
      <c r="X1253" s="7" t="str">
        <f t="array" ref="X1253">INDEX(xlRTTYNAME,MATCH(1,(xlRTTYENDU=1)*(xlRTTYEQCL=$D1253)*(xlRTEQTYPE=$E1253),0))</f>
        <v>NG_FA3</v>
      </c>
      <c r="Y1253" s="7" t="str">
        <f t="array" ref="Y1253">INDEX(xlRTTYNAME,MATCH(1,(xlRTTYENDU=2)*(xlRTTYEQCL=$F1253)*(xlRTEQTYPE=$G1253),0))</f>
        <v>CENT_AIR3</v>
      </c>
    </row>
    <row r="1254" spans="2:25" ht="14.25" customHeight="1" x14ac:dyDescent="0.2">
      <c r="B1254" s="5">
        <v>5</v>
      </c>
      <c r="C1254" s="5">
        <v>2</v>
      </c>
      <c r="D1254" s="5">
        <v>3</v>
      </c>
      <c r="E1254" s="5">
        <v>8</v>
      </c>
      <c r="F1254" s="5">
        <v>2</v>
      </c>
      <c r="G1254" s="31">
        <v>6</v>
      </c>
      <c r="H1254" s="5">
        <v>2023</v>
      </c>
      <c r="I1254" s="31">
        <v>2028</v>
      </c>
      <c r="J1254" s="142">
        <v>1.1200000000000001</v>
      </c>
      <c r="K1254" s="142">
        <v>1.0391999999999999</v>
      </c>
      <c r="L1254" s="142">
        <v>0.63129999999999997</v>
      </c>
      <c r="M1254" s="142">
        <v>1.0902000000000001</v>
      </c>
      <c r="N1254" s="142">
        <v>1.2750999999999999</v>
      </c>
      <c r="O1254" s="142">
        <v>1.0538000000000001</v>
      </c>
      <c r="P1254" s="26">
        <v>3025.2020720997493</v>
      </c>
      <c r="Q1254" s="35">
        <f t="array" ref="Q1254">SUM(IF(($S1254&gt;=4)*($C1254='TaxCred&amp;Subs'!$D$114:$D$121)*($H1254='TaxCred&amp;Subs'!$C$114:$C$121)*($H1254&lt;='TaxCred&amp;Subs'!$C$123),'TaxCred&amp;Subs'!$E$114:$E$121,0))</f>
        <v>500</v>
      </c>
      <c r="R1254" s="143">
        <v>0</v>
      </c>
      <c r="S1254" s="5">
        <v>4</v>
      </c>
      <c r="T1254" s="5" t="s">
        <v>240</v>
      </c>
      <c r="V1254" s="7" t="str">
        <f t="array" ref="V1254">INDEX(xlRTCLNAME,MATCH(1,(xlRTCLENDU=1)*(xlRTCLEQCL=$D1254),0))</f>
        <v>NG_FA</v>
      </c>
      <c r="W1254" s="7" t="str">
        <f t="array" ref="W1254">INDEX(xlRTCLNAME,MATCH(1,(xlRTCLENDU=2)*(xlRTCLEQCL=$F1254),0))</f>
        <v>CENT_AIR</v>
      </c>
      <c r="X1254" s="7" t="str">
        <f t="array" ref="X1254">INDEX(xlRTTYNAME,MATCH(1,(xlRTTYENDU=1)*(xlRTTYEQCL=$D1254)*(xlRTEQTYPE=$E1254),0))</f>
        <v>NG_FA3</v>
      </c>
      <c r="Y1254" s="7" t="str">
        <f t="array" ref="Y1254">INDEX(xlRTTYNAME,MATCH(1,(xlRTTYENDU=2)*(xlRTTYEQCL=$F1254)*(xlRTEQTYPE=$G1254),0))</f>
        <v>CENT_AIR3</v>
      </c>
    </row>
    <row r="1255" spans="2:25" ht="14.25" customHeight="1" x14ac:dyDescent="0.2">
      <c r="B1255" s="152">
        <v>5</v>
      </c>
      <c r="C1255" s="152">
        <v>2</v>
      </c>
      <c r="D1255" s="152">
        <v>3</v>
      </c>
      <c r="E1255" s="152">
        <v>9</v>
      </c>
      <c r="F1255" s="152">
        <v>2</v>
      </c>
      <c r="G1255" s="152">
        <v>6</v>
      </c>
      <c r="H1255" s="152">
        <v>2029</v>
      </c>
      <c r="I1255" s="152">
        <v>2032</v>
      </c>
      <c r="J1255" s="229">
        <v>1.1200000000000001</v>
      </c>
      <c r="K1255" s="229">
        <v>1.0391999999999999</v>
      </c>
      <c r="L1255" s="229">
        <v>0.63129999999999997</v>
      </c>
      <c r="M1255" s="229">
        <v>1.0902000000000001</v>
      </c>
      <c r="N1255" s="229">
        <v>1.2750999999999999</v>
      </c>
      <c r="O1255" s="229">
        <v>1.0538000000000001</v>
      </c>
      <c r="P1255" s="155">
        <v>3025.2020720997493</v>
      </c>
      <c r="Q1255" s="41">
        <f t="array" ref="Q1255">SUM(IF(($S1255&gt;=4)*($C1255='TaxCred&amp;Subs'!$D$114:$D$121)*($H1255='TaxCred&amp;Subs'!$C$114:$C$121)*($H1255&lt;='TaxCred&amp;Subs'!$C$123),'TaxCred&amp;Subs'!$E$114:$E$121,0))</f>
        <v>500</v>
      </c>
      <c r="R1255" s="230">
        <v>0</v>
      </c>
      <c r="S1255" s="152">
        <v>4</v>
      </c>
      <c r="T1255" s="152" t="s">
        <v>240</v>
      </c>
      <c r="V1255" s="7" t="str">
        <f t="array" ref="V1255">INDEX(xlRTCLNAME,MATCH(1,(xlRTCLENDU=1)*(xlRTCLEQCL=$D1255),0))</f>
        <v>NG_FA</v>
      </c>
      <c r="W1255" s="7" t="str">
        <f t="array" ref="W1255">INDEX(xlRTCLNAME,MATCH(1,(xlRTCLENDU=2)*(xlRTCLEQCL=$F1255),0))</f>
        <v>CENT_AIR</v>
      </c>
      <c r="X1255" s="7" t="str">
        <f t="array" ref="X1255">INDEX(xlRTTYNAME,MATCH(1,(xlRTTYENDU=1)*(xlRTTYEQCL=$D1255)*(xlRTEQTYPE=$E1255),0))</f>
        <v>NG_FA4</v>
      </c>
      <c r="Y1255" s="7" t="str">
        <f t="array" ref="Y1255">INDEX(xlRTTYNAME,MATCH(1,(xlRTTYENDU=2)*(xlRTTYEQCL=$F1255)*(xlRTEQTYPE=$G1255),0))</f>
        <v>CENT_AIR3</v>
      </c>
    </row>
    <row r="1256" spans="2:25" ht="14.25" customHeight="1" x14ac:dyDescent="0.2">
      <c r="B1256" s="5">
        <v>5</v>
      </c>
      <c r="C1256" s="5">
        <v>2</v>
      </c>
      <c r="D1256" s="5">
        <v>3</v>
      </c>
      <c r="E1256" s="31">
        <v>9</v>
      </c>
      <c r="F1256" s="5">
        <v>2</v>
      </c>
      <c r="G1256" s="31">
        <v>6</v>
      </c>
      <c r="H1256" s="5">
        <v>2033</v>
      </c>
      <c r="I1256" s="5">
        <v>2050</v>
      </c>
      <c r="J1256" s="142">
        <v>1.1200000000000001</v>
      </c>
      <c r="K1256" s="142">
        <v>1.0391999999999999</v>
      </c>
      <c r="L1256" s="142">
        <v>0.63129999999999997</v>
      </c>
      <c r="M1256" s="142">
        <v>1.0902000000000001</v>
      </c>
      <c r="N1256" s="142">
        <v>1.2750999999999999</v>
      </c>
      <c r="O1256" s="142">
        <v>1.0538000000000001</v>
      </c>
      <c r="P1256" s="26">
        <v>3025.2020720997493</v>
      </c>
      <c r="Q1256" s="35">
        <f t="array" ref="Q1256">SUM(IF(($S1256&gt;=4)*($C1256='TaxCred&amp;Subs'!$D$114:$D$121)*($H1256='TaxCred&amp;Subs'!$C$114:$C$121)*($H1256&lt;='TaxCred&amp;Subs'!$C$123),'TaxCred&amp;Subs'!$E$114:$E$121,0))</f>
        <v>0</v>
      </c>
      <c r="R1256" s="143">
        <v>0</v>
      </c>
      <c r="S1256" s="5">
        <v>4</v>
      </c>
      <c r="T1256" s="5" t="s">
        <v>240</v>
      </c>
      <c r="V1256" s="7" t="str">
        <f t="array" ref="V1256">INDEX(xlRTCLNAME,MATCH(1,(xlRTCLENDU=1)*(xlRTCLEQCL=$D1256),0))</f>
        <v>NG_FA</v>
      </c>
      <c r="W1256" s="7" t="str">
        <f t="array" ref="W1256">INDEX(xlRTCLNAME,MATCH(1,(xlRTCLENDU=2)*(xlRTCLEQCL=$F1256),0))</f>
        <v>CENT_AIR</v>
      </c>
      <c r="X1256" s="7" t="str">
        <f t="array" ref="X1256">INDEX(xlRTTYNAME,MATCH(1,(xlRTTYENDU=1)*(xlRTTYEQCL=$D1256)*(xlRTEQTYPE=$E1256),0))</f>
        <v>NG_FA4</v>
      </c>
      <c r="Y1256" s="7" t="str">
        <f t="array" ref="Y1256">INDEX(xlRTTYNAME,MATCH(1,(xlRTTYENDU=2)*(xlRTTYEQCL=$F1256)*(xlRTEQTYPE=$G1256),0))</f>
        <v>CENT_AIR3</v>
      </c>
    </row>
    <row r="1257" spans="2:25" ht="14.25" customHeight="1" x14ac:dyDescent="0.2">
      <c r="B1257" s="5">
        <v>6</v>
      </c>
      <c r="C1257" s="5">
        <v>2</v>
      </c>
      <c r="D1257" s="5">
        <v>3</v>
      </c>
      <c r="E1257" s="5">
        <v>8</v>
      </c>
      <c r="F1257" s="5">
        <v>2</v>
      </c>
      <c r="G1257" s="31">
        <v>6</v>
      </c>
      <c r="H1257" s="31">
        <v>2020</v>
      </c>
      <c r="I1257" s="5">
        <v>2022</v>
      </c>
      <c r="J1257" s="142">
        <v>1.1200000000000001</v>
      </c>
      <c r="K1257" s="142">
        <v>1.03</v>
      </c>
      <c r="L1257" s="142">
        <v>1.1105</v>
      </c>
      <c r="M1257" s="142">
        <v>1.1228</v>
      </c>
      <c r="N1257" s="142">
        <v>1.3324</v>
      </c>
      <c r="O1257" s="142">
        <v>1.0538000000000001</v>
      </c>
      <c r="P1257" s="26">
        <v>3068.2271682362789</v>
      </c>
      <c r="Q1257" s="35">
        <f t="array" ref="Q1257">SUM(IF(($S1257&gt;=4)*($C1257='TaxCred&amp;Subs'!$D$114:$D$121)*($H1257='TaxCred&amp;Subs'!$C$114:$C$121)*($H1257&lt;='TaxCred&amp;Subs'!$C$123),'TaxCred&amp;Subs'!$E$114:$E$121,0))</f>
        <v>0</v>
      </c>
      <c r="R1257" s="143">
        <v>0</v>
      </c>
      <c r="S1257" s="5">
        <v>4</v>
      </c>
      <c r="T1257" s="5" t="s">
        <v>240</v>
      </c>
      <c r="V1257" s="7" t="str">
        <f t="array" ref="V1257">INDEX(xlRTCLNAME,MATCH(1,(xlRTCLENDU=1)*(xlRTCLEQCL=$D1257),0))</f>
        <v>NG_FA</v>
      </c>
      <c r="W1257" s="7" t="str">
        <f t="array" ref="W1257">INDEX(xlRTCLNAME,MATCH(1,(xlRTCLENDU=2)*(xlRTCLEQCL=$F1257),0))</f>
        <v>CENT_AIR</v>
      </c>
      <c r="X1257" s="7" t="str">
        <f t="array" ref="X1257">INDEX(xlRTTYNAME,MATCH(1,(xlRTTYENDU=1)*(xlRTTYEQCL=$D1257)*(xlRTEQTYPE=$E1257),0))</f>
        <v>NG_FA3</v>
      </c>
      <c r="Y1257" s="7" t="str">
        <f t="array" ref="Y1257">INDEX(xlRTTYNAME,MATCH(1,(xlRTTYENDU=2)*(xlRTTYEQCL=$F1257)*(xlRTEQTYPE=$G1257),0))</f>
        <v>CENT_AIR3</v>
      </c>
    </row>
    <row r="1258" spans="2:25" ht="14.25" customHeight="1" x14ac:dyDescent="0.2">
      <c r="B1258" s="5">
        <v>6</v>
      </c>
      <c r="C1258" s="5">
        <v>2</v>
      </c>
      <c r="D1258" s="5">
        <v>3</v>
      </c>
      <c r="E1258" s="5">
        <v>8</v>
      </c>
      <c r="F1258" s="5">
        <v>2</v>
      </c>
      <c r="G1258" s="31">
        <v>6</v>
      </c>
      <c r="H1258" s="5">
        <v>2023</v>
      </c>
      <c r="I1258" s="31">
        <v>2028</v>
      </c>
      <c r="J1258" s="142">
        <v>1.1200000000000001</v>
      </c>
      <c r="K1258" s="142">
        <v>1.03</v>
      </c>
      <c r="L1258" s="142">
        <v>1.1105</v>
      </c>
      <c r="M1258" s="142">
        <v>1.1228</v>
      </c>
      <c r="N1258" s="142">
        <v>1.3324</v>
      </c>
      <c r="O1258" s="142">
        <v>1.0538000000000001</v>
      </c>
      <c r="P1258" s="26">
        <v>3068.2271682362789</v>
      </c>
      <c r="Q1258" s="35">
        <f t="array" ref="Q1258">SUM(IF(($S1258&gt;=4)*($C1258='TaxCred&amp;Subs'!$D$114:$D$121)*($H1258='TaxCred&amp;Subs'!$C$114:$C$121)*($H1258&lt;='TaxCred&amp;Subs'!$C$123),'TaxCred&amp;Subs'!$E$114:$E$121,0))</f>
        <v>500</v>
      </c>
      <c r="R1258" s="143">
        <v>0</v>
      </c>
      <c r="S1258" s="5">
        <v>4</v>
      </c>
      <c r="T1258" s="5" t="s">
        <v>240</v>
      </c>
      <c r="V1258" s="7" t="str">
        <f t="array" ref="V1258">INDEX(xlRTCLNAME,MATCH(1,(xlRTCLENDU=1)*(xlRTCLEQCL=$D1258),0))</f>
        <v>NG_FA</v>
      </c>
      <c r="W1258" s="7" t="str">
        <f t="array" ref="W1258">INDEX(xlRTCLNAME,MATCH(1,(xlRTCLENDU=2)*(xlRTCLEQCL=$F1258),0))</f>
        <v>CENT_AIR</v>
      </c>
      <c r="X1258" s="7" t="str">
        <f t="array" ref="X1258">INDEX(xlRTTYNAME,MATCH(1,(xlRTTYENDU=1)*(xlRTTYEQCL=$D1258)*(xlRTEQTYPE=$E1258),0))</f>
        <v>NG_FA3</v>
      </c>
      <c r="Y1258" s="7" t="str">
        <f t="array" ref="Y1258">INDEX(xlRTTYNAME,MATCH(1,(xlRTTYENDU=2)*(xlRTTYEQCL=$F1258)*(xlRTEQTYPE=$G1258),0))</f>
        <v>CENT_AIR3</v>
      </c>
    </row>
    <row r="1259" spans="2:25" ht="14.25" customHeight="1" x14ac:dyDescent="0.2">
      <c r="B1259" s="152">
        <v>6</v>
      </c>
      <c r="C1259" s="152">
        <v>2</v>
      </c>
      <c r="D1259" s="152">
        <v>3</v>
      </c>
      <c r="E1259" s="152">
        <v>9</v>
      </c>
      <c r="F1259" s="152">
        <v>2</v>
      </c>
      <c r="G1259" s="152">
        <v>6</v>
      </c>
      <c r="H1259" s="152">
        <v>2029</v>
      </c>
      <c r="I1259" s="152">
        <v>2032</v>
      </c>
      <c r="J1259" s="229">
        <v>1.1200000000000001</v>
      </c>
      <c r="K1259" s="229">
        <v>1.03</v>
      </c>
      <c r="L1259" s="229">
        <v>1.1105</v>
      </c>
      <c r="M1259" s="229">
        <v>1.1228</v>
      </c>
      <c r="N1259" s="229">
        <v>1.3324</v>
      </c>
      <c r="O1259" s="229">
        <v>1.0538000000000001</v>
      </c>
      <c r="P1259" s="155">
        <v>3068.2271682362789</v>
      </c>
      <c r="Q1259" s="41">
        <f t="array" ref="Q1259">SUM(IF(($S1259&gt;=4)*($C1259='TaxCred&amp;Subs'!$D$114:$D$121)*($H1259='TaxCred&amp;Subs'!$C$114:$C$121)*($H1259&lt;='TaxCred&amp;Subs'!$C$123),'TaxCred&amp;Subs'!$E$114:$E$121,0))</f>
        <v>500</v>
      </c>
      <c r="R1259" s="230">
        <v>0</v>
      </c>
      <c r="S1259" s="152">
        <v>4</v>
      </c>
      <c r="T1259" s="152" t="s">
        <v>240</v>
      </c>
      <c r="V1259" s="7" t="str">
        <f t="array" ref="V1259">INDEX(xlRTCLNAME,MATCH(1,(xlRTCLENDU=1)*(xlRTCLEQCL=$D1259),0))</f>
        <v>NG_FA</v>
      </c>
      <c r="W1259" s="7" t="str">
        <f t="array" ref="W1259">INDEX(xlRTCLNAME,MATCH(1,(xlRTCLENDU=2)*(xlRTCLEQCL=$F1259),0))</f>
        <v>CENT_AIR</v>
      </c>
      <c r="X1259" s="7" t="str">
        <f t="array" ref="X1259">INDEX(xlRTTYNAME,MATCH(1,(xlRTTYENDU=1)*(xlRTTYEQCL=$D1259)*(xlRTEQTYPE=$E1259),0))</f>
        <v>NG_FA4</v>
      </c>
      <c r="Y1259" s="7" t="str">
        <f t="array" ref="Y1259">INDEX(xlRTTYNAME,MATCH(1,(xlRTTYENDU=2)*(xlRTTYEQCL=$F1259)*(xlRTEQTYPE=$G1259),0))</f>
        <v>CENT_AIR3</v>
      </c>
    </row>
    <row r="1260" spans="2:25" ht="14.25" customHeight="1" x14ac:dyDescent="0.2">
      <c r="B1260" s="5">
        <v>6</v>
      </c>
      <c r="C1260" s="5">
        <v>2</v>
      </c>
      <c r="D1260" s="5">
        <v>3</v>
      </c>
      <c r="E1260" s="31">
        <v>9</v>
      </c>
      <c r="F1260" s="5">
        <v>2</v>
      </c>
      <c r="G1260" s="31">
        <v>6</v>
      </c>
      <c r="H1260" s="5">
        <v>2033</v>
      </c>
      <c r="I1260" s="5">
        <v>2050</v>
      </c>
      <c r="J1260" s="142">
        <v>1.1200000000000001</v>
      </c>
      <c r="K1260" s="142">
        <v>1.03</v>
      </c>
      <c r="L1260" s="142">
        <v>1.1105</v>
      </c>
      <c r="M1260" s="142">
        <v>1.1228</v>
      </c>
      <c r="N1260" s="142">
        <v>1.3324</v>
      </c>
      <c r="O1260" s="142">
        <v>1.0538000000000001</v>
      </c>
      <c r="P1260" s="26">
        <v>3068.2271682362789</v>
      </c>
      <c r="Q1260" s="35">
        <f t="array" ref="Q1260">SUM(IF(($S1260&gt;=4)*($C1260='TaxCred&amp;Subs'!$D$114:$D$121)*($H1260='TaxCred&amp;Subs'!$C$114:$C$121)*($H1260&lt;='TaxCred&amp;Subs'!$C$123),'TaxCred&amp;Subs'!$E$114:$E$121,0))</f>
        <v>0</v>
      </c>
      <c r="R1260" s="143">
        <v>0</v>
      </c>
      <c r="S1260" s="5">
        <v>4</v>
      </c>
      <c r="T1260" s="5" t="s">
        <v>240</v>
      </c>
      <c r="V1260" s="7" t="str">
        <f t="array" ref="V1260">INDEX(xlRTCLNAME,MATCH(1,(xlRTCLENDU=1)*(xlRTCLEQCL=$D1260),0))</f>
        <v>NG_FA</v>
      </c>
      <c r="W1260" s="7" t="str">
        <f t="array" ref="W1260">INDEX(xlRTCLNAME,MATCH(1,(xlRTCLENDU=2)*(xlRTCLEQCL=$F1260),0))</f>
        <v>CENT_AIR</v>
      </c>
      <c r="X1260" s="7" t="str">
        <f t="array" ref="X1260">INDEX(xlRTTYNAME,MATCH(1,(xlRTTYENDU=1)*(xlRTTYEQCL=$D1260)*(xlRTEQTYPE=$E1260),0))</f>
        <v>NG_FA4</v>
      </c>
      <c r="Y1260" s="7" t="str">
        <f t="array" ref="Y1260">INDEX(xlRTTYNAME,MATCH(1,(xlRTTYENDU=2)*(xlRTTYEQCL=$F1260)*(xlRTEQTYPE=$G1260),0))</f>
        <v>CENT_AIR3</v>
      </c>
    </row>
    <row r="1261" spans="2:25" ht="14.25" customHeight="1" x14ac:dyDescent="0.2">
      <c r="B1261" s="5">
        <v>7</v>
      </c>
      <c r="C1261" s="5">
        <v>2</v>
      </c>
      <c r="D1261" s="5">
        <v>3</v>
      </c>
      <c r="E1261" s="5">
        <v>8</v>
      </c>
      <c r="F1261" s="5">
        <v>2</v>
      </c>
      <c r="G1261" s="31">
        <v>6</v>
      </c>
      <c r="H1261" s="31">
        <v>2020</v>
      </c>
      <c r="I1261" s="5">
        <v>2022</v>
      </c>
      <c r="J1261" s="142">
        <v>1.1200000000000001</v>
      </c>
      <c r="K1261" s="142">
        <v>1.0462</v>
      </c>
      <c r="L1261" s="142">
        <v>1.0271999999999999</v>
      </c>
      <c r="M1261" s="142">
        <v>1.1173</v>
      </c>
      <c r="N1261" s="142">
        <v>1.4438</v>
      </c>
      <c r="O1261" s="142">
        <v>1.0538000000000001</v>
      </c>
      <c r="P1261" s="26">
        <v>2730.7490704153738</v>
      </c>
      <c r="Q1261" s="35">
        <f t="array" ref="Q1261">SUM(IF(($S1261&gt;=4)*($C1261='TaxCred&amp;Subs'!$D$114:$D$121)*($H1261='TaxCred&amp;Subs'!$C$114:$C$121)*($H1261&lt;='TaxCred&amp;Subs'!$C$123),'TaxCred&amp;Subs'!$E$114:$E$121,0))</f>
        <v>0</v>
      </c>
      <c r="R1261" s="143">
        <v>0</v>
      </c>
      <c r="S1261" s="5">
        <v>4</v>
      </c>
      <c r="T1261" s="5" t="s">
        <v>240</v>
      </c>
      <c r="V1261" s="7" t="str">
        <f t="array" ref="V1261">INDEX(xlRTCLNAME,MATCH(1,(xlRTCLENDU=1)*(xlRTCLEQCL=$D1261),0))</f>
        <v>NG_FA</v>
      </c>
      <c r="W1261" s="7" t="str">
        <f t="array" ref="W1261">INDEX(xlRTCLNAME,MATCH(1,(xlRTCLENDU=2)*(xlRTCLEQCL=$F1261),0))</f>
        <v>CENT_AIR</v>
      </c>
      <c r="X1261" s="7" t="str">
        <f t="array" ref="X1261">INDEX(xlRTTYNAME,MATCH(1,(xlRTTYENDU=1)*(xlRTTYEQCL=$D1261)*(xlRTEQTYPE=$E1261),0))</f>
        <v>NG_FA3</v>
      </c>
      <c r="Y1261" s="7" t="str">
        <f t="array" ref="Y1261">INDEX(xlRTTYNAME,MATCH(1,(xlRTTYENDU=2)*(xlRTTYEQCL=$F1261)*(xlRTEQTYPE=$G1261),0))</f>
        <v>CENT_AIR3</v>
      </c>
    </row>
    <row r="1262" spans="2:25" ht="14.25" customHeight="1" x14ac:dyDescent="0.2">
      <c r="B1262" s="5">
        <v>7</v>
      </c>
      <c r="C1262" s="5">
        <v>2</v>
      </c>
      <c r="D1262" s="5">
        <v>3</v>
      </c>
      <c r="E1262" s="5">
        <v>8</v>
      </c>
      <c r="F1262" s="5">
        <v>2</v>
      </c>
      <c r="G1262" s="31">
        <v>6</v>
      </c>
      <c r="H1262" s="5">
        <v>2023</v>
      </c>
      <c r="I1262" s="31">
        <v>2028</v>
      </c>
      <c r="J1262" s="142">
        <v>1.1200000000000001</v>
      </c>
      <c r="K1262" s="142">
        <v>1.0462</v>
      </c>
      <c r="L1262" s="142">
        <v>1.0271999999999999</v>
      </c>
      <c r="M1262" s="142">
        <v>1.1173</v>
      </c>
      <c r="N1262" s="142">
        <v>1.4438</v>
      </c>
      <c r="O1262" s="142">
        <v>1.0538000000000001</v>
      </c>
      <c r="P1262" s="26">
        <v>2730.7490704153738</v>
      </c>
      <c r="Q1262" s="35">
        <f t="array" ref="Q1262">SUM(IF(($S1262&gt;=4)*($C1262='TaxCred&amp;Subs'!$D$114:$D$121)*($H1262='TaxCred&amp;Subs'!$C$114:$C$121)*($H1262&lt;='TaxCred&amp;Subs'!$C$123),'TaxCred&amp;Subs'!$E$114:$E$121,0))</f>
        <v>500</v>
      </c>
      <c r="R1262" s="143">
        <v>0</v>
      </c>
      <c r="S1262" s="5">
        <v>4</v>
      </c>
      <c r="T1262" s="5" t="s">
        <v>240</v>
      </c>
      <c r="V1262" s="7" t="str">
        <f t="array" ref="V1262">INDEX(xlRTCLNAME,MATCH(1,(xlRTCLENDU=1)*(xlRTCLEQCL=$D1262),0))</f>
        <v>NG_FA</v>
      </c>
      <c r="W1262" s="7" t="str">
        <f t="array" ref="W1262">INDEX(xlRTCLNAME,MATCH(1,(xlRTCLENDU=2)*(xlRTCLEQCL=$F1262),0))</f>
        <v>CENT_AIR</v>
      </c>
      <c r="X1262" s="7" t="str">
        <f t="array" ref="X1262">INDEX(xlRTTYNAME,MATCH(1,(xlRTTYENDU=1)*(xlRTTYEQCL=$D1262)*(xlRTEQTYPE=$E1262),0))</f>
        <v>NG_FA3</v>
      </c>
      <c r="Y1262" s="7" t="str">
        <f t="array" ref="Y1262">INDEX(xlRTTYNAME,MATCH(1,(xlRTTYENDU=2)*(xlRTTYEQCL=$F1262)*(xlRTEQTYPE=$G1262),0))</f>
        <v>CENT_AIR3</v>
      </c>
    </row>
    <row r="1263" spans="2:25" ht="14.25" customHeight="1" x14ac:dyDescent="0.2">
      <c r="B1263" s="152">
        <v>7</v>
      </c>
      <c r="C1263" s="152">
        <v>2</v>
      </c>
      <c r="D1263" s="152">
        <v>3</v>
      </c>
      <c r="E1263" s="152">
        <v>9</v>
      </c>
      <c r="F1263" s="152">
        <v>2</v>
      </c>
      <c r="G1263" s="152">
        <v>6</v>
      </c>
      <c r="H1263" s="152">
        <v>2029</v>
      </c>
      <c r="I1263" s="152">
        <v>2032</v>
      </c>
      <c r="J1263" s="229">
        <v>1.1200000000000001</v>
      </c>
      <c r="K1263" s="229">
        <v>1.0462</v>
      </c>
      <c r="L1263" s="229">
        <v>1.0271999999999999</v>
      </c>
      <c r="M1263" s="229">
        <v>1.1173</v>
      </c>
      <c r="N1263" s="229">
        <v>1.4438</v>
      </c>
      <c r="O1263" s="229">
        <v>1.0538000000000001</v>
      </c>
      <c r="P1263" s="155">
        <v>2730.7490704153738</v>
      </c>
      <c r="Q1263" s="41">
        <f t="array" ref="Q1263">SUM(IF(($S1263&gt;=4)*($C1263='TaxCred&amp;Subs'!$D$114:$D$121)*($H1263='TaxCred&amp;Subs'!$C$114:$C$121)*($H1263&lt;='TaxCred&amp;Subs'!$C$123),'TaxCred&amp;Subs'!$E$114:$E$121,0))</f>
        <v>500</v>
      </c>
      <c r="R1263" s="230">
        <v>0</v>
      </c>
      <c r="S1263" s="152">
        <v>4</v>
      </c>
      <c r="T1263" s="152" t="s">
        <v>240</v>
      </c>
      <c r="V1263" s="7" t="str">
        <f t="array" ref="V1263">INDEX(xlRTCLNAME,MATCH(1,(xlRTCLENDU=1)*(xlRTCLEQCL=$D1263),0))</f>
        <v>NG_FA</v>
      </c>
      <c r="W1263" s="7" t="str">
        <f t="array" ref="W1263">INDEX(xlRTCLNAME,MATCH(1,(xlRTCLENDU=2)*(xlRTCLEQCL=$F1263),0))</f>
        <v>CENT_AIR</v>
      </c>
      <c r="X1263" s="7" t="str">
        <f t="array" ref="X1263">INDEX(xlRTTYNAME,MATCH(1,(xlRTTYENDU=1)*(xlRTTYEQCL=$D1263)*(xlRTEQTYPE=$E1263),0))</f>
        <v>NG_FA4</v>
      </c>
      <c r="Y1263" s="7" t="str">
        <f t="array" ref="Y1263">INDEX(xlRTTYNAME,MATCH(1,(xlRTTYENDU=2)*(xlRTTYEQCL=$F1263)*(xlRTEQTYPE=$G1263),0))</f>
        <v>CENT_AIR3</v>
      </c>
    </row>
    <row r="1264" spans="2:25" ht="14.25" customHeight="1" x14ac:dyDescent="0.2">
      <c r="B1264" s="5">
        <v>7</v>
      </c>
      <c r="C1264" s="5">
        <v>2</v>
      </c>
      <c r="D1264" s="5">
        <v>3</v>
      </c>
      <c r="E1264" s="31">
        <v>9</v>
      </c>
      <c r="F1264" s="5">
        <v>2</v>
      </c>
      <c r="G1264" s="31">
        <v>6</v>
      </c>
      <c r="H1264" s="5">
        <v>2033</v>
      </c>
      <c r="I1264" s="5">
        <v>2050</v>
      </c>
      <c r="J1264" s="142">
        <v>1.1200000000000001</v>
      </c>
      <c r="K1264" s="142">
        <v>1.0462</v>
      </c>
      <c r="L1264" s="142">
        <v>1.0271999999999999</v>
      </c>
      <c r="M1264" s="142">
        <v>1.1173</v>
      </c>
      <c r="N1264" s="142">
        <v>1.4438</v>
      </c>
      <c r="O1264" s="142">
        <v>1.0538000000000001</v>
      </c>
      <c r="P1264" s="26">
        <v>2730.7490704153738</v>
      </c>
      <c r="Q1264" s="35">
        <f t="array" ref="Q1264">SUM(IF(($S1264&gt;=4)*($C1264='TaxCred&amp;Subs'!$D$114:$D$121)*($H1264='TaxCred&amp;Subs'!$C$114:$C$121)*($H1264&lt;='TaxCred&amp;Subs'!$C$123),'TaxCred&amp;Subs'!$E$114:$E$121,0))</f>
        <v>0</v>
      </c>
      <c r="R1264" s="143">
        <v>0</v>
      </c>
      <c r="S1264" s="5">
        <v>4</v>
      </c>
      <c r="T1264" s="5" t="s">
        <v>240</v>
      </c>
      <c r="V1264" s="7" t="str">
        <f t="array" ref="V1264">INDEX(xlRTCLNAME,MATCH(1,(xlRTCLENDU=1)*(xlRTCLEQCL=$D1264),0))</f>
        <v>NG_FA</v>
      </c>
      <c r="W1264" s="7" t="str">
        <f t="array" ref="W1264">INDEX(xlRTCLNAME,MATCH(1,(xlRTCLENDU=2)*(xlRTCLEQCL=$F1264),0))</f>
        <v>CENT_AIR</v>
      </c>
      <c r="X1264" s="7" t="str">
        <f t="array" ref="X1264">INDEX(xlRTTYNAME,MATCH(1,(xlRTTYENDU=1)*(xlRTTYEQCL=$D1264)*(xlRTEQTYPE=$E1264),0))</f>
        <v>NG_FA4</v>
      </c>
      <c r="Y1264" s="7" t="str">
        <f t="array" ref="Y1264">INDEX(xlRTTYNAME,MATCH(1,(xlRTTYENDU=2)*(xlRTTYEQCL=$F1264)*(xlRTEQTYPE=$G1264),0))</f>
        <v>CENT_AIR3</v>
      </c>
    </row>
    <row r="1265" spans="2:25" ht="14.25" customHeight="1" x14ac:dyDescent="0.2">
      <c r="B1265" s="5">
        <v>8</v>
      </c>
      <c r="C1265" s="5">
        <v>2</v>
      </c>
      <c r="D1265" s="5">
        <v>3</v>
      </c>
      <c r="E1265" s="5">
        <v>8</v>
      </c>
      <c r="F1265" s="5">
        <v>2</v>
      </c>
      <c r="G1265" s="31">
        <v>6</v>
      </c>
      <c r="H1265" s="31">
        <v>2020</v>
      </c>
      <c r="I1265" s="5">
        <v>2022</v>
      </c>
      <c r="J1265" s="142">
        <v>1.0932999999999999</v>
      </c>
      <c r="K1265" s="142">
        <v>1.0323</v>
      </c>
      <c r="L1265" s="142">
        <v>1.0073000000000001</v>
      </c>
      <c r="M1265" s="142">
        <v>1.2739</v>
      </c>
      <c r="N1265" s="142">
        <v>1.2847999999999999</v>
      </c>
      <c r="O1265" s="142">
        <v>1.0538000000000001</v>
      </c>
      <c r="P1265" s="26">
        <v>3295.4534572073267</v>
      </c>
      <c r="Q1265" s="35">
        <f t="array" ref="Q1265">SUM(IF(($S1265&gt;=4)*($C1265='TaxCred&amp;Subs'!$D$114:$D$121)*($H1265='TaxCred&amp;Subs'!$C$114:$C$121)*($H1265&lt;='TaxCred&amp;Subs'!$C$123),'TaxCred&amp;Subs'!$E$114:$E$121,0))</f>
        <v>0</v>
      </c>
      <c r="R1265" s="143">
        <v>0</v>
      </c>
      <c r="S1265" s="5">
        <v>4</v>
      </c>
      <c r="T1265" s="5" t="s">
        <v>240</v>
      </c>
      <c r="V1265" s="7" t="str">
        <f t="array" ref="V1265">INDEX(xlRTCLNAME,MATCH(1,(xlRTCLENDU=1)*(xlRTCLEQCL=$D1265),0))</f>
        <v>NG_FA</v>
      </c>
      <c r="W1265" s="7" t="str">
        <f t="array" ref="W1265">INDEX(xlRTCLNAME,MATCH(1,(xlRTCLENDU=2)*(xlRTCLEQCL=$F1265),0))</f>
        <v>CENT_AIR</v>
      </c>
      <c r="X1265" s="7" t="str">
        <f t="array" ref="X1265">INDEX(xlRTTYNAME,MATCH(1,(xlRTTYENDU=1)*(xlRTTYEQCL=$D1265)*(xlRTEQTYPE=$E1265),0))</f>
        <v>NG_FA3</v>
      </c>
      <c r="Y1265" s="7" t="str">
        <f t="array" ref="Y1265">INDEX(xlRTTYNAME,MATCH(1,(xlRTTYENDU=2)*(xlRTTYEQCL=$F1265)*(xlRTEQTYPE=$G1265),0))</f>
        <v>CENT_AIR3</v>
      </c>
    </row>
    <row r="1266" spans="2:25" ht="14.25" customHeight="1" x14ac:dyDescent="0.2">
      <c r="B1266" s="5">
        <v>8</v>
      </c>
      <c r="C1266" s="5">
        <v>2</v>
      </c>
      <c r="D1266" s="5">
        <v>3</v>
      </c>
      <c r="E1266" s="5">
        <v>8</v>
      </c>
      <c r="F1266" s="5">
        <v>2</v>
      </c>
      <c r="G1266" s="31">
        <v>6</v>
      </c>
      <c r="H1266" s="5">
        <v>2023</v>
      </c>
      <c r="I1266" s="31">
        <v>2028</v>
      </c>
      <c r="J1266" s="142">
        <v>1.0932999999999999</v>
      </c>
      <c r="K1266" s="142">
        <v>1.0323</v>
      </c>
      <c r="L1266" s="142">
        <v>1.0073000000000001</v>
      </c>
      <c r="M1266" s="142">
        <v>1.2739</v>
      </c>
      <c r="N1266" s="142">
        <v>1.2847999999999999</v>
      </c>
      <c r="O1266" s="142">
        <v>1.0538000000000001</v>
      </c>
      <c r="P1266" s="26">
        <v>3295.4534572073267</v>
      </c>
      <c r="Q1266" s="35">
        <f t="array" ref="Q1266">SUM(IF(($S1266&gt;=4)*($C1266='TaxCred&amp;Subs'!$D$114:$D$121)*($H1266='TaxCred&amp;Subs'!$C$114:$C$121)*($H1266&lt;='TaxCred&amp;Subs'!$C$123),'TaxCred&amp;Subs'!$E$114:$E$121,0))</f>
        <v>500</v>
      </c>
      <c r="R1266" s="143">
        <v>0</v>
      </c>
      <c r="S1266" s="5">
        <v>4</v>
      </c>
      <c r="T1266" s="5" t="s">
        <v>240</v>
      </c>
      <c r="V1266" s="7" t="str">
        <f t="array" ref="V1266">INDEX(xlRTCLNAME,MATCH(1,(xlRTCLENDU=1)*(xlRTCLEQCL=$D1266),0))</f>
        <v>NG_FA</v>
      </c>
      <c r="W1266" s="7" t="str">
        <f t="array" ref="W1266">INDEX(xlRTCLNAME,MATCH(1,(xlRTCLENDU=2)*(xlRTCLEQCL=$F1266),0))</f>
        <v>CENT_AIR</v>
      </c>
      <c r="X1266" s="7" t="str">
        <f t="array" ref="X1266">INDEX(xlRTTYNAME,MATCH(1,(xlRTTYENDU=1)*(xlRTTYEQCL=$D1266)*(xlRTEQTYPE=$E1266),0))</f>
        <v>NG_FA3</v>
      </c>
      <c r="Y1266" s="7" t="str">
        <f t="array" ref="Y1266">INDEX(xlRTTYNAME,MATCH(1,(xlRTTYENDU=2)*(xlRTTYEQCL=$F1266)*(xlRTEQTYPE=$G1266),0))</f>
        <v>CENT_AIR3</v>
      </c>
    </row>
    <row r="1267" spans="2:25" ht="14.25" customHeight="1" x14ac:dyDescent="0.2">
      <c r="B1267" s="152">
        <v>8</v>
      </c>
      <c r="C1267" s="152">
        <v>2</v>
      </c>
      <c r="D1267" s="152">
        <v>3</v>
      </c>
      <c r="E1267" s="152">
        <v>9</v>
      </c>
      <c r="F1267" s="152">
        <v>2</v>
      </c>
      <c r="G1267" s="152">
        <v>6</v>
      </c>
      <c r="H1267" s="152">
        <v>2029</v>
      </c>
      <c r="I1267" s="152">
        <v>2032</v>
      </c>
      <c r="J1267" s="229">
        <v>1.0932999999999999</v>
      </c>
      <c r="K1267" s="229">
        <v>1.0323</v>
      </c>
      <c r="L1267" s="229">
        <v>1.0073000000000001</v>
      </c>
      <c r="M1267" s="229">
        <v>1.2739</v>
      </c>
      <c r="N1267" s="229">
        <v>1.2847999999999999</v>
      </c>
      <c r="O1267" s="229">
        <v>1.0538000000000001</v>
      </c>
      <c r="P1267" s="155">
        <v>3295.4534572073267</v>
      </c>
      <c r="Q1267" s="41">
        <f t="array" ref="Q1267">SUM(IF(($S1267&gt;=4)*($C1267='TaxCred&amp;Subs'!$D$114:$D$121)*($H1267='TaxCred&amp;Subs'!$C$114:$C$121)*($H1267&lt;='TaxCred&amp;Subs'!$C$123),'TaxCred&amp;Subs'!$E$114:$E$121,0))</f>
        <v>500</v>
      </c>
      <c r="R1267" s="230">
        <v>0</v>
      </c>
      <c r="S1267" s="152">
        <v>4</v>
      </c>
      <c r="T1267" s="152" t="s">
        <v>240</v>
      </c>
      <c r="V1267" s="7" t="str">
        <f t="array" ref="V1267">INDEX(xlRTCLNAME,MATCH(1,(xlRTCLENDU=1)*(xlRTCLEQCL=$D1267),0))</f>
        <v>NG_FA</v>
      </c>
      <c r="W1267" s="7" t="str">
        <f t="array" ref="W1267">INDEX(xlRTCLNAME,MATCH(1,(xlRTCLENDU=2)*(xlRTCLEQCL=$F1267),0))</f>
        <v>CENT_AIR</v>
      </c>
      <c r="X1267" s="7" t="str">
        <f t="array" ref="X1267">INDEX(xlRTTYNAME,MATCH(1,(xlRTTYENDU=1)*(xlRTTYEQCL=$D1267)*(xlRTEQTYPE=$E1267),0))</f>
        <v>NG_FA4</v>
      </c>
      <c r="Y1267" s="7" t="str">
        <f t="array" ref="Y1267">INDEX(xlRTTYNAME,MATCH(1,(xlRTTYENDU=2)*(xlRTTYEQCL=$F1267)*(xlRTEQTYPE=$G1267),0))</f>
        <v>CENT_AIR3</v>
      </c>
    </row>
    <row r="1268" spans="2:25" ht="14.25" customHeight="1" x14ac:dyDescent="0.2">
      <c r="B1268" s="5">
        <v>8</v>
      </c>
      <c r="C1268" s="5">
        <v>2</v>
      </c>
      <c r="D1268" s="5">
        <v>3</v>
      </c>
      <c r="E1268" s="31">
        <v>9</v>
      </c>
      <c r="F1268" s="5">
        <v>2</v>
      </c>
      <c r="G1268" s="31">
        <v>6</v>
      </c>
      <c r="H1268" s="5">
        <v>2033</v>
      </c>
      <c r="I1268" s="5">
        <v>2050</v>
      </c>
      <c r="J1268" s="142">
        <v>1.0932999999999999</v>
      </c>
      <c r="K1268" s="142">
        <v>1.0323</v>
      </c>
      <c r="L1268" s="142">
        <v>1.0073000000000001</v>
      </c>
      <c r="M1268" s="142">
        <v>1.2739</v>
      </c>
      <c r="N1268" s="142">
        <v>1.2847999999999999</v>
      </c>
      <c r="O1268" s="142">
        <v>1.0538000000000001</v>
      </c>
      <c r="P1268" s="26">
        <v>3295.4534572073267</v>
      </c>
      <c r="Q1268" s="35">
        <f t="array" ref="Q1268">SUM(IF(($S1268&gt;=4)*($C1268='TaxCred&amp;Subs'!$D$114:$D$121)*($H1268='TaxCred&amp;Subs'!$C$114:$C$121)*($H1268&lt;='TaxCred&amp;Subs'!$C$123),'TaxCred&amp;Subs'!$E$114:$E$121,0))</f>
        <v>0</v>
      </c>
      <c r="R1268" s="143">
        <v>0</v>
      </c>
      <c r="S1268" s="5">
        <v>4</v>
      </c>
      <c r="T1268" s="5" t="s">
        <v>240</v>
      </c>
      <c r="V1268" s="7" t="str">
        <f t="array" ref="V1268">INDEX(xlRTCLNAME,MATCH(1,(xlRTCLENDU=1)*(xlRTCLEQCL=$D1268),0))</f>
        <v>NG_FA</v>
      </c>
      <c r="W1268" s="7" t="str">
        <f t="array" ref="W1268">INDEX(xlRTCLNAME,MATCH(1,(xlRTCLENDU=2)*(xlRTCLEQCL=$F1268),0))</f>
        <v>CENT_AIR</v>
      </c>
      <c r="X1268" s="7" t="str">
        <f t="array" ref="X1268">INDEX(xlRTTYNAME,MATCH(1,(xlRTTYENDU=1)*(xlRTTYEQCL=$D1268)*(xlRTEQTYPE=$E1268),0))</f>
        <v>NG_FA4</v>
      </c>
      <c r="Y1268" s="7" t="str">
        <f t="array" ref="Y1268">INDEX(xlRTTYNAME,MATCH(1,(xlRTTYENDU=2)*(xlRTTYEQCL=$F1268)*(xlRTEQTYPE=$G1268),0))</f>
        <v>CENT_AIR3</v>
      </c>
    </row>
    <row r="1269" spans="2:25" ht="14.25" customHeight="1" x14ac:dyDescent="0.2">
      <c r="B1269" s="5">
        <v>9</v>
      </c>
      <c r="C1269" s="5">
        <v>2</v>
      </c>
      <c r="D1269" s="5">
        <v>3</v>
      </c>
      <c r="E1269" s="5">
        <v>8</v>
      </c>
      <c r="F1269" s="5">
        <v>2</v>
      </c>
      <c r="G1269" s="31">
        <v>6</v>
      </c>
      <c r="H1269" s="31">
        <v>2020</v>
      </c>
      <c r="I1269" s="5">
        <v>2022</v>
      </c>
      <c r="J1269" s="142">
        <v>1.07</v>
      </c>
      <c r="K1269" s="142">
        <v>1.0541</v>
      </c>
      <c r="L1269" s="142">
        <v>1.0063</v>
      </c>
      <c r="M1269" s="142">
        <v>1.2</v>
      </c>
      <c r="N1269" s="142">
        <v>1.4438</v>
      </c>
      <c r="O1269" s="142">
        <v>1.0538000000000001</v>
      </c>
      <c r="P1269" s="26">
        <v>3428.5623483797162</v>
      </c>
      <c r="Q1269" s="35">
        <f t="array" ref="Q1269">SUM(IF(($S1269&gt;=4)*($C1269='TaxCred&amp;Subs'!$D$114:$D$121)*($H1269='TaxCred&amp;Subs'!$C$114:$C$121)*($H1269&lt;='TaxCred&amp;Subs'!$C$123),'TaxCred&amp;Subs'!$E$114:$E$121,0))</f>
        <v>0</v>
      </c>
      <c r="R1269" s="143">
        <v>0</v>
      </c>
      <c r="S1269" s="5">
        <v>4</v>
      </c>
      <c r="T1269" s="5" t="s">
        <v>240</v>
      </c>
      <c r="V1269" s="7" t="str">
        <f t="array" ref="V1269">INDEX(xlRTCLNAME,MATCH(1,(xlRTCLENDU=1)*(xlRTCLEQCL=$D1269),0))</f>
        <v>NG_FA</v>
      </c>
      <c r="W1269" s="7" t="str">
        <f t="array" ref="W1269">INDEX(xlRTCLNAME,MATCH(1,(xlRTCLENDU=2)*(xlRTCLEQCL=$F1269),0))</f>
        <v>CENT_AIR</v>
      </c>
      <c r="X1269" s="7" t="str">
        <f t="array" ref="X1269">INDEX(xlRTTYNAME,MATCH(1,(xlRTTYENDU=1)*(xlRTTYEQCL=$D1269)*(xlRTEQTYPE=$E1269),0))</f>
        <v>NG_FA3</v>
      </c>
      <c r="Y1269" s="7" t="str">
        <f t="array" ref="Y1269">INDEX(xlRTTYNAME,MATCH(1,(xlRTTYENDU=2)*(xlRTTYEQCL=$F1269)*(xlRTEQTYPE=$G1269),0))</f>
        <v>CENT_AIR3</v>
      </c>
    </row>
    <row r="1270" spans="2:25" ht="14.25" customHeight="1" x14ac:dyDescent="0.2">
      <c r="B1270" s="5">
        <v>9</v>
      </c>
      <c r="C1270" s="5">
        <v>2</v>
      </c>
      <c r="D1270" s="5">
        <v>3</v>
      </c>
      <c r="E1270" s="5">
        <v>8</v>
      </c>
      <c r="F1270" s="5">
        <v>2</v>
      </c>
      <c r="G1270" s="31">
        <v>6</v>
      </c>
      <c r="H1270" s="5">
        <v>2023</v>
      </c>
      <c r="I1270" s="31">
        <v>2028</v>
      </c>
      <c r="J1270" s="142">
        <v>1.07</v>
      </c>
      <c r="K1270" s="142">
        <v>1.0541</v>
      </c>
      <c r="L1270" s="142">
        <v>1.0063</v>
      </c>
      <c r="M1270" s="142">
        <v>1.2</v>
      </c>
      <c r="N1270" s="142">
        <v>1.4438</v>
      </c>
      <c r="O1270" s="142">
        <v>1.0538000000000001</v>
      </c>
      <c r="P1270" s="26">
        <v>3428.5623483797162</v>
      </c>
      <c r="Q1270" s="35">
        <f t="array" ref="Q1270">SUM(IF(($S1270&gt;=4)*($C1270='TaxCred&amp;Subs'!$D$114:$D$121)*($H1270='TaxCred&amp;Subs'!$C$114:$C$121)*($H1270&lt;='TaxCred&amp;Subs'!$C$123),'TaxCred&amp;Subs'!$E$114:$E$121,0))</f>
        <v>500</v>
      </c>
      <c r="R1270" s="143">
        <v>0</v>
      </c>
      <c r="S1270" s="5">
        <v>4</v>
      </c>
      <c r="T1270" s="5" t="s">
        <v>240</v>
      </c>
      <c r="V1270" s="7" t="str">
        <f t="array" ref="V1270">INDEX(xlRTCLNAME,MATCH(1,(xlRTCLENDU=1)*(xlRTCLEQCL=$D1270),0))</f>
        <v>NG_FA</v>
      </c>
      <c r="W1270" s="7" t="str">
        <f t="array" ref="W1270">INDEX(xlRTCLNAME,MATCH(1,(xlRTCLENDU=2)*(xlRTCLEQCL=$F1270),0))</f>
        <v>CENT_AIR</v>
      </c>
      <c r="X1270" s="7" t="str">
        <f t="array" ref="X1270">INDEX(xlRTTYNAME,MATCH(1,(xlRTTYENDU=1)*(xlRTTYEQCL=$D1270)*(xlRTEQTYPE=$E1270),0))</f>
        <v>NG_FA3</v>
      </c>
      <c r="Y1270" s="7" t="str">
        <f t="array" ref="Y1270">INDEX(xlRTTYNAME,MATCH(1,(xlRTTYENDU=2)*(xlRTTYEQCL=$F1270)*(xlRTEQTYPE=$G1270),0))</f>
        <v>CENT_AIR3</v>
      </c>
    </row>
    <row r="1271" spans="2:25" ht="14.25" customHeight="1" x14ac:dyDescent="0.2">
      <c r="B1271" s="152">
        <v>9</v>
      </c>
      <c r="C1271" s="152">
        <v>2</v>
      </c>
      <c r="D1271" s="152">
        <v>3</v>
      </c>
      <c r="E1271" s="152">
        <v>9</v>
      </c>
      <c r="F1271" s="152">
        <v>2</v>
      </c>
      <c r="G1271" s="152">
        <v>6</v>
      </c>
      <c r="H1271" s="152">
        <v>2029</v>
      </c>
      <c r="I1271" s="152">
        <v>2032</v>
      </c>
      <c r="J1271" s="229">
        <v>1.07</v>
      </c>
      <c r="K1271" s="229">
        <v>1.0541</v>
      </c>
      <c r="L1271" s="229">
        <v>1.0063</v>
      </c>
      <c r="M1271" s="229">
        <v>1.2</v>
      </c>
      <c r="N1271" s="229">
        <v>1.4438</v>
      </c>
      <c r="O1271" s="229">
        <v>1.0538000000000001</v>
      </c>
      <c r="P1271" s="155">
        <v>3428.5623483797162</v>
      </c>
      <c r="Q1271" s="41">
        <f t="array" ref="Q1271">SUM(IF(($S1271&gt;=4)*($C1271='TaxCred&amp;Subs'!$D$114:$D$121)*($H1271='TaxCred&amp;Subs'!$C$114:$C$121)*($H1271&lt;='TaxCred&amp;Subs'!$C$123),'TaxCred&amp;Subs'!$E$114:$E$121,0))</f>
        <v>500</v>
      </c>
      <c r="R1271" s="230">
        <v>0</v>
      </c>
      <c r="S1271" s="152">
        <v>4</v>
      </c>
      <c r="T1271" s="152" t="s">
        <v>240</v>
      </c>
      <c r="V1271" s="7" t="str">
        <f t="array" ref="V1271">INDEX(xlRTCLNAME,MATCH(1,(xlRTCLENDU=1)*(xlRTCLEQCL=$D1271),0))</f>
        <v>NG_FA</v>
      </c>
      <c r="W1271" s="7" t="str">
        <f t="array" ref="W1271">INDEX(xlRTCLNAME,MATCH(1,(xlRTCLENDU=2)*(xlRTCLEQCL=$F1271),0))</f>
        <v>CENT_AIR</v>
      </c>
      <c r="X1271" s="7" t="str">
        <f t="array" ref="X1271">INDEX(xlRTTYNAME,MATCH(1,(xlRTTYENDU=1)*(xlRTTYEQCL=$D1271)*(xlRTEQTYPE=$E1271),0))</f>
        <v>NG_FA4</v>
      </c>
      <c r="Y1271" s="7" t="str">
        <f t="array" ref="Y1271">INDEX(xlRTTYNAME,MATCH(1,(xlRTTYENDU=2)*(xlRTTYEQCL=$F1271)*(xlRTEQTYPE=$G1271),0))</f>
        <v>CENT_AIR3</v>
      </c>
    </row>
    <row r="1272" spans="2:25" ht="14.25" customHeight="1" x14ac:dyDescent="0.2">
      <c r="B1272" s="5">
        <v>9</v>
      </c>
      <c r="C1272" s="5">
        <v>2</v>
      </c>
      <c r="D1272" s="5">
        <v>3</v>
      </c>
      <c r="E1272" s="31">
        <v>9</v>
      </c>
      <c r="F1272" s="5">
        <v>2</v>
      </c>
      <c r="G1272" s="31">
        <v>6</v>
      </c>
      <c r="H1272" s="5">
        <v>2033</v>
      </c>
      <c r="I1272" s="5">
        <v>2050</v>
      </c>
      <c r="J1272" s="142">
        <v>1.07</v>
      </c>
      <c r="K1272" s="142">
        <v>1.0541</v>
      </c>
      <c r="L1272" s="142">
        <v>1.0063</v>
      </c>
      <c r="M1272" s="142">
        <v>1.2</v>
      </c>
      <c r="N1272" s="142">
        <v>1.4438</v>
      </c>
      <c r="O1272" s="142">
        <v>1.0538000000000001</v>
      </c>
      <c r="P1272" s="26">
        <v>3428.5623483797162</v>
      </c>
      <c r="Q1272" s="35">
        <f t="array" ref="Q1272">SUM(IF(($S1272&gt;=4)*($C1272='TaxCred&amp;Subs'!$D$114:$D$121)*($H1272='TaxCred&amp;Subs'!$C$114:$C$121)*($H1272&lt;='TaxCred&amp;Subs'!$C$123),'TaxCred&amp;Subs'!$E$114:$E$121,0))</f>
        <v>0</v>
      </c>
      <c r="R1272" s="143">
        <v>0</v>
      </c>
      <c r="S1272" s="5">
        <v>4</v>
      </c>
      <c r="T1272" s="5" t="s">
        <v>240</v>
      </c>
      <c r="V1272" s="7" t="str">
        <f t="array" ref="V1272">INDEX(xlRTCLNAME,MATCH(1,(xlRTCLENDU=1)*(xlRTCLEQCL=$D1272),0))</f>
        <v>NG_FA</v>
      </c>
      <c r="W1272" s="7" t="str">
        <f t="array" ref="W1272">INDEX(xlRTCLNAME,MATCH(1,(xlRTCLENDU=2)*(xlRTCLEQCL=$F1272),0))</f>
        <v>CENT_AIR</v>
      </c>
      <c r="X1272" s="7" t="str">
        <f t="array" ref="X1272">INDEX(xlRTTYNAME,MATCH(1,(xlRTTYENDU=1)*(xlRTTYEQCL=$D1272)*(xlRTEQTYPE=$E1272),0))</f>
        <v>NG_FA4</v>
      </c>
      <c r="Y1272" s="7" t="str">
        <f t="array" ref="Y1272">INDEX(xlRTTYNAME,MATCH(1,(xlRTTYENDU=2)*(xlRTTYEQCL=$F1272)*(xlRTEQTYPE=$G1272),0))</f>
        <v>CENT_AIR3</v>
      </c>
    </row>
    <row r="1273" spans="2:25" ht="14.25" customHeight="1" x14ac:dyDescent="0.2">
      <c r="B1273" s="5">
        <v>1</v>
      </c>
      <c r="C1273" s="5">
        <v>2</v>
      </c>
      <c r="D1273" s="5">
        <v>4</v>
      </c>
      <c r="E1273" s="5">
        <v>12</v>
      </c>
      <c r="F1273" s="5">
        <v>2</v>
      </c>
      <c r="G1273" s="31">
        <v>6</v>
      </c>
      <c r="H1273" s="31">
        <v>2020</v>
      </c>
      <c r="I1273" s="5">
        <v>2022</v>
      </c>
      <c r="J1273" s="142">
        <v>1.0864</v>
      </c>
      <c r="K1273" s="142">
        <v>1.0417000000000001</v>
      </c>
      <c r="L1273" s="142">
        <v>0.90900000000000003</v>
      </c>
      <c r="M1273" s="142">
        <v>1.1455</v>
      </c>
      <c r="N1273" s="142">
        <v>1.1156999999999999</v>
      </c>
      <c r="O1273" s="142">
        <v>1.0538000000000001</v>
      </c>
      <c r="P1273" s="26">
        <v>4740.8277805438729</v>
      </c>
      <c r="Q1273" s="35">
        <f t="array" ref="Q1273">SUM(IF(($S1273&gt;=4)*($C1273='TaxCred&amp;Subs'!$D$114:$D$121)*($H1273='TaxCred&amp;Subs'!$C$114:$C$121)*($H1273&lt;='TaxCred&amp;Subs'!$C$123),'TaxCred&amp;Subs'!$E$114:$E$121,0))</f>
        <v>0</v>
      </c>
      <c r="R1273" s="143">
        <v>0</v>
      </c>
      <c r="S1273" s="5">
        <v>4</v>
      </c>
      <c r="T1273" s="5" t="s">
        <v>240</v>
      </c>
      <c r="V1273" s="7" t="str">
        <f t="array" ref="V1273">INDEX(xlRTCLNAME,MATCH(1,(xlRTCLENDU=1)*(xlRTCLEQCL=$D1273),0))</f>
        <v>NG_RAD</v>
      </c>
      <c r="W1273" s="7" t="str">
        <f t="array" ref="W1273">INDEX(xlRTCLNAME,MATCH(1,(xlRTCLENDU=2)*(xlRTCLEQCL=$F1273),0))</f>
        <v>CENT_AIR</v>
      </c>
      <c r="X1273" s="7" t="str">
        <f t="array" ref="X1273">INDEX(xlRTTYNAME,MATCH(1,(xlRTTYENDU=1)*(xlRTTYEQCL=$D1273)*(xlRTEQTYPE=$E1273),0))</f>
        <v>NG_RAD3</v>
      </c>
      <c r="Y1273" s="7" t="str">
        <f t="array" ref="Y1273">INDEX(xlRTTYNAME,MATCH(1,(xlRTTYENDU=2)*(xlRTTYEQCL=$F1273)*(xlRTEQTYPE=$G1273),0))</f>
        <v>CENT_AIR3</v>
      </c>
    </row>
    <row r="1274" spans="2:25" ht="14.25" customHeight="1" x14ac:dyDescent="0.2">
      <c r="B1274" s="5">
        <v>1</v>
      </c>
      <c r="C1274" s="5">
        <v>2</v>
      </c>
      <c r="D1274" s="5">
        <v>4</v>
      </c>
      <c r="E1274" s="5">
        <v>12</v>
      </c>
      <c r="F1274" s="5">
        <v>2</v>
      </c>
      <c r="G1274" s="31">
        <v>6</v>
      </c>
      <c r="H1274" s="5">
        <v>2023</v>
      </c>
      <c r="I1274" s="5">
        <v>2032</v>
      </c>
      <c r="J1274" s="142">
        <v>1.0864</v>
      </c>
      <c r="K1274" s="142">
        <v>1.0417000000000001</v>
      </c>
      <c r="L1274" s="142">
        <v>0.90900000000000003</v>
      </c>
      <c r="M1274" s="142">
        <v>1.1455</v>
      </c>
      <c r="N1274" s="142">
        <v>1.1156999999999999</v>
      </c>
      <c r="O1274" s="142">
        <v>1.0538000000000001</v>
      </c>
      <c r="P1274" s="26">
        <v>4740.8277805438729</v>
      </c>
      <c r="Q1274" s="35">
        <f t="array" ref="Q1274">SUM(IF(($S1274&gt;=4)*($C1274='TaxCred&amp;Subs'!$D$114:$D$121)*($H1274='TaxCred&amp;Subs'!$C$114:$C$121)*($H1274&lt;='TaxCred&amp;Subs'!$C$123),'TaxCred&amp;Subs'!$E$114:$E$121,0))</f>
        <v>500</v>
      </c>
      <c r="R1274" s="143">
        <v>0</v>
      </c>
      <c r="S1274" s="5">
        <v>4</v>
      </c>
      <c r="T1274" s="5" t="s">
        <v>240</v>
      </c>
      <c r="V1274" s="7" t="str">
        <f t="array" ref="V1274">INDEX(xlRTCLNAME,MATCH(1,(xlRTCLENDU=1)*(xlRTCLEQCL=$D1274),0))</f>
        <v>NG_RAD</v>
      </c>
      <c r="W1274" s="7" t="str">
        <f t="array" ref="W1274">INDEX(xlRTCLNAME,MATCH(1,(xlRTCLENDU=2)*(xlRTCLEQCL=$F1274),0))</f>
        <v>CENT_AIR</v>
      </c>
      <c r="X1274" s="7" t="str">
        <f t="array" ref="X1274">INDEX(xlRTTYNAME,MATCH(1,(xlRTTYENDU=1)*(xlRTTYEQCL=$D1274)*(xlRTEQTYPE=$E1274),0))</f>
        <v>NG_RAD3</v>
      </c>
      <c r="Y1274" s="7" t="str">
        <f t="array" ref="Y1274">INDEX(xlRTTYNAME,MATCH(1,(xlRTTYENDU=2)*(xlRTTYEQCL=$F1274)*(xlRTEQTYPE=$G1274),0))</f>
        <v>CENT_AIR3</v>
      </c>
    </row>
    <row r="1275" spans="2:25" ht="14.25" customHeight="1" x14ac:dyDescent="0.2">
      <c r="B1275" s="5">
        <v>1</v>
      </c>
      <c r="C1275" s="5">
        <v>2</v>
      </c>
      <c r="D1275" s="5">
        <v>4</v>
      </c>
      <c r="E1275" s="5">
        <v>12</v>
      </c>
      <c r="F1275" s="5">
        <v>2</v>
      </c>
      <c r="G1275" s="31">
        <v>6</v>
      </c>
      <c r="H1275" s="5">
        <v>2033</v>
      </c>
      <c r="I1275" s="5">
        <v>2050</v>
      </c>
      <c r="J1275" s="142">
        <v>1.0864</v>
      </c>
      <c r="K1275" s="142">
        <v>1.0417000000000001</v>
      </c>
      <c r="L1275" s="142">
        <v>0.90900000000000003</v>
      </c>
      <c r="M1275" s="142">
        <v>1.1455</v>
      </c>
      <c r="N1275" s="142">
        <v>1.1156999999999999</v>
      </c>
      <c r="O1275" s="142">
        <v>1.0538000000000001</v>
      </c>
      <c r="P1275" s="26">
        <v>4740.8277805438729</v>
      </c>
      <c r="Q1275" s="35">
        <f t="array" ref="Q1275">SUM(IF(($S1275&gt;=4)*($C1275='TaxCred&amp;Subs'!$D$114:$D$121)*($H1275='TaxCred&amp;Subs'!$C$114:$C$121)*($H1275&lt;='TaxCred&amp;Subs'!$C$123),'TaxCred&amp;Subs'!$E$114:$E$121,0))</f>
        <v>0</v>
      </c>
      <c r="R1275" s="143">
        <v>0</v>
      </c>
      <c r="S1275" s="5">
        <v>4</v>
      </c>
      <c r="T1275" s="5" t="s">
        <v>240</v>
      </c>
      <c r="V1275" s="7" t="str">
        <f t="array" ref="V1275">INDEX(xlRTCLNAME,MATCH(1,(xlRTCLENDU=1)*(xlRTCLEQCL=$D1275),0))</f>
        <v>NG_RAD</v>
      </c>
      <c r="W1275" s="7" t="str">
        <f t="array" ref="W1275">INDEX(xlRTCLNAME,MATCH(1,(xlRTCLENDU=2)*(xlRTCLEQCL=$F1275),0))</f>
        <v>CENT_AIR</v>
      </c>
      <c r="X1275" s="7" t="str">
        <f t="array" ref="X1275">INDEX(xlRTTYNAME,MATCH(1,(xlRTTYENDU=1)*(xlRTTYEQCL=$D1275)*(xlRTEQTYPE=$E1275),0))</f>
        <v>NG_RAD3</v>
      </c>
      <c r="Y1275" s="7" t="str">
        <f t="array" ref="Y1275">INDEX(xlRTTYNAME,MATCH(1,(xlRTTYENDU=2)*(xlRTTYEQCL=$F1275)*(xlRTEQTYPE=$G1275),0))</f>
        <v>CENT_AIR3</v>
      </c>
    </row>
    <row r="1276" spans="2:25" ht="14.25" customHeight="1" x14ac:dyDescent="0.2">
      <c r="B1276" s="5">
        <v>2</v>
      </c>
      <c r="C1276" s="5">
        <v>2</v>
      </c>
      <c r="D1276" s="5">
        <v>4</v>
      </c>
      <c r="E1276" s="5">
        <v>12</v>
      </c>
      <c r="F1276" s="5">
        <v>2</v>
      </c>
      <c r="G1276" s="31">
        <v>6</v>
      </c>
      <c r="H1276" s="31">
        <v>2020</v>
      </c>
      <c r="I1276" s="5">
        <v>2022</v>
      </c>
      <c r="J1276" s="142">
        <v>1.0891</v>
      </c>
      <c r="K1276" s="142">
        <v>1.0713999999999999</v>
      </c>
      <c r="L1276" s="142">
        <v>0.97260000000000002</v>
      </c>
      <c r="M1276" s="142">
        <v>1.1625000000000001</v>
      </c>
      <c r="N1276" s="142">
        <v>1.1254999999999999</v>
      </c>
      <c r="O1276" s="142">
        <v>1.0538000000000001</v>
      </c>
      <c r="P1276" s="26">
        <v>3632.9315550282327</v>
      </c>
      <c r="Q1276" s="35">
        <f t="array" ref="Q1276">SUM(IF(($S1276&gt;=4)*($C1276='TaxCred&amp;Subs'!$D$114:$D$121)*($H1276='TaxCred&amp;Subs'!$C$114:$C$121)*($H1276&lt;='TaxCred&amp;Subs'!$C$123),'TaxCred&amp;Subs'!$E$114:$E$121,0))</f>
        <v>0</v>
      </c>
      <c r="R1276" s="143">
        <v>0</v>
      </c>
      <c r="S1276" s="5">
        <v>4</v>
      </c>
      <c r="T1276" s="5" t="s">
        <v>240</v>
      </c>
      <c r="V1276" s="7" t="str">
        <f t="array" ref="V1276">INDEX(xlRTCLNAME,MATCH(1,(xlRTCLENDU=1)*(xlRTCLEQCL=$D1276),0))</f>
        <v>NG_RAD</v>
      </c>
      <c r="W1276" s="7" t="str">
        <f t="array" ref="W1276">INDEX(xlRTCLNAME,MATCH(1,(xlRTCLENDU=2)*(xlRTCLEQCL=$F1276),0))</f>
        <v>CENT_AIR</v>
      </c>
      <c r="X1276" s="7" t="str">
        <f t="array" ref="X1276">INDEX(xlRTTYNAME,MATCH(1,(xlRTTYENDU=1)*(xlRTTYEQCL=$D1276)*(xlRTEQTYPE=$E1276),0))</f>
        <v>NG_RAD3</v>
      </c>
      <c r="Y1276" s="7" t="str">
        <f t="array" ref="Y1276">INDEX(xlRTTYNAME,MATCH(1,(xlRTTYENDU=2)*(xlRTTYEQCL=$F1276)*(xlRTEQTYPE=$G1276),0))</f>
        <v>CENT_AIR3</v>
      </c>
    </row>
    <row r="1277" spans="2:25" ht="14.25" customHeight="1" x14ac:dyDescent="0.2">
      <c r="B1277" s="5">
        <v>2</v>
      </c>
      <c r="C1277" s="5">
        <v>2</v>
      </c>
      <c r="D1277" s="5">
        <v>4</v>
      </c>
      <c r="E1277" s="5">
        <v>12</v>
      </c>
      <c r="F1277" s="5">
        <v>2</v>
      </c>
      <c r="G1277" s="31">
        <v>6</v>
      </c>
      <c r="H1277" s="5">
        <v>2023</v>
      </c>
      <c r="I1277" s="5">
        <v>2032</v>
      </c>
      <c r="J1277" s="142">
        <v>1.0891</v>
      </c>
      <c r="K1277" s="142">
        <v>1.0713999999999999</v>
      </c>
      <c r="L1277" s="142">
        <v>0.97260000000000002</v>
      </c>
      <c r="M1277" s="142">
        <v>1.1625000000000001</v>
      </c>
      <c r="N1277" s="142">
        <v>1.1254999999999999</v>
      </c>
      <c r="O1277" s="142">
        <v>1.0538000000000001</v>
      </c>
      <c r="P1277" s="26">
        <v>3632.9315550282327</v>
      </c>
      <c r="Q1277" s="35">
        <f t="array" ref="Q1277">SUM(IF(($S1277&gt;=4)*($C1277='TaxCred&amp;Subs'!$D$114:$D$121)*($H1277='TaxCred&amp;Subs'!$C$114:$C$121)*($H1277&lt;='TaxCred&amp;Subs'!$C$123),'TaxCred&amp;Subs'!$E$114:$E$121,0))</f>
        <v>500</v>
      </c>
      <c r="R1277" s="143">
        <v>0</v>
      </c>
      <c r="S1277" s="5">
        <v>4</v>
      </c>
      <c r="T1277" s="5" t="s">
        <v>240</v>
      </c>
      <c r="V1277" s="7" t="str">
        <f t="array" ref="V1277">INDEX(xlRTCLNAME,MATCH(1,(xlRTCLENDU=1)*(xlRTCLEQCL=$D1277),0))</f>
        <v>NG_RAD</v>
      </c>
      <c r="W1277" s="7" t="str">
        <f t="array" ref="W1277">INDEX(xlRTCLNAME,MATCH(1,(xlRTCLENDU=2)*(xlRTCLEQCL=$F1277),0))</f>
        <v>CENT_AIR</v>
      </c>
      <c r="X1277" s="7" t="str">
        <f t="array" ref="X1277">INDEX(xlRTTYNAME,MATCH(1,(xlRTTYENDU=1)*(xlRTTYEQCL=$D1277)*(xlRTEQTYPE=$E1277),0))</f>
        <v>NG_RAD3</v>
      </c>
      <c r="Y1277" s="7" t="str">
        <f t="array" ref="Y1277">INDEX(xlRTTYNAME,MATCH(1,(xlRTTYENDU=2)*(xlRTTYEQCL=$F1277)*(xlRTEQTYPE=$G1277),0))</f>
        <v>CENT_AIR3</v>
      </c>
    </row>
    <row r="1278" spans="2:25" ht="14.25" customHeight="1" x14ac:dyDescent="0.2">
      <c r="B1278" s="5">
        <v>2</v>
      </c>
      <c r="C1278" s="5">
        <v>2</v>
      </c>
      <c r="D1278" s="5">
        <v>4</v>
      </c>
      <c r="E1278" s="5">
        <v>12</v>
      </c>
      <c r="F1278" s="5">
        <v>2</v>
      </c>
      <c r="G1278" s="31">
        <v>6</v>
      </c>
      <c r="H1278" s="5">
        <v>2033</v>
      </c>
      <c r="I1278" s="5">
        <v>2050</v>
      </c>
      <c r="J1278" s="142">
        <v>1.0891</v>
      </c>
      <c r="K1278" s="142">
        <v>1.0713999999999999</v>
      </c>
      <c r="L1278" s="142">
        <v>0.97260000000000002</v>
      </c>
      <c r="M1278" s="142">
        <v>1.1625000000000001</v>
      </c>
      <c r="N1278" s="142">
        <v>1.1254999999999999</v>
      </c>
      <c r="O1278" s="142">
        <v>1.0538000000000001</v>
      </c>
      <c r="P1278" s="26">
        <v>3632.9315550282327</v>
      </c>
      <c r="Q1278" s="35">
        <f t="array" ref="Q1278">SUM(IF(($S1278&gt;=4)*($C1278='TaxCred&amp;Subs'!$D$114:$D$121)*($H1278='TaxCred&amp;Subs'!$C$114:$C$121)*($H1278&lt;='TaxCred&amp;Subs'!$C$123),'TaxCred&amp;Subs'!$E$114:$E$121,0))</f>
        <v>0</v>
      </c>
      <c r="R1278" s="143">
        <v>0</v>
      </c>
      <c r="S1278" s="5">
        <v>4</v>
      </c>
      <c r="T1278" s="5" t="s">
        <v>240</v>
      </c>
      <c r="V1278" s="7" t="str">
        <f t="array" ref="V1278">INDEX(xlRTCLNAME,MATCH(1,(xlRTCLENDU=1)*(xlRTCLEQCL=$D1278),0))</f>
        <v>NG_RAD</v>
      </c>
      <c r="W1278" s="7" t="str">
        <f t="array" ref="W1278">INDEX(xlRTCLNAME,MATCH(1,(xlRTCLENDU=2)*(xlRTCLEQCL=$F1278),0))</f>
        <v>CENT_AIR</v>
      </c>
      <c r="X1278" s="7" t="str">
        <f t="array" ref="X1278">INDEX(xlRTTYNAME,MATCH(1,(xlRTTYENDU=1)*(xlRTTYEQCL=$D1278)*(xlRTEQTYPE=$E1278),0))</f>
        <v>NG_RAD3</v>
      </c>
      <c r="Y1278" s="7" t="str">
        <f t="array" ref="Y1278">INDEX(xlRTTYNAME,MATCH(1,(xlRTTYENDU=2)*(xlRTTYEQCL=$F1278)*(xlRTEQTYPE=$G1278),0))</f>
        <v>CENT_AIR3</v>
      </c>
    </row>
    <row r="1279" spans="2:25" ht="14.25" customHeight="1" x14ac:dyDescent="0.2">
      <c r="B1279" s="5">
        <v>3</v>
      </c>
      <c r="C1279" s="5">
        <v>2</v>
      </c>
      <c r="D1279" s="5">
        <v>4</v>
      </c>
      <c r="E1279" s="5">
        <v>12</v>
      </c>
      <c r="F1279" s="5">
        <v>2</v>
      </c>
      <c r="G1279" s="31">
        <v>6</v>
      </c>
      <c r="H1279" s="31">
        <v>2020</v>
      </c>
      <c r="I1279" s="5">
        <v>2022</v>
      </c>
      <c r="J1279" s="142">
        <v>1.0962000000000001</v>
      </c>
      <c r="K1279" s="142">
        <v>1.0345</v>
      </c>
      <c r="L1279" s="142">
        <v>0.81979999999999997</v>
      </c>
      <c r="M1279" s="142">
        <v>1.0828</v>
      </c>
      <c r="N1279" s="142">
        <v>1.0417000000000001</v>
      </c>
      <c r="O1279" s="142">
        <v>1.0538000000000001</v>
      </c>
      <c r="P1279" s="26">
        <v>4037.6363655624655</v>
      </c>
      <c r="Q1279" s="35">
        <f t="array" ref="Q1279">SUM(IF(($S1279&gt;=4)*($C1279='TaxCred&amp;Subs'!$D$114:$D$121)*($H1279='TaxCred&amp;Subs'!$C$114:$C$121)*($H1279&lt;='TaxCred&amp;Subs'!$C$123),'TaxCred&amp;Subs'!$E$114:$E$121,0))</f>
        <v>0</v>
      </c>
      <c r="R1279" s="143">
        <v>0</v>
      </c>
      <c r="S1279" s="5">
        <v>4</v>
      </c>
      <c r="T1279" s="5" t="s">
        <v>240</v>
      </c>
      <c r="V1279" s="7" t="str">
        <f t="array" ref="V1279">INDEX(xlRTCLNAME,MATCH(1,(xlRTCLENDU=1)*(xlRTCLEQCL=$D1279),0))</f>
        <v>NG_RAD</v>
      </c>
      <c r="W1279" s="7" t="str">
        <f t="array" ref="W1279">INDEX(xlRTCLNAME,MATCH(1,(xlRTCLENDU=2)*(xlRTCLEQCL=$F1279),0))</f>
        <v>CENT_AIR</v>
      </c>
      <c r="X1279" s="7" t="str">
        <f t="array" ref="X1279">INDEX(xlRTTYNAME,MATCH(1,(xlRTTYENDU=1)*(xlRTTYEQCL=$D1279)*(xlRTEQTYPE=$E1279),0))</f>
        <v>NG_RAD3</v>
      </c>
      <c r="Y1279" s="7" t="str">
        <f t="array" ref="Y1279">INDEX(xlRTTYNAME,MATCH(1,(xlRTTYENDU=2)*(xlRTTYEQCL=$F1279)*(xlRTEQTYPE=$G1279),0))</f>
        <v>CENT_AIR3</v>
      </c>
    </row>
    <row r="1280" spans="2:25" ht="14.25" customHeight="1" x14ac:dyDescent="0.2">
      <c r="B1280" s="5">
        <v>3</v>
      </c>
      <c r="C1280" s="5">
        <v>2</v>
      </c>
      <c r="D1280" s="5">
        <v>4</v>
      </c>
      <c r="E1280" s="5">
        <v>12</v>
      </c>
      <c r="F1280" s="5">
        <v>2</v>
      </c>
      <c r="G1280" s="31">
        <v>6</v>
      </c>
      <c r="H1280" s="5">
        <v>2023</v>
      </c>
      <c r="I1280" s="5">
        <v>2032</v>
      </c>
      <c r="J1280" s="142">
        <v>1.0962000000000001</v>
      </c>
      <c r="K1280" s="142">
        <v>1.0345</v>
      </c>
      <c r="L1280" s="142">
        <v>0.81979999999999997</v>
      </c>
      <c r="M1280" s="142">
        <v>1.0828</v>
      </c>
      <c r="N1280" s="142">
        <v>1.0417000000000001</v>
      </c>
      <c r="O1280" s="142">
        <v>1.0538000000000001</v>
      </c>
      <c r="P1280" s="26">
        <v>4037.6363655624655</v>
      </c>
      <c r="Q1280" s="35">
        <f t="array" ref="Q1280">SUM(IF(($S1280&gt;=4)*($C1280='TaxCred&amp;Subs'!$D$114:$D$121)*($H1280='TaxCred&amp;Subs'!$C$114:$C$121)*($H1280&lt;='TaxCred&amp;Subs'!$C$123),'TaxCred&amp;Subs'!$E$114:$E$121,0))</f>
        <v>500</v>
      </c>
      <c r="R1280" s="143">
        <v>0</v>
      </c>
      <c r="S1280" s="5">
        <v>4</v>
      </c>
      <c r="T1280" s="5" t="s">
        <v>240</v>
      </c>
      <c r="V1280" s="7" t="str">
        <f t="array" ref="V1280">INDEX(xlRTCLNAME,MATCH(1,(xlRTCLENDU=1)*(xlRTCLEQCL=$D1280),0))</f>
        <v>NG_RAD</v>
      </c>
      <c r="W1280" s="7" t="str">
        <f t="array" ref="W1280">INDEX(xlRTCLNAME,MATCH(1,(xlRTCLENDU=2)*(xlRTCLEQCL=$F1280),0))</f>
        <v>CENT_AIR</v>
      </c>
      <c r="X1280" s="7" t="str">
        <f t="array" ref="X1280">INDEX(xlRTTYNAME,MATCH(1,(xlRTTYENDU=1)*(xlRTTYEQCL=$D1280)*(xlRTEQTYPE=$E1280),0))</f>
        <v>NG_RAD3</v>
      </c>
      <c r="Y1280" s="7" t="str">
        <f t="array" ref="Y1280">INDEX(xlRTTYNAME,MATCH(1,(xlRTTYENDU=2)*(xlRTTYEQCL=$F1280)*(xlRTEQTYPE=$G1280),0))</f>
        <v>CENT_AIR3</v>
      </c>
    </row>
    <row r="1281" spans="2:25" ht="14.25" customHeight="1" x14ac:dyDescent="0.2">
      <c r="B1281" s="5">
        <v>3</v>
      </c>
      <c r="C1281" s="5">
        <v>2</v>
      </c>
      <c r="D1281" s="5">
        <v>4</v>
      </c>
      <c r="E1281" s="5">
        <v>12</v>
      </c>
      <c r="F1281" s="5">
        <v>2</v>
      </c>
      <c r="G1281" s="31">
        <v>6</v>
      </c>
      <c r="H1281" s="5">
        <v>2033</v>
      </c>
      <c r="I1281" s="5">
        <v>2050</v>
      </c>
      <c r="J1281" s="142">
        <v>1.0962000000000001</v>
      </c>
      <c r="K1281" s="142">
        <v>1.0345</v>
      </c>
      <c r="L1281" s="142">
        <v>0.81979999999999997</v>
      </c>
      <c r="M1281" s="142">
        <v>1.0828</v>
      </c>
      <c r="N1281" s="142">
        <v>1.0417000000000001</v>
      </c>
      <c r="O1281" s="142">
        <v>1.0538000000000001</v>
      </c>
      <c r="P1281" s="26">
        <v>4037.6363655624655</v>
      </c>
      <c r="Q1281" s="35">
        <f t="array" ref="Q1281">SUM(IF(($S1281&gt;=4)*($C1281='TaxCred&amp;Subs'!$D$114:$D$121)*($H1281='TaxCred&amp;Subs'!$C$114:$C$121)*($H1281&lt;='TaxCred&amp;Subs'!$C$123),'TaxCred&amp;Subs'!$E$114:$E$121,0))</f>
        <v>0</v>
      </c>
      <c r="R1281" s="143">
        <v>0</v>
      </c>
      <c r="S1281" s="5">
        <v>4</v>
      </c>
      <c r="T1281" s="5" t="s">
        <v>240</v>
      </c>
      <c r="V1281" s="7" t="str">
        <f t="array" ref="V1281">INDEX(xlRTCLNAME,MATCH(1,(xlRTCLENDU=1)*(xlRTCLEQCL=$D1281),0))</f>
        <v>NG_RAD</v>
      </c>
      <c r="W1281" s="7" t="str">
        <f t="array" ref="W1281">INDEX(xlRTCLNAME,MATCH(1,(xlRTCLENDU=2)*(xlRTCLEQCL=$F1281),0))</f>
        <v>CENT_AIR</v>
      </c>
      <c r="X1281" s="7" t="str">
        <f t="array" ref="X1281">INDEX(xlRTTYNAME,MATCH(1,(xlRTTYENDU=1)*(xlRTTYEQCL=$D1281)*(xlRTEQTYPE=$E1281),0))</f>
        <v>NG_RAD3</v>
      </c>
      <c r="Y1281" s="7" t="str">
        <f t="array" ref="Y1281">INDEX(xlRTTYNAME,MATCH(1,(xlRTTYENDU=2)*(xlRTTYEQCL=$F1281)*(xlRTEQTYPE=$G1281),0))</f>
        <v>CENT_AIR3</v>
      </c>
    </row>
    <row r="1282" spans="2:25" ht="14.25" customHeight="1" x14ac:dyDescent="0.2">
      <c r="B1282" s="5">
        <v>4</v>
      </c>
      <c r="C1282" s="5">
        <v>2</v>
      </c>
      <c r="D1282" s="5">
        <v>4</v>
      </c>
      <c r="E1282" s="5">
        <v>12</v>
      </c>
      <c r="F1282" s="5">
        <v>2</v>
      </c>
      <c r="G1282" s="31">
        <v>6</v>
      </c>
      <c r="H1282" s="31">
        <v>2020</v>
      </c>
      <c r="I1282" s="5">
        <v>2022</v>
      </c>
      <c r="J1282" s="142">
        <v>1.1024</v>
      </c>
      <c r="K1282" s="142">
        <v>1.0435000000000001</v>
      </c>
      <c r="L1282" s="142">
        <v>0.99209999999999998</v>
      </c>
      <c r="M1282" s="142">
        <v>1.1499999999999999</v>
      </c>
      <c r="N1282" s="142">
        <v>1.1678999999999999</v>
      </c>
      <c r="O1282" s="142">
        <v>1.0538000000000001</v>
      </c>
      <c r="P1282" s="26">
        <v>3185.2016483574694</v>
      </c>
      <c r="Q1282" s="35">
        <f t="array" ref="Q1282">SUM(IF(($S1282&gt;=4)*($C1282='TaxCred&amp;Subs'!$D$114:$D$121)*($H1282='TaxCred&amp;Subs'!$C$114:$C$121)*($H1282&lt;='TaxCred&amp;Subs'!$C$123),'TaxCred&amp;Subs'!$E$114:$E$121,0))</f>
        <v>0</v>
      </c>
      <c r="R1282" s="143">
        <v>0</v>
      </c>
      <c r="S1282" s="5">
        <v>4</v>
      </c>
      <c r="T1282" s="5" t="s">
        <v>240</v>
      </c>
      <c r="V1282" s="7" t="str">
        <f t="array" ref="V1282">INDEX(xlRTCLNAME,MATCH(1,(xlRTCLENDU=1)*(xlRTCLEQCL=$D1282),0))</f>
        <v>NG_RAD</v>
      </c>
      <c r="W1282" s="7" t="str">
        <f t="array" ref="W1282">INDEX(xlRTCLNAME,MATCH(1,(xlRTCLENDU=2)*(xlRTCLEQCL=$F1282),0))</f>
        <v>CENT_AIR</v>
      </c>
      <c r="X1282" s="7" t="str">
        <f t="array" ref="X1282">INDEX(xlRTTYNAME,MATCH(1,(xlRTTYENDU=1)*(xlRTTYEQCL=$D1282)*(xlRTEQTYPE=$E1282),0))</f>
        <v>NG_RAD3</v>
      </c>
      <c r="Y1282" s="7" t="str">
        <f t="array" ref="Y1282">INDEX(xlRTTYNAME,MATCH(1,(xlRTTYENDU=2)*(xlRTTYEQCL=$F1282)*(xlRTEQTYPE=$G1282),0))</f>
        <v>CENT_AIR3</v>
      </c>
    </row>
    <row r="1283" spans="2:25" ht="14.25" customHeight="1" x14ac:dyDescent="0.2">
      <c r="B1283" s="5">
        <v>4</v>
      </c>
      <c r="C1283" s="5">
        <v>2</v>
      </c>
      <c r="D1283" s="5">
        <v>4</v>
      </c>
      <c r="E1283" s="5">
        <v>12</v>
      </c>
      <c r="F1283" s="5">
        <v>2</v>
      </c>
      <c r="G1283" s="31">
        <v>6</v>
      </c>
      <c r="H1283" s="5">
        <v>2023</v>
      </c>
      <c r="I1283" s="5">
        <v>2032</v>
      </c>
      <c r="J1283" s="142">
        <v>1.1024</v>
      </c>
      <c r="K1283" s="142">
        <v>1.0435000000000001</v>
      </c>
      <c r="L1283" s="142">
        <v>0.99209999999999998</v>
      </c>
      <c r="M1283" s="142">
        <v>1.1499999999999999</v>
      </c>
      <c r="N1283" s="142">
        <v>1.1678999999999999</v>
      </c>
      <c r="O1283" s="142">
        <v>1.0538000000000001</v>
      </c>
      <c r="P1283" s="26">
        <v>3185.2016483574694</v>
      </c>
      <c r="Q1283" s="35">
        <f t="array" ref="Q1283">SUM(IF(($S1283&gt;=4)*($C1283='TaxCred&amp;Subs'!$D$114:$D$121)*($H1283='TaxCred&amp;Subs'!$C$114:$C$121)*($H1283&lt;='TaxCred&amp;Subs'!$C$123),'TaxCred&amp;Subs'!$E$114:$E$121,0))</f>
        <v>500</v>
      </c>
      <c r="R1283" s="143">
        <v>0</v>
      </c>
      <c r="S1283" s="5">
        <v>4</v>
      </c>
      <c r="T1283" s="5" t="s">
        <v>240</v>
      </c>
      <c r="V1283" s="7" t="str">
        <f t="array" ref="V1283">INDEX(xlRTCLNAME,MATCH(1,(xlRTCLENDU=1)*(xlRTCLEQCL=$D1283),0))</f>
        <v>NG_RAD</v>
      </c>
      <c r="W1283" s="7" t="str">
        <f t="array" ref="W1283">INDEX(xlRTCLNAME,MATCH(1,(xlRTCLENDU=2)*(xlRTCLEQCL=$F1283),0))</f>
        <v>CENT_AIR</v>
      </c>
      <c r="X1283" s="7" t="str">
        <f t="array" ref="X1283">INDEX(xlRTTYNAME,MATCH(1,(xlRTTYENDU=1)*(xlRTTYEQCL=$D1283)*(xlRTEQTYPE=$E1283),0))</f>
        <v>NG_RAD3</v>
      </c>
      <c r="Y1283" s="7" t="str">
        <f t="array" ref="Y1283">INDEX(xlRTTYNAME,MATCH(1,(xlRTTYENDU=2)*(xlRTTYEQCL=$F1283)*(xlRTEQTYPE=$G1283),0))</f>
        <v>CENT_AIR3</v>
      </c>
    </row>
    <row r="1284" spans="2:25" ht="14.25" customHeight="1" x14ac:dyDescent="0.2">
      <c r="B1284" s="5">
        <v>4</v>
      </c>
      <c r="C1284" s="5">
        <v>2</v>
      </c>
      <c r="D1284" s="5">
        <v>4</v>
      </c>
      <c r="E1284" s="5">
        <v>12</v>
      </c>
      <c r="F1284" s="5">
        <v>2</v>
      </c>
      <c r="G1284" s="31">
        <v>6</v>
      </c>
      <c r="H1284" s="5">
        <v>2033</v>
      </c>
      <c r="I1284" s="5">
        <v>2050</v>
      </c>
      <c r="J1284" s="142">
        <v>1.1024</v>
      </c>
      <c r="K1284" s="142">
        <v>1.0435000000000001</v>
      </c>
      <c r="L1284" s="142">
        <v>0.99209999999999998</v>
      </c>
      <c r="M1284" s="142">
        <v>1.1499999999999999</v>
      </c>
      <c r="N1284" s="142">
        <v>1.1678999999999999</v>
      </c>
      <c r="O1284" s="142">
        <v>1.0538000000000001</v>
      </c>
      <c r="P1284" s="26">
        <v>3185.2016483574694</v>
      </c>
      <c r="Q1284" s="35">
        <f t="array" ref="Q1284">SUM(IF(($S1284&gt;=4)*($C1284='TaxCred&amp;Subs'!$D$114:$D$121)*($H1284='TaxCred&amp;Subs'!$C$114:$C$121)*($H1284&lt;='TaxCred&amp;Subs'!$C$123),'TaxCred&amp;Subs'!$E$114:$E$121,0))</f>
        <v>0</v>
      </c>
      <c r="R1284" s="143">
        <v>0</v>
      </c>
      <c r="S1284" s="5">
        <v>4</v>
      </c>
      <c r="T1284" s="5" t="s">
        <v>240</v>
      </c>
      <c r="V1284" s="7" t="str">
        <f t="array" ref="V1284">INDEX(xlRTCLNAME,MATCH(1,(xlRTCLENDU=1)*(xlRTCLEQCL=$D1284),0))</f>
        <v>NG_RAD</v>
      </c>
      <c r="W1284" s="7" t="str">
        <f t="array" ref="W1284">INDEX(xlRTCLNAME,MATCH(1,(xlRTCLENDU=2)*(xlRTCLEQCL=$F1284),0))</f>
        <v>CENT_AIR</v>
      </c>
      <c r="X1284" s="7" t="str">
        <f t="array" ref="X1284">INDEX(xlRTTYNAME,MATCH(1,(xlRTTYENDU=1)*(xlRTTYEQCL=$D1284)*(xlRTEQTYPE=$E1284),0))</f>
        <v>NG_RAD3</v>
      </c>
      <c r="Y1284" s="7" t="str">
        <f t="array" ref="Y1284">INDEX(xlRTTYNAME,MATCH(1,(xlRTTYENDU=2)*(xlRTTYEQCL=$F1284)*(xlRTEQTYPE=$G1284),0))</f>
        <v>CENT_AIR3</v>
      </c>
    </row>
    <row r="1285" spans="2:25" ht="14.25" customHeight="1" x14ac:dyDescent="0.2">
      <c r="B1285" s="5">
        <v>5</v>
      </c>
      <c r="C1285" s="5">
        <v>2</v>
      </c>
      <c r="D1285" s="5">
        <v>4</v>
      </c>
      <c r="E1285" s="5">
        <v>12</v>
      </c>
      <c r="F1285" s="5">
        <v>2</v>
      </c>
      <c r="G1285" s="31">
        <v>6</v>
      </c>
      <c r="H1285" s="31">
        <v>2020</v>
      </c>
      <c r="I1285" s="5">
        <v>2022</v>
      </c>
      <c r="J1285" s="142">
        <v>1.03</v>
      </c>
      <c r="K1285" s="142">
        <v>1.03</v>
      </c>
      <c r="L1285" s="142">
        <v>0.44379999999999997</v>
      </c>
      <c r="M1285" s="142">
        <v>1.0509999999999999</v>
      </c>
      <c r="N1285" s="142">
        <v>1.3003</v>
      </c>
      <c r="O1285" s="142">
        <v>1.0538000000000001</v>
      </c>
      <c r="P1285" s="26">
        <v>2937.8073455724229</v>
      </c>
      <c r="Q1285" s="35">
        <f t="array" ref="Q1285">SUM(IF(($S1285&gt;=4)*($C1285='TaxCred&amp;Subs'!$D$114:$D$121)*($H1285='TaxCred&amp;Subs'!$C$114:$C$121)*($H1285&lt;='TaxCred&amp;Subs'!$C$123),'TaxCred&amp;Subs'!$E$114:$E$121,0))</f>
        <v>0</v>
      </c>
      <c r="R1285" s="143">
        <v>0</v>
      </c>
      <c r="S1285" s="5">
        <v>4</v>
      </c>
      <c r="T1285" s="5" t="s">
        <v>240</v>
      </c>
      <c r="V1285" s="7" t="str">
        <f t="array" ref="V1285">INDEX(xlRTCLNAME,MATCH(1,(xlRTCLENDU=1)*(xlRTCLEQCL=$D1285),0))</f>
        <v>NG_RAD</v>
      </c>
      <c r="W1285" s="7" t="str">
        <f t="array" ref="W1285">INDEX(xlRTCLNAME,MATCH(1,(xlRTCLENDU=2)*(xlRTCLEQCL=$F1285),0))</f>
        <v>CENT_AIR</v>
      </c>
      <c r="X1285" s="7" t="str">
        <f t="array" ref="X1285">INDEX(xlRTTYNAME,MATCH(1,(xlRTTYENDU=1)*(xlRTTYEQCL=$D1285)*(xlRTEQTYPE=$E1285),0))</f>
        <v>NG_RAD3</v>
      </c>
      <c r="Y1285" s="7" t="str">
        <f t="array" ref="Y1285">INDEX(xlRTTYNAME,MATCH(1,(xlRTTYENDU=2)*(xlRTTYEQCL=$F1285)*(xlRTEQTYPE=$G1285),0))</f>
        <v>CENT_AIR3</v>
      </c>
    </row>
    <row r="1286" spans="2:25" ht="14.25" customHeight="1" x14ac:dyDescent="0.2">
      <c r="B1286" s="5">
        <v>5</v>
      </c>
      <c r="C1286" s="5">
        <v>2</v>
      </c>
      <c r="D1286" s="5">
        <v>4</v>
      </c>
      <c r="E1286" s="5">
        <v>12</v>
      </c>
      <c r="F1286" s="5">
        <v>2</v>
      </c>
      <c r="G1286" s="31">
        <v>6</v>
      </c>
      <c r="H1286" s="5">
        <v>2023</v>
      </c>
      <c r="I1286" s="5">
        <v>2032</v>
      </c>
      <c r="J1286" s="142">
        <v>1.03</v>
      </c>
      <c r="K1286" s="142">
        <v>1.03</v>
      </c>
      <c r="L1286" s="142">
        <v>0.44379999999999997</v>
      </c>
      <c r="M1286" s="142">
        <v>1.0509999999999999</v>
      </c>
      <c r="N1286" s="142">
        <v>1.3003</v>
      </c>
      <c r="O1286" s="142">
        <v>1.0538000000000001</v>
      </c>
      <c r="P1286" s="26">
        <v>2937.8073455724229</v>
      </c>
      <c r="Q1286" s="35">
        <f t="array" ref="Q1286">SUM(IF(($S1286&gt;=4)*($C1286='TaxCred&amp;Subs'!$D$114:$D$121)*($H1286='TaxCred&amp;Subs'!$C$114:$C$121)*($H1286&lt;='TaxCred&amp;Subs'!$C$123),'TaxCred&amp;Subs'!$E$114:$E$121,0))</f>
        <v>500</v>
      </c>
      <c r="R1286" s="143">
        <v>0</v>
      </c>
      <c r="S1286" s="5">
        <v>4</v>
      </c>
      <c r="T1286" s="5" t="s">
        <v>240</v>
      </c>
      <c r="V1286" s="7" t="str">
        <f t="array" ref="V1286">INDEX(xlRTCLNAME,MATCH(1,(xlRTCLENDU=1)*(xlRTCLEQCL=$D1286),0))</f>
        <v>NG_RAD</v>
      </c>
      <c r="W1286" s="7" t="str">
        <f t="array" ref="W1286">INDEX(xlRTCLNAME,MATCH(1,(xlRTCLENDU=2)*(xlRTCLEQCL=$F1286),0))</f>
        <v>CENT_AIR</v>
      </c>
      <c r="X1286" s="7" t="str">
        <f t="array" ref="X1286">INDEX(xlRTTYNAME,MATCH(1,(xlRTTYENDU=1)*(xlRTTYEQCL=$D1286)*(xlRTEQTYPE=$E1286),0))</f>
        <v>NG_RAD3</v>
      </c>
      <c r="Y1286" s="7" t="str">
        <f t="array" ref="Y1286">INDEX(xlRTTYNAME,MATCH(1,(xlRTTYENDU=2)*(xlRTTYEQCL=$F1286)*(xlRTEQTYPE=$G1286),0))</f>
        <v>CENT_AIR3</v>
      </c>
    </row>
    <row r="1287" spans="2:25" ht="14.25" customHeight="1" x14ac:dyDescent="0.2">
      <c r="B1287" s="5">
        <v>5</v>
      </c>
      <c r="C1287" s="5">
        <v>2</v>
      </c>
      <c r="D1287" s="5">
        <v>4</v>
      </c>
      <c r="E1287" s="5">
        <v>12</v>
      </c>
      <c r="F1287" s="5">
        <v>2</v>
      </c>
      <c r="G1287" s="31">
        <v>6</v>
      </c>
      <c r="H1287" s="5">
        <v>2033</v>
      </c>
      <c r="I1287" s="5">
        <v>2050</v>
      </c>
      <c r="J1287" s="142">
        <v>1.03</v>
      </c>
      <c r="K1287" s="142">
        <v>1.03</v>
      </c>
      <c r="L1287" s="142">
        <v>0.44379999999999997</v>
      </c>
      <c r="M1287" s="142">
        <v>1.0509999999999999</v>
      </c>
      <c r="N1287" s="142">
        <v>1.3003</v>
      </c>
      <c r="O1287" s="142">
        <v>1.0538000000000001</v>
      </c>
      <c r="P1287" s="26">
        <v>2937.8073455724229</v>
      </c>
      <c r="Q1287" s="35">
        <f t="array" ref="Q1287">SUM(IF(($S1287&gt;=4)*($C1287='TaxCred&amp;Subs'!$D$114:$D$121)*($H1287='TaxCred&amp;Subs'!$C$114:$C$121)*($H1287&lt;='TaxCred&amp;Subs'!$C$123),'TaxCred&amp;Subs'!$E$114:$E$121,0))</f>
        <v>0</v>
      </c>
      <c r="R1287" s="143">
        <v>0</v>
      </c>
      <c r="S1287" s="5">
        <v>4</v>
      </c>
      <c r="T1287" s="5" t="s">
        <v>240</v>
      </c>
      <c r="V1287" s="7" t="str">
        <f t="array" ref="V1287">INDEX(xlRTCLNAME,MATCH(1,(xlRTCLENDU=1)*(xlRTCLEQCL=$D1287),0))</f>
        <v>NG_RAD</v>
      </c>
      <c r="W1287" s="7" t="str">
        <f t="array" ref="W1287">INDEX(xlRTCLNAME,MATCH(1,(xlRTCLENDU=2)*(xlRTCLEQCL=$F1287),0))</f>
        <v>CENT_AIR</v>
      </c>
      <c r="X1287" s="7" t="str">
        <f t="array" ref="X1287">INDEX(xlRTTYNAME,MATCH(1,(xlRTTYENDU=1)*(xlRTTYEQCL=$D1287)*(xlRTEQTYPE=$E1287),0))</f>
        <v>NG_RAD3</v>
      </c>
      <c r="Y1287" s="7" t="str">
        <f t="array" ref="Y1287">INDEX(xlRTTYNAME,MATCH(1,(xlRTTYENDU=2)*(xlRTTYEQCL=$F1287)*(xlRTEQTYPE=$G1287),0))</f>
        <v>CENT_AIR3</v>
      </c>
    </row>
    <row r="1288" spans="2:25" ht="14.25" customHeight="1" x14ac:dyDescent="0.2">
      <c r="B1288" s="5">
        <v>6</v>
      </c>
      <c r="C1288" s="5">
        <v>2</v>
      </c>
      <c r="D1288" s="5">
        <v>4</v>
      </c>
      <c r="E1288" s="5">
        <v>12</v>
      </c>
      <c r="F1288" s="5">
        <v>2</v>
      </c>
      <c r="G1288" s="31">
        <v>6</v>
      </c>
      <c r="H1288" s="31">
        <v>2020</v>
      </c>
      <c r="I1288" s="5">
        <v>2022</v>
      </c>
      <c r="J1288" s="142">
        <v>1.1200000000000001</v>
      </c>
      <c r="K1288" s="142">
        <v>1.0417000000000001</v>
      </c>
      <c r="L1288" s="142">
        <v>1.1437999999999999</v>
      </c>
      <c r="M1288" s="142">
        <v>1.1228</v>
      </c>
      <c r="N1288" s="142">
        <v>1.3656999999999999</v>
      </c>
      <c r="O1288" s="142">
        <v>1.0538000000000001</v>
      </c>
      <c r="P1288" s="26">
        <v>3027.8911406082825</v>
      </c>
      <c r="Q1288" s="35">
        <f t="array" ref="Q1288">SUM(IF(($S1288&gt;=4)*($C1288='TaxCred&amp;Subs'!$D$114:$D$121)*($H1288='TaxCred&amp;Subs'!$C$114:$C$121)*($H1288&lt;='TaxCred&amp;Subs'!$C$123),'TaxCred&amp;Subs'!$E$114:$E$121,0))</f>
        <v>0</v>
      </c>
      <c r="R1288" s="143">
        <v>0</v>
      </c>
      <c r="S1288" s="5">
        <v>4</v>
      </c>
      <c r="T1288" s="5" t="s">
        <v>240</v>
      </c>
      <c r="V1288" s="7" t="str">
        <f t="array" ref="V1288">INDEX(xlRTCLNAME,MATCH(1,(xlRTCLENDU=1)*(xlRTCLEQCL=$D1288),0))</f>
        <v>NG_RAD</v>
      </c>
      <c r="W1288" s="7" t="str">
        <f t="array" ref="W1288">INDEX(xlRTCLNAME,MATCH(1,(xlRTCLENDU=2)*(xlRTCLEQCL=$F1288),0))</f>
        <v>CENT_AIR</v>
      </c>
      <c r="X1288" s="7" t="str">
        <f t="array" ref="X1288">INDEX(xlRTTYNAME,MATCH(1,(xlRTTYENDU=1)*(xlRTTYEQCL=$D1288)*(xlRTEQTYPE=$E1288),0))</f>
        <v>NG_RAD3</v>
      </c>
      <c r="Y1288" s="7" t="str">
        <f t="array" ref="Y1288">INDEX(xlRTTYNAME,MATCH(1,(xlRTTYENDU=2)*(xlRTTYEQCL=$F1288)*(xlRTEQTYPE=$G1288),0))</f>
        <v>CENT_AIR3</v>
      </c>
    </row>
    <row r="1289" spans="2:25" ht="14.25" customHeight="1" x14ac:dyDescent="0.2">
      <c r="B1289" s="5">
        <v>6</v>
      </c>
      <c r="C1289" s="5">
        <v>2</v>
      </c>
      <c r="D1289" s="5">
        <v>4</v>
      </c>
      <c r="E1289" s="5">
        <v>12</v>
      </c>
      <c r="F1289" s="5">
        <v>2</v>
      </c>
      <c r="G1289" s="31">
        <v>6</v>
      </c>
      <c r="H1289" s="5">
        <v>2023</v>
      </c>
      <c r="I1289" s="5">
        <v>2032</v>
      </c>
      <c r="J1289" s="142">
        <v>1.1200000000000001</v>
      </c>
      <c r="K1289" s="142">
        <v>1.0417000000000001</v>
      </c>
      <c r="L1289" s="142">
        <v>1.1437999999999999</v>
      </c>
      <c r="M1289" s="142">
        <v>1.1228</v>
      </c>
      <c r="N1289" s="142">
        <v>1.3656999999999999</v>
      </c>
      <c r="O1289" s="142">
        <v>1.0538000000000001</v>
      </c>
      <c r="P1289" s="26">
        <v>3027.8911406082825</v>
      </c>
      <c r="Q1289" s="35">
        <f t="array" ref="Q1289">SUM(IF(($S1289&gt;=4)*($C1289='TaxCred&amp;Subs'!$D$114:$D$121)*($H1289='TaxCred&amp;Subs'!$C$114:$C$121)*($H1289&lt;='TaxCred&amp;Subs'!$C$123),'TaxCred&amp;Subs'!$E$114:$E$121,0))</f>
        <v>500</v>
      </c>
      <c r="R1289" s="143">
        <v>0</v>
      </c>
      <c r="S1289" s="5">
        <v>4</v>
      </c>
      <c r="T1289" s="5" t="s">
        <v>240</v>
      </c>
      <c r="V1289" s="7" t="str">
        <f t="array" ref="V1289">INDEX(xlRTCLNAME,MATCH(1,(xlRTCLENDU=1)*(xlRTCLEQCL=$D1289),0))</f>
        <v>NG_RAD</v>
      </c>
      <c r="W1289" s="7" t="str">
        <f t="array" ref="W1289">INDEX(xlRTCLNAME,MATCH(1,(xlRTCLENDU=2)*(xlRTCLEQCL=$F1289),0))</f>
        <v>CENT_AIR</v>
      </c>
      <c r="X1289" s="7" t="str">
        <f t="array" ref="X1289">INDEX(xlRTTYNAME,MATCH(1,(xlRTTYENDU=1)*(xlRTTYEQCL=$D1289)*(xlRTEQTYPE=$E1289),0))</f>
        <v>NG_RAD3</v>
      </c>
      <c r="Y1289" s="7" t="str">
        <f t="array" ref="Y1289">INDEX(xlRTTYNAME,MATCH(1,(xlRTTYENDU=2)*(xlRTTYEQCL=$F1289)*(xlRTEQTYPE=$G1289),0))</f>
        <v>CENT_AIR3</v>
      </c>
    </row>
    <row r="1290" spans="2:25" ht="14.25" customHeight="1" x14ac:dyDescent="0.2">
      <c r="B1290" s="5">
        <v>6</v>
      </c>
      <c r="C1290" s="5">
        <v>2</v>
      </c>
      <c r="D1290" s="5">
        <v>4</v>
      </c>
      <c r="E1290" s="5">
        <v>12</v>
      </c>
      <c r="F1290" s="5">
        <v>2</v>
      </c>
      <c r="G1290" s="31">
        <v>6</v>
      </c>
      <c r="H1290" s="5">
        <v>2033</v>
      </c>
      <c r="I1290" s="5">
        <v>2050</v>
      </c>
      <c r="J1290" s="142">
        <v>1.1200000000000001</v>
      </c>
      <c r="K1290" s="142">
        <v>1.0417000000000001</v>
      </c>
      <c r="L1290" s="142">
        <v>1.1437999999999999</v>
      </c>
      <c r="M1290" s="142">
        <v>1.1228</v>
      </c>
      <c r="N1290" s="142">
        <v>1.3656999999999999</v>
      </c>
      <c r="O1290" s="142">
        <v>1.0538000000000001</v>
      </c>
      <c r="P1290" s="26">
        <v>3027.8911406082825</v>
      </c>
      <c r="Q1290" s="35">
        <f t="array" ref="Q1290">SUM(IF(($S1290&gt;=4)*($C1290='TaxCred&amp;Subs'!$D$114:$D$121)*($H1290='TaxCred&amp;Subs'!$C$114:$C$121)*($H1290&lt;='TaxCred&amp;Subs'!$C$123),'TaxCred&amp;Subs'!$E$114:$E$121,0))</f>
        <v>0</v>
      </c>
      <c r="R1290" s="143">
        <v>0</v>
      </c>
      <c r="S1290" s="5">
        <v>4</v>
      </c>
      <c r="T1290" s="5" t="s">
        <v>240</v>
      </c>
      <c r="V1290" s="7" t="str">
        <f t="array" ref="V1290">INDEX(xlRTCLNAME,MATCH(1,(xlRTCLENDU=1)*(xlRTCLEQCL=$D1290),0))</f>
        <v>NG_RAD</v>
      </c>
      <c r="W1290" s="7" t="str">
        <f t="array" ref="W1290">INDEX(xlRTCLNAME,MATCH(1,(xlRTCLENDU=2)*(xlRTCLEQCL=$F1290),0))</f>
        <v>CENT_AIR</v>
      </c>
      <c r="X1290" s="7" t="str">
        <f t="array" ref="X1290">INDEX(xlRTTYNAME,MATCH(1,(xlRTTYENDU=1)*(xlRTTYEQCL=$D1290)*(xlRTEQTYPE=$E1290),0))</f>
        <v>NG_RAD3</v>
      </c>
      <c r="Y1290" s="7" t="str">
        <f t="array" ref="Y1290">INDEX(xlRTTYNAME,MATCH(1,(xlRTTYENDU=2)*(xlRTTYEQCL=$F1290)*(xlRTEQTYPE=$G1290),0))</f>
        <v>CENT_AIR3</v>
      </c>
    </row>
    <row r="1291" spans="2:25" ht="14.25" customHeight="1" x14ac:dyDescent="0.2">
      <c r="B1291" s="5">
        <v>7</v>
      </c>
      <c r="C1291" s="5">
        <v>2</v>
      </c>
      <c r="D1291" s="5">
        <v>4</v>
      </c>
      <c r="E1291" s="5">
        <v>12</v>
      </c>
      <c r="F1291" s="5">
        <v>2</v>
      </c>
      <c r="G1291" s="31">
        <v>6</v>
      </c>
      <c r="H1291" s="31">
        <v>2020</v>
      </c>
      <c r="I1291" s="5">
        <v>2022</v>
      </c>
      <c r="J1291" s="142">
        <v>1.1200000000000001</v>
      </c>
      <c r="K1291" s="142">
        <v>1.0462</v>
      </c>
      <c r="L1291" s="142">
        <v>0.64380000000000004</v>
      </c>
      <c r="M1291" s="142">
        <v>1.1173</v>
      </c>
      <c r="N1291" s="142">
        <v>1.4438</v>
      </c>
      <c r="O1291" s="142">
        <v>1.0538000000000001</v>
      </c>
      <c r="P1291" s="26">
        <v>2925.7065372840243</v>
      </c>
      <c r="Q1291" s="35">
        <f t="array" ref="Q1291">SUM(IF(($S1291&gt;=4)*($C1291='TaxCred&amp;Subs'!$D$114:$D$121)*($H1291='TaxCred&amp;Subs'!$C$114:$C$121)*($H1291&lt;='TaxCred&amp;Subs'!$C$123),'TaxCred&amp;Subs'!$E$114:$E$121,0))</f>
        <v>0</v>
      </c>
      <c r="R1291" s="143">
        <v>0</v>
      </c>
      <c r="S1291" s="5">
        <v>4</v>
      </c>
      <c r="T1291" s="5" t="s">
        <v>240</v>
      </c>
      <c r="V1291" s="7" t="str">
        <f t="array" ref="V1291">INDEX(xlRTCLNAME,MATCH(1,(xlRTCLENDU=1)*(xlRTCLEQCL=$D1291),0))</f>
        <v>NG_RAD</v>
      </c>
      <c r="W1291" s="7" t="str">
        <f t="array" ref="W1291">INDEX(xlRTCLNAME,MATCH(1,(xlRTCLENDU=2)*(xlRTCLEQCL=$F1291),0))</f>
        <v>CENT_AIR</v>
      </c>
      <c r="X1291" s="7" t="str">
        <f t="array" ref="X1291">INDEX(xlRTTYNAME,MATCH(1,(xlRTTYENDU=1)*(xlRTTYEQCL=$D1291)*(xlRTEQTYPE=$E1291),0))</f>
        <v>NG_RAD3</v>
      </c>
      <c r="Y1291" s="7" t="str">
        <f t="array" ref="Y1291">INDEX(xlRTTYNAME,MATCH(1,(xlRTTYENDU=2)*(xlRTTYEQCL=$F1291)*(xlRTEQTYPE=$G1291),0))</f>
        <v>CENT_AIR3</v>
      </c>
    </row>
    <row r="1292" spans="2:25" ht="14.25" customHeight="1" x14ac:dyDescent="0.2">
      <c r="B1292" s="5">
        <v>7</v>
      </c>
      <c r="C1292" s="5">
        <v>2</v>
      </c>
      <c r="D1292" s="5">
        <v>4</v>
      </c>
      <c r="E1292" s="5">
        <v>12</v>
      </c>
      <c r="F1292" s="5">
        <v>2</v>
      </c>
      <c r="G1292" s="31">
        <v>6</v>
      </c>
      <c r="H1292" s="5">
        <v>2023</v>
      </c>
      <c r="I1292" s="5">
        <v>2032</v>
      </c>
      <c r="J1292" s="142">
        <v>1.1200000000000001</v>
      </c>
      <c r="K1292" s="142">
        <v>1.0462</v>
      </c>
      <c r="L1292" s="142">
        <v>0.64380000000000004</v>
      </c>
      <c r="M1292" s="142">
        <v>1.1173</v>
      </c>
      <c r="N1292" s="142">
        <v>1.4438</v>
      </c>
      <c r="O1292" s="142">
        <v>1.0538000000000001</v>
      </c>
      <c r="P1292" s="26">
        <v>2925.7065372840243</v>
      </c>
      <c r="Q1292" s="35">
        <f t="array" ref="Q1292">SUM(IF(($S1292&gt;=4)*($C1292='TaxCred&amp;Subs'!$D$114:$D$121)*($H1292='TaxCred&amp;Subs'!$C$114:$C$121)*($H1292&lt;='TaxCred&amp;Subs'!$C$123),'TaxCred&amp;Subs'!$E$114:$E$121,0))</f>
        <v>500</v>
      </c>
      <c r="R1292" s="143">
        <v>0</v>
      </c>
      <c r="S1292" s="5">
        <v>4</v>
      </c>
      <c r="T1292" s="5" t="s">
        <v>240</v>
      </c>
      <c r="V1292" s="7" t="str">
        <f t="array" ref="V1292">INDEX(xlRTCLNAME,MATCH(1,(xlRTCLENDU=1)*(xlRTCLEQCL=$D1292),0))</f>
        <v>NG_RAD</v>
      </c>
      <c r="W1292" s="7" t="str">
        <f t="array" ref="W1292">INDEX(xlRTCLNAME,MATCH(1,(xlRTCLENDU=2)*(xlRTCLEQCL=$F1292),0))</f>
        <v>CENT_AIR</v>
      </c>
      <c r="X1292" s="7" t="str">
        <f t="array" ref="X1292">INDEX(xlRTTYNAME,MATCH(1,(xlRTTYENDU=1)*(xlRTTYEQCL=$D1292)*(xlRTEQTYPE=$E1292),0))</f>
        <v>NG_RAD3</v>
      </c>
      <c r="Y1292" s="7" t="str">
        <f t="array" ref="Y1292">INDEX(xlRTTYNAME,MATCH(1,(xlRTTYENDU=2)*(xlRTTYEQCL=$F1292)*(xlRTEQTYPE=$G1292),0))</f>
        <v>CENT_AIR3</v>
      </c>
    </row>
    <row r="1293" spans="2:25" ht="14.25" customHeight="1" x14ac:dyDescent="0.2">
      <c r="B1293" s="5">
        <v>7</v>
      </c>
      <c r="C1293" s="5">
        <v>2</v>
      </c>
      <c r="D1293" s="5">
        <v>4</v>
      </c>
      <c r="E1293" s="5">
        <v>12</v>
      </c>
      <c r="F1293" s="5">
        <v>2</v>
      </c>
      <c r="G1293" s="31">
        <v>6</v>
      </c>
      <c r="H1293" s="5">
        <v>2033</v>
      </c>
      <c r="I1293" s="5">
        <v>2050</v>
      </c>
      <c r="J1293" s="142">
        <v>1.1200000000000001</v>
      </c>
      <c r="K1293" s="142">
        <v>1.0462</v>
      </c>
      <c r="L1293" s="142">
        <v>0.64380000000000004</v>
      </c>
      <c r="M1293" s="142">
        <v>1.1173</v>
      </c>
      <c r="N1293" s="142">
        <v>1.4438</v>
      </c>
      <c r="O1293" s="142">
        <v>1.0538000000000001</v>
      </c>
      <c r="P1293" s="26">
        <v>2925.7065372840243</v>
      </c>
      <c r="Q1293" s="35">
        <f t="array" ref="Q1293">SUM(IF(($S1293&gt;=4)*($C1293='TaxCred&amp;Subs'!$D$114:$D$121)*($H1293='TaxCred&amp;Subs'!$C$114:$C$121)*($H1293&lt;='TaxCred&amp;Subs'!$C$123),'TaxCred&amp;Subs'!$E$114:$E$121,0))</f>
        <v>0</v>
      </c>
      <c r="R1293" s="143">
        <v>0</v>
      </c>
      <c r="S1293" s="5">
        <v>4</v>
      </c>
      <c r="T1293" s="5" t="s">
        <v>240</v>
      </c>
      <c r="V1293" s="7" t="str">
        <f t="array" ref="V1293">INDEX(xlRTCLNAME,MATCH(1,(xlRTCLENDU=1)*(xlRTCLEQCL=$D1293),0))</f>
        <v>NG_RAD</v>
      </c>
      <c r="W1293" s="7" t="str">
        <f t="array" ref="W1293">INDEX(xlRTCLNAME,MATCH(1,(xlRTCLENDU=2)*(xlRTCLEQCL=$F1293),0))</f>
        <v>CENT_AIR</v>
      </c>
      <c r="X1293" s="7" t="str">
        <f t="array" ref="X1293">INDEX(xlRTTYNAME,MATCH(1,(xlRTTYENDU=1)*(xlRTTYEQCL=$D1293)*(xlRTEQTYPE=$E1293),0))</f>
        <v>NG_RAD3</v>
      </c>
      <c r="Y1293" s="7" t="str">
        <f t="array" ref="Y1293">INDEX(xlRTTYNAME,MATCH(1,(xlRTTYENDU=2)*(xlRTTYEQCL=$F1293)*(xlRTEQTYPE=$G1293),0))</f>
        <v>CENT_AIR3</v>
      </c>
    </row>
    <row r="1294" spans="2:25" ht="14.25" customHeight="1" x14ac:dyDescent="0.2">
      <c r="B1294" s="5">
        <v>8</v>
      </c>
      <c r="C1294" s="5">
        <v>2</v>
      </c>
      <c r="D1294" s="5">
        <v>4</v>
      </c>
      <c r="E1294" s="5">
        <v>12</v>
      </c>
      <c r="F1294" s="5">
        <v>2</v>
      </c>
      <c r="G1294" s="31">
        <v>6</v>
      </c>
      <c r="H1294" s="31">
        <v>2020</v>
      </c>
      <c r="I1294" s="5">
        <v>2022</v>
      </c>
      <c r="J1294" s="142">
        <v>1.1045</v>
      </c>
      <c r="K1294" s="142">
        <v>1.0323</v>
      </c>
      <c r="L1294" s="142">
        <v>0.9597</v>
      </c>
      <c r="M1294" s="142">
        <v>1.2739</v>
      </c>
      <c r="N1294" s="142">
        <v>1.2847999999999999</v>
      </c>
      <c r="O1294" s="142">
        <v>1.0538000000000001</v>
      </c>
      <c r="P1294" s="26">
        <v>3295.4534572073267</v>
      </c>
      <c r="Q1294" s="35">
        <f t="array" ref="Q1294">SUM(IF(($S1294&gt;=4)*($C1294='TaxCred&amp;Subs'!$D$114:$D$121)*($H1294='TaxCred&amp;Subs'!$C$114:$C$121)*($H1294&lt;='TaxCred&amp;Subs'!$C$123),'TaxCred&amp;Subs'!$E$114:$E$121,0))</f>
        <v>0</v>
      </c>
      <c r="R1294" s="143">
        <v>0</v>
      </c>
      <c r="S1294" s="5">
        <v>4</v>
      </c>
      <c r="T1294" s="5" t="s">
        <v>240</v>
      </c>
      <c r="V1294" s="7" t="str">
        <f t="array" ref="V1294">INDEX(xlRTCLNAME,MATCH(1,(xlRTCLENDU=1)*(xlRTCLEQCL=$D1294),0))</f>
        <v>NG_RAD</v>
      </c>
      <c r="W1294" s="7" t="str">
        <f t="array" ref="W1294">INDEX(xlRTCLNAME,MATCH(1,(xlRTCLENDU=2)*(xlRTCLEQCL=$F1294),0))</f>
        <v>CENT_AIR</v>
      </c>
      <c r="X1294" s="7" t="str">
        <f t="array" ref="X1294">INDEX(xlRTTYNAME,MATCH(1,(xlRTTYENDU=1)*(xlRTTYEQCL=$D1294)*(xlRTEQTYPE=$E1294),0))</f>
        <v>NG_RAD3</v>
      </c>
      <c r="Y1294" s="7" t="str">
        <f t="array" ref="Y1294">INDEX(xlRTTYNAME,MATCH(1,(xlRTTYENDU=2)*(xlRTTYEQCL=$F1294)*(xlRTEQTYPE=$G1294),0))</f>
        <v>CENT_AIR3</v>
      </c>
    </row>
    <row r="1295" spans="2:25" ht="14.25" customHeight="1" x14ac:dyDescent="0.2">
      <c r="B1295" s="5">
        <v>8</v>
      </c>
      <c r="C1295" s="5">
        <v>2</v>
      </c>
      <c r="D1295" s="5">
        <v>4</v>
      </c>
      <c r="E1295" s="5">
        <v>12</v>
      </c>
      <c r="F1295" s="5">
        <v>2</v>
      </c>
      <c r="G1295" s="31">
        <v>6</v>
      </c>
      <c r="H1295" s="5">
        <v>2023</v>
      </c>
      <c r="I1295" s="5">
        <v>2032</v>
      </c>
      <c r="J1295" s="142">
        <v>1.1045</v>
      </c>
      <c r="K1295" s="142">
        <v>1.0323</v>
      </c>
      <c r="L1295" s="142">
        <v>0.9597</v>
      </c>
      <c r="M1295" s="142">
        <v>1.2739</v>
      </c>
      <c r="N1295" s="142">
        <v>1.2847999999999999</v>
      </c>
      <c r="O1295" s="142">
        <v>1.0538000000000001</v>
      </c>
      <c r="P1295" s="26">
        <v>3295.4534572073267</v>
      </c>
      <c r="Q1295" s="35">
        <f t="array" ref="Q1295">SUM(IF(($S1295&gt;=4)*($C1295='TaxCred&amp;Subs'!$D$114:$D$121)*($H1295='TaxCred&amp;Subs'!$C$114:$C$121)*($H1295&lt;='TaxCred&amp;Subs'!$C$123),'TaxCred&amp;Subs'!$E$114:$E$121,0))</f>
        <v>500</v>
      </c>
      <c r="R1295" s="143">
        <v>0</v>
      </c>
      <c r="S1295" s="5">
        <v>4</v>
      </c>
      <c r="T1295" s="5" t="s">
        <v>240</v>
      </c>
      <c r="V1295" s="7" t="str">
        <f t="array" ref="V1295">INDEX(xlRTCLNAME,MATCH(1,(xlRTCLENDU=1)*(xlRTCLEQCL=$D1295),0))</f>
        <v>NG_RAD</v>
      </c>
      <c r="W1295" s="7" t="str">
        <f t="array" ref="W1295">INDEX(xlRTCLNAME,MATCH(1,(xlRTCLENDU=2)*(xlRTCLEQCL=$F1295),0))</f>
        <v>CENT_AIR</v>
      </c>
      <c r="X1295" s="7" t="str">
        <f t="array" ref="X1295">INDEX(xlRTTYNAME,MATCH(1,(xlRTTYENDU=1)*(xlRTTYEQCL=$D1295)*(xlRTEQTYPE=$E1295),0))</f>
        <v>NG_RAD3</v>
      </c>
      <c r="Y1295" s="7" t="str">
        <f t="array" ref="Y1295">INDEX(xlRTTYNAME,MATCH(1,(xlRTTYENDU=2)*(xlRTTYEQCL=$F1295)*(xlRTEQTYPE=$G1295),0))</f>
        <v>CENT_AIR3</v>
      </c>
    </row>
    <row r="1296" spans="2:25" ht="14.25" customHeight="1" x14ac:dyDescent="0.2">
      <c r="B1296" s="5">
        <v>8</v>
      </c>
      <c r="C1296" s="5">
        <v>2</v>
      </c>
      <c r="D1296" s="5">
        <v>4</v>
      </c>
      <c r="E1296" s="5">
        <v>12</v>
      </c>
      <c r="F1296" s="5">
        <v>2</v>
      </c>
      <c r="G1296" s="31">
        <v>6</v>
      </c>
      <c r="H1296" s="5">
        <v>2033</v>
      </c>
      <c r="I1296" s="5">
        <v>2050</v>
      </c>
      <c r="J1296" s="142">
        <v>1.1045</v>
      </c>
      <c r="K1296" s="142">
        <v>1.0323</v>
      </c>
      <c r="L1296" s="142">
        <v>0.9597</v>
      </c>
      <c r="M1296" s="142">
        <v>1.2739</v>
      </c>
      <c r="N1296" s="142">
        <v>1.2847999999999999</v>
      </c>
      <c r="O1296" s="142">
        <v>1.0538000000000001</v>
      </c>
      <c r="P1296" s="26">
        <v>3295.4534572073267</v>
      </c>
      <c r="Q1296" s="35">
        <f t="array" ref="Q1296">SUM(IF(($S1296&gt;=4)*($C1296='TaxCred&amp;Subs'!$D$114:$D$121)*($H1296='TaxCred&amp;Subs'!$C$114:$C$121)*($H1296&lt;='TaxCred&amp;Subs'!$C$123),'TaxCred&amp;Subs'!$E$114:$E$121,0))</f>
        <v>0</v>
      </c>
      <c r="R1296" s="143">
        <v>0</v>
      </c>
      <c r="S1296" s="5">
        <v>4</v>
      </c>
      <c r="T1296" s="5" t="s">
        <v>240</v>
      </c>
      <c r="V1296" s="7" t="str">
        <f t="array" ref="V1296">INDEX(xlRTCLNAME,MATCH(1,(xlRTCLENDU=1)*(xlRTCLEQCL=$D1296),0))</f>
        <v>NG_RAD</v>
      </c>
      <c r="W1296" s="7" t="str">
        <f t="array" ref="W1296">INDEX(xlRTCLNAME,MATCH(1,(xlRTCLENDU=2)*(xlRTCLEQCL=$F1296),0))</f>
        <v>CENT_AIR</v>
      </c>
      <c r="X1296" s="7" t="str">
        <f t="array" ref="X1296">INDEX(xlRTTYNAME,MATCH(1,(xlRTTYENDU=1)*(xlRTTYEQCL=$D1296)*(xlRTEQTYPE=$E1296),0))</f>
        <v>NG_RAD3</v>
      </c>
      <c r="Y1296" s="7" t="str">
        <f t="array" ref="Y1296">INDEX(xlRTTYNAME,MATCH(1,(xlRTTYENDU=2)*(xlRTTYEQCL=$F1296)*(xlRTEQTYPE=$G1296),0))</f>
        <v>CENT_AIR3</v>
      </c>
    </row>
    <row r="1297" spans="2:25" ht="14.25" customHeight="1" x14ac:dyDescent="0.2">
      <c r="B1297" s="5">
        <v>9</v>
      </c>
      <c r="C1297" s="5">
        <v>2</v>
      </c>
      <c r="D1297" s="5">
        <v>4</v>
      </c>
      <c r="E1297" s="5">
        <v>12</v>
      </c>
      <c r="F1297" s="5">
        <v>2</v>
      </c>
      <c r="G1297" s="31">
        <v>6</v>
      </c>
      <c r="H1297" s="31">
        <v>2020</v>
      </c>
      <c r="I1297" s="5">
        <v>2022</v>
      </c>
      <c r="J1297" s="142">
        <v>1.1200000000000001</v>
      </c>
      <c r="K1297" s="142">
        <v>1.0541</v>
      </c>
      <c r="L1297" s="142">
        <v>1.0438000000000001</v>
      </c>
      <c r="M1297" s="142">
        <v>1.2</v>
      </c>
      <c r="N1297" s="142">
        <v>1.4438</v>
      </c>
      <c r="O1297" s="142">
        <v>1.0538000000000001</v>
      </c>
      <c r="P1297" s="26">
        <v>3428.5623483797162</v>
      </c>
      <c r="Q1297" s="35">
        <f t="array" ref="Q1297">SUM(IF(($S1297&gt;=4)*($C1297='TaxCred&amp;Subs'!$D$114:$D$121)*($H1297='TaxCred&amp;Subs'!$C$114:$C$121)*($H1297&lt;='TaxCred&amp;Subs'!$C$123),'TaxCred&amp;Subs'!$E$114:$E$121,0))</f>
        <v>0</v>
      </c>
      <c r="R1297" s="143">
        <v>0</v>
      </c>
      <c r="S1297" s="5">
        <v>4</v>
      </c>
      <c r="T1297" s="5" t="s">
        <v>240</v>
      </c>
      <c r="V1297" s="7" t="str">
        <f t="array" ref="V1297">INDEX(xlRTCLNAME,MATCH(1,(xlRTCLENDU=1)*(xlRTCLEQCL=$D1297),0))</f>
        <v>NG_RAD</v>
      </c>
      <c r="W1297" s="7" t="str">
        <f t="array" ref="W1297">INDEX(xlRTCLNAME,MATCH(1,(xlRTCLENDU=2)*(xlRTCLEQCL=$F1297),0))</f>
        <v>CENT_AIR</v>
      </c>
      <c r="X1297" s="7" t="str">
        <f t="array" ref="X1297">INDEX(xlRTTYNAME,MATCH(1,(xlRTTYENDU=1)*(xlRTTYEQCL=$D1297)*(xlRTEQTYPE=$E1297),0))</f>
        <v>NG_RAD3</v>
      </c>
      <c r="Y1297" s="7" t="str">
        <f t="array" ref="Y1297">INDEX(xlRTTYNAME,MATCH(1,(xlRTTYENDU=2)*(xlRTTYEQCL=$F1297)*(xlRTEQTYPE=$G1297),0))</f>
        <v>CENT_AIR3</v>
      </c>
    </row>
    <row r="1298" spans="2:25" ht="14.25" customHeight="1" x14ac:dyDescent="0.2">
      <c r="B1298" s="5">
        <v>9</v>
      </c>
      <c r="C1298" s="5">
        <v>2</v>
      </c>
      <c r="D1298" s="5">
        <v>4</v>
      </c>
      <c r="E1298" s="5">
        <v>12</v>
      </c>
      <c r="F1298" s="5">
        <v>2</v>
      </c>
      <c r="G1298" s="31">
        <v>6</v>
      </c>
      <c r="H1298" s="5">
        <v>2023</v>
      </c>
      <c r="I1298" s="5">
        <v>2032</v>
      </c>
      <c r="J1298" s="142">
        <v>1.1200000000000001</v>
      </c>
      <c r="K1298" s="142">
        <v>1.0541</v>
      </c>
      <c r="L1298" s="142">
        <v>1.0438000000000001</v>
      </c>
      <c r="M1298" s="142">
        <v>1.2</v>
      </c>
      <c r="N1298" s="142">
        <v>1.4438</v>
      </c>
      <c r="O1298" s="142">
        <v>1.0538000000000001</v>
      </c>
      <c r="P1298" s="26">
        <v>3428.5623483797162</v>
      </c>
      <c r="Q1298" s="35">
        <f t="array" ref="Q1298">SUM(IF(($S1298&gt;=4)*($C1298='TaxCred&amp;Subs'!$D$114:$D$121)*($H1298='TaxCred&amp;Subs'!$C$114:$C$121)*($H1298&lt;='TaxCred&amp;Subs'!$C$123),'TaxCred&amp;Subs'!$E$114:$E$121,0))</f>
        <v>500</v>
      </c>
      <c r="R1298" s="143">
        <v>0</v>
      </c>
      <c r="S1298" s="5">
        <v>4</v>
      </c>
      <c r="T1298" s="5" t="s">
        <v>240</v>
      </c>
      <c r="V1298" s="7" t="str">
        <f t="array" ref="V1298">INDEX(xlRTCLNAME,MATCH(1,(xlRTCLENDU=1)*(xlRTCLEQCL=$D1298),0))</f>
        <v>NG_RAD</v>
      </c>
      <c r="W1298" s="7" t="str">
        <f t="array" ref="W1298">INDEX(xlRTCLNAME,MATCH(1,(xlRTCLENDU=2)*(xlRTCLEQCL=$F1298),0))</f>
        <v>CENT_AIR</v>
      </c>
      <c r="X1298" s="7" t="str">
        <f t="array" ref="X1298">INDEX(xlRTTYNAME,MATCH(1,(xlRTTYENDU=1)*(xlRTTYEQCL=$D1298)*(xlRTEQTYPE=$E1298),0))</f>
        <v>NG_RAD3</v>
      </c>
      <c r="Y1298" s="7" t="str">
        <f t="array" ref="Y1298">INDEX(xlRTTYNAME,MATCH(1,(xlRTTYENDU=2)*(xlRTTYEQCL=$F1298)*(xlRTEQTYPE=$G1298),0))</f>
        <v>CENT_AIR3</v>
      </c>
    </row>
    <row r="1299" spans="2:25" ht="14.25" customHeight="1" x14ac:dyDescent="0.2">
      <c r="B1299" s="5">
        <v>9</v>
      </c>
      <c r="C1299" s="5">
        <v>2</v>
      </c>
      <c r="D1299" s="5">
        <v>4</v>
      </c>
      <c r="E1299" s="5">
        <v>12</v>
      </c>
      <c r="F1299" s="5">
        <v>2</v>
      </c>
      <c r="G1299" s="31">
        <v>6</v>
      </c>
      <c r="H1299" s="5">
        <v>2033</v>
      </c>
      <c r="I1299" s="5">
        <v>2050</v>
      </c>
      <c r="J1299" s="142">
        <v>1.1200000000000001</v>
      </c>
      <c r="K1299" s="142">
        <v>1.0541</v>
      </c>
      <c r="L1299" s="142">
        <v>1.0438000000000001</v>
      </c>
      <c r="M1299" s="142">
        <v>1.2</v>
      </c>
      <c r="N1299" s="142">
        <v>1.4438</v>
      </c>
      <c r="O1299" s="142">
        <v>1.0538000000000001</v>
      </c>
      <c r="P1299" s="26">
        <v>3428.5623483797162</v>
      </c>
      <c r="Q1299" s="35">
        <f t="array" ref="Q1299">SUM(IF(($S1299&gt;=4)*($C1299='TaxCred&amp;Subs'!$D$114:$D$121)*($H1299='TaxCred&amp;Subs'!$C$114:$C$121)*($H1299&lt;='TaxCred&amp;Subs'!$C$123),'TaxCred&amp;Subs'!$E$114:$E$121,0))</f>
        <v>0</v>
      </c>
      <c r="R1299" s="143">
        <v>0</v>
      </c>
      <c r="S1299" s="5">
        <v>4</v>
      </c>
      <c r="T1299" s="5" t="s">
        <v>240</v>
      </c>
      <c r="V1299" s="7" t="str">
        <f t="array" ref="V1299">INDEX(xlRTCLNAME,MATCH(1,(xlRTCLENDU=1)*(xlRTCLEQCL=$D1299),0))</f>
        <v>NG_RAD</v>
      </c>
      <c r="W1299" s="7" t="str">
        <f t="array" ref="W1299">INDEX(xlRTCLNAME,MATCH(1,(xlRTCLENDU=2)*(xlRTCLEQCL=$F1299),0))</f>
        <v>CENT_AIR</v>
      </c>
      <c r="X1299" s="7" t="str">
        <f t="array" ref="X1299">INDEX(xlRTTYNAME,MATCH(1,(xlRTTYENDU=1)*(xlRTTYEQCL=$D1299)*(xlRTEQTYPE=$E1299),0))</f>
        <v>NG_RAD3</v>
      </c>
      <c r="Y1299" s="7" t="str">
        <f t="array" ref="Y1299">INDEX(xlRTTYNAME,MATCH(1,(xlRTTYENDU=2)*(xlRTTYEQCL=$F1299)*(xlRTEQTYPE=$G1299),0))</f>
        <v>CENT_AIR3</v>
      </c>
    </row>
    <row r="1300" spans="2:25" ht="14.25" customHeight="1" x14ac:dyDescent="0.2">
      <c r="B1300" s="29">
        <v>1</v>
      </c>
      <c r="C1300" s="29">
        <v>2</v>
      </c>
      <c r="D1300" s="29">
        <v>5</v>
      </c>
      <c r="E1300" s="29">
        <v>16</v>
      </c>
      <c r="F1300" s="29">
        <v>2</v>
      </c>
      <c r="G1300" s="32">
        <v>6</v>
      </c>
      <c r="H1300" s="32">
        <v>2020</v>
      </c>
      <c r="I1300" s="29">
        <v>2022</v>
      </c>
      <c r="J1300" s="144">
        <v>1.0956999999999999</v>
      </c>
      <c r="K1300" s="144">
        <v>1.0417000000000001</v>
      </c>
      <c r="L1300" s="144">
        <v>0.89729999999999999</v>
      </c>
      <c r="M1300" s="144">
        <v>1.1228</v>
      </c>
      <c r="N1300" s="144">
        <v>1.1153</v>
      </c>
      <c r="O1300" s="144">
        <v>1.0538000000000001</v>
      </c>
      <c r="P1300" s="143">
        <v>4871.2476032077293</v>
      </c>
      <c r="Q1300" s="35">
        <f t="array" ref="Q1300">SUM(IF(($S1300&gt;=4)*($C1300='TaxCred&amp;Subs'!$D$114:$D$121)*($H1300='TaxCred&amp;Subs'!$C$114:$C$121)*($H1300&lt;='TaxCred&amp;Subs'!$C$123),'TaxCred&amp;Subs'!$E$114:$E$121,0))</f>
        <v>0</v>
      </c>
      <c r="R1300" s="143">
        <v>0</v>
      </c>
      <c r="S1300" s="29">
        <v>4</v>
      </c>
      <c r="T1300" s="29" t="s">
        <v>240</v>
      </c>
      <c r="U1300" s="30" t="s">
        <v>227</v>
      </c>
      <c r="V1300" s="7" t="str">
        <f t="array" ref="V1300">INDEX(xlRTCLNAME,MATCH(1,(xlRTCLENDU=1)*(xlRTCLEQCL=$D1300),0))</f>
        <v>KERO_FA</v>
      </c>
      <c r="W1300" s="7" t="str">
        <f t="array" ref="W1300">INDEX(xlRTCLNAME,MATCH(1,(xlRTCLENDU=2)*(xlRTCLEQCL=$F1300),0))</f>
        <v>CENT_AIR</v>
      </c>
      <c r="X1300" s="7" t="str">
        <f t="array" ref="X1300">INDEX(xlRTTYNAME,MATCH(1,(xlRTTYENDU=1)*(xlRTTYEQCL=$D1300)*(xlRTEQTYPE=$E1300),0))</f>
        <v>KERO_FA3</v>
      </c>
      <c r="Y1300" s="7" t="str">
        <f t="array" ref="Y1300">INDEX(xlRTTYNAME,MATCH(1,(xlRTTYENDU=2)*(xlRTTYEQCL=$F1300)*(xlRTEQTYPE=$G1300),0))</f>
        <v>CENT_AIR3</v>
      </c>
    </row>
    <row r="1301" spans="2:25" ht="14.25" customHeight="1" x14ac:dyDescent="0.2">
      <c r="B1301" s="29">
        <v>1</v>
      </c>
      <c r="C1301" s="29">
        <v>2</v>
      </c>
      <c r="D1301" s="29">
        <v>5</v>
      </c>
      <c r="E1301" s="29">
        <v>16</v>
      </c>
      <c r="F1301" s="29">
        <v>2</v>
      </c>
      <c r="G1301" s="32">
        <v>6</v>
      </c>
      <c r="H1301" s="29">
        <v>2023</v>
      </c>
      <c r="I1301" s="29">
        <v>2032</v>
      </c>
      <c r="J1301" s="144">
        <v>1.0956999999999999</v>
      </c>
      <c r="K1301" s="144">
        <v>1.0417000000000001</v>
      </c>
      <c r="L1301" s="144">
        <v>0.89729999999999999</v>
      </c>
      <c r="M1301" s="144">
        <v>1.1228</v>
      </c>
      <c r="N1301" s="144">
        <v>1.1153</v>
      </c>
      <c r="O1301" s="144">
        <v>1.0538000000000001</v>
      </c>
      <c r="P1301" s="143">
        <v>4871.2476032077293</v>
      </c>
      <c r="Q1301" s="35">
        <f t="array" ref="Q1301">SUM(IF(($S1301&gt;=4)*($C1301='TaxCred&amp;Subs'!$D$114:$D$121)*($H1301='TaxCred&amp;Subs'!$C$114:$C$121)*($H1301&lt;='TaxCred&amp;Subs'!$C$123),'TaxCred&amp;Subs'!$E$114:$E$121,0))</f>
        <v>500</v>
      </c>
      <c r="R1301" s="143">
        <v>0</v>
      </c>
      <c r="S1301" s="29">
        <v>4</v>
      </c>
      <c r="T1301" s="29" t="s">
        <v>240</v>
      </c>
      <c r="U1301" s="30" t="s">
        <v>227</v>
      </c>
      <c r="V1301" s="7" t="str">
        <f t="array" ref="V1301">INDEX(xlRTCLNAME,MATCH(1,(xlRTCLENDU=1)*(xlRTCLEQCL=$D1301),0))</f>
        <v>KERO_FA</v>
      </c>
      <c r="W1301" s="7" t="str">
        <f t="array" ref="W1301">INDEX(xlRTCLNAME,MATCH(1,(xlRTCLENDU=2)*(xlRTCLEQCL=$F1301),0))</f>
        <v>CENT_AIR</v>
      </c>
      <c r="X1301" s="7" t="str">
        <f t="array" ref="X1301">INDEX(xlRTTYNAME,MATCH(1,(xlRTTYENDU=1)*(xlRTTYEQCL=$D1301)*(xlRTEQTYPE=$E1301),0))</f>
        <v>KERO_FA3</v>
      </c>
      <c r="Y1301" s="7" t="str">
        <f t="array" ref="Y1301">INDEX(xlRTTYNAME,MATCH(1,(xlRTTYENDU=2)*(xlRTTYEQCL=$F1301)*(xlRTEQTYPE=$G1301),0))</f>
        <v>CENT_AIR3</v>
      </c>
    </row>
    <row r="1302" spans="2:25" ht="14.25" customHeight="1" x14ac:dyDescent="0.2">
      <c r="B1302" s="29">
        <v>1</v>
      </c>
      <c r="C1302" s="29">
        <v>2</v>
      </c>
      <c r="D1302" s="29">
        <v>5</v>
      </c>
      <c r="E1302" s="29">
        <v>16</v>
      </c>
      <c r="F1302" s="29">
        <v>2</v>
      </c>
      <c r="G1302" s="32">
        <v>6</v>
      </c>
      <c r="H1302" s="29">
        <v>2033</v>
      </c>
      <c r="I1302" s="29">
        <v>2050</v>
      </c>
      <c r="J1302" s="144">
        <v>1.0956999999999999</v>
      </c>
      <c r="K1302" s="144">
        <v>1.0417000000000001</v>
      </c>
      <c r="L1302" s="144">
        <v>0.89729999999999999</v>
      </c>
      <c r="M1302" s="144">
        <v>1.1228</v>
      </c>
      <c r="N1302" s="144">
        <v>1.1153</v>
      </c>
      <c r="O1302" s="144">
        <v>1.0538000000000001</v>
      </c>
      <c r="P1302" s="143">
        <v>4871.2476032077293</v>
      </c>
      <c r="Q1302" s="35">
        <f t="array" ref="Q1302">SUM(IF(($S1302&gt;=4)*($C1302='TaxCred&amp;Subs'!$D$114:$D$121)*($H1302='TaxCred&amp;Subs'!$C$114:$C$121)*($H1302&lt;='TaxCred&amp;Subs'!$C$123),'TaxCred&amp;Subs'!$E$114:$E$121,0))</f>
        <v>0</v>
      </c>
      <c r="R1302" s="143">
        <v>0</v>
      </c>
      <c r="S1302" s="29">
        <v>4</v>
      </c>
      <c r="T1302" s="29" t="s">
        <v>240</v>
      </c>
      <c r="U1302" s="30" t="s">
        <v>227</v>
      </c>
      <c r="V1302" s="7" t="str">
        <f t="array" ref="V1302">INDEX(xlRTCLNAME,MATCH(1,(xlRTCLENDU=1)*(xlRTCLEQCL=$D1302),0))</f>
        <v>KERO_FA</v>
      </c>
      <c r="W1302" s="7" t="str">
        <f t="array" ref="W1302">INDEX(xlRTCLNAME,MATCH(1,(xlRTCLENDU=2)*(xlRTCLEQCL=$F1302),0))</f>
        <v>CENT_AIR</v>
      </c>
      <c r="X1302" s="7" t="str">
        <f t="array" ref="X1302">INDEX(xlRTTYNAME,MATCH(1,(xlRTTYENDU=1)*(xlRTTYEQCL=$D1302)*(xlRTEQTYPE=$E1302),0))</f>
        <v>KERO_FA3</v>
      </c>
      <c r="Y1302" s="7" t="str">
        <f t="array" ref="Y1302">INDEX(xlRTTYNAME,MATCH(1,(xlRTTYENDU=2)*(xlRTTYEQCL=$F1302)*(xlRTEQTYPE=$G1302),0))</f>
        <v>CENT_AIR3</v>
      </c>
    </row>
    <row r="1303" spans="2:25" ht="14.25" customHeight="1" x14ac:dyDescent="0.2">
      <c r="B1303" s="29">
        <v>2</v>
      </c>
      <c r="C1303" s="29">
        <v>2</v>
      </c>
      <c r="D1303" s="29">
        <v>5</v>
      </c>
      <c r="E1303" s="29">
        <v>16</v>
      </c>
      <c r="F1303" s="29">
        <v>2</v>
      </c>
      <c r="G1303" s="32">
        <v>6</v>
      </c>
      <c r="H1303" s="32">
        <v>2020</v>
      </c>
      <c r="I1303" s="29">
        <v>2022</v>
      </c>
      <c r="J1303" s="144">
        <v>1.1059000000000001</v>
      </c>
      <c r="K1303" s="144">
        <v>1.0357000000000001</v>
      </c>
      <c r="L1303" s="144">
        <v>0.93369999999999997</v>
      </c>
      <c r="M1303" s="144">
        <v>1.1625000000000001</v>
      </c>
      <c r="N1303" s="144">
        <v>1.1176999999999999</v>
      </c>
      <c r="O1303" s="144">
        <v>1.0538000000000001</v>
      </c>
      <c r="P1303" s="143">
        <v>4212.4258186171173</v>
      </c>
      <c r="Q1303" s="35">
        <f t="array" ref="Q1303">SUM(IF(($S1303&gt;=4)*($C1303='TaxCred&amp;Subs'!$D$114:$D$121)*($H1303='TaxCred&amp;Subs'!$C$114:$C$121)*($H1303&lt;='TaxCred&amp;Subs'!$C$123),'TaxCred&amp;Subs'!$E$114:$E$121,0))</f>
        <v>0</v>
      </c>
      <c r="R1303" s="143">
        <v>0</v>
      </c>
      <c r="S1303" s="29">
        <v>4</v>
      </c>
      <c r="T1303" s="29" t="s">
        <v>240</v>
      </c>
      <c r="U1303" s="30" t="s">
        <v>227</v>
      </c>
      <c r="V1303" s="7" t="str">
        <f t="array" ref="V1303">INDEX(xlRTCLNAME,MATCH(1,(xlRTCLENDU=1)*(xlRTCLEQCL=$D1303),0))</f>
        <v>KERO_FA</v>
      </c>
      <c r="W1303" s="7" t="str">
        <f t="array" ref="W1303">INDEX(xlRTCLNAME,MATCH(1,(xlRTCLENDU=2)*(xlRTCLEQCL=$F1303),0))</f>
        <v>CENT_AIR</v>
      </c>
      <c r="X1303" s="7" t="str">
        <f t="array" ref="X1303">INDEX(xlRTTYNAME,MATCH(1,(xlRTTYENDU=1)*(xlRTTYEQCL=$D1303)*(xlRTEQTYPE=$E1303),0))</f>
        <v>KERO_FA3</v>
      </c>
      <c r="Y1303" s="7" t="str">
        <f t="array" ref="Y1303">INDEX(xlRTTYNAME,MATCH(1,(xlRTTYENDU=2)*(xlRTTYEQCL=$F1303)*(xlRTEQTYPE=$G1303),0))</f>
        <v>CENT_AIR3</v>
      </c>
    </row>
    <row r="1304" spans="2:25" ht="14.25" customHeight="1" x14ac:dyDescent="0.2">
      <c r="B1304" s="29">
        <v>2</v>
      </c>
      <c r="C1304" s="29">
        <v>2</v>
      </c>
      <c r="D1304" s="29">
        <v>5</v>
      </c>
      <c r="E1304" s="29">
        <v>16</v>
      </c>
      <c r="F1304" s="29">
        <v>2</v>
      </c>
      <c r="G1304" s="32">
        <v>6</v>
      </c>
      <c r="H1304" s="29">
        <v>2023</v>
      </c>
      <c r="I1304" s="29">
        <v>2032</v>
      </c>
      <c r="J1304" s="144">
        <v>1.1059000000000001</v>
      </c>
      <c r="K1304" s="144">
        <v>1.0357000000000001</v>
      </c>
      <c r="L1304" s="144">
        <v>0.93369999999999997</v>
      </c>
      <c r="M1304" s="144">
        <v>1.1625000000000001</v>
      </c>
      <c r="N1304" s="144">
        <v>1.1176999999999999</v>
      </c>
      <c r="O1304" s="144">
        <v>1.0538000000000001</v>
      </c>
      <c r="P1304" s="143">
        <v>4212.4258186171173</v>
      </c>
      <c r="Q1304" s="35">
        <f t="array" ref="Q1304">SUM(IF(($S1304&gt;=4)*($C1304='TaxCred&amp;Subs'!$D$114:$D$121)*($H1304='TaxCred&amp;Subs'!$C$114:$C$121)*($H1304&lt;='TaxCred&amp;Subs'!$C$123),'TaxCred&amp;Subs'!$E$114:$E$121,0))</f>
        <v>500</v>
      </c>
      <c r="R1304" s="143">
        <v>0</v>
      </c>
      <c r="S1304" s="29">
        <v>4</v>
      </c>
      <c r="T1304" s="29" t="s">
        <v>240</v>
      </c>
      <c r="U1304" s="30" t="s">
        <v>227</v>
      </c>
      <c r="V1304" s="7" t="str">
        <f t="array" ref="V1304">INDEX(xlRTCLNAME,MATCH(1,(xlRTCLENDU=1)*(xlRTCLEQCL=$D1304),0))</f>
        <v>KERO_FA</v>
      </c>
      <c r="W1304" s="7" t="str">
        <f t="array" ref="W1304">INDEX(xlRTCLNAME,MATCH(1,(xlRTCLENDU=2)*(xlRTCLEQCL=$F1304),0))</f>
        <v>CENT_AIR</v>
      </c>
      <c r="X1304" s="7" t="str">
        <f t="array" ref="X1304">INDEX(xlRTTYNAME,MATCH(1,(xlRTTYENDU=1)*(xlRTTYEQCL=$D1304)*(xlRTEQTYPE=$E1304),0))</f>
        <v>KERO_FA3</v>
      </c>
      <c r="Y1304" s="7" t="str">
        <f t="array" ref="Y1304">INDEX(xlRTTYNAME,MATCH(1,(xlRTTYENDU=2)*(xlRTTYEQCL=$F1304)*(xlRTEQTYPE=$G1304),0))</f>
        <v>CENT_AIR3</v>
      </c>
    </row>
    <row r="1305" spans="2:25" ht="14.25" customHeight="1" x14ac:dyDescent="0.2">
      <c r="B1305" s="29">
        <v>2</v>
      </c>
      <c r="C1305" s="29">
        <v>2</v>
      </c>
      <c r="D1305" s="29">
        <v>5</v>
      </c>
      <c r="E1305" s="29">
        <v>16</v>
      </c>
      <c r="F1305" s="29">
        <v>2</v>
      </c>
      <c r="G1305" s="32">
        <v>6</v>
      </c>
      <c r="H1305" s="29">
        <v>2033</v>
      </c>
      <c r="I1305" s="29">
        <v>2050</v>
      </c>
      <c r="J1305" s="144">
        <v>1.1059000000000001</v>
      </c>
      <c r="K1305" s="144">
        <v>1.0357000000000001</v>
      </c>
      <c r="L1305" s="144">
        <v>0.93369999999999997</v>
      </c>
      <c r="M1305" s="144">
        <v>1.1625000000000001</v>
      </c>
      <c r="N1305" s="144">
        <v>1.1176999999999999</v>
      </c>
      <c r="O1305" s="144">
        <v>1.0538000000000001</v>
      </c>
      <c r="P1305" s="143">
        <v>4212.4258186171173</v>
      </c>
      <c r="Q1305" s="35">
        <f t="array" ref="Q1305">SUM(IF(($S1305&gt;=4)*($C1305='TaxCred&amp;Subs'!$D$114:$D$121)*($H1305='TaxCred&amp;Subs'!$C$114:$C$121)*($H1305&lt;='TaxCred&amp;Subs'!$C$123),'TaxCred&amp;Subs'!$E$114:$E$121,0))</f>
        <v>0</v>
      </c>
      <c r="R1305" s="143">
        <v>0</v>
      </c>
      <c r="S1305" s="29">
        <v>4</v>
      </c>
      <c r="T1305" s="29" t="s">
        <v>240</v>
      </c>
      <c r="U1305" s="30" t="s">
        <v>227</v>
      </c>
      <c r="V1305" s="7" t="str">
        <f t="array" ref="V1305">INDEX(xlRTCLNAME,MATCH(1,(xlRTCLENDU=1)*(xlRTCLEQCL=$D1305),0))</f>
        <v>KERO_FA</v>
      </c>
      <c r="W1305" s="7" t="str">
        <f t="array" ref="W1305">INDEX(xlRTCLNAME,MATCH(1,(xlRTCLENDU=2)*(xlRTCLEQCL=$F1305),0))</f>
        <v>CENT_AIR</v>
      </c>
      <c r="X1305" s="7" t="str">
        <f t="array" ref="X1305">INDEX(xlRTTYNAME,MATCH(1,(xlRTTYENDU=1)*(xlRTTYEQCL=$D1305)*(xlRTEQTYPE=$E1305),0))</f>
        <v>KERO_FA3</v>
      </c>
      <c r="Y1305" s="7" t="str">
        <f t="array" ref="Y1305">INDEX(xlRTTYNAME,MATCH(1,(xlRTTYENDU=2)*(xlRTTYEQCL=$F1305)*(xlRTEQTYPE=$G1305),0))</f>
        <v>CENT_AIR3</v>
      </c>
    </row>
    <row r="1306" spans="2:25" ht="14.25" customHeight="1" x14ac:dyDescent="0.2">
      <c r="B1306" s="29">
        <v>3</v>
      </c>
      <c r="C1306" s="29">
        <v>2</v>
      </c>
      <c r="D1306" s="29">
        <v>5</v>
      </c>
      <c r="E1306" s="29">
        <v>16</v>
      </c>
      <c r="F1306" s="29">
        <v>2</v>
      </c>
      <c r="G1306" s="32">
        <v>6</v>
      </c>
      <c r="H1306" s="32">
        <v>2020</v>
      </c>
      <c r="I1306" s="29">
        <v>2022</v>
      </c>
      <c r="J1306" s="144">
        <v>1.099</v>
      </c>
      <c r="K1306" s="144">
        <v>1.03</v>
      </c>
      <c r="L1306" s="144">
        <v>0.80589999999999995</v>
      </c>
      <c r="M1306" s="144">
        <v>1.0138</v>
      </c>
      <c r="N1306" s="144">
        <v>1.0381</v>
      </c>
      <c r="O1306" s="144">
        <v>1.0538000000000001</v>
      </c>
      <c r="P1306" s="143">
        <v>4145.19910590379</v>
      </c>
      <c r="Q1306" s="35">
        <f t="array" ref="Q1306">SUM(IF(($S1306&gt;=4)*($C1306='TaxCred&amp;Subs'!$D$114:$D$121)*($H1306='TaxCred&amp;Subs'!$C$114:$C$121)*($H1306&lt;='TaxCred&amp;Subs'!$C$123),'TaxCred&amp;Subs'!$E$114:$E$121,0))</f>
        <v>0</v>
      </c>
      <c r="R1306" s="143">
        <v>0</v>
      </c>
      <c r="S1306" s="29">
        <v>4</v>
      </c>
      <c r="T1306" s="29" t="s">
        <v>240</v>
      </c>
      <c r="U1306" s="30" t="s">
        <v>227</v>
      </c>
      <c r="V1306" s="7" t="str">
        <f t="array" ref="V1306">INDEX(xlRTCLNAME,MATCH(1,(xlRTCLENDU=1)*(xlRTCLEQCL=$D1306),0))</f>
        <v>KERO_FA</v>
      </c>
      <c r="W1306" s="7" t="str">
        <f t="array" ref="W1306">INDEX(xlRTCLNAME,MATCH(1,(xlRTCLENDU=2)*(xlRTCLEQCL=$F1306),0))</f>
        <v>CENT_AIR</v>
      </c>
      <c r="X1306" s="7" t="str">
        <f t="array" ref="X1306">INDEX(xlRTTYNAME,MATCH(1,(xlRTTYENDU=1)*(xlRTTYEQCL=$D1306)*(xlRTEQTYPE=$E1306),0))</f>
        <v>KERO_FA3</v>
      </c>
      <c r="Y1306" s="7" t="str">
        <f t="array" ref="Y1306">INDEX(xlRTTYNAME,MATCH(1,(xlRTTYENDU=2)*(xlRTTYEQCL=$F1306)*(xlRTEQTYPE=$G1306),0))</f>
        <v>CENT_AIR3</v>
      </c>
    </row>
    <row r="1307" spans="2:25" ht="14.25" customHeight="1" x14ac:dyDescent="0.2">
      <c r="B1307" s="29">
        <v>3</v>
      </c>
      <c r="C1307" s="29">
        <v>2</v>
      </c>
      <c r="D1307" s="29">
        <v>5</v>
      </c>
      <c r="E1307" s="29">
        <v>16</v>
      </c>
      <c r="F1307" s="29">
        <v>2</v>
      </c>
      <c r="G1307" s="32">
        <v>6</v>
      </c>
      <c r="H1307" s="29">
        <v>2023</v>
      </c>
      <c r="I1307" s="29">
        <v>2032</v>
      </c>
      <c r="J1307" s="144">
        <v>1.099</v>
      </c>
      <c r="K1307" s="144">
        <v>1.03</v>
      </c>
      <c r="L1307" s="144">
        <v>0.80589999999999995</v>
      </c>
      <c r="M1307" s="144">
        <v>1.0138</v>
      </c>
      <c r="N1307" s="144">
        <v>1.0381</v>
      </c>
      <c r="O1307" s="144">
        <v>1.0538000000000001</v>
      </c>
      <c r="P1307" s="143">
        <v>4145.19910590379</v>
      </c>
      <c r="Q1307" s="35">
        <f t="array" ref="Q1307">SUM(IF(($S1307&gt;=4)*($C1307='TaxCred&amp;Subs'!$D$114:$D$121)*($H1307='TaxCred&amp;Subs'!$C$114:$C$121)*($H1307&lt;='TaxCred&amp;Subs'!$C$123),'TaxCred&amp;Subs'!$E$114:$E$121,0))</f>
        <v>500</v>
      </c>
      <c r="R1307" s="143">
        <v>0</v>
      </c>
      <c r="S1307" s="29">
        <v>4</v>
      </c>
      <c r="T1307" s="29" t="s">
        <v>240</v>
      </c>
      <c r="U1307" s="30" t="s">
        <v>227</v>
      </c>
      <c r="V1307" s="7" t="str">
        <f t="array" ref="V1307">INDEX(xlRTCLNAME,MATCH(1,(xlRTCLENDU=1)*(xlRTCLEQCL=$D1307),0))</f>
        <v>KERO_FA</v>
      </c>
      <c r="W1307" s="7" t="str">
        <f t="array" ref="W1307">INDEX(xlRTCLNAME,MATCH(1,(xlRTCLENDU=2)*(xlRTCLEQCL=$F1307),0))</f>
        <v>CENT_AIR</v>
      </c>
      <c r="X1307" s="7" t="str">
        <f t="array" ref="X1307">INDEX(xlRTTYNAME,MATCH(1,(xlRTTYENDU=1)*(xlRTTYEQCL=$D1307)*(xlRTEQTYPE=$E1307),0))</f>
        <v>KERO_FA3</v>
      </c>
      <c r="Y1307" s="7" t="str">
        <f t="array" ref="Y1307">INDEX(xlRTTYNAME,MATCH(1,(xlRTTYENDU=2)*(xlRTTYEQCL=$F1307)*(xlRTEQTYPE=$G1307),0))</f>
        <v>CENT_AIR3</v>
      </c>
    </row>
    <row r="1308" spans="2:25" ht="14.25" customHeight="1" x14ac:dyDescent="0.2">
      <c r="B1308" s="29">
        <v>3</v>
      </c>
      <c r="C1308" s="29">
        <v>2</v>
      </c>
      <c r="D1308" s="29">
        <v>5</v>
      </c>
      <c r="E1308" s="29">
        <v>16</v>
      </c>
      <c r="F1308" s="29">
        <v>2</v>
      </c>
      <c r="G1308" s="32">
        <v>6</v>
      </c>
      <c r="H1308" s="29">
        <v>2033</v>
      </c>
      <c r="I1308" s="29">
        <v>2050</v>
      </c>
      <c r="J1308" s="144">
        <v>1.099</v>
      </c>
      <c r="K1308" s="144">
        <v>1.03</v>
      </c>
      <c r="L1308" s="144">
        <v>0.80589999999999995</v>
      </c>
      <c r="M1308" s="144">
        <v>1.0138</v>
      </c>
      <c r="N1308" s="144">
        <v>1.0381</v>
      </c>
      <c r="O1308" s="144">
        <v>1.0538000000000001</v>
      </c>
      <c r="P1308" s="143">
        <v>4145.19910590379</v>
      </c>
      <c r="Q1308" s="35">
        <f t="array" ref="Q1308">SUM(IF(($S1308&gt;=4)*($C1308='TaxCred&amp;Subs'!$D$114:$D$121)*($H1308='TaxCred&amp;Subs'!$C$114:$C$121)*($H1308&lt;='TaxCred&amp;Subs'!$C$123),'TaxCred&amp;Subs'!$E$114:$E$121,0))</f>
        <v>0</v>
      </c>
      <c r="R1308" s="143">
        <v>0</v>
      </c>
      <c r="S1308" s="29">
        <v>4</v>
      </c>
      <c r="T1308" s="29" t="s">
        <v>240</v>
      </c>
      <c r="U1308" s="30" t="s">
        <v>227</v>
      </c>
      <c r="V1308" s="7" t="str">
        <f t="array" ref="V1308">INDEX(xlRTCLNAME,MATCH(1,(xlRTCLENDU=1)*(xlRTCLEQCL=$D1308),0))</f>
        <v>KERO_FA</v>
      </c>
      <c r="W1308" s="7" t="str">
        <f t="array" ref="W1308">INDEX(xlRTCLNAME,MATCH(1,(xlRTCLENDU=2)*(xlRTCLEQCL=$F1308),0))</f>
        <v>CENT_AIR</v>
      </c>
      <c r="X1308" s="7" t="str">
        <f t="array" ref="X1308">INDEX(xlRTTYNAME,MATCH(1,(xlRTTYENDU=1)*(xlRTTYEQCL=$D1308)*(xlRTEQTYPE=$E1308),0))</f>
        <v>KERO_FA3</v>
      </c>
      <c r="Y1308" s="7" t="str">
        <f t="array" ref="Y1308">INDEX(xlRTTYNAME,MATCH(1,(xlRTTYENDU=2)*(xlRTTYEQCL=$F1308)*(xlRTEQTYPE=$G1308),0))</f>
        <v>CENT_AIR3</v>
      </c>
    </row>
    <row r="1309" spans="2:25" ht="14.25" customHeight="1" x14ac:dyDescent="0.2">
      <c r="B1309" s="29">
        <v>4</v>
      </c>
      <c r="C1309" s="29">
        <v>2</v>
      </c>
      <c r="D1309" s="29">
        <v>5</v>
      </c>
      <c r="E1309" s="29">
        <v>16</v>
      </c>
      <c r="F1309" s="29">
        <v>2</v>
      </c>
      <c r="G1309" s="32">
        <v>6</v>
      </c>
      <c r="H1309" s="32">
        <v>2020</v>
      </c>
      <c r="I1309" s="29">
        <v>2022</v>
      </c>
      <c r="J1309" s="144">
        <v>1.0934999999999999</v>
      </c>
      <c r="K1309" s="144">
        <v>1.0435000000000001</v>
      </c>
      <c r="L1309" s="144">
        <v>0.84150000000000003</v>
      </c>
      <c r="M1309" s="144">
        <v>1.1499999999999999</v>
      </c>
      <c r="N1309" s="144">
        <v>1.1696</v>
      </c>
      <c r="O1309" s="144">
        <v>1.0538000000000001</v>
      </c>
      <c r="P1309" s="143">
        <v>3197.3024566458685</v>
      </c>
      <c r="Q1309" s="35">
        <f t="array" ref="Q1309">SUM(IF(($S1309&gt;=4)*($C1309='TaxCred&amp;Subs'!$D$114:$D$121)*($H1309='TaxCred&amp;Subs'!$C$114:$C$121)*($H1309&lt;='TaxCred&amp;Subs'!$C$123),'TaxCred&amp;Subs'!$E$114:$E$121,0))</f>
        <v>0</v>
      </c>
      <c r="R1309" s="143">
        <v>0</v>
      </c>
      <c r="S1309" s="29">
        <v>4</v>
      </c>
      <c r="T1309" s="29" t="s">
        <v>240</v>
      </c>
      <c r="U1309" s="30" t="s">
        <v>227</v>
      </c>
      <c r="V1309" s="7" t="str">
        <f t="array" ref="V1309">INDEX(xlRTCLNAME,MATCH(1,(xlRTCLENDU=1)*(xlRTCLEQCL=$D1309),0))</f>
        <v>KERO_FA</v>
      </c>
      <c r="W1309" s="7" t="str">
        <f t="array" ref="W1309">INDEX(xlRTCLNAME,MATCH(1,(xlRTCLENDU=2)*(xlRTCLEQCL=$F1309),0))</f>
        <v>CENT_AIR</v>
      </c>
      <c r="X1309" s="7" t="str">
        <f t="array" ref="X1309">INDEX(xlRTTYNAME,MATCH(1,(xlRTTYENDU=1)*(xlRTTYEQCL=$D1309)*(xlRTEQTYPE=$E1309),0))</f>
        <v>KERO_FA3</v>
      </c>
      <c r="Y1309" s="7" t="str">
        <f t="array" ref="Y1309">INDEX(xlRTTYNAME,MATCH(1,(xlRTTYENDU=2)*(xlRTTYEQCL=$F1309)*(xlRTEQTYPE=$G1309),0))</f>
        <v>CENT_AIR3</v>
      </c>
    </row>
    <row r="1310" spans="2:25" ht="14.25" customHeight="1" x14ac:dyDescent="0.2">
      <c r="B1310" s="29">
        <v>4</v>
      </c>
      <c r="C1310" s="29">
        <v>2</v>
      </c>
      <c r="D1310" s="29">
        <v>5</v>
      </c>
      <c r="E1310" s="29">
        <v>16</v>
      </c>
      <c r="F1310" s="29">
        <v>2</v>
      </c>
      <c r="G1310" s="32">
        <v>6</v>
      </c>
      <c r="H1310" s="29">
        <v>2023</v>
      </c>
      <c r="I1310" s="29">
        <v>2032</v>
      </c>
      <c r="J1310" s="144">
        <v>1.0934999999999999</v>
      </c>
      <c r="K1310" s="144">
        <v>1.0435000000000001</v>
      </c>
      <c r="L1310" s="144">
        <v>0.84150000000000003</v>
      </c>
      <c r="M1310" s="144">
        <v>1.1499999999999999</v>
      </c>
      <c r="N1310" s="144">
        <v>1.1696</v>
      </c>
      <c r="O1310" s="144">
        <v>1.0538000000000001</v>
      </c>
      <c r="P1310" s="143">
        <v>3197.3024566458685</v>
      </c>
      <c r="Q1310" s="35">
        <f t="array" ref="Q1310">SUM(IF(($S1310&gt;=4)*($C1310='TaxCred&amp;Subs'!$D$114:$D$121)*($H1310='TaxCred&amp;Subs'!$C$114:$C$121)*($H1310&lt;='TaxCred&amp;Subs'!$C$123),'TaxCred&amp;Subs'!$E$114:$E$121,0))</f>
        <v>500</v>
      </c>
      <c r="R1310" s="143">
        <v>0</v>
      </c>
      <c r="S1310" s="29">
        <v>4</v>
      </c>
      <c r="T1310" s="29" t="s">
        <v>240</v>
      </c>
      <c r="U1310" s="30" t="s">
        <v>227</v>
      </c>
      <c r="V1310" s="7" t="str">
        <f t="array" ref="V1310">INDEX(xlRTCLNAME,MATCH(1,(xlRTCLENDU=1)*(xlRTCLEQCL=$D1310),0))</f>
        <v>KERO_FA</v>
      </c>
      <c r="W1310" s="7" t="str">
        <f t="array" ref="W1310">INDEX(xlRTCLNAME,MATCH(1,(xlRTCLENDU=2)*(xlRTCLEQCL=$F1310),0))</f>
        <v>CENT_AIR</v>
      </c>
      <c r="X1310" s="7" t="str">
        <f t="array" ref="X1310">INDEX(xlRTTYNAME,MATCH(1,(xlRTTYENDU=1)*(xlRTTYEQCL=$D1310)*(xlRTEQTYPE=$E1310),0))</f>
        <v>KERO_FA3</v>
      </c>
      <c r="Y1310" s="7" t="str">
        <f t="array" ref="Y1310">INDEX(xlRTTYNAME,MATCH(1,(xlRTTYENDU=2)*(xlRTTYEQCL=$F1310)*(xlRTEQTYPE=$G1310),0))</f>
        <v>CENT_AIR3</v>
      </c>
    </row>
    <row r="1311" spans="2:25" ht="14.25" customHeight="1" x14ac:dyDescent="0.2">
      <c r="B1311" s="29">
        <v>4</v>
      </c>
      <c r="C1311" s="29">
        <v>2</v>
      </c>
      <c r="D1311" s="29">
        <v>5</v>
      </c>
      <c r="E1311" s="29">
        <v>16</v>
      </c>
      <c r="F1311" s="29">
        <v>2</v>
      </c>
      <c r="G1311" s="32">
        <v>6</v>
      </c>
      <c r="H1311" s="29">
        <v>2033</v>
      </c>
      <c r="I1311" s="29">
        <v>2050</v>
      </c>
      <c r="J1311" s="144">
        <v>1.0934999999999999</v>
      </c>
      <c r="K1311" s="144">
        <v>1.0435000000000001</v>
      </c>
      <c r="L1311" s="144">
        <v>0.84150000000000003</v>
      </c>
      <c r="M1311" s="144">
        <v>1.1499999999999999</v>
      </c>
      <c r="N1311" s="144">
        <v>1.1696</v>
      </c>
      <c r="O1311" s="144">
        <v>1.0538000000000001</v>
      </c>
      <c r="P1311" s="143">
        <v>3197.3024566458685</v>
      </c>
      <c r="Q1311" s="35">
        <f t="array" ref="Q1311">SUM(IF(($S1311&gt;=4)*($C1311='TaxCred&amp;Subs'!$D$114:$D$121)*($H1311='TaxCred&amp;Subs'!$C$114:$C$121)*($H1311&lt;='TaxCred&amp;Subs'!$C$123),'TaxCred&amp;Subs'!$E$114:$E$121,0))</f>
        <v>0</v>
      </c>
      <c r="R1311" s="143">
        <v>0</v>
      </c>
      <c r="S1311" s="29">
        <v>4</v>
      </c>
      <c r="T1311" s="29" t="s">
        <v>240</v>
      </c>
      <c r="U1311" s="30" t="s">
        <v>227</v>
      </c>
      <c r="V1311" s="7" t="str">
        <f t="array" ref="V1311">INDEX(xlRTCLNAME,MATCH(1,(xlRTCLENDU=1)*(xlRTCLEQCL=$D1311),0))</f>
        <v>KERO_FA</v>
      </c>
      <c r="W1311" s="7" t="str">
        <f t="array" ref="W1311">INDEX(xlRTCLNAME,MATCH(1,(xlRTCLENDU=2)*(xlRTCLEQCL=$F1311),0))</f>
        <v>CENT_AIR</v>
      </c>
      <c r="X1311" s="7" t="str">
        <f t="array" ref="X1311">INDEX(xlRTTYNAME,MATCH(1,(xlRTTYENDU=1)*(xlRTTYEQCL=$D1311)*(xlRTEQTYPE=$E1311),0))</f>
        <v>KERO_FA3</v>
      </c>
      <c r="Y1311" s="7" t="str">
        <f t="array" ref="Y1311">INDEX(xlRTTYNAME,MATCH(1,(xlRTTYENDU=2)*(xlRTTYEQCL=$F1311)*(xlRTEQTYPE=$G1311),0))</f>
        <v>CENT_AIR3</v>
      </c>
    </row>
    <row r="1312" spans="2:25" ht="14.25" customHeight="1" x14ac:dyDescent="0.2">
      <c r="B1312" s="29">
        <v>5</v>
      </c>
      <c r="C1312" s="29">
        <v>2</v>
      </c>
      <c r="D1312" s="29">
        <v>5</v>
      </c>
      <c r="E1312" s="29">
        <v>16</v>
      </c>
      <c r="F1312" s="29">
        <v>2</v>
      </c>
      <c r="G1312" s="32">
        <v>6</v>
      </c>
      <c r="H1312" s="32">
        <v>2020</v>
      </c>
      <c r="I1312" s="29">
        <v>2022</v>
      </c>
      <c r="J1312" s="144">
        <v>1.1200000000000001</v>
      </c>
      <c r="K1312" s="144">
        <v>1.0391999999999999</v>
      </c>
      <c r="L1312" s="144">
        <v>0.63129999999999997</v>
      </c>
      <c r="M1312" s="144">
        <v>1.0902000000000001</v>
      </c>
      <c r="N1312" s="144">
        <v>1.2595000000000001</v>
      </c>
      <c r="O1312" s="144">
        <v>1.0538000000000001</v>
      </c>
      <c r="P1312" s="143">
        <v>3025.2020720997493</v>
      </c>
      <c r="Q1312" s="35">
        <f t="array" ref="Q1312">SUM(IF(($S1312&gt;=4)*($C1312='TaxCred&amp;Subs'!$D$114:$D$121)*($H1312='TaxCred&amp;Subs'!$C$114:$C$121)*($H1312&lt;='TaxCred&amp;Subs'!$C$123),'TaxCred&amp;Subs'!$E$114:$E$121,0))</f>
        <v>0</v>
      </c>
      <c r="R1312" s="143">
        <v>0</v>
      </c>
      <c r="S1312" s="29">
        <v>4</v>
      </c>
      <c r="T1312" s="29" t="s">
        <v>240</v>
      </c>
      <c r="U1312" s="30" t="s">
        <v>227</v>
      </c>
      <c r="V1312" s="7" t="str">
        <f t="array" ref="V1312">INDEX(xlRTCLNAME,MATCH(1,(xlRTCLENDU=1)*(xlRTCLEQCL=$D1312),0))</f>
        <v>KERO_FA</v>
      </c>
      <c r="W1312" s="7" t="str">
        <f t="array" ref="W1312">INDEX(xlRTCLNAME,MATCH(1,(xlRTCLENDU=2)*(xlRTCLEQCL=$F1312),0))</f>
        <v>CENT_AIR</v>
      </c>
      <c r="X1312" s="7" t="str">
        <f t="array" ref="X1312">INDEX(xlRTTYNAME,MATCH(1,(xlRTTYENDU=1)*(xlRTTYEQCL=$D1312)*(xlRTEQTYPE=$E1312),0))</f>
        <v>KERO_FA3</v>
      </c>
      <c r="Y1312" s="7" t="str">
        <f t="array" ref="Y1312">INDEX(xlRTTYNAME,MATCH(1,(xlRTTYENDU=2)*(xlRTTYEQCL=$F1312)*(xlRTEQTYPE=$G1312),0))</f>
        <v>CENT_AIR3</v>
      </c>
    </row>
    <row r="1313" spans="2:25" ht="14.25" customHeight="1" x14ac:dyDescent="0.2">
      <c r="B1313" s="29">
        <v>5</v>
      </c>
      <c r="C1313" s="29">
        <v>2</v>
      </c>
      <c r="D1313" s="29">
        <v>5</v>
      </c>
      <c r="E1313" s="29">
        <v>16</v>
      </c>
      <c r="F1313" s="29">
        <v>2</v>
      </c>
      <c r="G1313" s="32">
        <v>6</v>
      </c>
      <c r="H1313" s="29">
        <v>2023</v>
      </c>
      <c r="I1313" s="29">
        <v>2032</v>
      </c>
      <c r="J1313" s="144">
        <v>1.1200000000000001</v>
      </c>
      <c r="K1313" s="144">
        <v>1.0391999999999999</v>
      </c>
      <c r="L1313" s="144">
        <v>0.63129999999999997</v>
      </c>
      <c r="M1313" s="144">
        <v>1.0902000000000001</v>
      </c>
      <c r="N1313" s="144">
        <v>1.2595000000000001</v>
      </c>
      <c r="O1313" s="144">
        <v>1.0538000000000001</v>
      </c>
      <c r="P1313" s="143">
        <v>3025.2020720997493</v>
      </c>
      <c r="Q1313" s="35">
        <f t="array" ref="Q1313">SUM(IF(($S1313&gt;=4)*($C1313='TaxCred&amp;Subs'!$D$114:$D$121)*($H1313='TaxCred&amp;Subs'!$C$114:$C$121)*($H1313&lt;='TaxCred&amp;Subs'!$C$123),'TaxCred&amp;Subs'!$E$114:$E$121,0))</f>
        <v>500</v>
      </c>
      <c r="R1313" s="143">
        <v>0</v>
      </c>
      <c r="S1313" s="29">
        <v>4</v>
      </c>
      <c r="T1313" s="29" t="s">
        <v>240</v>
      </c>
      <c r="U1313" s="30" t="s">
        <v>227</v>
      </c>
      <c r="V1313" s="7" t="str">
        <f t="array" ref="V1313">INDEX(xlRTCLNAME,MATCH(1,(xlRTCLENDU=1)*(xlRTCLEQCL=$D1313),0))</f>
        <v>KERO_FA</v>
      </c>
      <c r="W1313" s="7" t="str">
        <f t="array" ref="W1313">INDEX(xlRTCLNAME,MATCH(1,(xlRTCLENDU=2)*(xlRTCLEQCL=$F1313),0))</f>
        <v>CENT_AIR</v>
      </c>
      <c r="X1313" s="7" t="str">
        <f t="array" ref="X1313">INDEX(xlRTTYNAME,MATCH(1,(xlRTTYENDU=1)*(xlRTTYEQCL=$D1313)*(xlRTEQTYPE=$E1313),0))</f>
        <v>KERO_FA3</v>
      </c>
      <c r="Y1313" s="7" t="str">
        <f t="array" ref="Y1313">INDEX(xlRTTYNAME,MATCH(1,(xlRTTYENDU=2)*(xlRTTYEQCL=$F1313)*(xlRTEQTYPE=$G1313),0))</f>
        <v>CENT_AIR3</v>
      </c>
    </row>
    <row r="1314" spans="2:25" ht="14.25" customHeight="1" x14ac:dyDescent="0.2">
      <c r="B1314" s="29">
        <v>5</v>
      </c>
      <c r="C1314" s="29">
        <v>2</v>
      </c>
      <c r="D1314" s="29">
        <v>5</v>
      </c>
      <c r="E1314" s="29">
        <v>16</v>
      </c>
      <c r="F1314" s="29">
        <v>2</v>
      </c>
      <c r="G1314" s="32">
        <v>6</v>
      </c>
      <c r="H1314" s="29">
        <v>2033</v>
      </c>
      <c r="I1314" s="29">
        <v>2050</v>
      </c>
      <c r="J1314" s="144">
        <v>1.1200000000000001</v>
      </c>
      <c r="K1314" s="144">
        <v>1.0391999999999999</v>
      </c>
      <c r="L1314" s="144">
        <v>0.63129999999999997</v>
      </c>
      <c r="M1314" s="144">
        <v>1.0902000000000001</v>
      </c>
      <c r="N1314" s="144">
        <v>1.2595000000000001</v>
      </c>
      <c r="O1314" s="144">
        <v>1.0538000000000001</v>
      </c>
      <c r="P1314" s="143">
        <v>3025.2020720997493</v>
      </c>
      <c r="Q1314" s="35">
        <f t="array" ref="Q1314">SUM(IF(($S1314&gt;=4)*($C1314='TaxCred&amp;Subs'!$D$114:$D$121)*($H1314='TaxCred&amp;Subs'!$C$114:$C$121)*($H1314&lt;='TaxCred&amp;Subs'!$C$123),'TaxCred&amp;Subs'!$E$114:$E$121,0))</f>
        <v>0</v>
      </c>
      <c r="R1314" s="143">
        <v>0</v>
      </c>
      <c r="S1314" s="29">
        <v>4</v>
      </c>
      <c r="T1314" s="29" t="s">
        <v>240</v>
      </c>
      <c r="U1314" s="30" t="s">
        <v>227</v>
      </c>
      <c r="V1314" s="7" t="str">
        <f t="array" ref="V1314">INDEX(xlRTCLNAME,MATCH(1,(xlRTCLENDU=1)*(xlRTCLEQCL=$D1314),0))</f>
        <v>KERO_FA</v>
      </c>
      <c r="W1314" s="7" t="str">
        <f t="array" ref="W1314">INDEX(xlRTCLNAME,MATCH(1,(xlRTCLENDU=2)*(xlRTCLEQCL=$F1314),0))</f>
        <v>CENT_AIR</v>
      </c>
      <c r="X1314" s="7" t="str">
        <f t="array" ref="X1314">INDEX(xlRTTYNAME,MATCH(1,(xlRTTYENDU=1)*(xlRTTYEQCL=$D1314)*(xlRTEQTYPE=$E1314),0))</f>
        <v>KERO_FA3</v>
      </c>
      <c r="Y1314" s="7" t="str">
        <f t="array" ref="Y1314">INDEX(xlRTTYNAME,MATCH(1,(xlRTTYENDU=2)*(xlRTTYEQCL=$F1314)*(xlRTEQTYPE=$G1314),0))</f>
        <v>CENT_AIR3</v>
      </c>
    </row>
    <row r="1315" spans="2:25" ht="14.25" customHeight="1" x14ac:dyDescent="0.2">
      <c r="B1315" s="29">
        <v>6</v>
      </c>
      <c r="C1315" s="29">
        <v>2</v>
      </c>
      <c r="D1315" s="29">
        <v>5</v>
      </c>
      <c r="E1315" s="29">
        <v>16</v>
      </c>
      <c r="F1315" s="29">
        <v>2</v>
      </c>
      <c r="G1315" s="32">
        <v>6</v>
      </c>
      <c r="H1315" s="32">
        <v>2020</v>
      </c>
      <c r="I1315" s="29">
        <v>2022</v>
      </c>
      <c r="J1315" s="144">
        <v>1.1200000000000001</v>
      </c>
      <c r="K1315" s="144">
        <v>1.03</v>
      </c>
      <c r="L1315" s="144">
        <v>1.0127999999999999</v>
      </c>
      <c r="M1315" s="144">
        <v>1.1228</v>
      </c>
      <c r="N1315" s="144">
        <v>1.3381000000000001</v>
      </c>
      <c r="O1315" s="144">
        <v>1.0538000000000001</v>
      </c>
      <c r="P1315" s="143">
        <v>3333.1004163267903</v>
      </c>
      <c r="Q1315" s="35">
        <f t="array" ref="Q1315">SUM(IF(($S1315&gt;=4)*($C1315='TaxCred&amp;Subs'!$D$114:$D$121)*($H1315='TaxCred&amp;Subs'!$C$114:$C$121)*($H1315&lt;='TaxCred&amp;Subs'!$C$123),'TaxCred&amp;Subs'!$E$114:$E$121,0))</f>
        <v>0</v>
      </c>
      <c r="R1315" s="143">
        <v>0</v>
      </c>
      <c r="S1315" s="29">
        <v>4</v>
      </c>
      <c r="T1315" s="29" t="s">
        <v>240</v>
      </c>
      <c r="U1315" s="30" t="s">
        <v>227</v>
      </c>
      <c r="V1315" s="7" t="str">
        <f t="array" ref="V1315">INDEX(xlRTCLNAME,MATCH(1,(xlRTCLENDU=1)*(xlRTCLEQCL=$D1315),0))</f>
        <v>KERO_FA</v>
      </c>
      <c r="W1315" s="7" t="str">
        <f t="array" ref="W1315">INDEX(xlRTCLNAME,MATCH(1,(xlRTCLENDU=2)*(xlRTCLEQCL=$F1315),0))</f>
        <v>CENT_AIR</v>
      </c>
      <c r="X1315" s="7" t="str">
        <f t="array" ref="X1315">INDEX(xlRTTYNAME,MATCH(1,(xlRTTYENDU=1)*(xlRTTYEQCL=$D1315)*(xlRTEQTYPE=$E1315),0))</f>
        <v>KERO_FA3</v>
      </c>
      <c r="Y1315" s="7" t="str">
        <f t="array" ref="Y1315">INDEX(xlRTTYNAME,MATCH(1,(xlRTTYENDU=2)*(xlRTTYEQCL=$F1315)*(xlRTEQTYPE=$G1315),0))</f>
        <v>CENT_AIR3</v>
      </c>
    </row>
    <row r="1316" spans="2:25" ht="14.25" customHeight="1" x14ac:dyDescent="0.2">
      <c r="B1316" s="29">
        <v>6</v>
      </c>
      <c r="C1316" s="29">
        <v>2</v>
      </c>
      <c r="D1316" s="29">
        <v>5</v>
      </c>
      <c r="E1316" s="29">
        <v>16</v>
      </c>
      <c r="F1316" s="29">
        <v>2</v>
      </c>
      <c r="G1316" s="32">
        <v>6</v>
      </c>
      <c r="H1316" s="29">
        <v>2023</v>
      </c>
      <c r="I1316" s="29">
        <v>2032</v>
      </c>
      <c r="J1316" s="144">
        <v>1.1200000000000001</v>
      </c>
      <c r="K1316" s="144">
        <v>1.03</v>
      </c>
      <c r="L1316" s="144">
        <v>1.0127999999999999</v>
      </c>
      <c r="M1316" s="144">
        <v>1.1228</v>
      </c>
      <c r="N1316" s="144">
        <v>1.3381000000000001</v>
      </c>
      <c r="O1316" s="144">
        <v>1.0538000000000001</v>
      </c>
      <c r="P1316" s="143">
        <v>3333.1004163267903</v>
      </c>
      <c r="Q1316" s="35">
        <f t="array" ref="Q1316">SUM(IF(($S1316&gt;=4)*($C1316='TaxCred&amp;Subs'!$D$114:$D$121)*($H1316='TaxCred&amp;Subs'!$C$114:$C$121)*($H1316&lt;='TaxCred&amp;Subs'!$C$123),'TaxCred&amp;Subs'!$E$114:$E$121,0))</f>
        <v>500</v>
      </c>
      <c r="R1316" s="143">
        <v>0</v>
      </c>
      <c r="S1316" s="29">
        <v>4</v>
      </c>
      <c r="T1316" s="29" t="s">
        <v>240</v>
      </c>
      <c r="U1316" s="30" t="s">
        <v>227</v>
      </c>
      <c r="V1316" s="7" t="str">
        <f t="array" ref="V1316">INDEX(xlRTCLNAME,MATCH(1,(xlRTCLENDU=1)*(xlRTCLEQCL=$D1316),0))</f>
        <v>KERO_FA</v>
      </c>
      <c r="W1316" s="7" t="str">
        <f t="array" ref="W1316">INDEX(xlRTCLNAME,MATCH(1,(xlRTCLENDU=2)*(xlRTCLEQCL=$F1316),0))</f>
        <v>CENT_AIR</v>
      </c>
      <c r="X1316" s="7" t="str">
        <f t="array" ref="X1316">INDEX(xlRTTYNAME,MATCH(1,(xlRTTYENDU=1)*(xlRTTYEQCL=$D1316)*(xlRTEQTYPE=$E1316),0))</f>
        <v>KERO_FA3</v>
      </c>
      <c r="Y1316" s="7" t="str">
        <f t="array" ref="Y1316">INDEX(xlRTTYNAME,MATCH(1,(xlRTTYENDU=2)*(xlRTTYEQCL=$F1316)*(xlRTEQTYPE=$G1316),0))</f>
        <v>CENT_AIR3</v>
      </c>
    </row>
    <row r="1317" spans="2:25" ht="14.25" customHeight="1" x14ac:dyDescent="0.2">
      <c r="B1317" s="29">
        <v>6</v>
      </c>
      <c r="C1317" s="29">
        <v>2</v>
      </c>
      <c r="D1317" s="29">
        <v>5</v>
      </c>
      <c r="E1317" s="29">
        <v>16</v>
      </c>
      <c r="F1317" s="29">
        <v>2</v>
      </c>
      <c r="G1317" s="32">
        <v>6</v>
      </c>
      <c r="H1317" s="29">
        <v>2033</v>
      </c>
      <c r="I1317" s="29">
        <v>2050</v>
      </c>
      <c r="J1317" s="144">
        <v>1.1200000000000001</v>
      </c>
      <c r="K1317" s="144">
        <v>1.03</v>
      </c>
      <c r="L1317" s="144">
        <v>1.0127999999999999</v>
      </c>
      <c r="M1317" s="144">
        <v>1.1228</v>
      </c>
      <c r="N1317" s="144">
        <v>1.3381000000000001</v>
      </c>
      <c r="O1317" s="144">
        <v>1.0538000000000001</v>
      </c>
      <c r="P1317" s="143">
        <v>3333.1004163267903</v>
      </c>
      <c r="Q1317" s="35">
        <f t="array" ref="Q1317">SUM(IF(($S1317&gt;=4)*($C1317='TaxCred&amp;Subs'!$D$114:$D$121)*($H1317='TaxCred&amp;Subs'!$C$114:$C$121)*($H1317&lt;='TaxCred&amp;Subs'!$C$123),'TaxCred&amp;Subs'!$E$114:$E$121,0))</f>
        <v>0</v>
      </c>
      <c r="R1317" s="143">
        <v>0</v>
      </c>
      <c r="S1317" s="29">
        <v>4</v>
      </c>
      <c r="T1317" s="29" t="s">
        <v>240</v>
      </c>
      <c r="U1317" s="30" t="s">
        <v>227</v>
      </c>
      <c r="V1317" s="7" t="str">
        <f t="array" ref="V1317">INDEX(xlRTCLNAME,MATCH(1,(xlRTCLENDU=1)*(xlRTCLEQCL=$D1317),0))</f>
        <v>KERO_FA</v>
      </c>
      <c r="W1317" s="7" t="str">
        <f t="array" ref="W1317">INDEX(xlRTCLNAME,MATCH(1,(xlRTCLENDU=2)*(xlRTCLEQCL=$F1317),0))</f>
        <v>CENT_AIR</v>
      </c>
      <c r="X1317" s="7" t="str">
        <f t="array" ref="X1317">INDEX(xlRTTYNAME,MATCH(1,(xlRTTYENDU=1)*(xlRTTYEQCL=$D1317)*(xlRTEQTYPE=$E1317),0))</f>
        <v>KERO_FA3</v>
      </c>
      <c r="Y1317" s="7" t="str">
        <f t="array" ref="Y1317">INDEX(xlRTTYNAME,MATCH(1,(xlRTTYENDU=2)*(xlRTTYEQCL=$F1317)*(xlRTEQTYPE=$G1317),0))</f>
        <v>CENT_AIR3</v>
      </c>
    </row>
    <row r="1318" spans="2:25" ht="14.25" customHeight="1" x14ac:dyDescent="0.2">
      <c r="B1318" s="29">
        <v>7</v>
      </c>
      <c r="C1318" s="29">
        <v>2</v>
      </c>
      <c r="D1318" s="29">
        <v>5</v>
      </c>
      <c r="E1318" s="29">
        <v>16</v>
      </c>
      <c r="F1318" s="29">
        <v>2</v>
      </c>
      <c r="G1318" s="32">
        <v>6</v>
      </c>
      <c r="H1318" s="32">
        <v>2020</v>
      </c>
      <c r="I1318" s="29">
        <v>2022</v>
      </c>
      <c r="J1318" s="144">
        <v>1.1200000000000001</v>
      </c>
      <c r="K1318" s="144">
        <v>1.0476000000000001</v>
      </c>
      <c r="L1318" s="144">
        <v>1.0271999999999999</v>
      </c>
      <c r="M1318" s="144">
        <v>1.1173</v>
      </c>
      <c r="N1318" s="144">
        <v>1.4438</v>
      </c>
      <c r="O1318" s="144">
        <v>1.0538000000000001</v>
      </c>
      <c r="P1318" s="143">
        <v>2730.7490704153738</v>
      </c>
      <c r="Q1318" s="35">
        <f t="array" ref="Q1318">SUM(IF(($S1318&gt;=4)*($C1318='TaxCred&amp;Subs'!$D$114:$D$121)*($H1318='TaxCred&amp;Subs'!$C$114:$C$121)*($H1318&lt;='TaxCred&amp;Subs'!$C$123),'TaxCred&amp;Subs'!$E$114:$E$121,0))</f>
        <v>0</v>
      </c>
      <c r="R1318" s="143">
        <v>0</v>
      </c>
      <c r="S1318" s="29">
        <v>4</v>
      </c>
      <c r="T1318" s="29" t="s">
        <v>240</v>
      </c>
      <c r="U1318" s="30" t="s">
        <v>227</v>
      </c>
      <c r="V1318" s="7" t="str">
        <f t="array" ref="V1318">INDEX(xlRTCLNAME,MATCH(1,(xlRTCLENDU=1)*(xlRTCLEQCL=$D1318),0))</f>
        <v>KERO_FA</v>
      </c>
      <c r="W1318" s="7" t="str">
        <f t="array" ref="W1318">INDEX(xlRTCLNAME,MATCH(1,(xlRTCLENDU=2)*(xlRTCLEQCL=$F1318),0))</f>
        <v>CENT_AIR</v>
      </c>
      <c r="X1318" s="7" t="str">
        <f t="array" ref="X1318">INDEX(xlRTTYNAME,MATCH(1,(xlRTTYENDU=1)*(xlRTTYEQCL=$D1318)*(xlRTEQTYPE=$E1318),0))</f>
        <v>KERO_FA3</v>
      </c>
      <c r="Y1318" s="7" t="str">
        <f t="array" ref="Y1318">INDEX(xlRTTYNAME,MATCH(1,(xlRTTYENDU=2)*(xlRTTYEQCL=$F1318)*(xlRTEQTYPE=$G1318),0))</f>
        <v>CENT_AIR3</v>
      </c>
    </row>
    <row r="1319" spans="2:25" ht="14.25" customHeight="1" x14ac:dyDescent="0.2">
      <c r="B1319" s="29">
        <v>7</v>
      </c>
      <c r="C1319" s="29">
        <v>2</v>
      </c>
      <c r="D1319" s="29">
        <v>5</v>
      </c>
      <c r="E1319" s="29">
        <v>16</v>
      </c>
      <c r="F1319" s="29">
        <v>2</v>
      </c>
      <c r="G1319" s="32">
        <v>6</v>
      </c>
      <c r="H1319" s="29">
        <v>2023</v>
      </c>
      <c r="I1319" s="29">
        <v>2032</v>
      </c>
      <c r="J1319" s="144">
        <v>1.1200000000000001</v>
      </c>
      <c r="K1319" s="144">
        <v>1.0476000000000001</v>
      </c>
      <c r="L1319" s="144">
        <v>1.0271999999999999</v>
      </c>
      <c r="M1319" s="144">
        <v>1.1173</v>
      </c>
      <c r="N1319" s="144">
        <v>1.4438</v>
      </c>
      <c r="O1319" s="144">
        <v>1.0538000000000001</v>
      </c>
      <c r="P1319" s="143">
        <v>2730.7490704153738</v>
      </c>
      <c r="Q1319" s="35">
        <f t="array" ref="Q1319">SUM(IF(($S1319&gt;=4)*($C1319='TaxCred&amp;Subs'!$D$114:$D$121)*($H1319='TaxCred&amp;Subs'!$C$114:$C$121)*($H1319&lt;='TaxCred&amp;Subs'!$C$123),'TaxCred&amp;Subs'!$E$114:$E$121,0))</f>
        <v>500</v>
      </c>
      <c r="R1319" s="143">
        <v>0</v>
      </c>
      <c r="S1319" s="29">
        <v>4</v>
      </c>
      <c r="T1319" s="29" t="s">
        <v>240</v>
      </c>
      <c r="U1319" s="30" t="s">
        <v>227</v>
      </c>
      <c r="V1319" s="7" t="str">
        <f t="array" ref="V1319">INDEX(xlRTCLNAME,MATCH(1,(xlRTCLENDU=1)*(xlRTCLEQCL=$D1319),0))</f>
        <v>KERO_FA</v>
      </c>
      <c r="W1319" s="7" t="str">
        <f t="array" ref="W1319">INDEX(xlRTCLNAME,MATCH(1,(xlRTCLENDU=2)*(xlRTCLEQCL=$F1319),0))</f>
        <v>CENT_AIR</v>
      </c>
      <c r="X1319" s="7" t="str">
        <f t="array" ref="X1319">INDEX(xlRTTYNAME,MATCH(1,(xlRTTYENDU=1)*(xlRTTYEQCL=$D1319)*(xlRTEQTYPE=$E1319),0))</f>
        <v>KERO_FA3</v>
      </c>
      <c r="Y1319" s="7" t="str">
        <f t="array" ref="Y1319">INDEX(xlRTTYNAME,MATCH(1,(xlRTTYENDU=2)*(xlRTTYEQCL=$F1319)*(xlRTEQTYPE=$G1319),0))</f>
        <v>CENT_AIR3</v>
      </c>
    </row>
    <row r="1320" spans="2:25" ht="14.25" customHeight="1" x14ac:dyDescent="0.2">
      <c r="B1320" s="29">
        <v>7</v>
      </c>
      <c r="C1320" s="29">
        <v>2</v>
      </c>
      <c r="D1320" s="29">
        <v>5</v>
      </c>
      <c r="E1320" s="29">
        <v>16</v>
      </c>
      <c r="F1320" s="29">
        <v>2</v>
      </c>
      <c r="G1320" s="32">
        <v>6</v>
      </c>
      <c r="H1320" s="29">
        <v>2033</v>
      </c>
      <c r="I1320" s="29">
        <v>2050</v>
      </c>
      <c r="J1320" s="144">
        <v>1.1200000000000001</v>
      </c>
      <c r="K1320" s="144">
        <v>1.0476000000000001</v>
      </c>
      <c r="L1320" s="144">
        <v>1.0271999999999999</v>
      </c>
      <c r="M1320" s="144">
        <v>1.1173</v>
      </c>
      <c r="N1320" s="144">
        <v>1.4438</v>
      </c>
      <c r="O1320" s="144">
        <v>1.0538000000000001</v>
      </c>
      <c r="P1320" s="143">
        <v>2730.7490704153738</v>
      </c>
      <c r="Q1320" s="35">
        <f t="array" ref="Q1320">SUM(IF(($S1320&gt;=4)*($C1320='TaxCred&amp;Subs'!$D$114:$D$121)*($H1320='TaxCred&amp;Subs'!$C$114:$C$121)*($H1320&lt;='TaxCred&amp;Subs'!$C$123),'TaxCred&amp;Subs'!$E$114:$E$121,0))</f>
        <v>0</v>
      </c>
      <c r="R1320" s="143">
        <v>0</v>
      </c>
      <c r="S1320" s="29">
        <v>4</v>
      </c>
      <c r="T1320" s="29" t="s">
        <v>240</v>
      </c>
      <c r="U1320" s="30" t="s">
        <v>227</v>
      </c>
      <c r="V1320" s="7" t="str">
        <f t="array" ref="V1320">INDEX(xlRTCLNAME,MATCH(1,(xlRTCLENDU=1)*(xlRTCLEQCL=$D1320),0))</f>
        <v>KERO_FA</v>
      </c>
      <c r="W1320" s="7" t="str">
        <f t="array" ref="W1320">INDEX(xlRTCLNAME,MATCH(1,(xlRTCLENDU=2)*(xlRTCLEQCL=$F1320),0))</f>
        <v>CENT_AIR</v>
      </c>
      <c r="X1320" s="7" t="str">
        <f t="array" ref="X1320">INDEX(xlRTTYNAME,MATCH(1,(xlRTTYENDU=1)*(xlRTTYEQCL=$D1320)*(xlRTEQTYPE=$E1320),0))</f>
        <v>KERO_FA3</v>
      </c>
      <c r="Y1320" s="7" t="str">
        <f t="array" ref="Y1320">INDEX(xlRTTYNAME,MATCH(1,(xlRTTYENDU=2)*(xlRTTYEQCL=$F1320)*(xlRTEQTYPE=$G1320),0))</f>
        <v>CENT_AIR3</v>
      </c>
    </row>
    <row r="1321" spans="2:25" ht="14.25" customHeight="1" x14ac:dyDescent="0.2">
      <c r="B1321" s="29">
        <v>8</v>
      </c>
      <c r="C1321" s="29">
        <v>2</v>
      </c>
      <c r="D1321" s="29">
        <v>5</v>
      </c>
      <c r="E1321" s="29">
        <v>16</v>
      </c>
      <c r="F1321" s="29">
        <v>2</v>
      </c>
      <c r="G1321" s="32">
        <v>6</v>
      </c>
      <c r="H1321" s="32">
        <v>2020</v>
      </c>
      <c r="I1321" s="29">
        <v>2022</v>
      </c>
      <c r="J1321" s="144">
        <v>1.1064000000000001</v>
      </c>
      <c r="K1321" s="144">
        <v>1.0645</v>
      </c>
      <c r="L1321" s="144">
        <v>0.80669999999999997</v>
      </c>
      <c r="M1321" s="144">
        <v>1.2739</v>
      </c>
      <c r="N1321" s="144">
        <v>1.2826</v>
      </c>
      <c r="O1321" s="144">
        <v>1.0538000000000001</v>
      </c>
      <c r="P1321" s="143">
        <v>3362.6801699206544</v>
      </c>
      <c r="Q1321" s="35">
        <f t="array" ref="Q1321">SUM(IF(($S1321&gt;=4)*($C1321='TaxCred&amp;Subs'!$D$114:$D$121)*($H1321='TaxCred&amp;Subs'!$C$114:$C$121)*($H1321&lt;='TaxCred&amp;Subs'!$C$123),'TaxCred&amp;Subs'!$E$114:$E$121,0))</f>
        <v>0</v>
      </c>
      <c r="R1321" s="143">
        <v>0</v>
      </c>
      <c r="S1321" s="29">
        <v>4</v>
      </c>
      <c r="T1321" s="29" t="s">
        <v>240</v>
      </c>
      <c r="U1321" s="30" t="s">
        <v>227</v>
      </c>
      <c r="V1321" s="7" t="str">
        <f t="array" ref="V1321">INDEX(xlRTCLNAME,MATCH(1,(xlRTCLENDU=1)*(xlRTCLEQCL=$D1321),0))</f>
        <v>KERO_FA</v>
      </c>
      <c r="W1321" s="7" t="str">
        <f t="array" ref="W1321">INDEX(xlRTCLNAME,MATCH(1,(xlRTCLENDU=2)*(xlRTCLEQCL=$F1321),0))</f>
        <v>CENT_AIR</v>
      </c>
      <c r="X1321" s="7" t="str">
        <f t="array" ref="X1321">INDEX(xlRTTYNAME,MATCH(1,(xlRTTYENDU=1)*(xlRTTYEQCL=$D1321)*(xlRTEQTYPE=$E1321),0))</f>
        <v>KERO_FA3</v>
      </c>
      <c r="Y1321" s="7" t="str">
        <f t="array" ref="Y1321">INDEX(xlRTTYNAME,MATCH(1,(xlRTTYENDU=2)*(xlRTTYEQCL=$F1321)*(xlRTEQTYPE=$G1321),0))</f>
        <v>CENT_AIR3</v>
      </c>
    </row>
    <row r="1322" spans="2:25" ht="14.25" customHeight="1" x14ac:dyDescent="0.2">
      <c r="B1322" s="29">
        <v>8</v>
      </c>
      <c r="C1322" s="29">
        <v>2</v>
      </c>
      <c r="D1322" s="29">
        <v>5</v>
      </c>
      <c r="E1322" s="29">
        <v>16</v>
      </c>
      <c r="F1322" s="29">
        <v>2</v>
      </c>
      <c r="G1322" s="32">
        <v>6</v>
      </c>
      <c r="H1322" s="29">
        <v>2023</v>
      </c>
      <c r="I1322" s="29">
        <v>2032</v>
      </c>
      <c r="J1322" s="144">
        <v>1.1064000000000001</v>
      </c>
      <c r="K1322" s="144">
        <v>1.0645</v>
      </c>
      <c r="L1322" s="144">
        <v>0.80669999999999997</v>
      </c>
      <c r="M1322" s="144">
        <v>1.2739</v>
      </c>
      <c r="N1322" s="144">
        <v>1.2826</v>
      </c>
      <c r="O1322" s="144">
        <v>1.0538000000000001</v>
      </c>
      <c r="P1322" s="143">
        <v>3362.6801699206544</v>
      </c>
      <c r="Q1322" s="35">
        <f t="array" ref="Q1322">SUM(IF(($S1322&gt;=4)*($C1322='TaxCred&amp;Subs'!$D$114:$D$121)*($H1322='TaxCred&amp;Subs'!$C$114:$C$121)*($H1322&lt;='TaxCred&amp;Subs'!$C$123),'TaxCred&amp;Subs'!$E$114:$E$121,0))</f>
        <v>500</v>
      </c>
      <c r="R1322" s="143">
        <v>0</v>
      </c>
      <c r="S1322" s="29">
        <v>4</v>
      </c>
      <c r="T1322" s="29" t="s">
        <v>240</v>
      </c>
      <c r="U1322" s="30" t="s">
        <v>227</v>
      </c>
      <c r="V1322" s="7" t="str">
        <f t="array" ref="V1322">INDEX(xlRTCLNAME,MATCH(1,(xlRTCLENDU=1)*(xlRTCLEQCL=$D1322),0))</f>
        <v>KERO_FA</v>
      </c>
      <c r="W1322" s="7" t="str">
        <f t="array" ref="W1322">INDEX(xlRTCLNAME,MATCH(1,(xlRTCLENDU=2)*(xlRTCLEQCL=$F1322),0))</f>
        <v>CENT_AIR</v>
      </c>
      <c r="X1322" s="7" t="str">
        <f t="array" ref="X1322">INDEX(xlRTTYNAME,MATCH(1,(xlRTTYENDU=1)*(xlRTTYEQCL=$D1322)*(xlRTEQTYPE=$E1322),0))</f>
        <v>KERO_FA3</v>
      </c>
      <c r="Y1322" s="7" t="str">
        <f t="array" ref="Y1322">INDEX(xlRTTYNAME,MATCH(1,(xlRTTYENDU=2)*(xlRTTYEQCL=$F1322)*(xlRTEQTYPE=$G1322),0))</f>
        <v>CENT_AIR3</v>
      </c>
    </row>
    <row r="1323" spans="2:25" ht="14.25" customHeight="1" x14ac:dyDescent="0.2">
      <c r="B1323" s="29">
        <v>8</v>
      </c>
      <c r="C1323" s="29">
        <v>2</v>
      </c>
      <c r="D1323" s="29">
        <v>5</v>
      </c>
      <c r="E1323" s="29">
        <v>16</v>
      </c>
      <c r="F1323" s="29">
        <v>2</v>
      </c>
      <c r="G1323" s="32">
        <v>6</v>
      </c>
      <c r="H1323" s="29">
        <v>2033</v>
      </c>
      <c r="I1323" s="29">
        <v>2050</v>
      </c>
      <c r="J1323" s="144">
        <v>1.1064000000000001</v>
      </c>
      <c r="K1323" s="144">
        <v>1.0645</v>
      </c>
      <c r="L1323" s="144">
        <v>0.80669999999999997</v>
      </c>
      <c r="M1323" s="144">
        <v>1.2739</v>
      </c>
      <c r="N1323" s="144">
        <v>1.2826</v>
      </c>
      <c r="O1323" s="144">
        <v>1.0538000000000001</v>
      </c>
      <c r="P1323" s="143">
        <v>3362.6801699206544</v>
      </c>
      <c r="Q1323" s="35">
        <f t="array" ref="Q1323">SUM(IF(($S1323&gt;=4)*($C1323='TaxCred&amp;Subs'!$D$114:$D$121)*($H1323='TaxCred&amp;Subs'!$C$114:$C$121)*($H1323&lt;='TaxCred&amp;Subs'!$C$123),'TaxCred&amp;Subs'!$E$114:$E$121,0))</f>
        <v>0</v>
      </c>
      <c r="R1323" s="143">
        <v>0</v>
      </c>
      <c r="S1323" s="29">
        <v>4</v>
      </c>
      <c r="T1323" s="29" t="s">
        <v>240</v>
      </c>
      <c r="U1323" s="30" t="s">
        <v>227</v>
      </c>
      <c r="V1323" s="7" t="str">
        <f t="array" ref="V1323">INDEX(xlRTCLNAME,MATCH(1,(xlRTCLENDU=1)*(xlRTCLEQCL=$D1323),0))</f>
        <v>KERO_FA</v>
      </c>
      <c r="W1323" s="7" t="str">
        <f t="array" ref="W1323">INDEX(xlRTCLNAME,MATCH(1,(xlRTCLENDU=2)*(xlRTCLEQCL=$F1323),0))</f>
        <v>CENT_AIR</v>
      </c>
      <c r="X1323" s="7" t="str">
        <f t="array" ref="X1323">INDEX(xlRTTYNAME,MATCH(1,(xlRTTYENDU=1)*(xlRTTYEQCL=$D1323)*(xlRTEQTYPE=$E1323),0))</f>
        <v>KERO_FA3</v>
      </c>
      <c r="Y1323" s="7" t="str">
        <f t="array" ref="Y1323">INDEX(xlRTTYNAME,MATCH(1,(xlRTTYENDU=2)*(xlRTTYEQCL=$F1323)*(xlRTEQTYPE=$G1323),0))</f>
        <v>CENT_AIR3</v>
      </c>
    </row>
    <row r="1324" spans="2:25" ht="14.25" customHeight="1" x14ac:dyDescent="0.2">
      <c r="B1324" s="29">
        <v>9</v>
      </c>
      <c r="C1324" s="29">
        <v>2</v>
      </c>
      <c r="D1324" s="29">
        <v>5</v>
      </c>
      <c r="E1324" s="29">
        <v>16</v>
      </c>
      <c r="F1324" s="29">
        <v>2</v>
      </c>
      <c r="G1324" s="32">
        <v>6</v>
      </c>
      <c r="H1324" s="32">
        <v>2020</v>
      </c>
      <c r="I1324" s="29">
        <v>2022</v>
      </c>
      <c r="J1324" s="144">
        <v>1.03</v>
      </c>
      <c r="K1324" s="144">
        <v>1.0556000000000001</v>
      </c>
      <c r="L1324" s="144">
        <v>0.44379999999999997</v>
      </c>
      <c r="M1324" s="144">
        <v>1.2</v>
      </c>
      <c r="N1324" s="144">
        <v>1.4438</v>
      </c>
      <c r="O1324" s="144">
        <v>1.0538000000000001</v>
      </c>
      <c r="P1324" s="143">
        <v>3463.5202389906462</v>
      </c>
      <c r="Q1324" s="35">
        <f t="array" ref="Q1324">SUM(IF(($S1324&gt;=4)*($C1324='TaxCred&amp;Subs'!$D$114:$D$121)*($H1324='TaxCred&amp;Subs'!$C$114:$C$121)*($H1324&lt;='TaxCred&amp;Subs'!$C$123),'TaxCred&amp;Subs'!$E$114:$E$121,0))</f>
        <v>0</v>
      </c>
      <c r="R1324" s="143">
        <v>0</v>
      </c>
      <c r="S1324" s="29">
        <v>4</v>
      </c>
      <c r="T1324" s="29" t="s">
        <v>240</v>
      </c>
      <c r="U1324" s="30" t="s">
        <v>227</v>
      </c>
      <c r="V1324" s="7" t="str">
        <f t="array" ref="V1324">INDEX(xlRTCLNAME,MATCH(1,(xlRTCLENDU=1)*(xlRTCLEQCL=$D1324),0))</f>
        <v>KERO_FA</v>
      </c>
      <c r="W1324" s="7" t="str">
        <f t="array" ref="W1324">INDEX(xlRTCLNAME,MATCH(1,(xlRTCLENDU=2)*(xlRTCLEQCL=$F1324),0))</f>
        <v>CENT_AIR</v>
      </c>
      <c r="X1324" s="7" t="str">
        <f t="array" ref="X1324">INDEX(xlRTTYNAME,MATCH(1,(xlRTTYENDU=1)*(xlRTTYEQCL=$D1324)*(xlRTEQTYPE=$E1324),0))</f>
        <v>KERO_FA3</v>
      </c>
      <c r="Y1324" s="7" t="str">
        <f t="array" ref="Y1324">INDEX(xlRTTYNAME,MATCH(1,(xlRTTYENDU=2)*(xlRTTYEQCL=$F1324)*(xlRTEQTYPE=$G1324),0))</f>
        <v>CENT_AIR3</v>
      </c>
    </row>
    <row r="1325" spans="2:25" ht="14.25" customHeight="1" x14ac:dyDescent="0.2">
      <c r="B1325" s="29">
        <v>9</v>
      </c>
      <c r="C1325" s="29">
        <v>2</v>
      </c>
      <c r="D1325" s="29">
        <v>5</v>
      </c>
      <c r="E1325" s="29">
        <v>16</v>
      </c>
      <c r="F1325" s="29">
        <v>2</v>
      </c>
      <c r="G1325" s="32">
        <v>6</v>
      </c>
      <c r="H1325" s="29">
        <v>2023</v>
      </c>
      <c r="I1325" s="29">
        <v>2032</v>
      </c>
      <c r="J1325" s="144">
        <v>1.03</v>
      </c>
      <c r="K1325" s="144">
        <v>1.0556000000000001</v>
      </c>
      <c r="L1325" s="144">
        <v>0.44379999999999997</v>
      </c>
      <c r="M1325" s="144">
        <v>1.2</v>
      </c>
      <c r="N1325" s="144">
        <v>1.4438</v>
      </c>
      <c r="O1325" s="144">
        <v>1.0538000000000001</v>
      </c>
      <c r="P1325" s="143">
        <v>3463.5202389906462</v>
      </c>
      <c r="Q1325" s="35">
        <f t="array" ref="Q1325">SUM(IF(($S1325&gt;=4)*($C1325='TaxCred&amp;Subs'!$D$114:$D$121)*($H1325='TaxCred&amp;Subs'!$C$114:$C$121)*($H1325&lt;='TaxCred&amp;Subs'!$C$123),'TaxCred&amp;Subs'!$E$114:$E$121,0))</f>
        <v>500</v>
      </c>
      <c r="R1325" s="143">
        <v>0</v>
      </c>
      <c r="S1325" s="29">
        <v>4</v>
      </c>
      <c r="T1325" s="29" t="s">
        <v>240</v>
      </c>
      <c r="U1325" s="30" t="s">
        <v>227</v>
      </c>
      <c r="V1325" s="7" t="str">
        <f t="array" ref="V1325">INDEX(xlRTCLNAME,MATCH(1,(xlRTCLENDU=1)*(xlRTCLEQCL=$D1325),0))</f>
        <v>KERO_FA</v>
      </c>
      <c r="W1325" s="7" t="str">
        <f t="array" ref="W1325">INDEX(xlRTCLNAME,MATCH(1,(xlRTCLENDU=2)*(xlRTCLEQCL=$F1325),0))</f>
        <v>CENT_AIR</v>
      </c>
      <c r="X1325" s="7" t="str">
        <f t="array" ref="X1325">INDEX(xlRTTYNAME,MATCH(1,(xlRTTYENDU=1)*(xlRTTYEQCL=$D1325)*(xlRTEQTYPE=$E1325),0))</f>
        <v>KERO_FA3</v>
      </c>
      <c r="Y1325" s="7" t="str">
        <f t="array" ref="Y1325">INDEX(xlRTTYNAME,MATCH(1,(xlRTTYENDU=2)*(xlRTTYEQCL=$F1325)*(xlRTEQTYPE=$G1325),0))</f>
        <v>CENT_AIR3</v>
      </c>
    </row>
    <row r="1326" spans="2:25" ht="14.25" customHeight="1" x14ac:dyDescent="0.2">
      <c r="B1326" s="29">
        <v>9</v>
      </c>
      <c r="C1326" s="29">
        <v>2</v>
      </c>
      <c r="D1326" s="29">
        <v>5</v>
      </c>
      <c r="E1326" s="29">
        <v>16</v>
      </c>
      <c r="F1326" s="29">
        <v>2</v>
      </c>
      <c r="G1326" s="32">
        <v>6</v>
      </c>
      <c r="H1326" s="29">
        <v>2033</v>
      </c>
      <c r="I1326" s="29">
        <v>2050</v>
      </c>
      <c r="J1326" s="144">
        <v>1.03</v>
      </c>
      <c r="K1326" s="144">
        <v>1.0556000000000001</v>
      </c>
      <c r="L1326" s="144">
        <v>0.44379999999999997</v>
      </c>
      <c r="M1326" s="144">
        <v>1.2</v>
      </c>
      <c r="N1326" s="144">
        <v>1.4438</v>
      </c>
      <c r="O1326" s="144">
        <v>1.0538000000000001</v>
      </c>
      <c r="P1326" s="143">
        <v>3463.5202389906462</v>
      </c>
      <c r="Q1326" s="35">
        <f t="array" ref="Q1326">SUM(IF(($S1326&gt;=4)*($C1326='TaxCred&amp;Subs'!$D$114:$D$121)*($H1326='TaxCred&amp;Subs'!$C$114:$C$121)*($H1326&lt;='TaxCred&amp;Subs'!$C$123),'TaxCred&amp;Subs'!$E$114:$E$121,0))</f>
        <v>0</v>
      </c>
      <c r="R1326" s="143">
        <v>0</v>
      </c>
      <c r="S1326" s="29">
        <v>4</v>
      </c>
      <c r="T1326" s="29" t="s">
        <v>240</v>
      </c>
      <c r="U1326" s="30" t="s">
        <v>227</v>
      </c>
      <c r="V1326" s="7" t="str">
        <f t="array" ref="V1326">INDEX(xlRTCLNAME,MATCH(1,(xlRTCLENDU=1)*(xlRTCLEQCL=$D1326),0))</f>
        <v>KERO_FA</v>
      </c>
      <c r="W1326" s="7" t="str">
        <f t="array" ref="W1326">INDEX(xlRTCLNAME,MATCH(1,(xlRTCLENDU=2)*(xlRTCLEQCL=$F1326),0))</f>
        <v>CENT_AIR</v>
      </c>
      <c r="X1326" s="7" t="str">
        <f t="array" ref="X1326">INDEX(xlRTTYNAME,MATCH(1,(xlRTTYENDU=1)*(xlRTTYEQCL=$D1326)*(xlRTEQTYPE=$E1326),0))</f>
        <v>KERO_FA3</v>
      </c>
      <c r="Y1326" s="7" t="str">
        <f t="array" ref="Y1326">INDEX(xlRTTYNAME,MATCH(1,(xlRTTYENDU=2)*(xlRTTYEQCL=$F1326)*(xlRTEQTYPE=$G1326),0))</f>
        <v>CENT_AIR3</v>
      </c>
    </row>
    <row r="1327" spans="2:25" ht="14.25" customHeight="1" x14ac:dyDescent="0.2">
      <c r="B1327" s="5">
        <v>1</v>
      </c>
      <c r="C1327" s="5">
        <v>2</v>
      </c>
      <c r="D1327" s="5">
        <v>6</v>
      </c>
      <c r="E1327" s="5">
        <v>20</v>
      </c>
      <c r="F1327" s="5">
        <v>2</v>
      </c>
      <c r="G1327" s="31">
        <v>6</v>
      </c>
      <c r="H1327" s="31">
        <v>2020</v>
      </c>
      <c r="I1327" s="5">
        <v>2022</v>
      </c>
      <c r="J1327" s="142">
        <v>1.1042000000000001</v>
      </c>
      <c r="K1327" s="142">
        <v>1.0417000000000001</v>
      </c>
      <c r="L1327" s="142">
        <v>0.89459999999999995</v>
      </c>
      <c r="M1327" s="142">
        <v>1.1228</v>
      </c>
      <c r="N1327" s="142">
        <v>1.1127</v>
      </c>
      <c r="O1327" s="142">
        <v>1.0538000000000001</v>
      </c>
      <c r="P1327" s="26">
        <v>4871.2476032077293</v>
      </c>
      <c r="Q1327" s="35">
        <f t="array" ref="Q1327">SUM(IF(($S1327&gt;=4)*($C1327='TaxCred&amp;Subs'!$D$114:$D$121)*($H1327='TaxCred&amp;Subs'!$C$114:$C$121)*($H1327&lt;='TaxCred&amp;Subs'!$C$123),'TaxCred&amp;Subs'!$E$114:$E$121,0))</f>
        <v>0</v>
      </c>
      <c r="R1327" s="143">
        <v>0</v>
      </c>
      <c r="S1327" s="5">
        <v>4</v>
      </c>
      <c r="T1327" s="5" t="s">
        <v>240</v>
      </c>
      <c r="V1327" s="7" t="str">
        <f t="array" ref="V1327">INDEX(xlRTCLNAME,MATCH(1,(xlRTCLENDU=1)*(xlRTCLEQCL=$D1327),0))</f>
        <v>LPG_FA</v>
      </c>
      <c r="W1327" s="7" t="str">
        <f t="array" ref="W1327">INDEX(xlRTCLNAME,MATCH(1,(xlRTCLENDU=2)*(xlRTCLEQCL=$F1327),0))</f>
        <v>CENT_AIR</v>
      </c>
      <c r="X1327" s="7" t="str">
        <f t="array" ref="X1327">INDEX(xlRTTYNAME,MATCH(1,(xlRTTYENDU=1)*(xlRTTYEQCL=$D1327)*(xlRTEQTYPE=$E1327),0))</f>
        <v>LPG_FA3</v>
      </c>
      <c r="Y1327" s="7" t="str">
        <f t="array" ref="Y1327">INDEX(xlRTTYNAME,MATCH(1,(xlRTTYENDU=2)*(xlRTTYEQCL=$F1327)*(xlRTEQTYPE=$G1327),0))</f>
        <v>CENT_AIR3</v>
      </c>
    </row>
    <row r="1328" spans="2:25" ht="14.25" customHeight="1" x14ac:dyDescent="0.2">
      <c r="B1328" s="5">
        <v>1</v>
      </c>
      <c r="C1328" s="5">
        <v>2</v>
      </c>
      <c r="D1328" s="5">
        <v>6</v>
      </c>
      <c r="E1328" s="5">
        <v>20</v>
      </c>
      <c r="F1328" s="5">
        <v>2</v>
      </c>
      <c r="G1328" s="31">
        <v>6</v>
      </c>
      <c r="H1328" s="5">
        <v>2023</v>
      </c>
      <c r="I1328" s="31">
        <v>2028</v>
      </c>
      <c r="J1328" s="142">
        <v>1.1042000000000001</v>
      </c>
      <c r="K1328" s="142">
        <v>1.0417000000000001</v>
      </c>
      <c r="L1328" s="142">
        <v>0.89459999999999995</v>
      </c>
      <c r="M1328" s="142">
        <v>1.1228</v>
      </c>
      <c r="N1328" s="142">
        <v>1.1127</v>
      </c>
      <c r="O1328" s="142">
        <v>1.0538000000000001</v>
      </c>
      <c r="P1328" s="26">
        <v>4871.2476032077293</v>
      </c>
      <c r="Q1328" s="35">
        <f t="array" ref="Q1328">SUM(IF(($S1328&gt;=4)*($C1328='TaxCred&amp;Subs'!$D$114:$D$121)*($H1328='TaxCred&amp;Subs'!$C$114:$C$121)*($H1328&lt;='TaxCred&amp;Subs'!$C$123),'TaxCred&amp;Subs'!$E$114:$E$121,0))</f>
        <v>500</v>
      </c>
      <c r="R1328" s="143">
        <v>0</v>
      </c>
      <c r="S1328" s="5">
        <v>4</v>
      </c>
      <c r="T1328" s="5" t="s">
        <v>240</v>
      </c>
      <c r="V1328" s="7" t="str">
        <f t="array" ref="V1328">INDEX(xlRTCLNAME,MATCH(1,(xlRTCLENDU=1)*(xlRTCLEQCL=$D1328),0))</f>
        <v>LPG_FA</v>
      </c>
      <c r="W1328" s="7" t="str">
        <f t="array" ref="W1328">INDEX(xlRTCLNAME,MATCH(1,(xlRTCLENDU=2)*(xlRTCLEQCL=$F1328),0))</f>
        <v>CENT_AIR</v>
      </c>
      <c r="X1328" s="7" t="str">
        <f t="array" ref="X1328">INDEX(xlRTTYNAME,MATCH(1,(xlRTTYENDU=1)*(xlRTTYEQCL=$D1328)*(xlRTEQTYPE=$E1328),0))</f>
        <v>LPG_FA3</v>
      </c>
      <c r="Y1328" s="7" t="str">
        <f t="array" ref="Y1328">INDEX(xlRTTYNAME,MATCH(1,(xlRTTYENDU=2)*(xlRTTYEQCL=$F1328)*(xlRTEQTYPE=$G1328),0))</f>
        <v>CENT_AIR3</v>
      </c>
    </row>
    <row r="1329" spans="2:25" ht="14.25" customHeight="1" x14ac:dyDescent="0.2">
      <c r="B1329" s="152">
        <v>1</v>
      </c>
      <c r="C1329" s="152">
        <v>2</v>
      </c>
      <c r="D1329" s="152">
        <v>6</v>
      </c>
      <c r="E1329" s="152">
        <v>21</v>
      </c>
      <c r="F1329" s="152">
        <v>2</v>
      </c>
      <c r="G1329" s="152">
        <v>6</v>
      </c>
      <c r="H1329" s="152">
        <v>2029</v>
      </c>
      <c r="I1329" s="152">
        <v>2032</v>
      </c>
      <c r="J1329" s="229">
        <v>1.1042000000000001</v>
      </c>
      <c r="K1329" s="229">
        <v>1.0417000000000001</v>
      </c>
      <c r="L1329" s="229">
        <v>0.89459999999999995</v>
      </c>
      <c r="M1329" s="229">
        <v>1.1228</v>
      </c>
      <c r="N1329" s="229">
        <v>1.1127</v>
      </c>
      <c r="O1329" s="229">
        <v>1.0538000000000001</v>
      </c>
      <c r="P1329" s="155">
        <v>4871.2476032077293</v>
      </c>
      <c r="Q1329" s="41">
        <f t="array" ref="Q1329">SUM(IF(($S1329&gt;=4)*($C1329='TaxCred&amp;Subs'!$D$114:$D$121)*($H1329='TaxCred&amp;Subs'!$C$114:$C$121)*($H1329&lt;='TaxCred&amp;Subs'!$C$123),'TaxCred&amp;Subs'!$E$114:$E$121,0))</f>
        <v>500</v>
      </c>
      <c r="R1329" s="230">
        <v>0</v>
      </c>
      <c r="S1329" s="152">
        <v>4</v>
      </c>
      <c r="T1329" s="152" t="s">
        <v>240</v>
      </c>
      <c r="V1329" s="7" t="str">
        <f t="array" ref="V1329">INDEX(xlRTCLNAME,MATCH(1,(xlRTCLENDU=1)*(xlRTCLEQCL=$D1329),0))</f>
        <v>LPG_FA</v>
      </c>
      <c r="W1329" s="7" t="str">
        <f t="array" ref="W1329">INDEX(xlRTCLNAME,MATCH(1,(xlRTCLENDU=2)*(xlRTCLEQCL=$F1329),0))</f>
        <v>CENT_AIR</v>
      </c>
      <c r="X1329" s="7" t="str">
        <f t="array" ref="X1329">INDEX(xlRTTYNAME,MATCH(1,(xlRTTYENDU=1)*(xlRTTYEQCL=$D1329)*(xlRTEQTYPE=$E1329),0))</f>
        <v>LPG_FA4</v>
      </c>
      <c r="Y1329" s="7" t="str">
        <f t="array" ref="Y1329">INDEX(xlRTTYNAME,MATCH(1,(xlRTTYENDU=2)*(xlRTTYEQCL=$F1329)*(xlRTEQTYPE=$G1329),0))</f>
        <v>CENT_AIR3</v>
      </c>
    </row>
    <row r="1330" spans="2:25" ht="14.25" customHeight="1" x14ac:dyDescent="0.2">
      <c r="B1330" s="5">
        <v>1</v>
      </c>
      <c r="C1330" s="5">
        <v>2</v>
      </c>
      <c r="D1330" s="5">
        <v>6</v>
      </c>
      <c r="E1330" s="31">
        <v>21</v>
      </c>
      <c r="F1330" s="5">
        <v>2</v>
      </c>
      <c r="G1330" s="31">
        <v>6</v>
      </c>
      <c r="H1330" s="5">
        <v>2033</v>
      </c>
      <c r="I1330" s="5">
        <v>2050</v>
      </c>
      <c r="J1330" s="142">
        <v>1.1042000000000001</v>
      </c>
      <c r="K1330" s="142">
        <v>1.0417000000000001</v>
      </c>
      <c r="L1330" s="142">
        <v>0.89459999999999995</v>
      </c>
      <c r="M1330" s="142">
        <v>1.1228</v>
      </c>
      <c r="N1330" s="142">
        <v>1.1127</v>
      </c>
      <c r="O1330" s="142">
        <v>1.0538000000000001</v>
      </c>
      <c r="P1330" s="26">
        <v>4871.2476032077293</v>
      </c>
      <c r="Q1330" s="35">
        <f t="array" ref="Q1330">SUM(IF(($S1330&gt;=4)*($C1330='TaxCred&amp;Subs'!$D$114:$D$121)*($H1330='TaxCred&amp;Subs'!$C$114:$C$121)*($H1330&lt;='TaxCred&amp;Subs'!$C$123),'TaxCred&amp;Subs'!$E$114:$E$121,0))</f>
        <v>0</v>
      </c>
      <c r="R1330" s="143">
        <v>0</v>
      </c>
      <c r="S1330" s="5">
        <v>4</v>
      </c>
      <c r="T1330" s="5" t="s">
        <v>240</v>
      </c>
      <c r="V1330" s="7" t="str">
        <f t="array" ref="V1330">INDEX(xlRTCLNAME,MATCH(1,(xlRTCLENDU=1)*(xlRTCLEQCL=$D1330),0))</f>
        <v>LPG_FA</v>
      </c>
      <c r="W1330" s="7" t="str">
        <f t="array" ref="W1330">INDEX(xlRTCLNAME,MATCH(1,(xlRTCLENDU=2)*(xlRTCLEQCL=$F1330),0))</f>
        <v>CENT_AIR</v>
      </c>
      <c r="X1330" s="7" t="str">
        <f t="array" ref="X1330">INDEX(xlRTTYNAME,MATCH(1,(xlRTTYENDU=1)*(xlRTTYEQCL=$D1330)*(xlRTEQTYPE=$E1330),0))</f>
        <v>LPG_FA4</v>
      </c>
      <c r="Y1330" s="7" t="str">
        <f t="array" ref="Y1330">INDEX(xlRTTYNAME,MATCH(1,(xlRTTYENDU=2)*(xlRTTYEQCL=$F1330)*(xlRTEQTYPE=$G1330),0))</f>
        <v>CENT_AIR3</v>
      </c>
    </row>
    <row r="1331" spans="2:25" ht="14.25" customHeight="1" x14ac:dyDescent="0.2">
      <c r="B1331" s="5">
        <v>2</v>
      </c>
      <c r="C1331" s="5">
        <v>2</v>
      </c>
      <c r="D1331" s="5">
        <v>6</v>
      </c>
      <c r="E1331" s="5">
        <v>20</v>
      </c>
      <c r="F1331" s="5">
        <v>2</v>
      </c>
      <c r="G1331" s="31">
        <v>6</v>
      </c>
      <c r="H1331" s="31">
        <v>2020</v>
      </c>
      <c r="I1331" s="5">
        <v>2022</v>
      </c>
      <c r="J1331" s="142">
        <v>1.0847</v>
      </c>
      <c r="K1331" s="142">
        <v>1.0357000000000001</v>
      </c>
      <c r="L1331" s="142">
        <v>0.91410000000000002</v>
      </c>
      <c r="M1331" s="142">
        <v>1.1625000000000001</v>
      </c>
      <c r="N1331" s="142">
        <v>1.1162000000000001</v>
      </c>
      <c r="O1331" s="142">
        <v>1.0538000000000001</v>
      </c>
      <c r="P1331" s="26">
        <v>3979.8213926290036</v>
      </c>
      <c r="Q1331" s="35">
        <f t="array" ref="Q1331">SUM(IF(($S1331&gt;=4)*($C1331='TaxCred&amp;Subs'!$D$114:$D$121)*($H1331='TaxCred&amp;Subs'!$C$114:$C$121)*($H1331&lt;='TaxCred&amp;Subs'!$C$123),'TaxCred&amp;Subs'!$E$114:$E$121,0))</f>
        <v>0</v>
      </c>
      <c r="R1331" s="143">
        <v>0</v>
      </c>
      <c r="S1331" s="5">
        <v>4</v>
      </c>
      <c r="T1331" s="5" t="s">
        <v>240</v>
      </c>
      <c r="V1331" s="7" t="str">
        <f t="array" ref="V1331">INDEX(xlRTCLNAME,MATCH(1,(xlRTCLENDU=1)*(xlRTCLEQCL=$D1331),0))</f>
        <v>LPG_FA</v>
      </c>
      <c r="W1331" s="7" t="str">
        <f t="array" ref="W1331">INDEX(xlRTCLNAME,MATCH(1,(xlRTCLENDU=2)*(xlRTCLEQCL=$F1331),0))</f>
        <v>CENT_AIR</v>
      </c>
      <c r="X1331" s="7" t="str">
        <f t="array" ref="X1331">INDEX(xlRTTYNAME,MATCH(1,(xlRTTYENDU=1)*(xlRTTYEQCL=$D1331)*(xlRTEQTYPE=$E1331),0))</f>
        <v>LPG_FA3</v>
      </c>
      <c r="Y1331" s="7" t="str">
        <f t="array" ref="Y1331">INDEX(xlRTTYNAME,MATCH(1,(xlRTTYENDU=2)*(xlRTTYEQCL=$F1331)*(xlRTEQTYPE=$G1331),0))</f>
        <v>CENT_AIR3</v>
      </c>
    </row>
    <row r="1332" spans="2:25" ht="14.25" customHeight="1" x14ac:dyDescent="0.2">
      <c r="B1332" s="5">
        <v>2</v>
      </c>
      <c r="C1332" s="5">
        <v>2</v>
      </c>
      <c r="D1332" s="5">
        <v>6</v>
      </c>
      <c r="E1332" s="5">
        <v>20</v>
      </c>
      <c r="F1332" s="5">
        <v>2</v>
      </c>
      <c r="G1332" s="31">
        <v>6</v>
      </c>
      <c r="H1332" s="5">
        <v>2023</v>
      </c>
      <c r="I1332" s="31">
        <v>2028</v>
      </c>
      <c r="J1332" s="142">
        <v>1.0847</v>
      </c>
      <c r="K1332" s="142">
        <v>1.0357000000000001</v>
      </c>
      <c r="L1332" s="142">
        <v>0.91410000000000002</v>
      </c>
      <c r="M1332" s="142">
        <v>1.1625000000000001</v>
      </c>
      <c r="N1332" s="142">
        <v>1.1162000000000001</v>
      </c>
      <c r="O1332" s="142">
        <v>1.0538000000000001</v>
      </c>
      <c r="P1332" s="26">
        <v>3979.8213926290036</v>
      </c>
      <c r="Q1332" s="35">
        <f t="array" ref="Q1332">SUM(IF(($S1332&gt;=4)*($C1332='TaxCred&amp;Subs'!$D$114:$D$121)*($H1332='TaxCred&amp;Subs'!$C$114:$C$121)*($H1332&lt;='TaxCred&amp;Subs'!$C$123),'TaxCred&amp;Subs'!$E$114:$E$121,0))</f>
        <v>500</v>
      </c>
      <c r="R1332" s="143">
        <v>0</v>
      </c>
      <c r="S1332" s="5">
        <v>4</v>
      </c>
      <c r="T1332" s="5" t="s">
        <v>240</v>
      </c>
      <c r="V1332" s="7" t="str">
        <f t="array" ref="V1332">INDEX(xlRTCLNAME,MATCH(1,(xlRTCLENDU=1)*(xlRTCLEQCL=$D1332),0))</f>
        <v>LPG_FA</v>
      </c>
      <c r="W1332" s="7" t="str">
        <f t="array" ref="W1332">INDEX(xlRTCLNAME,MATCH(1,(xlRTCLENDU=2)*(xlRTCLEQCL=$F1332),0))</f>
        <v>CENT_AIR</v>
      </c>
      <c r="X1332" s="7" t="str">
        <f t="array" ref="X1332">INDEX(xlRTTYNAME,MATCH(1,(xlRTTYENDU=1)*(xlRTTYEQCL=$D1332)*(xlRTEQTYPE=$E1332),0))</f>
        <v>LPG_FA3</v>
      </c>
      <c r="Y1332" s="7" t="str">
        <f t="array" ref="Y1332">INDEX(xlRTTYNAME,MATCH(1,(xlRTTYENDU=2)*(xlRTTYEQCL=$F1332)*(xlRTEQTYPE=$G1332),0))</f>
        <v>CENT_AIR3</v>
      </c>
    </row>
    <row r="1333" spans="2:25" ht="14.25" customHeight="1" x14ac:dyDescent="0.2">
      <c r="B1333" s="152">
        <v>2</v>
      </c>
      <c r="C1333" s="152">
        <v>2</v>
      </c>
      <c r="D1333" s="152">
        <v>6</v>
      </c>
      <c r="E1333" s="152">
        <v>21</v>
      </c>
      <c r="F1333" s="152">
        <v>2</v>
      </c>
      <c r="G1333" s="152">
        <v>6</v>
      </c>
      <c r="H1333" s="152">
        <v>2029</v>
      </c>
      <c r="I1333" s="152">
        <v>2032</v>
      </c>
      <c r="J1333" s="229">
        <v>1.0847</v>
      </c>
      <c r="K1333" s="229">
        <v>1.0357000000000001</v>
      </c>
      <c r="L1333" s="229">
        <v>0.91410000000000002</v>
      </c>
      <c r="M1333" s="229">
        <v>1.1625000000000001</v>
      </c>
      <c r="N1333" s="229">
        <v>1.1162000000000001</v>
      </c>
      <c r="O1333" s="229">
        <v>1.0538000000000001</v>
      </c>
      <c r="P1333" s="155">
        <v>3979.8213926290036</v>
      </c>
      <c r="Q1333" s="41">
        <f t="array" ref="Q1333">SUM(IF(($S1333&gt;=4)*($C1333='TaxCred&amp;Subs'!$D$114:$D$121)*($H1333='TaxCred&amp;Subs'!$C$114:$C$121)*($H1333&lt;='TaxCred&amp;Subs'!$C$123),'TaxCred&amp;Subs'!$E$114:$E$121,0))</f>
        <v>500</v>
      </c>
      <c r="R1333" s="230">
        <v>0</v>
      </c>
      <c r="S1333" s="152">
        <v>4</v>
      </c>
      <c r="T1333" s="152" t="s">
        <v>240</v>
      </c>
      <c r="V1333" s="7" t="str">
        <f t="array" ref="V1333">INDEX(xlRTCLNAME,MATCH(1,(xlRTCLENDU=1)*(xlRTCLEQCL=$D1333),0))</f>
        <v>LPG_FA</v>
      </c>
      <c r="W1333" s="7" t="str">
        <f t="array" ref="W1333">INDEX(xlRTCLNAME,MATCH(1,(xlRTCLENDU=2)*(xlRTCLEQCL=$F1333),0))</f>
        <v>CENT_AIR</v>
      </c>
      <c r="X1333" s="7" t="str">
        <f t="array" ref="X1333">INDEX(xlRTTYNAME,MATCH(1,(xlRTTYENDU=1)*(xlRTTYEQCL=$D1333)*(xlRTEQTYPE=$E1333),0))</f>
        <v>LPG_FA4</v>
      </c>
      <c r="Y1333" s="7" t="str">
        <f t="array" ref="Y1333">INDEX(xlRTTYNAME,MATCH(1,(xlRTTYENDU=2)*(xlRTTYEQCL=$F1333)*(xlRTEQTYPE=$G1333),0))</f>
        <v>CENT_AIR3</v>
      </c>
    </row>
    <row r="1334" spans="2:25" ht="14.25" customHeight="1" x14ac:dyDescent="0.2">
      <c r="B1334" s="5">
        <v>2</v>
      </c>
      <c r="C1334" s="5">
        <v>2</v>
      </c>
      <c r="D1334" s="5">
        <v>6</v>
      </c>
      <c r="E1334" s="31">
        <v>21</v>
      </c>
      <c r="F1334" s="5">
        <v>2</v>
      </c>
      <c r="G1334" s="31">
        <v>6</v>
      </c>
      <c r="H1334" s="5">
        <v>2033</v>
      </c>
      <c r="I1334" s="5">
        <v>2050</v>
      </c>
      <c r="J1334" s="142">
        <v>1.0847</v>
      </c>
      <c r="K1334" s="142">
        <v>1.0357000000000001</v>
      </c>
      <c r="L1334" s="142">
        <v>0.91410000000000002</v>
      </c>
      <c r="M1334" s="142">
        <v>1.1625000000000001</v>
      </c>
      <c r="N1334" s="142">
        <v>1.1162000000000001</v>
      </c>
      <c r="O1334" s="142">
        <v>1.0538000000000001</v>
      </c>
      <c r="P1334" s="26">
        <v>3979.8213926290036</v>
      </c>
      <c r="Q1334" s="35">
        <f t="array" ref="Q1334">SUM(IF(($S1334&gt;=4)*($C1334='TaxCred&amp;Subs'!$D$114:$D$121)*($H1334='TaxCred&amp;Subs'!$C$114:$C$121)*($H1334&lt;='TaxCred&amp;Subs'!$C$123),'TaxCred&amp;Subs'!$E$114:$E$121,0))</f>
        <v>0</v>
      </c>
      <c r="R1334" s="143">
        <v>0</v>
      </c>
      <c r="S1334" s="5">
        <v>4</v>
      </c>
      <c r="T1334" s="5" t="s">
        <v>240</v>
      </c>
      <c r="V1334" s="7" t="str">
        <f t="array" ref="V1334">INDEX(xlRTCLNAME,MATCH(1,(xlRTCLENDU=1)*(xlRTCLEQCL=$D1334),0))</f>
        <v>LPG_FA</v>
      </c>
      <c r="W1334" s="7" t="str">
        <f t="array" ref="W1334">INDEX(xlRTCLNAME,MATCH(1,(xlRTCLENDU=2)*(xlRTCLEQCL=$F1334),0))</f>
        <v>CENT_AIR</v>
      </c>
      <c r="X1334" s="7" t="str">
        <f t="array" ref="X1334">INDEX(xlRTTYNAME,MATCH(1,(xlRTTYENDU=1)*(xlRTTYEQCL=$D1334)*(xlRTEQTYPE=$E1334),0))</f>
        <v>LPG_FA4</v>
      </c>
      <c r="Y1334" s="7" t="str">
        <f t="array" ref="Y1334">INDEX(xlRTTYNAME,MATCH(1,(xlRTTYENDU=2)*(xlRTTYEQCL=$F1334)*(xlRTEQTYPE=$G1334),0))</f>
        <v>CENT_AIR3</v>
      </c>
    </row>
    <row r="1335" spans="2:25" ht="14.25" customHeight="1" x14ac:dyDescent="0.2">
      <c r="B1335" s="5">
        <v>3</v>
      </c>
      <c r="C1335" s="5">
        <v>2</v>
      </c>
      <c r="D1335" s="5">
        <v>6</v>
      </c>
      <c r="E1335" s="5">
        <v>20</v>
      </c>
      <c r="F1335" s="5">
        <v>2</v>
      </c>
      <c r="G1335" s="31">
        <v>6</v>
      </c>
      <c r="H1335" s="31">
        <v>2020</v>
      </c>
      <c r="I1335" s="5">
        <v>2022</v>
      </c>
      <c r="J1335" s="142">
        <v>1.0984</v>
      </c>
      <c r="K1335" s="142">
        <v>1.0345</v>
      </c>
      <c r="L1335" s="142">
        <v>0.81459999999999999</v>
      </c>
      <c r="M1335" s="142">
        <v>1.0654999999999999</v>
      </c>
      <c r="N1335" s="142">
        <v>1.0399</v>
      </c>
      <c r="O1335" s="142">
        <v>1.0538000000000001</v>
      </c>
      <c r="P1335" s="26">
        <v>4091.4177357331278</v>
      </c>
      <c r="Q1335" s="35">
        <f t="array" ref="Q1335">SUM(IF(($S1335&gt;=4)*($C1335='TaxCred&amp;Subs'!$D$114:$D$121)*($H1335='TaxCred&amp;Subs'!$C$114:$C$121)*($H1335&lt;='TaxCred&amp;Subs'!$C$123),'TaxCred&amp;Subs'!$E$114:$E$121,0))</f>
        <v>0</v>
      </c>
      <c r="R1335" s="143">
        <v>0</v>
      </c>
      <c r="S1335" s="5">
        <v>4</v>
      </c>
      <c r="T1335" s="5" t="s">
        <v>240</v>
      </c>
      <c r="V1335" s="7" t="str">
        <f t="array" ref="V1335">INDEX(xlRTCLNAME,MATCH(1,(xlRTCLENDU=1)*(xlRTCLEQCL=$D1335),0))</f>
        <v>LPG_FA</v>
      </c>
      <c r="W1335" s="7" t="str">
        <f t="array" ref="W1335">INDEX(xlRTCLNAME,MATCH(1,(xlRTCLENDU=2)*(xlRTCLEQCL=$F1335),0))</f>
        <v>CENT_AIR</v>
      </c>
      <c r="X1335" s="7" t="str">
        <f t="array" ref="X1335">INDEX(xlRTTYNAME,MATCH(1,(xlRTTYENDU=1)*(xlRTTYEQCL=$D1335)*(xlRTEQTYPE=$E1335),0))</f>
        <v>LPG_FA3</v>
      </c>
      <c r="Y1335" s="7" t="str">
        <f t="array" ref="Y1335">INDEX(xlRTTYNAME,MATCH(1,(xlRTTYENDU=2)*(xlRTTYEQCL=$F1335)*(xlRTEQTYPE=$G1335),0))</f>
        <v>CENT_AIR3</v>
      </c>
    </row>
    <row r="1336" spans="2:25" ht="14.25" customHeight="1" x14ac:dyDescent="0.2">
      <c r="B1336" s="5">
        <v>3</v>
      </c>
      <c r="C1336" s="5">
        <v>2</v>
      </c>
      <c r="D1336" s="5">
        <v>6</v>
      </c>
      <c r="E1336" s="5">
        <v>20</v>
      </c>
      <c r="F1336" s="5">
        <v>2</v>
      </c>
      <c r="G1336" s="31">
        <v>6</v>
      </c>
      <c r="H1336" s="5">
        <v>2023</v>
      </c>
      <c r="I1336" s="31">
        <v>2028</v>
      </c>
      <c r="J1336" s="142">
        <v>1.0984</v>
      </c>
      <c r="K1336" s="142">
        <v>1.0345</v>
      </c>
      <c r="L1336" s="142">
        <v>0.81459999999999999</v>
      </c>
      <c r="M1336" s="142">
        <v>1.0654999999999999</v>
      </c>
      <c r="N1336" s="142">
        <v>1.0399</v>
      </c>
      <c r="O1336" s="142">
        <v>1.0538000000000001</v>
      </c>
      <c r="P1336" s="26">
        <v>4091.4177357331278</v>
      </c>
      <c r="Q1336" s="35">
        <f t="array" ref="Q1336">SUM(IF(($S1336&gt;=4)*($C1336='TaxCred&amp;Subs'!$D$114:$D$121)*($H1336='TaxCred&amp;Subs'!$C$114:$C$121)*($H1336&lt;='TaxCred&amp;Subs'!$C$123),'TaxCred&amp;Subs'!$E$114:$E$121,0))</f>
        <v>500</v>
      </c>
      <c r="R1336" s="143">
        <v>0</v>
      </c>
      <c r="S1336" s="5">
        <v>4</v>
      </c>
      <c r="T1336" s="5" t="s">
        <v>240</v>
      </c>
      <c r="V1336" s="7" t="str">
        <f t="array" ref="V1336">INDEX(xlRTCLNAME,MATCH(1,(xlRTCLENDU=1)*(xlRTCLEQCL=$D1336),0))</f>
        <v>LPG_FA</v>
      </c>
      <c r="W1336" s="7" t="str">
        <f t="array" ref="W1336">INDEX(xlRTCLNAME,MATCH(1,(xlRTCLENDU=2)*(xlRTCLEQCL=$F1336),0))</f>
        <v>CENT_AIR</v>
      </c>
      <c r="X1336" s="7" t="str">
        <f t="array" ref="X1336">INDEX(xlRTTYNAME,MATCH(1,(xlRTTYENDU=1)*(xlRTTYEQCL=$D1336)*(xlRTEQTYPE=$E1336),0))</f>
        <v>LPG_FA3</v>
      </c>
      <c r="Y1336" s="7" t="str">
        <f t="array" ref="Y1336">INDEX(xlRTTYNAME,MATCH(1,(xlRTTYENDU=2)*(xlRTTYEQCL=$F1336)*(xlRTEQTYPE=$G1336),0))</f>
        <v>CENT_AIR3</v>
      </c>
    </row>
    <row r="1337" spans="2:25" ht="14.25" customHeight="1" x14ac:dyDescent="0.2">
      <c r="B1337" s="152">
        <v>3</v>
      </c>
      <c r="C1337" s="152">
        <v>2</v>
      </c>
      <c r="D1337" s="152">
        <v>6</v>
      </c>
      <c r="E1337" s="152">
        <v>21</v>
      </c>
      <c r="F1337" s="152">
        <v>2</v>
      </c>
      <c r="G1337" s="152">
        <v>6</v>
      </c>
      <c r="H1337" s="152">
        <v>2029</v>
      </c>
      <c r="I1337" s="152">
        <v>2032</v>
      </c>
      <c r="J1337" s="229">
        <v>1.0984</v>
      </c>
      <c r="K1337" s="229">
        <v>1.0345</v>
      </c>
      <c r="L1337" s="229">
        <v>0.81459999999999999</v>
      </c>
      <c r="M1337" s="229">
        <v>1.0654999999999999</v>
      </c>
      <c r="N1337" s="229">
        <v>1.0399</v>
      </c>
      <c r="O1337" s="229">
        <v>1.0538000000000001</v>
      </c>
      <c r="P1337" s="155">
        <v>4091.4177357331278</v>
      </c>
      <c r="Q1337" s="41">
        <f t="array" ref="Q1337">SUM(IF(($S1337&gt;=4)*($C1337='TaxCred&amp;Subs'!$D$114:$D$121)*($H1337='TaxCred&amp;Subs'!$C$114:$C$121)*($H1337&lt;='TaxCred&amp;Subs'!$C$123),'TaxCred&amp;Subs'!$E$114:$E$121,0))</f>
        <v>500</v>
      </c>
      <c r="R1337" s="230">
        <v>0</v>
      </c>
      <c r="S1337" s="152">
        <v>4</v>
      </c>
      <c r="T1337" s="152" t="s">
        <v>240</v>
      </c>
      <c r="V1337" s="7" t="str">
        <f t="array" ref="V1337">INDEX(xlRTCLNAME,MATCH(1,(xlRTCLENDU=1)*(xlRTCLEQCL=$D1337),0))</f>
        <v>LPG_FA</v>
      </c>
      <c r="W1337" s="7" t="str">
        <f t="array" ref="W1337">INDEX(xlRTCLNAME,MATCH(1,(xlRTCLENDU=2)*(xlRTCLEQCL=$F1337),0))</f>
        <v>CENT_AIR</v>
      </c>
      <c r="X1337" s="7" t="str">
        <f t="array" ref="X1337">INDEX(xlRTTYNAME,MATCH(1,(xlRTTYENDU=1)*(xlRTTYEQCL=$D1337)*(xlRTEQTYPE=$E1337),0))</f>
        <v>LPG_FA4</v>
      </c>
      <c r="Y1337" s="7" t="str">
        <f t="array" ref="Y1337">INDEX(xlRTTYNAME,MATCH(1,(xlRTTYENDU=2)*(xlRTTYEQCL=$F1337)*(xlRTEQTYPE=$G1337),0))</f>
        <v>CENT_AIR3</v>
      </c>
    </row>
    <row r="1338" spans="2:25" ht="14.25" customHeight="1" x14ac:dyDescent="0.2">
      <c r="B1338" s="5">
        <v>3</v>
      </c>
      <c r="C1338" s="5">
        <v>2</v>
      </c>
      <c r="D1338" s="5">
        <v>6</v>
      </c>
      <c r="E1338" s="31">
        <v>21</v>
      </c>
      <c r="F1338" s="5">
        <v>2</v>
      </c>
      <c r="G1338" s="31">
        <v>6</v>
      </c>
      <c r="H1338" s="5">
        <v>2033</v>
      </c>
      <c r="I1338" s="5">
        <v>2050</v>
      </c>
      <c r="J1338" s="142">
        <v>1.0984</v>
      </c>
      <c r="K1338" s="142">
        <v>1.0345</v>
      </c>
      <c r="L1338" s="142">
        <v>0.81459999999999999</v>
      </c>
      <c r="M1338" s="142">
        <v>1.0654999999999999</v>
      </c>
      <c r="N1338" s="142">
        <v>1.0399</v>
      </c>
      <c r="O1338" s="142">
        <v>1.0538000000000001</v>
      </c>
      <c r="P1338" s="26">
        <v>4091.4177357331278</v>
      </c>
      <c r="Q1338" s="35">
        <f t="array" ref="Q1338">SUM(IF(($S1338&gt;=4)*($C1338='TaxCred&amp;Subs'!$D$114:$D$121)*($H1338='TaxCred&amp;Subs'!$C$114:$C$121)*($H1338&lt;='TaxCred&amp;Subs'!$C$123),'TaxCred&amp;Subs'!$E$114:$E$121,0))</f>
        <v>0</v>
      </c>
      <c r="R1338" s="143">
        <v>0</v>
      </c>
      <c r="S1338" s="5">
        <v>4</v>
      </c>
      <c r="T1338" s="5" t="s">
        <v>240</v>
      </c>
      <c r="V1338" s="7" t="str">
        <f t="array" ref="V1338">INDEX(xlRTCLNAME,MATCH(1,(xlRTCLENDU=1)*(xlRTCLEQCL=$D1338),0))</f>
        <v>LPG_FA</v>
      </c>
      <c r="W1338" s="7" t="str">
        <f t="array" ref="W1338">INDEX(xlRTCLNAME,MATCH(1,(xlRTCLENDU=2)*(xlRTCLEQCL=$F1338),0))</f>
        <v>CENT_AIR</v>
      </c>
      <c r="X1338" s="7" t="str">
        <f t="array" ref="X1338">INDEX(xlRTTYNAME,MATCH(1,(xlRTTYENDU=1)*(xlRTTYEQCL=$D1338)*(xlRTEQTYPE=$E1338),0))</f>
        <v>LPG_FA4</v>
      </c>
      <c r="Y1338" s="7" t="str">
        <f t="array" ref="Y1338">INDEX(xlRTTYNAME,MATCH(1,(xlRTTYENDU=2)*(xlRTTYEQCL=$F1338)*(xlRTEQTYPE=$G1338),0))</f>
        <v>CENT_AIR3</v>
      </c>
    </row>
    <row r="1339" spans="2:25" ht="14.25" customHeight="1" x14ac:dyDescent="0.2">
      <c r="B1339" s="5">
        <v>4</v>
      </c>
      <c r="C1339" s="5">
        <v>2</v>
      </c>
      <c r="D1339" s="5">
        <v>6</v>
      </c>
      <c r="E1339" s="5">
        <v>20</v>
      </c>
      <c r="F1339" s="5">
        <v>2</v>
      </c>
      <c r="G1339" s="31">
        <v>6</v>
      </c>
      <c r="H1339" s="31">
        <v>2020</v>
      </c>
      <c r="I1339" s="5">
        <v>2022</v>
      </c>
      <c r="J1339" s="142">
        <v>1.1000000000000001</v>
      </c>
      <c r="K1339" s="142">
        <v>1.0435000000000001</v>
      </c>
      <c r="L1339" s="142">
        <v>0.95930000000000004</v>
      </c>
      <c r="M1339" s="142">
        <v>1.1499999999999999</v>
      </c>
      <c r="N1339" s="142">
        <v>1.1696</v>
      </c>
      <c r="O1339" s="142">
        <v>1.0538000000000001</v>
      </c>
      <c r="P1339" s="26">
        <v>3588.5619246374358</v>
      </c>
      <c r="Q1339" s="35">
        <f t="array" ref="Q1339">SUM(IF(($S1339&gt;=4)*($C1339='TaxCred&amp;Subs'!$D$114:$D$121)*($H1339='TaxCred&amp;Subs'!$C$114:$C$121)*($H1339&lt;='TaxCred&amp;Subs'!$C$123),'TaxCred&amp;Subs'!$E$114:$E$121,0))</f>
        <v>0</v>
      </c>
      <c r="R1339" s="143">
        <v>0</v>
      </c>
      <c r="S1339" s="5">
        <v>4</v>
      </c>
      <c r="T1339" s="5" t="s">
        <v>240</v>
      </c>
      <c r="V1339" s="7" t="str">
        <f t="array" ref="V1339">INDEX(xlRTCLNAME,MATCH(1,(xlRTCLENDU=1)*(xlRTCLEQCL=$D1339),0))</f>
        <v>LPG_FA</v>
      </c>
      <c r="W1339" s="7" t="str">
        <f t="array" ref="W1339">INDEX(xlRTCLNAME,MATCH(1,(xlRTCLENDU=2)*(xlRTCLEQCL=$F1339),0))</f>
        <v>CENT_AIR</v>
      </c>
      <c r="X1339" s="7" t="str">
        <f t="array" ref="X1339">INDEX(xlRTTYNAME,MATCH(1,(xlRTTYENDU=1)*(xlRTTYEQCL=$D1339)*(xlRTEQTYPE=$E1339),0))</f>
        <v>LPG_FA3</v>
      </c>
      <c r="Y1339" s="7" t="str">
        <f t="array" ref="Y1339">INDEX(xlRTTYNAME,MATCH(1,(xlRTTYENDU=2)*(xlRTTYEQCL=$F1339)*(xlRTEQTYPE=$G1339),0))</f>
        <v>CENT_AIR3</v>
      </c>
    </row>
    <row r="1340" spans="2:25" ht="14.25" customHeight="1" x14ac:dyDescent="0.2">
      <c r="B1340" s="5">
        <v>4</v>
      </c>
      <c r="C1340" s="5">
        <v>2</v>
      </c>
      <c r="D1340" s="5">
        <v>6</v>
      </c>
      <c r="E1340" s="5">
        <v>20</v>
      </c>
      <c r="F1340" s="5">
        <v>2</v>
      </c>
      <c r="G1340" s="31">
        <v>6</v>
      </c>
      <c r="H1340" s="5">
        <v>2023</v>
      </c>
      <c r="I1340" s="31">
        <v>2028</v>
      </c>
      <c r="J1340" s="142">
        <v>1.1000000000000001</v>
      </c>
      <c r="K1340" s="142">
        <v>1.0435000000000001</v>
      </c>
      <c r="L1340" s="142">
        <v>0.95930000000000004</v>
      </c>
      <c r="M1340" s="142">
        <v>1.1499999999999999</v>
      </c>
      <c r="N1340" s="142">
        <v>1.1696</v>
      </c>
      <c r="O1340" s="142">
        <v>1.0538000000000001</v>
      </c>
      <c r="P1340" s="26">
        <v>3588.5619246374358</v>
      </c>
      <c r="Q1340" s="35">
        <f t="array" ref="Q1340">SUM(IF(($S1340&gt;=4)*($C1340='TaxCred&amp;Subs'!$D$114:$D$121)*($H1340='TaxCred&amp;Subs'!$C$114:$C$121)*($H1340&lt;='TaxCred&amp;Subs'!$C$123),'TaxCred&amp;Subs'!$E$114:$E$121,0))</f>
        <v>500</v>
      </c>
      <c r="R1340" s="143">
        <v>0</v>
      </c>
      <c r="S1340" s="5">
        <v>4</v>
      </c>
      <c r="T1340" s="5" t="s">
        <v>240</v>
      </c>
      <c r="V1340" s="7" t="str">
        <f t="array" ref="V1340">INDEX(xlRTCLNAME,MATCH(1,(xlRTCLENDU=1)*(xlRTCLEQCL=$D1340),0))</f>
        <v>LPG_FA</v>
      </c>
      <c r="W1340" s="7" t="str">
        <f t="array" ref="W1340">INDEX(xlRTCLNAME,MATCH(1,(xlRTCLENDU=2)*(xlRTCLEQCL=$F1340),0))</f>
        <v>CENT_AIR</v>
      </c>
      <c r="X1340" s="7" t="str">
        <f t="array" ref="X1340">INDEX(xlRTTYNAME,MATCH(1,(xlRTTYENDU=1)*(xlRTTYEQCL=$D1340)*(xlRTEQTYPE=$E1340),0))</f>
        <v>LPG_FA3</v>
      </c>
      <c r="Y1340" s="7" t="str">
        <f t="array" ref="Y1340">INDEX(xlRTTYNAME,MATCH(1,(xlRTTYENDU=2)*(xlRTTYEQCL=$F1340)*(xlRTEQTYPE=$G1340),0))</f>
        <v>CENT_AIR3</v>
      </c>
    </row>
    <row r="1341" spans="2:25" ht="14.25" customHeight="1" x14ac:dyDescent="0.2">
      <c r="B1341" s="152">
        <v>4</v>
      </c>
      <c r="C1341" s="152">
        <v>2</v>
      </c>
      <c r="D1341" s="152">
        <v>6</v>
      </c>
      <c r="E1341" s="152">
        <v>21</v>
      </c>
      <c r="F1341" s="152">
        <v>2</v>
      </c>
      <c r="G1341" s="152">
        <v>6</v>
      </c>
      <c r="H1341" s="152">
        <v>2029</v>
      </c>
      <c r="I1341" s="152">
        <v>2032</v>
      </c>
      <c r="J1341" s="229">
        <v>1.1000000000000001</v>
      </c>
      <c r="K1341" s="229">
        <v>1.0435000000000001</v>
      </c>
      <c r="L1341" s="229">
        <v>0.95930000000000004</v>
      </c>
      <c r="M1341" s="229">
        <v>1.1499999999999999</v>
      </c>
      <c r="N1341" s="229">
        <v>1.1696</v>
      </c>
      <c r="O1341" s="229">
        <v>1.0538000000000001</v>
      </c>
      <c r="P1341" s="155">
        <v>3588.5619246374358</v>
      </c>
      <c r="Q1341" s="41">
        <f t="array" ref="Q1341">SUM(IF(($S1341&gt;=4)*($C1341='TaxCred&amp;Subs'!$D$114:$D$121)*($H1341='TaxCred&amp;Subs'!$C$114:$C$121)*($H1341&lt;='TaxCred&amp;Subs'!$C$123),'TaxCred&amp;Subs'!$E$114:$E$121,0))</f>
        <v>500</v>
      </c>
      <c r="R1341" s="230">
        <v>0</v>
      </c>
      <c r="S1341" s="152">
        <v>4</v>
      </c>
      <c r="T1341" s="152" t="s">
        <v>240</v>
      </c>
      <c r="V1341" s="7" t="str">
        <f t="array" ref="V1341">INDEX(xlRTCLNAME,MATCH(1,(xlRTCLENDU=1)*(xlRTCLEQCL=$D1341),0))</f>
        <v>LPG_FA</v>
      </c>
      <c r="W1341" s="7" t="str">
        <f t="array" ref="W1341">INDEX(xlRTCLNAME,MATCH(1,(xlRTCLENDU=2)*(xlRTCLEQCL=$F1341),0))</f>
        <v>CENT_AIR</v>
      </c>
      <c r="X1341" s="7" t="str">
        <f t="array" ref="X1341">INDEX(xlRTTYNAME,MATCH(1,(xlRTTYENDU=1)*(xlRTTYEQCL=$D1341)*(xlRTEQTYPE=$E1341),0))</f>
        <v>LPG_FA4</v>
      </c>
      <c r="Y1341" s="7" t="str">
        <f t="array" ref="Y1341">INDEX(xlRTTYNAME,MATCH(1,(xlRTTYENDU=2)*(xlRTTYEQCL=$F1341)*(xlRTEQTYPE=$G1341),0))</f>
        <v>CENT_AIR3</v>
      </c>
    </row>
    <row r="1342" spans="2:25" ht="14.25" customHeight="1" x14ac:dyDescent="0.2">
      <c r="B1342" s="5">
        <v>4</v>
      </c>
      <c r="C1342" s="5">
        <v>2</v>
      </c>
      <c r="D1342" s="5">
        <v>6</v>
      </c>
      <c r="E1342" s="31">
        <v>21</v>
      </c>
      <c r="F1342" s="5">
        <v>2</v>
      </c>
      <c r="G1342" s="31">
        <v>6</v>
      </c>
      <c r="H1342" s="5">
        <v>2033</v>
      </c>
      <c r="I1342" s="5">
        <v>2050</v>
      </c>
      <c r="J1342" s="142">
        <v>1.1000000000000001</v>
      </c>
      <c r="K1342" s="142">
        <v>1.0435000000000001</v>
      </c>
      <c r="L1342" s="142">
        <v>0.95930000000000004</v>
      </c>
      <c r="M1342" s="142">
        <v>1.1499999999999999</v>
      </c>
      <c r="N1342" s="142">
        <v>1.1696</v>
      </c>
      <c r="O1342" s="142">
        <v>1.0538000000000001</v>
      </c>
      <c r="P1342" s="26">
        <v>3588.5619246374358</v>
      </c>
      <c r="Q1342" s="35">
        <f t="array" ref="Q1342">SUM(IF(($S1342&gt;=4)*($C1342='TaxCred&amp;Subs'!$D$114:$D$121)*($H1342='TaxCred&amp;Subs'!$C$114:$C$121)*($H1342&lt;='TaxCred&amp;Subs'!$C$123),'TaxCred&amp;Subs'!$E$114:$E$121,0))</f>
        <v>0</v>
      </c>
      <c r="R1342" s="143">
        <v>0</v>
      </c>
      <c r="S1342" s="5">
        <v>4</v>
      </c>
      <c r="T1342" s="5" t="s">
        <v>240</v>
      </c>
      <c r="V1342" s="7" t="str">
        <f t="array" ref="V1342">INDEX(xlRTCLNAME,MATCH(1,(xlRTCLENDU=1)*(xlRTCLEQCL=$D1342),0))</f>
        <v>LPG_FA</v>
      </c>
      <c r="W1342" s="7" t="str">
        <f t="array" ref="W1342">INDEX(xlRTCLNAME,MATCH(1,(xlRTCLENDU=2)*(xlRTCLEQCL=$F1342),0))</f>
        <v>CENT_AIR</v>
      </c>
      <c r="X1342" s="7" t="str">
        <f t="array" ref="X1342">INDEX(xlRTTYNAME,MATCH(1,(xlRTTYENDU=1)*(xlRTTYEQCL=$D1342)*(xlRTEQTYPE=$E1342),0))</f>
        <v>LPG_FA4</v>
      </c>
      <c r="Y1342" s="7" t="str">
        <f t="array" ref="Y1342">INDEX(xlRTTYNAME,MATCH(1,(xlRTTYENDU=2)*(xlRTTYEQCL=$F1342)*(xlRTEQTYPE=$G1342),0))</f>
        <v>CENT_AIR3</v>
      </c>
    </row>
    <row r="1343" spans="2:25" ht="14.25" customHeight="1" x14ac:dyDescent="0.2">
      <c r="B1343" s="5">
        <v>5</v>
      </c>
      <c r="C1343" s="5">
        <v>2</v>
      </c>
      <c r="D1343" s="5">
        <v>6</v>
      </c>
      <c r="E1343" s="5">
        <v>20</v>
      </c>
      <c r="F1343" s="5">
        <v>2</v>
      </c>
      <c r="G1343" s="31">
        <v>6</v>
      </c>
      <c r="H1343" s="31">
        <v>2020</v>
      </c>
      <c r="I1343" s="5">
        <v>2022</v>
      </c>
      <c r="J1343" s="142">
        <v>1.1200000000000001</v>
      </c>
      <c r="K1343" s="142">
        <v>1.0391999999999999</v>
      </c>
      <c r="L1343" s="142">
        <v>0.63129999999999997</v>
      </c>
      <c r="M1343" s="142">
        <v>1.0902000000000001</v>
      </c>
      <c r="N1343" s="142">
        <v>1.2750999999999999</v>
      </c>
      <c r="O1343" s="142">
        <v>1.0538000000000001</v>
      </c>
      <c r="P1343" s="26">
        <v>3025.2020720997493</v>
      </c>
      <c r="Q1343" s="35">
        <f t="array" ref="Q1343">SUM(IF(($S1343&gt;=4)*($C1343='TaxCred&amp;Subs'!$D$114:$D$121)*($H1343='TaxCred&amp;Subs'!$C$114:$C$121)*($H1343&lt;='TaxCred&amp;Subs'!$C$123),'TaxCred&amp;Subs'!$E$114:$E$121,0))</f>
        <v>0</v>
      </c>
      <c r="R1343" s="143">
        <v>0</v>
      </c>
      <c r="S1343" s="5">
        <v>4</v>
      </c>
      <c r="T1343" s="5" t="s">
        <v>240</v>
      </c>
      <c r="V1343" s="7" t="str">
        <f t="array" ref="V1343">INDEX(xlRTCLNAME,MATCH(1,(xlRTCLENDU=1)*(xlRTCLEQCL=$D1343),0))</f>
        <v>LPG_FA</v>
      </c>
      <c r="W1343" s="7" t="str">
        <f t="array" ref="W1343">INDEX(xlRTCLNAME,MATCH(1,(xlRTCLENDU=2)*(xlRTCLEQCL=$F1343),0))</f>
        <v>CENT_AIR</v>
      </c>
      <c r="X1343" s="7" t="str">
        <f t="array" ref="X1343">INDEX(xlRTTYNAME,MATCH(1,(xlRTTYENDU=1)*(xlRTTYEQCL=$D1343)*(xlRTEQTYPE=$E1343),0))</f>
        <v>LPG_FA3</v>
      </c>
      <c r="Y1343" s="7" t="str">
        <f t="array" ref="Y1343">INDEX(xlRTTYNAME,MATCH(1,(xlRTTYENDU=2)*(xlRTTYEQCL=$F1343)*(xlRTEQTYPE=$G1343),0))</f>
        <v>CENT_AIR3</v>
      </c>
    </row>
    <row r="1344" spans="2:25" ht="14.25" customHeight="1" x14ac:dyDescent="0.2">
      <c r="B1344" s="5">
        <v>5</v>
      </c>
      <c r="C1344" s="5">
        <v>2</v>
      </c>
      <c r="D1344" s="5">
        <v>6</v>
      </c>
      <c r="E1344" s="5">
        <v>20</v>
      </c>
      <c r="F1344" s="5">
        <v>2</v>
      </c>
      <c r="G1344" s="31">
        <v>6</v>
      </c>
      <c r="H1344" s="5">
        <v>2023</v>
      </c>
      <c r="I1344" s="31">
        <v>2028</v>
      </c>
      <c r="J1344" s="142">
        <v>1.1200000000000001</v>
      </c>
      <c r="K1344" s="142">
        <v>1.0391999999999999</v>
      </c>
      <c r="L1344" s="142">
        <v>0.63129999999999997</v>
      </c>
      <c r="M1344" s="142">
        <v>1.0902000000000001</v>
      </c>
      <c r="N1344" s="142">
        <v>1.2750999999999999</v>
      </c>
      <c r="O1344" s="142">
        <v>1.0538000000000001</v>
      </c>
      <c r="P1344" s="26">
        <v>3025.2020720997493</v>
      </c>
      <c r="Q1344" s="35">
        <f t="array" ref="Q1344">SUM(IF(($S1344&gt;=4)*($C1344='TaxCred&amp;Subs'!$D$114:$D$121)*($H1344='TaxCred&amp;Subs'!$C$114:$C$121)*($H1344&lt;='TaxCred&amp;Subs'!$C$123),'TaxCred&amp;Subs'!$E$114:$E$121,0))</f>
        <v>500</v>
      </c>
      <c r="R1344" s="143">
        <v>0</v>
      </c>
      <c r="S1344" s="5">
        <v>4</v>
      </c>
      <c r="T1344" s="5" t="s">
        <v>240</v>
      </c>
      <c r="V1344" s="7" t="str">
        <f t="array" ref="V1344">INDEX(xlRTCLNAME,MATCH(1,(xlRTCLENDU=1)*(xlRTCLEQCL=$D1344),0))</f>
        <v>LPG_FA</v>
      </c>
      <c r="W1344" s="7" t="str">
        <f t="array" ref="W1344">INDEX(xlRTCLNAME,MATCH(1,(xlRTCLENDU=2)*(xlRTCLEQCL=$F1344),0))</f>
        <v>CENT_AIR</v>
      </c>
      <c r="X1344" s="7" t="str">
        <f t="array" ref="X1344">INDEX(xlRTTYNAME,MATCH(1,(xlRTTYENDU=1)*(xlRTTYEQCL=$D1344)*(xlRTEQTYPE=$E1344),0))</f>
        <v>LPG_FA3</v>
      </c>
      <c r="Y1344" s="7" t="str">
        <f t="array" ref="Y1344">INDEX(xlRTTYNAME,MATCH(1,(xlRTTYENDU=2)*(xlRTTYEQCL=$F1344)*(xlRTEQTYPE=$G1344),0))</f>
        <v>CENT_AIR3</v>
      </c>
    </row>
    <row r="1345" spans="2:25" ht="14.25" customHeight="1" x14ac:dyDescent="0.2">
      <c r="B1345" s="152">
        <v>5</v>
      </c>
      <c r="C1345" s="152">
        <v>2</v>
      </c>
      <c r="D1345" s="152">
        <v>6</v>
      </c>
      <c r="E1345" s="152">
        <v>21</v>
      </c>
      <c r="F1345" s="152">
        <v>2</v>
      </c>
      <c r="G1345" s="152">
        <v>6</v>
      </c>
      <c r="H1345" s="152">
        <v>2029</v>
      </c>
      <c r="I1345" s="152">
        <v>2032</v>
      </c>
      <c r="J1345" s="229">
        <v>1.1200000000000001</v>
      </c>
      <c r="K1345" s="229">
        <v>1.0391999999999999</v>
      </c>
      <c r="L1345" s="229">
        <v>0.63129999999999997</v>
      </c>
      <c r="M1345" s="229">
        <v>1.0902000000000001</v>
      </c>
      <c r="N1345" s="229">
        <v>1.2750999999999999</v>
      </c>
      <c r="O1345" s="229">
        <v>1.0538000000000001</v>
      </c>
      <c r="P1345" s="155">
        <v>3025.2020720997493</v>
      </c>
      <c r="Q1345" s="41">
        <f t="array" ref="Q1345">SUM(IF(($S1345&gt;=4)*($C1345='TaxCred&amp;Subs'!$D$114:$D$121)*($H1345='TaxCred&amp;Subs'!$C$114:$C$121)*($H1345&lt;='TaxCred&amp;Subs'!$C$123),'TaxCred&amp;Subs'!$E$114:$E$121,0))</f>
        <v>500</v>
      </c>
      <c r="R1345" s="230">
        <v>0</v>
      </c>
      <c r="S1345" s="152">
        <v>4</v>
      </c>
      <c r="T1345" s="152" t="s">
        <v>240</v>
      </c>
      <c r="V1345" s="7" t="str">
        <f t="array" ref="V1345">INDEX(xlRTCLNAME,MATCH(1,(xlRTCLENDU=1)*(xlRTCLEQCL=$D1345),0))</f>
        <v>LPG_FA</v>
      </c>
      <c r="W1345" s="7" t="str">
        <f t="array" ref="W1345">INDEX(xlRTCLNAME,MATCH(1,(xlRTCLENDU=2)*(xlRTCLEQCL=$F1345),0))</f>
        <v>CENT_AIR</v>
      </c>
      <c r="X1345" s="7" t="str">
        <f t="array" ref="X1345">INDEX(xlRTTYNAME,MATCH(1,(xlRTTYENDU=1)*(xlRTTYEQCL=$D1345)*(xlRTEQTYPE=$E1345),0))</f>
        <v>LPG_FA4</v>
      </c>
      <c r="Y1345" s="7" t="str">
        <f t="array" ref="Y1345">INDEX(xlRTTYNAME,MATCH(1,(xlRTTYENDU=2)*(xlRTTYEQCL=$F1345)*(xlRTEQTYPE=$G1345),0))</f>
        <v>CENT_AIR3</v>
      </c>
    </row>
    <row r="1346" spans="2:25" ht="14.25" customHeight="1" x14ac:dyDescent="0.2">
      <c r="B1346" s="5">
        <v>5</v>
      </c>
      <c r="C1346" s="5">
        <v>2</v>
      </c>
      <c r="D1346" s="5">
        <v>6</v>
      </c>
      <c r="E1346" s="31">
        <v>21</v>
      </c>
      <c r="F1346" s="5">
        <v>2</v>
      </c>
      <c r="G1346" s="31">
        <v>6</v>
      </c>
      <c r="H1346" s="5">
        <v>2033</v>
      </c>
      <c r="I1346" s="5">
        <v>2050</v>
      </c>
      <c r="J1346" s="142">
        <v>1.1200000000000001</v>
      </c>
      <c r="K1346" s="142">
        <v>1.0391999999999999</v>
      </c>
      <c r="L1346" s="142">
        <v>0.63129999999999997</v>
      </c>
      <c r="M1346" s="142">
        <v>1.0902000000000001</v>
      </c>
      <c r="N1346" s="142">
        <v>1.2750999999999999</v>
      </c>
      <c r="O1346" s="142">
        <v>1.0538000000000001</v>
      </c>
      <c r="P1346" s="26">
        <v>3025.2020720997493</v>
      </c>
      <c r="Q1346" s="35">
        <f t="array" ref="Q1346">SUM(IF(($S1346&gt;=4)*($C1346='TaxCred&amp;Subs'!$D$114:$D$121)*($H1346='TaxCred&amp;Subs'!$C$114:$C$121)*($H1346&lt;='TaxCred&amp;Subs'!$C$123),'TaxCred&amp;Subs'!$E$114:$E$121,0))</f>
        <v>0</v>
      </c>
      <c r="R1346" s="143">
        <v>0</v>
      </c>
      <c r="S1346" s="5">
        <v>4</v>
      </c>
      <c r="T1346" s="5" t="s">
        <v>240</v>
      </c>
      <c r="V1346" s="7" t="str">
        <f t="array" ref="V1346">INDEX(xlRTCLNAME,MATCH(1,(xlRTCLENDU=1)*(xlRTCLEQCL=$D1346),0))</f>
        <v>LPG_FA</v>
      </c>
      <c r="W1346" s="7" t="str">
        <f t="array" ref="W1346">INDEX(xlRTCLNAME,MATCH(1,(xlRTCLENDU=2)*(xlRTCLEQCL=$F1346),0))</f>
        <v>CENT_AIR</v>
      </c>
      <c r="X1346" s="7" t="str">
        <f t="array" ref="X1346">INDEX(xlRTTYNAME,MATCH(1,(xlRTTYENDU=1)*(xlRTTYEQCL=$D1346)*(xlRTEQTYPE=$E1346),0))</f>
        <v>LPG_FA4</v>
      </c>
      <c r="Y1346" s="7" t="str">
        <f t="array" ref="Y1346">INDEX(xlRTTYNAME,MATCH(1,(xlRTTYENDU=2)*(xlRTTYEQCL=$F1346)*(xlRTEQTYPE=$G1346),0))</f>
        <v>CENT_AIR3</v>
      </c>
    </row>
    <row r="1347" spans="2:25" ht="14.25" customHeight="1" x14ac:dyDescent="0.2">
      <c r="B1347" s="5">
        <v>6</v>
      </c>
      <c r="C1347" s="5">
        <v>2</v>
      </c>
      <c r="D1347" s="5">
        <v>6</v>
      </c>
      <c r="E1347" s="5">
        <v>20</v>
      </c>
      <c r="F1347" s="5">
        <v>2</v>
      </c>
      <c r="G1347" s="31">
        <v>6</v>
      </c>
      <c r="H1347" s="31">
        <v>2020</v>
      </c>
      <c r="I1347" s="5">
        <v>2022</v>
      </c>
      <c r="J1347" s="142">
        <v>1.1200000000000001</v>
      </c>
      <c r="K1347" s="142">
        <v>1.03</v>
      </c>
      <c r="L1347" s="142">
        <v>1.1105</v>
      </c>
      <c r="M1347" s="142">
        <v>1.1228</v>
      </c>
      <c r="N1347" s="142">
        <v>1.3324</v>
      </c>
      <c r="O1347" s="142">
        <v>1.0538000000000001</v>
      </c>
      <c r="P1347" s="26">
        <v>3068.2271682362789</v>
      </c>
      <c r="Q1347" s="35">
        <f t="array" ref="Q1347">SUM(IF(($S1347&gt;=4)*($C1347='TaxCred&amp;Subs'!$D$114:$D$121)*($H1347='TaxCred&amp;Subs'!$C$114:$C$121)*($H1347&lt;='TaxCred&amp;Subs'!$C$123),'TaxCred&amp;Subs'!$E$114:$E$121,0))</f>
        <v>0</v>
      </c>
      <c r="R1347" s="143">
        <v>0</v>
      </c>
      <c r="S1347" s="5">
        <v>4</v>
      </c>
      <c r="T1347" s="5" t="s">
        <v>240</v>
      </c>
      <c r="V1347" s="7" t="str">
        <f t="array" ref="V1347">INDEX(xlRTCLNAME,MATCH(1,(xlRTCLENDU=1)*(xlRTCLEQCL=$D1347),0))</f>
        <v>LPG_FA</v>
      </c>
      <c r="W1347" s="7" t="str">
        <f t="array" ref="W1347">INDEX(xlRTCLNAME,MATCH(1,(xlRTCLENDU=2)*(xlRTCLEQCL=$F1347),0))</f>
        <v>CENT_AIR</v>
      </c>
      <c r="X1347" s="7" t="str">
        <f t="array" ref="X1347">INDEX(xlRTTYNAME,MATCH(1,(xlRTTYENDU=1)*(xlRTTYEQCL=$D1347)*(xlRTEQTYPE=$E1347),0))</f>
        <v>LPG_FA3</v>
      </c>
      <c r="Y1347" s="7" t="str">
        <f t="array" ref="Y1347">INDEX(xlRTTYNAME,MATCH(1,(xlRTTYENDU=2)*(xlRTTYEQCL=$F1347)*(xlRTEQTYPE=$G1347),0))</f>
        <v>CENT_AIR3</v>
      </c>
    </row>
    <row r="1348" spans="2:25" ht="14.25" customHeight="1" x14ac:dyDescent="0.2">
      <c r="B1348" s="5">
        <v>6</v>
      </c>
      <c r="C1348" s="5">
        <v>2</v>
      </c>
      <c r="D1348" s="5">
        <v>6</v>
      </c>
      <c r="E1348" s="5">
        <v>20</v>
      </c>
      <c r="F1348" s="5">
        <v>2</v>
      </c>
      <c r="G1348" s="31">
        <v>6</v>
      </c>
      <c r="H1348" s="5">
        <v>2023</v>
      </c>
      <c r="I1348" s="31">
        <v>2028</v>
      </c>
      <c r="J1348" s="142">
        <v>1.1200000000000001</v>
      </c>
      <c r="K1348" s="142">
        <v>1.03</v>
      </c>
      <c r="L1348" s="142">
        <v>1.1105</v>
      </c>
      <c r="M1348" s="142">
        <v>1.1228</v>
      </c>
      <c r="N1348" s="142">
        <v>1.3324</v>
      </c>
      <c r="O1348" s="142">
        <v>1.0538000000000001</v>
      </c>
      <c r="P1348" s="26">
        <v>3068.2271682362789</v>
      </c>
      <c r="Q1348" s="35">
        <f t="array" ref="Q1348">SUM(IF(($S1348&gt;=4)*($C1348='TaxCred&amp;Subs'!$D$114:$D$121)*($H1348='TaxCred&amp;Subs'!$C$114:$C$121)*($H1348&lt;='TaxCred&amp;Subs'!$C$123),'TaxCred&amp;Subs'!$E$114:$E$121,0))</f>
        <v>500</v>
      </c>
      <c r="R1348" s="143">
        <v>0</v>
      </c>
      <c r="S1348" s="5">
        <v>4</v>
      </c>
      <c r="T1348" s="5" t="s">
        <v>240</v>
      </c>
      <c r="V1348" s="7" t="str">
        <f t="array" ref="V1348">INDEX(xlRTCLNAME,MATCH(1,(xlRTCLENDU=1)*(xlRTCLEQCL=$D1348),0))</f>
        <v>LPG_FA</v>
      </c>
      <c r="W1348" s="7" t="str">
        <f t="array" ref="W1348">INDEX(xlRTCLNAME,MATCH(1,(xlRTCLENDU=2)*(xlRTCLEQCL=$F1348),0))</f>
        <v>CENT_AIR</v>
      </c>
      <c r="X1348" s="7" t="str">
        <f t="array" ref="X1348">INDEX(xlRTTYNAME,MATCH(1,(xlRTTYENDU=1)*(xlRTTYEQCL=$D1348)*(xlRTEQTYPE=$E1348),0))</f>
        <v>LPG_FA3</v>
      </c>
      <c r="Y1348" s="7" t="str">
        <f t="array" ref="Y1348">INDEX(xlRTTYNAME,MATCH(1,(xlRTTYENDU=2)*(xlRTTYEQCL=$F1348)*(xlRTEQTYPE=$G1348),0))</f>
        <v>CENT_AIR3</v>
      </c>
    </row>
    <row r="1349" spans="2:25" ht="14.25" customHeight="1" x14ac:dyDescent="0.2">
      <c r="B1349" s="152">
        <v>6</v>
      </c>
      <c r="C1349" s="152">
        <v>2</v>
      </c>
      <c r="D1349" s="152">
        <v>6</v>
      </c>
      <c r="E1349" s="152">
        <v>21</v>
      </c>
      <c r="F1349" s="152">
        <v>2</v>
      </c>
      <c r="G1349" s="152">
        <v>6</v>
      </c>
      <c r="H1349" s="152">
        <v>2029</v>
      </c>
      <c r="I1349" s="152">
        <v>2032</v>
      </c>
      <c r="J1349" s="229">
        <v>1.1200000000000001</v>
      </c>
      <c r="K1349" s="229">
        <v>1.03</v>
      </c>
      <c r="L1349" s="229">
        <v>1.1105</v>
      </c>
      <c r="M1349" s="229">
        <v>1.1228</v>
      </c>
      <c r="N1349" s="229">
        <v>1.3324</v>
      </c>
      <c r="O1349" s="229">
        <v>1.0538000000000001</v>
      </c>
      <c r="P1349" s="155">
        <v>3068.2271682362789</v>
      </c>
      <c r="Q1349" s="41">
        <f t="array" ref="Q1349">SUM(IF(($S1349&gt;=4)*($C1349='TaxCred&amp;Subs'!$D$114:$D$121)*($H1349='TaxCred&amp;Subs'!$C$114:$C$121)*($H1349&lt;='TaxCred&amp;Subs'!$C$123),'TaxCred&amp;Subs'!$E$114:$E$121,0))</f>
        <v>500</v>
      </c>
      <c r="R1349" s="230">
        <v>0</v>
      </c>
      <c r="S1349" s="152">
        <v>4</v>
      </c>
      <c r="T1349" s="152" t="s">
        <v>240</v>
      </c>
      <c r="V1349" s="7" t="str">
        <f t="array" ref="V1349">INDEX(xlRTCLNAME,MATCH(1,(xlRTCLENDU=1)*(xlRTCLEQCL=$D1349),0))</f>
        <v>LPG_FA</v>
      </c>
      <c r="W1349" s="7" t="str">
        <f t="array" ref="W1349">INDEX(xlRTCLNAME,MATCH(1,(xlRTCLENDU=2)*(xlRTCLEQCL=$F1349),0))</f>
        <v>CENT_AIR</v>
      </c>
      <c r="X1349" s="7" t="str">
        <f t="array" ref="X1349">INDEX(xlRTTYNAME,MATCH(1,(xlRTTYENDU=1)*(xlRTTYEQCL=$D1349)*(xlRTEQTYPE=$E1349),0))</f>
        <v>LPG_FA4</v>
      </c>
      <c r="Y1349" s="7" t="str">
        <f t="array" ref="Y1349">INDEX(xlRTTYNAME,MATCH(1,(xlRTTYENDU=2)*(xlRTTYEQCL=$F1349)*(xlRTEQTYPE=$G1349),0))</f>
        <v>CENT_AIR3</v>
      </c>
    </row>
    <row r="1350" spans="2:25" ht="14.25" customHeight="1" x14ac:dyDescent="0.2">
      <c r="B1350" s="5">
        <v>6</v>
      </c>
      <c r="C1350" s="5">
        <v>2</v>
      </c>
      <c r="D1350" s="5">
        <v>6</v>
      </c>
      <c r="E1350" s="31">
        <v>21</v>
      </c>
      <c r="F1350" s="5">
        <v>2</v>
      </c>
      <c r="G1350" s="31">
        <v>6</v>
      </c>
      <c r="H1350" s="5">
        <v>2033</v>
      </c>
      <c r="I1350" s="5">
        <v>2050</v>
      </c>
      <c r="J1350" s="142">
        <v>1.1200000000000001</v>
      </c>
      <c r="K1350" s="142">
        <v>1.03</v>
      </c>
      <c r="L1350" s="142">
        <v>1.1105</v>
      </c>
      <c r="M1350" s="142">
        <v>1.1228</v>
      </c>
      <c r="N1350" s="142">
        <v>1.3324</v>
      </c>
      <c r="O1350" s="142">
        <v>1.0538000000000001</v>
      </c>
      <c r="P1350" s="26">
        <v>3068.2271682362789</v>
      </c>
      <c r="Q1350" s="35">
        <f t="array" ref="Q1350">SUM(IF(($S1350&gt;=4)*($C1350='TaxCred&amp;Subs'!$D$114:$D$121)*($H1350='TaxCred&amp;Subs'!$C$114:$C$121)*($H1350&lt;='TaxCred&amp;Subs'!$C$123),'TaxCred&amp;Subs'!$E$114:$E$121,0))</f>
        <v>0</v>
      </c>
      <c r="R1350" s="143">
        <v>0</v>
      </c>
      <c r="S1350" s="5">
        <v>4</v>
      </c>
      <c r="T1350" s="5" t="s">
        <v>240</v>
      </c>
      <c r="V1350" s="7" t="str">
        <f t="array" ref="V1350">INDEX(xlRTCLNAME,MATCH(1,(xlRTCLENDU=1)*(xlRTCLEQCL=$D1350),0))</f>
        <v>LPG_FA</v>
      </c>
      <c r="W1350" s="7" t="str">
        <f t="array" ref="W1350">INDEX(xlRTCLNAME,MATCH(1,(xlRTCLENDU=2)*(xlRTCLEQCL=$F1350),0))</f>
        <v>CENT_AIR</v>
      </c>
      <c r="X1350" s="7" t="str">
        <f t="array" ref="X1350">INDEX(xlRTTYNAME,MATCH(1,(xlRTTYENDU=1)*(xlRTTYEQCL=$D1350)*(xlRTEQTYPE=$E1350),0))</f>
        <v>LPG_FA4</v>
      </c>
      <c r="Y1350" s="7" t="str">
        <f t="array" ref="Y1350">INDEX(xlRTTYNAME,MATCH(1,(xlRTTYENDU=2)*(xlRTTYEQCL=$F1350)*(xlRTEQTYPE=$G1350),0))</f>
        <v>CENT_AIR3</v>
      </c>
    </row>
    <row r="1351" spans="2:25" ht="14.25" customHeight="1" x14ac:dyDescent="0.2">
      <c r="B1351" s="5">
        <v>7</v>
      </c>
      <c r="C1351" s="5">
        <v>2</v>
      </c>
      <c r="D1351" s="5">
        <v>6</v>
      </c>
      <c r="E1351" s="5">
        <v>20</v>
      </c>
      <c r="F1351" s="5">
        <v>2</v>
      </c>
      <c r="G1351" s="31">
        <v>6</v>
      </c>
      <c r="H1351" s="31">
        <v>2020</v>
      </c>
      <c r="I1351" s="5">
        <v>2022</v>
      </c>
      <c r="J1351" s="142">
        <v>1.1200000000000001</v>
      </c>
      <c r="K1351" s="142">
        <v>1.0462</v>
      </c>
      <c r="L1351" s="142">
        <v>1.0271999999999999</v>
      </c>
      <c r="M1351" s="142">
        <v>1.1173</v>
      </c>
      <c r="N1351" s="142">
        <v>1.4438</v>
      </c>
      <c r="O1351" s="142">
        <v>1.0538000000000001</v>
      </c>
      <c r="P1351" s="26">
        <v>2730.7490704153738</v>
      </c>
      <c r="Q1351" s="35">
        <f t="array" ref="Q1351">SUM(IF(($S1351&gt;=4)*($C1351='TaxCred&amp;Subs'!$D$114:$D$121)*($H1351='TaxCred&amp;Subs'!$C$114:$C$121)*($H1351&lt;='TaxCred&amp;Subs'!$C$123),'TaxCred&amp;Subs'!$E$114:$E$121,0))</f>
        <v>0</v>
      </c>
      <c r="R1351" s="143">
        <v>0</v>
      </c>
      <c r="S1351" s="5">
        <v>4</v>
      </c>
      <c r="T1351" s="5" t="s">
        <v>240</v>
      </c>
      <c r="V1351" s="7" t="str">
        <f t="array" ref="V1351">INDEX(xlRTCLNAME,MATCH(1,(xlRTCLENDU=1)*(xlRTCLEQCL=$D1351),0))</f>
        <v>LPG_FA</v>
      </c>
      <c r="W1351" s="7" t="str">
        <f t="array" ref="W1351">INDEX(xlRTCLNAME,MATCH(1,(xlRTCLENDU=2)*(xlRTCLEQCL=$F1351),0))</f>
        <v>CENT_AIR</v>
      </c>
      <c r="X1351" s="7" t="str">
        <f t="array" ref="X1351">INDEX(xlRTTYNAME,MATCH(1,(xlRTTYENDU=1)*(xlRTTYEQCL=$D1351)*(xlRTEQTYPE=$E1351),0))</f>
        <v>LPG_FA3</v>
      </c>
      <c r="Y1351" s="7" t="str">
        <f t="array" ref="Y1351">INDEX(xlRTTYNAME,MATCH(1,(xlRTTYENDU=2)*(xlRTTYEQCL=$F1351)*(xlRTEQTYPE=$G1351),0))</f>
        <v>CENT_AIR3</v>
      </c>
    </row>
    <row r="1352" spans="2:25" ht="14.25" customHeight="1" x14ac:dyDescent="0.2">
      <c r="B1352" s="5">
        <v>7</v>
      </c>
      <c r="C1352" s="5">
        <v>2</v>
      </c>
      <c r="D1352" s="5">
        <v>6</v>
      </c>
      <c r="E1352" s="5">
        <v>20</v>
      </c>
      <c r="F1352" s="5">
        <v>2</v>
      </c>
      <c r="G1352" s="31">
        <v>6</v>
      </c>
      <c r="H1352" s="5">
        <v>2023</v>
      </c>
      <c r="I1352" s="31">
        <v>2028</v>
      </c>
      <c r="J1352" s="142">
        <v>1.1200000000000001</v>
      </c>
      <c r="K1352" s="142">
        <v>1.0462</v>
      </c>
      <c r="L1352" s="142">
        <v>1.0271999999999999</v>
      </c>
      <c r="M1352" s="142">
        <v>1.1173</v>
      </c>
      <c r="N1352" s="142">
        <v>1.4438</v>
      </c>
      <c r="O1352" s="142">
        <v>1.0538000000000001</v>
      </c>
      <c r="P1352" s="26">
        <v>2730.7490704153738</v>
      </c>
      <c r="Q1352" s="35">
        <f t="array" ref="Q1352">SUM(IF(($S1352&gt;=4)*($C1352='TaxCred&amp;Subs'!$D$114:$D$121)*($H1352='TaxCred&amp;Subs'!$C$114:$C$121)*($H1352&lt;='TaxCred&amp;Subs'!$C$123),'TaxCred&amp;Subs'!$E$114:$E$121,0))</f>
        <v>500</v>
      </c>
      <c r="R1352" s="143">
        <v>0</v>
      </c>
      <c r="S1352" s="5">
        <v>4</v>
      </c>
      <c r="T1352" s="5" t="s">
        <v>240</v>
      </c>
      <c r="V1352" s="7" t="str">
        <f t="array" ref="V1352">INDEX(xlRTCLNAME,MATCH(1,(xlRTCLENDU=1)*(xlRTCLEQCL=$D1352),0))</f>
        <v>LPG_FA</v>
      </c>
      <c r="W1352" s="7" t="str">
        <f t="array" ref="W1352">INDEX(xlRTCLNAME,MATCH(1,(xlRTCLENDU=2)*(xlRTCLEQCL=$F1352),0))</f>
        <v>CENT_AIR</v>
      </c>
      <c r="X1352" s="7" t="str">
        <f t="array" ref="X1352">INDEX(xlRTTYNAME,MATCH(1,(xlRTTYENDU=1)*(xlRTTYEQCL=$D1352)*(xlRTEQTYPE=$E1352),0))</f>
        <v>LPG_FA3</v>
      </c>
      <c r="Y1352" s="7" t="str">
        <f t="array" ref="Y1352">INDEX(xlRTTYNAME,MATCH(1,(xlRTTYENDU=2)*(xlRTTYEQCL=$F1352)*(xlRTEQTYPE=$G1352),0))</f>
        <v>CENT_AIR3</v>
      </c>
    </row>
    <row r="1353" spans="2:25" ht="14.25" customHeight="1" x14ac:dyDescent="0.2">
      <c r="B1353" s="152">
        <v>7</v>
      </c>
      <c r="C1353" s="152">
        <v>2</v>
      </c>
      <c r="D1353" s="152">
        <v>6</v>
      </c>
      <c r="E1353" s="152">
        <v>21</v>
      </c>
      <c r="F1353" s="152">
        <v>2</v>
      </c>
      <c r="G1353" s="152">
        <v>6</v>
      </c>
      <c r="H1353" s="152">
        <v>2029</v>
      </c>
      <c r="I1353" s="152">
        <v>2032</v>
      </c>
      <c r="J1353" s="229">
        <v>1.1200000000000001</v>
      </c>
      <c r="K1353" s="229">
        <v>1.0462</v>
      </c>
      <c r="L1353" s="229">
        <v>1.0271999999999999</v>
      </c>
      <c r="M1353" s="229">
        <v>1.1173</v>
      </c>
      <c r="N1353" s="229">
        <v>1.4438</v>
      </c>
      <c r="O1353" s="229">
        <v>1.0538000000000001</v>
      </c>
      <c r="P1353" s="155">
        <v>2730.7490704153738</v>
      </c>
      <c r="Q1353" s="41">
        <f t="array" ref="Q1353">SUM(IF(($S1353&gt;=4)*($C1353='TaxCred&amp;Subs'!$D$114:$D$121)*($H1353='TaxCred&amp;Subs'!$C$114:$C$121)*($H1353&lt;='TaxCred&amp;Subs'!$C$123),'TaxCred&amp;Subs'!$E$114:$E$121,0))</f>
        <v>500</v>
      </c>
      <c r="R1353" s="230">
        <v>0</v>
      </c>
      <c r="S1353" s="152">
        <v>4</v>
      </c>
      <c r="T1353" s="152" t="s">
        <v>240</v>
      </c>
      <c r="V1353" s="7" t="str">
        <f t="array" ref="V1353">INDEX(xlRTCLNAME,MATCH(1,(xlRTCLENDU=1)*(xlRTCLEQCL=$D1353),0))</f>
        <v>LPG_FA</v>
      </c>
      <c r="W1353" s="7" t="str">
        <f t="array" ref="W1353">INDEX(xlRTCLNAME,MATCH(1,(xlRTCLENDU=2)*(xlRTCLEQCL=$F1353),0))</f>
        <v>CENT_AIR</v>
      </c>
      <c r="X1353" s="7" t="str">
        <f t="array" ref="X1353">INDEX(xlRTTYNAME,MATCH(1,(xlRTTYENDU=1)*(xlRTTYEQCL=$D1353)*(xlRTEQTYPE=$E1353),0))</f>
        <v>LPG_FA4</v>
      </c>
      <c r="Y1353" s="7" t="str">
        <f t="array" ref="Y1353">INDEX(xlRTTYNAME,MATCH(1,(xlRTTYENDU=2)*(xlRTTYEQCL=$F1353)*(xlRTEQTYPE=$G1353),0))</f>
        <v>CENT_AIR3</v>
      </c>
    </row>
    <row r="1354" spans="2:25" ht="14.25" customHeight="1" x14ac:dyDescent="0.2">
      <c r="B1354" s="5">
        <v>7</v>
      </c>
      <c r="C1354" s="5">
        <v>2</v>
      </c>
      <c r="D1354" s="5">
        <v>6</v>
      </c>
      <c r="E1354" s="31">
        <v>21</v>
      </c>
      <c r="F1354" s="5">
        <v>2</v>
      </c>
      <c r="G1354" s="31">
        <v>6</v>
      </c>
      <c r="H1354" s="5">
        <v>2033</v>
      </c>
      <c r="I1354" s="5">
        <v>2050</v>
      </c>
      <c r="J1354" s="142">
        <v>1.1200000000000001</v>
      </c>
      <c r="K1354" s="142">
        <v>1.0462</v>
      </c>
      <c r="L1354" s="142">
        <v>1.0271999999999999</v>
      </c>
      <c r="M1354" s="142">
        <v>1.1173</v>
      </c>
      <c r="N1354" s="142">
        <v>1.4438</v>
      </c>
      <c r="O1354" s="142">
        <v>1.0538000000000001</v>
      </c>
      <c r="P1354" s="26">
        <v>2730.7490704153738</v>
      </c>
      <c r="Q1354" s="35">
        <f t="array" ref="Q1354">SUM(IF(($S1354&gt;=4)*($C1354='TaxCred&amp;Subs'!$D$114:$D$121)*($H1354='TaxCred&amp;Subs'!$C$114:$C$121)*($H1354&lt;='TaxCred&amp;Subs'!$C$123),'TaxCred&amp;Subs'!$E$114:$E$121,0))</f>
        <v>0</v>
      </c>
      <c r="R1354" s="143">
        <v>0</v>
      </c>
      <c r="S1354" s="5">
        <v>4</v>
      </c>
      <c r="T1354" s="5" t="s">
        <v>240</v>
      </c>
      <c r="V1354" s="7" t="str">
        <f t="array" ref="V1354">INDEX(xlRTCLNAME,MATCH(1,(xlRTCLENDU=1)*(xlRTCLEQCL=$D1354),0))</f>
        <v>LPG_FA</v>
      </c>
      <c r="W1354" s="7" t="str">
        <f t="array" ref="W1354">INDEX(xlRTCLNAME,MATCH(1,(xlRTCLENDU=2)*(xlRTCLEQCL=$F1354),0))</f>
        <v>CENT_AIR</v>
      </c>
      <c r="X1354" s="7" t="str">
        <f t="array" ref="X1354">INDEX(xlRTTYNAME,MATCH(1,(xlRTTYENDU=1)*(xlRTTYEQCL=$D1354)*(xlRTEQTYPE=$E1354),0))</f>
        <v>LPG_FA4</v>
      </c>
      <c r="Y1354" s="7" t="str">
        <f t="array" ref="Y1354">INDEX(xlRTTYNAME,MATCH(1,(xlRTTYENDU=2)*(xlRTTYEQCL=$F1354)*(xlRTEQTYPE=$G1354),0))</f>
        <v>CENT_AIR3</v>
      </c>
    </row>
    <row r="1355" spans="2:25" ht="14.25" customHeight="1" x14ac:dyDescent="0.2">
      <c r="B1355" s="5">
        <v>8</v>
      </c>
      <c r="C1355" s="5">
        <v>2</v>
      </c>
      <c r="D1355" s="5">
        <v>6</v>
      </c>
      <c r="E1355" s="5">
        <v>20</v>
      </c>
      <c r="F1355" s="5">
        <v>2</v>
      </c>
      <c r="G1355" s="31">
        <v>6</v>
      </c>
      <c r="H1355" s="31">
        <v>2020</v>
      </c>
      <c r="I1355" s="5">
        <v>2022</v>
      </c>
      <c r="J1355" s="142">
        <v>1.0932999999999999</v>
      </c>
      <c r="K1355" s="142">
        <v>1.0323</v>
      </c>
      <c r="L1355" s="142">
        <v>1.0073000000000001</v>
      </c>
      <c r="M1355" s="142">
        <v>1.2739</v>
      </c>
      <c r="N1355" s="142">
        <v>1.2847999999999999</v>
      </c>
      <c r="O1355" s="142">
        <v>1.0538000000000001</v>
      </c>
      <c r="P1355" s="26">
        <v>3295.4534572073267</v>
      </c>
      <c r="Q1355" s="35">
        <f t="array" ref="Q1355">SUM(IF(($S1355&gt;=4)*($C1355='TaxCred&amp;Subs'!$D$114:$D$121)*($H1355='TaxCred&amp;Subs'!$C$114:$C$121)*($H1355&lt;='TaxCred&amp;Subs'!$C$123),'TaxCred&amp;Subs'!$E$114:$E$121,0))</f>
        <v>0</v>
      </c>
      <c r="R1355" s="143">
        <v>0</v>
      </c>
      <c r="S1355" s="5">
        <v>4</v>
      </c>
      <c r="T1355" s="5" t="s">
        <v>240</v>
      </c>
      <c r="V1355" s="7" t="str">
        <f t="array" ref="V1355">INDEX(xlRTCLNAME,MATCH(1,(xlRTCLENDU=1)*(xlRTCLEQCL=$D1355),0))</f>
        <v>LPG_FA</v>
      </c>
      <c r="W1355" s="7" t="str">
        <f t="array" ref="W1355">INDEX(xlRTCLNAME,MATCH(1,(xlRTCLENDU=2)*(xlRTCLEQCL=$F1355),0))</f>
        <v>CENT_AIR</v>
      </c>
      <c r="X1355" s="7" t="str">
        <f t="array" ref="X1355">INDEX(xlRTTYNAME,MATCH(1,(xlRTTYENDU=1)*(xlRTTYEQCL=$D1355)*(xlRTEQTYPE=$E1355),0))</f>
        <v>LPG_FA3</v>
      </c>
      <c r="Y1355" s="7" t="str">
        <f t="array" ref="Y1355">INDEX(xlRTTYNAME,MATCH(1,(xlRTTYENDU=2)*(xlRTTYEQCL=$F1355)*(xlRTEQTYPE=$G1355),0))</f>
        <v>CENT_AIR3</v>
      </c>
    </row>
    <row r="1356" spans="2:25" ht="14.25" customHeight="1" x14ac:dyDescent="0.2">
      <c r="B1356" s="5">
        <v>8</v>
      </c>
      <c r="C1356" s="5">
        <v>2</v>
      </c>
      <c r="D1356" s="5">
        <v>6</v>
      </c>
      <c r="E1356" s="5">
        <v>20</v>
      </c>
      <c r="F1356" s="5">
        <v>2</v>
      </c>
      <c r="G1356" s="31">
        <v>6</v>
      </c>
      <c r="H1356" s="5">
        <v>2023</v>
      </c>
      <c r="I1356" s="31">
        <v>2028</v>
      </c>
      <c r="J1356" s="142">
        <v>1.0932999999999999</v>
      </c>
      <c r="K1356" s="142">
        <v>1.0323</v>
      </c>
      <c r="L1356" s="142">
        <v>1.0073000000000001</v>
      </c>
      <c r="M1356" s="142">
        <v>1.2739</v>
      </c>
      <c r="N1356" s="142">
        <v>1.2847999999999999</v>
      </c>
      <c r="O1356" s="142">
        <v>1.0538000000000001</v>
      </c>
      <c r="P1356" s="26">
        <v>3295.4534572073267</v>
      </c>
      <c r="Q1356" s="35">
        <f t="array" ref="Q1356">SUM(IF(($S1356&gt;=4)*($C1356='TaxCred&amp;Subs'!$D$114:$D$121)*($H1356='TaxCred&amp;Subs'!$C$114:$C$121)*($H1356&lt;='TaxCred&amp;Subs'!$C$123),'TaxCred&amp;Subs'!$E$114:$E$121,0))</f>
        <v>500</v>
      </c>
      <c r="R1356" s="143">
        <v>0</v>
      </c>
      <c r="S1356" s="5">
        <v>4</v>
      </c>
      <c r="T1356" s="5" t="s">
        <v>240</v>
      </c>
      <c r="V1356" s="7" t="str">
        <f t="array" ref="V1356">INDEX(xlRTCLNAME,MATCH(1,(xlRTCLENDU=1)*(xlRTCLEQCL=$D1356),0))</f>
        <v>LPG_FA</v>
      </c>
      <c r="W1356" s="7" t="str">
        <f t="array" ref="W1356">INDEX(xlRTCLNAME,MATCH(1,(xlRTCLENDU=2)*(xlRTCLEQCL=$F1356),0))</f>
        <v>CENT_AIR</v>
      </c>
      <c r="X1356" s="7" t="str">
        <f t="array" ref="X1356">INDEX(xlRTTYNAME,MATCH(1,(xlRTTYENDU=1)*(xlRTTYEQCL=$D1356)*(xlRTEQTYPE=$E1356),0))</f>
        <v>LPG_FA3</v>
      </c>
      <c r="Y1356" s="7" t="str">
        <f t="array" ref="Y1356">INDEX(xlRTTYNAME,MATCH(1,(xlRTTYENDU=2)*(xlRTTYEQCL=$F1356)*(xlRTEQTYPE=$G1356),0))</f>
        <v>CENT_AIR3</v>
      </c>
    </row>
    <row r="1357" spans="2:25" ht="14.25" customHeight="1" x14ac:dyDescent="0.2">
      <c r="B1357" s="152">
        <v>8</v>
      </c>
      <c r="C1357" s="152">
        <v>2</v>
      </c>
      <c r="D1357" s="152">
        <v>6</v>
      </c>
      <c r="E1357" s="152">
        <v>21</v>
      </c>
      <c r="F1357" s="152">
        <v>2</v>
      </c>
      <c r="G1357" s="152">
        <v>6</v>
      </c>
      <c r="H1357" s="152">
        <v>2029</v>
      </c>
      <c r="I1357" s="152">
        <v>2032</v>
      </c>
      <c r="J1357" s="229">
        <v>1.0932999999999999</v>
      </c>
      <c r="K1357" s="229">
        <v>1.0323</v>
      </c>
      <c r="L1357" s="229">
        <v>1.0073000000000001</v>
      </c>
      <c r="M1357" s="229">
        <v>1.2739</v>
      </c>
      <c r="N1357" s="229">
        <v>1.2847999999999999</v>
      </c>
      <c r="O1357" s="229">
        <v>1.0538000000000001</v>
      </c>
      <c r="P1357" s="155">
        <v>3295.4534572073267</v>
      </c>
      <c r="Q1357" s="41">
        <f t="array" ref="Q1357">SUM(IF(($S1357&gt;=4)*($C1357='TaxCred&amp;Subs'!$D$114:$D$121)*($H1357='TaxCred&amp;Subs'!$C$114:$C$121)*($H1357&lt;='TaxCred&amp;Subs'!$C$123),'TaxCred&amp;Subs'!$E$114:$E$121,0))</f>
        <v>500</v>
      </c>
      <c r="R1357" s="230">
        <v>0</v>
      </c>
      <c r="S1357" s="152">
        <v>4</v>
      </c>
      <c r="T1357" s="152" t="s">
        <v>240</v>
      </c>
      <c r="V1357" s="7" t="str">
        <f t="array" ref="V1357">INDEX(xlRTCLNAME,MATCH(1,(xlRTCLENDU=1)*(xlRTCLEQCL=$D1357),0))</f>
        <v>LPG_FA</v>
      </c>
      <c r="W1357" s="7" t="str">
        <f t="array" ref="W1357">INDEX(xlRTCLNAME,MATCH(1,(xlRTCLENDU=2)*(xlRTCLEQCL=$F1357),0))</f>
        <v>CENT_AIR</v>
      </c>
      <c r="X1357" s="7" t="str">
        <f t="array" ref="X1357">INDEX(xlRTTYNAME,MATCH(1,(xlRTTYENDU=1)*(xlRTTYEQCL=$D1357)*(xlRTEQTYPE=$E1357),0))</f>
        <v>LPG_FA4</v>
      </c>
      <c r="Y1357" s="7" t="str">
        <f t="array" ref="Y1357">INDEX(xlRTTYNAME,MATCH(1,(xlRTTYENDU=2)*(xlRTTYEQCL=$F1357)*(xlRTEQTYPE=$G1357),0))</f>
        <v>CENT_AIR3</v>
      </c>
    </row>
    <row r="1358" spans="2:25" ht="14.25" customHeight="1" x14ac:dyDescent="0.2">
      <c r="B1358" s="5">
        <v>8</v>
      </c>
      <c r="C1358" s="5">
        <v>2</v>
      </c>
      <c r="D1358" s="5">
        <v>6</v>
      </c>
      <c r="E1358" s="31">
        <v>21</v>
      </c>
      <c r="F1358" s="5">
        <v>2</v>
      </c>
      <c r="G1358" s="31">
        <v>6</v>
      </c>
      <c r="H1358" s="5">
        <v>2033</v>
      </c>
      <c r="I1358" s="5">
        <v>2050</v>
      </c>
      <c r="J1358" s="142">
        <v>1.0932999999999999</v>
      </c>
      <c r="K1358" s="142">
        <v>1.0323</v>
      </c>
      <c r="L1358" s="142">
        <v>1.0073000000000001</v>
      </c>
      <c r="M1358" s="142">
        <v>1.2739</v>
      </c>
      <c r="N1358" s="142">
        <v>1.2847999999999999</v>
      </c>
      <c r="O1358" s="142">
        <v>1.0538000000000001</v>
      </c>
      <c r="P1358" s="26">
        <v>3295.4534572073267</v>
      </c>
      <c r="Q1358" s="35">
        <f t="array" ref="Q1358">SUM(IF(($S1358&gt;=4)*($C1358='TaxCred&amp;Subs'!$D$114:$D$121)*($H1358='TaxCred&amp;Subs'!$C$114:$C$121)*($H1358&lt;='TaxCred&amp;Subs'!$C$123),'TaxCred&amp;Subs'!$E$114:$E$121,0))</f>
        <v>0</v>
      </c>
      <c r="R1358" s="143">
        <v>0</v>
      </c>
      <c r="S1358" s="5">
        <v>4</v>
      </c>
      <c r="T1358" s="5" t="s">
        <v>240</v>
      </c>
      <c r="V1358" s="7" t="str">
        <f t="array" ref="V1358">INDEX(xlRTCLNAME,MATCH(1,(xlRTCLENDU=1)*(xlRTCLEQCL=$D1358),0))</f>
        <v>LPG_FA</v>
      </c>
      <c r="W1358" s="7" t="str">
        <f t="array" ref="W1358">INDEX(xlRTCLNAME,MATCH(1,(xlRTCLENDU=2)*(xlRTCLEQCL=$F1358),0))</f>
        <v>CENT_AIR</v>
      </c>
      <c r="X1358" s="7" t="str">
        <f t="array" ref="X1358">INDEX(xlRTTYNAME,MATCH(1,(xlRTTYENDU=1)*(xlRTTYEQCL=$D1358)*(xlRTEQTYPE=$E1358),0))</f>
        <v>LPG_FA4</v>
      </c>
      <c r="Y1358" s="7" t="str">
        <f t="array" ref="Y1358">INDEX(xlRTTYNAME,MATCH(1,(xlRTTYENDU=2)*(xlRTTYEQCL=$F1358)*(xlRTEQTYPE=$G1358),0))</f>
        <v>CENT_AIR3</v>
      </c>
    </row>
    <row r="1359" spans="2:25" ht="14.25" customHeight="1" x14ac:dyDescent="0.2">
      <c r="B1359" s="5">
        <v>9</v>
      </c>
      <c r="C1359" s="5">
        <v>2</v>
      </c>
      <c r="D1359" s="5">
        <v>6</v>
      </c>
      <c r="E1359" s="5">
        <v>20</v>
      </c>
      <c r="F1359" s="5">
        <v>2</v>
      </c>
      <c r="G1359" s="31">
        <v>6</v>
      </c>
      <c r="H1359" s="31">
        <v>2020</v>
      </c>
      <c r="I1359" s="5">
        <v>2022</v>
      </c>
      <c r="J1359" s="142">
        <v>1.07</v>
      </c>
      <c r="K1359" s="142">
        <v>1.0541</v>
      </c>
      <c r="L1359" s="142">
        <v>1.0063</v>
      </c>
      <c r="M1359" s="142">
        <v>1.2</v>
      </c>
      <c r="N1359" s="142">
        <v>1.4438</v>
      </c>
      <c r="O1359" s="142">
        <v>1.0538000000000001</v>
      </c>
      <c r="P1359" s="26">
        <v>3428.5623483797162</v>
      </c>
      <c r="Q1359" s="35">
        <f t="array" ref="Q1359">SUM(IF(($S1359&gt;=4)*($C1359='TaxCred&amp;Subs'!$D$114:$D$121)*($H1359='TaxCred&amp;Subs'!$C$114:$C$121)*($H1359&lt;='TaxCred&amp;Subs'!$C$123),'TaxCred&amp;Subs'!$E$114:$E$121,0))</f>
        <v>0</v>
      </c>
      <c r="R1359" s="143">
        <v>0</v>
      </c>
      <c r="S1359" s="5">
        <v>4</v>
      </c>
      <c r="T1359" s="5" t="s">
        <v>240</v>
      </c>
      <c r="V1359" s="7" t="str">
        <f t="array" ref="V1359">INDEX(xlRTCLNAME,MATCH(1,(xlRTCLENDU=1)*(xlRTCLEQCL=$D1359),0))</f>
        <v>LPG_FA</v>
      </c>
      <c r="W1359" s="7" t="str">
        <f t="array" ref="W1359">INDEX(xlRTCLNAME,MATCH(1,(xlRTCLENDU=2)*(xlRTCLEQCL=$F1359),0))</f>
        <v>CENT_AIR</v>
      </c>
      <c r="X1359" s="7" t="str">
        <f t="array" ref="X1359">INDEX(xlRTTYNAME,MATCH(1,(xlRTTYENDU=1)*(xlRTTYEQCL=$D1359)*(xlRTEQTYPE=$E1359),0))</f>
        <v>LPG_FA3</v>
      </c>
      <c r="Y1359" s="7" t="str">
        <f t="array" ref="Y1359">INDEX(xlRTTYNAME,MATCH(1,(xlRTTYENDU=2)*(xlRTTYEQCL=$F1359)*(xlRTEQTYPE=$G1359),0))</f>
        <v>CENT_AIR3</v>
      </c>
    </row>
    <row r="1360" spans="2:25" ht="14.25" customHeight="1" x14ac:dyDescent="0.2">
      <c r="B1360" s="5">
        <v>9</v>
      </c>
      <c r="C1360" s="5">
        <v>2</v>
      </c>
      <c r="D1360" s="5">
        <v>6</v>
      </c>
      <c r="E1360" s="5">
        <v>20</v>
      </c>
      <c r="F1360" s="5">
        <v>2</v>
      </c>
      <c r="G1360" s="31">
        <v>6</v>
      </c>
      <c r="H1360" s="5">
        <v>2023</v>
      </c>
      <c r="I1360" s="31">
        <v>2028</v>
      </c>
      <c r="J1360" s="142">
        <v>1.07</v>
      </c>
      <c r="K1360" s="142">
        <v>1.0541</v>
      </c>
      <c r="L1360" s="142">
        <v>1.0063</v>
      </c>
      <c r="M1360" s="142">
        <v>1.2</v>
      </c>
      <c r="N1360" s="142">
        <v>1.4438</v>
      </c>
      <c r="O1360" s="142">
        <v>1.0538000000000001</v>
      </c>
      <c r="P1360" s="26">
        <v>3428.5623483797162</v>
      </c>
      <c r="Q1360" s="35">
        <f t="array" ref="Q1360">SUM(IF(($S1360&gt;=4)*($C1360='TaxCred&amp;Subs'!$D$114:$D$121)*($H1360='TaxCred&amp;Subs'!$C$114:$C$121)*($H1360&lt;='TaxCred&amp;Subs'!$C$123),'TaxCred&amp;Subs'!$E$114:$E$121,0))</f>
        <v>500</v>
      </c>
      <c r="R1360" s="143">
        <v>0</v>
      </c>
      <c r="S1360" s="5">
        <v>4</v>
      </c>
      <c r="T1360" s="5" t="s">
        <v>240</v>
      </c>
      <c r="V1360" s="7" t="str">
        <f t="array" ref="V1360">INDEX(xlRTCLNAME,MATCH(1,(xlRTCLENDU=1)*(xlRTCLEQCL=$D1360),0))</f>
        <v>LPG_FA</v>
      </c>
      <c r="W1360" s="7" t="str">
        <f t="array" ref="W1360">INDEX(xlRTCLNAME,MATCH(1,(xlRTCLENDU=2)*(xlRTCLEQCL=$F1360),0))</f>
        <v>CENT_AIR</v>
      </c>
      <c r="X1360" s="7" t="str">
        <f t="array" ref="X1360">INDEX(xlRTTYNAME,MATCH(1,(xlRTTYENDU=1)*(xlRTTYEQCL=$D1360)*(xlRTEQTYPE=$E1360),0))</f>
        <v>LPG_FA3</v>
      </c>
      <c r="Y1360" s="7" t="str">
        <f t="array" ref="Y1360">INDEX(xlRTTYNAME,MATCH(1,(xlRTTYENDU=2)*(xlRTTYEQCL=$F1360)*(xlRTEQTYPE=$G1360),0))</f>
        <v>CENT_AIR3</v>
      </c>
    </row>
    <row r="1361" spans="2:25" ht="14.25" customHeight="1" x14ac:dyDescent="0.2">
      <c r="B1361" s="152">
        <v>9</v>
      </c>
      <c r="C1361" s="152">
        <v>2</v>
      </c>
      <c r="D1361" s="152">
        <v>6</v>
      </c>
      <c r="E1361" s="152">
        <v>21</v>
      </c>
      <c r="F1361" s="152">
        <v>2</v>
      </c>
      <c r="G1361" s="152">
        <v>6</v>
      </c>
      <c r="H1361" s="152">
        <v>2029</v>
      </c>
      <c r="I1361" s="152">
        <v>2032</v>
      </c>
      <c r="J1361" s="229">
        <v>1.07</v>
      </c>
      <c r="K1361" s="229">
        <v>1.0541</v>
      </c>
      <c r="L1361" s="229">
        <v>1.0063</v>
      </c>
      <c r="M1361" s="229">
        <v>1.2</v>
      </c>
      <c r="N1361" s="229">
        <v>1.4438</v>
      </c>
      <c r="O1361" s="229">
        <v>1.0538000000000001</v>
      </c>
      <c r="P1361" s="155">
        <v>3428.5623483797162</v>
      </c>
      <c r="Q1361" s="41">
        <f t="array" ref="Q1361">SUM(IF(($S1361&gt;=4)*($C1361='TaxCred&amp;Subs'!$D$114:$D$121)*($H1361='TaxCred&amp;Subs'!$C$114:$C$121)*($H1361&lt;='TaxCred&amp;Subs'!$C$123),'TaxCred&amp;Subs'!$E$114:$E$121,0))</f>
        <v>500</v>
      </c>
      <c r="R1361" s="230">
        <v>0</v>
      </c>
      <c r="S1361" s="152">
        <v>4</v>
      </c>
      <c r="T1361" s="152" t="s">
        <v>240</v>
      </c>
      <c r="V1361" s="7" t="str">
        <f t="array" ref="V1361">INDEX(xlRTCLNAME,MATCH(1,(xlRTCLENDU=1)*(xlRTCLEQCL=$D1361),0))</f>
        <v>LPG_FA</v>
      </c>
      <c r="W1361" s="7" t="str">
        <f t="array" ref="W1361">INDEX(xlRTCLNAME,MATCH(1,(xlRTCLENDU=2)*(xlRTCLEQCL=$F1361),0))</f>
        <v>CENT_AIR</v>
      </c>
      <c r="X1361" s="7" t="str">
        <f t="array" ref="X1361">INDEX(xlRTTYNAME,MATCH(1,(xlRTTYENDU=1)*(xlRTTYEQCL=$D1361)*(xlRTEQTYPE=$E1361),0))</f>
        <v>LPG_FA4</v>
      </c>
      <c r="Y1361" s="7" t="str">
        <f t="array" ref="Y1361">INDEX(xlRTTYNAME,MATCH(1,(xlRTTYENDU=2)*(xlRTTYEQCL=$F1361)*(xlRTEQTYPE=$G1361),0))</f>
        <v>CENT_AIR3</v>
      </c>
    </row>
    <row r="1362" spans="2:25" ht="14.25" customHeight="1" x14ac:dyDescent="0.2">
      <c r="B1362" s="5">
        <v>9</v>
      </c>
      <c r="C1362" s="5">
        <v>2</v>
      </c>
      <c r="D1362" s="5">
        <v>6</v>
      </c>
      <c r="E1362" s="31">
        <v>21</v>
      </c>
      <c r="F1362" s="5">
        <v>2</v>
      </c>
      <c r="G1362" s="31">
        <v>6</v>
      </c>
      <c r="H1362" s="5">
        <v>2033</v>
      </c>
      <c r="I1362" s="5">
        <v>2050</v>
      </c>
      <c r="J1362" s="142">
        <v>1.07</v>
      </c>
      <c r="K1362" s="142">
        <v>1.0541</v>
      </c>
      <c r="L1362" s="142">
        <v>1.0063</v>
      </c>
      <c r="M1362" s="142">
        <v>1.2</v>
      </c>
      <c r="N1362" s="142">
        <v>1.4438</v>
      </c>
      <c r="O1362" s="142">
        <v>1.0538000000000001</v>
      </c>
      <c r="P1362" s="26">
        <v>3428.5623483797162</v>
      </c>
      <c r="Q1362" s="35">
        <f t="array" ref="Q1362">SUM(IF(($S1362&gt;=4)*($C1362='TaxCred&amp;Subs'!$D$114:$D$121)*($H1362='TaxCred&amp;Subs'!$C$114:$C$121)*($H1362&lt;='TaxCred&amp;Subs'!$C$123),'TaxCred&amp;Subs'!$E$114:$E$121,0))</f>
        <v>0</v>
      </c>
      <c r="R1362" s="143">
        <v>0</v>
      </c>
      <c r="S1362" s="5">
        <v>4</v>
      </c>
      <c r="T1362" s="5" t="s">
        <v>240</v>
      </c>
      <c r="V1362" s="7" t="str">
        <f t="array" ref="V1362">INDEX(xlRTCLNAME,MATCH(1,(xlRTCLENDU=1)*(xlRTCLEQCL=$D1362),0))</f>
        <v>LPG_FA</v>
      </c>
      <c r="W1362" s="7" t="str">
        <f t="array" ref="W1362">INDEX(xlRTCLNAME,MATCH(1,(xlRTCLENDU=2)*(xlRTCLEQCL=$F1362),0))</f>
        <v>CENT_AIR</v>
      </c>
      <c r="X1362" s="7" t="str">
        <f t="array" ref="X1362">INDEX(xlRTTYNAME,MATCH(1,(xlRTTYENDU=1)*(xlRTTYEQCL=$D1362)*(xlRTEQTYPE=$E1362),0))</f>
        <v>LPG_FA4</v>
      </c>
      <c r="Y1362" s="7" t="str">
        <f t="array" ref="Y1362">INDEX(xlRTTYNAME,MATCH(1,(xlRTTYENDU=2)*(xlRTTYEQCL=$F1362)*(xlRTEQTYPE=$G1362),0))</f>
        <v>CENT_AIR3</v>
      </c>
    </row>
    <row r="1363" spans="2:25" ht="14.25" customHeight="1" x14ac:dyDescent="0.2">
      <c r="B1363" s="5">
        <v>1</v>
      </c>
      <c r="C1363" s="5">
        <v>2</v>
      </c>
      <c r="D1363" s="5">
        <v>7</v>
      </c>
      <c r="E1363" s="5">
        <v>24</v>
      </c>
      <c r="F1363" s="5">
        <v>2</v>
      </c>
      <c r="G1363" s="31">
        <v>6</v>
      </c>
      <c r="H1363" s="31">
        <v>2020</v>
      </c>
      <c r="I1363" s="5">
        <v>2022</v>
      </c>
      <c r="J1363" s="142">
        <v>1.0956999999999999</v>
      </c>
      <c r="K1363" s="142">
        <v>1.0417000000000001</v>
      </c>
      <c r="L1363" s="142">
        <v>0.89729999999999999</v>
      </c>
      <c r="M1363" s="142">
        <v>1.1228</v>
      </c>
      <c r="N1363" s="142">
        <v>1.1153</v>
      </c>
      <c r="O1363" s="142">
        <v>1.0538000000000001</v>
      </c>
      <c r="P1363" s="26">
        <v>4871.2476032077293</v>
      </c>
      <c r="Q1363" s="35">
        <f t="array" ref="Q1363">SUM(IF(($S1363&gt;=4)*($C1363='TaxCred&amp;Subs'!$D$114:$D$121)*($H1363='TaxCred&amp;Subs'!$C$114:$C$121)*($H1363&lt;='TaxCred&amp;Subs'!$C$123),'TaxCred&amp;Subs'!$E$114:$E$121,0))</f>
        <v>0</v>
      </c>
      <c r="R1363" s="143">
        <v>0</v>
      </c>
      <c r="S1363" s="5">
        <v>4</v>
      </c>
      <c r="T1363" s="5" t="s">
        <v>240</v>
      </c>
      <c r="V1363" s="7" t="str">
        <f t="array" ref="V1363">INDEX(xlRTCLNAME,MATCH(1,(xlRTCLENDU=1)*(xlRTCLEQCL=$D1363),0))</f>
        <v>DIST_FA</v>
      </c>
      <c r="W1363" s="7" t="str">
        <f t="array" ref="W1363">INDEX(xlRTCLNAME,MATCH(1,(xlRTCLENDU=2)*(xlRTCLEQCL=$F1363),0))</f>
        <v>CENT_AIR</v>
      </c>
      <c r="X1363" s="7" t="str">
        <f t="array" ref="X1363">INDEX(xlRTTYNAME,MATCH(1,(xlRTTYENDU=1)*(xlRTTYEQCL=$D1363)*(xlRTEQTYPE=$E1363),0))</f>
        <v>DIST_FA3</v>
      </c>
      <c r="Y1363" s="7" t="str">
        <f t="array" ref="Y1363">INDEX(xlRTTYNAME,MATCH(1,(xlRTTYENDU=2)*(xlRTTYEQCL=$F1363)*(xlRTEQTYPE=$G1363),0))</f>
        <v>CENT_AIR3</v>
      </c>
    </row>
    <row r="1364" spans="2:25" ht="14.25" customHeight="1" x14ac:dyDescent="0.2">
      <c r="B1364" s="5">
        <v>1</v>
      </c>
      <c r="C1364" s="5">
        <v>2</v>
      </c>
      <c r="D1364" s="5">
        <v>7</v>
      </c>
      <c r="E1364" s="5">
        <v>24</v>
      </c>
      <c r="F1364" s="5">
        <v>2</v>
      </c>
      <c r="G1364" s="31">
        <v>6</v>
      </c>
      <c r="H1364" s="5">
        <v>2023</v>
      </c>
      <c r="I1364" s="5">
        <v>2032</v>
      </c>
      <c r="J1364" s="142">
        <v>1.0956999999999999</v>
      </c>
      <c r="K1364" s="142">
        <v>1.0417000000000001</v>
      </c>
      <c r="L1364" s="142">
        <v>0.89729999999999999</v>
      </c>
      <c r="M1364" s="142">
        <v>1.1228</v>
      </c>
      <c r="N1364" s="142">
        <v>1.1153</v>
      </c>
      <c r="O1364" s="142">
        <v>1.0538000000000001</v>
      </c>
      <c r="P1364" s="26">
        <v>4871.2476032077293</v>
      </c>
      <c r="Q1364" s="35">
        <f t="array" ref="Q1364">SUM(IF(($S1364&gt;=4)*($C1364='TaxCred&amp;Subs'!$D$114:$D$121)*($H1364='TaxCred&amp;Subs'!$C$114:$C$121)*($H1364&lt;='TaxCred&amp;Subs'!$C$123),'TaxCred&amp;Subs'!$E$114:$E$121,0))</f>
        <v>500</v>
      </c>
      <c r="R1364" s="143">
        <v>0</v>
      </c>
      <c r="S1364" s="5">
        <v>4</v>
      </c>
      <c r="T1364" s="5" t="s">
        <v>240</v>
      </c>
      <c r="V1364" s="7" t="str">
        <f t="array" ref="V1364">INDEX(xlRTCLNAME,MATCH(1,(xlRTCLENDU=1)*(xlRTCLEQCL=$D1364),0))</f>
        <v>DIST_FA</v>
      </c>
      <c r="W1364" s="7" t="str">
        <f t="array" ref="W1364">INDEX(xlRTCLNAME,MATCH(1,(xlRTCLENDU=2)*(xlRTCLEQCL=$F1364),0))</f>
        <v>CENT_AIR</v>
      </c>
      <c r="X1364" s="7" t="str">
        <f t="array" ref="X1364">INDEX(xlRTTYNAME,MATCH(1,(xlRTTYENDU=1)*(xlRTTYEQCL=$D1364)*(xlRTEQTYPE=$E1364),0))</f>
        <v>DIST_FA3</v>
      </c>
      <c r="Y1364" s="7" t="str">
        <f t="array" ref="Y1364">INDEX(xlRTTYNAME,MATCH(1,(xlRTTYENDU=2)*(xlRTTYEQCL=$F1364)*(xlRTEQTYPE=$G1364),0))</f>
        <v>CENT_AIR3</v>
      </c>
    </row>
    <row r="1365" spans="2:25" ht="14.25" customHeight="1" x14ac:dyDescent="0.2">
      <c r="B1365" s="5">
        <v>1</v>
      </c>
      <c r="C1365" s="5">
        <v>2</v>
      </c>
      <c r="D1365" s="5">
        <v>7</v>
      </c>
      <c r="E1365" s="5">
        <v>24</v>
      </c>
      <c r="F1365" s="5">
        <v>2</v>
      </c>
      <c r="G1365" s="31">
        <v>6</v>
      </c>
      <c r="H1365" s="5">
        <v>2033</v>
      </c>
      <c r="I1365" s="5">
        <v>2050</v>
      </c>
      <c r="J1365" s="142">
        <v>1.0956999999999999</v>
      </c>
      <c r="K1365" s="142">
        <v>1.0417000000000001</v>
      </c>
      <c r="L1365" s="142">
        <v>0.89729999999999999</v>
      </c>
      <c r="M1365" s="142">
        <v>1.1228</v>
      </c>
      <c r="N1365" s="142">
        <v>1.1153</v>
      </c>
      <c r="O1365" s="142">
        <v>1.0538000000000001</v>
      </c>
      <c r="P1365" s="26">
        <v>4871.2476032077293</v>
      </c>
      <c r="Q1365" s="35">
        <f t="array" ref="Q1365">SUM(IF(($S1365&gt;=4)*($C1365='TaxCred&amp;Subs'!$D$114:$D$121)*($H1365='TaxCred&amp;Subs'!$C$114:$C$121)*($H1365&lt;='TaxCred&amp;Subs'!$C$123),'TaxCred&amp;Subs'!$E$114:$E$121,0))</f>
        <v>0</v>
      </c>
      <c r="R1365" s="143">
        <v>0</v>
      </c>
      <c r="S1365" s="5">
        <v>4</v>
      </c>
      <c r="T1365" s="5" t="s">
        <v>240</v>
      </c>
      <c r="V1365" s="7" t="str">
        <f t="array" ref="V1365">INDEX(xlRTCLNAME,MATCH(1,(xlRTCLENDU=1)*(xlRTCLEQCL=$D1365),0))</f>
        <v>DIST_FA</v>
      </c>
      <c r="W1365" s="7" t="str">
        <f t="array" ref="W1365">INDEX(xlRTCLNAME,MATCH(1,(xlRTCLENDU=2)*(xlRTCLEQCL=$F1365),0))</f>
        <v>CENT_AIR</v>
      </c>
      <c r="X1365" s="7" t="str">
        <f t="array" ref="X1365">INDEX(xlRTTYNAME,MATCH(1,(xlRTTYENDU=1)*(xlRTTYEQCL=$D1365)*(xlRTEQTYPE=$E1365),0))</f>
        <v>DIST_FA3</v>
      </c>
      <c r="Y1365" s="7" t="str">
        <f t="array" ref="Y1365">INDEX(xlRTTYNAME,MATCH(1,(xlRTTYENDU=2)*(xlRTTYEQCL=$F1365)*(xlRTEQTYPE=$G1365),0))</f>
        <v>CENT_AIR3</v>
      </c>
    </row>
    <row r="1366" spans="2:25" ht="14.25" customHeight="1" x14ac:dyDescent="0.2">
      <c r="B1366" s="5">
        <v>2</v>
      </c>
      <c r="C1366" s="5">
        <v>2</v>
      </c>
      <c r="D1366" s="5">
        <v>7</v>
      </c>
      <c r="E1366" s="5">
        <v>24</v>
      </c>
      <c r="F1366" s="5">
        <v>2</v>
      </c>
      <c r="G1366" s="31">
        <v>6</v>
      </c>
      <c r="H1366" s="31">
        <v>2020</v>
      </c>
      <c r="I1366" s="5">
        <v>2022</v>
      </c>
      <c r="J1366" s="142">
        <v>1.1059000000000001</v>
      </c>
      <c r="K1366" s="142">
        <v>1.0357000000000001</v>
      </c>
      <c r="L1366" s="142">
        <v>0.93369999999999997</v>
      </c>
      <c r="M1366" s="142">
        <v>1.1625000000000001</v>
      </c>
      <c r="N1366" s="142">
        <v>1.1176999999999999</v>
      </c>
      <c r="O1366" s="142">
        <v>1.0538000000000001</v>
      </c>
      <c r="P1366" s="26">
        <v>4212.4258186171173</v>
      </c>
      <c r="Q1366" s="35">
        <f t="array" ref="Q1366">SUM(IF(($S1366&gt;=4)*($C1366='TaxCred&amp;Subs'!$D$114:$D$121)*($H1366='TaxCred&amp;Subs'!$C$114:$C$121)*($H1366&lt;='TaxCred&amp;Subs'!$C$123),'TaxCred&amp;Subs'!$E$114:$E$121,0))</f>
        <v>0</v>
      </c>
      <c r="R1366" s="143">
        <v>0</v>
      </c>
      <c r="S1366" s="5">
        <v>4</v>
      </c>
      <c r="T1366" s="5" t="s">
        <v>240</v>
      </c>
      <c r="V1366" s="7" t="str">
        <f t="array" ref="V1366">INDEX(xlRTCLNAME,MATCH(1,(xlRTCLENDU=1)*(xlRTCLEQCL=$D1366),0))</f>
        <v>DIST_FA</v>
      </c>
      <c r="W1366" s="7" t="str">
        <f t="array" ref="W1366">INDEX(xlRTCLNAME,MATCH(1,(xlRTCLENDU=2)*(xlRTCLEQCL=$F1366),0))</f>
        <v>CENT_AIR</v>
      </c>
      <c r="X1366" s="7" t="str">
        <f t="array" ref="X1366">INDEX(xlRTTYNAME,MATCH(1,(xlRTTYENDU=1)*(xlRTTYEQCL=$D1366)*(xlRTEQTYPE=$E1366),0))</f>
        <v>DIST_FA3</v>
      </c>
      <c r="Y1366" s="7" t="str">
        <f t="array" ref="Y1366">INDEX(xlRTTYNAME,MATCH(1,(xlRTTYENDU=2)*(xlRTTYEQCL=$F1366)*(xlRTEQTYPE=$G1366),0))</f>
        <v>CENT_AIR3</v>
      </c>
    </row>
    <row r="1367" spans="2:25" ht="14.25" customHeight="1" x14ac:dyDescent="0.2">
      <c r="B1367" s="5">
        <v>2</v>
      </c>
      <c r="C1367" s="5">
        <v>2</v>
      </c>
      <c r="D1367" s="5">
        <v>7</v>
      </c>
      <c r="E1367" s="5">
        <v>24</v>
      </c>
      <c r="F1367" s="5">
        <v>2</v>
      </c>
      <c r="G1367" s="31">
        <v>6</v>
      </c>
      <c r="H1367" s="5">
        <v>2023</v>
      </c>
      <c r="I1367" s="5">
        <v>2032</v>
      </c>
      <c r="J1367" s="142">
        <v>1.1059000000000001</v>
      </c>
      <c r="K1367" s="142">
        <v>1.0357000000000001</v>
      </c>
      <c r="L1367" s="142">
        <v>0.93369999999999997</v>
      </c>
      <c r="M1367" s="142">
        <v>1.1625000000000001</v>
      </c>
      <c r="N1367" s="142">
        <v>1.1176999999999999</v>
      </c>
      <c r="O1367" s="142">
        <v>1.0538000000000001</v>
      </c>
      <c r="P1367" s="26">
        <v>4212.4258186171173</v>
      </c>
      <c r="Q1367" s="35">
        <f t="array" ref="Q1367">SUM(IF(($S1367&gt;=4)*($C1367='TaxCred&amp;Subs'!$D$114:$D$121)*($H1367='TaxCred&amp;Subs'!$C$114:$C$121)*($H1367&lt;='TaxCred&amp;Subs'!$C$123),'TaxCred&amp;Subs'!$E$114:$E$121,0))</f>
        <v>500</v>
      </c>
      <c r="R1367" s="143">
        <v>0</v>
      </c>
      <c r="S1367" s="5">
        <v>4</v>
      </c>
      <c r="T1367" s="5" t="s">
        <v>240</v>
      </c>
      <c r="V1367" s="7" t="str">
        <f t="array" ref="V1367">INDEX(xlRTCLNAME,MATCH(1,(xlRTCLENDU=1)*(xlRTCLEQCL=$D1367),0))</f>
        <v>DIST_FA</v>
      </c>
      <c r="W1367" s="7" t="str">
        <f t="array" ref="W1367">INDEX(xlRTCLNAME,MATCH(1,(xlRTCLENDU=2)*(xlRTCLEQCL=$F1367),0))</f>
        <v>CENT_AIR</v>
      </c>
      <c r="X1367" s="7" t="str">
        <f t="array" ref="X1367">INDEX(xlRTTYNAME,MATCH(1,(xlRTTYENDU=1)*(xlRTTYEQCL=$D1367)*(xlRTEQTYPE=$E1367),0))</f>
        <v>DIST_FA3</v>
      </c>
      <c r="Y1367" s="7" t="str">
        <f t="array" ref="Y1367">INDEX(xlRTTYNAME,MATCH(1,(xlRTTYENDU=2)*(xlRTTYEQCL=$F1367)*(xlRTEQTYPE=$G1367),0))</f>
        <v>CENT_AIR3</v>
      </c>
    </row>
    <row r="1368" spans="2:25" ht="14.25" customHeight="1" x14ac:dyDescent="0.2">
      <c r="B1368" s="5">
        <v>2</v>
      </c>
      <c r="C1368" s="5">
        <v>2</v>
      </c>
      <c r="D1368" s="5">
        <v>7</v>
      </c>
      <c r="E1368" s="5">
        <v>24</v>
      </c>
      <c r="F1368" s="5">
        <v>2</v>
      </c>
      <c r="G1368" s="31">
        <v>6</v>
      </c>
      <c r="H1368" s="5">
        <v>2033</v>
      </c>
      <c r="I1368" s="5">
        <v>2050</v>
      </c>
      <c r="J1368" s="142">
        <v>1.1059000000000001</v>
      </c>
      <c r="K1368" s="142">
        <v>1.0357000000000001</v>
      </c>
      <c r="L1368" s="142">
        <v>0.93369999999999997</v>
      </c>
      <c r="M1368" s="142">
        <v>1.1625000000000001</v>
      </c>
      <c r="N1368" s="142">
        <v>1.1176999999999999</v>
      </c>
      <c r="O1368" s="142">
        <v>1.0538000000000001</v>
      </c>
      <c r="P1368" s="26">
        <v>4212.4258186171173</v>
      </c>
      <c r="Q1368" s="35">
        <f t="array" ref="Q1368">SUM(IF(($S1368&gt;=4)*($C1368='TaxCred&amp;Subs'!$D$114:$D$121)*($H1368='TaxCred&amp;Subs'!$C$114:$C$121)*($H1368&lt;='TaxCred&amp;Subs'!$C$123),'TaxCred&amp;Subs'!$E$114:$E$121,0))</f>
        <v>0</v>
      </c>
      <c r="R1368" s="143">
        <v>0</v>
      </c>
      <c r="S1368" s="5">
        <v>4</v>
      </c>
      <c r="T1368" s="5" t="s">
        <v>240</v>
      </c>
      <c r="V1368" s="7" t="str">
        <f t="array" ref="V1368">INDEX(xlRTCLNAME,MATCH(1,(xlRTCLENDU=1)*(xlRTCLEQCL=$D1368),0))</f>
        <v>DIST_FA</v>
      </c>
      <c r="W1368" s="7" t="str">
        <f t="array" ref="W1368">INDEX(xlRTCLNAME,MATCH(1,(xlRTCLENDU=2)*(xlRTCLEQCL=$F1368),0))</f>
        <v>CENT_AIR</v>
      </c>
      <c r="X1368" s="7" t="str">
        <f t="array" ref="X1368">INDEX(xlRTTYNAME,MATCH(1,(xlRTTYENDU=1)*(xlRTTYEQCL=$D1368)*(xlRTEQTYPE=$E1368),0))</f>
        <v>DIST_FA3</v>
      </c>
      <c r="Y1368" s="7" t="str">
        <f t="array" ref="Y1368">INDEX(xlRTTYNAME,MATCH(1,(xlRTTYENDU=2)*(xlRTTYEQCL=$F1368)*(xlRTEQTYPE=$G1368),0))</f>
        <v>CENT_AIR3</v>
      </c>
    </row>
    <row r="1369" spans="2:25" ht="14.25" customHeight="1" x14ac:dyDescent="0.2">
      <c r="B1369" s="5">
        <v>3</v>
      </c>
      <c r="C1369" s="5">
        <v>2</v>
      </c>
      <c r="D1369" s="5">
        <v>7</v>
      </c>
      <c r="E1369" s="5">
        <v>24</v>
      </c>
      <c r="F1369" s="5">
        <v>2</v>
      </c>
      <c r="G1369" s="31">
        <v>6</v>
      </c>
      <c r="H1369" s="31">
        <v>2020</v>
      </c>
      <c r="I1369" s="5">
        <v>2022</v>
      </c>
      <c r="J1369" s="142">
        <v>1.099</v>
      </c>
      <c r="K1369" s="142">
        <v>1.03</v>
      </c>
      <c r="L1369" s="142">
        <v>0.80589999999999995</v>
      </c>
      <c r="M1369" s="142">
        <v>1.0138</v>
      </c>
      <c r="N1369" s="142">
        <v>1.0381</v>
      </c>
      <c r="O1369" s="142">
        <v>1.0538000000000001</v>
      </c>
      <c r="P1369" s="26">
        <v>4145.19910590379</v>
      </c>
      <c r="Q1369" s="35">
        <f t="array" ref="Q1369">SUM(IF(($S1369&gt;=4)*($C1369='TaxCred&amp;Subs'!$D$114:$D$121)*($H1369='TaxCred&amp;Subs'!$C$114:$C$121)*($H1369&lt;='TaxCred&amp;Subs'!$C$123),'TaxCred&amp;Subs'!$E$114:$E$121,0))</f>
        <v>0</v>
      </c>
      <c r="R1369" s="143">
        <v>0</v>
      </c>
      <c r="S1369" s="5">
        <v>4</v>
      </c>
      <c r="T1369" s="5" t="s">
        <v>240</v>
      </c>
      <c r="V1369" s="7" t="str">
        <f t="array" ref="V1369">INDEX(xlRTCLNAME,MATCH(1,(xlRTCLENDU=1)*(xlRTCLEQCL=$D1369),0))</f>
        <v>DIST_FA</v>
      </c>
      <c r="W1369" s="7" t="str">
        <f t="array" ref="W1369">INDEX(xlRTCLNAME,MATCH(1,(xlRTCLENDU=2)*(xlRTCLEQCL=$F1369),0))</f>
        <v>CENT_AIR</v>
      </c>
      <c r="X1369" s="7" t="str">
        <f t="array" ref="X1369">INDEX(xlRTTYNAME,MATCH(1,(xlRTTYENDU=1)*(xlRTTYEQCL=$D1369)*(xlRTEQTYPE=$E1369),0))</f>
        <v>DIST_FA3</v>
      </c>
      <c r="Y1369" s="7" t="str">
        <f t="array" ref="Y1369">INDEX(xlRTTYNAME,MATCH(1,(xlRTTYENDU=2)*(xlRTTYEQCL=$F1369)*(xlRTEQTYPE=$G1369),0))</f>
        <v>CENT_AIR3</v>
      </c>
    </row>
    <row r="1370" spans="2:25" ht="14.25" customHeight="1" x14ac:dyDescent="0.2">
      <c r="B1370" s="5">
        <v>3</v>
      </c>
      <c r="C1370" s="5">
        <v>2</v>
      </c>
      <c r="D1370" s="5">
        <v>7</v>
      </c>
      <c r="E1370" s="5">
        <v>24</v>
      </c>
      <c r="F1370" s="5">
        <v>2</v>
      </c>
      <c r="G1370" s="31">
        <v>6</v>
      </c>
      <c r="H1370" s="5">
        <v>2023</v>
      </c>
      <c r="I1370" s="5">
        <v>2032</v>
      </c>
      <c r="J1370" s="142">
        <v>1.099</v>
      </c>
      <c r="K1370" s="142">
        <v>1.03</v>
      </c>
      <c r="L1370" s="142">
        <v>0.80589999999999995</v>
      </c>
      <c r="M1370" s="142">
        <v>1.0138</v>
      </c>
      <c r="N1370" s="142">
        <v>1.0381</v>
      </c>
      <c r="O1370" s="142">
        <v>1.0538000000000001</v>
      </c>
      <c r="P1370" s="26">
        <v>4145.19910590379</v>
      </c>
      <c r="Q1370" s="35">
        <f t="array" ref="Q1370">SUM(IF(($S1370&gt;=4)*($C1370='TaxCred&amp;Subs'!$D$114:$D$121)*($H1370='TaxCred&amp;Subs'!$C$114:$C$121)*($H1370&lt;='TaxCred&amp;Subs'!$C$123),'TaxCred&amp;Subs'!$E$114:$E$121,0))</f>
        <v>500</v>
      </c>
      <c r="R1370" s="143">
        <v>0</v>
      </c>
      <c r="S1370" s="5">
        <v>4</v>
      </c>
      <c r="T1370" s="5" t="s">
        <v>240</v>
      </c>
      <c r="V1370" s="7" t="str">
        <f t="array" ref="V1370">INDEX(xlRTCLNAME,MATCH(1,(xlRTCLENDU=1)*(xlRTCLEQCL=$D1370),0))</f>
        <v>DIST_FA</v>
      </c>
      <c r="W1370" s="7" t="str">
        <f t="array" ref="W1370">INDEX(xlRTCLNAME,MATCH(1,(xlRTCLENDU=2)*(xlRTCLEQCL=$F1370),0))</f>
        <v>CENT_AIR</v>
      </c>
      <c r="X1370" s="7" t="str">
        <f t="array" ref="X1370">INDEX(xlRTTYNAME,MATCH(1,(xlRTTYENDU=1)*(xlRTTYEQCL=$D1370)*(xlRTEQTYPE=$E1370),0))</f>
        <v>DIST_FA3</v>
      </c>
      <c r="Y1370" s="7" t="str">
        <f t="array" ref="Y1370">INDEX(xlRTTYNAME,MATCH(1,(xlRTTYENDU=2)*(xlRTTYEQCL=$F1370)*(xlRTEQTYPE=$G1370),0))</f>
        <v>CENT_AIR3</v>
      </c>
    </row>
    <row r="1371" spans="2:25" ht="14.25" customHeight="1" x14ac:dyDescent="0.2">
      <c r="B1371" s="5">
        <v>3</v>
      </c>
      <c r="C1371" s="5">
        <v>2</v>
      </c>
      <c r="D1371" s="5">
        <v>7</v>
      </c>
      <c r="E1371" s="5">
        <v>24</v>
      </c>
      <c r="F1371" s="5">
        <v>2</v>
      </c>
      <c r="G1371" s="31">
        <v>6</v>
      </c>
      <c r="H1371" s="5">
        <v>2033</v>
      </c>
      <c r="I1371" s="5">
        <v>2050</v>
      </c>
      <c r="J1371" s="142">
        <v>1.099</v>
      </c>
      <c r="K1371" s="142">
        <v>1.03</v>
      </c>
      <c r="L1371" s="142">
        <v>0.80589999999999995</v>
      </c>
      <c r="M1371" s="142">
        <v>1.0138</v>
      </c>
      <c r="N1371" s="142">
        <v>1.0381</v>
      </c>
      <c r="O1371" s="142">
        <v>1.0538000000000001</v>
      </c>
      <c r="P1371" s="26">
        <v>4145.19910590379</v>
      </c>
      <c r="Q1371" s="35">
        <f t="array" ref="Q1371">SUM(IF(($S1371&gt;=4)*($C1371='TaxCred&amp;Subs'!$D$114:$D$121)*($H1371='TaxCred&amp;Subs'!$C$114:$C$121)*($H1371&lt;='TaxCred&amp;Subs'!$C$123),'TaxCred&amp;Subs'!$E$114:$E$121,0))</f>
        <v>0</v>
      </c>
      <c r="R1371" s="143">
        <v>0</v>
      </c>
      <c r="S1371" s="5">
        <v>4</v>
      </c>
      <c r="T1371" s="5" t="s">
        <v>240</v>
      </c>
      <c r="V1371" s="7" t="str">
        <f t="array" ref="V1371">INDEX(xlRTCLNAME,MATCH(1,(xlRTCLENDU=1)*(xlRTCLEQCL=$D1371),0))</f>
        <v>DIST_FA</v>
      </c>
      <c r="W1371" s="7" t="str">
        <f t="array" ref="W1371">INDEX(xlRTCLNAME,MATCH(1,(xlRTCLENDU=2)*(xlRTCLEQCL=$F1371),0))</f>
        <v>CENT_AIR</v>
      </c>
      <c r="X1371" s="7" t="str">
        <f t="array" ref="X1371">INDEX(xlRTTYNAME,MATCH(1,(xlRTTYENDU=1)*(xlRTTYEQCL=$D1371)*(xlRTEQTYPE=$E1371),0))</f>
        <v>DIST_FA3</v>
      </c>
      <c r="Y1371" s="7" t="str">
        <f t="array" ref="Y1371">INDEX(xlRTTYNAME,MATCH(1,(xlRTTYENDU=2)*(xlRTTYEQCL=$F1371)*(xlRTEQTYPE=$G1371),0))</f>
        <v>CENT_AIR3</v>
      </c>
    </row>
    <row r="1372" spans="2:25" ht="14.25" customHeight="1" x14ac:dyDescent="0.2">
      <c r="B1372" s="5">
        <v>4</v>
      </c>
      <c r="C1372" s="5">
        <v>2</v>
      </c>
      <c r="D1372" s="5">
        <v>7</v>
      </c>
      <c r="E1372" s="5">
        <v>24</v>
      </c>
      <c r="F1372" s="5">
        <v>2</v>
      </c>
      <c r="G1372" s="31">
        <v>6</v>
      </c>
      <c r="H1372" s="31">
        <v>2020</v>
      </c>
      <c r="I1372" s="5">
        <v>2022</v>
      </c>
      <c r="J1372" s="142">
        <v>1.0934999999999999</v>
      </c>
      <c r="K1372" s="142">
        <v>1.0435000000000001</v>
      </c>
      <c r="L1372" s="142">
        <v>0.84150000000000003</v>
      </c>
      <c r="M1372" s="142">
        <v>1.1499999999999999</v>
      </c>
      <c r="N1372" s="142">
        <v>1.1696</v>
      </c>
      <c r="O1372" s="142">
        <v>1.0538000000000001</v>
      </c>
      <c r="P1372" s="26">
        <v>3197.3024566458685</v>
      </c>
      <c r="Q1372" s="35">
        <f t="array" ref="Q1372">SUM(IF(($S1372&gt;=4)*($C1372='TaxCred&amp;Subs'!$D$114:$D$121)*($H1372='TaxCred&amp;Subs'!$C$114:$C$121)*($H1372&lt;='TaxCred&amp;Subs'!$C$123),'TaxCred&amp;Subs'!$E$114:$E$121,0))</f>
        <v>0</v>
      </c>
      <c r="R1372" s="143">
        <v>0</v>
      </c>
      <c r="S1372" s="5">
        <v>4</v>
      </c>
      <c r="T1372" s="5" t="s">
        <v>240</v>
      </c>
      <c r="V1372" s="7" t="str">
        <f t="array" ref="V1372">INDEX(xlRTCLNAME,MATCH(1,(xlRTCLENDU=1)*(xlRTCLEQCL=$D1372),0))</f>
        <v>DIST_FA</v>
      </c>
      <c r="W1372" s="7" t="str">
        <f t="array" ref="W1372">INDEX(xlRTCLNAME,MATCH(1,(xlRTCLENDU=2)*(xlRTCLEQCL=$F1372),0))</f>
        <v>CENT_AIR</v>
      </c>
      <c r="X1372" s="7" t="str">
        <f t="array" ref="X1372">INDEX(xlRTTYNAME,MATCH(1,(xlRTTYENDU=1)*(xlRTTYEQCL=$D1372)*(xlRTEQTYPE=$E1372),0))</f>
        <v>DIST_FA3</v>
      </c>
      <c r="Y1372" s="7" t="str">
        <f t="array" ref="Y1372">INDEX(xlRTTYNAME,MATCH(1,(xlRTTYENDU=2)*(xlRTTYEQCL=$F1372)*(xlRTEQTYPE=$G1372),0))</f>
        <v>CENT_AIR3</v>
      </c>
    </row>
    <row r="1373" spans="2:25" ht="14.25" customHeight="1" x14ac:dyDescent="0.2">
      <c r="B1373" s="5">
        <v>4</v>
      </c>
      <c r="C1373" s="5">
        <v>2</v>
      </c>
      <c r="D1373" s="5">
        <v>7</v>
      </c>
      <c r="E1373" s="5">
        <v>24</v>
      </c>
      <c r="F1373" s="5">
        <v>2</v>
      </c>
      <c r="G1373" s="31">
        <v>6</v>
      </c>
      <c r="H1373" s="5">
        <v>2023</v>
      </c>
      <c r="I1373" s="5">
        <v>2032</v>
      </c>
      <c r="J1373" s="142">
        <v>1.0934999999999999</v>
      </c>
      <c r="K1373" s="142">
        <v>1.0435000000000001</v>
      </c>
      <c r="L1373" s="142">
        <v>0.84150000000000003</v>
      </c>
      <c r="M1373" s="142">
        <v>1.1499999999999999</v>
      </c>
      <c r="N1373" s="142">
        <v>1.1696</v>
      </c>
      <c r="O1373" s="142">
        <v>1.0538000000000001</v>
      </c>
      <c r="P1373" s="26">
        <v>3197.3024566458685</v>
      </c>
      <c r="Q1373" s="35">
        <f t="array" ref="Q1373">SUM(IF(($S1373&gt;=4)*($C1373='TaxCred&amp;Subs'!$D$114:$D$121)*($H1373='TaxCred&amp;Subs'!$C$114:$C$121)*($H1373&lt;='TaxCred&amp;Subs'!$C$123),'TaxCred&amp;Subs'!$E$114:$E$121,0))</f>
        <v>500</v>
      </c>
      <c r="R1373" s="143">
        <v>0</v>
      </c>
      <c r="S1373" s="5">
        <v>4</v>
      </c>
      <c r="T1373" s="5" t="s">
        <v>240</v>
      </c>
      <c r="V1373" s="7" t="str">
        <f t="array" ref="V1373">INDEX(xlRTCLNAME,MATCH(1,(xlRTCLENDU=1)*(xlRTCLEQCL=$D1373),0))</f>
        <v>DIST_FA</v>
      </c>
      <c r="W1373" s="7" t="str">
        <f t="array" ref="W1373">INDEX(xlRTCLNAME,MATCH(1,(xlRTCLENDU=2)*(xlRTCLEQCL=$F1373),0))</f>
        <v>CENT_AIR</v>
      </c>
      <c r="X1373" s="7" t="str">
        <f t="array" ref="X1373">INDEX(xlRTTYNAME,MATCH(1,(xlRTTYENDU=1)*(xlRTTYEQCL=$D1373)*(xlRTEQTYPE=$E1373),0))</f>
        <v>DIST_FA3</v>
      </c>
      <c r="Y1373" s="7" t="str">
        <f t="array" ref="Y1373">INDEX(xlRTTYNAME,MATCH(1,(xlRTTYENDU=2)*(xlRTTYEQCL=$F1373)*(xlRTEQTYPE=$G1373),0))</f>
        <v>CENT_AIR3</v>
      </c>
    </row>
    <row r="1374" spans="2:25" ht="14.25" customHeight="1" x14ac:dyDescent="0.2">
      <c r="B1374" s="5">
        <v>4</v>
      </c>
      <c r="C1374" s="5">
        <v>2</v>
      </c>
      <c r="D1374" s="5">
        <v>7</v>
      </c>
      <c r="E1374" s="5">
        <v>24</v>
      </c>
      <c r="F1374" s="5">
        <v>2</v>
      </c>
      <c r="G1374" s="31">
        <v>6</v>
      </c>
      <c r="H1374" s="5">
        <v>2033</v>
      </c>
      <c r="I1374" s="5">
        <v>2050</v>
      </c>
      <c r="J1374" s="142">
        <v>1.0934999999999999</v>
      </c>
      <c r="K1374" s="142">
        <v>1.0435000000000001</v>
      </c>
      <c r="L1374" s="142">
        <v>0.84150000000000003</v>
      </c>
      <c r="M1374" s="142">
        <v>1.1499999999999999</v>
      </c>
      <c r="N1374" s="142">
        <v>1.1696</v>
      </c>
      <c r="O1374" s="142">
        <v>1.0538000000000001</v>
      </c>
      <c r="P1374" s="26">
        <v>3197.3024566458685</v>
      </c>
      <c r="Q1374" s="35">
        <f t="array" ref="Q1374">SUM(IF(($S1374&gt;=4)*($C1374='TaxCred&amp;Subs'!$D$114:$D$121)*($H1374='TaxCred&amp;Subs'!$C$114:$C$121)*($H1374&lt;='TaxCred&amp;Subs'!$C$123),'TaxCred&amp;Subs'!$E$114:$E$121,0))</f>
        <v>0</v>
      </c>
      <c r="R1374" s="143">
        <v>0</v>
      </c>
      <c r="S1374" s="5">
        <v>4</v>
      </c>
      <c r="T1374" s="5" t="s">
        <v>240</v>
      </c>
      <c r="V1374" s="7" t="str">
        <f t="array" ref="V1374">INDEX(xlRTCLNAME,MATCH(1,(xlRTCLENDU=1)*(xlRTCLEQCL=$D1374),0))</f>
        <v>DIST_FA</v>
      </c>
      <c r="W1374" s="7" t="str">
        <f t="array" ref="W1374">INDEX(xlRTCLNAME,MATCH(1,(xlRTCLENDU=2)*(xlRTCLEQCL=$F1374),0))</f>
        <v>CENT_AIR</v>
      </c>
      <c r="X1374" s="7" t="str">
        <f t="array" ref="X1374">INDEX(xlRTTYNAME,MATCH(1,(xlRTTYENDU=1)*(xlRTTYEQCL=$D1374)*(xlRTEQTYPE=$E1374),0))</f>
        <v>DIST_FA3</v>
      </c>
      <c r="Y1374" s="7" t="str">
        <f t="array" ref="Y1374">INDEX(xlRTTYNAME,MATCH(1,(xlRTTYENDU=2)*(xlRTTYEQCL=$F1374)*(xlRTEQTYPE=$G1374),0))</f>
        <v>CENT_AIR3</v>
      </c>
    </row>
    <row r="1375" spans="2:25" ht="14.25" customHeight="1" x14ac:dyDescent="0.2">
      <c r="B1375" s="5">
        <v>5</v>
      </c>
      <c r="C1375" s="5">
        <v>2</v>
      </c>
      <c r="D1375" s="5">
        <v>7</v>
      </c>
      <c r="E1375" s="5">
        <v>24</v>
      </c>
      <c r="F1375" s="5">
        <v>2</v>
      </c>
      <c r="G1375" s="31">
        <v>6</v>
      </c>
      <c r="H1375" s="31">
        <v>2020</v>
      </c>
      <c r="I1375" s="5">
        <v>2022</v>
      </c>
      <c r="J1375" s="142">
        <v>1.1200000000000001</v>
      </c>
      <c r="K1375" s="142">
        <v>1.0391999999999999</v>
      </c>
      <c r="L1375" s="142">
        <v>0.63129999999999997</v>
      </c>
      <c r="M1375" s="142">
        <v>1.0902000000000001</v>
      </c>
      <c r="N1375" s="142">
        <v>1.2595000000000001</v>
      </c>
      <c r="O1375" s="142">
        <v>1.0538000000000001</v>
      </c>
      <c r="P1375" s="26">
        <v>3025.2020720997493</v>
      </c>
      <c r="Q1375" s="35">
        <f t="array" ref="Q1375">SUM(IF(($S1375&gt;=4)*($C1375='TaxCred&amp;Subs'!$D$114:$D$121)*($H1375='TaxCred&amp;Subs'!$C$114:$C$121)*($H1375&lt;='TaxCred&amp;Subs'!$C$123),'TaxCred&amp;Subs'!$E$114:$E$121,0))</f>
        <v>0</v>
      </c>
      <c r="R1375" s="143">
        <v>0</v>
      </c>
      <c r="S1375" s="5">
        <v>4</v>
      </c>
      <c r="T1375" s="5" t="s">
        <v>240</v>
      </c>
      <c r="V1375" s="7" t="str">
        <f t="array" ref="V1375">INDEX(xlRTCLNAME,MATCH(1,(xlRTCLENDU=1)*(xlRTCLEQCL=$D1375),0))</f>
        <v>DIST_FA</v>
      </c>
      <c r="W1375" s="7" t="str">
        <f t="array" ref="W1375">INDEX(xlRTCLNAME,MATCH(1,(xlRTCLENDU=2)*(xlRTCLEQCL=$F1375),0))</f>
        <v>CENT_AIR</v>
      </c>
      <c r="X1375" s="7" t="str">
        <f t="array" ref="X1375">INDEX(xlRTTYNAME,MATCH(1,(xlRTTYENDU=1)*(xlRTTYEQCL=$D1375)*(xlRTEQTYPE=$E1375),0))</f>
        <v>DIST_FA3</v>
      </c>
      <c r="Y1375" s="7" t="str">
        <f t="array" ref="Y1375">INDEX(xlRTTYNAME,MATCH(1,(xlRTTYENDU=2)*(xlRTTYEQCL=$F1375)*(xlRTEQTYPE=$G1375),0))</f>
        <v>CENT_AIR3</v>
      </c>
    </row>
    <row r="1376" spans="2:25" ht="14.25" customHeight="1" x14ac:dyDescent="0.2">
      <c r="B1376" s="5">
        <v>5</v>
      </c>
      <c r="C1376" s="5">
        <v>2</v>
      </c>
      <c r="D1376" s="5">
        <v>7</v>
      </c>
      <c r="E1376" s="5">
        <v>24</v>
      </c>
      <c r="F1376" s="5">
        <v>2</v>
      </c>
      <c r="G1376" s="31">
        <v>6</v>
      </c>
      <c r="H1376" s="5">
        <v>2023</v>
      </c>
      <c r="I1376" s="5">
        <v>2032</v>
      </c>
      <c r="J1376" s="142">
        <v>1.1200000000000001</v>
      </c>
      <c r="K1376" s="142">
        <v>1.0391999999999999</v>
      </c>
      <c r="L1376" s="142">
        <v>0.63129999999999997</v>
      </c>
      <c r="M1376" s="142">
        <v>1.0902000000000001</v>
      </c>
      <c r="N1376" s="142">
        <v>1.2595000000000001</v>
      </c>
      <c r="O1376" s="142">
        <v>1.0538000000000001</v>
      </c>
      <c r="P1376" s="26">
        <v>3025.2020720997493</v>
      </c>
      <c r="Q1376" s="35">
        <f t="array" ref="Q1376">SUM(IF(($S1376&gt;=4)*($C1376='TaxCred&amp;Subs'!$D$114:$D$121)*($H1376='TaxCred&amp;Subs'!$C$114:$C$121)*($H1376&lt;='TaxCred&amp;Subs'!$C$123),'TaxCred&amp;Subs'!$E$114:$E$121,0))</f>
        <v>500</v>
      </c>
      <c r="R1376" s="143">
        <v>0</v>
      </c>
      <c r="S1376" s="5">
        <v>4</v>
      </c>
      <c r="T1376" s="5" t="s">
        <v>240</v>
      </c>
      <c r="V1376" s="7" t="str">
        <f t="array" ref="V1376">INDEX(xlRTCLNAME,MATCH(1,(xlRTCLENDU=1)*(xlRTCLEQCL=$D1376),0))</f>
        <v>DIST_FA</v>
      </c>
      <c r="W1376" s="7" t="str">
        <f t="array" ref="W1376">INDEX(xlRTCLNAME,MATCH(1,(xlRTCLENDU=2)*(xlRTCLEQCL=$F1376),0))</f>
        <v>CENT_AIR</v>
      </c>
      <c r="X1376" s="7" t="str">
        <f t="array" ref="X1376">INDEX(xlRTTYNAME,MATCH(1,(xlRTTYENDU=1)*(xlRTTYEQCL=$D1376)*(xlRTEQTYPE=$E1376),0))</f>
        <v>DIST_FA3</v>
      </c>
      <c r="Y1376" s="7" t="str">
        <f t="array" ref="Y1376">INDEX(xlRTTYNAME,MATCH(1,(xlRTTYENDU=2)*(xlRTTYEQCL=$F1376)*(xlRTEQTYPE=$G1376),0))</f>
        <v>CENT_AIR3</v>
      </c>
    </row>
    <row r="1377" spans="2:25" ht="14.25" customHeight="1" x14ac:dyDescent="0.2">
      <c r="B1377" s="5">
        <v>5</v>
      </c>
      <c r="C1377" s="5">
        <v>2</v>
      </c>
      <c r="D1377" s="5">
        <v>7</v>
      </c>
      <c r="E1377" s="5">
        <v>24</v>
      </c>
      <c r="F1377" s="5">
        <v>2</v>
      </c>
      <c r="G1377" s="31">
        <v>6</v>
      </c>
      <c r="H1377" s="5">
        <v>2033</v>
      </c>
      <c r="I1377" s="5">
        <v>2050</v>
      </c>
      <c r="J1377" s="142">
        <v>1.1200000000000001</v>
      </c>
      <c r="K1377" s="142">
        <v>1.0391999999999999</v>
      </c>
      <c r="L1377" s="142">
        <v>0.63129999999999997</v>
      </c>
      <c r="M1377" s="142">
        <v>1.0902000000000001</v>
      </c>
      <c r="N1377" s="142">
        <v>1.2595000000000001</v>
      </c>
      <c r="O1377" s="142">
        <v>1.0538000000000001</v>
      </c>
      <c r="P1377" s="26">
        <v>3025.2020720997493</v>
      </c>
      <c r="Q1377" s="35">
        <f t="array" ref="Q1377">SUM(IF(($S1377&gt;=4)*($C1377='TaxCred&amp;Subs'!$D$114:$D$121)*($H1377='TaxCred&amp;Subs'!$C$114:$C$121)*($H1377&lt;='TaxCred&amp;Subs'!$C$123),'TaxCred&amp;Subs'!$E$114:$E$121,0))</f>
        <v>0</v>
      </c>
      <c r="R1377" s="143">
        <v>0</v>
      </c>
      <c r="S1377" s="5">
        <v>4</v>
      </c>
      <c r="T1377" s="5" t="s">
        <v>240</v>
      </c>
      <c r="V1377" s="7" t="str">
        <f t="array" ref="V1377">INDEX(xlRTCLNAME,MATCH(1,(xlRTCLENDU=1)*(xlRTCLEQCL=$D1377),0))</f>
        <v>DIST_FA</v>
      </c>
      <c r="W1377" s="7" t="str">
        <f t="array" ref="W1377">INDEX(xlRTCLNAME,MATCH(1,(xlRTCLENDU=2)*(xlRTCLEQCL=$F1377),0))</f>
        <v>CENT_AIR</v>
      </c>
      <c r="X1377" s="7" t="str">
        <f t="array" ref="X1377">INDEX(xlRTTYNAME,MATCH(1,(xlRTTYENDU=1)*(xlRTTYEQCL=$D1377)*(xlRTEQTYPE=$E1377),0))</f>
        <v>DIST_FA3</v>
      </c>
      <c r="Y1377" s="7" t="str">
        <f t="array" ref="Y1377">INDEX(xlRTTYNAME,MATCH(1,(xlRTTYENDU=2)*(xlRTTYEQCL=$F1377)*(xlRTEQTYPE=$G1377),0))</f>
        <v>CENT_AIR3</v>
      </c>
    </row>
    <row r="1378" spans="2:25" ht="14.25" customHeight="1" x14ac:dyDescent="0.2">
      <c r="B1378" s="5">
        <v>6</v>
      </c>
      <c r="C1378" s="5">
        <v>2</v>
      </c>
      <c r="D1378" s="5">
        <v>7</v>
      </c>
      <c r="E1378" s="5">
        <v>24</v>
      </c>
      <c r="F1378" s="5">
        <v>2</v>
      </c>
      <c r="G1378" s="31">
        <v>6</v>
      </c>
      <c r="H1378" s="31">
        <v>2020</v>
      </c>
      <c r="I1378" s="5">
        <v>2022</v>
      </c>
      <c r="J1378" s="142">
        <v>1.1200000000000001</v>
      </c>
      <c r="K1378" s="142">
        <v>1.03</v>
      </c>
      <c r="L1378" s="142">
        <v>1.0127999999999999</v>
      </c>
      <c r="M1378" s="142">
        <v>1.1228</v>
      </c>
      <c r="N1378" s="142">
        <v>1.3381000000000001</v>
      </c>
      <c r="O1378" s="142">
        <v>1.0538000000000001</v>
      </c>
      <c r="P1378" s="26">
        <v>3333.1004163267903</v>
      </c>
      <c r="Q1378" s="35">
        <f t="array" ref="Q1378">SUM(IF(($S1378&gt;=4)*($C1378='TaxCred&amp;Subs'!$D$114:$D$121)*($H1378='TaxCred&amp;Subs'!$C$114:$C$121)*($H1378&lt;='TaxCred&amp;Subs'!$C$123),'TaxCred&amp;Subs'!$E$114:$E$121,0))</f>
        <v>0</v>
      </c>
      <c r="R1378" s="143">
        <v>0</v>
      </c>
      <c r="S1378" s="5">
        <v>4</v>
      </c>
      <c r="T1378" s="5" t="s">
        <v>240</v>
      </c>
      <c r="V1378" s="7" t="str">
        <f t="array" ref="V1378">INDEX(xlRTCLNAME,MATCH(1,(xlRTCLENDU=1)*(xlRTCLEQCL=$D1378),0))</f>
        <v>DIST_FA</v>
      </c>
      <c r="W1378" s="7" t="str">
        <f t="array" ref="W1378">INDEX(xlRTCLNAME,MATCH(1,(xlRTCLENDU=2)*(xlRTCLEQCL=$F1378),0))</f>
        <v>CENT_AIR</v>
      </c>
      <c r="X1378" s="7" t="str">
        <f t="array" ref="X1378">INDEX(xlRTTYNAME,MATCH(1,(xlRTTYENDU=1)*(xlRTTYEQCL=$D1378)*(xlRTEQTYPE=$E1378),0))</f>
        <v>DIST_FA3</v>
      </c>
      <c r="Y1378" s="7" t="str">
        <f t="array" ref="Y1378">INDEX(xlRTTYNAME,MATCH(1,(xlRTTYENDU=2)*(xlRTTYEQCL=$F1378)*(xlRTEQTYPE=$G1378),0))</f>
        <v>CENT_AIR3</v>
      </c>
    </row>
    <row r="1379" spans="2:25" ht="14.25" customHeight="1" x14ac:dyDescent="0.2">
      <c r="B1379" s="5">
        <v>6</v>
      </c>
      <c r="C1379" s="5">
        <v>2</v>
      </c>
      <c r="D1379" s="5">
        <v>7</v>
      </c>
      <c r="E1379" s="5">
        <v>24</v>
      </c>
      <c r="F1379" s="5">
        <v>2</v>
      </c>
      <c r="G1379" s="31">
        <v>6</v>
      </c>
      <c r="H1379" s="5">
        <v>2023</v>
      </c>
      <c r="I1379" s="5">
        <v>2032</v>
      </c>
      <c r="J1379" s="142">
        <v>1.1200000000000001</v>
      </c>
      <c r="K1379" s="142">
        <v>1.03</v>
      </c>
      <c r="L1379" s="142">
        <v>1.0127999999999999</v>
      </c>
      <c r="M1379" s="142">
        <v>1.1228</v>
      </c>
      <c r="N1379" s="142">
        <v>1.3381000000000001</v>
      </c>
      <c r="O1379" s="142">
        <v>1.0538000000000001</v>
      </c>
      <c r="P1379" s="26">
        <v>3333.1004163267903</v>
      </c>
      <c r="Q1379" s="35">
        <f t="array" ref="Q1379">SUM(IF(($S1379&gt;=4)*($C1379='TaxCred&amp;Subs'!$D$114:$D$121)*($H1379='TaxCred&amp;Subs'!$C$114:$C$121)*($H1379&lt;='TaxCred&amp;Subs'!$C$123),'TaxCred&amp;Subs'!$E$114:$E$121,0))</f>
        <v>500</v>
      </c>
      <c r="R1379" s="143">
        <v>0</v>
      </c>
      <c r="S1379" s="5">
        <v>4</v>
      </c>
      <c r="T1379" s="5" t="s">
        <v>240</v>
      </c>
      <c r="V1379" s="7" t="str">
        <f t="array" ref="V1379">INDEX(xlRTCLNAME,MATCH(1,(xlRTCLENDU=1)*(xlRTCLEQCL=$D1379),0))</f>
        <v>DIST_FA</v>
      </c>
      <c r="W1379" s="7" t="str">
        <f t="array" ref="W1379">INDEX(xlRTCLNAME,MATCH(1,(xlRTCLENDU=2)*(xlRTCLEQCL=$F1379),0))</f>
        <v>CENT_AIR</v>
      </c>
      <c r="X1379" s="7" t="str">
        <f t="array" ref="X1379">INDEX(xlRTTYNAME,MATCH(1,(xlRTTYENDU=1)*(xlRTTYEQCL=$D1379)*(xlRTEQTYPE=$E1379),0))</f>
        <v>DIST_FA3</v>
      </c>
      <c r="Y1379" s="7" t="str">
        <f t="array" ref="Y1379">INDEX(xlRTTYNAME,MATCH(1,(xlRTTYENDU=2)*(xlRTTYEQCL=$F1379)*(xlRTEQTYPE=$G1379),0))</f>
        <v>CENT_AIR3</v>
      </c>
    </row>
    <row r="1380" spans="2:25" ht="14.25" customHeight="1" x14ac:dyDescent="0.2">
      <c r="B1380" s="5">
        <v>6</v>
      </c>
      <c r="C1380" s="5">
        <v>2</v>
      </c>
      <c r="D1380" s="5">
        <v>7</v>
      </c>
      <c r="E1380" s="5">
        <v>24</v>
      </c>
      <c r="F1380" s="5">
        <v>2</v>
      </c>
      <c r="G1380" s="31">
        <v>6</v>
      </c>
      <c r="H1380" s="5">
        <v>2033</v>
      </c>
      <c r="I1380" s="5">
        <v>2050</v>
      </c>
      <c r="J1380" s="142">
        <v>1.1200000000000001</v>
      </c>
      <c r="K1380" s="142">
        <v>1.03</v>
      </c>
      <c r="L1380" s="142">
        <v>1.0127999999999999</v>
      </c>
      <c r="M1380" s="142">
        <v>1.1228</v>
      </c>
      <c r="N1380" s="142">
        <v>1.3381000000000001</v>
      </c>
      <c r="O1380" s="142">
        <v>1.0538000000000001</v>
      </c>
      <c r="P1380" s="26">
        <v>3333.1004163267903</v>
      </c>
      <c r="Q1380" s="35">
        <f t="array" ref="Q1380">SUM(IF(($S1380&gt;=4)*($C1380='TaxCred&amp;Subs'!$D$114:$D$121)*($H1380='TaxCred&amp;Subs'!$C$114:$C$121)*($H1380&lt;='TaxCred&amp;Subs'!$C$123),'TaxCred&amp;Subs'!$E$114:$E$121,0))</f>
        <v>0</v>
      </c>
      <c r="R1380" s="143">
        <v>0</v>
      </c>
      <c r="S1380" s="5">
        <v>4</v>
      </c>
      <c r="T1380" s="5" t="s">
        <v>240</v>
      </c>
      <c r="V1380" s="7" t="str">
        <f t="array" ref="V1380">INDEX(xlRTCLNAME,MATCH(1,(xlRTCLENDU=1)*(xlRTCLEQCL=$D1380),0))</f>
        <v>DIST_FA</v>
      </c>
      <c r="W1380" s="7" t="str">
        <f t="array" ref="W1380">INDEX(xlRTCLNAME,MATCH(1,(xlRTCLENDU=2)*(xlRTCLEQCL=$F1380),0))</f>
        <v>CENT_AIR</v>
      </c>
      <c r="X1380" s="7" t="str">
        <f t="array" ref="X1380">INDEX(xlRTTYNAME,MATCH(1,(xlRTTYENDU=1)*(xlRTTYEQCL=$D1380)*(xlRTEQTYPE=$E1380),0))</f>
        <v>DIST_FA3</v>
      </c>
      <c r="Y1380" s="7" t="str">
        <f t="array" ref="Y1380">INDEX(xlRTTYNAME,MATCH(1,(xlRTTYENDU=2)*(xlRTTYEQCL=$F1380)*(xlRTEQTYPE=$G1380),0))</f>
        <v>CENT_AIR3</v>
      </c>
    </row>
    <row r="1381" spans="2:25" ht="14.25" customHeight="1" x14ac:dyDescent="0.2">
      <c r="B1381" s="5">
        <v>7</v>
      </c>
      <c r="C1381" s="5">
        <v>2</v>
      </c>
      <c r="D1381" s="5">
        <v>7</v>
      </c>
      <c r="E1381" s="5">
        <v>24</v>
      </c>
      <c r="F1381" s="5">
        <v>2</v>
      </c>
      <c r="G1381" s="31">
        <v>6</v>
      </c>
      <c r="H1381" s="31">
        <v>2020</v>
      </c>
      <c r="I1381" s="5">
        <v>2022</v>
      </c>
      <c r="J1381" s="142">
        <v>1.1200000000000001</v>
      </c>
      <c r="K1381" s="142">
        <v>1.0476000000000001</v>
      </c>
      <c r="L1381" s="142">
        <v>1.0271999999999999</v>
      </c>
      <c r="M1381" s="142">
        <v>1.1173</v>
      </c>
      <c r="N1381" s="142">
        <v>1.4438</v>
      </c>
      <c r="O1381" s="142">
        <v>1.0538000000000001</v>
      </c>
      <c r="P1381" s="26">
        <v>2730.7490704153738</v>
      </c>
      <c r="Q1381" s="35">
        <f t="array" ref="Q1381">SUM(IF(($S1381&gt;=4)*($C1381='TaxCred&amp;Subs'!$D$114:$D$121)*($H1381='TaxCred&amp;Subs'!$C$114:$C$121)*($H1381&lt;='TaxCred&amp;Subs'!$C$123),'TaxCred&amp;Subs'!$E$114:$E$121,0))</f>
        <v>0</v>
      </c>
      <c r="R1381" s="143">
        <v>0</v>
      </c>
      <c r="S1381" s="5">
        <v>4</v>
      </c>
      <c r="T1381" s="5" t="s">
        <v>240</v>
      </c>
      <c r="V1381" s="7" t="str">
        <f t="array" ref="V1381">INDEX(xlRTCLNAME,MATCH(1,(xlRTCLENDU=1)*(xlRTCLEQCL=$D1381),0))</f>
        <v>DIST_FA</v>
      </c>
      <c r="W1381" s="7" t="str">
        <f t="array" ref="W1381">INDEX(xlRTCLNAME,MATCH(1,(xlRTCLENDU=2)*(xlRTCLEQCL=$F1381),0))</f>
        <v>CENT_AIR</v>
      </c>
      <c r="X1381" s="7" t="str">
        <f t="array" ref="X1381">INDEX(xlRTTYNAME,MATCH(1,(xlRTTYENDU=1)*(xlRTTYEQCL=$D1381)*(xlRTEQTYPE=$E1381),0))</f>
        <v>DIST_FA3</v>
      </c>
      <c r="Y1381" s="7" t="str">
        <f t="array" ref="Y1381">INDEX(xlRTTYNAME,MATCH(1,(xlRTTYENDU=2)*(xlRTTYEQCL=$F1381)*(xlRTEQTYPE=$G1381),0))</f>
        <v>CENT_AIR3</v>
      </c>
    </row>
    <row r="1382" spans="2:25" ht="14.25" customHeight="1" x14ac:dyDescent="0.2">
      <c r="B1382" s="5">
        <v>7</v>
      </c>
      <c r="C1382" s="5">
        <v>2</v>
      </c>
      <c r="D1382" s="5">
        <v>7</v>
      </c>
      <c r="E1382" s="5">
        <v>24</v>
      </c>
      <c r="F1382" s="5">
        <v>2</v>
      </c>
      <c r="G1382" s="31">
        <v>6</v>
      </c>
      <c r="H1382" s="5">
        <v>2023</v>
      </c>
      <c r="I1382" s="5">
        <v>2032</v>
      </c>
      <c r="J1382" s="142">
        <v>1.1200000000000001</v>
      </c>
      <c r="K1382" s="142">
        <v>1.0476000000000001</v>
      </c>
      <c r="L1382" s="142">
        <v>1.0271999999999999</v>
      </c>
      <c r="M1382" s="142">
        <v>1.1173</v>
      </c>
      <c r="N1382" s="142">
        <v>1.4438</v>
      </c>
      <c r="O1382" s="142">
        <v>1.0538000000000001</v>
      </c>
      <c r="P1382" s="26">
        <v>2730.7490704153738</v>
      </c>
      <c r="Q1382" s="35">
        <f t="array" ref="Q1382">SUM(IF(($S1382&gt;=4)*($C1382='TaxCred&amp;Subs'!$D$114:$D$121)*($H1382='TaxCred&amp;Subs'!$C$114:$C$121)*($H1382&lt;='TaxCred&amp;Subs'!$C$123),'TaxCred&amp;Subs'!$E$114:$E$121,0))</f>
        <v>500</v>
      </c>
      <c r="R1382" s="143">
        <v>0</v>
      </c>
      <c r="S1382" s="5">
        <v>4</v>
      </c>
      <c r="T1382" s="5" t="s">
        <v>240</v>
      </c>
      <c r="V1382" s="7" t="str">
        <f t="array" ref="V1382">INDEX(xlRTCLNAME,MATCH(1,(xlRTCLENDU=1)*(xlRTCLEQCL=$D1382),0))</f>
        <v>DIST_FA</v>
      </c>
      <c r="W1382" s="7" t="str">
        <f t="array" ref="W1382">INDEX(xlRTCLNAME,MATCH(1,(xlRTCLENDU=2)*(xlRTCLEQCL=$F1382),0))</f>
        <v>CENT_AIR</v>
      </c>
      <c r="X1382" s="7" t="str">
        <f t="array" ref="X1382">INDEX(xlRTTYNAME,MATCH(1,(xlRTTYENDU=1)*(xlRTTYEQCL=$D1382)*(xlRTEQTYPE=$E1382),0))</f>
        <v>DIST_FA3</v>
      </c>
      <c r="Y1382" s="7" t="str">
        <f t="array" ref="Y1382">INDEX(xlRTTYNAME,MATCH(1,(xlRTTYENDU=2)*(xlRTTYEQCL=$F1382)*(xlRTEQTYPE=$G1382),0))</f>
        <v>CENT_AIR3</v>
      </c>
    </row>
    <row r="1383" spans="2:25" ht="14.25" customHeight="1" x14ac:dyDescent="0.2">
      <c r="B1383" s="5">
        <v>7</v>
      </c>
      <c r="C1383" s="5">
        <v>2</v>
      </c>
      <c r="D1383" s="5">
        <v>7</v>
      </c>
      <c r="E1383" s="5">
        <v>24</v>
      </c>
      <c r="F1383" s="5">
        <v>2</v>
      </c>
      <c r="G1383" s="31">
        <v>6</v>
      </c>
      <c r="H1383" s="5">
        <v>2033</v>
      </c>
      <c r="I1383" s="5">
        <v>2050</v>
      </c>
      <c r="J1383" s="142">
        <v>1.1200000000000001</v>
      </c>
      <c r="K1383" s="142">
        <v>1.0476000000000001</v>
      </c>
      <c r="L1383" s="142">
        <v>1.0271999999999999</v>
      </c>
      <c r="M1383" s="142">
        <v>1.1173</v>
      </c>
      <c r="N1383" s="142">
        <v>1.4438</v>
      </c>
      <c r="O1383" s="142">
        <v>1.0538000000000001</v>
      </c>
      <c r="P1383" s="26">
        <v>2730.7490704153738</v>
      </c>
      <c r="Q1383" s="35">
        <f t="array" ref="Q1383">SUM(IF(($S1383&gt;=4)*($C1383='TaxCred&amp;Subs'!$D$114:$D$121)*($H1383='TaxCred&amp;Subs'!$C$114:$C$121)*($H1383&lt;='TaxCred&amp;Subs'!$C$123),'TaxCred&amp;Subs'!$E$114:$E$121,0))</f>
        <v>0</v>
      </c>
      <c r="R1383" s="143">
        <v>0</v>
      </c>
      <c r="S1383" s="5">
        <v>4</v>
      </c>
      <c r="T1383" s="5" t="s">
        <v>240</v>
      </c>
      <c r="V1383" s="7" t="str">
        <f t="array" ref="V1383">INDEX(xlRTCLNAME,MATCH(1,(xlRTCLENDU=1)*(xlRTCLEQCL=$D1383),0))</f>
        <v>DIST_FA</v>
      </c>
      <c r="W1383" s="7" t="str">
        <f t="array" ref="W1383">INDEX(xlRTCLNAME,MATCH(1,(xlRTCLENDU=2)*(xlRTCLEQCL=$F1383),0))</f>
        <v>CENT_AIR</v>
      </c>
      <c r="X1383" s="7" t="str">
        <f t="array" ref="X1383">INDEX(xlRTTYNAME,MATCH(1,(xlRTTYENDU=1)*(xlRTTYEQCL=$D1383)*(xlRTEQTYPE=$E1383),0))</f>
        <v>DIST_FA3</v>
      </c>
      <c r="Y1383" s="7" t="str">
        <f t="array" ref="Y1383">INDEX(xlRTTYNAME,MATCH(1,(xlRTTYENDU=2)*(xlRTTYEQCL=$F1383)*(xlRTEQTYPE=$G1383),0))</f>
        <v>CENT_AIR3</v>
      </c>
    </row>
    <row r="1384" spans="2:25" ht="14.25" customHeight="1" x14ac:dyDescent="0.2">
      <c r="B1384" s="5">
        <v>8</v>
      </c>
      <c r="C1384" s="5">
        <v>2</v>
      </c>
      <c r="D1384" s="5">
        <v>7</v>
      </c>
      <c r="E1384" s="5">
        <v>24</v>
      </c>
      <c r="F1384" s="5">
        <v>2</v>
      </c>
      <c r="G1384" s="31">
        <v>6</v>
      </c>
      <c r="H1384" s="31">
        <v>2020</v>
      </c>
      <c r="I1384" s="5">
        <v>2022</v>
      </c>
      <c r="J1384" s="142">
        <v>1.1064000000000001</v>
      </c>
      <c r="K1384" s="142">
        <v>1.0645</v>
      </c>
      <c r="L1384" s="142">
        <v>0.80669999999999997</v>
      </c>
      <c r="M1384" s="142">
        <v>1.2739</v>
      </c>
      <c r="N1384" s="142">
        <v>1.2826</v>
      </c>
      <c r="O1384" s="142">
        <v>1.0538000000000001</v>
      </c>
      <c r="P1384" s="26">
        <v>3362.6801699206544</v>
      </c>
      <c r="Q1384" s="35">
        <f t="array" ref="Q1384">SUM(IF(($S1384&gt;=4)*($C1384='TaxCred&amp;Subs'!$D$114:$D$121)*($H1384='TaxCred&amp;Subs'!$C$114:$C$121)*($H1384&lt;='TaxCred&amp;Subs'!$C$123),'TaxCred&amp;Subs'!$E$114:$E$121,0))</f>
        <v>0</v>
      </c>
      <c r="R1384" s="143">
        <v>0</v>
      </c>
      <c r="S1384" s="5">
        <v>4</v>
      </c>
      <c r="T1384" s="5" t="s">
        <v>240</v>
      </c>
      <c r="V1384" s="7" t="str">
        <f t="array" ref="V1384">INDEX(xlRTCLNAME,MATCH(1,(xlRTCLENDU=1)*(xlRTCLEQCL=$D1384),0))</f>
        <v>DIST_FA</v>
      </c>
      <c r="W1384" s="7" t="str">
        <f t="array" ref="W1384">INDEX(xlRTCLNAME,MATCH(1,(xlRTCLENDU=2)*(xlRTCLEQCL=$F1384),0))</f>
        <v>CENT_AIR</v>
      </c>
      <c r="X1384" s="7" t="str">
        <f t="array" ref="X1384">INDEX(xlRTTYNAME,MATCH(1,(xlRTTYENDU=1)*(xlRTTYEQCL=$D1384)*(xlRTEQTYPE=$E1384),0))</f>
        <v>DIST_FA3</v>
      </c>
      <c r="Y1384" s="7" t="str">
        <f t="array" ref="Y1384">INDEX(xlRTTYNAME,MATCH(1,(xlRTTYENDU=2)*(xlRTTYEQCL=$F1384)*(xlRTEQTYPE=$G1384),0))</f>
        <v>CENT_AIR3</v>
      </c>
    </row>
    <row r="1385" spans="2:25" ht="14.25" customHeight="1" x14ac:dyDescent="0.2">
      <c r="B1385" s="5">
        <v>8</v>
      </c>
      <c r="C1385" s="5">
        <v>2</v>
      </c>
      <c r="D1385" s="5">
        <v>7</v>
      </c>
      <c r="E1385" s="5">
        <v>24</v>
      </c>
      <c r="F1385" s="5">
        <v>2</v>
      </c>
      <c r="G1385" s="31">
        <v>6</v>
      </c>
      <c r="H1385" s="5">
        <v>2023</v>
      </c>
      <c r="I1385" s="5">
        <v>2032</v>
      </c>
      <c r="J1385" s="142">
        <v>1.1064000000000001</v>
      </c>
      <c r="K1385" s="142">
        <v>1.0645</v>
      </c>
      <c r="L1385" s="142">
        <v>0.80669999999999997</v>
      </c>
      <c r="M1385" s="142">
        <v>1.2739</v>
      </c>
      <c r="N1385" s="142">
        <v>1.2826</v>
      </c>
      <c r="O1385" s="142">
        <v>1.0538000000000001</v>
      </c>
      <c r="P1385" s="26">
        <v>3362.6801699206544</v>
      </c>
      <c r="Q1385" s="35">
        <f t="array" ref="Q1385">SUM(IF(($S1385&gt;=4)*($C1385='TaxCred&amp;Subs'!$D$114:$D$121)*($H1385='TaxCred&amp;Subs'!$C$114:$C$121)*($H1385&lt;='TaxCred&amp;Subs'!$C$123),'TaxCred&amp;Subs'!$E$114:$E$121,0))</f>
        <v>500</v>
      </c>
      <c r="R1385" s="143">
        <v>0</v>
      </c>
      <c r="S1385" s="5">
        <v>4</v>
      </c>
      <c r="T1385" s="5" t="s">
        <v>240</v>
      </c>
      <c r="V1385" s="7" t="str">
        <f t="array" ref="V1385">INDEX(xlRTCLNAME,MATCH(1,(xlRTCLENDU=1)*(xlRTCLEQCL=$D1385),0))</f>
        <v>DIST_FA</v>
      </c>
      <c r="W1385" s="7" t="str">
        <f t="array" ref="W1385">INDEX(xlRTCLNAME,MATCH(1,(xlRTCLENDU=2)*(xlRTCLEQCL=$F1385),0))</f>
        <v>CENT_AIR</v>
      </c>
      <c r="X1385" s="7" t="str">
        <f t="array" ref="X1385">INDEX(xlRTTYNAME,MATCH(1,(xlRTTYENDU=1)*(xlRTTYEQCL=$D1385)*(xlRTEQTYPE=$E1385),0))</f>
        <v>DIST_FA3</v>
      </c>
      <c r="Y1385" s="7" t="str">
        <f t="array" ref="Y1385">INDEX(xlRTTYNAME,MATCH(1,(xlRTTYENDU=2)*(xlRTTYEQCL=$F1385)*(xlRTEQTYPE=$G1385),0))</f>
        <v>CENT_AIR3</v>
      </c>
    </row>
    <row r="1386" spans="2:25" ht="14.25" customHeight="1" x14ac:dyDescent="0.2">
      <c r="B1386" s="5">
        <v>8</v>
      </c>
      <c r="C1386" s="5">
        <v>2</v>
      </c>
      <c r="D1386" s="5">
        <v>7</v>
      </c>
      <c r="E1386" s="5">
        <v>24</v>
      </c>
      <c r="F1386" s="5">
        <v>2</v>
      </c>
      <c r="G1386" s="31">
        <v>6</v>
      </c>
      <c r="H1386" s="5">
        <v>2033</v>
      </c>
      <c r="I1386" s="5">
        <v>2050</v>
      </c>
      <c r="J1386" s="142">
        <v>1.1064000000000001</v>
      </c>
      <c r="K1386" s="142">
        <v>1.0645</v>
      </c>
      <c r="L1386" s="142">
        <v>0.80669999999999997</v>
      </c>
      <c r="M1386" s="142">
        <v>1.2739</v>
      </c>
      <c r="N1386" s="142">
        <v>1.2826</v>
      </c>
      <c r="O1386" s="142">
        <v>1.0538000000000001</v>
      </c>
      <c r="P1386" s="26">
        <v>3362.6801699206544</v>
      </c>
      <c r="Q1386" s="35">
        <f t="array" ref="Q1386">SUM(IF(($S1386&gt;=4)*($C1386='TaxCred&amp;Subs'!$D$114:$D$121)*($H1386='TaxCred&amp;Subs'!$C$114:$C$121)*($H1386&lt;='TaxCred&amp;Subs'!$C$123),'TaxCred&amp;Subs'!$E$114:$E$121,0))</f>
        <v>0</v>
      </c>
      <c r="R1386" s="143">
        <v>0</v>
      </c>
      <c r="S1386" s="5">
        <v>4</v>
      </c>
      <c r="T1386" s="5" t="s">
        <v>240</v>
      </c>
      <c r="V1386" s="7" t="str">
        <f t="array" ref="V1386">INDEX(xlRTCLNAME,MATCH(1,(xlRTCLENDU=1)*(xlRTCLEQCL=$D1386),0))</f>
        <v>DIST_FA</v>
      </c>
      <c r="W1386" s="7" t="str">
        <f t="array" ref="W1386">INDEX(xlRTCLNAME,MATCH(1,(xlRTCLENDU=2)*(xlRTCLEQCL=$F1386),0))</f>
        <v>CENT_AIR</v>
      </c>
      <c r="X1386" s="7" t="str">
        <f t="array" ref="X1386">INDEX(xlRTTYNAME,MATCH(1,(xlRTTYENDU=1)*(xlRTTYEQCL=$D1386)*(xlRTEQTYPE=$E1386),0))</f>
        <v>DIST_FA3</v>
      </c>
      <c r="Y1386" s="7" t="str">
        <f t="array" ref="Y1386">INDEX(xlRTTYNAME,MATCH(1,(xlRTTYENDU=2)*(xlRTTYEQCL=$F1386)*(xlRTEQTYPE=$G1386),0))</f>
        <v>CENT_AIR3</v>
      </c>
    </row>
    <row r="1387" spans="2:25" ht="14.25" customHeight="1" x14ac:dyDescent="0.2">
      <c r="B1387" s="5">
        <v>9</v>
      </c>
      <c r="C1387" s="5">
        <v>2</v>
      </c>
      <c r="D1387" s="5">
        <v>7</v>
      </c>
      <c r="E1387" s="5">
        <v>24</v>
      </c>
      <c r="F1387" s="5">
        <v>2</v>
      </c>
      <c r="G1387" s="31">
        <v>6</v>
      </c>
      <c r="H1387" s="31">
        <v>2020</v>
      </c>
      <c r="I1387" s="5">
        <v>2022</v>
      </c>
      <c r="J1387" s="142">
        <v>1.03</v>
      </c>
      <c r="K1387" s="142">
        <v>1.0556000000000001</v>
      </c>
      <c r="L1387" s="142">
        <v>0.44379999999999997</v>
      </c>
      <c r="M1387" s="142">
        <v>1.2</v>
      </c>
      <c r="N1387" s="142">
        <v>1.4438</v>
      </c>
      <c r="O1387" s="142">
        <v>1.0538000000000001</v>
      </c>
      <c r="P1387" s="26">
        <v>3463.5202389906462</v>
      </c>
      <c r="Q1387" s="35">
        <f t="array" ref="Q1387">SUM(IF(($S1387&gt;=4)*($C1387='TaxCred&amp;Subs'!$D$114:$D$121)*($H1387='TaxCred&amp;Subs'!$C$114:$C$121)*($H1387&lt;='TaxCred&amp;Subs'!$C$123),'TaxCred&amp;Subs'!$E$114:$E$121,0))</f>
        <v>0</v>
      </c>
      <c r="R1387" s="143">
        <v>0</v>
      </c>
      <c r="S1387" s="5">
        <v>4</v>
      </c>
      <c r="T1387" s="5" t="s">
        <v>240</v>
      </c>
      <c r="V1387" s="7" t="str">
        <f t="array" ref="V1387">INDEX(xlRTCLNAME,MATCH(1,(xlRTCLENDU=1)*(xlRTCLEQCL=$D1387),0))</f>
        <v>DIST_FA</v>
      </c>
      <c r="W1387" s="7" t="str">
        <f t="array" ref="W1387">INDEX(xlRTCLNAME,MATCH(1,(xlRTCLENDU=2)*(xlRTCLEQCL=$F1387),0))</f>
        <v>CENT_AIR</v>
      </c>
      <c r="X1387" s="7" t="str">
        <f t="array" ref="X1387">INDEX(xlRTTYNAME,MATCH(1,(xlRTTYENDU=1)*(xlRTTYEQCL=$D1387)*(xlRTEQTYPE=$E1387),0))</f>
        <v>DIST_FA3</v>
      </c>
      <c r="Y1387" s="7" t="str">
        <f t="array" ref="Y1387">INDEX(xlRTTYNAME,MATCH(1,(xlRTTYENDU=2)*(xlRTTYEQCL=$F1387)*(xlRTEQTYPE=$G1387),0))</f>
        <v>CENT_AIR3</v>
      </c>
    </row>
    <row r="1388" spans="2:25" ht="14.25" customHeight="1" x14ac:dyDescent="0.2">
      <c r="B1388" s="5">
        <v>9</v>
      </c>
      <c r="C1388" s="5">
        <v>2</v>
      </c>
      <c r="D1388" s="5">
        <v>7</v>
      </c>
      <c r="E1388" s="5">
        <v>24</v>
      </c>
      <c r="F1388" s="5">
        <v>2</v>
      </c>
      <c r="G1388" s="31">
        <v>6</v>
      </c>
      <c r="H1388" s="5">
        <v>2023</v>
      </c>
      <c r="I1388" s="5">
        <v>2032</v>
      </c>
      <c r="J1388" s="142">
        <v>1.03</v>
      </c>
      <c r="K1388" s="142">
        <v>1.0556000000000001</v>
      </c>
      <c r="L1388" s="142">
        <v>0.44379999999999997</v>
      </c>
      <c r="M1388" s="142">
        <v>1.2</v>
      </c>
      <c r="N1388" s="142">
        <v>1.4438</v>
      </c>
      <c r="O1388" s="142">
        <v>1.0538000000000001</v>
      </c>
      <c r="P1388" s="26">
        <v>3463.5202389906462</v>
      </c>
      <c r="Q1388" s="35">
        <f t="array" ref="Q1388">SUM(IF(($S1388&gt;=4)*($C1388='TaxCred&amp;Subs'!$D$114:$D$121)*($H1388='TaxCred&amp;Subs'!$C$114:$C$121)*($H1388&lt;='TaxCred&amp;Subs'!$C$123),'TaxCred&amp;Subs'!$E$114:$E$121,0))</f>
        <v>500</v>
      </c>
      <c r="R1388" s="143">
        <v>0</v>
      </c>
      <c r="S1388" s="5">
        <v>4</v>
      </c>
      <c r="T1388" s="5" t="s">
        <v>240</v>
      </c>
      <c r="V1388" s="7" t="str">
        <f t="array" ref="V1388">INDEX(xlRTCLNAME,MATCH(1,(xlRTCLENDU=1)*(xlRTCLEQCL=$D1388),0))</f>
        <v>DIST_FA</v>
      </c>
      <c r="W1388" s="7" t="str">
        <f t="array" ref="W1388">INDEX(xlRTCLNAME,MATCH(1,(xlRTCLENDU=2)*(xlRTCLEQCL=$F1388),0))</f>
        <v>CENT_AIR</v>
      </c>
      <c r="X1388" s="7" t="str">
        <f t="array" ref="X1388">INDEX(xlRTTYNAME,MATCH(1,(xlRTTYENDU=1)*(xlRTTYEQCL=$D1388)*(xlRTEQTYPE=$E1388),0))</f>
        <v>DIST_FA3</v>
      </c>
      <c r="Y1388" s="7" t="str">
        <f t="array" ref="Y1388">INDEX(xlRTTYNAME,MATCH(1,(xlRTTYENDU=2)*(xlRTTYEQCL=$F1388)*(xlRTEQTYPE=$G1388),0))</f>
        <v>CENT_AIR3</v>
      </c>
    </row>
    <row r="1389" spans="2:25" ht="14.25" customHeight="1" x14ac:dyDescent="0.2">
      <c r="B1389" s="5">
        <v>9</v>
      </c>
      <c r="C1389" s="5">
        <v>2</v>
      </c>
      <c r="D1389" s="5">
        <v>7</v>
      </c>
      <c r="E1389" s="5">
        <v>24</v>
      </c>
      <c r="F1389" s="5">
        <v>2</v>
      </c>
      <c r="G1389" s="31">
        <v>6</v>
      </c>
      <c r="H1389" s="5">
        <v>2033</v>
      </c>
      <c r="I1389" s="5">
        <v>2050</v>
      </c>
      <c r="J1389" s="142">
        <v>1.03</v>
      </c>
      <c r="K1389" s="142">
        <v>1.0556000000000001</v>
      </c>
      <c r="L1389" s="142">
        <v>0.44379999999999997</v>
      </c>
      <c r="M1389" s="142">
        <v>1.2</v>
      </c>
      <c r="N1389" s="142">
        <v>1.4438</v>
      </c>
      <c r="O1389" s="142">
        <v>1.0538000000000001</v>
      </c>
      <c r="P1389" s="26">
        <v>3463.5202389906462</v>
      </c>
      <c r="Q1389" s="35">
        <f t="array" ref="Q1389">SUM(IF(($S1389&gt;=4)*($C1389='TaxCred&amp;Subs'!$D$114:$D$121)*($H1389='TaxCred&amp;Subs'!$C$114:$C$121)*($H1389&lt;='TaxCred&amp;Subs'!$C$123),'TaxCred&amp;Subs'!$E$114:$E$121,0))</f>
        <v>0</v>
      </c>
      <c r="R1389" s="143">
        <v>0</v>
      </c>
      <c r="S1389" s="5">
        <v>4</v>
      </c>
      <c r="T1389" s="5" t="s">
        <v>240</v>
      </c>
      <c r="V1389" s="7" t="str">
        <f t="array" ref="V1389">INDEX(xlRTCLNAME,MATCH(1,(xlRTCLENDU=1)*(xlRTCLEQCL=$D1389),0))</f>
        <v>DIST_FA</v>
      </c>
      <c r="W1389" s="7" t="str">
        <f t="array" ref="W1389">INDEX(xlRTCLNAME,MATCH(1,(xlRTCLENDU=2)*(xlRTCLEQCL=$F1389),0))</f>
        <v>CENT_AIR</v>
      </c>
      <c r="X1389" s="7" t="str">
        <f t="array" ref="X1389">INDEX(xlRTTYNAME,MATCH(1,(xlRTTYENDU=1)*(xlRTTYEQCL=$D1389)*(xlRTEQTYPE=$E1389),0))</f>
        <v>DIST_FA3</v>
      </c>
      <c r="Y1389" s="7" t="str">
        <f t="array" ref="Y1389">INDEX(xlRTTYNAME,MATCH(1,(xlRTTYENDU=2)*(xlRTTYEQCL=$F1389)*(xlRTEQTYPE=$G1389),0))</f>
        <v>CENT_AIR3</v>
      </c>
    </row>
    <row r="1390" spans="2:25" ht="14.25" customHeight="1" x14ac:dyDescent="0.2">
      <c r="B1390" s="5">
        <v>1</v>
      </c>
      <c r="C1390" s="5">
        <v>2</v>
      </c>
      <c r="D1390" s="5">
        <v>8</v>
      </c>
      <c r="E1390" s="31">
        <v>27</v>
      </c>
      <c r="F1390" s="5">
        <v>2</v>
      </c>
      <c r="G1390" s="31">
        <v>6</v>
      </c>
      <c r="H1390" s="31">
        <v>2020</v>
      </c>
      <c r="I1390" s="5">
        <v>2022</v>
      </c>
      <c r="J1390" s="142">
        <v>1.0864</v>
      </c>
      <c r="K1390" s="142">
        <v>1.0417000000000001</v>
      </c>
      <c r="L1390" s="142">
        <v>0.90900000000000003</v>
      </c>
      <c r="M1390" s="142">
        <v>1.1455</v>
      </c>
      <c r="N1390" s="142">
        <v>1.1156999999999999</v>
      </c>
      <c r="O1390" s="142">
        <v>1.0538000000000001</v>
      </c>
      <c r="P1390" s="26">
        <v>4740.8277805438729</v>
      </c>
      <c r="Q1390" s="35">
        <f t="array" ref="Q1390">SUM(IF(($S1390&gt;=4)*($C1390='TaxCred&amp;Subs'!$D$114:$D$121)*($H1390='TaxCred&amp;Subs'!$C$114:$C$121)*($H1390&lt;='TaxCred&amp;Subs'!$C$123),'TaxCred&amp;Subs'!$E$114:$E$121,0))</f>
        <v>0</v>
      </c>
      <c r="R1390" s="143">
        <v>0</v>
      </c>
      <c r="S1390" s="5">
        <v>4</v>
      </c>
      <c r="T1390" s="5" t="s">
        <v>240</v>
      </c>
      <c r="V1390" s="7" t="str">
        <f t="array" ref="V1390">INDEX(xlRTCLNAME,MATCH(1,(xlRTCLENDU=1)*(xlRTCLEQCL=$D1390),0))</f>
        <v>DIST_RAD</v>
      </c>
      <c r="W1390" s="7" t="str">
        <f t="array" ref="W1390">INDEX(xlRTCLNAME,MATCH(1,(xlRTCLENDU=2)*(xlRTCLEQCL=$F1390),0))</f>
        <v>CENT_AIR</v>
      </c>
      <c r="X1390" s="7" t="str">
        <f t="array" ref="X1390">INDEX(xlRTTYNAME,MATCH(1,(xlRTTYENDU=1)*(xlRTTYEQCL=$D1390)*(xlRTEQTYPE=$E1390),0))</f>
        <v>DIST_RAD3</v>
      </c>
      <c r="Y1390" s="7" t="str">
        <f t="array" ref="Y1390">INDEX(xlRTTYNAME,MATCH(1,(xlRTTYENDU=2)*(xlRTTYEQCL=$F1390)*(xlRTEQTYPE=$G1390),0))</f>
        <v>CENT_AIR3</v>
      </c>
    </row>
    <row r="1391" spans="2:25" ht="14.25" customHeight="1" x14ac:dyDescent="0.2">
      <c r="B1391" s="5">
        <v>1</v>
      </c>
      <c r="C1391" s="5">
        <v>2</v>
      </c>
      <c r="D1391" s="5">
        <v>8</v>
      </c>
      <c r="E1391" s="31">
        <v>27</v>
      </c>
      <c r="F1391" s="5">
        <v>2</v>
      </c>
      <c r="G1391" s="31">
        <v>6</v>
      </c>
      <c r="H1391" s="5">
        <v>2023</v>
      </c>
      <c r="I1391" s="5">
        <v>2032</v>
      </c>
      <c r="J1391" s="142">
        <v>1.0864</v>
      </c>
      <c r="K1391" s="142">
        <v>1.0417000000000001</v>
      </c>
      <c r="L1391" s="142">
        <v>0.90900000000000003</v>
      </c>
      <c r="M1391" s="142">
        <v>1.1455</v>
      </c>
      <c r="N1391" s="142">
        <v>1.1156999999999999</v>
      </c>
      <c r="O1391" s="142">
        <v>1.0538000000000001</v>
      </c>
      <c r="P1391" s="26">
        <v>4740.8277805438729</v>
      </c>
      <c r="Q1391" s="35">
        <f t="array" ref="Q1391">SUM(IF(($S1391&gt;=4)*($C1391='TaxCred&amp;Subs'!$D$114:$D$121)*($H1391='TaxCred&amp;Subs'!$C$114:$C$121)*($H1391&lt;='TaxCred&amp;Subs'!$C$123),'TaxCred&amp;Subs'!$E$114:$E$121,0))</f>
        <v>500</v>
      </c>
      <c r="R1391" s="143">
        <v>0</v>
      </c>
      <c r="S1391" s="5">
        <v>4</v>
      </c>
      <c r="T1391" s="5" t="s">
        <v>240</v>
      </c>
      <c r="V1391" s="7" t="str">
        <f t="array" ref="V1391">INDEX(xlRTCLNAME,MATCH(1,(xlRTCLENDU=1)*(xlRTCLEQCL=$D1391),0))</f>
        <v>DIST_RAD</v>
      </c>
      <c r="W1391" s="7" t="str">
        <f t="array" ref="W1391">INDEX(xlRTCLNAME,MATCH(1,(xlRTCLENDU=2)*(xlRTCLEQCL=$F1391),0))</f>
        <v>CENT_AIR</v>
      </c>
      <c r="X1391" s="7" t="str">
        <f t="array" ref="X1391">INDEX(xlRTTYNAME,MATCH(1,(xlRTTYENDU=1)*(xlRTTYEQCL=$D1391)*(xlRTEQTYPE=$E1391),0))</f>
        <v>DIST_RAD3</v>
      </c>
      <c r="Y1391" s="7" t="str">
        <f t="array" ref="Y1391">INDEX(xlRTTYNAME,MATCH(1,(xlRTTYENDU=2)*(xlRTTYEQCL=$F1391)*(xlRTEQTYPE=$G1391),0))</f>
        <v>CENT_AIR3</v>
      </c>
    </row>
    <row r="1392" spans="2:25" ht="14.25" customHeight="1" x14ac:dyDescent="0.2">
      <c r="B1392" s="5">
        <v>1</v>
      </c>
      <c r="C1392" s="5">
        <v>2</v>
      </c>
      <c r="D1392" s="5">
        <v>8</v>
      </c>
      <c r="E1392" s="31">
        <v>27</v>
      </c>
      <c r="F1392" s="5">
        <v>2</v>
      </c>
      <c r="G1392" s="31">
        <v>6</v>
      </c>
      <c r="H1392" s="5">
        <v>2033</v>
      </c>
      <c r="I1392" s="5">
        <v>2050</v>
      </c>
      <c r="J1392" s="142">
        <v>1.0864</v>
      </c>
      <c r="K1392" s="142">
        <v>1.0417000000000001</v>
      </c>
      <c r="L1392" s="142">
        <v>0.90900000000000003</v>
      </c>
      <c r="M1392" s="142">
        <v>1.1455</v>
      </c>
      <c r="N1392" s="142">
        <v>1.1156999999999999</v>
      </c>
      <c r="O1392" s="142">
        <v>1.0538000000000001</v>
      </c>
      <c r="P1392" s="26">
        <v>4740.8277805438729</v>
      </c>
      <c r="Q1392" s="35">
        <f t="array" ref="Q1392">SUM(IF(($S1392&gt;=4)*($C1392='TaxCred&amp;Subs'!$D$114:$D$121)*($H1392='TaxCred&amp;Subs'!$C$114:$C$121)*($H1392&lt;='TaxCred&amp;Subs'!$C$123),'TaxCred&amp;Subs'!$E$114:$E$121,0))</f>
        <v>0</v>
      </c>
      <c r="R1392" s="143">
        <v>0</v>
      </c>
      <c r="S1392" s="5">
        <v>4</v>
      </c>
      <c r="T1392" s="5" t="s">
        <v>240</v>
      </c>
      <c r="V1392" s="7" t="str">
        <f t="array" ref="V1392">INDEX(xlRTCLNAME,MATCH(1,(xlRTCLENDU=1)*(xlRTCLEQCL=$D1392),0))</f>
        <v>DIST_RAD</v>
      </c>
      <c r="W1392" s="7" t="str">
        <f t="array" ref="W1392">INDEX(xlRTCLNAME,MATCH(1,(xlRTCLENDU=2)*(xlRTCLEQCL=$F1392),0))</f>
        <v>CENT_AIR</v>
      </c>
      <c r="X1392" s="7" t="str">
        <f t="array" ref="X1392">INDEX(xlRTTYNAME,MATCH(1,(xlRTTYENDU=1)*(xlRTTYEQCL=$D1392)*(xlRTEQTYPE=$E1392),0))</f>
        <v>DIST_RAD3</v>
      </c>
      <c r="Y1392" s="7" t="str">
        <f t="array" ref="Y1392">INDEX(xlRTTYNAME,MATCH(1,(xlRTTYENDU=2)*(xlRTTYEQCL=$F1392)*(xlRTEQTYPE=$G1392),0))</f>
        <v>CENT_AIR3</v>
      </c>
    </row>
    <row r="1393" spans="2:25" ht="14.25" customHeight="1" x14ac:dyDescent="0.2">
      <c r="B1393" s="5">
        <v>2</v>
      </c>
      <c r="C1393" s="5">
        <v>2</v>
      </c>
      <c r="D1393" s="5">
        <v>8</v>
      </c>
      <c r="E1393" s="31">
        <v>27</v>
      </c>
      <c r="F1393" s="5">
        <v>2</v>
      </c>
      <c r="G1393" s="31">
        <v>6</v>
      </c>
      <c r="H1393" s="31">
        <v>2020</v>
      </c>
      <c r="I1393" s="5">
        <v>2022</v>
      </c>
      <c r="J1393" s="142">
        <v>1.0891</v>
      </c>
      <c r="K1393" s="142">
        <v>1.0713999999999999</v>
      </c>
      <c r="L1393" s="142">
        <v>0.97260000000000002</v>
      </c>
      <c r="M1393" s="142">
        <v>1.1625000000000001</v>
      </c>
      <c r="N1393" s="142">
        <v>1.1254999999999999</v>
      </c>
      <c r="O1393" s="142">
        <v>1.0538000000000001</v>
      </c>
      <c r="P1393" s="26">
        <v>3632.9315550282327</v>
      </c>
      <c r="Q1393" s="35">
        <f t="array" ref="Q1393">SUM(IF(($S1393&gt;=4)*($C1393='TaxCred&amp;Subs'!$D$114:$D$121)*($H1393='TaxCred&amp;Subs'!$C$114:$C$121)*($H1393&lt;='TaxCred&amp;Subs'!$C$123),'TaxCred&amp;Subs'!$E$114:$E$121,0))</f>
        <v>0</v>
      </c>
      <c r="R1393" s="143">
        <v>0</v>
      </c>
      <c r="S1393" s="5">
        <v>4</v>
      </c>
      <c r="T1393" s="5" t="s">
        <v>240</v>
      </c>
      <c r="V1393" s="7" t="str">
        <f t="array" ref="V1393">INDEX(xlRTCLNAME,MATCH(1,(xlRTCLENDU=1)*(xlRTCLEQCL=$D1393),0))</f>
        <v>DIST_RAD</v>
      </c>
      <c r="W1393" s="7" t="str">
        <f t="array" ref="W1393">INDEX(xlRTCLNAME,MATCH(1,(xlRTCLENDU=2)*(xlRTCLEQCL=$F1393),0))</f>
        <v>CENT_AIR</v>
      </c>
      <c r="X1393" s="7" t="str">
        <f t="array" ref="X1393">INDEX(xlRTTYNAME,MATCH(1,(xlRTTYENDU=1)*(xlRTTYEQCL=$D1393)*(xlRTEQTYPE=$E1393),0))</f>
        <v>DIST_RAD3</v>
      </c>
      <c r="Y1393" s="7" t="str">
        <f t="array" ref="Y1393">INDEX(xlRTTYNAME,MATCH(1,(xlRTTYENDU=2)*(xlRTTYEQCL=$F1393)*(xlRTEQTYPE=$G1393),0))</f>
        <v>CENT_AIR3</v>
      </c>
    </row>
    <row r="1394" spans="2:25" ht="14.25" customHeight="1" x14ac:dyDescent="0.2">
      <c r="B1394" s="5">
        <v>2</v>
      </c>
      <c r="C1394" s="5">
        <v>2</v>
      </c>
      <c r="D1394" s="5">
        <v>8</v>
      </c>
      <c r="E1394" s="31">
        <v>27</v>
      </c>
      <c r="F1394" s="5">
        <v>2</v>
      </c>
      <c r="G1394" s="31">
        <v>6</v>
      </c>
      <c r="H1394" s="5">
        <v>2023</v>
      </c>
      <c r="I1394" s="5">
        <v>2032</v>
      </c>
      <c r="J1394" s="142">
        <v>1.0891</v>
      </c>
      <c r="K1394" s="142">
        <v>1.0713999999999999</v>
      </c>
      <c r="L1394" s="142">
        <v>0.97260000000000002</v>
      </c>
      <c r="M1394" s="142">
        <v>1.1625000000000001</v>
      </c>
      <c r="N1394" s="142">
        <v>1.1254999999999999</v>
      </c>
      <c r="O1394" s="142">
        <v>1.0538000000000001</v>
      </c>
      <c r="P1394" s="26">
        <v>3632.9315550282327</v>
      </c>
      <c r="Q1394" s="35">
        <f t="array" ref="Q1394">SUM(IF(($S1394&gt;=4)*($C1394='TaxCred&amp;Subs'!$D$114:$D$121)*($H1394='TaxCred&amp;Subs'!$C$114:$C$121)*($H1394&lt;='TaxCred&amp;Subs'!$C$123),'TaxCred&amp;Subs'!$E$114:$E$121,0))</f>
        <v>500</v>
      </c>
      <c r="R1394" s="143">
        <v>0</v>
      </c>
      <c r="S1394" s="5">
        <v>4</v>
      </c>
      <c r="T1394" s="5" t="s">
        <v>240</v>
      </c>
      <c r="V1394" s="7" t="str">
        <f t="array" ref="V1394">INDEX(xlRTCLNAME,MATCH(1,(xlRTCLENDU=1)*(xlRTCLEQCL=$D1394),0))</f>
        <v>DIST_RAD</v>
      </c>
      <c r="W1394" s="7" t="str">
        <f t="array" ref="W1394">INDEX(xlRTCLNAME,MATCH(1,(xlRTCLENDU=2)*(xlRTCLEQCL=$F1394),0))</f>
        <v>CENT_AIR</v>
      </c>
      <c r="X1394" s="7" t="str">
        <f t="array" ref="X1394">INDEX(xlRTTYNAME,MATCH(1,(xlRTTYENDU=1)*(xlRTTYEQCL=$D1394)*(xlRTEQTYPE=$E1394),0))</f>
        <v>DIST_RAD3</v>
      </c>
      <c r="Y1394" s="7" t="str">
        <f t="array" ref="Y1394">INDEX(xlRTTYNAME,MATCH(1,(xlRTTYENDU=2)*(xlRTTYEQCL=$F1394)*(xlRTEQTYPE=$G1394),0))</f>
        <v>CENT_AIR3</v>
      </c>
    </row>
    <row r="1395" spans="2:25" ht="14.25" customHeight="1" x14ac:dyDescent="0.2">
      <c r="B1395" s="5">
        <v>2</v>
      </c>
      <c r="C1395" s="5">
        <v>2</v>
      </c>
      <c r="D1395" s="5">
        <v>8</v>
      </c>
      <c r="E1395" s="31">
        <v>27</v>
      </c>
      <c r="F1395" s="5">
        <v>2</v>
      </c>
      <c r="G1395" s="31">
        <v>6</v>
      </c>
      <c r="H1395" s="5">
        <v>2033</v>
      </c>
      <c r="I1395" s="5">
        <v>2050</v>
      </c>
      <c r="J1395" s="142">
        <v>1.0891</v>
      </c>
      <c r="K1395" s="142">
        <v>1.0713999999999999</v>
      </c>
      <c r="L1395" s="142">
        <v>0.97260000000000002</v>
      </c>
      <c r="M1395" s="142">
        <v>1.1625000000000001</v>
      </c>
      <c r="N1395" s="142">
        <v>1.1254999999999999</v>
      </c>
      <c r="O1395" s="142">
        <v>1.0538000000000001</v>
      </c>
      <c r="P1395" s="26">
        <v>3632.9315550282327</v>
      </c>
      <c r="Q1395" s="35">
        <f t="array" ref="Q1395">SUM(IF(($S1395&gt;=4)*($C1395='TaxCred&amp;Subs'!$D$114:$D$121)*($H1395='TaxCred&amp;Subs'!$C$114:$C$121)*($H1395&lt;='TaxCred&amp;Subs'!$C$123),'TaxCred&amp;Subs'!$E$114:$E$121,0))</f>
        <v>0</v>
      </c>
      <c r="R1395" s="143">
        <v>0</v>
      </c>
      <c r="S1395" s="5">
        <v>4</v>
      </c>
      <c r="T1395" s="5" t="s">
        <v>240</v>
      </c>
      <c r="V1395" s="7" t="str">
        <f t="array" ref="V1395">INDEX(xlRTCLNAME,MATCH(1,(xlRTCLENDU=1)*(xlRTCLEQCL=$D1395),0))</f>
        <v>DIST_RAD</v>
      </c>
      <c r="W1395" s="7" t="str">
        <f t="array" ref="W1395">INDEX(xlRTCLNAME,MATCH(1,(xlRTCLENDU=2)*(xlRTCLEQCL=$F1395),0))</f>
        <v>CENT_AIR</v>
      </c>
      <c r="X1395" s="7" t="str">
        <f t="array" ref="X1395">INDEX(xlRTTYNAME,MATCH(1,(xlRTTYENDU=1)*(xlRTTYEQCL=$D1395)*(xlRTEQTYPE=$E1395),0))</f>
        <v>DIST_RAD3</v>
      </c>
      <c r="Y1395" s="7" t="str">
        <f t="array" ref="Y1395">INDEX(xlRTTYNAME,MATCH(1,(xlRTTYENDU=2)*(xlRTTYEQCL=$F1395)*(xlRTEQTYPE=$G1395),0))</f>
        <v>CENT_AIR3</v>
      </c>
    </row>
    <row r="1396" spans="2:25" ht="14.25" customHeight="1" x14ac:dyDescent="0.2">
      <c r="B1396" s="5">
        <v>3</v>
      </c>
      <c r="C1396" s="5">
        <v>2</v>
      </c>
      <c r="D1396" s="5">
        <v>8</v>
      </c>
      <c r="E1396" s="31">
        <v>27</v>
      </c>
      <c r="F1396" s="5">
        <v>2</v>
      </c>
      <c r="G1396" s="31">
        <v>6</v>
      </c>
      <c r="H1396" s="31">
        <v>2020</v>
      </c>
      <c r="I1396" s="5">
        <v>2022</v>
      </c>
      <c r="J1396" s="142">
        <v>1.0962000000000001</v>
      </c>
      <c r="K1396" s="142">
        <v>1.0345</v>
      </c>
      <c r="L1396" s="142">
        <v>0.81979999999999997</v>
      </c>
      <c r="M1396" s="142">
        <v>1.0828</v>
      </c>
      <c r="N1396" s="142">
        <v>1.0417000000000001</v>
      </c>
      <c r="O1396" s="142">
        <v>1.0538000000000001</v>
      </c>
      <c r="P1396" s="26">
        <v>4037.6363655624655</v>
      </c>
      <c r="Q1396" s="35">
        <f t="array" ref="Q1396">SUM(IF(($S1396&gt;=4)*($C1396='TaxCred&amp;Subs'!$D$114:$D$121)*($H1396='TaxCred&amp;Subs'!$C$114:$C$121)*($H1396&lt;='TaxCred&amp;Subs'!$C$123),'TaxCred&amp;Subs'!$E$114:$E$121,0))</f>
        <v>0</v>
      </c>
      <c r="R1396" s="143">
        <v>0</v>
      </c>
      <c r="S1396" s="5">
        <v>4</v>
      </c>
      <c r="T1396" s="5" t="s">
        <v>240</v>
      </c>
      <c r="V1396" s="7" t="str">
        <f t="array" ref="V1396">INDEX(xlRTCLNAME,MATCH(1,(xlRTCLENDU=1)*(xlRTCLEQCL=$D1396),0))</f>
        <v>DIST_RAD</v>
      </c>
      <c r="W1396" s="7" t="str">
        <f t="array" ref="W1396">INDEX(xlRTCLNAME,MATCH(1,(xlRTCLENDU=2)*(xlRTCLEQCL=$F1396),0))</f>
        <v>CENT_AIR</v>
      </c>
      <c r="X1396" s="7" t="str">
        <f t="array" ref="X1396">INDEX(xlRTTYNAME,MATCH(1,(xlRTTYENDU=1)*(xlRTTYEQCL=$D1396)*(xlRTEQTYPE=$E1396),0))</f>
        <v>DIST_RAD3</v>
      </c>
      <c r="Y1396" s="7" t="str">
        <f t="array" ref="Y1396">INDEX(xlRTTYNAME,MATCH(1,(xlRTTYENDU=2)*(xlRTTYEQCL=$F1396)*(xlRTEQTYPE=$G1396),0))</f>
        <v>CENT_AIR3</v>
      </c>
    </row>
    <row r="1397" spans="2:25" ht="14.25" customHeight="1" x14ac:dyDescent="0.2">
      <c r="B1397" s="5">
        <v>3</v>
      </c>
      <c r="C1397" s="5">
        <v>2</v>
      </c>
      <c r="D1397" s="5">
        <v>8</v>
      </c>
      <c r="E1397" s="31">
        <v>27</v>
      </c>
      <c r="F1397" s="5">
        <v>2</v>
      </c>
      <c r="G1397" s="31">
        <v>6</v>
      </c>
      <c r="H1397" s="5">
        <v>2023</v>
      </c>
      <c r="I1397" s="5">
        <v>2032</v>
      </c>
      <c r="J1397" s="142">
        <v>1.0962000000000001</v>
      </c>
      <c r="K1397" s="142">
        <v>1.0345</v>
      </c>
      <c r="L1397" s="142">
        <v>0.81979999999999997</v>
      </c>
      <c r="M1397" s="142">
        <v>1.0828</v>
      </c>
      <c r="N1397" s="142">
        <v>1.0417000000000001</v>
      </c>
      <c r="O1397" s="142">
        <v>1.0538000000000001</v>
      </c>
      <c r="P1397" s="26">
        <v>4037.6363655624655</v>
      </c>
      <c r="Q1397" s="35">
        <f t="array" ref="Q1397">SUM(IF(($S1397&gt;=4)*($C1397='TaxCred&amp;Subs'!$D$114:$D$121)*($H1397='TaxCred&amp;Subs'!$C$114:$C$121)*($H1397&lt;='TaxCred&amp;Subs'!$C$123),'TaxCred&amp;Subs'!$E$114:$E$121,0))</f>
        <v>500</v>
      </c>
      <c r="R1397" s="143">
        <v>0</v>
      </c>
      <c r="S1397" s="5">
        <v>4</v>
      </c>
      <c r="T1397" s="5" t="s">
        <v>240</v>
      </c>
      <c r="V1397" s="7" t="str">
        <f t="array" ref="V1397">INDEX(xlRTCLNAME,MATCH(1,(xlRTCLENDU=1)*(xlRTCLEQCL=$D1397),0))</f>
        <v>DIST_RAD</v>
      </c>
      <c r="W1397" s="7" t="str">
        <f t="array" ref="W1397">INDEX(xlRTCLNAME,MATCH(1,(xlRTCLENDU=2)*(xlRTCLEQCL=$F1397),0))</f>
        <v>CENT_AIR</v>
      </c>
      <c r="X1397" s="7" t="str">
        <f t="array" ref="X1397">INDEX(xlRTTYNAME,MATCH(1,(xlRTTYENDU=1)*(xlRTTYEQCL=$D1397)*(xlRTEQTYPE=$E1397),0))</f>
        <v>DIST_RAD3</v>
      </c>
      <c r="Y1397" s="7" t="str">
        <f t="array" ref="Y1397">INDEX(xlRTTYNAME,MATCH(1,(xlRTTYENDU=2)*(xlRTTYEQCL=$F1397)*(xlRTEQTYPE=$G1397),0))</f>
        <v>CENT_AIR3</v>
      </c>
    </row>
    <row r="1398" spans="2:25" ht="14.25" customHeight="1" x14ac:dyDescent="0.2">
      <c r="B1398" s="5">
        <v>3</v>
      </c>
      <c r="C1398" s="5">
        <v>2</v>
      </c>
      <c r="D1398" s="5">
        <v>8</v>
      </c>
      <c r="E1398" s="31">
        <v>27</v>
      </c>
      <c r="F1398" s="5">
        <v>2</v>
      </c>
      <c r="G1398" s="31">
        <v>6</v>
      </c>
      <c r="H1398" s="5">
        <v>2033</v>
      </c>
      <c r="I1398" s="5">
        <v>2050</v>
      </c>
      <c r="J1398" s="142">
        <v>1.0962000000000001</v>
      </c>
      <c r="K1398" s="142">
        <v>1.0345</v>
      </c>
      <c r="L1398" s="142">
        <v>0.81979999999999997</v>
      </c>
      <c r="M1398" s="142">
        <v>1.0828</v>
      </c>
      <c r="N1398" s="142">
        <v>1.0417000000000001</v>
      </c>
      <c r="O1398" s="142">
        <v>1.0538000000000001</v>
      </c>
      <c r="P1398" s="26">
        <v>4037.6363655624655</v>
      </c>
      <c r="Q1398" s="35">
        <f t="array" ref="Q1398">SUM(IF(($S1398&gt;=4)*($C1398='TaxCred&amp;Subs'!$D$114:$D$121)*($H1398='TaxCred&amp;Subs'!$C$114:$C$121)*($H1398&lt;='TaxCred&amp;Subs'!$C$123),'TaxCred&amp;Subs'!$E$114:$E$121,0))</f>
        <v>0</v>
      </c>
      <c r="R1398" s="143">
        <v>0</v>
      </c>
      <c r="S1398" s="5">
        <v>4</v>
      </c>
      <c r="T1398" s="5" t="s">
        <v>240</v>
      </c>
      <c r="V1398" s="7" t="str">
        <f t="array" ref="V1398">INDEX(xlRTCLNAME,MATCH(1,(xlRTCLENDU=1)*(xlRTCLEQCL=$D1398),0))</f>
        <v>DIST_RAD</v>
      </c>
      <c r="W1398" s="7" t="str">
        <f t="array" ref="W1398">INDEX(xlRTCLNAME,MATCH(1,(xlRTCLENDU=2)*(xlRTCLEQCL=$F1398),0))</f>
        <v>CENT_AIR</v>
      </c>
      <c r="X1398" s="7" t="str">
        <f t="array" ref="X1398">INDEX(xlRTTYNAME,MATCH(1,(xlRTTYENDU=1)*(xlRTTYEQCL=$D1398)*(xlRTEQTYPE=$E1398),0))</f>
        <v>DIST_RAD3</v>
      </c>
      <c r="Y1398" s="7" t="str">
        <f t="array" ref="Y1398">INDEX(xlRTTYNAME,MATCH(1,(xlRTTYENDU=2)*(xlRTTYEQCL=$F1398)*(xlRTEQTYPE=$G1398),0))</f>
        <v>CENT_AIR3</v>
      </c>
    </row>
    <row r="1399" spans="2:25" ht="14.25" customHeight="1" x14ac:dyDescent="0.2">
      <c r="B1399" s="5">
        <v>4</v>
      </c>
      <c r="C1399" s="5">
        <v>2</v>
      </c>
      <c r="D1399" s="5">
        <v>8</v>
      </c>
      <c r="E1399" s="31">
        <v>27</v>
      </c>
      <c r="F1399" s="5">
        <v>2</v>
      </c>
      <c r="G1399" s="31">
        <v>6</v>
      </c>
      <c r="H1399" s="31">
        <v>2020</v>
      </c>
      <c r="I1399" s="5">
        <v>2022</v>
      </c>
      <c r="J1399" s="142">
        <v>1.1024</v>
      </c>
      <c r="K1399" s="142">
        <v>1.0435000000000001</v>
      </c>
      <c r="L1399" s="142">
        <v>0.99209999999999998</v>
      </c>
      <c r="M1399" s="142">
        <v>1.1499999999999999</v>
      </c>
      <c r="N1399" s="142">
        <v>1.1678999999999999</v>
      </c>
      <c r="O1399" s="142">
        <v>1.0538000000000001</v>
      </c>
      <c r="P1399" s="26">
        <v>3185.2016483574694</v>
      </c>
      <c r="Q1399" s="35">
        <f t="array" ref="Q1399">SUM(IF(($S1399&gt;=4)*($C1399='TaxCred&amp;Subs'!$D$114:$D$121)*($H1399='TaxCred&amp;Subs'!$C$114:$C$121)*($H1399&lt;='TaxCred&amp;Subs'!$C$123),'TaxCred&amp;Subs'!$E$114:$E$121,0))</f>
        <v>0</v>
      </c>
      <c r="R1399" s="143">
        <v>0</v>
      </c>
      <c r="S1399" s="5">
        <v>4</v>
      </c>
      <c r="T1399" s="5" t="s">
        <v>240</v>
      </c>
      <c r="V1399" s="7" t="str">
        <f t="array" ref="V1399">INDEX(xlRTCLNAME,MATCH(1,(xlRTCLENDU=1)*(xlRTCLEQCL=$D1399),0))</f>
        <v>DIST_RAD</v>
      </c>
      <c r="W1399" s="7" t="str">
        <f t="array" ref="W1399">INDEX(xlRTCLNAME,MATCH(1,(xlRTCLENDU=2)*(xlRTCLEQCL=$F1399),0))</f>
        <v>CENT_AIR</v>
      </c>
      <c r="X1399" s="7" t="str">
        <f t="array" ref="X1399">INDEX(xlRTTYNAME,MATCH(1,(xlRTTYENDU=1)*(xlRTTYEQCL=$D1399)*(xlRTEQTYPE=$E1399),0))</f>
        <v>DIST_RAD3</v>
      </c>
      <c r="Y1399" s="7" t="str">
        <f t="array" ref="Y1399">INDEX(xlRTTYNAME,MATCH(1,(xlRTTYENDU=2)*(xlRTTYEQCL=$F1399)*(xlRTEQTYPE=$G1399),0))</f>
        <v>CENT_AIR3</v>
      </c>
    </row>
    <row r="1400" spans="2:25" ht="14.25" customHeight="1" x14ac:dyDescent="0.2">
      <c r="B1400" s="5">
        <v>4</v>
      </c>
      <c r="C1400" s="5">
        <v>2</v>
      </c>
      <c r="D1400" s="5">
        <v>8</v>
      </c>
      <c r="E1400" s="31">
        <v>27</v>
      </c>
      <c r="F1400" s="5">
        <v>2</v>
      </c>
      <c r="G1400" s="31">
        <v>6</v>
      </c>
      <c r="H1400" s="5">
        <v>2023</v>
      </c>
      <c r="I1400" s="5">
        <v>2032</v>
      </c>
      <c r="J1400" s="142">
        <v>1.1024</v>
      </c>
      <c r="K1400" s="142">
        <v>1.0435000000000001</v>
      </c>
      <c r="L1400" s="142">
        <v>0.99209999999999998</v>
      </c>
      <c r="M1400" s="142">
        <v>1.1499999999999999</v>
      </c>
      <c r="N1400" s="142">
        <v>1.1678999999999999</v>
      </c>
      <c r="O1400" s="142">
        <v>1.0538000000000001</v>
      </c>
      <c r="P1400" s="26">
        <v>3185.2016483574694</v>
      </c>
      <c r="Q1400" s="35">
        <f t="array" ref="Q1400">SUM(IF(($S1400&gt;=4)*($C1400='TaxCred&amp;Subs'!$D$114:$D$121)*($H1400='TaxCred&amp;Subs'!$C$114:$C$121)*($H1400&lt;='TaxCred&amp;Subs'!$C$123),'TaxCred&amp;Subs'!$E$114:$E$121,0))</f>
        <v>500</v>
      </c>
      <c r="R1400" s="143">
        <v>0</v>
      </c>
      <c r="S1400" s="5">
        <v>4</v>
      </c>
      <c r="T1400" s="5" t="s">
        <v>240</v>
      </c>
      <c r="V1400" s="7" t="str">
        <f t="array" ref="V1400">INDEX(xlRTCLNAME,MATCH(1,(xlRTCLENDU=1)*(xlRTCLEQCL=$D1400),0))</f>
        <v>DIST_RAD</v>
      </c>
      <c r="W1400" s="7" t="str">
        <f t="array" ref="W1400">INDEX(xlRTCLNAME,MATCH(1,(xlRTCLENDU=2)*(xlRTCLEQCL=$F1400),0))</f>
        <v>CENT_AIR</v>
      </c>
      <c r="X1400" s="7" t="str">
        <f t="array" ref="X1400">INDEX(xlRTTYNAME,MATCH(1,(xlRTTYENDU=1)*(xlRTTYEQCL=$D1400)*(xlRTEQTYPE=$E1400),0))</f>
        <v>DIST_RAD3</v>
      </c>
      <c r="Y1400" s="7" t="str">
        <f t="array" ref="Y1400">INDEX(xlRTTYNAME,MATCH(1,(xlRTTYENDU=2)*(xlRTTYEQCL=$F1400)*(xlRTEQTYPE=$G1400),0))</f>
        <v>CENT_AIR3</v>
      </c>
    </row>
    <row r="1401" spans="2:25" ht="14.25" customHeight="1" x14ac:dyDescent="0.2">
      <c r="B1401" s="5">
        <v>4</v>
      </c>
      <c r="C1401" s="5">
        <v>2</v>
      </c>
      <c r="D1401" s="5">
        <v>8</v>
      </c>
      <c r="E1401" s="31">
        <v>27</v>
      </c>
      <c r="F1401" s="5">
        <v>2</v>
      </c>
      <c r="G1401" s="31">
        <v>6</v>
      </c>
      <c r="H1401" s="5">
        <v>2033</v>
      </c>
      <c r="I1401" s="5">
        <v>2050</v>
      </c>
      <c r="J1401" s="142">
        <v>1.1024</v>
      </c>
      <c r="K1401" s="142">
        <v>1.0435000000000001</v>
      </c>
      <c r="L1401" s="142">
        <v>0.99209999999999998</v>
      </c>
      <c r="M1401" s="142">
        <v>1.1499999999999999</v>
      </c>
      <c r="N1401" s="142">
        <v>1.1678999999999999</v>
      </c>
      <c r="O1401" s="142">
        <v>1.0538000000000001</v>
      </c>
      <c r="P1401" s="26">
        <v>3185.2016483574694</v>
      </c>
      <c r="Q1401" s="35">
        <f t="array" ref="Q1401">SUM(IF(($S1401&gt;=4)*($C1401='TaxCred&amp;Subs'!$D$114:$D$121)*($H1401='TaxCred&amp;Subs'!$C$114:$C$121)*($H1401&lt;='TaxCred&amp;Subs'!$C$123),'TaxCred&amp;Subs'!$E$114:$E$121,0))</f>
        <v>0</v>
      </c>
      <c r="R1401" s="143">
        <v>0</v>
      </c>
      <c r="S1401" s="5">
        <v>4</v>
      </c>
      <c r="T1401" s="5" t="s">
        <v>240</v>
      </c>
      <c r="V1401" s="7" t="str">
        <f t="array" ref="V1401">INDEX(xlRTCLNAME,MATCH(1,(xlRTCLENDU=1)*(xlRTCLEQCL=$D1401),0))</f>
        <v>DIST_RAD</v>
      </c>
      <c r="W1401" s="7" t="str">
        <f t="array" ref="W1401">INDEX(xlRTCLNAME,MATCH(1,(xlRTCLENDU=2)*(xlRTCLEQCL=$F1401),0))</f>
        <v>CENT_AIR</v>
      </c>
      <c r="X1401" s="7" t="str">
        <f t="array" ref="X1401">INDEX(xlRTTYNAME,MATCH(1,(xlRTTYENDU=1)*(xlRTTYEQCL=$D1401)*(xlRTEQTYPE=$E1401),0))</f>
        <v>DIST_RAD3</v>
      </c>
      <c r="Y1401" s="7" t="str">
        <f t="array" ref="Y1401">INDEX(xlRTTYNAME,MATCH(1,(xlRTTYENDU=2)*(xlRTTYEQCL=$F1401)*(xlRTEQTYPE=$G1401),0))</f>
        <v>CENT_AIR3</v>
      </c>
    </row>
    <row r="1402" spans="2:25" ht="14.25" customHeight="1" x14ac:dyDescent="0.2">
      <c r="B1402" s="5">
        <v>5</v>
      </c>
      <c r="C1402" s="5">
        <v>2</v>
      </c>
      <c r="D1402" s="5">
        <v>8</v>
      </c>
      <c r="E1402" s="31">
        <v>27</v>
      </c>
      <c r="F1402" s="5">
        <v>2</v>
      </c>
      <c r="G1402" s="31">
        <v>6</v>
      </c>
      <c r="H1402" s="31">
        <v>2020</v>
      </c>
      <c r="I1402" s="5">
        <v>2022</v>
      </c>
      <c r="J1402" s="142">
        <v>1.03</v>
      </c>
      <c r="K1402" s="142">
        <v>1.03</v>
      </c>
      <c r="L1402" s="142">
        <v>0.44379999999999997</v>
      </c>
      <c r="M1402" s="142">
        <v>1.0509999999999999</v>
      </c>
      <c r="N1402" s="142">
        <v>1.3003</v>
      </c>
      <c r="O1402" s="142">
        <v>1.0538000000000001</v>
      </c>
      <c r="P1402" s="26">
        <v>2937.8073455724229</v>
      </c>
      <c r="Q1402" s="35">
        <f t="array" ref="Q1402">SUM(IF(($S1402&gt;=4)*($C1402='TaxCred&amp;Subs'!$D$114:$D$121)*($H1402='TaxCred&amp;Subs'!$C$114:$C$121)*($H1402&lt;='TaxCred&amp;Subs'!$C$123),'TaxCred&amp;Subs'!$E$114:$E$121,0))</f>
        <v>0</v>
      </c>
      <c r="R1402" s="143">
        <v>0</v>
      </c>
      <c r="S1402" s="5">
        <v>4</v>
      </c>
      <c r="T1402" s="5" t="s">
        <v>240</v>
      </c>
      <c r="V1402" s="7" t="str">
        <f t="array" ref="V1402">INDEX(xlRTCLNAME,MATCH(1,(xlRTCLENDU=1)*(xlRTCLEQCL=$D1402),0))</f>
        <v>DIST_RAD</v>
      </c>
      <c r="W1402" s="7" t="str">
        <f t="array" ref="W1402">INDEX(xlRTCLNAME,MATCH(1,(xlRTCLENDU=2)*(xlRTCLEQCL=$F1402),0))</f>
        <v>CENT_AIR</v>
      </c>
      <c r="X1402" s="7" t="str">
        <f t="array" ref="X1402">INDEX(xlRTTYNAME,MATCH(1,(xlRTTYENDU=1)*(xlRTTYEQCL=$D1402)*(xlRTEQTYPE=$E1402),0))</f>
        <v>DIST_RAD3</v>
      </c>
      <c r="Y1402" s="7" t="str">
        <f t="array" ref="Y1402">INDEX(xlRTTYNAME,MATCH(1,(xlRTTYENDU=2)*(xlRTTYEQCL=$F1402)*(xlRTEQTYPE=$G1402),0))</f>
        <v>CENT_AIR3</v>
      </c>
    </row>
    <row r="1403" spans="2:25" ht="14.25" customHeight="1" x14ac:dyDescent="0.2">
      <c r="B1403" s="5">
        <v>5</v>
      </c>
      <c r="C1403" s="5">
        <v>2</v>
      </c>
      <c r="D1403" s="5">
        <v>8</v>
      </c>
      <c r="E1403" s="31">
        <v>27</v>
      </c>
      <c r="F1403" s="5">
        <v>2</v>
      </c>
      <c r="G1403" s="31">
        <v>6</v>
      </c>
      <c r="H1403" s="5">
        <v>2023</v>
      </c>
      <c r="I1403" s="5">
        <v>2032</v>
      </c>
      <c r="J1403" s="142">
        <v>1.03</v>
      </c>
      <c r="K1403" s="142">
        <v>1.03</v>
      </c>
      <c r="L1403" s="142">
        <v>0.44379999999999997</v>
      </c>
      <c r="M1403" s="142">
        <v>1.0509999999999999</v>
      </c>
      <c r="N1403" s="142">
        <v>1.3003</v>
      </c>
      <c r="O1403" s="142">
        <v>1.0538000000000001</v>
      </c>
      <c r="P1403" s="26">
        <v>2937.8073455724229</v>
      </c>
      <c r="Q1403" s="35">
        <f t="array" ref="Q1403">SUM(IF(($S1403&gt;=4)*($C1403='TaxCred&amp;Subs'!$D$114:$D$121)*($H1403='TaxCred&amp;Subs'!$C$114:$C$121)*($H1403&lt;='TaxCred&amp;Subs'!$C$123),'TaxCred&amp;Subs'!$E$114:$E$121,0))</f>
        <v>500</v>
      </c>
      <c r="R1403" s="143">
        <v>0</v>
      </c>
      <c r="S1403" s="5">
        <v>4</v>
      </c>
      <c r="T1403" s="5" t="s">
        <v>240</v>
      </c>
      <c r="V1403" s="7" t="str">
        <f t="array" ref="V1403">INDEX(xlRTCLNAME,MATCH(1,(xlRTCLENDU=1)*(xlRTCLEQCL=$D1403),0))</f>
        <v>DIST_RAD</v>
      </c>
      <c r="W1403" s="7" t="str">
        <f t="array" ref="W1403">INDEX(xlRTCLNAME,MATCH(1,(xlRTCLENDU=2)*(xlRTCLEQCL=$F1403),0))</f>
        <v>CENT_AIR</v>
      </c>
      <c r="X1403" s="7" t="str">
        <f t="array" ref="X1403">INDEX(xlRTTYNAME,MATCH(1,(xlRTTYENDU=1)*(xlRTTYEQCL=$D1403)*(xlRTEQTYPE=$E1403),0))</f>
        <v>DIST_RAD3</v>
      </c>
      <c r="Y1403" s="7" t="str">
        <f t="array" ref="Y1403">INDEX(xlRTTYNAME,MATCH(1,(xlRTTYENDU=2)*(xlRTTYEQCL=$F1403)*(xlRTEQTYPE=$G1403),0))</f>
        <v>CENT_AIR3</v>
      </c>
    </row>
    <row r="1404" spans="2:25" ht="14.25" customHeight="1" x14ac:dyDescent="0.2">
      <c r="B1404" s="5">
        <v>5</v>
      </c>
      <c r="C1404" s="5">
        <v>2</v>
      </c>
      <c r="D1404" s="5">
        <v>8</v>
      </c>
      <c r="E1404" s="31">
        <v>27</v>
      </c>
      <c r="F1404" s="5">
        <v>2</v>
      </c>
      <c r="G1404" s="31">
        <v>6</v>
      </c>
      <c r="H1404" s="5">
        <v>2033</v>
      </c>
      <c r="I1404" s="5">
        <v>2050</v>
      </c>
      <c r="J1404" s="142">
        <v>1.03</v>
      </c>
      <c r="K1404" s="142">
        <v>1.03</v>
      </c>
      <c r="L1404" s="142">
        <v>0.44379999999999997</v>
      </c>
      <c r="M1404" s="142">
        <v>1.0509999999999999</v>
      </c>
      <c r="N1404" s="142">
        <v>1.3003</v>
      </c>
      <c r="O1404" s="142">
        <v>1.0538000000000001</v>
      </c>
      <c r="P1404" s="26">
        <v>2937.8073455724229</v>
      </c>
      <c r="Q1404" s="35">
        <f t="array" ref="Q1404">SUM(IF(($S1404&gt;=4)*($C1404='TaxCred&amp;Subs'!$D$114:$D$121)*($H1404='TaxCred&amp;Subs'!$C$114:$C$121)*($H1404&lt;='TaxCred&amp;Subs'!$C$123),'TaxCred&amp;Subs'!$E$114:$E$121,0))</f>
        <v>0</v>
      </c>
      <c r="R1404" s="143">
        <v>0</v>
      </c>
      <c r="S1404" s="5">
        <v>4</v>
      </c>
      <c r="T1404" s="5" t="s">
        <v>240</v>
      </c>
      <c r="V1404" s="7" t="str">
        <f t="array" ref="V1404">INDEX(xlRTCLNAME,MATCH(1,(xlRTCLENDU=1)*(xlRTCLEQCL=$D1404),0))</f>
        <v>DIST_RAD</v>
      </c>
      <c r="W1404" s="7" t="str">
        <f t="array" ref="W1404">INDEX(xlRTCLNAME,MATCH(1,(xlRTCLENDU=2)*(xlRTCLEQCL=$F1404),0))</f>
        <v>CENT_AIR</v>
      </c>
      <c r="X1404" s="7" t="str">
        <f t="array" ref="X1404">INDEX(xlRTTYNAME,MATCH(1,(xlRTTYENDU=1)*(xlRTTYEQCL=$D1404)*(xlRTEQTYPE=$E1404),0))</f>
        <v>DIST_RAD3</v>
      </c>
      <c r="Y1404" s="7" t="str">
        <f t="array" ref="Y1404">INDEX(xlRTTYNAME,MATCH(1,(xlRTTYENDU=2)*(xlRTTYEQCL=$F1404)*(xlRTEQTYPE=$G1404),0))</f>
        <v>CENT_AIR3</v>
      </c>
    </row>
    <row r="1405" spans="2:25" ht="14.25" customHeight="1" x14ac:dyDescent="0.2">
      <c r="B1405" s="5">
        <v>6</v>
      </c>
      <c r="C1405" s="5">
        <v>2</v>
      </c>
      <c r="D1405" s="5">
        <v>8</v>
      </c>
      <c r="E1405" s="31">
        <v>27</v>
      </c>
      <c r="F1405" s="5">
        <v>2</v>
      </c>
      <c r="G1405" s="31">
        <v>6</v>
      </c>
      <c r="H1405" s="31">
        <v>2020</v>
      </c>
      <c r="I1405" s="5">
        <v>2022</v>
      </c>
      <c r="J1405" s="142">
        <v>1.1200000000000001</v>
      </c>
      <c r="K1405" s="142">
        <v>1.0417000000000001</v>
      </c>
      <c r="L1405" s="142">
        <v>1.1437999999999999</v>
      </c>
      <c r="M1405" s="142">
        <v>1.1228</v>
      </c>
      <c r="N1405" s="142">
        <v>1.3656999999999999</v>
      </c>
      <c r="O1405" s="142">
        <v>1.0538000000000001</v>
      </c>
      <c r="P1405" s="26">
        <v>3027.8911406082825</v>
      </c>
      <c r="Q1405" s="35">
        <f t="array" ref="Q1405">SUM(IF(($S1405&gt;=4)*($C1405='TaxCred&amp;Subs'!$D$114:$D$121)*($H1405='TaxCred&amp;Subs'!$C$114:$C$121)*($H1405&lt;='TaxCred&amp;Subs'!$C$123),'TaxCred&amp;Subs'!$E$114:$E$121,0))</f>
        <v>0</v>
      </c>
      <c r="R1405" s="143">
        <v>0</v>
      </c>
      <c r="S1405" s="5">
        <v>4</v>
      </c>
      <c r="T1405" s="5" t="s">
        <v>240</v>
      </c>
      <c r="V1405" s="7" t="str">
        <f t="array" ref="V1405">INDEX(xlRTCLNAME,MATCH(1,(xlRTCLENDU=1)*(xlRTCLEQCL=$D1405),0))</f>
        <v>DIST_RAD</v>
      </c>
      <c r="W1405" s="7" t="str">
        <f t="array" ref="W1405">INDEX(xlRTCLNAME,MATCH(1,(xlRTCLENDU=2)*(xlRTCLEQCL=$F1405),0))</f>
        <v>CENT_AIR</v>
      </c>
      <c r="X1405" s="7" t="str">
        <f t="array" ref="X1405">INDEX(xlRTTYNAME,MATCH(1,(xlRTTYENDU=1)*(xlRTTYEQCL=$D1405)*(xlRTEQTYPE=$E1405),0))</f>
        <v>DIST_RAD3</v>
      </c>
      <c r="Y1405" s="7" t="str">
        <f t="array" ref="Y1405">INDEX(xlRTTYNAME,MATCH(1,(xlRTTYENDU=2)*(xlRTTYEQCL=$F1405)*(xlRTEQTYPE=$G1405),0))</f>
        <v>CENT_AIR3</v>
      </c>
    </row>
    <row r="1406" spans="2:25" ht="14.25" customHeight="1" x14ac:dyDescent="0.2">
      <c r="B1406" s="5">
        <v>6</v>
      </c>
      <c r="C1406" s="5">
        <v>2</v>
      </c>
      <c r="D1406" s="5">
        <v>8</v>
      </c>
      <c r="E1406" s="31">
        <v>27</v>
      </c>
      <c r="F1406" s="5">
        <v>2</v>
      </c>
      <c r="G1406" s="31">
        <v>6</v>
      </c>
      <c r="H1406" s="5">
        <v>2023</v>
      </c>
      <c r="I1406" s="5">
        <v>2032</v>
      </c>
      <c r="J1406" s="142">
        <v>1.1200000000000001</v>
      </c>
      <c r="K1406" s="142">
        <v>1.0417000000000001</v>
      </c>
      <c r="L1406" s="142">
        <v>1.1437999999999999</v>
      </c>
      <c r="M1406" s="142">
        <v>1.1228</v>
      </c>
      <c r="N1406" s="142">
        <v>1.3656999999999999</v>
      </c>
      <c r="O1406" s="142">
        <v>1.0538000000000001</v>
      </c>
      <c r="P1406" s="26">
        <v>3027.8911406082825</v>
      </c>
      <c r="Q1406" s="35">
        <f t="array" ref="Q1406">SUM(IF(($S1406&gt;=4)*($C1406='TaxCred&amp;Subs'!$D$114:$D$121)*($H1406='TaxCred&amp;Subs'!$C$114:$C$121)*($H1406&lt;='TaxCred&amp;Subs'!$C$123),'TaxCred&amp;Subs'!$E$114:$E$121,0))</f>
        <v>500</v>
      </c>
      <c r="R1406" s="143">
        <v>0</v>
      </c>
      <c r="S1406" s="5">
        <v>4</v>
      </c>
      <c r="T1406" s="5" t="s">
        <v>240</v>
      </c>
      <c r="V1406" s="7" t="str">
        <f t="array" ref="V1406">INDEX(xlRTCLNAME,MATCH(1,(xlRTCLENDU=1)*(xlRTCLEQCL=$D1406),0))</f>
        <v>DIST_RAD</v>
      </c>
      <c r="W1406" s="7" t="str">
        <f t="array" ref="W1406">INDEX(xlRTCLNAME,MATCH(1,(xlRTCLENDU=2)*(xlRTCLEQCL=$F1406),0))</f>
        <v>CENT_AIR</v>
      </c>
      <c r="X1406" s="7" t="str">
        <f t="array" ref="X1406">INDEX(xlRTTYNAME,MATCH(1,(xlRTTYENDU=1)*(xlRTTYEQCL=$D1406)*(xlRTEQTYPE=$E1406),0))</f>
        <v>DIST_RAD3</v>
      </c>
      <c r="Y1406" s="7" t="str">
        <f t="array" ref="Y1406">INDEX(xlRTTYNAME,MATCH(1,(xlRTTYENDU=2)*(xlRTTYEQCL=$F1406)*(xlRTEQTYPE=$G1406),0))</f>
        <v>CENT_AIR3</v>
      </c>
    </row>
    <row r="1407" spans="2:25" ht="14.25" customHeight="1" x14ac:dyDescent="0.2">
      <c r="B1407" s="5">
        <v>6</v>
      </c>
      <c r="C1407" s="5">
        <v>2</v>
      </c>
      <c r="D1407" s="5">
        <v>8</v>
      </c>
      <c r="E1407" s="31">
        <v>27</v>
      </c>
      <c r="F1407" s="5">
        <v>2</v>
      </c>
      <c r="G1407" s="31">
        <v>6</v>
      </c>
      <c r="H1407" s="5">
        <v>2033</v>
      </c>
      <c r="I1407" s="5">
        <v>2050</v>
      </c>
      <c r="J1407" s="142">
        <v>1.1200000000000001</v>
      </c>
      <c r="K1407" s="142">
        <v>1.0417000000000001</v>
      </c>
      <c r="L1407" s="142">
        <v>1.1437999999999999</v>
      </c>
      <c r="M1407" s="142">
        <v>1.1228</v>
      </c>
      <c r="N1407" s="142">
        <v>1.3656999999999999</v>
      </c>
      <c r="O1407" s="142">
        <v>1.0538000000000001</v>
      </c>
      <c r="P1407" s="26">
        <v>3027.8911406082825</v>
      </c>
      <c r="Q1407" s="35">
        <f t="array" ref="Q1407">SUM(IF(($S1407&gt;=4)*($C1407='TaxCred&amp;Subs'!$D$114:$D$121)*($H1407='TaxCred&amp;Subs'!$C$114:$C$121)*($H1407&lt;='TaxCred&amp;Subs'!$C$123),'TaxCred&amp;Subs'!$E$114:$E$121,0))</f>
        <v>0</v>
      </c>
      <c r="R1407" s="143">
        <v>0</v>
      </c>
      <c r="S1407" s="5">
        <v>4</v>
      </c>
      <c r="T1407" s="5" t="s">
        <v>240</v>
      </c>
      <c r="V1407" s="7" t="str">
        <f t="array" ref="V1407">INDEX(xlRTCLNAME,MATCH(1,(xlRTCLENDU=1)*(xlRTCLEQCL=$D1407),0))</f>
        <v>DIST_RAD</v>
      </c>
      <c r="W1407" s="7" t="str">
        <f t="array" ref="W1407">INDEX(xlRTCLNAME,MATCH(1,(xlRTCLENDU=2)*(xlRTCLEQCL=$F1407),0))</f>
        <v>CENT_AIR</v>
      </c>
      <c r="X1407" s="7" t="str">
        <f t="array" ref="X1407">INDEX(xlRTTYNAME,MATCH(1,(xlRTTYENDU=1)*(xlRTTYEQCL=$D1407)*(xlRTEQTYPE=$E1407),0))</f>
        <v>DIST_RAD3</v>
      </c>
      <c r="Y1407" s="7" t="str">
        <f t="array" ref="Y1407">INDEX(xlRTTYNAME,MATCH(1,(xlRTTYENDU=2)*(xlRTTYEQCL=$F1407)*(xlRTEQTYPE=$G1407),0))</f>
        <v>CENT_AIR3</v>
      </c>
    </row>
    <row r="1408" spans="2:25" ht="14.25" customHeight="1" x14ac:dyDescent="0.2">
      <c r="B1408" s="5">
        <v>7</v>
      </c>
      <c r="C1408" s="5">
        <v>2</v>
      </c>
      <c r="D1408" s="5">
        <v>8</v>
      </c>
      <c r="E1408" s="31">
        <v>27</v>
      </c>
      <c r="F1408" s="5">
        <v>2</v>
      </c>
      <c r="G1408" s="31">
        <v>6</v>
      </c>
      <c r="H1408" s="31">
        <v>2020</v>
      </c>
      <c r="I1408" s="5">
        <v>2022</v>
      </c>
      <c r="J1408" s="142">
        <v>1.1200000000000001</v>
      </c>
      <c r="K1408" s="142">
        <v>1.0462</v>
      </c>
      <c r="L1408" s="142">
        <v>0.64380000000000004</v>
      </c>
      <c r="M1408" s="142">
        <v>1.1173</v>
      </c>
      <c r="N1408" s="142">
        <v>1.4438</v>
      </c>
      <c r="O1408" s="142">
        <v>1.0538000000000001</v>
      </c>
      <c r="P1408" s="26">
        <v>2925.7065372840243</v>
      </c>
      <c r="Q1408" s="35">
        <f t="array" ref="Q1408">SUM(IF(($S1408&gt;=4)*($C1408='TaxCred&amp;Subs'!$D$114:$D$121)*($H1408='TaxCred&amp;Subs'!$C$114:$C$121)*($H1408&lt;='TaxCred&amp;Subs'!$C$123),'TaxCred&amp;Subs'!$E$114:$E$121,0))</f>
        <v>0</v>
      </c>
      <c r="R1408" s="143">
        <v>0</v>
      </c>
      <c r="S1408" s="5">
        <v>4</v>
      </c>
      <c r="T1408" s="5" t="s">
        <v>240</v>
      </c>
      <c r="V1408" s="7" t="str">
        <f t="array" ref="V1408">INDEX(xlRTCLNAME,MATCH(1,(xlRTCLENDU=1)*(xlRTCLEQCL=$D1408),0))</f>
        <v>DIST_RAD</v>
      </c>
      <c r="W1408" s="7" t="str">
        <f t="array" ref="W1408">INDEX(xlRTCLNAME,MATCH(1,(xlRTCLENDU=2)*(xlRTCLEQCL=$F1408),0))</f>
        <v>CENT_AIR</v>
      </c>
      <c r="X1408" s="7" t="str">
        <f t="array" ref="X1408">INDEX(xlRTTYNAME,MATCH(1,(xlRTTYENDU=1)*(xlRTTYEQCL=$D1408)*(xlRTEQTYPE=$E1408),0))</f>
        <v>DIST_RAD3</v>
      </c>
      <c r="Y1408" s="7" t="str">
        <f t="array" ref="Y1408">INDEX(xlRTTYNAME,MATCH(1,(xlRTTYENDU=2)*(xlRTTYEQCL=$F1408)*(xlRTEQTYPE=$G1408),0))</f>
        <v>CENT_AIR3</v>
      </c>
    </row>
    <row r="1409" spans="2:25" ht="14.25" customHeight="1" x14ac:dyDescent="0.2">
      <c r="B1409" s="5">
        <v>7</v>
      </c>
      <c r="C1409" s="5">
        <v>2</v>
      </c>
      <c r="D1409" s="5">
        <v>8</v>
      </c>
      <c r="E1409" s="31">
        <v>27</v>
      </c>
      <c r="F1409" s="5">
        <v>2</v>
      </c>
      <c r="G1409" s="31">
        <v>6</v>
      </c>
      <c r="H1409" s="5">
        <v>2023</v>
      </c>
      <c r="I1409" s="5">
        <v>2032</v>
      </c>
      <c r="J1409" s="142">
        <v>1.1200000000000001</v>
      </c>
      <c r="K1409" s="142">
        <v>1.0462</v>
      </c>
      <c r="L1409" s="142">
        <v>0.64380000000000004</v>
      </c>
      <c r="M1409" s="142">
        <v>1.1173</v>
      </c>
      <c r="N1409" s="142">
        <v>1.4438</v>
      </c>
      <c r="O1409" s="142">
        <v>1.0538000000000001</v>
      </c>
      <c r="P1409" s="26">
        <v>2925.7065372840243</v>
      </c>
      <c r="Q1409" s="35">
        <f t="array" ref="Q1409">SUM(IF(($S1409&gt;=4)*($C1409='TaxCred&amp;Subs'!$D$114:$D$121)*($H1409='TaxCred&amp;Subs'!$C$114:$C$121)*($H1409&lt;='TaxCred&amp;Subs'!$C$123),'TaxCred&amp;Subs'!$E$114:$E$121,0))</f>
        <v>500</v>
      </c>
      <c r="R1409" s="143">
        <v>0</v>
      </c>
      <c r="S1409" s="5">
        <v>4</v>
      </c>
      <c r="T1409" s="5" t="s">
        <v>240</v>
      </c>
      <c r="V1409" s="7" t="str">
        <f t="array" ref="V1409">INDEX(xlRTCLNAME,MATCH(1,(xlRTCLENDU=1)*(xlRTCLEQCL=$D1409),0))</f>
        <v>DIST_RAD</v>
      </c>
      <c r="W1409" s="7" t="str">
        <f t="array" ref="W1409">INDEX(xlRTCLNAME,MATCH(1,(xlRTCLENDU=2)*(xlRTCLEQCL=$F1409),0))</f>
        <v>CENT_AIR</v>
      </c>
      <c r="X1409" s="7" t="str">
        <f t="array" ref="X1409">INDEX(xlRTTYNAME,MATCH(1,(xlRTTYENDU=1)*(xlRTTYEQCL=$D1409)*(xlRTEQTYPE=$E1409),0))</f>
        <v>DIST_RAD3</v>
      </c>
      <c r="Y1409" s="7" t="str">
        <f t="array" ref="Y1409">INDEX(xlRTTYNAME,MATCH(1,(xlRTTYENDU=2)*(xlRTTYEQCL=$F1409)*(xlRTEQTYPE=$G1409),0))</f>
        <v>CENT_AIR3</v>
      </c>
    </row>
    <row r="1410" spans="2:25" ht="14.25" customHeight="1" x14ac:dyDescent="0.2">
      <c r="B1410" s="5">
        <v>7</v>
      </c>
      <c r="C1410" s="5">
        <v>2</v>
      </c>
      <c r="D1410" s="5">
        <v>8</v>
      </c>
      <c r="E1410" s="31">
        <v>27</v>
      </c>
      <c r="F1410" s="5">
        <v>2</v>
      </c>
      <c r="G1410" s="31">
        <v>6</v>
      </c>
      <c r="H1410" s="5">
        <v>2033</v>
      </c>
      <c r="I1410" s="5">
        <v>2050</v>
      </c>
      <c r="J1410" s="142">
        <v>1.1200000000000001</v>
      </c>
      <c r="K1410" s="142">
        <v>1.0462</v>
      </c>
      <c r="L1410" s="142">
        <v>0.64380000000000004</v>
      </c>
      <c r="M1410" s="142">
        <v>1.1173</v>
      </c>
      <c r="N1410" s="142">
        <v>1.4438</v>
      </c>
      <c r="O1410" s="142">
        <v>1.0538000000000001</v>
      </c>
      <c r="P1410" s="26">
        <v>2925.7065372840243</v>
      </c>
      <c r="Q1410" s="35">
        <f t="array" ref="Q1410">SUM(IF(($S1410&gt;=4)*($C1410='TaxCred&amp;Subs'!$D$114:$D$121)*($H1410='TaxCred&amp;Subs'!$C$114:$C$121)*($H1410&lt;='TaxCred&amp;Subs'!$C$123),'TaxCred&amp;Subs'!$E$114:$E$121,0))</f>
        <v>0</v>
      </c>
      <c r="R1410" s="143">
        <v>0</v>
      </c>
      <c r="S1410" s="5">
        <v>4</v>
      </c>
      <c r="T1410" s="5" t="s">
        <v>240</v>
      </c>
      <c r="V1410" s="7" t="str">
        <f t="array" ref="V1410">INDEX(xlRTCLNAME,MATCH(1,(xlRTCLENDU=1)*(xlRTCLEQCL=$D1410),0))</f>
        <v>DIST_RAD</v>
      </c>
      <c r="W1410" s="7" t="str">
        <f t="array" ref="W1410">INDEX(xlRTCLNAME,MATCH(1,(xlRTCLENDU=2)*(xlRTCLEQCL=$F1410),0))</f>
        <v>CENT_AIR</v>
      </c>
      <c r="X1410" s="7" t="str">
        <f t="array" ref="X1410">INDEX(xlRTTYNAME,MATCH(1,(xlRTTYENDU=1)*(xlRTTYEQCL=$D1410)*(xlRTEQTYPE=$E1410),0))</f>
        <v>DIST_RAD3</v>
      </c>
      <c r="Y1410" s="7" t="str">
        <f t="array" ref="Y1410">INDEX(xlRTTYNAME,MATCH(1,(xlRTTYENDU=2)*(xlRTTYEQCL=$F1410)*(xlRTEQTYPE=$G1410),0))</f>
        <v>CENT_AIR3</v>
      </c>
    </row>
    <row r="1411" spans="2:25" ht="14.25" customHeight="1" x14ac:dyDescent="0.2">
      <c r="B1411" s="5">
        <v>8</v>
      </c>
      <c r="C1411" s="5">
        <v>2</v>
      </c>
      <c r="D1411" s="5">
        <v>8</v>
      </c>
      <c r="E1411" s="31">
        <v>27</v>
      </c>
      <c r="F1411" s="5">
        <v>2</v>
      </c>
      <c r="G1411" s="31">
        <v>6</v>
      </c>
      <c r="H1411" s="31">
        <v>2020</v>
      </c>
      <c r="I1411" s="5">
        <v>2022</v>
      </c>
      <c r="J1411" s="142">
        <v>1.1045</v>
      </c>
      <c r="K1411" s="142">
        <v>1.0323</v>
      </c>
      <c r="L1411" s="142">
        <v>0.9597</v>
      </c>
      <c r="M1411" s="142">
        <v>1.2739</v>
      </c>
      <c r="N1411" s="142">
        <v>1.2847999999999999</v>
      </c>
      <c r="O1411" s="142">
        <v>1.0538000000000001</v>
      </c>
      <c r="P1411" s="26">
        <v>3295.4534572073267</v>
      </c>
      <c r="Q1411" s="35">
        <f t="array" ref="Q1411">SUM(IF(($S1411&gt;=4)*($C1411='TaxCred&amp;Subs'!$D$114:$D$121)*($H1411='TaxCred&amp;Subs'!$C$114:$C$121)*($H1411&lt;='TaxCred&amp;Subs'!$C$123),'TaxCred&amp;Subs'!$E$114:$E$121,0))</f>
        <v>0</v>
      </c>
      <c r="R1411" s="143">
        <v>0</v>
      </c>
      <c r="S1411" s="5">
        <v>4</v>
      </c>
      <c r="T1411" s="5" t="s">
        <v>240</v>
      </c>
      <c r="V1411" s="7" t="str">
        <f t="array" ref="V1411">INDEX(xlRTCLNAME,MATCH(1,(xlRTCLENDU=1)*(xlRTCLEQCL=$D1411),0))</f>
        <v>DIST_RAD</v>
      </c>
      <c r="W1411" s="7" t="str">
        <f t="array" ref="W1411">INDEX(xlRTCLNAME,MATCH(1,(xlRTCLENDU=2)*(xlRTCLEQCL=$F1411),0))</f>
        <v>CENT_AIR</v>
      </c>
      <c r="X1411" s="7" t="str">
        <f t="array" ref="X1411">INDEX(xlRTTYNAME,MATCH(1,(xlRTTYENDU=1)*(xlRTTYEQCL=$D1411)*(xlRTEQTYPE=$E1411),0))</f>
        <v>DIST_RAD3</v>
      </c>
      <c r="Y1411" s="7" t="str">
        <f t="array" ref="Y1411">INDEX(xlRTTYNAME,MATCH(1,(xlRTTYENDU=2)*(xlRTTYEQCL=$F1411)*(xlRTEQTYPE=$G1411),0))</f>
        <v>CENT_AIR3</v>
      </c>
    </row>
    <row r="1412" spans="2:25" ht="14.25" customHeight="1" x14ac:dyDescent="0.2">
      <c r="B1412" s="5">
        <v>8</v>
      </c>
      <c r="C1412" s="5">
        <v>2</v>
      </c>
      <c r="D1412" s="5">
        <v>8</v>
      </c>
      <c r="E1412" s="31">
        <v>27</v>
      </c>
      <c r="F1412" s="5">
        <v>2</v>
      </c>
      <c r="G1412" s="31">
        <v>6</v>
      </c>
      <c r="H1412" s="5">
        <v>2023</v>
      </c>
      <c r="I1412" s="5">
        <v>2032</v>
      </c>
      <c r="J1412" s="142">
        <v>1.1045</v>
      </c>
      <c r="K1412" s="142">
        <v>1.0323</v>
      </c>
      <c r="L1412" s="142">
        <v>0.9597</v>
      </c>
      <c r="M1412" s="142">
        <v>1.2739</v>
      </c>
      <c r="N1412" s="142">
        <v>1.2847999999999999</v>
      </c>
      <c r="O1412" s="142">
        <v>1.0538000000000001</v>
      </c>
      <c r="P1412" s="26">
        <v>3295.4534572073267</v>
      </c>
      <c r="Q1412" s="35">
        <f t="array" ref="Q1412">SUM(IF(($S1412&gt;=4)*($C1412='TaxCred&amp;Subs'!$D$114:$D$121)*($H1412='TaxCred&amp;Subs'!$C$114:$C$121)*($H1412&lt;='TaxCred&amp;Subs'!$C$123),'TaxCred&amp;Subs'!$E$114:$E$121,0))</f>
        <v>500</v>
      </c>
      <c r="R1412" s="143">
        <v>0</v>
      </c>
      <c r="S1412" s="5">
        <v>4</v>
      </c>
      <c r="T1412" s="5" t="s">
        <v>240</v>
      </c>
      <c r="V1412" s="7" t="str">
        <f t="array" ref="V1412">INDEX(xlRTCLNAME,MATCH(1,(xlRTCLENDU=1)*(xlRTCLEQCL=$D1412),0))</f>
        <v>DIST_RAD</v>
      </c>
      <c r="W1412" s="7" t="str">
        <f t="array" ref="W1412">INDEX(xlRTCLNAME,MATCH(1,(xlRTCLENDU=2)*(xlRTCLEQCL=$F1412),0))</f>
        <v>CENT_AIR</v>
      </c>
      <c r="X1412" s="7" t="str">
        <f t="array" ref="X1412">INDEX(xlRTTYNAME,MATCH(1,(xlRTTYENDU=1)*(xlRTTYEQCL=$D1412)*(xlRTEQTYPE=$E1412),0))</f>
        <v>DIST_RAD3</v>
      </c>
      <c r="Y1412" s="7" t="str">
        <f t="array" ref="Y1412">INDEX(xlRTTYNAME,MATCH(1,(xlRTTYENDU=2)*(xlRTTYEQCL=$F1412)*(xlRTEQTYPE=$G1412),0))</f>
        <v>CENT_AIR3</v>
      </c>
    </row>
    <row r="1413" spans="2:25" ht="14.25" customHeight="1" x14ac:dyDescent="0.2">
      <c r="B1413" s="5">
        <v>8</v>
      </c>
      <c r="C1413" s="5">
        <v>2</v>
      </c>
      <c r="D1413" s="5">
        <v>8</v>
      </c>
      <c r="E1413" s="31">
        <v>27</v>
      </c>
      <c r="F1413" s="5">
        <v>2</v>
      </c>
      <c r="G1413" s="31">
        <v>6</v>
      </c>
      <c r="H1413" s="5">
        <v>2033</v>
      </c>
      <c r="I1413" s="5">
        <v>2050</v>
      </c>
      <c r="J1413" s="142">
        <v>1.1045</v>
      </c>
      <c r="K1413" s="142">
        <v>1.0323</v>
      </c>
      <c r="L1413" s="142">
        <v>0.9597</v>
      </c>
      <c r="M1413" s="142">
        <v>1.2739</v>
      </c>
      <c r="N1413" s="142">
        <v>1.2847999999999999</v>
      </c>
      <c r="O1413" s="142">
        <v>1.0538000000000001</v>
      </c>
      <c r="P1413" s="26">
        <v>3295.4534572073267</v>
      </c>
      <c r="Q1413" s="35">
        <f t="array" ref="Q1413">SUM(IF(($S1413&gt;=4)*($C1413='TaxCred&amp;Subs'!$D$114:$D$121)*($H1413='TaxCred&amp;Subs'!$C$114:$C$121)*($H1413&lt;='TaxCred&amp;Subs'!$C$123),'TaxCred&amp;Subs'!$E$114:$E$121,0))</f>
        <v>0</v>
      </c>
      <c r="R1413" s="143">
        <v>0</v>
      </c>
      <c r="S1413" s="5">
        <v>4</v>
      </c>
      <c r="T1413" s="5" t="s">
        <v>240</v>
      </c>
      <c r="V1413" s="7" t="str">
        <f t="array" ref="V1413">INDEX(xlRTCLNAME,MATCH(1,(xlRTCLENDU=1)*(xlRTCLEQCL=$D1413),0))</f>
        <v>DIST_RAD</v>
      </c>
      <c r="W1413" s="7" t="str">
        <f t="array" ref="W1413">INDEX(xlRTCLNAME,MATCH(1,(xlRTCLENDU=2)*(xlRTCLEQCL=$F1413),0))</f>
        <v>CENT_AIR</v>
      </c>
      <c r="X1413" s="7" t="str">
        <f t="array" ref="X1413">INDEX(xlRTTYNAME,MATCH(1,(xlRTTYENDU=1)*(xlRTTYEQCL=$D1413)*(xlRTEQTYPE=$E1413),0))</f>
        <v>DIST_RAD3</v>
      </c>
      <c r="Y1413" s="7" t="str">
        <f t="array" ref="Y1413">INDEX(xlRTTYNAME,MATCH(1,(xlRTTYENDU=2)*(xlRTTYEQCL=$F1413)*(xlRTEQTYPE=$G1413),0))</f>
        <v>CENT_AIR3</v>
      </c>
    </row>
    <row r="1414" spans="2:25" ht="14.25" customHeight="1" x14ac:dyDescent="0.2">
      <c r="B1414" s="5">
        <v>9</v>
      </c>
      <c r="C1414" s="5">
        <v>2</v>
      </c>
      <c r="D1414" s="5">
        <v>8</v>
      </c>
      <c r="E1414" s="31">
        <v>27</v>
      </c>
      <c r="F1414" s="5">
        <v>2</v>
      </c>
      <c r="G1414" s="31">
        <v>6</v>
      </c>
      <c r="H1414" s="31">
        <v>2020</v>
      </c>
      <c r="I1414" s="5">
        <v>2022</v>
      </c>
      <c r="J1414" s="142">
        <v>1.1200000000000001</v>
      </c>
      <c r="K1414" s="142">
        <v>1.0541</v>
      </c>
      <c r="L1414" s="142">
        <v>1.0438000000000001</v>
      </c>
      <c r="M1414" s="142">
        <v>1.2</v>
      </c>
      <c r="N1414" s="142">
        <v>1.4438</v>
      </c>
      <c r="O1414" s="142">
        <v>1.0538000000000001</v>
      </c>
      <c r="P1414" s="26">
        <v>3428.5623483797162</v>
      </c>
      <c r="Q1414" s="35">
        <f t="array" ref="Q1414">SUM(IF(($S1414&gt;=4)*($C1414='TaxCred&amp;Subs'!$D$114:$D$121)*($H1414='TaxCred&amp;Subs'!$C$114:$C$121)*($H1414&lt;='TaxCred&amp;Subs'!$C$123),'TaxCred&amp;Subs'!$E$114:$E$121,0))</f>
        <v>0</v>
      </c>
      <c r="R1414" s="143">
        <v>0</v>
      </c>
      <c r="S1414" s="5">
        <v>4</v>
      </c>
      <c r="T1414" s="5" t="s">
        <v>240</v>
      </c>
      <c r="V1414" s="7" t="str">
        <f t="array" ref="V1414">INDEX(xlRTCLNAME,MATCH(1,(xlRTCLENDU=1)*(xlRTCLEQCL=$D1414),0))</f>
        <v>DIST_RAD</v>
      </c>
      <c r="W1414" s="7" t="str">
        <f t="array" ref="W1414">INDEX(xlRTCLNAME,MATCH(1,(xlRTCLENDU=2)*(xlRTCLEQCL=$F1414),0))</f>
        <v>CENT_AIR</v>
      </c>
      <c r="X1414" s="7" t="str">
        <f t="array" ref="X1414">INDEX(xlRTTYNAME,MATCH(1,(xlRTTYENDU=1)*(xlRTTYEQCL=$D1414)*(xlRTEQTYPE=$E1414),0))</f>
        <v>DIST_RAD3</v>
      </c>
      <c r="Y1414" s="7" t="str">
        <f t="array" ref="Y1414">INDEX(xlRTTYNAME,MATCH(1,(xlRTTYENDU=2)*(xlRTTYEQCL=$F1414)*(xlRTEQTYPE=$G1414),0))</f>
        <v>CENT_AIR3</v>
      </c>
    </row>
    <row r="1415" spans="2:25" ht="14.25" customHeight="1" x14ac:dyDescent="0.2">
      <c r="B1415" s="5">
        <v>9</v>
      </c>
      <c r="C1415" s="5">
        <v>2</v>
      </c>
      <c r="D1415" s="5">
        <v>8</v>
      </c>
      <c r="E1415" s="31">
        <v>27</v>
      </c>
      <c r="F1415" s="5">
        <v>2</v>
      </c>
      <c r="G1415" s="31">
        <v>6</v>
      </c>
      <c r="H1415" s="5">
        <v>2023</v>
      </c>
      <c r="I1415" s="5">
        <v>2032</v>
      </c>
      <c r="J1415" s="142">
        <v>1.1200000000000001</v>
      </c>
      <c r="K1415" s="142">
        <v>1.0541</v>
      </c>
      <c r="L1415" s="142">
        <v>1.0438000000000001</v>
      </c>
      <c r="M1415" s="142">
        <v>1.2</v>
      </c>
      <c r="N1415" s="142">
        <v>1.4438</v>
      </c>
      <c r="O1415" s="142">
        <v>1.0538000000000001</v>
      </c>
      <c r="P1415" s="26">
        <v>3428.5623483797162</v>
      </c>
      <c r="Q1415" s="35">
        <f t="array" ref="Q1415">SUM(IF(($S1415&gt;=4)*($C1415='TaxCred&amp;Subs'!$D$114:$D$121)*($H1415='TaxCred&amp;Subs'!$C$114:$C$121)*($H1415&lt;='TaxCred&amp;Subs'!$C$123),'TaxCred&amp;Subs'!$E$114:$E$121,0))</f>
        <v>500</v>
      </c>
      <c r="R1415" s="143">
        <v>0</v>
      </c>
      <c r="S1415" s="5">
        <v>4</v>
      </c>
      <c r="T1415" s="5" t="s">
        <v>240</v>
      </c>
      <c r="V1415" s="7" t="str">
        <f t="array" ref="V1415">INDEX(xlRTCLNAME,MATCH(1,(xlRTCLENDU=1)*(xlRTCLEQCL=$D1415),0))</f>
        <v>DIST_RAD</v>
      </c>
      <c r="W1415" s="7" t="str">
        <f t="array" ref="W1415">INDEX(xlRTCLNAME,MATCH(1,(xlRTCLENDU=2)*(xlRTCLEQCL=$F1415),0))</f>
        <v>CENT_AIR</v>
      </c>
      <c r="X1415" s="7" t="str">
        <f t="array" ref="X1415">INDEX(xlRTTYNAME,MATCH(1,(xlRTTYENDU=1)*(xlRTTYEQCL=$D1415)*(xlRTEQTYPE=$E1415),0))</f>
        <v>DIST_RAD3</v>
      </c>
      <c r="Y1415" s="7" t="str">
        <f t="array" ref="Y1415">INDEX(xlRTTYNAME,MATCH(1,(xlRTTYENDU=2)*(xlRTTYEQCL=$F1415)*(xlRTEQTYPE=$G1415),0))</f>
        <v>CENT_AIR3</v>
      </c>
    </row>
    <row r="1416" spans="2:25" ht="14.25" customHeight="1" x14ac:dyDescent="0.2">
      <c r="B1416" s="5">
        <v>9</v>
      </c>
      <c r="C1416" s="5">
        <v>2</v>
      </c>
      <c r="D1416" s="5">
        <v>8</v>
      </c>
      <c r="E1416" s="31">
        <v>27</v>
      </c>
      <c r="F1416" s="5">
        <v>2</v>
      </c>
      <c r="G1416" s="31">
        <v>6</v>
      </c>
      <c r="H1416" s="5">
        <v>2033</v>
      </c>
      <c r="I1416" s="5">
        <v>2050</v>
      </c>
      <c r="J1416" s="142">
        <v>1.1200000000000001</v>
      </c>
      <c r="K1416" s="142">
        <v>1.0541</v>
      </c>
      <c r="L1416" s="142">
        <v>1.0438000000000001</v>
      </c>
      <c r="M1416" s="142">
        <v>1.2</v>
      </c>
      <c r="N1416" s="142">
        <v>1.4438</v>
      </c>
      <c r="O1416" s="142">
        <v>1.0538000000000001</v>
      </c>
      <c r="P1416" s="26">
        <v>3428.5623483797162</v>
      </c>
      <c r="Q1416" s="35">
        <f t="array" ref="Q1416">SUM(IF(($S1416&gt;=4)*($C1416='TaxCred&amp;Subs'!$D$114:$D$121)*($H1416='TaxCred&amp;Subs'!$C$114:$C$121)*($H1416&lt;='TaxCred&amp;Subs'!$C$123),'TaxCred&amp;Subs'!$E$114:$E$121,0))</f>
        <v>0</v>
      </c>
      <c r="R1416" s="143">
        <v>0</v>
      </c>
      <c r="S1416" s="5">
        <v>4</v>
      </c>
      <c r="T1416" s="5" t="s">
        <v>240</v>
      </c>
      <c r="V1416" s="7" t="str">
        <f t="array" ref="V1416">INDEX(xlRTCLNAME,MATCH(1,(xlRTCLENDU=1)*(xlRTCLEQCL=$D1416),0))</f>
        <v>DIST_RAD</v>
      </c>
      <c r="W1416" s="7" t="str">
        <f t="array" ref="W1416">INDEX(xlRTCLNAME,MATCH(1,(xlRTCLENDU=2)*(xlRTCLEQCL=$F1416),0))</f>
        <v>CENT_AIR</v>
      </c>
      <c r="X1416" s="7" t="str">
        <f t="array" ref="X1416">INDEX(xlRTTYNAME,MATCH(1,(xlRTTYENDU=1)*(xlRTTYEQCL=$D1416)*(xlRTEQTYPE=$E1416),0))</f>
        <v>DIST_RAD3</v>
      </c>
      <c r="Y1416" s="7" t="str">
        <f t="array" ref="Y1416">INDEX(xlRTTYNAME,MATCH(1,(xlRTTYENDU=2)*(xlRTTYEQCL=$F1416)*(xlRTEQTYPE=$G1416),0))</f>
        <v>CENT_AIR3</v>
      </c>
    </row>
    <row r="1417" spans="2:25" ht="14.25" customHeight="1" x14ac:dyDescent="0.2">
      <c r="B1417" s="5">
        <v>1</v>
      </c>
      <c r="C1417" s="5">
        <v>2</v>
      </c>
      <c r="D1417" s="5">
        <v>9</v>
      </c>
      <c r="E1417" s="31">
        <v>29</v>
      </c>
      <c r="F1417" s="5">
        <v>2</v>
      </c>
      <c r="G1417" s="31">
        <v>6</v>
      </c>
      <c r="H1417" s="31">
        <v>2020</v>
      </c>
      <c r="I1417" s="5">
        <v>2022</v>
      </c>
      <c r="J1417" s="142">
        <v>1.0864</v>
      </c>
      <c r="K1417" s="142">
        <v>1.0417000000000001</v>
      </c>
      <c r="L1417" s="142">
        <v>0.90900000000000003</v>
      </c>
      <c r="M1417" s="142">
        <v>1.1455</v>
      </c>
      <c r="N1417" s="142">
        <v>1.1156999999999999</v>
      </c>
      <c r="O1417" s="142">
        <v>1.0538000000000001</v>
      </c>
      <c r="P1417" s="26">
        <v>4740.8277805438729</v>
      </c>
      <c r="Q1417" s="35">
        <f t="array" ref="Q1417">SUM(IF(($S1417&gt;=4)*($C1417='TaxCred&amp;Subs'!$D$114:$D$121)*($H1417='TaxCred&amp;Subs'!$C$114:$C$121)*($H1417&lt;='TaxCred&amp;Subs'!$C$123),'TaxCred&amp;Subs'!$E$114:$E$121,0))</f>
        <v>0</v>
      </c>
      <c r="R1417" s="143">
        <v>0</v>
      </c>
      <c r="S1417" s="5">
        <v>4</v>
      </c>
      <c r="T1417" s="5" t="s">
        <v>240</v>
      </c>
      <c r="V1417" s="7" t="str">
        <f t="array" ref="V1417">INDEX(xlRTCLNAME,MATCH(1,(xlRTCLENDU=1)*(xlRTCLEQCL=$D1417),0))</f>
        <v>WOOD_HT</v>
      </c>
      <c r="W1417" s="7" t="str">
        <f t="array" ref="W1417">INDEX(xlRTCLNAME,MATCH(1,(xlRTCLENDU=2)*(xlRTCLEQCL=$F1417),0))</f>
        <v>CENT_AIR</v>
      </c>
      <c r="X1417" s="7" t="str">
        <f t="array" ref="X1417">INDEX(xlRTTYNAME,MATCH(1,(xlRTTYENDU=1)*(xlRTTYEQCL=$D1417)*(xlRTEQTYPE=$E1417),0))</f>
        <v>WOOD_HT2</v>
      </c>
      <c r="Y1417" s="7" t="str">
        <f t="array" ref="Y1417">INDEX(xlRTTYNAME,MATCH(1,(xlRTTYENDU=2)*(xlRTTYEQCL=$F1417)*(xlRTEQTYPE=$G1417),0))</f>
        <v>CENT_AIR3</v>
      </c>
    </row>
    <row r="1418" spans="2:25" ht="14.25" customHeight="1" x14ac:dyDescent="0.2">
      <c r="B1418" s="5">
        <v>1</v>
      </c>
      <c r="C1418" s="5">
        <v>2</v>
      </c>
      <c r="D1418" s="5">
        <v>9</v>
      </c>
      <c r="E1418" s="31">
        <v>29</v>
      </c>
      <c r="F1418" s="5">
        <v>2</v>
      </c>
      <c r="G1418" s="31">
        <v>6</v>
      </c>
      <c r="H1418" s="5">
        <v>2023</v>
      </c>
      <c r="I1418" s="5">
        <v>2032</v>
      </c>
      <c r="J1418" s="142">
        <v>1.0864</v>
      </c>
      <c r="K1418" s="142">
        <v>1.0417000000000001</v>
      </c>
      <c r="L1418" s="142">
        <v>0.90900000000000003</v>
      </c>
      <c r="M1418" s="142">
        <v>1.1455</v>
      </c>
      <c r="N1418" s="142">
        <v>1.1156999999999999</v>
      </c>
      <c r="O1418" s="142">
        <v>1.0538000000000001</v>
      </c>
      <c r="P1418" s="26">
        <v>4740.8277805438729</v>
      </c>
      <c r="Q1418" s="35">
        <f t="array" ref="Q1418">SUM(IF(($S1418&gt;=4)*($C1418='TaxCred&amp;Subs'!$D$114:$D$121)*($H1418='TaxCred&amp;Subs'!$C$114:$C$121)*($H1418&lt;='TaxCred&amp;Subs'!$C$123),'TaxCred&amp;Subs'!$E$114:$E$121,0))</f>
        <v>500</v>
      </c>
      <c r="R1418" s="143">
        <v>0</v>
      </c>
      <c r="S1418" s="5">
        <v>4</v>
      </c>
      <c r="T1418" s="5" t="s">
        <v>240</v>
      </c>
      <c r="V1418" s="7" t="str">
        <f t="array" ref="V1418">INDEX(xlRTCLNAME,MATCH(1,(xlRTCLENDU=1)*(xlRTCLEQCL=$D1418),0))</f>
        <v>WOOD_HT</v>
      </c>
      <c r="W1418" s="7" t="str">
        <f t="array" ref="W1418">INDEX(xlRTCLNAME,MATCH(1,(xlRTCLENDU=2)*(xlRTCLEQCL=$F1418),0))</f>
        <v>CENT_AIR</v>
      </c>
      <c r="X1418" s="7" t="str">
        <f t="array" ref="X1418">INDEX(xlRTTYNAME,MATCH(1,(xlRTTYENDU=1)*(xlRTTYEQCL=$D1418)*(xlRTEQTYPE=$E1418),0))</f>
        <v>WOOD_HT2</v>
      </c>
      <c r="Y1418" s="7" t="str">
        <f t="array" ref="Y1418">INDEX(xlRTTYNAME,MATCH(1,(xlRTTYENDU=2)*(xlRTTYEQCL=$F1418)*(xlRTEQTYPE=$G1418),0))</f>
        <v>CENT_AIR3</v>
      </c>
    </row>
    <row r="1419" spans="2:25" ht="14.25" customHeight="1" x14ac:dyDescent="0.2">
      <c r="B1419" s="5">
        <v>1</v>
      </c>
      <c r="C1419" s="5">
        <v>2</v>
      </c>
      <c r="D1419" s="5">
        <v>9</v>
      </c>
      <c r="E1419" s="31">
        <v>29</v>
      </c>
      <c r="F1419" s="5">
        <v>2</v>
      </c>
      <c r="G1419" s="31">
        <v>6</v>
      </c>
      <c r="H1419" s="5">
        <v>2033</v>
      </c>
      <c r="I1419" s="5">
        <v>2050</v>
      </c>
      <c r="J1419" s="142">
        <v>1.0864</v>
      </c>
      <c r="K1419" s="142">
        <v>1.0417000000000001</v>
      </c>
      <c r="L1419" s="142">
        <v>0.90900000000000003</v>
      </c>
      <c r="M1419" s="142">
        <v>1.1455</v>
      </c>
      <c r="N1419" s="142">
        <v>1.1156999999999999</v>
      </c>
      <c r="O1419" s="142">
        <v>1.0538000000000001</v>
      </c>
      <c r="P1419" s="26">
        <v>4740.8277805438729</v>
      </c>
      <c r="Q1419" s="35">
        <f t="array" ref="Q1419">SUM(IF(($S1419&gt;=4)*($C1419='TaxCred&amp;Subs'!$D$114:$D$121)*($H1419='TaxCred&amp;Subs'!$C$114:$C$121)*($H1419&lt;='TaxCred&amp;Subs'!$C$123),'TaxCred&amp;Subs'!$E$114:$E$121,0))</f>
        <v>0</v>
      </c>
      <c r="R1419" s="143">
        <v>0</v>
      </c>
      <c r="S1419" s="5">
        <v>4</v>
      </c>
      <c r="T1419" s="5" t="s">
        <v>240</v>
      </c>
      <c r="V1419" s="7" t="str">
        <f t="array" ref="V1419">INDEX(xlRTCLNAME,MATCH(1,(xlRTCLENDU=1)*(xlRTCLEQCL=$D1419),0))</f>
        <v>WOOD_HT</v>
      </c>
      <c r="W1419" s="7" t="str">
        <f t="array" ref="W1419">INDEX(xlRTCLNAME,MATCH(1,(xlRTCLENDU=2)*(xlRTCLEQCL=$F1419),0))</f>
        <v>CENT_AIR</v>
      </c>
      <c r="X1419" s="7" t="str">
        <f t="array" ref="X1419">INDEX(xlRTTYNAME,MATCH(1,(xlRTTYENDU=1)*(xlRTTYEQCL=$D1419)*(xlRTEQTYPE=$E1419),0))</f>
        <v>WOOD_HT2</v>
      </c>
      <c r="Y1419" s="7" t="str">
        <f t="array" ref="Y1419">INDEX(xlRTTYNAME,MATCH(1,(xlRTTYENDU=2)*(xlRTTYEQCL=$F1419)*(xlRTEQTYPE=$G1419),0))</f>
        <v>CENT_AIR3</v>
      </c>
    </row>
    <row r="1420" spans="2:25" ht="14.25" customHeight="1" x14ac:dyDescent="0.2">
      <c r="B1420" s="5">
        <v>2</v>
      </c>
      <c r="C1420" s="5">
        <v>2</v>
      </c>
      <c r="D1420" s="5">
        <v>9</v>
      </c>
      <c r="E1420" s="31">
        <v>29</v>
      </c>
      <c r="F1420" s="5">
        <v>2</v>
      </c>
      <c r="G1420" s="31">
        <v>6</v>
      </c>
      <c r="H1420" s="31">
        <v>2020</v>
      </c>
      <c r="I1420" s="5">
        <v>2022</v>
      </c>
      <c r="J1420" s="142">
        <v>1.0891</v>
      </c>
      <c r="K1420" s="142">
        <v>1.0713999999999999</v>
      </c>
      <c r="L1420" s="142">
        <v>0.97260000000000002</v>
      </c>
      <c r="M1420" s="142">
        <v>1.1625000000000001</v>
      </c>
      <c r="N1420" s="142">
        <v>1.1254999999999999</v>
      </c>
      <c r="O1420" s="142">
        <v>1.0538000000000001</v>
      </c>
      <c r="P1420" s="26">
        <v>3632.9315550282327</v>
      </c>
      <c r="Q1420" s="35">
        <f t="array" ref="Q1420">SUM(IF(($S1420&gt;=4)*($C1420='TaxCred&amp;Subs'!$D$114:$D$121)*($H1420='TaxCred&amp;Subs'!$C$114:$C$121)*($H1420&lt;='TaxCred&amp;Subs'!$C$123),'TaxCred&amp;Subs'!$E$114:$E$121,0))</f>
        <v>0</v>
      </c>
      <c r="R1420" s="143">
        <v>0</v>
      </c>
      <c r="S1420" s="5">
        <v>4</v>
      </c>
      <c r="T1420" s="5" t="s">
        <v>240</v>
      </c>
      <c r="V1420" s="7" t="str">
        <f t="array" ref="V1420">INDEX(xlRTCLNAME,MATCH(1,(xlRTCLENDU=1)*(xlRTCLEQCL=$D1420),0))</f>
        <v>WOOD_HT</v>
      </c>
      <c r="W1420" s="7" t="str">
        <f t="array" ref="W1420">INDEX(xlRTCLNAME,MATCH(1,(xlRTCLENDU=2)*(xlRTCLEQCL=$F1420),0))</f>
        <v>CENT_AIR</v>
      </c>
      <c r="X1420" s="7" t="str">
        <f t="array" ref="X1420">INDEX(xlRTTYNAME,MATCH(1,(xlRTTYENDU=1)*(xlRTTYEQCL=$D1420)*(xlRTEQTYPE=$E1420),0))</f>
        <v>WOOD_HT2</v>
      </c>
      <c r="Y1420" s="7" t="str">
        <f t="array" ref="Y1420">INDEX(xlRTTYNAME,MATCH(1,(xlRTTYENDU=2)*(xlRTTYEQCL=$F1420)*(xlRTEQTYPE=$G1420),0))</f>
        <v>CENT_AIR3</v>
      </c>
    </row>
    <row r="1421" spans="2:25" ht="14.25" customHeight="1" x14ac:dyDescent="0.2">
      <c r="B1421" s="5">
        <v>2</v>
      </c>
      <c r="C1421" s="5">
        <v>2</v>
      </c>
      <c r="D1421" s="5">
        <v>9</v>
      </c>
      <c r="E1421" s="31">
        <v>29</v>
      </c>
      <c r="F1421" s="5">
        <v>2</v>
      </c>
      <c r="G1421" s="31">
        <v>6</v>
      </c>
      <c r="H1421" s="5">
        <v>2023</v>
      </c>
      <c r="I1421" s="5">
        <v>2032</v>
      </c>
      <c r="J1421" s="142">
        <v>1.0891</v>
      </c>
      <c r="K1421" s="142">
        <v>1.0713999999999999</v>
      </c>
      <c r="L1421" s="142">
        <v>0.97260000000000002</v>
      </c>
      <c r="M1421" s="142">
        <v>1.1625000000000001</v>
      </c>
      <c r="N1421" s="142">
        <v>1.1254999999999999</v>
      </c>
      <c r="O1421" s="142">
        <v>1.0538000000000001</v>
      </c>
      <c r="P1421" s="26">
        <v>3632.9315550282327</v>
      </c>
      <c r="Q1421" s="35">
        <f t="array" ref="Q1421">SUM(IF(($S1421&gt;=4)*($C1421='TaxCred&amp;Subs'!$D$114:$D$121)*($H1421='TaxCred&amp;Subs'!$C$114:$C$121)*($H1421&lt;='TaxCred&amp;Subs'!$C$123),'TaxCred&amp;Subs'!$E$114:$E$121,0))</f>
        <v>500</v>
      </c>
      <c r="R1421" s="143">
        <v>0</v>
      </c>
      <c r="S1421" s="5">
        <v>4</v>
      </c>
      <c r="T1421" s="5" t="s">
        <v>240</v>
      </c>
      <c r="V1421" s="7" t="str">
        <f t="array" ref="V1421">INDEX(xlRTCLNAME,MATCH(1,(xlRTCLENDU=1)*(xlRTCLEQCL=$D1421),0))</f>
        <v>WOOD_HT</v>
      </c>
      <c r="W1421" s="7" t="str">
        <f t="array" ref="W1421">INDEX(xlRTCLNAME,MATCH(1,(xlRTCLENDU=2)*(xlRTCLEQCL=$F1421),0))</f>
        <v>CENT_AIR</v>
      </c>
      <c r="X1421" s="7" t="str">
        <f t="array" ref="X1421">INDEX(xlRTTYNAME,MATCH(1,(xlRTTYENDU=1)*(xlRTTYEQCL=$D1421)*(xlRTEQTYPE=$E1421),0))</f>
        <v>WOOD_HT2</v>
      </c>
      <c r="Y1421" s="7" t="str">
        <f t="array" ref="Y1421">INDEX(xlRTTYNAME,MATCH(1,(xlRTTYENDU=2)*(xlRTTYEQCL=$F1421)*(xlRTEQTYPE=$G1421),0))</f>
        <v>CENT_AIR3</v>
      </c>
    </row>
    <row r="1422" spans="2:25" ht="14.25" customHeight="1" x14ac:dyDescent="0.2">
      <c r="B1422" s="5">
        <v>2</v>
      </c>
      <c r="C1422" s="5">
        <v>2</v>
      </c>
      <c r="D1422" s="5">
        <v>9</v>
      </c>
      <c r="E1422" s="31">
        <v>29</v>
      </c>
      <c r="F1422" s="5">
        <v>2</v>
      </c>
      <c r="G1422" s="31">
        <v>6</v>
      </c>
      <c r="H1422" s="5">
        <v>2033</v>
      </c>
      <c r="I1422" s="5">
        <v>2050</v>
      </c>
      <c r="J1422" s="142">
        <v>1.0891</v>
      </c>
      <c r="K1422" s="142">
        <v>1.0713999999999999</v>
      </c>
      <c r="L1422" s="142">
        <v>0.97260000000000002</v>
      </c>
      <c r="M1422" s="142">
        <v>1.1625000000000001</v>
      </c>
      <c r="N1422" s="142">
        <v>1.1254999999999999</v>
      </c>
      <c r="O1422" s="142">
        <v>1.0538000000000001</v>
      </c>
      <c r="P1422" s="26">
        <v>3632.9315550282327</v>
      </c>
      <c r="Q1422" s="35">
        <f t="array" ref="Q1422">SUM(IF(($S1422&gt;=4)*($C1422='TaxCred&amp;Subs'!$D$114:$D$121)*($H1422='TaxCred&amp;Subs'!$C$114:$C$121)*($H1422&lt;='TaxCred&amp;Subs'!$C$123),'TaxCred&amp;Subs'!$E$114:$E$121,0))</f>
        <v>0</v>
      </c>
      <c r="R1422" s="143">
        <v>0</v>
      </c>
      <c r="S1422" s="5">
        <v>4</v>
      </c>
      <c r="T1422" s="5" t="s">
        <v>240</v>
      </c>
      <c r="V1422" s="7" t="str">
        <f t="array" ref="V1422">INDEX(xlRTCLNAME,MATCH(1,(xlRTCLENDU=1)*(xlRTCLEQCL=$D1422),0))</f>
        <v>WOOD_HT</v>
      </c>
      <c r="W1422" s="7" t="str">
        <f t="array" ref="W1422">INDEX(xlRTCLNAME,MATCH(1,(xlRTCLENDU=2)*(xlRTCLEQCL=$F1422),0))</f>
        <v>CENT_AIR</v>
      </c>
      <c r="X1422" s="7" t="str">
        <f t="array" ref="X1422">INDEX(xlRTTYNAME,MATCH(1,(xlRTTYENDU=1)*(xlRTTYEQCL=$D1422)*(xlRTEQTYPE=$E1422),0))</f>
        <v>WOOD_HT2</v>
      </c>
      <c r="Y1422" s="7" t="str">
        <f t="array" ref="Y1422">INDEX(xlRTTYNAME,MATCH(1,(xlRTTYENDU=2)*(xlRTTYEQCL=$F1422)*(xlRTEQTYPE=$G1422),0))</f>
        <v>CENT_AIR3</v>
      </c>
    </row>
    <row r="1423" spans="2:25" ht="14.25" customHeight="1" x14ac:dyDescent="0.2">
      <c r="B1423" s="5">
        <v>3</v>
      </c>
      <c r="C1423" s="5">
        <v>2</v>
      </c>
      <c r="D1423" s="5">
        <v>9</v>
      </c>
      <c r="E1423" s="31">
        <v>29</v>
      </c>
      <c r="F1423" s="5">
        <v>2</v>
      </c>
      <c r="G1423" s="31">
        <v>6</v>
      </c>
      <c r="H1423" s="31">
        <v>2020</v>
      </c>
      <c r="I1423" s="5">
        <v>2022</v>
      </c>
      <c r="J1423" s="142">
        <v>1.0962000000000001</v>
      </c>
      <c r="K1423" s="142">
        <v>1.0345</v>
      </c>
      <c r="L1423" s="142">
        <v>0.81979999999999997</v>
      </c>
      <c r="M1423" s="142">
        <v>1.0828</v>
      </c>
      <c r="N1423" s="142">
        <v>1.0417000000000001</v>
      </c>
      <c r="O1423" s="142">
        <v>1.0538000000000001</v>
      </c>
      <c r="P1423" s="26">
        <v>4037.6363655624655</v>
      </c>
      <c r="Q1423" s="35">
        <f t="array" ref="Q1423">SUM(IF(($S1423&gt;=4)*($C1423='TaxCred&amp;Subs'!$D$114:$D$121)*($H1423='TaxCred&amp;Subs'!$C$114:$C$121)*($H1423&lt;='TaxCred&amp;Subs'!$C$123),'TaxCred&amp;Subs'!$E$114:$E$121,0))</f>
        <v>0</v>
      </c>
      <c r="R1423" s="143">
        <v>0</v>
      </c>
      <c r="S1423" s="5">
        <v>4</v>
      </c>
      <c r="T1423" s="5" t="s">
        <v>240</v>
      </c>
      <c r="V1423" s="7" t="str">
        <f t="array" ref="V1423">INDEX(xlRTCLNAME,MATCH(1,(xlRTCLENDU=1)*(xlRTCLEQCL=$D1423),0))</f>
        <v>WOOD_HT</v>
      </c>
      <c r="W1423" s="7" t="str">
        <f t="array" ref="W1423">INDEX(xlRTCLNAME,MATCH(1,(xlRTCLENDU=2)*(xlRTCLEQCL=$F1423),0))</f>
        <v>CENT_AIR</v>
      </c>
      <c r="X1423" s="7" t="str">
        <f t="array" ref="X1423">INDEX(xlRTTYNAME,MATCH(1,(xlRTTYENDU=1)*(xlRTTYEQCL=$D1423)*(xlRTEQTYPE=$E1423),0))</f>
        <v>WOOD_HT2</v>
      </c>
      <c r="Y1423" s="7" t="str">
        <f t="array" ref="Y1423">INDEX(xlRTTYNAME,MATCH(1,(xlRTTYENDU=2)*(xlRTTYEQCL=$F1423)*(xlRTEQTYPE=$G1423),0))</f>
        <v>CENT_AIR3</v>
      </c>
    </row>
    <row r="1424" spans="2:25" ht="14.25" customHeight="1" x14ac:dyDescent="0.2">
      <c r="B1424" s="5">
        <v>3</v>
      </c>
      <c r="C1424" s="5">
        <v>2</v>
      </c>
      <c r="D1424" s="5">
        <v>9</v>
      </c>
      <c r="E1424" s="31">
        <v>29</v>
      </c>
      <c r="F1424" s="5">
        <v>2</v>
      </c>
      <c r="G1424" s="31">
        <v>6</v>
      </c>
      <c r="H1424" s="5">
        <v>2023</v>
      </c>
      <c r="I1424" s="5">
        <v>2032</v>
      </c>
      <c r="J1424" s="142">
        <v>1.0962000000000001</v>
      </c>
      <c r="K1424" s="142">
        <v>1.0345</v>
      </c>
      <c r="L1424" s="142">
        <v>0.81979999999999997</v>
      </c>
      <c r="M1424" s="142">
        <v>1.0828</v>
      </c>
      <c r="N1424" s="142">
        <v>1.0417000000000001</v>
      </c>
      <c r="O1424" s="142">
        <v>1.0538000000000001</v>
      </c>
      <c r="P1424" s="26">
        <v>4037.6363655624655</v>
      </c>
      <c r="Q1424" s="35">
        <f t="array" ref="Q1424">SUM(IF(($S1424&gt;=4)*($C1424='TaxCred&amp;Subs'!$D$114:$D$121)*($H1424='TaxCred&amp;Subs'!$C$114:$C$121)*($H1424&lt;='TaxCred&amp;Subs'!$C$123),'TaxCred&amp;Subs'!$E$114:$E$121,0))</f>
        <v>500</v>
      </c>
      <c r="R1424" s="143">
        <v>0</v>
      </c>
      <c r="S1424" s="5">
        <v>4</v>
      </c>
      <c r="T1424" s="5" t="s">
        <v>240</v>
      </c>
      <c r="V1424" s="7" t="str">
        <f t="array" ref="V1424">INDEX(xlRTCLNAME,MATCH(1,(xlRTCLENDU=1)*(xlRTCLEQCL=$D1424),0))</f>
        <v>WOOD_HT</v>
      </c>
      <c r="W1424" s="7" t="str">
        <f t="array" ref="W1424">INDEX(xlRTCLNAME,MATCH(1,(xlRTCLENDU=2)*(xlRTCLEQCL=$F1424),0))</f>
        <v>CENT_AIR</v>
      </c>
      <c r="X1424" s="7" t="str">
        <f t="array" ref="X1424">INDEX(xlRTTYNAME,MATCH(1,(xlRTTYENDU=1)*(xlRTTYEQCL=$D1424)*(xlRTEQTYPE=$E1424),0))</f>
        <v>WOOD_HT2</v>
      </c>
      <c r="Y1424" s="7" t="str">
        <f t="array" ref="Y1424">INDEX(xlRTTYNAME,MATCH(1,(xlRTTYENDU=2)*(xlRTTYEQCL=$F1424)*(xlRTEQTYPE=$G1424),0))</f>
        <v>CENT_AIR3</v>
      </c>
    </row>
    <row r="1425" spans="2:25" ht="14.25" customHeight="1" x14ac:dyDescent="0.2">
      <c r="B1425" s="5">
        <v>3</v>
      </c>
      <c r="C1425" s="5">
        <v>2</v>
      </c>
      <c r="D1425" s="5">
        <v>9</v>
      </c>
      <c r="E1425" s="31">
        <v>29</v>
      </c>
      <c r="F1425" s="5">
        <v>2</v>
      </c>
      <c r="G1425" s="31">
        <v>6</v>
      </c>
      <c r="H1425" s="5">
        <v>2033</v>
      </c>
      <c r="I1425" s="5">
        <v>2050</v>
      </c>
      <c r="J1425" s="142">
        <v>1.0962000000000001</v>
      </c>
      <c r="K1425" s="142">
        <v>1.0345</v>
      </c>
      <c r="L1425" s="142">
        <v>0.81979999999999997</v>
      </c>
      <c r="M1425" s="142">
        <v>1.0828</v>
      </c>
      <c r="N1425" s="142">
        <v>1.0417000000000001</v>
      </c>
      <c r="O1425" s="142">
        <v>1.0538000000000001</v>
      </c>
      <c r="P1425" s="26">
        <v>4037.6363655624655</v>
      </c>
      <c r="Q1425" s="35">
        <f t="array" ref="Q1425">SUM(IF(($S1425&gt;=4)*($C1425='TaxCred&amp;Subs'!$D$114:$D$121)*($H1425='TaxCred&amp;Subs'!$C$114:$C$121)*($H1425&lt;='TaxCred&amp;Subs'!$C$123),'TaxCred&amp;Subs'!$E$114:$E$121,0))</f>
        <v>0</v>
      </c>
      <c r="R1425" s="143">
        <v>0</v>
      </c>
      <c r="S1425" s="5">
        <v>4</v>
      </c>
      <c r="T1425" s="5" t="s">
        <v>240</v>
      </c>
      <c r="V1425" s="7" t="str">
        <f t="array" ref="V1425">INDEX(xlRTCLNAME,MATCH(1,(xlRTCLENDU=1)*(xlRTCLEQCL=$D1425),0))</f>
        <v>WOOD_HT</v>
      </c>
      <c r="W1425" s="7" t="str">
        <f t="array" ref="W1425">INDEX(xlRTCLNAME,MATCH(1,(xlRTCLENDU=2)*(xlRTCLEQCL=$F1425),0))</f>
        <v>CENT_AIR</v>
      </c>
      <c r="X1425" s="7" t="str">
        <f t="array" ref="X1425">INDEX(xlRTTYNAME,MATCH(1,(xlRTTYENDU=1)*(xlRTTYEQCL=$D1425)*(xlRTEQTYPE=$E1425),0))</f>
        <v>WOOD_HT2</v>
      </c>
      <c r="Y1425" s="7" t="str">
        <f t="array" ref="Y1425">INDEX(xlRTTYNAME,MATCH(1,(xlRTTYENDU=2)*(xlRTTYEQCL=$F1425)*(xlRTEQTYPE=$G1425),0))</f>
        <v>CENT_AIR3</v>
      </c>
    </row>
    <row r="1426" spans="2:25" ht="14.25" customHeight="1" x14ac:dyDescent="0.2">
      <c r="B1426" s="5">
        <v>4</v>
      </c>
      <c r="C1426" s="5">
        <v>2</v>
      </c>
      <c r="D1426" s="5">
        <v>9</v>
      </c>
      <c r="E1426" s="31">
        <v>29</v>
      </c>
      <c r="F1426" s="5">
        <v>2</v>
      </c>
      <c r="G1426" s="31">
        <v>6</v>
      </c>
      <c r="H1426" s="31">
        <v>2020</v>
      </c>
      <c r="I1426" s="5">
        <v>2022</v>
      </c>
      <c r="J1426" s="142">
        <v>1.1024</v>
      </c>
      <c r="K1426" s="142">
        <v>1.0435000000000001</v>
      </c>
      <c r="L1426" s="142">
        <v>0.99209999999999998</v>
      </c>
      <c r="M1426" s="142">
        <v>1.1499999999999999</v>
      </c>
      <c r="N1426" s="142">
        <v>1.1678999999999999</v>
      </c>
      <c r="O1426" s="142">
        <v>1.0538000000000001</v>
      </c>
      <c r="P1426" s="26">
        <v>3185.2016483574694</v>
      </c>
      <c r="Q1426" s="35">
        <f t="array" ref="Q1426">SUM(IF(($S1426&gt;=4)*($C1426='TaxCred&amp;Subs'!$D$114:$D$121)*($H1426='TaxCred&amp;Subs'!$C$114:$C$121)*($H1426&lt;='TaxCred&amp;Subs'!$C$123),'TaxCred&amp;Subs'!$E$114:$E$121,0))</f>
        <v>0</v>
      </c>
      <c r="R1426" s="143">
        <v>0</v>
      </c>
      <c r="S1426" s="5">
        <v>4</v>
      </c>
      <c r="T1426" s="5" t="s">
        <v>240</v>
      </c>
      <c r="V1426" s="7" t="str">
        <f t="array" ref="V1426">INDEX(xlRTCLNAME,MATCH(1,(xlRTCLENDU=1)*(xlRTCLEQCL=$D1426),0))</f>
        <v>WOOD_HT</v>
      </c>
      <c r="W1426" s="7" t="str">
        <f t="array" ref="W1426">INDEX(xlRTCLNAME,MATCH(1,(xlRTCLENDU=2)*(xlRTCLEQCL=$F1426),0))</f>
        <v>CENT_AIR</v>
      </c>
      <c r="X1426" s="7" t="str">
        <f t="array" ref="X1426">INDEX(xlRTTYNAME,MATCH(1,(xlRTTYENDU=1)*(xlRTTYEQCL=$D1426)*(xlRTEQTYPE=$E1426),0))</f>
        <v>WOOD_HT2</v>
      </c>
      <c r="Y1426" s="7" t="str">
        <f t="array" ref="Y1426">INDEX(xlRTTYNAME,MATCH(1,(xlRTTYENDU=2)*(xlRTTYEQCL=$F1426)*(xlRTEQTYPE=$G1426),0))</f>
        <v>CENT_AIR3</v>
      </c>
    </row>
    <row r="1427" spans="2:25" ht="14.25" customHeight="1" x14ac:dyDescent="0.2">
      <c r="B1427" s="5">
        <v>4</v>
      </c>
      <c r="C1427" s="5">
        <v>2</v>
      </c>
      <c r="D1427" s="5">
        <v>9</v>
      </c>
      <c r="E1427" s="31">
        <v>29</v>
      </c>
      <c r="F1427" s="5">
        <v>2</v>
      </c>
      <c r="G1427" s="31">
        <v>6</v>
      </c>
      <c r="H1427" s="5">
        <v>2023</v>
      </c>
      <c r="I1427" s="5">
        <v>2032</v>
      </c>
      <c r="J1427" s="142">
        <v>1.1024</v>
      </c>
      <c r="K1427" s="142">
        <v>1.0435000000000001</v>
      </c>
      <c r="L1427" s="142">
        <v>0.99209999999999998</v>
      </c>
      <c r="M1427" s="142">
        <v>1.1499999999999999</v>
      </c>
      <c r="N1427" s="142">
        <v>1.1678999999999999</v>
      </c>
      <c r="O1427" s="142">
        <v>1.0538000000000001</v>
      </c>
      <c r="P1427" s="26">
        <v>3185.2016483574694</v>
      </c>
      <c r="Q1427" s="35">
        <f t="array" ref="Q1427">SUM(IF(($S1427&gt;=4)*($C1427='TaxCred&amp;Subs'!$D$114:$D$121)*($H1427='TaxCred&amp;Subs'!$C$114:$C$121)*($H1427&lt;='TaxCred&amp;Subs'!$C$123),'TaxCred&amp;Subs'!$E$114:$E$121,0))</f>
        <v>500</v>
      </c>
      <c r="R1427" s="143">
        <v>0</v>
      </c>
      <c r="S1427" s="5">
        <v>4</v>
      </c>
      <c r="T1427" s="5" t="s">
        <v>240</v>
      </c>
      <c r="V1427" s="7" t="str">
        <f t="array" ref="V1427">INDEX(xlRTCLNAME,MATCH(1,(xlRTCLENDU=1)*(xlRTCLEQCL=$D1427),0))</f>
        <v>WOOD_HT</v>
      </c>
      <c r="W1427" s="7" t="str">
        <f t="array" ref="W1427">INDEX(xlRTCLNAME,MATCH(1,(xlRTCLENDU=2)*(xlRTCLEQCL=$F1427),0))</f>
        <v>CENT_AIR</v>
      </c>
      <c r="X1427" s="7" t="str">
        <f t="array" ref="X1427">INDEX(xlRTTYNAME,MATCH(1,(xlRTTYENDU=1)*(xlRTTYEQCL=$D1427)*(xlRTEQTYPE=$E1427),0))</f>
        <v>WOOD_HT2</v>
      </c>
      <c r="Y1427" s="7" t="str">
        <f t="array" ref="Y1427">INDEX(xlRTTYNAME,MATCH(1,(xlRTTYENDU=2)*(xlRTTYEQCL=$F1427)*(xlRTEQTYPE=$G1427),0))</f>
        <v>CENT_AIR3</v>
      </c>
    </row>
    <row r="1428" spans="2:25" ht="14.25" customHeight="1" x14ac:dyDescent="0.2">
      <c r="B1428" s="5">
        <v>4</v>
      </c>
      <c r="C1428" s="5">
        <v>2</v>
      </c>
      <c r="D1428" s="5">
        <v>9</v>
      </c>
      <c r="E1428" s="31">
        <v>29</v>
      </c>
      <c r="F1428" s="5">
        <v>2</v>
      </c>
      <c r="G1428" s="31">
        <v>6</v>
      </c>
      <c r="H1428" s="5">
        <v>2033</v>
      </c>
      <c r="I1428" s="5">
        <v>2050</v>
      </c>
      <c r="J1428" s="142">
        <v>1.1024</v>
      </c>
      <c r="K1428" s="142">
        <v>1.0435000000000001</v>
      </c>
      <c r="L1428" s="142">
        <v>0.99209999999999998</v>
      </c>
      <c r="M1428" s="142">
        <v>1.1499999999999999</v>
      </c>
      <c r="N1428" s="142">
        <v>1.1678999999999999</v>
      </c>
      <c r="O1428" s="142">
        <v>1.0538000000000001</v>
      </c>
      <c r="P1428" s="26">
        <v>3185.2016483574694</v>
      </c>
      <c r="Q1428" s="35">
        <f t="array" ref="Q1428">SUM(IF(($S1428&gt;=4)*($C1428='TaxCred&amp;Subs'!$D$114:$D$121)*($H1428='TaxCred&amp;Subs'!$C$114:$C$121)*($H1428&lt;='TaxCred&amp;Subs'!$C$123),'TaxCred&amp;Subs'!$E$114:$E$121,0))</f>
        <v>0</v>
      </c>
      <c r="R1428" s="143">
        <v>0</v>
      </c>
      <c r="S1428" s="5">
        <v>4</v>
      </c>
      <c r="T1428" s="5" t="s">
        <v>240</v>
      </c>
      <c r="V1428" s="7" t="str">
        <f t="array" ref="V1428">INDEX(xlRTCLNAME,MATCH(1,(xlRTCLENDU=1)*(xlRTCLEQCL=$D1428),0))</f>
        <v>WOOD_HT</v>
      </c>
      <c r="W1428" s="7" t="str">
        <f t="array" ref="W1428">INDEX(xlRTCLNAME,MATCH(1,(xlRTCLENDU=2)*(xlRTCLEQCL=$F1428),0))</f>
        <v>CENT_AIR</v>
      </c>
      <c r="X1428" s="7" t="str">
        <f t="array" ref="X1428">INDEX(xlRTTYNAME,MATCH(1,(xlRTTYENDU=1)*(xlRTTYEQCL=$D1428)*(xlRTEQTYPE=$E1428),0))</f>
        <v>WOOD_HT2</v>
      </c>
      <c r="Y1428" s="7" t="str">
        <f t="array" ref="Y1428">INDEX(xlRTTYNAME,MATCH(1,(xlRTTYENDU=2)*(xlRTTYEQCL=$F1428)*(xlRTEQTYPE=$G1428),0))</f>
        <v>CENT_AIR3</v>
      </c>
    </row>
    <row r="1429" spans="2:25" ht="14.25" customHeight="1" x14ac:dyDescent="0.2">
      <c r="B1429" s="5">
        <v>5</v>
      </c>
      <c r="C1429" s="5">
        <v>2</v>
      </c>
      <c r="D1429" s="5">
        <v>9</v>
      </c>
      <c r="E1429" s="31">
        <v>29</v>
      </c>
      <c r="F1429" s="5">
        <v>2</v>
      </c>
      <c r="G1429" s="31">
        <v>6</v>
      </c>
      <c r="H1429" s="31">
        <v>2020</v>
      </c>
      <c r="I1429" s="5">
        <v>2022</v>
      </c>
      <c r="J1429" s="142">
        <v>1.03</v>
      </c>
      <c r="K1429" s="142">
        <v>1.03</v>
      </c>
      <c r="L1429" s="142">
        <v>0.44379999999999997</v>
      </c>
      <c r="M1429" s="142">
        <v>1.0509999999999999</v>
      </c>
      <c r="N1429" s="142">
        <v>1.3003</v>
      </c>
      <c r="O1429" s="142">
        <v>1.0538000000000001</v>
      </c>
      <c r="P1429" s="26">
        <v>2937.8073455724229</v>
      </c>
      <c r="Q1429" s="35">
        <f t="array" ref="Q1429">SUM(IF(($S1429&gt;=4)*($C1429='TaxCred&amp;Subs'!$D$114:$D$121)*($H1429='TaxCred&amp;Subs'!$C$114:$C$121)*($H1429&lt;='TaxCred&amp;Subs'!$C$123),'TaxCred&amp;Subs'!$E$114:$E$121,0))</f>
        <v>0</v>
      </c>
      <c r="R1429" s="143">
        <v>0</v>
      </c>
      <c r="S1429" s="5">
        <v>4</v>
      </c>
      <c r="T1429" s="5" t="s">
        <v>240</v>
      </c>
      <c r="V1429" s="7" t="str">
        <f t="array" ref="V1429">INDEX(xlRTCLNAME,MATCH(1,(xlRTCLENDU=1)*(xlRTCLEQCL=$D1429),0))</f>
        <v>WOOD_HT</v>
      </c>
      <c r="W1429" s="7" t="str">
        <f t="array" ref="W1429">INDEX(xlRTCLNAME,MATCH(1,(xlRTCLENDU=2)*(xlRTCLEQCL=$F1429),0))</f>
        <v>CENT_AIR</v>
      </c>
      <c r="X1429" s="7" t="str">
        <f t="array" ref="X1429">INDEX(xlRTTYNAME,MATCH(1,(xlRTTYENDU=1)*(xlRTTYEQCL=$D1429)*(xlRTEQTYPE=$E1429),0))</f>
        <v>WOOD_HT2</v>
      </c>
      <c r="Y1429" s="7" t="str">
        <f t="array" ref="Y1429">INDEX(xlRTTYNAME,MATCH(1,(xlRTTYENDU=2)*(xlRTTYEQCL=$F1429)*(xlRTEQTYPE=$G1429),0))</f>
        <v>CENT_AIR3</v>
      </c>
    </row>
    <row r="1430" spans="2:25" ht="14.25" customHeight="1" x14ac:dyDescent="0.2">
      <c r="B1430" s="5">
        <v>5</v>
      </c>
      <c r="C1430" s="5">
        <v>2</v>
      </c>
      <c r="D1430" s="5">
        <v>9</v>
      </c>
      <c r="E1430" s="31">
        <v>29</v>
      </c>
      <c r="F1430" s="5">
        <v>2</v>
      </c>
      <c r="G1430" s="31">
        <v>6</v>
      </c>
      <c r="H1430" s="5">
        <v>2023</v>
      </c>
      <c r="I1430" s="5">
        <v>2032</v>
      </c>
      <c r="J1430" s="142">
        <v>1.03</v>
      </c>
      <c r="K1430" s="142">
        <v>1.03</v>
      </c>
      <c r="L1430" s="142">
        <v>0.44379999999999997</v>
      </c>
      <c r="M1430" s="142">
        <v>1.0509999999999999</v>
      </c>
      <c r="N1430" s="142">
        <v>1.3003</v>
      </c>
      <c r="O1430" s="142">
        <v>1.0538000000000001</v>
      </c>
      <c r="P1430" s="26">
        <v>2937.8073455724229</v>
      </c>
      <c r="Q1430" s="35">
        <f t="array" ref="Q1430">SUM(IF(($S1430&gt;=4)*($C1430='TaxCred&amp;Subs'!$D$114:$D$121)*($H1430='TaxCred&amp;Subs'!$C$114:$C$121)*($H1430&lt;='TaxCred&amp;Subs'!$C$123),'TaxCred&amp;Subs'!$E$114:$E$121,0))</f>
        <v>500</v>
      </c>
      <c r="R1430" s="143">
        <v>0</v>
      </c>
      <c r="S1430" s="5">
        <v>4</v>
      </c>
      <c r="T1430" s="5" t="s">
        <v>240</v>
      </c>
      <c r="V1430" s="7" t="str">
        <f t="array" ref="V1430">INDEX(xlRTCLNAME,MATCH(1,(xlRTCLENDU=1)*(xlRTCLEQCL=$D1430),0))</f>
        <v>WOOD_HT</v>
      </c>
      <c r="W1430" s="7" t="str">
        <f t="array" ref="W1430">INDEX(xlRTCLNAME,MATCH(1,(xlRTCLENDU=2)*(xlRTCLEQCL=$F1430),0))</f>
        <v>CENT_AIR</v>
      </c>
      <c r="X1430" s="7" t="str">
        <f t="array" ref="X1430">INDEX(xlRTTYNAME,MATCH(1,(xlRTTYENDU=1)*(xlRTTYEQCL=$D1430)*(xlRTEQTYPE=$E1430),0))</f>
        <v>WOOD_HT2</v>
      </c>
      <c r="Y1430" s="7" t="str">
        <f t="array" ref="Y1430">INDEX(xlRTTYNAME,MATCH(1,(xlRTTYENDU=2)*(xlRTTYEQCL=$F1430)*(xlRTEQTYPE=$G1430),0))</f>
        <v>CENT_AIR3</v>
      </c>
    </row>
    <row r="1431" spans="2:25" ht="14.25" customHeight="1" x14ac:dyDescent="0.2">
      <c r="B1431" s="5">
        <v>5</v>
      </c>
      <c r="C1431" s="5">
        <v>2</v>
      </c>
      <c r="D1431" s="5">
        <v>9</v>
      </c>
      <c r="E1431" s="31">
        <v>29</v>
      </c>
      <c r="F1431" s="5">
        <v>2</v>
      </c>
      <c r="G1431" s="31">
        <v>6</v>
      </c>
      <c r="H1431" s="5">
        <v>2033</v>
      </c>
      <c r="I1431" s="5">
        <v>2050</v>
      </c>
      <c r="J1431" s="142">
        <v>1.03</v>
      </c>
      <c r="K1431" s="142">
        <v>1.03</v>
      </c>
      <c r="L1431" s="142">
        <v>0.44379999999999997</v>
      </c>
      <c r="M1431" s="142">
        <v>1.0509999999999999</v>
      </c>
      <c r="N1431" s="142">
        <v>1.3003</v>
      </c>
      <c r="O1431" s="142">
        <v>1.0538000000000001</v>
      </c>
      <c r="P1431" s="26">
        <v>2937.8073455724229</v>
      </c>
      <c r="Q1431" s="35">
        <f t="array" ref="Q1431">SUM(IF(($S1431&gt;=4)*($C1431='TaxCred&amp;Subs'!$D$114:$D$121)*($H1431='TaxCred&amp;Subs'!$C$114:$C$121)*($H1431&lt;='TaxCred&amp;Subs'!$C$123),'TaxCred&amp;Subs'!$E$114:$E$121,0))</f>
        <v>0</v>
      </c>
      <c r="R1431" s="143">
        <v>0</v>
      </c>
      <c r="S1431" s="5">
        <v>4</v>
      </c>
      <c r="T1431" s="5" t="s">
        <v>240</v>
      </c>
      <c r="V1431" s="7" t="str">
        <f t="array" ref="V1431">INDEX(xlRTCLNAME,MATCH(1,(xlRTCLENDU=1)*(xlRTCLEQCL=$D1431),0))</f>
        <v>WOOD_HT</v>
      </c>
      <c r="W1431" s="7" t="str">
        <f t="array" ref="W1431">INDEX(xlRTCLNAME,MATCH(1,(xlRTCLENDU=2)*(xlRTCLEQCL=$F1431),0))</f>
        <v>CENT_AIR</v>
      </c>
      <c r="X1431" s="7" t="str">
        <f t="array" ref="X1431">INDEX(xlRTTYNAME,MATCH(1,(xlRTTYENDU=1)*(xlRTTYEQCL=$D1431)*(xlRTEQTYPE=$E1431),0))</f>
        <v>WOOD_HT2</v>
      </c>
      <c r="Y1431" s="7" t="str">
        <f t="array" ref="Y1431">INDEX(xlRTTYNAME,MATCH(1,(xlRTTYENDU=2)*(xlRTTYEQCL=$F1431)*(xlRTEQTYPE=$G1431),0))</f>
        <v>CENT_AIR3</v>
      </c>
    </row>
    <row r="1432" spans="2:25" ht="14.25" customHeight="1" x14ac:dyDescent="0.2">
      <c r="B1432" s="5">
        <v>6</v>
      </c>
      <c r="C1432" s="5">
        <v>2</v>
      </c>
      <c r="D1432" s="5">
        <v>9</v>
      </c>
      <c r="E1432" s="31">
        <v>29</v>
      </c>
      <c r="F1432" s="5">
        <v>2</v>
      </c>
      <c r="G1432" s="31">
        <v>6</v>
      </c>
      <c r="H1432" s="31">
        <v>2020</v>
      </c>
      <c r="I1432" s="5">
        <v>2022</v>
      </c>
      <c r="J1432" s="142">
        <v>1.1200000000000001</v>
      </c>
      <c r="K1432" s="142">
        <v>1.0417000000000001</v>
      </c>
      <c r="L1432" s="142">
        <v>1.1437999999999999</v>
      </c>
      <c r="M1432" s="142">
        <v>1.1228</v>
      </c>
      <c r="N1432" s="142">
        <v>1.3656999999999999</v>
      </c>
      <c r="O1432" s="142">
        <v>1.0538000000000001</v>
      </c>
      <c r="P1432" s="26">
        <v>3027.8911406082825</v>
      </c>
      <c r="Q1432" s="35">
        <f t="array" ref="Q1432">SUM(IF(($S1432&gt;=4)*($C1432='TaxCred&amp;Subs'!$D$114:$D$121)*($H1432='TaxCred&amp;Subs'!$C$114:$C$121)*($H1432&lt;='TaxCred&amp;Subs'!$C$123),'TaxCred&amp;Subs'!$E$114:$E$121,0))</f>
        <v>0</v>
      </c>
      <c r="R1432" s="143">
        <v>0</v>
      </c>
      <c r="S1432" s="5">
        <v>4</v>
      </c>
      <c r="T1432" s="5" t="s">
        <v>240</v>
      </c>
      <c r="V1432" s="7" t="str">
        <f t="array" ref="V1432">INDEX(xlRTCLNAME,MATCH(1,(xlRTCLENDU=1)*(xlRTCLEQCL=$D1432),0))</f>
        <v>WOOD_HT</v>
      </c>
      <c r="W1432" s="7" t="str">
        <f t="array" ref="W1432">INDEX(xlRTCLNAME,MATCH(1,(xlRTCLENDU=2)*(xlRTCLEQCL=$F1432),0))</f>
        <v>CENT_AIR</v>
      </c>
      <c r="X1432" s="7" t="str">
        <f t="array" ref="X1432">INDEX(xlRTTYNAME,MATCH(1,(xlRTTYENDU=1)*(xlRTTYEQCL=$D1432)*(xlRTEQTYPE=$E1432),0))</f>
        <v>WOOD_HT2</v>
      </c>
      <c r="Y1432" s="7" t="str">
        <f t="array" ref="Y1432">INDEX(xlRTTYNAME,MATCH(1,(xlRTTYENDU=2)*(xlRTTYEQCL=$F1432)*(xlRTEQTYPE=$G1432),0))</f>
        <v>CENT_AIR3</v>
      </c>
    </row>
    <row r="1433" spans="2:25" ht="14.25" customHeight="1" x14ac:dyDescent="0.2">
      <c r="B1433" s="5">
        <v>6</v>
      </c>
      <c r="C1433" s="5">
        <v>2</v>
      </c>
      <c r="D1433" s="5">
        <v>9</v>
      </c>
      <c r="E1433" s="31">
        <v>29</v>
      </c>
      <c r="F1433" s="5">
        <v>2</v>
      </c>
      <c r="G1433" s="31">
        <v>6</v>
      </c>
      <c r="H1433" s="5">
        <v>2023</v>
      </c>
      <c r="I1433" s="5">
        <v>2032</v>
      </c>
      <c r="J1433" s="142">
        <v>1.1200000000000001</v>
      </c>
      <c r="K1433" s="142">
        <v>1.0417000000000001</v>
      </c>
      <c r="L1433" s="142">
        <v>1.1437999999999999</v>
      </c>
      <c r="M1433" s="142">
        <v>1.1228</v>
      </c>
      <c r="N1433" s="142">
        <v>1.3656999999999999</v>
      </c>
      <c r="O1433" s="142">
        <v>1.0538000000000001</v>
      </c>
      <c r="P1433" s="26">
        <v>3027.8911406082825</v>
      </c>
      <c r="Q1433" s="35">
        <f t="array" ref="Q1433">SUM(IF(($S1433&gt;=4)*($C1433='TaxCred&amp;Subs'!$D$114:$D$121)*($H1433='TaxCred&amp;Subs'!$C$114:$C$121)*($H1433&lt;='TaxCred&amp;Subs'!$C$123),'TaxCred&amp;Subs'!$E$114:$E$121,0))</f>
        <v>500</v>
      </c>
      <c r="R1433" s="143">
        <v>0</v>
      </c>
      <c r="S1433" s="5">
        <v>4</v>
      </c>
      <c r="T1433" s="5" t="s">
        <v>240</v>
      </c>
      <c r="V1433" s="7" t="str">
        <f t="array" ref="V1433">INDEX(xlRTCLNAME,MATCH(1,(xlRTCLENDU=1)*(xlRTCLEQCL=$D1433),0))</f>
        <v>WOOD_HT</v>
      </c>
      <c r="W1433" s="7" t="str">
        <f t="array" ref="W1433">INDEX(xlRTCLNAME,MATCH(1,(xlRTCLENDU=2)*(xlRTCLEQCL=$F1433),0))</f>
        <v>CENT_AIR</v>
      </c>
      <c r="X1433" s="7" t="str">
        <f t="array" ref="X1433">INDEX(xlRTTYNAME,MATCH(1,(xlRTTYENDU=1)*(xlRTTYEQCL=$D1433)*(xlRTEQTYPE=$E1433),0))</f>
        <v>WOOD_HT2</v>
      </c>
      <c r="Y1433" s="7" t="str">
        <f t="array" ref="Y1433">INDEX(xlRTTYNAME,MATCH(1,(xlRTTYENDU=2)*(xlRTTYEQCL=$F1433)*(xlRTEQTYPE=$G1433),0))</f>
        <v>CENT_AIR3</v>
      </c>
    </row>
    <row r="1434" spans="2:25" ht="14.25" customHeight="1" x14ac:dyDescent="0.2">
      <c r="B1434" s="5">
        <v>6</v>
      </c>
      <c r="C1434" s="5">
        <v>2</v>
      </c>
      <c r="D1434" s="5">
        <v>9</v>
      </c>
      <c r="E1434" s="31">
        <v>29</v>
      </c>
      <c r="F1434" s="5">
        <v>2</v>
      </c>
      <c r="G1434" s="31">
        <v>6</v>
      </c>
      <c r="H1434" s="5">
        <v>2033</v>
      </c>
      <c r="I1434" s="5">
        <v>2050</v>
      </c>
      <c r="J1434" s="142">
        <v>1.1200000000000001</v>
      </c>
      <c r="K1434" s="142">
        <v>1.0417000000000001</v>
      </c>
      <c r="L1434" s="142">
        <v>1.1437999999999999</v>
      </c>
      <c r="M1434" s="142">
        <v>1.1228</v>
      </c>
      <c r="N1434" s="142">
        <v>1.3656999999999999</v>
      </c>
      <c r="O1434" s="142">
        <v>1.0538000000000001</v>
      </c>
      <c r="P1434" s="26">
        <v>3027.8911406082825</v>
      </c>
      <c r="Q1434" s="35">
        <f t="array" ref="Q1434">SUM(IF(($S1434&gt;=4)*($C1434='TaxCred&amp;Subs'!$D$114:$D$121)*($H1434='TaxCred&amp;Subs'!$C$114:$C$121)*($H1434&lt;='TaxCred&amp;Subs'!$C$123),'TaxCred&amp;Subs'!$E$114:$E$121,0))</f>
        <v>0</v>
      </c>
      <c r="R1434" s="143">
        <v>0</v>
      </c>
      <c r="S1434" s="5">
        <v>4</v>
      </c>
      <c r="T1434" s="5" t="s">
        <v>240</v>
      </c>
      <c r="V1434" s="7" t="str">
        <f t="array" ref="V1434">INDEX(xlRTCLNAME,MATCH(1,(xlRTCLENDU=1)*(xlRTCLEQCL=$D1434),0))</f>
        <v>WOOD_HT</v>
      </c>
      <c r="W1434" s="7" t="str">
        <f t="array" ref="W1434">INDEX(xlRTCLNAME,MATCH(1,(xlRTCLENDU=2)*(xlRTCLEQCL=$F1434),0))</f>
        <v>CENT_AIR</v>
      </c>
      <c r="X1434" s="7" t="str">
        <f t="array" ref="X1434">INDEX(xlRTTYNAME,MATCH(1,(xlRTTYENDU=1)*(xlRTTYEQCL=$D1434)*(xlRTEQTYPE=$E1434),0))</f>
        <v>WOOD_HT2</v>
      </c>
      <c r="Y1434" s="7" t="str">
        <f t="array" ref="Y1434">INDEX(xlRTTYNAME,MATCH(1,(xlRTTYENDU=2)*(xlRTTYEQCL=$F1434)*(xlRTEQTYPE=$G1434),0))</f>
        <v>CENT_AIR3</v>
      </c>
    </row>
    <row r="1435" spans="2:25" ht="14.25" customHeight="1" x14ac:dyDescent="0.2">
      <c r="B1435" s="5">
        <v>7</v>
      </c>
      <c r="C1435" s="5">
        <v>2</v>
      </c>
      <c r="D1435" s="5">
        <v>9</v>
      </c>
      <c r="E1435" s="31">
        <v>29</v>
      </c>
      <c r="F1435" s="5">
        <v>2</v>
      </c>
      <c r="G1435" s="31">
        <v>6</v>
      </c>
      <c r="H1435" s="31">
        <v>2020</v>
      </c>
      <c r="I1435" s="5">
        <v>2022</v>
      </c>
      <c r="J1435" s="142">
        <v>1.1200000000000001</v>
      </c>
      <c r="K1435" s="142">
        <v>1.0462</v>
      </c>
      <c r="L1435" s="142">
        <v>0.64380000000000004</v>
      </c>
      <c r="M1435" s="142">
        <v>1.1173</v>
      </c>
      <c r="N1435" s="142">
        <v>1.4438</v>
      </c>
      <c r="O1435" s="142">
        <v>1.0538000000000001</v>
      </c>
      <c r="P1435" s="26">
        <v>2925.7065372840243</v>
      </c>
      <c r="Q1435" s="35">
        <f t="array" ref="Q1435">SUM(IF(($S1435&gt;=4)*($C1435='TaxCred&amp;Subs'!$D$114:$D$121)*($H1435='TaxCred&amp;Subs'!$C$114:$C$121)*($H1435&lt;='TaxCred&amp;Subs'!$C$123),'TaxCred&amp;Subs'!$E$114:$E$121,0))</f>
        <v>0</v>
      </c>
      <c r="R1435" s="143">
        <v>0</v>
      </c>
      <c r="S1435" s="5">
        <v>4</v>
      </c>
      <c r="T1435" s="5" t="s">
        <v>240</v>
      </c>
      <c r="V1435" s="7" t="str">
        <f t="array" ref="V1435">INDEX(xlRTCLNAME,MATCH(1,(xlRTCLENDU=1)*(xlRTCLEQCL=$D1435),0))</f>
        <v>WOOD_HT</v>
      </c>
      <c r="W1435" s="7" t="str">
        <f t="array" ref="W1435">INDEX(xlRTCLNAME,MATCH(1,(xlRTCLENDU=2)*(xlRTCLEQCL=$F1435),0))</f>
        <v>CENT_AIR</v>
      </c>
      <c r="X1435" s="7" t="str">
        <f t="array" ref="X1435">INDEX(xlRTTYNAME,MATCH(1,(xlRTTYENDU=1)*(xlRTTYEQCL=$D1435)*(xlRTEQTYPE=$E1435),0))</f>
        <v>WOOD_HT2</v>
      </c>
      <c r="Y1435" s="7" t="str">
        <f t="array" ref="Y1435">INDEX(xlRTTYNAME,MATCH(1,(xlRTTYENDU=2)*(xlRTTYEQCL=$F1435)*(xlRTEQTYPE=$G1435),0))</f>
        <v>CENT_AIR3</v>
      </c>
    </row>
    <row r="1436" spans="2:25" ht="14.25" customHeight="1" x14ac:dyDescent="0.2">
      <c r="B1436" s="5">
        <v>7</v>
      </c>
      <c r="C1436" s="5">
        <v>2</v>
      </c>
      <c r="D1436" s="5">
        <v>9</v>
      </c>
      <c r="E1436" s="31">
        <v>29</v>
      </c>
      <c r="F1436" s="5">
        <v>2</v>
      </c>
      <c r="G1436" s="31">
        <v>6</v>
      </c>
      <c r="H1436" s="5">
        <v>2023</v>
      </c>
      <c r="I1436" s="5">
        <v>2032</v>
      </c>
      <c r="J1436" s="142">
        <v>1.1200000000000001</v>
      </c>
      <c r="K1436" s="142">
        <v>1.0462</v>
      </c>
      <c r="L1436" s="142">
        <v>0.64380000000000004</v>
      </c>
      <c r="M1436" s="142">
        <v>1.1173</v>
      </c>
      <c r="N1436" s="142">
        <v>1.4438</v>
      </c>
      <c r="O1436" s="142">
        <v>1.0538000000000001</v>
      </c>
      <c r="P1436" s="26">
        <v>2925.7065372840243</v>
      </c>
      <c r="Q1436" s="35">
        <f t="array" ref="Q1436">SUM(IF(($S1436&gt;=4)*($C1436='TaxCred&amp;Subs'!$D$114:$D$121)*($H1436='TaxCred&amp;Subs'!$C$114:$C$121)*($H1436&lt;='TaxCred&amp;Subs'!$C$123),'TaxCred&amp;Subs'!$E$114:$E$121,0))</f>
        <v>500</v>
      </c>
      <c r="R1436" s="143">
        <v>0</v>
      </c>
      <c r="S1436" s="5">
        <v>4</v>
      </c>
      <c r="T1436" s="5" t="s">
        <v>240</v>
      </c>
      <c r="V1436" s="7" t="str">
        <f t="array" ref="V1436">INDEX(xlRTCLNAME,MATCH(1,(xlRTCLENDU=1)*(xlRTCLEQCL=$D1436),0))</f>
        <v>WOOD_HT</v>
      </c>
      <c r="W1436" s="7" t="str">
        <f t="array" ref="W1436">INDEX(xlRTCLNAME,MATCH(1,(xlRTCLENDU=2)*(xlRTCLEQCL=$F1436),0))</f>
        <v>CENT_AIR</v>
      </c>
      <c r="X1436" s="7" t="str">
        <f t="array" ref="X1436">INDEX(xlRTTYNAME,MATCH(1,(xlRTTYENDU=1)*(xlRTTYEQCL=$D1436)*(xlRTEQTYPE=$E1436),0))</f>
        <v>WOOD_HT2</v>
      </c>
      <c r="Y1436" s="7" t="str">
        <f t="array" ref="Y1436">INDEX(xlRTTYNAME,MATCH(1,(xlRTTYENDU=2)*(xlRTTYEQCL=$F1436)*(xlRTEQTYPE=$G1436),0))</f>
        <v>CENT_AIR3</v>
      </c>
    </row>
    <row r="1437" spans="2:25" ht="14.25" customHeight="1" x14ac:dyDescent="0.2">
      <c r="B1437" s="5">
        <v>7</v>
      </c>
      <c r="C1437" s="5">
        <v>2</v>
      </c>
      <c r="D1437" s="5">
        <v>9</v>
      </c>
      <c r="E1437" s="31">
        <v>29</v>
      </c>
      <c r="F1437" s="5">
        <v>2</v>
      </c>
      <c r="G1437" s="31">
        <v>6</v>
      </c>
      <c r="H1437" s="5">
        <v>2033</v>
      </c>
      <c r="I1437" s="5">
        <v>2050</v>
      </c>
      <c r="J1437" s="142">
        <v>1.1200000000000001</v>
      </c>
      <c r="K1437" s="142">
        <v>1.0462</v>
      </c>
      <c r="L1437" s="142">
        <v>0.64380000000000004</v>
      </c>
      <c r="M1437" s="142">
        <v>1.1173</v>
      </c>
      <c r="N1437" s="142">
        <v>1.4438</v>
      </c>
      <c r="O1437" s="142">
        <v>1.0538000000000001</v>
      </c>
      <c r="P1437" s="26">
        <v>2925.7065372840243</v>
      </c>
      <c r="Q1437" s="35">
        <f t="array" ref="Q1437">SUM(IF(($S1437&gt;=4)*($C1437='TaxCred&amp;Subs'!$D$114:$D$121)*($H1437='TaxCred&amp;Subs'!$C$114:$C$121)*($H1437&lt;='TaxCred&amp;Subs'!$C$123),'TaxCred&amp;Subs'!$E$114:$E$121,0))</f>
        <v>0</v>
      </c>
      <c r="R1437" s="143">
        <v>0</v>
      </c>
      <c r="S1437" s="5">
        <v>4</v>
      </c>
      <c r="T1437" s="5" t="s">
        <v>240</v>
      </c>
      <c r="V1437" s="7" t="str">
        <f t="array" ref="V1437">INDEX(xlRTCLNAME,MATCH(1,(xlRTCLENDU=1)*(xlRTCLEQCL=$D1437),0))</f>
        <v>WOOD_HT</v>
      </c>
      <c r="W1437" s="7" t="str">
        <f t="array" ref="W1437">INDEX(xlRTCLNAME,MATCH(1,(xlRTCLENDU=2)*(xlRTCLEQCL=$F1437),0))</f>
        <v>CENT_AIR</v>
      </c>
      <c r="X1437" s="7" t="str">
        <f t="array" ref="X1437">INDEX(xlRTTYNAME,MATCH(1,(xlRTTYENDU=1)*(xlRTTYEQCL=$D1437)*(xlRTEQTYPE=$E1437),0))</f>
        <v>WOOD_HT2</v>
      </c>
      <c r="Y1437" s="7" t="str">
        <f t="array" ref="Y1437">INDEX(xlRTTYNAME,MATCH(1,(xlRTTYENDU=2)*(xlRTTYEQCL=$F1437)*(xlRTEQTYPE=$G1437),0))</f>
        <v>CENT_AIR3</v>
      </c>
    </row>
    <row r="1438" spans="2:25" ht="14.25" customHeight="1" x14ac:dyDescent="0.2">
      <c r="B1438" s="5">
        <v>8</v>
      </c>
      <c r="C1438" s="5">
        <v>2</v>
      </c>
      <c r="D1438" s="5">
        <v>9</v>
      </c>
      <c r="E1438" s="31">
        <v>29</v>
      </c>
      <c r="F1438" s="5">
        <v>2</v>
      </c>
      <c r="G1438" s="31">
        <v>6</v>
      </c>
      <c r="H1438" s="31">
        <v>2020</v>
      </c>
      <c r="I1438" s="5">
        <v>2022</v>
      </c>
      <c r="J1438" s="142">
        <v>1.1045</v>
      </c>
      <c r="K1438" s="142">
        <v>1.0323</v>
      </c>
      <c r="L1438" s="142">
        <v>0.9597</v>
      </c>
      <c r="M1438" s="142">
        <v>1.2739</v>
      </c>
      <c r="N1438" s="142">
        <v>1.2847999999999999</v>
      </c>
      <c r="O1438" s="142">
        <v>1.0538000000000001</v>
      </c>
      <c r="P1438" s="26">
        <v>3295.4534572073267</v>
      </c>
      <c r="Q1438" s="35">
        <f t="array" ref="Q1438">SUM(IF(($S1438&gt;=4)*($C1438='TaxCred&amp;Subs'!$D$114:$D$121)*($H1438='TaxCred&amp;Subs'!$C$114:$C$121)*($H1438&lt;='TaxCred&amp;Subs'!$C$123),'TaxCred&amp;Subs'!$E$114:$E$121,0))</f>
        <v>0</v>
      </c>
      <c r="R1438" s="143">
        <v>0</v>
      </c>
      <c r="S1438" s="5">
        <v>4</v>
      </c>
      <c r="T1438" s="5" t="s">
        <v>240</v>
      </c>
      <c r="V1438" s="7" t="str">
        <f t="array" ref="V1438">INDEX(xlRTCLNAME,MATCH(1,(xlRTCLENDU=1)*(xlRTCLEQCL=$D1438),0))</f>
        <v>WOOD_HT</v>
      </c>
      <c r="W1438" s="7" t="str">
        <f t="array" ref="W1438">INDEX(xlRTCLNAME,MATCH(1,(xlRTCLENDU=2)*(xlRTCLEQCL=$F1438),0))</f>
        <v>CENT_AIR</v>
      </c>
      <c r="X1438" s="7" t="str">
        <f t="array" ref="X1438">INDEX(xlRTTYNAME,MATCH(1,(xlRTTYENDU=1)*(xlRTTYEQCL=$D1438)*(xlRTEQTYPE=$E1438),0))</f>
        <v>WOOD_HT2</v>
      </c>
      <c r="Y1438" s="7" t="str">
        <f t="array" ref="Y1438">INDEX(xlRTTYNAME,MATCH(1,(xlRTTYENDU=2)*(xlRTTYEQCL=$F1438)*(xlRTEQTYPE=$G1438),0))</f>
        <v>CENT_AIR3</v>
      </c>
    </row>
    <row r="1439" spans="2:25" ht="14.25" customHeight="1" x14ac:dyDescent="0.2">
      <c r="B1439" s="5">
        <v>8</v>
      </c>
      <c r="C1439" s="5">
        <v>2</v>
      </c>
      <c r="D1439" s="5">
        <v>9</v>
      </c>
      <c r="E1439" s="31">
        <v>29</v>
      </c>
      <c r="F1439" s="5">
        <v>2</v>
      </c>
      <c r="G1439" s="31">
        <v>6</v>
      </c>
      <c r="H1439" s="5">
        <v>2023</v>
      </c>
      <c r="I1439" s="5">
        <v>2032</v>
      </c>
      <c r="J1439" s="142">
        <v>1.1045</v>
      </c>
      <c r="K1439" s="142">
        <v>1.0323</v>
      </c>
      <c r="L1439" s="142">
        <v>0.9597</v>
      </c>
      <c r="M1439" s="142">
        <v>1.2739</v>
      </c>
      <c r="N1439" s="142">
        <v>1.2847999999999999</v>
      </c>
      <c r="O1439" s="142">
        <v>1.0538000000000001</v>
      </c>
      <c r="P1439" s="26">
        <v>3295.4534572073267</v>
      </c>
      <c r="Q1439" s="35">
        <f t="array" ref="Q1439">SUM(IF(($S1439&gt;=4)*($C1439='TaxCred&amp;Subs'!$D$114:$D$121)*($H1439='TaxCred&amp;Subs'!$C$114:$C$121)*($H1439&lt;='TaxCred&amp;Subs'!$C$123),'TaxCred&amp;Subs'!$E$114:$E$121,0))</f>
        <v>500</v>
      </c>
      <c r="R1439" s="143">
        <v>0</v>
      </c>
      <c r="S1439" s="5">
        <v>4</v>
      </c>
      <c r="T1439" s="5" t="s">
        <v>240</v>
      </c>
      <c r="V1439" s="7" t="str">
        <f t="array" ref="V1439">INDEX(xlRTCLNAME,MATCH(1,(xlRTCLENDU=1)*(xlRTCLEQCL=$D1439),0))</f>
        <v>WOOD_HT</v>
      </c>
      <c r="W1439" s="7" t="str">
        <f t="array" ref="W1439">INDEX(xlRTCLNAME,MATCH(1,(xlRTCLENDU=2)*(xlRTCLEQCL=$F1439),0))</f>
        <v>CENT_AIR</v>
      </c>
      <c r="X1439" s="7" t="str">
        <f t="array" ref="X1439">INDEX(xlRTTYNAME,MATCH(1,(xlRTTYENDU=1)*(xlRTTYEQCL=$D1439)*(xlRTEQTYPE=$E1439),0))</f>
        <v>WOOD_HT2</v>
      </c>
      <c r="Y1439" s="7" t="str">
        <f t="array" ref="Y1439">INDEX(xlRTTYNAME,MATCH(1,(xlRTTYENDU=2)*(xlRTTYEQCL=$F1439)*(xlRTEQTYPE=$G1439),0))</f>
        <v>CENT_AIR3</v>
      </c>
    </row>
    <row r="1440" spans="2:25" ht="14.25" customHeight="1" x14ac:dyDescent="0.2">
      <c r="B1440" s="5">
        <v>8</v>
      </c>
      <c r="C1440" s="5">
        <v>2</v>
      </c>
      <c r="D1440" s="5">
        <v>9</v>
      </c>
      <c r="E1440" s="31">
        <v>29</v>
      </c>
      <c r="F1440" s="5">
        <v>2</v>
      </c>
      <c r="G1440" s="31">
        <v>6</v>
      </c>
      <c r="H1440" s="5">
        <v>2033</v>
      </c>
      <c r="I1440" s="5">
        <v>2050</v>
      </c>
      <c r="J1440" s="142">
        <v>1.1045</v>
      </c>
      <c r="K1440" s="142">
        <v>1.0323</v>
      </c>
      <c r="L1440" s="142">
        <v>0.9597</v>
      </c>
      <c r="M1440" s="142">
        <v>1.2739</v>
      </c>
      <c r="N1440" s="142">
        <v>1.2847999999999999</v>
      </c>
      <c r="O1440" s="142">
        <v>1.0538000000000001</v>
      </c>
      <c r="P1440" s="26">
        <v>3295.4534572073267</v>
      </c>
      <c r="Q1440" s="35">
        <f t="array" ref="Q1440">SUM(IF(($S1440&gt;=4)*($C1440='TaxCred&amp;Subs'!$D$114:$D$121)*($H1440='TaxCred&amp;Subs'!$C$114:$C$121)*($H1440&lt;='TaxCred&amp;Subs'!$C$123),'TaxCred&amp;Subs'!$E$114:$E$121,0))</f>
        <v>0</v>
      </c>
      <c r="R1440" s="143">
        <v>0</v>
      </c>
      <c r="S1440" s="5">
        <v>4</v>
      </c>
      <c r="T1440" s="5" t="s">
        <v>240</v>
      </c>
      <c r="V1440" s="7" t="str">
        <f t="array" ref="V1440">INDEX(xlRTCLNAME,MATCH(1,(xlRTCLENDU=1)*(xlRTCLEQCL=$D1440),0))</f>
        <v>WOOD_HT</v>
      </c>
      <c r="W1440" s="7" t="str">
        <f t="array" ref="W1440">INDEX(xlRTCLNAME,MATCH(1,(xlRTCLENDU=2)*(xlRTCLEQCL=$F1440),0))</f>
        <v>CENT_AIR</v>
      </c>
      <c r="X1440" s="7" t="str">
        <f t="array" ref="X1440">INDEX(xlRTTYNAME,MATCH(1,(xlRTTYENDU=1)*(xlRTTYEQCL=$D1440)*(xlRTEQTYPE=$E1440),0))</f>
        <v>WOOD_HT2</v>
      </c>
      <c r="Y1440" s="7" t="str">
        <f t="array" ref="Y1440">INDEX(xlRTTYNAME,MATCH(1,(xlRTTYENDU=2)*(xlRTTYEQCL=$F1440)*(xlRTEQTYPE=$G1440),0))</f>
        <v>CENT_AIR3</v>
      </c>
    </row>
    <row r="1441" spans="2:25" ht="14.25" customHeight="1" x14ac:dyDescent="0.2">
      <c r="B1441" s="5">
        <v>9</v>
      </c>
      <c r="C1441" s="5">
        <v>2</v>
      </c>
      <c r="D1441" s="5">
        <v>9</v>
      </c>
      <c r="E1441" s="31">
        <v>29</v>
      </c>
      <c r="F1441" s="5">
        <v>2</v>
      </c>
      <c r="G1441" s="31">
        <v>6</v>
      </c>
      <c r="H1441" s="31">
        <v>2020</v>
      </c>
      <c r="I1441" s="5">
        <v>2022</v>
      </c>
      <c r="J1441" s="142">
        <v>1.1200000000000001</v>
      </c>
      <c r="K1441" s="142">
        <v>1.0541</v>
      </c>
      <c r="L1441" s="142">
        <v>1.0438000000000001</v>
      </c>
      <c r="M1441" s="142">
        <v>1.2</v>
      </c>
      <c r="N1441" s="142">
        <v>1.4438</v>
      </c>
      <c r="O1441" s="142">
        <v>1.0538000000000001</v>
      </c>
      <c r="P1441" s="26">
        <v>3428.5623483797162</v>
      </c>
      <c r="Q1441" s="35">
        <f t="array" ref="Q1441">SUM(IF(($S1441&gt;=4)*($C1441='TaxCred&amp;Subs'!$D$114:$D$121)*($H1441='TaxCred&amp;Subs'!$C$114:$C$121)*($H1441&lt;='TaxCred&amp;Subs'!$C$123),'TaxCred&amp;Subs'!$E$114:$E$121,0))</f>
        <v>0</v>
      </c>
      <c r="R1441" s="143">
        <v>0</v>
      </c>
      <c r="S1441" s="5">
        <v>4</v>
      </c>
      <c r="T1441" s="5" t="s">
        <v>240</v>
      </c>
      <c r="V1441" s="7" t="str">
        <f t="array" ref="V1441">INDEX(xlRTCLNAME,MATCH(1,(xlRTCLENDU=1)*(xlRTCLEQCL=$D1441),0))</f>
        <v>WOOD_HT</v>
      </c>
      <c r="W1441" s="7" t="str">
        <f t="array" ref="W1441">INDEX(xlRTCLNAME,MATCH(1,(xlRTCLENDU=2)*(xlRTCLEQCL=$F1441),0))</f>
        <v>CENT_AIR</v>
      </c>
      <c r="X1441" s="7" t="str">
        <f t="array" ref="X1441">INDEX(xlRTTYNAME,MATCH(1,(xlRTTYENDU=1)*(xlRTTYEQCL=$D1441)*(xlRTEQTYPE=$E1441),0))</f>
        <v>WOOD_HT2</v>
      </c>
      <c r="Y1441" s="7" t="str">
        <f t="array" ref="Y1441">INDEX(xlRTTYNAME,MATCH(1,(xlRTTYENDU=2)*(xlRTTYEQCL=$F1441)*(xlRTEQTYPE=$G1441),0))</f>
        <v>CENT_AIR3</v>
      </c>
    </row>
    <row r="1442" spans="2:25" ht="14.25" customHeight="1" x14ac:dyDescent="0.2">
      <c r="B1442" s="5">
        <v>9</v>
      </c>
      <c r="C1442" s="5">
        <v>2</v>
      </c>
      <c r="D1442" s="5">
        <v>9</v>
      </c>
      <c r="E1442" s="31">
        <v>29</v>
      </c>
      <c r="F1442" s="5">
        <v>2</v>
      </c>
      <c r="G1442" s="31">
        <v>6</v>
      </c>
      <c r="H1442" s="5">
        <v>2023</v>
      </c>
      <c r="I1442" s="5">
        <v>2032</v>
      </c>
      <c r="J1442" s="142">
        <v>1.1200000000000001</v>
      </c>
      <c r="K1442" s="142">
        <v>1.0541</v>
      </c>
      <c r="L1442" s="142">
        <v>1.0438000000000001</v>
      </c>
      <c r="M1442" s="142">
        <v>1.2</v>
      </c>
      <c r="N1442" s="142">
        <v>1.4438</v>
      </c>
      <c r="O1442" s="142">
        <v>1.0538000000000001</v>
      </c>
      <c r="P1442" s="26">
        <v>3428.5623483797162</v>
      </c>
      <c r="Q1442" s="35">
        <f t="array" ref="Q1442">SUM(IF(($S1442&gt;=4)*($C1442='TaxCred&amp;Subs'!$D$114:$D$121)*($H1442='TaxCred&amp;Subs'!$C$114:$C$121)*($H1442&lt;='TaxCred&amp;Subs'!$C$123),'TaxCred&amp;Subs'!$E$114:$E$121,0))</f>
        <v>500</v>
      </c>
      <c r="R1442" s="143">
        <v>0</v>
      </c>
      <c r="S1442" s="5">
        <v>4</v>
      </c>
      <c r="T1442" s="5" t="s">
        <v>240</v>
      </c>
      <c r="V1442" s="7" t="str">
        <f t="array" ref="V1442">INDEX(xlRTCLNAME,MATCH(1,(xlRTCLENDU=1)*(xlRTCLEQCL=$D1442),0))</f>
        <v>WOOD_HT</v>
      </c>
      <c r="W1442" s="7" t="str">
        <f t="array" ref="W1442">INDEX(xlRTCLNAME,MATCH(1,(xlRTCLENDU=2)*(xlRTCLEQCL=$F1442),0))</f>
        <v>CENT_AIR</v>
      </c>
      <c r="X1442" s="7" t="str">
        <f t="array" ref="X1442">INDEX(xlRTTYNAME,MATCH(1,(xlRTTYENDU=1)*(xlRTTYEQCL=$D1442)*(xlRTEQTYPE=$E1442),0))</f>
        <v>WOOD_HT2</v>
      </c>
      <c r="Y1442" s="7" t="str">
        <f t="array" ref="Y1442">INDEX(xlRTTYNAME,MATCH(1,(xlRTTYENDU=2)*(xlRTTYEQCL=$F1442)*(xlRTEQTYPE=$G1442),0))</f>
        <v>CENT_AIR3</v>
      </c>
    </row>
    <row r="1443" spans="2:25" ht="14.25" customHeight="1" x14ac:dyDescent="0.2">
      <c r="B1443" s="5">
        <v>9</v>
      </c>
      <c r="C1443" s="5">
        <v>2</v>
      </c>
      <c r="D1443" s="5">
        <v>9</v>
      </c>
      <c r="E1443" s="31">
        <v>29</v>
      </c>
      <c r="F1443" s="5">
        <v>2</v>
      </c>
      <c r="G1443" s="31">
        <v>6</v>
      </c>
      <c r="H1443" s="5">
        <v>2033</v>
      </c>
      <c r="I1443" s="5">
        <v>2050</v>
      </c>
      <c r="J1443" s="142">
        <v>1.1200000000000001</v>
      </c>
      <c r="K1443" s="142">
        <v>1.0541</v>
      </c>
      <c r="L1443" s="142">
        <v>1.0438000000000001</v>
      </c>
      <c r="M1443" s="142">
        <v>1.2</v>
      </c>
      <c r="N1443" s="142">
        <v>1.4438</v>
      </c>
      <c r="O1443" s="142">
        <v>1.0538000000000001</v>
      </c>
      <c r="P1443" s="26">
        <v>3428.5623483797162</v>
      </c>
      <c r="Q1443" s="35">
        <f t="array" ref="Q1443">SUM(IF(($S1443&gt;=4)*($C1443='TaxCred&amp;Subs'!$D$114:$D$121)*($H1443='TaxCred&amp;Subs'!$C$114:$C$121)*($H1443&lt;='TaxCred&amp;Subs'!$C$123),'TaxCred&amp;Subs'!$E$114:$E$121,0))</f>
        <v>0</v>
      </c>
      <c r="R1443" s="143">
        <v>0</v>
      </c>
      <c r="S1443" s="5">
        <v>4</v>
      </c>
      <c r="T1443" s="5" t="s">
        <v>240</v>
      </c>
      <c r="V1443" s="7" t="str">
        <f t="array" ref="V1443">INDEX(xlRTCLNAME,MATCH(1,(xlRTCLENDU=1)*(xlRTCLEQCL=$D1443),0))</f>
        <v>WOOD_HT</v>
      </c>
      <c r="W1443" s="7" t="str">
        <f t="array" ref="W1443">INDEX(xlRTCLNAME,MATCH(1,(xlRTCLENDU=2)*(xlRTCLEQCL=$F1443),0))</f>
        <v>CENT_AIR</v>
      </c>
      <c r="X1443" s="7" t="str">
        <f t="array" ref="X1443">INDEX(xlRTTYNAME,MATCH(1,(xlRTTYENDU=1)*(xlRTTYEQCL=$D1443)*(xlRTEQTYPE=$E1443),0))</f>
        <v>WOOD_HT2</v>
      </c>
      <c r="Y1443" s="7" t="str">
        <f t="array" ref="Y1443">INDEX(xlRTTYNAME,MATCH(1,(xlRTTYENDU=2)*(xlRTTYEQCL=$F1443)*(xlRTEQTYPE=$G1443),0))</f>
        <v>CENT_AIR3</v>
      </c>
    </row>
    <row r="1444" spans="2:25" ht="14.25" customHeight="1" x14ac:dyDescent="0.2">
      <c r="B1444" s="5">
        <v>1</v>
      </c>
      <c r="C1444" s="5">
        <v>2</v>
      </c>
      <c r="D1444" s="5">
        <v>10</v>
      </c>
      <c r="E1444" s="31">
        <v>33</v>
      </c>
      <c r="F1444" s="5">
        <v>4</v>
      </c>
      <c r="G1444" s="31">
        <v>14</v>
      </c>
      <c r="H1444" s="31">
        <v>2020</v>
      </c>
      <c r="I1444" s="5">
        <v>2022</v>
      </c>
      <c r="J1444" s="142">
        <v>1.1111</v>
      </c>
      <c r="K1444" s="142">
        <v>1.0526</v>
      </c>
      <c r="L1444" s="142">
        <v>0.78380000000000005</v>
      </c>
      <c r="M1444" s="142">
        <v>1.1588000000000001</v>
      </c>
      <c r="N1444" s="142">
        <v>1.1356999999999999</v>
      </c>
      <c r="O1444" s="142">
        <v>1.0538000000000001</v>
      </c>
      <c r="P1444" s="26">
        <v>4278.3079970761792</v>
      </c>
      <c r="Q1444" s="35">
        <f t="array" ref="Q1444">SUM(IF(($S1444&gt;=4)*($C1444='TaxCred&amp;Subs'!$D$114:$D$121)*($H1444='TaxCred&amp;Subs'!$C$114:$C$121)*($H1444&lt;='TaxCred&amp;Subs'!$C$123),'TaxCred&amp;Subs'!$E$114:$E$121,0))</f>
        <v>0</v>
      </c>
      <c r="R1444" s="143">
        <v>0</v>
      </c>
      <c r="S1444" s="5">
        <v>4</v>
      </c>
      <c r="T1444" s="5" t="s">
        <v>240</v>
      </c>
      <c r="V1444" s="7" t="str">
        <f t="array" ref="V1444">INDEX(xlRTCLNAME,MATCH(1,(xlRTCLENDU=1)*(xlRTCLEQCL=$D1444),0))</f>
        <v>GEO_HP</v>
      </c>
      <c r="W1444" s="7" t="str">
        <f t="array" ref="W1444">INDEX(xlRTCLNAME,MATCH(1,(xlRTCLENDU=2)*(xlRTCLEQCL=$F1444),0))</f>
        <v>GEO_HP</v>
      </c>
      <c r="X1444" s="7" t="str">
        <f t="array" ref="X1444">INDEX(xlRTTYNAME,MATCH(1,(xlRTTYENDU=1)*(xlRTTYEQCL=$D1444)*(xlRTEQTYPE=$E1444),0))</f>
        <v>GEO_HP3</v>
      </c>
      <c r="Y1444" s="7" t="str">
        <f t="array" ref="Y1444">INDEX(xlRTTYNAME,MATCH(1,(xlRTTYENDU=2)*(xlRTTYEQCL=$F1444)*(xlRTEQTYPE=$G1444),0))</f>
        <v>GEO_HP3</v>
      </c>
    </row>
    <row r="1445" spans="2:25" ht="14.25" customHeight="1" x14ac:dyDescent="0.2">
      <c r="B1445" s="5">
        <v>1</v>
      </c>
      <c r="C1445" s="5">
        <v>2</v>
      </c>
      <c r="D1445" s="5">
        <v>10</v>
      </c>
      <c r="E1445" s="31">
        <v>33</v>
      </c>
      <c r="F1445" s="5">
        <v>4</v>
      </c>
      <c r="G1445" s="31">
        <v>14</v>
      </c>
      <c r="H1445" s="5">
        <v>2023</v>
      </c>
      <c r="I1445" s="5">
        <v>2032</v>
      </c>
      <c r="J1445" s="142">
        <v>1.1111</v>
      </c>
      <c r="K1445" s="142">
        <v>1.0526</v>
      </c>
      <c r="L1445" s="142">
        <v>0.78380000000000005</v>
      </c>
      <c r="M1445" s="142">
        <v>1.1588000000000001</v>
      </c>
      <c r="N1445" s="142">
        <v>1.1356999999999999</v>
      </c>
      <c r="O1445" s="142">
        <v>1.0538000000000001</v>
      </c>
      <c r="P1445" s="26">
        <v>4278.3079970761792</v>
      </c>
      <c r="Q1445" s="35">
        <f t="array" ref="Q1445">SUM(IF(($S1445&gt;=4)*($C1445='TaxCred&amp;Subs'!$D$114:$D$121)*($H1445='TaxCred&amp;Subs'!$C$114:$C$121)*($H1445&lt;='TaxCred&amp;Subs'!$C$123),'TaxCred&amp;Subs'!$E$114:$E$121,0))</f>
        <v>500</v>
      </c>
      <c r="R1445" s="143">
        <v>0</v>
      </c>
      <c r="S1445" s="5">
        <v>4</v>
      </c>
      <c r="T1445" s="5" t="s">
        <v>240</v>
      </c>
      <c r="V1445" s="7" t="str">
        <f t="array" ref="V1445">INDEX(xlRTCLNAME,MATCH(1,(xlRTCLENDU=1)*(xlRTCLEQCL=$D1445),0))</f>
        <v>GEO_HP</v>
      </c>
      <c r="W1445" s="7" t="str">
        <f t="array" ref="W1445">INDEX(xlRTCLNAME,MATCH(1,(xlRTCLENDU=2)*(xlRTCLEQCL=$F1445),0))</f>
        <v>GEO_HP</v>
      </c>
      <c r="X1445" s="7" t="str">
        <f t="array" ref="X1445">INDEX(xlRTTYNAME,MATCH(1,(xlRTTYENDU=1)*(xlRTTYEQCL=$D1445)*(xlRTEQTYPE=$E1445),0))</f>
        <v>GEO_HP3</v>
      </c>
      <c r="Y1445" s="7" t="str">
        <f t="array" ref="Y1445">INDEX(xlRTTYNAME,MATCH(1,(xlRTTYENDU=2)*(xlRTTYEQCL=$F1445)*(xlRTEQTYPE=$G1445),0))</f>
        <v>GEO_HP3</v>
      </c>
    </row>
    <row r="1446" spans="2:25" ht="14.25" customHeight="1" x14ac:dyDescent="0.2">
      <c r="B1446" s="5">
        <v>1</v>
      </c>
      <c r="C1446" s="5">
        <v>2</v>
      </c>
      <c r="D1446" s="5">
        <v>10</v>
      </c>
      <c r="E1446" s="31">
        <v>33</v>
      </c>
      <c r="F1446" s="5">
        <v>4</v>
      </c>
      <c r="G1446" s="31">
        <v>14</v>
      </c>
      <c r="H1446" s="5">
        <v>2033</v>
      </c>
      <c r="I1446" s="5">
        <v>2050</v>
      </c>
      <c r="J1446" s="142">
        <v>1.1111</v>
      </c>
      <c r="K1446" s="142">
        <v>1.0526</v>
      </c>
      <c r="L1446" s="142">
        <v>0.78380000000000005</v>
      </c>
      <c r="M1446" s="142">
        <v>1.1588000000000001</v>
      </c>
      <c r="N1446" s="142">
        <v>1.1356999999999999</v>
      </c>
      <c r="O1446" s="142">
        <v>1.0538000000000001</v>
      </c>
      <c r="P1446" s="26">
        <v>4278.3079970761792</v>
      </c>
      <c r="Q1446" s="35">
        <f t="array" ref="Q1446">SUM(IF(($S1446&gt;=4)*($C1446='TaxCred&amp;Subs'!$D$114:$D$121)*($H1446='TaxCred&amp;Subs'!$C$114:$C$121)*($H1446&lt;='TaxCred&amp;Subs'!$C$123),'TaxCred&amp;Subs'!$E$114:$E$121,0))</f>
        <v>0</v>
      </c>
      <c r="R1446" s="143">
        <v>0</v>
      </c>
      <c r="S1446" s="5">
        <v>4</v>
      </c>
      <c r="T1446" s="5" t="s">
        <v>240</v>
      </c>
      <c r="V1446" s="7" t="str">
        <f t="array" ref="V1446">INDEX(xlRTCLNAME,MATCH(1,(xlRTCLENDU=1)*(xlRTCLEQCL=$D1446),0))</f>
        <v>GEO_HP</v>
      </c>
      <c r="W1446" s="7" t="str">
        <f t="array" ref="W1446">INDEX(xlRTCLNAME,MATCH(1,(xlRTCLENDU=2)*(xlRTCLEQCL=$F1446),0))</f>
        <v>GEO_HP</v>
      </c>
      <c r="X1446" s="7" t="str">
        <f t="array" ref="X1446">INDEX(xlRTTYNAME,MATCH(1,(xlRTTYENDU=1)*(xlRTTYEQCL=$D1446)*(xlRTEQTYPE=$E1446),0))</f>
        <v>GEO_HP3</v>
      </c>
      <c r="Y1446" s="7" t="str">
        <f t="array" ref="Y1446">INDEX(xlRTTYNAME,MATCH(1,(xlRTTYENDU=2)*(xlRTTYEQCL=$F1446)*(xlRTEQTYPE=$G1446),0))</f>
        <v>GEO_HP3</v>
      </c>
    </row>
    <row r="1447" spans="2:25" ht="14.25" customHeight="1" x14ac:dyDescent="0.2">
      <c r="B1447" s="5">
        <v>2</v>
      </c>
      <c r="C1447" s="5">
        <v>2</v>
      </c>
      <c r="D1447" s="5">
        <v>10</v>
      </c>
      <c r="E1447" s="31">
        <v>33</v>
      </c>
      <c r="F1447" s="5">
        <v>4</v>
      </c>
      <c r="G1447" s="31">
        <v>14</v>
      </c>
      <c r="H1447" s="31">
        <v>2020</v>
      </c>
      <c r="I1447" s="5">
        <v>2022</v>
      </c>
      <c r="J1447" s="142">
        <v>1.0588</v>
      </c>
      <c r="K1447" s="142">
        <v>1.0455000000000001</v>
      </c>
      <c r="L1447" s="142">
        <v>0.8649</v>
      </c>
      <c r="M1447" s="142">
        <v>1.1527000000000001</v>
      </c>
      <c r="N1447" s="142">
        <v>1.1394</v>
      </c>
      <c r="O1447" s="142">
        <v>1.0538000000000001</v>
      </c>
      <c r="P1447" s="26">
        <v>3112.5967986270753</v>
      </c>
      <c r="Q1447" s="35">
        <f t="array" ref="Q1447">SUM(IF(($S1447&gt;=4)*($C1447='TaxCred&amp;Subs'!$D$114:$D$121)*($H1447='TaxCred&amp;Subs'!$C$114:$C$121)*($H1447&lt;='TaxCred&amp;Subs'!$C$123),'TaxCred&amp;Subs'!$E$114:$E$121,0))</f>
        <v>0</v>
      </c>
      <c r="R1447" s="143">
        <v>0</v>
      </c>
      <c r="S1447" s="5">
        <v>4</v>
      </c>
      <c r="T1447" s="5" t="s">
        <v>240</v>
      </c>
      <c r="V1447" s="7" t="str">
        <f t="array" ref="V1447">INDEX(xlRTCLNAME,MATCH(1,(xlRTCLENDU=1)*(xlRTCLEQCL=$D1447),0))</f>
        <v>GEO_HP</v>
      </c>
      <c r="W1447" s="7" t="str">
        <f t="array" ref="W1447">INDEX(xlRTCLNAME,MATCH(1,(xlRTCLENDU=2)*(xlRTCLEQCL=$F1447),0))</f>
        <v>GEO_HP</v>
      </c>
      <c r="X1447" s="7" t="str">
        <f t="array" ref="X1447">INDEX(xlRTTYNAME,MATCH(1,(xlRTTYENDU=1)*(xlRTTYEQCL=$D1447)*(xlRTEQTYPE=$E1447),0))</f>
        <v>GEO_HP3</v>
      </c>
      <c r="Y1447" s="7" t="str">
        <f t="array" ref="Y1447">INDEX(xlRTTYNAME,MATCH(1,(xlRTTYENDU=2)*(xlRTTYEQCL=$F1447)*(xlRTEQTYPE=$G1447),0))</f>
        <v>GEO_HP3</v>
      </c>
    </row>
    <row r="1448" spans="2:25" ht="14.25" customHeight="1" x14ac:dyDescent="0.2">
      <c r="B1448" s="5">
        <v>2</v>
      </c>
      <c r="C1448" s="5">
        <v>2</v>
      </c>
      <c r="D1448" s="5">
        <v>10</v>
      </c>
      <c r="E1448" s="31">
        <v>33</v>
      </c>
      <c r="F1448" s="5">
        <v>4</v>
      </c>
      <c r="G1448" s="31">
        <v>14</v>
      </c>
      <c r="H1448" s="5">
        <v>2023</v>
      </c>
      <c r="I1448" s="5">
        <v>2032</v>
      </c>
      <c r="J1448" s="142">
        <v>1.0588</v>
      </c>
      <c r="K1448" s="142">
        <v>1.0455000000000001</v>
      </c>
      <c r="L1448" s="142">
        <v>0.8649</v>
      </c>
      <c r="M1448" s="142">
        <v>1.1527000000000001</v>
      </c>
      <c r="N1448" s="142">
        <v>1.1394</v>
      </c>
      <c r="O1448" s="142">
        <v>1.0538000000000001</v>
      </c>
      <c r="P1448" s="26">
        <v>3112.5967986270753</v>
      </c>
      <c r="Q1448" s="35">
        <f t="array" ref="Q1448">SUM(IF(($S1448&gt;=4)*($C1448='TaxCred&amp;Subs'!$D$114:$D$121)*($H1448='TaxCred&amp;Subs'!$C$114:$C$121)*($H1448&lt;='TaxCred&amp;Subs'!$C$123),'TaxCred&amp;Subs'!$E$114:$E$121,0))</f>
        <v>500</v>
      </c>
      <c r="R1448" s="143">
        <v>0</v>
      </c>
      <c r="S1448" s="5">
        <v>4</v>
      </c>
      <c r="T1448" s="5" t="s">
        <v>240</v>
      </c>
      <c r="V1448" s="7" t="str">
        <f t="array" ref="V1448">INDEX(xlRTCLNAME,MATCH(1,(xlRTCLENDU=1)*(xlRTCLEQCL=$D1448),0))</f>
        <v>GEO_HP</v>
      </c>
      <c r="W1448" s="7" t="str">
        <f t="array" ref="W1448">INDEX(xlRTCLNAME,MATCH(1,(xlRTCLENDU=2)*(xlRTCLEQCL=$F1448),0))</f>
        <v>GEO_HP</v>
      </c>
      <c r="X1448" s="7" t="str">
        <f t="array" ref="X1448">INDEX(xlRTTYNAME,MATCH(1,(xlRTTYENDU=1)*(xlRTTYEQCL=$D1448)*(xlRTEQTYPE=$E1448),0))</f>
        <v>GEO_HP3</v>
      </c>
      <c r="Y1448" s="7" t="str">
        <f t="array" ref="Y1448">INDEX(xlRTTYNAME,MATCH(1,(xlRTTYENDU=2)*(xlRTTYEQCL=$F1448)*(xlRTEQTYPE=$G1448),0))</f>
        <v>GEO_HP3</v>
      </c>
    </row>
    <row r="1449" spans="2:25" ht="14.25" customHeight="1" x14ac:dyDescent="0.2">
      <c r="B1449" s="5">
        <v>2</v>
      </c>
      <c r="C1449" s="5">
        <v>2</v>
      </c>
      <c r="D1449" s="5">
        <v>10</v>
      </c>
      <c r="E1449" s="31">
        <v>33</v>
      </c>
      <c r="F1449" s="5">
        <v>4</v>
      </c>
      <c r="G1449" s="31">
        <v>14</v>
      </c>
      <c r="H1449" s="5">
        <v>2033</v>
      </c>
      <c r="I1449" s="5">
        <v>2050</v>
      </c>
      <c r="J1449" s="142">
        <v>1.0588</v>
      </c>
      <c r="K1449" s="142">
        <v>1.0455000000000001</v>
      </c>
      <c r="L1449" s="142">
        <v>0.8649</v>
      </c>
      <c r="M1449" s="142">
        <v>1.1527000000000001</v>
      </c>
      <c r="N1449" s="142">
        <v>1.1394</v>
      </c>
      <c r="O1449" s="142">
        <v>1.0538000000000001</v>
      </c>
      <c r="P1449" s="26">
        <v>3112.5967986270753</v>
      </c>
      <c r="Q1449" s="35">
        <f t="array" ref="Q1449">SUM(IF(($S1449&gt;=4)*($C1449='TaxCred&amp;Subs'!$D$114:$D$121)*($H1449='TaxCred&amp;Subs'!$C$114:$C$121)*($H1449&lt;='TaxCred&amp;Subs'!$C$123),'TaxCred&amp;Subs'!$E$114:$E$121,0))</f>
        <v>0</v>
      </c>
      <c r="R1449" s="143">
        <v>0</v>
      </c>
      <c r="S1449" s="5">
        <v>4</v>
      </c>
      <c r="T1449" s="5" t="s">
        <v>240</v>
      </c>
      <c r="V1449" s="7" t="str">
        <f t="array" ref="V1449">INDEX(xlRTCLNAME,MATCH(1,(xlRTCLENDU=1)*(xlRTCLEQCL=$D1449),0))</f>
        <v>GEO_HP</v>
      </c>
      <c r="W1449" s="7" t="str">
        <f t="array" ref="W1449">INDEX(xlRTCLNAME,MATCH(1,(xlRTCLENDU=2)*(xlRTCLEQCL=$F1449),0))</f>
        <v>GEO_HP</v>
      </c>
      <c r="X1449" s="7" t="str">
        <f t="array" ref="X1449">INDEX(xlRTTYNAME,MATCH(1,(xlRTTYENDU=1)*(xlRTTYEQCL=$D1449)*(xlRTEQTYPE=$E1449),0))</f>
        <v>GEO_HP3</v>
      </c>
      <c r="Y1449" s="7" t="str">
        <f t="array" ref="Y1449">INDEX(xlRTTYNAME,MATCH(1,(xlRTTYENDU=2)*(xlRTTYEQCL=$F1449)*(xlRTEQTYPE=$G1449),0))</f>
        <v>GEO_HP3</v>
      </c>
    </row>
    <row r="1450" spans="2:25" ht="14.25" customHeight="1" x14ac:dyDescent="0.2">
      <c r="B1450" s="5">
        <v>3</v>
      </c>
      <c r="C1450" s="5">
        <v>2</v>
      </c>
      <c r="D1450" s="5">
        <v>10</v>
      </c>
      <c r="E1450" s="31">
        <v>33</v>
      </c>
      <c r="F1450" s="5">
        <v>4</v>
      </c>
      <c r="G1450" s="31">
        <v>14</v>
      </c>
      <c r="H1450" s="31">
        <v>2020</v>
      </c>
      <c r="I1450" s="5">
        <v>2022</v>
      </c>
      <c r="J1450" s="142">
        <v>1.1000000000000001</v>
      </c>
      <c r="K1450" s="142">
        <v>1.03</v>
      </c>
      <c r="L1450" s="142">
        <v>0.77139999999999997</v>
      </c>
      <c r="M1450" s="142">
        <v>1.0772999999999999</v>
      </c>
      <c r="N1450" s="142">
        <v>1.0449999999999999</v>
      </c>
      <c r="O1450" s="142">
        <v>1.0538000000000001</v>
      </c>
      <c r="P1450" s="26">
        <v>3604.6963356886345</v>
      </c>
      <c r="Q1450" s="35">
        <f t="array" ref="Q1450">SUM(IF(($S1450&gt;=4)*($C1450='TaxCred&amp;Subs'!$D$114:$D$121)*($H1450='TaxCred&amp;Subs'!$C$114:$C$121)*($H1450&lt;='TaxCred&amp;Subs'!$C$123),'TaxCred&amp;Subs'!$E$114:$E$121,0))</f>
        <v>0</v>
      </c>
      <c r="R1450" s="143">
        <v>0</v>
      </c>
      <c r="S1450" s="5">
        <v>4</v>
      </c>
      <c r="T1450" s="5" t="s">
        <v>240</v>
      </c>
      <c r="V1450" s="7" t="str">
        <f t="array" ref="V1450">INDEX(xlRTCLNAME,MATCH(1,(xlRTCLENDU=1)*(xlRTCLEQCL=$D1450),0))</f>
        <v>GEO_HP</v>
      </c>
      <c r="W1450" s="7" t="str">
        <f t="array" ref="W1450">INDEX(xlRTCLNAME,MATCH(1,(xlRTCLENDU=2)*(xlRTCLEQCL=$F1450),0))</f>
        <v>GEO_HP</v>
      </c>
      <c r="X1450" s="7" t="str">
        <f t="array" ref="X1450">INDEX(xlRTTYNAME,MATCH(1,(xlRTTYENDU=1)*(xlRTTYEQCL=$D1450)*(xlRTEQTYPE=$E1450),0))</f>
        <v>GEO_HP3</v>
      </c>
      <c r="Y1450" s="7" t="str">
        <f t="array" ref="Y1450">INDEX(xlRTTYNAME,MATCH(1,(xlRTTYENDU=2)*(xlRTTYEQCL=$F1450)*(xlRTEQTYPE=$G1450),0))</f>
        <v>GEO_HP3</v>
      </c>
    </row>
    <row r="1451" spans="2:25" ht="14.25" customHeight="1" x14ac:dyDescent="0.2">
      <c r="B1451" s="5">
        <v>3</v>
      </c>
      <c r="C1451" s="5">
        <v>2</v>
      </c>
      <c r="D1451" s="5">
        <v>10</v>
      </c>
      <c r="E1451" s="31">
        <v>33</v>
      </c>
      <c r="F1451" s="5">
        <v>4</v>
      </c>
      <c r="G1451" s="31">
        <v>14</v>
      </c>
      <c r="H1451" s="5">
        <v>2023</v>
      </c>
      <c r="I1451" s="5">
        <v>2032</v>
      </c>
      <c r="J1451" s="142">
        <v>1.1000000000000001</v>
      </c>
      <c r="K1451" s="142">
        <v>1.03</v>
      </c>
      <c r="L1451" s="142">
        <v>0.77139999999999997</v>
      </c>
      <c r="M1451" s="142">
        <v>1.0772999999999999</v>
      </c>
      <c r="N1451" s="142">
        <v>1.0449999999999999</v>
      </c>
      <c r="O1451" s="142">
        <v>1.0538000000000001</v>
      </c>
      <c r="P1451" s="26">
        <v>3604.6963356886345</v>
      </c>
      <c r="Q1451" s="35">
        <f t="array" ref="Q1451">SUM(IF(($S1451&gt;=4)*($C1451='TaxCred&amp;Subs'!$D$114:$D$121)*($H1451='TaxCred&amp;Subs'!$C$114:$C$121)*($H1451&lt;='TaxCred&amp;Subs'!$C$123),'TaxCred&amp;Subs'!$E$114:$E$121,0))</f>
        <v>500</v>
      </c>
      <c r="R1451" s="143">
        <v>0</v>
      </c>
      <c r="S1451" s="5">
        <v>4</v>
      </c>
      <c r="T1451" s="5" t="s">
        <v>240</v>
      </c>
      <c r="V1451" s="7" t="str">
        <f t="array" ref="V1451">INDEX(xlRTCLNAME,MATCH(1,(xlRTCLENDU=1)*(xlRTCLEQCL=$D1451),0))</f>
        <v>GEO_HP</v>
      </c>
      <c r="W1451" s="7" t="str">
        <f t="array" ref="W1451">INDEX(xlRTCLNAME,MATCH(1,(xlRTCLENDU=2)*(xlRTCLEQCL=$F1451),0))</f>
        <v>GEO_HP</v>
      </c>
      <c r="X1451" s="7" t="str">
        <f t="array" ref="X1451">INDEX(xlRTTYNAME,MATCH(1,(xlRTTYENDU=1)*(xlRTTYEQCL=$D1451)*(xlRTEQTYPE=$E1451),0))</f>
        <v>GEO_HP3</v>
      </c>
      <c r="Y1451" s="7" t="str">
        <f t="array" ref="Y1451">INDEX(xlRTTYNAME,MATCH(1,(xlRTTYENDU=2)*(xlRTTYEQCL=$F1451)*(xlRTEQTYPE=$G1451),0))</f>
        <v>GEO_HP3</v>
      </c>
    </row>
    <row r="1452" spans="2:25" ht="14.25" customHeight="1" x14ac:dyDescent="0.2">
      <c r="B1452" s="5">
        <v>3</v>
      </c>
      <c r="C1452" s="5">
        <v>2</v>
      </c>
      <c r="D1452" s="5">
        <v>10</v>
      </c>
      <c r="E1452" s="31">
        <v>33</v>
      </c>
      <c r="F1452" s="5">
        <v>4</v>
      </c>
      <c r="G1452" s="31">
        <v>14</v>
      </c>
      <c r="H1452" s="5">
        <v>2033</v>
      </c>
      <c r="I1452" s="5">
        <v>2050</v>
      </c>
      <c r="J1452" s="142">
        <v>1.1000000000000001</v>
      </c>
      <c r="K1452" s="142">
        <v>1.03</v>
      </c>
      <c r="L1452" s="142">
        <v>0.77139999999999997</v>
      </c>
      <c r="M1452" s="142">
        <v>1.0772999999999999</v>
      </c>
      <c r="N1452" s="142">
        <v>1.0449999999999999</v>
      </c>
      <c r="O1452" s="142">
        <v>1.0538000000000001</v>
      </c>
      <c r="P1452" s="26">
        <v>3604.6963356886345</v>
      </c>
      <c r="Q1452" s="35">
        <f t="array" ref="Q1452">SUM(IF(($S1452&gt;=4)*($C1452='TaxCred&amp;Subs'!$D$114:$D$121)*($H1452='TaxCred&amp;Subs'!$C$114:$C$121)*($H1452&lt;='TaxCred&amp;Subs'!$C$123),'TaxCred&amp;Subs'!$E$114:$E$121,0))</f>
        <v>0</v>
      </c>
      <c r="R1452" s="143">
        <v>0</v>
      </c>
      <c r="S1452" s="5">
        <v>4</v>
      </c>
      <c r="T1452" s="5" t="s">
        <v>240</v>
      </c>
      <c r="V1452" s="7" t="str">
        <f t="array" ref="V1452">INDEX(xlRTCLNAME,MATCH(1,(xlRTCLENDU=1)*(xlRTCLEQCL=$D1452),0))</f>
        <v>GEO_HP</v>
      </c>
      <c r="W1452" s="7" t="str">
        <f t="array" ref="W1452">INDEX(xlRTCLNAME,MATCH(1,(xlRTCLENDU=2)*(xlRTCLEQCL=$F1452),0))</f>
        <v>GEO_HP</v>
      </c>
      <c r="X1452" s="7" t="str">
        <f t="array" ref="X1452">INDEX(xlRTTYNAME,MATCH(1,(xlRTTYENDU=1)*(xlRTTYEQCL=$D1452)*(xlRTEQTYPE=$E1452),0))</f>
        <v>GEO_HP3</v>
      </c>
      <c r="Y1452" s="7" t="str">
        <f t="array" ref="Y1452">INDEX(xlRTTYNAME,MATCH(1,(xlRTTYENDU=2)*(xlRTTYEQCL=$F1452)*(xlRTEQTYPE=$G1452),0))</f>
        <v>GEO_HP3</v>
      </c>
    </row>
    <row r="1453" spans="2:25" ht="14.25" customHeight="1" x14ac:dyDescent="0.2">
      <c r="B1453" s="5">
        <v>4</v>
      </c>
      <c r="C1453" s="5">
        <v>2</v>
      </c>
      <c r="D1453" s="5">
        <v>10</v>
      </c>
      <c r="E1453" s="31">
        <v>33</v>
      </c>
      <c r="F1453" s="5">
        <v>4</v>
      </c>
      <c r="G1453" s="31">
        <v>14</v>
      </c>
      <c r="H1453" s="31">
        <v>2020</v>
      </c>
      <c r="I1453" s="5">
        <v>2022</v>
      </c>
      <c r="J1453" s="142">
        <v>1.1033999999999999</v>
      </c>
      <c r="K1453" s="142">
        <v>1.0556000000000001</v>
      </c>
      <c r="L1453" s="142">
        <v>0.98229999999999995</v>
      </c>
      <c r="M1453" s="142">
        <v>1.1313</v>
      </c>
      <c r="N1453" s="142">
        <v>1.1753</v>
      </c>
      <c r="O1453" s="142">
        <v>1.0538000000000001</v>
      </c>
      <c r="P1453" s="26">
        <v>3092.4287848130771</v>
      </c>
      <c r="Q1453" s="35">
        <f t="array" ref="Q1453">SUM(IF(($S1453&gt;=4)*($C1453='TaxCred&amp;Subs'!$D$114:$D$121)*($H1453='TaxCred&amp;Subs'!$C$114:$C$121)*($H1453&lt;='TaxCred&amp;Subs'!$C$123),'TaxCred&amp;Subs'!$E$114:$E$121,0))</f>
        <v>0</v>
      </c>
      <c r="R1453" s="143">
        <v>0</v>
      </c>
      <c r="S1453" s="5">
        <v>4</v>
      </c>
      <c r="T1453" s="5" t="s">
        <v>240</v>
      </c>
      <c r="V1453" s="7" t="str">
        <f t="array" ref="V1453">INDEX(xlRTCLNAME,MATCH(1,(xlRTCLENDU=1)*(xlRTCLEQCL=$D1453),0))</f>
        <v>GEO_HP</v>
      </c>
      <c r="W1453" s="7" t="str">
        <f t="array" ref="W1453">INDEX(xlRTCLNAME,MATCH(1,(xlRTCLENDU=2)*(xlRTCLEQCL=$F1453),0))</f>
        <v>GEO_HP</v>
      </c>
      <c r="X1453" s="7" t="str">
        <f t="array" ref="X1453">INDEX(xlRTTYNAME,MATCH(1,(xlRTTYENDU=1)*(xlRTTYEQCL=$D1453)*(xlRTEQTYPE=$E1453),0))</f>
        <v>GEO_HP3</v>
      </c>
      <c r="Y1453" s="7" t="str">
        <f t="array" ref="Y1453">INDEX(xlRTTYNAME,MATCH(1,(xlRTTYENDU=2)*(xlRTTYEQCL=$F1453)*(xlRTEQTYPE=$G1453),0))</f>
        <v>GEO_HP3</v>
      </c>
    </row>
    <row r="1454" spans="2:25" ht="14.25" customHeight="1" x14ac:dyDescent="0.2">
      <c r="B1454" s="5">
        <v>4</v>
      </c>
      <c r="C1454" s="5">
        <v>2</v>
      </c>
      <c r="D1454" s="5">
        <v>10</v>
      </c>
      <c r="E1454" s="31">
        <v>33</v>
      </c>
      <c r="F1454" s="5">
        <v>4</v>
      </c>
      <c r="G1454" s="31">
        <v>14</v>
      </c>
      <c r="H1454" s="5">
        <v>2023</v>
      </c>
      <c r="I1454" s="5">
        <v>2032</v>
      </c>
      <c r="J1454" s="142">
        <v>1.1033999999999999</v>
      </c>
      <c r="K1454" s="142">
        <v>1.0556000000000001</v>
      </c>
      <c r="L1454" s="142">
        <v>0.98229999999999995</v>
      </c>
      <c r="M1454" s="142">
        <v>1.1313</v>
      </c>
      <c r="N1454" s="142">
        <v>1.1753</v>
      </c>
      <c r="O1454" s="142">
        <v>1.0538000000000001</v>
      </c>
      <c r="P1454" s="26">
        <v>3092.4287848130771</v>
      </c>
      <c r="Q1454" s="35">
        <f t="array" ref="Q1454">SUM(IF(($S1454&gt;=4)*($C1454='TaxCred&amp;Subs'!$D$114:$D$121)*($H1454='TaxCred&amp;Subs'!$C$114:$C$121)*($H1454&lt;='TaxCred&amp;Subs'!$C$123),'TaxCred&amp;Subs'!$E$114:$E$121,0))</f>
        <v>500</v>
      </c>
      <c r="R1454" s="143">
        <v>0</v>
      </c>
      <c r="S1454" s="5">
        <v>4</v>
      </c>
      <c r="T1454" s="5" t="s">
        <v>240</v>
      </c>
      <c r="V1454" s="7" t="str">
        <f t="array" ref="V1454">INDEX(xlRTCLNAME,MATCH(1,(xlRTCLENDU=1)*(xlRTCLEQCL=$D1454),0))</f>
        <v>GEO_HP</v>
      </c>
      <c r="W1454" s="7" t="str">
        <f t="array" ref="W1454">INDEX(xlRTCLNAME,MATCH(1,(xlRTCLENDU=2)*(xlRTCLEQCL=$F1454),0))</f>
        <v>GEO_HP</v>
      </c>
      <c r="X1454" s="7" t="str">
        <f t="array" ref="X1454">INDEX(xlRTTYNAME,MATCH(1,(xlRTTYENDU=1)*(xlRTTYEQCL=$D1454)*(xlRTEQTYPE=$E1454),0))</f>
        <v>GEO_HP3</v>
      </c>
      <c r="Y1454" s="7" t="str">
        <f t="array" ref="Y1454">INDEX(xlRTTYNAME,MATCH(1,(xlRTTYENDU=2)*(xlRTTYEQCL=$F1454)*(xlRTEQTYPE=$G1454),0))</f>
        <v>GEO_HP3</v>
      </c>
    </row>
    <row r="1455" spans="2:25" ht="14.25" customHeight="1" x14ac:dyDescent="0.2">
      <c r="B1455" s="5">
        <v>4</v>
      </c>
      <c r="C1455" s="5">
        <v>2</v>
      </c>
      <c r="D1455" s="5">
        <v>10</v>
      </c>
      <c r="E1455" s="31">
        <v>33</v>
      </c>
      <c r="F1455" s="5">
        <v>4</v>
      </c>
      <c r="G1455" s="31">
        <v>14</v>
      </c>
      <c r="H1455" s="5">
        <v>2033</v>
      </c>
      <c r="I1455" s="5">
        <v>2050</v>
      </c>
      <c r="J1455" s="142">
        <v>1.1033999999999999</v>
      </c>
      <c r="K1455" s="142">
        <v>1.0556000000000001</v>
      </c>
      <c r="L1455" s="142">
        <v>0.98229999999999995</v>
      </c>
      <c r="M1455" s="142">
        <v>1.1313</v>
      </c>
      <c r="N1455" s="142">
        <v>1.1753</v>
      </c>
      <c r="O1455" s="142">
        <v>1.0538000000000001</v>
      </c>
      <c r="P1455" s="26">
        <v>3092.4287848130771</v>
      </c>
      <c r="Q1455" s="35">
        <f t="array" ref="Q1455">SUM(IF(($S1455&gt;=4)*($C1455='TaxCred&amp;Subs'!$D$114:$D$121)*($H1455='TaxCred&amp;Subs'!$C$114:$C$121)*($H1455&lt;='TaxCred&amp;Subs'!$C$123),'TaxCred&amp;Subs'!$E$114:$E$121,0))</f>
        <v>0</v>
      </c>
      <c r="R1455" s="143">
        <v>0</v>
      </c>
      <c r="S1455" s="5">
        <v>4</v>
      </c>
      <c r="T1455" s="5" t="s">
        <v>240</v>
      </c>
      <c r="V1455" s="7" t="str">
        <f t="array" ref="V1455">INDEX(xlRTCLNAME,MATCH(1,(xlRTCLENDU=1)*(xlRTCLEQCL=$D1455),0))</f>
        <v>GEO_HP</v>
      </c>
      <c r="W1455" s="7" t="str">
        <f t="array" ref="W1455">INDEX(xlRTCLNAME,MATCH(1,(xlRTCLENDU=2)*(xlRTCLEQCL=$F1455),0))</f>
        <v>GEO_HP</v>
      </c>
      <c r="X1455" s="7" t="str">
        <f t="array" ref="X1455">INDEX(xlRTTYNAME,MATCH(1,(xlRTTYENDU=1)*(xlRTTYEQCL=$D1455)*(xlRTEQTYPE=$E1455),0))</f>
        <v>GEO_HP3</v>
      </c>
      <c r="Y1455" s="7" t="str">
        <f t="array" ref="Y1455">INDEX(xlRTTYNAME,MATCH(1,(xlRTTYENDU=2)*(xlRTTYEQCL=$F1455)*(xlRTEQTYPE=$G1455),0))</f>
        <v>GEO_HP3</v>
      </c>
    </row>
    <row r="1456" spans="2:25" ht="14.25" customHeight="1" x14ac:dyDescent="0.2">
      <c r="B1456" s="5">
        <v>5</v>
      </c>
      <c r="C1456" s="5">
        <v>2</v>
      </c>
      <c r="D1456" s="5">
        <v>10</v>
      </c>
      <c r="E1456" s="31">
        <v>33</v>
      </c>
      <c r="F1456" s="5">
        <v>4</v>
      </c>
      <c r="G1456" s="31">
        <v>14</v>
      </c>
      <c r="H1456" s="31">
        <v>2020</v>
      </c>
      <c r="I1456" s="5">
        <v>2022</v>
      </c>
      <c r="J1456" s="142">
        <v>1.03</v>
      </c>
      <c r="K1456" s="142">
        <v>1.0512999999999999</v>
      </c>
      <c r="L1456" s="142">
        <v>0.44379999999999997</v>
      </c>
      <c r="M1456" s="142">
        <v>1.1128</v>
      </c>
      <c r="N1456" s="142">
        <v>1.2490000000000001</v>
      </c>
      <c r="O1456" s="142">
        <v>1.0538000000000001</v>
      </c>
      <c r="P1456" s="26">
        <v>2757.6397555007047</v>
      </c>
      <c r="Q1456" s="35">
        <f t="array" ref="Q1456">SUM(IF(($S1456&gt;=4)*($C1456='TaxCred&amp;Subs'!$D$114:$D$121)*($H1456='TaxCred&amp;Subs'!$C$114:$C$121)*($H1456&lt;='TaxCred&amp;Subs'!$C$123),'TaxCred&amp;Subs'!$E$114:$E$121,0))</f>
        <v>0</v>
      </c>
      <c r="R1456" s="143">
        <v>0</v>
      </c>
      <c r="S1456" s="5">
        <v>4</v>
      </c>
      <c r="T1456" s="5" t="s">
        <v>240</v>
      </c>
      <c r="V1456" s="7" t="str">
        <f t="array" ref="V1456">INDEX(xlRTCLNAME,MATCH(1,(xlRTCLENDU=1)*(xlRTCLEQCL=$D1456),0))</f>
        <v>GEO_HP</v>
      </c>
      <c r="W1456" s="7" t="str">
        <f t="array" ref="W1456">INDEX(xlRTCLNAME,MATCH(1,(xlRTCLENDU=2)*(xlRTCLEQCL=$F1456),0))</f>
        <v>GEO_HP</v>
      </c>
      <c r="X1456" s="7" t="str">
        <f t="array" ref="X1456">INDEX(xlRTTYNAME,MATCH(1,(xlRTTYENDU=1)*(xlRTTYEQCL=$D1456)*(xlRTEQTYPE=$E1456),0))</f>
        <v>GEO_HP3</v>
      </c>
      <c r="Y1456" s="7" t="str">
        <f t="array" ref="Y1456">INDEX(xlRTTYNAME,MATCH(1,(xlRTTYENDU=2)*(xlRTTYEQCL=$F1456)*(xlRTEQTYPE=$G1456),0))</f>
        <v>GEO_HP3</v>
      </c>
    </row>
    <row r="1457" spans="2:25" ht="14.25" customHeight="1" x14ac:dyDescent="0.2">
      <c r="B1457" s="5">
        <v>5</v>
      </c>
      <c r="C1457" s="5">
        <v>2</v>
      </c>
      <c r="D1457" s="5">
        <v>10</v>
      </c>
      <c r="E1457" s="31">
        <v>33</v>
      </c>
      <c r="F1457" s="5">
        <v>4</v>
      </c>
      <c r="G1457" s="31">
        <v>14</v>
      </c>
      <c r="H1457" s="5">
        <v>2023</v>
      </c>
      <c r="I1457" s="5">
        <v>2032</v>
      </c>
      <c r="J1457" s="142">
        <v>1.03</v>
      </c>
      <c r="K1457" s="142">
        <v>1.0512999999999999</v>
      </c>
      <c r="L1457" s="142">
        <v>0.44379999999999997</v>
      </c>
      <c r="M1457" s="142">
        <v>1.1128</v>
      </c>
      <c r="N1457" s="142">
        <v>1.2490000000000001</v>
      </c>
      <c r="O1457" s="142">
        <v>1.0538000000000001</v>
      </c>
      <c r="P1457" s="26">
        <v>2757.6397555007047</v>
      </c>
      <c r="Q1457" s="35">
        <f t="array" ref="Q1457">SUM(IF(($S1457&gt;=4)*($C1457='TaxCred&amp;Subs'!$D$114:$D$121)*($H1457='TaxCred&amp;Subs'!$C$114:$C$121)*($H1457&lt;='TaxCred&amp;Subs'!$C$123),'TaxCred&amp;Subs'!$E$114:$E$121,0))</f>
        <v>500</v>
      </c>
      <c r="R1457" s="143">
        <v>0</v>
      </c>
      <c r="S1457" s="5">
        <v>4</v>
      </c>
      <c r="T1457" s="5" t="s">
        <v>240</v>
      </c>
      <c r="V1457" s="7" t="str">
        <f t="array" ref="V1457">INDEX(xlRTCLNAME,MATCH(1,(xlRTCLENDU=1)*(xlRTCLEQCL=$D1457),0))</f>
        <v>GEO_HP</v>
      </c>
      <c r="W1457" s="7" t="str">
        <f t="array" ref="W1457">INDEX(xlRTCLNAME,MATCH(1,(xlRTCLENDU=2)*(xlRTCLEQCL=$F1457),0))</f>
        <v>GEO_HP</v>
      </c>
      <c r="X1457" s="7" t="str">
        <f t="array" ref="X1457">INDEX(xlRTTYNAME,MATCH(1,(xlRTTYENDU=1)*(xlRTTYEQCL=$D1457)*(xlRTEQTYPE=$E1457),0))</f>
        <v>GEO_HP3</v>
      </c>
      <c r="Y1457" s="7" t="str">
        <f t="array" ref="Y1457">INDEX(xlRTTYNAME,MATCH(1,(xlRTTYENDU=2)*(xlRTTYEQCL=$F1457)*(xlRTEQTYPE=$G1457),0))</f>
        <v>GEO_HP3</v>
      </c>
    </row>
    <row r="1458" spans="2:25" ht="14.25" customHeight="1" x14ac:dyDescent="0.2">
      <c r="B1458" s="5">
        <v>5</v>
      </c>
      <c r="C1458" s="5">
        <v>2</v>
      </c>
      <c r="D1458" s="5">
        <v>10</v>
      </c>
      <c r="E1458" s="31">
        <v>33</v>
      </c>
      <c r="F1458" s="5">
        <v>4</v>
      </c>
      <c r="G1458" s="31">
        <v>14</v>
      </c>
      <c r="H1458" s="5">
        <v>2033</v>
      </c>
      <c r="I1458" s="5">
        <v>2050</v>
      </c>
      <c r="J1458" s="142">
        <v>1.03</v>
      </c>
      <c r="K1458" s="142">
        <v>1.0512999999999999</v>
      </c>
      <c r="L1458" s="142">
        <v>0.44379999999999997</v>
      </c>
      <c r="M1458" s="142">
        <v>1.1128</v>
      </c>
      <c r="N1458" s="142">
        <v>1.2490000000000001</v>
      </c>
      <c r="O1458" s="142">
        <v>1.0538000000000001</v>
      </c>
      <c r="P1458" s="26">
        <v>2757.6397555007047</v>
      </c>
      <c r="Q1458" s="35">
        <f t="array" ref="Q1458">SUM(IF(($S1458&gt;=4)*($C1458='TaxCred&amp;Subs'!$D$114:$D$121)*($H1458='TaxCred&amp;Subs'!$C$114:$C$121)*($H1458&lt;='TaxCred&amp;Subs'!$C$123),'TaxCred&amp;Subs'!$E$114:$E$121,0))</f>
        <v>0</v>
      </c>
      <c r="R1458" s="143">
        <v>0</v>
      </c>
      <c r="S1458" s="5">
        <v>4</v>
      </c>
      <c r="T1458" s="5" t="s">
        <v>240</v>
      </c>
      <c r="V1458" s="7" t="str">
        <f t="array" ref="V1458">INDEX(xlRTCLNAME,MATCH(1,(xlRTCLENDU=1)*(xlRTCLEQCL=$D1458),0))</f>
        <v>GEO_HP</v>
      </c>
      <c r="W1458" s="7" t="str">
        <f t="array" ref="W1458">INDEX(xlRTCLNAME,MATCH(1,(xlRTCLENDU=2)*(xlRTCLEQCL=$F1458),0))</f>
        <v>GEO_HP</v>
      </c>
      <c r="X1458" s="7" t="str">
        <f t="array" ref="X1458">INDEX(xlRTTYNAME,MATCH(1,(xlRTTYENDU=1)*(xlRTTYEQCL=$D1458)*(xlRTEQTYPE=$E1458),0))</f>
        <v>GEO_HP3</v>
      </c>
      <c r="Y1458" s="7" t="str">
        <f t="array" ref="Y1458">INDEX(xlRTTYNAME,MATCH(1,(xlRTTYENDU=2)*(xlRTTYEQCL=$F1458)*(xlRTEQTYPE=$G1458),0))</f>
        <v>GEO_HP3</v>
      </c>
    </row>
    <row r="1459" spans="2:25" ht="14.25" customHeight="1" x14ac:dyDescent="0.2">
      <c r="B1459" s="5">
        <v>6</v>
      </c>
      <c r="C1459" s="5">
        <v>2</v>
      </c>
      <c r="D1459" s="5">
        <v>10</v>
      </c>
      <c r="E1459" s="31">
        <v>33</v>
      </c>
      <c r="F1459" s="5">
        <v>4</v>
      </c>
      <c r="G1459" s="31">
        <v>14</v>
      </c>
      <c r="H1459" s="31">
        <v>2020</v>
      </c>
      <c r="I1459" s="5">
        <v>2022</v>
      </c>
      <c r="J1459" s="142">
        <v>1.1200000000000001</v>
      </c>
      <c r="K1459" s="142">
        <v>1.03</v>
      </c>
      <c r="L1459" s="142">
        <v>0.94379999999999997</v>
      </c>
      <c r="M1459" s="142">
        <v>1.1440999999999999</v>
      </c>
      <c r="N1459" s="142">
        <v>1.3656999999999999</v>
      </c>
      <c r="O1459" s="142">
        <v>1.0538000000000001</v>
      </c>
      <c r="P1459" s="26">
        <v>3038.6474146424148</v>
      </c>
      <c r="Q1459" s="35">
        <f t="array" ref="Q1459">SUM(IF(($S1459&gt;=4)*($C1459='TaxCred&amp;Subs'!$D$114:$D$121)*($H1459='TaxCred&amp;Subs'!$C$114:$C$121)*($H1459&lt;='TaxCred&amp;Subs'!$C$123),'TaxCred&amp;Subs'!$E$114:$E$121,0))</f>
        <v>0</v>
      </c>
      <c r="R1459" s="143">
        <v>0</v>
      </c>
      <c r="S1459" s="5">
        <v>4</v>
      </c>
      <c r="T1459" s="5" t="s">
        <v>240</v>
      </c>
      <c r="V1459" s="7" t="str">
        <f t="array" ref="V1459">INDEX(xlRTCLNAME,MATCH(1,(xlRTCLENDU=1)*(xlRTCLEQCL=$D1459),0))</f>
        <v>GEO_HP</v>
      </c>
      <c r="W1459" s="7" t="str">
        <f t="array" ref="W1459">INDEX(xlRTCLNAME,MATCH(1,(xlRTCLENDU=2)*(xlRTCLEQCL=$F1459),0))</f>
        <v>GEO_HP</v>
      </c>
      <c r="X1459" s="7" t="str">
        <f t="array" ref="X1459">INDEX(xlRTTYNAME,MATCH(1,(xlRTTYENDU=1)*(xlRTTYEQCL=$D1459)*(xlRTEQTYPE=$E1459),0))</f>
        <v>GEO_HP3</v>
      </c>
      <c r="Y1459" s="7" t="str">
        <f t="array" ref="Y1459">INDEX(xlRTTYNAME,MATCH(1,(xlRTTYENDU=2)*(xlRTTYEQCL=$F1459)*(xlRTEQTYPE=$G1459),0))</f>
        <v>GEO_HP3</v>
      </c>
    </row>
    <row r="1460" spans="2:25" ht="14.25" customHeight="1" x14ac:dyDescent="0.2">
      <c r="B1460" s="5">
        <v>6</v>
      </c>
      <c r="C1460" s="5">
        <v>2</v>
      </c>
      <c r="D1460" s="5">
        <v>10</v>
      </c>
      <c r="E1460" s="31">
        <v>33</v>
      </c>
      <c r="F1460" s="5">
        <v>4</v>
      </c>
      <c r="G1460" s="31">
        <v>14</v>
      </c>
      <c r="H1460" s="5">
        <v>2023</v>
      </c>
      <c r="I1460" s="5">
        <v>2032</v>
      </c>
      <c r="J1460" s="142">
        <v>1.1200000000000001</v>
      </c>
      <c r="K1460" s="142">
        <v>1.03</v>
      </c>
      <c r="L1460" s="142">
        <v>0.94379999999999997</v>
      </c>
      <c r="M1460" s="142">
        <v>1.1440999999999999</v>
      </c>
      <c r="N1460" s="142">
        <v>1.3656999999999999</v>
      </c>
      <c r="O1460" s="142">
        <v>1.0538000000000001</v>
      </c>
      <c r="P1460" s="26">
        <v>3038.6474146424148</v>
      </c>
      <c r="Q1460" s="35">
        <f t="array" ref="Q1460">SUM(IF(($S1460&gt;=4)*($C1460='TaxCred&amp;Subs'!$D$114:$D$121)*($H1460='TaxCred&amp;Subs'!$C$114:$C$121)*($H1460&lt;='TaxCred&amp;Subs'!$C$123),'TaxCred&amp;Subs'!$E$114:$E$121,0))</f>
        <v>500</v>
      </c>
      <c r="R1460" s="143">
        <v>0</v>
      </c>
      <c r="S1460" s="5">
        <v>4</v>
      </c>
      <c r="T1460" s="5" t="s">
        <v>240</v>
      </c>
      <c r="V1460" s="7" t="str">
        <f t="array" ref="V1460">INDEX(xlRTCLNAME,MATCH(1,(xlRTCLENDU=1)*(xlRTCLEQCL=$D1460),0))</f>
        <v>GEO_HP</v>
      </c>
      <c r="W1460" s="7" t="str">
        <f t="array" ref="W1460">INDEX(xlRTCLNAME,MATCH(1,(xlRTCLENDU=2)*(xlRTCLEQCL=$F1460),0))</f>
        <v>GEO_HP</v>
      </c>
      <c r="X1460" s="7" t="str">
        <f t="array" ref="X1460">INDEX(xlRTTYNAME,MATCH(1,(xlRTTYENDU=1)*(xlRTTYEQCL=$D1460)*(xlRTEQTYPE=$E1460),0))</f>
        <v>GEO_HP3</v>
      </c>
      <c r="Y1460" s="7" t="str">
        <f t="array" ref="Y1460">INDEX(xlRTTYNAME,MATCH(1,(xlRTTYENDU=2)*(xlRTTYEQCL=$F1460)*(xlRTEQTYPE=$G1460),0))</f>
        <v>GEO_HP3</v>
      </c>
    </row>
    <row r="1461" spans="2:25" ht="14.25" customHeight="1" x14ac:dyDescent="0.2">
      <c r="B1461" s="5">
        <v>6</v>
      </c>
      <c r="C1461" s="5">
        <v>2</v>
      </c>
      <c r="D1461" s="5">
        <v>10</v>
      </c>
      <c r="E1461" s="31">
        <v>33</v>
      </c>
      <c r="F1461" s="5">
        <v>4</v>
      </c>
      <c r="G1461" s="31">
        <v>14</v>
      </c>
      <c r="H1461" s="5">
        <v>2033</v>
      </c>
      <c r="I1461" s="5">
        <v>2050</v>
      </c>
      <c r="J1461" s="142">
        <v>1.1200000000000001</v>
      </c>
      <c r="K1461" s="142">
        <v>1.03</v>
      </c>
      <c r="L1461" s="142">
        <v>0.94379999999999997</v>
      </c>
      <c r="M1461" s="142">
        <v>1.1440999999999999</v>
      </c>
      <c r="N1461" s="142">
        <v>1.3656999999999999</v>
      </c>
      <c r="O1461" s="142">
        <v>1.0538000000000001</v>
      </c>
      <c r="P1461" s="26">
        <v>3038.6474146424148</v>
      </c>
      <c r="Q1461" s="35">
        <f t="array" ref="Q1461">SUM(IF(($S1461&gt;=4)*($C1461='TaxCred&amp;Subs'!$D$114:$D$121)*($H1461='TaxCred&amp;Subs'!$C$114:$C$121)*($H1461&lt;='TaxCred&amp;Subs'!$C$123),'TaxCred&amp;Subs'!$E$114:$E$121,0))</f>
        <v>0</v>
      </c>
      <c r="R1461" s="143">
        <v>0</v>
      </c>
      <c r="S1461" s="5">
        <v>4</v>
      </c>
      <c r="T1461" s="5" t="s">
        <v>240</v>
      </c>
      <c r="V1461" s="7" t="str">
        <f t="array" ref="V1461">INDEX(xlRTCLNAME,MATCH(1,(xlRTCLENDU=1)*(xlRTCLEQCL=$D1461),0))</f>
        <v>GEO_HP</v>
      </c>
      <c r="W1461" s="7" t="str">
        <f t="array" ref="W1461">INDEX(xlRTCLNAME,MATCH(1,(xlRTCLENDU=2)*(xlRTCLEQCL=$F1461),0))</f>
        <v>GEO_HP</v>
      </c>
      <c r="X1461" s="7" t="str">
        <f t="array" ref="X1461">INDEX(xlRTTYNAME,MATCH(1,(xlRTTYENDU=1)*(xlRTTYEQCL=$D1461)*(xlRTEQTYPE=$E1461),0))</f>
        <v>GEO_HP3</v>
      </c>
      <c r="Y1461" s="7" t="str">
        <f t="array" ref="Y1461">INDEX(xlRTTYNAME,MATCH(1,(xlRTTYENDU=2)*(xlRTTYEQCL=$F1461)*(xlRTEQTYPE=$G1461),0))</f>
        <v>GEO_HP3</v>
      </c>
    </row>
    <row r="1462" spans="2:25" ht="14.25" customHeight="1" x14ac:dyDescent="0.2">
      <c r="B1462" s="5">
        <v>7</v>
      </c>
      <c r="C1462" s="5">
        <v>2</v>
      </c>
      <c r="D1462" s="5">
        <v>10</v>
      </c>
      <c r="E1462" s="31">
        <v>33</v>
      </c>
      <c r="F1462" s="5">
        <v>4</v>
      </c>
      <c r="G1462" s="31">
        <v>14</v>
      </c>
      <c r="H1462" s="31">
        <v>2020</v>
      </c>
      <c r="I1462" s="5">
        <v>2022</v>
      </c>
      <c r="J1462" s="142">
        <v>1.03</v>
      </c>
      <c r="K1462" s="142">
        <v>1.0611999999999999</v>
      </c>
      <c r="L1462" s="142">
        <v>0.94379999999999997</v>
      </c>
      <c r="M1462" s="142">
        <v>1.1568000000000001</v>
      </c>
      <c r="N1462" s="142">
        <v>1.4438</v>
      </c>
      <c r="O1462" s="142">
        <v>1.0538000000000001</v>
      </c>
      <c r="P1462" s="26">
        <v>2032.9357924510314</v>
      </c>
      <c r="Q1462" s="35">
        <f t="array" ref="Q1462">SUM(IF(($S1462&gt;=4)*($C1462='TaxCred&amp;Subs'!$D$114:$D$121)*($H1462='TaxCred&amp;Subs'!$C$114:$C$121)*($H1462&lt;='TaxCred&amp;Subs'!$C$123),'TaxCred&amp;Subs'!$E$114:$E$121,0))</f>
        <v>0</v>
      </c>
      <c r="R1462" s="143">
        <v>0</v>
      </c>
      <c r="S1462" s="5">
        <v>4</v>
      </c>
      <c r="T1462" s="5" t="s">
        <v>240</v>
      </c>
      <c r="V1462" s="7" t="str">
        <f t="array" ref="V1462">INDEX(xlRTCLNAME,MATCH(1,(xlRTCLENDU=1)*(xlRTCLEQCL=$D1462),0))</f>
        <v>GEO_HP</v>
      </c>
      <c r="W1462" s="7" t="str">
        <f t="array" ref="W1462">INDEX(xlRTCLNAME,MATCH(1,(xlRTCLENDU=2)*(xlRTCLEQCL=$F1462),0))</f>
        <v>GEO_HP</v>
      </c>
      <c r="X1462" s="7" t="str">
        <f t="array" ref="X1462">INDEX(xlRTTYNAME,MATCH(1,(xlRTTYENDU=1)*(xlRTTYEQCL=$D1462)*(xlRTEQTYPE=$E1462),0))</f>
        <v>GEO_HP3</v>
      </c>
      <c r="Y1462" s="7" t="str">
        <f t="array" ref="Y1462">INDEX(xlRTTYNAME,MATCH(1,(xlRTTYENDU=2)*(xlRTTYEQCL=$F1462)*(xlRTEQTYPE=$G1462),0))</f>
        <v>GEO_HP3</v>
      </c>
    </row>
    <row r="1463" spans="2:25" ht="14.25" customHeight="1" x14ac:dyDescent="0.2">
      <c r="B1463" s="5">
        <v>7</v>
      </c>
      <c r="C1463" s="5">
        <v>2</v>
      </c>
      <c r="D1463" s="5">
        <v>10</v>
      </c>
      <c r="E1463" s="31">
        <v>33</v>
      </c>
      <c r="F1463" s="5">
        <v>4</v>
      </c>
      <c r="G1463" s="31">
        <v>14</v>
      </c>
      <c r="H1463" s="5">
        <v>2023</v>
      </c>
      <c r="I1463" s="5">
        <v>2032</v>
      </c>
      <c r="J1463" s="142">
        <v>1.03</v>
      </c>
      <c r="K1463" s="142">
        <v>1.0611999999999999</v>
      </c>
      <c r="L1463" s="142">
        <v>0.94379999999999997</v>
      </c>
      <c r="M1463" s="142">
        <v>1.1568000000000001</v>
      </c>
      <c r="N1463" s="142">
        <v>1.4438</v>
      </c>
      <c r="O1463" s="142">
        <v>1.0538000000000001</v>
      </c>
      <c r="P1463" s="26">
        <v>2032.9357924510314</v>
      </c>
      <c r="Q1463" s="35">
        <f t="array" ref="Q1463">SUM(IF(($S1463&gt;=4)*($C1463='TaxCred&amp;Subs'!$D$114:$D$121)*($H1463='TaxCred&amp;Subs'!$C$114:$C$121)*($H1463&lt;='TaxCred&amp;Subs'!$C$123),'TaxCred&amp;Subs'!$E$114:$E$121,0))</f>
        <v>500</v>
      </c>
      <c r="R1463" s="143">
        <v>0</v>
      </c>
      <c r="S1463" s="5">
        <v>4</v>
      </c>
      <c r="T1463" s="5" t="s">
        <v>240</v>
      </c>
      <c r="V1463" s="7" t="str">
        <f t="array" ref="V1463">INDEX(xlRTCLNAME,MATCH(1,(xlRTCLENDU=1)*(xlRTCLEQCL=$D1463),0))</f>
        <v>GEO_HP</v>
      </c>
      <c r="W1463" s="7" t="str">
        <f t="array" ref="W1463">INDEX(xlRTCLNAME,MATCH(1,(xlRTCLENDU=2)*(xlRTCLEQCL=$F1463),0))</f>
        <v>GEO_HP</v>
      </c>
      <c r="X1463" s="7" t="str">
        <f t="array" ref="X1463">INDEX(xlRTTYNAME,MATCH(1,(xlRTTYENDU=1)*(xlRTTYEQCL=$D1463)*(xlRTEQTYPE=$E1463),0))</f>
        <v>GEO_HP3</v>
      </c>
      <c r="Y1463" s="7" t="str">
        <f t="array" ref="Y1463">INDEX(xlRTTYNAME,MATCH(1,(xlRTTYENDU=2)*(xlRTTYEQCL=$F1463)*(xlRTEQTYPE=$G1463),0))</f>
        <v>GEO_HP3</v>
      </c>
    </row>
    <row r="1464" spans="2:25" ht="14.25" customHeight="1" x14ac:dyDescent="0.2">
      <c r="B1464" s="5">
        <v>7</v>
      </c>
      <c r="C1464" s="5">
        <v>2</v>
      </c>
      <c r="D1464" s="5">
        <v>10</v>
      </c>
      <c r="E1464" s="31">
        <v>33</v>
      </c>
      <c r="F1464" s="5">
        <v>4</v>
      </c>
      <c r="G1464" s="31">
        <v>14</v>
      </c>
      <c r="H1464" s="5">
        <v>2033</v>
      </c>
      <c r="I1464" s="5">
        <v>2050</v>
      </c>
      <c r="J1464" s="142">
        <v>1.03</v>
      </c>
      <c r="K1464" s="142">
        <v>1.0611999999999999</v>
      </c>
      <c r="L1464" s="142">
        <v>0.94379999999999997</v>
      </c>
      <c r="M1464" s="142">
        <v>1.1568000000000001</v>
      </c>
      <c r="N1464" s="142">
        <v>1.4438</v>
      </c>
      <c r="O1464" s="142">
        <v>1.0538000000000001</v>
      </c>
      <c r="P1464" s="26">
        <v>2032.9357924510314</v>
      </c>
      <c r="Q1464" s="35">
        <f t="array" ref="Q1464">SUM(IF(($S1464&gt;=4)*($C1464='TaxCred&amp;Subs'!$D$114:$D$121)*($H1464='TaxCred&amp;Subs'!$C$114:$C$121)*($H1464&lt;='TaxCred&amp;Subs'!$C$123),'TaxCred&amp;Subs'!$E$114:$E$121,0))</f>
        <v>0</v>
      </c>
      <c r="R1464" s="143">
        <v>0</v>
      </c>
      <c r="S1464" s="5">
        <v>4</v>
      </c>
      <c r="T1464" s="5" t="s">
        <v>240</v>
      </c>
      <c r="V1464" s="7" t="str">
        <f t="array" ref="V1464">INDEX(xlRTCLNAME,MATCH(1,(xlRTCLENDU=1)*(xlRTCLEQCL=$D1464),0))</f>
        <v>GEO_HP</v>
      </c>
      <c r="W1464" s="7" t="str">
        <f t="array" ref="W1464">INDEX(xlRTCLNAME,MATCH(1,(xlRTCLENDU=2)*(xlRTCLEQCL=$F1464),0))</f>
        <v>GEO_HP</v>
      </c>
      <c r="X1464" s="7" t="str">
        <f t="array" ref="X1464">INDEX(xlRTTYNAME,MATCH(1,(xlRTTYENDU=1)*(xlRTTYEQCL=$D1464)*(xlRTEQTYPE=$E1464),0))</f>
        <v>GEO_HP3</v>
      </c>
      <c r="Y1464" s="7" t="str">
        <f t="array" ref="Y1464">INDEX(xlRTTYNAME,MATCH(1,(xlRTTYENDU=2)*(xlRTTYEQCL=$F1464)*(xlRTEQTYPE=$G1464),0))</f>
        <v>GEO_HP3</v>
      </c>
    </row>
    <row r="1465" spans="2:25" ht="14.25" customHeight="1" x14ac:dyDescent="0.2">
      <c r="B1465" s="5">
        <v>8</v>
      </c>
      <c r="C1465" s="5">
        <v>2</v>
      </c>
      <c r="D1465" s="5">
        <v>10</v>
      </c>
      <c r="E1465" s="31">
        <v>33</v>
      </c>
      <c r="F1465" s="5">
        <v>4</v>
      </c>
      <c r="G1465" s="31">
        <v>14</v>
      </c>
      <c r="H1465" s="31">
        <v>2020</v>
      </c>
      <c r="I1465" s="5">
        <v>2022</v>
      </c>
      <c r="J1465" s="142">
        <v>1.1111</v>
      </c>
      <c r="K1465" s="142">
        <v>1.0417000000000001</v>
      </c>
      <c r="L1465" s="142">
        <v>0.7772</v>
      </c>
      <c r="M1465" s="142">
        <v>1.2388999999999999</v>
      </c>
      <c r="N1465" s="142">
        <v>1.2907</v>
      </c>
      <c r="O1465" s="142">
        <v>1.0538000000000001</v>
      </c>
      <c r="P1465" s="26">
        <v>3362.6801699206544</v>
      </c>
      <c r="Q1465" s="35">
        <f t="array" ref="Q1465">SUM(IF(($S1465&gt;=4)*($C1465='TaxCred&amp;Subs'!$D$114:$D$121)*($H1465='TaxCred&amp;Subs'!$C$114:$C$121)*($H1465&lt;='TaxCred&amp;Subs'!$C$123),'TaxCred&amp;Subs'!$E$114:$E$121,0))</f>
        <v>0</v>
      </c>
      <c r="R1465" s="143">
        <v>0</v>
      </c>
      <c r="S1465" s="5">
        <v>4</v>
      </c>
      <c r="T1465" s="5" t="s">
        <v>240</v>
      </c>
      <c r="V1465" s="7" t="str">
        <f t="array" ref="V1465">INDEX(xlRTCLNAME,MATCH(1,(xlRTCLENDU=1)*(xlRTCLEQCL=$D1465),0))</f>
        <v>GEO_HP</v>
      </c>
      <c r="W1465" s="7" t="str">
        <f t="array" ref="W1465">INDEX(xlRTCLNAME,MATCH(1,(xlRTCLENDU=2)*(xlRTCLEQCL=$F1465),0))</f>
        <v>GEO_HP</v>
      </c>
      <c r="X1465" s="7" t="str">
        <f t="array" ref="X1465">INDEX(xlRTTYNAME,MATCH(1,(xlRTTYENDU=1)*(xlRTTYEQCL=$D1465)*(xlRTEQTYPE=$E1465),0))</f>
        <v>GEO_HP3</v>
      </c>
      <c r="Y1465" s="7" t="str">
        <f t="array" ref="Y1465">INDEX(xlRTTYNAME,MATCH(1,(xlRTTYENDU=2)*(xlRTTYEQCL=$F1465)*(xlRTEQTYPE=$G1465),0))</f>
        <v>GEO_HP3</v>
      </c>
    </row>
    <row r="1466" spans="2:25" ht="14.25" customHeight="1" x14ac:dyDescent="0.2">
      <c r="B1466" s="5">
        <v>8</v>
      </c>
      <c r="C1466" s="5">
        <v>2</v>
      </c>
      <c r="D1466" s="5">
        <v>10</v>
      </c>
      <c r="E1466" s="31">
        <v>33</v>
      </c>
      <c r="F1466" s="5">
        <v>4</v>
      </c>
      <c r="G1466" s="31">
        <v>14</v>
      </c>
      <c r="H1466" s="5">
        <v>2023</v>
      </c>
      <c r="I1466" s="5">
        <v>2032</v>
      </c>
      <c r="J1466" s="142">
        <v>1.1111</v>
      </c>
      <c r="K1466" s="142">
        <v>1.0417000000000001</v>
      </c>
      <c r="L1466" s="142">
        <v>0.7772</v>
      </c>
      <c r="M1466" s="142">
        <v>1.2388999999999999</v>
      </c>
      <c r="N1466" s="142">
        <v>1.2907</v>
      </c>
      <c r="O1466" s="142">
        <v>1.0538000000000001</v>
      </c>
      <c r="P1466" s="26">
        <v>3362.6801699206544</v>
      </c>
      <c r="Q1466" s="35">
        <f t="array" ref="Q1466">SUM(IF(($S1466&gt;=4)*($C1466='TaxCred&amp;Subs'!$D$114:$D$121)*($H1466='TaxCred&amp;Subs'!$C$114:$C$121)*($H1466&lt;='TaxCred&amp;Subs'!$C$123),'TaxCred&amp;Subs'!$E$114:$E$121,0))</f>
        <v>500</v>
      </c>
      <c r="R1466" s="143">
        <v>0</v>
      </c>
      <c r="S1466" s="5">
        <v>4</v>
      </c>
      <c r="T1466" s="5" t="s">
        <v>240</v>
      </c>
      <c r="V1466" s="7" t="str">
        <f t="array" ref="V1466">INDEX(xlRTCLNAME,MATCH(1,(xlRTCLENDU=1)*(xlRTCLEQCL=$D1466),0))</f>
        <v>GEO_HP</v>
      </c>
      <c r="W1466" s="7" t="str">
        <f t="array" ref="W1466">INDEX(xlRTCLNAME,MATCH(1,(xlRTCLENDU=2)*(xlRTCLEQCL=$F1466),0))</f>
        <v>GEO_HP</v>
      </c>
      <c r="X1466" s="7" t="str">
        <f t="array" ref="X1466">INDEX(xlRTTYNAME,MATCH(1,(xlRTTYENDU=1)*(xlRTTYEQCL=$D1466)*(xlRTEQTYPE=$E1466),0))</f>
        <v>GEO_HP3</v>
      </c>
      <c r="Y1466" s="7" t="str">
        <f t="array" ref="Y1466">INDEX(xlRTTYNAME,MATCH(1,(xlRTTYENDU=2)*(xlRTTYEQCL=$F1466)*(xlRTEQTYPE=$G1466),0))</f>
        <v>GEO_HP3</v>
      </c>
    </row>
    <row r="1467" spans="2:25" ht="14.25" customHeight="1" x14ac:dyDescent="0.2">
      <c r="B1467" s="5">
        <v>8</v>
      </c>
      <c r="C1467" s="5">
        <v>2</v>
      </c>
      <c r="D1467" s="5">
        <v>10</v>
      </c>
      <c r="E1467" s="31">
        <v>33</v>
      </c>
      <c r="F1467" s="5">
        <v>4</v>
      </c>
      <c r="G1467" s="31">
        <v>14</v>
      </c>
      <c r="H1467" s="5">
        <v>2033</v>
      </c>
      <c r="I1467" s="5">
        <v>2050</v>
      </c>
      <c r="J1467" s="142">
        <v>1.1111</v>
      </c>
      <c r="K1467" s="142">
        <v>1.0417000000000001</v>
      </c>
      <c r="L1467" s="142">
        <v>0.7772</v>
      </c>
      <c r="M1467" s="142">
        <v>1.2388999999999999</v>
      </c>
      <c r="N1467" s="142">
        <v>1.2907</v>
      </c>
      <c r="O1467" s="142">
        <v>1.0538000000000001</v>
      </c>
      <c r="P1467" s="26">
        <v>3362.6801699206544</v>
      </c>
      <c r="Q1467" s="35">
        <f t="array" ref="Q1467">SUM(IF(($S1467&gt;=4)*($C1467='TaxCred&amp;Subs'!$D$114:$D$121)*($H1467='TaxCred&amp;Subs'!$C$114:$C$121)*($H1467&lt;='TaxCred&amp;Subs'!$C$123),'TaxCred&amp;Subs'!$E$114:$E$121,0))</f>
        <v>0</v>
      </c>
      <c r="R1467" s="143">
        <v>0</v>
      </c>
      <c r="S1467" s="5">
        <v>4</v>
      </c>
      <c r="T1467" s="5" t="s">
        <v>240</v>
      </c>
      <c r="V1467" s="7" t="str">
        <f t="array" ref="V1467">INDEX(xlRTCLNAME,MATCH(1,(xlRTCLENDU=1)*(xlRTCLEQCL=$D1467),0))</f>
        <v>GEO_HP</v>
      </c>
      <c r="W1467" s="7" t="str">
        <f t="array" ref="W1467">INDEX(xlRTCLNAME,MATCH(1,(xlRTCLENDU=2)*(xlRTCLEQCL=$F1467),0))</f>
        <v>GEO_HP</v>
      </c>
      <c r="X1467" s="7" t="str">
        <f t="array" ref="X1467">INDEX(xlRTTYNAME,MATCH(1,(xlRTTYENDU=1)*(xlRTTYEQCL=$D1467)*(xlRTEQTYPE=$E1467),0))</f>
        <v>GEO_HP3</v>
      </c>
      <c r="Y1467" s="7" t="str">
        <f t="array" ref="Y1467">INDEX(xlRTTYNAME,MATCH(1,(xlRTTYENDU=2)*(xlRTTYEQCL=$F1467)*(xlRTEQTYPE=$G1467),0))</f>
        <v>GEO_HP3</v>
      </c>
    </row>
    <row r="1468" spans="2:25" ht="14.25" customHeight="1" x14ac:dyDescent="0.2">
      <c r="B1468" s="5">
        <v>9</v>
      </c>
      <c r="C1468" s="5">
        <v>2</v>
      </c>
      <c r="D1468" s="5">
        <v>10</v>
      </c>
      <c r="E1468" s="31">
        <v>33</v>
      </c>
      <c r="F1468" s="5">
        <v>4</v>
      </c>
      <c r="G1468" s="31">
        <v>14</v>
      </c>
      <c r="H1468" s="31">
        <v>2020</v>
      </c>
      <c r="I1468" s="5">
        <v>2022</v>
      </c>
      <c r="J1468" s="142">
        <v>1.03</v>
      </c>
      <c r="K1468" s="142">
        <v>1.0741000000000001</v>
      </c>
      <c r="L1468" s="142">
        <v>0.44379999999999997</v>
      </c>
      <c r="M1468" s="142">
        <v>1.1909000000000001</v>
      </c>
      <c r="N1468" s="142">
        <v>1.4438</v>
      </c>
      <c r="O1468" s="142">
        <v>1.0538000000000001</v>
      </c>
      <c r="P1468" s="26">
        <v>4855.1131921565311</v>
      </c>
      <c r="Q1468" s="35">
        <f t="array" ref="Q1468">SUM(IF(($S1468&gt;=4)*($C1468='TaxCred&amp;Subs'!$D$114:$D$121)*($H1468='TaxCred&amp;Subs'!$C$114:$C$121)*($H1468&lt;='TaxCred&amp;Subs'!$C$123),'TaxCred&amp;Subs'!$E$114:$E$121,0))</f>
        <v>0</v>
      </c>
      <c r="R1468" s="143">
        <v>0</v>
      </c>
      <c r="S1468" s="5">
        <v>4</v>
      </c>
      <c r="T1468" s="5" t="s">
        <v>240</v>
      </c>
      <c r="V1468" s="7" t="str">
        <f t="array" ref="V1468">INDEX(xlRTCLNAME,MATCH(1,(xlRTCLENDU=1)*(xlRTCLEQCL=$D1468),0))</f>
        <v>GEO_HP</v>
      </c>
      <c r="W1468" s="7" t="str">
        <f t="array" ref="W1468">INDEX(xlRTCLNAME,MATCH(1,(xlRTCLENDU=2)*(xlRTCLEQCL=$F1468),0))</f>
        <v>GEO_HP</v>
      </c>
      <c r="X1468" s="7" t="str">
        <f t="array" ref="X1468">INDEX(xlRTTYNAME,MATCH(1,(xlRTTYENDU=1)*(xlRTTYEQCL=$D1468)*(xlRTEQTYPE=$E1468),0))</f>
        <v>GEO_HP3</v>
      </c>
      <c r="Y1468" s="7" t="str">
        <f t="array" ref="Y1468">INDEX(xlRTTYNAME,MATCH(1,(xlRTTYENDU=2)*(xlRTTYEQCL=$F1468)*(xlRTEQTYPE=$G1468),0))</f>
        <v>GEO_HP3</v>
      </c>
    </row>
    <row r="1469" spans="2:25" ht="14.25" customHeight="1" x14ac:dyDescent="0.2">
      <c r="B1469" s="5">
        <v>9</v>
      </c>
      <c r="C1469" s="5">
        <v>2</v>
      </c>
      <c r="D1469" s="5">
        <v>10</v>
      </c>
      <c r="E1469" s="31">
        <v>33</v>
      </c>
      <c r="F1469" s="5">
        <v>4</v>
      </c>
      <c r="G1469" s="31">
        <v>14</v>
      </c>
      <c r="H1469" s="5">
        <v>2023</v>
      </c>
      <c r="I1469" s="5">
        <v>2032</v>
      </c>
      <c r="J1469" s="142">
        <v>1.03</v>
      </c>
      <c r="K1469" s="142">
        <v>1.0741000000000001</v>
      </c>
      <c r="L1469" s="142">
        <v>0.44379999999999997</v>
      </c>
      <c r="M1469" s="142">
        <v>1.1909000000000001</v>
      </c>
      <c r="N1469" s="142">
        <v>1.4438</v>
      </c>
      <c r="O1469" s="142">
        <v>1.0538000000000001</v>
      </c>
      <c r="P1469" s="26">
        <v>4855.1131921565311</v>
      </c>
      <c r="Q1469" s="35">
        <f t="array" ref="Q1469">SUM(IF(($S1469&gt;=4)*($C1469='TaxCred&amp;Subs'!$D$114:$D$121)*($H1469='TaxCred&amp;Subs'!$C$114:$C$121)*($H1469&lt;='TaxCred&amp;Subs'!$C$123),'TaxCred&amp;Subs'!$E$114:$E$121,0))</f>
        <v>500</v>
      </c>
      <c r="R1469" s="143">
        <v>0</v>
      </c>
      <c r="S1469" s="5">
        <v>4</v>
      </c>
      <c r="T1469" s="5" t="s">
        <v>240</v>
      </c>
      <c r="V1469" s="7" t="str">
        <f t="array" ref="V1469">INDEX(xlRTCLNAME,MATCH(1,(xlRTCLENDU=1)*(xlRTCLEQCL=$D1469),0))</f>
        <v>GEO_HP</v>
      </c>
      <c r="W1469" s="7" t="str">
        <f t="array" ref="W1469">INDEX(xlRTCLNAME,MATCH(1,(xlRTCLENDU=2)*(xlRTCLEQCL=$F1469),0))</f>
        <v>GEO_HP</v>
      </c>
      <c r="X1469" s="7" t="str">
        <f t="array" ref="X1469">INDEX(xlRTTYNAME,MATCH(1,(xlRTTYENDU=1)*(xlRTTYEQCL=$D1469)*(xlRTEQTYPE=$E1469),0))</f>
        <v>GEO_HP3</v>
      </c>
      <c r="Y1469" s="7" t="str">
        <f t="array" ref="Y1469">INDEX(xlRTTYNAME,MATCH(1,(xlRTTYENDU=2)*(xlRTTYEQCL=$F1469)*(xlRTEQTYPE=$G1469),0))</f>
        <v>GEO_HP3</v>
      </c>
    </row>
    <row r="1470" spans="2:25" ht="14.25" customHeight="1" x14ac:dyDescent="0.2">
      <c r="B1470" s="5">
        <v>9</v>
      </c>
      <c r="C1470" s="5">
        <v>2</v>
      </c>
      <c r="D1470" s="5">
        <v>10</v>
      </c>
      <c r="E1470" s="31">
        <v>33</v>
      </c>
      <c r="F1470" s="5">
        <v>4</v>
      </c>
      <c r="G1470" s="31">
        <v>14</v>
      </c>
      <c r="H1470" s="5">
        <v>2033</v>
      </c>
      <c r="I1470" s="5">
        <v>2050</v>
      </c>
      <c r="J1470" s="142">
        <v>1.03</v>
      </c>
      <c r="K1470" s="142">
        <v>1.0741000000000001</v>
      </c>
      <c r="L1470" s="142">
        <v>0.44379999999999997</v>
      </c>
      <c r="M1470" s="142">
        <v>1.1909000000000001</v>
      </c>
      <c r="N1470" s="142">
        <v>1.4438</v>
      </c>
      <c r="O1470" s="142">
        <v>1.0538000000000001</v>
      </c>
      <c r="P1470" s="26">
        <v>4855.1131921565311</v>
      </c>
      <c r="Q1470" s="35">
        <f t="array" ref="Q1470">SUM(IF(($S1470&gt;=4)*($C1470='TaxCred&amp;Subs'!$D$114:$D$121)*($H1470='TaxCred&amp;Subs'!$C$114:$C$121)*($H1470&lt;='TaxCred&amp;Subs'!$C$123),'TaxCred&amp;Subs'!$E$114:$E$121,0))</f>
        <v>0</v>
      </c>
      <c r="R1470" s="143">
        <v>0</v>
      </c>
      <c r="S1470" s="5">
        <v>4</v>
      </c>
      <c r="T1470" s="5" t="s">
        <v>240</v>
      </c>
      <c r="V1470" s="7" t="str">
        <f t="array" ref="V1470">INDEX(xlRTCLNAME,MATCH(1,(xlRTCLENDU=1)*(xlRTCLEQCL=$D1470),0))</f>
        <v>GEO_HP</v>
      </c>
      <c r="W1470" s="7" t="str">
        <f t="array" ref="W1470">INDEX(xlRTCLNAME,MATCH(1,(xlRTCLENDU=2)*(xlRTCLEQCL=$F1470),0))</f>
        <v>GEO_HP</v>
      </c>
      <c r="X1470" s="7" t="str">
        <f t="array" ref="X1470">INDEX(xlRTTYNAME,MATCH(1,(xlRTTYENDU=1)*(xlRTTYEQCL=$D1470)*(xlRTEQTYPE=$E1470),0))</f>
        <v>GEO_HP3</v>
      </c>
      <c r="Y1470" s="7" t="str">
        <f t="array" ref="Y1470">INDEX(xlRTTYNAME,MATCH(1,(xlRTTYENDU=2)*(xlRTTYEQCL=$F1470)*(xlRTEQTYPE=$G1470),0))</f>
        <v>GEO_HP3</v>
      </c>
    </row>
    <row r="1471" spans="2:25" ht="14.25" customHeight="1" x14ac:dyDescent="0.2">
      <c r="B1471" s="5">
        <v>1</v>
      </c>
      <c r="C1471" s="5">
        <v>2</v>
      </c>
      <c r="D1471" s="5">
        <v>11</v>
      </c>
      <c r="E1471" s="31">
        <v>35</v>
      </c>
      <c r="F1471" s="5">
        <v>5</v>
      </c>
      <c r="G1471" s="31">
        <v>16</v>
      </c>
      <c r="H1471" s="31">
        <v>2020</v>
      </c>
      <c r="I1471" s="5">
        <v>2022</v>
      </c>
      <c r="J1471" s="142">
        <v>1.1042000000000001</v>
      </c>
      <c r="K1471" s="142">
        <v>1.0417000000000001</v>
      </c>
      <c r="L1471" s="142">
        <v>0.89459999999999995</v>
      </c>
      <c r="M1471" s="142">
        <v>1.1228</v>
      </c>
      <c r="N1471" s="142">
        <v>1.1127</v>
      </c>
      <c r="O1471" s="142">
        <v>1.0538000000000001</v>
      </c>
      <c r="P1471" s="26">
        <v>4871.2476032077293</v>
      </c>
      <c r="Q1471" s="35">
        <f t="array" ref="Q1471">SUM(IF(($S1471&gt;=4)*($C1471='TaxCred&amp;Subs'!$D$114:$D$121)*($H1471='TaxCred&amp;Subs'!$C$114:$C$121)*($H1471&lt;='TaxCred&amp;Subs'!$C$123),'TaxCred&amp;Subs'!$E$114:$E$121,0))</f>
        <v>0</v>
      </c>
      <c r="R1471" s="143">
        <v>0</v>
      </c>
      <c r="S1471" s="5">
        <v>4</v>
      </c>
      <c r="T1471" s="5" t="s">
        <v>240</v>
      </c>
      <c r="V1471" s="7" t="str">
        <f t="array" ref="V1471">INDEX(xlRTCLNAME,MATCH(1,(xlRTCLENDU=1)*(xlRTCLEQCL=$D1471),0))</f>
        <v>NG_HP</v>
      </c>
      <c r="W1471" s="7" t="str">
        <f t="array" ref="W1471">INDEX(xlRTCLNAME,MATCH(1,(xlRTCLENDU=2)*(xlRTCLEQCL=$F1471),0))</f>
        <v>NG_HP</v>
      </c>
      <c r="X1471" s="7" t="str">
        <f t="array" ref="X1471">INDEX(xlRTTYNAME,MATCH(1,(xlRTTYENDU=1)*(xlRTTYEQCL=$D1471)*(xlRTEQTYPE=$E1471),0))</f>
        <v>NG_HP2</v>
      </c>
      <c r="Y1471" s="7" t="str">
        <f t="array" ref="Y1471">INDEX(xlRTTYNAME,MATCH(1,(xlRTTYENDU=2)*(xlRTTYEQCL=$F1471)*(xlRTEQTYPE=$G1471),0))</f>
        <v>NG_HP2</v>
      </c>
    </row>
    <row r="1472" spans="2:25" ht="14.25" customHeight="1" x14ac:dyDescent="0.2">
      <c r="B1472" s="5">
        <v>1</v>
      </c>
      <c r="C1472" s="5">
        <v>2</v>
      </c>
      <c r="D1472" s="5">
        <v>11</v>
      </c>
      <c r="E1472" s="31">
        <v>35</v>
      </c>
      <c r="F1472" s="5">
        <v>5</v>
      </c>
      <c r="G1472" s="31">
        <v>16</v>
      </c>
      <c r="H1472" s="5">
        <v>2023</v>
      </c>
      <c r="I1472" s="5">
        <v>2032</v>
      </c>
      <c r="J1472" s="142">
        <v>1.1042000000000001</v>
      </c>
      <c r="K1472" s="142">
        <v>1.0417000000000001</v>
      </c>
      <c r="L1472" s="142">
        <v>0.89459999999999995</v>
      </c>
      <c r="M1472" s="142">
        <v>1.1228</v>
      </c>
      <c r="N1472" s="142">
        <v>1.1127</v>
      </c>
      <c r="O1472" s="142">
        <v>1.0538000000000001</v>
      </c>
      <c r="P1472" s="26">
        <v>4871.2476032077293</v>
      </c>
      <c r="Q1472" s="35">
        <f t="array" ref="Q1472">SUM(IF(($S1472&gt;=4)*($C1472='TaxCred&amp;Subs'!$D$114:$D$121)*($H1472='TaxCred&amp;Subs'!$C$114:$C$121)*($H1472&lt;='TaxCred&amp;Subs'!$C$123),'TaxCred&amp;Subs'!$E$114:$E$121,0))</f>
        <v>500</v>
      </c>
      <c r="R1472" s="143">
        <v>0</v>
      </c>
      <c r="S1472" s="5">
        <v>4</v>
      </c>
      <c r="T1472" s="5" t="s">
        <v>240</v>
      </c>
      <c r="V1472" s="7" t="str">
        <f t="array" ref="V1472">INDEX(xlRTCLNAME,MATCH(1,(xlRTCLENDU=1)*(xlRTCLEQCL=$D1472),0))</f>
        <v>NG_HP</v>
      </c>
      <c r="W1472" s="7" t="str">
        <f t="array" ref="W1472">INDEX(xlRTCLNAME,MATCH(1,(xlRTCLENDU=2)*(xlRTCLEQCL=$F1472),0))</f>
        <v>NG_HP</v>
      </c>
      <c r="X1472" s="7" t="str">
        <f t="array" ref="X1472">INDEX(xlRTTYNAME,MATCH(1,(xlRTTYENDU=1)*(xlRTTYEQCL=$D1472)*(xlRTEQTYPE=$E1472),0))</f>
        <v>NG_HP2</v>
      </c>
      <c r="Y1472" s="7" t="str">
        <f t="array" ref="Y1472">INDEX(xlRTTYNAME,MATCH(1,(xlRTTYENDU=2)*(xlRTTYEQCL=$F1472)*(xlRTEQTYPE=$G1472),0))</f>
        <v>NG_HP2</v>
      </c>
    </row>
    <row r="1473" spans="2:25" ht="14.25" customHeight="1" x14ac:dyDescent="0.2">
      <c r="B1473" s="5">
        <v>1</v>
      </c>
      <c r="C1473" s="5">
        <v>2</v>
      </c>
      <c r="D1473" s="5">
        <v>11</v>
      </c>
      <c r="E1473" s="31">
        <v>35</v>
      </c>
      <c r="F1473" s="5">
        <v>5</v>
      </c>
      <c r="G1473" s="31">
        <v>16</v>
      </c>
      <c r="H1473" s="5">
        <v>2033</v>
      </c>
      <c r="I1473" s="5">
        <v>2050</v>
      </c>
      <c r="J1473" s="142">
        <v>1.1042000000000001</v>
      </c>
      <c r="K1473" s="142">
        <v>1.0417000000000001</v>
      </c>
      <c r="L1473" s="142">
        <v>0.89459999999999995</v>
      </c>
      <c r="M1473" s="142">
        <v>1.1228</v>
      </c>
      <c r="N1473" s="142">
        <v>1.1127</v>
      </c>
      <c r="O1473" s="142">
        <v>1.0538000000000001</v>
      </c>
      <c r="P1473" s="26">
        <v>4871.2476032077293</v>
      </c>
      <c r="Q1473" s="35">
        <f t="array" ref="Q1473">SUM(IF(($S1473&gt;=4)*($C1473='TaxCred&amp;Subs'!$D$114:$D$121)*($H1473='TaxCred&amp;Subs'!$C$114:$C$121)*($H1473&lt;='TaxCred&amp;Subs'!$C$123),'TaxCred&amp;Subs'!$E$114:$E$121,0))</f>
        <v>0</v>
      </c>
      <c r="R1473" s="143">
        <v>0</v>
      </c>
      <c r="S1473" s="5">
        <v>4</v>
      </c>
      <c r="T1473" s="5" t="s">
        <v>240</v>
      </c>
      <c r="V1473" s="7" t="str">
        <f t="array" ref="V1473">INDEX(xlRTCLNAME,MATCH(1,(xlRTCLENDU=1)*(xlRTCLEQCL=$D1473),0))</f>
        <v>NG_HP</v>
      </c>
      <c r="W1473" s="7" t="str">
        <f t="array" ref="W1473">INDEX(xlRTCLNAME,MATCH(1,(xlRTCLENDU=2)*(xlRTCLEQCL=$F1473),0))</f>
        <v>NG_HP</v>
      </c>
      <c r="X1473" s="7" t="str">
        <f t="array" ref="X1473">INDEX(xlRTTYNAME,MATCH(1,(xlRTTYENDU=1)*(xlRTTYEQCL=$D1473)*(xlRTEQTYPE=$E1473),0))</f>
        <v>NG_HP2</v>
      </c>
      <c r="Y1473" s="7" t="str">
        <f t="array" ref="Y1473">INDEX(xlRTTYNAME,MATCH(1,(xlRTTYENDU=2)*(xlRTTYEQCL=$F1473)*(xlRTEQTYPE=$G1473),0))</f>
        <v>NG_HP2</v>
      </c>
    </row>
    <row r="1474" spans="2:25" ht="14.25" customHeight="1" x14ac:dyDescent="0.2">
      <c r="B1474" s="5">
        <v>2</v>
      </c>
      <c r="C1474" s="5">
        <v>2</v>
      </c>
      <c r="D1474" s="5">
        <v>11</v>
      </c>
      <c r="E1474" s="31">
        <v>35</v>
      </c>
      <c r="F1474" s="5">
        <v>5</v>
      </c>
      <c r="G1474" s="31">
        <v>16</v>
      </c>
      <c r="H1474" s="31">
        <v>2020</v>
      </c>
      <c r="I1474" s="5">
        <v>2022</v>
      </c>
      <c r="J1474" s="142">
        <v>1.0847</v>
      </c>
      <c r="K1474" s="142">
        <v>1.0357000000000001</v>
      </c>
      <c r="L1474" s="142">
        <v>0.91410000000000002</v>
      </c>
      <c r="M1474" s="142">
        <v>1.1625000000000001</v>
      </c>
      <c r="N1474" s="142">
        <v>1.1162000000000001</v>
      </c>
      <c r="O1474" s="142">
        <v>1.0538000000000001</v>
      </c>
      <c r="P1474" s="26">
        <v>3979.8213926290036</v>
      </c>
      <c r="Q1474" s="35">
        <f t="array" ref="Q1474">SUM(IF(($S1474&gt;=4)*($C1474='TaxCred&amp;Subs'!$D$114:$D$121)*($H1474='TaxCred&amp;Subs'!$C$114:$C$121)*($H1474&lt;='TaxCred&amp;Subs'!$C$123),'TaxCred&amp;Subs'!$E$114:$E$121,0))</f>
        <v>0</v>
      </c>
      <c r="R1474" s="143">
        <v>0</v>
      </c>
      <c r="S1474" s="5">
        <v>4</v>
      </c>
      <c r="T1474" s="5" t="s">
        <v>240</v>
      </c>
      <c r="V1474" s="7" t="str">
        <f t="array" ref="V1474">INDEX(xlRTCLNAME,MATCH(1,(xlRTCLENDU=1)*(xlRTCLEQCL=$D1474),0))</f>
        <v>NG_HP</v>
      </c>
      <c r="W1474" s="7" t="str">
        <f t="array" ref="W1474">INDEX(xlRTCLNAME,MATCH(1,(xlRTCLENDU=2)*(xlRTCLEQCL=$F1474),0))</f>
        <v>NG_HP</v>
      </c>
      <c r="X1474" s="7" t="str">
        <f t="array" ref="X1474">INDEX(xlRTTYNAME,MATCH(1,(xlRTTYENDU=1)*(xlRTTYEQCL=$D1474)*(xlRTEQTYPE=$E1474),0))</f>
        <v>NG_HP2</v>
      </c>
      <c r="Y1474" s="7" t="str">
        <f t="array" ref="Y1474">INDEX(xlRTTYNAME,MATCH(1,(xlRTTYENDU=2)*(xlRTTYEQCL=$F1474)*(xlRTEQTYPE=$G1474),0))</f>
        <v>NG_HP2</v>
      </c>
    </row>
    <row r="1475" spans="2:25" ht="14.25" customHeight="1" x14ac:dyDescent="0.2">
      <c r="B1475" s="5">
        <v>2</v>
      </c>
      <c r="C1475" s="5">
        <v>2</v>
      </c>
      <c r="D1475" s="5">
        <v>11</v>
      </c>
      <c r="E1475" s="31">
        <v>35</v>
      </c>
      <c r="F1475" s="5">
        <v>5</v>
      </c>
      <c r="G1475" s="31">
        <v>16</v>
      </c>
      <c r="H1475" s="5">
        <v>2023</v>
      </c>
      <c r="I1475" s="5">
        <v>2032</v>
      </c>
      <c r="J1475" s="142">
        <v>1.0847</v>
      </c>
      <c r="K1475" s="142">
        <v>1.0357000000000001</v>
      </c>
      <c r="L1475" s="142">
        <v>0.91410000000000002</v>
      </c>
      <c r="M1475" s="142">
        <v>1.1625000000000001</v>
      </c>
      <c r="N1475" s="142">
        <v>1.1162000000000001</v>
      </c>
      <c r="O1475" s="142">
        <v>1.0538000000000001</v>
      </c>
      <c r="P1475" s="26">
        <v>3979.8213926290036</v>
      </c>
      <c r="Q1475" s="35">
        <f t="array" ref="Q1475">SUM(IF(($S1475&gt;=4)*($C1475='TaxCred&amp;Subs'!$D$114:$D$121)*($H1475='TaxCred&amp;Subs'!$C$114:$C$121)*($H1475&lt;='TaxCred&amp;Subs'!$C$123),'TaxCred&amp;Subs'!$E$114:$E$121,0))</f>
        <v>500</v>
      </c>
      <c r="R1475" s="143">
        <v>0</v>
      </c>
      <c r="S1475" s="5">
        <v>4</v>
      </c>
      <c r="T1475" s="5" t="s">
        <v>240</v>
      </c>
      <c r="V1475" s="7" t="str">
        <f t="array" ref="V1475">INDEX(xlRTCLNAME,MATCH(1,(xlRTCLENDU=1)*(xlRTCLEQCL=$D1475),0))</f>
        <v>NG_HP</v>
      </c>
      <c r="W1475" s="7" t="str">
        <f t="array" ref="W1475">INDEX(xlRTCLNAME,MATCH(1,(xlRTCLENDU=2)*(xlRTCLEQCL=$F1475),0))</f>
        <v>NG_HP</v>
      </c>
      <c r="X1475" s="7" t="str">
        <f t="array" ref="X1475">INDEX(xlRTTYNAME,MATCH(1,(xlRTTYENDU=1)*(xlRTTYEQCL=$D1475)*(xlRTEQTYPE=$E1475),0))</f>
        <v>NG_HP2</v>
      </c>
      <c r="Y1475" s="7" t="str">
        <f t="array" ref="Y1475">INDEX(xlRTTYNAME,MATCH(1,(xlRTTYENDU=2)*(xlRTTYEQCL=$F1475)*(xlRTEQTYPE=$G1475),0))</f>
        <v>NG_HP2</v>
      </c>
    </row>
    <row r="1476" spans="2:25" ht="14.25" customHeight="1" x14ac:dyDescent="0.2">
      <c r="B1476" s="5">
        <v>2</v>
      </c>
      <c r="C1476" s="5">
        <v>2</v>
      </c>
      <c r="D1476" s="5">
        <v>11</v>
      </c>
      <c r="E1476" s="31">
        <v>35</v>
      </c>
      <c r="F1476" s="5">
        <v>5</v>
      </c>
      <c r="G1476" s="31">
        <v>16</v>
      </c>
      <c r="H1476" s="5">
        <v>2033</v>
      </c>
      <c r="I1476" s="5">
        <v>2050</v>
      </c>
      <c r="J1476" s="142">
        <v>1.0847</v>
      </c>
      <c r="K1476" s="142">
        <v>1.0357000000000001</v>
      </c>
      <c r="L1476" s="142">
        <v>0.91410000000000002</v>
      </c>
      <c r="M1476" s="142">
        <v>1.1625000000000001</v>
      </c>
      <c r="N1476" s="142">
        <v>1.1162000000000001</v>
      </c>
      <c r="O1476" s="142">
        <v>1.0538000000000001</v>
      </c>
      <c r="P1476" s="26">
        <v>3979.8213926290036</v>
      </c>
      <c r="Q1476" s="35">
        <f t="array" ref="Q1476">SUM(IF(($S1476&gt;=4)*($C1476='TaxCred&amp;Subs'!$D$114:$D$121)*($H1476='TaxCred&amp;Subs'!$C$114:$C$121)*($H1476&lt;='TaxCred&amp;Subs'!$C$123),'TaxCred&amp;Subs'!$E$114:$E$121,0))</f>
        <v>0</v>
      </c>
      <c r="R1476" s="143">
        <v>0</v>
      </c>
      <c r="S1476" s="5">
        <v>4</v>
      </c>
      <c r="T1476" s="5" t="s">
        <v>240</v>
      </c>
      <c r="V1476" s="7" t="str">
        <f t="array" ref="V1476">INDEX(xlRTCLNAME,MATCH(1,(xlRTCLENDU=1)*(xlRTCLEQCL=$D1476),0))</f>
        <v>NG_HP</v>
      </c>
      <c r="W1476" s="7" t="str">
        <f t="array" ref="W1476">INDEX(xlRTCLNAME,MATCH(1,(xlRTCLENDU=2)*(xlRTCLEQCL=$F1476),0))</f>
        <v>NG_HP</v>
      </c>
      <c r="X1476" s="7" t="str">
        <f t="array" ref="X1476">INDEX(xlRTTYNAME,MATCH(1,(xlRTTYENDU=1)*(xlRTTYEQCL=$D1476)*(xlRTEQTYPE=$E1476),0))</f>
        <v>NG_HP2</v>
      </c>
      <c r="Y1476" s="7" t="str">
        <f t="array" ref="Y1476">INDEX(xlRTTYNAME,MATCH(1,(xlRTTYENDU=2)*(xlRTTYEQCL=$F1476)*(xlRTEQTYPE=$G1476),0))</f>
        <v>NG_HP2</v>
      </c>
    </row>
    <row r="1477" spans="2:25" ht="14.25" customHeight="1" x14ac:dyDescent="0.2">
      <c r="B1477" s="5">
        <v>3</v>
      </c>
      <c r="C1477" s="5">
        <v>2</v>
      </c>
      <c r="D1477" s="5">
        <v>11</v>
      </c>
      <c r="E1477" s="31">
        <v>35</v>
      </c>
      <c r="F1477" s="5">
        <v>5</v>
      </c>
      <c r="G1477" s="31">
        <v>16</v>
      </c>
      <c r="H1477" s="31">
        <v>2020</v>
      </c>
      <c r="I1477" s="5">
        <v>2022</v>
      </c>
      <c r="J1477" s="142">
        <v>1.0984</v>
      </c>
      <c r="K1477" s="142">
        <v>1.0345</v>
      </c>
      <c r="L1477" s="142">
        <v>0.81459999999999999</v>
      </c>
      <c r="M1477" s="142">
        <v>1.0654999999999999</v>
      </c>
      <c r="N1477" s="142">
        <v>1.0399</v>
      </c>
      <c r="O1477" s="142">
        <v>1.0538000000000001</v>
      </c>
      <c r="P1477" s="26">
        <v>4091.4177357331278</v>
      </c>
      <c r="Q1477" s="35">
        <f t="array" ref="Q1477">SUM(IF(($S1477&gt;=4)*($C1477='TaxCred&amp;Subs'!$D$114:$D$121)*($H1477='TaxCred&amp;Subs'!$C$114:$C$121)*($H1477&lt;='TaxCred&amp;Subs'!$C$123),'TaxCred&amp;Subs'!$E$114:$E$121,0))</f>
        <v>0</v>
      </c>
      <c r="R1477" s="143">
        <v>0</v>
      </c>
      <c r="S1477" s="5">
        <v>4</v>
      </c>
      <c r="T1477" s="5" t="s">
        <v>240</v>
      </c>
      <c r="V1477" s="7" t="str">
        <f t="array" ref="V1477">INDEX(xlRTCLNAME,MATCH(1,(xlRTCLENDU=1)*(xlRTCLEQCL=$D1477),0))</f>
        <v>NG_HP</v>
      </c>
      <c r="W1477" s="7" t="str">
        <f t="array" ref="W1477">INDEX(xlRTCLNAME,MATCH(1,(xlRTCLENDU=2)*(xlRTCLEQCL=$F1477),0))</f>
        <v>NG_HP</v>
      </c>
      <c r="X1477" s="7" t="str">
        <f t="array" ref="X1477">INDEX(xlRTTYNAME,MATCH(1,(xlRTTYENDU=1)*(xlRTTYEQCL=$D1477)*(xlRTEQTYPE=$E1477),0))</f>
        <v>NG_HP2</v>
      </c>
      <c r="Y1477" s="7" t="str">
        <f t="array" ref="Y1477">INDEX(xlRTTYNAME,MATCH(1,(xlRTTYENDU=2)*(xlRTTYEQCL=$F1477)*(xlRTEQTYPE=$G1477),0))</f>
        <v>NG_HP2</v>
      </c>
    </row>
    <row r="1478" spans="2:25" ht="14.25" customHeight="1" x14ac:dyDescent="0.2">
      <c r="B1478" s="5">
        <v>3</v>
      </c>
      <c r="C1478" s="5">
        <v>2</v>
      </c>
      <c r="D1478" s="5">
        <v>11</v>
      </c>
      <c r="E1478" s="31">
        <v>35</v>
      </c>
      <c r="F1478" s="5">
        <v>5</v>
      </c>
      <c r="G1478" s="31">
        <v>16</v>
      </c>
      <c r="H1478" s="5">
        <v>2023</v>
      </c>
      <c r="I1478" s="5">
        <v>2032</v>
      </c>
      <c r="J1478" s="142">
        <v>1.0984</v>
      </c>
      <c r="K1478" s="142">
        <v>1.0345</v>
      </c>
      <c r="L1478" s="142">
        <v>0.81459999999999999</v>
      </c>
      <c r="M1478" s="142">
        <v>1.0654999999999999</v>
      </c>
      <c r="N1478" s="142">
        <v>1.0399</v>
      </c>
      <c r="O1478" s="142">
        <v>1.0538000000000001</v>
      </c>
      <c r="P1478" s="26">
        <v>4091.4177357331278</v>
      </c>
      <c r="Q1478" s="35">
        <f t="array" ref="Q1478">SUM(IF(($S1478&gt;=4)*($C1478='TaxCred&amp;Subs'!$D$114:$D$121)*($H1478='TaxCred&amp;Subs'!$C$114:$C$121)*($H1478&lt;='TaxCred&amp;Subs'!$C$123),'TaxCred&amp;Subs'!$E$114:$E$121,0))</f>
        <v>500</v>
      </c>
      <c r="R1478" s="143">
        <v>0</v>
      </c>
      <c r="S1478" s="5">
        <v>4</v>
      </c>
      <c r="T1478" s="5" t="s">
        <v>240</v>
      </c>
      <c r="V1478" s="7" t="str">
        <f t="array" ref="V1478">INDEX(xlRTCLNAME,MATCH(1,(xlRTCLENDU=1)*(xlRTCLEQCL=$D1478),0))</f>
        <v>NG_HP</v>
      </c>
      <c r="W1478" s="7" t="str">
        <f t="array" ref="W1478">INDEX(xlRTCLNAME,MATCH(1,(xlRTCLENDU=2)*(xlRTCLEQCL=$F1478),0))</f>
        <v>NG_HP</v>
      </c>
      <c r="X1478" s="7" t="str">
        <f t="array" ref="X1478">INDEX(xlRTTYNAME,MATCH(1,(xlRTTYENDU=1)*(xlRTTYEQCL=$D1478)*(xlRTEQTYPE=$E1478),0))</f>
        <v>NG_HP2</v>
      </c>
      <c r="Y1478" s="7" t="str">
        <f t="array" ref="Y1478">INDEX(xlRTTYNAME,MATCH(1,(xlRTTYENDU=2)*(xlRTTYEQCL=$F1478)*(xlRTEQTYPE=$G1478),0))</f>
        <v>NG_HP2</v>
      </c>
    </row>
    <row r="1479" spans="2:25" ht="14.25" customHeight="1" x14ac:dyDescent="0.2">
      <c r="B1479" s="5">
        <v>3</v>
      </c>
      <c r="C1479" s="5">
        <v>2</v>
      </c>
      <c r="D1479" s="5">
        <v>11</v>
      </c>
      <c r="E1479" s="31">
        <v>35</v>
      </c>
      <c r="F1479" s="5">
        <v>5</v>
      </c>
      <c r="G1479" s="31">
        <v>16</v>
      </c>
      <c r="H1479" s="5">
        <v>2033</v>
      </c>
      <c r="I1479" s="5">
        <v>2050</v>
      </c>
      <c r="J1479" s="142">
        <v>1.0984</v>
      </c>
      <c r="K1479" s="142">
        <v>1.0345</v>
      </c>
      <c r="L1479" s="142">
        <v>0.81459999999999999</v>
      </c>
      <c r="M1479" s="142">
        <v>1.0654999999999999</v>
      </c>
      <c r="N1479" s="142">
        <v>1.0399</v>
      </c>
      <c r="O1479" s="142">
        <v>1.0538000000000001</v>
      </c>
      <c r="P1479" s="26">
        <v>4091.4177357331278</v>
      </c>
      <c r="Q1479" s="35">
        <f t="array" ref="Q1479">SUM(IF(($S1479&gt;=4)*($C1479='TaxCred&amp;Subs'!$D$114:$D$121)*($H1479='TaxCred&amp;Subs'!$C$114:$C$121)*($H1479&lt;='TaxCred&amp;Subs'!$C$123),'TaxCred&amp;Subs'!$E$114:$E$121,0))</f>
        <v>0</v>
      </c>
      <c r="R1479" s="143">
        <v>0</v>
      </c>
      <c r="S1479" s="5">
        <v>4</v>
      </c>
      <c r="T1479" s="5" t="s">
        <v>240</v>
      </c>
      <c r="V1479" s="7" t="str">
        <f t="array" ref="V1479">INDEX(xlRTCLNAME,MATCH(1,(xlRTCLENDU=1)*(xlRTCLEQCL=$D1479),0))</f>
        <v>NG_HP</v>
      </c>
      <c r="W1479" s="7" t="str">
        <f t="array" ref="W1479">INDEX(xlRTCLNAME,MATCH(1,(xlRTCLENDU=2)*(xlRTCLEQCL=$F1479),0))</f>
        <v>NG_HP</v>
      </c>
      <c r="X1479" s="7" t="str">
        <f t="array" ref="X1479">INDEX(xlRTTYNAME,MATCH(1,(xlRTTYENDU=1)*(xlRTTYEQCL=$D1479)*(xlRTEQTYPE=$E1479),0))</f>
        <v>NG_HP2</v>
      </c>
      <c r="Y1479" s="7" t="str">
        <f t="array" ref="Y1479">INDEX(xlRTTYNAME,MATCH(1,(xlRTTYENDU=2)*(xlRTTYEQCL=$F1479)*(xlRTEQTYPE=$G1479),0))</f>
        <v>NG_HP2</v>
      </c>
    </row>
    <row r="1480" spans="2:25" ht="14.25" customHeight="1" x14ac:dyDescent="0.2">
      <c r="B1480" s="5">
        <v>4</v>
      </c>
      <c r="C1480" s="5">
        <v>2</v>
      </c>
      <c r="D1480" s="5">
        <v>11</v>
      </c>
      <c r="E1480" s="31">
        <v>35</v>
      </c>
      <c r="F1480" s="5">
        <v>5</v>
      </c>
      <c r="G1480" s="31">
        <v>16</v>
      </c>
      <c r="H1480" s="31">
        <v>2020</v>
      </c>
      <c r="I1480" s="5">
        <v>2022</v>
      </c>
      <c r="J1480" s="142">
        <v>1.1000000000000001</v>
      </c>
      <c r="K1480" s="142">
        <v>1.0435000000000001</v>
      </c>
      <c r="L1480" s="142">
        <v>0.95930000000000004</v>
      </c>
      <c r="M1480" s="142">
        <v>1.1499999999999999</v>
      </c>
      <c r="N1480" s="142">
        <v>1.1696</v>
      </c>
      <c r="O1480" s="142">
        <v>1.0538000000000001</v>
      </c>
      <c r="P1480" s="26">
        <v>3588.5619246374358</v>
      </c>
      <c r="Q1480" s="35">
        <f t="array" ref="Q1480">SUM(IF(($S1480&gt;=4)*($C1480='TaxCred&amp;Subs'!$D$114:$D$121)*($H1480='TaxCred&amp;Subs'!$C$114:$C$121)*($H1480&lt;='TaxCred&amp;Subs'!$C$123),'TaxCred&amp;Subs'!$E$114:$E$121,0))</f>
        <v>0</v>
      </c>
      <c r="R1480" s="143">
        <v>0</v>
      </c>
      <c r="S1480" s="5">
        <v>4</v>
      </c>
      <c r="T1480" s="5" t="s">
        <v>240</v>
      </c>
      <c r="V1480" s="7" t="str">
        <f t="array" ref="V1480">INDEX(xlRTCLNAME,MATCH(1,(xlRTCLENDU=1)*(xlRTCLEQCL=$D1480),0))</f>
        <v>NG_HP</v>
      </c>
      <c r="W1480" s="7" t="str">
        <f t="array" ref="W1480">INDEX(xlRTCLNAME,MATCH(1,(xlRTCLENDU=2)*(xlRTCLEQCL=$F1480),0))</f>
        <v>NG_HP</v>
      </c>
      <c r="X1480" s="7" t="str">
        <f t="array" ref="X1480">INDEX(xlRTTYNAME,MATCH(1,(xlRTTYENDU=1)*(xlRTTYEQCL=$D1480)*(xlRTEQTYPE=$E1480),0))</f>
        <v>NG_HP2</v>
      </c>
      <c r="Y1480" s="7" t="str">
        <f t="array" ref="Y1480">INDEX(xlRTTYNAME,MATCH(1,(xlRTTYENDU=2)*(xlRTTYEQCL=$F1480)*(xlRTEQTYPE=$G1480),0))</f>
        <v>NG_HP2</v>
      </c>
    </row>
    <row r="1481" spans="2:25" ht="14.25" customHeight="1" x14ac:dyDescent="0.2">
      <c r="B1481" s="5">
        <v>4</v>
      </c>
      <c r="C1481" s="5">
        <v>2</v>
      </c>
      <c r="D1481" s="5">
        <v>11</v>
      </c>
      <c r="E1481" s="31">
        <v>35</v>
      </c>
      <c r="F1481" s="5">
        <v>5</v>
      </c>
      <c r="G1481" s="31">
        <v>16</v>
      </c>
      <c r="H1481" s="5">
        <v>2023</v>
      </c>
      <c r="I1481" s="5">
        <v>2032</v>
      </c>
      <c r="J1481" s="142">
        <v>1.1000000000000001</v>
      </c>
      <c r="K1481" s="142">
        <v>1.0435000000000001</v>
      </c>
      <c r="L1481" s="142">
        <v>0.95930000000000004</v>
      </c>
      <c r="M1481" s="142">
        <v>1.1499999999999999</v>
      </c>
      <c r="N1481" s="142">
        <v>1.1696</v>
      </c>
      <c r="O1481" s="142">
        <v>1.0538000000000001</v>
      </c>
      <c r="P1481" s="26">
        <v>3588.5619246374358</v>
      </c>
      <c r="Q1481" s="35">
        <f t="array" ref="Q1481">SUM(IF(($S1481&gt;=4)*($C1481='TaxCred&amp;Subs'!$D$114:$D$121)*($H1481='TaxCred&amp;Subs'!$C$114:$C$121)*($H1481&lt;='TaxCred&amp;Subs'!$C$123),'TaxCred&amp;Subs'!$E$114:$E$121,0))</f>
        <v>500</v>
      </c>
      <c r="R1481" s="143">
        <v>0</v>
      </c>
      <c r="S1481" s="5">
        <v>4</v>
      </c>
      <c r="T1481" s="5" t="s">
        <v>240</v>
      </c>
      <c r="V1481" s="7" t="str">
        <f t="array" ref="V1481">INDEX(xlRTCLNAME,MATCH(1,(xlRTCLENDU=1)*(xlRTCLEQCL=$D1481),0))</f>
        <v>NG_HP</v>
      </c>
      <c r="W1481" s="7" t="str">
        <f t="array" ref="W1481">INDEX(xlRTCLNAME,MATCH(1,(xlRTCLENDU=2)*(xlRTCLEQCL=$F1481),0))</f>
        <v>NG_HP</v>
      </c>
      <c r="X1481" s="7" t="str">
        <f t="array" ref="X1481">INDEX(xlRTTYNAME,MATCH(1,(xlRTTYENDU=1)*(xlRTTYEQCL=$D1481)*(xlRTEQTYPE=$E1481),0))</f>
        <v>NG_HP2</v>
      </c>
      <c r="Y1481" s="7" t="str">
        <f t="array" ref="Y1481">INDEX(xlRTTYNAME,MATCH(1,(xlRTTYENDU=2)*(xlRTTYEQCL=$F1481)*(xlRTEQTYPE=$G1481),0))</f>
        <v>NG_HP2</v>
      </c>
    </row>
    <row r="1482" spans="2:25" ht="14.25" customHeight="1" x14ac:dyDescent="0.2">
      <c r="B1482" s="5">
        <v>4</v>
      </c>
      <c r="C1482" s="5">
        <v>2</v>
      </c>
      <c r="D1482" s="5">
        <v>11</v>
      </c>
      <c r="E1482" s="31">
        <v>35</v>
      </c>
      <c r="F1482" s="5">
        <v>5</v>
      </c>
      <c r="G1482" s="31">
        <v>16</v>
      </c>
      <c r="H1482" s="5">
        <v>2033</v>
      </c>
      <c r="I1482" s="5">
        <v>2050</v>
      </c>
      <c r="J1482" s="142">
        <v>1.1000000000000001</v>
      </c>
      <c r="K1482" s="142">
        <v>1.0435000000000001</v>
      </c>
      <c r="L1482" s="142">
        <v>0.95930000000000004</v>
      </c>
      <c r="M1482" s="142">
        <v>1.1499999999999999</v>
      </c>
      <c r="N1482" s="142">
        <v>1.1696</v>
      </c>
      <c r="O1482" s="142">
        <v>1.0538000000000001</v>
      </c>
      <c r="P1482" s="26">
        <v>3588.5619246374358</v>
      </c>
      <c r="Q1482" s="35">
        <f t="array" ref="Q1482">SUM(IF(($S1482&gt;=4)*($C1482='TaxCred&amp;Subs'!$D$114:$D$121)*($H1482='TaxCred&amp;Subs'!$C$114:$C$121)*($H1482&lt;='TaxCred&amp;Subs'!$C$123),'TaxCred&amp;Subs'!$E$114:$E$121,0))</f>
        <v>0</v>
      </c>
      <c r="R1482" s="143">
        <v>0</v>
      </c>
      <c r="S1482" s="5">
        <v>4</v>
      </c>
      <c r="T1482" s="5" t="s">
        <v>240</v>
      </c>
      <c r="V1482" s="7" t="str">
        <f t="array" ref="V1482">INDEX(xlRTCLNAME,MATCH(1,(xlRTCLENDU=1)*(xlRTCLEQCL=$D1482),0))</f>
        <v>NG_HP</v>
      </c>
      <c r="W1482" s="7" t="str">
        <f t="array" ref="W1482">INDEX(xlRTCLNAME,MATCH(1,(xlRTCLENDU=2)*(xlRTCLEQCL=$F1482),0))</f>
        <v>NG_HP</v>
      </c>
      <c r="X1482" s="7" t="str">
        <f t="array" ref="X1482">INDEX(xlRTTYNAME,MATCH(1,(xlRTTYENDU=1)*(xlRTTYEQCL=$D1482)*(xlRTEQTYPE=$E1482),0))</f>
        <v>NG_HP2</v>
      </c>
      <c r="Y1482" s="7" t="str">
        <f t="array" ref="Y1482">INDEX(xlRTTYNAME,MATCH(1,(xlRTTYENDU=2)*(xlRTTYEQCL=$F1482)*(xlRTEQTYPE=$G1482),0))</f>
        <v>NG_HP2</v>
      </c>
    </row>
    <row r="1483" spans="2:25" ht="14.25" customHeight="1" x14ac:dyDescent="0.2">
      <c r="B1483" s="5">
        <v>5</v>
      </c>
      <c r="C1483" s="5">
        <v>2</v>
      </c>
      <c r="D1483" s="5">
        <v>11</v>
      </c>
      <c r="E1483" s="31">
        <v>35</v>
      </c>
      <c r="F1483" s="5">
        <v>5</v>
      </c>
      <c r="G1483" s="31">
        <v>16</v>
      </c>
      <c r="H1483" s="31">
        <v>2020</v>
      </c>
      <c r="I1483" s="5">
        <v>2022</v>
      </c>
      <c r="J1483" s="142">
        <v>1.1200000000000001</v>
      </c>
      <c r="K1483" s="142">
        <v>1.0391999999999999</v>
      </c>
      <c r="L1483" s="142">
        <v>0.63129999999999997</v>
      </c>
      <c r="M1483" s="142">
        <v>1.0902000000000001</v>
      </c>
      <c r="N1483" s="142">
        <v>1.2750999999999999</v>
      </c>
      <c r="O1483" s="142">
        <v>1.0538000000000001</v>
      </c>
      <c r="P1483" s="26">
        <v>3025.2020720997493</v>
      </c>
      <c r="Q1483" s="35">
        <f t="array" ref="Q1483">SUM(IF(($S1483&gt;=4)*($C1483='TaxCred&amp;Subs'!$D$114:$D$121)*($H1483='TaxCred&amp;Subs'!$C$114:$C$121)*($H1483&lt;='TaxCred&amp;Subs'!$C$123),'TaxCred&amp;Subs'!$E$114:$E$121,0))</f>
        <v>0</v>
      </c>
      <c r="R1483" s="143">
        <v>0</v>
      </c>
      <c r="S1483" s="5">
        <v>4</v>
      </c>
      <c r="T1483" s="5" t="s">
        <v>240</v>
      </c>
      <c r="V1483" s="7" t="str">
        <f t="array" ref="V1483">INDEX(xlRTCLNAME,MATCH(1,(xlRTCLENDU=1)*(xlRTCLEQCL=$D1483),0))</f>
        <v>NG_HP</v>
      </c>
      <c r="W1483" s="7" t="str">
        <f t="array" ref="W1483">INDEX(xlRTCLNAME,MATCH(1,(xlRTCLENDU=2)*(xlRTCLEQCL=$F1483),0))</f>
        <v>NG_HP</v>
      </c>
      <c r="X1483" s="7" t="str">
        <f t="array" ref="X1483">INDEX(xlRTTYNAME,MATCH(1,(xlRTTYENDU=1)*(xlRTTYEQCL=$D1483)*(xlRTEQTYPE=$E1483),0))</f>
        <v>NG_HP2</v>
      </c>
      <c r="Y1483" s="7" t="str">
        <f t="array" ref="Y1483">INDEX(xlRTTYNAME,MATCH(1,(xlRTTYENDU=2)*(xlRTTYEQCL=$F1483)*(xlRTEQTYPE=$G1483),0))</f>
        <v>NG_HP2</v>
      </c>
    </row>
    <row r="1484" spans="2:25" ht="14.25" customHeight="1" x14ac:dyDescent="0.2">
      <c r="B1484" s="5">
        <v>5</v>
      </c>
      <c r="C1484" s="5">
        <v>2</v>
      </c>
      <c r="D1484" s="5">
        <v>11</v>
      </c>
      <c r="E1484" s="31">
        <v>35</v>
      </c>
      <c r="F1484" s="5">
        <v>5</v>
      </c>
      <c r="G1484" s="31">
        <v>16</v>
      </c>
      <c r="H1484" s="5">
        <v>2023</v>
      </c>
      <c r="I1484" s="5">
        <v>2032</v>
      </c>
      <c r="J1484" s="142">
        <v>1.1200000000000001</v>
      </c>
      <c r="K1484" s="142">
        <v>1.0391999999999999</v>
      </c>
      <c r="L1484" s="142">
        <v>0.63129999999999997</v>
      </c>
      <c r="M1484" s="142">
        <v>1.0902000000000001</v>
      </c>
      <c r="N1484" s="142">
        <v>1.2750999999999999</v>
      </c>
      <c r="O1484" s="142">
        <v>1.0538000000000001</v>
      </c>
      <c r="P1484" s="26">
        <v>3025.2020720997493</v>
      </c>
      <c r="Q1484" s="35">
        <f t="array" ref="Q1484">SUM(IF(($S1484&gt;=4)*($C1484='TaxCred&amp;Subs'!$D$114:$D$121)*($H1484='TaxCred&amp;Subs'!$C$114:$C$121)*($H1484&lt;='TaxCred&amp;Subs'!$C$123),'TaxCred&amp;Subs'!$E$114:$E$121,0))</f>
        <v>500</v>
      </c>
      <c r="R1484" s="143">
        <v>0</v>
      </c>
      <c r="S1484" s="5">
        <v>4</v>
      </c>
      <c r="T1484" s="5" t="s">
        <v>240</v>
      </c>
      <c r="V1484" s="7" t="str">
        <f t="array" ref="V1484">INDEX(xlRTCLNAME,MATCH(1,(xlRTCLENDU=1)*(xlRTCLEQCL=$D1484),0))</f>
        <v>NG_HP</v>
      </c>
      <c r="W1484" s="7" t="str">
        <f t="array" ref="W1484">INDEX(xlRTCLNAME,MATCH(1,(xlRTCLENDU=2)*(xlRTCLEQCL=$F1484),0))</f>
        <v>NG_HP</v>
      </c>
      <c r="X1484" s="7" t="str">
        <f t="array" ref="X1484">INDEX(xlRTTYNAME,MATCH(1,(xlRTTYENDU=1)*(xlRTTYEQCL=$D1484)*(xlRTEQTYPE=$E1484),0))</f>
        <v>NG_HP2</v>
      </c>
      <c r="Y1484" s="7" t="str">
        <f t="array" ref="Y1484">INDEX(xlRTTYNAME,MATCH(1,(xlRTTYENDU=2)*(xlRTTYEQCL=$F1484)*(xlRTEQTYPE=$G1484),0))</f>
        <v>NG_HP2</v>
      </c>
    </row>
    <row r="1485" spans="2:25" ht="14.25" customHeight="1" x14ac:dyDescent="0.2">
      <c r="B1485" s="5">
        <v>5</v>
      </c>
      <c r="C1485" s="5">
        <v>2</v>
      </c>
      <c r="D1485" s="5">
        <v>11</v>
      </c>
      <c r="E1485" s="31">
        <v>35</v>
      </c>
      <c r="F1485" s="5">
        <v>5</v>
      </c>
      <c r="G1485" s="31">
        <v>16</v>
      </c>
      <c r="H1485" s="5">
        <v>2033</v>
      </c>
      <c r="I1485" s="5">
        <v>2050</v>
      </c>
      <c r="J1485" s="142">
        <v>1.1200000000000001</v>
      </c>
      <c r="K1485" s="142">
        <v>1.0391999999999999</v>
      </c>
      <c r="L1485" s="142">
        <v>0.63129999999999997</v>
      </c>
      <c r="M1485" s="142">
        <v>1.0902000000000001</v>
      </c>
      <c r="N1485" s="142">
        <v>1.2750999999999999</v>
      </c>
      <c r="O1485" s="142">
        <v>1.0538000000000001</v>
      </c>
      <c r="P1485" s="26">
        <v>3025.2020720997493</v>
      </c>
      <c r="Q1485" s="35">
        <f t="array" ref="Q1485">SUM(IF(($S1485&gt;=4)*($C1485='TaxCred&amp;Subs'!$D$114:$D$121)*($H1485='TaxCred&amp;Subs'!$C$114:$C$121)*($H1485&lt;='TaxCred&amp;Subs'!$C$123),'TaxCred&amp;Subs'!$E$114:$E$121,0))</f>
        <v>0</v>
      </c>
      <c r="R1485" s="143">
        <v>0</v>
      </c>
      <c r="S1485" s="5">
        <v>4</v>
      </c>
      <c r="T1485" s="5" t="s">
        <v>240</v>
      </c>
      <c r="V1485" s="7" t="str">
        <f t="array" ref="V1485">INDEX(xlRTCLNAME,MATCH(1,(xlRTCLENDU=1)*(xlRTCLEQCL=$D1485),0))</f>
        <v>NG_HP</v>
      </c>
      <c r="W1485" s="7" t="str">
        <f t="array" ref="W1485">INDEX(xlRTCLNAME,MATCH(1,(xlRTCLENDU=2)*(xlRTCLEQCL=$F1485),0))</f>
        <v>NG_HP</v>
      </c>
      <c r="X1485" s="7" t="str">
        <f t="array" ref="X1485">INDEX(xlRTTYNAME,MATCH(1,(xlRTTYENDU=1)*(xlRTTYEQCL=$D1485)*(xlRTEQTYPE=$E1485),0))</f>
        <v>NG_HP2</v>
      </c>
      <c r="Y1485" s="7" t="str">
        <f t="array" ref="Y1485">INDEX(xlRTTYNAME,MATCH(1,(xlRTTYENDU=2)*(xlRTTYEQCL=$F1485)*(xlRTEQTYPE=$G1485),0))</f>
        <v>NG_HP2</v>
      </c>
    </row>
    <row r="1486" spans="2:25" ht="14.25" customHeight="1" x14ac:dyDescent="0.2">
      <c r="B1486" s="5">
        <v>6</v>
      </c>
      <c r="C1486" s="5">
        <v>2</v>
      </c>
      <c r="D1486" s="5">
        <v>11</v>
      </c>
      <c r="E1486" s="31">
        <v>35</v>
      </c>
      <c r="F1486" s="5">
        <v>5</v>
      </c>
      <c r="G1486" s="31">
        <v>16</v>
      </c>
      <c r="H1486" s="31">
        <v>2020</v>
      </c>
      <c r="I1486" s="5">
        <v>2022</v>
      </c>
      <c r="J1486" s="142">
        <v>1.1200000000000001</v>
      </c>
      <c r="K1486" s="142">
        <v>1.03</v>
      </c>
      <c r="L1486" s="142">
        <v>1.1105</v>
      </c>
      <c r="M1486" s="142">
        <v>1.1228</v>
      </c>
      <c r="N1486" s="142">
        <v>1.3324</v>
      </c>
      <c r="O1486" s="142">
        <v>1.0538000000000001</v>
      </c>
      <c r="P1486" s="26">
        <v>3068.2271682362789</v>
      </c>
      <c r="Q1486" s="35">
        <f t="array" ref="Q1486">SUM(IF(($S1486&gt;=4)*($C1486='TaxCred&amp;Subs'!$D$114:$D$121)*($H1486='TaxCred&amp;Subs'!$C$114:$C$121)*($H1486&lt;='TaxCred&amp;Subs'!$C$123),'TaxCred&amp;Subs'!$E$114:$E$121,0))</f>
        <v>0</v>
      </c>
      <c r="R1486" s="143">
        <v>0</v>
      </c>
      <c r="S1486" s="5">
        <v>4</v>
      </c>
      <c r="T1486" s="5" t="s">
        <v>240</v>
      </c>
      <c r="V1486" s="7" t="str">
        <f t="array" ref="V1486">INDEX(xlRTCLNAME,MATCH(1,(xlRTCLENDU=1)*(xlRTCLEQCL=$D1486),0))</f>
        <v>NG_HP</v>
      </c>
      <c r="W1486" s="7" t="str">
        <f t="array" ref="W1486">INDEX(xlRTCLNAME,MATCH(1,(xlRTCLENDU=2)*(xlRTCLEQCL=$F1486),0))</f>
        <v>NG_HP</v>
      </c>
      <c r="X1486" s="7" t="str">
        <f t="array" ref="X1486">INDEX(xlRTTYNAME,MATCH(1,(xlRTTYENDU=1)*(xlRTTYEQCL=$D1486)*(xlRTEQTYPE=$E1486),0))</f>
        <v>NG_HP2</v>
      </c>
      <c r="Y1486" s="7" t="str">
        <f t="array" ref="Y1486">INDEX(xlRTTYNAME,MATCH(1,(xlRTTYENDU=2)*(xlRTTYEQCL=$F1486)*(xlRTEQTYPE=$G1486),0))</f>
        <v>NG_HP2</v>
      </c>
    </row>
    <row r="1487" spans="2:25" ht="14.25" customHeight="1" x14ac:dyDescent="0.2">
      <c r="B1487" s="5">
        <v>6</v>
      </c>
      <c r="C1487" s="5">
        <v>2</v>
      </c>
      <c r="D1487" s="5">
        <v>11</v>
      </c>
      <c r="E1487" s="31">
        <v>35</v>
      </c>
      <c r="F1487" s="5">
        <v>5</v>
      </c>
      <c r="G1487" s="31">
        <v>16</v>
      </c>
      <c r="H1487" s="5">
        <v>2023</v>
      </c>
      <c r="I1487" s="5">
        <v>2032</v>
      </c>
      <c r="J1487" s="142">
        <v>1.1200000000000001</v>
      </c>
      <c r="K1487" s="142">
        <v>1.03</v>
      </c>
      <c r="L1487" s="142">
        <v>1.1105</v>
      </c>
      <c r="M1487" s="142">
        <v>1.1228</v>
      </c>
      <c r="N1487" s="142">
        <v>1.3324</v>
      </c>
      <c r="O1487" s="142">
        <v>1.0538000000000001</v>
      </c>
      <c r="P1487" s="26">
        <v>3068.2271682362789</v>
      </c>
      <c r="Q1487" s="35">
        <f t="array" ref="Q1487">SUM(IF(($S1487&gt;=4)*($C1487='TaxCred&amp;Subs'!$D$114:$D$121)*($H1487='TaxCred&amp;Subs'!$C$114:$C$121)*($H1487&lt;='TaxCred&amp;Subs'!$C$123),'TaxCred&amp;Subs'!$E$114:$E$121,0))</f>
        <v>500</v>
      </c>
      <c r="R1487" s="143">
        <v>0</v>
      </c>
      <c r="S1487" s="5">
        <v>4</v>
      </c>
      <c r="T1487" s="5" t="s">
        <v>240</v>
      </c>
      <c r="V1487" s="7" t="str">
        <f t="array" ref="V1487">INDEX(xlRTCLNAME,MATCH(1,(xlRTCLENDU=1)*(xlRTCLEQCL=$D1487),0))</f>
        <v>NG_HP</v>
      </c>
      <c r="W1487" s="7" t="str">
        <f t="array" ref="W1487">INDEX(xlRTCLNAME,MATCH(1,(xlRTCLENDU=2)*(xlRTCLEQCL=$F1487),0))</f>
        <v>NG_HP</v>
      </c>
      <c r="X1487" s="7" t="str">
        <f t="array" ref="X1487">INDEX(xlRTTYNAME,MATCH(1,(xlRTTYENDU=1)*(xlRTTYEQCL=$D1487)*(xlRTEQTYPE=$E1487),0))</f>
        <v>NG_HP2</v>
      </c>
      <c r="Y1487" s="7" t="str">
        <f t="array" ref="Y1487">INDEX(xlRTTYNAME,MATCH(1,(xlRTTYENDU=2)*(xlRTTYEQCL=$F1487)*(xlRTEQTYPE=$G1487),0))</f>
        <v>NG_HP2</v>
      </c>
    </row>
    <row r="1488" spans="2:25" ht="14.25" customHeight="1" x14ac:dyDescent="0.2">
      <c r="B1488" s="5">
        <v>6</v>
      </c>
      <c r="C1488" s="5">
        <v>2</v>
      </c>
      <c r="D1488" s="5">
        <v>11</v>
      </c>
      <c r="E1488" s="31">
        <v>35</v>
      </c>
      <c r="F1488" s="5">
        <v>5</v>
      </c>
      <c r="G1488" s="31">
        <v>16</v>
      </c>
      <c r="H1488" s="5">
        <v>2033</v>
      </c>
      <c r="I1488" s="5">
        <v>2050</v>
      </c>
      <c r="J1488" s="142">
        <v>1.1200000000000001</v>
      </c>
      <c r="K1488" s="142">
        <v>1.03</v>
      </c>
      <c r="L1488" s="142">
        <v>1.1105</v>
      </c>
      <c r="M1488" s="142">
        <v>1.1228</v>
      </c>
      <c r="N1488" s="142">
        <v>1.3324</v>
      </c>
      <c r="O1488" s="142">
        <v>1.0538000000000001</v>
      </c>
      <c r="P1488" s="26">
        <v>3068.2271682362789</v>
      </c>
      <c r="Q1488" s="35">
        <f t="array" ref="Q1488">SUM(IF(($S1488&gt;=4)*($C1488='TaxCred&amp;Subs'!$D$114:$D$121)*($H1488='TaxCred&amp;Subs'!$C$114:$C$121)*($H1488&lt;='TaxCred&amp;Subs'!$C$123),'TaxCred&amp;Subs'!$E$114:$E$121,0))</f>
        <v>0</v>
      </c>
      <c r="R1488" s="143">
        <v>0</v>
      </c>
      <c r="S1488" s="5">
        <v>4</v>
      </c>
      <c r="T1488" s="5" t="s">
        <v>240</v>
      </c>
      <c r="V1488" s="7" t="str">
        <f t="array" ref="V1488">INDEX(xlRTCLNAME,MATCH(1,(xlRTCLENDU=1)*(xlRTCLEQCL=$D1488),0))</f>
        <v>NG_HP</v>
      </c>
      <c r="W1488" s="7" t="str">
        <f t="array" ref="W1488">INDEX(xlRTCLNAME,MATCH(1,(xlRTCLENDU=2)*(xlRTCLEQCL=$F1488),0))</f>
        <v>NG_HP</v>
      </c>
      <c r="X1488" s="7" t="str">
        <f t="array" ref="X1488">INDEX(xlRTTYNAME,MATCH(1,(xlRTTYENDU=1)*(xlRTTYEQCL=$D1488)*(xlRTEQTYPE=$E1488),0))</f>
        <v>NG_HP2</v>
      </c>
      <c r="Y1488" s="7" t="str">
        <f t="array" ref="Y1488">INDEX(xlRTTYNAME,MATCH(1,(xlRTTYENDU=2)*(xlRTTYEQCL=$F1488)*(xlRTEQTYPE=$G1488),0))</f>
        <v>NG_HP2</v>
      </c>
    </row>
    <row r="1489" spans="2:25" ht="14.25" customHeight="1" x14ac:dyDescent="0.2">
      <c r="B1489" s="5">
        <v>7</v>
      </c>
      <c r="C1489" s="5">
        <v>2</v>
      </c>
      <c r="D1489" s="5">
        <v>11</v>
      </c>
      <c r="E1489" s="31">
        <v>35</v>
      </c>
      <c r="F1489" s="5">
        <v>5</v>
      </c>
      <c r="G1489" s="31">
        <v>16</v>
      </c>
      <c r="H1489" s="31">
        <v>2020</v>
      </c>
      <c r="I1489" s="5">
        <v>2022</v>
      </c>
      <c r="J1489" s="142">
        <v>1.1200000000000001</v>
      </c>
      <c r="K1489" s="142">
        <v>1.0462</v>
      </c>
      <c r="L1489" s="142">
        <v>1.0271999999999999</v>
      </c>
      <c r="M1489" s="142">
        <v>1.1173</v>
      </c>
      <c r="N1489" s="142">
        <v>1.4438</v>
      </c>
      <c r="O1489" s="142">
        <v>1.0538000000000001</v>
      </c>
      <c r="P1489" s="26">
        <v>2730.7490704153738</v>
      </c>
      <c r="Q1489" s="35">
        <f t="array" ref="Q1489">SUM(IF(($S1489&gt;=4)*($C1489='TaxCred&amp;Subs'!$D$114:$D$121)*($H1489='TaxCred&amp;Subs'!$C$114:$C$121)*($H1489&lt;='TaxCred&amp;Subs'!$C$123),'TaxCred&amp;Subs'!$E$114:$E$121,0))</f>
        <v>0</v>
      </c>
      <c r="R1489" s="143">
        <v>0</v>
      </c>
      <c r="S1489" s="5">
        <v>4</v>
      </c>
      <c r="T1489" s="5" t="s">
        <v>240</v>
      </c>
      <c r="V1489" s="7" t="str">
        <f t="array" ref="V1489">INDEX(xlRTCLNAME,MATCH(1,(xlRTCLENDU=1)*(xlRTCLEQCL=$D1489),0))</f>
        <v>NG_HP</v>
      </c>
      <c r="W1489" s="7" t="str">
        <f t="array" ref="W1489">INDEX(xlRTCLNAME,MATCH(1,(xlRTCLENDU=2)*(xlRTCLEQCL=$F1489),0))</f>
        <v>NG_HP</v>
      </c>
      <c r="X1489" s="7" t="str">
        <f t="array" ref="X1489">INDEX(xlRTTYNAME,MATCH(1,(xlRTTYENDU=1)*(xlRTTYEQCL=$D1489)*(xlRTEQTYPE=$E1489),0))</f>
        <v>NG_HP2</v>
      </c>
      <c r="Y1489" s="7" t="str">
        <f t="array" ref="Y1489">INDEX(xlRTTYNAME,MATCH(1,(xlRTTYENDU=2)*(xlRTTYEQCL=$F1489)*(xlRTEQTYPE=$G1489),0))</f>
        <v>NG_HP2</v>
      </c>
    </row>
    <row r="1490" spans="2:25" ht="14.25" customHeight="1" x14ac:dyDescent="0.2">
      <c r="B1490" s="5">
        <v>7</v>
      </c>
      <c r="C1490" s="5">
        <v>2</v>
      </c>
      <c r="D1490" s="5">
        <v>11</v>
      </c>
      <c r="E1490" s="31">
        <v>35</v>
      </c>
      <c r="F1490" s="5">
        <v>5</v>
      </c>
      <c r="G1490" s="31">
        <v>16</v>
      </c>
      <c r="H1490" s="5">
        <v>2023</v>
      </c>
      <c r="I1490" s="5">
        <v>2032</v>
      </c>
      <c r="J1490" s="142">
        <v>1.1200000000000001</v>
      </c>
      <c r="K1490" s="142">
        <v>1.0462</v>
      </c>
      <c r="L1490" s="142">
        <v>1.0271999999999999</v>
      </c>
      <c r="M1490" s="142">
        <v>1.1173</v>
      </c>
      <c r="N1490" s="142">
        <v>1.4438</v>
      </c>
      <c r="O1490" s="142">
        <v>1.0538000000000001</v>
      </c>
      <c r="P1490" s="26">
        <v>2730.7490704153738</v>
      </c>
      <c r="Q1490" s="35">
        <f t="array" ref="Q1490">SUM(IF(($S1490&gt;=4)*($C1490='TaxCred&amp;Subs'!$D$114:$D$121)*($H1490='TaxCred&amp;Subs'!$C$114:$C$121)*($H1490&lt;='TaxCred&amp;Subs'!$C$123),'TaxCred&amp;Subs'!$E$114:$E$121,0))</f>
        <v>500</v>
      </c>
      <c r="R1490" s="143">
        <v>0</v>
      </c>
      <c r="S1490" s="5">
        <v>4</v>
      </c>
      <c r="T1490" s="5" t="s">
        <v>240</v>
      </c>
      <c r="V1490" s="7" t="str">
        <f t="array" ref="V1490">INDEX(xlRTCLNAME,MATCH(1,(xlRTCLENDU=1)*(xlRTCLEQCL=$D1490),0))</f>
        <v>NG_HP</v>
      </c>
      <c r="W1490" s="7" t="str">
        <f t="array" ref="W1490">INDEX(xlRTCLNAME,MATCH(1,(xlRTCLENDU=2)*(xlRTCLEQCL=$F1490),0))</f>
        <v>NG_HP</v>
      </c>
      <c r="X1490" s="7" t="str">
        <f t="array" ref="X1490">INDEX(xlRTTYNAME,MATCH(1,(xlRTTYENDU=1)*(xlRTTYEQCL=$D1490)*(xlRTEQTYPE=$E1490),0))</f>
        <v>NG_HP2</v>
      </c>
      <c r="Y1490" s="7" t="str">
        <f t="array" ref="Y1490">INDEX(xlRTTYNAME,MATCH(1,(xlRTTYENDU=2)*(xlRTTYEQCL=$F1490)*(xlRTEQTYPE=$G1490),0))</f>
        <v>NG_HP2</v>
      </c>
    </row>
    <row r="1491" spans="2:25" ht="14.25" customHeight="1" x14ac:dyDescent="0.2">
      <c r="B1491" s="5">
        <v>7</v>
      </c>
      <c r="C1491" s="5">
        <v>2</v>
      </c>
      <c r="D1491" s="5">
        <v>11</v>
      </c>
      <c r="E1491" s="31">
        <v>35</v>
      </c>
      <c r="F1491" s="5">
        <v>5</v>
      </c>
      <c r="G1491" s="31">
        <v>16</v>
      </c>
      <c r="H1491" s="5">
        <v>2033</v>
      </c>
      <c r="I1491" s="5">
        <v>2050</v>
      </c>
      <c r="J1491" s="142">
        <v>1.1200000000000001</v>
      </c>
      <c r="K1491" s="142">
        <v>1.0462</v>
      </c>
      <c r="L1491" s="142">
        <v>1.0271999999999999</v>
      </c>
      <c r="M1491" s="142">
        <v>1.1173</v>
      </c>
      <c r="N1491" s="142">
        <v>1.4438</v>
      </c>
      <c r="O1491" s="142">
        <v>1.0538000000000001</v>
      </c>
      <c r="P1491" s="26">
        <v>2730.7490704153738</v>
      </c>
      <c r="Q1491" s="35">
        <f t="array" ref="Q1491">SUM(IF(($S1491&gt;=4)*($C1491='TaxCred&amp;Subs'!$D$114:$D$121)*($H1491='TaxCred&amp;Subs'!$C$114:$C$121)*($H1491&lt;='TaxCred&amp;Subs'!$C$123),'TaxCred&amp;Subs'!$E$114:$E$121,0))</f>
        <v>0</v>
      </c>
      <c r="R1491" s="143">
        <v>0</v>
      </c>
      <c r="S1491" s="5">
        <v>4</v>
      </c>
      <c r="T1491" s="5" t="s">
        <v>240</v>
      </c>
      <c r="V1491" s="7" t="str">
        <f t="array" ref="V1491">INDEX(xlRTCLNAME,MATCH(1,(xlRTCLENDU=1)*(xlRTCLEQCL=$D1491),0))</f>
        <v>NG_HP</v>
      </c>
      <c r="W1491" s="7" t="str">
        <f t="array" ref="W1491">INDEX(xlRTCLNAME,MATCH(1,(xlRTCLENDU=2)*(xlRTCLEQCL=$F1491),0))</f>
        <v>NG_HP</v>
      </c>
      <c r="X1491" s="7" t="str">
        <f t="array" ref="X1491">INDEX(xlRTTYNAME,MATCH(1,(xlRTTYENDU=1)*(xlRTTYEQCL=$D1491)*(xlRTEQTYPE=$E1491),0))</f>
        <v>NG_HP2</v>
      </c>
      <c r="Y1491" s="7" t="str">
        <f t="array" ref="Y1491">INDEX(xlRTTYNAME,MATCH(1,(xlRTTYENDU=2)*(xlRTTYEQCL=$F1491)*(xlRTEQTYPE=$G1491),0))</f>
        <v>NG_HP2</v>
      </c>
    </row>
    <row r="1492" spans="2:25" ht="14.25" customHeight="1" x14ac:dyDescent="0.2">
      <c r="B1492" s="5">
        <v>8</v>
      </c>
      <c r="C1492" s="5">
        <v>2</v>
      </c>
      <c r="D1492" s="5">
        <v>11</v>
      </c>
      <c r="E1492" s="31">
        <v>35</v>
      </c>
      <c r="F1492" s="5">
        <v>5</v>
      </c>
      <c r="G1492" s="31">
        <v>16</v>
      </c>
      <c r="H1492" s="31">
        <v>2020</v>
      </c>
      <c r="I1492" s="5">
        <v>2022</v>
      </c>
      <c r="J1492" s="142">
        <v>1.0932999999999999</v>
      </c>
      <c r="K1492" s="142">
        <v>1.0323</v>
      </c>
      <c r="L1492" s="142">
        <v>1.0073000000000001</v>
      </c>
      <c r="M1492" s="142">
        <v>1.2739</v>
      </c>
      <c r="N1492" s="142">
        <v>1.2847999999999999</v>
      </c>
      <c r="O1492" s="142">
        <v>1.0538000000000001</v>
      </c>
      <c r="P1492" s="26">
        <v>3295.4534572073267</v>
      </c>
      <c r="Q1492" s="35">
        <f t="array" ref="Q1492">SUM(IF(($S1492&gt;=4)*($C1492='TaxCred&amp;Subs'!$D$114:$D$121)*($H1492='TaxCred&amp;Subs'!$C$114:$C$121)*($H1492&lt;='TaxCred&amp;Subs'!$C$123),'TaxCred&amp;Subs'!$E$114:$E$121,0))</f>
        <v>0</v>
      </c>
      <c r="R1492" s="143">
        <v>0</v>
      </c>
      <c r="S1492" s="5">
        <v>4</v>
      </c>
      <c r="T1492" s="5" t="s">
        <v>240</v>
      </c>
      <c r="V1492" s="7" t="str">
        <f t="array" ref="V1492">INDEX(xlRTCLNAME,MATCH(1,(xlRTCLENDU=1)*(xlRTCLEQCL=$D1492),0))</f>
        <v>NG_HP</v>
      </c>
      <c r="W1492" s="7" t="str">
        <f t="array" ref="W1492">INDEX(xlRTCLNAME,MATCH(1,(xlRTCLENDU=2)*(xlRTCLEQCL=$F1492),0))</f>
        <v>NG_HP</v>
      </c>
      <c r="X1492" s="7" t="str">
        <f t="array" ref="X1492">INDEX(xlRTTYNAME,MATCH(1,(xlRTTYENDU=1)*(xlRTTYEQCL=$D1492)*(xlRTEQTYPE=$E1492),0))</f>
        <v>NG_HP2</v>
      </c>
      <c r="Y1492" s="7" t="str">
        <f t="array" ref="Y1492">INDEX(xlRTTYNAME,MATCH(1,(xlRTTYENDU=2)*(xlRTTYEQCL=$F1492)*(xlRTEQTYPE=$G1492),0))</f>
        <v>NG_HP2</v>
      </c>
    </row>
    <row r="1493" spans="2:25" ht="14.25" customHeight="1" x14ac:dyDescent="0.2">
      <c r="B1493" s="5">
        <v>8</v>
      </c>
      <c r="C1493" s="5">
        <v>2</v>
      </c>
      <c r="D1493" s="5">
        <v>11</v>
      </c>
      <c r="E1493" s="31">
        <v>35</v>
      </c>
      <c r="F1493" s="5">
        <v>5</v>
      </c>
      <c r="G1493" s="31">
        <v>16</v>
      </c>
      <c r="H1493" s="5">
        <v>2023</v>
      </c>
      <c r="I1493" s="5">
        <v>2032</v>
      </c>
      <c r="J1493" s="142">
        <v>1.0932999999999999</v>
      </c>
      <c r="K1493" s="142">
        <v>1.0323</v>
      </c>
      <c r="L1493" s="142">
        <v>1.0073000000000001</v>
      </c>
      <c r="M1493" s="142">
        <v>1.2739</v>
      </c>
      <c r="N1493" s="142">
        <v>1.2847999999999999</v>
      </c>
      <c r="O1493" s="142">
        <v>1.0538000000000001</v>
      </c>
      <c r="P1493" s="26">
        <v>3295.4534572073267</v>
      </c>
      <c r="Q1493" s="35">
        <f t="array" ref="Q1493">SUM(IF(($S1493&gt;=4)*($C1493='TaxCred&amp;Subs'!$D$114:$D$121)*($H1493='TaxCred&amp;Subs'!$C$114:$C$121)*($H1493&lt;='TaxCred&amp;Subs'!$C$123),'TaxCred&amp;Subs'!$E$114:$E$121,0))</f>
        <v>500</v>
      </c>
      <c r="R1493" s="143">
        <v>0</v>
      </c>
      <c r="S1493" s="5">
        <v>4</v>
      </c>
      <c r="T1493" s="5" t="s">
        <v>240</v>
      </c>
      <c r="V1493" s="7" t="str">
        <f t="array" ref="V1493">INDEX(xlRTCLNAME,MATCH(1,(xlRTCLENDU=1)*(xlRTCLEQCL=$D1493),0))</f>
        <v>NG_HP</v>
      </c>
      <c r="W1493" s="7" t="str">
        <f t="array" ref="W1493">INDEX(xlRTCLNAME,MATCH(1,(xlRTCLENDU=2)*(xlRTCLEQCL=$F1493),0))</f>
        <v>NG_HP</v>
      </c>
      <c r="X1493" s="7" t="str">
        <f t="array" ref="X1493">INDEX(xlRTTYNAME,MATCH(1,(xlRTTYENDU=1)*(xlRTTYEQCL=$D1493)*(xlRTEQTYPE=$E1493),0))</f>
        <v>NG_HP2</v>
      </c>
      <c r="Y1493" s="7" t="str">
        <f t="array" ref="Y1493">INDEX(xlRTTYNAME,MATCH(1,(xlRTTYENDU=2)*(xlRTTYEQCL=$F1493)*(xlRTEQTYPE=$G1493),0))</f>
        <v>NG_HP2</v>
      </c>
    </row>
    <row r="1494" spans="2:25" ht="14.25" customHeight="1" x14ac:dyDescent="0.2">
      <c r="B1494" s="5">
        <v>8</v>
      </c>
      <c r="C1494" s="5">
        <v>2</v>
      </c>
      <c r="D1494" s="5">
        <v>11</v>
      </c>
      <c r="E1494" s="31">
        <v>35</v>
      </c>
      <c r="F1494" s="5">
        <v>5</v>
      </c>
      <c r="G1494" s="31">
        <v>16</v>
      </c>
      <c r="H1494" s="5">
        <v>2033</v>
      </c>
      <c r="I1494" s="5">
        <v>2050</v>
      </c>
      <c r="J1494" s="142">
        <v>1.0932999999999999</v>
      </c>
      <c r="K1494" s="142">
        <v>1.0323</v>
      </c>
      <c r="L1494" s="142">
        <v>1.0073000000000001</v>
      </c>
      <c r="M1494" s="142">
        <v>1.2739</v>
      </c>
      <c r="N1494" s="142">
        <v>1.2847999999999999</v>
      </c>
      <c r="O1494" s="142">
        <v>1.0538000000000001</v>
      </c>
      <c r="P1494" s="26">
        <v>3295.4534572073267</v>
      </c>
      <c r="Q1494" s="35">
        <f t="array" ref="Q1494">SUM(IF(($S1494&gt;=4)*($C1494='TaxCred&amp;Subs'!$D$114:$D$121)*($H1494='TaxCred&amp;Subs'!$C$114:$C$121)*($H1494&lt;='TaxCred&amp;Subs'!$C$123),'TaxCred&amp;Subs'!$E$114:$E$121,0))</f>
        <v>0</v>
      </c>
      <c r="R1494" s="143">
        <v>0</v>
      </c>
      <c r="S1494" s="5">
        <v>4</v>
      </c>
      <c r="T1494" s="5" t="s">
        <v>240</v>
      </c>
      <c r="V1494" s="7" t="str">
        <f t="array" ref="V1494">INDEX(xlRTCLNAME,MATCH(1,(xlRTCLENDU=1)*(xlRTCLEQCL=$D1494),0))</f>
        <v>NG_HP</v>
      </c>
      <c r="W1494" s="7" t="str">
        <f t="array" ref="W1494">INDEX(xlRTCLNAME,MATCH(1,(xlRTCLENDU=2)*(xlRTCLEQCL=$F1494),0))</f>
        <v>NG_HP</v>
      </c>
      <c r="X1494" s="7" t="str">
        <f t="array" ref="X1494">INDEX(xlRTTYNAME,MATCH(1,(xlRTTYENDU=1)*(xlRTTYEQCL=$D1494)*(xlRTEQTYPE=$E1494),0))</f>
        <v>NG_HP2</v>
      </c>
      <c r="Y1494" s="7" t="str">
        <f t="array" ref="Y1494">INDEX(xlRTTYNAME,MATCH(1,(xlRTTYENDU=2)*(xlRTTYEQCL=$F1494)*(xlRTEQTYPE=$G1494),0))</f>
        <v>NG_HP2</v>
      </c>
    </row>
    <row r="1495" spans="2:25" ht="14.25" customHeight="1" x14ac:dyDescent="0.2">
      <c r="B1495" s="5">
        <v>9</v>
      </c>
      <c r="C1495" s="5">
        <v>2</v>
      </c>
      <c r="D1495" s="5">
        <v>11</v>
      </c>
      <c r="E1495" s="31">
        <v>35</v>
      </c>
      <c r="F1495" s="5">
        <v>5</v>
      </c>
      <c r="G1495" s="31">
        <v>16</v>
      </c>
      <c r="H1495" s="31">
        <v>2020</v>
      </c>
      <c r="I1495" s="5">
        <v>2022</v>
      </c>
      <c r="J1495" s="142">
        <v>1.07</v>
      </c>
      <c r="K1495" s="142">
        <v>1.0541</v>
      </c>
      <c r="L1495" s="142">
        <v>1.0063</v>
      </c>
      <c r="M1495" s="142">
        <v>1.2</v>
      </c>
      <c r="N1495" s="142">
        <v>1.4438</v>
      </c>
      <c r="O1495" s="142">
        <v>1.0538000000000001</v>
      </c>
      <c r="P1495" s="26">
        <v>3428.5623483797162</v>
      </c>
      <c r="Q1495" s="35">
        <f t="array" ref="Q1495">SUM(IF(($S1495&gt;=4)*($C1495='TaxCred&amp;Subs'!$D$114:$D$121)*($H1495='TaxCred&amp;Subs'!$C$114:$C$121)*($H1495&lt;='TaxCred&amp;Subs'!$C$123),'TaxCred&amp;Subs'!$E$114:$E$121,0))</f>
        <v>0</v>
      </c>
      <c r="R1495" s="143">
        <v>0</v>
      </c>
      <c r="S1495" s="5">
        <v>4</v>
      </c>
      <c r="T1495" s="5" t="s">
        <v>240</v>
      </c>
      <c r="V1495" s="7" t="str">
        <f t="array" ref="V1495">INDEX(xlRTCLNAME,MATCH(1,(xlRTCLENDU=1)*(xlRTCLEQCL=$D1495),0))</f>
        <v>NG_HP</v>
      </c>
      <c r="W1495" s="7" t="str">
        <f t="array" ref="W1495">INDEX(xlRTCLNAME,MATCH(1,(xlRTCLENDU=2)*(xlRTCLEQCL=$F1495),0))</f>
        <v>NG_HP</v>
      </c>
      <c r="X1495" s="7" t="str">
        <f t="array" ref="X1495">INDEX(xlRTTYNAME,MATCH(1,(xlRTTYENDU=1)*(xlRTTYEQCL=$D1495)*(xlRTEQTYPE=$E1495),0))</f>
        <v>NG_HP2</v>
      </c>
      <c r="Y1495" s="7" t="str">
        <f t="array" ref="Y1495">INDEX(xlRTTYNAME,MATCH(1,(xlRTTYENDU=2)*(xlRTTYEQCL=$F1495)*(xlRTEQTYPE=$G1495),0))</f>
        <v>NG_HP2</v>
      </c>
    </row>
    <row r="1496" spans="2:25" ht="14.25" customHeight="1" x14ac:dyDescent="0.2">
      <c r="B1496" s="5">
        <v>9</v>
      </c>
      <c r="C1496" s="5">
        <v>2</v>
      </c>
      <c r="D1496" s="5">
        <v>11</v>
      </c>
      <c r="E1496" s="31">
        <v>35</v>
      </c>
      <c r="F1496" s="5">
        <v>5</v>
      </c>
      <c r="G1496" s="31">
        <v>16</v>
      </c>
      <c r="H1496" s="5">
        <v>2023</v>
      </c>
      <c r="I1496" s="5">
        <v>2032</v>
      </c>
      <c r="J1496" s="142">
        <v>1.07</v>
      </c>
      <c r="K1496" s="142">
        <v>1.0541</v>
      </c>
      <c r="L1496" s="142">
        <v>1.0063</v>
      </c>
      <c r="M1496" s="142">
        <v>1.2</v>
      </c>
      <c r="N1496" s="142">
        <v>1.4438</v>
      </c>
      <c r="O1496" s="142">
        <v>1.0538000000000001</v>
      </c>
      <c r="P1496" s="26">
        <v>3428.5623483797162</v>
      </c>
      <c r="Q1496" s="35">
        <f t="array" ref="Q1496">SUM(IF(($S1496&gt;=4)*($C1496='TaxCred&amp;Subs'!$D$114:$D$121)*($H1496='TaxCred&amp;Subs'!$C$114:$C$121)*($H1496&lt;='TaxCred&amp;Subs'!$C$123),'TaxCred&amp;Subs'!$E$114:$E$121,0))</f>
        <v>500</v>
      </c>
      <c r="R1496" s="143">
        <v>0</v>
      </c>
      <c r="S1496" s="5">
        <v>4</v>
      </c>
      <c r="T1496" s="5" t="s">
        <v>240</v>
      </c>
      <c r="V1496" s="7" t="str">
        <f t="array" ref="V1496">INDEX(xlRTCLNAME,MATCH(1,(xlRTCLENDU=1)*(xlRTCLEQCL=$D1496),0))</f>
        <v>NG_HP</v>
      </c>
      <c r="W1496" s="7" t="str">
        <f t="array" ref="W1496">INDEX(xlRTCLNAME,MATCH(1,(xlRTCLENDU=2)*(xlRTCLEQCL=$F1496),0))</f>
        <v>NG_HP</v>
      </c>
      <c r="X1496" s="7" t="str">
        <f t="array" ref="X1496">INDEX(xlRTTYNAME,MATCH(1,(xlRTTYENDU=1)*(xlRTTYEQCL=$D1496)*(xlRTEQTYPE=$E1496),0))</f>
        <v>NG_HP2</v>
      </c>
      <c r="Y1496" s="7" t="str">
        <f t="array" ref="Y1496">INDEX(xlRTTYNAME,MATCH(1,(xlRTTYENDU=2)*(xlRTTYEQCL=$F1496)*(xlRTEQTYPE=$G1496),0))</f>
        <v>NG_HP2</v>
      </c>
    </row>
    <row r="1497" spans="2:25" ht="14.25" customHeight="1" x14ac:dyDescent="0.2">
      <c r="B1497" s="5">
        <v>9</v>
      </c>
      <c r="C1497" s="5">
        <v>2</v>
      </c>
      <c r="D1497" s="5">
        <v>11</v>
      </c>
      <c r="E1497" s="31">
        <v>35</v>
      </c>
      <c r="F1497" s="5">
        <v>5</v>
      </c>
      <c r="G1497" s="31">
        <v>16</v>
      </c>
      <c r="H1497" s="5">
        <v>2033</v>
      </c>
      <c r="I1497" s="5">
        <v>2050</v>
      </c>
      <c r="J1497" s="142">
        <v>1.07</v>
      </c>
      <c r="K1497" s="142">
        <v>1.0541</v>
      </c>
      <c r="L1497" s="142">
        <v>1.0063</v>
      </c>
      <c r="M1497" s="142">
        <v>1.2</v>
      </c>
      <c r="N1497" s="142">
        <v>1.4438</v>
      </c>
      <c r="O1497" s="142">
        <v>1.0538000000000001</v>
      </c>
      <c r="P1497" s="26">
        <v>3428.5623483797162</v>
      </c>
      <c r="Q1497" s="35">
        <f t="array" ref="Q1497">SUM(IF(($S1497&gt;=4)*($C1497='TaxCred&amp;Subs'!$D$114:$D$121)*($H1497='TaxCred&amp;Subs'!$C$114:$C$121)*($H1497&lt;='TaxCred&amp;Subs'!$C$123),'TaxCred&amp;Subs'!$E$114:$E$121,0))</f>
        <v>0</v>
      </c>
      <c r="R1497" s="143">
        <v>0</v>
      </c>
      <c r="S1497" s="5">
        <v>4</v>
      </c>
      <c r="T1497" s="5" t="s">
        <v>240</v>
      </c>
      <c r="V1497" s="7" t="str">
        <f t="array" ref="V1497">INDEX(xlRTCLNAME,MATCH(1,(xlRTCLENDU=1)*(xlRTCLEQCL=$D1497),0))</f>
        <v>NG_HP</v>
      </c>
      <c r="W1497" s="7" t="str">
        <f t="array" ref="W1497">INDEX(xlRTCLNAME,MATCH(1,(xlRTCLENDU=2)*(xlRTCLEQCL=$F1497),0))</f>
        <v>NG_HP</v>
      </c>
      <c r="X1497" s="7" t="str">
        <f t="array" ref="X1497">INDEX(xlRTTYNAME,MATCH(1,(xlRTTYENDU=1)*(xlRTTYEQCL=$D1497)*(xlRTEQTYPE=$E1497),0))</f>
        <v>NG_HP2</v>
      </c>
      <c r="Y1497" s="7" t="str">
        <f t="array" ref="Y1497">INDEX(xlRTTYNAME,MATCH(1,(xlRTTYENDU=2)*(xlRTTYEQCL=$F1497)*(xlRTEQTYPE=$G1497),0))</f>
        <v>NG_HP2</v>
      </c>
    </row>
    <row r="1498" spans="2:25" ht="14.25" customHeight="1" x14ac:dyDescent="0.2">
      <c r="B1498" s="5">
        <v>5</v>
      </c>
      <c r="C1498" s="5">
        <v>2</v>
      </c>
      <c r="D1498" s="5">
        <v>1</v>
      </c>
      <c r="E1498" s="5">
        <v>1</v>
      </c>
      <c r="F1498" s="5">
        <v>2</v>
      </c>
      <c r="G1498" s="31">
        <v>7</v>
      </c>
      <c r="H1498" s="31">
        <v>2020</v>
      </c>
      <c r="I1498" s="5">
        <v>2022</v>
      </c>
      <c r="J1498" s="142">
        <v>1.1200000000000001</v>
      </c>
      <c r="K1498" s="142">
        <v>1.0577000000000001</v>
      </c>
      <c r="L1498" s="142">
        <v>0.44379999999999997</v>
      </c>
      <c r="M1498" s="142">
        <v>1.0314000000000001</v>
      </c>
      <c r="N1498" s="142">
        <v>1.2619</v>
      </c>
      <c r="O1498" s="142">
        <v>1.0538000000000001</v>
      </c>
      <c r="P1498" s="26">
        <v>3228.2267444939989</v>
      </c>
      <c r="Q1498" s="35">
        <f t="array" ref="Q1498">SUM(IF(($S1498&gt;=4)*($C1498='TaxCred&amp;Subs'!$D$114:$D$121)*($H1498='TaxCred&amp;Subs'!$C$114:$C$121)*($H1498&lt;='TaxCred&amp;Subs'!$C$123),'TaxCred&amp;Subs'!$E$114:$E$121,0))</f>
        <v>0</v>
      </c>
      <c r="R1498" s="143">
        <v>0</v>
      </c>
      <c r="S1498" s="5">
        <v>5</v>
      </c>
      <c r="T1498" s="5" t="s">
        <v>221</v>
      </c>
      <c r="V1498" s="7" t="str">
        <f t="array" ref="V1498">INDEX(xlRTCLNAME,MATCH(1,(xlRTCLENDU=1)*(xlRTCLEQCL=$D1498),0))</f>
        <v>ELEC_RAD</v>
      </c>
      <c r="W1498" s="7" t="str">
        <f t="array" ref="W1498">INDEX(xlRTCLNAME,MATCH(1,(xlRTCLENDU=2)*(xlRTCLEQCL=$F1498),0))</f>
        <v>CENT_AIR</v>
      </c>
      <c r="X1498" s="7" t="str">
        <f t="array" ref="X1498">INDEX(xlRTTYNAME,MATCH(1,(xlRTTYENDU=1)*(xlRTTYEQCL=$D1498)*(xlRTEQTYPE=$E1498),0))</f>
        <v>ELEC_RAD2</v>
      </c>
      <c r="Y1498" s="7" t="str">
        <f t="array" ref="Y1498">INDEX(xlRTTYNAME,MATCH(1,(xlRTTYENDU=2)*(xlRTTYEQCL=$F1498)*(xlRTEQTYPE=$G1498),0))</f>
        <v>CENT_AIR4</v>
      </c>
    </row>
    <row r="1499" spans="2:25" ht="14.25" customHeight="1" x14ac:dyDescent="0.2">
      <c r="B1499" s="5">
        <v>5</v>
      </c>
      <c r="C1499" s="5">
        <v>2</v>
      </c>
      <c r="D1499" s="5">
        <v>1</v>
      </c>
      <c r="E1499" s="5">
        <v>1</v>
      </c>
      <c r="F1499" s="5">
        <v>2</v>
      </c>
      <c r="G1499" s="31">
        <v>7</v>
      </c>
      <c r="H1499" s="5">
        <v>2023</v>
      </c>
      <c r="I1499" s="5">
        <v>2032</v>
      </c>
      <c r="J1499" s="142">
        <v>1.1200000000000001</v>
      </c>
      <c r="K1499" s="142">
        <v>1.0577000000000001</v>
      </c>
      <c r="L1499" s="142">
        <v>0.44379999999999997</v>
      </c>
      <c r="M1499" s="142">
        <v>1.0314000000000001</v>
      </c>
      <c r="N1499" s="142">
        <v>1.2619</v>
      </c>
      <c r="O1499" s="142">
        <v>1.0538000000000001</v>
      </c>
      <c r="P1499" s="26">
        <v>3228.2267444939989</v>
      </c>
      <c r="Q1499" s="35">
        <f t="array" ref="Q1499">SUM(IF(($S1499&gt;=4)*($C1499='TaxCred&amp;Subs'!$D$114:$D$121)*($H1499='TaxCred&amp;Subs'!$C$114:$C$121)*($H1499&lt;='TaxCred&amp;Subs'!$C$123),'TaxCred&amp;Subs'!$E$114:$E$121,0))</f>
        <v>500</v>
      </c>
      <c r="R1499" s="143">
        <v>0</v>
      </c>
      <c r="S1499" s="5">
        <v>5</v>
      </c>
      <c r="T1499" s="5" t="s">
        <v>221</v>
      </c>
      <c r="V1499" s="7" t="str">
        <f t="array" ref="V1499">INDEX(xlRTCLNAME,MATCH(1,(xlRTCLENDU=1)*(xlRTCLEQCL=$D1499),0))</f>
        <v>ELEC_RAD</v>
      </c>
      <c r="W1499" s="7" t="str">
        <f t="array" ref="W1499">INDEX(xlRTCLNAME,MATCH(1,(xlRTCLENDU=2)*(xlRTCLEQCL=$F1499),0))</f>
        <v>CENT_AIR</v>
      </c>
      <c r="X1499" s="7" t="str">
        <f t="array" ref="X1499">INDEX(xlRTTYNAME,MATCH(1,(xlRTTYENDU=1)*(xlRTTYEQCL=$D1499)*(xlRTEQTYPE=$E1499),0))</f>
        <v>ELEC_RAD2</v>
      </c>
      <c r="Y1499" s="7" t="str">
        <f t="array" ref="Y1499">INDEX(xlRTTYNAME,MATCH(1,(xlRTTYENDU=2)*(xlRTTYEQCL=$F1499)*(xlRTEQTYPE=$G1499),0))</f>
        <v>CENT_AIR4</v>
      </c>
    </row>
    <row r="1500" spans="2:25" ht="14.25" customHeight="1" x14ac:dyDescent="0.2">
      <c r="B1500" s="5">
        <v>5</v>
      </c>
      <c r="C1500" s="5">
        <v>2</v>
      </c>
      <c r="D1500" s="5">
        <v>1</v>
      </c>
      <c r="E1500" s="5">
        <v>1</v>
      </c>
      <c r="F1500" s="5">
        <v>2</v>
      </c>
      <c r="G1500" s="31">
        <v>7</v>
      </c>
      <c r="H1500" s="5">
        <v>2033</v>
      </c>
      <c r="I1500" s="5">
        <v>2050</v>
      </c>
      <c r="J1500" s="142">
        <v>1.1200000000000001</v>
      </c>
      <c r="K1500" s="142">
        <v>1.0577000000000001</v>
      </c>
      <c r="L1500" s="142">
        <v>0.44379999999999997</v>
      </c>
      <c r="M1500" s="142">
        <v>1.0314000000000001</v>
      </c>
      <c r="N1500" s="142">
        <v>1.2619</v>
      </c>
      <c r="O1500" s="142">
        <v>1.0538000000000001</v>
      </c>
      <c r="P1500" s="26">
        <v>3228.2267444939989</v>
      </c>
      <c r="Q1500" s="35">
        <f t="array" ref="Q1500">SUM(IF(($S1500&gt;=4)*($C1500='TaxCred&amp;Subs'!$D$114:$D$121)*($H1500='TaxCred&amp;Subs'!$C$114:$C$121)*($H1500&lt;='TaxCred&amp;Subs'!$C$123),'TaxCred&amp;Subs'!$E$114:$E$121,0))</f>
        <v>0</v>
      </c>
      <c r="R1500" s="143">
        <v>0</v>
      </c>
      <c r="S1500" s="5">
        <v>5</v>
      </c>
      <c r="T1500" s="5" t="s">
        <v>221</v>
      </c>
      <c r="V1500" s="7" t="str">
        <f t="array" ref="V1500">INDEX(xlRTCLNAME,MATCH(1,(xlRTCLENDU=1)*(xlRTCLEQCL=$D1500),0))</f>
        <v>ELEC_RAD</v>
      </c>
      <c r="W1500" s="7" t="str">
        <f t="array" ref="W1500">INDEX(xlRTCLNAME,MATCH(1,(xlRTCLENDU=2)*(xlRTCLEQCL=$F1500),0))</f>
        <v>CENT_AIR</v>
      </c>
      <c r="X1500" s="7" t="str">
        <f t="array" ref="X1500">INDEX(xlRTTYNAME,MATCH(1,(xlRTTYENDU=1)*(xlRTTYEQCL=$D1500)*(xlRTEQTYPE=$E1500),0))</f>
        <v>ELEC_RAD2</v>
      </c>
      <c r="Y1500" s="7" t="str">
        <f t="array" ref="Y1500">INDEX(xlRTTYNAME,MATCH(1,(xlRTTYENDU=2)*(xlRTTYEQCL=$F1500)*(xlRTEQTYPE=$G1500),0))</f>
        <v>CENT_AIR4</v>
      </c>
    </row>
    <row r="1501" spans="2:25" ht="14.25" customHeight="1" x14ac:dyDescent="0.2">
      <c r="B1501" s="5">
        <v>6</v>
      </c>
      <c r="C1501" s="5">
        <v>2</v>
      </c>
      <c r="D1501" s="5">
        <v>1</v>
      </c>
      <c r="E1501" s="5">
        <v>1</v>
      </c>
      <c r="F1501" s="5">
        <v>2</v>
      </c>
      <c r="G1501" s="31">
        <v>7</v>
      </c>
      <c r="H1501" s="31">
        <v>2020</v>
      </c>
      <c r="I1501" s="5">
        <v>2022</v>
      </c>
      <c r="J1501" s="142">
        <v>1.1000000000000001</v>
      </c>
      <c r="K1501" s="142">
        <v>1.0407999999999999</v>
      </c>
      <c r="L1501" s="142">
        <v>0.44379999999999997</v>
      </c>
      <c r="M1501" s="142">
        <v>1.0546</v>
      </c>
      <c r="N1501" s="142">
        <v>1.3324</v>
      </c>
      <c r="O1501" s="142">
        <v>1.0538000000000001</v>
      </c>
      <c r="P1501" s="26">
        <v>3572.4275135862376</v>
      </c>
      <c r="Q1501" s="35">
        <f t="array" ref="Q1501">SUM(IF(($S1501&gt;=4)*($C1501='TaxCred&amp;Subs'!$D$114:$D$121)*($H1501='TaxCred&amp;Subs'!$C$114:$C$121)*($H1501&lt;='TaxCred&amp;Subs'!$C$123),'TaxCred&amp;Subs'!$E$114:$E$121,0))</f>
        <v>0</v>
      </c>
      <c r="R1501" s="143">
        <v>0</v>
      </c>
      <c r="S1501" s="5">
        <v>5</v>
      </c>
      <c r="T1501" s="5" t="s">
        <v>221</v>
      </c>
      <c r="V1501" s="7" t="str">
        <f t="array" ref="V1501">INDEX(xlRTCLNAME,MATCH(1,(xlRTCLENDU=1)*(xlRTCLEQCL=$D1501),0))</f>
        <v>ELEC_RAD</v>
      </c>
      <c r="W1501" s="7" t="str">
        <f t="array" ref="W1501">INDEX(xlRTCLNAME,MATCH(1,(xlRTCLENDU=2)*(xlRTCLEQCL=$F1501),0))</f>
        <v>CENT_AIR</v>
      </c>
      <c r="X1501" s="7" t="str">
        <f t="array" ref="X1501">INDEX(xlRTTYNAME,MATCH(1,(xlRTTYENDU=1)*(xlRTTYEQCL=$D1501)*(xlRTEQTYPE=$E1501),0))</f>
        <v>ELEC_RAD2</v>
      </c>
      <c r="Y1501" s="7" t="str">
        <f t="array" ref="Y1501">INDEX(xlRTTYNAME,MATCH(1,(xlRTTYENDU=2)*(xlRTTYEQCL=$F1501)*(xlRTEQTYPE=$G1501),0))</f>
        <v>CENT_AIR4</v>
      </c>
    </row>
    <row r="1502" spans="2:25" ht="14.25" customHeight="1" x14ac:dyDescent="0.2">
      <c r="B1502" s="5">
        <v>6</v>
      </c>
      <c r="C1502" s="5">
        <v>2</v>
      </c>
      <c r="D1502" s="5">
        <v>1</v>
      </c>
      <c r="E1502" s="5">
        <v>1</v>
      </c>
      <c r="F1502" s="5">
        <v>2</v>
      </c>
      <c r="G1502" s="31">
        <v>7</v>
      </c>
      <c r="H1502" s="5">
        <v>2023</v>
      </c>
      <c r="I1502" s="5">
        <v>2032</v>
      </c>
      <c r="J1502" s="142">
        <v>1.1000000000000001</v>
      </c>
      <c r="K1502" s="142">
        <v>1.0407999999999999</v>
      </c>
      <c r="L1502" s="142">
        <v>0.44379999999999997</v>
      </c>
      <c r="M1502" s="142">
        <v>1.0546</v>
      </c>
      <c r="N1502" s="142">
        <v>1.3324</v>
      </c>
      <c r="O1502" s="142">
        <v>1.0538000000000001</v>
      </c>
      <c r="P1502" s="26">
        <v>3572.4275135862376</v>
      </c>
      <c r="Q1502" s="35">
        <f t="array" ref="Q1502">SUM(IF(($S1502&gt;=4)*($C1502='TaxCred&amp;Subs'!$D$114:$D$121)*($H1502='TaxCred&amp;Subs'!$C$114:$C$121)*($H1502&lt;='TaxCred&amp;Subs'!$C$123),'TaxCred&amp;Subs'!$E$114:$E$121,0))</f>
        <v>500</v>
      </c>
      <c r="R1502" s="143">
        <v>0</v>
      </c>
      <c r="S1502" s="5">
        <v>5</v>
      </c>
      <c r="T1502" s="5" t="s">
        <v>221</v>
      </c>
      <c r="V1502" s="7" t="str">
        <f t="array" ref="V1502">INDEX(xlRTCLNAME,MATCH(1,(xlRTCLENDU=1)*(xlRTCLEQCL=$D1502),0))</f>
        <v>ELEC_RAD</v>
      </c>
      <c r="W1502" s="7" t="str">
        <f t="array" ref="W1502">INDEX(xlRTCLNAME,MATCH(1,(xlRTCLENDU=2)*(xlRTCLEQCL=$F1502),0))</f>
        <v>CENT_AIR</v>
      </c>
      <c r="X1502" s="7" t="str">
        <f t="array" ref="X1502">INDEX(xlRTTYNAME,MATCH(1,(xlRTTYENDU=1)*(xlRTTYEQCL=$D1502)*(xlRTEQTYPE=$E1502),0))</f>
        <v>ELEC_RAD2</v>
      </c>
      <c r="Y1502" s="7" t="str">
        <f t="array" ref="Y1502">INDEX(xlRTTYNAME,MATCH(1,(xlRTTYENDU=2)*(xlRTTYEQCL=$F1502)*(xlRTEQTYPE=$G1502),0))</f>
        <v>CENT_AIR4</v>
      </c>
    </row>
    <row r="1503" spans="2:25" ht="14.25" customHeight="1" x14ac:dyDescent="0.2">
      <c r="B1503" s="5">
        <v>6</v>
      </c>
      <c r="C1503" s="5">
        <v>2</v>
      </c>
      <c r="D1503" s="5">
        <v>1</v>
      </c>
      <c r="E1503" s="5">
        <v>1</v>
      </c>
      <c r="F1503" s="5">
        <v>2</v>
      </c>
      <c r="G1503" s="31">
        <v>7</v>
      </c>
      <c r="H1503" s="5">
        <v>2033</v>
      </c>
      <c r="I1503" s="5">
        <v>2050</v>
      </c>
      <c r="J1503" s="142">
        <v>1.1000000000000001</v>
      </c>
      <c r="K1503" s="142">
        <v>1.0407999999999999</v>
      </c>
      <c r="L1503" s="142">
        <v>0.44379999999999997</v>
      </c>
      <c r="M1503" s="142">
        <v>1.0546</v>
      </c>
      <c r="N1503" s="142">
        <v>1.3324</v>
      </c>
      <c r="O1503" s="142">
        <v>1.0538000000000001</v>
      </c>
      <c r="P1503" s="26">
        <v>3572.4275135862376</v>
      </c>
      <c r="Q1503" s="35">
        <f t="array" ref="Q1503">SUM(IF(($S1503&gt;=4)*($C1503='TaxCred&amp;Subs'!$D$114:$D$121)*($H1503='TaxCred&amp;Subs'!$C$114:$C$121)*($H1503&lt;='TaxCred&amp;Subs'!$C$123),'TaxCred&amp;Subs'!$E$114:$E$121,0))</f>
        <v>0</v>
      </c>
      <c r="R1503" s="143">
        <v>0</v>
      </c>
      <c r="S1503" s="5">
        <v>5</v>
      </c>
      <c r="T1503" s="5" t="s">
        <v>221</v>
      </c>
      <c r="V1503" s="7" t="str">
        <f t="array" ref="V1503">INDEX(xlRTCLNAME,MATCH(1,(xlRTCLENDU=1)*(xlRTCLEQCL=$D1503),0))</f>
        <v>ELEC_RAD</v>
      </c>
      <c r="W1503" s="7" t="str">
        <f t="array" ref="W1503">INDEX(xlRTCLNAME,MATCH(1,(xlRTCLENDU=2)*(xlRTCLEQCL=$F1503),0))</f>
        <v>CENT_AIR</v>
      </c>
      <c r="X1503" s="7" t="str">
        <f t="array" ref="X1503">INDEX(xlRTTYNAME,MATCH(1,(xlRTTYENDU=1)*(xlRTTYEQCL=$D1503)*(xlRTEQTYPE=$E1503),0))</f>
        <v>ELEC_RAD2</v>
      </c>
      <c r="Y1503" s="7" t="str">
        <f t="array" ref="Y1503">INDEX(xlRTTYNAME,MATCH(1,(xlRTTYENDU=2)*(xlRTTYEQCL=$F1503)*(xlRTEQTYPE=$G1503),0))</f>
        <v>CENT_AIR4</v>
      </c>
    </row>
    <row r="1504" spans="2:25" ht="14.25" customHeight="1" x14ac:dyDescent="0.2">
      <c r="B1504" s="5">
        <v>7</v>
      </c>
      <c r="C1504" s="5">
        <v>2</v>
      </c>
      <c r="D1504" s="5">
        <v>1</v>
      </c>
      <c r="E1504" s="5">
        <v>1</v>
      </c>
      <c r="F1504" s="5">
        <v>2</v>
      </c>
      <c r="G1504" s="31">
        <v>7</v>
      </c>
      <c r="H1504" s="31">
        <v>2020</v>
      </c>
      <c r="I1504" s="5">
        <v>2022</v>
      </c>
      <c r="J1504" s="142">
        <v>1.1200000000000001</v>
      </c>
      <c r="K1504" s="142">
        <v>1.0455000000000001</v>
      </c>
      <c r="L1504" s="142">
        <v>0.44379999999999997</v>
      </c>
      <c r="M1504" s="142">
        <v>1.0569</v>
      </c>
      <c r="N1504" s="142">
        <v>1.4438</v>
      </c>
      <c r="O1504" s="142">
        <v>1.0538000000000001</v>
      </c>
      <c r="P1504" s="26">
        <v>3120.6640041526744</v>
      </c>
      <c r="Q1504" s="35">
        <f t="array" ref="Q1504">SUM(IF(($S1504&gt;=4)*($C1504='TaxCred&amp;Subs'!$D$114:$D$121)*($H1504='TaxCred&amp;Subs'!$C$114:$C$121)*($H1504&lt;='TaxCred&amp;Subs'!$C$123),'TaxCred&amp;Subs'!$E$114:$E$121,0))</f>
        <v>0</v>
      </c>
      <c r="R1504" s="143">
        <v>0</v>
      </c>
      <c r="S1504" s="5">
        <v>5</v>
      </c>
      <c r="T1504" s="5" t="s">
        <v>221</v>
      </c>
      <c r="V1504" s="7" t="str">
        <f t="array" ref="V1504">INDEX(xlRTCLNAME,MATCH(1,(xlRTCLENDU=1)*(xlRTCLEQCL=$D1504),0))</f>
        <v>ELEC_RAD</v>
      </c>
      <c r="W1504" s="7" t="str">
        <f t="array" ref="W1504">INDEX(xlRTCLNAME,MATCH(1,(xlRTCLENDU=2)*(xlRTCLEQCL=$F1504),0))</f>
        <v>CENT_AIR</v>
      </c>
      <c r="X1504" s="7" t="str">
        <f t="array" ref="X1504">INDEX(xlRTTYNAME,MATCH(1,(xlRTTYENDU=1)*(xlRTTYEQCL=$D1504)*(xlRTEQTYPE=$E1504),0))</f>
        <v>ELEC_RAD2</v>
      </c>
      <c r="Y1504" s="7" t="str">
        <f t="array" ref="Y1504">INDEX(xlRTTYNAME,MATCH(1,(xlRTTYENDU=2)*(xlRTTYEQCL=$F1504)*(xlRTEQTYPE=$G1504),0))</f>
        <v>CENT_AIR4</v>
      </c>
    </row>
    <row r="1505" spans="2:25" ht="14.25" customHeight="1" x14ac:dyDescent="0.2">
      <c r="B1505" s="5">
        <v>7</v>
      </c>
      <c r="C1505" s="5">
        <v>2</v>
      </c>
      <c r="D1505" s="5">
        <v>1</v>
      </c>
      <c r="E1505" s="5">
        <v>1</v>
      </c>
      <c r="F1505" s="5">
        <v>2</v>
      </c>
      <c r="G1505" s="31">
        <v>7</v>
      </c>
      <c r="H1505" s="5">
        <v>2023</v>
      </c>
      <c r="I1505" s="5">
        <v>2032</v>
      </c>
      <c r="J1505" s="142">
        <v>1.1200000000000001</v>
      </c>
      <c r="K1505" s="142">
        <v>1.0455000000000001</v>
      </c>
      <c r="L1505" s="142">
        <v>0.44379999999999997</v>
      </c>
      <c r="M1505" s="142">
        <v>1.0569</v>
      </c>
      <c r="N1505" s="142">
        <v>1.4438</v>
      </c>
      <c r="O1505" s="142">
        <v>1.0538000000000001</v>
      </c>
      <c r="P1505" s="26">
        <v>3120.6640041526744</v>
      </c>
      <c r="Q1505" s="35">
        <f t="array" ref="Q1505">SUM(IF(($S1505&gt;=4)*($C1505='TaxCred&amp;Subs'!$D$114:$D$121)*($H1505='TaxCred&amp;Subs'!$C$114:$C$121)*($H1505&lt;='TaxCred&amp;Subs'!$C$123),'TaxCred&amp;Subs'!$E$114:$E$121,0))</f>
        <v>500</v>
      </c>
      <c r="R1505" s="143">
        <v>0</v>
      </c>
      <c r="S1505" s="5">
        <v>5</v>
      </c>
      <c r="T1505" s="5" t="s">
        <v>221</v>
      </c>
      <c r="V1505" s="7" t="str">
        <f t="array" ref="V1505">INDEX(xlRTCLNAME,MATCH(1,(xlRTCLENDU=1)*(xlRTCLEQCL=$D1505),0))</f>
        <v>ELEC_RAD</v>
      </c>
      <c r="W1505" s="7" t="str">
        <f t="array" ref="W1505">INDEX(xlRTCLNAME,MATCH(1,(xlRTCLENDU=2)*(xlRTCLEQCL=$F1505),0))</f>
        <v>CENT_AIR</v>
      </c>
      <c r="X1505" s="7" t="str">
        <f t="array" ref="X1505">INDEX(xlRTTYNAME,MATCH(1,(xlRTTYENDU=1)*(xlRTTYEQCL=$D1505)*(xlRTEQTYPE=$E1505),0))</f>
        <v>ELEC_RAD2</v>
      </c>
      <c r="Y1505" s="7" t="str">
        <f t="array" ref="Y1505">INDEX(xlRTTYNAME,MATCH(1,(xlRTTYENDU=2)*(xlRTTYEQCL=$F1505)*(xlRTEQTYPE=$G1505),0))</f>
        <v>CENT_AIR4</v>
      </c>
    </row>
    <row r="1506" spans="2:25" ht="14.25" customHeight="1" x14ac:dyDescent="0.2">
      <c r="B1506" s="5">
        <v>7</v>
      </c>
      <c r="C1506" s="5">
        <v>2</v>
      </c>
      <c r="D1506" s="5">
        <v>1</v>
      </c>
      <c r="E1506" s="5">
        <v>1</v>
      </c>
      <c r="F1506" s="5">
        <v>2</v>
      </c>
      <c r="G1506" s="31">
        <v>7</v>
      </c>
      <c r="H1506" s="5">
        <v>2033</v>
      </c>
      <c r="I1506" s="5">
        <v>2050</v>
      </c>
      <c r="J1506" s="142">
        <v>1.1200000000000001</v>
      </c>
      <c r="K1506" s="142">
        <v>1.0455000000000001</v>
      </c>
      <c r="L1506" s="142">
        <v>0.44379999999999997</v>
      </c>
      <c r="M1506" s="142">
        <v>1.0569</v>
      </c>
      <c r="N1506" s="142">
        <v>1.4438</v>
      </c>
      <c r="O1506" s="142">
        <v>1.0538000000000001</v>
      </c>
      <c r="P1506" s="26">
        <v>3120.6640041526744</v>
      </c>
      <c r="Q1506" s="35">
        <f t="array" ref="Q1506">SUM(IF(($S1506&gt;=4)*($C1506='TaxCred&amp;Subs'!$D$114:$D$121)*($H1506='TaxCred&amp;Subs'!$C$114:$C$121)*($H1506&lt;='TaxCred&amp;Subs'!$C$123),'TaxCred&amp;Subs'!$E$114:$E$121,0))</f>
        <v>0</v>
      </c>
      <c r="R1506" s="143">
        <v>0</v>
      </c>
      <c r="S1506" s="5">
        <v>5</v>
      </c>
      <c r="T1506" s="5" t="s">
        <v>221</v>
      </c>
      <c r="V1506" s="7" t="str">
        <f t="array" ref="V1506">INDEX(xlRTCLNAME,MATCH(1,(xlRTCLENDU=1)*(xlRTCLEQCL=$D1506),0))</f>
        <v>ELEC_RAD</v>
      </c>
      <c r="W1506" s="7" t="str">
        <f t="array" ref="W1506">INDEX(xlRTCLNAME,MATCH(1,(xlRTCLENDU=2)*(xlRTCLEQCL=$F1506),0))</f>
        <v>CENT_AIR</v>
      </c>
      <c r="X1506" s="7" t="str">
        <f t="array" ref="X1506">INDEX(xlRTTYNAME,MATCH(1,(xlRTTYENDU=1)*(xlRTTYEQCL=$D1506)*(xlRTEQTYPE=$E1506),0))</f>
        <v>ELEC_RAD2</v>
      </c>
      <c r="Y1506" s="7" t="str">
        <f t="array" ref="Y1506">INDEX(xlRTTYNAME,MATCH(1,(xlRTTYENDU=2)*(xlRTTYEQCL=$F1506)*(xlRTEQTYPE=$G1506),0))</f>
        <v>CENT_AIR4</v>
      </c>
    </row>
    <row r="1507" spans="2:25" ht="14.25" customHeight="1" x14ac:dyDescent="0.2">
      <c r="B1507" s="5">
        <v>8</v>
      </c>
      <c r="C1507" s="5">
        <v>2</v>
      </c>
      <c r="D1507" s="5">
        <v>1</v>
      </c>
      <c r="E1507" s="5">
        <v>1</v>
      </c>
      <c r="F1507" s="5">
        <v>2</v>
      </c>
      <c r="G1507" s="31">
        <v>7</v>
      </c>
      <c r="H1507" s="31">
        <v>2020</v>
      </c>
      <c r="I1507" s="5">
        <v>2022</v>
      </c>
      <c r="J1507" s="142">
        <v>1.1026</v>
      </c>
      <c r="K1507" s="142">
        <v>1.0645</v>
      </c>
      <c r="L1507" s="142">
        <v>0.55169999999999997</v>
      </c>
      <c r="M1507" s="142">
        <v>1.2087000000000001</v>
      </c>
      <c r="N1507" s="142">
        <v>1.2785</v>
      </c>
      <c r="O1507" s="142">
        <v>1.0538000000000001</v>
      </c>
      <c r="P1507" s="26">
        <v>3884.3594605760777</v>
      </c>
      <c r="Q1507" s="35">
        <f t="array" ref="Q1507">SUM(IF(($S1507&gt;=4)*($C1507='TaxCred&amp;Subs'!$D$114:$D$121)*($H1507='TaxCred&amp;Subs'!$C$114:$C$121)*($H1507&lt;='TaxCred&amp;Subs'!$C$123),'TaxCred&amp;Subs'!$E$114:$E$121,0))</f>
        <v>0</v>
      </c>
      <c r="R1507" s="143">
        <v>0</v>
      </c>
      <c r="S1507" s="5">
        <v>5</v>
      </c>
      <c r="T1507" s="5" t="s">
        <v>221</v>
      </c>
      <c r="V1507" s="7" t="str">
        <f t="array" ref="V1507">INDEX(xlRTCLNAME,MATCH(1,(xlRTCLENDU=1)*(xlRTCLEQCL=$D1507),0))</f>
        <v>ELEC_RAD</v>
      </c>
      <c r="W1507" s="7" t="str">
        <f t="array" ref="W1507">INDEX(xlRTCLNAME,MATCH(1,(xlRTCLENDU=2)*(xlRTCLEQCL=$F1507),0))</f>
        <v>CENT_AIR</v>
      </c>
      <c r="X1507" s="7" t="str">
        <f t="array" ref="X1507">INDEX(xlRTTYNAME,MATCH(1,(xlRTTYENDU=1)*(xlRTTYEQCL=$D1507)*(xlRTEQTYPE=$E1507),0))</f>
        <v>ELEC_RAD2</v>
      </c>
      <c r="Y1507" s="7" t="str">
        <f t="array" ref="Y1507">INDEX(xlRTTYNAME,MATCH(1,(xlRTTYENDU=2)*(xlRTTYEQCL=$F1507)*(xlRTEQTYPE=$G1507),0))</f>
        <v>CENT_AIR4</v>
      </c>
    </row>
    <row r="1508" spans="2:25" ht="14.25" customHeight="1" x14ac:dyDescent="0.2">
      <c r="B1508" s="5">
        <v>8</v>
      </c>
      <c r="C1508" s="5">
        <v>2</v>
      </c>
      <c r="D1508" s="5">
        <v>1</v>
      </c>
      <c r="E1508" s="5">
        <v>1</v>
      </c>
      <c r="F1508" s="5">
        <v>2</v>
      </c>
      <c r="G1508" s="31">
        <v>7</v>
      </c>
      <c r="H1508" s="5">
        <v>2023</v>
      </c>
      <c r="I1508" s="5">
        <v>2032</v>
      </c>
      <c r="J1508" s="142">
        <v>1.1026</v>
      </c>
      <c r="K1508" s="142">
        <v>1.0645</v>
      </c>
      <c r="L1508" s="142">
        <v>0.55169999999999997</v>
      </c>
      <c r="M1508" s="142">
        <v>1.2087000000000001</v>
      </c>
      <c r="N1508" s="142">
        <v>1.2785</v>
      </c>
      <c r="O1508" s="142">
        <v>1.0538000000000001</v>
      </c>
      <c r="P1508" s="26">
        <v>3884.3594605760777</v>
      </c>
      <c r="Q1508" s="35">
        <f t="array" ref="Q1508">SUM(IF(($S1508&gt;=4)*($C1508='TaxCred&amp;Subs'!$D$114:$D$121)*($H1508='TaxCred&amp;Subs'!$C$114:$C$121)*($H1508&lt;='TaxCred&amp;Subs'!$C$123),'TaxCred&amp;Subs'!$E$114:$E$121,0))</f>
        <v>500</v>
      </c>
      <c r="R1508" s="143">
        <v>0</v>
      </c>
      <c r="S1508" s="5">
        <v>5</v>
      </c>
      <c r="T1508" s="5" t="s">
        <v>221</v>
      </c>
      <c r="V1508" s="7" t="str">
        <f t="array" ref="V1508">INDEX(xlRTCLNAME,MATCH(1,(xlRTCLENDU=1)*(xlRTCLEQCL=$D1508),0))</f>
        <v>ELEC_RAD</v>
      </c>
      <c r="W1508" s="7" t="str">
        <f t="array" ref="W1508">INDEX(xlRTCLNAME,MATCH(1,(xlRTCLENDU=2)*(xlRTCLEQCL=$F1508),0))</f>
        <v>CENT_AIR</v>
      </c>
      <c r="X1508" s="7" t="str">
        <f t="array" ref="X1508">INDEX(xlRTTYNAME,MATCH(1,(xlRTTYENDU=1)*(xlRTTYEQCL=$D1508)*(xlRTEQTYPE=$E1508),0))</f>
        <v>ELEC_RAD2</v>
      </c>
      <c r="Y1508" s="7" t="str">
        <f t="array" ref="Y1508">INDEX(xlRTTYNAME,MATCH(1,(xlRTTYENDU=2)*(xlRTTYEQCL=$F1508)*(xlRTEQTYPE=$G1508),0))</f>
        <v>CENT_AIR4</v>
      </c>
    </row>
    <row r="1509" spans="2:25" ht="14.25" customHeight="1" x14ac:dyDescent="0.2">
      <c r="B1509" s="5">
        <v>8</v>
      </c>
      <c r="C1509" s="5">
        <v>2</v>
      </c>
      <c r="D1509" s="5">
        <v>1</v>
      </c>
      <c r="E1509" s="5">
        <v>1</v>
      </c>
      <c r="F1509" s="5">
        <v>2</v>
      </c>
      <c r="G1509" s="31">
        <v>7</v>
      </c>
      <c r="H1509" s="5">
        <v>2033</v>
      </c>
      <c r="I1509" s="5">
        <v>2050</v>
      </c>
      <c r="J1509" s="142">
        <v>1.1026</v>
      </c>
      <c r="K1509" s="142">
        <v>1.0645</v>
      </c>
      <c r="L1509" s="142">
        <v>0.55169999999999997</v>
      </c>
      <c r="M1509" s="142">
        <v>1.2087000000000001</v>
      </c>
      <c r="N1509" s="142">
        <v>1.2785</v>
      </c>
      <c r="O1509" s="142">
        <v>1.0538000000000001</v>
      </c>
      <c r="P1509" s="26">
        <v>3884.3594605760777</v>
      </c>
      <c r="Q1509" s="35">
        <f t="array" ref="Q1509">SUM(IF(($S1509&gt;=4)*($C1509='TaxCred&amp;Subs'!$D$114:$D$121)*($H1509='TaxCred&amp;Subs'!$C$114:$C$121)*($H1509&lt;='TaxCred&amp;Subs'!$C$123),'TaxCred&amp;Subs'!$E$114:$E$121,0))</f>
        <v>0</v>
      </c>
      <c r="R1509" s="143">
        <v>0</v>
      </c>
      <c r="S1509" s="5">
        <v>5</v>
      </c>
      <c r="T1509" s="5" t="s">
        <v>221</v>
      </c>
      <c r="V1509" s="7" t="str">
        <f t="array" ref="V1509">INDEX(xlRTCLNAME,MATCH(1,(xlRTCLENDU=1)*(xlRTCLEQCL=$D1509),0))</f>
        <v>ELEC_RAD</v>
      </c>
      <c r="W1509" s="7" t="str">
        <f t="array" ref="W1509">INDEX(xlRTCLNAME,MATCH(1,(xlRTCLENDU=2)*(xlRTCLEQCL=$F1509),0))</f>
        <v>CENT_AIR</v>
      </c>
      <c r="X1509" s="7" t="str">
        <f t="array" ref="X1509">INDEX(xlRTTYNAME,MATCH(1,(xlRTTYENDU=1)*(xlRTTYEQCL=$D1509)*(xlRTEQTYPE=$E1509),0))</f>
        <v>ELEC_RAD2</v>
      </c>
      <c r="Y1509" s="7" t="str">
        <f t="array" ref="Y1509">INDEX(xlRTTYNAME,MATCH(1,(xlRTTYENDU=2)*(xlRTTYEQCL=$F1509)*(xlRTEQTYPE=$G1509),0))</f>
        <v>CENT_AIR4</v>
      </c>
    </row>
    <row r="1510" spans="2:25" ht="14.25" customHeight="1" x14ac:dyDescent="0.2">
      <c r="B1510" s="5">
        <v>9</v>
      </c>
      <c r="C1510" s="5">
        <v>2</v>
      </c>
      <c r="D1510" s="5">
        <v>1</v>
      </c>
      <c r="E1510" s="5">
        <v>1</v>
      </c>
      <c r="F1510" s="5">
        <v>2</v>
      </c>
      <c r="G1510" s="31">
        <v>7</v>
      </c>
      <c r="H1510" s="31">
        <v>2020</v>
      </c>
      <c r="I1510" s="5">
        <v>2022</v>
      </c>
      <c r="J1510" s="142">
        <v>1.1200000000000001</v>
      </c>
      <c r="K1510" s="142">
        <v>1.0541</v>
      </c>
      <c r="L1510" s="142">
        <v>0.44379999999999997</v>
      </c>
      <c r="M1510" s="142">
        <v>1.1167</v>
      </c>
      <c r="N1510" s="142">
        <v>1.4438</v>
      </c>
      <c r="O1510" s="142">
        <v>1.0538000000000001</v>
      </c>
      <c r="P1510" s="26">
        <v>4447.7193131137647</v>
      </c>
      <c r="Q1510" s="35">
        <f t="array" ref="Q1510">SUM(IF(($S1510&gt;=4)*($C1510='TaxCred&amp;Subs'!$D$114:$D$121)*($H1510='TaxCred&amp;Subs'!$C$114:$C$121)*($H1510&lt;='TaxCred&amp;Subs'!$C$123),'TaxCred&amp;Subs'!$E$114:$E$121,0))</f>
        <v>0</v>
      </c>
      <c r="R1510" s="143">
        <v>0</v>
      </c>
      <c r="S1510" s="5">
        <v>5</v>
      </c>
      <c r="T1510" s="5" t="s">
        <v>221</v>
      </c>
      <c r="V1510" s="7" t="str">
        <f t="array" ref="V1510">INDEX(xlRTCLNAME,MATCH(1,(xlRTCLENDU=1)*(xlRTCLEQCL=$D1510),0))</f>
        <v>ELEC_RAD</v>
      </c>
      <c r="W1510" s="7" t="str">
        <f t="array" ref="W1510">INDEX(xlRTCLNAME,MATCH(1,(xlRTCLENDU=2)*(xlRTCLEQCL=$F1510),0))</f>
        <v>CENT_AIR</v>
      </c>
      <c r="X1510" s="7" t="str">
        <f t="array" ref="X1510">INDEX(xlRTTYNAME,MATCH(1,(xlRTTYENDU=1)*(xlRTTYEQCL=$D1510)*(xlRTEQTYPE=$E1510),0))</f>
        <v>ELEC_RAD2</v>
      </c>
      <c r="Y1510" s="7" t="str">
        <f t="array" ref="Y1510">INDEX(xlRTTYNAME,MATCH(1,(xlRTTYENDU=2)*(xlRTTYEQCL=$F1510)*(xlRTEQTYPE=$G1510),0))</f>
        <v>CENT_AIR4</v>
      </c>
    </row>
    <row r="1511" spans="2:25" ht="14.25" customHeight="1" x14ac:dyDescent="0.2">
      <c r="B1511" s="5">
        <v>9</v>
      </c>
      <c r="C1511" s="5">
        <v>2</v>
      </c>
      <c r="D1511" s="5">
        <v>1</v>
      </c>
      <c r="E1511" s="5">
        <v>1</v>
      </c>
      <c r="F1511" s="5">
        <v>2</v>
      </c>
      <c r="G1511" s="31">
        <v>7</v>
      </c>
      <c r="H1511" s="5">
        <v>2023</v>
      </c>
      <c r="I1511" s="5">
        <v>2032</v>
      </c>
      <c r="J1511" s="142">
        <v>1.1200000000000001</v>
      </c>
      <c r="K1511" s="142">
        <v>1.0541</v>
      </c>
      <c r="L1511" s="142">
        <v>0.44379999999999997</v>
      </c>
      <c r="M1511" s="142">
        <v>1.1167</v>
      </c>
      <c r="N1511" s="142">
        <v>1.4438</v>
      </c>
      <c r="O1511" s="142">
        <v>1.0538000000000001</v>
      </c>
      <c r="P1511" s="26">
        <v>4447.7193131137647</v>
      </c>
      <c r="Q1511" s="35">
        <f t="array" ref="Q1511">SUM(IF(($S1511&gt;=4)*($C1511='TaxCred&amp;Subs'!$D$114:$D$121)*($H1511='TaxCred&amp;Subs'!$C$114:$C$121)*($H1511&lt;='TaxCred&amp;Subs'!$C$123),'TaxCred&amp;Subs'!$E$114:$E$121,0))</f>
        <v>500</v>
      </c>
      <c r="R1511" s="143">
        <v>0</v>
      </c>
      <c r="S1511" s="5">
        <v>5</v>
      </c>
      <c r="T1511" s="5" t="s">
        <v>221</v>
      </c>
      <c r="V1511" s="7" t="str">
        <f t="array" ref="V1511">INDEX(xlRTCLNAME,MATCH(1,(xlRTCLENDU=1)*(xlRTCLEQCL=$D1511),0))</f>
        <v>ELEC_RAD</v>
      </c>
      <c r="W1511" s="7" t="str">
        <f t="array" ref="W1511">INDEX(xlRTCLNAME,MATCH(1,(xlRTCLENDU=2)*(xlRTCLEQCL=$F1511),0))</f>
        <v>CENT_AIR</v>
      </c>
      <c r="X1511" s="7" t="str">
        <f t="array" ref="X1511">INDEX(xlRTTYNAME,MATCH(1,(xlRTTYENDU=1)*(xlRTTYEQCL=$D1511)*(xlRTEQTYPE=$E1511),0))</f>
        <v>ELEC_RAD2</v>
      </c>
      <c r="Y1511" s="7" t="str">
        <f t="array" ref="Y1511">INDEX(xlRTTYNAME,MATCH(1,(xlRTTYENDU=2)*(xlRTTYEQCL=$F1511)*(xlRTEQTYPE=$G1511),0))</f>
        <v>CENT_AIR4</v>
      </c>
    </row>
    <row r="1512" spans="2:25" ht="14.25" customHeight="1" x14ac:dyDescent="0.2">
      <c r="B1512" s="5">
        <v>9</v>
      </c>
      <c r="C1512" s="5">
        <v>2</v>
      </c>
      <c r="D1512" s="5">
        <v>1</v>
      </c>
      <c r="E1512" s="5">
        <v>1</v>
      </c>
      <c r="F1512" s="5">
        <v>2</v>
      </c>
      <c r="G1512" s="31">
        <v>7</v>
      </c>
      <c r="H1512" s="5">
        <v>2033</v>
      </c>
      <c r="I1512" s="5">
        <v>2050</v>
      </c>
      <c r="J1512" s="142">
        <v>1.1200000000000001</v>
      </c>
      <c r="K1512" s="142">
        <v>1.0541</v>
      </c>
      <c r="L1512" s="142">
        <v>0.44379999999999997</v>
      </c>
      <c r="M1512" s="142">
        <v>1.1167</v>
      </c>
      <c r="N1512" s="142">
        <v>1.4438</v>
      </c>
      <c r="O1512" s="142">
        <v>1.0538000000000001</v>
      </c>
      <c r="P1512" s="26">
        <v>4447.7193131137647</v>
      </c>
      <c r="Q1512" s="35">
        <f t="array" ref="Q1512">SUM(IF(($S1512&gt;=4)*($C1512='TaxCred&amp;Subs'!$D$114:$D$121)*($H1512='TaxCred&amp;Subs'!$C$114:$C$121)*($H1512&lt;='TaxCred&amp;Subs'!$C$123),'TaxCred&amp;Subs'!$E$114:$E$121,0))</f>
        <v>0</v>
      </c>
      <c r="R1512" s="143">
        <v>0</v>
      </c>
      <c r="S1512" s="5">
        <v>5</v>
      </c>
      <c r="T1512" s="5" t="s">
        <v>221</v>
      </c>
      <c r="V1512" s="7" t="str">
        <f t="array" ref="V1512">INDEX(xlRTCLNAME,MATCH(1,(xlRTCLENDU=1)*(xlRTCLEQCL=$D1512),0))</f>
        <v>ELEC_RAD</v>
      </c>
      <c r="W1512" s="7" t="str">
        <f t="array" ref="W1512">INDEX(xlRTCLNAME,MATCH(1,(xlRTCLENDU=2)*(xlRTCLEQCL=$F1512),0))</f>
        <v>CENT_AIR</v>
      </c>
      <c r="X1512" s="7" t="str">
        <f t="array" ref="X1512">INDEX(xlRTTYNAME,MATCH(1,(xlRTTYENDU=1)*(xlRTTYEQCL=$D1512)*(xlRTEQTYPE=$E1512),0))</f>
        <v>ELEC_RAD2</v>
      </c>
      <c r="Y1512" s="7" t="str">
        <f t="array" ref="Y1512">INDEX(xlRTTYNAME,MATCH(1,(xlRTTYENDU=2)*(xlRTTYEQCL=$F1512)*(xlRTEQTYPE=$G1512),0))</f>
        <v>CENT_AIR4</v>
      </c>
    </row>
    <row r="1513" spans="2:25" ht="14.25" customHeight="1" x14ac:dyDescent="0.2">
      <c r="B1513" s="5">
        <v>1</v>
      </c>
      <c r="C1513" s="5">
        <v>2</v>
      </c>
      <c r="D1513" s="5">
        <v>2</v>
      </c>
      <c r="E1513" s="5">
        <v>5</v>
      </c>
      <c r="F1513" s="5">
        <v>3</v>
      </c>
      <c r="G1513" s="31">
        <v>11</v>
      </c>
      <c r="H1513" s="31">
        <v>2020</v>
      </c>
      <c r="I1513" s="5">
        <v>2022</v>
      </c>
      <c r="J1513" s="142">
        <v>1.0909</v>
      </c>
      <c r="K1513" s="142">
        <v>1.04</v>
      </c>
      <c r="L1513" s="142">
        <v>0.58230000000000004</v>
      </c>
      <c r="M1513" s="142">
        <v>1.1228</v>
      </c>
      <c r="N1513" s="142">
        <v>1.1119000000000001</v>
      </c>
      <c r="O1513" s="142">
        <v>1.0538000000000001</v>
      </c>
      <c r="P1513" s="26">
        <v>5076.9613441105121</v>
      </c>
      <c r="Q1513" s="35">
        <f t="array" ref="Q1513">SUM(IF(($S1513&gt;=4)*($C1513='TaxCred&amp;Subs'!$D$114:$D$121)*($H1513='TaxCred&amp;Subs'!$C$114:$C$121)*($H1513&lt;='TaxCred&amp;Subs'!$C$123),'TaxCred&amp;Subs'!$E$114:$E$121,0))</f>
        <v>0</v>
      </c>
      <c r="R1513" s="143">
        <v>0</v>
      </c>
      <c r="S1513" s="5">
        <v>5</v>
      </c>
      <c r="T1513" s="5" t="s">
        <v>221</v>
      </c>
      <c r="V1513" s="7" t="str">
        <f t="array" ref="V1513">INDEX(xlRTCLNAME,MATCH(1,(xlRTCLENDU=1)*(xlRTCLEQCL=$D1513),0))</f>
        <v>ELEC_HP</v>
      </c>
      <c r="W1513" s="7" t="str">
        <f t="array" ref="W1513">INDEX(xlRTCLNAME,MATCH(1,(xlRTCLENDU=2)*(xlRTCLEQCL=$F1513),0))</f>
        <v>ELEC_HP</v>
      </c>
      <c r="X1513" s="7" t="str">
        <f t="array" ref="X1513">INDEX(xlRTTYNAME,MATCH(1,(xlRTTYENDU=1)*(xlRTTYEQCL=$D1513)*(xlRTEQTYPE=$E1513),0))</f>
        <v>ELEC_HP4</v>
      </c>
      <c r="Y1513" s="7" t="str">
        <f t="array" ref="Y1513">INDEX(xlRTTYNAME,MATCH(1,(xlRTTYENDU=2)*(xlRTTYEQCL=$F1513)*(xlRTEQTYPE=$G1513),0))</f>
        <v>ELEC_HP4</v>
      </c>
    </row>
    <row r="1514" spans="2:25" ht="14.25" customHeight="1" x14ac:dyDescent="0.2">
      <c r="B1514" s="5">
        <v>1</v>
      </c>
      <c r="C1514" s="5">
        <v>2</v>
      </c>
      <c r="D1514" s="5">
        <v>2</v>
      </c>
      <c r="E1514" s="5">
        <v>5</v>
      </c>
      <c r="F1514" s="5">
        <v>3</v>
      </c>
      <c r="G1514" s="31">
        <v>11</v>
      </c>
      <c r="H1514" s="5">
        <v>2023</v>
      </c>
      <c r="I1514" s="5">
        <v>2032</v>
      </c>
      <c r="J1514" s="142">
        <v>1.0909</v>
      </c>
      <c r="K1514" s="142">
        <v>1.04</v>
      </c>
      <c r="L1514" s="142">
        <v>0.58230000000000004</v>
      </c>
      <c r="M1514" s="142">
        <v>1.1228</v>
      </c>
      <c r="N1514" s="142">
        <v>1.1119000000000001</v>
      </c>
      <c r="O1514" s="142">
        <v>1.0538000000000001</v>
      </c>
      <c r="P1514" s="26">
        <v>5076.9613441105121</v>
      </c>
      <c r="Q1514" s="35">
        <f t="array" ref="Q1514">SUM(IF(($S1514&gt;=4)*($C1514='TaxCred&amp;Subs'!$D$114:$D$121)*($H1514='TaxCred&amp;Subs'!$C$114:$C$121)*($H1514&lt;='TaxCred&amp;Subs'!$C$123),'TaxCred&amp;Subs'!$E$114:$E$121,0))</f>
        <v>500</v>
      </c>
      <c r="R1514" s="143">
        <v>0</v>
      </c>
      <c r="S1514" s="5">
        <v>5</v>
      </c>
      <c r="T1514" s="5" t="s">
        <v>221</v>
      </c>
      <c r="V1514" s="7" t="str">
        <f t="array" ref="V1514">INDEX(xlRTCLNAME,MATCH(1,(xlRTCLENDU=1)*(xlRTCLEQCL=$D1514),0))</f>
        <v>ELEC_HP</v>
      </c>
      <c r="W1514" s="7" t="str">
        <f t="array" ref="W1514">INDEX(xlRTCLNAME,MATCH(1,(xlRTCLENDU=2)*(xlRTCLEQCL=$F1514),0))</f>
        <v>ELEC_HP</v>
      </c>
      <c r="X1514" s="7" t="str">
        <f t="array" ref="X1514">INDEX(xlRTTYNAME,MATCH(1,(xlRTTYENDU=1)*(xlRTTYEQCL=$D1514)*(xlRTEQTYPE=$E1514),0))</f>
        <v>ELEC_HP4</v>
      </c>
      <c r="Y1514" s="7" t="str">
        <f t="array" ref="Y1514">INDEX(xlRTTYNAME,MATCH(1,(xlRTTYENDU=2)*(xlRTTYEQCL=$F1514)*(xlRTEQTYPE=$G1514),0))</f>
        <v>ELEC_HP4</v>
      </c>
    </row>
    <row r="1515" spans="2:25" ht="14.25" customHeight="1" x14ac:dyDescent="0.2">
      <c r="B1515" s="5">
        <v>1</v>
      </c>
      <c r="C1515" s="5">
        <v>2</v>
      </c>
      <c r="D1515" s="5">
        <v>2</v>
      </c>
      <c r="E1515" s="5">
        <v>5</v>
      </c>
      <c r="F1515" s="5">
        <v>3</v>
      </c>
      <c r="G1515" s="31">
        <v>11</v>
      </c>
      <c r="H1515" s="5">
        <v>2033</v>
      </c>
      <c r="I1515" s="5">
        <v>2050</v>
      </c>
      <c r="J1515" s="142">
        <v>1.0909</v>
      </c>
      <c r="K1515" s="142">
        <v>1.04</v>
      </c>
      <c r="L1515" s="142">
        <v>0.58230000000000004</v>
      </c>
      <c r="M1515" s="142">
        <v>1.1228</v>
      </c>
      <c r="N1515" s="142">
        <v>1.1119000000000001</v>
      </c>
      <c r="O1515" s="142">
        <v>1.0538000000000001</v>
      </c>
      <c r="P1515" s="26">
        <v>5076.9613441105121</v>
      </c>
      <c r="Q1515" s="35">
        <f t="array" ref="Q1515">SUM(IF(($S1515&gt;=4)*($C1515='TaxCred&amp;Subs'!$D$114:$D$121)*($H1515='TaxCred&amp;Subs'!$C$114:$C$121)*($H1515&lt;='TaxCred&amp;Subs'!$C$123),'TaxCred&amp;Subs'!$E$114:$E$121,0))</f>
        <v>0</v>
      </c>
      <c r="R1515" s="143">
        <v>0</v>
      </c>
      <c r="S1515" s="5">
        <v>5</v>
      </c>
      <c r="T1515" s="5" t="s">
        <v>221</v>
      </c>
      <c r="V1515" s="7" t="str">
        <f t="array" ref="V1515">INDEX(xlRTCLNAME,MATCH(1,(xlRTCLENDU=1)*(xlRTCLEQCL=$D1515),0))</f>
        <v>ELEC_HP</v>
      </c>
      <c r="W1515" s="7" t="str">
        <f t="array" ref="W1515">INDEX(xlRTCLNAME,MATCH(1,(xlRTCLENDU=2)*(xlRTCLEQCL=$F1515),0))</f>
        <v>ELEC_HP</v>
      </c>
      <c r="X1515" s="7" t="str">
        <f t="array" ref="X1515">INDEX(xlRTTYNAME,MATCH(1,(xlRTTYENDU=1)*(xlRTTYEQCL=$D1515)*(xlRTEQTYPE=$E1515),0))</f>
        <v>ELEC_HP4</v>
      </c>
      <c r="Y1515" s="7" t="str">
        <f t="array" ref="Y1515">INDEX(xlRTTYNAME,MATCH(1,(xlRTTYENDU=2)*(xlRTTYEQCL=$F1515)*(xlRTEQTYPE=$G1515),0))</f>
        <v>ELEC_HP4</v>
      </c>
    </row>
    <row r="1516" spans="2:25" ht="14.25" customHeight="1" x14ac:dyDescent="0.2">
      <c r="B1516" s="5">
        <v>2</v>
      </c>
      <c r="C1516" s="5">
        <v>2</v>
      </c>
      <c r="D1516" s="5">
        <v>2</v>
      </c>
      <c r="E1516" s="5">
        <v>5</v>
      </c>
      <c r="F1516" s="5">
        <v>3</v>
      </c>
      <c r="G1516" s="31">
        <v>11</v>
      </c>
      <c r="H1516" s="31">
        <v>2020</v>
      </c>
      <c r="I1516" s="5">
        <v>2022</v>
      </c>
      <c r="J1516" s="142">
        <v>1.0847</v>
      </c>
      <c r="K1516" s="142">
        <v>1.0345</v>
      </c>
      <c r="L1516" s="142">
        <v>0.55489999999999995</v>
      </c>
      <c r="M1516" s="142">
        <v>1.1416999999999999</v>
      </c>
      <c r="N1516" s="142">
        <v>1.1213</v>
      </c>
      <c r="O1516" s="142">
        <v>1.0538000000000001</v>
      </c>
      <c r="P1516" s="26">
        <v>4802.6763562401347</v>
      </c>
      <c r="Q1516" s="35">
        <f t="array" ref="Q1516">SUM(IF(($S1516&gt;=4)*($C1516='TaxCred&amp;Subs'!$D$114:$D$121)*($H1516='TaxCred&amp;Subs'!$C$114:$C$121)*($H1516&lt;='TaxCred&amp;Subs'!$C$123),'TaxCred&amp;Subs'!$E$114:$E$121,0))</f>
        <v>0</v>
      </c>
      <c r="R1516" s="143">
        <v>0</v>
      </c>
      <c r="S1516" s="5">
        <v>5</v>
      </c>
      <c r="T1516" s="5" t="s">
        <v>221</v>
      </c>
      <c r="V1516" s="7" t="str">
        <f t="array" ref="V1516">INDEX(xlRTCLNAME,MATCH(1,(xlRTCLENDU=1)*(xlRTCLEQCL=$D1516),0))</f>
        <v>ELEC_HP</v>
      </c>
      <c r="W1516" s="7" t="str">
        <f t="array" ref="W1516">INDEX(xlRTCLNAME,MATCH(1,(xlRTCLENDU=2)*(xlRTCLEQCL=$F1516),0))</f>
        <v>ELEC_HP</v>
      </c>
      <c r="X1516" s="7" t="str">
        <f t="array" ref="X1516">INDEX(xlRTTYNAME,MATCH(1,(xlRTTYENDU=1)*(xlRTTYEQCL=$D1516)*(xlRTEQTYPE=$E1516),0))</f>
        <v>ELEC_HP4</v>
      </c>
      <c r="Y1516" s="7" t="str">
        <f t="array" ref="Y1516">INDEX(xlRTTYNAME,MATCH(1,(xlRTTYENDU=2)*(xlRTTYEQCL=$F1516)*(xlRTEQTYPE=$G1516),0))</f>
        <v>ELEC_HP4</v>
      </c>
    </row>
    <row r="1517" spans="2:25" ht="14.25" customHeight="1" x14ac:dyDescent="0.2">
      <c r="B1517" s="5">
        <v>2</v>
      </c>
      <c r="C1517" s="5">
        <v>2</v>
      </c>
      <c r="D1517" s="5">
        <v>2</v>
      </c>
      <c r="E1517" s="5">
        <v>5</v>
      </c>
      <c r="F1517" s="5">
        <v>3</v>
      </c>
      <c r="G1517" s="31">
        <v>11</v>
      </c>
      <c r="H1517" s="5">
        <v>2023</v>
      </c>
      <c r="I1517" s="5">
        <v>2032</v>
      </c>
      <c r="J1517" s="142">
        <v>1.0847</v>
      </c>
      <c r="K1517" s="142">
        <v>1.0345</v>
      </c>
      <c r="L1517" s="142">
        <v>0.55489999999999995</v>
      </c>
      <c r="M1517" s="142">
        <v>1.1416999999999999</v>
      </c>
      <c r="N1517" s="142">
        <v>1.1213</v>
      </c>
      <c r="O1517" s="142">
        <v>1.0538000000000001</v>
      </c>
      <c r="P1517" s="26">
        <v>4802.6763562401347</v>
      </c>
      <c r="Q1517" s="35">
        <f t="array" ref="Q1517">SUM(IF(($S1517&gt;=4)*($C1517='TaxCred&amp;Subs'!$D$114:$D$121)*($H1517='TaxCred&amp;Subs'!$C$114:$C$121)*($H1517&lt;='TaxCred&amp;Subs'!$C$123),'TaxCred&amp;Subs'!$E$114:$E$121,0))</f>
        <v>500</v>
      </c>
      <c r="R1517" s="143">
        <v>0</v>
      </c>
      <c r="S1517" s="5">
        <v>5</v>
      </c>
      <c r="T1517" s="5" t="s">
        <v>221</v>
      </c>
      <c r="V1517" s="7" t="str">
        <f t="array" ref="V1517">INDEX(xlRTCLNAME,MATCH(1,(xlRTCLENDU=1)*(xlRTCLEQCL=$D1517),0))</f>
        <v>ELEC_HP</v>
      </c>
      <c r="W1517" s="7" t="str">
        <f t="array" ref="W1517">INDEX(xlRTCLNAME,MATCH(1,(xlRTCLENDU=2)*(xlRTCLEQCL=$F1517),0))</f>
        <v>ELEC_HP</v>
      </c>
      <c r="X1517" s="7" t="str">
        <f t="array" ref="X1517">INDEX(xlRTTYNAME,MATCH(1,(xlRTTYENDU=1)*(xlRTTYEQCL=$D1517)*(xlRTEQTYPE=$E1517),0))</f>
        <v>ELEC_HP4</v>
      </c>
      <c r="Y1517" s="7" t="str">
        <f t="array" ref="Y1517">INDEX(xlRTTYNAME,MATCH(1,(xlRTTYENDU=2)*(xlRTTYEQCL=$F1517)*(xlRTEQTYPE=$G1517),0))</f>
        <v>ELEC_HP4</v>
      </c>
    </row>
    <row r="1518" spans="2:25" ht="14.25" customHeight="1" x14ac:dyDescent="0.2">
      <c r="B1518" s="5">
        <v>2</v>
      </c>
      <c r="C1518" s="5">
        <v>2</v>
      </c>
      <c r="D1518" s="5">
        <v>2</v>
      </c>
      <c r="E1518" s="5">
        <v>5</v>
      </c>
      <c r="F1518" s="5">
        <v>3</v>
      </c>
      <c r="G1518" s="31">
        <v>11</v>
      </c>
      <c r="H1518" s="5">
        <v>2033</v>
      </c>
      <c r="I1518" s="5">
        <v>2050</v>
      </c>
      <c r="J1518" s="142">
        <v>1.0847</v>
      </c>
      <c r="K1518" s="142">
        <v>1.0345</v>
      </c>
      <c r="L1518" s="142">
        <v>0.55489999999999995</v>
      </c>
      <c r="M1518" s="142">
        <v>1.1416999999999999</v>
      </c>
      <c r="N1518" s="142">
        <v>1.1213</v>
      </c>
      <c r="O1518" s="142">
        <v>1.0538000000000001</v>
      </c>
      <c r="P1518" s="26">
        <v>4802.6763562401347</v>
      </c>
      <c r="Q1518" s="35">
        <f t="array" ref="Q1518">SUM(IF(($S1518&gt;=4)*($C1518='TaxCred&amp;Subs'!$D$114:$D$121)*($H1518='TaxCred&amp;Subs'!$C$114:$C$121)*($H1518&lt;='TaxCred&amp;Subs'!$C$123),'TaxCred&amp;Subs'!$E$114:$E$121,0))</f>
        <v>0</v>
      </c>
      <c r="R1518" s="143">
        <v>0</v>
      </c>
      <c r="S1518" s="5">
        <v>5</v>
      </c>
      <c r="T1518" s="5" t="s">
        <v>221</v>
      </c>
      <c r="V1518" s="7" t="str">
        <f t="array" ref="V1518">INDEX(xlRTCLNAME,MATCH(1,(xlRTCLENDU=1)*(xlRTCLEQCL=$D1518),0))</f>
        <v>ELEC_HP</v>
      </c>
      <c r="W1518" s="7" t="str">
        <f t="array" ref="W1518">INDEX(xlRTCLNAME,MATCH(1,(xlRTCLENDU=2)*(xlRTCLEQCL=$F1518),0))</f>
        <v>ELEC_HP</v>
      </c>
      <c r="X1518" s="7" t="str">
        <f t="array" ref="X1518">INDEX(xlRTTYNAME,MATCH(1,(xlRTTYENDU=1)*(xlRTTYEQCL=$D1518)*(xlRTEQTYPE=$E1518),0))</f>
        <v>ELEC_HP4</v>
      </c>
      <c r="Y1518" s="7" t="str">
        <f t="array" ref="Y1518">INDEX(xlRTTYNAME,MATCH(1,(xlRTTYENDU=2)*(xlRTTYEQCL=$F1518)*(xlRTEQTYPE=$G1518),0))</f>
        <v>ELEC_HP4</v>
      </c>
    </row>
    <row r="1519" spans="2:25" ht="14.25" customHeight="1" x14ac:dyDescent="0.2">
      <c r="B1519" s="5">
        <v>3</v>
      </c>
      <c r="C1519" s="5">
        <v>2</v>
      </c>
      <c r="D1519" s="5">
        <v>2</v>
      </c>
      <c r="E1519" s="5">
        <v>5</v>
      </c>
      <c r="F1519" s="5">
        <v>3</v>
      </c>
      <c r="G1519" s="31">
        <v>11</v>
      </c>
      <c r="H1519" s="31">
        <v>2020</v>
      </c>
      <c r="I1519" s="5">
        <v>2022</v>
      </c>
      <c r="J1519" s="142">
        <v>1.0932999999999999</v>
      </c>
      <c r="K1519" s="142">
        <v>1.0345</v>
      </c>
      <c r="L1519" s="142">
        <v>0.55420000000000003</v>
      </c>
      <c r="M1519" s="142">
        <v>1.0310999999999999</v>
      </c>
      <c r="N1519" s="142">
        <v>1.0358000000000001</v>
      </c>
      <c r="O1519" s="142">
        <v>1.0538000000000001</v>
      </c>
      <c r="P1519" s="26">
        <v>4310.5768191785755</v>
      </c>
      <c r="Q1519" s="35">
        <f t="array" ref="Q1519">SUM(IF(($S1519&gt;=4)*($C1519='TaxCred&amp;Subs'!$D$114:$D$121)*($H1519='TaxCred&amp;Subs'!$C$114:$C$121)*($H1519&lt;='TaxCred&amp;Subs'!$C$123),'TaxCred&amp;Subs'!$E$114:$E$121,0))</f>
        <v>0</v>
      </c>
      <c r="R1519" s="143">
        <v>0</v>
      </c>
      <c r="S1519" s="5">
        <v>5</v>
      </c>
      <c r="T1519" s="5" t="s">
        <v>221</v>
      </c>
      <c r="V1519" s="7" t="str">
        <f t="array" ref="V1519">INDEX(xlRTCLNAME,MATCH(1,(xlRTCLENDU=1)*(xlRTCLEQCL=$D1519),0))</f>
        <v>ELEC_HP</v>
      </c>
      <c r="W1519" s="7" t="str">
        <f t="array" ref="W1519">INDEX(xlRTCLNAME,MATCH(1,(xlRTCLENDU=2)*(xlRTCLEQCL=$F1519),0))</f>
        <v>ELEC_HP</v>
      </c>
      <c r="X1519" s="7" t="str">
        <f t="array" ref="X1519">INDEX(xlRTTYNAME,MATCH(1,(xlRTTYENDU=1)*(xlRTTYEQCL=$D1519)*(xlRTEQTYPE=$E1519),0))</f>
        <v>ELEC_HP4</v>
      </c>
      <c r="Y1519" s="7" t="str">
        <f t="array" ref="Y1519">INDEX(xlRTTYNAME,MATCH(1,(xlRTTYENDU=2)*(xlRTTYEQCL=$F1519)*(xlRTEQTYPE=$G1519),0))</f>
        <v>ELEC_HP4</v>
      </c>
    </row>
    <row r="1520" spans="2:25" ht="14.25" customHeight="1" x14ac:dyDescent="0.2">
      <c r="B1520" s="5">
        <v>3</v>
      </c>
      <c r="C1520" s="5">
        <v>2</v>
      </c>
      <c r="D1520" s="5">
        <v>2</v>
      </c>
      <c r="E1520" s="5">
        <v>5</v>
      </c>
      <c r="F1520" s="5">
        <v>3</v>
      </c>
      <c r="G1520" s="31">
        <v>11</v>
      </c>
      <c r="H1520" s="5">
        <v>2023</v>
      </c>
      <c r="I1520" s="5">
        <v>2032</v>
      </c>
      <c r="J1520" s="142">
        <v>1.0932999999999999</v>
      </c>
      <c r="K1520" s="142">
        <v>1.0345</v>
      </c>
      <c r="L1520" s="142">
        <v>0.55420000000000003</v>
      </c>
      <c r="M1520" s="142">
        <v>1.0310999999999999</v>
      </c>
      <c r="N1520" s="142">
        <v>1.0358000000000001</v>
      </c>
      <c r="O1520" s="142">
        <v>1.0538000000000001</v>
      </c>
      <c r="P1520" s="26">
        <v>4310.5768191785755</v>
      </c>
      <c r="Q1520" s="35">
        <f t="array" ref="Q1520">SUM(IF(($S1520&gt;=4)*($C1520='TaxCred&amp;Subs'!$D$114:$D$121)*($H1520='TaxCred&amp;Subs'!$C$114:$C$121)*($H1520&lt;='TaxCred&amp;Subs'!$C$123),'TaxCred&amp;Subs'!$E$114:$E$121,0))</f>
        <v>500</v>
      </c>
      <c r="R1520" s="143">
        <v>0</v>
      </c>
      <c r="S1520" s="5">
        <v>5</v>
      </c>
      <c r="T1520" s="5" t="s">
        <v>221</v>
      </c>
      <c r="V1520" s="7" t="str">
        <f t="array" ref="V1520">INDEX(xlRTCLNAME,MATCH(1,(xlRTCLENDU=1)*(xlRTCLEQCL=$D1520),0))</f>
        <v>ELEC_HP</v>
      </c>
      <c r="W1520" s="7" t="str">
        <f t="array" ref="W1520">INDEX(xlRTCLNAME,MATCH(1,(xlRTCLENDU=2)*(xlRTCLEQCL=$F1520),0))</f>
        <v>ELEC_HP</v>
      </c>
      <c r="X1520" s="7" t="str">
        <f t="array" ref="X1520">INDEX(xlRTTYNAME,MATCH(1,(xlRTTYENDU=1)*(xlRTTYEQCL=$D1520)*(xlRTEQTYPE=$E1520),0))</f>
        <v>ELEC_HP4</v>
      </c>
      <c r="Y1520" s="7" t="str">
        <f t="array" ref="Y1520">INDEX(xlRTTYNAME,MATCH(1,(xlRTTYENDU=2)*(xlRTTYEQCL=$F1520)*(xlRTEQTYPE=$G1520),0))</f>
        <v>ELEC_HP4</v>
      </c>
    </row>
    <row r="1521" spans="2:25" ht="14.25" customHeight="1" x14ac:dyDescent="0.2">
      <c r="B1521" s="5">
        <v>3</v>
      </c>
      <c r="C1521" s="5">
        <v>2</v>
      </c>
      <c r="D1521" s="5">
        <v>2</v>
      </c>
      <c r="E1521" s="5">
        <v>5</v>
      </c>
      <c r="F1521" s="5">
        <v>3</v>
      </c>
      <c r="G1521" s="31">
        <v>11</v>
      </c>
      <c r="H1521" s="5">
        <v>2033</v>
      </c>
      <c r="I1521" s="5">
        <v>2050</v>
      </c>
      <c r="J1521" s="142">
        <v>1.0932999999999999</v>
      </c>
      <c r="K1521" s="142">
        <v>1.0345</v>
      </c>
      <c r="L1521" s="142">
        <v>0.55420000000000003</v>
      </c>
      <c r="M1521" s="142">
        <v>1.0310999999999999</v>
      </c>
      <c r="N1521" s="142">
        <v>1.0358000000000001</v>
      </c>
      <c r="O1521" s="142">
        <v>1.0538000000000001</v>
      </c>
      <c r="P1521" s="26">
        <v>4310.5768191785755</v>
      </c>
      <c r="Q1521" s="35">
        <f t="array" ref="Q1521">SUM(IF(($S1521&gt;=4)*($C1521='TaxCred&amp;Subs'!$D$114:$D$121)*($H1521='TaxCred&amp;Subs'!$C$114:$C$121)*($H1521&lt;='TaxCred&amp;Subs'!$C$123),'TaxCred&amp;Subs'!$E$114:$E$121,0))</f>
        <v>0</v>
      </c>
      <c r="R1521" s="143">
        <v>0</v>
      </c>
      <c r="S1521" s="5">
        <v>5</v>
      </c>
      <c r="T1521" s="5" t="s">
        <v>221</v>
      </c>
      <c r="V1521" s="7" t="str">
        <f t="array" ref="V1521">INDEX(xlRTCLNAME,MATCH(1,(xlRTCLENDU=1)*(xlRTCLEQCL=$D1521),0))</f>
        <v>ELEC_HP</v>
      </c>
      <c r="W1521" s="7" t="str">
        <f t="array" ref="W1521">INDEX(xlRTCLNAME,MATCH(1,(xlRTCLENDU=2)*(xlRTCLEQCL=$F1521),0))</f>
        <v>ELEC_HP</v>
      </c>
      <c r="X1521" s="7" t="str">
        <f t="array" ref="X1521">INDEX(xlRTTYNAME,MATCH(1,(xlRTTYENDU=1)*(xlRTTYEQCL=$D1521)*(xlRTEQTYPE=$E1521),0))</f>
        <v>ELEC_HP4</v>
      </c>
      <c r="Y1521" s="7" t="str">
        <f t="array" ref="Y1521">INDEX(xlRTTYNAME,MATCH(1,(xlRTTYENDU=2)*(xlRTTYEQCL=$F1521)*(xlRTEQTYPE=$G1521),0))</f>
        <v>ELEC_HP4</v>
      </c>
    </row>
    <row r="1522" spans="2:25" ht="14.25" customHeight="1" x14ac:dyDescent="0.2">
      <c r="B1522" s="5">
        <v>4</v>
      </c>
      <c r="C1522" s="5">
        <v>2</v>
      </c>
      <c r="D1522" s="5">
        <v>2</v>
      </c>
      <c r="E1522" s="5">
        <v>5</v>
      </c>
      <c r="F1522" s="5">
        <v>3</v>
      </c>
      <c r="G1522" s="31">
        <v>11</v>
      </c>
      <c r="H1522" s="31">
        <v>2020</v>
      </c>
      <c r="I1522" s="5">
        <v>2022</v>
      </c>
      <c r="J1522" s="142">
        <v>1.0956999999999999</v>
      </c>
      <c r="K1522" s="142">
        <v>1.0417000000000001</v>
      </c>
      <c r="L1522" s="142">
        <v>0.61990000000000001</v>
      </c>
      <c r="M1522" s="142">
        <v>1.1499999999999999</v>
      </c>
      <c r="N1522" s="142">
        <v>1.1621999999999999</v>
      </c>
      <c r="O1522" s="142">
        <v>1.0538000000000001</v>
      </c>
      <c r="P1522" s="26">
        <v>3495.7890610930435</v>
      </c>
      <c r="Q1522" s="35">
        <f t="array" ref="Q1522">SUM(IF(($S1522&gt;=4)*($C1522='TaxCred&amp;Subs'!$D$114:$D$121)*($H1522='TaxCred&amp;Subs'!$C$114:$C$121)*($H1522&lt;='TaxCred&amp;Subs'!$C$123),'TaxCred&amp;Subs'!$E$114:$E$121,0))</f>
        <v>0</v>
      </c>
      <c r="R1522" s="143">
        <v>0</v>
      </c>
      <c r="S1522" s="5">
        <v>5</v>
      </c>
      <c r="T1522" s="5" t="s">
        <v>221</v>
      </c>
      <c r="V1522" s="7" t="str">
        <f t="array" ref="V1522">INDEX(xlRTCLNAME,MATCH(1,(xlRTCLENDU=1)*(xlRTCLEQCL=$D1522),0))</f>
        <v>ELEC_HP</v>
      </c>
      <c r="W1522" s="7" t="str">
        <f t="array" ref="W1522">INDEX(xlRTCLNAME,MATCH(1,(xlRTCLENDU=2)*(xlRTCLEQCL=$F1522),0))</f>
        <v>ELEC_HP</v>
      </c>
      <c r="X1522" s="7" t="str">
        <f t="array" ref="X1522">INDEX(xlRTTYNAME,MATCH(1,(xlRTTYENDU=1)*(xlRTTYEQCL=$D1522)*(xlRTEQTYPE=$E1522),0))</f>
        <v>ELEC_HP4</v>
      </c>
      <c r="Y1522" s="7" t="str">
        <f t="array" ref="Y1522">INDEX(xlRTTYNAME,MATCH(1,(xlRTTYENDU=2)*(xlRTTYEQCL=$F1522)*(xlRTEQTYPE=$G1522),0))</f>
        <v>ELEC_HP4</v>
      </c>
    </row>
    <row r="1523" spans="2:25" ht="14.25" customHeight="1" x14ac:dyDescent="0.2">
      <c r="B1523" s="5">
        <v>4</v>
      </c>
      <c r="C1523" s="5">
        <v>2</v>
      </c>
      <c r="D1523" s="5">
        <v>2</v>
      </c>
      <c r="E1523" s="5">
        <v>5</v>
      </c>
      <c r="F1523" s="5">
        <v>3</v>
      </c>
      <c r="G1523" s="31">
        <v>11</v>
      </c>
      <c r="H1523" s="5">
        <v>2023</v>
      </c>
      <c r="I1523" s="5">
        <v>2032</v>
      </c>
      <c r="J1523" s="142">
        <v>1.0956999999999999</v>
      </c>
      <c r="K1523" s="142">
        <v>1.0417000000000001</v>
      </c>
      <c r="L1523" s="142">
        <v>0.61990000000000001</v>
      </c>
      <c r="M1523" s="142">
        <v>1.1499999999999999</v>
      </c>
      <c r="N1523" s="142">
        <v>1.1621999999999999</v>
      </c>
      <c r="O1523" s="142">
        <v>1.0538000000000001</v>
      </c>
      <c r="P1523" s="26">
        <v>3495.7890610930435</v>
      </c>
      <c r="Q1523" s="35">
        <f t="array" ref="Q1523">SUM(IF(($S1523&gt;=4)*($C1523='TaxCred&amp;Subs'!$D$114:$D$121)*($H1523='TaxCred&amp;Subs'!$C$114:$C$121)*($H1523&lt;='TaxCred&amp;Subs'!$C$123),'TaxCred&amp;Subs'!$E$114:$E$121,0))</f>
        <v>500</v>
      </c>
      <c r="R1523" s="143">
        <v>0</v>
      </c>
      <c r="S1523" s="5">
        <v>5</v>
      </c>
      <c r="T1523" s="5" t="s">
        <v>221</v>
      </c>
      <c r="V1523" s="7" t="str">
        <f t="array" ref="V1523">INDEX(xlRTCLNAME,MATCH(1,(xlRTCLENDU=1)*(xlRTCLEQCL=$D1523),0))</f>
        <v>ELEC_HP</v>
      </c>
      <c r="W1523" s="7" t="str">
        <f t="array" ref="W1523">INDEX(xlRTCLNAME,MATCH(1,(xlRTCLENDU=2)*(xlRTCLEQCL=$F1523),0))</f>
        <v>ELEC_HP</v>
      </c>
      <c r="X1523" s="7" t="str">
        <f t="array" ref="X1523">INDEX(xlRTTYNAME,MATCH(1,(xlRTTYENDU=1)*(xlRTTYEQCL=$D1523)*(xlRTEQTYPE=$E1523),0))</f>
        <v>ELEC_HP4</v>
      </c>
      <c r="Y1523" s="7" t="str">
        <f t="array" ref="Y1523">INDEX(xlRTTYNAME,MATCH(1,(xlRTTYENDU=2)*(xlRTTYEQCL=$F1523)*(xlRTEQTYPE=$G1523),0))</f>
        <v>ELEC_HP4</v>
      </c>
    </row>
    <row r="1524" spans="2:25" ht="14.25" customHeight="1" x14ac:dyDescent="0.2">
      <c r="B1524" s="5">
        <v>4</v>
      </c>
      <c r="C1524" s="5">
        <v>2</v>
      </c>
      <c r="D1524" s="5">
        <v>2</v>
      </c>
      <c r="E1524" s="5">
        <v>5</v>
      </c>
      <c r="F1524" s="5">
        <v>3</v>
      </c>
      <c r="G1524" s="31">
        <v>11</v>
      </c>
      <c r="H1524" s="5">
        <v>2033</v>
      </c>
      <c r="I1524" s="5">
        <v>2050</v>
      </c>
      <c r="J1524" s="142">
        <v>1.0956999999999999</v>
      </c>
      <c r="K1524" s="142">
        <v>1.0417000000000001</v>
      </c>
      <c r="L1524" s="142">
        <v>0.61990000000000001</v>
      </c>
      <c r="M1524" s="142">
        <v>1.1499999999999999</v>
      </c>
      <c r="N1524" s="142">
        <v>1.1621999999999999</v>
      </c>
      <c r="O1524" s="142">
        <v>1.0538000000000001</v>
      </c>
      <c r="P1524" s="26">
        <v>3495.7890610930435</v>
      </c>
      <c r="Q1524" s="35">
        <f t="array" ref="Q1524">SUM(IF(($S1524&gt;=4)*($C1524='TaxCred&amp;Subs'!$D$114:$D$121)*($H1524='TaxCred&amp;Subs'!$C$114:$C$121)*($H1524&lt;='TaxCred&amp;Subs'!$C$123),'TaxCred&amp;Subs'!$E$114:$E$121,0))</f>
        <v>0</v>
      </c>
      <c r="R1524" s="143">
        <v>0</v>
      </c>
      <c r="S1524" s="5">
        <v>5</v>
      </c>
      <c r="T1524" s="5" t="s">
        <v>221</v>
      </c>
      <c r="V1524" s="7" t="str">
        <f t="array" ref="V1524">INDEX(xlRTCLNAME,MATCH(1,(xlRTCLENDU=1)*(xlRTCLEQCL=$D1524),0))</f>
        <v>ELEC_HP</v>
      </c>
      <c r="W1524" s="7" t="str">
        <f t="array" ref="W1524">INDEX(xlRTCLNAME,MATCH(1,(xlRTCLENDU=2)*(xlRTCLEQCL=$F1524),0))</f>
        <v>ELEC_HP</v>
      </c>
      <c r="X1524" s="7" t="str">
        <f t="array" ref="X1524">INDEX(xlRTTYNAME,MATCH(1,(xlRTTYENDU=1)*(xlRTTYEQCL=$D1524)*(xlRTEQTYPE=$E1524),0))</f>
        <v>ELEC_HP4</v>
      </c>
      <c r="Y1524" s="7" t="str">
        <f t="array" ref="Y1524">INDEX(xlRTTYNAME,MATCH(1,(xlRTTYENDU=2)*(xlRTTYEQCL=$F1524)*(xlRTEQTYPE=$G1524),0))</f>
        <v>ELEC_HP4</v>
      </c>
    </row>
    <row r="1525" spans="2:25" ht="14.25" customHeight="1" x14ac:dyDescent="0.2">
      <c r="B1525" s="5">
        <v>5</v>
      </c>
      <c r="C1525" s="5">
        <v>2</v>
      </c>
      <c r="D1525" s="5">
        <v>2</v>
      </c>
      <c r="E1525" s="5">
        <v>5</v>
      </c>
      <c r="F1525" s="5">
        <v>3</v>
      </c>
      <c r="G1525" s="31">
        <v>11</v>
      </c>
      <c r="H1525" s="31">
        <v>2020</v>
      </c>
      <c r="I1525" s="5">
        <v>2022</v>
      </c>
      <c r="J1525" s="142">
        <v>1.1200000000000001</v>
      </c>
      <c r="K1525" s="142">
        <v>1.0545</v>
      </c>
      <c r="L1525" s="142">
        <v>0.44379999999999997</v>
      </c>
      <c r="M1525" s="142">
        <v>1.0314000000000001</v>
      </c>
      <c r="N1525" s="142">
        <v>1.2490000000000001</v>
      </c>
      <c r="O1525" s="142">
        <v>1.0538000000000001</v>
      </c>
      <c r="P1525" s="26">
        <v>3228.2267444939989</v>
      </c>
      <c r="Q1525" s="35">
        <f t="array" ref="Q1525">SUM(IF(($S1525&gt;=4)*($C1525='TaxCred&amp;Subs'!$D$114:$D$121)*($H1525='TaxCred&amp;Subs'!$C$114:$C$121)*($H1525&lt;='TaxCred&amp;Subs'!$C$123),'TaxCred&amp;Subs'!$E$114:$E$121,0))</f>
        <v>0</v>
      </c>
      <c r="R1525" s="143">
        <v>0</v>
      </c>
      <c r="S1525" s="5">
        <v>5</v>
      </c>
      <c r="T1525" s="5" t="s">
        <v>221</v>
      </c>
      <c r="V1525" s="7" t="str">
        <f t="array" ref="V1525">INDEX(xlRTCLNAME,MATCH(1,(xlRTCLENDU=1)*(xlRTCLEQCL=$D1525),0))</f>
        <v>ELEC_HP</v>
      </c>
      <c r="W1525" s="7" t="str">
        <f t="array" ref="W1525">INDEX(xlRTCLNAME,MATCH(1,(xlRTCLENDU=2)*(xlRTCLEQCL=$F1525),0))</f>
        <v>ELEC_HP</v>
      </c>
      <c r="X1525" s="7" t="str">
        <f t="array" ref="X1525">INDEX(xlRTTYNAME,MATCH(1,(xlRTTYENDU=1)*(xlRTTYEQCL=$D1525)*(xlRTEQTYPE=$E1525),0))</f>
        <v>ELEC_HP4</v>
      </c>
      <c r="Y1525" s="7" t="str">
        <f t="array" ref="Y1525">INDEX(xlRTTYNAME,MATCH(1,(xlRTTYENDU=2)*(xlRTTYEQCL=$F1525)*(xlRTEQTYPE=$G1525),0))</f>
        <v>ELEC_HP4</v>
      </c>
    </row>
    <row r="1526" spans="2:25" ht="14.25" customHeight="1" x14ac:dyDescent="0.2">
      <c r="B1526" s="5">
        <v>5</v>
      </c>
      <c r="C1526" s="5">
        <v>2</v>
      </c>
      <c r="D1526" s="5">
        <v>2</v>
      </c>
      <c r="E1526" s="5">
        <v>5</v>
      </c>
      <c r="F1526" s="5">
        <v>3</v>
      </c>
      <c r="G1526" s="31">
        <v>11</v>
      </c>
      <c r="H1526" s="5">
        <v>2023</v>
      </c>
      <c r="I1526" s="5">
        <v>2032</v>
      </c>
      <c r="J1526" s="142">
        <v>1.1200000000000001</v>
      </c>
      <c r="K1526" s="142">
        <v>1.0545</v>
      </c>
      <c r="L1526" s="142">
        <v>0.44379999999999997</v>
      </c>
      <c r="M1526" s="142">
        <v>1.0314000000000001</v>
      </c>
      <c r="N1526" s="142">
        <v>1.2490000000000001</v>
      </c>
      <c r="O1526" s="142">
        <v>1.0538000000000001</v>
      </c>
      <c r="P1526" s="26">
        <v>3228.2267444939989</v>
      </c>
      <c r="Q1526" s="35">
        <f t="array" ref="Q1526">SUM(IF(($S1526&gt;=4)*($C1526='TaxCred&amp;Subs'!$D$114:$D$121)*($H1526='TaxCred&amp;Subs'!$C$114:$C$121)*($H1526&lt;='TaxCred&amp;Subs'!$C$123),'TaxCred&amp;Subs'!$E$114:$E$121,0))</f>
        <v>500</v>
      </c>
      <c r="R1526" s="143">
        <v>0</v>
      </c>
      <c r="S1526" s="5">
        <v>5</v>
      </c>
      <c r="T1526" s="5" t="s">
        <v>221</v>
      </c>
      <c r="V1526" s="7" t="str">
        <f t="array" ref="V1526">INDEX(xlRTCLNAME,MATCH(1,(xlRTCLENDU=1)*(xlRTCLEQCL=$D1526),0))</f>
        <v>ELEC_HP</v>
      </c>
      <c r="W1526" s="7" t="str">
        <f t="array" ref="W1526">INDEX(xlRTCLNAME,MATCH(1,(xlRTCLENDU=2)*(xlRTCLEQCL=$F1526),0))</f>
        <v>ELEC_HP</v>
      </c>
      <c r="X1526" s="7" t="str">
        <f t="array" ref="X1526">INDEX(xlRTTYNAME,MATCH(1,(xlRTTYENDU=1)*(xlRTTYEQCL=$D1526)*(xlRTEQTYPE=$E1526),0))</f>
        <v>ELEC_HP4</v>
      </c>
      <c r="Y1526" s="7" t="str">
        <f t="array" ref="Y1526">INDEX(xlRTTYNAME,MATCH(1,(xlRTTYENDU=2)*(xlRTTYEQCL=$F1526)*(xlRTEQTYPE=$G1526),0))</f>
        <v>ELEC_HP4</v>
      </c>
    </row>
    <row r="1527" spans="2:25" ht="14.25" customHeight="1" x14ac:dyDescent="0.2">
      <c r="B1527" s="5">
        <v>5</v>
      </c>
      <c r="C1527" s="5">
        <v>2</v>
      </c>
      <c r="D1527" s="5">
        <v>2</v>
      </c>
      <c r="E1527" s="5">
        <v>5</v>
      </c>
      <c r="F1527" s="5">
        <v>3</v>
      </c>
      <c r="G1527" s="31">
        <v>11</v>
      </c>
      <c r="H1527" s="5">
        <v>2033</v>
      </c>
      <c r="I1527" s="5">
        <v>2050</v>
      </c>
      <c r="J1527" s="142">
        <v>1.1200000000000001</v>
      </c>
      <c r="K1527" s="142">
        <v>1.0545</v>
      </c>
      <c r="L1527" s="142">
        <v>0.44379999999999997</v>
      </c>
      <c r="M1527" s="142">
        <v>1.0314000000000001</v>
      </c>
      <c r="N1527" s="142">
        <v>1.2490000000000001</v>
      </c>
      <c r="O1527" s="142">
        <v>1.0538000000000001</v>
      </c>
      <c r="P1527" s="26">
        <v>3228.2267444939989</v>
      </c>
      <c r="Q1527" s="35">
        <f t="array" ref="Q1527">SUM(IF(($S1527&gt;=4)*($C1527='TaxCred&amp;Subs'!$D$114:$D$121)*($H1527='TaxCred&amp;Subs'!$C$114:$C$121)*($H1527&lt;='TaxCred&amp;Subs'!$C$123),'TaxCred&amp;Subs'!$E$114:$E$121,0))</f>
        <v>0</v>
      </c>
      <c r="R1527" s="143">
        <v>0</v>
      </c>
      <c r="S1527" s="5">
        <v>5</v>
      </c>
      <c r="T1527" s="5" t="s">
        <v>221</v>
      </c>
      <c r="V1527" s="7" t="str">
        <f t="array" ref="V1527">INDEX(xlRTCLNAME,MATCH(1,(xlRTCLENDU=1)*(xlRTCLEQCL=$D1527),0))</f>
        <v>ELEC_HP</v>
      </c>
      <c r="W1527" s="7" t="str">
        <f t="array" ref="W1527">INDEX(xlRTCLNAME,MATCH(1,(xlRTCLENDU=2)*(xlRTCLEQCL=$F1527),0))</f>
        <v>ELEC_HP</v>
      </c>
      <c r="X1527" s="7" t="str">
        <f t="array" ref="X1527">INDEX(xlRTTYNAME,MATCH(1,(xlRTTYENDU=1)*(xlRTTYEQCL=$D1527)*(xlRTEQTYPE=$E1527),0))</f>
        <v>ELEC_HP4</v>
      </c>
      <c r="Y1527" s="7" t="str">
        <f t="array" ref="Y1527">INDEX(xlRTTYNAME,MATCH(1,(xlRTTYENDU=2)*(xlRTTYEQCL=$F1527)*(xlRTEQTYPE=$G1527),0))</f>
        <v>ELEC_HP4</v>
      </c>
    </row>
    <row r="1528" spans="2:25" ht="14.25" customHeight="1" x14ac:dyDescent="0.2">
      <c r="B1528" s="5">
        <v>6</v>
      </c>
      <c r="C1528" s="5">
        <v>2</v>
      </c>
      <c r="D1528" s="5">
        <v>2</v>
      </c>
      <c r="E1528" s="5">
        <v>5</v>
      </c>
      <c r="F1528" s="5">
        <v>3</v>
      </c>
      <c r="G1528" s="31">
        <v>11</v>
      </c>
      <c r="H1528" s="31">
        <v>2020</v>
      </c>
      <c r="I1528" s="5">
        <v>2022</v>
      </c>
      <c r="J1528" s="142">
        <v>1.087</v>
      </c>
      <c r="K1528" s="142">
        <v>1.0385</v>
      </c>
      <c r="L1528" s="142">
        <v>0.44379999999999997</v>
      </c>
      <c r="M1528" s="142">
        <v>1.0546</v>
      </c>
      <c r="N1528" s="142">
        <v>1.3324</v>
      </c>
      <c r="O1528" s="142">
        <v>1.0538000000000001</v>
      </c>
      <c r="P1528" s="26">
        <v>3572.4275135862376</v>
      </c>
      <c r="Q1528" s="35">
        <f t="array" ref="Q1528">SUM(IF(($S1528&gt;=4)*($C1528='TaxCred&amp;Subs'!$D$114:$D$121)*($H1528='TaxCred&amp;Subs'!$C$114:$C$121)*($H1528&lt;='TaxCred&amp;Subs'!$C$123),'TaxCred&amp;Subs'!$E$114:$E$121,0))</f>
        <v>0</v>
      </c>
      <c r="R1528" s="143">
        <v>0</v>
      </c>
      <c r="S1528" s="5">
        <v>5</v>
      </c>
      <c r="T1528" s="5" t="s">
        <v>221</v>
      </c>
      <c r="V1528" s="7" t="str">
        <f t="array" ref="V1528">INDEX(xlRTCLNAME,MATCH(1,(xlRTCLENDU=1)*(xlRTCLEQCL=$D1528),0))</f>
        <v>ELEC_HP</v>
      </c>
      <c r="W1528" s="7" t="str">
        <f t="array" ref="W1528">INDEX(xlRTCLNAME,MATCH(1,(xlRTCLENDU=2)*(xlRTCLEQCL=$F1528),0))</f>
        <v>ELEC_HP</v>
      </c>
      <c r="X1528" s="7" t="str">
        <f t="array" ref="X1528">INDEX(xlRTTYNAME,MATCH(1,(xlRTTYENDU=1)*(xlRTTYEQCL=$D1528)*(xlRTEQTYPE=$E1528),0))</f>
        <v>ELEC_HP4</v>
      </c>
      <c r="Y1528" s="7" t="str">
        <f t="array" ref="Y1528">INDEX(xlRTTYNAME,MATCH(1,(xlRTTYENDU=2)*(xlRTTYEQCL=$F1528)*(xlRTEQTYPE=$G1528),0))</f>
        <v>ELEC_HP4</v>
      </c>
    </row>
    <row r="1529" spans="2:25" ht="14.25" customHeight="1" x14ac:dyDescent="0.2">
      <c r="B1529" s="5">
        <v>6</v>
      </c>
      <c r="C1529" s="5">
        <v>2</v>
      </c>
      <c r="D1529" s="5">
        <v>2</v>
      </c>
      <c r="E1529" s="5">
        <v>5</v>
      </c>
      <c r="F1529" s="5">
        <v>3</v>
      </c>
      <c r="G1529" s="31">
        <v>11</v>
      </c>
      <c r="H1529" s="5">
        <v>2023</v>
      </c>
      <c r="I1529" s="5">
        <v>2032</v>
      </c>
      <c r="J1529" s="142">
        <v>1.087</v>
      </c>
      <c r="K1529" s="142">
        <v>1.0385</v>
      </c>
      <c r="L1529" s="142">
        <v>0.44379999999999997</v>
      </c>
      <c r="M1529" s="142">
        <v>1.0546</v>
      </c>
      <c r="N1529" s="142">
        <v>1.3324</v>
      </c>
      <c r="O1529" s="142">
        <v>1.0538000000000001</v>
      </c>
      <c r="P1529" s="26">
        <v>3572.4275135862376</v>
      </c>
      <c r="Q1529" s="35">
        <f t="array" ref="Q1529">SUM(IF(($S1529&gt;=4)*($C1529='TaxCred&amp;Subs'!$D$114:$D$121)*($H1529='TaxCred&amp;Subs'!$C$114:$C$121)*($H1529&lt;='TaxCred&amp;Subs'!$C$123),'TaxCred&amp;Subs'!$E$114:$E$121,0))</f>
        <v>500</v>
      </c>
      <c r="R1529" s="143">
        <v>0</v>
      </c>
      <c r="S1529" s="5">
        <v>5</v>
      </c>
      <c r="T1529" s="5" t="s">
        <v>221</v>
      </c>
      <c r="V1529" s="7" t="str">
        <f t="array" ref="V1529">INDEX(xlRTCLNAME,MATCH(1,(xlRTCLENDU=1)*(xlRTCLEQCL=$D1529),0))</f>
        <v>ELEC_HP</v>
      </c>
      <c r="W1529" s="7" t="str">
        <f t="array" ref="W1529">INDEX(xlRTCLNAME,MATCH(1,(xlRTCLENDU=2)*(xlRTCLEQCL=$F1529),0))</f>
        <v>ELEC_HP</v>
      </c>
      <c r="X1529" s="7" t="str">
        <f t="array" ref="X1529">INDEX(xlRTTYNAME,MATCH(1,(xlRTTYENDU=1)*(xlRTTYEQCL=$D1529)*(xlRTEQTYPE=$E1529),0))</f>
        <v>ELEC_HP4</v>
      </c>
      <c r="Y1529" s="7" t="str">
        <f t="array" ref="Y1529">INDEX(xlRTTYNAME,MATCH(1,(xlRTTYENDU=2)*(xlRTTYEQCL=$F1529)*(xlRTEQTYPE=$G1529),0))</f>
        <v>ELEC_HP4</v>
      </c>
    </row>
    <row r="1530" spans="2:25" ht="14.25" customHeight="1" x14ac:dyDescent="0.2">
      <c r="B1530" s="5">
        <v>6</v>
      </c>
      <c r="C1530" s="5">
        <v>2</v>
      </c>
      <c r="D1530" s="5">
        <v>2</v>
      </c>
      <c r="E1530" s="5">
        <v>5</v>
      </c>
      <c r="F1530" s="5">
        <v>3</v>
      </c>
      <c r="G1530" s="31">
        <v>11</v>
      </c>
      <c r="H1530" s="5">
        <v>2033</v>
      </c>
      <c r="I1530" s="5">
        <v>2050</v>
      </c>
      <c r="J1530" s="142">
        <v>1.087</v>
      </c>
      <c r="K1530" s="142">
        <v>1.0385</v>
      </c>
      <c r="L1530" s="142">
        <v>0.44379999999999997</v>
      </c>
      <c r="M1530" s="142">
        <v>1.0546</v>
      </c>
      <c r="N1530" s="142">
        <v>1.3324</v>
      </c>
      <c r="O1530" s="142">
        <v>1.0538000000000001</v>
      </c>
      <c r="P1530" s="26">
        <v>3572.4275135862376</v>
      </c>
      <c r="Q1530" s="35">
        <f t="array" ref="Q1530">SUM(IF(($S1530&gt;=4)*($C1530='TaxCred&amp;Subs'!$D$114:$D$121)*($H1530='TaxCred&amp;Subs'!$C$114:$C$121)*($H1530&lt;='TaxCred&amp;Subs'!$C$123),'TaxCred&amp;Subs'!$E$114:$E$121,0))</f>
        <v>0</v>
      </c>
      <c r="R1530" s="143">
        <v>0</v>
      </c>
      <c r="S1530" s="5">
        <v>5</v>
      </c>
      <c r="T1530" s="5" t="s">
        <v>221</v>
      </c>
      <c r="V1530" s="7" t="str">
        <f t="array" ref="V1530">INDEX(xlRTCLNAME,MATCH(1,(xlRTCLENDU=1)*(xlRTCLEQCL=$D1530),0))</f>
        <v>ELEC_HP</v>
      </c>
      <c r="W1530" s="7" t="str">
        <f t="array" ref="W1530">INDEX(xlRTCLNAME,MATCH(1,(xlRTCLENDU=2)*(xlRTCLEQCL=$F1530),0))</f>
        <v>ELEC_HP</v>
      </c>
      <c r="X1530" s="7" t="str">
        <f t="array" ref="X1530">INDEX(xlRTTYNAME,MATCH(1,(xlRTTYENDU=1)*(xlRTTYEQCL=$D1530)*(xlRTEQTYPE=$E1530),0))</f>
        <v>ELEC_HP4</v>
      </c>
      <c r="Y1530" s="7" t="str">
        <f t="array" ref="Y1530">INDEX(xlRTTYNAME,MATCH(1,(xlRTTYENDU=2)*(xlRTTYEQCL=$F1530)*(xlRTEQTYPE=$G1530),0))</f>
        <v>ELEC_HP4</v>
      </c>
    </row>
    <row r="1531" spans="2:25" ht="14.25" customHeight="1" x14ac:dyDescent="0.2">
      <c r="B1531" s="5">
        <v>7</v>
      </c>
      <c r="C1531" s="5">
        <v>2</v>
      </c>
      <c r="D1531" s="5">
        <v>2</v>
      </c>
      <c r="E1531" s="5">
        <v>5</v>
      </c>
      <c r="F1531" s="5">
        <v>3</v>
      </c>
      <c r="G1531" s="31">
        <v>11</v>
      </c>
      <c r="H1531" s="31">
        <v>2020</v>
      </c>
      <c r="I1531" s="5">
        <v>2022</v>
      </c>
      <c r="J1531" s="142">
        <v>1.1200000000000001</v>
      </c>
      <c r="K1531" s="142">
        <v>1.0435000000000001</v>
      </c>
      <c r="L1531" s="142">
        <v>0.44379999999999997</v>
      </c>
      <c r="M1531" s="142">
        <v>1.0569</v>
      </c>
      <c r="N1531" s="142">
        <v>1.4438</v>
      </c>
      <c r="O1531" s="142">
        <v>1.0538000000000001</v>
      </c>
      <c r="P1531" s="26">
        <v>3120.6640041526744</v>
      </c>
      <c r="Q1531" s="35">
        <f t="array" ref="Q1531">SUM(IF(($S1531&gt;=4)*($C1531='TaxCred&amp;Subs'!$D$114:$D$121)*($H1531='TaxCred&amp;Subs'!$C$114:$C$121)*($H1531&lt;='TaxCred&amp;Subs'!$C$123),'TaxCred&amp;Subs'!$E$114:$E$121,0))</f>
        <v>0</v>
      </c>
      <c r="R1531" s="143">
        <v>0</v>
      </c>
      <c r="S1531" s="5">
        <v>5</v>
      </c>
      <c r="T1531" s="5" t="s">
        <v>221</v>
      </c>
      <c r="V1531" s="7" t="str">
        <f t="array" ref="V1531">INDEX(xlRTCLNAME,MATCH(1,(xlRTCLENDU=1)*(xlRTCLEQCL=$D1531),0))</f>
        <v>ELEC_HP</v>
      </c>
      <c r="W1531" s="7" t="str">
        <f t="array" ref="W1531">INDEX(xlRTCLNAME,MATCH(1,(xlRTCLENDU=2)*(xlRTCLEQCL=$F1531),0))</f>
        <v>ELEC_HP</v>
      </c>
      <c r="X1531" s="7" t="str">
        <f t="array" ref="X1531">INDEX(xlRTTYNAME,MATCH(1,(xlRTTYENDU=1)*(xlRTTYEQCL=$D1531)*(xlRTEQTYPE=$E1531),0))</f>
        <v>ELEC_HP4</v>
      </c>
      <c r="Y1531" s="7" t="str">
        <f t="array" ref="Y1531">INDEX(xlRTTYNAME,MATCH(1,(xlRTTYENDU=2)*(xlRTTYEQCL=$F1531)*(xlRTEQTYPE=$G1531),0))</f>
        <v>ELEC_HP4</v>
      </c>
    </row>
    <row r="1532" spans="2:25" ht="14.25" customHeight="1" x14ac:dyDescent="0.2">
      <c r="B1532" s="5">
        <v>7</v>
      </c>
      <c r="C1532" s="5">
        <v>2</v>
      </c>
      <c r="D1532" s="5">
        <v>2</v>
      </c>
      <c r="E1532" s="5">
        <v>5</v>
      </c>
      <c r="F1532" s="5">
        <v>3</v>
      </c>
      <c r="G1532" s="31">
        <v>11</v>
      </c>
      <c r="H1532" s="5">
        <v>2023</v>
      </c>
      <c r="I1532" s="5">
        <v>2032</v>
      </c>
      <c r="J1532" s="142">
        <v>1.1200000000000001</v>
      </c>
      <c r="K1532" s="142">
        <v>1.0435000000000001</v>
      </c>
      <c r="L1532" s="142">
        <v>0.44379999999999997</v>
      </c>
      <c r="M1532" s="142">
        <v>1.0569</v>
      </c>
      <c r="N1532" s="142">
        <v>1.4438</v>
      </c>
      <c r="O1532" s="142">
        <v>1.0538000000000001</v>
      </c>
      <c r="P1532" s="26">
        <v>3120.6640041526744</v>
      </c>
      <c r="Q1532" s="35">
        <f t="array" ref="Q1532">SUM(IF(($S1532&gt;=4)*($C1532='TaxCred&amp;Subs'!$D$114:$D$121)*($H1532='TaxCred&amp;Subs'!$C$114:$C$121)*($H1532&lt;='TaxCred&amp;Subs'!$C$123),'TaxCred&amp;Subs'!$E$114:$E$121,0))</f>
        <v>500</v>
      </c>
      <c r="R1532" s="143">
        <v>0</v>
      </c>
      <c r="S1532" s="5">
        <v>5</v>
      </c>
      <c r="T1532" s="5" t="s">
        <v>221</v>
      </c>
      <c r="V1532" s="7" t="str">
        <f t="array" ref="V1532">INDEX(xlRTCLNAME,MATCH(1,(xlRTCLENDU=1)*(xlRTCLEQCL=$D1532),0))</f>
        <v>ELEC_HP</v>
      </c>
      <c r="W1532" s="7" t="str">
        <f t="array" ref="W1532">INDEX(xlRTCLNAME,MATCH(1,(xlRTCLENDU=2)*(xlRTCLEQCL=$F1532),0))</f>
        <v>ELEC_HP</v>
      </c>
      <c r="X1532" s="7" t="str">
        <f t="array" ref="X1532">INDEX(xlRTTYNAME,MATCH(1,(xlRTTYENDU=1)*(xlRTTYEQCL=$D1532)*(xlRTEQTYPE=$E1532),0))</f>
        <v>ELEC_HP4</v>
      </c>
      <c r="Y1532" s="7" t="str">
        <f t="array" ref="Y1532">INDEX(xlRTTYNAME,MATCH(1,(xlRTTYENDU=2)*(xlRTTYEQCL=$F1532)*(xlRTEQTYPE=$G1532),0))</f>
        <v>ELEC_HP4</v>
      </c>
    </row>
    <row r="1533" spans="2:25" ht="14.25" customHeight="1" x14ac:dyDescent="0.2">
      <c r="B1533" s="5">
        <v>7</v>
      </c>
      <c r="C1533" s="5">
        <v>2</v>
      </c>
      <c r="D1533" s="5">
        <v>2</v>
      </c>
      <c r="E1533" s="5">
        <v>5</v>
      </c>
      <c r="F1533" s="5">
        <v>3</v>
      </c>
      <c r="G1533" s="31">
        <v>11</v>
      </c>
      <c r="H1533" s="5">
        <v>2033</v>
      </c>
      <c r="I1533" s="5">
        <v>2050</v>
      </c>
      <c r="J1533" s="142">
        <v>1.1200000000000001</v>
      </c>
      <c r="K1533" s="142">
        <v>1.0435000000000001</v>
      </c>
      <c r="L1533" s="142">
        <v>0.44379999999999997</v>
      </c>
      <c r="M1533" s="142">
        <v>1.0569</v>
      </c>
      <c r="N1533" s="142">
        <v>1.4438</v>
      </c>
      <c r="O1533" s="142">
        <v>1.0538000000000001</v>
      </c>
      <c r="P1533" s="26">
        <v>3120.6640041526744</v>
      </c>
      <c r="Q1533" s="35">
        <f t="array" ref="Q1533">SUM(IF(($S1533&gt;=4)*($C1533='TaxCred&amp;Subs'!$D$114:$D$121)*($H1533='TaxCred&amp;Subs'!$C$114:$C$121)*($H1533&lt;='TaxCred&amp;Subs'!$C$123),'TaxCred&amp;Subs'!$E$114:$E$121,0))</f>
        <v>0</v>
      </c>
      <c r="R1533" s="143">
        <v>0</v>
      </c>
      <c r="S1533" s="5">
        <v>5</v>
      </c>
      <c r="T1533" s="5" t="s">
        <v>221</v>
      </c>
      <c r="V1533" s="7" t="str">
        <f t="array" ref="V1533">INDEX(xlRTCLNAME,MATCH(1,(xlRTCLENDU=1)*(xlRTCLEQCL=$D1533),0))</f>
        <v>ELEC_HP</v>
      </c>
      <c r="W1533" s="7" t="str">
        <f t="array" ref="W1533">INDEX(xlRTCLNAME,MATCH(1,(xlRTCLENDU=2)*(xlRTCLEQCL=$F1533),0))</f>
        <v>ELEC_HP</v>
      </c>
      <c r="X1533" s="7" t="str">
        <f t="array" ref="X1533">INDEX(xlRTTYNAME,MATCH(1,(xlRTTYENDU=1)*(xlRTTYEQCL=$D1533)*(xlRTEQTYPE=$E1533),0))</f>
        <v>ELEC_HP4</v>
      </c>
      <c r="Y1533" s="7" t="str">
        <f t="array" ref="Y1533">INDEX(xlRTTYNAME,MATCH(1,(xlRTTYENDU=2)*(xlRTTYEQCL=$F1533)*(xlRTEQTYPE=$G1533),0))</f>
        <v>ELEC_HP4</v>
      </c>
    </row>
    <row r="1534" spans="2:25" ht="14.25" customHeight="1" x14ac:dyDescent="0.2">
      <c r="B1534" s="5">
        <v>8</v>
      </c>
      <c r="C1534" s="5">
        <v>2</v>
      </c>
      <c r="D1534" s="5">
        <v>2</v>
      </c>
      <c r="E1534" s="5">
        <v>5</v>
      </c>
      <c r="F1534" s="5">
        <v>3</v>
      </c>
      <c r="G1534" s="31">
        <v>11</v>
      </c>
      <c r="H1534" s="31">
        <v>2020</v>
      </c>
      <c r="I1534" s="5">
        <v>2022</v>
      </c>
      <c r="J1534" s="142">
        <v>1.0889</v>
      </c>
      <c r="K1534" s="142">
        <v>1.0313000000000001</v>
      </c>
      <c r="L1534" s="142">
        <v>0.54059999999999997</v>
      </c>
      <c r="M1534" s="142">
        <v>1.2087000000000001</v>
      </c>
      <c r="N1534" s="142">
        <v>1.2706</v>
      </c>
      <c r="O1534" s="142">
        <v>1.0538000000000001</v>
      </c>
      <c r="P1534" s="26">
        <v>3884.3594605760777</v>
      </c>
      <c r="Q1534" s="35">
        <f t="array" ref="Q1534">SUM(IF(($S1534&gt;=4)*($C1534='TaxCred&amp;Subs'!$D$114:$D$121)*($H1534='TaxCred&amp;Subs'!$C$114:$C$121)*($H1534&lt;='TaxCred&amp;Subs'!$C$123),'TaxCred&amp;Subs'!$E$114:$E$121,0))</f>
        <v>0</v>
      </c>
      <c r="R1534" s="143">
        <v>0</v>
      </c>
      <c r="S1534" s="5">
        <v>5</v>
      </c>
      <c r="T1534" s="5" t="s">
        <v>221</v>
      </c>
      <c r="V1534" s="7" t="str">
        <f t="array" ref="V1534">INDEX(xlRTCLNAME,MATCH(1,(xlRTCLENDU=1)*(xlRTCLEQCL=$D1534),0))</f>
        <v>ELEC_HP</v>
      </c>
      <c r="W1534" s="7" t="str">
        <f t="array" ref="W1534">INDEX(xlRTCLNAME,MATCH(1,(xlRTCLENDU=2)*(xlRTCLEQCL=$F1534),0))</f>
        <v>ELEC_HP</v>
      </c>
      <c r="X1534" s="7" t="str">
        <f t="array" ref="X1534">INDEX(xlRTTYNAME,MATCH(1,(xlRTTYENDU=1)*(xlRTTYEQCL=$D1534)*(xlRTEQTYPE=$E1534),0))</f>
        <v>ELEC_HP4</v>
      </c>
      <c r="Y1534" s="7" t="str">
        <f t="array" ref="Y1534">INDEX(xlRTTYNAME,MATCH(1,(xlRTTYENDU=2)*(xlRTTYEQCL=$F1534)*(xlRTEQTYPE=$G1534),0))</f>
        <v>ELEC_HP4</v>
      </c>
    </row>
    <row r="1535" spans="2:25" ht="14.25" customHeight="1" x14ac:dyDescent="0.2">
      <c r="B1535" s="5">
        <v>8</v>
      </c>
      <c r="C1535" s="5">
        <v>2</v>
      </c>
      <c r="D1535" s="5">
        <v>2</v>
      </c>
      <c r="E1535" s="5">
        <v>5</v>
      </c>
      <c r="F1535" s="5">
        <v>3</v>
      </c>
      <c r="G1535" s="31">
        <v>11</v>
      </c>
      <c r="H1535" s="5">
        <v>2023</v>
      </c>
      <c r="I1535" s="5">
        <v>2032</v>
      </c>
      <c r="J1535" s="142">
        <v>1.0889</v>
      </c>
      <c r="K1535" s="142">
        <v>1.0313000000000001</v>
      </c>
      <c r="L1535" s="142">
        <v>0.54059999999999997</v>
      </c>
      <c r="M1535" s="142">
        <v>1.2087000000000001</v>
      </c>
      <c r="N1535" s="142">
        <v>1.2706</v>
      </c>
      <c r="O1535" s="142">
        <v>1.0538000000000001</v>
      </c>
      <c r="P1535" s="26">
        <v>3884.3594605760777</v>
      </c>
      <c r="Q1535" s="35">
        <f t="array" ref="Q1535">SUM(IF(($S1535&gt;=4)*($C1535='TaxCred&amp;Subs'!$D$114:$D$121)*($H1535='TaxCred&amp;Subs'!$C$114:$C$121)*($H1535&lt;='TaxCred&amp;Subs'!$C$123),'TaxCred&amp;Subs'!$E$114:$E$121,0))</f>
        <v>500</v>
      </c>
      <c r="R1535" s="143">
        <v>0</v>
      </c>
      <c r="S1535" s="5">
        <v>5</v>
      </c>
      <c r="T1535" s="5" t="s">
        <v>221</v>
      </c>
      <c r="V1535" s="7" t="str">
        <f t="array" ref="V1535">INDEX(xlRTCLNAME,MATCH(1,(xlRTCLENDU=1)*(xlRTCLEQCL=$D1535),0))</f>
        <v>ELEC_HP</v>
      </c>
      <c r="W1535" s="7" t="str">
        <f t="array" ref="W1535">INDEX(xlRTCLNAME,MATCH(1,(xlRTCLENDU=2)*(xlRTCLEQCL=$F1535),0))</f>
        <v>ELEC_HP</v>
      </c>
      <c r="X1535" s="7" t="str">
        <f t="array" ref="X1535">INDEX(xlRTTYNAME,MATCH(1,(xlRTTYENDU=1)*(xlRTTYEQCL=$D1535)*(xlRTEQTYPE=$E1535),0))</f>
        <v>ELEC_HP4</v>
      </c>
      <c r="Y1535" s="7" t="str">
        <f t="array" ref="Y1535">INDEX(xlRTTYNAME,MATCH(1,(xlRTTYENDU=2)*(xlRTTYEQCL=$F1535)*(xlRTEQTYPE=$G1535),0))</f>
        <v>ELEC_HP4</v>
      </c>
    </row>
    <row r="1536" spans="2:25" ht="14.25" customHeight="1" x14ac:dyDescent="0.2">
      <c r="B1536" s="5">
        <v>8</v>
      </c>
      <c r="C1536" s="5">
        <v>2</v>
      </c>
      <c r="D1536" s="5">
        <v>2</v>
      </c>
      <c r="E1536" s="5">
        <v>5</v>
      </c>
      <c r="F1536" s="5">
        <v>3</v>
      </c>
      <c r="G1536" s="31">
        <v>11</v>
      </c>
      <c r="H1536" s="5">
        <v>2033</v>
      </c>
      <c r="I1536" s="5">
        <v>2050</v>
      </c>
      <c r="J1536" s="142">
        <v>1.0889</v>
      </c>
      <c r="K1536" s="142">
        <v>1.0313000000000001</v>
      </c>
      <c r="L1536" s="142">
        <v>0.54059999999999997</v>
      </c>
      <c r="M1536" s="142">
        <v>1.2087000000000001</v>
      </c>
      <c r="N1536" s="142">
        <v>1.2706</v>
      </c>
      <c r="O1536" s="142">
        <v>1.0538000000000001</v>
      </c>
      <c r="P1536" s="26">
        <v>3884.3594605760777</v>
      </c>
      <c r="Q1536" s="35">
        <f t="array" ref="Q1536">SUM(IF(($S1536&gt;=4)*($C1536='TaxCred&amp;Subs'!$D$114:$D$121)*($H1536='TaxCred&amp;Subs'!$C$114:$C$121)*($H1536&lt;='TaxCred&amp;Subs'!$C$123),'TaxCred&amp;Subs'!$E$114:$E$121,0))</f>
        <v>0</v>
      </c>
      <c r="R1536" s="143">
        <v>0</v>
      </c>
      <c r="S1536" s="5">
        <v>5</v>
      </c>
      <c r="T1536" s="5" t="s">
        <v>221</v>
      </c>
      <c r="V1536" s="7" t="str">
        <f t="array" ref="V1536">INDEX(xlRTCLNAME,MATCH(1,(xlRTCLENDU=1)*(xlRTCLEQCL=$D1536),0))</f>
        <v>ELEC_HP</v>
      </c>
      <c r="W1536" s="7" t="str">
        <f t="array" ref="W1536">INDEX(xlRTCLNAME,MATCH(1,(xlRTCLENDU=2)*(xlRTCLEQCL=$F1536),0))</f>
        <v>ELEC_HP</v>
      </c>
      <c r="X1536" s="7" t="str">
        <f t="array" ref="X1536">INDEX(xlRTTYNAME,MATCH(1,(xlRTTYENDU=1)*(xlRTTYEQCL=$D1536)*(xlRTEQTYPE=$E1536),0))</f>
        <v>ELEC_HP4</v>
      </c>
      <c r="Y1536" s="7" t="str">
        <f t="array" ref="Y1536">INDEX(xlRTTYNAME,MATCH(1,(xlRTTYENDU=2)*(xlRTTYEQCL=$F1536)*(xlRTEQTYPE=$G1536),0))</f>
        <v>ELEC_HP4</v>
      </c>
    </row>
    <row r="1537" spans="2:25" ht="14.25" customHeight="1" x14ac:dyDescent="0.2">
      <c r="B1537" s="5">
        <v>9</v>
      </c>
      <c r="C1537" s="5">
        <v>2</v>
      </c>
      <c r="D1537" s="5">
        <v>2</v>
      </c>
      <c r="E1537" s="5">
        <v>5</v>
      </c>
      <c r="F1537" s="5">
        <v>3</v>
      </c>
      <c r="G1537" s="31">
        <v>11</v>
      </c>
      <c r="H1537" s="31">
        <v>2020</v>
      </c>
      <c r="I1537" s="5">
        <v>2022</v>
      </c>
      <c r="J1537" s="142">
        <v>1.1200000000000001</v>
      </c>
      <c r="K1537" s="142">
        <v>1.0512999999999999</v>
      </c>
      <c r="L1537" s="142">
        <v>0.44379999999999997</v>
      </c>
      <c r="M1537" s="142">
        <v>1.1167</v>
      </c>
      <c r="N1537" s="142">
        <v>1.4438</v>
      </c>
      <c r="O1537" s="142">
        <v>1.0538000000000001</v>
      </c>
      <c r="P1537" s="26">
        <v>4447.7193131137647</v>
      </c>
      <c r="Q1537" s="35">
        <f t="array" ref="Q1537">SUM(IF(($S1537&gt;=4)*($C1537='TaxCred&amp;Subs'!$D$114:$D$121)*($H1537='TaxCred&amp;Subs'!$C$114:$C$121)*($H1537&lt;='TaxCred&amp;Subs'!$C$123),'TaxCred&amp;Subs'!$E$114:$E$121,0))</f>
        <v>0</v>
      </c>
      <c r="R1537" s="143">
        <v>0</v>
      </c>
      <c r="S1537" s="5">
        <v>5</v>
      </c>
      <c r="T1537" s="5" t="s">
        <v>221</v>
      </c>
      <c r="V1537" s="7" t="str">
        <f t="array" ref="V1537">INDEX(xlRTCLNAME,MATCH(1,(xlRTCLENDU=1)*(xlRTCLEQCL=$D1537),0))</f>
        <v>ELEC_HP</v>
      </c>
      <c r="W1537" s="7" t="str">
        <f t="array" ref="W1537">INDEX(xlRTCLNAME,MATCH(1,(xlRTCLENDU=2)*(xlRTCLEQCL=$F1537),0))</f>
        <v>ELEC_HP</v>
      </c>
      <c r="X1537" s="7" t="str">
        <f t="array" ref="X1537">INDEX(xlRTTYNAME,MATCH(1,(xlRTTYENDU=1)*(xlRTTYEQCL=$D1537)*(xlRTEQTYPE=$E1537),0))</f>
        <v>ELEC_HP4</v>
      </c>
      <c r="Y1537" s="7" t="str">
        <f t="array" ref="Y1537">INDEX(xlRTTYNAME,MATCH(1,(xlRTTYENDU=2)*(xlRTTYEQCL=$F1537)*(xlRTEQTYPE=$G1537),0))</f>
        <v>ELEC_HP4</v>
      </c>
    </row>
    <row r="1538" spans="2:25" ht="14.25" customHeight="1" x14ac:dyDescent="0.2">
      <c r="B1538" s="5">
        <v>9</v>
      </c>
      <c r="C1538" s="5">
        <v>2</v>
      </c>
      <c r="D1538" s="5">
        <v>2</v>
      </c>
      <c r="E1538" s="5">
        <v>5</v>
      </c>
      <c r="F1538" s="5">
        <v>3</v>
      </c>
      <c r="G1538" s="31">
        <v>11</v>
      </c>
      <c r="H1538" s="5">
        <v>2023</v>
      </c>
      <c r="I1538" s="5">
        <v>2032</v>
      </c>
      <c r="J1538" s="142">
        <v>1.1200000000000001</v>
      </c>
      <c r="K1538" s="142">
        <v>1.0512999999999999</v>
      </c>
      <c r="L1538" s="142">
        <v>0.44379999999999997</v>
      </c>
      <c r="M1538" s="142">
        <v>1.1167</v>
      </c>
      <c r="N1538" s="142">
        <v>1.4438</v>
      </c>
      <c r="O1538" s="142">
        <v>1.0538000000000001</v>
      </c>
      <c r="P1538" s="26">
        <v>4447.7193131137647</v>
      </c>
      <c r="Q1538" s="35">
        <f t="array" ref="Q1538">SUM(IF(($S1538&gt;=4)*($C1538='TaxCred&amp;Subs'!$D$114:$D$121)*($H1538='TaxCred&amp;Subs'!$C$114:$C$121)*($H1538&lt;='TaxCred&amp;Subs'!$C$123),'TaxCred&amp;Subs'!$E$114:$E$121,0))</f>
        <v>500</v>
      </c>
      <c r="R1538" s="143">
        <v>0</v>
      </c>
      <c r="S1538" s="5">
        <v>5</v>
      </c>
      <c r="T1538" s="5" t="s">
        <v>221</v>
      </c>
      <c r="V1538" s="7" t="str">
        <f t="array" ref="V1538">INDEX(xlRTCLNAME,MATCH(1,(xlRTCLENDU=1)*(xlRTCLEQCL=$D1538),0))</f>
        <v>ELEC_HP</v>
      </c>
      <c r="W1538" s="7" t="str">
        <f t="array" ref="W1538">INDEX(xlRTCLNAME,MATCH(1,(xlRTCLENDU=2)*(xlRTCLEQCL=$F1538),0))</f>
        <v>ELEC_HP</v>
      </c>
      <c r="X1538" s="7" t="str">
        <f t="array" ref="X1538">INDEX(xlRTTYNAME,MATCH(1,(xlRTTYENDU=1)*(xlRTTYEQCL=$D1538)*(xlRTEQTYPE=$E1538),0))</f>
        <v>ELEC_HP4</v>
      </c>
      <c r="Y1538" s="7" t="str">
        <f t="array" ref="Y1538">INDEX(xlRTTYNAME,MATCH(1,(xlRTTYENDU=2)*(xlRTTYEQCL=$F1538)*(xlRTEQTYPE=$G1538),0))</f>
        <v>ELEC_HP4</v>
      </c>
    </row>
    <row r="1539" spans="2:25" ht="14.25" customHeight="1" x14ac:dyDescent="0.2">
      <c r="B1539" s="5">
        <v>9</v>
      </c>
      <c r="C1539" s="5">
        <v>2</v>
      </c>
      <c r="D1539" s="5">
        <v>2</v>
      </c>
      <c r="E1539" s="5">
        <v>5</v>
      </c>
      <c r="F1539" s="5">
        <v>3</v>
      </c>
      <c r="G1539" s="31">
        <v>11</v>
      </c>
      <c r="H1539" s="5">
        <v>2033</v>
      </c>
      <c r="I1539" s="5">
        <v>2050</v>
      </c>
      <c r="J1539" s="142">
        <v>1.1200000000000001</v>
      </c>
      <c r="K1539" s="142">
        <v>1.0512999999999999</v>
      </c>
      <c r="L1539" s="142">
        <v>0.44379999999999997</v>
      </c>
      <c r="M1539" s="142">
        <v>1.1167</v>
      </c>
      <c r="N1539" s="142">
        <v>1.4438</v>
      </c>
      <c r="O1539" s="142">
        <v>1.0538000000000001</v>
      </c>
      <c r="P1539" s="26">
        <v>4447.7193131137647</v>
      </c>
      <c r="Q1539" s="35">
        <f t="array" ref="Q1539">SUM(IF(($S1539&gt;=4)*($C1539='TaxCred&amp;Subs'!$D$114:$D$121)*($H1539='TaxCred&amp;Subs'!$C$114:$C$121)*($H1539&lt;='TaxCred&amp;Subs'!$C$123),'TaxCred&amp;Subs'!$E$114:$E$121,0))</f>
        <v>0</v>
      </c>
      <c r="R1539" s="143">
        <v>0</v>
      </c>
      <c r="S1539" s="5">
        <v>5</v>
      </c>
      <c r="T1539" s="5" t="s">
        <v>221</v>
      </c>
      <c r="V1539" s="7" t="str">
        <f t="array" ref="V1539">INDEX(xlRTCLNAME,MATCH(1,(xlRTCLENDU=1)*(xlRTCLEQCL=$D1539),0))</f>
        <v>ELEC_HP</v>
      </c>
      <c r="W1539" s="7" t="str">
        <f t="array" ref="W1539">INDEX(xlRTCLNAME,MATCH(1,(xlRTCLENDU=2)*(xlRTCLEQCL=$F1539),0))</f>
        <v>ELEC_HP</v>
      </c>
      <c r="X1539" s="7" t="str">
        <f t="array" ref="X1539">INDEX(xlRTTYNAME,MATCH(1,(xlRTTYENDU=1)*(xlRTTYEQCL=$D1539)*(xlRTEQTYPE=$E1539),0))</f>
        <v>ELEC_HP4</v>
      </c>
      <c r="Y1539" s="7" t="str">
        <f t="array" ref="Y1539">INDEX(xlRTTYNAME,MATCH(1,(xlRTTYENDU=2)*(xlRTTYEQCL=$F1539)*(xlRTEQTYPE=$G1539),0))</f>
        <v>ELEC_HP4</v>
      </c>
    </row>
    <row r="1540" spans="2:25" ht="14.25" customHeight="1" x14ac:dyDescent="0.2">
      <c r="B1540" s="5">
        <v>1</v>
      </c>
      <c r="C1540" s="5">
        <v>2</v>
      </c>
      <c r="D1540" s="5">
        <v>3</v>
      </c>
      <c r="E1540" s="5">
        <v>9</v>
      </c>
      <c r="F1540" s="5">
        <v>2</v>
      </c>
      <c r="G1540" s="31">
        <v>7</v>
      </c>
      <c r="H1540" s="31">
        <v>2020</v>
      </c>
      <c r="I1540" s="5">
        <v>2022</v>
      </c>
      <c r="J1540" s="142">
        <v>1.1042000000000001</v>
      </c>
      <c r="K1540" s="142">
        <v>1.0417000000000001</v>
      </c>
      <c r="L1540" s="142">
        <v>0.58399999999999996</v>
      </c>
      <c r="M1540" s="142">
        <v>1.1228</v>
      </c>
      <c r="N1540" s="142">
        <v>1.1127</v>
      </c>
      <c r="O1540" s="142">
        <v>1.0538000000000001</v>
      </c>
      <c r="P1540" s="26">
        <v>5076.9613441105121</v>
      </c>
      <c r="Q1540" s="35">
        <f t="array" ref="Q1540">SUM(IF(($S1540&gt;=4)*($C1540='TaxCred&amp;Subs'!$D$114:$D$121)*($H1540='TaxCred&amp;Subs'!$C$114:$C$121)*($H1540&lt;='TaxCred&amp;Subs'!$C$123),'TaxCred&amp;Subs'!$E$114:$E$121,0))</f>
        <v>0</v>
      </c>
      <c r="R1540" s="143">
        <v>0</v>
      </c>
      <c r="S1540" s="5">
        <v>5</v>
      </c>
      <c r="T1540" s="5" t="s">
        <v>221</v>
      </c>
      <c r="V1540" s="7" t="str">
        <f t="array" ref="V1540">INDEX(xlRTCLNAME,MATCH(1,(xlRTCLENDU=1)*(xlRTCLEQCL=$D1540),0))</f>
        <v>NG_FA</v>
      </c>
      <c r="W1540" s="7" t="str">
        <f t="array" ref="W1540">INDEX(xlRTCLNAME,MATCH(1,(xlRTCLENDU=2)*(xlRTCLEQCL=$F1540),0))</f>
        <v>CENT_AIR</v>
      </c>
      <c r="X1540" s="7" t="str">
        <f t="array" ref="X1540">INDEX(xlRTTYNAME,MATCH(1,(xlRTTYENDU=1)*(xlRTTYEQCL=$D1540)*(xlRTEQTYPE=$E1540),0))</f>
        <v>NG_FA4</v>
      </c>
      <c r="Y1540" s="7" t="str">
        <f t="array" ref="Y1540">INDEX(xlRTTYNAME,MATCH(1,(xlRTTYENDU=2)*(xlRTTYEQCL=$F1540)*(xlRTEQTYPE=$G1540),0))</f>
        <v>CENT_AIR4</v>
      </c>
    </row>
    <row r="1541" spans="2:25" ht="14.25" customHeight="1" x14ac:dyDescent="0.2">
      <c r="B1541" s="5">
        <v>1</v>
      </c>
      <c r="C1541" s="5">
        <v>2</v>
      </c>
      <c r="D1541" s="5">
        <v>3</v>
      </c>
      <c r="E1541" s="5">
        <v>9</v>
      </c>
      <c r="F1541" s="5">
        <v>2</v>
      </c>
      <c r="G1541" s="31">
        <v>7</v>
      </c>
      <c r="H1541" s="5">
        <v>2023</v>
      </c>
      <c r="I1541" s="5">
        <v>2032</v>
      </c>
      <c r="J1541" s="142">
        <v>1.1042000000000001</v>
      </c>
      <c r="K1541" s="142">
        <v>1.0417000000000001</v>
      </c>
      <c r="L1541" s="142">
        <v>0.58399999999999996</v>
      </c>
      <c r="M1541" s="142">
        <v>1.1228</v>
      </c>
      <c r="N1541" s="142">
        <v>1.1127</v>
      </c>
      <c r="O1541" s="142">
        <v>1.0538000000000001</v>
      </c>
      <c r="P1541" s="26">
        <v>5076.9613441105121</v>
      </c>
      <c r="Q1541" s="35">
        <f t="array" ref="Q1541">SUM(IF(($S1541&gt;=4)*($C1541='TaxCred&amp;Subs'!$D$114:$D$121)*($H1541='TaxCred&amp;Subs'!$C$114:$C$121)*($H1541&lt;='TaxCred&amp;Subs'!$C$123),'TaxCred&amp;Subs'!$E$114:$E$121,0))</f>
        <v>500</v>
      </c>
      <c r="R1541" s="143">
        <v>0</v>
      </c>
      <c r="S1541" s="5">
        <v>5</v>
      </c>
      <c r="T1541" s="5" t="s">
        <v>221</v>
      </c>
      <c r="V1541" s="7" t="str">
        <f t="array" ref="V1541">INDEX(xlRTCLNAME,MATCH(1,(xlRTCLENDU=1)*(xlRTCLEQCL=$D1541),0))</f>
        <v>NG_FA</v>
      </c>
      <c r="W1541" s="7" t="str">
        <f t="array" ref="W1541">INDEX(xlRTCLNAME,MATCH(1,(xlRTCLENDU=2)*(xlRTCLEQCL=$F1541),0))</f>
        <v>CENT_AIR</v>
      </c>
      <c r="X1541" s="7" t="str">
        <f t="array" ref="X1541">INDEX(xlRTTYNAME,MATCH(1,(xlRTTYENDU=1)*(xlRTTYEQCL=$D1541)*(xlRTEQTYPE=$E1541),0))</f>
        <v>NG_FA4</v>
      </c>
      <c r="Y1541" s="7" t="str">
        <f t="array" ref="Y1541">INDEX(xlRTTYNAME,MATCH(1,(xlRTTYENDU=2)*(xlRTTYEQCL=$F1541)*(xlRTEQTYPE=$G1541),0))</f>
        <v>CENT_AIR4</v>
      </c>
    </row>
    <row r="1542" spans="2:25" ht="14.25" customHeight="1" x14ac:dyDescent="0.2">
      <c r="B1542" s="5">
        <v>1</v>
      </c>
      <c r="C1542" s="5">
        <v>2</v>
      </c>
      <c r="D1542" s="5">
        <v>3</v>
      </c>
      <c r="E1542" s="5">
        <v>9</v>
      </c>
      <c r="F1542" s="5">
        <v>2</v>
      </c>
      <c r="G1542" s="31">
        <v>7</v>
      </c>
      <c r="H1542" s="5">
        <v>2033</v>
      </c>
      <c r="I1542" s="5">
        <v>2050</v>
      </c>
      <c r="J1542" s="142">
        <v>1.1042000000000001</v>
      </c>
      <c r="K1542" s="142">
        <v>1.0417000000000001</v>
      </c>
      <c r="L1542" s="142">
        <v>0.58399999999999996</v>
      </c>
      <c r="M1542" s="142">
        <v>1.1228</v>
      </c>
      <c r="N1542" s="142">
        <v>1.1127</v>
      </c>
      <c r="O1542" s="142">
        <v>1.0538000000000001</v>
      </c>
      <c r="P1542" s="26">
        <v>5076.9613441105121</v>
      </c>
      <c r="Q1542" s="35">
        <f t="array" ref="Q1542">SUM(IF(($S1542&gt;=4)*($C1542='TaxCred&amp;Subs'!$D$114:$D$121)*($H1542='TaxCred&amp;Subs'!$C$114:$C$121)*($H1542&lt;='TaxCred&amp;Subs'!$C$123),'TaxCred&amp;Subs'!$E$114:$E$121,0))</f>
        <v>0</v>
      </c>
      <c r="R1542" s="143">
        <v>0</v>
      </c>
      <c r="S1542" s="5">
        <v>5</v>
      </c>
      <c r="T1542" s="5" t="s">
        <v>221</v>
      </c>
      <c r="V1542" s="7" t="str">
        <f t="array" ref="V1542">INDEX(xlRTCLNAME,MATCH(1,(xlRTCLENDU=1)*(xlRTCLEQCL=$D1542),0))</f>
        <v>NG_FA</v>
      </c>
      <c r="W1542" s="7" t="str">
        <f t="array" ref="W1542">INDEX(xlRTCLNAME,MATCH(1,(xlRTCLENDU=2)*(xlRTCLEQCL=$F1542),0))</f>
        <v>CENT_AIR</v>
      </c>
      <c r="X1542" s="7" t="str">
        <f t="array" ref="X1542">INDEX(xlRTTYNAME,MATCH(1,(xlRTTYENDU=1)*(xlRTTYEQCL=$D1542)*(xlRTEQTYPE=$E1542),0))</f>
        <v>NG_FA4</v>
      </c>
      <c r="Y1542" s="7" t="str">
        <f t="array" ref="Y1542">INDEX(xlRTTYNAME,MATCH(1,(xlRTTYENDU=2)*(xlRTTYEQCL=$F1542)*(xlRTEQTYPE=$G1542),0))</f>
        <v>CENT_AIR4</v>
      </c>
    </row>
    <row r="1543" spans="2:25" ht="14.25" customHeight="1" x14ac:dyDescent="0.2">
      <c r="B1543" s="5">
        <v>2</v>
      </c>
      <c r="C1543" s="5">
        <v>2</v>
      </c>
      <c r="D1543" s="5">
        <v>3</v>
      </c>
      <c r="E1543" s="5">
        <v>9</v>
      </c>
      <c r="F1543" s="5">
        <v>2</v>
      </c>
      <c r="G1543" s="31">
        <v>7</v>
      </c>
      <c r="H1543" s="31">
        <v>2020</v>
      </c>
      <c r="I1543" s="5">
        <v>2022</v>
      </c>
      <c r="J1543" s="142">
        <v>1.0847</v>
      </c>
      <c r="K1543" s="142">
        <v>1.0357000000000001</v>
      </c>
      <c r="L1543" s="142">
        <v>0.56759999999999999</v>
      </c>
      <c r="M1543" s="142">
        <v>1.1416999999999999</v>
      </c>
      <c r="N1543" s="142">
        <v>1.1162000000000001</v>
      </c>
      <c r="O1543" s="142">
        <v>1.0538000000000001</v>
      </c>
      <c r="P1543" s="26">
        <v>4802.6763562401347</v>
      </c>
      <c r="Q1543" s="35">
        <f t="array" ref="Q1543">SUM(IF(($S1543&gt;=4)*($C1543='TaxCred&amp;Subs'!$D$114:$D$121)*($H1543='TaxCred&amp;Subs'!$C$114:$C$121)*($H1543&lt;='TaxCred&amp;Subs'!$C$123),'TaxCred&amp;Subs'!$E$114:$E$121,0))</f>
        <v>0</v>
      </c>
      <c r="R1543" s="143">
        <v>0</v>
      </c>
      <c r="S1543" s="5">
        <v>5</v>
      </c>
      <c r="T1543" s="5" t="s">
        <v>221</v>
      </c>
      <c r="V1543" s="7" t="str">
        <f t="array" ref="V1543">INDEX(xlRTCLNAME,MATCH(1,(xlRTCLENDU=1)*(xlRTCLEQCL=$D1543),0))</f>
        <v>NG_FA</v>
      </c>
      <c r="W1543" s="7" t="str">
        <f t="array" ref="W1543">INDEX(xlRTCLNAME,MATCH(1,(xlRTCLENDU=2)*(xlRTCLEQCL=$F1543),0))</f>
        <v>CENT_AIR</v>
      </c>
      <c r="X1543" s="7" t="str">
        <f t="array" ref="X1543">INDEX(xlRTTYNAME,MATCH(1,(xlRTTYENDU=1)*(xlRTTYEQCL=$D1543)*(xlRTEQTYPE=$E1543),0))</f>
        <v>NG_FA4</v>
      </c>
      <c r="Y1543" s="7" t="str">
        <f t="array" ref="Y1543">INDEX(xlRTTYNAME,MATCH(1,(xlRTTYENDU=2)*(xlRTTYEQCL=$F1543)*(xlRTEQTYPE=$G1543),0))</f>
        <v>CENT_AIR4</v>
      </c>
    </row>
    <row r="1544" spans="2:25" ht="14.25" customHeight="1" x14ac:dyDescent="0.2">
      <c r="B1544" s="5">
        <v>2</v>
      </c>
      <c r="C1544" s="5">
        <v>2</v>
      </c>
      <c r="D1544" s="5">
        <v>3</v>
      </c>
      <c r="E1544" s="5">
        <v>9</v>
      </c>
      <c r="F1544" s="5">
        <v>2</v>
      </c>
      <c r="G1544" s="31">
        <v>7</v>
      </c>
      <c r="H1544" s="5">
        <v>2023</v>
      </c>
      <c r="I1544" s="5">
        <v>2032</v>
      </c>
      <c r="J1544" s="142">
        <v>1.0847</v>
      </c>
      <c r="K1544" s="142">
        <v>1.0357000000000001</v>
      </c>
      <c r="L1544" s="142">
        <v>0.56759999999999999</v>
      </c>
      <c r="M1544" s="142">
        <v>1.1416999999999999</v>
      </c>
      <c r="N1544" s="142">
        <v>1.1162000000000001</v>
      </c>
      <c r="O1544" s="142">
        <v>1.0538000000000001</v>
      </c>
      <c r="P1544" s="26">
        <v>4802.6763562401347</v>
      </c>
      <c r="Q1544" s="35">
        <f t="array" ref="Q1544">SUM(IF(($S1544&gt;=4)*($C1544='TaxCred&amp;Subs'!$D$114:$D$121)*($H1544='TaxCred&amp;Subs'!$C$114:$C$121)*($H1544&lt;='TaxCred&amp;Subs'!$C$123),'TaxCred&amp;Subs'!$E$114:$E$121,0))</f>
        <v>500</v>
      </c>
      <c r="R1544" s="143">
        <v>0</v>
      </c>
      <c r="S1544" s="5">
        <v>5</v>
      </c>
      <c r="T1544" s="5" t="s">
        <v>221</v>
      </c>
      <c r="V1544" s="7" t="str">
        <f t="array" ref="V1544">INDEX(xlRTCLNAME,MATCH(1,(xlRTCLENDU=1)*(xlRTCLEQCL=$D1544),0))</f>
        <v>NG_FA</v>
      </c>
      <c r="W1544" s="7" t="str">
        <f t="array" ref="W1544">INDEX(xlRTCLNAME,MATCH(1,(xlRTCLENDU=2)*(xlRTCLEQCL=$F1544),0))</f>
        <v>CENT_AIR</v>
      </c>
      <c r="X1544" s="7" t="str">
        <f t="array" ref="X1544">INDEX(xlRTTYNAME,MATCH(1,(xlRTTYENDU=1)*(xlRTTYEQCL=$D1544)*(xlRTEQTYPE=$E1544),0))</f>
        <v>NG_FA4</v>
      </c>
      <c r="Y1544" s="7" t="str">
        <f t="array" ref="Y1544">INDEX(xlRTTYNAME,MATCH(1,(xlRTTYENDU=2)*(xlRTTYEQCL=$F1544)*(xlRTEQTYPE=$G1544),0))</f>
        <v>CENT_AIR4</v>
      </c>
    </row>
    <row r="1545" spans="2:25" ht="14.25" customHeight="1" x14ac:dyDescent="0.2">
      <c r="B1545" s="5">
        <v>2</v>
      </c>
      <c r="C1545" s="5">
        <v>2</v>
      </c>
      <c r="D1545" s="5">
        <v>3</v>
      </c>
      <c r="E1545" s="5">
        <v>9</v>
      </c>
      <c r="F1545" s="5">
        <v>2</v>
      </c>
      <c r="G1545" s="31">
        <v>7</v>
      </c>
      <c r="H1545" s="5">
        <v>2033</v>
      </c>
      <c r="I1545" s="5">
        <v>2050</v>
      </c>
      <c r="J1545" s="142">
        <v>1.0847</v>
      </c>
      <c r="K1545" s="142">
        <v>1.0357000000000001</v>
      </c>
      <c r="L1545" s="142">
        <v>0.56759999999999999</v>
      </c>
      <c r="M1545" s="142">
        <v>1.1416999999999999</v>
      </c>
      <c r="N1545" s="142">
        <v>1.1162000000000001</v>
      </c>
      <c r="O1545" s="142">
        <v>1.0538000000000001</v>
      </c>
      <c r="P1545" s="26">
        <v>4802.6763562401347</v>
      </c>
      <c r="Q1545" s="35">
        <f t="array" ref="Q1545">SUM(IF(($S1545&gt;=4)*($C1545='TaxCred&amp;Subs'!$D$114:$D$121)*($H1545='TaxCred&amp;Subs'!$C$114:$C$121)*($H1545&lt;='TaxCred&amp;Subs'!$C$123),'TaxCred&amp;Subs'!$E$114:$E$121,0))</f>
        <v>0</v>
      </c>
      <c r="R1545" s="143">
        <v>0</v>
      </c>
      <c r="S1545" s="5">
        <v>5</v>
      </c>
      <c r="T1545" s="5" t="s">
        <v>221</v>
      </c>
      <c r="V1545" s="7" t="str">
        <f t="array" ref="V1545">INDEX(xlRTCLNAME,MATCH(1,(xlRTCLENDU=1)*(xlRTCLEQCL=$D1545),0))</f>
        <v>NG_FA</v>
      </c>
      <c r="W1545" s="7" t="str">
        <f t="array" ref="W1545">INDEX(xlRTCLNAME,MATCH(1,(xlRTCLENDU=2)*(xlRTCLEQCL=$F1545),0))</f>
        <v>CENT_AIR</v>
      </c>
      <c r="X1545" s="7" t="str">
        <f t="array" ref="X1545">INDEX(xlRTTYNAME,MATCH(1,(xlRTTYENDU=1)*(xlRTTYEQCL=$D1545)*(xlRTEQTYPE=$E1545),0))</f>
        <v>NG_FA4</v>
      </c>
      <c r="Y1545" s="7" t="str">
        <f t="array" ref="Y1545">INDEX(xlRTTYNAME,MATCH(1,(xlRTTYENDU=2)*(xlRTTYEQCL=$F1545)*(xlRTEQTYPE=$G1545),0))</f>
        <v>CENT_AIR4</v>
      </c>
    </row>
    <row r="1546" spans="2:25" ht="14.25" customHeight="1" x14ac:dyDescent="0.2">
      <c r="B1546" s="5">
        <v>3</v>
      </c>
      <c r="C1546" s="5">
        <v>2</v>
      </c>
      <c r="D1546" s="5">
        <v>3</v>
      </c>
      <c r="E1546" s="5">
        <v>9</v>
      </c>
      <c r="F1546" s="5">
        <v>2</v>
      </c>
      <c r="G1546" s="31">
        <v>7</v>
      </c>
      <c r="H1546" s="31">
        <v>2020</v>
      </c>
      <c r="I1546" s="5">
        <v>2022</v>
      </c>
      <c r="J1546" s="142">
        <v>1.0984</v>
      </c>
      <c r="K1546" s="142">
        <v>1.0345</v>
      </c>
      <c r="L1546" s="142">
        <v>0.5595</v>
      </c>
      <c r="M1546" s="142">
        <v>1.0310999999999999</v>
      </c>
      <c r="N1546" s="142">
        <v>1.0399</v>
      </c>
      <c r="O1546" s="142">
        <v>1.0538000000000001</v>
      </c>
      <c r="P1546" s="26">
        <v>4310.5768191785755</v>
      </c>
      <c r="Q1546" s="35">
        <f t="array" ref="Q1546">SUM(IF(($S1546&gt;=4)*($C1546='TaxCred&amp;Subs'!$D$114:$D$121)*($H1546='TaxCred&amp;Subs'!$C$114:$C$121)*($H1546&lt;='TaxCred&amp;Subs'!$C$123),'TaxCred&amp;Subs'!$E$114:$E$121,0))</f>
        <v>0</v>
      </c>
      <c r="R1546" s="143">
        <v>0</v>
      </c>
      <c r="S1546" s="5">
        <v>5</v>
      </c>
      <c r="T1546" s="5" t="s">
        <v>221</v>
      </c>
      <c r="V1546" s="7" t="str">
        <f t="array" ref="V1546">INDEX(xlRTCLNAME,MATCH(1,(xlRTCLENDU=1)*(xlRTCLEQCL=$D1546),0))</f>
        <v>NG_FA</v>
      </c>
      <c r="W1546" s="7" t="str">
        <f t="array" ref="W1546">INDEX(xlRTCLNAME,MATCH(1,(xlRTCLENDU=2)*(xlRTCLEQCL=$F1546),0))</f>
        <v>CENT_AIR</v>
      </c>
      <c r="X1546" s="7" t="str">
        <f t="array" ref="X1546">INDEX(xlRTTYNAME,MATCH(1,(xlRTTYENDU=1)*(xlRTTYEQCL=$D1546)*(xlRTEQTYPE=$E1546),0))</f>
        <v>NG_FA4</v>
      </c>
      <c r="Y1546" s="7" t="str">
        <f t="array" ref="Y1546">INDEX(xlRTTYNAME,MATCH(1,(xlRTTYENDU=2)*(xlRTTYEQCL=$F1546)*(xlRTEQTYPE=$G1546),0))</f>
        <v>CENT_AIR4</v>
      </c>
    </row>
    <row r="1547" spans="2:25" ht="14.25" customHeight="1" x14ac:dyDescent="0.2">
      <c r="B1547" s="5">
        <v>3</v>
      </c>
      <c r="C1547" s="5">
        <v>2</v>
      </c>
      <c r="D1547" s="5">
        <v>3</v>
      </c>
      <c r="E1547" s="5">
        <v>9</v>
      </c>
      <c r="F1547" s="5">
        <v>2</v>
      </c>
      <c r="G1547" s="31">
        <v>7</v>
      </c>
      <c r="H1547" s="5">
        <v>2023</v>
      </c>
      <c r="I1547" s="5">
        <v>2032</v>
      </c>
      <c r="J1547" s="142">
        <v>1.0984</v>
      </c>
      <c r="K1547" s="142">
        <v>1.0345</v>
      </c>
      <c r="L1547" s="142">
        <v>0.5595</v>
      </c>
      <c r="M1547" s="142">
        <v>1.0310999999999999</v>
      </c>
      <c r="N1547" s="142">
        <v>1.0399</v>
      </c>
      <c r="O1547" s="142">
        <v>1.0538000000000001</v>
      </c>
      <c r="P1547" s="26">
        <v>4310.5768191785755</v>
      </c>
      <c r="Q1547" s="35">
        <f t="array" ref="Q1547">SUM(IF(($S1547&gt;=4)*($C1547='TaxCred&amp;Subs'!$D$114:$D$121)*($H1547='TaxCred&amp;Subs'!$C$114:$C$121)*($H1547&lt;='TaxCred&amp;Subs'!$C$123),'TaxCred&amp;Subs'!$E$114:$E$121,0))</f>
        <v>500</v>
      </c>
      <c r="R1547" s="143">
        <v>0</v>
      </c>
      <c r="S1547" s="5">
        <v>5</v>
      </c>
      <c r="T1547" s="5" t="s">
        <v>221</v>
      </c>
      <c r="V1547" s="7" t="str">
        <f t="array" ref="V1547">INDEX(xlRTCLNAME,MATCH(1,(xlRTCLENDU=1)*(xlRTCLEQCL=$D1547),0))</f>
        <v>NG_FA</v>
      </c>
      <c r="W1547" s="7" t="str">
        <f t="array" ref="W1547">INDEX(xlRTCLNAME,MATCH(1,(xlRTCLENDU=2)*(xlRTCLEQCL=$F1547),0))</f>
        <v>CENT_AIR</v>
      </c>
      <c r="X1547" s="7" t="str">
        <f t="array" ref="X1547">INDEX(xlRTTYNAME,MATCH(1,(xlRTTYENDU=1)*(xlRTTYEQCL=$D1547)*(xlRTEQTYPE=$E1547),0))</f>
        <v>NG_FA4</v>
      </c>
      <c r="Y1547" s="7" t="str">
        <f t="array" ref="Y1547">INDEX(xlRTTYNAME,MATCH(1,(xlRTTYENDU=2)*(xlRTTYEQCL=$F1547)*(xlRTEQTYPE=$G1547),0))</f>
        <v>CENT_AIR4</v>
      </c>
    </row>
    <row r="1548" spans="2:25" ht="14.25" customHeight="1" x14ac:dyDescent="0.2">
      <c r="B1548" s="5">
        <v>3</v>
      </c>
      <c r="C1548" s="5">
        <v>2</v>
      </c>
      <c r="D1548" s="5">
        <v>3</v>
      </c>
      <c r="E1548" s="5">
        <v>9</v>
      </c>
      <c r="F1548" s="5">
        <v>2</v>
      </c>
      <c r="G1548" s="31">
        <v>7</v>
      </c>
      <c r="H1548" s="5">
        <v>2033</v>
      </c>
      <c r="I1548" s="5">
        <v>2050</v>
      </c>
      <c r="J1548" s="142">
        <v>1.0984</v>
      </c>
      <c r="K1548" s="142">
        <v>1.0345</v>
      </c>
      <c r="L1548" s="142">
        <v>0.5595</v>
      </c>
      <c r="M1548" s="142">
        <v>1.0310999999999999</v>
      </c>
      <c r="N1548" s="142">
        <v>1.0399</v>
      </c>
      <c r="O1548" s="142">
        <v>1.0538000000000001</v>
      </c>
      <c r="P1548" s="26">
        <v>4310.5768191785755</v>
      </c>
      <c r="Q1548" s="35">
        <f t="array" ref="Q1548">SUM(IF(($S1548&gt;=4)*($C1548='TaxCred&amp;Subs'!$D$114:$D$121)*($H1548='TaxCred&amp;Subs'!$C$114:$C$121)*($H1548&lt;='TaxCred&amp;Subs'!$C$123),'TaxCred&amp;Subs'!$E$114:$E$121,0))</f>
        <v>0</v>
      </c>
      <c r="R1548" s="143">
        <v>0</v>
      </c>
      <c r="S1548" s="5">
        <v>5</v>
      </c>
      <c r="T1548" s="5" t="s">
        <v>221</v>
      </c>
      <c r="V1548" s="7" t="str">
        <f t="array" ref="V1548">INDEX(xlRTCLNAME,MATCH(1,(xlRTCLENDU=1)*(xlRTCLEQCL=$D1548),0))</f>
        <v>NG_FA</v>
      </c>
      <c r="W1548" s="7" t="str">
        <f t="array" ref="W1548">INDEX(xlRTCLNAME,MATCH(1,(xlRTCLENDU=2)*(xlRTCLEQCL=$F1548),0))</f>
        <v>CENT_AIR</v>
      </c>
      <c r="X1548" s="7" t="str">
        <f t="array" ref="X1548">INDEX(xlRTTYNAME,MATCH(1,(xlRTTYENDU=1)*(xlRTTYEQCL=$D1548)*(xlRTEQTYPE=$E1548),0))</f>
        <v>NG_FA4</v>
      </c>
      <c r="Y1548" s="7" t="str">
        <f t="array" ref="Y1548">INDEX(xlRTTYNAME,MATCH(1,(xlRTTYENDU=2)*(xlRTTYEQCL=$F1548)*(xlRTEQTYPE=$G1548),0))</f>
        <v>CENT_AIR4</v>
      </c>
    </row>
    <row r="1549" spans="2:25" ht="14.25" customHeight="1" x14ac:dyDescent="0.2">
      <c r="B1549" s="5">
        <v>4</v>
      </c>
      <c r="C1549" s="5">
        <v>2</v>
      </c>
      <c r="D1549" s="5">
        <v>3</v>
      </c>
      <c r="E1549" s="5">
        <v>9</v>
      </c>
      <c r="F1549" s="5">
        <v>2</v>
      </c>
      <c r="G1549" s="31">
        <v>7</v>
      </c>
      <c r="H1549" s="31">
        <v>2020</v>
      </c>
      <c r="I1549" s="5">
        <v>2022</v>
      </c>
      <c r="J1549" s="142">
        <v>1.1000000000000001</v>
      </c>
      <c r="K1549" s="142">
        <v>1.0435000000000001</v>
      </c>
      <c r="L1549" s="142">
        <v>0.626</v>
      </c>
      <c r="M1549" s="142">
        <v>1.1499999999999999</v>
      </c>
      <c r="N1549" s="142">
        <v>1.1696</v>
      </c>
      <c r="O1549" s="142">
        <v>1.0538000000000001</v>
      </c>
      <c r="P1549" s="26">
        <v>3733.7716240982236</v>
      </c>
      <c r="Q1549" s="35">
        <f t="array" ref="Q1549">SUM(IF(($S1549&gt;=4)*($C1549='TaxCred&amp;Subs'!$D$114:$D$121)*($H1549='TaxCred&amp;Subs'!$C$114:$C$121)*($H1549&lt;='TaxCred&amp;Subs'!$C$123),'TaxCred&amp;Subs'!$E$114:$E$121,0))</f>
        <v>0</v>
      </c>
      <c r="R1549" s="143">
        <v>0</v>
      </c>
      <c r="S1549" s="5">
        <v>5</v>
      </c>
      <c r="T1549" s="5" t="s">
        <v>221</v>
      </c>
      <c r="V1549" s="7" t="str">
        <f t="array" ref="V1549">INDEX(xlRTCLNAME,MATCH(1,(xlRTCLENDU=1)*(xlRTCLEQCL=$D1549),0))</f>
        <v>NG_FA</v>
      </c>
      <c r="W1549" s="7" t="str">
        <f t="array" ref="W1549">INDEX(xlRTCLNAME,MATCH(1,(xlRTCLENDU=2)*(xlRTCLEQCL=$F1549),0))</f>
        <v>CENT_AIR</v>
      </c>
      <c r="X1549" s="7" t="str">
        <f t="array" ref="X1549">INDEX(xlRTTYNAME,MATCH(1,(xlRTTYENDU=1)*(xlRTTYEQCL=$D1549)*(xlRTEQTYPE=$E1549),0))</f>
        <v>NG_FA4</v>
      </c>
      <c r="Y1549" s="7" t="str">
        <f t="array" ref="Y1549">INDEX(xlRTTYNAME,MATCH(1,(xlRTTYENDU=2)*(xlRTTYEQCL=$F1549)*(xlRTEQTYPE=$G1549),0))</f>
        <v>CENT_AIR4</v>
      </c>
    </row>
    <row r="1550" spans="2:25" ht="14.25" customHeight="1" x14ac:dyDescent="0.2">
      <c r="B1550" s="5">
        <v>4</v>
      </c>
      <c r="C1550" s="5">
        <v>2</v>
      </c>
      <c r="D1550" s="5">
        <v>3</v>
      </c>
      <c r="E1550" s="5">
        <v>9</v>
      </c>
      <c r="F1550" s="5">
        <v>2</v>
      </c>
      <c r="G1550" s="31">
        <v>7</v>
      </c>
      <c r="H1550" s="5">
        <v>2023</v>
      </c>
      <c r="I1550" s="5">
        <v>2032</v>
      </c>
      <c r="J1550" s="142">
        <v>1.1000000000000001</v>
      </c>
      <c r="K1550" s="142">
        <v>1.0435000000000001</v>
      </c>
      <c r="L1550" s="142">
        <v>0.626</v>
      </c>
      <c r="M1550" s="142">
        <v>1.1499999999999999</v>
      </c>
      <c r="N1550" s="142">
        <v>1.1696</v>
      </c>
      <c r="O1550" s="142">
        <v>1.0538000000000001</v>
      </c>
      <c r="P1550" s="26">
        <v>3733.7716240982236</v>
      </c>
      <c r="Q1550" s="35">
        <f t="array" ref="Q1550">SUM(IF(($S1550&gt;=4)*($C1550='TaxCred&amp;Subs'!$D$114:$D$121)*($H1550='TaxCred&amp;Subs'!$C$114:$C$121)*($H1550&lt;='TaxCred&amp;Subs'!$C$123),'TaxCred&amp;Subs'!$E$114:$E$121,0))</f>
        <v>500</v>
      </c>
      <c r="R1550" s="143">
        <v>0</v>
      </c>
      <c r="S1550" s="5">
        <v>5</v>
      </c>
      <c r="T1550" s="5" t="s">
        <v>221</v>
      </c>
      <c r="V1550" s="7" t="str">
        <f t="array" ref="V1550">INDEX(xlRTCLNAME,MATCH(1,(xlRTCLENDU=1)*(xlRTCLEQCL=$D1550),0))</f>
        <v>NG_FA</v>
      </c>
      <c r="W1550" s="7" t="str">
        <f t="array" ref="W1550">INDEX(xlRTCLNAME,MATCH(1,(xlRTCLENDU=2)*(xlRTCLEQCL=$F1550),0))</f>
        <v>CENT_AIR</v>
      </c>
      <c r="X1550" s="7" t="str">
        <f t="array" ref="X1550">INDEX(xlRTTYNAME,MATCH(1,(xlRTTYENDU=1)*(xlRTTYEQCL=$D1550)*(xlRTEQTYPE=$E1550),0))</f>
        <v>NG_FA4</v>
      </c>
      <c r="Y1550" s="7" t="str">
        <f t="array" ref="Y1550">INDEX(xlRTTYNAME,MATCH(1,(xlRTTYENDU=2)*(xlRTTYEQCL=$F1550)*(xlRTEQTYPE=$G1550),0))</f>
        <v>CENT_AIR4</v>
      </c>
    </row>
    <row r="1551" spans="2:25" ht="14.25" customHeight="1" x14ac:dyDescent="0.2">
      <c r="B1551" s="5">
        <v>4</v>
      </c>
      <c r="C1551" s="5">
        <v>2</v>
      </c>
      <c r="D1551" s="5">
        <v>3</v>
      </c>
      <c r="E1551" s="5">
        <v>9</v>
      </c>
      <c r="F1551" s="5">
        <v>2</v>
      </c>
      <c r="G1551" s="31">
        <v>7</v>
      </c>
      <c r="H1551" s="5">
        <v>2033</v>
      </c>
      <c r="I1551" s="5">
        <v>2050</v>
      </c>
      <c r="J1551" s="142">
        <v>1.1000000000000001</v>
      </c>
      <c r="K1551" s="142">
        <v>1.0435000000000001</v>
      </c>
      <c r="L1551" s="142">
        <v>0.626</v>
      </c>
      <c r="M1551" s="142">
        <v>1.1499999999999999</v>
      </c>
      <c r="N1551" s="142">
        <v>1.1696</v>
      </c>
      <c r="O1551" s="142">
        <v>1.0538000000000001</v>
      </c>
      <c r="P1551" s="26">
        <v>3733.7716240982236</v>
      </c>
      <c r="Q1551" s="35">
        <f t="array" ref="Q1551">SUM(IF(($S1551&gt;=4)*($C1551='TaxCred&amp;Subs'!$D$114:$D$121)*($H1551='TaxCred&amp;Subs'!$C$114:$C$121)*($H1551&lt;='TaxCred&amp;Subs'!$C$123),'TaxCred&amp;Subs'!$E$114:$E$121,0))</f>
        <v>0</v>
      </c>
      <c r="R1551" s="143">
        <v>0</v>
      </c>
      <c r="S1551" s="5">
        <v>5</v>
      </c>
      <c r="T1551" s="5" t="s">
        <v>221</v>
      </c>
      <c r="V1551" s="7" t="str">
        <f t="array" ref="V1551">INDEX(xlRTCLNAME,MATCH(1,(xlRTCLENDU=1)*(xlRTCLEQCL=$D1551),0))</f>
        <v>NG_FA</v>
      </c>
      <c r="W1551" s="7" t="str">
        <f t="array" ref="W1551">INDEX(xlRTCLNAME,MATCH(1,(xlRTCLENDU=2)*(xlRTCLEQCL=$F1551),0))</f>
        <v>CENT_AIR</v>
      </c>
      <c r="X1551" s="7" t="str">
        <f t="array" ref="X1551">INDEX(xlRTTYNAME,MATCH(1,(xlRTTYENDU=1)*(xlRTTYEQCL=$D1551)*(xlRTEQTYPE=$E1551),0))</f>
        <v>NG_FA4</v>
      </c>
      <c r="Y1551" s="7" t="str">
        <f t="array" ref="Y1551">INDEX(xlRTTYNAME,MATCH(1,(xlRTTYENDU=2)*(xlRTTYEQCL=$F1551)*(xlRTEQTYPE=$G1551),0))</f>
        <v>CENT_AIR4</v>
      </c>
    </row>
    <row r="1552" spans="2:25" ht="14.25" customHeight="1" x14ac:dyDescent="0.2">
      <c r="B1552" s="5">
        <v>5</v>
      </c>
      <c r="C1552" s="5">
        <v>2</v>
      </c>
      <c r="D1552" s="5">
        <v>3</v>
      </c>
      <c r="E1552" s="5">
        <v>9</v>
      </c>
      <c r="F1552" s="5">
        <v>2</v>
      </c>
      <c r="G1552" s="31">
        <v>7</v>
      </c>
      <c r="H1552" s="31">
        <v>2020</v>
      </c>
      <c r="I1552" s="5">
        <v>2022</v>
      </c>
      <c r="J1552" s="142">
        <v>1.1200000000000001</v>
      </c>
      <c r="K1552" s="142">
        <v>1.0391999999999999</v>
      </c>
      <c r="L1552" s="142">
        <v>0.44379999999999997</v>
      </c>
      <c r="M1552" s="142">
        <v>1.0314000000000001</v>
      </c>
      <c r="N1552" s="142">
        <v>1.2750999999999999</v>
      </c>
      <c r="O1552" s="142">
        <v>1.0538000000000001</v>
      </c>
      <c r="P1552" s="26">
        <v>3228.2267444939989</v>
      </c>
      <c r="Q1552" s="35">
        <f t="array" ref="Q1552">SUM(IF(($S1552&gt;=4)*($C1552='TaxCred&amp;Subs'!$D$114:$D$121)*($H1552='TaxCred&amp;Subs'!$C$114:$C$121)*($H1552&lt;='TaxCred&amp;Subs'!$C$123),'TaxCred&amp;Subs'!$E$114:$E$121,0))</f>
        <v>0</v>
      </c>
      <c r="R1552" s="143">
        <v>0</v>
      </c>
      <c r="S1552" s="5">
        <v>5</v>
      </c>
      <c r="T1552" s="5" t="s">
        <v>221</v>
      </c>
      <c r="V1552" s="7" t="str">
        <f t="array" ref="V1552">INDEX(xlRTCLNAME,MATCH(1,(xlRTCLENDU=1)*(xlRTCLEQCL=$D1552),0))</f>
        <v>NG_FA</v>
      </c>
      <c r="W1552" s="7" t="str">
        <f t="array" ref="W1552">INDEX(xlRTCLNAME,MATCH(1,(xlRTCLENDU=2)*(xlRTCLEQCL=$F1552),0))</f>
        <v>CENT_AIR</v>
      </c>
      <c r="X1552" s="7" t="str">
        <f t="array" ref="X1552">INDEX(xlRTTYNAME,MATCH(1,(xlRTTYENDU=1)*(xlRTTYEQCL=$D1552)*(xlRTEQTYPE=$E1552),0))</f>
        <v>NG_FA4</v>
      </c>
      <c r="Y1552" s="7" t="str">
        <f t="array" ref="Y1552">INDEX(xlRTTYNAME,MATCH(1,(xlRTTYENDU=2)*(xlRTTYEQCL=$F1552)*(xlRTEQTYPE=$G1552),0))</f>
        <v>CENT_AIR4</v>
      </c>
    </row>
    <row r="1553" spans="2:25" ht="14.25" customHeight="1" x14ac:dyDescent="0.2">
      <c r="B1553" s="5">
        <v>5</v>
      </c>
      <c r="C1553" s="5">
        <v>2</v>
      </c>
      <c r="D1553" s="5">
        <v>3</v>
      </c>
      <c r="E1553" s="5">
        <v>9</v>
      </c>
      <c r="F1553" s="5">
        <v>2</v>
      </c>
      <c r="G1553" s="31">
        <v>7</v>
      </c>
      <c r="H1553" s="5">
        <v>2023</v>
      </c>
      <c r="I1553" s="5">
        <v>2032</v>
      </c>
      <c r="J1553" s="142">
        <v>1.1200000000000001</v>
      </c>
      <c r="K1553" s="142">
        <v>1.0391999999999999</v>
      </c>
      <c r="L1553" s="142">
        <v>0.44379999999999997</v>
      </c>
      <c r="M1553" s="142">
        <v>1.0314000000000001</v>
      </c>
      <c r="N1553" s="142">
        <v>1.2750999999999999</v>
      </c>
      <c r="O1553" s="142">
        <v>1.0538000000000001</v>
      </c>
      <c r="P1553" s="26">
        <v>3228.2267444939989</v>
      </c>
      <c r="Q1553" s="35">
        <f t="array" ref="Q1553">SUM(IF(($S1553&gt;=4)*($C1553='TaxCred&amp;Subs'!$D$114:$D$121)*($H1553='TaxCred&amp;Subs'!$C$114:$C$121)*($H1553&lt;='TaxCred&amp;Subs'!$C$123),'TaxCred&amp;Subs'!$E$114:$E$121,0))</f>
        <v>500</v>
      </c>
      <c r="R1553" s="143">
        <v>0</v>
      </c>
      <c r="S1553" s="5">
        <v>5</v>
      </c>
      <c r="T1553" s="5" t="s">
        <v>221</v>
      </c>
      <c r="V1553" s="7" t="str">
        <f t="array" ref="V1553">INDEX(xlRTCLNAME,MATCH(1,(xlRTCLENDU=1)*(xlRTCLEQCL=$D1553),0))</f>
        <v>NG_FA</v>
      </c>
      <c r="W1553" s="7" t="str">
        <f t="array" ref="W1553">INDEX(xlRTCLNAME,MATCH(1,(xlRTCLENDU=2)*(xlRTCLEQCL=$F1553),0))</f>
        <v>CENT_AIR</v>
      </c>
      <c r="X1553" s="7" t="str">
        <f t="array" ref="X1553">INDEX(xlRTTYNAME,MATCH(1,(xlRTTYENDU=1)*(xlRTTYEQCL=$D1553)*(xlRTEQTYPE=$E1553),0))</f>
        <v>NG_FA4</v>
      </c>
      <c r="Y1553" s="7" t="str">
        <f t="array" ref="Y1553">INDEX(xlRTTYNAME,MATCH(1,(xlRTTYENDU=2)*(xlRTTYEQCL=$F1553)*(xlRTEQTYPE=$G1553),0))</f>
        <v>CENT_AIR4</v>
      </c>
    </row>
    <row r="1554" spans="2:25" ht="14.25" customHeight="1" x14ac:dyDescent="0.2">
      <c r="B1554" s="5">
        <v>5</v>
      </c>
      <c r="C1554" s="5">
        <v>2</v>
      </c>
      <c r="D1554" s="5">
        <v>3</v>
      </c>
      <c r="E1554" s="5">
        <v>9</v>
      </c>
      <c r="F1554" s="5">
        <v>2</v>
      </c>
      <c r="G1554" s="31">
        <v>7</v>
      </c>
      <c r="H1554" s="5">
        <v>2033</v>
      </c>
      <c r="I1554" s="5">
        <v>2050</v>
      </c>
      <c r="J1554" s="142">
        <v>1.1200000000000001</v>
      </c>
      <c r="K1554" s="142">
        <v>1.0391999999999999</v>
      </c>
      <c r="L1554" s="142">
        <v>0.44379999999999997</v>
      </c>
      <c r="M1554" s="142">
        <v>1.0314000000000001</v>
      </c>
      <c r="N1554" s="142">
        <v>1.2750999999999999</v>
      </c>
      <c r="O1554" s="142">
        <v>1.0538000000000001</v>
      </c>
      <c r="P1554" s="26">
        <v>3228.2267444939989</v>
      </c>
      <c r="Q1554" s="35">
        <f t="array" ref="Q1554">SUM(IF(($S1554&gt;=4)*($C1554='TaxCred&amp;Subs'!$D$114:$D$121)*($H1554='TaxCred&amp;Subs'!$C$114:$C$121)*($H1554&lt;='TaxCred&amp;Subs'!$C$123),'TaxCred&amp;Subs'!$E$114:$E$121,0))</f>
        <v>0</v>
      </c>
      <c r="R1554" s="143">
        <v>0</v>
      </c>
      <c r="S1554" s="5">
        <v>5</v>
      </c>
      <c r="T1554" s="5" t="s">
        <v>221</v>
      </c>
      <c r="V1554" s="7" t="str">
        <f t="array" ref="V1554">INDEX(xlRTCLNAME,MATCH(1,(xlRTCLENDU=1)*(xlRTCLEQCL=$D1554),0))</f>
        <v>NG_FA</v>
      </c>
      <c r="W1554" s="7" t="str">
        <f t="array" ref="W1554">INDEX(xlRTCLNAME,MATCH(1,(xlRTCLENDU=2)*(xlRTCLEQCL=$F1554),0))</f>
        <v>CENT_AIR</v>
      </c>
      <c r="X1554" s="7" t="str">
        <f t="array" ref="X1554">INDEX(xlRTTYNAME,MATCH(1,(xlRTTYENDU=1)*(xlRTTYEQCL=$D1554)*(xlRTEQTYPE=$E1554),0))</f>
        <v>NG_FA4</v>
      </c>
      <c r="Y1554" s="7" t="str">
        <f t="array" ref="Y1554">INDEX(xlRTTYNAME,MATCH(1,(xlRTTYENDU=2)*(xlRTTYEQCL=$F1554)*(xlRTEQTYPE=$G1554),0))</f>
        <v>CENT_AIR4</v>
      </c>
    </row>
    <row r="1555" spans="2:25" ht="14.25" customHeight="1" x14ac:dyDescent="0.2">
      <c r="B1555" s="5">
        <v>6</v>
      </c>
      <c r="C1555" s="5">
        <v>2</v>
      </c>
      <c r="D1555" s="5">
        <v>3</v>
      </c>
      <c r="E1555" s="5">
        <v>9</v>
      </c>
      <c r="F1555" s="5">
        <v>2</v>
      </c>
      <c r="G1555" s="31">
        <v>7</v>
      </c>
      <c r="H1555" s="31">
        <v>2020</v>
      </c>
      <c r="I1555" s="5">
        <v>2022</v>
      </c>
      <c r="J1555" s="142">
        <v>1.1200000000000001</v>
      </c>
      <c r="K1555" s="142">
        <v>1.03</v>
      </c>
      <c r="L1555" s="142">
        <v>0.44379999999999997</v>
      </c>
      <c r="M1555" s="142">
        <v>1.0546</v>
      </c>
      <c r="N1555" s="142">
        <v>1.3324</v>
      </c>
      <c r="O1555" s="142">
        <v>1.0538000000000001</v>
      </c>
      <c r="P1555" s="26">
        <v>3572.4275135862376</v>
      </c>
      <c r="Q1555" s="35">
        <f t="array" ref="Q1555">SUM(IF(($S1555&gt;=4)*($C1555='TaxCred&amp;Subs'!$D$114:$D$121)*($H1555='TaxCred&amp;Subs'!$C$114:$C$121)*($H1555&lt;='TaxCred&amp;Subs'!$C$123),'TaxCred&amp;Subs'!$E$114:$E$121,0))</f>
        <v>0</v>
      </c>
      <c r="R1555" s="143">
        <v>0</v>
      </c>
      <c r="S1555" s="5">
        <v>5</v>
      </c>
      <c r="T1555" s="5" t="s">
        <v>221</v>
      </c>
      <c r="V1555" s="7" t="str">
        <f t="array" ref="V1555">INDEX(xlRTCLNAME,MATCH(1,(xlRTCLENDU=1)*(xlRTCLEQCL=$D1555),0))</f>
        <v>NG_FA</v>
      </c>
      <c r="W1555" s="7" t="str">
        <f t="array" ref="W1555">INDEX(xlRTCLNAME,MATCH(1,(xlRTCLENDU=2)*(xlRTCLEQCL=$F1555),0))</f>
        <v>CENT_AIR</v>
      </c>
      <c r="X1555" s="7" t="str">
        <f t="array" ref="X1555">INDEX(xlRTTYNAME,MATCH(1,(xlRTTYENDU=1)*(xlRTTYEQCL=$D1555)*(xlRTEQTYPE=$E1555),0))</f>
        <v>NG_FA4</v>
      </c>
      <c r="Y1555" s="7" t="str">
        <f t="array" ref="Y1555">INDEX(xlRTTYNAME,MATCH(1,(xlRTTYENDU=2)*(xlRTTYEQCL=$F1555)*(xlRTEQTYPE=$G1555),0))</f>
        <v>CENT_AIR4</v>
      </c>
    </row>
    <row r="1556" spans="2:25" ht="14.25" customHeight="1" x14ac:dyDescent="0.2">
      <c r="B1556" s="5">
        <v>6</v>
      </c>
      <c r="C1556" s="5">
        <v>2</v>
      </c>
      <c r="D1556" s="5">
        <v>3</v>
      </c>
      <c r="E1556" s="5">
        <v>9</v>
      </c>
      <c r="F1556" s="5">
        <v>2</v>
      </c>
      <c r="G1556" s="31">
        <v>7</v>
      </c>
      <c r="H1556" s="5">
        <v>2023</v>
      </c>
      <c r="I1556" s="5">
        <v>2032</v>
      </c>
      <c r="J1556" s="142">
        <v>1.1200000000000001</v>
      </c>
      <c r="K1556" s="142">
        <v>1.03</v>
      </c>
      <c r="L1556" s="142">
        <v>0.44379999999999997</v>
      </c>
      <c r="M1556" s="142">
        <v>1.0546</v>
      </c>
      <c r="N1556" s="142">
        <v>1.3324</v>
      </c>
      <c r="O1556" s="142">
        <v>1.0538000000000001</v>
      </c>
      <c r="P1556" s="26">
        <v>3572.4275135862376</v>
      </c>
      <c r="Q1556" s="35">
        <f t="array" ref="Q1556">SUM(IF(($S1556&gt;=4)*($C1556='TaxCred&amp;Subs'!$D$114:$D$121)*($H1556='TaxCred&amp;Subs'!$C$114:$C$121)*($H1556&lt;='TaxCred&amp;Subs'!$C$123),'TaxCred&amp;Subs'!$E$114:$E$121,0))</f>
        <v>500</v>
      </c>
      <c r="R1556" s="143">
        <v>0</v>
      </c>
      <c r="S1556" s="5">
        <v>5</v>
      </c>
      <c r="T1556" s="5" t="s">
        <v>221</v>
      </c>
      <c r="V1556" s="7" t="str">
        <f t="array" ref="V1556">INDEX(xlRTCLNAME,MATCH(1,(xlRTCLENDU=1)*(xlRTCLEQCL=$D1556),0))</f>
        <v>NG_FA</v>
      </c>
      <c r="W1556" s="7" t="str">
        <f t="array" ref="W1556">INDEX(xlRTCLNAME,MATCH(1,(xlRTCLENDU=2)*(xlRTCLEQCL=$F1556),0))</f>
        <v>CENT_AIR</v>
      </c>
      <c r="X1556" s="7" t="str">
        <f t="array" ref="X1556">INDEX(xlRTTYNAME,MATCH(1,(xlRTTYENDU=1)*(xlRTTYEQCL=$D1556)*(xlRTEQTYPE=$E1556),0))</f>
        <v>NG_FA4</v>
      </c>
      <c r="Y1556" s="7" t="str">
        <f t="array" ref="Y1556">INDEX(xlRTTYNAME,MATCH(1,(xlRTTYENDU=2)*(xlRTTYEQCL=$F1556)*(xlRTEQTYPE=$G1556),0))</f>
        <v>CENT_AIR4</v>
      </c>
    </row>
    <row r="1557" spans="2:25" ht="14.25" customHeight="1" x14ac:dyDescent="0.2">
      <c r="B1557" s="5">
        <v>6</v>
      </c>
      <c r="C1557" s="5">
        <v>2</v>
      </c>
      <c r="D1557" s="5">
        <v>3</v>
      </c>
      <c r="E1557" s="5">
        <v>9</v>
      </c>
      <c r="F1557" s="5">
        <v>2</v>
      </c>
      <c r="G1557" s="31">
        <v>7</v>
      </c>
      <c r="H1557" s="5">
        <v>2033</v>
      </c>
      <c r="I1557" s="5">
        <v>2050</v>
      </c>
      <c r="J1557" s="142">
        <v>1.1200000000000001</v>
      </c>
      <c r="K1557" s="142">
        <v>1.03</v>
      </c>
      <c r="L1557" s="142">
        <v>0.44379999999999997</v>
      </c>
      <c r="M1557" s="142">
        <v>1.0546</v>
      </c>
      <c r="N1557" s="142">
        <v>1.3324</v>
      </c>
      <c r="O1557" s="142">
        <v>1.0538000000000001</v>
      </c>
      <c r="P1557" s="26">
        <v>3572.4275135862376</v>
      </c>
      <c r="Q1557" s="35">
        <f t="array" ref="Q1557">SUM(IF(($S1557&gt;=4)*($C1557='TaxCred&amp;Subs'!$D$114:$D$121)*($H1557='TaxCred&amp;Subs'!$C$114:$C$121)*($H1557&lt;='TaxCred&amp;Subs'!$C$123),'TaxCred&amp;Subs'!$E$114:$E$121,0))</f>
        <v>0</v>
      </c>
      <c r="R1557" s="143">
        <v>0</v>
      </c>
      <c r="S1557" s="5">
        <v>5</v>
      </c>
      <c r="T1557" s="5" t="s">
        <v>221</v>
      </c>
      <c r="V1557" s="7" t="str">
        <f t="array" ref="V1557">INDEX(xlRTCLNAME,MATCH(1,(xlRTCLENDU=1)*(xlRTCLEQCL=$D1557),0))</f>
        <v>NG_FA</v>
      </c>
      <c r="W1557" s="7" t="str">
        <f t="array" ref="W1557">INDEX(xlRTCLNAME,MATCH(1,(xlRTCLENDU=2)*(xlRTCLEQCL=$F1557),0))</f>
        <v>CENT_AIR</v>
      </c>
      <c r="X1557" s="7" t="str">
        <f t="array" ref="X1557">INDEX(xlRTTYNAME,MATCH(1,(xlRTTYENDU=1)*(xlRTTYEQCL=$D1557)*(xlRTEQTYPE=$E1557),0))</f>
        <v>NG_FA4</v>
      </c>
      <c r="Y1557" s="7" t="str">
        <f t="array" ref="Y1557">INDEX(xlRTTYNAME,MATCH(1,(xlRTTYENDU=2)*(xlRTTYEQCL=$F1557)*(xlRTEQTYPE=$G1557),0))</f>
        <v>CENT_AIR4</v>
      </c>
    </row>
    <row r="1558" spans="2:25" ht="14.25" customHeight="1" x14ac:dyDescent="0.2">
      <c r="B1558" s="5">
        <v>7</v>
      </c>
      <c r="C1558" s="5">
        <v>2</v>
      </c>
      <c r="D1558" s="5">
        <v>3</v>
      </c>
      <c r="E1558" s="5">
        <v>9</v>
      </c>
      <c r="F1558" s="5">
        <v>2</v>
      </c>
      <c r="G1558" s="31">
        <v>7</v>
      </c>
      <c r="H1558" s="31">
        <v>2020</v>
      </c>
      <c r="I1558" s="5">
        <v>2022</v>
      </c>
      <c r="J1558" s="142">
        <v>1.1200000000000001</v>
      </c>
      <c r="K1558" s="142">
        <v>1.0462</v>
      </c>
      <c r="L1558" s="142">
        <v>0.44379999999999997</v>
      </c>
      <c r="M1558" s="142">
        <v>1.0569</v>
      </c>
      <c r="N1558" s="142">
        <v>1.4438</v>
      </c>
      <c r="O1558" s="142">
        <v>1.0538000000000001</v>
      </c>
      <c r="P1558" s="26">
        <v>3120.6640041526744</v>
      </c>
      <c r="Q1558" s="35">
        <f t="array" ref="Q1558">SUM(IF(($S1558&gt;=4)*($C1558='TaxCred&amp;Subs'!$D$114:$D$121)*($H1558='TaxCred&amp;Subs'!$C$114:$C$121)*($H1558&lt;='TaxCred&amp;Subs'!$C$123),'TaxCred&amp;Subs'!$E$114:$E$121,0))</f>
        <v>0</v>
      </c>
      <c r="R1558" s="143">
        <v>0</v>
      </c>
      <c r="S1558" s="5">
        <v>5</v>
      </c>
      <c r="T1558" s="5" t="s">
        <v>221</v>
      </c>
      <c r="V1558" s="7" t="str">
        <f t="array" ref="V1558">INDEX(xlRTCLNAME,MATCH(1,(xlRTCLENDU=1)*(xlRTCLEQCL=$D1558),0))</f>
        <v>NG_FA</v>
      </c>
      <c r="W1558" s="7" t="str">
        <f t="array" ref="W1558">INDEX(xlRTCLNAME,MATCH(1,(xlRTCLENDU=2)*(xlRTCLEQCL=$F1558),0))</f>
        <v>CENT_AIR</v>
      </c>
      <c r="X1558" s="7" t="str">
        <f t="array" ref="X1558">INDEX(xlRTTYNAME,MATCH(1,(xlRTTYENDU=1)*(xlRTTYEQCL=$D1558)*(xlRTEQTYPE=$E1558),0))</f>
        <v>NG_FA4</v>
      </c>
      <c r="Y1558" s="7" t="str">
        <f t="array" ref="Y1558">INDEX(xlRTTYNAME,MATCH(1,(xlRTTYENDU=2)*(xlRTTYEQCL=$F1558)*(xlRTEQTYPE=$G1558),0))</f>
        <v>CENT_AIR4</v>
      </c>
    </row>
    <row r="1559" spans="2:25" ht="14.25" customHeight="1" x14ac:dyDescent="0.2">
      <c r="B1559" s="5">
        <v>7</v>
      </c>
      <c r="C1559" s="5">
        <v>2</v>
      </c>
      <c r="D1559" s="5">
        <v>3</v>
      </c>
      <c r="E1559" s="5">
        <v>9</v>
      </c>
      <c r="F1559" s="5">
        <v>2</v>
      </c>
      <c r="G1559" s="31">
        <v>7</v>
      </c>
      <c r="H1559" s="5">
        <v>2023</v>
      </c>
      <c r="I1559" s="5">
        <v>2032</v>
      </c>
      <c r="J1559" s="142">
        <v>1.1200000000000001</v>
      </c>
      <c r="K1559" s="142">
        <v>1.0462</v>
      </c>
      <c r="L1559" s="142">
        <v>0.44379999999999997</v>
      </c>
      <c r="M1559" s="142">
        <v>1.0569</v>
      </c>
      <c r="N1559" s="142">
        <v>1.4438</v>
      </c>
      <c r="O1559" s="142">
        <v>1.0538000000000001</v>
      </c>
      <c r="P1559" s="26">
        <v>3120.6640041526744</v>
      </c>
      <c r="Q1559" s="35">
        <f t="array" ref="Q1559">SUM(IF(($S1559&gt;=4)*($C1559='TaxCred&amp;Subs'!$D$114:$D$121)*($H1559='TaxCred&amp;Subs'!$C$114:$C$121)*($H1559&lt;='TaxCred&amp;Subs'!$C$123),'TaxCred&amp;Subs'!$E$114:$E$121,0))</f>
        <v>500</v>
      </c>
      <c r="R1559" s="143">
        <v>0</v>
      </c>
      <c r="S1559" s="5">
        <v>5</v>
      </c>
      <c r="T1559" s="5" t="s">
        <v>221</v>
      </c>
      <c r="V1559" s="7" t="str">
        <f t="array" ref="V1559">INDEX(xlRTCLNAME,MATCH(1,(xlRTCLENDU=1)*(xlRTCLEQCL=$D1559),0))</f>
        <v>NG_FA</v>
      </c>
      <c r="W1559" s="7" t="str">
        <f t="array" ref="W1559">INDEX(xlRTCLNAME,MATCH(1,(xlRTCLENDU=2)*(xlRTCLEQCL=$F1559),0))</f>
        <v>CENT_AIR</v>
      </c>
      <c r="X1559" s="7" t="str">
        <f t="array" ref="X1559">INDEX(xlRTTYNAME,MATCH(1,(xlRTTYENDU=1)*(xlRTTYEQCL=$D1559)*(xlRTEQTYPE=$E1559),0))</f>
        <v>NG_FA4</v>
      </c>
      <c r="Y1559" s="7" t="str">
        <f t="array" ref="Y1559">INDEX(xlRTTYNAME,MATCH(1,(xlRTTYENDU=2)*(xlRTTYEQCL=$F1559)*(xlRTEQTYPE=$G1559),0))</f>
        <v>CENT_AIR4</v>
      </c>
    </row>
    <row r="1560" spans="2:25" ht="14.25" customHeight="1" x14ac:dyDescent="0.2">
      <c r="B1560" s="5">
        <v>7</v>
      </c>
      <c r="C1560" s="5">
        <v>2</v>
      </c>
      <c r="D1560" s="5">
        <v>3</v>
      </c>
      <c r="E1560" s="5">
        <v>9</v>
      </c>
      <c r="F1560" s="5">
        <v>2</v>
      </c>
      <c r="G1560" s="31">
        <v>7</v>
      </c>
      <c r="H1560" s="5">
        <v>2033</v>
      </c>
      <c r="I1560" s="5">
        <v>2050</v>
      </c>
      <c r="J1560" s="142">
        <v>1.1200000000000001</v>
      </c>
      <c r="K1560" s="142">
        <v>1.0462</v>
      </c>
      <c r="L1560" s="142">
        <v>0.44379999999999997</v>
      </c>
      <c r="M1560" s="142">
        <v>1.0569</v>
      </c>
      <c r="N1560" s="142">
        <v>1.4438</v>
      </c>
      <c r="O1560" s="142">
        <v>1.0538000000000001</v>
      </c>
      <c r="P1560" s="26">
        <v>3120.6640041526744</v>
      </c>
      <c r="Q1560" s="35">
        <f t="array" ref="Q1560">SUM(IF(($S1560&gt;=4)*($C1560='TaxCred&amp;Subs'!$D$114:$D$121)*($H1560='TaxCred&amp;Subs'!$C$114:$C$121)*($H1560&lt;='TaxCred&amp;Subs'!$C$123),'TaxCred&amp;Subs'!$E$114:$E$121,0))</f>
        <v>0</v>
      </c>
      <c r="R1560" s="143">
        <v>0</v>
      </c>
      <c r="S1560" s="5">
        <v>5</v>
      </c>
      <c r="T1560" s="5" t="s">
        <v>221</v>
      </c>
      <c r="V1560" s="7" t="str">
        <f t="array" ref="V1560">INDEX(xlRTCLNAME,MATCH(1,(xlRTCLENDU=1)*(xlRTCLEQCL=$D1560),0))</f>
        <v>NG_FA</v>
      </c>
      <c r="W1560" s="7" t="str">
        <f t="array" ref="W1560">INDEX(xlRTCLNAME,MATCH(1,(xlRTCLENDU=2)*(xlRTCLEQCL=$F1560),0))</f>
        <v>CENT_AIR</v>
      </c>
      <c r="X1560" s="7" t="str">
        <f t="array" ref="X1560">INDEX(xlRTTYNAME,MATCH(1,(xlRTTYENDU=1)*(xlRTTYEQCL=$D1560)*(xlRTEQTYPE=$E1560),0))</f>
        <v>NG_FA4</v>
      </c>
      <c r="Y1560" s="7" t="str">
        <f t="array" ref="Y1560">INDEX(xlRTTYNAME,MATCH(1,(xlRTTYENDU=2)*(xlRTTYEQCL=$F1560)*(xlRTEQTYPE=$G1560),0))</f>
        <v>CENT_AIR4</v>
      </c>
    </row>
    <row r="1561" spans="2:25" ht="14.25" customHeight="1" x14ac:dyDescent="0.2">
      <c r="B1561" s="5">
        <v>8</v>
      </c>
      <c r="C1561" s="5">
        <v>2</v>
      </c>
      <c r="D1561" s="5">
        <v>3</v>
      </c>
      <c r="E1561" s="5">
        <v>9</v>
      </c>
      <c r="F1561" s="5">
        <v>2</v>
      </c>
      <c r="G1561" s="31">
        <v>7</v>
      </c>
      <c r="H1561" s="31">
        <v>2020</v>
      </c>
      <c r="I1561" s="5">
        <v>2022</v>
      </c>
      <c r="J1561" s="142">
        <v>1.0932999999999999</v>
      </c>
      <c r="K1561" s="142">
        <v>1.0323</v>
      </c>
      <c r="L1561" s="142">
        <v>0.55489999999999995</v>
      </c>
      <c r="M1561" s="142">
        <v>1.2087000000000001</v>
      </c>
      <c r="N1561" s="142">
        <v>1.2847999999999999</v>
      </c>
      <c r="O1561" s="142">
        <v>1.0538000000000001</v>
      </c>
      <c r="P1561" s="26">
        <v>3884.3594605760777</v>
      </c>
      <c r="Q1561" s="35">
        <f t="array" ref="Q1561">SUM(IF(($S1561&gt;=4)*($C1561='TaxCred&amp;Subs'!$D$114:$D$121)*($H1561='TaxCred&amp;Subs'!$C$114:$C$121)*($H1561&lt;='TaxCred&amp;Subs'!$C$123),'TaxCred&amp;Subs'!$E$114:$E$121,0))</f>
        <v>0</v>
      </c>
      <c r="R1561" s="143">
        <v>0</v>
      </c>
      <c r="S1561" s="5">
        <v>5</v>
      </c>
      <c r="T1561" s="5" t="s">
        <v>221</v>
      </c>
      <c r="V1561" s="7" t="str">
        <f t="array" ref="V1561">INDEX(xlRTCLNAME,MATCH(1,(xlRTCLENDU=1)*(xlRTCLEQCL=$D1561),0))</f>
        <v>NG_FA</v>
      </c>
      <c r="W1561" s="7" t="str">
        <f t="array" ref="W1561">INDEX(xlRTCLNAME,MATCH(1,(xlRTCLENDU=2)*(xlRTCLEQCL=$F1561),0))</f>
        <v>CENT_AIR</v>
      </c>
      <c r="X1561" s="7" t="str">
        <f t="array" ref="X1561">INDEX(xlRTTYNAME,MATCH(1,(xlRTTYENDU=1)*(xlRTTYEQCL=$D1561)*(xlRTEQTYPE=$E1561),0))</f>
        <v>NG_FA4</v>
      </c>
      <c r="Y1561" s="7" t="str">
        <f t="array" ref="Y1561">INDEX(xlRTTYNAME,MATCH(1,(xlRTTYENDU=2)*(xlRTTYEQCL=$F1561)*(xlRTEQTYPE=$G1561),0))</f>
        <v>CENT_AIR4</v>
      </c>
    </row>
    <row r="1562" spans="2:25" ht="14.25" customHeight="1" x14ac:dyDescent="0.2">
      <c r="B1562" s="5">
        <v>8</v>
      </c>
      <c r="C1562" s="5">
        <v>2</v>
      </c>
      <c r="D1562" s="5">
        <v>3</v>
      </c>
      <c r="E1562" s="5">
        <v>9</v>
      </c>
      <c r="F1562" s="5">
        <v>2</v>
      </c>
      <c r="G1562" s="31">
        <v>7</v>
      </c>
      <c r="H1562" s="5">
        <v>2023</v>
      </c>
      <c r="I1562" s="5">
        <v>2032</v>
      </c>
      <c r="J1562" s="142">
        <v>1.0932999999999999</v>
      </c>
      <c r="K1562" s="142">
        <v>1.0323</v>
      </c>
      <c r="L1562" s="142">
        <v>0.55489999999999995</v>
      </c>
      <c r="M1562" s="142">
        <v>1.2087000000000001</v>
      </c>
      <c r="N1562" s="142">
        <v>1.2847999999999999</v>
      </c>
      <c r="O1562" s="142">
        <v>1.0538000000000001</v>
      </c>
      <c r="P1562" s="26">
        <v>3884.3594605760777</v>
      </c>
      <c r="Q1562" s="35">
        <f t="array" ref="Q1562">SUM(IF(($S1562&gt;=4)*($C1562='TaxCred&amp;Subs'!$D$114:$D$121)*($H1562='TaxCred&amp;Subs'!$C$114:$C$121)*($H1562&lt;='TaxCred&amp;Subs'!$C$123),'TaxCred&amp;Subs'!$E$114:$E$121,0))</f>
        <v>500</v>
      </c>
      <c r="R1562" s="143">
        <v>0</v>
      </c>
      <c r="S1562" s="5">
        <v>5</v>
      </c>
      <c r="T1562" s="5" t="s">
        <v>221</v>
      </c>
      <c r="V1562" s="7" t="str">
        <f t="array" ref="V1562">INDEX(xlRTCLNAME,MATCH(1,(xlRTCLENDU=1)*(xlRTCLEQCL=$D1562),0))</f>
        <v>NG_FA</v>
      </c>
      <c r="W1562" s="7" t="str">
        <f t="array" ref="W1562">INDEX(xlRTCLNAME,MATCH(1,(xlRTCLENDU=2)*(xlRTCLEQCL=$F1562),0))</f>
        <v>CENT_AIR</v>
      </c>
      <c r="X1562" s="7" t="str">
        <f t="array" ref="X1562">INDEX(xlRTTYNAME,MATCH(1,(xlRTTYENDU=1)*(xlRTTYEQCL=$D1562)*(xlRTEQTYPE=$E1562),0))</f>
        <v>NG_FA4</v>
      </c>
      <c r="Y1562" s="7" t="str">
        <f t="array" ref="Y1562">INDEX(xlRTTYNAME,MATCH(1,(xlRTTYENDU=2)*(xlRTTYEQCL=$F1562)*(xlRTEQTYPE=$G1562),0))</f>
        <v>CENT_AIR4</v>
      </c>
    </row>
    <row r="1563" spans="2:25" ht="14.25" customHeight="1" x14ac:dyDescent="0.2">
      <c r="B1563" s="5">
        <v>8</v>
      </c>
      <c r="C1563" s="5">
        <v>2</v>
      </c>
      <c r="D1563" s="5">
        <v>3</v>
      </c>
      <c r="E1563" s="5">
        <v>9</v>
      </c>
      <c r="F1563" s="5">
        <v>2</v>
      </c>
      <c r="G1563" s="31">
        <v>7</v>
      </c>
      <c r="H1563" s="5">
        <v>2033</v>
      </c>
      <c r="I1563" s="5">
        <v>2050</v>
      </c>
      <c r="J1563" s="142">
        <v>1.0932999999999999</v>
      </c>
      <c r="K1563" s="142">
        <v>1.0323</v>
      </c>
      <c r="L1563" s="142">
        <v>0.55489999999999995</v>
      </c>
      <c r="M1563" s="142">
        <v>1.2087000000000001</v>
      </c>
      <c r="N1563" s="142">
        <v>1.2847999999999999</v>
      </c>
      <c r="O1563" s="142">
        <v>1.0538000000000001</v>
      </c>
      <c r="P1563" s="26">
        <v>3884.3594605760777</v>
      </c>
      <c r="Q1563" s="35">
        <f t="array" ref="Q1563">SUM(IF(($S1563&gt;=4)*($C1563='TaxCred&amp;Subs'!$D$114:$D$121)*($H1563='TaxCred&amp;Subs'!$C$114:$C$121)*($H1563&lt;='TaxCred&amp;Subs'!$C$123),'TaxCred&amp;Subs'!$E$114:$E$121,0))</f>
        <v>0</v>
      </c>
      <c r="R1563" s="143">
        <v>0</v>
      </c>
      <c r="S1563" s="5">
        <v>5</v>
      </c>
      <c r="T1563" s="5" t="s">
        <v>221</v>
      </c>
      <c r="V1563" s="7" t="str">
        <f t="array" ref="V1563">INDEX(xlRTCLNAME,MATCH(1,(xlRTCLENDU=1)*(xlRTCLEQCL=$D1563),0))</f>
        <v>NG_FA</v>
      </c>
      <c r="W1563" s="7" t="str">
        <f t="array" ref="W1563">INDEX(xlRTCLNAME,MATCH(1,(xlRTCLENDU=2)*(xlRTCLEQCL=$F1563),0))</f>
        <v>CENT_AIR</v>
      </c>
      <c r="X1563" s="7" t="str">
        <f t="array" ref="X1563">INDEX(xlRTTYNAME,MATCH(1,(xlRTTYENDU=1)*(xlRTTYEQCL=$D1563)*(xlRTEQTYPE=$E1563),0))</f>
        <v>NG_FA4</v>
      </c>
      <c r="Y1563" s="7" t="str">
        <f t="array" ref="Y1563">INDEX(xlRTTYNAME,MATCH(1,(xlRTTYENDU=2)*(xlRTTYEQCL=$F1563)*(xlRTEQTYPE=$G1563),0))</f>
        <v>CENT_AIR4</v>
      </c>
    </row>
    <row r="1564" spans="2:25" ht="14.25" customHeight="1" x14ac:dyDescent="0.2">
      <c r="B1564" s="5">
        <v>9</v>
      </c>
      <c r="C1564" s="5">
        <v>2</v>
      </c>
      <c r="D1564" s="5">
        <v>3</v>
      </c>
      <c r="E1564" s="5">
        <v>9</v>
      </c>
      <c r="F1564" s="5">
        <v>2</v>
      </c>
      <c r="G1564" s="31">
        <v>7</v>
      </c>
      <c r="H1564" s="31">
        <v>2020</v>
      </c>
      <c r="I1564" s="5">
        <v>2022</v>
      </c>
      <c r="J1564" s="142">
        <v>1.07</v>
      </c>
      <c r="K1564" s="142">
        <v>1.0541</v>
      </c>
      <c r="L1564" s="142">
        <v>0.44379999999999997</v>
      </c>
      <c r="M1564" s="142">
        <v>1.1167</v>
      </c>
      <c r="N1564" s="142">
        <v>1.4438</v>
      </c>
      <c r="O1564" s="142">
        <v>1.0538000000000001</v>
      </c>
      <c r="P1564" s="26">
        <v>4447.7193131137647</v>
      </c>
      <c r="Q1564" s="35">
        <f t="array" ref="Q1564">SUM(IF(($S1564&gt;=4)*($C1564='TaxCred&amp;Subs'!$D$114:$D$121)*($H1564='TaxCred&amp;Subs'!$C$114:$C$121)*($H1564&lt;='TaxCred&amp;Subs'!$C$123),'TaxCred&amp;Subs'!$E$114:$E$121,0))</f>
        <v>0</v>
      </c>
      <c r="R1564" s="143">
        <v>0</v>
      </c>
      <c r="S1564" s="5">
        <v>5</v>
      </c>
      <c r="T1564" s="5" t="s">
        <v>221</v>
      </c>
      <c r="V1564" s="7" t="str">
        <f t="array" ref="V1564">INDEX(xlRTCLNAME,MATCH(1,(xlRTCLENDU=1)*(xlRTCLEQCL=$D1564),0))</f>
        <v>NG_FA</v>
      </c>
      <c r="W1564" s="7" t="str">
        <f t="array" ref="W1564">INDEX(xlRTCLNAME,MATCH(1,(xlRTCLENDU=2)*(xlRTCLEQCL=$F1564),0))</f>
        <v>CENT_AIR</v>
      </c>
      <c r="X1564" s="7" t="str">
        <f t="array" ref="X1564">INDEX(xlRTTYNAME,MATCH(1,(xlRTTYENDU=1)*(xlRTTYEQCL=$D1564)*(xlRTEQTYPE=$E1564),0))</f>
        <v>NG_FA4</v>
      </c>
      <c r="Y1564" s="7" t="str">
        <f t="array" ref="Y1564">INDEX(xlRTTYNAME,MATCH(1,(xlRTTYENDU=2)*(xlRTTYEQCL=$F1564)*(xlRTEQTYPE=$G1564),0))</f>
        <v>CENT_AIR4</v>
      </c>
    </row>
    <row r="1565" spans="2:25" ht="14.25" customHeight="1" x14ac:dyDescent="0.2">
      <c r="B1565" s="5">
        <v>9</v>
      </c>
      <c r="C1565" s="5">
        <v>2</v>
      </c>
      <c r="D1565" s="5">
        <v>3</v>
      </c>
      <c r="E1565" s="5">
        <v>9</v>
      </c>
      <c r="F1565" s="5">
        <v>2</v>
      </c>
      <c r="G1565" s="31">
        <v>7</v>
      </c>
      <c r="H1565" s="5">
        <v>2023</v>
      </c>
      <c r="I1565" s="5">
        <v>2032</v>
      </c>
      <c r="J1565" s="142">
        <v>1.07</v>
      </c>
      <c r="K1565" s="142">
        <v>1.0541</v>
      </c>
      <c r="L1565" s="142">
        <v>0.44379999999999997</v>
      </c>
      <c r="M1565" s="142">
        <v>1.1167</v>
      </c>
      <c r="N1565" s="142">
        <v>1.4438</v>
      </c>
      <c r="O1565" s="142">
        <v>1.0538000000000001</v>
      </c>
      <c r="P1565" s="26">
        <v>4447.7193131137647</v>
      </c>
      <c r="Q1565" s="35">
        <f t="array" ref="Q1565">SUM(IF(($S1565&gt;=4)*($C1565='TaxCred&amp;Subs'!$D$114:$D$121)*($H1565='TaxCred&amp;Subs'!$C$114:$C$121)*($H1565&lt;='TaxCred&amp;Subs'!$C$123),'TaxCred&amp;Subs'!$E$114:$E$121,0))</f>
        <v>500</v>
      </c>
      <c r="R1565" s="143">
        <v>0</v>
      </c>
      <c r="S1565" s="5">
        <v>5</v>
      </c>
      <c r="T1565" s="5" t="s">
        <v>221</v>
      </c>
      <c r="V1565" s="7" t="str">
        <f t="array" ref="V1565">INDEX(xlRTCLNAME,MATCH(1,(xlRTCLENDU=1)*(xlRTCLEQCL=$D1565),0))</f>
        <v>NG_FA</v>
      </c>
      <c r="W1565" s="7" t="str">
        <f t="array" ref="W1565">INDEX(xlRTCLNAME,MATCH(1,(xlRTCLENDU=2)*(xlRTCLEQCL=$F1565),0))</f>
        <v>CENT_AIR</v>
      </c>
      <c r="X1565" s="7" t="str">
        <f t="array" ref="X1565">INDEX(xlRTTYNAME,MATCH(1,(xlRTTYENDU=1)*(xlRTTYEQCL=$D1565)*(xlRTEQTYPE=$E1565),0))</f>
        <v>NG_FA4</v>
      </c>
      <c r="Y1565" s="7" t="str">
        <f t="array" ref="Y1565">INDEX(xlRTTYNAME,MATCH(1,(xlRTTYENDU=2)*(xlRTTYEQCL=$F1565)*(xlRTEQTYPE=$G1565),0))</f>
        <v>CENT_AIR4</v>
      </c>
    </row>
    <row r="1566" spans="2:25" ht="14.25" customHeight="1" x14ac:dyDescent="0.2">
      <c r="B1566" s="5">
        <v>9</v>
      </c>
      <c r="C1566" s="5">
        <v>2</v>
      </c>
      <c r="D1566" s="5">
        <v>3</v>
      </c>
      <c r="E1566" s="5">
        <v>9</v>
      </c>
      <c r="F1566" s="5">
        <v>2</v>
      </c>
      <c r="G1566" s="31">
        <v>7</v>
      </c>
      <c r="H1566" s="5">
        <v>2033</v>
      </c>
      <c r="I1566" s="5">
        <v>2050</v>
      </c>
      <c r="J1566" s="142">
        <v>1.07</v>
      </c>
      <c r="K1566" s="142">
        <v>1.0541</v>
      </c>
      <c r="L1566" s="142">
        <v>0.44379999999999997</v>
      </c>
      <c r="M1566" s="142">
        <v>1.1167</v>
      </c>
      <c r="N1566" s="142">
        <v>1.4438</v>
      </c>
      <c r="O1566" s="142">
        <v>1.0538000000000001</v>
      </c>
      <c r="P1566" s="26">
        <v>4447.7193131137647</v>
      </c>
      <c r="Q1566" s="35">
        <f t="array" ref="Q1566">SUM(IF(($S1566&gt;=4)*($C1566='TaxCred&amp;Subs'!$D$114:$D$121)*($H1566='TaxCred&amp;Subs'!$C$114:$C$121)*($H1566&lt;='TaxCred&amp;Subs'!$C$123),'TaxCred&amp;Subs'!$E$114:$E$121,0))</f>
        <v>0</v>
      </c>
      <c r="R1566" s="143">
        <v>0</v>
      </c>
      <c r="S1566" s="5">
        <v>5</v>
      </c>
      <c r="T1566" s="5" t="s">
        <v>221</v>
      </c>
      <c r="V1566" s="7" t="str">
        <f t="array" ref="V1566">INDEX(xlRTCLNAME,MATCH(1,(xlRTCLENDU=1)*(xlRTCLEQCL=$D1566),0))</f>
        <v>NG_FA</v>
      </c>
      <c r="W1566" s="7" t="str">
        <f t="array" ref="W1566">INDEX(xlRTCLNAME,MATCH(1,(xlRTCLENDU=2)*(xlRTCLEQCL=$F1566),0))</f>
        <v>CENT_AIR</v>
      </c>
      <c r="X1566" s="7" t="str">
        <f t="array" ref="X1566">INDEX(xlRTTYNAME,MATCH(1,(xlRTTYENDU=1)*(xlRTTYEQCL=$D1566)*(xlRTEQTYPE=$E1566),0))</f>
        <v>NG_FA4</v>
      </c>
      <c r="Y1566" s="7" t="str">
        <f t="array" ref="Y1566">INDEX(xlRTTYNAME,MATCH(1,(xlRTTYENDU=2)*(xlRTTYEQCL=$F1566)*(xlRTEQTYPE=$G1566),0))</f>
        <v>CENT_AIR4</v>
      </c>
    </row>
    <row r="1567" spans="2:25" ht="14.25" customHeight="1" x14ac:dyDescent="0.2">
      <c r="B1567" s="5">
        <v>1</v>
      </c>
      <c r="C1567" s="5">
        <v>2</v>
      </c>
      <c r="D1567" s="5">
        <v>4</v>
      </c>
      <c r="E1567" s="5">
        <v>13</v>
      </c>
      <c r="F1567" s="5">
        <v>2</v>
      </c>
      <c r="G1567" s="31">
        <v>7</v>
      </c>
      <c r="H1567" s="31">
        <v>2020</v>
      </c>
      <c r="I1567" s="5">
        <v>2022</v>
      </c>
      <c r="J1567" s="142">
        <v>1.0864</v>
      </c>
      <c r="K1567" s="142">
        <v>1.0417000000000001</v>
      </c>
      <c r="L1567" s="142">
        <v>0.5786</v>
      </c>
      <c r="M1567" s="142">
        <v>1.1228</v>
      </c>
      <c r="N1567" s="142">
        <v>1.1156999999999999</v>
      </c>
      <c r="O1567" s="142">
        <v>1.0538000000000001</v>
      </c>
      <c r="P1567" s="26">
        <v>5076.9613441105121</v>
      </c>
      <c r="Q1567" s="35">
        <f t="array" ref="Q1567">SUM(IF(($S1567&gt;=4)*($C1567='TaxCred&amp;Subs'!$D$114:$D$121)*($H1567='TaxCred&amp;Subs'!$C$114:$C$121)*($H1567&lt;='TaxCred&amp;Subs'!$C$123),'TaxCred&amp;Subs'!$E$114:$E$121,0))</f>
        <v>0</v>
      </c>
      <c r="R1567" s="143">
        <v>0</v>
      </c>
      <c r="S1567" s="5">
        <v>5</v>
      </c>
      <c r="T1567" s="5" t="s">
        <v>221</v>
      </c>
      <c r="V1567" s="7" t="str">
        <f t="array" ref="V1567">INDEX(xlRTCLNAME,MATCH(1,(xlRTCLENDU=1)*(xlRTCLEQCL=$D1567),0))</f>
        <v>NG_RAD</v>
      </c>
      <c r="W1567" s="7" t="str">
        <f t="array" ref="W1567">INDEX(xlRTCLNAME,MATCH(1,(xlRTCLENDU=2)*(xlRTCLEQCL=$F1567),0))</f>
        <v>CENT_AIR</v>
      </c>
      <c r="X1567" s="7" t="str">
        <f t="array" ref="X1567">INDEX(xlRTTYNAME,MATCH(1,(xlRTTYENDU=1)*(xlRTTYEQCL=$D1567)*(xlRTEQTYPE=$E1567),0))</f>
        <v>NG_RAD4</v>
      </c>
      <c r="Y1567" s="7" t="str">
        <f t="array" ref="Y1567">INDEX(xlRTTYNAME,MATCH(1,(xlRTTYENDU=2)*(xlRTTYEQCL=$F1567)*(xlRTEQTYPE=$G1567),0))</f>
        <v>CENT_AIR4</v>
      </c>
    </row>
    <row r="1568" spans="2:25" ht="14.25" customHeight="1" x14ac:dyDescent="0.2">
      <c r="B1568" s="5">
        <v>1</v>
      </c>
      <c r="C1568" s="5">
        <v>2</v>
      </c>
      <c r="D1568" s="5">
        <v>4</v>
      </c>
      <c r="E1568" s="5">
        <v>13</v>
      </c>
      <c r="F1568" s="5">
        <v>2</v>
      </c>
      <c r="G1568" s="31">
        <v>7</v>
      </c>
      <c r="H1568" s="5">
        <v>2023</v>
      </c>
      <c r="I1568" s="5">
        <v>2032</v>
      </c>
      <c r="J1568" s="142">
        <v>1.0864</v>
      </c>
      <c r="K1568" s="142">
        <v>1.0417000000000001</v>
      </c>
      <c r="L1568" s="142">
        <v>0.5786</v>
      </c>
      <c r="M1568" s="142">
        <v>1.1228</v>
      </c>
      <c r="N1568" s="142">
        <v>1.1156999999999999</v>
      </c>
      <c r="O1568" s="142">
        <v>1.0538000000000001</v>
      </c>
      <c r="P1568" s="26">
        <v>5076.9613441105121</v>
      </c>
      <c r="Q1568" s="35">
        <f t="array" ref="Q1568">SUM(IF(($S1568&gt;=4)*($C1568='TaxCred&amp;Subs'!$D$114:$D$121)*($H1568='TaxCred&amp;Subs'!$C$114:$C$121)*($H1568&lt;='TaxCred&amp;Subs'!$C$123),'TaxCred&amp;Subs'!$E$114:$E$121,0))</f>
        <v>500</v>
      </c>
      <c r="R1568" s="143">
        <v>0</v>
      </c>
      <c r="S1568" s="5">
        <v>5</v>
      </c>
      <c r="T1568" s="5" t="s">
        <v>221</v>
      </c>
      <c r="V1568" s="7" t="str">
        <f t="array" ref="V1568">INDEX(xlRTCLNAME,MATCH(1,(xlRTCLENDU=1)*(xlRTCLEQCL=$D1568),0))</f>
        <v>NG_RAD</v>
      </c>
      <c r="W1568" s="7" t="str">
        <f t="array" ref="W1568">INDEX(xlRTCLNAME,MATCH(1,(xlRTCLENDU=2)*(xlRTCLEQCL=$F1568),0))</f>
        <v>CENT_AIR</v>
      </c>
      <c r="X1568" s="7" t="str">
        <f t="array" ref="X1568">INDEX(xlRTTYNAME,MATCH(1,(xlRTTYENDU=1)*(xlRTTYEQCL=$D1568)*(xlRTEQTYPE=$E1568),0))</f>
        <v>NG_RAD4</v>
      </c>
      <c r="Y1568" s="7" t="str">
        <f t="array" ref="Y1568">INDEX(xlRTTYNAME,MATCH(1,(xlRTTYENDU=2)*(xlRTTYEQCL=$F1568)*(xlRTEQTYPE=$G1568),0))</f>
        <v>CENT_AIR4</v>
      </c>
    </row>
    <row r="1569" spans="2:25" ht="14.25" customHeight="1" x14ac:dyDescent="0.2">
      <c r="B1569" s="5">
        <v>1</v>
      </c>
      <c r="C1569" s="5">
        <v>2</v>
      </c>
      <c r="D1569" s="5">
        <v>4</v>
      </c>
      <c r="E1569" s="5">
        <v>13</v>
      </c>
      <c r="F1569" s="5">
        <v>2</v>
      </c>
      <c r="G1569" s="31">
        <v>7</v>
      </c>
      <c r="H1569" s="5">
        <v>2033</v>
      </c>
      <c r="I1569" s="5">
        <v>2050</v>
      </c>
      <c r="J1569" s="142">
        <v>1.0864</v>
      </c>
      <c r="K1569" s="142">
        <v>1.0417000000000001</v>
      </c>
      <c r="L1569" s="142">
        <v>0.5786</v>
      </c>
      <c r="M1569" s="142">
        <v>1.1228</v>
      </c>
      <c r="N1569" s="142">
        <v>1.1156999999999999</v>
      </c>
      <c r="O1569" s="142">
        <v>1.0538000000000001</v>
      </c>
      <c r="P1569" s="26">
        <v>5076.9613441105121</v>
      </c>
      <c r="Q1569" s="35">
        <f t="array" ref="Q1569">SUM(IF(($S1569&gt;=4)*($C1569='TaxCred&amp;Subs'!$D$114:$D$121)*($H1569='TaxCred&amp;Subs'!$C$114:$C$121)*($H1569&lt;='TaxCred&amp;Subs'!$C$123),'TaxCred&amp;Subs'!$E$114:$E$121,0))</f>
        <v>0</v>
      </c>
      <c r="R1569" s="143">
        <v>0</v>
      </c>
      <c r="S1569" s="5">
        <v>5</v>
      </c>
      <c r="T1569" s="5" t="s">
        <v>221</v>
      </c>
      <c r="V1569" s="7" t="str">
        <f t="array" ref="V1569">INDEX(xlRTCLNAME,MATCH(1,(xlRTCLENDU=1)*(xlRTCLEQCL=$D1569),0))</f>
        <v>NG_RAD</v>
      </c>
      <c r="W1569" s="7" t="str">
        <f t="array" ref="W1569">INDEX(xlRTCLNAME,MATCH(1,(xlRTCLENDU=2)*(xlRTCLEQCL=$F1569),0))</f>
        <v>CENT_AIR</v>
      </c>
      <c r="X1569" s="7" t="str">
        <f t="array" ref="X1569">INDEX(xlRTTYNAME,MATCH(1,(xlRTTYENDU=1)*(xlRTTYEQCL=$D1569)*(xlRTEQTYPE=$E1569),0))</f>
        <v>NG_RAD4</v>
      </c>
      <c r="Y1569" s="7" t="str">
        <f t="array" ref="Y1569">INDEX(xlRTTYNAME,MATCH(1,(xlRTTYENDU=2)*(xlRTTYEQCL=$F1569)*(xlRTEQTYPE=$G1569),0))</f>
        <v>CENT_AIR4</v>
      </c>
    </row>
    <row r="1570" spans="2:25" ht="14.25" customHeight="1" x14ac:dyDescent="0.2">
      <c r="B1570" s="5">
        <v>2</v>
      </c>
      <c r="C1570" s="5">
        <v>2</v>
      </c>
      <c r="D1570" s="5">
        <v>4</v>
      </c>
      <c r="E1570" s="5">
        <v>13</v>
      </c>
      <c r="F1570" s="5">
        <v>2</v>
      </c>
      <c r="G1570" s="31">
        <v>7</v>
      </c>
      <c r="H1570" s="31">
        <v>2020</v>
      </c>
      <c r="I1570" s="5">
        <v>2022</v>
      </c>
      <c r="J1570" s="142">
        <v>1.0891</v>
      </c>
      <c r="K1570" s="142">
        <v>1.0713999999999999</v>
      </c>
      <c r="L1570" s="142">
        <v>0.55879999999999996</v>
      </c>
      <c r="M1570" s="142">
        <v>1.1416999999999999</v>
      </c>
      <c r="N1570" s="142">
        <v>1.1254999999999999</v>
      </c>
      <c r="O1570" s="142">
        <v>1.0538000000000001</v>
      </c>
      <c r="P1570" s="26">
        <v>4802.6763562401347</v>
      </c>
      <c r="Q1570" s="35">
        <f t="array" ref="Q1570">SUM(IF(($S1570&gt;=4)*($C1570='TaxCred&amp;Subs'!$D$114:$D$121)*($H1570='TaxCred&amp;Subs'!$C$114:$C$121)*($H1570&lt;='TaxCred&amp;Subs'!$C$123),'TaxCred&amp;Subs'!$E$114:$E$121,0))</f>
        <v>0</v>
      </c>
      <c r="R1570" s="143">
        <v>0</v>
      </c>
      <c r="S1570" s="5">
        <v>5</v>
      </c>
      <c r="T1570" s="5" t="s">
        <v>221</v>
      </c>
      <c r="V1570" s="7" t="str">
        <f t="array" ref="V1570">INDEX(xlRTCLNAME,MATCH(1,(xlRTCLENDU=1)*(xlRTCLEQCL=$D1570),0))</f>
        <v>NG_RAD</v>
      </c>
      <c r="W1570" s="7" t="str">
        <f t="array" ref="W1570">INDEX(xlRTCLNAME,MATCH(1,(xlRTCLENDU=2)*(xlRTCLEQCL=$F1570),0))</f>
        <v>CENT_AIR</v>
      </c>
      <c r="X1570" s="7" t="str">
        <f t="array" ref="X1570">INDEX(xlRTTYNAME,MATCH(1,(xlRTTYENDU=1)*(xlRTTYEQCL=$D1570)*(xlRTEQTYPE=$E1570),0))</f>
        <v>NG_RAD4</v>
      </c>
      <c r="Y1570" s="7" t="str">
        <f t="array" ref="Y1570">INDEX(xlRTTYNAME,MATCH(1,(xlRTTYENDU=2)*(xlRTTYEQCL=$F1570)*(xlRTEQTYPE=$G1570),0))</f>
        <v>CENT_AIR4</v>
      </c>
    </row>
    <row r="1571" spans="2:25" ht="14.25" customHeight="1" x14ac:dyDescent="0.2">
      <c r="B1571" s="5">
        <v>2</v>
      </c>
      <c r="C1571" s="5">
        <v>2</v>
      </c>
      <c r="D1571" s="5">
        <v>4</v>
      </c>
      <c r="E1571" s="5">
        <v>13</v>
      </c>
      <c r="F1571" s="5">
        <v>2</v>
      </c>
      <c r="G1571" s="31">
        <v>7</v>
      </c>
      <c r="H1571" s="5">
        <v>2023</v>
      </c>
      <c r="I1571" s="5">
        <v>2032</v>
      </c>
      <c r="J1571" s="142">
        <v>1.0891</v>
      </c>
      <c r="K1571" s="142">
        <v>1.0713999999999999</v>
      </c>
      <c r="L1571" s="142">
        <v>0.55879999999999996</v>
      </c>
      <c r="M1571" s="142">
        <v>1.1416999999999999</v>
      </c>
      <c r="N1571" s="142">
        <v>1.1254999999999999</v>
      </c>
      <c r="O1571" s="142">
        <v>1.0538000000000001</v>
      </c>
      <c r="P1571" s="26">
        <v>4802.6763562401347</v>
      </c>
      <c r="Q1571" s="35">
        <f t="array" ref="Q1571">SUM(IF(($S1571&gt;=4)*($C1571='TaxCred&amp;Subs'!$D$114:$D$121)*($H1571='TaxCred&amp;Subs'!$C$114:$C$121)*($H1571&lt;='TaxCred&amp;Subs'!$C$123),'TaxCred&amp;Subs'!$E$114:$E$121,0))</f>
        <v>500</v>
      </c>
      <c r="R1571" s="143">
        <v>0</v>
      </c>
      <c r="S1571" s="5">
        <v>5</v>
      </c>
      <c r="T1571" s="5" t="s">
        <v>221</v>
      </c>
      <c r="V1571" s="7" t="str">
        <f t="array" ref="V1571">INDEX(xlRTCLNAME,MATCH(1,(xlRTCLENDU=1)*(xlRTCLEQCL=$D1571),0))</f>
        <v>NG_RAD</v>
      </c>
      <c r="W1571" s="7" t="str">
        <f t="array" ref="W1571">INDEX(xlRTCLNAME,MATCH(1,(xlRTCLENDU=2)*(xlRTCLEQCL=$F1571),0))</f>
        <v>CENT_AIR</v>
      </c>
      <c r="X1571" s="7" t="str">
        <f t="array" ref="X1571">INDEX(xlRTTYNAME,MATCH(1,(xlRTTYENDU=1)*(xlRTTYEQCL=$D1571)*(xlRTEQTYPE=$E1571),0))</f>
        <v>NG_RAD4</v>
      </c>
      <c r="Y1571" s="7" t="str">
        <f t="array" ref="Y1571">INDEX(xlRTTYNAME,MATCH(1,(xlRTTYENDU=2)*(xlRTTYEQCL=$F1571)*(xlRTEQTYPE=$G1571),0))</f>
        <v>CENT_AIR4</v>
      </c>
    </row>
    <row r="1572" spans="2:25" ht="14.25" customHeight="1" x14ac:dyDescent="0.2">
      <c r="B1572" s="5">
        <v>2</v>
      </c>
      <c r="C1572" s="5">
        <v>2</v>
      </c>
      <c r="D1572" s="5">
        <v>4</v>
      </c>
      <c r="E1572" s="5">
        <v>13</v>
      </c>
      <c r="F1572" s="5">
        <v>2</v>
      </c>
      <c r="G1572" s="31">
        <v>7</v>
      </c>
      <c r="H1572" s="5">
        <v>2033</v>
      </c>
      <c r="I1572" s="5">
        <v>2050</v>
      </c>
      <c r="J1572" s="142">
        <v>1.0891</v>
      </c>
      <c r="K1572" s="142">
        <v>1.0713999999999999</v>
      </c>
      <c r="L1572" s="142">
        <v>0.55879999999999996</v>
      </c>
      <c r="M1572" s="142">
        <v>1.1416999999999999</v>
      </c>
      <c r="N1572" s="142">
        <v>1.1254999999999999</v>
      </c>
      <c r="O1572" s="142">
        <v>1.0538000000000001</v>
      </c>
      <c r="P1572" s="26">
        <v>4802.6763562401347</v>
      </c>
      <c r="Q1572" s="35">
        <f t="array" ref="Q1572">SUM(IF(($S1572&gt;=4)*($C1572='TaxCred&amp;Subs'!$D$114:$D$121)*($H1572='TaxCred&amp;Subs'!$C$114:$C$121)*($H1572&lt;='TaxCred&amp;Subs'!$C$123),'TaxCred&amp;Subs'!$E$114:$E$121,0))</f>
        <v>0</v>
      </c>
      <c r="R1572" s="143">
        <v>0</v>
      </c>
      <c r="S1572" s="5">
        <v>5</v>
      </c>
      <c r="T1572" s="5" t="s">
        <v>221</v>
      </c>
      <c r="V1572" s="7" t="str">
        <f t="array" ref="V1572">INDEX(xlRTCLNAME,MATCH(1,(xlRTCLENDU=1)*(xlRTCLEQCL=$D1572),0))</f>
        <v>NG_RAD</v>
      </c>
      <c r="W1572" s="7" t="str">
        <f t="array" ref="W1572">INDEX(xlRTCLNAME,MATCH(1,(xlRTCLENDU=2)*(xlRTCLEQCL=$F1572),0))</f>
        <v>CENT_AIR</v>
      </c>
      <c r="X1572" s="7" t="str">
        <f t="array" ref="X1572">INDEX(xlRTTYNAME,MATCH(1,(xlRTTYENDU=1)*(xlRTTYEQCL=$D1572)*(xlRTEQTYPE=$E1572),0))</f>
        <v>NG_RAD4</v>
      </c>
      <c r="Y1572" s="7" t="str">
        <f t="array" ref="Y1572">INDEX(xlRTTYNAME,MATCH(1,(xlRTTYENDU=2)*(xlRTTYEQCL=$F1572)*(xlRTEQTYPE=$G1572),0))</f>
        <v>CENT_AIR4</v>
      </c>
    </row>
    <row r="1573" spans="2:25" ht="14.25" customHeight="1" x14ac:dyDescent="0.2">
      <c r="B1573" s="5">
        <v>3</v>
      </c>
      <c r="C1573" s="5">
        <v>2</v>
      </c>
      <c r="D1573" s="5">
        <v>4</v>
      </c>
      <c r="E1573" s="5">
        <v>13</v>
      </c>
      <c r="F1573" s="5">
        <v>2</v>
      </c>
      <c r="G1573" s="31">
        <v>7</v>
      </c>
      <c r="H1573" s="31">
        <v>2020</v>
      </c>
      <c r="I1573" s="5">
        <v>2022</v>
      </c>
      <c r="J1573" s="142">
        <v>1.0962000000000001</v>
      </c>
      <c r="K1573" s="142">
        <v>1.0345</v>
      </c>
      <c r="L1573" s="142">
        <v>0.5524</v>
      </c>
      <c r="M1573" s="142">
        <v>1.0310999999999999</v>
      </c>
      <c r="N1573" s="142">
        <v>1.0417000000000001</v>
      </c>
      <c r="O1573" s="142">
        <v>1.0538000000000001</v>
      </c>
      <c r="P1573" s="26">
        <v>4310.5768191785755</v>
      </c>
      <c r="Q1573" s="35">
        <f t="array" ref="Q1573">SUM(IF(($S1573&gt;=4)*($C1573='TaxCred&amp;Subs'!$D$114:$D$121)*($H1573='TaxCred&amp;Subs'!$C$114:$C$121)*($H1573&lt;='TaxCred&amp;Subs'!$C$123),'TaxCred&amp;Subs'!$E$114:$E$121,0))</f>
        <v>0</v>
      </c>
      <c r="R1573" s="143">
        <v>0</v>
      </c>
      <c r="S1573" s="5">
        <v>5</v>
      </c>
      <c r="T1573" s="5" t="s">
        <v>221</v>
      </c>
      <c r="V1573" s="7" t="str">
        <f t="array" ref="V1573">INDEX(xlRTCLNAME,MATCH(1,(xlRTCLENDU=1)*(xlRTCLEQCL=$D1573),0))</f>
        <v>NG_RAD</v>
      </c>
      <c r="W1573" s="7" t="str">
        <f t="array" ref="W1573">INDEX(xlRTCLNAME,MATCH(1,(xlRTCLENDU=2)*(xlRTCLEQCL=$F1573),0))</f>
        <v>CENT_AIR</v>
      </c>
      <c r="X1573" s="7" t="str">
        <f t="array" ref="X1573">INDEX(xlRTTYNAME,MATCH(1,(xlRTTYENDU=1)*(xlRTTYEQCL=$D1573)*(xlRTEQTYPE=$E1573),0))</f>
        <v>NG_RAD4</v>
      </c>
      <c r="Y1573" s="7" t="str">
        <f t="array" ref="Y1573">INDEX(xlRTTYNAME,MATCH(1,(xlRTTYENDU=2)*(xlRTTYEQCL=$F1573)*(xlRTEQTYPE=$G1573),0))</f>
        <v>CENT_AIR4</v>
      </c>
    </row>
    <row r="1574" spans="2:25" ht="14.25" customHeight="1" x14ac:dyDescent="0.2">
      <c r="B1574" s="5">
        <v>3</v>
      </c>
      <c r="C1574" s="5">
        <v>2</v>
      </c>
      <c r="D1574" s="5">
        <v>4</v>
      </c>
      <c r="E1574" s="5">
        <v>13</v>
      </c>
      <c r="F1574" s="5">
        <v>2</v>
      </c>
      <c r="G1574" s="31">
        <v>7</v>
      </c>
      <c r="H1574" s="5">
        <v>2023</v>
      </c>
      <c r="I1574" s="5">
        <v>2032</v>
      </c>
      <c r="J1574" s="142">
        <v>1.0962000000000001</v>
      </c>
      <c r="K1574" s="142">
        <v>1.0345</v>
      </c>
      <c r="L1574" s="142">
        <v>0.5524</v>
      </c>
      <c r="M1574" s="142">
        <v>1.0310999999999999</v>
      </c>
      <c r="N1574" s="142">
        <v>1.0417000000000001</v>
      </c>
      <c r="O1574" s="142">
        <v>1.0538000000000001</v>
      </c>
      <c r="P1574" s="26">
        <v>4310.5768191785755</v>
      </c>
      <c r="Q1574" s="35">
        <f t="array" ref="Q1574">SUM(IF(($S1574&gt;=4)*($C1574='TaxCred&amp;Subs'!$D$114:$D$121)*($H1574='TaxCred&amp;Subs'!$C$114:$C$121)*($H1574&lt;='TaxCred&amp;Subs'!$C$123),'TaxCred&amp;Subs'!$E$114:$E$121,0))</f>
        <v>500</v>
      </c>
      <c r="R1574" s="143">
        <v>0</v>
      </c>
      <c r="S1574" s="5">
        <v>5</v>
      </c>
      <c r="T1574" s="5" t="s">
        <v>221</v>
      </c>
      <c r="V1574" s="7" t="str">
        <f t="array" ref="V1574">INDEX(xlRTCLNAME,MATCH(1,(xlRTCLENDU=1)*(xlRTCLEQCL=$D1574),0))</f>
        <v>NG_RAD</v>
      </c>
      <c r="W1574" s="7" t="str">
        <f t="array" ref="W1574">INDEX(xlRTCLNAME,MATCH(1,(xlRTCLENDU=2)*(xlRTCLEQCL=$F1574),0))</f>
        <v>CENT_AIR</v>
      </c>
      <c r="X1574" s="7" t="str">
        <f t="array" ref="X1574">INDEX(xlRTTYNAME,MATCH(1,(xlRTTYENDU=1)*(xlRTTYEQCL=$D1574)*(xlRTEQTYPE=$E1574),0))</f>
        <v>NG_RAD4</v>
      </c>
      <c r="Y1574" s="7" t="str">
        <f t="array" ref="Y1574">INDEX(xlRTTYNAME,MATCH(1,(xlRTTYENDU=2)*(xlRTTYEQCL=$F1574)*(xlRTEQTYPE=$G1574),0))</f>
        <v>CENT_AIR4</v>
      </c>
    </row>
    <row r="1575" spans="2:25" ht="14.25" customHeight="1" x14ac:dyDescent="0.2">
      <c r="B1575" s="5">
        <v>3</v>
      </c>
      <c r="C1575" s="5">
        <v>2</v>
      </c>
      <c r="D1575" s="5">
        <v>4</v>
      </c>
      <c r="E1575" s="5">
        <v>13</v>
      </c>
      <c r="F1575" s="5">
        <v>2</v>
      </c>
      <c r="G1575" s="31">
        <v>7</v>
      </c>
      <c r="H1575" s="5">
        <v>2033</v>
      </c>
      <c r="I1575" s="5">
        <v>2050</v>
      </c>
      <c r="J1575" s="142">
        <v>1.0962000000000001</v>
      </c>
      <c r="K1575" s="142">
        <v>1.0345</v>
      </c>
      <c r="L1575" s="142">
        <v>0.5524</v>
      </c>
      <c r="M1575" s="142">
        <v>1.0310999999999999</v>
      </c>
      <c r="N1575" s="142">
        <v>1.0417000000000001</v>
      </c>
      <c r="O1575" s="142">
        <v>1.0538000000000001</v>
      </c>
      <c r="P1575" s="26">
        <v>4310.5768191785755</v>
      </c>
      <c r="Q1575" s="35">
        <f t="array" ref="Q1575">SUM(IF(($S1575&gt;=4)*($C1575='TaxCred&amp;Subs'!$D$114:$D$121)*($H1575='TaxCred&amp;Subs'!$C$114:$C$121)*($H1575&lt;='TaxCred&amp;Subs'!$C$123),'TaxCred&amp;Subs'!$E$114:$E$121,0))</f>
        <v>0</v>
      </c>
      <c r="R1575" s="143">
        <v>0</v>
      </c>
      <c r="S1575" s="5">
        <v>5</v>
      </c>
      <c r="T1575" s="5" t="s">
        <v>221</v>
      </c>
      <c r="V1575" s="7" t="str">
        <f t="array" ref="V1575">INDEX(xlRTCLNAME,MATCH(1,(xlRTCLENDU=1)*(xlRTCLEQCL=$D1575),0))</f>
        <v>NG_RAD</v>
      </c>
      <c r="W1575" s="7" t="str">
        <f t="array" ref="W1575">INDEX(xlRTCLNAME,MATCH(1,(xlRTCLENDU=2)*(xlRTCLEQCL=$F1575),0))</f>
        <v>CENT_AIR</v>
      </c>
      <c r="X1575" s="7" t="str">
        <f t="array" ref="X1575">INDEX(xlRTTYNAME,MATCH(1,(xlRTTYENDU=1)*(xlRTTYEQCL=$D1575)*(xlRTEQTYPE=$E1575),0))</f>
        <v>NG_RAD4</v>
      </c>
      <c r="Y1575" s="7" t="str">
        <f t="array" ref="Y1575">INDEX(xlRTTYNAME,MATCH(1,(xlRTTYENDU=2)*(xlRTTYEQCL=$F1575)*(xlRTEQTYPE=$G1575),0))</f>
        <v>CENT_AIR4</v>
      </c>
    </row>
    <row r="1576" spans="2:25" ht="14.25" customHeight="1" x14ac:dyDescent="0.2">
      <c r="B1576" s="5">
        <v>4</v>
      </c>
      <c r="C1576" s="5">
        <v>2</v>
      </c>
      <c r="D1576" s="5">
        <v>4</v>
      </c>
      <c r="E1576" s="5">
        <v>13</v>
      </c>
      <c r="F1576" s="5">
        <v>2</v>
      </c>
      <c r="G1576" s="31">
        <v>7</v>
      </c>
      <c r="H1576" s="31">
        <v>2020</v>
      </c>
      <c r="I1576" s="5">
        <v>2022</v>
      </c>
      <c r="J1576" s="142">
        <v>1.1024</v>
      </c>
      <c r="K1576" s="142">
        <v>1.0435000000000001</v>
      </c>
      <c r="L1576" s="142">
        <v>0.6149</v>
      </c>
      <c r="M1576" s="142">
        <v>1.1499999999999999</v>
      </c>
      <c r="N1576" s="142">
        <v>1.1678999999999999</v>
      </c>
      <c r="O1576" s="142">
        <v>1.0538000000000001</v>
      </c>
      <c r="P1576" s="26">
        <v>3588.5619246374358</v>
      </c>
      <c r="Q1576" s="35">
        <f t="array" ref="Q1576">SUM(IF(($S1576&gt;=4)*($C1576='TaxCred&amp;Subs'!$D$114:$D$121)*($H1576='TaxCred&amp;Subs'!$C$114:$C$121)*($H1576&lt;='TaxCred&amp;Subs'!$C$123),'TaxCred&amp;Subs'!$E$114:$E$121,0))</f>
        <v>0</v>
      </c>
      <c r="R1576" s="143">
        <v>0</v>
      </c>
      <c r="S1576" s="5">
        <v>5</v>
      </c>
      <c r="T1576" s="5" t="s">
        <v>221</v>
      </c>
      <c r="V1576" s="7" t="str">
        <f t="array" ref="V1576">INDEX(xlRTCLNAME,MATCH(1,(xlRTCLENDU=1)*(xlRTCLEQCL=$D1576),0))</f>
        <v>NG_RAD</v>
      </c>
      <c r="W1576" s="7" t="str">
        <f t="array" ref="W1576">INDEX(xlRTCLNAME,MATCH(1,(xlRTCLENDU=2)*(xlRTCLEQCL=$F1576),0))</f>
        <v>CENT_AIR</v>
      </c>
      <c r="X1576" s="7" t="str">
        <f t="array" ref="X1576">INDEX(xlRTTYNAME,MATCH(1,(xlRTTYENDU=1)*(xlRTTYEQCL=$D1576)*(xlRTEQTYPE=$E1576),0))</f>
        <v>NG_RAD4</v>
      </c>
      <c r="Y1576" s="7" t="str">
        <f t="array" ref="Y1576">INDEX(xlRTTYNAME,MATCH(1,(xlRTTYENDU=2)*(xlRTTYEQCL=$F1576)*(xlRTEQTYPE=$G1576),0))</f>
        <v>CENT_AIR4</v>
      </c>
    </row>
    <row r="1577" spans="2:25" ht="14.25" customHeight="1" x14ac:dyDescent="0.2">
      <c r="B1577" s="5">
        <v>4</v>
      </c>
      <c r="C1577" s="5">
        <v>2</v>
      </c>
      <c r="D1577" s="5">
        <v>4</v>
      </c>
      <c r="E1577" s="5">
        <v>13</v>
      </c>
      <c r="F1577" s="5">
        <v>2</v>
      </c>
      <c r="G1577" s="31">
        <v>7</v>
      </c>
      <c r="H1577" s="5">
        <v>2023</v>
      </c>
      <c r="I1577" s="5">
        <v>2032</v>
      </c>
      <c r="J1577" s="142">
        <v>1.1024</v>
      </c>
      <c r="K1577" s="142">
        <v>1.0435000000000001</v>
      </c>
      <c r="L1577" s="142">
        <v>0.6149</v>
      </c>
      <c r="M1577" s="142">
        <v>1.1499999999999999</v>
      </c>
      <c r="N1577" s="142">
        <v>1.1678999999999999</v>
      </c>
      <c r="O1577" s="142">
        <v>1.0538000000000001</v>
      </c>
      <c r="P1577" s="26">
        <v>3588.5619246374358</v>
      </c>
      <c r="Q1577" s="35">
        <f t="array" ref="Q1577">SUM(IF(($S1577&gt;=4)*($C1577='TaxCred&amp;Subs'!$D$114:$D$121)*($H1577='TaxCred&amp;Subs'!$C$114:$C$121)*($H1577&lt;='TaxCred&amp;Subs'!$C$123),'TaxCred&amp;Subs'!$E$114:$E$121,0))</f>
        <v>500</v>
      </c>
      <c r="R1577" s="143">
        <v>0</v>
      </c>
      <c r="S1577" s="5">
        <v>5</v>
      </c>
      <c r="T1577" s="5" t="s">
        <v>221</v>
      </c>
      <c r="V1577" s="7" t="str">
        <f t="array" ref="V1577">INDEX(xlRTCLNAME,MATCH(1,(xlRTCLENDU=1)*(xlRTCLEQCL=$D1577),0))</f>
        <v>NG_RAD</v>
      </c>
      <c r="W1577" s="7" t="str">
        <f t="array" ref="W1577">INDEX(xlRTCLNAME,MATCH(1,(xlRTCLENDU=2)*(xlRTCLEQCL=$F1577),0))</f>
        <v>CENT_AIR</v>
      </c>
      <c r="X1577" s="7" t="str">
        <f t="array" ref="X1577">INDEX(xlRTTYNAME,MATCH(1,(xlRTTYENDU=1)*(xlRTTYEQCL=$D1577)*(xlRTEQTYPE=$E1577),0))</f>
        <v>NG_RAD4</v>
      </c>
      <c r="Y1577" s="7" t="str">
        <f t="array" ref="Y1577">INDEX(xlRTTYNAME,MATCH(1,(xlRTTYENDU=2)*(xlRTTYEQCL=$F1577)*(xlRTEQTYPE=$G1577),0))</f>
        <v>CENT_AIR4</v>
      </c>
    </row>
    <row r="1578" spans="2:25" ht="14.25" customHeight="1" x14ac:dyDescent="0.2">
      <c r="B1578" s="5">
        <v>4</v>
      </c>
      <c r="C1578" s="5">
        <v>2</v>
      </c>
      <c r="D1578" s="5">
        <v>4</v>
      </c>
      <c r="E1578" s="5">
        <v>13</v>
      </c>
      <c r="F1578" s="5">
        <v>2</v>
      </c>
      <c r="G1578" s="31">
        <v>7</v>
      </c>
      <c r="H1578" s="5">
        <v>2033</v>
      </c>
      <c r="I1578" s="5">
        <v>2050</v>
      </c>
      <c r="J1578" s="142">
        <v>1.1024</v>
      </c>
      <c r="K1578" s="142">
        <v>1.0435000000000001</v>
      </c>
      <c r="L1578" s="142">
        <v>0.6149</v>
      </c>
      <c r="M1578" s="142">
        <v>1.1499999999999999</v>
      </c>
      <c r="N1578" s="142">
        <v>1.1678999999999999</v>
      </c>
      <c r="O1578" s="142">
        <v>1.0538000000000001</v>
      </c>
      <c r="P1578" s="26">
        <v>3588.5619246374358</v>
      </c>
      <c r="Q1578" s="35">
        <f t="array" ref="Q1578">SUM(IF(($S1578&gt;=4)*($C1578='TaxCred&amp;Subs'!$D$114:$D$121)*($H1578='TaxCred&amp;Subs'!$C$114:$C$121)*($H1578&lt;='TaxCred&amp;Subs'!$C$123),'TaxCred&amp;Subs'!$E$114:$E$121,0))</f>
        <v>0</v>
      </c>
      <c r="R1578" s="143">
        <v>0</v>
      </c>
      <c r="S1578" s="5">
        <v>5</v>
      </c>
      <c r="T1578" s="5" t="s">
        <v>221</v>
      </c>
      <c r="V1578" s="7" t="str">
        <f t="array" ref="V1578">INDEX(xlRTCLNAME,MATCH(1,(xlRTCLENDU=1)*(xlRTCLEQCL=$D1578),0))</f>
        <v>NG_RAD</v>
      </c>
      <c r="W1578" s="7" t="str">
        <f t="array" ref="W1578">INDEX(xlRTCLNAME,MATCH(1,(xlRTCLENDU=2)*(xlRTCLEQCL=$F1578),0))</f>
        <v>CENT_AIR</v>
      </c>
      <c r="X1578" s="7" t="str">
        <f t="array" ref="X1578">INDEX(xlRTTYNAME,MATCH(1,(xlRTTYENDU=1)*(xlRTTYEQCL=$D1578)*(xlRTEQTYPE=$E1578),0))</f>
        <v>NG_RAD4</v>
      </c>
      <c r="Y1578" s="7" t="str">
        <f t="array" ref="Y1578">INDEX(xlRTTYNAME,MATCH(1,(xlRTTYENDU=2)*(xlRTTYEQCL=$F1578)*(xlRTEQTYPE=$G1578),0))</f>
        <v>CENT_AIR4</v>
      </c>
    </row>
    <row r="1579" spans="2:25" ht="14.25" customHeight="1" x14ac:dyDescent="0.2">
      <c r="B1579" s="5">
        <v>5</v>
      </c>
      <c r="C1579" s="5">
        <v>2</v>
      </c>
      <c r="D1579" s="5">
        <v>4</v>
      </c>
      <c r="E1579" s="5">
        <v>13</v>
      </c>
      <c r="F1579" s="5">
        <v>2</v>
      </c>
      <c r="G1579" s="31">
        <v>7</v>
      </c>
      <c r="H1579" s="31">
        <v>2020</v>
      </c>
      <c r="I1579" s="5">
        <v>2022</v>
      </c>
      <c r="J1579" s="142">
        <v>1.03</v>
      </c>
      <c r="K1579" s="142">
        <v>1.03</v>
      </c>
      <c r="L1579" s="142">
        <v>0.44379999999999997</v>
      </c>
      <c r="M1579" s="142">
        <v>1.0314000000000001</v>
      </c>
      <c r="N1579" s="142">
        <v>1.3003</v>
      </c>
      <c r="O1579" s="142">
        <v>1.0538000000000001</v>
      </c>
      <c r="P1579" s="26">
        <v>3228.2267444939989</v>
      </c>
      <c r="Q1579" s="35">
        <f t="array" ref="Q1579">SUM(IF(($S1579&gt;=4)*($C1579='TaxCred&amp;Subs'!$D$114:$D$121)*($H1579='TaxCred&amp;Subs'!$C$114:$C$121)*($H1579&lt;='TaxCred&amp;Subs'!$C$123),'TaxCred&amp;Subs'!$E$114:$E$121,0))</f>
        <v>0</v>
      </c>
      <c r="R1579" s="143">
        <v>0</v>
      </c>
      <c r="S1579" s="5">
        <v>5</v>
      </c>
      <c r="T1579" s="5" t="s">
        <v>221</v>
      </c>
      <c r="V1579" s="7" t="str">
        <f t="array" ref="V1579">INDEX(xlRTCLNAME,MATCH(1,(xlRTCLENDU=1)*(xlRTCLEQCL=$D1579),0))</f>
        <v>NG_RAD</v>
      </c>
      <c r="W1579" s="7" t="str">
        <f t="array" ref="W1579">INDEX(xlRTCLNAME,MATCH(1,(xlRTCLENDU=2)*(xlRTCLEQCL=$F1579),0))</f>
        <v>CENT_AIR</v>
      </c>
      <c r="X1579" s="7" t="str">
        <f t="array" ref="X1579">INDEX(xlRTTYNAME,MATCH(1,(xlRTTYENDU=1)*(xlRTTYEQCL=$D1579)*(xlRTEQTYPE=$E1579),0))</f>
        <v>NG_RAD4</v>
      </c>
      <c r="Y1579" s="7" t="str">
        <f t="array" ref="Y1579">INDEX(xlRTTYNAME,MATCH(1,(xlRTTYENDU=2)*(xlRTTYEQCL=$F1579)*(xlRTEQTYPE=$G1579),0))</f>
        <v>CENT_AIR4</v>
      </c>
    </row>
    <row r="1580" spans="2:25" ht="14.25" customHeight="1" x14ac:dyDescent="0.2">
      <c r="B1580" s="5">
        <v>5</v>
      </c>
      <c r="C1580" s="5">
        <v>2</v>
      </c>
      <c r="D1580" s="5">
        <v>4</v>
      </c>
      <c r="E1580" s="5">
        <v>13</v>
      </c>
      <c r="F1580" s="5">
        <v>2</v>
      </c>
      <c r="G1580" s="31">
        <v>7</v>
      </c>
      <c r="H1580" s="5">
        <v>2023</v>
      </c>
      <c r="I1580" s="5">
        <v>2032</v>
      </c>
      <c r="J1580" s="142">
        <v>1.03</v>
      </c>
      <c r="K1580" s="142">
        <v>1.03</v>
      </c>
      <c r="L1580" s="142">
        <v>0.44379999999999997</v>
      </c>
      <c r="M1580" s="142">
        <v>1.0314000000000001</v>
      </c>
      <c r="N1580" s="142">
        <v>1.3003</v>
      </c>
      <c r="O1580" s="142">
        <v>1.0538000000000001</v>
      </c>
      <c r="P1580" s="26">
        <v>3228.2267444939989</v>
      </c>
      <c r="Q1580" s="35">
        <f t="array" ref="Q1580">SUM(IF(($S1580&gt;=4)*($C1580='TaxCred&amp;Subs'!$D$114:$D$121)*($H1580='TaxCred&amp;Subs'!$C$114:$C$121)*($H1580&lt;='TaxCred&amp;Subs'!$C$123),'TaxCred&amp;Subs'!$E$114:$E$121,0))</f>
        <v>500</v>
      </c>
      <c r="R1580" s="143">
        <v>0</v>
      </c>
      <c r="S1580" s="5">
        <v>5</v>
      </c>
      <c r="T1580" s="5" t="s">
        <v>221</v>
      </c>
      <c r="V1580" s="7" t="str">
        <f t="array" ref="V1580">INDEX(xlRTCLNAME,MATCH(1,(xlRTCLENDU=1)*(xlRTCLEQCL=$D1580),0))</f>
        <v>NG_RAD</v>
      </c>
      <c r="W1580" s="7" t="str">
        <f t="array" ref="W1580">INDEX(xlRTCLNAME,MATCH(1,(xlRTCLENDU=2)*(xlRTCLEQCL=$F1580),0))</f>
        <v>CENT_AIR</v>
      </c>
      <c r="X1580" s="7" t="str">
        <f t="array" ref="X1580">INDEX(xlRTTYNAME,MATCH(1,(xlRTTYENDU=1)*(xlRTTYEQCL=$D1580)*(xlRTEQTYPE=$E1580),0))</f>
        <v>NG_RAD4</v>
      </c>
      <c r="Y1580" s="7" t="str">
        <f t="array" ref="Y1580">INDEX(xlRTTYNAME,MATCH(1,(xlRTTYENDU=2)*(xlRTTYEQCL=$F1580)*(xlRTEQTYPE=$G1580),0))</f>
        <v>CENT_AIR4</v>
      </c>
    </row>
    <row r="1581" spans="2:25" ht="14.25" customHeight="1" x14ac:dyDescent="0.2">
      <c r="B1581" s="5">
        <v>5</v>
      </c>
      <c r="C1581" s="5">
        <v>2</v>
      </c>
      <c r="D1581" s="5">
        <v>4</v>
      </c>
      <c r="E1581" s="5">
        <v>13</v>
      </c>
      <c r="F1581" s="5">
        <v>2</v>
      </c>
      <c r="G1581" s="31">
        <v>7</v>
      </c>
      <c r="H1581" s="5">
        <v>2033</v>
      </c>
      <c r="I1581" s="5">
        <v>2050</v>
      </c>
      <c r="J1581" s="142">
        <v>1.03</v>
      </c>
      <c r="K1581" s="142">
        <v>1.03</v>
      </c>
      <c r="L1581" s="142">
        <v>0.44379999999999997</v>
      </c>
      <c r="M1581" s="142">
        <v>1.0314000000000001</v>
      </c>
      <c r="N1581" s="142">
        <v>1.3003</v>
      </c>
      <c r="O1581" s="142">
        <v>1.0538000000000001</v>
      </c>
      <c r="P1581" s="26">
        <v>3228.2267444939989</v>
      </c>
      <c r="Q1581" s="35">
        <f t="array" ref="Q1581">SUM(IF(($S1581&gt;=4)*($C1581='TaxCred&amp;Subs'!$D$114:$D$121)*($H1581='TaxCred&amp;Subs'!$C$114:$C$121)*($H1581&lt;='TaxCred&amp;Subs'!$C$123),'TaxCred&amp;Subs'!$E$114:$E$121,0))</f>
        <v>0</v>
      </c>
      <c r="R1581" s="143">
        <v>0</v>
      </c>
      <c r="S1581" s="5">
        <v>5</v>
      </c>
      <c r="T1581" s="5" t="s">
        <v>221</v>
      </c>
      <c r="V1581" s="7" t="str">
        <f t="array" ref="V1581">INDEX(xlRTCLNAME,MATCH(1,(xlRTCLENDU=1)*(xlRTCLEQCL=$D1581),0))</f>
        <v>NG_RAD</v>
      </c>
      <c r="W1581" s="7" t="str">
        <f t="array" ref="W1581">INDEX(xlRTCLNAME,MATCH(1,(xlRTCLENDU=2)*(xlRTCLEQCL=$F1581),0))</f>
        <v>CENT_AIR</v>
      </c>
      <c r="X1581" s="7" t="str">
        <f t="array" ref="X1581">INDEX(xlRTTYNAME,MATCH(1,(xlRTTYENDU=1)*(xlRTTYEQCL=$D1581)*(xlRTEQTYPE=$E1581),0))</f>
        <v>NG_RAD4</v>
      </c>
      <c r="Y1581" s="7" t="str">
        <f t="array" ref="Y1581">INDEX(xlRTTYNAME,MATCH(1,(xlRTTYENDU=2)*(xlRTTYEQCL=$F1581)*(xlRTEQTYPE=$G1581),0))</f>
        <v>CENT_AIR4</v>
      </c>
    </row>
    <row r="1582" spans="2:25" ht="14.25" customHeight="1" x14ac:dyDescent="0.2">
      <c r="B1582" s="5">
        <v>6</v>
      </c>
      <c r="C1582" s="5">
        <v>2</v>
      </c>
      <c r="D1582" s="5">
        <v>4</v>
      </c>
      <c r="E1582" s="5">
        <v>13</v>
      </c>
      <c r="F1582" s="5">
        <v>2</v>
      </c>
      <c r="G1582" s="31">
        <v>7</v>
      </c>
      <c r="H1582" s="31">
        <v>2020</v>
      </c>
      <c r="I1582" s="5">
        <v>2022</v>
      </c>
      <c r="J1582" s="142">
        <v>1.1200000000000001</v>
      </c>
      <c r="K1582" s="142">
        <v>1.0417000000000001</v>
      </c>
      <c r="L1582" s="142">
        <v>0.44379999999999997</v>
      </c>
      <c r="M1582" s="142">
        <v>1.0546</v>
      </c>
      <c r="N1582" s="142">
        <v>1.3656999999999999</v>
      </c>
      <c r="O1582" s="142">
        <v>1.0538000000000001</v>
      </c>
      <c r="P1582" s="26">
        <v>3572.4275135862376</v>
      </c>
      <c r="Q1582" s="35">
        <f t="array" ref="Q1582">SUM(IF(($S1582&gt;=4)*($C1582='TaxCred&amp;Subs'!$D$114:$D$121)*($H1582='TaxCred&amp;Subs'!$C$114:$C$121)*($H1582&lt;='TaxCred&amp;Subs'!$C$123),'TaxCred&amp;Subs'!$E$114:$E$121,0))</f>
        <v>0</v>
      </c>
      <c r="R1582" s="143">
        <v>0</v>
      </c>
      <c r="S1582" s="5">
        <v>5</v>
      </c>
      <c r="T1582" s="5" t="s">
        <v>221</v>
      </c>
      <c r="V1582" s="7" t="str">
        <f t="array" ref="V1582">INDEX(xlRTCLNAME,MATCH(1,(xlRTCLENDU=1)*(xlRTCLEQCL=$D1582),0))</f>
        <v>NG_RAD</v>
      </c>
      <c r="W1582" s="7" t="str">
        <f t="array" ref="W1582">INDEX(xlRTCLNAME,MATCH(1,(xlRTCLENDU=2)*(xlRTCLEQCL=$F1582),0))</f>
        <v>CENT_AIR</v>
      </c>
      <c r="X1582" s="7" t="str">
        <f t="array" ref="X1582">INDEX(xlRTTYNAME,MATCH(1,(xlRTTYENDU=1)*(xlRTTYEQCL=$D1582)*(xlRTEQTYPE=$E1582),0))</f>
        <v>NG_RAD4</v>
      </c>
      <c r="Y1582" s="7" t="str">
        <f t="array" ref="Y1582">INDEX(xlRTTYNAME,MATCH(1,(xlRTTYENDU=2)*(xlRTTYEQCL=$F1582)*(xlRTEQTYPE=$G1582),0))</f>
        <v>CENT_AIR4</v>
      </c>
    </row>
    <row r="1583" spans="2:25" ht="14.25" customHeight="1" x14ac:dyDescent="0.2">
      <c r="B1583" s="5">
        <v>6</v>
      </c>
      <c r="C1583" s="5">
        <v>2</v>
      </c>
      <c r="D1583" s="5">
        <v>4</v>
      </c>
      <c r="E1583" s="5">
        <v>13</v>
      </c>
      <c r="F1583" s="5">
        <v>2</v>
      </c>
      <c r="G1583" s="31">
        <v>7</v>
      </c>
      <c r="H1583" s="5">
        <v>2023</v>
      </c>
      <c r="I1583" s="5">
        <v>2032</v>
      </c>
      <c r="J1583" s="142">
        <v>1.1200000000000001</v>
      </c>
      <c r="K1583" s="142">
        <v>1.0417000000000001</v>
      </c>
      <c r="L1583" s="142">
        <v>0.44379999999999997</v>
      </c>
      <c r="M1583" s="142">
        <v>1.0546</v>
      </c>
      <c r="N1583" s="142">
        <v>1.3656999999999999</v>
      </c>
      <c r="O1583" s="142">
        <v>1.0538000000000001</v>
      </c>
      <c r="P1583" s="26">
        <v>3572.4275135862376</v>
      </c>
      <c r="Q1583" s="35">
        <f t="array" ref="Q1583">SUM(IF(($S1583&gt;=4)*($C1583='TaxCred&amp;Subs'!$D$114:$D$121)*($H1583='TaxCred&amp;Subs'!$C$114:$C$121)*($H1583&lt;='TaxCred&amp;Subs'!$C$123),'TaxCred&amp;Subs'!$E$114:$E$121,0))</f>
        <v>500</v>
      </c>
      <c r="R1583" s="143">
        <v>0</v>
      </c>
      <c r="S1583" s="5">
        <v>5</v>
      </c>
      <c r="T1583" s="5" t="s">
        <v>221</v>
      </c>
      <c r="V1583" s="7" t="str">
        <f t="array" ref="V1583">INDEX(xlRTCLNAME,MATCH(1,(xlRTCLENDU=1)*(xlRTCLEQCL=$D1583),0))</f>
        <v>NG_RAD</v>
      </c>
      <c r="W1583" s="7" t="str">
        <f t="array" ref="W1583">INDEX(xlRTCLNAME,MATCH(1,(xlRTCLENDU=2)*(xlRTCLEQCL=$F1583),0))</f>
        <v>CENT_AIR</v>
      </c>
      <c r="X1583" s="7" t="str">
        <f t="array" ref="X1583">INDEX(xlRTTYNAME,MATCH(1,(xlRTTYENDU=1)*(xlRTTYEQCL=$D1583)*(xlRTEQTYPE=$E1583),0))</f>
        <v>NG_RAD4</v>
      </c>
      <c r="Y1583" s="7" t="str">
        <f t="array" ref="Y1583">INDEX(xlRTTYNAME,MATCH(1,(xlRTTYENDU=2)*(xlRTTYEQCL=$F1583)*(xlRTEQTYPE=$G1583),0))</f>
        <v>CENT_AIR4</v>
      </c>
    </row>
    <row r="1584" spans="2:25" ht="14.25" customHeight="1" x14ac:dyDescent="0.2">
      <c r="B1584" s="5">
        <v>6</v>
      </c>
      <c r="C1584" s="5">
        <v>2</v>
      </c>
      <c r="D1584" s="5">
        <v>4</v>
      </c>
      <c r="E1584" s="5">
        <v>13</v>
      </c>
      <c r="F1584" s="5">
        <v>2</v>
      </c>
      <c r="G1584" s="31">
        <v>7</v>
      </c>
      <c r="H1584" s="5">
        <v>2033</v>
      </c>
      <c r="I1584" s="5">
        <v>2050</v>
      </c>
      <c r="J1584" s="142">
        <v>1.1200000000000001</v>
      </c>
      <c r="K1584" s="142">
        <v>1.0417000000000001</v>
      </c>
      <c r="L1584" s="142">
        <v>0.44379999999999997</v>
      </c>
      <c r="M1584" s="142">
        <v>1.0546</v>
      </c>
      <c r="N1584" s="142">
        <v>1.3656999999999999</v>
      </c>
      <c r="O1584" s="142">
        <v>1.0538000000000001</v>
      </c>
      <c r="P1584" s="26">
        <v>3572.4275135862376</v>
      </c>
      <c r="Q1584" s="35">
        <f t="array" ref="Q1584">SUM(IF(($S1584&gt;=4)*($C1584='TaxCred&amp;Subs'!$D$114:$D$121)*($H1584='TaxCred&amp;Subs'!$C$114:$C$121)*($H1584&lt;='TaxCred&amp;Subs'!$C$123),'TaxCred&amp;Subs'!$E$114:$E$121,0))</f>
        <v>0</v>
      </c>
      <c r="R1584" s="143">
        <v>0</v>
      </c>
      <c r="S1584" s="5">
        <v>5</v>
      </c>
      <c r="T1584" s="5" t="s">
        <v>221</v>
      </c>
      <c r="V1584" s="7" t="str">
        <f t="array" ref="V1584">INDEX(xlRTCLNAME,MATCH(1,(xlRTCLENDU=1)*(xlRTCLEQCL=$D1584),0))</f>
        <v>NG_RAD</v>
      </c>
      <c r="W1584" s="7" t="str">
        <f t="array" ref="W1584">INDEX(xlRTCLNAME,MATCH(1,(xlRTCLENDU=2)*(xlRTCLEQCL=$F1584),0))</f>
        <v>CENT_AIR</v>
      </c>
      <c r="X1584" s="7" t="str">
        <f t="array" ref="X1584">INDEX(xlRTTYNAME,MATCH(1,(xlRTTYENDU=1)*(xlRTTYEQCL=$D1584)*(xlRTEQTYPE=$E1584),0))</f>
        <v>NG_RAD4</v>
      </c>
      <c r="Y1584" s="7" t="str">
        <f t="array" ref="Y1584">INDEX(xlRTTYNAME,MATCH(1,(xlRTTYENDU=2)*(xlRTTYEQCL=$F1584)*(xlRTEQTYPE=$G1584),0))</f>
        <v>CENT_AIR4</v>
      </c>
    </row>
    <row r="1585" spans="2:25" ht="14.25" customHeight="1" x14ac:dyDescent="0.2">
      <c r="B1585" s="5">
        <v>7</v>
      </c>
      <c r="C1585" s="5">
        <v>2</v>
      </c>
      <c r="D1585" s="5">
        <v>4</v>
      </c>
      <c r="E1585" s="5">
        <v>13</v>
      </c>
      <c r="F1585" s="5">
        <v>2</v>
      </c>
      <c r="G1585" s="31">
        <v>7</v>
      </c>
      <c r="H1585" s="31">
        <v>2020</v>
      </c>
      <c r="I1585" s="5">
        <v>2022</v>
      </c>
      <c r="J1585" s="142">
        <v>1.1200000000000001</v>
      </c>
      <c r="K1585" s="142">
        <v>1.0462</v>
      </c>
      <c r="L1585" s="142">
        <v>0.44379999999999997</v>
      </c>
      <c r="M1585" s="142">
        <v>1.0569</v>
      </c>
      <c r="N1585" s="142">
        <v>1.4438</v>
      </c>
      <c r="O1585" s="142">
        <v>1.0538000000000001</v>
      </c>
      <c r="P1585" s="26">
        <v>3120.6640041526744</v>
      </c>
      <c r="Q1585" s="35">
        <f t="array" ref="Q1585">SUM(IF(($S1585&gt;=4)*($C1585='TaxCred&amp;Subs'!$D$114:$D$121)*($H1585='TaxCred&amp;Subs'!$C$114:$C$121)*($H1585&lt;='TaxCred&amp;Subs'!$C$123),'TaxCred&amp;Subs'!$E$114:$E$121,0))</f>
        <v>0</v>
      </c>
      <c r="R1585" s="143">
        <v>0</v>
      </c>
      <c r="S1585" s="5">
        <v>5</v>
      </c>
      <c r="T1585" s="5" t="s">
        <v>221</v>
      </c>
      <c r="V1585" s="7" t="str">
        <f t="array" ref="V1585">INDEX(xlRTCLNAME,MATCH(1,(xlRTCLENDU=1)*(xlRTCLEQCL=$D1585),0))</f>
        <v>NG_RAD</v>
      </c>
      <c r="W1585" s="7" t="str">
        <f t="array" ref="W1585">INDEX(xlRTCLNAME,MATCH(1,(xlRTCLENDU=2)*(xlRTCLEQCL=$F1585),0))</f>
        <v>CENT_AIR</v>
      </c>
      <c r="X1585" s="7" t="str">
        <f t="array" ref="X1585">INDEX(xlRTTYNAME,MATCH(1,(xlRTTYENDU=1)*(xlRTTYEQCL=$D1585)*(xlRTEQTYPE=$E1585),0))</f>
        <v>NG_RAD4</v>
      </c>
      <c r="Y1585" s="7" t="str">
        <f t="array" ref="Y1585">INDEX(xlRTTYNAME,MATCH(1,(xlRTTYENDU=2)*(xlRTTYEQCL=$F1585)*(xlRTEQTYPE=$G1585),0))</f>
        <v>CENT_AIR4</v>
      </c>
    </row>
    <row r="1586" spans="2:25" ht="14.25" customHeight="1" x14ac:dyDescent="0.2">
      <c r="B1586" s="5">
        <v>7</v>
      </c>
      <c r="C1586" s="5">
        <v>2</v>
      </c>
      <c r="D1586" s="5">
        <v>4</v>
      </c>
      <c r="E1586" s="5">
        <v>13</v>
      </c>
      <c r="F1586" s="5">
        <v>2</v>
      </c>
      <c r="G1586" s="31">
        <v>7</v>
      </c>
      <c r="H1586" s="5">
        <v>2023</v>
      </c>
      <c r="I1586" s="5">
        <v>2032</v>
      </c>
      <c r="J1586" s="142">
        <v>1.1200000000000001</v>
      </c>
      <c r="K1586" s="142">
        <v>1.0462</v>
      </c>
      <c r="L1586" s="142">
        <v>0.44379999999999997</v>
      </c>
      <c r="M1586" s="142">
        <v>1.0569</v>
      </c>
      <c r="N1586" s="142">
        <v>1.4438</v>
      </c>
      <c r="O1586" s="142">
        <v>1.0538000000000001</v>
      </c>
      <c r="P1586" s="26">
        <v>3120.6640041526744</v>
      </c>
      <c r="Q1586" s="35">
        <f t="array" ref="Q1586">SUM(IF(($S1586&gt;=4)*($C1586='TaxCred&amp;Subs'!$D$114:$D$121)*($H1586='TaxCred&amp;Subs'!$C$114:$C$121)*($H1586&lt;='TaxCred&amp;Subs'!$C$123),'TaxCred&amp;Subs'!$E$114:$E$121,0))</f>
        <v>500</v>
      </c>
      <c r="R1586" s="143">
        <v>0</v>
      </c>
      <c r="S1586" s="5">
        <v>5</v>
      </c>
      <c r="T1586" s="5" t="s">
        <v>221</v>
      </c>
      <c r="V1586" s="7" t="str">
        <f t="array" ref="V1586">INDEX(xlRTCLNAME,MATCH(1,(xlRTCLENDU=1)*(xlRTCLEQCL=$D1586),0))</f>
        <v>NG_RAD</v>
      </c>
      <c r="W1586" s="7" t="str">
        <f t="array" ref="W1586">INDEX(xlRTCLNAME,MATCH(1,(xlRTCLENDU=2)*(xlRTCLEQCL=$F1586),0))</f>
        <v>CENT_AIR</v>
      </c>
      <c r="X1586" s="7" t="str">
        <f t="array" ref="X1586">INDEX(xlRTTYNAME,MATCH(1,(xlRTTYENDU=1)*(xlRTTYEQCL=$D1586)*(xlRTEQTYPE=$E1586),0))</f>
        <v>NG_RAD4</v>
      </c>
      <c r="Y1586" s="7" t="str">
        <f t="array" ref="Y1586">INDEX(xlRTTYNAME,MATCH(1,(xlRTTYENDU=2)*(xlRTTYEQCL=$F1586)*(xlRTEQTYPE=$G1586),0))</f>
        <v>CENT_AIR4</v>
      </c>
    </row>
    <row r="1587" spans="2:25" ht="14.25" customHeight="1" x14ac:dyDescent="0.2">
      <c r="B1587" s="5">
        <v>7</v>
      </c>
      <c r="C1587" s="5">
        <v>2</v>
      </c>
      <c r="D1587" s="5">
        <v>4</v>
      </c>
      <c r="E1587" s="5">
        <v>13</v>
      </c>
      <c r="F1587" s="5">
        <v>2</v>
      </c>
      <c r="G1587" s="31">
        <v>7</v>
      </c>
      <c r="H1587" s="5">
        <v>2033</v>
      </c>
      <c r="I1587" s="5">
        <v>2050</v>
      </c>
      <c r="J1587" s="142">
        <v>1.1200000000000001</v>
      </c>
      <c r="K1587" s="142">
        <v>1.0462</v>
      </c>
      <c r="L1587" s="142">
        <v>0.44379999999999997</v>
      </c>
      <c r="M1587" s="142">
        <v>1.0569</v>
      </c>
      <c r="N1587" s="142">
        <v>1.4438</v>
      </c>
      <c r="O1587" s="142">
        <v>1.0538000000000001</v>
      </c>
      <c r="P1587" s="26">
        <v>3120.6640041526744</v>
      </c>
      <c r="Q1587" s="35">
        <f t="array" ref="Q1587">SUM(IF(($S1587&gt;=4)*($C1587='TaxCred&amp;Subs'!$D$114:$D$121)*($H1587='TaxCred&amp;Subs'!$C$114:$C$121)*($H1587&lt;='TaxCred&amp;Subs'!$C$123),'TaxCred&amp;Subs'!$E$114:$E$121,0))</f>
        <v>0</v>
      </c>
      <c r="R1587" s="143">
        <v>0</v>
      </c>
      <c r="S1587" s="5">
        <v>5</v>
      </c>
      <c r="T1587" s="5" t="s">
        <v>221</v>
      </c>
      <c r="V1587" s="7" t="str">
        <f t="array" ref="V1587">INDEX(xlRTCLNAME,MATCH(1,(xlRTCLENDU=1)*(xlRTCLEQCL=$D1587),0))</f>
        <v>NG_RAD</v>
      </c>
      <c r="W1587" s="7" t="str">
        <f t="array" ref="W1587">INDEX(xlRTCLNAME,MATCH(1,(xlRTCLENDU=2)*(xlRTCLEQCL=$F1587),0))</f>
        <v>CENT_AIR</v>
      </c>
      <c r="X1587" s="7" t="str">
        <f t="array" ref="X1587">INDEX(xlRTTYNAME,MATCH(1,(xlRTTYENDU=1)*(xlRTTYEQCL=$D1587)*(xlRTEQTYPE=$E1587),0))</f>
        <v>NG_RAD4</v>
      </c>
      <c r="Y1587" s="7" t="str">
        <f t="array" ref="Y1587">INDEX(xlRTTYNAME,MATCH(1,(xlRTTYENDU=2)*(xlRTTYEQCL=$F1587)*(xlRTEQTYPE=$G1587),0))</f>
        <v>CENT_AIR4</v>
      </c>
    </row>
    <row r="1588" spans="2:25" ht="14.25" customHeight="1" x14ac:dyDescent="0.2">
      <c r="B1588" s="5">
        <v>8</v>
      </c>
      <c r="C1588" s="5">
        <v>2</v>
      </c>
      <c r="D1588" s="5">
        <v>4</v>
      </c>
      <c r="E1588" s="5">
        <v>13</v>
      </c>
      <c r="F1588" s="5">
        <v>2</v>
      </c>
      <c r="G1588" s="31">
        <v>7</v>
      </c>
      <c r="H1588" s="31">
        <v>2020</v>
      </c>
      <c r="I1588" s="5">
        <v>2022</v>
      </c>
      <c r="J1588" s="142">
        <v>1.1045</v>
      </c>
      <c r="K1588" s="142">
        <v>1.0323</v>
      </c>
      <c r="L1588" s="142">
        <v>0.53910000000000002</v>
      </c>
      <c r="M1588" s="142">
        <v>1.2087000000000001</v>
      </c>
      <c r="N1588" s="142">
        <v>1.2847999999999999</v>
      </c>
      <c r="O1588" s="142">
        <v>1.0538000000000001</v>
      </c>
      <c r="P1588" s="26">
        <v>3884.3594605760777</v>
      </c>
      <c r="Q1588" s="35">
        <f t="array" ref="Q1588">SUM(IF(($S1588&gt;=4)*($C1588='TaxCred&amp;Subs'!$D$114:$D$121)*($H1588='TaxCred&amp;Subs'!$C$114:$C$121)*($H1588&lt;='TaxCred&amp;Subs'!$C$123),'TaxCred&amp;Subs'!$E$114:$E$121,0))</f>
        <v>0</v>
      </c>
      <c r="R1588" s="143">
        <v>0</v>
      </c>
      <c r="S1588" s="5">
        <v>5</v>
      </c>
      <c r="T1588" s="5" t="s">
        <v>221</v>
      </c>
      <c r="V1588" s="7" t="str">
        <f t="array" ref="V1588">INDEX(xlRTCLNAME,MATCH(1,(xlRTCLENDU=1)*(xlRTCLEQCL=$D1588),0))</f>
        <v>NG_RAD</v>
      </c>
      <c r="W1588" s="7" t="str">
        <f t="array" ref="W1588">INDEX(xlRTCLNAME,MATCH(1,(xlRTCLENDU=2)*(xlRTCLEQCL=$F1588),0))</f>
        <v>CENT_AIR</v>
      </c>
      <c r="X1588" s="7" t="str">
        <f t="array" ref="X1588">INDEX(xlRTTYNAME,MATCH(1,(xlRTTYENDU=1)*(xlRTTYEQCL=$D1588)*(xlRTEQTYPE=$E1588),0))</f>
        <v>NG_RAD4</v>
      </c>
      <c r="Y1588" s="7" t="str">
        <f t="array" ref="Y1588">INDEX(xlRTTYNAME,MATCH(1,(xlRTTYENDU=2)*(xlRTTYEQCL=$F1588)*(xlRTEQTYPE=$G1588),0))</f>
        <v>CENT_AIR4</v>
      </c>
    </row>
    <row r="1589" spans="2:25" ht="14.25" customHeight="1" x14ac:dyDescent="0.2">
      <c r="B1589" s="5">
        <v>8</v>
      </c>
      <c r="C1589" s="5">
        <v>2</v>
      </c>
      <c r="D1589" s="5">
        <v>4</v>
      </c>
      <c r="E1589" s="5">
        <v>13</v>
      </c>
      <c r="F1589" s="5">
        <v>2</v>
      </c>
      <c r="G1589" s="31">
        <v>7</v>
      </c>
      <c r="H1589" s="5">
        <v>2023</v>
      </c>
      <c r="I1589" s="5">
        <v>2032</v>
      </c>
      <c r="J1589" s="142">
        <v>1.1045</v>
      </c>
      <c r="K1589" s="142">
        <v>1.0323</v>
      </c>
      <c r="L1589" s="142">
        <v>0.53910000000000002</v>
      </c>
      <c r="M1589" s="142">
        <v>1.2087000000000001</v>
      </c>
      <c r="N1589" s="142">
        <v>1.2847999999999999</v>
      </c>
      <c r="O1589" s="142">
        <v>1.0538000000000001</v>
      </c>
      <c r="P1589" s="26">
        <v>3884.3594605760777</v>
      </c>
      <c r="Q1589" s="35">
        <f t="array" ref="Q1589">SUM(IF(($S1589&gt;=4)*($C1589='TaxCred&amp;Subs'!$D$114:$D$121)*($H1589='TaxCred&amp;Subs'!$C$114:$C$121)*($H1589&lt;='TaxCred&amp;Subs'!$C$123),'TaxCred&amp;Subs'!$E$114:$E$121,0))</f>
        <v>500</v>
      </c>
      <c r="R1589" s="143">
        <v>0</v>
      </c>
      <c r="S1589" s="5">
        <v>5</v>
      </c>
      <c r="T1589" s="5" t="s">
        <v>221</v>
      </c>
      <c r="V1589" s="7" t="str">
        <f t="array" ref="V1589">INDEX(xlRTCLNAME,MATCH(1,(xlRTCLENDU=1)*(xlRTCLEQCL=$D1589),0))</f>
        <v>NG_RAD</v>
      </c>
      <c r="W1589" s="7" t="str">
        <f t="array" ref="W1589">INDEX(xlRTCLNAME,MATCH(1,(xlRTCLENDU=2)*(xlRTCLEQCL=$F1589),0))</f>
        <v>CENT_AIR</v>
      </c>
      <c r="X1589" s="7" t="str">
        <f t="array" ref="X1589">INDEX(xlRTTYNAME,MATCH(1,(xlRTTYENDU=1)*(xlRTTYEQCL=$D1589)*(xlRTEQTYPE=$E1589),0))</f>
        <v>NG_RAD4</v>
      </c>
      <c r="Y1589" s="7" t="str">
        <f t="array" ref="Y1589">INDEX(xlRTTYNAME,MATCH(1,(xlRTTYENDU=2)*(xlRTTYEQCL=$F1589)*(xlRTEQTYPE=$G1589),0))</f>
        <v>CENT_AIR4</v>
      </c>
    </row>
    <row r="1590" spans="2:25" ht="14.25" customHeight="1" x14ac:dyDescent="0.2">
      <c r="B1590" s="5">
        <v>8</v>
      </c>
      <c r="C1590" s="5">
        <v>2</v>
      </c>
      <c r="D1590" s="5">
        <v>4</v>
      </c>
      <c r="E1590" s="5">
        <v>13</v>
      </c>
      <c r="F1590" s="5">
        <v>2</v>
      </c>
      <c r="G1590" s="31">
        <v>7</v>
      </c>
      <c r="H1590" s="5">
        <v>2033</v>
      </c>
      <c r="I1590" s="5">
        <v>2050</v>
      </c>
      <c r="J1590" s="142">
        <v>1.1045</v>
      </c>
      <c r="K1590" s="142">
        <v>1.0323</v>
      </c>
      <c r="L1590" s="142">
        <v>0.53910000000000002</v>
      </c>
      <c r="M1590" s="142">
        <v>1.2087000000000001</v>
      </c>
      <c r="N1590" s="142">
        <v>1.2847999999999999</v>
      </c>
      <c r="O1590" s="142">
        <v>1.0538000000000001</v>
      </c>
      <c r="P1590" s="26">
        <v>3884.3594605760777</v>
      </c>
      <c r="Q1590" s="35">
        <f t="array" ref="Q1590">SUM(IF(($S1590&gt;=4)*($C1590='TaxCred&amp;Subs'!$D$114:$D$121)*($H1590='TaxCred&amp;Subs'!$C$114:$C$121)*($H1590&lt;='TaxCred&amp;Subs'!$C$123),'TaxCred&amp;Subs'!$E$114:$E$121,0))</f>
        <v>0</v>
      </c>
      <c r="R1590" s="143">
        <v>0</v>
      </c>
      <c r="S1590" s="5">
        <v>5</v>
      </c>
      <c r="T1590" s="5" t="s">
        <v>221</v>
      </c>
      <c r="V1590" s="7" t="str">
        <f t="array" ref="V1590">INDEX(xlRTCLNAME,MATCH(1,(xlRTCLENDU=1)*(xlRTCLEQCL=$D1590),0))</f>
        <v>NG_RAD</v>
      </c>
      <c r="W1590" s="7" t="str">
        <f t="array" ref="W1590">INDEX(xlRTCLNAME,MATCH(1,(xlRTCLENDU=2)*(xlRTCLEQCL=$F1590),0))</f>
        <v>CENT_AIR</v>
      </c>
      <c r="X1590" s="7" t="str">
        <f t="array" ref="X1590">INDEX(xlRTTYNAME,MATCH(1,(xlRTTYENDU=1)*(xlRTTYEQCL=$D1590)*(xlRTEQTYPE=$E1590),0))</f>
        <v>NG_RAD4</v>
      </c>
      <c r="Y1590" s="7" t="str">
        <f t="array" ref="Y1590">INDEX(xlRTTYNAME,MATCH(1,(xlRTTYENDU=2)*(xlRTTYEQCL=$F1590)*(xlRTEQTYPE=$G1590),0))</f>
        <v>CENT_AIR4</v>
      </c>
    </row>
    <row r="1591" spans="2:25" ht="14.25" customHeight="1" x14ac:dyDescent="0.2">
      <c r="B1591" s="5">
        <v>9</v>
      </c>
      <c r="C1591" s="5">
        <v>2</v>
      </c>
      <c r="D1591" s="5">
        <v>4</v>
      </c>
      <c r="E1591" s="5">
        <v>13</v>
      </c>
      <c r="F1591" s="5">
        <v>2</v>
      </c>
      <c r="G1591" s="31">
        <v>7</v>
      </c>
      <c r="H1591" s="31">
        <v>2020</v>
      </c>
      <c r="I1591" s="5">
        <v>2022</v>
      </c>
      <c r="J1591" s="142">
        <v>1.1200000000000001</v>
      </c>
      <c r="K1591" s="142">
        <v>1.0541</v>
      </c>
      <c r="L1591" s="142">
        <v>0.44379999999999997</v>
      </c>
      <c r="M1591" s="142">
        <v>1.1167</v>
      </c>
      <c r="N1591" s="142">
        <v>1.4438</v>
      </c>
      <c r="O1591" s="142">
        <v>1.0538000000000001</v>
      </c>
      <c r="P1591" s="26">
        <v>4447.7193131137647</v>
      </c>
      <c r="Q1591" s="35">
        <f t="array" ref="Q1591">SUM(IF(($S1591&gt;=4)*($C1591='TaxCred&amp;Subs'!$D$114:$D$121)*($H1591='TaxCred&amp;Subs'!$C$114:$C$121)*($H1591&lt;='TaxCred&amp;Subs'!$C$123),'TaxCred&amp;Subs'!$E$114:$E$121,0))</f>
        <v>0</v>
      </c>
      <c r="R1591" s="143">
        <v>0</v>
      </c>
      <c r="S1591" s="5">
        <v>5</v>
      </c>
      <c r="T1591" s="5" t="s">
        <v>221</v>
      </c>
      <c r="V1591" s="7" t="str">
        <f t="array" ref="V1591">INDEX(xlRTCLNAME,MATCH(1,(xlRTCLENDU=1)*(xlRTCLEQCL=$D1591),0))</f>
        <v>NG_RAD</v>
      </c>
      <c r="W1591" s="7" t="str">
        <f t="array" ref="W1591">INDEX(xlRTCLNAME,MATCH(1,(xlRTCLENDU=2)*(xlRTCLEQCL=$F1591),0))</f>
        <v>CENT_AIR</v>
      </c>
      <c r="X1591" s="7" t="str">
        <f t="array" ref="X1591">INDEX(xlRTTYNAME,MATCH(1,(xlRTTYENDU=1)*(xlRTTYEQCL=$D1591)*(xlRTEQTYPE=$E1591),0))</f>
        <v>NG_RAD4</v>
      </c>
      <c r="Y1591" s="7" t="str">
        <f t="array" ref="Y1591">INDEX(xlRTTYNAME,MATCH(1,(xlRTTYENDU=2)*(xlRTTYEQCL=$F1591)*(xlRTEQTYPE=$G1591),0))</f>
        <v>CENT_AIR4</v>
      </c>
    </row>
    <row r="1592" spans="2:25" ht="14.25" customHeight="1" x14ac:dyDescent="0.2">
      <c r="B1592" s="5">
        <v>9</v>
      </c>
      <c r="C1592" s="5">
        <v>2</v>
      </c>
      <c r="D1592" s="5">
        <v>4</v>
      </c>
      <c r="E1592" s="5">
        <v>13</v>
      </c>
      <c r="F1592" s="5">
        <v>2</v>
      </c>
      <c r="G1592" s="31">
        <v>7</v>
      </c>
      <c r="H1592" s="5">
        <v>2023</v>
      </c>
      <c r="I1592" s="5">
        <v>2032</v>
      </c>
      <c r="J1592" s="142">
        <v>1.1200000000000001</v>
      </c>
      <c r="K1592" s="142">
        <v>1.0541</v>
      </c>
      <c r="L1592" s="142">
        <v>0.44379999999999997</v>
      </c>
      <c r="M1592" s="142">
        <v>1.1167</v>
      </c>
      <c r="N1592" s="142">
        <v>1.4438</v>
      </c>
      <c r="O1592" s="142">
        <v>1.0538000000000001</v>
      </c>
      <c r="P1592" s="26">
        <v>4447.7193131137647</v>
      </c>
      <c r="Q1592" s="35">
        <f t="array" ref="Q1592">SUM(IF(($S1592&gt;=4)*($C1592='TaxCred&amp;Subs'!$D$114:$D$121)*($H1592='TaxCred&amp;Subs'!$C$114:$C$121)*($H1592&lt;='TaxCred&amp;Subs'!$C$123),'TaxCred&amp;Subs'!$E$114:$E$121,0))</f>
        <v>500</v>
      </c>
      <c r="R1592" s="143">
        <v>0</v>
      </c>
      <c r="S1592" s="5">
        <v>5</v>
      </c>
      <c r="T1592" s="5" t="s">
        <v>221</v>
      </c>
      <c r="V1592" s="7" t="str">
        <f t="array" ref="V1592">INDEX(xlRTCLNAME,MATCH(1,(xlRTCLENDU=1)*(xlRTCLEQCL=$D1592),0))</f>
        <v>NG_RAD</v>
      </c>
      <c r="W1592" s="7" t="str">
        <f t="array" ref="W1592">INDEX(xlRTCLNAME,MATCH(1,(xlRTCLENDU=2)*(xlRTCLEQCL=$F1592),0))</f>
        <v>CENT_AIR</v>
      </c>
      <c r="X1592" s="7" t="str">
        <f t="array" ref="X1592">INDEX(xlRTTYNAME,MATCH(1,(xlRTTYENDU=1)*(xlRTTYEQCL=$D1592)*(xlRTEQTYPE=$E1592),0))</f>
        <v>NG_RAD4</v>
      </c>
      <c r="Y1592" s="7" t="str">
        <f t="array" ref="Y1592">INDEX(xlRTTYNAME,MATCH(1,(xlRTTYENDU=2)*(xlRTTYEQCL=$F1592)*(xlRTEQTYPE=$G1592),0))</f>
        <v>CENT_AIR4</v>
      </c>
    </row>
    <row r="1593" spans="2:25" ht="14.25" customHeight="1" x14ac:dyDescent="0.2">
      <c r="B1593" s="5">
        <v>9</v>
      </c>
      <c r="C1593" s="5">
        <v>2</v>
      </c>
      <c r="D1593" s="5">
        <v>4</v>
      </c>
      <c r="E1593" s="5">
        <v>13</v>
      </c>
      <c r="F1593" s="5">
        <v>2</v>
      </c>
      <c r="G1593" s="31">
        <v>7</v>
      </c>
      <c r="H1593" s="5">
        <v>2033</v>
      </c>
      <c r="I1593" s="5">
        <v>2050</v>
      </c>
      <c r="J1593" s="142">
        <v>1.1200000000000001</v>
      </c>
      <c r="K1593" s="142">
        <v>1.0541</v>
      </c>
      <c r="L1593" s="142">
        <v>0.44379999999999997</v>
      </c>
      <c r="M1593" s="142">
        <v>1.1167</v>
      </c>
      <c r="N1593" s="142">
        <v>1.4438</v>
      </c>
      <c r="O1593" s="142">
        <v>1.0538000000000001</v>
      </c>
      <c r="P1593" s="26">
        <v>4447.7193131137647</v>
      </c>
      <c r="Q1593" s="35">
        <f t="array" ref="Q1593">SUM(IF(($S1593&gt;=4)*($C1593='TaxCred&amp;Subs'!$D$114:$D$121)*($H1593='TaxCred&amp;Subs'!$C$114:$C$121)*($H1593&lt;='TaxCred&amp;Subs'!$C$123),'TaxCred&amp;Subs'!$E$114:$E$121,0))</f>
        <v>0</v>
      </c>
      <c r="R1593" s="143">
        <v>0</v>
      </c>
      <c r="S1593" s="5">
        <v>5</v>
      </c>
      <c r="T1593" s="5" t="s">
        <v>221</v>
      </c>
      <c r="V1593" s="7" t="str">
        <f t="array" ref="V1593">INDEX(xlRTCLNAME,MATCH(1,(xlRTCLENDU=1)*(xlRTCLEQCL=$D1593),0))</f>
        <v>NG_RAD</v>
      </c>
      <c r="W1593" s="7" t="str">
        <f t="array" ref="W1593">INDEX(xlRTCLNAME,MATCH(1,(xlRTCLENDU=2)*(xlRTCLEQCL=$F1593),0))</f>
        <v>CENT_AIR</v>
      </c>
      <c r="X1593" s="7" t="str">
        <f t="array" ref="X1593">INDEX(xlRTTYNAME,MATCH(1,(xlRTTYENDU=1)*(xlRTTYEQCL=$D1593)*(xlRTEQTYPE=$E1593),0))</f>
        <v>NG_RAD4</v>
      </c>
      <c r="Y1593" s="7" t="str">
        <f t="array" ref="Y1593">INDEX(xlRTTYNAME,MATCH(1,(xlRTTYENDU=2)*(xlRTTYEQCL=$F1593)*(xlRTEQTYPE=$G1593),0))</f>
        <v>CENT_AIR4</v>
      </c>
    </row>
    <row r="1594" spans="2:25" ht="14.25" customHeight="1" x14ac:dyDescent="0.2">
      <c r="B1594" s="29">
        <v>1</v>
      </c>
      <c r="C1594" s="29">
        <v>2</v>
      </c>
      <c r="D1594" s="29">
        <v>5</v>
      </c>
      <c r="E1594" s="29">
        <v>17</v>
      </c>
      <c r="F1594" s="29">
        <v>2</v>
      </c>
      <c r="G1594" s="32">
        <v>7</v>
      </c>
      <c r="H1594" s="32">
        <v>2020</v>
      </c>
      <c r="I1594" s="29">
        <v>2022</v>
      </c>
      <c r="J1594" s="144">
        <v>1.0956999999999999</v>
      </c>
      <c r="K1594" s="144">
        <v>1.0417000000000001</v>
      </c>
      <c r="L1594" s="144">
        <v>0.58340000000000003</v>
      </c>
      <c r="M1594" s="144">
        <v>1.1228</v>
      </c>
      <c r="N1594" s="144">
        <v>1.1153</v>
      </c>
      <c r="O1594" s="144">
        <v>1.0538000000000001</v>
      </c>
      <c r="P1594" s="143">
        <v>5076.9613441105121</v>
      </c>
      <c r="Q1594" s="35">
        <f t="array" ref="Q1594">SUM(IF(($S1594&gt;=4)*($C1594='TaxCred&amp;Subs'!$D$114:$D$121)*($H1594='TaxCred&amp;Subs'!$C$114:$C$121)*($H1594&lt;='TaxCred&amp;Subs'!$C$123),'TaxCred&amp;Subs'!$E$114:$E$121,0))</f>
        <v>0</v>
      </c>
      <c r="R1594" s="143">
        <v>0</v>
      </c>
      <c r="S1594" s="29">
        <v>5</v>
      </c>
      <c r="T1594" s="29" t="s">
        <v>221</v>
      </c>
      <c r="U1594" s="30" t="s">
        <v>227</v>
      </c>
      <c r="V1594" s="7" t="str">
        <f t="array" ref="V1594">INDEX(xlRTCLNAME,MATCH(1,(xlRTCLENDU=1)*(xlRTCLEQCL=$D1594),0))</f>
        <v>KERO_FA</v>
      </c>
      <c r="W1594" s="7" t="str">
        <f t="array" ref="W1594">INDEX(xlRTCLNAME,MATCH(1,(xlRTCLENDU=2)*(xlRTCLEQCL=$F1594),0))</f>
        <v>CENT_AIR</v>
      </c>
      <c r="X1594" s="7" t="str">
        <f t="array" ref="X1594">INDEX(xlRTTYNAME,MATCH(1,(xlRTTYENDU=1)*(xlRTTYEQCL=$D1594)*(xlRTEQTYPE=$E1594),0))</f>
        <v>KERO_FA4</v>
      </c>
      <c r="Y1594" s="7" t="str">
        <f t="array" ref="Y1594">INDEX(xlRTTYNAME,MATCH(1,(xlRTTYENDU=2)*(xlRTTYEQCL=$F1594)*(xlRTEQTYPE=$G1594),0))</f>
        <v>CENT_AIR4</v>
      </c>
    </row>
    <row r="1595" spans="2:25" ht="14.25" customHeight="1" x14ac:dyDescent="0.2">
      <c r="B1595" s="29">
        <v>1</v>
      </c>
      <c r="C1595" s="29">
        <v>2</v>
      </c>
      <c r="D1595" s="29">
        <v>5</v>
      </c>
      <c r="E1595" s="29">
        <v>17</v>
      </c>
      <c r="F1595" s="29">
        <v>2</v>
      </c>
      <c r="G1595" s="32">
        <v>7</v>
      </c>
      <c r="H1595" s="29">
        <v>2023</v>
      </c>
      <c r="I1595" s="29">
        <v>2032</v>
      </c>
      <c r="J1595" s="144">
        <v>1.0956999999999999</v>
      </c>
      <c r="K1595" s="144">
        <v>1.0417000000000001</v>
      </c>
      <c r="L1595" s="144">
        <v>0.58340000000000003</v>
      </c>
      <c r="M1595" s="144">
        <v>1.1228</v>
      </c>
      <c r="N1595" s="144">
        <v>1.1153</v>
      </c>
      <c r="O1595" s="144">
        <v>1.0538000000000001</v>
      </c>
      <c r="P1595" s="143">
        <v>5076.9613441105121</v>
      </c>
      <c r="Q1595" s="35">
        <f t="array" ref="Q1595">SUM(IF(($S1595&gt;=4)*($C1595='TaxCred&amp;Subs'!$D$114:$D$121)*($H1595='TaxCred&amp;Subs'!$C$114:$C$121)*($H1595&lt;='TaxCred&amp;Subs'!$C$123),'TaxCred&amp;Subs'!$E$114:$E$121,0))</f>
        <v>500</v>
      </c>
      <c r="R1595" s="143">
        <v>0</v>
      </c>
      <c r="S1595" s="29">
        <v>5</v>
      </c>
      <c r="T1595" s="29" t="s">
        <v>221</v>
      </c>
      <c r="U1595" s="30" t="s">
        <v>227</v>
      </c>
      <c r="V1595" s="7" t="str">
        <f t="array" ref="V1595">INDEX(xlRTCLNAME,MATCH(1,(xlRTCLENDU=1)*(xlRTCLEQCL=$D1595),0))</f>
        <v>KERO_FA</v>
      </c>
      <c r="W1595" s="7" t="str">
        <f t="array" ref="W1595">INDEX(xlRTCLNAME,MATCH(1,(xlRTCLENDU=2)*(xlRTCLEQCL=$F1595),0))</f>
        <v>CENT_AIR</v>
      </c>
      <c r="X1595" s="7" t="str">
        <f t="array" ref="X1595">INDEX(xlRTTYNAME,MATCH(1,(xlRTTYENDU=1)*(xlRTTYEQCL=$D1595)*(xlRTEQTYPE=$E1595),0))</f>
        <v>KERO_FA4</v>
      </c>
      <c r="Y1595" s="7" t="str">
        <f t="array" ref="Y1595">INDEX(xlRTTYNAME,MATCH(1,(xlRTTYENDU=2)*(xlRTTYEQCL=$F1595)*(xlRTEQTYPE=$G1595),0))</f>
        <v>CENT_AIR4</v>
      </c>
    </row>
    <row r="1596" spans="2:25" ht="14.25" customHeight="1" x14ac:dyDescent="0.2">
      <c r="B1596" s="29">
        <v>1</v>
      </c>
      <c r="C1596" s="29">
        <v>2</v>
      </c>
      <c r="D1596" s="29">
        <v>5</v>
      </c>
      <c r="E1596" s="29">
        <v>17</v>
      </c>
      <c r="F1596" s="29">
        <v>2</v>
      </c>
      <c r="G1596" s="32">
        <v>7</v>
      </c>
      <c r="H1596" s="29">
        <v>2033</v>
      </c>
      <c r="I1596" s="29">
        <v>2050</v>
      </c>
      <c r="J1596" s="144">
        <v>1.0956999999999999</v>
      </c>
      <c r="K1596" s="144">
        <v>1.0417000000000001</v>
      </c>
      <c r="L1596" s="144">
        <v>0.58340000000000003</v>
      </c>
      <c r="M1596" s="144">
        <v>1.1228</v>
      </c>
      <c r="N1596" s="144">
        <v>1.1153</v>
      </c>
      <c r="O1596" s="144">
        <v>1.0538000000000001</v>
      </c>
      <c r="P1596" s="143">
        <v>5076.9613441105121</v>
      </c>
      <c r="Q1596" s="35">
        <f t="array" ref="Q1596">SUM(IF(($S1596&gt;=4)*($C1596='TaxCred&amp;Subs'!$D$114:$D$121)*($H1596='TaxCred&amp;Subs'!$C$114:$C$121)*($H1596&lt;='TaxCred&amp;Subs'!$C$123),'TaxCred&amp;Subs'!$E$114:$E$121,0))</f>
        <v>0</v>
      </c>
      <c r="R1596" s="143">
        <v>0</v>
      </c>
      <c r="S1596" s="29">
        <v>5</v>
      </c>
      <c r="T1596" s="29" t="s">
        <v>221</v>
      </c>
      <c r="U1596" s="30" t="s">
        <v>227</v>
      </c>
      <c r="V1596" s="7" t="str">
        <f t="array" ref="V1596">INDEX(xlRTCLNAME,MATCH(1,(xlRTCLENDU=1)*(xlRTCLEQCL=$D1596),0))</f>
        <v>KERO_FA</v>
      </c>
      <c r="W1596" s="7" t="str">
        <f t="array" ref="W1596">INDEX(xlRTCLNAME,MATCH(1,(xlRTCLENDU=2)*(xlRTCLEQCL=$F1596),0))</f>
        <v>CENT_AIR</v>
      </c>
      <c r="X1596" s="7" t="str">
        <f t="array" ref="X1596">INDEX(xlRTTYNAME,MATCH(1,(xlRTTYENDU=1)*(xlRTTYEQCL=$D1596)*(xlRTEQTYPE=$E1596),0))</f>
        <v>KERO_FA4</v>
      </c>
      <c r="Y1596" s="7" t="str">
        <f t="array" ref="Y1596">INDEX(xlRTTYNAME,MATCH(1,(xlRTTYENDU=2)*(xlRTTYEQCL=$F1596)*(xlRTEQTYPE=$G1596),0))</f>
        <v>CENT_AIR4</v>
      </c>
    </row>
    <row r="1597" spans="2:25" ht="14.25" customHeight="1" x14ac:dyDescent="0.2">
      <c r="B1597" s="29">
        <v>2</v>
      </c>
      <c r="C1597" s="29">
        <v>2</v>
      </c>
      <c r="D1597" s="29">
        <v>5</v>
      </c>
      <c r="E1597" s="29">
        <v>17</v>
      </c>
      <c r="F1597" s="29">
        <v>2</v>
      </c>
      <c r="G1597" s="32">
        <v>7</v>
      </c>
      <c r="H1597" s="32">
        <v>2020</v>
      </c>
      <c r="I1597" s="29">
        <v>2022</v>
      </c>
      <c r="J1597" s="144">
        <v>1.1059000000000001</v>
      </c>
      <c r="K1597" s="144">
        <v>1.0357000000000001</v>
      </c>
      <c r="L1597" s="144">
        <v>0.56499999999999995</v>
      </c>
      <c r="M1597" s="144">
        <v>1.1416999999999999</v>
      </c>
      <c r="N1597" s="144">
        <v>1.1176999999999999</v>
      </c>
      <c r="O1597" s="144">
        <v>1.0538000000000001</v>
      </c>
      <c r="P1597" s="143">
        <v>4802.6763562401347</v>
      </c>
      <c r="Q1597" s="35">
        <f t="array" ref="Q1597">SUM(IF(($S1597&gt;=4)*($C1597='TaxCred&amp;Subs'!$D$114:$D$121)*($H1597='TaxCred&amp;Subs'!$C$114:$C$121)*($H1597&lt;='TaxCred&amp;Subs'!$C$123),'TaxCred&amp;Subs'!$E$114:$E$121,0))</f>
        <v>0</v>
      </c>
      <c r="R1597" s="143">
        <v>0</v>
      </c>
      <c r="S1597" s="29">
        <v>5</v>
      </c>
      <c r="T1597" s="29" t="s">
        <v>221</v>
      </c>
      <c r="U1597" s="30" t="s">
        <v>227</v>
      </c>
      <c r="V1597" s="7" t="str">
        <f t="array" ref="V1597">INDEX(xlRTCLNAME,MATCH(1,(xlRTCLENDU=1)*(xlRTCLEQCL=$D1597),0))</f>
        <v>KERO_FA</v>
      </c>
      <c r="W1597" s="7" t="str">
        <f t="array" ref="W1597">INDEX(xlRTCLNAME,MATCH(1,(xlRTCLENDU=2)*(xlRTCLEQCL=$F1597),0))</f>
        <v>CENT_AIR</v>
      </c>
      <c r="X1597" s="7" t="str">
        <f t="array" ref="X1597">INDEX(xlRTTYNAME,MATCH(1,(xlRTTYENDU=1)*(xlRTTYEQCL=$D1597)*(xlRTEQTYPE=$E1597),0))</f>
        <v>KERO_FA4</v>
      </c>
      <c r="Y1597" s="7" t="str">
        <f t="array" ref="Y1597">INDEX(xlRTTYNAME,MATCH(1,(xlRTTYENDU=2)*(xlRTTYEQCL=$F1597)*(xlRTEQTYPE=$G1597),0))</f>
        <v>CENT_AIR4</v>
      </c>
    </row>
    <row r="1598" spans="2:25" ht="14.25" customHeight="1" x14ac:dyDescent="0.2">
      <c r="B1598" s="29">
        <v>2</v>
      </c>
      <c r="C1598" s="29">
        <v>2</v>
      </c>
      <c r="D1598" s="29">
        <v>5</v>
      </c>
      <c r="E1598" s="29">
        <v>17</v>
      </c>
      <c r="F1598" s="29">
        <v>2</v>
      </c>
      <c r="G1598" s="32">
        <v>7</v>
      </c>
      <c r="H1598" s="29">
        <v>2023</v>
      </c>
      <c r="I1598" s="29">
        <v>2032</v>
      </c>
      <c r="J1598" s="144">
        <v>1.1059000000000001</v>
      </c>
      <c r="K1598" s="144">
        <v>1.0357000000000001</v>
      </c>
      <c r="L1598" s="144">
        <v>0.56499999999999995</v>
      </c>
      <c r="M1598" s="144">
        <v>1.1416999999999999</v>
      </c>
      <c r="N1598" s="144">
        <v>1.1176999999999999</v>
      </c>
      <c r="O1598" s="144">
        <v>1.0538000000000001</v>
      </c>
      <c r="P1598" s="143">
        <v>4802.6763562401347</v>
      </c>
      <c r="Q1598" s="35">
        <f t="array" ref="Q1598">SUM(IF(($S1598&gt;=4)*($C1598='TaxCred&amp;Subs'!$D$114:$D$121)*($H1598='TaxCred&amp;Subs'!$C$114:$C$121)*($H1598&lt;='TaxCred&amp;Subs'!$C$123),'TaxCred&amp;Subs'!$E$114:$E$121,0))</f>
        <v>500</v>
      </c>
      <c r="R1598" s="143">
        <v>0</v>
      </c>
      <c r="S1598" s="29">
        <v>5</v>
      </c>
      <c r="T1598" s="29" t="s">
        <v>221</v>
      </c>
      <c r="U1598" s="30" t="s">
        <v>227</v>
      </c>
      <c r="V1598" s="7" t="str">
        <f t="array" ref="V1598">INDEX(xlRTCLNAME,MATCH(1,(xlRTCLENDU=1)*(xlRTCLEQCL=$D1598),0))</f>
        <v>KERO_FA</v>
      </c>
      <c r="W1598" s="7" t="str">
        <f t="array" ref="W1598">INDEX(xlRTCLNAME,MATCH(1,(xlRTCLENDU=2)*(xlRTCLEQCL=$F1598),0))</f>
        <v>CENT_AIR</v>
      </c>
      <c r="X1598" s="7" t="str">
        <f t="array" ref="X1598">INDEX(xlRTTYNAME,MATCH(1,(xlRTTYENDU=1)*(xlRTTYEQCL=$D1598)*(xlRTEQTYPE=$E1598),0))</f>
        <v>KERO_FA4</v>
      </c>
      <c r="Y1598" s="7" t="str">
        <f t="array" ref="Y1598">INDEX(xlRTTYNAME,MATCH(1,(xlRTTYENDU=2)*(xlRTTYEQCL=$F1598)*(xlRTEQTYPE=$G1598),0))</f>
        <v>CENT_AIR4</v>
      </c>
    </row>
    <row r="1599" spans="2:25" ht="14.25" customHeight="1" x14ac:dyDescent="0.2">
      <c r="B1599" s="29">
        <v>2</v>
      </c>
      <c r="C1599" s="29">
        <v>2</v>
      </c>
      <c r="D1599" s="29">
        <v>5</v>
      </c>
      <c r="E1599" s="29">
        <v>17</v>
      </c>
      <c r="F1599" s="29">
        <v>2</v>
      </c>
      <c r="G1599" s="32">
        <v>7</v>
      </c>
      <c r="H1599" s="29">
        <v>2033</v>
      </c>
      <c r="I1599" s="29">
        <v>2050</v>
      </c>
      <c r="J1599" s="144">
        <v>1.1059000000000001</v>
      </c>
      <c r="K1599" s="144">
        <v>1.0357000000000001</v>
      </c>
      <c r="L1599" s="144">
        <v>0.56499999999999995</v>
      </c>
      <c r="M1599" s="144">
        <v>1.1416999999999999</v>
      </c>
      <c r="N1599" s="144">
        <v>1.1176999999999999</v>
      </c>
      <c r="O1599" s="144">
        <v>1.0538000000000001</v>
      </c>
      <c r="P1599" s="143">
        <v>4802.6763562401347</v>
      </c>
      <c r="Q1599" s="35">
        <f t="array" ref="Q1599">SUM(IF(($S1599&gt;=4)*($C1599='TaxCred&amp;Subs'!$D$114:$D$121)*($H1599='TaxCred&amp;Subs'!$C$114:$C$121)*($H1599&lt;='TaxCred&amp;Subs'!$C$123),'TaxCred&amp;Subs'!$E$114:$E$121,0))</f>
        <v>0</v>
      </c>
      <c r="R1599" s="143">
        <v>0</v>
      </c>
      <c r="S1599" s="29">
        <v>5</v>
      </c>
      <c r="T1599" s="29" t="s">
        <v>221</v>
      </c>
      <c r="U1599" s="30" t="s">
        <v>227</v>
      </c>
      <c r="V1599" s="7" t="str">
        <f t="array" ref="V1599">INDEX(xlRTCLNAME,MATCH(1,(xlRTCLENDU=1)*(xlRTCLEQCL=$D1599),0))</f>
        <v>KERO_FA</v>
      </c>
      <c r="W1599" s="7" t="str">
        <f t="array" ref="W1599">INDEX(xlRTCLNAME,MATCH(1,(xlRTCLENDU=2)*(xlRTCLEQCL=$F1599),0))</f>
        <v>CENT_AIR</v>
      </c>
      <c r="X1599" s="7" t="str">
        <f t="array" ref="X1599">INDEX(xlRTTYNAME,MATCH(1,(xlRTTYENDU=1)*(xlRTTYEQCL=$D1599)*(xlRTEQTYPE=$E1599),0))</f>
        <v>KERO_FA4</v>
      </c>
      <c r="Y1599" s="7" t="str">
        <f t="array" ref="Y1599">INDEX(xlRTTYNAME,MATCH(1,(xlRTTYENDU=2)*(xlRTTYEQCL=$F1599)*(xlRTEQTYPE=$G1599),0))</f>
        <v>CENT_AIR4</v>
      </c>
    </row>
    <row r="1600" spans="2:25" ht="14.25" customHeight="1" x14ac:dyDescent="0.2">
      <c r="B1600" s="29">
        <v>3</v>
      </c>
      <c r="C1600" s="29">
        <v>2</v>
      </c>
      <c r="D1600" s="29">
        <v>5</v>
      </c>
      <c r="E1600" s="29">
        <v>17</v>
      </c>
      <c r="F1600" s="29">
        <v>2</v>
      </c>
      <c r="G1600" s="32">
        <v>7</v>
      </c>
      <c r="H1600" s="32">
        <v>2020</v>
      </c>
      <c r="I1600" s="29">
        <v>2022</v>
      </c>
      <c r="J1600" s="144">
        <v>1.099</v>
      </c>
      <c r="K1600" s="144">
        <v>1.03</v>
      </c>
      <c r="L1600" s="144">
        <v>0.55759999999999998</v>
      </c>
      <c r="M1600" s="144">
        <v>0.8931</v>
      </c>
      <c r="N1600" s="144">
        <v>1.0381</v>
      </c>
      <c r="O1600" s="144">
        <v>1.0538000000000001</v>
      </c>
      <c r="P1600" s="143">
        <v>4310.5768191785755</v>
      </c>
      <c r="Q1600" s="35">
        <f t="array" ref="Q1600">SUM(IF(($S1600&gt;=4)*($C1600='TaxCred&amp;Subs'!$D$114:$D$121)*($H1600='TaxCred&amp;Subs'!$C$114:$C$121)*($H1600&lt;='TaxCred&amp;Subs'!$C$123),'TaxCred&amp;Subs'!$E$114:$E$121,0))</f>
        <v>0</v>
      </c>
      <c r="R1600" s="143">
        <v>0</v>
      </c>
      <c r="S1600" s="29">
        <v>5</v>
      </c>
      <c r="T1600" s="29" t="s">
        <v>221</v>
      </c>
      <c r="U1600" s="30" t="s">
        <v>227</v>
      </c>
      <c r="V1600" s="7" t="str">
        <f t="array" ref="V1600">INDEX(xlRTCLNAME,MATCH(1,(xlRTCLENDU=1)*(xlRTCLEQCL=$D1600),0))</f>
        <v>KERO_FA</v>
      </c>
      <c r="W1600" s="7" t="str">
        <f t="array" ref="W1600">INDEX(xlRTCLNAME,MATCH(1,(xlRTCLENDU=2)*(xlRTCLEQCL=$F1600),0))</f>
        <v>CENT_AIR</v>
      </c>
      <c r="X1600" s="7" t="str">
        <f t="array" ref="X1600">INDEX(xlRTTYNAME,MATCH(1,(xlRTTYENDU=1)*(xlRTTYEQCL=$D1600)*(xlRTEQTYPE=$E1600),0))</f>
        <v>KERO_FA4</v>
      </c>
      <c r="Y1600" s="7" t="str">
        <f t="array" ref="Y1600">INDEX(xlRTTYNAME,MATCH(1,(xlRTTYENDU=2)*(xlRTTYEQCL=$F1600)*(xlRTEQTYPE=$G1600),0))</f>
        <v>CENT_AIR4</v>
      </c>
    </row>
    <row r="1601" spans="2:25" ht="14.25" customHeight="1" x14ac:dyDescent="0.2">
      <c r="B1601" s="29">
        <v>3</v>
      </c>
      <c r="C1601" s="29">
        <v>2</v>
      </c>
      <c r="D1601" s="29">
        <v>5</v>
      </c>
      <c r="E1601" s="29">
        <v>17</v>
      </c>
      <c r="F1601" s="29">
        <v>2</v>
      </c>
      <c r="G1601" s="32">
        <v>7</v>
      </c>
      <c r="H1601" s="29">
        <v>2023</v>
      </c>
      <c r="I1601" s="29">
        <v>2032</v>
      </c>
      <c r="J1601" s="144">
        <v>1.099</v>
      </c>
      <c r="K1601" s="144">
        <v>1.03</v>
      </c>
      <c r="L1601" s="144">
        <v>0.55759999999999998</v>
      </c>
      <c r="M1601" s="144">
        <v>0.8931</v>
      </c>
      <c r="N1601" s="144">
        <v>1.0381</v>
      </c>
      <c r="O1601" s="144">
        <v>1.0538000000000001</v>
      </c>
      <c r="P1601" s="143">
        <v>4310.5768191785755</v>
      </c>
      <c r="Q1601" s="35">
        <f t="array" ref="Q1601">SUM(IF(($S1601&gt;=4)*($C1601='TaxCred&amp;Subs'!$D$114:$D$121)*($H1601='TaxCred&amp;Subs'!$C$114:$C$121)*($H1601&lt;='TaxCred&amp;Subs'!$C$123),'TaxCred&amp;Subs'!$E$114:$E$121,0))</f>
        <v>500</v>
      </c>
      <c r="R1601" s="143">
        <v>0</v>
      </c>
      <c r="S1601" s="29">
        <v>5</v>
      </c>
      <c r="T1601" s="29" t="s">
        <v>221</v>
      </c>
      <c r="U1601" s="30" t="s">
        <v>227</v>
      </c>
      <c r="V1601" s="7" t="str">
        <f t="array" ref="V1601">INDEX(xlRTCLNAME,MATCH(1,(xlRTCLENDU=1)*(xlRTCLEQCL=$D1601),0))</f>
        <v>KERO_FA</v>
      </c>
      <c r="W1601" s="7" t="str">
        <f t="array" ref="W1601">INDEX(xlRTCLNAME,MATCH(1,(xlRTCLENDU=2)*(xlRTCLEQCL=$F1601),0))</f>
        <v>CENT_AIR</v>
      </c>
      <c r="X1601" s="7" t="str">
        <f t="array" ref="X1601">INDEX(xlRTTYNAME,MATCH(1,(xlRTTYENDU=1)*(xlRTTYEQCL=$D1601)*(xlRTEQTYPE=$E1601),0))</f>
        <v>KERO_FA4</v>
      </c>
      <c r="Y1601" s="7" t="str">
        <f t="array" ref="Y1601">INDEX(xlRTTYNAME,MATCH(1,(xlRTTYENDU=2)*(xlRTTYEQCL=$F1601)*(xlRTEQTYPE=$G1601),0))</f>
        <v>CENT_AIR4</v>
      </c>
    </row>
    <row r="1602" spans="2:25" ht="14.25" customHeight="1" x14ac:dyDescent="0.2">
      <c r="B1602" s="29">
        <v>3</v>
      </c>
      <c r="C1602" s="29">
        <v>2</v>
      </c>
      <c r="D1602" s="29">
        <v>5</v>
      </c>
      <c r="E1602" s="29">
        <v>17</v>
      </c>
      <c r="F1602" s="29">
        <v>2</v>
      </c>
      <c r="G1602" s="32">
        <v>7</v>
      </c>
      <c r="H1602" s="29">
        <v>2033</v>
      </c>
      <c r="I1602" s="29">
        <v>2050</v>
      </c>
      <c r="J1602" s="144">
        <v>1.099</v>
      </c>
      <c r="K1602" s="144">
        <v>1.03</v>
      </c>
      <c r="L1602" s="144">
        <v>0.55759999999999998</v>
      </c>
      <c r="M1602" s="144">
        <v>0.8931</v>
      </c>
      <c r="N1602" s="144">
        <v>1.0381</v>
      </c>
      <c r="O1602" s="144">
        <v>1.0538000000000001</v>
      </c>
      <c r="P1602" s="143">
        <v>4310.5768191785755</v>
      </c>
      <c r="Q1602" s="35">
        <f t="array" ref="Q1602">SUM(IF(($S1602&gt;=4)*($C1602='TaxCred&amp;Subs'!$D$114:$D$121)*($H1602='TaxCred&amp;Subs'!$C$114:$C$121)*($H1602&lt;='TaxCred&amp;Subs'!$C$123),'TaxCred&amp;Subs'!$E$114:$E$121,0))</f>
        <v>0</v>
      </c>
      <c r="R1602" s="143">
        <v>0</v>
      </c>
      <c r="S1602" s="29">
        <v>5</v>
      </c>
      <c r="T1602" s="29" t="s">
        <v>221</v>
      </c>
      <c r="U1602" s="30" t="s">
        <v>227</v>
      </c>
      <c r="V1602" s="7" t="str">
        <f t="array" ref="V1602">INDEX(xlRTCLNAME,MATCH(1,(xlRTCLENDU=1)*(xlRTCLEQCL=$D1602),0))</f>
        <v>KERO_FA</v>
      </c>
      <c r="W1602" s="7" t="str">
        <f t="array" ref="W1602">INDEX(xlRTCLNAME,MATCH(1,(xlRTCLENDU=2)*(xlRTCLEQCL=$F1602),0))</f>
        <v>CENT_AIR</v>
      </c>
      <c r="X1602" s="7" t="str">
        <f t="array" ref="X1602">INDEX(xlRTTYNAME,MATCH(1,(xlRTTYENDU=1)*(xlRTTYEQCL=$D1602)*(xlRTEQTYPE=$E1602),0))</f>
        <v>KERO_FA4</v>
      </c>
      <c r="Y1602" s="7" t="str">
        <f t="array" ref="Y1602">INDEX(xlRTTYNAME,MATCH(1,(xlRTTYENDU=2)*(xlRTTYEQCL=$F1602)*(xlRTEQTYPE=$G1602),0))</f>
        <v>CENT_AIR4</v>
      </c>
    </row>
    <row r="1603" spans="2:25" ht="14.25" customHeight="1" x14ac:dyDescent="0.2">
      <c r="B1603" s="29">
        <v>4</v>
      </c>
      <c r="C1603" s="29">
        <v>2</v>
      </c>
      <c r="D1603" s="29">
        <v>5</v>
      </c>
      <c r="E1603" s="29">
        <v>17</v>
      </c>
      <c r="F1603" s="29">
        <v>2</v>
      </c>
      <c r="G1603" s="32">
        <v>7</v>
      </c>
      <c r="H1603" s="32">
        <v>2020</v>
      </c>
      <c r="I1603" s="29">
        <v>2022</v>
      </c>
      <c r="J1603" s="144">
        <v>1.0934999999999999</v>
      </c>
      <c r="K1603" s="144">
        <v>1.0435000000000001</v>
      </c>
      <c r="L1603" s="144">
        <v>0.62490000000000001</v>
      </c>
      <c r="M1603" s="144">
        <v>1.1499999999999999</v>
      </c>
      <c r="N1603" s="144">
        <v>1.1696</v>
      </c>
      <c r="O1603" s="144">
        <v>1.0538000000000001</v>
      </c>
      <c r="P1603" s="143">
        <v>3733.7716240982236</v>
      </c>
      <c r="Q1603" s="35">
        <f t="array" ref="Q1603">SUM(IF(($S1603&gt;=4)*($C1603='TaxCred&amp;Subs'!$D$114:$D$121)*($H1603='TaxCred&amp;Subs'!$C$114:$C$121)*($H1603&lt;='TaxCred&amp;Subs'!$C$123),'TaxCred&amp;Subs'!$E$114:$E$121,0))</f>
        <v>0</v>
      </c>
      <c r="R1603" s="143">
        <v>0</v>
      </c>
      <c r="S1603" s="29">
        <v>5</v>
      </c>
      <c r="T1603" s="29" t="s">
        <v>221</v>
      </c>
      <c r="U1603" s="30" t="s">
        <v>227</v>
      </c>
      <c r="V1603" s="7" t="str">
        <f t="array" ref="V1603">INDEX(xlRTCLNAME,MATCH(1,(xlRTCLENDU=1)*(xlRTCLEQCL=$D1603),0))</f>
        <v>KERO_FA</v>
      </c>
      <c r="W1603" s="7" t="str">
        <f t="array" ref="W1603">INDEX(xlRTCLNAME,MATCH(1,(xlRTCLENDU=2)*(xlRTCLEQCL=$F1603),0))</f>
        <v>CENT_AIR</v>
      </c>
      <c r="X1603" s="7" t="str">
        <f t="array" ref="X1603">INDEX(xlRTTYNAME,MATCH(1,(xlRTTYENDU=1)*(xlRTTYEQCL=$D1603)*(xlRTEQTYPE=$E1603),0))</f>
        <v>KERO_FA4</v>
      </c>
      <c r="Y1603" s="7" t="str">
        <f t="array" ref="Y1603">INDEX(xlRTTYNAME,MATCH(1,(xlRTTYENDU=2)*(xlRTTYEQCL=$F1603)*(xlRTEQTYPE=$G1603),0))</f>
        <v>CENT_AIR4</v>
      </c>
    </row>
    <row r="1604" spans="2:25" ht="14.25" customHeight="1" x14ac:dyDescent="0.2">
      <c r="B1604" s="29">
        <v>4</v>
      </c>
      <c r="C1604" s="29">
        <v>2</v>
      </c>
      <c r="D1604" s="29">
        <v>5</v>
      </c>
      <c r="E1604" s="29">
        <v>17</v>
      </c>
      <c r="F1604" s="29">
        <v>2</v>
      </c>
      <c r="G1604" s="32">
        <v>7</v>
      </c>
      <c r="H1604" s="29">
        <v>2023</v>
      </c>
      <c r="I1604" s="29">
        <v>2032</v>
      </c>
      <c r="J1604" s="144">
        <v>1.0934999999999999</v>
      </c>
      <c r="K1604" s="144">
        <v>1.0435000000000001</v>
      </c>
      <c r="L1604" s="144">
        <v>0.62490000000000001</v>
      </c>
      <c r="M1604" s="144">
        <v>1.1499999999999999</v>
      </c>
      <c r="N1604" s="144">
        <v>1.1696</v>
      </c>
      <c r="O1604" s="144">
        <v>1.0538000000000001</v>
      </c>
      <c r="P1604" s="143">
        <v>3733.7716240982236</v>
      </c>
      <c r="Q1604" s="35">
        <f t="array" ref="Q1604">SUM(IF(($S1604&gt;=4)*($C1604='TaxCred&amp;Subs'!$D$114:$D$121)*($H1604='TaxCred&amp;Subs'!$C$114:$C$121)*($H1604&lt;='TaxCred&amp;Subs'!$C$123),'TaxCred&amp;Subs'!$E$114:$E$121,0))</f>
        <v>500</v>
      </c>
      <c r="R1604" s="143">
        <v>0</v>
      </c>
      <c r="S1604" s="29">
        <v>5</v>
      </c>
      <c r="T1604" s="29" t="s">
        <v>221</v>
      </c>
      <c r="U1604" s="30" t="s">
        <v>227</v>
      </c>
      <c r="V1604" s="7" t="str">
        <f t="array" ref="V1604">INDEX(xlRTCLNAME,MATCH(1,(xlRTCLENDU=1)*(xlRTCLEQCL=$D1604),0))</f>
        <v>KERO_FA</v>
      </c>
      <c r="W1604" s="7" t="str">
        <f t="array" ref="W1604">INDEX(xlRTCLNAME,MATCH(1,(xlRTCLENDU=2)*(xlRTCLEQCL=$F1604),0))</f>
        <v>CENT_AIR</v>
      </c>
      <c r="X1604" s="7" t="str">
        <f t="array" ref="X1604">INDEX(xlRTTYNAME,MATCH(1,(xlRTTYENDU=1)*(xlRTTYEQCL=$D1604)*(xlRTEQTYPE=$E1604),0))</f>
        <v>KERO_FA4</v>
      </c>
      <c r="Y1604" s="7" t="str">
        <f t="array" ref="Y1604">INDEX(xlRTTYNAME,MATCH(1,(xlRTTYENDU=2)*(xlRTTYEQCL=$F1604)*(xlRTEQTYPE=$G1604),0))</f>
        <v>CENT_AIR4</v>
      </c>
    </row>
    <row r="1605" spans="2:25" ht="14.25" customHeight="1" x14ac:dyDescent="0.2">
      <c r="B1605" s="29">
        <v>4</v>
      </c>
      <c r="C1605" s="29">
        <v>2</v>
      </c>
      <c r="D1605" s="29">
        <v>5</v>
      </c>
      <c r="E1605" s="29">
        <v>17</v>
      </c>
      <c r="F1605" s="29">
        <v>2</v>
      </c>
      <c r="G1605" s="32">
        <v>7</v>
      </c>
      <c r="H1605" s="29">
        <v>2033</v>
      </c>
      <c r="I1605" s="29">
        <v>2050</v>
      </c>
      <c r="J1605" s="144">
        <v>1.0934999999999999</v>
      </c>
      <c r="K1605" s="144">
        <v>1.0435000000000001</v>
      </c>
      <c r="L1605" s="144">
        <v>0.62490000000000001</v>
      </c>
      <c r="M1605" s="144">
        <v>1.1499999999999999</v>
      </c>
      <c r="N1605" s="144">
        <v>1.1696</v>
      </c>
      <c r="O1605" s="144">
        <v>1.0538000000000001</v>
      </c>
      <c r="P1605" s="143">
        <v>3733.7716240982236</v>
      </c>
      <c r="Q1605" s="35">
        <f t="array" ref="Q1605">SUM(IF(($S1605&gt;=4)*($C1605='TaxCred&amp;Subs'!$D$114:$D$121)*($H1605='TaxCred&amp;Subs'!$C$114:$C$121)*($H1605&lt;='TaxCred&amp;Subs'!$C$123),'TaxCred&amp;Subs'!$E$114:$E$121,0))</f>
        <v>0</v>
      </c>
      <c r="R1605" s="143">
        <v>0</v>
      </c>
      <c r="S1605" s="29">
        <v>5</v>
      </c>
      <c r="T1605" s="29" t="s">
        <v>221</v>
      </c>
      <c r="U1605" s="30" t="s">
        <v>227</v>
      </c>
      <c r="V1605" s="7" t="str">
        <f t="array" ref="V1605">INDEX(xlRTCLNAME,MATCH(1,(xlRTCLENDU=1)*(xlRTCLEQCL=$D1605),0))</f>
        <v>KERO_FA</v>
      </c>
      <c r="W1605" s="7" t="str">
        <f t="array" ref="W1605">INDEX(xlRTCLNAME,MATCH(1,(xlRTCLENDU=2)*(xlRTCLEQCL=$F1605),0))</f>
        <v>CENT_AIR</v>
      </c>
      <c r="X1605" s="7" t="str">
        <f t="array" ref="X1605">INDEX(xlRTTYNAME,MATCH(1,(xlRTTYENDU=1)*(xlRTTYEQCL=$D1605)*(xlRTEQTYPE=$E1605),0))</f>
        <v>KERO_FA4</v>
      </c>
      <c r="Y1605" s="7" t="str">
        <f t="array" ref="Y1605">INDEX(xlRTTYNAME,MATCH(1,(xlRTTYENDU=2)*(xlRTTYEQCL=$F1605)*(xlRTEQTYPE=$G1605),0))</f>
        <v>CENT_AIR4</v>
      </c>
    </row>
    <row r="1606" spans="2:25" ht="14.25" customHeight="1" x14ac:dyDescent="0.2">
      <c r="B1606" s="29">
        <v>5</v>
      </c>
      <c r="C1606" s="29">
        <v>2</v>
      </c>
      <c r="D1606" s="29">
        <v>5</v>
      </c>
      <c r="E1606" s="29">
        <v>17</v>
      </c>
      <c r="F1606" s="29">
        <v>2</v>
      </c>
      <c r="G1606" s="32">
        <v>7</v>
      </c>
      <c r="H1606" s="32">
        <v>2020</v>
      </c>
      <c r="I1606" s="29">
        <v>2022</v>
      </c>
      <c r="J1606" s="144">
        <v>1.1200000000000001</v>
      </c>
      <c r="K1606" s="144">
        <v>1.0391999999999999</v>
      </c>
      <c r="L1606" s="144">
        <v>0.44379999999999997</v>
      </c>
      <c r="M1606" s="144">
        <v>1.0314000000000001</v>
      </c>
      <c r="N1606" s="144">
        <v>1.2595000000000001</v>
      </c>
      <c r="O1606" s="144">
        <v>1.0538000000000001</v>
      </c>
      <c r="P1606" s="143">
        <v>3228.2267444939989</v>
      </c>
      <c r="Q1606" s="35">
        <f t="array" ref="Q1606">SUM(IF(($S1606&gt;=4)*($C1606='TaxCred&amp;Subs'!$D$114:$D$121)*($H1606='TaxCred&amp;Subs'!$C$114:$C$121)*($H1606&lt;='TaxCred&amp;Subs'!$C$123),'TaxCred&amp;Subs'!$E$114:$E$121,0))</f>
        <v>0</v>
      </c>
      <c r="R1606" s="143">
        <v>0</v>
      </c>
      <c r="S1606" s="29">
        <v>5</v>
      </c>
      <c r="T1606" s="29" t="s">
        <v>221</v>
      </c>
      <c r="U1606" s="30" t="s">
        <v>227</v>
      </c>
      <c r="V1606" s="7" t="str">
        <f t="array" ref="V1606">INDEX(xlRTCLNAME,MATCH(1,(xlRTCLENDU=1)*(xlRTCLEQCL=$D1606),0))</f>
        <v>KERO_FA</v>
      </c>
      <c r="W1606" s="7" t="str">
        <f t="array" ref="W1606">INDEX(xlRTCLNAME,MATCH(1,(xlRTCLENDU=2)*(xlRTCLEQCL=$F1606),0))</f>
        <v>CENT_AIR</v>
      </c>
      <c r="X1606" s="7" t="str">
        <f t="array" ref="X1606">INDEX(xlRTTYNAME,MATCH(1,(xlRTTYENDU=1)*(xlRTTYEQCL=$D1606)*(xlRTEQTYPE=$E1606),0))</f>
        <v>KERO_FA4</v>
      </c>
      <c r="Y1606" s="7" t="str">
        <f t="array" ref="Y1606">INDEX(xlRTTYNAME,MATCH(1,(xlRTTYENDU=2)*(xlRTTYEQCL=$F1606)*(xlRTEQTYPE=$G1606),0))</f>
        <v>CENT_AIR4</v>
      </c>
    </row>
    <row r="1607" spans="2:25" ht="14.25" customHeight="1" x14ac:dyDescent="0.2">
      <c r="B1607" s="29">
        <v>5</v>
      </c>
      <c r="C1607" s="29">
        <v>2</v>
      </c>
      <c r="D1607" s="29">
        <v>5</v>
      </c>
      <c r="E1607" s="29">
        <v>17</v>
      </c>
      <c r="F1607" s="29">
        <v>2</v>
      </c>
      <c r="G1607" s="32">
        <v>7</v>
      </c>
      <c r="H1607" s="29">
        <v>2023</v>
      </c>
      <c r="I1607" s="29">
        <v>2032</v>
      </c>
      <c r="J1607" s="144">
        <v>1.1200000000000001</v>
      </c>
      <c r="K1607" s="144">
        <v>1.0391999999999999</v>
      </c>
      <c r="L1607" s="144">
        <v>0.44379999999999997</v>
      </c>
      <c r="M1607" s="144">
        <v>1.0314000000000001</v>
      </c>
      <c r="N1607" s="144">
        <v>1.2595000000000001</v>
      </c>
      <c r="O1607" s="144">
        <v>1.0538000000000001</v>
      </c>
      <c r="P1607" s="143">
        <v>3228.2267444939989</v>
      </c>
      <c r="Q1607" s="35">
        <f t="array" ref="Q1607">SUM(IF(($S1607&gt;=4)*($C1607='TaxCred&amp;Subs'!$D$114:$D$121)*($H1607='TaxCred&amp;Subs'!$C$114:$C$121)*($H1607&lt;='TaxCred&amp;Subs'!$C$123),'TaxCred&amp;Subs'!$E$114:$E$121,0))</f>
        <v>500</v>
      </c>
      <c r="R1607" s="143">
        <v>0</v>
      </c>
      <c r="S1607" s="29">
        <v>5</v>
      </c>
      <c r="T1607" s="29" t="s">
        <v>221</v>
      </c>
      <c r="U1607" s="30" t="s">
        <v>227</v>
      </c>
      <c r="V1607" s="7" t="str">
        <f t="array" ref="V1607">INDEX(xlRTCLNAME,MATCH(1,(xlRTCLENDU=1)*(xlRTCLEQCL=$D1607),0))</f>
        <v>KERO_FA</v>
      </c>
      <c r="W1607" s="7" t="str">
        <f t="array" ref="W1607">INDEX(xlRTCLNAME,MATCH(1,(xlRTCLENDU=2)*(xlRTCLEQCL=$F1607),0))</f>
        <v>CENT_AIR</v>
      </c>
      <c r="X1607" s="7" t="str">
        <f t="array" ref="X1607">INDEX(xlRTTYNAME,MATCH(1,(xlRTTYENDU=1)*(xlRTTYEQCL=$D1607)*(xlRTEQTYPE=$E1607),0))</f>
        <v>KERO_FA4</v>
      </c>
      <c r="Y1607" s="7" t="str">
        <f t="array" ref="Y1607">INDEX(xlRTTYNAME,MATCH(1,(xlRTTYENDU=2)*(xlRTTYEQCL=$F1607)*(xlRTEQTYPE=$G1607),0))</f>
        <v>CENT_AIR4</v>
      </c>
    </row>
    <row r="1608" spans="2:25" ht="14.25" customHeight="1" x14ac:dyDescent="0.2">
      <c r="B1608" s="29">
        <v>5</v>
      </c>
      <c r="C1608" s="29">
        <v>2</v>
      </c>
      <c r="D1608" s="29">
        <v>5</v>
      </c>
      <c r="E1608" s="29">
        <v>17</v>
      </c>
      <c r="F1608" s="29">
        <v>2</v>
      </c>
      <c r="G1608" s="32">
        <v>7</v>
      </c>
      <c r="H1608" s="29">
        <v>2033</v>
      </c>
      <c r="I1608" s="29">
        <v>2050</v>
      </c>
      <c r="J1608" s="144">
        <v>1.1200000000000001</v>
      </c>
      <c r="K1608" s="144">
        <v>1.0391999999999999</v>
      </c>
      <c r="L1608" s="144">
        <v>0.44379999999999997</v>
      </c>
      <c r="M1608" s="144">
        <v>1.0314000000000001</v>
      </c>
      <c r="N1608" s="144">
        <v>1.2595000000000001</v>
      </c>
      <c r="O1608" s="144">
        <v>1.0538000000000001</v>
      </c>
      <c r="P1608" s="143">
        <v>3228.2267444939989</v>
      </c>
      <c r="Q1608" s="35">
        <f t="array" ref="Q1608">SUM(IF(($S1608&gt;=4)*($C1608='TaxCred&amp;Subs'!$D$114:$D$121)*($H1608='TaxCred&amp;Subs'!$C$114:$C$121)*($H1608&lt;='TaxCred&amp;Subs'!$C$123),'TaxCred&amp;Subs'!$E$114:$E$121,0))</f>
        <v>0</v>
      </c>
      <c r="R1608" s="143">
        <v>0</v>
      </c>
      <c r="S1608" s="29">
        <v>5</v>
      </c>
      <c r="T1608" s="29" t="s">
        <v>221</v>
      </c>
      <c r="U1608" s="30" t="s">
        <v>227</v>
      </c>
      <c r="V1608" s="7" t="str">
        <f t="array" ref="V1608">INDEX(xlRTCLNAME,MATCH(1,(xlRTCLENDU=1)*(xlRTCLEQCL=$D1608),0))</f>
        <v>KERO_FA</v>
      </c>
      <c r="W1608" s="7" t="str">
        <f t="array" ref="W1608">INDEX(xlRTCLNAME,MATCH(1,(xlRTCLENDU=2)*(xlRTCLEQCL=$F1608),0))</f>
        <v>CENT_AIR</v>
      </c>
      <c r="X1608" s="7" t="str">
        <f t="array" ref="X1608">INDEX(xlRTTYNAME,MATCH(1,(xlRTTYENDU=1)*(xlRTTYEQCL=$D1608)*(xlRTEQTYPE=$E1608),0))</f>
        <v>KERO_FA4</v>
      </c>
      <c r="Y1608" s="7" t="str">
        <f t="array" ref="Y1608">INDEX(xlRTTYNAME,MATCH(1,(xlRTTYENDU=2)*(xlRTTYEQCL=$F1608)*(xlRTEQTYPE=$G1608),0))</f>
        <v>CENT_AIR4</v>
      </c>
    </row>
    <row r="1609" spans="2:25" ht="14.25" customHeight="1" x14ac:dyDescent="0.2">
      <c r="B1609" s="29">
        <v>6</v>
      </c>
      <c r="C1609" s="29">
        <v>2</v>
      </c>
      <c r="D1609" s="29">
        <v>5</v>
      </c>
      <c r="E1609" s="29">
        <v>17</v>
      </c>
      <c r="F1609" s="29">
        <v>2</v>
      </c>
      <c r="G1609" s="32">
        <v>7</v>
      </c>
      <c r="H1609" s="32">
        <v>2020</v>
      </c>
      <c r="I1609" s="29">
        <v>2022</v>
      </c>
      <c r="J1609" s="144">
        <v>1.1200000000000001</v>
      </c>
      <c r="K1609" s="144">
        <v>1.03</v>
      </c>
      <c r="L1609" s="144">
        <v>0.44379999999999997</v>
      </c>
      <c r="M1609" s="144">
        <v>1.0546</v>
      </c>
      <c r="N1609" s="144">
        <v>1.3381000000000001</v>
      </c>
      <c r="O1609" s="144">
        <v>1.0538000000000001</v>
      </c>
      <c r="P1609" s="143">
        <v>3572.4275135862376</v>
      </c>
      <c r="Q1609" s="35">
        <f t="array" ref="Q1609">SUM(IF(($S1609&gt;=4)*($C1609='TaxCred&amp;Subs'!$D$114:$D$121)*($H1609='TaxCred&amp;Subs'!$C$114:$C$121)*($H1609&lt;='TaxCred&amp;Subs'!$C$123),'TaxCred&amp;Subs'!$E$114:$E$121,0))</f>
        <v>0</v>
      </c>
      <c r="R1609" s="143">
        <v>0</v>
      </c>
      <c r="S1609" s="29">
        <v>5</v>
      </c>
      <c r="T1609" s="29" t="s">
        <v>221</v>
      </c>
      <c r="U1609" s="30" t="s">
        <v>227</v>
      </c>
      <c r="V1609" s="7" t="str">
        <f t="array" ref="V1609">INDEX(xlRTCLNAME,MATCH(1,(xlRTCLENDU=1)*(xlRTCLEQCL=$D1609),0))</f>
        <v>KERO_FA</v>
      </c>
      <c r="W1609" s="7" t="str">
        <f t="array" ref="W1609">INDEX(xlRTCLNAME,MATCH(1,(xlRTCLENDU=2)*(xlRTCLEQCL=$F1609),0))</f>
        <v>CENT_AIR</v>
      </c>
      <c r="X1609" s="7" t="str">
        <f t="array" ref="X1609">INDEX(xlRTTYNAME,MATCH(1,(xlRTTYENDU=1)*(xlRTTYEQCL=$D1609)*(xlRTEQTYPE=$E1609),0))</f>
        <v>KERO_FA4</v>
      </c>
      <c r="Y1609" s="7" t="str">
        <f t="array" ref="Y1609">INDEX(xlRTTYNAME,MATCH(1,(xlRTTYENDU=2)*(xlRTTYEQCL=$F1609)*(xlRTEQTYPE=$G1609),0))</f>
        <v>CENT_AIR4</v>
      </c>
    </row>
    <row r="1610" spans="2:25" ht="14.25" customHeight="1" x14ac:dyDescent="0.2">
      <c r="B1610" s="29">
        <v>6</v>
      </c>
      <c r="C1610" s="29">
        <v>2</v>
      </c>
      <c r="D1610" s="29">
        <v>5</v>
      </c>
      <c r="E1610" s="29">
        <v>17</v>
      </c>
      <c r="F1610" s="29">
        <v>2</v>
      </c>
      <c r="G1610" s="32">
        <v>7</v>
      </c>
      <c r="H1610" s="29">
        <v>2023</v>
      </c>
      <c r="I1610" s="29">
        <v>2032</v>
      </c>
      <c r="J1610" s="144">
        <v>1.1200000000000001</v>
      </c>
      <c r="K1610" s="144">
        <v>1.03</v>
      </c>
      <c r="L1610" s="144">
        <v>0.44379999999999997</v>
      </c>
      <c r="M1610" s="144">
        <v>1.0546</v>
      </c>
      <c r="N1610" s="144">
        <v>1.3381000000000001</v>
      </c>
      <c r="O1610" s="144">
        <v>1.0538000000000001</v>
      </c>
      <c r="P1610" s="143">
        <v>3572.4275135862376</v>
      </c>
      <c r="Q1610" s="35">
        <f t="array" ref="Q1610">SUM(IF(($S1610&gt;=4)*($C1610='TaxCred&amp;Subs'!$D$114:$D$121)*($H1610='TaxCred&amp;Subs'!$C$114:$C$121)*($H1610&lt;='TaxCred&amp;Subs'!$C$123),'TaxCred&amp;Subs'!$E$114:$E$121,0))</f>
        <v>500</v>
      </c>
      <c r="R1610" s="143">
        <v>0</v>
      </c>
      <c r="S1610" s="29">
        <v>5</v>
      </c>
      <c r="T1610" s="29" t="s">
        <v>221</v>
      </c>
      <c r="U1610" s="30" t="s">
        <v>227</v>
      </c>
      <c r="V1610" s="7" t="str">
        <f t="array" ref="V1610">INDEX(xlRTCLNAME,MATCH(1,(xlRTCLENDU=1)*(xlRTCLEQCL=$D1610),0))</f>
        <v>KERO_FA</v>
      </c>
      <c r="W1610" s="7" t="str">
        <f t="array" ref="W1610">INDEX(xlRTCLNAME,MATCH(1,(xlRTCLENDU=2)*(xlRTCLEQCL=$F1610),0))</f>
        <v>CENT_AIR</v>
      </c>
      <c r="X1610" s="7" t="str">
        <f t="array" ref="X1610">INDEX(xlRTTYNAME,MATCH(1,(xlRTTYENDU=1)*(xlRTTYEQCL=$D1610)*(xlRTEQTYPE=$E1610),0))</f>
        <v>KERO_FA4</v>
      </c>
      <c r="Y1610" s="7" t="str">
        <f t="array" ref="Y1610">INDEX(xlRTTYNAME,MATCH(1,(xlRTTYENDU=2)*(xlRTTYEQCL=$F1610)*(xlRTEQTYPE=$G1610),0))</f>
        <v>CENT_AIR4</v>
      </c>
    </row>
    <row r="1611" spans="2:25" ht="14.25" customHeight="1" x14ac:dyDescent="0.2">
      <c r="B1611" s="29">
        <v>6</v>
      </c>
      <c r="C1611" s="29">
        <v>2</v>
      </c>
      <c r="D1611" s="29">
        <v>5</v>
      </c>
      <c r="E1611" s="29">
        <v>17</v>
      </c>
      <c r="F1611" s="29">
        <v>2</v>
      </c>
      <c r="G1611" s="32">
        <v>7</v>
      </c>
      <c r="H1611" s="29">
        <v>2033</v>
      </c>
      <c r="I1611" s="29">
        <v>2050</v>
      </c>
      <c r="J1611" s="144">
        <v>1.1200000000000001</v>
      </c>
      <c r="K1611" s="144">
        <v>1.03</v>
      </c>
      <c r="L1611" s="144">
        <v>0.44379999999999997</v>
      </c>
      <c r="M1611" s="144">
        <v>1.0546</v>
      </c>
      <c r="N1611" s="144">
        <v>1.3381000000000001</v>
      </c>
      <c r="O1611" s="144">
        <v>1.0538000000000001</v>
      </c>
      <c r="P1611" s="143">
        <v>3572.4275135862376</v>
      </c>
      <c r="Q1611" s="35">
        <f t="array" ref="Q1611">SUM(IF(($S1611&gt;=4)*($C1611='TaxCred&amp;Subs'!$D$114:$D$121)*($H1611='TaxCred&amp;Subs'!$C$114:$C$121)*($H1611&lt;='TaxCred&amp;Subs'!$C$123),'TaxCred&amp;Subs'!$E$114:$E$121,0))</f>
        <v>0</v>
      </c>
      <c r="R1611" s="143">
        <v>0</v>
      </c>
      <c r="S1611" s="29">
        <v>5</v>
      </c>
      <c r="T1611" s="29" t="s">
        <v>221</v>
      </c>
      <c r="U1611" s="30" t="s">
        <v>227</v>
      </c>
      <c r="V1611" s="7" t="str">
        <f t="array" ref="V1611">INDEX(xlRTCLNAME,MATCH(1,(xlRTCLENDU=1)*(xlRTCLEQCL=$D1611),0))</f>
        <v>KERO_FA</v>
      </c>
      <c r="W1611" s="7" t="str">
        <f t="array" ref="W1611">INDEX(xlRTCLNAME,MATCH(1,(xlRTCLENDU=2)*(xlRTCLEQCL=$F1611),0))</f>
        <v>CENT_AIR</v>
      </c>
      <c r="X1611" s="7" t="str">
        <f t="array" ref="X1611">INDEX(xlRTTYNAME,MATCH(1,(xlRTTYENDU=1)*(xlRTTYEQCL=$D1611)*(xlRTEQTYPE=$E1611),0))</f>
        <v>KERO_FA4</v>
      </c>
      <c r="Y1611" s="7" t="str">
        <f t="array" ref="Y1611">INDEX(xlRTTYNAME,MATCH(1,(xlRTTYENDU=2)*(xlRTTYEQCL=$F1611)*(xlRTEQTYPE=$G1611),0))</f>
        <v>CENT_AIR4</v>
      </c>
    </row>
    <row r="1612" spans="2:25" ht="14.25" customHeight="1" x14ac:dyDescent="0.2">
      <c r="B1612" s="29">
        <v>7</v>
      </c>
      <c r="C1612" s="29">
        <v>2</v>
      </c>
      <c r="D1612" s="29">
        <v>5</v>
      </c>
      <c r="E1612" s="29">
        <v>17</v>
      </c>
      <c r="F1612" s="29">
        <v>2</v>
      </c>
      <c r="G1612" s="32">
        <v>7</v>
      </c>
      <c r="H1612" s="32">
        <v>2020</v>
      </c>
      <c r="I1612" s="29">
        <v>2022</v>
      </c>
      <c r="J1612" s="144">
        <v>1.1200000000000001</v>
      </c>
      <c r="K1612" s="144">
        <v>1.0476000000000001</v>
      </c>
      <c r="L1612" s="144">
        <v>0.44379999999999997</v>
      </c>
      <c r="M1612" s="144">
        <v>1.0569</v>
      </c>
      <c r="N1612" s="144">
        <v>1.4438</v>
      </c>
      <c r="O1612" s="144">
        <v>1.0538000000000001</v>
      </c>
      <c r="P1612" s="143">
        <v>3120.6640041526744</v>
      </c>
      <c r="Q1612" s="35">
        <f t="array" ref="Q1612">SUM(IF(($S1612&gt;=4)*($C1612='TaxCred&amp;Subs'!$D$114:$D$121)*($H1612='TaxCred&amp;Subs'!$C$114:$C$121)*($H1612&lt;='TaxCred&amp;Subs'!$C$123),'TaxCred&amp;Subs'!$E$114:$E$121,0))</f>
        <v>0</v>
      </c>
      <c r="R1612" s="143">
        <v>0</v>
      </c>
      <c r="S1612" s="29">
        <v>5</v>
      </c>
      <c r="T1612" s="29" t="s">
        <v>221</v>
      </c>
      <c r="U1612" s="30" t="s">
        <v>227</v>
      </c>
      <c r="V1612" s="7" t="str">
        <f t="array" ref="V1612">INDEX(xlRTCLNAME,MATCH(1,(xlRTCLENDU=1)*(xlRTCLEQCL=$D1612),0))</f>
        <v>KERO_FA</v>
      </c>
      <c r="W1612" s="7" t="str">
        <f t="array" ref="W1612">INDEX(xlRTCLNAME,MATCH(1,(xlRTCLENDU=2)*(xlRTCLEQCL=$F1612),0))</f>
        <v>CENT_AIR</v>
      </c>
      <c r="X1612" s="7" t="str">
        <f t="array" ref="X1612">INDEX(xlRTTYNAME,MATCH(1,(xlRTTYENDU=1)*(xlRTTYEQCL=$D1612)*(xlRTEQTYPE=$E1612),0))</f>
        <v>KERO_FA4</v>
      </c>
      <c r="Y1612" s="7" t="str">
        <f t="array" ref="Y1612">INDEX(xlRTTYNAME,MATCH(1,(xlRTTYENDU=2)*(xlRTTYEQCL=$F1612)*(xlRTEQTYPE=$G1612),0))</f>
        <v>CENT_AIR4</v>
      </c>
    </row>
    <row r="1613" spans="2:25" ht="14.25" customHeight="1" x14ac:dyDescent="0.2">
      <c r="B1613" s="29">
        <v>7</v>
      </c>
      <c r="C1613" s="29">
        <v>2</v>
      </c>
      <c r="D1613" s="29">
        <v>5</v>
      </c>
      <c r="E1613" s="29">
        <v>17</v>
      </c>
      <c r="F1613" s="29">
        <v>2</v>
      </c>
      <c r="G1613" s="32">
        <v>7</v>
      </c>
      <c r="H1613" s="29">
        <v>2023</v>
      </c>
      <c r="I1613" s="29">
        <v>2032</v>
      </c>
      <c r="J1613" s="144">
        <v>1.1200000000000001</v>
      </c>
      <c r="K1613" s="144">
        <v>1.0476000000000001</v>
      </c>
      <c r="L1613" s="144">
        <v>0.44379999999999997</v>
      </c>
      <c r="M1613" s="144">
        <v>1.0569</v>
      </c>
      <c r="N1613" s="144">
        <v>1.4438</v>
      </c>
      <c r="O1613" s="144">
        <v>1.0538000000000001</v>
      </c>
      <c r="P1613" s="143">
        <v>3120.6640041526744</v>
      </c>
      <c r="Q1613" s="35">
        <f t="array" ref="Q1613">SUM(IF(($S1613&gt;=4)*($C1613='TaxCred&amp;Subs'!$D$114:$D$121)*($H1613='TaxCred&amp;Subs'!$C$114:$C$121)*($H1613&lt;='TaxCred&amp;Subs'!$C$123),'TaxCred&amp;Subs'!$E$114:$E$121,0))</f>
        <v>500</v>
      </c>
      <c r="R1613" s="143">
        <v>0</v>
      </c>
      <c r="S1613" s="29">
        <v>5</v>
      </c>
      <c r="T1613" s="29" t="s">
        <v>221</v>
      </c>
      <c r="U1613" s="30" t="s">
        <v>227</v>
      </c>
      <c r="V1613" s="7" t="str">
        <f t="array" ref="V1613">INDEX(xlRTCLNAME,MATCH(1,(xlRTCLENDU=1)*(xlRTCLEQCL=$D1613),0))</f>
        <v>KERO_FA</v>
      </c>
      <c r="W1613" s="7" t="str">
        <f t="array" ref="W1613">INDEX(xlRTCLNAME,MATCH(1,(xlRTCLENDU=2)*(xlRTCLEQCL=$F1613),0))</f>
        <v>CENT_AIR</v>
      </c>
      <c r="X1613" s="7" t="str">
        <f t="array" ref="X1613">INDEX(xlRTTYNAME,MATCH(1,(xlRTTYENDU=1)*(xlRTTYEQCL=$D1613)*(xlRTEQTYPE=$E1613),0))</f>
        <v>KERO_FA4</v>
      </c>
      <c r="Y1613" s="7" t="str">
        <f t="array" ref="Y1613">INDEX(xlRTTYNAME,MATCH(1,(xlRTTYENDU=2)*(xlRTTYEQCL=$F1613)*(xlRTEQTYPE=$G1613),0))</f>
        <v>CENT_AIR4</v>
      </c>
    </row>
    <row r="1614" spans="2:25" ht="14.25" customHeight="1" x14ac:dyDescent="0.2">
      <c r="B1614" s="29">
        <v>7</v>
      </c>
      <c r="C1614" s="29">
        <v>2</v>
      </c>
      <c r="D1614" s="29">
        <v>5</v>
      </c>
      <c r="E1614" s="29">
        <v>17</v>
      </c>
      <c r="F1614" s="29">
        <v>2</v>
      </c>
      <c r="G1614" s="32">
        <v>7</v>
      </c>
      <c r="H1614" s="29">
        <v>2033</v>
      </c>
      <c r="I1614" s="29">
        <v>2050</v>
      </c>
      <c r="J1614" s="144">
        <v>1.1200000000000001</v>
      </c>
      <c r="K1614" s="144">
        <v>1.0476000000000001</v>
      </c>
      <c r="L1614" s="144">
        <v>0.44379999999999997</v>
      </c>
      <c r="M1614" s="144">
        <v>1.0569</v>
      </c>
      <c r="N1614" s="144">
        <v>1.4438</v>
      </c>
      <c r="O1614" s="144">
        <v>1.0538000000000001</v>
      </c>
      <c r="P1614" s="143">
        <v>3120.6640041526744</v>
      </c>
      <c r="Q1614" s="35">
        <f t="array" ref="Q1614">SUM(IF(($S1614&gt;=4)*($C1614='TaxCred&amp;Subs'!$D$114:$D$121)*($H1614='TaxCred&amp;Subs'!$C$114:$C$121)*($H1614&lt;='TaxCred&amp;Subs'!$C$123),'TaxCred&amp;Subs'!$E$114:$E$121,0))</f>
        <v>0</v>
      </c>
      <c r="R1614" s="143">
        <v>0</v>
      </c>
      <c r="S1614" s="29">
        <v>5</v>
      </c>
      <c r="T1614" s="29" t="s">
        <v>221</v>
      </c>
      <c r="U1614" s="30" t="s">
        <v>227</v>
      </c>
      <c r="V1614" s="7" t="str">
        <f t="array" ref="V1614">INDEX(xlRTCLNAME,MATCH(1,(xlRTCLENDU=1)*(xlRTCLEQCL=$D1614),0))</f>
        <v>KERO_FA</v>
      </c>
      <c r="W1614" s="7" t="str">
        <f t="array" ref="W1614">INDEX(xlRTCLNAME,MATCH(1,(xlRTCLENDU=2)*(xlRTCLEQCL=$F1614),0))</f>
        <v>CENT_AIR</v>
      </c>
      <c r="X1614" s="7" t="str">
        <f t="array" ref="X1614">INDEX(xlRTTYNAME,MATCH(1,(xlRTTYENDU=1)*(xlRTTYEQCL=$D1614)*(xlRTEQTYPE=$E1614),0))</f>
        <v>KERO_FA4</v>
      </c>
      <c r="Y1614" s="7" t="str">
        <f t="array" ref="Y1614">INDEX(xlRTTYNAME,MATCH(1,(xlRTTYENDU=2)*(xlRTTYEQCL=$F1614)*(xlRTEQTYPE=$G1614),0))</f>
        <v>CENT_AIR4</v>
      </c>
    </row>
    <row r="1615" spans="2:25" ht="14.25" customHeight="1" x14ac:dyDescent="0.2">
      <c r="B1615" s="29">
        <v>8</v>
      </c>
      <c r="C1615" s="29">
        <v>2</v>
      </c>
      <c r="D1615" s="29">
        <v>5</v>
      </c>
      <c r="E1615" s="29">
        <v>17</v>
      </c>
      <c r="F1615" s="29">
        <v>2</v>
      </c>
      <c r="G1615" s="32">
        <v>7</v>
      </c>
      <c r="H1615" s="32">
        <v>2020</v>
      </c>
      <c r="I1615" s="29">
        <v>2022</v>
      </c>
      <c r="J1615" s="144">
        <v>1.1064000000000001</v>
      </c>
      <c r="K1615" s="144">
        <v>1.0645</v>
      </c>
      <c r="L1615" s="144">
        <v>0.54869999999999997</v>
      </c>
      <c r="M1615" s="144">
        <v>1.2087000000000001</v>
      </c>
      <c r="N1615" s="144">
        <v>1.2826</v>
      </c>
      <c r="O1615" s="144">
        <v>1.0538000000000001</v>
      </c>
      <c r="P1615" s="143">
        <v>3884.3594605760777</v>
      </c>
      <c r="Q1615" s="35">
        <f t="array" ref="Q1615">SUM(IF(($S1615&gt;=4)*($C1615='TaxCred&amp;Subs'!$D$114:$D$121)*($H1615='TaxCred&amp;Subs'!$C$114:$C$121)*($H1615&lt;='TaxCred&amp;Subs'!$C$123),'TaxCred&amp;Subs'!$E$114:$E$121,0))</f>
        <v>0</v>
      </c>
      <c r="R1615" s="143">
        <v>0</v>
      </c>
      <c r="S1615" s="29">
        <v>5</v>
      </c>
      <c r="T1615" s="29" t="s">
        <v>221</v>
      </c>
      <c r="U1615" s="30" t="s">
        <v>227</v>
      </c>
      <c r="V1615" s="7" t="str">
        <f t="array" ref="V1615">INDEX(xlRTCLNAME,MATCH(1,(xlRTCLENDU=1)*(xlRTCLEQCL=$D1615),0))</f>
        <v>KERO_FA</v>
      </c>
      <c r="W1615" s="7" t="str">
        <f t="array" ref="W1615">INDEX(xlRTCLNAME,MATCH(1,(xlRTCLENDU=2)*(xlRTCLEQCL=$F1615),0))</f>
        <v>CENT_AIR</v>
      </c>
      <c r="X1615" s="7" t="str">
        <f t="array" ref="X1615">INDEX(xlRTTYNAME,MATCH(1,(xlRTTYENDU=1)*(xlRTTYEQCL=$D1615)*(xlRTEQTYPE=$E1615),0))</f>
        <v>KERO_FA4</v>
      </c>
      <c r="Y1615" s="7" t="str">
        <f t="array" ref="Y1615">INDEX(xlRTTYNAME,MATCH(1,(xlRTTYENDU=2)*(xlRTTYEQCL=$F1615)*(xlRTEQTYPE=$G1615),0))</f>
        <v>CENT_AIR4</v>
      </c>
    </row>
    <row r="1616" spans="2:25" ht="14.25" customHeight="1" x14ac:dyDescent="0.2">
      <c r="B1616" s="29">
        <v>8</v>
      </c>
      <c r="C1616" s="29">
        <v>2</v>
      </c>
      <c r="D1616" s="29">
        <v>5</v>
      </c>
      <c r="E1616" s="29">
        <v>17</v>
      </c>
      <c r="F1616" s="29">
        <v>2</v>
      </c>
      <c r="G1616" s="32">
        <v>7</v>
      </c>
      <c r="H1616" s="29">
        <v>2023</v>
      </c>
      <c r="I1616" s="29">
        <v>2032</v>
      </c>
      <c r="J1616" s="144">
        <v>1.1064000000000001</v>
      </c>
      <c r="K1616" s="144">
        <v>1.0645</v>
      </c>
      <c r="L1616" s="144">
        <v>0.54869999999999997</v>
      </c>
      <c r="M1616" s="144">
        <v>1.2087000000000001</v>
      </c>
      <c r="N1616" s="144">
        <v>1.2826</v>
      </c>
      <c r="O1616" s="144">
        <v>1.0538000000000001</v>
      </c>
      <c r="P1616" s="143">
        <v>3884.3594605760777</v>
      </c>
      <c r="Q1616" s="35">
        <f t="array" ref="Q1616">SUM(IF(($S1616&gt;=4)*($C1616='TaxCred&amp;Subs'!$D$114:$D$121)*($H1616='TaxCred&amp;Subs'!$C$114:$C$121)*($H1616&lt;='TaxCred&amp;Subs'!$C$123),'TaxCred&amp;Subs'!$E$114:$E$121,0))</f>
        <v>500</v>
      </c>
      <c r="R1616" s="143">
        <v>0</v>
      </c>
      <c r="S1616" s="29">
        <v>5</v>
      </c>
      <c r="T1616" s="29" t="s">
        <v>221</v>
      </c>
      <c r="U1616" s="30" t="s">
        <v>227</v>
      </c>
      <c r="V1616" s="7" t="str">
        <f t="array" ref="V1616">INDEX(xlRTCLNAME,MATCH(1,(xlRTCLENDU=1)*(xlRTCLEQCL=$D1616),0))</f>
        <v>KERO_FA</v>
      </c>
      <c r="W1616" s="7" t="str">
        <f t="array" ref="W1616">INDEX(xlRTCLNAME,MATCH(1,(xlRTCLENDU=2)*(xlRTCLEQCL=$F1616),0))</f>
        <v>CENT_AIR</v>
      </c>
      <c r="X1616" s="7" t="str">
        <f t="array" ref="X1616">INDEX(xlRTTYNAME,MATCH(1,(xlRTTYENDU=1)*(xlRTTYEQCL=$D1616)*(xlRTEQTYPE=$E1616),0))</f>
        <v>KERO_FA4</v>
      </c>
      <c r="Y1616" s="7" t="str">
        <f t="array" ref="Y1616">INDEX(xlRTTYNAME,MATCH(1,(xlRTTYENDU=2)*(xlRTTYEQCL=$F1616)*(xlRTEQTYPE=$G1616),0))</f>
        <v>CENT_AIR4</v>
      </c>
    </row>
    <row r="1617" spans="2:25" ht="14.25" customHeight="1" x14ac:dyDescent="0.2">
      <c r="B1617" s="29">
        <v>8</v>
      </c>
      <c r="C1617" s="29">
        <v>2</v>
      </c>
      <c r="D1617" s="29">
        <v>5</v>
      </c>
      <c r="E1617" s="29">
        <v>17</v>
      </c>
      <c r="F1617" s="29">
        <v>2</v>
      </c>
      <c r="G1617" s="32">
        <v>7</v>
      </c>
      <c r="H1617" s="29">
        <v>2033</v>
      </c>
      <c r="I1617" s="29">
        <v>2050</v>
      </c>
      <c r="J1617" s="144">
        <v>1.1064000000000001</v>
      </c>
      <c r="K1617" s="144">
        <v>1.0645</v>
      </c>
      <c r="L1617" s="144">
        <v>0.54869999999999997</v>
      </c>
      <c r="M1617" s="144">
        <v>1.2087000000000001</v>
      </c>
      <c r="N1617" s="144">
        <v>1.2826</v>
      </c>
      <c r="O1617" s="144">
        <v>1.0538000000000001</v>
      </c>
      <c r="P1617" s="143">
        <v>3884.3594605760777</v>
      </c>
      <c r="Q1617" s="35">
        <f t="array" ref="Q1617">SUM(IF(($S1617&gt;=4)*($C1617='TaxCred&amp;Subs'!$D$114:$D$121)*($H1617='TaxCred&amp;Subs'!$C$114:$C$121)*($H1617&lt;='TaxCred&amp;Subs'!$C$123),'TaxCred&amp;Subs'!$E$114:$E$121,0))</f>
        <v>0</v>
      </c>
      <c r="R1617" s="143">
        <v>0</v>
      </c>
      <c r="S1617" s="29">
        <v>5</v>
      </c>
      <c r="T1617" s="29" t="s">
        <v>221</v>
      </c>
      <c r="U1617" s="30" t="s">
        <v>227</v>
      </c>
      <c r="V1617" s="7" t="str">
        <f t="array" ref="V1617">INDEX(xlRTCLNAME,MATCH(1,(xlRTCLENDU=1)*(xlRTCLEQCL=$D1617),0))</f>
        <v>KERO_FA</v>
      </c>
      <c r="W1617" s="7" t="str">
        <f t="array" ref="W1617">INDEX(xlRTCLNAME,MATCH(1,(xlRTCLENDU=2)*(xlRTCLEQCL=$F1617),0))</f>
        <v>CENT_AIR</v>
      </c>
      <c r="X1617" s="7" t="str">
        <f t="array" ref="X1617">INDEX(xlRTTYNAME,MATCH(1,(xlRTTYENDU=1)*(xlRTTYEQCL=$D1617)*(xlRTEQTYPE=$E1617),0))</f>
        <v>KERO_FA4</v>
      </c>
      <c r="Y1617" s="7" t="str">
        <f t="array" ref="Y1617">INDEX(xlRTTYNAME,MATCH(1,(xlRTTYENDU=2)*(xlRTTYEQCL=$F1617)*(xlRTEQTYPE=$G1617),0))</f>
        <v>CENT_AIR4</v>
      </c>
    </row>
    <row r="1618" spans="2:25" ht="14.25" customHeight="1" x14ac:dyDescent="0.2">
      <c r="B1618" s="29">
        <v>9</v>
      </c>
      <c r="C1618" s="29">
        <v>2</v>
      </c>
      <c r="D1618" s="29">
        <v>5</v>
      </c>
      <c r="E1618" s="29">
        <v>17</v>
      </c>
      <c r="F1618" s="29">
        <v>2</v>
      </c>
      <c r="G1618" s="32">
        <v>7</v>
      </c>
      <c r="H1618" s="32">
        <v>2020</v>
      </c>
      <c r="I1618" s="29">
        <v>2022</v>
      </c>
      <c r="J1618" s="144">
        <v>1.03</v>
      </c>
      <c r="K1618" s="144">
        <v>1.0556000000000001</v>
      </c>
      <c r="L1618" s="144">
        <v>0.44379999999999997</v>
      </c>
      <c r="M1618" s="144">
        <v>1.1167</v>
      </c>
      <c r="N1618" s="144">
        <v>1.4438</v>
      </c>
      <c r="O1618" s="144">
        <v>1.0538000000000001</v>
      </c>
      <c r="P1618" s="143">
        <v>4447.7193131137647</v>
      </c>
      <c r="Q1618" s="35">
        <f t="array" ref="Q1618">SUM(IF(($S1618&gt;=4)*($C1618='TaxCred&amp;Subs'!$D$114:$D$121)*($H1618='TaxCred&amp;Subs'!$C$114:$C$121)*($H1618&lt;='TaxCred&amp;Subs'!$C$123),'TaxCred&amp;Subs'!$E$114:$E$121,0))</f>
        <v>0</v>
      </c>
      <c r="R1618" s="143">
        <v>0</v>
      </c>
      <c r="S1618" s="29">
        <v>5</v>
      </c>
      <c r="T1618" s="29" t="s">
        <v>221</v>
      </c>
      <c r="U1618" s="30" t="s">
        <v>227</v>
      </c>
      <c r="V1618" s="7" t="str">
        <f t="array" ref="V1618">INDEX(xlRTCLNAME,MATCH(1,(xlRTCLENDU=1)*(xlRTCLEQCL=$D1618),0))</f>
        <v>KERO_FA</v>
      </c>
      <c r="W1618" s="7" t="str">
        <f t="array" ref="W1618">INDEX(xlRTCLNAME,MATCH(1,(xlRTCLENDU=2)*(xlRTCLEQCL=$F1618),0))</f>
        <v>CENT_AIR</v>
      </c>
      <c r="X1618" s="7" t="str">
        <f t="array" ref="X1618">INDEX(xlRTTYNAME,MATCH(1,(xlRTTYENDU=1)*(xlRTTYEQCL=$D1618)*(xlRTEQTYPE=$E1618),0))</f>
        <v>KERO_FA4</v>
      </c>
      <c r="Y1618" s="7" t="str">
        <f t="array" ref="Y1618">INDEX(xlRTTYNAME,MATCH(1,(xlRTTYENDU=2)*(xlRTTYEQCL=$F1618)*(xlRTEQTYPE=$G1618),0))</f>
        <v>CENT_AIR4</v>
      </c>
    </row>
    <row r="1619" spans="2:25" ht="14.25" customHeight="1" x14ac:dyDescent="0.2">
      <c r="B1619" s="29">
        <v>9</v>
      </c>
      <c r="C1619" s="29">
        <v>2</v>
      </c>
      <c r="D1619" s="29">
        <v>5</v>
      </c>
      <c r="E1619" s="29">
        <v>17</v>
      </c>
      <c r="F1619" s="29">
        <v>2</v>
      </c>
      <c r="G1619" s="32">
        <v>7</v>
      </c>
      <c r="H1619" s="29">
        <v>2023</v>
      </c>
      <c r="I1619" s="29">
        <v>2032</v>
      </c>
      <c r="J1619" s="144">
        <v>1.03</v>
      </c>
      <c r="K1619" s="144">
        <v>1.0556000000000001</v>
      </c>
      <c r="L1619" s="144">
        <v>0.44379999999999997</v>
      </c>
      <c r="M1619" s="144">
        <v>1.1167</v>
      </c>
      <c r="N1619" s="144">
        <v>1.4438</v>
      </c>
      <c r="O1619" s="144">
        <v>1.0538000000000001</v>
      </c>
      <c r="P1619" s="143">
        <v>4447.7193131137647</v>
      </c>
      <c r="Q1619" s="35">
        <f t="array" ref="Q1619">SUM(IF(($S1619&gt;=4)*($C1619='TaxCred&amp;Subs'!$D$114:$D$121)*($H1619='TaxCred&amp;Subs'!$C$114:$C$121)*($H1619&lt;='TaxCred&amp;Subs'!$C$123),'TaxCred&amp;Subs'!$E$114:$E$121,0))</f>
        <v>500</v>
      </c>
      <c r="R1619" s="143">
        <v>0</v>
      </c>
      <c r="S1619" s="29">
        <v>5</v>
      </c>
      <c r="T1619" s="29" t="s">
        <v>221</v>
      </c>
      <c r="U1619" s="30" t="s">
        <v>227</v>
      </c>
      <c r="V1619" s="7" t="str">
        <f t="array" ref="V1619">INDEX(xlRTCLNAME,MATCH(1,(xlRTCLENDU=1)*(xlRTCLEQCL=$D1619),0))</f>
        <v>KERO_FA</v>
      </c>
      <c r="W1619" s="7" t="str">
        <f t="array" ref="W1619">INDEX(xlRTCLNAME,MATCH(1,(xlRTCLENDU=2)*(xlRTCLEQCL=$F1619),0))</f>
        <v>CENT_AIR</v>
      </c>
      <c r="X1619" s="7" t="str">
        <f t="array" ref="X1619">INDEX(xlRTTYNAME,MATCH(1,(xlRTTYENDU=1)*(xlRTTYEQCL=$D1619)*(xlRTEQTYPE=$E1619),0))</f>
        <v>KERO_FA4</v>
      </c>
      <c r="Y1619" s="7" t="str">
        <f t="array" ref="Y1619">INDEX(xlRTTYNAME,MATCH(1,(xlRTTYENDU=2)*(xlRTTYEQCL=$F1619)*(xlRTEQTYPE=$G1619),0))</f>
        <v>CENT_AIR4</v>
      </c>
    </row>
    <row r="1620" spans="2:25" ht="14.25" customHeight="1" x14ac:dyDescent="0.2">
      <c r="B1620" s="29">
        <v>9</v>
      </c>
      <c r="C1620" s="29">
        <v>2</v>
      </c>
      <c r="D1620" s="29">
        <v>5</v>
      </c>
      <c r="E1620" s="29">
        <v>17</v>
      </c>
      <c r="F1620" s="29">
        <v>2</v>
      </c>
      <c r="G1620" s="32">
        <v>7</v>
      </c>
      <c r="H1620" s="29">
        <v>2033</v>
      </c>
      <c r="I1620" s="29">
        <v>2050</v>
      </c>
      <c r="J1620" s="144">
        <v>1.03</v>
      </c>
      <c r="K1620" s="144">
        <v>1.0556000000000001</v>
      </c>
      <c r="L1620" s="144">
        <v>0.44379999999999997</v>
      </c>
      <c r="M1620" s="144">
        <v>1.1167</v>
      </c>
      <c r="N1620" s="144">
        <v>1.4438</v>
      </c>
      <c r="O1620" s="144">
        <v>1.0538000000000001</v>
      </c>
      <c r="P1620" s="143">
        <v>4447.7193131137647</v>
      </c>
      <c r="Q1620" s="35">
        <f t="array" ref="Q1620">SUM(IF(($S1620&gt;=4)*($C1620='TaxCred&amp;Subs'!$D$114:$D$121)*($H1620='TaxCred&amp;Subs'!$C$114:$C$121)*($H1620&lt;='TaxCred&amp;Subs'!$C$123),'TaxCred&amp;Subs'!$E$114:$E$121,0))</f>
        <v>0</v>
      </c>
      <c r="R1620" s="143">
        <v>0</v>
      </c>
      <c r="S1620" s="29">
        <v>5</v>
      </c>
      <c r="T1620" s="29" t="s">
        <v>221</v>
      </c>
      <c r="U1620" s="30" t="s">
        <v>227</v>
      </c>
      <c r="V1620" s="7" t="str">
        <f t="array" ref="V1620">INDEX(xlRTCLNAME,MATCH(1,(xlRTCLENDU=1)*(xlRTCLEQCL=$D1620),0))</f>
        <v>KERO_FA</v>
      </c>
      <c r="W1620" s="7" t="str">
        <f t="array" ref="W1620">INDEX(xlRTCLNAME,MATCH(1,(xlRTCLENDU=2)*(xlRTCLEQCL=$F1620),0))</f>
        <v>CENT_AIR</v>
      </c>
      <c r="X1620" s="7" t="str">
        <f t="array" ref="X1620">INDEX(xlRTTYNAME,MATCH(1,(xlRTTYENDU=1)*(xlRTTYEQCL=$D1620)*(xlRTEQTYPE=$E1620),0))</f>
        <v>KERO_FA4</v>
      </c>
      <c r="Y1620" s="7" t="str">
        <f t="array" ref="Y1620">INDEX(xlRTTYNAME,MATCH(1,(xlRTTYENDU=2)*(xlRTTYEQCL=$F1620)*(xlRTEQTYPE=$G1620),0))</f>
        <v>CENT_AIR4</v>
      </c>
    </row>
    <row r="1621" spans="2:25" ht="14.25" customHeight="1" x14ac:dyDescent="0.2">
      <c r="B1621" s="5">
        <v>1</v>
      </c>
      <c r="C1621" s="5">
        <v>2</v>
      </c>
      <c r="D1621" s="5">
        <v>6</v>
      </c>
      <c r="E1621" s="5">
        <v>21</v>
      </c>
      <c r="F1621" s="5">
        <v>2</v>
      </c>
      <c r="G1621" s="31">
        <v>7</v>
      </c>
      <c r="H1621" s="31">
        <v>2020</v>
      </c>
      <c r="I1621" s="5">
        <v>2022</v>
      </c>
      <c r="J1621" s="142">
        <v>1.1042000000000001</v>
      </c>
      <c r="K1621" s="142">
        <v>1.0417000000000001</v>
      </c>
      <c r="L1621" s="142">
        <v>0.58399999999999996</v>
      </c>
      <c r="M1621" s="142">
        <v>1.1228</v>
      </c>
      <c r="N1621" s="142">
        <v>1.1127</v>
      </c>
      <c r="O1621" s="142">
        <v>1.0538000000000001</v>
      </c>
      <c r="P1621" s="26">
        <v>5076.9613441105121</v>
      </c>
      <c r="Q1621" s="35">
        <f t="array" ref="Q1621">SUM(IF(($S1621&gt;=4)*($C1621='TaxCred&amp;Subs'!$D$114:$D$121)*($H1621='TaxCred&amp;Subs'!$C$114:$C$121)*($H1621&lt;='TaxCred&amp;Subs'!$C$123),'TaxCred&amp;Subs'!$E$114:$E$121,0))</f>
        <v>0</v>
      </c>
      <c r="R1621" s="143">
        <v>0</v>
      </c>
      <c r="S1621" s="5">
        <v>5</v>
      </c>
      <c r="T1621" s="5" t="s">
        <v>221</v>
      </c>
      <c r="V1621" s="7" t="str">
        <f t="array" ref="V1621">INDEX(xlRTCLNAME,MATCH(1,(xlRTCLENDU=1)*(xlRTCLEQCL=$D1621),0))</f>
        <v>LPG_FA</v>
      </c>
      <c r="W1621" s="7" t="str">
        <f t="array" ref="W1621">INDEX(xlRTCLNAME,MATCH(1,(xlRTCLENDU=2)*(xlRTCLEQCL=$F1621),0))</f>
        <v>CENT_AIR</v>
      </c>
      <c r="X1621" s="7" t="str">
        <f t="array" ref="X1621">INDEX(xlRTTYNAME,MATCH(1,(xlRTTYENDU=1)*(xlRTTYEQCL=$D1621)*(xlRTEQTYPE=$E1621),0))</f>
        <v>LPG_FA4</v>
      </c>
      <c r="Y1621" s="7" t="str">
        <f t="array" ref="Y1621">INDEX(xlRTTYNAME,MATCH(1,(xlRTTYENDU=2)*(xlRTTYEQCL=$F1621)*(xlRTEQTYPE=$G1621),0))</f>
        <v>CENT_AIR4</v>
      </c>
    </row>
    <row r="1622" spans="2:25" ht="14.25" customHeight="1" x14ac:dyDescent="0.2">
      <c r="B1622" s="5">
        <v>1</v>
      </c>
      <c r="C1622" s="5">
        <v>2</v>
      </c>
      <c r="D1622" s="5">
        <v>6</v>
      </c>
      <c r="E1622" s="5">
        <v>21</v>
      </c>
      <c r="F1622" s="5">
        <v>2</v>
      </c>
      <c r="G1622" s="31">
        <v>7</v>
      </c>
      <c r="H1622" s="5">
        <v>2023</v>
      </c>
      <c r="I1622" s="5">
        <v>2032</v>
      </c>
      <c r="J1622" s="142">
        <v>1.1042000000000001</v>
      </c>
      <c r="K1622" s="142">
        <v>1.0417000000000001</v>
      </c>
      <c r="L1622" s="142">
        <v>0.58399999999999996</v>
      </c>
      <c r="M1622" s="142">
        <v>1.1228</v>
      </c>
      <c r="N1622" s="142">
        <v>1.1127</v>
      </c>
      <c r="O1622" s="142">
        <v>1.0538000000000001</v>
      </c>
      <c r="P1622" s="26">
        <v>5076.9613441105121</v>
      </c>
      <c r="Q1622" s="35">
        <f t="array" ref="Q1622">SUM(IF(($S1622&gt;=4)*($C1622='TaxCred&amp;Subs'!$D$114:$D$121)*($H1622='TaxCred&amp;Subs'!$C$114:$C$121)*($H1622&lt;='TaxCred&amp;Subs'!$C$123),'TaxCred&amp;Subs'!$E$114:$E$121,0))</f>
        <v>500</v>
      </c>
      <c r="R1622" s="143">
        <v>0</v>
      </c>
      <c r="S1622" s="5">
        <v>5</v>
      </c>
      <c r="T1622" s="5" t="s">
        <v>221</v>
      </c>
      <c r="V1622" s="7" t="str">
        <f t="array" ref="V1622">INDEX(xlRTCLNAME,MATCH(1,(xlRTCLENDU=1)*(xlRTCLEQCL=$D1622),0))</f>
        <v>LPG_FA</v>
      </c>
      <c r="W1622" s="7" t="str">
        <f t="array" ref="W1622">INDEX(xlRTCLNAME,MATCH(1,(xlRTCLENDU=2)*(xlRTCLEQCL=$F1622),0))</f>
        <v>CENT_AIR</v>
      </c>
      <c r="X1622" s="7" t="str">
        <f t="array" ref="X1622">INDEX(xlRTTYNAME,MATCH(1,(xlRTTYENDU=1)*(xlRTTYEQCL=$D1622)*(xlRTEQTYPE=$E1622),0))</f>
        <v>LPG_FA4</v>
      </c>
      <c r="Y1622" s="7" t="str">
        <f t="array" ref="Y1622">INDEX(xlRTTYNAME,MATCH(1,(xlRTTYENDU=2)*(xlRTTYEQCL=$F1622)*(xlRTEQTYPE=$G1622),0))</f>
        <v>CENT_AIR4</v>
      </c>
    </row>
    <row r="1623" spans="2:25" ht="14.25" customHeight="1" x14ac:dyDescent="0.2">
      <c r="B1623" s="5">
        <v>1</v>
      </c>
      <c r="C1623" s="5">
        <v>2</v>
      </c>
      <c r="D1623" s="5">
        <v>6</v>
      </c>
      <c r="E1623" s="5">
        <v>21</v>
      </c>
      <c r="F1623" s="5">
        <v>2</v>
      </c>
      <c r="G1623" s="31">
        <v>7</v>
      </c>
      <c r="H1623" s="5">
        <v>2033</v>
      </c>
      <c r="I1623" s="5">
        <v>2050</v>
      </c>
      <c r="J1623" s="142">
        <v>1.1042000000000001</v>
      </c>
      <c r="K1623" s="142">
        <v>1.0417000000000001</v>
      </c>
      <c r="L1623" s="142">
        <v>0.58399999999999996</v>
      </c>
      <c r="M1623" s="142">
        <v>1.1228</v>
      </c>
      <c r="N1623" s="142">
        <v>1.1127</v>
      </c>
      <c r="O1623" s="142">
        <v>1.0538000000000001</v>
      </c>
      <c r="P1623" s="26">
        <v>5076.9613441105121</v>
      </c>
      <c r="Q1623" s="35">
        <f t="array" ref="Q1623">SUM(IF(($S1623&gt;=4)*($C1623='TaxCred&amp;Subs'!$D$114:$D$121)*($H1623='TaxCred&amp;Subs'!$C$114:$C$121)*($H1623&lt;='TaxCred&amp;Subs'!$C$123),'TaxCred&amp;Subs'!$E$114:$E$121,0))</f>
        <v>0</v>
      </c>
      <c r="R1623" s="143">
        <v>0</v>
      </c>
      <c r="S1623" s="5">
        <v>5</v>
      </c>
      <c r="T1623" s="5" t="s">
        <v>221</v>
      </c>
      <c r="V1623" s="7" t="str">
        <f t="array" ref="V1623">INDEX(xlRTCLNAME,MATCH(1,(xlRTCLENDU=1)*(xlRTCLEQCL=$D1623),0))</f>
        <v>LPG_FA</v>
      </c>
      <c r="W1623" s="7" t="str">
        <f t="array" ref="W1623">INDEX(xlRTCLNAME,MATCH(1,(xlRTCLENDU=2)*(xlRTCLEQCL=$F1623),0))</f>
        <v>CENT_AIR</v>
      </c>
      <c r="X1623" s="7" t="str">
        <f t="array" ref="X1623">INDEX(xlRTTYNAME,MATCH(1,(xlRTTYENDU=1)*(xlRTTYEQCL=$D1623)*(xlRTEQTYPE=$E1623),0))</f>
        <v>LPG_FA4</v>
      </c>
      <c r="Y1623" s="7" t="str">
        <f t="array" ref="Y1623">INDEX(xlRTTYNAME,MATCH(1,(xlRTTYENDU=2)*(xlRTTYEQCL=$F1623)*(xlRTEQTYPE=$G1623),0))</f>
        <v>CENT_AIR4</v>
      </c>
    </row>
    <row r="1624" spans="2:25" ht="14.25" customHeight="1" x14ac:dyDescent="0.2">
      <c r="B1624" s="5">
        <v>2</v>
      </c>
      <c r="C1624" s="5">
        <v>2</v>
      </c>
      <c r="D1624" s="5">
        <v>6</v>
      </c>
      <c r="E1624" s="5">
        <v>21</v>
      </c>
      <c r="F1624" s="5">
        <v>2</v>
      </c>
      <c r="G1624" s="31">
        <v>7</v>
      </c>
      <c r="H1624" s="31">
        <v>2020</v>
      </c>
      <c r="I1624" s="5">
        <v>2022</v>
      </c>
      <c r="J1624" s="142">
        <v>1.0847</v>
      </c>
      <c r="K1624" s="142">
        <v>1.0357000000000001</v>
      </c>
      <c r="L1624" s="142">
        <v>0.56759999999999999</v>
      </c>
      <c r="M1624" s="142">
        <v>1.1416999999999999</v>
      </c>
      <c r="N1624" s="142">
        <v>1.1162000000000001</v>
      </c>
      <c r="O1624" s="142">
        <v>1.0538000000000001</v>
      </c>
      <c r="P1624" s="26">
        <v>4802.6763562401347</v>
      </c>
      <c r="Q1624" s="35">
        <f t="array" ref="Q1624">SUM(IF(($S1624&gt;=4)*($C1624='TaxCred&amp;Subs'!$D$114:$D$121)*($H1624='TaxCred&amp;Subs'!$C$114:$C$121)*($H1624&lt;='TaxCred&amp;Subs'!$C$123),'TaxCred&amp;Subs'!$E$114:$E$121,0))</f>
        <v>0</v>
      </c>
      <c r="R1624" s="143">
        <v>0</v>
      </c>
      <c r="S1624" s="5">
        <v>5</v>
      </c>
      <c r="T1624" s="5" t="s">
        <v>221</v>
      </c>
      <c r="V1624" s="7" t="str">
        <f t="array" ref="V1624">INDEX(xlRTCLNAME,MATCH(1,(xlRTCLENDU=1)*(xlRTCLEQCL=$D1624),0))</f>
        <v>LPG_FA</v>
      </c>
      <c r="W1624" s="7" t="str">
        <f t="array" ref="W1624">INDEX(xlRTCLNAME,MATCH(1,(xlRTCLENDU=2)*(xlRTCLEQCL=$F1624),0))</f>
        <v>CENT_AIR</v>
      </c>
      <c r="X1624" s="7" t="str">
        <f t="array" ref="X1624">INDEX(xlRTTYNAME,MATCH(1,(xlRTTYENDU=1)*(xlRTTYEQCL=$D1624)*(xlRTEQTYPE=$E1624),0))</f>
        <v>LPG_FA4</v>
      </c>
      <c r="Y1624" s="7" t="str">
        <f t="array" ref="Y1624">INDEX(xlRTTYNAME,MATCH(1,(xlRTTYENDU=2)*(xlRTTYEQCL=$F1624)*(xlRTEQTYPE=$G1624),0))</f>
        <v>CENT_AIR4</v>
      </c>
    </row>
    <row r="1625" spans="2:25" ht="14.25" customHeight="1" x14ac:dyDescent="0.2">
      <c r="B1625" s="5">
        <v>2</v>
      </c>
      <c r="C1625" s="5">
        <v>2</v>
      </c>
      <c r="D1625" s="5">
        <v>6</v>
      </c>
      <c r="E1625" s="5">
        <v>21</v>
      </c>
      <c r="F1625" s="5">
        <v>2</v>
      </c>
      <c r="G1625" s="31">
        <v>7</v>
      </c>
      <c r="H1625" s="5">
        <v>2023</v>
      </c>
      <c r="I1625" s="5">
        <v>2032</v>
      </c>
      <c r="J1625" s="142">
        <v>1.0847</v>
      </c>
      <c r="K1625" s="142">
        <v>1.0357000000000001</v>
      </c>
      <c r="L1625" s="142">
        <v>0.56759999999999999</v>
      </c>
      <c r="M1625" s="142">
        <v>1.1416999999999999</v>
      </c>
      <c r="N1625" s="142">
        <v>1.1162000000000001</v>
      </c>
      <c r="O1625" s="142">
        <v>1.0538000000000001</v>
      </c>
      <c r="P1625" s="26">
        <v>4802.6763562401347</v>
      </c>
      <c r="Q1625" s="35">
        <f t="array" ref="Q1625">SUM(IF(($S1625&gt;=4)*($C1625='TaxCred&amp;Subs'!$D$114:$D$121)*($H1625='TaxCred&amp;Subs'!$C$114:$C$121)*($H1625&lt;='TaxCred&amp;Subs'!$C$123),'TaxCred&amp;Subs'!$E$114:$E$121,0))</f>
        <v>500</v>
      </c>
      <c r="R1625" s="143">
        <v>0</v>
      </c>
      <c r="S1625" s="5">
        <v>5</v>
      </c>
      <c r="T1625" s="5" t="s">
        <v>221</v>
      </c>
      <c r="V1625" s="7" t="str">
        <f t="array" ref="V1625">INDEX(xlRTCLNAME,MATCH(1,(xlRTCLENDU=1)*(xlRTCLEQCL=$D1625),0))</f>
        <v>LPG_FA</v>
      </c>
      <c r="W1625" s="7" t="str">
        <f t="array" ref="W1625">INDEX(xlRTCLNAME,MATCH(1,(xlRTCLENDU=2)*(xlRTCLEQCL=$F1625),0))</f>
        <v>CENT_AIR</v>
      </c>
      <c r="X1625" s="7" t="str">
        <f t="array" ref="X1625">INDEX(xlRTTYNAME,MATCH(1,(xlRTTYENDU=1)*(xlRTTYEQCL=$D1625)*(xlRTEQTYPE=$E1625),0))</f>
        <v>LPG_FA4</v>
      </c>
      <c r="Y1625" s="7" t="str">
        <f t="array" ref="Y1625">INDEX(xlRTTYNAME,MATCH(1,(xlRTTYENDU=2)*(xlRTTYEQCL=$F1625)*(xlRTEQTYPE=$G1625),0))</f>
        <v>CENT_AIR4</v>
      </c>
    </row>
    <row r="1626" spans="2:25" ht="14.25" customHeight="1" x14ac:dyDescent="0.2">
      <c r="B1626" s="5">
        <v>2</v>
      </c>
      <c r="C1626" s="5">
        <v>2</v>
      </c>
      <c r="D1626" s="5">
        <v>6</v>
      </c>
      <c r="E1626" s="5">
        <v>21</v>
      </c>
      <c r="F1626" s="5">
        <v>2</v>
      </c>
      <c r="G1626" s="31">
        <v>7</v>
      </c>
      <c r="H1626" s="5">
        <v>2033</v>
      </c>
      <c r="I1626" s="5">
        <v>2050</v>
      </c>
      <c r="J1626" s="142">
        <v>1.0847</v>
      </c>
      <c r="K1626" s="142">
        <v>1.0357000000000001</v>
      </c>
      <c r="L1626" s="142">
        <v>0.56759999999999999</v>
      </c>
      <c r="M1626" s="142">
        <v>1.1416999999999999</v>
      </c>
      <c r="N1626" s="142">
        <v>1.1162000000000001</v>
      </c>
      <c r="O1626" s="142">
        <v>1.0538000000000001</v>
      </c>
      <c r="P1626" s="26">
        <v>4802.6763562401347</v>
      </c>
      <c r="Q1626" s="35">
        <f t="array" ref="Q1626">SUM(IF(($S1626&gt;=4)*($C1626='TaxCred&amp;Subs'!$D$114:$D$121)*($H1626='TaxCred&amp;Subs'!$C$114:$C$121)*($H1626&lt;='TaxCred&amp;Subs'!$C$123),'TaxCred&amp;Subs'!$E$114:$E$121,0))</f>
        <v>0</v>
      </c>
      <c r="R1626" s="143">
        <v>0</v>
      </c>
      <c r="S1626" s="5">
        <v>5</v>
      </c>
      <c r="T1626" s="5" t="s">
        <v>221</v>
      </c>
      <c r="V1626" s="7" t="str">
        <f t="array" ref="V1626">INDEX(xlRTCLNAME,MATCH(1,(xlRTCLENDU=1)*(xlRTCLEQCL=$D1626),0))</f>
        <v>LPG_FA</v>
      </c>
      <c r="W1626" s="7" t="str">
        <f t="array" ref="W1626">INDEX(xlRTCLNAME,MATCH(1,(xlRTCLENDU=2)*(xlRTCLEQCL=$F1626),0))</f>
        <v>CENT_AIR</v>
      </c>
      <c r="X1626" s="7" t="str">
        <f t="array" ref="X1626">INDEX(xlRTTYNAME,MATCH(1,(xlRTTYENDU=1)*(xlRTTYEQCL=$D1626)*(xlRTEQTYPE=$E1626),0))</f>
        <v>LPG_FA4</v>
      </c>
      <c r="Y1626" s="7" t="str">
        <f t="array" ref="Y1626">INDEX(xlRTTYNAME,MATCH(1,(xlRTTYENDU=2)*(xlRTTYEQCL=$F1626)*(xlRTEQTYPE=$G1626),0))</f>
        <v>CENT_AIR4</v>
      </c>
    </row>
    <row r="1627" spans="2:25" ht="14.25" customHeight="1" x14ac:dyDescent="0.2">
      <c r="B1627" s="5">
        <v>3</v>
      </c>
      <c r="C1627" s="5">
        <v>2</v>
      </c>
      <c r="D1627" s="5">
        <v>6</v>
      </c>
      <c r="E1627" s="5">
        <v>21</v>
      </c>
      <c r="F1627" s="5">
        <v>2</v>
      </c>
      <c r="G1627" s="31">
        <v>7</v>
      </c>
      <c r="H1627" s="31">
        <v>2020</v>
      </c>
      <c r="I1627" s="5">
        <v>2022</v>
      </c>
      <c r="J1627" s="142">
        <v>1.0984</v>
      </c>
      <c r="K1627" s="142">
        <v>1.0345</v>
      </c>
      <c r="L1627" s="142">
        <v>0.5595</v>
      </c>
      <c r="M1627" s="142">
        <v>1.0310999999999999</v>
      </c>
      <c r="N1627" s="142">
        <v>1.0399</v>
      </c>
      <c r="O1627" s="142">
        <v>1.0538000000000001</v>
      </c>
      <c r="P1627" s="26">
        <v>4310.5768191785755</v>
      </c>
      <c r="Q1627" s="35">
        <f t="array" ref="Q1627">SUM(IF(($S1627&gt;=4)*($C1627='TaxCred&amp;Subs'!$D$114:$D$121)*($H1627='TaxCred&amp;Subs'!$C$114:$C$121)*($H1627&lt;='TaxCred&amp;Subs'!$C$123),'TaxCred&amp;Subs'!$E$114:$E$121,0))</f>
        <v>0</v>
      </c>
      <c r="R1627" s="143">
        <v>0</v>
      </c>
      <c r="S1627" s="5">
        <v>5</v>
      </c>
      <c r="T1627" s="5" t="s">
        <v>221</v>
      </c>
      <c r="V1627" s="7" t="str">
        <f t="array" ref="V1627">INDEX(xlRTCLNAME,MATCH(1,(xlRTCLENDU=1)*(xlRTCLEQCL=$D1627),0))</f>
        <v>LPG_FA</v>
      </c>
      <c r="W1627" s="7" t="str">
        <f t="array" ref="W1627">INDEX(xlRTCLNAME,MATCH(1,(xlRTCLENDU=2)*(xlRTCLEQCL=$F1627),0))</f>
        <v>CENT_AIR</v>
      </c>
      <c r="X1627" s="7" t="str">
        <f t="array" ref="X1627">INDEX(xlRTTYNAME,MATCH(1,(xlRTTYENDU=1)*(xlRTTYEQCL=$D1627)*(xlRTEQTYPE=$E1627),0))</f>
        <v>LPG_FA4</v>
      </c>
      <c r="Y1627" s="7" t="str">
        <f t="array" ref="Y1627">INDEX(xlRTTYNAME,MATCH(1,(xlRTTYENDU=2)*(xlRTTYEQCL=$F1627)*(xlRTEQTYPE=$G1627),0))</f>
        <v>CENT_AIR4</v>
      </c>
    </row>
    <row r="1628" spans="2:25" ht="14.25" customHeight="1" x14ac:dyDescent="0.2">
      <c r="B1628" s="5">
        <v>3</v>
      </c>
      <c r="C1628" s="5">
        <v>2</v>
      </c>
      <c r="D1628" s="5">
        <v>6</v>
      </c>
      <c r="E1628" s="5">
        <v>21</v>
      </c>
      <c r="F1628" s="5">
        <v>2</v>
      </c>
      <c r="G1628" s="31">
        <v>7</v>
      </c>
      <c r="H1628" s="5">
        <v>2023</v>
      </c>
      <c r="I1628" s="5">
        <v>2032</v>
      </c>
      <c r="J1628" s="142">
        <v>1.0984</v>
      </c>
      <c r="K1628" s="142">
        <v>1.0345</v>
      </c>
      <c r="L1628" s="142">
        <v>0.5595</v>
      </c>
      <c r="M1628" s="142">
        <v>1.0310999999999999</v>
      </c>
      <c r="N1628" s="142">
        <v>1.0399</v>
      </c>
      <c r="O1628" s="142">
        <v>1.0538000000000001</v>
      </c>
      <c r="P1628" s="26">
        <v>4310.5768191785755</v>
      </c>
      <c r="Q1628" s="35">
        <f t="array" ref="Q1628">SUM(IF(($S1628&gt;=4)*($C1628='TaxCred&amp;Subs'!$D$114:$D$121)*($H1628='TaxCred&amp;Subs'!$C$114:$C$121)*($H1628&lt;='TaxCred&amp;Subs'!$C$123),'TaxCred&amp;Subs'!$E$114:$E$121,0))</f>
        <v>500</v>
      </c>
      <c r="R1628" s="143">
        <v>0</v>
      </c>
      <c r="S1628" s="5">
        <v>5</v>
      </c>
      <c r="T1628" s="5" t="s">
        <v>221</v>
      </c>
      <c r="V1628" s="7" t="str">
        <f t="array" ref="V1628">INDEX(xlRTCLNAME,MATCH(1,(xlRTCLENDU=1)*(xlRTCLEQCL=$D1628),0))</f>
        <v>LPG_FA</v>
      </c>
      <c r="W1628" s="7" t="str">
        <f t="array" ref="W1628">INDEX(xlRTCLNAME,MATCH(1,(xlRTCLENDU=2)*(xlRTCLEQCL=$F1628),0))</f>
        <v>CENT_AIR</v>
      </c>
      <c r="X1628" s="7" t="str">
        <f t="array" ref="X1628">INDEX(xlRTTYNAME,MATCH(1,(xlRTTYENDU=1)*(xlRTTYEQCL=$D1628)*(xlRTEQTYPE=$E1628),0))</f>
        <v>LPG_FA4</v>
      </c>
      <c r="Y1628" s="7" t="str">
        <f t="array" ref="Y1628">INDEX(xlRTTYNAME,MATCH(1,(xlRTTYENDU=2)*(xlRTTYEQCL=$F1628)*(xlRTEQTYPE=$G1628),0))</f>
        <v>CENT_AIR4</v>
      </c>
    </row>
    <row r="1629" spans="2:25" ht="14.25" customHeight="1" x14ac:dyDescent="0.2">
      <c r="B1629" s="5">
        <v>3</v>
      </c>
      <c r="C1629" s="5">
        <v>2</v>
      </c>
      <c r="D1629" s="5">
        <v>6</v>
      </c>
      <c r="E1629" s="5">
        <v>21</v>
      </c>
      <c r="F1629" s="5">
        <v>2</v>
      </c>
      <c r="G1629" s="31">
        <v>7</v>
      </c>
      <c r="H1629" s="5">
        <v>2033</v>
      </c>
      <c r="I1629" s="5">
        <v>2050</v>
      </c>
      <c r="J1629" s="142">
        <v>1.0984</v>
      </c>
      <c r="K1629" s="142">
        <v>1.0345</v>
      </c>
      <c r="L1629" s="142">
        <v>0.5595</v>
      </c>
      <c r="M1629" s="142">
        <v>1.0310999999999999</v>
      </c>
      <c r="N1629" s="142">
        <v>1.0399</v>
      </c>
      <c r="O1629" s="142">
        <v>1.0538000000000001</v>
      </c>
      <c r="P1629" s="26">
        <v>4310.5768191785755</v>
      </c>
      <c r="Q1629" s="35">
        <f t="array" ref="Q1629">SUM(IF(($S1629&gt;=4)*($C1629='TaxCred&amp;Subs'!$D$114:$D$121)*($H1629='TaxCred&amp;Subs'!$C$114:$C$121)*($H1629&lt;='TaxCred&amp;Subs'!$C$123),'TaxCred&amp;Subs'!$E$114:$E$121,0))</f>
        <v>0</v>
      </c>
      <c r="R1629" s="143">
        <v>0</v>
      </c>
      <c r="S1629" s="5">
        <v>5</v>
      </c>
      <c r="T1629" s="5" t="s">
        <v>221</v>
      </c>
      <c r="V1629" s="7" t="str">
        <f t="array" ref="V1629">INDEX(xlRTCLNAME,MATCH(1,(xlRTCLENDU=1)*(xlRTCLEQCL=$D1629),0))</f>
        <v>LPG_FA</v>
      </c>
      <c r="W1629" s="7" t="str">
        <f t="array" ref="W1629">INDEX(xlRTCLNAME,MATCH(1,(xlRTCLENDU=2)*(xlRTCLEQCL=$F1629),0))</f>
        <v>CENT_AIR</v>
      </c>
      <c r="X1629" s="7" t="str">
        <f t="array" ref="X1629">INDEX(xlRTTYNAME,MATCH(1,(xlRTTYENDU=1)*(xlRTTYEQCL=$D1629)*(xlRTEQTYPE=$E1629),0))</f>
        <v>LPG_FA4</v>
      </c>
      <c r="Y1629" s="7" t="str">
        <f t="array" ref="Y1629">INDEX(xlRTTYNAME,MATCH(1,(xlRTTYENDU=2)*(xlRTTYEQCL=$F1629)*(xlRTEQTYPE=$G1629),0))</f>
        <v>CENT_AIR4</v>
      </c>
    </row>
    <row r="1630" spans="2:25" ht="14.25" customHeight="1" x14ac:dyDescent="0.2">
      <c r="B1630" s="5">
        <v>4</v>
      </c>
      <c r="C1630" s="5">
        <v>2</v>
      </c>
      <c r="D1630" s="5">
        <v>6</v>
      </c>
      <c r="E1630" s="5">
        <v>21</v>
      </c>
      <c r="F1630" s="5">
        <v>2</v>
      </c>
      <c r="G1630" s="31">
        <v>7</v>
      </c>
      <c r="H1630" s="31">
        <v>2020</v>
      </c>
      <c r="I1630" s="5">
        <v>2022</v>
      </c>
      <c r="J1630" s="142">
        <v>1.1000000000000001</v>
      </c>
      <c r="K1630" s="142">
        <v>1.0435000000000001</v>
      </c>
      <c r="L1630" s="142">
        <v>0.626</v>
      </c>
      <c r="M1630" s="142">
        <v>1.1499999999999999</v>
      </c>
      <c r="N1630" s="142">
        <v>1.1696</v>
      </c>
      <c r="O1630" s="142">
        <v>1.0538000000000001</v>
      </c>
      <c r="P1630" s="26">
        <v>3733.7716240982236</v>
      </c>
      <c r="Q1630" s="35">
        <f t="array" ref="Q1630">SUM(IF(($S1630&gt;=4)*($C1630='TaxCred&amp;Subs'!$D$114:$D$121)*($H1630='TaxCred&amp;Subs'!$C$114:$C$121)*($H1630&lt;='TaxCred&amp;Subs'!$C$123),'TaxCred&amp;Subs'!$E$114:$E$121,0))</f>
        <v>0</v>
      </c>
      <c r="R1630" s="143">
        <v>0</v>
      </c>
      <c r="S1630" s="5">
        <v>5</v>
      </c>
      <c r="T1630" s="5" t="s">
        <v>221</v>
      </c>
      <c r="V1630" s="7" t="str">
        <f t="array" ref="V1630">INDEX(xlRTCLNAME,MATCH(1,(xlRTCLENDU=1)*(xlRTCLEQCL=$D1630),0))</f>
        <v>LPG_FA</v>
      </c>
      <c r="W1630" s="7" t="str">
        <f t="array" ref="W1630">INDEX(xlRTCLNAME,MATCH(1,(xlRTCLENDU=2)*(xlRTCLEQCL=$F1630),0))</f>
        <v>CENT_AIR</v>
      </c>
      <c r="X1630" s="7" t="str">
        <f t="array" ref="X1630">INDEX(xlRTTYNAME,MATCH(1,(xlRTTYENDU=1)*(xlRTTYEQCL=$D1630)*(xlRTEQTYPE=$E1630),0))</f>
        <v>LPG_FA4</v>
      </c>
      <c r="Y1630" s="7" t="str">
        <f t="array" ref="Y1630">INDEX(xlRTTYNAME,MATCH(1,(xlRTTYENDU=2)*(xlRTTYEQCL=$F1630)*(xlRTEQTYPE=$G1630),0))</f>
        <v>CENT_AIR4</v>
      </c>
    </row>
    <row r="1631" spans="2:25" ht="14.25" customHeight="1" x14ac:dyDescent="0.2">
      <c r="B1631" s="5">
        <v>4</v>
      </c>
      <c r="C1631" s="5">
        <v>2</v>
      </c>
      <c r="D1631" s="5">
        <v>6</v>
      </c>
      <c r="E1631" s="5">
        <v>21</v>
      </c>
      <c r="F1631" s="5">
        <v>2</v>
      </c>
      <c r="G1631" s="31">
        <v>7</v>
      </c>
      <c r="H1631" s="5">
        <v>2023</v>
      </c>
      <c r="I1631" s="5">
        <v>2032</v>
      </c>
      <c r="J1631" s="142">
        <v>1.1000000000000001</v>
      </c>
      <c r="K1631" s="142">
        <v>1.0435000000000001</v>
      </c>
      <c r="L1631" s="142">
        <v>0.626</v>
      </c>
      <c r="M1631" s="142">
        <v>1.1499999999999999</v>
      </c>
      <c r="N1631" s="142">
        <v>1.1696</v>
      </c>
      <c r="O1631" s="142">
        <v>1.0538000000000001</v>
      </c>
      <c r="P1631" s="26">
        <v>3733.7716240982236</v>
      </c>
      <c r="Q1631" s="35">
        <f t="array" ref="Q1631">SUM(IF(($S1631&gt;=4)*($C1631='TaxCred&amp;Subs'!$D$114:$D$121)*($H1631='TaxCred&amp;Subs'!$C$114:$C$121)*($H1631&lt;='TaxCred&amp;Subs'!$C$123),'TaxCred&amp;Subs'!$E$114:$E$121,0))</f>
        <v>500</v>
      </c>
      <c r="R1631" s="143">
        <v>0</v>
      </c>
      <c r="S1631" s="5">
        <v>5</v>
      </c>
      <c r="T1631" s="5" t="s">
        <v>221</v>
      </c>
      <c r="V1631" s="7" t="str">
        <f t="array" ref="V1631">INDEX(xlRTCLNAME,MATCH(1,(xlRTCLENDU=1)*(xlRTCLEQCL=$D1631),0))</f>
        <v>LPG_FA</v>
      </c>
      <c r="W1631" s="7" t="str">
        <f t="array" ref="W1631">INDEX(xlRTCLNAME,MATCH(1,(xlRTCLENDU=2)*(xlRTCLEQCL=$F1631),0))</f>
        <v>CENT_AIR</v>
      </c>
      <c r="X1631" s="7" t="str">
        <f t="array" ref="X1631">INDEX(xlRTTYNAME,MATCH(1,(xlRTTYENDU=1)*(xlRTTYEQCL=$D1631)*(xlRTEQTYPE=$E1631),0))</f>
        <v>LPG_FA4</v>
      </c>
      <c r="Y1631" s="7" t="str">
        <f t="array" ref="Y1631">INDEX(xlRTTYNAME,MATCH(1,(xlRTTYENDU=2)*(xlRTTYEQCL=$F1631)*(xlRTEQTYPE=$G1631),0))</f>
        <v>CENT_AIR4</v>
      </c>
    </row>
    <row r="1632" spans="2:25" ht="14.25" customHeight="1" x14ac:dyDescent="0.2">
      <c r="B1632" s="5">
        <v>4</v>
      </c>
      <c r="C1632" s="5">
        <v>2</v>
      </c>
      <c r="D1632" s="5">
        <v>6</v>
      </c>
      <c r="E1632" s="5">
        <v>21</v>
      </c>
      <c r="F1632" s="5">
        <v>2</v>
      </c>
      <c r="G1632" s="31">
        <v>7</v>
      </c>
      <c r="H1632" s="5">
        <v>2033</v>
      </c>
      <c r="I1632" s="5">
        <v>2050</v>
      </c>
      <c r="J1632" s="142">
        <v>1.1000000000000001</v>
      </c>
      <c r="K1632" s="142">
        <v>1.0435000000000001</v>
      </c>
      <c r="L1632" s="142">
        <v>0.626</v>
      </c>
      <c r="M1632" s="142">
        <v>1.1499999999999999</v>
      </c>
      <c r="N1632" s="142">
        <v>1.1696</v>
      </c>
      <c r="O1632" s="142">
        <v>1.0538000000000001</v>
      </c>
      <c r="P1632" s="26">
        <v>3733.7716240982236</v>
      </c>
      <c r="Q1632" s="35">
        <f t="array" ref="Q1632">SUM(IF(($S1632&gt;=4)*($C1632='TaxCred&amp;Subs'!$D$114:$D$121)*($H1632='TaxCred&amp;Subs'!$C$114:$C$121)*($H1632&lt;='TaxCred&amp;Subs'!$C$123),'TaxCred&amp;Subs'!$E$114:$E$121,0))</f>
        <v>0</v>
      </c>
      <c r="R1632" s="143">
        <v>0</v>
      </c>
      <c r="S1632" s="5">
        <v>5</v>
      </c>
      <c r="T1632" s="5" t="s">
        <v>221</v>
      </c>
      <c r="V1632" s="7" t="str">
        <f t="array" ref="V1632">INDEX(xlRTCLNAME,MATCH(1,(xlRTCLENDU=1)*(xlRTCLEQCL=$D1632),0))</f>
        <v>LPG_FA</v>
      </c>
      <c r="W1632" s="7" t="str">
        <f t="array" ref="W1632">INDEX(xlRTCLNAME,MATCH(1,(xlRTCLENDU=2)*(xlRTCLEQCL=$F1632),0))</f>
        <v>CENT_AIR</v>
      </c>
      <c r="X1632" s="7" t="str">
        <f t="array" ref="X1632">INDEX(xlRTTYNAME,MATCH(1,(xlRTTYENDU=1)*(xlRTTYEQCL=$D1632)*(xlRTEQTYPE=$E1632),0))</f>
        <v>LPG_FA4</v>
      </c>
      <c r="Y1632" s="7" t="str">
        <f t="array" ref="Y1632">INDEX(xlRTTYNAME,MATCH(1,(xlRTTYENDU=2)*(xlRTTYEQCL=$F1632)*(xlRTEQTYPE=$G1632),0))</f>
        <v>CENT_AIR4</v>
      </c>
    </row>
    <row r="1633" spans="2:25" ht="14.25" customHeight="1" x14ac:dyDescent="0.2">
      <c r="B1633" s="5">
        <v>5</v>
      </c>
      <c r="C1633" s="5">
        <v>2</v>
      </c>
      <c r="D1633" s="5">
        <v>6</v>
      </c>
      <c r="E1633" s="5">
        <v>21</v>
      </c>
      <c r="F1633" s="5">
        <v>2</v>
      </c>
      <c r="G1633" s="31">
        <v>7</v>
      </c>
      <c r="H1633" s="31">
        <v>2020</v>
      </c>
      <c r="I1633" s="5">
        <v>2022</v>
      </c>
      <c r="J1633" s="142">
        <v>1.1200000000000001</v>
      </c>
      <c r="K1633" s="142">
        <v>1.0391999999999999</v>
      </c>
      <c r="L1633" s="142">
        <v>0.44379999999999997</v>
      </c>
      <c r="M1633" s="142">
        <v>1.0314000000000001</v>
      </c>
      <c r="N1633" s="142">
        <v>1.2750999999999999</v>
      </c>
      <c r="O1633" s="142">
        <v>1.0538000000000001</v>
      </c>
      <c r="P1633" s="26">
        <v>3228.2267444939989</v>
      </c>
      <c r="Q1633" s="35">
        <f t="array" ref="Q1633">SUM(IF(($S1633&gt;=4)*($C1633='TaxCred&amp;Subs'!$D$114:$D$121)*($H1633='TaxCred&amp;Subs'!$C$114:$C$121)*($H1633&lt;='TaxCred&amp;Subs'!$C$123),'TaxCred&amp;Subs'!$E$114:$E$121,0))</f>
        <v>0</v>
      </c>
      <c r="R1633" s="143">
        <v>0</v>
      </c>
      <c r="S1633" s="5">
        <v>5</v>
      </c>
      <c r="T1633" s="5" t="s">
        <v>221</v>
      </c>
      <c r="V1633" s="7" t="str">
        <f t="array" ref="V1633">INDEX(xlRTCLNAME,MATCH(1,(xlRTCLENDU=1)*(xlRTCLEQCL=$D1633),0))</f>
        <v>LPG_FA</v>
      </c>
      <c r="W1633" s="7" t="str">
        <f t="array" ref="W1633">INDEX(xlRTCLNAME,MATCH(1,(xlRTCLENDU=2)*(xlRTCLEQCL=$F1633),0))</f>
        <v>CENT_AIR</v>
      </c>
      <c r="X1633" s="7" t="str">
        <f t="array" ref="X1633">INDEX(xlRTTYNAME,MATCH(1,(xlRTTYENDU=1)*(xlRTTYEQCL=$D1633)*(xlRTEQTYPE=$E1633),0))</f>
        <v>LPG_FA4</v>
      </c>
      <c r="Y1633" s="7" t="str">
        <f t="array" ref="Y1633">INDEX(xlRTTYNAME,MATCH(1,(xlRTTYENDU=2)*(xlRTTYEQCL=$F1633)*(xlRTEQTYPE=$G1633),0))</f>
        <v>CENT_AIR4</v>
      </c>
    </row>
    <row r="1634" spans="2:25" ht="14.25" customHeight="1" x14ac:dyDescent="0.2">
      <c r="B1634" s="5">
        <v>5</v>
      </c>
      <c r="C1634" s="5">
        <v>2</v>
      </c>
      <c r="D1634" s="5">
        <v>6</v>
      </c>
      <c r="E1634" s="5">
        <v>21</v>
      </c>
      <c r="F1634" s="5">
        <v>2</v>
      </c>
      <c r="G1634" s="31">
        <v>7</v>
      </c>
      <c r="H1634" s="5">
        <v>2023</v>
      </c>
      <c r="I1634" s="5">
        <v>2032</v>
      </c>
      <c r="J1634" s="142">
        <v>1.1200000000000001</v>
      </c>
      <c r="K1634" s="142">
        <v>1.0391999999999999</v>
      </c>
      <c r="L1634" s="142">
        <v>0.44379999999999997</v>
      </c>
      <c r="M1634" s="142">
        <v>1.0314000000000001</v>
      </c>
      <c r="N1634" s="142">
        <v>1.2750999999999999</v>
      </c>
      <c r="O1634" s="142">
        <v>1.0538000000000001</v>
      </c>
      <c r="P1634" s="26">
        <v>3228.2267444939989</v>
      </c>
      <c r="Q1634" s="35">
        <f t="array" ref="Q1634">SUM(IF(($S1634&gt;=4)*($C1634='TaxCred&amp;Subs'!$D$114:$D$121)*($H1634='TaxCred&amp;Subs'!$C$114:$C$121)*($H1634&lt;='TaxCred&amp;Subs'!$C$123),'TaxCred&amp;Subs'!$E$114:$E$121,0))</f>
        <v>500</v>
      </c>
      <c r="R1634" s="143">
        <v>0</v>
      </c>
      <c r="S1634" s="5">
        <v>5</v>
      </c>
      <c r="T1634" s="5" t="s">
        <v>221</v>
      </c>
      <c r="V1634" s="7" t="str">
        <f t="array" ref="V1634">INDEX(xlRTCLNAME,MATCH(1,(xlRTCLENDU=1)*(xlRTCLEQCL=$D1634),0))</f>
        <v>LPG_FA</v>
      </c>
      <c r="W1634" s="7" t="str">
        <f t="array" ref="W1634">INDEX(xlRTCLNAME,MATCH(1,(xlRTCLENDU=2)*(xlRTCLEQCL=$F1634),0))</f>
        <v>CENT_AIR</v>
      </c>
      <c r="X1634" s="7" t="str">
        <f t="array" ref="X1634">INDEX(xlRTTYNAME,MATCH(1,(xlRTTYENDU=1)*(xlRTTYEQCL=$D1634)*(xlRTEQTYPE=$E1634),0))</f>
        <v>LPG_FA4</v>
      </c>
      <c r="Y1634" s="7" t="str">
        <f t="array" ref="Y1634">INDEX(xlRTTYNAME,MATCH(1,(xlRTTYENDU=2)*(xlRTTYEQCL=$F1634)*(xlRTEQTYPE=$G1634),0))</f>
        <v>CENT_AIR4</v>
      </c>
    </row>
    <row r="1635" spans="2:25" ht="14.25" customHeight="1" x14ac:dyDescent="0.2">
      <c r="B1635" s="5">
        <v>5</v>
      </c>
      <c r="C1635" s="5">
        <v>2</v>
      </c>
      <c r="D1635" s="5">
        <v>6</v>
      </c>
      <c r="E1635" s="5">
        <v>21</v>
      </c>
      <c r="F1635" s="5">
        <v>2</v>
      </c>
      <c r="G1635" s="31">
        <v>7</v>
      </c>
      <c r="H1635" s="5">
        <v>2033</v>
      </c>
      <c r="I1635" s="5">
        <v>2050</v>
      </c>
      <c r="J1635" s="142">
        <v>1.1200000000000001</v>
      </c>
      <c r="K1635" s="142">
        <v>1.0391999999999999</v>
      </c>
      <c r="L1635" s="142">
        <v>0.44379999999999997</v>
      </c>
      <c r="M1635" s="142">
        <v>1.0314000000000001</v>
      </c>
      <c r="N1635" s="142">
        <v>1.2750999999999999</v>
      </c>
      <c r="O1635" s="142">
        <v>1.0538000000000001</v>
      </c>
      <c r="P1635" s="26">
        <v>3228.2267444939989</v>
      </c>
      <c r="Q1635" s="35">
        <f t="array" ref="Q1635">SUM(IF(($S1635&gt;=4)*($C1635='TaxCred&amp;Subs'!$D$114:$D$121)*($H1635='TaxCred&amp;Subs'!$C$114:$C$121)*($H1635&lt;='TaxCred&amp;Subs'!$C$123),'TaxCred&amp;Subs'!$E$114:$E$121,0))</f>
        <v>0</v>
      </c>
      <c r="R1635" s="143">
        <v>0</v>
      </c>
      <c r="S1635" s="5">
        <v>5</v>
      </c>
      <c r="T1635" s="5" t="s">
        <v>221</v>
      </c>
      <c r="V1635" s="7" t="str">
        <f t="array" ref="V1635">INDEX(xlRTCLNAME,MATCH(1,(xlRTCLENDU=1)*(xlRTCLEQCL=$D1635),0))</f>
        <v>LPG_FA</v>
      </c>
      <c r="W1635" s="7" t="str">
        <f t="array" ref="W1635">INDEX(xlRTCLNAME,MATCH(1,(xlRTCLENDU=2)*(xlRTCLEQCL=$F1635),0))</f>
        <v>CENT_AIR</v>
      </c>
      <c r="X1635" s="7" t="str">
        <f t="array" ref="X1635">INDEX(xlRTTYNAME,MATCH(1,(xlRTTYENDU=1)*(xlRTTYEQCL=$D1635)*(xlRTEQTYPE=$E1635),0))</f>
        <v>LPG_FA4</v>
      </c>
      <c r="Y1635" s="7" t="str">
        <f t="array" ref="Y1635">INDEX(xlRTTYNAME,MATCH(1,(xlRTTYENDU=2)*(xlRTTYEQCL=$F1635)*(xlRTEQTYPE=$G1635),0))</f>
        <v>CENT_AIR4</v>
      </c>
    </row>
    <row r="1636" spans="2:25" ht="14.25" customHeight="1" x14ac:dyDescent="0.2">
      <c r="B1636" s="5">
        <v>6</v>
      </c>
      <c r="C1636" s="5">
        <v>2</v>
      </c>
      <c r="D1636" s="5">
        <v>6</v>
      </c>
      <c r="E1636" s="5">
        <v>21</v>
      </c>
      <c r="F1636" s="5">
        <v>2</v>
      </c>
      <c r="G1636" s="31">
        <v>7</v>
      </c>
      <c r="H1636" s="31">
        <v>2020</v>
      </c>
      <c r="I1636" s="5">
        <v>2022</v>
      </c>
      <c r="J1636" s="142">
        <v>1.1200000000000001</v>
      </c>
      <c r="K1636" s="142">
        <v>1.03</v>
      </c>
      <c r="L1636" s="142">
        <v>0.44379999999999997</v>
      </c>
      <c r="M1636" s="142">
        <v>1.0546</v>
      </c>
      <c r="N1636" s="142">
        <v>1.3324</v>
      </c>
      <c r="O1636" s="142">
        <v>1.0538000000000001</v>
      </c>
      <c r="P1636" s="26">
        <v>3572.4275135862376</v>
      </c>
      <c r="Q1636" s="35">
        <f t="array" ref="Q1636">SUM(IF(($S1636&gt;=4)*($C1636='TaxCred&amp;Subs'!$D$114:$D$121)*($H1636='TaxCred&amp;Subs'!$C$114:$C$121)*($H1636&lt;='TaxCred&amp;Subs'!$C$123),'TaxCred&amp;Subs'!$E$114:$E$121,0))</f>
        <v>0</v>
      </c>
      <c r="R1636" s="143">
        <v>0</v>
      </c>
      <c r="S1636" s="5">
        <v>5</v>
      </c>
      <c r="T1636" s="5" t="s">
        <v>221</v>
      </c>
      <c r="V1636" s="7" t="str">
        <f t="array" ref="V1636">INDEX(xlRTCLNAME,MATCH(1,(xlRTCLENDU=1)*(xlRTCLEQCL=$D1636),0))</f>
        <v>LPG_FA</v>
      </c>
      <c r="W1636" s="7" t="str">
        <f t="array" ref="W1636">INDEX(xlRTCLNAME,MATCH(1,(xlRTCLENDU=2)*(xlRTCLEQCL=$F1636),0))</f>
        <v>CENT_AIR</v>
      </c>
      <c r="X1636" s="7" t="str">
        <f t="array" ref="X1636">INDEX(xlRTTYNAME,MATCH(1,(xlRTTYENDU=1)*(xlRTTYEQCL=$D1636)*(xlRTEQTYPE=$E1636),0))</f>
        <v>LPG_FA4</v>
      </c>
      <c r="Y1636" s="7" t="str">
        <f t="array" ref="Y1636">INDEX(xlRTTYNAME,MATCH(1,(xlRTTYENDU=2)*(xlRTTYEQCL=$F1636)*(xlRTEQTYPE=$G1636),0))</f>
        <v>CENT_AIR4</v>
      </c>
    </row>
    <row r="1637" spans="2:25" ht="14.25" customHeight="1" x14ac:dyDescent="0.2">
      <c r="B1637" s="5">
        <v>6</v>
      </c>
      <c r="C1637" s="5">
        <v>2</v>
      </c>
      <c r="D1637" s="5">
        <v>6</v>
      </c>
      <c r="E1637" s="5">
        <v>21</v>
      </c>
      <c r="F1637" s="5">
        <v>2</v>
      </c>
      <c r="G1637" s="31">
        <v>7</v>
      </c>
      <c r="H1637" s="5">
        <v>2023</v>
      </c>
      <c r="I1637" s="5">
        <v>2032</v>
      </c>
      <c r="J1637" s="142">
        <v>1.1200000000000001</v>
      </c>
      <c r="K1637" s="142">
        <v>1.03</v>
      </c>
      <c r="L1637" s="142">
        <v>0.44379999999999997</v>
      </c>
      <c r="M1637" s="142">
        <v>1.0546</v>
      </c>
      <c r="N1637" s="142">
        <v>1.3324</v>
      </c>
      <c r="O1637" s="142">
        <v>1.0538000000000001</v>
      </c>
      <c r="P1637" s="26">
        <v>3572.4275135862376</v>
      </c>
      <c r="Q1637" s="35">
        <f t="array" ref="Q1637">SUM(IF(($S1637&gt;=4)*($C1637='TaxCred&amp;Subs'!$D$114:$D$121)*($H1637='TaxCred&amp;Subs'!$C$114:$C$121)*($H1637&lt;='TaxCred&amp;Subs'!$C$123),'TaxCred&amp;Subs'!$E$114:$E$121,0))</f>
        <v>500</v>
      </c>
      <c r="R1637" s="143">
        <v>0</v>
      </c>
      <c r="S1637" s="5">
        <v>5</v>
      </c>
      <c r="T1637" s="5" t="s">
        <v>221</v>
      </c>
      <c r="V1637" s="7" t="str">
        <f t="array" ref="V1637">INDEX(xlRTCLNAME,MATCH(1,(xlRTCLENDU=1)*(xlRTCLEQCL=$D1637),0))</f>
        <v>LPG_FA</v>
      </c>
      <c r="W1637" s="7" t="str">
        <f t="array" ref="W1637">INDEX(xlRTCLNAME,MATCH(1,(xlRTCLENDU=2)*(xlRTCLEQCL=$F1637),0))</f>
        <v>CENT_AIR</v>
      </c>
      <c r="X1637" s="7" t="str">
        <f t="array" ref="X1637">INDEX(xlRTTYNAME,MATCH(1,(xlRTTYENDU=1)*(xlRTTYEQCL=$D1637)*(xlRTEQTYPE=$E1637),0))</f>
        <v>LPG_FA4</v>
      </c>
      <c r="Y1637" s="7" t="str">
        <f t="array" ref="Y1637">INDEX(xlRTTYNAME,MATCH(1,(xlRTTYENDU=2)*(xlRTTYEQCL=$F1637)*(xlRTEQTYPE=$G1637),0))</f>
        <v>CENT_AIR4</v>
      </c>
    </row>
    <row r="1638" spans="2:25" ht="14.25" customHeight="1" x14ac:dyDescent="0.2">
      <c r="B1638" s="5">
        <v>6</v>
      </c>
      <c r="C1638" s="5">
        <v>2</v>
      </c>
      <c r="D1638" s="5">
        <v>6</v>
      </c>
      <c r="E1638" s="5">
        <v>21</v>
      </c>
      <c r="F1638" s="5">
        <v>2</v>
      </c>
      <c r="G1638" s="31">
        <v>7</v>
      </c>
      <c r="H1638" s="5">
        <v>2033</v>
      </c>
      <c r="I1638" s="5">
        <v>2050</v>
      </c>
      <c r="J1638" s="142">
        <v>1.1200000000000001</v>
      </c>
      <c r="K1638" s="142">
        <v>1.03</v>
      </c>
      <c r="L1638" s="142">
        <v>0.44379999999999997</v>
      </c>
      <c r="M1638" s="142">
        <v>1.0546</v>
      </c>
      <c r="N1638" s="142">
        <v>1.3324</v>
      </c>
      <c r="O1638" s="142">
        <v>1.0538000000000001</v>
      </c>
      <c r="P1638" s="26">
        <v>3572.4275135862376</v>
      </c>
      <c r="Q1638" s="35">
        <f t="array" ref="Q1638">SUM(IF(($S1638&gt;=4)*($C1638='TaxCred&amp;Subs'!$D$114:$D$121)*($H1638='TaxCred&amp;Subs'!$C$114:$C$121)*($H1638&lt;='TaxCred&amp;Subs'!$C$123),'TaxCred&amp;Subs'!$E$114:$E$121,0))</f>
        <v>0</v>
      </c>
      <c r="R1638" s="143">
        <v>0</v>
      </c>
      <c r="S1638" s="5">
        <v>5</v>
      </c>
      <c r="T1638" s="5" t="s">
        <v>221</v>
      </c>
      <c r="V1638" s="7" t="str">
        <f t="array" ref="V1638">INDEX(xlRTCLNAME,MATCH(1,(xlRTCLENDU=1)*(xlRTCLEQCL=$D1638),0))</f>
        <v>LPG_FA</v>
      </c>
      <c r="W1638" s="7" t="str">
        <f t="array" ref="W1638">INDEX(xlRTCLNAME,MATCH(1,(xlRTCLENDU=2)*(xlRTCLEQCL=$F1638),0))</f>
        <v>CENT_AIR</v>
      </c>
      <c r="X1638" s="7" t="str">
        <f t="array" ref="X1638">INDEX(xlRTTYNAME,MATCH(1,(xlRTTYENDU=1)*(xlRTTYEQCL=$D1638)*(xlRTEQTYPE=$E1638),0))</f>
        <v>LPG_FA4</v>
      </c>
      <c r="Y1638" s="7" t="str">
        <f t="array" ref="Y1638">INDEX(xlRTTYNAME,MATCH(1,(xlRTTYENDU=2)*(xlRTTYEQCL=$F1638)*(xlRTEQTYPE=$G1638),0))</f>
        <v>CENT_AIR4</v>
      </c>
    </row>
    <row r="1639" spans="2:25" ht="14.25" customHeight="1" x14ac:dyDescent="0.2">
      <c r="B1639" s="5">
        <v>7</v>
      </c>
      <c r="C1639" s="5">
        <v>2</v>
      </c>
      <c r="D1639" s="5">
        <v>6</v>
      </c>
      <c r="E1639" s="5">
        <v>21</v>
      </c>
      <c r="F1639" s="5">
        <v>2</v>
      </c>
      <c r="G1639" s="31">
        <v>7</v>
      </c>
      <c r="H1639" s="31">
        <v>2020</v>
      </c>
      <c r="I1639" s="5">
        <v>2022</v>
      </c>
      <c r="J1639" s="142">
        <v>1.1200000000000001</v>
      </c>
      <c r="K1639" s="142">
        <v>1.0462</v>
      </c>
      <c r="L1639" s="142">
        <v>0.44379999999999997</v>
      </c>
      <c r="M1639" s="142">
        <v>1.0569</v>
      </c>
      <c r="N1639" s="142">
        <v>1.4438</v>
      </c>
      <c r="O1639" s="142">
        <v>1.0538000000000001</v>
      </c>
      <c r="P1639" s="26">
        <v>3120.6640041526744</v>
      </c>
      <c r="Q1639" s="35">
        <f t="array" ref="Q1639">SUM(IF(($S1639&gt;=4)*($C1639='TaxCred&amp;Subs'!$D$114:$D$121)*($H1639='TaxCred&amp;Subs'!$C$114:$C$121)*($H1639&lt;='TaxCred&amp;Subs'!$C$123),'TaxCred&amp;Subs'!$E$114:$E$121,0))</f>
        <v>0</v>
      </c>
      <c r="R1639" s="143">
        <v>0</v>
      </c>
      <c r="S1639" s="5">
        <v>5</v>
      </c>
      <c r="T1639" s="5" t="s">
        <v>221</v>
      </c>
      <c r="V1639" s="7" t="str">
        <f t="array" ref="V1639">INDEX(xlRTCLNAME,MATCH(1,(xlRTCLENDU=1)*(xlRTCLEQCL=$D1639),0))</f>
        <v>LPG_FA</v>
      </c>
      <c r="W1639" s="7" t="str">
        <f t="array" ref="W1639">INDEX(xlRTCLNAME,MATCH(1,(xlRTCLENDU=2)*(xlRTCLEQCL=$F1639),0))</f>
        <v>CENT_AIR</v>
      </c>
      <c r="X1639" s="7" t="str">
        <f t="array" ref="X1639">INDEX(xlRTTYNAME,MATCH(1,(xlRTTYENDU=1)*(xlRTTYEQCL=$D1639)*(xlRTEQTYPE=$E1639),0))</f>
        <v>LPG_FA4</v>
      </c>
      <c r="Y1639" s="7" t="str">
        <f t="array" ref="Y1639">INDEX(xlRTTYNAME,MATCH(1,(xlRTTYENDU=2)*(xlRTTYEQCL=$F1639)*(xlRTEQTYPE=$G1639),0))</f>
        <v>CENT_AIR4</v>
      </c>
    </row>
    <row r="1640" spans="2:25" ht="14.25" customHeight="1" x14ac:dyDescent="0.2">
      <c r="B1640" s="5">
        <v>7</v>
      </c>
      <c r="C1640" s="5">
        <v>2</v>
      </c>
      <c r="D1640" s="5">
        <v>6</v>
      </c>
      <c r="E1640" s="5">
        <v>21</v>
      </c>
      <c r="F1640" s="5">
        <v>2</v>
      </c>
      <c r="G1640" s="31">
        <v>7</v>
      </c>
      <c r="H1640" s="5">
        <v>2023</v>
      </c>
      <c r="I1640" s="5">
        <v>2032</v>
      </c>
      <c r="J1640" s="142">
        <v>1.1200000000000001</v>
      </c>
      <c r="K1640" s="142">
        <v>1.0462</v>
      </c>
      <c r="L1640" s="142">
        <v>0.44379999999999997</v>
      </c>
      <c r="M1640" s="142">
        <v>1.0569</v>
      </c>
      <c r="N1640" s="142">
        <v>1.4438</v>
      </c>
      <c r="O1640" s="142">
        <v>1.0538000000000001</v>
      </c>
      <c r="P1640" s="26">
        <v>3120.6640041526744</v>
      </c>
      <c r="Q1640" s="35">
        <f t="array" ref="Q1640">SUM(IF(($S1640&gt;=4)*($C1640='TaxCred&amp;Subs'!$D$114:$D$121)*($H1640='TaxCred&amp;Subs'!$C$114:$C$121)*($H1640&lt;='TaxCred&amp;Subs'!$C$123),'TaxCred&amp;Subs'!$E$114:$E$121,0))</f>
        <v>500</v>
      </c>
      <c r="R1640" s="143">
        <v>0</v>
      </c>
      <c r="S1640" s="5">
        <v>5</v>
      </c>
      <c r="T1640" s="5" t="s">
        <v>221</v>
      </c>
      <c r="V1640" s="7" t="str">
        <f t="array" ref="V1640">INDEX(xlRTCLNAME,MATCH(1,(xlRTCLENDU=1)*(xlRTCLEQCL=$D1640),0))</f>
        <v>LPG_FA</v>
      </c>
      <c r="W1640" s="7" t="str">
        <f t="array" ref="W1640">INDEX(xlRTCLNAME,MATCH(1,(xlRTCLENDU=2)*(xlRTCLEQCL=$F1640),0))</f>
        <v>CENT_AIR</v>
      </c>
      <c r="X1640" s="7" t="str">
        <f t="array" ref="X1640">INDEX(xlRTTYNAME,MATCH(1,(xlRTTYENDU=1)*(xlRTTYEQCL=$D1640)*(xlRTEQTYPE=$E1640),0))</f>
        <v>LPG_FA4</v>
      </c>
      <c r="Y1640" s="7" t="str">
        <f t="array" ref="Y1640">INDEX(xlRTTYNAME,MATCH(1,(xlRTTYENDU=2)*(xlRTTYEQCL=$F1640)*(xlRTEQTYPE=$G1640),0))</f>
        <v>CENT_AIR4</v>
      </c>
    </row>
    <row r="1641" spans="2:25" ht="14.25" customHeight="1" x14ac:dyDescent="0.2">
      <c r="B1641" s="5">
        <v>7</v>
      </c>
      <c r="C1641" s="5">
        <v>2</v>
      </c>
      <c r="D1641" s="5">
        <v>6</v>
      </c>
      <c r="E1641" s="5">
        <v>21</v>
      </c>
      <c r="F1641" s="5">
        <v>2</v>
      </c>
      <c r="G1641" s="31">
        <v>7</v>
      </c>
      <c r="H1641" s="5">
        <v>2033</v>
      </c>
      <c r="I1641" s="5">
        <v>2050</v>
      </c>
      <c r="J1641" s="142">
        <v>1.1200000000000001</v>
      </c>
      <c r="K1641" s="142">
        <v>1.0462</v>
      </c>
      <c r="L1641" s="142">
        <v>0.44379999999999997</v>
      </c>
      <c r="M1641" s="142">
        <v>1.0569</v>
      </c>
      <c r="N1641" s="142">
        <v>1.4438</v>
      </c>
      <c r="O1641" s="142">
        <v>1.0538000000000001</v>
      </c>
      <c r="P1641" s="26">
        <v>3120.6640041526744</v>
      </c>
      <c r="Q1641" s="35">
        <f t="array" ref="Q1641">SUM(IF(($S1641&gt;=4)*($C1641='TaxCred&amp;Subs'!$D$114:$D$121)*($H1641='TaxCred&amp;Subs'!$C$114:$C$121)*($H1641&lt;='TaxCred&amp;Subs'!$C$123),'TaxCred&amp;Subs'!$E$114:$E$121,0))</f>
        <v>0</v>
      </c>
      <c r="R1641" s="143">
        <v>0</v>
      </c>
      <c r="S1641" s="5">
        <v>5</v>
      </c>
      <c r="T1641" s="5" t="s">
        <v>221</v>
      </c>
      <c r="V1641" s="7" t="str">
        <f t="array" ref="V1641">INDEX(xlRTCLNAME,MATCH(1,(xlRTCLENDU=1)*(xlRTCLEQCL=$D1641),0))</f>
        <v>LPG_FA</v>
      </c>
      <c r="W1641" s="7" t="str">
        <f t="array" ref="W1641">INDEX(xlRTCLNAME,MATCH(1,(xlRTCLENDU=2)*(xlRTCLEQCL=$F1641),0))</f>
        <v>CENT_AIR</v>
      </c>
      <c r="X1641" s="7" t="str">
        <f t="array" ref="X1641">INDEX(xlRTTYNAME,MATCH(1,(xlRTTYENDU=1)*(xlRTTYEQCL=$D1641)*(xlRTEQTYPE=$E1641),0))</f>
        <v>LPG_FA4</v>
      </c>
      <c r="Y1641" s="7" t="str">
        <f t="array" ref="Y1641">INDEX(xlRTTYNAME,MATCH(1,(xlRTTYENDU=2)*(xlRTTYEQCL=$F1641)*(xlRTEQTYPE=$G1641),0))</f>
        <v>CENT_AIR4</v>
      </c>
    </row>
    <row r="1642" spans="2:25" ht="14.25" customHeight="1" x14ac:dyDescent="0.2">
      <c r="B1642" s="5">
        <v>8</v>
      </c>
      <c r="C1642" s="5">
        <v>2</v>
      </c>
      <c r="D1642" s="5">
        <v>6</v>
      </c>
      <c r="E1642" s="5">
        <v>21</v>
      </c>
      <c r="F1642" s="5">
        <v>2</v>
      </c>
      <c r="G1642" s="31">
        <v>7</v>
      </c>
      <c r="H1642" s="31">
        <v>2020</v>
      </c>
      <c r="I1642" s="5">
        <v>2022</v>
      </c>
      <c r="J1642" s="142">
        <v>1.0932999999999999</v>
      </c>
      <c r="K1642" s="142">
        <v>1.0323</v>
      </c>
      <c r="L1642" s="142">
        <v>0.55489999999999995</v>
      </c>
      <c r="M1642" s="142">
        <v>1.2087000000000001</v>
      </c>
      <c r="N1642" s="142">
        <v>1.2847999999999999</v>
      </c>
      <c r="O1642" s="142">
        <v>1.0538000000000001</v>
      </c>
      <c r="P1642" s="26">
        <v>3884.3594605760777</v>
      </c>
      <c r="Q1642" s="35">
        <f t="array" ref="Q1642">SUM(IF(($S1642&gt;=4)*($C1642='TaxCred&amp;Subs'!$D$114:$D$121)*($H1642='TaxCred&amp;Subs'!$C$114:$C$121)*($H1642&lt;='TaxCred&amp;Subs'!$C$123),'TaxCred&amp;Subs'!$E$114:$E$121,0))</f>
        <v>0</v>
      </c>
      <c r="R1642" s="143">
        <v>0</v>
      </c>
      <c r="S1642" s="5">
        <v>5</v>
      </c>
      <c r="T1642" s="5" t="s">
        <v>221</v>
      </c>
      <c r="V1642" s="7" t="str">
        <f t="array" ref="V1642">INDEX(xlRTCLNAME,MATCH(1,(xlRTCLENDU=1)*(xlRTCLEQCL=$D1642),0))</f>
        <v>LPG_FA</v>
      </c>
      <c r="W1642" s="7" t="str">
        <f t="array" ref="W1642">INDEX(xlRTCLNAME,MATCH(1,(xlRTCLENDU=2)*(xlRTCLEQCL=$F1642),0))</f>
        <v>CENT_AIR</v>
      </c>
      <c r="X1642" s="7" t="str">
        <f t="array" ref="X1642">INDEX(xlRTTYNAME,MATCH(1,(xlRTTYENDU=1)*(xlRTTYEQCL=$D1642)*(xlRTEQTYPE=$E1642),0))</f>
        <v>LPG_FA4</v>
      </c>
      <c r="Y1642" s="7" t="str">
        <f t="array" ref="Y1642">INDEX(xlRTTYNAME,MATCH(1,(xlRTTYENDU=2)*(xlRTTYEQCL=$F1642)*(xlRTEQTYPE=$G1642),0))</f>
        <v>CENT_AIR4</v>
      </c>
    </row>
    <row r="1643" spans="2:25" ht="14.25" customHeight="1" x14ac:dyDescent="0.2">
      <c r="B1643" s="5">
        <v>8</v>
      </c>
      <c r="C1643" s="5">
        <v>2</v>
      </c>
      <c r="D1643" s="5">
        <v>6</v>
      </c>
      <c r="E1643" s="5">
        <v>21</v>
      </c>
      <c r="F1643" s="5">
        <v>2</v>
      </c>
      <c r="G1643" s="31">
        <v>7</v>
      </c>
      <c r="H1643" s="5">
        <v>2023</v>
      </c>
      <c r="I1643" s="5">
        <v>2032</v>
      </c>
      <c r="J1643" s="142">
        <v>1.0932999999999999</v>
      </c>
      <c r="K1643" s="142">
        <v>1.0323</v>
      </c>
      <c r="L1643" s="142">
        <v>0.55489999999999995</v>
      </c>
      <c r="M1643" s="142">
        <v>1.2087000000000001</v>
      </c>
      <c r="N1643" s="142">
        <v>1.2847999999999999</v>
      </c>
      <c r="O1643" s="142">
        <v>1.0538000000000001</v>
      </c>
      <c r="P1643" s="26">
        <v>3884.3594605760777</v>
      </c>
      <c r="Q1643" s="35">
        <f t="array" ref="Q1643">SUM(IF(($S1643&gt;=4)*($C1643='TaxCred&amp;Subs'!$D$114:$D$121)*($H1643='TaxCred&amp;Subs'!$C$114:$C$121)*($H1643&lt;='TaxCred&amp;Subs'!$C$123),'TaxCred&amp;Subs'!$E$114:$E$121,0))</f>
        <v>500</v>
      </c>
      <c r="R1643" s="143">
        <v>0</v>
      </c>
      <c r="S1643" s="5">
        <v>5</v>
      </c>
      <c r="T1643" s="5" t="s">
        <v>221</v>
      </c>
      <c r="V1643" s="7" t="str">
        <f t="array" ref="V1643">INDEX(xlRTCLNAME,MATCH(1,(xlRTCLENDU=1)*(xlRTCLEQCL=$D1643),0))</f>
        <v>LPG_FA</v>
      </c>
      <c r="W1643" s="7" t="str">
        <f t="array" ref="W1643">INDEX(xlRTCLNAME,MATCH(1,(xlRTCLENDU=2)*(xlRTCLEQCL=$F1643),0))</f>
        <v>CENT_AIR</v>
      </c>
      <c r="X1643" s="7" t="str">
        <f t="array" ref="X1643">INDEX(xlRTTYNAME,MATCH(1,(xlRTTYENDU=1)*(xlRTTYEQCL=$D1643)*(xlRTEQTYPE=$E1643),0))</f>
        <v>LPG_FA4</v>
      </c>
      <c r="Y1643" s="7" t="str">
        <f t="array" ref="Y1643">INDEX(xlRTTYNAME,MATCH(1,(xlRTTYENDU=2)*(xlRTTYEQCL=$F1643)*(xlRTEQTYPE=$G1643),0))</f>
        <v>CENT_AIR4</v>
      </c>
    </row>
    <row r="1644" spans="2:25" ht="14.25" customHeight="1" x14ac:dyDescent="0.2">
      <c r="B1644" s="5">
        <v>8</v>
      </c>
      <c r="C1644" s="5">
        <v>2</v>
      </c>
      <c r="D1644" s="5">
        <v>6</v>
      </c>
      <c r="E1644" s="5">
        <v>21</v>
      </c>
      <c r="F1644" s="5">
        <v>2</v>
      </c>
      <c r="G1644" s="31">
        <v>7</v>
      </c>
      <c r="H1644" s="5">
        <v>2033</v>
      </c>
      <c r="I1644" s="5">
        <v>2050</v>
      </c>
      <c r="J1644" s="142">
        <v>1.0932999999999999</v>
      </c>
      <c r="K1644" s="142">
        <v>1.0323</v>
      </c>
      <c r="L1644" s="142">
        <v>0.55489999999999995</v>
      </c>
      <c r="M1644" s="142">
        <v>1.2087000000000001</v>
      </c>
      <c r="N1644" s="142">
        <v>1.2847999999999999</v>
      </c>
      <c r="O1644" s="142">
        <v>1.0538000000000001</v>
      </c>
      <c r="P1644" s="26">
        <v>3884.3594605760777</v>
      </c>
      <c r="Q1644" s="35">
        <f t="array" ref="Q1644">SUM(IF(($S1644&gt;=4)*($C1644='TaxCred&amp;Subs'!$D$114:$D$121)*($H1644='TaxCred&amp;Subs'!$C$114:$C$121)*($H1644&lt;='TaxCred&amp;Subs'!$C$123),'TaxCred&amp;Subs'!$E$114:$E$121,0))</f>
        <v>0</v>
      </c>
      <c r="R1644" s="143">
        <v>0</v>
      </c>
      <c r="S1644" s="5">
        <v>5</v>
      </c>
      <c r="T1644" s="5" t="s">
        <v>221</v>
      </c>
      <c r="V1644" s="7" t="str">
        <f t="array" ref="V1644">INDEX(xlRTCLNAME,MATCH(1,(xlRTCLENDU=1)*(xlRTCLEQCL=$D1644),0))</f>
        <v>LPG_FA</v>
      </c>
      <c r="W1644" s="7" t="str">
        <f t="array" ref="W1644">INDEX(xlRTCLNAME,MATCH(1,(xlRTCLENDU=2)*(xlRTCLEQCL=$F1644),0))</f>
        <v>CENT_AIR</v>
      </c>
      <c r="X1644" s="7" t="str">
        <f t="array" ref="X1644">INDEX(xlRTTYNAME,MATCH(1,(xlRTTYENDU=1)*(xlRTTYEQCL=$D1644)*(xlRTEQTYPE=$E1644),0))</f>
        <v>LPG_FA4</v>
      </c>
      <c r="Y1644" s="7" t="str">
        <f t="array" ref="Y1644">INDEX(xlRTTYNAME,MATCH(1,(xlRTTYENDU=2)*(xlRTTYEQCL=$F1644)*(xlRTEQTYPE=$G1644),0))</f>
        <v>CENT_AIR4</v>
      </c>
    </row>
    <row r="1645" spans="2:25" ht="14.25" customHeight="1" x14ac:dyDescent="0.2">
      <c r="B1645" s="5">
        <v>9</v>
      </c>
      <c r="C1645" s="5">
        <v>2</v>
      </c>
      <c r="D1645" s="5">
        <v>6</v>
      </c>
      <c r="E1645" s="5">
        <v>21</v>
      </c>
      <c r="F1645" s="5">
        <v>2</v>
      </c>
      <c r="G1645" s="31">
        <v>7</v>
      </c>
      <c r="H1645" s="31">
        <v>2020</v>
      </c>
      <c r="I1645" s="5">
        <v>2022</v>
      </c>
      <c r="J1645" s="142">
        <v>1.07</v>
      </c>
      <c r="K1645" s="142">
        <v>1.0541</v>
      </c>
      <c r="L1645" s="142">
        <v>0.44379999999999997</v>
      </c>
      <c r="M1645" s="142">
        <v>1.1167</v>
      </c>
      <c r="N1645" s="142">
        <v>1.4438</v>
      </c>
      <c r="O1645" s="142">
        <v>1.0538000000000001</v>
      </c>
      <c r="P1645" s="26">
        <v>4447.7193131137647</v>
      </c>
      <c r="Q1645" s="35">
        <f t="array" ref="Q1645">SUM(IF(($S1645&gt;=4)*($C1645='TaxCred&amp;Subs'!$D$114:$D$121)*($H1645='TaxCred&amp;Subs'!$C$114:$C$121)*($H1645&lt;='TaxCred&amp;Subs'!$C$123),'TaxCred&amp;Subs'!$E$114:$E$121,0))</f>
        <v>0</v>
      </c>
      <c r="R1645" s="143">
        <v>0</v>
      </c>
      <c r="S1645" s="5">
        <v>5</v>
      </c>
      <c r="T1645" s="5" t="s">
        <v>221</v>
      </c>
      <c r="V1645" s="7" t="str">
        <f t="array" ref="V1645">INDEX(xlRTCLNAME,MATCH(1,(xlRTCLENDU=1)*(xlRTCLEQCL=$D1645),0))</f>
        <v>LPG_FA</v>
      </c>
      <c r="W1645" s="7" t="str">
        <f t="array" ref="W1645">INDEX(xlRTCLNAME,MATCH(1,(xlRTCLENDU=2)*(xlRTCLEQCL=$F1645),0))</f>
        <v>CENT_AIR</v>
      </c>
      <c r="X1645" s="7" t="str">
        <f t="array" ref="X1645">INDEX(xlRTTYNAME,MATCH(1,(xlRTTYENDU=1)*(xlRTTYEQCL=$D1645)*(xlRTEQTYPE=$E1645),0))</f>
        <v>LPG_FA4</v>
      </c>
      <c r="Y1645" s="7" t="str">
        <f t="array" ref="Y1645">INDEX(xlRTTYNAME,MATCH(1,(xlRTTYENDU=2)*(xlRTTYEQCL=$F1645)*(xlRTEQTYPE=$G1645),0))</f>
        <v>CENT_AIR4</v>
      </c>
    </row>
    <row r="1646" spans="2:25" ht="14.25" customHeight="1" x14ac:dyDescent="0.2">
      <c r="B1646" s="5">
        <v>9</v>
      </c>
      <c r="C1646" s="5">
        <v>2</v>
      </c>
      <c r="D1646" s="5">
        <v>6</v>
      </c>
      <c r="E1646" s="5">
        <v>21</v>
      </c>
      <c r="F1646" s="5">
        <v>2</v>
      </c>
      <c r="G1646" s="31">
        <v>7</v>
      </c>
      <c r="H1646" s="5">
        <v>2023</v>
      </c>
      <c r="I1646" s="5">
        <v>2032</v>
      </c>
      <c r="J1646" s="142">
        <v>1.07</v>
      </c>
      <c r="K1646" s="142">
        <v>1.0541</v>
      </c>
      <c r="L1646" s="142">
        <v>0.44379999999999997</v>
      </c>
      <c r="M1646" s="142">
        <v>1.1167</v>
      </c>
      <c r="N1646" s="142">
        <v>1.4438</v>
      </c>
      <c r="O1646" s="142">
        <v>1.0538000000000001</v>
      </c>
      <c r="P1646" s="26">
        <v>4447.7193131137647</v>
      </c>
      <c r="Q1646" s="35">
        <f t="array" ref="Q1646">SUM(IF(($S1646&gt;=4)*($C1646='TaxCred&amp;Subs'!$D$114:$D$121)*($H1646='TaxCred&amp;Subs'!$C$114:$C$121)*($H1646&lt;='TaxCred&amp;Subs'!$C$123),'TaxCred&amp;Subs'!$E$114:$E$121,0))</f>
        <v>500</v>
      </c>
      <c r="R1646" s="143">
        <v>0</v>
      </c>
      <c r="S1646" s="5">
        <v>5</v>
      </c>
      <c r="T1646" s="5" t="s">
        <v>221</v>
      </c>
      <c r="V1646" s="7" t="str">
        <f t="array" ref="V1646">INDEX(xlRTCLNAME,MATCH(1,(xlRTCLENDU=1)*(xlRTCLEQCL=$D1646),0))</f>
        <v>LPG_FA</v>
      </c>
      <c r="W1646" s="7" t="str">
        <f t="array" ref="W1646">INDEX(xlRTCLNAME,MATCH(1,(xlRTCLENDU=2)*(xlRTCLEQCL=$F1646),0))</f>
        <v>CENT_AIR</v>
      </c>
      <c r="X1646" s="7" t="str">
        <f t="array" ref="X1646">INDEX(xlRTTYNAME,MATCH(1,(xlRTTYENDU=1)*(xlRTTYEQCL=$D1646)*(xlRTEQTYPE=$E1646),0))</f>
        <v>LPG_FA4</v>
      </c>
      <c r="Y1646" s="7" t="str">
        <f t="array" ref="Y1646">INDEX(xlRTTYNAME,MATCH(1,(xlRTTYENDU=2)*(xlRTTYEQCL=$F1646)*(xlRTEQTYPE=$G1646),0))</f>
        <v>CENT_AIR4</v>
      </c>
    </row>
    <row r="1647" spans="2:25" ht="14.25" customHeight="1" x14ac:dyDescent="0.2">
      <c r="B1647" s="5">
        <v>9</v>
      </c>
      <c r="C1647" s="5">
        <v>2</v>
      </c>
      <c r="D1647" s="5">
        <v>6</v>
      </c>
      <c r="E1647" s="5">
        <v>21</v>
      </c>
      <c r="F1647" s="5">
        <v>2</v>
      </c>
      <c r="G1647" s="31">
        <v>7</v>
      </c>
      <c r="H1647" s="5">
        <v>2033</v>
      </c>
      <c r="I1647" s="5">
        <v>2050</v>
      </c>
      <c r="J1647" s="142">
        <v>1.07</v>
      </c>
      <c r="K1647" s="142">
        <v>1.0541</v>
      </c>
      <c r="L1647" s="142">
        <v>0.44379999999999997</v>
      </c>
      <c r="M1647" s="142">
        <v>1.1167</v>
      </c>
      <c r="N1647" s="142">
        <v>1.4438</v>
      </c>
      <c r="O1647" s="142">
        <v>1.0538000000000001</v>
      </c>
      <c r="P1647" s="26">
        <v>4447.7193131137647</v>
      </c>
      <c r="Q1647" s="35">
        <f t="array" ref="Q1647">SUM(IF(($S1647&gt;=4)*($C1647='TaxCred&amp;Subs'!$D$114:$D$121)*($H1647='TaxCred&amp;Subs'!$C$114:$C$121)*($H1647&lt;='TaxCred&amp;Subs'!$C$123),'TaxCred&amp;Subs'!$E$114:$E$121,0))</f>
        <v>0</v>
      </c>
      <c r="R1647" s="143">
        <v>0</v>
      </c>
      <c r="S1647" s="5">
        <v>5</v>
      </c>
      <c r="T1647" s="5" t="s">
        <v>221</v>
      </c>
      <c r="V1647" s="7" t="str">
        <f t="array" ref="V1647">INDEX(xlRTCLNAME,MATCH(1,(xlRTCLENDU=1)*(xlRTCLEQCL=$D1647),0))</f>
        <v>LPG_FA</v>
      </c>
      <c r="W1647" s="7" t="str">
        <f t="array" ref="W1647">INDEX(xlRTCLNAME,MATCH(1,(xlRTCLENDU=2)*(xlRTCLEQCL=$F1647),0))</f>
        <v>CENT_AIR</v>
      </c>
      <c r="X1647" s="7" t="str">
        <f t="array" ref="X1647">INDEX(xlRTTYNAME,MATCH(1,(xlRTTYENDU=1)*(xlRTTYEQCL=$D1647)*(xlRTEQTYPE=$E1647),0))</f>
        <v>LPG_FA4</v>
      </c>
      <c r="Y1647" s="7" t="str">
        <f t="array" ref="Y1647">INDEX(xlRTTYNAME,MATCH(1,(xlRTTYENDU=2)*(xlRTTYEQCL=$F1647)*(xlRTEQTYPE=$G1647),0))</f>
        <v>CENT_AIR4</v>
      </c>
    </row>
    <row r="1648" spans="2:25" ht="14.25" customHeight="1" x14ac:dyDescent="0.2">
      <c r="B1648" s="5">
        <v>1</v>
      </c>
      <c r="C1648" s="5">
        <v>2</v>
      </c>
      <c r="D1648" s="5">
        <v>7</v>
      </c>
      <c r="E1648" s="5">
        <v>25</v>
      </c>
      <c r="F1648" s="5">
        <v>2</v>
      </c>
      <c r="G1648" s="31">
        <v>7</v>
      </c>
      <c r="H1648" s="31">
        <v>2020</v>
      </c>
      <c r="I1648" s="5">
        <v>2022</v>
      </c>
      <c r="J1648" s="142">
        <v>1.0956999999999999</v>
      </c>
      <c r="K1648" s="142">
        <v>1.0417000000000001</v>
      </c>
      <c r="L1648" s="142">
        <v>0.58340000000000003</v>
      </c>
      <c r="M1648" s="142">
        <v>1.1228</v>
      </c>
      <c r="N1648" s="142">
        <v>1.1153</v>
      </c>
      <c r="O1648" s="142">
        <v>1.0538000000000001</v>
      </c>
      <c r="P1648" s="26">
        <v>5076.9613441105121</v>
      </c>
      <c r="Q1648" s="35">
        <f t="array" ref="Q1648">SUM(IF(($S1648&gt;=4)*($C1648='TaxCred&amp;Subs'!$D$114:$D$121)*($H1648='TaxCred&amp;Subs'!$C$114:$C$121)*($H1648&lt;='TaxCred&amp;Subs'!$C$123),'TaxCred&amp;Subs'!$E$114:$E$121,0))</f>
        <v>0</v>
      </c>
      <c r="R1648" s="143">
        <v>0</v>
      </c>
      <c r="S1648" s="5">
        <v>5</v>
      </c>
      <c r="T1648" s="5" t="s">
        <v>221</v>
      </c>
      <c r="V1648" s="7" t="str">
        <f t="array" ref="V1648">INDEX(xlRTCLNAME,MATCH(1,(xlRTCLENDU=1)*(xlRTCLEQCL=$D1648),0))</f>
        <v>DIST_FA</v>
      </c>
      <c r="W1648" s="7" t="str">
        <f t="array" ref="W1648">INDEX(xlRTCLNAME,MATCH(1,(xlRTCLENDU=2)*(xlRTCLEQCL=$F1648),0))</f>
        <v>CENT_AIR</v>
      </c>
      <c r="X1648" s="7" t="str">
        <f t="array" ref="X1648">INDEX(xlRTTYNAME,MATCH(1,(xlRTTYENDU=1)*(xlRTTYEQCL=$D1648)*(xlRTEQTYPE=$E1648),0))</f>
        <v>DIST_FA4</v>
      </c>
      <c r="Y1648" s="7" t="str">
        <f t="array" ref="Y1648">INDEX(xlRTTYNAME,MATCH(1,(xlRTTYENDU=2)*(xlRTTYEQCL=$F1648)*(xlRTEQTYPE=$G1648),0))</f>
        <v>CENT_AIR4</v>
      </c>
    </row>
    <row r="1649" spans="2:25" ht="14.25" customHeight="1" x14ac:dyDescent="0.2">
      <c r="B1649" s="5">
        <v>1</v>
      </c>
      <c r="C1649" s="5">
        <v>2</v>
      </c>
      <c r="D1649" s="5">
        <v>7</v>
      </c>
      <c r="E1649" s="5">
        <v>25</v>
      </c>
      <c r="F1649" s="5">
        <v>2</v>
      </c>
      <c r="G1649" s="31">
        <v>7</v>
      </c>
      <c r="H1649" s="5">
        <v>2023</v>
      </c>
      <c r="I1649" s="5">
        <v>2032</v>
      </c>
      <c r="J1649" s="142">
        <v>1.0956999999999999</v>
      </c>
      <c r="K1649" s="142">
        <v>1.0417000000000001</v>
      </c>
      <c r="L1649" s="142">
        <v>0.58340000000000003</v>
      </c>
      <c r="M1649" s="142">
        <v>1.1228</v>
      </c>
      <c r="N1649" s="142">
        <v>1.1153</v>
      </c>
      <c r="O1649" s="142">
        <v>1.0538000000000001</v>
      </c>
      <c r="P1649" s="26">
        <v>5076.9613441105121</v>
      </c>
      <c r="Q1649" s="35">
        <f t="array" ref="Q1649">SUM(IF(($S1649&gt;=4)*($C1649='TaxCred&amp;Subs'!$D$114:$D$121)*($H1649='TaxCred&amp;Subs'!$C$114:$C$121)*($H1649&lt;='TaxCred&amp;Subs'!$C$123),'TaxCred&amp;Subs'!$E$114:$E$121,0))</f>
        <v>500</v>
      </c>
      <c r="R1649" s="143">
        <v>0</v>
      </c>
      <c r="S1649" s="5">
        <v>5</v>
      </c>
      <c r="T1649" s="5" t="s">
        <v>221</v>
      </c>
      <c r="V1649" s="7" t="str">
        <f t="array" ref="V1649">INDEX(xlRTCLNAME,MATCH(1,(xlRTCLENDU=1)*(xlRTCLEQCL=$D1649),0))</f>
        <v>DIST_FA</v>
      </c>
      <c r="W1649" s="7" t="str">
        <f t="array" ref="W1649">INDEX(xlRTCLNAME,MATCH(1,(xlRTCLENDU=2)*(xlRTCLEQCL=$F1649),0))</f>
        <v>CENT_AIR</v>
      </c>
      <c r="X1649" s="7" t="str">
        <f t="array" ref="X1649">INDEX(xlRTTYNAME,MATCH(1,(xlRTTYENDU=1)*(xlRTTYEQCL=$D1649)*(xlRTEQTYPE=$E1649),0))</f>
        <v>DIST_FA4</v>
      </c>
      <c r="Y1649" s="7" t="str">
        <f t="array" ref="Y1649">INDEX(xlRTTYNAME,MATCH(1,(xlRTTYENDU=2)*(xlRTTYEQCL=$F1649)*(xlRTEQTYPE=$G1649),0))</f>
        <v>CENT_AIR4</v>
      </c>
    </row>
    <row r="1650" spans="2:25" ht="14.25" customHeight="1" x14ac:dyDescent="0.2">
      <c r="B1650" s="5">
        <v>1</v>
      </c>
      <c r="C1650" s="5">
        <v>2</v>
      </c>
      <c r="D1650" s="5">
        <v>7</v>
      </c>
      <c r="E1650" s="5">
        <v>25</v>
      </c>
      <c r="F1650" s="5">
        <v>2</v>
      </c>
      <c r="G1650" s="31">
        <v>7</v>
      </c>
      <c r="H1650" s="5">
        <v>2033</v>
      </c>
      <c r="I1650" s="5">
        <v>2050</v>
      </c>
      <c r="J1650" s="142">
        <v>1.0956999999999999</v>
      </c>
      <c r="K1650" s="142">
        <v>1.0417000000000001</v>
      </c>
      <c r="L1650" s="142">
        <v>0.58340000000000003</v>
      </c>
      <c r="M1650" s="142">
        <v>1.1228</v>
      </c>
      <c r="N1650" s="142">
        <v>1.1153</v>
      </c>
      <c r="O1650" s="142">
        <v>1.0538000000000001</v>
      </c>
      <c r="P1650" s="26">
        <v>5076.9613441105121</v>
      </c>
      <c r="Q1650" s="35">
        <f t="array" ref="Q1650">SUM(IF(($S1650&gt;=4)*($C1650='TaxCred&amp;Subs'!$D$114:$D$121)*($H1650='TaxCred&amp;Subs'!$C$114:$C$121)*($H1650&lt;='TaxCred&amp;Subs'!$C$123),'TaxCred&amp;Subs'!$E$114:$E$121,0))</f>
        <v>0</v>
      </c>
      <c r="R1650" s="143">
        <v>0</v>
      </c>
      <c r="S1650" s="5">
        <v>5</v>
      </c>
      <c r="T1650" s="5" t="s">
        <v>221</v>
      </c>
      <c r="V1650" s="7" t="str">
        <f t="array" ref="V1650">INDEX(xlRTCLNAME,MATCH(1,(xlRTCLENDU=1)*(xlRTCLEQCL=$D1650),0))</f>
        <v>DIST_FA</v>
      </c>
      <c r="W1650" s="7" t="str">
        <f t="array" ref="W1650">INDEX(xlRTCLNAME,MATCH(1,(xlRTCLENDU=2)*(xlRTCLEQCL=$F1650),0))</f>
        <v>CENT_AIR</v>
      </c>
      <c r="X1650" s="7" t="str">
        <f t="array" ref="X1650">INDEX(xlRTTYNAME,MATCH(1,(xlRTTYENDU=1)*(xlRTTYEQCL=$D1650)*(xlRTEQTYPE=$E1650),0))</f>
        <v>DIST_FA4</v>
      </c>
      <c r="Y1650" s="7" t="str">
        <f t="array" ref="Y1650">INDEX(xlRTTYNAME,MATCH(1,(xlRTTYENDU=2)*(xlRTTYEQCL=$F1650)*(xlRTEQTYPE=$G1650),0))</f>
        <v>CENT_AIR4</v>
      </c>
    </row>
    <row r="1651" spans="2:25" ht="14.25" customHeight="1" x14ac:dyDescent="0.2">
      <c r="B1651" s="5">
        <v>2</v>
      </c>
      <c r="C1651" s="5">
        <v>2</v>
      </c>
      <c r="D1651" s="5">
        <v>7</v>
      </c>
      <c r="E1651" s="5">
        <v>25</v>
      </c>
      <c r="F1651" s="5">
        <v>2</v>
      </c>
      <c r="G1651" s="31">
        <v>7</v>
      </c>
      <c r="H1651" s="31">
        <v>2020</v>
      </c>
      <c r="I1651" s="5">
        <v>2022</v>
      </c>
      <c r="J1651" s="142">
        <v>1.1059000000000001</v>
      </c>
      <c r="K1651" s="142">
        <v>1.0357000000000001</v>
      </c>
      <c r="L1651" s="142">
        <v>0.56499999999999995</v>
      </c>
      <c r="M1651" s="142">
        <v>1.1416999999999999</v>
      </c>
      <c r="N1651" s="142">
        <v>1.1176999999999999</v>
      </c>
      <c r="O1651" s="142">
        <v>1.0538000000000001</v>
      </c>
      <c r="P1651" s="26">
        <v>4802.6763562401347</v>
      </c>
      <c r="Q1651" s="35">
        <f t="array" ref="Q1651">SUM(IF(($S1651&gt;=4)*($C1651='TaxCred&amp;Subs'!$D$114:$D$121)*($H1651='TaxCred&amp;Subs'!$C$114:$C$121)*($H1651&lt;='TaxCred&amp;Subs'!$C$123),'TaxCred&amp;Subs'!$E$114:$E$121,0))</f>
        <v>0</v>
      </c>
      <c r="R1651" s="143">
        <v>0</v>
      </c>
      <c r="S1651" s="5">
        <v>5</v>
      </c>
      <c r="T1651" s="5" t="s">
        <v>221</v>
      </c>
      <c r="V1651" s="7" t="str">
        <f t="array" ref="V1651">INDEX(xlRTCLNAME,MATCH(1,(xlRTCLENDU=1)*(xlRTCLEQCL=$D1651),0))</f>
        <v>DIST_FA</v>
      </c>
      <c r="W1651" s="7" t="str">
        <f t="array" ref="W1651">INDEX(xlRTCLNAME,MATCH(1,(xlRTCLENDU=2)*(xlRTCLEQCL=$F1651),0))</f>
        <v>CENT_AIR</v>
      </c>
      <c r="X1651" s="7" t="str">
        <f t="array" ref="X1651">INDEX(xlRTTYNAME,MATCH(1,(xlRTTYENDU=1)*(xlRTTYEQCL=$D1651)*(xlRTEQTYPE=$E1651),0))</f>
        <v>DIST_FA4</v>
      </c>
      <c r="Y1651" s="7" t="str">
        <f t="array" ref="Y1651">INDEX(xlRTTYNAME,MATCH(1,(xlRTTYENDU=2)*(xlRTTYEQCL=$F1651)*(xlRTEQTYPE=$G1651),0))</f>
        <v>CENT_AIR4</v>
      </c>
    </row>
    <row r="1652" spans="2:25" ht="14.25" customHeight="1" x14ac:dyDescent="0.2">
      <c r="B1652" s="5">
        <v>2</v>
      </c>
      <c r="C1652" s="5">
        <v>2</v>
      </c>
      <c r="D1652" s="5">
        <v>7</v>
      </c>
      <c r="E1652" s="5">
        <v>25</v>
      </c>
      <c r="F1652" s="5">
        <v>2</v>
      </c>
      <c r="G1652" s="31">
        <v>7</v>
      </c>
      <c r="H1652" s="5">
        <v>2023</v>
      </c>
      <c r="I1652" s="5">
        <v>2032</v>
      </c>
      <c r="J1652" s="142">
        <v>1.1059000000000001</v>
      </c>
      <c r="K1652" s="142">
        <v>1.0357000000000001</v>
      </c>
      <c r="L1652" s="142">
        <v>0.56499999999999995</v>
      </c>
      <c r="M1652" s="142">
        <v>1.1416999999999999</v>
      </c>
      <c r="N1652" s="142">
        <v>1.1176999999999999</v>
      </c>
      <c r="O1652" s="142">
        <v>1.0538000000000001</v>
      </c>
      <c r="P1652" s="26">
        <v>4802.6763562401347</v>
      </c>
      <c r="Q1652" s="35">
        <f t="array" ref="Q1652">SUM(IF(($S1652&gt;=4)*($C1652='TaxCred&amp;Subs'!$D$114:$D$121)*($H1652='TaxCred&amp;Subs'!$C$114:$C$121)*($H1652&lt;='TaxCred&amp;Subs'!$C$123),'TaxCred&amp;Subs'!$E$114:$E$121,0))</f>
        <v>500</v>
      </c>
      <c r="R1652" s="143">
        <v>0</v>
      </c>
      <c r="S1652" s="5">
        <v>5</v>
      </c>
      <c r="T1652" s="5" t="s">
        <v>221</v>
      </c>
      <c r="V1652" s="7" t="str">
        <f t="array" ref="V1652">INDEX(xlRTCLNAME,MATCH(1,(xlRTCLENDU=1)*(xlRTCLEQCL=$D1652),0))</f>
        <v>DIST_FA</v>
      </c>
      <c r="W1652" s="7" t="str">
        <f t="array" ref="W1652">INDEX(xlRTCLNAME,MATCH(1,(xlRTCLENDU=2)*(xlRTCLEQCL=$F1652),0))</f>
        <v>CENT_AIR</v>
      </c>
      <c r="X1652" s="7" t="str">
        <f t="array" ref="X1652">INDEX(xlRTTYNAME,MATCH(1,(xlRTTYENDU=1)*(xlRTTYEQCL=$D1652)*(xlRTEQTYPE=$E1652),0))</f>
        <v>DIST_FA4</v>
      </c>
      <c r="Y1652" s="7" t="str">
        <f t="array" ref="Y1652">INDEX(xlRTTYNAME,MATCH(1,(xlRTTYENDU=2)*(xlRTTYEQCL=$F1652)*(xlRTEQTYPE=$G1652),0))</f>
        <v>CENT_AIR4</v>
      </c>
    </row>
    <row r="1653" spans="2:25" ht="14.25" customHeight="1" x14ac:dyDescent="0.2">
      <c r="B1653" s="5">
        <v>2</v>
      </c>
      <c r="C1653" s="5">
        <v>2</v>
      </c>
      <c r="D1653" s="5">
        <v>7</v>
      </c>
      <c r="E1653" s="5">
        <v>25</v>
      </c>
      <c r="F1653" s="5">
        <v>2</v>
      </c>
      <c r="G1653" s="31">
        <v>7</v>
      </c>
      <c r="H1653" s="5">
        <v>2033</v>
      </c>
      <c r="I1653" s="5">
        <v>2050</v>
      </c>
      <c r="J1653" s="142">
        <v>1.1059000000000001</v>
      </c>
      <c r="K1653" s="142">
        <v>1.0357000000000001</v>
      </c>
      <c r="L1653" s="142">
        <v>0.56499999999999995</v>
      </c>
      <c r="M1653" s="142">
        <v>1.1416999999999999</v>
      </c>
      <c r="N1653" s="142">
        <v>1.1176999999999999</v>
      </c>
      <c r="O1653" s="142">
        <v>1.0538000000000001</v>
      </c>
      <c r="P1653" s="26">
        <v>4802.6763562401347</v>
      </c>
      <c r="Q1653" s="35">
        <f t="array" ref="Q1653">SUM(IF(($S1653&gt;=4)*($C1653='TaxCred&amp;Subs'!$D$114:$D$121)*($H1653='TaxCred&amp;Subs'!$C$114:$C$121)*($H1653&lt;='TaxCred&amp;Subs'!$C$123),'TaxCred&amp;Subs'!$E$114:$E$121,0))</f>
        <v>0</v>
      </c>
      <c r="R1653" s="143">
        <v>0</v>
      </c>
      <c r="S1653" s="5">
        <v>5</v>
      </c>
      <c r="T1653" s="5" t="s">
        <v>221</v>
      </c>
      <c r="V1653" s="7" t="str">
        <f t="array" ref="V1653">INDEX(xlRTCLNAME,MATCH(1,(xlRTCLENDU=1)*(xlRTCLEQCL=$D1653),0))</f>
        <v>DIST_FA</v>
      </c>
      <c r="W1653" s="7" t="str">
        <f t="array" ref="W1653">INDEX(xlRTCLNAME,MATCH(1,(xlRTCLENDU=2)*(xlRTCLEQCL=$F1653),0))</f>
        <v>CENT_AIR</v>
      </c>
      <c r="X1653" s="7" t="str">
        <f t="array" ref="X1653">INDEX(xlRTTYNAME,MATCH(1,(xlRTTYENDU=1)*(xlRTTYEQCL=$D1653)*(xlRTEQTYPE=$E1653),0))</f>
        <v>DIST_FA4</v>
      </c>
      <c r="Y1653" s="7" t="str">
        <f t="array" ref="Y1653">INDEX(xlRTTYNAME,MATCH(1,(xlRTTYENDU=2)*(xlRTTYEQCL=$F1653)*(xlRTEQTYPE=$G1653),0))</f>
        <v>CENT_AIR4</v>
      </c>
    </row>
    <row r="1654" spans="2:25" ht="14.25" customHeight="1" x14ac:dyDescent="0.2">
      <c r="B1654" s="5">
        <v>3</v>
      </c>
      <c r="C1654" s="5">
        <v>2</v>
      </c>
      <c r="D1654" s="5">
        <v>7</v>
      </c>
      <c r="E1654" s="5">
        <v>25</v>
      </c>
      <c r="F1654" s="5">
        <v>2</v>
      </c>
      <c r="G1654" s="31">
        <v>7</v>
      </c>
      <c r="H1654" s="31">
        <v>2020</v>
      </c>
      <c r="I1654" s="5">
        <v>2022</v>
      </c>
      <c r="J1654" s="142">
        <v>1.099</v>
      </c>
      <c r="K1654" s="142">
        <v>1.03</v>
      </c>
      <c r="L1654" s="142">
        <v>0.55759999999999998</v>
      </c>
      <c r="M1654" s="142">
        <v>0.8931</v>
      </c>
      <c r="N1654" s="142">
        <v>1.0381</v>
      </c>
      <c r="O1654" s="142">
        <v>1.0538000000000001</v>
      </c>
      <c r="P1654" s="26">
        <v>4310.5768191785755</v>
      </c>
      <c r="Q1654" s="35">
        <f t="array" ref="Q1654">SUM(IF(($S1654&gt;=4)*($C1654='TaxCred&amp;Subs'!$D$114:$D$121)*($H1654='TaxCred&amp;Subs'!$C$114:$C$121)*($H1654&lt;='TaxCred&amp;Subs'!$C$123),'TaxCred&amp;Subs'!$E$114:$E$121,0))</f>
        <v>0</v>
      </c>
      <c r="R1654" s="143">
        <v>0</v>
      </c>
      <c r="S1654" s="5">
        <v>5</v>
      </c>
      <c r="T1654" s="5" t="s">
        <v>221</v>
      </c>
      <c r="V1654" s="7" t="str">
        <f t="array" ref="V1654">INDEX(xlRTCLNAME,MATCH(1,(xlRTCLENDU=1)*(xlRTCLEQCL=$D1654),0))</f>
        <v>DIST_FA</v>
      </c>
      <c r="W1654" s="7" t="str">
        <f t="array" ref="W1654">INDEX(xlRTCLNAME,MATCH(1,(xlRTCLENDU=2)*(xlRTCLEQCL=$F1654),0))</f>
        <v>CENT_AIR</v>
      </c>
      <c r="X1654" s="7" t="str">
        <f t="array" ref="X1654">INDEX(xlRTTYNAME,MATCH(1,(xlRTTYENDU=1)*(xlRTTYEQCL=$D1654)*(xlRTEQTYPE=$E1654),0))</f>
        <v>DIST_FA4</v>
      </c>
      <c r="Y1654" s="7" t="str">
        <f t="array" ref="Y1654">INDEX(xlRTTYNAME,MATCH(1,(xlRTTYENDU=2)*(xlRTTYEQCL=$F1654)*(xlRTEQTYPE=$G1654),0))</f>
        <v>CENT_AIR4</v>
      </c>
    </row>
    <row r="1655" spans="2:25" ht="14.25" customHeight="1" x14ac:dyDescent="0.2">
      <c r="B1655" s="5">
        <v>3</v>
      </c>
      <c r="C1655" s="5">
        <v>2</v>
      </c>
      <c r="D1655" s="5">
        <v>7</v>
      </c>
      <c r="E1655" s="5">
        <v>25</v>
      </c>
      <c r="F1655" s="5">
        <v>2</v>
      </c>
      <c r="G1655" s="31">
        <v>7</v>
      </c>
      <c r="H1655" s="5">
        <v>2023</v>
      </c>
      <c r="I1655" s="5">
        <v>2032</v>
      </c>
      <c r="J1655" s="142">
        <v>1.099</v>
      </c>
      <c r="K1655" s="142">
        <v>1.03</v>
      </c>
      <c r="L1655" s="142">
        <v>0.55759999999999998</v>
      </c>
      <c r="M1655" s="142">
        <v>0.8931</v>
      </c>
      <c r="N1655" s="142">
        <v>1.0381</v>
      </c>
      <c r="O1655" s="142">
        <v>1.0538000000000001</v>
      </c>
      <c r="P1655" s="26">
        <v>4310.5768191785755</v>
      </c>
      <c r="Q1655" s="35">
        <f t="array" ref="Q1655">SUM(IF(($S1655&gt;=4)*($C1655='TaxCred&amp;Subs'!$D$114:$D$121)*($H1655='TaxCred&amp;Subs'!$C$114:$C$121)*($H1655&lt;='TaxCred&amp;Subs'!$C$123),'TaxCred&amp;Subs'!$E$114:$E$121,0))</f>
        <v>500</v>
      </c>
      <c r="R1655" s="143">
        <v>0</v>
      </c>
      <c r="S1655" s="5">
        <v>5</v>
      </c>
      <c r="T1655" s="5" t="s">
        <v>221</v>
      </c>
      <c r="V1655" s="7" t="str">
        <f t="array" ref="V1655">INDEX(xlRTCLNAME,MATCH(1,(xlRTCLENDU=1)*(xlRTCLEQCL=$D1655),0))</f>
        <v>DIST_FA</v>
      </c>
      <c r="W1655" s="7" t="str">
        <f t="array" ref="W1655">INDEX(xlRTCLNAME,MATCH(1,(xlRTCLENDU=2)*(xlRTCLEQCL=$F1655),0))</f>
        <v>CENT_AIR</v>
      </c>
      <c r="X1655" s="7" t="str">
        <f t="array" ref="X1655">INDEX(xlRTTYNAME,MATCH(1,(xlRTTYENDU=1)*(xlRTTYEQCL=$D1655)*(xlRTEQTYPE=$E1655),0))</f>
        <v>DIST_FA4</v>
      </c>
      <c r="Y1655" s="7" t="str">
        <f t="array" ref="Y1655">INDEX(xlRTTYNAME,MATCH(1,(xlRTTYENDU=2)*(xlRTTYEQCL=$F1655)*(xlRTEQTYPE=$G1655),0))</f>
        <v>CENT_AIR4</v>
      </c>
    </row>
    <row r="1656" spans="2:25" ht="14.25" customHeight="1" x14ac:dyDescent="0.2">
      <c r="B1656" s="5">
        <v>3</v>
      </c>
      <c r="C1656" s="5">
        <v>2</v>
      </c>
      <c r="D1656" s="5">
        <v>7</v>
      </c>
      <c r="E1656" s="5">
        <v>25</v>
      </c>
      <c r="F1656" s="5">
        <v>2</v>
      </c>
      <c r="G1656" s="31">
        <v>7</v>
      </c>
      <c r="H1656" s="5">
        <v>2033</v>
      </c>
      <c r="I1656" s="5">
        <v>2050</v>
      </c>
      <c r="J1656" s="142">
        <v>1.099</v>
      </c>
      <c r="K1656" s="142">
        <v>1.03</v>
      </c>
      <c r="L1656" s="142">
        <v>0.55759999999999998</v>
      </c>
      <c r="M1656" s="142">
        <v>0.8931</v>
      </c>
      <c r="N1656" s="142">
        <v>1.0381</v>
      </c>
      <c r="O1656" s="142">
        <v>1.0538000000000001</v>
      </c>
      <c r="P1656" s="26">
        <v>4310.5768191785755</v>
      </c>
      <c r="Q1656" s="35">
        <f t="array" ref="Q1656">SUM(IF(($S1656&gt;=4)*($C1656='TaxCred&amp;Subs'!$D$114:$D$121)*($H1656='TaxCred&amp;Subs'!$C$114:$C$121)*($H1656&lt;='TaxCred&amp;Subs'!$C$123),'TaxCred&amp;Subs'!$E$114:$E$121,0))</f>
        <v>0</v>
      </c>
      <c r="R1656" s="143">
        <v>0</v>
      </c>
      <c r="S1656" s="5">
        <v>5</v>
      </c>
      <c r="T1656" s="5" t="s">
        <v>221</v>
      </c>
      <c r="V1656" s="7" t="str">
        <f t="array" ref="V1656">INDEX(xlRTCLNAME,MATCH(1,(xlRTCLENDU=1)*(xlRTCLEQCL=$D1656),0))</f>
        <v>DIST_FA</v>
      </c>
      <c r="W1656" s="7" t="str">
        <f t="array" ref="W1656">INDEX(xlRTCLNAME,MATCH(1,(xlRTCLENDU=2)*(xlRTCLEQCL=$F1656),0))</f>
        <v>CENT_AIR</v>
      </c>
      <c r="X1656" s="7" t="str">
        <f t="array" ref="X1656">INDEX(xlRTTYNAME,MATCH(1,(xlRTTYENDU=1)*(xlRTTYEQCL=$D1656)*(xlRTEQTYPE=$E1656),0))</f>
        <v>DIST_FA4</v>
      </c>
      <c r="Y1656" s="7" t="str">
        <f t="array" ref="Y1656">INDEX(xlRTTYNAME,MATCH(1,(xlRTTYENDU=2)*(xlRTTYEQCL=$F1656)*(xlRTEQTYPE=$G1656),0))</f>
        <v>CENT_AIR4</v>
      </c>
    </row>
    <row r="1657" spans="2:25" ht="14.25" customHeight="1" x14ac:dyDescent="0.2">
      <c r="B1657" s="5">
        <v>4</v>
      </c>
      <c r="C1657" s="5">
        <v>2</v>
      </c>
      <c r="D1657" s="5">
        <v>7</v>
      </c>
      <c r="E1657" s="5">
        <v>25</v>
      </c>
      <c r="F1657" s="5">
        <v>2</v>
      </c>
      <c r="G1657" s="31">
        <v>7</v>
      </c>
      <c r="H1657" s="31">
        <v>2020</v>
      </c>
      <c r="I1657" s="5">
        <v>2022</v>
      </c>
      <c r="J1657" s="142">
        <v>1.0934999999999999</v>
      </c>
      <c r="K1657" s="142">
        <v>1.0435000000000001</v>
      </c>
      <c r="L1657" s="142">
        <v>0.62490000000000001</v>
      </c>
      <c r="M1657" s="142">
        <v>1.1499999999999999</v>
      </c>
      <c r="N1657" s="142">
        <v>1.1696</v>
      </c>
      <c r="O1657" s="142">
        <v>1.0538000000000001</v>
      </c>
      <c r="P1657" s="26">
        <v>3733.7716240982236</v>
      </c>
      <c r="Q1657" s="35">
        <f t="array" ref="Q1657">SUM(IF(($S1657&gt;=4)*($C1657='TaxCred&amp;Subs'!$D$114:$D$121)*($H1657='TaxCred&amp;Subs'!$C$114:$C$121)*($H1657&lt;='TaxCred&amp;Subs'!$C$123),'TaxCred&amp;Subs'!$E$114:$E$121,0))</f>
        <v>0</v>
      </c>
      <c r="R1657" s="143">
        <v>0</v>
      </c>
      <c r="S1657" s="5">
        <v>5</v>
      </c>
      <c r="T1657" s="5" t="s">
        <v>221</v>
      </c>
      <c r="V1657" s="7" t="str">
        <f t="array" ref="V1657">INDEX(xlRTCLNAME,MATCH(1,(xlRTCLENDU=1)*(xlRTCLEQCL=$D1657),0))</f>
        <v>DIST_FA</v>
      </c>
      <c r="W1657" s="7" t="str">
        <f t="array" ref="W1657">INDEX(xlRTCLNAME,MATCH(1,(xlRTCLENDU=2)*(xlRTCLEQCL=$F1657),0))</f>
        <v>CENT_AIR</v>
      </c>
      <c r="X1657" s="7" t="str">
        <f t="array" ref="X1657">INDEX(xlRTTYNAME,MATCH(1,(xlRTTYENDU=1)*(xlRTTYEQCL=$D1657)*(xlRTEQTYPE=$E1657),0))</f>
        <v>DIST_FA4</v>
      </c>
      <c r="Y1657" s="7" t="str">
        <f t="array" ref="Y1657">INDEX(xlRTTYNAME,MATCH(1,(xlRTTYENDU=2)*(xlRTTYEQCL=$F1657)*(xlRTEQTYPE=$G1657),0))</f>
        <v>CENT_AIR4</v>
      </c>
    </row>
    <row r="1658" spans="2:25" ht="14.25" customHeight="1" x14ac:dyDescent="0.2">
      <c r="B1658" s="5">
        <v>4</v>
      </c>
      <c r="C1658" s="5">
        <v>2</v>
      </c>
      <c r="D1658" s="5">
        <v>7</v>
      </c>
      <c r="E1658" s="5">
        <v>25</v>
      </c>
      <c r="F1658" s="5">
        <v>2</v>
      </c>
      <c r="G1658" s="31">
        <v>7</v>
      </c>
      <c r="H1658" s="5">
        <v>2023</v>
      </c>
      <c r="I1658" s="5">
        <v>2032</v>
      </c>
      <c r="J1658" s="142">
        <v>1.0934999999999999</v>
      </c>
      <c r="K1658" s="142">
        <v>1.0435000000000001</v>
      </c>
      <c r="L1658" s="142">
        <v>0.62490000000000001</v>
      </c>
      <c r="M1658" s="142">
        <v>1.1499999999999999</v>
      </c>
      <c r="N1658" s="142">
        <v>1.1696</v>
      </c>
      <c r="O1658" s="142">
        <v>1.0538000000000001</v>
      </c>
      <c r="P1658" s="26">
        <v>3733.7716240982236</v>
      </c>
      <c r="Q1658" s="35">
        <f t="array" ref="Q1658">SUM(IF(($S1658&gt;=4)*($C1658='TaxCred&amp;Subs'!$D$114:$D$121)*($H1658='TaxCred&amp;Subs'!$C$114:$C$121)*($H1658&lt;='TaxCred&amp;Subs'!$C$123),'TaxCred&amp;Subs'!$E$114:$E$121,0))</f>
        <v>500</v>
      </c>
      <c r="R1658" s="143">
        <v>0</v>
      </c>
      <c r="S1658" s="5">
        <v>5</v>
      </c>
      <c r="T1658" s="5" t="s">
        <v>221</v>
      </c>
      <c r="V1658" s="7" t="str">
        <f t="array" ref="V1658">INDEX(xlRTCLNAME,MATCH(1,(xlRTCLENDU=1)*(xlRTCLEQCL=$D1658),0))</f>
        <v>DIST_FA</v>
      </c>
      <c r="W1658" s="7" t="str">
        <f t="array" ref="W1658">INDEX(xlRTCLNAME,MATCH(1,(xlRTCLENDU=2)*(xlRTCLEQCL=$F1658),0))</f>
        <v>CENT_AIR</v>
      </c>
      <c r="X1658" s="7" t="str">
        <f t="array" ref="X1658">INDEX(xlRTTYNAME,MATCH(1,(xlRTTYENDU=1)*(xlRTTYEQCL=$D1658)*(xlRTEQTYPE=$E1658),0))</f>
        <v>DIST_FA4</v>
      </c>
      <c r="Y1658" s="7" t="str">
        <f t="array" ref="Y1658">INDEX(xlRTTYNAME,MATCH(1,(xlRTTYENDU=2)*(xlRTTYEQCL=$F1658)*(xlRTEQTYPE=$G1658),0))</f>
        <v>CENT_AIR4</v>
      </c>
    </row>
    <row r="1659" spans="2:25" ht="14.25" customHeight="1" x14ac:dyDescent="0.2">
      <c r="B1659" s="5">
        <v>4</v>
      </c>
      <c r="C1659" s="5">
        <v>2</v>
      </c>
      <c r="D1659" s="5">
        <v>7</v>
      </c>
      <c r="E1659" s="5">
        <v>25</v>
      </c>
      <c r="F1659" s="5">
        <v>2</v>
      </c>
      <c r="G1659" s="31">
        <v>7</v>
      </c>
      <c r="H1659" s="5">
        <v>2033</v>
      </c>
      <c r="I1659" s="5">
        <v>2050</v>
      </c>
      <c r="J1659" s="142">
        <v>1.0934999999999999</v>
      </c>
      <c r="K1659" s="142">
        <v>1.0435000000000001</v>
      </c>
      <c r="L1659" s="142">
        <v>0.62490000000000001</v>
      </c>
      <c r="M1659" s="142">
        <v>1.1499999999999999</v>
      </c>
      <c r="N1659" s="142">
        <v>1.1696</v>
      </c>
      <c r="O1659" s="142">
        <v>1.0538000000000001</v>
      </c>
      <c r="P1659" s="26">
        <v>3733.7716240982236</v>
      </c>
      <c r="Q1659" s="35">
        <f t="array" ref="Q1659">SUM(IF(($S1659&gt;=4)*($C1659='TaxCred&amp;Subs'!$D$114:$D$121)*($H1659='TaxCred&amp;Subs'!$C$114:$C$121)*($H1659&lt;='TaxCred&amp;Subs'!$C$123),'TaxCred&amp;Subs'!$E$114:$E$121,0))</f>
        <v>0</v>
      </c>
      <c r="R1659" s="143">
        <v>0</v>
      </c>
      <c r="S1659" s="5">
        <v>5</v>
      </c>
      <c r="T1659" s="5" t="s">
        <v>221</v>
      </c>
      <c r="V1659" s="7" t="str">
        <f t="array" ref="V1659">INDEX(xlRTCLNAME,MATCH(1,(xlRTCLENDU=1)*(xlRTCLEQCL=$D1659),0))</f>
        <v>DIST_FA</v>
      </c>
      <c r="W1659" s="7" t="str">
        <f t="array" ref="W1659">INDEX(xlRTCLNAME,MATCH(1,(xlRTCLENDU=2)*(xlRTCLEQCL=$F1659),0))</f>
        <v>CENT_AIR</v>
      </c>
      <c r="X1659" s="7" t="str">
        <f t="array" ref="X1659">INDEX(xlRTTYNAME,MATCH(1,(xlRTTYENDU=1)*(xlRTTYEQCL=$D1659)*(xlRTEQTYPE=$E1659),0))</f>
        <v>DIST_FA4</v>
      </c>
      <c r="Y1659" s="7" t="str">
        <f t="array" ref="Y1659">INDEX(xlRTTYNAME,MATCH(1,(xlRTTYENDU=2)*(xlRTTYEQCL=$F1659)*(xlRTEQTYPE=$G1659),0))</f>
        <v>CENT_AIR4</v>
      </c>
    </row>
    <row r="1660" spans="2:25" ht="14.25" customHeight="1" x14ac:dyDescent="0.2">
      <c r="B1660" s="5">
        <v>5</v>
      </c>
      <c r="C1660" s="5">
        <v>2</v>
      </c>
      <c r="D1660" s="5">
        <v>7</v>
      </c>
      <c r="E1660" s="5">
        <v>25</v>
      </c>
      <c r="F1660" s="5">
        <v>2</v>
      </c>
      <c r="G1660" s="31">
        <v>7</v>
      </c>
      <c r="H1660" s="31">
        <v>2020</v>
      </c>
      <c r="I1660" s="5">
        <v>2022</v>
      </c>
      <c r="J1660" s="142">
        <v>1.1200000000000001</v>
      </c>
      <c r="K1660" s="142">
        <v>1.0391999999999999</v>
      </c>
      <c r="L1660" s="142">
        <v>0.44379999999999997</v>
      </c>
      <c r="M1660" s="142">
        <v>1.0314000000000001</v>
      </c>
      <c r="N1660" s="142">
        <v>1.2595000000000001</v>
      </c>
      <c r="O1660" s="142">
        <v>1.0538000000000001</v>
      </c>
      <c r="P1660" s="26">
        <v>3228.2267444939989</v>
      </c>
      <c r="Q1660" s="35">
        <f t="array" ref="Q1660">SUM(IF(($S1660&gt;=4)*($C1660='TaxCred&amp;Subs'!$D$114:$D$121)*($H1660='TaxCred&amp;Subs'!$C$114:$C$121)*($H1660&lt;='TaxCred&amp;Subs'!$C$123),'TaxCred&amp;Subs'!$E$114:$E$121,0))</f>
        <v>0</v>
      </c>
      <c r="R1660" s="143">
        <v>0</v>
      </c>
      <c r="S1660" s="5">
        <v>5</v>
      </c>
      <c r="T1660" s="5" t="s">
        <v>221</v>
      </c>
      <c r="V1660" s="7" t="str">
        <f t="array" ref="V1660">INDEX(xlRTCLNAME,MATCH(1,(xlRTCLENDU=1)*(xlRTCLEQCL=$D1660),0))</f>
        <v>DIST_FA</v>
      </c>
      <c r="W1660" s="7" t="str">
        <f t="array" ref="W1660">INDEX(xlRTCLNAME,MATCH(1,(xlRTCLENDU=2)*(xlRTCLEQCL=$F1660),0))</f>
        <v>CENT_AIR</v>
      </c>
      <c r="X1660" s="7" t="str">
        <f t="array" ref="X1660">INDEX(xlRTTYNAME,MATCH(1,(xlRTTYENDU=1)*(xlRTTYEQCL=$D1660)*(xlRTEQTYPE=$E1660),0))</f>
        <v>DIST_FA4</v>
      </c>
      <c r="Y1660" s="7" t="str">
        <f t="array" ref="Y1660">INDEX(xlRTTYNAME,MATCH(1,(xlRTTYENDU=2)*(xlRTTYEQCL=$F1660)*(xlRTEQTYPE=$G1660),0))</f>
        <v>CENT_AIR4</v>
      </c>
    </row>
    <row r="1661" spans="2:25" ht="14.25" customHeight="1" x14ac:dyDescent="0.2">
      <c r="B1661" s="5">
        <v>5</v>
      </c>
      <c r="C1661" s="5">
        <v>2</v>
      </c>
      <c r="D1661" s="5">
        <v>7</v>
      </c>
      <c r="E1661" s="5">
        <v>25</v>
      </c>
      <c r="F1661" s="5">
        <v>2</v>
      </c>
      <c r="G1661" s="31">
        <v>7</v>
      </c>
      <c r="H1661" s="5">
        <v>2023</v>
      </c>
      <c r="I1661" s="5">
        <v>2032</v>
      </c>
      <c r="J1661" s="142">
        <v>1.1200000000000001</v>
      </c>
      <c r="K1661" s="142">
        <v>1.0391999999999999</v>
      </c>
      <c r="L1661" s="142">
        <v>0.44379999999999997</v>
      </c>
      <c r="M1661" s="142">
        <v>1.0314000000000001</v>
      </c>
      <c r="N1661" s="142">
        <v>1.2595000000000001</v>
      </c>
      <c r="O1661" s="142">
        <v>1.0538000000000001</v>
      </c>
      <c r="P1661" s="26">
        <v>3228.2267444939989</v>
      </c>
      <c r="Q1661" s="35">
        <f t="array" ref="Q1661">SUM(IF(($S1661&gt;=4)*($C1661='TaxCred&amp;Subs'!$D$114:$D$121)*($H1661='TaxCred&amp;Subs'!$C$114:$C$121)*($H1661&lt;='TaxCred&amp;Subs'!$C$123),'TaxCred&amp;Subs'!$E$114:$E$121,0))</f>
        <v>500</v>
      </c>
      <c r="R1661" s="143">
        <v>0</v>
      </c>
      <c r="S1661" s="5">
        <v>5</v>
      </c>
      <c r="T1661" s="5" t="s">
        <v>221</v>
      </c>
      <c r="V1661" s="7" t="str">
        <f t="array" ref="V1661">INDEX(xlRTCLNAME,MATCH(1,(xlRTCLENDU=1)*(xlRTCLEQCL=$D1661),0))</f>
        <v>DIST_FA</v>
      </c>
      <c r="W1661" s="7" t="str">
        <f t="array" ref="W1661">INDEX(xlRTCLNAME,MATCH(1,(xlRTCLENDU=2)*(xlRTCLEQCL=$F1661),0))</f>
        <v>CENT_AIR</v>
      </c>
      <c r="X1661" s="7" t="str">
        <f t="array" ref="X1661">INDEX(xlRTTYNAME,MATCH(1,(xlRTTYENDU=1)*(xlRTTYEQCL=$D1661)*(xlRTEQTYPE=$E1661),0))</f>
        <v>DIST_FA4</v>
      </c>
      <c r="Y1661" s="7" t="str">
        <f t="array" ref="Y1661">INDEX(xlRTTYNAME,MATCH(1,(xlRTTYENDU=2)*(xlRTTYEQCL=$F1661)*(xlRTEQTYPE=$G1661),0))</f>
        <v>CENT_AIR4</v>
      </c>
    </row>
    <row r="1662" spans="2:25" ht="14.25" customHeight="1" x14ac:dyDescent="0.2">
      <c r="B1662" s="5">
        <v>5</v>
      </c>
      <c r="C1662" s="5">
        <v>2</v>
      </c>
      <c r="D1662" s="5">
        <v>7</v>
      </c>
      <c r="E1662" s="5">
        <v>25</v>
      </c>
      <c r="F1662" s="5">
        <v>2</v>
      </c>
      <c r="G1662" s="31">
        <v>7</v>
      </c>
      <c r="H1662" s="5">
        <v>2033</v>
      </c>
      <c r="I1662" s="5">
        <v>2050</v>
      </c>
      <c r="J1662" s="142">
        <v>1.1200000000000001</v>
      </c>
      <c r="K1662" s="142">
        <v>1.0391999999999999</v>
      </c>
      <c r="L1662" s="142">
        <v>0.44379999999999997</v>
      </c>
      <c r="M1662" s="142">
        <v>1.0314000000000001</v>
      </c>
      <c r="N1662" s="142">
        <v>1.2595000000000001</v>
      </c>
      <c r="O1662" s="142">
        <v>1.0538000000000001</v>
      </c>
      <c r="P1662" s="26">
        <v>3228.2267444939989</v>
      </c>
      <c r="Q1662" s="35">
        <f t="array" ref="Q1662">SUM(IF(($S1662&gt;=4)*($C1662='TaxCred&amp;Subs'!$D$114:$D$121)*($H1662='TaxCred&amp;Subs'!$C$114:$C$121)*($H1662&lt;='TaxCred&amp;Subs'!$C$123),'TaxCred&amp;Subs'!$E$114:$E$121,0))</f>
        <v>0</v>
      </c>
      <c r="R1662" s="143">
        <v>0</v>
      </c>
      <c r="S1662" s="5">
        <v>5</v>
      </c>
      <c r="T1662" s="5" t="s">
        <v>221</v>
      </c>
      <c r="V1662" s="7" t="str">
        <f t="array" ref="V1662">INDEX(xlRTCLNAME,MATCH(1,(xlRTCLENDU=1)*(xlRTCLEQCL=$D1662),0))</f>
        <v>DIST_FA</v>
      </c>
      <c r="W1662" s="7" t="str">
        <f t="array" ref="W1662">INDEX(xlRTCLNAME,MATCH(1,(xlRTCLENDU=2)*(xlRTCLEQCL=$F1662),0))</f>
        <v>CENT_AIR</v>
      </c>
      <c r="X1662" s="7" t="str">
        <f t="array" ref="X1662">INDEX(xlRTTYNAME,MATCH(1,(xlRTTYENDU=1)*(xlRTTYEQCL=$D1662)*(xlRTEQTYPE=$E1662),0))</f>
        <v>DIST_FA4</v>
      </c>
      <c r="Y1662" s="7" t="str">
        <f t="array" ref="Y1662">INDEX(xlRTTYNAME,MATCH(1,(xlRTTYENDU=2)*(xlRTTYEQCL=$F1662)*(xlRTEQTYPE=$G1662),0))</f>
        <v>CENT_AIR4</v>
      </c>
    </row>
    <row r="1663" spans="2:25" ht="14.25" customHeight="1" x14ac:dyDescent="0.2">
      <c r="B1663" s="5">
        <v>6</v>
      </c>
      <c r="C1663" s="5">
        <v>2</v>
      </c>
      <c r="D1663" s="5">
        <v>7</v>
      </c>
      <c r="E1663" s="5">
        <v>25</v>
      </c>
      <c r="F1663" s="5">
        <v>2</v>
      </c>
      <c r="G1663" s="31">
        <v>7</v>
      </c>
      <c r="H1663" s="31">
        <v>2020</v>
      </c>
      <c r="I1663" s="5">
        <v>2022</v>
      </c>
      <c r="J1663" s="142">
        <v>1.1200000000000001</v>
      </c>
      <c r="K1663" s="142">
        <v>1.03</v>
      </c>
      <c r="L1663" s="142">
        <v>0.44379999999999997</v>
      </c>
      <c r="M1663" s="142">
        <v>1.0546</v>
      </c>
      <c r="N1663" s="142">
        <v>1.3381000000000001</v>
      </c>
      <c r="O1663" s="142">
        <v>1.0538000000000001</v>
      </c>
      <c r="P1663" s="26">
        <v>3572.4275135862376</v>
      </c>
      <c r="Q1663" s="35">
        <f t="array" ref="Q1663">SUM(IF(($S1663&gt;=4)*($C1663='TaxCred&amp;Subs'!$D$114:$D$121)*($H1663='TaxCred&amp;Subs'!$C$114:$C$121)*($H1663&lt;='TaxCred&amp;Subs'!$C$123),'TaxCred&amp;Subs'!$E$114:$E$121,0))</f>
        <v>0</v>
      </c>
      <c r="R1663" s="143">
        <v>0</v>
      </c>
      <c r="S1663" s="5">
        <v>5</v>
      </c>
      <c r="T1663" s="5" t="s">
        <v>221</v>
      </c>
      <c r="V1663" s="7" t="str">
        <f t="array" ref="V1663">INDEX(xlRTCLNAME,MATCH(1,(xlRTCLENDU=1)*(xlRTCLEQCL=$D1663),0))</f>
        <v>DIST_FA</v>
      </c>
      <c r="W1663" s="7" t="str">
        <f t="array" ref="W1663">INDEX(xlRTCLNAME,MATCH(1,(xlRTCLENDU=2)*(xlRTCLEQCL=$F1663),0))</f>
        <v>CENT_AIR</v>
      </c>
      <c r="X1663" s="7" t="str">
        <f t="array" ref="X1663">INDEX(xlRTTYNAME,MATCH(1,(xlRTTYENDU=1)*(xlRTTYEQCL=$D1663)*(xlRTEQTYPE=$E1663),0))</f>
        <v>DIST_FA4</v>
      </c>
      <c r="Y1663" s="7" t="str">
        <f t="array" ref="Y1663">INDEX(xlRTTYNAME,MATCH(1,(xlRTTYENDU=2)*(xlRTTYEQCL=$F1663)*(xlRTEQTYPE=$G1663),0))</f>
        <v>CENT_AIR4</v>
      </c>
    </row>
    <row r="1664" spans="2:25" ht="14.25" customHeight="1" x14ac:dyDescent="0.2">
      <c r="B1664" s="5">
        <v>6</v>
      </c>
      <c r="C1664" s="5">
        <v>2</v>
      </c>
      <c r="D1664" s="5">
        <v>7</v>
      </c>
      <c r="E1664" s="5">
        <v>25</v>
      </c>
      <c r="F1664" s="5">
        <v>2</v>
      </c>
      <c r="G1664" s="31">
        <v>7</v>
      </c>
      <c r="H1664" s="5">
        <v>2023</v>
      </c>
      <c r="I1664" s="5">
        <v>2032</v>
      </c>
      <c r="J1664" s="142">
        <v>1.1200000000000001</v>
      </c>
      <c r="K1664" s="142">
        <v>1.03</v>
      </c>
      <c r="L1664" s="142">
        <v>0.44379999999999997</v>
      </c>
      <c r="M1664" s="142">
        <v>1.0546</v>
      </c>
      <c r="N1664" s="142">
        <v>1.3381000000000001</v>
      </c>
      <c r="O1664" s="142">
        <v>1.0538000000000001</v>
      </c>
      <c r="P1664" s="26">
        <v>3572.4275135862376</v>
      </c>
      <c r="Q1664" s="35">
        <f t="array" ref="Q1664">SUM(IF(($S1664&gt;=4)*($C1664='TaxCred&amp;Subs'!$D$114:$D$121)*($H1664='TaxCred&amp;Subs'!$C$114:$C$121)*($H1664&lt;='TaxCred&amp;Subs'!$C$123),'TaxCred&amp;Subs'!$E$114:$E$121,0))</f>
        <v>500</v>
      </c>
      <c r="R1664" s="143">
        <v>0</v>
      </c>
      <c r="S1664" s="5">
        <v>5</v>
      </c>
      <c r="T1664" s="5" t="s">
        <v>221</v>
      </c>
      <c r="V1664" s="7" t="str">
        <f t="array" ref="V1664">INDEX(xlRTCLNAME,MATCH(1,(xlRTCLENDU=1)*(xlRTCLEQCL=$D1664),0))</f>
        <v>DIST_FA</v>
      </c>
      <c r="W1664" s="7" t="str">
        <f t="array" ref="W1664">INDEX(xlRTCLNAME,MATCH(1,(xlRTCLENDU=2)*(xlRTCLEQCL=$F1664),0))</f>
        <v>CENT_AIR</v>
      </c>
      <c r="X1664" s="7" t="str">
        <f t="array" ref="X1664">INDEX(xlRTTYNAME,MATCH(1,(xlRTTYENDU=1)*(xlRTTYEQCL=$D1664)*(xlRTEQTYPE=$E1664),0))</f>
        <v>DIST_FA4</v>
      </c>
      <c r="Y1664" s="7" t="str">
        <f t="array" ref="Y1664">INDEX(xlRTTYNAME,MATCH(1,(xlRTTYENDU=2)*(xlRTTYEQCL=$F1664)*(xlRTEQTYPE=$G1664),0))</f>
        <v>CENT_AIR4</v>
      </c>
    </row>
    <row r="1665" spans="2:25" ht="14.25" customHeight="1" x14ac:dyDescent="0.2">
      <c r="B1665" s="5">
        <v>6</v>
      </c>
      <c r="C1665" s="5">
        <v>2</v>
      </c>
      <c r="D1665" s="5">
        <v>7</v>
      </c>
      <c r="E1665" s="5">
        <v>25</v>
      </c>
      <c r="F1665" s="5">
        <v>2</v>
      </c>
      <c r="G1665" s="31">
        <v>7</v>
      </c>
      <c r="H1665" s="5">
        <v>2033</v>
      </c>
      <c r="I1665" s="5">
        <v>2050</v>
      </c>
      <c r="J1665" s="142">
        <v>1.1200000000000001</v>
      </c>
      <c r="K1665" s="142">
        <v>1.03</v>
      </c>
      <c r="L1665" s="142">
        <v>0.44379999999999997</v>
      </c>
      <c r="M1665" s="142">
        <v>1.0546</v>
      </c>
      <c r="N1665" s="142">
        <v>1.3381000000000001</v>
      </c>
      <c r="O1665" s="142">
        <v>1.0538000000000001</v>
      </c>
      <c r="P1665" s="26">
        <v>3572.4275135862376</v>
      </c>
      <c r="Q1665" s="35">
        <f t="array" ref="Q1665">SUM(IF(($S1665&gt;=4)*($C1665='TaxCred&amp;Subs'!$D$114:$D$121)*($H1665='TaxCred&amp;Subs'!$C$114:$C$121)*($H1665&lt;='TaxCred&amp;Subs'!$C$123),'TaxCred&amp;Subs'!$E$114:$E$121,0))</f>
        <v>0</v>
      </c>
      <c r="R1665" s="143">
        <v>0</v>
      </c>
      <c r="S1665" s="5">
        <v>5</v>
      </c>
      <c r="T1665" s="5" t="s">
        <v>221</v>
      </c>
      <c r="V1665" s="7" t="str">
        <f t="array" ref="V1665">INDEX(xlRTCLNAME,MATCH(1,(xlRTCLENDU=1)*(xlRTCLEQCL=$D1665),0))</f>
        <v>DIST_FA</v>
      </c>
      <c r="W1665" s="7" t="str">
        <f t="array" ref="W1665">INDEX(xlRTCLNAME,MATCH(1,(xlRTCLENDU=2)*(xlRTCLEQCL=$F1665),0))</f>
        <v>CENT_AIR</v>
      </c>
      <c r="X1665" s="7" t="str">
        <f t="array" ref="X1665">INDEX(xlRTTYNAME,MATCH(1,(xlRTTYENDU=1)*(xlRTTYEQCL=$D1665)*(xlRTEQTYPE=$E1665),0))</f>
        <v>DIST_FA4</v>
      </c>
      <c r="Y1665" s="7" t="str">
        <f t="array" ref="Y1665">INDEX(xlRTTYNAME,MATCH(1,(xlRTTYENDU=2)*(xlRTTYEQCL=$F1665)*(xlRTEQTYPE=$G1665),0))</f>
        <v>CENT_AIR4</v>
      </c>
    </row>
    <row r="1666" spans="2:25" ht="14.25" customHeight="1" x14ac:dyDescent="0.2">
      <c r="B1666" s="5">
        <v>7</v>
      </c>
      <c r="C1666" s="5">
        <v>2</v>
      </c>
      <c r="D1666" s="5">
        <v>7</v>
      </c>
      <c r="E1666" s="5">
        <v>25</v>
      </c>
      <c r="F1666" s="5">
        <v>2</v>
      </c>
      <c r="G1666" s="31">
        <v>7</v>
      </c>
      <c r="H1666" s="31">
        <v>2020</v>
      </c>
      <c r="I1666" s="5">
        <v>2022</v>
      </c>
      <c r="J1666" s="142">
        <v>1.1200000000000001</v>
      </c>
      <c r="K1666" s="142">
        <v>1.0476000000000001</v>
      </c>
      <c r="L1666" s="142">
        <v>0.44379999999999997</v>
      </c>
      <c r="M1666" s="142">
        <v>1.0569</v>
      </c>
      <c r="N1666" s="142">
        <v>1.4438</v>
      </c>
      <c r="O1666" s="142">
        <v>1.0538000000000001</v>
      </c>
      <c r="P1666" s="26">
        <v>3120.6640041526744</v>
      </c>
      <c r="Q1666" s="35">
        <f t="array" ref="Q1666">SUM(IF(($S1666&gt;=4)*($C1666='TaxCred&amp;Subs'!$D$114:$D$121)*($H1666='TaxCred&amp;Subs'!$C$114:$C$121)*($H1666&lt;='TaxCred&amp;Subs'!$C$123),'TaxCred&amp;Subs'!$E$114:$E$121,0))</f>
        <v>0</v>
      </c>
      <c r="R1666" s="143">
        <v>0</v>
      </c>
      <c r="S1666" s="5">
        <v>5</v>
      </c>
      <c r="T1666" s="5" t="s">
        <v>221</v>
      </c>
      <c r="V1666" s="7" t="str">
        <f t="array" ref="V1666">INDEX(xlRTCLNAME,MATCH(1,(xlRTCLENDU=1)*(xlRTCLEQCL=$D1666),0))</f>
        <v>DIST_FA</v>
      </c>
      <c r="W1666" s="7" t="str">
        <f t="array" ref="W1666">INDEX(xlRTCLNAME,MATCH(1,(xlRTCLENDU=2)*(xlRTCLEQCL=$F1666),0))</f>
        <v>CENT_AIR</v>
      </c>
      <c r="X1666" s="7" t="str">
        <f t="array" ref="X1666">INDEX(xlRTTYNAME,MATCH(1,(xlRTTYENDU=1)*(xlRTTYEQCL=$D1666)*(xlRTEQTYPE=$E1666),0))</f>
        <v>DIST_FA4</v>
      </c>
      <c r="Y1666" s="7" t="str">
        <f t="array" ref="Y1666">INDEX(xlRTTYNAME,MATCH(1,(xlRTTYENDU=2)*(xlRTTYEQCL=$F1666)*(xlRTEQTYPE=$G1666),0))</f>
        <v>CENT_AIR4</v>
      </c>
    </row>
    <row r="1667" spans="2:25" ht="14.25" customHeight="1" x14ac:dyDescent="0.2">
      <c r="B1667" s="5">
        <v>7</v>
      </c>
      <c r="C1667" s="5">
        <v>2</v>
      </c>
      <c r="D1667" s="5">
        <v>7</v>
      </c>
      <c r="E1667" s="5">
        <v>25</v>
      </c>
      <c r="F1667" s="5">
        <v>2</v>
      </c>
      <c r="G1667" s="31">
        <v>7</v>
      </c>
      <c r="H1667" s="5">
        <v>2023</v>
      </c>
      <c r="I1667" s="5">
        <v>2032</v>
      </c>
      <c r="J1667" s="142">
        <v>1.1200000000000001</v>
      </c>
      <c r="K1667" s="142">
        <v>1.0476000000000001</v>
      </c>
      <c r="L1667" s="142">
        <v>0.44379999999999997</v>
      </c>
      <c r="M1667" s="142">
        <v>1.0569</v>
      </c>
      <c r="N1667" s="142">
        <v>1.4438</v>
      </c>
      <c r="O1667" s="142">
        <v>1.0538000000000001</v>
      </c>
      <c r="P1667" s="26">
        <v>3120.6640041526744</v>
      </c>
      <c r="Q1667" s="35">
        <f t="array" ref="Q1667">SUM(IF(($S1667&gt;=4)*($C1667='TaxCred&amp;Subs'!$D$114:$D$121)*($H1667='TaxCred&amp;Subs'!$C$114:$C$121)*($H1667&lt;='TaxCred&amp;Subs'!$C$123),'TaxCred&amp;Subs'!$E$114:$E$121,0))</f>
        <v>500</v>
      </c>
      <c r="R1667" s="143">
        <v>0</v>
      </c>
      <c r="S1667" s="5">
        <v>5</v>
      </c>
      <c r="T1667" s="5" t="s">
        <v>221</v>
      </c>
      <c r="V1667" s="7" t="str">
        <f t="array" ref="V1667">INDEX(xlRTCLNAME,MATCH(1,(xlRTCLENDU=1)*(xlRTCLEQCL=$D1667),0))</f>
        <v>DIST_FA</v>
      </c>
      <c r="W1667" s="7" t="str">
        <f t="array" ref="W1667">INDEX(xlRTCLNAME,MATCH(1,(xlRTCLENDU=2)*(xlRTCLEQCL=$F1667),0))</f>
        <v>CENT_AIR</v>
      </c>
      <c r="X1667" s="7" t="str">
        <f t="array" ref="X1667">INDEX(xlRTTYNAME,MATCH(1,(xlRTTYENDU=1)*(xlRTTYEQCL=$D1667)*(xlRTEQTYPE=$E1667),0))</f>
        <v>DIST_FA4</v>
      </c>
      <c r="Y1667" s="7" t="str">
        <f t="array" ref="Y1667">INDEX(xlRTTYNAME,MATCH(1,(xlRTTYENDU=2)*(xlRTTYEQCL=$F1667)*(xlRTEQTYPE=$G1667),0))</f>
        <v>CENT_AIR4</v>
      </c>
    </row>
    <row r="1668" spans="2:25" ht="14.25" customHeight="1" x14ac:dyDescent="0.2">
      <c r="B1668" s="5">
        <v>7</v>
      </c>
      <c r="C1668" s="5">
        <v>2</v>
      </c>
      <c r="D1668" s="5">
        <v>7</v>
      </c>
      <c r="E1668" s="5">
        <v>25</v>
      </c>
      <c r="F1668" s="5">
        <v>2</v>
      </c>
      <c r="G1668" s="31">
        <v>7</v>
      </c>
      <c r="H1668" s="5">
        <v>2033</v>
      </c>
      <c r="I1668" s="5">
        <v>2050</v>
      </c>
      <c r="J1668" s="142">
        <v>1.1200000000000001</v>
      </c>
      <c r="K1668" s="142">
        <v>1.0476000000000001</v>
      </c>
      <c r="L1668" s="142">
        <v>0.44379999999999997</v>
      </c>
      <c r="M1668" s="142">
        <v>1.0569</v>
      </c>
      <c r="N1668" s="142">
        <v>1.4438</v>
      </c>
      <c r="O1668" s="142">
        <v>1.0538000000000001</v>
      </c>
      <c r="P1668" s="26">
        <v>3120.6640041526744</v>
      </c>
      <c r="Q1668" s="35">
        <f t="array" ref="Q1668">SUM(IF(($S1668&gt;=4)*($C1668='TaxCred&amp;Subs'!$D$114:$D$121)*($H1668='TaxCred&amp;Subs'!$C$114:$C$121)*($H1668&lt;='TaxCred&amp;Subs'!$C$123),'TaxCred&amp;Subs'!$E$114:$E$121,0))</f>
        <v>0</v>
      </c>
      <c r="R1668" s="143">
        <v>0</v>
      </c>
      <c r="S1668" s="5">
        <v>5</v>
      </c>
      <c r="T1668" s="5" t="s">
        <v>221</v>
      </c>
      <c r="V1668" s="7" t="str">
        <f t="array" ref="V1668">INDEX(xlRTCLNAME,MATCH(1,(xlRTCLENDU=1)*(xlRTCLEQCL=$D1668),0))</f>
        <v>DIST_FA</v>
      </c>
      <c r="W1668" s="7" t="str">
        <f t="array" ref="W1668">INDEX(xlRTCLNAME,MATCH(1,(xlRTCLENDU=2)*(xlRTCLEQCL=$F1668),0))</f>
        <v>CENT_AIR</v>
      </c>
      <c r="X1668" s="7" t="str">
        <f t="array" ref="X1668">INDEX(xlRTTYNAME,MATCH(1,(xlRTTYENDU=1)*(xlRTTYEQCL=$D1668)*(xlRTEQTYPE=$E1668),0))</f>
        <v>DIST_FA4</v>
      </c>
      <c r="Y1668" s="7" t="str">
        <f t="array" ref="Y1668">INDEX(xlRTTYNAME,MATCH(1,(xlRTTYENDU=2)*(xlRTTYEQCL=$F1668)*(xlRTEQTYPE=$G1668),0))</f>
        <v>CENT_AIR4</v>
      </c>
    </row>
    <row r="1669" spans="2:25" ht="14.25" customHeight="1" x14ac:dyDescent="0.2">
      <c r="B1669" s="5">
        <v>8</v>
      </c>
      <c r="C1669" s="5">
        <v>2</v>
      </c>
      <c r="D1669" s="5">
        <v>7</v>
      </c>
      <c r="E1669" s="5">
        <v>25</v>
      </c>
      <c r="F1669" s="5">
        <v>2</v>
      </c>
      <c r="G1669" s="31">
        <v>7</v>
      </c>
      <c r="H1669" s="31">
        <v>2020</v>
      </c>
      <c r="I1669" s="5">
        <v>2022</v>
      </c>
      <c r="J1669" s="142">
        <v>1.1064000000000001</v>
      </c>
      <c r="K1669" s="142">
        <v>1.0645</v>
      </c>
      <c r="L1669" s="142">
        <v>0.54869999999999997</v>
      </c>
      <c r="M1669" s="142">
        <v>1.2087000000000001</v>
      </c>
      <c r="N1669" s="142">
        <v>1.2826</v>
      </c>
      <c r="O1669" s="142">
        <v>1.0538000000000001</v>
      </c>
      <c r="P1669" s="26">
        <v>3884.3594605760777</v>
      </c>
      <c r="Q1669" s="35">
        <f t="array" ref="Q1669">SUM(IF(($S1669&gt;=4)*($C1669='TaxCred&amp;Subs'!$D$114:$D$121)*($H1669='TaxCred&amp;Subs'!$C$114:$C$121)*($H1669&lt;='TaxCred&amp;Subs'!$C$123),'TaxCred&amp;Subs'!$E$114:$E$121,0))</f>
        <v>0</v>
      </c>
      <c r="R1669" s="143">
        <v>0</v>
      </c>
      <c r="S1669" s="5">
        <v>5</v>
      </c>
      <c r="T1669" s="5" t="s">
        <v>221</v>
      </c>
      <c r="V1669" s="7" t="str">
        <f t="array" ref="V1669">INDEX(xlRTCLNAME,MATCH(1,(xlRTCLENDU=1)*(xlRTCLEQCL=$D1669),0))</f>
        <v>DIST_FA</v>
      </c>
      <c r="W1669" s="7" t="str">
        <f t="array" ref="W1669">INDEX(xlRTCLNAME,MATCH(1,(xlRTCLENDU=2)*(xlRTCLEQCL=$F1669),0))</f>
        <v>CENT_AIR</v>
      </c>
      <c r="X1669" s="7" t="str">
        <f t="array" ref="X1669">INDEX(xlRTTYNAME,MATCH(1,(xlRTTYENDU=1)*(xlRTTYEQCL=$D1669)*(xlRTEQTYPE=$E1669),0))</f>
        <v>DIST_FA4</v>
      </c>
      <c r="Y1669" s="7" t="str">
        <f t="array" ref="Y1669">INDEX(xlRTTYNAME,MATCH(1,(xlRTTYENDU=2)*(xlRTTYEQCL=$F1669)*(xlRTEQTYPE=$G1669),0))</f>
        <v>CENT_AIR4</v>
      </c>
    </row>
    <row r="1670" spans="2:25" ht="14.25" customHeight="1" x14ac:dyDescent="0.2">
      <c r="B1670" s="5">
        <v>8</v>
      </c>
      <c r="C1670" s="5">
        <v>2</v>
      </c>
      <c r="D1670" s="5">
        <v>7</v>
      </c>
      <c r="E1670" s="5">
        <v>25</v>
      </c>
      <c r="F1670" s="5">
        <v>2</v>
      </c>
      <c r="G1670" s="31">
        <v>7</v>
      </c>
      <c r="H1670" s="5">
        <v>2023</v>
      </c>
      <c r="I1670" s="5">
        <v>2032</v>
      </c>
      <c r="J1670" s="142">
        <v>1.1064000000000001</v>
      </c>
      <c r="K1670" s="142">
        <v>1.0645</v>
      </c>
      <c r="L1670" s="142">
        <v>0.54869999999999997</v>
      </c>
      <c r="M1670" s="142">
        <v>1.2087000000000001</v>
      </c>
      <c r="N1670" s="142">
        <v>1.2826</v>
      </c>
      <c r="O1670" s="142">
        <v>1.0538000000000001</v>
      </c>
      <c r="P1670" s="26">
        <v>3884.3594605760777</v>
      </c>
      <c r="Q1670" s="35">
        <f t="array" ref="Q1670">SUM(IF(($S1670&gt;=4)*($C1670='TaxCred&amp;Subs'!$D$114:$D$121)*($H1670='TaxCred&amp;Subs'!$C$114:$C$121)*($H1670&lt;='TaxCred&amp;Subs'!$C$123),'TaxCred&amp;Subs'!$E$114:$E$121,0))</f>
        <v>500</v>
      </c>
      <c r="R1670" s="143">
        <v>0</v>
      </c>
      <c r="S1670" s="5">
        <v>5</v>
      </c>
      <c r="T1670" s="5" t="s">
        <v>221</v>
      </c>
      <c r="V1670" s="7" t="str">
        <f t="array" ref="V1670">INDEX(xlRTCLNAME,MATCH(1,(xlRTCLENDU=1)*(xlRTCLEQCL=$D1670),0))</f>
        <v>DIST_FA</v>
      </c>
      <c r="W1670" s="7" t="str">
        <f t="array" ref="W1670">INDEX(xlRTCLNAME,MATCH(1,(xlRTCLENDU=2)*(xlRTCLEQCL=$F1670),0))</f>
        <v>CENT_AIR</v>
      </c>
      <c r="X1670" s="7" t="str">
        <f t="array" ref="X1670">INDEX(xlRTTYNAME,MATCH(1,(xlRTTYENDU=1)*(xlRTTYEQCL=$D1670)*(xlRTEQTYPE=$E1670),0))</f>
        <v>DIST_FA4</v>
      </c>
      <c r="Y1670" s="7" t="str">
        <f t="array" ref="Y1670">INDEX(xlRTTYNAME,MATCH(1,(xlRTTYENDU=2)*(xlRTTYEQCL=$F1670)*(xlRTEQTYPE=$G1670),0))</f>
        <v>CENT_AIR4</v>
      </c>
    </row>
    <row r="1671" spans="2:25" ht="14.25" customHeight="1" x14ac:dyDescent="0.2">
      <c r="B1671" s="5">
        <v>8</v>
      </c>
      <c r="C1671" s="5">
        <v>2</v>
      </c>
      <c r="D1671" s="5">
        <v>7</v>
      </c>
      <c r="E1671" s="5">
        <v>25</v>
      </c>
      <c r="F1671" s="5">
        <v>2</v>
      </c>
      <c r="G1671" s="31">
        <v>7</v>
      </c>
      <c r="H1671" s="5">
        <v>2033</v>
      </c>
      <c r="I1671" s="5">
        <v>2050</v>
      </c>
      <c r="J1671" s="142">
        <v>1.1064000000000001</v>
      </c>
      <c r="K1671" s="142">
        <v>1.0645</v>
      </c>
      <c r="L1671" s="142">
        <v>0.54869999999999997</v>
      </c>
      <c r="M1671" s="142">
        <v>1.2087000000000001</v>
      </c>
      <c r="N1671" s="142">
        <v>1.2826</v>
      </c>
      <c r="O1671" s="142">
        <v>1.0538000000000001</v>
      </c>
      <c r="P1671" s="26">
        <v>3884.3594605760777</v>
      </c>
      <c r="Q1671" s="35">
        <f t="array" ref="Q1671">SUM(IF(($S1671&gt;=4)*($C1671='TaxCred&amp;Subs'!$D$114:$D$121)*($H1671='TaxCred&amp;Subs'!$C$114:$C$121)*($H1671&lt;='TaxCred&amp;Subs'!$C$123),'TaxCred&amp;Subs'!$E$114:$E$121,0))</f>
        <v>0</v>
      </c>
      <c r="R1671" s="143">
        <v>0</v>
      </c>
      <c r="S1671" s="5">
        <v>5</v>
      </c>
      <c r="T1671" s="5" t="s">
        <v>221</v>
      </c>
      <c r="V1671" s="7" t="str">
        <f t="array" ref="V1671">INDEX(xlRTCLNAME,MATCH(1,(xlRTCLENDU=1)*(xlRTCLEQCL=$D1671),0))</f>
        <v>DIST_FA</v>
      </c>
      <c r="W1671" s="7" t="str">
        <f t="array" ref="W1671">INDEX(xlRTCLNAME,MATCH(1,(xlRTCLENDU=2)*(xlRTCLEQCL=$F1671),0))</f>
        <v>CENT_AIR</v>
      </c>
      <c r="X1671" s="7" t="str">
        <f t="array" ref="X1671">INDEX(xlRTTYNAME,MATCH(1,(xlRTTYENDU=1)*(xlRTTYEQCL=$D1671)*(xlRTEQTYPE=$E1671),0))</f>
        <v>DIST_FA4</v>
      </c>
      <c r="Y1671" s="7" t="str">
        <f t="array" ref="Y1671">INDEX(xlRTTYNAME,MATCH(1,(xlRTTYENDU=2)*(xlRTTYEQCL=$F1671)*(xlRTEQTYPE=$G1671),0))</f>
        <v>CENT_AIR4</v>
      </c>
    </row>
    <row r="1672" spans="2:25" ht="14.25" customHeight="1" x14ac:dyDescent="0.2">
      <c r="B1672" s="5">
        <v>9</v>
      </c>
      <c r="C1672" s="5">
        <v>2</v>
      </c>
      <c r="D1672" s="5">
        <v>7</v>
      </c>
      <c r="E1672" s="5">
        <v>25</v>
      </c>
      <c r="F1672" s="5">
        <v>2</v>
      </c>
      <c r="G1672" s="31">
        <v>7</v>
      </c>
      <c r="H1672" s="31">
        <v>2020</v>
      </c>
      <c r="I1672" s="5">
        <v>2022</v>
      </c>
      <c r="J1672" s="142">
        <v>1.03</v>
      </c>
      <c r="K1672" s="142">
        <v>1.0556000000000001</v>
      </c>
      <c r="L1672" s="142">
        <v>0.44379999999999997</v>
      </c>
      <c r="M1672" s="142">
        <v>1.1167</v>
      </c>
      <c r="N1672" s="142">
        <v>1.4438</v>
      </c>
      <c r="O1672" s="142">
        <v>1.0538000000000001</v>
      </c>
      <c r="P1672" s="26">
        <v>4447.7193131137647</v>
      </c>
      <c r="Q1672" s="35">
        <f t="array" ref="Q1672">SUM(IF(($S1672&gt;=4)*($C1672='TaxCred&amp;Subs'!$D$114:$D$121)*($H1672='TaxCred&amp;Subs'!$C$114:$C$121)*($H1672&lt;='TaxCred&amp;Subs'!$C$123),'TaxCred&amp;Subs'!$E$114:$E$121,0))</f>
        <v>0</v>
      </c>
      <c r="R1672" s="143">
        <v>0</v>
      </c>
      <c r="S1672" s="5">
        <v>5</v>
      </c>
      <c r="T1672" s="5" t="s">
        <v>221</v>
      </c>
      <c r="V1672" s="7" t="str">
        <f t="array" ref="V1672">INDEX(xlRTCLNAME,MATCH(1,(xlRTCLENDU=1)*(xlRTCLEQCL=$D1672),0))</f>
        <v>DIST_FA</v>
      </c>
      <c r="W1672" s="7" t="str">
        <f t="array" ref="W1672">INDEX(xlRTCLNAME,MATCH(1,(xlRTCLENDU=2)*(xlRTCLEQCL=$F1672),0))</f>
        <v>CENT_AIR</v>
      </c>
      <c r="X1672" s="7" t="str">
        <f t="array" ref="X1672">INDEX(xlRTTYNAME,MATCH(1,(xlRTTYENDU=1)*(xlRTTYEQCL=$D1672)*(xlRTEQTYPE=$E1672),0))</f>
        <v>DIST_FA4</v>
      </c>
      <c r="Y1672" s="7" t="str">
        <f t="array" ref="Y1672">INDEX(xlRTTYNAME,MATCH(1,(xlRTTYENDU=2)*(xlRTTYEQCL=$F1672)*(xlRTEQTYPE=$G1672),0))</f>
        <v>CENT_AIR4</v>
      </c>
    </row>
    <row r="1673" spans="2:25" ht="14.25" customHeight="1" x14ac:dyDescent="0.2">
      <c r="B1673" s="5">
        <v>9</v>
      </c>
      <c r="C1673" s="5">
        <v>2</v>
      </c>
      <c r="D1673" s="5">
        <v>7</v>
      </c>
      <c r="E1673" s="5">
        <v>25</v>
      </c>
      <c r="F1673" s="5">
        <v>2</v>
      </c>
      <c r="G1673" s="31">
        <v>7</v>
      </c>
      <c r="H1673" s="5">
        <v>2023</v>
      </c>
      <c r="I1673" s="5">
        <v>2032</v>
      </c>
      <c r="J1673" s="142">
        <v>1.03</v>
      </c>
      <c r="K1673" s="142">
        <v>1.0556000000000001</v>
      </c>
      <c r="L1673" s="142">
        <v>0.44379999999999997</v>
      </c>
      <c r="M1673" s="142">
        <v>1.1167</v>
      </c>
      <c r="N1673" s="142">
        <v>1.4438</v>
      </c>
      <c r="O1673" s="142">
        <v>1.0538000000000001</v>
      </c>
      <c r="P1673" s="26">
        <v>4447.7193131137647</v>
      </c>
      <c r="Q1673" s="35">
        <f t="array" ref="Q1673">SUM(IF(($S1673&gt;=4)*($C1673='TaxCred&amp;Subs'!$D$114:$D$121)*($H1673='TaxCred&amp;Subs'!$C$114:$C$121)*($H1673&lt;='TaxCred&amp;Subs'!$C$123),'TaxCred&amp;Subs'!$E$114:$E$121,0))</f>
        <v>500</v>
      </c>
      <c r="R1673" s="143">
        <v>0</v>
      </c>
      <c r="S1673" s="5">
        <v>5</v>
      </c>
      <c r="T1673" s="5" t="s">
        <v>221</v>
      </c>
      <c r="V1673" s="7" t="str">
        <f t="array" ref="V1673">INDEX(xlRTCLNAME,MATCH(1,(xlRTCLENDU=1)*(xlRTCLEQCL=$D1673),0))</f>
        <v>DIST_FA</v>
      </c>
      <c r="W1673" s="7" t="str">
        <f t="array" ref="W1673">INDEX(xlRTCLNAME,MATCH(1,(xlRTCLENDU=2)*(xlRTCLEQCL=$F1673),0))</f>
        <v>CENT_AIR</v>
      </c>
      <c r="X1673" s="7" t="str">
        <f t="array" ref="X1673">INDEX(xlRTTYNAME,MATCH(1,(xlRTTYENDU=1)*(xlRTTYEQCL=$D1673)*(xlRTEQTYPE=$E1673),0))</f>
        <v>DIST_FA4</v>
      </c>
      <c r="Y1673" s="7" t="str">
        <f t="array" ref="Y1673">INDEX(xlRTTYNAME,MATCH(1,(xlRTTYENDU=2)*(xlRTTYEQCL=$F1673)*(xlRTEQTYPE=$G1673),0))</f>
        <v>CENT_AIR4</v>
      </c>
    </row>
    <row r="1674" spans="2:25" ht="14.25" customHeight="1" x14ac:dyDescent="0.2">
      <c r="B1674" s="5">
        <v>9</v>
      </c>
      <c r="C1674" s="5">
        <v>2</v>
      </c>
      <c r="D1674" s="5">
        <v>7</v>
      </c>
      <c r="E1674" s="5">
        <v>25</v>
      </c>
      <c r="F1674" s="5">
        <v>2</v>
      </c>
      <c r="G1674" s="31">
        <v>7</v>
      </c>
      <c r="H1674" s="5">
        <v>2033</v>
      </c>
      <c r="I1674" s="5">
        <v>2050</v>
      </c>
      <c r="J1674" s="142">
        <v>1.03</v>
      </c>
      <c r="K1674" s="142">
        <v>1.0556000000000001</v>
      </c>
      <c r="L1674" s="142">
        <v>0.44379999999999997</v>
      </c>
      <c r="M1674" s="142">
        <v>1.1167</v>
      </c>
      <c r="N1674" s="142">
        <v>1.4438</v>
      </c>
      <c r="O1674" s="142">
        <v>1.0538000000000001</v>
      </c>
      <c r="P1674" s="26">
        <v>4447.7193131137647</v>
      </c>
      <c r="Q1674" s="35">
        <f t="array" ref="Q1674">SUM(IF(($S1674&gt;=4)*($C1674='TaxCred&amp;Subs'!$D$114:$D$121)*($H1674='TaxCred&amp;Subs'!$C$114:$C$121)*($H1674&lt;='TaxCred&amp;Subs'!$C$123),'TaxCred&amp;Subs'!$E$114:$E$121,0))</f>
        <v>0</v>
      </c>
      <c r="R1674" s="143">
        <v>0</v>
      </c>
      <c r="S1674" s="5">
        <v>5</v>
      </c>
      <c r="T1674" s="5" t="s">
        <v>221</v>
      </c>
      <c r="V1674" s="7" t="str">
        <f t="array" ref="V1674">INDEX(xlRTCLNAME,MATCH(1,(xlRTCLENDU=1)*(xlRTCLEQCL=$D1674),0))</f>
        <v>DIST_FA</v>
      </c>
      <c r="W1674" s="7" t="str">
        <f t="array" ref="W1674">INDEX(xlRTCLNAME,MATCH(1,(xlRTCLENDU=2)*(xlRTCLEQCL=$F1674),0))</f>
        <v>CENT_AIR</v>
      </c>
      <c r="X1674" s="7" t="str">
        <f t="array" ref="X1674">INDEX(xlRTTYNAME,MATCH(1,(xlRTTYENDU=1)*(xlRTTYEQCL=$D1674)*(xlRTEQTYPE=$E1674),0))</f>
        <v>DIST_FA4</v>
      </c>
      <c r="Y1674" s="7" t="str">
        <f t="array" ref="Y1674">INDEX(xlRTTYNAME,MATCH(1,(xlRTTYENDU=2)*(xlRTTYEQCL=$F1674)*(xlRTEQTYPE=$G1674),0))</f>
        <v>CENT_AIR4</v>
      </c>
    </row>
    <row r="1675" spans="2:25" ht="14.25" customHeight="1" x14ac:dyDescent="0.2">
      <c r="B1675" s="5">
        <v>1</v>
      </c>
      <c r="C1675" s="5">
        <v>2</v>
      </c>
      <c r="D1675" s="5">
        <v>8</v>
      </c>
      <c r="E1675" s="31">
        <v>28</v>
      </c>
      <c r="F1675" s="5">
        <v>2</v>
      </c>
      <c r="G1675" s="31">
        <v>7</v>
      </c>
      <c r="H1675" s="31">
        <v>2020</v>
      </c>
      <c r="I1675" s="5">
        <v>2022</v>
      </c>
      <c r="J1675" s="142">
        <v>1.0864</v>
      </c>
      <c r="K1675" s="142">
        <v>1.0417000000000001</v>
      </c>
      <c r="L1675" s="142">
        <v>0.5786</v>
      </c>
      <c r="M1675" s="142">
        <v>1.1228</v>
      </c>
      <c r="N1675" s="142">
        <v>1.1156999999999999</v>
      </c>
      <c r="O1675" s="142">
        <v>1.0538000000000001</v>
      </c>
      <c r="P1675" s="26">
        <v>5076.9613441105121</v>
      </c>
      <c r="Q1675" s="35">
        <f t="array" ref="Q1675">SUM(IF(($S1675&gt;=4)*($C1675='TaxCred&amp;Subs'!$D$114:$D$121)*($H1675='TaxCred&amp;Subs'!$C$114:$C$121)*($H1675&lt;='TaxCred&amp;Subs'!$C$123),'TaxCred&amp;Subs'!$E$114:$E$121,0))</f>
        <v>0</v>
      </c>
      <c r="R1675" s="143">
        <v>0</v>
      </c>
      <c r="S1675" s="5">
        <v>5</v>
      </c>
      <c r="T1675" s="5" t="s">
        <v>221</v>
      </c>
      <c r="V1675" s="7" t="str">
        <f t="array" ref="V1675">INDEX(xlRTCLNAME,MATCH(1,(xlRTCLENDU=1)*(xlRTCLEQCL=$D1675),0))</f>
        <v>DIST_RAD</v>
      </c>
      <c r="W1675" s="7" t="str">
        <f t="array" ref="W1675">INDEX(xlRTCLNAME,MATCH(1,(xlRTCLENDU=2)*(xlRTCLEQCL=$F1675),0))</f>
        <v>CENT_AIR</v>
      </c>
      <c r="X1675" s="7" t="str">
        <f t="array" ref="X1675">INDEX(xlRTTYNAME,MATCH(1,(xlRTTYENDU=1)*(xlRTTYEQCL=$D1675)*(xlRTEQTYPE=$E1675),0))</f>
        <v>DIST_RAD4</v>
      </c>
      <c r="Y1675" s="7" t="str">
        <f t="array" ref="Y1675">INDEX(xlRTTYNAME,MATCH(1,(xlRTTYENDU=2)*(xlRTTYEQCL=$F1675)*(xlRTEQTYPE=$G1675),0))</f>
        <v>CENT_AIR4</v>
      </c>
    </row>
    <row r="1676" spans="2:25" ht="14.25" customHeight="1" x14ac:dyDescent="0.2">
      <c r="B1676" s="5">
        <v>1</v>
      </c>
      <c r="C1676" s="5">
        <v>2</v>
      </c>
      <c r="D1676" s="5">
        <v>8</v>
      </c>
      <c r="E1676" s="31">
        <v>28</v>
      </c>
      <c r="F1676" s="5">
        <v>2</v>
      </c>
      <c r="G1676" s="31">
        <v>7</v>
      </c>
      <c r="H1676" s="5">
        <v>2023</v>
      </c>
      <c r="I1676" s="5">
        <v>2032</v>
      </c>
      <c r="J1676" s="142">
        <v>1.0864</v>
      </c>
      <c r="K1676" s="142">
        <v>1.0417000000000001</v>
      </c>
      <c r="L1676" s="142">
        <v>0.5786</v>
      </c>
      <c r="M1676" s="142">
        <v>1.1228</v>
      </c>
      <c r="N1676" s="142">
        <v>1.1156999999999999</v>
      </c>
      <c r="O1676" s="142">
        <v>1.0538000000000001</v>
      </c>
      <c r="P1676" s="26">
        <v>5076.9613441105121</v>
      </c>
      <c r="Q1676" s="35">
        <f t="array" ref="Q1676">SUM(IF(($S1676&gt;=4)*($C1676='TaxCred&amp;Subs'!$D$114:$D$121)*($H1676='TaxCred&amp;Subs'!$C$114:$C$121)*($H1676&lt;='TaxCred&amp;Subs'!$C$123),'TaxCred&amp;Subs'!$E$114:$E$121,0))</f>
        <v>500</v>
      </c>
      <c r="R1676" s="143">
        <v>0</v>
      </c>
      <c r="S1676" s="5">
        <v>5</v>
      </c>
      <c r="T1676" s="5" t="s">
        <v>221</v>
      </c>
      <c r="V1676" s="7" t="str">
        <f t="array" ref="V1676">INDEX(xlRTCLNAME,MATCH(1,(xlRTCLENDU=1)*(xlRTCLEQCL=$D1676),0))</f>
        <v>DIST_RAD</v>
      </c>
      <c r="W1676" s="7" t="str">
        <f t="array" ref="W1676">INDEX(xlRTCLNAME,MATCH(1,(xlRTCLENDU=2)*(xlRTCLEQCL=$F1676),0))</f>
        <v>CENT_AIR</v>
      </c>
      <c r="X1676" s="7" t="str">
        <f t="array" ref="X1676">INDEX(xlRTTYNAME,MATCH(1,(xlRTTYENDU=1)*(xlRTTYEQCL=$D1676)*(xlRTEQTYPE=$E1676),0))</f>
        <v>DIST_RAD4</v>
      </c>
      <c r="Y1676" s="7" t="str">
        <f t="array" ref="Y1676">INDEX(xlRTTYNAME,MATCH(1,(xlRTTYENDU=2)*(xlRTTYEQCL=$F1676)*(xlRTEQTYPE=$G1676),0))</f>
        <v>CENT_AIR4</v>
      </c>
    </row>
    <row r="1677" spans="2:25" ht="14.25" customHeight="1" x14ac:dyDescent="0.2">
      <c r="B1677" s="5">
        <v>1</v>
      </c>
      <c r="C1677" s="5">
        <v>2</v>
      </c>
      <c r="D1677" s="5">
        <v>8</v>
      </c>
      <c r="E1677" s="31">
        <v>28</v>
      </c>
      <c r="F1677" s="5">
        <v>2</v>
      </c>
      <c r="G1677" s="31">
        <v>7</v>
      </c>
      <c r="H1677" s="5">
        <v>2033</v>
      </c>
      <c r="I1677" s="5">
        <v>2050</v>
      </c>
      <c r="J1677" s="142">
        <v>1.0864</v>
      </c>
      <c r="K1677" s="142">
        <v>1.0417000000000001</v>
      </c>
      <c r="L1677" s="142">
        <v>0.5786</v>
      </c>
      <c r="M1677" s="142">
        <v>1.1228</v>
      </c>
      <c r="N1677" s="142">
        <v>1.1156999999999999</v>
      </c>
      <c r="O1677" s="142">
        <v>1.0538000000000001</v>
      </c>
      <c r="P1677" s="26">
        <v>5076.9613441105121</v>
      </c>
      <c r="Q1677" s="35">
        <f t="array" ref="Q1677">SUM(IF(($S1677&gt;=4)*($C1677='TaxCred&amp;Subs'!$D$114:$D$121)*($H1677='TaxCred&amp;Subs'!$C$114:$C$121)*($H1677&lt;='TaxCred&amp;Subs'!$C$123),'TaxCred&amp;Subs'!$E$114:$E$121,0))</f>
        <v>0</v>
      </c>
      <c r="R1677" s="143">
        <v>0</v>
      </c>
      <c r="S1677" s="5">
        <v>5</v>
      </c>
      <c r="T1677" s="5" t="s">
        <v>221</v>
      </c>
      <c r="V1677" s="7" t="str">
        <f t="array" ref="V1677">INDEX(xlRTCLNAME,MATCH(1,(xlRTCLENDU=1)*(xlRTCLEQCL=$D1677),0))</f>
        <v>DIST_RAD</v>
      </c>
      <c r="W1677" s="7" t="str">
        <f t="array" ref="W1677">INDEX(xlRTCLNAME,MATCH(1,(xlRTCLENDU=2)*(xlRTCLEQCL=$F1677),0))</f>
        <v>CENT_AIR</v>
      </c>
      <c r="X1677" s="7" t="str">
        <f t="array" ref="X1677">INDEX(xlRTTYNAME,MATCH(1,(xlRTTYENDU=1)*(xlRTTYEQCL=$D1677)*(xlRTEQTYPE=$E1677),0))</f>
        <v>DIST_RAD4</v>
      </c>
      <c r="Y1677" s="7" t="str">
        <f t="array" ref="Y1677">INDEX(xlRTTYNAME,MATCH(1,(xlRTTYENDU=2)*(xlRTTYEQCL=$F1677)*(xlRTEQTYPE=$G1677),0))</f>
        <v>CENT_AIR4</v>
      </c>
    </row>
    <row r="1678" spans="2:25" ht="14.25" customHeight="1" x14ac:dyDescent="0.2">
      <c r="B1678" s="5">
        <v>2</v>
      </c>
      <c r="C1678" s="5">
        <v>2</v>
      </c>
      <c r="D1678" s="5">
        <v>8</v>
      </c>
      <c r="E1678" s="31">
        <v>28</v>
      </c>
      <c r="F1678" s="5">
        <v>2</v>
      </c>
      <c r="G1678" s="31">
        <v>7</v>
      </c>
      <c r="H1678" s="31">
        <v>2020</v>
      </c>
      <c r="I1678" s="5">
        <v>2022</v>
      </c>
      <c r="J1678" s="142">
        <v>1.0891</v>
      </c>
      <c r="K1678" s="142">
        <v>1.0713999999999999</v>
      </c>
      <c r="L1678" s="142">
        <v>0.55879999999999996</v>
      </c>
      <c r="M1678" s="142">
        <v>1.1416999999999999</v>
      </c>
      <c r="N1678" s="142">
        <v>1.1254999999999999</v>
      </c>
      <c r="O1678" s="142">
        <v>1.0538000000000001</v>
      </c>
      <c r="P1678" s="26">
        <v>4802.6763562401347</v>
      </c>
      <c r="Q1678" s="35">
        <f t="array" ref="Q1678">SUM(IF(($S1678&gt;=4)*($C1678='TaxCred&amp;Subs'!$D$114:$D$121)*($H1678='TaxCred&amp;Subs'!$C$114:$C$121)*($H1678&lt;='TaxCred&amp;Subs'!$C$123),'TaxCred&amp;Subs'!$E$114:$E$121,0))</f>
        <v>0</v>
      </c>
      <c r="R1678" s="143">
        <v>0</v>
      </c>
      <c r="S1678" s="5">
        <v>5</v>
      </c>
      <c r="T1678" s="5" t="s">
        <v>221</v>
      </c>
      <c r="V1678" s="7" t="str">
        <f t="array" ref="V1678">INDEX(xlRTCLNAME,MATCH(1,(xlRTCLENDU=1)*(xlRTCLEQCL=$D1678),0))</f>
        <v>DIST_RAD</v>
      </c>
      <c r="W1678" s="7" t="str">
        <f t="array" ref="W1678">INDEX(xlRTCLNAME,MATCH(1,(xlRTCLENDU=2)*(xlRTCLEQCL=$F1678),0))</f>
        <v>CENT_AIR</v>
      </c>
      <c r="X1678" s="7" t="str">
        <f t="array" ref="X1678">INDEX(xlRTTYNAME,MATCH(1,(xlRTTYENDU=1)*(xlRTTYEQCL=$D1678)*(xlRTEQTYPE=$E1678),0))</f>
        <v>DIST_RAD4</v>
      </c>
      <c r="Y1678" s="7" t="str">
        <f t="array" ref="Y1678">INDEX(xlRTTYNAME,MATCH(1,(xlRTTYENDU=2)*(xlRTTYEQCL=$F1678)*(xlRTEQTYPE=$G1678),0))</f>
        <v>CENT_AIR4</v>
      </c>
    </row>
    <row r="1679" spans="2:25" ht="14.25" customHeight="1" x14ac:dyDescent="0.2">
      <c r="B1679" s="5">
        <v>2</v>
      </c>
      <c r="C1679" s="5">
        <v>2</v>
      </c>
      <c r="D1679" s="5">
        <v>8</v>
      </c>
      <c r="E1679" s="31">
        <v>28</v>
      </c>
      <c r="F1679" s="5">
        <v>2</v>
      </c>
      <c r="G1679" s="31">
        <v>7</v>
      </c>
      <c r="H1679" s="5">
        <v>2023</v>
      </c>
      <c r="I1679" s="5">
        <v>2032</v>
      </c>
      <c r="J1679" s="142">
        <v>1.0891</v>
      </c>
      <c r="K1679" s="142">
        <v>1.0713999999999999</v>
      </c>
      <c r="L1679" s="142">
        <v>0.55879999999999996</v>
      </c>
      <c r="M1679" s="142">
        <v>1.1416999999999999</v>
      </c>
      <c r="N1679" s="142">
        <v>1.1254999999999999</v>
      </c>
      <c r="O1679" s="142">
        <v>1.0538000000000001</v>
      </c>
      <c r="P1679" s="26">
        <v>4802.6763562401347</v>
      </c>
      <c r="Q1679" s="35">
        <f t="array" ref="Q1679">SUM(IF(($S1679&gt;=4)*($C1679='TaxCred&amp;Subs'!$D$114:$D$121)*($H1679='TaxCred&amp;Subs'!$C$114:$C$121)*($H1679&lt;='TaxCred&amp;Subs'!$C$123),'TaxCred&amp;Subs'!$E$114:$E$121,0))</f>
        <v>500</v>
      </c>
      <c r="R1679" s="143">
        <v>0</v>
      </c>
      <c r="S1679" s="5">
        <v>5</v>
      </c>
      <c r="T1679" s="5" t="s">
        <v>221</v>
      </c>
      <c r="V1679" s="7" t="str">
        <f t="array" ref="V1679">INDEX(xlRTCLNAME,MATCH(1,(xlRTCLENDU=1)*(xlRTCLEQCL=$D1679),0))</f>
        <v>DIST_RAD</v>
      </c>
      <c r="W1679" s="7" t="str">
        <f t="array" ref="W1679">INDEX(xlRTCLNAME,MATCH(1,(xlRTCLENDU=2)*(xlRTCLEQCL=$F1679),0))</f>
        <v>CENT_AIR</v>
      </c>
      <c r="X1679" s="7" t="str">
        <f t="array" ref="X1679">INDEX(xlRTTYNAME,MATCH(1,(xlRTTYENDU=1)*(xlRTTYEQCL=$D1679)*(xlRTEQTYPE=$E1679),0))</f>
        <v>DIST_RAD4</v>
      </c>
      <c r="Y1679" s="7" t="str">
        <f t="array" ref="Y1679">INDEX(xlRTTYNAME,MATCH(1,(xlRTTYENDU=2)*(xlRTTYEQCL=$F1679)*(xlRTEQTYPE=$G1679),0))</f>
        <v>CENT_AIR4</v>
      </c>
    </row>
    <row r="1680" spans="2:25" ht="14.25" customHeight="1" x14ac:dyDescent="0.2">
      <c r="B1680" s="5">
        <v>2</v>
      </c>
      <c r="C1680" s="5">
        <v>2</v>
      </c>
      <c r="D1680" s="5">
        <v>8</v>
      </c>
      <c r="E1680" s="31">
        <v>28</v>
      </c>
      <c r="F1680" s="5">
        <v>2</v>
      </c>
      <c r="G1680" s="31">
        <v>7</v>
      </c>
      <c r="H1680" s="5">
        <v>2033</v>
      </c>
      <c r="I1680" s="5">
        <v>2050</v>
      </c>
      <c r="J1680" s="142">
        <v>1.0891</v>
      </c>
      <c r="K1680" s="142">
        <v>1.0713999999999999</v>
      </c>
      <c r="L1680" s="142">
        <v>0.55879999999999996</v>
      </c>
      <c r="M1680" s="142">
        <v>1.1416999999999999</v>
      </c>
      <c r="N1680" s="142">
        <v>1.1254999999999999</v>
      </c>
      <c r="O1680" s="142">
        <v>1.0538000000000001</v>
      </c>
      <c r="P1680" s="26">
        <v>4802.6763562401347</v>
      </c>
      <c r="Q1680" s="35">
        <f t="array" ref="Q1680">SUM(IF(($S1680&gt;=4)*($C1680='TaxCred&amp;Subs'!$D$114:$D$121)*($H1680='TaxCred&amp;Subs'!$C$114:$C$121)*($H1680&lt;='TaxCred&amp;Subs'!$C$123),'TaxCred&amp;Subs'!$E$114:$E$121,0))</f>
        <v>0</v>
      </c>
      <c r="R1680" s="143">
        <v>0</v>
      </c>
      <c r="S1680" s="5">
        <v>5</v>
      </c>
      <c r="T1680" s="5" t="s">
        <v>221</v>
      </c>
      <c r="V1680" s="7" t="str">
        <f t="array" ref="V1680">INDEX(xlRTCLNAME,MATCH(1,(xlRTCLENDU=1)*(xlRTCLEQCL=$D1680),0))</f>
        <v>DIST_RAD</v>
      </c>
      <c r="W1680" s="7" t="str">
        <f t="array" ref="W1680">INDEX(xlRTCLNAME,MATCH(1,(xlRTCLENDU=2)*(xlRTCLEQCL=$F1680),0))</f>
        <v>CENT_AIR</v>
      </c>
      <c r="X1680" s="7" t="str">
        <f t="array" ref="X1680">INDEX(xlRTTYNAME,MATCH(1,(xlRTTYENDU=1)*(xlRTTYEQCL=$D1680)*(xlRTEQTYPE=$E1680),0))</f>
        <v>DIST_RAD4</v>
      </c>
      <c r="Y1680" s="7" t="str">
        <f t="array" ref="Y1680">INDEX(xlRTTYNAME,MATCH(1,(xlRTTYENDU=2)*(xlRTTYEQCL=$F1680)*(xlRTEQTYPE=$G1680),0))</f>
        <v>CENT_AIR4</v>
      </c>
    </row>
    <row r="1681" spans="2:25" ht="14.25" customHeight="1" x14ac:dyDescent="0.2">
      <c r="B1681" s="5">
        <v>3</v>
      </c>
      <c r="C1681" s="5">
        <v>2</v>
      </c>
      <c r="D1681" s="5">
        <v>8</v>
      </c>
      <c r="E1681" s="31">
        <v>28</v>
      </c>
      <c r="F1681" s="5">
        <v>2</v>
      </c>
      <c r="G1681" s="31">
        <v>7</v>
      </c>
      <c r="H1681" s="31">
        <v>2020</v>
      </c>
      <c r="I1681" s="5">
        <v>2022</v>
      </c>
      <c r="J1681" s="142">
        <v>1.0962000000000001</v>
      </c>
      <c r="K1681" s="142">
        <v>1.0345</v>
      </c>
      <c r="L1681" s="142">
        <v>0.5524</v>
      </c>
      <c r="M1681" s="142">
        <v>1.0310999999999999</v>
      </c>
      <c r="N1681" s="142">
        <v>1.0417000000000001</v>
      </c>
      <c r="O1681" s="142">
        <v>1.0538000000000001</v>
      </c>
      <c r="P1681" s="26">
        <v>4310.5768191785755</v>
      </c>
      <c r="Q1681" s="35">
        <f t="array" ref="Q1681">SUM(IF(($S1681&gt;=4)*($C1681='TaxCred&amp;Subs'!$D$114:$D$121)*($H1681='TaxCred&amp;Subs'!$C$114:$C$121)*($H1681&lt;='TaxCred&amp;Subs'!$C$123),'TaxCred&amp;Subs'!$E$114:$E$121,0))</f>
        <v>0</v>
      </c>
      <c r="R1681" s="143">
        <v>0</v>
      </c>
      <c r="S1681" s="5">
        <v>5</v>
      </c>
      <c r="T1681" s="5" t="s">
        <v>221</v>
      </c>
      <c r="V1681" s="7" t="str">
        <f t="array" ref="V1681">INDEX(xlRTCLNAME,MATCH(1,(xlRTCLENDU=1)*(xlRTCLEQCL=$D1681),0))</f>
        <v>DIST_RAD</v>
      </c>
      <c r="W1681" s="7" t="str">
        <f t="array" ref="W1681">INDEX(xlRTCLNAME,MATCH(1,(xlRTCLENDU=2)*(xlRTCLEQCL=$F1681),0))</f>
        <v>CENT_AIR</v>
      </c>
      <c r="X1681" s="7" t="str">
        <f t="array" ref="X1681">INDEX(xlRTTYNAME,MATCH(1,(xlRTTYENDU=1)*(xlRTTYEQCL=$D1681)*(xlRTEQTYPE=$E1681),0))</f>
        <v>DIST_RAD4</v>
      </c>
      <c r="Y1681" s="7" t="str">
        <f t="array" ref="Y1681">INDEX(xlRTTYNAME,MATCH(1,(xlRTTYENDU=2)*(xlRTTYEQCL=$F1681)*(xlRTEQTYPE=$G1681),0))</f>
        <v>CENT_AIR4</v>
      </c>
    </row>
    <row r="1682" spans="2:25" ht="14.25" customHeight="1" x14ac:dyDescent="0.2">
      <c r="B1682" s="5">
        <v>3</v>
      </c>
      <c r="C1682" s="5">
        <v>2</v>
      </c>
      <c r="D1682" s="5">
        <v>8</v>
      </c>
      <c r="E1682" s="31">
        <v>28</v>
      </c>
      <c r="F1682" s="5">
        <v>2</v>
      </c>
      <c r="G1682" s="31">
        <v>7</v>
      </c>
      <c r="H1682" s="5">
        <v>2023</v>
      </c>
      <c r="I1682" s="5">
        <v>2032</v>
      </c>
      <c r="J1682" s="142">
        <v>1.0962000000000001</v>
      </c>
      <c r="K1682" s="142">
        <v>1.0345</v>
      </c>
      <c r="L1682" s="142">
        <v>0.5524</v>
      </c>
      <c r="M1682" s="142">
        <v>1.0310999999999999</v>
      </c>
      <c r="N1682" s="142">
        <v>1.0417000000000001</v>
      </c>
      <c r="O1682" s="142">
        <v>1.0538000000000001</v>
      </c>
      <c r="P1682" s="26">
        <v>4310.5768191785755</v>
      </c>
      <c r="Q1682" s="35">
        <f t="array" ref="Q1682">SUM(IF(($S1682&gt;=4)*($C1682='TaxCred&amp;Subs'!$D$114:$D$121)*($H1682='TaxCred&amp;Subs'!$C$114:$C$121)*($H1682&lt;='TaxCred&amp;Subs'!$C$123),'TaxCred&amp;Subs'!$E$114:$E$121,0))</f>
        <v>500</v>
      </c>
      <c r="R1682" s="143">
        <v>0</v>
      </c>
      <c r="S1682" s="5">
        <v>5</v>
      </c>
      <c r="T1682" s="5" t="s">
        <v>221</v>
      </c>
      <c r="V1682" s="7" t="str">
        <f t="array" ref="V1682">INDEX(xlRTCLNAME,MATCH(1,(xlRTCLENDU=1)*(xlRTCLEQCL=$D1682),0))</f>
        <v>DIST_RAD</v>
      </c>
      <c r="W1682" s="7" t="str">
        <f t="array" ref="W1682">INDEX(xlRTCLNAME,MATCH(1,(xlRTCLENDU=2)*(xlRTCLEQCL=$F1682),0))</f>
        <v>CENT_AIR</v>
      </c>
      <c r="X1682" s="7" t="str">
        <f t="array" ref="X1682">INDEX(xlRTTYNAME,MATCH(1,(xlRTTYENDU=1)*(xlRTTYEQCL=$D1682)*(xlRTEQTYPE=$E1682),0))</f>
        <v>DIST_RAD4</v>
      </c>
      <c r="Y1682" s="7" t="str">
        <f t="array" ref="Y1682">INDEX(xlRTTYNAME,MATCH(1,(xlRTTYENDU=2)*(xlRTTYEQCL=$F1682)*(xlRTEQTYPE=$G1682),0))</f>
        <v>CENT_AIR4</v>
      </c>
    </row>
    <row r="1683" spans="2:25" ht="14.25" customHeight="1" x14ac:dyDescent="0.2">
      <c r="B1683" s="5">
        <v>3</v>
      </c>
      <c r="C1683" s="5">
        <v>2</v>
      </c>
      <c r="D1683" s="5">
        <v>8</v>
      </c>
      <c r="E1683" s="31">
        <v>28</v>
      </c>
      <c r="F1683" s="5">
        <v>2</v>
      </c>
      <c r="G1683" s="31">
        <v>7</v>
      </c>
      <c r="H1683" s="5">
        <v>2033</v>
      </c>
      <c r="I1683" s="5">
        <v>2050</v>
      </c>
      <c r="J1683" s="142">
        <v>1.0962000000000001</v>
      </c>
      <c r="K1683" s="142">
        <v>1.0345</v>
      </c>
      <c r="L1683" s="142">
        <v>0.5524</v>
      </c>
      <c r="M1683" s="142">
        <v>1.0310999999999999</v>
      </c>
      <c r="N1683" s="142">
        <v>1.0417000000000001</v>
      </c>
      <c r="O1683" s="142">
        <v>1.0538000000000001</v>
      </c>
      <c r="P1683" s="26">
        <v>4310.5768191785755</v>
      </c>
      <c r="Q1683" s="35">
        <f t="array" ref="Q1683">SUM(IF(($S1683&gt;=4)*($C1683='TaxCred&amp;Subs'!$D$114:$D$121)*($H1683='TaxCred&amp;Subs'!$C$114:$C$121)*($H1683&lt;='TaxCred&amp;Subs'!$C$123),'TaxCred&amp;Subs'!$E$114:$E$121,0))</f>
        <v>0</v>
      </c>
      <c r="R1683" s="143">
        <v>0</v>
      </c>
      <c r="S1683" s="5">
        <v>5</v>
      </c>
      <c r="T1683" s="5" t="s">
        <v>221</v>
      </c>
      <c r="V1683" s="7" t="str">
        <f t="array" ref="V1683">INDEX(xlRTCLNAME,MATCH(1,(xlRTCLENDU=1)*(xlRTCLEQCL=$D1683),0))</f>
        <v>DIST_RAD</v>
      </c>
      <c r="W1683" s="7" t="str">
        <f t="array" ref="W1683">INDEX(xlRTCLNAME,MATCH(1,(xlRTCLENDU=2)*(xlRTCLEQCL=$F1683),0))</f>
        <v>CENT_AIR</v>
      </c>
      <c r="X1683" s="7" t="str">
        <f t="array" ref="X1683">INDEX(xlRTTYNAME,MATCH(1,(xlRTTYENDU=1)*(xlRTTYEQCL=$D1683)*(xlRTEQTYPE=$E1683),0))</f>
        <v>DIST_RAD4</v>
      </c>
      <c r="Y1683" s="7" t="str">
        <f t="array" ref="Y1683">INDEX(xlRTTYNAME,MATCH(1,(xlRTTYENDU=2)*(xlRTTYEQCL=$F1683)*(xlRTEQTYPE=$G1683),0))</f>
        <v>CENT_AIR4</v>
      </c>
    </row>
    <row r="1684" spans="2:25" ht="14.25" customHeight="1" x14ac:dyDescent="0.2">
      <c r="B1684" s="5">
        <v>4</v>
      </c>
      <c r="C1684" s="5">
        <v>2</v>
      </c>
      <c r="D1684" s="5">
        <v>8</v>
      </c>
      <c r="E1684" s="31">
        <v>28</v>
      </c>
      <c r="F1684" s="5">
        <v>2</v>
      </c>
      <c r="G1684" s="31">
        <v>7</v>
      </c>
      <c r="H1684" s="31">
        <v>2020</v>
      </c>
      <c r="I1684" s="5">
        <v>2022</v>
      </c>
      <c r="J1684" s="142">
        <v>1.1024</v>
      </c>
      <c r="K1684" s="142">
        <v>1.0435000000000001</v>
      </c>
      <c r="L1684" s="142">
        <v>0.6149</v>
      </c>
      <c r="M1684" s="142">
        <v>1.1499999999999999</v>
      </c>
      <c r="N1684" s="142">
        <v>1.1678999999999999</v>
      </c>
      <c r="O1684" s="142">
        <v>1.0538000000000001</v>
      </c>
      <c r="P1684" s="26">
        <v>3588.5619246374358</v>
      </c>
      <c r="Q1684" s="35">
        <f t="array" ref="Q1684">SUM(IF(($S1684&gt;=4)*($C1684='TaxCred&amp;Subs'!$D$114:$D$121)*($H1684='TaxCred&amp;Subs'!$C$114:$C$121)*($H1684&lt;='TaxCred&amp;Subs'!$C$123),'TaxCred&amp;Subs'!$E$114:$E$121,0))</f>
        <v>0</v>
      </c>
      <c r="R1684" s="143">
        <v>0</v>
      </c>
      <c r="S1684" s="5">
        <v>5</v>
      </c>
      <c r="T1684" s="5" t="s">
        <v>221</v>
      </c>
      <c r="V1684" s="7" t="str">
        <f t="array" ref="V1684">INDEX(xlRTCLNAME,MATCH(1,(xlRTCLENDU=1)*(xlRTCLEQCL=$D1684),0))</f>
        <v>DIST_RAD</v>
      </c>
      <c r="W1684" s="7" t="str">
        <f t="array" ref="W1684">INDEX(xlRTCLNAME,MATCH(1,(xlRTCLENDU=2)*(xlRTCLEQCL=$F1684),0))</f>
        <v>CENT_AIR</v>
      </c>
      <c r="X1684" s="7" t="str">
        <f t="array" ref="X1684">INDEX(xlRTTYNAME,MATCH(1,(xlRTTYENDU=1)*(xlRTTYEQCL=$D1684)*(xlRTEQTYPE=$E1684),0))</f>
        <v>DIST_RAD4</v>
      </c>
      <c r="Y1684" s="7" t="str">
        <f t="array" ref="Y1684">INDEX(xlRTTYNAME,MATCH(1,(xlRTTYENDU=2)*(xlRTTYEQCL=$F1684)*(xlRTEQTYPE=$G1684),0))</f>
        <v>CENT_AIR4</v>
      </c>
    </row>
    <row r="1685" spans="2:25" ht="14.25" customHeight="1" x14ac:dyDescent="0.2">
      <c r="B1685" s="5">
        <v>4</v>
      </c>
      <c r="C1685" s="5">
        <v>2</v>
      </c>
      <c r="D1685" s="5">
        <v>8</v>
      </c>
      <c r="E1685" s="31">
        <v>28</v>
      </c>
      <c r="F1685" s="5">
        <v>2</v>
      </c>
      <c r="G1685" s="31">
        <v>7</v>
      </c>
      <c r="H1685" s="5">
        <v>2023</v>
      </c>
      <c r="I1685" s="5">
        <v>2032</v>
      </c>
      <c r="J1685" s="142">
        <v>1.1024</v>
      </c>
      <c r="K1685" s="142">
        <v>1.0435000000000001</v>
      </c>
      <c r="L1685" s="142">
        <v>0.6149</v>
      </c>
      <c r="M1685" s="142">
        <v>1.1499999999999999</v>
      </c>
      <c r="N1685" s="142">
        <v>1.1678999999999999</v>
      </c>
      <c r="O1685" s="142">
        <v>1.0538000000000001</v>
      </c>
      <c r="P1685" s="26">
        <v>3588.5619246374358</v>
      </c>
      <c r="Q1685" s="35">
        <f t="array" ref="Q1685">SUM(IF(($S1685&gt;=4)*($C1685='TaxCred&amp;Subs'!$D$114:$D$121)*($H1685='TaxCred&amp;Subs'!$C$114:$C$121)*($H1685&lt;='TaxCred&amp;Subs'!$C$123),'TaxCred&amp;Subs'!$E$114:$E$121,0))</f>
        <v>500</v>
      </c>
      <c r="R1685" s="143">
        <v>0</v>
      </c>
      <c r="S1685" s="5">
        <v>5</v>
      </c>
      <c r="T1685" s="5" t="s">
        <v>221</v>
      </c>
      <c r="V1685" s="7" t="str">
        <f t="array" ref="V1685">INDEX(xlRTCLNAME,MATCH(1,(xlRTCLENDU=1)*(xlRTCLEQCL=$D1685),0))</f>
        <v>DIST_RAD</v>
      </c>
      <c r="W1685" s="7" t="str">
        <f t="array" ref="W1685">INDEX(xlRTCLNAME,MATCH(1,(xlRTCLENDU=2)*(xlRTCLEQCL=$F1685),0))</f>
        <v>CENT_AIR</v>
      </c>
      <c r="X1685" s="7" t="str">
        <f t="array" ref="X1685">INDEX(xlRTTYNAME,MATCH(1,(xlRTTYENDU=1)*(xlRTTYEQCL=$D1685)*(xlRTEQTYPE=$E1685),0))</f>
        <v>DIST_RAD4</v>
      </c>
      <c r="Y1685" s="7" t="str">
        <f t="array" ref="Y1685">INDEX(xlRTTYNAME,MATCH(1,(xlRTTYENDU=2)*(xlRTTYEQCL=$F1685)*(xlRTEQTYPE=$G1685),0))</f>
        <v>CENT_AIR4</v>
      </c>
    </row>
    <row r="1686" spans="2:25" ht="14.25" customHeight="1" x14ac:dyDescent="0.2">
      <c r="B1686" s="5">
        <v>4</v>
      </c>
      <c r="C1686" s="5">
        <v>2</v>
      </c>
      <c r="D1686" s="5">
        <v>8</v>
      </c>
      <c r="E1686" s="31">
        <v>28</v>
      </c>
      <c r="F1686" s="5">
        <v>2</v>
      </c>
      <c r="G1686" s="31">
        <v>7</v>
      </c>
      <c r="H1686" s="5">
        <v>2033</v>
      </c>
      <c r="I1686" s="5">
        <v>2050</v>
      </c>
      <c r="J1686" s="142">
        <v>1.1024</v>
      </c>
      <c r="K1686" s="142">
        <v>1.0435000000000001</v>
      </c>
      <c r="L1686" s="142">
        <v>0.6149</v>
      </c>
      <c r="M1686" s="142">
        <v>1.1499999999999999</v>
      </c>
      <c r="N1686" s="142">
        <v>1.1678999999999999</v>
      </c>
      <c r="O1686" s="142">
        <v>1.0538000000000001</v>
      </c>
      <c r="P1686" s="26">
        <v>3588.5619246374358</v>
      </c>
      <c r="Q1686" s="35">
        <f t="array" ref="Q1686">SUM(IF(($S1686&gt;=4)*($C1686='TaxCred&amp;Subs'!$D$114:$D$121)*($H1686='TaxCred&amp;Subs'!$C$114:$C$121)*($H1686&lt;='TaxCred&amp;Subs'!$C$123),'TaxCred&amp;Subs'!$E$114:$E$121,0))</f>
        <v>0</v>
      </c>
      <c r="R1686" s="143">
        <v>0</v>
      </c>
      <c r="S1686" s="5">
        <v>5</v>
      </c>
      <c r="T1686" s="5" t="s">
        <v>221</v>
      </c>
      <c r="V1686" s="7" t="str">
        <f t="array" ref="V1686">INDEX(xlRTCLNAME,MATCH(1,(xlRTCLENDU=1)*(xlRTCLEQCL=$D1686),0))</f>
        <v>DIST_RAD</v>
      </c>
      <c r="W1686" s="7" t="str">
        <f t="array" ref="W1686">INDEX(xlRTCLNAME,MATCH(1,(xlRTCLENDU=2)*(xlRTCLEQCL=$F1686),0))</f>
        <v>CENT_AIR</v>
      </c>
      <c r="X1686" s="7" t="str">
        <f t="array" ref="X1686">INDEX(xlRTTYNAME,MATCH(1,(xlRTTYENDU=1)*(xlRTTYEQCL=$D1686)*(xlRTEQTYPE=$E1686),0))</f>
        <v>DIST_RAD4</v>
      </c>
      <c r="Y1686" s="7" t="str">
        <f t="array" ref="Y1686">INDEX(xlRTTYNAME,MATCH(1,(xlRTTYENDU=2)*(xlRTTYEQCL=$F1686)*(xlRTEQTYPE=$G1686),0))</f>
        <v>CENT_AIR4</v>
      </c>
    </row>
    <row r="1687" spans="2:25" ht="14.25" customHeight="1" x14ac:dyDescent="0.2">
      <c r="B1687" s="5">
        <v>5</v>
      </c>
      <c r="C1687" s="5">
        <v>2</v>
      </c>
      <c r="D1687" s="5">
        <v>8</v>
      </c>
      <c r="E1687" s="31">
        <v>28</v>
      </c>
      <c r="F1687" s="5">
        <v>2</v>
      </c>
      <c r="G1687" s="31">
        <v>7</v>
      </c>
      <c r="H1687" s="31">
        <v>2020</v>
      </c>
      <c r="I1687" s="5">
        <v>2022</v>
      </c>
      <c r="J1687" s="142">
        <v>1.03</v>
      </c>
      <c r="K1687" s="142">
        <v>1.03</v>
      </c>
      <c r="L1687" s="142">
        <v>0.44379999999999997</v>
      </c>
      <c r="M1687" s="142">
        <v>1.0314000000000001</v>
      </c>
      <c r="N1687" s="142">
        <v>1.3003</v>
      </c>
      <c r="O1687" s="142">
        <v>1.0538000000000001</v>
      </c>
      <c r="P1687" s="26">
        <v>3228.2267444939989</v>
      </c>
      <c r="Q1687" s="35">
        <f t="array" ref="Q1687">SUM(IF(($S1687&gt;=4)*($C1687='TaxCred&amp;Subs'!$D$114:$D$121)*($H1687='TaxCred&amp;Subs'!$C$114:$C$121)*($H1687&lt;='TaxCred&amp;Subs'!$C$123),'TaxCred&amp;Subs'!$E$114:$E$121,0))</f>
        <v>0</v>
      </c>
      <c r="R1687" s="143">
        <v>0</v>
      </c>
      <c r="S1687" s="5">
        <v>5</v>
      </c>
      <c r="T1687" s="5" t="s">
        <v>221</v>
      </c>
      <c r="V1687" s="7" t="str">
        <f t="array" ref="V1687">INDEX(xlRTCLNAME,MATCH(1,(xlRTCLENDU=1)*(xlRTCLEQCL=$D1687),0))</f>
        <v>DIST_RAD</v>
      </c>
      <c r="W1687" s="7" t="str">
        <f t="array" ref="W1687">INDEX(xlRTCLNAME,MATCH(1,(xlRTCLENDU=2)*(xlRTCLEQCL=$F1687),0))</f>
        <v>CENT_AIR</v>
      </c>
      <c r="X1687" s="7" t="str">
        <f t="array" ref="X1687">INDEX(xlRTTYNAME,MATCH(1,(xlRTTYENDU=1)*(xlRTTYEQCL=$D1687)*(xlRTEQTYPE=$E1687),0))</f>
        <v>DIST_RAD4</v>
      </c>
      <c r="Y1687" s="7" t="str">
        <f t="array" ref="Y1687">INDEX(xlRTTYNAME,MATCH(1,(xlRTTYENDU=2)*(xlRTTYEQCL=$F1687)*(xlRTEQTYPE=$G1687),0))</f>
        <v>CENT_AIR4</v>
      </c>
    </row>
    <row r="1688" spans="2:25" ht="14.25" customHeight="1" x14ac:dyDescent="0.2">
      <c r="B1688" s="5">
        <v>5</v>
      </c>
      <c r="C1688" s="5">
        <v>2</v>
      </c>
      <c r="D1688" s="5">
        <v>8</v>
      </c>
      <c r="E1688" s="31">
        <v>28</v>
      </c>
      <c r="F1688" s="5">
        <v>2</v>
      </c>
      <c r="G1688" s="31">
        <v>7</v>
      </c>
      <c r="H1688" s="5">
        <v>2023</v>
      </c>
      <c r="I1688" s="5">
        <v>2032</v>
      </c>
      <c r="J1688" s="142">
        <v>1.03</v>
      </c>
      <c r="K1688" s="142">
        <v>1.03</v>
      </c>
      <c r="L1688" s="142">
        <v>0.44379999999999997</v>
      </c>
      <c r="M1688" s="142">
        <v>1.0314000000000001</v>
      </c>
      <c r="N1688" s="142">
        <v>1.3003</v>
      </c>
      <c r="O1688" s="142">
        <v>1.0538000000000001</v>
      </c>
      <c r="P1688" s="26">
        <v>3228.2267444939989</v>
      </c>
      <c r="Q1688" s="35">
        <f t="array" ref="Q1688">SUM(IF(($S1688&gt;=4)*($C1688='TaxCred&amp;Subs'!$D$114:$D$121)*($H1688='TaxCred&amp;Subs'!$C$114:$C$121)*($H1688&lt;='TaxCred&amp;Subs'!$C$123),'TaxCred&amp;Subs'!$E$114:$E$121,0))</f>
        <v>500</v>
      </c>
      <c r="R1688" s="143">
        <v>0</v>
      </c>
      <c r="S1688" s="5">
        <v>5</v>
      </c>
      <c r="T1688" s="5" t="s">
        <v>221</v>
      </c>
      <c r="V1688" s="7" t="str">
        <f t="array" ref="V1688">INDEX(xlRTCLNAME,MATCH(1,(xlRTCLENDU=1)*(xlRTCLEQCL=$D1688),0))</f>
        <v>DIST_RAD</v>
      </c>
      <c r="W1688" s="7" t="str">
        <f t="array" ref="W1688">INDEX(xlRTCLNAME,MATCH(1,(xlRTCLENDU=2)*(xlRTCLEQCL=$F1688),0))</f>
        <v>CENT_AIR</v>
      </c>
      <c r="X1688" s="7" t="str">
        <f t="array" ref="X1688">INDEX(xlRTTYNAME,MATCH(1,(xlRTTYENDU=1)*(xlRTTYEQCL=$D1688)*(xlRTEQTYPE=$E1688),0))</f>
        <v>DIST_RAD4</v>
      </c>
      <c r="Y1688" s="7" t="str">
        <f t="array" ref="Y1688">INDEX(xlRTTYNAME,MATCH(1,(xlRTTYENDU=2)*(xlRTTYEQCL=$F1688)*(xlRTEQTYPE=$G1688),0))</f>
        <v>CENT_AIR4</v>
      </c>
    </row>
    <row r="1689" spans="2:25" ht="14.25" customHeight="1" x14ac:dyDescent="0.2">
      <c r="B1689" s="5">
        <v>5</v>
      </c>
      <c r="C1689" s="5">
        <v>2</v>
      </c>
      <c r="D1689" s="5">
        <v>8</v>
      </c>
      <c r="E1689" s="31">
        <v>28</v>
      </c>
      <c r="F1689" s="5">
        <v>2</v>
      </c>
      <c r="G1689" s="31">
        <v>7</v>
      </c>
      <c r="H1689" s="5">
        <v>2033</v>
      </c>
      <c r="I1689" s="5">
        <v>2050</v>
      </c>
      <c r="J1689" s="142">
        <v>1.03</v>
      </c>
      <c r="K1689" s="142">
        <v>1.03</v>
      </c>
      <c r="L1689" s="142">
        <v>0.44379999999999997</v>
      </c>
      <c r="M1689" s="142">
        <v>1.0314000000000001</v>
      </c>
      <c r="N1689" s="142">
        <v>1.3003</v>
      </c>
      <c r="O1689" s="142">
        <v>1.0538000000000001</v>
      </c>
      <c r="P1689" s="26">
        <v>3228.2267444939989</v>
      </c>
      <c r="Q1689" s="35">
        <f t="array" ref="Q1689">SUM(IF(($S1689&gt;=4)*($C1689='TaxCred&amp;Subs'!$D$114:$D$121)*($H1689='TaxCred&amp;Subs'!$C$114:$C$121)*($H1689&lt;='TaxCred&amp;Subs'!$C$123),'TaxCred&amp;Subs'!$E$114:$E$121,0))</f>
        <v>0</v>
      </c>
      <c r="R1689" s="143">
        <v>0</v>
      </c>
      <c r="S1689" s="5">
        <v>5</v>
      </c>
      <c r="T1689" s="5" t="s">
        <v>221</v>
      </c>
      <c r="V1689" s="7" t="str">
        <f t="array" ref="V1689">INDEX(xlRTCLNAME,MATCH(1,(xlRTCLENDU=1)*(xlRTCLEQCL=$D1689),0))</f>
        <v>DIST_RAD</v>
      </c>
      <c r="W1689" s="7" t="str">
        <f t="array" ref="W1689">INDEX(xlRTCLNAME,MATCH(1,(xlRTCLENDU=2)*(xlRTCLEQCL=$F1689),0))</f>
        <v>CENT_AIR</v>
      </c>
      <c r="X1689" s="7" t="str">
        <f t="array" ref="X1689">INDEX(xlRTTYNAME,MATCH(1,(xlRTTYENDU=1)*(xlRTTYEQCL=$D1689)*(xlRTEQTYPE=$E1689),0))</f>
        <v>DIST_RAD4</v>
      </c>
      <c r="Y1689" s="7" t="str">
        <f t="array" ref="Y1689">INDEX(xlRTTYNAME,MATCH(1,(xlRTTYENDU=2)*(xlRTTYEQCL=$F1689)*(xlRTEQTYPE=$G1689),0))</f>
        <v>CENT_AIR4</v>
      </c>
    </row>
    <row r="1690" spans="2:25" ht="14.25" customHeight="1" x14ac:dyDescent="0.2">
      <c r="B1690" s="5">
        <v>6</v>
      </c>
      <c r="C1690" s="5">
        <v>2</v>
      </c>
      <c r="D1690" s="5">
        <v>8</v>
      </c>
      <c r="E1690" s="31">
        <v>28</v>
      </c>
      <c r="F1690" s="5">
        <v>2</v>
      </c>
      <c r="G1690" s="31">
        <v>7</v>
      </c>
      <c r="H1690" s="31">
        <v>2020</v>
      </c>
      <c r="I1690" s="5">
        <v>2022</v>
      </c>
      <c r="J1690" s="142">
        <v>1.1200000000000001</v>
      </c>
      <c r="K1690" s="142">
        <v>1.0417000000000001</v>
      </c>
      <c r="L1690" s="142">
        <v>0.44379999999999997</v>
      </c>
      <c r="M1690" s="142">
        <v>1.0546</v>
      </c>
      <c r="N1690" s="142">
        <v>1.3656999999999999</v>
      </c>
      <c r="O1690" s="142">
        <v>1.0538000000000001</v>
      </c>
      <c r="P1690" s="26">
        <v>3572.4275135862376</v>
      </c>
      <c r="Q1690" s="35">
        <f t="array" ref="Q1690">SUM(IF(($S1690&gt;=4)*($C1690='TaxCred&amp;Subs'!$D$114:$D$121)*($H1690='TaxCred&amp;Subs'!$C$114:$C$121)*($H1690&lt;='TaxCred&amp;Subs'!$C$123),'TaxCred&amp;Subs'!$E$114:$E$121,0))</f>
        <v>0</v>
      </c>
      <c r="R1690" s="143">
        <v>0</v>
      </c>
      <c r="S1690" s="5">
        <v>5</v>
      </c>
      <c r="T1690" s="5" t="s">
        <v>221</v>
      </c>
      <c r="V1690" s="7" t="str">
        <f t="array" ref="V1690">INDEX(xlRTCLNAME,MATCH(1,(xlRTCLENDU=1)*(xlRTCLEQCL=$D1690),0))</f>
        <v>DIST_RAD</v>
      </c>
      <c r="W1690" s="7" t="str">
        <f t="array" ref="W1690">INDEX(xlRTCLNAME,MATCH(1,(xlRTCLENDU=2)*(xlRTCLEQCL=$F1690),0))</f>
        <v>CENT_AIR</v>
      </c>
      <c r="X1690" s="7" t="str">
        <f t="array" ref="X1690">INDEX(xlRTTYNAME,MATCH(1,(xlRTTYENDU=1)*(xlRTTYEQCL=$D1690)*(xlRTEQTYPE=$E1690),0))</f>
        <v>DIST_RAD4</v>
      </c>
      <c r="Y1690" s="7" t="str">
        <f t="array" ref="Y1690">INDEX(xlRTTYNAME,MATCH(1,(xlRTTYENDU=2)*(xlRTTYEQCL=$F1690)*(xlRTEQTYPE=$G1690),0))</f>
        <v>CENT_AIR4</v>
      </c>
    </row>
    <row r="1691" spans="2:25" ht="14.25" customHeight="1" x14ac:dyDescent="0.2">
      <c r="B1691" s="5">
        <v>6</v>
      </c>
      <c r="C1691" s="5">
        <v>2</v>
      </c>
      <c r="D1691" s="5">
        <v>8</v>
      </c>
      <c r="E1691" s="31">
        <v>28</v>
      </c>
      <c r="F1691" s="5">
        <v>2</v>
      </c>
      <c r="G1691" s="31">
        <v>7</v>
      </c>
      <c r="H1691" s="5">
        <v>2023</v>
      </c>
      <c r="I1691" s="5">
        <v>2032</v>
      </c>
      <c r="J1691" s="142">
        <v>1.1200000000000001</v>
      </c>
      <c r="K1691" s="142">
        <v>1.0417000000000001</v>
      </c>
      <c r="L1691" s="142">
        <v>0.44379999999999997</v>
      </c>
      <c r="M1691" s="142">
        <v>1.0546</v>
      </c>
      <c r="N1691" s="142">
        <v>1.3656999999999999</v>
      </c>
      <c r="O1691" s="142">
        <v>1.0538000000000001</v>
      </c>
      <c r="P1691" s="26">
        <v>3572.4275135862376</v>
      </c>
      <c r="Q1691" s="35">
        <f t="array" ref="Q1691">SUM(IF(($S1691&gt;=4)*($C1691='TaxCred&amp;Subs'!$D$114:$D$121)*($H1691='TaxCred&amp;Subs'!$C$114:$C$121)*($H1691&lt;='TaxCred&amp;Subs'!$C$123),'TaxCred&amp;Subs'!$E$114:$E$121,0))</f>
        <v>500</v>
      </c>
      <c r="R1691" s="143">
        <v>0</v>
      </c>
      <c r="S1691" s="5">
        <v>5</v>
      </c>
      <c r="T1691" s="5" t="s">
        <v>221</v>
      </c>
      <c r="V1691" s="7" t="str">
        <f t="array" ref="V1691">INDEX(xlRTCLNAME,MATCH(1,(xlRTCLENDU=1)*(xlRTCLEQCL=$D1691),0))</f>
        <v>DIST_RAD</v>
      </c>
      <c r="W1691" s="7" t="str">
        <f t="array" ref="W1691">INDEX(xlRTCLNAME,MATCH(1,(xlRTCLENDU=2)*(xlRTCLEQCL=$F1691),0))</f>
        <v>CENT_AIR</v>
      </c>
      <c r="X1691" s="7" t="str">
        <f t="array" ref="X1691">INDEX(xlRTTYNAME,MATCH(1,(xlRTTYENDU=1)*(xlRTTYEQCL=$D1691)*(xlRTEQTYPE=$E1691),0))</f>
        <v>DIST_RAD4</v>
      </c>
      <c r="Y1691" s="7" t="str">
        <f t="array" ref="Y1691">INDEX(xlRTTYNAME,MATCH(1,(xlRTTYENDU=2)*(xlRTTYEQCL=$F1691)*(xlRTEQTYPE=$G1691),0))</f>
        <v>CENT_AIR4</v>
      </c>
    </row>
    <row r="1692" spans="2:25" ht="14.25" customHeight="1" x14ac:dyDescent="0.2">
      <c r="B1692" s="5">
        <v>6</v>
      </c>
      <c r="C1692" s="5">
        <v>2</v>
      </c>
      <c r="D1692" s="5">
        <v>8</v>
      </c>
      <c r="E1692" s="31">
        <v>28</v>
      </c>
      <c r="F1692" s="5">
        <v>2</v>
      </c>
      <c r="G1692" s="31">
        <v>7</v>
      </c>
      <c r="H1692" s="5">
        <v>2033</v>
      </c>
      <c r="I1692" s="5">
        <v>2050</v>
      </c>
      <c r="J1692" s="142">
        <v>1.1200000000000001</v>
      </c>
      <c r="K1692" s="142">
        <v>1.0417000000000001</v>
      </c>
      <c r="L1692" s="142">
        <v>0.44379999999999997</v>
      </c>
      <c r="M1692" s="142">
        <v>1.0546</v>
      </c>
      <c r="N1692" s="142">
        <v>1.3656999999999999</v>
      </c>
      <c r="O1692" s="142">
        <v>1.0538000000000001</v>
      </c>
      <c r="P1692" s="26">
        <v>3572.4275135862376</v>
      </c>
      <c r="Q1692" s="35">
        <f t="array" ref="Q1692">SUM(IF(($S1692&gt;=4)*($C1692='TaxCred&amp;Subs'!$D$114:$D$121)*($H1692='TaxCred&amp;Subs'!$C$114:$C$121)*($H1692&lt;='TaxCred&amp;Subs'!$C$123),'TaxCred&amp;Subs'!$E$114:$E$121,0))</f>
        <v>0</v>
      </c>
      <c r="R1692" s="143">
        <v>0</v>
      </c>
      <c r="S1692" s="5">
        <v>5</v>
      </c>
      <c r="T1692" s="5" t="s">
        <v>221</v>
      </c>
      <c r="V1692" s="7" t="str">
        <f t="array" ref="V1692">INDEX(xlRTCLNAME,MATCH(1,(xlRTCLENDU=1)*(xlRTCLEQCL=$D1692),0))</f>
        <v>DIST_RAD</v>
      </c>
      <c r="W1692" s="7" t="str">
        <f t="array" ref="W1692">INDEX(xlRTCLNAME,MATCH(1,(xlRTCLENDU=2)*(xlRTCLEQCL=$F1692),0))</f>
        <v>CENT_AIR</v>
      </c>
      <c r="X1692" s="7" t="str">
        <f t="array" ref="X1692">INDEX(xlRTTYNAME,MATCH(1,(xlRTTYENDU=1)*(xlRTTYEQCL=$D1692)*(xlRTEQTYPE=$E1692),0))</f>
        <v>DIST_RAD4</v>
      </c>
      <c r="Y1692" s="7" t="str">
        <f t="array" ref="Y1692">INDEX(xlRTTYNAME,MATCH(1,(xlRTTYENDU=2)*(xlRTTYEQCL=$F1692)*(xlRTEQTYPE=$G1692),0))</f>
        <v>CENT_AIR4</v>
      </c>
    </row>
    <row r="1693" spans="2:25" ht="14.25" customHeight="1" x14ac:dyDescent="0.2">
      <c r="B1693" s="5">
        <v>7</v>
      </c>
      <c r="C1693" s="5">
        <v>2</v>
      </c>
      <c r="D1693" s="5">
        <v>8</v>
      </c>
      <c r="E1693" s="31">
        <v>28</v>
      </c>
      <c r="F1693" s="5">
        <v>2</v>
      </c>
      <c r="G1693" s="31">
        <v>7</v>
      </c>
      <c r="H1693" s="31">
        <v>2020</v>
      </c>
      <c r="I1693" s="5">
        <v>2022</v>
      </c>
      <c r="J1693" s="142">
        <v>1.1200000000000001</v>
      </c>
      <c r="K1693" s="142">
        <v>1.0462</v>
      </c>
      <c r="L1693" s="142">
        <v>0.44379999999999997</v>
      </c>
      <c r="M1693" s="142">
        <v>1.0569</v>
      </c>
      <c r="N1693" s="142">
        <v>1.4438</v>
      </c>
      <c r="O1693" s="142">
        <v>1.0538000000000001</v>
      </c>
      <c r="P1693" s="26">
        <v>3120.6640041526744</v>
      </c>
      <c r="Q1693" s="35">
        <f t="array" ref="Q1693">SUM(IF(($S1693&gt;=4)*($C1693='TaxCred&amp;Subs'!$D$114:$D$121)*($H1693='TaxCred&amp;Subs'!$C$114:$C$121)*($H1693&lt;='TaxCred&amp;Subs'!$C$123),'TaxCred&amp;Subs'!$E$114:$E$121,0))</f>
        <v>0</v>
      </c>
      <c r="R1693" s="143">
        <v>0</v>
      </c>
      <c r="S1693" s="5">
        <v>5</v>
      </c>
      <c r="T1693" s="5" t="s">
        <v>221</v>
      </c>
      <c r="V1693" s="7" t="str">
        <f t="array" ref="V1693">INDEX(xlRTCLNAME,MATCH(1,(xlRTCLENDU=1)*(xlRTCLEQCL=$D1693),0))</f>
        <v>DIST_RAD</v>
      </c>
      <c r="W1693" s="7" t="str">
        <f t="array" ref="W1693">INDEX(xlRTCLNAME,MATCH(1,(xlRTCLENDU=2)*(xlRTCLEQCL=$F1693),0))</f>
        <v>CENT_AIR</v>
      </c>
      <c r="X1693" s="7" t="str">
        <f t="array" ref="X1693">INDEX(xlRTTYNAME,MATCH(1,(xlRTTYENDU=1)*(xlRTTYEQCL=$D1693)*(xlRTEQTYPE=$E1693),0))</f>
        <v>DIST_RAD4</v>
      </c>
      <c r="Y1693" s="7" t="str">
        <f t="array" ref="Y1693">INDEX(xlRTTYNAME,MATCH(1,(xlRTTYENDU=2)*(xlRTTYEQCL=$F1693)*(xlRTEQTYPE=$G1693),0))</f>
        <v>CENT_AIR4</v>
      </c>
    </row>
    <row r="1694" spans="2:25" ht="14.25" customHeight="1" x14ac:dyDescent="0.2">
      <c r="B1694" s="5">
        <v>7</v>
      </c>
      <c r="C1694" s="5">
        <v>2</v>
      </c>
      <c r="D1694" s="5">
        <v>8</v>
      </c>
      <c r="E1694" s="31">
        <v>28</v>
      </c>
      <c r="F1694" s="5">
        <v>2</v>
      </c>
      <c r="G1694" s="31">
        <v>7</v>
      </c>
      <c r="H1694" s="5">
        <v>2023</v>
      </c>
      <c r="I1694" s="5">
        <v>2032</v>
      </c>
      <c r="J1694" s="142">
        <v>1.1200000000000001</v>
      </c>
      <c r="K1694" s="142">
        <v>1.0462</v>
      </c>
      <c r="L1694" s="142">
        <v>0.44379999999999997</v>
      </c>
      <c r="M1694" s="142">
        <v>1.0569</v>
      </c>
      <c r="N1694" s="142">
        <v>1.4438</v>
      </c>
      <c r="O1694" s="142">
        <v>1.0538000000000001</v>
      </c>
      <c r="P1694" s="26">
        <v>3120.6640041526744</v>
      </c>
      <c r="Q1694" s="35">
        <f t="array" ref="Q1694">SUM(IF(($S1694&gt;=4)*($C1694='TaxCred&amp;Subs'!$D$114:$D$121)*($H1694='TaxCred&amp;Subs'!$C$114:$C$121)*($H1694&lt;='TaxCred&amp;Subs'!$C$123),'TaxCred&amp;Subs'!$E$114:$E$121,0))</f>
        <v>500</v>
      </c>
      <c r="R1694" s="143">
        <v>0</v>
      </c>
      <c r="S1694" s="5">
        <v>5</v>
      </c>
      <c r="T1694" s="5" t="s">
        <v>221</v>
      </c>
      <c r="V1694" s="7" t="str">
        <f t="array" ref="V1694">INDEX(xlRTCLNAME,MATCH(1,(xlRTCLENDU=1)*(xlRTCLEQCL=$D1694),0))</f>
        <v>DIST_RAD</v>
      </c>
      <c r="W1694" s="7" t="str">
        <f t="array" ref="W1694">INDEX(xlRTCLNAME,MATCH(1,(xlRTCLENDU=2)*(xlRTCLEQCL=$F1694),0))</f>
        <v>CENT_AIR</v>
      </c>
      <c r="X1694" s="7" t="str">
        <f t="array" ref="X1694">INDEX(xlRTTYNAME,MATCH(1,(xlRTTYENDU=1)*(xlRTTYEQCL=$D1694)*(xlRTEQTYPE=$E1694),0))</f>
        <v>DIST_RAD4</v>
      </c>
      <c r="Y1694" s="7" t="str">
        <f t="array" ref="Y1694">INDEX(xlRTTYNAME,MATCH(1,(xlRTTYENDU=2)*(xlRTTYEQCL=$F1694)*(xlRTEQTYPE=$G1694),0))</f>
        <v>CENT_AIR4</v>
      </c>
    </row>
    <row r="1695" spans="2:25" ht="14.25" customHeight="1" x14ac:dyDescent="0.2">
      <c r="B1695" s="5">
        <v>7</v>
      </c>
      <c r="C1695" s="5">
        <v>2</v>
      </c>
      <c r="D1695" s="5">
        <v>8</v>
      </c>
      <c r="E1695" s="31">
        <v>28</v>
      </c>
      <c r="F1695" s="5">
        <v>2</v>
      </c>
      <c r="G1695" s="31">
        <v>7</v>
      </c>
      <c r="H1695" s="5">
        <v>2033</v>
      </c>
      <c r="I1695" s="5">
        <v>2050</v>
      </c>
      <c r="J1695" s="142">
        <v>1.1200000000000001</v>
      </c>
      <c r="K1695" s="142">
        <v>1.0462</v>
      </c>
      <c r="L1695" s="142">
        <v>0.44379999999999997</v>
      </c>
      <c r="M1695" s="142">
        <v>1.0569</v>
      </c>
      <c r="N1695" s="142">
        <v>1.4438</v>
      </c>
      <c r="O1695" s="142">
        <v>1.0538000000000001</v>
      </c>
      <c r="P1695" s="26">
        <v>3120.6640041526744</v>
      </c>
      <c r="Q1695" s="35">
        <f t="array" ref="Q1695">SUM(IF(($S1695&gt;=4)*($C1695='TaxCred&amp;Subs'!$D$114:$D$121)*($H1695='TaxCred&amp;Subs'!$C$114:$C$121)*($H1695&lt;='TaxCred&amp;Subs'!$C$123),'TaxCred&amp;Subs'!$E$114:$E$121,0))</f>
        <v>0</v>
      </c>
      <c r="R1695" s="143">
        <v>0</v>
      </c>
      <c r="S1695" s="5">
        <v>5</v>
      </c>
      <c r="T1695" s="5" t="s">
        <v>221</v>
      </c>
      <c r="V1695" s="7" t="str">
        <f t="array" ref="V1695">INDEX(xlRTCLNAME,MATCH(1,(xlRTCLENDU=1)*(xlRTCLEQCL=$D1695),0))</f>
        <v>DIST_RAD</v>
      </c>
      <c r="W1695" s="7" t="str">
        <f t="array" ref="W1695">INDEX(xlRTCLNAME,MATCH(1,(xlRTCLENDU=2)*(xlRTCLEQCL=$F1695),0))</f>
        <v>CENT_AIR</v>
      </c>
      <c r="X1695" s="7" t="str">
        <f t="array" ref="X1695">INDEX(xlRTTYNAME,MATCH(1,(xlRTTYENDU=1)*(xlRTTYEQCL=$D1695)*(xlRTEQTYPE=$E1695),0))</f>
        <v>DIST_RAD4</v>
      </c>
      <c r="Y1695" s="7" t="str">
        <f t="array" ref="Y1695">INDEX(xlRTTYNAME,MATCH(1,(xlRTTYENDU=2)*(xlRTTYEQCL=$F1695)*(xlRTEQTYPE=$G1695),0))</f>
        <v>CENT_AIR4</v>
      </c>
    </row>
    <row r="1696" spans="2:25" ht="14.25" customHeight="1" x14ac:dyDescent="0.2">
      <c r="B1696" s="5">
        <v>8</v>
      </c>
      <c r="C1696" s="5">
        <v>2</v>
      </c>
      <c r="D1696" s="5">
        <v>8</v>
      </c>
      <c r="E1696" s="31">
        <v>28</v>
      </c>
      <c r="F1696" s="5">
        <v>2</v>
      </c>
      <c r="G1696" s="31">
        <v>7</v>
      </c>
      <c r="H1696" s="31">
        <v>2020</v>
      </c>
      <c r="I1696" s="5">
        <v>2022</v>
      </c>
      <c r="J1696" s="142">
        <v>1.1045</v>
      </c>
      <c r="K1696" s="142">
        <v>1.0323</v>
      </c>
      <c r="L1696" s="142">
        <v>0.53910000000000002</v>
      </c>
      <c r="M1696" s="142">
        <v>1.2087000000000001</v>
      </c>
      <c r="N1696" s="142">
        <v>1.2847999999999999</v>
      </c>
      <c r="O1696" s="142">
        <v>1.0538000000000001</v>
      </c>
      <c r="P1696" s="26">
        <v>3884.3594605760777</v>
      </c>
      <c r="Q1696" s="35">
        <f t="array" ref="Q1696">SUM(IF(($S1696&gt;=4)*($C1696='TaxCred&amp;Subs'!$D$114:$D$121)*($H1696='TaxCred&amp;Subs'!$C$114:$C$121)*($H1696&lt;='TaxCred&amp;Subs'!$C$123),'TaxCred&amp;Subs'!$E$114:$E$121,0))</f>
        <v>0</v>
      </c>
      <c r="R1696" s="143">
        <v>0</v>
      </c>
      <c r="S1696" s="5">
        <v>5</v>
      </c>
      <c r="T1696" s="5" t="s">
        <v>221</v>
      </c>
      <c r="V1696" s="7" t="str">
        <f t="array" ref="V1696">INDEX(xlRTCLNAME,MATCH(1,(xlRTCLENDU=1)*(xlRTCLEQCL=$D1696),0))</f>
        <v>DIST_RAD</v>
      </c>
      <c r="W1696" s="7" t="str">
        <f t="array" ref="W1696">INDEX(xlRTCLNAME,MATCH(1,(xlRTCLENDU=2)*(xlRTCLEQCL=$F1696),0))</f>
        <v>CENT_AIR</v>
      </c>
      <c r="X1696" s="7" t="str">
        <f t="array" ref="X1696">INDEX(xlRTTYNAME,MATCH(1,(xlRTTYENDU=1)*(xlRTTYEQCL=$D1696)*(xlRTEQTYPE=$E1696),0))</f>
        <v>DIST_RAD4</v>
      </c>
      <c r="Y1696" s="7" t="str">
        <f t="array" ref="Y1696">INDEX(xlRTTYNAME,MATCH(1,(xlRTTYENDU=2)*(xlRTTYEQCL=$F1696)*(xlRTEQTYPE=$G1696),0))</f>
        <v>CENT_AIR4</v>
      </c>
    </row>
    <row r="1697" spans="2:25" ht="14.25" customHeight="1" x14ac:dyDescent="0.2">
      <c r="B1697" s="5">
        <v>8</v>
      </c>
      <c r="C1697" s="5">
        <v>2</v>
      </c>
      <c r="D1697" s="5">
        <v>8</v>
      </c>
      <c r="E1697" s="31">
        <v>28</v>
      </c>
      <c r="F1697" s="5">
        <v>2</v>
      </c>
      <c r="G1697" s="31">
        <v>7</v>
      </c>
      <c r="H1697" s="5">
        <v>2023</v>
      </c>
      <c r="I1697" s="5">
        <v>2032</v>
      </c>
      <c r="J1697" s="142">
        <v>1.1045</v>
      </c>
      <c r="K1697" s="142">
        <v>1.0323</v>
      </c>
      <c r="L1697" s="142">
        <v>0.53910000000000002</v>
      </c>
      <c r="M1697" s="142">
        <v>1.2087000000000001</v>
      </c>
      <c r="N1697" s="142">
        <v>1.2847999999999999</v>
      </c>
      <c r="O1697" s="142">
        <v>1.0538000000000001</v>
      </c>
      <c r="P1697" s="26">
        <v>3884.3594605760777</v>
      </c>
      <c r="Q1697" s="35">
        <f t="array" ref="Q1697">SUM(IF(($S1697&gt;=4)*($C1697='TaxCred&amp;Subs'!$D$114:$D$121)*($H1697='TaxCred&amp;Subs'!$C$114:$C$121)*($H1697&lt;='TaxCred&amp;Subs'!$C$123),'TaxCred&amp;Subs'!$E$114:$E$121,0))</f>
        <v>500</v>
      </c>
      <c r="R1697" s="143">
        <v>0</v>
      </c>
      <c r="S1697" s="5">
        <v>5</v>
      </c>
      <c r="T1697" s="5" t="s">
        <v>221</v>
      </c>
      <c r="V1697" s="7" t="str">
        <f t="array" ref="V1697">INDEX(xlRTCLNAME,MATCH(1,(xlRTCLENDU=1)*(xlRTCLEQCL=$D1697),0))</f>
        <v>DIST_RAD</v>
      </c>
      <c r="W1697" s="7" t="str">
        <f t="array" ref="W1697">INDEX(xlRTCLNAME,MATCH(1,(xlRTCLENDU=2)*(xlRTCLEQCL=$F1697),0))</f>
        <v>CENT_AIR</v>
      </c>
      <c r="X1697" s="7" t="str">
        <f t="array" ref="X1697">INDEX(xlRTTYNAME,MATCH(1,(xlRTTYENDU=1)*(xlRTTYEQCL=$D1697)*(xlRTEQTYPE=$E1697),0))</f>
        <v>DIST_RAD4</v>
      </c>
      <c r="Y1697" s="7" t="str">
        <f t="array" ref="Y1697">INDEX(xlRTTYNAME,MATCH(1,(xlRTTYENDU=2)*(xlRTTYEQCL=$F1697)*(xlRTEQTYPE=$G1697),0))</f>
        <v>CENT_AIR4</v>
      </c>
    </row>
    <row r="1698" spans="2:25" ht="14.25" customHeight="1" x14ac:dyDescent="0.2">
      <c r="B1698" s="5">
        <v>8</v>
      </c>
      <c r="C1698" s="5">
        <v>2</v>
      </c>
      <c r="D1698" s="5">
        <v>8</v>
      </c>
      <c r="E1698" s="31">
        <v>28</v>
      </c>
      <c r="F1698" s="5">
        <v>2</v>
      </c>
      <c r="G1698" s="31">
        <v>7</v>
      </c>
      <c r="H1698" s="5">
        <v>2033</v>
      </c>
      <c r="I1698" s="5">
        <v>2050</v>
      </c>
      <c r="J1698" s="142">
        <v>1.1045</v>
      </c>
      <c r="K1698" s="142">
        <v>1.0323</v>
      </c>
      <c r="L1698" s="142">
        <v>0.53910000000000002</v>
      </c>
      <c r="M1698" s="142">
        <v>1.2087000000000001</v>
      </c>
      <c r="N1698" s="142">
        <v>1.2847999999999999</v>
      </c>
      <c r="O1698" s="142">
        <v>1.0538000000000001</v>
      </c>
      <c r="P1698" s="26">
        <v>3884.3594605760777</v>
      </c>
      <c r="Q1698" s="35">
        <f t="array" ref="Q1698">SUM(IF(($S1698&gt;=4)*($C1698='TaxCred&amp;Subs'!$D$114:$D$121)*($H1698='TaxCred&amp;Subs'!$C$114:$C$121)*($H1698&lt;='TaxCred&amp;Subs'!$C$123),'TaxCred&amp;Subs'!$E$114:$E$121,0))</f>
        <v>0</v>
      </c>
      <c r="R1698" s="143">
        <v>0</v>
      </c>
      <c r="S1698" s="5">
        <v>5</v>
      </c>
      <c r="T1698" s="5" t="s">
        <v>221</v>
      </c>
      <c r="V1698" s="7" t="str">
        <f t="array" ref="V1698">INDEX(xlRTCLNAME,MATCH(1,(xlRTCLENDU=1)*(xlRTCLEQCL=$D1698),0))</f>
        <v>DIST_RAD</v>
      </c>
      <c r="W1698" s="7" t="str">
        <f t="array" ref="W1698">INDEX(xlRTCLNAME,MATCH(1,(xlRTCLENDU=2)*(xlRTCLEQCL=$F1698),0))</f>
        <v>CENT_AIR</v>
      </c>
      <c r="X1698" s="7" t="str">
        <f t="array" ref="X1698">INDEX(xlRTTYNAME,MATCH(1,(xlRTTYENDU=1)*(xlRTTYEQCL=$D1698)*(xlRTEQTYPE=$E1698),0))</f>
        <v>DIST_RAD4</v>
      </c>
      <c r="Y1698" s="7" t="str">
        <f t="array" ref="Y1698">INDEX(xlRTTYNAME,MATCH(1,(xlRTTYENDU=2)*(xlRTTYEQCL=$F1698)*(xlRTEQTYPE=$G1698),0))</f>
        <v>CENT_AIR4</v>
      </c>
    </row>
    <row r="1699" spans="2:25" ht="14.25" customHeight="1" x14ac:dyDescent="0.2">
      <c r="B1699" s="5">
        <v>9</v>
      </c>
      <c r="C1699" s="5">
        <v>2</v>
      </c>
      <c r="D1699" s="5">
        <v>8</v>
      </c>
      <c r="E1699" s="31">
        <v>28</v>
      </c>
      <c r="F1699" s="5">
        <v>2</v>
      </c>
      <c r="G1699" s="31">
        <v>7</v>
      </c>
      <c r="H1699" s="31">
        <v>2020</v>
      </c>
      <c r="I1699" s="5">
        <v>2022</v>
      </c>
      <c r="J1699" s="142">
        <v>1.1200000000000001</v>
      </c>
      <c r="K1699" s="142">
        <v>1.0541</v>
      </c>
      <c r="L1699" s="142">
        <v>0.44379999999999997</v>
      </c>
      <c r="M1699" s="142">
        <v>1.1167</v>
      </c>
      <c r="N1699" s="142">
        <v>1.4438</v>
      </c>
      <c r="O1699" s="142">
        <v>1.0538000000000001</v>
      </c>
      <c r="P1699" s="26">
        <v>4447.7193131137647</v>
      </c>
      <c r="Q1699" s="35">
        <f t="array" ref="Q1699">SUM(IF(($S1699&gt;=4)*($C1699='TaxCred&amp;Subs'!$D$114:$D$121)*($H1699='TaxCred&amp;Subs'!$C$114:$C$121)*($H1699&lt;='TaxCred&amp;Subs'!$C$123),'TaxCred&amp;Subs'!$E$114:$E$121,0))</f>
        <v>0</v>
      </c>
      <c r="R1699" s="143">
        <v>0</v>
      </c>
      <c r="S1699" s="5">
        <v>5</v>
      </c>
      <c r="T1699" s="5" t="s">
        <v>221</v>
      </c>
      <c r="V1699" s="7" t="str">
        <f t="array" ref="V1699">INDEX(xlRTCLNAME,MATCH(1,(xlRTCLENDU=1)*(xlRTCLEQCL=$D1699),0))</f>
        <v>DIST_RAD</v>
      </c>
      <c r="W1699" s="7" t="str">
        <f t="array" ref="W1699">INDEX(xlRTCLNAME,MATCH(1,(xlRTCLENDU=2)*(xlRTCLEQCL=$F1699),0))</f>
        <v>CENT_AIR</v>
      </c>
      <c r="X1699" s="7" t="str">
        <f t="array" ref="X1699">INDEX(xlRTTYNAME,MATCH(1,(xlRTTYENDU=1)*(xlRTTYEQCL=$D1699)*(xlRTEQTYPE=$E1699),0))</f>
        <v>DIST_RAD4</v>
      </c>
      <c r="Y1699" s="7" t="str">
        <f t="array" ref="Y1699">INDEX(xlRTTYNAME,MATCH(1,(xlRTTYENDU=2)*(xlRTTYEQCL=$F1699)*(xlRTEQTYPE=$G1699),0))</f>
        <v>CENT_AIR4</v>
      </c>
    </row>
    <row r="1700" spans="2:25" ht="14.25" customHeight="1" x14ac:dyDescent="0.2">
      <c r="B1700" s="5">
        <v>9</v>
      </c>
      <c r="C1700" s="5">
        <v>2</v>
      </c>
      <c r="D1700" s="5">
        <v>8</v>
      </c>
      <c r="E1700" s="31">
        <v>28</v>
      </c>
      <c r="F1700" s="5">
        <v>2</v>
      </c>
      <c r="G1700" s="31">
        <v>7</v>
      </c>
      <c r="H1700" s="5">
        <v>2023</v>
      </c>
      <c r="I1700" s="5">
        <v>2032</v>
      </c>
      <c r="J1700" s="142">
        <v>1.1200000000000001</v>
      </c>
      <c r="K1700" s="142">
        <v>1.0541</v>
      </c>
      <c r="L1700" s="142">
        <v>0.44379999999999997</v>
      </c>
      <c r="M1700" s="142">
        <v>1.1167</v>
      </c>
      <c r="N1700" s="142">
        <v>1.4438</v>
      </c>
      <c r="O1700" s="142">
        <v>1.0538000000000001</v>
      </c>
      <c r="P1700" s="26">
        <v>4447.7193131137647</v>
      </c>
      <c r="Q1700" s="35">
        <f t="array" ref="Q1700">SUM(IF(($S1700&gt;=4)*($C1700='TaxCred&amp;Subs'!$D$114:$D$121)*($H1700='TaxCred&amp;Subs'!$C$114:$C$121)*($H1700&lt;='TaxCred&amp;Subs'!$C$123),'TaxCred&amp;Subs'!$E$114:$E$121,0))</f>
        <v>500</v>
      </c>
      <c r="R1700" s="143">
        <v>0</v>
      </c>
      <c r="S1700" s="5">
        <v>5</v>
      </c>
      <c r="T1700" s="5" t="s">
        <v>221</v>
      </c>
      <c r="V1700" s="7" t="str">
        <f t="array" ref="V1700">INDEX(xlRTCLNAME,MATCH(1,(xlRTCLENDU=1)*(xlRTCLEQCL=$D1700),0))</f>
        <v>DIST_RAD</v>
      </c>
      <c r="W1700" s="7" t="str">
        <f t="array" ref="W1700">INDEX(xlRTCLNAME,MATCH(1,(xlRTCLENDU=2)*(xlRTCLEQCL=$F1700),0))</f>
        <v>CENT_AIR</v>
      </c>
      <c r="X1700" s="7" t="str">
        <f t="array" ref="X1700">INDEX(xlRTTYNAME,MATCH(1,(xlRTTYENDU=1)*(xlRTTYEQCL=$D1700)*(xlRTEQTYPE=$E1700),0))</f>
        <v>DIST_RAD4</v>
      </c>
      <c r="Y1700" s="7" t="str">
        <f t="array" ref="Y1700">INDEX(xlRTTYNAME,MATCH(1,(xlRTTYENDU=2)*(xlRTTYEQCL=$F1700)*(xlRTEQTYPE=$G1700),0))</f>
        <v>CENT_AIR4</v>
      </c>
    </row>
    <row r="1701" spans="2:25" ht="14.25" customHeight="1" x14ac:dyDescent="0.2">
      <c r="B1701" s="5">
        <v>9</v>
      </c>
      <c r="C1701" s="5">
        <v>2</v>
      </c>
      <c r="D1701" s="5">
        <v>8</v>
      </c>
      <c r="E1701" s="31">
        <v>28</v>
      </c>
      <c r="F1701" s="5">
        <v>2</v>
      </c>
      <c r="G1701" s="31">
        <v>7</v>
      </c>
      <c r="H1701" s="5">
        <v>2033</v>
      </c>
      <c r="I1701" s="5">
        <v>2050</v>
      </c>
      <c r="J1701" s="142">
        <v>1.1200000000000001</v>
      </c>
      <c r="K1701" s="142">
        <v>1.0541</v>
      </c>
      <c r="L1701" s="142">
        <v>0.44379999999999997</v>
      </c>
      <c r="M1701" s="142">
        <v>1.1167</v>
      </c>
      <c r="N1701" s="142">
        <v>1.4438</v>
      </c>
      <c r="O1701" s="142">
        <v>1.0538000000000001</v>
      </c>
      <c r="P1701" s="26">
        <v>4447.7193131137647</v>
      </c>
      <c r="Q1701" s="35">
        <f t="array" ref="Q1701">SUM(IF(($S1701&gt;=4)*($C1701='TaxCred&amp;Subs'!$D$114:$D$121)*($H1701='TaxCred&amp;Subs'!$C$114:$C$121)*($H1701&lt;='TaxCred&amp;Subs'!$C$123),'TaxCred&amp;Subs'!$E$114:$E$121,0))</f>
        <v>0</v>
      </c>
      <c r="R1701" s="143">
        <v>0</v>
      </c>
      <c r="S1701" s="5">
        <v>5</v>
      </c>
      <c r="T1701" s="5" t="s">
        <v>221</v>
      </c>
      <c r="V1701" s="7" t="str">
        <f t="array" ref="V1701">INDEX(xlRTCLNAME,MATCH(1,(xlRTCLENDU=1)*(xlRTCLEQCL=$D1701),0))</f>
        <v>DIST_RAD</v>
      </c>
      <c r="W1701" s="7" t="str">
        <f t="array" ref="W1701">INDEX(xlRTCLNAME,MATCH(1,(xlRTCLENDU=2)*(xlRTCLEQCL=$F1701),0))</f>
        <v>CENT_AIR</v>
      </c>
      <c r="X1701" s="7" t="str">
        <f t="array" ref="X1701">INDEX(xlRTTYNAME,MATCH(1,(xlRTTYENDU=1)*(xlRTTYEQCL=$D1701)*(xlRTEQTYPE=$E1701),0))</f>
        <v>DIST_RAD4</v>
      </c>
      <c r="Y1701" s="7" t="str">
        <f t="array" ref="Y1701">INDEX(xlRTTYNAME,MATCH(1,(xlRTTYENDU=2)*(xlRTTYEQCL=$F1701)*(xlRTEQTYPE=$G1701),0))</f>
        <v>CENT_AIR4</v>
      </c>
    </row>
    <row r="1702" spans="2:25" ht="14.25" customHeight="1" x14ac:dyDescent="0.2">
      <c r="B1702" s="5">
        <v>1</v>
      </c>
      <c r="C1702" s="5">
        <v>2</v>
      </c>
      <c r="D1702" s="5">
        <v>9</v>
      </c>
      <c r="E1702" s="31">
        <v>30</v>
      </c>
      <c r="F1702" s="5">
        <v>2</v>
      </c>
      <c r="G1702" s="31">
        <v>7</v>
      </c>
      <c r="H1702" s="31">
        <v>2020</v>
      </c>
      <c r="I1702" s="5">
        <v>2022</v>
      </c>
      <c r="J1702" s="142">
        <v>1.0864</v>
      </c>
      <c r="K1702" s="142">
        <v>1.0417000000000001</v>
      </c>
      <c r="L1702" s="142">
        <v>0.5786</v>
      </c>
      <c r="M1702" s="142">
        <v>1.1228</v>
      </c>
      <c r="N1702" s="142">
        <v>1.1156999999999999</v>
      </c>
      <c r="O1702" s="142">
        <v>1.0538000000000001</v>
      </c>
      <c r="P1702" s="26">
        <v>5076.9613441105121</v>
      </c>
      <c r="Q1702" s="35">
        <f t="array" ref="Q1702">SUM(IF(($S1702&gt;=4)*($C1702='TaxCred&amp;Subs'!$D$114:$D$121)*($H1702='TaxCred&amp;Subs'!$C$114:$C$121)*($H1702&lt;='TaxCred&amp;Subs'!$C$123),'TaxCred&amp;Subs'!$E$114:$E$121,0))</f>
        <v>0</v>
      </c>
      <c r="R1702" s="143">
        <v>0</v>
      </c>
      <c r="S1702" s="5">
        <v>5</v>
      </c>
      <c r="T1702" s="5" t="s">
        <v>221</v>
      </c>
      <c r="V1702" s="7" t="str">
        <f t="array" ref="V1702">INDEX(xlRTCLNAME,MATCH(1,(xlRTCLENDU=1)*(xlRTCLEQCL=$D1702),0))</f>
        <v>WOOD_HT</v>
      </c>
      <c r="W1702" s="7" t="str">
        <f t="array" ref="W1702">INDEX(xlRTCLNAME,MATCH(1,(xlRTCLENDU=2)*(xlRTCLEQCL=$F1702),0))</f>
        <v>CENT_AIR</v>
      </c>
      <c r="X1702" s="7" t="str">
        <f t="array" ref="X1702">INDEX(xlRTTYNAME,MATCH(1,(xlRTTYENDU=1)*(xlRTTYEQCL=$D1702)*(xlRTEQTYPE=$E1702),0))</f>
        <v>WOOD_HT4</v>
      </c>
      <c r="Y1702" s="7" t="str">
        <f t="array" ref="Y1702">INDEX(xlRTTYNAME,MATCH(1,(xlRTTYENDU=2)*(xlRTTYEQCL=$F1702)*(xlRTEQTYPE=$G1702),0))</f>
        <v>CENT_AIR4</v>
      </c>
    </row>
    <row r="1703" spans="2:25" ht="14.25" customHeight="1" x14ac:dyDescent="0.2">
      <c r="B1703" s="5">
        <v>1</v>
      </c>
      <c r="C1703" s="5">
        <v>2</v>
      </c>
      <c r="D1703" s="5">
        <v>9</v>
      </c>
      <c r="E1703" s="31">
        <v>30</v>
      </c>
      <c r="F1703" s="5">
        <v>2</v>
      </c>
      <c r="G1703" s="31">
        <v>7</v>
      </c>
      <c r="H1703" s="5">
        <v>2023</v>
      </c>
      <c r="I1703" s="5">
        <v>2032</v>
      </c>
      <c r="J1703" s="142">
        <v>1.0864</v>
      </c>
      <c r="K1703" s="142">
        <v>1.0417000000000001</v>
      </c>
      <c r="L1703" s="142">
        <v>0.5786</v>
      </c>
      <c r="M1703" s="142">
        <v>1.1228</v>
      </c>
      <c r="N1703" s="142">
        <v>1.1156999999999999</v>
      </c>
      <c r="O1703" s="142">
        <v>1.0538000000000001</v>
      </c>
      <c r="P1703" s="26">
        <v>5076.9613441105121</v>
      </c>
      <c r="Q1703" s="35">
        <f t="array" ref="Q1703">SUM(IF(($S1703&gt;=4)*($C1703='TaxCred&amp;Subs'!$D$114:$D$121)*($H1703='TaxCred&amp;Subs'!$C$114:$C$121)*($H1703&lt;='TaxCred&amp;Subs'!$C$123),'TaxCred&amp;Subs'!$E$114:$E$121,0))</f>
        <v>500</v>
      </c>
      <c r="R1703" s="143">
        <v>0</v>
      </c>
      <c r="S1703" s="5">
        <v>5</v>
      </c>
      <c r="T1703" s="5" t="s">
        <v>221</v>
      </c>
      <c r="V1703" s="7" t="str">
        <f t="array" ref="V1703">INDEX(xlRTCLNAME,MATCH(1,(xlRTCLENDU=1)*(xlRTCLEQCL=$D1703),0))</f>
        <v>WOOD_HT</v>
      </c>
      <c r="W1703" s="7" t="str">
        <f t="array" ref="W1703">INDEX(xlRTCLNAME,MATCH(1,(xlRTCLENDU=2)*(xlRTCLEQCL=$F1703),0))</f>
        <v>CENT_AIR</v>
      </c>
      <c r="X1703" s="7" t="str">
        <f t="array" ref="X1703">INDEX(xlRTTYNAME,MATCH(1,(xlRTTYENDU=1)*(xlRTTYEQCL=$D1703)*(xlRTEQTYPE=$E1703),0))</f>
        <v>WOOD_HT4</v>
      </c>
      <c r="Y1703" s="7" t="str">
        <f t="array" ref="Y1703">INDEX(xlRTTYNAME,MATCH(1,(xlRTTYENDU=2)*(xlRTTYEQCL=$F1703)*(xlRTEQTYPE=$G1703),0))</f>
        <v>CENT_AIR4</v>
      </c>
    </row>
    <row r="1704" spans="2:25" ht="14.25" customHeight="1" x14ac:dyDescent="0.2">
      <c r="B1704" s="5">
        <v>1</v>
      </c>
      <c r="C1704" s="5">
        <v>2</v>
      </c>
      <c r="D1704" s="5">
        <v>9</v>
      </c>
      <c r="E1704" s="31">
        <v>30</v>
      </c>
      <c r="F1704" s="5">
        <v>2</v>
      </c>
      <c r="G1704" s="31">
        <v>7</v>
      </c>
      <c r="H1704" s="5">
        <v>2033</v>
      </c>
      <c r="I1704" s="5">
        <v>2050</v>
      </c>
      <c r="J1704" s="142">
        <v>1.0864</v>
      </c>
      <c r="K1704" s="142">
        <v>1.0417000000000001</v>
      </c>
      <c r="L1704" s="142">
        <v>0.5786</v>
      </c>
      <c r="M1704" s="142">
        <v>1.1228</v>
      </c>
      <c r="N1704" s="142">
        <v>1.1156999999999999</v>
      </c>
      <c r="O1704" s="142">
        <v>1.0538000000000001</v>
      </c>
      <c r="P1704" s="26">
        <v>5076.9613441105121</v>
      </c>
      <c r="Q1704" s="35">
        <f t="array" ref="Q1704">SUM(IF(($S1704&gt;=4)*($C1704='TaxCred&amp;Subs'!$D$114:$D$121)*($H1704='TaxCred&amp;Subs'!$C$114:$C$121)*($H1704&lt;='TaxCred&amp;Subs'!$C$123),'TaxCred&amp;Subs'!$E$114:$E$121,0))</f>
        <v>0</v>
      </c>
      <c r="R1704" s="143">
        <v>0</v>
      </c>
      <c r="S1704" s="5">
        <v>5</v>
      </c>
      <c r="T1704" s="5" t="s">
        <v>221</v>
      </c>
      <c r="V1704" s="7" t="str">
        <f t="array" ref="V1704">INDEX(xlRTCLNAME,MATCH(1,(xlRTCLENDU=1)*(xlRTCLEQCL=$D1704),0))</f>
        <v>WOOD_HT</v>
      </c>
      <c r="W1704" s="7" t="str">
        <f t="array" ref="W1704">INDEX(xlRTCLNAME,MATCH(1,(xlRTCLENDU=2)*(xlRTCLEQCL=$F1704),0))</f>
        <v>CENT_AIR</v>
      </c>
      <c r="X1704" s="7" t="str">
        <f t="array" ref="X1704">INDEX(xlRTTYNAME,MATCH(1,(xlRTTYENDU=1)*(xlRTTYEQCL=$D1704)*(xlRTEQTYPE=$E1704),0))</f>
        <v>WOOD_HT4</v>
      </c>
      <c r="Y1704" s="7" t="str">
        <f t="array" ref="Y1704">INDEX(xlRTTYNAME,MATCH(1,(xlRTTYENDU=2)*(xlRTTYEQCL=$F1704)*(xlRTEQTYPE=$G1704),0))</f>
        <v>CENT_AIR4</v>
      </c>
    </row>
    <row r="1705" spans="2:25" ht="14.25" customHeight="1" x14ac:dyDescent="0.2">
      <c r="B1705" s="5">
        <v>2</v>
      </c>
      <c r="C1705" s="5">
        <v>2</v>
      </c>
      <c r="D1705" s="5">
        <v>9</v>
      </c>
      <c r="E1705" s="31">
        <v>30</v>
      </c>
      <c r="F1705" s="5">
        <v>2</v>
      </c>
      <c r="G1705" s="31">
        <v>7</v>
      </c>
      <c r="H1705" s="31">
        <v>2020</v>
      </c>
      <c r="I1705" s="5">
        <v>2022</v>
      </c>
      <c r="J1705" s="142">
        <v>1.0891</v>
      </c>
      <c r="K1705" s="142">
        <v>1.0713999999999999</v>
      </c>
      <c r="L1705" s="142">
        <v>0.55879999999999996</v>
      </c>
      <c r="M1705" s="142">
        <v>1.1416999999999999</v>
      </c>
      <c r="N1705" s="142">
        <v>1.1254999999999999</v>
      </c>
      <c r="O1705" s="142">
        <v>1.0538000000000001</v>
      </c>
      <c r="P1705" s="26">
        <v>4802.6763562401347</v>
      </c>
      <c r="Q1705" s="35">
        <f t="array" ref="Q1705">SUM(IF(($S1705&gt;=4)*($C1705='TaxCred&amp;Subs'!$D$114:$D$121)*($H1705='TaxCred&amp;Subs'!$C$114:$C$121)*($H1705&lt;='TaxCred&amp;Subs'!$C$123),'TaxCred&amp;Subs'!$E$114:$E$121,0))</f>
        <v>0</v>
      </c>
      <c r="R1705" s="143">
        <v>0</v>
      </c>
      <c r="S1705" s="5">
        <v>5</v>
      </c>
      <c r="T1705" s="5" t="s">
        <v>221</v>
      </c>
      <c r="V1705" s="7" t="str">
        <f t="array" ref="V1705">INDEX(xlRTCLNAME,MATCH(1,(xlRTCLENDU=1)*(xlRTCLEQCL=$D1705),0))</f>
        <v>WOOD_HT</v>
      </c>
      <c r="W1705" s="7" t="str">
        <f t="array" ref="W1705">INDEX(xlRTCLNAME,MATCH(1,(xlRTCLENDU=2)*(xlRTCLEQCL=$F1705),0))</f>
        <v>CENT_AIR</v>
      </c>
      <c r="X1705" s="7" t="str">
        <f t="array" ref="X1705">INDEX(xlRTTYNAME,MATCH(1,(xlRTTYENDU=1)*(xlRTTYEQCL=$D1705)*(xlRTEQTYPE=$E1705),0))</f>
        <v>WOOD_HT4</v>
      </c>
      <c r="Y1705" s="7" t="str">
        <f t="array" ref="Y1705">INDEX(xlRTTYNAME,MATCH(1,(xlRTTYENDU=2)*(xlRTTYEQCL=$F1705)*(xlRTEQTYPE=$G1705),0))</f>
        <v>CENT_AIR4</v>
      </c>
    </row>
    <row r="1706" spans="2:25" ht="14.25" customHeight="1" x14ac:dyDescent="0.2">
      <c r="B1706" s="5">
        <v>2</v>
      </c>
      <c r="C1706" s="5">
        <v>2</v>
      </c>
      <c r="D1706" s="5">
        <v>9</v>
      </c>
      <c r="E1706" s="31">
        <v>30</v>
      </c>
      <c r="F1706" s="5">
        <v>2</v>
      </c>
      <c r="G1706" s="31">
        <v>7</v>
      </c>
      <c r="H1706" s="5">
        <v>2023</v>
      </c>
      <c r="I1706" s="5">
        <v>2032</v>
      </c>
      <c r="J1706" s="142">
        <v>1.0891</v>
      </c>
      <c r="K1706" s="142">
        <v>1.0713999999999999</v>
      </c>
      <c r="L1706" s="142">
        <v>0.55879999999999996</v>
      </c>
      <c r="M1706" s="142">
        <v>1.1416999999999999</v>
      </c>
      <c r="N1706" s="142">
        <v>1.1254999999999999</v>
      </c>
      <c r="O1706" s="142">
        <v>1.0538000000000001</v>
      </c>
      <c r="P1706" s="26">
        <v>4802.6763562401347</v>
      </c>
      <c r="Q1706" s="35">
        <f t="array" ref="Q1706">SUM(IF(($S1706&gt;=4)*($C1706='TaxCred&amp;Subs'!$D$114:$D$121)*($H1706='TaxCred&amp;Subs'!$C$114:$C$121)*($H1706&lt;='TaxCred&amp;Subs'!$C$123),'TaxCred&amp;Subs'!$E$114:$E$121,0))</f>
        <v>500</v>
      </c>
      <c r="R1706" s="143">
        <v>0</v>
      </c>
      <c r="S1706" s="5">
        <v>5</v>
      </c>
      <c r="T1706" s="5" t="s">
        <v>221</v>
      </c>
      <c r="V1706" s="7" t="str">
        <f t="array" ref="V1706">INDEX(xlRTCLNAME,MATCH(1,(xlRTCLENDU=1)*(xlRTCLEQCL=$D1706),0))</f>
        <v>WOOD_HT</v>
      </c>
      <c r="W1706" s="7" t="str">
        <f t="array" ref="W1706">INDEX(xlRTCLNAME,MATCH(1,(xlRTCLENDU=2)*(xlRTCLEQCL=$F1706),0))</f>
        <v>CENT_AIR</v>
      </c>
      <c r="X1706" s="7" t="str">
        <f t="array" ref="X1706">INDEX(xlRTTYNAME,MATCH(1,(xlRTTYENDU=1)*(xlRTTYEQCL=$D1706)*(xlRTEQTYPE=$E1706),0))</f>
        <v>WOOD_HT4</v>
      </c>
      <c r="Y1706" s="7" t="str">
        <f t="array" ref="Y1706">INDEX(xlRTTYNAME,MATCH(1,(xlRTTYENDU=2)*(xlRTTYEQCL=$F1706)*(xlRTEQTYPE=$G1706),0))</f>
        <v>CENT_AIR4</v>
      </c>
    </row>
    <row r="1707" spans="2:25" ht="14.25" customHeight="1" x14ac:dyDescent="0.2">
      <c r="B1707" s="5">
        <v>2</v>
      </c>
      <c r="C1707" s="5">
        <v>2</v>
      </c>
      <c r="D1707" s="5">
        <v>9</v>
      </c>
      <c r="E1707" s="31">
        <v>30</v>
      </c>
      <c r="F1707" s="5">
        <v>2</v>
      </c>
      <c r="G1707" s="31">
        <v>7</v>
      </c>
      <c r="H1707" s="5">
        <v>2033</v>
      </c>
      <c r="I1707" s="5">
        <v>2050</v>
      </c>
      <c r="J1707" s="142">
        <v>1.0891</v>
      </c>
      <c r="K1707" s="142">
        <v>1.0713999999999999</v>
      </c>
      <c r="L1707" s="142">
        <v>0.55879999999999996</v>
      </c>
      <c r="M1707" s="142">
        <v>1.1416999999999999</v>
      </c>
      <c r="N1707" s="142">
        <v>1.1254999999999999</v>
      </c>
      <c r="O1707" s="142">
        <v>1.0538000000000001</v>
      </c>
      <c r="P1707" s="26">
        <v>4802.6763562401347</v>
      </c>
      <c r="Q1707" s="35">
        <f t="array" ref="Q1707">SUM(IF(($S1707&gt;=4)*($C1707='TaxCred&amp;Subs'!$D$114:$D$121)*($H1707='TaxCred&amp;Subs'!$C$114:$C$121)*($H1707&lt;='TaxCred&amp;Subs'!$C$123),'TaxCred&amp;Subs'!$E$114:$E$121,0))</f>
        <v>0</v>
      </c>
      <c r="R1707" s="143">
        <v>0</v>
      </c>
      <c r="S1707" s="5">
        <v>5</v>
      </c>
      <c r="T1707" s="5" t="s">
        <v>221</v>
      </c>
      <c r="V1707" s="7" t="str">
        <f t="array" ref="V1707">INDEX(xlRTCLNAME,MATCH(1,(xlRTCLENDU=1)*(xlRTCLEQCL=$D1707),0))</f>
        <v>WOOD_HT</v>
      </c>
      <c r="W1707" s="7" t="str">
        <f t="array" ref="W1707">INDEX(xlRTCLNAME,MATCH(1,(xlRTCLENDU=2)*(xlRTCLEQCL=$F1707),0))</f>
        <v>CENT_AIR</v>
      </c>
      <c r="X1707" s="7" t="str">
        <f t="array" ref="X1707">INDEX(xlRTTYNAME,MATCH(1,(xlRTTYENDU=1)*(xlRTTYEQCL=$D1707)*(xlRTEQTYPE=$E1707),0))</f>
        <v>WOOD_HT4</v>
      </c>
      <c r="Y1707" s="7" t="str">
        <f t="array" ref="Y1707">INDEX(xlRTTYNAME,MATCH(1,(xlRTTYENDU=2)*(xlRTTYEQCL=$F1707)*(xlRTEQTYPE=$G1707),0))</f>
        <v>CENT_AIR4</v>
      </c>
    </row>
    <row r="1708" spans="2:25" ht="14.25" customHeight="1" x14ac:dyDescent="0.2">
      <c r="B1708" s="5">
        <v>3</v>
      </c>
      <c r="C1708" s="5">
        <v>2</v>
      </c>
      <c r="D1708" s="5">
        <v>9</v>
      </c>
      <c r="E1708" s="31">
        <v>30</v>
      </c>
      <c r="F1708" s="5">
        <v>2</v>
      </c>
      <c r="G1708" s="31">
        <v>7</v>
      </c>
      <c r="H1708" s="31">
        <v>2020</v>
      </c>
      <c r="I1708" s="5">
        <v>2022</v>
      </c>
      <c r="J1708" s="142">
        <v>1.0962000000000001</v>
      </c>
      <c r="K1708" s="142">
        <v>1.0345</v>
      </c>
      <c r="L1708" s="142">
        <v>0.5524</v>
      </c>
      <c r="M1708" s="142">
        <v>1.0310999999999999</v>
      </c>
      <c r="N1708" s="142">
        <v>1.0417000000000001</v>
      </c>
      <c r="O1708" s="142">
        <v>1.0538000000000001</v>
      </c>
      <c r="P1708" s="26">
        <v>4310.5768191785755</v>
      </c>
      <c r="Q1708" s="35">
        <f t="array" ref="Q1708">SUM(IF(($S1708&gt;=4)*($C1708='TaxCred&amp;Subs'!$D$114:$D$121)*($H1708='TaxCred&amp;Subs'!$C$114:$C$121)*($H1708&lt;='TaxCred&amp;Subs'!$C$123),'TaxCred&amp;Subs'!$E$114:$E$121,0))</f>
        <v>0</v>
      </c>
      <c r="R1708" s="143">
        <v>0</v>
      </c>
      <c r="S1708" s="5">
        <v>5</v>
      </c>
      <c r="T1708" s="5" t="s">
        <v>221</v>
      </c>
      <c r="V1708" s="7" t="str">
        <f t="array" ref="V1708">INDEX(xlRTCLNAME,MATCH(1,(xlRTCLENDU=1)*(xlRTCLEQCL=$D1708),0))</f>
        <v>WOOD_HT</v>
      </c>
      <c r="W1708" s="7" t="str">
        <f t="array" ref="W1708">INDEX(xlRTCLNAME,MATCH(1,(xlRTCLENDU=2)*(xlRTCLEQCL=$F1708),0))</f>
        <v>CENT_AIR</v>
      </c>
      <c r="X1708" s="7" t="str">
        <f t="array" ref="X1708">INDEX(xlRTTYNAME,MATCH(1,(xlRTTYENDU=1)*(xlRTTYEQCL=$D1708)*(xlRTEQTYPE=$E1708),0))</f>
        <v>WOOD_HT4</v>
      </c>
      <c r="Y1708" s="7" t="str">
        <f t="array" ref="Y1708">INDEX(xlRTTYNAME,MATCH(1,(xlRTTYENDU=2)*(xlRTTYEQCL=$F1708)*(xlRTEQTYPE=$G1708),0))</f>
        <v>CENT_AIR4</v>
      </c>
    </row>
    <row r="1709" spans="2:25" ht="14.25" customHeight="1" x14ac:dyDescent="0.2">
      <c r="B1709" s="5">
        <v>3</v>
      </c>
      <c r="C1709" s="5">
        <v>2</v>
      </c>
      <c r="D1709" s="5">
        <v>9</v>
      </c>
      <c r="E1709" s="31">
        <v>30</v>
      </c>
      <c r="F1709" s="5">
        <v>2</v>
      </c>
      <c r="G1709" s="31">
        <v>7</v>
      </c>
      <c r="H1709" s="5">
        <v>2023</v>
      </c>
      <c r="I1709" s="5">
        <v>2032</v>
      </c>
      <c r="J1709" s="142">
        <v>1.0962000000000001</v>
      </c>
      <c r="K1709" s="142">
        <v>1.0345</v>
      </c>
      <c r="L1709" s="142">
        <v>0.5524</v>
      </c>
      <c r="M1709" s="142">
        <v>1.0310999999999999</v>
      </c>
      <c r="N1709" s="142">
        <v>1.0417000000000001</v>
      </c>
      <c r="O1709" s="142">
        <v>1.0538000000000001</v>
      </c>
      <c r="P1709" s="26">
        <v>4310.5768191785755</v>
      </c>
      <c r="Q1709" s="35">
        <f t="array" ref="Q1709">SUM(IF(($S1709&gt;=4)*($C1709='TaxCred&amp;Subs'!$D$114:$D$121)*($H1709='TaxCred&amp;Subs'!$C$114:$C$121)*($H1709&lt;='TaxCred&amp;Subs'!$C$123),'TaxCred&amp;Subs'!$E$114:$E$121,0))</f>
        <v>500</v>
      </c>
      <c r="R1709" s="143">
        <v>0</v>
      </c>
      <c r="S1709" s="5">
        <v>5</v>
      </c>
      <c r="T1709" s="5" t="s">
        <v>221</v>
      </c>
      <c r="V1709" s="7" t="str">
        <f t="array" ref="V1709">INDEX(xlRTCLNAME,MATCH(1,(xlRTCLENDU=1)*(xlRTCLEQCL=$D1709),0))</f>
        <v>WOOD_HT</v>
      </c>
      <c r="W1709" s="7" t="str">
        <f t="array" ref="W1709">INDEX(xlRTCLNAME,MATCH(1,(xlRTCLENDU=2)*(xlRTCLEQCL=$F1709),0))</f>
        <v>CENT_AIR</v>
      </c>
      <c r="X1709" s="7" t="str">
        <f t="array" ref="X1709">INDEX(xlRTTYNAME,MATCH(1,(xlRTTYENDU=1)*(xlRTTYEQCL=$D1709)*(xlRTEQTYPE=$E1709),0))</f>
        <v>WOOD_HT4</v>
      </c>
      <c r="Y1709" s="7" t="str">
        <f t="array" ref="Y1709">INDEX(xlRTTYNAME,MATCH(1,(xlRTTYENDU=2)*(xlRTTYEQCL=$F1709)*(xlRTEQTYPE=$G1709),0))</f>
        <v>CENT_AIR4</v>
      </c>
    </row>
    <row r="1710" spans="2:25" ht="14.25" customHeight="1" x14ac:dyDescent="0.2">
      <c r="B1710" s="5">
        <v>3</v>
      </c>
      <c r="C1710" s="5">
        <v>2</v>
      </c>
      <c r="D1710" s="5">
        <v>9</v>
      </c>
      <c r="E1710" s="31">
        <v>30</v>
      </c>
      <c r="F1710" s="5">
        <v>2</v>
      </c>
      <c r="G1710" s="31">
        <v>7</v>
      </c>
      <c r="H1710" s="5">
        <v>2033</v>
      </c>
      <c r="I1710" s="5">
        <v>2050</v>
      </c>
      <c r="J1710" s="142">
        <v>1.0962000000000001</v>
      </c>
      <c r="K1710" s="142">
        <v>1.0345</v>
      </c>
      <c r="L1710" s="142">
        <v>0.5524</v>
      </c>
      <c r="M1710" s="142">
        <v>1.0310999999999999</v>
      </c>
      <c r="N1710" s="142">
        <v>1.0417000000000001</v>
      </c>
      <c r="O1710" s="142">
        <v>1.0538000000000001</v>
      </c>
      <c r="P1710" s="26">
        <v>4310.5768191785755</v>
      </c>
      <c r="Q1710" s="35">
        <f t="array" ref="Q1710">SUM(IF(($S1710&gt;=4)*($C1710='TaxCred&amp;Subs'!$D$114:$D$121)*($H1710='TaxCred&amp;Subs'!$C$114:$C$121)*($H1710&lt;='TaxCred&amp;Subs'!$C$123),'TaxCred&amp;Subs'!$E$114:$E$121,0))</f>
        <v>0</v>
      </c>
      <c r="R1710" s="143">
        <v>0</v>
      </c>
      <c r="S1710" s="5">
        <v>5</v>
      </c>
      <c r="T1710" s="5" t="s">
        <v>221</v>
      </c>
      <c r="V1710" s="7" t="str">
        <f t="array" ref="V1710">INDEX(xlRTCLNAME,MATCH(1,(xlRTCLENDU=1)*(xlRTCLEQCL=$D1710),0))</f>
        <v>WOOD_HT</v>
      </c>
      <c r="W1710" s="7" t="str">
        <f t="array" ref="W1710">INDEX(xlRTCLNAME,MATCH(1,(xlRTCLENDU=2)*(xlRTCLEQCL=$F1710),0))</f>
        <v>CENT_AIR</v>
      </c>
      <c r="X1710" s="7" t="str">
        <f t="array" ref="X1710">INDEX(xlRTTYNAME,MATCH(1,(xlRTTYENDU=1)*(xlRTTYEQCL=$D1710)*(xlRTEQTYPE=$E1710),0))</f>
        <v>WOOD_HT4</v>
      </c>
      <c r="Y1710" s="7" t="str">
        <f t="array" ref="Y1710">INDEX(xlRTTYNAME,MATCH(1,(xlRTTYENDU=2)*(xlRTTYEQCL=$F1710)*(xlRTEQTYPE=$G1710),0))</f>
        <v>CENT_AIR4</v>
      </c>
    </row>
    <row r="1711" spans="2:25" ht="14.25" customHeight="1" x14ac:dyDescent="0.2">
      <c r="B1711" s="5">
        <v>4</v>
      </c>
      <c r="C1711" s="5">
        <v>2</v>
      </c>
      <c r="D1711" s="5">
        <v>9</v>
      </c>
      <c r="E1711" s="31">
        <v>30</v>
      </c>
      <c r="F1711" s="5">
        <v>2</v>
      </c>
      <c r="G1711" s="31">
        <v>7</v>
      </c>
      <c r="H1711" s="31">
        <v>2020</v>
      </c>
      <c r="I1711" s="5">
        <v>2022</v>
      </c>
      <c r="J1711" s="142">
        <v>1.1024</v>
      </c>
      <c r="K1711" s="142">
        <v>1.0435000000000001</v>
      </c>
      <c r="L1711" s="142">
        <v>0.6149</v>
      </c>
      <c r="M1711" s="142">
        <v>1.1499999999999999</v>
      </c>
      <c r="N1711" s="142">
        <v>1.1678999999999999</v>
      </c>
      <c r="O1711" s="142">
        <v>1.0538000000000001</v>
      </c>
      <c r="P1711" s="26">
        <v>3588.5619246374358</v>
      </c>
      <c r="Q1711" s="35">
        <f t="array" ref="Q1711">SUM(IF(($S1711&gt;=4)*($C1711='TaxCred&amp;Subs'!$D$114:$D$121)*($H1711='TaxCred&amp;Subs'!$C$114:$C$121)*($H1711&lt;='TaxCred&amp;Subs'!$C$123),'TaxCred&amp;Subs'!$E$114:$E$121,0))</f>
        <v>0</v>
      </c>
      <c r="R1711" s="143">
        <v>0</v>
      </c>
      <c r="S1711" s="5">
        <v>5</v>
      </c>
      <c r="T1711" s="5" t="s">
        <v>221</v>
      </c>
      <c r="V1711" s="7" t="str">
        <f t="array" ref="V1711">INDEX(xlRTCLNAME,MATCH(1,(xlRTCLENDU=1)*(xlRTCLEQCL=$D1711),0))</f>
        <v>WOOD_HT</v>
      </c>
      <c r="W1711" s="7" t="str">
        <f t="array" ref="W1711">INDEX(xlRTCLNAME,MATCH(1,(xlRTCLENDU=2)*(xlRTCLEQCL=$F1711),0))</f>
        <v>CENT_AIR</v>
      </c>
      <c r="X1711" s="7" t="str">
        <f t="array" ref="X1711">INDEX(xlRTTYNAME,MATCH(1,(xlRTTYENDU=1)*(xlRTTYEQCL=$D1711)*(xlRTEQTYPE=$E1711),0))</f>
        <v>WOOD_HT4</v>
      </c>
      <c r="Y1711" s="7" t="str">
        <f t="array" ref="Y1711">INDEX(xlRTTYNAME,MATCH(1,(xlRTTYENDU=2)*(xlRTTYEQCL=$F1711)*(xlRTEQTYPE=$G1711),0))</f>
        <v>CENT_AIR4</v>
      </c>
    </row>
    <row r="1712" spans="2:25" ht="14.25" customHeight="1" x14ac:dyDescent="0.2">
      <c r="B1712" s="5">
        <v>4</v>
      </c>
      <c r="C1712" s="5">
        <v>2</v>
      </c>
      <c r="D1712" s="5">
        <v>9</v>
      </c>
      <c r="E1712" s="31">
        <v>30</v>
      </c>
      <c r="F1712" s="5">
        <v>2</v>
      </c>
      <c r="G1712" s="31">
        <v>7</v>
      </c>
      <c r="H1712" s="5">
        <v>2023</v>
      </c>
      <c r="I1712" s="5">
        <v>2032</v>
      </c>
      <c r="J1712" s="142">
        <v>1.1024</v>
      </c>
      <c r="K1712" s="142">
        <v>1.0435000000000001</v>
      </c>
      <c r="L1712" s="142">
        <v>0.6149</v>
      </c>
      <c r="M1712" s="142">
        <v>1.1499999999999999</v>
      </c>
      <c r="N1712" s="142">
        <v>1.1678999999999999</v>
      </c>
      <c r="O1712" s="142">
        <v>1.0538000000000001</v>
      </c>
      <c r="P1712" s="26">
        <v>3588.5619246374358</v>
      </c>
      <c r="Q1712" s="35">
        <f t="array" ref="Q1712">SUM(IF(($S1712&gt;=4)*($C1712='TaxCred&amp;Subs'!$D$114:$D$121)*($H1712='TaxCred&amp;Subs'!$C$114:$C$121)*($H1712&lt;='TaxCred&amp;Subs'!$C$123),'TaxCred&amp;Subs'!$E$114:$E$121,0))</f>
        <v>500</v>
      </c>
      <c r="R1712" s="143">
        <v>0</v>
      </c>
      <c r="S1712" s="5">
        <v>5</v>
      </c>
      <c r="T1712" s="5" t="s">
        <v>221</v>
      </c>
      <c r="V1712" s="7" t="str">
        <f t="array" ref="V1712">INDEX(xlRTCLNAME,MATCH(1,(xlRTCLENDU=1)*(xlRTCLEQCL=$D1712),0))</f>
        <v>WOOD_HT</v>
      </c>
      <c r="W1712" s="7" t="str">
        <f t="array" ref="W1712">INDEX(xlRTCLNAME,MATCH(1,(xlRTCLENDU=2)*(xlRTCLEQCL=$F1712),0))</f>
        <v>CENT_AIR</v>
      </c>
      <c r="X1712" s="7" t="str">
        <f t="array" ref="X1712">INDEX(xlRTTYNAME,MATCH(1,(xlRTTYENDU=1)*(xlRTTYEQCL=$D1712)*(xlRTEQTYPE=$E1712),0))</f>
        <v>WOOD_HT4</v>
      </c>
      <c r="Y1712" s="7" t="str">
        <f t="array" ref="Y1712">INDEX(xlRTTYNAME,MATCH(1,(xlRTTYENDU=2)*(xlRTTYEQCL=$F1712)*(xlRTEQTYPE=$G1712),0))</f>
        <v>CENT_AIR4</v>
      </c>
    </row>
    <row r="1713" spans="2:25" ht="14.25" customHeight="1" x14ac:dyDescent="0.2">
      <c r="B1713" s="5">
        <v>4</v>
      </c>
      <c r="C1713" s="5">
        <v>2</v>
      </c>
      <c r="D1713" s="5">
        <v>9</v>
      </c>
      <c r="E1713" s="31">
        <v>30</v>
      </c>
      <c r="F1713" s="5">
        <v>2</v>
      </c>
      <c r="G1713" s="31">
        <v>7</v>
      </c>
      <c r="H1713" s="5">
        <v>2033</v>
      </c>
      <c r="I1713" s="5">
        <v>2050</v>
      </c>
      <c r="J1713" s="142">
        <v>1.1024</v>
      </c>
      <c r="K1713" s="142">
        <v>1.0435000000000001</v>
      </c>
      <c r="L1713" s="142">
        <v>0.6149</v>
      </c>
      <c r="M1713" s="142">
        <v>1.1499999999999999</v>
      </c>
      <c r="N1713" s="142">
        <v>1.1678999999999999</v>
      </c>
      <c r="O1713" s="142">
        <v>1.0538000000000001</v>
      </c>
      <c r="P1713" s="26">
        <v>3588.5619246374358</v>
      </c>
      <c r="Q1713" s="35">
        <f t="array" ref="Q1713">SUM(IF(($S1713&gt;=4)*($C1713='TaxCred&amp;Subs'!$D$114:$D$121)*($H1713='TaxCred&amp;Subs'!$C$114:$C$121)*($H1713&lt;='TaxCred&amp;Subs'!$C$123),'TaxCred&amp;Subs'!$E$114:$E$121,0))</f>
        <v>0</v>
      </c>
      <c r="R1713" s="143">
        <v>0</v>
      </c>
      <c r="S1713" s="5">
        <v>5</v>
      </c>
      <c r="T1713" s="5" t="s">
        <v>221</v>
      </c>
      <c r="V1713" s="7" t="str">
        <f t="array" ref="V1713">INDEX(xlRTCLNAME,MATCH(1,(xlRTCLENDU=1)*(xlRTCLEQCL=$D1713),0))</f>
        <v>WOOD_HT</v>
      </c>
      <c r="W1713" s="7" t="str">
        <f t="array" ref="W1713">INDEX(xlRTCLNAME,MATCH(1,(xlRTCLENDU=2)*(xlRTCLEQCL=$F1713),0))</f>
        <v>CENT_AIR</v>
      </c>
      <c r="X1713" s="7" t="str">
        <f t="array" ref="X1713">INDEX(xlRTTYNAME,MATCH(1,(xlRTTYENDU=1)*(xlRTTYEQCL=$D1713)*(xlRTEQTYPE=$E1713),0))</f>
        <v>WOOD_HT4</v>
      </c>
      <c r="Y1713" s="7" t="str">
        <f t="array" ref="Y1713">INDEX(xlRTTYNAME,MATCH(1,(xlRTTYENDU=2)*(xlRTTYEQCL=$F1713)*(xlRTEQTYPE=$G1713),0))</f>
        <v>CENT_AIR4</v>
      </c>
    </row>
    <row r="1714" spans="2:25" ht="14.25" customHeight="1" x14ac:dyDescent="0.2">
      <c r="B1714" s="5">
        <v>5</v>
      </c>
      <c r="C1714" s="5">
        <v>2</v>
      </c>
      <c r="D1714" s="5">
        <v>9</v>
      </c>
      <c r="E1714" s="31">
        <v>30</v>
      </c>
      <c r="F1714" s="5">
        <v>2</v>
      </c>
      <c r="G1714" s="31">
        <v>7</v>
      </c>
      <c r="H1714" s="31">
        <v>2020</v>
      </c>
      <c r="I1714" s="5">
        <v>2022</v>
      </c>
      <c r="J1714" s="142">
        <v>1.03</v>
      </c>
      <c r="K1714" s="142">
        <v>1.03</v>
      </c>
      <c r="L1714" s="142">
        <v>0.44379999999999997</v>
      </c>
      <c r="M1714" s="142">
        <v>1.0314000000000001</v>
      </c>
      <c r="N1714" s="142">
        <v>1.3003</v>
      </c>
      <c r="O1714" s="142">
        <v>1.0538000000000001</v>
      </c>
      <c r="P1714" s="26">
        <v>3228.2267444939989</v>
      </c>
      <c r="Q1714" s="35">
        <f t="array" ref="Q1714">SUM(IF(($S1714&gt;=4)*($C1714='TaxCred&amp;Subs'!$D$114:$D$121)*($H1714='TaxCred&amp;Subs'!$C$114:$C$121)*($H1714&lt;='TaxCred&amp;Subs'!$C$123),'TaxCred&amp;Subs'!$E$114:$E$121,0))</f>
        <v>0</v>
      </c>
      <c r="R1714" s="143">
        <v>0</v>
      </c>
      <c r="S1714" s="5">
        <v>5</v>
      </c>
      <c r="T1714" s="5" t="s">
        <v>221</v>
      </c>
      <c r="V1714" s="7" t="str">
        <f t="array" ref="V1714">INDEX(xlRTCLNAME,MATCH(1,(xlRTCLENDU=1)*(xlRTCLEQCL=$D1714),0))</f>
        <v>WOOD_HT</v>
      </c>
      <c r="W1714" s="7" t="str">
        <f t="array" ref="W1714">INDEX(xlRTCLNAME,MATCH(1,(xlRTCLENDU=2)*(xlRTCLEQCL=$F1714),0))</f>
        <v>CENT_AIR</v>
      </c>
      <c r="X1714" s="7" t="str">
        <f t="array" ref="X1714">INDEX(xlRTTYNAME,MATCH(1,(xlRTTYENDU=1)*(xlRTTYEQCL=$D1714)*(xlRTEQTYPE=$E1714),0))</f>
        <v>WOOD_HT4</v>
      </c>
      <c r="Y1714" s="7" t="str">
        <f t="array" ref="Y1714">INDEX(xlRTTYNAME,MATCH(1,(xlRTTYENDU=2)*(xlRTTYEQCL=$F1714)*(xlRTEQTYPE=$G1714),0))</f>
        <v>CENT_AIR4</v>
      </c>
    </row>
    <row r="1715" spans="2:25" ht="14.25" customHeight="1" x14ac:dyDescent="0.2">
      <c r="B1715" s="5">
        <v>5</v>
      </c>
      <c r="C1715" s="5">
        <v>2</v>
      </c>
      <c r="D1715" s="5">
        <v>9</v>
      </c>
      <c r="E1715" s="31">
        <v>30</v>
      </c>
      <c r="F1715" s="5">
        <v>2</v>
      </c>
      <c r="G1715" s="31">
        <v>7</v>
      </c>
      <c r="H1715" s="5">
        <v>2023</v>
      </c>
      <c r="I1715" s="5">
        <v>2032</v>
      </c>
      <c r="J1715" s="142">
        <v>1.03</v>
      </c>
      <c r="K1715" s="142">
        <v>1.03</v>
      </c>
      <c r="L1715" s="142">
        <v>0.44379999999999997</v>
      </c>
      <c r="M1715" s="142">
        <v>1.0314000000000001</v>
      </c>
      <c r="N1715" s="142">
        <v>1.3003</v>
      </c>
      <c r="O1715" s="142">
        <v>1.0538000000000001</v>
      </c>
      <c r="P1715" s="26">
        <v>3228.2267444939989</v>
      </c>
      <c r="Q1715" s="35">
        <f t="array" ref="Q1715">SUM(IF(($S1715&gt;=4)*($C1715='TaxCred&amp;Subs'!$D$114:$D$121)*($H1715='TaxCred&amp;Subs'!$C$114:$C$121)*($H1715&lt;='TaxCred&amp;Subs'!$C$123),'TaxCred&amp;Subs'!$E$114:$E$121,0))</f>
        <v>500</v>
      </c>
      <c r="R1715" s="143">
        <v>0</v>
      </c>
      <c r="S1715" s="5">
        <v>5</v>
      </c>
      <c r="T1715" s="5" t="s">
        <v>221</v>
      </c>
      <c r="V1715" s="7" t="str">
        <f t="array" ref="V1715">INDEX(xlRTCLNAME,MATCH(1,(xlRTCLENDU=1)*(xlRTCLEQCL=$D1715),0))</f>
        <v>WOOD_HT</v>
      </c>
      <c r="W1715" s="7" t="str">
        <f t="array" ref="W1715">INDEX(xlRTCLNAME,MATCH(1,(xlRTCLENDU=2)*(xlRTCLEQCL=$F1715),0))</f>
        <v>CENT_AIR</v>
      </c>
      <c r="X1715" s="7" t="str">
        <f t="array" ref="X1715">INDEX(xlRTTYNAME,MATCH(1,(xlRTTYENDU=1)*(xlRTTYEQCL=$D1715)*(xlRTEQTYPE=$E1715),0))</f>
        <v>WOOD_HT4</v>
      </c>
      <c r="Y1715" s="7" t="str">
        <f t="array" ref="Y1715">INDEX(xlRTTYNAME,MATCH(1,(xlRTTYENDU=2)*(xlRTTYEQCL=$F1715)*(xlRTEQTYPE=$G1715),0))</f>
        <v>CENT_AIR4</v>
      </c>
    </row>
    <row r="1716" spans="2:25" ht="14.25" customHeight="1" x14ac:dyDescent="0.2">
      <c r="B1716" s="5">
        <v>5</v>
      </c>
      <c r="C1716" s="5">
        <v>2</v>
      </c>
      <c r="D1716" s="5">
        <v>9</v>
      </c>
      <c r="E1716" s="31">
        <v>30</v>
      </c>
      <c r="F1716" s="5">
        <v>2</v>
      </c>
      <c r="G1716" s="31">
        <v>7</v>
      </c>
      <c r="H1716" s="5">
        <v>2033</v>
      </c>
      <c r="I1716" s="5">
        <v>2050</v>
      </c>
      <c r="J1716" s="142">
        <v>1.03</v>
      </c>
      <c r="K1716" s="142">
        <v>1.03</v>
      </c>
      <c r="L1716" s="142">
        <v>0.44379999999999997</v>
      </c>
      <c r="M1716" s="142">
        <v>1.0314000000000001</v>
      </c>
      <c r="N1716" s="142">
        <v>1.3003</v>
      </c>
      <c r="O1716" s="142">
        <v>1.0538000000000001</v>
      </c>
      <c r="P1716" s="26">
        <v>3228.2267444939989</v>
      </c>
      <c r="Q1716" s="35">
        <f t="array" ref="Q1716">SUM(IF(($S1716&gt;=4)*($C1716='TaxCred&amp;Subs'!$D$114:$D$121)*($H1716='TaxCred&amp;Subs'!$C$114:$C$121)*($H1716&lt;='TaxCred&amp;Subs'!$C$123),'TaxCred&amp;Subs'!$E$114:$E$121,0))</f>
        <v>0</v>
      </c>
      <c r="R1716" s="143">
        <v>0</v>
      </c>
      <c r="S1716" s="5">
        <v>5</v>
      </c>
      <c r="T1716" s="5" t="s">
        <v>221</v>
      </c>
      <c r="V1716" s="7" t="str">
        <f t="array" ref="V1716">INDEX(xlRTCLNAME,MATCH(1,(xlRTCLENDU=1)*(xlRTCLEQCL=$D1716),0))</f>
        <v>WOOD_HT</v>
      </c>
      <c r="W1716" s="7" t="str">
        <f t="array" ref="W1716">INDEX(xlRTCLNAME,MATCH(1,(xlRTCLENDU=2)*(xlRTCLEQCL=$F1716),0))</f>
        <v>CENT_AIR</v>
      </c>
      <c r="X1716" s="7" t="str">
        <f t="array" ref="X1716">INDEX(xlRTTYNAME,MATCH(1,(xlRTTYENDU=1)*(xlRTTYEQCL=$D1716)*(xlRTEQTYPE=$E1716),0))</f>
        <v>WOOD_HT4</v>
      </c>
      <c r="Y1716" s="7" t="str">
        <f t="array" ref="Y1716">INDEX(xlRTTYNAME,MATCH(1,(xlRTTYENDU=2)*(xlRTTYEQCL=$F1716)*(xlRTEQTYPE=$G1716),0))</f>
        <v>CENT_AIR4</v>
      </c>
    </row>
    <row r="1717" spans="2:25" ht="14.25" customHeight="1" x14ac:dyDescent="0.2">
      <c r="B1717" s="5">
        <v>6</v>
      </c>
      <c r="C1717" s="5">
        <v>2</v>
      </c>
      <c r="D1717" s="5">
        <v>9</v>
      </c>
      <c r="E1717" s="31">
        <v>30</v>
      </c>
      <c r="F1717" s="5">
        <v>2</v>
      </c>
      <c r="G1717" s="31">
        <v>7</v>
      </c>
      <c r="H1717" s="31">
        <v>2020</v>
      </c>
      <c r="I1717" s="5">
        <v>2022</v>
      </c>
      <c r="J1717" s="142">
        <v>1.1200000000000001</v>
      </c>
      <c r="K1717" s="142">
        <v>1.0417000000000001</v>
      </c>
      <c r="L1717" s="142">
        <v>0.44379999999999997</v>
      </c>
      <c r="M1717" s="142">
        <v>1.0546</v>
      </c>
      <c r="N1717" s="142">
        <v>1.3656999999999999</v>
      </c>
      <c r="O1717" s="142">
        <v>1.0538000000000001</v>
      </c>
      <c r="P1717" s="26">
        <v>3572.4275135862376</v>
      </c>
      <c r="Q1717" s="35">
        <f t="array" ref="Q1717">SUM(IF(($S1717&gt;=4)*($C1717='TaxCred&amp;Subs'!$D$114:$D$121)*($H1717='TaxCred&amp;Subs'!$C$114:$C$121)*($H1717&lt;='TaxCred&amp;Subs'!$C$123),'TaxCred&amp;Subs'!$E$114:$E$121,0))</f>
        <v>0</v>
      </c>
      <c r="R1717" s="143">
        <v>0</v>
      </c>
      <c r="S1717" s="5">
        <v>5</v>
      </c>
      <c r="T1717" s="5" t="s">
        <v>221</v>
      </c>
      <c r="V1717" s="7" t="str">
        <f t="array" ref="V1717">INDEX(xlRTCLNAME,MATCH(1,(xlRTCLENDU=1)*(xlRTCLEQCL=$D1717),0))</f>
        <v>WOOD_HT</v>
      </c>
      <c r="W1717" s="7" t="str">
        <f t="array" ref="W1717">INDEX(xlRTCLNAME,MATCH(1,(xlRTCLENDU=2)*(xlRTCLEQCL=$F1717),0))</f>
        <v>CENT_AIR</v>
      </c>
      <c r="X1717" s="7" t="str">
        <f t="array" ref="X1717">INDEX(xlRTTYNAME,MATCH(1,(xlRTTYENDU=1)*(xlRTTYEQCL=$D1717)*(xlRTEQTYPE=$E1717),0))</f>
        <v>WOOD_HT4</v>
      </c>
      <c r="Y1717" s="7" t="str">
        <f t="array" ref="Y1717">INDEX(xlRTTYNAME,MATCH(1,(xlRTTYENDU=2)*(xlRTTYEQCL=$F1717)*(xlRTEQTYPE=$G1717),0))</f>
        <v>CENT_AIR4</v>
      </c>
    </row>
    <row r="1718" spans="2:25" ht="14.25" customHeight="1" x14ac:dyDescent="0.2">
      <c r="B1718" s="5">
        <v>6</v>
      </c>
      <c r="C1718" s="5">
        <v>2</v>
      </c>
      <c r="D1718" s="5">
        <v>9</v>
      </c>
      <c r="E1718" s="31">
        <v>30</v>
      </c>
      <c r="F1718" s="5">
        <v>2</v>
      </c>
      <c r="G1718" s="31">
        <v>7</v>
      </c>
      <c r="H1718" s="5">
        <v>2023</v>
      </c>
      <c r="I1718" s="5">
        <v>2032</v>
      </c>
      <c r="J1718" s="142">
        <v>1.1200000000000001</v>
      </c>
      <c r="K1718" s="142">
        <v>1.0417000000000001</v>
      </c>
      <c r="L1718" s="142">
        <v>0.44379999999999997</v>
      </c>
      <c r="M1718" s="142">
        <v>1.0546</v>
      </c>
      <c r="N1718" s="142">
        <v>1.3656999999999999</v>
      </c>
      <c r="O1718" s="142">
        <v>1.0538000000000001</v>
      </c>
      <c r="P1718" s="26">
        <v>3572.4275135862376</v>
      </c>
      <c r="Q1718" s="35">
        <f t="array" ref="Q1718">SUM(IF(($S1718&gt;=4)*($C1718='TaxCred&amp;Subs'!$D$114:$D$121)*($H1718='TaxCred&amp;Subs'!$C$114:$C$121)*($H1718&lt;='TaxCred&amp;Subs'!$C$123),'TaxCred&amp;Subs'!$E$114:$E$121,0))</f>
        <v>500</v>
      </c>
      <c r="R1718" s="143">
        <v>0</v>
      </c>
      <c r="S1718" s="5">
        <v>5</v>
      </c>
      <c r="T1718" s="5" t="s">
        <v>221</v>
      </c>
      <c r="V1718" s="7" t="str">
        <f t="array" ref="V1718">INDEX(xlRTCLNAME,MATCH(1,(xlRTCLENDU=1)*(xlRTCLEQCL=$D1718),0))</f>
        <v>WOOD_HT</v>
      </c>
      <c r="W1718" s="7" t="str">
        <f t="array" ref="W1718">INDEX(xlRTCLNAME,MATCH(1,(xlRTCLENDU=2)*(xlRTCLEQCL=$F1718),0))</f>
        <v>CENT_AIR</v>
      </c>
      <c r="X1718" s="7" t="str">
        <f t="array" ref="X1718">INDEX(xlRTTYNAME,MATCH(1,(xlRTTYENDU=1)*(xlRTTYEQCL=$D1718)*(xlRTEQTYPE=$E1718),0))</f>
        <v>WOOD_HT4</v>
      </c>
      <c r="Y1718" s="7" t="str">
        <f t="array" ref="Y1718">INDEX(xlRTTYNAME,MATCH(1,(xlRTTYENDU=2)*(xlRTTYEQCL=$F1718)*(xlRTEQTYPE=$G1718),0))</f>
        <v>CENT_AIR4</v>
      </c>
    </row>
    <row r="1719" spans="2:25" ht="14.25" customHeight="1" x14ac:dyDescent="0.2">
      <c r="B1719" s="5">
        <v>6</v>
      </c>
      <c r="C1719" s="5">
        <v>2</v>
      </c>
      <c r="D1719" s="5">
        <v>9</v>
      </c>
      <c r="E1719" s="31">
        <v>30</v>
      </c>
      <c r="F1719" s="5">
        <v>2</v>
      </c>
      <c r="G1719" s="31">
        <v>7</v>
      </c>
      <c r="H1719" s="5">
        <v>2033</v>
      </c>
      <c r="I1719" s="5">
        <v>2050</v>
      </c>
      <c r="J1719" s="142">
        <v>1.1200000000000001</v>
      </c>
      <c r="K1719" s="142">
        <v>1.0417000000000001</v>
      </c>
      <c r="L1719" s="142">
        <v>0.44379999999999997</v>
      </c>
      <c r="M1719" s="142">
        <v>1.0546</v>
      </c>
      <c r="N1719" s="142">
        <v>1.3656999999999999</v>
      </c>
      <c r="O1719" s="142">
        <v>1.0538000000000001</v>
      </c>
      <c r="P1719" s="26">
        <v>3572.4275135862376</v>
      </c>
      <c r="Q1719" s="35">
        <f t="array" ref="Q1719">SUM(IF(($S1719&gt;=4)*($C1719='TaxCred&amp;Subs'!$D$114:$D$121)*($H1719='TaxCred&amp;Subs'!$C$114:$C$121)*($H1719&lt;='TaxCred&amp;Subs'!$C$123),'TaxCred&amp;Subs'!$E$114:$E$121,0))</f>
        <v>0</v>
      </c>
      <c r="R1719" s="143">
        <v>0</v>
      </c>
      <c r="S1719" s="5">
        <v>5</v>
      </c>
      <c r="T1719" s="5" t="s">
        <v>221</v>
      </c>
      <c r="V1719" s="7" t="str">
        <f t="array" ref="V1719">INDEX(xlRTCLNAME,MATCH(1,(xlRTCLENDU=1)*(xlRTCLEQCL=$D1719),0))</f>
        <v>WOOD_HT</v>
      </c>
      <c r="W1719" s="7" t="str">
        <f t="array" ref="W1719">INDEX(xlRTCLNAME,MATCH(1,(xlRTCLENDU=2)*(xlRTCLEQCL=$F1719),0))</f>
        <v>CENT_AIR</v>
      </c>
      <c r="X1719" s="7" t="str">
        <f t="array" ref="X1719">INDEX(xlRTTYNAME,MATCH(1,(xlRTTYENDU=1)*(xlRTTYEQCL=$D1719)*(xlRTEQTYPE=$E1719),0))</f>
        <v>WOOD_HT4</v>
      </c>
      <c r="Y1719" s="7" t="str">
        <f t="array" ref="Y1719">INDEX(xlRTTYNAME,MATCH(1,(xlRTTYENDU=2)*(xlRTTYEQCL=$F1719)*(xlRTEQTYPE=$G1719),0))</f>
        <v>CENT_AIR4</v>
      </c>
    </row>
    <row r="1720" spans="2:25" ht="14.25" customHeight="1" x14ac:dyDescent="0.2">
      <c r="B1720" s="5">
        <v>7</v>
      </c>
      <c r="C1720" s="5">
        <v>2</v>
      </c>
      <c r="D1720" s="5">
        <v>9</v>
      </c>
      <c r="E1720" s="31">
        <v>30</v>
      </c>
      <c r="F1720" s="5">
        <v>2</v>
      </c>
      <c r="G1720" s="31">
        <v>7</v>
      </c>
      <c r="H1720" s="31">
        <v>2020</v>
      </c>
      <c r="I1720" s="5">
        <v>2022</v>
      </c>
      <c r="J1720" s="142">
        <v>1.1200000000000001</v>
      </c>
      <c r="K1720" s="142">
        <v>1.0462</v>
      </c>
      <c r="L1720" s="142">
        <v>0.44379999999999997</v>
      </c>
      <c r="M1720" s="142">
        <v>1.0569</v>
      </c>
      <c r="N1720" s="142">
        <v>1.4438</v>
      </c>
      <c r="O1720" s="142">
        <v>1.0538000000000001</v>
      </c>
      <c r="P1720" s="26">
        <v>3120.6640041526744</v>
      </c>
      <c r="Q1720" s="35">
        <f t="array" ref="Q1720">SUM(IF(($S1720&gt;=4)*($C1720='TaxCred&amp;Subs'!$D$114:$D$121)*($H1720='TaxCred&amp;Subs'!$C$114:$C$121)*($H1720&lt;='TaxCred&amp;Subs'!$C$123),'TaxCred&amp;Subs'!$E$114:$E$121,0))</f>
        <v>0</v>
      </c>
      <c r="R1720" s="143">
        <v>0</v>
      </c>
      <c r="S1720" s="5">
        <v>5</v>
      </c>
      <c r="T1720" s="5" t="s">
        <v>221</v>
      </c>
      <c r="V1720" s="7" t="str">
        <f t="array" ref="V1720">INDEX(xlRTCLNAME,MATCH(1,(xlRTCLENDU=1)*(xlRTCLEQCL=$D1720),0))</f>
        <v>WOOD_HT</v>
      </c>
      <c r="W1720" s="7" t="str">
        <f t="array" ref="W1720">INDEX(xlRTCLNAME,MATCH(1,(xlRTCLENDU=2)*(xlRTCLEQCL=$F1720),0))</f>
        <v>CENT_AIR</v>
      </c>
      <c r="X1720" s="7" t="str">
        <f t="array" ref="X1720">INDEX(xlRTTYNAME,MATCH(1,(xlRTTYENDU=1)*(xlRTTYEQCL=$D1720)*(xlRTEQTYPE=$E1720),0))</f>
        <v>WOOD_HT4</v>
      </c>
      <c r="Y1720" s="7" t="str">
        <f t="array" ref="Y1720">INDEX(xlRTTYNAME,MATCH(1,(xlRTTYENDU=2)*(xlRTTYEQCL=$F1720)*(xlRTEQTYPE=$G1720),0))</f>
        <v>CENT_AIR4</v>
      </c>
    </row>
    <row r="1721" spans="2:25" ht="14.25" customHeight="1" x14ac:dyDescent="0.2">
      <c r="B1721" s="5">
        <v>7</v>
      </c>
      <c r="C1721" s="5">
        <v>2</v>
      </c>
      <c r="D1721" s="5">
        <v>9</v>
      </c>
      <c r="E1721" s="31">
        <v>30</v>
      </c>
      <c r="F1721" s="5">
        <v>2</v>
      </c>
      <c r="G1721" s="31">
        <v>7</v>
      </c>
      <c r="H1721" s="5">
        <v>2023</v>
      </c>
      <c r="I1721" s="5">
        <v>2032</v>
      </c>
      <c r="J1721" s="142">
        <v>1.1200000000000001</v>
      </c>
      <c r="K1721" s="142">
        <v>1.0462</v>
      </c>
      <c r="L1721" s="142">
        <v>0.44379999999999997</v>
      </c>
      <c r="M1721" s="142">
        <v>1.0569</v>
      </c>
      <c r="N1721" s="142">
        <v>1.4438</v>
      </c>
      <c r="O1721" s="142">
        <v>1.0538000000000001</v>
      </c>
      <c r="P1721" s="26">
        <v>3120.6640041526744</v>
      </c>
      <c r="Q1721" s="35">
        <f t="array" ref="Q1721">SUM(IF(($S1721&gt;=4)*($C1721='TaxCred&amp;Subs'!$D$114:$D$121)*($H1721='TaxCred&amp;Subs'!$C$114:$C$121)*($H1721&lt;='TaxCred&amp;Subs'!$C$123),'TaxCred&amp;Subs'!$E$114:$E$121,0))</f>
        <v>500</v>
      </c>
      <c r="R1721" s="143">
        <v>0</v>
      </c>
      <c r="S1721" s="5">
        <v>5</v>
      </c>
      <c r="T1721" s="5" t="s">
        <v>221</v>
      </c>
      <c r="V1721" s="7" t="str">
        <f t="array" ref="V1721">INDEX(xlRTCLNAME,MATCH(1,(xlRTCLENDU=1)*(xlRTCLEQCL=$D1721),0))</f>
        <v>WOOD_HT</v>
      </c>
      <c r="W1721" s="7" t="str">
        <f t="array" ref="W1721">INDEX(xlRTCLNAME,MATCH(1,(xlRTCLENDU=2)*(xlRTCLEQCL=$F1721),0))</f>
        <v>CENT_AIR</v>
      </c>
      <c r="X1721" s="7" t="str">
        <f t="array" ref="X1721">INDEX(xlRTTYNAME,MATCH(1,(xlRTTYENDU=1)*(xlRTTYEQCL=$D1721)*(xlRTEQTYPE=$E1721),0))</f>
        <v>WOOD_HT4</v>
      </c>
      <c r="Y1721" s="7" t="str">
        <f t="array" ref="Y1721">INDEX(xlRTTYNAME,MATCH(1,(xlRTTYENDU=2)*(xlRTTYEQCL=$F1721)*(xlRTEQTYPE=$G1721),0))</f>
        <v>CENT_AIR4</v>
      </c>
    </row>
    <row r="1722" spans="2:25" ht="14.25" customHeight="1" x14ac:dyDescent="0.2">
      <c r="B1722" s="5">
        <v>7</v>
      </c>
      <c r="C1722" s="5">
        <v>2</v>
      </c>
      <c r="D1722" s="5">
        <v>9</v>
      </c>
      <c r="E1722" s="31">
        <v>30</v>
      </c>
      <c r="F1722" s="5">
        <v>2</v>
      </c>
      <c r="G1722" s="31">
        <v>7</v>
      </c>
      <c r="H1722" s="5">
        <v>2033</v>
      </c>
      <c r="I1722" s="5">
        <v>2050</v>
      </c>
      <c r="J1722" s="142">
        <v>1.1200000000000001</v>
      </c>
      <c r="K1722" s="142">
        <v>1.0462</v>
      </c>
      <c r="L1722" s="142">
        <v>0.44379999999999997</v>
      </c>
      <c r="M1722" s="142">
        <v>1.0569</v>
      </c>
      <c r="N1722" s="142">
        <v>1.4438</v>
      </c>
      <c r="O1722" s="142">
        <v>1.0538000000000001</v>
      </c>
      <c r="P1722" s="26">
        <v>3120.6640041526744</v>
      </c>
      <c r="Q1722" s="35">
        <f t="array" ref="Q1722">SUM(IF(($S1722&gt;=4)*($C1722='TaxCred&amp;Subs'!$D$114:$D$121)*($H1722='TaxCred&amp;Subs'!$C$114:$C$121)*($H1722&lt;='TaxCred&amp;Subs'!$C$123),'TaxCred&amp;Subs'!$E$114:$E$121,0))</f>
        <v>0</v>
      </c>
      <c r="R1722" s="143">
        <v>0</v>
      </c>
      <c r="S1722" s="5">
        <v>5</v>
      </c>
      <c r="T1722" s="5" t="s">
        <v>221</v>
      </c>
      <c r="V1722" s="7" t="str">
        <f t="array" ref="V1722">INDEX(xlRTCLNAME,MATCH(1,(xlRTCLENDU=1)*(xlRTCLEQCL=$D1722),0))</f>
        <v>WOOD_HT</v>
      </c>
      <c r="W1722" s="7" t="str">
        <f t="array" ref="W1722">INDEX(xlRTCLNAME,MATCH(1,(xlRTCLENDU=2)*(xlRTCLEQCL=$F1722),0))</f>
        <v>CENT_AIR</v>
      </c>
      <c r="X1722" s="7" t="str">
        <f t="array" ref="X1722">INDEX(xlRTTYNAME,MATCH(1,(xlRTTYENDU=1)*(xlRTTYEQCL=$D1722)*(xlRTEQTYPE=$E1722),0))</f>
        <v>WOOD_HT4</v>
      </c>
      <c r="Y1722" s="7" t="str">
        <f t="array" ref="Y1722">INDEX(xlRTTYNAME,MATCH(1,(xlRTTYENDU=2)*(xlRTTYEQCL=$F1722)*(xlRTEQTYPE=$G1722),0))</f>
        <v>CENT_AIR4</v>
      </c>
    </row>
    <row r="1723" spans="2:25" ht="14.25" customHeight="1" x14ac:dyDescent="0.2">
      <c r="B1723" s="5">
        <v>8</v>
      </c>
      <c r="C1723" s="5">
        <v>2</v>
      </c>
      <c r="D1723" s="5">
        <v>9</v>
      </c>
      <c r="E1723" s="31">
        <v>30</v>
      </c>
      <c r="F1723" s="5">
        <v>2</v>
      </c>
      <c r="G1723" s="31">
        <v>7</v>
      </c>
      <c r="H1723" s="31">
        <v>2020</v>
      </c>
      <c r="I1723" s="5">
        <v>2022</v>
      </c>
      <c r="J1723" s="142">
        <v>1.1045</v>
      </c>
      <c r="K1723" s="142">
        <v>1.0323</v>
      </c>
      <c r="L1723" s="142">
        <v>0.53910000000000002</v>
      </c>
      <c r="M1723" s="142">
        <v>1.2087000000000001</v>
      </c>
      <c r="N1723" s="142">
        <v>1.2847999999999999</v>
      </c>
      <c r="O1723" s="142">
        <v>1.0538000000000001</v>
      </c>
      <c r="P1723" s="26">
        <v>3884.3594605760777</v>
      </c>
      <c r="Q1723" s="35">
        <f t="array" ref="Q1723">SUM(IF(($S1723&gt;=4)*($C1723='TaxCred&amp;Subs'!$D$114:$D$121)*($H1723='TaxCred&amp;Subs'!$C$114:$C$121)*($H1723&lt;='TaxCred&amp;Subs'!$C$123),'TaxCred&amp;Subs'!$E$114:$E$121,0))</f>
        <v>0</v>
      </c>
      <c r="R1723" s="143">
        <v>0</v>
      </c>
      <c r="S1723" s="5">
        <v>5</v>
      </c>
      <c r="T1723" s="5" t="s">
        <v>221</v>
      </c>
      <c r="V1723" s="7" t="str">
        <f t="array" ref="V1723">INDEX(xlRTCLNAME,MATCH(1,(xlRTCLENDU=1)*(xlRTCLEQCL=$D1723),0))</f>
        <v>WOOD_HT</v>
      </c>
      <c r="W1723" s="7" t="str">
        <f t="array" ref="W1723">INDEX(xlRTCLNAME,MATCH(1,(xlRTCLENDU=2)*(xlRTCLEQCL=$F1723),0))</f>
        <v>CENT_AIR</v>
      </c>
      <c r="X1723" s="7" t="str">
        <f t="array" ref="X1723">INDEX(xlRTTYNAME,MATCH(1,(xlRTTYENDU=1)*(xlRTTYEQCL=$D1723)*(xlRTEQTYPE=$E1723),0))</f>
        <v>WOOD_HT4</v>
      </c>
      <c r="Y1723" s="7" t="str">
        <f t="array" ref="Y1723">INDEX(xlRTTYNAME,MATCH(1,(xlRTTYENDU=2)*(xlRTTYEQCL=$F1723)*(xlRTEQTYPE=$G1723),0))</f>
        <v>CENT_AIR4</v>
      </c>
    </row>
    <row r="1724" spans="2:25" ht="14.25" customHeight="1" x14ac:dyDescent="0.2">
      <c r="B1724" s="5">
        <v>8</v>
      </c>
      <c r="C1724" s="5">
        <v>2</v>
      </c>
      <c r="D1724" s="5">
        <v>9</v>
      </c>
      <c r="E1724" s="31">
        <v>30</v>
      </c>
      <c r="F1724" s="5">
        <v>2</v>
      </c>
      <c r="G1724" s="31">
        <v>7</v>
      </c>
      <c r="H1724" s="5">
        <v>2023</v>
      </c>
      <c r="I1724" s="5">
        <v>2032</v>
      </c>
      <c r="J1724" s="142">
        <v>1.1045</v>
      </c>
      <c r="K1724" s="142">
        <v>1.0323</v>
      </c>
      <c r="L1724" s="142">
        <v>0.53910000000000002</v>
      </c>
      <c r="M1724" s="142">
        <v>1.2087000000000001</v>
      </c>
      <c r="N1724" s="142">
        <v>1.2847999999999999</v>
      </c>
      <c r="O1724" s="142">
        <v>1.0538000000000001</v>
      </c>
      <c r="P1724" s="26">
        <v>3884.3594605760777</v>
      </c>
      <c r="Q1724" s="35">
        <f t="array" ref="Q1724">SUM(IF(($S1724&gt;=4)*($C1724='TaxCred&amp;Subs'!$D$114:$D$121)*($H1724='TaxCred&amp;Subs'!$C$114:$C$121)*($H1724&lt;='TaxCred&amp;Subs'!$C$123),'TaxCred&amp;Subs'!$E$114:$E$121,0))</f>
        <v>500</v>
      </c>
      <c r="R1724" s="143">
        <v>0</v>
      </c>
      <c r="S1724" s="5">
        <v>5</v>
      </c>
      <c r="T1724" s="5" t="s">
        <v>221</v>
      </c>
      <c r="V1724" s="7" t="str">
        <f t="array" ref="V1724">INDEX(xlRTCLNAME,MATCH(1,(xlRTCLENDU=1)*(xlRTCLEQCL=$D1724),0))</f>
        <v>WOOD_HT</v>
      </c>
      <c r="W1724" s="7" t="str">
        <f t="array" ref="W1724">INDEX(xlRTCLNAME,MATCH(1,(xlRTCLENDU=2)*(xlRTCLEQCL=$F1724),0))</f>
        <v>CENT_AIR</v>
      </c>
      <c r="X1724" s="7" t="str">
        <f t="array" ref="X1724">INDEX(xlRTTYNAME,MATCH(1,(xlRTTYENDU=1)*(xlRTTYEQCL=$D1724)*(xlRTEQTYPE=$E1724),0))</f>
        <v>WOOD_HT4</v>
      </c>
      <c r="Y1724" s="7" t="str">
        <f t="array" ref="Y1724">INDEX(xlRTTYNAME,MATCH(1,(xlRTTYENDU=2)*(xlRTTYEQCL=$F1724)*(xlRTEQTYPE=$G1724),0))</f>
        <v>CENT_AIR4</v>
      </c>
    </row>
    <row r="1725" spans="2:25" ht="14.25" customHeight="1" x14ac:dyDescent="0.2">
      <c r="B1725" s="5">
        <v>8</v>
      </c>
      <c r="C1725" s="5">
        <v>2</v>
      </c>
      <c r="D1725" s="5">
        <v>9</v>
      </c>
      <c r="E1725" s="31">
        <v>30</v>
      </c>
      <c r="F1725" s="5">
        <v>2</v>
      </c>
      <c r="G1725" s="31">
        <v>7</v>
      </c>
      <c r="H1725" s="5">
        <v>2033</v>
      </c>
      <c r="I1725" s="5">
        <v>2050</v>
      </c>
      <c r="J1725" s="142">
        <v>1.1045</v>
      </c>
      <c r="K1725" s="142">
        <v>1.0323</v>
      </c>
      <c r="L1725" s="142">
        <v>0.53910000000000002</v>
      </c>
      <c r="M1725" s="142">
        <v>1.2087000000000001</v>
      </c>
      <c r="N1725" s="142">
        <v>1.2847999999999999</v>
      </c>
      <c r="O1725" s="142">
        <v>1.0538000000000001</v>
      </c>
      <c r="P1725" s="26">
        <v>3884.3594605760777</v>
      </c>
      <c r="Q1725" s="35">
        <f t="array" ref="Q1725">SUM(IF(($S1725&gt;=4)*($C1725='TaxCred&amp;Subs'!$D$114:$D$121)*($H1725='TaxCred&amp;Subs'!$C$114:$C$121)*($H1725&lt;='TaxCred&amp;Subs'!$C$123),'TaxCred&amp;Subs'!$E$114:$E$121,0))</f>
        <v>0</v>
      </c>
      <c r="R1725" s="143">
        <v>0</v>
      </c>
      <c r="S1725" s="5">
        <v>5</v>
      </c>
      <c r="T1725" s="5" t="s">
        <v>221</v>
      </c>
      <c r="V1725" s="7" t="str">
        <f t="array" ref="V1725">INDEX(xlRTCLNAME,MATCH(1,(xlRTCLENDU=1)*(xlRTCLEQCL=$D1725),0))</f>
        <v>WOOD_HT</v>
      </c>
      <c r="W1725" s="7" t="str">
        <f t="array" ref="W1725">INDEX(xlRTCLNAME,MATCH(1,(xlRTCLENDU=2)*(xlRTCLEQCL=$F1725),0))</f>
        <v>CENT_AIR</v>
      </c>
      <c r="X1725" s="7" t="str">
        <f t="array" ref="X1725">INDEX(xlRTTYNAME,MATCH(1,(xlRTTYENDU=1)*(xlRTTYEQCL=$D1725)*(xlRTEQTYPE=$E1725),0))</f>
        <v>WOOD_HT4</v>
      </c>
      <c r="Y1725" s="7" t="str">
        <f t="array" ref="Y1725">INDEX(xlRTTYNAME,MATCH(1,(xlRTTYENDU=2)*(xlRTTYEQCL=$F1725)*(xlRTEQTYPE=$G1725),0))</f>
        <v>CENT_AIR4</v>
      </c>
    </row>
    <row r="1726" spans="2:25" ht="14.25" customHeight="1" x14ac:dyDescent="0.2">
      <c r="B1726" s="5">
        <v>9</v>
      </c>
      <c r="C1726" s="5">
        <v>2</v>
      </c>
      <c r="D1726" s="5">
        <v>9</v>
      </c>
      <c r="E1726" s="31">
        <v>30</v>
      </c>
      <c r="F1726" s="5">
        <v>2</v>
      </c>
      <c r="G1726" s="31">
        <v>7</v>
      </c>
      <c r="H1726" s="31">
        <v>2020</v>
      </c>
      <c r="I1726" s="5">
        <v>2022</v>
      </c>
      <c r="J1726" s="142">
        <v>1.1200000000000001</v>
      </c>
      <c r="K1726" s="142">
        <v>1.0541</v>
      </c>
      <c r="L1726" s="142">
        <v>0.44379999999999997</v>
      </c>
      <c r="M1726" s="142">
        <v>1.1167</v>
      </c>
      <c r="N1726" s="142">
        <v>1.4438</v>
      </c>
      <c r="O1726" s="142">
        <v>1.0538000000000001</v>
      </c>
      <c r="P1726" s="26">
        <v>4447.7193131137647</v>
      </c>
      <c r="Q1726" s="35">
        <f t="array" ref="Q1726">SUM(IF(($S1726&gt;=4)*($C1726='TaxCred&amp;Subs'!$D$114:$D$121)*($H1726='TaxCred&amp;Subs'!$C$114:$C$121)*($H1726&lt;='TaxCred&amp;Subs'!$C$123),'TaxCred&amp;Subs'!$E$114:$E$121,0))</f>
        <v>0</v>
      </c>
      <c r="R1726" s="143">
        <v>0</v>
      </c>
      <c r="S1726" s="5">
        <v>5</v>
      </c>
      <c r="T1726" s="5" t="s">
        <v>221</v>
      </c>
      <c r="V1726" s="7" t="str">
        <f t="array" ref="V1726">INDEX(xlRTCLNAME,MATCH(1,(xlRTCLENDU=1)*(xlRTCLEQCL=$D1726),0))</f>
        <v>WOOD_HT</v>
      </c>
      <c r="W1726" s="7" t="str">
        <f t="array" ref="W1726">INDEX(xlRTCLNAME,MATCH(1,(xlRTCLENDU=2)*(xlRTCLEQCL=$F1726),0))</f>
        <v>CENT_AIR</v>
      </c>
      <c r="X1726" s="7" t="str">
        <f t="array" ref="X1726">INDEX(xlRTTYNAME,MATCH(1,(xlRTTYENDU=1)*(xlRTTYEQCL=$D1726)*(xlRTEQTYPE=$E1726),0))</f>
        <v>WOOD_HT4</v>
      </c>
      <c r="Y1726" s="7" t="str">
        <f t="array" ref="Y1726">INDEX(xlRTTYNAME,MATCH(1,(xlRTTYENDU=2)*(xlRTTYEQCL=$F1726)*(xlRTEQTYPE=$G1726),0))</f>
        <v>CENT_AIR4</v>
      </c>
    </row>
    <row r="1727" spans="2:25" ht="14.25" customHeight="1" x14ac:dyDescent="0.2">
      <c r="B1727" s="5">
        <v>9</v>
      </c>
      <c r="C1727" s="5">
        <v>2</v>
      </c>
      <c r="D1727" s="5">
        <v>9</v>
      </c>
      <c r="E1727" s="31">
        <v>30</v>
      </c>
      <c r="F1727" s="5">
        <v>2</v>
      </c>
      <c r="G1727" s="31">
        <v>7</v>
      </c>
      <c r="H1727" s="5">
        <v>2023</v>
      </c>
      <c r="I1727" s="5">
        <v>2032</v>
      </c>
      <c r="J1727" s="142">
        <v>1.1200000000000001</v>
      </c>
      <c r="K1727" s="142">
        <v>1.0541</v>
      </c>
      <c r="L1727" s="142">
        <v>0.44379999999999997</v>
      </c>
      <c r="M1727" s="142">
        <v>1.1167</v>
      </c>
      <c r="N1727" s="142">
        <v>1.4438</v>
      </c>
      <c r="O1727" s="142">
        <v>1.0538000000000001</v>
      </c>
      <c r="P1727" s="26">
        <v>4447.7193131137647</v>
      </c>
      <c r="Q1727" s="35">
        <f t="array" ref="Q1727">SUM(IF(($S1727&gt;=4)*($C1727='TaxCred&amp;Subs'!$D$114:$D$121)*($H1727='TaxCred&amp;Subs'!$C$114:$C$121)*($H1727&lt;='TaxCred&amp;Subs'!$C$123),'TaxCred&amp;Subs'!$E$114:$E$121,0))</f>
        <v>500</v>
      </c>
      <c r="R1727" s="143">
        <v>0</v>
      </c>
      <c r="S1727" s="5">
        <v>5</v>
      </c>
      <c r="T1727" s="5" t="s">
        <v>221</v>
      </c>
      <c r="V1727" s="7" t="str">
        <f t="array" ref="V1727">INDEX(xlRTCLNAME,MATCH(1,(xlRTCLENDU=1)*(xlRTCLEQCL=$D1727),0))</f>
        <v>WOOD_HT</v>
      </c>
      <c r="W1727" s="7" t="str">
        <f t="array" ref="W1727">INDEX(xlRTCLNAME,MATCH(1,(xlRTCLENDU=2)*(xlRTCLEQCL=$F1727),0))</f>
        <v>CENT_AIR</v>
      </c>
      <c r="X1727" s="7" t="str">
        <f t="array" ref="X1727">INDEX(xlRTTYNAME,MATCH(1,(xlRTTYENDU=1)*(xlRTTYEQCL=$D1727)*(xlRTEQTYPE=$E1727),0))</f>
        <v>WOOD_HT4</v>
      </c>
      <c r="Y1727" s="7" t="str">
        <f t="array" ref="Y1727">INDEX(xlRTTYNAME,MATCH(1,(xlRTTYENDU=2)*(xlRTTYEQCL=$F1727)*(xlRTEQTYPE=$G1727),0))</f>
        <v>CENT_AIR4</v>
      </c>
    </row>
    <row r="1728" spans="2:25" ht="14.25" customHeight="1" x14ac:dyDescent="0.2">
      <c r="B1728" s="5">
        <v>9</v>
      </c>
      <c r="C1728" s="5">
        <v>2</v>
      </c>
      <c r="D1728" s="5">
        <v>9</v>
      </c>
      <c r="E1728" s="31">
        <v>30</v>
      </c>
      <c r="F1728" s="5">
        <v>2</v>
      </c>
      <c r="G1728" s="31">
        <v>7</v>
      </c>
      <c r="H1728" s="5">
        <v>2033</v>
      </c>
      <c r="I1728" s="5">
        <v>2050</v>
      </c>
      <c r="J1728" s="142">
        <v>1.1200000000000001</v>
      </c>
      <c r="K1728" s="142">
        <v>1.0541</v>
      </c>
      <c r="L1728" s="142">
        <v>0.44379999999999997</v>
      </c>
      <c r="M1728" s="142">
        <v>1.1167</v>
      </c>
      <c r="N1728" s="142">
        <v>1.4438</v>
      </c>
      <c r="O1728" s="142">
        <v>1.0538000000000001</v>
      </c>
      <c r="P1728" s="26">
        <v>4447.7193131137647</v>
      </c>
      <c r="Q1728" s="35">
        <f t="array" ref="Q1728">SUM(IF(($S1728&gt;=4)*($C1728='TaxCred&amp;Subs'!$D$114:$D$121)*($H1728='TaxCred&amp;Subs'!$C$114:$C$121)*($H1728&lt;='TaxCred&amp;Subs'!$C$123),'TaxCred&amp;Subs'!$E$114:$E$121,0))</f>
        <v>0</v>
      </c>
      <c r="R1728" s="143">
        <v>0</v>
      </c>
      <c r="S1728" s="5">
        <v>5</v>
      </c>
      <c r="T1728" s="5" t="s">
        <v>221</v>
      </c>
      <c r="V1728" s="7" t="str">
        <f t="array" ref="V1728">INDEX(xlRTCLNAME,MATCH(1,(xlRTCLENDU=1)*(xlRTCLEQCL=$D1728),0))</f>
        <v>WOOD_HT</v>
      </c>
      <c r="W1728" s="7" t="str">
        <f t="array" ref="W1728">INDEX(xlRTCLNAME,MATCH(1,(xlRTCLENDU=2)*(xlRTCLEQCL=$F1728),0))</f>
        <v>CENT_AIR</v>
      </c>
      <c r="X1728" s="7" t="str">
        <f t="array" ref="X1728">INDEX(xlRTTYNAME,MATCH(1,(xlRTTYENDU=1)*(xlRTTYEQCL=$D1728)*(xlRTEQTYPE=$E1728),0))</f>
        <v>WOOD_HT4</v>
      </c>
      <c r="Y1728" s="7" t="str">
        <f t="array" ref="Y1728">INDEX(xlRTTYNAME,MATCH(1,(xlRTTYENDU=2)*(xlRTTYEQCL=$F1728)*(xlRTEQTYPE=$G1728),0))</f>
        <v>CENT_AIR4</v>
      </c>
    </row>
    <row r="1729" spans="2:25" ht="14.25" customHeight="1" x14ac:dyDescent="0.2">
      <c r="B1729" s="5">
        <v>1</v>
      </c>
      <c r="C1729" s="5">
        <v>2</v>
      </c>
      <c r="D1729" s="5">
        <v>10</v>
      </c>
      <c r="E1729" s="31">
        <v>34</v>
      </c>
      <c r="F1729" s="5">
        <v>4</v>
      </c>
      <c r="G1729" s="31">
        <v>15</v>
      </c>
      <c r="H1729" s="31">
        <v>2020</v>
      </c>
      <c r="I1729" s="5">
        <v>2022</v>
      </c>
      <c r="J1729" s="142">
        <v>1.1111</v>
      </c>
      <c r="K1729" s="142">
        <v>1.0526</v>
      </c>
      <c r="L1729" s="142">
        <v>0.58379999999999999</v>
      </c>
      <c r="M1729" s="142">
        <v>1.1294</v>
      </c>
      <c r="N1729" s="142">
        <v>1.1356999999999999</v>
      </c>
      <c r="O1729" s="142">
        <v>1.0538000000000001</v>
      </c>
      <c r="P1729" s="26">
        <v>5076.9613441105121</v>
      </c>
      <c r="Q1729" s="35">
        <f t="array" ref="Q1729">SUM(IF(($S1729&gt;=4)*($C1729='TaxCred&amp;Subs'!$D$114:$D$121)*($H1729='TaxCred&amp;Subs'!$C$114:$C$121)*($H1729&lt;='TaxCred&amp;Subs'!$C$123),'TaxCred&amp;Subs'!$E$114:$E$121,0))</f>
        <v>0</v>
      </c>
      <c r="R1729" s="143">
        <v>0</v>
      </c>
      <c r="S1729" s="5">
        <v>5</v>
      </c>
      <c r="T1729" s="5" t="s">
        <v>221</v>
      </c>
      <c r="V1729" s="7" t="str">
        <f t="array" ref="V1729">INDEX(xlRTCLNAME,MATCH(1,(xlRTCLENDU=1)*(xlRTCLEQCL=$D1729),0))</f>
        <v>GEO_HP</v>
      </c>
      <c r="W1729" s="7" t="str">
        <f t="array" ref="W1729">INDEX(xlRTCLNAME,MATCH(1,(xlRTCLENDU=2)*(xlRTCLEQCL=$F1729),0))</f>
        <v>GEO_HP</v>
      </c>
      <c r="X1729" s="7" t="str">
        <f t="array" ref="X1729">INDEX(xlRTTYNAME,MATCH(1,(xlRTTYENDU=1)*(xlRTTYEQCL=$D1729)*(xlRTEQTYPE=$E1729),0))</f>
        <v>GEO_HP4</v>
      </c>
      <c r="Y1729" s="7" t="str">
        <f t="array" ref="Y1729">INDEX(xlRTTYNAME,MATCH(1,(xlRTTYENDU=2)*(xlRTTYEQCL=$F1729)*(xlRTEQTYPE=$G1729),0))</f>
        <v>GEO_HP4</v>
      </c>
    </row>
    <row r="1730" spans="2:25" ht="14.25" customHeight="1" x14ac:dyDescent="0.2">
      <c r="B1730" s="5">
        <v>1</v>
      </c>
      <c r="C1730" s="5">
        <v>2</v>
      </c>
      <c r="D1730" s="5">
        <v>10</v>
      </c>
      <c r="E1730" s="31">
        <v>34</v>
      </c>
      <c r="F1730" s="5">
        <v>4</v>
      </c>
      <c r="G1730" s="31">
        <v>15</v>
      </c>
      <c r="H1730" s="5">
        <v>2023</v>
      </c>
      <c r="I1730" s="5">
        <v>2032</v>
      </c>
      <c r="J1730" s="142">
        <v>1.1111</v>
      </c>
      <c r="K1730" s="142">
        <v>1.0526</v>
      </c>
      <c r="L1730" s="142">
        <v>0.58379999999999999</v>
      </c>
      <c r="M1730" s="142">
        <v>1.1294</v>
      </c>
      <c r="N1730" s="142">
        <v>1.1356999999999999</v>
      </c>
      <c r="O1730" s="142">
        <v>1.0538000000000001</v>
      </c>
      <c r="P1730" s="26">
        <v>5076.9613441105121</v>
      </c>
      <c r="Q1730" s="35">
        <f t="array" ref="Q1730">SUM(IF(($S1730&gt;=4)*($C1730='TaxCred&amp;Subs'!$D$114:$D$121)*($H1730='TaxCred&amp;Subs'!$C$114:$C$121)*($H1730&lt;='TaxCred&amp;Subs'!$C$123),'TaxCred&amp;Subs'!$E$114:$E$121,0))</f>
        <v>500</v>
      </c>
      <c r="R1730" s="143">
        <v>0</v>
      </c>
      <c r="S1730" s="5">
        <v>5</v>
      </c>
      <c r="T1730" s="5" t="s">
        <v>221</v>
      </c>
      <c r="V1730" s="7" t="str">
        <f t="array" ref="V1730">INDEX(xlRTCLNAME,MATCH(1,(xlRTCLENDU=1)*(xlRTCLEQCL=$D1730),0))</f>
        <v>GEO_HP</v>
      </c>
      <c r="W1730" s="7" t="str">
        <f t="array" ref="W1730">INDEX(xlRTCLNAME,MATCH(1,(xlRTCLENDU=2)*(xlRTCLEQCL=$F1730),0))</f>
        <v>GEO_HP</v>
      </c>
      <c r="X1730" s="7" t="str">
        <f t="array" ref="X1730">INDEX(xlRTTYNAME,MATCH(1,(xlRTTYENDU=1)*(xlRTTYEQCL=$D1730)*(xlRTEQTYPE=$E1730),0))</f>
        <v>GEO_HP4</v>
      </c>
      <c r="Y1730" s="7" t="str">
        <f t="array" ref="Y1730">INDEX(xlRTTYNAME,MATCH(1,(xlRTTYENDU=2)*(xlRTTYEQCL=$F1730)*(xlRTEQTYPE=$G1730),0))</f>
        <v>GEO_HP4</v>
      </c>
    </row>
    <row r="1731" spans="2:25" ht="14.25" customHeight="1" x14ac:dyDescent="0.2">
      <c r="B1731" s="5">
        <v>1</v>
      </c>
      <c r="C1731" s="5">
        <v>2</v>
      </c>
      <c r="D1731" s="5">
        <v>10</v>
      </c>
      <c r="E1731" s="31">
        <v>34</v>
      </c>
      <c r="F1731" s="5">
        <v>4</v>
      </c>
      <c r="G1731" s="31">
        <v>15</v>
      </c>
      <c r="H1731" s="5">
        <v>2033</v>
      </c>
      <c r="I1731" s="5">
        <v>2050</v>
      </c>
      <c r="J1731" s="142">
        <v>1.1111</v>
      </c>
      <c r="K1731" s="142">
        <v>1.0526</v>
      </c>
      <c r="L1731" s="142">
        <v>0.58379999999999999</v>
      </c>
      <c r="M1731" s="142">
        <v>1.1294</v>
      </c>
      <c r="N1731" s="142">
        <v>1.1356999999999999</v>
      </c>
      <c r="O1731" s="142">
        <v>1.0538000000000001</v>
      </c>
      <c r="P1731" s="26">
        <v>5076.9613441105121</v>
      </c>
      <c r="Q1731" s="35">
        <f t="array" ref="Q1731">SUM(IF(($S1731&gt;=4)*($C1731='TaxCred&amp;Subs'!$D$114:$D$121)*($H1731='TaxCred&amp;Subs'!$C$114:$C$121)*($H1731&lt;='TaxCred&amp;Subs'!$C$123),'TaxCred&amp;Subs'!$E$114:$E$121,0))</f>
        <v>0</v>
      </c>
      <c r="R1731" s="143">
        <v>0</v>
      </c>
      <c r="S1731" s="5">
        <v>5</v>
      </c>
      <c r="T1731" s="5" t="s">
        <v>221</v>
      </c>
      <c r="V1731" s="7" t="str">
        <f t="array" ref="V1731">INDEX(xlRTCLNAME,MATCH(1,(xlRTCLENDU=1)*(xlRTCLEQCL=$D1731),0))</f>
        <v>GEO_HP</v>
      </c>
      <c r="W1731" s="7" t="str">
        <f t="array" ref="W1731">INDEX(xlRTCLNAME,MATCH(1,(xlRTCLENDU=2)*(xlRTCLEQCL=$F1731),0))</f>
        <v>GEO_HP</v>
      </c>
      <c r="X1731" s="7" t="str">
        <f t="array" ref="X1731">INDEX(xlRTTYNAME,MATCH(1,(xlRTTYENDU=1)*(xlRTTYEQCL=$D1731)*(xlRTEQTYPE=$E1731),0))</f>
        <v>GEO_HP4</v>
      </c>
      <c r="Y1731" s="7" t="str">
        <f t="array" ref="Y1731">INDEX(xlRTTYNAME,MATCH(1,(xlRTTYENDU=2)*(xlRTTYEQCL=$F1731)*(xlRTEQTYPE=$G1731),0))</f>
        <v>GEO_HP4</v>
      </c>
    </row>
    <row r="1732" spans="2:25" ht="14.25" customHeight="1" x14ac:dyDescent="0.2">
      <c r="B1732" s="5">
        <v>2</v>
      </c>
      <c r="C1732" s="5">
        <v>2</v>
      </c>
      <c r="D1732" s="5">
        <v>10</v>
      </c>
      <c r="E1732" s="31">
        <v>34</v>
      </c>
      <c r="F1732" s="5">
        <v>4</v>
      </c>
      <c r="G1732" s="31">
        <v>15</v>
      </c>
      <c r="H1732" s="31">
        <v>2020</v>
      </c>
      <c r="I1732" s="5">
        <v>2022</v>
      </c>
      <c r="J1732" s="142">
        <v>1.0588</v>
      </c>
      <c r="K1732" s="142">
        <v>1.0455000000000001</v>
      </c>
      <c r="L1732" s="142">
        <v>0.54910000000000003</v>
      </c>
      <c r="M1732" s="142">
        <v>1.1263000000000001</v>
      </c>
      <c r="N1732" s="142">
        <v>1.1394</v>
      </c>
      <c r="O1732" s="142">
        <v>1.0538000000000001</v>
      </c>
      <c r="P1732" s="26">
        <v>4802.6763562401347</v>
      </c>
      <c r="Q1732" s="35">
        <f t="array" ref="Q1732">SUM(IF(($S1732&gt;=4)*($C1732='TaxCred&amp;Subs'!$D$114:$D$121)*($H1732='TaxCred&amp;Subs'!$C$114:$C$121)*($H1732&lt;='TaxCred&amp;Subs'!$C$123),'TaxCred&amp;Subs'!$E$114:$E$121,0))</f>
        <v>0</v>
      </c>
      <c r="R1732" s="143">
        <v>0</v>
      </c>
      <c r="S1732" s="5">
        <v>5</v>
      </c>
      <c r="T1732" s="5" t="s">
        <v>221</v>
      </c>
      <c r="V1732" s="7" t="str">
        <f t="array" ref="V1732">INDEX(xlRTCLNAME,MATCH(1,(xlRTCLENDU=1)*(xlRTCLEQCL=$D1732),0))</f>
        <v>GEO_HP</v>
      </c>
      <c r="W1732" s="7" t="str">
        <f t="array" ref="W1732">INDEX(xlRTCLNAME,MATCH(1,(xlRTCLENDU=2)*(xlRTCLEQCL=$F1732),0))</f>
        <v>GEO_HP</v>
      </c>
      <c r="X1732" s="7" t="str">
        <f t="array" ref="X1732">INDEX(xlRTTYNAME,MATCH(1,(xlRTTYENDU=1)*(xlRTTYEQCL=$D1732)*(xlRTEQTYPE=$E1732),0))</f>
        <v>GEO_HP4</v>
      </c>
      <c r="Y1732" s="7" t="str">
        <f t="array" ref="Y1732">INDEX(xlRTTYNAME,MATCH(1,(xlRTTYENDU=2)*(xlRTTYEQCL=$F1732)*(xlRTEQTYPE=$G1732),0))</f>
        <v>GEO_HP4</v>
      </c>
    </row>
    <row r="1733" spans="2:25" ht="14.25" customHeight="1" x14ac:dyDescent="0.2">
      <c r="B1733" s="5">
        <v>2</v>
      </c>
      <c r="C1733" s="5">
        <v>2</v>
      </c>
      <c r="D1733" s="5">
        <v>10</v>
      </c>
      <c r="E1733" s="31">
        <v>34</v>
      </c>
      <c r="F1733" s="5">
        <v>4</v>
      </c>
      <c r="G1733" s="31">
        <v>15</v>
      </c>
      <c r="H1733" s="5">
        <v>2023</v>
      </c>
      <c r="I1733" s="5">
        <v>2032</v>
      </c>
      <c r="J1733" s="142">
        <v>1.0588</v>
      </c>
      <c r="K1733" s="142">
        <v>1.0455000000000001</v>
      </c>
      <c r="L1733" s="142">
        <v>0.54910000000000003</v>
      </c>
      <c r="M1733" s="142">
        <v>1.1263000000000001</v>
      </c>
      <c r="N1733" s="142">
        <v>1.1394</v>
      </c>
      <c r="O1733" s="142">
        <v>1.0538000000000001</v>
      </c>
      <c r="P1733" s="26">
        <v>4802.6763562401347</v>
      </c>
      <c r="Q1733" s="35">
        <f t="array" ref="Q1733">SUM(IF(($S1733&gt;=4)*($C1733='TaxCred&amp;Subs'!$D$114:$D$121)*($H1733='TaxCred&amp;Subs'!$C$114:$C$121)*($H1733&lt;='TaxCred&amp;Subs'!$C$123),'TaxCred&amp;Subs'!$E$114:$E$121,0))</f>
        <v>500</v>
      </c>
      <c r="R1733" s="143">
        <v>0</v>
      </c>
      <c r="S1733" s="5">
        <v>5</v>
      </c>
      <c r="T1733" s="5" t="s">
        <v>221</v>
      </c>
      <c r="V1733" s="7" t="str">
        <f t="array" ref="V1733">INDEX(xlRTCLNAME,MATCH(1,(xlRTCLENDU=1)*(xlRTCLEQCL=$D1733),0))</f>
        <v>GEO_HP</v>
      </c>
      <c r="W1733" s="7" t="str">
        <f t="array" ref="W1733">INDEX(xlRTCLNAME,MATCH(1,(xlRTCLENDU=2)*(xlRTCLEQCL=$F1733),0))</f>
        <v>GEO_HP</v>
      </c>
      <c r="X1733" s="7" t="str">
        <f t="array" ref="X1733">INDEX(xlRTTYNAME,MATCH(1,(xlRTTYENDU=1)*(xlRTTYEQCL=$D1733)*(xlRTEQTYPE=$E1733),0))</f>
        <v>GEO_HP4</v>
      </c>
      <c r="Y1733" s="7" t="str">
        <f t="array" ref="Y1733">INDEX(xlRTTYNAME,MATCH(1,(xlRTTYENDU=2)*(xlRTTYEQCL=$F1733)*(xlRTEQTYPE=$G1733),0))</f>
        <v>GEO_HP4</v>
      </c>
    </row>
    <row r="1734" spans="2:25" ht="14.25" customHeight="1" x14ac:dyDescent="0.2">
      <c r="B1734" s="5">
        <v>2</v>
      </c>
      <c r="C1734" s="5">
        <v>2</v>
      </c>
      <c r="D1734" s="5">
        <v>10</v>
      </c>
      <c r="E1734" s="31">
        <v>34</v>
      </c>
      <c r="F1734" s="5">
        <v>4</v>
      </c>
      <c r="G1734" s="31">
        <v>15</v>
      </c>
      <c r="H1734" s="5">
        <v>2033</v>
      </c>
      <c r="I1734" s="5">
        <v>2050</v>
      </c>
      <c r="J1734" s="142">
        <v>1.0588</v>
      </c>
      <c r="K1734" s="142">
        <v>1.0455000000000001</v>
      </c>
      <c r="L1734" s="142">
        <v>0.54910000000000003</v>
      </c>
      <c r="M1734" s="142">
        <v>1.1263000000000001</v>
      </c>
      <c r="N1734" s="142">
        <v>1.1394</v>
      </c>
      <c r="O1734" s="142">
        <v>1.0538000000000001</v>
      </c>
      <c r="P1734" s="26">
        <v>4802.6763562401347</v>
      </c>
      <c r="Q1734" s="35">
        <f t="array" ref="Q1734">SUM(IF(($S1734&gt;=4)*($C1734='TaxCred&amp;Subs'!$D$114:$D$121)*($H1734='TaxCred&amp;Subs'!$C$114:$C$121)*($H1734&lt;='TaxCred&amp;Subs'!$C$123),'TaxCred&amp;Subs'!$E$114:$E$121,0))</f>
        <v>0</v>
      </c>
      <c r="R1734" s="143">
        <v>0</v>
      </c>
      <c r="S1734" s="5">
        <v>5</v>
      </c>
      <c r="T1734" s="5" t="s">
        <v>221</v>
      </c>
      <c r="V1734" s="7" t="str">
        <f t="array" ref="V1734">INDEX(xlRTCLNAME,MATCH(1,(xlRTCLENDU=1)*(xlRTCLEQCL=$D1734),0))</f>
        <v>GEO_HP</v>
      </c>
      <c r="W1734" s="7" t="str">
        <f t="array" ref="W1734">INDEX(xlRTCLNAME,MATCH(1,(xlRTCLENDU=2)*(xlRTCLEQCL=$F1734),0))</f>
        <v>GEO_HP</v>
      </c>
      <c r="X1734" s="7" t="str">
        <f t="array" ref="X1734">INDEX(xlRTTYNAME,MATCH(1,(xlRTTYENDU=1)*(xlRTTYEQCL=$D1734)*(xlRTEQTYPE=$E1734),0))</f>
        <v>GEO_HP4</v>
      </c>
      <c r="Y1734" s="7" t="str">
        <f t="array" ref="Y1734">INDEX(xlRTTYNAME,MATCH(1,(xlRTTYENDU=2)*(xlRTTYEQCL=$F1734)*(xlRTEQTYPE=$G1734),0))</f>
        <v>GEO_HP4</v>
      </c>
    </row>
    <row r="1735" spans="2:25" ht="14.25" customHeight="1" x14ac:dyDescent="0.2">
      <c r="B1735" s="5">
        <v>3</v>
      </c>
      <c r="C1735" s="5">
        <v>2</v>
      </c>
      <c r="D1735" s="5">
        <v>10</v>
      </c>
      <c r="E1735" s="31">
        <v>34</v>
      </c>
      <c r="F1735" s="5">
        <v>4</v>
      </c>
      <c r="G1735" s="31">
        <v>15</v>
      </c>
      <c r="H1735" s="31">
        <v>2020</v>
      </c>
      <c r="I1735" s="5">
        <v>2022</v>
      </c>
      <c r="J1735" s="142">
        <v>1.1000000000000001</v>
      </c>
      <c r="K1735" s="142">
        <v>1.03</v>
      </c>
      <c r="L1735" s="142">
        <v>0.54730000000000001</v>
      </c>
      <c r="M1735" s="142">
        <v>1.0546</v>
      </c>
      <c r="N1735" s="142">
        <v>1.0449999999999999</v>
      </c>
      <c r="O1735" s="142">
        <v>1.0538000000000001</v>
      </c>
      <c r="P1735" s="26">
        <v>3604.6963356886345</v>
      </c>
      <c r="Q1735" s="35">
        <f t="array" ref="Q1735">SUM(IF(($S1735&gt;=4)*($C1735='TaxCred&amp;Subs'!$D$114:$D$121)*($H1735='TaxCred&amp;Subs'!$C$114:$C$121)*($H1735&lt;='TaxCred&amp;Subs'!$C$123),'TaxCred&amp;Subs'!$E$114:$E$121,0))</f>
        <v>0</v>
      </c>
      <c r="R1735" s="143">
        <v>0</v>
      </c>
      <c r="S1735" s="5">
        <v>5</v>
      </c>
      <c r="T1735" s="5" t="s">
        <v>221</v>
      </c>
      <c r="V1735" s="7" t="str">
        <f t="array" ref="V1735">INDEX(xlRTCLNAME,MATCH(1,(xlRTCLENDU=1)*(xlRTCLEQCL=$D1735),0))</f>
        <v>GEO_HP</v>
      </c>
      <c r="W1735" s="7" t="str">
        <f t="array" ref="W1735">INDEX(xlRTCLNAME,MATCH(1,(xlRTCLENDU=2)*(xlRTCLEQCL=$F1735),0))</f>
        <v>GEO_HP</v>
      </c>
      <c r="X1735" s="7" t="str">
        <f t="array" ref="X1735">INDEX(xlRTTYNAME,MATCH(1,(xlRTTYENDU=1)*(xlRTTYEQCL=$D1735)*(xlRTEQTYPE=$E1735),0))</f>
        <v>GEO_HP4</v>
      </c>
      <c r="Y1735" s="7" t="str">
        <f t="array" ref="Y1735">INDEX(xlRTTYNAME,MATCH(1,(xlRTTYENDU=2)*(xlRTTYEQCL=$F1735)*(xlRTEQTYPE=$G1735),0))</f>
        <v>GEO_HP4</v>
      </c>
    </row>
    <row r="1736" spans="2:25" ht="14.25" customHeight="1" x14ac:dyDescent="0.2">
      <c r="B1736" s="5">
        <v>3</v>
      </c>
      <c r="C1736" s="5">
        <v>2</v>
      </c>
      <c r="D1736" s="5">
        <v>10</v>
      </c>
      <c r="E1736" s="31">
        <v>34</v>
      </c>
      <c r="F1736" s="5">
        <v>4</v>
      </c>
      <c r="G1736" s="31">
        <v>15</v>
      </c>
      <c r="H1736" s="5">
        <v>2023</v>
      </c>
      <c r="I1736" s="5">
        <v>2032</v>
      </c>
      <c r="J1736" s="142">
        <v>1.1000000000000001</v>
      </c>
      <c r="K1736" s="142">
        <v>1.03</v>
      </c>
      <c r="L1736" s="142">
        <v>0.54730000000000001</v>
      </c>
      <c r="M1736" s="142">
        <v>1.0546</v>
      </c>
      <c r="N1736" s="142">
        <v>1.0449999999999999</v>
      </c>
      <c r="O1736" s="142">
        <v>1.0538000000000001</v>
      </c>
      <c r="P1736" s="26">
        <v>3604.6963356886345</v>
      </c>
      <c r="Q1736" s="35">
        <f t="array" ref="Q1736">SUM(IF(($S1736&gt;=4)*($C1736='TaxCred&amp;Subs'!$D$114:$D$121)*($H1736='TaxCred&amp;Subs'!$C$114:$C$121)*($H1736&lt;='TaxCred&amp;Subs'!$C$123),'TaxCred&amp;Subs'!$E$114:$E$121,0))</f>
        <v>500</v>
      </c>
      <c r="R1736" s="143">
        <v>0</v>
      </c>
      <c r="S1736" s="5">
        <v>5</v>
      </c>
      <c r="T1736" s="5" t="s">
        <v>221</v>
      </c>
      <c r="V1736" s="7" t="str">
        <f t="array" ref="V1736">INDEX(xlRTCLNAME,MATCH(1,(xlRTCLENDU=1)*(xlRTCLEQCL=$D1736),0))</f>
        <v>GEO_HP</v>
      </c>
      <c r="W1736" s="7" t="str">
        <f t="array" ref="W1736">INDEX(xlRTCLNAME,MATCH(1,(xlRTCLENDU=2)*(xlRTCLEQCL=$F1736),0))</f>
        <v>GEO_HP</v>
      </c>
      <c r="X1736" s="7" t="str">
        <f t="array" ref="X1736">INDEX(xlRTTYNAME,MATCH(1,(xlRTTYENDU=1)*(xlRTTYEQCL=$D1736)*(xlRTEQTYPE=$E1736),0))</f>
        <v>GEO_HP4</v>
      </c>
      <c r="Y1736" s="7" t="str">
        <f t="array" ref="Y1736">INDEX(xlRTTYNAME,MATCH(1,(xlRTTYENDU=2)*(xlRTTYEQCL=$F1736)*(xlRTEQTYPE=$G1736),0))</f>
        <v>GEO_HP4</v>
      </c>
    </row>
    <row r="1737" spans="2:25" ht="14.25" customHeight="1" x14ac:dyDescent="0.2">
      <c r="B1737" s="5">
        <v>3</v>
      </c>
      <c r="C1737" s="5">
        <v>2</v>
      </c>
      <c r="D1737" s="5">
        <v>10</v>
      </c>
      <c r="E1737" s="31">
        <v>34</v>
      </c>
      <c r="F1737" s="5">
        <v>4</v>
      </c>
      <c r="G1737" s="31">
        <v>15</v>
      </c>
      <c r="H1737" s="5">
        <v>2033</v>
      </c>
      <c r="I1737" s="5">
        <v>2050</v>
      </c>
      <c r="J1737" s="142">
        <v>1.1000000000000001</v>
      </c>
      <c r="K1737" s="142">
        <v>1.03</v>
      </c>
      <c r="L1737" s="142">
        <v>0.54730000000000001</v>
      </c>
      <c r="M1737" s="142">
        <v>1.0546</v>
      </c>
      <c r="N1737" s="142">
        <v>1.0449999999999999</v>
      </c>
      <c r="O1737" s="142">
        <v>1.0538000000000001</v>
      </c>
      <c r="P1737" s="26">
        <v>3604.6963356886345</v>
      </c>
      <c r="Q1737" s="35">
        <f t="array" ref="Q1737">SUM(IF(($S1737&gt;=4)*($C1737='TaxCred&amp;Subs'!$D$114:$D$121)*($H1737='TaxCred&amp;Subs'!$C$114:$C$121)*($H1737&lt;='TaxCred&amp;Subs'!$C$123),'TaxCred&amp;Subs'!$E$114:$E$121,0))</f>
        <v>0</v>
      </c>
      <c r="R1737" s="143">
        <v>0</v>
      </c>
      <c r="S1737" s="5">
        <v>5</v>
      </c>
      <c r="T1737" s="5" t="s">
        <v>221</v>
      </c>
      <c r="V1737" s="7" t="str">
        <f t="array" ref="V1737">INDEX(xlRTCLNAME,MATCH(1,(xlRTCLENDU=1)*(xlRTCLEQCL=$D1737),0))</f>
        <v>GEO_HP</v>
      </c>
      <c r="W1737" s="7" t="str">
        <f t="array" ref="W1737">INDEX(xlRTCLNAME,MATCH(1,(xlRTCLENDU=2)*(xlRTCLEQCL=$F1737),0))</f>
        <v>GEO_HP</v>
      </c>
      <c r="X1737" s="7" t="str">
        <f t="array" ref="X1737">INDEX(xlRTTYNAME,MATCH(1,(xlRTTYENDU=1)*(xlRTTYEQCL=$D1737)*(xlRTEQTYPE=$E1737),0))</f>
        <v>GEO_HP4</v>
      </c>
      <c r="Y1737" s="7" t="str">
        <f t="array" ref="Y1737">INDEX(xlRTTYNAME,MATCH(1,(xlRTTYENDU=2)*(xlRTTYEQCL=$F1737)*(xlRTEQTYPE=$G1737),0))</f>
        <v>GEO_HP4</v>
      </c>
    </row>
    <row r="1738" spans="2:25" ht="14.25" customHeight="1" x14ac:dyDescent="0.2">
      <c r="B1738" s="5">
        <v>4</v>
      </c>
      <c r="C1738" s="5">
        <v>2</v>
      </c>
      <c r="D1738" s="5">
        <v>10</v>
      </c>
      <c r="E1738" s="31">
        <v>34</v>
      </c>
      <c r="F1738" s="5">
        <v>4</v>
      </c>
      <c r="G1738" s="31">
        <v>15</v>
      </c>
      <c r="H1738" s="31">
        <v>2020</v>
      </c>
      <c r="I1738" s="5">
        <v>2022</v>
      </c>
      <c r="J1738" s="142">
        <v>1.1033999999999999</v>
      </c>
      <c r="K1738" s="142">
        <v>1.0556000000000001</v>
      </c>
      <c r="L1738" s="142">
        <v>0.6169</v>
      </c>
      <c r="M1738" s="142">
        <v>1.1313</v>
      </c>
      <c r="N1738" s="142">
        <v>1.1753</v>
      </c>
      <c r="O1738" s="142">
        <v>1.0538000000000001</v>
      </c>
      <c r="P1738" s="26">
        <v>3733.7716240982236</v>
      </c>
      <c r="Q1738" s="35">
        <f t="array" ref="Q1738">SUM(IF(($S1738&gt;=4)*($C1738='TaxCred&amp;Subs'!$D$114:$D$121)*($H1738='TaxCred&amp;Subs'!$C$114:$C$121)*($H1738&lt;='TaxCred&amp;Subs'!$C$123),'TaxCred&amp;Subs'!$E$114:$E$121,0))</f>
        <v>0</v>
      </c>
      <c r="R1738" s="143">
        <v>0</v>
      </c>
      <c r="S1738" s="5">
        <v>5</v>
      </c>
      <c r="T1738" s="5" t="s">
        <v>221</v>
      </c>
      <c r="V1738" s="7" t="str">
        <f t="array" ref="V1738">INDEX(xlRTCLNAME,MATCH(1,(xlRTCLENDU=1)*(xlRTCLEQCL=$D1738),0))</f>
        <v>GEO_HP</v>
      </c>
      <c r="W1738" s="7" t="str">
        <f t="array" ref="W1738">INDEX(xlRTCLNAME,MATCH(1,(xlRTCLENDU=2)*(xlRTCLEQCL=$F1738),0))</f>
        <v>GEO_HP</v>
      </c>
      <c r="X1738" s="7" t="str">
        <f t="array" ref="X1738">INDEX(xlRTTYNAME,MATCH(1,(xlRTTYENDU=1)*(xlRTTYEQCL=$D1738)*(xlRTEQTYPE=$E1738),0))</f>
        <v>GEO_HP4</v>
      </c>
      <c r="Y1738" s="7" t="str">
        <f t="array" ref="Y1738">INDEX(xlRTTYNAME,MATCH(1,(xlRTTYENDU=2)*(xlRTTYEQCL=$F1738)*(xlRTEQTYPE=$G1738),0))</f>
        <v>GEO_HP4</v>
      </c>
    </row>
    <row r="1739" spans="2:25" ht="14.25" customHeight="1" x14ac:dyDescent="0.2">
      <c r="B1739" s="5">
        <v>4</v>
      </c>
      <c r="C1739" s="5">
        <v>2</v>
      </c>
      <c r="D1739" s="5">
        <v>10</v>
      </c>
      <c r="E1739" s="31">
        <v>34</v>
      </c>
      <c r="F1739" s="5">
        <v>4</v>
      </c>
      <c r="G1739" s="31">
        <v>15</v>
      </c>
      <c r="H1739" s="5">
        <v>2023</v>
      </c>
      <c r="I1739" s="5">
        <v>2032</v>
      </c>
      <c r="J1739" s="142">
        <v>1.1033999999999999</v>
      </c>
      <c r="K1739" s="142">
        <v>1.0556000000000001</v>
      </c>
      <c r="L1739" s="142">
        <v>0.6169</v>
      </c>
      <c r="M1739" s="142">
        <v>1.1313</v>
      </c>
      <c r="N1739" s="142">
        <v>1.1753</v>
      </c>
      <c r="O1739" s="142">
        <v>1.0538000000000001</v>
      </c>
      <c r="P1739" s="26">
        <v>3733.7716240982236</v>
      </c>
      <c r="Q1739" s="35">
        <f t="array" ref="Q1739">SUM(IF(($S1739&gt;=4)*($C1739='TaxCred&amp;Subs'!$D$114:$D$121)*($H1739='TaxCred&amp;Subs'!$C$114:$C$121)*($H1739&lt;='TaxCred&amp;Subs'!$C$123),'TaxCred&amp;Subs'!$E$114:$E$121,0))</f>
        <v>500</v>
      </c>
      <c r="R1739" s="143">
        <v>0</v>
      </c>
      <c r="S1739" s="5">
        <v>5</v>
      </c>
      <c r="T1739" s="5" t="s">
        <v>221</v>
      </c>
      <c r="V1739" s="7" t="str">
        <f t="array" ref="V1739">INDEX(xlRTCLNAME,MATCH(1,(xlRTCLENDU=1)*(xlRTCLEQCL=$D1739),0))</f>
        <v>GEO_HP</v>
      </c>
      <c r="W1739" s="7" t="str">
        <f t="array" ref="W1739">INDEX(xlRTCLNAME,MATCH(1,(xlRTCLENDU=2)*(xlRTCLEQCL=$F1739),0))</f>
        <v>GEO_HP</v>
      </c>
      <c r="X1739" s="7" t="str">
        <f t="array" ref="X1739">INDEX(xlRTTYNAME,MATCH(1,(xlRTTYENDU=1)*(xlRTTYEQCL=$D1739)*(xlRTEQTYPE=$E1739),0))</f>
        <v>GEO_HP4</v>
      </c>
      <c r="Y1739" s="7" t="str">
        <f t="array" ref="Y1739">INDEX(xlRTTYNAME,MATCH(1,(xlRTTYENDU=2)*(xlRTTYEQCL=$F1739)*(xlRTEQTYPE=$G1739),0))</f>
        <v>GEO_HP4</v>
      </c>
    </row>
    <row r="1740" spans="2:25" ht="14.25" customHeight="1" x14ac:dyDescent="0.2">
      <c r="B1740" s="5">
        <v>4</v>
      </c>
      <c r="C1740" s="5">
        <v>2</v>
      </c>
      <c r="D1740" s="5">
        <v>10</v>
      </c>
      <c r="E1740" s="31">
        <v>34</v>
      </c>
      <c r="F1740" s="5">
        <v>4</v>
      </c>
      <c r="G1740" s="31">
        <v>15</v>
      </c>
      <c r="H1740" s="5">
        <v>2033</v>
      </c>
      <c r="I1740" s="5">
        <v>2050</v>
      </c>
      <c r="J1740" s="142">
        <v>1.1033999999999999</v>
      </c>
      <c r="K1740" s="142">
        <v>1.0556000000000001</v>
      </c>
      <c r="L1740" s="142">
        <v>0.6169</v>
      </c>
      <c r="M1740" s="142">
        <v>1.1313</v>
      </c>
      <c r="N1740" s="142">
        <v>1.1753</v>
      </c>
      <c r="O1740" s="142">
        <v>1.0538000000000001</v>
      </c>
      <c r="P1740" s="26">
        <v>3733.7716240982236</v>
      </c>
      <c r="Q1740" s="35">
        <f t="array" ref="Q1740">SUM(IF(($S1740&gt;=4)*($C1740='TaxCred&amp;Subs'!$D$114:$D$121)*($H1740='TaxCred&amp;Subs'!$C$114:$C$121)*($H1740&lt;='TaxCred&amp;Subs'!$C$123),'TaxCred&amp;Subs'!$E$114:$E$121,0))</f>
        <v>0</v>
      </c>
      <c r="R1740" s="143">
        <v>0</v>
      </c>
      <c r="S1740" s="5">
        <v>5</v>
      </c>
      <c r="T1740" s="5" t="s">
        <v>221</v>
      </c>
      <c r="V1740" s="7" t="str">
        <f t="array" ref="V1740">INDEX(xlRTCLNAME,MATCH(1,(xlRTCLENDU=1)*(xlRTCLEQCL=$D1740),0))</f>
        <v>GEO_HP</v>
      </c>
      <c r="W1740" s="7" t="str">
        <f t="array" ref="W1740">INDEX(xlRTCLNAME,MATCH(1,(xlRTCLENDU=2)*(xlRTCLEQCL=$F1740),0))</f>
        <v>GEO_HP</v>
      </c>
      <c r="X1740" s="7" t="str">
        <f t="array" ref="X1740">INDEX(xlRTTYNAME,MATCH(1,(xlRTTYENDU=1)*(xlRTTYEQCL=$D1740)*(xlRTEQTYPE=$E1740),0))</f>
        <v>GEO_HP4</v>
      </c>
      <c r="Y1740" s="7" t="str">
        <f t="array" ref="Y1740">INDEX(xlRTTYNAME,MATCH(1,(xlRTTYENDU=2)*(xlRTTYEQCL=$F1740)*(xlRTEQTYPE=$G1740),0))</f>
        <v>GEO_HP4</v>
      </c>
    </row>
    <row r="1741" spans="2:25" ht="14.25" customHeight="1" x14ac:dyDescent="0.2">
      <c r="B1741" s="5">
        <v>5</v>
      </c>
      <c r="C1741" s="5">
        <v>2</v>
      </c>
      <c r="D1741" s="5">
        <v>10</v>
      </c>
      <c r="E1741" s="31">
        <v>34</v>
      </c>
      <c r="F1741" s="5">
        <v>4</v>
      </c>
      <c r="G1741" s="31">
        <v>15</v>
      </c>
      <c r="H1741" s="31">
        <v>2020</v>
      </c>
      <c r="I1741" s="5">
        <v>2022</v>
      </c>
      <c r="J1741" s="142">
        <v>1.03</v>
      </c>
      <c r="K1741" s="142">
        <v>1.0512999999999999</v>
      </c>
      <c r="L1741" s="142">
        <v>0.44379999999999997</v>
      </c>
      <c r="M1741" s="142">
        <v>1.0359</v>
      </c>
      <c r="N1741" s="142">
        <v>1.2490000000000001</v>
      </c>
      <c r="O1741" s="142">
        <v>1.0538000000000001</v>
      </c>
      <c r="P1741" s="26">
        <v>3228.2267444939989</v>
      </c>
      <c r="Q1741" s="35">
        <f t="array" ref="Q1741">SUM(IF(($S1741&gt;=4)*($C1741='TaxCred&amp;Subs'!$D$114:$D$121)*($H1741='TaxCred&amp;Subs'!$C$114:$C$121)*($H1741&lt;='TaxCred&amp;Subs'!$C$123),'TaxCred&amp;Subs'!$E$114:$E$121,0))</f>
        <v>0</v>
      </c>
      <c r="R1741" s="143">
        <v>0</v>
      </c>
      <c r="S1741" s="5">
        <v>5</v>
      </c>
      <c r="T1741" s="5" t="s">
        <v>221</v>
      </c>
      <c r="V1741" s="7" t="str">
        <f t="array" ref="V1741">INDEX(xlRTCLNAME,MATCH(1,(xlRTCLENDU=1)*(xlRTCLEQCL=$D1741),0))</f>
        <v>GEO_HP</v>
      </c>
      <c r="W1741" s="7" t="str">
        <f t="array" ref="W1741">INDEX(xlRTCLNAME,MATCH(1,(xlRTCLENDU=2)*(xlRTCLEQCL=$F1741),0))</f>
        <v>GEO_HP</v>
      </c>
      <c r="X1741" s="7" t="str">
        <f t="array" ref="X1741">INDEX(xlRTTYNAME,MATCH(1,(xlRTTYENDU=1)*(xlRTTYEQCL=$D1741)*(xlRTEQTYPE=$E1741),0))</f>
        <v>GEO_HP4</v>
      </c>
      <c r="Y1741" s="7" t="str">
        <f t="array" ref="Y1741">INDEX(xlRTTYNAME,MATCH(1,(xlRTTYENDU=2)*(xlRTTYEQCL=$F1741)*(xlRTEQTYPE=$G1741),0))</f>
        <v>GEO_HP4</v>
      </c>
    </row>
    <row r="1742" spans="2:25" ht="14.25" customHeight="1" x14ac:dyDescent="0.2">
      <c r="B1742" s="5">
        <v>5</v>
      </c>
      <c r="C1742" s="5">
        <v>2</v>
      </c>
      <c r="D1742" s="5">
        <v>10</v>
      </c>
      <c r="E1742" s="31">
        <v>34</v>
      </c>
      <c r="F1742" s="5">
        <v>4</v>
      </c>
      <c r="G1742" s="31">
        <v>15</v>
      </c>
      <c r="H1742" s="5">
        <v>2023</v>
      </c>
      <c r="I1742" s="5">
        <v>2032</v>
      </c>
      <c r="J1742" s="142">
        <v>1.03</v>
      </c>
      <c r="K1742" s="142">
        <v>1.0512999999999999</v>
      </c>
      <c r="L1742" s="142">
        <v>0.44379999999999997</v>
      </c>
      <c r="M1742" s="142">
        <v>1.0359</v>
      </c>
      <c r="N1742" s="142">
        <v>1.2490000000000001</v>
      </c>
      <c r="O1742" s="142">
        <v>1.0538000000000001</v>
      </c>
      <c r="P1742" s="26">
        <v>3228.2267444939989</v>
      </c>
      <c r="Q1742" s="35">
        <f t="array" ref="Q1742">SUM(IF(($S1742&gt;=4)*($C1742='TaxCred&amp;Subs'!$D$114:$D$121)*($H1742='TaxCred&amp;Subs'!$C$114:$C$121)*($H1742&lt;='TaxCred&amp;Subs'!$C$123),'TaxCred&amp;Subs'!$E$114:$E$121,0))</f>
        <v>500</v>
      </c>
      <c r="R1742" s="143">
        <v>0</v>
      </c>
      <c r="S1742" s="5">
        <v>5</v>
      </c>
      <c r="T1742" s="5" t="s">
        <v>221</v>
      </c>
      <c r="V1742" s="7" t="str">
        <f t="array" ref="V1742">INDEX(xlRTCLNAME,MATCH(1,(xlRTCLENDU=1)*(xlRTCLEQCL=$D1742),0))</f>
        <v>GEO_HP</v>
      </c>
      <c r="W1742" s="7" t="str">
        <f t="array" ref="W1742">INDEX(xlRTCLNAME,MATCH(1,(xlRTCLENDU=2)*(xlRTCLEQCL=$F1742),0))</f>
        <v>GEO_HP</v>
      </c>
      <c r="X1742" s="7" t="str">
        <f t="array" ref="X1742">INDEX(xlRTTYNAME,MATCH(1,(xlRTTYENDU=1)*(xlRTTYEQCL=$D1742)*(xlRTEQTYPE=$E1742),0))</f>
        <v>GEO_HP4</v>
      </c>
      <c r="Y1742" s="7" t="str">
        <f t="array" ref="Y1742">INDEX(xlRTTYNAME,MATCH(1,(xlRTTYENDU=2)*(xlRTTYEQCL=$F1742)*(xlRTEQTYPE=$G1742),0))</f>
        <v>GEO_HP4</v>
      </c>
    </row>
    <row r="1743" spans="2:25" ht="14.25" customHeight="1" x14ac:dyDescent="0.2">
      <c r="B1743" s="5">
        <v>5</v>
      </c>
      <c r="C1743" s="5">
        <v>2</v>
      </c>
      <c r="D1743" s="5">
        <v>10</v>
      </c>
      <c r="E1743" s="31">
        <v>34</v>
      </c>
      <c r="F1743" s="5">
        <v>4</v>
      </c>
      <c r="G1743" s="31">
        <v>15</v>
      </c>
      <c r="H1743" s="5">
        <v>2033</v>
      </c>
      <c r="I1743" s="5">
        <v>2050</v>
      </c>
      <c r="J1743" s="142">
        <v>1.03</v>
      </c>
      <c r="K1743" s="142">
        <v>1.0512999999999999</v>
      </c>
      <c r="L1743" s="142">
        <v>0.44379999999999997</v>
      </c>
      <c r="M1743" s="142">
        <v>1.0359</v>
      </c>
      <c r="N1743" s="142">
        <v>1.2490000000000001</v>
      </c>
      <c r="O1743" s="142">
        <v>1.0538000000000001</v>
      </c>
      <c r="P1743" s="26">
        <v>3228.2267444939989</v>
      </c>
      <c r="Q1743" s="35">
        <f t="array" ref="Q1743">SUM(IF(($S1743&gt;=4)*($C1743='TaxCred&amp;Subs'!$D$114:$D$121)*($H1743='TaxCred&amp;Subs'!$C$114:$C$121)*($H1743&lt;='TaxCred&amp;Subs'!$C$123),'TaxCred&amp;Subs'!$E$114:$E$121,0))</f>
        <v>0</v>
      </c>
      <c r="R1743" s="143">
        <v>0</v>
      </c>
      <c r="S1743" s="5">
        <v>5</v>
      </c>
      <c r="T1743" s="5" t="s">
        <v>221</v>
      </c>
      <c r="V1743" s="7" t="str">
        <f t="array" ref="V1743">INDEX(xlRTCLNAME,MATCH(1,(xlRTCLENDU=1)*(xlRTCLEQCL=$D1743),0))</f>
        <v>GEO_HP</v>
      </c>
      <c r="W1743" s="7" t="str">
        <f t="array" ref="W1743">INDEX(xlRTCLNAME,MATCH(1,(xlRTCLENDU=2)*(xlRTCLEQCL=$F1743),0))</f>
        <v>GEO_HP</v>
      </c>
      <c r="X1743" s="7" t="str">
        <f t="array" ref="X1743">INDEX(xlRTTYNAME,MATCH(1,(xlRTTYENDU=1)*(xlRTTYEQCL=$D1743)*(xlRTEQTYPE=$E1743),0))</f>
        <v>GEO_HP4</v>
      </c>
      <c r="Y1743" s="7" t="str">
        <f t="array" ref="Y1743">INDEX(xlRTTYNAME,MATCH(1,(xlRTTYENDU=2)*(xlRTTYEQCL=$F1743)*(xlRTEQTYPE=$G1743),0))</f>
        <v>GEO_HP4</v>
      </c>
    </row>
    <row r="1744" spans="2:25" ht="14.25" customHeight="1" x14ac:dyDescent="0.2">
      <c r="B1744" s="5">
        <v>6</v>
      </c>
      <c r="C1744" s="5">
        <v>2</v>
      </c>
      <c r="D1744" s="5">
        <v>10</v>
      </c>
      <c r="E1744" s="31">
        <v>34</v>
      </c>
      <c r="F1744" s="5">
        <v>4</v>
      </c>
      <c r="G1744" s="31">
        <v>15</v>
      </c>
      <c r="H1744" s="31">
        <v>2020</v>
      </c>
      <c r="I1744" s="5">
        <v>2022</v>
      </c>
      <c r="J1744" s="142">
        <v>1.1200000000000001</v>
      </c>
      <c r="K1744" s="142">
        <v>1.03</v>
      </c>
      <c r="L1744" s="142">
        <v>0.44379999999999997</v>
      </c>
      <c r="M1744" s="142">
        <v>1.0411999999999999</v>
      </c>
      <c r="N1744" s="142">
        <v>1.3656999999999999</v>
      </c>
      <c r="O1744" s="142">
        <v>1.0538000000000001</v>
      </c>
      <c r="P1744" s="26">
        <v>3333.1004163267903</v>
      </c>
      <c r="Q1744" s="35">
        <f t="array" ref="Q1744">SUM(IF(($S1744&gt;=4)*($C1744='TaxCred&amp;Subs'!$D$114:$D$121)*($H1744='TaxCred&amp;Subs'!$C$114:$C$121)*($H1744&lt;='TaxCred&amp;Subs'!$C$123),'TaxCred&amp;Subs'!$E$114:$E$121,0))</f>
        <v>0</v>
      </c>
      <c r="R1744" s="143">
        <v>0</v>
      </c>
      <c r="S1744" s="5">
        <v>5</v>
      </c>
      <c r="T1744" s="5" t="s">
        <v>221</v>
      </c>
      <c r="V1744" s="7" t="str">
        <f t="array" ref="V1744">INDEX(xlRTCLNAME,MATCH(1,(xlRTCLENDU=1)*(xlRTCLEQCL=$D1744),0))</f>
        <v>GEO_HP</v>
      </c>
      <c r="W1744" s="7" t="str">
        <f t="array" ref="W1744">INDEX(xlRTCLNAME,MATCH(1,(xlRTCLENDU=2)*(xlRTCLEQCL=$F1744),0))</f>
        <v>GEO_HP</v>
      </c>
      <c r="X1744" s="7" t="str">
        <f t="array" ref="X1744">INDEX(xlRTTYNAME,MATCH(1,(xlRTTYENDU=1)*(xlRTTYEQCL=$D1744)*(xlRTEQTYPE=$E1744),0))</f>
        <v>GEO_HP4</v>
      </c>
      <c r="Y1744" s="7" t="str">
        <f t="array" ref="Y1744">INDEX(xlRTTYNAME,MATCH(1,(xlRTTYENDU=2)*(xlRTTYEQCL=$F1744)*(xlRTEQTYPE=$G1744),0))</f>
        <v>GEO_HP4</v>
      </c>
    </row>
    <row r="1745" spans="2:25" ht="14.25" customHeight="1" x14ac:dyDescent="0.2">
      <c r="B1745" s="5">
        <v>6</v>
      </c>
      <c r="C1745" s="5">
        <v>2</v>
      </c>
      <c r="D1745" s="5">
        <v>10</v>
      </c>
      <c r="E1745" s="31">
        <v>34</v>
      </c>
      <c r="F1745" s="5">
        <v>4</v>
      </c>
      <c r="G1745" s="31">
        <v>15</v>
      </c>
      <c r="H1745" s="5">
        <v>2023</v>
      </c>
      <c r="I1745" s="5">
        <v>2032</v>
      </c>
      <c r="J1745" s="142">
        <v>1.1200000000000001</v>
      </c>
      <c r="K1745" s="142">
        <v>1.03</v>
      </c>
      <c r="L1745" s="142">
        <v>0.44379999999999997</v>
      </c>
      <c r="M1745" s="142">
        <v>1.0411999999999999</v>
      </c>
      <c r="N1745" s="142">
        <v>1.3656999999999999</v>
      </c>
      <c r="O1745" s="142">
        <v>1.0538000000000001</v>
      </c>
      <c r="P1745" s="26">
        <v>3333.1004163267903</v>
      </c>
      <c r="Q1745" s="35">
        <f t="array" ref="Q1745">SUM(IF(($S1745&gt;=4)*($C1745='TaxCred&amp;Subs'!$D$114:$D$121)*($H1745='TaxCred&amp;Subs'!$C$114:$C$121)*($H1745&lt;='TaxCred&amp;Subs'!$C$123),'TaxCred&amp;Subs'!$E$114:$E$121,0))</f>
        <v>500</v>
      </c>
      <c r="R1745" s="143">
        <v>0</v>
      </c>
      <c r="S1745" s="5">
        <v>5</v>
      </c>
      <c r="T1745" s="5" t="s">
        <v>221</v>
      </c>
      <c r="V1745" s="7" t="str">
        <f t="array" ref="V1745">INDEX(xlRTCLNAME,MATCH(1,(xlRTCLENDU=1)*(xlRTCLEQCL=$D1745),0))</f>
        <v>GEO_HP</v>
      </c>
      <c r="W1745" s="7" t="str">
        <f t="array" ref="W1745">INDEX(xlRTCLNAME,MATCH(1,(xlRTCLENDU=2)*(xlRTCLEQCL=$F1745),0))</f>
        <v>GEO_HP</v>
      </c>
      <c r="X1745" s="7" t="str">
        <f t="array" ref="X1745">INDEX(xlRTTYNAME,MATCH(1,(xlRTTYENDU=1)*(xlRTTYEQCL=$D1745)*(xlRTEQTYPE=$E1745),0))</f>
        <v>GEO_HP4</v>
      </c>
      <c r="Y1745" s="7" t="str">
        <f t="array" ref="Y1745">INDEX(xlRTTYNAME,MATCH(1,(xlRTTYENDU=2)*(xlRTTYEQCL=$F1745)*(xlRTEQTYPE=$G1745),0))</f>
        <v>GEO_HP4</v>
      </c>
    </row>
    <row r="1746" spans="2:25" ht="14.25" customHeight="1" x14ac:dyDescent="0.2">
      <c r="B1746" s="5">
        <v>6</v>
      </c>
      <c r="C1746" s="5">
        <v>2</v>
      </c>
      <c r="D1746" s="5">
        <v>10</v>
      </c>
      <c r="E1746" s="31">
        <v>34</v>
      </c>
      <c r="F1746" s="5">
        <v>4</v>
      </c>
      <c r="G1746" s="31">
        <v>15</v>
      </c>
      <c r="H1746" s="5">
        <v>2033</v>
      </c>
      <c r="I1746" s="5">
        <v>2050</v>
      </c>
      <c r="J1746" s="142">
        <v>1.1200000000000001</v>
      </c>
      <c r="K1746" s="142">
        <v>1.03</v>
      </c>
      <c r="L1746" s="142">
        <v>0.44379999999999997</v>
      </c>
      <c r="M1746" s="142">
        <v>1.0411999999999999</v>
      </c>
      <c r="N1746" s="142">
        <v>1.3656999999999999</v>
      </c>
      <c r="O1746" s="142">
        <v>1.0538000000000001</v>
      </c>
      <c r="P1746" s="26">
        <v>3333.1004163267903</v>
      </c>
      <c r="Q1746" s="35">
        <f t="array" ref="Q1746">SUM(IF(($S1746&gt;=4)*($C1746='TaxCred&amp;Subs'!$D$114:$D$121)*($H1746='TaxCred&amp;Subs'!$C$114:$C$121)*($H1746&lt;='TaxCred&amp;Subs'!$C$123),'TaxCred&amp;Subs'!$E$114:$E$121,0))</f>
        <v>0</v>
      </c>
      <c r="R1746" s="143">
        <v>0</v>
      </c>
      <c r="S1746" s="5">
        <v>5</v>
      </c>
      <c r="T1746" s="5" t="s">
        <v>221</v>
      </c>
      <c r="V1746" s="7" t="str">
        <f t="array" ref="V1746">INDEX(xlRTCLNAME,MATCH(1,(xlRTCLENDU=1)*(xlRTCLEQCL=$D1746),0))</f>
        <v>GEO_HP</v>
      </c>
      <c r="W1746" s="7" t="str">
        <f t="array" ref="W1746">INDEX(xlRTCLNAME,MATCH(1,(xlRTCLENDU=2)*(xlRTCLEQCL=$F1746),0))</f>
        <v>GEO_HP</v>
      </c>
      <c r="X1746" s="7" t="str">
        <f t="array" ref="X1746">INDEX(xlRTTYNAME,MATCH(1,(xlRTTYENDU=1)*(xlRTTYEQCL=$D1746)*(xlRTEQTYPE=$E1746),0))</f>
        <v>GEO_HP4</v>
      </c>
      <c r="Y1746" s="7" t="str">
        <f t="array" ref="Y1746">INDEX(xlRTTYNAME,MATCH(1,(xlRTTYENDU=2)*(xlRTTYEQCL=$F1746)*(xlRTEQTYPE=$G1746),0))</f>
        <v>GEO_HP4</v>
      </c>
    </row>
    <row r="1747" spans="2:25" ht="14.25" customHeight="1" x14ac:dyDescent="0.2">
      <c r="B1747" s="5">
        <v>7</v>
      </c>
      <c r="C1747" s="5">
        <v>2</v>
      </c>
      <c r="D1747" s="5">
        <v>10</v>
      </c>
      <c r="E1747" s="31">
        <v>34</v>
      </c>
      <c r="F1747" s="5">
        <v>4</v>
      </c>
      <c r="G1747" s="31">
        <v>15</v>
      </c>
      <c r="H1747" s="31">
        <v>2020</v>
      </c>
      <c r="I1747" s="5">
        <v>2022</v>
      </c>
      <c r="J1747" s="142">
        <v>1.03</v>
      </c>
      <c r="K1747" s="142">
        <v>1.0611999999999999</v>
      </c>
      <c r="L1747" s="142">
        <v>0.44379999999999997</v>
      </c>
      <c r="M1747" s="142">
        <v>1.0546</v>
      </c>
      <c r="N1747" s="142">
        <v>1.4438</v>
      </c>
      <c r="O1747" s="142">
        <v>1.0538000000000001</v>
      </c>
      <c r="P1747" s="26">
        <v>3120.6640041526744</v>
      </c>
      <c r="Q1747" s="35">
        <f t="array" ref="Q1747">SUM(IF(($S1747&gt;=4)*($C1747='TaxCred&amp;Subs'!$D$114:$D$121)*($H1747='TaxCred&amp;Subs'!$C$114:$C$121)*($H1747&lt;='TaxCred&amp;Subs'!$C$123),'TaxCred&amp;Subs'!$E$114:$E$121,0))</f>
        <v>0</v>
      </c>
      <c r="R1747" s="143">
        <v>0</v>
      </c>
      <c r="S1747" s="5">
        <v>5</v>
      </c>
      <c r="T1747" s="5" t="s">
        <v>221</v>
      </c>
      <c r="V1747" s="7" t="str">
        <f t="array" ref="V1747">INDEX(xlRTCLNAME,MATCH(1,(xlRTCLENDU=1)*(xlRTCLEQCL=$D1747),0))</f>
        <v>GEO_HP</v>
      </c>
      <c r="W1747" s="7" t="str">
        <f t="array" ref="W1747">INDEX(xlRTCLNAME,MATCH(1,(xlRTCLENDU=2)*(xlRTCLEQCL=$F1747),0))</f>
        <v>GEO_HP</v>
      </c>
      <c r="X1747" s="7" t="str">
        <f t="array" ref="X1747">INDEX(xlRTTYNAME,MATCH(1,(xlRTTYENDU=1)*(xlRTTYEQCL=$D1747)*(xlRTEQTYPE=$E1747),0))</f>
        <v>GEO_HP4</v>
      </c>
      <c r="Y1747" s="7" t="str">
        <f t="array" ref="Y1747">INDEX(xlRTTYNAME,MATCH(1,(xlRTTYENDU=2)*(xlRTTYEQCL=$F1747)*(xlRTEQTYPE=$G1747),0))</f>
        <v>GEO_HP4</v>
      </c>
    </row>
    <row r="1748" spans="2:25" ht="14.25" customHeight="1" x14ac:dyDescent="0.2">
      <c r="B1748" s="5">
        <v>7</v>
      </c>
      <c r="C1748" s="5">
        <v>2</v>
      </c>
      <c r="D1748" s="5">
        <v>10</v>
      </c>
      <c r="E1748" s="31">
        <v>34</v>
      </c>
      <c r="F1748" s="5">
        <v>4</v>
      </c>
      <c r="G1748" s="31">
        <v>15</v>
      </c>
      <c r="H1748" s="5">
        <v>2023</v>
      </c>
      <c r="I1748" s="5">
        <v>2032</v>
      </c>
      <c r="J1748" s="142">
        <v>1.03</v>
      </c>
      <c r="K1748" s="142">
        <v>1.0611999999999999</v>
      </c>
      <c r="L1748" s="142">
        <v>0.44379999999999997</v>
      </c>
      <c r="M1748" s="142">
        <v>1.0546</v>
      </c>
      <c r="N1748" s="142">
        <v>1.4438</v>
      </c>
      <c r="O1748" s="142">
        <v>1.0538000000000001</v>
      </c>
      <c r="P1748" s="26">
        <v>3120.6640041526744</v>
      </c>
      <c r="Q1748" s="35">
        <f t="array" ref="Q1748">SUM(IF(($S1748&gt;=4)*($C1748='TaxCred&amp;Subs'!$D$114:$D$121)*($H1748='TaxCred&amp;Subs'!$C$114:$C$121)*($H1748&lt;='TaxCred&amp;Subs'!$C$123),'TaxCred&amp;Subs'!$E$114:$E$121,0))</f>
        <v>500</v>
      </c>
      <c r="R1748" s="143">
        <v>0</v>
      </c>
      <c r="S1748" s="5">
        <v>5</v>
      </c>
      <c r="T1748" s="5" t="s">
        <v>221</v>
      </c>
      <c r="V1748" s="7" t="str">
        <f t="array" ref="V1748">INDEX(xlRTCLNAME,MATCH(1,(xlRTCLENDU=1)*(xlRTCLEQCL=$D1748),0))</f>
        <v>GEO_HP</v>
      </c>
      <c r="W1748" s="7" t="str">
        <f t="array" ref="W1748">INDEX(xlRTCLNAME,MATCH(1,(xlRTCLENDU=2)*(xlRTCLEQCL=$F1748),0))</f>
        <v>GEO_HP</v>
      </c>
      <c r="X1748" s="7" t="str">
        <f t="array" ref="X1748">INDEX(xlRTTYNAME,MATCH(1,(xlRTTYENDU=1)*(xlRTTYEQCL=$D1748)*(xlRTEQTYPE=$E1748),0))</f>
        <v>GEO_HP4</v>
      </c>
      <c r="Y1748" s="7" t="str">
        <f t="array" ref="Y1748">INDEX(xlRTTYNAME,MATCH(1,(xlRTTYENDU=2)*(xlRTTYEQCL=$F1748)*(xlRTEQTYPE=$G1748),0))</f>
        <v>GEO_HP4</v>
      </c>
    </row>
    <row r="1749" spans="2:25" ht="14.25" customHeight="1" x14ac:dyDescent="0.2">
      <c r="B1749" s="5">
        <v>7</v>
      </c>
      <c r="C1749" s="5">
        <v>2</v>
      </c>
      <c r="D1749" s="5">
        <v>10</v>
      </c>
      <c r="E1749" s="31">
        <v>34</v>
      </c>
      <c r="F1749" s="5">
        <v>4</v>
      </c>
      <c r="G1749" s="31">
        <v>15</v>
      </c>
      <c r="H1749" s="5">
        <v>2033</v>
      </c>
      <c r="I1749" s="5">
        <v>2050</v>
      </c>
      <c r="J1749" s="142">
        <v>1.03</v>
      </c>
      <c r="K1749" s="142">
        <v>1.0611999999999999</v>
      </c>
      <c r="L1749" s="142">
        <v>0.44379999999999997</v>
      </c>
      <c r="M1749" s="142">
        <v>1.0546</v>
      </c>
      <c r="N1749" s="142">
        <v>1.4438</v>
      </c>
      <c r="O1749" s="142">
        <v>1.0538000000000001</v>
      </c>
      <c r="P1749" s="26">
        <v>3120.6640041526744</v>
      </c>
      <c r="Q1749" s="35">
        <f t="array" ref="Q1749">SUM(IF(($S1749&gt;=4)*($C1749='TaxCred&amp;Subs'!$D$114:$D$121)*($H1749='TaxCred&amp;Subs'!$C$114:$C$121)*($H1749&lt;='TaxCred&amp;Subs'!$C$123),'TaxCred&amp;Subs'!$E$114:$E$121,0))</f>
        <v>0</v>
      </c>
      <c r="R1749" s="143">
        <v>0</v>
      </c>
      <c r="S1749" s="5">
        <v>5</v>
      </c>
      <c r="T1749" s="5" t="s">
        <v>221</v>
      </c>
      <c r="V1749" s="7" t="str">
        <f t="array" ref="V1749">INDEX(xlRTCLNAME,MATCH(1,(xlRTCLENDU=1)*(xlRTCLEQCL=$D1749),0))</f>
        <v>GEO_HP</v>
      </c>
      <c r="W1749" s="7" t="str">
        <f t="array" ref="W1749">INDEX(xlRTCLNAME,MATCH(1,(xlRTCLENDU=2)*(xlRTCLEQCL=$F1749),0))</f>
        <v>GEO_HP</v>
      </c>
      <c r="X1749" s="7" t="str">
        <f t="array" ref="X1749">INDEX(xlRTTYNAME,MATCH(1,(xlRTTYENDU=1)*(xlRTTYEQCL=$D1749)*(xlRTEQTYPE=$E1749),0))</f>
        <v>GEO_HP4</v>
      </c>
      <c r="Y1749" s="7" t="str">
        <f t="array" ref="Y1749">INDEX(xlRTTYNAME,MATCH(1,(xlRTTYENDU=2)*(xlRTTYEQCL=$F1749)*(xlRTEQTYPE=$G1749),0))</f>
        <v>GEO_HP4</v>
      </c>
    </row>
    <row r="1750" spans="2:25" ht="14.25" customHeight="1" x14ac:dyDescent="0.2">
      <c r="B1750" s="5">
        <v>8</v>
      </c>
      <c r="C1750" s="5">
        <v>2</v>
      </c>
      <c r="D1750" s="5">
        <v>10</v>
      </c>
      <c r="E1750" s="31">
        <v>34</v>
      </c>
      <c r="F1750" s="5">
        <v>4</v>
      </c>
      <c r="G1750" s="31">
        <v>15</v>
      </c>
      <c r="H1750" s="31">
        <v>2020</v>
      </c>
      <c r="I1750" s="5">
        <v>2022</v>
      </c>
      <c r="J1750" s="142">
        <v>1.1111</v>
      </c>
      <c r="K1750" s="142">
        <v>1.0417000000000001</v>
      </c>
      <c r="L1750" s="142">
        <v>0.5272</v>
      </c>
      <c r="M1750" s="142">
        <v>1.2111000000000001</v>
      </c>
      <c r="N1750" s="142">
        <v>1.2907</v>
      </c>
      <c r="O1750" s="142">
        <v>1.0538000000000001</v>
      </c>
      <c r="P1750" s="26">
        <v>3884.3594605760777</v>
      </c>
      <c r="Q1750" s="35">
        <f t="array" ref="Q1750">SUM(IF(($S1750&gt;=4)*($C1750='TaxCred&amp;Subs'!$D$114:$D$121)*($H1750='TaxCred&amp;Subs'!$C$114:$C$121)*($H1750&lt;='TaxCred&amp;Subs'!$C$123),'TaxCred&amp;Subs'!$E$114:$E$121,0))</f>
        <v>0</v>
      </c>
      <c r="R1750" s="143">
        <v>0</v>
      </c>
      <c r="S1750" s="5">
        <v>5</v>
      </c>
      <c r="T1750" s="5" t="s">
        <v>221</v>
      </c>
      <c r="V1750" s="7" t="str">
        <f t="array" ref="V1750">INDEX(xlRTCLNAME,MATCH(1,(xlRTCLENDU=1)*(xlRTCLEQCL=$D1750),0))</f>
        <v>GEO_HP</v>
      </c>
      <c r="W1750" s="7" t="str">
        <f t="array" ref="W1750">INDEX(xlRTCLNAME,MATCH(1,(xlRTCLENDU=2)*(xlRTCLEQCL=$F1750),0))</f>
        <v>GEO_HP</v>
      </c>
      <c r="X1750" s="7" t="str">
        <f t="array" ref="X1750">INDEX(xlRTTYNAME,MATCH(1,(xlRTTYENDU=1)*(xlRTTYEQCL=$D1750)*(xlRTEQTYPE=$E1750),0))</f>
        <v>GEO_HP4</v>
      </c>
      <c r="Y1750" s="7" t="str">
        <f t="array" ref="Y1750">INDEX(xlRTTYNAME,MATCH(1,(xlRTTYENDU=2)*(xlRTTYEQCL=$F1750)*(xlRTEQTYPE=$G1750),0))</f>
        <v>GEO_HP4</v>
      </c>
    </row>
    <row r="1751" spans="2:25" ht="14.25" customHeight="1" x14ac:dyDescent="0.2">
      <c r="B1751" s="5">
        <v>8</v>
      </c>
      <c r="C1751" s="5">
        <v>2</v>
      </c>
      <c r="D1751" s="5">
        <v>10</v>
      </c>
      <c r="E1751" s="31">
        <v>34</v>
      </c>
      <c r="F1751" s="5">
        <v>4</v>
      </c>
      <c r="G1751" s="31">
        <v>15</v>
      </c>
      <c r="H1751" s="5">
        <v>2023</v>
      </c>
      <c r="I1751" s="5">
        <v>2032</v>
      </c>
      <c r="J1751" s="142">
        <v>1.1111</v>
      </c>
      <c r="K1751" s="142">
        <v>1.0417000000000001</v>
      </c>
      <c r="L1751" s="142">
        <v>0.5272</v>
      </c>
      <c r="M1751" s="142">
        <v>1.2111000000000001</v>
      </c>
      <c r="N1751" s="142">
        <v>1.2907</v>
      </c>
      <c r="O1751" s="142">
        <v>1.0538000000000001</v>
      </c>
      <c r="P1751" s="26">
        <v>3884.3594605760777</v>
      </c>
      <c r="Q1751" s="35">
        <f t="array" ref="Q1751">SUM(IF(($S1751&gt;=4)*($C1751='TaxCred&amp;Subs'!$D$114:$D$121)*($H1751='TaxCred&amp;Subs'!$C$114:$C$121)*($H1751&lt;='TaxCred&amp;Subs'!$C$123),'TaxCred&amp;Subs'!$E$114:$E$121,0))</f>
        <v>500</v>
      </c>
      <c r="R1751" s="143">
        <v>0</v>
      </c>
      <c r="S1751" s="5">
        <v>5</v>
      </c>
      <c r="T1751" s="5" t="s">
        <v>221</v>
      </c>
      <c r="V1751" s="7" t="str">
        <f t="array" ref="V1751">INDEX(xlRTCLNAME,MATCH(1,(xlRTCLENDU=1)*(xlRTCLEQCL=$D1751),0))</f>
        <v>GEO_HP</v>
      </c>
      <c r="W1751" s="7" t="str">
        <f t="array" ref="W1751">INDEX(xlRTCLNAME,MATCH(1,(xlRTCLENDU=2)*(xlRTCLEQCL=$F1751),0))</f>
        <v>GEO_HP</v>
      </c>
      <c r="X1751" s="7" t="str">
        <f t="array" ref="X1751">INDEX(xlRTTYNAME,MATCH(1,(xlRTTYENDU=1)*(xlRTTYEQCL=$D1751)*(xlRTEQTYPE=$E1751),0))</f>
        <v>GEO_HP4</v>
      </c>
      <c r="Y1751" s="7" t="str">
        <f t="array" ref="Y1751">INDEX(xlRTTYNAME,MATCH(1,(xlRTTYENDU=2)*(xlRTTYEQCL=$F1751)*(xlRTEQTYPE=$G1751),0))</f>
        <v>GEO_HP4</v>
      </c>
    </row>
    <row r="1752" spans="2:25" ht="14.25" customHeight="1" x14ac:dyDescent="0.2">
      <c r="B1752" s="5">
        <v>8</v>
      </c>
      <c r="C1752" s="5">
        <v>2</v>
      </c>
      <c r="D1752" s="5">
        <v>10</v>
      </c>
      <c r="E1752" s="31">
        <v>34</v>
      </c>
      <c r="F1752" s="5">
        <v>4</v>
      </c>
      <c r="G1752" s="31">
        <v>15</v>
      </c>
      <c r="H1752" s="5">
        <v>2033</v>
      </c>
      <c r="I1752" s="5">
        <v>2050</v>
      </c>
      <c r="J1752" s="142">
        <v>1.1111</v>
      </c>
      <c r="K1752" s="142">
        <v>1.0417000000000001</v>
      </c>
      <c r="L1752" s="142">
        <v>0.5272</v>
      </c>
      <c r="M1752" s="142">
        <v>1.2111000000000001</v>
      </c>
      <c r="N1752" s="142">
        <v>1.2907</v>
      </c>
      <c r="O1752" s="142">
        <v>1.0538000000000001</v>
      </c>
      <c r="P1752" s="26">
        <v>3884.3594605760777</v>
      </c>
      <c r="Q1752" s="35">
        <f t="array" ref="Q1752">SUM(IF(($S1752&gt;=4)*($C1752='TaxCred&amp;Subs'!$D$114:$D$121)*($H1752='TaxCred&amp;Subs'!$C$114:$C$121)*($H1752&lt;='TaxCred&amp;Subs'!$C$123),'TaxCred&amp;Subs'!$E$114:$E$121,0))</f>
        <v>0</v>
      </c>
      <c r="R1752" s="143">
        <v>0</v>
      </c>
      <c r="S1752" s="5">
        <v>5</v>
      </c>
      <c r="T1752" s="5" t="s">
        <v>221</v>
      </c>
      <c r="V1752" s="7" t="str">
        <f t="array" ref="V1752">INDEX(xlRTCLNAME,MATCH(1,(xlRTCLENDU=1)*(xlRTCLEQCL=$D1752),0))</f>
        <v>GEO_HP</v>
      </c>
      <c r="W1752" s="7" t="str">
        <f t="array" ref="W1752">INDEX(xlRTCLNAME,MATCH(1,(xlRTCLENDU=2)*(xlRTCLEQCL=$F1752),0))</f>
        <v>GEO_HP</v>
      </c>
      <c r="X1752" s="7" t="str">
        <f t="array" ref="X1752">INDEX(xlRTTYNAME,MATCH(1,(xlRTTYENDU=1)*(xlRTTYEQCL=$D1752)*(xlRTEQTYPE=$E1752),0))</f>
        <v>GEO_HP4</v>
      </c>
      <c r="Y1752" s="7" t="str">
        <f t="array" ref="Y1752">INDEX(xlRTTYNAME,MATCH(1,(xlRTTYENDU=2)*(xlRTTYEQCL=$F1752)*(xlRTEQTYPE=$G1752),0))</f>
        <v>GEO_HP4</v>
      </c>
    </row>
    <row r="1753" spans="2:25" ht="14.25" customHeight="1" x14ac:dyDescent="0.2">
      <c r="B1753" s="5">
        <v>9</v>
      </c>
      <c r="C1753" s="5">
        <v>2</v>
      </c>
      <c r="D1753" s="5">
        <v>10</v>
      </c>
      <c r="E1753" s="31">
        <v>34</v>
      </c>
      <c r="F1753" s="5">
        <v>4</v>
      </c>
      <c r="G1753" s="31">
        <v>15</v>
      </c>
      <c r="H1753" s="31">
        <v>2020</v>
      </c>
      <c r="I1753" s="5">
        <v>2022</v>
      </c>
      <c r="J1753" s="142">
        <v>1.03</v>
      </c>
      <c r="K1753" s="142">
        <v>1.0741000000000001</v>
      </c>
      <c r="L1753" s="142">
        <v>0.44379999999999997</v>
      </c>
      <c r="M1753" s="142">
        <v>1.1228</v>
      </c>
      <c r="N1753" s="142">
        <v>1.4438</v>
      </c>
      <c r="O1753" s="142">
        <v>1.0538000000000001</v>
      </c>
      <c r="P1753" s="26">
        <v>5839.3122662796495</v>
      </c>
      <c r="Q1753" s="35">
        <f t="array" ref="Q1753">SUM(IF(($S1753&gt;=4)*($C1753='TaxCred&amp;Subs'!$D$114:$D$121)*($H1753='TaxCred&amp;Subs'!$C$114:$C$121)*($H1753&lt;='TaxCred&amp;Subs'!$C$123),'TaxCred&amp;Subs'!$E$114:$E$121,0))</f>
        <v>0</v>
      </c>
      <c r="R1753" s="143">
        <v>0</v>
      </c>
      <c r="S1753" s="5">
        <v>5</v>
      </c>
      <c r="T1753" s="5" t="s">
        <v>221</v>
      </c>
      <c r="V1753" s="7" t="str">
        <f t="array" ref="V1753">INDEX(xlRTCLNAME,MATCH(1,(xlRTCLENDU=1)*(xlRTCLEQCL=$D1753),0))</f>
        <v>GEO_HP</v>
      </c>
      <c r="W1753" s="7" t="str">
        <f t="array" ref="W1753">INDEX(xlRTCLNAME,MATCH(1,(xlRTCLENDU=2)*(xlRTCLEQCL=$F1753),0))</f>
        <v>GEO_HP</v>
      </c>
      <c r="X1753" s="7" t="str">
        <f t="array" ref="X1753">INDEX(xlRTTYNAME,MATCH(1,(xlRTTYENDU=1)*(xlRTTYEQCL=$D1753)*(xlRTEQTYPE=$E1753),0))</f>
        <v>GEO_HP4</v>
      </c>
      <c r="Y1753" s="7" t="str">
        <f t="array" ref="Y1753">INDEX(xlRTTYNAME,MATCH(1,(xlRTTYENDU=2)*(xlRTTYEQCL=$F1753)*(xlRTEQTYPE=$G1753),0))</f>
        <v>GEO_HP4</v>
      </c>
    </row>
    <row r="1754" spans="2:25" ht="14.25" customHeight="1" x14ac:dyDescent="0.2">
      <c r="B1754" s="5">
        <v>9</v>
      </c>
      <c r="C1754" s="5">
        <v>2</v>
      </c>
      <c r="D1754" s="5">
        <v>10</v>
      </c>
      <c r="E1754" s="31">
        <v>34</v>
      </c>
      <c r="F1754" s="5">
        <v>4</v>
      </c>
      <c r="G1754" s="31">
        <v>15</v>
      </c>
      <c r="H1754" s="5">
        <v>2023</v>
      </c>
      <c r="I1754" s="5">
        <v>2032</v>
      </c>
      <c r="J1754" s="142">
        <v>1.03</v>
      </c>
      <c r="K1754" s="142">
        <v>1.0741000000000001</v>
      </c>
      <c r="L1754" s="142">
        <v>0.44379999999999997</v>
      </c>
      <c r="M1754" s="142">
        <v>1.1228</v>
      </c>
      <c r="N1754" s="142">
        <v>1.4438</v>
      </c>
      <c r="O1754" s="142">
        <v>1.0538000000000001</v>
      </c>
      <c r="P1754" s="26">
        <v>5839.3122662796495</v>
      </c>
      <c r="Q1754" s="35">
        <f t="array" ref="Q1754">SUM(IF(($S1754&gt;=4)*($C1754='TaxCred&amp;Subs'!$D$114:$D$121)*($H1754='TaxCred&amp;Subs'!$C$114:$C$121)*($H1754&lt;='TaxCred&amp;Subs'!$C$123),'TaxCred&amp;Subs'!$E$114:$E$121,0))</f>
        <v>500</v>
      </c>
      <c r="R1754" s="143">
        <v>0</v>
      </c>
      <c r="S1754" s="5">
        <v>5</v>
      </c>
      <c r="T1754" s="5" t="s">
        <v>221</v>
      </c>
      <c r="V1754" s="7" t="str">
        <f t="array" ref="V1754">INDEX(xlRTCLNAME,MATCH(1,(xlRTCLENDU=1)*(xlRTCLEQCL=$D1754),0))</f>
        <v>GEO_HP</v>
      </c>
      <c r="W1754" s="7" t="str">
        <f t="array" ref="W1754">INDEX(xlRTCLNAME,MATCH(1,(xlRTCLENDU=2)*(xlRTCLEQCL=$F1754),0))</f>
        <v>GEO_HP</v>
      </c>
      <c r="X1754" s="7" t="str">
        <f t="array" ref="X1754">INDEX(xlRTTYNAME,MATCH(1,(xlRTTYENDU=1)*(xlRTTYEQCL=$D1754)*(xlRTEQTYPE=$E1754),0))</f>
        <v>GEO_HP4</v>
      </c>
      <c r="Y1754" s="7" t="str">
        <f t="array" ref="Y1754">INDEX(xlRTTYNAME,MATCH(1,(xlRTTYENDU=2)*(xlRTTYEQCL=$F1754)*(xlRTEQTYPE=$G1754),0))</f>
        <v>GEO_HP4</v>
      </c>
    </row>
    <row r="1755" spans="2:25" ht="14.25" customHeight="1" x14ac:dyDescent="0.2">
      <c r="B1755" s="5">
        <v>9</v>
      </c>
      <c r="C1755" s="5">
        <v>2</v>
      </c>
      <c r="D1755" s="5">
        <v>10</v>
      </c>
      <c r="E1755" s="31">
        <v>34</v>
      </c>
      <c r="F1755" s="5">
        <v>4</v>
      </c>
      <c r="G1755" s="31">
        <v>15</v>
      </c>
      <c r="H1755" s="5">
        <v>2033</v>
      </c>
      <c r="I1755" s="5">
        <v>2050</v>
      </c>
      <c r="J1755" s="142">
        <v>1.03</v>
      </c>
      <c r="K1755" s="142">
        <v>1.0741000000000001</v>
      </c>
      <c r="L1755" s="142">
        <v>0.44379999999999997</v>
      </c>
      <c r="M1755" s="142">
        <v>1.1228</v>
      </c>
      <c r="N1755" s="142">
        <v>1.4438</v>
      </c>
      <c r="O1755" s="142">
        <v>1.0538000000000001</v>
      </c>
      <c r="P1755" s="26">
        <v>5839.3122662796495</v>
      </c>
      <c r="Q1755" s="35">
        <f t="array" ref="Q1755">SUM(IF(($S1755&gt;=4)*($C1755='TaxCred&amp;Subs'!$D$114:$D$121)*($H1755='TaxCred&amp;Subs'!$C$114:$C$121)*($H1755&lt;='TaxCred&amp;Subs'!$C$123),'TaxCred&amp;Subs'!$E$114:$E$121,0))</f>
        <v>0</v>
      </c>
      <c r="R1755" s="143">
        <v>0</v>
      </c>
      <c r="S1755" s="5">
        <v>5</v>
      </c>
      <c r="T1755" s="5" t="s">
        <v>221</v>
      </c>
      <c r="V1755" s="7" t="str">
        <f t="array" ref="V1755">INDEX(xlRTCLNAME,MATCH(1,(xlRTCLENDU=1)*(xlRTCLEQCL=$D1755),0))</f>
        <v>GEO_HP</v>
      </c>
      <c r="W1755" s="7" t="str">
        <f t="array" ref="W1755">INDEX(xlRTCLNAME,MATCH(1,(xlRTCLENDU=2)*(xlRTCLEQCL=$F1755),0))</f>
        <v>GEO_HP</v>
      </c>
      <c r="X1755" s="7" t="str">
        <f t="array" ref="X1755">INDEX(xlRTTYNAME,MATCH(1,(xlRTTYENDU=1)*(xlRTTYEQCL=$D1755)*(xlRTEQTYPE=$E1755),0))</f>
        <v>GEO_HP4</v>
      </c>
      <c r="Y1755" s="7" t="str">
        <f t="array" ref="Y1755">INDEX(xlRTTYNAME,MATCH(1,(xlRTTYENDU=2)*(xlRTTYEQCL=$F1755)*(xlRTEQTYPE=$G1755),0))</f>
        <v>GEO_HP4</v>
      </c>
    </row>
    <row r="1756" spans="2:25" ht="14.25" customHeight="1" x14ac:dyDescent="0.2">
      <c r="B1756" s="5">
        <v>1</v>
      </c>
      <c r="C1756" s="5">
        <v>2</v>
      </c>
      <c r="D1756" s="5">
        <v>11</v>
      </c>
      <c r="E1756" s="31">
        <v>35</v>
      </c>
      <c r="F1756" s="5">
        <v>5</v>
      </c>
      <c r="G1756" s="31">
        <v>16</v>
      </c>
      <c r="H1756" s="31">
        <v>2020</v>
      </c>
      <c r="I1756" s="5">
        <v>2022</v>
      </c>
      <c r="J1756" s="142">
        <v>1.1042000000000001</v>
      </c>
      <c r="K1756" s="142">
        <v>1.0417000000000001</v>
      </c>
      <c r="L1756" s="142">
        <v>0.58399999999999996</v>
      </c>
      <c r="M1756" s="142">
        <v>1.1228</v>
      </c>
      <c r="N1756" s="142">
        <v>1.1127</v>
      </c>
      <c r="O1756" s="142">
        <v>1.0538000000000001</v>
      </c>
      <c r="P1756" s="26">
        <v>5076.9613441105121</v>
      </c>
      <c r="Q1756" s="35">
        <f t="array" ref="Q1756">SUM(IF(($S1756&gt;=4)*($C1756='TaxCred&amp;Subs'!$D$114:$D$121)*($H1756='TaxCred&amp;Subs'!$C$114:$C$121)*($H1756&lt;='TaxCred&amp;Subs'!$C$123),'TaxCred&amp;Subs'!$E$114:$E$121,0))</f>
        <v>0</v>
      </c>
      <c r="R1756" s="143">
        <v>0</v>
      </c>
      <c r="S1756" s="5">
        <v>5</v>
      </c>
      <c r="T1756" s="5" t="s">
        <v>221</v>
      </c>
      <c r="V1756" s="7" t="str">
        <f t="array" ref="V1756">INDEX(xlRTCLNAME,MATCH(1,(xlRTCLENDU=1)*(xlRTCLEQCL=$D1756),0))</f>
        <v>NG_HP</v>
      </c>
      <c r="W1756" s="7" t="str">
        <f t="array" ref="W1756">INDEX(xlRTCLNAME,MATCH(1,(xlRTCLENDU=2)*(xlRTCLEQCL=$F1756),0))</f>
        <v>NG_HP</v>
      </c>
      <c r="X1756" s="7" t="str">
        <f t="array" ref="X1756">INDEX(xlRTTYNAME,MATCH(1,(xlRTTYENDU=1)*(xlRTTYEQCL=$D1756)*(xlRTEQTYPE=$E1756),0))</f>
        <v>NG_HP2</v>
      </c>
      <c r="Y1756" s="7" t="str">
        <f t="array" ref="Y1756">INDEX(xlRTTYNAME,MATCH(1,(xlRTTYENDU=2)*(xlRTTYEQCL=$F1756)*(xlRTEQTYPE=$G1756),0))</f>
        <v>NG_HP2</v>
      </c>
    </row>
    <row r="1757" spans="2:25" ht="14.25" customHeight="1" x14ac:dyDescent="0.2">
      <c r="B1757" s="5">
        <v>1</v>
      </c>
      <c r="C1757" s="5">
        <v>2</v>
      </c>
      <c r="D1757" s="5">
        <v>11</v>
      </c>
      <c r="E1757" s="31">
        <v>35</v>
      </c>
      <c r="F1757" s="5">
        <v>5</v>
      </c>
      <c r="G1757" s="31">
        <v>16</v>
      </c>
      <c r="H1757" s="5">
        <v>2023</v>
      </c>
      <c r="I1757" s="5">
        <v>2032</v>
      </c>
      <c r="J1757" s="142">
        <v>1.1042000000000001</v>
      </c>
      <c r="K1757" s="142">
        <v>1.0417000000000001</v>
      </c>
      <c r="L1757" s="142">
        <v>0.58399999999999996</v>
      </c>
      <c r="M1757" s="142">
        <v>1.1228</v>
      </c>
      <c r="N1757" s="142">
        <v>1.1127</v>
      </c>
      <c r="O1757" s="142">
        <v>1.0538000000000001</v>
      </c>
      <c r="P1757" s="26">
        <v>5076.9613441105121</v>
      </c>
      <c r="Q1757" s="35">
        <f t="array" ref="Q1757">SUM(IF(($S1757&gt;=4)*($C1757='TaxCred&amp;Subs'!$D$114:$D$121)*($H1757='TaxCred&amp;Subs'!$C$114:$C$121)*($H1757&lt;='TaxCred&amp;Subs'!$C$123),'TaxCred&amp;Subs'!$E$114:$E$121,0))</f>
        <v>500</v>
      </c>
      <c r="R1757" s="143">
        <v>0</v>
      </c>
      <c r="S1757" s="5">
        <v>5</v>
      </c>
      <c r="T1757" s="5" t="s">
        <v>221</v>
      </c>
      <c r="V1757" s="7" t="str">
        <f t="array" ref="V1757">INDEX(xlRTCLNAME,MATCH(1,(xlRTCLENDU=1)*(xlRTCLEQCL=$D1757),0))</f>
        <v>NG_HP</v>
      </c>
      <c r="W1757" s="7" t="str">
        <f t="array" ref="W1757">INDEX(xlRTCLNAME,MATCH(1,(xlRTCLENDU=2)*(xlRTCLEQCL=$F1757),0))</f>
        <v>NG_HP</v>
      </c>
      <c r="X1757" s="7" t="str">
        <f t="array" ref="X1757">INDEX(xlRTTYNAME,MATCH(1,(xlRTTYENDU=1)*(xlRTTYEQCL=$D1757)*(xlRTEQTYPE=$E1757),0))</f>
        <v>NG_HP2</v>
      </c>
      <c r="Y1757" s="7" t="str">
        <f t="array" ref="Y1757">INDEX(xlRTTYNAME,MATCH(1,(xlRTTYENDU=2)*(xlRTTYEQCL=$F1757)*(xlRTEQTYPE=$G1757),0))</f>
        <v>NG_HP2</v>
      </c>
    </row>
    <row r="1758" spans="2:25" ht="14.25" customHeight="1" x14ac:dyDescent="0.2">
      <c r="B1758" s="5">
        <v>1</v>
      </c>
      <c r="C1758" s="5">
        <v>2</v>
      </c>
      <c r="D1758" s="5">
        <v>11</v>
      </c>
      <c r="E1758" s="31">
        <v>35</v>
      </c>
      <c r="F1758" s="5">
        <v>5</v>
      </c>
      <c r="G1758" s="31">
        <v>16</v>
      </c>
      <c r="H1758" s="5">
        <v>2033</v>
      </c>
      <c r="I1758" s="5">
        <v>2050</v>
      </c>
      <c r="J1758" s="142">
        <v>1.1042000000000001</v>
      </c>
      <c r="K1758" s="142">
        <v>1.0417000000000001</v>
      </c>
      <c r="L1758" s="142">
        <v>0.58399999999999996</v>
      </c>
      <c r="M1758" s="142">
        <v>1.1228</v>
      </c>
      <c r="N1758" s="142">
        <v>1.1127</v>
      </c>
      <c r="O1758" s="142">
        <v>1.0538000000000001</v>
      </c>
      <c r="P1758" s="26">
        <v>5076.9613441105121</v>
      </c>
      <c r="Q1758" s="35">
        <f t="array" ref="Q1758">SUM(IF(($S1758&gt;=4)*($C1758='TaxCred&amp;Subs'!$D$114:$D$121)*($H1758='TaxCred&amp;Subs'!$C$114:$C$121)*($H1758&lt;='TaxCred&amp;Subs'!$C$123),'TaxCred&amp;Subs'!$E$114:$E$121,0))</f>
        <v>0</v>
      </c>
      <c r="R1758" s="143">
        <v>0</v>
      </c>
      <c r="S1758" s="5">
        <v>5</v>
      </c>
      <c r="T1758" s="5" t="s">
        <v>221</v>
      </c>
      <c r="V1758" s="7" t="str">
        <f t="array" ref="V1758">INDEX(xlRTCLNAME,MATCH(1,(xlRTCLENDU=1)*(xlRTCLEQCL=$D1758),0))</f>
        <v>NG_HP</v>
      </c>
      <c r="W1758" s="7" t="str">
        <f t="array" ref="W1758">INDEX(xlRTCLNAME,MATCH(1,(xlRTCLENDU=2)*(xlRTCLEQCL=$F1758),0))</f>
        <v>NG_HP</v>
      </c>
      <c r="X1758" s="7" t="str">
        <f t="array" ref="X1758">INDEX(xlRTTYNAME,MATCH(1,(xlRTTYENDU=1)*(xlRTTYEQCL=$D1758)*(xlRTEQTYPE=$E1758),0))</f>
        <v>NG_HP2</v>
      </c>
      <c r="Y1758" s="7" t="str">
        <f t="array" ref="Y1758">INDEX(xlRTTYNAME,MATCH(1,(xlRTTYENDU=2)*(xlRTTYEQCL=$F1758)*(xlRTEQTYPE=$G1758),0))</f>
        <v>NG_HP2</v>
      </c>
    </row>
    <row r="1759" spans="2:25" ht="14.25" customHeight="1" x14ac:dyDescent="0.2">
      <c r="B1759" s="5">
        <v>2</v>
      </c>
      <c r="C1759" s="5">
        <v>2</v>
      </c>
      <c r="D1759" s="5">
        <v>11</v>
      </c>
      <c r="E1759" s="31">
        <v>35</v>
      </c>
      <c r="F1759" s="5">
        <v>5</v>
      </c>
      <c r="G1759" s="31">
        <v>16</v>
      </c>
      <c r="H1759" s="31">
        <v>2020</v>
      </c>
      <c r="I1759" s="5">
        <v>2022</v>
      </c>
      <c r="J1759" s="142">
        <v>1.0847</v>
      </c>
      <c r="K1759" s="142">
        <v>1.0357000000000001</v>
      </c>
      <c r="L1759" s="142">
        <v>0.56759999999999999</v>
      </c>
      <c r="M1759" s="142">
        <v>1.1416999999999999</v>
      </c>
      <c r="N1759" s="142">
        <v>1.1162000000000001</v>
      </c>
      <c r="O1759" s="142">
        <v>1.0538000000000001</v>
      </c>
      <c r="P1759" s="26">
        <v>4802.6763562401347</v>
      </c>
      <c r="Q1759" s="35">
        <f t="array" ref="Q1759">SUM(IF(($S1759&gt;=4)*($C1759='TaxCred&amp;Subs'!$D$114:$D$121)*($H1759='TaxCred&amp;Subs'!$C$114:$C$121)*($H1759&lt;='TaxCred&amp;Subs'!$C$123),'TaxCred&amp;Subs'!$E$114:$E$121,0))</f>
        <v>0</v>
      </c>
      <c r="R1759" s="143">
        <v>0</v>
      </c>
      <c r="S1759" s="5">
        <v>5</v>
      </c>
      <c r="T1759" s="5" t="s">
        <v>221</v>
      </c>
      <c r="V1759" s="7" t="str">
        <f t="array" ref="V1759">INDEX(xlRTCLNAME,MATCH(1,(xlRTCLENDU=1)*(xlRTCLEQCL=$D1759),0))</f>
        <v>NG_HP</v>
      </c>
      <c r="W1759" s="7" t="str">
        <f t="array" ref="W1759">INDEX(xlRTCLNAME,MATCH(1,(xlRTCLENDU=2)*(xlRTCLEQCL=$F1759),0))</f>
        <v>NG_HP</v>
      </c>
      <c r="X1759" s="7" t="str">
        <f t="array" ref="X1759">INDEX(xlRTTYNAME,MATCH(1,(xlRTTYENDU=1)*(xlRTTYEQCL=$D1759)*(xlRTEQTYPE=$E1759),0))</f>
        <v>NG_HP2</v>
      </c>
      <c r="Y1759" s="7" t="str">
        <f t="array" ref="Y1759">INDEX(xlRTTYNAME,MATCH(1,(xlRTTYENDU=2)*(xlRTTYEQCL=$F1759)*(xlRTEQTYPE=$G1759),0))</f>
        <v>NG_HP2</v>
      </c>
    </row>
    <row r="1760" spans="2:25" ht="14.25" customHeight="1" x14ac:dyDescent="0.2">
      <c r="B1760" s="5">
        <v>2</v>
      </c>
      <c r="C1760" s="5">
        <v>2</v>
      </c>
      <c r="D1760" s="5">
        <v>11</v>
      </c>
      <c r="E1760" s="31">
        <v>35</v>
      </c>
      <c r="F1760" s="5">
        <v>5</v>
      </c>
      <c r="G1760" s="31">
        <v>16</v>
      </c>
      <c r="H1760" s="5">
        <v>2023</v>
      </c>
      <c r="I1760" s="5">
        <v>2032</v>
      </c>
      <c r="J1760" s="142">
        <v>1.0847</v>
      </c>
      <c r="K1760" s="142">
        <v>1.0357000000000001</v>
      </c>
      <c r="L1760" s="142">
        <v>0.56759999999999999</v>
      </c>
      <c r="M1760" s="142">
        <v>1.1416999999999999</v>
      </c>
      <c r="N1760" s="142">
        <v>1.1162000000000001</v>
      </c>
      <c r="O1760" s="142">
        <v>1.0538000000000001</v>
      </c>
      <c r="P1760" s="26">
        <v>4802.6763562401347</v>
      </c>
      <c r="Q1760" s="35">
        <f t="array" ref="Q1760">SUM(IF(($S1760&gt;=4)*($C1760='TaxCred&amp;Subs'!$D$114:$D$121)*($H1760='TaxCred&amp;Subs'!$C$114:$C$121)*($H1760&lt;='TaxCred&amp;Subs'!$C$123),'TaxCred&amp;Subs'!$E$114:$E$121,0))</f>
        <v>500</v>
      </c>
      <c r="R1760" s="143">
        <v>0</v>
      </c>
      <c r="S1760" s="5">
        <v>5</v>
      </c>
      <c r="T1760" s="5" t="s">
        <v>221</v>
      </c>
      <c r="V1760" s="7" t="str">
        <f t="array" ref="V1760">INDEX(xlRTCLNAME,MATCH(1,(xlRTCLENDU=1)*(xlRTCLEQCL=$D1760),0))</f>
        <v>NG_HP</v>
      </c>
      <c r="W1760" s="7" t="str">
        <f t="array" ref="W1760">INDEX(xlRTCLNAME,MATCH(1,(xlRTCLENDU=2)*(xlRTCLEQCL=$F1760),0))</f>
        <v>NG_HP</v>
      </c>
      <c r="X1760" s="7" t="str">
        <f t="array" ref="X1760">INDEX(xlRTTYNAME,MATCH(1,(xlRTTYENDU=1)*(xlRTTYEQCL=$D1760)*(xlRTEQTYPE=$E1760),0))</f>
        <v>NG_HP2</v>
      </c>
      <c r="Y1760" s="7" t="str">
        <f t="array" ref="Y1760">INDEX(xlRTTYNAME,MATCH(1,(xlRTTYENDU=2)*(xlRTTYEQCL=$F1760)*(xlRTEQTYPE=$G1760),0))</f>
        <v>NG_HP2</v>
      </c>
    </row>
    <row r="1761" spans="2:25" ht="14.25" customHeight="1" x14ac:dyDescent="0.2">
      <c r="B1761" s="5">
        <v>2</v>
      </c>
      <c r="C1761" s="5">
        <v>2</v>
      </c>
      <c r="D1761" s="5">
        <v>11</v>
      </c>
      <c r="E1761" s="31">
        <v>35</v>
      </c>
      <c r="F1761" s="5">
        <v>5</v>
      </c>
      <c r="G1761" s="31">
        <v>16</v>
      </c>
      <c r="H1761" s="5">
        <v>2033</v>
      </c>
      <c r="I1761" s="5">
        <v>2050</v>
      </c>
      <c r="J1761" s="142">
        <v>1.0847</v>
      </c>
      <c r="K1761" s="142">
        <v>1.0357000000000001</v>
      </c>
      <c r="L1761" s="142">
        <v>0.56759999999999999</v>
      </c>
      <c r="M1761" s="142">
        <v>1.1416999999999999</v>
      </c>
      <c r="N1761" s="142">
        <v>1.1162000000000001</v>
      </c>
      <c r="O1761" s="142">
        <v>1.0538000000000001</v>
      </c>
      <c r="P1761" s="26">
        <v>4802.6763562401347</v>
      </c>
      <c r="Q1761" s="35">
        <f t="array" ref="Q1761">SUM(IF(($S1761&gt;=4)*($C1761='TaxCred&amp;Subs'!$D$114:$D$121)*($H1761='TaxCred&amp;Subs'!$C$114:$C$121)*($H1761&lt;='TaxCred&amp;Subs'!$C$123),'TaxCred&amp;Subs'!$E$114:$E$121,0))</f>
        <v>0</v>
      </c>
      <c r="R1761" s="143">
        <v>0</v>
      </c>
      <c r="S1761" s="5">
        <v>5</v>
      </c>
      <c r="T1761" s="5" t="s">
        <v>221</v>
      </c>
      <c r="V1761" s="7" t="str">
        <f t="array" ref="V1761">INDEX(xlRTCLNAME,MATCH(1,(xlRTCLENDU=1)*(xlRTCLEQCL=$D1761),0))</f>
        <v>NG_HP</v>
      </c>
      <c r="W1761" s="7" t="str">
        <f t="array" ref="W1761">INDEX(xlRTCLNAME,MATCH(1,(xlRTCLENDU=2)*(xlRTCLEQCL=$F1761),0))</f>
        <v>NG_HP</v>
      </c>
      <c r="X1761" s="7" t="str">
        <f t="array" ref="X1761">INDEX(xlRTTYNAME,MATCH(1,(xlRTTYENDU=1)*(xlRTTYEQCL=$D1761)*(xlRTEQTYPE=$E1761),0))</f>
        <v>NG_HP2</v>
      </c>
      <c r="Y1761" s="7" t="str">
        <f t="array" ref="Y1761">INDEX(xlRTTYNAME,MATCH(1,(xlRTTYENDU=2)*(xlRTTYEQCL=$F1761)*(xlRTEQTYPE=$G1761),0))</f>
        <v>NG_HP2</v>
      </c>
    </row>
    <row r="1762" spans="2:25" ht="14.25" customHeight="1" x14ac:dyDescent="0.2">
      <c r="B1762" s="5">
        <v>3</v>
      </c>
      <c r="C1762" s="5">
        <v>2</v>
      </c>
      <c r="D1762" s="5">
        <v>11</v>
      </c>
      <c r="E1762" s="31">
        <v>35</v>
      </c>
      <c r="F1762" s="5">
        <v>5</v>
      </c>
      <c r="G1762" s="31">
        <v>16</v>
      </c>
      <c r="H1762" s="31">
        <v>2020</v>
      </c>
      <c r="I1762" s="5">
        <v>2022</v>
      </c>
      <c r="J1762" s="142">
        <v>1.0984</v>
      </c>
      <c r="K1762" s="142">
        <v>1.0345</v>
      </c>
      <c r="L1762" s="142">
        <v>0.5595</v>
      </c>
      <c r="M1762" s="142">
        <v>1.0310999999999999</v>
      </c>
      <c r="N1762" s="142">
        <v>1.0399</v>
      </c>
      <c r="O1762" s="142">
        <v>1.0538000000000001</v>
      </c>
      <c r="P1762" s="26">
        <v>4310.5768191785755</v>
      </c>
      <c r="Q1762" s="35">
        <f t="array" ref="Q1762">SUM(IF(($S1762&gt;=4)*($C1762='TaxCred&amp;Subs'!$D$114:$D$121)*($H1762='TaxCred&amp;Subs'!$C$114:$C$121)*($H1762&lt;='TaxCred&amp;Subs'!$C$123),'TaxCred&amp;Subs'!$E$114:$E$121,0))</f>
        <v>0</v>
      </c>
      <c r="R1762" s="143">
        <v>0</v>
      </c>
      <c r="S1762" s="5">
        <v>5</v>
      </c>
      <c r="T1762" s="5" t="s">
        <v>221</v>
      </c>
      <c r="V1762" s="7" t="str">
        <f t="array" ref="V1762">INDEX(xlRTCLNAME,MATCH(1,(xlRTCLENDU=1)*(xlRTCLEQCL=$D1762),0))</f>
        <v>NG_HP</v>
      </c>
      <c r="W1762" s="7" t="str">
        <f t="array" ref="W1762">INDEX(xlRTCLNAME,MATCH(1,(xlRTCLENDU=2)*(xlRTCLEQCL=$F1762),0))</f>
        <v>NG_HP</v>
      </c>
      <c r="X1762" s="7" t="str">
        <f t="array" ref="X1762">INDEX(xlRTTYNAME,MATCH(1,(xlRTTYENDU=1)*(xlRTTYEQCL=$D1762)*(xlRTEQTYPE=$E1762),0))</f>
        <v>NG_HP2</v>
      </c>
      <c r="Y1762" s="7" t="str">
        <f t="array" ref="Y1762">INDEX(xlRTTYNAME,MATCH(1,(xlRTTYENDU=2)*(xlRTTYEQCL=$F1762)*(xlRTEQTYPE=$G1762),0))</f>
        <v>NG_HP2</v>
      </c>
    </row>
    <row r="1763" spans="2:25" ht="14.25" customHeight="1" x14ac:dyDescent="0.2">
      <c r="B1763" s="5">
        <v>3</v>
      </c>
      <c r="C1763" s="5">
        <v>2</v>
      </c>
      <c r="D1763" s="5">
        <v>11</v>
      </c>
      <c r="E1763" s="31">
        <v>35</v>
      </c>
      <c r="F1763" s="5">
        <v>5</v>
      </c>
      <c r="G1763" s="31">
        <v>16</v>
      </c>
      <c r="H1763" s="5">
        <v>2023</v>
      </c>
      <c r="I1763" s="5">
        <v>2032</v>
      </c>
      <c r="J1763" s="142">
        <v>1.0984</v>
      </c>
      <c r="K1763" s="142">
        <v>1.0345</v>
      </c>
      <c r="L1763" s="142">
        <v>0.5595</v>
      </c>
      <c r="M1763" s="142">
        <v>1.0310999999999999</v>
      </c>
      <c r="N1763" s="142">
        <v>1.0399</v>
      </c>
      <c r="O1763" s="142">
        <v>1.0538000000000001</v>
      </c>
      <c r="P1763" s="26">
        <v>4310.5768191785755</v>
      </c>
      <c r="Q1763" s="35">
        <f t="array" ref="Q1763">SUM(IF(($S1763&gt;=4)*($C1763='TaxCred&amp;Subs'!$D$114:$D$121)*($H1763='TaxCred&amp;Subs'!$C$114:$C$121)*($H1763&lt;='TaxCred&amp;Subs'!$C$123),'TaxCred&amp;Subs'!$E$114:$E$121,0))</f>
        <v>500</v>
      </c>
      <c r="R1763" s="143">
        <v>0</v>
      </c>
      <c r="S1763" s="5">
        <v>5</v>
      </c>
      <c r="T1763" s="5" t="s">
        <v>221</v>
      </c>
      <c r="V1763" s="7" t="str">
        <f t="array" ref="V1763">INDEX(xlRTCLNAME,MATCH(1,(xlRTCLENDU=1)*(xlRTCLEQCL=$D1763),0))</f>
        <v>NG_HP</v>
      </c>
      <c r="W1763" s="7" t="str">
        <f t="array" ref="W1763">INDEX(xlRTCLNAME,MATCH(1,(xlRTCLENDU=2)*(xlRTCLEQCL=$F1763),0))</f>
        <v>NG_HP</v>
      </c>
      <c r="X1763" s="7" t="str">
        <f t="array" ref="X1763">INDEX(xlRTTYNAME,MATCH(1,(xlRTTYENDU=1)*(xlRTTYEQCL=$D1763)*(xlRTEQTYPE=$E1763),0))</f>
        <v>NG_HP2</v>
      </c>
      <c r="Y1763" s="7" t="str">
        <f t="array" ref="Y1763">INDEX(xlRTTYNAME,MATCH(1,(xlRTTYENDU=2)*(xlRTTYEQCL=$F1763)*(xlRTEQTYPE=$G1763),0))</f>
        <v>NG_HP2</v>
      </c>
    </row>
    <row r="1764" spans="2:25" ht="14.25" customHeight="1" x14ac:dyDescent="0.2">
      <c r="B1764" s="5">
        <v>3</v>
      </c>
      <c r="C1764" s="5">
        <v>2</v>
      </c>
      <c r="D1764" s="5">
        <v>11</v>
      </c>
      <c r="E1764" s="31">
        <v>35</v>
      </c>
      <c r="F1764" s="5">
        <v>5</v>
      </c>
      <c r="G1764" s="31">
        <v>16</v>
      </c>
      <c r="H1764" s="5">
        <v>2033</v>
      </c>
      <c r="I1764" s="5">
        <v>2050</v>
      </c>
      <c r="J1764" s="142">
        <v>1.0984</v>
      </c>
      <c r="K1764" s="142">
        <v>1.0345</v>
      </c>
      <c r="L1764" s="142">
        <v>0.5595</v>
      </c>
      <c r="M1764" s="142">
        <v>1.0310999999999999</v>
      </c>
      <c r="N1764" s="142">
        <v>1.0399</v>
      </c>
      <c r="O1764" s="142">
        <v>1.0538000000000001</v>
      </c>
      <c r="P1764" s="26">
        <v>4310.5768191785755</v>
      </c>
      <c r="Q1764" s="35">
        <f t="array" ref="Q1764">SUM(IF(($S1764&gt;=4)*($C1764='TaxCred&amp;Subs'!$D$114:$D$121)*($H1764='TaxCred&amp;Subs'!$C$114:$C$121)*($H1764&lt;='TaxCred&amp;Subs'!$C$123),'TaxCred&amp;Subs'!$E$114:$E$121,0))</f>
        <v>0</v>
      </c>
      <c r="R1764" s="143">
        <v>0</v>
      </c>
      <c r="S1764" s="5">
        <v>5</v>
      </c>
      <c r="T1764" s="5" t="s">
        <v>221</v>
      </c>
      <c r="V1764" s="7" t="str">
        <f t="array" ref="V1764">INDEX(xlRTCLNAME,MATCH(1,(xlRTCLENDU=1)*(xlRTCLEQCL=$D1764),0))</f>
        <v>NG_HP</v>
      </c>
      <c r="W1764" s="7" t="str">
        <f t="array" ref="W1764">INDEX(xlRTCLNAME,MATCH(1,(xlRTCLENDU=2)*(xlRTCLEQCL=$F1764),0))</f>
        <v>NG_HP</v>
      </c>
      <c r="X1764" s="7" t="str">
        <f t="array" ref="X1764">INDEX(xlRTTYNAME,MATCH(1,(xlRTTYENDU=1)*(xlRTTYEQCL=$D1764)*(xlRTEQTYPE=$E1764),0))</f>
        <v>NG_HP2</v>
      </c>
      <c r="Y1764" s="7" t="str">
        <f t="array" ref="Y1764">INDEX(xlRTTYNAME,MATCH(1,(xlRTTYENDU=2)*(xlRTTYEQCL=$F1764)*(xlRTEQTYPE=$G1764),0))</f>
        <v>NG_HP2</v>
      </c>
    </row>
    <row r="1765" spans="2:25" ht="14.25" customHeight="1" x14ac:dyDescent="0.2">
      <c r="B1765" s="5">
        <v>4</v>
      </c>
      <c r="C1765" s="5">
        <v>2</v>
      </c>
      <c r="D1765" s="5">
        <v>11</v>
      </c>
      <c r="E1765" s="31">
        <v>35</v>
      </c>
      <c r="F1765" s="5">
        <v>5</v>
      </c>
      <c r="G1765" s="31">
        <v>16</v>
      </c>
      <c r="H1765" s="31">
        <v>2020</v>
      </c>
      <c r="I1765" s="5">
        <v>2022</v>
      </c>
      <c r="J1765" s="142">
        <v>1.1000000000000001</v>
      </c>
      <c r="K1765" s="142">
        <v>1.0435000000000001</v>
      </c>
      <c r="L1765" s="142">
        <v>0.626</v>
      </c>
      <c r="M1765" s="142">
        <v>1.1499999999999999</v>
      </c>
      <c r="N1765" s="142">
        <v>1.1696</v>
      </c>
      <c r="O1765" s="142">
        <v>1.0538000000000001</v>
      </c>
      <c r="P1765" s="26">
        <v>3733.7716240982236</v>
      </c>
      <c r="Q1765" s="35">
        <f t="array" ref="Q1765">SUM(IF(($S1765&gt;=4)*($C1765='TaxCred&amp;Subs'!$D$114:$D$121)*($H1765='TaxCred&amp;Subs'!$C$114:$C$121)*($H1765&lt;='TaxCred&amp;Subs'!$C$123),'TaxCred&amp;Subs'!$E$114:$E$121,0))</f>
        <v>0</v>
      </c>
      <c r="R1765" s="143">
        <v>0</v>
      </c>
      <c r="S1765" s="5">
        <v>5</v>
      </c>
      <c r="T1765" s="5" t="s">
        <v>221</v>
      </c>
      <c r="V1765" s="7" t="str">
        <f t="array" ref="V1765">INDEX(xlRTCLNAME,MATCH(1,(xlRTCLENDU=1)*(xlRTCLEQCL=$D1765),0))</f>
        <v>NG_HP</v>
      </c>
      <c r="W1765" s="7" t="str">
        <f t="array" ref="W1765">INDEX(xlRTCLNAME,MATCH(1,(xlRTCLENDU=2)*(xlRTCLEQCL=$F1765),0))</f>
        <v>NG_HP</v>
      </c>
      <c r="X1765" s="7" t="str">
        <f t="array" ref="X1765">INDEX(xlRTTYNAME,MATCH(1,(xlRTTYENDU=1)*(xlRTTYEQCL=$D1765)*(xlRTEQTYPE=$E1765),0))</f>
        <v>NG_HP2</v>
      </c>
      <c r="Y1765" s="7" t="str">
        <f t="array" ref="Y1765">INDEX(xlRTTYNAME,MATCH(1,(xlRTTYENDU=2)*(xlRTTYEQCL=$F1765)*(xlRTEQTYPE=$G1765),0))</f>
        <v>NG_HP2</v>
      </c>
    </row>
    <row r="1766" spans="2:25" ht="14.25" customHeight="1" x14ac:dyDescent="0.2">
      <c r="B1766" s="5">
        <v>4</v>
      </c>
      <c r="C1766" s="5">
        <v>2</v>
      </c>
      <c r="D1766" s="5">
        <v>11</v>
      </c>
      <c r="E1766" s="31">
        <v>35</v>
      </c>
      <c r="F1766" s="5">
        <v>5</v>
      </c>
      <c r="G1766" s="31">
        <v>16</v>
      </c>
      <c r="H1766" s="5">
        <v>2023</v>
      </c>
      <c r="I1766" s="5">
        <v>2032</v>
      </c>
      <c r="J1766" s="142">
        <v>1.1000000000000001</v>
      </c>
      <c r="K1766" s="142">
        <v>1.0435000000000001</v>
      </c>
      <c r="L1766" s="142">
        <v>0.626</v>
      </c>
      <c r="M1766" s="142">
        <v>1.1499999999999999</v>
      </c>
      <c r="N1766" s="142">
        <v>1.1696</v>
      </c>
      <c r="O1766" s="142">
        <v>1.0538000000000001</v>
      </c>
      <c r="P1766" s="26">
        <v>3733.7716240982236</v>
      </c>
      <c r="Q1766" s="35">
        <f t="array" ref="Q1766">SUM(IF(($S1766&gt;=4)*($C1766='TaxCred&amp;Subs'!$D$114:$D$121)*($H1766='TaxCred&amp;Subs'!$C$114:$C$121)*($H1766&lt;='TaxCred&amp;Subs'!$C$123),'TaxCred&amp;Subs'!$E$114:$E$121,0))</f>
        <v>500</v>
      </c>
      <c r="R1766" s="143">
        <v>0</v>
      </c>
      <c r="S1766" s="5">
        <v>5</v>
      </c>
      <c r="T1766" s="5" t="s">
        <v>221</v>
      </c>
      <c r="V1766" s="7" t="str">
        <f t="array" ref="V1766">INDEX(xlRTCLNAME,MATCH(1,(xlRTCLENDU=1)*(xlRTCLEQCL=$D1766),0))</f>
        <v>NG_HP</v>
      </c>
      <c r="W1766" s="7" t="str">
        <f t="array" ref="W1766">INDEX(xlRTCLNAME,MATCH(1,(xlRTCLENDU=2)*(xlRTCLEQCL=$F1766),0))</f>
        <v>NG_HP</v>
      </c>
      <c r="X1766" s="7" t="str">
        <f t="array" ref="X1766">INDEX(xlRTTYNAME,MATCH(1,(xlRTTYENDU=1)*(xlRTTYEQCL=$D1766)*(xlRTEQTYPE=$E1766),0))</f>
        <v>NG_HP2</v>
      </c>
      <c r="Y1766" s="7" t="str">
        <f t="array" ref="Y1766">INDEX(xlRTTYNAME,MATCH(1,(xlRTTYENDU=2)*(xlRTTYEQCL=$F1766)*(xlRTEQTYPE=$G1766),0))</f>
        <v>NG_HP2</v>
      </c>
    </row>
    <row r="1767" spans="2:25" ht="14.25" customHeight="1" x14ac:dyDescent="0.2">
      <c r="B1767" s="5">
        <v>4</v>
      </c>
      <c r="C1767" s="5">
        <v>2</v>
      </c>
      <c r="D1767" s="5">
        <v>11</v>
      </c>
      <c r="E1767" s="31">
        <v>35</v>
      </c>
      <c r="F1767" s="5">
        <v>5</v>
      </c>
      <c r="G1767" s="31">
        <v>16</v>
      </c>
      <c r="H1767" s="5">
        <v>2033</v>
      </c>
      <c r="I1767" s="5">
        <v>2050</v>
      </c>
      <c r="J1767" s="142">
        <v>1.1000000000000001</v>
      </c>
      <c r="K1767" s="142">
        <v>1.0435000000000001</v>
      </c>
      <c r="L1767" s="142">
        <v>0.626</v>
      </c>
      <c r="M1767" s="142">
        <v>1.1499999999999999</v>
      </c>
      <c r="N1767" s="142">
        <v>1.1696</v>
      </c>
      <c r="O1767" s="142">
        <v>1.0538000000000001</v>
      </c>
      <c r="P1767" s="26">
        <v>3733.7716240982236</v>
      </c>
      <c r="Q1767" s="35">
        <f t="array" ref="Q1767">SUM(IF(($S1767&gt;=4)*($C1767='TaxCred&amp;Subs'!$D$114:$D$121)*($H1767='TaxCred&amp;Subs'!$C$114:$C$121)*($H1767&lt;='TaxCred&amp;Subs'!$C$123),'TaxCred&amp;Subs'!$E$114:$E$121,0))</f>
        <v>0</v>
      </c>
      <c r="R1767" s="143">
        <v>0</v>
      </c>
      <c r="S1767" s="5">
        <v>5</v>
      </c>
      <c r="T1767" s="5" t="s">
        <v>221</v>
      </c>
      <c r="V1767" s="7" t="str">
        <f t="array" ref="V1767">INDEX(xlRTCLNAME,MATCH(1,(xlRTCLENDU=1)*(xlRTCLEQCL=$D1767),0))</f>
        <v>NG_HP</v>
      </c>
      <c r="W1767" s="7" t="str">
        <f t="array" ref="W1767">INDEX(xlRTCLNAME,MATCH(1,(xlRTCLENDU=2)*(xlRTCLEQCL=$F1767),0))</f>
        <v>NG_HP</v>
      </c>
      <c r="X1767" s="7" t="str">
        <f t="array" ref="X1767">INDEX(xlRTTYNAME,MATCH(1,(xlRTTYENDU=1)*(xlRTTYEQCL=$D1767)*(xlRTEQTYPE=$E1767),0))</f>
        <v>NG_HP2</v>
      </c>
      <c r="Y1767" s="7" t="str">
        <f t="array" ref="Y1767">INDEX(xlRTTYNAME,MATCH(1,(xlRTTYENDU=2)*(xlRTTYEQCL=$F1767)*(xlRTEQTYPE=$G1767),0))</f>
        <v>NG_HP2</v>
      </c>
    </row>
    <row r="1768" spans="2:25" ht="14.25" customHeight="1" x14ac:dyDescent="0.2">
      <c r="B1768" s="5">
        <v>5</v>
      </c>
      <c r="C1768" s="5">
        <v>2</v>
      </c>
      <c r="D1768" s="5">
        <v>11</v>
      </c>
      <c r="E1768" s="31">
        <v>35</v>
      </c>
      <c r="F1768" s="5">
        <v>5</v>
      </c>
      <c r="G1768" s="31">
        <v>16</v>
      </c>
      <c r="H1768" s="31">
        <v>2020</v>
      </c>
      <c r="I1768" s="5">
        <v>2022</v>
      </c>
      <c r="J1768" s="142">
        <v>1.1200000000000001</v>
      </c>
      <c r="K1768" s="142">
        <v>1.0391999999999999</v>
      </c>
      <c r="L1768" s="142">
        <v>0.44379999999999997</v>
      </c>
      <c r="M1768" s="142">
        <v>1.0314000000000001</v>
      </c>
      <c r="N1768" s="142">
        <v>1.2750999999999999</v>
      </c>
      <c r="O1768" s="142">
        <v>1.0538000000000001</v>
      </c>
      <c r="P1768" s="26">
        <v>3228.2267444939989</v>
      </c>
      <c r="Q1768" s="35">
        <f t="array" ref="Q1768">SUM(IF(($S1768&gt;=4)*($C1768='TaxCred&amp;Subs'!$D$114:$D$121)*($H1768='TaxCred&amp;Subs'!$C$114:$C$121)*($H1768&lt;='TaxCred&amp;Subs'!$C$123),'TaxCred&amp;Subs'!$E$114:$E$121,0))</f>
        <v>0</v>
      </c>
      <c r="R1768" s="143">
        <v>0</v>
      </c>
      <c r="S1768" s="5">
        <v>5</v>
      </c>
      <c r="T1768" s="5" t="s">
        <v>221</v>
      </c>
      <c r="V1768" s="7" t="str">
        <f t="array" ref="V1768">INDEX(xlRTCLNAME,MATCH(1,(xlRTCLENDU=1)*(xlRTCLEQCL=$D1768),0))</f>
        <v>NG_HP</v>
      </c>
      <c r="W1768" s="7" t="str">
        <f t="array" ref="W1768">INDEX(xlRTCLNAME,MATCH(1,(xlRTCLENDU=2)*(xlRTCLEQCL=$F1768),0))</f>
        <v>NG_HP</v>
      </c>
      <c r="X1768" s="7" t="str">
        <f t="array" ref="X1768">INDEX(xlRTTYNAME,MATCH(1,(xlRTTYENDU=1)*(xlRTTYEQCL=$D1768)*(xlRTEQTYPE=$E1768),0))</f>
        <v>NG_HP2</v>
      </c>
      <c r="Y1768" s="7" t="str">
        <f t="array" ref="Y1768">INDEX(xlRTTYNAME,MATCH(1,(xlRTTYENDU=2)*(xlRTTYEQCL=$F1768)*(xlRTEQTYPE=$G1768),0))</f>
        <v>NG_HP2</v>
      </c>
    </row>
    <row r="1769" spans="2:25" ht="14.25" customHeight="1" x14ac:dyDescent="0.2">
      <c r="B1769" s="5">
        <v>5</v>
      </c>
      <c r="C1769" s="5">
        <v>2</v>
      </c>
      <c r="D1769" s="5">
        <v>11</v>
      </c>
      <c r="E1769" s="31">
        <v>35</v>
      </c>
      <c r="F1769" s="5">
        <v>5</v>
      </c>
      <c r="G1769" s="31">
        <v>16</v>
      </c>
      <c r="H1769" s="5">
        <v>2023</v>
      </c>
      <c r="I1769" s="5">
        <v>2032</v>
      </c>
      <c r="J1769" s="142">
        <v>1.1200000000000001</v>
      </c>
      <c r="K1769" s="142">
        <v>1.0391999999999999</v>
      </c>
      <c r="L1769" s="142">
        <v>0.44379999999999997</v>
      </c>
      <c r="M1769" s="142">
        <v>1.0314000000000001</v>
      </c>
      <c r="N1769" s="142">
        <v>1.2750999999999999</v>
      </c>
      <c r="O1769" s="142">
        <v>1.0538000000000001</v>
      </c>
      <c r="P1769" s="26">
        <v>3228.2267444939989</v>
      </c>
      <c r="Q1769" s="35">
        <f t="array" ref="Q1769">SUM(IF(($S1769&gt;=4)*($C1769='TaxCred&amp;Subs'!$D$114:$D$121)*($H1769='TaxCred&amp;Subs'!$C$114:$C$121)*($H1769&lt;='TaxCred&amp;Subs'!$C$123),'TaxCred&amp;Subs'!$E$114:$E$121,0))</f>
        <v>500</v>
      </c>
      <c r="R1769" s="143">
        <v>0</v>
      </c>
      <c r="S1769" s="5">
        <v>5</v>
      </c>
      <c r="T1769" s="5" t="s">
        <v>221</v>
      </c>
      <c r="V1769" s="7" t="str">
        <f t="array" ref="V1769">INDEX(xlRTCLNAME,MATCH(1,(xlRTCLENDU=1)*(xlRTCLEQCL=$D1769),0))</f>
        <v>NG_HP</v>
      </c>
      <c r="W1769" s="7" t="str">
        <f t="array" ref="W1769">INDEX(xlRTCLNAME,MATCH(1,(xlRTCLENDU=2)*(xlRTCLEQCL=$F1769),0))</f>
        <v>NG_HP</v>
      </c>
      <c r="X1769" s="7" t="str">
        <f t="array" ref="X1769">INDEX(xlRTTYNAME,MATCH(1,(xlRTTYENDU=1)*(xlRTTYEQCL=$D1769)*(xlRTEQTYPE=$E1769),0))</f>
        <v>NG_HP2</v>
      </c>
      <c r="Y1769" s="7" t="str">
        <f t="array" ref="Y1769">INDEX(xlRTTYNAME,MATCH(1,(xlRTTYENDU=2)*(xlRTTYEQCL=$F1769)*(xlRTEQTYPE=$G1769),0))</f>
        <v>NG_HP2</v>
      </c>
    </row>
    <row r="1770" spans="2:25" ht="14.25" customHeight="1" x14ac:dyDescent="0.2">
      <c r="B1770" s="5">
        <v>5</v>
      </c>
      <c r="C1770" s="5">
        <v>2</v>
      </c>
      <c r="D1770" s="5">
        <v>11</v>
      </c>
      <c r="E1770" s="31">
        <v>35</v>
      </c>
      <c r="F1770" s="5">
        <v>5</v>
      </c>
      <c r="G1770" s="31">
        <v>16</v>
      </c>
      <c r="H1770" s="5">
        <v>2033</v>
      </c>
      <c r="I1770" s="5">
        <v>2050</v>
      </c>
      <c r="J1770" s="142">
        <v>1.1200000000000001</v>
      </c>
      <c r="K1770" s="142">
        <v>1.0391999999999999</v>
      </c>
      <c r="L1770" s="142">
        <v>0.44379999999999997</v>
      </c>
      <c r="M1770" s="142">
        <v>1.0314000000000001</v>
      </c>
      <c r="N1770" s="142">
        <v>1.2750999999999999</v>
      </c>
      <c r="O1770" s="142">
        <v>1.0538000000000001</v>
      </c>
      <c r="P1770" s="26">
        <v>3228.2267444939989</v>
      </c>
      <c r="Q1770" s="35">
        <f t="array" ref="Q1770">SUM(IF(($S1770&gt;=4)*($C1770='TaxCred&amp;Subs'!$D$114:$D$121)*($H1770='TaxCred&amp;Subs'!$C$114:$C$121)*($H1770&lt;='TaxCred&amp;Subs'!$C$123),'TaxCred&amp;Subs'!$E$114:$E$121,0))</f>
        <v>0</v>
      </c>
      <c r="R1770" s="143">
        <v>0</v>
      </c>
      <c r="S1770" s="5">
        <v>5</v>
      </c>
      <c r="T1770" s="5" t="s">
        <v>221</v>
      </c>
      <c r="V1770" s="7" t="str">
        <f t="array" ref="V1770">INDEX(xlRTCLNAME,MATCH(1,(xlRTCLENDU=1)*(xlRTCLEQCL=$D1770),0))</f>
        <v>NG_HP</v>
      </c>
      <c r="W1770" s="7" t="str">
        <f t="array" ref="W1770">INDEX(xlRTCLNAME,MATCH(1,(xlRTCLENDU=2)*(xlRTCLEQCL=$F1770),0))</f>
        <v>NG_HP</v>
      </c>
      <c r="X1770" s="7" t="str">
        <f t="array" ref="X1770">INDEX(xlRTTYNAME,MATCH(1,(xlRTTYENDU=1)*(xlRTTYEQCL=$D1770)*(xlRTEQTYPE=$E1770),0))</f>
        <v>NG_HP2</v>
      </c>
      <c r="Y1770" s="7" t="str">
        <f t="array" ref="Y1770">INDEX(xlRTTYNAME,MATCH(1,(xlRTTYENDU=2)*(xlRTTYEQCL=$F1770)*(xlRTEQTYPE=$G1770),0))</f>
        <v>NG_HP2</v>
      </c>
    </row>
    <row r="1771" spans="2:25" ht="14.25" customHeight="1" x14ac:dyDescent="0.2">
      <c r="B1771" s="5">
        <v>6</v>
      </c>
      <c r="C1771" s="5">
        <v>2</v>
      </c>
      <c r="D1771" s="5">
        <v>11</v>
      </c>
      <c r="E1771" s="31">
        <v>35</v>
      </c>
      <c r="F1771" s="5">
        <v>5</v>
      </c>
      <c r="G1771" s="31">
        <v>16</v>
      </c>
      <c r="H1771" s="31">
        <v>2020</v>
      </c>
      <c r="I1771" s="5">
        <v>2022</v>
      </c>
      <c r="J1771" s="142">
        <v>1.1200000000000001</v>
      </c>
      <c r="K1771" s="142">
        <v>1.03</v>
      </c>
      <c r="L1771" s="142">
        <v>0.44379999999999997</v>
      </c>
      <c r="M1771" s="142">
        <v>1.0546</v>
      </c>
      <c r="N1771" s="142">
        <v>1.3324</v>
      </c>
      <c r="O1771" s="142">
        <v>1.0538000000000001</v>
      </c>
      <c r="P1771" s="26">
        <v>3572.4275135862376</v>
      </c>
      <c r="Q1771" s="35">
        <f t="array" ref="Q1771">SUM(IF(($S1771&gt;=4)*($C1771='TaxCred&amp;Subs'!$D$114:$D$121)*($H1771='TaxCred&amp;Subs'!$C$114:$C$121)*($H1771&lt;='TaxCred&amp;Subs'!$C$123),'TaxCred&amp;Subs'!$E$114:$E$121,0))</f>
        <v>0</v>
      </c>
      <c r="R1771" s="143">
        <v>0</v>
      </c>
      <c r="S1771" s="5">
        <v>5</v>
      </c>
      <c r="T1771" s="5" t="s">
        <v>221</v>
      </c>
      <c r="V1771" s="7" t="str">
        <f t="array" ref="V1771">INDEX(xlRTCLNAME,MATCH(1,(xlRTCLENDU=1)*(xlRTCLEQCL=$D1771),0))</f>
        <v>NG_HP</v>
      </c>
      <c r="W1771" s="7" t="str">
        <f t="array" ref="W1771">INDEX(xlRTCLNAME,MATCH(1,(xlRTCLENDU=2)*(xlRTCLEQCL=$F1771),0))</f>
        <v>NG_HP</v>
      </c>
      <c r="X1771" s="7" t="str">
        <f t="array" ref="X1771">INDEX(xlRTTYNAME,MATCH(1,(xlRTTYENDU=1)*(xlRTTYEQCL=$D1771)*(xlRTEQTYPE=$E1771),0))</f>
        <v>NG_HP2</v>
      </c>
      <c r="Y1771" s="7" t="str">
        <f t="array" ref="Y1771">INDEX(xlRTTYNAME,MATCH(1,(xlRTTYENDU=2)*(xlRTTYEQCL=$F1771)*(xlRTEQTYPE=$G1771),0))</f>
        <v>NG_HP2</v>
      </c>
    </row>
    <row r="1772" spans="2:25" ht="14.25" customHeight="1" x14ac:dyDescent="0.2">
      <c r="B1772" s="5">
        <v>6</v>
      </c>
      <c r="C1772" s="5">
        <v>2</v>
      </c>
      <c r="D1772" s="5">
        <v>11</v>
      </c>
      <c r="E1772" s="31">
        <v>35</v>
      </c>
      <c r="F1772" s="5">
        <v>5</v>
      </c>
      <c r="G1772" s="31">
        <v>16</v>
      </c>
      <c r="H1772" s="5">
        <v>2023</v>
      </c>
      <c r="I1772" s="5">
        <v>2032</v>
      </c>
      <c r="J1772" s="142">
        <v>1.1200000000000001</v>
      </c>
      <c r="K1772" s="142">
        <v>1.03</v>
      </c>
      <c r="L1772" s="142">
        <v>0.44379999999999997</v>
      </c>
      <c r="M1772" s="142">
        <v>1.0546</v>
      </c>
      <c r="N1772" s="142">
        <v>1.3324</v>
      </c>
      <c r="O1772" s="142">
        <v>1.0538000000000001</v>
      </c>
      <c r="P1772" s="26">
        <v>3572.4275135862376</v>
      </c>
      <c r="Q1772" s="35">
        <f t="array" ref="Q1772">SUM(IF(($S1772&gt;=4)*($C1772='TaxCred&amp;Subs'!$D$114:$D$121)*($H1772='TaxCred&amp;Subs'!$C$114:$C$121)*($H1772&lt;='TaxCred&amp;Subs'!$C$123),'TaxCred&amp;Subs'!$E$114:$E$121,0))</f>
        <v>500</v>
      </c>
      <c r="R1772" s="143">
        <v>0</v>
      </c>
      <c r="S1772" s="5">
        <v>5</v>
      </c>
      <c r="T1772" s="5" t="s">
        <v>221</v>
      </c>
      <c r="V1772" s="7" t="str">
        <f t="array" ref="V1772">INDEX(xlRTCLNAME,MATCH(1,(xlRTCLENDU=1)*(xlRTCLEQCL=$D1772),0))</f>
        <v>NG_HP</v>
      </c>
      <c r="W1772" s="7" t="str">
        <f t="array" ref="W1772">INDEX(xlRTCLNAME,MATCH(1,(xlRTCLENDU=2)*(xlRTCLEQCL=$F1772),0))</f>
        <v>NG_HP</v>
      </c>
      <c r="X1772" s="7" t="str">
        <f t="array" ref="X1772">INDEX(xlRTTYNAME,MATCH(1,(xlRTTYENDU=1)*(xlRTTYEQCL=$D1772)*(xlRTEQTYPE=$E1772),0))</f>
        <v>NG_HP2</v>
      </c>
      <c r="Y1772" s="7" t="str">
        <f t="array" ref="Y1772">INDEX(xlRTTYNAME,MATCH(1,(xlRTTYENDU=2)*(xlRTTYEQCL=$F1772)*(xlRTEQTYPE=$G1772),0))</f>
        <v>NG_HP2</v>
      </c>
    </row>
    <row r="1773" spans="2:25" ht="14.25" customHeight="1" x14ac:dyDescent="0.2">
      <c r="B1773" s="5">
        <v>6</v>
      </c>
      <c r="C1773" s="5">
        <v>2</v>
      </c>
      <c r="D1773" s="5">
        <v>11</v>
      </c>
      <c r="E1773" s="31">
        <v>35</v>
      </c>
      <c r="F1773" s="5">
        <v>5</v>
      </c>
      <c r="G1773" s="31">
        <v>16</v>
      </c>
      <c r="H1773" s="5">
        <v>2033</v>
      </c>
      <c r="I1773" s="5">
        <v>2050</v>
      </c>
      <c r="J1773" s="142">
        <v>1.1200000000000001</v>
      </c>
      <c r="K1773" s="142">
        <v>1.03</v>
      </c>
      <c r="L1773" s="142">
        <v>0.44379999999999997</v>
      </c>
      <c r="M1773" s="142">
        <v>1.0546</v>
      </c>
      <c r="N1773" s="142">
        <v>1.3324</v>
      </c>
      <c r="O1773" s="142">
        <v>1.0538000000000001</v>
      </c>
      <c r="P1773" s="26">
        <v>3572.4275135862376</v>
      </c>
      <c r="Q1773" s="35">
        <f t="array" ref="Q1773">SUM(IF(($S1773&gt;=4)*($C1773='TaxCred&amp;Subs'!$D$114:$D$121)*($H1773='TaxCred&amp;Subs'!$C$114:$C$121)*($H1773&lt;='TaxCred&amp;Subs'!$C$123),'TaxCred&amp;Subs'!$E$114:$E$121,0))</f>
        <v>0</v>
      </c>
      <c r="R1773" s="143">
        <v>0</v>
      </c>
      <c r="S1773" s="5">
        <v>5</v>
      </c>
      <c r="T1773" s="5" t="s">
        <v>221</v>
      </c>
      <c r="V1773" s="7" t="str">
        <f t="array" ref="V1773">INDEX(xlRTCLNAME,MATCH(1,(xlRTCLENDU=1)*(xlRTCLEQCL=$D1773),0))</f>
        <v>NG_HP</v>
      </c>
      <c r="W1773" s="7" t="str">
        <f t="array" ref="W1773">INDEX(xlRTCLNAME,MATCH(1,(xlRTCLENDU=2)*(xlRTCLEQCL=$F1773),0))</f>
        <v>NG_HP</v>
      </c>
      <c r="X1773" s="7" t="str">
        <f t="array" ref="X1773">INDEX(xlRTTYNAME,MATCH(1,(xlRTTYENDU=1)*(xlRTTYEQCL=$D1773)*(xlRTEQTYPE=$E1773),0))</f>
        <v>NG_HP2</v>
      </c>
      <c r="Y1773" s="7" t="str">
        <f t="array" ref="Y1773">INDEX(xlRTTYNAME,MATCH(1,(xlRTTYENDU=2)*(xlRTTYEQCL=$F1773)*(xlRTEQTYPE=$G1773),0))</f>
        <v>NG_HP2</v>
      </c>
    </row>
    <row r="1774" spans="2:25" ht="14.25" customHeight="1" x14ac:dyDescent="0.2">
      <c r="B1774" s="5">
        <v>7</v>
      </c>
      <c r="C1774" s="5">
        <v>2</v>
      </c>
      <c r="D1774" s="5">
        <v>11</v>
      </c>
      <c r="E1774" s="31">
        <v>35</v>
      </c>
      <c r="F1774" s="5">
        <v>5</v>
      </c>
      <c r="G1774" s="31">
        <v>16</v>
      </c>
      <c r="H1774" s="31">
        <v>2020</v>
      </c>
      <c r="I1774" s="5">
        <v>2022</v>
      </c>
      <c r="J1774" s="142">
        <v>1.1200000000000001</v>
      </c>
      <c r="K1774" s="142">
        <v>1.0462</v>
      </c>
      <c r="L1774" s="142">
        <v>0.44379999999999997</v>
      </c>
      <c r="M1774" s="142">
        <v>1.0569</v>
      </c>
      <c r="N1774" s="142">
        <v>1.4438</v>
      </c>
      <c r="O1774" s="142">
        <v>1.0538000000000001</v>
      </c>
      <c r="P1774" s="26">
        <v>3120.6640041526744</v>
      </c>
      <c r="Q1774" s="35">
        <f t="array" ref="Q1774">SUM(IF(($S1774&gt;=4)*($C1774='TaxCred&amp;Subs'!$D$114:$D$121)*($H1774='TaxCred&amp;Subs'!$C$114:$C$121)*($H1774&lt;='TaxCred&amp;Subs'!$C$123),'TaxCred&amp;Subs'!$E$114:$E$121,0))</f>
        <v>0</v>
      </c>
      <c r="R1774" s="143">
        <v>0</v>
      </c>
      <c r="S1774" s="5">
        <v>5</v>
      </c>
      <c r="T1774" s="5" t="s">
        <v>221</v>
      </c>
      <c r="V1774" s="7" t="str">
        <f t="array" ref="V1774">INDEX(xlRTCLNAME,MATCH(1,(xlRTCLENDU=1)*(xlRTCLEQCL=$D1774),0))</f>
        <v>NG_HP</v>
      </c>
      <c r="W1774" s="7" t="str">
        <f t="array" ref="W1774">INDEX(xlRTCLNAME,MATCH(1,(xlRTCLENDU=2)*(xlRTCLEQCL=$F1774),0))</f>
        <v>NG_HP</v>
      </c>
      <c r="X1774" s="7" t="str">
        <f t="array" ref="X1774">INDEX(xlRTTYNAME,MATCH(1,(xlRTTYENDU=1)*(xlRTTYEQCL=$D1774)*(xlRTEQTYPE=$E1774),0))</f>
        <v>NG_HP2</v>
      </c>
      <c r="Y1774" s="7" t="str">
        <f t="array" ref="Y1774">INDEX(xlRTTYNAME,MATCH(1,(xlRTTYENDU=2)*(xlRTTYEQCL=$F1774)*(xlRTEQTYPE=$G1774),0))</f>
        <v>NG_HP2</v>
      </c>
    </row>
    <row r="1775" spans="2:25" ht="14.25" customHeight="1" x14ac:dyDescent="0.2">
      <c r="B1775" s="5">
        <v>7</v>
      </c>
      <c r="C1775" s="5">
        <v>2</v>
      </c>
      <c r="D1775" s="5">
        <v>11</v>
      </c>
      <c r="E1775" s="31">
        <v>35</v>
      </c>
      <c r="F1775" s="5">
        <v>5</v>
      </c>
      <c r="G1775" s="31">
        <v>16</v>
      </c>
      <c r="H1775" s="5">
        <v>2023</v>
      </c>
      <c r="I1775" s="5">
        <v>2032</v>
      </c>
      <c r="J1775" s="142">
        <v>1.1200000000000001</v>
      </c>
      <c r="K1775" s="142">
        <v>1.0462</v>
      </c>
      <c r="L1775" s="142">
        <v>0.44379999999999997</v>
      </c>
      <c r="M1775" s="142">
        <v>1.0569</v>
      </c>
      <c r="N1775" s="142">
        <v>1.4438</v>
      </c>
      <c r="O1775" s="142">
        <v>1.0538000000000001</v>
      </c>
      <c r="P1775" s="26">
        <v>3120.6640041526744</v>
      </c>
      <c r="Q1775" s="35">
        <f t="array" ref="Q1775">SUM(IF(($S1775&gt;=4)*($C1775='TaxCred&amp;Subs'!$D$114:$D$121)*($H1775='TaxCred&amp;Subs'!$C$114:$C$121)*($H1775&lt;='TaxCred&amp;Subs'!$C$123),'TaxCred&amp;Subs'!$E$114:$E$121,0))</f>
        <v>500</v>
      </c>
      <c r="R1775" s="143">
        <v>0</v>
      </c>
      <c r="S1775" s="5">
        <v>5</v>
      </c>
      <c r="T1775" s="5" t="s">
        <v>221</v>
      </c>
      <c r="V1775" s="7" t="str">
        <f t="array" ref="V1775">INDEX(xlRTCLNAME,MATCH(1,(xlRTCLENDU=1)*(xlRTCLEQCL=$D1775),0))</f>
        <v>NG_HP</v>
      </c>
      <c r="W1775" s="7" t="str">
        <f t="array" ref="W1775">INDEX(xlRTCLNAME,MATCH(1,(xlRTCLENDU=2)*(xlRTCLEQCL=$F1775),0))</f>
        <v>NG_HP</v>
      </c>
      <c r="X1775" s="7" t="str">
        <f t="array" ref="X1775">INDEX(xlRTTYNAME,MATCH(1,(xlRTTYENDU=1)*(xlRTTYEQCL=$D1775)*(xlRTEQTYPE=$E1775),0))</f>
        <v>NG_HP2</v>
      </c>
      <c r="Y1775" s="7" t="str">
        <f t="array" ref="Y1775">INDEX(xlRTTYNAME,MATCH(1,(xlRTTYENDU=2)*(xlRTTYEQCL=$F1775)*(xlRTEQTYPE=$G1775),0))</f>
        <v>NG_HP2</v>
      </c>
    </row>
    <row r="1776" spans="2:25" ht="14.25" customHeight="1" x14ac:dyDescent="0.2">
      <c r="B1776" s="5">
        <v>7</v>
      </c>
      <c r="C1776" s="5">
        <v>2</v>
      </c>
      <c r="D1776" s="5">
        <v>11</v>
      </c>
      <c r="E1776" s="31">
        <v>35</v>
      </c>
      <c r="F1776" s="5">
        <v>5</v>
      </c>
      <c r="G1776" s="31">
        <v>16</v>
      </c>
      <c r="H1776" s="5">
        <v>2033</v>
      </c>
      <c r="I1776" s="5">
        <v>2050</v>
      </c>
      <c r="J1776" s="142">
        <v>1.1200000000000001</v>
      </c>
      <c r="K1776" s="142">
        <v>1.0462</v>
      </c>
      <c r="L1776" s="142">
        <v>0.44379999999999997</v>
      </c>
      <c r="M1776" s="142">
        <v>1.0569</v>
      </c>
      <c r="N1776" s="142">
        <v>1.4438</v>
      </c>
      <c r="O1776" s="142">
        <v>1.0538000000000001</v>
      </c>
      <c r="P1776" s="26">
        <v>3120.6640041526744</v>
      </c>
      <c r="Q1776" s="35">
        <f t="array" ref="Q1776">SUM(IF(($S1776&gt;=4)*($C1776='TaxCred&amp;Subs'!$D$114:$D$121)*($H1776='TaxCred&amp;Subs'!$C$114:$C$121)*($H1776&lt;='TaxCred&amp;Subs'!$C$123),'TaxCred&amp;Subs'!$E$114:$E$121,0))</f>
        <v>0</v>
      </c>
      <c r="R1776" s="143">
        <v>0</v>
      </c>
      <c r="S1776" s="5">
        <v>5</v>
      </c>
      <c r="T1776" s="5" t="s">
        <v>221</v>
      </c>
      <c r="V1776" s="7" t="str">
        <f t="array" ref="V1776">INDEX(xlRTCLNAME,MATCH(1,(xlRTCLENDU=1)*(xlRTCLEQCL=$D1776),0))</f>
        <v>NG_HP</v>
      </c>
      <c r="W1776" s="7" t="str">
        <f t="array" ref="W1776">INDEX(xlRTCLNAME,MATCH(1,(xlRTCLENDU=2)*(xlRTCLEQCL=$F1776),0))</f>
        <v>NG_HP</v>
      </c>
      <c r="X1776" s="7" t="str">
        <f t="array" ref="X1776">INDEX(xlRTTYNAME,MATCH(1,(xlRTTYENDU=1)*(xlRTTYEQCL=$D1776)*(xlRTEQTYPE=$E1776),0))</f>
        <v>NG_HP2</v>
      </c>
      <c r="Y1776" s="7" t="str">
        <f t="array" ref="Y1776">INDEX(xlRTTYNAME,MATCH(1,(xlRTTYENDU=2)*(xlRTTYEQCL=$F1776)*(xlRTEQTYPE=$G1776),0))</f>
        <v>NG_HP2</v>
      </c>
    </row>
    <row r="1777" spans="2:25" ht="14.25" customHeight="1" x14ac:dyDescent="0.2">
      <c r="B1777" s="5">
        <v>8</v>
      </c>
      <c r="C1777" s="5">
        <v>2</v>
      </c>
      <c r="D1777" s="5">
        <v>11</v>
      </c>
      <c r="E1777" s="31">
        <v>35</v>
      </c>
      <c r="F1777" s="5">
        <v>5</v>
      </c>
      <c r="G1777" s="31">
        <v>16</v>
      </c>
      <c r="H1777" s="31">
        <v>2020</v>
      </c>
      <c r="I1777" s="5">
        <v>2022</v>
      </c>
      <c r="J1777" s="142">
        <v>1.0932999999999999</v>
      </c>
      <c r="K1777" s="142">
        <v>1.0323</v>
      </c>
      <c r="L1777" s="142">
        <v>0.55489999999999995</v>
      </c>
      <c r="M1777" s="142">
        <v>1.2087000000000001</v>
      </c>
      <c r="N1777" s="142">
        <v>1.2847999999999999</v>
      </c>
      <c r="O1777" s="142">
        <v>1.0538000000000001</v>
      </c>
      <c r="P1777" s="26">
        <v>3884.3594605760777</v>
      </c>
      <c r="Q1777" s="35">
        <f t="array" ref="Q1777">SUM(IF(($S1777&gt;=4)*($C1777='TaxCred&amp;Subs'!$D$114:$D$121)*($H1777='TaxCred&amp;Subs'!$C$114:$C$121)*($H1777&lt;='TaxCred&amp;Subs'!$C$123),'TaxCred&amp;Subs'!$E$114:$E$121,0))</f>
        <v>0</v>
      </c>
      <c r="R1777" s="143">
        <v>0</v>
      </c>
      <c r="S1777" s="5">
        <v>5</v>
      </c>
      <c r="T1777" s="5" t="s">
        <v>221</v>
      </c>
      <c r="V1777" s="7" t="str">
        <f t="array" ref="V1777">INDEX(xlRTCLNAME,MATCH(1,(xlRTCLENDU=1)*(xlRTCLEQCL=$D1777),0))</f>
        <v>NG_HP</v>
      </c>
      <c r="W1777" s="7" t="str">
        <f t="array" ref="W1777">INDEX(xlRTCLNAME,MATCH(1,(xlRTCLENDU=2)*(xlRTCLEQCL=$F1777),0))</f>
        <v>NG_HP</v>
      </c>
      <c r="X1777" s="7" t="str">
        <f t="array" ref="X1777">INDEX(xlRTTYNAME,MATCH(1,(xlRTTYENDU=1)*(xlRTTYEQCL=$D1777)*(xlRTEQTYPE=$E1777),0))</f>
        <v>NG_HP2</v>
      </c>
      <c r="Y1777" s="7" t="str">
        <f t="array" ref="Y1777">INDEX(xlRTTYNAME,MATCH(1,(xlRTTYENDU=2)*(xlRTTYEQCL=$F1777)*(xlRTEQTYPE=$G1777),0))</f>
        <v>NG_HP2</v>
      </c>
    </row>
    <row r="1778" spans="2:25" ht="14.25" customHeight="1" x14ac:dyDescent="0.2">
      <c r="B1778" s="5">
        <v>8</v>
      </c>
      <c r="C1778" s="5">
        <v>2</v>
      </c>
      <c r="D1778" s="5">
        <v>11</v>
      </c>
      <c r="E1778" s="31">
        <v>35</v>
      </c>
      <c r="F1778" s="5">
        <v>5</v>
      </c>
      <c r="G1778" s="31">
        <v>16</v>
      </c>
      <c r="H1778" s="5">
        <v>2023</v>
      </c>
      <c r="I1778" s="5">
        <v>2032</v>
      </c>
      <c r="J1778" s="142">
        <v>1.0932999999999999</v>
      </c>
      <c r="K1778" s="142">
        <v>1.0323</v>
      </c>
      <c r="L1778" s="142">
        <v>0.55489999999999995</v>
      </c>
      <c r="M1778" s="142">
        <v>1.2087000000000001</v>
      </c>
      <c r="N1778" s="142">
        <v>1.2847999999999999</v>
      </c>
      <c r="O1778" s="142">
        <v>1.0538000000000001</v>
      </c>
      <c r="P1778" s="26">
        <v>3884.3594605760777</v>
      </c>
      <c r="Q1778" s="35">
        <f t="array" ref="Q1778">SUM(IF(($S1778&gt;=4)*($C1778='TaxCred&amp;Subs'!$D$114:$D$121)*($H1778='TaxCred&amp;Subs'!$C$114:$C$121)*($H1778&lt;='TaxCred&amp;Subs'!$C$123),'TaxCred&amp;Subs'!$E$114:$E$121,0))</f>
        <v>500</v>
      </c>
      <c r="R1778" s="143">
        <v>0</v>
      </c>
      <c r="S1778" s="5">
        <v>5</v>
      </c>
      <c r="T1778" s="5" t="s">
        <v>221</v>
      </c>
      <c r="V1778" s="7" t="str">
        <f t="array" ref="V1778">INDEX(xlRTCLNAME,MATCH(1,(xlRTCLENDU=1)*(xlRTCLEQCL=$D1778),0))</f>
        <v>NG_HP</v>
      </c>
      <c r="W1778" s="7" t="str">
        <f t="array" ref="W1778">INDEX(xlRTCLNAME,MATCH(1,(xlRTCLENDU=2)*(xlRTCLEQCL=$F1778),0))</f>
        <v>NG_HP</v>
      </c>
      <c r="X1778" s="7" t="str">
        <f t="array" ref="X1778">INDEX(xlRTTYNAME,MATCH(1,(xlRTTYENDU=1)*(xlRTTYEQCL=$D1778)*(xlRTEQTYPE=$E1778),0))</f>
        <v>NG_HP2</v>
      </c>
      <c r="Y1778" s="7" t="str">
        <f t="array" ref="Y1778">INDEX(xlRTTYNAME,MATCH(1,(xlRTTYENDU=2)*(xlRTTYEQCL=$F1778)*(xlRTEQTYPE=$G1778),0))</f>
        <v>NG_HP2</v>
      </c>
    </row>
    <row r="1779" spans="2:25" ht="14.25" customHeight="1" x14ac:dyDescent="0.2">
      <c r="B1779" s="5">
        <v>8</v>
      </c>
      <c r="C1779" s="5">
        <v>2</v>
      </c>
      <c r="D1779" s="5">
        <v>11</v>
      </c>
      <c r="E1779" s="31">
        <v>35</v>
      </c>
      <c r="F1779" s="5">
        <v>5</v>
      </c>
      <c r="G1779" s="31">
        <v>16</v>
      </c>
      <c r="H1779" s="5">
        <v>2033</v>
      </c>
      <c r="I1779" s="5">
        <v>2050</v>
      </c>
      <c r="J1779" s="142">
        <v>1.0932999999999999</v>
      </c>
      <c r="K1779" s="142">
        <v>1.0323</v>
      </c>
      <c r="L1779" s="142">
        <v>0.55489999999999995</v>
      </c>
      <c r="M1779" s="142">
        <v>1.2087000000000001</v>
      </c>
      <c r="N1779" s="142">
        <v>1.2847999999999999</v>
      </c>
      <c r="O1779" s="142">
        <v>1.0538000000000001</v>
      </c>
      <c r="P1779" s="26">
        <v>3884.3594605760777</v>
      </c>
      <c r="Q1779" s="35">
        <f t="array" ref="Q1779">SUM(IF(($S1779&gt;=4)*($C1779='TaxCred&amp;Subs'!$D$114:$D$121)*($H1779='TaxCred&amp;Subs'!$C$114:$C$121)*($H1779&lt;='TaxCred&amp;Subs'!$C$123),'TaxCred&amp;Subs'!$E$114:$E$121,0))</f>
        <v>0</v>
      </c>
      <c r="R1779" s="143">
        <v>0</v>
      </c>
      <c r="S1779" s="5">
        <v>5</v>
      </c>
      <c r="T1779" s="5" t="s">
        <v>221</v>
      </c>
      <c r="V1779" s="7" t="str">
        <f t="array" ref="V1779">INDEX(xlRTCLNAME,MATCH(1,(xlRTCLENDU=1)*(xlRTCLEQCL=$D1779),0))</f>
        <v>NG_HP</v>
      </c>
      <c r="W1779" s="7" t="str">
        <f t="array" ref="W1779">INDEX(xlRTCLNAME,MATCH(1,(xlRTCLENDU=2)*(xlRTCLEQCL=$F1779),0))</f>
        <v>NG_HP</v>
      </c>
      <c r="X1779" s="7" t="str">
        <f t="array" ref="X1779">INDEX(xlRTTYNAME,MATCH(1,(xlRTTYENDU=1)*(xlRTTYEQCL=$D1779)*(xlRTEQTYPE=$E1779),0))</f>
        <v>NG_HP2</v>
      </c>
      <c r="Y1779" s="7" t="str">
        <f t="array" ref="Y1779">INDEX(xlRTTYNAME,MATCH(1,(xlRTTYENDU=2)*(xlRTTYEQCL=$F1779)*(xlRTEQTYPE=$G1779),0))</f>
        <v>NG_HP2</v>
      </c>
    </row>
    <row r="1780" spans="2:25" ht="14.25" customHeight="1" x14ac:dyDescent="0.2">
      <c r="B1780" s="5">
        <v>9</v>
      </c>
      <c r="C1780" s="5">
        <v>2</v>
      </c>
      <c r="D1780" s="5">
        <v>11</v>
      </c>
      <c r="E1780" s="31">
        <v>35</v>
      </c>
      <c r="F1780" s="5">
        <v>5</v>
      </c>
      <c r="G1780" s="31">
        <v>16</v>
      </c>
      <c r="H1780" s="31">
        <v>2020</v>
      </c>
      <c r="I1780" s="5">
        <v>2022</v>
      </c>
      <c r="J1780" s="142">
        <v>1.07</v>
      </c>
      <c r="K1780" s="142">
        <v>1.0541</v>
      </c>
      <c r="L1780" s="142">
        <v>0.44379999999999997</v>
      </c>
      <c r="M1780" s="142">
        <v>1.1167</v>
      </c>
      <c r="N1780" s="142">
        <v>1.4438</v>
      </c>
      <c r="O1780" s="142">
        <v>1.0538000000000001</v>
      </c>
      <c r="P1780" s="26">
        <v>4447.7193131137647</v>
      </c>
      <c r="Q1780" s="35">
        <f t="array" ref="Q1780">SUM(IF(($S1780&gt;=4)*($C1780='TaxCred&amp;Subs'!$D$114:$D$121)*($H1780='TaxCred&amp;Subs'!$C$114:$C$121)*($H1780&lt;='TaxCred&amp;Subs'!$C$123),'TaxCred&amp;Subs'!$E$114:$E$121,0))</f>
        <v>0</v>
      </c>
      <c r="R1780" s="143">
        <v>0</v>
      </c>
      <c r="S1780" s="5">
        <v>5</v>
      </c>
      <c r="T1780" s="5" t="s">
        <v>221</v>
      </c>
      <c r="V1780" s="7" t="str">
        <f t="array" ref="V1780">INDEX(xlRTCLNAME,MATCH(1,(xlRTCLENDU=1)*(xlRTCLEQCL=$D1780),0))</f>
        <v>NG_HP</v>
      </c>
      <c r="W1780" s="7" t="str">
        <f t="array" ref="W1780">INDEX(xlRTCLNAME,MATCH(1,(xlRTCLENDU=2)*(xlRTCLEQCL=$F1780),0))</f>
        <v>NG_HP</v>
      </c>
      <c r="X1780" s="7" t="str">
        <f t="array" ref="X1780">INDEX(xlRTTYNAME,MATCH(1,(xlRTTYENDU=1)*(xlRTTYEQCL=$D1780)*(xlRTEQTYPE=$E1780),0))</f>
        <v>NG_HP2</v>
      </c>
      <c r="Y1780" s="7" t="str">
        <f t="array" ref="Y1780">INDEX(xlRTTYNAME,MATCH(1,(xlRTTYENDU=2)*(xlRTTYEQCL=$F1780)*(xlRTEQTYPE=$G1780),0))</f>
        <v>NG_HP2</v>
      </c>
    </row>
    <row r="1781" spans="2:25" ht="14.25" customHeight="1" x14ac:dyDescent="0.2">
      <c r="B1781" s="5">
        <v>9</v>
      </c>
      <c r="C1781" s="5">
        <v>2</v>
      </c>
      <c r="D1781" s="5">
        <v>11</v>
      </c>
      <c r="E1781" s="31">
        <v>35</v>
      </c>
      <c r="F1781" s="5">
        <v>5</v>
      </c>
      <c r="G1781" s="31">
        <v>16</v>
      </c>
      <c r="H1781" s="5">
        <v>2023</v>
      </c>
      <c r="I1781" s="5">
        <v>2032</v>
      </c>
      <c r="J1781" s="142">
        <v>1.07</v>
      </c>
      <c r="K1781" s="142">
        <v>1.0541</v>
      </c>
      <c r="L1781" s="142">
        <v>0.44379999999999997</v>
      </c>
      <c r="M1781" s="142">
        <v>1.1167</v>
      </c>
      <c r="N1781" s="142">
        <v>1.4438</v>
      </c>
      <c r="O1781" s="142">
        <v>1.0538000000000001</v>
      </c>
      <c r="P1781" s="26">
        <v>4447.7193131137647</v>
      </c>
      <c r="Q1781" s="35">
        <f t="array" ref="Q1781">SUM(IF(($S1781&gt;=4)*($C1781='TaxCred&amp;Subs'!$D$114:$D$121)*($H1781='TaxCred&amp;Subs'!$C$114:$C$121)*($H1781&lt;='TaxCred&amp;Subs'!$C$123),'TaxCred&amp;Subs'!$E$114:$E$121,0))</f>
        <v>500</v>
      </c>
      <c r="R1781" s="143">
        <v>0</v>
      </c>
      <c r="S1781" s="5">
        <v>5</v>
      </c>
      <c r="T1781" s="5" t="s">
        <v>221</v>
      </c>
      <c r="V1781" s="7" t="str">
        <f t="array" ref="V1781">INDEX(xlRTCLNAME,MATCH(1,(xlRTCLENDU=1)*(xlRTCLEQCL=$D1781),0))</f>
        <v>NG_HP</v>
      </c>
      <c r="W1781" s="7" t="str">
        <f t="array" ref="W1781">INDEX(xlRTCLNAME,MATCH(1,(xlRTCLENDU=2)*(xlRTCLEQCL=$F1781),0))</f>
        <v>NG_HP</v>
      </c>
      <c r="X1781" s="7" t="str">
        <f t="array" ref="X1781">INDEX(xlRTTYNAME,MATCH(1,(xlRTTYENDU=1)*(xlRTTYEQCL=$D1781)*(xlRTEQTYPE=$E1781),0))</f>
        <v>NG_HP2</v>
      </c>
      <c r="Y1781" s="7" t="str">
        <f t="array" ref="Y1781">INDEX(xlRTTYNAME,MATCH(1,(xlRTTYENDU=2)*(xlRTTYEQCL=$F1781)*(xlRTEQTYPE=$G1781),0))</f>
        <v>NG_HP2</v>
      </c>
    </row>
    <row r="1782" spans="2:25" ht="14.25" customHeight="1" x14ac:dyDescent="0.2">
      <c r="B1782" s="5">
        <v>9</v>
      </c>
      <c r="C1782" s="5">
        <v>2</v>
      </c>
      <c r="D1782" s="5">
        <v>11</v>
      </c>
      <c r="E1782" s="31">
        <v>35</v>
      </c>
      <c r="F1782" s="5">
        <v>5</v>
      </c>
      <c r="G1782" s="31">
        <v>16</v>
      </c>
      <c r="H1782" s="5">
        <v>2033</v>
      </c>
      <c r="I1782" s="5">
        <v>2050</v>
      </c>
      <c r="J1782" s="142">
        <v>1.07</v>
      </c>
      <c r="K1782" s="142">
        <v>1.0541</v>
      </c>
      <c r="L1782" s="142">
        <v>0.44379999999999997</v>
      </c>
      <c r="M1782" s="142">
        <v>1.1167</v>
      </c>
      <c r="N1782" s="142">
        <v>1.4438</v>
      </c>
      <c r="O1782" s="142">
        <v>1.0538000000000001</v>
      </c>
      <c r="P1782" s="26">
        <v>4447.7193131137647</v>
      </c>
      <c r="Q1782" s="35">
        <f t="array" ref="Q1782">SUM(IF(($S1782&gt;=4)*($C1782='TaxCred&amp;Subs'!$D$114:$D$121)*($H1782='TaxCred&amp;Subs'!$C$114:$C$121)*($H1782&lt;='TaxCred&amp;Subs'!$C$123),'TaxCred&amp;Subs'!$E$114:$E$121,0))</f>
        <v>0</v>
      </c>
      <c r="R1782" s="143">
        <v>0</v>
      </c>
      <c r="S1782" s="5">
        <v>5</v>
      </c>
      <c r="T1782" s="5" t="s">
        <v>221</v>
      </c>
      <c r="V1782" s="7" t="str">
        <f t="array" ref="V1782">INDEX(xlRTCLNAME,MATCH(1,(xlRTCLENDU=1)*(xlRTCLEQCL=$D1782),0))</f>
        <v>NG_HP</v>
      </c>
      <c r="W1782" s="7" t="str">
        <f t="array" ref="W1782">INDEX(xlRTCLNAME,MATCH(1,(xlRTCLENDU=2)*(xlRTCLEQCL=$F1782),0))</f>
        <v>NG_HP</v>
      </c>
      <c r="X1782" s="7" t="str">
        <f t="array" ref="X1782">INDEX(xlRTTYNAME,MATCH(1,(xlRTTYENDU=1)*(xlRTTYEQCL=$D1782)*(xlRTEQTYPE=$E1782),0))</f>
        <v>NG_HP2</v>
      </c>
      <c r="Y1782" s="7" t="str">
        <f t="array" ref="Y1782">INDEX(xlRTTYNAME,MATCH(1,(xlRTTYENDU=2)*(xlRTTYEQCL=$F1782)*(xlRTEQTYPE=$G1782),0))</f>
        <v>NG_HP2</v>
      </c>
    </row>
    <row r="1783" spans="2:25" x14ac:dyDescent="0.2">
      <c r="B1783" s="5">
        <v>1</v>
      </c>
      <c r="C1783" s="5">
        <v>3</v>
      </c>
      <c r="D1783" s="5">
        <v>1</v>
      </c>
      <c r="E1783" s="5">
        <v>1</v>
      </c>
      <c r="F1783" s="5">
        <v>2</v>
      </c>
      <c r="G1783" s="31">
        <v>4</v>
      </c>
      <c r="H1783" s="31">
        <v>2020</v>
      </c>
      <c r="I1783" s="96">
        <v>2050</v>
      </c>
      <c r="J1783" s="142">
        <v>1.07</v>
      </c>
      <c r="K1783" s="142">
        <v>1.07</v>
      </c>
      <c r="L1783" s="142">
        <v>0.68030000000000002</v>
      </c>
      <c r="M1783" s="142">
        <v>1.0437000000000001</v>
      </c>
      <c r="N1783" s="142">
        <v>0.77680000000000005</v>
      </c>
      <c r="O1783" s="142">
        <v>1.0538000000000001</v>
      </c>
      <c r="P1783" s="26">
        <v>8931.7410510927275</v>
      </c>
      <c r="Q1783" s="35">
        <f t="array" ref="Q1783">SUM(IF(($S1783&gt;=4)*($C1783='TaxCred&amp;Subs'!$D$114:$D$121)*($H1783='TaxCred&amp;Subs'!$C$114:$C$121)*($H1783&lt;='TaxCred&amp;Subs'!$C$123),'TaxCred&amp;Subs'!$E$114:$E$121,0))</f>
        <v>0</v>
      </c>
      <c r="R1783" s="143">
        <v>0</v>
      </c>
      <c r="S1783" s="5">
        <v>2</v>
      </c>
      <c r="T1783" s="5" t="s">
        <v>220</v>
      </c>
      <c r="V1783" s="7" t="str">
        <f t="array" ref="V1783">INDEX(xlRTCLNAME,MATCH(1,(xlRTCLENDU=1)*(xlRTCLEQCL=$D1783),0))</f>
        <v>ELEC_RAD</v>
      </c>
      <c r="W1783" s="7" t="str">
        <f t="array" ref="W1783">INDEX(xlRTCLNAME,MATCH(1,(xlRTCLENDU=2)*(xlRTCLEQCL=$F1783),0))</f>
        <v>CENT_AIR</v>
      </c>
      <c r="X1783" s="7" t="str">
        <f t="array" ref="X1783">INDEX(xlRTTYNAME,MATCH(1,(xlRTTYENDU=1)*(xlRTTYEQCL=$D1783)*(xlRTEQTYPE=$E1783),0))</f>
        <v>ELEC_RAD2</v>
      </c>
      <c r="Y1783" s="7" t="str">
        <f t="array" ref="Y1783">INDEX(xlRTTYNAME,MATCH(1,(xlRTTYENDU=2)*(xlRTTYEQCL=$F1783)*(xlRTEQTYPE=$G1783),0))</f>
        <v>CENT_AIR1</v>
      </c>
    </row>
    <row r="1784" spans="2:25" x14ac:dyDescent="0.2">
      <c r="B1784" s="5">
        <v>2</v>
      </c>
      <c r="C1784" s="5">
        <v>3</v>
      </c>
      <c r="D1784" s="5">
        <v>1</v>
      </c>
      <c r="E1784" s="5">
        <v>1</v>
      </c>
      <c r="F1784" s="5">
        <v>2</v>
      </c>
      <c r="G1784" s="31">
        <v>4</v>
      </c>
      <c r="H1784" s="31">
        <v>2020</v>
      </c>
      <c r="I1784" s="96">
        <v>2050</v>
      </c>
      <c r="J1784" s="142">
        <v>1.0642</v>
      </c>
      <c r="K1784" s="142">
        <v>1.0426</v>
      </c>
      <c r="L1784" s="142">
        <v>0.85629999999999995</v>
      </c>
      <c r="M1784" s="142">
        <v>1.1620999999999999</v>
      </c>
      <c r="N1784" s="142">
        <v>0.84350000000000003</v>
      </c>
      <c r="O1784" s="142">
        <v>1.0538000000000001</v>
      </c>
      <c r="P1784" s="26">
        <v>8227.2051018570528</v>
      </c>
      <c r="Q1784" s="35">
        <f t="array" ref="Q1784">SUM(IF(($S1784&gt;=4)*($C1784='TaxCred&amp;Subs'!$D$114:$D$121)*($H1784='TaxCred&amp;Subs'!$C$114:$C$121)*($H1784&lt;='TaxCred&amp;Subs'!$C$123),'TaxCred&amp;Subs'!$E$114:$E$121,0))</f>
        <v>0</v>
      </c>
      <c r="R1784" s="143">
        <v>0</v>
      </c>
      <c r="S1784" s="5">
        <v>2</v>
      </c>
      <c r="T1784" s="5" t="s">
        <v>220</v>
      </c>
      <c r="V1784" s="7" t="str">
        <f t="array" ref="V1784">INDEX(xlRTCLNAME,MATCH(1,(xlRTCLENDU=1)*(xlRTCLEQCL=$D1784),0))</f>
        <v>ELEC_RAD</v>
      </c>
      <c r="W1784" s="7" t="str">
        <f t="array" ref="W1784">INDEX(xlRTCLNAME,MATCH(1,(xlRTCLENDU=2)*(xlRTCLEQCL=$F1784),0))</f>
        <v>CENT_AIR</v>
      </c>
      <c r="X1784" s="7" t="str">
        <f t="array" ref="X1784">INDEX(xlRTTYNAME,MATCH(1,(xlRTTYENDU=1)*(xlRTTYEQCL=$D1784)*(xlRTEQTYPE=$E1784),0))</f>
        <v>ELEC_RAD2</v>
      </c>
      <c r="Y1784" s="7" t="str">
        <f t="array" ref="Y1784">INDEX(xlRTTYNAME,MATCH(1,(xlRTTYENDU=2)*(xlRTTYEQCL=$F1784)*(xlRTEQTYPE=$G1784),0))</f>
        <v>CENT_AIR1</v>
      </c>
    </row>
    <row r="1785" spans="2:25" x14ac:dyDescent="0.2">
      <c r="B1785" s="5">
        <v>3</v>
      </c>
      <c r="C1785" s="5">
        <v>3</v>
      </c>
      <c r="D1785" s="5">
        <v>1</v>
      </c>
      <c r="E1785" s="5">
        <v>1</v>
      </c>
      <c r="F1785" s="5">
        <v>2</v>
      </c>
      <c r="G1785" s="31">
        <v>4</v>
      </c>
      <c r="H1785" s="31">
        <v>2020</v>
      </c>
      <c r="I1785" s="96">
        <v>2050</v>
      </c>
      <c r="J1785" s="142">
        <v>1.07</v>
      </c>
      <c r="K1785" s="142">
        <v>1.07</v>
      </c>
      <c r="L1785" s="142">
        <v>0.76490000000000002</v>
      </c>
      <c r="M1785" s="142">
        <v>1.0803</v>
      </c>
      <c r="N1785" s="142">
        <v>0.84809999999999997</v>
      </c>
      <c r="O1785" s="142">
        <v>1.0538000000000001</v>
      </c>
      <c r="P1785" s="26">
        <v>9051.4045997224493</v>
      </c>
      <c r="Q1785" s="35">
        <f t="array" ref="Q1785">SUM(IF(($S1785&gt;=4)*($C1785='TaxCred&amp;Subs'!$D$114:$D$121)*($H1785='TaxCred&amp;Subs'!$C$114:$C$121)*($H1785&lt;='TaxCred&amp;Subs'!$C$123),'TaxCred&amp;Subs'!$E$114:$E$121,0))</f>
        <v>0</v>
      </c>
      <c r="R1785" s="143">
        <v>0</v>
      </c>
      <c r="S1785" s="5">
        <v>2</v>
      </c>
      <c r="T1785" s="5" t="s">
        <v>220</v>
      </c>
      <c r="V1785" s="7" t="str">
        <f t="array" ref="V1785">INDEX(xlRTCLNAME,MATCH(1,(xlRTCLENDU=1)*(xlRTCLEQCL=$D1785),0))</f>
        <v>ELEC_RAD</v>
      </c>
      <c r="W1785" s="7" t="str">
        <f t="array" ref="W1785">INDEX(xlRTCLNAME,MATCH(1,(xlRTCLENDU=2)*(xlRTCLEQCL=$F1785),0))</f>
        <v>CENT_AIR</v>
      </c>
      <c r="X1785" s="7" t="str">
        <f t="array" ref="X1785">INDEX(xlRTTYNAME,MATCH(1,(xlRTTYENDU=1)*(xlRTTYEQCL=$D1785)*(xlRTEQTYPE=$E1785),0))</f>
        <v>ELEC_RAD2</v>
      </c>
      <c r="Y1785" s="7" t="str">
        <f t="array" ref="Y1785">INDEX(xlRTTYNAME,MATCH(1,(xlRTTYENDU=2)*(xlRTTYEQCL=$F1785)*(xlRTEQTYPE=$G1785),0))</f>
        <v>CENT_AIR1</v>
      </c>
    </row>
    <row r="1786" spans="2:25" x14ac:dyDescent="0.2">
      <c r="B1786" s="5">
        <v>4</v>
      </c>
      <c r="C1786" s="5">
        <v>3</v>
      </c>
      <c r="D1786" s="5">
        <v>1</v>
      </c>
      <c r="E1786" s="5">
        <v>1</v>
      </c>
      <c r="F1786" s="5">
        <v>2</v>
      </c>
      <c r="G1786" s="31">
        <v>4</v>
      </c>
      <c r="H1786" s="31">
        <v>2020</v>
      </c>
      <c r="I1786" s="96">
        <v>2050</v>
      </c>
      <c r="J1786" s="142">
        <v>1.07</v>
      </c>
      <c r="K1786" s="142">
        <v>1.07</v>
      </c>
      <c r="L1786" s="142">
        <v>0.68989999999999996</v>
      </c>
      <c r="M1786" s="142">
        <v>1.0580000000000001</v>
      </c>
      <c r="N1786" s="142">
        <v>0.77710000000000001</v>
      </c>
      <c r="O1786" s="142">
        <v>1.0538000000000001</v>
      </c>
      <c r="P1786" s="26">
        <v>7912.5840863586773</v>
      </c>
      <c r="Q1786" s="35">
        <f t="array" ref="Q1786">SUM(IF(($S1786&gt;=4)*($C1786='TaxCred&amp;Subs'!$D$114:$D$121)*($H1786='TaxCred&amp;Subs'!$C$114:$C$121)*($H1786&lt;='TaxCred&amp;Subs'!$C$123),'TaxCred&amp;Subs'!$E$114:$E$121,0))</f>
        <v>0</v>
      </c>
      <c r="R1786" s="143">
        <v>0</v>
      </c>
      <c r="S1786" s="5">
        <v>2</v>
      </c>
      <c r="T1786" s="5" t="s">
        <v>220</v>
      </c>
      <c r="V1786" s="7" t="str">
        <f t="array" ref="V1786">INDEX(xlRTCLNAME,MATCH(1,(xlRTCLENDU=1)*(xlRTCLEQCL=$D1786),0))</f>
        <v>ELEC_RAD</v>
      </c>
      <c r="W1786" s="7" t="str">
        <f t="array" ref="W1786">INDEX(xlRTCLNAME,MATCH(1,(xlRTCLENDU=2)*(xlRTCLEQCL=$F1786),0))</f>
        <v>CENT_AIR</v>
      </c>
      <c r="X1786" s="7" t="str">
        <f t="array" ref="X1786">INDEX(xlRTTYNAME,MATCH(1,(xlRTTYENDU=1)*(xlRTTYEQCL=$D1786)*(xlRTEQTYPE=$E1786),0))</f>
        <v>ELEC_RAD2</v>
      </c>
      <c r="Y1786" s="7" t="str">
        <f t="array" ref="Y1786">INDEX(xlRTTYNAME,MATCH(1,(xlRTTYENDU=2)*(xlRTTYEQCL=$F1786)*(xlRTEQTYPE=$G1786),0))</f>
        <v>CENT_AIR1</v>
      </c>
    </row>
    <row r="1787" spans="2:25" x14ac:dyDescent="0.2">
      <c r="B1787" s="5">
        <v>5</v>
      </c>
      <c r="C1787" s="5">
        <v>3</v>
      </c>
      <c r="D1787" s="5">
        <v>1</v>
      </c>
      <c r="E1787" s="5">
        <v>1</v>
      </c>
      <c r="F1787" s="5">
        <v>2</v>
      </c>
      <c r="G1787" s="31">
        <v>4</v>
      </c>
      <c r="H1787" s="31">
        <v>2020</v>
      </c>
      <c r="I1787" s="96">
        <v>2050</v>
      </c>
      <c r="J1787" s="142">
        <v>1.0938000000000001</v>
      </c>
      <c r="K1787" s="142">
        <v>1.0556000000000001</v>
      </c>
      <c r="L1787" s="142">
        <v>0.83420000000000005</v>
      </c>
      <c r="M1787" s="142">
        <v>1.0730999999999999</v>
      </c>
      <c r="N1787" s="142">
        <v>0.83109999999999995</v>
      </c>
      <c r="O1787" s="142">
        <v>1.0538000000000001</v>
      </c>
      <c r="P1787" s="26">
        <v>5589.2288949860695</v>
      </c>
      <c r="Q1787" s="35">
        <f t="array" ref="Q1787">SUM(IF(($S1787&gt;=4)*($C1787='TaxCred&amp;Subs'!$D$114:$D$121)*($H1787='TaxCred&amp;Subs'!$C$114:$C$121)*($H1787&lt;='TaxCred&amp;Subs'!$C$123),'TaxCred&amp;Subs'!$E$114:$E$121,0))</f>
        <v>0</v>
      </c>
      <c r="R1787" s="143">
        <v>0</v>
      </c>
      <c r="S1787" s="5">
        <v>2</v>
      </c>
      <c r="T1787" s="5" t="s">
        <v>220</v>
      </c>
      <c r="V1787" s="7" t="str">
        <f t="array" ref="V1787">INDEX(xlRTCLNAME,MATCH(1,(xlRTCLENDU=1)*(xlRTCLEQCL=$D1787),0))</f>
        <v>ELEC_RAD</v>
      </c>
      <c r="W1787" s="7" t="str">
        <f t="array" ref="W1787">INDEX(xlRTCLNAME,MATCH(1,(xlRTCLENDU=2)*(xlRTCLEQCL=$F1787),0))</f>
        <v>CENT_AIR</v>
      </c>
      <c r="X1787" s="7" t="str">
        <f t="array" ref="X1787">INDEX(xlRTTYNAME,MATCH(1,(xlRTTYENDU=1)*(xlRTTYEQCL=$D1787)*(xlRTEQTYPE=$E1787),0))</f>
        <v>ELEC_RAD2</v>
      </c>
      <c r="Y1787" s="7" t="str">
        <f t="array" ref="Y1787">INDEX(xlRTTYNAME,MATCH(1,(xlRTTYENDU=2)*(xlRTTYEQCL=$F1787)*(xlRTEQTYPE=$G1787),0))</f>
        <v>CENT_AIR1</v>
      </c>
    </row>
    <row r="1788" spans="2:25" x14ac:dyDescent="0.2">
      <c r="B1788" s="5">
        <v>6</v>
      </c>
      <c r="C1788" s="5">
        <v>3</v>
      </c>
      <c r="D1788" s="5">
        <v>1</v>
      </c>
      <c r="E1788" s="5">
        <v>1</v>
      </c>
      <c r="F1788" s="5">
        <v>2</v>
      </c>
      <c r="G1788" s="31">
        <v>4</v>
      </c>
      <c r="H1788" s="31">
        <v>2020</v>
      </c>
      <c r="I1788" s="96">
        <v>2050</v>
      </c>
      <c r="J1788" s="142">
        <v>1.0821000000000001</v>
      </c>
      <c r="K1788" s="142">
        <v>1.0519000000000001</v>
      </c>
      <c r="L1788" s="142">
        <v>0.84409999999999996</v>
      </c>
      <c r="M1788" s="142">
        <v>1.0309999999999999</v>
      </c>
      <c r="N1788" s="142">
        <v>0.80269999999999997</v>
      </c>
      <c r="O1788" s="142">
        <v>1.0538000000000001</v>
      </c>
      <c r="P1788" s="26">
        <v>6398.638516054536</v>
      </c>
      <c r="Q1788" s="35">
        <f t="array" ref="Q1788">SUM(IF(($S1788&gt;=4)*($C1788='TaxCred&amp;Subs'!$D$114:$D$121)*($H1788='TaxCred&amp;Subs'!$C$114:$C$121)*($H1788&lt;='TaxCred&amp;Subs'!$C$123),'TaxCred&amp;Subs'!$E$114:$E$121,0))</f>
        <v>0</v>
      </c>
      <c r="R1788" s="143">
        <v>0</v>
      </c>
      <c r="S1788" s="5">
        <v>2</v>
      </c>
      <c r="T1788" s="5" t="s">
        <v>220</v>
      </c>
      <c r="V1788" s="7" t="str">
        <f t="array" ref="V1788">INDEX(xlRTCLNAME,MATCH(1,(xlRTCLENDU=1)*(xlRTCLEQCL=$D1788),0))</f>
        <v>ELEC_RAD</v>
      </c>
      <c r="W1788" s="7" t="str">
        <f t="array" ref="W1788">INDEX(xlRTCLNAME,MATCH(1,(xlRTCLENDU=2)*(xlRTCLEQCL=$F1788),0))</f>
        <v>CENT_AIR</v>
      </c>
      <c r="X1788" s="7" t="str">
        <f t="array" ref="X1788">INDEX(xlRTTYNAME,MATCH(1,(xlRTTYENDU=1)*(xlRTTYEQCL=$D1788)*(xlRTEQTYPE=$E1788),0))</f>
        <v>ELEC_RAD2</v>
      </c>
      <c r="Y1788" s="7" t="str">
        <f t="array" ref="Y1788">INDEX(xlRTTYNAME,MATCH(1,(xlRTTYENDU=2)*(xlRTTYEQCL=$F1788)*(xlRTEQTYPE=$G1788),0))</f>
        <v>CENT_AIR1</v>
      </c>
    </row>
    <row r="1789" spans="2:25" x14ac:dyDescent="0.2">
      <c r="B1789" s="5">
        <v>7</v>
      </c>
      <c r="C1789" s="5">
        <v>3</v>
      </c>
      <c r="D1789" s="5">
        <v>1</v>
      </c>
      <c r="E1789" s="5">
        <v>1</v>
      </c>
      <c r="F1789" s="5">
        <v>2</v>
      </c>
      <c r="G1789" s="31">
        <v>4</v>
      </c>
      <c r="H1789" s="31">
        <v>2020</v>
      </c>
      <c r="I1789" s="96">
        <v>2050</v>
      </c>
      <c r="J1789" s="142">
        <v>1.0893999999999999</v>
      </c>
      <c r="K1789" s="142">
        <v>1.0512999999999999</v>
      </c>
      <c r="L1789" s="142">
        <v>0.86060000000000003</v>
      </c>
      <c r="M1789" s="142">
        <v>1.0754999999999999</v>
      </c>
      <c r="N1789" s="142">
        <v>0.8115</v>
      </c>
      <c r="O1789" s="142">
        <v>1.0538000000000001</v>
      </c>
      <c r="P1789" s="26">
        <v>3753.9396379122222</v>
      </c>
      <c r="Q1789" s="35">
        <f t="array" ref="Q1789">SUM(IF(($S1789&gt;=4)*($C1789='TaxCred&amp;Subs'!$D$114:$D$121)*($H1789='TaxCred&amp;Subs'!$C$114:$C$121)*($H1789&lt;='TaxCred&amp;Subs'!$C$123),'TaxCred&amp;Subs'!$E$114:$E$121,0))</f>
        <v>0</v>
      </c>
      <c r="R1789" s="143">
        <v>0</v>
      </c>
      <c r="S1789" s="5">
        <v>2</v>
      </c>
      <c r="T1789" s="5" t="s">
        <v>220</v>
      </c>
      <c r="V1789" s="7" t="str">
        <f t="array" ref="V1789">INDEX(xlRTCLNAME,MATCH(1,(xlRTCLENDU=1)*(xlRTCLEQCL=$D1789),0))</f>
        <v>ELEC_RAD</v>
      </c>
      <c r="W1789" s="7" t="str">
        <f t="array" ref="W1789">INDEX(xlRTCLNAME,MATCH(1,(xlRTCLENDU=2)*(xlRTCLEQCL=$F1789),0))</f>
        <v>CENT_AIR</v>
      </c>
      <c r="X1789" s="7" t="str">
        <f t="array" ref="X1789">INDEX(xlRTTYNAME,MATCH(1,(xlRTTYENDU=1)*(xlRTTYEQCL=$D1789)*(xlRTEQTYPE=$E1789),0))</f>
        <v>ELEC_RAD2</v>
      </c>
      <c r="Y1789" s="7" t="str">
        <f t="array" ref="Y1789">INDEX(xlRTTYNAME,MATCH(1,(xlRTTYENDU=2)*(xlRTTYEQCL=$F1789)*(xlRTEQTYPE=$G1789),0))</f>
        <v>CENT_AIR1</v>
      </c>
    </row>
    <row r="1790" spans="2:25" x14ac:dyDescent="0.2">
      <c r="B1790" s="5">
        <v>8</v>
      </c>
      <c r="C1790" s="5">
        <v>3</v>
      </c>
      <c r="D1790" s="5">
        <v>1</v>
      </c>
      <c r="E1790" s="5">
        <v>1</v>
      </c>
      <c r="F1790" s="5">
        <v>2</v>
      </c>
      <c r="G1790" s="31">
        <v>4</v>
      </c>
      <c r="H1790" s="31">
        <v>2020</v>
      </c>
      <c r="I1790" s="96">
        <v>2050</v>
      </c>
      <c r="J1790" s="142">
        <v>1.07</v>
      </c>
      <c r="K1790" s="142">
        <v>1.07</v>
      </c>
      <c r="L1790" s="142">
        <v>0.75639999999999996</v>
      </c>
      <c r="M1790" s="142">
        <v>1.0437000000000001</v>
      </c>
      <c r="N1790" s="142">
        <v>0.80559999999999998</v>
      </c>
      <c r="O1790" s="142">
        <v>1.0538000000000001</v>
      </c>
      <c r="P1790" s="26">
        <v>7396.2829327203208</v>
      </c>
      <c r="Q1790" s="35">
        <f t="array" ref="Q1790">SUM(IF(($S1790&gt;=4)*($C1790='TaxCred&amp;Subs'!$D$114:$D$121)*($H1790='TaxCred&amp;Subs'!$C$114:$C$121)*($H1790&lt;='TaxCred&amp;Subs'!$C$123),'TaxCred&amp;Subs'!$E$114:$E$121,0))</f>
        <v>0</v>
      </c>
      <c r="R1790" s="143">
        <v>0</v>
      </c>
      <c r="S1790" s="5">
        <v>2</v>
      </c>
      <c r="T1790" s="5" t="s">
        <v>220</v>
      </c>
      <c r="V1790" s="7" t="str">
        <f t="array" ref="V1790">INDEX(xlRTCLNAME,MATCH(1,(xlRTCLENDU=1)*(xlRTCLEQCL=$D1790),0))</f>
        <v>ELEC_RAD</v>
      </c>
      <c r="W1790" s="7" t="str">
        <f t="array" ref="W1790">INDEX(xlRTCLNAME,MATCH(1,(xlRTCLENDU=2)*(xlRTCLEQCL=$F1790),0))</f>
        <v>CENT_AIR</v>
      </c>
      <c r="X1790" s="7" t="str">
        <f t="array" ref="X1790">INDEX(xlRTTYNAME,MATCH(1,(xlRTTYENDU=1)*(xlRTTYEQCL=$D1790)*(xlRTEQTYPE=$E1790),0))</f>
        <v>ELEC_RAD2</v>
      </c>
      <c r="Y1790" s="7" t="str">
        <f t="array" ref="Y1790">INDEX(xlRTTYNAME,MATCH(1,(xlRTTYENDU=2)*(xlRTTYEQCL=$F1790)*(xlRTEQTYPE=$G1790),0))</f>
        <v>CENT_AIR1</v>
      </c>
    </row>
    <row r="1791" spans="2:25" x14ac:dyDescent="0.2">
      <c r="B1791" s="5">
        <v>9</v>
      </c>
      <c r="C1791" s="5">
        <v>3</v>
      </c>
      <c r="D1791" s="5">
        <v>1</v>
      </c>
      <c r="E1791" s="5">
        <v>1</v>
      </c>
      <c r="F1791" s="5">
        <v>2</v>
      </c>
      <c r="G1791" s="31">
        <v>4</v>
      </c>
      <c r="H1791" s="31">
        <v>2020</v>
      </c>
      <c r="I1791" s="96">
        <v>2050</v>
      </c>
      <c r="J1791" s="142">
        <v>1.07</v>
      </c>
      <c r="K1791" s="142">
        <v>1.07</v>
      </c>
      <c r="L1791" s="142">
        <v>0.88090000000000002</v>
      </c>
      <c r="M1791" s="142">
        <v>1.0833999999999999</v>
      </c>
      <c r="N1791" s="142">
        <v>0.84340000000000004</v>
      </c>
      <c r="O1791" s="142">
        <v>1.0538000000000001</v>
      </c>
      <c r="P1791" s="26">
        <v>9605.3527124802695</v>
      </c>
      <c r="Q1791" s="35">
        <f t="array" ref="Q1791">SUM(IF(($S1791&gt;=4)*($C1791='TaxCred&amp;Subs'!$D$114:$D$121)*($H1791='TaxCred&amp;Subs'!$C$114:$C$121)*($H1791&lt;='TaxCred&amp;Subs'!$C$123),'TaxCred&amp;Subs'!$E$114:$E$121,0))</f>
        <v>0</v>
      </c>
      <c r="R1791" s="143">
        <v>0</v>
      </c>
      <c r="S1791" s="5">
        <v>2</v>
      </c>
      <c r="T1791" s="5" t="s">
        <v>220</v>
      </c>
      <c r="V1791" s="7" t="str">
        <f t="array" ref="V1791">INDEX(xlRTCLNAME,MATCH(1,(xlRTCLENDU=1)*(xlRTCLEQCL=$D1791),0))</f>
        <v>ELEC_RAD</v>
      </c>
      <c r="W1791" s="7" t="str">
        <f t="array" ref="W1791">INDEX(xlRTCLNAME,MATCH(1,(xlRTCLENDU=2)*(xlRTCLEQCL=$F1791),0))</f>
        <v>CENT_AIR</v>
      </c>
      <c r="X1791" s="7" t="str">
        <f t="array" ref="X1791">INDEX(xlRTTYNAME,MATCH(1,(xlRTTYENDU=1)*(xlRTTYEQCL=$D1791)*(xlRTEQTYPE=$E1791),0))</f>
        <v>ELEC_RAD2</v>
      </c>
      <c r="Y1791" s="7" t="str">
        <f t="array" ref="Y1791">INDEX(xlRTTYNAME,MATCH(1,(xlRTTYENDU=2)*(xlRTTYEQCL=$F1791)*(xlRTEQTYPE=$G1791),0))</f>
        <v>CENT_AIR1</v>
      </c>
    </row>
    <row r="1792" spans="2:25" x14ac:dyDescent="0.2">
      <c r="B1792" s="5">
        <v>1</v>
      </c>
      <c r="C1792" s="5">
        <v>3</v>
      </c>
      <c r="D1792" s="5">
        <v>2</v>
      </c>
      <c r="E1792" s="5">
        <v>2</v>
      </c>
      <c r="F1792" s="5">
        <v>3</v>
      </c>
      <c r="G1792" s="31">
        <v>8</v>
      </c>
      <c r="H1792" s="31">
        <v>2020</v>
      </c>
      <c r="I1792" s="96">
        <v>2050</v>
      </c>
      <c r="J1792" s="142">
        <v>1.0763</v>
      </c>
      <c r="K1792" s="142">
        <v>1.0588</v>
      </c>
      <c r="L1792" s="142">
        <v>0.7964</v>
      </c>
      <c r="M1792" s="142">
        <v>1.0588</v>
      </c>
      <c r="N1792" s="142">
        <v>0.77080000000000004</v>
      </c>
      <c r="O1792" s="142">
        <v>1.0538000000000001</v>
      </c>
      <c r="P1792" s="26">
        <v>6008.7235823172359</v>
      </c>
      <c r="Q1792" s="35">
        <f t="array" ref="Q1792">SUM(IF(($S1792&gt;=4)*($C1792='TaxCred&amp;Subs'!$D$114:$D$121)*($H1792='TaxCred&amp;Subs'!$C$114:$C$121)*($H1792&lt;='TaxCred&amp;Subs'!$C$123),'TaxCred&amp;Subs'!$E$114:$E$121,0))</f>
        <v>0</v>
      </c>
      <c r="R1792" s="143">
        <v>0</v>
      </c>
      <c r="S1792" s="5">
        <v>2</v>
      </c>
      <c r="T1792" s="5" t="s">
        <v>220</v>
      </c>
      <c r="V1792" s="7" t="str">
        <f t="array" ref="V1792">INDEX(xlRTCLNAME,MATCH(1,(xlRTCLENDU=1)*(xlRTCLEQCL=$D1792),0))</f>
        <v>ELEC_HP</v>
      </c>
      <c r="W1792" s="7" t="str">
        <f t="array" ref="W1792">INDEX(xlRTCLNAME,MATCH(1,(xlRTCLENDU=2)*(xlRTCLEQCL=$F1792),0))</f>
        <v>ELEC_HP</v>
      </c>
      <c r="X1792" s="7" t="str">
        <f t="array" ref="X1792">INDEX(xlRTTYNAME,MATCH(1,(xlRTTYENDU=1)*(xlRTTYEQCL=$D1792)*(xlRTEQTYPE=$E1792),0))</f>
        <v>ELEC_HP1</v>
      </c>
      <c r="Y1792" s="7" t="str">
        <f t="array" ref="Y1792">INDEX(xlRTTYNAME,MATCH(1,(xlRTTYENDU=2)*(xlRTTYEQCL=$F1792)*(xlRTEQTYPE=$G1792),0))</f>
        <v>ELEC_HP1</v>
      </c>
    </row>
    <row r="1793" spans="2:25" x14ac:dyDescent="0.2">
      <c r="B1793" s="5">
        <v>2</v>
      </c>
      <c r="C1793" s="5">
        <v>3</v>
      </c>
      <c r="D1793" s="5">
        <v>2</v>
      </c>
      <c r="E1793" s="5">
        <v>2</v>
      </c>
      <c r="F1793" s="5">
        <v>3</v>
      </c>
      <c r="G1793" s="31">
        <v>8</v>
      </c>
      <c r="H1793" s="31">
        <v>2020</v>
      </c>
      <c r="I1793" s="96">
        <v>2050</v>
      </c>
      <c r="J1793" s="142">
        <v>1.0746</v>
      </c>
      <c r="K1793" s="142">
        <v>1.0625</v>
      </c>
      <c r="L1793" s="142">
        <v>0.91669999999999996</v>
      </c>
      <c r="M1793" s="142">
        <v>1.1753</v>
      </c>
      <c r="N1793" s="142">
        <v>0.83340000000000003</v>
      </c>
      <c r="O1793" s="142">
        <v>1.0538000000000001</v>
      </c>
      <c r="P1793" s="26">
        <v>5364.6916745235549</v>
      </c>
      <c r="Q1793" s="35">
        <f t="array" ref="Q1793">SUM(IF(($S1793&gt;=4)*($C1793='TaxCred&amp;Subs'!$D$114:$D$121)*($H1793='TaxCred&amp;Subs'!$C$114:$C$121)*($H1793&lt;='TaxCred&amp;Subs'!$C$123),'TaxCred&amp;Subs'!$E$114:$E$121,0))</f>
        <v>0</v>
      </c>
      <c r="R1793" s="143">
        <v>0</v>
      </c>
      <c r="S1793" s="5">
        <v>2</v>
      </c>
      <c r="T1793" s="5" t="s">
        <v>220</v>
      </c>
      <c r="V1793" s="7" t="str">
        <f t="array" ref="V1793">INDEX(xlRTCLNAME,MATCH(1,(xlRTCLENDU=1)*(xlRTCLEQCL=$D1793),0))</f>
        <v>ELEC_HP</v>
      </c>
      <c r="W1793" s="7" t="str">
        <f t="array" ref="W1793">INDEX(xlRTCLNAME,MATCH(1,(xlRTCLENDU=2)*(xlRTCLEQCL=$F1793),0))</f>
        <v>ELEC_HP</v>
      </c>
      <c r="X1793" s="7" t="str">
        <f t="array" ref="X1793">INDEX(xlRTTYNAME,MATCH(1,(xlRTTYENDU=1)*(xlRTTYEQCL=$D1793)*(xlRTEQTYPE=$E1793),0))</f>
        <v>ELEC_HP1</v>
      </c>
      <c r="Y1793" s="7" t="str">
        <f t="array" ref="Y1793">INDEX(xlRTTYNAME,MATCH(1,(xlRTTYENDU=2)*(xlRTTYEQCL=$F1793)*(xlRTEQTYPE=$G1793),0))</f>
        <v>ELEC_HP1</v>
      </c>
    </row>
    <row r="1794" spans="2:25" x14ac:dyDescent="0.2">
      <c r="B1794" s="5">
        <v>3</v>
      </c>
      <c r="C1794" s="5">
        <v>3</v>
      </c>
      <c r="D1794" s="5">
        <v>2</v>
      </c>
      <c r="E1794" s="5">
        <v>2</v>
      </c>
      <c r="F1794" s="5">
        <v>3</v>
      </c>
      <c r="G1794" s="31">
        <v>8</v>
      </c>
      <c r="H1794" s="31">
        <v>2020</v>
      </c>
      <c r="I1794" s="96">
        <v>2050</v>
      </c>
      <c r="J1794" s="142">
        <v>1.0751999999999999</v>
      </c>
      <c r="K1794" s="142">
        <v>1.0651999999999999</v>
      </c>
      <c r="L1794" s="142">
        <v>0.80310000000000004</v>
      </c>
      <c r="M1794" s="142">
        <v>1.1047</v>
      </c>
      <c r="N1794" s="142">
        <v>0.8347</v>
      </c>
      <c r="O1794" s="142">
        <v>1.0538000000000001</v>
      </c>
      <c r="P1794" s="26">
        <v>8912.9175715329948</v>
      </c>
      <c r="Q1794" s="35">
        <f t="array" ref="Q1794">SUM(IF(($S1794&gt;=4)*($C1794='TaxCred&amp;Subs'!$D$114:$D$121)*($H1794='TaxCred&amp;Subs'!$C$114:$C$121)*($H1794&lt;='TaxCred&amp;Subs'!$C$123),'TaxCred&amp;Subs'!$E$114:$E$121,0))</f>
        <v>0</v>
      </c>
      <c r="R1794" s="143">
        <v>0</v>
      </c>
      <c r="S1794" s="5">
        <v>2</v>
      </c>
      <c r="T1794" s="5" t="s">
        <v>220</v>
      </c>
      <c r="V1794" s="7" t="str">
        <f t="array" ref="V1794">INDEX(xlRTCLNAME,MATCH(1,(xlRTCLENDU=1)*(xlRTCLEQCL=$D1794),0))</f>
        <v>ELEC_HP</v>
      </c>
      <c r="W1794" s="7" t="str">
        <f t="array" ref="W1794">INDEX(xlRTCLNAME,MATCH(1,(xlRTCLENDU=2)*(xlRTCLEQCL=$F1794),0))</f>
        <v>ELEC_HP</v>
      </c>
      <c r="X1794" s="7" t="str">
        <f t="array" ref="X1794">INDEX(xlRTTYNAME,MATCH(1,(xlRTTYENDU=1)*(xlRTTYEQCL=$D1794)*(xlRTEQTYPE=$E1794),0))</f>
        <v>ELEC_HP1</v>
      </c>
      <c r="Y1794" s="7" t="str">
        <f t="array" ref="Y1794">INDEX(xlRTTYNAME,MATCH(1,(xlRTTYENDU=2)*(xlRTTYEQCL=$F1794)*(xlRTEQTYPE=$G1794),0))</f>
        <v>ELEC_HP1</v>
      </c>
    </row>
    <row r="1795" spans="2:25" x14ac:dyDescent="0.2">
      <c r="B1795" s="5">
        <v>4</v>
      </c>
      <c r="C1795" s="5">
        <v>3</v>
      </c>
      <c r="D1795" s="5">
        <v>2</v>
      </c>
      <c r="E1795" s="5">
        <v>2</v>
      </c>
      <c r="F1795" s="5">
        <v>3</v>
      </c>
      <c r="G1795" s="31">
        <v>8</v>
      </c>
      <c r="H1795" s="31">
        <v>2020</v>
      </c>
      <c r="I1795" s="96">
        <v>2050</v>
      </c>
      <c r="J1795" s="142">
        <v>1.079</v>
      </c>
      <c r="K1795" s="142">
        <v>1.0541</v>
      </c>
      <c r="L1795" s="142">
        <v>0.73070000000000002</v>
      </c>
      <c r="M1795" s="142">
        <v>1.0722</v>
      </c>
      <c r="N1795" s="142">
        <v>0.76919999999999999</v>
      </c>
      <c r="O1795" s="142">
        <v>1.0538000000000001</v>
      </c>
      <c r="P1795" s="26">
        <v>7162.3339724779389</v>
      </c>
      <c r="Q1795" s="35">
        <f t="array" ref="Q1795">SUM(IF(($S1795&gt;=4)*($C1795='TaxCred&amp;Subs'!$D$114:$D$121)*($H1795='TaxCred&amp;Subs'!$C$114:$C$121)*($H1795&lt;='TaxCred&amp;Subs'!$C$123),'TaxCred&amp;Subs'!$E$114:$E$121,0))</f>
        <v>0</v>
      </c>
      <c r="R1795" s="143">
        <v>0</v>
      </c>
      <c r="S1795" s="5">
        <v>2</v>
      </c>
      <c r="T1795" s="5" t="s">
        <v>220</v>
      </c>
      <c r="V1795" s="7" t="str">
        <f t="array" ref="V1795">INDEX(xlRTCLNAME,MATCH(1,(xlRTCLENDU=1)*(xlRTCLEQCL=$D1795),0))</f>
        <v>ELEC_HP</v>
      </c>
      <c r="W1795" s="7" t="str">
        <f t="array" ref="W1795">INDEX(xlRTCLNAME,MATCH(1,(xlRTCLENDU=2)*(xlRTCLEQCL=$F1795),0))</f>
        <v>ELEC_HP</v>
      </c>
      <c r="X1795" s="7" t="str">
        <f t="array" ref="X1795">INDEX(xlRTTYNAME,MATCH(1,(xlRTTYENDU=1)*(xlRTTYEQCL=$D1795)*(xlRTEQTYPE=$E1795),0))</f>
        <v>ELEC_HP1</v>
      </c>
      <c r="Y1795" s="7" t="str">
        <f t="array" ref="Y1795">INDEX(xlRTTYNAME,MATCH(1,(xlRTTYENDU=2)*(xlRTTYEQCL=$F1795)*(xlRTEQTYPE=$G1795),0))</f>
        <v>ELEC_HP1</v>
      </c>
    </row>
    <row r="1796" spans="2:25" x14ac:dyDescent="0.2">
      <c r="B1796" s="5">
        <v>5</v>
      </c>
      <c r="C1796" s="5">
        <v>3</v>
      </c>
      <c r="D1796" s="5">
        <v>2</v>
      </c>
      <c r="E1796" s="5">
        <v>2</v>
      </c>
      <c r="F1796" s="5">
        <v>3</v>
      </c>
      <c r="G1796" s="31">
        <v>8</v>
      </c>
      <c r="H1796" s="31">
        <v>2020</v>
      </c>
      <c r="I1796" s="96">
        <v>2050</v>
      </c>
      <c r="J1796" s="142">
        <v>1.08</v>
      </c>
      <c r="K1796" s="142">
        <v>1.0583</v>
      </c>
      <c r="L1796" s="142">
        <v>0.97819999999999996</v>
      </c>
      <c r="M1796" s="142">
        <v>1.1496</v>
      </c>
      <c r="N1796" s="142">
        <v>0.82640000000000002</v>
      </c>
      <c r="O1796" s="142">
        <v>1.0538000000000001</v>
      </c>
      <c r="P1796" s="26">
        <v>3003.6895240314843</v>
      </c>
      <c r="Q1796" s="35">
        <f t="array" ref="Q1796">SUM(IF(($S1796&gt;=4)*($C1796='TaxCred&amp;Subs'!$D$114:$D$121)*($H1796='TaxCred&amp;Subs'!$C$114:$C$121)*($H1796&lt;='TaxCred&amp;Subs'!$C$123),'TaxCred&amp;Subs'!$E$114:$E$121,0))</f>
        <v>0</v>
      </c>
      <c r="R1796" s="143">
        <v>0</v>
      </c>
      <c r="S1796" s="5">
        <v>2</v>
      </c>
      <c r="T1796" s="5" t="s">
        <v>220</v>
      </c>
      <c r="V1796" s="7" t="str">
        <f t="array" ref="V1796">INDEX(xlRTCLNAME,MATCH(1,(xlRTCLENDU=1)*(xlRTCLEQCL=$D1796),0))</f>
        <v>ELEC_HP</v>
      </c>
      <c r="W1796" s="7" t="str">
        <f t="array" ref="W1796">INDEX(xlRTCLNAME,MATCH(1,(xlRTCLENDU=2)*(xlRTCLEQCL=$F1796),0))</f>
        <v>ELEC_HP</v>
      </c>
      <c r="X1796" s="7" t="str">
        <f t="array" ref="X1796">INDEX(xlRTTYNAME,MATCH(1,(xlRTTYENDU=1)*(xlRTTYEQCL=$D1796)*(xlRTEQTYPE=$E1796),0))</f>
        <v>ELEC_HP1</v>
      </c>
      <c r="Y1796" s="7" t="str">
        <f t="array" ref="Y1796">INDEX(xlRTTYNAME,MATCH(1,(xlRTTYENDU=2)*(xlRTTYEQCL=$F1796)*(xlRTEQTYPE=$G1796),0))</f>
        <v>ELEC_HP1</v>
      </c>
    </row>
    <row r="1797" spans="2:25" x14ac:dyDescent="0.2">
      <c r="B1797" s="5">
        <v>6</v>
      </c>
      <c r="C1797" s="5">
        <v>3</v>
      </c>
      <c r="D1797" s="5">
        <v>2</v>
      </c>
      <c r="E1797" s="5">
        <v>2</v>
      </c>
      <c r="F1797" s="5">
        <v>3</v>
      </c>
      <c r="G1797" s="31">
        <v>8</v>
      </c>
      <c r="H1797" s="31">
        <v>2020</v>
      </c>
      <c r="I1797" s="96">
        <v>2050</v>
      </c>
      <c r="J1797" s="142">
        <v>1.0784</v>
      </c>
      <c r="K1797" s="142">
        <v>1.0667</v>
      </c>
      <c r="L1797" s="142">
        <v>0.87590000000000001</v>
      </c>
      <c r="M1797" s="142">
        <v>1.1133</v>
      </c>
      <c r="N1797" s="142">
        <v>0.79679999999999995</v>
      </c>
      <c r="O1797" s="142">
        <v>1.0538000000000001</v>
      </c>
      <c r="P1797" s="26">
        <v>3880.3258578132786</v>
      </c>
      <c r="Q1797" s="35">
        <f t="array" ref="Q1797">SUM(IF(($S1797&gt;=4)*($C1797='TaxCred&amp;Subs'!$D$114:$D$121)*($H1797='TaxCred&amp;Subs'!$C$114:$C$121)*($H1797&lt;='TaxCred&amp;Subs'!$C$123),'TaxCred&amp;Subs'!$E$114:$E$121,0))</f>
        <v>0</v>
      </c>
      <c r="R1797" s="143">
        <v>0</v>
      </c>
      <c r="S1797" s="5">
        <v>2</v>
      </c>
      <c r="T1797" s="5" t="s">
        <v>220</v>
      </c>
      <c r="V1797" s="7" t="str">
        <f t="array" ref="V1797">INDEX(xlRTCLNAME,MATCH(1,(xlRTCLENDU=1)*(xlRTCLEQCL=$D1797),0))</f>
        <v>ELEC_HP</v>
      </c>
      <c r="W1797" s="7" t="str">
        <f t="array" ref="W1797">INDEX(xlRTCLNAME,MATCH(1,(xlRTCLENDU=2)*(xlRTCLEQCL=$F1797),0))</f>
        <v>ELEC_HP</v>
      </c>
      <c r="X1797" s="7" t="str">
        <f t="array" ref="X1797">INDEX(xlRTTYNAME,MATCH(1,(xlRTTYENDU=1)*(xlRTTYEQCL=$D1797)*(xlRTEQTYPE=$E1797),0))</f>
        <v>ELEC_HP1</v>
      </c>
      <c r="Y1797" s="7" t="str">
        <f t="array" ref="Y1797">INDEX(xlRTTYNAME,MATCH(1,(xlRTTYENDU=2)*(xlRTTYEQCL=$F1797)*(xlRTEQTYPE=$G1797),0))</f>
        <v>ELEC_HP1</v>
      </c>
    </row>
    <row r="1798" spans="2:25" x14ac:dyDescent="0.2">
      <c r="B1798" s="5">
        <v>7</v>
      </c>
      <c r="C1798" s="5">
        <v>3</v>
      </c>
      <c r="D1798" s="5">
        <v>2</v>
      </c>
      <c r="E1798" s="5">
        <v>2</v>
      </c>
      <c r="F1798" s="5">
        <v>3</v>
      </c>
      <c r="G1798" s="31">
        <v>8</v>
      </c>
      <c r="H1798" s="31">
        <v>2020</v>
      </c>
      <c r="I1798" s="96">
        <v>2050</v>
      </c>
      <c r="J1798" s="142">
        <v>1.0926</v>
      </c>
      <c r="K1798" s="142">
        <v>1.05</v>
      </c>
      <c r="L1798" s="142">
        <v>0.87080000000000002</v>
      </c>
      <c r="M1798" s="142">
        <v>1.0891</v>
      </c>
      <c r="N1798" s="142">
        <v>0.81159999999999999</v>
      </c>
      <c r="O1798" s="142">
        <v>1.0538000000000001</v>
      </c>
      <c r="P1798" s="26">
        <v>3638.3096920452986</v>
      </c>
      <c r="Q1798" s="35">
        <f t="array" ref="Q1798">SUM(IF(($S1798&gt;=4)*($C1798='TaxCred&amp;Subs'!$D$114:$D$121)*($H1798='TaxCred&amp;Subs'!$C$114:$C$121)*($H1798&lt;='TaxCred&amp;Subs'!$C$123),'TaxCred&amp;Subs'!$E$114:$E$121,0))</f>
        <v>0</v>
      </c>
      <c r="R1798" s="143">
        <v>0</v>
      </c>
      <c r="S1798" s="5">
        <v>2</v>
      </c>
      <c r="T1798" s="5" t="s">
        <v>220</v>
      </c>
      <c r="V1798" s="7" t="str">
        <f t="array" ref="V1798">INDEX(xlRTCLNAME,MATCH(1,(xlRTCLENDU=1)*(xlRTCLEQCL=$D1798),0))</f>
        <v>ELEC_HP</v>
      </c>
      <c r="W1798" s="7" t="str">
        <f t="array" ref="W1798">INDEX(xlRTCLNAME,MATCH(1,(xlRTCLENDU=2)*(xlRTCLEQCL=$F1798),0))</f>
        <v>ELEC_HP</v>
      </c>
      <c r="X1798" s="7" t="str">
        <f t="array" ref="X1798">INDEX(xlRTTYNAME,MATCH(1,(xlRTTYENDU=1)*(xlRTTYEQCL=$D1798)*(xlRTEQTYPE=$E1798),0))</f>
        <v>ELEC_HP1</v>
      </c>
      <c r="Y1798" s="7" t="str">
        <f t="array" ref="Y1798">INDEX(xlRTTYNAME,MATCH(1,(xlRTTYENDU=2)*(xlRTTYEQCL=$F1798)*(xlRTEQTYPE=$G1798),0))</f>
        <v>ELEC_HP1</v>
      </c>
    </row>
    <row r="1799" spans="2:25" x14ac:dyDescent="0.2">
      <c r="B1799" s="5">
        <v>8</v>
      </c>
      <c r="C1799" s="5">
        <v>3</v>
      </c>
      <c r="D1799" s="5">
        <v>2</v>
      </c>
      <c r="E1799" s="5">
        <v>2</v>
      </c>
      <c r="F1799" s="5">
        <v>3</v>
      </c>
      <c r="G1799" s="31">
        <v>8</v>
      </c>
      <c r="H1799" s="31">
        <v>2020</v>
      </c>
      <c r="I1799" s="96">
        <v>2050</v>
      </c>
      <c r="J1799" s="142">
        <v>1.0847</v>
      </c>
      <c r="K1799" s="142">
        <v>1.0556000000000001</v>
      </c>
      <c r="L1799" s="142">
        <v>0.81089999999999995</v>
      </c>
      <c r="M1799" s="142">
        <v>1.1181000000000001</v>
      </c>
      <c r="N1799" s="142">
        <v>0.79769999999999996</v>
      </c>
      <c r="O1799" s="142">
        <v>1.0538000000000001</v>
      </c>
      <c r="P1799" s="26">
        <v>5776.1191563291213</v>
      </c>
      <c r="Q1799" s="35">
        <f t="array" ref="Q1799">SUM(IF(($S1799&gt;=4)*($C1799='TaxCred&amp;Subs'!$D$114:$D$121)*($H1799='TaxCred&amp;Subs'!$C$114:$C$121)*($H1799&lt;='TaxCred&amp;Subs'!$C$123),'TaxCred&amp;Subs'!$E$114:$E$121,0))</f>
        <v>0</v>
      </c>
      <c r="R1799" s="143">
        <v>0</v>
      </c>
      <c r="S1799" s="5">
        <v>2</v>
      </c>
      <c r="T1799" s="5" t="s">
        <v>220</v>
      </c>
      <c r="V1799" s="7" t="str">
        <f t="array" ref="V1799">INDEX(xlRTCLNAME,MATCH(1,(xlRTCLENDU=1)*(xlRTCLEQCL=$D1799),0))</f>
        <v>ELEC_HP</v>
      </c>
      <c r="W1799" s="7" t="str">
        <f t="array" ref="W1799">INDEX(xlRTCLNAME,MATCH(1,(xlRTCLENDU=2)*(xlRTCLEQCL=$F1799),0))</f>
        <v>ELEC_HP</v>
      </c>
      <c r="X1799" s="7" t="str">
        <f t="array" ref="X1799">INDEX(xlRTTYNAME,MATCH(1,(xlRTTYENDU=1)*(xlRTTYEQCL=$D1799)*(xlRTEQTYPE=$E1799),0))</f>
        <v>ELEC_HP1</v>
      </c>
      <c r="Y1799" s="7" t="str">
        <f t="array" ref="Y1799">INDEX(xlRTTYNAME,MATCH(1,(xlRTTYENDU=2)*(xlRTTYEQCL=$F1799)*(xlRTEQTYPE=$G1799),0))</f>
        <v>ELEC_HP1</v>
      </c>
    </row>
    <row r="1800" spans="2:25" x14ac:dyDescent="0.2">
      <c r="B1800" s="5">
        <v>9</v>
      </c>
      <c r="C1800" s="5">
        <v>3</v>
      </c>
      <c r="D1800" s="5">
        <v>2</v>
      </c>
      <c r="E1800" s="5">
        <v>2</v>
      </c>
      <c r="F1800" s="5">
        <v>3</v>
      </c>
      <c r="G1800" s="31">
        <v>8</v>
      </c>
      <c r="H1800" s="31">
        <v>2020</v>
      </c>
      <c r="I1800" s="96">
        <v>2050</v>
      </c>
      <c r="J1800" s="142">
        <v>1.075</v>
      </c>
      <c r="K1800" s="142">
        <v>1.0625</v>
      </c>
      <c r="L1800" s="142">
        <v>0.91180000000000005</v>
      </c>
      <c r="M1800" s="142">
        <v>1.1786000000000001</v>
      </c>
      <c r="N1800" s="142">
        <v>0.83299999999999996</v>
      </c>
      <c r="O1800" s="142">
        <v>1.0538000000000001</v>
      </c>
      <c r="P1800" s="26">
        <v>5329.7337839126249</v>
      </c>
      <c r="Q1800" s="35">
        <f t="array" ref="Q1800">SUM(IF(($S1800&gt;=4)*($C1800='TaxCred&amp;Subs'!$D$114:$D$121)*($H1800='TaxCred&amp;Subs'!$C$114:$C$121)*($H1800&lt;='TaxCred&amp;Subs'!$C$123),'TaxCred&amp;Subs'!$E$114:$E$121,0))</f>
        <v>0</v>
      </c>
      <c r="R1800" s="143">
        <v>0</v>
      </c>
      <c r="S1800" s="5">
        <v>2</v>
      </c>
      <c r="T1800" s="5" t="s">
        <v>220</v>
      </c>
      <c r="V1800" s="7" t="str">
        <f t="array" ref="V1800">INDEX(xlRTCLNAME,MATCH(1,(xlRTCLENDU=1)*(xlRTCLEQCL=$D1800),0))</f>
        <v>ELEC_HP</v>
      </c>
      <c r="W1800" s="7" t="str">
        <f t="array" ref="W1800">INDEX(xlRTCLNAME,MATCH(1,(xlRTCLENDU=2)*(xlRTCLEQCL=$F1800),0))</f>
        <v>ELEC_HP</v>
      </c>
      <c r="X1800" s="7" t="str">
        <f t="array" ref="X1800">INDEX(xlRTTYNAME,MATCH(1,(xlRTTYENDU=1)*(xlRTTYEQCL=$D1800)*(xlRTEQTYPE=$E1800),0))</f>
        <v>ELEC_HP1</v>
      </c>
      <c r="Y1800" s="7" t="str">
        <f t="array" ref="Y1800">INDEX(xlRTTYNAME,MATCH(1,(xlRTTYENDU=2)*(xlRTTYEQCL=$F1800)*(xlRTEQTYPE=$G1800),0))</f>
        <v>ELEC_HP1</v>
      </c>
    </row>
    <row r="1801" spans="2:25" x14ac:dyDescent="0.2">
      <c r="B1801" s="5">
        <v>1</v>
      </c>
      <c r="C1801" s="5">
        <v>3</v>
      </c>
      <c r="D1801" s="5">
        <v>3</v>
      </c>
      <c r="E1801" s="5">
        <v>6</v>
      </c>
      <c r="F1801" s="5">
        <v>2</v>
      </c>
      <c r="G1801" s="31">
        <v>4</v>
      </c>
      <c r="H1801" s="31">
        <v>2020</v>
      </c>
      <c r="I1801" s="96">
        <v>2050</v>
      </c>
      <c r="J1801" s="142">
        <v>1.07</v>
      </c>
      <c r="K1801" s="142">
        <v>1.07</v>
      </c>
      <c r="L1801" s="142">
        <v>0.68079999999999996</v>
      </c>
      <c r="M1801" s="142">
        <v>1.0588</v>
      </c>
      <c r="N1801" s="142">
        <v>0.77800000000000002</v>
      </c>
      <c r="O1801" s="142">
        <v>1.0538000000000001</v>
      </c>
      <c r="P1801" s="26">
        <v>8931.7410510927275</v>
      </c>
      <c r="Q1801" s="35">
        <f t="array" ref="Q1801">SUM(IF(($S1801&gt;=4)*($C1801='TaxCred&amp;Subs'!$D$114:$D$121)*($H1801='TaxCred&amp;Subs'!$C$114:$C$121)*($H1801&lt;='TaxCred&amp;Subs'!$C$123),'TaxCred&amp;Subs'!$E$114:$E$121,0))</f>
        <v>0</v>
      </c>
      <c r="R1801" s="143">
        <v>0</v>
      </c>
      <c r="S1801" s="5">
        <v>2</v>
      </c>
      <c r="T1801" s="5" t="s">
        <v>220</v>
      </c>
      <c r="V1801" s="7" t="str">
        <f t="array" ref="V1801">INDEX(xlRTCLNAME,MATCH(1,(xlRTCLENDU=1)*(xlRTCLEQCL=$D1801),0))</f>
        <v>NG_FA</v>
      </c>
      <c r="W1801" s="7" t="str">
        <f t="array" ref="W1801">INDEX(xlRTCLNAME,MATCH(1,(xlRTCLENDU=2)*(xlRTCLEQCL=$F1801),0))</f>
        <v>CENT_AIR</v>
      </c>
      <c r="X1801" s="7" t="str">
        <f t="array" ref="X1801">INDEX(xlRTTYNAME,MATCH(1,(xlRTTYENDU=1)*(xlRTTYEQCL=$D1801)*(xlRTEQTYPE=$E1801),0))</f>
        <v>NG_FA1</v>
      </c>
      <c r="Y1801" s="7" t="str">
        <f t="array" ref="Y1801">INDEX(xlRTTYNAME,MATCH(1,(xlRTTYENDU=2)*(xlRTTYEQCL=$F1801)*(xlRTEQTYPE=$G1801),0))</f>
        <v>CENT_AIR1</v>
      </c>
    </row>
    <row r="1802" spans="2:25" x14ac:dyDescent="0.2">
      <c r="B1802" s="5">
        <v>2</v>
      </c>
      <c r="C1802" s="5">
        <v>3</v>
      </c>
      <c r="D1802" s="5">
        <v>3</v>
      </c>
      <c r="E1802" s="5">
        <v>6</v>
      </c>
      <c r="F1802" s="5">
        <v>2</v>
      </c>
      <c r="G1802" s="31">
        <v>4</v>
      </c>
      <c r="H1802" s="31">
        <v>2020</v>
      </c>
      <c r="I1802" s="96">
        <v>2050</v>
      </c>
      <c r="J1802" s="142">
        <v>1.0670999999999999</v>
      </c>
      <c r="K1802" s="142">
        <v>1.0638000000000001</v>
      </c>
      <c r="L1802" s="142">
        <v>0.88700000000000001</v>
      </c>
      <c r="M1802" s="142">
        <v>1.1462000000000001</v>
      </c>
      <c r="N1802" s="142">
        <v>0.84609999999999996</v>
      </c>
      <c r="O1802" s="142">
        <v>1.0538000000000001</v>
      </c>
      <c r="P1802" s="26">
        <v>6745.5283536553079</v>
      </c>
      <c r="Q1802" s="35">
        <f t="array" ref="Q1802">SUM(IF(($S1802&gt;=4)*($C1802='TaxCred&amp;Subs'!$D$114:$D$121)*($H1802='TaxCred&amp;Subs'!$C$114:$C$121)*($H1802&lt;='TaxCred&amp;Subs'!$C$123),'TaxCred&amp;Subs'!$E$114:$E$121,0))</f>
        <v>0</v>
      </c>
      <c r="R1802" s="143">
        <v>0</v>
      </c>
      <c r="S1802" s="5">
        <v>2</v>
      </c>
      <c r="T1802" s="5" t="s">
        <v>220</v>
      </c>
      <c r="V1802" s="7" t="str">
        <f t="array" ref="V1802">INDEX(xlRTCLNAME,MATCH(1,(xlRTCLENDU=1)*(xlRTCLEQCL=$D1802),0))</f>
        <v>NG_FA</v>
      </c>
      <c r="W1802" s="7" t="str">
        <f t="array" ref="W1802">INDEX(xlRTCLNAME,MATCH(1,(xlRTCLENDU=2)*(xlRTCLEQCL=$F1802),0))</f>
        <v>CENT_AIR</v>
      </c>
      <c r="X1802" s="7" t="str">
        <f t="array" ref="X1802">INDEX(xlRTTYNAME,MATCH(1,(xlRTTYENDU=1)*(xlRTTYEQCL=$D1802)*(xlRTEQTYPE=$E1802),0))</f>
        <v>NG_FA1</v>
      </c>
      <c r="Y1802" s="7" t="str">
        <f t="array" ref="Y1802">INDEX(xlRTTYNAME,MATCH(1,(xlRTTYENDU=2)*(xlRTTYEQCL=$F1802)*(xlRTEQTYPE=$G1802),0))</f>
        <v>CENT_AIR1</v>
      </c>
    </row>
    <row r="1803" spans="2:25" x14ac:dyDescent="0.2">
      <c r="B1803" s="5">
        <v>3</v>
      </c>
      <c r="C1803" s="5">
        <v>3</v>
      </c>
      <c r="D1803" s="5">
        <v>3</v>
      </c>
      <c r="E1803" s="5">
        <v>6</v>
      </c>
      <c r="F1803" s="5">
        <v>2</v>
      </c>
      <c r="G1803" s="31">
        <v>4</v>
      </c>
      <c r="H1803" s="31">
        <v>2020</v>
      </c>
      <c r="I1803" s="96">
        <v>2050</v>
      </c>
      <c r="J1803" s="142">
        <v>1.07</v>
      </c>
      <c r="K1803" s="142">
        <v>1.07</v>
      </c>
      <c r="L1803" s="142">
        <v>0.76580000000000004</v>
      </c>
      <c r="M1803" s="142">
        <v>1.0925</v>
      </c>
      <c r="N1803" s="142">
        <v>0.8498</v>
      </c>
      <c r="O1803" s="142">
        <v>1.0538000000000001</v>
      </c>
      <c r="P1803" s="26">
        <v>9051.4045997224493</v>
      </c>
      <c r="Q1803" s="35">
        <f t="array" ref="Q1803">SUM(IF(($S1803&gt;=4)*($C1803='TaxCred&amp;Subs'!$D$114:$D$121)*($H1803='TaxCred&amp;Subs'!$C$114:$C$121)*($H1803&lt;='TaxCred&amp;Subs'!$C$123),'TaxCred&amp;Subs'!$E$114:$E$121,0))</f>
        <v>0</v>
      </c>
      <c r="R1803" s="143">
        <v>0</v>
      </c>
      <c r="S1803" s="5">
        <v>2</v>
      </c>
      <c r="T1803" s="5" t="s">
        <v>220</v>
      </c>
      <c r="V1803" s="7" t="str">
        <f t="array" ref="V1803">INDEX(xlRTCLNAME,MATCH(1,(xlRTCLENDU=1)*(xlRTCLEQCL=$D1803),0))</f>
        <v>NG_FA</v>
      </c>
      <c r="W1803" s="7" t="str">
        <f t="array" ref="W1803">INDEX(xlRTCLNAME,MATCH(1,(xlRTCLENDU=2)*(xlRTCLEQCL=$F1803),0))</f>
        <v>CENT_AIR</v>
      </c>
      <c r="X1803" s="7" t="str">
        <f t="array" ref="X1803">INDEX(xlRTTYNAME,MATCH(1,(xlRTTYENDU=1)*(xlRTTYEQCL=$D1803)*(xlRTEQTYPE=$E1803),0))</f>
        <v>NG_FA1</v>
      </c>
      <c r="Y1803" s="7" t="str">
        <f t="array" ref="Y1803">INDEX(xlRTTYNAME,MATCH(1,(xlRTTYENDU=2)*(xlRTTYEQCL=$F1803)*(xlRTEQTYPE=$G1803),0))</f>
        <v>CENT_AIR1</v>
      </c>
    </row>
    <row r="1804" spans="2:25" x14ac:dyDescent="0.2">
      <c r="B1804" s="5">
        <v>4</v>
      </c>
      <c r="C1804" s="5">
        <v>3</v>
      </c>
      <c r="D1804" s="5">
        <v>3</v>
      </c>
      <c r="E1804" s="5">
        <v>6</v>
      </c>
      <c r="F1804" s="5">
        <v>2</v>
      </c>
      <c r="G1804" s="31">
        <v>4</v>
      </c>
      <c r="H1804" s="31">
        <v>2020</v>
      </c>
      <c r="I1804" s="96">
        <v>2050</v>
      </c>
      <c r="J1804" s="142">
        <v>1.07</v>
      </c>
      <c r="K1804" s="142">
        <v>1.07</v>
      </c>
      <c r="L1804" s="142">
        <v>0.68620000000000003</v>
      </c>
      <c r="M1804" s="142">
        <v>1.0580000000000001</v>
      </c>
      <c r="N1804" s="142">
        <v>0.77659999999999996</v>
      </c>
      <c r="O1804" s="142">
        <v>1.0538000000000001</v>
      </c>
      <c r="P1804" s="26">
        <v>7912.5840863586773</v>
      </c>
      <c r="Q1804" s="35">
        <f t="array" ref="Q1804">SUM(IF(($S1804&gt;=4)*($C1804='TaxCred&amp;Subs'!$D$114:$D$121)*($H1804='TaxCred&amp;Subs'!$C$114:$C$121)*($H1804&lt;='TaxCred&amp;Subs'!$C$123),'TaxCred&amp;Subs'!$E$114:$E$121,0))</f>
        <v>0</v>
      </c>
      <c r="R1804" s="143">
        <v>0</v>
      </c>
      <c r="S1804" s="5">
        <v>2</v>
      </c>
      <c r="T1804" s="5" t="s">
        <v>220</v>
      </c>
      <c r="V1804" s="7" t="str">
        <f t="array" ref="V1804">INDEX(xlRTCLNAME,MATCH(1,(xlRTCLENDU=1)*(xlRTCLEQCL=$D1804),0))</f>
        <v>NG_FA</v>
      </c>
      <c r="W1804" s="7" t="str">
        <f t="array" ref="W1804">INDEX(xlRTCLNAME,MATCH(1,(xlRTCLENDU=2)*(xlRTCLEQCL=$F1804),0))</f>
        <v>CENT_AIR</v>
      </c>
      <c r="X1804" s="7" t="str">
        <f t="array" ref="X1804">INDEX(xlRTTYNAME,MATCH(1,(xlRTTYENDU=1)*(xlRTTYEQCL=$D1804)*(xlRTEQTYPE=$E1804),0))</f>
        <v>NG_FA1</v>
      </c>
      <c r="Y1804" s="7" t="str">
        <f t="array" ref="Y1804">INDEX(xlRTTYNAME,MATCH(1,(xlRTTYENDU=2)*(xlRTTYEQCL=$F1804)*(xlRTEQTYPE=$G1804),0))</f>
        <v>CENT_AIR1</v>
      </c>
    </row>
    <row r="1805" spans="2:25" x14ac:dyDescent="0.2">
      <c r="B1805" s="5">
        <v>5</v>
      </c>
      <c r="C1805" s="5">
        <v>3</v>
      </c>
      <c r="D1805" s="5">
        <v>3</v>
      </c>
      <c r="E1805" s="5">
        <v>6</v>
      </c>
      <c r="F1805" s="5">
        <v>2</v>
      </c>
      <c r="G1805" s="31">
        <v>4</v>
      </c>
      <c r="H1805" s="31">
        <v>2020</v>
      </c>
      <c r="I1805" s="96">
        <v>2050</v>
      </c>
      <c r="J1805" s="142">
        <v>1.0559000000000001</v>
      </c>
      <c r="K1805" s="142">
        <v>1.0444</v>
      </c>
      <c r="L1805" s="142">
        <v>0.86729999999999996</v>
      </c>
      <c r="M1805" s="142">
        <v>1.0669</v>
      </c>
      <c r="N1805" s="142">
        <v>0.83460000000000001</v>
      </c>
      <c r="O1805" s="142">
        <v>1.0538000000000001</v>
      </c>
      <c r="P1805" s="26">
        <v>4596.962615337352</v>
      </c>
      <c r="Q1805" s="35">
        <f t="array" ref="Q1805">SUM(IF(($S1805&gt;=4)*($C1805='TaxCred&amp;Subs'!$D$114:$D$121)*($H1805='TaxCred&amp;Subs'!$C$114:$C$121)*($H1805&lt;='TaxCred&amp;Subs'!$C$123),'TaxCred&amp;Subs'!$E$114:$E$121,0))</f>
        <v>0</v>
      </c>
      <c r="R1805" s="143">
        <v>0</v>
      </c>
      <c r="S1805" s="5">
        <v>2</v>
      </c>
      <c r="T1805" s="5" t="s">
        <v>220</v>
      </c>
      <c r="V1805" s="7" t="str">
        <f t="array" ref="V1805">INDEX(xlRTCLNAME,MATCH(1,(xlRTCLENDU=1)*(xlRTCLEQCL=$D1805),0))</f>
        <v>NG_FA</v>
      </c>
      <c r="W1805" s="7" t="str">
        <f t="array" ref="W1805">INDEX(xlRTCLNAME,MATCH(1,(xlRTCLENDU=2)*(xlRTCLEQCL=$F1805),0))</f>
        <v>CENT_AIR</v>
      </c>
      <c r="X1805" s="7" t="str">
        <f t="array" ref="X1805">INDEX(xlRTTYNAME,MATCH(1,(xlRTTYENDU=1)*(xlRTTYEQCL=$D1805)*(xlRTEQTYPE=$E1805),0))</f>
        <v>NG_FA1</v>
      </c>
      <c r="Y1805" s="7" t="str">
        <f t="array" ref="Y1805">INDEX(xlRTTYNAME,MATCH(1,(xlRTTYENDU=2)*(xlRTTYEQCL=$F1805)*(xlRTEQTYPE=$G1805),0))</f>
        <v>CENT_AIR1</v>
      </c>
    </row>
    <row r="1806" spans="2:25" x14ac:dyDescent="0.2">
      <c r="B1806" s="5">
        <v>6</v>
      </c>
      <c r="C1806" s="5">
        <v>3</v>
      </c>
      <c r="D1806" s="5">
        <v>3</v>
      </c>
      <c r="E1806" s="5">
        <v>6</v>
      </c>
      <c r="F1806" s="5">
        <v>2</v>
      </c>
      <c r="G1806" s="31">
        <v>4</v>
      </c>
      <c r="H1806" s="31">
        <v>2020</v>
      </c>
      <c r="I1806" s="96">
        <v>2050</v>
      </c>
      <c r="J1806" s="142">
        <v>1.0872999999999999</v>
      </c>
      <c r="K1806" s="142">
        <v>1.0581</v>
      </c>
      <c r="L1806" s="142">
        <v>0.83140000000000003</v>
      </c>
      <c r="M1806" s="142">
        <v>1.0811999999999999</v>
      </c>
      <c r="N1806" s="142">
        <v>0.8044</v>
      </c>
      <c r="O1806" s="142">
        <v>1.0538000000000001</v>
      </c>
      <c r="P1806" s="26">
        <v>5145.5325910781066</v>
      </c>
      <c r="Q1806" s="35">
        <f t="array" ref="Q1806">SUM(IF(($S1806&gt;=4)*($C1806='TaxCred&amp;Subs'!$D$114:$D$121)*($H1806='TaxCred&amp;Subs'!$C$114:$C$121)*($H1806&lt;='TaxCred&amp;Subs'!$C$123),'TaxCred&amp;Subs'!$E$114:$E$121,0))</f>
        <v>0</v>
      </c>
      <c r="R1806" s="143">
        <v>0</v>
      </c>
      <c r="S1806" s="5">
        <v>2</v>
      </c>
      <c r="T1806" s="5" t="s">
        <v>220</v>
      </c>
      <c r="V1806" s="7" t="str">
        <f t="array" ref="V1806">INDEX(xlRTCLNAME,MATCH(1,(xlRTCLENDU=1)*(xlRTCLEQCL=$D1806),0))</f>
        <v>NG_FA</v>
      </c>
      <c r="W1806" s="7" t="str">
        <f t="array" ref="W1806">INDEX(xlRTCLNAME,MATCH(1,(xlRTCLENDU=2)*(xlRTCLEQCL=$F1806),0))</f>
        <v>CENT_AIR</v>
      </c>
      <c r="X1806" s="7" t="str">
        <f t="array" ref="X1806">INDEX(xlRTTYNAME,MATCH(1,(xlRTTYENDU=1)*(xlRTTYEQCL=$D1806)*(xlRTEQTYPE=$E1806),0))</f>
        <v>NG_FA1</v>
      </c>
      <c r="Y1806" s="7" t="str">
        <f t="array" ref="Y1806">INDEX(xlRTTYNAME,MATCH(1,(xlRTTYENDU=2)*(xlRTTYEQCL=$F1806)*(xlRTEQTYPE=$G1806),0))</f>
        <v>CENT_AIR1</v>
      </c>
    </row>
    <row r="1807" spans="2:25" x14ac:dyDescent="0.2">
      <c r="B1807" s="5">
        <v>7</v>
      </c>
      <c r="C1807" s="5">
        <v>3</v>
      </c>
      <c r="D1807" s="5">
        <v>3</v>
      </c>
      <c r="E1807" s="5">
        <v>6</v>
      </c>
      <c r="F1807" s="5">
        <v>2</v>
      </c>
      <c r="G1807" s="31">
        <v>4</v>
      </c>
      <c r="H1807" s="31">
        <v>2020</v>
      </c>
      <c r="I1807" s="96">
        <v>2050</v>
      </c>
      <c r="J1807" s="142">
        <v>1.0914999999999999</v>
      </c>
      <c r="K1807" s="142">
        <v>1.0496000000000001</v>
      </c>
      <c r="L1807" s="142">
        <v>0.89400000000000002</v>
      </c>
      <c r="M1807" s="142">
        <v>1.0887</v>
      </c>
      <c r="N1807" s="142">
        <v>0.81759999999999999</v>
      </c>
      <c r="O1807" s="142">
        <v>1.0538000000000001</v>
      </c>
      <c r="P1807" s="26">
        <v>3553.6040340265054</v>
      </c>
      <c r="Q1807" s="35">
        <f t="array" ref="Q1807">SUM(IF(($S1807&gt;=4)*($C1807='TaxCred&amp;Subs'!$D$114:$D$121)*($H1807='TaxCred&amp;Subs'!$C$114:$C$121)*($H1807&lt;='TaxCred&amp;Subs'!$C$123),'TaxCred&amp;Subs'!$E$114:$E$121,0))</f>
        <v>0</v>
      </c>
      <c r="R1807" s="143">
        <v>0</v>
      </c>
      <c r="S1807" s="5">
        <v>2</v>
      </c>
      <c r="T1807" s="5" t="s">
        <v>220</v>
      </c>
      <c r="V1807" s="7" t="str">
        <f t="array" ref="V1807">INDEX(xlRTCLNAME,MATCH(1,(xlRTCLENDU=1)*(xlRTCLEQCL=$D1807),0))</f>
        <v>NG_FA</v>
      </c>
      <c r="W1807" s="7" t="str">
        <f t="array" ref="W1807">INDEX(xlRTCLNAME,MATCH(1,(xlRTCLENDU=2)*(xlRTCLEQCL=$F1807),0))</f>
        <v>CENT_AIR</v>
      </c>
      <c r="X1807" s="7" t="str">
        <f t="array" ref="X1807">INDEX(xlRTTYNAME,MATCH(1,(xlRTTYENDU=1)*(xlRTTYEQCL=$D1807)*(xlRTEQTYPE=$E1807),0))</f>
        <v>NG_FA1</v>
      </c>
      <c r="Y1807" s="7" t="str">
        <f t="array" ref="Y1807">INDEX(xlRTTYNAME,MATCH(1,(xlRTTYENDU=2)*(xlRTTYEQCL=$F1807)*(xlRTEQTYPE=$G1807),0))</f>
        <v>CENT_AIR1</v>
      </c>
    </row>
    <row r="1808" spans="2:25" x14ac:dyDescent="0.2">
      <c r="B1808" s="5">
        <v>8</v>
      </c>
      <c r="C1808" s="5">
        <v>3</v>
      </c>
      <c r="D1808" s="5">
        <v>3</v>
      </c>
      <c r="E1808" s="5">
        <v>6</v>
      </c>
      <c r="F1808" s="5">
        <v>2</v>
      </c>
      <c r="G1808" s="31">
        <v>4</v>
      </c>
      <c r="H1808" s="31">
        <v>2020</v>
      </c>
      <c r="I1808" s="96">
        <v>2050</v>
      </c>
      <c r="J1808" s="142">
        <v>1.07</v>
      </c>
      <c r="K1808" s="142">
        <v>1.07</v>
      </c>
      <c r="L1808" s="142">
        <v>0.75749999999999995</v>
      </c>
      <c r="M1808" s="142">
        <v>1.0437000000000001</v>
      </c>
      <c r="N1808" s="142">
        <v>0.80840000000000001</v>
      </c>
      <c r="O1808" s="142">
        <v>1.0538000000000001</v>
      </c>
      <c r="P1808" s="26">
        <v>7396.2829327203208</v>
      </c>
      <c r="Q1808" s="35">
        <f t="array" ref="Q1808">SUM(IF(($S1808&gt;=4)*($C1808='TaxCred&amp;Subs'!$D$114:$D$121)*($H1808='TaxCred&amp;Subs'!$C$114:$C$121)*($H1808&lt;='TaxCred&amp;Subs'!$C$123),'TaxCred&amp;Subs'!$E$114:$E$121,0))</f>
        <v>0</v>
      </c>
      <c r="R1808" s="143">
        <v>0</v>
      </c>
      <c r="S1808" s="5">
        <v>2</v>
      </c>
      <c r="T1808" s="5" t="s">
        <v>220</v>
      </c>
      <c r="V1808" s="7" t="str">
        <f t="array" ref="V1808">INDEX(xlRTCLNAME,MATCH(1,(xlRTCLENDU=1)*(xlRTCLEQCL=$D1808),0))</f>
        <v>NG_FA</v>
      </c>
      <c r="W1808" s="7" t="str">
        <f t="array" ref="W1808">INDEX(xlRTCLNAME,MATCH(1,(xlRTCLENDU=2)*(xlRTCLEQCL=$F1808),0))</f>
        <v>CENT_AIR</v>
      </c>
      <c r="X1808" s="7" t="str">
        <f t="array" ref="X1808">INDEX(xlRTTYNAME,MATCH(1,(xlRTTYENDU=1)*(xlRTTYEQCL=$D1808)*(xlRTEQTYPE=$E1808),0))</f>
        <v>NG_FA1</v>
      </c>
      <c r="Y1808" s="7" t="str">
        <f t="array" ref="Y1808">INDEX(xlRTTYNAME,MATCH(1,(xlRTTYENDU=2)*(xlRTTYEQCL=$F1808)*(xlRTEQTYPE=$G1808),0))</f>
        <v>CENT_AIR1</v>
      </c>
    </row>
    <row r="1809" spans="2:25" x14ac:dyDescent="0.2">
      <c r="B1809" s="5">
        <v>9</v>
      </c>
      <c r="C1809" s="5">
        <v>3</v>
      </c>
      <c r="D1809" s="5">
        <v>3</v>
      </c>
      <c r="E1809" s="5">
        <v>6</v>
      </c>
      <c r="F1809" s="5">
        <v>2</v>
      </c>
      <c r="G1809" s="31">
        <v>4</v>
      </c>
      <c r="H1809" s="31">
        <v>2020</v>
      </c>
      <c r="I1809" s="96">
        <v>2050</v>
      </c>
      <c r="J1809" s="142">
        <v>1.0761000000000001</v>
      </c>
      <c r="K1809" s="142">
        <v>1.0506</v>
      </c>
      <c r="L1809" s="142">
        <v>0.86780000000000002</v>
      </c>
      <c r="M1809" s="142">
        <v>1.1609</v>
      </c>
      <c r="N1809" s="142">
        <v>0.84670000000000001</v>
      </c>
      <c r="O1809" s="142">
        <v>1.0538000000000001</v>
      </c>
      <c r="P1809" s="26">
        <v>7198.6363973431371</v>
      </c>
      <c r="Q1809" s="35">
        <f t="array" ref="Q1809">SUM(IF(($S1809&gt;=4)*($C1809='TaxCred&amp;Subs'!$D$114:$D$121)*($H1809='TaxCred&amp;Subs'!$C$114:$C$121)*($H1809&lt;='TaxCred&amp;Subs'!$C$123),'TaxCred&amp;Subs'!$E$114:$E$121,0))</f>
        <v>0</v>
      </c>
      <c r="R1809" s="143">
        <v>0</v>
      </c>
      <c r="S1809" s="5">
        <v>2</v>
      </c>
      <c r="T1809" s="5" t="s">
        <v>220</v>
      </c>
      <c r="V1809" s="7" t="str">
        <f t="array" ref="V1809">INDEX(xlRTCLNAME,MATCH(1,(xlRTCLENDU=1)*(xlRTCLEQCL=$D1809),0))</f>
        <v>NG_FA</v>
      </c>
      <c r="W1809" s="7" t="str">
        <f t="array" ref="W1809">INDEX(xlRTCLNAME,MATCH(1,(xlRTCLENDU=2)*(xlRTCLEQCL=$F1809),0))</f>
        <v>CENT_AIR</v>
      </c>
      <c r="X1809" s="7" t="str">
        <f t="array" ref="X1809">INDEX(xlRTTYNAME,MATCH(1,(xlRTTYENDU=1)*(xlRTTYEQCL=$D1809)*(xlRTEQTYPE=$E1809),0))</f>
        <v>NG_FA1</v>
      </c>
      <c r="Y1809" s="7" t="str">
        <f t="array" ref="Y1809">INDEX(xlRTTYNAME,MATCH(1,(xlRTTYENDU=2)*(xlRTTYEQCL=$F1809)*(xlRTEQTYPE=$G1809),0))</f>
        <v>CENT_AIR1</v>
      </c>
    </row>
    <row r="1810" spans="2:25" x14ac:dyDescent="0.2">
      <c r="B1810" s="5">
        <v>1</v>
      </c>
      <c r="C1810" s="5">
        <v>3</v>
      </c>
      <c r="D1810" s="5">
        <v>4</v>
      </c>
      <c r="E1810" s="5">
        <v>10</v>
      </c>
      <c r="F1810" s="5">
        <v>2</v>
      </c>
      <c r="G1810" s="31">
        <v>4</v>
      </c>
      <c r="H1810" s="31">
        <v>2020</v>
      </c>
      <c r="I1810" s="96">
        <v>2050</v>
      </c>
      <c r="J1810" s="142">
        <v>1.07</v>
      </c>
      <c r="K1810" s="142">
        <v>1.07</v>
      </c>
      <c r="L1810" s="142">
        <v>0.69540000000000002</v>
      </c>
      <c r="M1810" s="142">
        <v>1.0588</v>
      </c>
      <c r="N1810" s="142">
        <v>0.77410000000000001</v>
      </c>
      <c r="O1810" s="142">
        <v>1.0538000000000001</v>
      </c>
      <c r="P1810" s="26">
        <v>8931.7410510927275</v>
      </c>
      <c r="Q1810" s="35">
        <f t="array" ref="Q1810">SUM(IF(($S1810&gt;=4)*($C1810='TaxCred&amp;Subs'!$D$114:$D$121)*($H1810='TaxCred&amp;Subs'!$C$114:$C$121)*($H1810&lt;='TaxCred&amp;Subs'!$C$123),'TaxCred&amp;Subs'!$E$114:$E$121,0))</f>
        <v>0</v>
      </c>
      <c r="R1810" s="143">
        <v>0</v>
      </c>
      <c r="S1810" s="5">
        <v>2</v>
      </c>
      <c r="T1810" s="5" t="s">
        <v>220</v>
      </c>
      <c r="V1810" s="7" t="str">
        <f t="array" ref="V1810">INDEX(xlRTCLNAME,MATCH(1,(xlRTCLENDU=1)*(xlRTCLEQCL=$D1810),0))</f>
        <v>NG_RAD</v>
      </c>
      <c r="W1810" s="7" t="str">
        <f t="array" ref="W1810">INDEX(xlRTCLNAME,MATCH(1,(xlRTCLENDU=2)*(xlRTCLEQCL=$F1810),0))</f>
        <v>CENT_AIR</v>
      </c>
      <c r="X1810" s="7" t="str">
        <f t="array" ref="X1810">INDEX(xlRTTYNAME,MATCH(1,(xlRTTYENDU=1)*(xlRTTYEQCL=$D1810)*(xlRTEQTYPE=$E1810),0))</f>
        <v>NG_RAD1</v>
      </c>
      <c r="Y1810" s="7" t="str">
        <f t="array" ref="Y1810">INDEX(xlRTTYNAME,MATCH(1,(xlRTTYENDU=2)*(xlRTTYEQCL=$F1810)*(xlRTEQTYPE=$G1810),0))</f>
        <v>CENT_AIR1</v>
      </c>
    </row>
    <row r="1811" spans="2:25" x14ac:dyDescent="0.2">
      <c r="B1811" s="5">
        <v>2</v>
      </c>
      <c r="C1811" s="5">
        <v>3</v>
      </c>
      <c r="D1811" s="5">
        <v>4</v>
      </c>
      <c r="E1811" s="5">
        <v>10</v>
      </c>
      <c r="F1811" s="5">
        <v>2</v>
      </c>
      <c r="G1811" s="31">
        <v>4</v>
      </c>
      <c r="H1811" s="31">
        <v>2020</v>
      </c>
      <c r="I1811" s="96">
        <v>2050</v>
      </c>
      <c r="J1811" s="142">
        <v>1.07</v>
      </c>
      <c r="K1811" s="142">
        <v>1.07</v>
      </c>
      <c r="L1811" s="142">
        <v>0.76580000000000004</v>
      </c>
      <c r="M1811" s="142">
        <v>1.1206</v>
      </c>
      <c r="N1811" s="142">
        <v>0.83819999999999995</v>
      </c>
      <c r="O1811" s="142">
        <v>1.0538000000000001</v>
      </c>
      <c r="P1811" s="26">
        <v>9257.118340625233</v>
      </c>
      <c r="Q1811" s="35">
        <f t="array" ref="Q1811">SUM(IF(($S1811&gt;=4)*($C1811='TaxCred&amp;Subs'!$D$114:$D$121)*($H1811='TaxCred&amp;Subs'!$C$114:$C$121)*($H1811&lt;='TaxCred&amp;Subs'!$C$123),'TaxCred&amp;Subs'!$E$114:$E$121,0))</f>
        <v>0</v>
      </c>
      <c r="R1811" s="143">
        <v>0</v>
      </c>
      <c r="S1811" s="5">
        <v>2</v>
      </c>
      <c r="T1811" s="5" t="s">
        <v>220</v>
      </c>
      <c r="V1811" s="7" t="str">
        <f t="array" ref="V1811">INDEX(xlRTCLNAME,MATCH(1,(xlRTCLENDU=1)*(xlRTCLEQCL=$D1811),0))</f>
        <v>NG_RAD</v>
      </c>
      <c r="W1811" s="7" t="str">
        <f t="array" ref="W1811">INDEX(xlRTCLNAME,MATCH(1,(xlRTCLENDU=2)*(xlRTCLEQCL=$F1811),0))</f>
        <v>CENT_AIR</v>
      </c>
      <c r="X1811" s="7" t="str">
        <f t="array" ref="X1811">INDEX(xlRTTYNAME,MATCH(1,(xlRTTYENDU=1)*(xlRTTYEQCL=$D1811)*(xlRTEQTYPE=$E1811),0))</f>
        <v>NG_RAD1</v>
      </c>
      <c r="Y1811" s="7" t="str">
        <f t="array" ref="Y1811">INDEX(xlRTTYNAME,MATCH(1,(xlRTTYENDU=2)*(xlRTTYEQCL=$F1811)*(xlRTEQTYPE=$G1811),0))</f>
        <v>CENT_AIR1</v>
      </c>
    </row>
    <row r="1812" spans="2:25" x14ac:dyDescent="0.2">
      <c r="B1812" s="5">
        <v>3</v>
      </c>
      <c r="C1812" s="5">
        <v>3</v>
      </c>
      <c r="D1812" s="5">
        <v>4</v>
      </c>
      <c r="E1812" s="5">
        <v>10</v>
      </c>
      <c r="F1812" s="5">
        <v>2</v>
      </c>
      <c r="G1812" s="31">
        <v>4</v>
      </c>
      <c r="H1812" s="31">
        <v>2020</v>
      </c>
      <c r="I1812" s="96">
        <v>2050</v>
      </c>
      <c r="J1812" s="142">
        <v>1.07</v>
      </c>
      <c r="K1812" s="142">
        <v>1.07</v>
      </c>
      <c r="L1812" s="142">
        <v>0.78100000000000003</v>
      </c>
      <c r="M1812" s="142">
        <v>1.0925</v>
      </c>
      <c r="N1812" s="142">
        <v>0.84330000000000005</v>
      </c>
      <c r="O1812" s="142">
        <v>1.0538000000000001</v>
      </c>
      <c r="P1812" s="26">
        <v>9051.4045997224493</v>
      </c>
      <c r="Q1812" s="35">
        <f t="array" ref="Q1812">SUM(IF(($S1812&gt;=4)*($C1812='TaxCred&amp;Subs'!$D$114:$D$121)*($H1812='TaxCred&amp;Subs'!$C$114:$C$121)*($H1812&lt;='TaxCred&amp;Subs'!$C$123),'TaxCred&amp;Subs'!$E$114:$E$121,0))</f>
        <v>0</v>
      </c>
      <c r="R1812" s="143">
        <v>0</v>
      </c>
      <c r="S1812" s="5">
        <v>2</v>
      </c>
      <c r="T1812" s="5" t="s">
        <v>220</v>
      </c>
      <c r="V1812" s="7" t="str">
        <f t="array" ref="V1812">INDEX(xlRTCLNAME,MATCH(1,(xlRTCLENDU=1)*(xlRTCLEQCL=$D1812),0))</f>
        <v>NG_RAD</v>
      </c>
      <c r="W1812" s="7" t="str">
        <f t="array" ref="W1812">INDEX(xlRTCLNAME,MATCH(1,(xlRTCLENDU=2)*(xlRTCLEQCL=$F1812),0))</f>
        <v>CENT_AIR</v>
      </c>
      <c r="X1812" s="7" t="str">
        <f t="array" ref="X1812">INDEX(xlRTTYNAME,MATCH(1,(xlRTTYENDU=1)*(xlRTTYEQCL=$D1812)*(xlRTEQTYPE=$E1812),0))</f>
        <v>NG_RAD1</v>
      </c>
      <c r="Y1812" s="7" t="str">
        <f t="array" ref="Y1812">INDEX(xlRTTYNAME,MATCH(1,(xlRTTYENDU=2)*(xlRTTYEQCL=$F1812)*(xlRTEQTYPE=$G1812),0))</f>
        <v>CENT_AIR1</v>
      </c>
    </row>
    <row r="1813" spans="2:25" x14ac:dyDescent="0.2">
      <c r="B1813" s="5">
        <v>4</v>
      </c>
      <c r="C1813" s="5">
        <v>3</v>
      </c>
      <c r="D1813" s="5">
        <v>4</v>
      </c>
      <c r="E1813" s="5">
        <v>10</v>
      </c>
      <c r="F1813" s="5">
        <v>2</v>
      </c>
      <c r="G1813" s="31">
        <v>4</v>
      </c>
      <c r="H1813" s="31">
        <v>2020</v>
      </c>
      <c r="I1813" s="96">
        <v>2050</v>
      </c>
      <c r="J1813" s="142">
        <v>1.07</v>
      </c>
      <c r="K1813" s="142">
        <v>1.07</v>
      </c>
      <c r="L1813" s="142">
        <v>0.70320000000000005</v>
      </c>
      <c r="M1813" s="142">
        <v>1.0580000000000001</v>
      </c>
      <c r="N1813" s="142">
        <v>0.77339999999999998</v>
      </c>
      <c r="O1813" s="142">
        <v>1.0538000000000001</v>
      </c>
      <c r="P1813" s="26">
        <v>7912.5840863586773</v>
      </c>
      <c r="Q1813" s="35">
        <f t="array" ref="Q1813">SUM(IF(($S1813&gt;=4)*($C1813='TaxCred&amp;Subs'!$D$114:$D$121)*($H1813='TaxCred&amp;Subs'!$C$114:$C$121)*($H1813&lt;='TaxCred&amp;Subs'!$C$123),'TaxCred&amp;Subs'!$E$114:$E$121,0))</f>
        <v>0</v>
      </c>
      <c r="R1813" s="143">
        <v>0</v>
      </c>
      <c r="S1813" s="5">
        <v>2</v>
      </c>
      <c r="T1813" s="5" t="s">
        <v>220</v>
      </c>
      <c r="V1813" s="7" t="str">
        <f t="array" ref="V1813">INDEX(xlRTCLNAME,MATCH(1,(xlRTCLENDU=1)*(xlRTCLEQCL=$D1813),0))</f>
        <v>NG_RAD</v>
      </c>
      <c r="W1813" s="7" t="str">
        <f t="array" ref="W1813">INDEX(xlRTCLNAME,MATCH(1,(xlRTCLENDU=2)*(xlRTCLEQCL=$F1813),0))</f>
        <v>CENT_AIR</v>
      </c>
      <c r="X1813" s="7" t="str">
        <f t="array" ref="X1813">INDEX(xlRTTYNAME,MATCH(1,(xlRTTYENDU=1)*(xlRTTYEQCL=$D1813)*(xlRTEQTYPE=$E1813),0))</f>
        <v>NG_RAD1</v>
      </c>
      <c r="Y1813" s="7" t="str">
        <f t="array" ref="Y1813">INDEX(xlRTTYNAME,MATCH(1,(xlRTTYENDU=2)*(xlRTTYEQCL=$F1813)*(xlRTEQTYPE=$G1813),0))</f>
        <v>CENT_AIR1</v>
      </c>
    </row>
    <row r="1814" spans="2:25" x14ac:dyDescent="0.2">
      <c r="B1814" s="5">
        <v>5</v>
      </c>
      <c r="C1814" s="5">
        <v>3</v>
      </c>
      <c r="D1814" s="5">
        <v>4</v>
      </c>
      <c r="E1814" s="5">
        <v>10</v>
      </c>
      <c r="F1814" s="5">
        <v>2</v>
      </c>
      <c r="G1814" s="31">
        <v>4</v>
      </c>
      <c r="H1814" s="31">
        <v>2020</v>
      </c>
      <c r="I1814" s="96">
        <v>2050</v>
      </c>
      <c r="J1814" s="142">
        <v>1.0940000000000001</v>
      </c>
      <c r="K1814" s="142">
        <v>1.0575000000000001</v>
      </c>
      <c r="L1814" s="142">
        <v>0.7964</v>
      </c>
      <c r="M1814" s="142">
        <v>1.0495000000000001</v>
      </c>
      <c r="N1814" s="142">
        <v>0.83130000000000004</v>
      </c>
      <c r="O1814" s="142">
        <v>1.0538000000000001</v>
      </c>
      <c r="P1814" s="26">
        <v>6159.3114187950896</v>
      </c>
      <c r="Q1814" s="35">
        <f t="array" ref="Q1814">SUM(IF(($S1814&gt;=4)*($C1814='TaxCred&amp;Subs'!$D$114:$D$121)*($H1814='TaxCred&amp;Subs'!$C$114:$C$121)*($H1814&lt;='TaxCred&amp;Subs'!$C$123),'TaxCred&amp;Subs'!$E$114:$E$121,0))</f>
        <v>0</v>
      </c>
      <c r="R1814" s="143">
        <v>0</v>
      </c>
      <c r="S1814" s="5">
        <v>2</v>
      </c>
      <c r="T1814" s="5" t="s">
        <v>220</v>
      </c>
      <c r="V1814" s="7" t="str">
        <f t="array" ref="V1814">INDEX(xlRTCLNAME,MATCH(1,(xlRTCLENDU=1)*(xlRTCLEQCL=$D1814),0))</f>
        <v>NG_RAD</v>
      </c>
      <c r="W1814" s="7" t="str">
        <f t="array" ref="W1814">INDEX(xlRTCLNAME,MATCH(1,(xlRTCLENDU=2)*(xlRTCLEQCL=$F1814),0))</f>
        <v>CENT_AIR</v>
      </c>
      <c r="X1814" s="7" t="str">
        <f t="array" ref="X1814">INDEX(xlRTTYNAME,MATCH(1,(xlRTTYENDU=1)*(xlRTTYEQCL=$D1814)*(xlRTEQTYPE=$E1814),0))</f>
        <v>NG_RAD1</v>
      </c>
      <c r="Y1814" s="7" t="str">
        <f t="array" ref="Y1814">INDEX(xlRTTYNAME,MATCH(1,(xlRTTYENDU=2)*(xlRTTYEQCL=$F1814)*(xlRTEQTYPE=$G1814),0))</f>
        <v>CENT_AIR1</v>
      </c>
    </row>
    <row r="1815" spans="2:25" x14ac:dyDescent="0.2">
      <c r="B1815" s="5">
        <v>6</v>
      </c>
      <c r="C1815" s="5">
        <v>3</v>
      </c>
      <c r="D1815" s="5">
        <v>4</v>
      </c>
      <c r="E1815" s="5">
        <v>10</v>
      </c>
      <c r="F1815" s="5">
        <v>2</v>
      </c>
      <c r="G1815" s="31">
        <v>4</v>
      </c>
      <c r="H1815" s="31">
        <v>2020</v>
      </c>
      <c r="I1815" s="96">
        <v>2050</v>
      </c>
      <c r="J1815" s="142">
        <v>1.0873999999999999</v>
      </c>
      <c r="K1815" s="142">
        <v>1.0609999999999999</v>
      </c>
      <c r="L1815" s="142">
        <v>0.87829999999999997</v>
      </c>
      <c r="M1815" s="142">
        <v>1.0562</v>
      </c>
      <c r="N1815" s="142">
        <v>0.80189999999999995</v>
      </c>
      <c r="O1815" s="142">
        <v>1.0538000000000001</v>
      </c>
      <c r="P1815" s="26">
        <v>5712.9260463785931</v>
      </c>
      <c r="Q1815" s="35">
        <f t="array" ref="Q1815">SUM(IF(($S1815&gt;=4)*($C1815='TaxCred&amp;Subs'!$D$114:$D$121)*($H1815='TaxCred&amp;Subs'!$C$114:$C$121)*($H1815&lt;='TaxCred&amp;Subs'!$C$123),'TaxCred&amp;Subs'!$E$114:$E$121,0))</f>
        <v>0</v>
      </c>
      <c r="R1815" s="143">
        <v>0</v>
      </c>
      <c r="S1815" s="5">
        <v>2</v>
      </c>
      <c r="T1815" s="5" t="s">
        <v>220</v>
      </c>
      <c r="V1815" s="7" t="str">
        <f t="array" ref="V1815">INDEX(xlRTCLNAME,MATCH(1,(xlRTCLENDU=1)*(xlRTCLEQCL=$D1815),0))</f>
        <v>NG_RAD</v>
      </c>
      <c r="W1815" s="7" t="str">
        <f t="array" ref="W1815">INDEX(xlRTCLNAME,MATCH(1,(xlRTCLENDU=2)*(xlRTCLEQCL=$F1815),0))</f>
        <v>CENT_AIR</v>
      </c>
      <c r="X1815" s="7" t="str">
        <f t="array" ref="X1815">INDEX(xlRTTYNAME,MATCH(1,(xlRTTYENDU=1)*(xlRTTYEQCL=$D1815)*(xlRTEQTYPE=$E1815),0))</f>
        <v>NG_RAD1</v>
      </c>
      <c r="Y1815" s="7" t="str">
        <f t="array" ref="Y1815">INDEX(xlRTTYNAME,MATCH(1,(xlRTTYENDU=2)*(xlRTTYEQCL=$F1815)*(xlRTEQTYPE=$G1815),0))</f>
        <v>CENT_AIR1</v>
      </c>
    </row>
    <row r="1816" spans="2:25" x14ac:dyDescent="0.2">
      <c r="B1816" s="5">
        <v>7</v>
      </c>
      <c r="C1816" s="5">
        <v>3</v>
      </c>
      <c r="D1816" s="5">
        <v>4</v>
      </c>
      <c r="E1816" s="5">
        <v>10</v>
      </c>
      <c r="F1816" s="5">
        <v>2</v>
      </c>
      <c r="G1816" s="31">
        <v>4</v>
      </c>
      <c r="H1816" s="31">
        <v>2020</v>
      </c>
      <c r="I1816" s="96">
        <v>2050</v>
      </c>
      <c r="J1816" s="142">
        <v>1.0826</v>
      </c>
      <c r="K1816" s="142">
        <v>1.0412999999999999</v>
      </c>
      <c r="L1816" s="142">
        <v>0.86709999999999998</v>
      </c>
      <c r="M1816" s="142">
        <v>1.0887</v>
      </c>
      <c r="N1816" s="142">
        <v>0.8125</v>
      </c>
      <c r="O1816" s="142">
        <v>1.0538000000000001</v>
      </c>
      <c r="P1816" s="26">
        <v>3861.5023782535463</v>
      </c>
      <c r="Q1816" s="35">
        <f t="array" ref="Q1816">SUM(IF(($S1816&gt;=4)*($C1816='TaxCred&amp;Subs'!$D$114:$D$121)*($H1816='TaxCred&amp;Subs'!$C$114:$C$121)*($H1816&lt;='TaxCred&amp;Subs'!$C$123),'TaxCred&amp;Subs'!$E$114:$E$121,0))</f>
        <v>0</v>
      </c>
      <c r="R1816" s="143">
        <v>0</v>
      </c>
      <c r="S1816" s="5">
        <v>2</v>
      </c>
      <c r="T1816" s="5" t="s">
        <v>220</v>
      </c>
      <c r="V1816" s="7" t="str">
        <f t="array" ref="V1816">INDEX(xlRTCLNAME,MATCH(1,(xlRTCLENDU=1)*(xlRTCLEQCL=$D1816),0))</f>
        <v>NG_RAD</v>
      </c>
      <c r="W1816" s="7" t="str">
        <f t="array" ref="W1816">INDEX(xlRTCLNAME,MATCH(1,(xlRTCLENDU=2)*(xlRTCLEQCL=$F1816),0))</f>
        <v>CENT_AIR</v>
      </c>
      <c r="X1816" s="7" t="str">
        <f t="array" ref="X1816">INDEX(xlRTTYNAME,MATCH(1,(xlRTTYENDU=1)*(xlRTTYEQCL=$D1816)*(xlRTEQTYPE=$E1816),0))</f>
        <v>NG_RAD1</v>
      </c>
      <c r="Y1816" s="7" t="str">
        <f t="array" ref="Y1816">INDEX(xlRTTYNAME,MATCH(1,(xlRTTYENDU=2)*(xlRTTYEQCL=$F1816)*(xlRTEQTYPE=$G1816),0))</f>
        <v>CENT_AIR1</v>
      </c>
    </row>
    <row r="1817" spans="2:25" x14ac:dyDescent="0.2">
      <c r="B1817" s="5">
        <v>8</v>
      </c>
      <c r="C1817" s="5">
        <v>3</v>
      </c>
      <c r="D1817" s="5">
        <v>4</v>
      </c>
      <c r="E1817" s="5">
        <v>10</v>
      </c>
      <c r="F1817" s="5">
        <v>2</v>
      </c>
      <c r="G1817" s="31">
        <v>4</v>
      </c>
      <c r="H1817" s="31">
        <v>2020</v>
      </c>
      <c r="I1817" s="96">
        <v>2050</v>
      </c>
      <c r="J1817" s="142">
        <v>1.07</v>
      </c>
      <c r="K1817" s="142">
        <v>1.07</v>
      </c>
      <c r="L1817" s="142">
        <v>0.77259999999999995</v>
      </c>
      <c r="M1817" s="142">
        <v>1.0437000000000001</v>
      </c>
      <c r="N1817" s="142">
        <v>0.8034</v>
      </c>
      <c r="O1817" s="142">
        <v>1.0538000000000001</v>
      </c>
      <c r="P1817" s="26">
        <v>7396.2829327203208</v>
      </c>
      <c r="Q1817" s="35">
        <f t="array" ref="Q1817">SUM(IF(($S1817&gt;=4)*($C1817='TaxCred&amp;Subs'!$D$114:$D$121)*($H1817='TaxCred&amp;Subs'!$C$114:$C$121)*($H1817&lt;='TaxCred&amp;Subs'!$C$123),'TaxCred&amp;Subs'!$E$114:$E$121,0))</f>
        <v>0</v>
      </c>
      <c r="R1817" s="143">
        <v>0</v>
      </c>
      <c r="S1817" s="5">
        <v>2</v>
      </c>
      <c r="T1817" s="5" t="s">
        <v>220</v>
      </c>
      <c r="V1817" s="7" t="str">
        <f t="array" ref="V1817">INDEX(xlRTCLNAME,MATCH(1,(xlRTCLENDU=1)*(xlRTCLEQCL=$D1817),0))</f>
        <v>NG_RAD</v>
      </c>
      <c r="W1817" s="7" t="str">
        <f t="array" ref="W1817">INDEX(xlRTCLNAME,MATCH(1,(xlRTCLENDU=2)*(xlRTCLEQCL=$F1817),0))</f>
        <v>CENT_AIR</v>
      </c>
      <c r="X1817" s="7" t="str">
        <f t="array" ref="X1817">INDEX(xlRTTYNAME,MATCH(1,(xlRTTYENDU=1)*(xlRTTYEQCL=$D1817)*(xlRTEQTYPE=$E1817),0))</f>
        <v>NG_RAD1</v>
      </c>
      <c r="Y1817" s="7" t="str">
        <f t="array" ref="Y1817">INDEX(xlRTTYNAME,MATCH(1,(xlRTTYENDU=2)*(xlRTTYEQCL=$F1817)*(xlRTEQTYPE=$G1817),0))</f>
        <v>CENT_AIR1</v>
      </c>
    </row>
    <row r="1818" spans="2:25" x14ac:dyDescent="0.2">
      <c r="B1818" s="5">
        <v>9</v>
      </c>
      <c r="C1818" s="5">
        <v>3</v>
      </c>
      <c r="D1818" s="5">
        <v>4</v>
      </c>
      <c r="E1818" s="5">
        <v>10</v>
      </c>
      <c r="F1818" s="5">
        <v>2</v>
      </c>
      <c r="G1818" s="31">
        <v>4</v>
      </c>
      <c r="H1818" s="31">
        <v>2020</v>
      </c>
      <c r="I1818" s="96">
        <v>2050</v>
      </c>
      <c r="J1818" s="142">
        <v>1.0845</v>
      </c>
      <c r="K1818" s="142">
        <v>1.0658000000000001</v>
      </c>
      <c r="L1818" s="142">
        <v>0.82230000000000003</v>
      </c>
      <c r="M1818" s="142">
        <v>1.1374</v>
      </c>
      <c r="N1818" s="142">
        <v>0.84079999999999999</v>
      </c>
      <c r="O1818" s="142">
        <v>1.0538000000000001</v>
      </c>
      <c r="P1818" s="26">
        <v>8837.6236532940675</v>
      </c>
      <c r="Q1818" s="35">
        <f t="array" ref="Q1818">SUM(IF(($S1818&gt;=4)*($C1818='TaxCred&amp;Subs'!$D$114:$D$121)*($H1818='TaxCred&amp;Subs'!$C$114:$C$121)*($H1818&lt;='TaxCred&amp;Subs'!$C$123),'TaxCred&amp;Subs'!$E$114:$E$121,0))</f>
        <v>0</v>
      </c>
      <c r="R1818" s="143">
        <v>0</v>
      </c>
      <c r="S1818" s="5">
        <v>2</v>
      </c>
      <c r="T1818" s="5" t="s">
        <v>220</v>
      </c>
      <c r="V1818" s="7" t="str">
        <f t="array" ref="V1818">INDEX(xlRTCLNAME,MATCH(1,(xlRTCLENDU=1)*(xlRTCLEQCL=$D1818),0))</f>
        <v>NG_RAD</v>
      </c>
      <c r="W1818" s="7" t="str">
        <f t="array" ref="W1818">INDEX(xlRTCLNAME,MATCH(1,(xlRTCLENDU=2)*(xlRTCLEQCL=$F1818),0))</f>
        <v>CENT_AIR</v>
      </c>
      <c r="X1818" s="7" t="str">
        <f t="array" ref="X1818">INDEX(xlRTTYNAME,MATCH(1,(xlRTTYENDU=1)*(xlRTTYEQCL=$D1818)*(xlRTEQTYPE=$E1818),0))</f>
        <v>NG_RAD1</v>
      </c>
      <c r="Y1818" s="7" t="str">
        <f t="array" ref="Y1818">INDEX(xlRTTYNAME,MATCH(1,(xlRTTYENDU=2)*(xlRTTYEQCL=$F1818)*(xlRTEQTYPE=$G1818),0))</f>
        <v>CENT_AIR1</v>
      </c>
    </row>
    <row r="1819" spans="2:25" x14ac:dyDescent="0.2">
      <c r="B1819" s="29">
        <v>1</v>
      </c>
      <c r="C1819" s="29">
        <v>3</v>
      </c>
      <c r="D1819" s="29">
        <v>5</v>
      </c>
      <c r="E1819" s="29">
        <v>14</v>
      </c>
      <c r="F1819" s="29">
        <v>2</v>
      </c>
      <c r="G1819" s="32">
        <v>4</v>
      </c>
      <c r="H1819" s="32">
        <v>2020</v>
      </c>
      <c r="I1819" s="96">
        <v>2050</v>
      </c>
      <c r="J1819" s="144">
        <v>1.07</v>
      </c>
      <c r="K1819" s="144">
        <v>1.07</v>
      </c>
      <c r="L1819" s="144">
        <v>0.68140000000000001</v>
      </c>
      <c r="M1819" s="144">
        <v>1.0437000000000001</v>
      </c>
      <c r="N1819" s="144">
        <v>0.77729999999999999</v>
      </c>
      <c r="O1819" s="144">
        <v>1.0538000000000001</v>
      </c>
      <c r="P1819" s="143">
        <v>8931.7410510927275</v>
      </c>
      <c r="Q1819" s="35">
        <f t="array" ref="Q1819">SUM(IF(($S1819&gt;=4)*($C1819='TaxCred&amp;Subs'!$D$114:$D$121)*($H1819='TaxCred&amp;Subs'!$C$114:$C$121)*($H1819&lt;='TaxCred&amp;Subs'!$C$123),'TaxCred&amp;Subs'!$E$114:$E$121,0))</f>
        <v>0</v>
      </c>
      <c r="R1819" s="143">
        <v>0</v>
      </c>
      <c r="S1819" s="29">
        <v>2</v>
      </c>
      <c r="T1819" s="29" t="s">
        <v>220</v>
      </c>
      <c r="U1819" s="30" t="s">
        <v>227</v>
      </c>
      <c r="V1819" s="7" t="str">
        <f t="array" ref="V1819">INDEX(xlRTCLNAME,MATCH(1,(xlRTCLENDU=1)*(xlRTCLEQCL=$D1819),0))</f>
        <v>KERO_FA</v>
      </c>
      <c r="W1819" s="7" t="str">
        <f t="array" ref="W1819">INDEX(xlRTCLNAME,MATCH(1,(xlRTCLENDU=2)*(xlRTCLEQCL=$F1819),0))</f>
        <v>CENT_AIR</v>
      </c>
      <c r="X1819" s="7" t="str">
        <f t="array" ref="X1819">INDEX(xlRTTYNAME,MATCH(1,(xlRTTYENDU=1)*(xlRTTYEQCL=$D1819)*(xlRTEQTYPE=$E1819),0))</f>
        <v>KERO_FA1</v>
      </c>
      <c r="Y1819" s="7" t="str">
        <f t="array" ref="Y1819">INDEX(xlRTTYNAME,MATCH(1,(xlRTTYENDU=2)*(xlRTTYEQCL=$F1819)*(xlRTEQTYPE=$G1819),0))</f>
        <v>CENT_AIR1</v>
      </c>
    </row>
    <row r="1820" spans="2:25" x14ac:dyDescent="0.2">
      <c r="B1820" s="29">
        <v>2</v>
      </c>
      <c r="C1820" s="29">
        <v>3</v>
      </c>
      <c r="D1820" s="29">
        <v>5</v>
      </c>
      <c r="E1820" s="29">
        <v>14</v>
      </c>
      <c r="F1820" s="29">
        <v>2</v>
      </c>
      <c r="G1820" s="32">
        <v>4</v>
      </c>
      <c r="H1820" s="32">
        <v>2020</v>
      </c>
      <c r="I1820" s="96">
        <v>2050</v>
      </c>
      <c r="J1820" s="144">
        <v>1.0873999999999999</v>
      </c>
      <c r="K1820" s="144">
        <v>1.0638000000000001</v>
      </c>
      <c r="L1820" s="144">
        <v>0.8458</v>
      </c>
      <c r="M1820" s="144">
        <v>1.1620999999999999</v>
      </c>
      <c r="N1820" s="144">
        <v>0.84279999999999999</v>
      </c>
      <c r="O1820" s="144">
        <v>1.0538000000000001</v>
      </c>
      <c r="P1820" s="143">
        <v>8879.3042151763293</v>
      </c>
      <c r="Q1820" s="35">
        <f t="array" ref="Q1820">SUM(IF(($S1820&gt;=4)*($C1820='TaxCred&amp;Subs'!$D$114:$D$121)*($H1820='TaxCred&amp;Subs'!$C$114:$C$121)*($H1820&lt;='TaxCred&amp;Subs'!$C$123),'TaxCred&amp;Subs'!$E$114:$E$121,0))</f>
        <v>0</v>
      </c>
      <c r="R1820" s="143">
        <v>0</v>
      </c>
      <c r="S1820" s="29">
        <v>2</v>
      </c>
      <c r="T1820" s="29" t="s">
        <v>220</v>
      </c>
      <c r="U1820" s="30" t="s">
        <v>227</v>
      </c>
      <c r="V1820" s="7" t="str">
        <f t="array" ref="V1820">INDEX(xlRTCLNAME,MATCH(1,(xlRTCLENDU=1)*(xlRTCLEQCL=$D1820),0))</f>
        <v>KERO_FA</v>
      </c>
      <c r="W1820" s="7" t="str">
        <f t="array" ref="W1820">INDEX(xlRTCLNAME,MATCH(1,(xlRTCLENDU=2)*(xlRTCLEQCL=$F1820),0))</f>
        <v>CENT_AIR</v>
      </c>
      <c r="X1820" s="7" t="str">
        <f t="array" ref="X1820">INDEX(xlRTTYNAME,MATCH(1,(xlRTTYENDU=1)*(xlRTTYEQCL=$D1820)*(xlRTEQTYPE=$E1820),0))</f>
        <v>KERO_FA1</v>
      </c>
      <c r="Y1820" s="7" t="str">
        <f t="array" ref="Y1820">INDEX(xlRTTYNAME,MATCH(1,(xlRTTYENDU=2)*(xlRTTYEQCL=$F1820)*(xlRTEQTYPE=$G1820),0))</f>
        <v>CENT_AIR1</v>
      </c>
    </row>
    <row r="1821" spans="2:25" x14ac:dyDescent="0.2">
      <c r="B1821" s="29">
        <v>3</v>
      </c>
      <c r="C1821" s="29">
        <v>3</v>
      </c>
      <c r="D1821" s="29">
        <v>5</v>
      </c>
      <c r="E1821" s="29">
        <v>14</v>
      </c>
      <c r="F1821" s="29">
        <v>2</v>
      </c>
      <c r="G1821" s="32">
        <v>4</v>
      </c>
      <c r="H1821" s="32">
        <v>2020</v>
      </c>
      <c r="I1821" s="96">
        <v>2050</v>
      </c>
      <c r="J1821" s="144">
        <v>1.07</v>
      </c>
      <c r="K1821" s="144">
        <v>1.07</v>
      </c>
      <c r="L1821" s="144">
        <v>0.76570000000000005</v>
      </c>
      <c r="M1821" s="144">
        <v>1.0803</v>
      </c>
      <c r="N1821" s="144">
        <v>0.8478</v>
      </c>
      <c r="O1821" s="144">
        <v>1.0538000000000001</v>
      </c>
      <c r="P1821" s="143">
        <v>9051.4045997224493</v>
      </c>
      <c r="Q1821" s="35">
        <f t="array" ref="Q1821">SUM(IF(($S1821&gt;=4)*($C1821='TaxCred&amp;Subs'!$D$114:$D$121)*($H1821='TaxCred&amp;Subs'!$C$114:$C$121)*($H1821&lt;='TaxCred&amp;Subs'!$C$123),'TaxCred&amp;Subs'!$E$114:$E$121,0))</f>
        <v>0</v>
      </c>
      <c r="R1821" s="143">
        <v>0</v>
      </c>
      <c r="S1821" s="29">
        <v>2</v>
      </c>
      <c r="T1821" s="29" t="s">
        <v>220</v>
      </c>
      <c r="U1821" s="30" t="s">
        <v>227</v>
      </c>
      <c r="V1821" s="7" t="str">
        <f t="array" ref="V1821">INDEX(xlRTCLNAME,MATCH(1,(xlRTCLENDU=1)*(xlRTCLEQCL=$D1821),0))</f>
        <v>KERO_FA</v>
      </c>
      <c r="W1821" s="7" t="str">
        <f t="array" ref="W1821">INDEX(xlRTCLNAME,MATCH(1,(xlRTCLENDU=2)*(xlRTCLEQCL=$F1821),0))</f>
        <v>CENT_AIR</v>
      </c>
      <c r="X1821" s="7" t="str">
        <f t="array" ref="X1821">INDEX(xlRTTYNAME,MATCH(1,(xlRTTYENDU=1)*(xlRTTYEQCL=$D1821)*(xlRTEQTYPE=$E1821),0))</f>
        <v>KERO_FA1</v>
      </c>
      <c r="Y1821" s="7" t="str">
        <f t="array" ref="Y1821">INDEX(xlRTTYNAME,MATCH(1,(xlRTTYENDU=2)*(xlRTTYEQCL=$F1821)*(xlRTEQTYPE=$G1821),0))</f>
        <v>CENT_AIR1</v>
      </c>
    </row>
    <row r="1822" spans="2:25" x14ac:dyDescent="0.2">
      <c r="B1822" s="29">
        <v>4</v>
      </c>
      <c r="C1822" s="29">
        <v>3</v>
      </c>
      <c r="D1822" s="29">
        <v>5</v>
      </c>
      <c r="E1822" s="29">
        <v>14</v>
      </c>
      <c r="F1822" s="29">
        <v>2</v>
      </c>
      <c r="G1822" s="32">
        <v>4</v>
      </c>
      <c r="H1822" s="32">
        <v>2020</v>
      </c>
      <c r="I1822" s="96">
        <v>2050</v>
      </c>
      <c r="J1822" s="144">
        <v>1.07</v>
      </c>
      <c r="K1822" s="144">
        <v>1.07</v>
      </c>
      <c r="L1822" s="144">
        <v>0.69089999999999996</v>
      </c>
      <c r="M1822" s="144">
        <v>1.0580000000000001</v>
      </c>
      <c r="N1822" s="144">
        <v>0.77669999999999995</v>
      </c>
      <c r="O1822" s="144">
        <v>1.0538000000000001</v>
      </c>
      <c r="P1822" s="143">
        <v>7912.5840863586773</v>
      </c>
      <c r="Q1822" s="35">
        <f t="array" ref="Q1822">SUM(IF(($S1822&gt;=4)*($C1822='TaxCred&amp;Subs'!$D$114:$D$121)*($H1822='TaxCred&amp;Subs'!$C$114:$C$121)*($H1822&lt;='TaxCred&amp;Subs'!$C$123),'TaxCred&amp;Subs'!$E$114:$E$121,0))</f>
        <v>0</v>
      </c>
      <c r="R1822" s="143">
        <v>0</v>
      </c>
      <c r="S1822" s="29">
        <v>2</v>
      </c>
      <c r="T1822" s="29" t="s">
        <v>220</v>
      </c>
      <c r="U1822" s="30" t="s">
        <v>227</v>
      </c>
      <c r="V1822" s="7" t="str">
        <f t="array" ref="V1822">INDEX(xlRTCLNAME,MATCH(1,(xlRTCLENDU=1)*(xlRTCLEQCL=$D1822),0))</f>
        <v>KERO_FA</v>
      </c>
      <c r="W1822" s="7" t="str">
        <f t="array" ref="W1822">INDEX(xlRTCLNAME,MATCH(1,(xlRTCLENDU=2)*(xlRTCLEQCL=$F1822),0))</f>
        <v>CENT_AIR</v>
      </c>
      <c r="X1822" s="7" t="str">
        <f t="array" ref="X1822">INDEX(xlRTTYNAME,MATCH(1,(xlRTTYENDU=1)*(xlRTTYEQCL=$D1822)*(xlRTEQTYPE=$E1822),0))</f>
        <v>KERO_FA1</v>
      </c>
      <c r="Y1822" s="7" t="str">
        <f t="array" ref="Y1822">INDEX(xlRTTYNAME,MATCH(1,(xlRTTYENDU=2)*(xlRTTYEQCL=$F1822)*(xlRTEQTYPE=$G1822),0))</f>
        <v>CENT_AIR1</v>
      </c>
    </row>
    <row r="1823" spans="2:25" x14ac:dyDescent="0.2">
      <c r="B1823" s="29">
        <v>5</v>
      </c>
      <c r="C1823" s="29">
        <v>3</v>
      </c>
      <c r="D1823" s="29">
        <v>5</v>
      </c>
      <c r="E1823" s="29">
        <v>14</v>
      </c>
      <c r="F1823" s="29">
        <v>2</v>
      </c>
      <c r="G1823" s="32">
        <v>4</v>
      </c>
      <c r="H1823" s="32">
        <v>2020</v>
      </c>
      <c r="I1823" s="96">
        <v>2050</v>
      </c>
      <c r="J1823" s="144">
        <v>1.0667</v>
      </c>
      <c r="K1823" s="144">
        <v>1.0568</v>
      </c>
      <c r="L1823" s="144">
        <v>0.76839999999999997</v>
      </c>
      <c r="M1823" s="144">
        <v>1.0612999999999999</v>
      </c>
      <c r="N1823" s="144">
        <v>0.83260000000000001</v>
      </c>
      <c r="O1823" s="144">
        <v>1.0538000000000001</v>
      </c>
      <c r="P1823" s="143">
        <v>5423.8511817112831</v>
      </c>
      <c r="Q1823" s="35">
        <f t="array" ref="Q1823">SUM(IF(($S1823&gt;=4)*($C1823='TaxCred&amp;Subs'!$D$114:$D$121)*($H1823='TaxCred&amp;Subs'!$C$114:$C$121)*($H1823&lt;='TaxCred&amp;Subs'!$C$123),'TaxCred&amp;Subs'!$E$114:$E$121,0))</f>
        <v>0</v>
      </c>
      <c r="R1823" s="143">
        <v>0</v>
      </c>
      <c r="S1823" s="29">
        <v>2</v>
      </c>
      <c r="T1823" s="29" t="s">
        <v>220</v>
      </c>
      <c r="U1823" s="30" t="s">
        <v>227</v>
      </c>
      <c r="V1823" s="7" t="str">
        <f t="array" ref="V1823">INDEX(xlRTCLNAME,MATCH(1,(xlRTCLENDU=1)*(xlRTCLEQCL=$D1823),0))</f>
        <v>KERO_FA</v>
      </c>
      <c r="W1823" s="7" t="str">
        <f t="array" ref="W1823">INDEX(xlRTCLNAME,MATCH(1,(xlRTCLENDU=2)*(xlRTCLEQCL=$F1823),0))</f>
        <v>CENT_AIR</v>
      </c>
      <c r="X1823" s="7" t="str">
        <f t="array" ref="X1823">INDEX(xlRTTYNAME,MATCH(1,(xlRTTYENDU=1)*(xlRTTYEQCL=$D1823)*(xlRTEQTYPE=$E1823),0))</f>
        <v>KERO_FA1</v>
      </c>
      <c r="Y1823" s="7" t="str">
        <f t="array" ref="Y1823">INDEX(xlRTTYNAME,MATCH(1,(xlRTTYENDU=2)*(xlRTTYEQCL=$F1823)*(xlRTEQTYPE=$G1823),0))</f>
        <v>CENT_AIR1</v>
      </c>
    </row>
    <row r="1824" spans="2:25" x14ac:dyDescent="0.2">
      <c r="B1824" s="29">
        <v>6</v>
      </c>
      <c r="C1824" s="29">
        <v>3</v>
      </c>
      <c r="D1824" s="29">
        <v>5</v>
      </c>
      <c r="E1824" s="29">
        <v>14</v>
      </c>
      <c r="F1824" s="29">
        <v>2</v>
      </c>
      <c r="G1824" s="32">
        <v>4</v>
      </c>
      <c r="H1824" s="32">
        <v>2020</v>
      </c>
      <c r="I1824" s="96">
        <v>2050</v>
      </c>
      <c r="J1824" s="144">
        <v>1.0896999999999999</v>
      </c>
      <c r="K1824" s="144">
        <v>1.0723</v>
      </c>
      <c r="L1824" s="144">
        <v>0.81499999999999995</v>
      </c>
      <c r="M1824" s="144">
        <v>1.069</v>
      </c>
      <c r="N1824" s="144">
        <v>0.80269999999999997</v>
      </c>
      <c r="O1824" s="144">
        <v>1.0538000000000001</v>
      </c>
      <c r="P1824" s="143">
        <v>5250.4062629108985</v>
      </c>
      <c r="Q1824" s="35">
        <f t="array" ref="Q1824">SUM(IF(($S1824&gt;=4)*($C1824='TaxCred&amp;Subs'!$D$114:$D$121)*($H1824='TaxCred&amp;Subs'!$C$114:$C$121)*($H1824&lt;='TaxCred&amp;Subs'!$C$123),'TaxCred&amp;Subs'!$E$114:$E$121,0))</f>
        <v>0</v>
      </c>
      <c r="R1824" s="143">
        <v>0</v>
      </c>
      <c r="S1824" s="29">
        <v>2</v>
      </c>
      <c r="T1824" s="29" t="s">
        <v>220</v>
      </c>
      <c r="U1824" s="30" t="s">
        <v>227</v>
      </c>
      <c r="V1824" s="7" t="str">
        <f t="array" ref="V1824">INDEX(xlRTCLNAME,MATCH(1,(xlRTCLENDU=1)*(xlRTCLEQCL=$D1824),0))</f>
        <v>KERO_FA</v>
      </c>
      <c r="W1824" s="7" t="str">
        <f t="array" ref="W1824">INDEX(xlRTCLNAME,MATCH(1,(xlRTCLENDU=2)*(xlRTCLEQCL=$F1824),0))</f>
        <v>CENT_AIR</v>
      </c>
      <c r="X1824" s="7" t="str">
        <f t="array" ref="X1824">INDEX(xlRTTYNAME,MATCH(1,(xlRTTYENDU=1)*(xlRTTYEQCL=$D1824)*(xlRTEQTYPE=$E1824),0))</f>
        <v>KERO_FA1</v>
      </c>
      <c r="Y1824" s="7" t="str">
        <f t="array" ref="Y1824">INDEX(xlRTTYNAME,MATCH(1,(xlRTTYENDU=2)*(xlRTTYEQCL=$F1824)*(xlRTEQTYPE=$G1824),0))</f>
        <v>CENT_AIR1</v>
      </c>
    </row>
    <row r="1825" spans="2:25" x14ac:dyDescent="0.2">
      <c r="B1825" s="29">
        <v>7</v>
      </c>
      <c r="C1825" s="29">
        <v>3</v>
      </c>
      <c r="D1825" s="29">
        <v>5</v>
      </c>
      <c r="E1825" s="29">
        <v>14</v>
      </c>
      <c r="F1825" s="29">
        <v>2</v>
      </c>
      <c r="G1825" s="32">
        <v>4</v>
      </c>
      <c r="H1825" s="32">
        <v>2020</v>
      </c>
      <c r="I1825" s="96">
        <v>2050</v>
      </c>
      <c r="J1825" s="144">
        <v>1.0940000000000001</v>
      </c>
      <c r="K1825" s="144">
        <v>1.0512999999999999</v>
      </c>
      <c r="L1825" s="144">
        <v>0.86509999999999998</v>
      </c>
      <c r="M1825" s="144">
        <v>1.0754999999999999</v>
      </c>
      <c r="N1825" s="144">
        <v>0.81289999999999996</v>
      </c>
      <c r="O1825" s="144">
        <v>1.0538000000000001</v>
      </c>
      <c r="P1825" s="143">
        <v>3688.0574594531608</v>
      </c>
      <c r="Q1825" s="35">
        <f t="array" ref="Q1825">SUM(IF(($S1825&gt;=4)*($C1825='TaxCred&amp;Subs'!$D$114:$D$121)*($H1825='TaxCred&amp;Subs'!$C$114:$C$121)*($H1825&lt;='TaxCred&amp;Subs'!$C$123),'TaxCred&amp;Subs'!$E$114:$E$121,0))</f>
        <v>0</v>
      </c>
      <c r="R1825" s="143">
        <v>0</v>
      </c>
      <c r="S1825" s="29">
        <v>2</v>
      </c>
      <c r="T1825" s="29" t="s">
        <v>220</v>
      </c>
      <c r="U1825" s="30" t="s">
        <v>227</v>
      </c>
      <c r="V1825" s="7" t="str">
        <f t="array" ref="V1825">INDEX(xlRTCLNAME,MATCH(1,(xlRTCLENDU=1)*(xlRTCLEQCL=$D1825),0))</f>
        <v>KERO_FA</v>
      </c>
      <c r="W1825" s="7" t="str">
        <f t="array" ref="W1825">INDEX(xlRTCLNAME,MATCH(1,(xlRTCLENDU=2)*(xlRTCLEQCL=$F1825),0))</f>
        <v>CENT_AIR</v>
      </c>
      <c r="X1825" s="7" t="str">
        <f t="array" ref="X1825">INDEX(xlRTTYNAME,MATCH(1,(xlRTTYENDU=1)*(xlRTTYEQCL=$D1825)*(xlRTEQTYPE=$E1825),0))</f>
        <v>KERO_FA1</v>
      </c>
      <c r="Y1825" s="7" t="str">
        <f t="array" ref="Y1825">INDEX(xlRTTYNAME,MATCH(1,(xlRTTYENDU=2)*(xlRTTYEQCL=$F1825)*(xlRTEQTYPE=$G1825),0))</f>
        <v>CENT_AIR1</v>
      </c>
    </row>
    <row r="1826" spans="2:25" x14ac:dyDescent="0.2">
      <c r="B1826" s="29">
        <v>8</v>
      </c>
      <c r="C1826" s="29">
        <v>3</v>
      </c>
      <c r="D1826" s="29">
        <v>5</v>
      </c>
      <c r="E1826" s="29">
        <v>14</v>
      </c>
      <c r="F1826" s="29">
        <v>2</v>
      </c>
      <c r="G1826" s="32">
        <v>4</v>
      </c>
      <c r="H1826" s="32">
        <v>2020</v>
      </c>
      <c r="I1826" s="96">
        <v>2050</v>
      </c>
      <c r="J1826" s="144">
        <v>1.07</v>
      </c>
      <c r="K1826" s="144">
        <v>1.07</v>
      </c>
      <c r="L1826" s="144">
        <v>0.75760000000000005</v>
      </c>
      <c r="M1826" s="144">
        <v>1.0437000000000001</v>
      </c>
      <c r="N1826" s="144">
        <v>0.80589999999999995</v>
      </c>
      <c r="O1826" s="144">
        <v>1.0538000000000001</v>
      </c>
      <c r="P1826" s="143">
        <v>7396.2829327203208</v>
      </c>
      <c r="Q1826" s="35">
        <f t="array" ref="Q1826">SUM(IF(($S1826&gt;=4)*($C1826='TaxCred&amp;Subs'!$D$114:$D$121)*($H1826='TaxCred&amp;Subs'!$C$114:$C$121)*($H1826&lt;='TaxCred&amp;Subs'!$C$123),'TaxCred&amp;Subs'!$E$114:$E$121,0))</f>
        <v>0</v>
      </c>
      <c r="R1826" s="143">
        <v>0</v>
      </c>
      <c r="S1826" s="29">
        <v>2</v>
      </c>
      <c r="T1826" s="29" t="s">
        <v>220</v>
      </c>
      <c r="U1826" s="30" t="s">
        <v>227</v>
      </c>
      <c r="V1826" s="7" t="str">
        <f t="array" ref="V1826">INDEX(xlRTCLNAME,MATCH(1,(xlRTCLENDU=1)*(xlRTCLEQCL=$D1826),0))</f>
        <v>KERO_FA</v>
      </c>
      <c r="W1826" s="7" t="str">
        <f t="array" ref="W1826">INDEX(xlRTCLNAME,MATCH(1,(xlRTCLENDU=2)*(xlRTCLEQCL=$F1826),0))</f>
        <v>CENT_AIR</v>
      </c>
      <c r="X1826" s="7" t="str">
        <f t="array" ref="X1826">INDEX(xlRTTYNAME,MATCH(1,(xlRTTYENDU=1)*(xlRTTYEQCL=$D1826)*(xlRTEQTYPE=$E1826),0))</f>
        <v>KERO_FA1</v>
      </c>
      <c r="Y1826" s="7" t="str">
        <f t="array" ref="Y1826">INDEX(xlRTTYNAME,MATCH(1,(xlRTTYENDU=2)*(xlRTTYEQCL=$F1826)*(xlRTEQTYPE=$G1826),0))</f>
        <v>CENT_AIR1</v>
      </c>
    </row>
    <row r="1827" spans="2:25" x14ac:dyDescent="0.2">
      <c r="B1827" s="29">
        <v>9</v>
      </c>
      <c r="C1827" s="29">
        <v>3</v>
      </c>
      <c r="D1827" s="29">
        <v>5</v>
      </c>
      <c r="E1827" s="29">
        <v>14</v>
      </c>
      <c r="F1827" s="29">
        <v>2</v>
      </c>
      <c r="G1827" s="32">
        <v>4</v>
      </c>
      <c r="H1827" s="32">
        <v>2020</v>
      </c>
      <c r="I1827" s="96">
        <v>2050</v>
      </c>
      <c r="J1827" s="144">
        <v>1.0743</v>
      </c>
      <c r="K1827" s="144">
        <v>1.0519000000000001</v>
      </c>
      <c r="L1827" s="144">
        <v>0.82989999999999997</v>
      </c>
      <c r="M1827" s="144">
        <v>1.1548</v>
      </c>
      <c r="N1827" s="144">
        <v>0.84240000000000004</v>
      </c>
      <c r="O1827" s="144">
        <v>1.0538000000000001</v>
      </c>
      <c r="P1827" s="143">
        <v>8570.0613366950238</v>
      </c>
      <c r="Q1827" s="35">
        <f t="array" ref="Q1827">SUM(IF(($S1827&gt;=4)*($C1827='TaxCred&amp;Subs'!$D$114:$D$121)*($H1827='TaxCred&amp;Subs'!$C$114:$C$121)*($H1827&lt;='TaxCred&amp;Subs'!$C$123),'TaxCred&amp;Subs'!$E$114:$E$121,0))</f>
        <v>0</v>
      </c>
      <c r="R1827" s="143">
        <v>0</v>
      </c>
      <c r="S1827" s="29">
        <v>2</v>
      </c>
      <c r="T1827" s="29" t="s">
        <v>220</v>
      </c>
      <c r="U1827" s="30" t="s">
        <v>227</v>
      </c>
      <c r="V1827" s="7" t="str">
        <f t="array" ref="V1827">INDEX(xlRTCLNAME,MATCH(1,(xlRTCLENDU=1)*(xlRTCLEQCL=$D1827),0))</f>
        <v>KERO_FA</v>
      </c>
      <c r="W1827" s="7" t="str">
        <f t="array" ref="W1827">INDEX(xlRTCLNAME,MATCH(1,(xlRTCLENDU=2)*(xlRTCLEQCL=$F1827),0))</f>
        <v>CENT_AIR</v>
      </c>
      <c r="X1827" s="7" t="str">
        <f t="array" ref="X1827">INDEX(xlRTTYNAME,MATCH(1,(xlRTTYENDU=1)*(xlRTTYEQCL=$D1827)*(xlRTEQTYPE=$E1827),0))</f>
        <v>KERO_FA1</v>
      </c>
      <c r="Y1827" s="7" t="str">
        <f t="array" ref="Y1827">INDEX(xlRTTYNAME,MATCH(1,(xlRTTYENDU=2)*(xlRTTYEQCL=$F1827)*(xlRTEQTYPE=$G1827),0))</f>
        <v>CENT_AIR1</v>
      </c>
    </row>
    <row r="1828" spans="2:25" x14ac:dyDescent="0.2">
      <c r="B1828" s="5">
        <v>1</v>
      </c>
      <c r="C1828" s="5">
        <v>3</v>
      </c>
      <c r="D1828" s="5">
        <v>6</v>
      </c>
      <c r="E1828" s="5">
        <v>18</v>
      </c>
      <c r="F1828" s="5">
        <v>2</v>
      </c>
      <c r="G1828" s="31">
        <v>4</v>
      </c>
      <c r="H1828" s="31">
        <v>2020</v>
      </c>
      <c r="I1828" s="96">
        <v>2050</v>
      </c>
      <c r="J1828" s="142">
        <v>1.07</v>
      </c>
      <c r="K1828" s="142">
        <v>1.07</v>
      </c>
      <c r="L1828" s="142">
        <v>0.68079999999999996</v>
      </c>
      <c r="M1828" s="142">
        <v>1.0588</v>
      </c>
      <c r="N1828" s="142">
        <v>0.77800000000000002</v>
      </c>
      <c r="O1828" s="142">
        <v>1.0538000000000001</v>
      </c>
      <c r="P1828" s="26">
        <v>8931.7410510927275</v>
      </c>
      <c r="Q1828" s="35">
        <f t="array" ref="Q1828">SUM(IF(($S1828&gt;=4)*($C1828='TaxCred&amp;Subs'!$D$114:$D$121)*($H1828='TaxCred&amp;Subs'!$C$114:$C$121)*($H1828&lt;='TaxCred&amp;Subs'!$C$123),'TaxCred&amp;Subs'!$E$114:$E$121,0))</f>
        <v>0</v>
      </c>
      <c r="R1828" s="143">
        <v>0</v>
      </c>
      <c r="S1828" s="5">
        <v>2</v>
      </c>
      <c r="T1828" s="5" t="s">
        <v>220</v>
      </c>
      <c r="V1828" s="7" t="str">
        <f t="array" ref="V1828">INDEX(xlRTCLNAME,MATCH(1,(xlRTCLENDU=1)*(xlRTCLEQCL=$D1828),0))</f>
        <v>LPG_FA</v>
      </c>
      <c r="W1828" s="7" t="str">
        <f t="array" ref="W1828">INDEX(xlRTCLNAME,MATCH(1,(xlRTCLENDU=2)*(xlRTCLEQCL=$F1828),0))</f>
        <v>CENT_AIR</v>
      </c>
      <c r="X1828" s="7" t="str">
        <f t="array" ref="X1828">INDEX(xlRTTYNAME,MATCH(1,(xlRTTYENDU=1)*(xlRTTYEQCL=$D1828)*(xlRTEQTYPE=$E1828),0))</f>
        <v>LPG_FA1</v>
      </c>
      <c r="Y1828" s="7" t="str">
        <f t="array" ref="Y1828">INDEX(xlRTTYNAME,MATCH(1,(xlRTTYENDU=2)*(xlRTTYEQCL=$F1828)*(xlRTEQTYPE=$G1828),0))</f>
        <v>CENT_AIR1</v>
      </c>
    </row>
    <row r="1829" spans="2:25" x14ac:dyDescent="0.2">
      <c r="B1829" s="5">
        <v>2</v>
      </c>
      <c r="C1829" s="5">
        <v>3</v>
      </c>
      <c r="D1829" s="5">
        <v>6</v>
      </c>
      <c r="E1829" s="5">
        <v>18</v>
      </c>
      <c r="F1829" s="5">
        <v>2</v>
      </c>
      <c r="G1829" s="31">
        <v>4</v>
      </c>
      <c r="H1829" s="31">
        <v>2020</v>
      </c>
      <c r="I1829" s="96">
        <v>2050</v>
      </c>
      <c r="J1829" s="142">
        <v>1.0670999999999999</v>
      </c>
      <c r="K1829" s="142">
        <v>1.0638000000000001</v>
      </c>
      <c r="L1829" s="142">
        <v>0.88700000000000001</v>
      </c>
      <c r="M1829" s="142">
        <v>1.1462000000000001</v>
      </c>
      <c r="N1829" s="142">
        <v>0.84609999999999996</v>
      </c>
      <c r="O1829" s="142">
        <v>1.0538000000000001</v>
      </c>
      <c r="P1829" s="26">
        <v>6745.5283536553079</v>
      </c>
      <c r="Q1829" s="35">
        <f t="array" ref="Q1829">SUM(IF(($S1829&gt;=4)*($C1829='TaxCred&amp;Subs'!$D$114:$D$121)*($H1829='TaxCred&amp;Subs'!$C$114:$C$121)*($H1829&lt;='TaxCred&amp;Subs'!$C$123),'TaxCred&amp;Subs'!$E$114:$E$121,0))</f>
        <v>0</v>
      </c>
      <c r="R1829" s="143">
        <v>0</v>
      </c>
      <c r="S1829" s="5">
        <v>2</v>
      </c>
      <c r="T1829" s="5" t="s">
        <v>220</v>
      </c>
      <c r="V1829" s="7" t="str">
        <f t="array" ref="V1829">INDEX(xlRTCLNAME,MATCH(1,(xlRTCLENDU=1)*(xlRTCLEQCL=$D1829),0))</f>
        <v>LPG_FA</v>
      </c>
      <c r="W1829" s="7" t="str">
        <f t="array" ref="W1829">INDEX(xlRTCLNAME,MATCH(1,(xlRTCLENDU=2)*(xlRTCLEQCL=$F1829),0))</f>
        <v>CENT_AIR</v>
      </c>
      <c r="X1829" s="7" t="str">
        <f t="array" ref="X1829">INDEX(xlRTTYNAME,MATCH(1,(xlRTTYENDU=1)*(xlRTTYEQCL=$D1829)*(xlRTEQTYPE=$E1829),0))</f>
        <v>LPG_FA1</v>
      </c>
      <c r="Y1829" s="7" t="str">
        <f t="array" ref="Y1829">INDEX(xlRTTYNAME,MATCH(1,(xlRTTYENDU=2)*(xlRTTYEQCL=$F1829)*(xlRTEQTYPE=$G1829),0))</f>
        <v>CENT_AIR1</v>
      </c>
    </row>
    <row r="1830" spans="2:25" x14ac:dyDescent="0.2">
      <c r="B1830" s="5">
        <v>3</v>
      </c>
      <c r="C1830" s="5">
        <v>3</v>
      </c>
      <c r="D1830" s="5">
        <v>6</v>
      </c>
      <c r="E1830" s="5">
        <v>18</v>
      </c>
      <c r="F1830" s="5">
        <v>2</v>
      </c>
      <c r="G1830" s="31">
        <v>4</v>
      </c>
      <c r="H1830" s="31">
        <v>2020</v>
      </c>
      <c r="I1830" s="96">
        <v>2050</v>
      </c>
      <c r="J1830" s="142">
        <v>1.07</v>
      </c>
      <c r="K1830" s="142">
        <v>1.07</v>
      </c>
      <c r="L1830" s="142">
        <v>0.76580000000000004</v>
      </c>
      <c r="M1830" s="142">
        <v>1.0925</v>
      </c>
      <c r="N1830" s="142">
        <v>0.8498</v>
      </c>
      <c r="O1830" s="142">
        <v>1.0538000000000001</v>
      </c>
      <c r="P1830" s="26">
        <v>9051.4045997224493</v>
      </c>
      <c r="Q1830" s="35">
        <f t="array" ref="Q1830">SUM(IF(($S1830&gt;=4)*($C1830='TaxCred&amp;Subs'!$D$114:$D$121)*($H1830='TaxCred&amp;Subs'!$C$114:$C$121)*($H1830&lt;='TaxCred&amp;Subs'!$C$123),'TaxCred&amp;Subs'!$E$114:$E$121,0))</f>
        <v>0</v>
      </c>
      <c r="R1830" s="143">
        <v>0</v>
      </c>
      <c r="S1830" s="5">
        <v>2</v>
      </c>
      <c r="T1830" s="5" t="s">
        <v>220</v>
      </c>
      <c r="V1830" s="7" t="str">
        <f t="array" ref="V1830">INDEX(xlRTCLNAME,MATCH(1,(xlRTCLENDU=1)*(xlRTCLEQCL=$D1830),0))</f>
        <v>LPG_FA</v>
      </c>
      <c r="W1830" s="7" t="str">
        <f t="array" ref="W1830">INDEX(xlRTCLNAME,MATCH(1,(xlRTCLENDU=2)*(xlRTCLEQCL=$F1830),0))</f>
        <v>CENT_AIR</v>
      </c>
      <c r="X1830" s="7" t="str">
        <f t="array" ref="X1830">INDEX(xlRTTYNAME,MATCH(1,(xlRTTYENDU=1)*(xlRTTYEQCL=$D1830)*(xlRTEQTYPE=$E1830),0))</f>
        <v>LPG_FA1</v>
      </c>
      <c r="Y1830" s="7" t="str">
        <f t="array" ref="Y1830">INDEX(xlRTTYNAME,MATCH(1,(xlRTTYENDU=2)*(xlRTTYEQCL=$F1830)*(xlRTEQTYPE=$G1830),0))</f>
        <v>CENT_AIR1</v>
      </c>
    </row>
    <row r="1831" spans="2:25" x14ac:dyDescent="0.2">
      <c r="B1831" s="5">
        <v>4</v>
      </c>
      <c r="C1831" s="5">
        <v>3</v>
      </c>
      <c r="D1831" s="5">
        <v>6</v>
      </c>
      <c r="E1831" s="5">
        <v>18</v>
      </c>
      <c r="F1831" s="5">
        <v>2</v>
      </c>
      <c r="G1831" s="31">
        <v>4</v>
      </c>
      <c r="H1831" s="31">
        <v>2020</v>
      </c>
      <c r="I1831" s="96">
        <v>2050</v>
      </c>
      <c r="J1831" s="142">
        <v>1.07</v>
      </c>
      <c r="K1831" s="142">
        <v>1.07</v>
      </c>
      <c r="L1831" s="142">
        <v>0.68620000000000003</v>
      </c>
      <c r="M1831" s="142">
        <v>1.0580000000000001</v>
      </c>
      <c r="N1831" s="142">
        <v>0.77659999999999996</v>
      </c>
      <c r="O1831" s="142">
        <v>1.0538000000000001</v>
      </c>
      <c r="P1831" s="26">
        <v>7912.5840863586773</v>
      </c>
      <c r="Q1831" s="35">
        <f t="array" ref="Q1831">SUM(IF(($S1831&gt;=4)*($C1831='TaxCred&amp;Subs'!$D$114:$D$121)*($H1831='TaxCred&amp;Subs'!$C$114:$C$121)*($H1831&lt;='TaxCred&amp;Subs'!$C$123),'TaxCred&amp;Subs'!$E$114:$E$121,0))</f>
        <v>0</v>
      </c>
      <c r="R1831" s="143">
        <v>0</v>
      </c>
      <c r="S1831" s="5">
        <v>2</v>
      </c>
      <c r="T1831" s="5" t="s">
        <v>220</v>
      </c>
      <c r="V1831" s="7" t="str">
        <f t="array" ref="V1831">INDEX(xlRTCLNAME,MATCH(1,(xlRTCLENDU=1)*(xlRTCLEQCL=$D1831),0))</f>
        <v>LPG_FA</v>
      </c>
      <c r="W1831" s="7" t="str">
        <f t="array" ref="W1831">INDEX(xlRTCLNAME,MATCH(1,(xlRTCLENDU=2)*(xlRTCLEQCL=$F1831),0))</f>
        <v>CENT_AIR</v>
      </c>
      <c r="X1831" s="7" t="str">
        <f t="array" ref="X1831">INDEX(xlRTTYNAME,MATCH(1,(xlRTTYENDU=1)*(xlRTTYEQCL=$D1831)*(xlRTEQTYPE=$E1831),0))</f>
        <v>LPG_FA1</v>
      </c>
      <c r="Y1831" s="7" t="str">
        <f t="array" ref="Y1831">INDEX(xlRTTYNAME,MATCH(1,(xlRTTYENDU=2)*(xlRTTYEQCL=$F1831)*(xlRTEQTYPE=$G1831),0))</f>
        <v>CENT_AIR1</v>
      </c>
    </row>
    <row r="1832" spans="2:25" x14ac:dyDescent="0.2">
      <c r="B1832" s="5">
        <v>5</v>
      </c>
      <c r="C1832" s="5">
        <v>3</v>
      </c>
      <c r="D1832" s="5">
        <v>6</v>
      </c>
      <c r="E1832" s="5">
        <v>18</v>
      </c>
      <c r="F1832" s="5">
        <v>2</v>
      </c>
      <c r="G1832" s="31">
        <v>4</v>
      </c>
      <c r="H1832" s="31">
        <v>2020</v>
      </c>
      <c r="I1832" s="96">
        <v>2050</v>
      </c>
      <c r="J1832" s="142">
        <v>1.0559000000000001</v>
      </c>
      <c r="K1832" s="142">
        <v>1.0444</v>
      </c>
      <c r="L1832" s="142">
        <v>0.86729999999999996</v>
      </c>
      <c r="M1832" s="142">
        <v>1.0669</v>
      </c>
      <c r="N1832" s="142">
        <v>0.83460000000000001</v>
      </c>
      <c r="O1832" s="142">
        <v>1.0538000000000001</v>
      </c>
      <c r="P1832" s="26">
        <v>4596.962615337352</v>
      </c>
      <c r="Q1832" s="35">
        <f t="array" ref="Q1832">SUM(IF(($S1832&gt;=4)*($C1832='TaxCred&amp;Subs'!$D$114:$D$121)*($H1832='TaxCred&amp;Subs'!$C$114:$C$121)*($H1832&lt;='TaxCred&amp;Subs'!$C$123),'TaxCred&amp;Subs'!$E$114:$E$121,0))</f>
        <v>0</v>
      </c>
      <c r="R1832" s="143">
        <v>0</v>
      </c>
      <c r="S1832" s="5">
        <v>2</v>
      </c>
      <c r="T1832" s="5" t="s">
        <v>220</v>
      </c>
      <c r="V1832" s="7" t="str">
        <f t="array" ref="V1832">INDEX(xlRTCLNAME,MATCH(1,(xlRTCLENDU=1)*(xlRTCLEQCL=$D1832),0))</f>
        <v>LPG_FA</v>
      </c>
      <c r="W1832" s="7" t="str">
        <f t="array" ref="W1832">INDEX(xlRTCLNAME,MATCH(1,(xlRTCLENDU=2)*(xlRTCLEQCL=$F1832),0))</f>
        <v>CENT_AIR</v>
      </c>
      <c r="X1832" s="7" t="str">
        <f t="array" ref="X1832">INDEX(xlRTTYNAME,MATCH(1,(xlRTTYENDU=1)*(xlRTTYEQCL=$D1832)*(xlRTEQTYPE=$E1832),0))</f>
        <v>LPG_FA1</v>
      </c>
      <c r="Y1832" s="7" t="str">
        <f t="array" ref="Y1832">INDEX(xlRTTYNAME,MATCH(1,(xlRTTYENDU=2)*(xlRTTYEQCL=$F1832)*(xlRTEQTYPE=$G1832),0))</f>
        <v>CENT_AIR1</v>
      </c>
    </row>
    <row r="1833" spans="2:25" x14ac:dyDescent="0.2">
      <c r="B1833" s="5">
        <v>6</v>
      </c>
      <c r="C1833" s="5">
        <v>3</v>
      </c>
      <c r="D1833" s="5">
        <v>6</v>
      </c>
      <c r="E1833" s="5">
        <v>18</v>
      </c>
      <c r="F1833" s="5">
        <v>2</v>
      </c>
      <c r="G1833" s="31">
        <v>4</v>
      </c>
      <c r="H1833" s="31">
        <v>2020</v>
      </c>
      <c r="I1833" s="96">
        <v>2050</v>
      </c>
      <c r="J1833" s="142">
        <v>1.0872999999999999</v>
      </c>
      <c r="K1833" s="142">
        <v>1.0581</v>
      </c>
      <c r="L1833" s="142">
        <v>0.83140000000000003</v>
      </c>
      <c r="M1833" s="142">
        <v>1.0811999999999999</v>
      </c>
      <c r="N1833" s="142">
        <v>0.8044</v>
      </c>
      <c r="O1833" s="142">
        <v>1.0538000000000001</v>
      </c>
      <c r="P1833" s="26">
        <v>5145.5325910781066</v>
      </c>
      <c r="Q1833" s="35">
        <f t="array" ref="Q1833">SUM(IF(($S1833&gt;=4)*($C1833='TaxCred&amp;Subs'!$D$114:$D$121)*($H1833='TaxCred&amp;Subs'!$C$114:$C$121)*($H1833&lt;='TaxCred&amp;Subs'!$C$123),'TaxCred&amp;Subs'!$E$114:$E$121,0))</f>
        <v>0</v>
      </c>
      <c r="R1833" s="143">
        <v>0</v>
      </c>
      <c r="S1833" s="5">
        <v>2</v>
      </c>
      <c r="T1833" s="5" t="s">
        <v>220</v>
      </c>
      <c r="V1833" s="7" t="str">
        <f t="array" ref="V1833">INDEX(xlRTCLNAME,MATCH(1,(xlRTCLENDU=1)*(xlRTCLEQCL=$D1833),0))</f>
        <v>LPG_FA</v>
      </c>
      <c r="W1833" s="7" t="str">
        <f t="array" ref="W1833">INDEX(xlRTCLNAME,MATCH(1,(xlRTCLENDU=2)*(xlRTCLEQCL=$F1833),0))</f>
        <v>CENT_AIR</v>
      </c>
      <c r="X1833" s="7" t="str">
        <f t="array" ref="X1833">INDEX(xlRTTYNAME,MATCH(1,(xlRTTYENDU=1)*(xlRTTYEQCL=$D1833)*(xlRTEQTYPE=$E1833),0))</f>
        <v>LPG_FA1</v>
      </c>
      <c r="Y1833" s="7" t="str">
        <f t="array" ref="Y1833">INDEX(xlRTTYNAME,MATCH(1,(xlRTTYENDU=2)*(xlRTTYEQCL=$F1833)*(xlRTEQTYPE=$G1833),0))</f>
        <v>CENT_AIR1</v>
      </c>
    </row>
    <row r="1834" spans="2:25" x14ac:dyDescent="0.2">
      <c r="B1834" s="5">
        <v>7</v>
      </c>
      <c r="C1834" s="5">
        <v>3</v>
      </c>
      <c r="D1834" s="5">
        <v>6</v>
      </c>
      <c r="E1834" s="5">
        <v>18</v>
      </c>
      <c r="F1834" s="5">
        <v>2</v>
      </c>
      <c r="G1834" s="31">
        <v>4</v>
      </c>
      <c r="H1834" s="31">
        <v>2020</v>
      </c>
      <c r="I1834" s="96">
        <v>2050</v>
      </c>
      <c r="J1834" s="142">
        <v>1.0914999999999999</v>
      </c>
      <c r="K1834" s="142">
        <v>1.0496000000000001</v>
      </c>
      <c r="L1834" s="142">
        <v>0.89400000000000002</v>
      </c>
      <c r="M1834" s="142">
        <v>1.0887</v>
      </c>
      <c r="N1834" s="142">
        <v>0.81759999999999999</v>
      </c>
      <c r="O1834" s="142">
        <v>1.0538000000000001</v>
      </c>
      <c r="P1834" s="26">
        <v>3553.6040340265054</v>
      </c>
      <c r="Q1834" s="35">
        <f t="array" ref="Q1834">SUM(IF(($S1834&gt;=4)*($C1834='TaxCred&amp;Subs'!$D$114:$D$121)*($H1834='TaxCred&amp;Subs'!$C$114:$C$121)*($H1834&lt;='TaxCred&amp;Subs'!$C$123),'TaxCred&amp;Subs'!$E$114:$E$121,0))</f>
        <v>0</v>
      </c>
      <c r="R1834" s="143">
        <v>0</v>
      </c>
      <c r="S1834" s="5">
        <v>2</v>
      </c>
      <c r="T1834" s="5" t="s">
        <v>220</v>
      </c>
      <c r="V1834" s="7" t="str">
        <f t="array" ref="V1834">INDEX(xlRTCLNAME,MATCH(1,(xlRTCLENDU=1)*(xlRTCLEQCL=$D1834),0))</f>
        <v>LPG_FA</v>
      </c>
      <c r="W1834" s="7" t="str">
        <f t="array" ref="W1834">INDEX(xlRTCLNAME,MATCH(1,(xlRTCLENDU=2)*(xlRTCLEQCL=$F1834),0))</f>
        <v>CENT_AIR</v>
      </c>
      <c r="X1834" s="7" t="str">
        <f t="array" ref="X1834">INDEX(xlRTTYNAME,MATCH(1,(xlRTTYENDU=1)*(xlRTTYEQCL=$D1834)*(xlRTEQTYPE=$E1834),0))</f>
        <v>LPG_FA1</v>
      </c>
      <c r="Y1834" s="7" t="str">
        <f t="array" ref="Y1834">INDEX(xlRTTYNAME,MATCH(1,(xlRTTYENDU=2)*(xlRTTYEQCL=$F1834)*(xlRTEQTYPE=$G1834),0))</f>
        <v>CENT_AIR1</v>
      </c>
    </row>
    <row r="1835" spans="2:25" x14ac:dyDescent="0.2">
      <c r="B1835" s="5">
        <v>8</v>
      </c>
      <c r="C1835" s="5">
        <v>3</v>
      </c>
      <c r="D1835" s="5">
        <v>6</v>
      </c>
      <c r="E1835" s="5">
        <v>18</v>
      </c>
      <c r="F1835" s="5">
        <v>2</v>
      </c>
      <c r="G1835" s="31">
        <v>4</v>
      </c>
      <c r="H1835" s="31">
        <v>2020</v>
      </c>
      <c r="I1835" s="96">
        <v>2050</v>
      </c>
      <c r="J1835" s="142">
        <v>1.07</v>
      </c>
      <c r="K1835" s="142">
        <v>1.07</v>
      </c>
      <c r="L1835" s="142">
        <v>0.75749999999999995</v>
      </c>
      <c r="M1835" s="142">
        <v>1.0437000000000001</v>
      </c>
      <c r="N1835" s="142">
        <v>0.80840000000000001</v>
      </c>
      <c r="O1835" s="142">
        <v>1.0538000000000001</v>
      </c>
      <c r="P1835" s="26">
        <v>7396.2829327203208</v>
      </c>
      <c r="Q1835" s="35">
        <f t="array" ref="Q1835">SUM(IF(($S1835&gt;=4)*($C1835='TaxCred&amp;Subs'!$D$114:$D$121)*($H1835='TaxCred&amp;Subs'!$C$114:$C$121)*($H1835&lt;='TaxCred&amp;Subs'!$C$123),'TaxCred&amp;Subs'!$E$114:$E$121,0))</f>
        <v>0</v>
      </c>
      <c r="R1835" s="143">
        <v>0</v>
      </c>
      <c r="S1835" s="5">
        <v>2</v>
      </c>
      <c r="T1835" s="5" t="s">
        <v>220</v>
      </c>
      <c r="V1835" s="7" t="str">
        <f t="array" ref="V1835">INDEX(xlRTCLNAME,MATCH(1,(xlRTCLENDU=1)*(xlRTCLEQCL=$D1835),0))</f>
        <v>LPG_FA</v>
      </c>
      <c r="W1835" s="7" t="str">
        <f t="array" ref="W1835">INDEX(xlRTCLNAME,MATCH(1,(xlRTCLENDU=2)*(xlRTCLEQCL=$F1835),0))</f>
        <v>CENT_AIR</v>
      </c>
      <c r="X1835" s="7" t="str">
        <f t="array" ref="X1835">INDEX(xlRTTYNAME,MATCH(1,(xlRTTYENDU=1)*(xlRTTYEQCL=$D1835)*(xlRTEQTYPE=$E1835),0))</f>
        <v>LPG_FA1</v>
      </c>
      <c r="Y1835" s="7" t="str">
        <f t="array" ref="Y1835">INDEX(xlRTTYNAME,MATCH(1,(xlRTTYENDU=2)*(xlRTTYEQCL=$F1835)*(xlRTEQTYPE=$G1835),0))</f>
        <v>CENT_AIR1</v>
      </c>
    </row>
    <row r="1836" spans="2:25" x14ac:dyDescent="0.2">
      <c r="B1836" s="5">
        <v>9</v>
      </c>
      <c r="C1836" s="5">
        <v>3</v>
      </c>
      <c r="D1836" s="5">
        <v>6</v>
      </c>
      <c r="E1836" s="5">
        <v>18</v>
      </c>
      <c r="F1836" s="5">
        <v>2</v>
      </c>
      <c r="G1836" s="31">
        <v>4</v>
      </c>
      <c r="H1836" s="31">
        <v>2020</v>
      </c>
      <c r="I1836" s="96">
        <v>2050</v>
      </c>
      <c r="J1836" s="142">
        <v>1.0761000000000001</v>
      </c>
      <c r="K1836" s="142">
        <v>1.0506</v>
      </c>
      <c r="L1836" s="142">
        <v>0.86780000000000002</v>
      </c>
      <c r="M1836" s="142">
        <v>1.1609</v>
      </c>
      <c r="N1836" s="142">
        <v>0.84670000000000001</v>
      </c>
      <c r="O1836" s="142">
        <v>1.0538000000000001</v>
      </c>
      <c r="P1836" s="26">
        <v>7198.6363973431371</v>
      </c>
      <c r="Q1836" s="35">
        <f t="array" ref="Q1836">SUM(IF(($S1836&gt;=4)*($C1836='TaxCred&amp;Subs'!$D$114:$D$121)*($H1836='TaxCred&amp;Subs'!$C$114:$C$121)*($H1836&lt;='TaxCred&amp;Subs'!$C$123),'TaxCred&amp;Subs'!$E$114:$E$121,0))</f>
        <v>0</v>
      </c>
      <c r="R1836" s="143">
        <v>0</v>
      </c>
      <c r="S1836" s="5">
        <v>2</v>
      </c>
      <c r="T1836" s="5" t="s">
        <v>220</v>
      </c>
      <c r="V1836" s="7" t="str">
        <f t="array" ref="V1836">INDEX(xlRTCLNAME,MATCH(1,(xlRTCLENDU=1)*(xlRTCLEQCL=$D1836),0))</f>
        <v>LPG_FA</v>
      </c>
      <c r="W1836" s="7" t="str">
        <f t="array" ref="W1836">INDEX(xlRTCLNAME,MATCH(1,(xlRTCLENDU=2)*(xlRTCLEQCL=$F1836),0))</f>
        <v>CENT_AIR</v>
      </c>
      <c r="X1836" s="7" t="str">
        <f t="array" ref="X1836">INDEX(xlRTTYNAME,MATCH(1,(xlRTTYENDU=1)*(xlRTTYEQCL=$D1836)*(xlRTEQTYPE=$E1836),0))</f>
        <v>LPG_FA1</v>
      </c>
      <c r="Y1836" s="7" t="str">
        <f t="array" ref="Y1836">INDEX(xlRTTYNAME,MATCH(1,(xlRTTYENDU=2)*(xlRTTYEQCL=$F1836)*(xlRTEQTYPE=$G1836),0))</f>
        <v>CENT_AIR1</v>
      </c>
    </row>
    <row r="1837" spans="2:25" x14ac:dyDescent="0.2">
      <c r="B1837" s="5">
        <v>1</v>
      </c>
      <c r="C1837" s="5">
        <v>3</v>
      </c>
      <c r="D1837" s="5">
        <v>7</v>
      </c>
      <c r="E1837" s="5">
        <v>22</v>
      </c>
      <c r="F1837" s="5">
        <v>2</v>
      </c>
      <c r="G1837" s="31">
        <v>4</v>
      </c>
      <c r="H1837" s="31">
        <v>2020</v>
      </c>
      <c r="I1837" s="96">
        <v>2050</v>
      </c>
      <c r="J1837" s="142">
        <v>1.07</v>
      </c>
      <c r="K1837" s="142">
        <v>1.07</v>
      </c>
      <c r="L1837" s="142">
        <v>0.68140000000000001</v>
      </c>
      <c r="M1837" s="142">
        <v>1.0437000000000001</v>
      </c>
      <c r="N1837" s="142">
        <v>0.77729999999999999</v>
      </c>
      <c r="O1837" s="142">
        <v>1.0538000000000001</v>
      </c>
      <c r="P1837" s="26">
        <v>8931.7410510927275</v>
      </c>
      <c r="Q1837" s="35">
        <f t="array" ref="Q1837">SUM(IF(($S1837&gt;=4)*($C1837='TaxCred&amp;Subs'!$D$114:$D$121)*($H1837='TaxCred&amp;Subs'!$C$114:$C$121)*($H1837&lt;='TaxCred&amp;Subs'!$C$123),'TaxCred&amp;Subs'!$E$114:$E$121,0))</f>
        <v>0</v>
      </c>
      <c r="R1837" s="143">
        <v>0</v>
      </c>
      <c r="S1837" s="5">
        <v>2</v>
      </c>
      <c r="T1837" s="5" t="s">
        <v>220</v>
      </c>
      <c r="V1837" s="7" t="str">
        <f t="array" ref="V1837">INDEX(xlRTCLNAME,MATCH(1,(xlRTCLENDU=1)*(xlRTCLEQCL=$D1837),0))</f>
        <v>DIST_FA</v>
      </c>
      <c r="W1837" s="7" t="str">
        <f t="array" ref="W1837">INDEX(xlRTCLNAME,MATCH(1,(xlRTCLENDU=2)*(xlRTCLEQCL=$F1837),0))</f>
        <v>CENT_AIR</v>
      </c>
      <c r="X1837" s="7" t="str">
        <f t="array" ref="X1837">INDEX(xlRTTYNAME,MATCH(1,(xlRTTYENDU=1)*(xlRTTYEQCL=$D1837)*(xlRTEQTYPE=$E1837),0))</f>
        <v>DIST_FA1</v>
      </c>
      <c r="Y1837" s="7" t="str">
        <f t="array" ref="Y1837">INDEX(xlRTTYNAME,MATCH(1,(xlRTTYENDU=2)*(xlRTTYEQCL=$F1837)*(xlRTEQTYPE=$G1837),0))</f>
        <v>CENT_AIR1</v>
      </c>
    </row>
    <row r="1838" spans="2:25" x14ac:dyDescent="0.2">
      <c r="B1838" s="5">
        <v>2</v>
      </c>
      <c r="C1838" s="5">
        <v>3</v>
      </c>
      <c r="D1838" s="5">
        <v>7</v>
      </c>
      <c r="E1838" s="5">
        <v>22</v>
      </c>
      <c r="F1838" s="5">
        <v>2</v>
      </c>
      <c r="G1838" s="31">
        <v>4</v>
      </c>
      <c r="H1838" s="31">
        <v>2020</v>
      </c>
      <c r="I1838" s="96">
        <v>2050</v>
      </c>
      <c r="J1838" s="142">
        <v>1.0873999999999999</v>
      </c>
      <c r="K1838" s="142">
        <v>1.0638000000000001</v>
      </c>
      <c r="L1838" s="142">
        <v>0.8458</v>
      </c>
      <c r="M1838" s="142">
        <v>1.1620999999999999</v>
      </c>
      <c r="N1838" s="142">
        <v>0.84279999999999999</v>
      </c>
      <c r="O1838" s="142">
        <v>1.0538000000000001</v>
      </c>
      <c r="P1838" s="26">
        <v>8879.3042151763293</v>
      </c>
      <c r="Q1838" s="35">
        <f t="array" ref="Q1838">SUM(IF(($S1838&gt;=4)*($C1838='TaxCred&amp;Subs'!$D$114:$D$121)*($H1838='TaxCred&amp;Subs'!$C$114:$C$121)*($H1838&lt;='TaxCred&amp;Subs'!$C$123),'TaxCred&amp;Subs'!$E$114:$E$121,0))</f>
        <v>0</v>
      </c>
      <c r="R1838" s="143">
        <v>0</v>
      </c>
      <c r="S1838" s="5">
        <v>2</v>
      </c>
      <c r="T1838" s="5" t="s">
        <v>220</v>
      </c>
      <c r="V1838" s="7" t="str">
        <f t="array" ref="V1838">INDEX(xlRTCLNAME,MATCH(1,(xlRTCLENDU=1)*(xlRTCLEQCL=$D1838),0))</f>
        <v>DIST_FA</v>
      </c>
      <c r="W1838" s="7" t="str">
        <f t="array" ref="W1838">INDEX(xlRTCLNAME,MATCH(1,(xlRTCLENDU=2)*(xlRTCLEQCL=$F1838),0))</f>
        <v>CENT_AIR</v>
      </c>
      <c r="X1838" s="7" t="str">
        <f t="array" ref="X1838">INDEX(xlRTTYNAME,MATCH(1,(xlRTTYENDU=1)*(xlRTTYEQCL=$D1838)*(xlRTEQTYPE=$E1838),0))</f>
        <v>DIST_FA1</v>
      </c>
      <c r="Y1838" s="7" t="str">
        <f t="array" ref="Y1838">INDEX(xlRTTYNAME,MATCH(1,(xlRTTYENDU=2)*(xlRTTYEQCL=$F1838)*(xlRTEQTYPE=$G1838),0))</f>
        <v>CENT_AIR1</v>
      </c>
    </row>
    <row r="1839" spans="2:25" x14ac:dyDescent="0.2">
      <c r="B1839" s="5">
        <v>3</v>
      </c>
      <c r="C1839" s="5">
        <v>3</v>
      </c>
      <c r="D1839" s="5">
        <v>7</v>
      </c>
      <c r="E1839" s="5">
        <v>22</v>
      </c>
      <c r="F1839" s="5">
        <v>2</v>
      </c>
      <c r="G1839" s="31">
        <v>4</v>
      </c>
      <c r="H1839" s="31">
        <v>2020</v>
      </c>
      <c r="I1839" s="96">
        <v>2050</v>
      </c>
      <c r="J1839" s="142">
        <v>1.07</v>
      </c>
      <c r="K1839" s="142">
        <v>1.07</v>
      </c>
      <c r="L1839" s="142">
        <v>0.76570000000000005</v>
      </c>
      <c r="M1839" s="142">
        <v>1.0803</v>
      </c>
      <c r="N1839" s="142">
        <v>0.8478</v>
      </c>
      <c r="O1839" s="142">
        <v>1.0538000000000001</v>
      </c>
      <c r="P1839" s="26">
        <v>9051.4045997224493</v>
      </c>
      <c r="Q1839" s="35">
        <f t="array" ref="Q1839">SUM(IF(($S1839&gt;=4)*($C1839='TaxCred&amp;Subs'!$D$114:$D$121)*($H1839='TaxCred&amp;Subs'!$C$114:$C$121)*($H1839&lt;='TaxCred&amp;Subs'!$C$123),'TaxCred&amp;Subs'!$E$114:$E$121,0))</f>
        <v>0</v>
      </c>
      <c r="R1839" s="143">
        <v>0</v>
      </c>
      <c r="S1839" s="5">
        <v>2</v>
      </c>
      <c r="T1839" s="5" t="s">
        <v>220</v>
      </c>
      <c r="V1839" s="7" t="str">
        <f t="array" ref="V1839">INDEX(xlRTCLNAME,MATCH(1,(xlRTCLENDU=1)*(xlRTCLEQCL=$D1839),0))</f>
        <v>DIST_FA</v>
      </c>
      <c r="W1839" s="7" t="str">
        <f t="array" ref="W1839">INDEX(xlRTCLNAME,MATCH(1,(xlRTCLENDU=2)*(xlRTCLEQCL=$F1839),0))</f>
        <v>CENT_AIR</v>
      </c>
      <c r="X1839" s="7" t="str">
        <f t="array" ref="X1839">INDEX(xlRTTYNAME,MATCH(1,(xlRTTYENDU=1)*(xlRTTYEQCL=$D1839)*(xlRTEQTYPE=$E1839),0))</f>
        <v>DIST_FA1</v>
      </c>
      <c r="Y1839" s="7" t="str">
        <f t="array" ref="Y1839">INDEX(xlRTTYNAME,MATCH(1,(xlRTTYENDU=2)*(xlRTTYEQCL=$F1839)*(xlRTEQTYPE=$G1839),0))</f>
        <v>CENT_AIR1</v>
      </c>
    </row>
    <row r="1840" spans="2:25" x14ac:dyDescent="0.2">
      <c r="B1840" s="5">
        <v>4</v>
      </c>
      <c r="C1840" s="5">
        <v>3</v>
      </c>
      <c r="D1840" s="5">
        <v>7</v>
      </c>
      <c r="E1840" s="5">
        <v>22</v>
      </c>
      <c r="F1840" s="5">
        <v>2</v>
      </c>
      <c r="G1840" s="31">
        <v>4</v>
      </c>
      <c r="H1840" s="31">
        <v>2020</v>
      </c>
      <c r="I1840" s="96">
        <v>2050</v>
      </c>
      <c r="J1840" s="142">
        <v>1.07</v>
      </c>
      <c r="K1840" s="142">
        <v>1.07</v>
      </c>
      <c r="L1840" s="142">
        <v>0.69089999999999996</v>
      </c>
      <c r="M1840" s="142">
        <v>1.0580000000000001</v>
      </c>
      <c r="N1840" s="142">
        <v>0.77669999999999995</v>
      </c>
      <c r="O1840" s="142">
        <v>1.0538000000000001</v>
      </c>
      <c r="P1840" s="26">
        <v>7912.5840863586773</v>
      </c>
      <c r="Q1840" s="35">
        <f t="array" ref="Q1840">SUM(IF(($S1840&gt;=4)*($C1840='TaxCred&amp;Subs'!$D$114:$D$121)*($H1840='TaxCred&amp;Subs'!$C$114:$C$121)*($H1840&lt;='TaxCred&amp;Subs'!$C$123),'TaxCred&amp;Subs'!$E$114:$E$121,0))</f>
        <v>0</v>
      </c>
      <c r="R1840" s="143">
        <v>0</v>
      </c>
      <c r="S1840" s="5">
        <v>2</v>
      </c>
      <c r="T1840" s="5" t="s">
        <v>220</v>
      </c>
      <c r="V1840" s="7" t="str">
        <f t="array" ref="V1840">INDEX(xlRTCLNAME,MATCH(1,(xlRTCLENDU=1)*(xlRTCLEQCL=$D1840),0))</f>
        <v>DIST_FA</v>
      </c>
      <c r="W1840" s="7" t="str">
        <f t="array" ref="W1840">INDEX(xlRTCLNAME,MATCH(1,(xlRTCLENDU=2)*(xlRTCLEQCL=$F1840),0))</f>
        <v>CENT_AIR</v>
      </c>
      <c r="X1840" s="7" t="str">
        <f t="array" ref="X1840">INDEX(xlRTTYNAME,MATCH(1,(xlRTTYENDU=1)*(xlRTTYEQCL=$D1840)*(xlRTEQTYPE=$E1840),0))</f>
        <v>DIST_FA1</v>
      </c>
      <c r="Y1840" s="7" t="str">
        <f t="array" ref="Y1840">INDEX(xlRTTYNAME,MATCH(1,(xlRTTYENDU=2)*(xlRTTYEQCL=$F1840)*(xlRTEQTYPE=$G1840),0))</f>
        <v>CENT_AIR1</v>
      </c>
    </row>
    <row r="1841" spans="2:25" x14ac:dyDescent="0.2">
      <c r="B1841" s="5">
        <v>5</v>
      </c>
      <c r="C1841" s="5">
        <v>3</v>
      </c>
      <c r="D1841" s="5">
        <v>7</v>
      </c>
      <c r="E1841" s="5">
        <v>22</v>
      </c>
      <c r="F1841" s="5">
        <v>2</v>
      </c>
      <c r="G1841" s="31">
        <v>4</v>
      </c>
      <c r="H1841" s="31">
        <v>2020</v>
      </c>
      <c r="I1841" s="96">
        <v>2050</v>
      </c>
      <c r="J1841" s="142">
        <v>1.0667</v>
      </c>
      <c r="K1841" s="142">
        <v>1.0568</v>
      </c>
      <c r="L1841" s="142">
        <v>0.76839999999999997</v>
      </c>
      <c r="M1841" s="142">
        <v>1.0612999999999999</v>
      </c>
      <c r="N1841" s="142">
        <v>0.83260000000000001</v>
      </c>
      <c r="O1841" s="142">
        <v>1.0538000000000001</v>
      </c>
      <c r="P1841" s="26">
        <v>5423.8511817112831</v>
      </c>
      <c r="Q1841" s="35">
        <f t="array" ref="Q1841">SUM(IF(($S1841&gt;=4)*($C1841='TaxCred&amp;Subs'!$D$114:$D$121)*($H1841='TaxCred&amp;Subs'!$C$114:$C$121)*($H1841&lt;='TaxCred&amp;Subs'!$C$123),'TaxCred&amp;Subs'!$E$114:$E$121,0))</f>
        <v>0</v>
      </c>
      <c r="R1841" s="143">
        <v>0</v>
      </c>
      <c r="S1841" s="5">
        <v>2</v>
      </c>
      <c r="T1841" s="5" t="s">
        <v>220</v>
      </c>
      <c r="V1841" s="7" t="str">
        <f t="array" ref="V1841">INDEX(xlRTCLNAME,MATCH(1,(xlRTCLENDU=1)*(xlRTCLEQCL=$D1841),0))</f>
        <v>DIST_FA</v>
      </c>
      <c r="W1841" s="7" t="str">
        <f t="array" ref="W1841">INDEX(xlRTCLNAME,MATCH(1,(xlRTCLENDU=2)*(xlRTCLEQCL=$F1841),0))</f>
        <v>CENT_AIR</v>
      </c>
      <c r="X1841" s="7" t="str">
        <f t="array" ref="X1841">INDEX(xlRTTYNAME,MATCH(1,(xlRTTYENDU=1)*(xlRTTYEQCL=$D1841)*(xlRTEQTYPE=$E1841),0))</f>
        <v>DIST_FA1</v>
      </c>
      <c r="Y1841" s="7" t="str">
        <f t="array" ref="Y1841">INDEX(xlRTTYNAME,MATCH(1,(xlRTTYENDU=2)*(xlRTTYEQCL=$F1841)*(xlRTEQTYPE=$G1841),0))</f>
        <v>CENT_AIR1</v>
      </c>
    </row>
    <row r="1842" spans="2:25" x14ac:dyDescent="0.2">
      <c r="B1842" s="5">
        <v>6</v>
      </c>
      <c r="C1842" s="5">
        <v>3</v>
      </c>
      <c r="D1842" s="5">
        <v>7</v>
      </c>
      <c r="E1842" s="5">
        <v>22</v>
      </c>
      <c r="F1842" s="5">
        <v>2</v>
      </c>
      <c r="G1842" s="31">
        <v>4</v>
      </c>
      <c r="H1842" s="31">
        <v>2020</v>
      </c>
      <c r="I1842" s="96">
        <v>2050</v>
      </c>
      <c r="J1842" s="142">
        <v>1.0896999999999999</v>
      </c>
      <c r="K1842" s="142">
        <v>1.0723</v>
      </c>
      <c r="L1842" s="142">
        <v>0.81499999999999995</v>
      </c>
      <c r="M1842" s="142">
        <v>1.069</v>
      </c>
      <c r="N1842" s="142">
        <v>0.80269999999999997</v>
      </c>
      <c r="O1842" s="142">
        <v>1.0538000000000001</v>
      </c>
      <c r="P1842" s="26">
        <v>5250.4062629108985</v>
      </c>
      <c r="Q1842" s="35">
        <f t="array" ref="Q1842">SUM(IF(($S1842&gt;=4)*($C1842='TaxCred&amp;Subs'!$D$114:$D$121)*($H1842='TaxCred&amp;Subs'!$C$114:$C$121)*($H1842&lt;='TaxCred&amp;Subs'!$C$123),'TaxCred&amp;Subs'!$E$114:$E$121,0))</f>
        <v>0</v>
      </c>
      <c r="R1842" s="143">
        <v>0</v>
      </c>
      <c r="S1842" s="5">
        <v>2</v>
      </c>
      <c r="T1842" s="5" t="s">
        <v>220</v>
      </c>
      <c r="V1842" s="7" t="str">
        <f t="array" ref="V1842">INDEX(xlRTCLNAME,MATCH(1,(xlRTCLENDU=1)*(xlRTCLEQCL=$D1842),0))</f>
        <v>DIST_FA</v>
      </c>
      <c r="W1842" s="7" t="str">
        <f t="array" ref="W1842">INDEX(xlRTCLNAME,MATCH(1,(xlRTCLENDU=2)*(xlRTCLEQCL=$F1842),0))</f>
        <v>CENT_AIR</v>
      </c>
      <c r="X1842" s="7" t="str">
        <f t="array" ref="X1842">INDEX(xlRTTYNAME,MATCH(1,(xlRTTYENDU=1)*(xlRTTYEQCL=$D1842)*(xlRTEQTYPE=$E1842),0))</f>
        <v>DIST_FA1</v>
      </c>
      <c r="Y1842" s="7" t="str">
        <f t="array" ref="Y1842">INDEX(xlRTTYNAME,MATCH(1,(xlRTTYENDU=2)*(xlRTTYEQCL=$F1842)*(xlRTEQTYPE=$G1842),0))</f>
        <v>CENT_AIR1</v>
      </c>
    </row>
    <row r="1843" spans="2:25" x14ac:dyDescent="0.2">
      <c r="B1843" s="5">
        <v>7</v>
      </c>
      <c r="C1843" s="5">
        <v>3</v>
      </c>
      <c r="D1843" s="5">
        <v>7</v>
      </c>
      <c r="E1843" s="5">
        <v>22</v>
      </c>
      <c r="F1843" s="5">
        <v>2</v>
      </c>
      <c r="G1843" s="31">
        <v>4</v>
      </c>
      <c r="H1843" s="31">
        <v>2020</v>
      </c>
      <c r="I1843" s="96">
        <v>2050</v>
      </c>
      <c r="J1843" s="142">
        <v>1.0940000000000001</v>
      </c>
      <c r="K1843" s="142">
        <v>1.0512999999999999</v>
      </c>
      <c r="L1843" s="142">
        <v>0.86509999999999998</v>
      </c>
      <c r="M1843" s="142">
        <v>1.0754999999999999</v>
      </c>
      <c r="N1843" s="142">
        <v>0.81289999999999996</v>
      </c>
      <c r="O1843" s="142">
        <v>1.0538000000000001</v>
      </c>
      <c r="P1843" s="26">
        <v>3688.0574594531608</v>
      </c>
      <c r="Q1843" s="35">
        <f t="array" ref="Q1843">SUM(IF(($S1843&gt;=4)*($C1843='TaxCred&amp;Subs'!$D$114:$D$121)*($H1843='TaxCred&amp;Subs'!$C$114:$C$121)*($H1843&lt;='TaxCred&amp;Subs'!$C$123),'TaxCred&amp;Subs'!$E$114:$E$121,0))</f>
        <v>0</v>
      </c>
      <c r="R1843" s="143">
        <v>0</v>
      </c>
      <c r="S1843" s="5">
        <v>2</v>
      </c>
      <c r="T1843" s="5" t="s">
        <v>220</v>
      </c>
      <c r="V1843" s="7" t="str">
        <f t="array" ref="V1843">INDEX(xlRTCLNAME,MATCH(1,(xlRTCLENDU=1)*(xlRTCLEQCL=$D1843),0))</f>
        <v>DIST_FA</v>
      </c>
      <c r="W1843" s="7" t="str">
        <f t="array" ref="W1843">INDEX(xlRTCLNAME,MATCH(1,(xlRTCLENDU=2)*(xlRTCLEQCL=$F1843),0))</f>
        <v>CENT_AIR</v>
      </c>
      <c r="X1843" s="7" t="str">
        <f t="array" ref="X1843">INDEX(xlRTTYNAME,MATCH(1,(xlRTTYENDU=1)*(xlRTTYEQCL=$D1843)*(xlRTEQTYPE=$E1843),0))</f>
        <v>DIST_FA1</v>
      </c>
      <c r="Y1843" s="7" t="str">
        <f t="array" ref="Y1843">INDEX(xlRTTYNAME,MATCH(1,(xlRTTYENDU=2)*(xlRTTYEQCL=$F1843)*(xlRTEQTYPE=$G1843),0))</f>
        <v>CENT_AIR1</v>
      </c>
    </row>
    <row r="1844" spans="2:25" x14ac:dyDescent="0.2">
      <c r="B1844" s="5">
        <v>8</v>
      </c>
      <c r="C1844" s="5">
        <v>3</v>
      </c>
      <c r="D1844" s="5">
        <v>7</v>
      </c>
      <c r="E1844" s="5">
        <v>22</v>
      </c>
      <c r="F1844" s="5">
        <v>2</v>
      </c>
      <c r="G1844" s="31">
        <v>4</v>
      </c>
      <c r="H1844" s="31">
        <v>2020</v>
      </c>
      <c r="I1844" s="96">
        <v>2050</v>
      </c>
      <c r="J1844" s="142">
        <v>1.07</v>
      </c>
      <c r="K1844" s="142">
        <v>1.07</v>
      </c>
      <c r="L1844" s="142">
        <v>0.75760000000000005</v>
      </c>
      <c r="M1844" s="142">
        <v>1.0437000000000001</v>
      </c>
      <c r="N1844" s="142">
        <v>0.80589999999999995</v>
      </c>
      <c r="O1844" s="142">
        <v>1.0538000000000001</v>
      </c>
      <c r="P1844" s="26">
        <v>7396.2829327203208</v>
      </c>
      <c r="Q1844" s="35">
        <f t="array" ref="Q1844">SUM(IF(($S1844&gt;=4)*($C1844='TaxCred&amp;Subs'!$D$114:$D$121)*($H1844='TaxCred&amp;Subs'!$C$114:$C$121)*($H1844&lt;='TaxCred&amp;Subs'!$C$123),'TaxCred&amp;Subs'!$E$114:$E$121,0))</f>
        <v>0</v>
      </c>
      <c r="R1844" s="143">
        <v>0</v>
      </c>
      <c r="S1844" s="5">
        <v>2</v>
      </c>
      <c r="T1844" s="5" t="s">
        <v>220</v>
      </c>
      <c r="V1844" s="7" t="str">
        <f t="array" ref="V1844">INDEX(xlRTCLNAME,MATCH(1,(xlRTCLENDU=1)*(xlRTCLEQCL=$D1844),0))</f>
        <v>DIST_FA</v>
      </c>
      <c r="W1844" s="7" t="str">
        <f t="array" ref="W1844">INDEX(xlRTCLNAME,MATCH(1,(xlRTCLENDU=2)*(xlRTCLEQCL=$F1844),0))</f>
        <v>CENT_AIR</v>
      </c>
      <c r="X1844" s="7" t="str">
        <f t="array" ref="X1844">INDEX(xlRTTYNAME,MATCH(1,(xlRTTYENDU=1)*(xlRTTYEQCL=$D1844)*(xlRTEQTYPE=$E1844),0))</f>
        <v>DIST_FA1</v>
      </c>
      <c r="Y1844" s="7" t="str">
        <f t="array" ref="Y1844">INDEX(xlRTTYNAME,MATCH(1,(xlRTTYENDU=2)*(xlRTTYEQCL=$F1844)*(xlRTEQTYPE=$G1844),0))</f>
        <v>CENT_AIR1</v>
      </c>
    </row>
    <row r="1845" spans="2:25" x14ac:dyDescent="0.2">
      <c r="B1845" s="5">
        <v>9</v>
      </c>
      <c r="C1845" s="5">
        <v>3</v>
      </c>
      <c r="D1845" s="5">
        <v>7</v>
      </c>
      <c r="E1845" s="5">
        <v>22</v>
      </c>
      <c r="F1845" s="5">
        <v>2</v>
      </c>
      <c r="G1845" s="31">
        <v>4</v>
      </c>
      <c r="H1845" s="31">
        <v>2020</v>
      </c>
      <c r="I1845" s="96">
        <v>2050</v>
      </c>
      <c r="J1845" s="142">
        <v>1.0743</v>
      </c>
      <c r="K1845" s="142">
        <v>1.0519000000000001</v>
      </c>
      <c r="L1845" s="142">
        <v>0.82989999999999997</v>
      </c>
      <c r="M1845" s="142">
        <v>1.1548</v>
      </c>
      <c r="N1845" s="142">
        <v>0.84240000000000004</v>
      </c>
      <c r="O1845" s="142">
        <v>1.0538000000000001</v>
      </c>
      <c r="P1845" s="26">
        <v>8570.0613366950238</v>
      </c>
      <c r="Q1845" s="35">
        <f t="array" ref="Q1845">SUM(IF(($S1845&gt;=4)*($C1845='TaxCred&amp;Subs'!$D$114:$D$121)*($H1845='TaxCred&amp;Subs'!$C$114:$C$121)*($H1845&lt;='TaxCred&amp;Subs'!$C$123),'TaxCred&amp;Subs'!$E$114:$E$121,0))</f>
        <v>0</v>
      </c>
      <c r="R1845" s="143">
        <v>0</v>
      </c>
      <c r="S1845" s="5">
        <v>2</v>
      </c>
      <c r="T1845" s="5" t="s">
        <v>220</v>
      </c>
      <c r="V1845" s="7" t="str">
        <f t="array" ref="V1845">INDEX(xlRTCLNAME,MATCH(1,(xlRTCLENDU=1)*(xlRTCLEQCL=$D1845),0))</f>
        <v>DIST_FA</v>
      </c>
      <c r="W1845" s="7" t="str">
        <f t="array" ref="W1845">INDEX(xlRTCLNAME,MATCH(1,(xlRTCLENDU=2)*(xlRTCLEQCL=$F1845),0))</f>
        <v>CENT_AIR</v>
      </c>
      <c r="X1845" s="7" t="str">
        <f t="array" ref="X1845">INDEX(xlRTTYNAME,MATCH(1,(xlRTTYENDU=1)*(xlRTTYEQCL=$D1845)*(xlRTEQTYPE=$E1845),0))</f>
        <v>DIST_FA1</v>
      </c>
      <c r="Y1845" s="7" t="str">
        <f t="array" ref="Y1845">INDEX(xlRTTYNAME,MATCH(1,(xlRTTYENDU=2)*(xlRTTYEQCL=$F1845)*(xlRTEQTYPE=$G1845),0))</f>
        <v>CENT_AIR1</v>
      </c>
    </row>
    <row r="1846" spans="2:25" x14ac:dyDescent="0.2">
      <c r="B1846" s="5">
        <v>1</v>
      </c>
      <c r="C1846" s="5">
        <v>3</v>
      </c>
      <c r="D1846" s="5">
        <v>8</v>
      </c>
      <c r="E1846" s="5">
        <v>26</v>
      </c>
      <c r="F1846" s="5">
        <v>2</v>
      </c>
      <c r="G1846" s="31">
        <v>4</v>
      </c>
      <c r="H1846" s="31">
        <v>2020</v>
      </c>
      <c r="I1846" s="96">
        <v>2050</v>
      </c>
      <c r="J1846" s="142">
        <v>1.07</v>
      </c>
      <c r="K1846" s="142">
        <v>1.07</v>
      </c>
      <c r="L1846" s="142">
        <v>0.69540000000000002</v>
      </c>
      <c r="M1846" s="142">
        <v>1.0588</v>
      </c>
      <c r="N1846" s="142">
        <v>0.77410000000000001</v>
      </c>
      <c r="O1846" s="142">
        <v>1.0538000000000001</v>
      </c>
      <c r="P1846" s="26">
        <v>8931.7410510927275</v>
      </c>
      <c r="Q1846" s="35">
        <f t="array" ref="Q1846">SUM(IF(($S1846&gt;=4)*($C1846='TaxCred&amp;Subs'!$D$114:$D$121)*($H1846='TaxCred&amp;Subs'!$C$114:$C$121)*($H1846&lt;='TaxCred&amp;Subs'!$C$123),'TaxCred&amp;Subs'!$E$114:$E$121,0))</f>
        <v>0</v>
      </c>
      <c r="R1846" s="143">
        <v>0</v>
      </c>
      <c r="S1846" s="5">
        <v>2</v>
      </c>
      <c r="T1846" s="5" t="s">
        <v>220</v>
      </c>
      <c r="V1846" s="7" t="str">
        <f t="array" ref="V1846">INDEX(xlRTCLNAME,MATCH(1,(xlRTCLENDU=1)*(xlRTCLEQCL=$D1846),0))</f>
        <v>DIST_RAD</v>
      </c>
      <c r="W1846" s="7" t="str">
        <f t="array" ref="W1846">INDEX(xlRTCLNAME,MATCH(1,(xlRTCLENDU=2)*(xlRTCLEQCL=$F1846),0))</f>
        <v>CENT_AIR</v>
      </c>
      <c r="X1846" s="7" t="str">
        <f t="array" ref="X1846">INDEX(xlRTTYNAME,MATCH(1,(xlRTTYENDU=1)*(xlRTTYEQCL=$D1846)*(xlRTEQTYPE=$E1846),0))</f>
        <v>DIST_RAD1</v>
      </c>
      <c r="Y1846" s="7" t="str">
        <f t="array" ref="Y1846">INDEX(xlRTTYNAME,MATCH(1,(xlRTTYENDU=2)*(xlRTTYEQCL=$F1846)*(xlRTEQTYPE=$G1846),0))</f>
        <v>CENT_AIR1</v>
      </c>
    </row>
    <row r="1847" spans="2:25" x14ac:dyDescent="0.2">
      <c r="B1847" s="5">
        <v>2</v>
      </c>
      <c r="C1847" s="5">
        <v>3</v>
      </c>
      <c r="D1847" s="5">
        <v>8</v>
      </c>
      <c r="E1847" s="5">
        <v>26</v>
      </c>
      <c r="F1847" s="5">
        <v>2</v>
      </c>
      <c r="G1847" s="31">
        <v>4</v>
      </c>
      <c r="H1847" s="31">
        <v>2020</v>
      </c>
      <c r="I1847" s="96">
        <v>2050</v>
      </c>
      <c r="J1847" s="142">
        <v>1.07</v>
      </c>
      <c r="K1847" s="142">
        <v>1.07</v>
      </c>
      <c r="L1847" s="142">
        <v>0.76580000000000004</v>
      </c>
      <c r="M1847" s="142">
        <v>1.1206</v>
      </c>
      <c r="N1847" s="142">
        <v>0.83819999999999995</v>
      </c>
      <c r="O1847" s="142">
        <v>1.0538000000000001</v>
      </c>
      <c r="P1847" s="26">
        <v>9257.118340625233</v>
      </c>
      <c r="Q1847" s="35">
        <f t="array" ref="Q1847">SUM(IF(($S1847&gt;=4)*($C1847='TaxCred&amp;Subs'!$D$114:$D$121)*($H1847='TaxCred&amp;Subs'!$C$114:$C$121)*($H1847&lt;='TaxCred&amp;Subs'!$C$123),'TaxCred&amp;Subs'!$E$114:$E$121,0))</f>
        <v>0</v>
      </c>
      <c r="R1847" s="143">
        <v>0</v>
      </c>
      <c r="S1847" s="5">
        <v>2</v>
      </c>
      <c r="T1847" s="5" t="s">
        <v>220</v>
      </c>
      <c r="V1847" s="7" t="str">
        <f t="array" ref="V1847">INDEX(xlRTCLNAME,MATCH(1,(xlRTCLENDU=1)*(xlRTCLEQCL=$D1847),0))</f>
        <v>DIST_RAD</v>
      </c>
      <c r="W1847" s="7" t="str">
        <f t="array" ref="W1847">INDEX(xlRTCLNAME,MATCH(1,(xlRTCLENDU=2)*(xlRTCLEQCL=$F1847),0))</f>
        <v>CENT_AIR</v>
      </c>
      <c r="X1847" s="7" t="str">
        <f t="array" ref="X1847">INDEX(xlRTTYNAME,MATCH(1,(xlRTTYENDU=1)*(xlRTTYEQCL=$D1847)*(xlRTEQTYPE=$E1847),0))</f>
        <v>DIST_RAD1</v>
      </c>
      <c r="Y1847" s="7" t="str">
        <f t="array" ref="Y1847">INDEX(xlRTTYNAME,MATCH(1,(xlRTTYENDU=2)*(xlRTTYEQCL=$F1847)*(xlRTEQTYPE=$G1847),0))</f>
        <v>CENT_AIR1</v>
      </c>
    </row>
    <row r="1848" spans="2:25" x14ac:dyDescent="0.2">
      <c r="B1848" s="5">
        <v>3</v>
      </c>
      <c r="C1848" s="5">
        <v>3</v>
      </c>
      <c r="D1848" s="5">
        <v>8</v>
      </c>
      <c r="E1848" s="5">
        <v>26</v>
      </c>
      <c r="F1848" s="5">
        <v>2</v>
      </c>
      <c r="G1848" s="31">
        <v>4</v>
      </c>
      <c r="H1848" s="31">
        <v>2020</v>
      </c>
      <c r="I1848" s="96">
        <v>2050</v>
      </c>
      <c r="J1848" s="142">
        <v>1.07</v>
      </c>
      <c r="K1848" s="142">
        <v>1.07</v>
      </c>
      <c r="L1848" s="142">
        <v>0.78100000000000003</v>
      </c>
      <c r="M1848" s="142">
        <v>1.0925</v>
      </c>
      <c r="N1848" s="142">
        <v>0.84330000000000005</v>
      </c>
      <c r="O1848" s="142">
        <v>1.0538000000000001</v>
      </c>
      <c r="P1848" s="26">
        <v>9051.4045997224493</v>
      </c>
      <c r="Q1848" s="35">
        <f t="array" ref="Q1848">SUM(IF(($S1848&gt;=4)*($C1848='TaxCred&amp;Subs'!$D$114:$D$121)*($H1848='TaxCred&amp;Subs'!$C$114:$C$121)*($H1848&lt;='TaxCred&amp;Subs'!$C$123),'TaxCred&amp;Subs'!$E$114:$E$121,0))</f>
        <v>0</v>
      </c>
      <c r="R1848" s="143">
        <v>0</v>
      </c>
      <c r="S1848" s="5">
        <v>2</v>
      </c>
      <c r="T1848" s="5" t="s">
        <v>220</v>
      </c>
      <c r="V1848" s="7" t="str">
        <f t="array" ref="V1848">INDEX(xlRTCLNAME,MATCH(1,(xlRTCLENDU=1)*(xlRTCLEQCL=$D1848),0))</f>
        <v>DIST_RAD</v>
      </c>
      <c r="W1848" s="7" t="str">
        <f t="array" ref="W1848">INDEX(xlRTCLNAME,MATCH(1,(xlRTCLENDU=2)*(xlRTCLEQCL=$F1848),0))</f>
        <v>CENT_AIR</v>
      </c>
      <c r="X1848" s="7" t="str">
        <f t="array" ref="X1848">INDEX(xlRTTYNAME,MATCH(1,(xlRTTYENDU=1)*(xlRTTYEQCL=$D1848)*(xlRTEQTYPE=$E1848),0))</f>
        <v>DIST_RAD1</v>
      </c>
      <c r="Y1848" s="7" t="str">
        <f t="array" ref="Y1848">INDEX(xlRTTYNAME,MATCH(1,(xlRTTYENDU=2)*(xlRTTYEQCL=$F1848)*(xlRTEQTYPE=$G1848),0))</f>
        <v>CENT_AIR1</v>
      </c>
    </row>
    <row r="1849" spans="2:25" x14ac:dyDescent="0.2">
      <c r="B1849" s="5">
        <v>4</v>
      </c>
      <c r="C1849" s="5">
        <v>3</v>
      </c>
      <c r="D1849" s="5">
        <v>8</v>
      </c>
      <c r="E1849" s="5">
        <v>26</v>
      </c>
      <c r="F1849" s="5">
        <v>2</v>
      </c>
      <c r="G1849" s="31">
        <v>4</v>
      </c>
      <c r="H1849" s="31">
        <v>2020</v>
      </c>
      <c r="I1849" s="96">
        <v>2050</v>
      </c>
      <c r="J1849" s="142">
        <v>1.07</v>
      </c>
      <c r="K1849" s="142">
        <v>1.07</v>
      </c>
      <c r="L1849" s="142">
        <v>0.70320000000000005</v>
      </c>
      <c r="M1849" s="142">
        <v>1.0580000000000001</v>
      </c>
      <c r="N1849" s="142">
        <v>0.77339999999999998</v>
      </c>
      <c r="O1849" s="142">
        <v>1.0538000000000001</v>
      </c>
      <c r="P1849" s="26">
        <v>7912.5840863586773</v>
      </c>
      <c r="Q1849" s="35">
        <f t="array" ref="Q1849">SUM(IF(($S1849&gt;=4)*($C1849='TaxCred&amp;Subs'!$D$114:$D$121)*($H1849='TaxCred&amp;Subs'!$C$114:$C$121)*($H1849&lt;='TaxCred&amp;Subs'!$C$123),'TaxCred&amp;Subs'!$E$114:$E$121,0))</f>
        <v>0</v>
      </c>
      <c r="R1849" s="143">
        <v>0</v>
      </c>
      <c r="S1849" s="5">
        <v>2</v>
      </c>
      <c r="T1849" s="5" t="s">
        <v>220</v>
      </c>
      <c r="V1849" s="7" t="str">
        <f t="array" ref="V1849">INDEX(xlRTCLNAME,MATCH(1,(xlRTCLENDU=1)*(xlRTCLEQCL=$D1849),0))</f>
        <v>DIST_RAD</v>
      </c>
      <c r="W1849" s="7" t="str">
        <f t="array" ref="W1849">INDEX(xlRTCLNAME,MATCH(1,(xlRTCLENDU=2)*(xlRTCLEQCL=$F1849),0))</f>
        <v>CENT_AIR</v>
      </c>
      <c r="X1849" s="7" t="str">
        <f t="array" ref="X1849">INDEX(xlRTTYNAME,MATCH(1,(xlRTTYENDU=1)*(xlRTTYEQCL=$D1849)*(xlRTEQTYPE=$E1849),0))</f>
        <v>DIST_RAD1</v>
      </c>
      <c r="Y1849" s="7" t="str">
        <f t="array" ref="Y1849">INDEX(xlRTTYNAME,MATCH(1,(xlRTTYENDU=2)*(xlRTTYEQCL=$F1849)*(xlRTEQTYPE=$G1849),0))</f>
        <v>CENT_AIR1</v>
      </c>
    </row>
    <row r="1850" spans="2:25" x14ac:dyDescent="0.2">
      <c r="B1850" s="5">
        <v>5</v>
      </c>
      <c r="C1850" s="5">
        <v>3</v>
      </c>
      <c r="D1850" s="5">
        <v>8</v>
      </c>
      <c r="E1850" s="5">
        <v>26</v>
      </c>
      <c r="F1850" s="5">
        <v>2</v>
      </c>
      <c r="G1850" s="31">
        <v>4</v>
      </c>
      <c r="H1850" s="31">
        <v>2020</v>
      </c>
      <c r="I1850" s="96">
        <v>2050</v>
      </c>
      <c r="J1850" s="142">
        <v>1.0940000000000001</v>
      </c>
      <c r="K1850" s="142">
        <v>1.0575000000000001</v>
      </c>
      <c r="L1850" s="142">
        <v>0.7964</v>
      </c>
      <c r="M1850" s="142">
        <v>1.0495000000000001</v>
      </c>
      <c r="N1850" s="142">
        <v>0.83130000000000004</v>
      </c>
      <c r="O1850" s="142">
        <v>1.0538000000000001</v>
      </c>
      <c r="P1850" s="26">
        <v>6159.3114187950896</v>
      </c>
      <c r="Q1850" s="35">
        <f t="array" ref="Q1850">SUM(IF(($S1850&gt;=4)*($C1850='TaxCred&amp;Subs'!$D$114:$D$121)*($H1850='TaxCred&amp;Subs'!$C$114:$C$121)*($H1850&lt;='TaxCred&amp;Subs'!$C$123),'TaxCred&amp;Subs'!$E$114:$E$121,0))</f>
        <v>0</v>
      </c>
      <c r="R1850" s="143">
        <v>0</v>
      </c>
      <c r="S1850" s="5">
        <v>2</v>
      </c>
      <c r="T1850" s="5" t="s">
        <v>220</v>
      </c>
      <c r="V1850" s="7" t="str">
        <f t="array" ref="V1850">INDEX(xlRTCLNAME,MATCH(1,(xlRTCLENDU=1)*(xlRTCLEQCL=$D1850),0))</f>
        <v>DIST_RAD</v>
      </c>
      <c r="W1850" s="7" t="str">
        <f t="array" ref="W1850">INDEX(xlRTCLNAME,MATCH(1,(xlRTCLENDU=2)*(xlRTCLEQCL=$F1850),0))</f>
        <v>CENT_AIR</v>
      </c>
      <c r="X1850" s="7" t="str">
        <f t="array" ref="X1850">INDEX(xlRTTYNAME,MATCH(1,(xlRTTYENDU=1)*(xlRTTYEQCL=$D1850)*(xlRTEQTYPE=$E1850),0))</f>
        <v>DIST_RAD1</v>
      </c>
      <c r="Y1850" s="7" t="str">
        <f t="array" ref="Y1850">INDEX(xlRTTYNAME,MATCH(1,(xlRTTYENDU=2)*(xlRTTYEQCL=$F1850)*(xlRTEQTYPE=$G1850),0))</f>
        <v>CENT_AIR1</v>
      </c>
    </row>
    <row r="1851" spans="2:25" x14ac:dyDescent="0.2">
      <c r="B1851" s="5">
        <v>6</v>
      </c>
      <c r="C1851" s="5">
        <v>3</v>
      </c>
      <c r="D1851" s="5">
        <v>8</v>
      </c>
      <c r="E1851" s="5">
        <v>26</v>
      </c>
      <c r="F1851" s="5">
        <v>2</v>
      </c>
      <c r="G1851" s="31">
        <v>4</v>
      </c>
      <c r="H1851" s="31">
        <v>2020</v>
      </c>
      <c r="I1851" s="96">
        <v>2050</v>
      </c>
      <c r="J1851" s="142">
        <v>1.0873999999999999</v>
      </c>
      <c r="K1851" s="142">
        <v>1.0609999999999999</v>
      </c>
      <c r="L1851" s="142">
        <v>0.87829999999999997</v>
      </c>
      <c r="M1851" s="142">
        <v>1.0562</v>
      </c>
      <c r="N1851" s="142">
        <v>0.80189999999999995</v>
      </c>
      <c r="O1851" s="142">
        <v>1.0538000000000001</v>
      </c>
      <c r="P1851" s="26">
        <v>5712.9260463785931</v>
      </c>
      <c r="Q1851" s="35">
        <f t="array" ref="Q1851">SUM(IF(($S1851&gt;=4)*($C1851='TaxCred&amp;Subs'!$D$114:$D$121)*($H1851='TaxCred&amp;Subs'!$C$114:$C$121)*($H1851&lt;='TaxCred&amp;Subs'!$C$123),'TaxCred&amp;Subs'!$E$114:$E$121,0))</f>
        <v>0</v>
      </c>
      <c r="R1851" s="143">
        <v>0</v>
      </c>
      <c r="S1851" s="5">
        <v>2</v>
      </c>
      <c r="T1851" s="5" t="s">
        <v>220</v>
      </c>
      <c r="V1851" s="7" t="str">
        <f t="array" ref="V1851">INDEX(xlRTCLNAME,MATCH(1,(xlRTCLENDU=1)*(xlRTCLEQCL=$D1851),0))</f>
        <v>DIST_RAD</v>
      </c>
      <c r="W1851" s="7" t="str">
        <f t="array" ref="W1851">INDEX(xlRTCLNAME,MATCH(1,(xlRTCLENDU=2)*(xlRTCLEQCL=$F1851),0))</f>
        <v>CENT_AIR</v>
      </c>
      <c r="X1851" s="7" t="str">
        <f t="array" ref="X1851">INDEX(xlRTTYNAME,MATCH(1,(xlRTTYENDU=1)*(xlRTTYEQCL=$D1851)*(xlRTEQTYPE=$E1851),0))</f>
        <v>DIST_RAD1</v>
      </c>
      <c r="Y1851" s="7" t="str">
        <f t="array" ref="Y1851">INDEX(xlRTTYNAME,MATCH(1,(xlRTTYENDU=2)*(xlRTTYEQCL=$F1851)*(xlRTEQTYPE=$G1851),0))</f>
        <v>CENT_AIR1</v>
      </c>
    </row>
    <row r="1852" spans="2:25" x14ac:dyDescent="0.2">
      <c r="B1852" s="5">
        <v>7</v>
      </c>
      <c r="C1852" s="5">
        <v>3</v>
      </c>
      <c r="D1852" s="5">
        <v>8</v>
      </c>
      <c r="E1852" s="5">
        <v>26</v>
      </c>
      <c r="F1852" s="5">
        <v>2</v>
      </c>
      <c r="G1852" s="31">
        <v>4</v>
      </c>
      <c r="H1852" s="31">
        <v>2020</v>
      </c>
      <c r="I1852" s="96">
        <v>2050</v>
      </c>
      <c r="J1852" s="142">
        <v>1.0826</v>
      </c>
      <c r="K1852" s="142">
        <v>1.0412999999999999</v>
      </c>
      <c r="L1852" s="142">
        <v>0.86709999999999998</v>
      </c>
      <c r="M1852" s="142">
        <v>1.0887</v>
      </c>
      <c r="N1852" s="142">
        <v>0.8125</v>
      </c>
      <c r="O1852" s="142">
        <v>1.0538000000000001</v>
      </c>
      <c r="P1852" s="26">
        <v>3861.5023782535463</v>
      </c>
      <c r="Q1852" s="35">
        <f t="array" ref="Q1852">SUM(IF(($S1852&gt;=4)*($C1852='TaxCred&amp;Subs'!$D$114:$D$121)*($H1852='TaxCred&amp;Subs'!$C$114:$C$121)*($H1852&lt;='TaxCred&amp;Subs'!$C$123),'TaxCred&amp;Subs'!$E$114:$E$121,0))</f>
        <v>0</v>
      </c>
      <c r="R1852" s="143">
        <v>0</v>
      </c>
      <c r="S1852" s="5">
        <v>2</v>
      </c>
      <c r="T1852" s="5" t="s">
        <v>220</v>
      </c>
      <c r="V1852" s="7" t="str">
        <f t="array" ref="V1852">INDEX(xlRTCLNAME,MATCH(1,(xlRTCLENDU=1)*(xlRTCLEQCL=$D1852),0))</f>
        <v>DIST_RAD</v>
      </c>
      <c r="W1852" s="7" t="str">
        <f t="array" ref="W1852">INDEX(xlRTCLNAME,MATCH(1,(xlRTCLENDU=2)*(xlRTCLEQCL=$F1852),0))</f>
        <v>CENT_AIR</v>
      </c>
      <c r="X1852" s="7" t="str">
        <f t="array" ref="X1852">INDEX(xlRTTYNAME,MATCH(1,(xlRTTYENDU=1)*(xlRTTYEQCL=$D1852)*(xlRTEQTYPE=$E1852),0))</f>
        <v>DIST_RAD1</v>
      </c>
      <c r="Y1852" s="7" t="str">
        <f t="array" ref="Y1852">INDEX(xlRTTYNAME,MATCH(1,(xlRTTYENDU=2)*(xlRTTYEQCL=$F1852)*(xlRTEQTYPE=$G1852),0))</f>
        <v>CENT_AIR1</v>
      </c>
    </row>
    <row r="1853" spans="2:25" x14ac:dyDescent="0.2">
      <c r="B1853" s="5">
        <v>8</v>
      </c>
      <c r="C1853" s="5">
        <v>3</v>
      </c>
      <c r="D1853" s="5">
        <v>8</v>
      </c>
      <c r="E1853" s="5">
        <v>26</v>
      </c>
      <c r="F1853" s="5">
        <v>2</v>
      </c>
      <c r="G1853" s="31">
        <v>4</v>
      </c>
      <c r="H1853" s="31">
        <v>2020</v>
      </c>
      <c r="I1853" s="96">
        <v>2050</v>
      </c>
      <c r="J1853" s="142">
        <v>1.07</v>
      </c>
      <c r="K1853" s="142">
        <v>1.07</v>
      </c>
      <c r="L1853" s="142">
        <v>0.77259999999999995</v>
      </c>
      <c r="M1853" s="142">
        <v>1.0437000000000001</v>
      </c>
      <c r="N1853" s="142">
        <v>0.8034</v>
      </c>
      <c r="O1853" s="142">
        <v>1.0538000000000001</v>
      </c>
      <c r="P1853" s="26">
        <v>7396.2829327203208</v>
      </c>
      <c r="Q1853" s="35">
        <f t="array" ref="Q1853">SUM(IF(($S1853&gt;=4)*($C1853='TaxCred&amp;Subs'!$D$114:$D$121)*($H1853='TaxCred&amp;Subs'!$C$114:$C$121)*($H1853&lt;='TaxCred&amp;Subs'!$C$123),'TaxCred&amp;Subs'!$E$114:$E$121,0))</f>
        <v>0</v>
      </c>
      <c r="R1853" s="143">
        <v>0</v>
      </c>
      <c r="S1853" s="5">
        <v>2</v>
      </c>
      <c r="T1853" s="5" t="s">
        <v>220</v>
      </c>
      <c r="V1853" s="7" t="str">
        <f t="array" ref="V1853">INDEX(xlRTCLNAME,MATCH(1,(xlRTCLENDU=1)*(xlRTCLEQCL=$D1853),0))</f>
        <v>DIST_RAD</v>
      </c>
      <c r="W1853" s="7" t="str">
        <f t="array" ref="W1853">INDEX(xlRTCLNAME,MATCH(1,(xlRTCLENDU=2)*(xlRTCLEQCL=$F1853),0))</f>
        <v>CENT_AIR</v>
      </c>
      <c r="X1853" s="7" t="str">
        <f t="array" ref="X1853">INDEX(xlRTTYNAME,MATCH(1,(xlRTTYENDU=1)*(xlRTTYEQCL=$D1853)*(xlRTEQTYPE=$E1853),0))</f>
        <v>DIST_RAD1</v>
      </c>
      <c r="Y1853" s="7" t="str">
        <f t="array" ref="Y1853">INDEX(xlRTTYNAME,MATCH(1,(xlRTTYENDU=2)*(xlRTTYEQCL=$F1853)*(xlRTEQTYPE=$G1853),0))</f>
        <v>CENT_AIR1</v>
      </c>
    </row>
    <row r="1854" spans="2:25" x14ac:dyDescent="0.2">
      <c r="B1854" s="5">
        <v>9</v>
      </c>
      <c r="C1854" s="5">
        <v>3</v>
      </c>
      <c r="D1854" s="5">
        <v>8</v>
      </c>
      <c r="E1854" s="5">
        <v>26</v>
      </c>
      <c r="F1854" s="5">
        <v>2</v>
      </c>
      <c r="G1854" s="31">
        <v>4</v>
      </c>
      <c r="H1854" s="31">
        <v>2020</v>
      </c>
      <c r="I1854" s="96">
        <v>2050</v>
      </c>
      <c r="J1854" s="142">
        <v>1.0845</v>
      </c>
      <c r="K1854" s="142">
        <v>1.0658000000000001</v>
      </c>
      <c r="L1854" s="142">
        <v>0.82230000000000003</v>
      </c>
      <c r="M1854" s="142">
        <v>1.1374</v>
      </c>
      <c r="N1854" s="142">
        <v>0.84079999999999999</v>
      </c>
      <c r="O1854" s="142">
        <v>1.0538000000000001</v>
      </c>
      <c r="P1854" s="26">
        <v>8837.6236532940675</v>
      </c>
      <c r="Q1854" s="35">
        <f t="array" ref="Q1854">SUM(IF(($S1854&gt;=4)*($C1854='TaxCred&amp;Subs'!$D$114:$D$121)*($H1854='TaxCred&amp;Subs'!$C$114:$C$121)*($H1854&lt;='TaxCred&amp;Subs'!$C$123),'TaxCred&amp;Subs'!$E$114:$E$121,0))</f>
        <v>0</v>
      </c>
      <c r="R1854" s="143">
        <v>0</v>
      </c>
      <c r="S1854" s="5">
        <v>2</v>
      </c>
      <c r="T1854" s="5" t="s">
        <v>220</v>
      </c>
      <c r="V1854" s="7" t="str">
        <f t="array" ref="V1854">INDEX(xlRTCLNAME,MATCH(1,(xlRTCLENDU=1)*(xlRTCLEQCL=$D1854),0))</f>
        <v>DIST_RAD</v>
      </c>
      <c r="W1854" s="7" t="str">
        <f t="array" ref="W1854">INDEX(xlRTCLNAME,MATCH(1,(xlRTCLENDU=2)*(xlRTCLEQCL=$F1854),0))</f>
        <v>CENT_AIR</v>
      </c>
      <c r="X1854" s="7" t="str">
        <f t="array" ref="X1854">INDEX(xlRTTYNAME,MATCH(1,(xlRTTYENDU=1)*(xlRTTYEQCL=$D1854)*(xlRTEQTYPE=$E1854),0))</f>
        <v>DIST_RAD1</v>
      </c>
      <c r="Y1854" s="7" t="str">
        <f t="array" ref="Y1854">INDEX(xlRTTYNAME,MATCH(1,(xlRTTYENDU=2)*(xlRTTYEQCL=$F1854)*(xlRTEQTYPE=$G1854),0))</f>
        <v>CENT_AIR1</v>
      </c>
    </row>
    <row r="1855" spans="2:25" x14ac:dyDescent="0.2">
      <c r="B1855" s="5">
        <v>1</v>
      </c>
      <c r="C1855" s="5">
        <v>3</v>
      </c>
      <c r="D1855" s="5">
        <v>9</v>
      </c>
      <c r="E1855" s="31">
        <v>29</v>
      </c>
      <c r="F1855" s="5">
        <v>2</v>
      </c>
      <c r="G1855" s="31">
        <v>4</v>
      </c>
      <c r="H1855" s="31">
        <v>2020</v>
      </c>
      <c r="I1855" s="96">
        <v>2050</v>
      </c>
      <c r="J1855" s="142">
        <v>1.07</v>
      </c>
      <c r="K1855" s="142">
        <v>1.07</v>
      </c>
      <c r="L1855" s="142">
        <v>0.69540000000000002</v>
      </c>
      <c r="M1855" s="142">
        <v>1.0588</v>
      </c>
      <c r="N1855" s="142">
        <v>0.77410000000000001</v>
      </c>
      <c r="O1855" s="142">
        <v>1.0538000000000001</v>
      </c>
      <c r="P1855" s="26">
        <v>8931.7410510927275</v>
      </c>
      <c r="Q1855" s="35">
        <f t="array" ref="Q1855">SUM(IF(($S1855&gt;=4)*($C1855='TaxCred&amp;Subs'!$D$114:$D$121)*($H1855='TaxCred&amp;Subs'!$C$114:$C$121)*($H1855&lt;='TaxCred&amp;Subs'!$C$123),'TaxCred&amp;Subs'!$E$114:$E$121,0))</f>
        <v>0</v>
      </c>
      <c r="R1855" s="143">
        <v>0</v>
      </c>
      <c r="S1855" s="5">
        <v>2</v>
      </c>
      <c r="T1855" s="5" t="s">
        <v>220</v>
      </c>
      <c r="V1855" s="7" t="str">
        <f t="array" ref="V1855">INDEX(xlRTCLNAME,MATCH(1,(xlRTCLENDU=1)*(xlRTCLEQCL=$D1855),0))</f>
        <v>WOOD_HT</v>
      </c>
      <c r="W1855" s="7" t="str">
        <f t="array" ref="W1855">INDEX(xlRTCLNAME,MATCH(1,(xlRTCLENDU=2)*(xlRTCLEQCL=$F1855),0))</f>
        <v>CENT_AIR</v>
      </c>
      <c r="X1855" s="7" t="str">
        <f t="array" ref="X1855">INDEX(xlRTTYNAME,MATCH(1,(xlRTTYENDU=1)*(xlRTTYEQCL=$D1855)*(xlRTEQTYPE=$E1855),0))</f>
        <v>WOOD_HT2</v>
      </c>
      <c r="Y1855" s="7" t="str">
        <f t="array" ref="Y1855">INDEX(xlRTTYNAME,MATCH(1,(xlRTTYENDU=2)*(xlRTTYEQCL=$F1855)*(xlRTEQTYPE=$G1855),0))</f>
        <v>CENT_AIR1</v>
      </c>
    </row>
    <row r="1856" spans="2:25" x14ac:dyDescent="0.2">
      <c r="B1856" s="5">
        <v>2</v>
      </c>
      <c r="C1856" s="5">
        <v>3</v>
      </c>
      <c r="D1856" s="5">
        <v>9</v>
      </c>
      <c r="E1856" s="31">
        <v>29</v>
      </c>
      <c r="F1856" s="5">
        <v>2</v>
      </c>
      <c r="G1856" s="31">
        <v>4</v>
      </c>
      <c r="H1856" s="31">
        <v>2020</v>
      </c>
      <c r="I1856" s="96">
        <v>2050</v>
      </c>
      <c r="J1856" s="142">
        <v>1.07</v>
      </c>
      <c r="K1856" s="142">
        <v>1.07</v>
      </c>
      <c r="L1856" s="142">
        <v>0.76580000000000004</v>
      </c>
      <c r="M1856" s="142">
        <v>1.1206</v>
      </c>
      <c r="N1856" s="142">
        <v>0.83819999999999995</v>
      </c>
      <c r="O1856" s="142">
        <v>1.0538000000000001</v>
      </c>
      <c r="P1856" s="26">
        <v>9257.118340625233</v>
      </c>
      <c r="Q1856" s="35">
        <f t="array" ref="Q1856">SUM(IF(($S1856&gt;=4)*($C1856='TaxCred&amp;Subs'!$D$114:$D$121)*($H1856='TaxCred&amp;Subs'!$C$114:$C$121)*($H1856&lt;='TaxCred&amp;Subs'!$C$123),'TaxCred&amp;Subs'!$E$114:$E$121,0))</f>
        <v>0</v>
      </c>
      <c r="R1856" s="143">
        <v>0</v>
      </c>
      <c r="S1856" s="5">
        <v>2</v>
      </c>
      <c r="T1856" s="5" t="s">
        <v>220</v>
      </c>
      <c r="V1856" s="7" t="str">
        <f t="array" ref="V1856">INDEX(xlRTCLNAME,MATCH(1,(xlRTCLENDU=1)*(xlRTCLEQCL=$D1856),0))</f>
        <v>WOOD_HT</v>
      </c>
      <c r="W1856" s="7" t="str">
        <f t="array" ref="W1856">INDEX(xlRTCLNAME,MATCH(1,(xlRTCLENDU=2)*(xlRTCLEQCL=$F1856),0))</f>
        <v>CENT_AIR</v>
      </c>
      <c r="X1856" s="7" t="str">
        <f t="array" ref="X1856">INDEX(xlRTTYNAME,MATCH(1,(xlRTTYENDU=1)*(xlRTTYEQCL=$D1856)*(xlRTEQTYPE=$E1856),0))</f>
        <v>WOOD_HT2</v>
      </c>
      <c r="Y1856" s="7" t="str">
        <f t="array" ref="Y1856">INDEX(xlRTTYNAME,MATCH(1,(xlRTTYENDU=2)*(xlRTTYEQCL=$F1856)*(xlRTEQTYPE=$G1856),0))</f>
        <v>CENT_AIR1</v>
      </c>
    </row>
    <row r="1857" spans="2:25" x14ac:dyDescent="0.2">
      <c r="B1857" s="5">
        <v>3</v>
      </c>
      <c r="C1857" s="5">
        <v>3</v>
      </c>
      <c r="D1857" s="5">
        <v>9</v>
      </c>
      <c r="E1857" s="31">
        <v>29</v>
      </c>
      <c r="F1857" s="5">
        <v>2</v>
      </c>
      <c r="G1857" s="31">
        <v>4</v>
      </c>
      <c r="H1857" s="31">
        <v>2020</v>
      </c>
      <c r="I1857" s="96">
        <v>2050</v>
      </c>
      <c r="J1857" s="142">
        <v>1.07</v>
      </c>
      <c r="K1857" s="142">
        <v>1.07</v>
      </c>
      <c r="L1857" s="142">
        <v>0.78100000000000003</v>
      </c>
      <c r="M1857" s="142">
        <v>1.0925</v>
      </c>
      <c r="N1857" s="142">
        <v>0.84330000000000005</v>
      </c>
      <c r="O1857" s="142">
        <v>1.0538000000000001</v>
      </c>
      <c r="P1857" s="26">
        <v>9051.4045997224493</v>
      </c>
      <c r="Q1857" s="35">
        <f t="array" ref="Q1857">SUM(IF(($S1857&gt;=4)*($C1857='TaxCred&amp;Subs'!$D$114:$D$121)*($H1857='TaxCred&amp;Subs'!$C$114:$C$121)*($H1857&lt;='TaxCred&amp;Subs'!$C$123),'TaxCred&amp;Subs'!$E$114:$E$121,0))</f>
        <v>0</v>
      </c>
      <c r="R1857" s="143">
        <v>0</v>
      </c>
      <c r="S1857" s="5">
        <v>2</v>
      </c>
      <c r="T1857" s="5" t="s">
        <v>220</v>
      </c>
      <c r="V1857" s="7" t="str">
        <f t="array" ref="V1857">INDEX(xlRTCLNAME,MATCH(1,(xlRTCLENDU=1)*(xlRTCLEQCL=$D1857),0))</f>
        <v>WOOD_HT</v>
      </c>
      <c r="W1857" s="7" t="str">
        <f t="array" ref="W1857">INDEX(xlRTCLNAME,MATCH(1,(xlRTCLENDU=2)*(xlRTCLEQCL=$F1857),0))</f>
        <v>CENT_AIR</v>
      </c>
      <c r="X1857" s="7" t="str">
        <f t="array" ref="X1857">INDEX(xlRTTYNAME,MATCH(1,(xlRTTYENDU=1)*(xlRTTYEQCL=$D1857)*(xlRTEQTYPE=$E1857),0))</f>
        <v>WOOD_HT2</v>
      </c>
      <c r="Y1857" s="7" t="str">
        <f t="array" ref="Y1857">INDEX(xlRTTYNAME,MATCH(1,(xlRTTYENDU=2)*(xlRTTYEQCL=$F1857)*(xlRTEQTYPE=$G1857),0))</f>
        <v>CENT_AIR1</v>
      </c>
    </row>
    <row r="1858" spans="2:25" x14ac:dyDescent="0.2">
      <c r="B1858" s="5">
        <v>4</v>
      </c>
      <c r="C1858" s="5">
        <v>3</v>
      </c>
      <c r="D1858" s="5">
        <v>9</v>
      </c>
      <c r="E1858" s="31">
        <v>29</v>
      </c>
      <c r="F1858" s="5">
        <v>2</v>
      </c>
      <c r="G1858" s="31">
        <v>4</v>
      </c>
      <c r="H1858" s="31">
        <v>2020</v>
      </c>
      <c r="I1858" s="96">
        <v>2050</v>
      </c>
      <c r="J1858" s="142">
        <v>1.07</v>
      </c>
      <c r="K1858" s="142">
        <v>1.07</v>
      </c>
      <c r="L1858" s="142">
        <v>0.70320000000000005</v>
      </c>
      <c r="M1858" s="142">
        <v>1.0580000000000001</v>
      </c>
      <c r="N1858" s="142">
        <v>0.77339999999999998</v>
      </c>
      <c r="O1858" s="142">
        <v>1.0538000000000001</v>
      </c>
      <c r="P1858" s="26">
        <v>7912.5840863586773</v>
      </c>
      <c r="Q1858" s="35">
        <f t="array" ref="Q1858">SUM(IF(($S1858&gt;=4)*($C1858='TaxCred&amp;Subs'!$D$114:$D$121)*($H1858='TaxCred&amp;Subs'!$C$114:$C$121)*($H1858&lt;='TaxCred&amp;Subs'!$C$123),'TaxCred&amp;Subs'!$E$114:$E$121,0))</f>
        <v>0</v>
      </c>
      <c r="R1858" s="143">
        <v>0</v>
      </c>
      <c r="S1858" s="5">
        <v>2</v>
      </c>
      <c r="T1858" s="5" t="s">
        <v>220</v>
      </c>
      <c r="V1858" s="7" t="str">
        <f t="array" ref="V1858">INDEX(xlRTCLNAME,MATCH(1,(xlRTCLENDU=1)*(xlRTCLEQCL=$D1858),0))</f>
        <v>WOOD_HT</v>
      </c>
      <c r="W1858" s="7" t="str">
        <f t="array" ref="W1858">INDEX(xlRTCLNAME,MATCH(1,(xlRTCLENDU=2)*(xlRTCLEQCL=$F1858),0))</f>
        <v>CENT_AIR</v>
      </c>
      <c r="X1858" s="7" t="str">
        <f t="array" ref="X1858">INDEX(xlRTTYNAME,MATCH(1,(xlRTTYENDU=1)*(xlRTTYEQCL=$D1858)*(xlRTEQTYPE=$E1858),0))</f>
        <v>WOOD_HT2</v>
      </c>
      <c r="Y1858" s="7" t="str">
        <f t="array" ref="Y1858">INDEX(xlRTTYNAME,MATCH(1,(xlRTTYENDU=2)*(xlRTTYEQCL=$F1858)*(xlRTEQTYPE=$G1858),0))</f>
        <v>CENT_AIR1</v>
      </c>
    </row>
    <row r="1859" spans="2:25" x14ac:dyDescent="0.2">
      <c r="B1859" s="5">
        <v>5</v>
      </c>
      <c r="C1859" s="5">
        <v>3</v>
      </c>
      <c r="D1859" s="5">
        <v>9</v>
      </c>
      <c r="E1859" s="31">
        <v>29</v>
      </c>
      <c r="F1859" s="5">
        <v>2</v>
      </c>
      <c r="G1859" s="31">
        <v>4</v>
      </c>
      <c r="H1859" s="31">
        <v>2020</v>
      </c>
      <c r="I1859" s="96">
        <v>2050</v>
      </c>
      <c r="J1859" s="142">
        <v>1.0940000000000001</v>
      </c>
      <c r="K1859" s="142">
        <v>1.0575000000000001</v>
      </c>
      <c r="L1859" s="142">
        <v>0.7964</v>
      </c>
      <c r="M1859" s="142">
        <v>1.0495000000000001</v>
      </c>
      <c r="N1859" s="142">
        <v>0.83130000000000004</v>
      </c>
      <c r="O1859" s="142">
        <v>1.0538000000000001</v>
      </c>
      <c r="P1859" s="26">
        <v>6159.3114187950896</v>
      </c>
      <c r="Q1859" s="35">
        <f t="array" ref="Q1859">SUM(IF(($S1859&gt;=4)*($C1859='TaxCred&amp;Subs'!$D$114:$D$121)*($H1859='TaxCred&amp;Subs'!$C$114:$C$121)*($H1859&lt;='TaxCred&amp;Subs'!$C$123),'TaxCred&amp;Subs'!$E$114:$E$121,0))</f>
        <v>0</v>
      </c>
      <c r="R1859" s="143">
        <v>0</v>
      </c>
      <c r="S1859" s="5">
        <v>2</v>
      </c>
      <c r="T1859" s="5" t="s">
        <v>220</v>
      </c>
      <c r="V1859" s="7" t="str">
        <f t="array" ref="V1859">INDEX(xlRTCLNAME,MATCH(1,(xlRTCLENDU=1)*(xlRTCLEQCL=$D1859),0))</f>
        <v>WOOD_HT</v>
      </c>
      <c r="W1859" s="7" t="str">
        <f t="array" ref="W1859">INDEX(xlRTCLNAME,MATCH(1,(xlRTCLENDU=2)*(xlRTCLEQCL=$F1859),0))</f>
        <v>CENT_AIR</v>
      </c>
      <c r="X1859" s="7" t="str">
        <f t="array" ref="X1859">INDEX(xlRTTYNAME,MATCH(1,(xlRTTYENDU=1)*(xlRTTYEQCL=$D1859)*(xlRTEQTYPE=$E1859),0))</f>
        <v>WOOD_HT2</v>
      </c>
      <c r="Y1859" s="7" t="str">
        <f t="array" ref="Y1859">INDEX(xlRTTYNAME,MATCH(1,(xlRTTYENDU=2)*(xlRTTYEQCL=$F1859)*(xlRTEQTYPE=$G1859),0))</f>
        <v>CENT_AIR1</v>
      </c>
    </row>
    <row r="1860" spans="2:25" x14ac:dyDescent="0.2">
      <c r="B1860" s="5">
        <v>6</v>
      </c>
      <c r="C1860" s="5">
        <v>3</v>
      </c>
      <c r="D1860" s="5">
        <v>9</v>
      </c>
      <c r="E1860" s="31">
        <v>29</v>
      </c>
      <c r="F1860" s="5">
        <v>2</v>
      </c>
      <c r="G1860" s="31">
        <v>4</v>
      </c>
      <c r="H1860" s="31">
        <v>2020</v>
      </c>
      <c r="I1860" s="96">
        <v>2050</v>
      </c>
      <c r="J1860" s="142">
        <v>1.0873999999999999</v>
      </c>
      <c r="K1860" s="142">
        <v>1.0609999999999999</v>
      </c>
      <c r="L1860" s="142">
        <v>0.87829999999999997</v>
      </c>
      <c r="M1860" s="142">
        <v>1.0562</v>
      </c>
      <c r="N1860" s="142">
        <v>0.80189999999999995</v>
      </c>
      <c r="O1860" s="142">
        <v>1.0538000000000001</v>
      </c>
      <c r="P1860" s="26">
        <v>5712.9260463785931</v>
      </c>
      <c r="Q1860" s="35">
        <f t="array" ref="Q1860">SUM(IF(($S1860&gt;=4)*($C1860='TaxCred&amp;Subs'!$D$114:$D$121)*($H1860='TaxCred&amp;Subs'!$C$114:$C$121)*($H1860&lt;='TaxCred&amp;Subs'!$C$123),'TaxCred&amp;Subs'!$E$114:$E$121,0))</f>
        <v>0</v>
      </c>
      <c r="R1860" s="143">
        <v>0</v>
      </c>
      <c r="S1860" s="5">
        <v>2</v>
      </c>
      <c r="T1860" s="5" t="s">
        <v>220</v>
      </c>
      <c r="V1860" s="7" t="str">
        <f t="array" ref="V1860">INDEX(xlRTCLNAME,MATCH(1,(xlRTCLENDU=1)*(xlRTCLEQCL=$D1860),0))</f>
        <v>WOOD_HT</v>
      </c>
      <c r="W1860" s="7" t="str">
        <f t="array" ref="W1860">INDEX(xlRTCLNAME,MATCH(1,(xlRTCLENDU=2)*(xlRTCLEQCL=$F1860),0))</f>
        <v>CENT_AIR</v>
      </c>
      <c r="X1860" s="7" t="str">
        <f t="array" ref="X1860">INDEX(xlRTTYNAME,MATCH(1,(xlRTTYENDU=1)*(xlRTTYEQCL=$D1860)*(xlRTEQTYPE=$E1860),0))</f>
        <v>WOOD_HT2</v>
      </c>
      <c r="Y1860" s="7" t="str">
        <f t="array" ref="Y1860">INDEX(xlRTTYNAME,MATCH(1,(xlRTTYENDU=2)*(xlRTTYEQCL=$F1860)*(xlRTEQTYPE=$G1860),0))</f>
        <v>CENT_AIR1</v>
      </c>
    </row>
    <row r="1861" spans="2:25" x14ac:dyDescent="0.2">
      <c r="B1861" s="5">
        <v>7</v>
      </c>
      <c r="C1861" s="5">
        <v>3</v>
      </c>
      <c r="D1861" s="5">
        <v>9</v>
      </c>
      <c r="E1861" s="31">
        <v>29</v>
      </c>
      <c r="F1861" s="5">
        <v>2</v>
      </c>
      <c r="G1861" s="31">
        <v>4</v>
      </c>
      <c r="H1861" s="31">
        <v>2020</v>
      </c>
      <c r="I1861" s="96">
        <v>2050</v>
      </c>
      <c r="J1861" s="142">
        <v>1.0826</v>
      </c>
      <c r="K1861" s="142">
        <v>1.0412999999999999</v>
      </c>
      <c r="L1861" s="142">
        <v>0.86709999999999998</v>
      </c>
      <c r="M1861" s="142">
        <v>1.0887</v>
      </c>
      <c r="N1861" s="142">
        <v>0.8125</v>
      </c>
      <c r="O1861" s="142">
        <v>1.0538000000000001</v>
      </c>
      <c r="P1861" s="26">
        <v>3861.5023782535463</v>
      </c>
      <c r="Q1861" s="35">
        <f t="array" ref="Q1861">SUM(IF(($S1861&gt;=4)*($C1861='TaxCred&amp;Subs'!$D$114:$D$121)*($H1861='TaxCred&amp;Subs'!$C$114:$C$121)*($H1861&lt;='TaxCred&amp;Subs'!$C$123),'TaxCred&amp;Subs'!$E$114:$E$121,0))</f>
        <v>0</v>
      </c>
      <c r="R1861" s="143">
        <v>0</v>
      </c>
      <c r="S1861" s="5">
        <v>2</v>
      </c>
      <c r="T1861" s="5" t="s">
        <v>220</v>
      </c>
      <c r="V1861" s="7" t="str">
        <f t="array" ref="V1861">INDEX(xlRTCLNAME,MATCH(1,(xlRTCLENDU=1)*(xlRTCLEQCL=$D1861),0))</f>
        <v>WOOD_HT</v>
      </c>
      <c r="W1861" s="7" t="str">
        <f t="array" ref="W1861">INDEX(xlRTCLNAME,MATCH(1,(xlRTCLENDU=2)*(xlRTCLEQCL=$F1861),0))</f>
        <v>CENT_AIR</v>
      </c>
      <c r="X1861" s="7" t="str">
        <f t="array" ref="X1861">INDEX(xlRTTYNAME,MATCH(1,(xlRTTYENDU=1)*(xlRTTYEQCL=$D1861)*(xlRTEQTYPE=$E1861),0))</f>
        <v>WOOD_HT2</v>
      </c>
      <c r="Y1861" s="7" t="str">
        <f t="array" ref="Y1861">INDEX(xlRTTYNAME,MATCH(1,(xlRTTYENDU=2)*(xlRTTYEQCL=$F1861)*(xlRTEQTYPE=$G1861),0))</f>
        <v>CENT_AIR1</v>
      </c>
    </row>
    <row r="1862" spans="2:25" x14ac:dyDescent="0.2">
      <c r="B1862" s="5">
        <v>8</v>
      </c>
      <c r="C1862" s="5">
        <v>3</v>
      </c>
      <c r="D1862" s="5">
        <v>9</v>
      </c>
      <c r="E1862" s="31">
        <v>29</v>
      </c>
      <c r="F1862" s="5">
        <v>2</v>
      </c>
      <c r="G1862" s="31">
        <v>4</v>
      </c>
      <c r="H1862" s="31">
        <v>2020</v>
      </c>
      <c r="I1862" s="96">
        <v>2050</v>
      </c>
      <c r="J1862" s="142">
        <v>1.07</v>
      </c>
      <c r="K1862" s="142">
        <v>1.07</v>
      </c>
      <c r="L1862" s="142">
        <v>0.77259999999999995</v>
      </c>
      <c r="M1862" s="142">
        <v>1.0437000000000001</v>
      </c>
      <c r="N1862" s="142">
        <v>0.8034</v>
      </c>
      <c r="O1862" s="142">
        <v>1.0538000000000001</v>
      </c>
      <c r="P1862" s="26">
        <v>7396.2829327203208</v>
      </c>
      <c r="Q1862" s="35">
        <f t="array" ref="Q1862">SUM(IF(($S1862&gt;=4)*($C1862='TaxCred&amp;Subs'!$D$114:$D$121)*($H1862='TaxCred&amp;Subs'!$C$114:$C$121)*($H1862&lt;='TaxCred&amp;Subs'!$C$123),'TaxCred&amp;Subs'!$E$114:$E$121,0))</f>
        <v>0</v>
      </c>
      <c r="R1862" s="143">
        <v>0</v>
      </c>
      <c r="S1862" s="5">
        <v>2</v>
      </c>
      <c r="T1862" s="5" t="s">
        <v>220</v>
      </c>
      <c r="V1862" s="7" t="str">
        <f t="array" ref="V1862">INDEX(xlRTCLNAME,MATCH(1,(xlRTCLENDU=1)*(xlRTCLEQCL=$D1862),0))</f>
        <v>WOOD_HT</v>
      </c>
      <c r="W1862" s="7" t="str">
        <f t="array" ref="W1862">INDEX(xlRTCLNAME,MATCH(1,(xlRTCLENDU=2)*(xlRTCLEQCL=$F1862),0))</f>
        <v>CENT_AIR</v>
      </c>
      <c r="X1862" s="7" t="str">
        <f t="array" ref="X1862">INDEX(xlRTTYNAME,MATCH(1,(xlRTTYENDU=1)*(xlRTTYEQCL=$D1862)*(xlRTEQTYPE=$E1862),0))</f>
        <v>WOOD_HT2</v>
      </c>
      <c r="Y1862" s="7" t="str">
        <f t="array" ref="Y1862">INDEX(xlRTTYNAME,MATCH(1,(xlRTTYENDU=2)*(xlRTTYEQCL=$F1862)*(xlRTEQTYPE=$G1862),0))</f>
        <v>CENT_AIR1</v>
      </c>
    </row>
    <row r="1863" spans="2:25" x14ac:dyDescent="0.2">
      <c r="B1863" s="5">
        <v>9</v>
      </c>
      <c r="C1863" s="5">
        <v>3</v>
      </c>
      <c r="D1863" s="5">
        <v>9</v>
      </c>
      <c r="E1863" s="31">
        <v>29</v>
      </c>
      <c r="F1863" s="5">
        <v>2</v>
      </c>
      <c r="G1863" s="31">
        <v>4</v>
      </c>
      <c r="H1863" s="31">
        <v>2020</v>
      </c>
      <c r="I1863" s="96">
        <v>2050</v>
      </c>
      <c r="J1863" s="142">
        <v>1.0845</v>
      </c>
      <c r="K1863" s="142">
        <v>1.0658000000000001</v>
      </c>
      <c r="L1863" s="142">
        <v>0.82230000000000003</v>
      </c>
      <c r="M1863" s="142">
        <v>1.1374</v>
      </c>
      <c r="N1863" s="142">
        <v>0.84079999999999999</v>
      </c>
      <c r="O1863" s="142">
        <v>1.0538000000000001</v>
      </c>
      <c r="P1863" s="26">
        <v>8837.6236532940675</v>
      </c>
      <c r="Q1863" s="35">
        <f t="array" ref="Q1863">SUM(IF(($S1863&gt;=4)*($C1863='TaxCred&amp;Subs'!$D$114:$D$121)*($H1863='TaxCred&amp;Subs'!$C$114:$C$121)*($H1863&lt;='TaxCred&amp;Subs'!$C$123),'TaxCred&amp;Subs'!$E$114:$E$121,0))</f>
        <v>0</v>
      </c>
      <c r="R1863" s="143">
        <v>0</v>
      </c>
      <c r="S1863" s="5">
        <v>2</v>
      </c>
      <c r="T1863" s="5" t="s">
        <v>220</v>
      </c>
      <c r="V1863" s="7" t="str">
        <f t="array" ref="V1863">INDEX(xlRTCLNAME,MATCH(1,(xlRTCLENDU=1)*(xlRTCLEQCL=$D1863),0))</f>
        <v>WOOD_HT</v>
      </c>
      <c r="W1863" s="7" t="str">
        <f t="array" ref="W1863">INDEX(xlRTCLNAME,MATCH(1,(xlRTCLENDU=2)*(xlRTCLEQCL=$F1863),0))</f>
        <v>CENT_AIR</v>
      </c>
      <c r="X1863" s="7" t="str">
        <f t="array" ref="X1863">INDEX(xlRTTYNAME,MATCH(1,(xlRTTYENDU=1)*(xlRTTYEQCL=$D1863)*(xlRTEQTYPE=$E1863),0))</f>
        <v>WOOD_HT2</v>
      </c>
      <c r="Y1863" s="7" t="str">
        <f t="array" ref="Y1863">INDEX(xlRTTYNAME,MATCH(1,(xlRTTYENDU=2)*(xlRTTYEQCL=$F1863)*(xlRTEQTYPE=$G1863),0))</f>
        <v>CENT_AIR1</v>
      </c>
    </row>
    <row r="1864" spans="2:25" x14ac:dyDescent="0.2">
      <c r="B1864" s="5">
        <v>1</v>
      </c>
      <c r="C1864" s="5">
        <v>3</v>
      </c>
      <c r="D1864" s="5">
        <v>10</v>
      </c>
      <c r="E1864" s="31">
        <v>31</v>
      </c>
      <c r="F1864" s="5">
        <v>4</v>
      </c>
      <c r="G1864" s="31">
        <v>12</v>
      </c>
      <c r="H1864" s="31">
        <v>2020</v>
      </c>
      <c r="I1864" s="5">
        <v>2050</v>
      </c>
      <c r="J1864" s="142">
        <v>1.07</v>
      </c>
      <c r="K1864" s="142">
        <v>1.07</v>
      </c>
      <c r="L1864" s="142">
        <v>0.66659999999999997</v>
      </c>
      <c r="M1864" s="142">
        <v>1.0437000000000001</v>
      </c>
      <c r="N1864" s="142">
        <v>0.7883</v>
      </c>
      <c r="O1864" s="142">
        <v>1.0538000000000001</v>
      </c>
      <c r="P1864" s="26">
        <v>8931.7410510927275</v>
      </c>
      <c r="Q1864" s="35">
        <f t="array" ref="Q1864">SUM(IF(($S1864&gt;=4)*($C1864='TaxCred&amp;Subs'!$D$114:$D$121)*($H1864='TaxCred&amp;Subs'!$C$114:$C$121)*($H1864&lt;='TaxCred&amp;Subs'!$C$123),'TaxCred&amp;Subs'!$E$114:$E$121,0))</f>
        <v>0</v>
      </c>
      <c r="R1864" s="143">
        <v>0</v>
      </c>
      <c r="S1864" s="5">
        <v>2</v>
      </c>
      <c r="T1864" s="5" t="s">
        <v>220</v>
      </c>
      <c r="V1864" s="7" t="str">
        <f t="array" ref="V1864">INDEX(xlRTCLNAME,MATCH(1,(xlRTCLENDU=1)*(xlRTCLEQCL=$D1864),0))</f>
        <v>GEO_HP</v>
      </c>
      <c r="W1864" s="7" t="str">
        <f t="array" ref="W1864">INDEX(xlRTCLNAME,MATCH(1,(xlRTCLENDU=2)*(xlRTCLEQCL=$F1864),0))</f>
        <v>GEO_HP</v>
      </c>
      <c r="X1864" s="7" t="str">
        <f t="array" ref="X1864">INDEX(xlRTTYNAME,MATCH(1,(xlRTTYENDU=1)*(xlRTTYEQCL=$D1864)*(xlRTEQTYPE=$E1864),0))</f>
        <v>GEO_HP1</v>
      </c>
      <c r="Y1864" s="7" t="str">
        <f t="array" ref="Y1864">INDEX(xlRTTYNAME,MATCH(1,(xlRTTYENDU=2)*(xlRTTYEQCL=$F1864)*(xlRTEQTYPE=$G1864),0))</f>
        <v>GEO_HP1</v>
      </c>
    </row>
    <row r="1865" spans="2:25" x14ac:dyDescent="0.2">
      <c r="B1865" s="5">
        <v>2</v>
      </c>
      <c r="C1865" s="5">
        <v>3</v>
      </c>
      <c r="D1865" s="5">
        <v>10</v>
      </c>
      <c r="E1865" s="31">
        <v>31</v>
      </c>
      <c r="F1865" s="5">
        <v>4</v>
      </c>
      <c r="G1865" s="31">
        <v>12</v>
      </c>
      <c r="H1865" s="31">
        <v>2020</v>
      </c>
      <c r="I1865" s="5">
        <v>2050</v>
      </c>
      <c r="J1865" s="142">
        <v>1.0832999999999999</v>
      </c>
      <c r="K1865" s="142">
        <v>1.0713999999999999</v>
      </c>
      <c r="L1865" s="142">
        <v>0.85640000000000005</v>
      </c>
      <c r="M1865" s="142">
        <v>1.1524000000000001</v>
      </c>
      <c r="N1865" s="142">
        <v>0.86450000000000005</v>
      </c>
      <c r="O1865" s="142">
        <v>1.0538000000000001</v>
      </c>
      <c r="P1865" s="26">
        <v>8727.3718444442093</v>
      </c>
      <c r="Q1865" s="35">
        <f t="array" ref="Q1865">SUM(IF(($S1865&gt;=4)*($C1865='TaxCred&amp;Subs'!$D$114:$D$121)*($H1865='TaxCred&amp;Subs'!$C$114:$C$121)*($H1865&lt;='TaxCred&amp;Subs'!$C$123),'TaxCred&amp;Subs'!$E$114:$E$121,0))</f>
        <v>0</v>
      </c>
      <c r="R1865" s="143">
        <v>0</v>
      </c>
      <c r="S1865" s="5">
        <v>2</v>
      </c>
      <c r="T1865" s="5" t="s">
        <v>220</v>
      </c>
      <c r="V1865" s="7" t="str">
        <f t="array" ref="V1865">INDEX(xlRTCLNAME,MATCH(1,(xlRTCLENDU=1)*(xlRTCLEQCL=$D1865),0))</f>
        <v>GEO_HP</v>
      </c>
      <c r="W1865" s="7" t="str">
        <f t="array" ref="W1865">INDEX(xlRTCLNAME,MATCH(1,(xlRTCLENDU=2)*(xlRTCLEQCL=$F1865),0))</f>
        <v>GEO_HP</v>
      </c>
      <c r="X1865" s="7" t="str">
        <f t="array" ref="X1865">INDEX(xlRTTYNAME,MATCH(1,(xlRTTYENDU=1)*(xlRTTYEQCL=$D1865)*(xlRTEQTYPE=$E1865),0))</f>
        <v>GEO_HP1</v>
      </c>
      <c r="Y1865" s="7" t="str">
        <f t="array" ref="Y1865">INDEX(xlRTTYNAME,MATCH(1,(xlRTTYENDU=2)*(xlRTTYEQCL=$F1865)*(xlRTEQTYPE=$G1865),0))</f>
        <v>GEO_HP1</v>
      </c>
    </row>
    <row r="1866" spans="2:25" x14ac:dyDescent="0.2">
      <c r="B1866" s="5">
        <v>3</v>
      </c>
      <c r="C1866" s="5">
        <v>3</v>
      </c>
      <c r="D1866" s="5">
        <v>10</v>
      </c>
      <c r="E1866" s="31">
        <v>31</v>
      </c>
      <c r="F1866" s="5">
        <v>4</v>
      </c>
      <c r="G1866" s="31">
        <v>12</v>
      </c>
      <c r="H1866" s="31">
        <v>2020</v>
      </c>
      <c r="I1866" s="5">
        <v>2050</v>
      </c>
      <c r="J1866" s="142">
        <v>1.07</v>
      </c>
      <c r="K1866" s="142">
        <v>1.07</v>
      </c>
      <c r="L1866" s="142">
        <v>0.75829999999999997</v>
      </c>
      <c r="M1866" s="142">
        <v>1.0837000000000001</v>
      </c>
      <c r="N1866" s="142">
        <v>0.87390000000000001</v>
      </c>
      <c r="O1866" s="142">
        <v>1.0538000000000001</v>
      </c>
      <c r="P1866" s="26">
        <v>9051.4045997224493</v>
      </c>
      <c r="Q1866" s="35">
        <f t="array" ref="Q1866">SUM(IF(($S1866&gt;=4)*($C1866='TaxCred&amp;Subs'!$D$114:$D$121)*($H1866='TaxCred&amp;Subs'!$C$114:$C$121)*($H1866&lt;='TaxCred&amp;Subs'!$C$123),'TaxCred&amp;Subs'!$E$114:$E$121,0))</f>
        <v>0</v>
      </c>
      <c r="R1866" s="143">
        <v>0</v>
      </c>
      <c r="S1866" s="5">
        <v>2</v>
      </c>
      <c r="T1866" s="5" t="s">
        <v>220</v>
      </c>
      <c r="V1866" s="7" t="str">
        <f t="array" ref="V1866">INDEX(xlRTCLNAME,MATCH(1,(xlRTCLENDU=1)*(xlRTCLEQCL=$D1866),0))</f>
        <v>GEO_HP</v>
      </c>
      <c r="W1866" s="7" t="str">
        <f t="array" ref="W1866">INDEX(xlRTCLNAME,MATCH(1,(xlRTCLENDU=2)*(xlRTCLEQCL=$F1866),0))</f>
        <v>GEO_HP</v>
      </c>
      <c r="X1866" s="7" t="str">
        <f t="array" ref="X1866">INDEX(xlRTTYNAME,MATCH(1,(xlRTTYENDU=1)*(xlRTTYEQCL=$D1866)*(xlRTEQTYPE=$E1866),0))</f>
        <v>GEO_HP1</v>
      </c>
      <c r="Y1866" s="7" t="str">
        <f t="array" ref="Y1866">INDEX(xlRTTYNAME,MATCH(1,(xlRTTYENDU=2)*(xlRTTYEQCL=$F1866)*(xlRTEQTYPE=$G1866),0))</f>
        <v>GEO_HP1</v>
      </c>
    </row>
    <row r="1867" spans="2:25" x14ac:dyDescent="0.2">
      <c r="B1867" s="5">
        <v>4</v>
      </c>
      <c r="C1867" s="5">
        <v>3</v>
      </c>
      <c r="D1867" s="5">
        <v>10</v>
      </c>
      <c r="E1867" s="31">
        <v>31</v>
      </c>
      <c r="F1867" s="5">
        <v>4</v>
      </c>
      <c r="G1867" s="31">
        <v>12</v>
      </c>
      <c r="H1867" s="31">
        <v>2020</v>
      </c>
      <c r="I1867" s="5">
        <v>2050</v>
      </c>
      <c r="J1867" s="142">
        <v>1.07</v>
      </c>
      <c r="K1867" s="142">
        <v>1.07</v>
      </c>
      <c r="L1867" s="142">
        <v>0.67310000000000003</v>
      </c>
      <c r="M1867" s="142">
        <v>1.0674999999999999</v>
      </c>
      <c r="N1867" s="142">
        <v>0.79669999999999996</v>
      </c>
      <c r="O1867" s="142">
        <v>1.0538000000000001</v>
      </c>
      <c r="P1867" s="26">
        <v>7912.5840863586773</v>
      </c>
      <c r="Q1867" s="35">
        <f t="array" ref="Q1867">SUM(IF(($S1867&gt;=4)*($C1867='TaxCred&amp;Subs'!$D$114:$D$121)*($H1867='TaxCred&amp;Subs'!$C$114:$C$121)*($H1867&lt;='TaxCred&amp;Subs'!$C$123),'TaxCred&amp;Subs'!$E$114:$E$121,0))</f>
        <v>0</v>
      </c>
      <c r="R1867" s="143">
        <v>0</v>
      </c>
      <c r="S1867" s="5">
        <v>2</v>
      </c>
      <c r="T1867" s="5" t="s">
        <v>220</v>
      </c>
      <c r="V1867" s="7" t="str">
        <f t="array" ref="V1867">INDEX(xlRTCLNAME,MATCH(1,(xlRTCLENDU=1)*(xlRTCLEQCL=$D1867),0))</f>
        <v>GEO_HP</v>
      </c>
      <c r="W1867" s="7" t="str">
        <f t="array" ref="W1867">INDEX(xlRTCLNAME,MATCH(1,(xlRTCLENDU=2)*(xlRTCLEQCL=$F1867),0))</f>
        <v>GEO_HP</v>
      </c>
      <c r="X1867" s="7" t="str">
        <f t="array" ref="X1867">INDEX(xlRTTYNAME,MATCH(1,(xlRTTYENDU=1)*(xlRTTYEQCL=$D1867)*(xlRTEQTYPE=$E1867),0))</f>
        <v>GEO_HP1</v>
      </c>
      <c r="Y1867" s="7" t="str">
        <f t="array" ref="Y1867">INDEX(xlRTTYNAME,MATCH(1,(xlRTTYENDU=2)*(xlRTTYEQCL=$F1867)*(xlRTEQTYPE=$G1867),0))</f>
        <v>GEO_HP1</v>
      </c>
    </row>
    <row r="1868" spans="2:25" x14ac:dyDescent="0.2">
      <c r="B1868" s="5">
        <v>5</v>
      </c>
      <c r="C1868" s="5">
        <v>3</v>
      </c>
      <c r="D1868" s="5">
        <v>10</v>
      </c>
      <c r="E1868" s="31">
        <v>31</v>
      </c>
      <c r="F1868" s="5">
        <v>4</v>
      </c>
      <c r="G1868" s="31">
        <v>12</v>
      </c>
      <c r="H1868" s="31">
        <v>2020</v>
      </c>
      <c r="I1868" s="5">
        <v>2050</v>
      </c>
      <c r="J1868" s="142">
        <v>1.1071</v>
      </c>
      <c r="K1868" s="142">
        <v>1.03</v>
      </c>
      <c r="L1868" s="142">
        <v>0.77910000000000001</v>
      </c>
      <c r="M1868" s="142">
        <v>1.0670999999999999</v>
      </c>
      <c r="N1868" s="142">
        <v>0.84109999999999996</v>
      </c>
      <c r="O1868" s="142">
        <v>1.0538000000000001</v>
      </c>
      <c r="P1868" s="26">
        <v>5911.9171160100432</v>
      </c>
      <c r="Q1868" s="35">
        <f t="array" ref="Q1868">SUM(IF(($S1868&gt;=4)*($C1868='TaxCred&amp;Subs'!$D$114:$D$121)*($H1868='TaxCred&amp;Subs'!$C$114:$C$121)*($H1868&lt;='TaxCred&amp;Subs'!$C$123),'TaxCred&amp;Subs'!$E$114:$E$121,0))</f>
        <v>0</v>
      </c>
      <c r="R1868" s="143">
        <v>0</v>
      </c>
      <c r="S1868" s="5">
        <v>2</v>
      </c>
      <c r="T1868" s="5" t="s">
        <v>220</v>
      </c>
      <c r="V1868" s="7" t="str">
        <f t="array" ref="V1868">INDEX(xlRTCLNAME,MATCH(1,(xlRTCLENDU=1)*(xlRTCLEQCL=$D1868),0))</f>
        <v>GEO_HP</v>
      </c>
      <c r="W1868" s="7" t="str">
        <f t="array" ref="W1868">INDEX(xlRTCLNAME,MATCH(1,(xlRTCLENDU=2)*(xlRTCLEQCL=$F1868),0))</f>
        <v>GEO_HP</v>
      </c>
      <c r="X1868" s="7" t="str">
        <f t="array" ref="X1868">INDEX(xlRTTYNAME,MATCH(1,(xlRTTYENDU=1)*(xlRTTYEQCL=$D1868)*(xlRTEQTYPE=$E1868),0))</f>
        <v>GEO_HP1</v>
      </c>
      <c r="Y1868" s="7" t="str">
        <f t="array" ref="Y1868">INDEX(xlRTTYNAME,MATCH(1,(xlRTTYENDU=2)*(xlRTTYEQCL=$F1868)*(xlRTEQTYPE=$G1868),0))</f>
        <v>GEO_HP1</v>
      </c>
    </row>
    <row r="1869" spans="2:25" x14ac:dyDescent="0.2">
      <c r="B1869" s="5">
        <v>6</v>
      </c>
      <c r="C1869" s="5">
        <v>3</v>
      </c>
      <c r="D1869" s="5">
        <v>10</v>
      </c>
      <c r="E1869" s="31">
        <v>31</v>
      </c>
      <c r="F1869" s="5">
        <v>4</v>
      </c>
      <c r="G1869" s="31">
        <v>12</v>
      </c>
      <c r="H1869" s="31">
        <v>2020</v>
      </c>
      <c r="I1869" s="5">
        <v>2050</v>
      </c>
      <c r="J1869" s="142">
        <v>1.0909</v>
      </c>
      <c r="K1869" s="142">
        <v>1.0588</v>
      </c>
      <c r="L1869" s="142">
        <v>0.7964</v>
      </c>
      <c r="M1869" s="142">
        <v>1.0833999999999999</v>
      </c>
      <c r="N1869" s="142">
        <v>0.80820000000000003</v>
      </c>
      <c r="O1869" s="142">
        <v>1.0538000000000001</v>
      </c>
      <c r="P1869" s="26">
        <v>5754.6066082608559</v>
      </c>
      <c r="Q1869" s="35">
        <f t="array" ref="Q1869">SUM(IF(($S1869&gt;=4)*($C1869='TaxCred&amp;Subs'!$D$114:$D$121)*($H1869='TaxCred&amp;Subs'!$C$114:$C$121)*($H1869&lt;='TaxCred&amp;Subs'!$C$123),'TaxCred&amp;Subs'!$E$114:$E$121,0))</f>
        <v>0</v>
      </c>
      <c r="R1869" s="143">
        <v>0</v>
      </c>
      <c r="S1869" s="5">
        <v>2</v>
      </c>
      <c r="T1869" s="5" t="s">
        <v>220</v>
      </c>
      <c r="V1869" s="7" t="str">
        <f t="array" ref="V1869">INDEX(xlRTCLNAME,MATCH(1,(xlRTCLENDU=1)*(xlRTCLEQCL=$D1869),0))</f>
        <v>GEO_HP</v>
      </c>
      <c r="W1869" s="7" t="str">
        <f t="array" ref="W1869">INDEX(xlRTCLNAME,MATCH(1,(xlRTCLENDU=2)*(xlRTCLEQCL=$F1869),0))</f>
        <v>GEO_HP</v>
      </c>
      <c r="X1869" s="7" t="str">
        <f t="array" ref="X1869">INDEX(xlRTTYNAME,MATCH(1,(xlRTTYENDU=1)*(xlRTTYEQCL=$D1869)*(xlRTEQTYPE=$E1869),0))</f>
        <v>GEO_HP1</v>
      </c>
      <c r="Y1869" s="7" t="str">
        <f t="array" ref="Y1869">INDEX(xlRTTYNAME,MATCH(1,(xlRTTYENDU=2)*(xlRTTYEQCL=$F1869)*(xlRTEQTYPE=$G1869),0))</f>
        <v>GEO_HP1</v>
      </c>
    </row>
    <row r="1870" spans="2:25" x14ac:dyDescent="0.2">
      <c r="B1870" s="5">
        <v>7</v>
      </c>
      <c r="C1870" s="5">
        <v>3</v>
      </c>
      <c r="D1870" s="5">
        <v>10</v>
      </c>
      <c r="E1870" s="31">
        <v>31</v>
      </c>
      <c r="F1870" s="5">
        <v>4</v>
      </c>
      <c r="G1870" s="31">
        <v>12</v>
      </c>
      <c r="H1870" s="31">
        <v>2020</v>
      </c>
      <c r="I1870" s="5">
        <v>2050</v>
      </c>
      <c r="J1870" s="142">
        <v>1.0968</v>
      </c>
      <c r="K1870" s="142">
        <v>1.036</v>
      </c>
      <c r="L1870" s="142">
        <v>0.89249999999999996</v>
      </c>
      <c r="M1870" s="142">
        <v>1.0866</v>
      </c>
      <c r="N1870" s="142">
        <v>0.81950000000000001</v>
      </c>
      <c r="O1870" s="142">
        <v>1.0538000000000001</v>
      </c>
      <c r="P1870" s="26">
        <v>3553.6040340265054</v>
      </c>
      <c r="Q1870" s="35">
        <f t="array" ref="Q1870">SUM(IF(($S1870&gt;=4)*($C1870='TaxCred&amp;Subs'!$D$114:$D$121)*($H1870='TaxCred&amp;Subs'!$C$114:$C$121)*($H1870&lt;='TaxCred&amp;Subs'!$C$123),'TaxCred&amp;Subs'!$E$114:$E$121,0))</f>
        <v>0</v>
      </c>
      <c r="R1870" s="143">
        <v>0</v>
      </c>
      <c r="S1870" s="5">
        <v>2</v>
      </c>
      <c r="T1870" s="5" t="s">
        <v>220</v>
      </c>
      <c r="V1870" s="7" t="str">
        <f t="array" ref="V1870">INDEX(xlRTCLNAME,MATCH(1,(xlRTCLENDU=1)*(xlRTCLEQCL=$D1870),0))</f>
        <v>GEO_HP</v>
      </c>
      <c r="W1870" s="7" t="str">
        <f t="array" ref="W1870">INDEX(xlRTCLNAME,MATCH(1,(xlRTCLENDU=2)*(xlRTCLEQCL=$F1870),0))</f>
        <v>GEO_HP</v>
      </c>
      <c r="X1870" s="7" t="str">
        <f t="array" ref="X1870">INDEX(xlRTTYNAME,MATCH(1,(xlRTTYENDU=1)*(xlRTTYEQCL=$D1870)*(xlRTEQTYPE=$E1870),0))</f>
        <v>GEO_HP1</v>
      </c>
      <c r="Y1870" s="7" t="str">
        <f t="array" ref="Y1870">INDEX(xlRTTYNAME,MATCH(1,(xlRTTYENDU=2)*(xlRTTYEQCL=$F1870)*(xlRTEQTYPE=$G1870),0))</f>
        <v>GEO_HP1</v>
      </c>
    </row>
    <row r="1871" spans="2:25" x14ac:dyDescent="0.2">
      <c r="B1871" s="5">
        <v>8</v>
      </c>
      <c r="C1871" s="5">
        <v>3</v>
      </c>
      <c r="D1871" s="5">
        <v>10</v>
      </c>
      <c r="E1871" s="31">
        <v>31</v>
      </c>
      <c r="F1871" s="5">
        <v>4</v>
      </c>
      <c r="G1871" s="31">
        <v>12</v>
      </c>
      <c r="H1871" s="31">
        <v>2020</v>
      </c>
      <c r="I1871" s="5">
        <v>2050</v>
      </c>
      <c r="J1871" s="142">
        <v>1.07</v>
      </c>
      <c r="K1871" s="142">
        <v>1.07</v>
      </c>
      <c r="L1871" s="142">
        <v>0.75580000000000003</v>
      </c>
      <c r="M1871" s="142">
        <v>1.0437000000000001</v>
      </c>
      <c r="N1871" s="142">
        <v>0.81950000000000001</v>
      </c>
      <c r="O1871" s="142">
        <v>1.0538000000000001</v>
      </c>
      <c r="P1871" s="26">
        <v>7396.2829327203208</v>
      </c>
      <c r="Q1871" s="35">
        <f t="array" ref="Q1871">SUM(IF(($S1871&gt;=4)*($C1871='TaxCred&amp;Subs'!$D$114:$D$121)*($H1871='TaxCred&amp;Subs'!$C$114:$C$121)*($H1871&lt;='TaxCred&amp;Subs'!$C$123),'TaxCred&amp;Subs'!$E$114:$E$121,0))</f>
        <v>0</v>
      </c>
      <c r="R1871" s="143">
        <v>0</v>
      </c>
      <c r="S1871" s="5">
        <v>2</v>
      </c>
      <c r="T1871" s="5" t="s">
        <v>220</v>
      </c>
      <c r="V1871" s="7" t="str">
        <f t="array" ref="V1871">INDEX(xlRTCLNAME,MATCH(1,(xlRTCLENDU=1)*(xlRTCLEQCL=$D1871),0))</f>
        <v>GEO_HP</v>
      </c>
      <c r="W1871" s="7" t="str">
        <f t="array" ref="W1871">INDEX(xlRTCLNAME,MATCH(1,(xlRTCLENDU=2)*(xlRTCLEQCL=$F1871),0))</f>
        <v>GEO_HP</v>
      </c>
      <c r="X1871" s="7" t="str">
        <f t="array" ref="X1871">INDEX(xlRTTYNAME,MATCH(1,(xlRTTYENDU=1)*(xlRTTYEQCL=$D1871)*(xlRTEQTYPE=$E1871),0))</f>
        <v>GEO_HP1</v>
      </c>
      <c r="Y1871" s="7" t="str">
        <f t="array" ref="Y1871">INDEX(xlRTTYNAME,MATCH(1,(xlRTTYENDU=2)*(xlRTTYEQCL=$F1871)*(xlRTEQTYPE=$G1871),0))</f>
        <v>GEO_HP1</v>
      </c>
    </row>
    <row r="1872" spans="2:25" x14ac:dyDescent="0.2">
      <c r="B1872" s="5">
        <v>9</v>
      </c>
      <c r="C1872" s="5">
        <v>3</v>
      </c>
      <c r="D1872" s="5">
        <v>10</v>
      </c>
      <c r="E1872" s="31">
        <v>31</v>
      </c>
      <c r="F1872" s="5">
        <v>4</v>
      </c>
      <c r="G1872" s="31">
        <v>12</v>
      </c>
      <c r="H1872" s="31">
        <v>2020</v>
      </c>
      <c r="I1872" s="5">
        <v>2050</v>
      </c>
      <c r="J1872" s="142">
        <v>1.0857000000000001</v>
      </c>
      <c r="K1872" s="142">
        <v>1.0611999999999999</v>
      </c>
      <c r="L1872" s="142">
        <v>0.84330000000000005</v>
      </c>
      <c r="M1872" s="142">
        <v>1.1561999999999999</v>
      </c>
      <c r="N1872" s="142">
        <v>0.85860000000000003</v>
      </c>
      <c r="O1872" s="142">
        <v>1.0538000000000001</v>
      </c>
      <c r="P1872" s="26">
        <v>7860.1472504422818</v>
      </c>
      <c r="Q1872" s="35">
        <f t="array" ref="Q1872">SUM(IF(($S1872&gt;=4)*($C1872='TaxCred&amp;Subs'!$D$114:$D$121)*($H1872='TaxCred&amp;Subs'!$C$114:$C$121)*($H1872&lt;='TaxCred&amp;Subs'!$C$123),'TaxCred&amp;Subs'!$E$114:$E$121,0))</f>
        <v>0</v>
      </c>
      <c r="R1872" s="143">
        <v>0</v>
      </c>
      <c r="S1872" s="5">
        <v>2</v>
      </c>
      <c r="T1872" s="5" t="s">
        <v>220</v>
      </c>
      <c r="V1872" s="7" t="str">
        <f t="array" ref="V1872">INDEX(xlRTCLNAME,MATCH(1,(xlRTCLENDU=1)*(xlRTCLEQCL=$D1872),0))</f>
        <v>GEO_HP</v>
      </c>
      <c r="W1872" s="7" t="str">
        <f t="array" ref="W1872">INDEX(xlRTCLNAME,MATCH(1,(xlRTCLENDU=2)*(xlRTCLEQCL=$F1872),0))</f>
        <v>GEO_HP</v>
      </c>
      <c r="X1872" s="7" t="str">
        <f t="array" ref="X1872">INDEX(xlRTTYNAME,MATCH(1,(xlRTTYENDU=1)*(xlRTTYEQCL=$D1872)*(xlRTEQTYPE=$E1872),0))</f>
        <v>GEO_HP1</v>
      </c>
      <c r="Y1872" s="7" t="str">
        <f t="array" ref="Y1872">INDEX(xlRTTYNAME,MATCH(1,(xlRTTYENDU=2)*(xlRTTYEQCL=$F1872)*(xlRTEQTYPE=$G1872),0))</f>
        <v>GEO_HP1</v>
      </c>
    </row>
    <row r="1873" spans="1:25" x14ac:dyDescent="0.2">
      <c r="B1873" s="5">
        <v>1</v>
      </c>
      <c r="C1873" s="5">
        <v>3</v>
      </c>
      <c r="D1873" s="5">
        <v>11</v>
      </c>
      <c r="E1873" s="31">
        <v>35</v>
      </c>
      <c r="F1873" s="5">
        <v>5</v>
      </c>
      <c r="G1873" s="31">
        <v>16</v>
      </c>
      <c r="H1873" s="31">
        <v>2020</v>
      </c>
      <c r="I1873" s="5">
        <v>2050</v>
      </c>
      <c r="J1873" s="142">
        <v>1.07</v>
      </c>
      <c r="K1873" s="142">
        <v>1.07</v>
      </c>
      <c r="L1873" s="142">
        <v>0.68079999999999996</v>
      </c>
      <c r="M1873" s="142">
        <v>1.0588</v>
      </c>
      <c r="N1873" s="142">
        <v>0.77800000000000002</v>
      </c>
      <c r="O1873" s="142">
        <v>1.0538000000000001</v>
      </c>
      <c r="P1873" s="26">
        <v>8931.7410510927275</v>
      </c>
      <c r="Q1873" s="35">
        <f t="array" ref="Q1873">SUM(IF(($S1873&gt;=4)*($C1873='TaxCred&amp;Subs'!$D$114:$D$121)*($H1873='TaxCred&amp;Subs'!$C$114:$C$121)*($H1873&lt;='TaxCred&amp;Subs'!$C$123),'TaxCred&amp;Subs'!$E$114:$E$121,0))</f>
        <v>0</v>
      </c>
      <c r="R1873" s="143">
        <v>0</v>
      </c>
      <c r="S1873" s="5">
        <v>2</v>
      </c>
      <c r="T1873" s="5" t="s">
        <v>220</v>
      </c>
      <c r="V1873" s="7" t="str">
        <f t="array" ref="V1873">INDEX(xlRTCLNAME,MATCH(1,(xlRTCLENDU=1)*(xlRTCLEQCL=$D1873),0))</f>
        <v>NG_HP</v>
      </c>
      <c r="W1873" s="7" t="str">
        <f t="array" ref="W1873">INDEX(xlRTCLNAME,MATCH(1,(xlRTCLENDU=2)*(xlRTCLEQCL=$F1873),0))</f>
        <v>NG_HP</v>
      </c>
      <c r="X1873" s="7" t="str">
        <f t="array" ref="X1873">INDEX(xlRTTYNAME,MATCH(1,(xlRTTYENDU=1)*(xlRTTYEQCL=$D1873)*(xlRTEQTYPE=$E1873),0))</f>
        <v>NG_HP2</v>
      </c>
      <c r="Y1873" s="7" t="str">
        <f t="array" ref="Y1873">INDEX(xlRTTYNAME,MATCH(1,(xlRTTYENDU=2)*(xlRTTYEQCL=$F1873)*(xlRTEQTYPE=$G1873),0))</f>
        <v>NG_HP2</v>
      </c>
    </row>
    <row r="1874" spans="1:25" x14ac:dyDescent="0.2">
      <c r="B1874" s="5">
        <v>2</v>
      </c>
      <c r="C1874" s="5">
        <v>3</v>
      </c>
      <c r="D1874" s="5">
        <v>11</v>
      </c>
      <c r="E1874" s="31">
        <v>35</v>
      </c>
      <c r="F1874" s="5">
        <v>5</v>
      </c>
      <c r="G1874" s="31">
        <v>16</v>
      </c>
      <c r="H1874" s="31">
        <v>2020</v>
      </c>
      <c r="I1874" s="5">
        <v>2050</v>
      </c>
      <c r="J1874" s="142">
        <v>1.0670999999999999</v>
      </c>
      <c r="K1874" s="142">
        <v>1.0638000000000001</v>
      </c>
      <c r="L1874" s="142">
        <v>0.88700000000000001</v>
      </c>
      <c r="M1874" s="142">
        <v>1.1462000000000001</v>
      </c>
      <c r="N1874" s="142">
        <v>0.84609999999999996</v>
      </c>
      <c r="O1874" s="142">
        <v>1.0538000000000001</v>
      </c>
      <c r="P1874" s="26">
        <v>6745.5283536553079</v>
      </c>
      <c r="Q1874" s="35">
        <f t="array" ref="Q1874">SUM(IF(($S1874&gt;=4)*($C1874='TaxCred&amp;Subs'!$D$114:$D$121)*($H1874='TaxCred&amp;Subs'!$C$114:$C$121)*($H1874&lt;='TaxCred&amp;Subs'!$C$123),'TaxCred&amp;Subs'!$E$114:$E$121,0))</f>
        <v>0</v>
      </c>
      <c r="R1874" s="143">
        <v>0</v>
      </c>
      <c r="S1874" s="5">
        <v>2</v>
      </c>
      <c r="T1874" s="5" t="s">
        <v>220</v>
      </c>
      <c r="V1874" s="7" t="str">
        <f t="array" ref="V1874">INDEX(xlRTCLNAME,MATCH(1,(xlRTCLENDU=1)*(xlRTCLEQCL=$D1874),0))</f>
        <v>NG_HP</v>
      </c>
      <c r="W1874" s="7" t="str">
        <f t="array" ref="W1874">INDEX(xlRTCLNAME,MATCH(1,(xlRTCLENDU=2)*(xlRTCLEQCL=$F1874),0))</f>
        <v>NG_HP</v>
      </c>
      <c r="X1874" s="7" t="str">
        <f t="array" ref="X1874">INDEX(xlRTTYNAME,MATCH(1,(xlRTTYENDU=1)*(xlRTTYEQCL=$D1874)*(xlRTEQTYPE=$E1874),0))</f>
        <v>NG_HP2</v>
      </c>
      <c r="Y1874" s="7" t="str">
        <f t="array" ref="Y1874">INDEX(xlRTTYNAME,MATCH(1,(xlRTTYENDU=2)*(xlRTTYEQCL=$F1874)*(xlRTEQTYPE=$G1874),0))</f>
        <v>NG_HP2</v>
      </c>
    </row>
    <row r="1875" spans="1:25" x14ac:dyDescent="0.2">
      <c r="B1875" s="5">
        <v>3</v>
      </c>
      <c r="C1875" s="5">
        <v>3</v>
      </c>
      <c r="D1875" s="5">
        <v>11</v>
      </c>
      <c r="E1875" s="31">
        <v>35</v>
      </c>
      <c r="F1875" s="5">
        <v>5</v>
      </c>
      <c r="G1875" s="31">
        <v>16</v>
      </c>
      <c r="H1875" s="31">
        <v>2020</v>
      </c>
      <c r="I1875" s="5">
        <v>2050</v>
      </c>
      <c r="J1875" s="142">
        <v>1.07</v>
      </c>
      <c r="K1875" s="142">
        <v>1.07</v>
      </c>
      <c r="L1875" s="142">
        <v>0.76580000000000004</v>
      </c>
      <c r="M1875" s="142">
        <v>1.0925</v>
      </c>
      <c r="N1875" s="142">
        <v>0.8498</v>
      </c>
      <c r="O1875" s="142">
        <v>1.0538000000000001</v>
      </c>
      <c r="P1875" s="26">
        <v>9051.4045997224493</v>
      </c>
      <c r="Q1875" s="35">
        <f t="array" ref="Q1875">SUM(IF(($S1875&gt;=4)*($C1875='TaxCred&amp;Subs'!$D$114:$D$121)*($H1875='TaxCred&amp;Subs'!$C$114:$C$121)*($H1875&lt;='TaxCred&amp;Subs'!$C$123),'TaxCred&amp;Subs'!$E$114:$E$121,0))</f>
        <v>0</v>
      </c>
      <c r="R1875" s="143">
        <v>0</v>
      </c>
      <c r="S1875" s="5">
        <v>2</v>
      </c>
      <c r="T1875" s="5" t="s">
        <v>220</v>
      </c>
      <c r="V1875" s="7" t="str">
        <f t="array" ref="V1875">INDEX(xlRTCLNAME,MATCH(1,(xlRTCLENDU=1)*(xlRTCLEQCL=$D1875),0))</f>
        <v>NG_HP</v>
      </c>
      <c r="W1875" s="7" t="str">
        <f t="array" ref="W1875">INDEX(xlRTCLNAME,MATCH(1,(xlRTCLENDU=2)*(xlRTCLEQCL=$F1875),0))</f>
        <v>NG_HP</v>
      </c>
      <c r="X1875" s="7" t="str">
        <f t="array" ref="X1875">INDEX(xlRTTYNAME,MATCH(1,(xlRTTYENDU=1)*(xlRTTYEQCL=$D1875)*(xlRTEQTYPE=$E1875),0))</f>
        <v>NG_HP2</v>
      </c>
      <c r="Y1875" s="7" t="str">
        <f t="array" ref="Y1875">INDEX(xlRTTYNAME,MATCH(1,(xlRTTYENDU=2)*(xlRTTYEQCL=$F1875)*(xlRTEQTYPE=$G1875),0))</f>
        <v>NG_HP2</v>
      </c>
    </row>
    <row r="1876" spans="1:25" x14ac:dyDescent="0.2">
      <c r="B1876" s="5">
        <v>4</v>
      </c>
      <c r="C1876" s="5">
        <v>3</v>
      </c>
      <c r="D1876" s="5">
        <v>11</v>
      </c>
      <c r="E1876" s="31">
        <v>35</v>
      </c>
      <c r="F1876" s="5">
        <v>5</v>
      </c>
      <c r="G1876" s="31">
        <v>16</v>
      </c>
      <c r="H1876" s="31">
        <v>2020</v>
      </c>
      <c r="I1876" s="5">
        <v>2050</v>
      </c>
      <c r="J1876" s="142">
        <v>1.07</v>
      </c>
      <c r="K1876" s="142">
        <v>1.07</v>
      </c>
      <c r="L1876" s="142">
        <v>0.68620000000000003</v>
      </c>
      <c r="M1876" s="142">
        <v>1.0580000000000001</v>
      </c>
      <c r="N1876" s="142">
        <v>0.77659999999999996</v>
      </c>
      <c r="O1876" s="142">
        <v>1.0538000000000001</v>
      </c>
      <c r="P1876" s="26">
        <v>7912.5840863586773</v>
      </c>
      <c r="Q1876" s="35">
        <f t="array" ref="Q1876">SUM(IF(($S1876&gt;=4)*($C1876='TaxCred&amp;Subs'!$D$114:$D$121)*($H1876='TaxCred&amp;Subs'!$C$114:$C$121)*($H1876&lt;='TaxCred&amp;Subs'!$C$123),'TaxCred&amp;Subs'!$E$114:$E$121,0))</f>
        <v>0</v>
      </c>
      <c r="R1876" s="143">
        <v>0</v>
      </c>
      <c r="S1876" s="5">
        <v>2</v>
      </c>
      <c r="T1876" s="5" t="s">
        <v>220</v>
      </c>
      <c r="V1876" s="7" t="str">
        <f t="array" ref="V1876">INDEX(xlRTCLNAME,MATCH(1,(xlRTCLENDU=1)*(xlRTCLEQCL=$D1876),0))</f>
        <v>NG_HP</v>
      </c>
      <c r="W1876" s="7" t="str">
        <f t="array" ref="W1876">INDEX(xlRTCLNAME,MATCH(1,(xlRTCLENDU=2)*(xlRTCLEQCL=$F1876),0))</f>
        <v>NG_HP</v>
      </c>
      <c r="X1876" s="7" t="str">
        <f t="array" ref="X1876">INDEX(xlRTTYNAME,MATCH(1,(xlRTTYENDU=1)*(xlRTTYEQCL=$D1876)*(xlRTEQTYPE=$E1876),0))</f>
        <v>NG_HP2</v>
      </c>
      <c r="Y1876" s="7" t="str">
        <f t="array" ref="Y1876">INDEX(xlRTTYNAME,MATCH(1,(xlRTTYENDU=2)*(xlRTTYEQCL=$F1876)*(xlRTEQTYPE=$G1876),0))</f>
        <v>NG_HP2</v>
      </c>
    </row>
    <row r="1877" spans="1:25" x14ac:dyDescent="0.2">
      <c r="B1877" s="5">
        <v>5</v>
      </c>
      <c r="C1877" s="5">
        <v>3</v>
      </c>
      <c r="D1877" s="5">
        <v>11</v>
      </c>
      <c r="E1877" s="31">
        <v>35</v>
      </c>
      <c r="F1877" s="5">
        <v>5</v>
      </c>
      <c r="G1877" s="31">
        <v>16</v>
      </c>
      <c r="H1877" s="31">
        <v>2020</v>
      </c>
      <c r="I1877" s="5">
        <v>2050</v>
      </c>
      <c r="J1877" s="142">
        <v>1.0559000000000001</v>
      </c>
      <c r="K1877" s="142">
        <v>1.0444</v>
      </c>
      <c r="L1877" s="142">
        <v>0.86729999999999996</v>
      </c>
      <c r="M1877" s="142">
        <v>1.0669</v>
      </c>
      <c r="N1877" s="142">
        <v>0.83460000000000001</v>
      </c>
      <c r="O1877" s="142">
        <v>1.0538000000000001</v>
      </c>
      <c r="P1877" s="26">
        <v>4596.962615337352</v>
      </c>
      <c r="Q1877" s="35">
        <f t="array" ref="Q1877">SUM(IF(($S1877&gt;=4)*($C1877='TaxCred&amp;Subs'!$D$114:$D$121)*($H1877='TaxCred&amp;Subs'!$C$114:$C$121)*($H1877&lt;='TaxCred&amp;Subs'!$C$123),'TaxCred&amp;Subs'!$E$114:$E$121,0))</f>
        <v>0</v>
      </c>
      <c r="R1877" s="143">
        <v>0</v>
      </c>
      <c r="S1877" s="5">
        <v>2</v>
      </c>
      <c r="T1877" s="5" t="s">
        <v>220</v>
      </c>
      <c r="V1877" s="7" t="str">
        <f t="array" ref="V1877">INDEX(xlRTCLNAME,MATCH(1,(xlRTCLENDU=1)*(xlRTCLEQCL=$D1877),0))</f>
        <v>NG_HP</v>
      </c>
      <c r="W1877" s="7" t="str">
        <f t="array" ref="W1877">INDEX(xlRTCLNAME,MATCH(1,(xlRTCLENDU=2)*(xlRTCLEQCL=$F1877),0))</f>
        <v>NG_HP</v>
      </c>
      <c r="X1877" s="7" t="str">
        <f t="array" ref="X1877">INDEX(xlRTTYNAME,MATCH(1,(xlRTTYENDU=1)*(xlRTTYEQCL=$D1877)*(xlRTEQTYPE=$E1877),0))</f>
        <v>NG_HP2</v>
      </c>
      <c r="Y1877" s="7" t="str">
        <f t="array" ref="Y1877">INDEX(xlRTTYNAME,MATCH(1,(xlRTTYENDU=2)*(xlRTTYEQCL=$F1877)*(xlRTEQTYPE=$G1877),0))</f>
        <v>NG_HP2</v>
      </c>
    </row>
    <row r="1878" spans="1:25" x14ac:dyDescent="0.2">
      <c r="B1878" s="5">
        <v>6</v>
      </c>
      <c r="C1878" s="5">
        <v>3</v>
      </c>
      <c r="D1878" s="5">
        <v>11</v>
      </c>
      <c r="E1878" s="31">
        <v>35</v>
      </c>
      <c r="F1878" s="5">
        <v>5</v>
      </c>
      <c r="G1878" s="31">
        <v>16</v>
      </c>
      <c r="H1878" s="31">
        <v>2020</v>
      </c>
      <c r="I1878" s="5">
        <v>2050</v>
      </c>
      <c r="J1878" s="142">
        <v>1.0872999999999999</v>
      </c>
      <c r="K1878" s="142">
        <v>1.0581</v>
      </c>
      <c r="L1878" s="142">
        <v>0.83140000000000003</v>
      </c>
      <c r="M1878" s="142">
        <v>1.0811999999999999</v>
      </c>
      <c r="N1878" s="142">
        <v>0.8044</v>
      </c>
      <c r="O1878" s="142">
        <v>1.0538000000000001</v>
      </c>
      <c r="P1878" s="26">
        <v>5145.5325910781066</v>
      </c>
      <c r="Q1878" s="35">
        <f t="array" ref="Q1878">SUM(IF(($S1878&gt;=4)*($C1878='TaxCred&amp;Subs'!$D$114:$D$121)*($H1878='TaxCred&amp;Subs'!$C$114:$C$121)*($H1878&lt;='TaxCred&amp;Subs'!$C$123),'TaxCred&amp;Subs'!$E$114:$E$121,0))</f>
        <v>0</v>
      </c>
      <c r="R1878" s="143">
        <v>0</v>
      </c>
      <c r="S1878" s="5">
        <v>2</v>
      </c>
      <c r="T1878" s="5" t="s">
        <v>220</v>
      </c>
      <c r="V1878" s="7" t="str">
        <f t="array" ref="V1878">INDEX(xlRTCLNAME,MATCH(1,(xlRTCLENDU=1)*(xlRTCLEQCL=$D1878),0))</f>
        <v>NG_HP</v>
      </c>
      <c r="W1878" s="7" t="str">
        <f t="array" ref="W1878">INDEX(xlRTCLNAME,MATCH(1,(xlRTCLENDU=2)*(xlRTCLEQCL=$F1878),0))</f>
        <v>NG_HP</v>
      </c>
      <c r="X1878" s="7" t="str">
        <f t="array" ref="X1878">INDEX(xlRTTYNAME,MATCH(1,(xlRTTYENDU=1)*(xlRTTYEQCL=$D1878)*(xlRTEQTYPE=$E1878),0))</f>
        <v>NG_HP2</v>
      </c>
      <c r="Y1878" s="7" t="str">
        <f t="array" ref="Y1878">INDEX(xlRTTYNAME,MATCH(1,(xlRTTYENDU=2)*(xlRTTYEQCL=$F1878)*(xlRTEQTYPE=$G1878),0))</f>
        <v>NG_HP2</v>
      </c>
    </row>
    <row r="1879" spans="1:25" x14ac:dyDescent="0.2">
      <c r="B1879" s="5">
        <v>7</v>
      </c>
      <c r="C1879" s="5">
        <v>3</v>
      </c>
      <c r="D1879" s="5">
        <v>11</v>
      </c>
      <c r="E1879" s="31">
        <v>35</v>
      </c>
      <c r="F1879" s="5">
        <v>5</v>
      </c>
      <c r="G1879" s="31">
        <v>16</v>
      </c>
      <c r="H1879" s="31">
        <v>2020</v>
      </c>
      <c r="I1879" s="5">
        <v>2050</v>
      </c>
      <c r="J1879" s="142">
        <v>1.0914999999999999</v>
      </c>
      <c r="K1879" s="142">
        <v>1.0496000000000001</v>
      </c>
      <c r="L1879" s="142">
        <v>0.89400000000000002</v>
      </c>
      <c r="M1879" s="142">
        <v>1.0887</v>
      </c>
      <c r="N1879" s="142">
        <v>0.81759999999999999</v>
      </c>
      <c r="O1879" s="142">
        <v>1.0538000000000001</v>
      </c>
      <c r="P1879" s="26">
        <v>3553.6040340265054</v>
      </c>
      <c r="Q1879" s="35">
        <f t="array" ref="Q1879">SUM(IF(($S1879&gt;=4)*($C1879='TaxCred&amp;Subs'!$D$114:$D$121)*($H1879='TaxCred&amp;Subs'!$C$114:$C$121)*($H1879&lt;='TaxCred&amp;Subs'!$C$123),'TaxCred&amp;Subs'!$E$114:$E$121,0))</f>
        <v>0</v>
      </c>
      <c r="R1879" s="143">
        <v>0</v>
      </c>
      <c r="S1879" s="5">
        <v>2</v>
      </c>
      <c r="T1879" s="5" t="s">
        <v>220</v>
      </c>
      <c r="V1879" s="7" t="str">
        <f t="array" ref="V1879">INDEX(xlRTCLNAME,MATCH(1,(xlRTCLENDU=1)*(xlRTCLEQCL=$D1879),0))</f>
        <v>NG_HP</v>
      </c>
      <c r="W1879" s="7" t="str">
        <f t="array" ref="W1879">INDEX(xlRTCLNAME,MATCH(1,(xlRTCLENDU=2)*(xlRTCLEQCL=$F1879),0))</f>
        <v>NG_HP</v>
      </c>
      <c r="X1879" s="7" t="str">
        <f t="array" ref="X1879">INDEX(xlRTTYNAME,MATCH(1,(xlRTTYENDU=1)*(xlRTTYEQCL=$D1879)*(xlRTEQTYPE=$E1879),0))</f>
        <v>NG_HP2</v>
      </c>
      <c r="Y1879" s="7" t="str">
        <f t="array" ref="Y1879">INDEX(xlRTTYNAME,MATCH(1,(xlRTTYENDU=2)*(xlRTTYEQCL=$F1879)*(xlRTEQTYPE=$G1879),0))</f>
        <v>NG_HP2</v>
      </c>
    </row>
    <row r="1880" spans="1:25" x14ac:dyDescent="0.2">
      <c r="B1880" s="5">
        <v>8</v>
      </c>
      <c r="C1880" s="5">
        <v>3</v>
      </c>
      <c r="D1880" s="5">
        <v>11</v>
      </c>
      <c r="E1880" s="31">
        <v>35</v>
      </c>
      <c r="F1880" s="5">
        <v>5</v>
      </c>
      <c r="G1880" s="31">
        <v>16</v>
      </c>
      <c r="H1880" s="31">
        <v>2020</v>
      </c>
      <c r="I1880" s="5">
        <v>2050</v>
      </c>
      <c r="J1880" s="142">
        <v>1.07</v>
      </c>
      <c r="K1880" s="142">
        <v>1.07</v>
      </c>
      <c r="L1880" s="142">
        <v>0.75749999999999995</v>
      </c>
      <c r="M1880" s="142">
        <v>1.0437000000000001</v>
      </c>
      <c r="N1880" s="142">
        <v>0.80840000000000001</v>
      </c>
      <c r="O1880" s="142">
        <v>1.0538000000000001</v>
      </c>
      <c r="P1880" s="26">
        <v>7396.2829327203208</v>
      </c>
      <c r="Q1880" s="35">
        <f t="array" ref="Q1880">SUM(IF(($S1880&gt;=4)*($C1880='TaxCred&amp;Subs'!$D$114:$D$121)*($H1880='TaxCred&amp;Subs'!$C$114:$C$121)*($H1880&lt;='TaxCred&amp;Subs'!$C$123),'TaxCred&amp;Subs'!$E$114:$E$121,0))</f>
        <v>0</v>
      </c>
      <c r="R1880" s="143">
        <v>0</v>
      </c>
      <c r="S1880" s="5">
        <v>2</v>
      </c>
      <c r="T1880" s="5" t="s">
        <v>220</v>
      </c>
      <c r="V1880" s="7" t="str">
        <f t="array" ref="V1880">INDEX(xlRTCLNAME,MATCH(1,(xlRTCLENDU=1)*(xlRTCLEQCL=$D1880),0))</f>
        <v>NG_HP</v>
      </c>
      <c r="W1880" s="7" t="str">
        <f t="array" ref="W1880">INDEX(xlRTCLNAME,MATCH(1,(xlRTCLENDU=2)*(xlRTCLEQCL=$F1880),0))</f>
        <v>NG_HP</v>
      </c>
      <c r="X1880" s="7" t="str">
        <f t="array" ref="X1880">INDEX(xlRTTYNAME,MATCH(1,(xlRTTYENDU=1)*(xlRTTYEQCL=$D1880)*(xlRTEQTYPE=$E1880),0))</f>
        <v>NG_HP2</v>
      </c>
      <c r="Y1880" s="7" t="str">
        <f t="array" ref="Y1880">INDEX(xlRTTYNAME,MATCH(1,(xlRTTYENDU=2)*(xlRTTYEQCL=$F1880)*(xlRTEQTYPE=$G1880),0))</f>
        <v>NG_HP2</v>
      </c>
    </row>
    <row r="1881" spans="1:25" x14ac:dyDescent="0.2">
      <c r="B1881" s="5">
        <v>9</v>
      </c>
      <c r="C1881" s="5">
        <v>3</v>
      </c>
      <c r="D1881" s="5">
        <v>11</v>
      </c>
      <c r="E1881" s="31">
        <v>35</v>
      </c>
      <c r="F1881" s="5">
        <v>5</v>
      </c>
      <c r="G1881" s="31">
        <v>16</v>
      </c>
      <c r="H1881" s="31">
        <v>2020</v>
      </c>
      <c r="I1881" s="5">
        <v>2050</v>
      </c>
      <c r="J1881" s="142">
        <v>1.0761000000000001</v>
      </c>
      <c r="K1881" s="142">
        <v>1.0506</v>
      </c>
      <c r="L1881" s="142">
        <v>0.86780000000000002</v>
      </c>
      <c r="M1881" s="142">
        <v>1.1609</v>
      </c>
      <c r="N1881" s="142">
        <v>0.84670000000000001</v>
      </c>
      <c r="O1881" s="142">
        <v>1.0538000000000001</v>
      </c>
      <c r="P1881" s="26">
        <v>7198.6363973431371</v>
      </c>
      <c r="Q1881" s="35">
        <f t="array" ref="Q1881">SUM(IF(($S1881&gt;=4)*($C1881='TaxCred&amp;Subs'!$D$114:$D$121)*($H1881='TaxCred&amp;Subs'!$C$114:$C$121)*($H1881&lt;='TaxCred&amp;Subs'!$C$123),'TaxCred&amp;Subs'!$E$114:$E$121,0))</f>
        <v>0</v>
      </c>
      <c r="R1881" s="143">
        <v>0</v>
      </c>
      <c r="S1881" s="5">
        <v>2</v>
      </c>
      <c r="T1881" s="5" t="s">
        <v>220</v>
      </c>
      <c r="V1881" s="7" t="str">
        <f t="array" ref="V1881">INDEX(xlRTCLNAME,MATCH(1,(xlRTCLENDU=1)*(xlRTCLEQCL=$D1881),0))</f>
        <v>NG_HP</v>
      </c>
      <c r="W1881" s="7" t="str">
        <f t="array" ref="W1881">INDEX(xlRTCLNAME,MATCH(1,(xlRTCLENDU=2)*(xlRTCLEQCL=$F1881),0))</f>
        <v>NG_HP</v>
      </c>
      <c r="X1881" s="7" t="str">
        <f t="array" ref="X1881">INDEX(xlRTTYNAME,MATCH(1,(xlRTTYENDU=1)*(xlRTTYEQCL=$D1881)*(xlRTEQTYPE=$E1881),0))</f>
        <v>NG_HP2</v>
      </c>
      <c r="Y1881" s="7" t="str">
        <f t="array" ref="Y1881">INDEX(xlRTTYNAME,MATCH(1,(xlRTTYENDU=2)*(xlRTTYEQCL=$F1881)*(xlRTEQTYPE=$G1881),0))</f>
        <v>NG_HP2</v>
      </c>
    </row>
    <row r="1882" spans="1:25" x14ac:dyDescent="0.2">
      <c r="A1882" t="s">
        <v>505</v>
      </c>
      <c r="B1882" s="97">
        <v>2</v>
      </c>
      <c r="C1882" s="97">
        <v>3</v>
      </c>
      <c r="D1882" s="97">
        <v>1</v>
      </c>
      <c r="E1882" s="97">
        <v>1</v>
      </c>
      <c r="F1882" s="97">
        <v>2</v>
      </c>
      <c r="G1882" s="96">
        <v>6</v>
      </c>
      <c r="H1882" s="96">
        <v>2020</v>
      </c>
      <c r="I1882" s="97">
        <v>2050</v>
      </c>
      <c r="J1882" s="232">
        <v>1.0642</v>
      </c>
      <c r="K1882" s="232">
        <v>1.0426</v>
      </c>
      <c r="L1882" s="232">
        <v>0.75009999999999999</v>
      </c>
      <c r="M1882" s="232">
        <v>1.1226</v>
      </c>
      <c r="N1882" s="232">
        <v>0.84350000000000003</v>
      </c>
      <c r="O1882" s="232">
        <v>1.0538000000000001</v>
      </c>
      <c r="P1882" s="233">
        <v>9257.118340625233</v>
      </c>
      <c r="Q1882" s="35">
        <f t="array" ref="Q1882">SUM(IF(($S1882&gt;=4)*($C1882='TaxCred&amp;Subs'!$D$114:$D$121)*($H1882='TaxCred&amp;Subs'!$C$114:$C$121)*($H1882&lt;='TaxCred&amp;Subs'!$C$123),'TaxCred&amp;Subs'!$E$114:$E$121,0))</f>
        <v>0</v>
      </c>
      <c r="R1882" s="233">
        <v>0</v>
      </c>
      <c r="S1882" s="97">
        <v>3</v>
      </c>
      <c r="T1882" s="97" t="s">
        <v>239</v>
      </c>
      <c r="V1882" s="7" t="str">
        <f t="array" ref="V1882">INDEX(xlRTCLNAME,MATCH(1,(xlRTCLENDU=1)*(xlRTCLEQCL=$D1882),0))</f>
        <v>ELEC_RAD</v>
      </c>
      <c r="W1882" s="7" t="str">
        <f t="array" ref="W1882">INDEX(xlRTCLNAME,MATCH(1,(xlRTCLENDU=2)*(xlRTCLEQCL=$F1882),0))</f>
        <v>CENT_AIR</v>
      </c>
      <c r="X1882" s="7" t="str">
        <f t="array" ref="X1882">INDEX(xlRTTYNAME,MATCH(1,(xlRTTYENDU=1)*(xlRTTYEQCL=$D1882)*(xlRTEQTYPE=$E1882),0))</f>
        <v>ELEC_RAD2</v>
      </c>
      <c r="Y1882" s="7" t="str">
        <f t="array" ref="Y1882">INDEX(xlRTTYNAME,MATCH(1,(xlRTTYENDU=2)*(xlRTTYEQCL=$F1882)*(xlRTEQTYPE=$G1882),0))</f>
        <v>CENT_AIR3</v>
      </c>
    </row>
    <row r="1883" spans="1:25" x14ac:dyDescent="0.2">
      <c r="A1883" t="s">
        <v>505</v>
      </c>
      <c r="B1883" s="97">
        <v>5</v>
      </c>
      <c r="C1883" s="97">
        <v>3</v>
      </c>
      <c r="D1883" s="97">
        <v>1</v>
      </c>
      <c r="E1883" s="97">
        <v>1</v>
      </c>
      <c r="F1883" s="97">
        <v>2</v>
      </c>
      <c r="G1883" s="96">
        <v>6</v>
      </c>
      <c r="H1883" s="96">
        <v>2020</v>
      </c>
      <c r="I1883" s="97">
        <v>2050</v>
      </c>
      <c r="J1883" s="232">
        <v>1.0938000000000001</v>
      </c>
      <c r="K1883" s="232">
        <v>1.0556000000000001</v>
      </c>
      <c r="L1883" s="232">
        <v>0.73329999999999995</v>
      </c>
      <c r="M1883" s="232">
        <v>0.97309999999999997</v>
      </c>
      <c r="N1883" s="232">
        <v>0.83109999999999995</v>
      </c>
      <c r="O1883" s="232">
        <v>1.0538000000000001</v>
      </c>
      <c r="P1883" s="233">
        <v>7388.2157271947208</v>
      </c>
      <c r="Q1883" s="35">
        <f t="array" ref="Q1883">SUM(IF(($S1883&gt;=4)*($C1883='TaxCred&amp;Subs'!$D$114:$D$121)*($H1883='TaxCred&amp;Subs'!$C$114:$C$121)*($H1883&lt;='TaxCred&amp;Subs'!$C$123),'TaxCred&amp;Subs'!$E$114:$E$121,0))</f>
        <v>0</v>
      </c>
      <c r="R1883" s="233">
        <v>0</v>
      </c>
      <c r="S1883" s="97">
        <v>3</v>
      </c>
      <c r="T1883" s="97" t="s">
        <v>239</v>
      </c>
      <c r="V1883" s="7" t="str">
        <f t="array" ref="V1883">INDEX(xlRTCLNAME,MATCH(1,(xlRTCLENDU=1)*(xlRTCLEQCL=$D1883),0))</f>
        <v>ELEC_RAD</v>
      </c>
      <c r="W1883" s="7" t="str">
        <f t="array" ref="W1883">INDEX(xlRTCLNAME,MATCH(1,(xlRTCLENDU=2)*(xlRTCLEQCL=$F1883),0))</f>
        <v>CENT_AIR</v>
      </c>
      <c r="X1883" s="7" t="str">
        <f t="array" ref="X1883">INDEX(xlRTTYNAME,MATCH(1,(xlRTTYENDU=1)*(xlRTTYEQCL=$D1883)*(xlRTEQTYPE=$E1883),0))</f>
        <v>ELEC_RAD2</v>
      </c>
      <c r="Y1883" s="7" t="str">
        <f t="array" ref="Y1883">INDEX(xlRTTYNAME,MATCH(1,(xlRTTYENDU=2)*(xlRTTYEQCL=$F1883)*(xlRTEQTYPE=$G1883),0))</f>
        <v>CENT_AIR3</v>
      </c>
    </row>
    <row r="1884" spans="1:25" x14ac:dyDescent="0.2">
      <c r="A1884" t="s">
        <v>505</v>
      </c>
      <c r="B1884" s="97">
        <v>6</v>
      </c>
      <c r="C1884" s="97">
        <v>3</v>
      </c>
      <c r="D1884" s="97">
        <v>1</v>
      </c>
      <c r="E1884" s="97">
        <v>1</v>
      </c>
      <c r="F1884" s="97">
        <v>2</v>
      </c>
      <c r="G1884" s="96">
        <v>6</v>
      </c>
      <c r="H1884" s="96">
        <v>2020</v>
      </c>
      <c r="I1884" s="97">
        <v>2050</v>
      </c>
      <c r="J1884" s="232">
        <v>1.0821000000000001</v>
      </c>
      <c r="K1884" s="232">
        <v>1.0519000000000001</v>
      </c>
      <c r="L1884" s="232">
        <v>0.72050000000000003</v>
      </c>
      <c r="M1884" s="232">
        <v>0.98040000000000005</v>
      </c>
      <c r="N1884" s="232">
        <v>0.80269999999999997</v>
      </c>
      <c r="O1884" s="232">
        <v>1.0538000000000001</v>
      </c>
      <c r="P1884" s="233">
        <v>7307.543671938728</v>
      </c>
      <c r="Q1884" s="35">
        <f t="array" ref="Q1884">SUM(IF(($S1884&gt;=4)*($C1884='TaxCred&amp;Subs'!$D$114:$D$121)*($H1884='TaxCred&amp;Subs'!$C$114:$C$121)*($H1884&lt;='TaxCred&amp;Subs'!$C$123),'TaxCred&amp;Subs'!$E$114:$E$121,0))</f>
        <v>0</v>
      </c>
      <c r="R1884" s="233">
        <v>0</v>
      </c>
      <c r="S1884" s="97">
        <v>3</v>
      </c>
      <c r="T1884" s="97" t="s">
        <v>239</v>
      </c>
      <c r="V1884" s="7" t="str">
        <f t="array" ref="V1884">INDEX(xlRTCLNAME,MATCH(1,(xlRTCLENDU=1)*(xlRTCLEQCL=$D1884),0))</f>
        <v>ELEC_RAD</v>
      </c>
      <c r="W1884" s="7" t="str">
        <f t="array" ref="W1884">INDEX(xlRTCLNAME,MATCH(1,(xlRTCLENDU=2)*(xlRTCLEQCL=$F1884),0))</f>
        <v>CENT_AIR</v>
      </c>
      <c r="X1884" s="7" t="str">
        <f t="array" ref="X1884">INDEX(xlRTTYNAME,MATCH(1,(xlRTTYENDU=1)*(xlRTTYEQCL=$D1884)*(xlRTEQTYPE=$E1884),0))</f>
        <v>ELEC_RAD2</v>
      </c>
      <c r="Y1884" s="7" t="str">
        <f t="array" ref="Y1884">INDEX(xlRTTYNAME,MATCH(1,(xlRTTYENDU=2)*(xlRTTYEQCL=$F1884)*(xlRTEQTYPE=$G1884),0))</f>
        <v>CENT_AIR3</v>
      </c>
    </row>
    <row r="1885" spans="1:25" x14ac:dyDescent="0.2">
      <c r="A1885" t="s">
        <v>505</v>
      </c>
      <c r="B1885" s="97">
        <v>7</v>
      </c>
      <c r="C1885" s="97">
        <v>3</v>
      </c>
      <c r="D1885" s="97">
        <v>1</v>
      </c>
      <c r="E1885" s="97">
        <v>1</v>
      </c>
      <c r="F1885" s="97">
        <v>2</v>
      </c>
      <c r="G1885" s="96">
        <v>6</v>
      </c>
      <c r="H1885" s="96">
        <v>2020</v>
      </c>
      <c r="I1885" s="97">
        <v>2050</v>
      </c>
      <c r="J1885" s="232">
        <v>1.0893999999999999</v>
      </c>
      <c r="K1885" s="232">
        <v>1.0512999999999999</v>
      </c>
      <c r="L1885" s="232">
        <v>0.85599999999999998</v>
      </c>
      <c r="M1885" s="232">
        <v>1.0208999999999999</v>
      </c>
      <c r="N1885" s="232">
        <v>0.8115</v>
      </c>
      <c r="O1885" s="232">
        <v>1.0538000000000001</v>
      </c>
      <c r="P1885" s="233">
        <v>5536.7920590696749</v>
      </c>
      <c r="Q1885" s="35">
        <f t="array" ref="Q1885">SUM(IF(($S1885&gt;=4)*($C1885='TaxCred&amp;Subs'!$D$114:$D$121)*($H1885='TaxCred&amp;Subs'!$C$114:$C$121)*($H1885&lt;='TaxCred&amp;Subs'!$C$123),'TaxCred&amp;Subs'!$E$114:$E$121,0))</f>
        <v>0</v>
      </c>
      <c r="R1885" s="233">
        <v>0</v>
      </c>
      <c r="S1885" s="97">
        <v>3</v>
      </c>
      <c r="T1885" s="97" t="s">
        <v>239</v>
      </c>
      <c r="V1885" s="7" t="str">
        <f t="array" ref="V1885">INDEX(xlRTCLNAME,MATCH(1,(xlRTCLENDU=1)*(xlRTCLEQCL=$D1885),0))</f>
        <v>ELEC_RAD</v>
      </c>
      <c r="W1885" s="7" t="str">
        <f t="array" ref="W1885">INDEX(xlRTCLNAME,MATCH(1,(xlRTCLENDU=2)*(xlRTCLEQCL=$F1885),0))</f>
        <v>CENT_AIR</v>
      </c>
      <c r="X1885" s="7" t="str">
        <f t="array" ref="X1885">INDEX(xlRTTYNAME,MATCH(1,(xlRTTYENDU=1)*(xlRTTYEQCL=$D1885)*(xlRTEQTYPE=$E1885),0))</f>
        <v>ELEC_RAD2</v>
      </c>
      <c r="Y1885" s="7" t="str">
        <f t="array" ref="Y1885">INDEX(xlRTTYNAME,MATCH(1,(xlRTTYENDU=2)*(xlRTTYEQCL=$F1885)*(xlRTEQTYPE=$G1885),0))</f>
        <v>CENT_AIR3</v>
      </c>
    </row>
    <row r="1886" spans="1:25" x14ac:dyDescent="0.2">
      <c r="A1886" t="s">
        <v>505</v>
      </c>
      <c r="B1886" s="97">
        <v>9</v>
      </c>
      <c r="C1886" s="97">
        <v>3</v>
      </c>
      <c r="D1886" s="97">
        <v>1</v>
      </c>
      <c r="E1886" s="97">
        <v>1</v>
      </c>
      <c r="F1886" s="97">
        <v>2</v>
      </c>
      <c r="G1886" s="96">
        <v>6</v>
      </c>
      <c r="H1886" s="96">
        <v>2020</v>
      </c>
      <c r="I1886" s="97">
        <v>2050</v>
      </c>
      <c r="J1886" s="232">
        <v>1.07</v>
      </c>
      <c r="K1886" s="232">
        <v>1.07</v>
      </c>
      <c r="L1886" s="232">
        <v>0.77059999999999995</v>
      </c>
      <c r="M1886" s="232">
        <v>1.0674999999999999</v>
      </c>
      <c r="N1886" s="232">
        <v>0.84340000000000004</v>
      </c>
      <c r="O1886" s="232">
        <v>1.0538000000000001</v>
      </c>
      <c r="P1886" s="233">
        <v>9774.7640285178568</v>
      </c>
      <c r="Q1886" s="35">
        <f t="array" ref="Q1886">SUM(IF(($S1886&gt;=4)*($C1886='TaxCred&amp;Subs'!$D$114:$D$121)*($H1886='TaxCred&amp;Subs'!$C$114:$C$121)*($H1886&lt;='TaxCred&amp;Subs'!$C$123),'TaxCred&amp;Subs'!$E$114:$E$121,0))</f>
        <v>0</v>
      </c>
      <c r="R1886" s="233">
        <v>0</v>
      </c>
      <c r="S1886" s="97">
        <v>3</v>
      </c>
      <c r="T1886" s="97" t="s">
        <v>239</v>
      </c>
      <c r="V1886" s="7" t="str">
        <f t="array" ref="V1886">INDEX(xlRTCLNAME,MATCH(1,(xlRTCLENDU=1)*(xlRTCLEQCL=$D1886),0))</f>
        <v>ELEC_RAD</v>
      </c>
      <c r="W1886" s="7" t="str">
        <f t="array" ref="W1886">INDEX(xlRTCLNAME,MATCH(1,(xlRTCLENDU=2)*(xlRTCLEQCL=$F1886),0))</f>
        <v>CENT_AIR</v>
      </c>
      <c r="X1886" s="7" t="str">
        <f t="array" ref="X1886">INDEX(xlRTTYNAME,MATCH(1,(xlRTTYENDU=1)*(xlRTTYEQCL=$D1886)*(xlRTEQTYPE=$E1886),0))</f>
        <v>ELEC_RAD2</v>
      </c>
      <c r="Y1886" s="7" t="str">
        <f t="array" ref="Y1886">INDEX(xlRTTYNAME,MATCH(1,(xlRTTYENDU=2)*(xlRTTYEQCL=$F1886)*(xlRTEQTYPE=$G1886),0))</f>
        <v>CENT_AIR3</v>
      </c>
    </row>
    <row r="1887" spans="1:25" x14ac:dyDescent="0.2">
      <c r="B1887" s="5">
        <v>1</v>
      </c>
      <c r="C1887" s="5">
        <v>3</v>
      </c>
      <c r="D1887" s="5">
        <v>2</v>
      </c>
      <c r="E1887" s="5">
        <v>4</v>
      </c>
      <c r="F1887" s="5">
        <v>3</v>
      </c>
      <c r="G1887" s="31">
        <v>10</v>
      </c>
      <c r="H1887" s="31">
        <v>2020</v>
      </c>
      <c r="I1887" s="5">
        <v>2050</v>
      </c>
      <c r="J1887" s="142">
        <v>1.0763</v>
      </c>
      <c r="K1887" s="142">
        <v>1.0588</v>
      </c>
      <c r="L1887" s="142">
        <v>0.7752</v>
      </c>
      <c r="M1887" s="142">
        <v>1.0437000000000001</v>
      </c>
      <c r="N1887" s="142">
        <v>0.77080000000000004</v>
      </c>
      <c r="O1887" s="142">
        <v>1.0538000000000001</v>
      </c>
      <c r="P1887" s="26">
        <v>6625.8648050255842</v>
      </c>
      <c r="Q1887" s="35">
        <f t="array" ref="Q1887">SUM(IF(($S1887&gt;=4)*($C1887='TaxCred&amp;Subs'!$D$114:$D$121)*($H1887='TaxCred&amp;Subs'!$C$114:$C$121)*($H1887&lt;='TaxCred&amp;Subs'!$C$123),'TaxCred&amp;Subs'!$E$114:$E$121,0))</f>
        <v>0</v>
      </c>
      <c r="R1887" s="143">
        <v>0</v>
      </c>
      <c r="S1887" s="5">
        <v>3</v>
      </c>
      <c r="T1887" s="5" t="s">
        <v>239</v>
      </c>
      <c r="V1887" s="7" t="str">
        <f t="array" ref="V1887">INDEX(xlRTCLNAME,MATCH(1,(xlRTCLENDU=1)*(xlRTCLEQCL=$D1887),0))</f>
        <v>ELEC_HP</v>
      </c>
      <c r="W1887" s="7" t="str">
        <f t="array" ref="W1887">INDEX(xlRTCLNAME,MATCH(1,(xlRTCLENDU=2)*(xlRTCLEQCL=$F1887),0))</f>
        <v>ELEC_HP</v>
      </c>
      <c r="X1887" s="7" t="str">
        <f t="array" ref="X1887">INDEX(xlRTTYNAME,MATCH(1,(xlRTTYENDU=1)*(xlRTTYEQCL=$D1887)*(xlRTEQTYPE=$E1887),0))</f>
        <v>ELEC_HP3</v>
      </c>
      <c r="Y1887" s="7" t="str">
        <f t="array" ref="Y1887">INDEX(xlRTTYNAME,MATCH(1,(xlRTTYENDU=2)*(xlRTTYEQCL=$F1887)*(xlRTEQTYPE=$G1887),0))</f>
        <v>ELEC_HP3</v>
      </c>
    </row>
    <row r="1888" spans="1:25" x14ac:dyDescent="0.2">
      <c r="B1888" s="5">
        <v>2</v>
      </c>
      <c r="C1888" s="5">
        <v>3</v>
      </c>
      <c r="D1888" s="5">
        <v>2</v>
      </c>
      <c r="E1888" s="5">
        <v>4</v>
      </c>
      <c r="F1888" s="5">
        <v>3</v>
      </c>
      <c r="G1888" s="31">
        <v>10</v>
      </c>
      <c r="H1888" s="31">
        <v>2020</v>
      </c>
      <c r="I1888" s="5">
        <v>2050</v>
      </c>
      <c r="J1888" s="142">
        <v>1.0746</v>
      </c>
      <c r="K1888" s="142">
        <v>1.0625</v>
      </c>
      <c r="L1888" s="142">
        <v>0.90439999999999998</v>
      </c>
      <c r="M1888" s="142">
        <v>1.1620999999999999</v>
      </c>
      <c r="N1888" s="142">
        <v>0.83340000000000003</v>
      </c>
      <c r="O1888" s="142">
        <v>1.0538000000000001</v>
      </c>
      <c r="P1888" s="26">
        <v>5421.1621132027512</v>
      </c>
      <c r="Q1888" s="35">
        <f t="array" ref="Q1888">SUM(IF(($S1888&gt;=4)*($C1888='TaxCred&amp;Subs'!$D$114:$D$121)*($H1888='TaxCred&amp;Subs'!$C$114:$C$121)*($H1888&lt;='TaxCred&amp;Subs'!$C$123),'TaxCred&amp;Subs'!$E$114:$E$121,0))</f>
        <v>0</v>
      </c>
      <c r="R1888" s="143">
        <v>0</v>
      </c>
      <c r="S1888" s="5">
        <v>3</v>
      </c>
      <c r="T1888" s="5" t="s">
        <v>239</v>
      </c>
      <c r="V1888" s="7" t="str">
        <f t="array" ref="V1888">INDEX(xlRTCLNAME,MATCH(1,(xlRTCLENDU=1)*(xlRTCLEQCL=$D1888),0))</f>
        <v>ELEC_HP</v>
      </c>
      <c r="W1888" s="7" t="str">
        <f t="array" ref="W1888">INDEX(xlRTCLNAME,MATCH(1,(xlRTCLENDU=2)*(xlRTCLEQCL=$F1888),0))</f>
        <v>ELEC_HP</v>
      </c>
      <c r="X1888" s="7" t="str">
        <f t="array" ref="X1888">INDEX(xlRTTYNAME,MATCH(1,(xlRTTYENDU=1)*(xlRTTYEQCL=$D1888)*(xlRTEQTYPE=$E1888),0))</f>
        <v>ELEC_HP3</v>
      </c>
      <c r="Y1888" s="7" t="str">
        <f t="array" ref="Y1888">INDEX(xlRTTYNAME,MATCH(1,(xlRTTYENDU=2)*(xlRTTYEQCL=$F1888)*(xlRTEQTYPE=$G1888),0))</f>
        <v>ELEC_HP3</v>
      </c>
    </row>
    <row r="1889" spans="2:25" x14ac:dyDescent="0.2">
      <c r="B1889" s="5">
        <v>3</v>
      </c>
      <c r="C1889" s="5">
        <v>3</v>
      </c>
      <c r="D1889" s="5">
        <v>2</v>
      </c>
      <c r="E1889" s="5">
        <v>4</v>
      </c>
      <c r="F1889" s="5">
        <v>3</v>
      </c>
      <c r="G1889" s="31">
        <v>10</v>
      </c>
      <c r="H1889" s="31">
        <v>2020</v>
      </c>
      <c r="I1889" s="5">
        <v>2050</v>
      </c>
      <c r="J1889" s="142">
        <v>1.0751999999999999</v>
      </c>
      <c r="K1889" s="142">
        <v>1.0651999999999999</v>
      </c>
      <c r="L1889" s="142">
        <v>0.79410000000000003</v>
      </c>
      <c r="M1889" s="142">
        <v>1.1047</v>
      </c>
      <c r="N1889" s="142">
        <v>0.8347</v>
      </c>
      <c r="O1889" s="142">
        <v>1.0538000000000001</v>
      </c>
      <c r="P1889" s="26">
        <v>8964.0098731951239</v>
      </c>
      <c r="Q1889" s="35">
        <f t="array" ref="Q1889">SUM(IF(($S1889&gt;=4)*($C1889='TaxCred&amp;Subs'!$D$114:$D$121)*($H1889='TaxCred&amp;Subs'!$C$114:$C$121)*($H1889&lt;='TaxCred&amp;Subs'!$C$123),'TaxCred&amp;Subs'!$E$114:$E$121,0))</f>
        <v>0</v>
      </c>
      <c r="R1889" s="143">
        <v>0</v>
      </c>
      <c r="S1889" s="5">
        <v>3</v>
      </c>
      <c r="T1889" s="5" t="s">
        <v>239</v>
      </c>
      <c r="V1889" s="7" t="str">
        <f t="array" ref="V1889">INDEX(xlRTCLNAME,MATCH(1,(xlRTCLENDU=1)*(xlRTCLEQCL=$D1889),0))</f>
        <v>ELEC_HP</v>
      </c>
      <c r="W1889" s="7" t="str">
        <f t="array" ref="W1889">INDEX(xlRTCLNAME,MATCH(1,(xlRTCLENDU=2)*(xlRTCLEQCL=$F1889),0))</f>
        <v>ELEC_HP</v>
      </c>
      <c r="X1889" s="7" t="str">
        <f t="array" ref="X1889">INDEX(xlRTTYNAME,MATCH(1,(xlRTTYENDU=1)*(xlRTTYEQCL=$D1889)*(xlRTEQTYPE=$E1889),0))</f>
        <v>ELEC_HP3</v>
      </c>
      <c r="Y1889" s="7" t="str">
        <f t="array" ref="Y1889">INDEX(xlRTTYNAME,MATCH(1,(xlRTTYENDU=2)*(xlRTTYEQCL=$F1889)*(xlRTEQTYPE=$G1889),0))</f>
        <v>ELEC_HP3</v>
      </c>
    </row>
    <row r="1890" spans="2:25" x14ac:dyDescent="0.2">
      <c r="B1890" s="5">
        <v>4</v>
      </c>
      <c r="C1890" s="5">
        <v>3</v>
      </c>
      <c r="D1890" s="5">
        <v>2</v>
      </c>
      <c r="E1890" s="5">
        <v>4</v>
      </c>
      <c r="F1890" s="5">
        <v>3</v>
      </c>
      <c r="G1890" s="31">
        <v>10</v>
      </c>
      <c r="H1890" s="31">
        <v>2020</v>
      </c>
      <c r="I1890" s="5">
        <v>2050</v>
      </c>
      <c r="J1890" s="142">
        <v>1.079</v>
      </c>
      <c r="K1890" s="142">
        <v>1.0541</v>
      </c>
      <c r="L1890" s="142">
        <v>0.72470000000000001</v>
      </c>
      <c r="M1890" s="142">
        <v>1.0722</v>
      </c>
      <c r="N1890" s="142">
        <v>0.76919999999999999</v>
      </c>
      <c r="O1890" s="142">
        <v>1.0538000000000001</v>
      </c>
      <c r="P1890" s="26">
        <v>7205.3590686144698</v>
      </c>
      <c r="Q1890" s="35">
        <f t="array" ref="Q1890">SUM(IF(($S1890&gt;=4)*($C1890='TaxCred&amp;Subs'!$D$114:$D$121)*($H1890='TaxCred&amp;Subs'!$C$114:$C$121)*($H1890&lt;='TaxCred&amp;Subs'!$C$123),'TaxCred&amp;Subs'!$E$114:$E$121,0))</f>
        <v>0</v>
      </c>
      <c r="R1890" s="143">
        <v>0</v>
      </c>
      <c r="S1890" s="5">
        <v>3</v>
      </c>
      <c r="T1890" s="5" t="s">
        <v>239</v>
      </c>
      <c r="V1890" s="7" t="str">
        <f t="array" ref="V1890">INDEX(xlRTCLNAME,MATCH(1,(xlRTCLENDU=1)*(xlRTCLEQCL=$D1890),0))</f>
        <v>ELEC_HP</v>
      </c>
      <c r="W1890" s="7" t="str">
        <f t="array" ref="W1890">INDEX(xlRTCLNAME,MATCH(1,(xlRTCLENDU=2)*(xlRTCLEQCL=$F1890),0))</f>
        <v>ELEC_HP</v>
      </c>
      <c r="X1890" s="7" t="str">
        <f t="array" ref="X1890">INDEX(xlRTTYNAME,MATCH(1,(xlRTTYENDU=1)*(xlRTTYEQCL=$D1890)*(xlRTEQTYPE=$E1890),0))</f>
        <v>ELEC_HP3</v>
      </c>
      <c r="Y1890" s="7" t="str">
        <f t="array" ref="Y1890">INDEX(xlRTTYNAME,MATCH(1,(xlRTTYENDU=2)*(xlRTTYEQCL=$F1890)*(xlRTEQTYPE=$G1890),0))</f>
        <v>ELEC_HP3</v>
      </c>
    </row>
    <row r="1891" spans="2:25" x14ac:dyDescent="0.2">
      <c r="B1891" s="5">
        <v>5</v>
      </c>
      <c r="C1891" s="5">
        <v>3</v>
      </c>
      <c r="D1891" s="5">
        <v>2</v>
      </c>
      <c r="E1891" s="5">
        <v>4</v>
      </c>
      <c r="F1891" s="5">
        <v>3</v>
      </c>
      <c r="G1891" s="31">
        <v>10</v>
      </c>
      <c r="H1891" s="31">
        <v>2020</v>
      </c>
      <c r="I1891" s="5">
        <v>2050</v>
      </c>
      <c r="J1891" s="142">
        <v>1.08</v>
      </c>
      <c r="K1891" s="142">
        <v>1.0583</v>
      </c>
      <c r="L1891" s="142">
        <v>0.96909999999999996</v>
      </c>
      <c r="M1891" s="142">
        <v>1.1201000000000001</v>
      </c>
      <c r="N1891" s="142">
        <v>0.82640000000000002</v>
      </c>
      <c r="O1891" s="142">
        <v>1.0538000000000001</v>
      </c>
      <c r="P1891" s="26">
        <v>3111.2522643728089</v>
      </c>
      <c r="Q1891" s="35">
        <f t="array" ref="Q1891">SUM(IF(($S1891&gt;=4)*($C1891='TaxCred&amp;Subs'!$D$114:$D$121)*($H1891='TaxCred&amp;Subs'!$C$114:$C$121)*($H1891&lt;='TaxCred&amp;Subs'!$C$123),'TaxCred&amp;Subs'!$E$114:$E$121,0))</f>
        <v>0</v>
      </c>
      <c r="R1891" s="143">
        <v>0</v>
      </c>
      <c r="S1891" s="5">
        <v>3</v>
      </c>
      <c r="T1891" s="5" t="s">
        <v>239</v>
      </c>
      <c r="V1891" s="7" t="str">
        <f t="array" ref="V1891">INDEX(xlRTCLNAME,MATCH(1,(xlRTCLENDU=1)*(xlRTCLEQCL=$D1891),0))</f>
        <v>ELEC_HP</v>
      </c>
      <c r="W1891" s="7" t="str">
        <f t="array" ref="W1891">INDEX(xlRTCLNAME,MATCH(1,(xlRTCLENDU=2)*(xlRTCLEQCL=$F1891),0))</f>
        <v>ELEC_HP</v>
      </c>
      <c r="X1891" s="7" t="str">
        <f t="array" ref="X1891">INDEX(xlRTTYNAME,MATCH(1,(xlRTTYENDU=1)*(xlRTTYEQCL=$D1891)*(xlRTEQTYPE=$E1891),0))</f>
        <v>ELEC_HP3</v>
      </c>
      <c r="Y1891" s="7" t="str">
        <f t="array" ref="Y1891">INDEX(xlRTTYNAME,MATCH(1,(xlRTTYENDU=2)*(xlRTTYEQCL=$F1891)*(xlRTEQTYPE=$G1891),0))</f>
        <v>ELEC_HP3</v>
      </c>
    </row>
    <row r="1892" spans="2:25" x14ac:dyDescent="0.2">
      <c r="B1892" s="5">
        <v>6</v>
      </c>
      <c r="C1892" s="5">
        <v>3</v>
      </c>
      <c r="D1892" s="5">
        <v>2</v>
      </c>
      <c r="E1892" s="5">
        <v>4</v>
      </c>
      <c r="F1892" s="5">
        <v>3</v>
      </c>
      <c r="G1892" s="31">
        <v>10</v>
      </c>
      <c r="H1892" s="31">
        <v>2020</v>
      </c>
      <c r="I1892" s="5">
        <v>2050</v>
      </c>
      <c r="J1892" s="142">
        <v>1.0784</v>
      </c>
      <c r="K1892" s="142">
        <v>1.0667</v>
      </c>
      <c r="L1892" s="142">
        <v>0.80210000000000004</v>
      </c>
      <c r="M1892" s="142">
        <v>1.069</v>
      </c>
      <c r="N1892" s="142">
        <v>0.79679999999999995</v>
      </c>
      <c r="O1892" s="142">
        <v>1.0538000000000001</v>
      </c>
      <c r="P1892" s="26">
        <v>4818.8107672913338</v>
      </c>
      <c r="Q1892" s="35">
        <f t="array" ref="Q1892">SUM(IF(($S1892&gt;=4)*($C1892='TaxCred&amp;Subs'!$D$114:$D$121)*($H1892='TaxCred&amp;Subs'!$C$114:$C$121)*($H1892&lt;='TaxCred&amp;Subs'!$C$123),'TaxCred&amp;Subs'!$E$114:$E$121,0))</f>
        <v>0</v>
      </c>
      <c r="R1892" s="143">
        <v>0</v>
      </c>
      <c r="S1892" s="5">
        <v>3</v>
      </c>
      <c r="T1892" s="5" t="s">
        <v>239</v>
      </c>
      <c r="V1892" s="7" t="str">
        <f t="array" ref="V1892">INDEX(xlRTCLNAME,MATCH(1,(xlRTCLENDU=1)*(xlRTCLEQCL=$D1892),0))</f>
        <v>ELEC_HP</v>
      </c>
      <c r="W1892" s="7" t="str">
        <f t="array" ref="W1892">INDEX(xlRTCLNAME,MATCH(1,(xlRTCLENDU=2)*(xlRTCLEQCL=$F1892),0))</f>
        <v>ELEC_HP</v>
      </c>
      <c r="X1892" s="7" t="str">
        <f t="array" ref="X1892">INDEX(xlRTTYNAME,MATCH(1,(xlRTTYENDU=1)*(xlRTTYEQCL=$D1892)*(xlRTEQTYPE=$E1892),0))</f>
        <v>ELEC_HP3</v>
      </c>
      <c r="Y1892" s="7" t="str">
        <f t="array" ref="Y1892">INDEX(xlRTTYNAME,MATCH(1,(xlRTTYENDU=2)*(xlRTTYEQCL=$F1892)*(xlRTEQTYPE=$G1892),0))</f>
        <v>ELEC_HP3</v>
      </c>
    </row>
    <row r="1893" spans="2:25" x14ac:dyDescent="0.2">
      <c r="B1893" s="5">
        <v>7</v>
      </c>
      <c r="C1893" s="5">
        <v>3</v>
      </c>
      <c r="D1893" s="5">
        <v>2</v>
      </c>
      <c r="E1893" s="5">
        <v>4</v>
      </c>
      <c r="F1893" s="5">
        <v>3</v>
      </c>
      <c r="G1893" s="31">
        <v>10</v>
      </c>
      <c r="H1893" s="31">
        <v>2020</v>
      </c>
      <c r="I1893" s="5">
        <v>2050</v>
      </c>
      <c r="J1893" s="142">
        <v>1.0926</v>
      </c>
      <c r="K1893" s="142">
        <v>1.05</v>
      </c>
      <c r="L1893" s="142">
        <v>0.86019999999999996</v>
      </c>
      <c r="M1893" s="142">
        <v>1.08</v>
      </c>
      <c r="N1893" s="142">
        <v>0.81159999999999999</v>
      </c>
      <c r="O1893" s="142">
        <v>1.0538000000000001</v>
      </c>
      <c r="P1893" s="26">
        <v>3678.6457196732954</v>
      </c>
      <c r="Q1893" s="35">
        <f t="array" ref="Q1893">SUM(IF(($S1893&gt;=4)*($C1893='TaxCred&amp;Subs'!$D$114:$D$121)*($H1893='TaxCred&amp;Subs'!$C$114:$C$121)*($H1893&lt;='TaxCred&amp;Subs'!$C$123),'TaxCred&amp;Subs'!$E$114:$E$121,0))</f>
        <v>0</v>
      </c>
      <c r="R1893" s="143">
        <v>0</v>
      </c>
      <c r="S1893" s="5">
        <v>3</v>
      </c>
      <c r="T1893" s="5" t="s">
        <v>239</v>
      </c>
      <c r="V1893" s="7" t="str">
        <f t="array" ref="V1893">INDEX(xlRTCLNAME,MATCH(1,(xlRTCLENDU=1)*(xlRTCLEQCL=$D1893),0))</f>
        <v>ELEC_HP</v>
      </c>
      <c r="W1893" s="7" t="str">
        <f t="array" ref="W1893">INDEX(xlRTCLNAME,MATCH(1,(xlRTCLENDU=2)*(xlRTCLEQCL=$F1893),0))</f>
        <v>ELEC_HP</v>
      </c>
      <c r="X1893" s="7" t="str">
        <f t="array" ref="X1893">INDEX(xlRTTYNAME,MATCH(1,(xlRTTYENDU=1)*(xlRTTYEQCL=$D1893)*(xlRTEQTYPE=$E1893),0))</f>
        <v>ELEC_HP3</v>
      </c>
      <c r="Y1893" s="7" t="str">
        <f t="array" ref="Y1893">INDEX(xlRTTYNAME,MATCH(1,(xlRTTYENDU=2)*(xlRTTYEQCL=$F1893)*(xlRTEQTYPE=$G1893),0))</f>
        <v>ELEC_HP3</v>
      </c>
    </row>
    <row r="1894" spans="2:25" x14ac:dyDescent="0.2">
      <c r="B1894" s="5">
        <v>8</v>
      </c>
      <c r="C1894" s="5">
        <v>3</v>
      </c>
      <c r="D1894" s="5">
        <v>2</v>
      </c>
      <c r="E1894" s="5">
        <v>4</v>
      </c>
      <c r="F1894" s="5">
        <v>3</v>
      </c>
      <c r="G1894" s="31">
        <v>10</v>
      </c>
      <c r="H1894" s="31">
        <v>2020</v>
      </c>
      <c r="I1894" s="5">
        <v>2050</v>
      </c>
      <c r="J1894" s="142">
        <v>1.0847</v>
      </c>
      <c r="K1894" s="142">
        <v>1.0556000000000001</v>
      </c>
      <c r="L1894" s="142">
        <v>0.81379999999999997</v>
      </c>
      <c r="M1894" s="142">
        <v>1.1181000000000001</v>
      </c>
      <c r="N1894" s="142">
        <v>0.79769999999999996</v>
      </c>
      <c r="O1894" s="142">
        <v>1.0538000000000001</v>
      </c>
      <c r="P1894" s="26">
        <v>5714.2705806328595</v>
      </c>
      <c r="Q1894" s="35">
        <f t="array" ref="Q1894">SUM(IF(($S1894&gt;=4)*($C1894='TaxCred&amp;Subs'!$D$114:$D$121)*($H1894='TaxCred&amp;Subs'!$C$114:$C$121)*($H1894&lt;='TaxCred&amp;Subs'!$C$123),'TaxCred&amp;Subs'!$E$114:$E$121,0))</f>
        <v>0</v>
      </c>
      <c r="R1894" s="143">
        <v>0</v>
      </c>
      <c r="S1894" s="5">
        <v>3</v>
      </c>
      <c r="T1894" s="5" t="s">
        <v>239</v>
      </c>
      <c r="V1894" s="7" t="str">
        <f t="array" ref="V1894">INDEX(xlRTCLNAME,MATCH(1,(xlRTCLENDU=1)*(xlRTCLEQCL=$D1894),0))</f>
        <v>ELEC_HP</v>
      </c>
      <c r="W1894" s="7" t="str">
        <f t="array" ref="W1894">INDEX(xlRTCLNAME,MATCH(1,(xlRTCLENDU=2)*(xlRTCLEQCL=$F1894),0))</f>
        <v>ELEC_HP</v>
      </c>
      <c r="X1894" s="7" t="str">
        <f t="array" ref="X1894">INDEX(xlRTTYNAME,MATCH(1,(xlRTTYENDU=1)*(xlRTTYEQCL=$D1894)*(xlRTEQTYPE=$E1894),0))</f>
        <v>ELEC_HP3</v>
      </c>
      <c r="Y1894" s="7" t="str">
        <f t="array" ref="Y1894">INDEX(xlRTTYNAME,MATCH(1,(xlRTTYENDU=2)*(xlRTTYEQCL=$F1894)*(xlRTEQTYPE=$G1894),0))</f>
        <v>ELEC_HP3</v>
      </c>
    </row>
    <row r="1895" spans="2:25" x14ac:dyDescent="0.2">
      <c r="B1895" s="5">
        <v>9</v>
      </c>
      <c r="C1895" s="5">
        <v>3</v>
      </c>
      <c r="D1895" s="5">
        <v>2</v>
      </c>
      <c r="E1895" s="5">
        <v>4</v>
      </c>
      <c r="F1895" s="5">
        <v>3</v>
      </c>
      <c r="G1895" s="31">
        <v>10</v>
      </c>
      <c r="H1895" s="31">
        <v>2020</v>
      </c>
      <c r="I1895" s="5">
        <v>2050</v>
      </c>
      <c r="J1895" s="142">
        <v>1.075</v>
      </c>
      <c r="K1895" s="142">
        <v>1.0625</v>
      </c>
      <c r="L1895" s="142">
        <v>0.87329999999999997</v>
      </c>
      <c r="M1895" s="142">
        <v>1.1548</v>
      </c>
      <c r="N1895" s="142">
        <v>0.83299999999999996</v>
      </c>
      <c r="O1895" s="142">
        <v>1.0538000000000001</v>
      </c>
      <c r="P1895" s="26">
        <v>5921.3288557899086</v>
      </c>
      <c r="Q1895" s="35">
        <f t="array" ref="Q1895">SUM(IF(($S1895&gt;=4)*($C1895='TaxCred&amp;Subs'!$D$114:$D$121)*($H1895='TaxCred&amp;Subs'!$C$114:$C$121)*($H1895&lt;='TaxCred&amp;Subs'!$C$123),'TaxCred&amp;Subs'!$E$114:$E$121,0))</f>
        <v>0</v>
      </c>
      <c r="R1895" s="143">
        <v>0</v>
      </c>
      <c r="S1895" s="5">
        <v>3</v>
      </c>
      <c r="T1895" s="5" t="s">
        <v>239</v>
      </c>
      <c r="V1895" s="7" t="str">
        <f t="array" ref="V1895">INDEX(xlRTCLNAME,MATCH(1,(xlRTCLENDU=1)*(xlRTCLEQCL=$D1895),0))</f>
        <v>ELEC_HP</v>
      </c>
      <c r="W1895" s="7" t="str">
        <f t="array" ref="W1895">INDEX(xlRTCLNAME,MATCH(1,(xlRTCLENDU=2)*(xlRTCLEQCL=$F1895),0))</f>
        <v>ELEC_HP</v>
      </c>
      <c r="X1895" s="7" t="str">
        <f t="array" ref="X1895">INDEX(xlRTTYNAME,MATCH(1,(xlRTTYENDU=1)*(xlRTTYEQCL=$D1895)*(xlRTEQTYPE=$E1895),0))</f>
        <v>ELEC_HP3</v>
      </c>
      <c r="Y1895" s="7" t="str">
        <f t="array" ref="Y1895">INDEX(xlRTTYNAME,MATCH(1,(xlRTTYENDU=2)*(xlRTTYEQCL=$F1895)*(xlRTEQTYPE=$G1895),0))</f>
        <v>ELEC_HP3</v>
      </c>
    </row>
    <row r="1896" spans="2:25" x14ac:dyDescent="0.2">
      <c r="B1896" s="5">
        <v>2</v>
      </c>
      <c r="C1896" s="5">
        <v>3</v>
      </c>
      <c r="D1896" s="5">
        <v>3</v>
      </c>
      <c r="E1896" s="5">
        <v>8</v>
      </c>
      <c r="F1896" s="5">
        <v>2</v>
      </c>
      <c r="G1896" s="31">
        <v>6</v>
      </c>
      <c r="H1896" s="31">
        <v>2020</v>
      </c>
      <c r="I1896" s="31">
        <v>2028</v>
      </c>
      <c r="J1896" s="142">
        <v>1.0670999999999999</v>
      </c>
      <c r="K1896" s="142">
        <v>1.0638000000000001</v>
      </c>
      <c r="L1896" s="142">
        <v>0.87570000000000003</v>
      </c>
      <c r="M1896" s="142">
        <v>1.1334</v>
      </c>
      <c r="N1896" s="142">
        <v>0.84609999999999996</v>
      </c>
      <c r="O1896" s="142">
        <v>1.0538000000000001</v>
      </c>
      <c r="P1896" s="26">
        <v>6801.9987923345025</v>
      </c>
      <c r="Q1896" s="35">
        <f t="array" ref="Q1896">SUM(IF(($S1896&gt;=4)*($C1896='TaxCred&amp;Subs'!$D$114:$D$121)*($H1896='TaxCred&amp;Subs'!$C$114:$C$121)*($H1896&lt;='TaxCred&amp;Subs'!$C$123),'TaxCred&amp;Subs'!$E$114:$E$121,0))</f>
        <v>0</v>
      </c>
      <c r="R1896" s="143">
        <v>0</v>
      </c>
      <c r="S1896" s="5">
        <v>3</v>
      </c>
      <c r="T1896" s="5" t="s">
        <v>239</v>
      </c>
      <c r="V1896" s="7" t="str">
        <f t="array" ref="V1896">INDEX(xlRTCLNAME,MATCH(1,(xlRTCLENDU=1)*(xlRTCLEQCL=$D1896),0))</f>
        <v>NG_FA</v>
      </c>
      <c r="W1896" s="7" t="str">
        <f t="array" ref="W1896">INDEX(xlRTCLNAME,MATCH(1,(xlRTCLENDU=2)*(xlRTCLEQCL=$F1896),0))</f>
        <v>CENT_AIR</v>
      </c>
      <c r="X1896" s="7" t="str">
        <f t="array" ref="X1896">INDEX(xlRTTYNAME,MATCH(1,(xlRTTYENDU=1)*(xlRTTYEQCL=$D1896)*(xlRTEQTYPE=$E1896),0))</f>
        <v>NG_FA3</v>
      </c>
      <c r="Y1896" s="7" t="str">
        <f t="array" ref="Y1896">INDEX(xlRTTYNAME,MATCH(1,(xlRTTYENDU=2)*(xlRTTYEQCL=$F1896)*(xlRTEQTYPE=$G1896),0))</f>
        <v>CENT_AIR3</v>
      </c>
    </row>
    <row r="1897" spans="2:25" x14ac:dyDescent="0.2">
      <c r="B1897" s="152">
        <v>2</v>
      </c>
      <c r="C1897" s="152">
        <v>3</v>
      </c>
      <c r="D1897" s="152">
        <v>3</v>
      </c>
      <c r="E1897" s="152">
        <v>9</v>
      </c>
      <c r="F1897" s="152">
        <v>2</v>
      </c>
      <c r="G1897" s="152">
        <v>6</v>
      </c>
      <c r="H1897" s="152">
        <v>2029</v>
      </c>
      <c r="I1897" s="152">
        <v>2050</v>
      </c>
      <c r="J1897" s="229">
        <v>1.0670999999999999</v>
      </c>
      <c r="K1897" s="229">
        <v>1.0638000000000001</v>
      </c>
      <c r="L1897" s="229">
        <v>0.87570000000000003</v>
      </c>
      <c r="M1897" s="229">
        <v>1.1334</v>
      </c>
      <c r="N1897" s="229">
        <v>0.84609999999999996</v>
      </c>
      <c r="O1897" s="229">
        <v>1.0538000000000001</v>
      </c>
      <c r="P1897" s="155">
        <v>6801.9987923345025</v>
      </c>
      <c r="Q1897" s="41">
        <f t="array" ref="Q1897">SUM(IF(($S1897&gt;=4)*($C1897='TaxCred&amp;Subs'!$D$114:$D$121)*($H1897='TaxCred&amp;Subs'!$C$114:$C$121)*($H1897&lt;='TaxCred&amp;Subs'!$C$123),'TaxCred&amp;Subs'!$E$114:$E$121,0))</f>
        <v>0</v>
      </c>
      <c r="R1897" s="230">
        <v>0</v>
      </c>
      <c r="S1897" s="152">
        <v>3</v>
      </c>
      <c r="T1897" s="152" t="s">
        <v>239</v>
      </c>
      <c r="V1897" s="7" t="str">
        <f t="array" ref="V1897">INDEX(xlRTCLNAME,MATCH(1,(xlRTCLENDU=1)*(xlRTCLEQCL=$D1897),0))</f>
        <v>NG_FA</v>
      </c>
      <c r="W1897" s="7" t="str">
        <f t="array" ref="W1897">INDEX(xlRTCLNAME,MATCH(1,(xlRTCLENDU=2)*(xlRTCLEQCL=$F1897),0))</f>
        <v>CENT_AIR</v>
      </c>
      <c r="X1897" s="7" t="str">
        <f t="array" ref="X1897">INDEX(xlRTTYNAME,MATCH(1,(xlRTTYENDU=1)*(xlRTTYEQCL=$D1897)*(xlRTEQTYPE=$E1897),0))</f>
        <v>NG_FA4</v>
      </c>
      <c r="Y1897" s="7" t="str">
        <f t="array" ref="Y1897">INDEX(xlRTTYNAME,MATCH(1,(xlRTTYENDU=2)*(xlRTTYEQCL=$F1897)*(xlRTEQTYPE=$G1897),0))</f>
        <v>CENT_AIR3</v>
      </c>
    </row>
    <row r="1898" spans="2:25" x14ac:dyDescent="0.2">
      <c r="B1898" s="5">
        <v>5</v>
      </c>
      <c r="C1898" s="5">
        <v>3</v>
      </c>
      <c r="D1898" s="5">
        <v>3</v>
      </c>
      <c r="E1898" s="5">
        <v>8</v>
      </c>
      <c r="F1898" s="5">
        <v>2</v>
      </c>
      <c r="G1898" s="31">
        <v>6</v>
      </c>
      <c r="H1898" s="31">
        <v>2020</v>
      </c>
      <c r="I1898" s="31">
        <v>2028</v>
      </c>
      <c r="J1898" s="142">
        <v>1.0559000000000001</v>
      </c>
      <c r="K1898" s="142">
        <v>1.0444</v>
      </c>
      <c r="L1898" s="142">
        <v>0.84960000000000002</v>
      </c>
      <c r="M1898" s="142">
        <v>1.0552999999999999</v>
      </c>
      <c r="N1898" s="142">
        <v>0.83460000000000001</v>
      </c>
      <c r="O1898" s="142">
        <v>1.0538000000000001</v>
      </c>
      <c r="P1898" s="26">
        <v>4637.2986429653483</v>
      </c>
      <c r="Q1898" s="35">
        <f t="array" ref="Q1898">SUM(IF(($S1898&gt;=4)*($C1898='TaxCred&amp;Subs'!$D$114:$D$121)*($H1898='TaxCred&amp;Subs'!$C$114:$C$121)*($H1898&lt;='TaxCred&amp;Subs'!$C$123),'TaxCred&amp;Subs'!$E$114:$E$121,0))</f>
        <v>0</v>
      </c>
      <c r="R1898" s="143">
        <v>0</v>
      </c>
      <c r="S1898" s="5">
        <v>3</v>
      </c>
      <c r="T1898" s="5" t="s">
        <v>239</v>
      </c>
      <c r="V1898" s="7" t="str">
        <f t="array" ref="V1898">INDEX(xlRTCLNAME,MATCH(1,(xlRTCLENDU=1)*(xlRTCLEQCL=$D1898),0))</f>
        <v>NG_FA</v>
      </c>
      <c r="W1898" s="7" t="str">
        <f t="array" ref="W1898">INDEX(xlRTCLNAME,MATCH(1,(xlRTCLENDU=2)*(xlRTCLEQCL=$F1898),0))</f>
        <v>CENT_AIR</v>
      </c>
      <c r="X1898" s="7" t="str">
        <f t="array" ref="X1898">INDEX(xlRTTYNAME,MATCH(1,(xlRTTYENDU=1)*(xlRTTYEQCL=$D1898)*(xlRTEQTYPE=$E1898),0))</f>
        <v>NG_FA3</v>
      </c>
      <c r="Y1898" s="7" t="str">
        <f t="array" ref="Y1898">INDEX(xlRTTYNAME,MATCH(1,(xlRTTYENDU=2)*(xlRTTYEQCL=$F1898)*(xlRTEQTYPE=$G1898),0))</f>
        <v>CENT_AIR3</v>
      </c>
    </row>
    <row r="1899" spans="2:25" x14ac:dyDescent="0.2">
      <c r="B1899" s="152">
        <v>5</v>
      </c>
      <c r="C1899" s="152">
        <v>3</v>
      </c>
      <c r="D1899" s="152">
        <v>3</v>
      </c>
      <c r="E1899" s="152">
        <v>9</v>
      </c>
      <c r="F1899" s="152">
        <v>2</v>
      </c>
      <c r="G1899" s="152">
        <v>6</v>
      </c>
      <c r="H1899" s="152">
        <v>2029</v>
      </c>
      <c r="I1899" s="152">
        <v>2050</v>
      </c>
      <c r="J1899" s="229">
        <v>1.0559000000000001</v>
      </c>
      <c r="K1899" s="229">
        <v>1.0444</v>
      </c>
      <c r="L1899" s="229">
        <v>0.84960000000000002</v>
      </c>
      <c r="M1899" s="229">
        <v>1.0552999999999999</v>
      </c>
      <c r="N1899" s="229">
        <v>0.83460000000000001</v>
      </c>
      <c r="O1899" s="229">
        <v>1.0538000000000001</v>
      </c>
      <c r="P1899" s="155">
        <v>4637.2986429653483</v>
      </c>
      <c r="Q1899" s="41">
        <f t="array" ref="Q1899">SUM(IF(($S1899&gt;=4)*($C1899='TaxCred&amp;Subs'!$D$114:$D$121)*($H1899='TaxCred&amp;Subs'!$C$114:$C$121)*($H1899&lt;='TaxCred&amp;Subs'!$C$123),'TaxCred&amp;Subs'!$E$114:$E$121,0))</f>
        <v>0</v>
      </c>
      <c r="R1899" s="230">
        <v>0</v>
      </c>
      <c r="S1899" s="152">
        <v>3</v>
      </c>
      <c r="T1899" s="152" t="s">
        <v>239</v>
      </c>
      <c r="V1899" s="7" t="str">
        <f t="array" ref="V1899">INDEX(xlRTCLNAME,MATCH(1,(xlRTCLENDU=1)*(xlRTCLEQCL=$D1899),0))</f>
        <v>NG_FA</v>
      </c>
      <c r="W1899" s="7" t="str">
        <f t="array" ref="W1899">INDEX(xlRTCLNAME,MATCH(1,(xlRTCLENDU=2)*(xlRTCLEQCL=$F1899),0))</f>
        <v>CENT_AIR</v>
      </c>
      <c r="X1899" s="7" t="str">
        <f t="array" ref="X1899">INDEX(xlRTTYNAME,MATCH(1,(xlRTTYENDU=1)*(xlRTTYEQCL=$D1899)*(xlRTEQTYPE=$E1899),0))</f>
        <v>NG_FA4</v>
      </c>
      <c r="Y1899" s="7" t="str">
        <f t="array" ref="Y1899">INDEX(xlRTTYNAME,MATCH(1,(xlRTTYENDU=2)*(xlRTTYEQCL=$F1899)*(xlRTEQTYPE=$G1899),0))</f>
        <v>CENT_AIR3</v>
      </c>
    </row>
    <row r="1900" spans="2:25" x14ac:dyDescent="0.2">
      <c r="B1900" s="5">
        <v>6</v>
      </c>
      <c r="C1900" s="5">
        <v>3</v>
      </c>
      <c r="D1900" s="5">
        <v>3</v>
      </c>
      <c r="E1900" s="5">
        <v>8</v>
      </c>
      <c r="F1900" s="5">
        <v>2</v>
      </c>
      <c r="G1900" s="31">
        <v>6</v>
      </c>
      <c r="H1900" s="31">
        <v>2020</v>
      </c>
      <c r="I1900" s="31">
        <v>2028</v>
      </c>
      <c r="J1900" s="142">
        <v>1.0872999999999999</v>
      </c>
      <c r="K1900" s="142">
        <v>1.0581</v>
      </c>
      <c r="L1900" s="142">
        <v>0.83140000000000003</v>
      </c>
      <c r="M1900" s="142">
        <v>1.0811999999999999</v>
      </c>
      <c r="N1900" s="142">
        <v>0.8044</v>
      </c>
      <c r="O1900" s="142">
        <v>1.0538000000000001</v>
      </c>
      <c r="P1900" s="26">
        <v>5187.2131529603703</v>
      </c>
      <c r="Q1900" s="35">
        <f t="array" ref="Q1900">SUM(IF(($S1900&gt;=4)*($C1900='TaxCred&amp;Subs'!$D$114:$D$121)*($H1900='TaxCred&amp;Subs'!$C$114:$C$121)*($H1900&lt;='TaxCred&amp;Subs'!$C$123),'TaxCred&amp;Subs'!$E$114:$E$121,0))</f>
        <v>0</v>
      </c>
      <c r="R1900" s="143">
        <v>0</v>
      </c>
      <c r="S1900" s="5">
        <v>3</v>
      </c>
      <c r="T1900" s="5" t="s">
        <v>239</v>
      </c>
      <c r="V1900" s="7" t="str">
        <f t="array" ref="V1900">INDEX(xlRTCLNAME,MATCH(1,(xlRTCLENDU=1)*(xlRTCLEQCL=$D1900),0))</f>
        <v>NG_FA</v>
      </c>
      <c r="W1900" s="7" t="str">
        <f t="array" ref="W1900">INDEX(xlRTCLNAME,MATCH(1,(xlRTCLENDU=2)*(xlRTCLEQCL=$F1900),0))</f>
        <v>CENT_AIR</v>
      </c>
      <c r="X1900" s="7" t="str">
        <f t="array" ref="X1900">INDEX(xlRTTYNAME,MATCH(1,(xlRTTYENDU=1)*(xlRTTYEQCL=$D1900)*(xlRTEQTYPE=$E1900),0))</f>
        <v>NG_FA3</v>
      </c>
      <c r="Y1900" s="7" t="str">
        <f t="array" ref="Y1900">INDEX(xlRTTYNAME,MATCH(1,(xlRTTYENDU=2)*(xlRTTYEQCL=$F1900)*(xlRTEQTYPE=$G1900),0))</f>
        <v>CENT_AIR3</v>
      </c>
    </row>
    <row r="1901" spans="2:25" x14ac:dyDescent="0.2">
      <c r="B1901" s="152">
        <v>6</v>
      </c>
      <c r="C1901" s="152">
        <v>3</v>
      </c>
      <c r="D1901" s="152">
        <v>3</v>
      </c>
      <c r="E1901" s="152">
        <v>9</v>
      </c>
      <c r="F1901" s="152">
        <v>2</v>
      </c>
      <c r="G1901" s="152">
        <v>6</v>
      </c>
      <c r="H1901" s="152">
        <v>2029</v>
      </c>
      <c r="I1901" s="152">
        <v>2050</v>
      </c>
      <c r="J1901" s="229">
        <v>1.0872999999999999</v>
      </c>
      <c r="K1901" s="229">
        <v>1.0581</v>
      </c>
      <c r="L1901" s="229">
        <v>0.83140000000000003</v>
      </c>
      <c r="M1901" s="229">
        <v>1.0811999999999999</v>
      </c>
      <c r="N1901" s="229">
        <v>0.8044</v>
      </c>
      <c r="O1901" s="229">
        <v>1.0538000000000001</v>
      </c>
      <c r="P1901" s="155">
        <v>5187.2131529603703</v>
      </c>
      <c r="Q1901" s="41">
        <f t="array" ref="Q1901">SUM(IF(($S1901&gt;=4)*($C1901='TaxCred&amp;Subs'!$D$114:$D$121)*($H1901='TaxCred&amp;Subs'!$C$114:$C$121)*($H1901&lt;='TaxCred&amp;Subs'!$C$123),'TaxCred&amp;Subs'!$E$114:$E$121,0))</f>
        <v>0</v>
      </c>
      <c r="R1901" s="230">
        <v>0</v>
      </c>
      <c r="S1901" s="152">
        <v>3</v>
      </c>
      <c r="T1901" s="152" t="s">
        <v>239</v>
      </c>
      <c r="V1901" s="7" t="str">
        <f t="array" ref="V1901">INDEX(xlRTCLNAME,MATCH(1,(xlRTCLENDU=1)*(xlRTCLEQCL=$D1901),0))</f>
        <v>NG_FA</v>
      </c>
      <c r="W1901" s="7" t="str">
        <f t="array" ref="W1901">INDEX(xlRTCLNAME,MATCH(1,(xlRTCLENDU=2)*(xlRTCLEQCL=$F1901),0))</f>
        <v>CENT_AIR</v>
      </c>
      <c r="X1901" s="7" t="str">
        <f t="array" ref="X1901">INDEX(xlRTTYNAME,MATCH(1,(xlRTTYENDU=1)*(xlRTTYEQCL=$D1901)*(xlRTEQTYPE=$E1901),0))</f>
        <v>NG_FA4</v>
      </c>
      <c r="Y1901" s="7" t="str">
        <f t="array" ref="Y1901">INDEX(xlRTTYNAME,MATCH(1,(xlRTTYENDU=2)*(xlRTTYEQCL=$F1901)*(xlRTEQTYPE=$G1901),0))</f>
        <v>CENT_AIR3</v>
      </c>
    </row>
    <row r="1902" spans="2:25" x14ac:dyDescent="0.2">
      <c r="B1902" s="5">
        <v>7</v>
      </c>
      <c r="C1902" s="5">
        <v>3</v>
      </c>
      <c r="D1902" s="5">
        <v>3</v>
      </c>
      <c r="E1902" s="5">
        <v>8</v>
      </c>
      <c r="F1902" s="5">
        <v>2</v>
      </c>
      <c r="G1902" s="31">
        <v>6</v>
      </c>
      <c r="H1902" s="31">
        <v>2020</v>
      </c>
      <c r="I1902" s="31">
        <v>2028</v>
      </c>
      <c r="J1902" s="142">
        <v>1.0914999999999999</v>
      </c>
      <c r="K1902" s="142">
        <v>1.0496000000000001</v>
      </c>
      <c r="L1902" s="142">
        <v>0.87839999999999996</v>
      </c>
      <c r="M1902" s="142">
        <v>1.0842000000000001</v>
      </c>
      <c r="N1902" s="142">
        <v>0.81759999999999999</v>
      </c>
      <c r="O1902" s="142">
        <v>1.0538000000000001</v>
      </c>
      <c r="P1902" s="26">
        <v>3592.5955274002358</v>
      </c>
      <c r="Q1902" s="35">
        <f t="array" ref="Q1902">SUM(IF(($S1902&gt;=4)*($C1902='TaxCred&amp;Subs'!$D$114:$D$121)*($H1902='TaxCred&amp;Subs'!$C$114:$C$121)*($H1902&lt;='TaxCred&amp;Subs'!$C$123),'TaxCred&amp;Subs'!$E$114:$E$121,0))</f>
        <v>0</v>
      </c>
      <c r="R1902" s="143">
        <v>0</v>
      </c>
      <c r="S1902" s="5">
        <v>3</v>
      </c>
      <c r="T1902" s="5" t="s">
        <v>239</v>
      </c>
      <c r="V1902" s="7" t="str">
        <f t="array" ref="V1902">INDEX(xlRTCLNAME,MATCH(1,(xlRTCLENDU=1)*(xlRTCLEQCL=$D1902),0))</f>
        <v>NG_FA</v>
      </c>
      <c r="W1902" s="7" t="str">
        <f t="array" ref="W1902">INDEX(xlRTCLNAME,MATCH(1,(xlRTCLENDU=2)*(xlRTCLEQCL=$F1902),0))</f>
        <v>CENT_AIR</v>
      </c>
      <c r="X1902" s="7" t="str">
        <f t="array" ref="X1902">INDEX(xlRTTYNAME,MATCH(1,(xlRTTYENDU=1)*(xlRTTYEQCL=$D1902)*(xlRTEQTYPE=$E1902),0))</f>
        <v>NG_FA3</v>
      </c>
      <c r="Y1902" s="7" t="str">
        <f t="array" ref="Y1902">INDEX(xlRTTYNAME,MATCH(1,(xlRTTYENDU=2)*(xlRTTYEQCL=$F1902)*(xlRTEQTYPE=$G1902),0))</f>
        <v>CENT_AIR3</v>
      </c>
    </row>
    <row r="1903" spans="2:25" x14ac:dyDescent="0.2">
      <c r="B1903" s="152">
        <v>7</v>
      </c>
      <c r="C1903" s="152">
        <v>3</v>
      </c>
      <c r="D1903" s="152">
        <v>3</v>
      </c>
      <c r="E1903" s="152">
        <v>9</v>
      </c>
      <c r="F1903" s="152">
        <v>2</v>
      </c>
      <c r="G1903" s="152">
        <v>6</v>
      </c>
      <c r="H1903" s="152">
        <v>2029</v>
      </c>
      <c r="I1903" s="152">
        <v>2050</v>
      </c>
      <c r="J1903" s="229">
        <v>1.0914999999999999</v>
      </c>
      <c r="K1903" s="229">
        <v>1.0496000000000001</v>
      </c>
      <c r="L1903" s="229">
        <v>0.87839999999999996</v>
      </c>
      <c r="M1903" s="229">
        <v>1.0842000000000001</v>
      </c>
      <c r="N1903" s="229">
        <v>0.81759999999999999</v>
      </c>
      <c r="O1903" s="229">
        <v>1.0538000000000001</v>
      </c>
      <c r="P1903" s="155">
        <v>3592.5955274002358</v>
      </c>
      <c r="Q1903" s="41">
        <f t="array" ref="Q1903">SUM(IF(($S1903&gt;=4)*($C1903='TaxCred&amp;Subs'!$D$114:$D$121)*($H1903='TaxCred&amp;Subs'!$C$114:$C$121)*($H1903&lt;='TaxCred&amp;Subs'!$C$123),'TaxCred&amp;Subs'!$E$114:$E$121,0))</f>
        <v>0</v>
      </c>
      <c r="R1903" s="230">
        <v>0</v>
      </c>
      <c r="S1903" s="152">
        <v>3</v>
      </c>
      <c r="T1903" s="152" t="s">
        <v>239</v>
      </c>
      <c r="V1903" s="7" t="str">
        <f t="array" ref="V1903">INDEX(xlRTCLNAME,MATCH(1,(xlRTCLENDU=1)*(xlRTCLEQCL=$D1903),0))</f>
        <v>NG_FA</v>
      </c>
      <c r="W1903" s="7" t="str">
        <f t="array" ref="W1903">INDEX(xlRTCLNAME,MATCH(1,(xlRTCLENDU=2)*(xlRTCLEQCL=$F1903),0))</f>
        <v>CENT_AIR</v>
      </c>
      <c r="X1903" s="7" t="str">
        <f t="array" ref="X1903">INDEX(xlRTTYNAME,MATCH(1,(xlRTTYENDU=1)*(xlRTTYEQCL=$D1903)*(xlRTEQTYPE=$E1903),0))</f>
        <v>NG_FA4</v>
      </c>
      <c r="Y1903" s="7" t="str">
        <f t="array" ref="Y1903">INDEX(xlRTTYNAME,MATCH(1,(xlRTTYENDU=2)*(xlRTTYEQCL=$F1903)*(xlRTEQTYPE=$G1903),0))</f>
        <v>CENT_AIR3</v>
      </c>
    </row>
    <row r="1904" spans="2:25" x14ac:dyDescent="0.2">
      <c r="B1904" s="5">
        <v>9</v>
      </c>
      <c r="C1904" s="5">
        <v>3</v>
      </c>
      <c r="D1904" s="5">
        <v>3</v>
      </c>
      <c r="E1904" s="5">
        <v>8</v>
      </c>
      <c r="F1904" s="5">
        <v>2</v>
      </c>
      <c r="G1904" s="31">
        <v>6</v>
      </c>
      <c r="H1904" s="31">
        <v>2020</v>
      </c>
      <c r="I1904" s="31">
        <v>2028</v>
      </c>
      <c r="J1904" s="142">
        <v>1.0761000000000001</v>
      </c>
      <c r="K1904" s="142">
        <v>1.0506</v>
      </c>
      <c r="L1904" s="142">
        <v>0.84919999999999995</v>
      </c>
      <c r="M1904" s="142">
        <v>1.1452</v>
      </c>
      <c r="N1904" s="142">
        <v>0.84670000000000001</v>
      </c>
      <c r="O1904" s="142">
        <v>1.0538000000000001</v>
      </c>
      <c r="P1904" s="26">
        <v>7323.6780829899262</v>
      </c>
      <c r="Q1904" s="35">
        <f t="array" ref="Q1904">SUM(IF(($S1904&gt;=4)*($C1904='TaxCred&amp;Subs'!$D$114:$D$121)*($H1904='TaxCred&amp;Subs'!$C$114:$C$121)*($H1904&lt;='TaxCred&amp;Subs'!$C$123),'TaxCred&amp;Subs'!$E$114:$E$121,0))</f>
        <v>0</v>
      </c>
      <c r="R1904" s="143">
        <v>0</v>
      </c>
      <c r="S1904" s="5">
        <v>3</v>
      </c>
      <c r="T1904" s="5" t="s">
        <v>239</v>
      </c>
      <c r="V1904" s="7" t="str">
        <f t="array" ref="V1904">INDEX(xlRTCLNAME,MATCH(1,(xlRTCLENDU=1)*(xlRTCLEQCL=$D1904),0))</f>
        <v>NG_FA</v>
      </c>
      <c r="W1904" s="7" t="str">
        <f t="array" ref="W1904">INDEX(xlRTCLNAME,MATCH(1,(xlRTCLENDU=2)*(xlRTCLEQCL=$F1904),0))</f>
        <v>CENT_AIR</v>
      </c>
      <c r="X1904" s="7" t="str">
        <f t="array" ref="X1904">INDEX(xlRTTYNAME,MATCH(1,(xlRTTYENDU=1)*(xlRTTYEQCL=$D1904)*(xlRTEQTYPE=$E1904),0))</f>
        <v>NG_FA3</v>
      </c>
      <c r="Y1904" s="7" t="str">
        <f t="array" ref="Y1904">INDEX(xlRTTYNAME,MATCH(1,(xlRTTYENDU=2)*(xlRTTYEQCL=$F1904)*(xlRTEQTYPE=$G1904),0))</f>
        <v>CENT_AIR3</v>
      </c>
    </row>
    <row r="1905" spans="2:25" x14ac:dyDescent="0.2">
      <c r="B1905" s="152">
        <v>9</v>
      </c>
      <c r="C1905" s="152">
        <v>3</v>
      </c>
      <c r="D1905" s="152">
        <v>3</v>
      </c>
      <c r="E1905" s="152">
        <v>9</v>
      </c>
      <c r="F1905" s="152">
        <v>2</v>
      </c>
      <c r="G1905" s="152">
        <v>6</v>
      </c>
      <c r="H1905" s="152">
        <v>2029</v>
      </c>
      <c r="I1905" s="152">
        <v>2050</v>
      </c>
      <c r="J1905" s="229">
        <v>1.0761000000000001</v>
      </c>
      <c r="K1905" s="229">
        <v>1.0506</v>
      </c>
      <c r="L1905" s="229">
        <v>0.84919999999999995</v>
      </c>
      <c r="M1905" s="229">
        <v>1.1452</v>
      </c>
      <c r="N1905" s="229">
        <v>0.84670000000000001</v>
      </c>
      <c r="O1905" s="229">
        <v>1.0538000000000001</v>
      </c>
      <c r="P1905" s="155">
        <v>7323.6780829899262</v>
      </c>
      <c r="Q1905" s="41">
        <f t="array" ref="Q1905">SUM(IF(($S1905&gt;=4)*($C1905='TaxCred&amp;Subs'!$D$114:$D$121)*($H1905='TaxCred&amp;Subs'!$C$114:$C$121)*($H1905&lt;='TaxCred&amp;Subs'!$C$123),'TaxCred&amp;Subs'!$E$114:$E$121,0))</f>
        <v>0</v>
      </c>
      <c r="R1905" s="230">
        <v>0</v>
      </c>
      <c r="S1905" s="152">
        <v>3</v>
      </c>
      <c r="T1905" s="152" t="s">
        <v>239</v>
      </c>
      <c r="V1905" s="7" t="str">
        <f t="array" ref="V1905">INDEX(xlRTCLNAME,MATCH(1,(xlRTCLENDU=1)*(xlRTCLEQCL=$D1905),0))</f>
        <v>NG_FA</v>
      </c>
      <c r="W1905" s="7" t="str">
        <f t="array" ref="W1905">INDEX(xlRTCLNAME,MATCH(1,(xlRTCLENDU=2)*(xlRTCLEQCL=$F1905),0))</f>
        <v>CENT_AIR</v>
      </c>
      <c r="X1905" s="7" t="str">
        <f t="array" ref="X1905">INDEX(xlRTTYNAME,MATCH(1,(xlRTTYENDU=1)*(xlRTTYEQCL=$D1905)*(xlRTEQTYPE=$E1905),0))</f>
        <v>NG_FA4</v>
      </c>
      <c r="Y1905" s="7" t="str">
        <f t="array" ref="Y1905">INDEX(xlRTTYNAME,MATCH(1,(xlRTTYENDU=2)*(xlRTTYEQCL=$F1905)*(xlRTEQTYPE=$G1905),0))</f>
        <v>CENT_AIR3</v>
      </c>
    </row>
    <row r="1906" spans="2:25" x14ac:dyDescent="0.2">
      <c r="B1906" s="5">
        <v>5</v>
      </c>
      <c r="C1906" s="5">
        <v>3</v>
      </c>
      <c r="D1906" s="5">
        <v>4</v>
      </c>
      <c r="E1906" s="5">
        <v>12</v>
      </c>
      <c r="F1906" s="5">
        <v>2</v>
      </c>
      <c r="G1906" s="31">
        <v>6</v>
      </c>
      <c r="H1906" s="31">
        <v>2020</v>
      </c>
      <c r="I1906" s="5">
        <v>2050</v>
      </c>
      <c r="J1906" s="142">
        <v>1.0940000000000001</v>
      </c>
      <c r="K1906" s="142">
        <v>1.0575000000000001</v>
      </c>
      <c r="L1906" s="142">
        <v>0.78359999999999996</v>
      </c>
      <c r="M1906" s="142">
        <v>1.0437000000000001</v>
      </c>
      <c r="N1906" s="142">
        <v>0.83130000000000004</v>
      </c>
      <c r="O1906" s="142">
        <v>1.0538000000000001</v>
      </c>
      <c r="P1906" s="26">
        <v>6199.647446423086</v>
      </c>
      <c r="Q1906" s="35">
        <f t="array" ref="Q1906">SUM(IF(($S1906&gt;=4)*($C1906='TaxCred&amp;Subs'!$D$114:$D$121)*($H1906='TaxCred&amp;Subs'!$C$114:$C$121)*($H1906&lt;='TaxCred&amp;Subs'!$C$123),'TaxCred&amp;Subs'!$E$114:$E$121,0))</f>
        <v>0</v>
      </c>
      <c r="R1906" s="143">
        <v>0</v>
      </c>
      <c r="S1906" s="5">
        <v>3</v>
      </c>
      <c r="T1906" s="5" t="s">
        <v>239</v>
      </c>
      <c r="V1906" s="7" t="str">
        <f t="array" ref="V1906">INDEX(xlRTCLNAME,MATCH(1,(xlRTCLENDU=1)*(xlRTCLEQCL=$D1906),0))</f>
        <v>NG_RAD</v>
      </c>
      <c r="W1906" s="7" t="str">
        <f t="array" ref="W1906">INDEX(xlRTCLNAME,MATCH(1,(xlRTCLENDU=2)*(xlRTCLEQCL=$F1906),0))</f>
        <v>CENT_AIR</v>
      </c>
      <c r="X1906" s="7" t="str">
        <f t="array" ref="X1906">INDEX(xlRTTYNAME,MATCH(1,(xlRTTYENDU=1)*(xlRTTYEQCL=$D1906)*(xlRTEQTYPE=$E1906),0))</f>
        <v>NG_RAD3</v>
      </c>
      <c r="Y1906" s="7" t="str">
        <f t="array" ref="Y1906">INDEX(xlRTTYNAME,MATCH(1,(xlRTTYENDU=2)*(xlRTTYEQCL=$F1906)*(xlRTEQTYPE=$G1906),0))</f>
        <v>CENT_AIR3</v>
      </c>
    </row>
    <row r="1907" spans="2:25" x14ac:dyDescent="0.2">
      <c r="B1907" s="5">
        <v>6</v>
      </c>
      <c r="C1907" s="5">
        <v>3</v>
      </c>
      <c r="D1907" s="5">
        <v>4</v>
      </c>
      <c r="E1907" s="5">
        <v>12</v>
      </c>
      <c r="F1907" s="5">
        <v>2</v>
      </c>
      <c r="G1907" s="31">
        <v>6</v>
      </c>
      <c r="H1907" s="31">
        <v>2020</v>
      </c>
      <c r="I1907" s="5">
        <v>2050</v>
      </c>
      <c r="J1907" s="142">
        <v>1.0873999999999999</v>
      </c>
      <c r="K1907" s="142">
        <v>1.0609999999999999</v>
      </c>
      <c r="L1907" s="142">
        <v>0.86419999999999997</v>
      </c>
      <c r="M1907" s="142">
        <v>1.0437000000000001</v>
      </c>
      <c r="N1907" s="142">
        <v>0.80189999999999995</v>
      </c>
      <c r="O1907" s="142">
        <v>1.0538000000000001</v>
      </c>
      <c r="P1907" s="26">
        <v>5754.6066082608559</v>
      </c>
      <c r="Q1907" s="35">
        <f t="array" ref="Q1907">SUM(IF(($S1907&gt;=4)*($C1907='TaxCred&amp;Subs'!$D$114:$D$121)*($H1907='TaxCred&amp;Subs'!$C$114:$C$121)*($H1907&lt;='TaxCred&amp;Subs'!$C$123),'TaxCred&amp;Subs'!$E$114:$E$121,0))</f>
        <v>0</v>
      </c>
      <c r="R1907" s="143">
        <v>0</v>
      </c>
      <c r="S1907" s="5">
        <v>3</v>
      </c>
      <c r="T1907" s="5" t="s">
        <v>239</v>
      </c>
      <c r="V1907" s="7" t="str">
        <f t="array" ref="V1907">INDEX(xlRTCLNAME,MATCH(1,(xlRTCLENDU=1)*(xlRTCLEQCL=$D1907),0))</f>
        <v>NG_RAD</v>
      </c>
      <c r="W1907" s="7" t="str">
        <f t="array" ref="W1907">INDEX(xlRTCLNAME,MATCH(1,(xlRTCLENDU=2)*(xlRTCLEQCL=$F1907),0))</f>
        <v>CENT_AIR</v>
      </c>
      <c r="X1907" s="7" t="str">
        <f t="array" ref="X1907">INDEX(xlRTTYNAME,MATCH(1,(xlRTTYENDU=1)*(xlRTTYEQCL=$D1907)*(xlRTEQTYPE=$E1907),0))</f>
        <v>NG_RAD3</v>
      </c>
      <c r="Y1907" s="7" t="str">
        <f t="array" ref="Y1907">INDEX(xlRTTYNAME,MATCH(1,(xlRTTYENDU=2)*(xlRTTYEQCL=$F1907)*(xlRTEQTYPE=$G1907),0))</f>
        <v>CENT_AIR3</v>
      </c>
    </row>
    <row r="1908" spans="2:25" x14ac:dyDescent="0.2">
      <c r="B1908" s="5">
        <v>7</v>
      </c>
      <c r="C1908" s="5">
        <v>3</v>
      </c>
      <c r="D1908" s="5">
        <v>4</v>
      </c>
      <c r="E1908" s="5">
        <v>12</v>
      </c>
      <c r="F1908" s="5">
        <v>2</v>
      </c>
      <c r="G1908" s="31">
        <v>6</v>
      </c>
      <c r="H1908" s="31">
        <v>2020</v>
      </c>
      <c r="I1908" s="5">
        <v>2050</v>
      </c>
      <c r="J1908" s="142">
        <v>1.0826</v>
      </c>
      <c r="K1908" s="142">
        <v>1.0412999999999999</v>
      </c>
      <c r="L1908" s="142">
        <v>0.85299999999999998</v>
      </c>
      <c r="M1908" s="142">
        <v>1.0797000000000001</v>
      </c>
      <c r="N1908" s="142">
        <v>0.8125</v>
      </c>
      <c r="O1908" s="142">
        <v>1.0538000000000001</v>
      </c>
      <c r="P1908" s="26">
        <v>3901.8384058815432</v>
      </c>
      <c r="Q1908" s="35">
        <f t="array" ref="Q1908">SUM(IF(($S1908&gt;=4)*($C1908='TaxCred&amp;Subs'!$D$114:$D$121)*($H1908='TaxCred&amp;Subs'!$C$114:$C$121)*($H1908&lt;='TaxCred&amp;Subs'!$C$123),'TaxCred&amp;Subs'!$E$114:$E$121,0))</f>
        <v>0</v>
      </c>
      <c r="R1908" s="143">
        <v>0</v>
      </c>
      <c r="S1908" s="5">
        <v>3</v>
      </c>
      <c r="T1908" s="5" t="s">
        <v>239</v>
      </c>
      <c r="V1908" s="7" t="str">
        <f t="array" ref="V1908">INDEX(xlRTCLNAME,MATCH(1,(xlRTCLENDU=1)*(xlRTCLEQCL=$D1908),0))</f>
        <v>NG_RAD</v>
      </c>
      <c r="W1908" s="7" t="str">
        <f t="array" ref="W1908">INDEX(xlRTCLNAME,MATCH(1,(xlRTCLENDU=2)*(xlRTCLEQCL=$F1908),0))</f>
        <v>CENT_AIR</v>
      </c>
      <c r="X1908" s="7" t="str">
        <f t="array" ref="X1908">INDEX(xlRTTYNAME,MATCH(1,(xlRTTYENDU=1)*(xlRTTYEQCL=$D1908)*(xlRTEQTYPE=$E1908),0))</f>
        <v>NG_RAD3</v>
      </c>
      <c r="Y1908" s="7" t="str">
        <f t="array" ref="Y1908">INDEX(xlRTTYNAME,MATCH(1,(xlRTTYENDU=2)*(xlRTTYEQCL=$F1908)*(xlRTEQTYPE=$G1908),0))</f>
        <v>CENT_AIR3</v>
      </c>
    </row>
    <row r="1909" spans="2:25" x14ac:dyDescent="0.2">
      <c r="B1909" s="5">
        <v>9</v>
      </c>
      <c r="C1909" s="5">
        <v>3</v>
      </c>
      <c r="D1909" s="5">
        <v>4</v>
      </c>
      <c r="E1909" s="5">
        <v>12</v>
      </c>
      <c r="F1909" s="5">
        <v>2</v>
      </c>
      <c r="G1909" s="31">
        <v>6</v>
      </c>
      <c r="H1909" s="31">
        <v>2020</v>
      </c>
      <c r="I1909" s="5">
        <v>2050</v>
      </c>
      <c r="J1909" s="142">
        <v>1.0845</v>
      </c>
      <c r="K1909" s="142">
        <v>1.0658000000000001</v>
      </c>
      <c r="L1909" s="142">
        <v>0.80379999999999996</v>
      </c>
      <c r="M1909" s="142">
        <v>1.1217999999999999</v>
      </c>
      <c r="N1909" s="142">
        <v>0.84079999999999999</v>
      </c>
      <c r="O1909" s="142">
        <v>1.0538000000000001</v>
      </c>
      <c r="P1909" s="26">
        <v>8892.7495577189966</v>
      </c>
      <c r="Q1909" s="35">
        <f t="array" ref="Q1909">SUM(IF(($S1909&gt;=4)*($C1909='TaxCred&amp;Subs'!$D$114:$D$121)*($H1909='TaxCred&amp;Subs'!$C$114:$C$121)*($H1909&lt;='TaxCred&amp;Subs'!$C$123),'TaxCred&amp;Subs'!$E$114:$E$121,0))</f>
        <v>0</v>
      </c>
      <c r="R1909" s="143">
        <v>0</v>
      </c>
      <c r="S1909" s="5">
        <v>3</v>
      </c>
      <c r="T1909" s="5" t="s">
        <v>239</v>
      </c>
      <c r="V1909" s="7" t="str">
        <f t="array" ref="V1909">INDEX(xlRTCLNAME,MATCH(1,(xlRTCLENDU=1)*(xlRTCLEQCL=$D1909),0))</f>
        <v>NG_RAD</v>
      </c>
      <c r="W1909" s="7" t="str">
        <f t="array" ref="W1909">INDEX(xlRTCLNAME,MATCH(1,(xlRTCLENDU=2)*(xlRTCLEQCL=$F1909),0))</f>
        <v>CENT_AIR</v>
      </c>
      <c r="X1909" s="7" t="str">
        <f t="array" ref="X1909">INDEX(xlRTTYNAME,MATCH(1,(xlRTTYENDU=1)*(xlRTTYEQCL=$D1909)*(xlRTEQTYPE=$E1909),0))</f>
        <v>NG_RAD3</v>
      </c>
      <c r="Y1909" s="7" t="str">
        <f t="array" ref="Y1909">INDEX(xlRTTYNAME,MATCH(1,(xlRTTYENDU=2)*(xlRTTYEQCL=$F1909)*(xlRTEQTYPE=$G1909),0))</f>
        <v>CENT_AIR3</v>
      </c>
    </row>
    <row r="1910" spans="2:25" x14ac:dyDescent="0.2">
      <c r="B1910" s="29">
        <v>2</v>
      </c>
      <c r="C1910" s="29">
        <v>3</v>
      </c>
      <c r="D1910" s="29">
        <v>5</v>
      </c>
      <c r="E1910" s="29">
        <v>16</v>
      </c>
      <c r="F1910" s="29">
        <v>2</v>
      </c>
      <c r="G1910" s="32">
        <v>6</v>
      </c>
      <c r="H1910" s="32">
        <v>2020</v>
      </c>
      <c r="I1910" s="29">
        <v>2050</v>
      </c>
      <c r="J1910" s="144">
        <v>1.0873999999999999</v>
      </c>
      <c r="K1910" s="144">
        <v>1.0638000000000001</v>
      </c>
      <c r="L1910" s="144">
        <v>0.74980000000000002</v>
      </c>
      <c r="M1910" s="144">
        <v>1.1226</v>
      </c>
      <c r="N1910" s="144">
        <v>0.84279999999999999</v>
      </c>
      <c r="O1910" s="144">
        <v>1.0538000000000001</v>
      </c>
      <c r="P1910" s="143">
        <v>8935.7746538555275</v>
      </c>
      <c r="Q1910" s="35">
        <f t="array" ref="Q1910">SUM(IF(($S1910&gt;=4)*($C1910='TaxCred&amp;Subs'!$D$114:$D$121)*($H1910='TaxCred&amp;Subs'!$C$114:$C$121)*($H1910&lt;='TaxCred&amp;Subs'!$C$123),'TaxCred&amp;Subs'!$E$114:$E$121,0))</f>
        <v>0</v>
      </c>
      <c r="R1910" s="143">
        <v>0</v>
      </c>
      <c r="S1910" s="29">
        <v>3</v>
      </c>
      <c r="T1910" s="29" t="s">
        <v>239</v>
      </c>
      <c r="U1910" s="30" t="s">
        <v>227</v>
      </c>
      <c r="V1910" s="7" t="str">
        <f t="array" ref="V1910">INDEX(xlRTCLNAME,MATCH(1,(xlRTCLENDU=1)*(xlRTCLEQCL=$D1910),0))</f>
        <v>KERO_FA</v>
      </c>
      <c r="W1910" s="7" t="str">
        <f t="array" ref="W1910">INDEX(xlRTCLNAME,MATCH(1,(xlRTCLENDU=2)*(xlRTCLEQCL=$F1910),0))</f>
        <v>CENT_AIR</v>
      </c>
      <c r="X1910" s="7" t="str">
        <f t="array" ref="X1910">INDEX(xlRTTYNAME,MATCH(1,(xlRTTYENDU=1)*(xlRTTYEQCL=$D1910)*(xlRTEQTYPE=$E1910),0))</f>
        <v>KERO_FA3</v>
      </c>
      <c r="Y1910" s="7" t="str">
        <f t="array" ref="Y1910">INDEX(xlRTTYNAME,MATCH(1,(xlRTTYENDU=2)*(xlRTTYEQCL=$F1910)*(xlRTEQTYPE=$G1910),0))</f>
        <v>CENT_AIR3</v>
      </c>
    </row>
    <row r="1911" spans="2:25" x14ac:dyDescent="0.2">
      <c r="B1911" s="29">
        <v>5</v>
      </c>
      <c r="C1911" s="29">
        <v>3</v>
      </c>
      <c r="D1911" s="29">
        <v>5</v>
      </c>
      <c r="E1911" s="29">
        <v>16</v>
      </c>
      <c r="F1911" s="29">
        <v>2</v>
      </c>
      <c r="G1911" s="32">
        <v>6</v>
      </c>
      <c r="H1911" s="32">
        <v>2020</v>
      </c>
      <c r="I1911" s="29">
        <v>2050</v>
      </c>
      <c r="J1911" s="144">
        <v>1.0667</v>
      </c>
      <c r="K1911" s="144">
        <v>1.0568</v>
      </c>
      <c r="L1911" s="144">
        <v>0.75439999999999996</v>
      </c>
      <c r="M1911" s="144">
        <v>1.0553999999999999</v>
      </c>
      <c r="N1911" s="144">
        <v>0.83260000000000001</v>
      </c>
      <c r="O1911" s="144">
        <v>1.0538000000000001</v>
      </c>
      <c r="P1911" s="143">
        <v>5465.5317435935476</v>
      </c>
      <c r="Q1911" s="35">
        <f t="array" ref="Q1911">SUM(IF(($S1911&gt;=4)*($C1911='TaxCred&amp;Subs'!$D$114:$D$121)*($H1911='TaxCred&amp;Subs'!$C$114:$C$121)*($H1911&lt;='TaxCred&amp;Subs'!$C$123),'TaxCred&amp;Subs'!$E$114:$E$121,0))</f>
        <v>0</v>
      </c>
      <c r="R1911" s="143">
        <v>0</v>
      </c>
      <c r="S1911" s="29">
        <v>3</v>
      </c>
      <c r="T1911" s="29" t="s">
        <v>239</v>
      </c>
      <c r="U1911" s="30" t="s">
        <v>227</v>
      </c>
      <c r="V1911" s="7" t="str">
        <f t="array" ref="V1911">INDEX(xlRTCLNAME,MATCH(1,(xlRTCLENDU=1)*(xlRTCLEQCL=$D1911),0))</f>
        <v>KERO_FA</v>
      </c>
      <c r="W1911" s="7" t="str">
        <f t="array" ref="W1911">INDEX(xlRTCLNAME,MATCH(1,(xlRTCLENDU=2)*(xlRTCLEQCL=$F1911),0))</f>
        <v>CENT_AIR</v>
      </c>
      <c r="X1911" s="7" t="str">
        <f t="array" ref="X1911">INDEX(xlRTTYNAME,MATCH(1,(xlRTTYENDU=1)*(xlRTTYEQCL=$D1911)*(xlRTEQTYPE=$E1911),0))</f>
        <v>KERO_FA3</v>
      </c>
      <c r="Y1911" s="7" t="str">
        <f t="array" ref="Y1911">INDEX(xlRTTYNAME,MATCH(1,(xlRTTYENDU=2)*(xlRTTYEQCL=$F1911)*(xlRTEQTYPE=$G1911),0))</f>
        <v>CENT_AIR3</v>
      </c>
    </row>
    <row r="1912" spans="2:25" x14ac:dyDescent="0.2">
      <c r="B1912" s="29">
        <v>6</v>
      </c>
      <c r="C1912" s="29">
        <v>3</v>
      </c>
      <c r="D1912" s="29">
        <v>5</v>
      </c>
      <c r="E1912" s="29">
        <v>16</v>
      </c>
      <c r="F1912" s="29">
        <v>2</v>
      </c>
      <c r="G1912" s="32">
        <v>6</v>
      </c>
      <c r="H1912" s="32">
        <v>2020</v>
      </c>
      <c r="I1912" s="29">
        <v>2050</v>
      </c>
      <c r="J1912" s="144">
        <v>1.0896999999999999</v>
      </c>
      <c r="K1912" s="144">
        <v>1.0723</v>
      </c>
      <c r="L1912" s="144">
        <v>0.80100000000000005</v>
      </c>
      <c r="M1912" s="144">
        <v>1.0627</v>
      </c>
      <c r="N1912" s="144">
        <v>0.80269999999999997</v>
      </c>
      <c r="O1912" s="144">
        <v>1.0538000000000001</v>
      </c>
      <c r="P1912" s="143">
        <v>5292.0868247931612</v>
      </c>
      <c r="Q1912" s="35">
        <f t="array" ref="Q1912">SUM(IF(($S1912&gt;=4)*($C1912='TaxCred&amp;Subs'!$D$114:$D$121)*($H1912='TaxCred&amp;Subs'!$C$114:$C$121)*($H1912&lt;='TaxCred&amp;Subs'!$C$123),'TaxCred&amp;Subs'!$E$114:$E$121,0))</f>
        <v>0</v>
      </c>
      <c r="R1912" s="143">
        <v>0</v>
      </c>
      <c r="S1912" s="29">
        <v>3</v>
      </c>
      <c r="T1912" s="29" t="s">
        <v>239</v>
      </c>
      <c r="U1912" s="30" t="s">
        <v>227</v>
      </c>
      <c r="V1912" s="7" t="str">
        <f t="array" ref="V1912">INDEX(xlRTCLNAME,MATCH(1,(xlRTCLENDU=1)*(xlRTCLEQCL=$D1912),0))</f>
        <v>KERO_FA</v>
      </c>
      <c r="W1912" s="7" t="str">
        <f t="array" ref="W1912">INDEX(xlRTCLNAME,MATCH(1,(xlRTCLENDU=2)*(xlRTCLEQCL=$F1912),0))</f>
        <v>CENT_AIR</v>
      </c>
      <c r="X1912" s="7" t="str">
        <f t="array" ref="X1912">INDEX(xlRTTYNAME,MATCH(1,(xlRTTYENDU=1)*(xlRTTYEQCL=$D1912)*(xlRTEQTYPE=$E1912),0))</f>
        <v>KERO_FA3</v>
      </c>
      <c r="Y1912" s="7" t="str">
        <f t="array" ref="Y1912">INDEX(xlRTTYNAME,MATCH(1,(xlRTTYENDU=2)*(xlRTTYEQCL=$F1912)*(xlRTEQTYPE=$G1912),0))</f>
        <v>CENT_AIR3</v>
      </c>
    </row>
    <row r="1913" spans="2:25" x14ac:dyDescent="0.2">
      <c r="B1913" s="29">
        <v>7</v>
      </c>
      <c r="C1913" s="29">
        <v>3</v>
      </c>
      <c r="D1913" s="29">
        <v>5</v>
      </c>
      <c r="E1913" s="29">
        <v>16</v>
      </c>
      <c r="F1913" s="29">
        <v>2</v>
      </c>
      <c r="G1913" s="32">
        <v>6</v>
      </c>
      <c r="H1913" s="32">
        <v>2020</v>
      </c>
      <c r="I1913" s="29">
        <v>2050</v>
      </c>
      <c r="J1913" s="144">
        <v>1.0940000000000001</v>
      </c>
      <c r="K1913" s="144">
        <v>1.0512999999999999</v>
      </c>
      <c r="L1913" s="144">
        <v>0.85360000000000003</v>
      </c>
      <c r="M1913" s="144">
        <v>1.0709</v>
      </c>
      <c r="N1913" s="144">
        <v>0.81289999999999996</v>
      </c>
      <c r="O1913" s="144">
        <v>1.0538000000000001</v>
      </c>
      <c r="P1913" s="143">
        <v>3727.0489528268909</v>
      </c>
      <c r="Q1913" s="35">
        <f t="array" ref="Q1913">SUM(IF(($S1913&gt;=4)*($C1913='TaxCred&amp;Subs'!$D$114:$D$121)*($H1913='TaxCred&amp;Subs'!$C$114:$C$121)*($H1913&lt;='TaxCred&amp;Subs'!$C$123),'TaxCred&amp;Subs'!$E$114:$E$121,0))</f>
        <v>0</v>
      </c>
      <c r="R1913" s="143">
        <v>0</v>
      </c>
      <c r="S1913" s="29">
        <v>3</v>
      </c>
      <c r="T1913" s="29" t="s">
        <v>239</v>
      </c>
      <c r="U1913" s="30" t="s">
        <v>227</v>
      </c>
      <c r="V1913" s="7" t="str">
        <f t="array" ref="V1913">INDEX(xlRTCLNAME,MATCH(1,(xlRTCLENDU=1)*(xlRTCLEQCL=$D1913),0))</f>
        <v>KERO_FA</v>
      </c>
      <c r="W1913" s="7" t="str">
        <f t="array" ref="W1913">INDEX(xlRTCLNAME,MATCH(1,(xlRTCLENDU=2)*(xlRTCLEQCL=$F1913),0))</f>
        <v>CENT_AIR</v>
      </c>
      <c r="X1913" s="7" t="str">
        <f t="array" ref="X1913">INDEX(xlRTTYNAME,MATCH(1,(xlRTTYENDU=1)*(xlRTTYEQCL=$D1913)*(xlRTEQTYPE=$E1913),0))</f>
        <v>KERO_FA3</v>
      </c>
      <c r="Y1913" s="7" t="str">
        <f t="array" ref="Y1913">INDEX(xlRTTYNAME,MATCH(1,(xlRTTYENDU=2)*(xlRTTYEQCL=$F1913)*(xlRTEQTYPE=$G1913),0))</f>
        <v>CENT_AIR3</v>
      </c>
    </row>
    <row r="1914" spans="2:25" x14ac:dyDescent="0.2">
      <c r="B1914" s="29">
        <v>9</v>
      </c>
      <c r="C1914" s="29">
        <v>3</v>
      </c>
      <c r="D1914" s="29">
        <v>5</v>
      </c>
      <c r="E1914" s="29">
        <v>16</v>
      </c>
      <c r="F1914" s="29">
        <v>2</v>
      </c>
      <c r="G1914" s="32">
        <v>6</v>
      </c>
      <c r="H1914" s="32">
        <v>2020</v>
      </c>
      <c r="I1914" s="29">
        <v>2050</v>
      </c>
      <c r="J1914" s="144">
        <v>1.0743</v>
      </c>
      <c r="K1914" s="144">
        <v>1.0519000000000001</v>
      </c>
      <c r="L1914" s="144">
        <v>0.82989999999999997</v>
      </c>
      <c r="M1914" s="144">
        <v>1.1548</v>
      </c>
      <c r="N1914" s="144">
        <v>0.84240000000000004</v>
      </c>
      <c r="O1914" s="144">
        <v>1.0538000000000001</v>
      </c>
      <c r="P1914" s="143">
        <v>8625.1872411199511</v>
      </c>
      <c r="Q1914" s="35">
        <f t="array" ref="Q1914">SUM(IF(($S1914&gt;=4)*($C1914='TaxCred&amp;Subs'!$D$114:$D$121)*($H1914='TaxCred&amp;Subs'!$C$114:$C$121)*($H1914&lt;='TaxCred&amp;Subs'!$C$123),'TaxCred&amp;Subs'!$E$114:$E$121,0))</f>
        <v>0</v>
      </c>
      <c r="R1914" s="143">
        <v>0</v>
      </c>
      <c r="S1914" s="29">
        <v>3</v>
      </c>
      <c r="T1914" s="29" t="s">
        <v>239</v>
      </c>
      <c r="U1914" s="30" t="s">
        <v>227</v>
      </c>
      <c r="V1914" s="7" t="str">
        <f t="array" ref="V1914">INDEX(xlRTCLNAME,MATCH(1,(xlRTCLENDU=1)*(xlRTCLEQCL=$D1914),0))</f>
        <v>KERO_FA</v>
      </c>
      <c r="W1914" s="7" t="str">
        <f t="array" ref="W1914">INDEX(xlRTCLNAME,MATCH(1,(xlRTCLENDU=2)*(xlRTCLEQCL=$F1914),0))</f>
        <v>CENT_AIR</v>
      </c>
      <c r="X1914" s="7" t="str">
        <f t="array" ref="X1914">INDEX(xlRTTYNAME,MATCH(1,(xlRTTYENDU=1)*(xlRTTYEQCL=$D1914)*(xlRTEQTYPE=$E1914),0))</f>
        <v>KERO_FA3</v>
      </c>
      <c r="Y1914" s="7" t="str">
        <f t="array" ref="Y1914">INDEX(xlRTTYNAME,MATCH(1,(xlRTTYENDU=2)*(xlRTTYEQCL=$F1914)*(xlRTEQTYPE=$G1914),0))</f>
        <v>CENT_AIR3</v>
      </c>
    </row>
    <row r="1915" spans="2:25" x14ac:dyDescent="0.2">
      <c r="B1915" s="5">
        <v>2</v>
      </c>
      <c r="C1915" s="5">
        <v>3</v>
      </c>
      <c r="D1915" s="5">
        <v>6</v>
      </c>
      <c r="E1915" s="5">
        <v>20</v>
      </c>
      <c r="F1915" s="5">
        <v>2</v>
      </c>
      <c r="G1915" s="31">
        <v>6</v>
      </c>
      <c r="H1915" s="31">
        <v>2020</v>
      </c>
      <c r="I1915" s="31">
        <v>2028</v>
      </c>
      <c r="J1915" s="142">
        <v>1.0670999999999999</v>
      </c>
      <c r="K1915" s="142">
        <v>1.0638000000000001</v>
      </c>
      <c r="L1915" s="142">
        <v>0.87570000000000003</v>
      </c>
      <c r="M1915" s="142">
        <v>1.1334</v>
      </c>
      <c r="N1915" s="142">
        <v>0.84609999999999996</v>
      </c>
      <c r="O1915" s="142">
        <v>1.0538000000000001</v>
      </c>
      <c r="P1915" s="26">
        <v>6801.9987923345025</v>
      </c>
      <c r="Q1915" s="35">
        <f t="array" ref="Q1915">SUM(IF(($S1915&gt;=4)*($C1915='TaxCred&amp;Subs'!$D$114:$D$121)*($H1915='TaxCred&amp;Subs'!$C$114:$C$121)*($H1915&lt;='TaxCred&amp;Subs'!$C$123),'TaxCred&amp;Subs'!$E$114:$E$121,0))</f>
        <v>0</v>
      </c>
      <c r="R1915" s="143">
        <v>0</v>
      </c>
      <c r="S1915" s="5">
        <v>3</v>
      </c>
      <c r="T1915" s="5" t="s">
        <v>239</v>
      </c>
      <c r="V1915" s="7" t="str">
        <f t="array" ref="V1915">INDEX(xlRTCLNAME,MATCH(1,(xlRTCLENDU=1)*(xlRTCLEQCL=$D1915),0))</f>
        <v>LPG_FA</v>
      </c>
      <c r="W1915" s="7" t="str">
        <f t="array" ref="W1915">INDEX(xlRTCLNAME,MATCH(1,(xlRTCLENDU=2)*(xlRTCLEQCL=$F1915),0))</f>
        <v>CENT_AIR</v>
      </c>
      <c r="X1915" s="7" t="str">
        <f t="array" ref="X1915">INDEX(xlRTTYNAME,MATCH(1,(xlRTTYENDU=1)*(xlRTTYEQCL=$D1915)*(xlRTEQTYPE=$E1915),0))</f>
        <v>LPG_FA3</v>
      </c>
      <c r="Y1915" s="7" t="str">
        <f t="array" ref="Y1915">INDEX(xlRTTYNAME,MATCH(1,(xlRTTYENDU=2)*(xlRTTYEQCL=$F1915)*(xlRTEQTYPE=$G1915),0))</f>
        <v>CENT_AIR3</v>
      </c>
    </row>
    <row r="1916" spans="2:25" x14ac:dyDescent="0.2">
      <c r="B1916" s="152">
        <v>2</v>
      </c>
      <c r="C1916" s="152">
        <v>3</v>
      </c>
      <c r="D1916" s="152">
        <v>6</v>
      </c>
      <c r="E1916" s="152">
        <v>21</v>
      </c>
      <c r="F1916" s="152">
        <v>2</v>
      </c>
      <c r="G1916" s="152">
        <v>6</v>
      </c>
      <c r="H1916" s="152">
        <v>2029</v>
      </c>
      <c r="I1916" s="152">
        <v>2050</v>
      </c>
      <c r="J1916" s="229">
        <v>1.0670999999999999</v>
      </c>
      <c r="K1916" s="229">
        <v>1.0638000000000001</v>
      </c>
      <c r="L1916" s="229">
        <v>0.87570000000000003</v>
      </c>
      <c r="M1916" s="229">
        <v>1.1334</v>
      </c>
      <c r="N1916" s="229">
        <v>0.84609999999999996</v>
      </c>
      <c r="O1916" s="229">
        <v>1.0538000000000001</v>
      </c>
      <c r="P1916" s="155">
        <v>6801.9987923345025</v>
      </c>
      <c r="Q1916" s="41">
        <f t="array" ref="Q1916">SUM(IF(($S1916&gt;=4)*($C1916='TaxCred&amp;Subs'!$D$114:$D$121)*($H1916='TaxCred&amp;Subs'!$C$114:$C$121)*($H1916&lt;='TaxCred&amp;Subs'!$C$123),'TaxCred&amp;Subs'!$E$114:$E$121,0))</f>
        <v>0</v>
      </c>
      <c r="R1916" s="230">
        <v>0</v>
      </c>
      <c r="S1916" s="152">
        <v>3</v>
      </c>
      <c r="T1916" s="152" t="s">
        <v>239</v>
      </c>
      <c r="V1916" s="7" t="str">
        <f t="array" ref="V1916">INDEX(xlRTCLNAME,MATCH(1,(xlRTCLENDU=1)*(xlRTCLEQCL=$D1916),0))</f>
        <v>LPG_FA</v>
      </c>
      <c r="W1916" s="7" t="str">
        <f t="array" ref="W1916">INDEX(xlRTCLNAME,MATCH(1,(xlRTCLENDU=2)*(xlRTCLEQCL=$F1916),0))</f>
        <v>CENT_AIR</v>
      </c>
      <c r="X1916" s="7" t="str">
        <f t="array" ref="X1916">INDEX(xlRTTYNAME,MATCH(1,(xlRTTYENDU=1)*(xlRTTYEQCL=$D1916)*(xlRTEQTYPE=$E1916),0))</f>
        <v>LPG_FA4</v>
      </c>
      <c r="Y1916" s="7" t="str">
        <f t="array" ref="Y1916">INDEX(xlRTTYNAME,MATCH(1,(xlRTTYENDU=2)*(xlRTTYEQCL=$F1916)*(xlRTEQTYPE=$G1916),0))</f>
        <v>CENT_AIR3</v>
      </c>
    </row>
    <row r="1917" spans="2:25" x14ac:dyDescent="0.2">
      <c r="B1917" s="5">
        <v>5</v>
      </c>
      <c r="C1917" s="5">
        <v>3</v>
      </c>
      <c r="D1917" s="5">
        <v>6</v>
      </c>
      <c r="E1917" s="5">
        <v>20</v>
      </c>
      <c r="F1917" s="5">
        <v>2</v>
      </c>
      <c r="G1917" s="31">
        <v>6</v>
      </c>
      <c r="H1917" s="31">
        <v>2020</v>
      </c>
      <c r="I1917" s="31">
        <v>2028</v>
      </c>
      <c r="J1917" s="142">
        <v>1.0559000000000001</v>
      </c>
      <c r="K1917" s="142">
        <v>1.0444</v>
      </c>
      <c r="L1917" s="142">
        <v>0.84960000000000002</v>
      </c>
      <c r="M1917" s="142">
        <v>1.0552999999999999</v>
      </c>
      <c r="N1917" s="142">
        <v>0.83460000000000001</v>
      </c>
      <c r="O1917" s="142">
        <v>1.0538000000000001</v>
      </c>
      <c r="P1917" s="26">
        <v>4637.2986429653483</v>
      </c>
      <c r="Q1917" s="35">
        <f t="array" ref="Q1917">SUM(IF(($S1917&gt;=4)*($C1917='TaxCred&amp;Subs'!$D$114:$D$121)*($H1917='TaxCred&amp;Subs'!$C$114:$C$121)*($H1917&lt;='TaxCred&amp;Subs'!$C$123),'TaxCred&amp;Subs'!$E$114:$E$121,0))</f>
        <v>0</v>
      </c>
      <c r="R1917" s="143">
        <v>0</v>
      </c>
      <c r="S1917" s="5">
        <v>3</v>
      </c>
      <c r="T1917" s="5" t="s">
        <v>239</v>
      </c>
      <c r="V1917" s="7" t="str">
        <f t="array" ref="V1917">INDEX(xlRTCLNAME,MATCH(1,(xlRTCLENDU=1)*(xlRTCLEQCL=$D1917),0))</f>
        <v>LPG_FA</v>
      </c>
      <c r="W1917" s="7" t="str">
        <f t="array" ref="W1917">INDEX(xlRTCLNAME,MATCH(1,(xlRTCLENDU=2)*(xlRTCLEQCL=$F1917),0))</f>
        <v>CENT_AIR</v>
      </c>
      <c r="X1917" s="7" t="str">
        <f t="array" ref="X1917">INDEX(xlRTTYNAME,MATCH(1,(xlRTTYENDU=1)*(xlRTTYEQCL=$D1917)*(xlRTEQTYPE=$E1917),0))</f>
        <v>LPG_FA3</v>
      </c>
      <c r="Y1917" s="7" t="str">
        <f t="array" ref="Y1917">INDEX(xlRTTYNAME,MATCH(1,(xlRTTYENDU=2)*(xlRTTYEQCL=$F1917)*(xlRTEQTYPE=$G1917),0))</f>
        <v>CENT_AIR3</v>
      </c>
    </row>
    <row r="1918" spans="2:25" x14ac:dyDescent="0.2">
      <c r="B1918" s="152">
        <v>5</v>
      </c>
      <c r="C1918" s="152">
        <v>3</v>
      </c>
      <c r="D1918" s="152">
        <v>6</v>
      </c>
      <c r="E1918" s="152">
        <v>21</v>
      </c>
      <c r="F1918" s="152">
        <v>2</v>
      </c>
      <c r="G1918" s="152">
        <v>6</v>
      </c>
      <c r="H1918" s="152">
        <v>2029</v>
      </c>
      <c r="I1918" s="152">
        <v>2050</v>
      </c>
      <c r="J1918" s="229">
        <v>1.0559000000000001</v>
      </c>
      <c r="K1918" s="229">
        <v>1.0444</v>
      </c>
      <c r="L1918" s="229">
        <v>0.84960000000000002</v>
      </c>
      <c r="M1918" s="229">
        <v>1.0552999999999999</v>
      </c>
      <c r="N1918" s="229">
        <v>0.83460000000000001</v>
      </c>
      <c r="O1918" s="229">
        <v>1.0538000000000001</v>
      </c>
      <c r="P1918" s="155">
        <v>4637.2986429653483</v>
      </c>
      <c r="Q1918" s="41">
        <f t="array" ref="Q1918">SUM(IF(($S1918&gt;=4)*($C1918='TaxCred&amp;Subs'!$D$114:$D$121)*($H1918='TaxCred&amp;Subs'!$C$114:$C$121)*($H1918&lt;='TaxCred&amp;Subs'!$C$123),'TaxCred&amp;Subs'!$E$114:$E$121,0))</f>
        <v>0</v>
      </c>
      <c r="R1918" s="230">
        <v>0</v>
      </c>
      <c r="S1918" s="152">
        <v>3</v>
      </c>
      <c r="T1918" s="152" t="s">
        <v>239</v>
      </c>
      <c r="V1918" s="7" t="str">
        <f t="array" ref="V1918">INDEX(xlRTCLNAME,MATCH(1,(xlRTCLENDU=1)*(xlRTCLEQCL=$D1918),0))</f>
        <v>LPG_FA</v>
      </c>
      <c r="W1918" s="7" t="str">
        <f t="array" ref="W1918">INDEX(xlRTCLNAME,MATCH(1,(xlRTCLENDU=2)*(xlRTCLEQCL=$F1918),0))</f>
        <v>CENT_AIR</v>
      </c>
      <c r="X1918" s="7" t="str">
        <f t="array" ref="X1918">INDEX(xlRTTYNAME,MATCH(1,(xlRTTYENDU=1)*(xlRTTYEQCL=$D1918)*(xlRTEQTYPE=$E1918),0))</f>
        <v>LPG_FA4</v>
      </c>
      <c r="Y1918" s="7" t="str">
        <f t="array" ref="Y1918">INDEX(xlRTTYNAME,MATCH(1,(xlRTTYENDU=2)*(xlRTTYEQCL=$F1918)*(xlRTEQTYPE=$G1918),0))</f>
        <v>CENT_AIR3</v>
      </c>
    </row>
    <row r="1919" spans="2:25" x14ac:dyDescent="0.2">
      <c r="B1919" s="5">
        <v>6</v>
      </c>
      <c r="C1919" s="5">
        <v>3</v>
      </c>
      <c r="D1919" s="5">
        <v>6</v>
      </c>
      <c r="E1919" s="5">
        <v>20</v>
      </c>
      <c r="F1919" s="5">
        <v>2</v>
      </c>
      <c r="G1919" s="31">
        <v>6</v>
      </c>
      <c r="H1919" s="31">
        <v>2020</v>
      </c>
      <c r="I1919" s="31">
        <v>2028</v>
      </c>
      <c r="J1919" s="142">
        <v>1.0872999999999999</v>
      </c>
      <c r="K1919" s="142">
        <v>1.0581</v>
      </c>
      <c r="L1919" s="142">
        <v>0.83140000000000003</v>
      </c>
      <c r="M1919" s="142">
        <v>1.0811999999999999</v>
      </c>
      <c r="N1919" s="142">
        <v>0.8044</v>
      </c>
      <c r="O1919" s="142">
        <v>1.0538000000000001</v>
      </c>
      <c r="P1919" s="26">
        <v>5187.2131529603703</v>
      </c>
      <c r="Q1919" s="35">
        <f t="array" ref="Q1919">SUM(IF(($S1919&gt;=4)*($C1919='TaxCred&amp;Subs'!$D$114:$D$121)*($H1919='TaxCred&amp;Subs'!$C$114:$C$121)*($H1919&lt;='TaxCred&amp;Subs'!$C$123),'TaxCred&amp;Subs'!$E$114:$E$121,0))</f>
        <v>0</v>
      </c>
      <c r="R1919" s="143">
        <v>0</v>
      </c>
      <c r="S1919" s="5">
        <v>3</v>
      </c>
      <c r="T1919" s="5" t="s">
        <v>239</v>
      </c>
      <c r="V1919" s="7" t="str">
        <f t="array" ref="V1919">INDEX(xlRTCLNAME,MATCH(1,(xlRTCLENDU=1)*(xlRTCLEQCL=$D1919),0))</f>
        <v>LPG_FA</v>
      </c>
      <c r="W1919" s="7" t="str">
        <f t="array" ref="W1919">INDEX(xlRTCLNAME,MATCH(1,(xlRTCLENDU=2)*(xlRTCLEQCL=$F1919),0))</f>
        <v>CENT_AIR</v>
      </c>
      <c r="X1919" s="7" t="str">
        <f t="array" ref="X1919">INDEX(xlRTTYNAME,MATCH(1,(xlRTTYENDU=1)*(xlRTTYEQCL=$D1919)*(xlRTEQTYPE=$E1919),0))</f>
        <v>LPG_FA3</v>
      </c>
      <c r="Y1919" s="7" t="str">
        <f t="array" ref="Y1919">INDEX(xlRTTYNAME,MATCH(1,(xlRTTYENDU=2)*(xlRTTYEQCL=$F1919)*(xlRTEQTYPE=$G1919),0))</f>
        <v>CENT_AIR3</v>
      </c>
    </row>
    <row r="1920" spans="2:25" x14ac:dyDescent="0.2">
      <c r="B1920" s="152">
        <v>6</v>
      </c>
      <c r="C1920" s="152">
        <v>3</v>
      </c>
      <c r="D1920" s="152">
        <v>6</v>
      </c>
      <c r="E1920" s="152">
        <v>21</v>
      </c>
      <c r="F1920" s="152">
        <v>2</v>
      </c>
      <c r="G1920" s="152">
        <v>6</v>
      </c>
      <c r="H1920" s="152">
        <v>2029</v>
      </c>
      <c r="I1920" s="152">
        <v>2050</v>
      </c>
      <c r="J1920" s="229">
        <v>1.0872999999999999</v>
      </c>
      <c r="K1920" s="229">
        <v>1.0581</v>
      </c>
      <c r="L1920" s="229">
        <v>0.83140000000000003</v>
      </c>
      <c r="M1920" s="229">
        <v>1.0811999999999999</v>
      </c>
      <c r="N1920" s="229">
        <v>0.8044</v>
      </c>
      <c r="O1920" s="229">
        <v>1.0538000000000001</v>
      </c>
      <c r="P1920" s="155">
        <v>5187.2131529603703</v>
      </c>
      <c r="Q1920" s="41">
        <f t="array" ref="Q1920">SUM(IF(($S1920&gt;=4)*($C1920='TaxCred&amp;Subs'!$D$114:$D$121)*($H1920='TaxCred&amp;Subs'!$C$114:$C$121)*($H1920&lt;='TaxCred&amp;Subs'!$C$123),'TaxCred&amp;Subs'!$E$114:$E$121,0))</f>
        <v>0</v>
      </c>
      <c r="R1920" s="230">
        <v>0</v>
      </c>
      <c r="S1920" s="152">
        <v>3</v>
      </c>
      <c r="T1920" s="152" t="s">
        <v>239</v>
      </c>
      <c r="V1920" s="7" t="str">
        <f t="array" ref="V1920">INDEX(xlRTCLNAME,MATCH(1,(xlRTCLENDU=1)*(xlRTCLEQCL=$D1920),0))</f>
        <v>LPG_FA</v>
      </c>
      <c r="W1920" s="7" t="str">
        <f t="array" ref="W1920">INDEX(xlRTCLNAME,MATCH(1,(xlRTCLENDU=2)*(xlRTCLEQCL=$F1920),0))</f>
        <v>CENT_AIR</v>
      </c>
      <c r="X1920" s="7" t="str">
        <f t="array" ref="X1920">INDEX(xlRTTYNAME,MATCH(1,(xlRTTYENDU=1)*(xlRTTYEQCL=$D1920)*(xlRTEQTYPE=$E1920),0))</f>
        <v>LPG_FA4</v>
      </c>
      <c r="Y1920" s="7" t="str">
        <f t="array" ref="Y1920">INDEX(xlRTTYNAME,MATCH(1,(xlRTTYENDU=2)*(xlRTTYEQCL=$F1920)*(xlRTEQTYPE=$G1920),0))</f>
        <v>CENT_AIR3</v>
      </c>
    </row>
    <row r="1921" spans="2:25" x14ac:dyDescent="0.2">
      <c r="B1921" s="5">
        <v>7</v>
      </c>
      <c r="C1921" s="5">
        <v>3</v>
      </c>
      <c r="D1921" s="5">
        <v>6</v>
      </c>
      <c r="E1921" s="5">
        <v>20</v>
      </c>
      <c r="F1921" s="5">
        <v>2</v>
      </c>
      <c r="G1921" s="31">
        <v>6</v>
      </c>
      <c r="H1921" s="31">
        <v>2020</v>
      </c>
      <c r="I1921" s="31">
        <v>2028</v>
      </c>
      <c r="J1921" s="142">
        <v>1.0914999999999999</v>
      </c>
      <c r="K1921" s="142">
        <v>1.0496000000000001</v>
      </c>
      <c r="L1921" s="142">
        <v>0.87839999999999996</v>
      </c>
      <c r="M1921" s="142">
        <v>1.0842000000000001</v>
      </c>
      <c r="N1921" s="142">
        <v>0.81759999999999999</v>
      </c>
      <c r="O1921" s="142">
        <v>1.0538000000000001</v>
      </c>
      <c r="P1921" s="26">
        <v>3592.5955274002358</v>
      </c>
      <c r="Q1921" s="35">
        <f t="array" ref="Q1921">SUM(IF(($S1921&gt;=4)*($C1921='TaxCred&amp;Subs'!$D$114:$D$121)*($H1921='TaxCred&amp;Subs'!$C$114:$C$121)*($H1921&lt;='TaxCred&amp;Subs'!$C$123),'TaxCred&amp;Subs'!$E$114:$E$121,0))</f>
        <v>0</v>
      </c>
      <c r="R1921" s="143">
        <v>0</v>
      </c>
      <c r="S1921" s="5">
        <v>3</v>
      </c>
      <c r="T1921" s="5" t="s">
        <v>239</v>
      </c>
      <c r="V1921" s="7" t="str">
        <f t="array" ref="V1921">INDEX(xlRTCLNAME,MATCH(1,(xlRTCLENDU=1)*(xlRTCLEQCL=$D1921),0))</f>
        <v>LPG_FA</v>
      </c>
      <c r="W1921" s="7" t="str">
        <f t="array" ref="W1921">INDEX(xlRTCLNAME,MATCH(1,(xlRTCLENDU=2)*(xlRTCLEQCL=$F1921),0))</f>
        <v>CENT_AIR</v>
      </c>
      <c r="X1921" s="7" t="str">
        <f t="array" ref="X1921">INDEX(xlRTTYNAME,MATCH(1,(xlRTTYENDU=1)*(xlRTTYEQCL=$D1921)*(xlRTEQTYPE=$E1921),0))</f>
        <v>LPG_FA3</v>
      </c>
      <c r="Y1921" s="7" t="str">
        <f t="array" ref="Y1921">INDEX(xlRTTYNAME,MATCH(1,(xlRTTYENDU=2)*(xlRTTYEQCL=$F1921)*(xlRTEQTYPE=$G1921),0))</f>
        <v>CENT_AIR3</v>
      </c>
    </row>
    <row r="1922" spans="2:25" x14ac:dyDescent="0.2">
      <c r="B1922" s="152">
        <v>7</v>
      </c>
      <c r="C1922" s="152">
        <v>3</v>
      </c>
      <c r="D1922" s="152">
        <v>6</v>
      </c>
      <c r="E1922" s="152">
        <v>21</v>
      </c>
      <c r="F1922" s="152">
        <v>2</v>
      </c>
      <c r="G1922" s="152">
        <v>6</v>
      </c>
      <c r="H1922" s="152">
        <v>2029</v>
      </c>
      <c r="I1922" s="152">
        <v>2050</v>
      </c>
      <c r="J1922" s="229">
        <v>1.0914999999999999</v>
      </c>
      <c r="K1922" s="229">
        <v>1.0496000000000001</v>
      </c>
      <c r="L1922" s="229">
        <v>0.87839999999999996</v>
      </c>
      <c r="M1922" s="229">
        <v>1.0842000000000001</v>
      </c>
      <c r="N1922" s="229">
        <v>0.81759999999999999</v>
      </c>
      <c r="O1922" s="229">
        <v>1.0538000000000001</v>
      </c>
      <c r="P1922" s="155">
        <v>3592.5955274002358</v>
      </c>
      <c r="Q1922" s="41">
        <f t="array" ref="Q1922">SUM(IF(($S1922&gt;=4)*($C1922='TaxCred&amp;Subs'!$D$114:$D$121)*($H1922='TaxCred&amp;Subs'!$C$114:$C$121)*($H1922&lt;='TaxCred&amp;Subs'!$C$123),'TaxCred&amp;Subs'!$E$114:$E$121,0))</f>
        <v>0</v>
      </c>
      <c r="R1922" s="230">
        <v>0</v>
      </c>
      <c r="S1922" s="152">
        <v>3</v>
      </c>
      <c r="T1922" s="152" t="s">
        <v>239</v>
      </c>
      <c r="V1922" s="7" t="str">
        <f t="array" ref="V1922">INDEX(xlRTCLNAME,MATCH(1,(xlRTCLENDU=1)*(xlRTCLEQCL=$D1922),0))</f>
        <v>LPG_FA</v>
      </c>
      <c r="W1922" s="7" t="str">
        <f t="array" ref="W1922">INDEX(xlRTCLNAME,MATCH(1,(xlRTCLENDU=2)*(xlRTCLEQCL=$F1922),0))</f>
        <v>CENT_AIR</v>
      </c>
      <c r="X1922" s="7" t="str">
        <f t="array" ref="X1922">INDEX(xlRTTYNAME,MATCH(1,(xlRTTYENDU=1)*(xlRTTYEQCL=$D1922)*(xlRTEQTYPE=$E1922),0))</f>
        <v>LPG_FA4</v>
      </c>
      <c r="Y1922" s="7" t="str">
        <f t="array" ref="Y1922">INDEX(xlRTTYNAME,MATCH(1,(xlRTTYENDU=2)*(xlRTTYEQCL=$F1922)*(xlRTEQTYPE=$G1922),0))</f>
        <v>CENT_AIR3</v>
      </c>
    </row>
    <row r="1923" spans="2:25" x14ac:dyDescent="0.2">
      <c r="B1923" s="5">
        <v>9</v>
      </c>
      <c r="C1923" s="5">
        <v>3</v>
      </c>
      <c r="D1923" s="5">
        <v>6</v>
      </c>
      <c r="E1923" s="5">
        <v>20</v>
      </c>
      <c r="F1923" s="5">
        <v>2</v>
      </c>
      <c r="G1923" s="31">
        <v>6</v>
      </c>
      <c r="H1923" s="31">
        <v>2020</v>
      </c>
      <c r="I1923" s="31">
        <v>2028</v>
      </c>
      <c r="J1923" s="142">
        <v>1.0761000000000001</v>
      </c>
      <c r="K1923" s="142">
        <v>1.0506</v>
      </c>
      <c r="L1923" s="142">
        <v>0.84919999999999995</v>
      </c>
      <c r="M1923" s="142">
        <v>1.1452</v>
      </c>
      <c r="N1923" s="142">
        <v>0.84670000000000001</v>
      </c>
      <c r="O1923" s="142">
        <v>1.0538000000000001</v>
      </c>
      <c r="P1923" s="26">
        <v>7323.6780829899262</v>
      </c>
      <c r="Q1923" s="35">
        <f t="array" ref="Q1923">SUM(IF(($S1923&gt;=4)*($C1923='TaxCred&amp;Subs'!$D$114:$D$121)*($H1923='TaxCred&amp;Subs'!$C$114:$C$121)*($H1923&lt;='TaxCred&amp;Subs'!$C$123),'TaxCred&amp;Subs'!$E$114:$E$121,0))</f>
        <v>0</v>
      </c>
      <c r="R1923" s="143">
        <v>0</v>
      </c>
      <c r="S1923" s="5">
        <v>3</v>
      </c>
      <c r="T1923" s="5" t="s">
        <v>239</v>
      </c>
      <c r="V1923" s="7" t="str">
        <f t="array" ref="V1923">INDEX(xlRTCLNAME,MATCH(1,(xlRTCLENDU=1)*(xlRTCLEQCL=$D1923),0))</f>
        <v>LPG_FA</v>
      </c>
      <c r="W1923" s="7" t="str">
        <f t="array" ref="W1923">INDEX(xlRTCLNAME,MATCH(1,(xlRTCLENDU=2)*(xlRTCLEQCL=$F1923),0))</f>
        <v>CENT_AIR</v>
      </c>
      <c r="X1923" s="7" t="str">
        <f t="array" ref="X1923">INDEX(xlRTTYNAME,MATCH(1,(xlRTTYENDU=1)*(xlRTTYEQCL=$D1923)*(xlRTEQTYPE=$E1923),0))</f>
        <v>LPG_FA3</v>
      </c>
      <c r="Y1923" s="7" t="str">
        <f t="array" ref="Y1923">INDEX(xlRTTYNAME,MATCH(1,(xlRTTYENDU=2)*(xlRTTYEQCL=$F1923)*(xlRTEQTYPE=$G1923),0))</f>
        <v>CENT_AIR3</v>
      </c>
    </row>
    <row r="1924" spans="2:25" x14ac:dyDescent="0.2">
      <c r="B1924" s="152">
        <v>9</v>
      </c>
      <c r="C1924" s="152">
        <v>3</v>
      </c>
      <c r="D1924" s="152">
        <v>6</v>
      </c>
      <c r="E1924" s="152">
        <v>21</v>
      </c>
      <c r="F1924" s="152">
        <v>2</v>
      </c>
      <c r="G1924" s="152">
        <v>6</v>
      </c>
      <c r="H1924" s="152">
        <v>2029</v>
      </c>
      <c r="I1924" s="152">
        <v>2050</v>
      </c>
      <c r="J1924" s="229">
        <v>1.0761000000000001</v>
      </c>
      <c r="K1924" s="229">
        <v>1.0506</v>
      </c>
      <c r="L1924" s="229">
        <v>0.84919999999999995</v>
      </c>
      <c r="M1924" s="229">
        <v>1.1452</v>
      </c>
      <c r="N1924" s="229">
        <v>0.84670000000000001</v>
      </c>
      <c r="O1924" s="229">
        <v>1.0538000000000001</v>
      </c>
      <c r="P1924" s="155">
        <v>7323.6780829899262</v>
      </c>
      <c r="Q1924" s="41">
        <f t="array" ref="Q1924">SUM(IF(($S1924&gt;=4)*($C1924='TaxCred&amp;Subs'!$D$114:$D$121)*($H1924='TaxCred&amp;Subs'!$C$114:$C$121)*($H1924&lt;='TaxCred&amp;Subs'!$C$123),'TaxCred&amp;Subs'!$E$114:$E$121,0))</f>
        <v>0</v>
      </c>
      <c r="R1924" s="230">
        <v>0</v>
      </c>
      <c r="S1924" s="152">
        <v>3</v>
      </c>
      <c r="T1924" s="152" t="s">
        <v>239</v>
      </c>
      <c r="V1924" s="7" t="str">
        <f t="array" ref="V1924">INDEX(xlRTCLNAME,MATCH(1,(xlRTCLENDU=1)*(xlRTCLEQCL=$D1924),0))</f>
        <v>LPG_FA</v>
      </c>
      <c r="W1924" s="7" t="str">
        <f t="array" ref="W1924">INDEX(xlRTCLNAME,MATCH(1,(xlRTCLENDU=2)*(xlRTCLEQCL=$F1924),0))</f>
        <v>CENT_AIR</v>
      </c>
      <c r="X1924" s="7" t="str">
        <f t="array" ref="X1924">INDEX(xlRTTYNAME,MATCH(1,(xlRTTYENDU=1)*(xlRTTYEQCL=$D1924)*(xlRTEQTYPE=$E1924),0))</f>
        <v>LPG_FA4</v>
      </c>
      <c r="Y1924" s="7" t="str">
        <f t="array" ref="Y1924">INDEX(xlRTTYNAME,MATCH(1,(xlRTTYENDU=2)*(xlRTTYEQCL=$F1924)*(xlRTEQTYPE=$G1924),0))</f>
        <v>CENT_AIR3</v>
      </c>
    </row>
    <row r="1925" spans="2:25" x14ac:dyDescent="0.2">
      <c r="B1925" s="5">
        <v>2</v>
      </c>
      <c r="C1925" s="5">
        <v>3</v>
      </c>
      <c r="D1925" s="5">
        <v>7</v>
      </c>
      <c r="E1925" s="5">
        <v>24</v>
      </c>
      <c r="F1925" s="5">
        <v>2</v>
      </c>
      <c r="G1925" s="31">
        <v>6</v>
      </c>
      <c r="H1925" s="31">
        <v>2020</v>
      </c>
      <c r="I1925" s="5">
        <v>2050</v>
      </c>
      <c r="J1925" s="142">
        <v>1.0873999999999999</v>
      </c>
      <c r="K1925" s="142">
        <v>1.0638000000000001</v>
      </c>
      <c r="L1925" s="142">
        <v>0.74980000000000002</v>
      </c>
      <c r="M1925" s="142">
        <v>1.1226</v>
      </c>
      <c r="N1925" s="142">
        <v>0.84279999999999999</v>
      </c>
      <c r="O1925" s="142">
        <v>1.0538000000000001</v>
      </c>
      <c r="P1925" s="26">
        <v>8935.7746538555275</v>
      </c>
      <c r="Q1925" s="35">
        <f t="array" ref="Q1925">SUM(IF(($S1925&gt;=4)*($C1925='TaxCred&amp;Subs'!$D$114:$D$121)*($H1925='TaxCred&amp;Subs'!$C$114:$C$121)*($H1925&lt;='TaxCred&amp;Subs'!$C$123),'TaxCred&amp;Subs'!$E$114:$E$121,0))</f>
        <v>0</v>
      </c>
      <c r="R1925" s="143">
        <v>0</v>
      </c>
      <c r="S1925" s="5">
        <v>3</v>
      </c>
      <c r="T1925" s="5" t="s">
        <v>239</v>
      </c>
      <c r="V1925" s="7" t="str">
        <f t="array" ref="V1925">INDEX(xlRTCLNAME,MATCH(1,(xlRTCLENDU=1)*(xlRTCLEQCL=$D1925),0))</f>
        <v>DIST_FA</v>
      </c>
      <c r="W1925" s="7" t="str">
        <f t="array" ref="W1925">INDEX(xlRTCLNAME,MATCH(1,(xlRTCLENDU=2)*(xlRTCLEQCL=$F1925),0))</f>
        <v>CENT_AIR</v>
      </c>
      <c r="X1925" s="7" t="str">
        <f t="array" ref="X1925">INDEX(xlRTTYNAME,MATCH(1,(xlRTTYENDU=1)*(xlRTTYEQCL=$D1925)*(xlRTEQTYPE=$E1925),0))</f>
        <v>DIST_FA3</v>
      </c>
      <c r="Y1925" s="7" t="str">
        <f t="array" ref="Y1925">INDEX(xlRTTYNAME,MATCH(1,(xlRTTYENDU=2)*(xlRTTYEQCL=$F1925)*(xlRTEQTYPE=$G1925),0))</f>
        <v>CENT_AIR3</v>
      </c>
    </row>
    <row r="1926" spans="2:25" x14ac:dyDescent="0.2">
      <c r="B1926" s="5">
        <v>5</v>
      </c>
      <c r="C1926" s="5">
        <v>3</v>
      </c>
      <c r="D1926" s="5">
        <v>7</v>
      </c>
      <c r="E1926" s="5">
        <v>24</v>
      </c>
      <c r="F1926" s="5">
        <v>2</v>
      </c>
      <c r="G1926" s="31">
        <v>6</v>
      </c>
      <c r="H1926" s="31">
        <v>2020</v>
      </c>
      <c r="I1926" s="5">
        <v>2050</v>
      </c>
      <c r="J1926" s="142">
        <v>1.0667</v>
      </c>
      <c r="K1926" s="142">
        <v>1.0568</v>
      </c>
      <c r="L1926" s="142">
        <v>0.75439999999999996</v>
      </c>
      <c r="M1926" s="142">
        <v>1.0553999999999999</v>
      </c>
      <c r="N1926" s="142">
        <v>0.83260000000000001</v>
      </c>
      <c r="O1926" s="142">
        <v>1.0538000000000001</v>
      </c>
      <c r="P1926" s="26">
        <v>5465.5317435935476</v>
      </c>
      <c r="Q1926" s="35">
        <f t="array" ref="Q1926">SUM(IF(($S1926&gt;=4)*($C1926='TaxCred&amp;Subs'!$D$114:$D$121)*($H1926='TaxCred&amp;Subs'!$C$114:$C$121)*($H1926&lt;='TaxCred&amp;Subs'!$C$123),'TaxCred&amp;Subs'!$E$114:$E$121,0))</f>
        <v>0</v>
      </c>
      <c r="R1926" s="143">
        <v>0</v>
      </c>
      <c r="S1926" s="5">
        <v>3</v>
      </c>
      <c r="T1926" s="5" t="s">
        <v>239</v>
      </c>
      <c r="V1926" s="7" t="str">
        <f t="array" ref="V1926">INDEX(xlRTCLNAME,MATCH(1,(xlRTCLENDU=1)*(xlRTCLEQCL=$D1926),0))</f>
        <v>DIST_FA</v>
      </c>
      <c r="W1926" s="7" t="str">
        <f t="array" ref="W1926">INDEX(xlRTCLNAME,MATCH(1,(xlRTCLENDU=2)*(xlRTCLEQCL=$F1926),0))</f>
        <v>CENT_AIR</v>
      </c>
      <c r="X1926" s="7" t="str">
        <f t="array" ref="X1926">INDEX(xlRTTYNAME,MATCH(1,(xlRTTYENDU=1)*(xlRTTYEQCL=$D1926)*(xlRTEQTYPE=$E1926),0))</f>
        <v>DIST_FA3</v>
      </c>
      <c r="Y1926" s="7" t="str">
        <f t="array" ref="Y1926">INDEX(xlRTTYNAME,MATCH(1,(xlRTTYENDU=2)*(xlRTTYEQCL=$F1926)*(xlRTEQTYPE=$G1926),0))</f>
        <v>CENT_AIR3</v>
      </c>
    </row>
    <row r="1927" spans="2:25" x14ac:dyDescent="0.2">
      <c r="B1927" s="5">
        <v>6</v>
      </c>
      <c r="C1927" s="5">
        <v>3</v>
      </c>
      <c r="D1927" s="5">
        <v>7</v>
      </c>
      <c r="E1927" s="5">
        <v>24</v>
      </c>
      <c r="F1927" s="5">
        <v>2</v>
      </c>
      <c r="G1927" s="31">
        <v>6</v>
      </c>
      <c r="H1927" s="31">
        <v>2020</v>
      </c>
      <c r="I1927" s="5">
        <v>2050</v>
      </c>
      <c r="J1927" s="142">
        <v>1.0896999999999999</v>
      </c>
      <c r="K1927" s="142">
        <v>1.0723</v>
      </c>
      <c r="L1927" s="142">
        <v>0.80100000000000005</v>
      </c>
      <c r="M1927" s="142">
        <v>1.0627</v>
      </c>
      <c r="N1927" s="142">
        <v>0.80269999999999997</v>
      </c>
      <c r="O1927" s="142">
        <v>1.0538000000000001</v>
      </c>
      <c r="P1927" s="26">
        <v>5292.0868247931612</v>
      </c>
      <c r="Q1927" s="35">
        <f t="array" ref="Q1927">SUM(IF(($S1927&gt;=4)*($C1927='TaxCred&amp;Subs'!$D$114:$D$121)*($H1927='TaxCred&amp;Subs'!$C$114:$C$121)*($H1927&lt;='TaxCred&amp;Subs'!$C$123),'TaxCred&amp;Subs'!$E$114:$E$121,0))</f>
        <v>0</v>
      </c>
      <c r="R1927" s="143">
        <v>0</v>
      </c>
      <c r="S1927" s="5">
        <v>3</v>
      </c>
      <c r="T1927" s="5" t="s">
        <v>239</v>
      </c>
      <c r="V1927" s="7" t="str">
        <f t="array" ref="V1927">INDEX(xlRTCLNAME,MATCH(1,(xlRTCLENDU=1)*(xlRTCLEQCL=$D1927),0))</f>
        <v>DIST_FA</v>
      </c>
      <c r="W1927" s="7" t="str">
        <f t="array" ref="W1927">INDEX(xlRTCLNAME,MATCH(1,(xlRTCLENDU=2)*(xlRTCLEQCL=$F1927),0))</f>
        <v>CENT_AIR</v>
      </c>
      <c r="X1927" s="7" t="str">
        <f t="array" ref="X1927">INDEX(xlRTTYNAME,MATCH(1,(xlRTTYENDU=1)*(xlRTTYEQCL=$D1927)*(xlRTEQTYPE=$E1927),0))</f>
        <v>DIST_FA3</v>
      </c>
      <c r="Y1927" s="7" t="str">
        <f t="array" ref="Y1927">INDEX(xlRTTYNAME,MATCH(1,(xlRTTYENDU=2)*(xlRTTYEQCL=$F1927)*(xlRTEQTYPE=$G1927),0))</f>
        <v>CENT_AIR3</v>
      </c>
    </row>
    <row r="1928" spans="2:25" x14ac:dyDescent="0.2">
      <c r="B1928" s="5">
        <v>7</v>
      </c>
      <c r="C1928" s="5">
        <v>3</v>
      </c>
      <c r="D1928" s="5">
        <v>7</v>
      </c>
      <c r="E1928" s="5">
        <v>24</v>
      </c>
      <c r="F1928" s="5">
        <v>2</v>
      </c>
      <c r="G1928" s="31">
        <v>6</v>
      </c>
      <c r="H1928" s="31">
        <v>2020</v>
      </c>
      <c r="I1928" s="5">
        <v>2050</v>
      </c>
      <c r="J1928" s="142">
        <v>1.0940000000000001</v>
      </c>
      <c r="K1928" s="142">
        <v>1.0512999999999999</v>
      </c>
      <c r="L1928" s="142">
        <v>0.85360000000000003</v>
      </c>
      <c r="M1928" s="142">
        <v>1.0709</v>
      </c>
      <c r="N1928" s="142">
        <v>0.81289999999999996</v>
      </c>
      <c r="O1928" s="142">
        <v>1.0538000000000001</v>
      </c>
      <c r="P1928" s="26">
        <v>3727.0489528268909</v>
      </c>
      <c r="Q1928" s="35">
        <f t="array" ref="Q1928">SUM(IF(($S1928&gt;=4)*($C1928='TaxCred&amp;Subs'!$D$114:$D$121)*($H1928='TaxCred&amp;Subs'!$C$114:$C$121)*($H1928&lt;='TaxCred&amp;Subs'!$C$123),'TaxCred&amp;Subs'!$E$114:$E$121,0))</f>
        <v>0</v>
      </c>
      <c r="R1928" s="143">
        <v>0</v>
      </c>
      <c r="S1928" s="5">
        <v>3</v>
      </c>
      <c r="T1928" s="5" t="s">
        <v>239</v>
      </c>
      <c r="V1928" s="7" t="str">
        <f t="array" ref="V1928">INDEX(xlRTCLNAME,MATCH(1,(xlRTCLENDU=1)*(xlRTCLEQCL=$D1928),0))</f>
        <v>DIST_FA</v>
      </c>
      <c r="W1928" s="7" t="str">
        <f t="array" ref="W1928">INDEX(xlRTCLNAME,MATCH(1,(xlRTCLENDU=2)*(xlRTCLEQCL=$F1928),0))</f>
        <v>CENT_AIR</v>
      </c>
      <c r="X1928" s="7" t="str">
        <f t="array" ref="X1928">INDEX(xlRTTYNAME,MATCH(1,(xlRTTYENDU=1)*(xlRTTYEQCL=$D1928)*(xlRTEQTYPE=$E1928),0))</f>
        <v>DIST_FA3</v>
      </c>
      <c r="Y1928" s="7" t="str">
        <f t="array" ref="Y1928">INDEX(xlRTTYNAME,MATCH(1,(xlRTTYENDU=2)*(xlRTTYEQCL=$F1928)*(xlRTEQTYPE=$G1928),0))</f>
        <v>CENT_AIR3</v>
      </c>
    </row>
    <row r="1929" spans="2:25" x14ac:dyDescent="0.2">
      <c r="B1929" s="5">
        <v>9</v>
      </c>
      <c r="C1929" s="5">
        <v>3</v>
      </c>
      <c r="D1929" s="5">
        <v>7</v>
      </c>
      <c r="E1929" s="5">
        <v>24</v>
      </c>
      <c r="F1929" s="5">
        <v>2</v>
      </c>
      <c r="G1929" s="31">
        <v>6</v>
      </c>
      <c r="H1929" s="31">
        <v>2020</v>
      </c>
      <c r="I1929" s="5">
        <v>2050</v>
      </c>
      <c r="J1929" s="142">
        <v>1.0743</v>
      </c>
      <c r="K1929" s="142">
        <v>1.0519000000000001</v>
      </c>
      <c r="L1929" s="142">
        <v>0.82989999999999997</v>
      </c>
      <c r="M1929" s="142">
        <v>1.1548</v>
      </c>
      <c r="N1929" s="142">
        <v>0.84240000000000004</v>
      </c>
      <c r="O1929" s="142">
        <v>1.0538000000000001</v>
      </c>
      <c r="P1929" s="26">
        <v>8625.1872411199511</v>
      </c>
      <c r="Q1929" s="35">
        <f t="array" ref="Q1929">SUM(IF(($S1929&gt;=4)*($C1929='TaxCred&amp;Subs'!$D$114:$D$121)*($H1929='TaxCred&amp;Subs'!$C$114:$C$121)*($H1929&lt;='TaxCred&amp;Subs'!$C$123),'TaxCred&amp;Subs'!$E$114:$E$121,0))</f>
        <v>0</v>
      </c>
      <c r="R1929" s="143">
        <v>0</v>
      </c>
      <c r="S1929" s="5">
        <v>3</v>
      </c>
      <c r="T1929" s="5" t="s">
        <v>239</v>
      </c>
      <c r="V1929" s="7" t="str">
        <f t="array" ref="V1929">INDEX(xlRTCLNAME,MATCH(1,(xlRTCLENDU=1)*(xlRTCLEQCL=$D1929),0))</f>
        <v>DIST_FA</v>
      </c>
      <c r="W1929" s="7" t="str">
        <f t="array" ref="W1929">INDEX(xlRTCLNAME,MATCH(1,(xlRTCLENDU=2)*(xlRTCLEQCL=$F1929),0))</f>
        <v>CENT_AIR</v>
      </c>
      <c r="X1929" s="7" t="str">
        <f t="array" ref="X1929">INDEX(xlRTTYNAME,MATCH(1,(xlRTTYENDU=1)*(xlRTTYEQCL=$D1929)*(xlRTEQTYPE=$E1929),0))</f>
        <v>DIST_FA3</v>
      </c>
      <c r="Y1929" s="7" t="str">
        <f t="array" ref="Y1929">INDEX(xlRTTYNAME,MATCH(1,(xlRTTYENDU=2)*(xlRTTYEQCL=$F1929)*(xlRTEQTYPE=$G1929),0))</f>
        <v>CENT_AIR3</v>
      </c>
    </row>
    <row r="1930" spans="2:25" x14ac:dyDescent="0.2">
      <c r="B1930" s="5">
        <v>5</v>
      </c>
      <c r="C1930" s="5">
        <v>3</v>
      </c>
      <c r="D1930" s="5">
        <v>8</v>
      </c>
      <c r="E1930" s="31">
        <v>27</v>
      </c>
      <c r="F1930" s="5">
        <v>2</v>
      </c>
      <c r="G1930" s="31">
        <v>6</v>
      </c>
      <c r="H1930" s="31">
        <v>2020</v>
      </c>
      <c r="I1930" s="5">
        <v>2050</v>
      </c>
      <c r="J1930" s="142">
        <v>1.0940000000000001</v>
      </c>
      <c r="K1930" s="142">
        <v>1.0575000000000001</v>
      </c>
      <c r="L1930" s="142">
        <v>0.78359999999999996</v>
      </c>
      <c r="M1930" s="142">
        <v>1.0437000000000001</v>
      </c>
      <c r="N1930" s="142">
        <v>0.83130000000000004</v>
      </c>
      <c r="O1930" s="142">
        <v>1.0538000000000001</v>
      </c>
      <c r="P1930" s="26">
        <v>6199.647446423086</v>
      </c>
      <c r="Q1930" s="35">
        <f t="array" ref="Q1930">SUM(IF(($S1930&gt;=4)*($C1930='TaxCred&amp;Subs'!$D$114:$D$121)*($H1930='TaxCred&amp;Subs'!$C$114:$C$121)*($H1930&lt;='TaxCred&amp;Subs'!$C$123),'TaxCred&amp;Subs'!$E$114:$E$121,0))</f>
        <v>0</v>
      </c>
      <c r="R1930" s="143">
        <v>0</v>
      </c>
      <c r="S1930" s="5">
        <v>3</v>
      </c>
      <c r="T1930" s="5" t="s">
        <v>239</v>
      </c>
      <c r="V1930" s="7" t="str">
        <f t="array" ref="V1930">INDEX(xlRTCLNAME,MATCH(1,(xlRTCLENDU=1)*(xlRTCLEQCL=$D1930),0))</f>
        <v>DIST_RAD</v>
      </c>
      <c r="W1930" s="7" t="str">
        <f t="array" ref="W1930">INDEX(xlRTCLNAME,MATCH(1,(xlRTCLENDU=2)*(xlRTCLEQCL=$F1930),0))</f>
        <v>CENT_AIR</v>
      </c>
      <c r="X1930" s="7" t="str">
        <f t="array" ref="X1930">INDEX(xlRTTYNAME,MATCH(1,(xlRTTYENDU=1)*(xlRTTYEQCL=$D1930)*(xlRTEQTYPE=$E1930),0))</f>
        <v>DIST_RAD3</v>
      </c>
      <c r="Y1930" s="7" t="str">
        <f t="array" ref="Y1930">INDEX(xlRTTYNAME,MATCH(1,(xlRTTYENDU=2)*(xlRTTYEQCL=$F1930)*(xlRTEQTYPE=$G1930),0))</f>
        <v>CENT_AIR3</v>
      </c>
    </row>
    <row r="1931" spans="2:25" x14ac:dyDescent="0.2">
      <c r="B1931" s="5">
        <v>6</v>
      </c>
      <c r="C1931" s="5">
        <v>3</v>
      </c>
      <c r="D1931" s="5">
        <v>8</v>
      </c>
      <c r="E1931" s="31">
        <v>27</v>
      </c>
      <c r="F1931" s="5">
        <v>2</v>
      </c>
      <c r="G1931" s="31">
        <v>6</v>
      </c>
      <c r="H1931" s="31">
        <v>2020</v>
      </c>
      <c r="I1931" s="5">
        <v>2050</v>
      </c>
      <c r="J1931" s="142">
        <v>1.0873999999999999</v>
      </c>
      <c r="K1931" s="142">
        <v>1.0609999999999999</v>
      </c>
      <c r="L1931" s="142">
        <v>0.86419999999999997</v>
      </c>
      <c r="M1931" s="142">
        <v>1.0437000000000001</v>
      </c>
      <c r="N1931" s="142">
        <v>0.80189999999999995</v>
      </c>
      <c r="O1931" s="142">
        <v>1.0538000000000001</v>
      </c>
      <c r="P1931" s="26">
        <v>5754.6066082608559</v>
      </c>
      <c r="Q1931" s="35">
        <f t="array" ref="Q1931">SUM(IF(($S1931&gt;=4)*($C1931='TaxCred&amp;Subs'!$D$114:$D$121)*($H1931='TaxCred&amp;Subs'!$C$114:$C$121)*($H1931&lt;='TaxCred&amp;Subs'!$C$123),'TaxCred&amp;Subs'!$E$114:$E$121,0))</f>
        <v>0</v>
      </c>
      <c r="R1931" s="143">
        <v>0</v>
      </c>
      <c r="S1931" s="5">
        <v>3</v>
      </c>
      <c r="T1931" s="5" t="s">
        <v>239</v>
      </c>
      <c r="V1931" s="7" t="str">
        <f t="array" ref="V1931">INDEX(xlRTCLNAME,MATCH(1,(xlRTCLENDU=1)*(xlRTCLEQCL=$D1931),0))</f>
        <v>DIST_RAD</v>
      </c>
      <c r="W1931" s="7" t="str">
        <f t="array" ref="W1931">INDEX(xlRTCLNAME,MATCH(1,(xlRTCLENDU=2)*(xlRTCLEQCL=$F1931),0))</f>
        <v>CENT_AIR</v>
      </c>
      <c r="X1931" s="7" t="str">
        <f t="array" ref="X1931">INDEX(xlRTTYNAME,MATCH(1,(xlRTTYENDU=1)*(xlRTTYEQCL=$D1931)*(xlRTEQTYPE=$E1931),0))</f>
        <v>DIST_RAD3</v>
      </c>
      <c r="Y1931" s="7" t="str">
        <f t="array" ref="Y1931">INDEX(xlRTTYNAME,MATCH(1,(xlRTTYENDU=2)*(xlRTTYEQCL=$F1931)*(xlRTEQTYPE=$G1931),0))</f>
        <v>CENT_AIR3</v>
      </c>
    </row>
    <row r="1932" spans="2:25" x14ac:dyDescent="0.2">
      <c r="B1932" s="5">
        <v>7</v>
      </c>
      <c r="C1932" s="5">
        <v>3</v>
      </c>
      <c r="D1932" s="5">
        <v>8</v>
      </c>
      <c r="E1932" s="31">
        <v>27</v>
      </c>
      <c r="F1932" s="5">
        <v>2</v>
      </c>
      <c r="G1932" s="31">
        <v>6</v>
      </c>
      <c r="H1932" s="31">
        <v>2020</v>
      </c>
      <c r="I1932" s="5">
        <v>2050</v>
      </c>
      <c r="J1932" s="142">
        <v>1.0826</v>
      </c>
      <c r="K1932" s="142">
        <v>1.0412999999999999</v>
      </c>
      <c r="L1932" s="142">
        <v>0.85299999999999998</v>
      </c>
      <c r="M1932" s="142">
        <v>1.0797000000000001</v>
      </c>
      <c r="N1932" s="142">
        <v>0.8125</v>
      </c>
      <c r="O1932" s="142">
        <v>1.0538000000000001</v>
      </c>
      <c r="P1932" s="26">
        <v>3901.8384058815432</v>
      </c>
      <c r="Q1932" s="35">
        <f t="array" ref="Q1932">SUM(IF(($S1932&gt;=4)*($C1932='TaxCred&amp;Subs'!$D$114:$D$121)*($H1932='TaxCred&amp;Subs'!$C$114:$C$121)*($H1932&lt;='TaxCred&amp;Subs'!$C$123),'TaxCred&amp;Subs'!$E$114:$E$121,0))</f>
        <v>0</v>
      </c>
      <c r="R1932" s="143">
        <v>0</v>
      </c>
      <c r="S1932" s="5">
        <v>3</v>
      </c>
      <c r="T1932" s="5" t="s">
        <v>239</v>
      </c>
      <c r="V1932" s="7" t="str">
        <f t="array" ref="V1932">INDEX(xlRTCLNAME,MATCH(1,(xlRTCLENDU=1)*(xlRTCLEQCL=$D1932),0))</f>
        <v>DIST_RAD</v>
      </c>
      <c r="W1932" s="7" t="str">
        <f t="array" ref="W1932">INDEX(xlRTCLNAME,MATCH(1,(xlRTCLENDU=2)*(xlRTCLEQCL=$F1932),0))</f>
        <v>CENT_AIR</v>
      </c>
      <c r="X1932" s="7" t="str">
        <f t="array" ref="X1932">INDEX(xlRTTYNAME,MATCH(1,(xlRTTYENDU=1)*(xlRTTYEQCL=$D1932)*(xlRTEQTYPE=$E1932),0))</f>
        <v>DIST_RAD3</v>
      </c>
      <c r="Y1932" s="7" t="str">
        <f t="array" ref="Y1932">INDEX(xlRTTYNAME,MATCH(1,(xlRTTYENDU=2)*(xlRTTYEQCL=$F1932)*(xlRTEQTYPE=$G1932),0))</f>
        <v>CENT_AIR3</v>
      </c>
    </row>
    <row r="1933" spans="2:25" x14ac:dyDescent="0.2">
      <c r="B1933" s="5">
        <v>9</v>
      </c>
      <c r="C1933" s="5">
        <v>3</v>
      </c>
      <c r="D1933" s="5">
        <v>8</v>
      </c>
      <c r="E1933" s="31">
        <v>27</v>
      </c>
      <c r="F1933" s="5">
        <v>2</v>
      </c>
      <c r="G1933" s="31">
        <v>6</v>
      </c>
      <c r="H1933" s="31">
        <v>2020</v>
      </c>
      <c r="I1933" s="5">
        <v>2050</v>
      </c>
      <c r="J1933" s="142">
        <v>1.0845</v>
      </c>
      <c r="K1933" s="142">
        <v>1.0658000000000001</v>
      </c>
      <c r="L1933" s="142">
        <v>0.80379999999999996</v>
      </c>
      <c r="M1933" s="142">
        <v>1.1217999999999999</v>
      </c>
      <c r="N1933" s="142">
        <v>0.84079999999999999</v>
      </c>
      <c r="O1933" s="142">
        <v>1.0538000000000001</v>
      </c>
      <c r="P1933" s="26">
        <v>8892.7495577189966</v>
      </c>
      <c r="Q1933" s="35">
        <f t="array" ref="Q1933">SUM(IF(($S1933&gt;=4)*($C1933='TaxCred&amp;Subs'!$D$114:$D$121)*($H1933='TaxCred&amp;Subs'!$C$114:$C$121)*($H1933&lt;='TaxCred&amp;Subs'!$C$123),'TaxCred&amp;Subs'!$E$114:$E$121,0))</f>
        <v>0</v>
      </c>
      <c r="R1933" s="143">
        <v>0</v>
      </c>
      <c r="S1933" s="5">
        <v>3</v>
      </c>
      <c r="T1933" s="5" t="s">
        <v>239</v>
      </c>
      <c r="V1933" s="7" t="str">
        <f t="array" ref="V1933">INDEX(xlRTCLNAME,MATCH(1,(xlRTCLENDU=1)*(xlRTCLEQCL=$D1933),0))</f>
        <v>DIST_RAD</v>
      </c>
      <c r="W1933" s="7" t="str">
        <f t="array" ref="W1933">INDEX(xlRTCLNAME,MATCH(1,(xlRTCLENDU=2)*(xlRTCLEQCL=$F1933),0))</f>
        <v>CENT_AIR</v>
      </c>
      <c r="X1933" s="7" t="str">
        <f t="array" ref="X1933">INDEX(xlRTTYNAME,MATCH(1,(xlRTTYENDU=1)*(xlRTTYEQCL=$D1933)*(xlRTEQTYPE=$E1933),0))</f>
        <v>DIST_RAD3</v>
      </c>
      <c r="Y1933" s="7" t="str">
        <f t="array" ref="Y1933">INDEX(xlRTTYNAME,MATCH(1,(xlRTTYENDU=2)*(xlRTTYEQCL=$F1933)*(xlRTEQTYPE=$G1933),0))</f>
        <v>CENT_AIR3</v>
      </c>
    </row>
    <row r="1934" spans="2:25" x14ac:dyDescent="0.2">
      <c r="B1934" s="5">
        <v>5</v>
      </c>
      <c r="C1934" s="5">
        <v>3</v>
      </c>
      <c r="D1934" s="5">
        <v>9</v>
      </c>
      <c r="E1934" s="31">
        <v>29</v>
      </c>
      <c r="F1934" s="5">
        <v>2</v>
      </c>
      <c r="G1934" s="31">
        <v>6</v>
      </c>
      <c r="H1934" s="31">
        <v>2020</v>
      </c>
      <c r="I1934" s="5">
        <v>2050</v>
      </c>
      <c r="J1934" s="142">
        <v>1.0940000000000001</v>
      </c>
      <c r="K1934" s="142">
        <v>1.0575000000000001</v>
      </c>
      <c r="L1934" s="142">
        <v>0.78359999999999996</v>
      </c>
      <c r="M1934" s="142">
        <v>1.0437000000000001</v>
      </c>
      <c r="N1934" s="142">
        <v>0.83130000000000004</v>
      </c>
      <c r="O1934" s="142">
        <v>1.0538000000000001</v>
      </c>
      <c r="P1934" s="26">
        <v>6199.647446423086</v>
      </c>
      <c r="Q1934" s="35">
        <f t="array" ref="Q1934">SUM(IF(($S1934&gt;=4)*($C1934='TaxCred&amp;Subs'!$D$114:$D$121)*($H1934='TaxCred&amp;Subs'!$C$114:$C$121)*($H1934&lt;='TaxCred&amp;Subs'!$C$123),'TaxCred&amp;Subs'!$E$114:$E$121,0))</f>
        <v>0</v>
      </c>
      <c r="R1934" s="143">
        <v>0</v>
      </c>
      <c r="S1934" s="5">
        <v>3</v>
      </c>
      <c r="T1934" s="5" t="s">
        <v>239</v>
      </c>
      <c r="V1934" s="7" t="str">
        <f t="array" ref="V1934">INDEX(xlRTCLNAME,MATCH(1,(xlRTCLENDU=1)*(xlRTCLEQCL=$D1934),0))</f>
        <v>WOOD_HT</v>
      </c>
      <c r="W1934" s="7" t="str">
        <f t="array" ref="W1934">INDEX(xlRTCLNAME,MATCH(1,(xlRTCLENDU=2)*(xlRTCLEQCL=$F1934),0))</f>
        <v>CENT_AIR</v>
      </c>
      <c r="X1934" s="7" t="str">
        <f t="array" ref="X1934">INDEX(xlRTTYNAME,MATCH(1,(xlRTTYENDU=1)*(xlRTTYEQCL=$D1934)*(xlRTEQTYPE=$E1934),0))</f>
        <v>WOOD_HT2</v>
      </c>
      <c r="Y1934" s="7" t="str">
        <f t="array" ref="Y1934">INDEX(xlRTTYNAME,MATCH(1,(xlRTTYENDU=2)*(xlRTTYEQCL=$F1934)*(xlRTEQTYPE=$G1934),0))</f>
        <v>CENT_AIR3</v>
      </c>
    </row>
    <row r="1935" spans="2:25" x14ac:dyDescent="0.2">
      <c r="B1935" s="5">
        <v>6</v>
      </c>
      <c r="C1935" s="5">
        <v>3</v>
      </c>
      <c r="D1935" s="5">
        <v>9</v>
      </c>
      <c r="E1935" s="31">
        <v>29</v>
      </c>
      <c r="F1935" s="5">
        <v>2</v>
      </c>
      <c r="G1935" s="31">
        <v>6</v>
      </c>
      <c r="H1935" s="31">
        <v>2020</v>
      </c>
      <c r="I1935" s="5">
        <v>2050</v>
      </c>
      <c r="J1935" s="142">
        <v>1.0873999999999999</v>
      </c>
      <c r="K1935" s="142">
        <v>1.0609999999999999</v>
      </c>
      <c r="L1935" s="142">
        <v>0.86419999999999997</v>
      </c>
      <c r="M1935" s="142">
        <v>1.0437000000000001</v>
      </c>
      <c r="N1935" s="142">
        <v>0.80189999999999995</v>
      </c>
      <c r="O1935" s="142">
        <v>1.0538000000000001</v>
      </c>
      <c r="P1935" s="26">
        <v>5754.6066082608559</v>
      </c>
      <c r="Q1935" s="35">
        <f t="array" ref="Q1935">SUM(IF(($S1935&gt;=4)*($C1935='TaxCred&amp;Subs'!$D$114:$D$121)*($H1935='TaxCred&amp;Subs'!$C$114:$C$121)*($H1935&lt;='TaxCred&amp;Subs'!$C$123),'TaxCred&amp;Subs'!$E$114:$E$121,0))</f>
        <v>0</v>
      </c>
      <c r="R1935" s="143">
        <v>0</v>
      </c>
      <c r="S1935" s="5">
        <v>3</v>
      </c>
      <c r="T1935" s="5" t="s">
        <v>239</v>
      </c>
      <c r="V1935" s="7" t="str">
        <f t="array" ref="V1935">INDEX(xlRTCLNAME,MATCH(1,(xlRTCLENDU=1)*(xlRTCLEQCL=$D1935),0))</f>
        <v>WOOD_HT</v>
      </c>
      <c r="W1935" s="7" t="str">
        <f t="array" ref="W1935">INDEX(xlRTCLNAME,MATCH(1,(xlRTCLENDU=2)*(xlRTCLEQCL=$F1935),0))</f>
        <v>CENT_AIR</v>
      </c>
      <c r="X1935" s="7" t="str">
        <f t="array" ref="X1935">INDEX(xlRTTYNAME,MATCH(1,(xlRTTYENDU=1)*(xlRTTYEQCL=$D1935)*(xlRTEQTYPE=$E1935),0))</f>
        <v>WOOD_HT2</v>
      </c>
      <c r="Y1935" s="7" t="str">
        <f t="array" ref="Y1935">INDEX(xlRTTYNAME,MATCH(1,(xlRTTYENDU=2)*(xlRTTYEQCL=$F1935)*(xlRTEQTYPE=$G1935),0))</f>
        <v>CENT_AIR3</v>
      </c>
    </row>
    <row r="1936" spans="2:25" x14ac:dyDescent="0.2">
      <c r="B1936" s="5">
        <v>7</v>
      </c>
      <c r="C1936" s="5">
        <v>3</v>
      </c>
      <c r="D1936" s="5">
        <v>9</v>
      </c>
      <c r="E1936" s="31">
        <v>29</v>
      </c>
      <c r="F1936" s="5">
        <v>2</v>
      </c>
      <c r="G1936" s="31">
        <v>6</v>
      </c>
      <c r="H1936" s="31">
        <v>2020</v>
      </c>
      <c r="I1936" s="5">
        <v>2050</v>
      </c>
      <c r="J1936" s="142">
        <v>1.0826</v>
      </c>
      <c r="K1936" s="142">
        <v>1.0412999999999999</v>
      </c>
      <c r="L1936" s="142">
        <v>0.85299999999999998</v>
      </c>
      <c r="M1936" s="142">
        <v>1.0797000000000001</v>
      </c>
      <c r="N1936" s="142">
        <v>0.8125</v>
      </c>
      <c r="O1936" s="142">
        <v>1.0538000000000001</v>
      </c>
      <c r="P1936" s="26">
        <v>3901.8384058815432</v>
      </c>
      <c r="Q1936" s="35">
        <f t="array" ref="Q1936">SUM(IF(($S1936&gt;=4)*($C1936='TaxCred&amp;Subs'!$D$114:$D$121)*($H1936='TaxCred&amp;Subs'!$C$114:$C$121)*($H1936&lt;='TaxCred&amp;Subs'!$C$123),'TaxCred&amp;Subs'!$E$114:$E$121,0))</f>
        <v>0</v>
      </c>
      <c r="R1936" s="143">
        <v>0</v>
      </c>
      <c r="S1936" s="5">
        <v>3</v>
      </c>
      <c r="T1936" s="5" t="s">
        <v>239</v>
      </c>
      <c r="V1936" s="7" t="str">
        <f t="array" ref="V1936">INDEX(xlRTCLNAME,MATCH(1,(xlRTCLENDU=1)*(xlRTCLEQCL=$D1936),0))</f>
        <v>WOOD_HT</v>
      </c>
      <c r="W1936" s="7" t="str">
        <f t="array" ref="W1936">INDEX(xlRTCLNAME,MATCH(1,(xlRTCLENDU=2)*(xlRTCLEQCL=$F1936),0))</f>
        <v>CENT_AIR</v>
      </c>
      <c r="X1936" s="7" t="str">
        <f t="array" ref="X1936">INDEX(xlRTTYNAME,MATCH(1,(xlRTTYENDU=1)*(xlRTTYEQCL=$D1936)*(xlRTEQTYPE=$E1936),0))</f>
        <v>WOOD_HT2</v>
      </c>
      <c r="Y1936" s="7" t="str">
        <f t="array" ref="Y1936">INDEX(xlRTTYNAME,MATCH(1,(xlRTTYENDU=2)*(xlRTTYEQCL=$F1936)*(xlRTEQTYPE=$G1936),0))</f>
        <v>CENT_AIR3</v>
      </c>
    </row>
    <row r="1937" spans="1:25" x14ac:dyDescent="0.2">
      <c r="B1937" s="5">
        <v>9</v>
      </c>
      <c r="C1937" s="5">
        <v>3</v>
      </c>
      <c r="D1937" s="5">
        <v>9</v>
      </c>
      <c r="E1937" s="31">
        <v>29</v>
      </c>
      <c r="F1937" s="5">
        <v>2</v>
      </c>
      <c r="G1937" s="31">
        <v>6</v>
      </c>
      <c r="H1937" s="31">
        <v>2020</v>
      </c>
      <c r="I1937" s="5">
        <v>2050</v>
      </c>
      <c r="J1937" s="142">
        <v>1.0845</v>
      </c>
      <c r="K1937" s="142">
        <v>1.0658000000000001</v>
      </c>
      <c r="L1937" s="142">
        <v>0.80379999999999996</v>
      </c>
      <c r="M1937" s="142">
        <v>1.1217999999999999</v>
      </c>
      <c r="N1937" s="142">
        <v>0.84079999999999999</v>
      </c>
      <c r="O1937" s="142">
        <v>1.0538000000000001</v>
      </c>
      <c r="P1937" s="26">
        <v>8892.7495577189966</v>
      </c>
      <c r="Q1937" s="35">
        <f t="array" ref="Q1937">SUM(IF(($S1937&gt;=4)*($C1937='TaxCred&amp;Subs'!$D$114:$D$121)*($H1937='TaxCred&amp;Subs'!$C$114:$C$121)*($H1937&lt;='TaxCred&amp;Subs'!$C$123),'TaxCred&amp;Subs'!$E$114:$E$121,0))</f>
        <v>0</v>
      </c>
      <c r="R1937" s="143">
        <v>0</v>
      </c>
      <c r="S1937" s="5">
        <v>3</v>
      </c>
      <c r="T1937" s="5" t="s">
        <v>239</v>
      </c>
      <c r="V1937" s="7" t="str">
        <f t="array" ref="V1937">INDEX(xlRTCLNAME,MATCH(1,(xlRTCLENDU=1)*(xlRTCLEQCL=$D1937),0))</f>
        <v>WOOD_HT</v>
      </c>
      <c r="W1937" s="7" t="str">
        <f t="array" ref="W1937">INDEX(xlRTCLNAME,MATCH(1,(xlRTCLENDU=2)*(xlRTCLEQCL=$F1937),0))</f>
        <v>CENT_AIR</v>
      </c>
      <c r="X1937" s="7" t="str">
        <f t="array" ref="X1937">INDEX(xlRTTYNAME,MATCH(1,(xlRTTYENDU=1)*(xlRTTYEQCL=$D1937)*(xlRTEQTYPE=$E1937),0))</f>
        <v>WOOD_HT2</v>
      </c>
      <c r="Y1937" s="7" t="str">
        <f t="array" ref="Y1937">INDEX(xlRTTYNAME,MATCH(1,(xlRTTYENDU=2)*(xlRTTYEQCL=$F1937)*(xlRTEQTYPE=$G1937),0))</f>
        <v>CENT_AIR3</v>
      </c>
    </row>
    <row r="1938" spans="1:25" x14ac:dyDescent="0.2">
      <c r="B1938" s="5">
        <v>2</v>
      </c>
      <c r="C1938" s="5">
        <v>3</v>
      </c>
      <c r="D1938" s="5">
        <v>10</v>
      </c>
      <c r="E1938" s="31">
        <v>33</v>
      </c>
      <c r="F1938" s="5">
        <v>4</v>
      </c>
      <c r="G1938" s="31">
        <v>14</v>
      </c>
      <c r="H1938" s="31">
        <v>2020</v>
      </c>
      <c r="I1938" s="5">
        <v>2050</v>
      </c>
      <c r="J1938" s="142">
        <v>1.0832999999999999</v>
      </c>
      <c r="K1938" s="142">
        <v>1.0713999999999999</v>
      </c>
      <c r="L1938" s="142">
        <v>0.84299999999999997</v>
      </c>
      <c r="M1938" s="142">
        <v>1.1524000000000001</v>
      </c>
      <c r="N1938" s="142">
        <v>0.86450000000000005</v>
      </c>
      <c r="O1938" s="142">
        <v>1.0538000000000001</v>
      </c>
      <c r="P1938" s="26">
        <v>8783.8422831234057</v>
      </c>
      <c r="Q1938" s="35">
        <f t="array" ref="Q1938">SUM(IF(($S1938&gt;=4)*($C1938='TaxCred&amp;Subs'!$D$114:$D$121)*($H1938='TaxCred&amp;Subs'!$C$114:$C$121)*($H1938&lt;='TaxCred&amp;Subs'!$C$123),'TaxCred&amp;Subs'!$E$114:$E$121,0))</f>
        <v>0</v>
      </c>
      <c r="R1938" s="143">
        <v>0</v>
      </c>
      <c r="S1938" s="5">
        <v>3</v>
      </c>
      <c r="T1938" s="5" t="s">
        <v>239</v>
      </c>
      <c r="V1938" s="7" t="str">
        <f t="array" ref="V1938">INDEX(xlRTCLNAME,MATCH(1,(xlRTCLENDU=1)*(xlRTCLEQCL=$D1938),0))</f>
        <v>GEO_HP</v>
      </c>
      <c r="W1938" s="7" t="str">
        <f t="array" ref="W1938">INDEX(xlRTCLNAME,MATCH(1,(xlRTCLENDU=2)*(xlRTCLEQCL=$F1938),0))</f>
        <v>GEO_HP</v>
      </c>
      <c r="X1938" s="7" t="str">
        <f t="array" ref="X1938">INDEX(xlRTTYNAME,MATCH(1,(xlRTTYENDU=1)*(xlRTTYEQCL=$D1938)*(xlRTEQTYPE=$E1938),0))</f>
        <v>GEO_HP3</v>
      </c>
      <c r="Y1938" s="7" t="str">
        <f t="array" ref="Y1938">INDEX(xlRTTYNAME,MATCH(1,(xlRTTYENDU=2)*(xlRTTYEQCL=$F1938)*(xlRTEQTYPE=$G1938),0))</f>
        <v>GEO_HP3</v>
      </c>
    </row>
    <row r="1939" spans="1:25" x14ac:dyDescent="0.2">
      <c r="B1939" s="5">
        <v>5</v>
      </c>
      <c r="C1939" s="5">
        <v>3</v>
      </c>
      <c r="D1939" s="5">
        <v>10</v>
      </c>
      <c r="E1939" s="31">
        <v>33</v>
      </c>
      <c r="F1939" s="5">
        <v>4</v>
      </c>
      <c r="G1939" s="31">
        <v>14</v>
      </c>
      <c r="H1939" s="31">
        <v>2020</v>
      </c>
      <c r="I1939" s="5">
        <v>2050</v>
      </c>
      <c r="J1939" s="142">
        <v>1.1071</v>
      </c>
      <c r="K1939" s="142">
        <v>1.03</v>
      </c>
      <c r="L1939" s="142">
        <v>0.76190000000000002</v>
      </c>
      <c r="M1939" s="142">
        <v>1.0592999999999999</v>
      </c>
      <c r="N1939" s="142">
        <v>0.84109999999999996</v>
      </c>
      <c r="O1939" s="142">
        <v>1.0538000000000001</v>
      </c>
      <c r="P1939" s="26">
        <v>5952.2531436380395</v>
      </c>
      <c r="Q1939" s="35">
        <f t="array" ref="Q1939">SUM(IF(($S1939&gt;=4)*($C1939='TaxCred&amp;Subs'!$D$114:$D$121)*($H1939='TaxCred&amp;Subs'!$C$114:$C$121)*($H1939&lt;='TaxCred&amp;Subs'!$C$123),'TaxCred&amp;Subs'!$E$114:$E$121,0))</f>
        <v>0</v>
      </c>
      <c r="R1939" s="143">
        <v>0</v>
      </c>
      <c r="S1939" s="5">
        <v>3</v>
      </c>
      <c r="T1939" s="5" t="s">
        <v>239</v>
      </c>
      <c r="V1939" s="7" t="str">
        <f t="array" ref="V1939">INDEX(xlRTCLNAME,MATCH(1,(xlRTCLENDU=1)*(xlRTCLEQCL=$D1939),0))</f>
        <v>GEO_HP</v>
      </c>
      <c r="W1939" s="7" t="str">
        <f t="array" ref="W1939">INDEX(xlRTCLNAME,MATCH(1,(xlRTCLENDU=2)*(xlRTCLEQCL=$F1939),0))</f>
        <v>GEO_HP</v>
      </c>
      <c r="X1939" s="7" t="str">
        <f t="array" ref="X1939">INDEX(xlRTTYNAME,MATCH(1,(xlRTTYENDU=1)*(xlRTTYEQCL=$D1939)*(xlRTEQTYPE=$E1939),0))</f>
        <v>GEO_HP3</v>
      </c>
      <c r="Y1939" s="7" t="str">
        <f t="array" ref="Y1939">INDEX(xlRTTYNAME,MATCH(1,(xlRTTYENDU=2)*(xlRTTYEQCL=$F1939)*(xlRTEQTYPE=$G1939),0))</f>
        <v>GEO_HP3</v>
      </c>
    </row>
    <row r="1940" spans="1:25" x14ac:dyDescent="0.2">
      <c r="B1940" s="5">
        <v>6</v>
      </c>
      <c r="C1940" s="5">
        <v>3</v>
      </c>
      <c r="D1940" s="5">
        <v>10</v>
      </c>
      <c r="E1940" s="31">
        <v>33</v>
      </c>
      <c r="F1940" s="5">
        <v>4</v>
      </c>
      <c r="G1940" s="31">
        <v>14</v>
      </c>
      <c r="H1940" s="31">
        <v>2020</v>
      </c>
      <c r="I1940" s="5">
        <v>2050</v>
      </c>
      <c r="J1940" s="142">
        <v>1.0909</v>
      </c>
      <c r="K1940" s="142">
        <v>1.0588</v>
      </c>
      <c r="L1940" s="142">
        <v>0.78500000000000003</v>
      </c>
      <c r="M1940" s="142">
        <v>1.0753999999999999</v>
      </c>
      <c r="N1940" s="142">
        <v>0.80820000000000003</v>
      </c>
      <c r="O1940" s="142">
        <v>1.0538000000000001</v>
      </c>
      <c r="P1940" s="26">
        <v>5794.9426358888531</v>
      </c>
      <c r="Q1940" s="35">
        <f t="array" ref="Q1940">SUM(IF(($S1940&gt;=4)*($C1940='TaxCred&amp;Subs'!$D$114:$D$121)*($H1940='TaxCred&amp;Subs'!$C$114:$C$121)*($H1940&lt;='TaxCred&amp;Subs'!$C$123),'TaxCred&amp;Subs'!$E$114:$E$121,0))</f>
        <v>0</v>
      </c>
      <c r="R1940" s="143">
        <v>0</v>
      </c>
      <c r="S1940" s="5">
        <v>3</v>
      </c>
      <c r="T1940" s="5" t="s">
        <v>239</v>
      </c>
      <c r="V1940" s="7" t="str">
        <f t="array" ref="V1940">INDEX(xlRTCLNAME,MATCH(1,(xlRTCLENDU=1)*(xlRTCLEQCL=$D1940),0))</f>
        <v>GEO_HP</v>
      </c>
      <c r="W1940" s="7" t="str">
        <f t="array" ref="W1940">INDEX(xlRTCLNAME,MATCH(1,(xlRTCLENDU=2)*(xlRTCLEQCL=$F1940),0))</f>
        <v>GEO_HP</v>
      </c>
      <c r="X1940" s="7" t="str">
        <f t="array" ref="X1940">INDEX(xlRTTYNAME,MATCH(1,(xlRTTYENDU=1)*(xlRTTYEQCL=$D1940)*(xlRTEQTYPE=$E1940),0))</f>
        <v>GEO_HP3</v>
      </c>
      <c r="Y1940" s="7" t="str">
        <f t="array" ref="Y1940">INDEX(xlRTTYNAME,MATCH(1,(xlRTTYENDU=2)*(xlRTTYEQCL=$F1940)*(xlRTEQTYPE=$G1940),0))</f>
        <v>GEO_HP3</v>
      </c>
    </row>
    <row r="1941" spans="1:25" x14ac:dyDescent="0.2">
      <c r="B1941" s="5">
        <v>7</v>
      </c>
      <c r="C1941" s="5">
        <v>3</v>
      </c>
      <c r="D1941" s="5">
        <v>10</v>
      </c>
      <c r="E1941" s="31">
        <v>33</v>
      </c>
      <c r="F1941" s="5">
        <v>4</v>
      </c>
      <c r="G1941" s="31">
        <v>14</v>
      </c>
      <c r="H1941" s="31">
        <v>2020</v>
      </c>
      <c r="I1941" s="5">
        <v>2050</v>
      </c>
      <c r="J1941" s="142">
        <v>1.0968</v>
      </c>
      <c r="K1941" s="142">
        <v>1.036</v>
      </c>
      <c r="L1941" s="142">
        <v>0.89249999999999996</v>
      </c>
      <c r="M1941" s="142">
        <v>1.0788</v>
      </c>
      <c r="N1941" s="142">
        <v>0.81950000000000001</v>
      </c>
      <c r="O1941" s="142">
        <v>1.0538000000000001</v>
      </c>
      <c r="P1941" s="26">
        <v>3592.5955274002358</v>
      </c>
      <c r="Q1941" s="35">
        <f t="array" ref="Q1941">SUM(IF(($S1941&gt;=4)*($C1941='TaxCred&amp;Subs'!$D$114:$D$121)*($H1941='TaxCred&amp;Subs'!$C$114:$C$121)*($H1941&lt;='TaxCred&amp;Subs'!$C$123),'TaxCred&amp;Subs'!$E$114:$E$121,0))</f>
        <v>0</v>
      </c>
      <c r="R1941" s="143">
        <v>0</v>
      </c>
      <c r="S1941" s="5">
        <v>3</v>
      </c>
      <c r="T1941" s="5" t="s">
        <v>239</v>
      </c>
      <c r="V1941" s="7" t="str">
        <f t="array" ref="V1941">INDEX(xlRTCLNAME,MATCH(1,(xlRTCLENDU=1)*(xlRTCLEQCL=$D1941),0))</f>
        <v>GEO_HP</v>
      </c>
      <c r="W1941" s="7" t="str">
        <f t="array" ref="W1941">INDEX(xlRTCLNAME,MATCH(1,(xlRTCLENDU=2)*(xlRTCLEQCL=$F1941),0))</f>
        <v>GEO_HP</v>
      </c>
      <c r="X1941" s="7" t="str">
        <f t="array" ref="X1941">INDEX(xlRTTYNAME,MATCH(1,(xlRTTYENDU=1)*(xlRTTYEQCL=$D1941)*(xlRTEQTYPE=$E1941),0))</f>
        <v>GEO_HP3</v>
      </c>
      <c r="Y1941" s="7" t="str">
        <f t="array" ref="Y1941">INDEX(xlRTTYNAME,MATCH(1,(xlRTTYENDU=2)*(xlRTTYEQCL=$F1941)*(xlRTEQTYPE=$G1941),0))</f>
        <v>GEO_HP3</v>
      </c>
    </row>
    <row r="1942" spans="1:25" x14ac:dyDescent="0.2">
      <c r="B1942" s="5">
        <v>9</v>
      </c>
      <c r="C1942" s="5">
        <v>3</v>
      </c>
      <c r="D1942" s="5">
        <v>10</v>
      </c>
      <c r="E1942" s="31">
        <v>33</v>
      </c>
      <c r="F1942" s="5">
        <v>4</v>
      </c>
      <c r="G1942" s="31">
        <v>14</v>
      </c>
      <c r="H1942" s="31">
        <v>2020</v>
      </c>
      <c r="I1942" s="5">
        <v>2050</v>
      </c>
      <c r="J1942" s="142">
        <v>1.0857000000000001</v>
      </c>
      <c r="K1942" s="142">
        <v>1.0611999999999999</v>
      </c>
      <c r="L1942" s="142">
        <v>0.8276</v>
      </c>
      <c r="M1942" s="142">
        <v>1.1436999999999999</v>
      </c>
      <c r="N1942" s="142">
        <v>0.85860000000000003</v>
      </c>
      <c r="O1942" s="142">
        <v>1.0538000000000001</v>
      </c>
      <c r="P1942" s="26">
        <v>7915.2731548672109</v>
      </c>
      <c r="Q1942" s="35">
        <f t="array" ref="Q1942">SUM(IF(($S1942&gt;=4)*($C1942='TaxCred&amp;Subs'!$D$114:$D$121)*($H1942='TaxCred&amp;Subs'!$C$114:$C$121)*($H1942&lt;='TaxCred&amp;Subs'!$C$123),'TaxCred&amp;Subs'!$E$114:$E$121,0))</f>
        <v>0</v>
      </c>
      <c r="R1942" s="143">
        <v>0</v>
      </c>
      <c r="S1942" s="5">
        <v>3</v>
      </c>
      <c r="T1942" s="5" t="s">
        <v>239</v>
      </c>
      <c r="V1942" s="7" t="str">
        <f t="array" ref="V1942">INDEX(xlRTCLNAME,MATCH(1,(xlRTCLENDU=1)*(xlRTCLEQCL=$D1942),0))</f>
        <v>GEO_HP</v>
      </c>
      <c r="W1942" s="7" t="str">
        <f t="array" ref="W1942">INDEX(xlRTCLNAME,MATCH(1,(xlRTCLENDU=2)*(xlRTCLEQCL=$F1942),0))</f>
        <v>GEO_HP</v>
      </c>
      <c r="X1942" s="7" t="str">
        <f t="array" ref="X1942">INDEX(xlRTTYNAME,MATCH(1,(xlRTTYENDU=1)*(xlRTTYEQCL=$D1942)*(xlRTEQTYPE=$E1942),0))</f>
        <v>GEO_HP3</v>
      </c>
      <c r="Y1942" s="7" t="str">
        <f t="array" ref="Y1942">INDEX(xlRTTYNAME,MATCH(1,(xlRTTYENDU=2)*(xlRTTYEQCL=$F1942)*(xlRTEQTYPE=$G1942),0))</f>
        <v>GEO_HP3</v>
      </c>
    </row>
    <row r="1943" spans="1:25" x14ac:dyDescent="0.2">
      <c r="B1943" s="5">
        <v>2</v>
      </c>
      <c r="C1943" s="5">
        <v>3</v>
      </c>
      <c r="D1943" s="5">
        <v>11</v>
      </c>
      <c r="E1943" s="31">
        <v>35</v>
      </c>
      <c r="F1943" s="5">
        <v>5</v>
      </c>
      <c r="G1943" s="31">
        <v>16</v>
      </c>
      <c r="H1943" s="31">
        <v>2020</v>
      </c>
      <c r="I1943" s="5">
        <v>2050</v>
      </c>
      <c r="J1943" s="142">
        <v>1.0670999999999999</v>
      </c>
      <c r="K1943" s="142">
        <v>1.0638000000000001</v>
      </c>
      <c r="L1943" s="142">
        <v>0.87570000000000003</v>
      </c>
      <c r="M1943" s="142">
        <v>1.1334</v>
      </c>
      <c r="N1943" s="142">
        <v>0.84609999999999996</v>
      </c>
      <c r="O1943" s="142">
        <v>1.0538000000000001</v>
      </c>
      <c r="P1943" s="26">
        <v>6801.9987923345025</v>
      </c>
      <c r="Q1943" s="35">
        <f t="array" ref="Q1943">SUM(IF(($S1943&gt;=4)*($C1943='TaxCred&amp;Subs'!$D$114:$D$121)*($H1943='TaxCred&amp;Subs'!$C$114:$C$121)*($H1943&lt;='TaxCred&amp;Subs'!$C$123),'TaxCred&amp;Subs'!$E$114:$E$121,0))</f>
        <v>0</v>
      </c>
      <c r="R1943" s="143">
        <v>0</v>
      </c>
      <c r="S1943" s="5">
        <v>3</v>
      </c>
      <c r="T1943" s="5" t="s">
        <v>239</v>
      </c>
      <c r="V1943" s="7" t="str">
        <f t="array" ref="V1943">INDEX(xlRTCLNAME,MATCH(1,(xlRTCLENDU=1)*(xlRTCLEQCL=$D1943),0))</f>
        <v>NG_HP</v>
      </c>
      <c r="W1943" s="7" t="str">
        <f t="array" ref="W1943">INDEX(xlRTCLNAME,MATCH(1,(xlRTCLENDU=2)*(xlRTCLEQCL=$F1943),0))</f>
        <v>NG_HP</v>
      </c>
      <c r="X1943" s="7" t="str">
        <f t="array" ref="X1943">INDEX(xlRTTYNAME,MATCH(1,(xlRTTYENDU=1)*(xlRTTYEQCL=$D1943)*(xlRTEQTYPE=$E1943),0))</f>
        <v>NG_HP2</v>
      </c>
      <c r="Y1943" s="7" t="str">
        <f t="array" ref="Y1943">INDEX(xlRTTYNAME,MATCH(1,(xlRTTYENDU=2)*(xlRTTYEQCL=$F1943)*(xlRTEQTYPE=$G1943),0))</f>
        <v>NG_HP2</v>
      </c>
    </row>
    <row r="1944" spans="1:25" x14ac:dyDescent="0.2">
      <c r="B1944" s="5">
        <v>5</v>
      </c>
      <c r="C1944" s="5">
        <v>3</v>
      </c>
      <c r="D1944" s="5">
        <v>11</v>
      </c>
      <c r="E1944" s="31">
        <v>35</v>
      </c>
      <c r="F1944" s="5">
        <v>5</v>
      </c>
      <c r="G1944" s="31">
        <v>16</v>
      </c>
      <c r="H1944" s="31">
        <v>2020</v>
      </c>
      <c r="I1944" s="5">
        <v>2050</v>
      </c>
      <c r="J1944" s="142">
        <v>1.0559000000000001</v>
      </c>
      <c r="K1944" s="142">
        <v>1.0444</v>
      </c>
      <c r="L1944" s="142">
        <v>0.84960000000000002</v>
      </c>
      <c r="M1944" s="142">
        <v>1.0552999999999999</v>
      </c>
      <c r="N1944" s="142">
        <v>0.83460000000000001</v>
      </c>
      <c r="O1944" s="142">
        <v>1.0538000000000001</v>
      </c>
      <c r="P1944" s="26">
        <v>4637.2986429653483</v>
      </c>
      <c r="Q1944" s="35">
        <f t="array" ref="Q1944">SUM(IF(($S1944&gt;=4)*($C1944='TaxCred&amp;Subs'!$D$114:$D$121)*($H1944='TaxCred&amp;Subs'!$C$114:$C$121)*($H1944&lt;='TaxCred&amp;Subs'!$C$123),'TaxCred&amp;Subs'!$E$114:$E$121,0))</f>
        <v>0</v>
      </c>
      <c r="R1944" s="143">
        <v>0</v>
      </c>
      <c r="S1944" s="5">
        <v>3</v>
      </c>
      <c r="T1944" s="5" t="s">
        <v>239</v>
      </c>
      <c r="V1944" s="7" t="str">
        <f t="array" ref="V1944">INDEX(xlRTCLNAME,MATCH(1,(xlRTCLENDU=1)*(xlRTCLEQCL=$D1944),0))</f>
        <v>NG_HP</v>
      </c>
      <c r="W1944" s="7" t="str">
        <f t="array" ref="W1944">INDEX(xlRTCLNAME,MATCH(1,(xlRTCLENDU=2)*(xlRTCLEQCL=$F1944),0))</f>
        <v>NG_HP</v>
      </c>
      <c r="X1944" s="7" t="str">
        <f t="array" ref="X1944">INDEX(xlRTTYNAME,MATCH(1,(xlRTTYENDU=1)*(xlRTTYEQCL=$D1944)*(xlRTEQTYPE=$E1944),0))</f>
        <v>NG_HP2</v>
      </c>
      <c r="Y1944" s="7" t="str">
        <f t="array" ref="Y1944">INDEX(xlRTTYNAME,MATCH(1,(xlRTTYENDU=2)*(xlRTTYEQCL=$F1944)*(xlRTEQTYPE=$G1944),0))</f>
        <v>NG_HP2</v>
      </c>
    </row>
    <row r="1945" spans="1:25" x14ac:dyDescent="0.2">
      <c r="B1945" s="5">
        <v>6</v>
      </c>
      <c r="C1945" s="5">
        <v>3</v>
      </c>
      <c r="D1945" s="5">
        <v>11</v>
      </c>
      <c r="E1945" s="31">
        <v>35</v>
      </c>
      <c r="F1945" s="5">
        <v>5</v>
      </c>
      <c r="G1945" s="31">
        <v>16</v>
      </c>
      <c r="H1945" s="31">
        <v>2020</v>
      </c>
      <c r="I1945" s="5">
        <v>2050</v>
      </c>
      <c r="J1945" s="142">
        <v>1.0872999999999999</v>
      </c>
      <c r="K1945" s="142">
        <v>1.0581</v>
      </c>
      <c r="L1945" s="142">
        <v>0.83140000000000003</v>
      </c>
      <c r="M1945" s="142">
        <v>1.0811999999999999</v>
      </c>
      <c r="N1945" s="142">
        <v>0.8044</v>
      </c>
      <c r="O1945" s="142">
        <v>1.0538000000000001</v>
      </c>
      <c r="P1945" s="26">
        <v>5187.2131529603703</v>
      </c>
      <c r="Q1945" s="35">
        <f t="array" ref="Q1945">SUM(IF(($S1945&gt;=4)*($C1945='TaxCred&amp;Subs'!$D$114:$D$121)*($H1945='TaxCred&amp;Subs'!$C$114:$C$121)*($H1945&lt;='TaxCred&amp;Subs'!$C$123),'TaxCred&amp;Subs'!$E$114:$E$121,0))</f>
        <v>0</v>
      </c>
      <c r="R1945" s="143">
        <v>0</v>
      </c>
      <c r="S1945" s="5">
        <v>3</v>
      </c>
      <c r="T1945" s="5" t="s">
        <v>239</v>
      </c>
      <c r="V1945" s="7" t="str">
        <f t="array" ref="V1945">INDEX(xlRTCLNAME,MATCH(1,(xlRTCLENDU=1)*(xlRTCLEQCL=$D1945),0))</f>
        <v>NG_HP</v>
      </c>
      <c r="W1945" s="7" t="str">
        <f t="array" ref="W1945">INDEX(xlRTCLNAME,MATCH(1,(xlRTCLENDU=2)*(xlRTCLEQCL=$F1945),0))</f>
        <v>NG_HP</v>
      </c>
      <c r="X1945" s="7" t="str">
        <f t="array" ref="X1945">INDEX(xlRTTYNAME,MATCH(1,(xlRTTYENDU=1)*(xlRTTYEQCL=$D1945)*(xlRTEQTYPE=$E1945),0))</f>
        <v>NG_HP2</v>
      </c>
      <c r="Y1945" s="7" t="str">
        <f t="array" ref="Y1945">INDEX(xlRTTYNAME,MATCH(1,(xlRTTYENDU=2)*(xlRTTYEQCL=$F1945)*(xlRTEQTYPE=$G1945),0))</f>
        <v>NG_HP2</v>
      </c>
    </row>
    <row r="1946" spans="1:25" x14ac:dyDescent="0.2">
      <c r="B1946" s="5">
        <v>7</v>
      </c>
      <c r="C1946" s="5">
        <v>3</v>
      </c>
      <c r="D1946" s="5">
        <v>11</v>
      </c>
      <c r="E1946" s="31">
        <v>35</v>
      </c>
      <c r="F1946" s="5">
        <v>5</v>
      </c>
      <c r="G1946" s="31">
        <v>16</v>
      </c>
      <c r="H1946" s="31">
        <v>2020</v>
      </c>
      <c r="I1946" s="5">
        <v>2050</v>
      </c>
      <c r="J1946" s="142">
        <v>1.0914999999999999</v>
      </c>
      <c r="K1946" s="142">
        <v>1.0496000000000001</v>
      </c>
      <c r="L1946" s="142">
        <v>0.87839999999999996</v>
      </c>
      <c r="M1946" s="142">
        <v>1.0842000000000001</v>
      </c>
      <c r="N1946" s="142">
        <v>0.81759999999999999</v>
      </c>
      <c r="O1946" s="142">
        <v>1.0538000000000001</v>
      </c>
      <c r="P1946" s="26">
        <v>3592.5955274002358</v>
      </c>
      <c r="Q1946" s="35">
        <f t="array" ref="Q1946">SUM(IF(($S1946&gt;=4)*($C1946='TaxCred&amp;Subs'!$D$114:$D$121)*($H1946='TaxCred&amp;Subs'!$C$114:$C$121)*($H1946&lt;='TaxCred&amp;Subs'!$C$123),'TaxCred&amp;Subs'!$E$114:$E$121,0))</f>
        <v>0</v>
      </c>
      <c r="R1946" s="143">
        <v>0</v>
      </c>
      <c r="S1946" s="5">
        <v>3</v>
      </c>
      <c r="T1946" s="5" t="s">
        <v>239</v>
      </c>
      <c r="V1946" s="7" t="str">
        <f t="array" ref="V1946">INDEX(xlRTCLNAME,MATCH(1,(xlRTCLENDU=1)*(xlRTCLEQCL=$D1946),0))</f>
        <v>NG_HP</v>
      </c>
      <c r="W1946" s="7" t="str">
        <f t="array" ref="W1946">INDEX(xlRTCLNAME,MATCH(1,(xlRTCLENDU=2)*(xlRTCLEQCL=$F1946),0))</f>
        <v>NG_HP</v>
      </c>
      <c r="X1946" s="7" t="str">
        <f t="array" ref="X1946">INDEX(xlRTTYNAME,MATCH(1,(xlRTTYENDU=1)*(xlRTTYEQCL=$D1946)*(xlRTEQTYPE=$E1946),0))</f>
        <v>NG_HP2</v>
      </c>
      <c r="Y1946" s="7" t="str">
        <f t="array" ref="Y1946">INDEX(xlRTTYNAME,MATCH(1,(xlRTTYENDU=2)*(xlRTTYEQCL=$F1946)*(xlRTEQTYPE=$G1946),0))</f>
        <v>NG_HP2</v>
      </c>
    </row>
    <row r="1947" spans="1:25" x14ac:dyDescent="0.2">
      <c r="B1947" s="5">
        <v>9</v>
      </c>
      <c r="C1947" s="5">
        <v>3</v>
      </c>
      <c r="D1947" s="5">
        <v>11</v>
      </c>
      <c r="E1947" s="31">
        <v>35</v>
      </c>
      <c r="F1947" s="5">
        <v>5</v>
      </c>
      <c r="G1947" s="31">
        <v>16</v>
      </c>
      <c r="H1947" s="31">
        <v>2020</v>
      </c>
      <c r="I1947" s="5">
        <v>2050</v>
      </c>
      <c r="J1947" s="142">
        <v>1.0761000000000001</v>
      </c>
      <c r="K1947" s="142">
        <v>1.0506</v>
      </c>
      <c r="L1947" s="142">
        <v>0.84919999999999995</v>
      </c>
      <c r="M1947" s="142">
        <v>1.1452</v>
      </c>
      <c r="N1947" s="142">
        <v>0.84670000000000001</v>
      </c>
      <c r="O1947" s="142">
        <v>1.0538000000000001</v>
      </c>
      <c r="P1947" s="26">
        <v>7323.6780829899262</v>
      </c>
      <c r="Q1947" s="35">
        <f t="array" ref="Q1947">SUM(IF(($S1947&gt;=4)*($C1947='TaxCred&amp;Subs'!$D$114:$D$121)*($H1947='TaxCred&amp;Subs'!$C$114:$C$121)*($H1947&lt;='TaxCred&amp;Subs'!$C$123),'TaxCred&amp;Subs'!$E$114:$E$121,0))</f>
        <v>0</v>
      </c>
      <c r="R1947" s="143">
        <v>0</v>
      </c>
      <c r="S1947" s="5">
        <v>3</v>
      </c>
      <c r="T1947" s="5" t="s">
        <v>239</v>
      </c>
      <c r="V1947" s="7" t="str">
        <f t="array" ref="V1947">INDEX(xlRTCLNAME,MATCH(1,(xlRTCLENDU=1)*(xlRTCLEQCL=$D1947),0))</f>
        <v>NG_HP</v>
      </c>
      <c r="W1947" s="7" t="str">
        <f t="array" ref="W1947">INDEX(xlRTCLNAME,MATCH(1,(xlRTCLENDU=2)*(xlRTCLEQCL=$F1947),0))</f>
        <v>NG_HP</v>
      </c>
      <c r="X1947" s="7" t="str">
        <f t="array" ref="X1947">INDEX(xlRTTYNAME,MATCH(1,(xlRTTYENDU=1)*(xlRTTYEQCL=$D1947)*(xlRTEQTYPE=$E1947),0))</f>
        <v>NG_HP2</v>
      </c>
      <c r="Y1947" s="7" t="str">
        <f t="array" ref="Y1947">INDEX(xlRTTYNAME,MATCH(1,(xlRTTYENDU=2)*(xlRTTYEQCL=$F1947)*(xlRTEQTYPE=$G1947),0))</f>
        <v>NG_HP2</v>
      </c>
    </row>
    <row r="1948" spans="1:25" x14ac:dyDescent="0.2">
      <c r="A1948" t="s">
        <v>505</v>
      </c>
      <c r="B1948" s="97">
        <v>7</v>
      </c>
      <c r="C1948" s="97">
        <v>3</v>
      </c>
      <c r="D1948" s="97">
        <v>1</v>
      </c>
      <c r="E1948" s="97">
        <v>1</v>
      </c>
      <c r="F1948" s="97">
        <v>2</v>
      </c>
      <c r="G1948" s="96">
        <v>6</v>
      </c>
      <c r="H1948" s="96">
        <v>2020</v>
      </c>
      <c r="I1948" s="97">
        <v>2022</v>
      </c>
      <c r="J1948" s="232">
        <v>1.0893999999999999</v>
      </c>
      <c r="K1948" s="232">
        <v>1.0512999999999999</v>
      </c>
      <c r="L1948" s="232">
        <v>0.71379999999999999</v>
      </c>
      <c r="M1948" s="232">
        <v>0.97550000000000003</v>
      </c>
      <c r="N1948" s="232">
        <v>0.8115</v>
      </c>
      <c r="O1948" s="232">
        <v>1.0538000000000001</v>
      </c>
      <c r="P1948" s="233">
        <v>6908.2169984215607</v>
      </c>
      <c r="Q1948" s="35">
        <f t="array" ref="Q1948">SUM(IF(($S1948&gt;=4)*($C1948='TaxCred&amp;Subs'!$D$114:$D$121)*($H1948='TaxCred&amp;Subs'!$C$114:$C$121)*($H1948&lt;='TaxCred&amp;Subs'!$C$123),'TaxCred&amp;Subs'!$E$114:$E$121,0))</f>
        <v>1000</v>
      </c>
      <c r="R1948" s="233">
        <v>0</v>
      </c>
      <c r="S1948" s="97">
        <v>4</v>
      </c>
      <c r="T1948" s="97" t="s">
        <v>240</v>
      </c>
      <c r="V1948" s="7" t="str">
        <f t="array" ref="V1948">INDEX(xlRTCLNAME,MATCH(1,(xlRTCLENDU=1)*(xlRTCLEQCL=$D1948),0))</f>
        <v>ELEC_RAD</v>
      </c>
      <c r="W1948" s="7" t="str">
        <f t="array" ref="W1948">INDEX(xlRTCLNAME,MATCH(1,(xlRTCLENDU=2)*(xlRTCLEQCL=$F1948),0))</f>
        <v>CENT_AIR</v>
      </c>
      <c r="X1948" s="7" t="str">
        <f t="array" ref="X1948">INDEX(xlRTTYNAME,MATCH(1,(xlRTTYENDU=1)*(xlRTTYEQCL=$D1948)*(xlRTEQTYPE=$E1948),0))</f>
        <v>ELEC_RAD2</v>
      </c>
      <c r="Y1948" s="7" t="str">
        <f t="array" ref="Y1948">INDEX(xlRTTYNAME,MATCH(1,(xlRTTYENDU=2)*(xlRTTYEQCL=$F1948)*(xlRTEQTYPE=$G1948),0))</f>
        <v>CENT_AIR3</v>
      </c>
    </row>
    <row r="1949" spans="1:25" x14ac:dyDescent="0.2">
      <c r="A1949" t="s">
        <v>505</v>
      </c>
      <c r="B1949" s="97">
        <v>7</v>
      </c>
      <c r="C1949" s="97">
        <v>3</v>
      </c>
      <c r="D1949" s="97">
        <v>1</v>
      </c>
      <c r="E1949" s="97">
        <v>1</v>
      </c>
      <c r="F1949" s="97">
        <v>2</v>
      </c>
      <c r="G1949" s="96">
        <v>6</v>
      </c>
      <c r="H1949" s="97">
        <v>2023</v>
      </c>
      <c r="I1949" s="97">
        <v>2032</v>
      </c>
      <c r="J1949" s="232">
        <v>1.0893999999999999</v>
      </c>
      <c r="K1949" s="232">
        <v>1.0512999999999999</v>
      </c>
      <c r="L1949" s="232">
        <v>0.71379999999999999</v>
      </c>
      <c r="M1949" s="232">
        <v>0.97550000000000003</v>
      </c>
      <c r="N1949" s="232">
        <v>0.8115</v>
      </c>
      <c r="O1949" s="232">
        <v>1.0538000000000001</v>
      </c>
      <c r="P1949" s="233">
        <v>6908.2169984215607</v>
      </c>
      <c r="Q1949" s="35">
        <f t="array" ref="Q1949">SUM(IF(($S1949&gt;=4)*($C1949='TaxCred&amp;Subs'!$D$114:$D$121)*($H1949='TaxCred&amp;Subs'!$C$114:$C$121)*($H1949&lt;='TaxCred&amp;Subs'!$C$123),'TaxCred&amp;Subs'!$E$114:$E$121,0))</f>
        <v>2500</v>
      </c>
      <c r="R1949" s="233">
        <v>0</v>
      </c>
      <c r="S1949" s="97">
        <v>4</v>
      </c>
      <c r="T1949" s="97" t="s">
        <v>240</v>
      </c>
      <c r="V1949" s="7" t="str">
        <f t="array" ref="V1949">INDEX(xlRTCLNAME,MATCH(1,(xlRTCLENDU=1)*(xlRTCLEQCL=$D1949),0))</f>
        <v>ELEC_RAD</v>
      </c>
      <c r="W1949" s="7" t="str">
        <f t="array" ref="W1949">INDEX(xlRTCLNAME,MATCH(1,(xlRTCLENDU=2)*(xlRTCLEQCL=$F1949),0))</f>
        <v>CENT_AIR</v>
      </c>
      <c r="X1949" s="7" t="str">
        <f t="array" ref="X1949">INDEX(xlRTTYNAME,MATCH(1,(xlRTTYENDU=1)*(xlRTTYEQCL=$D1949)*(xlRTEQTYPE=$E1949),0))</f>
        <v>ELEC_RAD2</v>
      </c>
      <c r="Y1949" s="7" t="str">
        <f t="array" ref="Y1949">INDEX(xlRTTYNAME,MATCH(1,(xlRTTYENDU=2)*(xlRTTYEQCL=$F1949)*(xlRTEQTYPE=$G1949),0))</f>
        <v>CENT_AIR3</v>
      </c>
    </row>
    <row r="1950" spans="1:25" x14ac:dyDescent="0.2">
      <c r="A1950" t="s">
        <v>505</v>
      </c>
      <c r="B1950" s="97">
        <v>7</v>
      </c>
      <c r="C1950" s="97">
        <v>3</v>
      </c>
      <c r="D1950" s="97">
        <v>1</v>
      </c>
      <c r="E1950" s="97">
        <v>1</v>
      </c>
      <c r="F1950" s="97">
        <v>2</v>
      </c>
      <c r="G1950" s="96">
        <v>6</v>
      </c>
      <c r="H1950" s="97">
        <v>2033</v>
      </c>
      <c r="I1950" s="97">
        <v>2050</v>
      </c>
      <c r="J1950" s="232">
        <v>1.0893999999999999</v>
      </c>
      <c r="K1950" s="232">
        <v>1.0512999999999999</v>
      </c>
      <c r="L1950" s="232">
        <v>0.71379999999999999</v>
      </c>
      <c r="M1950" s="232">
        <v>0.97550000000000003</v>
      </c>
      <c r="N1950" s="232">
        <v>0.8115</v>
      </c>
      <c r="O1950" s="232">
        <v>1.0538000000000001</v>
      </c>
      <c r="P1950" s="233">
        <v>6908.2169984215607</v>
      </c>
      <c r="Q1950" s="35">
        <f t="array" ref="Q1950">SUM(IF(($S1950&gt;=4)*($C1950='TaxCred&amp;Subs'!$D$114:$D$121)*($H1950='TaxCred&amp;Subs'!$C$114:$C$121)*($H1950&lt;='TaxCred&amp;Subs'!$C$123),'TaxCred&amp;Subs'!$E$114:$E$121,0))</f>
        <v>0</v>
      </c>
      <c r="R1950" s="233">
        <v>0</v>
      </c>
      <c r="S1950" s="97">
        <v>4</v>
      </c>
      <c r="T1950" s="97" t="s">
        <v>240</v>
      </c>
      <c r="V1950" s="7" t="str">
        <f t="array" ref="V1950">INDEX(xlRTCLNAME,MATCH(1,(xlRTCLENDU=1)*(xlRTCLEQCL=$D1950),0))</f>
        <v>ELEC_RAD</v>
      </c>
      <c r="W1950" s="7" t="str">
        <f t="array" ref="W1950">INDEX(xlRTCLNAME,MATCH(1,(xlRTCLENDU=2)*(xlRTCLEQCL=$F1950),0))</f>
        <v>CENT_AIR</v>
      </c>
      <c r="X1950" s="7" t="str">
        <f t="array" ref="X1950">INDEX(xlRTTYNAME,MATCH(1,(xlRTTYENDU=1)*(xlRTTYEQCL=$D1950)*(xlRTEQTYPE=$E1950),0))</f>
        <v>ELEC_RAD2</v>
      </c>
      <c r="Y1950" s="7" t="str">
        <f t="array" ref="Y1950">INDEX(xlRTTYNAME,MATCH(1,(xlRTTYENDU=2)*(xlRTTYEQCL=$F1950)*(xlRTEQTYPE=$G1950),0))</f>
        <v>CENT_AIR3</v>
      </c>
    </row>
    <row r="1951" spans="1:25" x14ac:dyDescent="0.2">
      <c r="B1951" s="5">
        <v>1</v>
      </c>
      <c r="C1951" s="5">
        <v>3</v>
      </c>
      <c r="D1951" s="5">
        <v>2</v>
      </c>
      <c r="E1951" s="5">
        <v>4</v>
      </c>
      <c r="F1951" s="5">
        <v>3</v>
      </c>
      <c r="G1951" s="31">
        <v>10</v>
      </c>
      <c r="H1951" s="31">
        <v>2020</v>
      </c>
      <c r="I1951" s="5">
        <v>2022</v>
      </c>
      <c r="J1951" s="142">
        <v>1.0763</v>
      </c>
      <c r="K1951" s="142">
        <v>1.0588</v>
      </c>
      <c r="L1951" s="142">
        <v>0.68410000000000004</v>
      </c>
      <c r="M1951" s="142">
        <v>1.0437000000000001</v>
      </c>
      <c r="N1951" s="142">
        <v>0.77080000000000004</v>
      </c>
      <c r="O1951" s="142">
        <v>1.0538000000000001</v>
      </c>
      <c r="P1951" s="26">
        <v>8931.7410510927275</v>
      </c>
      <c r="Q1951" s="35">
        <f t="array" ref="Q1951">SUM(IF(($S1951&gt;=4)*($C1951='TaxCred&amp;Subs'!$D$114:$D$121)*($H1951='TaxCred&amp;Subs'!$C$114:$C$121)*($H1951&lt;='TaxCred&amp;Subs'!$C$123),'TaxCred&amp;Subs'!$E$114:$E$121,0))</f>
        <v>1000</v>
      </c>
      <c r="R1951" s="143">
        <v>0</v>
      </c>
      <c r="S1951" s="5">
        <v>4</v>
      </c>
      <c r="T1951" s="5" t="s">
        <v>240</v>
      </c>
      <c r="V1951" s="7" t="str">
        <f t="array" ref="V1951">INDEX(xlRTCLNAME,MATCH(1,(xlRTCLENDU=1)*(xlRTCLEQCL=$D1951),0))</f>
        <v>ELEC_HP</v>
      </c>
      <c r="W1951" s="7" t="str">
        <f t="array" ref="W1951">INDEX(xlRTCLNAME,MATCH(1,(xlRTCLENDU=2)*(xlRTCLEQCL=$F1951),0))</f>
        <v>ELEC_HP</v>
      </c>
      <c r="X1951" s="7" t="str">
        <f t="array" ref="X1951">INDEX(xlRTTYNAME,MATCH(1,(xlRTTYENDU=1)*(xlRTTYEQCL=$D1951)*(xlRTEQTYPE=$E1951),0))</f>
        <v>ELEC_HP3</v>
      </c>
      <c r="Y1951" s="7" t="str">
        <f t="array" ref="Y1951">INDEX(xlRTTYNAME,MATCH(1,(xlRTTYENDU=2)*(xlRTTYEQCL=$F1951)*(xlRTEQTYPE=$G1951),0))</f>
        <v>ELEC_HP3</v>
      </c>
    </row>
    <row r="1952" spans="1:25" x14ac:dyDescent="0.2">
      <c r="B1952" s="5">
        <v>1</v>
      </c>
      <c r="C1952" s="5">
        <v>3</v>
      </c>
      <c r="D1952" s="5">
        <v>2</v>
      </c>
      <c r="E1952" s="5">
        <v>4</v>
      </c>
      <c r="F1952" s="5">
        <v>3</v>
      </c>
      <c r="G1952" s="31">
        <v>10</v>
      </c>
      <c r="H1952" s="5">
        <v>2023</v>
      </c>
      <c r="I1952" s="5">
        <v>2032</v>
      </c>
      <c r="J1952" s="142">
        <v>1.0763</v>
      </c>
      <c r="K1952" s="142">
        <v>1.0588</v>
      </c>
      <c r="L1952" s="142">
        <v>0.68410000000000004</v>
      </c>
      <c r="M1952" s="142">
        <v>1.0437000000000001</v>
      </c>
      <c r="N1952" s="142">
        <v>0.77080000000000004</v>
      </c>
      <c r="O1952" s="142">
        <v>1.0538000000000001</v>
      </c>
      <c r="P1952" s="26">
        <v>8931.7410510927275</v>
      </c>
      <c r="Q1952" s="35">
        <f t="array" ref="Q1952">SUM(IF(($S1952&gt;=4)*($C1952='TaxCred&amp;Subs'!$D$114:$D$121)*($H1952='TaxCred&amp;Subs'!$C$114:$C$121)*($H1952&lt;='TaxCred&amp;Subs'!$C$123),'TaxCred&amp;Subs'!$E$114:$E$121,0))</f>
        <v>2500</v>
      </c>
      <c r="R1952" s="143">
        <v>0</v>
      </c>
      <c r="S1952" s="5">
        <v>4</v>
      </c>
      <c r="T1952" s="5" t="s">
        <v>240</v>
      </c>
      <c r="V1952" s="7" t="str">
        <f t="array" ref="V1952">INDEX(xlRTCLNAME,MATCH(1,(xlRTCLENDU=1)*(xlRTCLEQCL=$D1952),0))</f>
        <v>ELEC_HP</v>
      </c>
      <c r="W1952" s="7" t="str">
        <f t="array" ref="W1952">INDEX(xlRTCLNAME,MATCH(1,(xlRTCLENDU=2)*(xlRTCLEQCL=$F1952),0))</f>
        <v>ELEC_HP</v>
      </c>
      <c r="X1952" s="7" t="str">
        <f t="array" ref="X1952">INDEX(xlRTTYNAME,MATCH(1,(xlRTTYENDU=1)*(xlRTTYEQCL=$D1952)*(xlRTEQTYPE=$E1952),0))</f>
        <v>ELEC_HP3</v>
      </c>
      <c r="Y1952" s="7" t="str">
        <f t="array" ref="Y1952">INDEX(xlRTTYNAME,MATCH(1,(xlRTTYENDU=2)*(xlRTTYEQCL=$F1952)*(xlRTEQTYPE=$G1952),0))</f>
        <v>ELEC_HP3</v>
      </c>
    </row>
    <row r="1953" spans="2:25" x14ac:dyDescent="0.2">
      <c r="B1953" s="5">
        <v>1</v>
      </c>
      <c r="C1953" s="5">
        <v>3</v>
      </c>
      <c r="D1953" s="5">
        <v>2</v>
      </c>
      <c r="E1953" s="5">
        <v>4</v>
      </c>
      <c r="F1953" s="5">
        <v>3</v>
      </c>
      <c r="G1953" s="31">
        <v>10</v>
      </c>
      <c r="H1953" s="5">
        <v>2033</v>
      </c>
      <c r="I1953" s="5">
        <v>2050</v>
      </c>
      <c r="J1953" s="142">
        <v>1.0763</v>
      </c>
      <c r="K1953" s="142">
        <v>1.0588</v>
      </c>
      <c r="L1953" s="142">
        <v>0.68410000000000004</v>
      </c>
      <c r="M1953" s="142">
        <v>1.0437000000000001</v>
      </c>
      <c r="N1953" s="142">
        <v>0.77080000000000004</v>
      </c>
      <c r="O1953" s="142">
        <v>1.0538000000000001</v>
      </c>
      <c r="P1953" s="26">
        <v>8931.7410510927275</v>
      </c>
      <c r="Q1953" s="35">
        <f t="array" ref="Q1953">SUM(IF(($S1953&gt;=4)*($C1953='TaxCred&amp;Subs'!$D$114:$D$121)*($H1953='TaxCred&amp;Subs'!$C$114:$C$121)*($H1953&lt;='TaxCred&amp;Subs'!$C$123),'TaxCred&amp;Subs'!$E$114:$E$121,0))</f>
        <v>0</v>
      </c>
      <c r="R1953" s="143">
        <v>0</v>
      </c>
      <c r="S1953" s="5">
        <v>4</v>
      </c>
      <c r="T1953" s="5" t="s">
        <v>240</v>
      </c>
      <c r="V1953" s="7" t="str">
        <f t="array" ref="V1953">INDEX(xlRTCLNAME,MATCH(1,(xlRTCLENDU=1)*(xlRTCLEQCL=$D1953),0))</f>
        <v>ELEC_HP</v>
      </c>
      <c r="W1953" s="7" t="str">
        <f t="array" ref="W1953">INDEX(xlRTCLNAME,MATCH(1,(xlRTCLENDU=2)*(xlRTCLEQCL=$F1953),0))</f>
        <v>ELEC_HP</v>
      </c>
      <c r="X1953" s="7" t="str">
        <f t="array" ref="X1953">INDEX(xlRTTYNAME,MATCH(1,(xlRTTYENDU=1)*(xlRTTYEQCL=$D1953)*(xlRTEQTYPE=$E1953),0))</f>
        <v>ELEC_HP3</v>
      </c>
      <c r="Y1953" s="7" t="str">
        <f t="array" ref="Y1953">INDEX(xlRTTYNAME,MATCH(1,(xlRTTYENDU=2)*(xlRTTYEQCL=$F1953)*(xlRTEQTYPE=$G1953),0))</f>
        <v>ELEC_HP3</v>
      </c>
    </row>
    <row r="1954" spans="2:25" x14ac:dyDescent="0.2">
      <c r="B1954" s="5">
        <v>2</v>
      </c>
      <c r="C1954" s="5">
        <v>3</v>
      </c>
      <c r="D1954" s="5">
        <v>2</v>
      </c>
      <c r="E1954" s="5">
        <v>4</v>
      </c>
      <c r="F1954" s="5">
        <v>3</v>
      </c>
      <c r="G1954" s="31">
        <v>10</v>
      </c>
      <c r="H1954" s="31">
        <v>2020</v>
      </c>
      <c r="I1954" s="5">
        <v>2022</v>
      </c>
      <c r="J1954" s="142">
        <v>1.0746</v>
      </c>
      <c r="K1954" s="142">
        <v>1.0625</v>
      </c>
      <c r="L1954" s="142">
        <v>0.75009999999999999</v>
      </c>
      <c r="M1954" s="142">
        <v>1.1226</v>
      </c>
      <c r="N1954" s="142">
        <v>0.83340000000000003</v>
      </c>
      <c r="O1954" s="142">
        <v>1.0538000000000001</v>
      </c>
      <c r="P1954" s="26">
        <v>9257.118340625233</v>
      </c>
      <c r="Q1954" s="35">
        <f t="array" ref="Q1954">SUM(IF(($S1954&gt;=4)*($C1954='TaxCred&amp;Subs'!$D$114:$D$121)*($H1954='TaxCred&amp;Subs'!$C$114:$C$121)*($H1954&lt;='TaxCred&amp;Subs'!$C$123),'TaxCred&amp;Subs'!$E$114:$E$121,0))</f>
        <v>1000</v>
      </c>
      <c r="R1954" s="143">
        <v>0</v>
      </c>
      <c r="S1954" s="5">
        <v>4</v>
      </c>
      <c r="T1954" s="5" t="s">
        <v>240</v>
      </c>
      <c r="V1954" s="7" t="str">
        <f t="array" ref="V1954">INDEX(xlRTCLNAME,MATCH(1,(xlRTCLENDU=1)*(xlRTCLEQCL=$D1954),0))</f>
        <v>ELEC_HP</v>
      </c>
      <c r="W1954" s="7" t="str">
        <f t="array" ref="W1954">INDEX(xlRTCLNAME,MATCH(1,(xlRTCLENDU=2)*(xlRTCLEQCL=$F1954),0))</f>
        <v>ELEC_HP</v>
      </c>
      <c r="X1954" s="7" t="str">
        <f t="array" ref="X1954">INDEX(xlRTTYNAME,MATCH(1,(xlRTTYENDU=1)*(xlRTTYEQCL=$D1954)*(xlRTEQTYPE=$E1954),0))</f>
        <v>ELEC_HP3</v>
      </c>
      <c r="Y1954" s="7" t="str">
        <f t="array" ref="Y1954">INDEX(xlRTTYNAME,MATCH(1,(xlRTTYENDU=2)*(xlRTTYEQCL=$F1954)*(xlRTEQTYPE=$G1954),0))</f>
        <v>ELEC_HP3</v>
      </c>
    </row>
    <row r="1955" spans="2:25" x14ac:dyDescent="0.2">
      <c r="B1955" s="5">
        <v>2</v>
      </c>
      <c r="C1955" s="5">
        <v>3</v>
      </c>
      <c r="D1955" s="5">
        <v>2</v>
      </c>
      <c r="E1955" s="5">
        <v>4</v>
      </c>
      <c r="F1955" s="5">
        <v>3</v>
      </c>
      <c r="G1955" s="31">
        <v>10</v>
      </c>
      <c r="H1955" s="5">
        <v>2023</v>
      </c>
      <c r="I1955" s="5">
        <v>2032</v>
      </c>
      <c r="J1955" s="142">
        <v>1.0746</v>
      </c>
      <c r="K1955" s="142">
        <v>1.0625</v>
      </c>
      <c r="L1955" s="142">
        <v>0.75009999999999999</v>
      </c>
      <c r="M1955" s="142">
        <v>1.1226</v>
      </c>
      <c r="N1955" s="142">
        <v>0.83340000000000003</v>
      </c>
      <c r="O1955" s="142">
        <v>1.0538000000000001</v>
      </c>
      <c r="P1955" s="26">
        <v>9257.118340625233</v>
      </c>
      <c r="Q1955" s="35">
        <f t="array" ref="Q1955">SUM(IF(($S1955&gt;=4)*($C1955='TaxCred&amp;Subs'!$D$114:$D$121)*($H1955='TaxCred&amp;Subs'!$C$114:$C$121)*($H1955&lt;='TaxCred&amp;Subs'!$C$123),'TaxCred&amp;Subs'!$E$114:$E$121,0))</f>
        <v>2500</v>
      </c>
      <c r="R1955" s="143">
        <v>0</v>
      </c>
      <c r="S1955" s="5">
        <v>4</v>
      </c>
      <c r="T1955" s="5" t="s">
        <v>240</v>
      </c>
      <c r="V1955" s="7" t="str">
        <f t="array" ref="V1955">INDEX(xlRTCLNAME,MATCH(1,(xlRTCLENDU=1)*(xlRTCLEQCL=$D1955),0))</f>
        <v>ELEC_HP</v>
      </c>
      <c r="W1955" s="7" t="str">
        <f t="array" ref="W1955">INDEX(xlRTCLNAME,MATCH(1,(xlRTCLENDU=2)*(xlRTCLEQCL=$F1955),0))</f>
        <v>ELEC_HP</v>
      </c>
      <c r="X1955" s="7" t="str">
        <f t="array" ref="X1955">INDEX(xlRTTYNAME,MATCH(1,(xlRTTYENDU=1)*(xlRTTYEQCL=$D1955)*(xlRTEQTYPE=$E1955),0))</f>
        <v>ELEC_HP3</v>
      </c>
      <c r="Y1955" s="7" t="str">
        <f t="array" ref="Y1955">INDEX(xlRTTYNAME,MATCH(1,(xlRTTYENDU=2)*(xlRTTYEQCL=$F1955)*(xlRTEQTYPE=$G1955),0))</f>
        <v>ELEC_HP3</v>
      </c>
    </row>
    <row r="1956" spans="2:25" x14ac:dyDescent="0.2">
      <c r="B1956" s="5">
        <v>2</v>
      </c>
      <c r="C1956" s="5">
        <v>3</v>
      </c>
      <c r="D1956" s="5">
        <v>2</v>
      </c>
      <c r="E1956" s="5">
        <v>4</v>
      </c>
      <c r="F1956" s="5">
        <v>3</v>
      </c>
      <c r="G1956" s="31">
        <v>10</v>
      </c>
      <c r="H1956" s="5">
        <v>2033</v>
      </c>
      <c r="I1956" s="5">
        <v>2050</v>
      </c>
      <c r="J1956" s="142">
        <v>1.0746</v>
      </c>
      <c r="K1956" s="142">
        <v>1.0625</v>
      </c>
      <c r="L1956" s="142">
        <v>0.75009999999999999</v>
      </c>
      <c r="M1956" s="142">
        <v>1.1226</v>
      </c>
      <c r="N1956" s="142">
        <v>0.83340000000000003</v>
      </c>
      <c r="O1956" s="142">
        <v>1.0538000000000001</v>
      </c>
      <c r="P1956" s="26">
        <v>9257.118340625233</v>
      </c>
      <c r="Q1956" s="35">
        <f t="array" ref="Q1956">SUM(IF(($S1956&gt;=4)*($C1956='TaxCred&amp;Subs'!$D$114:$D$121)*($H1956='TaxCred&amp;Subs'!$C$114:$C$121)*($H1956&lt;='TaxCred&amp;Subs'!$C$123),'TaxCred&amp;Subs'!$E$114:$E$121,0))</f>
        <v>0</v>
      </c>
      <c r="R1956" s="143">
        <v>0</v>
      </c>
      <c r="S1956" s="5">
        <v>4</v>
      </c>
      <c r="T1956" s="5" t="s">
        <v>240</v>
      </c>
      <c r="V1956" s="7" t="str">
        <f t="array" ref="V1956">INDEX(xlRTCLNAME,MATCH(1,(xlRTCLENDU=1)*(xlRTCLEQCL=$D1956),0))</f>
        <v>ELEC_HP</v>
      </c>
      <c r="W1956" s="7" t="str">
        <f t="array" ref="W1956">INDEX(xlRTCLNAME,MATCH(1,(xlRTCLENDU=2)*(xlRTCLEQCL=$F1956),0))</f>
        <v>ELEC_HP</v>
      </c>
      <c r="X1956" s="7" t="str">
        <f t="array" ref="X1956">INDEX(xlRTTYNAME,MATCH(1,(xlRTTYENDU=1)*(xlRTTYEQCL=$D1956)*(xlRTEQTYPE=$E1956),0))</f>
        <v>ELEC_HP3</v>
      </c>
      <c r="Y1956" s="7" t="str">
        <f t="array" ref="Y1956">INDEX(xlRTTYNAME,MATCH(1,(xlRTTYENDU=2)*(xlRTTYEQCL=$F1956)*(xlRTEQTYPE=$G1956),0))</f>
        <v>ELEC_HP3</v>
      </c>
    </row>
    <row r="1957" spans="2:25" x14ac:dyDescent="0.2">
      <c r="B1957" s="5">
        <v>3</v>
      </c>
      <c r="C1957" s="5">
        <v>3</v>
      </c>
      <c r="D1957" s="5">
        <v>2</v>
      </c>
      <c r="E1957" s="5">
        <v>4</v>
      </c>
      <c r="F1957" s="5">
        <v>3</v>
      </c>
      <c r="G1957" s="31">
        <v>10</v>
      </c>
      <c r="H1957" s="31">
        <v>2020</v>
      </c>
      <c r="I1957" s="5">
        <v>2022</v>
      </c>
      <c r="J1957" s="142">
        <v>1.0751999999999999</v>
      </c>
      <c r="K1957" s="142">
        <v>1.0651999999999999</v>
      </c>
      <c r="L1957" s="142">
        <v>0.76500000000000001</v>
      </c>
      <c r="M1957" s="142">
        <v>1.0803</v>
      </c>
      <c r="N1957" s="142">
        <v>0.8347</v>
      </c>
      <c r="O1957" s="142">
        <v>1.0538000000000001</v>
      </c>
      <c r="P1957" s="26">
        <v>9051.4045997224493</v>
      </c>
      <c r="Q1957" s="35">
        <f t="array" ref="Q1957">SUM(IF(($S1957&gt;=4)*($C1957='TaxCred&amp;Subs'!$D$114:$D$121)*($H1957='TaxCred&amp;Subs'!$C$114:$C$121)*($H1957&lt;='TaxCred&amp;Subs'!$C$123),'TaxCred&amp;Subs'!$E$114:$E$121,0))</f>
        <v>1000</v>
      </c>
      <c r="R1957" s="143">
        <v>0</v>
      </c>
      <c r="S1957" s="5">
        <v>4</v>
      </c>
      <c r="T1957" s="5" t="s">
        <v>240</v>
      </c>
      <c r="V1957" s="7" t="str">
        <f t="array" ref="V1957">INDEX(xlRTCLNAME,MATCH(1,(xlRTCLENDU=1)*(xlRTCLEQCL=$D1957),0))</f>
        <v>ELEC_HP</v>
      </c>
      <c r="W1957" s="7" t="str">
        <f t="array" ref="W1957">INDEX(xlRTCLNAME,MATCH(1,(xlRTCLENDU=2)*(xlRTCLEQCL=$F1957),0))</f>
        <v>ELEC_HP</v>
      </c>
      <c r="X1957" s="7" t="str">
        <f t="array" ref="X1957">INDEX(xlRTTYNAME,MATCH(1,(xlRTTYENDU=1)*(xlRTTYEQCL=$D1957)*(xlRTEQTYPE=$E1957),0))</f>
        <v>ELEC_HP3</v>
      </c>
      <c r="Y1957" s="7" t="str">
        <f t="array" ref="Y1957">INDEX(xlRTTYNAME,MATCH(1,(xlRTTYENDU=2)*(xlRTTYEQCL=$F1957)*(xlRTEQTYPE=$G1957),0))</f>
        <v>ELEC_HP3</v>
      </c>
    </row>
    <row r="1958" spans="2:25" x14ac:dyDescent="0.2">
      <c r="B1958" s="5">
        <v>3</v>
      </c>
      <c r="C1958" s="5">
        <v>3</v>
      </c>
      <c r="D1958" s="5">
        <v>2</v>
      </c>
      <c r="E1958" s="5">
        <v>4</v>
      </c>
      <c r="F1958" s="5">
        <v>3</v>
      </c>
      <c r="G1958" s="31">
        <v>10</v>
      </c>
      <c r="H1958" s="5">
        <v>2023</v>
      </c>
      <c r="I1958" s="5">
        <v>2032</v>
      </c>
      <c r="J1958" s="142">
        <v>1.0751999999999999</v>
      </c>
      <c r="K1958" s="142">
        <v>1.0651999999999999</v>
      </c>
      <c r="L1958" s="142">
        <v>0.76500000000000001</v>
      </c>
      <c r="M1958" s="142">
        <v>1.0803</v>
      </c>
      <c r="N1958" s="142">
        <v>0.8347</v>
      </c>
      <c r="O1958" s="142">
        <v>1.0538000000000001</v>
      </c>
      <c r="P1958" s="26">
        <v>9051.4045997224493</v>
      </c>
      <c r="Q1958" s="35">
        <f t="array" ref="Q1958">SUM(IF(($S1958&gt;=4)*($C1958='TaxCred&amp;Subs'!$D$114:$D$121)*($H1958='TaxCred&amp;Subs'!$C$114:$C$121)*($H1958&lt;='TaxCred&amp;Subs'!$C$123),'TaxCred&amp;Subs'!$E$114:$E$121,0))</f>
        <v>2500</v>
      </c>
      <c r="R1958" s="143">
        <v>0</v>
      </c>
      <c r="S1958" s="5">
        <v>4</v>
      </c>
      <c r="T1958" s="5" t="s">
        <v>240</v>
      </c>
      <c r="V1958" s="7" t="str">
        <f t="array" ref="V1958">INDEX(xlRTCLNAME,MATCH(1,(xlRTCLENDU=1)*(xlRTCLEQCL=$D1958),0))</f>
        <v>ELEC_HP</v>
      </c>
      <c r="W1958" s="7" t="str">
        <f t="array" ref="W1958">INDEX(xlRTCLNAME,MATCH(1,(xlRTCLENDU=2)*(xlRTCLEQCL=$F1958),0))</f>
        <v>ELEC_HP</v>
      </c>
      <c r="X1958" s="7" t="str">
        <f t="array" ref="X1958">INDEX(xlRTTYNAME,MATCH(1,(xlRTTYENDU=1)*(xlRTTYEQCL=$D1958)*(xlRTEQTYPE=$E1958),0))</f>
        <v>ELEC_HP3</v>
      </c>
      <c r="Y1958" s="7" t="str">
        <f t="array" ref="Y1958">INDEX(xlRTTYNAME,MATCH(1,(xlRTTYENDU=2)*(xlRTTYEQCL=$F1958)*(xlRTEQTYPE=$G1958),0))</f>
        <v>ELEC_HP3</v>
      </c>
    </row>
    <row r="1959" spans="2:25" x14ac:dyDescent="0.2">
      <c r="B1959" s="5">
        <v>3</v>
      </c>
      <c r="C1959" s="5">
        <v>3</v>
      </c>
      <c r="D1959" s="5">
        <v>2</v>
      </c>
      <c r="E1959" s="5">
        <v>4</v>
      </c>
      <c r="F1959" s="5">
        <v>3</v>
      </c>
      <c r="G1959" s="31">
        <v>10</v>
      </c>
      <c r="H1959" s="5">
        <v>2033</v>
      </c>
      <c r="I1959" s="5">
        <v>2050</v>
      </c>
      <c r="J1959" s="142">
        <v>1.0751999999999999</v>
      </c>
      <c r="K1959" s="142">
        <v>1.0651999999999999</v>
      </c>
      <c r="L1959" s="142">
        <v>0.76500000000000001</v>
      </c>
      <c r="M1959" s="142">
        <v>1.0803</v>
      </c>
      <c r="N1959" s="142">
        <v>0.8347</v>
      </c>
      <c r="O1959" s="142">
        <v>1.0538000000000001</v>
      </c>
      <c r="P1959" s="26">
        <v>9051.4045997224493</v>
      </c>
      <c r="Q1959" s="35">
        <f t="array" ref="Q1959">SUM(IF(($S1959&gt;=4)*($C1959='TaxCred&amp;Subs'!$D$114:$D$121)*($H1959='TaxCred&amp;Subs'!$C$114:$C$121)*($H1959&lt;='TaxCred&amp;Subs'!$C$123),'TaxCred&amp;Subs'!$E$114:$E$121,0))</f>
        <v>0</v>
      </c>
      <c r="R1959" s="143">
        <v>0</v>
      </c>
      <c r="S1959" s="5">
        <v>4</v>
      </c>
      <c r="T1959" s="5" t="s">
        <v>240</v>
      </c>
      <c r="V1959" s="7" t="str">
        <f t="array" ref="V1959">INDEX(xlRTCLNAME,MATCH(1,(xlRTCLENDU=1)*(xlRTCLEQCL=$D1959),0))</f>
        <v>ELEC_HP</v>
      </c>
      <c r="W1959" s="7" t="str">
        <f t="array" ref="W1959">INDEX(xlRTCLNAME,MATCH(1,(xlRTCLENDU=2)*(xlRTCLEQCL=$F1959),0))</f>
        <v>ELEC_HP</v>
      </c>
      <c r="X1959" s="7" t="str">
        <f t="array" ref="X1959">INDEX(xlRTTYNAME,MATCH(1,(xlRTTYENDU=1)*(xlRTTYEQCL=$D1959)*(xlRTEQTYPE=$E1959),0))</f>
        <v>ELEC_HP3</v>
      </c>
      <c r="Y1959" s="7" t="str">
        <f t="array" ref="Y1959">INDEX(xlRTTYNAME,MATCH(1,(xlRTTYENDU=2)*(xlRTTYEQCL=$F1959)*(xlRTEQTYPE=$G1959),0))</f>
        <v>ELEC_HP3</v>
      </c>
    </row>
    <row r="1960" spans="2:25" x14ac:dyDescent="0.2">
      <c r="B1960" s="5">
        <v>4</v>
      </c>
      <c r="C1960" s="5">
        <v>3</v>
      </c>
      <c r="D1960" s="5">
        <v>2</v>
      </c>
      <c r="E1960" s="5">
        <v>4</v>
      </c>
      <c r="F1960" s="5">
        <v>3</v>
      </c>
      <c r="G1960" s="31">
        <v>10</v>
      </c>
      <c r="H1960" s="31">
        <v>2020</v>
      </c>
      <c r="I1960" s="5">
        <v>2022</v>
      </c>
      <c r="J1960" s="142">
        <v>1.079</v>
      </c>
      <c r="K1960" s="142">
        <v>1.0541</v>
      </c>
      <c r="L1960" s="142">
        <v>0.69040000000000001</v>
      </c>
      <c r="M1960" s="142">
        <v>1.0580000000000001</v>
      </c>
      <c r="N1960" s="142">
        <v>0.76919999999999999</v>
      </c>
      <c r="O1960" s="142">
        <v>1.0538000000000001</v>
      </c>
      <c r="P1960" s="26">
        <v>7912.5840863586773</v>
      </c>
      <c r="Q1960" s="35">
        <f t="array" ref="Q1960">SUM(IF(($S1960&gt;=4)*($C1960='TaxCred&amp;Subs'!$D$114:$D$121)*($H1960='TaxCred&amp;Subs'!$C$114:$C$121)*($H1960&lt;='TaxCred&amp;Subs'!$C$123),'TaxCred&amp;Subs'!$E$114:$E$121,0))</f>
        <v>1000</v>
      </c>
      <c r="R1960" s="143">
        <v>0</v>
      </c>
      <c r="S1960" s="5">
        <v>4</v>
      </c>
      <c r="T1960" s="5" t="s">
        <v>240</v>
      </c>
      <c r="V1960" s="7" t="str">
        <f t="array" ref="V1960">INDEX(xlRTCLNAME,MATCH(1,(xlRTCLENDU=1)*(xlRTCLEQCL=$D1960),0))</f>
        <v>ELEC_HP</v>
      </c>
      <c r="W1960" s="7" t="str">
        <f t="array" ref="W1960">INDEX(xlRTCLNAME,MATCH(1,(xlRTCLENDU=2)*(xlRTCLEQCL=$F1960),0))</f>
        <v>ELEC_HP</v>
      </c>
      <c r="X1960" s="7" t="str">
        <f t="array" ref="X1960">INDEX(xlRTTYNAME,MATCH(1,(xlRTTYENDU=1)*(xlRTTYEQCL=$D1960)*(xlRTEQTYPE=$E1960),0))</f>
        <v>ELEC_HP3</v>
      </c>
      <c r="Y1960" s="7" t="str">
        <f t="array" ref="Y1960">INDEX(xlRTTYNAME,MATCH(1,(xlRTTYENDU=2)*(xlRTTYEQCL=$F1960)*(xlRTEQTYPE=$G1960),0))</f>
        <v>ELEC_HP3</v>
      </c>
    </row>
    <row r="1961" spans="2:25" x14ac:dyDescent="0.2">
      <c r="B1961" s="5">
        <v>4</v>
      </c>
      <c r="C1961" s="5">
        <v>3</v>
      </c>
      <c r="D1961" s="5">
        <v>2</v>
      </c>
      <c r="E1961" s="5">
        <v>4</v>
      </c>
      <c r="F1961" s="5">
        <v>3</v>
      </c>
      <c r="G1961" s="31">
        <v>10</v>
      </c>
      <c r="H1961" s="5">
        <v>2023</v>
      </c>
      <c r="I1961" s="5">
        <v>2032</v>
      </c>
      <c r="J1961" s="142">
        <v>1.079</v>
      </c>
      <c r="K1961" s="142">
        <v>1.0541</v>
      </c>
      <c r="L1961" s="142">
        <v>0.69040000000000001</v>
      </c>
      <c r="M1961" s="142">
        <v>1.0580000000000001</v>
      </c>
      <c r="N1961" s="142">
        <v>0.76919999999999999</v>
      </c>
      <c r="O1961" s="142">
        <v>1.0538000000000001</v>
      </c>
      <c r="P1961" s="26">
        <v>7912.5840863586773</v>
      </c>
      <c r="Q1961" s="35">
        <f t="array" ref="Q1961">SUM(IF(($S1961&gt;=4)*($C1961='TaxCred&amp;Subs'!$D$114:$D$121)*($H1961='TaxCred&amp;Subs'!$C$114:$C$121)*($H1961&lt;='TaxCred&amp;Subs'!$C$123),'TaxCred&amp;Subs'!$E$114:$E$121,0))</f>
        <v>2500</v>
      </c>
      <c r="R1961" s="143">
        <v>0</v>
      </c>
      <c r="S1961" s="5">
        <v>4</v>
      </c>
      <c r="T1961" s="5" t="s">
        <v>240</v>
      </c>
      <c r="V1961" s="7" t="str">
        <f t="array" ref="V1961">INDEX(xlRTCLNAME,MATCH(1,(xlRTCLENDU=1)*(xlRTCLEQCL=$D1961),0))</f>
        <v>ELEC_HP</v>
      </c>
      <c r="W1961" s="7" t="str">
        <f t="array" ref="W1961">INDEX(xlRTCLNAME,MATCH(1,(xlRTCLENDU=2)*(xlRTCLEQCL=$F1961),0))</f>
        <v>ELEC_HP</v>
      </c>
      <c r="X1961" s="7" t="str">
        <f t="array" ref="X1961">INDEX(xlRTTYNAME,MATCH(1,(xlRTTYENDU=1)*(xlRTTYEQCL=$D1961)*(xlRTEQTYPE=$E1961),0))</f>
        <v>ELEC_HP3</v>
      </c>
      <c r="Y1961" s="7" t="str">
        <f t="array" ref="Y1961">INDEX(xlRTTYNAME,MATCH(1,(xlRTTYENDU=2)*(xlRTTYEQCL=$F1961)*(xlRTEQTYPE=$G1961),0))</f>
        <v>ELEC_HP3</v>
      </c>
    </row>
    <row r="1962" spans="2:25" x14ac:dyDescent="0.2">
      <c r="B1962" s="5">
        <v>4</v>
      </c>
      <c r="C1962" s="5">
        <v>3</v>
      </c>
      <c r="D1962" s="5">
        <v>2</v>
      </c>
      <c r="E1962" s="5">
        <v>4</v>
      </c>
      <c r="F1962" s="5">
        <v>3</v>
      </c>
      <c r="G1962" s="31">
        <v>10</v>
      </c>
      <c r="H1962" s="5">
        <v>2033</v>
      </c>
      <c r="I1962" s="5">
        <v>2050</v>
      </c>
      <c r="J1962" s="142">
        <v>1.079</v>
      </c>
      <c r="K1962" s="142">
        <v>1.0541</v>
      </c>
      <c r="L1962" s="142">
        <v>0.69040000000000001</v>
      </c>
      <c r="M1962" s="142">
        <v>1.0580000000000001</v>
      </c>
      <c r="N1962" s="142">
        <v>0.76919999999999999</v>
      </c>
      <c r="O1962" s="142">
        <v>1.0538000000000001</v>
      </c>
      <c r="P1962" s="26">
        <v>7912.5840863586773</v>
      </c>
      <c r="Q1962" s="35">
        <f t="array" ref="Q1962">SUM(IF(($S1962&gt;=4)*($C1962='TaxCred&amp;Subs'!$D$114:$D$121)*($H1962='TaxCred&amp;Subs'!$C$114:$C$121)*($H1962&lt;='TaxCred&amp;Subs'!$C$123),'TaxCred&amp;Subs'!$E$114:$E$121,0))</f>
        <v>0</v>
      </c>
      <c r="R1962" s="143">
        <v>0</v>
      </c>
      <c r="S1962" s="5">
        <v>4</v>
      </c>
      <c r="T1962" s="5" t="s">
        <v>240</v>
      </c>
      <c r="V1962" s="7" t="str">
        <f t="array" ref="V1962">INDEX(xlRTCLNAME,MATCH(1,(xlRTCLENDU=1)*(xlRTCLEQCL=$D1962),0))</f>
        <v>ELEC_HP</v>
      </c>
      <c r="W1962" s="7" t="str">
        <f t="array" ref="W1962">INDEX(xlRTCLNAME,MATCH(1,(xlRTCLENDU=2)*(xlRTCLEQCL=$F1962),0))</f>
        <v>ELEC_HP</v>
      </c>
      <c r="X1962" s="7" t="str">
        <f t="array" ref="X1962">INDEX(xlRTTYNAME,MATCH(1,(xlRTTYENDU=1)*(xlRTTYEQCL=$D1962)*(xlRTEQTYPE=$E1962),0))</f>
        <v>ELEC_HP3</v>
      </c>
      <c r="Y1962" s="7" t="str">
        <f t="array" ref="Y1962">INDEX(xlRTTYNAME,MATCH(1,(xlRTTYENDU=2)*(xlRTTYEQCL=$F1962)*(xlRTEQTYPE=$G1962),0))</f>
        <v>ELEC_HP3</v>
      </c>
    </row>
    <row r="1963" spans="2:25" x14ac:dyDescent="0.2">
      <c r="B1963" s="5">
        <v>5</v>
      </c>
      <c r="C1963" s="5">
        <v>3</v>
      </c>
      <c r="D1963" s="5">
        <v>2</v>
      </c>
      <c r="E1963" s="5">
        <v>4</v>
      </c>
      <c r="F1963" s="5">
        <v>3</v>
      </c>
      <c r="G1963" s="31">
        <v>10</v>
      </c>
      <c r="H1963" s="31">
        <v>2020</v>
      </c>
      <c r="I1963" s="5">
        <v>2022</v>
      </c>
      <c r="J1963" s="142">
        <v>1.08</v>
      </c>
      <c r="K1963" s="142">
        <v>1.0583</v>
      </c>
      <c r="L1963" s="142">
        <v>0.73270000000000002</v>
      </c>
      <c r="M1963" s="142">
        <v>0.97309999999999997</v>
      </c>
      <c r="N1963" s="142">
        <v>0.82640000000000002</v>
      </c>
      <c r="O1963" s="142">
        <v>1.0538000000000001</v>
      </c>
      <c r="P1963" s="26">
        <v>7388.2157271947208</v>
      </c>
      <c r="Q1963" s="35">
        <f t="array" ref="Q1963">SUM(IF(($S1963&gt;=4)*($C1963='TaxCred&amp;Subs'!$D$114:$D$121)*($H1963='TaxCred&amp;Subs'!$C$114:$C$121)*($H1963&lt;='TaxCred&amp;Subs'!$C$123),'TaxCred&amp;Subs'!$E$114:$E$121,0))</f>
        <v>1000</v>
      </c>
      <c r="R1963" s="143">
        <v>0</v>
      </c>
      <c r="S1963" s="5">
        <v>4</v>
      </c>
      <c r="T1963" s="5" t="s">
        <v>240</v>
      </c>
      <c r="V1963" s="7" t="str">
        <f t="array" ref="V1963">INDEX(xlRTCLNAME,MATCH(1,(xlRTCLENDU=1)*(xlRTCLEQCL=$D1963),0))</f>
        <v>ELEC_HP</v>
      </c>
      <c r="W1963" s="7" t="str">
        <f t="array" ref="W1963">INDEX(xlRTCLNAME,MATCH(1,(xlRTCLENDU=2)*(xlRTCLEQCL=$F1963),0))</f>
        <v>ELEC_HP</v>
      </c>
      <c r="X1963" s="7" t="str">
        <f t="array" ref="X1963">INDEX(xlRTTYNAME,MATCH(1,(xlRTTYENDU=1)*(xlRTTYEQCL=$D1963)*(xlRTEQTYPE=$E1963),0))</f>
        <v>ELEC_HP3</v>
      </c>
      <c r="Y1963" s="7" t="str">
        <f t="array" ref="Y1963">INDEX(xlRTTYNAME,MATCH(1,(xlRTTYENDU=2)*(xlRTTYEQCL=$F1963)*(xlRTEQTYPE=$G1963),0))</f>
        <v>ELEC_HP3</v>
      </c>
    </row>
    <row r="1964" spans="2:25" x14ac:dyDescent="0.2">
      <c r="B1964" s="5">
        <v>5</v>
      </c>
      <c r="C1964" s="5">
        <v>3</v>
      </c>
      <c r="D1964" s="5">
        <v>2</v>
      </c>
      <c r="E1964" s="5">
        <v>4</v>
      </c>
      <c r="F1964" s="5">
        <v>3</v>
      </c>
      <c r="G1964" s="31">
        <v>10</v>
      </c>
      <c r="H1964" s="5">
        <v>2023</v>
      </c>
      <c r="I1964" s="5">
        <v>2032</v>
      </c>
      <c r="J1964" s="142">
        <v>1.08</v>
      </c>
      <c r="K1964" s="142">
        <v>1.0583</v>
      </c>
      <c r="L1964" s="142">
        <v>0.73270000000000002</v>
      </c>
      <c r="M1964" s="142">
        <v>0.97309999999999997</v>
      </c>
      <c r="N1964" s="142">
        <v>0.82640000000000002</v>
      </c>
      <c r="O1964" s="142">
        <v>1.0538000000000001</v>
      </c>
      <c r="P1964" s="26">
        <v>7388.2157271947208</v>
      </c>
      <c r="Q1964" s="35">
        <f t="array" ref="Q1964">SUM(IF(($S1964&gt;=4)*($C1964='TaxCred&amp;Subs'!$D$114:$D$121)*($H1964='TaxCred&amp;Subs'!$C$114:$C$121)*($H1964&lt;='TaxCred&amp;Subs'!$C$123),'TaxCred&amp;Subs'!$E$114:$E$121,0))</f>
        <v>2500</v>
      </c>
      <c r="R1964" s="143">
        <v>0</v>
      </c>
      <c r="S1964" s="5">
        <v>4</v>
      </c>
      <c r="T1964" s="5" t="s">
        <v>240</v>
      </c>
      <c r="V1964" s="7" t="str">
        <f t="array" ref="V1964">INDEX(xlRTCLNAME,MATCH(1,(xlRTCLENDU=1)*(xlRTCLEQCL=$D1964),0))</f>
        <v>ELEC_HP</v>
      </c>
      <c r="W1964" s="7" t="str">
        <f t="array" ref="W1964">INDEX(xlRTCLNAME,MATCH(1,(xlRTCLENDU=2)*(xlRTCLEQCL=$F1964),0))</f>
        <v>ELEC_HP</v>
      </c>
      <c r="X1964" s="7" t="str">
        <f t="array" ref="X1964">INDEX(xlRTTYNAME,MATCH(1,(xlRTTYENDU=1)*(xlRTTYEQCL=$D1964)*(xlRTEQTYPE=$E1964),0))</f>
        <v>ELEC_HP3</v>
      </c>
      <c r="Y1964" s="7" t="str">
        <f t="array" ref="Y1964">INDEX(xlRTTYNAME,MATCH(1,(xlRTTYENDU=2)*(xlRTTYEQCL=$F1964)*(xlRTEQTYPE=$G1964),0))</f>
        <v>ELEC_HP3</v>
      </c>
    </row>
    <row r="1965" spans="2:25" x14ac:dyDescent="0.2">
      <c r="B1965" s="5">
        <v>5</v>
      </c>
      <c r="C1965" s="5">
        <v>3</v>
      </c>
      <c r="D1965" s="5">
        <v>2</v>
      </c>
      <c r="E1965" s="5">
        <v>4</v>
      </c>
      <c r="F1965" s="5">
        <v>3</v>
      </c>
      <c r="G1965" s="31">
        <v>10</v>
      </c>
      <c r="H1965" s="5">
        <v>2033</v>
      </c>
      <c r="I1965" s="5">
        <v>2050</v>
      </c>
      <c r="J1965" s="142">
        <v>1.08</v>
      </c>
      <c r="K1965" s="142">
        <v>1.0583</v>
      </c>
      <c r="L1965" s="142">
        <v>0.73270000000000002</v>
      </c>
      <c r="M1965" s="142">
        <v>0.97309999999999997</v>
      </c>
      <c r="N1965" s="142">
        <v>0.82640000000000002</v>
      </c>
      <c r="O1965" s="142">
        <v>1.0538000000000001</v>
      </c>
      <c r="P1965" s="26">
        <v>7388.2157271947208</v>
      </c>
      <c r="Q1965" s="35">
        <f t="array" ref="Q1965">SUM(IF(($S1965&gt;=4)*($C1965='TaxCred&amp;Subs'!$D$114:$D$121)*($H1965='TaxCred&amp;Subs'!$C$114:$C$121)*($H1965&lt;='TaxCred&amp;Subs'!$C$123),'TaxCred&amp;Subs'!$E$114:$E$121,0))</f>
        <v>0</v>
      </c>
      <c r="R1965" s="143">
        <v>0</v>
      </c>
      <c r="S1965" s="5">
        <v>4</v>
      </c>
      <c r="T1965" s="5" t="s">
        <v>240</v>
      </c>
      <c r="V1965" s="7" t="str">
        <f t="array" ref="V1965">INDEX(xlRTCLNAME,MATCH(1,(xlRTCLENDU=1)*(xlRTCLEQCL=$D1965),0))</f>
        <v>ELEC_HP</v>
      </c>
      <c r="W1965" s="7" t="str">
        <f t="array" ref="W1965">INDEX(xlRTCLNAME,MATCH(1,(xlRTCLENDU=2)*(xlRTCLEQCL=$F1965),0))</f>
        <v>ELEC_HP</v>
      </c>
      <c r="X1965" s="7" t="str">
        <f t="array" ref="X1965">INDEX(xlRTTYNAME,MATCH(1,(xlRTTYENDU=1)*(xlRTTYEQCL=$D1965)*(xlRTEQTYPE=$E1965),0))</f>
        <v>ELEC_HP3</v>
      </c>
      <c r="Y1965" s="7" t="str">
        <f t="array" ref="Y1965">INDEX(xlRTTYNAME,MATCH(1,(xlRTTYENDU=2)*(xlRTTYEQCL=$F1965)*(xlRTEQTYPE=$G1965),0))</f>
        <v>ELEC_HP3</v>
      </c>
    </row>
    <row r="1966" spans="2:25" x14ac:dyDescent="0.2">
      <c r="B1966" s="5">
        <v>6</v>
      </c>
      <c r="C1966" s="5">
        <v>3</v>
      </c>
      <c r="D1966" s="5">
        <v>2</v>
      </c>
      <c r="E1966" s="5">
        <v>4</v>
      </c>
      <c r="F1966" s="5">
        <v>3</v>
      </c>
      <c r="G1966" s="31">
        <v>10</v>
      </c>
      <c r="H1966" s="31">
        <v>2020</v>
      </c>
      <c r="I1966" s="5">
        <v>2022</v>
      </c>
      <c r="J1966" s="142">
        <v>1.0784</v>
      </c>
      <c r="K1966" s="142">
        <v>1.0667</v>
      </c>
      <c r="L1966" s="142">
        <v>0.72250000000000003</v>
      </c>
      <c r="M1966" s="142">
        <v>0.98040000000000005</v>
      </c>
      <c r="N1966" s="142">
        <v>0.79679999999999995</v>
      </c>
      <c r="O1966" s="142">
        <v>1.0538000000000001</v>
      </c>
      <c r="P1966" s="26">
        <v>7307.543671938728</v>
      </c>
      <c r="Q1966" s="35">
        <f t="array" ref="Q1966">SUM(IF(($S1966&gt;=4)*($C1966='TaxCred&amp;Subs'!$D$114:$D$121)*($H1966='TaxCred&amp;Subs'!$C$114:$C$121)*($H1966&lt;='TaxCred&amp;Subs'!$C$123),'TaxCred&amp;Subs'!$E$114:$E$121,0))</f>
        <v>1000</v>
      </c>
      <c r="R1966" s="143">
        <v>0</v>
      </c>
      <c r="S1966" s="5">
        <v>4</v>
      </c>
      <c r="T1966" s="5" t="s">
        <v>240</v>
      </c>
      <c r="V1966" s="7" t="str">
        <f t="array" ref="V1966">INDEX(xlRTCLNAME,MATCH(1,(xlRTCLENDU=1)*(xlRTCLEQCL=$D1966),0))</f>
        <v>ELEC_HP</v>
      </c>
      <c r="W1966" s="7" t="str">
        <f t="array" ref="W1966">INDEX(xlRTCLNAME,MATCH(1,(xlRTCLENDU=2)*(xlRTCLEQCL=$F1966),0))</f>
        <v>ELEC_HP</v>
      </c>
      <c r="X1966" s="7" t="str">
        <f t="array" ref="X1966">INDEX(xlRTTYNAME,MATCH(1,(xlRTTYENDU=1)*(xlRTTYEQCL=$D1966)*(xlRTEQTYPE=$E1966),0))</f>
        <v>ELEC_HP3</v>
      </c>
      <c r="Y1966" s="7" t="str">
        <f t="array" ref="Y1966">INDEX(xlRTTYNAME,MATCH(1,(xlRTTYENDU=2)*(xlRTTYEQCL=$F1966)*(xlRTEQTYPE=$G1966),0))</f>
        <v>ELEC_HP3</v>
      </c>
    </row>
    <row r="1967" spans="2:25" x14ac:dyDescent="0.2">
      <c r="B1967" s="5">
        <v>6</v>
      </c>
      <c r="C1967" s="5">
        <v>3</v>
      </c>
      <c r="D1967" s="5">
        <v>2</v>
      </c>
      <c r="E1967" s="5">
        <v>4</v>
      </c>
      <c r="F1967" s="5">
        <v>3</v>
      </c>
      <c r="G1967" s="31">
        <v>10</v>
      </c>
      <c r="H1967" s="5">
        <v>2023</v>
      </c>
      <c r="I1967" s="5">
        <v>2032</v>
      </c>
      <c r="J1967" s="142">
        <v>1.0784</v>
      </c>
      <c r="K1967" s="142">
        <v>1.0667</v>
      </c>
      <c r="L1967" s="142">
        <v>0.72250000000000003</v>
      </c>
      <c r="M1967" s="142">
        <v>0.98040000000000005</v>
      </c>
      <c r="N1967" s="142">
        <v>0.79679999999999995</v>
      </c>
      <c r="O1967" s="142">
        <v>1.0538000000000001</v>
      </c>
      <c r="P1967" s="26">
        <v>7307.543671938728</v>
      </c>
      <c r="Q1967" s="35">
        <f t="array" ref="Q1967">SUM(IF(($S1967&gt;=4)*($C1967='TaxCred&amp;Subs'!$D$114:$D$121)*($H1967='TaxCred&amp;Subs'!$C$114:$C$121)*($H1967&lt;='TaxCred&amp;Subs'!$C$123),'TaxCred&amp;Subs'!$E$114:$E$121,0))</f>
        <v>2500</v>
      </c>
      <c r="R1967" s="143">
        <v>0</v>
      </c>
      <c r="S1967" s="5">
        <v>4</v>
      </c>
      <c r="T1967" s="5" t="s">
        <v>240</v>
      </c>
      <c r="V1967" s="7" t="str">
        <f t="array" ref="V1967">INDEX(xlRTCLNAME,MATCH(1,(xlRTCLENDU=1)*(xlRTCLEQCL=$D1967),0))</f>
        <v>ELEC_HP</v>
      </c>
      <c r="W1967" s="7" t="str">
        <f t="array" ref="W1967">INDEX(xlRTCLNAME,MATCH(1,(xlRTCLENDU=2)*(xlRTCLEQCL=$F1967),0))</f>
        <v>ELEC_HP</v>
      </c>
      <c r="X1967" s="7" t="str">
        <f t="array" ref="X1967">INDEX(xlRTTYNAME,MATCH(1,(xlRTTYENDU=1)*(xlRTTYEQCL=$D1967)*(xlRTEQTYPE=$E1967),0))</f>
        <v>ELEC_HP3</v>
      </c>
      <c r="Y1967" s="7" t="str">
        <f t="array" ref="Y1967">INDEX(xlRTTYNAME,MATCH(1,(xlRTTYENDU=2)*(xlRTTYEQCL=$F1967)*(xlRTEQTYPE=$G1967),0))</f>
        <v>ELEC_HP3</v>
      </c>
    </row>
    <row r="1968" spans="2:25" x14ac:dyDescent="0.2">
      <c r="B1968" s="5">
        <v>6</v>
      </c>
      <c r="C1968" s="5">
        <v>3</v>
      </c>
      <c r="D1968" s="5">
        <v>2</v>
      </c>
      <c r="E1968" s="5">
        <v>4</v>
      </c>
      <c r="F1968" s="5">
        <v>3</v>
      </c>
      <c r="G1968" s="31">
        <v>10</v>
      </c>
      <c r="H1968" s="5">
        <v>2033</v>
      </c>
      <c r="I1968" s="5">
        <v>2050</v>
      </c>
      <c r="J1968" s="142">
        <v>1.0784</v>
      </c>
      <c r="K1968" s="142">
        <v>1.0667</v>
      </c>
      <c r="L1968" s="142">
        <v>0.72250000000000003</v>
      </c>
      <c r="M1968" s="142">
        <v>0.98040000000000005</v>
      </c>
      <c r="N1968" s="142">
        <v>0.79679999999999995</v>
      </c>
      <c r="O1968" s="142">
        <v>1.0538000000000001</v>
      </c>
      <c r="P1968" s="26">
        <v>7307.543671938728</v>
      </c>
      <c r="Q1968" s="35">
        <f t="array" ref="Q1968">SUM(IF(($S1968&gt;=4)*($C1968='TaxCred&amp;Subs'!$D$114:$D$121)*($H1968='TaxCred&amp;Subs'!$C$114:$C$121)*($H1968&lt;='TaxCred&amp;Subs'!$C$123),'TaxCred&amp;Subs'!$E$114:$E$121,0))</f>
        <v>0</v>
      </c>
      <c r="R1968" s="143">
        <v>0</v>
      </c>
      <c r="S1968" s="5">
        <v>4</v>
      </c>
      <c r="T1968" s="5" t="s">
        <v>240</v>
      </c>
      <c r="V1968" s="7" t="str">
        <f t="array" ref="V1968">INDEX(xlRTCLNAME,MATCH(1,(xlRTCLENDU=1)*(xlRTCLEQCL=$D1968),0))</f>
        <v>ELEC_HP</v>
      </c>
      <c r="W1968" s="7" t="str">
        <f t="array" ref="W1968">INDEX(xlRTCLNAME,MATCH(1,(xlRTCLENDU=2)*(xlRTCLEQCL=$F1968),0))</f>
        <v>ELEC_HP</v>
      </c>
      <c r="X1968" s="7" t="str">
        <f t="array" ref="X1968">INDEX(xlRTTYNAME,MATCH(1,(xlRTTYENDU=1)*(xlRTTYEQCL=$D1968)*(xlRTEQTYPE=$E1968),0))</f>
        <v>ELEC_HP3</v>
      </c>
      <c r="Y1968" s="7" t="str">
        <f t="array" ref="Y1968">INDEX(xlRTTYNAME,MATCH(1,(xlRTTYENDU=2)*(xlRTTYEQCL=$F1968)*(xlRTEQTYPE=$G1968),0))</f>
        <v>ELEC_HP3</v>
      </c>
    </row>
    <row r="1969" spans="2:25" x14ac:dyDescent="0.2">
      <c r="B1969" s="5">
        <v>7</v>
      </c>
      <c r="C1969" s="5">
        <v>3</v>
      </c>
      <c r="D1969" s="5">
        <v>2</v>
      </c>
      <c r="E1969" s="5">
        <v>4</v>
      </c>
      <c r="F1969" s="5">
        <v>3</v>
      </c>
      <c r="G1969" s="31">
        <v>10</v>
      </c>
      <c r="H1969" s="31">
        <v>2020</v>
      </c>
      <c r="I1969" s="5">
        <v>2022</v>
      </c>
      <c r="J1969" s="142">
        <v>1.0926</v>
      </c>
      <c r="K1969" s="142">
        <v>1.05</v>
      </c>
      <c r="L1969" s="142">
        <v>0.72189999999999999</v>
      </c>
      <c r="M1969" s="142">
        <v>0.97550000000000003</v>
      </c>
      <c r="N1969" s="142">
        <v>0.81159999999999999</v>
      </c>
      <c r="O1969" s="142">
        <v>1.0538000000000001</v>
      </c>
      <c r="P1969" s="26">
        <v>6908.2169984215607</v>
      </c>
      <c r="Q1969" s="35">
        <f t="array" ref="Q1969">SUM(IF(($S1969&gt;=4)*($C1969='TaxCred&amp;Subs'!$D$114:$D$121)*($H1969='TaxCred&amp;Subs'!$C$114:$C$121)*($H1969&lt;='TaxCred&amp;Subs'!$C$123),'TaxCred&amp;Subs'!$E$114:$E$121,0))</f>
        <v>1000</v>
      </c>
      <c r="R1969" s="143">
        <v>0</v>
      </c>
      <c r="S1969" s="5">
        <v>4</v>
      </c>
      <c r="T1969" s="5" t="s">
        <v>240</v>
      </c>
      <c r="V1969" s="7" t="str">
        <f t="array" ref="V1969">INDEX(xlRTCLNAME,MATCH(1,(xlRTCLENDU=1)*(xlRTCLEQCL=$D1969),0))</f>
        <v>ELEC_HP</v>
      </c>
      <c r="W1969" s="7" t="str">
        <f t="array" ref="W1969">INDEX(xlRTCLNAME,MATCH(1,(xlRTCLENDU=2)*(xlRTCLEQCL=$F1969),0))</f>
        <v>ELEC_HP</v>
      </c>
      <c r="X1969" s="7" t="str">
        <f t="array" ref="X1969">INDEX(xlRTTYNAME,MATCH(1,(xlRTTYENDU=1)*(xlRTTYEQCL=$D1969)*(xlRTEQTYPE=$E1969),0))</f>
        <v>ELEC_HP3</v>
      </c>
      <c r="Y1969" s="7" t="str">
        <f t="array" ref="Y1969">INDEX(xlRTTYNAME,MATCH(1,(xlRTTYENDU=2)*(xlRTTYEQCL=$F1969)*(xlRTEQTYPE=$G1969),0))</f>
        <v>ELEC_HP3</v>
      </c>
    </row>
    <row r="1970" spans="2:25" x14ac:dyDescent="0.2">
      <c r="B1970" s="5">
        <v>7</v>
      </c>
      <c r="C1970" s="5">
        <v>3</v>
      </c>
      <c r="D1970" s="5">
        <v>2</v>
      </c>
      <c r="E1970" s="5">
        <v>4</v>
      </c>
      <c r="F1970" s="5">
        <v>3</v>
      </c>
      <c r="G1970" s="31">
        <v>10</v>
      </c>
      <c r="H1970" s="5">
        <v>2023</v>
      </c>
      <c r="I1970" s="5">
        <v>2032</v>
      </c>
      <c r="J1970" s="142">
        <v>1.0926</v>
      </c>
      <c r="K1970" s="142">
        <v>1.05</v>
      </c>
      <c r="L1970" s="142">
        <v>0.72189999999999999</v>
      </c>
      <c r="M1970" s="142">
        <v>0.97550000000000003</v>
      </c>
      <c r="N1970" s="142">
        <v>0.81159999999999999</v>
      </c>
      <c r="O1970" s="142">
        <v>1.0538000000000001</v>
      </c>
      <c r="P1970" s="26">
        <v>6908.2169984215607</v>
      </c>
      <c r="Q1970" s="35">
        <f t="array" ref="Q1970">SUM(IF(($S1970&gt;=4)*($C1970='TaxCred&amp;Subs'!$D$114:$D$121)*($H1970='TaxCred&amp;Subs'!$C$114:$C$121)*($H1970&lt;='TaxCred&amp;Subs'!$C$123),'TaxCred&amp;Subs'!$E$114:$E$121,0))</f>
        <v>2500</v>
      </c>
      <c r="R1970" s="143">
        <v>0</v>
      </c>
      <c r="S1970" s="5">
        <v>4</v>
      </c>
      <c r="T1970" s="5" t="s">
        <v>240</v>
      </c>
      <c r="V1970" s="7" t="str">
        <f t="array" ref="V1970">INDEX(xlRTCLNAME,MATCH(1,(xlRTCLENDU=1)*(xlRTCLEQCL=$D1970),0))</f>
        <v>ELEC_HP</v>
      </c>
      <c r="W1970" s="7" t="str">
        <f t="array" ref="W1970">INDEX(xlRTCLNAME,MATCH(1,(xlRTCLENDU=2)*(xlRTCLEQCL=$F1970),0))</f>
        <v>ELEC_HP</v>
      </c>
      <c r="X1970" s="7" t="str">
        <f t="array" ref="X1970">INDEX(xlRTTYNAME,MATCH(1,(xlRTTYENDU=1)*(xlRTTYEQCL=$D1970)*(xlRTEQTYPE=$E1970),0))</f>
        <v>ELEC_HP3</v>
      </c>
      <c r="Y1970" s="7" t="str">
        <f t="array" ref="Y1970">INDEX(xlRTTYNAME,MATCH(1,(xlRTTYENDU=2)*(xlRTTYEQCL=$F1970)*(xlRTEQTYPE=$G1970),0))</f>
        <v>ELEC_HP3</v>
      </c>
    </row>
    <row r="1971" spans="2:25" x14ac:dyDescent="0.2">
      <c r="B1971" s="5">
        <v>7</v>
      </c>
      <c r="C1971" s="5">
        <v>3</v>
      </c>
      <c r="D1971" s="5">
        <v>2</v>
      </c>
      <c r="E1971" s="5">
        <v>4</v>
      </c>
      <c r="F1971" s="5">
        <v>3</v>
      </c>
      <c r="G1971" s="31">
        <v>10</v>
      </c>
      <c r="H1971" s="5">
        <v>2033</v>
      </c>
      <c r="I1971" s="5">
        <v>2050</v>
      </c>
      <c r="J1971" s="142">
        <v>1.0926</v>
      </c>
      <c r="K1971" s="142">
        <v>1.05</v>
      </c>
      <c r="L1971" s="142">
        <v>0.72189999999999999</v>
      </c>
      <c r="M1971" s="142">
        <v>0.97550000000000003</v>
      </c>
      <c r="N1971" s="142">
        <v>0.81159999999999999</v>
      </c>
      <c r="O1971" s="142">
        <v>1.0538000000000001</v>
      </c>
      <c r="P1971" s="26">
        <v>6908.2169984215607</v>
      </c>
      <c r="Q1971" s="35">
        <f t="array" ref="Q1971">SUM(IF(($S1971&gt;=4)*($C1971='TaxCred&amp;Subs'!$D$114:$D$121)*($H1971='TaxCred&amp;Subs'!$C$114:$C$121)*($H1971&lt;='TaxCred&amp;Subs'!$C$123),'TaxCred&amp;Subs'!$E$114:$E$121,0))</f>
        <v>0</v>
      </c>
      <c r="R1971" s="143">
        <v>0</v>
      </c>
      <c r="S1971" s="5">
        <v>4</v>
      </c>
      <c r="T1971" s="5" t="s">
        <v>240</v>
      </c>
      <c r="V1971" s="7" t="str">
        <f t="array" ref="V1971">INDEX(xlRTCLNAME,MATCH(1,(xlRTCLENDU=1)*(xlRTCLEQCL=$D1971),0))</f>
        <v>ELEC_HP</v>
      </c>
      <c r="W1971" s="7" t="str">
        <f t="array" ref="W1971">INDEX(xlRTCLNAME,MATCH(1,(xlRTCLENDU=2)*(xlRTCLEQCL=$F1971),0))</f>
        <v>ELEC_HP</v>
      </c>
      <c r="X1971" s="7" t="str">
        <f t="array" ref="X1971">INDEX(xlRTTYNAME,MATCH(1,(xlRTTYENDU=1)*(xlRTTYEQCL=$D1971)*(xlRTEQTYPE=$E1971),0))</f>
        <v>ELEC_HP3</v>
      </c>
      <c r="Y1971" s="7" t="str">
        <f t="array" ref="Y1971">INDEX(xlRTTYNAME,MATCH(1,(xlRTTYENDU=2)*(xlRTTYEQCL=$F1971)*(xlRTEQTYPE=$G1971),0))</f>
        <v>ELEC_HP3</v>
      </c>
    </row>
    <row r="1972" spans="2:25" x14ac:dyDescent="0.2">
      <c r="B1972" s="5">
        <v>8</v>
      </c>
      <c r="C1972" s="5">
        <v>3</v>
      </c>
      <c r="D1972" s="5">
        <v>2</v>
      </c>
      <c r="E1972" s="5">
        <v>4</v>
      </c>
      <c r="F1972" s="5">
        <v>3</v>
      </c>
      <c r="G1972" s="31">
        <v>10</v>
      </c>
      <c r="H1972" s="31">
        <v>2020</v>
      </c>
      <c r="I1972" s="5">
        <v>2022</v>
      </c>
      <c r="J1972" s="142">
        <v>1.0847</v>
      </c>
      <c r="K1972" s="142">
        <v>1.0556000000000001</v>
      </c>
      <c r="L1972" s="142">
        <v>0.75860000000000005</v>
      </c>
      <c r="M1972" s="142">
        <v>1.0437000000000001</v>
      </c>
      <c r="N1972" s="142">
        <v>0.79769999999999996</v>
      </c>
      <c r="O1972" s="142">
        <v>1.0538000000000001</v>
      </c>
      <c r="P1972" s="26">
        <v>7396.2829327203208</v>
      </c>
      <c r="Q1972" s="35">
        <f t="array" ref="Q1972">SUM(IF(($S1972&gt;=4)*($C1972='TaxCred&amp;Subs'!$D$114:$D$121)*($H1972='TaxCred&amp;Subs'!$C$114:$C$121)*($H1972&lt;='TaxCred&amp;Subs'!$C$123),'TaxCred&amp;Subs'!$E$114:$E$121,0))</f>
        <v>1000</v>
      </c>
      <c r="R1972" s="143">
        <v>0</v>
      </c>
      <c r="S1972" s="5">
        <v>4</v>
      </c>
      <c r="T1972" s="5" t="s">
        <v>240</v>
      </c>
      <c r="V1972" s="7" t="str">
        <f t="array" ref="V1972">INDEX(xlRTCLNAME,MATCH(1,(xlRTCLENDU=1)*(xlRTCLEQCL=$D1972),0))</f>
        <v>ELEC_HP</v>
      </c>
      <c r="W1972" s="7" t="str">
        <f t="array" ref="W1972">INDEX(xlRTCLNAME,MATCH(1,(xlRTCLENDU=2)*(xlRTCLEQCL=$F1972),0))</f>
        <v>ELEC_HP</v>
      </c>
      <c r="X1972" s="7" t="str">
        <f t="array" ref="X1972">INDEX(xlRTTYNAME,MATCH(1,(xlRTTYENDU=1)*(xlRTTYEQCL=$D1972)*(xlRTEQTYPE=$E1972),0))</f>
        <v>ELEC_HP3</v>
      </c>
      <c r="Y1972" s="7" t="str">
        <f t="array" ref="Y1972">INDEX(xlRTTYNAME,MATCH(1,(xlRTTYENDU=2)*(xlRTTYEQCL=$F1972)*(xlRTEQTYPE=$G1972),0))</f>
        <v>ELEC_HP3</v>
      </c>
    </row>
    <row r="1973" spans="2:25" x14ac:dyDescent="0.2">
      <c r="B1973" s="5">
        <v>8</v>
      </c>
      <c r="C1973" s="5">
        <v>3</v>
      </c>
      <c r="D1973" s="5">
        <v>2</v>
      </c>
      <c r="E1973" s="5">
        <v>4</v>
      </c>
      <c r="F1973" s="5">
        <v>3</v>
      </c>
      <c r="G1973" s="31">
        <v>10</v>
      </c>
      <c r="H1973" s="5">
        <v>2023</v>
      </c>
      <c r="I1973" s="5">
        <v>2032</v>
      </c>
      <c r="J1973" s="142">
        <v>1.0847</v>
      </c>
      <c r="K1973" s="142">
        <v>1.0556000000000001</v>
      </c>
      <c r="L1973" s="142">
        <v>0.75860000000000005</v>
      </c>
      <c r="M1973" s="142">
        <v>1.0437000000000001</v>
      </c>
      <c r="N1973" s="142">
        <v>0.79769999999999996</v>
      </c>
      <c r="O1973" s="142">
        <v>1.0538000000000001</v>
      </c>
      <c r="P1973" s="26">
        <v>7396.2829327203208</v>
      </c>
      <c r="Q1973" s="35">
        <f t="array" ref="Q1973">SUM(IF(($S1973&gt;=4)*($C1973='TaxCred&amp;Subs'!$D$114:$D$121)*($H1973='TaxCred&amp;Subs'!$C$114:$C$121)*($H1973&lt;='TaxCred&amp;Subs'!$C$123),'TaxCred&amp;Subs'!$E$114:$E$121,0))</f>
        <v>2500</v>
      </c>
      <c r="R1973" s="143">
        <v>0</v>
      </c>
      <c r="S1973" s="5">
        <v>4</v>
      </c>
      <c r="T1973" s="5" t="s">
        <v>240</v>
      </c>
      <c r="V1973" s="7" t="str">
        <f t="array" ref="V1973">INDEX(xlRTCLNAME,MATCH(1,(xlRTCLENDU=1)*(xlRTCLEQCL=$D1973),0))</f>
        <v>ELEC_HP</v>
      </c>
      <c r="W1973" s="7" t="str">
        <f t="array" ref="W1973">INDEX(xlRTCLNAME,MATCH(1,(xlRTCLENDU=2)*(xlRTCLEQCL=$F1973),0))</f>
        <v>ELEC_HP</v>
      </c>
      <c r="X1973" s="7" t="str">
        <f t="array" ref="X1973">INDEX(xlRTTYNAME,MATCH(1,(xlRTTYENDU=1)*(xlRTTYEQCL=$D1973)*(xlRTEQTYPE=$E1973),0))</f>
        <v>ELEC_HP3</v>
      </c>
      <c r="Y1973" s="7" t="str">
        <f t="array" ref="Y1973">INDEX(xlRTTYNAME,MATCH(1,(xlRTTYENDU=2)*(xlRTTYEQCL=$F1973)*(xlRTEQTYPE=$G1973),0))</f>
        <v>ELEC_HP3</v>
      </c>
    </row>
    <row r="1974" spans="2:25" x14ac:dyDescent="0.2">
      <c r="B1974" s="5">
        <v>8</v>
      </c>
      <c r="C1974" s="5">
        <v>3</v>
      </c>
      <c r="D1974" s="5">
        <v>2</v>
      </c>
      <c r="E1974" s="5">
        <v>4</v>
      </c>
      <c r="F1974" s="5">
        <v>3</v>
      </c>
      <c r="G1974" s="31">
        <v>10</v>
      </c>
      <c r="H1974" s="5">
        <v>2033</v>
      </c>
      <c r="I1974" s="5">
        <v>2050</v>
      </c>
      <c r="J1974" s="142">
        <v>1.0847</v>
      </c>
      <c r="K1974" s="142">
        <v>1.0556000000000001</v>
      </c>
      <c r="L1974" s="142">
        <v>0.75860000000000005</v>
      </c>
      <c r="M1974" s="142">
        <v>1.0437000000000001</v>
      </c>
      <c r="N1974" s="142">
        <v>0.79769999999999996</v>
      </c>
      <c r="O1974" s="142">
        <v>1.0538000000000001</v>
      </c>
      <c r="P1974" s="26">
        <v>7396.2829327203208</v>
      </c>
      <c r="Q1974" s="35">
        <f t="array" ref="Q1974">SUM(IF(($S1974&gt;=4)*($C1974='TaxCred&amp;Subs'!$D$114:$D$121)*($H1974='TaxCred&amp;Subs'!$C$114:$C$121)*($H1974&lt;='TaxCred&amp;Subs'!$C$123),'TaxCred&amp;Subs'!$E$114:$E$121,0))</f>
        <v>0</v>
      </c>
      <c r="R1974" s="143">
        <v>0</v>
      </c>
      <c r="S1974" s="5">
        <v>4</v>
      </c>
      <c r="T1974" s="5" t="s">
        <v>240</v>
      </c>
      <c r="V1974" s="7" t="str">
        <f t="array" ref="V1974">INDEX(xlRTCLNAME,MATCH(1,(xlRTCLENDU=1)*(xlRTCLEQCL=$D1974),0))</f>
        <v>ELEC_HP</v>
      </c>
      <c r="W1974" s="7" t="str">
        <f t="array" ref="W1974">INDEX(xlRTCLNAME,MATCH(1,(xlRTCLENDU=2)*(xlRTCLEQCL=$F1974),0))</f>
        <v>ELEC_HP</v>
      </c>
      <c r="X1974" s="7" t="str">
        <f t="array" ref="X1974">INDEX(xlRTTYNAME,MATCH(1,(xlRTTYENDU=1)*(xlRTTYEQCL=$D1974)*(xlRTEQTYPE=$E1974),0))</f>
        <v>ELEC_HP3</v>
      </c>
      <c r="Y1974" s="7" t="str">
        <f t="array" ref="Y1974">INDEX(xlRTTYNAME,MATCH(1,(xlRTTYENDU=2)*(xlRTTYEQCL=$F1974)*(xlRTEQTYPE=$G1974),0))</f>
        <v>ELEC_HP3</v>
      </c>
    </row>
    <row r="1975" spans="2:25" x14ac:dyDescent="0.2">
      <c r="B1975" s="5">
        <v>9</v>
      </c>
      <c r="C1975" s="5">
        <v>3</v>
      </c>
      <c r="D1975" s="5">
        <v>2</v>
      </c>
      <c r="E1975" s="5">
        <v>4</v>
      </c>
      <c r="F1975" s="5">
        <v>3</v>
      </c>
      <c r="G1975" s="31">
        <v>10</v>
      </c>
      <c r="H1975" s="31">
        <v>2020</v>
      </c>
      <c r="I1975" s="5">
        <v>2022</v>
      </c>
      <c r="J1975" s="142">
        <v>1.075</v>
      </c>
      <c r="K1975" s="142">
        <v>1.0625</v>
      </c>
      <c r="L1975" s="142">
        <v>0.77329999999999999</v>
      </c>
      <c r="M1975" s="142">
        <v>1.0674999999999999</v>
      </c>
      <c r="N1975" s="142">
        <v>0.83299999999999996</v>
      </c>
      <c r="O1975" s="142">
        <v>1.0538000000000001</v>
      </c>
      <c r="P1975" s="26">
        <v>9774.7640285178568</v>
      </c>
      <c r="Q1975" s="35">
        <f t="array" ref="Q1975">SUM(IF(($S1975&gt;=4)*($C1975='TaxCred&amp;Subs'!$D$114:$D$121)*($H1975='TaxCred&amp;Subs'!$C$114:$C$121)*($H1975&lt;='TaxCred&amp;Subs'!$C$123),'TaxCred&amp;Subs'!$E$114:$E$121,0))</f>
        <v>1000</v>
      </c>
      <c r="R1975" s="143">
        <v>0</v>
      </c>
      <c r="S1975" s="5">
        <v>4</v>
      </c>
      <c r="T1975" s="5" t="s">
        <v>240</v>
      </c>
      <c r="V1975" s="7" t="str">
        <f t="array" ref="V1975">INDEX(xlRTCLNAME,MATCH(1,(xlRTCLENDU=1)*(xlRTCLEQCL=$D1975),0))</f>
        <v>ELEC_HP</v>
      </c>
      <c r="W1975" s="7" t="str">
        <f t="array" ref="W1975">INDEX(xlRTCLNAME,MATCH(1,(xlRTCLENDU=2)*(xlRTCLEQCL=$F1975),0))</f>
        <v>ELEC_HP</v>
      </c>
      <c r="X1975" s="7" t="str">
        <f t="array" ref="X1975">INDEX(xlRTTYNAME,MATCH(1,(xlRTTYENDU=1)*(xlRTTYEQCL=$D1975)*(xlRTEQTYPE=$E1975),0))</f>
        <v>ELEC_HP3</v>
      </c>
      <c r="Y1975" s="7" t="str">
        <f t="array" ref="Y1975">INDEX(xlRTTYNAME,MATCH(1,(xlRTTYENDU=2)*(xlRTTYEQCL=$F1975)*(xlRTEQTYPE=$G1975),0))</f>
        <v>ELEC_HP3</v>
      </c>
    </row>
    <row r="1976" spans="2:25" x14ac:dyDescent="0.2">
      <c r="B1976" s="5">
        <v>9</v>
      </c>
      <c r="C1976" s="5">
        <v>3</v>
      </c>
      <c r="D1976" s="5">
        <v>2</v>
      </c>
      <c r="E1976" s="5">
        <v>4</v>
      </c>
      <c r="F1976" s="5">
        <v>3</v>
      </c>
      <c r="G1976" s="31">
        <v>10</v>
      </c>
      <c r="H1976" s="5">
        <v>2023</v>
      </c>
      <c r="I1976" s="5">
        <v>2032</v>
      </c>
      <c r="J1976" s="142">
        <v>1.075</v>
      </c>
      <c r="K1976" s="142">
        <v>1.0625</v>
      </c>
      <c r="L1976" s="142">
        <v>0.77329999999999999</v>
      </c>
      <c r="M1976" s="142">
        <v>1.0674999999999999</v>
      </c>
      <c r="N1976" s="142">
        <v>0.83299999999999996</v>
      </c>
      <c r="O1976" s="142">
        <v>1.0538000000000001</v>
      </c>
      <c r="P1976" s="26">
        <v>9774.7640285178568</v>
      </c>
      <c r="Q1976" s="35">
        <f t="array" ref="Q1976">SUM(IF(($S1976&gt;=4)*($C1976='TaxCred&amp;Subs'!$D$114:$D$121)*($H1976='TaxCred&amp;Subs'!$C$114:$C$121)*($H1976&lt;='TaxCred&amp;Subs'!$C$123),'TaxCred&amp;Subs'!$E$114:$E$121,0))</f>
        <v>2500</v>
      </c>
      <c r="R1976" s="143">
        <v>0</v>
      </c>
      <c r="S1976" s="5">
        <v>4</v>
      </c>
      <c r="T1976" s="5" t="s">
        <v>240</v>
      </c>
      <c r="V1976" s="7" t="str">
        <f t="array" ref="V1976">INDEX(xlRTCLNAME,MATCH(1,(xlRTCLENDU=1)*(xlRTCLEQCL=$D1976),0))</f>
        <v>ELEC_HP</v>
      </c>
      <c r="W1976" s="7" t="str">
        <f t="array" ref="W1976">INDEX(xlRTCLNAME,MATCH(1,(xlRTCLENDU=2)*(xlRTCLEQCL=$F1976),0))</f>
        <v>ELEC_HP</v>
      </c>
      <c r="X1976" s="7" t="str">
        <f t="array" ref="X1976">INDEX(xlRTTYNAME,MATCH(1,(xlRTTYENDU=1)*(xlRTTYEQCL=$D1976)*(xlRTEQTYPE=$E1976),0))</f>
        <v>ELEC_HP3</v>
      </c>
      <c r="Y1976" s="7" t="str">
        <f t="array" ref="Y1976">INDEX(xlRTTYNAME,MATCH(1,(xlRTTYENDU=2)*(xlRTTYEQCL=$F1976)*(xlRTEQTYPE=$G1976),0))</f>
        <v>ELEC_HP3</v>
      </c>
    </row>
    <row r="1977" spans="2:25" x14ac:dyDescent="0.2">
      <c r="B1977" s="5">
        <v>9</v>
      </c>
      <c r="C1977" s="5">
        <v>3</v>
      </c>
      <c r="D1977" s="5">
        <v>2</v>
      </c>
      <c r="E1977" s="5">
        <v>4</v>
      </c>
      <c r="F1977" s="5">
        <v>3</v>
      </c>
      <c r="G1977" s="31">
        <v>10</v>
      </c>
      <c r="H1977" s="5">
        <v>2033</v>
      </c>
      <c r="I1977" s="5">
        <v>2050</v>
      </c>
      <c r="J1977" s="142">
        <v>1.075</v>
      </c>
      <c r="K1977" s="142">
        <v>1.0625</v>
      </c>
      <c r="L1977" s="142">
        <v>0.77329999999999999</v>
      </c>
      <c r="M1977" s="142">
        <v>1.0674999999999999</v>
      </c>
      <c r="N1977" s="142">
        <v>0.83299999999999996</v>
      </c>
      <c r="O1977" s="142">
        <v>1.0538000000000001</v>
      </c>
      <c r="P1977" s="26">
        <v>9774.7640285178568</v>
      </c>
      <c r="Q1977" s="35">
        <f t="array" ref="Q1977">SUM(IF(($S1977&gt;=4)*($C1977='TaxCred&amp;Subs'!$D$114:$D$121)*($H1977='TaxCred&amp;Subs'!$C$114:$C$121)*($H1977&lt;='TaxCred&amp;Subs'!$C$123),'TaxCred&amp;Subs'!$E$114:$E$121,0))</f>
        <v>0</v>
      </c>
      <c r="R1977" s="143">
        <v>0</v>
      </c>
      <c r="S1977" s="5">
        <v>4</v>
      </c>
      <c r="T1977" s="5" t="s">
        <v>240</v>
      </c>
      <c r="V1977" s="7" t="str">
        <f t="array" ref="V1977">INDEX(xlRTCLNAME,MATCH(1,(xlRTCLENDU=1)*(xlRTCLEQCL=$D1977),0))</f>
        <v>ELEC_HP</v>
      </c>
      <c r="W1977" s="7" t="str">
        <f t="array" ref="W1977">INDEX(xlRTCLNAME,MATCH(1,(xlRTCLENDU=2)*(xlRTCLEQCL=$F1977),0))</f>
        <v>ELEC_HP</v>
      </c>
      <c r="X1977" s="7" t="str">
        <f t="array" ref="X1977">INDEX(xlRTTYNAME,MATCH(1,(xlRTTYENDU=1)*(xlRTTYEQCL=$D1977)*(xlRTEQTYPE=$E1977),0))</f>
        <v>ELEC_HP3</v>
      </c>
      <c r="Y1977" s="7" t="str">
        <f t="array" ref="Y1977">INDEX(xlRTTYNAME,MATCH(1,(xlRTTYENDU=2)*(xlRTTYEQCL=$F1977)*(xlRTEQTYPE=$G1977),0))</f>
        <v>ELEC_HP3</v>
      </c>
    </row>
    <row r="1978" spans="2:25" x14ac:dyDescent="0.2">
      <c r="B1978" s="5">
        <v>2</v>
      </c>
      <c r="C1978" s="5">
        <v>3</v>
      </c>
      <c r="D1978" s="5">
        <v>3</v>
      </c>
      <c r="E1978" s="5">
        <v>8</v>
      </c>
      <c r="F1978" s="5">
        <v>2</v>
      </c>
      <c r="G1978" s="31">
        <v>6</v>
      </c>
      <c r="H1978" s="31">
        <v>2020</v>
      </c>
      <c r="I1978" s="5">
        <v>2022</v>
      </c>
      <c r="J1978" s="142">
        <v>1.0670999999999999</v>
      </c>
      <c r="K1978" s="142">
        <v>1.0638000000000001</v>
      </c>
      <c r="L1978" s="142">
        <v>0.75249999999999995</v>
      </c>
      <c r="M1978" s="142">
        <v>1.1206</v>
      </c>
      <c r="N1978" s="142">
        <v>0.84609999999999996</v>
      </c>
      <c r="O1978" s="142">
        <v>1.0538000000000001</v>
      </c>
      <c r="P1978" s="26">
        <v>9257.118340625233</v>
      </c>
      <c r="Q1978" s="35">
        <f t="array" ref="Q1978">SUM(IF(($S1978&gt;=4)*($C1978='TaxCred&amp;Subs'!$D$114:$D$121)*($H1978='TaxCred&amp;Subs'!$C$114:$C$121)*($H1978&lt;='TaxCred&amp;Subs'!$C$123),'TaxCred&amp;Subs'!$E$114:$E$121,0))</f>
        <v>1000</v>
      </c>
      <c r="R1978" s="143">
        <v>0</v>
      </c>
      <c r="S1978" s="5">
        <v>4</v>
      </c>
      <c r="T1978" s="5" t="s">
        <v>240</v>
      </c>
      <c r="V1978" s="7" t="str">
        <f t="array" ref="V1978">INDEX(xlRTCLNAME,MATCH(1,(xlRTCLENDU=1)*(xlRTCLEQCL=$D1978),0))</f>
        <v>NG_FA</v>
      </c>
      <c r="W1978" s="7" t="str">
        <f t="array" ref="W1978">INDEX(xlRTCLNAME,MATCH(1,(xlRTCLENDU=2)*(xlRTCLEQCL=$F1978),0))</f>
        <v>CENT_AIR</v>
      </c>
      <c r="X1978" s="7" t="str">
        <f t="array" ref="X1978">INDEX(xlRTTYNAME,MATCH(1,(xlRTTYENDU=1)*(xlRTTYEQCL=$D1978)*(xlRTEQTYPE=$E1978),0))</f>
        <v>NG_FA3</v>
      </c>
      <c r="Y1978" s="7" t="str">
        <f t="array" ref="Y1978">INDEX(xlRTTYNAME,MATCH(1,(xlRTTYENDU=2)*(xlRTTYEQCL=$F1978)*(xlRTEQTYPE=$G1978),0))</f>
        <v>CENT_AIR3</v>
      </c>
    </row>
    <row r="1979" spans="2:25" x14ac:dyDescent="0.2">
      <c r="B1979" s="5">
        <v>2</v>
      </c>
      <c r="C1979" s="5">
        <v>3</v>
      </c>
      <c r="D1979" s="5">
        <v>3</v>
      </c>
      <c r="E1979" s="5">
        <v>8</v>
      </c>
      <c r="F1979" s="5">
        <v>2</v>
      </c>
      <c r="G1979" s="31">
        <v>6</v>
      </c>
      <c r="H1979" s="5">
        <v>2023</v>
      </c>
      <c r="I1979" s="31">
        <v>2028</v>
      </c>
      <c r="J1979" s="142">
        <v>1.0670999999999999</v>
      </c>
      <c r="K1979" s="142">
        <v>1.0638000000000001</v>
      </c>
      <c r="L1979" s="142">
        <v>0.75249999999999995</v>
      </c>
      <c r="M1979" s="142">
        <v>1.1206</v>
      </c>
      <c r="N1979" s="142">
        <v>0.84609999999999996</v>
      </c>
      <c r="O1979" s="142">
        <v>1.0538000000000001</v>
      </c>
      <c r="P1979" s="26">
        <v>9257.118340625233</v>
      </c>
      <c r="Q1979" s="35">
        <f t="array" ref="Q1979">SUM(IF(($S1979&gt;=4)*($C1979='TaxCred&amp;Subs'!$D$114:$D$121)*($H1979='TaxCred&amp;Subs'!$C$114:$C$121)*($H1979&lt;='TaxCred&amp;Subs'!$C$123),'TaxCred&amp;Subs'!$E$114:$E$121,0))</f>
        <v>2500</v>
      </c>
      <c r="R1979" s="143">
        <v>0</v>
      </c>
      <c r="S1979" s="5">
        <v>4</v>
      </c>
      <c r="T1979" s="5" t="s">
        <v>240</v>
      </c>
      <c r="V1979" s="7" t="str">
        <f t="array" ref="V1979">INDEX(xlRTCLNAME,MATCH(1,(xlRTCLENDU=1)*(xlRTCLEQCL=$D1979),0))</f>
        <v>NG_FA</v>
      </c>
      <c r="W1979" s="7" t="str">
        <f t="array" ref="W1979">INDEX(xlRTCLNAME,MATCH(1,(xlRTCLENDU=2)*(xlRTCLEQCL=$F1979),0))</f>
        <v>CENT_AIR</v>
      </c>
      <c r="X1979" s="7" t="str">
        <f t="array" ref="X1979">INDEX(xlRTTYNAME,MATCH(1,(xlRTTYENDU=1)*(xlRTTYEQCL=$D1979)*(xlRTEQTYPE=$E1979),0))</f>
        <v>NG_FA3</v>
      </c>
      <c r="Y1979" s="7" t="str">
        <f t="array" ref="Y1979">INDEX(xlRTTYNAME,MATCH(1,(xlRTTYENDU=2)*(xlRTTYEQCL=$F1979)*(xlRTEQTYPE=$G1979),0))</f>
        <v>CENT_AIR3</v>
      </c>
    </row>
    <row r="1980" spans="2:25" x14ac:dyDescent="0.2">
      <c r="B1980" s="152">
        <v>2</v>
      </c>
      <c r="C1980" s="152">
        <v>3</v>
      </c>
      <c r="D1980" s="152">
        <v>3</v>
      </c>
      <c r="E1980" s="152">
        <v>9</v>
      </c>
      <c r="F1980" s="152">
        <v>2</v>
      </c>
      <c r="G1980" s="152">
        <v>6</v>
      </c>
      <c r="H1980" s="152">
        <v>2029</v>
      </c>
      <c r="I1980" s="152">
        <v>2032</v>
      </c>
      <c r="J1980" s="229">
        <v>1.0670999999999999</v>
      </c>
      <c r="K1980" s="229">
        <v>1.0638000000000001</v>
      </c>
      <c r="L1980" s="229">
        <v>0.75249999999999995</v>
      </c>
      <c r="M1980" s="229">
        <v>1.1206</v>
      </c>
      <c r="N1980" s="229">
        <v>0.84609999999999996</v>
      </c>
      <c r="O1980" s="229">
        <v>1.0538000000000001</v>
      </c>
      <c r="P1980" s="155">
        <v>9257.118340625233</v>
      </c>
      <c r="Q1980" s="41">
        <f t="array" ref="Q1980">SUM(IF(($S1980&gt;=4)*($C1980='TaxCred&amp;Subs'!$D$114:$D$121)*($H1980='TaxCred&amp;Subs'!$C$114:$C$121)*($H1980&lt;='TaxCred&amp;Subs'!$C$123),'TaxCred&amp;Subs'!$E$114:$E$121,0))</f>
        <v>2500</v>
      </c>
      <c r="R1980" s="230">
        <v>0</v>
      </c>
      <c r="S1980" s="152">
        <v>4</v>
      </c>
      <c r="T1980" s="152" t="s">
        <v>240</v>
      </c>
      <c r="V1980" s="7" t="str">
        <f t="array" ref="V1980">INDEX(xlRTCLNAME,MATCH(1,(xlRTCLENDU=1)*(xlRTCLEQCL=$D1980),0))</f>
        <v>NG_FA</v>
      </c>
      <c r="W1980" s="7" t="str">
        <f t="array" ref="W1980">INDEX(xlRTCLNAME,MATCH(1,(xlRTCLENDU=2)*(xlRTCLEQCL=$F1980),0))</f>
        <v>CENT_AIR</v>
      </c>
      <c r="X1980" s="7" t="str">
        <f t="array" ref="X1980">INDEX(xlRTTYNAME,MATCH(1,(xlRTTYENDU=1)*(xlRTTYEQCL=$D1980)*(xlRTEQTYPE=$E1980),0))</f>
        <v>NG_FA4</v>
      </c>
      <c r="Y1980" s="7" t="str">
        <f t="array" ref="Y1980">INDEX(xlRTTYNAME,MATCH(1,(xlRTTYENDU=2)*(xlRTTYEQCL=$F1980)*(xlRTEQTYPE=$G1980),0))</f>
        <v>CENT_AIR3</v>
      </c>
    </row>
    <row r="1981" spans="2:25" x14ac:dyDescent="0.2">
      <c r="B1981" s="5">
        <v>2</v>
      </c>
      <c r="C1981" s="5">
        <v>3</v>
      </c>
      <c r="D1981" s="5">
        <v>3</v>
      </c>
      <c r="E1981" s="31">
        <v>9</v>
      </c>
      <c r="F1981" s="5">
        <v>2</v>
      </c>
      <c r="G1981" s="31">
        <v>6</v>
      </c>
      <c r="H1981" s="5">
        <v>2033</v>
      </c>
      <c r="I1981" s="5">
        <v>2050</v>
      </c>
      <c r="J1981" s="142">
        <v>1.0670999999999999</v>
      </c>
      <c r="K1981" s="142">
        <v>1.0638000000000001</v>
      </c>
      <c r="L1981" s="142">
        <v>0.75249999999999995</v>
      </c>
      <c r="M1981" s="142">
        <v>1.1206</v>
      </c>
      <c r="N1981" s="142">
        <v>0.84609999999999996</v>
      </c>
      <c r="O1981" s="142">
        <v>1.0538000000000001</v>
      </c>
      <c r="P1981" s="26">
        <v>9257.118340625233</v>
      </c>
      <c r="Q1981" s="35">
        <f t="array" ref="Q1981">SUM(IF(($S1981&gt;=4)*($C1981='TaxCred&amp;Subs'!$D$114:$D$121)*($H1981='TaxCred&amp;Subs'!$C$114:$C$121)*($H1981&lt;='TaxCred&amp;Subs'!$C$123),'TaxCred&amp;Subs'!$E$114:$E$121,0))</f>
        <v>0</v>
      </c>
      <c r="R1981" s="143">
        <v>0</v>
      </c>
      <c r="S1981" s="5">
        <v>4</v>
      </c>
      <c r="T1981" s="5" t="s">
        <v>240</v>
      </c>
      <c r="V1981" s="7" t="str">
        <f t="array" ref="V1981">INDEX(xlRTCLNAME,MATCH(1,(xlRTCLENDU=1)*(xlRTCLEQCL=$D1981),0))</f>
        <v>NG_FA</v>
      </c>
      <c r="W1981" s="7" t="str">
        <f t="array" ref="W1981">INDEX(xlRTCLNAME,MATCH(1,(xlRTCLENDU=2)*(xlRTCLEQCL=$F1981),0))</f>
        <v>CENT_AIR</v>
      </c>
      <c r="X1981" s="7" t="str">
        <f t="array" ref="X1981">INDEX(xlRTTYNAME,MATCH(1,(xlRTTYENDU=1)*(xlRTTYEQCL=$D1981)*(xlRTEQTYPE=$E1981),0))</f>
        <v>NG_FA4</v>
      </c>
      <c r="Y1981" s="7" t="str">
        <f t="array" ref="Y1981">INDEX(xlRTTYNAME,MATCH(1,(xlRTTYENDU=2)*(xlRTTYEQCL=$F1981)*(xlRTEQTYPE=$G1981),0))</f>
        <v>CENT_AIR3</v>
      </c>
    </row>
    <row r="1982" spans="2:25" x14ac:dyDescent="0.2">
      <c r="B1982" s="5">
        <v>5</v>
      </c>
      <c r="C1982" s="5">
        <v>3</v>
      </c>
      <c r="D1982" s="5">
        <v>3</v>
      </c>
      <c r="E1982" s="5">
        <v>8</v>
      </c>
      <c r="F1982" s="5">
        <v>2</v>
      </c>
      <c r="G1982" s="31">
        <v>6</v>
      </c>
      <c r="H1982" s="31">
        <v>2020</v>
      </c>
      <c r="I1982" s="5">
        <v>2022</v>
      </c>
      <c r="J1982" s="142">
        <v>1.0559000000000001</v>
      </c>
      <c r="K1982" s="142">
        <v>1.0444</v>
      </c>
      <c r="L1982" s="142">
        <v>0.86019999999999996</v>
      </c>
      <c r="M1982" s="142">
        <v>1.0145999999999999</v>
      </c>
      <c r="N1982" s="142">
        <v>0.83460000000000001</v>
      </c>
      <c r="O1982" s="142">
        <v>1.0538000000000001</v>
      </c>
      <c r="P1982" s="26">
        <v>6800.6542580802361</v>
      </c>
      <c r="Q1982" s="35">
        <f t="array" ref="Q1982">SUM(IF(($S1982&gt;=4)*($C1982='TaxCred&amp;Subs'!$D$114:$D$121)*($H1982='TaxCred&amp;Subs'!$C$114:$C$121)*($H1982&lt;='TaxCred&amp;Subs'!$C$123),'TaxCred&amp;Subs'!$E$114:$E$121,0))</f>
        <v>1000</v>
      </c>
      <c r="R1982" s="143">
        <v>0</v>
      </c>
      <c r="S1982" s="5">
        <v>4</v>
      </c>
      <c r="T1982" s="5" t="s">
        <v>240</v>
      </c>
      <c r="V1982" s="7" t="str">
        <f t="array" ref="V1982">INDEX(xlRTCLNAME,MATCH(1,(xlRTCLENDU=1)*(xlRTCLEQCL=$D1982),0))</f>
        <v>NG_FA</v>
      </c>
      <c r="W1982" s="7" t="str">
        <f t="array" ref="W1982">INDEX(xlRTCLNAME,MATCH(1,(xlRTCLENDU=2)*(xlRTCLEQCL=$F1982),0))</f>
        <v>CENT_AIR</v>
      </c>
      <c r="X1982" s="7" t="str">
        <f t="array" ref="X1982">INDEX(xlRTTYNAME,MATCH(1,(xlRTTYENDU=1)*(xlRTTYEQCL=$D1982)*(xlRTEQTYPE=$E1982),0))</f>
        <v>NG_FA3</v>
      </c>
      <c r="Y1982" s="7" t="str">
        <f t="array" ref="Y1982">INDEX(xlRTTYNAME,MATCH(1,(xlRTTYENDU=2)*(xlRTTYEQCL=$F1982)*(xlRTEQTYPE=$G1982),0))</f>
        <v>CENT_AIR3</v>
      </c>
    </row>
    <row r="1983" spans="2:25" x14ac:dyDescent="0.2">
      <c r="B1983" s="5">
        <v>5</v>
      </c>
      <c r="C1983" s="5">
        <v>3</v>
      </c>
      <c r="D1983" s="5">
        <v>3</v>
      </c>
      <c r="E1983" s="5">
        <v>8</v>
      </c>
      <c r="F1983" s="5">
        <v>2</v>
      </c>
      <c r="G1983" s="31">
        <v>6</v>
      </c>
      <c r="H1983" s="5">
        <v>2023</v>
      </c>
      <c r="I1983" s="31">
        <v>2028</v>
      </c>
      <c r="J1983" s="142">
        <v>1.0559000000000001</v>
      </c>
      <c r="K1983" s="142">
        <v>1.0444</v>
      </c>
      <c r="L1983" s="142">
        <v>0.86019999999999996</v>
      </c>
      <c r="M1983" s="142">
        <v>1.0145999999999999</v>
      </c>
      <c r="N1983" s="142">
        <v>0.83460000000000001</v>
      </c>
      <c r="O1983" s="142">
        <v>1.0538000000000001</v>
      </c>
      <c r="P1983" s="26">
        <v>6800.6542580802361</v>
      </c>
      <c r="Q1983" s="35">
        <f t="array" ref="Q1983">SUM(IF(($S1983&gt;=4)*($C1983='TaxCred&amp;Subs'!$D$114:$D$121)*($H1983='TaxCred&amp;Subs'!$C$114:$C$121)*($H1983&lt;='TaxCred&amp;Subs'!$C$123),'TaxCred&amp;Subs'!$E$114:$E$121,0))</f>
        <v>2500</v>
      </c>
      <c r="R1983" s="143">
        <v>0</v>
      </c>
      <c r="S1983" s="5">
        <v>4</v>
      </c>
      <c r="T1983" s="5" t="s">
        <v>240</v>
      </c>
      <c r="V1983" s="7" t="str">
        <f t="array" ref="V1983">INDEX(xlRTCLNAME,MATCH(1,(xlRTCLENDU=1)*(xlRTCLEQCL=$D1983),0))</f>
        <v>NG_FA</v>
      </c>
      <c r="W1983" s="7" t="str">
        <f t="array" ref="W1983">INDEX(xlRTCLNAME,MATCH(1,(xlRTCLENDU=2)*(xlRTCLEQCL=$F1983),0))</f>
        <v>CENT_AIR</v>
      </c>
      <c r="X1983" s="7" t="str">
        <f t="array" ref="X1983">INDEX(xlRTTYNAME,MATCH(1,(xlRTTYENDU=1)*(xlRTTYEQCL=$D1983)*(xlRTEQTYPE=$E1983),0))</f>
        <v>NG_FA3</v>
      </c>
      <c r="Y1983" s="7" t="str">
        <f t="array" ref="Y1983">INDEX(xlRTTYNAME,MATCH(1,(xlRTTYENDU=2)*(xlRTTYEQCL=$F1983)*(xlRTEQTYPE=$G1983),0))</f>
        <v>CENT_AIR3</v>
      </c>
    </row>
    <row r="1984" spans="2:25" x14ac:dyDescent="0.2">
      <c r="B1984" s="152">
        <v>5</v>
      </c>
      <c r="C1984" s="152">
        <v>3</v>
      </c>
      <c r="D1984" s="152">
        <v>3</v>
      </c>
      <c r="E1984" s="152">
        <v>9</v>
      </c>
      <c r="F1984" s="152">
        <v>2</v>
      </c>
      <c r="G1984" s="152">
        <v>6</v>
      </c>
      <c r="H1984" s="152">
        <v>2029</v>
      </c>
      <c r="I1984" s="152">
        <v>2032</v>
      </c>
      <c r="J1984" s="229">
        <v>1.0559000000000001</v>
      </c>
      <c r="K1984" s="229">
        <v>1.0444</v>
      </c>
      <c r="L1984" s="229">
        <v>0.86019999999999996</v>
      </c>
      <c r="M1984" s="229">
        <v>1.0145999999999999</v>
      </c>
      <c r="N1984" s="229">
        <v>0.83460000000000001</v>
      </c>
      <c r="O1984" s="229">
        <v>1.0538000000000001</v>
      </c>
      <c r="P1984" s="155">
        <v>6800.6542580802361</v>
      </c>
      <c r="Q1984" s="41">
        <f t="array" ref="Q1984">SUM(IF(($S1984&gt;=4)*($C1984='TaxCred&amp;Subs'!$D$114:$D$121)*($H1984='TaxCred&amp;Subs'!$C$114:$C$121)*($H1984&lt;='TaxCred&amp;Subs'!$C$123),'TaxCred&amp;Subs'!$E$114:$E$121,0))</f>
        <v>2500</v>
      </c>
      <c r="R1984" s="230">
        <v>0</v>
      </c>
      <c r="S1984" s="152">
        <v>4</v>
      </c>
      <c r="T1984" s="152" t="s">
        <v>240</v>
      </c>
      <c r="V1984" s="7" t="str">
        <f t="array" ref="V1984">INDEX(xlRTCLNAME,MATCH(1,(xlRTCLENDU=1)*(xlRTCLEQCL=$D1984),0))</f>
        <v>NG_FA</v>
      </c>
      <c r="W1984" s="7" t="str">
        <f t="array" ref="W1984">INDEX(xlRTCLNAME,MATCH(1,(xlRTCLENDU=2)*(xlRTCLEQCL=$F1984),0))</f>
        <v>CENT_AIR</v>
      </c>
      <c r="X1984" s="7" t="str">
        <f t="array" ref="X1984">INDEX(xlRTTYNAME,MATCH(1,(xlRTTYENDU=1)*(xlRTTYEQCL=$D1984)*(xlRTEQTYPE=$E1984),0))</f>
        <v>NG_FA4</v>
      </c>
      <c r="Y1984" s="7" t="str">
        <f t="array" ref="Y1984">INDEX(xlRTTYNAME,MATCH(1,(xlRTTYENDU=2)*(xlRTTYEQCL=$F1984)*(xlRTEQTYPE=$G1984),0))</f>
        <v>CENT_AIR3</v>
      </c>
    </row>
    <row r="1985" spans="2:25" x14ac:dyDescent="0.2">
      <c r="B1985" s="5">
        <v>5</v>
      </c>
      <c r="C1985" s="5">
        <v>3</v>
      </c>
      <c r="D1985" s="5">
        <v>3</v>
      </c>
      <c r="E1985" s="31">
        <v>9</v>
      </c>
      <c r="F1985" s="5">
        <v>2</v>
      </c>
      <c r="G1985" s="31">
        <v>6</v>
      </c>
      <c r="H1985" s="5">
        <v>2033</v>
      </c>
      <c r="I1985" s="5">
        <v>2050</v>
      </c>
      <c r="J1985" s="142">
        <v>1.0559000000000001</v>
      </c>
      <c r="K1985" s="142">
        <v>1.0444</v>
      </c>
      <c r="L1985" s="142">
        <v>0.86019999999999996</v>
      </c>
      <c r="M1985" s="142">
        <v>1.0145999999999999</v>
      </c>
      <c r="N1985" s="142">
        <v>0.83460000000000001</v>
      </c>
      <c r="O1985" s="142">
        <v>1.0538000000000001</v>
      </c>
      <c r="P1985" s="26">
        <v>6800.6542580802361</v>
      </c>
      <c r="Q1985" s="35">
        <f t="array" ref="Q1985">SUM(IF(($S1985&gt;=4)*($C1985='TaxCred&amp;Subs'!$D$114:$D$121)*($H1985='TaxCred&amp;Subs'!$C$114:$C$121)*($H1985&lt;='TaxCred&amp;Subs'!$C$123),'TaxCred&amp;Subs'!$E$114:$E$121,0))</f>
        <v>0</v>
      </c>
      <c r="R1985" s="143">
        <v>0</v>
      </c>
      <c r="S1985" s="5">
        <v>4</v>
      </c>
      <c r="T1985" s="5" t="s">
        <v>240</v>
      </c>
      <c r="V1985" s="7" t="str">
        <f t="array" ref="V1985">INDEX(xlRTCLNAME,MATCH(1,(xlRTCLENDU=1)*(xlRTCLEQCL=$D1985),0))</f>
        <v>NG_FA</v>
      </c>
      <c r="W1985" s="7" t="str">
        <f t="array" ref="W1985">INDEX(xlRTCLNAME,MATCH(1,(xlRTCLENDU=2)*(xlRTCLEQCL=$F1985),0))</f>
        <v>CENT_AIR</v>
      </c>
      <c r="X1985" s="7" t="str">
        <f t="array" ref="X1985">INDEX(xlRTTYNAME,MATCH(1,(xlRTTYENDU=1)*(xlRTTYEQCL=$D1985)*(xlRTEQTYPE=$E1985),0))</f>
        <v>NG_FA4</v>
      </c>
      <c r="Y1985" s="7" t="str">
        <f t="array" ref="Y1985">INDEX(xlRTTYNAME,MATCH(1,(xlRTTYENDU=2)*(xlRTTYEQCL=$F1985)*(xlRTEQTYPE=$G1985),0))</f>
        <v>CENT_AIR3</v>
      </c>
    </row>
    <row r="1986" spans="2:25" x14ac:dyDescent="0.2">
      <c r="B1986" s="5">
        <v>6</v>
      </c>
      <c r="C1986" s="5">
        <v>3</v>
      </c>
      <c r="D1986" s="5">
        <v>3</v>
      </c>
      <c r="E1986" s="5">
        <v>8</v>
      </c>
      <c r="F1986" s="5">
        <v>2</v>
      </c>
      <c r="G1986" s="31">
        <v>6</v>
      </c>
      <c r="H1986" s="31">
        <v>2020</v>
      </c>
      <c r="I1986" s="5">
        <v>2022</v>
      </c>
      <c r="J1986" s="142">
        <v>1.0872999999999999</v>
      </c>
      <c r="K1986" s="142">
        <v>1.0581</v>
      </c>
      <c r="L1986" s="142">
        <v>0.82210000000000005</v>
      </c>
      <c r="M1986" s="142">
        <v>1.0062</v>
      </c>
      <c r="N1986" s="142">
        <v>0.8044</v>
      </c>
      <c r="O1986" s="142">
        <v>1.0538000000000001</v>
      </c>
      <c r="P1986" s="26">
        <v>6491.4113795989288</v>
      </c>
      <c r="Q1986" s="35">
        <f t="array" ref="Q1986">SUM(IF(($S1986&gt;=4)*($C1986='TaxCred&amp;Subs'!$D$114:$D$121)*($H1986='TaxCred&amp;Subs'!$C$114:$C$121)*($H1986&lt;='TaxCred&amp;Subs'!$C$123),'TaxCred&amp;Subs'!$E$114:$E$121,0))</f>
        <v>1000</v>
      </c>
      <c r="R1986" s="143">
        <v>0</v>
      </c>
      <c r="S1986" s="5">
        <v>4</v>
      </c>
      <c r="T1986" s="5" t="s">
        <v>240</v>
      </c>
      <c r="V1986" s="7" t="str">
        <f t="array" ref="V1986">INDEX(xlRTCLNAME,MATCH(1,(xlRTCLENDU=1)*(xlRTCLEQCL=$D1986),0))</f>
        <v>NG_FA</v>
      </c>
      <c r="W1986" s="7" t="str">
        <f t="array" ref="W1986">INDEX(xlRTCLNAME,MATCH(1,(xlRTCLENDU=2)*(xlRTCLEQCL=$F1986),0))</f>
        <v>CENT_AIR</v>
      </c>
      <c r="X1986" s="7" t="str">
        <f t="array" ref="X1986">INDEX(xlRTTYNAME,MATCH(1,(xlRTTYENDU=1)*(xlRTTYEQCL=$D1986)*(xlRTEQTYPE=$E1986),0))</f>
        <v>NG_FA3</v>
      </c>
      <c r="Y1986" s="7" t="str">
        <f t="array" ref="Y1986">INDEX(xlRTTYNAME,MATCH(1,(xlRTTYENDU=2)*(xlRTTYEQCL=$F1986)*(xlRTEQTYPE=$G1986),0))</f>
        <v>CENT_AIR3</v>
      </c>
    </row>
    <row r="1987" spans="2:25" x14ac:dyDescent="0.2">
      <c r="B1987" s="5">
        <v>6</v>
      </c>
      <c r="C1987" s="5">
        <v>3</v>
      </c>
      <c r="D1987" s="5">
        <v>3</v>
      </c>
      <c r="E1987" s="5">
        <v>8</v>
      </c>
      <c r="F1987" s="5">
        <v>2</v>
      </c>
      <c r="G1987" s="31">
        <v>6</v>
      </c>
      <c r="H1987" s="5">
        <v>2023</v>
      </c>
      <c r="I1987" s="31">
        <v>2028</v>
      </c>
      <c r="J1987" s="142">
        <v>1.0872999999999999</v>
      </c>
      <c r="K1987" s="142">
        <v>1.0581</v>
      </c>
      <c r="L1987" s="142">
        <v>0.82210000000000005</v>
      </c>
      <c r="M1987" s="142">
        <v>1.0062</v>
      </c>
      <c r="N1987" s="142">
        <v>0.8044</v>
      </c>
      <c r="O1987" s="142">
        <v>1.0538000000000001</v>
      </c>
      <c r="P1987" s="26">
        <v>6491.4113795989288</v>
      </c>
      <c r="Q1987" s="35">
        <f t="array" ref="Q1987">SUM(IF(($S1987&gt;=4)*($C1987='TaxCred&amp;Subs'!$D$114:$D$121)*($H1987='TaxCred&amp;Subs'!$C$114:$C$121)*($H1987&lt;='TaxCred&amp;Subs'!$C$123),'TaxCred&amp;Subs'!$E$114:$E$121,0))</f>
        <v>2500</v>
      </c>
      <c r="R1987" s="143">
        <v>0</v>
      </c>
      <c r="S1987" s="5">
        <v>4</v>
      </c>
      <c r="T1987" s="5" t="s">
        <v>240</v>
      </c>
      <c r="V1987" s="7" t="str">
        <f t="array" ref="V1987">INDEX(xlRTCLNAME,MATCH(1,(xlRTCLENDU=1)*(xlRTCLEQCL=$D1987),0))</f>
        <v>NG_FA</v>
      </c>
      <c r="W1987" s="7" t="str">
        <f t="array" ref="W1987">INDEX(xlRTCLNAME,MATCH(1,(xlRTCLENDU=2)*(xlRTCLEQCL=$F1987),0))</f>
        <v>CENT_AIR</v>
      </c>
      <c r="X1987" s="7" t="str">
        <f t="array" ref="X1987">INDEX(xlRTTYNAME,MATCH(1,(xlRTTYENDU=1)*(xlRTTYEQCL=$D1987)*(xlRTEQTYPE=$E1987),0))</f>
        <v>NG_FA3</v>
      </c>
      <c r="Y1987" s="7" t="str">
        <f t="array" ref="Y1987">INDEX(xlRTTYNAME,MATCH(1,(xlRTTYENDU=2)*(xlRTTYEQCL=$F1987)*(xlRTEQTYPE=$G1987),0))</f>
        <v>CENT_AIR3</v>
      </c>
    </row>
    <row r="1988" spans="2:25" x14ac:dyDescent="0.2">
      <c r="B1988" s="152">
        <v>6</v>
      </c>
      <c r="C1988" s="152">
        <v>3</v>
      </c>
      <c r="D1988" s="152">
        <v>3</v>
      </c>
      <c r="E1988" s="152">
        <v>9</v>
      </c>
      <c r="F1988" s="152">
        <v>2</v>
      </c>
      <c r="G1988" s="152">
        <v>6</v>
      </c>
      <c r="H1988" s="152">
        <v>2029</v>
      </c>
      <c r="I1988" s="152">
        <v>2032</v>
      </c>
      <c r="J1988" s="229">
        <v>1.0872999999999999</v>
      </c>
      <c r="K1988" s="229">
        <v>1.0581</v>
      </c>
      <c r="L1988" s="229">
        <v>0.82210000000000005</v>
      </c>
      <c r="M1988" s="229">
        <v>1.0062</v>
      </c>
      <c r="N1988" s="229">
        <v>0.8044</v>
      </c>
      <c r="O1988" s="229">
        <v>1.0538000000000001</v>
      </c>
      <c r="P1988" s="155">
        <v>6491.4113795989288</v>
      </c>
      <c r="Q1988" s="41">
        <f t="array" ref="Q1988">SUM(IF(($S1988&gt;=4)*($C1988='TaxCred&amp;Subs'!$D$114:$D$121)*($H1988='TaxCred&amp;Subs'!$C$114:$C$121)*($H1988&lt;='TaxCred&amp;Subs'!$C$123),'TaxCred&amp;Subs'!$E$114:$E$121,0))</f>
        <v>2500</v>
      </c>
      <c r="R1988" s="230">
        <v>0</v>
      </c>
      <c r="S1988" s="152">
        <v>4</v>
      </c>
      <c r="T1988" s="152" t="s">
        <v>240</v>
      </c>
      <c r="V1988" s="7" t="str">
        <f t="array" ref="V1988">INDEX(xlRTCLNAME,MATCH(1,(xlRTCLENDU=1)*(xlRTCLEQCL=$D1988),0))</f>
        <v>NG_FA</v>
      </c>
      <c r="W1988" s="7" t="str">
        <f t="array" ref="W1988">INDEX(xlRTCLNAME,MATCH(1,(xlRTCLENDU=2)*(xlRTCLEQCL=$F1988),0))</f>
        <v>CENT_AIR</v>
      </c>
      <c r="X1988" s="7" t="str">
        <f t="array" ref="X1988">INDEX(xlRTTYNAME,MATCH(1,(xlRTTYENDU=1)*(xlRTTYEQCL=$D1988)*(xlRTEQTYPE=$E1988),0))</f>
        <v>NG_FA4</v>
      </c>
      <c r="Y1988" s="7" t="str">
        <f t="array" ref="Y1988">INDEX(xlRTTYNAME,MATCH(1,(xlRTTYENDU=2)*(xlRTTYEQCL=$F1988)*(xlRTEQTYPE=$G1988),0))</f>
        <v>CENT_AIR3</v>
      </c>
    </row>
    <row r="1989" spans="2:25" x14ac:dyDescent="0.2">
      <c r="B1989" s="5">
        <v>6</v>
      </c>
      <c r="C1989" s="5">
        <v>3</v>
      </c>
      <c r="D1989" s="5">
        <v>3</v>
      </c>
      <c r="E1989" s="31">
        <v>9</v>
      </c>
      <c r="F1989" s="5">
        <v>2</v>
      </c>
      <c r="G1989" s="31">
        <v>6</v>
      </c>
      <c r="H1989" s="5">
        <v>2033</v>
      </c>
      <c r="I1989" s="5">
        <v>2050</v>
      </c>
      <c r="J1989" s="142">
        <v>1.0872999999999999</v>
      </c>
      <c r="K1989" s="142">
        <v>1.0581</v>
      </c>
      <c r="L1989" s="142">
        <v>0.82210000000000005</v>
      </c>
      <c r="M1989" s="142">
        <v>1.0062</v>
      </c>
      <c r="N1989" s="142">
        <v>0.8044</v>
      </c>
      <c r="O1989" s="142">
        <v>1.0538000000000001</v>
      </c>
      <c r="P1989" s="26">
        <v>6491.4113795989288</v>
      </c>
      <c r="Q1989" s="35">
        <f t="array" ref="Q1989">SUM(IF(($S1989&gt;=4)*($C1989='TaxCred&amp;Subs'!$D$114:$D$121)*($H1989='TaxCred&amp;Subs'!$C$114:$C$121)*($H1989&lt;='TaxCred&amp;Subs'!$C$123),'TaxCred&amp;Subs'!$E$114:$E$121,0))</f>
        <v>0</v>
      </c>
      <c r="R1989" s="143">
        <v>0</v>
      </c>
      <c r="S1989" s="5">
        <v>4</v>
      </c>
      <c r="T1989" s="5" t="s">
        <v>240</v>
      </c>
      <c r="V1989" s="7" t="str">
        <f t="array" ref="V1989">INDEX(xlRTCLNAME,MATCH(1,(xlRTCLENDU=1)*(xlRTCLEQCL=$D1989),0))</f>
        <v>NG_FA</v>
      </c>
      <c r="W1989" s="7" t="str">
        <f t="array" ref="W1989">INDEX(xlRTCLNAME,MATCH(1,(xlRTCLENDU=2)*(xlRTCLEQCL=$F1989),0))</f>
        <v>CENT_AIR</v>
      </c>
      <c r="X1989" s="7" t="str">
        <f t="array" ref="X1989">INDEX(xlRTTYNAME,MATCH(1,(xlRTTYENDU=1)*(xlRTTYEQCL=$D1989)*(xlRTEQTYPE=$E1989),0))</f>
        <v>NG_FA4</v>
      </c>
      <c r="Y1989" s="7" t="str">
        <f t="array" ref="Y1989">INDEX(xlRTTYNAME,MATCH(1,(xlRTTYENDU=2)*(xlRTTYEQCL=$F1989)*(xlRTEQTYPE=$G1989),0))</f>
        <v>CENT_AIR3</v>
      </c>
    </row>
    <row r="1990" spans="2:25" x14ac:dyDescent="0.2">
      <c r="B1990" s="5">
        <v>7</v>
      </c>
      <c r="C1990" s="5">
        <v>3</v>
      </c>
      <c r="D1990" s="5">
        <v>3</v>
      </c>
      <c r="E1990" s="5">
        <v>8</v>
      </c>
      <c r="F1990" s="5">
        <v>2</v>
      </c>
      <c r="G1990" s="31">
        <v>6</v>
      </c>
      <c r="H1990" s="31">
        <v>2020</v>
      </c>
      <c r="I1990" s="5">
        <v>2022</v>
      </c>
      <c r="J1990" s="142">
        <v>1.0914999999999999</v>
      </c>
      <c r="K1990" s="142">
        <v>1.0496000000000001</v>
      </c>
      <c r="L1990" s="142">
        <v>0.82369999999999999</v>
      </c>
      <c r="M1990" s="142">
        <v>1.0031000000000001</v>
      </c>
      <c r="N1990" s="142">
        <v>0.81759999999999999</v>
      </c>
      <c r="O1990" s="142">
        <v>1.0538000000000001</v>
      </c>
      <c r="P1990" s="26">
        <v>6213.0927889657514</v>
      </c>
      <c r="Q1990" s="35">
        <f t="array" ref="Q1990">SUM(IF(($S1990&gt;=4)*($C1990='TaxCred&amp;Subs'!$D$114:$D$121)*($H1990='TaxCred&amp;Subs'!$C$114:$C$121)*($H1990&lt;='TaxCred&amp;Subs'!$C$123),'TaxCred&amp;Subs'!$E$114:$E$121,0))</f>
        <v>1000</v>
      </c>
      <c r="R1990" s="143">
        <v>0</v>
      </c>
      <c r="S1990" s="5">
        <v>4</v>
      </c>
      <c r="T1990" s="5" t="s">
        <v>240</v>
      </c>
      <c r="V1990" s="7" t="str">
        <f t="array" ref="V1990">INDEX(xlRTCLNAME,MATCH(1,(xlRTCLENDU=1)*(xlRTCLEQCL=$D1990),0))</f>
        <v>NG_FA</v>
      </c>
      <c r="W1990" s="7" t="str">
        <f t="array" ref="W1990">INDEX(xlRTCLNAME,MATCH(1,(xlRTCLENDU=2)*(xlRTCLEQCL=$F1990),0))</f>
        <v>CENT_AIR</v>
      </c>
      <c r="X1990" s="7" t="str">
        <f t="array" ref="X1990">INDEX(xlRTTYNAME,MATCH(1,(xlRTTYENDU=1)*(xlRTTYEQCL=$D1990)*(xlRTEQTYPE=$E1990),0))</f>
        <v>NG_FA3</v>
      </c>
      <c r="Y1990" s="7" t="str">
        <f t="array" ref="Y1990">INDEX(xlRTTYNAME,MATCH(1,(xlRTTYENDU=2)*(xlRTTYEQCL=$F1990)*(xlRTEQTYPE=$G1990),0))</f>
        <v>CENT_AIR3</v>
      </c>
    </row>
    <row r="1991" spans="2:25" x14ac:dyDescent="0.2">
      <c r="B1991" s="5">
        <v>7</v>
      </c>
      <c r="C1991" s="5">
        <v>3</v>
      </c>
      <c r="D1991" s="5">
        <v>3</v>
      </c>
      <c r="E1991" s="5">
        <v>8</v>
      </c>
      <c r="F1991" s="5">
        <v>2</v>
      </c>
      <c r="G1991" s="31">
        <v>6</v>
      </c>
      <c r="H1991" s="5">
        <v>2023</v>
      </c>
      <c r="I1991" s="31">
        <v>2028</v>
      </c>
      <c r="J1991" s="142">
        <v>1.0914999999999999</v>
      </c>
      <c r="K1991" s="142">
        <v>1.0496000000000001</v>
      </c>
      <c r="L1991" s="142">
        <v>0.82369999999999999</v>
      </c>
      <c r="M1991" s="142">
        <v>1.0031000000000001</v>
      </c>
      <c r="N1991" s="142">
        <v>0.81759999999999999</v>
      </c>
      <c r="O1991" s="142">
        <v>1.0538000000000001</v>
      </c>
      <c r="P1991" s="26">
        <v>6213.0927889657514</v>
      </c>
      <c r="Q1991" s="35">
        <f t="array" ref="Q1991">SUM(IF(($S1991&gt;=4)*($C1991='TaxCred&amp;Subs'!$D$114:$D$121)*($H1991='TaxCred&amp;Subs'!$C$114:$C$121)*($H1991&lt;='TaxCred&amp;Subs'!$C$123),'TaxCred&amp;Subs'!$E$114:$E$121,0))</f>
        <v>2500</v>
      </c>
      <c r="R1991" s="143">
        <v>0</v>
      </c>
      <c r="S1991" s="5">
        <v>4</v>
      </c>
      <c r="T1991" s="5" t="s">
        <v>240</v>
      </c>
      <c r="V1991" s="7" t="str">
        <f t="array" ref="V1991">INDEX(xlRTCLNAME,MATCH(1,(xlRTCLENDU=1)*(xlRTCLEQCL=$D1991),0))</f>
        <v>NG_FA</v>
      </c>
      <c r="W1991" s="7" t="str">
        <f t="array" ref="W1991">INDEX(xlRTCLNAME,MATCH(1,(xlRTCLENDU=2)*(xlRTCLEQCL=$F1991),0))</f>
        <v>CENT_AIR</v>
      </c>
      <c r="X1991" s="7" t="str">
        <f t="array" ref="X1991">INDEX(xlRTTYNAME,MATCH(1,(xlRTTYENDU=1)*(xlRTTYEQCL=$D1991)*(xlRTEQTYPE=$E1991),0))</f>
        <v>NG_FA3</v>
      </c>
      <c r="Y1991" s="7" t="str">
        <f t="array" ref="Y1991">INDEX(xlRTTYNAME,MATCH(1,(xlRTTYENDU=2)*(xlRTTYEQCL=$F1991)*(xlRTEQTYPE=$G1991),0))</f>
        <v>CENT_AIR3</v>
      </c>
    </row>
    <row r="1992" spans="2:25" x14ac:dyDescent="0.2">
      <c r="B1992" s="152">
        <v>7</v>
      </c>
      <c r="C1992" s="152">
        <v>3</v>
      </c>
      <c r="D1992" s="152">
        <v>3</v>
      </c>
      <c r="E1992" s="152">
        <v>9</v>
      </c>
      <c r="F1992" s="152">
        <v>2</v>
      </c>
      <c r="G1992" s="152">
        <v>6</v>
      </c>
      <c r="H1992" s="152">
        <v>2029</v>
      </c>
      <c r="I1992" s="152">
        <v>2032</v>
      </c>
      <c r="J1992" s="229">
        <v>1.0914999999999999</v>
      </c>
      <c r="K1992" s="229">
        <v>1.0496000000000001</v>
      </c>
      <c r="L1992" s="229">
        <v>0.82369999999999999</v>
      </c>
      <c r="M1992" s="229">
        <v>1.0031000000000001</v>
      </c>
      <c r="N1992" s="229">
        <v>0.81759999999999999</v>
      </c>
      <c r="O1992" s="229">
        <v>1.0538000000000001</v>
      </c>
      <c r="P1992" s="155">
        <v>6213.0927889657514</v>
      </c>
      <c r="Q1992" s="41">
        <f t="array" ref="Q1992">SUM(IF(($S1992&gt;=4)*($C1992='TaxCred&amp;Subs'!$D$114:$D$121)*($H1992='TaxCred&amp;Subs'!$C$114:$C$121)*($H1992&lt;='TaxCred&amp;Subs'!$C$123),'TaxCred&amp;Subs'!$E$114:$E$121,0))</f>
        <v>2500</v>
      </c>
      <c r="R1992" s="230">
        <v>0</v>
      </c>
      <c r="S1992" s="152">
        <v>4</v>
      </c>
      <c r="T1992" s="152" t="s">
        <v>240</v>
      </c>
      <c r="V1992" s="7" t="str">
        <f t="array" ref="V1992">INDEX(xlRTCLNAME,MATCH(1,(xlRTCLENDU=1)*(xlRTCLEQCL=$D1992),0))</f>
        <v>NG_FA</v>
      </c>
      <c r="W1992" s="7" t="str">
        <f t="array" ref="W1992">INDEX(xlRTCLNAME,MATCH(1,(xlRTCLENDU=2)*(xlRTCLEQCL=$F1992),0))</f>
        <v>CENT_AIR</v>
      </c>
      <c r="X1992" s="7" t="str">
        <f t="array" ref="X1992">INDEX(xlRTTYNAME,MATCH(1,(xlRTTYENDU=1)*(xlRTTYEQCL=$D1992)*(xlRTEQTYPE=$E1992),0))</f>
        <v>NG_FA4</v>
      </c>
      <c r="Y1992" s="7" t="str">
        <f t="array" ref="Y1992">INDEX(xlRTTYNAME,MATCH(1,(xlRTTYENDU=2)*(xlRTTYEQCL=$F1992)*(xlRTEQTYPE=$G1992),0))</f>
        <v>CENT_AIR3</v>
      </c>
    </row>
    <row r="1993" spans="2:25" x14ac:dyDescent="0.2">
      <c r="B1993" s="5">
        <v>7</v>
      </c>
      <c r="C1993" s="5">
        <v>3</v>
      </c>
      <c r="D1993" s="5">
        <v>3</v>
      </c>
      <c r="E1993" s="31">
        <v>9</v>
      </c>
      <c r="F1993" s="5">
        <v>2</v>
      </c>
      <c r="G1993" s="31">
        <v>6</v>
      </c>
      <c r="H1993" s="5">
        <v>2033</v>
      </c>
      <c r="I1993" s="5">
        <v>2050</v>
      </c>
      <c r="J1993" s="142">
        <v>1.0914999999999999</v>
      </c>
      <c r="K1993" s="142">
        <v>1.0496000000000001</v>
      </c>
      <c r="L1993" s="142">
        <v>0.82369999999999999</v>
      </c>
      <c r="M1993" s="142">
        <v>1.0031000000000001</v>
      </c>
      <c r="N1993" s="142">
        <v>0.81759999999999999</v>
      </c>
      <c r="O1993" s="142">
        <v>1.0538000000000001</v>
      </c>
      <c r="P1993" s="26">
        <v>6213.0927889657514</v>
      </c>
      <c r="Q1993" s="35">
        <f t="array" ref="Q1993">SUM(IF(($S1993&gt;=4)*($C1993='TaxCred&amp;Subs'!$D$114:$D$121)*($H1993='TaxCred&amp;Subs'!$C$114:$C$121)*($H1993&lt;='TaxCred&amp;Subs'!$C$123),'TaxCred&amp;Subs'!$E$114:$E$121,0))</f>
        <v>0</v>
      </c>
      <c r="R1993" s="143">
        <v>0</v>
      </c>
      <c r="S1993" s="5">
        <v>4</v>
      </c>
      <c r="T1993" s="5" t="s">
        <v>240</v>
      </c>
      <c r="V1993" s="7" t="str">
        <f t="array" ref="V1993">INDEX(xlRTCLNAME,MATCH(1,(xlRTCLENDU=1)*(xlRTCLEQCL=$D1993),0))</f>
        <v>NG_FA</v>
      </c>
      <c r="W1993" s="7" t="str">
        <f t="array" ref="W1993">INDEX(xlRTCLNAME,MATCH(1,(xlRTCLENDU=2)*(xlRTCLEQCL=$F1993),0))</f>
        <v>CENT_AIR</v>
      </c>
      <c r="X1993" s="7" t="str">
        <f t="array" ref="X1993">INDEX(xlRTTYNAME,MATCH(1,(xlRTTYENDU=1)*(xlRTTYEQCL=$D1993)*(xlRTEQTYPE=$E1993),0))</f>
        <v>NG_FA4</v>
      </c>
      <c r="Y1993" s="7" t="str">
        <f t="array" ref="Y1993">INDEX(xlRTTYNAME,MATCH(1,(xlRTTYENDU=2)*(xlRTTYEQCL=$F1993)*(xlRTEQTYPE=$G1993),0))</f>
        <v>CENT_AIR3</v>
      </c>
    </row>
    <row r="1994" spans="2:25" x14ac:dyDescent="0.2">
      <c r="B1994" s="5">
        <v>9</v>
      </c>
      <c r="C1994" s="5">
        <v>3</v>
      </c>
      <c r="D1994" s="5">
        <v>3</v>
      </c>
      <c r="E1994" s="5">
        <v>8</v>
      </c>
      <c r="F1994" s="5">
        <v>2</v>
      </c>
      <c r="G1994" s="31">
        <v>6</v>
      </c>
      <c r="H1994" s="31">
        <v>2020</v>
      </c>
      <c r="I1994" s="5">
        <v>2022</v>
      </c>
      <c r="J1994" s="142">
        <v>1.0761000000000001</v>
      </c>
      <c r="K1994" s="142">
        <v>1.0506</v>
      </c>
      <c r="L1994" s="142">
        <v>0.90200000000000002</v>
      </c>
      <c r="M1994" s="142">
        <v>1.0749</v>
      </c>
      <c r="N1994" s="142">
        <v>0.84670000000000001</v>
      </c>
      <c r="O1994" s="142">
        <v>1.0538000000000001</v>
      </c>
      <c r="P1994" s="26">
        <v>8289.0536775533128</v>
      </c>
      <c r="Q1994" s="35">
        <f t="array" ref="Q1994">SUM(IF(($S1994&gt;=4)*($C1994='TaxCred&amp;Subs'!$D$114:$D$121)*($H1994='TaxCred&amp;Subs'!$C$114:$C$121)*($H1994&lt;='TaxCred&amp;Subs'!$C$123),'TaxCred&amp;Subs'!$E$114:$E$121,0))</f>
        <v>1000</v>
      </c>
      <c r="R1994" s="143">
        <v>0</v>
      </c>
      <c r="S1994" s="5">
        <v>4</v>
      </c>
      <c r="T1994" s="5" t="s">
        <v>240</v>
      </c>
      <c r="V1994" s="7" t="str">
        <f t="array" ref="V1994">INDEX(xlRTCLNAME,MATCH(1,(xlRTCLENDU=1)*(xlRTCLEQCL=$D1994),0))</f>
        <v>NG_FA</v>
      </c>
      <c r="W1994" s="7" t="str">
        <f t="array" ref="W1994">INDEX(xlRTCLNAME,MATCH(1,(xlRTCLENDU=2)*(xlRTCLEQCL=$F1994),0))</f>
        <v>CENT_AIR</v>
      </c>
      <c r="X1994" s="7" t="str">
        <f t="array" ref="X1994">INDEX(xlRTTYNAME,MATCH(1,(xlRTTYENDU=1)*(xlRTTYEQCL=$D1994)*(xlRTEQTYPE=$E1994),0))</f>
        <v>NG_FA3</v>
      </c>
      <c r="Y1994" s="7" t="str">
        <f t="array" ref="Y1994">INDEX(xlRTTYNAME,MATCH(1,(xlRTTYENDU=2)*(xlRTTYEQCL=$F1994)*(xlRTEQTYPE=$G1994),0))</f>
        <v>CENT_AIR3</v>
      </c>
    </row>
    <row r="1995" spans="2:25" x14ac:dyDescent="0.2">
      <c r="B1995" s="5">
        <v>9</v>
      </c>
      <c r="C1995" s="5">
        <v>3</v>
      </c>
      <c r="D1995" s="5">
        <v>3</v>
      </c>
      <c r="E1995" s="5">
        <v>8</v>
      </c>
      <c r="F1995" s="5">
        <v>2</v>
      </c>
      <c r="G1995" s="31">
        <v>6</v>
      </c>
      <c r="H1995" s="5">
        <v>2023</v>
      </c>
      <c r="I1995" s="31">
        <v>2028</v>
      </c>
      <c r="J1995" s="142">
        <v>1.0761000000000001</v>
      </c>
      <c r="K1995" s="142">
        <v>1.0506</v>
      </c>
      <c r="L1995" s="142">
        <v>0.90200000000000002</v>
      </c>
      <c r="M1995" s="142">
        <v>1.0749</v>
      </c>
      <c r="N1995" s="142">
        <v>0.84670000000000001</v>
      </c>
      <c r="O1995" s="142">
        <v>1.0538000000000001</v>
      </c>
      <c r="P1995" s="26">
        <v>8289.0536775533128</v>
      </c>
      <c r="Q1995" s="35">
        <f t="array" ref="Q1995">SUM(IF(($S1995&gt;=4)*($C1995='TaxCred&amp;Subs'!$D$114:$D$121)*($H1995='TaxCred&amp;Subs'!$C$114:$C$121)*($H1995&lt;='TaxCred&amp;Subs'!$C$123),'TaxCred&amp;Subs'!$E$114:$E$121,0))</f>
        <v>2500</v>
      </c>
      <c r="R1995" s="143">
        <v>0</v>
      </c>
      <c r="S1995" s="5">
        <v>4</v>
      </c>
      <c r="T1995" s="5" t="s">
        <v>240</v>
      </c>
      <c r="V1995" s="7" t="str">
        <f t="array" ref="V1995">INDEX(xlRTCLNAME,MATCH(1,(xlRTCLENDU=1)*(xlRTCLEQCL=$D1995),0))</f>
        <v>NG_FA</v>
      </c>
      <c r="W1995" s="7" t="str">
        <f t="array" ref="W1995">INDEX(xlRTCLNAME,MATCH(1,(xlRTCLENDU=2)*(xlRTCLEQCL=$F1995),0))</f>
        <v>CENT_AIR</v>
      </c>
      <c r="X1995" s="7" t="str">
        <f t="array" ref="X1995">INDEX(xlRTTYNAME,MATCH(1,(xlRTTYENDU=1)*(xlRTTYEQCL=$D1995)*(xlRTEQTYPE=$E1995),0))</f>
        <v>NG_FA3</v>
      </c>
      <c r="Y1995" s="7" t="str">
        <f t="array" ref="Y1995">INDEX(xlRTTYNAME,MATCH(1,(xlRTTYENDU=2)*(xlRTTYEQCL=$F1995)*(xlRTEQTYPE=$G1995),0))</f>
        <v>CENT_AIR3</v>
      </c>
    </row>
    <row r="1996" spans="2:25" x14ac:dyDescent="0.2">
      <c r="B1996" s="152">
        <v>9</v>
      </c>
      <c r="C1996" s="152">
        <v>3</v>
      </c>
      <c r="D1996" s="152">
        <v>3</v>
      </c>
      <c r="E1996" s="152">
        <v>9</v>
      </c>
      <c r="F1996" s="152">
        <v>2</v>
      </c>
      <c r="G1996" s="152">
        <v>6</v>
      </c>
      <c r="H1996" s="152">
        <v>2029</v>
      </c>
      <c r="I1996" s="152">
        <v>2032</v>
      </c>
      <c r="J1996" s="229">
        <v>1.0761000000000001</v>
      </c>
      <c r="K1996" s="229">
        <v>1.0506</v>
      </c>
      <c r="L1996" s="229">
        <v>0.90200000000000002</v>
      </c>
      <c r="M1996" s="229">
        <v>1.0749</v>
      </c>
      <c r="N1996" s="229">
        <v>0.84670000000000001</v>
      </c>
      <c r="O1996" s="229">
        <v>1.0538000000000001</v>
      </c>
      <c r="P1996" s="155">
        <v>8289.0536775533128</v>
      </c>
      <c r="Q1996" s="41">
        <f t="array" ref="Q1996">SUM(IF(($S1996&gt;=4)*($C1996='TaxCred&amp;Subs'!$D$114:$D$121)*($H1996='TaxCred&amp;Subs'!$C$114:$C$121)*($H1996&lt;='TaxCred&amp;Subs'!$C$123),'TaxCred&amp;Subs'!$E$114:$E$121,0))</f>
        <v>2500</v>
      </c>
      <c r="R1996" s="230">
        <v>0</v>
      </c>
      <c r="S1996" s="152">
        <v>4</v>
      </c>
      <c r="T1996" s="152" t="s">
        <v>240</v>
      </c>
      <c r="V1996" s="7" t="str">
        <f t="array" ref="V1996">INDEX(xlRTCLNAME,MATCH(1,(xlRTCLENDU=1)*(xlRTCLEQCL=$D1996),0))</f>
        <v>NG_FA</v>
      </c>
      <c r="W1996" s="7" t="str">
        <f t="array" ref="W1996">INDEX(xlRTCLNAME,MATCH(1,(xlRTCLENDU=2)*(xlRTCLEQCL=$F1996),0))</f>
        <v>CENT_AIR</v>
      </c>
      <c r="X1996" s="7" t="str">
        <f t="array" ref="X1996">INDEX(xlRTTYNAME,MATCH(1,(xlRTTYENDU=1)*(xlRTTYEQCL=$D1996)*(xlRTEQTYPE=$E1996),0))</f>
        <v>NG_FA4</v>
      </c>
      <c r="Y1996" s="7" t="str">
        <f t="array" ref="Y1996">INDEX(xlRTTYNAME,MATCH(1,(xlRTTYENDU=2)*(xlRTTYEQCL=$F1996)*(xlRTEQTYPE=$G1996),0))</f>
        <v>CENT_AIR3</v>
      </c>
    </row>
    <row r="1997" spans="2:25" x14ac:dyDescent="0.2">
      <c r="B1997" s="5">
        <v>9</v>
      </c>
      <c r="C1997" s="5">
        <v>3</v>
      </c>
      <c r="D1997" s="5">
        <v>3</v>
      </c>
      <c r="E1997" s="31">
        <v>9</v>
      </c>
      <c r="F1997" s="5">
        <v>2</v>
      </c>
      <c r="G1997" s="31">
        <v>6</v>
      </c>
      <c r="H1997" s="5">
        <v>2033</v>
      </c>
      <c r="I1997" s="5">
        <v>2050</v>
      </c>
      <c r="J1997" s="142">
        <v>1.0761000000000001</v>
      </c>
      <c r="K1997" s="142">
        <v>1.0506</v>
      </c>
      <c r="L1997" s="142">
        <v>0.90200000000000002</v>
      </c>
      <c r="M1997" s="142">
        <v>1.0749</v>
      </c>
      <c r="N1997" s="142">
        <v>0.84670000000000001</v>
      </c>
      <c r="O1997" s="142">
        <v>1.0538000000000001</v>
      </c>
      <c r="P1997" s="26">
        <v>8289.0536775533128</v>
      </c>
      <c r="Q1997" s="35">
        <f t="array" ref="Q1997">SUM(IF(($S1997&gt;=4)*($C1997='TaxCred&amp;Subs'!$D$114:$D$121)*($H1997='TaxCred&amp;Subs'!$C$114:$C$121)*($H1997&lt;='TaxCred&amp;Subs'!$C$123),'TaxCred&amp;Subs'!$E$114:$E$121,0))</f>
        <v>0</v>
      </c>
      <c r="R1997" s="143">
        <v>0</v>
      </c>
      <c r="S1997" s="5">
        <v>4</v>
      </c>
      <c r="T1997" s="5" t="s">
        <v>240</v>
      </c>
      <c r="V1997" s="7" t="str">
        <f t="array" ref="V1997">INDEX(xlRTCLNAME,MATCH(1,(xlRTCLENDU=1)*(xlRTCLEQCL=$D1997),0))</f>
        <v>NG_FA</v>
      </c>
      <c r="W1997" s="7" t="str">
        <f t="array" ref="W1997">INDEX(xlRTCLNAME,MATCH(1,(xlRTCLENDU=2)*(xlRTCLEQCL=$F1997),0))</f>
        <v>CENT_AIR</v>
      </c>
      <c r="X1997" s="7" t="str">
        <f t="array" ref="X1997">INDEX(xlRTTYNAME,MATCH(1,(xlRTTYENDU=1)*(xlRTTYEQCL=$D1997)*(xlRTEQTYPE=$E1997),0))</f>
        <v>NG_FA4</v>
      </c>
      <c r="Y1997" s="7" t="str">
        <f t="array" ref="Y1997">INDEX(xlRTTYNAME,MATCH(1,(xlRTTYENDU=2)*(xlRTTYEQCL=$F1997)*(xlRTEQTYPE=$G1997),0))</f>
        <v>CENT_AIR3</v>
      </c>
    </row>
    <row r="1998" spans="2:25" x14ac:dyDescent="0.2">
      <c r="B1998" s="5">
        <v>5</v>
      </c>
      <c r="C1998" s="5">
        <v>3</v>
      </c>
      <c r="D1998" s="5">
        <v>4</v>
      </c>
      <c r="E1998" s="5">
        <v>12</v>
      </c>
      <c r="F1998" s="5">
        <v>2</v>
      </c>
      <c r="G1998" s="31">
        <v>6</v>
      </c>
      <c r="H1998" s="31">
        <v>2020</v>
      </c>
      <c r="I1998" s="5">
        <v>2022</v>
      </c>
      <c r="J1998" s="142">
        <v>1.0940000000000001</v>
      </c>
      <c r="K1998" s="142">
        <v>1.0575000000000001</v>
      </c>
      <c r="L1998" s="142">
        <v>0.85619999999999996</v>
      </c>
      <c r="M1998" s="142">
        <v>0.99719999999999998</v>
      </c>
      <c r="N1998" s="142">
        <v>0.83130000000000004</v>
      </c>
      <c r="O1998" s="142">
        <v>1.0538000000000001</v>
      </c>
      <c r="P1998" s="26">
        <v>7302.1655349216617</v>
      </c>
      <c r="Q1998" s="35">
        <f t="array" ref="Q1998">SUM(IF(($S1998&gt;=4)*($C1998='TaxCred&amp;Subs'!$D$114:$D$121)*($H1998='TaxCred&amp;Subs'!$C$114:$C$121)*($H1998&lt;='TaxCred&amp;Subs'!$C$123),'TaxCred&amp;Subs'!$E$114:$E$121,0))</f>
        <v>1000</v>
      </c>
      <c r="R1998" s="143">
        <v>0</v>
      </c>
      <c r="S1998" s="5">
        <v>4</v>
      </c>
      <c r="T1998" s="5" t="s">
        <v>240</v>
      </c>
      <c r="V1998" s="7" t="str">
        <f t="array" ref="V1998">INDEX(xlRTCLNAME,MATCH(1,(xlRTCLENDU=1)*(xlRTCLEQCL=$D1998),0))</f>
        <v>NG_RAD</v>
      </c>
      <c r="W1998" s="7" t="str">
        <f t="array" ref="W1998">INDEX(xlRTCLNAME,MATCH(1,(xlRTCLENDU=2)*(xlRTCLEQCL=$F1998),0))</f>
        <v>CENT_AIR</v>
      </c>
      <c r="X1998" s="7" t="str">
        <f t="array" ref="X1998">INDEX(xlRTTYNAME,MATCH(1,(xlRTTYENDU=1)*(xlRTTYEQCL=$D1998)*(xlRTEQTYPE=$E1998),0))</f>
        <v>NG_RAD3</v>
      </c>
      <c r="Y1998" s="7" t="str">
        <f t="array" ref="Y1998">INDEX(xlRTTYNAME,MATCH(1,(xlRTTYENDU=2)*(xlRTTYEQCL=$F1998)*(xlRTEQTYPE=$G1998),0))</f>
        <v>CENT_AIR3</v>
      </c>
    </row>
    <row r="1999" spans="2:25" x14ac:dyDescent="0.2">
      <c r="B1999" s="5">
        <v>5</v>
      </c>
      <c r="C1999" s="5">
        <v>3</v>
      </c>
      <c r="D1999" s="5">
        <v>4</v>
      </c>
      <c r="E1999" s="5">
        <v>12</v>
      </c>
      <c r="F1999" s="5">
        <v>2</v>
      </c>
      <c r="G1999" s="31">
        <v>6</v>
      </c>
      <c r="H1999" s="5">
        <v>2023</v>
      </c>
      <c r="I1999" s="5">
        <v>2032</v>
      </c>
      <c r="J1999" s="142">
        <v>1.0940000000000001</v>
      </c>
      <c r="K1999" s="142">
        <v>1.0575000000000001</v>
      </c>
      <c r="L1999" s="142">
        <v>0.85619999999999996</v>
      </c>
      <c r="M1999" s="142">
        <v>0.99719999999999998</v>
      </c>
      <c r="N1999" s="142">
        <v>0.83130000000000004</v>
      </c>
      <c r="O1999" s="142">
        <v>1.0538000000000001</v>
      </c>
      <c r="P1999" s="26">
        <v>7302.1655349216617</v>
      </c>
      <c r="Q1999" s="35">
        <f t="array" ref="Q1999">SUM(IF(($S1999&gt;=4)*($C1999='TaxCred&amp;Subs'!$D$114:$D$121)*($H1999='TaxCred&amp;Subs'!$C$114:$C$121)*($H1999&lt;='TaxCred&amp;Subs'!$C$123),'TaxCred&amp;Subs'!$E$114:$E$121,0))</f>
        <v>2500</v>
      </c>
      <c r="R1999" s="143">
        <v>0</v>
      </c>
      <c r="S1999" s="5">
        <v>4</v>
      </c>
      <c r="T1999" s="5" t="s">
        <v>240</v>
      </c>
      <c r="V1999" s="7" t="str">
        <f t="array" ref="V1999">INDEX(xlRTCLNAME,MATCH(1,(xlRTCLENDU=1)*(xlRTCLEQCL=$D1999),0))</f>
        <v>NG_RAD</v>
      </c>
      <c r="W1999" s="7" t="str">
        <f t="array" ref="W1999">INDEX(xlRTCLNAME,MATCH(1,(xlRTCLENDU=2)*(xlRTCLEQCL=$F1999),0))</f>
        <v>CENT_AIR</v>
      </c>
      <c r="X1999" s="7" t="str">
        <f t="array" ref="X1999">INDEX(xlRTTYNAME,MATCH(1,(xlRTTYENDU=1)*(xlRTTYEQCL=$D1999)*(xlRTEQTYPE=$E1999),0))</f>
        <v>NG_RAD3</v>
      </c>
      <c r="Y1999" s="7" t="str">
        <f t="array" ref="Y1999">INDEX(xlRTTYNAME,MATCH(1,(xlRTTYENDU=2)*(xlRTTYEQCL=$F1999)*(xlRTEQTYPE=$G1999),0))</f>
        <v>CENT_AIR3</v>
      </c>
    </row>
    <row r="2000" spans="2:25" x14ac:dyDescent="0.2">
      <c r="B2000" s="5">
        <v>5</v>
      </c>
      <c r="C2000" s="5">
        <v>3</v>
      </c>
      <c r="D2000" s="5">
        <v>4</v>
      </c>
      <c r="E2000" s="5">
        <v>12</v>
      </c>
      <c r="F2000" s="5">
        <v>2</v>
      </c>
      <c r="G2000" s="31">
        <v>6</v>
      </c>
      <c r="H2000" s="5">
        <v>2033</v>
      </c>
      <c r="I2000" s="5">
        <v>2050</v>
      </c>
      <c r="J2000" s="142">
        <v>1.0940000000000001</v>
      </c>
      <c r="K2000" s="142">
        <v>1.0575000000000001</v>
      </c>
      <c r="L2000" s="142">
        <v>0.85619999999999996</v>
      </c>
      <c r="M2000" s="142">
        <v>0.99719999999999998</v>
      </c>
      <c r="N2000" s="142">
        <v>0.83130000000000004</v>
      </c>
      <c r="O2000" s="142">
        <v>1.0538000000000001</v>
      </c>
      <c r="P2000" s="26">
        <v>7302.1655349216617</v>
      </c>
      <c r="Q2000" s="35">
        <f t="array" ref="Q2000">SUM(IF(($S2000&gt;=4)*($C2000='TaxCred&amp;Subs'!$D$114:$D$121)*($H2000='TaxCred&amp;Subs'!$C$114:$C$121)*($H2000&lt;='TaxCred&amp;Subs'!$C$123),'TaxCred&amp;Subs'!$E$114:$E$121,0))</f>
        <v>0</v>
      </c>
      <c r="R2000" s="143">
        <v>0</v>
      </c>
      <c r="S2000" s="5">
        <v>4</v>
      </c>
      <c r="T2000" s="5" t="s">
        <v>240</v>
      </c>
      <c r="V2000" s="7" t="str">
        <f t="array" ref="V2000">INDEX(xlRTCLNAME,MATCH(1,(xlRTCLENDU=1)*(xlRTCLEQCL=$D2000),0))</f>
        <v>NG_RAD</v>
      </c>
      <c r="W2000" s="7" t="str">
        <f t="array" ref="W2000">INDEX(xlRTCLNAME,MATCH(1,(xlRTCLENDU=2)*(xlRTCLEQCL=$F2000),0))</f>
        <v>CENT_AIR</v>
      </c>
      <c r="X2000" s="7" t="str">
        <f t="array" ref="X2000">INDEX(xlRTTYNAME,MATCH(1,(xlRTTYENDU=1)*(xlRTTYEQCL=$D2000)*(xlRTEQTYPE=$E2000),0))</f>
        <v>NG_RAD3</v>
      </c>
      <c r="Y2000" s="7" t="str">
        <f t="array" ref="Y2000">INDEX(xlRTTYNAME,MATCH(1,(xlRTTYENDU=2)*(xlRTTYEQCL=$F2000)*(xlRTEQTYPE=$G2000),0))</f>
        <v>CENT_AIR3</v>
      </c>
    </row>
    <row r="2001" spans="2:25" x14ac:dyDescent="0.2">
      <c r="B2001" s="5">
        <v>6</v>
      </c>
      <c r="C2001" s="5">
        <v>3</v>
      </c>
      <c r="D2001" s="5">
        <v>4</v>
      </c>
      <c r="E2001" s="5">
        <v>12</v>
      </c>
      <c r="F2001" s="5">
        <v>2</v>
      </c>
      <c r="G2001" s="31">
        <v>6</v>
      </c>
      <c r="H2001" s="31">
        <v>2020</v>
      </c>
      <c r="I2001" s="5">
        <v>2022</v>
      </c>
      <c r="J2001" s="142">
        <v>1.0873999999999999</v>
      </c>
      <c r="K2001" s="142">
        <v>1.0609999999999999</v>
      </c>
      <c r="L2001" s="142">
        <v>0.82179999999999997</v>
      </c>
      <c r="M2001" s="142">
        <v>1.0124</v>
      </c>
      <c r="N2001" s="142">
        <v>0.80189999999999995</v>
      </c>
      <c r="O2001" s="142">
        <v>1.0538000000000001</v>
      </c>
      <c r="P2001" s="26">
        <v>7132.7542188840753</v>
      </c>
      <c r="Q2001" s="35">
        <f t="array" ref="Q2001">SUM(IF(($S2001&gt;=4)*($C2001='TaxCred&amp;Subs'!$D$114:$D$121)*($H2001='TaxCred&amp;Subs'!$C$114:$C$121)*($H2001&lt;='TaxCred&amp;Subs'!$C$123),'TaxCred&amp;Subs'!$E$114:$E$121,0))</f>
        <v>1000</v>
      </c>
      <c r="R2001" s="143">
        <v>0</v>
      </c>
      <c r="S2001" s="5">
        <v>4</v>
      </c>
      <c r="T2001" s="5" t="s">
        <v>240</v>
      </c>
      <c r="V2001" s="7" t="str">
        <f t="array" ref="V2001">INDEX(xlRTCLNAME,MATCH(1,(xlRTCLENDU=1)*(xlRTCLEQCL=$D2001),0))</f>
        <v>NG_RAD</v>
      </c>
      <c r="W2001" s="7" t="str">
        <f t="array" ref="W2001">INDEX(xlRTCLNAME,MATCH(1,(xlRTCLENDU=2)*(xlRTCLEQCL=$F2001),0))</f>
        <v>CENT_AIR</v>
      </c>
      <c r="X2001" s="7" t="str">
        <f t="array" ref="X2001">INDEX(xlRTTYNAME,MATCH(1,(xlRTTYENDU=1)*(xlRTTYEQCL=$D2001)*(xlRTEQTYPE=$E2001),0))</f>
        <v>NG_RAD3</v>
      </c>
      <c r="Y2001" s="7" t="str">
        <f t="array" ref="Y2001">INDEX(xlRTTYNAME,MATCH(1,(xlRTTYENDU=2)*(xlRTTYEQCL=$F2001)*(xlRTEQTYPE=$G2001),0))</f>
        <v>CENT_AIR3</v>
      </c>
    </row>
    <row r="2002" spans="2:25" x14ac:dyDescent="0.2">
      <c r="B2002" s="5">
        <v>6</v>
      </c>
      <c r="C2002" s="5">
        <v>3</v>
      </c>
      <c r="D2002" s="5">
        <v>4</v>
      </c>
      <c r="E2002" s="5">
        <v>12</v>
      </c>
      <c r="F2002" s="5">
        <v>2</v>
      </c>
      <c r="G2002" s="31">
        <v>6</v>
      </c>
      <c r="H2002" s="5">
        <v>2023</v>
      </c>
      <c r="I2002" s="5">
        <v>2032</v>
      </c>
      <c r="J2002" s="142">
        <v>1.0873999999999999</v>
      </c>
      <c r="K2002" s="142">
        <v>1.0609999999999999</v>
      </c>
      <c r="L2002" s="142">
        <v>0.82179999999999997</v>
      </c>
      <c r="M2002" s="142">
        <v>1.0124</v>
      </c>
      <c r="N2002" s="142">
        <v>0.80189999999999995</v>
      </c>
      <c r="O2002" s="142">
        <v>1.0538000000000001</v>
      </c>
      <c r="P2002" s="26">
        <v>7132.7542188840753</v>
      </c>
      <c r="Q2002" s="35">
        <f t="array" ref="Q2002">SUM(IF(($S2002&gt;=4)*($C2002='TaxCred&amp;Subs'!$D$114:$D$121)*($H2002='TaxCred&amp;Subs'!$C$114:$C$121)*($H2002&lt;='TaxCred&amp;Subs'!$C$123),'TaxCred&amp;Subs'!$E$114:$E$121,0))</f>
        <v>2500</v>
      </c>
      <c r="R2002" s="143">
        <v>0</v>
      </c>
      <c r="S2002" s="5">
        <v>4</v>
      </c>
      <c r="T2002" s="5" t="s">
        <v>240</v>
      </c>
      <c r="V2002" s="7" t="str">
        <f t="array" ref="V2002">INDEX(xlRTCLNAME,MATCH(1,(xlRTCLENDU=1)*(xlRTCLEQCL=$D2002),0))</f>
        <v>NG_RAD</v>
      </c>
      <c r="W2002" s="7" t="str">
        <f t="array" ref="W2002">INDEX(xlRTCLNAME,MATCH(1,(xlRTCLENDU=2)*(xlRTCLEQCL=$F2002),0))</f>
        <v>CENT_AIR</v>
      </c>
      <c r="X2002" s="7" t="str">
        <f t="array" ref="X2002">INDEX(xlRTTYNAME,MATCH(1,(xlRTTYENDU=1)*(xlRTTYEQCL=$D2002)*(xlRTEQTYPE=$E2002),0))</f>
        <v>NG_RAD3</v>
      </c>
      <c r="Y2002" s="7" t="str">
        <f t="array" ref="Y2002">INDEX(xlRTTYNAME,MATCH(1,(xlRTTYENDU=2)*(xlRTTYEQCL=$F2002)*(xlRTEQTYPE=$G2002),0))</f>
        <v>CENT_AIR3</v>
      </c>
    </row>
    <row r="2003" spans="2:25" x14ac:dyDescent="0.2">
      <c r="B2003" s="5">
        <v>6</v>
      </c>
      <c r="C2003" s="5">
        <v>3</v>
      </c>
      <c r="D2003" s="5">
        <v>4</v>
      </c>
      <c r="E2003" s="5">
        <v>12</v>
      </c>
      <c r="F2003" s="5">
        <v>2</v>
      </c>
      <c r="G2003" s="31">
        <v>6</v>
      </c>
      <c r="H2003" s="5">
        <v>2033</v>
      </c>
      <c r="I2003" s="5">
        <v>2050</v>
      </c>
      <c r="J2003" s="142">
        <v>1.0873999999999999</v>
      </c>
      <c r="K2003" s="142">
        <v>1.0609999999999999</v>
      </c>
      <c r="L2003" s="142">
        <v>0.82179999999999997</v>
      </c>
      <c r="M2003" s="142">
        <v>1.0124</v>
      </c>
      <c r="N2003" s="142">
        <v>0.80189999999999995</v>
      </c>
      <c r="O2003" s="142">
        <v>1.0538000000000001</v>
      </c>
      <c r="P2003" s="26">
        <v>7132.7542188840753</v>
      </c>
      <c r="Q2003" s="35">
        <f t="array" ref="Q2003">SUM(IF(($S2003&gt;=4)*($C2003='TaxCred&amp;Subs'!$D$114:$D$121)*($H2003='TaxCred&amp;Subs'!$C$114:$C$121)*($H2003&lt;='TaxCred&amp;Subs'!$C$123),'TaxCred&amp;Subs'!$E$114:$E$121,0))</f>
        <v>0</v>
      </c>
      <c r="R2003" s="143">
        <v>0</v>
      </c>
      <c r="S2003" s="5">
        <v>4</v>
      </c>
      <c r="T2003" s="5" t="s">
        <v>240</v>
      </c>
      <c r="V2003" s="7" t="str">
        <f t="array" ref="V2003">INDEX(xlRTCLNAME,MATCH(1,(xlRTCLENDU=1)*(xlRTCLEQCL=$D2003),0))</f>
        <v>NG_RAD</v>
      </c>
      <c r="W2003" s="7" t="str">
        <f t="array" ref="W2003">INDEX(xlRTCLNAME,MATCH(1,(xlRTCLENDU=2)*(xlRTCLEQCL=$F2003),0))</f>
        <v>CENT_AIR</v>
      </c>
      <c r="X2003" s="7" t="str">
        <f t="array" ref="X2003">INDEX(xlRTTYNAME,MATCH(1,(xlRTTYENDU=1)*(xlRTTYEQCL=$D2003)*(xlRTEQTYPE=$E2003),0))</f>
        <v>NG_RAD3</v>
      </c>
      <c r="Y2003" s="7" t="str">
        <f t="array" ref="Y2003">INDEX(xlRTTYNAME,MATCH(1,(xlRTTYENDU=2)*(xlRTTYEQCL=$F2003)*(xlRTEQTYPE=$G2003),0))</f>
        <v>CENT_AIR3</v>
      </c>
    </row>
    <row r="2004" spans="2:25" x14ac:dyDescent="0.2">
      <c r="B2004" s="5">
        <v>7</v>
      </c>
      <c r="C2004" s="5">
        <v>3</v>
      </c>
      <c r="D2004" s="5">
        <v>4</v>
      </c>
      <c r="E2004" s="5">
        <v>12</v>
      </c>
      <c r="F2004" s="5">
        <v>2</v>
      </c>
      <c r="G2004" s="31">
        <v>6</v>
      </c>
      <c r="H2004" s="31">
        <v>2020</v>
      </c>
      <c r="I2004" s="5">
        <v>2022</v>
      </c>
      <c r="J2004" s="142">
        <v>1.0826</v>
      </c>
      <c r="K2004" s="142">
        <v>1.0412999999999999</v>
      </c>
      <c r="L2004" s="142">
        <v>0.80110000000000003</v>
      </c>
      <c r="M2004" s="142">
        <v>1.0165999999999999</v>
      </c>
      <c r="N2004" s="142">
        <v>0.8125</v>
      </c>
      <c r="O2004" s="142">
        <v>1.0538000000000001</v>
      </c>
      <c r="P2004" s="26">
        <v>3915.2837484242086</v>
      </c>
      <c r="Q2004" s="35">
        <f t="array" ref="Q2004">SUM(IF(($S2004&gt;=4)*($C2004='TaxCred&amp;Subs'!$D$114:$D$121)*($H2004='TaxCred&amp;Subs'!$C$114:$C$121)*($H2004&lt;='TaxCred&amp;Subs'!$C$123),'TaxCred&amp;Subs'!$E$114:$E$121,0))</f>
        <v>1000</v>
      </c>
      <c r="R2004" s="143">
        <v>0</v>
      </c>
      <c r="S2004" s="5">
        <v>4</v>
      </c>
      <c r="T2004" s="5" t="s">
        <v>240</v>
      </c>
      <c r="V2004" s="7" t="str">
        <f t="array" ref="V2004">INDEX(xlRTCLNAME,MATCH(1,(xlRTCLENDU=1)*(xlRTCLEQCL=$D2004),0))</f>
        <v>NG_RAD</v>
      </c>
      <c r="W2004" s="7" t="str">
        <f t="array" ref="W2004">INDEX(xlRTCLNAME,MATCH(1,(xlRTCLENDU=2)*(xlRTCLEQCL=$F2004),0))</f>
        <v>CENT_AIR</v>
      </c>
      <c r="X2004" s="7" t="str">
        <f t="array" ref="X2004">INDEX(xlRTTYNAME,MATCH(1,(xlRTTYENDU=1)*(xlRTTYEQCL=$D2004)*(xlRTEQTYPE=$E2004),0))</f>
        <v>NG_RAD3</v>
      </c>
      <c r="Y2004" s="7" t="str">
        <f t="array" ref="Y2004">INDEX(xlRTTYNAME,MATCH(1,(xlRTTYENDU=2)*(xlRTTYEQCL=$F2004)*(xlRTEQTYPE=$G2004),0))</f>
        <v>CENT_AIR3</v>
      </c>
    </row>
    <row r="2005" spans="2:25" x14ac:dyDescent="0.2">
      <c r="B2005" s="5">
        <v>7</v>
      </c>
      <c r="C2005" s="5">
        <v>3</v>
      </c>
      <c r="D2005" s="5">
        <v>4</v>
      </c>
      <c r="E2005" s="5">
        <v>12</v>
      </c>
      <c r="F2005" s="5">
        <v>2</v>
      </c>
      <c r="G2005" s="31">
        <v>6</v>
      </c>
      <c r="H2005" s="5">
        <v>2023</v>
      </c>
      <c r="I2005" s="5">
        <v>2032</v>
      </c>
      <c r="J2005" s="142">
        <v>1.0826</v>
      </c>
      <c r="K2005" s="142">
        <v>1.0412999999999999</v>
      </c>
      <c r="L2005" s="142">
        <v>0.80110000000000003</v>
      </c>
      <c r="M2005" s="142">
        <v>1.0165999999999999</v>
      </c>
      <c r="N2005" s="142">
        <v>0.8125</v>
      </c>
      <c r="O2005" s="142">
        <v>1.0538000000000001</v>
      </c>
      <c r="P2005" s="26">
        <v>3915.2837484242086</v>
      </c>
      <c r="Q2005" s="35">
        <f t="array" ref="Q2005">SUM(IF(($S2005&gt;=4)*($C2005='TaxCred&amp;Subs'!$D$114:$D$121)*($H2005='TaxCred&amp;Subs'!$C$114:$C$121)*($H2005&lt;='TaxCred&amp;Subs'!$C$123),'TaxCred&amp;Subs'!$E$114:$E$121,0))</f>
        <v>2500</v>
      </c>
      <c r="R2005" s="143">
        <v>0</v>
      </c>
      <c r="S2005" s="5">
        <v>4</v>
      </c>
      <c r="T2005" s="5" t="s">
        <v>240</v>
      </c>
      <c r="V2005" s="7" t="str">
        <f t="array" ref="V2005">INDEX(xlRTCLNAME,MATCH(1,(xlRTCLENDU=1)*(xlRTCLEQCL=$D2005),0))</f>
        <v>NG_RAD</v>
      </c>
      <c r="W2005" s="7" t="str">
        <f t="array" ref="W2005">INDEX(xlRTCLNAME,MATCH(1,(xlRTCLENDU=2)*(xlRTCLEQCL=$F2005),0))</f>
        <v>CENT_AIR</v>
      </c>
      <c r="X2005" s="7" t="str">
        <f t="array" ref="X2005">INDEX(xlRTTYNAME,MATCH(1,(xlRTTYENDU=1)*(xlRTTYEQCL=$D2005)*(xlRTEQTYPE=$E2005),0))</f>
        <v>NG_RAD3</v>
      </c>
      <c r="Y2005" s="7" t="str">
        <f t="array" ref="Y2005">INDEX(xlRTTYNAME,MATCH(1,(xlRTTYENDU=2)*(xlRTTYEQCL=$F2005)*(xlRTEQTYPE=$G2005),0))</f>
        <v>CENT_AIR3</v>
      </c>
    </row>
    <row r="2006" spans="2:25" x14ac:dyDescent="0.2">
      <c r="B2006" s="5">
        <v>7</v>
      </c>
      <c r="C2006" s="5">
        <v>3</v>
      </c>
      <c r="D2006" s="5">
        <v>4</v>
      </c>
      <c r="E2006" s="5">
        <v>12</v>
      </c>
      <c r="F2006" s="5">
        <v>2</v>
      </c>
      <c r="G2006" s="31">
        <v>6</v>
      </c>
      <c r="H2006" s="5">
        <v>2033</v>
      </c>
      <c r="I2006" s="5">
        <v>2050</v>
      </c>
      <c r="J2006" s="142">
        <v>1.0826</v>
      </c>
      <c r="K2006" s="142">
        <v>1.0412999999999999</v>
      </c>
      <c r="L2006" s="142">
        <v>0.80110000000000003</v>
      </c>
      <c r="M2006" s="142">
        <v>1.0165999999999999</v>
      </c>
      <c r="N2006" s="142">
        <v>0.8125</v>
      </c>
      <c r="O2006" s="142">
        <v>1.0538000000000001</v>
      </c>
      <c r="P2006" s="26">
        <v>3915.2837484242086</v>
      </c>
      <c r="Q2006" s="35">
        <f t="array" ref="Q2006">SUM(IF(($S2006&gt;=4)*($C2006='TaxCred&amp;Subs'!$D$114:$D$121)*($H2006='TaxCred&amp;Subs'!$C$114:$C$121)*($H2006&lt;='TaxCred&amp;Subs'!$C$123),'TaxCred&amp;Subs'!$E$114:$E$121,0))</f>
        <v>0</v>
      </c>
      <c r="R2006" s="143">
        <v>0</v>
      </c>
      <c r="S2006" s="5">
        <v>4</v>
      </c>
      <c r="T2006" s="5" t="s">
        <v>240</v>
      </c>
      <c r="V2006" s="7" t="str">
        <f t="array" ref="V2006">INDEX(xlRTCLNAME,MATCH(1,(xlRTCLENDU=1)*(xlRTCLEQCL=$D2006),0))</f>
        <v>NG_RAD</v>
      </c>
      <c r="W2006" s="7" t="str">
        <f t="array" ref="W2006">INDEX(xlRTCLNAME,MATCH(1,(xlRTCLENDU=2)*(xlRTCLEQCL=$F2006),0))</f>
        <v>CENT_AIR</v>
      </c>
      <c r="X2006" s="7" t="str">
        <f t="array" ref="X2006">INDEX(xlRTTYNAME,MATCH(1,(xlRTTYENDU=1)*(xlRTTYEQCL=$D2006)*(xlRTEQTYPE=$E2006),0))</f>
        <v>NG_RAD3</v>
      </c>
      <c r="Y2006" s="7" t="str">
        <f t="array" ref="Y2006">INDEX(xlRTTYNAME,MATCH(1,(xlRTTYENDU=2)*(xlRTTYEQCL=$F2006)*(xlRTEQTYPE=$G2006),0))</f>
        <v>CENT_AIR3</v>
      </c>
    </row>
    <row r="2007" spans="2:25" x14ac:dyDescent="0.2">
      <c r="B2007" s="5">
        <v>9</v>
      </c>
      <c r="C2007" s="5">
        <v>3</v>
      </c>
      <c r="D2007" s="5">
        <v>4</v>
      </c>
      <c r="E2007" s="5">
        <v>12</v>
      </c>
      <c r="F2007" s="5">
        <v>2</v>
      </c>
      <c r="G2007" s="31">
        <v>6</v>
      </c>
      <c r="H2007" s="31">
        <v>2020</v>
      </c>
      <c r="I2007" s="5">
        <v>2022</v>
      </c>
      <c r="J2007" s="142">
        <v>1.0845</v>
      </c>
      <c r="K2007" s="142">
        <v>1.0658000000000001</v>
      </c>
      <c r="L2007" s="142">
        <v>0.90380000000000005</v>
      </c>
      <c r="M2007" s="142">
        <v>1.0827</v>
      </c>
      <c r="N2007" s="142">
        <v>0.84079999999999999</v>
      </c>
      <c r="O2007" s="142">
        <v>1.0538000000000001</v>
      </c>
      <c r="P2007" s="26">
        <v>8812.0775024630038</v>
      </c>
      <c r="Q2007" s="35">
        <f t="array" ref="Q2007">SUM(IF(($S2007&gt;=4)*($C2007='TaxCred&amp;Subs'!$D$114:$D$121)*($H2007='TaxCred&amp;Subs'!$C$114:$C$121)*($H2007&lt;='TaxCred&amp;Subs'!$C$123),'TaxCred&amp;Subs'!$E$114:$E$121,0))</f>
        <v>1000</v>
      </c>
      <c r="R2007" s="143">
        <v>0</v>
      </c>
      <c r="S2007" s="5">
        <v>4</v>
      </c>
      <c r="T2007" s="5" t="s">
        <v>240</v>
      </c>
      <c r="V2007" s="7" t="str">
        <f t="array" ref="V2007">INDEX(xlRTCLNAME,MATCH(1,(xlRTCLENDU=1)*(xlRTCLEQCL=$D2007),0))</f>
        <v>NG_RAD</v>
      </c>
      <c r="W2007" s="7" t="str">
        <f t="array" ref="W2007">INDEX(xlRTCLNAME,MATCH(1,(xlRTCLENDU=2)*(xlRTCLEQCL=$F2007),0))</f>
        <v>CENT_AIR</v>
      </c>
      <c r="X2007" s="7" t="str">
        <f t="array" ref="X2007">INDEX(xlRTTYNAME,MATCH(1,(xlRTTYENDU=1)*(xlRTTYEQCL=$D2007)*(xlRTEQTYPE=$E2007),0))</f>
        <v>NG_RAD3</v>
      </c>
      <c r="Y2007" s="7" t="str">
        <f t="array" ref="Y2007">INDEX(xlRTTYNAME,MATCH(1,(xlRTTYENDU=2)*(xlRTTYEQCL=$F2007)*(xlRTEQTYPE=$G2007),0))</f>
        <v>CENT_AIR3</v>
      </c>
    </row>
    <row r="2008" spans="2:25" x14ac:dyDescent="0.2">
      <c r="B2008" s="5">
        <v>9</v>
      </c>
      <c r="C2008" s="5">
        <v>3</v>
      </c>
      <c r="D2008" s="5">
        <v>4</v>
      </c>
      <c r="E2008" s="5">
        <v>12</v>
      </c>
      <c r="F2008" s="5">
        <v>2</v>
      </c>
      <c r="G2008" s="31">
        <v>6</v>
      </c>
      <c r="H2008" s="5">
        <v>2023</v>
      </c>
      <c r="I2008" s="5">
        <v>2032</v>
      </c>
      <c r="J2008" s="142">
        <v>1.0845</v>
      </c>
      <c r="K2008" s="142">
        <v>1.0658000000000001</v>
      </c>
      <c r="L2008" s="142">
        <v>0.90380000000000005</v>
      </c>
      <c r="M2008" s="142">
        <v>1.0827</v>
      </c>
      <c r="N2008" s="142">
        <v>0.84079999999999999</v>
      </c>
      <c r="O2008" s="142">
        <v>1.0538000000000001</v>
      </c>
      <c r="P2008" s="26">
        <v>8812.0775024630038</v>
      </c>
      <c r="Q2008" s="35">
        <f t="array" ref="Q2008">SUM(IF(($S2008&gt;=4)*($C2008='TaxCred&amp;Subs'!$D$114:$D$121)*($H2008='TaxCred&amp;Subs'!$C$114:$C$121)*($H2008&lt;='TaxCred&amp;Subs'!$C$123),'TaxCred&amp;Subs'!$E$114:$E$121,0))</f>
        <v>2500</v>
      </c>
      <c r="R2008" s="143">
        <v>0</v>
      </c>
      <c r="S2008" s="5">
        <v>4</v>
      </c>
      <c r="T2008" s="5" t="s">
        <v>240</v>
      </c>
      <c r="V2008" s="7" t="str">
        <f t="array" ref="V2008">INDEX(xlRTCLNAME,MATCH(1,(xlRTCLENDU=1)*(xlRTCLEQCL=$D2008),0))</f>
        <v>NG_RAD</v>
      </c>
      <c r="W2008" s="7" t="str">
        <f t="array" ref="W2008">INDEX(xlRTCLNAME,MATCH(1,(xlRTCLENDU=2)*(xlRTCLEQCL=$F2008),0))</f>
        <v>CENT_AIR</v>
      </c>
      <c r="X2008" s="7" t="str">
        <f t="array" ref="X2008">INDEX(xlRTTYNAME,MATCH(1,(xlRTTYENDU=1)*(xlRTTYEQCL=$D2008)*(xlRTEQTYPE=$E2008),0))</f>
        <v>NG_RAD3</v>
      </c>
      <c r="Y2008" s="7" t="str">
        <f t="array" ref="Y2008">INDEX(xlRTTYNAME,MATCH(1,(xlRTTYENDU=2)*(xlRTTYEQCL=$F2008)*(xlRTEQTYPE=$G2008),0))</f>
        <v>CENT_AIR3</v>
      </c>
    </row>
    <row r="2009" spans="2:25" x14ac:dyDescent="0.2">
      <c r="B2009" s="5">
        <v>9</v>
      </c>
      <c r="C2009" s="5">
        <v>3</v>
      </c>
      <c r="D2009" s="5">
        <v>4</v>
      </c>
      <c r="E2009" s="5">
        <v>12</v>
      </c>
      <c r="F2009" s="5">
        <v>2</v>
      </c>
      <c r="G2009" s="31">
        <v>6</v>
      </c>
      <c r="H2009" s="5">
        <v>2033</v>
      </c>
      <c r="I2009" s="5">
        <v>2050</v>
      </c>
      <c r="J2009" s="142">
        <v>1.0845</v>
      </c>
      <c r="K2009" s="142">
        <v>1.0658000000000001</v>
      </c>
      <c r="L2009" s="142">
        <v>0.90380000000000005</v>
      </c>
      <c r="M2009" s="142">
        <v>1.0827</v>
      </c>
      <c r="N2009" s="142">
        <v>0.84079999999999999</v>
      </c>
      <c r="O2009" s="142">
        <v>1.0538000000000001</v>
      </c>
      <c r="P2009" s="26">
        <v>8812.0775024630038</v>
      </c>
      <c r="Q2009" s="35">
        <f t="array" ref="Q2009">SUM(IF(($S2009&gt;=4)*($C2009='TaxCred&amp;Subs'!$D$114:$D$121)*($H2009='TaxCred&amp;Subs'!$C$114:$C$121)*($H2009&lt;='TaxCred&amp;Subs'!$C$123),'TaxCred&amp;Subs'!$E$114:$E$121,0))</f>
        <v>0</v>
      </c>
      <c r="R2009" s="143">
        <v>0</v>
      </c>
      <c r="S2009" s="5">
        <v>4</v>
      </c>
      <c r="T2009" s="5" t="s">
        <v>240</v>
      </c>
      <c r="V2009" s="7" t="str">
        <f t="array" ref="V2009">INDEX(xlRTCLNAME,MATCH(1,(xlRTCLENDU=1)*(xlRTCLEQCL=$D2009),0))</f>
        <v>NG_RAD</v>
      </c>
      <c r="W2009" s="7" t="str">
        <f t="array" ref="W2009">INDEX(xlRTCLNAME,MATCH(1,(xlRTCLENDU=2)*(xlRTCLEQCL=$F2009),0))</f>
        <v>CENT_AIR</v>
      </c>
      <c r="X2009" s="7" t="str">
        <f t="array" ref="X2009">INDEX(xlRTTYNAME,MATCH(1,(xlRTTYENDU=1)*(xlRTTYEQCL=$D2009)*(xlRTEQTYPE=$E2009),0))</f>
        <v>NG_RAD3</v>
      </c>
      <c r="Y2009" s="7" t="str">
        <f t="array" ref="Y2009">INDEX(xlRTTYNAME,MATCH(1,(xlRTTYENDU=2)*(xlRTTYEQCL=$F2009)*(xlRTEQTYPE=$G2009),0))</f>
        <v>CENT_AIR3</v>
      </c>
    </row>
    <row r="2010" spans="2:25" x14ac:dyDescent="0.2">
      <c r="B2010" s="29">
        <v>2</v>
      </c>
      <c r="C2010" s="29">
        <v>3</v>
      </c>
      <c r="D2010" s="29">
        <v>5</v>
      </c>
      <c r="E2010" s="29">
        <v>16</v>
      </c>
      <c r="F2010" s="29">
        <v>2</v>
      </c>
      <c r="G2010" s="32">
        <v>6</v>
      </c>
      <c r="H2010" s="32">
        <v>2020</v>
      </c>
      <c r="I2010" s="29">
        <v>2022</v>
      </c>
      <c r="J2010" s="144">
        <v>1.0873999999999999</v>
      </c>
      <c r="K2010" s="144">
        <v>1.0638000000000001</v>
      </c>
      <c r="L2010" s="144">
        <v>0.74980000000000002</v>
      </c>
      <c r="M2010" s="144">
        <v>1.1226</v>
      </c>
      <c r="N2010" s="144">
        <v>0.84279999999999999</v>
      </c>
      <c r="O2010" s="144">
        <v>1.0538000000000001</v>
      </c>
      <c r="P2010" s="143">
        <v>9257.118340625233</v>
      </c>
      <c r="Q2010" s="35">
        <f t="array" ref="Q2010">SUM(IF(($S2010&gt;=4)*($C2010='TaxCred&amp;Subs'!$D$114:$D$121)*($H2010='TaxCred&amp;Subs'!$C$114:$C$121)*($H2010&lt;='TaxCred&amp;Subs'!$C$123),'TaxCred&amp;Subs'!$E$114:$E$121,0))</f>
        <v>1000</v>
      </c>
      <c r="R2010" s="143">
        <v>0</v>
      </c>
      <c r="S2010" s="29">
        <v>4</v>
      </c>
      <c r="T2010" s="29" t="s">
        <v>240</v>
      </c>
      <c r="U2010" s="30" t="s">
        <v>227</v>
      </c>
      <c r="V2010" s="7" t="str">
        <f t="array" ref="V2010">INDEX(xlRTCLNAME,MATCH(1,(xlRTCLENDU=1)*(xlRTCLEQCL=$D2010),0))</f>
        <v>KERO_FA</v>
      </c>
      <c r="W2010" s="7" t="str">
        <f t="array" ref="W2010">INDEX(xlRTCLNAME,MATCH(1,(xlRTCLENDU=2)*(xlRTCLEQCL=$F2010),0))</f>
        <v>CENT_AIR</v>
      </c>
      <c r="X2010" s="7" t="str">
        <f t="array" ref="X2010">INDEX(xlRTTYNAME,MATCH(1,(xlRTTYENDU=1)*(xlRTTYEQCL=$D2010)*(xlRTEQTYPE=$E2010),0))</f>
        <v>KERO_FA3</v>
      </c>
      <c r="Y2010" s="7" t="str">
        <f t="array" ref="Y2010">INDEX(xlRTTYNAME,MATCH(1,(xlRTTYENDU=2)*(xlRTTYEQCL=$F2010)*(xlRTEQTYPE=$G2010),0))</f>
        <v>CENT_AIR3</v>
      </c>
    </row>
    <row r="2011" spans="2:25" x14ac:dyDescent="0.2">
      <c r="B2011" s="29">
        <v>2</v>
      </c>
      <c r="C2011" s="29">
        <v>3</v>
      </c>
      <c r="D2011" s="29">
        <v>5</v>
      </c>
      <c r="E2011" s="29">
        <v>16</v>
      </c>
      <c r="F2011" s="29">
        <v>2</v>
      </c>
      <c r="G2011" s="32">
        <v>6</v>
      </c>
      <c r="H2011" s="29">
        <v>2023</v>
      </c>
      <c r="I2011" s="29">
        <v>2032</v>
      </c>
      <c r="J2011" s="144">
        <v>1.0873999999999999</v>
      </c>
      <c r="K2011" s="144">
        <v>1.0638000000000001</v>
      </c>
      <c r="L2011" s="144">
        <v>0.74980000000000002</v>
      </c>
      <c r="M2011" s="144">
        <v>1.1226</v>
      </c>
      <c r="N2011" s="144">
        <v>0.84279999999999999</v>
      </c>
      <c r="O2011" s="144">
        <v>1.0538000000000001</v>
      </c>
      <c r="P2011" s="143">
        <v>9257.118340625233</v>
      </c>
      <c r="Q2011" s="35">
        <f t="array" ref="Q2011">SUM(IF(($S2011&gt;=4)*($C2011='TaxCred&amp;Subs'!$D$114:$D$121)*($H2011='TaxCred&amp;Subs'!$C$114:$C$121)*($H2011&lt;='TaxCred&amp;Subs'!$C$123),'TaxCred&amp;Subs'!$E$114:$E$121,0))</f>
        <v>2500</v>
      </c>
      <c r="R2011" s="143">
        <v>0</v>
      </c>
      <c r="S2011" s="29">
        <v>4</v>
      </c>
      <c r="T2011" s="29" t="s">
        <v>240</v>
      </c>
      <c r="U2011" s="30" t="s">
        <v>227</v>
      </c>
      <c r="V2011" s="7" t="str">
        <f t="array" ref="V2011">INDEX(xlRTCLNAME,MATCH(1,(xlRTCLENDU=1)*(xlRTCLEQCL=$D2011),0))</f>
        <v>KERO_FA</v>
      </c>
      <c r="W2011" s="7" t="str">
        <f t="array" ref="W2011">INDEX(xlRTCLNAME,MATCH(1,(xlRTCLENDU=2)*(xlRTCLEQCL=$F2011),0))</f>
        <v>CENT_AIR</v>
      </c>
      <c r="X2011" s="7" t="str">
        <f t="array" ref="X2011">INDEX(xlRTTYNAME,MATCH(1,(xlRTTYENDU=1)*(xlRTTYEQCL=$D2011)*(xlRTEQTYPE=$E2011),0))</f>
        <v>KERO_FA3</v>
      </c>
      <c r="Y2011" s="7" t="str">
        <f t="array" ref="Y2011">INDEX(xlRTTYNAME,MATCH(1,(xlRTTYENDU=2)*(xlRTTYEQCL=$F2011)*(xlRTEQTYPE=$G2011),0))</f>
        <v>CENT_AIR3</v>
      </c>
    </row>
    <row r="2012" spans="2:25" x14ac:dyDescent="0.2">
      <c r="B2012" s="29">
        <v>2</v>
      </c>
      <c r="C2012" s="29">
        <v>3</v>
      </c>
      <c r="D2012" s="29">
        <v>5</v>
      </c>
      <c r="E2012" s="29">
        <v>16</v>
      </c>
      <c r="F2012" s="29">
        <v>2</v>
      </c>
      <c r="G2012" s="32">
        <v>6</v>
      </c>
      <c r="H2012" s="29">
        <v>2033</v>
      </c>
      <c r="I2012" s="29">
        <v>2050</v>
      </c>
      <c r="J2012" s="144">
        <v>1.0873999999999999</v>
      </c>
      <c r="K2012" s="144">
        <v>1.0638000000000001</v>
      </c>
      <c r="L2012" s="144">
        <v>0.74980000000000002</v>
      </c>
      <c r="M2012" s="144">
        <v>1.1226</v>
      </c>
      <c r="N2012" s="144">
        <v>0.84279999999999999</v>
      </c>
      <c r="O2012" s="144">
        <v>1.0538000000000001</v>
      </c>
      <c r="P2012" s="143">
        <v>9257.118340625233</v>
      </c>
      <c r="Q2012" s="35">
        <f t="array" ref="Q2012">SUM(IF(($S2012&gt;=4)*($C2012='TaxCred&amp;Subs'!$D$114:$D$121)*($H2012='TaxCred&amp;Subs'!$C$114:$C$121)*($H2012&lt;='TaxCred&amp;Subs'!$C$123),'TaxCred&amp;Subs'!$E$114:$E$121,0))</f>
        <v>0</v>
      </c>
      <c r="R2012" s="143">
        <v>0</v>
      </c>
      <c r="S2012" s="29">
        <v>4</v>
      </c>
      <c r="T2012" s="29" t="s">
        <v>240</v>
      </c>
      <c r="U2012" s="30" t="s">
        <v>227</v>
      </c>
      <c r="V2012" s="7" t="str">
        <f t="array" ref="V2012">INDEX(xlRTCLNAME,MATCH(1,(xlRTCLENDU=1)*(xlRTCLEQCL=$D2012),0))</f>
        <v>KERO_FA</v>
      </c>
      <c r="W2012" s="7" t="str">
        <f t="array" ref="W2012">INDEX(xlRTCLNAME,MATCH(1,(xlRTCLENDU=2)*(xlRTCLEQCL=$F2012),0))</f>
        <v>CENT_AIR</v>
      </c>
      <c r="X2012" s="7" t="str">
        <f t="array" ref="X2012">INDEX(xlRTTYNAME,MATCH(1,(xlRTTYENDU=1)*(xlRTTYEQCL=$D2012)*(xlRTEQTYPE=$E2012),0))</f>
        <v>KERO_FA3</v>
      </c>
      <c r="Y2012" s="7" t="str">
        <f t="array" ref="Y2012">INDEX(xlRTTYNAME,MATCH(1,(xlRTTYENDU=2)*(xlRTTYEQCL=$F2012)*(xlRTEQTYPE=$G2012),0))</f>
        <v>CENT_AIR3</v>
      </c>
    </row>
    <row r="2013" spans="2:25" x14ac:dyDescent="0.2">
      <c r="B2013" s="29">
        <v>5</v>
      </c>
      <c r="C2013" s="29">
        <v>3</v>
      </c>
      <c r="D2013" s="29">
        <v>5</v>
      </c>
      <c r="E2013" s="29">
        <v>16</v>
      </c>
      <c r="F2013" s="29">
        <v>2</v>
      </c>
      <c r="G2013" s="32">
        <v>6</v>
      </c>
      <c r="H2013" s="32">
        <v>2020</v>
      </c>
      <c r="I2013" s="29">
        <v>2022</v>
      </c>
      <c r="J2013" s="144">
        <v>1.0667</v>
      </c>
      <c r="K2013" s="144">
        <v>1.0568</v>
      </c>
      <c r="L2013" s="144">
        <v>0.77539999999999998</v>
      </c>
      <c r="M2013" s="144">
        <v>1.0201</v>
      </c>
      <c r="N2013" s="144">
        <v>0.83260000000000001</v>
      </c>
      <c r="O2013" s="144">
        <v>1.0538000000000001</v>
      </c>
      <c r="P2013" s="143">
        <v>6658.1336271279815</v>
      </c>
      <c r="Q2013" s="35">
        <f t="array" ref="Q2013">SUM(IF(($S2013&gt;=4)*($C2013='TaxCred&amp;Subs'!$D$114:$D$121)*($H2013='TaxCred&amp;Subs'!$C$114:$C$121)*($H2013&lt;='TaxCred&amp;Subs'!$C$123),'TaxCred&amp;Subs'!$E$114:$E$121,0))</f>
        <v>1000</v>
      </c>
      <c r="R2013" s="143">
        <v>0</v>
      </c>
      <c r="S2013" s="29">
        <v>4</v>
      </c>
      <c r="T2013" s="29" t="s">
        <v>240</v>
      </c>
      <c r="U2013" s="30" t="s">
        <v>227</v>
      </c>
      <c r="V2013" s="7" t="str">
        <f t="array" ref="V2013">INDEX(xlRTCLNAME,MATCH(1,(xlRTCLENDU=1)*(xlRTCLEQCL=$D2013),0))</f>
        <v>KERO_FA</v>
      </c>
      <c r="W2013" s="7" t="str">
        <f t="array" ref="W2013">INDEX(xlRTCLNAME,MATCH(1,(xlRTCLENDU=2)*(xlRTCLEQCL=$F2013),0))</f>
        <v>CENT_AIR</v>
      </c>
      <c r="X2013" s="7" t="str">
        <f t="array" ref="X2013">INDEX(xlRTTYNAME,MATCH(1,(xlRTTYENDU=1)*(xlRTTYEQCL=$D2013)*(xlRTEQTYPE=$E2013),0))</f>
        <v>KERO_FA3</v>
      </c>
      <c r="Y2013" s="7" t="str">
        <f t="array" ref="Y2013">INDEX(xlRTTYNAME,MATCH(1,(xlRTTYENDU=2)*(xlRTTYEQCL=$F2013)*(xlRTEQTYPE=$G2013),0))</f>
        <v>CENT_AIR3</v>
      </c>
    </row>
    <row r="2014" spans="2:25" x14ac:dyDescent="0.2">
      <c r="B2014" s="29">
        <v>5</v>
      </c>
      <c r="C2014" s="29">
        <v>3</v>
      </c>
      <c r="D2014" s="29">
        <v>5</v>
      </c>
      <c r="E2014" s="29">
        <v>16</v>
      </c>
      <c r="F2014" s="29">
        <v>2</v>
      </c>
      <c r="G2014" s="32">
        <v>6</v>
      </c>
      <c r="H2014" s="29">
        <v>2023</v>
      </c>
      <c r="I2014" s="29">
        <v>2032</v>
      </c>
      <c r="J2014" s="144">
        <v>1.0667</v>
      </c>
      <c r="K2014" s="144">
        <v>1.0568</v>
      </c>
      <c r="L2014" s="144">
        <v>0.77539999999999998</v>
      </c>
      <c r="M2014" s="144">
        <v>1.0201</v>
      </c>
      <c r="N2014" s="144">
        <v>0.83260000000000001</v>
      </c>
      <c r="O2014" s="144">
        <v>1.0538000000000001</v>
      </c>
      <c r="P2014" s="143">
        <v>6658.1336271279815</v>
      </c>
      <c r="Q2014" s="35">
        <f t="array" ref="Q2014">SUM(IF(($S2014&gt;=4)*($C2014='TaxCred&amp;Subs'!$D$114:$D$121)*($H2014='TaxCred&amp;Subs'!$C$114:$C$121)*($H2014&lt;='TaxCred&amp;Subs'!$C$123),'TaxCred&amp;Subs'!$E$114:$E$121,0))</f>
        <v>2500</v>
      </c>
      <c r="R2014" s="143">
        <v>0</v>
      </c>
      <c r="S2014" s="29">
        <v>4</v>
      </c>
      <c r="T2014" s="29" t="s">
        <v>240</v>
      </c>
      <c r="U2014" s="30" t="s">
        <v>227</v>
      </c>
      <c r="V2014" s="7" t="str">
        <f t="array" ref="V2014">INDEX(xlRTCLNAME,MATCH(1,(xlRTCLENDU=1)*(xlRTCLEQCL=$D2014),0))</f>
        <v>KERO_FA</v>
      </c>
      <c r="W2014" s="7" t="str">
        <f t="array" ref="W2014">INDEX(xlRTCLNAME,MATCH(1,(xlRTCLENDU=2)*(xlRTCLEQCL=$F2014),0))</f>
        <v>CENT_AIR</v>
      </c>
      <c r="X2014" s="7" t="str">
        <f t="array" ref="X2014">INDEX(xlRTTYNAME,MATCH(1,(xlRTTYENDU=1)*(xlRTTYEQCL=$D2014)*(xlRTEQTYPE=$E2014),0))</f>
        <v>KERO_FA3</v>
      </c>
      <c r="Y2014" s="7" t="str">
        <f t="array" ref="Y2014">INDEX(xlRTTYNAME,MATCH(1,(xlRTTYENDU=2)*(xlRTTYEQCL=$F2014)*(xlRTEQTYPE=$G2014),0))</f>
        <v>CENT_AIR3</v>
      </c>
    </row>
    <row r="2015" spans="2:25" x14ac:dyDescent="0.2">
      <c r="B2015" s="29">
        <v>5</v>
      </c>
      <c r="C2015" s="29">
        <v>3</v>
      </c>
      <c r="D2015" s="29">
        <v>5</v>
      </c>
      <c r="E2015" s="29">
        <v>16</v>
      </c>
      <c r="F2015" s="29">
        <v>2</v>
      </c>
      <c r="G2015" s="32">
        <v>6</v>
      </c>
      <c r="H2015" s="29">
        <v>2033</v>
      </c>
      <c r="I2015" s="29">
        <v>2050</v>
      </c>
      <c r="J2015" s="144">
        <v>1.0667</v>
      </c>
      <c r="K2015" s="144">
        <v>1.0568</v>
      </c>
      <c r="L2015" s="144">
        <v>0.77539999999999998</v>
      </c>
      <c r="M2015" s="144">
        <v>1.0201</v>
      </c>
      <c r="N2015" s="144">
        <v>0.83260000000000001</v>
      </c>
      <c r="O2015" s="144">
        <v>1.0538000000000001</v>
      </c>
      <c r="P2015" s="143">
        <v>6658.1336271279815</v>
      </c>
      <c r="Q2015" s="35">
        <f t="array" ref="Q2015">SUM(IF(($S2015&gt;=4)*($C2015='TaxCred&amp;Subs'!$D$114:$D$121)*($H2015='TaxCred&amp;Subs'!$C$114:$C$121)*($H2015&lt;='TaxCred&amp;Subs'!$C$123),'TaxCred&amp;Subs'!$E$114:$E$121,0))</f>
        <v>0</v>
      </c>
      <c r="R2015" s="143">
        <v>0</v>
      </c>
      <c r="S2015" s="29">
        <v>4</v>
      </c>
      <c r="T2015" s="29" t="s">
        <v>240</v>
      </c>
      <c r="U2015" s="30" t="s">
        <v>227</v>
      </c>
      <c r="V2015" s="7" t="str">
        <f t="array" ref="V2015">INDEX(xlRTCLNAME,MATCH(1,(xlRTCLENDU=1)*(xlRTCLEQCL=$D2015),0))</f>
        <v>KERO_FA</v>
      </c>
      <c r="W2015" s="7" t="str">
        <f t="array" ref="W2015">INDEX(xlRTCLNAME,MATCH(1,(xlRTCLENDU=2)*(xlRTCLEQCL=$F2015),0))</f>
        <v>CENT_AIR</v>
      </c>
      <c r="X2015" s="7" t="str">
        <f t="array" ref="X2015">INDEX(xlRTTYNAME,MATCH(1,(xlRTTYENDU=1)*(xlRTTYEQCL=$D2015)*(xlRTEQTYPE=$E2015),0))</f>
        <v>KERO_FA3</v>
      </c>
      <c r="Y2015" s="7" t="str">
        <f t="array" ref="Y2015">INDEX(xlRTTYNAME,MATCH(1,(xlRTTYENDU=2)*(xlRTTYEQCL=$F2015)*(xlRTEQTYPE=$G2015),0))</f>
        <v>CENT_AIR3</v>
      </c>
    </row>
    <row r="2016" spans="2:25" x14ac:dyDescent="0.2">
      <c r="B2016" s="29">
        <v>6</v>
      </c>
      <c r="C2016" s="29">
        <v>3</v>
      </c>
      <c r="D2016" s="29">
        <v>5</v>
      </c>
      <c r="E2016" s="29">
        <v>16</v>
      </c>
      <c r="F2016" s="29">
        <v>2</v>
      </c>
      <c r="G2016" s="32">
        <v>6</v>
      </c>
      <c r="H2016" s="32">
        <v>2020</v>
      </c>
      <c r="I2016" s="29">
        <v>2022</v>
      </c>
      <c r="J2016" s="144">
        <v>1.0896999999999999</v>
      </c>
      <c r="K2016" s="144">
        <v>1.0723</v>
      </c>
      <c r="L2016" s="144">
        <v>0.82430000000000003</v>
      </c>
      <c r="M2016" s="144">
        <v>1.0309999999999999</v>
      </c>
      <c r="N2016" s="144">
        <v>0.80269999999999997</v>
      </c>
      <c r="O2016" s="144">
        <v>1.0538000000000001</v>
      </c>
      <c r="P2016" s="143">
        <v>6467.2097630221306</v>
      </c>
      <c r="Q2016" s="35">
        <f t="array" ref="Q2016">SUM(IF(($S2016&gt;=4)*($C2016='TaxCred&amp;Subs'!$D$114:$D$121)*($H2016='TaxCred&amp;Subs'!$C$114:$C$121)*($H2016&lt;='TaxCred&amp;Subs'!$C$123),'TaxCred&amp;Subs'!$E$114:$E$121,0))</f>
        <v>1000</v>
      </c>
      <c r="R2016" s="143">
        <v>0</v>
      </c>
      <c r="S2016" s="29">
        <v>4</v>
      </c>
      <c r="T2016" s="29" t="s">
        <v>240</v>
      </c>
      <c r="U2016" s="30" t="s">
        <v>227</v>
      </c>
      <c r="V2016" s="7" t="str">
        <f t="array" ref="V2016">INDEX(xlRTCLNAME,MATCH(1,(xlRTCLENDU=1)*(xlRTCLEQCL=$D2016),0))</f>
        <v>KERO_FA</v>
      </c>
      <c r="W2016" s="7" t="str">
        <f t="array" ref="W2016">INDEX(xlRTCLNAME,MATCH(1,(xlRTCLENDU=2)*(xlRTCLEQCL=$F2016),0))</f>
        <v>CENT_AIR</v>
      </c>
      <c r="X2016" s="7" t="str">
        <f t="array" ref="X2016">INDEX(xlRTTYNAME,MATCH(1,(xlRTTYENDU=1)*(xlRTTYEQCL=$D2016)*(xlRTEQTYPE=$E2016),0))</f>
        <v>KERO_FA3</v>
      </c>
      <c r="Y2016" s="7" t="str">
        <f t="array" ref="Y2016">INDEX(xlRTTYNAME,MATCH(1,(xlRTTYENDU=2)*(xlRTTYEQCL=$F2016)*(xlRTEQTYPE=$G2016),0))</f>
        <v>CENT_AIR3</v>
      </c>
    </row>
    <row r="2017" spans="2:25" x14ac:dyDescent="0.2">
      <c r="B2017" s="29">
        <v>6</v>
      </c>
      <c r="C2017" s="29">
        <v>3</v>
      </c>
      <c r="D2017" s="29">
        <v>5</v>
      </c>
      <c r="E2017" s="29">
        <v>16</v>
      </c>
      <c r="F2017" s="29">
        <v>2</v>
      </c>
      <c r="G2017" s="32">
        <v>6</v>
      </c>
      <c r="H2017" s="29">
        <v>2023</v>
      </c>
      <c r="I2017" s="29">
        <v>2032</v>
      </c>
      <c r="J2017" s="144">
        <v>1.0896999999999999</v>
      </c>
      <c r="K2017" s="144">
        <v>1.0723</v>
      </c>
      <c r="L2017" s="144">
        <v>0.82430000000000003</v>
      </c>
      <c r="M2017" s="144">
        <v>1.0309999999999999</v>
      </c>
      <c r="N2017" s="144">
        <v>0.80269999999999997</v>
      </c>
      <c r="O2017" s="144">
        <v>1.0538000000000001</v>
      </c>
      <c r="P2017" s="143">
        <v>6467.2097630221306</v>
      </c>
      <c r="Q2017" s="35">
        <f t="array" ref="Q2017">SUM(IF(($S2017&gt;=4)*($C2017='TaxCred&amp;Subs'!$D$114:$D$121)*($H2017='TaxCred&amp;Subs'!$C$114:$C$121)*($H2017&lt;='TaxCred&amp;Subs'!$C$123),'TaxCred&amp;Subs'!$E$114:$E$121,0))</f>
        <v>2500</v>
      </c>
      <c r="R2017" s="143">
        <v>0</v>
      </c>
      <c r="S2017" s="29">
        <v>4</v>
      </c>
      <c r="T2017" s="29" t="s">
        <v>240</v>
      </c>
      <c r="U2017" s="30" t="s">
        <v>227</v>
      </c>
      <c r="V2017" s="7" t="str">
        <f t="array" ref="V2017">INDEX(xlRTCLNAME,MATCH(1,(xlRTCLENDU=1)*(xlRTCLEQCL=$D2017),0))</f>
        <v>KERO_FA</v>
      </c>
      <c r="W2017" s="7" t="str">
        <f t="array" ref="W2017">INDEX(xlRTCLNAME,MATCH(1,(xlRTCLENDU=2)*(xlRTCLEQCL=$F2017),0))</f>
        <v>CENT_AIR</v>
      </c>
      <c r="X2017" s="7" t="str">
        <f t="array" ref="X2017">INDEX(xlRTTYNAME,MATCH(1,(xlRTTYENDU=1)*(xlRTTYEQCL=$D2017)*(xlRTEQTYPE=$E2017),0))</f>
        <v>KERO_FA3</v>
      </c>
      <c r="Y2017" s="7" t="str">
        <f t="array" ref="Y2017">INDEX(xlRTTYNAME,MATCH(1,(xlRTTYENDU=2)*(xlRTTYEQCL=$F2017)*(xlRTEQTYPE=$G2017),0))</f>
        <v>CENT_AIR3</v>
      </c>
    </row>
    <row r="2018" spans="2:25" x14ac:dyDescent="0.2">
      <c r="B2018" s="29">
        <v>6</v>
      </c>
      <c r="C2018" s="29">
        <v>3</v>
      </c>
      <c r="D2018" s="29">
        <v>5</v>
      </c>
      <c r="E2018" s="29">
        <v>16</v>
      </c>
      <c r="F2018" s="29">
        <v>2</v>
      </c>
      <c r="G2018" s="32">
        <v>6</v>
      </c>
      <c r="H2018" s="29">
        <v>2033</v>
      </c>
      <c r="I2018" s="29">
        <v>2050</v>
      </c>
      <c r="J2018" s="144">
        <v>1.0896999999999999</v>
      </c>
      <c r="K2018" s="144">
        <v>1.0723</v>
      </c>
      <c r="L2018" s="144">
        <v>0.82430000000000003</v>
      </c>
      <c r="M2018" s="144">
        <v>1.0309999999999999</v>
      </c>
      <c r="N2018" s="144">
        <v>0.80269999999999997</v>
      </c>
      <c r="O2018" s="144">
        <v>1.0538000000000001</v>
      </c>
      <c r="P2018" s="143">
        <v>6467.2097630221306</v>
      </c>
      <c r="Q2018" s="35">
        <f t="array" ref="Q2018">SUM(IF(($S2018&gt;=4)*($C2018='TaxCred&amp;Subs'!$D$114:$D$121)*($H2018='TaxCred&amp;Subs'!$C$114:$C$121)*($H2018&lt;='TaxCred&amp;Subs'!$C$123),'TaxCred&amp;Subs'!$E$114:$E$121,0))</f>
        <v>0</v>
      </c>
      <c r="R2018" s="143">
        <v>0</v>
      </c>
      <c r="S2018" s="29">
        <v>4</v>
      </c>
      <c r="T2018" s="29" t="s">
        <v>240</v>
      </c>
      <c r="U2018" s="30" t="s">
        <v>227</v>
      </c>
      <c r="V2018" s="7" t="str">
        <f t="array" ref="V2018">INDEX(xlRTCLNAME,MATCH(1,(xlRTCLENDU=1)*(xlRTCLEQCL=$D2018),0))</f>
        <v>KERO_FA</v>
      </c>
      <c r="W2018" s="7" t="str">
        <f t="array" ref="W2018">INDEX(xlRTCLNAME,MATCH(1,(xlRTCLENDU=2)*(xlRTCLEQCL=$F2018),0))</f>
        <v>CENT_AIR</v>
      </c>
      <c r="X2018" s="7" t="str">
        <f t="array" ref="X2018">INDEX(xlRTTYNAME,MATCH(1,(xlRTTYENDU=1)*(xlRTTYEQCL=$D2018)*(xlRTEQTYPE=$E2018),0))</f>
        <v>KERO_FA3</v>
      </c>
      <c r="Y2018" s="7" t="str">
        <f t="array" ref="Y2018">INDEX(xlRTTYNAME,MATCH(1,(xlRTTYENDU=2)*(xlRTTYEQCL=$F2018)*(xlRTEQTYPE=$G2018),0))</f>
        <v>CENT_AIR3</v>
      </c>
    </row>
    <row r="2019" spans="2:25" x14ac:dyDescent="0.2">
      <c r="B2019" s="29">
        <v>7</v>
      </c>
      <c r="C2019" s="29">
        <v>3</v>
      </c>
      <c r="D2019" s="29">
        <v>5</v>
      </c>
      <c r="E2019" s="29">
        <v>16</v>
      </c>
      <c r="F2019" s="29">
        <v>2</v>
      </c>
      <c r="G2019" s="32">
        <v>6</v>
      </c>
      <c r="H2019" s="32">
        <v>2020</v>
      </c>
      <c r="I2019" s="29">
        <v>2022</v>
      </c>
      <c r="J2019" s="144">
        <v>1.0940000000000001</v>
      </c>
      <c r="K2019" s="144">
        <v>1.0512999999999999</v>
      </c>
      <c r="L2019" s="144">
        <v>0.72770000000000001</v>
      </c>
      <c r="M2019" s="144">
        <v>0.98</v>
      </c>
      <c r="N2019" s="144">
        <v>0.81289999999999996</v>
      </c>
      <c r="O2019" s="144">
        <v>1.0538000000000001</v>
      </c>
      <c r="P2019" s="143">
        <v>6370.4032967149387</v>
      </c>
      <c r="Q2019" s="35">
        <f t="array" ref="Q2019">SUM(IF(($S2019&gt;=4)*($C2019='TaxCred&amp;Subs'!$D$114:$D$121)*($H2019='TaxCred&amp;Subs'!$C$114:$C$121)*($H2019&lt;='TaxCred&amp;Subs'!$C$123),'TaxCred&amp;Subs'!$E$114:$E$121,0))</f>
        <v>1000</v>
      </c>
      <c r="R2019" s="143">
        <v>0</v>
      </c>
      <c r="S2019" s="29">
        <v>4</v>
      </c>
      <c r="T2019" s="29" t="s">
        <v>240</v>
      </c>
      <c r="U2019" s="30" t="s">
        <v>227</v>
      </c>
      <c r="V2019" s="7" t="str">
        <f t="array" ref="V2019">INDEX(xlRTCLNAME,MATCH(1,(xlRTCLENDU=1)*(xlRTCLEQCL=$D2019),0))</f>
        <v>KERO_FA</v>
      </c>
      <c r="W2019" s="7" t="str">
        <f t="array" ref="W2019">INDEX(xlRTCLNAME,MATCH(1,(xlRTCLENDU=2)*(xlRTCLEQCL=$F2019),0))</f>
        <v>CENT_AIR</v>
      </c>
      <c r="X2019" s="7" t="str">
        <f t="array" ref="X2019">INDEX(xlRTTYNAME,MATCH(1,(xlRTTYENDU=1)*(xlRTTYEQCL=$D2019)*(xlRTEQTYPE=$E2019),0))</f>
        <v>KERO_FA3</v>
      </c>
      <c r="Y2019" s="7" t="str">
        <f t="array" ref="Y2019">INDEX(xlRTTYNAME,MATCH(1,(xlRTTYENDU=2)*(xlRTTYEQCL=$F2019)*(xlRTEQTYPE=$G2019),0))</f>
        <v>CENT_AIR3</v>
      </c>
    </row>
    <row r="2020" spans="2:25" x14ac:dyDescent="0.2">
      <c r="B2020" s="29">
        <v>7</v>
      </c>
      <c r="C2020" s="29">
        <v>3</v>
      </c>
      <c r="D2020" s="29">
        <v>5</v>
      </c>
      <c r="E2020" s="29">
        <v>16</v>
      </c>
      <c r="F2020" s="29">
        <v>2</v>
      </c>
      <c r="G2020" s="32">
        <v>6</v>
      </c>
      <c r="H2020" s="29">
        <v>2023</v>
      </c>
      <c r="I2020" s="29">
        <v>2032</v>
      </c>
      <c r="J2020" s="144">
        <v>1.0940000000000001</v>
      </c>
      <c r="K2020" s="144">
        <v>1.0512999999999999</v>
      </c>
      <c r="L2020" s="144">
        <v>0.72770000000000001</v>
      </c>
      <c r="M2020" s="144">
        <v>0.98</v>
      </c>
      <c r="N2020" s="144">
        <v>0.81289999999999996</v>
      </c>
      <c r="O2020" s="144">
        <v>1.0538000000000001</v>
      </c>
      <c r="P2020" s="143">
        <v>6370.4032967149387</v>
      </c>
      <c r="Q2020" s="35">
        <f t="array" ref="Q2020">SUM(IF(($S2020&gt;=4)*($C2020='TaxCred&amp;Subs'!$D$114:$D$121)*($H2020='TaxCred&amp;Subs'!$C$114:$C$121)*($H2020&lt;='TaxCred&amp;Subs'!$C$123),'TaxCred&amp;Subs'!$E$114:$E$121,0))</f>
        <v>2500</v>
      </c>
      <c r="R2020" s="143">
        <v>0</v>
      </c>
      <c r="S2020" s="29">
        <v>4</v>
      </c>
      <c r="T2020" s="29" t="s">
        <v>240</v>
      </c>
      <c r="U2020" s="30" t="s">
        <v>227</v>
      </c>
      <c r="V2020" s="7" t="str">
        <f t="array" ref="V2020">INDEX(xlRTCLNAME,MATCH(1,(xlRTCLENDU=1)*(xlRTCLEQCL=$D2020),0))</f>
        <v>KERO_FA</v>
      </c>
      <c r="W2020" s="7" t="str">
        <f t="array" ref="W2020">INDEX(xlRTCLNAME,MATCH(1,(xlRTCLENDU=2)*(xlRTCLEQCL=$F2020),0))</f>
        <v>CENT_AIR</v>
      </c>
      <c r="X2020" s="7" t="str">
        <f t="array" ref="X2020">INDEX(xlRTTYNAME,MATCH(1,(xlRTTYENDU=1)*(xlRTTYEQCL=$D2020)*(xlRTEQTYPE=$E2020),0))</f>
        <v>KERO_FA3</v>
      </c>
      <c r="Y2020" s="7" t="str">
        <f t="array" ref="Y2020">INDEX(xlRTTYNAME,MATCH(1,(xlRTTYENDU=2)*(xlRTTYEQCL=$F2020)*(xlRTEQTYPE=$G2020),0))</f>
        <v>CENT_AIR3</v>
      </c>
    </row>
    <row r="2021" spans="2:25" x14ac:dyDescent="0.2">
      <c r="B2021" s="29">
        <v>7</v>
      </c>
      <c r="C2021" s="29">
        <v>3</v>
      </c>
      <c r="D2021" s="29">
        <v>5</v>
      </c>
      <c r="E2021" s="29">
        <v>16</v>
      </c>
      <c r="F2021" s="29">
        <v>2</v>
      </c>
      <c r="G2021" s="32">
        <v>6</v>
      </c>
      <c r="H2021" s="29">
        <v>2033</v>
      </c>
      <c r="I2021" s="29">
        <v>2050</v>
      </c>
      <c r="J2021" s="144">
        <v>1.0940000000000001</v>
      </c>
      <c r="K2021" s="144">
        <v>1.0512999999999999</v>
      </c>
      <c r="L2021" s="144">
        <v>0.72770000000000001</v>
      </c>
      <c r="M2021" s="144">
        <v>0.98</v>
      </c>
      <c r="N2021" s="144">
        <v>0.81289999999999996</v>
      </c>
      <c r="O2021" s="144">
        <v>1.0538000000000001</v>
      </c>
      <c r="P2021" s="143">
        <v>6370.4032967149387</v>
      </c>
      <c r="Q2021" s="35">
        <f t="array" ref="Q2021">SUM(IF(($S2021&gt;=4)*($C2021='TaxCred&amp;Subs'!$D$114:$D$121)*($H2021='TaxCred&amp;Subs'!$C$114:$C$121)*($H2021&lt;='TaxCred&amp;Subs'!$C$123),'TaxCred&amp;Subs'!$E$114:$E$121,0))</f>
        <v>0</v>
      </c>
      <c r="R2021" s="143">
        <v>0</v>
      </c>
      <c r="S2021" s="29">
        <v>4</v>
      </c>
      <c r="T2021" s="29" t="s">
        <v>240</v>
      </c>
      <c r="U2021" s="30" t="s">
        <v>227</v>
      </c>
      <c r="V2021" s="7" t="str">
        <f t="array" ref="V2021">INDEX(xlRTCLNAME,MATCH(1,(xlRTCLENDU=1)*(xlRTCLEQCL=$D2021),0))</f>
        <v>KERO_FA</v>
      </c>
      <c r="W2021" s="7" t="str">
        <f t="array" ref="W2021">INDEX(xlRTCLNAME,MATCH(1,(xlRTCLENDU=2)*(xlRTCLEQCL=$F2021),0))</f>
        <v>CENT_AIR</v>
      </c>
      <c r="X2021" s="7" t="str">
        <f t="array" ref="X2021">INDEX(xlRTTYNAME,MATCH(1,(xlRTTYENDU=1)*(xlRTTYEQCL=$D2021)*(xlRTEQTYPE=$E2021),0))</f>
        <v>KERO_FA3</v>
      </c>
      <c r="Y2021" s="7" t="str">
        <f t="array" ref="Y2021">INDEX(xlRTTYNAME,MATCH(1,(xlRTTYENDU=2)*(xlRTTYEQCL=$F2021)*(xlRTEQTYPE=$G2021),0))</f>
        <v>CENT_AIR3</v>
      </c>
    </row>
    <row r="2022" spans="2:25" x14ac:dyDescent="0.2">
      <c r="B2022" s="29">
        <v>9</v>
      </c>
      <c r="C2022" s="29">
        <v>3</v>
      </c>
      <c r="D2022" s="29">
        <v>5</v>
      </c>
      <c r="E2022" s="29">
        <v>16</v>
      </c>
      <c r="F2022" s="29">
        <v>2</v>
      </c>
      <c r="G2022" s="32">
        <v>6</v>
      </c>
      <c r="H2022" s="32">
        <v>2020</v>
      </c>
      <c r="I2022" s="29">
        <v>2022</v>
      </c>
      <c r="J2022" s="144">
        <v>1.0743</v>
      </c>
      <c r="K2022" s="144">
        <v>1.0519000000000001</v>
      </c>
      <c r="L2022" s="144">
        <v>0.89390000000000003</v>
      </c>
      <c r="M2022" s="144">
        <v>1.0992</v>
      </c>
      <c r="N2022" s="144">
        <v>0.84240000000000004</v>
      </c>
      <c r="O2022" s="144">
        <v>1.0538000000000001</v>
      </c>
      <c r="P2022" s="143">
        <v>8742.161721241142</v>
      </c>
      <c r="Q2022" s="35">
        <f t="array" ref="Q2022">SUM(IF(($S2022&gt;=4)*($C2022='TaxCred&amp;Subs'!$D$114:$D$121)*($H2022='TaxCred&amp;Subs'!$C$114:$C$121)*($H2022&lt;='TaxCred&amp;Subs'!$C$123),'TaxCred&amp;Subs'!$E$114:$E$121,0))</f>
        <v>1000</v>
      </c>
      <c r="R2022" s="143">
        <v>0</v>
      </c>
      <c r="S2022" s="29">
        <v>4</v>
      </c>
      <c r="T2022" s="29" t="s">
        <v>240</v>
      </c>
      <c r="U2022" s="30" t="s">
        <v>227</v>
      </c>
      <c r="V2022" s="7" t="str">
        <f t="array" ref="V2022">INDEX(xlRTCLNAME,MATCH(1,(xlRTCLENDU=1)*(xlRTCLEQCL=$D2022),0))</f>
        <v>KERO_FA</v>
      </c>
      <c r="W2022" s="7" t="str">
        <f t="array" ref="W2022">INDEX(xlRTCLNAME,MATCH(1,(xlRTCLENDU=2)*(xlRTCLEQCL=$F2022),0))</f>
        <v>CENT_AIR</v>
      </c>
      <c r="X2022" s="7" t="str">
        <f t="array" ref="X2022">INDEX(xlRTTYNAME,MATCH(1,(xlRTTYENDU=1)*(xlRTTYEQCL=$D2022)*(xlRTEQTYPE=$E2022),0))</f>
        <v>KERO_FA3</v>
      </c>
      <c r="Y2022" s="7" t="str">
        <f t="array" ref="Y2022">INDEX(xlRTTYNAME,MATCH(1,(xlRTTYENDU=2)*(xlRTTYEQCL=$F2022)*(xlRTEQTYPE=$G2022),0))</f>
        <v>CENT_AIR3</v>
      </c>
    </row>
    <row r="2023" spans="2:25" x14ac:dyDescent="0.2">
      <c r="B2023" s="29">
        <v>9</v>
      </c>
      <c r="C2023" s="29">
        <v>3</v>
      </c>
      <c r="D2023" s="29">
        <v>5</v>
      </c>
      <c r="E2023" s="29">
        <v>16</v>
      </c>
      <c r="F2023" s="29">
        <v>2</v>
      </c>
      <c r="G2023" s="32">
        <v>6</v>
      </c>
      <c r="H2023" s="29">
        <v>2023</v>
      </c>
      <c r="I2023" s="29">
        <v>2032</v>
      </c>
      <c r="J2023" s="144">
        <v>1.0743</v>
      </c>
      <c r="K2023" s="144">
        <v>1.0519000000000001</v>
      </c>
      <c r="L2023" s="144">
        <v>0.89390000000000003</v>
      </c>
      <c r="M2023" s="144">
        <v>1.0992</v>
      </c>
      <c r="N2023" s="144">
        <v>0.84240000000000004</v>
      </c>
      <c r="O2023" s="144">
        <v>1.0538000000000001</v>
      </c>
      <c r="P2023" s="143">
        <v>8742.161721241142</v>
      </c>
      <c r="Q2023" s="35">
        <f t="array" ref="Q2023">SUM(IF(($S2023&gt;=4)*($C2023='TaxCred&amp;Subs'!$D$114:$D$121)*($H2023='TaxCred&amp;Subs'!$C$114:$C$121)*($H2023&lt;='TaxCred&amp;Subs'!$C$123),'TaxCred&amp;Subs'!$E$114:$E$121,0))</f>
        <v>2500</v>
      </c>
      <c r="R2023" s="143">
        <v>0</v>
      </c>
      <c r="S2023" s="29">
        <v>4</v>
      </c>
      <c r="T2023" s="29" t="s">
        <v>240</v>
      </c>
      <c r="U2023" s="30" t="s">
        <v>227</v>
      </c>
      <c r="V2023" s="7" t="str">
        <f t="array" ref="V2023">INDEX(xlRTCLNAME,MATCH(1,(xlRTCLENDU=1)*(xlRTCLEQCL=$D2023),0))</f>
        <v>KERO_FA</v>
      </c>
      <c r="W2023" s="7" t="str">
        <f t="array" ref="W2023">INDEX(xlRTCLNAME,MATCH(1,(xlRTCLENDU=2)*(xlRTCLEQCL=$F2023),0))</f>
        <v>CENT_AIR</v>
      </c>
      <c r="X2023" s="7" t="str">
        <f t="array" ref="X2023">INDEX(xlRTTYNAME,MATCH(1,(xlRTTYENDU=1)*(xlRTTYEQCL=$D2023)*(xlRTEQTYPE=$E2023),0))</f>
        <v>KERO_FA3</v>
      </c>
      <c r="Y2023" s="7" t="str">
        <f t="array" ref="Y2023">INDEX(xlRTTYNAME,MATCH(1,(xlRTTYENDU=2)*(xlRTTYEQCL=$F2023)*(xlRTEQTYPE=$G2023),0))</f>
        <v>CENT_AIR3</v>
      </c>
    </row>
    <row r="2024" spans="2:25" x14ac:dyDescent="0.2">
      <c r="B2024" s="29">
        <v>9</v>
      </c>
      <c r="C2024" s="29">
        <v>3</v>
      </c>
      <c r="D2024" s="29">
        <v>5</v>
      </c>
      <c r="E2024" s="29">
        <v>16</v>
      </c>
      <c r="F2024" s="29">
        <v>2</v>
      </c>
      <c r="G2024" s="32">
        <v>6</v>
      </c>
      <c r="H2024" s="29">
        <v>2033</v>
      </c>
      <c r="I2024" s="29">
        <v>2050</v>
      </c>
      <c r="J2024" s="144">
        <v>1.0743</v>
      </c>
      <c r="K2024" s="144">
        <v>1.0519000000000001</v>
      </c>
      <c r="L2024" s="144">
        <v>0.89390000000000003</v>
      </c>
      <c r="M2024" s="144">
        <v>1.0992</v>
      </c>
      <c r="N2024" s="144">
        <v>0.84240000000000004</v>
      </c>
      <c r="O2024" s="144">
        <v>1.0538000000000001</v>
      </c>
      <c r="P2024" s="143">
        <v>8742.161721241142</v>
      </c>
      <c r="Q2024" s="35">
        <f t="array" ref="Q2024">SUM(IF(($S2024&gt;=4)*($C2024='TaxCred&amp;Subs'!$D$114:$D$121)*($H2024='TaxCred&amp;Subs'!$C$114:$C$121)*($H2024&lt;='TaxCred&amp;Subs'!$C$123),'TaxCred&amp;Subs'!$E$114:$E$121,0))</f>
        <v>0</v>
      </c>
      <c r="R2024" s="143">
        <v>0</v>
      </c>
      <c r="S2024" s="29">
        <v>4</v>
      </c>
      <c r="T2024" s="29" t="s">
        <v>240</v>
      </c>
      <c r="U2024" s="30" t="s">
        <v>227</v>
      </c>
      <c r="V2024" s="7" t="str">
        <f t="array" ref="V2024">INDEX(xlRTCLNAME,MATCH(1,(xlRTCLENDU=1)*(xlRTCLEQCL=$D2024),0))</f>
        <v>KERO_FA</v>
      </c>
      <c r="W2024" s="7" t="str">
        <f t="array" ref="W2024">INDEX(xlRTCLNAME,MATCH(1,(xlRTCLENDU=2)*(xlRTCLEQCL=$F2024),0))</f>
        <v>CENT_AIR</v>
      </c>
      <c r="X2024" s="7" t="str">
        <f t="array" ref="X2024">INDEX(xlRTTYNAME,MATCH(1,(xlRTTYENDU=1)*(xlRTTYEQCL=$D2024)*(xlRTEQTYPE=$E2024),0))</f>
        <v>KERO_FA3</v>
      </c>
      <c r="Y2024" s="7" t="str">
        <f t="array" ref="Y2024">INDEX(xlRTTYNAME,MATCH(1,(xlRTTYENDU=2)*(xlRTTYEQCL=$F2024)*(xlRTEQTYPE=$G2024),0))</f>
        <v>CENT_AIR3</v>
      </c>
    </row>
    <row r="2025" spans="2:25" x14ac:dyDescent="0.2">
      <c r="B2025" s="5">
        <v>2</v>
      </c>
      <c r="C2025" s="5">
        <v>3</v>
      </c>
      <c r="D2025" s="5">
        <v>6</v>
      </c>
      <c r="E2025" s="5">
        <v>20</v>
      </c>
      <c r="F2025" s="5">
        <v>2</v>
      </c>
      <c r="G2025" s="31">
        <v>6</v>
      </c>
      <c r="H2025" s="31">
        <v>2020</v>
      </c>
      <c r="I2025" s="5">
        <v>2022</v>
      </c>
      <c r="J2025" s="142">
        <v>1.0670999999999999</v>
      </c>
      <c r="K2025" s="142">
        <v>1.0638000000000001</v>
      </c>
      <c r="L2025" s="142">
        <v>0.75249999999999995</v>
      </c>
      <c r="M2025" s="142">
        <v>1.1206</v>
      </c>
      <c r="N2025" s="142">
        <v>0.84609999999999996</v>
      </c>
      <c r="O2025" s="142">
        <v>1.0538000000000001</v>
      </c>
      <c r="P2025" s="26">
        <v>9257.118340625233</v>
      </c>
      <c r="Q2025" s="35">
        <f t="array" ref="Q2025">SUM(IF(($S2025&gt;=4)*($C2025='TaxCred&amp;Subs'!$D$114:$D$121)*($H2025='TaxCred&amp;Subs'!$C$114:$C$121)*($H2025&lt;='TaxCred&amp;Subs'!$C$123),'TaxCred&amp;Subs'!$E$114:$E$121,0))</f>
        <v>1000</v>
      </c>
      <c r="R2025" s="143">
        <v>0</v>
      </c>
      <c r="S2025" s="5">
        <v>4</v>
      </c>
      <c r="T2025" s="5" t="s">
        <v>240</v>
      </c>
      <c r="V2025" s="7" t="str">
        <f t="array" ref="V2025">INDEX(xlRTCLNAME,MATCH(1,(xlRTCLENDU=1)*(xlRTCLEQCL=$D2025),0))</f>
        <v>LPG_FA</v>
      </c>
      <c r="W2025" s="7" t="str">
        <f t="array" ref="W2025">INDEX(xlRTCLNAME,MATCH(1,(xlRTCLENDU=2)*(xlRTCLEQCL=$F2025),0))</f>
        <v>CENT_AIR</v>
      </c>
      <c r="X2025" s="7" t="str">
        <f t="array" ref="X2025">INDEX(xlRTTYNAME,MATCH(1,(xlRTTYENDU=1)*(xlRTTYEQCL=$D2025)*(xlRTEQTYPE=$E2025),0))</f>
        <v>LPG_FA3</v>
      </c>
      <c r="Y2025" s="7" t="str">
        <f t="array" ref="Y2025">INDEX(xlRTTYNAME,MATCH(1,(xlRTTYENDU=2)*(xlRTTYEQCL=$F2025)*(xlRTEQTYPE=$G2025),0))</f>
        <v>CENT_AIR3</v>
      </c>
    </row>
    <row r="2026" spans="2:25" x14ac:dyDescent="0.2">
      <c r="B2026" s="5">
        <v>2</v>
      </c>
      <c r="C2026" s="5">
        <v>3</v>
      </c>
      <c r="D2026" s="5">
        <v>6</v>
      </c>
      <c r="E2026" s="5">
        <v>20</v>
      </c>
      <c r="F2026" s="5">
        <v>2</v>
      </c>
      <c r="G2026" s="31">
        <v>6</v>
      </c>
      <c r="H2026" s="5">
        <v>2023</v>
      </c>
      <c r="I2026" s="31">
        <v>2028</v>
      </c>
      <c r="J2026" s="142">
        <v>1.0670999999999999</v>
      </c>
      <c r="K2026" s="142">
        <v>1.0638000000000001</v>
      </c>
      <c r="L2026" s="142">
        <v>0.75249999999999995</v>
      </c>
      <c r="M2026" s="142">
        <v>1.1206</v>
      </c>
      <c r="N2026" s="142">
        <v>0.84609999999999996</v>
      </c>
      <c r="O2026" s="142">
        <v>1.0538000000000001</v>
      </c>
      <c r="P2026" s="26">
        <v>9257.118340625233</v>
      </c>
      <c r="Q2026" s="35">
        <f t="array" ref="Q2026">SUM(IF(($S2026&gt;=4)*($C2026='TaxCred&amp;Subs'!$D$114:$D$121)*($H2026='TaxCred&amp;Subs'!$C$114:$C$121)*($H2026&lt;='TaxCred&amp;Subs'!$C$123),'TaxCred&amp;Subs'!$E$114:$E$121,0))</f>
        <v>2500</v>
      </c>
      <c r="R2026" s="143">
        <v>0</v>
      </c>
      <c r="S2026" s="5">
        <v>4</v>
      </c>
      <c r="T2026" s="5" t="s">
        <v>240</v>
      </c>
      <c r="V2026" s="7" t="str">
        <f t="array" ref="V2026">INDEX(xlRTCLNAME,MATCH(1,(xlRTCLENDU=1)*(xlRTCLEQCL=$D2026),0))</f>
        <v>LPG_FA</v>
      </c>
      <c r="W2026" s="7" t="str">
        <f t="array" ref="W2026">INDEX(xlRTCLNAME,MATCH(1,(xlRTCLENDU=2)*(xlRTCLEQCL=$F2026),0))</f>
        <v>CENT_AIR</v>
      </c>
      <c r="X2026" s="7" t="str">
        <f t="array" ref="X2026">INDEX(xlRTTYNAME,MATCH(1,(xlRTTYENDU=1)*(xlRTTYEQCL=$D2026)*(xlRTEQTYPE=$E2026),0))</f>
        <v>LPG_FA3</v>
      </c>
      <c r="Y2026" s="7" t="str">
        <f t="array" ref="Y2026">INDEX(xlRTTYNAME,MATCH(1,(xlRTTYENDU=2)*(xlRTTYEQCL=$F2026)*(xlRTEQTYPE=$G2026),0))</f>
        <v>CENT_AIR3</v>
      </c>
    </row>
    <row r="2027" spans="2:25" x14ac:dyDescent="0.2">
      <c r="B2027" s="152">
        <v>2</v>
      </c>
      <c r="C2027" s="152">
        <v>3</v>
      </c>
      <c r="D2027" s="152">
        <v>6</v>
      </c>
      <c r="E2027" s="152">
        <v>21</v>
      </c>
      <c r="F2027" s="152">
        <v>2</v>
      </c>
      <c r="G2027" s="152">
        <v>6</v>
      </c>
      <c r="H2027" s="152">
        <v>2029</v>
      </c>
      <c r="I2027" s="152">
        <v>2032</v>
      </c>
      <c r="J2027" s="229">
        <v>1.0670999999999999</v>
      </c>
      <c r="K2027" s="229">
        <v>1.0638000000000001</v>
      </c>
      <c r="L2027" s="229">
        <v>0.75249999999999995</v>
      </c>
      <c r="M2027" s="229">
        <v>1.1206</v>
      </c>
      <c r="N2027" s="229">
        <v>0.84609999999999996</v>
      </c>
      <c r="O2027" s="229">
        <v>1.0538000000000001</v>
      </c>
      <c r="P2027" s="155">
        <v>9257.118340625233</v>
      </c>
      <c r="Q2027" s="41">
        <f t="array" ref="Q2027">SUM(IF(($S2027&gt;=4)*($C2027='TaxCred&amp;Subs'!$D$114:$D$121)*($H2027='TaxCred&amp;Subs'!$C$114:$C$121)*($H2027&lt;='TaxCred&amp;Subs'!$C$123),'TaxCred&amp;Subs'!$E$114:$E$121,0))</f>
        <v>2500</v>
      </c>
      <c r="R2027" s="230">
        <v>0</v>
      </c>
      <c r="S2027" s="152">
        <v>4</v>
      </c>
      <c r="T2027" s="152" t="s">
        <v>240</v>
      </c>
      <c r="V2027" s="7" t="str">
        <f t="array" ref="V2027">INDEX(xlRTCLNAME,MATCH(1,(xlRTCLENDU=1)*(xlRTCLEQCL=$D2027),0))</f>
        <v>LPG_FA</v>
      </c>
      <c r="W2027" s="7" t="str">
        <f t="array" ref="W2027">INDEX(xlRTCLNAME,MATCH(1,(xlRTCLENDU=2)*(xlRTCLEQCL=$F2027),0))</f>
        <v>CENT_AIR</v>
      </c>
      <c r="X2027" s="7" t="str">
        <f t="array" ref="X2027">INDEX(xlRTTYNAME,MATCH(1,(xlRTTYENDU=1)*(xlRTTYEQCL=$D2027)*(xlRTEQTYPE=$E2027),0))</f>
        <v>LPG_FA4</v>
      </c>
      <c r="Y2027" s="7" t="str">
        <f t="array" ref="Y2027">INDEX(xlRTTYNAME,MATCH(1,(xlRTTYENDU=2)*(xlRTTYEQCL=$F2027)*(xlRTEQTYPE=$G2027),0))</f>
        <v>CENT_AIR3</v>
      </c>
    </row>
    <row r="2028" spans="2:25" x14ac:dyDescent="0.2">
      <c r="B2028" s="5">
        <v>2</v>
      </c>
      <c r="C2028" s="5">
        <v>3</v>
      </c>
      <c r="D2028" s="5">
        <v>6</v>
      </c>
      <c r="E2028" s="31">
        <v>21</v>
      </c>
      <c r="F2028" s="5">
        <v>2</v>
      </c>
      <c r="G2028" s="31">
        <v>6</v>
      </c>
      <c r="H2028" s="5">
        <v>2033</v>
      </c>
      <c r="I2028" s="5">
        <v>2050</v>
      </c>
      <c r="J2028" s="142">
        <v>1.0670999999999999</v>
      </c>
      <c r="K2028" s="142">
        <v>1.0638000000000001</v>
      </c>
      <c r="L2028" s="142">
        <v>0.75249999999999995</v>
      </c>
      <c r="M2028" s="142">
        <v>1.1206</v>
      </c>
      <c r="N2028" s="142">
        <v>0.84609999999999996</v>
      </c>
      <c r="O2028" s="142">
        <v>1.0538000000000001</v>
      </c>
      <c r="P2028" s="26">
        <v>9257.118340625233</v>
      </c>
      <c r="Q2028" s="35">
        <f t="array" ref="Q2028">SUM(IF(($S2028&gt;=4)*($C2028='TaxCred&amp;Subs'!$D$114:$D$121)*($H2028='TaxCred&amp;Subs'!$C$114:$C$121)*($H2028&lt;='TaxCred&amp;Subs'!$C$123),'TaxCred&amp;Subs'!$E$114:$E$121,0))</f>
        <v>0</v>
      </c>
      <c r="R2028" s="143">
        <v>0</v>
      </c>
      <c r="S2028" s="5">
        <v>4</v>
      </c>
      <c r="T2028" s="5" t="s">
        <v>240</v>
      </c>
      <c r="V2028" s="7" t="str">
        <f t="array" ref="V2028">INDEX(xlRTCLNAME,MATCH(1,(xlRTCLENDU=1)*(xlRTCLEQCL=$D2028),0))</f>
        <v>LPG_FA</v>
      </c>
      <c r="W2028" s="7" t="str">
        <f t="array" ref="W2028">INDEX(xlRTCLNAME,MATCH(1,(xlRTCLENDU=2)*(xlRTCLEQCL=$F2028),0))</f>
        <v>CENT_AIR</v>
      </c>
      <c r="X2028" s="7" t="str">
        <f t="array" ref="X2028">INDEX(xlRTTYNAME,MATCH(1,(xlRTTYENDU=1)*(xlRTTYEQCL=$D2028)*(xlRTEQTYPE=$E2028),0))</f>
        <v>LPG_FA4</v>
      </c>
      <c r="Y2028" s="7" t="str">
        <f t="array" ref="Y2028">INDEX(xlRTTYNAME,MATCH(1,(xlRTTYENDU=2)*(xlRTTYEQCL=$F2028)*(xlRTEQTYPE=$G2028),0))</f>
        <v>CENT_AIR3</v>
      </c>
    </row>
    <row r="2029" spans="2:25" x14ac:dyDescent="0.2">
      <c r="B2029" s="5">
        <v>5</v>
      </c>
      <c r="C2029" s="5">
        <v>3</v>
      </c>
      <c r="D2029" s="5">
        <v>6</v>
      </c>
      <c r="E2029" s="5">
        <v>20</v>
      </c>
      <c r="F2029" s="5">
        <v>2</v>
      </c>
      <c r="G2029" s="31">
        <v>6</v>
      </c>
      <c r="H2029" s="31">
        <v>2020</v>
      </c>
      <c r="I2029" s="5">
        <v>2022</v>
      </c>
      <c r="J2029" s="142">
        <v>1.0559000000000001</v>
      </c>
      <c r="K2029" s="142">
        <v>1.0444</v>
      </c>
      <c r="L2029" s="142">
        <v>0.86019999999999996</v>
      </c>
      <c r="M2029" s="142">
        <v>1.0145999999999999</v>
      </c>
      <c r="N2029" s="142">
        <v>0.83460000000000001</v>
      </c>
      <c r="O2029" s="142">
        <v>1.0538000000000001</v>
      </c>
      <c r="P2029" s="26">
        <v>6800.6542580802361</v>
      </c>
      <c r="Q2029" s="35">
        <f t="array" ref="Q2029">SUM(IF(($S2029&gt;=4)*($C2029='TaxCred&amp;Subs'!$D$114:$D$121)*($H2029='TaxCred&amp;Subs'!$C$114:$C$121)*($H2029&lt;='TaxCred&amp;Subs'!$C$123),'TaxCred&amp;Subs'!$E$114:$E$121,0))</f>
        <v>1000</v>
      </c>
      <c r="R2029" s="143">
        <v>0</v>
      </c>
      <c r="S2029" s="5">
        <v>4</v>
      </c>
      <c r="T2029" s="5" t="s">
        <v>240</v>
      </c>
      <c r="V2029" s="7" t="str">
        <f t="array" ref="V2029">INDEX(xlRTCLNAME,MATCH(1,(xlRTCLENDU=1)*(xlRTCLEQCL=$D2029),0))</f>
        <v>LPG_FA</v>
      </c>
      <c r="W2029" s="7" t="str">
        <f t="array" ref="W2029">INDEX(xlRTCLNAME,MATCH(1,(xlRTCLENDU=2)*(xlRTCLEQCL=$F2029),0))</f>
        <v>CENT_AIR</v>
      </c>
      <c r="X2029" s="7" t="str">
        <f t="array" ref="X2029">INDEX(xlRTTYNAME,MATCH(1,(xlRTTYENDU=1)*(xlRTTYEQCL=$D2029)*(xlRTEQTYPE=$E2029),0))</f>
        <v>LPG_FA3</v>
      </c>
      <c r="Y2029" s="7" t="str">
        <f t="array" ref="Y2029">INDEX(xlRTTYNAME,MATCH(1,(xlRTTYENDU=2)*(xlRTTYEQCL=$F2029)*(xlRTEQTYPE=$G2029),0))</f>
        <v>CENT_AIR3</v>
      </c>
    </row>
    <row r="2030" spans="2:25" x14ac:dyDescent="0.2">
      <c r="B2030" s="5">
        <v>5</v>
      </c>
      <c r="C2030" s="5">
        <v>3</v>
      </c>
      <c r="D2030" s="5">
        <v>6</v>
      </c>
      <c r="E2030" s="5">
        <v>20</v>
      </c>
      <c r="F2030" s="5">
        <v>2</v>
      </c>
      <c r="G2030" s="31">
        <v>6</v>
      </c>
      <c r="H2030" s="5">
        <v>2023</v>
      </c>
      <c r="I2030" s="31">
        <v>2028</v>
      </c>
      <c r="J2030" s="142">
        <v>1.0559000000000001</v>
      </c>
      <c r="K2030" s="142">
        <v>1.0444</v>
      </c>
      <c r="L2030" s="142">
        <v>0.86019999999999996</v>
      </c>
      <c r="M2030" s="142">
        <v>1.0145999999999999</v>
      </c>
      <c r="N2030" s="142">
        <v>0.83460000000000001</v>
      </c>
      <c r="O2030" s="142">
        <v>1.0538000000000001</v>
      </c>
      <c r="P2030" s="26">
        <v>6800.6542580802361</v>
      </c>
      <c r="Q2030" s="35">
        <f t="array" ref="Q2030">SUM(IF(($S2030&gt;=4)*($C2030='TaxCred&amp;Subs'!$D$114:$D$121)*($H2030='TaxCred&amp;Subs'!$C$114:$C$121)*($H2030&lt;='TaxCred&amp;Subs'!$C$123),'TaxCred&amp;Subs'!$E$114:$E$121,0))</f>
        <v>2500</v>
      </c>
      <c r="R2030" s="143">
        <v>0</v>
      </c>
      <c r="S2030" s="5">
        <v>4</v>
      </c>
      <c r="T2030" s="5" t="s">
        <v>240</v>
      </c>
      <c r="V2030" s="7" t="str">
        <f t="array" ref="V2030">INDEX(xlRTCLNAME,MATCH(1,(xlRTCLENDU=1)*(xlRTCLEQCL=$D2030),0))</f>
        <v>LPG_FA</v>
      </c>
      <c r="W2030" s="7" t="str">
        <f t="array" ref="W2030">INDEX(xlRTCLNAME,MATCH(1,(xlRTCLENDU=2)*(xlRTCLEQCL=$F2030),0))</f>
        <v>CENT_AIR</v>
      </c>
      <c r="X2030" s="7" t="str">
        <f t="array" ref="X2030">INDEX(xlRTTYNAME,MATCH(1,(xlRTTYENDU=1)*(xlRTTYEQCL=$D2030)*(xlRTEQTYPE=$E2030),0))</f>
        <v>LPG_FA3</v>
      </c>
      <c r="Y2030" s="7" t="str">
        <f t="array" ref="Y2030">INDEX(xlRTTYNAME,MATCH(1,(xlRTTYENDU=2)*(xlRTTYEQCL=$F2030)*(xlRTEQTYPE=$G2030),0))</f>
        <v>CENT_AIR3</v>
      </c>
    </row>
    <row r="2031" spans="2:25" x14ac:dyDescent="0.2">
      <c r="B2031" s="152">
        <v>5</v>
      </c>
      <c r="C2031" s="152">
        <v>3</v>
      </c>
      <c r="D2031" s="152">
        <v>6</v>
      </c>
      <c r="E2031" s="152">
        <v>21</v>
      </c>
      <c r="F2031" s="152">
        <v>2</v>
      </c>
      <c r="G2031" s="152">
        <v>6</v>
      </c>
      <c r="H2031" s="152">
        <v>2029</v>
      </c>
      <c r="I2031" s="152">
        <v>2032</v>
      </c>
      <c r="J2031" s="229">
        <v>1.0559000000000001</v>
      </c>
      <c r="K2031" s="229">
        <v>1.0444</v>
      </c>
      <c r="L2031" s="229">
        <v>0.86019999999999996</v>
      </c>
      <c r="M2031" s="229">
        <v>1.0145999999999999</v>
      </c>
      <c r="N2031" s="229">
        <v>0.83460000000000001</v>
      </c>
      <c r="O2031" s="229">
        <v>1.0538000000000001</v>
      </c>
      <c r="P2031" s="155">
        <v>6800.6542580802361</v>
      </c>
      <c r="Q2031" s="41">
        <f t="array" ref="Q2031">SUM(IF(($S2031&gt;=4)*($C2031='TaxCred&amp;Subs'!$D$114:$D$121)*($H2031='TaxCred&amp;Subs'!$C$114:$C$121)*($H2031&lt;='TaxCred&amp;Subs'!$C$123),'TaxCred&amp;Subs'!$E$114:$E$121,0))</f>
        <v>2500</v>
      </c>
      <c r="R2031" s="230">
        <v>0</v>
      </c>
      <c r="S2031" s="152">
        <v>4</v>
      </c>
      <c r="T2031" s="152" t="s">
        <v>240</v>
      </c>
      <c r="V2031" s="7" t="str">
        <f t="array" ref="V2031">INDEX(xlRTCLNAME,MATCH(1,(xlRTCLENDU=1)*(xlRTCLEQCL=$D2031),0))</f>
        <v>LPG_FA</v>
      </c>
      <c r="W2031" s="7" t="str">
        <f t="array" ref="W2031">INDEX(xlRTCLNAME,MATCH(1,(xlRTCLENDU=2)*(xlRTCLEQCL=$F2031),0))</f>
        <v>CENT_AIR</v>
      </c>
      <c r="X2031" s="7" t="str">
        <f t="array" ref="X2031">INDEX(xlRTTYNAME,MATCH(1,(xlRTTYENDU=1)*(xlRTTYEQCL=$D2031)*(xlRTEQTYPE=$E2031),0))</f>
        <v>LPG_FA4</v>
      </c>
      <c r="Y2031" s="7" t="str">
        <f t="array" ref="Y2031">INDEX(xlRTTYNAME,MATCH(1,(xlRTTYENDU=2)*(xlRTTYEQCL=$F2031)*(xlRTEQTYPE=$G2031),0))</f>
        <v>CENT_AIR3</v>
      </c>
    </row>
    <row r="2032" spans="2:25" x14ac:dyDescent="0.2">
      <c r="B2032" s="5">
        <v>5</v>
      </c>
      <c r="C2032" s="5">
        <v>3</v>
      </c>
      <c r="D2032" s="5">
        <v>6</v>
      </c>
      <c r="E2032" s="31">
        <v>21</v>
      </c>
      <c r="F2032" s="5">
        <v>2</v>
      </c>
      <c r="G2032" s="31">
        <v>6</v>
      </c>
      <c r="H2032" s="5">
        <v>2033</v>
      </c>
      <c r="I2032" s="5">
        <v>2050</v>
      </c>
      <c r="J2032" s="142">
        <v>1.0559000000000001</v>
      </c>
      <c r="K2032" s="142">
        <v>1.0444</v>
      </c>
      <c r="L2032" s="142">
        <v>0.86019999999999996</v>
      </c>
      <c r="M2032" s="142">
        <v>1.0145999999999999</v>
      </c>
      <c r="N2032" s="142">
        <v>0.83460000000000001</v>
      </c>
      <c r="O2032" s="142">
        <v>1.0538000000000001</v>
      </c>
      <c r="P2032" s="26">
        <v>6800.6542580802361</v>
      </c>
      <c r="Q2032" s="35">
        <f t="array" ref="Q2032">SUM(IF(($S2032&gt;=4)*($C2032='TaxCred&amp;Subs'!$D$114:$D$121)*($H2032='TaxCred&amp;Subs'!$C$114:$C$121)*($H2032&lt;='TaxCred&amp;Subs'!$C$123),'TaxCred&amp;Subs'!$E$114:$E$121,0))</f>
        <v>0</v>
      </c>
      <c r="R2032" s="143">
        <v>0</v>
      </c>
      <c r="S2032" s="5">
        <v>4</v>
      </c>
      <c r="T2032" s="5" t="s">
        <v>240</v>
      </c>
      <c r="V2032" s="7" t="str">
        <f t="array" ref="V2032">INDEX(xlRTCLNAME,MATCH(1,(xlRTCLENDU=1)*(xlRTCLEQCL=$D2032),0))</f>
        <v>LPG_FA</v>
      </c>
      <c r="W2032" s="7" t="str">
        <f t="array" ref="W2032">INDEX(xlRTCLNAME,MATCH(1,(xlRTCLENDU=2)*(xlRTCLEQCL=$F2032),0))</f>
        <v>CENT_AIR</v>
      </c>
      <c r="X2032" s="7" t="str">
        <f t="array" ref="X2032">INDEX(xlRTTYNAME,MATCH(1,(xlRTTYENDU=1)*(xlRTTYEQCL=$D2032)*(xlRTEQTYPE=$E2032),0))</f>
        <v>LPG_FA4</v>
      </c>
      <c r="Y2032" s="7" t="str">
        <f t="array" ref="Y2032">INDEX(xlRTTYNAME,MATCH(1,(xlRTTYENDU=2)*(xlRTTYEQCL=$F2032)*(xlRTEQTYPE=$G2032),0))</f>
        <v>CENT_AIR3</v>
      </c>
    </row>
    <row r="2033" spans="2:25" x14ac:dyDescent="0.2">
      <c r="B2033" s="5">
        <v>6</v>
      </c>
      <c r="C2033" s="5">
        <v>3</v>
      </c>
      <c r="D2033" s="5">
        <v>6</v>
      </c>
      <c r="E2033" s="5">
        <v>20</v>
      </c>
      <c r="F2033" s="5">
        <v>2</v>
      </c>
      <c r="G2033" s="31">
        <v>6</v>
      </c>
      <c r="H2033" s="31">
        <v>2020</v>
      </c>
      <c r="I2033" s="5">
        <v>2022</v>
      </c>
      <c r="J2033" s="142">
        <v>1.0872999999999999</v>
      </c>
      <c r="K2033" s="142">
        <v>1.0581</v>
      </c>
      <c r="L2033" s="142">
        <v>0.82210000000000005</v>
      </c>
      <c r="M2033" s="142">
        <v>1.0062</v>
      </c>
      <c r="N2033" s="142">
        <v>0.8044</v>
      </c>
      <c r="O2033" s="142">
        <v>1.0538000000000001</v>
      </c>
      <c r="P2033" s="26">
        <v>6491.4113795989288</v>
      </c>
      <c r="Q2033" s="35">
        <f t="array" ref="Q2033">SUM(IF(($S2033&gt;=4)*($C2033='TaxCred&amp;Subs'!$D$114:$D$121)*($H2033='TaxCred&amp;Subs'!$C$114:$C$121)*($H2033&lt;='TaxCred&amp;Subs'!$C$123),'TaxCred&amp;Subs'!$E$114:$E$121,0))</f>
        <v>1000</v>
      </c>
      <c r="R2033" s="143">
        <v>0</v>
      </c>
      <c r="S2033" s="5">
        <v>4</v>
      </c>
      <c r="T2033" s="5" t="s">
        <v>240</v>
      </c>
      <c r="V2033" s="7" t="str">
        <f t="array" ref="V2033">INDEX(xlRTCLNAME,MATCH(1,(xlRTCLENDU=1)*(xlRTCLEQCL=$D2033),0))</f>
        <v>LPG_FA</v>
      </c>
      <c r="W2033" s="7" t="str">
        <f t="array" ref="W2033">INDEX(xlRTCLNAME,MATCH(1,(xlRTCLENDU=2)*(xlRTCLEQCL=$F2033),0))</f>
        <v>CENT_AIR</v>
      </c>
      <c r="X2033" s="7" t="str">
        <f t="array" ref="X2033">INDEX(xlRTTYNAME,MATCH(1,(xlRTTYENDU=1)*(xlRTTYEQCL=$D2033)*(xlRTEQTYPE=$E2033),0))</f>
        <v>LPG_FA3</v>
      </c>
      <c r="Y2033" s="7" t="str">
        <f t="array" ref="Y2033">INDEX(xlRTTYNAME,MATCH(1,(xlRTTYENDU=2)*(xlRTTYEQCL=$F2033)*(xlRTEQTYPE=$G2033),0))</f>
        <v>CENT_AIR3</v>
      </c>
    </row>
    <row r="2034" spans="2:25" x14ac:dyDescent="0.2">
      <c r="B2034" s="5">
        <v>6</v>
      </c>
      <c r="C2034" s="5">
        <v>3</v>
      </c>
      <c r="D2034" s="5">
        <v>6</v>
      </c>
      <c r="E2034" s="5">
        <v>20</v>
      </c>
      <c r="F2034" s="5">
        <v>2</v>
      </c>
      <c r="G2034" s="31">
        <v>6</v>
      </c>
      <c r="H2034" s="5">
        <v>2023</v>
      </c>
      <c r="I2034" s="31">
        <v>2028</v>
      </c>
      <c r="J2034" s="142">
        <v>1.0872999999999999</v>
      </c>
      <c r="K2034" s="142">
        <v>1.0581</v>
      </c>
      <c r="L2034" s="142">
        <v>0.82210000000000005</v>
      </c>
      <c r="M2034" s="142">
        <v>1.0062</v>
      </c>
      <c r="N2034" s="142">
        <v>0.8044</v>
      </c>
      <c r="O2034" s="142">
        <v>1.0538000000000001</v>
      </c>
      <c r="P2034" s="26">
        <v>6491.4113795989288</v>
      </c>
      <c r="Q2034" s="35">
        <f t="array" ref="Q2034">SUM(IF(($S2034&gt;=4)*($C2034='TaxCred&amp;Subs'!$D$114:$D$121)*($H2034='TaxCred&amp;Subs'!$C$114:$C$121)*($H2034&lt;='TaxCred&amp;Subs'!$C$123),'TaxCred&amp;Subs'!$E$114:$E$121,0))</f>
        <v>2500</v>
      </c>
      <c r="R2034" s="143">
        <v>0</v>
      </c>
      <c r="S2034" s="5">
        <v>4</v>
      </c>
      <c r="T2034" s="5" t="s">
        <v>240</v>
      </c>
      <c r="V2034" s="7" t="str">
        <f t="array" ref="V2034">INDEX(xlRTCLNAME,MATCH(1,(xlRTCLENDU=1)*(xlRTCLEQCL=$D2034),0))</f>
        <v>LPG_FA</v>
      </c>
      <c r="W2034" s="7" t="str">
        <f t="array" ref="W2034">INDEX(xlRTCLNAME,MATCH(1,(xlRTCLENDU=2)*(xlRTCLEQCL=$F2034),0))</f>
        <v>CENT_AIR</v>
      </c>
      <c r="X2034" s="7" t="str">
        <f t="array" ref="X2034">INDEX(xlRTTYNAME,MATCH(1,(xlRTTYENDU=1)*(xlRTTYEQCL=$D2034)*(xlRTEQTYPE=$E2034),0))</f>
        <v>LPG_FA3</v>
      </c>
      <c r="Y2034" s="7" t="str">
        <f t="array" ref="Y2034">INDEX(xlRTTYNAME,MATCH(1,(xlRTTYENDU=2)*(xlRTTYEQCL=$F2034)*(xlRTEQTYPE=$G2034),0))</f>
        <v>CENT_AIR3</v>
      </c>
    </row>
    <row r="2035" spans="2:25" x14ac:dyDescent="0.2">
      <c r="B2035" s="152">
        <v>6</v>
      </c>
      <c r="C2035" s="152">
        <v>3</v>
      </c>
      <c r="D2035" s="152">
        <v>6</v>
      </c>
      <c r="E2035" s="152">
        <v>21</v>
      </c>
      <c r="F2035" s="152">
        <v>2</v>
      </c>
      <c r="G2035" s="152">
        <v>6</v>
      </c>
      <c r="H2035" s="152">
        <v>2029</v>
      </c>
      <c r="I2035" s="152">
        <v>2032</v>
      </c>
      <c r="J2035" s="229">
        <v>1.0872999999999999</v>
      </c>
      <c r="K2035" s="229">
        <v>1.0581</v>
      </c>
      <c r="L2035" s="229">
        <v>0.82210000000000005</v>
      </c>
      <c r="M2035" s="229">
        <v>1.0062</v>
      </c>
      <c r="N2035" s="229">
        <v>0.8044</v>
      </c>
      <c r="O2035" s="229">
        <v>1.0538000000000001</v>
      </c>
      <c r="P2035" s="155">
        <v>6491.4113795989288</v>
      </c>
      <c r="Q2035" s="41">
        <f t="array" ref="Q2035">SUM(IF(($S2035&gt;=4)*($C2035='TaxCred&amp;Subs'!$D$114:$D$121)*($H2035='TaxCred&amp;Subs'!$C$114:$C$121)*($H2035&lt;='TaxCred&amp;Subs'!$C$123),'TaxCred&amp;Subs'!$E$114:$E$121,0))</f>
        <v>2500</v>
      </c>
      <c r="R2035" s="230">
        <v>0</v>
      </c>
      <c r="S2035" s="152">
        <v>4</v>
      </c>
      <c r="T2035" s="152" t="s">
        <v>240</v>
      </c>
      <c r="V2035" s="7" t="str">
        <f t="array" ref="V2035">INDEX(xlRTCLNAME,MATCH(1,(xlRTCLENDU=1)*(xlRTCLEQCL=$D2035),0))</f>
        <v>LPG_FA</v>
      </c>
      <c r="W2035" s="7" t="str">
        <f t="array" ref="W2035">INDEX(xlRTCLNAME,MATCH(1,(xlRTCLENDU=2)*(xlRTCLEQCL=$F2035),0))</f>
        <v>CENT_AIR</v>
      </c>
      <c r="X2035" s="7" t="str">
        <f t="array" ref="X2035">INDEX(xlRTTYNAME,MATCH(1,(xlRTTYENDU=1)*(xlRTTYEQCL=$D2035)*(xlRTEQTYPE=$E2035),0))</f>
        <v>LPG_FA4</v>
      </c>
      <c r="Y2035" s="7" t="str">
        <f t="array" ref="Y2035">INDEX(xlRTTYNAME,MATCH(1,(xlRTTYENDU=2)*(xlRTTYEQCL=$F2035)*(xlRTEQTYPE=$G2035),0))</f>
        <v>CENT_AIR3</v>
      </c>
    </row>
    <row r="2036" spans="2:25" x14ac:dyDescent="0.2">
      <c r="B2036" s="5">
        <v>6</v>
      </c>
      <c r="C2036" s="5">
        <v>3</v>
      </c>
      <c r="D2036" s="5">
        <v>6</v>
      </c>
      <c r="E2036" s="31">
        <v>21</v>
      </c>
      <c r="F2036" s="5">
        <v>2</v>
      </c>
      <c r="G2036" s="31">
        <v>6</v>
      </c>
      <c r="H2036" s="5">
        <v>2033</v>
      </c>
      <c r="I2036" s="5">
        <v>2050</v>
      </c>
      <c r="J2036" s="142">
        <v>1.0872999999999999</v>
      </c>
      <c r="K2036" s="142">
        <v>1.0581</v>
      </c>
      <c r="L2036" s="142">
        <v>0.82210000000000005</v>
      </c>
      <c r="M2036" s="142">
        <v>1.0062</v>
      </c>
      <c r="N2036" s="142">
        <v>0.8044</v>
      </c>
      <c r="O2036" s="142">
        <v>1.0538000000000001</v>
      </c>
      <c r="P2036" s="26">
        <v>6491.4113795989288</v>
      </c>
      <c r="Q2036" s="35">
        <f t="array" ref="Q2036">SUM(IF(($S2036&gt;=4)*($C2036='TaxCred&amp;Subs'!$D$114:$D$121)*($H2036='TaxCred&amp;Subs'!$C$114:$C$121)*($H2036&lt;='TaxCred&amp;Subs'!$C$123),'TaxCred&amp;Subs'!$E$114:$E$121,0))</f>
        <v>0</v>
      </c>
      <c r="R2036" s="143">
        <v>0</v>
      </c>
      <c r="S2036" s="5">
        <v>4</v>
      </c>
      <c r="T2036" s="5" t="s">
        <v>240</v>
      </c>
      <c r="V2036" s="7" t="str">
        <f t="array" ref="V2036">INDEX(xlRTCLNAME,MATCH(1,(xlRTCLENDU=1)*(xlRTCLEQCL=$D2036),0))</f>
        <v>LPG_FA</v>
      </c>
      <c r="W2036" s="7" t="str">
        <f t="array" ref="W2036">INDEX(xlRTCLNAME,MATCH(1,(xlRTCLENDU=2)*(xlRTCLEQCL=$F2036),0))</f>
        <v>CENT_AIR</v>
      </c>
      <c r="X2036" s="7" t="str">
        <f t="array" ref="X2036">INDEX(xlRTTYNAME,MATCH(1,(xlRTTYENDU=1)*(xlRTTYEQCL=$D2036)*(xlRTEQTYPE=$E2036),0))</f>
        <v>LPG_FA4</v>
      </c>
      <c r="Y2036" s="7" t="str">
        <f t="array" ref="Y2036">INDEX(xlRTTYNAME,MATCH(1,(xlRTTYENDU=2)*(xlRTTYEQCL=$F2036)*(xlRTEQTYPE=$G2036),0))</f>
        <v>CENT_AIR3</v>
      </c>
    </row>
    <row r="2037" spans="2:25" x14ac:dyDescent="0.2">
      <c r="B2037" s="5">
        <v>7</v>
      </c>
      <c r="C2037" s="5">
        <v>3</v>
      </c>
      <c r="D2037" s="5">
        <v>6</v>
      </c>
      <c r="E2037" s="5">
        <v>20</v>
      </c>
      <c r="F2037" s="5">
        <v>2</v>
      </c>
      <c r="G2037" s="31">
        <v>6</v>
      </c>
      <c r="H2037" s="31">
        <v>2020</v>
      </c>
      <c r="I2037" s="5">
        <v>2022</v>
      </c>
      <c r="J2037" s="142">
        <v>1.0914999999999999</v>
      </c>
      <c r="K2037" s="142">
        <v>1.0496000000000001</v>
      </c>
      <c r="L2037" s="142">
        <v>0.82369999999999999</v>
      </c>
      <c r="M2037" s="142">
        <v>1.0031000000000001</v>
      </c>
      <c r="N2037" s="142">
        <v>0.81759999999999999</v>
      </c>
      <c r="O2037" s="142">
        <v>1.0538000000000001</v>
      </c>
      <c r="P2037" s="26">
        <v>6213.0927889657514</v>
      </c>
      <c r="Q2037" s="35">
        <f t="array" ref="Q2037">SUM(IF(($S2037&gt;=4)*($C2037='TaxCred&amp;Subs'!$D$114:$D$121)*($H2037='TaxCred&amp;Subs'!$C$114:$C$121)*($H2037&lt;='TaxCred&amp;Subs'!$C$123),'TaxCred&amp;Subs'!$E$114:$E$121,0))</f>
        <v>1000</v>
      </c>
      <c r="R2037" s="143">
        <v>0</v>
      </c>
      <c r="S2037" s="5">
        <v>4</v>
      </c>
      <c r="T2037" s="5" t="s">
        <v>240</v>
      </c>
      <c r="V2037" s="7" t="str">
        <f t="array" ref="V2037">INDEX(xlRTCLNAME,MATCH(1,(xlRTCLENDU=1)*(xlRTCLEQCL=$D2037),0))</f>
        <v>LPG_FA</v>
      </c>
      <c r="W2037" s="7" t="str">
        <f t="array" ref="W2037">INDEX(xlRTCLNAME,MATCH(1,(xlRTCLENDU=2)*(xlRTCLEQCL=$F2037),0))</f>
        <v>CENT_AIR</v>
      </c>
      <c r="X2037" s="7" t="str">
        <f t="array" ref="X2037">INDEX(xlRTTYNAME,MATCH(1,(xlRTTYENDU=1)*(xlRTTYEQCL=$D2037)*(xlRTEQTYPE=$E2037),0))</f>
        <v>LPG_FA3</v>
      </c>
      <c r="Y2037" s="7" t="str">
        <f t="array" ref="Y2037">INDEX(xlRTTYNAME,MATCH(1,(xlRTTYENDU=2)*(xlRTTYEQCL=$F2037)*(xlRTEQTYPE=$G2037),0))</f>
        <v>CENT_AIR3</v>
      </c>
    </row>
    <row r="2038" spans="2:25" x14ac:dyDescent="0.2">
      <c r="B2038" s="5">
        <v>7</v>
      </c>
      <c r="C2038" s="5">
        <v>3</v>
      </c>
      <c r="D2038" s="5">
        <v>6</v>
      </c>
      <c r="E2038" s="5">
        <v>20</v>
      </c>
      <c r="F2038" s="5">
        <v>2</v>
      </c>
      <c r="G2038" s="31">
        <v>6</v>
      </c>
      <c r="H2038" s="5">
        <v>2023</v>
      </c>
      <c r="I2038" s="31">
        <v>2028</v>
      </c>
      <c r="J2038" s="142">
        <v>1.0914999999999999</v>
      </c>
      <c r="K2038" s="142">
        <v>1.0496000000000001</v>
      </c>
      <c r="L2038" s="142">
        <v>0.82369999999999999</v>
      </c>
      <c r="M2038" s="142">
        <v>1.0031000000000001</v>
      </c>
      <c r="N2038" s="142">
        <v>0.81759999999999999</v>
      </c>
      <c r="O2038" s="142">
        <v>1.0538000000000001</v>
      </c>
      <c r="P2038" s="26">
        <v>6213.0927889657514</v>
      </c>
      <c r="Q2038" s="35">
        <f t="array" ref="Q2038">SUM(IF(($S2038&gt;=4)*($C2038='TaxCred&amp;Subs'!$D$114:$D$121)*($H2038='TaxCred&amp;Subs'!$C$114:$C$121)*($H2038&lt;='TaxCred&amp;Subs'!$C$123),'TaxCred&amp;Subs'!$E$114:$E$121,0))</f>
        <v>2500</v>
      </c>
      <c r="R2038" s="143">
        <v>0</v>
      </c>
      <c r="S2038" s="5">
        <v>4</v>
      </c>
      <c r="T2038" s="5" t="s">
        <v>240</v>
      </c>
      <c r="V2038" s="7" t="str">
        <f t="array" ref="V2038">INDEX(xlRTCLNAME,MATCH(1,(xlRTCLENDU=1)*(xlRTCLEQCL=$D2038),0))</f>
        <v>LPG_FA</v>
      </c>
      <c r="W2038" s="7" t="str">
        <f t="array" ref="W2038">INDEX(xlRTCLNAME,MATCH(1,(xlRTCLENDU=2)*(xlRTCLEQCL=$F2038),0))</f>
        <v>CENT_AIR</v>
      </c>
      <c r="X2038" s="7" t="str">
        <f t="array" ref="X2038">INDEX(xlRTTYNAME,MATCH(1,(xlRTTYENDU=1)*(xlRTTYEQCL=$D2038)*(xlRTEQTYPE=$E2038),0))</f>
        <v>LPG_FA3</v>
      </c>
      <c r="Y2038" s="7" t="str">
        <f t="array" ref="Y2038">INDEX(xlRTTYNAME,MATCH(1,(xlRTTYENDU=2)*(xlRTTYEQCL=$F2038)*(xlRTEQTYPE=$G2038),0))</f>
        <v>CENT_AIR3</v>
      </c>
    </row>
    <row r="2039" spans="2:25" x14ac:dyDescent="0.2">
      <c r="B2039" s="152">
        <v>7</v>
      </c>
      <c r="C2039" s="152">
        <v>3</v>
      </c>
      <c r="D2039" s="152">
        <v>6</v>
      </c>
      <c r="E2039" s="152">
        <v>21</v>
      </c>
      <c r="F2039" s="152">
        <v>2</v>
      </c>
      <c r="G2039" s="152">
        <v>6</v>
      </c>
      <c r="H2039" s="152">
        <v>2029</v>
      </c>
      <c r="I2039" s="152">
        <v>2032</v>
      </c>
      <c r="J2039" s="229">
        <v>1.0914999999999999</v>
      </c>
      <c r="K2039" s="229">
        <v>1.0496000000000001</v>
      </c>
      <c r="L2039" s="229">
        <v>0.82369999999999999</v>
      </c>
      <c r="M2039" s="229">
        <v>1.0031000000000001</v>
      </c>
      <c r="N2039" s="229">
        <v>0.81759999999999999</v>
      </c>
      <c r="O2039" s="229">
        <v>1.0538000000000001</v>
      </c>
      <c r="P2039" s="155">
        <v>6213.0927889657514</v>
      </c>
      <c r="Q2039" s="41">
        <f t="array" ref="Q2039">SUM(IF(($S2039&gt;=4)*($C2039='TaxCred&amp;Subs'!$D$114:$D$121)*($H2039='TaxCred&amp;Subs'!$C$114:$C$121)*($H2039&lt;='TaxCred&amp;Subs'!$C$123),'TaxCred&amp;Subs'!$E$114:$E$121,0))</f>
        <v>2500</v>
      </c>
      <c r="R2039" s="230">
        <v>0</v>
      </c>
      <c r="S2039" s="152">
        <v>4</v>
      </c>
      <c r="T2039" s="152" t="s">
        <v>240</v>
      </c>
      <c r="V2039" s="7" t="str">
        <f t="array" ref="V2039">INDEX(xlRTCLNAME,MATCH(1,(xlRTCLENDU=1)*(xlRTCLEQCL=$D2039),0))</f>
        <v>LPG_FA</v>
      </c>
      <c r="W2039" s="7" t="str">
        <f t="array" ref="W2039">INDEX(xlRTCLNAME,MATCH(1,(xlRTCLENDU=2)*(xlRTCLEQCL=$F2039),0))</f>
        <v>CENT_AIR</v>
      </c>
      <c r="X2039" s="7" t="str">
        <f t="array" ref="X2039">INDEX(xlRTTYNAME,MATCH(1,(xlRTTYENDU=1)*(xlRTTYEQCL=$D2039)*(xlRTEQTYPE=$E2039),0))</f>
        <v>LPG_FA4</v>
      </c>
      <c r="Y2039" s="7" t="str">
        <f t="array" ref="Y2039">INDEX(xlRTTYNAME,MATCH(1,(xlRTTYENDU=2)*(xlRTTYEQCL=$F2039)*(xlRTEQTYPE=$G2039),0))</f>
        <v>CENT_AIR3</v>
      </c>
    </row>
    <row r="2040" spans="2:25" x14ac:dyDescent="0.2">
      <c r="B2040" s="5">
        <v>7</v>
      </c>
      <c r="C2040" s="5">
        <v>3</v>
      </c>
      <c r="D2040" s="5">
        <v>6</v>
      </c>
      <c r="E2040" s="31">
        <v>21</v>
      </c>
      <c r="F2040" s="5">
        <v>2</v>
      </c>
      <c r="G2040" s="31">
        <v>6</v>
      </c>
      <c r="H2040" s="5">
        <v>2033</v>
      </c>
      <c r="I2040" s="5">
        <v>2050</v>
      </c>
      <c r="J2040" s="142">
        <v>1.0914999999999999</v>
      </c>
      <c r="K2040" s="142">
        <v>1.0496000000000001</v>
      </c>
      <c r="L2040" s="142">
        <v>0.82369999999999999</v>
      </c>
      <c r="M2040" s="142">
        <v>1.0031000000000001</v>
      </c>
      <c r="N2040" s="142">
        <v>0.81759999999999999</v>
      </c>
      <c r="O2040" s="142">
        <v>1.0538000000000001</v>
      </c>
      <c r="P2040" s="26">
        <v>6213.0927889657514</v>
      </c>
      <c r="Q2040" s="35">
        <f t="array" ref="Q2040">SUM(IF(($S2040&gt;=4)*($C2040='TaxCred&amp;Subs'!$D$114:$D$121)*($H2040='TaxCred&amp;Subs'!$C$114:$C$121)*($H2040&lt;='TaxCred&amp;Subs'!$C$123),'TaxCred&amp;Subs'!$E$114:$E$121,0))</f>
        <v>0</v>
      </c>
      <c r="R2040" s="143">
        <v>0</v>
      </c>
      <c r="S2040" s="5">
        <v>4</v>
      </c>
      <c r="T2040" s="5" t="s">
        <v>240</v>
      </c>
      <c r="V2040" s="7" t="str">
        <f t="array" ref="V2040">INDEX(xlRTCLNAME,MATCH(1,(xlRTCLENDU=1)*(xlRTCLEQCL=$D2040),0))</f>
        <v>LPG_FA</v>
      </c>
      <c r="W2040" s="7" t="str">
        <f t="array" ref="W2040">INDEX(xlRTCLNAME,MATCH(1,(xlRTCLENDU=2)*(xlRTCLEQCL=$F2040),0))</f>
        <v>CENT_AIR</v>
      </c>
      <c r="X2040" s="7" t="str">
        <f t="array" ref="X2040">INDEX(xlRTTYNAME,MATCH(1,(xlRTTYENDU=1)*(xlRTTYEQCL=$D2040)*(xlRTEQTYPE=$E2040),0))</f>
        <v>LPG_FA4</v>
      </c>
      <c r="Y2040" s="7" t="str">
        <f t="array" ref="Y2040">INDEX(xlRTTYNAME,MATCH(1,(xlRTTYENDU=2)*(xlRTTYEQCL=$F2040)*(xlRTEQTYPE=$G2040),0))</f>
        <v>CENT_AIR3</v>
      </c>
    </row>
    <row r="2041" spans="2:25" x14ac:dyDescent="0.2">
      <c r="B2041" s="5">
        <v>9</v>
      </c>
      <c r="C2041" s="5">
        <v>3</v>
      </c>
      <c r="D2041" s="5">
        <v>6</v>
      </c>
      <c r="E2041" s="5">
        <v>20</v>
      </c>
      <c r="F2041" s="5">
        <v>2</v>
      </c>
      <c r="G2041" s="31">
        <v>6</v>
      </c>
      <c r="H2041" s="31">
        <v>2020</v>
      </c>
      <c r="I2041" s="5">
        <v>2022</v>
      </c>
      <c r="J2041" s="142">
        <v>1.0761000000000001</v>
      </c>
      <c r="K2041" s="142">
        <v>1.0506</v>
      </c>
      <c r="L2041" s="142">
        <v>0.90200000000000002</v>
      </c>
      <c r="M2041" s="142">
        <v>1.0749</v>
      </c>
      <c r="N2041" s="142">
        <v>0.84670000000000001</v>
      </c>
      <c r="O2041" s="142">
        <v>1.0538000000000001</v>
      </c>
      <c r="P2041" s="26">
        <v>8289.0536775533128</v>
      </c>
      <c r="Q2041" s="35">
        <f t="array" ref="Q2041">SUM(IF(($S2041&gt;=4)*($C2041='TaxCred&amp;Subs'!$D$114:$D$121)*($H2041='TaxCred&amp;Subs'!$C$114:$C$121)*($H2041&lt;='TaxCred&amp;Subs'!$C$123),'TaxCred&amp;Subs'!$E$114:$E$121,0))</f>
        <v>1000</v>
      </c>
      <c r="R2041" s="143">
        <v>0</v>
      </c>
      <c r="S2041" s="5">
        <v>4</v>
      </c>
      <c r="T2041" s="5" t="s">
        <v>240</v>
      </c>
      <c r="V2041" s="7" t="str">
        <f t="array" ref="V2041">INDEX(xlRTCLNAME,MATCH(1,(xlRTCLENDU=1)*(xlRTCLEQCL=$D2041),0))</f>
        <v>LPG_FA</v>
      </c>
      <c r="W2041" s="7" t="str">
        <f t="array" ref="W2041">INDEX(xlRTCLNAME,MATCH(1,(xlRTCLENDU=2)*(xlRTCLEQCL=$F2041),0))</f>
        <v>CENT_AIR</v>
      </c>
      <c r="X2041" s="7" t="str">
        <f t="array" ref="X2041">INDEX(xlRTTYNAME,MATCH(1,(xlRTTYENDU=1)*(xlRTTYEQCL=$D2041)*(xlRTEQTYPE=$E2041),0))</f>
        <v>LPG_FA3</v>
      </c>
      <c r="Y2041" s="7" t="str">
        <f t="array" ref="Y2041">INDEX(xlRTTYNAME,MATCH(1,(xlRTTYENDU=2)*(xlRTTYEQCL=$F2041)*(xlRTEQTYPE=$G2041),0))</f>
        <v>CENT_AIR3</v>
      </c>
    </row>
    <row r="2042" spans="2:25" x14ac:dyDescent="0.2">
      <c r="B2042" s="5">
        <v>9</v>
      </c>
      <c r="C2042" s="5">
        <v>3</v>
      </c>
      <c r="D2042" s="5">
        <v>6</v>
      </c>
      <c r="E2042" s="5">
        <v>20</v>
      </c>
      <c r="F2042" s="5">
        <v>2</v>
      </c>
      <c r="G2042" s="31">
        <v>6</v>
      </c>
      <c r="H2042" s="5">
        <v>2023</v>
      </c>
      <c r="I2042" s="31">
        <v>2028</v>
      </c>
      <c r="J2042" s="142">
        <v>1.0761000000000001</v>
      </c>
      <c r="K2042" s="142">
        <v>1.0506</v>
      </c>
      <c r="L2042" s="142">
        <v>0.90200000000000002</v>
      </c>
      <c r="M2042" s="142">
        <v>1.0749</v>
      </c>
      <c r="N2042" s="142">
        <v>0.84670000000000001</v>
      </c>
      <c r="O2042" s="142">
        <v>1.0538000000000001</v>
      </c>
      <c r="P2042" s="26">
        <v>8289.0536775533128</v>
      </c>
      <c r="Q2042" s="35">
        <f t="array" ref="Q2042">SUM(IF(($S2042&gt;=4)*($C2042='TaxCred&amp;Subs'!$D$114:$D$121)*($H2042='TaxCred&amp;Subs'!$C$114:$C$121)*($H2042&lt;='TaxCred&amp;Subs'!$C$123),'TaxCred&amp;Subs'!$E$114:$E$121,0))</f>
        <v>2500</v>
      </c>
      <c r="R2042" s="143">
        <v>0</v>
      </c>
      <c r="S2042" s="5">
        <v>4</v>
      </c>
      <c r="T2042" s="5" t="s">
        <v>240</v>
      </c>
      <c r="V2042" s="7" t="str">
        <f t="array" ref="V2042">INDEX(xlRTCLNAME,MATCH(1,(xlRTCLENDU=1)*(xlRTCLEQCL=$D2042),0))</f>
        <v>LPG_FA</v>
      </c>
      <c r="W2042" s="7" t="str">
        <f t="array" ref="W2042">INDEX(xlRTCLNAME,MATCH(1,(xlRTCLENDU=2)*(xlRTCLEQCL=$F2042),0))</f>
        <v>CENT_AIR</v>
      </c>
      <c r="X2042" s="7" t="str">
        <f t="array" ref="X2042">INDEX(xlRTTYNAME,MATCH(1,(xlRTTYENDU=1)*(xlRTTYEQCL=$D2042)*(xlRTEQTYPE=$E2042),0))</f>
        <v>LPG_FA3</v>
      </c>
      <c r="Y2042" s="7" t="str">
        <f t="array" ref="Y2042">INDEX(xlRTTYNAME,MATCH(1,(xlRTTYENDU=2)*(xlRTTYEQCL=$F2042)*(xlRTEQTYPE=$G2042),0))</f>
        <v>CENT_AIR3</v>
      </c>
    </row>
    <row r="2043" spans="2:25" x14ac:dyDescent="0.2">
      <c r="B2043" s="152">
        <v>9</v>
      </c>
      <c r="C2043" s="152">
        <v>3</v>
      </c>
      <c r="D2043" s="152">
        <v>6</v>
      </c>
      <c r="E2043" s="152">
        <v>21</v>
      </c>
      <c r="F2043" s="152">
        <v>2</v>
      </c>
      <c r="G2043" s="152">
        <v>6</v>
      </c>
      <c r="H2043" s="152">
        <v>2029</v>
      </c>
      <c r="I2043" s="152">
        <v>2032</v>
      </c>
      <c r="J2043" s="229">
        <v>1.0761000000000001</v>
      </c>
      <c r="K2043" s="229">
        <v>1.0506</v>
      </c>
      <c r="L2043" s="229">
        <v>0.90200000000000002</v>
      </c>
      <c r="M2043" s="229">
        <v>1.0749</v>
      </c>
      <c r="N2043" s="229">
        <v>0.84670000000000001</v>
      </c>
      <c r="O2043" s="229">
        <v>1.0538000000000001</v>
      </c>
      <c r="P2043" s="155">
        <v>8289.0536775533128</v>
      </c>
      <c r="Q2043" s="41">
        <f t="array" ref="Q2043">SUM(IF(($S2043&gt;=4)*($C2043='TaxCred&amp;Subs'!$D$114:$D$121)*($H2043='TaxCred&amp;Subs'!$C$114:$C$121)*($H2043&lt;='TaxCred&amp;Subs'!$C$123),'TaxCred&amp;Subs'!$E$114:$E$121,0))</f>
        <v>2500</v>
      </c>
      <c r="R2043" s="230">
        <v>0</v>
      </c>
      <c r="S2043" s="152">
        <v>4</v>
      </c>
      <c r="T2043" s="152" t="s">
        <v>240</v>
      </c>
      <c r="V2043" s="7" t="str">
        <f t="array" ref="V2043">INDEX(xlRTCLNAME,MATCH(1,(xlRTCLENDU=1)*(xlRTCLEQCL=$D2043),0))</f>
        <v>LPG_FA</v>
      </c>
      <c r="W2043" s="7" t="str">
        <f t="array" ref="W2043">INDEX(xlRTCLNAME,MATCH(1,(xlRTCLENDU=2)*(xlRTCLEQCL=$F2043),0))</f>
        <v>CENT_AIR</v>
      </c>
      <c r="X2043" s="7" t="str">
        <f t="array" ref="X2043">INDEX(xlRTTYNAME,MATCH(1,(xlRTTYENDU=1)*(xlRTTYEQCL=$D2043)*(xlRTEQTYPE=$E2043),0))</f>
        <v>LPG_FA4</v>
      </c>
      <c r="Y2043" s="7" t="str">
        <f t="array" ref="Y2043">INDEX(xlRTTYNAME,MATCH(1,(xlRTTYENDU=2)*(xlRTTYEQCL=$F2043)*(xlRTEQTYPE=$G2043),0))</f>
        <v>CENT_AIR3</v>
      </c>
    </row>
    <row r="2044" spans="2:25" x14ac:dyDescent="0.2">
      <c r="B2044" s="5">
        <v>9</v>
      </c>
      <c r="C2044" s="5">
        <v>3</v>
      </c>
      <c r="D2044" s="5">
        <v>6</v>
      </c>
      <c r="E2044" s="31">
        <v>21</v>
      </c>
      <c r="F2044" s="5">
        <v>2</v>
      </c>
      <c r="G2044" s="31">
        <v>6</v>
      </c>
      <c r="H2044" s="5">
        <v>2033</v>
      </c>
      <c r="I2044" s="5">
        <v>2050</v>
      </c>
      <c r="J2044" s="142">
        <v>1.0761000000000001</v>
      </c>
      <c r="K2044" s="142">
        <v>1.0506</v>
      </c>
      <c r="L2044" s="142">
        <v>0.90200000000000002</v>
      </c>
      <c r="M2044" s="142">
        <v>1.0749</v>
      </c>
      <c r="N2044" s="142">
        <v>0.84670000000000001</v>
      </c>
      <c r="O2044" s="142">
        <v>1.0538000000000001</v>
      </c>
      <c r="P2044" s="26">
        <v>8289.0536775533128</v>
      </c>
      <c r="Q2044" s="35">
        <f t="array" ref="Q2044">SUM(IF(($S2044&gt;=4)*($C2044='TaxCred&amp;Subs'!$D$114:$D$121)*($H2044='TaxCred&amp;Subs'!$C$114:$C$121)*($H2044&lt;='TaxCred&amp;Subs'!$C$123),'TaxCred&amp;Subs'!$E$114:$E$121,0))</f>
        <v>0</v>
      </c>
      <c r="R2044" s="143">
        <v>0</v>
      </c>
      <c r="S2044" s="5">
        <v>4</v>
      </c>
      <c r="T2044" s="5" t="s">
        <v>240</v>
      </c>
      <c r="V2044" s="7" t="str">
        <f t="array" ref="V2044">INDEX(xlRTCLNAME,MATCH(1,(xlRTCLENDU=1)*(xlRTCLEQCL=$D2044),0))</f>
        <v>LPG_FA</v>
      </c>
      <c r="W2044" s="7" t="str">
        <f t="array" ref="W2044">INDEX(xlRTCLNAME,MATCH(1,(xlRTCLENDU=2)*(xlRTCLEQCL=$F2044),0))</f>
        <v>CENT_AIR</v>
      </c>
      <c r="X2044" s="7" t="str">
        <f t="array" ref="X2044">INDEX(xlRTTYNAME,MATCH(1,(xlRTTYENDU=1)*(xlRTTYEQCL=$D2044)*(xlRTEQTYPE=$E2044),0))</f>
        <v>LPG_FA4</v>
      </c>
      <c r="Y2044" s="7" t="str">
        <f t="array" ref="Y2044">INDEX(xlRTTYNAME,MATCH(1,(xlRTTYENDU=2)*(xlRTTYEQCL=$F2044)*(xlRTEQTYPE=$G2044),0))</f>
        <v>CENT_AIR3</v>
      </c>
    </row>
    <row r="2045" spans="2:25" x14ac:dyDescent="0.2">
      <c r="B2045" s="5">
        <v>2</v>
      </c>
      <c r="C2045" s="5">
        <v>3</v>
      </c>
      <c r="D2045" s="5">
        <v>7</v>
      </c>
      <c r="E2045" s="5">
        <v>24</v>
      </c>
      <c r="F2045" s="5">
        <v>2</v>
      </c>
      <c r="G2045" s="31">
        <v>6</v>
      </c>
      <c r="H2045" s="31">
        <v>2020</v>
      </c>
      <c r="I2045" s="5">
        <v>2022</v>
      </c>
      <c r="J2045" s="142">
        <v>1.0873999999999999</v>
      </c>
      <c r="K2045" s="142">
        <v>1.0638000000000001</v>
      </c>
      <c r="L2045" s="142">
        <v>0.74980000000000002</v>
      </c>
      <c r="M2045" s="142">
        <v>1.1226</v>
      </c>
      <c r="N2045" s="142">
        <v>0.84279999999999999</v>
      </c>
      <c r="O2045" s="142">
        <v>1.0538000000000001</v>
      </c>
      <c r="P2045" s="26">
        <v>9257.118340625233</v>
      </c>
      <c r="Q2045" s="35">
        <f t="array" ref="Q2045">SUM(IF(($S2045&gt;=4)*($C2045='TaxCred&amp;Subs'!$D$114:$D$121)*($H2045='TaxCred&amp;Subs'!$C$114:$C$121)*($H2045&lt;='TaxCred&amp;Subs'!$C$123),'TaxCred&amp;Subs'!$E$114:$E$121,0))</f>
        <v>1000</v>
      </c>
      <c r="R2045" s="143">
        <v>0</v>
      </c>
      <c r="S2045" s="5">
        <v>4</v>
      </c>
      <c r="T2045" s="5" t="s">
        <v>240</v>
      </c>
      <c r="V2045" s="7" t="str">
        <f t="array" ref="V2045">INDEX(xlRTCLNAME,MATCH(1,(xlRTCLENDU=1)*(xlRTCLEQCL=$D2045),0))</f>
        <v>DIST_FA</v>
      </c>
      <c r="W2045" s="7" t="str">
        <f t="array" ref="W2045">INDEX(xlRTCLNAME,MATCH(1,(xlRTCLENDU=2)*(xlRTCLEQCL=$F2045),0))</f>
        <v>CENT_AIR</v>
      </c>
      <c r="X2045" s="7" t="str">
        <f t="array" ref="X2045">INDEX(xlRTTYNAME,MATCH(1,(xlRTTYENDU=1)*(xlRTTYEQCL=$D2045)*(xlRTEQTYPE=$E2045),0))</f>
        <v>DIST_FA3</v>
      </c>
      <c r="Y2045" s="7" t="str">
        <f t="array" ref="Y2045">INDEX(xlRTTYNAME,MATCH(1,(xlRTTYENDU=2)*(xlRTTYEQCL=$F2045)*(xlRTEQTYPE=$G2045),0))</f>
        <v>CENT_AIR3</v>
      </c>
    </row>
    <row r="2046" spans="2:25" x14ac:dyDescent="0.2">
      <c r="B2046" s="5">
        <v>2</v>
      </c>
      <c r="C2046" s="5">
        <v>3</v>
      </c>
      <c r="D2046" s="5">
        <v>7</v>
      </c>
      <c r="E2046" s="5">
        <v>24</v>
      </c>
      <c r="F2046" s="5">
        <v>2</v>
      </c>
      <c r="G2046" s="31">
        <v>6</v>
      </c>
      <c r="H2046" s="5">
        <v>2023</v>
      </c>
      <c r="I2046" s="5">
        <v>2032</v>
      </c>
      <c r="J2046" s="142">
        <v>1.0873999999999999</v>
      </c>
      <c r="K2046" s="142">
        <v>1.0638000000000001</v>
      </c>
      <c r="L2046" s="142">
        <v>0.74980000000000002</v>
      </c>
      <c r="M2046" s="142">
        <v>1.1226</v>
      </c>
      <c r="N2046" s="142">
        <v>0.84279999999999999</v>
      </c>
      <c r="O2046" s="142">
        <v>1.0538000000000001</v>
      </c>
      <c r="P2046" s="26">
        <v>9257.118340625233</v>
      </c>
      <c r="Q2046" s="35">
        <f t="array" ref="Q2046">SUM(IF(($S2046&gt;=4)*($C2046='TaxCred&amp;Subs'!$D$114:$D$121)*($H2046='TaxCred&amp;Subs'!$C$114:$C$121)*($H2046&lt;='TaxCred&amp;Subs'!$C$123),'TaxCred&amp;Subs'!$E$114:$E$121,0))</f>
        <v>2500</v>
      </c>
      <c r="R2046" s="143">
        <v>0</v>
      </c>
      <c r="S2046" s="5">
        <v>4</v>
      </c>
      <c r="T2046" s="5" t="s">
        <v>240</v>
      </c>
      <c r="V2046" s="7" t="str">
        <f t="array" ref="V2046">INDEX(xlRTCLNAME,MATCH(1,(xlRTCLENDU=1)*(xlRTCLEQCL=$D2046),0))</f>
        <v>DIST_FA</v>
      </c>
      <c r="W2046" s="7" t="str">
        <f t="array" ref="W2046">INDEX(xlRTCLNAME,MATCH(1,(xlRTCLENDU=2)*(xlRTCLEQCL=$F2046),0))</f>
        <v>CENT_AIR</v>
      </c>
      <c r="X2046" s="7" t="str">
        <f t="array" ref="X2046">INDEX(xlRTTYNAME,MATCH(1,(xlRTTYENDU=1)*(xlRTTYEQCL=$D2046)*(xlRTEQTYPE=$E2046),0))</f>
        <v>DIST_FA3</v>
      </c>
      <c r="Y2046" s="7" t="str">
        <f t="array" ref="Y2046">INDEX(xlRTTYNAME,MATCH(1,(xlRTTYENDU=2)*(xlRTTYEQCL=$F2046)*(xlRTEQTYPE=$G2046),0))</f>
        <v>CENT_AIR3</v>
      </c>
    </row>
    <row r="2047" spans="2:25" x14ac:dyDescent="0.2">
      <c r="B2047" s="5">
        <v>2</v>
      </c>
      <c r="C2047" s="5">
        <v>3</v>
      </c>
      <c r="D2047" s="5">
        <v>7</v>
      </c>
      <c r="E2047" s="5">
        <v>24</v>
      </c>
      <c r="F2047" s="5">
        <v>2</v>
      </c>
      <c r="G2047" s="31">
        <v>6</v>
      </c>
      <c r="H2047" s="5">
        <v>2033</v>
      </c>
      <c r="I2047" s="5">
        <v>2050</v>
      </c>
      <c r="J2047" s="142">
        <v>1.0873999999999999</v>
      </c>
      <c r="K2047" s="142">
        <v>1.0638000000000001</v>
      </c>
      <c r="L2047" s="142">
        <v>0.74980000000000002</v>
      </c>
      <c r="M2047" s="142">
        <v>1.1226</v>
      </c>
      <c r="N2047" s="142">
        <v>0.84279999999999999</v>
      </c>
      <c r="O2047" s="142">
        <v>1.0538000000000001</v>
      </c>
      <c r="P2047" s="26">
        <v>9257.118340625233</v>
      </c>
      <c r="Q2047" s="35">
        <f t="array" ref="Q2047">SUM(IF(($S2047&gt;=4)*($C2047='TaxCred&amp;Subs'!$D$114:$D$121)*($H2047='TaxCred&amp;Subs'!$C$114:$C$121)*($H2047&lt;='TaxCred&amp;Subs'!$C$123),'TaxCred&amp;Subs'!$E$114:$E$121,0))</f>
        <v>0</v>
      </c>
      <c r="R2047" s="143">
        <v>0</v>
      </c>
      <c r="S2047" s="5">
        <v>4</v>
      </c>
      <c r="T2047" s="5" t="s">
        <v>240</v>
      </c>
      <c r="V2047" s="7" t="str">
        <f t="array" ref="V2047">INDEX(xlRTCLNAME,MATCH(1,(xlRTCLENDU=1)*(xlRTCLEQCL=$D2047),0))</f>
        <v>DIST_FA</v>
      </c>
      <c r="W2047" s="7" t="str">
        <f t="array" ref="W2047">INDEX(xlRTCLNAME,MATCH(1,(xlRTCLENDU=2)*(xlRTCLEQCL=$F2047),0))</f>
        <v>CENT_AIR</v>
      </c>
      <c r="X2047" s="7" t="str">
        <f t="array" ref="X2047">INDEX(xlRTTYNAME,MATCH(1,(xlRTTYENDU=1)*(xlRTTYEQCL=$D2047)*(xlRTEQTYPE=$E2047),0))</f>
        <v>DIST_FA3</v>
      </c>
      <c r="Y2047" s="7" t="str">
        <f t="array" ref="Y2047">INDEX(xlRTTYNAME,MATCH(1,(xlRTTYENDU=2)*(xlRTTYEQCL=$F2047)*(xlRTEQTYPE=$G2047),0))</f>
        <v>CENT_AIR3</v>
      </c>
    </row>
    <row r="2048" spans="2:25" x14ac:dyDescent="0.2">
      <c r="B2048" s="5">
        <v>5</v>
      </c>
      <c r="C2048" s="5">
        <v>3</v>
      </c>
      <c r="D2048" s="5">
        <v>7</v>
      </c>
      <c r="E2048" s="5">
        <v>24</v>
      </c>
      <c r="F2048" s="5">
        <v>2</v>
      </c>
      <c r="G2048" s="31">
        <v>6</v>
      </c>
      <c r="H2048" s="31">
        <v>2020</v>
      </c>
      <c r="I2048" s="5">
        <v>2022</v>
      </c>
      <c r="J2048" s="142">
        <v>1.0667</v>
      </c>
      <c r="K2048" s="142">
        <v>1.0568</v>
      </c>
      <c r="L2048" s="142">
        <v>0.77539999999999998</v>
      </c>
      <c r="M2048" s="142">
        <v>1.0201</v>
      </c>
      <c r="N2048" s="142">
        <v>0.83260000000000001</v>
      </c>
      <c r="O2048" s="142">
        <v>1.0538000000000001</v>
      </c>
      <c r="P2048" s="26">
        <v>6658.1336271279815</v>
      </c>
      <c r="Q2048" s="35">
        <f t="array" ref="Q2048">SUM(IF(($S2048&gt;=4)*($C2048='TaxCred&amp;Subs'!$D$114:$D$121)*($H2048='TaxCred&amp;Subs'!$C$114:$C$121)*($H2048&lt;='TaxCred&amp;Subs'!$C$123),'TaxCred&amp;Subs'!$E$114:$E$121,0))</f>
        <v>1000</v>
      </c>
      <c r="R2048" s="143">
        <v>0</v>
      </c>
      <c r="S2048" s="5">
        <v>4</v>
      </c>
      <c r="T2048" s="5" t="s">
        <v>240</v>
      </c>
      <c r="V2048" s="7" t="str">
        <f t="array" ref="V2048">INDEX(xlRTCLNAME,MATCH(1,(xlRTCLENDU=1)*(xlRTCLEQCL=$D2048),0))</f>
        <v>DIST_FA</v>
      </c>
      <c r="W2048" s="7" t="str">
        <f t="array" ref="W2048">INDEX(xlRTCLNAME,MATCH(1,(xlRTCLENDU=2)*(xlRTCLEQCL=$F2048),0))</f>
        <v>CENT_AIR</v>
      </c>
      <c r="X2048" s="7" t="str">
        <f t="array" ref="X2048">INDEX(xlRTTYNAME,MATCH(1,(xlRTTYENDU=1)*(xlRTTYEQCL=$D2048)*(xlRTEQTYPE=$E2048),0))</f>
        <v>DIST_FA3</v>
      </c>
      <c r="Y2048" s="7" t="str">
        <f t="array" ref="Y2048">INDEX(xlRTTYNAME,MATCH(1,(xlRTTYENDU=2)*(xlRTTYEQCL=$F2048)*(xlRTEQTYPE=$G2048),0))</f>
        <v>CENT_AIR3</v>
      </c>
    </row>
    <row r="2049" spans="2:25" x14ac:dyDescent="0.2">
      <c r="B2049" s="5">
        <v>5</v>
      </c>
      <c r="C2049" s="5">
        <v>3</v>
      </c>
      <c r="D2049" s="5">
        <v>7</v>
      </c>
      <c r="E2049" s="5">
        <v>24</v>
      </c>
      <c r="F2049" s="5">
        <v>2</v>
      </c>
      <c r="G2049" s="31">
        <v>6</v>
      </c>
      <c r="H2049" s="5">
        <v>2023</v>
      </c>
      <c r="I2049" s="5">
        <v>2032</v>
      </c>
      <c r="J2049" s="142">
        <v>1.0667</v>
      </c>
      <c r="K2049" s="142">
        <v>1.0568</v>
      </c>
      <c r="L2049" s="142">
        <v>0.77539999999999998</v>
      </c>
      <c r="M2049" s="142">
        <v>1.0201</v>
      </c>
      <c r="N2049" s="142">
        <v>0.83260000000000001</v>
      </c>
      <c r="O2049" s="142">
        <v>1.0538000000000001</v>
      </c>
      <c r="P2049" s="26">
        <v>6658.1336271279815</v>
      </c>
      <c r="Q2049" s="35">
        <f t="array" ref="Q2049">SUM(IF(($S2049&gt;=4)*($C2049='TaxCred&amp;Subs'!$D$114:$D$121)*($H2049='TaxCred&amp;Subs'!$C$114:$C$121)*($H2049&lt;='TaxCred&amp;Subs'!$C$123),'TaxCred&amp;Subs'!$E$114:$E$121,0))</f>
        <v>2500</v>
      </c>
      <c r="R2049" s="143">
        <v>0</v>
      </c>
      <c r="S2049" s="5">
        <v>4</v>
      </c>
      <c r="T2049" s="5" t="s">
        <v>240</v>
      </c>
      <c r="V2049" s="7" t="str">
        <f t="array" ref="V2049">INDEX(xlRTCLNAME,MATCH(1,(xlRTCLENDU=1)*(xlRTCLEQCL=$D2049),0))</f>
        <v>DIST_FA</v>
      </c>
      <c r="W2049" s="7" t="str">
        <f t="array" ref="W2049">INDEX(xlRTCLNAME,MATCH(1,(xlRTCLENDU=2)*(xlRTCLEQCL=$F2049),0))</f>
        <v>CENT_AIR</v>
      </c>
      <c r="X2049" s="7" t="str">
        <f t="array" ref="X2049">INDEX(xlRTTYNAME,MATCH(1,(xlRTTYENDU=1)*(xlRTTYEQCL=$D2049)*(xlRTEQTYPE=$E2049),0))</f>
        <v>DIST_FA3</v>
      </c>
      <c r="Y2049" s="7" t="str">
        <f t="array" ref="Y2049">INDEX(xlRTTYNAME,MATCH(1,(xlRTTYENDU=2)*(xlRTTYEQCL=$F2049)*(xlRTEQTYPE=$G2049),0))</f>
        <v>CENT_AIR3</v>
      </c>
    </row>
    <row r="2050" spans="2:25" x14ac:dyDescent="0.2">
      <c r="B2050" s="5">
        <v>5</v>
      </c>
      <c r="C2050" s="5">
        <v>3</v>
      </c>
      <c r="D2050" s="5">
        <v>7</v>
      </c>
      <c r="E2050" s="5">
        <v>24</v>
      </c>
      <c r="F2050" s="5">
        <v>2</v>
      </c>
      <c r="G2050" s="31">
        <v>6</v>
      </c>
      <c r="H2050" s="5">
        <v>2033</v>
      </c>
      <c r="I2050" s="5">
        <v>2050</v>
      </c>
      <c r="J2050" s="142">
        <v>1.0667</v>
      </c>
      <c r="K2050" s="142">
        <v>1.0568</v>
      </c>
      <c r="L2050" s="142">
        <v>0.77539999999999998</v>
      </c>
      <c r="M2050" s="142">
        <v>1.0201</v>
      </c>
      <c r="N2050" s="142">
        <v>0.83260000000000001</v>
      </c>
      <c r="O2050" s="142">
        <v>1.0538000000000001</v>
      </c>
      <c r="P2050" s="26">
        <v>6658.1336271279815</v>
      </c>
      <c r="Q2050" s="35">
        <f t="array" ref="Q2050">SUM(IF(($S2050&gt;=4)*($C2050='TaxCred&amp;Subs'!$D$114:$D$121)*($H2050='TaxCred&amp;Subs'!$C$114:$C$121)*($H2050&lt;='TaxCred&amp;Subs'!$C$123),'TaxCred&amp;Subs'!$E$114:$E$121,0))</f>
        <v>0</v>
      </c>
      <c r="R2050" s="143">
        <v>0</v>
      </c>
      <c r="S2050" s="5">
        <v>4</v>
      </c>
      <c r="T2050" s="5" t="s">
        <v>240</v>
      </c>
      <c r="V2050" s="7" t="str">
        <f t="array" ref="V2050">INDEX(xlRTCLNAME,MATCH(1,(xlRTCLENDU=1)*(xlRTCLEQCL=$D2050),0))</f>
        <v>DIST_FA</v>
      </c>
      <c r="W2050" s="7" t="str">
        <f t="array" ref="W2050">INDEX(xlRTCLNAME,MATCH(1,(xlRTCLENDU=2)*(xlRTCLEQCL=$F2050),0))</f>
        <v>CENT_AIR</v>
      </c>
      <c r="X2050" s="7" t="str">
        <f t="array" ref="X2050">INDEX(xlRTTYNAME,MATCH(1,(xlRTTYENDU=1)*(xlRTTYEQCL=$D2050)*(xlRTEQTYPE=$E2050),0))</f>
        <v>DIST_FA3</v>
      </c>
      <c r="Y2050" s="7" t="str">
        <f t="array" ref="Y2050">INDEX(xlRTTYNAME,MATCH(1,(xlRTTYENDU=2)*(xlRTTYEQCL=$F2050)*(xlRTEQTYPE=$G2050),0))</f>
        <v>CENT_AIR3</v>
      </c>
    </row>
    <row r="2051" spans="2:25" x14ac:dyDescent="0.2">
      <c r="B2051" s="5">
        <v>6</v>
      </c>
      <c r="C2051" s="5">
        <v>3</v>
      </c>
      <c r="D2051" s="5">
        <v>7</v>
      </c>
      <c r="E2051" s="5">
        <v>24</v>
      </c>
      <c r="F2051" s="5">
        <v>2</v>
      </c>
      <c r="G2051" s="31">
        <v>6</v>
      </c>
      <c r="H2051" s="31">
        <v>2020</v>
      </c>
      <c r="I2051" s="5">
        <v>2022</v>
      </c>
      <c r="J2051" s="142">
        <v>1.0896999999999999</v>
      </c>
      <c r="K2051" s="142">
        <v>1.0723</v>
      </c>
      <c r="L2051" s="142">
        <v>0.82430000000000003</v>
      </c>
      <c r="M2051" s="142">
        <v>1.0309999999999999</v>
      </c>
      <c r="N2051" s="142">
        <v>0.80269999999999997</v>
      </c>
      <c r="O2051" s="142">
        <v>1.0538000000000001</v>
      </c>
      <c r="P2051" s="26">
        <v>6467.2097630221306</v>
      </c>
      <c r="Q2051" s="35">
        <f t="array" ref="Q2051">SUM(IF(($S2051&gt;=4)*($C2051='TaxCred&amp;Subs'!$D$114:$D$121)*($H2051='TaxCred&amp;Subs'!$C$114:$C$121)*($H2051&lt;='TaxCred&amp;Subs'!$C$123),'TaxCred&amp;Subs'!$E$114:$E$121,0))</f>
        <v>1000</v>
      </c>
      <c r="R2051" s="143">
        <v>0</v>
      </c>
      <c r="S2051" s="5">
        <v>4</v>
      </c>
      <c r="T2051" s="5" t="s">
        <v>240</v>
      </c>
      <c r="V2051" s="7" t="str">
        <f t="array" ref="V2051">INDEX(xlRTCLNAME,MATCH(1,(xlRTCLENDU=1)*(xlRTCLEQCL=$D2051),0))</f>
        <v>DIST_FA</v>
      </c>
      <c r="W2051" s="7" t="str">
        <f t="array" ref="W2051">INDEX(xlRTCLNAME,MATCH(1,(xlRTCLENDU=2)*(xlRTCLEQCL=$F2051),0))</f>
        <v>CENT_AIR</v>
      </c>
      <c r="X2051" s="7" t="str">
        <f t="array" ref="X2051">INDEX(xlRTTYNAME,MATCH(1,(xlRTTYENDU=1)*(xlRTTYEQCL=$D2051)*(xlRTEQTYPE=$E2051),0))</f>
        <v>DIST_FA3</v>
      </c>
      <c r="Y2051" s="7" t="str">
        <f t="array" ref="Y2051">INDEX(xlRTTYNAME,MATCH(1,(xlRTTYENDU=2)*(xlRTTYEQCL=$F2051)*(xlRTEQTYPE=$G2051),0))</f>
        <v>CENT_AIR3</v>
      </c>
    </row>
    <row r="2052" spans="2:25" x14ac:dyDescent="0.2">
      <c r="B2052" s="5">
        <v>6</v>
      </c>
      <c r="C2052" s="5">
        <v>3</v>
      </c>
      <c r="D2052" s="5">
        <v>7</v>
      </c>
      <c r="E2052" s="5">
        <v>24</v>
      </c>
      <c r="F2052" s="5">
        <v>2</v>
      </c>
      <c r="G2052" s="31">
        <v>6</v>
      </c>
      <c r="H2052" s="5">
        <v>2023</v>
      </c>
      <c r="I2052" s="5">
        <v>2032</v>
      </c>
      <c r="J2052" s="142">
        <v>1.0896999999999999</v>
      </c>
      <c r="K2052" s="142">
        <v>1.0723</v>
      </c>
      <c r="L2052" s="142">
        <v>0.82430000000000003</v>
      </c>
      <c r="M2052" s="142">
        <v>1.0309999999999999</v>
      </c>
      <c r="N2052" s="142">
        <v>0.80269999999999997</v>
      </c>
      <c r="O2052" s="142">
        <v>1.0538000000000001</v>
      </c>
      <c r="P2052" s="26">
        <v>6467.2097630221306</v>
      </c>
      <c r="Q2052" s="35">
        <f t="array" ref="Q2052">SUM(IF(($S2052&gt;=4)*($C2052='TaxCred&amp;Subs'!$D$114:$D$121)*($H2052='TaxCred&amp;Subs'!$C$114:$C$121)*($H2052&lt;='TaxCred&amp;Subs'!$C$123),'TaxCred&amp;Subs'!$E$114:$E$121,0))</f>
        <v>2500</v>
      </c>
      <c r="R2052" s="143">
        <v>0</v>
      </c>
      <c r="S2052" s="5">
        <v>4</v>
      </c>
      <c r="T2052" s="5" t="s">
        <v>240</v>
      </c>
      <c r="V2052" s="7" t="str">
        <f t="array" ref="V2052">INDEX(xlRTCLNAME,MATCH(1,(xlRTCLENDU=1)*(xlRTCLEQCL=$D2052),0))</f>
        <v>DIST_FA</v>
      </c>
      <c r="W2052" s="7" t="str">
        <f t="array" ref="W2052">INDEX(xlRTCLNAME,MATCH(1,(xlRTCLENDU=2)*(xlRTCLEQCL=$F2052),0))</f>
        <v>CENT_AIR</v>
      </c>
      <c r="X2052" s="7" t="str">
        <f t="array" ref="X2052">INDEX(xlRTTYNAME,MATCH(1,(xlRTTYENDU=1)*(xlRTTYEQCL=$D2052)*(xlRTEQTYPE=$E2052),0))</f>
        <v>DIST_FA3</v>
      </c>
      <c r="Y2052" s="7" t="str">
        <f t="array" ref="Y2052">INDEX(xlRTTYNAME,MATCH(1,(xlRTTYENDU=2)*(xlRTTYEQCL=$F2052)*(xlRTEQTYPE=$G2052),0))</f>
        <v>CENT_AIR3</v>
      </c>
    </row>
    <row r="2053" spans="2:25" x14ac:dyDescent="0.2">
      <c r="B2053" s="5">
        <v>6</v>
      </c>
      <c r="C2053" s="5">
        <v>3</v>
      </c>
      <c r="D2053" s="5">
        <v>7</v>
      </c>
      <c r="E2053" s="5">
        <v>24</v>
      </c>
      <c r="F2053" s="5">
        <v>2</v>
      </c>
      <c r="G2053" s="31">
        <v>6</v>
      </c>
      <c r="H2053" s="5">
        <v>2033</v>
      </c>
      <c r="I2053" s="5">
        <v>2050</v>
      </c>
      <c r="J2053" s="142">
        <v>1.0896999999999999</v>
      </c>
      <c r="K2053" s="142">
        <v>1.0723</v>
      </c>
      <c r="L2053" s="142">
        <v>0.82430000000000003</v>
      </c>
      <c r="M2053" s="142">
        <v>1.0309999999999999</v>
      </c>
      <c r="N2053" s="142">
        <v>0.80269999999999997</v>
      </c>
      <c r="O2053" s="142">
        <v>1.0538000000000001</v>
      </c>
      <c r="P2053" s="26">
        <v>6467.2097630221306</v>
      </c>
      <c r="Q2053" s="35">
        <f t="array" ref="Q2053">SUM(IF(($S2053&gt;=4)*($C2053='TaxCred&amp;Subs'!$D$114:$D$121)*($H2053='TaxCred&amp;Subs'!$C$114:$C$121)*($H2053&lt;='TaxCred&amp;Subs'!$C$123),'TaxCred&amp;Subs'!$E$114:$E$121,0))</f>
        <v>0</v>
      </c>
      <c r="R2053" s="143">
        <v>0</v>
      </c>
      <c r="S2053" s="5">
        <v>4</v>
      </c>
      <c r="T2053" s="5" t="s">
        <v>240</v>
      </c>
      <c r="V2053" s="7" t="str">
        <f t="array" ref="V2053">INDEX(xlRTCLNAME,MATCH(1,(xlRTCLENDU=1)*(xlRTCLEQCL=$D2053),0))</f>
        <v>DIST_FA</v>
      </c>
      <c r="W2053" s="7" t="str">
        <f t="array" ref="W2053">INDEX(xlRTCLNAME,MATCH(1,(xlRTCLENDU=2)*(xlRTCLEQCL=$F2053),0))</f>
        <v>CENT_AIR</v>
      </c>
      <c r="X2053" s="7" t="str">
        <f t="array" ref="X2053">INDEX(xlRTTYNAME,MATCH(1,(xlRTTYENDU=1)*(xlRTTYEQCL=$D2053)*(xlRTEQTYPE=$E2053),0))</f>
        <v>DIST_FA3</v>
      </c>
      <c r="Y2053" s="7" t="str">
        <f t="array" ref="Y2053">INDEX(xlRTTYNAME,MATCH(1,(xlRTTYENDU=2)*(xlRTTYEQCL=$F2053)*(xlRTEQTYPE=$G2053),0))</f>
        <v>CENT_AIR3</v>
      </c>
    </row>
    <row r="2054" spans="2:25" x14ac:dyDescent="0.2">
      <c r="B2054" s="5">
        <v>7</v>
      </c>
      <c r="C2054" s="5">
        <v>3</v>
      </c>
      <c r="D2054" s="5">
        <v>7</v>
      </c>
      <c r="E2054" s="5">
        <v>24</v>
      </c>
      <c r="F2054" s="5">
        <v>2</v>
      </c>
      <c r="G2054" s="31">
        <v>6</v>
      </c>
      <c r="H2054" s="31">
        <v>2020</v>
      </c>
      <c r="I2054" s="5">
        <v>2022</v>
      </c>
      <c r="J2054" s="142">
        <v>1.0940000000000001</v>
      </c>
      <c r="K2054" s="142">
        <v>1.0512999999999999</v>
      </c>
      <c r="L2054" s="142">
        <v>0.72770000000000001</v>
      </c>
      <c r="M2054" s="142">
        <v>0.98</v>
      </c>
      <c r="N2054" s="142">
        <v>0.81289999999999996</v>
      </c>
      <c r="O2054" s="142">
        <v>1.0538000000000001</v>
      </c>
      <c r="P2054" s="26">
        <v>6370.4032967149387</v>
      </c>
      <c r="Q2054" s="35">
        <f t="array" ref="Q2054">SUM(IF(($S2054&gt;=4)*($C2054='TaxCred&amp;Subs'!$D$114:$D$121)*($H2054='TaxCred&amp;Subs'!$C$114:$C$121)*($H2054&lt;='TaxCred&amp;Subs'!$C$123),'TaxCred&amp;Subs'!$E$114:$E$121,0))</f>
        <v>1000</v>
      </c>
      <c r="R2054" s="143">
        <v>0</v>
      </c>
      <c r="S2054" s="5">
        <v>4</v>
      </c>
      <c r="T2054" s="5" t="s">
        <v>240</v>
      </c>
      <c r="V2054" s="7" t="str">
        <f t="array" ref="V2054">INDEX(xlRTCLNAME,MATCH(1,(xlRTCLENDU=1)*(xlRTCLEQCL=$D2054),0))</f>
        <v>DIST_FA</v>
      </c>
      <c r="W2054" s="7" t="str">
        <f t="array" ref="W2054">INDEX(xlRTCLNAME,MATCH(1,(xlRTCLENDU=2)*(xlRTCLEQCL=$F2054),0))</f>
        <v>CENT_AIR</v>
      </c>
      <c r="X2054" s="7" t="str">
        <f t="array" ref="X2054">INDEX(xlRTTYNAME,MATCH(1,(xlRTTYENDU=1)*(xlRTTYEQCL=$D2054)*(xlRTEQTYPE=$E2054),0))</f>
        <v>DIST_FA3</v>
      </c>
      <c r="Y2054" s="7" t="str">
        <f t="array" ref="Y2054">INDEX(xlRTTYNAME,MATCH(1,(xlRTTYENDU=2)*(xlRTTYEQCL=$F2054)*(xlRTEQTYPE=$G2054),0))</f>
        <v>CENT_AIR3</v>
      </c>
    </row>
    <row r="2055" spans="2:25" x14ac:dyDescent="0.2">
      <c r="B2055" s="5">
        <v>7</v>
      </c>
      <c r="C2055" s="5">
        <v>3</v>
      </c>
      <c r="D2055" s="5">
        <v>7</v>
      </c>
      <c r="E2055" s="5">
        <v>24</v>
      </c>
      <c r="F2055" s="5">
        <v>2</v>
      </c>
      <c r="G2055" s="31">
        <v>6</v>
      </c>
      <c r="H2055" s="5">
        <v>2023</v>
      </c>
      <c r="I2055" s="5">
        <v>2032</v>
      </c>
      <c r="J2055" s="142">
        <v>1.0940000000000001</v>
      </c>
      <c r="K2055" s="142">
        <v>1.0512999999999999</v>
      </c>
      <c r="L2055" s="142">
        <v>0.72770000000000001</v>
      </c>
      <c r="M2055" s="142">
        <v>0.98</v>
      </c>
      <c r="N2055" s="142">
        <v>0.81289999999999996</v>
      </c>
      <c r="O2055" s="142">
        <v>1.0538000000000001</v>
      </c>
      <c r="P2055" s="26">
        <v>6370.4032967149387</v>
      </c>
      <c r="Q2055" s="35">
        <f t="array" ref="Q2055">SUM(IF(($S2055&gt;=4)*($C2055='TaxCred&amp;Subs'!$D$114:$D$121)*($H2055='TaxCred&amp;Subs'!$C$114:$C$121)*($H2055&lt;='TaxCred&amp;Subs'!$C$123),'TaxCred&amp;Subs'!$E$114:$E$121,0))</f>
        <v>2500</v>
      </c>
      <c r="R2055" s="143">
        <v>0</v>
      </c>
      <c r="S2055" s="5">
        <v>4</v>
      </c>
      <c r="T2055" s="5" t="s">
        <v>240</v>
      </c>
      <c r="V2055" s="7" t="str">
        <f t="array" ref="V2055">INDEX(xlRTCLNAME,MATCH(1,(xlRTCLENDU=1)*(xlRTCLEQCL=$D2055),0))</f>
        <v>DIST_FA</v>
      </c>
      <c r="W2055" s="7" t="str">
        <f t="array" ref="W2055">INDEX(xlRTCLNAME,MATCH(1,(xlRTCLENDU=2)*(xlRTCLEQCL=$F2055),0))</f>
        <v>CENT_AIR</v>
      </c>
      <c r="X2055" s="7" t="str">
        <f t="array" ref="X2055">INDEX(xlRTTYNAME,MATCH(1,(xlRTTYENDU=1)*(xlRTTYEQCL=$D2055)*(xlRTEQTYPE=$E2055),0))</f>
        <v>DIST_FA3</v>
      </c>
      <c r="Y2055" s="7" t="str">
        <f t="array" ref="Y2055">INDEX(xlRTTYNAME,MATCH(1,(xlRTTYENDU=2)*(xlRTTYEQCL=$F2055)*(xlRTEQTYPE=$G2055),0))</f>
        <v>CENT_AIR3</v>
      </c>
    </row>
    <row r="2056" spans="2:25" x14ac:dyDescent="0.2">
      <c r="B2056" s="5">
        <v>7</v>
      </c>
      <c r="C2056" s="5">
        <v>3</v>
      </c>
      <c r="D2056" s="5">
        <v>7</v>
      </c>
      <c r="E2056" s="5">
        <v>24</v>
      </c>
      <c r="F2056" s="5">
        <v>2</v>
      </c>
      <c r="G2056" s="31">
        <v>6</v>
      </c>
      <c r="H2056" s="5">
        <v>2033</v>
      </c>
      <c r="I2056" s="5">
        <v>2050</v>
      </c>
      <c r="J2056" s="142">
        <v>1.0940000000000001</v>
      </c>
      <c r="K2056" s="142">
        <v>1.0512999999999999</v>
      </c>
      <c r="L2056" s="142">
        <v>0.72770000000000001</v>
      </c>
      <c r="M2056" s="142">
        <v>0.98</v>
      </c>
      <c r="N2056" s="142">
        <v>0.81289999999999996</v>
      </c>
      <c r="O2056" s="142">
        <v>1.0538000000000001</v>
      </c>
      <c r="P2056" s="26">
        <v>6370.4032967149387</v>
      </c>
      <c r="Q2056" s="35">
        <f t="array" ref="Q2056">SUM(IF(($S2056&gt;=4)*($C2056='TaxCred&amp;Subs'!$D$114:$D$121)*($H2056='TaxCred&amp;Subs'!$C$114:$C$121)*($H2056&lt;='TaxCred&amp;Subs'!$C$123),'TaxCred&amp;Subs'!$E$114:$E$121,0))</f>
        <v>0</v>
      </c>
      <c r="R2056" s="143">
        <v>0</v>
      </c>
      <c r="S2056" s="5">
        <v>4</v>
      </c>
      <c r="T2056" s="5" t="s">
        <v>240</v>
      </c>
      <c r="V2056" s="7" t="str">
        <f t="array" ref="V2056">INDEX(xlRTCLNAME,MATCH(1,(xlRTCLENDU=1)*(xlRTCLEQCL=$D2056),0))</f>
        <v>DIST_FA</v>
      </c>
      <c r="W2056" s="7" t="str">
        <f t="array" ref="W2056">INDEX(xlRTCLNAME,MATCH(1,(xlRTCLENDU=2)*(xlRTCLEQCL=$F2056),0))</f>
        <v>CENT_AIR</v>
      </c>
      <c r="X2056" s="7" t="str">
        <f t="array" ref="X2056">INDEX(xlRTTYNAME,MATCH(1,(xlRTTYENDU=1)*(xlRTTYEQCL=$D2056)*(xlRTEQTYPE=$E2056),0))</f>
        <v>DIST_FA3</v>
      </c>
      <c r="Y2056" s="7" t="str">
        <f t="array" ref="Y2056">INDEX(xlRTTYNAME,MATCH(1,(xlRTTYENDU=2)*(xlRTTYEQCL=$F2056)*(xlRTEQTYPE=$G2056),0))</f>
        <v>CENT_AIR3</v>
      </c>
    </row>
    <row r="2057" spans="2:25" x14ac:dyDescent="0.2">
      <c r="B2057" s="5">
        <v>9</v>
      </c>
      <c r="C2057" s="5">
        <v>3</v>
      </c>
      <c r="D2057" s="5">
        <v>7</v>
      </c>
      <c r="E2057" s="5">
        <v>24</v>
      </c>
      <c r="F2057" s="5">
        <v>2</v>
      </c>
      <c r="G2057" s="31">
        <v>6</v>
      </c>
      <c r="H2057" s="31">
        <v>2020</v>
      </c>
      <c r="I2057" s="5">
        <v>2022</v>
      </c>
      <c r="J2057" s="142">
        <v>1.0743</v>
      </c>
      <c r="K2057" s="142">
        <v>1.0519000000000001</v>
      </c>
      <c r="L2057" s="142">
        <v>0.89390000000000003</v>
      </c>
      <c r="M2057" s="142">
        <v>1.0992</v>
      </c>
      <c r="N2057" s="142">
        <v>0.84240000000000004</v>
      </c>
      <c r="O2057" s="142">
        <v>1.0538000000000001</v>
      </c>
      <c r="P2057" s="26">
        <v>8742.161721241142</v>
      </c>
      <c r="Q2057" s="35">
        <f t="array" ref="Q2057">SUM(IF(($S2057&gt;=4)*($C2057='TaxCred&amp;Subs'!$D$114:$D$121)*($H2057='TaxCred&amp;Subs'!$C$114:$C$121)*($H2057&lt;='TaxCred&amp;Subs'!$C$123),'TaxCred&amp;Subs'!$E$114:$E$121,0))</f>
        <v>1000</v>
      </c>
      <c r="R2057" s="143">
        <v>0</v>
      </c>
      <c r="S2057" s="5">
        <v>4</v>
      </c>
      <c r="T2057" s="5" t="s">
        <v>240</v>
      </c>
      <c r="V2057" s="7" t="str">
        <f t="array" ref="V2057">INDEX(xlRTCLNAME,MATCH(1,(xlRTCLENDU=1)*(xlRTCLEQCL=$D2057),0))</f>
        <v>DIST_FA</v>
      </c>
      <c r="W2057" s="7" t="str">
        <f t="array" ref="W2057">INDEX(xlRTCLNAME,MATCH(1,(xlRTCLENDU=2)*(xlRTCLEQCL=$F2057),0))</f>
        <v>CENT_AIR</v>
      </c>
      <c r="X2057" s="7" t="str">
        <f t="array" ref="X2057">INDEX(xlRTTYNAME,MATCH(1,(xlRTTYENDU=1)*(xlRTTYEQCL=$D2057)*(xlRTEQTYPE=$E2057),0))</f>
        <v>DIST_FA3</v>
      </c>
      <c r="Y2057" s="7" t="str">
        <f t="array" ref="Y2057">INDEX(xlRTTYNAME,MATCH(1,(xlRTTYENDU=2)*(xlRTTYEQCL=$F2057)*(xlRTEQTYPE=$G2057),0))</f>
        <v>CENT_AIR3</v>
      </c>
    </row>
    <row r="2058" spans="2:25" x14ac:dyDescent="0.2">
      <c r="B2058" s="5">
        <v>9</v>
      </c>
      <c r="C2058" s="5">
        <v>3</v>
      </c>
      <c r="D2058" s="5">
        <v>7</v>
      </c>
      <c r="E2058" s="5">
        <v>24</v>
      </c>
      <c r="F2058" s="5">
        <v>2</v>
      </c>
      <c r="G2058" s="31">
        <v>6</v>
      </c>
      <c r="H2058" s="5">
        <v>2023</v>
      </c>
      <c r="I2058" s="5">
        <v>2032</v>
      </c>
      <c r="J2058" s="142">
        <v>1.0743</v>
      </c>
      <c r="K2058" s="142">
        <v>1.0519000000000001</v>
      </c>
      <c r="L2058" s="142">
        <v>0.89390000000000003</v>
      </c>
      <c r="M2058" s="142">
        <v>1.0992</v>
      </c>
      <c r="N2058" s="142">
        <v>0.84240000000000004</v>
      </c>
      <c r="O2058" s="142">
        <v>1.0538000000000001</v>
      </c>
      <c r="P2058" s="26">
        <v>8742.161721241142</v>
      </c>
      <c r="Q2058" s="35">
        <f t="array" ref="Q2058">SUM(IF(($S2058&gt;=4)*($C2058='TaxCred&amp;Subs'!$D$114:$D$121)*($H2058='TaxCred&amp;Subs'!$C$114:$C$121)*($H2058&lt;='TaxCred&amp;Subs'!$C$123),'TaxCred&amp;Subs'!$E$114:$E$121,0))</f>
        <v>2500</v>
      </c>
      <c r="R2058" s="143">
        <v>0</v>
      </c>
      <c r="S2058" s="5">
        <v>4</v>
      </c>
      <c r="T2058" s="5" t="s">
        <v>240</v>
      </c>
      <c r="V2058" s="7" t="str">
        <f t="array" ref="V2058">INDEX(xlRTCLNAME,MATCH(1,(xlRTCLENDU=1)*(xlRTCLEQCL=$D2058),0))</f>
        <v>DIST_FA</v>
      </c>
      <c r="W2058" s="7" t="str">
        <f t="array" ref="W2058">INDEX(xlRTCLNAME,MATCH(1,(xlRTCLENDU=2)*(xlRTCLEQCL=$F2058),0))</f>
        <v>CENT_AIR</v>
      </c>
      <c r="X2058" s="7" t="str">
        <f t="array" ref="X2058">INDEX(xlRTTYNAME,MATCH(1,(xlRTTYENDU=1)*(xlRTTYEQCL=$D2058)*(xlRTEQTYPE=$E2058),0))</f>
        <v>DIST_FA3</v>
      </c>
      <c r="Y2058" s="7" t="str">
        <f t="array" ref="Y2058">INDEX(xlRTTYNAME,MATCH(1,(xlRTTYENDU=2)*(xlRTTYEQCL=$F2058)*(xlRTEQTYPE=$G2058),0))</f>
        <v>CENT_AIR3</v>
      </c>
    </row>
    <row r="2059" spans="2:25" x14ac:dyDescent="0.2">
      <c r="B2059" s="5">
        <v>9</v>
      </c>
      <c r="C2059" s="5">
        <v>3</v>
      </c>
      <c r="D2059" s="5">
        <v>7</v>
      </c>
      <c r="E2059" s="5">
        <v>24</v>
      </c>
      <c r="F2059" s="5">
        <v>2</v>
      </c>
      <c r="G2059" s="31">
        <v>6</v>
      </c>
      <c r="H2059" s="5">
        <v>2033</v>
      </c>
      <c r="I2059" s="5">
        <v>2050</v>
      </c>
      <c r="J2059" s="142">
        <v>1.0743</v>
      </c>
      <c r="K2059" s="142">
        <v>1.0519000000000001</v>
      </c>
      <c r="L2059" s="142">
        <v>0.89390000000000003</v>
      </c>
      <c r="M2059" s="142">
        <v>1.0992</v>
      </c>
      <c r="N2059" s="142">
        <v>0.84240000000000004</v>
      </c>
      <c r="O2059" s="142">
        <v>1.0538000000000001</v>
      </c>
      <c r="P2059" s="26">
        <v>8742.161721241142</v>
      </c>
      <c r="Q2059" s="35">
        <f t="array" ref="Q2059">SUM(IF(($S2059&gt;=4)*($C2059='TaxCred&amp;Subs'!$D$114:$D$121)*($H2059='TaxCred&amp;Subs'!$C$114:$C$121)*($H2059&lt;='TaxCred&amp;Subs'!$C$123),'TaxCred&amp;Subs'!$E$114:$E$121,0))</f>
        <v>0</v>
      </c>
      <c r="R2059" s="143">
        <v>0</v>
      </c>
      <c r="S2059" s="5">
        <v>4</v>
      </c>
      <c r="T2059" s="5" t="s">
        <v>240</v>
      </c>
      <c r="V2059" s="7" t="str">
        <f t="array" ref="V2059">INDEX(xlRTCLNAME,MATCH(1,(xlRTCLENDU=1)*(xlRTCLEQCL=$D2059),0))</f>
        <v>DIST_FA</v>
      </c>
      <c r="W2059" s="7" t="str">
        <f t="array" ref="W2059">INDEX(xlRTCLNAME,MATCH(1,(xlRTCLENDU=2)*(xlRTCLEQCL=$F2059),0))</f>
        <v>CENT_AIR</v>
      </c>
      <c r="X2059" s="7" t="str">
        <f t="array" ref="X2059">INDEX(xlRTTYNAME,MATCH(1,(xlRTTYENDU=1)*(xlRTTYEQCL=$D2059)*(xlRTEQTYPE=$E2059),0))</f>
        <v>DIST_FA3</v>
      </c>
      <c r="Y2059" s="7" t="str">
        <f t="array" ref="Y2059">INDEX(xlRTTYNAME,MATCH(1,(xlRTTYENDU=2)*(xlRTTYEQCL=$F2059)*(xlRTEQTYPE=$G2059),0))</f>
        <v>CENT_AIR3</v>
      </c>
    </row>
    <row r="2060" spans="2:25" x14ac:dyDescent="0.2">
      <c r="B2060" s="5">
        <v>5</v>
      </c>
      <c r="C2060" s="5">
        <v>3</v>
      </c>
      <c r="D2060" s="5">
        <v>8</v>
      </c>
      <c r="E2060" s="31">
        <v>27</v>
      </c>
      <c r="F2060" s="5">
        <v>2</v>
      </c>
      <c r="G2060" s="31">
        <v>6</v>
      </c>
      <c r="H2060" s="31">
        <v>2020</v>
      </c>
      <c r="I2060" s="5">
        <v>2022</v>
      </c>
      <c r="J2060" s="142">
        <v>1.0940000000000001</v>
      </c>
      <c r="K2060" s="142">
        <v>1.0575000000000001</v>
      </c>
      <c r="L2060" s="142">
        <v>0.85619999999999996</v>
      </c>
      <c r="M2060" s="142">
        <v>0.99719999999999998</v>
      </c>
      <c r="N2060" s="142">
        <v>0.83130000000000004</v>
      </c>
      <c r="O2060" s="142">
        <v>1.0538000000000001</v>
      </c>
      <c r="P2060" s="26">
        <v>7302.1655349216617</v>
      </c>
      <c r="Q2060" s="35">
        <f t="array" ref="Q2060">SUM(IF(($S2060&gt;=4)*($C2060='TaxCred&amp;Subs'!$D$114:$D$121)*($H2060='TaxCred&amp;Subs'!$C$114:$C$121)*($H2060&lt;='TaxCred&amp;Subs'!$C$123),'TaxCred&amp;Subs'!$E$114:$E$121,0))</f>
        <v>1000</v>
      </c>
      <c r="R2060" s="143">
        <v>0</v>
      </c>
      <c r="S2060" s="5">
        <v>4</v>
      </c>
      <c r="T2060" s="5" t="s">
        <v>240</v>
      </c>
      <c r="V2060" s="7" t="str">
        <f t="array" ref="V2060">INDEX(xlRTCLNAME,MATCH(1,(xlRTCLENDU=1)*(xlRTCLEQCL=$D2060),0))</f>
        <v>DIST_RAD</v>
      </c>
      <c r="W2060" s="7" t="str">
        <f t="array" ref="W2060">INDEX(xlRTCLNAME,MATCH(1,(xlRTCLENDU=2)*(xlRTCLEQCL=$F2060),0))</f>
        <v>CENT_AIR</v>
      </c>
      <c r="X2060" s="7" t="str">
        <f t="array" ref="X2060">INDEX(xlRTTYNAME,MATCH(1,(xlRTTYENDU=1)*(xlRTTYEQCL=$D2060)*(xlRTEQTYPE=$E2060),0))</f>
        <v>DIST_RAD3</v>
      </c>
      <c r="Y2060" s="7" t="str">
        <f t="array" ref="Y2060">INDEX(xlRTTYNAME,MATCH(1,(xlRTTYENDU=2)*(xlRTTYEQCL=$F2060)*(xlRTEQTYPE=$G2060),0))</f>
        <v>CENT_AIR3</v>
      </c>
    </row>
    <row r="2061" spans="2:25" x14ac:dyDescent="0.2">
      <c r="B2061" s="5">
        <v>5</v>
      </c>
      <c r="C2061" s="5">
        <v>3</v>
      </c>
      <c r="D2061" s="5">
        <v>8</v>
      </c>
      <c r="E2061" s="31">
        <v>27</v>
      </c>
      <c r="F2061" s="5">
        <v>2</v>
      </c>
      <c r="G2061" s="31">
        <v>6</v>
      </c>
      <c r="H2061" s="5">
        <v>2023</v>
      </c>
      <c r="I2061" s="5">
        <v>2032</v>
      </c>
      <c r="J2061" s="142">
        <v>1.0940000000000001</v>
      </c>
      <c r="K2061" s="142">
        <v>1.0575000000000001</v>
      </c>
      <c r="L2061" s="142">
        <v>0.85619999999999996</v>
      </c>
      <c r="M2061" s="142">
        <v>0.99719999999999998</v>
      </c>
      <c r="N2061" s="142">
        <v>0.83130000000000004</v>
      </c>
      <c r="O2061" s="142">
        <v>1.0538000000000001</v>
      </c>
      <c r="P2061" s="26">
        <v>7302.1655349216617</v>
      </c>
      <c r="Q2061" s="35">
        <f t="array" ref="Q2061">SUM(IF(($S2061&gt;=4)*($C2061='TaxCred&amp;Subs'!$D$114:$D$121)*($H2061='TaxCred&amp;Subs'!$C$114:$C$121)*($H2061&lt;='TaxCred&amp;Subs'!$C$123),'TaxCred&amp;Subs'!$E$114:$E$121,0))</f>
        <v>2500</v>
      </c>
      <c r="R2061" s="143">
        <v>0</v>
      </c>
      <c r="S2061" s="5">
        <v>4</v>
      </c>
      <c r="T2061" s="5" t="s">
        <v>240</v>
      </c>
      <c r="V2061" s="7" t="str">
        <f t="array" ref="V2061">INDEX(xlRTCLNAME,MATCH(1,(xlRTCLENDU=1)*(xlRTCLEQCL=$D2061),0))</f>
        <v>DIST_RAD</v>
      </c>
      <c r="W2061" s="7" t="str">
        <f t="array" ref="W2061">INDEX(xlRTCLNAME,MATCH(1,(xlRTCLENDU=2)*(xlRTCLEQCL=$F2061),0))</f>
        <v>CENT_AIR</v>
      </c>
      <c r="X2061" s="7" t="str">
        <f t="array" ref="X2061">INDEX(xlRTTYNAME,MATCH(1,(xlRTTYENDU=1)*(xlRTTYEQCL=$D2061)*(xlRTEQTYPE=$E2061),0))</f>
        <v>DIST_RAD3</v>
      </c>
      <c r="Y2061" s="7" t="str">
        <f t="array" ref="Y2061">INDEX(xlRTTYNAME,MATCH(1,(xlRTTYENDU=2)*(xlRTTYEQCL=$F2061)*(xlRTEQTYPE=$G2061),0))</f>
        <v>CENT_AIR3</v>
      </c>
    </row>
    <row r="2062" spans="2:25" x14ac:dyDescent="0.2">
      <c r="B2062" s="5">
        <v>5</v>
      </c>
      <c r="C2062" s="5">
        <v>3</v>
      </c>
      <c r="D2062" s="5">
        <v>8</v>
      </c>
      <c r="E2062" s="31">
        <v>27</v>
      </c>
      <c r="F2062" s="5">
        <v>2</v>
      </c>
      <c r="G2062" s="31">
        <v>6</v>
      </c>
      <c r="H2062" s="5">
        <v>2033</v>
      </c>
      <c r="I2062" s="5">
        <v>2050</v>
      </c>
      <c r="J2062" s="142">
        <v>1.0940000000000001</v>
      </c>
      <c r="K2062" s="142">
        <v>1.0575000000000001</v>
      </c>
      <c r="L2062" s="142">
        <v>0.85619999999999996</v>
      </c>
      <c r="M2062" s="142">
        <v>0.99719999999999998</v>
      </c>
      <c r="N2062" s="142">
        <v>0.83130000000000004</v>
      </c>
      <c r="O2062" s="142">
        <v>1.0538000000000001</v>
      </c>
      <c r="P2062" s="26">
        <v>7302.1655349216617</v>
      </c>
      <c r="Q2062" s="35">
        <f t="array" ref="Q2062">SUM(IF(($S2062&gt;=4)*($C2062='TaxCred&amp;Subs'!$D$114:$D$121)*($H2062='TaxCred&amp;Subs'!$C$114:$C$121)*($H2062&lt;='TaxCred&amp;Subs'!$C$123),'TaxCred&amp;Subs'!$E$114:$E$121,0))</f>
        <v>0</v>
      </c>
      <c r="R2062" s="143">
        <v>0</v>
      </c>
      <c r="S2062" s="5">
        <v>4</v>
      </c>
      <c r="T2062" s="5" t="s">
        <v>240</v>
      </c>
      <c r="V2062" s="7" t="str">
        <f t="array" ref="V2062">INDEX(xlRTCLNAME,MATCH(1,(xlRTCLENDU=1)*(xlRTCLEQCL=$D2062),0))</f>
        <v>DIST_RAD</v>
      </c>
      <c r="W2062" s="7" t="str">
        <f t="array" ref="W2062">INDEX(xlRTCLNAME,MATCH(1,(xlRTCLENDU=2)*(xlRTCLEQCL=$F2062),0))</f>
        <v>CENT_AIR</v>
      </c>
      <c r="X2062" s="7" t="str">
        <f t="array" ref="X2062">INDEX(xlRTTYNAME,MATCH(1,(xlRTTYENDU=1)*(xlRTTYEQCL=$D2062)*(xlRTEQTYPE=$E2062),0))</f>
        <v>DIST_RAD3</v>
      </c>
      <c r="Y2062" s="7" t="str">
        <f t="array" ref="Y2062">INDEX(xlRTTYNAME,MATCH(1,(xlRTTYENDU=2)*(xlRTTYEQCL=$F2062)*(xlRTEQTYPE=$G2062),0))</f>
        <v>CENT_AIR3</v>
      </c>
    </row>
    <row r="2063" spans="2:25" x14ac:dyDescent="0.2">
      <c r="B2063" s="5">
        <v>6</v>
      </c>
      <c r="C2063" s="5">
        <v>3</v>
      </c>
      <c r="D2063" s="5">
        <v>8</v>
      </c>
      <c r="E2063" s="31">
        <v>27</v>
      </c>
      <c r="F2063" s="5">
        <v>2</v>
      </c>
      <c r="G2063" s="31">
        <v>6</v>
      </c>
      <c r="H2063" s="31">
        <v>2020</v>
      </c>
      <c r="I2063" s="5">
        <v>2022</v>
      </c>
      <c r="J2063" s="142">
        <v>1.0873999999999999</v>
      </c>
      <c r="K2063" s="142">
        <v>1.0609999999999999</v>
      </c>
      <c r="L2063" s="142">
        <v>0.82179999999999997</v>
      </c>
      <c r="M2063" s="142">
        <v>1.0124</v>
      </c>
      <c r="N2063" s="142">
        <v>0.80189999999999995</v>
      </c>
      <c r="O2063" s="142">
        <v>1.0538000000000001</v>
      </c>
      <c r="P2063" s="26">
        <v>7132.7542188840753</v>
      </c>
      <c r="Q2063" s="35">
        <f t="array" ref="Q2063">SUM(IF(($S2063&gt;=4)*($C2063='TaxCred&amp;Subs'!$D$114:$D$121)*($H2063='TaxCred&amp;Subs'!$C$114:$C$121)*($H2063&lt;='TaxCred&amp;Subs'!$C$123),'TaxCred&amp;Subs'!$E$114:$E$121,0))</f>
        <v>1000</v>
      </c>
      <c r="R2063" s="143">
        <v>0</v>
      </c>
      <c r="S2063" s="5">
        <v>4</v>
      </c>
      <c r="T2063" s="5" t="s">
        <v>240</v>
      </c>
      <c r="V2063" s="7" t="str">
        <f t="array" ref="V2063">INDEX(xlRTCLNAME,MATCH(1,(xlRTCLENDU=1)*(xlRTCLEQCL=$D2063),0))</f>
        <v>DIST_RAD</v>
      </c>
      <c r="W2063" s="7" t="str">
        <f t="array" ref="W2063">INDEX(xlRTCLNAME,MATCH(1,(xlRTCLENDU=2)*(xlRTCLEQCL=$F2063),0))</f>
        <v>CENT_AIR</v>
      </c>
      <c r="X2063" s="7" t="str">
        <f t="array" ref="X2063">INDEX(xlRTTYNAME,MATCH(1,(xlRTTYENDU=1)*(xlRTTYEQCL=$D2063)*(xlRTEQTYPE=$E2063),0))</f>
        <v>DIST_RAD3</v>
      </c>
      <c r="Y2063" s="7" t="str">
        <f t="array" ref="Y2063">INDEX(xlRTTYNAME,MATCH(1,(xlRTTYENDU=2)*(xlRTTYEQCL=$F2063)*(xlRTEQTYPE=$G2063),0))</f>
        <v>CENT_AIR3</v>
      </c>
    </row>
    <row r="2064" spans="2:25" x14ac:dyDescent="0.2">
      <c r="B2064" s="5">
        <v>6</v>
      </c>
      <c r="C2064" s="5">
        <v>3</v>
      </c>
      <c r="D2064" s="5">
        <v>8</v>
      </c>
      <c r="E2064" s="31">
        <v>27</v>
      </c>
      <c r="F2064" s="5">
        <v>2</v>
      </c>
      <c r="G2064" s="31">
        <v>6</v>
      </c>
      <c r="H2064" s="5">
        <v>2023</v>
      </c>
      <c r="I2064" s="5">
        <v>2032</v>
      </c>
      <c r="J2064" s="142">
        <v>1.0873999999999999</v>
      </c>
      <c r="K2064" s="142">
        <v>1.0609999999999999</v>
      </c>
      <c r="L2064" s="142">
        <v>0.82179999999999997</v>
      </c>
      <c r="M2064" s="142">
        <v>1.0124</v>
      </c>
      <c r="N2064" s="142">
        <v>0.80189999999999995</v>
      </c>
      <c r="O2064" s="142">
        <v>1.0538000000000001</v>
      </c>
      <c r="P2064" s="26">
        <v>7132.7542188840753</v>
      </c>
      <c r="Q2064" s="35">
        <f t="array" ref="Q2064">SUM(IF(($S2064&gt;=4)*($C2064='TaxCred&amp;Subs'!$D$114:$D$121)*($H2064='TaxCred&amp;Subs'!$C$114:$C$121)*($H2064&lt;='TaxCred&amp;Subs'!$C$123),'TaxCred&amp;Subs'!$E$114:$E$121,0))</f>
        <v>2500</v>
      </c>
      <c r="R2064" s="143">
        <v>0</v>
      </c>
      <c r="S2064" s="5">
        <v>4</v>
      </c>
      <c r="T2064" s="5" t="s">
        <v>240</v>
      </c>
      <c r="V2064" s="7" t="str">
        <f t="array" ref="V2064">INDEX(xlRTCLNAME,MATCH(1,(xlRTCLENDU=1)*(xlRTCLEQCL=$D2064),0))</f>
        <v>DIST_RAD</v>
      </c>
      <c r="W2064" s="7" t="str">
        <f t="array" ref="W2064">INDEX(xlRTCLNAME,MATCH(1,(xlRTCLENDU=2)*(xlRTCLEQCL=$F2064),0))</f>
        <v>CENT_AIR</v>
      </c>
      <c r="X2064" s="7" t="str">
        <f t="array" ref="X2064">INDEX(xlRTTYNAME,MATCH(1,(xlRTTYENDU=1)*(xlRTTYEQCL=$D2064)*(xlRTEQTYPE=$E2064),0))</f>
        <v>DIST_RAD3</v>
      </c>
      <c r="Y2064" s="7" t="str">
        <f t="array" ref="Y2064">INDEX(xlRTTYNAME,MATCH(1,(xlRTTYENDU=2)*(xlRTTYEQCL=$F2064)*(xlRTEQTYPE=$G2064),0))</f>
        <v>CENT_AIR3</v>
      </c>
    </row>
    <row r="2065" spans="2:25" x14ac:dyDescent="0.2">
      <c r="B2065" s="5">
        <v>6</v>
      </c>
      <c r="C2065" s="5">
        <v>3</v>
      </c>
      <c r="D2065" s="5">
        <v>8</v>
      </c>
      <c r="E2065" s="31">
        <v>27</v>
      </c>
      <c r="F2065" s="5">
        <v>2</v>
      </c>
      <c r="G2065" s="31">
        <v>6</v>
      </c>
      <c r="H2065" s="5">
        <v>2033</v>
      </c>
      <c r="I2065" s="5">
        <v>2050</v>
      </c>
      <c r="J2065" s="142">
        <v>1.0873999999999999</v>
      </c>
      <c r="K2065" s="142">
        <v>1.0609999999999999</v>
      </c>
      <c r="L2065" s="142">
        <v>0.82179999999999997</v>
      </c>
      <c r="M2065" s="142">
        <v>1.0124</v>
      </c>
      <c r="N2065" s="142">
        <v>0.80189999999999995</v>
      </c>
      <c r="O2065" s="142">
        <v>1.0538000000000001</v>
      </c>
      <c r="P2065" s="26">
        <v>7132.7542188840753</v>
      </c>
      <c r="Q2065" s="35">
        <f t="array" ref="Q2065">SUM(IF(($S2065&gt;=4)*($C2065='TaxCred&amp;Subs'!$D$114:$D$121)*($H2065='TaxCred&amp;Subs'!$C$114:$C$121)*($H2065&lt;='TaxCred&amp;Subs'!$C$123),'TaxCred&amp;Subs'!$E$114:$E$121,0))</f>
        <v>0</v>
      </c>
      <c r="R2065" s="143">
        <v>0</v>
      </c>
      <c r="S2065" s="5">
        <v>4</v>
      </c>
      <c r="T2065" s="5" t="s">
        <v>240</v>
      </c>
      <c r="V2065" s="7" t="str">
        <f t="array" ref="V2065">INDEX(xlRTCLNAME,MATCH(1,(xlRTCLENDU=1)*(xlRTCLEQCL=$D2065),0))</f>
        <v>DIST_RAD</v>
      </c>
      <c r="W2065" s="7" t="str">
        <f t="array" ref="W2065">INDEX(xlRTCLNAME,MATCH(1,(xlRTCLENDU=2)*(xlRTCLEQCL=$F2065),0))</f>
        <v>CENT_AIR</v>
      </c>
      <c r="X2065" s="7" t="str">
        <f t="array" ref="X2065">INDEX(xlRTTYNAME,MATCH(1,(xlRTTYENDU=1)*(xlRTTYEQCL=$D2065)*(xlRTEQTYPE=$E2065),0))</f>
        <v>DIST_RAD3</v>
      </c>
      <c r="Y2065" s="7" t="str">
        <f t="array" ref="Y2065">INDEX(xlRTTYNAME,MATCH(1,(xlRTTYENDU=2)*(xlRTTYEQCL=$F2065)*(xlRTEQTYPE=$G2065),0))</f>
        <v>CENT_AIR3</v>
      </c>
    </row>
    <row r="2066" spans="2:25" x14ac:dyDescent="0.2">
      <c r="B2066" s="5">
        <v>7</v>
      </c>
      <c r="C2066" s="5">
        <v>3</v>
      </c>
      <c r="D2066" s="5">
        <v>8</v>
      </c>
      <c r="E2066" s="31">
        <v>27</v>
      </c>
      <c r="F2066" s="5">
        <v>2</v>
      </c>
      <c r="G2066" s="31">
        <v>6</v>
      </c>
      <c r="H2066" s="31">
        <v>2020</v>
      </c>
      <c r="I2066" s="5">
        <v>2022</v>
      </c>
      <c r="J2066" s="142">
        <v>1.0826</v>
      </c>
      <c r="K2066" s="142">
        <v>1.0412999999999999</v>
      </c>
      <c r="L2066" s="142">
        <v>0.80110000000000003</v>
      </c>
      <c r="M2066" s="142">
        <v>1.0165999999999999</v>
      </c>
      <c r="N2066" s="142">
        <v>0.8125</v>
      </c>
      <c r="O2066" s="142">
        <v>1.0538000000000001</v>
      </c>
      <c r="P2066" s="26">
        <v>3915.2837484242086</v>
      </c>
      <c r="Q2066" s="35">
        <f t="array" ref="Q2066">SUM(IF(($S2066&gt;=4)*($C2066='TaxCred&amp;Subs'!$D$114:$D$121)*($H2066='TaxCred&amp;Subs'!$C$114:$C$121)*($H2066&lt;='TaxCred&amp;Subs'!$C$123),'TaxCred&amp;Subs'!$E$114:$E$121,0))</f>
        <v>1000</v>
      </c>
      <c r="R2066" s="143">
        <v>0</v>
      </c>
      <c r="S2066" s="5">
        <v>4</v>
      </c>
      <c r="T2066" s="5" t="s">
        <v>240</v>
      </c>
      <c r="V2066" s="7" t="str">
        <f t="array" ref="V2066">INDEX(xlRTCLNAME,MATCH(1,(xlRTCLENDU=1)*(xlRTCLEQCL=$D2066),0))</f>
        <v>DIST_RAD</v>
      </c>
      <c r="W2066" s="7" t="str">
        <f t="array" ref="W2066">INDEX(xlRTCLNAME,MATCH(1,(xlRTCLENDU=2)*(xlRTCLEQCL=$F2066),0))</f>
        <v>CENT_AIR</v>
      </c>
      <c r="X2066" s="7" t="str">
        <f t="array" ref="X2066">INDEX(xlRTTYNAME,MATCH(1,(xlRTTYENDU=1)*(xlRTTYEQCL=$D2066)*(xlRTEQTYPE=$E2066),0))</f>
        <v>DIST_RAD3</v>
      </c>
      <c r="Y2066" s="7" t="str">
        <f t="array" ref="Y2066">INDEX(xlRTTYNAME,MATCH(1,(xlRTTYENDU=2)*(xlRTTYEQCL=$F2066)*(xlRTEQTYPE=$G2066),0))</f>
        <v>CENT_AIR3</v>
      </c>
    </row>
    <row r="2067" spans="2:25" x14ac:dyDescent="0.2">
      <c r="B2067" s="5">
        <v>7</v>
      </c>
      <c r="C2067" s="5">
        <v>3</v>
      </c>
      <c r="D2067" s="5">
        <v>8</v>
      </c>
      <c r="E2067" s="31">
        <v>27</v>
      </c>
      <c r="F2067" s="5">
        <v>2</v>
      </c>
      <c r="G2067" s="31">
        <v>6</v>
      </c>
      <c r="H2067" s="5">
        <v>2023</v>
      </c>
      <c r="I2067" s="5">
        <v>2032</v>
      </c>
      <c r="J2067" s="142">
        <v>1.0826</v>
      </c>
      <c r="K2067" s="142">
        <v>1.0412999999999999</v>
      </c>
      <c r="L2067" s="142">
        <v>0.80110000000000003</v>
      </c>
      <c r="M2067" s="142">
        <v>1.0165999999999999</v>
      </c>
      <c r="N2067" s="142">
        <v>0.8125</v>
      </c>
      <c r="O2067" s="142">
        <v>1.0538000000000001</v>
      </c>
      <c r="P2067" s="26">
        <v>3915.2837484242086</v>
      </c>
      <c r="Q2067" s="35">
        <f t="array" ref="Q2067">SUM(IF(($S2067&gt;=4)*($C2067='TaxCred&amp;Subs'!$D$114:$D$121)*($H2067='TaxCred&amp;Subs'!$C$114:$C$121)*($H2067&lt;='TaxCred&amp;Subs'!$C$123),'TaxCred&amp;Subs'!$E$114:$E$121,0))</f>
        <v>2500</v>
      </c>
      <c r="R2067" s="143">
        <v>0</v>
      </c>
      <c r="S2067" s="5">
        <v>4</v>
      </c>
      <c r="T2067" s="5" t="s">
        <v>240</v>
      </c>
      <c r="V2067" s="7" t="str">
        <f t="array" ref="V2067">INDEX(xlRTCLNAME,MATCH(1,(xlRTCLENDU=1)*(xlRTCLEQCL=$D2067),0))</f>
        <v>DIST_RAD</v>
      </c>
      <c r="W2067" s="7" t="str">
        <f t="array" ref="W2067">INDEX(xlRTCLNAME,MATCH(1,(xlRTCLENDU=2)*(xlRTCLEQCL=$F2067),0))</f>
        <v>CENT_AIR</v>
      </c>
      <c r="X2067" s="7" t="str">
        <f t="array" ref="X2067">INDEX(xlRTTYNAME,MATCH(1,(xlRTTYENDU=1)*(xlRTTYEQCL=$D2067)*(xlRTEQTYPE=$E2067),0))</f>
        <v>DIST_RAD3</v>
      </c>
      <c r="Y2067" s="7" t="str">
        <f t="array" ref="Y2067">INDEX(xlRTTYNAME,MATCH(1,(xlRTTYENDU=2)*(xlRTTYEQCL=$F2067)*(xlRTEQTYPE=$G2067),0))</f>
        <v>CENT_AIR3</v>
      </c>
    </row>
    <row r="2068" spans="2:25" x14ac:dyDescent="0.2">
      <c r="B2068" s="5">
        <v>7</v>
      </c>
      <c r="C2068" s="5">
        <v>3</v>
      </c>
      <c r="D2068" s="5">
        <v>8</v>
      </c>
      <c r="E2068" s="31">
        <v>27</v>
      </c>
      <c r="F2068" s="5">
        <v>2</v>
      </c>
      <c r="G2068" s="31">
        <v>6</v>
      </c>
      <c r="H2068" s="5">
        <v>2033</v>
      </c>
      <c r="I2068" s="5">
        <v>2050</v>
      </c>
      <c r="J2068" s="142">
        <v>1.0826</v>
      </c>
      <c r="K2068" s="142">
        <v>1.0412999999999999</v>
      </c>
      <c r="L2068" s="142">
        <v>0.80110000000000003</v>
      </c>
      <c r="M2068" s="142">
        <v>1.0165999999999999</v>
      </c>
      <c r="N2068" s="142">
        <v>0.8125</v>
      </c>
      <c r="O2068" s="142">
        <v>1.0538000000000001</v>
      </c>
      <c r="P2068" s="26">
        <v>3915.2837484242086</v>
      </c>
      <c r="Q2068" s="35">
        <f t="array" ref="Q2068">SUM(IF(($S2068&gt;=4)*($C2068='TaxCred&amp;Subs'!$D$114:$D$121)*($H2068='TaxCred&amp;Subs'!$C$114:$C$121)*($H2068&lt;='TaxCred&amp;Subs'!$C$123),'TaxCred&amp;Subs'!$E$114:$E$121,0))</f>
        <v>0</v>
      </c>
      <c r="R2068" s="143">
        <v>0</v>
      </c>
      <c r="S2068" s="5">
        <v>4</v>
      </c>
      <c r="T2068" s="5" t="s">
        <v>240</v>
      </c>
      <c r="V2068" s="7" t="str">
        <f t="array" ref="V2068">INDEX(xlRTCLNAME,MATCH(1,(xlRTCLENDU=1)*(xlRTCLEQCL=$D2068),0))</f>
        <v>DIST_RAD</v>
      </c>
      <c r="W2068" s="7" t="str">
        <f t="array" ref="W2068">INDEX(xlRTCLNAME,MATCH(1,(xlRTCLENDU=2)*(xlRTCLEQCL=$F2068),0))</f>
        <v>CENT_AIR</v>
      </c>
      <c r="X2068" s="7" t="str">
        <f t="array" ref="X2068">INDEX(xlRTTYNAME,MATCH(1,(xlRTTYENDU=1)*(xlRTTYEQCL=$D2068)*(xlRTEQTYPE=$E2068),0))</f>
        <v>DIST_RAD3</v>
      </c>
      <c r="Y2068" s="7" t="str">
        <f t="array" ref="Y2068">INDEX(xlRTTYNAME,MATCH(1,(xlRTTYENDU=2)*(xlRTTYEQCL=$F2068)*(xlRTEQTYPE=$G2068),0))</f>
        <v>CENT_AIR3</v>
      </c>
    </row>
    <row r="2069" spans="2:25" x14ac:dyDescent="0.2">
      <c r="B2069" s="5">
        <v>9</v>
      </c>
      <c r="C2069" s="5">
        <v>3</v>
      </c>
      <c r="D2069" s="5">
        <v>8</v>
      </c>
      <c r="E2069" s="31">
        <v>27</v>
      </c>
      <c r="F2069" s="5">
        <v>2</v>
      </c>
      <c r="G2069" s="31">
        <v>6</v>
      </c>
      <c r="H2069" s="31">
        <v>2020</v>
      </c>
      <c r="I2069" s="5">
        <v>2022</v>
      </c>
      <c r="J2069" s="142">
        <v>1.0845</v>
      </c>
      <c r="K2069" s="142">
        <v>1.0658000000000001</v>
      </c>
      <c r="L2069" s="142">
        <v>0.90380000000000005</v>
      </c>
      <c r="M2069" s="142">
        <v>1.0827</v>
      </c>
      <c r="N2069" s="142">
        <v>0.84079999999999999</v>
      </c>
      <c r="O2069" s="142">
        <v>1.0538000000000001</v>
      </c>
      <c r="P2069" s="26">
        <v>8812.0775024630038</v>
      </c>
      <c r="Q2069" s="35">
        <f t="array" ref="Q2069">SUM(IF(($S2069&gt;=4)*($C2069='TaxCred&amp;Subs'!$D$114:$D$121)*($H2069='TaxCred&amp;Subs'!$C$114:$C$121)*($H2069&lt;='TaxCred&amp;Subs'!$C$123),'TaxCred&amp;Subs'!$E$114:$E$121,0))</f>
        <v>1000</v>
      </c>
      <c r="R2069" s="143">
        <v>0</v>
      </c>
      <c r="S2069" s="5">
        <v>4</v>
      </c>
      <c r="T2069" s="5" t="s">
        <v>240</v>
      </c>
      <c r="V2069" s="7" t="str">
        <f t="array" ref="V2069">INDEX(xlRTCLNAME,MATCH(1,(xlRTCLENDU=1)*(xlRTCLEQCL=$D2069),0))</f>
        <v>DIST_RAD</v>
      </c>
      <c r="W2069" s="7" t="str">
        <f t="array" ref="W2069">INDEX(xlRTCLNAME,MATCH(1,(xlRTCLENDU=2)*(xlRTCLEQCL=$F2069),0))</f>
        <v>CENT_AIR</v>
      </c>
      <c r="X2069" s="7" t="str">
        <f t="array" ref="X2069">INDEX(xlRTTYNAME,MATCH(1,(xlRTTYENDU=1)*(xlRTTYEQCL=$D2069)*(xlRTEQTYPE=$E2069),0))</f>
        <v>DIST_RAD3</v>
      </c>
      <c r="Y2069" s="7" t="str">
        <f t="array" ref="Y2069">INDEX(xlRTTYNAME,MATCH(1,(xlRTTYENDU=2)*(xlRTTYEQCL=$F2069)*(xlRTEQTYPE=$G2069),0))</f>
        <v>CENT_AIR3</v>
      </c>
    </row>
    <row r="2070" spans="2:25" x14ac:dyDescent="0.2">
      <c r="B2070" s="5">
        <v>9</v>
      </c>
      <c r="C2070" s="5">
        <v>3</v>
      </c>
      <c r="D2070" s="5">
        <v>8</v>
      </c>
      <c r="E2070" s="31">
        <v>27</v>
      </c>
      <c r="F2070" s="5">
        <v>2</v>
      </c>
      <c r="G2070" s="31">
        <v>6</v>
      </c>
      <c r="H2070" s="5">
        <v>2023</v>
      </c>
      <c r="I2070" s="5">
        <v>2032</v>
      </c>
      <c r="J2070" s="142">
        <v>1.0845</v>
      </c>
      <c r="K2070" s="142">
        <v>1.0658000000000001</v>
      </c>
      <c r="L2070" s="142">
        <v>0.90380000000000005</v>
      </c>
      <c r="M2070" s="142">
        <v>1.0827</v>
      </c>
      <c r="N2070" s="142">
        <v>0.84079999999999999</v>
      </c>
      <c r="O2070" s="142">
        <v>1.0538000000000001</v>
      </c>
      <c r="P2070" s="26">
        <v>8812.0775024630038</v>
      </c>
      <c r="Q2070" s="35">
        <f t="array" ref="Q2070">SUM(IF(($S2070&gt;=4)*($C2070='TaxCred&amp;Subs'!$D$114:$D$121)*($H2070='TaxCred&amp;Subs'!$C$114:$C$121)*($H2070&lt;='TaxCred&amp;Subs'!$C$123),'TaxCred&amp;Subs'!$E$114:$E$121,0))</f>
        <v>2500</v>
      </c>
      <c r="R2070" s="143">
        <v>0</v>
      </c>
      <c r="S2070" s="5">
        <v>4</v>
      </c>
      <c r="T2070" s="5" t="s">
        <v>240</v>
      </c>
      <c r="V2070" s="7" t="str">
        <f t="array" ref="V2070">INDEX(xlRTCLNAME,MATCH(1,(xlRTCLENDU=1)*(xlRTCLEQCL=$D2070),0))</f>
        <v>DIST_RAD</v>
      </c>
      <c r="W2070" s="7" t="str">
        <f t="array" ref="W2070">INDEX(xlRTCLNAME,MATCH(1,(xlRTCLENDU=2)*(xlRTCLEQCL=$F2070),0))</f>
        <v>CENT_AIR</v>
      </c>
      <c r="X2070" s="7" t="str">
        <f t="array" ref="X2070">INDEX(xlRTTYNAME,MATCH(1,(xlRTTYENDU=1)*(xlRTTYEQCL=$D2070)*(xlRTEQTYPE=$E2070),0))</f>
        <v>DIST_RAD3</v>
      </c>
      <c r="Y2070" s="7" t="str">
        <f t="array" ref="Y2070">INDEX(xlRTTYNAME,MATCH(1,(xlRTTYENDU=2)*(xlRTTYEQCL=$F2070)*(xlRTEQTYPE=$G2070),0))</f>
        <v>CENT_AIR3</v>
      </c>
    </row>
    <row r="2071" spans="2:25" x14ac:dyDescent="0.2">
      <c r="B2071" s="5">
        <v>9</v>
      </c>
      <c r="C2071" s="5">
        <v>3</v>
      </c>
      <c r="D2071" s="5">
        <v>8</v>
      </c>
      <c r="E2071" s="31">
        <v>27</v>
      </c>
      <c r="F2071" s="5">
        <v>2</v>
      </c>
      <c r="G2071" s="31">
        <v>6</v>
      </c>
      <c r="H2071" s="5">
        <v>2033</v>
      </c>
      <c r="I2071" s="5">
        <v>2050</v>
      </c>
      <c r="J2071" s="142">
        <v>1.0845</v>
      </c>
      <c r="K2071" s="142">
        <v>1.0658000000000001</v>
      </c>
      <c r="L2071" s="142">
        <v>0.90380000000000005</v>
      </c>
      <c r="M2071" s="142">
        <v>1.0827</v>
      </c>
      <c r="N2071" s="142">
        <v>0.84079999999999999</v>
      </c>
      <c r="O2071" s="142">
        <v>1.0538000000000001</v>
      </c>
      <c r="P2071" s="26">
        <v>8812.0775024630038</v>
      </c>
      <c r="Q2071" s="35">
        <f t="array" ref="Q2071">SUM(IF(($S2071&gt;=4)*($C2071='TaxCred&amp;Subs'!$D$114:$D$121)*($H2071='TaxCred&amp;Subs'!$C$114:$C$121)*($H2071&lt;='TaxCred&amp;Subs'!$C$123),'TaxCred&amp;Subs'!$E$114:$E$121,0))</f>
        <v>0</v>
      </c>
      <c r="R2071" s="143">
        <v>0</v>
      </c>
      <c r="S2071" s="5">
        <v>4</v>
      </c>
      <c r="T2071" s="5" t="s">
        <v>240</v>
      </c>
      <c r="V2071" s="7" t="str">
        <f t="array" ref="V2071">INDEX(xlRTCLNAME,MATCH(1,(xlRTCLENDU=1)*(xlRTCLEQCL=$D2071),0))</f>
        <v>DIST_RAD</v>
      </c>
      <c r="W2071" s="7" t="str">
        <f t="array" ref="W2071">INDEX(xlRTCLNAME,MATCH(1,(xlRTCLENDU=2)*(xlRTCLEQCL=$F2071),0))</f>
        <v>CENT_AIR</v>
      </c>
      <c r="X2071" s="7" t="str">
        <f t="array" ref="X2071">INDEX(xlRTTYNAME,MATCH(1,(xlRTTYENDU=1)*(xlRTTYEQCL=$D2071)*(xlRTEQTYPE=$E2071),0))</f>
        <v>DIST_RAD3</v>
      </c>
      <c r="Y2071" s="7" t="str">
        <f t="array" ref="Y2071">INDEX(xlRTTYNAME,MATCH(1,(xlRTTYENDU=2)*(xlRTTYEQCL=$F2071)*(xlRTEQTYPE=$G2071),0))</f>
        <v>CENT_AIR3</v>
      </c>
    </row>
    <row r="2072" spans="2:25" x14ac:dyDescent="0.2">
      <c r="B2072" s="5">
        <v>5</v>
      </c>
      <c r="C2072" s="5">
        <v>3</v>
      </c>
      <c r="D2072" s="5">
        <v>9</v>
      </c>
      <c r="E2072" s="31">
        <v>29</v>
      </c>
      <c r="F2072" s="5">
        <v>2</v>
      </c>
      <c r="G2072" s="31">
        <v>6</v>
      </c>
      <c r="H2072" s="31">
        <v>2020</v>
      </c>
      <c r="I2072" s="5">
        <v>2022</v>
      </c>
      <c r="J2072" s="142">
        <v>1.0940000000000001</v>
      </c>
      <c r="K2072" s="142">
        <v>1.0575000000000001</v>
      </c>
      <c r="L2072" s="142">
        <v>0.85619999999999996</v>
      </c>
      <c r="M2072" s="142">
        <v>0.99719999999999998</v>
      </c>
      <c r="N2072" s="142">
        <v>0.83130000000000004</v>
      </c>
      <c r="O2072" s="142">
        <v>1.0538000000000001</v>
      </c>
      <c r="P2072" s="26">
        <v>7302.1655349216617</v>
      </c>
      <c r="Q2072" s="35">
        <f t="array" ref="Q2072">SUM(IF(($S2072&gt;=4)*($C2072='TaxCred&amp;Subs'!$D$114:$D$121)*($H2072='TaxCred&amp;Subs'!$C$114:$C$121)*($H2072&lt;='TaxCred&amp;Subs'!$C$123),'TaxCred&amp;Subs'!$E$114:$E$121,0))</f>
        <v>1000</v>
      </c>
      <c r="R2072" s="143">
        <v>0</v>
      </c>
      <c r="S2072" s="5">
        <v>4</v>
      </c>
      <c r="T2072" s="5" t="s">
        <v>240</v>
      </c>
      <c r="V2072" s="7" t="str">
        <f t="array" ref="V2072">INDEX(xlRTCLNAME,MATCH(1,(xlRTCLENDU=1)*(xlRTCLEQCL=$D2072),0))</f>
        <v>WOOD_HT</v>
      </c>
      <c r="W2072" s="7" t="str">
        <f t="array" ref="W2072">INDEX(xlRTCLNAME,MATCH(1,(xlRTCLENDU=2)*(xlRTCLEQCL=$F2072),0))</f>
        <v>CENT_AIR</v>
      </c>
      <c r="X2072" s="7" t="str">
        <f t="array" ref="X2072">INDEX(xlRTTYNAME,MATCH(1,(xlRTTYENDU=1)*(xlRTTYEQCL=$D2072)*(xlRTEQTYPE=$E2072),0))</f>
        <v>WOOD_HT2</v>
      </c>
      <c r="Y2072" s="7" t="str">
        <f t="array" ref="Y2072">INDEX(xlRTTYNAME,MATCH(1,(xlRTTYENDU=2)*(xlRTTYEQCL=$F2072)*(xlRTEQTYPE=$G2072),0))</f>
        <v>CENT_AIR3</v>
      </c>
    </row>
    <row r="2073" spans="2:25" x14ac:dyDescent="0.2">
      <c r="B2073" s="5">
        <v>5</v>
      </c>
      <c r="C2073" s="5">
        <v>3</v>
      </c>
      <c r="D2073" s="5">
        <v>9</v>
      </c>
      <c r="E2073" s="31">
        <v>29</v>
      </c>
      <c r="F2073" s="5">
        <v>2</v>
      </c>
      <c r="G2073" s="31">
        <v>6</v>
      </c>
      <c r="H2073" s="5">
        <v>2023</v>
      </c>
      <c r="I2073" s="5">
        <v>2032</v>
      </c>
      <c r="J2073" s="142">
        <v>1.0940000000000001</v>
      </c>
      <c r="K2073" s="142">
        <v>1.0575000000000001</v>
      </c>
      <c r="L2073" s="142">
        <v>0.85619999999999996</v>
      </c>
      <c r="M2073" s="142">
        <v>0.99719999999999998</v>
      </c>
      <c r="N2073" s="142">
        <v>0.83130000000000004</v>
      </c>
      <c r="O2073" s="142">
        <v>1.0538000000000001</v>
      </c>
      <c r="P2073" s="26">
        <v>7302.1655349216617</v>
      </c>
      <c r="Q2073" s="35">
        <f t="array" ref="Q2073">SUM(IF(($S2073&gt;=4)*($C2073='TaxCred&amp;Subs'!$D$114:$D$121)*($H2073='TaxCred&amp;Subs'!$C$114:$C$121)*($H2073&lt;='TaxCred&amp;Subs'!$C$123),'TaxCred&amp;Subs'!$E$114:$E$121,0))</f>
        <v>2500</v>
      </c>
      <c r="R2073" s="143">
        <v>0</v>
      </c>
      <c r="S2073" s="5">
        <v>4</v>
      </c>
      <c r="T2073" s="5" t="s">
        <v>240</v>
      </c>
      <c r="V2073" s="7" t="str">
        <f t="array" ref="V2073">INDEX(xlRTCLNAME,MATCH(1,(xlRTCLENDU=1)*(xlRTCLEQCL=$D2073),0))</f>
        <v>WOOD_HT</v>
      </c>
      <c r="W2073" s="7" t="str">
        <f t="array" ref="W2073">INDEX(xlRTCLNAME,MATCH(1,(xlRTCLENDU=2)*(xlRTCLEQCL=$F2073),0))</f>
        <v>CENT_AIR</v>
      </c>
      <c r="X2073" s="7" t="str">
        <f t="array" ref="X2073">INDEX(xlRTTYNAME,MATCH(1,(xlRTTYENDU=1)*(xlRTTYEQCL=$D2073)*(xlRTEQTYPE=$E2073),0))</f>
        <v>WOOD_HT2</v>
      </c>
      <c r="Y2073" s="7" t="str">
        <f t="array" ref="Y2073">INDEX(xlRTTYNAME,MATCH(1,(xlRTTYENDU=2)*(xlRTTYEQCL=$F2073)*(xlRTEQTYPE=$G2073),0))</f>
        <v>CENT_AIR3</v>
      </c>
    </row>
    <row r="2074" spans="2:25" x14ac:dyDescent="0.2">
      <c r="B2074" s="5">
        <v>5</v>
      </c>
      <c r="C2074" s="5">
        <v>3</v>
      </c>
      <c r="D2074" s="5">
        <v>9</v>
      </c>
      <c r="E2074" s="31">
        <v>29</v>
      </c>
      <c r="F2074" s="5">
        <v>2</v>
      </c>
      <c r="G2074" s="31">
        <v>6</v>
      </c>
      <c r="H2074" s="5">
        <v>2033</v>
      </c>
      <c r="I2074" s="5">
        <v>2050</v>
      </c>
      <c r="J2074" s="142">
        <v>1.0940000000000001</v>
      </c>
      <c r="K2074" s="142">
        <v>1.0575000000000001</v>
      </c>
      <c r="L2074" s="142">
        <v>0.85619999999999996</v>
      </c>
      <c r="M2074" s="142">
        <v>0.99719999999999998</v>
      </c>
      <c r="N2074" s="142">
        <v>0.83130000000000004</v>
      </c>
      <c r="O2074" s="142">
        <v>1.0538000000000001</v>
      </c>
      <c r="P2074" s="26">
        <v>7302.1655349216617</v>
      </c>
      <c r="Q2074" s="35">
        <f t="array" ref="Q2074">SUM(IF(($S2074&gt;=4)*($C2074='TaxCred&amp;Subs'!$D$114:$D$121)*($H2074='TaxCred&amp;Subs'!$C$114:$C$121)*($H2074&lt;='TaxCred&amp;Subs'!$C$123),'TaxCred&amp;Subs'!$E$114:$E$121,0))</f>
        <v>0</v>
      </c>
      <c r="R2074" s="143">
        <v>0</v>
      </c>
      <c r="S2074" s="5">
        <v>4</v>
      </c>
      <c r="T2074" s="5" t="s">
        <v>240</v>
      </c>
      <c r="V2074" s="7" t="str">
        <f t="array" ref="V2074">INDEX(xlRTCLNAME,MATCH(1,(xlRTCLENDU=1)*(xlRTCLEQCL=$D2074),0))</f>
        <v>WOOD_HT</v>
      </c>
      <c r="W2074" s="7" t="str">
        <f t="array" ref="W2074">INDEX(xlRTCLNAME,MATCH(1,(xlRTCLENDU=2)*(xlRTCLEQCL=$F2074),0))</f>
        <v>CENT_AIR</v>
      </c>
      <c r="X2074" s="7" t="str">
        <f t="array" ref="X2074">INDEX(xlRTTYNAME,MATCH(1,(xlRTTYENDU=1)*(xlRTTYEQCL=$D2074)*(xlRTEQTYPE=$E2074),0))</f>
        <v>WOOD_HT2</v>
      </c>
      <c r="Y2074" s="7" t="str">
        <f t="array" ref="Y2074">INDEX(xlRTTYNAME,MATCH(1,(xlRTTYENDU=2)*(xlRTTYEQCL=$F2074)*(xlRTEQTYPE=$G2074),0))</f>
        <v>CENT_AIR3</v>
      </c>
    </row>
    <row r="2075" spans="2:25" x14ac:dyDescent="0.2">
      <c r="B2075" s="5">
        <v>6</v>
      </c>
      <c r="C2075" s="5">
        <v>3</v>
      </c>
      <c r="D2075" s="5">
        <v>9</v>
      </c>
      <c r="E2075" s="31">
        <v>29</v>
      </c>
      <c r="F2075" s="5">
        <v>2</v>
      </c>
      <c r="G2075" s="31">
        <v>6</v>
      </c>
      <c r="H2075" s="31">
        <v>2020</v>
      </c>
      <c r="I2075" s="5">
        <v>2022</v>
      </c>
      <c r="J2075" s="142">
        <v>1.0873999999999999</v>
      </c>
      <c r="K2075" s="142">
        <v>1.0609999999999999</v>
      </c>
      <c r="L2075" s="142">
        <v>0.82179999999999997</v>
      </c>
      <c r="M2075" s="142">
        <v>1.0124</v>
      </c>
      <c r="N2075" s="142">
        <v>0.80189999999999995</v>
      </c>
      <c r="O2075" s="142">
        <v>1.0538000000000001</v>
      </c>
      <c r="P2075" s="26">
        <v>7132.7542188840753</v>
      </c>
      <c r="Q2075" s="35">
        <f t="array" ref="Q2075">SUM(IF(($S2075&gt;=4)*($C2075='TaxCred&amp;Subs'!$D$114:$D$121)*($H2075='TaxCred&amp;Subs'!$C$114:$C$121)*($H2075&lt;='TaxCred&amp;Subs'!$C$123),'TaxCred&amp;Subs'!$E$114:$E$121,0))</f>
        <v>1000</v>
      </c>
      <c r="R2075" s="143">
        <v>0</v>
      </c>
      <c r="S2075" s="5">
        <v>4</v>
      </c>
      <c r="T2075" s="5" t="s">
        <v>240</v>
      </c>
      <c r="V2075" s="7" t="str">
        <f t="array" ref="V2075">INDEX(xlRTCLNAME,MATCH(1,(xlRTCLENDU=1)*(xlRTCLEQCL=$D2075),0))</f>
        <v>WOOD_HT</v>
      </c>
      <c r="W2075" s="7" t="str">
        <f t="array" ref="W2075">INDEX(xlRTCLNAME,MATCH(1,(xlRTCLENDU=2)*(xlRTCLEQCL=$F2075),0))</f>
        <v>CENT_AIR</v>
      </c>
      <c r="X2075" s="7" t="str">
        <f t="array" ref="X2075">INDEX(xlRTTYNAME,MATCH(1,(xlRTTYENDU=1)*(xlRTTYEQCL=$D2075)*(xlRTEQTYPE=$E2075),0))</f>
        <v>WOOD_HT2</v>
      </c>
      <c r="Y2075" s="7" t="str">
        <f t="array" ref="Y2075">INDEX(xlRTTYNAME,MATCH(1,(xlRTTYENDU=2)*(xlRTTYEQCL=$F2075)*(xlRTEQTYPE=$G2075),0))</f>
        <v>CENT_AIR3</v>
      </c>
    </row>
    <row r="2076" spans="2:25" x14ac:dyDescent="0.2">
      <c r="B2076" s="5">
        <v>6</v>
      </c>
      <c r="C2076" s="5">
        <v>3</v>
      </c>
      <c r="D2076" s="5">
        <v>9</v>
      </c>
      <c r="E2076" s="31">
        <v>29</v>
      </c>
      <c r="F2076" s="5">
        <v>2</v>
      </c>
      <c r="G2076" s="31">
        <v>6</v>
      </c>
      <c r="H2076" s="5">
        <v>2023</v>
      </c>
      <c r="I2076" s="5">
        <v>2032</v>
      </c>
      <c r="J2076" s="142">
        <v>1.0873999999999999</v>
      </c>
      <c r="K2076" s="142">
        <v>1.0609999999999999</v>
      </c>
      <c r="L2076" s="142">
        <v>0.82179999999999997</v>
      </c>
      <c r="M2076" s="142">
        <v>1.0124</v>
      </c>
      <c r="N2076" s="142">
        <v>0.80189999999999995</v>
      </c>
      <c r="O2076" s="142">
        <v>1.0538000000000001</v>
      </c>
      <c r="P2076" s="26">
        <v>7132.7542188840753</v>
      </c>
      <c r="Q2076" s="35">
        <f t="array" ref="Q2076">SUM(IF(($S2076&gt;=4)*($C2076='TaxCred&amp;Subs'!$D$114:$D$121)*($H2076='TaxCred&amp;Subs'!$C$114:$C$121)*($H2076&lt;='TaxCred&amp;Subs'!$C$123),'TaxCred&amp;Subs'!$E$114:$E$121,0))</f>
        <v>2500</v>
      </c>
      <c r="R2076" s="143">
        <v>0</v>
      </c>
      <c r="S2076" s="5">
        <v>4</v>
      </c>
      <c r="T2076" s="5" t="s">
        <v>240</v>
      </c>
      <c r="V2076" s="7" t="str">
        <f t="array" ref="V2076">INDEX(xlRTCLNAME,MATCH(1,(xlRTCLENDU=1)*(xlRTCLEQCL=$D2076),0))</f>
        <v>WOOD_HT</v>
      </c>
      <c r="W2076" s="7" t="str">
        <f t="array" ref="W2076">INDEX(xlRTCLNAME,MATCH(1,(xlRTCLENDU=2)*(xlRTCLEQCL=$F2076),0))</f>
        <v>CENT_AIR</v>
      </c>
      <c r="X2076" s="7" t="str">
        <f t="array" ref="X2076">INDEX(xlRTTYNAME,MATCH(1,(xlRTTYENDU=1)*(xlRTTYEQCL=$D2076)*(xlRTEQTYPE=$E2076),0))</f>
        <v>WOOD_HT2</v>
      </c>
      <c r="Y2076" s="7" t="str">
        <f t="array" ref="Y2076">INDEX(xlRTTYNAME,MATCH(1,(xlRTTYENDU=2)*(xlRTTYEQCL=$F2076)*(xlRTEQTYPE=$G2076),0))</f>
        <v>CENT_AIR3</v>
      </c>
    </row>
    <row r="2077" spans="2:25" x14ac:dyDescent="0.2">
      <c r="B2077" s="5">
        <v>6</v>
      </c>
      <c r="C2077" s="5">
        <v>3</v>
      </c>
      <c r="D2077" s="5">
        <v>9</v>
      </c>
      <c r="E2077" s="31">
        <v>29</v>
      </c>
      <c r="F2077" s="5">
        <v>2</v>
      </c>
      <c r="G2077" s="31">
        <v>6</v>
      </c>
      <c r="H2077" s="5">
        <v>2033</v>
      </c>
      <c r="I2077" s="5">
        <v>2050</v>
      </c>
      <c r="J2077" s="142">
        <v>1.0873999999999999</v>
      </c>
      <c r="K2077" s="142">
        <v>1.0609999999999999</v>
      </c>
      <c r="L2077" s="142">
        <v>0.82179999999999997</v>
      </c>
      <c r="M2077" s="142">
        <v>1.0124</v>
      </c>
      <c r="N2077" s="142">
        <v>0.80189999999999995</v>
      </c>
      <c r="O2077" s="142">
        <v>1.0538000000000001</v>
      </c>
      <c r="P2077" s="26">
        <v>7132.7542188840753</v>
      </c>
      <c r="Q2077" s="35">
        <f t="array" ref="Q2077">SUM(IF(($S2077&gt;=4)*($C2077='TaxCred&amp;Subs'!$D$114:$D$121)*($H2077='TaxCred&amp;Subs'!$C$114:$C$121)*($H2077&lt;='TaxCred&amp;Subs'!$C$123),'TaxCred&amp;Subs'!$E$114:$E$121,0))</f>
        <v>0</v>
      </c>
      <c r="R2077" s="143">
        <v>0</v>
      </c>
      <c r="S2077" s="5">
        <v>4</v>
      </c>
      <c r="T2077" s="5" t="s">
        <v>240</v>
      </c>
      <c r="V2077" s="7" t="str">
        <f t="array" ref="V2077">INDEX(xlRTCLNAME,MATCH(1,(xlRTCLENDU=1)*(xlRTCLEQCL=$D2077),0))</f>
        <v>WOOD_HT</v>
      </c>
      <c r="W2077" s="7" t="str">
        <f t="array" ref="W2077">INDEX(xlRTCLNAME,MATCH(1,(xlRTCLENDU=2)*(xlRTCLEQCL=$F2077),0))</f>
        <v>CENT_AIR</v>
      </c>
      <c r="X2077" s="7" t="str">
        <f t="array" ref="X2077">INDEX(xlRTTYNAME,MATCH(1,(xlRTTYENDU=1)*(xlRTTYEQCL=$D2077)*(xlRTEQTYPE=$E2077),0))</f>
        <v>WOOD_HT2</v>
      </c>
      <c r="Y2077" s="7" t="str">
        <f t="array" ref="Y2077">INDEX(xlRTTYNAME,MATCH(1,(xlRTTYENDU=2)*(xlRTTYEQCL=$F2077)*(xlRTEQTYPE=$G2077),0))</f>
        <v>CENT_AIR3</v>
      </c>
    </row>
    <row r="2078" spans="2:25" x14ac:dyDescent="0.2">
      <c r="B2078" s="5">
        <v>7</v>
      </c>
      <c r="C2078" s="5">
        <v>3</v>
      </c>
      <c r="D2078" s="5">
        <v>9</v>
      </c>
      <c r="E2078" s="31">
        <v>29</v>
      </c>
      <c r="F2078" s="5">
        <v>2</v>
      </c>
      <c r="G2078" s="31">
        <v>6</v>
      </c>
      <c r="H2078" s="31">
        <v>2020</v>
      </c>
      <c r="I2078" s="5">
        <v>2022</v>
      </c>
      <c r="J2078" s="142">
        <v>1.0826</v>
      </c>
      <c r="K2078" s="142">
        <v>1.0412999999999999</v>
      </c>
      <c r="L2078" s="142">
        <v>0.80110000000000003</v>
      </c>
      <c r="M2078" s="142">
        <v>1.0165999999999999</v>
      </c>
      <c r="N2078" s="142">
        <v>0.8125</v>
      </c>
      <c r="O2078" s="142">
        <v>1.0538000000000001</v>
      </c>
      <c r="P2078" s="26">
        <v>3915.2837484242086</v>
      </c>
      <c r="Q2078" s="35">
        <f t="array" ref="Q2078">SUM(IF(($S2078&gt;=4)*($C2078='TaxCred&amp;Subs'!$D$114:$D$121)*($H2078='TaxCred&amp;Subs'!$C$114:$C$121)*($H2078&lt;='TaxCred&amp;Subs'!$C$123),'TaxCred&amp;Subs'!$E$114:$E$121,0))</f>
        <v>1000</v>
      </c>
      <c r="R2078" s="143">
        <v>0</v>
      </c>
      <c r="S2078" s="5">
        <v>4</v>
      </c>
      <c r="T2078" s="5" t="s">
        <v>240</v>
      </c>
      <c r="V2078" s="7" t="str">
        <f t="array" ref="V2078">INDEX(xlRTCLNAME,MATCH(1,(xlRTCLENDU=1)*(xlRTCLEQCL=$D2078),0))</f>
        <v>WOOD_HT</v>
      </c>
      <c r="W2078" s="7" t="str">
        <f t="array" ref="W2078">INDEX(xlRTCLNAME,MATCH(1,(xlRTCLENDU=2)*(xlRTCLEQCL=$F2078),0))</f>
        <v>CENT_AIR</v>
      </c>
      <c r="X2078" s="7" t="str">
        <f t="array" ref="X2078">INDEX(xlRTTYNAME,MATCH(1,(xlRTTYENDU=1)*(xlRTTYEQCL=$D2078)*(xlRTEQTYPE=$E2078),0))</f>
        <v>WOOD_HT2</v>
      </c>
      <c r="Y2078" s="7" t="str">
        <f t="array" ref="Y2078">INDEX(xlRTTYNAME,MATCH(1,(xlRTTYENDU=2)*(xlRTTYEQCL=$F2078)*(xlRTEQTYPE=$G2078),0))</f>
        <v>CENT_AIR3</v>
      </c>
    </row>
    <row r="2079" spans="2:25" x14ac:dyDescent="0.2">
      <c r="B2079" s="5">
        <v>7</v>
      </c>
      <c r="C2079" s="5">
        <v>3</v>
      </c>
      <c r="D2079" s="5">
        <v>9</v>
      </c>
      <c r="E2079" s="31">
        <v>29</v>
      </c>
      <c r="F2079" s="5">
        <v>2</v>
      </c>
      <c r="G2079" s="31">
        <v>6</v>
      </c>
      <c r="H2079" s="5">
        <v>2023</v>
      </c>
      <c r="I2079" s="5">
        <v>2032</v>
      </c>
      <c r="J2079" s="142">
        <v>1.0826</v>
      </c>
      <c r="K2079" s="142">
        <v>1.0412999999999999</v>
      </c>
      <c r="L2079" s="142">
        <v>0.80110000000000003</v>
      </c>
      <c r="M2079" s="142">
        <v>1.0165999999999999</v>
      </c>
      <c r="N2079" s="142">
        <v>0.8125</v>
      </c>
      <c r="O2079" s="142">
        <v>1.0538000000000001</v>
      </c>
      <c r="P2079" s="26">
        <v>3915.2837484242086</v>
      </c>
      <c r="Q2079" s="35">
        <f t="array" ref="Q2079">SUM(IF(($S2079&gt;=4)*($C2079='TaxCred&amp;Subs'!$D$114:$D$121)*($H2079='TaxCred&amp;Subs'!$C$114:$C$121)*($H2079&lt;='TaxCred&amp;Subs'!$C$123),'TaxCred&amp;Subs'!$E$114:$E$121,0))</f>
        <v>2500</v>
      </c>
      <c r="R2079" s="143">
        <v>0</v>
      </c>
      <c r="S2079" s="5">
        <v>4</v>
      </c>
      <c r="T2079" s="5" t="s">
        <v>240</v>
      </c>
      <c r="V2079" s="7" t="str">
        <f t="array" ref="V2079">INDEX(xlRTCLNAME,MATCH(1,(xlRTCLENDU=1)*(xlRTCLEQCL=$D2079),0))</f>
        <v>WOOD_HT</v>
      </c>
      <c r="W2079" s="7" t="str">
        <f t="array" ref="W2079">INDEX(xlRTCLNAME,MATCH(1,(xlRTCLENDU=2)*(xlRTCLEQCL=$F2079),0))</f>
        <v>CENT_AIR</v>
      </c>
      <c r="X2079" s="7" t="str">
        <f t="array" ref="X2079">INDEX(xlRTTYNAME,MATCH(1,(xlRTTYENDU=1)*(xlRTTYEQCL=$D2079)*(xlRTEQTYPE=$E2079),0))</f>
        <v>WOOD_HT2</v>
      </c>
      <c r="Y2079" s="7" t="str">
        <f t="array" ref="Y2079">INDEX(xlRTTYNAME,MATCH(1,(xlRTTYENDU=2)*(xlRTTYEQCL=$F2079)*(xlRTEQTYPE=$G2079),0))</f>
        <v>CENT_AIR3</v>
      </c>
    </row>
    <row r="2080" spans="2:25" x14ac:dyDescent="0.2">
      <c r="B2080" s="5">
        <v>7</v>
      </c>
      <c r="C2080" s="5">
        <v>3</v>
      </c>
      <c r="D2080" s="5">
        <v>9</v>
      </c>
      <c r="E2080" s="31">
        <v>29</v>
      </c>
      <c r="F2080" s="5">
        <v>2</v>
      </c>
      <c r="G2080" s="31">
        <v>6</v>
      </c>
      <c r="H2080" s="5">
        <v>2033</v>
      </c>
      <c r="I2080" s="5">
        <v>2050</v>
      </c>
      <c r="J2080" s="142">
        <v>1.0826</v>
      </c>
      <c r="K2080" s="142">
        <v>1.0412999999999999</v>
      </c>
      <c r="L2080" s="142">
        <v>0.80110000000000003</v>
      </c>
      <c r="M2080" s="142">
        <v>1.0165999999999999</v>
      </c>
      <c r="N2080" s="142">
        <v>0.8125</v>
      </c>
      <c r="O2080" s="142">
        <v>1.0538000000000001</v>
      </c>
      <c r="P2080" s="26">
        <v>3915.2837484242086</v>
      </c>
      <c r="Q2080" s="35">
        <f t="array" ref="Q2080">SUM(IF(($S2080&gt;=4)*($C2080='TaxCred&amp;Subs'!$D$114:$D$121)*($H2080='TaxCred&amp;Subs'!$C$114:$C$121)*($H2080&lt;='TaxCred&amp;Subs'!$C$123),'TaxCred&amp;Subs'!$E$114:$E$121,0))</f>
        <v>0</v>
      </c>
      <c r="R2080" s="143">
        <v>0</v>
      </c>
      <c r="S2080" s="5">
        <v>4</v>
      </c>
      <c r="T2080" s="5" t="s">
        <v>240</v>
      </c>
      <c r="V2080" s="7" t="str">
        <f t="array" ref="V2080">INDEX(xlRTCLNAME,MATCH(1,(xlRTCLENDU=1)*(xlRTCLEQCL=$D2080),0))</f>
        <v>WOOD_HT</v>
      </c>
      <c r="W2080" s="7" t="str">
        <f t="array" ref="W2080">INDEX(xlRTCLNAME,MATCH(1,(xlRTCLENDU=2)*(xlRTCLEQCL=$F2080),0))</f>
        <v>CENT_AIR</v>
      </c>
      <c r="X2080" s="7" t="str">
        <f t="array" ref="X2080">INDEX(xlRTTYNAME,MATCH(1,(xlRTTYENDU=1)*(xlRTTYEQCL=$D2080)*(xlRTEQTYPE=$E2080),0))</f>
        <v>WOOD_HT2</v>
      </c>
      <c r="Y2080" s="7" t="str">
        <f t="array" ref="Y2080">INDEX(xlRTTYNAME,MATCH(1,(xlRTTYENDU=2)*(xlRTTYEQCL=$F2080)*(xlRTEQTYPE=$G2080),0))</f>
        <v>CENT_AIR3</v>
      </c>
    </row>
    <row r="2081" spans="2:25" x14ac:dyDescent="0.2">
      <c r="B2081" s="5">
        <v>9</v>
      </c>
      <c r="C2081" s="5">
        <v>3</v>
      </c>
      <c r="D2081" s="5">
        <v>9</v>
      </c>
      <c r="E2081" s="31">
        <v>29</v>
      </c>
      <c r="F2081" s="5">
        <v>2</v>
      </c>
      <c r="G2081" s="31">
        <v>6</v>
      </c>
      <c r="H2081" s="31">
        <v>2020</v>
      </c>
      <c r="I2081" s="5">
        <v>2022</v>
      </c>
      <c r="J2081" s="142">
        <v>1.0845</v>
      </c>
      <c r="K2081" s="142">
        <v>1.0658000000000001</v>
      </c>
      <c r="L2081" s="142">
        <v>0.90380000000000005</v>
      </c>
      <c r="M2081" s="142">
        <v>1.0827</v>
      </c>
      <c r="N2081" s="142">
        <v>0.84079999999999999</v>
      </c>
      <c r="O2081" s="142">
        <v>1.0538000000000001</v>
      </c>
      <c r="P2081" s="26">
        <v>8812.0775024630038</v>
      </c>
      <c r="Q2081" s="35">
        <f t="array" ref="Q2081">SUM(IF(($S2081&gt;=4)*($C2081='TaxCred&amp;Subs'!$D$114:$D$121)*($H2081='TaxCred&amp;Subs'!$C$114:$C$121)*($H2081&lt;='TaxCred&amp;Subs'!$C$123),'TaxCred&amp;Subs'!$E$114:$E$121,0))</f>
        <v>1000</v>
      </c>
      <c r="R2081" s="143">
        <v>0</v>
      </c>
      <c r="S2081" s="5">
        <v>4</v>
      </c>
      <c r="T2081" s="5" t="s">
        <v>240</v>
      </c>
      <c r="V2081" s="7" t="str">
        <f t="array" ref="V2081">INDEX(xlRTCLNAME,MATCH(1,(xlRTCLENDU=1)*(xlRTCLEQCL=$D2081),0))</f>
        <v>WOOD_HT</v>
      </c>
      <c r="W2081" s="7" t="str">
        <f t="array" ref="W2081">INDEX(xlRTCLNAME,MATCH(1,(xlRTCLENDU=2)*(xlRTCLEQCL=$F2081),0))</f>
        <v>CENT_AIR</v>
      </c>
      <c r="X2081" s="7" t="str">
        <f t="array" ref="X2081">INDEX(xlRTTYNAME,MATCH(1,(xlRTTYENDU=1)*(xlRTTYEQCL=$D2081)*(xlRTEQTYPE=$E2081),0))</f>
        <v>WOOD_HT2</v>
      </c>
      <c r="Y2081" s="7" t="str">
        <f t="array" ref="Y2081">INDEX(xlRTTYNAME,MATCH(1,(xlRTTYENDU=2)*(xlRTTYEQCL=$F2081)*(xlRTEQTYPE=$G2081),0))</f>
        <v>CENT_AIR3</v>
      </c>
    </row>
    <row r="2082" spans="2:25" x14ac:dyDescent="0.2">
      <c r="B2082" s="5">
        <v>9</v>
      </c>
      <c r="C2082" s="5">
        <v>3</v>
      </c>
      <c r="D2082" s="5">
        <v>9</v>
      </c>
      <c r="E2082" s="31">
        <v>29</v>
      </c>
      <c r="F2082" s="5">
        <v>2</v>
      </c>
      <c r="G2082" s="31">
        <v>6</v>
      </c>
      <c r="H2082" s="5">
        <v>2023</v>
      </c>
      <c r="I2082" s="5">
        <v>2032</v>
      </c>
      <c r="J2082" s="142">
        <v>1.0845</v>
      </c>
      <c r="K2082" s="142">
        <v>1.0658000000000001</v>
      </c>
      <c r="L2082" s="142">
        <v>0.90380000000000005</v>
      </c>
      <c r="M2082" s="142">
        <v>1.0827</v>
      </c>
      <c r="N2082" s="142">
        <v>0.84079999999999999</v>
      </c>
      <c r="O2082" s="142">
        <v>1.0538000000000001</v>
      </c>
      <c r="P2082" s="26">
        <v>8812.0775024630038</v>
      </c>
      <c r="Q2082" s="35">
        <f t="array" ref="Q2082">SUM(IF(($S2082&gt;=4)*($C2082='TaxCred&amp;Subs'!$D$114:$D$121)*($H2082='TaxCred&amp;Subs'!$C$114:$C$121)*($H2082&lt;='TaxCred&amp;Subs'!$C$123),'TaxCred&amp;Subs'!$E$114:$E$121,0))</f>
        <v>2500</v>
      </c>
      <c r="R2082" s="143">
        <v>0</v>
      </c>
      <c r="S2082" s="5">
        <v>4</v>
      </c>
      <c r="T2082" s="5" t="s">
        <v>240</v>
      </c>
      <c r="V2082" s="7" t="str">
        <f t="array" ref="V2082">INDEX(xlRTCLNAME,MATCH(1,(xlRTCLENDU=1)*(xlRTCLEQCL=$D2082),0))</f>
        <v>WOOD_HT</v>
      </c>
      <c r="W2082" s="7" t="str">
        <f t="array" ref="W2082">INDEX(xlRTCLNAME,MATCH(1,(xlRTCLENDU=2)*(xlRTCLEQCL=$F2082),0))</f>
        <v>CENT_AIR</v>
      </c>
      <c r="X2082" s="7" t="str">
        <f t="array" ref="X2082">INDEX(xlRTTYNAME,MATCH(1,(xlRTTYENDU=1)*(xlRTTYEQCL=$D2082)*(xlRTEQTYPE=$E2082),0))</f>
        <v>WOOD_HT2</v>
      </c>
      <c r="Y2082" s="7" t="str">
        <f t="array" ref="Y2082">INDEX(xlRTTYNAME,MATCH(1,(xlRTTYENDU=2)*(xlRTTYEQCL=$F2082)*(xlRTEQTYPE=$G2082),0))</f>
        <v>CENT_AIR3</v>
      </c>
    </row>
    <row r="2083" spans="2:25" x14ac:dyDescent="0.2">
      <c r="B2083" s="5">
        <v>9</v>
      </c>
      <c r="C2083" s="5">
        <v>3</v>
      </c>
      <c r="D2083" s="5">
        <v>9</v>
      </c>
      <c r="E2083" s="31">
        <v>29</v>
      </c>
      <c r="F2083" s="5">
        <v>2</v>
      </c>
      <c r="G2083" s="31">
        <v>6</v>
      </c>
      <c r="H2083" s="5">
        <v>2033</v>
      </c>
      <c r="I2083" s="5">
        <v>2050</v>
      </c>
      <c r="J2083" s="142">
        <v>1.0845</v>
      </c>
      <c r="K2083" s="142">
        <v>1.0658000000000001</v>
      </c>
      <c r="L2083" s="142">
        <v>0.90380000000000005</v>
      </c>
      <c r="M2083" s="142">
        <v>1.0827</v>
      </c>
      <c r="N2083" s="142">
        <v>0.84079999999999999</v>
      </c>
      <c r="O2083" s="142">
        <v>1.0538000000000001</v>
      </c>
      <c r="P2083" s="26">
        <v>8812.0775024630038</v>
      </c>
      <c r="Q2083" s="35">
        <f t="array" ref="Q2083">SUM(IF(($S2083&gt;=4)*($C2083='TaxCred&amp;Subs'!$D$114:$D$121)*($H2083='TaxCred&amp;Subs'!$C$114:$C$121)*($H2083&lt;='TaxCred&amp;Subs'!$C$123),'TaxCred&amp;Subs'!$E$114:$E$121,0))</f>
        <v>0</v>
      </c>
      <c r="R2083" s="143">
        <v>0</v>
      </c>
      <c r="S2083" s="5">
        <v>4</v>
      </c>
      <c r="T2083" s="5" t="s">
        <v>240</v>
      </c>
      <c r="V2083" s="7" t="str">
        <f t="array" ref="V2083">INDEX(xlRTCLNAME,MATCH(1,(xlRTCLENDU=1)*(xlRTCLEQCL=$D2083),0))</f>
        <v>WOOD_HT</v>
      </c>
      <c r="W2083" s="7" t="str">
        <f t="array" ref="W2083">INDEX(xlRTCLNAME,MATCH(1,(xlRTCLENDU=2)*(xlRTCLEQCL=$F2083),0))</f>
        <v>CENT_AIR</v>
      </c>
      <c r="X2083" s="7" t="str">
        <f t="array" ref="X2083">INDEX(xlRTTYNAME,MATCH(1,(xlRTTYENDU=1)*(xlRTTYEQCL=$D2083)*(xlRTEQTYPE=$E2083),0))</f>
        <v>WOOD_HT2</v>
      </c>
      <c r="Y2083" s="7" t="str">
        <f t="array" ref="Y2083">INDEX(xlRTTYNAME,MATCH(1,(xlRTTYENDU=2)*(xlRTTYEQCL=$F2083)*(xlRTEQTYPE=$G2083),0))</f>
        <v>CENT_AIR3</v>
      </c>
    </row>
    <row r="2084" spans="2:25" x14ac:dyDescent="0.2">
      <c r="B2084" s="5">
        <v>2</v>
      </c>
      <c r="C2084" s="5">
        <v>3</v>
      </c>
      <c r="D2084" s="5">
        <v>10</v>
      </c>
      <c r="E2084" s="31">
        <v>33</v>
      </c>
      <c r="F2084" s="5">
        <v>4</v>
      </c>
      <c r="G2084" s="31">
        <v>14</v>
      </c>
      <c r="H2084" s="31">
        <v>2020</v>
      </c>
      <c r="I2084" s="5">
        <v>2022</v>
      </c>
      <c r="J2084" s="142">
        <v>1.0832999999999999</v>
      </c>
      <c r="K2084" s="142">
        <v>1.0713999999999999</v>
      </c>
      <c r="L2084" s="142">
        <v>0.84299999999999997</v>
      </c>
      <c r="M2084" s="142">
        <v>1.1524000000000001</v>
      </c>
      <c r="N2084" s="142">
        <v>0.86450000000000005</v>
      </c>
      <c r="O2084" s="142">
        <v>1.0538000000000001</v>
      </c>
      <c r="P2084" s="26">
        <v>8783.8422831234057</v>
      </c>
      <c r="Q2084" s="35">
        <f t="array" ref="Q2084">SUM(IF(($S2084&gt;=4)*($C2084='TaxCred&amp;Subs'!$D$114:$D$121)*($H2084='TaxCred&amp;Subs'!$C$114:$C$121)*($H2084&lt;='TaxCred&amp;Subs'!$C$123),'TaxCred&amp;Subs'!$E$114:$E$121,0))</f>
        <v>1000</v>
      </c>
      <c r="R2084" s="143">
        <v>0</v>
      </c>
      <c r="S2084" s="5">
        <v>4</v>
      </c>
      <c r="T2084" s="5" t="s">
        <v>240</v>
      </c>
      <c r="V2084" s="7" t="str">
        <f t="array" ref="V2084">INDEX(xlRTCLNAME,MATCH(1,(xlRTCLENDU=1)*(xlRTCLEQCL=$D2084),0))</f>
        <v>GEO_HP</v>
      </c>
      <c r="W2084" s="7" t="str">
        <f t="array" ref="W2084">INDEX(xlRTCLNAME,MATCH(1,(xlRTCLENDU=2)*(xlRTCLEQCL=$F2084),0))</f>
        <v>GEO_HP</v>
      </c>
      <c r="X2084" s="7" t="str">
        <f t="array" ref="X2084">INDEX(xlRTTYNAME,MATCH(1,(xlRTTYENDU=1)*(xlRTTYEQCL=$D2084)*(xlRTEQTYPE=$E2084),0))</f>
        <v>GEO_HP3</v>
      </c>
      <c r="Y2084" s="7" t="str">
        <f t="array" ref="Y2084">INDEX(xlRTTYNAME,MATCH(1,(xlRTTYENDU=2)*(xlRTTYEQCL=$F2084)*(xlRTEQTYPE=$G2084),0))</f>
        <v>GEO_HP3</v>
      </c>
    </row>
    <row r="2085" spans="2:25" x14ac:dyDescent="0.2">
      <c r="B2085" s="5">
        <v>2</v>
      </c>
      <c r="C2085" s="5">
        <v>3</v>
      </c>
      <c r="D2085" s="5">
        <v>10</v>
      </c>
      <c r="E2085" s="31">
        <v>33</v>
      </c>
      <c r="F2085" s="5">
        <v>4</v>
      </c>
      <c r="G2085" s="31">
        <v>14</v>
      </c>
      <c r="H2085" s="5">
        <v>2023</v>
      </c>
      <c r="I2085" s="5">
        <v>2032</v>
      </c>
      <c r="J2085" s="142">
        <v>1.0832999999999999</v>
      </c>
      <c r="K2085" s="142">
        <v>1.0713999999999999</v>
      </c>
      <c r="L2085" s="142">
        <v>0.84299999999999997</v>
      </c>
      <c r="M2085" s="142">
        <v>1.1524000000000001</v>
      </c>
      <c r="N2085" s="142">
        <v>0.86450000000000005</v>
      </c>
      <c r="O2085" s="142">
        <v>1.0538000000000001</v>
      </c>
      <c r="P2085" s="26">
        <v>8783.8422831234057</v>
      </c>
      <c r="Q2085" s="35">
        <f t="array" ref="Q2085">SUM(IF(($S2085&gt;=4)*($C2085='TaxCred&amp;Subs'!$D$114:$D$121)*($H2085='TaxCred&amp;Subs'!$C$114:$C$121)*($H2085&lt;='TaxCred&amp;Subs'!$C$123),'TaxCred&amp;Subs'!$E$114:$E$121,0))</f>
        <v>2500</v>
      </c>
      <c r="R2085" s="143">
        <v>0</v>
      </c>
      <c r="S2085" s="5">
        <v>4</v>
      </c>
      <c r="T2085" s="5" t="s">
        <v>240</v>
      </c>
      <c r="V2085" s="7" t="str">
        <f t="array" ref="V2085">INDEX(xlRTCLNAME,MATCH(1,(xlRTCLENDU=1)*(xlRTCLEQCL=$D2085),0))</f>
        <v>GEO_HP</v>
      </c>
      <c r="W2085" s="7" t="str">
        <f t="array" ref="W2085">INDEX(xlRTCLNAME,MATCH(1,(xlRTCLENDU=2)*(xlRTCLEQCL=$F2085),0))</f>
        <v>GEO_HP</v>
      </c>
      <c r="X2085" s="7" t="str">
        <f t="array" ref="X2085">INDEX(xlRTTYNAME,MATCH(1,(xlRTTYENDU=1)*(xlRTTYEQCL=$D2085)*(xlRTEQTYPE=$E2085),0))</f>
        <v>GEO_HP3</v>
      </c>
      <c r="Y2085" s="7" t="str">
        <f t="array" ref="Y2085">INDEX(xlRTTYNAME,MATCH(1,(xlRTTYENDU=2)*(xlRTTYEQCL=$F2085)*(xlRTEQTYPE=$G2085),0))</f>
        <v>GEO_HP3</v>
      </c>
    </row>
    <row r="2086" spans="2:25" x14ac:dyDescent="0.2">
      <c r="B2086" s="5">
        <v>2</v>
      </c>
      <c r="C2086" s="5">
        <v>3</v>
      </c>
      <c r="D2086" s="5">
        <v>10</v>
      </c>
      <c r="E2086" s="31">
        <v>33</v>
      </c>
      <c r="F2086" s="5">
        <v>4</v>
      </c>
      <c r="G2086" s="31">
        <v>14</v>
      </c>
      <c r="H2086" s="5">
        <v>2033</v>
      </c>
      <c r="I2086" s="5">
        <v>2050</v>
      </c>
      <c r="J2086" s="142">
        <v>1.0832999999999999</v>
      </c>
      <c r="K2086" s="142">
        <v>1.0713999999999999</v>
      </c>
      <c r="L2086" s="142">
        <v>0.84299999999999997</v>
      </c>
      <c r="M2086" s="142">
        <v>1.1524000000000001</v>
      </c>
      <c r="N2086" s="142">
        <v>0.86450000000000005</v>
      </c>
      <c r="O2086" s="142">
        <v>1.0538000000000001</v>
      </c>
      <c r="P2086" s="26">
        <v>8783.8422831234057</v>
      </c>
      <c r="Q2086" s="35">
        <f t="array" ref="Q2086">SUM(IF(($S2086&gt;=4)*($C2086='TaxCred&amp;Subs'!$D$114:$D$121)*($H2086='TaxCred&amp;Subs'!$C$114:$C$121)*($H2086&lt;='TaxCred&amp;Subs'!$C$123),'TaxCred&amp;Subs'!$E$114:$E$121,0))</f>
        <v>0</v>
      </c>
      <c r="R2086" s="143">
        <v>0</v>
      </c>
      <c r="S2086" s="5">
        <v>4</v>
      </c>
      <c r="T2086" s="5" t="s">
        <v>240</v>
      </c>
      <c r="V2086" s="7" t="str">
        <f t="array" ref="V2086">INDEX(xlRTCLNAME,MATCH(1,(xlRTCLENDU=1)*(xlRTCLEQCL=$D2086),0))</f>
        <v>GEO_HP</v>
      </c>
      <c r="W2086" s="7" t="str">
        <f t="array" ref="W2086">INDEX(xlRTCLNAME,MATCH(1,(xlRTCLENDU=2)*(xlRTCLEQCL=$F2086),0))</f>
        <v>GEO_HP</v>
      </c>
      <c r="X2086" s="7" t="str">
        <f t="array" ref="X2086">INDEX(xlRTTYNAME,MATCH(1,(xlRTTYENDU=1)*(xlRTTYEQCL=$D2086)*(xlRTEQTYPE=$E2086),0))</f>
        <v>GEO_HP3</v>
      </c>
      <c r="Y2086" s="7" t="str">
        <f t="array" ref="Y2086">INDEX(xlRTTYNAME,MATCH(1,(xlRTTYENDU=2)*(xlRTTYEQCL=$F2086)*(xlRTEQTYPE=$G2086),0))</f>
        <v>GEO_HP3</v>
      </c>
    </row>
    <row r="2087" spans="2:25" x14ac:dyDescent="0.2">
      <c r="B2087" s="5">
        <v>5</v>
      </c>
      <c r="C2087" s="5">
        <v>3</v>
      </c>
      <c r="D2087" s="5">
        <v>10</v>
      </c>
      <c r="E2087" s="31">
        <v>33</v>
      </c>
      <c r="F2087" s="5">
        <v>4</v>
      </c>
      <c r="G2087" s="31">
        <v>14</v>
      </c>
      <c r="H2087" s="31">
        <v>2020</v>
      </c>
      <c r="I2087" s="5">
        <v>2022</v>
      </c>
      <c r="J2087" s="142">
        <v>1.1071</v>
      </c>
      <c r="K2087" s="142">
        <v>1.03</v>
      </c>
      <c r="L2087" s="142">
        <v>0.76190000000000002</v>
      </c>
      <c r="M2087" s="142">
        <v>1.0437000000000001</v>
      </c>
      <c r="N2087" s="142">
        <v>0.84109999999999996</v>
      </c>
      <c r="O2087" s="142">
        <v>1.0538000000000001</v>
      </c>
      <c r="P2087" s="26">
        <v>6004.6899795544359</v>
      </c>
      <c r="Q2087" s="35">
        <f t="array" ref="Q2087">SUM(IF(($S2087&gt;=4)*($C2087='TaxCred&amp;Subs'!$D$114:$D$121)*($H2087='TaxCred&amp;Subs'!$C$114:$C$121)*($H2087&lt;='TaxCred&amp;Subs'!$C$123),'TaxCred&amp;Subs'!$E$114:$E$121,0))</f>
        <v>1000</v>
      </c>
      <c r="R2087" s="143">
        <v>0</v>
      </c>
      <c r="S2087" s="5">
        <v>4</v>
      </c>
      <c r="T2087" s="5" t="s">
        <v>240</v>
      </c>
      <c r="V2087" s="7" t="str">
        <f t="array" ref="V2087">INDEX(xlRTCLNAME,MATCH(1,(xlRTCLENDU=1)*(xlRTCLEQCL=$D2087),0))</f>
        <v>GEO_HP</v>
      </c>
      <c r="W2087" s="7" t="str">
        <f t="array" ref="W2087">INDEX(xlRTCLNAME,MATCH(1,(xlRTCLENDU=2)*(xlRTCLEQCL=$F2087),0))</f>
        <v>GEO_HP</v>
      </c>
      <c r="X2087" s="7" t="str">
        <f t="array" ref="X2087">INDEX(xlRTTYNAME,MATCH(1,(xlRTTYENDU=1)*(xlRTTYEQCL=$D2087)*(xlRTEQTYPE=$E2087),0))</f>
        <v>GEO_HP3</v>
      </c>
      <c r="Y2087" s="7" t="str">
        <f t="array" ref="Y2087">INDEX(xlRTTYNAME,MATCH(1,(xlRTTYENDU=2)*(xlRTTYEQCL=$F2087)*(xlRTEQTYPE=$G2087),0))</f>
        <v>GEO_HP3</v>
      </c>
    </row>
    <row r="2088" spans="2:25" x14ac:dyDescent="0.2">
      <c r="B2088" s="5">
        <v>5</v>
      </c>
      <c r="C2088" s="5">
        <v>3</v>
      </c>
      <c r="D2088" s="5">
        <v>10</v>
      </c>
      <c r="E2088" s="31">
        <v>33</v>
      </c>
      <c r="F2088" s="5">
        <v>4</v>
      </c>
      <c r="G2088" s="31">
        <v>14</v>
      </c>
      <c r="H2088" s="5">
        <v>2023</v>
      </c>
      <c r="I2088" s="5">
        <v>2032</v>
      </c>
      <c r="J2088" s="142">
        <v>1.1071</v>
      </c>
      <c r="K2088" s="142">
        <v>1.03</v>
      </c>
      <c r="L2088" s="142">
        <v>0.76190000000000002</v>
      </c>
      <c r="M2088" s="142">
        <v>1.0437000000000001</v>
      </c>
      <c r="N2088" s="142">
        <v>0.84109999999999996</v>
      </c>
      <c r="O2088" s="142">
        <v>1.0538000000000001</v>
      </c>
      <c r="P2088" s="26">
        <v>6004.6899795544359</v>
      </c>
      <c r="Q2088" s="35">
        <f t="array" ref="Q2088">SUM(IF(($S2088&gt;=4)*($C2088='TaxCred&amp;Subs'!$D$114:$D$121)*($H2088='TaxCred&amp;Subs'!$C$114:$C$121)*($H2088&lt;='TaxCred&amp;Subs'!$C$123),'TaxCred&amp;Subs'!$E$114:$E$121,0))</f>
        <v>2500</v>
      </c>
      <c r="R2088" s="143">
        <v>0</v>
      </c>
      <c r="S2088" s="5">
        <v>4</v>
      </c>
      <c r="T2088" s="5" t="s">
        <v>240</v>
      </c>
      <c r="V2088" s="7" t="str">
        <f t="array" ref="V2088">INDEX(xlRTCLNAME,MATCH(1,(xlRTCLENDU=1)*(xlRTCLEQCL=$D2088),0))</f>
        <v>GEO_HP</v>
      </c>
      <c r="W2088" s="7" t="str">
        <f t="array" ref="W2088">INDEX(xlRTCLNAME,MATCH(1,(xlRTCLENDU=2)*(xlRTCLEQCL=$F2088),0))</f>
        <v>GEO_HP</v>
      </c>
      <c r="X2088" s="7" t="str">
        <f t="array" ref="X2088">INDEX(xlRTTYNAME,MATCH(1,(xlRTTYENDU=1)*(xlRTTYEQCL=$D2088)*(xlRTEQTYPE=$E2088),0))</f>
        <v>GEO_HP3</v>
      </c>
      <c r="Y2088" s="7" t="str">
        <f t="array" ref="Y2088">INDEX(xlRTTYNAME,MATCH(1,(xlRTTYENDU=2)*(xlRTTYEQCL=$F2088)*(xlRTEQTYPE=$G2088),0))</f>
        <v>GEO_HP3</v>
      </c>
    </row>
    <row r="2089" spans="2:25" x14ac:dyDescent="0.2">
      <c r="B2089" s="5">
        <v>5</v>
      </c>
      <c r="C2089" s="5">
        <v>3</v>
      </c>
      <c r="D2089" s="5">
        <v>10</v>
      </c>
      <c r="E2089" s="31">
        <v>33</v>
      </c>
      <c r="F2089" s="5">
        <v>4</v>
      </c>
      <c r="G2089" s="31">
        <v>14</v>
      </c>
      <c r="H2089" s="5">
        <v>2033</v>
      </c>
      <c r="I2089" s="5">
        <v>2050</v>
      </c>
      <c r="J2089" s="142">
        <v>1.1071</v>
      </c>
      <c r="K2089" s="142">
        <v>1.03</v>
      </c>
      <c r="L2089" s="142">
        <v>0.76190000000000002</v>
      </c>
      <c r="M2089" s="142">
        <v>1.0437000000000001</v>
      </c>
      <c r="N2089" s="142">
        <v>0.84109999999999996</v>
      </c>
      <c r="O2089" s="142">
        <v>1.0538000000000001</v>
      </c>
      <c r="P2089" s="26">
        <v>6004.6899795544359</v>
      </c>
      <c r="Q2089" s="35">
        <f t="array" ref="Q2089">SUM(IF(($S2089&gt;=4)*($C2089='TaxCred&amp;Subs'!$D$114:$D$121)*($H2089='TaxCred&amp;Subs'!$C$114:$C$121)*($H2089&lt;='TaxCred&amp;Subs'!$C$123),'TaxCred&amp;Subs'!$E$114:$E$121,0))</f>
        <v>0</v>
      </c>
      <c r="R2089" s="143">
        <v>0</v>
      </c>
      <c r="S2089" s="5">
        <v>4</v>
      </c>
      <c r="T2089" s="5" t="s">
        <v>240</v>
      </c>
      <c r="V2089" s="7" t="str">
        <f t="array" ref="V2089">INDEX(xlRTCLNAME,MATCH(1,(xlRTCLENDU=1)*(xlRTCLEQCL=$D2089),0))</f>
        <v>GEO_HP</v>
      </c>
      <c r="W2089" s="7" t="str">
        <f t="array" ref="W2089">INDEX(xlRTCLNAME,MATCH(1,(xlRTCLENDU=2)*(xlRTCLEQCL=$F2089),0))</f>
        <v>GEO_HP</v>
      </c>
      <c r="X2089" s="7" t="str">
        <f t="array" ref="X2089">INDEX(xlRTTYNAME,MATCH(1,(xlRTTYENDU=1)*(xlRTTYEQCL=$D2089)*(xlRTEQTYPE=$E2089),0))</f>
        <v>GEO_HP3</v>
      </c>
      <c r="Y2089" s="7" t="str">
        <f t="array" ref="Y2089">INDEX(xlRTTYNAME,MATCH(1,(xlRTTYENDU=2)*(xlRTTYEQCL=$F2089)*(xlRTEQTYPE=$G2089),0))</f>
        <v>GEO_HP3</v>
      </c>
    </row>
    <row r="2090" spans="2:25" x14ac:dyDescent="0.2">
      <c r="B2090" s="5">
        <v>6</v>
      </c>
      <c r="C2090" s="5">
        <v>3</v>
      </c>
      <c r="D2090" s="5">
        <v>10</v>
      </c>
      <c r="E2090" s="31">
        <v>33</v>
      </c>
      <c r="F2090" s="5">
        <v>4</v>
      </c>
      <c r="G2090" s="31">
        <v>14</v>
      </c>
      <c r="H2090" s="31">
        <v>2020</v>
      </c>
      <c r="I2090" s="5">
        <v>2022</v>
      </c>
      <c r="J2090" s="142">
        <v>1.0909</v>
      </c>
      <c r="K2090" s="142">
        <v>1.0588</v>
      </c>
      <c r="L2090" s="142">
        <v>0.78500000000000003</v>
      </c>
      <c r="M2090" s="142">
        <v>1.0753999999999999</v>
      </c>
      <c r="N2090" s="142">
        <v>0.80820000000000003</v>
      </c>
      <c r="O2090" s="142">
        <v>1.0538000000000001</v>
      </c>
      <c r="P2090" s="26">
        <v>5794.9426358888531</v>
      </c>
      <c r="Q2090" s="35">
        <f t="array" ref="Q2090">SUM(IF(($S2090&gt;=4)*($C2090='TaxCred&amp;Subs'!$D$114:$D$121)*($H2090='TaxCred&amp;Subs'!$C$114:$C$121)*($H2090&lt;='TaxCred&amp;Subs'!$C$123),'TaxCred&amp;Subs'!$E$114:$E$121,0))</f>
        <v>1000</v>
      </c>
      <c r="R2090" s="143">
        <v>0</v>
      </c>
      <c r="S2090" s="5">
        <v>4</v>
      </c>
      <c r="T2090" s="5" t="s">
        <v>240</v>
      </c>
      <c r="V2090" s="7" t="str">
        <f t="array" ref="V2090">INDEX(xlRTCLNAME,MATCH(1,(xlRTCLENDU=1)*(xlRTCLEQCL=$D2090),0))</f>
        <v>GEO_HP</v>
      </c>
      <c r="W2090" s="7" t="str">
        <f t="array" ref="W2090">INDEX(xlRTCLNAME,MATCH(1,(xlRTCLENDU=2)*(xlRTCLEQCL=$F2090),0))</f>
        <v>GEO_HP</v>
      </c>
      <c r="X2090" s="7" t="str">
        <f t="array" ref="X2090">INDEX(xlRTTYNAME,MATCH(1,(xlRTTYENDU=1)*(xlRTTYEQCL=$D2090)*(xlRTEQTYPE=$E2090),0))</f>
        <v>GEO_HP3</v>
      </c>
      <c r="Y2090" s="7" t="str">
        <f t="array" ref="Y2090">INDEX(xlRTTYNAME,MATCH(1,(xlRTTYENDU=2)*(xlRTTYEQCL=$F2090)*(xlRTEQTYPE=$G2090),0))</f>
        <v>GEO_HP3</v>
      </c>
    </row>
    <row r="2091" spans="2:25" x14ac:dyDescent="0.2">
      <c r="B2091" s="5">
        <v>6</v>
      </c>
      <c r="C2091" s="5">
        <v>3</v>
      </c>
      <c r="D2091" s="5">
        <v>10</v>
      </c>
      <c r="E2091" s="31">
        <v>33</v>
      </c>
      <c r="F2091" s="5">
        <v>4</v>
      </c>
      <c r="G2091" s="31">
        <v>14</v>
      </c>
      <c r="H2091" s="5">
        <v>2023</v>
      </c>
      <c r="I2091" s="5">
        <v>2032</v>
      </c>
      <c r="J2091" s="142">
        <v>1.0909</v>
      </c>
      <c r="K2091" s="142">
        <v>1.0588</v>
      </c>
      <c r="L2091" s="142">
        <v>0.78500000000000003</v>
      </c>
      <c r="M2091" s="142">
        <v>1.0753999999999999</v>
      </c>
      <c r="N2091" s="142">
        <v>0.80820000000000003</v>
      </c>
      <c r="O2091" s="142">
        <v>1.0538000000000001</v>
      </c>
      <c r="P2091" s="26">
        <v>5794.9426358888531</v>
      </c>
      <c r="Q2091" s="35">
        <f t="array" ref="Q2091">SUM(IF(($S2091&gt;=4)*($C2091='TaxCred&amp;Subs'!$D$114:$D$121)*($H2091='TaxCred&amp;Subs'!$C$114:$C$121)*($H2091&lt;='TaxCred&amp;Subs'!$C$123),'TaxCred&amp;Subs'!$E$114:$E$121,0))</f>
        <v>2500</v>
      </c>
      <c r="R2091" s="143">
        <v>0</v>
      </c>
      <c r="S2091" s="5">
        <v>4</v>
      </c>
      <c r="T2091" s="5" t="s">
        <v>240</v>
      </c>
      <c r="V2091" s="7" t="str">
        <f t="array" ref="V2091">INDEX(xlRTCLNAME,MATCH(1,(xlRTCLENDU=1)*(xlRTCLEQCL=$D2091),0))</f>
        <v>GEO_HP</v>
      </c>
      <c r="W2091" s="7" t="str">
        <f t="array" ref="W2091">INDEX(xlRTCLNAME,MATCH(1,(xlRTCLENDU=2)*(xlRTCLEQCL=$F2091),0))</f>
        <v>GEO_HP</v>
      </c>
      <c r="X2091" s="7" t="str">
        <f t="array" ref="X2091">INDEX(xlRTTYNAME,MATCH(1,(xlRTTYENDU=1)*(xlRTTYEQCL=$D2091)*(xlRTEQTYPE=$E2091),0))</f>
        <v>GEO_HP3</v>
      </c>
      <c r="Y2091" s="7" t="str">
        <f t="array" ref="Y2091">INDEX(xlRTTYNAME,MATCH(1,(xlRTTYENDU=2)*(xlRTTYEQCL=$F2091)*(xlRTEQTYPE=$G2091),0))</f>
        <v>GEO_HP3</v>
      </c>
    </row>
    <row r="2092" spans="2:25" x14ac:dyDescent="0.2">
      <c r="B2092" s="5">
        <v>6</v>
      </c>
      <c r="C2092" s="5">
        <v>3</v>
      </c>
      <c r="D2092" s="5">
        <v>10</v>
      </c>
      <c r="E2092" s="31">
        <v>33</v>
      </c>
      <c r="F2092" s="5">
        <v>4</v>
      </c>
      <c r="G2092" s="31">
        <v>14</v>
      </c>
      <c r="H2092" s="5">
        <v>2033</v>
      </c>
      <c r="I2092" s="5">
        <v>2050</v>
      </c>
      <c r="J2092" s="142">
        <v>1.0909</v>
      </c>
      <c r="K2092" s="142">
        <v>1.0588</v>
      </c>
      <c r="L2092" s="142">
        <v>0.78500000000000003</v>
      </c>
      <c r="M2092" s="142">
        <v>1.0753999999999999</v>
      </c>
      <c r="N2092" s="142">
        <v>0.80820000000000003</v>
      </c>
      <c r="O2092" s="142">
        <v>1.0538000000000001</v>
      </c>
      <c r="P2092" s="26">
        <v>5794.9426358888531</v>
      </c>
      <c r="Q2092" s="35">
        <f t="array" ref="Q2092">SUM(IF(($S2092&gt;=4)*($C2092='TaxCred&amp;Subs'!$D$114:$D$121)*($H2092='TaxCred&amp;Subs'!$C$114:$C$121)*($H2092&lt;='TaxCred&amp;Subs'!$C$123),'TaxCred&amp;Subs'!$E$114:$E$121,0))</f>
        <v>0</v>
      </c>
      <c r="R2092" s="143">
        <v>0</v>
      </c>
      <c r="S2092" s="5">
        <v>4</v>
      </c>
      <c r="T2092" s="5" t="s">
        <v>240</v>
      </c>
      <c r="V2092" s="7" t="str">
        <f t="array" ref="V2092">INDEX(xlRTCLNAME,MATCH(1,(xlRTCLENDU=1)*(xlRTCLEQCL=$D2092),0))</f>
        <v>GEO_HP</v>
      </c>
      <c r="W2092" s="7" t="str">
        <f t="array" ref="W2092">INDEX(xlRTCLNAME,MATCH(1,(xlRTCLENDU=2)*(xlRTCLEQCL=$F2092),0))</f>
        <v>GEO_HP</v>
      </c>
      <c r="X2092" s="7" t="str">
        <f t="array" ref="X2092">INDEX(xlRTTYNAME,MATCH(1,(xlRTTYENDU=1)*(xlRTTYEQCL=$D2092)*(xlRTEQTYPE=$E2092),0))</f>
        <v>GEO_HP3</v>
      </c>
      <c r="Y2092" s="7" t="str">
        <f t="array" ref="Y2092">INDEX(xlRTTYNAME,MATCH(1,(xlRTTYENDU=2)*(xlRTTYEQCL=$F2092)*(xlRTEQTYPE=$G2092),0))</f>
        <v>GEO_HP3</v>
      </c>
    </row>
    <row r="2093" spans="2:25" x14ac:dyDescent="0.2">
      <c r="B2093" s="5">
        <v>7</v>
      </c>
      <c r="C2093" s="5">
        <v>3</v>
      </c>
      <c r="D2093" s="5">
        <v>10</v>
      </c>
      <c r="E2093" s="31">
        <v>33</v>
      </c>
      <c r="F2093" s="5">
        <v>4</v>
      </c>
      <c r="G2093" s="31">
        <v>14</v>
      </c>
      <c r="H2093" s="31">
        <v>2020</v>
      </c>
      <c r="I2093" s="5">
        <v>2022</v>
      </c>
      <c r="J2093" s="142">
        <v>1.0968</v>
      </c>
      <c r="K2093" s="142">
        <v>1.036</v>
      </c>
      <c r="L2093" s="142">
        <v>0.89249999999999996</v>
      </c>
      <c r="M2093" s="142">
        <v>1.0906</v>
      </c>
      <c r="N2093" s="142">
        <v>0.81950000000000001</v>
      </c>
      <c r="O2093" s="142">
        <v>1.0538000000000001</v>
      </c>
      <c r="P2093" s="26">
        <v>3544.1922942466394</v>
      </c>
      <c r="Q2093" s="35">
        <f t="array" ref="Q2093">SUM(IF(($S2093&gt;=4)*($C2093='TaxCred&amp;Subs'!$D$114:$D$121)*($H2093='TaxCred&amp;Subs'!$C$114:$C$121)*($H2093&lt;='TaxCred&amp;Subs'!$C$123),'TaxCred&amp;Subs'!$E$114:$E$121,0))</f>
        <v>1000</v>
      </c>
      <c r="R2093" s="143">
        <v>0</v>
      </c>
      <c r="S2093" s="5">
        <v>4</v>
      </c>
      <c r="T2093" s="5" t="s">
        <v>240</v>
      </c>
      <c r="V2093" s="7" t="str">
        <f t="array" ref="V2093">INDEX(xlRTCLNAME,MATCH(1,(xlRTCLENDU=1)*(xlRTCLEQCL=$D2093),0))</f>
        <v>GEO_HP</v>
      </c>
      <c r="W2093" s="7" t="str">
        <f t="array" ref="W2093">INDEX(xlRTCLNAME,MATCH(1,(xlRTCLENDU=2)*(xlRTCLEQCL=$F2093),0))</f>
        <v>GEO_HP</v>
      </c>
      <c r="X2093" s="7" t="str">
        <f t="array" ref="X2093">INDEX(xlRTTYNAME,MATCH(1,(xlRTTYENDU=1)*(xlRTTYEQCL=$D2093)*(xlRTEQTYPE=$E2093),0))</f>
        <v>GEO_HP3</v>
      </c>
      <c r="Y2093" s="7" t="str">
        <f t="array" ref="Y2093">INDEX(xlRTTYNAME,MATCH(1,(xlRTTYENDU=2)*(xlRTTYEQCL=$F2093)*(xlRTEQTYPE=$G2093),0))</f>
        <v>GEO_HP3</v>
      </c>
    </row>
    <row r="2094" spans="2:25" x14ac:dyDescent="0.2">
      <c r="B2094" s="5">
        <v>7</v>
      </c>
      <c r="C2094" s="5">
        <v>3</v>
      </c>
      <c r="D2094" s="5">
        <v>10</v>
      </c>
      <c r="E2094" s="31">
        <v>33</v>
      </c>
      <c r="F2094" s="5">
        <v>4</v>
      </c>
      <c r="G2094" s="31">
        <v>14</v>
      </c>
      <c r="H2094" s="5">
        <v>2023</v>
      </c>
      <c r="I2094" s="5">
        <v>2032</v>
      </c>
      <c r="J2094" s="142">
        <v>1.0968</v>
      </c>
      <c r="K2094" s="142">
        <v>1.036</v>
      </c>
      <c r="L2094" s="142">
        <v>0.89249999999999996</v>
      </c>
      <c r="M2094" s="142">
        <v>1.0906</v>
      </c>
      <c r="N2094" s="142">
        <v>0.81950000000000001</v>
      </c>
      <c r="O2094" s="142">
        <v>1.0538000000000001</v>
      </c>
      <c r="P2094" s="26">
        <v>3544.1922942466394</v>
      </c>
      <c r="Q2094" s="35">
        <f t="array" ref="Q2094">SUM(IF(($S2094&gt;=4)*($C2094='TaxCred&amp;Subs'!$D$114:$D$121)*($H2094='TaxCred&amp;Subs'!$C$114:$C$121)*($H2094&lt;='TaxCred&amp;Subs'!$C$123),'TaxCred&amp;Subs'!$E$114:$E$121,0))</f>
        <v>2500</v>
      </c>
      <c r="R2094" s="143">
        <v>0</v>
      </c>
      <c r="S2094" s="5">
        <v>4</v>
      </c>
      <c r="T2094" s="5" t="s">
        <v>240</v>
      </c>
      <c r="V2094" s="7" t="str">
        <f t="array" ref="V2094">INDEX(xlRTCLNAME,MATCH(1,(xlRTCLENDU=1)*(xlRTCLEQCL=$D2094),0))</f>
        <v>GEO_HP</v>
      </c>
      <c r="W2094" s="7" t="str">
        <f t="array" ref="W2094">INDEX(xlRTCLNAME,MATCH(1,(xlRTCLENDU=2)*(xlRTCLEQCL=$F2094),0))</f>
        <v>GEO_HP</v>
      </c>
      <c r="X2094" s="7" t="str">
        <f t="array" ref="X2094">INDEX(xlRTTYNAME,MATCH(1,(xlRTTYENDU=1)*(xlRTTYEQCL=$D2094)*(xlRTEQTYPE=$E2094),0))</f>
        <v>GEO_HP3</v>
      </c>
      <c r="Y2094" s="7" t="str">
        <f t="array" ref="Y2094">INDEX(xlRTTYNAME,MATCH(1,(xlRTTYENDU=2)*(xlRTTYEQCL=$F2094)*(xlRTEQTYPE=$G2094),0))</f>
        <v>GEO_HP3</v>
      </c>
    </row>
    <row r="2095" spans="2:25" x14ac:dyDescent="0.2">
      <c r="B2095" s="5">
        <v>7</v>
      </c>
      <c r="C2095" s="5">
        <v>3</v>
      </c>
      <c r="D2095" s="5">
        <v>10</v>
      </c>
      <c r="E2095" s="31">
        <v>33</v>
      </c>
      <c r="F2095" s="5">
        <v>4</v>
      </c>
      <c r="G2095" s="31">
        <v>14</v>
      </c>
      <c r="H2095" s="5">
        <v>2033</v>
      </c>
      <c r="I2095" s="5">
        <v>2050</v>
      </c>
      <c r="J2095" s="142">
        <v>1.0968</v>
      </c>
      <c r="K2095" s="142">
        <v>1.036</v>
      </c>
      <c r="L2095" s="142">
        <v>0.89249999999999996</v>
      </c>
      <c r="M2095" s="142">
        <v>1.0906</v>
      </c>
      <c r="N2095" s="142">
        <v>0.81950000000000001</v>
      </c>
      <c r="O2095" s="142">
        <v>1.0538000000000001</v>
      </c>
      <c r="P2095" s="26">
        <v>3544.1922942466394</v>
      </c>
      <c r="Q2095" s="35">
        <f t="array" ref="Q2095">SUM(IF(($S2095&gt;=4)*($C2095='TaxCred&amp;Subs'!$D$114:$D$121)*($H2095='TaxCred&amp;Subs'!$C$114:$C$121)*($H2095&lt;='TaxCred&amp;Subs'!$C$123),'TaxCred&amp;Subs'!$E$114:$E$121,0))</f>
        <v>0</v>
      </c>
      <c r="R2095" s="143">
        <v>0</v>
      </c>
      <c r="S2095" s="5">
        <v>4</v>
      </c>
      <c r="T2095" s="5" t="s">
        <v>240</v>
      </c>
      <c r="V2095" s="7" t="str">
        <f t="array" ref="V2095">INDEX(xlRTCLNAME,MATCH(1,(xlRTCLENDU=1)*(xlRTCLEQCL=$D2095),0))</f>
        <v>GEO_HP</v>
      </c>
      <c r="W2095" s="7" t="str">
        <f t="array" ref="W2095">INDEX(xlRTCLNAME,MATCH(1,(xlRTCLENDU=2)*(xlRTCLEQCL=$F2095),0))</f>
        <v>GEO_HP</v>
      </c>
      <c r="X2095" s="7" t="str">
        <f t="array" ref="X2095">INDEX(xlRTTYNAME,MATCH(1,(xlRTTYENDU=1)*(xlRTTYEQCL=$D2095)*(xlRTEQTYPE=$E2095),0))</f>
        <v>GEO_HP3</v>
      </c>
      <c r="Y2095" s="7" t="str">
        <f t="array" ref="Y2095">INDEX(xlRTTYNAME,MATCH(1,(xlRTTYENDU=2)*(xlRTTYEQCL=$F2095)*(xlRTEQTYPE=$G2095),0))</f>
        <v>GEO_HP3</v>
      </c>
    </row>
    <row r="2096" spans="2:25" x14ac:dyDescent="0.2">
      <c r="B2096" s="5">
        <v>9</v>
      </c>
      <c r="C2096" s="5">
        <v>3</v>
      </c>
      <c r="D2096" s="5">
        <v>10</v>
      </c>
      <c r="E2096" s="31">
        <v>33</v>
      </c>
      <c r="F2096" s="5">
        <v>4</v>
      </c>
      <c r="G2096" s="31">
        <v>14</v>
      </c>
      <c r="H2096" s="31">
        <v>2020</v>
      </c>
      <c r="I2096" s="5">
        <v>2022</v>
      </c>
      <c r="J2096" s="142">
        <v>1.0857000000000001</v>
      </c>
      <c r="K2096" s="142">
        <v>1.0611999999999999</v>
      </c>
      <c r="L2096" s="142">
        <v>0.8276</v>
      </c>
      <c r="M2096" s="142">
        <v>1.1436999999999999</v>
      </c>
      <c r="N2096" s="142">
        <v>0.85860000000000003</v>
      </c>
      <c r="O2096" s="142">
        <v>1.0538000000000001</v>
      </c>
      <c r="P2096" s="26">
        <v>7915.2731548672109</v>
      </c>
      <c r="Q2096" s="35">
        <f t="array" ref="Q2096">SUM(IF(($S2096&gt;=4)*($C2096='TaxCred&amp;Subs'!$D$114:$D$121)*($H2096='TaxCred&amp;Subs'!$C$114:$C$121)*($H2096&lt;='TaxCred&amp;Subs'!$C$123),'TaxCred&amp;Subs'!$E$114:$E$121,0))</f>
        <v>1000</v>
      </c>
      <c r="R2096" s="143">
        <v>0</v>
      </c>
      <c r="S2096" s="5">
        <v>4</v>
      </c>
      <c r="T2096" s="5" t="s">
        <v>240</v>
      </c>
      <c r="V2096" s="7" t="str">
        <f t="array" ref="V2096">INDEX(xlRTCLNAME,MATCH(1,(xlRTCLENDU=1)*(xlRTCLEQCL=$D2096),0))</f>
        <v>GEO_HP</v>
      </c>
      <c r="W2096" s="7" t="str">
        <f t="array" ref="W2096">INDEX(xlRTCLNAME,MATCH(1,(xlRTCLENDU=2)*(xlRTCLEQCL=$F2096),0))</f>
        <v>GEO_HP</v>
      </c>
      <c r="X2096" s="7" t="str">
        <f t="array" ref="X2096">INDEX(xlRTTYNAME,MATCH(1,(xlRTTYENDU=1)*(xlRTTYEQCL=$D2096)*(xlRTEQTYPE=$E2096),0))</f>
        <v>GEO_HP3</v>
      </c>
      <c r="Y2096" s="7" t="str">
        <f t="array" ref="Y2096">INDEX(xlRTTYNAME,MATCH(1,(xlRTTYENDU=2)*(xlRTTYEQCL=$F2096)*(xlRTEQTYPE=$G2096),0))</f>
        <v>GEO_HP3</v>
      </c>
    </row>
    <row r="2097" spans="2:25" x14ac:dyDescent="0.2">
      <c r="B2097" s="5">
        <v>9</v>
      </c>
      <c r="C2097" s="5">
        <v>3</v>
      </c>
      <c r="D2097" s="5">
        <v>10</v>
      </c>
      <c r="E2097" s="31">
        <v>33</v>
      </c>
      <c r="F2097" s="5">
        <v>4</v>
      </c>
      <c r="G2097" s="31">
        <v>14</v>
      </c>
      <c r="H2097" s="5">
        <v>2023</v>
      </c>
      <c r="I2097" s="5">
        <v>2032</v>
      </c>
      <c r="J2097" s="142">
        <v>1.0857000000000001</v>
      </c>
      <c r="K2097" s="142">
        <v>1.0611999999999999</v>
      </c>
      <c r="L2097" s="142">
        <v>0.8276</v>
      </c>
      <c r="M2097" s="142">
        <v>1.1436999999999999</v>
      </c>
      <c r="N2097" s="142">
        <v>0.85860000000000003</v>
      </c>
      <c r="O2097" s="142">
        <v>1.0538000000000001</v>
      </c>
      <c r="P2097" s="26">
        <v>7915.2731548672109</v>
      </c>
      <c r="Q2097" s="35">
        <f t="array" ref="Q2097">SUM(IF(($S2097&gt;=4)*($C2097='TaxCred&amp;Subs'!$D$114:$D$121)*($H2097='TaxCred&amp;Subs'!$C$114:$C$121)*($H2097&lt;='TaxCred&amp;Subs'!$C$123),'TaxCred&amp;Subs'!$E$114:$E$121,0))</f>
        <v>2500</v>
      </c>
      <c r="R2097" s="143">
        <v>0</v>
      </c>
      <c r="S2097" s="5">
        <v>4</v>
      </c>
      <c r="T2097" s="5" t="s">
        <v>240</v>
      </c>
      <c r="V2097" s="7" t="str">
        <f t="array" ref="V2097">INDEX(xlRTCLNAME,MATCH(1,(xlRTCLENDU=1)*(xlRTCLEQCL=$D2097),0))</f>
        <v>GEO_HP</v>
      </c>
      <c r="W2097" s="7" t="str">
        <f t="array" ref="W2097">INDEX(xlRTCLNAME,MATCH(1,(xlRTCLENDU=2)*(xlRTCLEQCL=$F2097),0))</f>
        <v>GEO_HP</v>
      </c>
      <c r="X2097" s="7" t="str">
        <f t="array" ref="X2097">INDEX(xlRTTYNAME,MATCH(1,(xlRTTYENDU=1)*(xlRTTYEQCL=$D2097)*(xlRTEQTYPE=$E2097),0))</f>
        <v>GEO_HP3</v>
      </c>
      <c r="Y2097" s="7" t="str">
        <f t="array" ref="Y2097">INDEX(xlRTTYNAME,MATCH(1,(xlRTTYENDU=2)*(xlRTTYEQCL=$F2097)*(xlRTEQTYPE=$G2097),0))</f>
        <v>GEO_HP3</v>
      </c>
    </row>
    <row r="2098" spans="2:25" x14ac:dyDescent="0.2">
      <c r="B2098" s="5">
        <v>9</v>
      </c>
      <c r="C2098" s="5">
        <v>3</v>
      </c>
      <c r="D2098" s="5">
        <v>10</v>
      </c>
      <c r="E2098" s="31">
        <v>33</v>
      </c>
      <c r="F2098" s="5">
        <v>4</v>
      </c>
      <c r="G2098" s="31">
        <v>14</v>
      </c>
      <c r="H2098" s="5">
        <v>2033</v>
      </c>
      <c r="I2098" s="5">
        <v>2050</v>
      </c>
      <c r="J2098" s="142">
        <v>1.0857000000000001</v>
      </c>
      <c r="K2098" s="142">
        <v>1.0611999999999999</v>
      </c>
      <c r="L2098" s="142">
        <v>0.8276</v>
      </c>
      <c r="M2098" s="142">
        <v>1.1436999999999999</v>
      </c>
      <c r="N2098" s="142">
        <v>0.85860000000000003</v>
      </c>
      <c r="O2098" s="142">
        <v>1.0538000000000001</v>
      </c>
      <c r="P2098" s="26">
        <v>7915.2731548672109</v>
      </c>
      <c r="Q2098" s="35">
        <f t="array" ref="Q2098">SUM(IF(($S2098&gt;=4)*($C2098='TaxCred&amp;Subs'!$D$114:$D$121)*($H2098='TaxCred&amp;Subs'!$C$114:$C$121)*($H2098&lt;='TaxCred&amp;Subs'!$C$123),'TaxCred&amp;Subs'!$E$114:$E$121,0))</f>
        <v>0</v>
      </c>
      <c r="R2098" s="143">
        <v>0</v>
      </c>
      <c r="S2098" s="5">
        <v>4</v>
      </c>
      <c r="T2098" s="5" t="s">
        <v>240</v>
      </c>
      <c r="V2098" s="7" t="str">
        <f t="array" ref="V2098">INDEX(xlRTCLNAME,MATCH(1,(xlRTCLENDU=1)*(xlRTCLEQCL=$D2098),0))</f>
        <v>GEO_HP</v>
      </c>
      <c r="W2098" s="7" t="str">
        <f t="array" ref="W2098">INDEX(xlRTCLNAME,MATCH(1,(xlRTCLENDU=2)*(xlRTCLEQCL=$F2098),0))</f>
        <v>GEO_HP</v>
      </c>
      <c r="X2098" s="7" t="str">
        <f t="array" ref="X2098">INDEX(xlRTTYNAME,MATCH(1,(xlRTTYENDU=1)*(xlRTTYEQCL=$D2098)*(xlRTEQTYPE=$E2098),0))</f>
        <v>GEO_HP3</v>
      </c>
      <c r="Y2098" s="7" t="str">
        <f t="array" ref="Y2098">INDEX(xlRTTYNAME,MATCH(1,(xlRTTYENDU=2)*(xlRTTYEQCL=$F2098)*(xlRTEQTYPE=$G2098),0))</f>
        <v>GEO_HP3</v>
      </c>
    </row>
    <row r="2099" spans="2:25" x14ac:dyDescent="0.2">
      <c r="B2099" s="5">
        <v>2</v>
      </c>
      <c r="C2099" s="5">
        <v>3</v>
      </c>
      <c r="D2099" s="5">
        <v>11</v>
      </c>
      <c r="E2099" s="31">
        <v>35</v>
      </c>
      <c r="F2099" s="5">
        <v>5</v>
      </c>
      <c r="G2099" s="31">
        <v>16</v>
      </c>
      <c r="H2099" s="31">
        <v>2020</v>
      </c>
      <c r="I2099" s="5">
        <v>2022</v>
      </c>
      <c r="J2099" s="142">
        <v>1.0670999999999999</v>
      </c>
      <c r="K2099" s="142">
        <v>1.0638000000000001</v>
      </c>
      <c r="L2099" s="142">
        <v>0.75249999999999995</v>
      </c>
      <c r="M2099" s="142">
        <v>1.1206</v>
      </c>
      <c r="N2099" s="142">
        <v>0.84609999999999996</v>
      </c>
      <c r="O2099" s="142">
        <v>1.0538000000000001</v>
      </c>
      <c r="P2099" s="26">
        <v>9257.118340625233</v>
      </c>
      <c r="Q2099" s="35">
        <f t="array" ref="Q2099">SUM(IF(($S2099&gt;=4)*($C2099='TaxCred&amp;Subs'!$D$114:$D$121)*($H2099='TaxCred&amp;Subs'!$C$114:$C$121)*($H2099&lt;='TaxCred&amp;Subs'!$C$123),'TaxCred&amp;Subs'!$E$114:$E$121,0))</f>
        <v>1000</v>
      </c>
      <c r="R2099" s="143">
        <v>0</v>
      </c>
      <c r="S2099" s="5">
        <v>4</v>
      </c>
      <c r="T2099" s="5" t="s">
        <v>240</v>
      </c>
      <c r="V2099" s="7" t="str">
        <f t="array" ref="V2099">INDEX(xlRTCLNAME,MATCH(1,(xlRTCLENDU=1)*(xlRTCLEQCL=$D2099),0))</f>
        <v>NG_HP</v>
      </c>
      <c r="W2099" s="7" t="str">
        <f t="array" ref="W2099">INDEX(xlRTCLNAME,MATCH(1,(xlRTCLENDU=2)*(xlRTCLEQCL=$F2099),0))</f>
        <v>NG_HP</v>
      </c>
      <c r="X2099" s="7" t="str">
        <f t="array" ref="X2099">INDEX(xlRTTYNAME,MATCH(1,(xlRTTYENDU=1)*(xlRTTYEQCL=$D2099)*(xlRTEQTYPE=$E2099),0))</f>
        <v>NG_HP2</v>
      </c>
      <c r="Y2099" s="7" t="str">
        <f t="array" ref="Y2099">INDEX(xlRTTYNAME,MATCH(1,(xlRTTYENDU=2)*(xlRTTYEQCL=$F2099)*(xlRTEQTYPE=$G2099),0))</f>
        <v>NG_HP2</v>
      </c>
    </row>
    <row r="2100" spans="2:25" x14ac:dyDescent="0.2">
      <c r="B2100" s="5">
        <v>2</v>
      </c>
      <c r="C2100" s="5">
        <v>3</v>
      </c>
      <c r="D2100" s="5">
        <v>11</v>
      </c>
      <c r="E2100" s="31">
        <v>35</v>
      </c>
      <c r="F2100" s="5">
        <v>5</v>
      </c>
      <c r="G2100" s="31">
        <v>16</v>
      </c>
      <c r="H2100" s="5">
        <v>2023</v>
      </c>
      <c r="I2100" s="5">
        <v>2032</v>
      </c>
      <c r="J2100" s="142">
        <v>1.0670999999999999</v>
      </c>
      <c r="K2100" s="142">
        <v>1.0638000000000001</v>
      </c>
      <c r="L2100" s="142">
        <v>0.75249999999999995</v>
      </c>
      <c r="M2100" s="142">
        <v>1.1206</v>
      </c>
      <c r="N2100" s="142">
        <v>0.84609999999999996</v>
      </c>
      <c r="O2100" s="142">
        <v>1.0538000000000001</v>
      </c>
      <c r="P2100" s="26">
        <v>9257.118340625233</v>
      </c>
      <c r="Q2100" s="35">
        <f t="array" ref="Q2100">SUM(IF(($S2100&gt;=4)*($C2100='TaxCred&amp;Subs'!$D$114:$D$121)*($H2100='TaxCred&amp;Subs'!$C$114:$C$121)*($H2100&lt;='TaxCred&amp;Subs'!$C$123),'TaxCred&amp;Subs'!$E$114:$E$121,0))</f>
        <v>2500</v>
      </c>
      <c r="R2100" s="143">
        <v>0</v>
      </c>
      <c r="S2100" s="5">
        <v>4</v>
      </c>
      <c r="T2100" s="5" t="s">
        <v>240</v>
      </c>
      <c r="V2100" s="7" t="str">
        <f t="array" ref="V2100">INDEX(xlRTCLNAME,MATCH(1,(xlRTCLENDU=1)*(xlRTCLEQCL=$D2100),0))</f>
        <v>NG_HP</v>
      </c>
      <c r="W2100" s="7" t="str">
        <f t="array" ref="W2100">INDEX(xlRTCLNAME,MATCH(1,(xlRTCLENDU=2)*(xlRTCLEQCL=$F2100),0))</f>
        <v>NG_HP</v>
      </c>
      <c r="X2100" s="7" t="str">
        <f t="array" ref="X2100">INDEX(xlRTTYNAME,MATCH(1,(xlRTTYENDU=1)*(xlRTTYEQCL=$D2100)*(xlRTEQTYPE=$E2100),0))</f>
        <v>NG_HP2</v>
      </c>
      <c r="Y2100" s="7" t="str">
        <f t="array" ref="Y2100">INDEX(xlRTTYNAME,MATCH(1,(xlRTTYENDU=2)*(xlRTTYEQCL=$F2100)*(xlRTEQTYPE=$G2100),0))</f>
        <v>NG_HP2</v>
      </c>
    </row>
    <row r="2101" spans="2:25" x14ac:dyDescent="0.2">
      <c r="B2101" s="5">
        <v>2</v>
      </c>
      <c r="C2101" s="5">
        <v>3</v>
      </c>
      <c r="D2101" s="5">
        <v>11</v>
      </c>
      <c r="E2101" s="31">
        <v>35</v>
      </c>
      <c r="F2101" s="5">
        <v>5</v>
      </c>
      <c r="G2101" s="31">
        <v>16</v>
      </c>
      <c r="H2101" s="5">
        <v>2033</v>
      </c>
      <c r="I2101" s="5">
        <v>2050</v>
      </c>
      <c r="J2101" s="142">
        <v>1.0670999999999999</v>
      </c>
      <c r="K2101" s="142">
        <v>1.0638000000000001</v>
      </c>
      <c r="L2101" s="142">
        <v>0.75249999999999995</v>
      </c>
      <c r="M2101" s="142">
        <v>1.1206</v>
      </c>
      <c r="N2101" s="142">
        <v>0.84609999999999996</v>
      </c>
      <c r="O2101" s="142">
        <v>1.0538000000000001</v>
      </c>
      <c r="P2101" s="26">
        <v>9257.118340625233</v>
      </c>
      <c r="Q2101" s="35">
        <f t="array" ref="Q2101">SUM(IF(($S2101&gt;=4)*($C2101='TaxCred&amp;Subs'!$D$114:$D$121)*($H2101='TaxCred&amp;Subs'!$C$114:$C$121)*($H2101&lt;='TaxCred&amp;Subs'!$C$123),'TaxCred&amp;Subs'!$E$114:$E$121,0))</f>
        <v>0</v>
      </c>
      <c r="R2101" s="143">
        <v>0</v>
      </c>
      <c r="S2101" s="5">
        <v>4</v>
      </c>
      <c r="T2101" s="5" t="s">
        <v>240</v>
      </c>
      <c r="V2101" s="7" t="str">
        <f t="array" ref="V2101">INDEX(xlRTCLNAME,MATCH(1,(xlRTCLENDU=1)*(xlRTCLEQCL=$D2101),0))</f>
        <v>NG_HP</v>
      </c>
      <c r="W2101" s="7" t="str">
        <f t="array" ref="W2101">INDEX(xlRTCLNAME,MATCH(1,(xlRTCLENDU=2)*(xlRTCLEQCL=$F2101),0))</f>
        <v>NG_HP</v>
      </c>
      <c r="X2101" s="7" t="str">
        <f t="array" ref="X2101">INDEX(xlRTTYNAME,MATCH(1,(xlRTTYENDU=1)*(xlRTTYEQCL=$D2101)*(xlRTEQTYPE=$E2101),0))</f>
        <v>NG_HP2</v>
      </c>
      <c r="Y2101" s="7" t="str">
        <f t="array" ref="Y2101">INDEX(xlRTTYNAME,MATCH(1,(xlRTTYENDU=2)*(xlRTTYEQCL=$F2101)*(xlRTEQTYPE=$G2101),0))</f>
        <v>NG_HP2</v>
      </c>
    </row>
    <row r="2102" spans="2:25" x14ac:dyDescent="0.2">
      <c r="B2102" s="5">
        <v>5</v>
      </c>
      <c r="C2102" s="5">
        <v>3</v>
      </c>
      <c r="D2102" s="5">
        <v>11</v>
      </c>
      <c r="E2102" s="31">
        <v>35</v>
      </c>
      <c r="F2102" s="5">
        <v>5</v>
      </c>
      <c r="G2102" s="31">
        <v>16</v>
      </c>
      <c r="H2102" s="31">
        <v>2020</v>
      </c>
      <c r="I2102" s="5">
        <v>2022</v>
      </c>
      <c r="J2102" s="142">
        <v>1.0559000000000001</v>
      </c>
      <c r="K2102" s="142">
        <v>1.0444</v>
      </c>
      <c r="L2102" s="142">
        <v>0.86019999999999996</v>
      </c>
      <c r="M2102" s="142">
        <v>1.0145999999999999</v>
      </c>
      <c r="N2102" s="142">
        <v>0.83460000000000001</v>
      </c>
      <c r="O2102" s="142">
        <v>1.0538000000000001</v>
      </c>
      <c r="P2102" s="26">
        <v>6800.6542580802361</v>
      </c>
      <c r="Q2102" s="35">
        <f t="array" ref="Q2102">SUM(IF(($S2102&gt;=4)*($C2102='TaxCred&amp;Subs'!$D$114:$D$121)*($H2102='TaxCred&amp;Subs'!$C$114:$C$121)*($H2102&lt;='TaxCred&amp;Subs'!$C$123),'TaxCred&amp;Subs'!$E$114:$E$121,0))</f>
        <v>1000</v>
      </c>
      <c r="R2102" s="143">
        <v>0</v>
      </c>
      <c r="S2102" s="5">
        <v>4</v>
      </c>
      <c r="T2102" s="5" t="s">
        <v>240</v>
      </c>
      <c r="V2102" s="7" t="str">
        <f t="array" ref="V2102">INDEX(xlRTCLNAME,MATCH(1,(xlRTCLENDU=1)*(xlRTCLEQCL=$D2102),0))</f>
        <v>NG_HP</v>
      </c>
      <c r="W2102" s="7" t="str">
        <f t="array" ref="W2102">INDEX(xlRTCLNAME,MATCH(1,(xlRTCLENDU=2)*(xlRTCLEQCL=$F2102),0))</f>
        <v>NG_HP</v>
      </c>
      <c r="X2102" s="7" t="str">
        <f t="array" ref="X2102">INDEX(xlRTTYNAME,MATCH(1,(xlRTTYENDU=1)*(xlRTTYEQCL=$D2102)*(xlRTEQTYPE=$E2102),0))</f>
        <v>NG_HP2</v>
      </c>
      <c r="Y2102" s="7" t="str">
        <f t="array" ref="Y2102">INDEX(xlRTTYNAME,MATCH(1,(xlRTTYENDU=2)*(xlRTTYEQCL=$F2102)*(xlRTEQTYPE=$G2102),0))</f>
        <v>NG_HP2</v>
      </c>
    </row>
    <row r="2103" spans="2:25" x14ac:dyDescent="0.2">
      <c r="B2103" s="5">
        <v>5</v>
      </c>
      <c r="C2103" s="5">
        <v>3</v>
      </c>
      <c r="D2103" s="5">
        <v>11</v>
      </c>
      <c r="E2103" s="31">
        <v>35</v>
      </c>
      <c r="F2103" s="5">
        <v>5</v>
      </c>
      <c r="G2103" s="31">
        <v>16</v>
      </c>
      <c r="H2103" s="5">
        <v>2023</v>
      </c>
      <c r="I2103" s="5">
        <v>2032</v>
      </c>
      <c r="J2103" s="142">
        <v>1.0559000000000001</v>
      </c>
      <c r="K2103" s="142">
        <v>1.0444</v>
      </c>
      <c r="L2103" s="142">
        <v>0.86019999999999996</v>
      </c>
      <c r="M2103" s="142">
        <v>1.0145999999999999</v>
      </c>
      <c r="N2103" s="142">
        <v>0.83460000000000001</v>
      </c>
      <c r="O2103" s="142">
        <v>1.0538000000000001</v>
      </c>
      <c r="P2103" s="26">
        <v>6800.6542580802361</v>
      </c>
      <c r="Q2103" s="35">
        <f t="array" ref="Q2103">SUM(IF(($S2103&gt;=4)*($C2103='TaxCred&amp;Subs'!$D$114:$D$121)*($H2103='TaxCred&amp;Subs'!$C$114:$C$121)*($H2103&lt;='TaxCred&amp;Subs'!$C$123),'TaxCred&amp;Subs'!$E$114:$E$121,0))</f>
        <v>2500</v>
      </c>
      <c r="R2103" s="143">
        <v>0</v>
      </c>
      <c r="S2103" s="5">
        <v>4</v>
      </c>
      <c r="T2103" s="5" t="s">
        <v>240</v>
      </c>
      <c r="V2103" s="7" t="str">
        <f t="array" ref="V2103">INDEX(xlRTCLNAME,MATCH(1,(xlRTCLENDU=1)*(xlRTCLEQCL=$D2103),0))</f>
        <v>NG_HP</v>
      </c>
      <c r="W2103" s="7" t="str">
        <f t="array" ref="W2103">INDEX(xlRTCLNAME,MATCH(1,(xlRTCLENDU=2)*(xlRTCLEQCL=$F2103),0))</f>
        <v>NG_HP</v>
      </c>
      <c r="X2103" s="7" t="str">
        <f t="array" ref="X2103">INDEX(xlRTTYNAME,MATCH(1,(xlRTTYENDU=1)*(xlRTTYEQCL=$D2103)*(xlRTEQTYPE=$E2103),0))</f>
        <v>NG_HP2</v>
      </c>
      <c r="Y2103" s="7" t="str">
        <f t="array" ref="Y2103">INDEX(xlRTTYNAME,MATCH(1,(xlRTTYENDU=2)*(xlRTTYEQCL=$F2103)*(xlRTEQTYPE=$G2103),0))</f>
        <v>NG_HP2</v>
      </c>
    </row>
    <row r="2104" spans="2:25" x14ac:dyDescent="0.2">
      <c r="B2104" s="5">
        <v>5</v>
      </c>
      <c r="C2104" s="5">
        <v>3</v>
      </c>
      <c r="D2104" s="5">
        <v>11</v>
      </c>
      <c r="E2104" s="31">
        <v>35</v>
      </c>
      <c r="F2104" s="5">
        <v>5</v>
      </c>
      <c r="G2104" s="31">
        <v>16</v>
      </c>
      <c r="H2104" s="5">
        <v>2033</v>
      </c>
      <c r="I2104" s="5">
        <v>2050</v>
      </c>
      <c r="J2104" s="142">
        <v>1.0559000000000001</v>
      </c>
      <c r="K2104" s="142">
        <v>1.0444</v>
      </c>
      <c r="L2104" s="142">
        <v>0.86019999999999996</v>
      </c>
      <c r="M2104" s="142">
        <v>1.0145999999999999</v>
      </c>
      <c r="N2104" s="142">
        <v>0.83460000000000001</v>
      </c>
      <c r="O2104" s="142">
        <v>1.0538000000000001</v>
      </c>
      <c r="P2104" s="26">
        <v>6800.6542580802361</v>
      </c>
      <c r="Q2104" s="35">
        <f t="array" ref="Q2104">SUM(IF(($S2104&gt;=4)*($C2104='TaxCred&amp;Subs'!$D$114:$D$121)*($H2104='TaxCred&amp;Subs'!$C$114:$C$121)*($H2104&lt;='TaxCred&amp;Subs'!$C$123),'TaxCred&amp;Subs'!$E$114:$E$121,0))</f>
        <v>0</v>
      </c>
      <c r="R2104" s="143">
        <v>0</v>
      </c>
      <c r="S2104" s="5">
        <v>4</v>
      </c>
      <c r="T2104" s="5" t="s">
        <v>240</v>
      </c>
      <c r="V2104" s="7" t="str">
        <f t="array" ref="V2104">INDEX(xlRTCLNAME,MATCH(1,(xlRTCLENDU=1)*(xlRTCLEQCL=$D2104),0))</f>
        <v>NG_HP</v>
      </c>
      <c r="W2104" s="7" t="str">
        <f t="array" ref="W2104">INDEX(xlRTCLNAME,MATCH(1,(xlRTCLENDU=2)*(xlRTCLEQCL=$F2104),0))</f>
        <v>NG_HP</v>
      </c>
      <c r="X2104" s="7" t="str">
        <f t="array" ref="X2104">INDEX(xlRTTYNAME,MATCH(1,(xlRTTYENDU=1)*(xlRTTYEQCL=$D2104)*(xlRTEQTYPE=$E2104),0))</f>
        <v>NG_HP2</v>
      </c>
      <c r="Y2104" s="7" t="str">
        <f t="array" ref="Y2104">INDEX(xlRTTYNAME,MATCH(1,(xlRTTYENDU=2)*(xlRTTYEQCL=$F2104)*(xlRTEQTYPE=$G2104),0))</f>
        <v>NG_HP2</v>
      </c>
    </row>
    <row r="2105" spans="2:25" x14ac:dyDescent="0.2">
      <c r="B2105" s="5">
        <v>6</v>
      </c>
      <c r="C2105" s="5">
        <v>3</v>
      </c>
      <c r="D2105" s="5">
        <v>11</v>
      </c>
      <c r="E2105" s="31">
        <v>35</v>
      </c>
      <c r="F2105" s="5">
        <v>5</v>
      </c>
      <c r="G2105" s="31">
        <v>16</v>
      </c>
      <c r="H2105" s="31">
        <v>2020</v>
      </c>
      <c r="I2105" s="5">
        <v>2022</v>
      </c>
      <c r="J2105" s="142">
        <v>1.0872999999999999</v>
      </c>
      <c r="K2105" s="142">
        <v>1.0581</v>
      </c>
      <c r="L2105" s="142">
        <v>0.82210000000000005</v>
      </c>
      <c r="M2105" s="142">
        <v>1.0062</v>
      </c>
      <c r="N2105" s="142">
        <v>0.8044</v>
      </c>
      <c r="O2105" s="142">
        <v>1.0538000000000001</v>
      </c>
      <c r="P2105" s="26">
        <v>6491.4113795989288</v>
      </c>
      <c r="Q2105" s="35">
        <f t="array" ref="Q2105">SUM(IF(($S2105&gt;=4)*($C2105='TaxCred&amp;Subs'!$D$114:$D$121)*($H2105='TaxCred&amp;Subs'!$C$114:$C$121)*($H2105&lt;='TaxCred&amp;Subs'!$C$123),'TaxCred&amp;Subs'!$E$114:$E$121,0))</f>
        <v>1000</v>
      </c>
      <c r="R2105" s="143">
        <v>0</v>
      </c>
      <c r="S2105" s="5">
        <v>4</v>
      </c>
      <c r="T2105" s="5" t="s">
        <v>240</v>
      </c>
      <c r="V2105" s="7" t="str">
        <f t="array" ref="V2105">INDEX(xlRTCLNAME,MATCH(1,(xlRTCLENDU=1)*(xlRTCLEQCL=$D2105),0))</f>
        <v>NG_HP</v>
      </c>
      <c r="W2105" s="7" t="str">
        <f t="array" ref="W2105">INDEX(xlRTCLNAME,MATCH(1,(xlRTCLENDU=2)*(xlRTCLEQCL=$F2105),0))</f>
        <v>NG_HP</v>
      </c>
      <c r="X2105" s="7" t="str">
        <f t="array" ref="X2105">INDEX(xlRTTYNAME,MATCH(1,(xlRTTYENDU=1)*(xlRTTYEQCL=$D2105)*(xlRTEQTYPE=$E2105),0))</f>
        <v>NG_HP2</v>
      </c>
      <c r="Y2105" s="7" t="str">
        <f t="array" ref="Y2105">INDEX(xlRTTYNAME,MATCH(1,(xlRTTYENDU=2)*(xlRTTYEQCL=$F2105)*(xlRTEQTYPE=$G2105),0))</f>
        <v>NG_HP2</v>
      </c>
    </row>
    <row r="2106" spans="2:25" x14ac:dyDescent="0.2">
      <c r="B2106" s="5">
        <v>6</v>
      </c>
      <c r="C2106" s="5">
        <v>3</v>
      </c>
      <c r="D2106" s="5">
        <v>11</v>
      </c>
      <c r="E2106" s="31">
        <v>35</v>
      </c>
      <c r="F2106" s="5">
        <v>5</v>
      </c>
      <c r="G2106" s="31">
        <v>16</v>
      </c>
      <c r="H2106" s="5">
        <v>2023</v>
      </c>
      <c r="I2106" s="5">
        <v>2032</v>
      </c>
      <c r="J2106" s="142">
        <v>1.0872999999999999</v>
      </c>
      <c r="K2106" s="142">
        <v>1.0581</v>
      </c>
      <c r="L2106" s="142">
        <v>0.82210000000000005</v>
      </c>
      <c r="M2106" s="142">
        <v>1.0062</v>
      </c>
      <c r="N2106" s="142">
        <v>0.8044</v>
      </c>
      <c r="O2106" s="142">
        <v>1.0538000000000001</v>
      </c>
      <c r="P2106" s="26">
        <v>6491.4113795989288</v>
      </c>
      <c r="Q2106" s="35">
        <f t="array" ref="Q2106">SUM(IF(($S2106&gt;=4)*($C2106='TaxCred&amp;Subs'!$D$114:$D$121)*($H2106='TaxCred&amp;Subs'!$C$114:$C$121)*($H2106&lt;='TaxCred&amp;Subs'!$C$123),'TaxCred&amp;Subs'!$E$114:$E$121,0))</f>
        <v>2500</v>
      </c>
      <c r="R2106" s="143">
        <v>0</v>
      </c>
      <c r="S2106" s="5">
        <v>4</v>
      </c>
      <c r="T2106" s="5" t="s">
        <v>240</v>
      </c>
      <c r="V2106" s="7" t="str">
        <f t="array" ref="V2106">INDEX(xlRTCLNAME,MATCH(1,(xlRTCLENDU=1)*(xlRTCLEQCL=$D2106),0))</f>
        <v>NG_HP</v>
      </c>
      <c r="W2106" s="7" t="str">
        <f t="array" ref="W2106">INDEX(xlRTCLNAME,MATCH(1,(xlRTCLENDU=2)*(xlRTCLEQCL=$F2106),0))</f>
        <v>NG_HP</v>
      </c>
      <c r="X2106" s="7" t="str">
        <f t="array" ref="X2106">INDEX(xlRTTYNAME,MATCH(1,(xlRTTYENDU=1)*(xlRTTYEQCL=$D2106)*(xlRTEQTYPE=$E2106),0))</f>
        <v>NG_HP2</v>
      </c>
      <c r="Y2106" s="7" t="str">
        <f t="array" ref="Y2106">INDEX(xlRTTYNAME,MATCH(1,(xlRTTYENDU=2)*(xlRTTYEQCL=$F2106)*(xlRTEQTYPE=$G2106),0))</f>
        <v>NG_HP2</v>
      </c>
    </row>
    <row r="2107" spans="2:25" x14ac:dyDescent="0.2">
      <c r="B2107" s="5">
        <v>6</v>
      </c>
      <c r="C2107" s="5">
        <v>3</v>
      </c>
      <c r="D2107" s="5">
        <v>11</v>
      </c>
      <c r="E2107" s="31">
        <v>35</v>
      </c>
      <c r="F2107" s="5">
        <v>5</v>
      </c>
      <c r="G2107" s="31">
        <v>16</v>
      </c>
      <c r="H2107" s="5">
        <v>2033</v>
      </c>
      <c r="I2107" s="5">
        <v>2050</v>
      </c>
      <c r="J2107" s="142">
        <v>1.0872999999999999</v>
      </c>
      <c r="K2107" s="142">
        <v>1.0581</v>
      </c>
      <c r="L2107" s="142">
        <v>0.82210000000000005</v>
      </c>
      <c r="M2107" s="142">
        <v>1.0062</v>
      </c>
      <c r="N2107" s="142">
        <v>0.8044</v>
      </c>
      <c r="O2107" s="142">
        <v>1.0538000000000001</v>
      </c>
      <c r="P2107" s="26">
        <v>6491.4113795989288</v>
      </c>
      <c r="Q2107" s="35">
        <f t="array" ref="Q2107">SUM(IF(($S2107&gt;=4)*($C2107='TaxCred&amp;Subs'!$D$114:$D$121)*($H2107='TaxCred&amp;Subs'!$C$114:$C$121)*($H2107&lt;='TaxCred&amp;Subs'!$C$123),'TaxCred&amp;Subs'!$E$114:$E$121,0))</f>
        <v>0</v>
      </c>
      <c r="R2107" s="143">
        <v>0</v>
      </c>
      <c r="S2107" s="5">
        <v>4</v>
      </c>
      <c r="T2107" s="5" t="s">
        <v>240</v>
      </c>
      <c r="V2107" s="7" t="str">
        <f t="array" ref="V2107">INDEX(xlRTCLNAME,MATCH(1,(xlRTCLENDU=1)*(xlRTCLEQCL=$D2107),0))</f>
        <v>NG_HP</v>
      </c>
      <c r="W2107" s="7" t="str">
        <f t="array" ref="W2107">INDEX(xlRTCLNAME,MATCH(1,(xlRTCLENDU=2)*(xlRTCLEQCL=$F2107),0))</f>
        <v>NG_HP</v>
      </c>
      <c r="X2107" s="7" t="str">
        <f t="array" ref="X2107">INDEX(xlRTTYNAME,MATCH(1,(xlRTTYENDU=1)*(xlRTTYEQCL=$D2107)*(xlRTEQTYPE=$E2107),0))</f>
        <v>NG_HP2</v>
      </c>
      <c r="Y2107" s="7" t="str">
        <f t="array" ref="Y2107">INDEX(xlRTTYNAME,MATCH(1,(xlRTTYENDU=2)*(xlRTTYEQCL=$F2107)*(xlRTEQTYPE=$G2107),0))</f>
        <v>NG_HP2</v>
      </c>
    </row>
    <row r="2108" spans="2:25" x14ac:dyDescent="0.2">
      <c r="B2108" s="5">
        <v>7</v>
      </c>
      <c r="C2108" s="5">
        <v>3</v>
      </c>
      <c r="D2108" s="5">
        <v>11</v>
      </c>
      <c r="E2108" s="31">
        <v>35</v>
      </c>
      <c r="F2108" s="5">
        <v>5</v>
      </c>
      <c r="G2108" s="31">
        <v>16</v>
      </c>
      <c r="H2108" s="31">
        <v>2020</v>
      </c>
      <c r="I2108" s="5">
        <v>2022</v>
      </c>
      <c r="J2108" s="142">
        <v>1.0914999999999999</v>
      </c>
      <c r="K2108" s="142">
        <v>1.0496000000000001</v>
      </c>
      <c r="L2108" s="142">
        <v>0.82369999999999999</v>
      </c>
      <c r="M2108" s="142">
        <v>1.0031000000000001</v>
      </c>
      <c r="N2108" s="142">
        <v>0.81759999999999999</v>
      </c>
      <c r="O2108" s="142">
        <v>1.0538000000000001</v>
      </c>
      <c r="P2108" s="26">
        <v>6213.0927889657514</v>
      </c>
      <c r="Q2108" s="35">
        <f t="array" ref="Q2108">SUM(IF(($S2108&gt;=4)*($C2108='TaxCred&amp;Subs'!$D$114:$D$121)*($H2108='TaxCred&amp;Subs'!$C$114:$C$121)*($H2108&lt;='TaxCred&amp;Subs'!$C$123),'TaxCred&amp;Subs'!$E$114:$E$121,0))</f>
        <v>1000</v>
      </c>
      <c r="R2108" s="143">
        <v>0</v>
      </c>
      <c r="S2108" s="5">
        <v>4</v>
      </c>
      <c r="T2108" s="5" t="s">
        <v>240</v>
      </c>
      <c r="V2108" s="7" t="str">
        <f t="array" ref="V2108">INDEX(xlRTCLNAME,MATCH(1,(xlRTCLENDU=1)*(xlRTCLEQCL=$D2108),0))</f>
        <v>NG_HP</v>
      </c>
      <c r="W2108" s="7" t="str">
        <f t="array" ref="W2108">INDEX(xlRTCLNAME,MATCH(1,(xlRTCLENDU=2)*(xlRTCLEQCL=$F2108),0))</f>
        <v>NG_HP</v>
      </c>
      <c r="X2108" s="7" t="str">
        <f t="array" ref="X2108">INDEX(xlRTTYNAME,MATCH(1,(xlRTTYENDU=1)*(xlRTTYEQCL=$D2108)*(xlRTEQTYPE=$E2108),0))</f>
        <v>NG_HP2</v>
      </c>
      <c r="Y2108" s="7" t="str">
        <f t="array" ref="Y2108">INDEX(xlRTTYNAME,MATCH(1,(xlRTTYENDU=2)*(xlRTTYEQCL=$F2108)*(xlRTEQTYPE=$G2108),0))</f>
        <v>NG_HP2</v>
      </c>
    </row>
    <row r="2109" spans="2:25" x14ac:dyDescent="0.2">
      <c r="B2109" s="5">
        <v>7</v>
      </c>
      <c r="C2109" s="5">
        <v>3</v>
      </c>
      <c r="D2109" s="5">
        <v>11</v>
      </c>
      <c r="E2109" s="31">
        <v>35</v>
      </c>
      <c r="F2109" s="5">
        <v>5</v>
      </c>
      <c r="G2109" s="31">
        <v>16</v>
      </c>
      <c r="H2109" s="5">
        <v>2023</v>
      </c>
      <c r="I2109" s="5">
        <v>2032</v>
      </c>
      <c r="J2109" s="142">
        <v>1.0914999999999999</v>
      </c>
      <c r="K2109" s="142">
        <v>1.0496000000000001</v>
      </c>
      <c r="L2109" s="142">
        <v>0.82369999999999999</v>
      </c>
      <c r="M2109" s="142">
        <v>1.0031000000000001</v>
      </c>
      <c r="N2109" s="142">
        <v>0.81759999999999999</v>
      </c>
      <c r="O2109" s="142">
        <v>1.0538000000000001</v>
      </c>
      <c r="P2109" s="26">
        <v>6213.0927889657514</v>
      </c>
      <c r="Q2109" s="35">
        <f t="array" ref="Q2109">SUM(IF(($S2109&gt;=4)*($C2109='TaxCred&amp;Subs'!$D$114:$D$121)*($H2109='TaxCred&amp;Subs'!$C$114:$C$121)*($H2109&lt;='TaxCred&amp;Subs'!$C$123),'TaxCred&amp;Subs'!$E$114:$E$121,0))</f>
        <v>2500</v>
      </c>
      <c r="R2109" s="143">
        <v>0</v>
      </c>
      <c r="S2109" s="5">
        <v>4</v>
      </c>
      <c r="T2109" s="5" t="s">
        <v>240</v>
      </c>
      <c r="V2109" s="7" t="str">
        <f t="array" ref="V2109">INDEX(xlRTCLNAME,MATCH(1,(xlRTCLENDU=1)*(xlRTCLEQCL=$D2109),0))</f>
        <v>NG_HP</v>
      </c>
      <c r="W2109" s="7" t="str">
        <f t="array" ref="W2109">INDEX(xlRTCLNAME,MATCH(1,(xlRTCLENDU=2)*(xlRTCLEQCL=$F2109),0))</f>
        <v>NG_HP</v>
      </c>
      <c r="X2109" s="7" t="str">
        <f t="array" ref="X2109">INDEX(xlRTTYNAME,MATCH(1,(xlRTTYENDU=1)*(xlRTTYEQCL=$D2109)*(xlRTEQTYPE=$E2109),0))</f>
        <v>NG_HP2</v>
      </c>
      <c r="Y2109" s="7" t="str">
        <f t="array" ref="Y2109">INDEX(xlRTTYNAME,MATCH(1,(xlRTTYENDU=2)*(xlRTTYEQCL=$F2109)*(xlRTEQTYPE=$G2109),0))</f>
        <v>NG_HP2</v>
      </c>
    </row>
    <row r="2110" spans="2:25" x14ac:dyDescent="0.2">
      <c r="B2110" s="5">
        <v>7</v>
      </c>
      <c r="C2110" s="5">
        <v>3</v>
      </c>
      <c r="D2110" s="5">
        <v>11</v>
      </c>
      <c r="E2110" s="31">
        <v>35</v>
      </c>
      <c r="F2110" s="5">
        <v>5</v>
      </c>
      <c r="G2110" s="31">
        <v>16</v>
      </c>
      <c r="H2110" s="5">
        <v>2033</v>
      </c>
      <c r="I2110" s="5">
        <v>2050</v>
      </c>
      <c r="J2110" s="142">
        <v>1.0914999999999999</v>
      </c>
      <c r="K2110" s="142">
        <v>1.0496000000000001</v>
      </c>
      <c r="L2110" s="142">
        <v>0.82369999999999999</v>
      </c>
      <c r="M2110" s="142">
        <v>1.0031000000000001</v>
      </c>
      <c r="N2110" s="142">
        <v>0.81759999999999999</v>
      </c>
      <c r="O2110" s="142">
        <v>1.0538000000000001</v>
      </c>
      <c r="P2110" s="26">
        <v>6213.0927889657514</v>
      </c>
      <c r="Q2110" s="35">
        <f t="array" ref="Q2110">SUM(IF(($S2110&gt;=4)*($C2110='TaxCred&amp;Subs'!$D$114:$D$121)*($H2110='TaxCred&amp;Subs'!$C$114:$C$121)*($H2110&lt;='TaxCred&amp;Subs'!$C$123),'TaxCred&amp;Subs'!$E$114:$E$121,0))</f>
        <v>0</v>
      </c>
      <c r="R2110" s="143">
        <v>0</v>
      </c>
      <c r="S2110" s="5">
        <v>4</v>
      </c>
      <c r="T2110" s="5" t="s">
        <v>240</v>
      </c>
      <c r="V2110" s="7" t="str">
        <f t="array" ref="V2110">INDEX(xlRTCLNAME,MATCH(1,(xlRTCLENDU=1)*(xlRTCLEQCL=$D2110),0))</f>
        <v>NG_HP</v>
      </c>
      <c r="W2110" s="7" t="str">
        <f t="array" ref="W2110">INDEX(xlRTCLNAME,MATCH(1,(xlRTCLENDU=2)*(xlRTCLEQCL=$F2110),0))</f>
        <v>NG_HP</v>
      </c>
      <c r="X2110" s="7" t="str">
        <f t="array" ref="X2110">INDEX(xlRTTYNAME,MATCH(1,(xlRTTYENDU=1)*(xlRTTYEQCL=$D2110)*(xlRTEQTYPE=$E2110),0))</f>
        <v>NG_HP2</v>
      </c>
      <c r="Y2110" s="7" t="str">
        <f t="array" ref="Y2110">INDEX(xlRTTYNAME,MATCH(1,(xlRTTYENDU=2)*(xlRTTYEQCL=$F2110)*(xlRTEQTYPE=$G2110),0))</f>
        <v>NG_HP2</v>
      </c>
    </row>
    <row r="2111" spans="2:25" x14ac:dyDescent="0.2">
      <c r="B2111" s="5">
        <v>9</v>
      </c>
      <c r="C2111" s="5">
        <v>3</v>
      </c>
      <c r="D2111" s="5">
        <v>11</v>
      </c>
      <c r="E2111" s="31">
        <v>35</v>
      </c>
      <c r="F2111" s="5">
        <v>5</v>
      </c>
      <c r="G2111" s="31">
        <v>16</v>
      </c>
      <c r="H2111" s="31">
        <v>2020</v>
      </c>
      <c r="I2111" s="5">
        <v>2022</v>
      </c>
      <c r="J2111" s="142">
        <v>1.0761000000000001</v>
      </c>
      <c r="K2111" s="142">
        <v>1.0506</v>
      </c>
      <c r="L2111" s="142">
        <v>0.90200000000000002</v>
      </c>
      <c r="M2111" s="142">
        <v>1.0749</v>
      </c>
      <c r="N2111" s="142">
        <v>0.84670000000000001</v>
      </c>
      <c r="O2111" s="142">
        <v>1.0538000000000001</v>
      </c>
      <c r="P2111" s="26">
        <v>8289.0536775533128</v>
      </c>
      <c r="Q2111" s="35">
        <f t="array" ref="Q2111">SUM(IF(($S2111&gt;=4)*($C2111='TaxCred&amp;Subs'!$D$114:$D$121)*($H2111='TaxCred&amp;Subs'!$C$114:$C$121)*($H2111&lt;='TaxCred&amp;Subs'!$C$123),'TaxCred&amp;Subs'!$E$114:$E$121,0))</f>
        <v>1000</v>
      </c>
      <c r="R2111" s="143">
        <v>0</v>
      </c>
      <c r="S2111" s="5">
        <v>4</v>
      </c>
      <c r="T2111" s="5" t="s">
        <v>240</v>
      </c>
      <c r="V2111" s="7" t="str">
        <f t="array" ref="V2111">INDEX(xlRTCLNAME,MATCH(1,(xlRTCLENDU=1)*(xlRTCLEQCL=$D2111),0))</f>
        <v>NG_HP</v>
      </c>
      <c r="W2111" s="7" t="str">
        <f t="array" ref="W2111">INDEX(xlRTCLNAME,MATCH(1,(xlRTCLENDU=2)*(xlRTCLEQCL=$F2111),0))</f>
        <v>NG_HP</v>
      </c>
      <c r="X2111" s="7" t="str">
        <f t="array" ref="X2111">INDEX(xlRTTYNAME,MATCH(1,(xlRTTYENDU=1)*(xlRTTYEQCL=$D2111)*(xlRTEQTYPE=$E2111),0))</f>
        <v>NG_HP2</v>
      </c>
      <c r="Y2111" s="7" t="str">
        <f t="array" ref="Y2111">INDEX(xlRTTYNAME,MATCH(1,(xlRTTYENDU=2)*(xlRTTYEQCL=$F2111)*(xlRTEQTYPE=$G2111),0))</f>
        <v>NG_HP2</v>
      </c>
    </row>
    <row r="2112" spans="2:25" x14ac:dyDescent="0.2">
      <c r="B2112" s="5">
        <v>9</v>
      </c>
      <c r="C2112" s="5">
        <v>3</v>
      </c>
      <c r="D2112" s="5">
        <v>11</v>
      </c>
      <c r="E2112" s="31">
        <v>35</v>
      </c>
      <c r="F2112" s="5">
        <v>5</v>
      </c>
      <c r="G2112" s="31">
        <v>16</v>
      </c>
      <c r="H2112" s="5">
        <v>2023</v>
      </c>
      <c r="I2112" s="5">
        <v>2032</v>
      </c>
      <c r="J2112" s="142">
        <v>1.0761000000000001</v>
      </c>
      <c r="K2112" s="142">
        <v>1.0506</v>
      </c>
      <c r="L2112" s="142">
        <v>0.90200000000000002</v>
      </c>
      <c r="M2112" s="142">
        <v>1.0749</v>
      </c>
      <c r="N2112" s="142">
        <v>0.84670000000000001</v>
      </c>
      <c r="O2112" s="142">
        <v>1.0538000000000001</v>
      </c>
      <c r="P2112" s="26">
        <v>8289.0536775533128</v>
      </c>
      <c r="Q2112" s="35">
        <f t="array" ref="Q2112">SUM(IF(($S2112&gt;=4)*($C2112='TaxCred&amp;Subs'!$D$114:$D$121)*($H2112='TaxCred&amp;Subs'!$C$114:$C$121)*($H2112&lt;='TaxCred&amp;Subs'!$C$123),'TaxCred&amp;Subs'!$E$114:$E$121,0))</f>
        <v>2500</v>
      </c>
      <c r="R2112" s="143">
        <v>0</v>
      </c>
      <c r="S2112" s="5">
        <v>4</v>
      </c>
      <c r="T2112" s="5" t="s">
        <v>240</v>
      </c>
      <c r="V2112" s="7" t="str">
        <f t="array" ref="V2112">INDEX(xlRTCLNAME,MATCH(1,(xlRTCLENDU=1)*(xlRTCLEQCL=$D2112),0))</f>
        <v>NG_HP</v>
      </c>
      <c r="W2112" s="7" t="str">
        <f t="array" ref="W2112">INDEX(xlRTCLNAME,MATCH(1,(xlRTCLENDU=2)*(xlRTCLEQCL=$F2112),0))</f>
        <v>NG_HP</v>
      </c>
      <c r="X2112" s="7" t="str">
        <f t="array" ref="X2112">INDEX(xlRTTYNAME,MATCH(1,(xlRTTYENDU=1)*(xlRTTYEQCL=$D2112)*(xlRTEQTYPE=$E2112),0))</f>
        <v>NG_HP2</v>
      </c>
      <c r="Y2112" s="7" t="str">
        <f t="array" ref="Y2112">INDEX(xlRTTYNAME,MATCH(1,(xlRTTYENDU=2)*(xlRTTYEQCL=$F2112)*(xlRTEQTYPE=$G2112),0))</f>
        <v>NG_HP2</v>
      </c>
    </row>
    <row r="2113" spans="2:25" x14ac:dyDescent="0.2">
      <c r="B2113" s="5">
        <v>9</v>
      </c>
      <c r="C2113" s="5">
        <v>3</v>
      </c>
      <c r="D2113" s="5">
        <v>11</v>
      </c>
      <c r="E2113" s="31">
        <v>35</v>
      </c>
      <c r="F2113" s="5">
        <v>5</v>
      </c>
      <c r="G2113" s="31">
        <v>16</v>
      </c>
      <c r="H2113" s="5">
        <v>2033</v>
      </c>
      <c r="I2113" s="5">
        <v>2050</v>
      </c>
      <c r="J2113" s="142">
        <v>1.0761000000000001</v>
      </c>
      <c r="K2113" s="142">
        <v>1.0506</v>
      </c>
      <c r="L2113" s="142">
        <v>0.90200000000000002</v>
      </c>
      <c r="M2113" s="142">
        <v>1.0749</v>
      </c>
      <c r="N2113" s="142">
        <v>0.84670000000000001</v>
      </c>
      <c r="O2113" s="142">
        <v>1.0538000000000001</v>
      </c>
      <c r="P2113" s="26">
        <v>8289.0536775533128</v>
      </c>
      <c r="Q2113" s="35">
        <f t="array" ref="Q2113">SUM(IF(($S2113&gt;=4)*($C2113='TaxCred&amp;Subs'!$D$114:$D$121)*($H2113='TaxCred&amp;Subs'!$C$114:$C$121)*($H2113&lt;='TaxCred&amp;Subs'!$C$123),'TaxCred&amp;Subs'!$E$114:$E$121,0))</f>
        <v>0</v>
      </c>
      <c r="R2113" s="143">
        <v>0</v>
      </c>
      <c r="S2113" s="5">
        <v>4</v>
      </c>
      <c r="T2113" s="5" t="s">
        <v>240</v>
      </c>
      <c r="V2113" s="7" t="str">
        <f t="array" ref="V2113">INDEX(xlRTCLNAME,MATCH(1,(xlRTCLENDU=1)*(xlRTCLEQCL=$D2113),0))</f>
        <v>NG_HP</v>
      </c>
      <c r="W2113" s="7" t="str">
        <f t="array" ref="W2113">INDEX(xlRTCLNAME,MATCH(1,(xlRTCLENDU=2)*(xlRTCLEQCL=$F2113),0))</f>
        <v>NG_HP</v>
      </c>
      <c r="X2113" s="7" t="str">
        <f t="array" ref="X2113">INDEX(xlRTTYNAME,MATCH(1,(xlRTTYENDU=1)*(xlRTTYEQCL=$D2113)*(xlRTEQTYPE=$E2113),0))</f>
        <v>NG_HP2</v>
      </c>
      <c r="Y2113" s="7" t="str">
        <f t="array" ref="Y2113">INDEX(xlRTTYNAME,MATCH(1,(xlRTTYENDU=2)*(xlRTTYEQCL=$F2113)*(xlRTEQTYPE=$G2113),0))</f>
        <v>NG_HP2</v>
      </c>
    </row>
    <row r="2114" spans="2:25" x14ac:dyDescent="0.2">
      <c r="B2114" s="5">
        <v>5</v>
      </c>
      <c r="C2114" s="5">
        <v>3</v>
      </c>
      <c r="D2114" s="5">
        <v>3</v>
      </c>
      <c r="E2114" s="5">
        <v>9</v>
      </c>
      <c r="F2114" s="5">
        <v>2</v>
      </c>
      <c r="G2114" s="31">
        <v>7</v>
      </c>
      <c r="H2114" s="96">
        <v>2020</v>
      </c>
      <c r="I2114" s="97">
        <v>2022</v>
      </c>
      <c r="J2114" s="142">
        <v>1.0559000000000001</v>
      </c>
      <c r="K2114" s="142">
        <v>1.0444</v>
      </c>
      <c r="L2114" s="142">
        <v>0.73609999999999998</v>
      </c>
      <c r="M2114" s="142">
        <v>0.97389999999999999</v>
      </c>
      <c r="N2114" s="142">
        <v>0.83460000000000001</v>
      </c>
      <c r="O2114" s="142">
        <v>1.0538000000000001</v>
      </c>
      <c r="P2114" s="26">
        <v>7388.2157271947208</v>
      </c>
      <c r="Q2114" s="35">
        <f t="array" ref="Q2114">SUM(IF(($S2114&gt;=4)*($C2114='TaxCred&amp;Subs'!$D$114:$D$121)*($H2114='TaxCred&amp;Subs'!$C$114:$C$121)*($H2114&lt;='TaxCred&amp;Subs'!$C$123),'TaxCred&amp;Subs'!$E$114:$E$121,0))</f>
        <v>1000</v>
      </c>
      <c r="R2114" s="143">
        <v>0</v>
      </c>
      <c r="S2114" s="5">
        <v>5</v>
      </c>
      <c r="T2114" s="5" t="s">
        <v>221</v>
      </c>
      <c r="V2114" s="7" t="str">
        <f t="array" ref="V2114">INDEX(xlRTCLNAME,MATCH(1,(xlRTCLENDU=1)*(xlRTCLEQCL=$D2114),0))</f>
        <v>NG_FA</v>
      </c>
      <c r="W2114" s="7" t="str">
        <f t="array" ref="W2114">INDEX(xlRTCLNAME,MATCH(1,(xlRTCLENDU=2)*(xlRTCLEQCL=$F2114),0))</f>
        <v>CENT_AIR</v>
      </c>
      <c r="X2114" s="7" t="str">
        <f t="array" ref="X2114">INDEX(xlRTTYNAME,MATCH(1,(xlRTTYENDU=1)*(xlRTTYEQCL=$D2114)*(xlRTEQTYPE=$E2114),0))</f>
        <v>NG_FA4</v>
      </c>
      <c r="Y2114" s="7" t="str">
        <f t="array" ref="Y2114">INDEX(xlRTTYNAME,MATCH(1,(xlRTTYENDU=2)*(xlRTTYEQCL=$F2114)*(xlRTEQTYPE=$G2114),0))</f>
        <v>CENT_AIR4</v>
      </c>
    </row>
    <row r="2115" spans="2:25" x14ac:dyDescent="0.2">
      <c r="B2115" s="5">
        <v>5</v>
      </c>
      <c r="C2115" s="5">
        <v>3</v>
      </c>
      <c r="D2115" s="5">
        <v>3</v>
      </c>
      <c r="E2115" s="5">
        <v>9</v>
      </c>
      <c r="F2115" s="5">
        <v>2</v>
      </c>
      <c r="G2115" s="31">
        <v>7</v>
      </c>
      <c r="H2115" s="97">
        <v>2023</v>
      </c>
      <c r="I2115" s="97">
        <v>2032</v>
      </c>
      <c r="J2115" s="142">
        <v>1.0559000000000001</v>
      </c>
      <c r="K2115" s="142">
        <v>1.0444</v>
      </c>
      <c r="L2115" s="142">
        <v>0.73609999999999998</v>
      </c>
      <c r="M2115" s="142">
        <v>0.97389999999999999</v>
      </c>
      <c r="N2115" s="142">
        <v>0.83460000000000001</v>
      </c>
      <c r="O2115" s="142">
        <v>1.0538000000000001</v>
      </c>
      <c r="P2115" s="26">
        <v>7388.2157271947208</v>
      </c>
      <c r="Q2115" s="35">
        <f t="array" ref="Q2115">SUM(IF(($S2115&gt;=4)*($C2115='TaxCred&amp;Subs'!$D$114:$D$121)*($H2115='TaxCred&amp;Subs'!$C$114:$C$121)*($H2115&lt;='TaxCred&amp;Subs'!$C$123),'TaxCred&amp;Subs'!$E$114:$E$121,0))</f>
        <v>2500</v>
      </c>
      <c r="R2115" s="143">
        <v>0</v>
      </c>
      <c r="S2115" s="5">
        <v>5</v>
      </c>
      <c r="T2115" s="5" t="s">
        <v>221</v>
      </c>
      <c r="V2115" s="7" t="str">
        <f t="array" ref="V2115">INDEX(xlRTCLNAME,MATCH(1,(xlRTCLENDU=1)*(xlRTCLEQCL=$D2115),0))</f>
        <v>NG_FA</v>
      </c>
      <c r="W2115" s="7" t="str">
        <f t="array" ref="W2115">INDEX(xlRTCLNAME,MATCH(1,(xlRTCLENDU=2)*(xlRTCLEQCL=$F2115),0))</f>
        <v>CENT_AIR</v>
      </c>
      <c r="X2115" s="7" t="str">
        <f t="array" ref="X2115">INDEX(xlRTTYNAME,MATCH(1,(xlRTTYENDU=1)*(xlRTTYEQCL=$D2115)*(xlRTEQTYPE=$E2115),0))</f>
        <v>NG_FA4</v>
      </c>
      <c r="Y2115" s="7" t="str">
        <f t="array" ref="Y2115">INDEX(xlRTTYNAME,MATCH(1,(xlRTTYENDU=2)*(xlRTTYEQCL=$F2115)*(xlRTEQTYPE=$G2115),0))</f>
        <v>CENT_AIR4</v>
      </c>
    </row>
    <row r="2116" spans="2:25" x14ac:dyDescent="0.2">
      <c r="B2116" s="5">
        <v>5</v>
      </c>
      <c r="C2116" s="5">
        <v>3</v>
      </c>
      <c r="D2116" s="5">
        <v>3</v>
      </c>
      <c r="E2116" s="5">
        <v>9</v>
      </c>
      <c r="F2116" s="5">
        <v>2</v>
      </c>
      <c r="G2116" s="31">
        <v>7</v>
      </c>
      <c r="H2116" s="97">
        <v>2033</v>
      </c>
      <c r="I2116" s="97">
        <v>2050</v>
      </c>
      <c r="J2116" s="142">
        <v>1.0559000000000001</v>
      </c>
      <c r="K2116" s="142">
        <v>1.0444</v>
      </c>
      <c r="L2116" s="142">
        <v>0.73609999999999998</v>
      </c>
      <c r="M2116" s="142">
        <v>0.97389999999999999</v>
      </c>
      <c r="N2116" s="142">
        <v>0.83460000000000001</v>
      </c>
      <c r="O2116" s="142">
        <v>1.0538000000000001</v>
      </c>
      <c r="P2116" s="26">
        <v>7388.2157271947208</v>
      </c>
      <c r="Q2116" s="35">
        <f t="array" ref="Q2116">SUM(IF(($S2116&gt;=4)*($C2116='TaxCred&amp;Subs'!$D$114:$D$121)*($H2116='TaxCred&amp;Subs'!$C$114:$C$121)*($H2116&lt;='TaxCred&amp;Subs'!$C$123),'TaxCred&amp;Subs'!$E$114:$E$121,0))</f>
        <v>0</v>
      </c>
      <c r="R2116" s="143">
        <v>0</v>
      </c>
      <c r="S2116" s="5">
        <v>5</v>
      </c>
      <c r="T2116" s="5" t="s">
        <v>221</v>
      </c>
      <c r="V2116" s="7" t="str">
        <f t="array" ref="V2116">INDEX(xlRTCLNAME,MATCH(1,(xlRTCLENDU=1)*(xlRTCLEQCL=$D2116),0))</f>
        <v>NG_FA</v>
      </c>
      <c r="W2116" s="7" t="str">
        <f t="array" ref="W2116">INDEX(xlRTCLNAME,MATCH(1,(xlRTCLENDU=2)*(xlRTCLEQCL=$F2116),0))</f>
        <v>CENT_AIR</v>
      </c>
      <c r="X2116" s="7" t="str">
        <f t="array" ref="X2116">INDEX(xlRTTYNAME,MATCH(1,(xlRTTYENDU=1)*(xlRTTYEQCL=$D2116)*(xlRTEQTYPE=$E2116),0))</f>
        <v>NG_FA4</v>
      </c>
      <c r="Y2116" s="7" t="str">
        <f t="array" ref="Y2116">INDEX(xlRTTYNAME,MATCH(1,(xlRTTYENDU=2)*(xlRTTYEQCL=$F2116)*(xlRTEQTYPE=$G2116),0))</f>
        <v>CENT_AIR4</v>
      </c>
    </row>
    <row r="2117" spans="2:25" x14ac:dyDescent="0.2">
      <c r="B2117" s="5">
        <v>6</v>
      </c>
      <c r="C2117" s="5">
        <v>3</v>
      </c>
      <c r="D2117" s="5">
        <v>3</v>
      </c>
      <c r="E2117" s="5">
        <v>9</v>
      </c>
      <c r="F2117" s="5">
        <v>2</v>
      </c>
      <c r="G2117" s="31">
        <v>7</v>
      </c>
      <c r="H2117" s="96">
        <v>2020</v>
      </c>
      <c r="I2117" s="97">
        <v>2022</v>
      </c>
      <c r="J2117" s="142">
        <v>1.0872999999999999</v>
      </c>
      <c r="K2117" s="142">
        <v>1.0581</v>
      </c>
      <c r="L2117" s="142">
        <v>0.71930000000000005</v>
      </c>
      <c r="M2117" s="142">
        <v>0.97489999999999999</v>
      </c>
      <c r="N2117" s="142">
        <v>0.8044</v>
      </c>
      <c r="O2117" s="142">
        <v>1.0538000000000001</v>
      </c>
      <c r="P2117" s="26">
        <v>7307.543671938728</v>
      </c>
      <c r="Q2117" s="35">
        <f t="array" ref="Q2117">SUM(IF(($S2117&gt;=4)*($C2117='TaxCred&amp;Subs'!$D$114:$D$121)*($H2117='TaxCred&amp;Subs'!$C$114:$C$121)*($H2117&lt;='TaxCred&amp;Subs'!$C$123),'TaxCred&amp;Subs'!$E$114:$E$121,0))</f>
        <v>1000</v>
      </c>
      <c r="R2117" s="143">
        <v>0</v>
      </c>
      <c r="S2117" s="5">
        <v>5</v>
      </c>
      <c r="T2117" s="5" t="s">
        <v>221</v>
      </c>
      <c r="V2117" s="7" t="str">
        <f t="array" ref="V2117">INDEX(xlRTCLNAME,MATCH(1,(xlRTCLENDU=1)*(xlRTCLEQCL=$D2117),0))</f>
        <v>NG_FA</v>
      </c>
      <c r="W2117" s="7" t="str">
        <f t="array" ref="W2117">INDEX(xlRTCLNAME,MATCH(1,(xlRTCLENDU=2)*(xlRTCLEQCL=$F2117),0))</f>
        <v>CENT_AIR</v>
      </c>
      <c r="X2117" s="7" t="str">
        <f t="array" ref="X2117">INDEX(xlRTTYNAME,MATCH(1,(xlRTTYENDU=1)*(xlRTTYEQCL=$D2117)*(xlRTEQTYPE=$E2117),0))</f>
        <v>NG_FA4</v>
      </c>
      <c r="Y2117" s="7" t="str">
        <f t="array" ref="Y2117">INDEX(xlRTTYNAME,MATCH(1,(xlRTTYENDU=2)*(xlRTTYEQCL=$F2117)*(xlRTEQTYPE=$G2117),0))</f>
        <v>CENT_AIR4</v>
      </c>
    </row>
    <row r="2118" spans="2:25" x14ac:dyDescent="0.2">
      <c r="B2118" s="5">
        <v>6</v>
      </c>
      <c r="C2118" s="5">
        <v>3</v>
      </c>
      <c r="D2118" s="5">
        <v>3</v>
      </c>
      <c r="E2118" s="5">
        <v>9</v>
      </c>
      <c r="F2118" s="5">
        <v>2</v>
      </c>
      <c r="G2118" s="31">
        <v>7</v>
      </c>
      <c r="H2118" s="97">
        <v>2023</v>
      </c>
      <c r="I2118" s="97">
        <v>2032</v>
      </c>
      <c r="J2118" s="142">
        <v>1.0872999999999999</v>
      </c>
      <c r="K2118" s="142">
        <v>1.0581</v>
      </c>
      <c r="L2118" s="142">
        <v>0.71930000000000005</v>
      </c>
      <c r="M2118" s="142">
        <v>0.97489999999999999</v>
      </c>
      <c r="N2118" s="142">
        <v>0.8044</v>
      </c>
      <c r="O2118" s="142">
        <v>1.0538000000000001</v>
      </c>
      <c r="P2118" s="26">
        <v>7307.543671938728</v>
      </c>
      <c r="Q2118" s="35">
        <f t="array" ref="Q2118">SUM(IF(($S2118&gt;=4)*($C2118='TaxCred&amp;Subs'!$D$114:$D$121)*($H2118='TaxCred&amp;Subs'!$C$114:$C$121)*($H2118&lt;='TaxCred&amp;Subs'!$C$123),'TaxCred&amp;Subs'!$E$114:$E$121,0))</f>
        <v>2500</v>
      </c>
      <c r="R2118" s="143">
        <v>0</v>
      </c>
      <c r="S2118" s="5">
        <v>5</v>
      </c>
      <c r="T2118" s="5" t="s">
        <v>221</v>
      </c>
      <c r="V2118" s="7" t="str">
        <f t="array" ref="V2118">INDEX(xlRTCLNAME,MATCH(1,(xlRTCLENDU=1)*(xlRTCLEQCL=$D2118),0))</f>
        <v>NG_FA</v>
      </c>
      <c r="W2118" s="7" t="str">
        <f t="array" ref="W2118">INDEX(xlRTCLNAME,MATCH(1,(xlRTCLENDU=2)*(xlRTCLEQCL=$F2118),0))</f>
        <v>CENT_AIR</v>
      </c>
      <c r="X2118" s="7" t="str">
        <f t="array" ref="X2118">INDEX(xlRTTYNAME,MATCH(1,(xlRTTYENDU=1)*(xlRTTYEQCL=$D2118)*(xlRTEQTYPE=$E2118),0))</f>
        <v>NG_FA4</v>
      </c>
      <c r="Y2118" s="7" t="str">
        <f t="array" ref="Y2118">INDEX(xlRTTYNAME,MATCH(1,(xlRTTYENDU=2)*(xlRTTYEQCL=$F2118)*(xlRTEQTYPE=$G2118),0))</f>
        <v>CENT_AIR4</v>
      </c>
    </row>
    <row r="2119" spans="2:25" x14ac:dyDescent="0.2">
      <c r="B2119" s="5">
        <v>6</v>
      </c>
      <c r="C2119" s="5">
        <v>3</v>
      </c>
      <c r="D2119" s="5">
        <v>3</v>
      </c>
      <c r="E2119" s="5">
        <v>9</v>
      </c>
      <c r="F2119" s="5">
        <v>2</v>
      </c>
      <c r="G2119" s="31">
        <v>7</v>
      </c>
      <c r="H2119" s="97">
        <v>2033</v>
      </c>
      <c r="I2119" s="97">
        <v>2050</v>
      </c>
      <c r="J2119" s="142">
        <v>1.0872999999999999</v>
      </c>
      <c r="K2119" s="142">
        <v>1.0581</v>
      </c>
      <c r="L2119" s="142">
        <v>0.71930000000000005</v>
      </c>
      <c r="M2119" s="142">
        <v>0.97489999999999999</v>
      </c>
      <c r="N2119" s="142">
        <v>0.8044</v>
      </c>
      <c r="O2119" s="142">
        <v>1.0538000000000001</v>
      </c>
      <c r="P2119" s="26">
        <v>7307.543671938728</v>
      </c>
      <c r="Q2119" s="35">
        <f t="array" ref="Q2119">SUM(IF(($S2119&gt;=4)*($C2119='TaxCred&amp;Subs'!$D$114:$D$121)*($H2119='TaxCred&amp;Subs'!$C$114:$C$121)*($H2119&lt;='TaxCred&amp;Subs'!$C$123),'TaxCred&amp;Subs'!$E$114:$E$121,0))</f>
        <v>0</v>
      </c>
      <c r="R2119" s="143">
        <v>0</v>
      </c>
      <c r="S2119" s="5">
        <v>5</v>
      </c>
      <c r="T2119" s="5" t="s">
        <v>221</v>
      </c>
      <c r="V2119" s="7" t="str">
        <f t="array" ref="V2119">INDEX(xlRTCLNAME,MATCH(1,(xlRTCLENDU=1)*(xlRTCLEQCL=$D2119),0))</f>
        <v>NG_FA</v>
      </c>
      <c r="W2119" s="7" t="str">
        <f t="array" ref="W2119">INDEX(xlRTCLNAME,MATCH(1,(xlRTCLENDU=2)*(xlRTCLEQCL=$F2119),0))</f>
        <v>CENT_AIR</v>
      </c>
      <c r="X2119" s="7" t="str">
        <f t="array" ref="X2119">INDEX(xlRTTYNAME,MATCH(1,(xlRTTYENDU=1)*(xlRTTYEQCL=$D2119)*(xlRTEQTYPE=$E2119),0))</f>
        <v>NG_FA4</v>
      </c>
      <c r="Y2119" s="7" t="str">
        <f t="array" ref="Y2119">INDEX(xlRTTYNAME,MATCH(1,(xlRTTYENDU=2)*(xlRTTYEQCL=$F2119)*(xlRTEQTYPE=$G2119),0))</f>
        <v>CENT_AIR4</v>
      </c>
    </row>
    <row r="2120" spans="2:25" x14ac:dyDescent="0.2">
      <c r="B2120" s="5">
        <v>7</v>
      </c>
      <c r="C2120" s="5">
        <v>3</v>
      </c>
      <c r="D2120" s="5">
        <v>3</v>
      </c>
      <c r="E2120" s="5">
        <v>9</v>
      </c>
      <c r="F2120" s="5">
        <v>2</v>
      </c>
      <c r="G2120" s="31">
        <v>7</v>
      </c>
      <c r="H2120" s="96">
        <v>2020</v>
      </c>
      <c r="I2120" s="97">
        <v>2022</v>
      </c>
      <c r="J2120" s="142">
        <v>1.0914999999999999</v>
      </c>
      <c r="K2120" s="142">
        <v>1.0496000000000001</v>
      </c>
      <c r="L2120" s="142">
        <v>0.71430000000000005</v>
      </c>
      <c r="M2120" s="142">
        <v>0.97609999999999997</v>
      </c>
      <c r="N2120" s="142">
        <v>0.81759999999999999</v>
      </c>
      <c r="O2120" s="142">
        <v>1.0538000000000001</v>
      </c>
      <c r="P2120" s="26">
        <v>6908.2169984215607</v>
      </c>
      <c r="Q2120" s="35">
        <f t="array" ref="Q2120">SUM(IF(($S2120&gt;=4)*($C2120='TaxCred&amp;Subs'!$D$114:$D$121)*($H2120='TaxCred&amp;Subs'!$C$114:$C$121)*($H2120&lt;='TaxCred&amp;Subs'!$C$123),'TaxCred&amp;Subs'!$E$114:$E$121,0))</f>
        <v>1000</v>
      </c>
      <c r="R2120" s="143">
        <v>0</v>
      </c>
      <c r="S2120" s="5">
        <v>5</v>
      </c>
      <c r="T2120" s="5" t="s">
        <v>221</v>
      </c>
      <c r="V2120" s="7" t="str">
        <f t="array" ref="V2120">INDEX(xlRTCLNAME,MATCH(1,(xlRTCLENDU=1)*(xlRTCLEQCL=$D2120),0))</f>
        <v>NG_FA</v>
      </c>
      <c r="W2120" s="7" t="str">
        <f t="array" ref="W2120">INDEX(xlRTCLNAME,MATCH(1,(xlRTCLENDU=2)*(xlRTCLEQCL=$F2120),0))</f>
        <v>CENT_AIR</v>
      </c>
      <c r="X2120" s="7" t="str">
        <f t="array" ref="X2120">INDEX(xlRTTYNAME,MATCH(1,(xlRTTYENDU=1)*(xlRTTYEQCL=$D2120)*(xlRTEQTYPE=$E2120),0))</f>
        <v>NG_FA4</v>
      </c>
      <c r="Y2120" s="7" t="str">
        <f t="array" ref="Y2120">INDEX(xlRTTYNAME,MATCH(1,(xlRTTYENDU=2)*(xlRTTYEQCL=$F2120)*(xlRTEQTYPE=$G2120),0))</f>
        <v>CENT_AIR4</v>
      </c>
    </row>
    <row r="2121" spans="2:25" x14ac:dyDescent="0.2">
      <c r="B2121" s="5">
        <v>7</v>
      </c>
      <c r="C2121" s="5">
        <v>3</v>
      </c>
      <c r="D2121" s="5">
        <v>3</v>
      </c>
      <c r="E2121" s="5">
        <v>9</v>
      </c>
      <c r="F2121" s="5">
        <v>2</v>
      </c>
      <c r="G2121" s="31">
        <v>7</v>
      </c>
      <c r="H2121" s="97">
        <v>2023</v>
      </c>
      <c r="I2121" s="97">
        <v>2032</v>
      </c>
      <c r="J2121" s="142">
        <v>1.0914999999999999</v>
      </c>
      <c r="K2121" s="142">
        <v>1.0496000000000001</v>
      </c>
      <c r="L2121" s="142">
        <v>0.71430000000000005</v>
      </c>
      <c r="M2121" s="142">
        <v>0.97609999999999997</v>
      </c>
      <c r="N2121" s="142">
        <v>0.81759999999999999</v>
      </c>
      <c r="O2121" s="142">
        <v>1.0538000000000001</v>
      </c>
      <c r="P2121" s="26">
        <v>6908.2169984215607</v>
      </c>
      <c r="Q2121" s="35">
        <f t="array" ref="Q2121">SUM(IF(($S2121&gt;=4)*($C2121='TaxCred&amp;Subs'!$D$114:$D$121)*($H2121='TaxCred&amp;Subs'!$C$114:$C$121)*($H2121&lt;='TaxCred&amp;Subs'!$C$123),'TaxCred&amp;Subs'!$E$114:$E$121,0))</f>
        <v>2500</v>
      </c>
      <c r="R2121" s="143">
        <v>0</v>
      </c>
      <c r="S2121" s="5">
        <v>5</v>
      </c>
      <c r="T2121" s="5" t="s">
        <v>221</v>
      </c>
      <c r="V2121" s="7" t="str">
        <f t="array" ref="V2121">INDEX(xlRTCLNAME,MATCH(1,(xlRTCLENDU=1)*(xlRTCLEQCL=$D2121),0))</f>
        <v>NG_FA</v>
      </c>
      <c r="W2121" s="7" t="str">
        <f t="array" ref="W2121">INDEX(xlRTCLNAME,MATCH(1,(xlRTCLENDU=2)*(xlRTCLEQCL=$F2121),0))</f>
        <v>CENT_AIR</v>
      </c>
      <c r="X2121" s="7" t="str">
        <f t="array" ref="X2121">INDEX(xlRTTYNAME,MATCH(1,(xlRTTYENDU=1)*(xlRTTYEQCL=$D2121)*(xlRTEQTYPE=$E2121),0))</f>
        <v>NG_FA4</v>
      </c>
      <c r="Y2121" s="7" t="str">
        <f t="array" ref="Y2121">INDEX(xlRTTYNAME,MATCH(1,(xlRTTYENDU=2)*(xlRTTYEQCL=$F2121)*(xlRTEQTYPE=$G2121),0))</f>
        <v>CENT_AIR4</v>
      </c>
    </row>
    <row r="2122" spans="2:25" x14ac:dyDescent="0.2">
      <c r="B2122" s="5">
        <v>7</v>
      </c>
      <c r="C2122" s="5">
        <v>3</v>
      </c>
      <c r="D2122" s="5">
        <v>3</v>
      </c>
      <c r="E2122" s="5">
        <v>9</v>
      </c>
      <c r="F2122" s="5">
        <v>2</v>
      </c>
      <c r="G2122" s="31">
        <v>7</v>
      </c>
      <c r="H2122" s="97">
        <v>2033</v>
      </c>
      <c r="I2122" s="97">
        <v>2050</v>
      </c>
      <c r="J2122" s="142">
        <v>1.0914999999999999</v>
      </c>
      <c r="K2122" s="142">
        <v>1.0496000000000001</v>
      </c>
      <c r="L2122" s="142">
        <v>0.71430000000000005</v>
      </c>
      <c r="M2122" s="142">
        <v>0.97609999999999997</v>
      </c>
      <c r="N2122" s="142">
        <v>0.81759999999999999</v>
      </c>
      <c r="O2122" s="142">
        <v>1.0538000000000001</v>
      </c>
      <c r="P2122" s="26">
        <v>6908.2169984215607</v>
      </c>
      <c r="Q2122" s="35">
        <f t="array" ref="Q2122">SUM(IF(($S2122&gt;=4)*($C2122='TaxCred&amp;Subs'!$D$114:$D$121)*($H2122='TaxCred&amp;Subs'!$C$114:$C$121)*($H2122&lt;='TaxCred&amp;Subs'!$C$123),'TaxCred&amp;Subs'!$E$114:$E$121,0))</f>
        <v>0</v>
      </c>
      <c r="R2122" s="143">
        <v>0</v>
      </c>
      <c r="S2122" s="5">
        <v>5</v>
      </c>
      <c r="T2122" s="5" t="s">
        <v>221</v>
      </c>
      <c r="V2122" s="7" t="str">
        <f t="array" ref="V2122">INDEX(xlRTCLNAME,MATCH(1,(xlRTCLENDU=1)*(xlRTCLEQCL=$D2122),0))</f>
        <v>NG_FA</v>
      </c>
      <c r="W2122" s="7" t="str">
        <f t="array" ref="W2122">INDEX(xlRTCLNAME,MATCH(1,(xlRTCLENDU=2)*(xlRTCLEQCL=$F2122),0))</f>
        <v>CENT_AIR</v>
      </c>
      <c r="X2122" s="7" t="str">
        <f t="array" ref="X2122">INDEX(xlRTTYNAME,MATCH(1,(xlRTTYENDU=1)*(xlRTTYEQCL=$D2122)*(xlRTEQTYPE=$E2122),0))</f>
        <v>NG_FA4</v>
      </c>
      <c r="Y2122" s="7" t="str">
        <f t="array" ref="Y2122">INDEX(xlRTTYNAME,MATCH(1,(xlRTTYENDU=2)*(xlRTTYEQCL=$F2122)*(xlRTEQTYPE=$G2122),0))</f>
        <v>CENT_AIR4</v>
      </c>
    </row>
    <row r="2123" spans="2:25" x14ac:dyDescent="0.2">
      <c r="B2123" s="5">
        <v>9</v>
      </c>
      <c r="C2123" s="5">
        <v>3</v>
      </c>
      <c r="D2123" s="5">
        <v>3</v>
      </c>
      <c r="E2123" s="5">
        <v>9</v>
      </c>
      <c r="F2123" s="5">
        <v>2</v>
      </c>
      <c r="G2123" s="31">
        <v>7</v>
      </c>
      <c r="H2123" s="96">
        <v>2020</v>
      </c>
      <c r="I2123" s="97">
        <v>2022</v>
      </c>
      <c r="J2123" s="142">
        <v>1.0761000000000001</v>
      </c>
      <c r="K2123" s="142">
        <v>1.0506</v>
      </c>
      <c r="L2123" s="142">
        <v>0.77149999999999996</v>
      </c>
      <c r="M2123" s="142">
        <v>1.0670999999999999</v>
      </c>
      <c r="N2123" s="142">
        <v>0.84670000000000001</v>
      </c>
      <c r="O2123" s="142">
        <v>1.0538000000000001</v>
      </c>
      <c r="P2123" s="26">
        <v>9774.7640285178568</v>
      </c>
      <c r="Q2123" s="35">
        <f t="array" ref="Q2123">SUM(IF(($S2123&gt;=4)*($C2123='TaxCred&amp;Subs'!$D$114:$D$121)*($H2123='TaxCred&amp;Subs'!$C$114:$C$121)*($H2123&lt;='TaxCred&amp;Subs'!$C$123),'TaxCred&amp;Subs'!$E$114:$E$121,0))</f>
        <v>1000</v>
      </c>
      <c r="R2123" s="143">
        <v>0</v>
      </c>
      <c r="S2123" s="5">
        <v>5</v>
      </c>
      <c r="T2123" s="5" t="s">
        <v>221</v>
      </c>
      <c r="V2123" s="7" t="str">
        <f t="array" ref="V2123">INDEX(xlRTCLNAME,MATCH(1,(xlRTCLENDU=1)*(xlRTCLEQCL=$D2123),0))</f>
        <v>NG_FA</v>
      </c>
      <c r="W2123" s="7" t="str">
        <f t="array" ref="W2123">INDEX(xlRTCLNAME,MATCH(1,(xlRTCLENDU=2)*(xlRTCLEQCL=$F2123),0))</f>
        <v>CENT_AIR</v>
      </c>
      <c r="X2123" s="7" t="str">
        <f t="array" ref="X2123">INDEX(xlRTTYNAME,MATCH(1,(xlRTTYENDU=1)*(xlRTTYEQCL=$D2123)*(xlRTEQTYPE=$E2123),0))</f>
        <v>NG_FA4</v>
      </c>
      <c r="Y2123" s="7" t="str">
        <f t="array" ref="Y2123">INDEX(xlRTTYNAME,MATCH(1,(xlRTTYENDU=2)*(xlRTTYEQCL=$F2123)*(xlRTEQTYPE=$G2123),0))</f>
        <v>CENT_AIR4</v>
      </c>
    </row>
    <row r="2124" spans="2:25" x14ac:dyDescent="0.2">
      <c r="B2124" s="5">
        <v>9</v>
      </c>
      <c r="C2124" s="5">
        <v>3</v>
      </c>
      <c r="D2124" s="5">
        <v>3</v>
      </c>
      <c r="E2124" s="5">
        <v>9</v>
      </c>
      <c r="F2124" s="5">
        <v>2</v>
      </c>
      <c r="G2124" s="31">
        <v>7</v>
      </c>
      <c r="H2124" s="97">
        <v>2023</v>
      </c>
      <c r="I2124" s="97">
        <v>2032</v>
      </c>
      <c r="J2124" s="142">
        <v>1.0761000000000001</v>
      </c>
      <c r="K2124" s="142">
        <v>1.0506</v>
      </c>
      <c r="L2124" s="142">
        <v>0.77149999999999996</v>
      </c>
      <c r="M2124" s="142">
        <v>1.0670999999999999</v>
      </c>
      <c r="N2124" s="142">
        <v>0.84670000000000001</v>
      </c>
      <c r="O2124" s="142">
        <v>1.0538000000000001</v>
      </c>
      <c r="P2124" s="26">
        <v>9774.7640285178568</v>
      </c>
      <c r="Q2124" s="35">
        <f t="array" ref="Q2124">SUM(IF(($S2124&gt;=4)*($C2124='TaxCred&amp;Subs'!$D$114:$D$121)*($H2124='TaxCred&amp;Subs'!$C$114:$C$121)*($H2124&lt;='TaxCred&amp;Subs'!$C$123),'TaxCred&amp;Subs'!$E$114:$E$121,0))</f>
        <v>2500</v>
      </c>
      <c r="R2124" s="143">
        <v>0</v>
      </c>
      <c r="S2124" s="5">
        <v>5</v>
      </c>
      <c r="T2124" s="5" t="s">
        <v>221</v>
      </c>
      <c r="V2124" s="7" t="str">
        <f t="array" ref="V2124">INDEX(xlRTCLNAME,MATCH(1,(xlRTCLENDU=1)*(xlRTCLEQCL=$D2124),0))</f>
        <v>NG_FA</v>
      </c>
      <c r="W2124" s="7" t="str">
        <f t="array" ref="W2124">INDEX(xlRTCLNAME,MATCH(1,(xlRTCLENDU=2)*(xlRTCLEQCL=$F2124),0))</f>
        <v>CENT_AIR</v>
      </c>
      <c r="X2124" s="7" t="str">
        <f t="array" ref="X2124">INDEX(xlRTTYNAME,MATCH(1,(xlRTTYENDU=1)*(xlRTTYEQCL=$D2124)*(xlRTEQTYPE=$E2124),0))</f>
        <v>NG_FA4</v>
      </c>
      <c r="Y2124" s="7" t="str">
        <f t="array" ref="Y2124">INDEX(xlRTTYNAME,MATCH(1,(xlRTTYENDU=2)*(xlRTTYEQCL=$F2124)*(xlRTEQTYPE=$G2124),0))</f>
        <v>CENT_AIR4</v>
      </c>
    </row>
    <row r="2125" spans="2:25" x14ac:dyDescent="0.2">
      <c r="B2125" s="5">
        <v>9</v>
      </c>
      <c r="C2125" s="5">
        <v>3</v>
      </c>
      <c r="D2125" s="5">
        <v>3</v>
      </c>
      <c r="E2125" s="5">
        <v>9</v>
      </c>
      <c r="F2125" s="5">
        <v>2</v>
      </c>
      <c r="G2125" s="31">
        <v>7</v>
      </c>
      <c r="H2125" s="97">
        <v>2033</v>
      </c>
      <c r="I2125" s="97">
        <v>2050</v>
      </c>
      <c r="J2125" s="142">
        <v>1.0761000000000001</v>
      </c>
      <c r="K2125" s="142">
        <v>1.0506</v>
      </c>
      <c r="L2125" s="142">
        <v>0.77149999999999996</v>
      </c>
      <c r="M2125" s="142">
        <v>1.0670999999999999</v>
      </c>
      <c r="N2125" s="142">
        <v>0.84670000000000001</v>
      </c>
      <c r="O2125" s="142">
        <v>1.0538000000000001</v>
      </c>
      <c r="P2125" s="26">
        <v>9774.7640285178568</v>
      </c>
      <c r="Q2125" s="35">
        <f t="array" ref="Q2125">SUM(IF(($S2125&gt;=4)*($C2125='TaxCred&amp;Subs'!$D$114:$D$121)*($H2125='TaxCred&amp;Subs'!$C$114:$C$121)*($H2125&lt;='TaxCred&amp;Subs'!$C$123),'TaxCred&amp;Subs'!$E$114:$E$121,0))</f>
        <v>0</v>
      </c>
      <c r="R2125" s="143">
        <v>0</v>
      </c>
      <c r="S2125" s="5">
        <v>5</v>
      </c>
      <c r="T2125" s="5" t="s">
        <v>221</v>
      </c>
      <c r="V2125" s="7" t="str">
        <f t="array" ref="V2125">INDEX(xlRTCLNAME,MATCH(1,(xlRTCLENDU=1)*(xlRTCLEQCL=$D2125),0))</f>
        <v>NG_FA</v>
      </c>
      <c r="W2125" s="7" t="str">
        <f t="array" ref="W2125">INDEX(xlRTCLNAME,MATCH(1,(xlRTCLENDU=2)*(xlRTCLEQCL=$F2125),0))</f>
        <v>CENT_AIR</v>
      </c>
      <c r="X2125" s="7" t="str">
        <f t="array" ref="X2125">INDEX(xlRTTYNAME,MATCH(1,(xlRTTYENDU=1)*(xlRTTYEQCL=$D2125)*(xlRTEQTYPE=$E2125),0))</f>
        <v>NG_FA4</v>
      </c>
      <c r="Y2125" s="7" t="str">
        <f t="array" ref="Y2125">INDEX(xlRTTYNAME,MATCH(1,(xlRTTYENDU=2)*(xlRTTYEQCL=$F2125)*(xlRTEQTYPE=$G2125),0))</f>
        <v>CENT_AIR4</v>
      </c>
    </row>
    <row r="2126" spans="2:25" x14ac:dyDescent="0.2">
      <c r="B2126" s="5">
        <v>5</v>
      </c>
      <c r="C2126" s="5">
        <v>3</v>
      </c>
      <c r="D2126" s="5">
        <v>4</v>
      </c>
      <c r="E2126" s="5">
        <v>13</v>
      </c>
      <c r="F2126" s="5">
        <v>2</v>
      </c>
      <c r="G2126" s="31">
        <v>7</v>
      </c>
      <c r="H2126" s="96">
        <v>2020</v>
      </c>
      <c r="I2126" s="97">
        <v>2022</v>
      </c>
      <c r="J2126" s="142">
        <v>1.0940000000000001</v>
      </c>
      <c r="K2126" s="142">
        <v>1.0575000000000001</v>
      </c>
      <c r="L2126" s="142">
        <v>0.74939999999999996</v>
      </c>
      <c r="M2126" s="142">
        <v>0.97389999999999999</v>
      </c>
      <c r="N2126" s="142">
        <v>0.83130000000000004</v>
      </c>
      <c r="O2126" s="142">
        <v>1.0538000000000001</v>
      </c>
      <c r="P2126" s="26">
        <v>7388.2157271947208</v>
      </c>
      <c r="Q2126" s="35">
        <f t="array" ref="Q2126">SUM(IF(($S2126&gt;=4)*($C2126='TaxCred&amp;Subs'!$D$114:$D$121)*($H2126='TaxCred&amp;Subs'!$C$114:$C$121)*($H2126&lt;='TaxCred&amp;Subs'!$C$123),'TaxCred&amp;Subs'!$E$114:$E$121,0))</f>
        <v>1000</v>
      </c>
      <c r="R2126" s="143">
        <v>0</v>
      </c>
      <c r="S2126" s="5">
        <v>5</v>
      </c>
      <c r="T2126" s="5" t="s">
        <v>221</v>
      </c>
      <c r="V2126" s="7" t="str">
        <f t="array" ref="V2126">INDEX(xlRTCLNAME,MATCH(1,(xlRTCLENDU=1)*(xlRTCLEQCL=$D2126),0))</f>
        <v>NG_RAD</v>
      </c>
      <c r="W2126" s="7" t="str">
        <f t="array" ref="W2126">INDEX(xlRTCLNAME,MATCH(1,(xlRTCLENDU=2)*(xlRTCLEQCL=$F2126),0))</f>
        <v>CENT_AIR</v>
      </c>
      <c r="X2126" s="7" t="str">
        <f t="array" ref="X2126">INDEX(xlRTTYNAME,MATCH(1,(xlRTTYENDU=1)*(xlRTTYEQCL=$D2126)*(xlRTEQTYPE=$E2126),0))</f>
        <v>NG_RAD4</v>
      </c>
      <c r="Y2126" s="7" t="str">
        <f t="array" ref="Y2126">INDEX(xlRTTYNAME,MATCH(1,(xlRTTYENDU=2)*(xlRTTYEQCL=$F2126)*(xlRTEQTYPE=$G2126),0))</f>
        <v>CENT_AIR4</v>
      </c>
    </row>
    <row r="2127" spans="2:25" x14ac:dyDescent="0.2">
      <c r="B2127" s="5">
        <v>5</v>
      </c>
      <c r="C2127" s="5">
        <v>3</v>
      </c>
      <c r="D2127" s="5">
        <v>4</v>
      </c>
      <c r="E2127" s="5">
        <v>13</v>
      </c>
      <c r="F2127" s="5">
        <v>2</v>
      </c>
      <c r="G2127" s="31">
        <v>7</v>
      </c>
      <c r="H2127" s="97">
        <v>2023</v>
      </c>
      <c r="I2127" s="97">
        <v>2032</v>
      </c>
      <c r="J2127" s="142">
        <v>1.0940000000000001</v>
      </c>
      <c r="K2127" s="142">
        <v>1.0575000000000001</v>
      </c>
      <c r="L2127" s="142">
        <v>0.74939999999999996</v>
      </c>
      <c r="M2127" s="142">
        <v>0.97389999999999999</v>
      </c>
      <c r="N2127" s="142">
        <v>0.83130000000000004</v>
      </c>
      <c r="O2127" s="142">
        <v>1.0538000000000001</v>
      </c>
      <c r="P2127" s="26">
        <v>7388.2157271947208</v>
      </c>
      <c r="Q2127" s="35">
        <f t="array" ref="Q2127">SUM(IF(($S2127&gt;=4)*($C2127='TaxCred&amp;Subs'!$D$114:$D$121)*($H2127='TaxCred&amp;Subs'!$C$114:$C$121)*($H2127&lt;='TaxCred&amp;Subs'!$C$123),'TaxCred&amp;Subs'!$E$114:$E$121,0))</f>
        <v>2500</v>
      </c>
      <c r="R2127" s="143">
        <v>0</v>
      </c>
      <c r="S2127" s="5">
        <v>5</v>
      </c>
      <c r="T2127" s="5" t="s">
        <v>221</v>
      </c>
      <c r="V2127" s="7" t="str">
        <f t="array" ref="V2127">INDEX(xlRTCLNAME,MATCH(1,(xlRTCLENDU=1)*(xlRTCLEQCL=$D2127),0))</f>
        <v>NG_RAD</v>
      </c>
      <c r="W2127" s="7" t="str">
        <f t="array" ref="W2127">INDEX(xlRTCLNAME,MATCH(1,(xlRTCLENDU=2)*(xlRTCLEQCL=$F2127),0))</f>
        <v>CENT_AIR</v>
      </c>
      <c r="X2127" s="7" t="str">
        <f t="array" ref="X2127">INDEX(xlRTTYNAME,MATCH(1,(xlRTTYENDU=1)*(xlRTTYEQCL=$D2127)*(xlRTEQTYPE=$E2127),0))</f>
        <v>NG_RAD4</v>
      </c>
      <c r="Y2127" s="7" t="str">
        <f t="array" ref="Y2127">INDEX(xlRTTYNAME,MATCH(1,(xlRTTYENDU=2)*(xlRTTYEQCL=$F2127)*(xlRTEQTYPE=$G2127),0))</f>
        <v>CENT_AIR4</v>
      </c>
    </row>
    <row r="2128" spans="2:25" x14ac:dyDescent="0.2">
      <c r="B2128" s="5">
        <v>5</v>
      </c>
      <c r="C2128" s="5">
        <v>3</v>
      </c>
      <c r="D2128" s="5">
        <v>4</v>
      </c>
      <c r="E2128" s="5">
        <v>13</v>
      </c>
      <c r="F2128" s="5">
        <v>2</v>
      </c>
      <c r="G2128" s="31">
        <v>7</v>
      </c>
      <c r="H2128" s="97">
        <v>2033</v>
      </c>
      <c r="I2128" s="97">
        <v>2050</v>
      </c>
      <c r="J2128" s="142">
        <v>1.0940000000000001</v>
      </c>
      <c r="K2128" s="142">
        <v>1.0575000000000001</v>
      </c>
      <c r="L2128" s="142">
        <v>0.74939999999999996</v>
      </c>
      <c r="M2128" s="142">
        <v>0.97389999999999999</v>
      </c>
      <c r="N2128" s="142">
        <v>0.83130000000000004</v>
      </c>
      <c r="O2128" s="142">
        <v>1.0538000000000001</v>
      </c>
      <c r="P2128" s="26">
        <v>7388.2157271947208</v>
      </c>
      <c r="Q2128" s="35">
        <f t="array" ref="Q2128">SUM(IF(($S2128&gt;=4)*($C2128='TaxCred&amp;Subs'!$D$114:$D$121)*($H2128='TaxCred&amp;Subs'!$C$114:$C$121)*($H2128&lt;='TaxCred&amp;Subs'!$C$123),'TaxCred&amp;Subs'!$E$114:$E$121,0))</f>
        <v>0</v>
      </c>
      <c r="R2128" s="143">
        <v>0</v>
      </c>
      <c r="S2128" s="5">
        <v>5</v>
      </c>
      <c r="T2128" s="5" t="s">
        <v>221</v>
      </c>
      <c r="V2128" s="7" t="str">
        <f t="array" ref="V2128">INDEX(xlRTCLNAME,MATCH(1,(xlRTCLENDU=1)*(xlRTCLEQCL=$D2128),0))</f>
        <v>NG_RAD</v>
      </c>
      <c r="W2128" s="7" t="str">
        <f t="array" ref="W2128">INDEX(xlRTCLNAME,MATCH(1,(xlRTCLENDU=2)*(xlRTCLEQCL=$F2128),0))</f>
        <v>CENT_AIR</v>
      </c>
      <c r="X2128" s="7" t="str">
        <f t="array" ref="X2128">INDEX(xlRTTYNAME,MATCH(1,(xlRTTYENDU=1)*(xlRTTYEQCL=$D2128)*(xlRTEQTYPE=$E2128),0))</f>
        <v>NG_RAD4</v>
      </c>
      <c r="Y2128" s="7" t="str">
        <f t="array" ref="Y2128">INDEX(xlRTTYNAME,MATCH(1,(xlRTTYENDU=2)*(xlRTTYEQCL=$F2128)*(xlRTEQTYPE=$G2128),0))</f>
        <v>CENT_AIR4</v>
      </c>
    </row>
    <row r="2129" spans="2:25" x14ac:dyDescent="0.2">
      <c r="B2129" s="5">
        <v>6</v>
      </c>
      <c r="C2129" s="5">
        <v>3</v>
      </c>
      <c r="D2129" s="5">
        <v>4</v>
      </c>
      <c r="E2129" s="5">
        <v>13</v>
      </c>
      <c r="F2129" s="5">
        <v>2</v>
      </c>
      <c r="G2129" s="31">
        <v>7</v>
      </c>
      <c r="H2129" s="96">
        <v>2020</v>
      </c>
      <c r="I2129" s="97">
        <v>2022</v>
      </c>
      <c r="J2129" s="142">
        <v>1.0873999999999999</v>
      </c>
      <c r="K2129" s="142">
        <v>1.0609999999999999</v>
      </c>
      <c r="L2129" s="142">
        <v>0.73709999999999998</v>
      </c>
      <c r="M2129" s="142">
        <v>0.97489999999999999</v>
      </c>
      <c r="N2129" s="142">
        <v>0.80189999999999995</v>
      </c>
      <c r="O2129" s="142">
        <v>1.0538000000000001</v>
      </c>
      <c r="P2129" s="26">
        <v>7307.543671938728</v>
      </c>
      <c r="Q2129" s="35">
        <f t="array" ref="Q2129">SUM(IF(($S2129&gt;=4)*($C2129='TaxCred&amp;Subs'!$D$114:$D$121)*($H2129='TaxCred&amp;Subs'!$C$114:$C$121)*($H2129&lt;='TaxCred&amp;Subs'!$C$123),'TaxCred&amp;Subs'!$E$114:$E$121,0))</f>
        <v>1000</v>
      </c>
      <c r="R2129" s="143">
        <v>0</v>
      </c>
      <c r="S2129" s="5">
        <v>5</v>
      </c>
      <c r="T2129" s="5" t="s">
        <v>221</v>
      </c>
      <c r="V2129" s="7" t="str">
        <f t="array" ref="V2129">INDEX(xlRTCLNAME,MATCH(1,(xlRTCLENDU=1)*(xlRTCLEQCL=$D2129),0))</f>
        <v>NG_RAD</v>
      </c>
      <c r="W2129" s="7" t="str">
        <f t="array" ref="W2129">INDEX(xlRTCLNAME,MATCH(1,(xlRTCLENDU=2)*(xlRTCLEQCL=$F2129),0))</f>
        <v>CENT_AIR</v>
      </c>
      <c r="X2129" s="7" t="str">
        <f t="array" ref="X2129">INDEX(xlRTTYNAME,MATCH(1,(xlRTTYENDU=1)*(xlRTTYEQCL=$D2129)*(xlRTEQTYPE=$E2129),0))</f>
        <v>NG_RAD4</v>
      </c>
      <c r="Y2129" s="7" t="str">
        <f t="array" ref="Y2129">INDEX(xlRTTYNAME,MATCH(1,(xlRTTYENDU=2)*(xlRTTYEQCL=$F2129)*(xlRTEQTYPE=$G2129),0))</f>
        <v>CENT_AIR4</v>
      </c>
    </row>
    <row r="2130" spans="2:25" x14ac:dyDescent="0.2">
      <c r="B2130" s="5">
        <v>6</v>
      </c>
      <c r="C2130" s="5">
        <v>3</v>
      </c>
      <c r="D2130" s="5">
        <v>4</v>
      </c>
      <c r="E2130" s="5">
        <v>13</v>
      </c>
      <c r="F2130" s="5">
        <v>2</v>
      </c>
      <c r="G2130" s="31">
        <v>7</v>
      </c>
      <c r="H2130" s="97">
        <v>2023</v>
      </c>
      <c r="I2130" s="97">
        <v>2032</v>
      </c>
      <c r="J2130" s="142">
        <v>1.0873999999999999</v>
      </c>
      <c r="K2130" s="142">
        <v>1.0609999999999999</v>
      </c>
      <c r="L2130" s="142">
        <v>0.73709999999999998</v>
      </c>
      <c r="M2130" s="142">
        <v>0.97489999999999999</v>
      </c>
      <c r="N2130" s="142">
        <v>0.80189999999999995</v>
      </c>
      <c r="O2130" s="142">
        <v>1.0538000000000001</v>
      </c>
      <c r="P2130" s="26">
        <v>7307.543671938728</v>
      </c>
      <c r="Q2130" s="35">
        <f t="array" ref="Q2130">SUM(IF(($S2130&gt;=4)*($C2130='TaxCred&amp;Subs'!$D$114:$D$121)*($H2130='TaxCred&amp;Subs'!$C$114:$C$121)*($H2130&lt;='TaxCred&amp;Subs'!$C$123),'TaxCred&amp;Subs'!$E$114:$E$121,0))</f>
        <v>2500</v>
      </c>
      <c r="R2130" s="143">
        <v>0</v>
      </c>
      <c r="S2130" s="5">
        <v>5</v>
      </c>
      <c r="T2130" s="5" t="s">
        <v>221</v>
      </c>
      <c r="V2130" s="7" t="str">
        <f t="array" ref="V2130">INDEX(xlRTCLNAME,MATCH(1,(xlRTCLENDU=1)*(xlRTCLEQCL=$D2130),0))</f>
        <v>NG_RAD</v>
      </c>
      <c r="W2130" s="7" t="str">
        <f t="array" ref="W2130">INDEX(xlRTCLNAME,MATCH(1,(xlRTCLENDU=2)*(xlRTCLEQCL=$F2130),0))</f>
        <v>CENT_AIR</v>
      </c>
      <c r="X2130" s="7" t="str">
        <f t="array" ref="X2130">INDEX(xlRTTYNAME,MATCH(1,(xlRTTYENDU=1)*(xlRTTYEQCL=$D2130)*(xlRTEQTYPE=$E2130),0))</f>
        <v>NG_RAD4</v>
      </c>
      <c r="Y2130" s="7" t="str">
        <f t="array" ref="Y2130">INDEX(xlRTTYNAME,MATCH(1,(xlRTTYENDU=2)*(xlRTTYEQCL=$F2130)*(xlRTEQTYPE=$G2130),0))</f>
        <v>CENT_AIR4</v>
      </c>
    </row>
    <row r="2131" spans="2:25" x14ac:dyDescent="0.2">
      <c r="B2131" s="5">
        <v>6</v>
      </c>
      <c r="C2131" s="5">
        <v>3</v>
      </c>
      <c r="D2131" s="5">
        <v>4</v>
      </c>
      <c r="E2131" s="5">
        <v>13</v>
      </c>
      <c r="F2131" s="5">
        <v>2</v>
      </c>
      <c r="G2131" s="31">
        <v>7</v>
      </c>
      <c r="H2131" s="97">
        <v>2033</v>
      </c>
      <c r="I2131" s="97">
        <v>2050</v>
      </c>
      <c r="J2131" s="142">
        <v>1.0873999999999999</v>
      </c>
      <c r="K2131" s="142">
        <v>1.0609999999999999</v>
      </c>
      <c r="L2131" s="142">
        <v>0.73709999999999998</v>
      </c>
      <c r="M2131" s="142">
        <v>0.97489999999999999</v>
      </c>
      <c r="N2131" s="142">
        <v>0.80189999999999995</v>
      </c>
      <c r="O2131" s="142">
        <v>1.0538000000000001</v>
      </c>
      <c r="P2131" s="26">
        <v>7307.543671938728</v>
      </c>
      <c r="Q2131" s="35">
        <f t="array" ref="Q2131">SUM(IF(($S2131&gt;=4)*($C2131='TaxCred&amp;Subs'!$D$114:$D$121)*($H2131='TaxCred&amp;Subs'!$C$114:$C$121)*($H2131&lt;='TaxCred&amp;Subs'!$C$123),'TaxCred&amp;Subs'!$E$114:$E$121,0))</f>
        <v>0</v>
      </c>
      <c r="R2131" s="143">
        <v>0</v>
      </c>
      <c r="S2131" s="5">
        <v>5</v>
      </c>
      <c r="T2131" s="5" t="s">
        <v>221</v>
      </c>
      <c r="V2131" s="7" t="str">
        <f t="array" ref="V2131">INDEX(xlRTCLNAME,MATCH(1,(xlRTCLENDU=1)*(xlRTCLEQCL=$D2131),0))</f>
        <v>NG_RAD</v>
      </c>
      <c r="W2131" s="7" t="str">
        <f t="array" ref="W2131">INDEX(xlRTCLNAME,MATCH(1,(xlRTCLENDU=2)*(xlRTCLEQCL=$F2131),0))</f>
        <v>CENT_AIR</v>
      </c>
      <c r="X2131" s="7" t="str">
        <f t="array" ref="X2131">INDEX(xlRTTYNAME,MATCH(1,(xlRTTYENDU=1)*(xlRTTYEQCL=$D2131)*(xlRTEQTYPE=$E2131),0))</f>
        <v>NG_RAD4</v>
      </c>
      <c r="Y2131" s="7" t="str">
        <f t="array" ref="Y2131">INDEX(xlRTTYNAME,MATCH(1,(xlRTTYENDU=2)*(xlRTTYEQCL=$F2131)*(xlRTEQTYPE=$G2131),0))</f>
        <v>CENT_AIR4</v>
      </c>
    </row>
    <row r="2132" spans="2:25" x14ac:dyDescent="0.2">
      <c r="B2132" s="5">
        <v>7</v>
      </c>
      <c r="C2132" s="5">
        <v>3</v>
      </c>
      <c r="D2132" s="5">
        <v>4</v>
      </c>
      <c r="E2132" s="5">
        <v>13</v>
      </c>
      <c r="F2132" s="5">
        <v>2</v>
      </c>
      <c r="G2132" s="31">
        <v>7</v>
      </c>
      <c r="H2132" s="96">
        <v>2020</v>
      </c>
      <c r="I2132" s="97">
        <v>2022</v>
      </c>
      <c r="J2132" s="142">
        <v>1.0826</v>
      </c>
      <c r="K2132" s="142">
        <v>1.0412999999999999</v>
      </c>
      <c r="L2132" s="142">
        <v>0.72560000000000002</v>
      </c>
      <c r="M2132" s="142">
        <v>0.97609999999999997</v>
      </c>
      <c r="N2132" s="142">
        <v>0.8125</v>
      </c>
      <c r="O2132" s="142">
        <v>1.0538000000000001</v>
      </c>
      <c r="P2132" s="26">
        <v>6908.2169984215607</v>
      </c>
      <c r="Q2132" s="35">
        <f t="array" ref="Q2132">SUM(IF(($S2132&gt;=4)*($C2132='TaxCred&amp;Subs'!$D$114:$D$121)*($H2132='TaxCred&amp;Subs'!$C$114:$C$121)*($H2132&lt;='TaxCred&amp;Subs'!$C$123),'TaxCred&amp;Subs'!$E$114:$E$121,0))</f>
        <v>1000</v>
      </c>
      <c r="R2132" s="143">
        <v>0</v>
      </c>
      <c r="S2132" s="5">
        <v>5</v>
      </c>
      <c r="T2132" s="5" t="s">
        <v>221</v>
      </c>
      <c r="V2132" s="7" t="str">
        <f t="array" ref="V2132">INDEX(xlRTCLNAME,MATCH(1,(xlRTCLENDU=1)*(xlRTCLEQCL=$D2132),0))</f>
        <v>NG_RAD</v>
      </c>
      <c r="W2132" s="7" t="str">
        <f t="array" ref="W2132">INDEX(xlRTCLNAME,MATCH(1,(xlRTCLENDU=2)*(xlRTCLEQCL=$F2132),0))</f>
        <v>CENT_AIR</v>
      </c>
      <c r="X2132" s="7" t="str">
        <f t="array" ref="X2132">INDEX(xlRTTYNAME,MATCH(1,(xlRTTYENDU=1)*(xlRTTYEQCL=$D2132)*(xlRTEQTYPE=$E2132),0))</f>
        <v>NG_RAD4</v>
      </c>
      <c r="Y2132" s="7" t="str">
        <f t="array" ref="Y2132">INDEX(xlRTTYNAME,MATCH(1,(xlRTTYENDU=2)*(xlRTTYEQCL=$F2132)*(xlRTEQTYPE=$G2132),0))</f>
        <v>CENT_AIR4</v>
      </c>
    </row>
    <row r="2133" spans="2:25" x14ac:dyDescent="0.2">
      <c r="B2133" s="5">
        <v>7</v>
      </c>
      <c r="C2133" s="5">
        <v>3</v>
      </c>
      <c r="D2133" s="5">
        <v>4</v>
      </c>
      <c r="E2133" s="5">
        <v>13</v>
      </c>
      <c r="F2133" s="5">
        <v>2</v>
      </c>
      <c r="G2133" s="31">
        <v>7</v>
      </c>
      <c r="H2133" s="97">
        <v>2023</v>
      </c>
      <c r="I2133" s="97">
        <v>2032</v>
      </c>
      <c r="J2133" s="142">
        <v>1.0826</v>
      </c>
      <c r="K2133" s="142">
        <v>1.0412999999999999</v>
      </c>
      <c r="L2133" s="142">
        <v>0.72560000000000002</v>
      </c>
      <c r="M2133" s="142">
        <v>0.97609999999999997</v>
      </c>
      <c r="N2133" s="142">
        <v>0.8125</v>
      </c>
      <c r="O2133" s="142">
        <v>1.0538000000000001</v>
      </c>
      <c r="P2133" s="26">
        <v>6908.2169984215607</v>
      </c>
      <c r="Q2133" s="35">
        <f t="array" ref="Q2133">SUM(IF(($S2133&gt;=4)*($C2133='TaxCred&amp;Subs'!$D$114:$D$121)*($H2133='TaxCred&amp;Subs'!$C$114:$C$121)*($H2133&lt;='TaxCred&amp;Subs'!$C$123),'TaxCred&amp;Subs'!$E$114:$E$121,0))</f>
        <v>2500</v>
      </c>
      <c r="R2133" s="143">
        <v>0</v>
      </c>
      <c r="S2133" s="5">
        <v>5</v>
      </c>
      <c r="T2133" s="5" t="s">
        <v>221</v>
      </c>
      <c r="V2133" s="7" t="str">
        <f t="array" ref="V2133">INDEX(xlRTCLNAME,MATCH(1,(xlRTCLENDU=1)*(xlRTCLEQCL=$D2133),0))</f>
        <v>NG_RAD</v>
      </c>
      <c r="W2133" s="7" t="str">
        <f t="array" ref="W2133">INDEX(xlRTCLNAME,MATCH(1,(xlRTCLENDU=2)*(xlRTCLEQCL=$F2133),0))</f>
        <v>CENT_AIR</v>
      </c>
      <c r="X2133" s="7" t="str">
        <f t="array" ref="X2133">INDEX(xlRTTYNAME,MATCH(1,(xlRTTYENDU=1)*(xlRTTYEQCL=$D2133)*(xlRTEQTYPE=$E2133),0))</f>
        <v>NG_RAD4</v>
      </c>
      <c r="Y2133" s="7" t="str">
        <f t="array" ref="Y2133">INDEX(xlRTTYNAME,MATCH(1,(xlRTTYENDU=2)*(xlRTTYEQCL=$F2133)*(xlRTEQTYPE=$G2133),0))</f>
        <v>CENT_AIR4</v>
      </c>
    </row>
    <row r="2134" spans="2:25" x14ac:dyDescent="0.2">
      <c r="B2134" s="5">
        <v>7</v>
      </c>
      <c r="C2134" s="5">
        <v>3</v>
      </c>
      <c r="D2134" s="5">
        <v>4</v>
      </c>
      <c r="E2134" s="5">
        <v>13</v>
      </c>
      <c r="F2134" s="5">
        <v>2</v>
      </c>
      <c r="G2134" s="31">
        <v>7</v>
      </c>
      <c r="H2134" s="97">
        <v>2033</v>
      </c>
      <c r="I2134" s="97">
        <v>2050</v>
      </c>
      <c r="J2134" s="142">
        <v>1.0826</v>
      </c>
      <c r="K2134" s="142">
        <v>1.0412999999999999</v>
      </c>
      <c r="L2134" s="142">
        <v>0.72560000000000002</v>
      </c>
      <c r="M2134" s="142">
        <v>0.97609999999999997</v>
      </c>
      <c r="N2134" s="142">
        <v>0.8125</v>
      </c>
      <c r="O2134" s="142">
        <v>1.0538000000000001</v>
      </c>
      <c r="P2134" s="26">
        <v>6908.2169984215607</v>
      </c>
      <c r="Q2134" s="35">
        <f t="array" ref="Q2134">SUM(IF(($S2134&gt;=4)*($C2134='TaxCred&amp;Subs'!$D$114:$D$121)*($H2134='TaxCred&amp;Subs'!$C$114:$C$121)*($H2134&lt;='TaxCred&amp;Subs'!$C$123),'TaxCred&amp;Subs'!$E$114:$E$121,0))</f>
        <v>0</v>
      </c>
      <c r="R2134" s="143">
        <v>0</v>
      </c>
      <c r="S2134" s="5">
        <v>5</v>
      </c>
      <c r="T2134" s="5" t="s">
        <v>221</v>
      </c>
      <c r="V2134" s="7" t="str">
        <f t="array" ref="V2134">INDEX(xlRTCLNAME,MATCH(1,(xlRTCLENDU=1)*(xlRTCLEQCL=$D2134),0))</f>
        <v>NG_RAD</v>
      </c>
      <c r="W2134" s="7" t="str">
        <f t="array" ref="W2134">INDEX(xlRTCLNAME,MATCH(1,(xlRTCLENDU=2)*(xlRTCLEQCL=$F2134),0))</f>
        <v>CENT_AIR</v>
      </c>
      <c r="X2134" s="7" t="str">
        <f t="array" ref="X2134">INDEX(xlRTTYNAME,MATCH(1,(xlRTTYENDU=1)*(xlRTTYEQCL=$D2134)*(xlRTEQTYPE=$E2134),0))</f>
        <v>NG_RAD4</v>
      </c>
      <c r="Y2134" s="7" t="str">
        <f t="array" ref="Y2134">INDEX(xlRTTYNAME,MATCH(1,(xlRTTYENDU=2)*(xlRTTYEQCL=$F2134)*(xlRTEQTYPE=$G2134),0))</f>
        <v>CENT_AIR4</v>
      </c>
    </row>
    <row r="2135" spans="2:25" x14ac:dyDescent="0.2">
      <c r="B2135" s="5">
        <v>9</v>
      </c>
      <c r="C2135" s="5">
        <v>3</v>
      </c>
      <c r="D2135" s="5">
        <v>4</v>
      </c>
      <c r="E2135" s="5">
        <v>13</v>
      </c>
      <c r="F2135" s="5">
        <v>2</v>
      </c>
      <c r="G2135" s="31">
        <v>7</v>
      </c>
      <c r="H2135" s="96">
        <v>2020</v>
      </c>
      <c r="I2135" s="97">
        <v>2022</v>
      </c>
      <c r="J2135" s="142">
        <v>1.0845</v>
      </c>
      <c r="K2135" s="142">
        <v>1.0658000000000001</v>
      </c>
      <c r="L2135" s="142">
        <v>0.78159999999999996</v>
      </c>
      <c r="M2135" s="142">
        <v>1.0670999999999999</v>
      </c>
      <c r="N2135" s="142">
        <v>0.84079999999999999</v>
      </c>
      <c r="O2135" s="142">
        <v>1.0538000000000001</v>
      </c>
      <c r="P2135" s="26">
        <v>9774.7640285178568</v>
      </c>
      <c r="Q2135" s="35">
        <f t="array" ref="Q2135">SUM(IF(($S2135&gt;=4)*($C2135='TaxCred&amp;Subs'!$D$114:$D$121)*($H2135='TaxCred&amp;Subs'!$C$114:$C$121)*($H2135&lt;='TaxCred&amp;Subs'!$C$123),'TaxCred&amp;Subs'!$E$114:$E$121,0))</f>
        <v>1000</v>
      </c>
      <c r="R2135" s="143">
        <v>0</v>
      </c>
      <c r="S2135" s="5">
        <v>5</v>
      </c>
      <c r="T2135" s="5" t="s">
        <v>221</v>
      </c>
      <c r="V2135" s="7" t="str">
        <f t="array" ref="V2135">INDEX(xlRTCLNAME,MATCH(1,(xlRTCLENDU=1)*(xlRTCLEQCL=$D2135),0))</f>
        <v>NG_RAD</v>
      </c>
      <c r="W2135" s="7" t="str">
        <f t="array" ref="W2135">INDEX(xlRTCLNAME,MATCH(1,(xlRTCLENDU=2)*(xlRTCLEQCL=$F2135),0))</f>
        <v>CENT_AIR</v>
      </c>
      <c r="X2135" s="7" t="str">
        <f t="array" ref="X2135">INDEX(xlRTTYNAME,MATCH(1,(xlRTTYENDU=1)*(xlRTTYEQCL=$D2135)*(xlRTEQTYPE=$E2135),0))</f>
        <v>NG_RAD4</v>
      </c>
      <c r="Y2135" s="7" t="str">
        <f t="array" ref="Y2135">INDEX(xlRTTYNAME,MATCH(1,(xlRTTYENDU=2)*(xlRTTYEQCL=$F2135)*(xlRTEQTYPE=$G2135),0))</f>
        <v>CENT_AIR4</v>
      </c>
    </row>
    <row r="2136" spans="2:25" x14ac:dyDescent="0.2">
      <c r="B2136" s="5">
        <v>9</v>
      </c>
      <c r="C2136" s="5">
        <v>3</v>
      </c>
      <c r="D2136" s="5">
        <v>4</v>
      </c>
      <c r="E2136" s="5">
        <v>13</v>
      </c>
      <c r="F2136" s="5">
        <v>2</v>
      </c>
      <c r="G2136" s="31">
        <v>7</v>
      </c>
      <c r="H2136" s="97">
        <v>2023</v>
      </c>
      <c r="I2136" s="97">
        <v>2032</v>
      </c>
      <c r="J2136" s="142">
        <v>1.0845</v>
      </c>
      <c r="K2136" s="142">
        <v>1.0658000000000001</v>
      </c>
      <c r="L2136" s="142">
        <v>0.78159999999999996</v>
      </c>
      <c r="M2136" s="142">
        <v>1.0670999999999999</v>
      </c>
      <c r="N2136" s="142">
        <v>0.84079999999999999</v>
      </c>
      <c r="O2136" s="142">
        <v>1.0538000000000001</v>
      </c>
      <c r="P2136" s="26">
        <v>9774.7640285178568</v>
      </c>
      <c r="Q2136" s="35">
        <f t="array" ref="Q2136">SUM(IF(($S2136&gt;=4)*($C2136='TaxCred&amp;Subs'!$D$114:$D$121)*($H2136='TaxCred&amp;Subs'!$C$114:$C$121)*($H2136&lt;='TaxCred&amp;Subs'!$C$123),'TaxCred&amp;Subs'!$E$114:$E$121,0))</f>
        <v>2500</v>
      </c>
      <c r="R2136" s="143">
        <v>0</v>
      </c>
      <c r="S2136" s="5">
        <v>5</v>
      </c>
      <c r="T2136" s="5" t="s">
        <v>221</v>
      </c>
      <c r="V2136" s="7" t="str">
        <f t="array" ref="V2136">INDEX(xlRTCLNAME,MATCH(1,(xlRTCLENDU=1)*(xlRTCLEQCL=$D2136),0))</f>
        <v>NG_RAD</v>
      </c>
      <c r="W2136" s="7" t="str">
        <f t="array" ref="W2136">INDEX(xlRTCLNAME,MATCH(1,(xlRTCLENDU=2)*(xlRTCLEQCL=$F2136),0))</f>
        <v>CENT_AIR</v>
      </c>
      <c r="X2136" s="7" t="str">
        <f t="array" ref="X2136">INDEX(xlRTTYNAME,MATCH(1,(xlRTTYENDU=1)*(xlRTTYEQCL=$D2136)*(xlRTEQTYPE=$E2136),0))</f>
        <v>NG_RAD4</v>
      </c>
      <c r="Y2136" s="7" t="str">
        <f t="array" ref="Y2136">INDEX(xlRTTYNAME,MATCH(1,(xlRTTYENDU=2)*(xlRTTYEQCL=$F2136)*(xlRTEQTYPE=$G2136),0))</f>
        <v>CENT_AIR4</v>
      </c>
    </row>
    <row r="2137" spans="2:25" x14ac:dyDescent="0.2">
      <c r="B2137" s="5">
        <v>9</v>
      </c>
      <c r="C2137" s="5">
        <v>3</v>
      </c>
      <c r="D2137" s="5">
        <v>4</v>
      </c>
      <c r="E2137" s="5">
        <v>13</v>
      </c>
      <c r="F2137" s="5">
        <v>2</v>
      </c>
      <c r="G2137" s="31">
        <v>7</v>
      </c>
      <c r="H2137" s="97">
        <v>2033</v>
      </c>
      <c r="I2137" s="97">
        <v>2050</v>
      </c>
      <c r="J2137" s="142">
        <v>1.0845</v>
      </c>
      <c r="K2137" s="142">
        <v>1.0658000000000001</v>
      </c>
      <c r="L2137" s="142">
        <v>0.78159999999999996</v>
      </c>
      <c r="M2137" s="142">
        <v>1.0670999999999999</v>
      </c>
      <c r="N2137" s="142">
        <v>0.84079999999999999</v>
      </c>
      <c r="O2137" s="142">
        <v>1.0538000000000001</v>
      </c>
      <c r="P2137" s="26">
        <v>9774.7640285178568</v>
      </c>
      <c r="Q2137" s="35">
        <f t="array" ref="Q2137">SUM(IF(($S2137&gt;=4)*($C2137='TaxCred&amp;Subs'!$D$114:$D$121)*($H2137='TaxCred&amp;Subs'!$C$114:$C$121)*($H2137&lt;='TaxCred&amp;Subs'!$C$123),'TaxCred&amp;Subs'!$E$114:$E$121,0))</f>
        <v>0</v>
      </c>
      <c r="R2137" s="143">
        <v>0</v>
      </c>
      <c r="S2137" s="5">
        <v>5</v>
      </c>
      <c r="T2137" s="5" t="s">
        <v>221</v>
      </c>
      <c r="V2137" s="7" t="str">
        <f t="array" ref="V2137">INDEX(xlRTCLNAME,MATCH(1,(xlRTCLENDU=1)*(xlRTCLEQCL=$D2137),0))</f>
        <v>NG_RAD</v>
      </c>
      <c r="W2137" s="7" t="str">
        <f t="array" ref="W2137">INDEX(xlRTCLNAME,MATCH(1,(xlRTCLENDU=2)*(xlRTCLEQCL=$F2137),0))</f>
        <v>CENT_AIR</v>
      </c>
      <c r="X2137" s="7" t="str">
        <f t="array" ref="X2137">INDEX(xlRTTYNAME,MATCH(1,(xlRTTYENDU=1)*(xlRTTYEQCL=$D2137)*(xlRTEQTYPE=$E2137),0))</f>
        <v>NG_RAD4</v>
      </c>
      <c r="Y2137" s="7" t="str">
        <f t="array" ref="Y2137">INDEX(xlRTTYNAME,MATCH(1,(xlRTTYENDU=2)*(xlRTTYEQCL=$F2137)*(xlRTEQTYPE=$G2137),0))</f>
        <v>CENT_AIR4</v>
      </c>
    </row>
    <row r="2138" spans="2:25" x14ac:dyDescent="0.2">
      <c r="B2138" s="29">
        <v>5</v>
      </c>
      <c r="C2138" s="29">
        <v>3</v>
      </c>
      <c r="D2138" s="29">
        <v>5</v>
      </c>
      <c r="E2138" s="29">
        <v>17</v>
      </c>
      <c r="F2138" s="29">
        <v>2</v>
      </c>
      <c r="G2138" s="32">
        <v>7</v>
      </c>
      <c r="H2138" s="32">
        <v>2020</v>
      </c>
      <c r="I2138" s="29">
        <v>2022</v>
      </c>
      <c r="J2138" s="144">
        <v>1.0667</v>
      </c>
      <c r="K2138" s="144">
        <v>1.0568</v>
      </c>
      <c r="L2138" s="144">
        <v>0.67749999999999999</v>
      </c>
      <c r="M2138" s="144">
        <v>0.97309999999999997</v>
      </c>
      <c r="N2138" s="144">
        <v>0.83260000000000001</v>
      </c>
      <c r="O2138" s="144">
        <v>1.0538000000000001</v>
      </c>
      <c r="P2138" s="143">
        <v>7388.2157271947208</v>
      </c>
      <c r="Q2138" s="35">
        <f t="array" ref="Q2138">SUM(IF(($S2138&gt;=4)*($C2138='TaxCred&amp;Subs'!$D$114:$D$121)*($H2138='TaxCred&amp;Subs'!$C$114:$C$121)*($H2138&lt;='TaxCred&amp;Subs'!$C$123),'TaxCred&amp;Subs'!$E$114:$E$121,0))</f>
        <v>1000</v>
      </c>
      <c r="R2138" s="143">
        <v>0</v>
      </c>
      <c r="S2138" s="29">
        <v>5</v>
      </c>
      <c r="T2138" s="29" t="s">
        <v>221</v>
      </c>
      <c r="U2138" s="30" t="s">
        <v>227</v>
      </c>
      <c r="V2138" s="7" t="str">
        <f t="array" ref="V2138">INDEX(xlRTCLNAME,MATCH(1,(xlRTCLENDU=1)*(xlRTCLEQCL=$D2138),0))</f>
        <v>KERO_FA</v>
      </c>
      <c r="W2138" s="7" t="str">
        <f t="array" ref="W2138">INDEX(xlRTCLNAME,MATCH(1,(xlRTCLENDU=2)*(xlRTCLEQCL=$F2138),0))</f>
        <v>CENT_AIR</v>
      </c>
      <c r="X2138" s="7" t="str">
        <f t="array" ref="X2138">INDEX(xlRTTYNAME,MATCH(1,(xlRTTYENDU=1)*(xlRTTYEQCL=$D2138)*(xlRTEQTYPE=$E2138),0))</f>
        <v>KERO_FA4</v>
      </c>
      <c r="Y2138" s="7" t="str">
        <f t="array" ref="Y2138">INDEX(xlRTTYNAME,MATCH(1,(xlRTTYENDU=2)*(xlRTTYEQCL=$F2138)*(xlRTEQTYPE=$G2138),0))</f>
        <v>CENT_AIR4</v>
      </c>
    </row>
    <row r="2139" spans="2:25" x14ac:dyDescent="0.2">
      <c r="B2139" s="29">
        <v>5</v>
      </c>
      <c r="C2139" s="29">
        <v>3</v>
      </c>
      <c r="D2139" s="29">
        <v>5</v>
      </c>
      <c r="E2139" s="29">
        <v>17</v>
      </c>
      <c r="F2139" s="29">
        <v>2</v>
      </c>
      <c r="G2139" s="32">
        <v>7</v>
      </c>
      <c r="H2139" s="29">
        <v>2023</v>
      </c>
      <c r="I2139" s="29">
        <v>2032</v>
      </c>
      <c r="J2139" s="144">
        <v>1.0667</v>
      </c>
      <c r="K2139" s="144">
        <v>1.0568</v>
      </c>
      <c r="L2139" s="144">
        <v>0.67749999999999999</v>
      </c>
      <c r="M2139" s="144">
        <v>0.97309999999999997</v>
      </c>
      <c r="N2139" s="144">
        <v>0.83260000000000001</v>
      </c>
      <c r="O2139" s="144">
        <v>1.0538000000000001</v>
      </c>
      <c r="P2139" s="143">
        <v>7388.2157271947208</v>
      </c>
      <c r="Q2139" s="35">
        <f t="array" ref="Q2139">SUM(IF(($S2139&gt;=4)*($C2139='TaxCred&amp;Subs'!$D$114:$D$121)*($H2139='TaxCred&amp;Subs'!$C$114:$C$121)*($H2139&lt;='TaxCred&amp;Subs'!$C$123),'TaxCred&amp;Subs'!$E$114:$E$121,0))</f>
        <v>2500</v>
      </c>
      <c r="R2139" s="143">
        <v>0</v>
      </c>
      <c r="S2139" s="29">
        <v>5</v>
      </c>
      <c r="T2139" s="29" t="s">
        <v>221</v>
      </c>
      <c r="U2139" s="30" t="s">
        <v>227</v>
      </c>
      <c r="V2139" s="7" t="str">
        <f t="array" ref="V2139">INDEX(xlRTCLNAME,MATCH(1,(xlRTCLENDU=1)*(xlRTCLEQCL=$D2139),0))</f>
        <v>KERO_FA</v>
      </c>
      <c r="W2139" s="7" t="str">
        <f t="array" ref="W2139">INDEX(xlRTCLNAME,MATCH(1,(xlRTCLENDU=2)*(xlRTCLEQCL=$F2139),0))</f>
        <v>CENT_AIR</v>
      </c>
      <c r="X2139" s="7" t="str">
        <f t="array" ref="X2139">INDEX(xlRTTYNAME,MATCH(1,(xlRTTYENDU=1)*(xlRTTYEQCL=$D2139)*(xlRTEQTYPE=$E2139),0))</f>
        <v>KERO_FA4</v>
      </c>
      <c r="Y2139" s="7" t="str">
        <f t="array" ref="Y2139">INDEX(xlRTTYNAME,MATCH(1,(xlRTTYENDU=2)*(xlRTTYEQCL=$F2139)*(xlRTEQTYPE=$G2139),0))</f>
        <v>CENT_AIR4</v>
      </c>
    </row>
    <row r="2140" spans="2:25" x14ac:dyDescent="0.2">
      <c r="B2140" s="29">
        <v>5</v>
      </c>
      <c r="C2140" s="29">
        <v>3</v>
      </c>
      <c r="D2140" s="29">
        <v>5</v>
      </c>
      <c r="E2140" s="29">
        <v>17</v>
      </c>
      <c r="F2140" s="29">
        <v>2</v>
      </c>
      <c r="G2140" s="32">
        <v>7</v>
      </c>
      <c r="H2140" s="29">
        <v>2033</v>
      </c>
      <c r="I2140" s="29">
        <v>2050</v>
      </c>
      <c r="J2140" s="144">
        <v>1.0667</v>
      </c>
      <c r="K2140" s="144">
        <v>1.0568</v>
      </c>
      <c r="L2140" s="144">
        <v>0.67749999999999999</v>
      </c>
      <c r="M2140" s="144">
        <v>0.97309999999999997</v>
      </c>
      <c r="N2140" s="144">
        <v>0.83260000000000001</v>
      </c>
      <c r="O2140" s="144">
        <v>1.0538000000000001</v>
      </c>
      <c r="P2140" s="143">
        <v>7388.2157271947208</v>
      </c>
      <c r="Q2140" s="35">
        <f t="array" ref="Q2140">SUM(IF(($S2140&gt;=4)*($C2140='TaxCred&amp;Subs'!$D$114:$D$121)*($H2140='TaxCred&amp;Subs'!$C$114:$C$121)*($H2140&lt;='TaxCred&amp;Subs'!$C$123),'TaxCred&amp;Subs'!$E$114:$E$121,0))</f>
        <v>0</v>
      </c>
      <c r="R2140" s="143">
        <v>0</v>
      </c>
      <c r="S2140" s="29">
        <v>5</v>
      </c>
      <c r="T2140" s="29" t="s">
        <v>221</v>
      </c>
      <c r="U2140" s="30" t="s">
        <v>227</v>
      </c>
      <c r="V2140" s="7" t="str">
        <f t="array" ref="V2140">INDEX(xlRTCLNAME,MATCH(1,(xlRTCLENDU=1)*(xlRTCLEQCL=$D2140),0))</f>
        <v>KERO_FA</v>
      </c>
      <c r="W2140" s="7" t="str">
        <f t="array" ref="W2140">INDEX(xlRTCLNAME,MATCH(1,(xlRTCLENDU=2)*(xlRTCLEQCL=$F2140),0))</f>
        <v>CENT_AIR</v>
      </c>
      <c r="X2140" s="7" t="str">
        <f t="array" ref="X2140">INDEX(xlRTTYNAME,MATCH(1,(xlRTTYENDU=1)*(xlRTTYEQCL=$D2140)*(xlRTEQTYPE=$E2140),0))</f>
        <v>KERO_FA4</v>
      </c>
      <c r="Y2140" s="7" t="str">
        <f t="array" ref="Y2140">INDEX(xlRTTYNAME,MATCH(1,(xlRTTYENDU=2)*(xlRTTYEQCL=$F2140)*(xlRTEQTYPE=$G2140),0))</f>
        <v>CENT_AIR4</v>
      </c>
    </row>
    <row r="2141" spans="2:25" x14ac:dyDescent="0.2">
      <c r="B2141" s="29">
        <v>6</v>
      </c>
      <c r="C2141" s="29">
        <v>3</v>
      </c>
      <c r="D2141" s="29">
        <v>5</v>
      </c>
      <c r="E2141" s="29">
        <v>17</v>
      </c>
      <c r="F2141" s="29">
        <v>2</v>
      </c>
      <c r="G2141" s="32">
        <v>7</v>
      </c>
      <c r="H2141" s="32">
        <v>2020</v>
      </c>
      <c r="I2141" s="29">
        <v>2022</v>
      </c>
      <c r="J2141" s="144">
        <v>1.0896999999999999</v>
      </c>
      <c r="K2141" s="144">
        <v>1.0723</v>
      </c>
      <c r="L2141" s="144">
        <v>0.71960000000000002</v>
      </c>
      <c r="M2141" s="144">
        <v>0.98040000000000005</v>
      </c>
      <c r="N2141" s="144">
        <v>0.80269999999999997</v>
      </c>
      <c r="O2141" s="144">
        <v>1.0538000000000001</v>
      </c>
      <c r="P2141" s="143">
        <v>7307.543671938728</v>
      </c>
      <c r="Q2141" s="35">
        <f t="array" ref="Q2141">SUM(IF(($S2141&gt;=4)*($C2141='TaxCred&amp;Subs'!$D$114:$D$121)*($H2141='TaxCred&amp;Subs'!$C$114:$C$121)*($H2141&lt;='TaxCred&amp;Subs'!$C$123),'TaxCred&amp;Subs'!$E$114:$E$121,0))</f>
        <v>1000</v>
      </c>
      <c r="R2141" s="143">
        <v>0</v>
      </c>
      <c r="S2141" s="29">
        <v>5</v>
      </c>
      <c r="T2141" s="29" t="s">
        <v>221</v>
      </c>
      <c r="U2141" s="30" t="s">
        <v>227</v>
      </c>
      <c r="V2141" s="7" t="str">
        <f t="array" ref="V2141">INDEX(xlRTCLNAME,MATCH(1,(xlRTCLENDU=1)*(xlRTCLEQCL=$D2141),0))</f>
        <v>KERO_FA</v>
      </c>
      <c r="W2141" s="7" t="str">
        <f t="array" ref="W2141">INDEX(xlRTCLNAME,MATCH(1,(xlRTCLENDU=2)*(xlRTCLEQCL=$F2141),0))</f>
        <v>CENT_AIR</v>
      </c>
      <c r="X2141" s="7" t="str">
        <f t="array" ref="X2141">INDEX(xlRTTYNAME,MATCH(1,(xlRTTYENDU=1)*(xlRTTYEQCL=$D2141)*(xlRTEQTYPE=$E2141),0))</f>
        <v>KERO_FA4</v>
      </c>
      <c r="Y2141" s="7" t="str">
        <f t="array" ref="Y2141">INDEX(xlRTTYNAME,MATCH(1,(xlRTTYENDU=2)*(xlRTTYEQCL=$F2141)*(xlRTEQTYPE=$G2141),0))</f>
        <v>CENT_AIR4</v>
      </c>
    </row>
    <row r="2142" spans="2:25" x14ac:dyDescent="0.2">
      <c r="B2142" s="29">
        <v>6</v>
      </c>
      <c r="C2142" s="29">
        <v>3</v>
      </c>
      <c r="D2142" s="29">
        <v>5</v>
      </c>
      <c r="E2142" s="29">
        <v>17</v>
      </c>
      <c r="F2142" s="29">
        <v>2</v>
      </c>
      <c r="G2142" s="32">
        <v>7</v>
      </c>
      <c r="H2142" s="29">
        <v>2023</v>
      </c>
      <c r="I2142" s="29">
        <v>2032</v>
      </c>
      <c r="J2142" s="144">
        <v>1.0896999999999999</v>
      </c>
      <c r="K2142" s="144">
        <v>1.0723</v>
      </c>
      <c r="L2142" s="144">
        <v>0.71960000000000002</v>
      </c>
      <c r="M2142" s="144">
        <v>0.98040000000000005</v>
      </c>
      <c r="N2142" s="144">
        <v>0.80269999999999997</v>
      </c>
      <c r="O2142" s="144">
        <v>1.0538000000000001</v>
      </c>
      <c r="P2142" s="143">
        <v>7307.543671938728</v>
      </c>
      <c r="Q2142" s="35">
        <f t="array" ref="Q2142">SUM(IF(($S2142&gt;=4)*($C2142='TaxCred&amp;Subs'!$D$114:$D$121)*($H2142='TaxCred&amp;Subs'!$C$114:$C$121)*($H2142&lt;='TaxCred&amp;Subs'!$C$123),'TaxCred&amp;Subs'!$E$114:$E$121,0))</f>
        <v>2500</v>
      </c>
      <c r="R2142" s="143">
        <v>0</v>
      </c>
      <c r="S2142" s="29">
        <v>5</v>
      </c>
      <c r="T2142" s="29" t="s">
        <v>221</v>
      </c>
      <c r="U2142" s="30" t="s">
        <v>227</v>
      </c>
      <c r="V2142" s="7" t="str">
        <f t="array" ref="V2142">INDEX(xlRTCLNAME,MATCH(1,(xlRTCLENDU=1)*(xlRTCLEQCL=$D2142),0))</f>
        <v>KERO_FA</v>
      </c>
      <c r="W2142" s="7" t="str">
        <f t="array" ref="W2142">INDEX(xlRTCLNAME,MATCH(1,(xlRTCLENDU=2)*(xlRTCLEQCL=$F2142),0))</f>
        <v>CENT_AIR</v>
      </c>
      <c r="X2142" s="7" t="str">
        <f t="array" ref="X2142">INDEX(xlRTTYNAME,MATCH(1,(xlRTTYENDU=1)*(xlRTTYEQCL=$D2142)*(xlRTEQTYPE=$E2142),0))</f>
        <v>KERO_FA4</v>
      </c>
      <c r="Y2142" s="7" t="str">
        <f t="array" ref="Y2142">INDEX(xlRTTYNAME,MATCH(1,(xlRTTYENDU=2)*(xlRTTYEQCL=$F2142)*(xlRTEQTYPE=$G2142),0))</f>
        <v>CENT_AIR4</v>
      </c>
    </row>
    <row r="2143" spans="2:25" x14ac:dyDescent="0.2">
      <c r="B2143" s="29">
        <v>6</v>
      </c>
      <c r="C2143" s="29">
        <v>3</v>
      </c>
      <c r="D2143" s="29">
        <v>5</v>
      </c>
      <c r="E2143" s="29">
        <v>17</v>
      </c>
      <c r="F2143" s="29">
        <v>2</v>
      </c>
      <c r="G2143" s="32">
        <v>7</v>
      </c>
      <c r="H2143" s="29">
        <v>2033</v>
      </c>
      <c r="I2143" s="29">
        <v>2050</v>
      </c>
      <c r="J2143" s="144">
        <v>1.0896999999999999</v>
      </c>
      <c r="K2143" s="144">
        <v>1.0723</v>
      </c>
      <c r="L2143" s="144">
        <v>0.71960000000000002</v>
      </c>
      <c r="M2143" s="144">
        <v>0.98040000000000005</v>
      </c>
      <c r="N2143" s="144">
        <v>0.80269999999999997</v>
      </c>
      <c r="O2143" s="144">
        <v>1.0538000000000001</v>
      </c>
      <c r="P2143" s="143">
        <v>7307.543671938728</v>
      </c>
      <c r="Q2143" s="35">
        <f t="array" ref="Q2143">SUM(IF(($S2143&gt;=4)*($C2143='TaxCred&amp;Subs'!$D$114:$D$121)*($H2143='TaxCred&amp;Subs'!$C$114:$C$121)*($H2143&lt;='TaxCred&amp;Subs'!$C$123),'TaxCred&amp;Subs'!$E$114:$E$121,0))</f>
        <v>0</v>
      </c>
      <c r="R2143" s="143">
        <v>0</v>
      </c>
      <c r="S2143" s="29">
        <v>5</v>
      </c>
      <c r="T2143" s="29" t="s">
        <v>221</v>
      </c>
      <c r="U2143" s="30" t="s">
        <v>227</v>
      </c>
      <c r="V2143" s="7" t="str">
        <f t="array" ref="V2143">INDEX(xlRTCLNAME,MATCH(1,(xlRTCLENDU=1)*(xlRTCLEQCL=$D2143),0))</f>
        <v>KERO_FA</v>
      </c>
      <c r="W2143" s="7" t="str">
        <f t="array" ref="W2143">INDEX(xlRTCLNAME,MATCH(1,(xlRTCLENDU=2)*(xlRTCLEQCL=$F2143),0))</f>
        <v>CENT_AIR</v>
      </c>
      <c r="X2143" s="7" t="str">
        <f t="array" ref="X2143">INDEX(xlRTTYNAME,MATCH(1,(xlRTTYENDU=1)*(xlRTTYEQCL=$D2143)*(xlRTEQTYPE=$E2143),0))</f>
        <v>KERO_FA4</v>
      </c>
      <c r="Y2143" s="7" t="str">
        <f t="array" ref="Y2143">INDEX(xlRTTYNAME,MATCH(1,(xlRTTYENDU=2)*(xlRTTYEQCL=$F2143)*(xlRTEQTYPE=$G2143),0))</f>
        <v>CENT_AIR4</v>
      </c>
    </row>
    <row r="2144" spans="2:25" x14ac:dyDescent="0.2">
      <c r="B2144" s="29">
        <v>7</v>
      </c>
      <c r="C2144" s="29">
        <v>3</v>
      </c>
      <c r="D2144" s="29">
        <v>5</v>
      </c>
      <c r="E2144" s="29">
        <v>17</v>
      </c>
      <c r="F2144" s="29">
        <v>2</v>
      </c>
      <c r="G2144" s="32">
        <v>7</v>
      </c>
      <c r="H2144" s="32">
        <v>2020</v>
      </c>
      <c r="I2144" s="29">
        <v>2022</v>
      </c>
      <c r="J2144" s="144">
        <v>1.0940000000000001</v>
      </c>
      <c r="K2144" s="144">
        <v>1.0512999999999999</v>
      </c>
      <c r="L2144" s="144">
        <v>0.71619999999999995</v>
      </c>
      <c r="M2144" s="144">
        <v>0.97550000000000003</v>
      </c>
      <c r="N2144" s="144">
        <v>0.81289999999999996</v>
      </c>
      <c r="O2144" s="144">
        <v>1.0538000000000001</v>
      </c>
      <c r="P2144" s="143">
        <v>6908.2169984215607</v>
      </c>
      <c r="Q2144" s="35">
        <f t="array" ref="Q2144">SUM(IF(($S2144&gt;=4)*($C2144='TaxCred&amp;Subs'!$D$114:$D$121)*($H2144='TaxCred&amp;Subs'!$C$114:$C$121)*($H2144&lt;='TaxCred&amp;Subs'!$C$123),'TaxCred&amp;Subs'!$E$114:$E$121,0))</f>
        <v>1000</v>
      </c>
      <c r="R2144" s="143">
        <v>0</v>
      </c>
      <c r="S2144" s="29">
        <v>5</v>
      </c>
      <c r="T2144" s="29" t="s">
        <v>221</v>
      </c>
      <c r="U2144" s="30" t="s">
        <v>227</v>
      </c>
      <c r="V2144" s="7" t="str">
        <f t="array" ref="V2144">INDEX(xlRTCLNAME,MATCH(1,(xlRTCLENDU=1)*(xlRTCLEQCL=$D2144),0))</f>
        <v>KERO_FA</v>
      </c>
      <c r="W2144" s="7" t="str">
        <f t="array" ref="W2144">INDEX(xlRTCLNAME,MATCH(1,(xlRTCLENDU=2)*(xlRTCLEQCL=$F2144),0))</f>
        <v>CENT_AIR</v>
      </c>
      <c r="X2144" s="7" t="str">
        <f t="array" ref="X2144">INDEX(xlRTTYNAME,MATCH(1,(xlRTTYENDU=1)*(xlRTTYEQCL=$D2144)*(xlRTEQTYPE=$E2144),0))</f>
        <v>KERO_FA4</v>
      </c>
      <c r="Y2144" s="7" t="str">
        <f t="array" ref="Y2144">INDEX(xlRTTYNAME,MATCH(1,(xlRTTYENDU=2)*(xlRTTYEQCL=$F2144)*(xlRTEQTYPE=$G2144),0))</f>
        <v>CENT_AIR4</v>
      </c>
    </row>
    <row r="2145" spans="2:25" x14ac:dyDescent="0.2">
      <c r="B2145" s="29">
        <v>7</v>
      </c>
      <c r="C2145" s="29">
        <v>3</v>
      </c>
      <c r="D2145" s="29">
        <v>5</v>
      </c>
      <c r="E2145" s="29">
        <v>17</v>
      </c>
      <c r="F2145" s="29">
        <v>2</v>
      </c>
      <c r="G2145" s="32">
        <v>7</v>
      </c>
      <c r="H2145" s="29">
        <v>2023</v>
      </c>
      <c r="I2145" s="29">
        <v>2032</v>
      </c>
      <c r="J2145" s="144">
        <v>1.0940000000000001</v>
      </c>
      <c r="K2145" s="144">
        <v>1.0512999999999999</v>
      </c>
      <c r="L2145" s="144">
        <v>0.71619999999999995</v>
      </c>
      <c r="M2145" s="144">
        <v>0.97550000000000003</v>
      </c>
      <c r="N2145" s="144">
        <v>0.81289999999999996</v>
      </c>
      <c r="O2145" s="144">
        <v>1.0538000000000001</v>
      </c>
      <c r="P2145" s="143">
        <v>6908.2169984215607</v>
      </c>
      <c r="Q2145" s="35">
        <f t="array" ref="Q2145">SUM(IF(($S2145&gt;=4)*($C2145='TaxCred&amp;Subs'!$D$114:$D$121)*($H2145='TaxCred&amp;Subs'!$C$114:$C$121)*($H2145&lt;='TaxCred&amp;Subs'!$C$123),'TaxCred&amp;Subs'!$E$114:$E$121,0))</f>
        <v>2500</v>
      </c>
      <c r="R2145" s="143">
        <v>0</v>
      </c>
      <c r="S2145" s="29">
        <v>5</v>
      </c>
      <c r="T2145" s="29" t="s">
        <v>221</v>
      </c>
      <c r="U2145" s="30" t="s">
        <v>227</v>
      </c>
      <c r="V2145" s="7" t="str">
        <f t="array" ref="V2145">INDEX(xlRTCLNAME,MATCH(1,(xlRTCLENDU=1)*(xlRTCLEQCL=$D2145),0))</f>
        <v>KERO_FA</v>
      </c>
      <c r="W2145" s="7" t="str">
        <f t="array" ref="W2145">INDEX(xlRTCLNAME,MATCH(1,(xlRTCLENDU=2)*(xlRTCLEQCL=$F2145),0))</f>
        <v>CENT_AIR</v>
      </c>
      <c r="X2145" s="7" t="str">
        <f t="array" ref="X2145">INDEX(xlRTTYNAME,MATCH(1,(xlRTTYENDU=1)*(xlRTTYEQCL=$D2145)*(xlRTEQTYPE=$E2145),0))</f>
        <v>KERO_FA4</v>
      </c>
      <c r="Y2145" s="7" t="str">
        <f t="array" ref="Y2145">INDEX(xlRTTYNAME,MATCH(1,(xlRTTYENDU=2)*(xlRTTYEQCL=$F2145)*(xlRTEQTYPE=$G2145),0))</f>
        <v>CENT_AIR4</v>
      </c>
    </row>
    <row r="2146" spans="2:25" x14ac:dyDescent="0.2">
      <c r="B2146" s="29">
        <v>7</v>
      </c>
      <c r="C2146" s="29">
        <v>3</v>
      </c>
      <c r="D2146" s="29">
        <v>5</v>
      </c>
      <c r="E2146" s="29">
        <v>17</v>
      </c>
      <c r="F2146" s="29">
        <v>2</v>
      </c>
      <c r="G2146" s="32">
        <v>7</v>
      </c>
      <c r="H2146" s="29">
        <v>2033</v>
      </c>
      <c r="I2146" s="29">
        <v>2050</v>
      </c>
      <c r="J2146" s="144">
        <v>1.0940000000000001</v>
      </c>
      <c r="K2146" s="144">
        <v>1.0512999999999999</v>
      </c>
      <c r="L2146" s="144">
        <v>0.71619999999999995</v>
      </c>
      <c r="M2146" s="144">
        <v>0.97550000000000003</v>
      </c>
      <c r="N2146" s="144">
        <v>0.81289999999999996</v>
      </c>
      <c r="O2146" s="144">
        <v>1.0538000000000001</v>
      </c>
      <c r="P2146" s="143">
        <v>6908.2169984215607</v>
      </c>
      <c r="Q2146" s="35">
        <f t="array" ref="Q2146">SUM(IF(($S2146&gt;=4)*($C2146='TaxCred&amp;Subs'!$D$114:$D$121)*($H2146='TaxCred&amp;Subs'!$C$114:$C$121)*($H2146&lt;='TaxCred&amp;Subs'!$C$123),'TaxCred&amp;Subs'!$E$114:$E$121,0))</f>
        <v>0</v>
      </c>
      <c r="R2146" s="143">
        <v>0</v>
      </c>
      <c r="S2146" s="29">
        <v>5</v>
      </c>
      <c r="T2146" s="29" t="s">
        <v>221</v>
      </c>
      <c r="U2146" s="30" t="s">
        <v>227</v>
      </c>
      <c r="V2146" s="7" t="str">
        <f t="array" ref="V2146">INDEX(xlRTCLNAME,MATCH(1,(xlRTCLENDU=1)*(xlRTCLEQCL=$D2146),0))</f>
        <v>KERO_FA</v>
      </c>
      <c r="W2146" s="7" t="str">
        <f t="array" ref="W2146">INDEX(xlRTCLNAME,MATCH(1,(xlRTCLENDU=2)*(xlRTCLEQCL=$F2146),0))</f>
        <v>CENT_AIR</v>
      </c>
      <c r="X2146" s="7" t="str">
        <f t="array" ref="X2146">INDEX(xlRTTYNAME,MATCH(1,(xlRTTYENDU=1)*(xlRTTYEQCL=$D2146)*(xlRTEQTYPE=$E2146),0))</f>
        <v>KERO_FA4</v>
      </c>
      <c r="Y2146" s="7" t="str">
        <f t="array" ref="Y2146">INDEX(xlRTTYNAME,MATCH(1,(xlRTTYENDU=2)*(xlRTTYEQCL=$F2146)*(xlRTEQTYPE=$G2146),0))</f>
        <v>CENT_AIR4</v>
      </c>
    </row>
    <row r="2147" spans="2:25" x14ac:dyDescent="0.2">
      <c r="B2147" s="29">
        <v>9</v>
      </c>
      <c r="C2147" s="29">
        <v>3</v>
      </c>
      <c r="D2147" s="29">
        <v>5</v>
      </c>
      <c r="E2147" s="29">
        <v>17</v>
      </c>
      <c r="F2147" s="29">
        <v>2</v>
      </c>
      <c r="G2147" s="32">
        <v>7</v>
      </c>
      <c r="H2147" s="32">
        <v>2020</v>
      </c>
      <c r="I2147" s="29">
        <v>2022</v>
      </c>
      <c r="J2147" s="144">
        <v>1.0743</v>
      </c>
      <c r="K2147" s="144">
        <v>1.0519000000000001</v>
      </c>
      <c r="L2147" s="144">
        <v>0.77200000000000002</v>
      </c>
      <c r="M2147" s="144">
        <v>1.0674999999999999</v>
      </c>
      <c r="N2147" s="144">
        <v>0.84240000000000004</v>
      </c>
      <c r="O2147" s="144">
        <v>1.0538000000000001</v>
      </c>
      <c r="P2147" s="143">
        <v>9774.7640285178568</v>
      </c>
      <c r="Q2147" s="35">
        <f t="array" ref="Q2147">SUM(IF(($S2147&gt;=4)*($C2147='TaxCred&amp;Subs'!$D$114:$D$121)*($H2147='TaxCred&amp;Subs'!$C$114:$C$121)*($H2147&lt;='TaxCred&amp;Subs'!$C$123),'TaxCred&amp;Subs'!$E$114:$E$121,0))</f>
        <v>1000</v>
      </c>
      <c r="R2147" s="143">
        <v>0</v>
      </c>
      <c r="S2147" s="29">
        <v>5</v>
      </c>
      <c r="T2147" s="29" t="s">
        <v>221</v>
      </c>
      <c r="U2147" s="30" t="s">
        <v>227</v>
      </c>
      <c r="V2147" s="7" t="str">
        <f t="array" ref="V2147">INDEX(xlRTCLNAME,MATCH(1,(xlRTCLENDU=1)*(xlRTCLEQCL=$D2147),0))</f>
        <v>KERO_FA</v>
      </c>
      <c r="W2147" s="7" t="str">
        <f t="array" ref="W2147">INDEX(xlRTCLNAME,MATCH(1,(xlRTCLENDU=2)*(xlRTCLEQCL=$F2147),0))</f>
        <v>CENT_AIR</v>
      </c>
      <c r="X2147" s="7" t="str">
        <f t="array" ref="X2147">INDEX(xlRTTYNAME,MATCH(1,(xlRTTYENDU=1)*(xlRTTYEQCL=$D2147)*(xlRTEQTYPE=$E2147),0))</f>
        <v>KERO_FA4</v>
      </c>
      <c r="Y2147" s="7" t="str">
        <f t="array" ref="Y2147">INDEX(xlRTTYNAME,MATCH(1,(xlRTTYENDU=2)*(xlRTTYEQCL=$F2147)*(xlRTEQTYPE=$G2147),0))</f>
        <v>CENT_AIR4</v>
      </c>
    </row>
    <row r="2148" spans="2:25" x14ac:dyDescent="0.2">
      <c r="B2148" s="29">
        <v>9</v>
      </c>
      <c r="C2148" s="29">
        <v>3</v>
      </c>
      <c r="D2148" s="29">
        <v>5</v>
      </c>
      <c r="E2148" s="29">
        <v>17</v>
      </c>
      <c r="F2148" s="29">
        <v>2</v>
      </c>
      <c r="G2148" s="32">
        <v>7</v>
      </c>
      <c r="H2148" s="29">
        <v>2023</v>
      </c>
      <c r="I2148" s="29">
        <v>2032</v>
      </c>
      <c r="J2148" s="144">
        <v>1.0743</v>
      </c>
      <c r="K2148" s="144">
        <v>1.0519000000000001</v>
      </c>
      <c r="L2148" s="144">
        <v>0.77200000000000002</v>
      </c>
      <c r="M2148" s="144">
        <v>1.0674999999999999</v>
      </c>
      <c r="N2148" s="144">
        <v>0.84240000000000004</v>
      </c>
      <c r="O2148" s="144">
        <v>1.0538000000000001</v>
      </c>
      <c r="P2148" s="143">
        <v>9774.7640285178568</v>
      </c>
      <c r="Q2148" s="35">
        <f t="array" ref="Q2148">SUM(IF(($S2148&gt;=4)*($C2148='TaxCred&amp;Subs'!$D$114:$D$121)*($H2148='TaxCred&amp;Subs'!$C$114:$C$121)*($H2148&lt;='TaxCred&amp;Subs'!$C$123),'TaxCred&amp;Subs'!$E$114:$E$121,0))</f>
        <v>2500</v>
      </c>
      <c r="R2148" s="143">
        <v>0</v>
      </c>
      <c r="S2148" s="29">
        <v>5</v>
      </c>
      <c r="T2148" s="29" t="s">
        <v>221</v>
      </c>
      <c r="U2148" s="30" t="s">
        <v>227</v>
      </c>
      <c r="V2148" s="7" t="str">
        <f t="array" ref="V2148">INDEX(xlRTCLNAME,MATCH(1,(xlRTCLENDU=1)*(xlRTCLEQCL=$D2148),0))</f>
        <v>KERO_FA</v>
      </c>
      <c r="W2148" s="7" t="str">
        <f t="array" ref="W2148">INDEX(xlRTCLNAME,MATCH(1,(xlRTCLENDU=2)*(xlRTCLEQCL=$F2148),0))</f>
        <v>CENT_AIR</v>
      </c>
      <c r="X2148" s="7" t="str">
        <f t="array" ref="X2148">INDEX(xlRTTYNAME,MATCH(1,(xlRTTYENDU=1)*(xlRTTYEQCL=$D2148)*(xlRTEQTYPE=$E2148),0))</f>
        <v>KERO_FA4</v>
      </c>
      <c r="Y2148" s="7" t="str">
        <f t="array" ref="Y2148">INDEX(xlRTTYNAME,MATCH(1,(xlRTTYENDU=2)*(xlRTTYEQCL=$F2148)*(xlRTEQTYPE=$G2148),0))</f>
        <v>CENT_AIR4</v>
      </c>
    </row>
    <row r="2149" spans="2:25" x14ac:dyDescent="0.2">
      <c r="B2149" s="29">
        <v>9</v>
      </c>
      <c r="C2149" s="29">
        <v>3</v>
      </c>
      <c r="D2149" s="29">
        <v>5</v>
      </c>
      <c r="E2149" s="29">
        <v>17</v>
      </c>
      <c r="F2149" s="29">
        <v>2</v>
      </c>
      <c r="G2149" s="32">
        <v>7</v>
      </c>
      <c r="H2149" s="29">
        <v>2033</v>
      </c>
      <c r="I2149" s="29">
        <v>2050</v>
      </c>
      <c r="J2149" s="144">
        <v>1.0743</v>
      </c>
      <c r="K2149" s="144">
        <v>1.0519000000000001</v>
      </c>
      <c r="L2149" s="144">
        <v>0.77200000000000002</v>
      </c>
      <c r="M2149" s="144">
        <v>1.0674999999999999</v>
      </c>
      <c r="N2149" s="144">
        <v>0.84240000000000004</v>
      </c>
      <c r="O2149" s="144">
        <v>1.0538000000000001</v>
      </c>
      <c r="P2149" s="143">
        <v>9774.7640285178568</v>
      </c>
      <c r="Q2149" s="35">
        <f t="array" ref="Q2149">SUM(IF(($S2149&gt;=4)*($C2149='TaxCred&amp;Subs'!$D$114:$D$121)*($H2149='TaxCred&amp;Subs'!$C$114:$C$121)*($H2149&lt;='TaxCred&amp;Subs'!$C$123),'TaxCred&amp;Subs'!$E$114:$E$121,0))</f>
        <v>0</v>
      </c>
      <c r="R2149" s="143">
        <v>0</v>
      </c>
      <c r="S2149" s="29">
        <v>5</v>
      </c>
      <c r="T2149" s="29" t="s">
        <v>221</v>
      </c>
      <c r="U2149" s="30" t="s">
        <v>227</v>
      </c>
      <c r="V2149" s="7" t="str">
        <f t="array" ref="V2149">INDEX(xlRTCLNAME,MATCH(1,(xlRTCLENDU=1)*(xlRTCLEQCL=$D2149),0))</f>
        <v>KERO_FA</v>
      </c>
      <c r="W2149" s="7" t="str">
        <f t="array" ref="W2149">INDEX(xlRTCLNAME,MATCH(1,(xlRTCLENDU=2)*(xlRTCLEQCL=$F2149),0))</f>
        <v>CENT_AIR</v>
      </c>
      <c r="X2149" s="7" t="str">
        <f t="array" ref="X2149">INDEX(xlRTTYNAME,MATCH(1,(xlRTTYENDU=1)*(xlRTTYEQCL=$D2149)*(xlRTEQTYPE=$E2149),0))</f>
        <v>KERO_FA4</v>
      </c>
      <c r="Y2149" s="7" t="str">
        <f t="array" ref="Y2149">INDEX(xlRTTYNAME,MATCH(1,(xlRTTYENDU=2)*(xlRTTYEQCL=$F2149)*(xlRTEQTYPE=$G2149),0))</f>
        <v>CENT_AIR4</v>
      </c>
    </row>
    <row r="2150" spans="2:25" x14ac:dyDescent="0.2">
      <c r="B2150" s="5">
        <v>5</v>
      </c>
      <c r="C2150" s="5">
        <v>3</v>
      </c>
      <c r="D2150" s="5">
        <v>6</v>
      </c>
      <c r="E2150" s="5">
        <v>21</v>
      </c>
      <c r="F2150" s="5">
        <v>2</v>
      </c>
      <c r="G2150" s="31">
        <v>7</v>
      </c>
      <c r="H2150" s="96">
        <v>2020</v>
      </c>
      <c r="I2150" s="97">
        <v>2022</v>
      </c>
      <c r="J2150" s="142">
        <v>1.0559000000000001</v>
      </c>
      <c r="K2150" s="142">
        <v>1.0444</v>
      </c>
      <c r="L2150" s="142">
        <v>0.73609999999999998</v>
      </c>
      <c r="M2150" s="142">
        <v>0.97389999999999999</v>
      </c>
      <c r="N2150" s="142">
        <v>0.83460000000000001</v>
      </c>
      <c r="O2150" s="142">
        <v>1.0538000000000001</v>
      </c>
      <c r="P2150" s="26">
        <v>7388.2157271947208</v>
      </c>
      <c r="Q2150" s="35">
        <f t="array" ref="Q2150">SUM(IF(($S2150&gt;=4)*($C2150='TaxCred&amp;Subs'!$D$114:$D$121)*($H2150='TaxCred&amp;Subs'!$C$114:$C$121)*($H2150&lt;='TaxCred&amp;Subs'!$C$123),'TaxCred&amp;Subs'!$E$114:$E$121,0))</f>
        <v>1000</v>
      </c>
      <c r="R2150" s="143">
        <v>0</v>
      </c>
      <c r="S2150" s="5">
        <v>5</v>
      </c>
      <c r="T2150" s="5" t="s">
        <v>221</v>
      </c>
      <c r="V2150" s="7" t="str">
        <f t="array" ref="V2150">INDEX(xlRTCLNAME,MATCH(1,(xlRTCLENDU=1)*(xlRTCLEQCL=$D2150),0))</f>
        <v>LPG_FA</v>
      </c>
      <c r="W2150" s="7" t="str">
        <f t="array" ref="W2150">INDEX(xlRTCLNAME,MATCH(1,(xlRTCLENDU=2)*(xlRTCLEQCL=$F2150),0))</f>
        <v>CENT_AIR</v>
      </c>
      <c r="X2150" s="7" t="str">
        <f t="array" ref="X2150">INDEX(xlRTTYNAME,MATCH(1,(xlRTTYENDU=1)*(xlRTTYEQCL=$D2150)*(xlRTEQTYPE=$E2150),0))</f>
        <v>LPG_FA4</v>
      </c>
      <c r="Y2150" s="7" t="str">
        <f t="array" ref="Y2150">INDEX(xlRTTYNAME,MATCH(1,(xlRTTYENDU=2)*(xlRTTYEQCL=$F2150)*(xlRTEQTYPE=$G2150),0))</f>
        <v>CENT_AIR4</v>
      </c>
    </row>
    <row r="2151" spans="2:25" x14ac:dyDescent="0.2">
      <c r="B2151" s="5">
        <v>5</v>
      </c>
      <c r="C2151" s="5">
        <v>3</v>
      </c>
      <c r="D2151" s="5">
        <v>6</v>
      </c>
      <c r="E2151" s="5">
        <v>21</v>
      </c>
      <c r="F2151" s="5">
        <v>2</v>
      </c>
      <c r="G2151" s="31">
        <v>7</v>
      </c>
      <c r="H2151" s="97">
        <v>2023</v>
      </c>
      <c r="I2151" s="97">
        <v>2032</v>
      </c>
      <c r="J2151" s="142">
        <v>1.0559000000000001</v>
      </c>
      <c r="K2151" s="142">
        <v>1.0444</v>
      </c>
      <c r="L2151" s="142">
        <v>0.73609999999999998</v>
      </c>
      <c r="M2151" s="142">
        <v>0.97389999999999999</v>
      </c>
      <c r="N2151" s="142">
        <v>0.83460000000000001</v>
      </c>
      <c r="O2151" s="142">
        <v>1.0538000000000001</v>
      </c>
      <c r="P2151" s="26">
        <v>7388.2157271947208</v>
      </c>
      <c r="Q2151" s="35">
        <f t="array" ref="Q2151">SUM(IF(($S2151&gt;=4)*($C2151='TaxCred&amp;Subs'!$D$114:$D$121)*($H2151='TaxCred&amp;Subs'!$C$114:$C$121)*($H2151&lt;='TaxCred&amp;Subs'!$C$123),'TaxCred&amp;Subs'!$E$114:$E$121,0))</f>
        <v>2500</v>
      </c>
      <c r="R2151" s="143">
        <v>0</v>
      </c>
      <c r="S2151" s="5">
        <v>5</v>
      </c>
      <c r="T2151" s="5" t="s">
        <v>221</v>
      </c>
      <c r="V2151" s="7" t="str">
        <f t="array" ref="V2151">INDEX(xlRTCLNAME,MATCH(1,(xlRTCLENDU=1)*(xlRTCLEQCL=$D2151),0))</f>
        <v>LPG_FA</v>
      </c>
      <c r="W2151" s="7" t="str">
        <f t="array" ref="W2151">INDEX(xlRTCLNAME,MATCH(1,(xlRTCLENDU=2)*(xlRTCLEQCL=$F2151),0))</f>
        <v>CENT_AIR</v>
      </c>
      <c r="X2151" s="7" t="str">
        <f t="array" ref="X2151">INDEX(xlRTTYNAME,MATCH(1,(xlRTTYENDU=1)*(xlRTTYEQCL=$D2151)*(xlRTEQTYPE=$E2151),0))</f>
        <v>LPG_FA4</v>
      </c>
      <c r="Y2151" s="7" t="str">
        <f t="array" ref="Y2151">INDEX(xlRTTYNAME,MATCH(1,(xlRTTYENDU=2)*(xlRTTYEQCL=$F2151)*(xlRTEQTYPE=$G2151),0))</f>
        <v>CENT_AIR4</v>
      </c>
    </row>
    <row r="2152" spans="2:25" x14ac:dyDescent="0.2">
      <c r="B2152" s="5">
        <v>5</v>
      </c>
      <c r="C2152" s="5">
        <v>3</v>
      </c>
      <c r="D2152" s="5">
        <v>6</v>
      </c>
      <c r="E2152" s="5">
        <v>21</v>
      </c>
      <c r="F2152" s="5">
        <v>2</v>
      </c>
      <c r="G2152" s="31">
        <v>7</v>
      </c>
      <c r="H2152" s="97">
        <v>2033</v>
      </c>
      <c r="I2152" s="97">
        <v>2050</v>
      </c>
      <c r="J2152" s="142">
        <v>1.0559000000000001</v>
      </c>
      <c r="K2152" s="142">
        <v>1.0444</v>
      </c>
      <c r="L2152" s="142">
        <v>0.73609999999999998</v>
      </c>
      <c r="M2152" s="142">
        <v>0.97389999999999999</v>
      </c>
      <c r="N2152" s="142">
        <v>0.83460000000000001</v>
      </c>
      <c r="O2152" s="142">
        <v>1.0538000000000001</v>
      </c>
      <c r="P2152" s="26">
        <v>7388.2157271947208</v>
      </c>
      <c r="Q2152" s="35">
        <f t="array" ref="Q2152">SUM(IF(($S2152&gt;=4)*($C2152='TaxCred&amp;Subs'!$D$114:$D$121)*($H2152='TaxCred&amp;Subs'!$C$114:$C$121)*($H2152&lt;='TaxCred&amp;Subs'!$C$123),'TaxCred&amp;Subs'!$E$114:$E$121,0))</f>
        <v>0</v>
      </c>
      <c r="R2152" s="143">
        <v>0</v>
      </c>
      <c r="S2152" s="5">
        <v>5</v>
      </c>
      <c r="T2152" s="5" t="s">
        <v>221</v>
      </c>
      <c r="V2152" s="7" t="str">
        <f t="array" ref="V2152">INDEX(xlRTCLNAME,MATCH(1,(xlRTCLENDU=1)*(xlRTCLEQCL=$D2152),0))</f>
        <v>LPG_FA</v>
      </c>
      <c r="W2152" s="7" t="str">
        <f t="array" ref="W2152">INDEX(xlRTCLNAME,MATCH(1,(xlRTCLENDU=2)*(xlRTCLEQCL=$F2152),0))</f>
        <v>CENT_AIR</v>
      </c>
      <c r="X2152" s="7" t="str">
        <f t="array" ref="X2152">INDEX(xlRTTYNAME,MATCH(1,(xlRTTYENDU=1)*(xlRTTYEQCL=$D2152)*(xlRTEQTYPE=$E2152),0))</f>
        <v>LPG_FA4</v>
      </c>
      <c r="Y2152" s="7" t="str">
        <f t="array" ref="Y2152">INDEX(xlRTTYNAME,MATCH(1,(xlRTTYENDU=2)*(xlRTTYEQCL=$F2152)*(xlRTEQTYPE=$G2152),0))</f>
        <v>CENT_AIR4</v>
      </c>
    </row>
    <row r="2153" spans="2:25" x14ac:dyDescent="0.2">
      <c r="B2153" s="5">
        <v>6</v>
      </c>
      <c r="C2153" s="5">
        <v>3</v>
      </c>
      <c r="D2153" s="5">
        <v>6</v>
      </c>
      <c r="E2153" s="5">
        <v>21</v>
      </c>
      <c r="F2153" s="5">
        <v>2</v>
      </c>
      <c r="G2153" s="31">
        <v>7</v>
      </c>
      <c r="H2153" s="96">
        <v>2020</v>
      </c>
      <c r="I2153" s="97">
        <v>2022</v>
      </c>
      <c r="J2153" s="142">
        <v>1.0872999999999999</v>
      </c>
      <c r="K2153" s="142">
        <v>1.0581</v>
      </c>
      <c r="L2153" s="142">
        <v>0.71930000000000005</v>
      </c>
      <c r="M2153" s="142">
        <v>0.97489999999999999</v>
      </c>
      <c r="N2153" s="142">
        <v>0.8044</v>
      </c>
      <c r="O2153" s="142">
        <v>1.0538000000000001</v>
      </c>
      <c r="P2153" s="26">
        <v>7307.543671938728</v>
      </c>
      <c r="Q2153" s="35">
        <f t="array" ref="Q2153">SUM(IF(($S2153&gt;=4)*($C2153='TaxCred&amp;Subs'!$D$114:$D$121)*($H2153='TaxCred&amp;Subs'!$C$114:$C$121)*($H2153&lt;='TaxCred&amp;Subs'!$C$123),'TaxCred&amp;Subs'!$E$114:$E$121,0))</f>
        <v>1000</v>
      </c>
      <c r="R2153" s="143">
        <v>0</v>
      </c>
      <c r="S2153" s="5">
        <v>5</v>
      </c>
      <c r="T2153" s="5" t="s">
        <v>221</v>
      </c>
      <c r="V2153" s="7" t="str">
        <f t="array" ref="V2153">INDEX(xlRTCLNAME,MATCH(1,(xlRTCLENDU=1)*(xlRTCLEQCL=$D2153),0))</f>
        <v>LPG_FA</v>
      </c>
      <c r="W2153" s="7" t="str">
        <f t="array" ref="W2153">INDEX(xlRTCLNAME,MATCH(1,(xlRTCLENDU=2)*(xlRTCLEQCL=$F2153),0))</f>
        <v>CENT_AIR</v>
      </c>
      <c r="X2153" s="7" t="str">
        <f t="array" ref="X2153">INDEX(xlRTTYNAME,MATCH(1,(xlRTTYENDU=1)*(xlRTTYEQCL=$D2153)*(xlRTEQTYPE=$E2153),0))</f>
        <v>LPG_FA4</v>
      </c>
      <c r="Y2153" s="7" t="str">
        <f t="array" ref="Y2153">INDEX(xlRTTYNAME,MATCH(1,(xlRTTYENDU=2)*(xlRTTYEQCL=$F2153)*(xlRTEQTYPE=$G2153),0))</f>
        <v>CENT_AIR4</v>
      </c>
    </row>
    <row r="2154" spans="2:25" x14ac:dyDescent="0.2">
      <c r="B2154" s="5">
        <v>6</v>
      </c>
      <c r="C2154" s="5">
        <v>3</v>
      </c>
      <c r="D2154" s="5">
        <v>6</v>
      </c>
      <c r="E2154" s="5">
        <v>21</v>
      </c>
      <c r="F2154" s="5">
        <v>2</v>
      </c>
      <c r="G2154" s="31">
        <v>7</v>
      </c>
      <c r="H2154" s="97">
        <v>2023</v>
      </c>
      <c r="I2154" s="97">
        <v>2032</v>
      </c>
      <c r="J2154" s="142">
        <v>1.0872999999999999</v>
      </c>
      <c r="K2154" s="142">
        <v>1.0581</v>
      </c>
      <c r="L2154" s="142">
        <v>0.71930000000000005</v>
      </c>
      <c r="M2154" s="142">
        <v>0.97489999999999999</v>
      </c>
      <c r="N2154" s="142">
        <v>0.8044</v>
      </c>
      <c r="O2154" s="142">
        <v>1.0538000000000001</v>
      </c>
      <c r="P2154" s="26">
        <v>7307.543671938728</v>
      </c>
      <c r="Q2154" s="35">
        <f t="array" ref="Q2154">SUM(IF(($S2154&gt;=4)*($C2154='TaxCred&amp;Subs'!$D$114:$D$121)*($H2154='TaxCred&amp;Subs'!$C$114:$C$121)*($H2154&lt;='TaxCred&amp;Subs'!$C$123),'TaxCred&amp;Subs'!$E$114:$E$121,0))</f>
        <v>2500</v>
      </c>
      <c r="R2154" s="143">
        <v>0</v>
      </c>
      <c r="S2154" s="5">
        <v>5</v>
      </c>
      <c r="T2154" s="5" t="s">
        <v>221</v>
      </c>
      <c r="V2154" s="7" t="str">
        <f t="array" ref="V2154">INDEX(xlRTCLNAME,MATCH(1,(xlRTCLENDU=1)*(xlRTCLEQCL=$D2154),0))</f>
        <v>LPG_FA</v>
      </c>
      <c r="W2154" s="7" t="str">
        <f t="array" ref="W2154">INDEX(xlRTCLNAME,MATCH(1,(xlRTCLENDU=2)*(xlRTCLEQCL=$F2154),0))</f>
        <v>CENT_AIR</v>
      </c>
      <c r="X2154" s="7" t="str">
        <f t="array" ref="X2154">INDEX(xlRTTYNAME,MATCH(1,(xlRTTYENDU=1)*(xlRTTYEQCL=$D2154)*(xlRTEQTYPE=$E2154),0))</f>
        <v>LPG_FA4</v>
      </c>
      <c r="Y2154" s="7" t="str">
        <f t="array" ref="Y2154">INDEX(xlRTTYNAME,MATCH(1,(xlRTTYENDU=2)*(xlRTTYEQCL=$F2154)*(xlRTEQTYPE=$G2154),0))</f>
        <v>CENT_AIR4</v>
      </c>
    </row>
    <row r="2155" spans="2:25" x14ac:dyDescent="0.2">
      <c r="B2155" s="5">
        <v>6</v>
      </c>
      <c r="C2155" s="5">
        <v>3</v>
      </c>
      <c r="D2155" s="5">
        <v>6</v>
      </c>
      <c r="E2155" s="5">
        <v>21</v>
      </c>
      <c r="F2155" s="5">
        <v>2</v>
      </c>
      <c r="G2155" s="31">
        <v>7</v>
      </c>
      <c r="H2155" s="97">
        <v>2033</v>
      </c>
      <c r="I2155" s="97">
        <v>2050</v>
      </c>
      <c r="J2155" s="142">
        <v>1.0872999999999999</v>
      </c>
      <c r="K2155" s="142">
        <v>1.0581</v>
      </c>
      <c r="L2155" s="142">
        <v>0.71930000000000005</v>
      </c>
      <c r="M2155" s="142">
        <v>0.97489999999999999</v>
      </c>
      <c r="N2155" s="142">
        <v>0.8044</v>
      </c>
      <c r="O2155" s="142">
        <v>1.0538000000000001</v>
      </c>
      <c r="P2155" s="26">
        <v>7307.543671938728</v>
      </c>
      <c r="Q2155" s="35">
        <f t="array" ref="Q2155">SUM(IF(($S2155&gt;=4)*($C2155='TaxCred&amp;Subs'!$D$114:$D$121)*($H2155='TaxCred&amp;Subs'!$C$114:$C$121)*($H2155&lt;='TaxCred&amp;Subs'!$C$123),'TaxCred&amp;Subs'!$E$114:$E$121,0))</f>
        <v>0</v>
      </c>
      <c r="R2155" s="143">
        <v>0</v>
      </c>
      <c r="S2155" s="5">
        <v>5</v>
      </c>
      <c r="T2155" s="5" t="s">
        <v>221</v>
      </c>
      <c r="V2155" s="7" t="str">
        <f t="array" ref="V2155">INDEX(xlRTCLNAME,MATCH(1,(xlRTCLENDU=1)*(xlRTCLEQCL=$D2155),0))</f>
        <v>LPG_FA</v>
      </c>
      <c r="W2155" s="7" t="str">
        <f t="array" ref="W2155">INDEX(xlRTCLNAME,MATCH(1,(xlRTCLENDU=2)*(xlRTCLEQCL=$F2155),0))</f>
        <v>CENT_AIR</v>
      </c>
      <c r="X2155" s="7" t="str">
        <f t="array" ref="X2155">INDEX(xlRTTYNAME,MATCH(1,(xlRTTYENDU=1)*(xlRTTYEQCL=$D2155)*(xlRTEQTYPE=$E2155),0))</f>
        <v>LPG_FA4</v>
      </c>
      <c r="Y2155" s="7" t="str">
        <f t="array" ref="Y2155">INDEX(xlRTTYNAME,MATCH(1,(xlRTTYENDU=2)*(xlRTTYEQCL=$F2155)*(xlRTEQTYPE=$G2155),0))</f>
        <v>CENT_AIR4</v>
      </c>
    </row>
    <row r="2156" spans="2:25" x14ac:dyDescent="0.2">
      <c r="B2156" s="5">
        <v>7</v>
      </c>
      <c r="C2156" s="5">
        <v>3</v>
      </c>
      <c r="D2156" s="5">
        <v>6</v>
      </c>
      <c r="E2156" s="5">
        <v>21</v>
      </c>
      <c r="F2156" s="5">
        <v>2</v>
      </c>
      <c r="G2156" s="31">
        <v>7</v>
      </c>
      <c r="H2156" s="96">
        <v>2020</v>
      </c>
      <c r="I2156" s="97">
        <v>2022</v>
      </c>
      <c r="J2156" s="142">
        <v>1.0914999999999999</v>
      </c>
      <c r="K2156" s="142">
        <v>1.0496000000000001</v>
      </c>
      <c r="L2156" s="142">
        <v>0.71430000000000005</v>
      </c>
      <c r="M2156" s="142">
        <v>0.97609999999999997</v>
      </c>
      <c r="N2156" s="142">
        <v>0.81759999999999999</v>
      </c>
      <c r="O2156" s="142">
        <v>1.0538000000000001</v>
      </c>
      <c r="P2156" s="26">
        <v>6908.2169984215607</v>
      </c>
      <c r="Q2156" s="35">
        <f t="array" ref="Q2156">SUM(IF(($S2156&gt;=4)*($C2156='TaxCred&amp;Subs'!$D$114:$D$121)*($H2156='TaxCred&amp;Subs'!$C$114:$C$121)*($H2156&lt;='TaxCred&amp;Subs'!$C$123),'TaxCred&amp;Subs'!$E$114:$E$121,0))</f>
        <v>1000</v>
      </c>
      <c r="R2156" s="143">
        <v>0</v>
      </c>
      <c r="S2156" s="5">
        <v>5</v>
      </c>
      <c r="T2156" s="5" t="s">
        <v>221</v>
      </c>
      <c r="V2156" s="7" t="str">
        <f t="array" ref="V2156">INDEX(xlRTCLNAME,MATCH(1,(xlRTCLENDU=1)*(xlRTCLEQCL=$D2156),0))</f>
        <v>LPG_FA</v>
      </c>
      <c r="W2156" s="7" t="str">
        <f t="array" ref="W2156">INDEX(xlRTCLNAME,MATCH(1,(xlRTCLENDU=2)*(xlRTCLEQCL=$F2156),0))</f>
        <v>CENT_AIR</v>
      </c>
      <c r="X2156" s="7" t="str">
        <f t="array" ref="X2156">INDEX(xlRTTYNAME,MATCH(1,(xlRTTYENDU=1)*(xlRTTYEQCL=$D2156)*(xlRTEQTYPE=$E2156),0))</f>
        <v>LPG_FA4</v>
      </c>
      <c r="Y2156" s="7" t="str">
        <f t="array" ref="Y2156">INDEX(xlRTTYNAME,MATCH(1,(xlRTTYENDU=2)*(xlRTTYEQCL=$F2156)*(xlRTEQTYPE=$G2156),0))</f>
        <v>CENT_AIR4</v>
      </c>
    </row>
    <row r="2157" spans="2:25" x14ac:dyDescent="0.2">
      <c r="B2157" s="5">
        <v>7</v>
      </c>
      <c r="C2157" s="5">
        <v>3</v>
      </c>
      <c r="D2157" s="5">
        <v>6</v>
      </c>
      <c r="E2157" s="5">
        <v>21</v>
      </c>
      <c r="F2157" s="5">
        <v>2</v>
      </c>
      <c r="G2157" s="31">
        <v>7</v>
      </c>
      <c r="H2157" s="97">
        <v>2023</v>
      </c>
      <c r="I2157" s="97">
        <v>2032</v>
      </c>
      <c r="J2157" s="142">
        <v>1.0914999999999999</v>
      </c>
      <c r="K2157" s="142">
        <v>1.0496000000000001</v>
      </c>
      <c r="L2157" s="142">
        <v>0.71430000000000005</v>
      </c>
      <c r="M2157" s="142">
        <v>0.97609999999999997</v>
      </c>
      <c r="N2157" s="142">
        <v>0.81759999999999999</v>
      </c>
      <c r="O2157" s="142">
        <v>1.0538000000000001</v>
      </c>
      <c r="P2157" s="26">
        <v>6908.2169984215607</v>
      </c>
      <c r="Q2157" s="35">
        <f t="array" ref="Q2157">SUM(IF(($S2157&gt;=4)*($C2157='TaxCred&amp;Subs'!$D$114:$D$121)*($H2157='TaxCred&amp;Subs'!$C$114:$C$121)*($H2157&lt;='TaxCred&amp;Subs'!$C$123),'TaxCred&amp;Subs'!$E$114:$E$121,0))</f>
        <v>2500</v>
      </c>
      <c r="R2157" s="143">
        <v>0</v>
      </c>
      <c r="S2157" s="5">
        <v>5</v>
      </c>
      <c r="T2157" s="5" t="s">
        <v>221</v>
      </c>
      <c r="V2157" s="7" t="str">
        <f t="array" ref="V2157">INDEX(xlRTCLNAME,MATCH(1,(xlRTCLENDU=1)*(xlRTCLEQCL=$D2157),0))</f>
        <v>LPG_FA</v>
      </c>
      <c r="W2157" s="7" t="str">
        <f t="array" ref="W2157">INDEX(xlRTCLNAME,MATCH(1,(xlRTCLENDU=2)*(xlRTCLEQCL=$F2157),0))</f>
        <v>CENT_AIR</v>
      </c>
      <c r="X2157" s="7" t="str">
        <f t="array" ref="X2157">INDEX(xlRTTYNAME,MATCH(1,(xlRTTYENDU=1)*(xlRTTYEQCL=$D2157)*(xlRTEQTYPE=$E2157),0))</f>
        <v>LPG_FA4</v>
      </c>
      <c r="Y2157" s="7" t="str">
        <f t="array" ref="Y2157">INDEX(xlRTTYNAME,MATCH(1,(xlRTTYENDU=2)*(xlRTTYEQCL=$F2157)*(xlRTEQTYPE=$G2157),0))</f>
        <v>CENT_AIR4</v>
      </c>
    </row>
    <row r="2158" spans="2:25" x14ac:dyDescent="0.2">
      <c r="B2158" s="5">
        <v>7</v>
      </c>
      <c r="C2158" s="5">
        <v>3</v>
      </c>
      <c r="D2158" s="5">
        <v>6</v>
      </c>
      <c r="E2158" s="5">
        <v>21</v>
      </c>
      <c r="F2158" s="5">
        <v>2</v>
      </c>
      <c r="G2158" s="31">
        <v>7</v>
      </c>
      <c r="H2158" s="97">
        <v>2033</v>
      </c>
      <c r="I2158" s="97">
        <v>2050</v>
      </c>
      <c r="J2158" s="142">
        <v>1.0914999999999999</v>
      </c>
      <c r="K2158" s="142">
        <v>1.0496000000000001</v>
      </c>
      <c r="L2158" s="142">
        <v>0.71430000000000005</v>
      </c>
      <c r="M2158" s="142">
        <v>0.97609999999999997</v>
      </c>
      <c r="N2158" s="142">
        <v>0.81759999999999999</v>
      </c>
      <c r="O2158" s="142">
        <v>1.0538000000000001</v>
      </c>
      <c r="P2158" s="26">
        <v>6908.2169984215607</v>
      </c>
      <c r="Q2158" s="35">
        <f t="array" ref="Q2158">SUM(IF(($S2158&gt;=4)*($C2158='TaxCred&amp;Subs'!$D$114:$D$121)*($H2158='TaxCred&amp;Subs'!$C$114:$C$121)*($H2158&lt;='TaxCred&amp;Subs'!$C$123),'TaxCred&amp;Subs'!$E$114:$E$121,0))</f>
        <v>0</v>
      </c>
      <c r="R2158" s="143">
        <v>0</v>
      </c>
      <c r="S2158" s="5">
        <v>5</v>
      </c>
      <c r="T2158" s="5" t="s">
        <v>221</v>
      </c>
      <c r="V2158" s="7" t="str">
        <f t="array" ref="V2158">INDEX(xlRTCLNAME,MATCH(1,(xlRTCLENDU=1)*(xlRTCLEQCL=$D2158),0))</f>
        <v>LPG_FA</v>
      </c>
      <c r="W2158" s="7" t="str">
        <f t="array" ref="W2158">INDEX(xlRTCLNAME,MATCH(1,(xlRTCLENDU=2)*(xlRTCLEQCL=$F2158),0))</f>
        <v>CENT_AIR</v>
      </c>
      <c r="X2158" s="7" t="str">
        <f t="array" ref="X2158">INDEX(xlRTTYNAME,MATCH(1,(xlRTTYENDU=1)*(xlRTTYEQCL=$D2158)*(xlRTEQTYPE=$E2158),0))</f>
        <v>LPG_FA4</v>
      </c>
      <c r="Y2158" s="7" t="str">
        <f t="array" ref="Y2158">INDEX(xlRTTYNAME,MATCH(1,(xlRTTYENDU=2)*(xlRTTYEQCL=$F2158)*(xlRTEQTYPE=$G2158),0))</f>
        <v>CENT_AIR4</v>
      </c>
    </row>
    <row r="2159" spans="2:25" x14ac:dyDescent="0.2">
      <c r="B2159" s="5">
        <v>9</v>
      </c>
      <c r="C2159" s="5">
        <v>3</v>
      </c>
      <c r="D2159" s="5">
        <v>6</v>
      </c>
      <c r="E2159" s="5">
        <v>21</v>
      </c>
      <c r="F2159" s="5">
        <v>2</v>
      </c>
      <c r="G2159" s="31">
        <v>7</v>
      </c>
      <c r="H2159" s="96">
        <v>2020</v>
      </c>
      <c r="I2159" s="97">
        <v>2022</v>
      </c>
      <c r="J2159" s="142">
        <v>1.0761000000000001</v>
      </c>
      <c r="K2159" s="142">
        <v>1.0506</v>
      </c>
      <c r="L2159" s="142">
        <v>0.77149999999999996</v>
      </c>
      <c r="M2159" s="142">
        <v>1.0670999999999999</v>
      </c>
      <c r="N2159" s="142">
        <v>0.84670000000000001</v>
      </c>
      <c r="O2159" s="142">
        <v>1.0538000000000001</v>
      </c>
      <c r="P2159" s="26">
        <v>9774.7640285178568</v>
      </c>
      <c r="Q2159" s="35">
        <f t="array" ref="Q2159">SUM(IF(($S2159&gt;=4)*($C2159='TaxCred&amp;Subs'!$D$114:$D$121)*($H2159='TaxCred&amp;Subs'!$C$114:$C$121)*($H2159&lt;='TaxCred&amp;Subs'!$C$123),'TaxCred&amp;Subs'!$E$114:$E$121,0))</f>
        <v>1000</v>
      </c>
      <c r="R2159" s="143">
        <v>0</v>
      </c>
      <c r="S2159" s="5">
        <v>5</v>
      </c>
      <c r="T2159" s="5" t="s">
        <v>221</v>
      </c>
      <c r="V2159" s="7" t="str">
        <f t="array" ref="V2159">INDEX(xlRTCLNAME,MATCH(1,(xlRTCLENDU=1)*(xlRTCLEQCL=$D2159),0))</f>
        <v>LPG_FA</v>
      </c>
      <c r="W2159" s="7" t="str">
        <f t="array" ref="W2159">INDEX(xlRTCLNAME,MATCH(1,(xlRTCLENDU=2)*(xlRTCLEQCL=$F2159),0))</f>
        <v>CENT_AIR</v>
      </c>
      <c r="X2159" s="7" t="str">
        <f t="array" ref="X2159">INDEX(xlRTTYNAME,MATCH(1,(xlRTTYENDU=1)*(xlRTTYEQCL=$D2159)*(xlRTEQTYPE=$E2159),0))</f>
        <v>LPG_FA4</v>
      </c>
      <c r="Y2159" s="7" t="str">
        <f t="array" ref="Y2159">INDEX(xlRTTYNAME,MATCH(1,(xlRTTYENDU=2)*(xlRTTYEQCL=$F2159)*(xlRTEQTYPE=$G2159),0))</f>
        <v>CENT_AIR4</v>
      </c>
    </row>
    <row r="2160" spans="2:25" x14ac:dyDescent="0.2">
      <c r="B2160" s="5">
        <v>9</v>
      </c>
      <c r="C2160" s="5">
        <v>3</v>
      </c>
      <c r="D2160" s="5">
        <v>6</v>
      </c>
      <c r="E2160" s="5">
        <v>21</v>
      </c>
      <c r="F2160" s="5">
        <v>2</v>
      </c>
      <c r="G2160" s="31">
        <v>7</v>
      </c>
      <c r="H2160" s="97">
        <v>2023</v>
      </c>
      <c r="I2160" s="97">
        <v>2032</v>
      </c>
      <c r="J2160" s="142">
        <v>1.0761000000000001</v>
      </c>
      <c r="K2160" s="142">
        <v>1.0506</v>
      </c>
      <c r="L2160" s="142">
        <v>0.77149999999999996</v>
      </c>
      <c r="M2160" s="142">
        <v>1.0670999999999999</v>
      </c>
      <c r="N2160" s="142">
        <v>0.84670000000000001</v>
      </c>
      <c r="O2160" s="142">
        <v>1.0538000000000001</v>
      </c>
      <c r="P2160" s="26">
        <v>9774.7640285178568</v>
      </c>
      <c r="Q2160" s="35">
        <f t="array" ref="Q2160">SUM(IF(($S2160&gt;=4)*($C2160='TaxCred&amp;Subs'!$D$114:$D$121)*($H2160='TaxCred&amp;Subs'!$C$114:$C$121)*($H2160&lt;='TaxCred&amp;Subs'!$C$123),'TaxCred&amp;Subs'!$E$114:$E$121,0))</f>
        <v>2500</v>
      </c>
      <c r="R2160" s="143">
        <v>0</v>
      </c>
      <c r="S2160" s="5">
        <v>5</v>
      </c>
      <c r="T2160" s="5" t="s">
        <v>221</v>
      </c>
      <c r="V2160" s="7" t="str">
        <f t="array" ref="V2160">INDEX(xlRTCLNAME,MATCH(1,(xlRTCLENDU=1)*(xlRTCLEQCL=$D2160),0))</f>
        <v>LPG_FA</v>
      </c>
      <c r="W2160" s="7" t="str">
        <f t="array" ref="W2160">INDEX(xlRTCLNAME,MATCH(1,(xlRTCLENDU=2)*(xlRTCLEQCL=$F2160),0))</f>
        <v>CENT_AIR</v>
      </c>
      <c r="X2160" s="7" t="str">
        <f t="array" ref="X2160">INDEX(xlRTTYNAME,MATCH(1,(xlRTTYENDU=1)*(xlRTTYEQCL=$D2160)*(xlRTEQTYPE=$E2160),0))</f>
        <v>LPG_FA4</v>
      </c>
      <c r="Y2160" s="7" t="str">
        <f t="array" ref="Y2160">INDEX(xlRTTYNAME,MATCH(1,(xlRTTYENDU=2)*(xlRTTYEQCL=$F2160)*(xlRTEQTYPE=$G2160),0))</f>
        <v>CENT_AIR4</v>
      </c>
    </row>
    <row r="2161" spans="2:25" x14ac:dyDescent="0.2">
      <c r="B2161" s="5">
        <v>9</v>
      </c>
      <c r="C2161" s="5">
        <v>3</v>
      </c>
      <c r="D2161" s="5">
        <v>6</v>
      </c>
      <c r="E2161" s="5">
        <v>21</v>
      </c>
      <c r="F2161" s="5">
        <v>2</v>
      </c>
      <c r="G2161" s="31">
        <v>7</v>
      </c>
      <c r="H2161" s="97">
        <v>2033</v>
      </c>
      <c r="I2161" s="97">
        <v>2050</v>
      </c>
      <c r="J2161" s="142">
        <v>1.0761000000000001</v>
      </c>
      <c r="K2161" s="142">
        <v>1.0506</v>
      </c>
      <c r="L2161" s="142">
        <v>0.77149999999999996</v>
      </c>
      <c r="M2161" s="142">
        <v>1.0670999999999999</v>
      </c>
      <c r="N2161" s="142">
        <v>0.84670000000000001</v>
      </c>
      <c r="O2161" s="142">
        <v>1.0538000000000001</v>
      </c>
      <c r="P2161" s="26">
        <v>9774.7640285178568</v>
      </c>
      <c r="Q2161" s="35">
        <f t="array" ref="Q2161">SUM(IF(($S2161&gt;=4)*($C2161='TaxCred&amp;Subs'!$D$114:$D$121)*($H2161='TaxCred&amp;Subs'!$C$114:$C$121)*($H2161&lt;='TaxCred&amp;Subs'!$C$123),'TaxCred&amp;Subs'!$E$114:$E$121,0))</f>
        <v>0</v>
      </c>
      <c r="R2161" s="143">
        <v>0</v>
      </c>
      <c r="S2161" s="5">
        <v>5</v>
      </c>
      <c r="T2161" s="5" t="s">
        <v>221</v>
      </c>
      <c r="V2161" s="7" t="str">
        <f t="array" ref="V2161">INDEX(xlRTCLNAME,MATCH(1,(xlRTCLENDU=1)*(xlRTCLEQCL=$D2161),0))</f>
        <v>LPG_FA</v>
      </c>
      <c r="W2161" s="7" t="str">
        <f t="array" ref="W2161">INDEX(xlRTCLNAME,MATCH(1,(xlRTCLENDU=2)*(xlRTCLEQCL=$F2161),0))</f>
        <v>CENT_AIR</v>
      </c>
      <c r="X2161" s="7" t="str">
        <f t="array" ref="X2161">INDEX(xlRTTYNAME,MATCH(1,(xlRTTYENDU=1)*(xlRTTYEQCL=$D2161)*(xlRTEQTYPE=$E2161),0))</f>
        <v>LPG_FA4</v>
      </c>
      <c r="Y2161" s="7" t="str">
        <f t="array" ref="Y2161">INDEX(xlRTTYNAME,MATCH(1,(xlRTTYENDU=2)*(xlRTTYEQCL=$F2161)*(xlRTEQTYPE=$G2161),0))</f>
        <v>CENT_AIR4</v>
      </c>
    </row>
    <row r="2162" spans="2:25" x14ac:dyDescent="0.2">
      <c r="B2162" s="5">
        <v>5</v>
      </c>
      <c r="C2162" s="5">
        <v>3</v>
      </c>
      <c r="D2162" s="5">
        <v>7</v>
      </c>
      <c r="E2162" s="5">
        <v>25</v>
      </c>
      <c r="F2162" s="5">
        <v>2</v>
      </c>
      <c r="G2162" s="31">
        <v>7</v>
      </c>
      <c r="H2162" s="96">
        <v>2020</v>
      </c>
      <c r="I2162" s="97">
        <v>2022</v>
      </c>
      <c r="J2162" s="142">
        <v>1.0667</v>
      </c>
      <c r="K2162" s="142">
        <v>1.0568</v>
      </c>
      <c r="L2162" s="142">
        <v>0.67749999999999999</v>
      </c>
      <c r="M2162" s="142">
        <v>0.97309999999999997</v>
      </c>
      <c r="N2162" s="142">
        <v>0.83260000000000001</v>
      </c>
      <c r="O2162" s="142">
        <v>1.0538000000000001</v>
      </c>
      <c r="P2162" s="26">
        <v>7388.2157271947208</v>
      </c>
      <c r="Q2162" s="35">
        <f t="array" ref="Q2162">SUM(IF(($S2162&gt;=4)*($C2162='TaxCred&amp;Subs'!$D$114:$D$121)*($H2162='TaxCred&amp;Subs'!$C$114:$C$121)*($H2162&lt;='TaxCred&amp;Subs'!$C$123),'TaxCred&amp;Subs'!$E$114:$E$121,0))</f>
        <v>1000</v>
      </c>
      <c r="R2162" s="143">
        <v>0</v>
      </c>
      <c r="S2162" s="5">
        <v>5</v>
      </c>
      <c r="T2162" s="5" t="s">
        <v>221</v>
      </c>
      <c r="V2162" s="7" t="str">
        <f t="array" ref="V2162">INDEX(xlRTCLNAME,MATCH(1,(xlRTCLENDU=1)*(xlRTCLEQCL=$D2162),0))</f>
        <v>DIST_FA</v>
      </c>
      <c r="W2162" s="7" t="str">
        <f t="array" ref="W2162">INDEX(xlRTCLNAME,MATCH(1,(xlRTCLENDU=2)*(xlRTCLEQCL=$F2162),0))</f>
        <v>CENT_AIR</v>
      </c>
      <c r="X2162" s="7" t="str">
        <f t="array" ref="X2162">INDEX(xlRTTYNAME,MATCH(1,(xlRTTYENDU=1)*(xlRTTYEQCL=$D2162)*(xlRTEQTYPE=$E2162),0))</f>
        <v>DIST_FA4</v>
      </c>
      <c r="Y2162" s="7" t="str">
        <f t="array" ref="Y2162">INDEX(xlRTTYNAME,MATCH(1,(xlRTTYENDU=2)*(xlRTTYEQCL=$F2162)*(xlRTEQTYPE=$G2162),0))</f>
        <v>CENT_AIR4</v>
      </c>
    </row>
    <row r="2163" spans="2:25" x14ac:dyDescent="0.2">
      <c r="B2163" s="5">
        <v>5</v>
      </c>
      <c r="C2163" s="5">
        <v>3</v>
      </c>
      <c r="D2163" s="5">
        <v>7</v>
      </c>
      <c r="E2163" s="5">
        <v>25</v>
      </c>
      <c r="F2163" s="5">
        <v>2</v>
      </c>
      <c r="G2163" s="31">
        <v>7</v>
      </c>
      <c r="H2163" s="97">
        <v>2023</v>
      </c>
      <c r="I2163" s="97">
        <v>2032</v>
      </c>
      <c r="J2163" s="142">
        <v>1.0667</v>
      </c>
      <c r="K2163" s="142">
        <v>1.0568</v>
      </c>
      <c r="L2163" s="142">
        <v>0.67749999999999999</v>
      </c>
      <c r="M2163" s="142">
        <v>0.97309999999999997</v>
      </c>
      <c r="N2163" s="142">
        <v>0.83260000000000001</v>
      </c>
      <c r="O2163" s="142">
        <v>1.0538000000000001</v>
      </c>
      <c r="P2163" s="26">
        <v>7388.2157271947208</v>
      </c>
      <c r="Q2163" s="35">
        <f t="array" ref="Q2163">SUM(IF(($S2163&gt;=4)*($C2163='TaxCred&amp;Subs'!$D$114:$D$121)*($H2163='TaxCred&amp;Subs'!$C$114:$C$121)*($H2163&lt;='TaxCred&amp;Subs'!$C$123),'TaxCred&amp;Subs'!$E$114:$E$121,0))</f>
        <v>2500</v>
      </c>
      <c r="R2163" s="143">
        <v>0</v>
      </c>
      <c r="S2163" s="5">
        <v>5</v>
      </c>
      <c r="T2163" s="5" t="s">
        <v>221</v>
      </c>
      <c r="V2163" s="7" t="str">
        <f t="array" ref="V2163">INDEX(xlRTCLNAME,MATCH(1,(xlRTCLENDU=1)*(xlRTCLEQCL=$D2163),0))</f>
        <v>DIST_FA</v>
      </c>
      <c r="W2163" s="7" t="str">
        <f t="array" ref="W2163">INDEX(xlRTCLNAME,MATCH(1,(xlRTCLENDU=2)*(xlRTCLEQCL=$F2163),0))</f>
        <v>CENT_AIR</v>
      </c>
      <c r="X2163" s="7" t="str">
        <f t="array" ref="X2163">INDEX(xlRTTYNAME,MATCH(1,(xlRTTYENDU=1)*(xlRTTYEQCL=$D2163)*(xlRTEQTYPE=$E2163),0))</f>
        <v>DIST_FA4</v>
      </c>
      <c r="Y2163" s="7" t="str">
        <f t="array" ref="Y2163">INDEX(xlRTTYNAME,MATCH(1,(xlRTTYENDU=2)*(xlRTTYEQCL=$F2163)*(xlRTEQTYPE=$G2163),0))</f>
        <v>CENT_AIR4</v>
      </c>
    </row>
    <row r="2164" spans="2:25" x14ac:dyDescent="0.2">
      <c r="B2164" s="5">
        <v>5</v>
      </c>
      <c r="C2164" s="5">
        <v>3</v>
      </c>
      <c r="D2164" s="5">
        <v>7</v>
      </c>
      <c r="E2164" s="5">
        <v>25</v>
      </c>
      <c r="F2164" s="5">
        <v>2</v>
      </c>
      <c r="G2164" s="31">
        <v>7</v>
      </c>
      <c r="H2164" s="97">
        <v>2033</v>
      </c>
      <c r="I2164" s="97">
        <v>2050</v>
      </c>
      <c r="J2164" s="142">
        <v>1.0667</v>
      </c>
      <c r="K2164" s="142">
        <v>1.0568</v>
      </c>
      <c r="L2164" s="142">
        <v>0.67749999999999999</v>
      </c>
      <c r="M2164" s="142">
        <v>0.97309999999999997</v>
      </c>
      <c r="N2164" s="142">
        <v>0.83260000000000001</v>
      </c>
      <c r="O2164" s="142">
        <v>1.0538000000000001</v>
      </c>
      <c r="P2164" s="26">
        <v>7388.2157271947208</v>
      </c>
      <c r="Q2164" s="35">
        <f t="array" ref="Q2164">SUM(IF(($S2164&gt;=4)*($C2164='TaxCred&amp;Subs'!$D$114:$D$121)*($H2164='TaxCred&amp;Subs'!$C$114:$C$121)*($H2164&lt;='TaxCred&amp;Subs'!$C$123),'TaxCred&amp;Subs'!$E$114:$E$121,0))</f>
        <v>0</v>
      </c>
      <c r="R2164" s="143">
        <v>0</v>
      </c>
      <c r="S2164" s="5">
        <v>5</v>
      </c>
      <c r="T2164" s="5" t="s">
        <v>221</v>
      </c>
      <c r="V2164" s="7" t="str">
        <f t="array" ref="V2164">INDEX(xlRTCLNAME,MATCH(1,(xlRTCLENDU=1)*(xlRTCLEQCL=$D2164),0))</f>
        <v>DIST_FA</v>
      </c>
      <c r="W2164" s="7" t="str">
        <f t="array" ref="W2164">INDEX(xlRTCLNAME,MATCH(1,(xlRTCLENDU=2)*(xlRTCLEQCL=$F2164),0))</f>
        <v>CENT_AIR</v>
      </c>
      <c r="X2164" s="7" t="str">
        <f t="array" ref="X2164">INDEX(xlRTTYNAME,MATCH(1,(xlRTTYENDU=1)*(xlRTTYEQCL=$D2164)*(xlRTEQTYPE=$E2164),0))</f>
        <v>DIST_FA4</v>
      </c>
      <c r="Y2164" s="7" t="str">
        <f t="array" ref="Y2164">INDEX(xlRTTYNAME,MATCH(1,(xlRTTYENDU=2)*(xlRTTYEQCL=$F2164)*(xlRTEQTYPE=$G2164),0))</f>
        <v>CENT_AIR4</v>
      </c>
    </row>
    <row r="2165" spans="2:25" x14ac:dyDescent="0.2">
      <c r="B2165" s="5">
        <v>6</v>
      </c>
      <c r="C2165" s="5">
        <v>3</v>
      </c>
      <c r="D2165" s="5">
        <v>7</v>
      </c>
      <c r="E2165" s="5">
        <v>25</v>
      </c>
      <c r="F2165" s="5">
        <v>2</v>
      </c>
      <c r="G2165" s="31">
        <v>7</v>
      </c>
      <c r="H2165" s="96">
        <v>2020</v>
      </c>
      <c r="I2165" s="97">
        <v>2022</v>
      </c>
      <c r="J2165" s="142">
        <v>1.0896999999999999</v>
      </c>
      <c r="K2165" s="142">
        <v>1.0723</v>
      </c>
      <c r="L2165" s="142">
        <v>0.71960000000000002</v>
      </c>
      <c r="M2165" s="142">
        <v>0.98040000000000005</v>
      </c>
      <c r="N2165" s="142">
        <v>0.80269999999999997</v>
      </c>
      <c r="O2165" s="142">
        <v>1.0538000000000001</v>
      </c>
      <c r="P2165" s="26">
        <v>7307.543671938728</v>
      </c>
      <c r="Q2165" s="35">
        <f t="array" ref="Q2165">SUM(IF(($S2165&gt;=4)*($C2165='TaxCred&amp;Subs'!$D$114:$D$121)*($H2165='TaxCred&amp;Subs'!$C$114:$C$121)*($H2165&lt;='TaxCred&amp;Subs'!$C$123),'TaxCred&amp;Subs'!$E$114:$E$121,0))</f>
        <v>1000</v>
      </c>
      <c r="R2165" s="143">
        <v>0</v>
      </c>
      <c r="S2165" s="5">
        <v>5</v>
      </c>
      <c r="T2165" s="5" t="s">
        <v>221</v>
      </c>
      <c r="V2165" s="7" t="str">
        <f t="array" ref="V2165">INDEX(xlRTCLNAME,MATCH(1,(xlRTCLENDU=1)*(xlRTCLEQCL=$D2165),0))</f>
        <v>DIST_FA</v>
      </c>
      <c r="W2165" s="7" t="str">
        <f t="array" ref="W2165">INDEX(xlRTCLNAME,MATCH(1,(xlRTCLENDU=2)*(xlRTCLEQCL=$F2165),0))</f>
        <v>CENT_AIR</v>
      </c>
      <c r="X2165" s="7" t="str">
        <f t="array" ref="X2165">INDEX(xlRTTYNAME,MATCH(1,(xlRTTYENDU=1)*(xlRTTYEQCL=$D2165)*(xlRTEQTYPE=$E2165),0))</f>
        <v>DIST_FA4</v>
      </c>
      <c r="Y2165" s="7" t="str">
        <f t="array" ref="Y2165">INDEX(xlRTTYNAME,MATCH(1,(xlRTTYENDU=2)*(xlRTTYEQCL=$F2165)*(xlRTEQTYPE=$G2165),0))</f>
        <v>CENT_AIR4</v>
      </c>
    </row>
    <row r="2166" spans="2:25" x14ac:dyDescent="0.2">
      <c r="B2166" s="5">
        <v>6</v>
      </c>
      <c r="C2166" s="5">
        <v>3</v>
      </c>
      <c r="D2166" s="5">
        <v>7</v>
      </c>
      <c r="E2166" s="5">
        <v>25</v>
      </c>
      <c r="F2166" s="5">
        <v>2</v>
      </c>
      <c r="G2166" s="31">
        <v>7</v>
      </c>
      <c r="H2166" s="97">
        <v>2023</v>
      </c>
      <c r="I2166" s="97">
        <v>2032</v>
      </c>
      <c r="J2166" s="142">
        <v>1.0896999999999999</v>
      </c>
      <c r="K2166" s="142">
        <v>1.0723</v>
      </c>
      <c r="L2166" s="142">
        <v>0.71960000000000002</v>
      </c>
      <c r="M2166" s="142">
        <v>0.98040000000000005</v>
      </c>
      <c r="N2166" s="142">
        <v>0.80269999999999997</v>
      </c>
      <c r="O2166" s="142">
        <v>1.0538000000000001</v>
      </c>
      <c r="P2166" s="26">
        <v>7307.543671938728</v>
      </c>
      <c r="Q2166" s="35">
        <f t="array" ref="Q2166">SUM(IF(($S2166&gt;=4)*($C2166='TaxCred&amp;Subs'!$D$114:$D$121)*($H2166='TaxCred&amp;Subs'!$C$114:$C$121)*($H2166&lt;='TaxCred&amp;Subs'!$C$123),'TaxCred&amp;Subs'!$E$114:$E$121,0))</f>
        <v>2500</v>
      </c>
      <c r="R2166" s="143">
        <v>0</v>
      </c>
      <c r="S2166" s="5">
        <v>5</v>
      </c>
      <c r="T2166" s="5" t="s">
        <v>221</v>
      </c>
      <c r="V2166" s="7" t="str">
        <f t="array" ref="V2166">INDEX(xlRTCLNAME,MATCH(1,(xlRTCLENDU=1)*(xlRTCLEQCL=$D2166),0))</f>
        <v>DIST_FA</v>
      </c>
      <c r="W2166" s="7" t="str">
        <f t="array" ref="W2166">INDEX(xlRTCLNAME,MATCH(1,(xlRTCLENDU=2)*(xlRTCLEQCL=$F2166),0))</f>
        <v>CENT_AIR</v>
      </c>
      <c r="X2166" s="7" t="str">
        <f t="array" ref="X2166">INDEX(xlRTTYNAME,MATCH(1,(xlRTTYENDU=1)*(xlRTTYEQCL=$D2166)*(xlRTEQTYPE=$E2166),0))</f>
        <v>DIST_FA4</v>
      </c>
      <c r="Y2166" s="7" t="str">
        <f t="array" ref="Y2166">INDEX(xlRTTYNAME,MATCH(1,(xlRTTYENDU=2)*(xlRTTYEQCL=$F2166)*(xlRTEQTYPE=$G2166),0))</f>
        <v>CENT_AIR4</v>
      </c>
    </row>
    <row r="2167" spans="2:25" x14ac:dyDescent="0.2">
      <c r="B2167" s="5">
        <v>6</v>
      </c>
      <c r="C2167" s="5">
        <v>3</v>
      </c>
      <c r="D2167" s="5">
        <v>7</v>
      </c>
      <c r="E2167" s="5">
        <v>25</v>
      </c>
      <c r="F2167" s="5">
        <v>2</v>
      </c>
      <c r="G2167" s="31">
        <v>7</v>
      </c>
      <c r="H2167" s="97">
        <v>2033</v>
      </c>
      <c r="I2167" s="97">
        <v>2050</v>
      </c>
      <c r="J2167" s="142">
        <v>1.0896999999999999</v>
      </c>
      <c r="K2167" s="142">
        <v>1.0723</v>
      </c>
      <c r="L2167" s="142">
        <v>0.71960000000000002</v>
      </c>
      <c r="M2167" s="142">
        <v>0.98040000000000005</v>
      </c>
      <c r="N2167" s="142">
        <v>0.80269999999999997</v>
      </c>
      <c r="O2167" s="142">
        <v>1.0538000000000001</v>
      </c>
      <c r="P2167" s="26">
        <v>7307.543671938728</v>
      </c>
      <c r="Q2167" s="35">
        <f t="array" ref="Q2167">SUM(IF(($S2167&gt;=4)*($C2167='TaxCred&amp;Subs'!$D$114:$D$121)*($H2167='TaxCred&amp;Subs'!$C$114:$C$121)*($H2167&lt;='TaxCred&amp;Subs'!$C$123),'TaxCred&amp;Subs'!$E$114:$E$121,0))</f>
        <v>0</v>
      </c>
      <c r="R2167" s="143">
        <v>0</v>
      </c>
      <c r="S2167" s="5">
        <v>5</v>
      </c>
      <c r="T2167" s="5" t="s">
        <v>221</v>
      </c>
      <c r="V2167" s="7" t="str">
        <f t="array" ref="V2167">INDEX(xlRTCLNAME,MATCH(1,(xlRTCLENDU=1)*(xlRTCLEQCL=$D2167),0))</f>
        <v>DIST_FA</v>
      </c>
      <c r="W2167" s="7" t="str">
        <f t="array" ref="W2167">INDEX(xlRTCLNAME,MATCH(1,(xlRTCLENDU=2)*(xlRTCLEQCL=$F2167),0))</f>
        <v>CENT_AIR</v>
      </c>
      <c r="X2167" s="7" t="str">
        <f t="array" ref="X2167">INDEX(xlRTTYNAME,MATCH(1,(xlRTTYENDU=1)*(xlRTTYEQCL=$D2167)*(xlRTEQTYPE=$E2167),0))</f>
        <v>DIST_FA4</v>
      </c>
      <c r="Y2167" s="7" t="str">
        <f t="array" ref="Y2167">INDEX(xlRTTYNAME,MATCH(1,(xlRTTYENDU=2)*(xlRTTYEQCL=$F2167)*(xlRTEQTYPE=$G2167),0))</f>
        <v>CENT_AIR4</v>
      </c>
    </row>
    <row r="2168" spans="2:25" x14ac:dyDescent="0.2">
      <c r="B2168" s="5">
        <v>7</v>
      </c>
      <c r="C2168" s="5">
        <v>3</v>
      </c>
      <c r="D2168" s="5">
        <v>7</v>
      </c>
      <c r="E2168" s="5">
        <v>25</v>
      </c>
      <c r="F2168" s="5">
        <v>2</v>
      </c>
      <c r="G2168" s="31">
        <v>7</v>
      </c>
      <c r="H2168" s="96">
        <v>2020</v>
      </c>
      <c r="I2168" s="97">
        <v>2022</v>
      </c>
      <c r="J2168" s="142">
        <v>1.0940000000000001</v>
      </c>
      <c r="K2168" s="142">
        <v>1.0512999999999999</v>
      </c>
      <c r="L2168" s="142">
        <v>0.71619999999999995</v>
      </c>
      <c r="M2168" s="142">
        <v>0.97550000000000003</v>
      </c>
      <c r="N2168" s="142">
        <v>0.81289999999999996</v>
      </c>
      <c r="O2168" s="142">
        <v>1.0538000000000001</v>
      </c>
      <c r="P2168" s="26">
        <v>6908.2169984215607</v>
      </c>
      <c r="Q2168" s="35">
        <f t="array" ref="Q2168">SUM(IF(($S2168&gt;=4)*($C2168='TaxCred&amp;Subs'!$D$114:$D$121)*($H2168='TaxCred&amp;Subs'!$C$114:$C$121)*($H2168&lt;='TaxCred&amp;Subs'!$C$123),'TaxCred&amp;Subs'!$E$114:$E$121,0))</f>
        <v>1000</v>
      </c>
      <c r="R2168" s="143">
        <v>0</v>
      </c>
      <c r="S2168" s="5">
        <v>5</v>
      </c>
      <c r="T2168" s="5" t="s">
        <v>221</v>
      </c>
      <c r="V2168" s="7" t="str">
        <f t="array" ref="V2168">INDEX(xlRTCLNAME,MATCH(1,(xlRTCLENDU=1)*(xlRTCLEQCL=$D2168),0))</f>
        <v>DIST_FA</v>
      </c>
      <c r="W2168" s="7" t="str">
        <f t="array" ref="W2168">INDEX(xlRTCLNAME,MATCH(1,(xlRTCLENDU=2)*(xlRTCLEQCL=$F2168),0))</f>
        <v>CENT_AIR</v>
      </c>
      <c r="X2168" s="7" t="str">
        <f t="array" ref="X2168">INDEX(xlRTTYNAME,MATCH(1,(xlRTTYENDU=1)*(xlRTTYEQCL=$D2168)*(xlRTEQTYPE=$E2168),0))</f>
        <v>DIST_FA4</v>
      </c>
      <c r="Y2168" s="7" t="str">
        <f t="array" ref="Y2168">INDEX(xlRTTYNAME,MATCH(1,(xlRTTYENDU=2)*(xlRTTYEQCL=$F2168)*(xlRTEQTYPE=$G2168),0))</f>
        <v>CENT_AIR4</v>
      </c>
    </row>
    <row r="2169" spans="2:25" x14ac:dyDescent="0.2">
      <c r="B2169" s="5">
        <v>7</v>
      </c>
      <c r="C2169" s="5">
        <v>3</v>
      </c>
      <c r="D2169" s="5">
        <v>7</v>
      </c>
      <c r="E2169" s="5">
        <v>25</v>
      </c>
      <c r="F2169" s="5">
        <v>2</v>
      </c>
      <c r="G2169" s="31">
        <v>7</v>
      </c>
      <c r="H2169" s="97">
        <v>2023</v>
      </c>
      <c r="I2169" s="97">
        <v>2032</v>
      </c>
      <c r="J2169" s="142">
        <v>1.0940000000000001</v>
      </c>
      <c r="K2169" s="142">
        <v>1.0512999999999999</v>
      </c>
      <c r="L2169" s="142">
        <v>0.71619999999999995</v>
      </c>
      <c r="M2169" s="142">
        <v>0.97550000000000003</v>
      </c>
      <c r="N2169" s="142">
        <v>0.81289999999999996</v>
      </c>
      <c r="O2169" s="142">
        <v>1.0538000000000001</v>
      </c>
      <c r="P2169" s="26">
        <v>6908.2169984215607</v>
      </c>
      <c r="Q2169" s="35">
        <f t="array" ref="Q2169">SUM(IF(($S2169&gt;=4)*($C2169='TaxCred&amp;Subs'!$D$114:$D$121)*($H2169='TaxCred&amp;Subs'!$C$114:$C$121)*($H2169&lt;='TaxCred&amp;Subs'!$C$123),'TaxCred&amp;Subs'!$E$114:$E$121,0))</f>
        <v>2500</v>
      </c>
      <c r="R2169" s="143">
        <v>0</v>
      </c>
      <c r="S2169" s="5">
        <v>5</v>
      </c>
      <c r="T2169" s="5" t="s">
        <v>221</v>
      </c>
      <c r="V2169" s="7" t="str">
        <f t="array" ref="V2169">INDEX(xlRTCLNAME,MATCH(1,(xlRTCLENDU=1)*(xlRTCLEQCL=$D2169),0))</f>
        <v>DIST_FA</v>
      </c>
      <c r="W2169" s="7" t="str">
        <f t="array" ref="W2169">INDEX(xlRTCLNAME,MATCH(1,(xlRTCLENDU=2)*(xlRTCLEQCL=$F2169),0))</f>
        <v>CENT_AIR</v>
      </c>
      <c r="X2169" s="7" t="str">
        <f t="array" ref="X2169">INDEX(xlRTTYNAME,MATCH(1,(xlRTTYENDU=1)*(xlRTTYEQCL=$D2169)*(xlRTEQTYPE=$E2169),0))</f>
        <v>DIST_FA4</v>
      </c>
      <c r="Y2169" s="7" t="str">
        <f t="array" ref="Y2169">INDEX(xlRTTYNAME,MATCH(1,(xlRTTYENDU=2)*(xlRTTYEQCL=$F2169)*(xlRTEQTYPE=$G2169),0))</f>
        <v>CENT_AIR4</v>
      </c>
    </row>
    <row r="2170" spans="2:25" x14ac:dyDescent="0.2">
      <c r="B2170" s="5">
        <v>7</v>
      </c>
      <c r="C2170" s="5">
        <v>3</v>
      </c>
      <c r="D2170" s="5">
        <v>7</v>
      </c>
      <c r="E2170" s="5">
        <v>25</v>
      </c>
      <c r="F2170" s="5">
        <v>2</v>
      </c>
      <c r="G2170" s="31">
        <v>7</v>
      </c>
      <c r="H2170" s="97">
        <v>2033</v>
      </c>
      <c r="I2170" s="97">
        <v>2050</v>
      </c>
      <c r="J2170" s="142">
        <v>1.0940000000000001</v>
      </c>
      <c r="K2170" s="142">
        <v>1.0512999999999999</v>
      </c>
      <c r="L2170" s="142">
        <v>0.71619999999999995</v>
      </c>
      <c r="M2170" s="142">
        <v>0.97550000000000003</v>
      </c>
      <c r="N2170" s="142">
        <v>0.81289999999999996</v>
      </c>
      <c r="O2170" s="142">
        <v>1.0538000000000001</v>
      </c>
      <c r="P2170" s="26">
        <v>6908.2169984215607</v>
      </c>
      <c r="Q2170" s="35">
        <f t="array" ref="Q2170">SUM(IF(($S2170&gt;=4)*($C2170='TaxCred&amp;Subs'!$D$114:$D$121)*($H2170='TaxCred&amp;Subs'!$C$114:$C$121)*($H2170&lt;='TaxCred&amp;Subs'!$C$123),'TaxCred&amp;Subs'!$E$114:$E$121,0))</f>
        <v>0</v>
      </c>
      <c r="R2170" s="143">
        <v>0</v>
      </c>
      <c r="S2170" s="5">
        <v>5</v>
      </c>
      <c r="T2170" s="5" t="s">
        <v>221</v>
      </c>
      <c r="V2170" s="7" t="str">
        <f t="array" ref="V2170">INDEX(xlRTCLNAME,MATCH(1,(xlRTCLENDU=1)*(xlRTCLEQCL=$D2170),0))</f>
        <v>DIST_FA</v>
      </c>
      <c r="W2170" s="7" t="str">
        <f t="array" ref="W2170">INDEX(xlRTCLNAME,MATCH(1,(xlRTCLENDU=2)*(xlRTCLEQCL=$F2170),0))</f>
        <v>CENT_AIR</v>
      </c>
      <c r="X2170" s="7" t="str">
        <f t="array" ref="X2170">INDEX(xlRTTYNAME,MATCH(1,(xlRTTYENDU=1)*(xlRTTYEQCL=$D2170)*(xlRTEQTYPE=$E2170),0))</f>
        <v>DIST_FA4</v>
      </c>
      <c r="Y2170" s="7" t="str">
        <f t="array" ref="Y2170">INDEX(xlRTTYNAME,MATCH(1,(xlRTTYENDU=2)*(xlRTTYEQCL=$F2170)*(xlRTEQTYPE=$G2170),0))</f>
        <v>CENT_AIR4</v>
      </c>
    </row>
    <row r="2171" spans="2:25" x14ac:dyDescent="0.2">
      <c r="B2171" s="5">
        <v>9</v>
      </c>
      <c r="C2171" s="5">
        <v>3</v>
      </c>
      <c r="D2171" s="5">
        <v>7</v>
      </c>
      <c r="E2171" s="5">
        <v>25</v>
      </c>
      <c r="F2171" s="5">
        <v>2</v>
      </c>
      <c r="G2171" s="31">
        <v>7</v>
      </c>
      <c r="H2171" s="96">
        <v>2020</v>
      </c>
      <c r="I2171" s="97">
        <v>2022</v>
      </c>
      <c r="J2171" s="142">
        <v>1.0743</v>
      </c>
      <c r="K2171" s="142">
        <v>1.0519000000000001</v>
      </c>
      <c r="L2171" s="142">
        <v>0.77200000000000002</v>
      </c>
      <c r="M2171" s="142">
        <v>1.0674999999999999</v>
      </c>
      <c r="N2171" s="142">
        <v>0.84240000000000004</v>
      </c>
      <c r="O2171" s="142">
        <v>1.0538000000000001</v>
      </c>
      <c r="P2171" s="26">
        <v>9774.7640285178568</v>
      </c>
      <c r="Q2171" s="35">
        <f t="array" ref="Q2171">SUM(IF(($S2171&gt;=4)*($C2171='TaxCred&amp;Subs'!$D$114:$D$121)*($H2171='TaxCred&amp;Subs'!$C$114:$C$121)*($H2171&lt;='TaxCred&amp;Subs'!$C$123),'TaxCred&amp;Subs'!$E$114:$E$121,0))</f>
        <v>1000</v>
      </c>
      <c r="R2171" s="143">
        <v>0</v>
      </c>
      <c r="S2171" s="5">
        <v>5</v>
      </c>
      <c r="T2171" s="5" t="s">
        <v>221</v>
      </c>
      <c r="V2171" s="7" t="str">
        <f t="array" ref="V2171">INDEX(xlRTCLNAME,MATCH(1,(xlRTCLENDU=1)*(xlRTCLEQCL=$D2171),0))</f>
        <v>DIST_FA</v>
      </c>
      <c r="W2171" s="7" t="str">
        <f t="array" ref="W2171">INDEX(xlRTCLNAME,MATCH(1,(xlRTCLENDU=2)*(xlRTCLEQCL=$F2171),0))</f>
        <v>CENT_AIR</v>
      </c>
      <c r="X2171" s="7" t="str">
        <f t="array" ref="X2171">INDEX(xlRTTYNAME,MATCH(1,(xlRTTYENDU=1)*(xlRTTYEQCL=$D2171)*(xlRTEQTYPE=$E2171),0))</f>
        <v>DIST_FA4</v>
      </c>
      <c r="Y2171" s="7" t="str">
        <f t="array" ref="Y2171">INDEX(xlRTTYNAME,MATCH(1,(xlRTTYENDU=2)*(xlRTTYEQCL=$F2171)*(xlRTEQTYPE=$G2171),0))</f>
        <v>CENT_AIR4</v>
      </c>
    </row>
    <row r="2172" spans="2:25" x14ac:dyDescent="0.2">
      <c r="B2172" s="5">
        <v>9</v>
      </c>
      <c r="C2172" s="5">
        <v>3</v>
      </c>
      <c r="D2172" s="5">
        <v>7</v>
      </c>
      <c r="E2172" s="5">
        <v>25</v>
      </c>
      <c r="F2172" s="5">
        <v>2</v>
      </c>
      <c r="G2172" s="31">
        <v>7</v>
      </c>
      <c r="H2172" s="97">
        <v>2023</v>
      </c>
      <c r="I2172" s="97">
        <v>2032</v>
      </c>
      <c r="J2172" s="142">
        <v>1.0743</v>
      </c>
      <c r="K2172" s="142">
        <v>1.0519000000000001</v>
      </c>
      <c r="L2172" s="142">
        <v>0.77200000000000002</v>
      </c>
      <c r="M2172" s="142">
        <v>1.0674999999999999</v>
      </c>
      <c r="N2172" s="142">
        <v>0.84240000000000004</v>
      </c>
      <c r="O2172" s="142">
        <v>1.0538000000000001</v>
      </c>
      <c r="P2172" s="26">
        <v>9774.7640285178568</v>
      </c>
      <c r="Q2172" s="35">
        <f t="array" ref="Q2172">SUM(IF(($S2172&gt;=4)*($C2172='TaxCred&amp;Subs'!$D$114:$D$121)*($H2172='TaxCred&amp;Subs'!$C$114:$C$121)*($H2172&lt;='TaxCred&amp;Subs'!$C$123),'TaxCred&amp;Subs'!$E$114:$E$121,0))</f>
        <v>2500</v>
      </c>
      <c r="R2172" s="143">
        <v>0</v>
      </c>
      <c r="S2172" s="5">
        <v>5</v>
      </c>
      <c r="T2172" s="5" t="s">
        <v>221</v>
      </c>
      <c r="V2172" s="7" t="str">
        <f t="array" ref="V2172">INDEX(xlRTCLNAME,MATCH(1,(xlRTCLENDU=1)*(xlRTCLEQCL=$D2172),0))</f>
        <v>DIST_FA</v>
      </c>
      <c r="W2172" s="7" t="str">
        <f t="array" ref="W2172">INDEX(xlRTCLNAME,MATCH(1,(xlRTCLENDU=2)*(xlRTCLEQCL=$F2172),0))</f>
        <v>CENT_AIR</v>
      </c>
      <c r="X2172" s="7" t="str">
        <f t="array" ref="X2172">INDEX(xlRTTYNAME,MATCH(1,(xlRTTYENDU=1)*(xlRTTYEQCL=$D2172)*(xlRTEQTYPE=$E2172),0))</f>
        <v>DIST_FA4</v>
      </c>
      <c r="Y2172" s="7" t="str">
        <f t="array" ref="Y2172">INDEX(xlRTTYNAME,MATCH(1,(xlRTTYENDU=2)*(xlRTTYEQCL=$F2172)*(xlRTEQTYPE=$G2172),0))</f>
        <v>CENT_AIR4</v>
      </c>
    </row>
    <row r="2173" spans="2:25" x14ac:dyDescent="0.2">
      <c r="B2173" s="5">
        <v>9</v>
      </c>
      <c r="C2173" s="5">
        <v>3</v>
      </c>
      <c r="D2173" s="5">
        <v>7</v>
      </c>
      <c r="E2173" s="5">
        <v>25</v>
      </c>
      <c r="F2173" s="5">
        <v>2</v>
      </c>
      <c r="G2173" s="31">
        <v>7</v>
      </c>
      <c r="H2173" s="97">
        <v>2033</v>
      </c>
      <c r="I2173" s="97">
        <v>2050</v>
      </c>
      <c r="J2173" s="142">
        <v>1.0743</v>
      </c>
      <c r="K2173" s="142">
        <v>1.0519000000000001</v>
      </c>
      <c r="L2173" s="142">
        <v>0.77200000000000002</v>
      </c>
      <c r="M2173" s="142">
        <v>1.0674999999999999</v>
      </c>
      <c r="N2173" s="142">
        <v>0.84240000000000004</v>
      </c>
      <c r="O2173" s="142">
        <v>1.0538000000000001</v>
      </c>
      <c r="P2173" s="26">
        <v>9774.7640285178568</v>
      </c>
      <c r="Q2173" s="35">
        <f t="array" ref="Q2173">SUM(IF(($S2173&gt;=4)*($C2173='TaxCred&amp;Subs'!$D$114:$D$121)*($H2173='TaxCred&amp;Subs'!$C$114:$C$121)*($H2173&lt;='TaxCred&amp;Subs'!$C$123),'TaxCred&amp;Subs'!$E$114:$E$121,0))</f>
        <v>0</v>
      </c>
      <c r="R2173" s="143">
        <v>0</v>
      </c>
      <c r="S2173" s="5">
        <v>5</v>
      </c>
      <c r="T2173" s="5" t="s">
        <v>221</v>
      </c>
      <c r="V2173" s="7" t="str">
        <f t="array" ref="V2173">INDEX(xlRTCLNAME,MATCH(1,(xlRTCLENDU=1)*(xlRTCLEQCL=$D2173),0))</f>
        <v>DIST_FA</v>
      </c>
      <c r="W2173" s="7" t="str">
        <f t="array" ref="W2173">INDEX(xlRTCLNAME,MATCH(1,(xlRTCLENDU=2)*(xlRTCLEQCL=$F2173),0))</f>
        <v>CENT_AIR</v>
      </c>
      <c r="X2173" s="7" t="str">
        <f t="array" ref="X2173">INDEX(xlRTTYNAME,MATCH(1,(xlRTTYENDU=1)*(xlRTTYEQCL=$D2173)*(xlRTEQTYPE=$E2173),0))</f>
        <v>DIST_FA4</v>
      </c>
      <c r="Y2173" s="7" t="str">
        <f t="array" ref="Y2173">INDEX(xlRTTYNAME,MATCH(1,(xlRTTYENDU=2)*(xlRTTYEQCL=$F2173)*(xlRTEQTYPE=$G2173),0))</f>
        <v>CENT_AIR4</v>
      </c>
    </row>
    <row r="2174" spans="2:25" x14ac:dyDescent="0.2">
      <c r="B2174" s="5">
        <v>5</v>
      </c>
      <c r="C2174" s="5">
        <v>3</v>
      </c>
      <c r="D2174" s="5">
        <v>8</v>
      </c>
      <c r="E2174" s="31">
        <v>28</v>
      </c>
      <c r="F2174" s="5">
        <v>2</v>
      </c>
      <c r="G2174" s="31">
        <v>7</v>
      </c>
      <c r="H2174" s="96">
        <v>2020</v>
      </c>
      <c r="I2174" s="97">
        <v>2022</v>
      </c>
      <c r="J2174" s="142">
        <v>1.0940000000000001</v>
      </c>
      <c r="K2174" s="142">
        <v>1.0575000000000001</v>
      </c>
      <c r="L2174" s="142">
        <v>0.74939999999999996</v>
      </c>
      <c r="M2174" s="142">
        <v>0.97389999999999999</v>
      </c>
      <c r="N2174" s="142">
        <v>0.83130000000000004</v>
      </c>
      <c r="O2174" s="142">
        <v>1.0538000000000001</v>
      </c>
      <c r="P2174" s="26">
        <v>7388.2157271947208</v>
      </c>
      <c r="Q2174" s="35">
        <f t="array" ref="Q2174">SUM(IF(($S2174&gt;=4)*($C2174='TaxCred&amp;Subs'!$D$114:$D$121)*($H2174='TaxCred&amp;Subs'!$C$114:$C$121)*($H2174&lt;='TaxCred&amp;Subs'!$C$123),'TaxCred&amp;Subs'!$E$114:$E$121,0))</f>
        <v>1000</v>
      </c>
      <c r="R2174" s="143">
        <v>0</v>
      </c>
      <c r="S2174" s="5">
        <v>5</v>
      </c>
      <c r="T2174" s="5" t="s">
        <v>221</v>
      </c>
      <c r="V2174" s="7" t="str">
        <f t="array" ref="V2174">INDEX(xlRTCLNAME,MATCH(1,(xlRTCLENDU=1)*(xlRTCLEQCL=$D2174),0))</f>
        <v>DIST_RAD</v>
      </c>
      <c r="W2174" s="7" t="str">
        <f t="array" ref="W2174">INDEX(xlRTCLNAME,MATCH(1,(xlRTCLENDU=2)*(xlRTCLEQCL=$F2174),0))</f>
        <v>CENT_AIR</v>
      </c>
      <c r="X2174" s="7" t="str">
        <f t="array" ref="X2174">INDEX(xlRTTYNAME,MATCH(1,(xlRTTYENDU=1)*(xlRTTYEQCL=$D2174)*(xlRTEQTYPE=$E2174),0))</f>
        <v>DIST_RAD4</v>
      </c>
      <c r="Y2174" s="7" t="str">
        <f t="array" ref="Y2174">INDEX(xlRTTYNAME,MATCH(1,(xlRTTYENDU=2)*(xlRTTYEQCL=$F2174)*(xlRTEQTYPE=$G2174),0))</f>
        <v>CENT_AIR4</v>
      </c>
    </row>
    <row r="2175" spans="2:25" x14ac:dyDescent="0.2">
      <c r="B2175" s="5">
        <v>5</v>
      </c>
      <c r="C2175" s="5">
        <v>3</v>
      </c>
      <c r="D2175" s="5">
        <v>8</v>
      </c>
      <c r="E2175" s="31">
        <v>28</v>
      </c>
      <c r="F2175" s="5">
        <v>2</v>
      </c>
      <c r="G2175" s="31">
        <v>7</v>
      </c>
      <c r="H2175" s="97">
        <v>2023</v>
      </c>
      <c r="I2175" s="97">
        <v>2032</v>
      </c>
      <c r="J2175" s="142">
        <v>1.0940000000000001</v>
      </c>
      <c r="K2175" s="142">
        <v>1.0575000000000001</v>
      </c>
      <c r="L2175" s="142">
        <v>0.74939999999999996</v>
      </c>
      <c r="M2175" s="142">
        <v>0.97389999999999999</v>
      </c>
      <c r="N2175" s="142">
        <v>0.83130000000000004</v>
      </c>
      <c r="O2175" s="142">
        <v>1.0538000000000001</v>
      </c>
      <c r="P2175" s="26">
        <v>7388.2157271947208</v>
      </c>
      <c r="Q2175" s="35">
        <f t="array" ref="Q2175">SUM(IF(($S2175&gt;=4)*($C2175='TaxCred&amp;Subs'!$D$114:$D$121)*($H2175='TaxCred&amp;Subs'!$C$114:$C$121)*($H2175&lt;='TaxCred&amp;Subs'!$C$123),'TaxCred&amp;Subs'!$E$114:$E$121,0))</f>
        <v>2500</v>
      </c>
      <c r="R2175" s="143">
        <v>0</v>
      </c>
      <c r="S2175" s="5">
        <v>5</v>
      </c>
      <c r="T2175" s="5" t="s">
        <v>221</v>
      </c>
      <c r="V2175" s="7" t="str">
        <f t="array" ref="V2175">INDEX(xlRTCLNAME,MATCH(1,(xlRTCLENDU=1)*(xlRTCLEQCL=$D2175),0))</f>
        <v>DIST_RAD</v>
      </c>
      <c r="W2175" s="7" t="str">
        <f t="array" ref="W2175">INDEX(xlRTCLNAME,MATCH(1,(xlRTCLENDU=2)*(xlRTCLEQCL=$F2175),0))</f>
        <v>CENT_AIR</v>
      </c>
      <c r="X2175" s="7" t="str">
        <f t="array" ref="X2175">INDEX(xlRTTYNAME,MATCH(1,(xlRTTYENDU=1)*(xlRTTYEQCL=$D2175)*(xlRTEQTYPE=$E2175),0))</f>
        <v>DIST_RAD4</v>
      </c>
      <c r="Y2175" s="7" t="str">
        <f t="array" ref="Y2175">INDEX(xlRTTYNAME,MATCH(1,(xlRTTYENDU=2)*(xlRTTYEQCL=$F2175)*(xlRTEQTYPE=$G2175),0))</f>
        <v>CENT_AIR4</v>
      </c>
    </row>
    <row r="2176" spans="2:25" x14ac:dyDescent="0.2">
      <c r="B2176" s="5">
        <v>5</v>
      </c>
      <c r="C2176" s="5">
        <v>3</v>
      </c>
      <c r="D2176" s="5">
        <v>8</v>
      </c>
      <c r="E2176" s="31">
        <v>28</v>
      </c>
      <c r="F2176" s="5">
        <v>2</v>
      </c>
      <c r="G2176" s="31">
        <v>7</v>
      </c>
      <c r="H2176" s="97">
        <v>2033</v>
      </c>
      <c r="I2176" s="97">
        <v>2050</v>
      </c>
      <c r="J2176" s="142">
        <v>1.0940000000000001</v>
      </c>
      <c r="K2176" s="142">
        <v>1.0575000000000001</v>
      </c>
      <c r="L2176" s="142">
        <v>0.74939999999999996</v>
      </c>
      <c r="M2176" s="142">
        <v>0.97389999999999999</v>
      </c>
      <c r="N2176" s="142">
        <v>0.83130000000000004</v>
      </c>
      <c r="O2176" s="142">
        <v>1.0538000000000001</v>
      </c>
      <c r="P2176" s="26">
        <v>7388.2157271947208</v>
      </c>
      <c r="Q2176" s="35">
        <f t="array" ref="Q2176">SUM(IF(($S2176&gt;=4)*($C2176='TaxCred&amp;Subs'!$D$114:$D$121)*($H2176='TaxCred&amp;Subs'!$C$114:$C$121)*($H2176&lt;='TaxCred&amp;Subs'!$C$123),'TaxCred&amp;Subs'!$E$114:$E$121,0))</f>
        <v>0</v>
      </c>
      <c r="R2176" s="143">
        <v>0</v>
      </c>
      <c r="S2176" s="5">
        <v>5</v>
      </c>
      <c r="T2176" s="5" t="s">
        <v>221</v>
      </c>
      <c r="V2176" s="7" t="str">
        <f t="array" ref="V2176">INDEX(xlRTCLNAME,MATCH(1,(xlRTCLENDU=1)*(xlRTCLEQCL=$D2176),0))</f>
        <v>DIST_RAD</v>
      </c>
      <c r="W2176" s="7" t="str">
        <f t="array" ref="W2176">INDEX(xlRTCLNAME,MATCH(1,(xlRTCLENDU=2)*(xlRTCLEQCL=$F2176),0))</f>
        <v>CENT_AIR</v>
      </c>
      <c r="X2176" s="7" t="str">
        <f t="array" ref="X2176">INDEX(xlRTTYNAME,MATCH(1,(xlRTTYENDU=1)*(xlRTTYEQCL=$D2176)*(xlRTEQTYPE=$E2176),0))</f>
        <v>DIST_RAD4</v>
      </c>
      <c r="Y2176" s="7" t="str">
        <f t="array" ref="Y2176">INDEX(xlRTTYNAME,MATCH(1,(xlRTTYENDU=2)*(xlRTTYEQCL=$F2176)*(xlRTEQTYPE=$G2176),0))</f>
        <v>CENT_AIR4</v>
      </c>
    </row>
    <row r="2177" spans="2:25" x14ac:dyDescent="0.2">
      <c r="B2177" s="5">
        <v>6</v>
      </c>
      <c r="C2177" s="5">
        <v>3</v>
      </c>
      <c r="D2177" s="5">
        <v>8</v>
      </c>
      <c r="E2177" s="31">
        <v>28</v>
      </c>
      <c r="F2177" s="5">
        <v>2</v>
      </c>
      <c r="G2177" s="31">
        <v>7</v>
      </c>
      <c r="H2177" s="96">
        <v>2020</v>
      </c>
      <c r="I2177" s="97">
        <v>2022</v>
      </c>
      <c r="J2177" s="142">
        <v>1.0873999999999999</v>
      </c>
      <c r="K2177" s="142">
        <v>1.0609999999999999</v>
      </c>
      <c r="L2177" s="142">
        <v>0.73709999999999998</v>
      </c>
      <c r="M2177" s="142">
        <v>0.97489999999999999</v>
      </c>
      <c r="N2177" s="142">
        <v>0.80189999999999995</v>
      </c>
      <c r="O2177" s="142">
        <v>1.0538000000000001</v>
      </c>
      <c r="P2177" s="26">
        <v>7307.543671938728</v>
      </c>
      <c r="Q2177" s="35">
        <f t="array" ref="Q2177">SUM(IF(($S2177&gt;=4)*($C2177='TaxCred&amp;Subs'!$D$114:$D$121)*($H2177='TaxCred&amp;Subs'!$C$114:$C$121)*($H2177&lt;='TaxCred&amp;Subs'!$C$123),'TaxCred&amp;Subs'!$E$114:$E$121,0))</f>
        <v>1000</v>
      </c>
      <c r="R2177" s="143">
        <v>0</v>
      </c>
      <c r="S2177" s="5">
        <v>5</v>
      </c>
      <c r="T2177" s="5" t="s">
        <v>221</v>
      </c>
      <c r="V2177" s="7" t="str">
        <f t="array" ref="V2177">INDEX(xlRTCLNAME,MATCH(1,(xlRTCLENDU=1)*(xlRTCLEQCL=$D2177),0))</f>
        <v>DIST_RAD</v>
      </c>
      <c r="W2177" s="7" t="str">
        <f t="array" ref="W2177">INDEX(xlRTCLNAME,MATCH(1,(xlRTCLENDU=2)*(xlRTCLEQCL=$F2177),0))</f>
        <v>CENT_AIR</v>
      </c>
      <c r="X2177" s="7" t="str">
        <f t="array" ref="X2177">INDEX(xlRTTYNAME,MATCH(1,(xlRTTYENDU=1)*(xlRTTYEQCL=$D2177)*(xlRTEQTYPE=$E2177),0))</f>
        <v>DIST_RAD4</v>
      </c>
      <c r="Y2177" s="7" t="str">
        <f t="array" ref="Y2177">INDEX(xlRTTYNAME,MATCH(1,(xlRTTYENDU=2)*(xlRTTYEQCL=$F2177)*(xlRTEQTYPE=$G2177),0))</f>
        <v>CENT_AIR4</v>
      </c>
    </row>
    <row r="2178" spans="2:25" x14ac:dyDescent="0.2">
      <c r="B2178" s="5">
        <v>6</v>
      </c>
      <c r="C2178" s="5">
        <v>3</v>
      </c>
      <c r="D2178" s="5">
        <v>8</v>
      </c>
      <c r="E2178" s="31">
        <v>28</v>
      </c>
      <c r="F2178" s="5">
        <v>2</v>
      </c>
      <c r="G2178" s="31">
        <v>7</v>
      </c>
      <c r="H2178" s="97">
        <v>2023</v>
      </c>
      <c r="I2178" s="97">
        <v>2032</v>
      </c>
      <c r="J2178" s="142">
        <v>1.0873999999999999</v>
      </c>
      <c r="K2178" s="142">
        <v>1.0609999999999999</v>
      </c>
      <c r="L2178" s="142">
        <v>0.73709999999999998</v>
      </c>
      <c r="M2178" s="142">
        <v>0.97489999999999999</v>
      </c>
      <c r="N2178" s="142">
        <v>0.80189999999999995</v>
      </c>
      <c r="O2178" s="142">
        <v>1.0538000000000001</v>
      </c>
      <c r="P2178" s="26">
        <v>7307.543671938728</v>
      </c>
      <c r="Q2178" s="35">
        <f t="array" ref="Q2178">SUM(IF(($S2178&gt;=4)*($C2178='TaxCred&amp;Subs'!$D$114:$D$121)*($H2178='TaxCred&amp;Subs'!$C$114:$C$121)*($H2178&lt;='TaxCred&amp;Subs'!$C$123),'TaxCred&amp;Subs'!$E$114:$E$121,0))</f>
        <v>2500</v>
      </c>
      <c r="R2178" s="143">
        <v>0</v>
      </c>
      <c r="S2178" s="5">
        <v>5</v>
      </c>
      <c r="T2178" s="5" t="s">
        <v>221</v>
      </c>
      <c r="V2178" s="7" t="str">
        <f t="array" ref="V2178">INDEX(xlRTCLNAME,MATCH(1,(xlRTCLENDU=1)*(xlRTCLEQCL=$D2178),0))</f>
        <v>DIST_RAD</v>
      </c>
      <c r="W2178" s="7" t="str">
        <f t="array" ref="W2178">INDEX(xlRTCLNAME,MATCH(1,(xlRTCLENDU=2)*(xlRTCLEQCL=$F2178),0))</f>
        <v>CENT_AIR</v>
      </c>
      <c r="X2178" s="7" t="str">
        <f t="array" ref="X2178">INDEX(xlRTTYNAME,MATCH(1,(xlRTTYENDU=1)*(xlRTTYEQCL=$D2178)*(xlRTEQTYPE=$E2178),0))</f>
        <v>DIST_RAD4</v>
      </c>
      <c r="Y2178" s="7" t="str">
        <f t="array" ref="Y2178">INDEX(xlRTTYNAME,MATCH(1,(xlRTTYENDU=2)*(xlRTTYEQCL=$F2178)*(xlRTEQTYPE=$G2178),0))</f>
        <v>CENT_AIR4</v>
      </c>
    </row>
    <row r="2179" spans="2:25" x14ac:dyDescent="0.2">
      <c r="B2179" s="5">
        <v>6</v>
      </c>
      <c r="C2179" s="5">
        <v>3</v>
      </c>
      <c r="D2179" s="5">
        <v>8</v>
      </c>
      <c r="E2179" s="31">
        <v>28</v>
      </c>
      <c r="F2179" s="5">
        <v>2</v>
      </c>
      <c r="G2179" s="31">
        <v>7</v>
      </c>
      <c r="H2179" s="97">
        <v>2033</v>
      </c>
      <c r="I2179" s="97">
        <v>2050</v>
      </c>
      <c r="J2179" s="142">
        <v>1.0873999999999999</v>
      </c>
      <c r="K2179" s="142">
        <v>1.0609999999999999</v>
      </c>
      <c r="L2179" s="142">
        <v>0.73709999999999998</v>
      </c>
      <c r="M2179" s="142">
        <v>0.97489999999999999</v>
      </c>
      <c r="N2179" s="142">
        <v>0.80189999999999995</v>
      </c>
      <c r="O2179" s="142">
        <v>1.0538000000000001</v>
      </c>
      <c r="P2179" s="26">
        <v>7307.543671938728</v>
      </c>
      <c r="Q2179" s="35">
        <f t="array" ref="Q2179">SUM(IF(($S2179&gt;=4)*($C2179='TaxCred&amp;Subs'!$D$114:$D$121)*($H2179='TaxCred&amp;Subs'!$C$114:$C$121)*($H2179&lt;='TaxCred&amp;Subs'!$C$123),'TaxCred&amp;Subs'!$E$114:$E$121,0))</f>
        <v>0</v>
      </c>
      <c r="R2179" s="143">
        <v>0</v>
      </c>
      <c r="S2179" s="5">
        <v>5</v>
      </c>
      <c r="T2179" s="5" t="s">
        <v>221</v>
      </c>
      <c r="V2179" s="7" t="str">
        <f t="array" ref="V2179">INDEX(xlRTCLNAME,MATCH(1,(xlRTCLENDU=1)*(xlRTCLEQCL=$D2179),0))</f>
        <v>DIST_RAD</v>
      </c>
      <c r="W2179" s="7" t="str">
        <f t="array" ref="W2179">INDEX(xlRTCLNAME,MATCH(1,(xlRTCLENDU=2)*(xlRTCLEQCL=$F2179),0))</f>
        <v>CENT_AIR</v>
      </c>
      <c r="X2179" s="7" t="str">
        <f t="array" ref="X2179">INDEX(xlRTTYNAME,MATCH(1,(xlRTTYENDU=1)*(xlRTTYEQCL=$D2179)*(xlRTEQTYPE=$E2179),0))</f>
        <v>DIST_RAD4</v>
      </c>
      <c r="Y2179" s="7" t="str">
        <f t="array" ref="Y2179">INDEX(xlRTTYNAME,MATCH(1,(xlRTTYENDU=2)*(xlRTTYEQCL=$F2179)*(xlRTEQTYPE=$G2179),0))</f>
        <v>CENT_AIR4</v>
      </c>
    </row>
    <row r="2180" spans="2:25" x14ac:dyDescent="0.2">
      <c r="B2180" s="5">
        <v>7</v>
      </c>
      <c r="C2180" s="5">
        <v>3</v>
      </c>
      <c r="D2180" s="5">
        <v>8</v>
      </c>
      <c r="E2180" s="31">
        <v>28</v>
      </c>
      <c r="F2180" s="5">
        <v>2</v>
      </c>
      <c r="G2180" s="31">
        <v>7</v>
      </c>
      <c r="H2180" s="96">
        <v>2020</v>
      </c>
      <c r="I2180" s="97">
        <v>2022</v>
      </c>
      <c r="J2180" s="142">
        <v>1.0826</v>
      </c>
      <c r="K2180" s="142">
        <v>1.0412999999999999</v>
      </c>
      <c r="L2180" s="142">
        <v>0.72560000000000002</v>
      </c>
      <c r="M2180" s="142">
        <v>0.97609999999999997</v>
      </c>
      <c r="N2180" s="142">
        <v>0.8125</v>
      </c>
      <c r="O2180" s="142">
        <v>1.0538000000000001</v>
      </c>
      <c r="P2180" s="26">
        <v>6908.2169984215607</v>
      </c>
      <c r="Q2180" s="35">
        <f t="array" ref="Q2180">SUM(IF(($S2180&gt;=4)*($C2180='TaxCred&amp;Subs'!$D$114:$D$121)*($H2180='TaxCred&amp;Subs'!$C$114:$C$121)*($H2180&lt;='TaxCred&amp;Subs'!$C$123),'TaxCred&amp;Subs'!$E$114:$E$121,0))</f>
        <v>1000</v>
      </c>
      <c r="R2180" s="143">
        <v>0</v>
      </c>
      <c r="S2180" s="5">
        <v>5</v>
      </c>
      <c r="T2180" s="5" t="s">
        <v>221</v>
      </c>
      <c r="V2180" s="7" t="str">
        <f t="array" ref="V2180">INDEX(xlRTCLNAME,MATCH(1,(xlRTCLENDU=1)*(xlRTCLEQCL=$D2180),0))</f>
        <v>DIST_RAD</v>
      </c>
      <c r="W2180" s="7" t="str">
        <f t="array" ref="W2180">INDEX(xlRTCLNAME,MATCH(1,(xlRTCLENDU=2)*(xlRTCLEQCL=$F2180),0))</f>
        <v>CENT_AIR</v>
      </c>
      <c r="X2180" s="7" t="str">
        <f t="array" ref="X2180">INDEX(xlRTTYNAME,MATCH(1,(xlRTTYENDU=1)*(xlRTTYEQCL=$D2180)*(xlRTEQTYPE=$E2180),0))</f>
        <v>DIST_RAD4</v>
      </c>
      <c r="Y2180" s="7" t="str">
        <f t="array" ref="Y2180">INDEX(xlRTTYNAME,MATCH(1,(xlRTTYENDU=2)*(xlRTTYEQCL=$F2180)*(xlRTEQTYPE=$G2180),0))</f>
        <v>CENT_AIR4</v>
      </c>
    </row>
    <row r="2181" spans="2:25" x14ac:dyDescent="0.2">
      <c r="B2181" s="5">
        <v>7</v>
      </c>
      <c r="C2181" s="5">
        <v>3</v>
      </c>
      <c r="D2181" s="5">
        <v>8</v>
      </c>
      <c r="E2181" s="31">
        <v>28</v>
      </c>
      <c r="F2181" s="5">
        <v>2</v>
      </c>
      <c r="G2181" s="31">
        <v>7</v>
      </c>
      <c r="H2181" s="97">
        <v>2023</v>
      </c>
      <c r="I2181" s="97">
        <v>2032</v>
      </c>
      <c r="J2181" s="142">
        <v>1.0826</v>
      </c>
      <c r="K2181" s="142">
        <v>1.0412999999999999</v>
      </c>
      <c r="L2181" s="142">
        <v>0.72560000000000002</v>
      </c>
      <c r="M2181" s="142">
        <v>0.97609999999999997</v>
      </c>
      <c r="N2181" s="142">
        <v>0.8125</v>
      </c>
      <c r="O2181" s="142">
        <v>1.0538000000000001</v>
      </c>
      <c r="P2181" s="26">
        <v>6908.2169984215607</v>
      </c>
      <c r="Q2181" s="35">
        <f t="array" ref="Q2181">SUM(IF(($S2181&gt;=4)*($C2181='TaxCred&amp;Subs'!$D$114:$D$121)*($H2181='TaxCred&amp;Subs'!$C$114:$C$121)*($H2181&lt;='TaxCred&amp;Subs'!$C$123),'TaxCred&amp;Subs'!$E$114:$E$121,0))</f>
        <v>2500</v>
      </c>
      <c r="R2181" s="143">
        <v>0</v>
      </c>
      <c r="S2181" s="5">
        <v>5</v>
      </c>
      <c r="T2181" s="5" t="s">
        <v>221</v>
      </c>
      <c r="V2181" s="7" t="str">
        <f t="array" ref="V2181">INDEX(xlRTCLNAME,MATCH(1,(xlRTCLENDU=1)*(xlRTCLEQCL=$D2181),0))</f>
        <v>DIST_RAD</v>
      </c>
      <c r="W2181" s="7" t="str">
        <f t="array" ref="W2181">INDEX(xlRTCLNAME,MATCH(1,(xlRTCLENDU=2)*(xlRTCLEQCL=$F2181),0))</f>
        <v>CENT_AIR</v>
      </c>
      <c r="X2181" s="7" t="str">
        <f t="array" ref="X2181">INDEX(xlRTTYNAME,MATCH(1,(xlRTTYENDU=1)*(xlRTTYEQCL=$D2181)*(xlRTEQTYPE=$E2181),0))</f>
        <v>DIST_RAD4</v>
      </c>
      <c r="Y2181" s="7" t="str">
        <f t="array" ref="Y2181">INDEX(xlRTTYNAME,MATCH(1,(xlRTTYENDU=2)*(xlRTTYEQCL=$F2181)*(xlRTEQTYPE=$G2181),0))</f>
        <v>CENT_AIR4</v>
      </c>
    </row>
    <row r="2182" spans="2:25" x14ac:dyDescent="0.2">
      <c r="B2182" s="5">
        <v>7</v>
      </c>
      <c r="C2182" s="5">
        <v>3</v>
      </c>
      <c r="D2182" s="5">
        <v>8</v>
      </c>
      <c r="E2182" s="31">
        <v>28</v>
      </c>
      <c r="F2182" s="5">
        <v>2</v>
      </c>
      <c r="G2182" s="31">
        <v>7</v>
      </c>
      <c r="H2182" s="97">
        <v>2033</v>
      </c>
      <c r="I2182" s="97">
        <v>2050</v>
      </c>
      <c r="J2182" s="142">
        <v>1.0826</v>
      </c>
      <c r="K2182" s="142">
        <v>1.0412999999999999</v>
      </c>
      <c r="L2182" s="142">
        <v>0.72560000000000002</v>
      </c>
      <c r="M2182" s="142">
        <v>0.97609999999999997</v>
      </c>
      <c r="N2182" s="142">
        <v>0.8125</v>
      </c>
      <c r="O2182" s="142">
        <v>1.0538000000000001</v>
      </c>
      <c r="P2182" s="26">
        <v>6908.2169984215607</v>
      </c>
      <c r="Q2182" s="35">
        <f t="array" ref="Q2182">SUM(IF(($S2182&gt;=4)*($C2182='TaxCred&amp;Subs'!$D$114:$D$121)*($H2182='TaxCred&amp;Subs'!$C$114:$C$121)*($H2182&lt;='TaxCred&amp;Subs'!$C$123),'TaxCred&amp;Subs'!$E$114:$E$121,0))</f>
        <v>0</v>
      </c>
      <c r="R2182" s="143">
        <v>0</v>
      </c>
      <c r="S2182" s="5">
        <v>5</v>
      </c>
      <c r="T2182" s="5" t="s">
        <v>221</v>
      </c>
      <c r="V2182" s="7" t="str">
        <f t="array" ref="V2182">INDEX(xlRTCLNAME,MATCH(1,(xlRTCLENDU=1)*(xlRTCLEQCL=$D2182),0))</f>
        <v>DIST_RAD</v>
      </c>
      <c r="W2182" s="7" t="str">
        <f t="array" ref="W2182">INDEX(xlRTCLNAME,MATCH(1,(xlRTCLENDU=2)*(xlRTCLEQCL=$F2182),0))</f>
        <v>CENT_AIR</v>
      </c>
      <c r="X2182" s="7" t="str">
        <f t="array" ref="X2182">INDEX(xlRTTYNAME,MATCH(1,(xlRTTYENDU=1)*(xlRTTYEQCL=$D2182)*(xlRTEQTYPE=$E2182),0))</f>
        <v>DIST_RAD4</v>
      </c>
      <c r="Y2182" s="7" t="str">
        <f t="array" ref="Y2182">INDEX(xlRTTYNAME,MATCH(1,(xlRTTYENDU=2)*(xlRTTYEQCL=$F2182)*(xlRTEQTYPE=$G2182),0))</f>
        <v>CENT_AIR4</v>
      </c>
    </row>
    <row r="2183" spans="2:25" x14ac:dyDescent="0.2">
      <c r="B2183" s="5">
        <v>9</v>
      </c>
      <c r="C2183" s="5">
        <v>3</v>
      </c>
      <c r="D2183" s="5">
        <v>8</v>
      </c>
      <c r="E2183" s="31">
        <v>28</v>
      </c>
      <c r="F2183" s="5">
        <v>2</v>
      </c>
      <c r="G2183" s="31">
        <v>7</v>
      </c>
      <c r="H2183" s="96">
        <v>2020</v>
      </c>
      <c r="I2183" s="97">
        <v>2022</v>
      </c>
      <c r="J2183" s="142">
        <v>1.0845</v>
      </c>
      <c r="K2183" s="142">
        <v>1.0658000000000001</v>
      </c>
      <c r="L2183" s="142">
        <v>0.78159999999999996</v>
      </c>
      <c r="M2183" s="142">
        <v>1.0670999999999999</v>
      </c>
      <c r="N2183" s="142">
        <v>0.84079999999999999</v>
      </c>
      <c r="O2183" s="142">
        <v>1.0538000000000001</v>
      </c>
      <c r="P2183" s="26">
        <v>9774.7640285178568</v>
      </c>
      <c r="Q2183" s="35">
        <f t="array" ref="Q2183">SUM(IF(($S2183&gt;=4)*($C2183='TaxCred&amp;Subs'!$D$114:$D$121)*($H2183='TaxCred&amp;Subs'!$C$114:$C$121)*($H2183&lt;='TaxCred&amp;Subs'!$C$123),'TaxCred&amp;Subs'!$E$114:$E$121,0))</f>
        <v>1000</v>
      </c>
      <c r="R2183" s="143">
        <v>0</v>
      </c>
      <c r="S2183" s="5">
        <v>5</v>
      </c>
      <c r="T2183" s="5" t="s">
        <v>221</v>
      </c>
      <c r="V2183" s="7" t="str">
        <f t="array" ref="V2183">INDEX(xlRTCLNAME,MATCH(1,(xlRTCLENDU=1)*(xlRTCLEQCL=$D2183),0))</f>
        <v>DIST_RAD</v>
      </c>
      <c r="W2183" s="7" t="str">
        <f t="array" ref="W2183">INDEX(xlRTCLNAME,MATCH(1,(xlRTCLENDU=2)*(xlRTCLEQCL=$F2183),0))</f>
        <v>CENT_AIR</v>
      </c>
      <c r="X2183" s="7" t="str">
        <f t="array" ref="X2183">INDEX(xlRTTYNAME,MATCH(1,(xlRTTYENDU=1)*(xlRTTYEQCL=$D2183)*(xlRTEQTYPE=$E2183),0))</f>
        <v>DIST_RAD4</v>
      </c>
      <c r="Y2183" s="7" t="str">
        <f t="array" ref="Y2183">INDEX(xlRTTYNAME,MATCH(1,(xlRTTYENDU=2)*(xlRTTYEQCL=$F2183)*(xlRTEQTYPE=$G2183),0))</f>
        <v>CENT_AIR4</v>
      </c>
    </row>
    <row r="2184" spans="2:25" x14ac:dyDescent="0.2">
      <c r="B2184" s="5">
        <v>9</v>
      </c>
      <c r="C2184" s="5">
        <v>3</v>
      </c>
      <c r="D2184" s="5">
        <v>8</v>
      </c>
      <c r="E2184" s="31">
        <v>28</v>
      </c>
      <c r="F2184" s="5">
        <v>2</v>
      </c>
      <c r="G2184" s="31">
        <v>7</v>
      </c>
      <c r="H2184" s="97">
        <v>2023</v>
      </c>
      <c r="I2184" s="97">
        <v>2032</v>
      </c>
      <c r="J2184" s="142">
        <v>1.0845</v>
      </c>
      <c r="K2184" s="142">
        <v>1.0658000000000001</v>
      </c>
      <c r="L2184" s="142">
        <v>0.78159999999999996</v>
      </c>
      <c r="M2184" s="142">
        <v>1.0670999999999999</v>
      </c>
      <c r="N2184" s="142">
        <v>0.84079999999999999</v>
      </c>
      <c r="O2184" s="142">
        <v>1.0538000000000001</v>
      </c>
      <c r="P2184" s="26">
        <v>9774.7640285178568</v>
      </c>
      <c r="Q2184" s="35">
        <f t="array" ref="Q2184">SUM(IF(($S2184&gt;=4)*($C2184='TaxCred&amp;Subs'!$D$114:$D$121)*($H2184='TaxCred&amp;Subs'!$C$114:$C$121)*($H2184&lt;='TaxCred&amp;Subs'!$C$123),'TaxCred&amp;Subs'!$E$114:$E$121,0))</f>
        <v>2500</v>
      </c>
      <c r="R2184" s="143">
        <v>0</v>
      </c>
      <c r="S2184" s="5">
        <v>5</v>
      </c>
      <c r="T2184" s="5" t="s">
        <v>221</v>
      </c>
      <c r="V2184" s="7" t="str">
        <f t="array" ref="V2184">INDEX(xlRTCLNAME,MATCH(1,(xlRTCLENDU=1)*(xlRTCLEQCL=$D2184),0))</f>
        <v>DIST_RAD</v>
      </c>
      <c r="W2184" s="7" t="str">
        <f t="array" ref="W2184">INDEX(xlRTCLNAME,MATCH(1,(xlRTCLENDU=2)*(xlRTCLEQCL=$F2184),0))</f>
        <v>CENT_AIR</v>
      </c>
      <c r="X2184" s="7" t="str">
        <f t="array" ref="X2184">INDEX(xlRTTYNAME,MATCH(1,(xlRTTYENDU=1)*(xlRTTYEQCL=$D2184)*(xlRTEQTYPE=$E2184),0))</f>
        <v>DIST_RAD4</v>
      </c>
      <c r="Y2184" s="7" t="str">
        <f t="array" ref="Y2184">INDEX(xlRTTYNAME,MATCH(1,(xlRTTYENDU=2)*(xlRTTYEQCL=$F2184)*(xlRTEQTYPE=$G2184),0))</f>
        <v>CENT_AIR4</v>
      </c>
    </row>
    <row r="2185" spans="2:25" x14ac:dyDescent="0.2">
      <c r="B2185" s="5">
        <v>9</v>
      </c>
      <c r="C2185" s="5">
        <v>3</v>
      </c>
      <c r="D2185" s="5">
        <v>8</v>
      </c>
      <c r="E2185" s="31">
        <v>28</v>
      </c>
      <c r="F2185" s="5">
        <v>2</v>
      </c>
      <c r="G2185" s="31">
        <v>7</v>
      </c>
      <c r="H2185" s="97">
        <v>2033</v>
      </c>
      <c r="I2185" s="97">
        <v>2050</v>
      </c>
      <c r="J2185" s="142">
        <v>1.0845</v>
      </c>
      <c r="K2185" s="142">
        <v>1.0658000000000001</v>
      </c>
      <c r="L2185" s="142">
        <v>0.78159999999999996</v>
      </c>
      <c r="M2185" s="142">
        <v>1.0670999999999999</v>
      </c>
      <c r="N2185" s="142">
        <v>0.84079999999999999</v>
      </c>
      <c r="O2185" s="142">
        <v>1.0538000000000001</v>
      </c>
      <c r="P2185" s="26">
        <v>9774.7640285178568</v>
      </c>
      <c r="Q2185" s="35">
        <f t="array" ref="Q2185">SUM(IF(($S2185&gt;=4)*($C2185='TaxCred&amp;Subs'!$D$114:$D$121)*($H2185='TaxCred&amp;Subs'!$C$114:$C$121)*($H2185&lt;='TaxCred&amp;Subs'!$C$123),'TaxCred&amp;Subs'!$E$114:$E$121,0))</f>
        <v>0</v>
      </c>
      <c r="R2185" s="143">
        <v>0</v>
      </c>
      <c r="S2185" s="5">
        <v>5</v>
      </c>
      <c r="T2185" s="5" t="s">
        <v>221</v>
      </c>
      <c r="V2185" s="7" t="str">
        <f t="array" ref="V2185">INDEX(xlRTCLNAME,MATCH(1,(xlRTCLENDU=1)*(xlRTCLEQCL=$D2185),0))</f>
        <v>DIST_RAD</v>
      </c>
      <c r="W2185" s="7" t="str">
        <f t="array" ref="W2185">INDEX(xlRTCLNAME,MATCH(1,(xlRTCLENDU=2)*(xlRTCLEQCL=$F2185),0))</f>
        <v>CENT_AIR</v>
      </c>
      <c r="X2185" s="7" t="str">
        <f t="array" ref="X2185">INDEX(xlRTTYNAME,MATCH(1,(xlRTTYENDU=1)*(xlRTTYEQCL=$D2185)*(xlRTEQTYPE=$E2185),0))</f>
        <v>DIST_RAD4</v>
      </c>
      <c r="Y2185" s="7" t="str">
        <f t="array" ref="Y2185">INDEX(xlRTTYNAME,MATCH(1,(xlRTTYENDU=2)*(xlRTTYEQCL=$F2185)*(xlRTEQTYPE=$G2185),0))</f>
        <v>CENT_AIR4</v>
      </c>
    </row>
    <row r="2186" spans="2:25" x14ac:dyDescent="0.2">
      <c r="B2186" s="5">
        <v>5</v>
      </c>
      <c r="C2186" s="5">
        <v>3</v>
      </c>
      <c r="D2186" s="5">
        <v>9</v>
      </c>
      <c r="E2186" s="31">
        <v>30</v>
      </c>
      <c r="F2186" s="5">
        <v>2</v>
      </c>
      <c r="G2186" s="31">
        <v>7</v>
      </c>
      <c r="H2186" s="96">
        <v>2020</v>
      </c>
      <c r="I2186" s="97">
        <v>2022</v>
      </c>
      <c r="J2186" s="142">
        <v>1.0940000000000001</v>
      </c>
      <c r="K2186" s="142">
        <v>1.0575000000000001</v>
      </c>
      <c r="L2186" s="142">
        <v>0.74939999999999996</v>
      </c>
      <c r="M2186" s="142">
        <v>0.97389999999999999</v>
      </c>
      <c r="N2186" s="142">
        <v>0.83130000000000004</v>
      </c>
      <c r="O2186" s="142">
        <v>1.0538000000000001</v>
      </c>
      <c r="P2186" s="26">
        <v>7388.2157271947208</v>
      </c>
      <c r="Q2186" s="35">
        <f t="array" ref="Q2186">SUM(IF(($S2186&gt;=4)*($C2186='TaxCred&amp;Subs'!$D$114:$D$121)*($H2186='TaxCred&amp;Subs'!$C$114:$C$121)*($H2186&lt;='TaxCred&amp;Subs'!$C$123),'TaxCred&amp;Subs'!$E$114:$E$121,0))</f>
        <v>1000</v>
      </c>
      <c r="R2186" s="143">
        <v>0</v>
      </c>
      <c r="S2186" s="5">
        <v>5</v>
      </c>
      <c r="T2186" s="5" t="s">
        <v>221</v>
      </c>
      <c r="V2186" s="7" t="str">
        <f t="array" ref="V2186">INDEX(xlRTCLNAME,MATCH(1,(xlRTCLENDU=1)*(xlRTCLEQCL=$D2186),0))</f>
        <v>WOOD_HT</v>
      </c>
      <c r="W2186" s="7" t="str">
        <f t="array" ref="W2186">INDEX(xlRTCLNAME,MATCH(1,(xlRTCLENDU=2)*(xlRTCLEQCL=$F2186),0))</f>
        <v>CENT_AIR</v>
      </c>
      <c r="X2186" s="7" t="str">
        <f t="array" ref="X2186">INDEX(xlRTTYNAME,MATCH(1,(xlRTTYENDU=1)*(xlRTTYEQCL=$D2186)*(xlRTEQTYPE=$E2186),0))</f>
        <v>WOOD_HT4</v>
      </c>
      <c r="Y2186" s="7" t="str">
        <f t="array" ref="Y2186">INDEX(xlRTTYNAME,MATCH(1,(xlRTTYENDU=2)*(xlRTTYEQCL=$F2186)*(xlRTEQTYPE=$G2186),0))</f>
        <v>CENT_AIR4</v>
      </c>
    </row>
    <row r="2187" spans="2:25" x14ac:dyDescent="0.2">
      <c r="B2187" s="5">
        <v>5</v>
      </c>
      <c r="C2187" s="5">
        <v>3</v>
      </c>
      <c r="D2187" s="5">
        <v>9</v>
      </c>
      <c r="E2187" s="31">
        <v>30</v>
      </c>
      <c r="F2187" s="5">
        <v>2</v>
      </c>
      <c r="G2187" s="31">
        <v>7</v>
      </c>
      <c r="H2187" s="97">
        <v>2023</v>
      </c>
      <c r="I2187" s="97">
        <v>2032</v>
      </c>
      <c r="J2187" s="142">
        <v>1.0940000000000001</v>
      </c>
      <c r="K2187" s="142">
        <v>1.0575000000000001</v>
      </c>
      <c r="L2187" s="142">
        <v>0.74939999999999996</v>
      </c>
      <c r="M2187" s="142">
        <v>0.97389999999999999</v>
      </c>
      <c r="N2187" s="142">
        <v>0.83130000000000004</v>
      </c>
      <c r="O2187" s="142">
        <v>1.0538000000000001</v>
      </c>
      <c r="P2187" s="26">
        <v>7388.2157271947208</v>
      </c>
      <c r="Q2187" s="35">
        <f t="array" ref="Q2187">SUM(IF(($S2187&gt;=4)*($C2187='TaxCred&amp;Subs'!$D$114:$D$121)*($H2187='TaxCred&amp;Subs'!$C$114:$C$121)*($H2187&lt;='TaxCred&amp;Subs'!$C$123),'TaxCred&amp;Subs'!$E$114:$E$121,0))</f>
        <v>2500</v>
      </c>
      <c r="R2187" s="143">
        <v>0</v>
      </c>
      <c r="S2187" s="5">
        <v>5</v>
      </c>
      <c r="T2187" s="5" t="s">
        <v>221</v>
      </c>
      <c r="V2187" s="7" t="str">
        <f t="array" ref="V2187">INDEX(xlRTCLNAME,MATCH(1,(xlRTCLENDU=1)*(xlRTCLEQCL=$D2187),0))</f>
        <v>WOOD_HT</v>
      </c>
      <c r="W2187" s="7" t="str">
        <f t="array" ref="W2187">INDEX(xlRTCLNAME,MATCH(1,(xlRTCLENDU=2)*(xlRTCLEQCL=$F2187),0))</f>
        <v>CENT_AIR</v>
      </c>
      <c r="X2187" s="7" t="str">
        <f t="array" ref="X2187">INDEX(xlRTTYNAME,MATCH(1,(xlRTTYENDU=1)*(xlRTTYEQCL=$D2187)*(xlRTEQTYPE=$E2187),0))</f>
        <v>WOOD_HT4</v>
      </c>
      <c r="Y2187" s="7" t="str">
        <f t="array" ref="Y2187">INDEX(xlRTTYNAME,MATCH(1,(xlRTTYENDU=2)*(xlRTTYEQCL=$F2187)*(xlRTEQTYPE=$G2187),0))</f>
        <v>CENT_AIR4</v>
      </c>
    </row>
    <row r="2188" spans="2:25" x14ac:dyDescent="0.2">
      <c r="B2188" s="5">
        <v>5</v>
      </c>
      <c r="C2188" s="5">
        <v>3</v>
      </c>
      <c r="D2188" s="5">
        <v>9</v>
      </c>
      <c r="E2188" s="31">
        <v>30</v>
      </c>
      <c r="F2188" s="5">
        <v>2</v>
      </c>
      <c r="G2188" s="31">
        <v>7</v>
      </c>
      <c r="H2188" s="97">
        <v>2033</v>
      </c>
      <c r="I2188" s="97">
        <v>2050</v>
      </c>
      <c r="J2188" s="142">
        <v>1.0940000000000001</v>
      </c>
      <c r="K2188" s="142">
        <v>1.0575000000000001</v>
      </c>
      <c r="L2188" s="142">
        <v>0.74939999999999996</v>
      </c>
      <c r="M2188" s="142">
        <v>0.97389999999999999</v>
      </c>
      <c r="N2188" s="142">
        <v>0.83130000000000004</v>
      </c>
      <c r="O2188" s="142">
        <v>1.0538000000000001</v>
      </c>
      <c r="P2188" s="26">
        <v>7388.2157271947208</v>
      </c>
      <c r="Q2188" s="35">
        <f t="array" ref="Q2188">SUM(IF(($S2188&gt;=4)*($C2188='TaxCred&amp;Subs'!$D$114:$D$121)*($H2188='TaxCred&amp;Subs'!$C$114:$C$121)*($H2188&lt;='TaxCred&amp;Subs'!$C$123),'TaxCred&amp;Subs'!$E$114:$E$121,0))</f>
        <v>0</v>
      </c>
      <c r="R2188" s="143">
        <v>0</v>
      </c>
      <c r="S2188" s="5">
        <v>5</v>
      </c>
      <c r="T2188" s="5" t="s">
        <v>221</v>
      </c>
      <c r="V2188" s="7" t="str">
        <f t="array" ref="V2188">INDEX(xlRTCLNAME,MATCH(1,(xlRTCLENDU=1)*(xlRTCLEQCL=$D2188),0))</f>
        <v>WOOD_HT</v>
      </c>
      <c r="W2188" s="7" t="str">
        <f t="array" ref="W2188">INDEX(xlRTCLNAME,MATCH(1,(xlRTCLENDU=2)*(xlRTCLEQCL=$F2188),0))</f>
        <v>CENT_AIR</v>
      </c>
      <c r="X2188" s="7" t="str">
        <f t="array" ref="X2188">INDEX(xlRTTYNAME,MATCH(1,(xlRTTYENDU=1)*(xlRTTYEQCL=$D2188)*(xlRTEQTYPE=$E2188),0))</f>
        <v>WOOD_HT4</v>
      </c>
      <c r="Y2188" s="7" t="str">
        <f t="array" ref="Y2188">INDEX(xlRTTYNAME,MATCH(1,(xlRTTYENDU=2)*(xlRTTYEQCL=$F2188)*(xlRTEQTYPE=$G2188),0))</f>
        <v>CENT_AIR4</v>
      </c>
    </row>
    <row r="2189" spans="2:25" x14ac:dyDescent="0.2">
      <c r="B2189" s="5">
        <v>6</v>
      </c>
      <c r="C2189" s="5">
        <v>3</v>
      </c>
      <c r="D2189" s="5">
        <v>9</v>
      </c>
      <c r="E2189" s="31">
        <v>30</v>
      </c>
      <c r="F2189" s="5">
        <v>2</v>
      </c>
      <c r="G2189" s="31">
        <v>7</v>
      </c>
      <c r="H2189" s="96">
        <v>2020</v>
      </c>
      <c r="I2189" s="97">
        <v>2022</v>
      </c>
      <c r="J2189" s="142">
        <v>1.0873999999999999</v>
      </c>
      <c r="K2189" s="142">
        <v>1.0609999999999999</v>
      </c>
      <c r="L2189" s="142">
        <v>0.73709999999999998</v>
      </c>
      <c r="M2189" s="142">
        <v>0.97489999999999999</v>
      </c>
      <c r="N2189" s="142">
        <v>0.80189999999999995</v>
      </c>
      <c r="O2189" s="142">
        <v>1.0538000000000001</v>
      </c>
      <c r="P2189" s="26">
        <v>7307.543671938728</v>
      </c>
      <c r="Q2189" s="35">
        <f t="array" ref="Q2189">SUM(IF(($S2189&gt;=4)*($C2189='TaxCred&amp;Subs'!$D$114:$D$121)*($H2189='TaxCred&amp;Subs'!$C$114:$C$121)*($H2189&lt;='TaxCred&amp;Subs'!$C$123),'TaxCred&amp;Subs'!$E$114:$E$121,0))</f>
        <v>1000</v>
      </c>
      <c r="R2189" s="143">
        <v>0</v>
      </c>
      <c r="S2189" s="5">
        <v>5</v>
      </c>
      <c r="T2189" s="5" t="s">
        <v>221</v>
      </c>
      <c r="V2189" s="7" t="str">
        <f t="array" ref="V2189">INDEX(xlRTCLNAME,MATCH(1,(xlRTCLENDU=1)*(xlRTCLEQCL=$D2189),0))</f>
        <v>WOOD_HT</v>
      </c>
      <c r="W2189" s="7" t="str">
        <f t="array" ref="W2189">INDEX(xlRTCLNAME,MATCH(1,(xlRTCLENDU=2)*(xlRTCLEQCL=$F2189),0))</f>
        <v>CENT_AIR</v>
      </c>
      <c r="X2189" s="7" t="str">
        <f t="array" ref="X2189">INDEX(xlRTTYNAME,MATCH(1,(xlRTTYENDU=1)*(xlRTTYEQCL=$D2189)*(xlRTEQTYPE=$E2189),0))</f>
        <v>WOOD_HT4</v>
      </c>
      <c r="Y2189" s="7" t="str">
        <f t="array" ref="Y2189">INDEX(xlRTTYNAME,MATCH(1,(xlRTTYENDU=2)*(xlRTTYEQCL=$F2189)*(xlRTEQTYPE=$G2189),0))</f>
        <v>CENT_AIR4</v>
      </c>
    </row>
    <row r="2190" spans="2:25" x14ac:dyDescent="0.2">
      <c r="B2190" s="5">
        <v>6</v>
      </c>
      <c r="C2190" s="5">
        <v>3</v>
      </c>
      <c r="D2190" s="5">
        <v>9</v>
      </c>
      <c r="E2190" s="31">
        <v>30</v>
      </c>
      <c r="F2190" s="5">
        <v>2</v>
      </c>
      <c r="G2190" s="31">
        <v>7</v>
      </c>
      <c r="H2190" s="97">
        <v>2023</v>
      </c>
      <c r="I2190" s="97">
        <v>2032</v>
      </c>
      <c r="J2190" s="142">
        <v>1.0873999999999999</v>
      </c>
      <c r="K2190" s="142">
        <v>1.0609999999999999</v>
      </c>
      <c r="L2190" s="142">
        <v>0.73709999999999998</v>
      </c>
      <c r="M2190" s="142">
        <v>0.97489999999999999</v>
      </c>
      <c r="N2190" s="142">
        <v>0.80189999999999995</v>
      </c>
      <c r="O2190" s="142">
        <v>1.0538000000000001</v>
      </c>
      <c r="P2190" s="26">
        <v>7307.543671938728</v>
      </c>
      <c r="Q2190" s="35">
        <f t="array" ref="Q2190">SUM(IF(($S2190&gt;=4)*($C2190='TaxCred&amp;Subs'!$D$114:$D$121)*($H2190='TaxCred&amp;Subs'!$C$114:$C$121)*($H2190&lt;='TaxCred&amp;Subs'!$C$123),'TaxCred&amp;Subs'!$E$114:$E$121,0))</f>
        <v>2500</v>
      </c>
      <c r="R2190" s="143">
        <v>0</v>
      </c>
      <c r="S2190" s="5">
        <v>5</v>
      </c>
      <c r="T2190" s="5" t="s">
        <v>221</v>
      </c>
      <c r="V2190" s="7" t="str">
        <f t="array" ref="V2190">INDEX(xlRTCLNAME,MATCH(1,(xlRTCLENDU=1)*(xlRTCLEQCL=$D2190),0))</f>
        <v>WOOD_HT</v>
      </c>
      <c r="W2190" s="7" t="str">
        <f t="array" ref="W2190">INDEX(xlRTCLNAME,MATCH(1,(xlRTCLENDU=2)*(xlRTCLEQCL=$F2190),0))</f>
        <v>CENT_AIR</v>
      </c>
      <c r="X2190" s="7" t="str">
        <f t="array" ref="X2190">INDEX(xlRTTYNAME,MATCH(1,(xlRTTYENDU=1)*(xlRTTYEQCL=$D2190)*(xlRTEQTYPE=$E2190),0))</f>
        <v>WOOD_HT4</v>
      </c>
      <c r="Y2190" s="7" t="str">
        <f t="array" ref="Y2190">INDEX(xlRTTYNAME,MATCH(1,(xlRTTYENDU=2)*(xlRTTYEQCL=$F2190)*(xlRTEQTYPE=$G2190),0))</f>
        <v>CENT_AIR4</v>
      </c>
    </row>
    <row r="2191" spans="2:25" x14ac:dyDescent="0.2">
      <c r="B2191" s="5">
        <v>6</v>
      </c>
      <c r="C2191" s="5">
        <v>3</v>
      </c>
      <c r="D2191" s="5">
        <v>9</v>
      </c>
      <c r="E2191" s="31">
        <v>30</v>
      </c>
      <c r="F2191" s="5">
        <v>2</v>
      </c>
      <c r="G2191" s="31">
        <v>7</v>
      </c>
      <c r="H2191" s="97">
        <v>2033</v>
      </c>
      <c r="I2191" s="97">
        <v>2050</v>
      </c>
      <c r="J2191" s="142">
        <v>1.0873999999999999</v>
      </c>
      <c r="K2191" s="142">
        <v>1.0609999999999999</v>
      </c>
      <c r="L2191" s="142">
        <v>0.73709999999999998</v>
      </c>
      <c r="M2191" s="142">
        <v>0.97489999999999999</v>
      </c>
      <c r="N2191" s="142">
        <v>0.80189999999999995</v>
      </c>
      <c r="O2191" s="142">
        <v>1.0538000000000001</v>
      </c>
      <c r="P2191" s="26">
        <v>7307.543671938728</v>
      </c>
      <c r="Q2191" s="35">
        <f t="array" ref="Q2191">SUM(IF(($S2191&gt;=4)*($C2191='TaxCred&amp;Subs'!$D$114:$D$121)*($H2191='TaxCred&amp;Subs'!$C$114:$C$121)*($H2191&lt;='TaxCred&amp;Subs'!$C$123),'TaxCred&amp;Subs'!$E$114:$E$121,0))</f>
        <v>0</v>
      </c>
      <c r="R2191" s="143">
        <v>0</v>
      </c>
      <c r="S2191" s="5">
        <v>5</v>
      </c>
      <c r="T2191" s="5" t="s">
        <v>221</v>
      </c>
      <c r="V2191" s="7" t="str">
        <f t="array" ref="V2191">INDEX(xlRTCLNAME,MATCH(1,(xlRTCLENDU=1)*(xlRTCLEQCL=$D2191),0))</f>
        <v>WOOD_HT</v>
      </c>
      <c r="W2191" s="7" t="str">
        <f t="array" ref="W2191">INDEX(xlRTCLNAME,MATCH(1,(xlRTCLENDU=2)*(xlRTCLEQCL=$F2191),0))</f>
        <v>CENT_AIR</v>
      </c>
      <c r="X2191" s="7" t="str">
        <f t="array" ref="X2191">INDEX(xlRTTYNAME,MATCH(1,(xlRTTYENDU=1)*(xlRTTYEQCL=$D2191)*(xlRTEQTYPE=$E2191),0))</f>
        <v>WOOD_HT4</v>
      </c>
      <c r="Y2191" s="7" t="str">
        <f t="array" ref="Y2191">INDEX(xlRTTYNAME,MATCH(1,(xlRTTYENDU=2)*(xlRTTYEQCL=$F2191)*(xlRTEQTYPE=$G2191),0))</f>
        <v>CENT_AIR4</v>
      </c>
    </row>
    <row r="2192" spans="2:25" x14ac:dyDescent="0.2">
      <c r="B2192" s="5">
        <v>7</v>
      </c>
      <c r="C2192" s="5">
        <v>3</v>
      </c>
      <c r="D2192" s="5">
        <v>9</v>
      </c>
      <c r="E2192" s="31">
        <v>30</v>
      </c>
      <c r="F2192" s="5">
        <v>2</v>
      </c>
      <c r="G2192" s="31">
        <v>7</v>
      </c>
      <c r="H2192" s="96">
        <v>2020</v>
      </c>
      <c r="I2192" s="97">
        <v>2022</v>
      </c>
      <c r="J2192" s="142">
        <v>1.0826</v>
      </c>
      <c r="K2192" s="142">
        <v>1.0412999999999999</v>
      </c>
      <c r="L2192" s="142">
        <v>0.72560000000000002</v>
      </c>
      <c r="M2192" s="142">
        <v>0.97609999999999997</v>
      </c>
      <c r="N2192" s="142">
        <v>0.8125</v>
      </c>
      <c r="O2192" s="142">
        <v>1.0538000000000001</v>
      </c>
      <c r="P2192" s="26">
        <v>6908.2169984215607</v>
      </c>
      <c r="Q2192" s="35">
        <f t="array" ref="Q2192">SUM(IF(($S2192&gt;=4)*($C2192='TaxCred&amp;Subs'!$D$114:$D$121)*($H2192='TaxCred&amp;Subs'!$C$114:$C$121)*($H2192&lt;='TaxCred&amp;Subs'!$C$123),'TaxCred&amp;Subs'!$E$114:$E$121,0))</f>
        <v>1000</v>
      </c>
      <c r="R2192" s="143">
        <v>0</v>
      </c>
      <c r="S2192" s="5">
        <v>5</v>
      </c>
      <c r="T2192" s="5" t="s">
        <v>221</v>
      </c>
      <c r="V2192" s="7" t="str">
        <f t="array" ref="V2192">INDEX(xlRTCLNAME,MATCH(1,(xlRTCLENDU=1)*(xlRTCLEQCL=$D2192),0))</f>
        <v>WOOD_HT</v>
      </c>
      <c r="W2192" s="7" t="str">
        <f t="array" ref="W2192">INDEX(xlRTCLNAME,MATCH(1,(xlRTCLENDU=2)*(xlRTCLEQCL=$F2192),0))</f>
        <v>CENT_AIR</v>
      </c>
      <c r="X2192" s="7" t="str">
        <f t="array" ref="X2192">INDEX(xlRTTYNAME,MATCH(1,(xlRTTYENDU=1)*(xlRTTYEQCL=$D2192)*(xlRTEQTYPE=$E2192),0))</f>
        <v>WOOD_HT4</v>
      </c>
      <c r="Y2192" s="7" t="str">
        <f t="array" ref="Y2192">INDEX(xlRTTYNAME,MATCH(1,(xlRTTYENDU=2)*(xlRTTYEQCL=$F2192)*(xlRTEQTYPE=$G2192),0))</f>
        <v>CENT_AIR4</v>
      </c>
    </row>
    <row r="2193" spans="2:25" x14ac:dyDescent="0.2">
      <c r="B2193" s="5">
        <v>7</v>
      </c>
      <c r="C2193" s="5">
        <v>3</v>
      </c>
      <c r="D2193" s="5">
        <v>9</v>
      </c>
      <c r="E2193" s="31">
        <v>30</v>
      </c>
      <c r="F2193" s="5">
        <v>2</v>
      </c>
      <c r="G2193" s="31">
        <v>7</v>
      </c>
      <c r="H2193" s="97">
        <v>2023</v>
      </c>
      <c r="I2193" s="97">
        <v>2032</v>
      </c>
      <c r="J2193" s="142">
        <v>1.0826</v>
      </c>
      <c r="K2193" s="142">
        <v>1.0412999999999999</v>
      </c>
      <c r="L2193" s="142">
        <v>0.72560000000000002</v>
      </c>
      <c r="M2193" s="142">
        <v>0.97609999999999997</v>
      </c>
      <c r="N2193" s="142">
        <v>0.8125</v>
      </c>
      <c r="O2193" s="142">
        <v>1.0538000000000001</v>
      </c>
      <c r="P2193" s="26">
        <v>6908.2169984215607</v>
      </c>
      <c r="Q2193" s="35">
        <f t="array" ref="Q2193">SUM(IF(($S2193&gt;=4)*($C2193='TaxCred&amp;Subs'!$D$114:$D$121)*($H2193='TaxCred&amp;Subs'!$C$114:$C$121)*($H2193&lt;='TaxCred&amp;Subs'!$C$123),'TaxCred&amp;Subs'!$E$114:$E$121,0))</f>
        <v>2500</v>
      </c>
      <c r="R2193" s="143">
        <v>0</v>
      </c>
      <c r="S2193" s="5">
        <v>5</v>
      </c>
      <c r="T2193" s="5" t="s">
        <v>221</v>
      </c>
      <c r="V2193" s="7" t="str">
        <f t="array" ref="V2193">INDEX(xlRTCLNAME,MATCH(1,(xlRTCLENDU=1)*(xlRTCLEQCL=$D2193),0))</f>
        <v>WOOD_HT</v>
      </c>
      <c r="W2193" s="7" t="str">
        <f t="array" ref="W2193">INDEX(xlRTCLNAME,MATCH(1,(xlRTCLENDU=2)*(xlRTCLEQCL=$F2193),0))</f>
        <v>CENT_AIR</v>
      </c>
      <c r="X2193" s="7" t="str">
        <f t="array" ref="X2193">INDEX(xlRTTYNAME,MATCH(1,(xlRTTYENDU=1)*(xlRTTYEQCL=$D2193)*(xlRTEQTYPE=$E2193),0))</f>
        <v>WOOD_HT4</v>
      </c>
      <c r="Y2193" s="7" t="str">
        <f t="array" ref="Y2193">INDEX(xlRTTYNAME,MATCH(1,(xlRTTYENDU=2)*(xlRTTYEQCL=$F2193)*(xlRTEQTYPE=$G2193),0))</f>
        <v>CENT_AIR4</v>
      </c>
    </row>
    <row r="2194" spans="2:25" x14ac:dyDescent="0.2">
      <c r="B2194" s="5">
        <v>7</v>
      </c>
      <c r="C2194" s="5">
        <v>3</v>
      </c>
      <c r="D2194" s="5">
        <v>9</v>
      </c>
      <c r="E2194" s="31">
        <v>30</v>
      </c>
      <c r="F2194" s="5">
        <v>2</v>
      </c>
      <c r="G2194" s="31">
        <v>7</v>
      </c>
      <c r="H2194" s="97">
        <v>2033</v>
      </c>
      <c r="I2194" s="97">
        <v>2050</v>
      </c>
      <c r="J2194" s="142">
        <v>1.0826</v>
      </c>
      <c r="K2194" s="142">
        <v>1.0412999999999999</v>
      </c>
      <c r="L2194" s="142">
        <v>0.72560000000000002</v>
      </c>
      <c r="M2194" s="142">
        <v>0.97609999999999997</v>
      </c>
      <c r="N2194" s="142">
        <v>0.8125</v>
      </c>
      <c r="O2194" s="142">
        <v>1.0538000000000001</v>
      </c>
      <c r="P2194" s="26">
        <v>6908.2169984215607</v>
      </c>
      <c r="Q2194" s="35">
        <f t="array" ref="Q2194">SUM(IF(($S2194&gt;=4)*($C2194='TaxCred&amp;Subs'!$D$114:$D$121)*($H2194='TaxCred&amp;Subs'!$C$114:$C$121)*($H2194&lt;='TaxCred&amp;Subs'!$C$123),'TaxCred&amp;Subs'!$E$114:$E$121,0))</f>
        <v>0</v>
      </c>
      <c r="R2194" s="143">
        <v>0</v>
      </c>
      <c r="S2194" s="5">
        <v>5</v>
      </c>
      <c r="T2194" s="5" t="s">
        <v>221</v>
      </c>
      <c r="V2194" s="7" t="str">
        <f t="array" ref="V2194">INDEX(xlRTCLNAME,MATCH(1,(xlRTCLENDU=1)*(xlRTCLEQCL=$D2194),0))</f>
        <v>WOOD_HT</v>
      </c>
      <c r="W2194" s="7" t="str">
        <f t="array" ref="W2194">INDEX(xlRTCLNAME,MATCH(1,(xlRTCLENDU=2)*(xlRTCLEQCL=$F2194),0))</f>
        <v>CENT_AIR</v>
      </c>
      <c r="X2194" s="7" t="str">
        <f t="array" ref="X2194">INDEX(xlRTTYNAME,MATCH(1,(xlRTTYENDU=1)*(xlRTTYEQCL=$D2194)*(xlRTEQTYPE=$E2194),0))</f>
        <v>WOOD_HT4</v>
      </c>
      <c r="Y2194" s="7" t="str">
        <f t="array" ref="Y2194">INDEX(xlRTTYNAME,MATCH(1,(xlRTTYENDU=2)*(xlRTTYEQCL=$F2194)*(xlRTEQTYPE=$G2194),0))</f>
        <v>CENT_AIR4</v>
      </c>
    </row>
    <row r="2195" spans="2:25" x14ac:dyDescent="0.2">
      <c r="B2195" s="5">
        <v>9</v>
      </c>
      <c r="C2195" s="5">
        <v>3</v>
      </c>
      <c r="D2195" s="5">
        <v>9</v>
      </c>
      <c r="E2195" s="31">
        <v>30</v>
      </c>
      <c r="F2195" s="5">
        <v>2</v>
      </c>
      <c r="G2195" s="31">
        <v>7</v>
      </c>
      <c r="H2195" s="96">
        <v>2020</v>
      </c>
      <c r="I2195" s="97">
        <v>2022</v>
      </c>
      <c r="J2195" s="142">
        <v>1.0845</v>
      </c>
      <c r="K2195" s="142">
        <v>1.0658000000000001</v>
      </c>
      <c r="L2195" s="142">
        <v>0.78159999999999996</v>
      </c>
      <c r="M2195" s="142">
        <v>1.0670999999999999</v>
      </c>
      <c r="N2195" s="142">
        <v>0.84079999999999999</v>
      </c>
      <c r="O2195" s="142">
        <v>1.0538000000000001</v>
      </c>
      <c r="P2195" s="26">
        <v>9774.7640285178568</v>
      </c>
      <c r="Q2195" s="35">
        <f t="array" ref="Q2195">SUM(IF(($S2195&gt;=4)*($C2195='TaxCred&amp;Subs'!$D$114:$D$121)*($H2195='TaxCred&amp;Subs'!$C$114:$C$121)*($H2195&lt;='TaxCred&amp;Subs'!$C$123),'TaxCred&amp;Subs'!$E$114:$E$121,0))</f>
        <v>1000</v>
      </c>
      <c r="R2195" s="143">
        <v>0</v>
      </c>
      <c r="S2195" s="5">
        <v>5</v>
      </c>
      <c r="T2195" s="5" t="s">
        <v>221</v>
      </c>
      <c r="V2195" s="7" t="str">
        <f t="array" ref="V2195">INDEX(xlRTCLNAME,MATCH(1,(xlRTCLENDU=1)*(xlRTCLEQCL=$D2195),0))</f>
        <v>WOOD_HT</v>
      </c>
      <c r="W2195" s="7" t="str">
        <f t="array" ref="W2195">INDEX(xlRTCLNAME,MATCH(1,(xlRTCLENDU=2)*(xlRTCLEQCL=$F2195),0))</f>
        <v>CENT_AIR</v>
      </c>
      <c r="X2195" s="7" t="str">
        <f t="array" ref="X2195">INDEX(xlRTTYNAME,MATCH(1,(xlRTTYENDU=1)*(xlRTTYEQCL=$D2195)*(xlRTEQTYPE=$E2195),0))</f>
        <v>WOOD_HT4</v>
      </c>
      <c r="Y2195" s="7" t="str">
        <f t="array" ref="Y2195">INDEX(xlRTTYNAME,MATCH(1,(xlRTTYENDU=2)*(xlRTTYEQCL=$F2195)*(xlRTEQTYPE=$G2195),0))</f>
        <v>CENT_AIR4</v>
      </c>
    </row>
    <row r="2196" spans="2:25" x14ac:dyDescent="0.2">
      <c r="B2196" s="5">
        <v>9</v>
      </c>
      <c r="C2196" s="5">
        <v>3</v>
      </c>
      <c r="D2196" s="5">
        <v>9</v>
      </c>
      <c r="E2196" s="31">
        <v>30</v>
      </c>
      <c r="F2196" s="5">
        <v>2</v>
      </c>
      <c r="G2196" s="31">
        <v>7</v>
      </c>
      <c r="H2196" s="97">
        <v>2023</v>
      </c>
      <c r="I2196" s="97">
        <v>2032</v>
      </c>
      <c r="J2196" s="142">
        <v>1.0845</v>
      </c>
      <c r="K2196" s="142">
        <v>1.0658000000000001</v>
      </c>
      <c r="L2196" s="142">
        <v>0.78159999999999996</v>
      </c>
      <c r="M2196" s="142">
        <v>1.0670999999999999</v>
      </c>
      <c r="N2196" s="142">
        <v>0.84079999999999999</v>
      </c>
      <c r="O2196" s="142">
        <v>1.0538000000000001</v>
      </c>
      <c r="P2196" s="26">
        <v>9774.7640285178568</v>
      </c>
      <c r="Q2196" s="35">
        <f t="array" ref="Q2196">SUM(IF(($S2196&gt;=4)*($C2196='TaxCred&amp;Subs'!$D$114:$D$121)*($H2196='TaxCred&amp;Subs'!$C$114:$C$121)*($H2196&lt;='TaxCred&amp;Subs'!$C$123),'TaxCred&amp;Subs'!$E$114:$E$121,0))</f>
        <v>2500</v>
      </c>
      <c r="R2196" s="143">
        <v>0</v>
      </c>
      <c r="S2196" s="5">
        <v>5</v>
      </c>
      <c r="T2196" s="5" t="s">
        <v>221</v>
      </c>
      <c r="V2196" s="7" t="str">
        <f t="array" ref="V2196">INDEX(xlRTCLNAME,MATCH(1,(xlRTCLENDU=1)*(xlRTCLEQCL=$D2196),0))</f>
        <v>WOOD_HT</v>
      </c>
      <c r="W2196" s="7" t="str">
        <f t="array" ref="W2196">INDEX(xlRTCLNAME,MATCH(1,(xlRTCLENDU=2)*(xlRTCLEQCL=$F2196),0))</f>
        <v>CENT_AIR</v>
      </c>
      <c r="X2196" s="7" t="str">
        <f t="array" ref="X2196">INDEX(xlRTTYNAME,MATCH(1,(xlRTTYENDU=1)*(xlRTTYEQCL=$D2196)*(xlRTEQTYPE=$E2196),0))</f>
        <v>WOOD_HT4</v>
      </c>
      <c r="Y2196" s="7" t="str">
        <f t="array" ref="Y2196">INDEX(xlRTTYNAME,MATCH(1,(xlRTTYENDU=2)*(xlRTTYEQCL=$F2196)*(xlRTEQTYPE=$G2196),0))</f>
        <v>CENT_AIR4</v>
      </c>
    </row>
    <row r="2197" spans="2:25" x14ac:dyDescent="0.2">
      <c r="B2197" s="5">
        <v>9</v>
      </c>
      <c r="C2197" s="5">
        <v>3</v>
      </c>
      <c r="D2197" s="5">
        <v>9</v>
      </c>
      <c r="E2197" s="31">
        <v>30</v>
      </c>
      <c r="F2197" s="5">
        <v>2</v>
      </c>
      <c r="G2197" s="31">
        <v>7</v>
      </c>
      <c r="H2197" s="97">
        <v>2033</v>
      </c>
      <c r="I2197" s="97">
        <v>2050</v>
      </c>
      <c r="J2197" s="142">
        <v>1.0845</v>
      </c>
      <c r="K2197" s="142">
        <v>1.0658000000000001</v>
      </c>
      <c r="L2197" s="142">
        <v>0.78159999999999996</v>
      </c>
      <c r="M2197" s="142">
        <v>1.0670999999999999</v>
      </c>
      <c r="N2197" s="142">
        <v>0.84079999999999999</v>
      </c>
      <c r="O2197" s="142">
        <v>1.0538000000000001</v>
      </c>
      <c r="P2197" s="26">
        <v>9774.7640285178568</v>
      </c>
      <c r="Q2197" s="35">
        <f t="array" ref="Q2197">SUM(IF(($S2197&gt;=4)*($C2197='TaxCred&amp;Subs'!$D$114:$D$121)*($H2197='TaxCred&amp;Subs'!$C$114:$C$121)*($H2197&lt;='TaxCred&amp;Subs'!$C$123),'TaxCred&amp;Subs'!$E$114:$E$121,0))</f>
        <v>0</v>
      </c>
      <c r="R2197" s="143">
        <v>0</v>
      </c>
      <c r="S2197" s="5">
        <v>5</v>
      </c>
      <c r="T2197" s="5" t="s">
        <v>221</v>
      </c>
      <c r="V2197" s="7" t="str">
        <f t="array" ref="V2197">INDEX(xlRTCLNAME,MATCH(1,(xlRTCLENDU=1)*(xlRTCLEQCL=$D2197),0))</f>
        <v>WOOD_HT</v>
      </c>
      <c r="W2197" s="7" t="str">
        <f t="array" ref="W2197">INDEX(xlRTCLNAME,MATCH(1,(xlRTCLENDU=2)*(xlRTCLEQCL=$F2197),0))</f>
        <v>CENT_AIR</v>
      </c>
      <c r="X2197" s="7" t="str">
        <f t="array" ref="X2197">INDEX(xlRTTYNAME,MATCH(1,(xlRTTYENDU=1)*(xlRTTYEQCL=$D2197)*(xlRTEQTYPE=$E2197),0))</f>
        <v>WOOD_HT4</v>
      </c>
      <c r="Y2197" s="7" t="str">
        <f t="array" ref="Y2197">INDEX(xlRTTYNAME,MATCH(1,(xlRTTYENDU=2)*(xlRTTYEQCL=$F2197)*(xlRTEQTYPE=$G2197),0))</f>
        <v>CENT_AIR4</v>
      </c>
    </row>
    <row r="2198" spans="2:25" x14ac:dyDescent="0.2">
      <c r="B2198" s="5">
        <v>2</v>
      </c>
      <c r="C2198" s="5">
        <v>3</v>
      </c>
      <c r="D2198" s="5">
        <v>10</v>
      </c>
      <c r="E2198" s="31">
        <v>34</v>
      </c>
      <c r="F2198" s="5">
        <v>4</v>
      </c>
      <c r="G2198" s="31">
        <v>15</v>
      </c>
      <c r="H2198" s="96">
        <v>2020</v>
      </c>
      <c r="I2198" s="97">
        <v>2022</v>
      </c>
      <c r="J2198" s="142">
        <v>1.0832999999999999</v>
      </c>
      <c r="K2198" s="142">
        <v>1.0713999999999999</v>
      </c>
      <c r="L2198" s="142">
        <v>0.74970000000000003</v>
      </c>
      <c r="M2198" s="142">
        <v>1.1306</v>
      </c>
      <c r="N2198" s="142">
        <v>0.86450000000000005</v>
      </c>
      <c r="O2198" s="142">
        <v>1.0538000000000001</v>
      </c>
      <c r="P2198" s="26">
        <v>9257.118340625233</v>
      </c>
      <c r="Q2198" s="35">
        <f t="array" ref="Q2198">SUM(IF(($S2198&gt;=4)*($C2198='TaxCred&amp;Subs'!$D$114:$D$121)*($H2198='TaxCred&amp;Subs'!$C$114:$C$121)*($H2198&lt;='TaxCred&amp;Subs'!$C$123),'TaxCred&amp;Subs'!$E$114:$E$121,0))</f>
        <v>1000</v>
      </c>
      <c r="R2198" s="143">
        <v>0</v>
      </c>
      <c r="S2198" s="5">
        <v>5</v>
      </c>
      <c r="T2198" s="5" t="s">
        <v>221</v>
      </c>
      <c r="V2198" s="7" t="str">
        <f t="array" ref="V2198">INDEX(xlRTCLNAME,MATCH(1,(xlRTCLENDU=1)*(xlRTCLEQCL=$D2198),0))</f>
        <v>GEO_HP</v>
      </c>
      <c r="W2198" s="7" t="str">
        <f t="array" ref="W2198">INDEX(xlRTCLNAME,MATCH(1,(xlRTCLENDU=2)*(xlRTCLEQCL=$F2198),0))</f>
        <v>GEO_HP</v>
      </c>
      <c r="X2198" s="7" t="str">
        <f t="array" ref="X2198">INDEX(xlRTTYNAME,MATCH(1,(xlRTTYENDU=1)*(xlRTTYEQCL=$D2198)*(xlRTEQTYPE=$E2198),0))</f>
        <v>GEO_HP4</v>
      </c>
      <c r="Y2198" s="7" t="str">
        <f t="array" ref="Y2198">INDEX(xlRTTYNAME,MATCH(1,(xlRTTYENDU=2)*(xlRTTYEQCL=$F2198)*(xlRTEQTYPE=$G2198),0))</f>
        <v>GEO_HP4</v>
      </c>
    </row>
    <row r="2199" spans="2:25" x14ac:dyDescent="0.2">
      <c r="B2199" s="5">
        <v>2</v>
      </c>
      <c r="C2199" s="5">
        <v>3</v>
      </c>
      <c r="D2199" s="5">
        <v>10</v>
      </c>
      <c r="E2199" s="31">
        <v>34</v>
      </c>
      <c r="F2199" s="5">
        <v>4</v>
      </c>
      <c r="G2199" s="31">
        <v>15</v>
      </c>
      <c r="H2199" s="97">
        <v>2023</v>
      </c>
      <c r="I2199" s="97">
        <v>2032</v>
      </c>
      <c r="J2199" s="142">
        <v>1.0832999999999999</v>
      </c>
      <c r="K2199" s="142">
        <v>1.0713999999999999</v>
      </c>
      <c r="L2199" s="142">
        <v>0.74970000000000003</v>
      </c>
      <c r="M2199" s="142">
        <v>1.1306</v>
      </c>
      <c r="N2199" s="142">
        <v>0.86450000000000005</v>
      </c>
      <c r="O2199" s="142">
        <v>1.0538000000000001</v>
      </c>
      <c r="P2199" s="26">
        <v>9257.118340625233</v>
      </c>
      <c r="Q2199" s="35">
        <f t="array" ref="Q2199">SUM(IF(($S2199&gt;=4)*($C2199='TaxCred&amp;Subs'!$D$114:$D$121)*($H2199='TaxCred&amp;Subs'!$C$114:$C$121)*($H2199&lt;='TaxCred&amp;Subs'!$C$123),'TaxCred&amp;Subs'!$E$114:$E$121,0))</f>
        <v>2500</v>
      </c>
      <c r="R2199" s="143">
        <v>0</v>
      </c>
      <c r="S2199" s="5">
        <v>5</v>
      </c>
      <c r="T2199" s="5" t="s">
        <v>221</v>
      </c>
      <c r="V2199" s="7" t="str">
        <f t="array" ref="V2199">INDEX(xlRTCLNAME,MATCH(1,(xlRTCLENDU=1)*(xlRTCLEQCL=$D2199),0))</f>
        <v>GEO_HP</v>
      </c>
      <c r="W2199" s="7" t="str">
        <f t="array" ref="W2199">INDEX(xlRTCLNAME,MATCH(1,(xlRTCLENDU=2)*(xlRTCLEQCL=$F2199),0))</f>
        <v>GEO_HP</v>
      </c>
      <c r="X2199" s="7" t="str">
        <f t="array" ref="X2199">INDEX(xlRTTYNAME,MATCH(1,(xlRTTYENDU=1)*(xlRTTYEQCL=$D2199)*(xlRTEQTYPE=$E2199),0))</f>
        <v>GEO_HP4</v>
      </c>
      <c r="Y2199" s="7" t="str">
        <f t="array" ref="Y2199">INDEX(xlRTTYNAME,MATCH(1,(xlRTTYENDU=2)*(xlRTTYEQCL=$F2199)*(xlRTEQTYPE=$G2199),0))</f>
        <v>GEO_HP4</v>
      </c>
    </row>
    <row r="2200" spans="2:25" x14ac:dyDescent="0.2">
      <c r="B2200" s="5">
        <v>2</v>
      </c>
      <c r="C2200" s="5">
        <v>3</v>
      </c>
      <c r="D2200" s="5">
        <v>10</v>
      </c>
      <c r="E2200" s="31">
        <v>34</v>
      </c>
      <c r="F2200" s="5">
        <v>4</v>
      </c>
      <c r="G2200" s="31">
        <v>15</v>
      </c>
      <c r="H2200" s="97">
        <v>2033</v>
      </c>
      <c r="I2200" s="97">
        <v>2050</v>
      </c>
      <c r="J2200" s="142">
        <v>1.0832999999999999</v>
      </c>
      <c r="K2200" s="142">
        <v>1.0713999999999999</v>
      </c>
      <c r="L2200" s="142">
        <v>0.74970000000000003</v>
      </c>
      <c r="M2200" s="142">
        <v>1.1306</v>
      </c>
      <c r="N2200" s="142">
        <v>0.86450000000000005</v>
      </c>
      <c r="O2200" s="142">
        <v>1.0538000000000001</v>
      </c>
      <c r="P2200" s="26">
        <v>9257.118340625233</v>
      </c>
      <c r="Q2200" s="35">
        <f t="array" ref="Q2200">SUM(IF(($S2200&gt;=4)*($C2200='TaxCred&amp;Subs'!$D$114:$D$121)*($H2200='TaxCred&amp;Subs'!$C$114:$C$121)*($H2200&lt;='TaxCred&amp;Subs'!$C$123),'TaxCred&amp;Subs'!$E$114:$E$121,0))</f>
        <v>0</v>
      </c>
      <c r="R2200" s="143">
        <v>0</v>
      </c>
      <c r="S2200" s="5">
        <v>5</v>
      </c>
      <c r="T2200" s="5" t="s">
        <v>221</v>
      </c>
      <c r="V2200" s="7" t="str">
        <f t="array" ref="V2200">INDEX(xlRTCLNAME,MATCH(1,(xlRTCLENDU=1)*(xlRTCLEQCL=$D2200),0))</f>
        <v>GEO_HP</v>
      </c>
      <c r="W2200" s="7" t="str">
        <f t="array" ref="W2200">INDEX(xlRTCLNAME,MATCH(1,(xlRTCLENDU=2)*(xlRTCLEQCL=$F2200),0))</f>
        <v>GEO_HP</v>
      </c>
      <c r="X2200" s="7" t="str">
        <f t="array" ref="X2200">INDEX(xlRTTYNAME,MATCH(1,(xlRTTYENDU=1)*(xlRTTYEQCL=$D2200)*(xlRTEQTYPE=$E2200),0))</f>
        <v>GEO_HP4</v>
      </c>
      <c r="Y2200" s="7" t="str">
        <f t="array" ref="Y2200">INDEX(xlRTTYNAME,MATCH(1,(xlRTTYENDU=2)*(xlRTTYEQCL=$F2200)*(xlRTEQTYPE=$G2200),0))</f>
        <v>GEO_HP4</v>
      </c>
    </row>
    <row r="2201" spans="2:25" x14ac:dyDescent="0.2">
      <c r="B2201" s="5">
        <v>5</v>
      </c>
      <c r="C2201" s="5">
        <v>3</v>
      </c>
      <c r="D2201" s="5">
        <v>10</v>
      </c>
      <c r="E2201" s="31">
        <v>34</v>
      </c>
      <c r="F2201" s="5">
        <v>4</v>
      </c>
      <c r="G2201" s="31">
        <v>15</v>
      </c>
      <c r="H2201" s="96">
        <v>2020</v>
      </c>
      <c r="I2201" s="97">
        <v>2022</v>
      </c>
      <c r="J2201" s="142">
        <v>1.1071</v>
      </c>
      <c r="K2201" s="142">
        <v>1.03</v>
      </c>
      <c r="L2201" s="142">
        <v>0.72740000000000005</v>
      </c>
      <c r="M2201" s="142">
        <v>0.98119999999999996</v>
      </c>
      <c r="N2201" s="142">
        <v>0.84109999999999996</v>
      </c>
      <c r="O2201" s="142">
        <v>1.0538000000000001</v>
      </c>
      <c r="P2201" s="26">
        <v>7388.2157271947208</v>
      </c>
      <c r="Q2201" s="35">
        <f t="array" ref="Q2201">SUM(IF(($S2201&gt;=4)*($C2201='TaxCred&amp;Subs'!$D$114:$D$121)*($H2201='TaxCred&amp;Subs'!$C$114:$C$121)*($H2201&lt;='TaxCred&amp;Subs'!$C$123),'TaxCred&amp;Subs'!$E$114:$E$121,0))</f>
        <v>1000</v>
      </c>
      <c r="R2201" s="143">
        <v>0</v>
      </c>
      <c r="S2201" s="5">
        <v>5</v>
      </c>
      <c r="T2201" s="5" t="s">
        <v>221</v>
      </c>
      <c r="V2201" s="7" t="str">
        <f t="array" ref="V2201">INDEX(xlRTCLNAME,MATCH(1,(xlRTCLENDU=1)*(xlRTCLEQCL=$D2201),0))</f>
        <v>GEO_HP</v>
      </c>
      <c r="W2201" s="7" t="str">
        <f t="array" ref="W2201">INDEX(xlRTCLNAME,MATCH(1,(xlRTCLENDU=2)*(xlRTCLEQCL=$F2201),0))</f>
        <v>GEO_HP</v>
      </c>
      <c r="X2201" s="7" t="str">
        <f t="array" ref="X2201">INDEX(xlRTTYNAME,MATCH(1,(xlRTTYENDU=1)*(xlRTTYEQCL=$D2201)*(xlRTEQTYPE=$E2201),0))</f>
        <v>GEO_HP4</v>
      </c>
      <c r="Y2201" s="7" t="str">
        <f t="array" ref="Y2201">INDEX(xlRTTYNAME,MATCH(1,(xlRTTYENDU=2)*(xlRTTYEQCL=$F2201)*(xlRTEQTYPE=$G2201),0))</f>
        <v>GEO_HP4</v>
      </c>
    </row>
    <row r="2202" spans="2:25" x14ac:dyDescent="0.2">
      <c r="B2202" s="5">
        <v>5</v>
      </c>
      <c r="C2202" s="5">
        <v>3</v>
      </c>
      <c r="D2202" s="5">
        <v>10</v>
      </c>
      <c r="E2202" s="31">
        <v>34</v>
      </c>
      <c r="F2202" s="5">
        <v>4</v>
      </c>
      <c r="G2202" s="31">
        <v>15</v>
      </c>
      <c r="H2202" s="97">
        <v>2023</v>
      </c>
      <c r="I2202" s="97">
        <v>2032</v>
      </c>
      <c r="J2202" s="142">
        <v>1.1071</v>
      </c>
      <c r="K2202" s="142">
        <v>1.03</v>
      </c>
      <c r="L2202" s="142">
        <v>0.72740000000000005</v>
      </c>
      <c r="M2202" s="142">
        <v>0.98119999999999996</v>
      </c>
      <c r="N2202" s="142">
        <v>0.84109999999999996</v>
      </c>
      <c r="O2202" s="142">
        <v>1.0538000000000001</v>
      </c>
      <c r="P2202" s="26">
        <v>7388.2157271947208</v>
      </c>
      <c r="Q2202" s="35">
        <f t="array" ref="Q2202">SUM(IF(($S2202&gt;=4)*($C2202='TaxCred&amp;Subs'!$D$114:$D$121)*($H2202='TaxCred&amp;Subs'!$C$114:$C$121)*($H2202&lt;='TaxCred&amp;Subs'!$C$123),'TaxCred&amp;Subs'!$E$114:$E$121,0))</f>
        <v>2500</v>
      </c>
      <c r="R2202" s="143">
        <v>0</v>
      </c>
      <c r="S2202" s="5">
        <v>5</v>
      </c>
      <c r="T2202" s="5" t="s">
        <v>221</v>
      </c>
      <c r="V2202" s="7" t="str">
        <f t="array" ref="V2202">INDEX(xlRTCLNAME,MATCH(1,(xlRTCLENDU=1)*(xlRTCLEQCL=$D2202),0))</f>
        <v>GEO_HP</v>
      </c>
      <c r="W2202" s="7" t="str">
        <f t="array" ref="W2202">INDEX(xlRTCLNAME,MATCH(1,(xlRTCLENDU=2)*(xlRTCLEQCL=$F2202),0))</f>
        <v>GEO_HP</v>
      </c>
      <c r="X2202" s="7" t="str">
        <f t="array" ref="X2202">INDEX(xlRTTYNAME,MATCH(1,(xlRTTYENDU=1)*(xlRTTYEQCL=$D2202)*(xlRTEQTYPE=$E2202),0))</f>
        <v>GEO_HP4</v>
      </c>
      <c r="Y2202" s="7" t="str">
        <f t="array" ref="Y2202">INDEX(xlRTTYNAME,MATCH(1,(xlRTTYENDU=2)*(xlRTTYEQCL=$F2202)*(xlRTEQTYPE=$G2202),0))</f>
        <v>GEO_HP4</v>
      </c>
    </row>
    <row r="2203" spans="2:25" x14ac:dyDescent="0.2">
      <c r="B2203" s="5">
        <v>5</v>
      </c>
      <c r="C2203" s="5">
        <v>3</v>
      </c>
      <c r="D2203" s="5">
        <v>10</v>
      </c>
      <c r="E2203" s="31">
        <v>34</v>
      </c>
      <c r="F2203" s="5">
        <v>4</v>
      </c>
      <c r="G2203" s="31">
        <v>15</v>
      </c>
      <c r="H2203" s="97">
        <v>2033</v>
      </c>
      <c r="I2203" s="97">
        <v>2050</v>
      </c>
      <c r="J2203" s="142">
        <v>1.1071</v>
      </c>
      <c r="K2203" s="142">
        <v>1.03</v>
      </c>
      <c r="L2203" s="142">
        <v>0.72740000000000005</v>
      </c>
      <c r="M2203" s="142">
        <v>0.98119999999999996</v>
      </c>
      <c r="N2203" s="142">
        <v>0.84109999999999996</v>
      </c>
      <c r="O2203" s="142">
        <v>1.0538000000000001</v>
      </c>
      <c r="P2203" s="26">
        <v>7388.2157271947208</v>
      </c>
      <c r="Q2203" s="35">
        <f t="array" ref="Q2203">SUM(IF(($S2203&gt;=4)*($C2203='TaxCred&amp;Subs'!$D$114:$D$121)*($H2203='TaxCred&amp;Subs'!$C$114:$C$121)*($H2203&lt;='TaxCred&amp;Subs'!$C$123),'TaxCred&amp;Subs'!$E$114:$E$121,0))</f>
        <v>0</v>
      </c>
      <c r="R2203" s="143">
        <v>0</v>
      </c>
      <c r="S2203" s="5">
        <v>5</v>
      </c>
      <c r="T2203" s="5" t="s">
        <v>221</v>
      </c>
      <c r="V2203" s="7" t="str">
        <f t="array" ref="V2203">INDEX(xlRTCLNAME,MATCH(1,(xlRTCLENDU=1)*(xlRTCLEQCL=$D2203),0))</f>
        <v>GEO_HP</v>
      </c>
      <c r="W2203" s="7" t="str">
        <f t="array" ref="W2203">INDEX(xlRTCLNAME,MATCH(1,(xlRTCLENDU=2)*(xlRTCLEQCL=$F2203),0))</f>
        <v>GEO_HP</v>
      </c>
      <c r="X2203" s="7" t="str">
        <f t="array" ref="X2203">INDEX(xlRTTYNAME,MATCH(1,(xlRTTYENDU=1)*(xlRTTYEQCL=$D2203)*(xlRTEQTYPE=$E2203),0))</f>
        <v>GEO_HP4</v>
      </c>
      <c r="Y2203" s="7" t="str">
        <f t="array" ref="Y2203">INDEX(xlRTTYNAME,MATCH(1,(xlRTTYENDU=2)*(xlRTTYEQCL=$F2203)*(xlRTEQTYPE=$G2203),0))</f>
        <v>GEO_HP4</v>
      </c>
    </row>
    <row r="2204" spans="2:25" x14ac:dyDescent="0.2">
      <c r="B2204" s="5">
        <v>6</v>
      </c>
      <c r="C2204" s="5">
        <v>3</v>
      </c>
      <c r="D2204" s="5">
        <v>10</v>
      </c>
      <c r="E2204" s="31">
        <v>34</v>
      </c>
      <c r="F2204" s="5">
        <v>4</v>
      </c>
      <c r="G2204" s="31">
        <v>15</v>
      </c>
      <c r="H2204" s="96">
        <v>2020</v>
      </c>
      <c r="I2204" s="97">
        <v>2022</v>
      </c>
      <c r="J2204" s="142">
        <v>1.0909</v>
      </c>
      <c r="K2204" s="142">
        <v>1.0588</v>
      </c>
      <c r="L2204" s="142">
        <v>0.70550000000000002</v>
      </c>
      <c r="M2204" s="142">
        <v>0.98809999999999998</v>
      </c>
      <c r="N2204" s="142">
        <v>0.80820000000000003</v>
      </c>
      <c r="O2204" s="142">
        <v>1.0538000000000001</v>
      </c>
      <c r="P2204" s="26">
        <v>7307.543671938728</v>
      </c>
      <c r="Q2204" s="35">
        <f t="array" ref="Q2204">SUM(IF(($S2204&gt;=4)*($C2204='TaxCred&amp;Subs'!$D$114:$D$121)*($H2204='TaxCred&amp;Subs'!$C$114:$C$121)*($H2204&lt;='TaxCred&amp;Subs'!$C$123),'TaxCred&amp;Subs'!$E$114:$E$121,0))</f>
        <v>1000</v>
      </c>
      <c r="R2204" s="143">
        <v>0</v>
      </c>
      <c r="S2204" s="5">
        <v>5</v>
      </c>
      <c r="T2204" s="5" t="s">
        <v>221</v>
      </c>
      <c r="V2204" s="7" t="str">
        <f t="array" ref="V2204">INDEX(xlRTCLNAME,MATCH(1,(xlRTCLENDU=1)*(xlRTCLEQCL=$D2204),0))</f>
        <v>GEO_HP</v>
      </c>
      <c r="W2204" s="7" t="str">
        <f t="array" ref="W2204">INDEX(xlRTCLNAME,MATCH(1,(xlRTCLENDU=2)*(xlRTCLEQCL=$F2204),0))</f>
        <v>GEO_HP</v>
      </c>
      <c r="X2204" s="7" t="str">
        <f t="array" ref="X2204">INDEX(xlRTTYNAME,MATCH(1,(xlRTTYENDU=1)*(xlRTTYEQCL=$D2204)*(xlRTEQTYPE=$E2204),0))</f>
        <v>GEO_HP4</v>
      </c>
      <c r="Y2204" s="7" t="str">
        <f t="array" ref="Y2204">INDEX(xlRTTYNAME,MATCH(1,(xlRTTYENDU=2)*(xlRTTYEQCL=$F2204)*(xlRTEQTYPE=$G2204),0))</f>
        <v>GEO_HP4</v>
      </c>
    </row>
    <row r="2205" spans="2:25" x14ac:dyDescent="0.2">
      <c r="B2205" s="5">
        <v>6</v>
      </c>
      <c r="C2205" s="5">
        <v>3</v>
      </c>
      <c r="D2205" s="5">
        <v>10</v>
      </c>
      <c r="E2205" s="31">
        <v>34</v>
      </c>
      <c r="F2205" s="5">
        <v>4</v>
      </c>
      <c r="G2205" s="31">
        <v>15</v>
      </c>
      <c r="H2205" s="97">
        <v>2023</v>
      </c>
      <c r="I2205" s="97">
        <v>2032</v>
      </c>
      <c r="J2205" s="142">
        <v>1.0909</v>
      </c>
      <c r="K2205" s="142">
        <v>1.0588</v>
      </c>
      <c r="L2205" s="142">
        <v>0.70550000000000002</v>
      </c>
      <c r="M2205" s="142">
        <v>0.98809999999999998</v>
      </c>
      <c r="N2205" s="142">
        <v>0.80820000000000003</v>
      </c>
      <c r="O2205" s="142">
        <v>1.0538000000000001</v>
      </c>
      <c r="P2205" s="26">
        <v>7307.543671938728</v>
      </c>
      <c r="Q2205" s="35">
        <f t="array" ref="Q2205">SUM(IF(($S2205&gt;=4)*($C2205='TaxCred&amp;Subs'!$D$114:$D$121)*($H2205='TaxCred&amp;Subs'!$C$114:$C$121)*($H2205&lt;='TaxCred&amp;Subs'!$C$123),'TaxCred&amp;Subs'!$E$114:$E$121,0))</f>
        <v>2500</v>
      </c>
      <c r="R2205" s="143">
        <v>0</v>
      </c>
      <c r="S2205" s="5">
        <v>5</v>
      </c>
      <c r="T2205" s="5" t="s">
        <v>221</v>
      </c>
      <c r="V2205" s="7" t="str">
        <f t="array" ref="V2205">INDEX(xlRTCLNAME,MATCH(1,(xlRTCLENDU=1)*(xlRTCLEQCL=$D2205),0))</f>
        <v>GEO_HP</v>
      </c>
      <c r="W2205" s="7" t="str">
        <f t="array" ref="W2205">INDEX(xlRTCLNAME,MATCH(1,(xlRTCLENDU=2)*(xlRTCLEQCL=$F2205),0))</f>
        <v>GEO_HP</v>
      </c>
      <c r="X2205" s="7" t="str">
        <f t="array" ref="X2205">INDEX(xlRTTYNAME,MATCH(1,(xlRTTYENDU=1)*(xlRTTYEQCL=$D2205)*(xlRTEQTYPE=$E2205),0))</f>
        <v>GEO_HP4</v>
      </c>
      <c r="Y2205" s="7" t="str">
        <f t="array" ref="Y2205">INDEX(xlRTTYNAME,MATCH(1,(xlRTTYENDU=2)*(xlRTTYEQCL=$F2205)*(xlRTEQTYPE=$G2205),0))</f>
        <v>GEO_HP4</v>
      </c>
    </row>
    <row r="2206" spans="2:25" x14ac:dyDescent="0.2">
      <c r="B2206" s="5">
        <v>6</v>
      </c>
      <c r="C2206" s="5">
        <v>3</v>
      </c>
      <c r="D2206" s="5">
        <v>10</v>
      </c>
      <c r="E2206" s="31">
        <v>34</v>
      </c>
      <c r="F2206" s="5">
        <v>4</v>
      </c>
      <c r="G2206" s="31">
        <v>15</v>
      </c>
      <c r="H2206" s="97">
        <v>2033</v>
      </c>
      <c r="I2206" s="97">
        <v>2050</v>
      </c>
      <c r="J2206" s="142">
        <v>1.0909</v>
      </c>
      <c r="K2206" s="142">
        <v>1.0588</v>
      </c>
      <c r="L2206" s="142">
        <v>0.70550000000000002</v>
      </c>
      <c r="M2206" s="142">
        <v>0.98809999999999998</v>
      </c>
      <c r="N2206" s="142">
        <v>0.80820000000000003</v>
      </c>
      <c r="O2206" s="142">
        <v>1.0538000000000001</v>
      </c>
      <c r="P2206" s="26">
        <v>7307.543671938728</v>
      </c>
      <c r="Q2206" s="35">
        <f t="array" ref="Q2206">SUM(IF(($S2206&gt;=4)*($C2206='TaxCred&amp;Subs'!$D$114:$D$121)*($H2206='TaxCred&amp;Subs'!$C$114:$C$121)*($H2206&lt;='TaxCred&amp;Subs'!$C$123),'TaxCred&amp;Subs'!$E$114:$E$121,0))</f>
        <v>0</v>
      </c>
      <c r="R2206" s="143">
        <v>0</v>
      </c>
      <c r="S2206" s="5">
        <v>5</v>
      </c>
      <c r="T2206" s="5" t="s">
        <v>221</v>
      </c>
      <c r="V2206" s="7" t="str">
        <f t="array" ref="V2206">INDEX(xlRTCLNAME,MATCH(1,(xlRTCLENDU=1)*(xlRTCLEQCL=$D2206),0))</f>
        <v>GEO_HP</v>
      </c>
      <c r="W2206" s="7" t="str">
        <f t="array" ref="W2206">INDEX(xlRTCLNAME,MATCH(1,(xlRTCLENDU=2)*(xlRTCLEQCL=$F2206),0))</f>
        <v>GEO_HP</v>
      </c>
      <c r="X2206" s="7" t="str">
        <f t="array" ref="X2206">INDEX(xlRTTYNAME,MATCH(1,(xlRTTYENDU=1)*(xlRTTYEQCL=$D2206)*(xlRTEQTYPE=$E2206),0))</f>
        <v>GEO_HP4</v>
      </c>
      <c r="Y2206" s="7" t="str">
        <f t="array" ref="Y2206">INDEX(xlRTTYNAME,MATCH(1,(xlRTTYENDU=2)*(xlRTTYEQCL=$F2206)*(xlRTEQTYPE=$G2206),0))</f>
        <v>GEO_HP4</v>
      </c>
    </row>
    <row r="2207" spans="2:25" x14ac:dyDescent="0.2">
      <c r="B2207" s="5">
        <v>7</v>
      </c>
      <c r="C2207" s="5">
        <v>3</v>
      </c>
      <c r="D2207" s="5">
        <v>10</v>
      </c>
      <c r="E2207" s="31">
        <v>34</v>
      </c>
      <c r="F2207" s="5">
        <v>4</v>
      </c>
      <c r="G2207" s="31">
        <v>15</v>
      </c>
      <c r="H2207" s="96">
        <v>2020</v>
      </c>
      <c r="I2207" s="97">
        <v>2022</v>
      </c>
      <c r="J2207" s="142">
        <v>1.0968</v>
      </c>
      <c r="K2207" s="142">
        <v>1.036</v>
      </c>
      <c r="L2207" s="142">
        <v>0.71950000000000003</v>
      </c>
      <c r="M2207" s="142">
        <v>0.98899999999999999</v>
      </c>
      <c r="N2207" s="142">
        <v>0.81950000000000001</v>
      </c>
      <c r="O2207" s="142">
        <v>1.0538000000000001</v>
      </c>
      <c r="P2207" s="26">
        <v>6908.2169984215607</v>
      </c>
      <c r="Q2207" s="35">
        <f t="array" ref="Q2207">SUM(IF(($S2207&gt;=4)*($C2207='TaxCred&amp;Subs'!$D$114:$D$121)*($H2207='TaxCred&amp;Subs'!$C$114:$C$121)*($H2207&lt;='TaxCred&amp;Subs'!$C$123),'TaxCred&amp;Subs'!$E$114:$E$121,0))</f>
        <v>1000</v>
      </c>
      <c r="R2207" s="143">
        <v>0</v>
      </c>
      <c r="S2207" s="5">
        <v>5</v>
      </c>
      <c r="T2207" s="5" t="s">
        <v>221</v>
      </c>
      <c r="V2207" s="7" t="str">
        <f t="array" ref="V2207">INDEX(xlRTCLNAME,MATCH(1,(xlRTCLENDU=1)*(xlRTCLEQCL=$D2207),0))</f>
        <v>GEO_HP</v>
      </c>
      <c r="W2207" s="7" t="str">
        <f t="array" ref="W2207">INDEX(xlRTCLNAME,MATCH(1,(xlRTCLENDU=2)*(xlRTCLEQCL=$F2207),0))</f>
        <v>GEO_HP</v>
      </c>
      <c r="X2207" s="7" t="str">
        <f t="array" ref="X2207">INDEX(xlRTTYNAME,MATCH(1,(xlRTTYENDU=1)*(xlRTTYEQCL=$D2207)*(xlRTEQTYPE=$E2207),0))</f>
        <v>GEO_HP4</v>
      </c>
      <c r="Y2207" s="7" t="str">
        <f t="array" ref="Y2207">INDEX(xlRTTYNAME,MATCH(1,(xlRTTYENDU=2)*(xlRTTYEQCL=$F2207)*(xlRTEQTYPE=$G2207),0))</f>
        <v>GEO_HP4</v>
      </c>
    </row>
    <row r="2208" spans="2:25" x14ac:dyDescent="0.2">
      <c r="B2208" s="5">
        <v>7</v>
      </c>
      <c r="C2208" s="5">
        <v>3</v>
      </c>
      <c r="D2208" s="5">
        <v>10</v>
      </c>
      <c r="E2208" s="31">
        <v>34</v>
      </c>
      <c r="F2208" s="5">
        <v>4</v>
      </c>
      <c r="G2208" s="31">
        <v>15</v>
      </c>
      <c r="H2208" s="97">
        <v>2023</v>
      </c>
      <c r="I2208" s="97">
        <v>2032</v>
      </c>
      <c r="J2208" s="142">
        <v>1.0968</v>
      </c>
      <c r="K2208" s="142">
        <v>1.036</v>
      </c>
      <c r="L2208" s="142">
        <v>0.71950000000000003</v>
      </c>
      <c r="M2208" s="142">
        <v>0.98899999999999999</v>
      </c>
      <c r="N2208" s="142">
        <v>0.81950000000000001</v>
      </c>
      <c r="O2208" s="142">
        <v>1.0538000000000001</v>
      </c>
      <c r="P2208" s="26">
        <v>6908.2169984215607</v>
      </c>
      <c r="Q2208" s="35">
        <f t="array" ref="Q2208">SUM(IF(($S2208&gt;=4)*($C2208='TaxCred&amp;Subs'!$D$114:$D$121)*($H2208='TaxCred&amp;Subs'!$C$114:$C$121)*($H2208&lt;='TaxCred&amp;Subs'!$C$123),'TaxCred&amp;Subs'!$E$114:$E$121,0))</f>
        <v>2500</v>
      </c>
      <c r="R2208" s="143">
        <v>0</v>
      </c>
      <c r="S2208" s="5">
        <v>5</v>
      </c>
      <c r="T2208" s="5" t="s">
        <v>221</v>
      </c>
      <c r="V2208" s="7" t="str">
        <f t="array" ref="V2208">INDEX(xlRTCLNAME,MATCH(1,(xlRTCLENDU=1)*(xlRTCLEQCL=$D2208),0))</f>
        <v>GEO_HP</v>
      </c>
      <c r="W2208" s="7" t="str">
        <f t="array" ref="W2208">INDEX(xlRTCLNAME,MATCH(1,(xlRTCLENDU=2)*(xlRTCLEQCL=$F2208),0))</f>
        <v>GEO_HP</v>
      </c>
      <c r="X2208" s="7" t="str">
        <f t="array" ref="X2208">INDEX(xlRTTYNAME,MATCH(1,(xlRTTYENDU=1)*(xlRTTYEQCL=$D2208)*(xlRTEQTYPE=$E2208),0))</f>
        <v>GEO_HP4</v>
      </c>
      <c r="Y2208" s="7" t="str">
        <f t="array" ref="Y2208">INDEX(xlRTTYNAME,MATCH(1,(xlRTTYENDU=2)*(xlRTTYEQCL=$F2208)*(xlRTEQTYPE=$G2208),0))</f>
        <v>GEO_HP4</v>
      </c>
    </row>
    <row r="2209" spans="2:25" x14ac:dyDescent="0.2">
      <c r="B2209" s="5">
        <v>7</v>
      </c>
      <c r="C2209" s="5">
        <v>3</v>
      </c>
      <c r="D2209" s="5">
        <v>10</v>
      </c>
      <c r="E2209" s="31">
        <v>34</v>
      </c>
      <c r="F2209" s="5">
        <v>4</v>
      </c>
      <c r="G2209" s="31">
        <v>15</v>
      </c>
      <c r="H2209" s="97">
        <v>2033</v>
      </c>
      <c r="I2209" s="97">
        <v>2050</v>
      </c>
      <c r="J2209" s="142">
        <v>1.0968</v>
      </c>
      <c r="K2209" s="142">
        <v>1.036</v>
      </c>
      <c r="L2209" s="142">
        <v>0.71950000000000003</v>
      </c>
      <c r="M2209" s="142">
        <v>0.98899999999999999</v>
      </c>
      <c r="N2209" s="142">
        <v>0.81950000000000001</v>
      </c>
      <c r="O2209" s="142">
        <v>1.0538000000000001</v>
      </c>
      <c r="P2209" s="26">
        <v>6908.2169984215607</v>
      </c>
      <c r="Q2209" s="35">
        <f t="array" ref="Q2209">SUM(IF(($S2209&gt;=4)*($C2209='TaxCred&amp;Subs'!$D$114:$D$121)*($H2209='TaxCred&amp;Subs'!$C$114:$C$121)*($H2209&lt;='TaxCred&amp;Subs'!$C$123),'TaxCred&amp;Subs'!$E$114:$E$121,0))</f>
        <v>0</v>
      </c>
      <c r="R2209" s="143">
        <v>0</v>
      </c>
      <c r="S2209" s="5">
        <v>5</v>
      </c>
      <c r="T2209" s="5" t="s">
        <v>221</v>
      </c>
      <c r="V2209" s="7" t="str">
        <f t="array" ref="V2209">INDEX(xlRTCLNAME,MATCH(1,(xlRTCLENDU=1)*(xlRTCLEQCL=$D2209),0))</f>
        <v>GEO_HP</v>
      </c>
      <c r="W2209" s="7" t="str">
        <f t="array" ref="W2209">INDEX(xlRTCLNAME,MATCH(1,(xlRTCLENDU=2)*(xlRTCLEQCL=$F2209),0))</f>
        <v>GEO_HP</v>
      </c>
      <c r="X2209" s="7" t="str">
        <f t="array" ref="X2209">INDEX(xlRTTYNAME,MATCH(1,(xlRTTYENDU=1)*(xlRTTYEQCL=$D2209)*(xlRTEQTYPE=$E2209),0))</f>
        <v>GEO_HP4</v>
      </c>
      <c r="Y2209" s="7" t="str">
        <f t="array" ref="Y2209">INDEX(xlRTTYNAME,MATCH(1,(xlRTTYENDU=2)*(xlRTTYEQCL=$F2209)*(xlRTEQTYPE=$G2209),0))</f>
        <v>GEO_HP4</v>
      </c>
    </row>
    <row r="2210" spans="2:25" x14ac:dyDescent="0.2">
      <c r="B2210" s="5">
        <v>9</v>
      </c>
      <c r="C2210" s="5">
        <v>3</v>
      </c>
      <c r="D2210" s="5">
        <v>10</v>
      </c>
      <c r="E2210" s="31">
        <v>34</v>
      </c>
      <c r="F2210" s="5">
        <v>4</v>
      </c>
      <c r="G2210" s="31">
        <v>15</v>
      </c>
      <c r="H2210" s="96">
        <v>2020</v>
      </c>
      <c r="I2210" s="97">
        <v>2022</v>
      </c>
      <c r="J2210" s="142">
        <v>1.0857000000000001</v>
      </c>
      <c r="K2210" s="142">
        <v>1.0611999999999999</v>
      </c>
      <c r="L2210" s="142">
        <v>0.7651</v>
      </c>
      <c r="M2210" s="142">
        <v>1.0687</v>
      </c>
      <c r="N2210" s="142">
        <v>0.85860000000000003</v>
      </c>
      <c r="O2210" s="142">
        <v>1.0538000000000001</v>
      </c>
      <c r="P2210" s="26">
        <v>9774.7640285178568</v>
      </c>
      <c r="Q2210" s="35">
        <f t="array" ref="Q2210">SUM(IF(($S2210&gt;=4)*($C2210='TaxCred&amp;Subs'!$D$114:$D$121)*($H2210='TaxCred&amp;Subs'!$C$114:$C$121)*($H2210&lt;='TaxCred&amp;Subs'!$C$123),'TaxCred&amp;Subs'!$E$114:$E$121,0))</f>
        <v>1000</v>
      </c>
      <c r="R2210" s="143">
        <v>0</v>
      </c>
      <c r="S2210" s="5">
        <v>5</v>
      </c>
      <c r="T2210" s="5" t="s">
        <v>221</v>
      </c>
      <c r="V2210" s="7" t="str">
        <f t="array" ref="V2210">INDEX(xlRTCLNAME,MATCH(1,(xlRTCLENDU=1)*(xlRTCLEQCL=$D2210),0))</f>
        <v>GEO_HP</v>
      </c>
      <c r="W2210" s="7" t="str">
        <f t="array" ref="W2210">INDEX(xlRTCLNAME,MATCH(1,(xlRTCLENDU=2)*(xlRTCLEQCL=$F2210),0))</f>
        <v>GEO_HP</v>
      </c>
      <c r="X2210" s="7" t="str">
        <f t="array" ref="X2210">INDEX(xlRTTYNAME,MATCH(1,(xlRTTYENDU=1)*(xlRTTYEQCL=$D2210)*(xlRTEQTYPE=$E2210),0))</f>
        <v>GEO_HP4</v>
      </c>
      <c r="Y2210" s="7" t="str">
        <f t="array" ref="Y2210">INDEX(xlRTTYNAME,MATCH(1,(xlRTTYENDU=2)*(xlRTTYEQCL=$F2210)*(xlRTEQTYPE=$G2210),0))</f>
        <v>GEO_HP4</v>
      </c>
    </row>
    <row r="2211" spans="2:25" x14ac:dyDescent="0.2">
      <c r="B2211" s="5">
        <v>9</v>
      </c>
      <c r="C2211" s="5">
        <v>3</v>
      </c>
      <c r="D2211" s="5">
        <v>10</v>
      </c>
      <c r="E2211" s="31">
        <v>34</v>
      </c>
      <c r="F2211" s="5">
        <v>4</v>
      </c>
      <c r="G2211" s="31">
        <v>15</v>
      </c>
      <c r="H2211" s="97">
        <v>2023</v>
      </c>
      <c r="I2211" s="97">
        <v>2032</v>
      </c>
      <c r="J2211" s="142">
        <v>1.0857000000000001</v>
      </c>
      <c r="K2211" s="142">
        <v>1.0611999999999999</v>
      </c>
      <c r="L2211" s="142">
        <v>0.7651</v>
      </c>
      <c r="M2211" s="142">
        <v>1.0687</v>
      </c>
      <c r="N2211" s="142">
        <v>0.85860000000000003</v>
      </c>
      <c r="O2211" s="142">
        <v>1.0538000000000001</v>
      </c>
      <c r="P2211" s="26">
        <v>9774.7640285178568</v>
      </c>
      <c r="Q2211" s="35">
        <f t="array" ref="Q2211">SUM(IF(($S2211&gt;=4)*($C2211='TaxCred&amp;Subs'!$D$114:$D$121)*($H2211='TaxCred&amp;Subs'!$C$114:$C$121)*($H2211&lt;='TaxCred&amp;Subs'!$C$123),'TaxCred&amp;Subs'!$E$114:$E$121,0))</f>
        <v>2500</v>
      </c>
      <c r="R2211" s="143">
        <v>0</v>
      </c>
      <c r="S2211" s="5">
        <v>5</v>
      </c>
      <c r="T2211" s="5" t="s">
        <v>221</v>
      </c>
      <c r="V2211" s="7" t="str">
        <f t="array" ref="V2211">INDEX(xlRTCLNAME,MATCH(1,(xlRTCLENDU=1)*(xlRTCLEQCL=$D2211),0))</f>
        <v>GEO_HP</v>
      </c>
      <c r="W2211" s="7" t="str">
        <f t="array" ref="W2211">INDEX(xlRTCLNAME,MATCH(1,(xlRTCLENDU=2)*(xlRTCLEQCL=$F2211),0))</f>
        <v>GEO_HP</v>
      </c>
      <c r="X2211" s="7" t="str">
        <f t="array" ref="X2211">INDEX(xlRTTYNAME,MATCH(1,(xlRTTYENDU=1)*(xlRTTYEQCL=$D2211)*(xlRTEQTYPE=$E2211),0))</f>
        <v>GEO_HP4</v>
      </c>
      <c r="Y2211" s="7" t="str">
        <f t="array" ref="Y2211">INDEX(xlRTTYNAME,MATCH(1,(xlRTTYENDU=2)*(xlRTTYEQCL=$F2211)*(xlRTEQTYPE=$G2211),0))</f>
        <v>GEO_HP4</v>
      </c>
    </row>
    <row r="2212" spans="2:25" x14ac:dyDescent="0.2">
      <c r="B2212" s="5">
        <v>9</v>
      </c>
      <c r="C2212" s="5">
        <v>3</v>
      </c>
      <c r="D2212" s="5">
        <v>10</v>
      </c>
      <c r="E2212" s="31">
        <v>34</v>
      </c>
      <c r="F2212" s="5">
        <v>4</v>
      </c>
      <c r="G2212" s="31">
        <v>15</v>
      </c>
      <c r="H2212" s="97">
        <v>2033</v>
      </c>
      <c r="I2212" s="97">
        <v>2050</v>
      </c>
      <c r="J2212" s="142">
        <v>1.0857000000000001</v>
      </c>
      <c r="K2212" s="142">
        <v>1.0611999999999999</v>
      </c>
      <c r="L2212" s="142">
        <v>0.7651</v>
      </c>
      <c r="M2212" s="142">
        <v>1.0687</v>
      </c>
      <c r="N2212" s="142">
        <v>0.85860000000000003</v>
      </c>
      <c r="O2212" s="142">
        <v>1.0538000000000001</v>
      </c>
      <c r="P2212" s="26">
        <v>9774.7640285178568</v>
      </c>
      <c r="Q2212" s="35">
        <f t="array" ref="Q2212">SUM(IF(($S2212&gt;=4)*($C2212='TaxCred&amp;Subs'!$D$114:$D$121)*($H2212='TaxCred&amp;Subs'!$C$114:$C$121)*($H2212&lt;='TaxCred&amp;Subs'!$C$123),'TaxCred&amp;Subs'!$E$114:$E$121,0))</f>
        <v>0</v>
      </c>
      <c r="R2212" s="143">
        <v>0</v>
      </c>
      <c r="S2212" s="5">
        <v>5</v>
      </c>
      <c r="T2212" s="5" t="s">
        <v>221</v>
      </c>
      <c r="V2212" s="7" t="str">
        <f t="array" ref="V2212">INDEX(xlRTCLNAME,MATCH(1,(xlRTCLENDU=1)*(xlRTCLEQCL=$D2212),0))</f>
        <v>GEO_HP</v>
      </c>
      <c r="W2212" s="7" t="str">
        <f t="array" ref="W2212">INDEX(xlRTCLNAME,MATCH(1,(xlRTCLENDU=2)*(xlRTCLEQCL=$F2212),0))</f>
        <v>GEO_HP</v>
      </c>
      <c r="X2212" s="7" t="str">
        <f t="array" ref="X2212">INDEX(xlRTTYNAME,MATCH(1,(xlRTTYENDU=1)*(xlRTTYEQCL=$D2212)*(xlRTEQTYPE=$E2212),0))</f>
        <v>GEO_HP4</v>
      </c>
      <c r="Y2212" s="7" t="str">
        <f t="array" ref="Y2212">INDEX(xlRTTYNAME,MATCH(1,(xlRTTYENDU=2)*(xlRTTYEQCL=$F2212)*(xlRTEQTYPE=$G2212),0))</f>
        <v>GEO_HP4</v>
      </c>
    </row>
    <row r="2213" spans="2:25" x14ac:dyDescent="0.2">
      <c r="B2213" s="5">
        <v>5</v>
      </c>
      <c r="C2213" s="5">
        <v>3</v>
      </c>
      <c r="D2213" s="5">
        <v>11</v>
      </c>
      <c r="E2213" s="31">
        <v>35</v>
      </c>
      <c r="F2213" s="5">
        <v>5</v>
      </c>
      <c r="G2213" s="31">
        <v>16</v>
      </c>
      <c r="H2213" s="96">
        <v>2020</v>
      </c>
      <c r="I2213" s="97">
        <v>2022</v>
      </c>
      <c r="J2213" s="142">
        <v>1.0559000000000001</v>
      </c>
      <c r="K2213" s="142">
        <v>1.0444</v>
      </c>
      <c r="L2213" s="142">
        <v>0.73609999999999998</v>
      </c>
      <c r="M2213" s="142">
        <v>0.97389999999999999</v>
      </c>
      <c r="N2213" s="142">
        <v>0.83460000000000001</v>
      </c>
      <c r="O2213" s="142">
        <v>1.0538000000000001</v>
      </c>
      <c r="P2213" s="26">
        <v>7388.2157271947208</v>
      </c>
      <c r="Q2213" s="35">
        <f t="array" ref="Q2213">SUM(IF(($S2213&gt;=4)*($C2213='TaxCred&amp;Subs'!$D$114:$D$121)*($H2213='TaxCred&amp;Subs'!$C$114:$C$121)*($H2213&lt;='TaxCred&amp;Subs'!$C$123),'TaxCred&amp;Subs'!$E$114:$E$121,0))</f>
        <v>1000</v>
      </c>
      <c r="R2213" s="143">
        <v>0</v>
      </c>
      <c r="S2213" s="5">
        <v>5</v>
      </c>
      <c r="T2213" s="5" t="s">
        <v>221</v>
      </c>
      <c r="V2213" s="7" t="str">
        <f t="array" ref="V2213">INDEX(xlRTCLNAME,MATCH(1,(xlRTCLENDU=1)*(xlRTCLEQCL=$D2213),0))</f>
        <v>NG_HP</v>
      </c>
      <c r="W2213" s="7" t="str">
        <f t="array" ref="W2213">INDEX(xlRTCLNAME,MATCH(1,(xlRTCLENDU=2)*(xlRTCLEQCL=$F2213),0))</f>
        <v>NG_HP</v>
      </c>
      <c r="X2213" s="7" t="str">
        <f t="array" ref="X2213">INDEX(xlRTTYNAME,MATCH(1,(xlRTTYENDU=1)*(xlRTTYEQCL=$D2213)*(xlRTEQTYPE=$E2213),0))</f>
        <v>NG_HP2</v>
      </c>
      <c r="Y2213" s="7" t="str">
        <f t="array" ref="Y2213">INDEX(xlRTTYNAME,MATCH(1,(xlRTTYENDU=2)*(xlRTTYEQCL=$F2213)*(xlRTEQTYPE=$G2213),0))</f>
        <v>NG_HP2</v>
      </c>
    </row>
    <row r="2214" spans="2:25" x14ac:dyDescent="0.2">
      <c r="B2214" s="5">
        <v>5</v>
      </c>
      <c r="C2214" s="5">
        <v>3</v>
      </c>
      <c r="D2214" s="5">
        <v>11</v>
      </c>
      <c r="E2214" s="31">
        <v>35</v>
      </c>
      <c r="F2214" s="5">
        <v>5</v>
      </c>
      <c r="G2214" s="31">
        <v>16</v>
      </c>
      <c r="H2214" s="97">
        <v>2023</v>
      </c>
      <c r="I2214" s="97">
        <v>2032</v>
      </c>
      <c r="J2214" s="142">
        <v>1.0559000000000001</v>
      </c>
      <c r="K2214" s="142">
        <v>1.0444</v>
      </c>
      <c r="L2214" s="142">
        <v>0.73609999999999998</v>
      </c>
      <c r="M2214" s="142">
        <v>0.97389999999999999</v>
      </c>
      <c r="N2214" s="142">
        <v>0.83460000000000001</v>
      </c>
      <c r="O2214" s="142">
        <v>1.0538000000000001</v>
      </c>
      <c r="P2214" s="26">
        <v>7388.2157271947208</v>
      </c>
      <c r="Q2214" s="35">
        <f t="array" ref="Q2214">SUM(IF(($S2214&gt;=4)*($C2214='TaxCred&amp;Subs'!$D$114:$D$121)*($H2214='TaxCred&amp;Subs'!$C$114:$C$121)*($H2214&lt;='TaxCred&amp;Subs'!$C$123),'TaxCred&amp;Subs'!$E$114:$E$121,0))</f>
        <v>2500</v>
      </c>
      <c r="R2214" s="143">
        <v>0</v>
      </c>
      <c r="S2214" s="5">
        <v>5</v>
      </c>
      <c r="T2214" s="5" t="s">
        <v>221</v>
      </c>
      <c r="V2214" s="7" t="str">
        <f t="array" ref="V2214">INDEX(xlRTCLNAME,MATCH(1,(xlRTCLENDU=1)*(xlRTCLEQCL=$D2214),0))</f>
        <v>NG_HP</v>
      </c>
      <c r="W2214" s="7" t="str">
        <f t="array" ref="W2214">INDEX(xlRTCLNAME,MATCH(1,(xlRTCLENDU=2)*(xlRTCLEQCL=$F2214),0))</f>
        <v>NG_HP</v>
      </c>
      <c r="X2214" s="7" t="str">
        <f t="array" ref="X2214">INDEX(xlRTTYNAME,MATCH(1,(xlRTTYENDU=1)*(xlRTTYEQCL=$D2214)*(xlRTEQTYPE=$E2214),0))</f>
        <v>NG_HP2</v>
      </c>
      <c r="Y2214" s="7" t="str">
        <f t="array" ref="Y2214">INDEX(xlRTTYNAME,MATCH(1,(xlRTTYENDU=2)*(xlRTTYEQCL=$F2214)*(xlRTEQTYPE=$G2214),0))</f>
        <v>NG_HP2</v>
      </c>
    </row>
    <row r="2215" spans="2:25" ht="15" customHeight="1" x14ac:dyDescent="0.2">
      <c r="B2215" s="5">
        <v>5</v>
      </c>
      <c r="C2215" s="5">
        <v>3</v>
      </c>
      <c r="D2215" s="5">
        <v>11</v>
      </c>
      <c r="E2215" s="31">
        <v>35</v>
      </c>
      <c r="F2215" s="5">
        <v>5</v>
      </c>
      <c r="G2215" s="31">
        <v>16</v>
      </c>
      <c r="H2215" s="97">
        <v>2033</v>
      </c>
      <c r="I2215" s="97">
        <v>2050</v>
      </c>
      <c r="J2215" s="142">
        <v>1.0559000000000001</v>
      </c>
      <c r="K2215" s="142">
        <v>1.0444</v>
      </c>
      <c r="L2215" s="142">
        <v>0.73609999999999998</v>
      </c>
      <c r="M2215" s="142">
        <v>0.97389999999999999</v>
      </c>
      <c r="N2215" s="142">
        <v>0.83460000000000001</v>
      </c>
      <c r="O2215" s="142">
        <v>1.0538000000000001</v>
      </c>
      <c r="P2215" s="26">
        <v>7388.2157271947208</v>
      </c>
      <c r="Q2215" s="35">
        <f t="array" ref="Q2215">SUM(IF(($S2215&gt;=4)*($C2215='TaxCred&amp;Subs'!$D$114:$D$121)*($H2215='TaxCred&amp;Subs'!$C$114:$C$121)*($H2215&lt;='TaxCred&amp;Subs'!$C$123),'TaxCred&amp;Subs'!$E$114:$E$121,0))</f>
        <v>0</v>
      </c>
      <c r="R2215" s="143">
        <v>0</v>
      </c>
      <c r="S2215" s="5">
        <v>5</v>
      </c>
      <c r="T2215" s="5" t="s">
        <v>221</v>
      </c>
      <c r="V2215" s="7" t="str">
        <f t="array" ref="V2215">INDEX(xlRTCLNAME,MATCH(1,(xlRTCLENDU=1)*(xlRTCLEQCL=$D2215),0))</f>
        <v>NG_HP</v>
      </c>
      <c r="W2215" s="7" t="str">
        <f t="array" ref="W2215">INDEX(xlRTCLNAME,MATCH(1,(xlRTCLENDU=2)*(xlRTCLEQCL=$F2215),0))</f>
        <v>NG_HP</v>
      </c>
      <c r="X2215" s="7" t="str">
        <f t="array" ref="X2215">INDEX(xlRTTYNAME,MATCH(1,(xlRTTYENDU=1)*(xlRTTYEQCL=$D2215)*(xlRTEQTYPE=$E2215),0))</f>
        <v>NG_HP2</v>
      </c>
      <c r="Y2215" s="7" t="str">
        <f t="array" ref="Y2215">INDEX(xlRTTYNAME,MATCH(1,(xlRTTYENDU=2)*(xlRTTYEQCL=$F2215)*(xlRTEQTYPE=$G2215),0))</f>
        <v>NG_HP2</v>
      </c>
    </row>
    <row r="2216" spans="2:25" x14ac:dyDescent="0.2">
      <c r="B2216" s="5">
        <v>6</v>
      </c>
      <c r="C2216" s="5">
        <v>3</v>
      </c>
      <c r="D2216" s="5">
        <v>11</v>
      </c>
      <c r="E2216" s="31">
        <v>35</v>
      </c>
      <c r="F2216" s="5">
        <v>5</v>
      </c>
      <c r="G2216" s="31">
        <v>16</v>
      </c>
      <c r="H2216" s="96">
        <v>2020</v>
      </c>
      <c r="I2216" s="97">
        <v>2022</v>
      </c>
      <c r="J2216" s="142">
        <v>1.0872999999999999</v>
      </c>
      <c r="K2216" s="142">
        <v>1.0581</v>
      </c>
      <c r="L2216" s="142">
        <v>0.71930000000000005</v>
      </c>
      <c r="M2216" s="142">
        <v>0.97489999999999999</v>
      </c>
      <c r="N2216" s="142">
        <v>0.8044</v>
      </c>
      <c r="O2216" s="142">
        <v>1.0538000000000001</v>
      </c>
      <c r="P2216" s="26">
        <v>7307.543671938728</v>
      </c>
      <c r="Q2216" s="35">
        <f t="array" ref="Q2216">SUM(IF(($S2216&gt;=4)*($C2216='TaxCred&amp;Subs'!$D$114:$D$121)*($H2216='TaxCred&amp;Subs'!$C$114:$C$121)*($H2216&lt;='TaxCred&amp;Subs'!$C$123),'TaxCred&amp;Subs'!$E$114:$E$121,0))</f>
        <v>1000</v>
      </c>
      <c r="R2216" s="143">
        <v>0</v>
      </c>
      <c r="S2216" s="5">
        <v>5</v>
      </c>
      <c r="T2216" s="5" t="s">
        <v>221</v>
      </c>
      <c r="V2216" s="7" t="str">
        <f t="array" ref="V2216">INDEX(xlRTCLNAME,MATCH(1,(xlRTCLENDU=1)*(xlRTCLEQCL=$D2216),0))</f>
        <v>NG_HP</v>
      </c>
      <c r="W2216" s="7" t="str">
        <f t="array" ref="W2216">INDEX(xlRTCLNAME,MATCH(1,(xlRTCLENDU=2)*(xlRTCLEQCL=$F2216),0))</f>
        <v>NG_HP</v>
      </c>
      <c r="X2216" s="7" t="str">
        <f t="array" ref="X2216">INDEX(xlRTTYNAME,MATCH(1,(xlRTTYENDU=1)*(xlRTTYEQCL=$D2216)*(xlRTEQTYPE=$E2216),0))</f>
        <v>NG_HP2</v>
      </c>
      <c r="Y2216" s="7" t="str">
        <f t="array" ref="Y2216">INDEX(xlRTTYNAME,MATCH(1,(xlRTTYENDU=2)*(xlRTTYEQCL=$F2216)*(xlRTEQTYPE=$G2216),0))</f>
        <v>NG_HP2</v>
      </c>
    </row>
    <row r="2217" spans="2:25" x14ac:dyDescent="0.2">
      <c r="B2217" s="5">
        <v>6</v>
      </c>
      <c r="C2217" s="5">
        <v>3</v>
      </c>
      <c r="D2217" s="5">
        <v>11</v>
      </c>
      <c r="E2217" s="31">
        <v>35</v>
      </c>
      <c r="F2217" s="5">
        <v>5</v>
      </c>
      <c r="G2217" s="31">
        <v>16</v>
      </c>
      <c r="H2217" s="97">
        <v>2023</v>
      </c>
      <c r="I2217" s="97">
        <v>2032</v>
      </c>
      <c r="J2217" s="142">
        <v>1.0872999999999999</v>
      </c>
      <c r="K2217" s="142">
        <v>1.0581</v>
      </c>
      <c r="L2217" s="142">
        <v>0.71930000000000005</v>
      </c>
      <c r="M2217" s="142">
        <v>0.97489999999999999</v>
      </c>
      <c r="N2217" s="142">
        <v>0.8044</v>
      </c>
      <c r="O2217" s="142">
        <v>1.0538000000000001</v>
      </c>
      <c r="P2217" s="26">
        <v>7307.543671938728</v>
      </c>
      <c r="Q2217" s="35">
        <f t="array" ref="Q2217">SUM(IF(($S2217&gt;=4)*($C2217='TaxCred&amp;Subs'!$D$114:$D$121)*($H2217='TaxCred&amp;Subs'!$C$114:$C$121)*($H2217&lt;='TaxCred&amp;Subs'!$C$123),'TaxCred&amp;Subs'!$E$114:$E$121,0))</f>
        <v>2500</v>
      </c>
      <c r="R2217" s="143">
        <v>0</v>
      </c>
      <c r="S2217" s="5">
        <v>5</v>
      </c>
      <c r="T2217" s="5" t="s">
        <v>221</v>
      </c>
      <c r="V2217" s="7" t="str">
        <f t="array" ref="V2217">INDEX(xlRTCLNAME,MATCH(1,(xlRTCLENDU=1)*(xlRTCLEQCL=$D2217),0))</f>
        <v>NG_HP</v>
      </c>
      <c r="W2217" s="7" t="str">
        <f t="array" ref="W2217">INDEX(xlRTCLNAME,MATCH(1,(xlRTCLENDU=2)*(xlRTCLEQCL=$F2217),0))</f>
        <v>NG_HP</v>
      </c>
      <c r="X2217" s="7" t="str">
        <f t="array" ref="X2217">INDEX(xlRTTYNAME,MATCH(1,(xlRTTYENDU=1)*(xlRTTYEQCL=$D2217)*(xlRTEQTYPE=$E2217),0))</f>
        <v>NG_HP2</v>
      </c>
      <c r="Y2217" s="7" t="str">
        <f t="array" ref="Y2217">INDEX(xlRTTYNAME,MATCH(1,(xlRTTYENDU=2)*(xlRTTYEQCL=$F2217)*(xlRTEQTYPE=$G2217),0))</f>
        <v>NG_HP2</v>
      </c>
    </row>
    <row r="2218" spans="2:25" x14ac:dyDescent="0.2">
      <c r="B2218" s="5">
        <v>6</v>
      </c>
      <c r="C2218" s="5">
        <v>3</v>
      </c>
      <c r="D2218" s="5">
        <v>11</v>
      </c>
      <c r="E2218" s="31">
        <v>35</v>
      </c>
      <c r="F2218" s="5">
        <v>5</v>
      </c>
      <c r="G2218" s="31">
        <v>16</v>
      </c>
      <c r="H2218" s="97">
        <v>2033</v>
      </c>
      <c r="I2218" s="97">
        <v>2050</v>
      </c>
      <c r="J2218" s="142">
        <v>1.0872999999999999</v>
      </c>
      <c r="K2218" s="142">
        <v>1.0581</v>
      </c>
      <c r="L2218" s="142">
        <v>0.71930000000000005</v>
      </c>
      <c r="M2218" s="142">
        <v>0.97489999999999999</v>
      </c>
      <c r="N2218" s="142">
        <v>0.8044</v>
      </c>
      <c r="O2218" s="142">
        <v>1.0538000000000001</v>
      </c>
      <c r="P2218" s="26">
        <v>7307.543671938728</v>
      </c>
      <c r="Q2218" s="35">
        <f t="array" ref="Q2218">SUM(IF(($S2218&gt;=4)*($C2218='TaxCred&amp;Subs'!$D$114:$D$121)*($H2218='TaxCred&amp;Subs'!$C$114:$C$121)*($H2218&lt;='TaxCred&amp;Subs'!$C$123),'TaxCred&amp;Subs'!$E$114:$E$121,0))</f>
        <v>0</v>
      </c>
      <c r="R2218" s="143">
        <v>0</v>
      </c>
      <c r="S2218" s="5">
        <v>5</v>
      </c>
      <c r="T2218" s="5" t="s">
        <v>221</v>
      </c>
      <c r="V2218" s="7" t="str">
        <f t="array" ref="V2218">INDEX(xlRTCLNAME,MATCH(1,(xlRTCLENDU=1)*(xlRTCLEQCL=$D2218),0))</f>
        <v>NG_HP</v>
      </c>
      <c r="W2218" s="7" t="str">
        <f t="array" ref="W2218">INDEX(xlRTCLNAME,MATCH(1,(xlRTCLENDU=2)*(xlRTCLEQCL=$F2218),0))</f>
        <v>NG_HP</v>
      </c>
      <c r="X2218" s="7" t="str">
        <f t="array" ref="X2218">INDEX(xlRTTYNAME,MATCH(1,(xlRTTYENDU=1)*(xlRTTYEQCL=$D2218)*(xlRTEQTYPE=$E2218),0))</f>
        <v>NG_HP2</v>
      </c>
      <c r="Y2218" s="7" t="str">
        <f t="array" ref="Y2218">INDEX(xlRTTYNAME,MATCH(1,(xlRTTYENDU=2)*(xlRTTYEQCL=$F2218)*(xlRTEQTYPE=$G2218),0))</f>
        <v>NG_HP2</v>
      </c>
    </row>
    <row r="2219" spans="2:25" x14ac:dyDescent="0.2">
      <c r="B2219" s="5">
        <v>7</v>
      </c>
      <c r="C2219" s="5">
        <v>3</v>
      </c>
      <c r="D2219" s="5">
        <v>11</v>
      </c>
      <c r="E2219" s="31">
        <v>35</v>
      </c>
      <c r="F2219" s="5">
        <v>5</v>
      </c>
      <c r="G2219" s="31">
        <v>16</v>
      </c>
      <c r="H2219" s="96">
        <v>2020</v>
      </c>
      <c r="I2219" s="97">
        <v>2022</v>
      </c>
      <c r="J2219" s="142">
        <v>1.0914999999999999</v>
      </c>
      <c r="K2219" s="142">
        <v>1.0496000000000001</v>
      </c>
      <c r="L2219" s="142">
        <v>0.71430000000000005</v>
      </c>
      <c r="M2219" s="142">
        <v>0.97609999999999997</v>
      </c>
      <c r="N2219" s="142">
        <v>0.81759999999999999</v>
      </c>
      <c r="O2219" s="142">
        <v>1.0538000000000001</v>
      </c>
      <c r="P2219" s="26">
        <v>6908.2169984215607</v>
      </c>
      <c r="Q2219" s="35">
        <f t="array" ref="Q2219">SUM(IF(($S2219&gt;=4)*($C2219='TaxCred&amp;Subs'!$D$114:$D$121)*($H2219='TaxCred&amp;Subs'!$C$114:$C$121)*($H2219&lt;='TaxCred&amp;Subs'!$C$123),'TaxCred&amp;Subs'!$E$114:$E$121,0))</f>
        <v>1000</v>
      </c>
      <c r="R2219" s="143">
        <v>0</v>
      </c>
      <c r="S2219" s="5">
        <v>5</v>
      </c>
      <c r="T2219" s="5" t="s">
        <v>221</v>
      </c>
      <c r="V2219" s="7" t="str">
        <f t="array" ref="V2219">INDEX(xlRTCLNAME,MATCH(1,(xlRTCLENDU=1)*(xlRTCLEQCL=$D2219),0))</f>
        <v>NG_HP</v>
      </c>
      <c r="W2219" s="7" t="str">
        <f t="array" ref="W2219">INDEX(xlRTCLNAME,MATCH(1,(xlRTCLENDU=2)*(xlRTCLEQCL=$F2219),0))</f>
        <v>NG_HP</v>
      </c>
      <c r="X2219" s="7" t="str">
        <f t="array" ref="X2219">INDEX(xlRTTYNAME,MATCH(1,(xlRTTYENDU=1)*(xlRTTYEQCL=$D2219)*(xlRTEQTYPE=$E2219),0))</f>
        <v>NG_HP2</v>
      </c>
      <c r="Y2219" s="7" t="str">
        <f t="array" ref="Y2219">INDEX(xlRTTYNAME,MATCH(1,(xlRTTYENDU=2)*(xlRTTYEQCL=$F2219)*(xlRTEQTYPE=$G2219),0))</f>
        <v>NG_HP2</v>
      </c>
    </row>
    <row r="2220" spans="2:25" ht="14.25" customHeight="1" x14ac:dyDescent="0.2">
      <c r="B2220" s="5">
        <v>7</v>
      </c>
      <c r="C2220" s="5">
        <v>3</v>
      </c>
      <c r="D2220" s="5">
        <v>11</v>
      </c>
      <c r="E2220" s="31">
        <v>35</v>
      </c>
      <c r="F2220" s="5">
        <v>5</v>
      </c>
      <c r="G2220" s="31">
        <v>16</v>
      </c>
      <c r="H2220" s="97">
        <v>2023</v>
      </c>
      <c r="I2220" s="97">
        <v>2032</v>
      </c>
      <c r="J2220" s="142">
        <v>1.0914999999999999</v>
      </c>
      <c r="K2220" s="142">
        <v>1.0496000000000001</v>
      </c>
      <c r="L2220" s="142">
        <v>0.71430000000000005</v>
      </c>
      <c r="M2220" s="142">
        <v>0.97609999999999997</v>
      </c>
      <c r="N2220" s="142">
        <v>0.81759999999999999</v>
      </c>
      <c r="O2220" s="142">
        <v>1.0538000000000001</v>
      </c>
      <c r="P2220" s="26">
        <v>6908.2169984215607</v>
      </c>
      <c r="Q2220" s="35">
        <f t="array" ref="Q2220">SUM(IF(($S2220&gt;=4)*($C2220='TaxCred&amp;Subs'!$D$114:$D$121)*($H2220='TaxCred&amp;Subs'!$C$114:$C$121)*($H2220&lt;='TaxCred&amp;Subs'!$C$123),'TaxCred&amp;Subs'!$E$114:$E$121,0))</f>
        <v>2500</v>
      </c>
      <c r="R2220" s="143">
        <v>0</v>
      </c>
      <c r="S2220" s="5">
        <v>5</v>
      </c>
      <c r="T2220" s="5" t="s">
        <v>221</v>
      </c>
      <c r="V2220" s="7" t="str">
        <f t="array" ref="V2220">INDEX(xlRTCLNAME,MATCH(1,(xlRTCLENDU=1)*(xlRTCLEQCL=$D2220),0))</f>
        <v>NG_HP</v>
      </c>
      <c r="W2220" s="7" t="str">
        <f t="array" ref="W2220">INDEX(xlRTCLNAME,MATCH(1,(xlRTCLENDU=2)*(xlRTCLEQCL=$F2220),0))</f>
        <v>NG_HP</v>
      </c>
      <c r="X2220" s="7" t="str">
        <f t="array" ref="X2220">INDEX(xlRTTYNAME,MATCH(1,(xlRTTYENDU=1)*(xlRTTYEQCL=$D2220)*(xlRTEQTYPE=$E2220),0))</f>
        <v>NG_HP2</v>
      </c>
      <c r="Y2220" s="7" t="str">
        <f t="array" ref="Y2220">INDEX(xlRTTYNAME,MATCH(1,(xlRTTYENDU=2)*(xlRTTYEQCL=$F2220)*(xlRTEQTYPE=$G2220),0))</f>
        <v>NG_HP2</v>
      </c>
    </row>
    <row r="2221" spans="2:25" x14ac:dyDescent="0.2">
      <c r="B2221" s="5">
        <v>7</v>
      </c>
      <c r="C2221" s="5">
        <v>3</v>
      </c>
      <c r="D2221" s="5">
        <v>11</v>
      </c>
      <c r="E2221" s="31">
        <v>35</v>
      </c>
      <c r="F2221" s="5">
        <v>5</v>
      </c>
      <c r="G2221" s="31">
        <v>16</v>
      </c>
      <c r="H2221" s="97">
        <v>2033</v>
      </c>
      <c r="I2221" s="97">
        <v>2050</v>
      </c>
      <c r="J2221" s="142">
        <v>1.0914999999999999</v>
      </c>
      <c r="K2221" s="142">
        <v>1.0496000000000001</v>
      </c>
      <c r="L2221" s="142">
        <v>0.71430000000000005</v>
      </c>
      <c r="M2221" s="142">
        <v>0.97609999999999997</v>
      </c>
      <c r="N2221" s="142">
        <v>0.81759999999999999</v>
      </c>
      <c r="O2221" s="142">
        <v>1.0538000000000001</v>
      </c>
      <c r="P2221" s="26">
        <v>6908.2169984215607</v>
      </c>
      <c r="Q2221" s="35">
        <f t="array" ref="Q2221">SUM(IF(($S2221&gt;=4)*($C2221='TaxCred&amp;Subs'!$D$114:$D$121)*($H2221='TaxCred&amp;Subs'!$C$114:$C$121)*($H2221&lt;='TaxCred&amp;Subs'!$C$123),'TaxCred&amp;Subs'!$E$114:$E$121,0))</f>
        <v>0</v>
      </c>
      <c r="R2221" s="143">
        <v>0</v>
      </c>
      <c r="S2221" s="5">
        <v>5</v>
      </c>
      <c r="T2221" s="5" t="s">
        <v>221</v>
      </c>
      <c r="V2221" s="7" t="str">
        <f t="array" ref="V2221">INDEX(xlRTCLNAME,MATCH(1,(xlRTCLENDU=1)*(xlRTCLEQCL=$D2221),0))</f>
        <v>NG_HP</v>
      </c>
      <c r="W2221" s="7" t="str">
        <f t="array" ref="W2221">INDEX(xlRTCLNAME,MATCH(1,(xlRTCLENDU=2)*(xlRTCLEQCL=$F2221),0))</f>
        <v>NG_HP</v>
      </c>
      <c r="X2221" s="7" t="str">
        <f t="array" ref="X2221">INDEX(xlRTTYNAME,MATCH(1,(xlRTTYENDU=1)*(xlRTTYEQCL=$D2221)*(xlRTEQTYPE=$E2221),0))</f>
        <v>NG_HP2</v>
      </c>
      <c r="Y2221" s="7" t="str">
        <f t="array" ref="Y2221">INDEX(xlRTTYNAME,MATCH(1,(xlRTTYENDU=2)*(xlRTTYEQCL=$F2221)*(xlRTEQTYPE=$G2221),0))</f>
        <v>NG_HP2</v>
      </c>
    </row>
    <row r="2222" spans="2:25" x14ac:dyDescent="0.2">
      <c r="B2222" s="5">
        <v>9</v>
      </c>
      <c r="C2222" s="5">
        <v>3</v>
      </c>
      <c r="D2222" s="5">
        <v>11</v>
      </c>
      <c r="E2222" s="31">
        <v>35</v>
      </c>
      <c r="F2222" s="5">
        <v>5</v>
      </c>
      <c r="G2222" s="31">
        <v>16</v>
      </c>
      <c r="H2222" s="96">
        <v>2020</v>
      </c>
      <c r="I2222" s="97">
        <v>2022</v>
      </c>
      <c r="J2222" s="142">
        <v>1.0761000000000001</v>
      </c>
      <c r="K2222" s="142">
        <v>1.0506</v>
      </c>
      <c r="L2222" s="142">
        <v>0.77149999999999996</v>
      </c>
      <c r="M2222" s="142">
        <v>1.0670999999999999</v>
      </c>
      <c r="N2222" s="142">
        <v>0.84670000000000001</v>
      </c>
      <c r="O2222" s="142">
        <v>1.0538000000000001</v>
      </c>
      <c r="P2222" s="26">
        <v>9774.7640285178568</v>
      </c>
      <c r="Q2222" s="35">
        <f t="array" ref="Q2222">SUM(IF(($S2222&gt;=4)*($C2222='TaxCred&amp;Subs'!$D$114:$D$121)*($H2222='TaxCred&amp;Subs'!$C$114:$C$121)*($H2222&lt;='TaxCred&amp;Subs'!$C$123),'TaxCred&amp;Subs'!$E$114:$E$121,0))</f>
        <v>1000</v>
      </c>
      <c r="R2222" s="143">
        <v>0</v>
      </c>
      <c r="S2222" s="5">
        <v>5</v>
      </c>
      <c r="T2222" s="5" t="s">
        <v>221</v>
      </c>
      <c r="V2222" s="7" t="str">
        <f t="array" ref="V2222">INDEX(xlRTCLNAME,MATCH(1,(xlRTCLENDU=1)*(xlRTCLEQCL=$D2222),0))</f>
        <v>NG_HP</v>
      </c>
      <c r="W2222" s="7" t="str">
        <f t="array" ref="W2222">INDEX(xlRTCLNAME,MATCH(1,(xlRTCLENDU=2)*(xlRTCLEQCL=$F2222),0))</f>
        <v>NG_HP</v>
      </c>
      <c r="X2222" s="7" t="str">
        <f t="array" ref="X2222">INDEX(xlRTTYNAME,MATCH(1,(xlRTTYENDU=1)*(xlRTTYEQCL=$D2222)*(xlRTEQTYPE=$E2222),0))</f>
        <v>NG_HP2</v>
      </c>
      <c r="Y2222" s="7" t="str">
        <f t="array" ref="Y2222">INDEX(xlRTTYNAME,MATCH(1,(xlRTTYENDU=2)*(xlRTTYEQCL=$F2222)*(xlRTEQTYPE=$G2222),0))</f>
        <v>NG_HP2</v>
      </c>
    </row>
    <row r="2223" spans="2:25" x14ac:dyDescent="0.2">
      <c r="B2223" s="5">
        <v>9</v>
      </c>
      <c r="C2223" s="5">
        <v>3</v>
      </c>
      <c r="D2223" s="5">
        <v>11</v>
      </c>
      <c r="E2223" s="31">
        <v>35</v>
      </c>
      <c r="F2223" s="5">
        <v>5</v>
      </c>
      <c r="G2223" s="31">
        <v>16</v>
      </c>
      <c r="H2223" s="97">
        <v>2023</v>
      </c>
      <c r="I2223" s="97">
        <v>2032</v>
      </c>
      <c r="J2223" s="142">
        <v>1.0761000000000001</v>
      </c>
      <c r="K2223" s="142">
        <v>1.0506</v>
      </c>
      <c r="L2223" s="142">
        <v>0.77149999999999996</v>
      </c>
      <c r="M2223" s="142">
        <v>1.0670999999999999</v>
      </c>
      <c r="N2223" s="142">
        <v>0.84670000000000001</v>
      </c>
      <c r="O2223" s="142">
        <v>1.0538000000000001</v>
      </c>
      <c r="P2223" s="26">
        <v>9774.7640285178568</v>
      </c>
      <c r="Q2223" s="35">
        <f t="array" ref="Q2223">SUM(IF(($S2223&gt;=4)*($C2223='TaxCred&amp;Subs'!$D$114:$D$121)*($H2223='TaxCred&amp;Subs'!$C$114:$C$121)*($H2223&lt;='TaxCred&amp;Subs'!$C$123),'TaxCred&amp;Subs'!$E$114:$E$121,0))</f>
        <v>2500</v>
      </c>
      <c r="R2223" s="143">
        <v>0</v>
      </c>
      <c r="S2223" s="5">
        <v>5</v>
      </c>
      <c r="T2223" s="5" t="s">
        <v>221</v>
      </c>
      <c r="V2223" s="7" t="str">
        <f t="array" ref="V2223">INDEX(xlRTCLNAME,MATCH(1,(xlRTCLENDU=1)*(xlRTCLEQCL=$D2223),0))</f>
        <v>NG_HP</v>
      </c>
      <c r="W2223" s="7" t="str">
        <f t="array" ref="W2223">INDEX(xlRTCLNAME,MATCH(1,(xlRTCLENDU=2)*(xlRTCLEQCL=$F2223),0))</f>
        <v>NG_HP</v>
      </c>
      <c r="X2223" s="7" t="str">
        <f t="array" ref="X2223">INDEX(xlRTTYNAME,MATCH(1,(xlRTTYENDU=1)*(xlRTTYEQCL=$D2223)*(xlRTEQTYPE=$E2223),0))</f>
        <v>NG_HP2</v>
      </c>
      <c r="Y2223" s="7" t="str">
        <f t="array" ref="Y2223">INDEX(xlRTTYNAME,MATCH(1,(xlRTTYENDU=2)*(xlRTTYEQCL=$F2223)*(xlRTEQTYPE=$G2223),0))</f>
        <v>NG_HP2</v>
      </c>
    </row>
    <row r="2224" spans="2:25" x14ac:dyDescent="0.2">
      <c r="B2224" s="5">
        <v>9</v>
      </c>
      <c r="C2224" s="5">
        <v>3</v>
      </c>
      <c r="D2224" s="5">
        <v>11</v>
      </c>
      <c r="E2224" s="31">
        <v>35</v>
      </c>
      <c r="F2224" s="5">
        <v>5</v>
      </c>
      <c r="G2224" s="31">
        <v>16</v>
      </c>
      <c r="H2224" s="97">
        <v>2033</v>
      </c>
      <c r="I2224" s="97">
        <v>2050</v>
      </c>
      <c r="J2224" s="142">
        <v>1.0761000000000001</v>
      </c>
      <c r="K2224" s="142">
        <v>1.0506</v>
      </c>
      <c r="L2224" s="142">
        <v>0.77149999999999996</v>
      </c>
      <c r="M2224" s="142">
        <v>1.0670999999999999</v>
      </c>
      <c r="N2224" s="142">
        <v>0.84670000000000001</v>
      </c>
      <c r="O2224" s="142">
        <v>1.0538000000000001</v>
      </c>
      <c r="P2224" s="26">
        <v>9774.7640285178568</v>
      </c>
      <c r="Q2224" s="35">
        <f t="array" ref="Q2224">SUM(IF(($S2224&gt;=4)*($C2224='TaxCred&amp;Subs'!$D$114:$D$121)*($H2224='TaxCred&amp;Subs'!$C$114:$C$121)*($H2224&lt;='TaxCred&amp;Subs'!$C$123),'TaxCred&amp;Subs'!$E$114:$E$121,0))</f>
        <v>0</v>
      </c>
      <c r="R2224" s="143">
        <v>0</v>
      </c>
      <c r="S2224" s="5">
        <v>5</v>
      </c>
      <c r="T2224" s="5" t="s">
        <v>221</v>
      </c>
      <c r="V2224" s="7" t="str">
        <f t="array" ref="V2224">INDEX(xlRTCLNAME,MATCH(1,(xlRTCLENDU=1)*(xlRTCLEQCL=$D2224),0))</f>
        <v>NG_HP</v>
      </c>
      <c r="W2224" s="7" t="str">
        <f t="array" ref="W2224">INDEX(xlRTCLNAME,MATCH(1,(xlRTCLENDU=2)*(xlRTCLEQCL=$F2224),0))</f>
        <v>NG_HP</v>
      </c>
      <c r="X2224" s="7" t="str">
        <f t="array" ref="X2224">INDEX(xlRTTYNAME,MATCH(1,(xlRTTYENDU=1)*(xlRTTYEQCL=$D2224)*(xlRTEQTYPE=$E2224),0))</f>
        <v>NG_HP2</v>
      </c>
      <c r="Y2224" s="7" t="str">
        <f t="array" ref="Y2224">INDEX(xlRTTYNAME,MATCH(1,(xlRTTYENDU=2)*(xlRTTYEQCL=$F2224)*(xlRTEQTYPE=$G2224),0))</f>
        <v>NG_HP2</v>
      </c>
    </row>
    <row r="2225" spans="2:25" ht="14.25" customHeight="1" x14ac:dyDescent="0.25">
      <c r="B2225" s="173" t="s">
        <v>460</v>
      </c>
      <c r="C2225" s="174"/>
      <c r="D2225" s="174"/>
      <c r="E2225" s="174"/>
      <c r="F2225" s="174"/>
      <c r="G2225" s="174"/>
      <c r="H2225" s="174"/>
      <c r="I2225" s="174"/>
      <c r="J2225" s="174"/>
      <c r="K2225" s="174"/>
      <c r="L2225" s="174"/>
      <c r="M2225" s="174"/>
      <c r="N2225" s="174"/>
      <c r="O2225" s="174"/>
      <c r="P2225" s="174"/>
      <c r="Q2225" s="174"/>
      <c r="R2225" s="174"/>
      <c r="S2225" s="174"/>
      <c r="T2225" s="174"/>
      <c r="U2225" s="174"/>
      <c r="V2225" s="174"/>
      <c r="W2225" s="174"/>
      <c r="X2225" s="174"/>
      <c r="Y2225" s="174"/>
    </row>
  </sheetData>
  <autoFilter ref="B24:Y2225" xr:uid="{00000000-0001-0000-0300-000000000000}"/>
  <sortState xmlns:xlrd2="http://schemas.microsoft.com/office/spreadsheetml/2017/richdata2" ref="A25:Y2225">
    <sortCondition ref="C25:C2225"/>
    <sortCondition ref="S25:S2225"/>
    <sortCondition ref="D25:D2225"/>
    <sortCondition ref="F25:F2225"/>
    <sortCondition ref="B25:B2225"/>
    <sortCondition ref="E25:E2225"/>
    <sortCondition ref="G25:G2225"/>
    <sortCondition ref="H25:H2225"/>
  </sortState>
  <mergeCells count="6">
    <mergeCell ref="Q20:R20"/>
    <mergeCell ref="B20:G20"/>
    <mergeCell ref="H20:I20"/>
    <mergeCell ref="J20:K20"/>
    <mergeCell ref="L20:M20"/>
    <mergeCell ref="N20:O20"/>
  </mergeCells>
  <conditionalFormatting sqref="A2215">
    <cfRule type="cellIs" dxfId="0" priority="1" operator="equal">
      <formula>TRUE</formula>
    </cfRule>
  </conditionalFormatting>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8168889431442"/>
  </sheetPr>
  <dimension ref="B2:S154"/>
  <sheetViews>
    <sheetView zoomScale="70" zoomScaleNormal="70" workbookViewId="0"/>
  </sheetViews>
  <sheetFormatPr defaultRowHeight="14.25" x14ac:dyDescent="0.2"/>
  <cols>
    <col min="2" max="2" width="38.75" customWidth="1"/>
    <col min="3" max="3" width="17.125" bestFit="1" customWidth="1"/>
    <col min="4" max="4" width="11.75" customWidth="1"/>
    <col min="5" max="5" width="12.875" customWidth="1"/>
    <col min="6" max="6" width="11.375" customWidth="1"/>
    <col min="7" max="7" width="11.5" customWidth="1"/>
    <col min="8" max="8" width="11.875" customWidth="1"/>
    <col min="9" max="9" width="11.5" customWidth="1"/>
    <col min="10" max="10" width="13.625" customWidth="1"/>
    <col min="11" max="11" width="11" customWidth="1"/>
    <col min="12" max="12" width="12.5" customWidth="1"/>
    <col min="13" max="15" width="9.125" bestFit="1" customWidth="1"/>
    <col min="16" max="16" width="13.625" customWidth="1"/>
    <col min="17" max="17" width="7.25" customWidth="1"/>
    <col min="18" max="18" width="7.25" bestFit="1" customWidth="1"/>
    <col min="19" max="19" width="9.5" customWidth="1"/>
  </cols>
  <sheetData>
    <row r="2" spans="2:16" ht="15" x14ac:dyDescent="0.25">
      <c r="B2" s="6" t="s">
        <v>75</v>
      </c>
      <c r="C2" s="80">
        <v>45575</v>
      </c>
    </row>
    <row r="3" spans="2:16" x14ac:dyDescent="0.2">
      <c r="B3" s="30" t="s">
        <v>454</v>
      </c>
    </row>
    <row r="5" spans="2:16" ht="15" x14ac:dyDescent="0.25">
      <c r="B5" s="6" t="s">
        <v>235</v>
      </c>
    </row>
    <row r="6" spans="2:16" x14ac:dyDescent="0.2">
      <c r="B6" s="36" t="s">
        <v>236</v>
      </c>
    </row>
    <row r="9" spans="2:16" ht="15" x14ac:dyDescent="0.25">
      <c r="B9" s="6" t="s">
        <v>448</v>
      </c>
      <c r="C9" s="77"/>
    </row>
    <row r="10" spans="2:16" x14ac:dyDescent="0.2">
      <c r="C10" s="77"/>
      <c r="F10" s="9" t="s">
        <v>101</v>
      </c>
      <c r="G10" s="9" t="s">
        <v>149</v>
      </c>
      <c r="H10" s="9" t="s">
        <v>131</v>
      </c>
      <c r="J10" s="9" t="s">
        <v>101</v>
      </c>
      <c r="K10" s="9" t="s">
        <v>149</v>
      </c>
      <c r="L10" s="9" t="s">
        <v>131</v>
      </c>
      <c r="N10" s="9" t="s">
        <v>134</v>
      </c>
    </row>
    <row r="11" spans="2:16" ht="60.75" thickBot="1" x14ac:dyDescent="0.3">
      <c r="B11" s="47" t="s">
        <v>52</v>
      </c>
      <c r="C11" s="102" t="s">
        <v>238</v>
      </c>
      <c r="D11" s="37" t="s">
        <v>296</v>
      </c>
      <c r="E11" s="37" t="s">
        <v>297</v>
      </c>
      <c r="F11" s="37" t="s">
        <v>255</v>
      </c>
      <c r="G11" s="37" t="s">
        <v>57</v>
      </c>
      <c r="H11" s="37" t="s">
        <v>249</v>
      </c>
      <c r="I11" s="37" t="s">
        <v>250</v>
      </c>
      <c r="J11" s="37" t="s">
        <v>256</v>
      </c>
      <c r="K11" s="37" t="s">
        <v>59</v>
      </c>
      <c r="L11" s="37" t="s">
        <v>251</v>
      </c>
      <c r="M11" s="37" t="s">
        <v>252</v>
      </c>
      <c r="N11" s="37" t="s">
        <v>244</v>
      </c>
    </row>
    <row r="12" spans="2:16" ht="15" thickTop="1" x14ac:dyDescent="0.2">
      <c r="B12" s="122" t="s">
        <v>245</v>
      </c>
      <c r="C12" s="145">
        <v>2020</v>
      </c>
      <c r="D12" s="64" t="str">
        <f>F12&amp;G12</f>
        <v>13</v>
      </c>
      <c r="E12" s="64" t="str">
        <f>J12&amp;K12</f>
        <v>--</v>
      </c>
      <c r="F12" s="39">
        <v>1</v>
      </c>
      <c r="G12" s="39">
        <v>3</v>
      </c>
      <c r="H12" s="39">
        <v>0.95</v>
      </c>
      <c r="I12" s="39" t="s">
        <v>274</v>
      </c>
      <c r="J12" s="39" t="s">
        <v>254</v>
      </c>
      <c r="K12" s="39" t="s">
        <v>254</v>
      </c>
      <c r="L12" s="39" t="s">
        <v>254</v>
      </c>
      <c r="M12" s="39" t="s">
        <v>254</v>
      </c>
      <c r="N12" s="45">
        <v>150</v>
      </c>
    </row>
    <row r="13" spans="2:16" ht="15" thickBot="1" x14ac:dyDescent="0.25">
      <c r="B13" s="122" t="s">
        <v>245</v>
      </c>
      <c r="C13" s="103">
        <v>2022</v>
      </c>
      <c r="D13" s="64" t="str">
        <f>F13&amp;G13</f>
        <v>13</v>
      </c>
      <c r="E13" s="64" t="str">
        <f>J13&amp;K13</f>
        <v>--</v>
      </c>
      <c r="F13" s="39">
        <v>1</v>
      </c>
      <c r="G13" s="39">
        <v>3</v>
      </c>
      <c r="H13" s="39">
        <v>0.95</v>
      </c>
      <c r="I13" s="39" t="s">
        <v>274</v>
      </c>
      <c r="J13" s="39" t="s">
        <v>254</v>
      </c>
      <c r="K13" s="39" t="s">
        <v>254</v>
      </c>
      <c r="L13" s="39" t="s">
        <v>254</v>
      </c>
      <c r="M13" s="39" t="s">
        <v>254</v>
      </c>
      <c r="N13" s="45">
        <v>600</v>
      </c>
    </row>
    <row r="14" spans="2:16" x14ac:dyDescent="0.2">
      <c r="B14" s="123" t="s">
        <v>272</v>
      </c>
      <c r="C14" s="146">
        <v>2020</v>
      </c>
      <c r="D14" s="105" t="str">
        <f t="shared" ref="D14:D46" si="0">F14&amp;G14</f>
        <v>16</v>
      </c>
      <c r="E14" s="105" t="str">
        <f t="shared" ref="E14:E46" si="1">J14&amp;K14</f>
        <v>--</v>
      </c>
      <c r="F14" s="54">
        <v>1</v>
      </c>
      <c r="G14" s="54">
        <v>6</v>
      </c>
      <c r="H14" s="54">
        <v>0.95</v>
      </c>
      <c r="I14" s="54" t="s">
        <v>274</v>
      </c>
      <c r="J14" s="54" t="s">
        <v>254</v>
      </c>
      <c r="K14" s="54" t="s">
        <v>254</v>
      </c>
      <c r="L14" s="53" t="s">
        <v>254</v>
      </c>
      <c r="M14" s="53" t="s">
        <v>254</v>
      </c>
      <c r="N14" s="56">
        <v>150</v>
      </c>
    </row>
    <row r="15" spans="2:16" ht="15" thickBot="1" x14ac:dyDescent="0.25">
      <c r="B15" s="124" t="s">
        <v>272</v>
      </c>
      <c r="C15" s="106">
        <v>2022</v>
      </c>
      <c r="D15" s="107" t="str">
        <f t="shared" ref="D15:D17" si="2">F15&amp;G15</f>
        <v>16</v>
      </c>
      <c r="E15" s="107" t="str">
        <f t="shared" ref="E15:E17" si="3">J15&amp;K15</f>
        <v>--</v>
      </c>
      <c r="F15" s="108">
        <v>1</v>
      </c>
      <c r="G15" s="108">
        <v>6</v>
      </c>
      <c r="H15" s="108">
        <v>0.95</v>
      </c>
      <c r="I15" s="108" t="s">
        <v>274</v>
      </c>
      <c r="J15" s="108" t="s">
        <v>254</v>
      </c>
      <c r="K15" s="108" t="s">
        <v>254</v>
      </c>
      <c r="L15" s="109" t="s">
        <v>254</v>
      </c>
      <c r="M15" s="109" t="s">
        <v>254</v>
      </c>
      <c r="N15" s="110">
        <v>600</v>
      </c>
    </row>
    <row r="16" spans="2:16" x14ac:dyDescent="0.2">
      <c r="B16" s="123" t="s">
        <v>273</v>
      </c>
      <c r="C16" s="146">
        <v>2020</v>
      </c>
      <c r="D16" s="105" t="str">
        <f t="shared" si="2"/>
        <v>17</v>
      </c>
      <c r="E16" s="105" t="str">
        <f t="shared" si="3"/>
        <v>--</v>
      </c>
      <c r="F16" s="54">
        <v>1</v>
      </c>
      <c r="G16" s="54">
        <v>7</v>
      </c>
      <c r="H16" s="54">
        <v>0.85</v>
      </c>
      <c r="I16" s="54" t="s">
        <v>274</v>
      </c>
      <c r="J16" s="54" t="s">
        <v>254</v>
      </c>
      <c r="K16" s="54" t="s">
        <v>254</v>
      </c>
      <c r="L16" s="53" t="s">
        <v>254</v>
      </c>
      <c r="M16" s="53" t="s">
        <v>254</v>
      </c>
      <c r="N16" s="56">
        <v>150</v>
      </c>
      <c r="P16" s="48" t="s">
        <v>462</v>
      </c>
    </row>
    <row r="17" spans="2:15" x14ac:dyDescent="0.2">
      <c r="B17" s="122" t="s">
        <v>273</v>
      </c>
      <c r="C17" s="127">
        <v>2023</v>
      </c>
      <c r="D17" s="128" t="str">
        <f t="shared" si="2"/>
        <v>17</v>
      </c>
      <c r="E17" s="128" t="str">
        <f t="shared" si="3"/>
        <v>--</v>
      </c>
      <c r="F17" s="55">
        <v>1</v>
      </c>
      <c r="G17" s="55">
        <v>7</v>
      </c>
      <c r="H17" s="55">
        <v>0.85</v>
      </c>
      <c r="I17" s="55" t="s">
        <v>274</v>
      </c>
      <c r="J17" s="55" t="s">
        <v>254</v>
      </c>
      <c r="K17" s="55" t="s">
        <v>254</v>
      </c>
      <c r="L17" s="39" t="s">
        <v>254</v>
      </c>
      <c r="M17" s="39" t="s">
        <v>254</v>
      </c>
      <c r="N17" s="45">
        <v>600</v>
      </c>
    </row>
    <row r="18" spans="2:15" ht="15" thickBot="1" x14ac:dyDescent="0.25">
      <c r="B18" s="124" t="s">
        <v>273</v>
      </c>
      <c r="C18" s="106">
        <v>2027</v>
      </c>
      <c r="D18" s="107" t="str">
        <f t="shared" si="0"/>
        <v>17</v>
      </c>
      <c r="E18" s="107" t="str">
        <f t="shared" si="1"/>
        <v>--</v>
      </c>
      <c r="F18" s="108">
        <v>1</v>
      </c>
      <c r="G18" s="108">
        <v>7</v>
      </c>
      <c r="H18" s="133">
        <v>0.9</v>
      </c>
      <c r="I18" s="108" t="s">
        <v>274</v>
      </c>
      <c r="J18" s="108" t="s">
        <v>254</v>
      </c>
      <c r="K18" s="108" t="s">
        <v>254</v>
      </c>
      <c r="L18" s="109" t="s">
        <v>254</v>
      </c>
      <c r="M18" s="109" t="s">
        <v>254</v>
      </c>
      <c r="N18" s="110">
        <v>600</v>
      </c>
    </row>
    <row r="19" spans="2:15" x14ac:dyDescent="0.2">
      <c r="B19" s="125" t="s">
        <v>299</v>
      </c>
      <c r="C19" s="146">
        <v>2020</v>
      </c>
      <c r="D19" s="111" t="str">
        <f t="shared" si="0"/>
        <v>15</v>
      </c>
      <c r="E19" s="111" t="str">
        <f t="shared" si="1"/>
        <v>--</v>
      </c>
      <c r="F19" s="111">
        <v>1</v>
      </c>
      <c r="G19" s="111">
        <v>5</v>
      </c>
      <c r="H19" s="138">
        <v>0.85</v>
      </c>
      <c r="I19" s="111" t="s">
        <v>274</v>
      </c>
      <c r="J19" s="111" t="s">
        <v>254</v>
      </c>
      <c r="K19" s="111" t="s">
        <v>254</v>
      </c>
      <c r="L19" s="112" t="s">
        <v>254</v>
      </c>
      <c r="M19" s="112" t="s">
        <v>254</v>
      </c>
      <c r="N19" s="113">
        <v>150</v>
      </c>
      <c r="O19" s="44" t="s">
        <v>318</v>
      </c>
    </row>
    <row r="20" spans="2:15" x14ac:dyDescent="0.2">
      <c r="B20" s="134" t="s">
        <v>299</v>
      </c>
      <c r="C20" s="127">
        <v>2023</v>
      </c>
      <c r="D20" s="135" t="str">
        <f t="shared" si="0"/>
        <v>15</v>
      </c>
      <c r="E20" s="135" t="str">
        <f t="shared" si="1"/>
        <v>--</v>
      </c>
      <c r="F20" s="135">
        <v>1</v>
      </c>
      <c r="G20" s="135">
        <v>5</v>
      </c>
      <c r="H20" s="139">
        <v>0.85</v>
      </c>
      <c r="I20" s="135" t="s">
        <v>274</v>
      </c>
      <c r="J20" s="135" t="s">
        <v>254</v>
      </c>
      <c r="K20" s="135" t="s">
        <v>254</v>
      </c>
      <c r="L20" s="136" t="s">
        <v>254</v>
      </c>
      <c r="M20" s="136" t="s">
        <v>254</v>
      </c>
      <c r="N20" s="137">
        <v>600</v>
      </c>
      <c r="O20" s="44" t="s">
        <v>318</v>
      </c>
    </row>
    <row r="21" spans="2:15" ht="15" thickBot="1" x14ac:dyDescent="0.25">
      <c r="B21" s="126" t="s">
        <v>299</v>
      </c>
      <c r="C21" s="106">
        <v>2027</v>
      </c>
      <c r="D21" s="114" t="str">
        <f t="shared" ref="D21:D22" si="4">F21&amp;G21</f>
        <v>15</v>
      </c>
      <c r="E21" s="114" t="str">
        <f t="shared" ref="E21:E22" si="5">J21&amp;K21</f>
        <v>--</v>
      </c>
      <c r="F21" s="114">
        <v>1</v>
      </c>
      <c r="G21" s="114">
        <v>5</v>
      </c>
      <c r="H21" s="140">
        <v>0.9</v>
      </c>
      <c r="I21" s="114" t="s">
        <v>274</v>
      </c>
      <c r="J21" s="114" t="s">
        <v>254</v>
      </c>
      <c r="K21" s="114" t="s">
        <v>254</v>
      </c>
      <c r="L21" s="115" t="s">
        <v>254</v>
      </c>
      <c r="M21" s="115" t="s">
        <v>254</v>
      </c>
      <c r="N21" s="116">
        <v>600</v>
      </c>
      <c r="O21" s="44" t="s">
        <v>318</v>
      </c>
    </row>
    <row r="22" spans="2:15" x14ac:dyDescent="0.2">
      <c r="B22" s="123" t="s">
        <v>270</v>
      </c>
      <c r="C22" s="146">
        <v>2020</v>
      </c>
      <c r="D22" s="105" t="str">
        <f t="shared" si="4"/>
        <v>14</v>
      </c>
      <c r="E22" s="105" t="str">
        <f t="shared" si="5"/>
        <v>--</v>
      </c>
      <c r="F22" s="54">
        <v>1</v>
      </c>
      <c r="G22" s="54">
        <v>4</v>
      </c>
      <c r="H22" s="54">
        <v>0.95</v>
      </c>
      <c r="I22" s="54" t="s">
        <v>274</v>
      </c>
      <c r="J22" s="54" t="s">
        <v>254</v>
      </c>
      <c r="K22" s="54" t="s">
        <v>254</v>
      </c>
      <c r="L22" s="53" t="s">
        <v>254</v>
      </c>
      <c r="M22" s="53" t="s">
        <v>254</v>
      </c>
      <c r="N22" s="56">
        <v>150</v>
      </c>
    </row>
    <row r="23" spans="2:15" ht="15" thickBot="1" x14ac:dyDescent="0.25">
      <c r="B23" s="124" t="s">
        <v>270</v>
      </c>
      <c r="C23" s="106">
        <v>2022</v>
      </c>
      <c r="D23" s="107" t="str">
        <f t="shared" si="0"/>
        <v>14</v>
      </c>
      <c r="E23" s="107" t="str">
        <f t="shared" si="1"/>
        <v>--</v>
      </c>
      <c r="F23" s="108">
        <v>1</v>
      </c>
      <c r="G23" s="108">
        <v>4</v>
      </c>
      <c r="H23" s="108">
        <v>0.95</v>
      </c>
      <c r="I23" s="108" t="s">
        <v>274</v>
      </c>
      <c r="J23" s="108" t="s">
        <v>254</v>
      </c>
      <c r="K23" s="108" t="s">
        <v>254</v>
      </c>
      <c r="L23" s="109" t="s">
        <v>254</v>
      </c>
      <c r="M23" s="109" t="s">
        <v>254</v>
      </c>
      <c r="N23" s="110">
        <v>600</v>
      </c>
    </row>
    <row r="24" spans="2:15" x14ac:dyDescent="0.2">
      <c r="B24" s="123" t="s">
        <v>271</v>
      </c>
      <c r="C24" s="146">
        <v>2020</v>
      </c>
      <c r="D24" s="105" t="str">
        <f t="shared" ref="D24:D25" si="6">F24&amp;G24</f>
        <v>18</v>
      </c>
      <c r="E24" s="105" t="str">
        <f t="shared" ref="E24:E25" si="7">J24&amp;K24</f>
        <v>--</v>
      </c>
      <c r="F24" s="54">
        <v>1</v>
      </c>
      <c r="G24" s="54">
        <v>8</v>
      </c>
      <c r="H24" s="54">
        <v>0.87</v>
      </c>
      <c r="I24" s="54" t="s">
        <v>274</v>
      </c>
      <c r="J24" s="54" t="s">
        <v>254</v>
      </c>
      <c r="K24" s="54" t="s">
        <v>254</v>
      </c>
      <c r="L24" s="53" t="s">
        <v>254</v>
      </c>
      <c r="M24" s="53" t="s">
        <v>254</v>
      </c>
      <c r="N24" s="56">
        <v>150</v>
      </c>
    </row>
    <row r="25" spans="2:15" x14ac:dyDescent="0.2">
      <c r="B25" s="122" t="s">
        <v>271</v>
      </c>
      <c r="C25" s="127">
        <v>2023</v>
      </c>
      <c r="D25" s="128" t="str">
        <f t="shared" si="6"/>
        <v>18</v>
      </c>
      <c r="E25" s="128" t="str">
        <f t="shared" si="7"/>
        <v>--</v>
      </c>
      <c r="F25" s="55">
        <v>1</v>
      </c>
      <c r="G25" s="55">
        <v>8</v>
      </c>
      <c r="H25" s="55">
        <v>0.87</v>
      </c>
      <c r="I25" s="55" t="s">
        <v>274</v>
      </c>
      <c r="J25" s="55" t="s">
        <v>254</v>
      </c>
      <c r="K25" s="55" t="s">
        <v>254</v>
      </c>
      <c r="L25" s="39" t="s">
        <v>254</v>
      </c>
      <c r="M25" s="39" t="s">
        <v>254</v>
      </c>
      <c r="N25" s="45">
        <v>600</v>
      </c>
    </row>
    <row r="26" spans="2:15" ht="15" thickBot="1" x14ac:dyDescent="0.25">
      <c r="B26" s="124" t="s">
        <v>271</v>
      </c>
      <c r="C26" s="106">
        <v>2027</v>
      </c>
      <c r="D26" s="107" t="str">
        <f t="shared" si="0"/>
        <v>18</v>
      </c>
      <c r="E26" s="107" t="str">
        <f t="shared" si="1"/>
        <v>--</v>
      </c>
      <c r="F26" s="108">
        <v>1</v>
      </c>
      <c r="G26" s="108">
        <v>8</v>
      </c>
      <c r="H26" s="133">
        <v>0.9</v>
      </c>
      <c r="I26" s="108" t="s">
        <v>274</v>
      </c>
      <c r="J26" s="108" t="s">
        <v>254</v>
      </c>
      <c r="K26" s="108" t="s">
        <v>254</v>
      </c>
      <c r="L26" s="109" t="s">
        <v>254</v>
      </c>
      <c r="M26" s="109" t="s">
        <v>254</v>
      </c>
      <c r="N26" s="110">
        <v>600</v>
      </c>
    </row>
    <row r="27" spans="2:15" ht="28.5" x14ac:dyDescent="0.2">
      <c r="B27" s="165" t="s">
        <v>262</v>
      </c>
      <c r="C27" s="127">
        <v>2020</v>
      </c>
      <c r="D27" s="128" t="str">
        <f t="shared" ref="D27" si="8">F27&amp;G27</f>
        <v>19</v>
      </c>
      <c r="E27" s="127" t="str">
        <f t="shared" ref="E27" si="9">J27&amp;K27</f>
        <v>--</v>
      </c>
      <c r="F27" s="127">
        <v>1</v>
      </c>
      <c r="G27" s="127">
        <v>9</v>
      </c>
      <c r="H27" s="127">
        <v>0.75</v>
      </c>
      <c r="I27" s="127" t="s">
        <v>248</v>
      </c>
      <c r="J27" s="127" t="s">
        <v>254</v>
      </c>
      <c r="K27" s="127" t="s">
        <v>254</v>
      </c>
      <c r="L27" s="103" t="s">
        <v>254</v>
      </c>
      <c r="M27" s="103" t="s">
        <v>254</v>
      </c>
      <c r="N27" s="141">
        <v>300</v>
      </c>
    </row>
    <row r="28" spans="2:15" ht="28.5" x14ac:dyDescent="0.2">
      <c r="B28" s="122" t="s">
        <v>262</v>
      </c>
      <c r="C28" s="127">
        <v>2021</v>
      </c>
      <c r="D28" s="128" t="str">
        <f t="shared" ref="D28:D30" si="10">F28&amp;G28</f>
        <v>19</v>
      </c>
      <c r="E28" s="128" t="str">
        <f t="shared" ref="E28:E30" si="11">J28&amp;K28</f>
        <v>--</v>
      </c>
      <c r="F28" s="55">
        <v>1</v>
      </c>
      <c r="G28" s="55">
        <v>9</v>
      </c>
      <c r="H28" s="55">
        <v>0.75</v>
      </c>
      <c r="I28" s="55" t="s">
        <v>248</v>
      </c>
      <c r="J28" s="55" t="s">
        <v>254</v>
      </c>
      <c r="K28" s="55" t="s">
        <v>254</v>
      </c>
      <c r="L28" s="39" t="s">
        <v>254</v>
      </c>
      <c r="M28" s="39" t="s">
        <v>254</v>
      </c>
      <c r="N28" s="45">
        <v>0</v>
      </c>
      <c r="O28" t="s">
        <v>459</v>
      </c>
    </row>
    <row r="29" spans="2:15" ht="28.5" x14ac:dyDescent="0.2">
      <c r="B29" s="122" t="s">
        <v>262</v>
      </c>
      <c r="C29" s="127">
        <v>2022</v>
      </c>
      <c r="D29" s="128" t="str">
        <f t="shared" si="10"/>
        <v>19</v>
      </c>
      <c r="E29" s="128" t="str">
        <f t="shared" si="11"/>
        <v>--</v>
      </c>
      <c r="F29" s="55">
        <v>1</v>
      </c>
      <c r="G29" s="55">
        <v>9</v>
      </c>
      <c r="H29" s="55">
        <v>0.75</v>
      </c>
      <c r="I29" s="55" t="s">
        <v>248</v>
      </c>
      <c r="J29" s="55" t="s">
        <v>254</v>
      </c>
      <c r="K29" s="55" t="s">
        <v>254</v>
      </c>
      <c r="L29" s="39" t="s">
        <v>254</v>
      </c>
      <c r="M29" s="39" t="s">
        <v>254</v>
      </c>
      <c r="N29" s="45">
        <v>0</v>
      </c>
      <c r="O29" t="s">
        <v>459</v>
      </c>
    </row>
    <row r="30" spans="2:15" ht="28.5" x14ac:dyDescent="0.2">
      <c r="B30" s="122" t="s">
        <v>262</v>
      </c>
      <c r="C30" s="127">
        <v>2023</v>
      </c>
      <c r="D30" s="128" t="str">
        <f t="shared" si="10"/>
        <v>19</v>
      </c>
      <c r="E30" s="128" t="str">
        <f t="shared" si="11"/>
        <v>--</v>
      </c>
      <c r="F30" s="55">
        <v>1</v>
      </c>
      <c r="G30" s="55">
        <v>9</v>
      </c>
      <c r="H30" s="55">
        <v>0.75</v>
      </c>
      <c r="I30" s="55" t="s">
        <v>248</v>
      </c>
      <c r="J30" s="55" t="s">
        <v>254</v>
      </c>
      <c r="K30" s="55" t="s">
        <v>254</v>
      </c>
      <c r="L30" s="39" t="s">
        <v>254</v>
      </c>
      <c r="M30" s="39" t="s">
        <v>254</v>
      </c>
      <c r="N30" s="45">
        <v>2000</v>
      </c>
    </row>
    <row r="31" spans="2:15" ht="29.25" thickBot="1" x14ac:dyDescent="0.25">
      <c r="B31" s="124" t="s">
        <v>262</v>
      </c>
      <c r="C31" s="106">
        <v>2030</v>
      </c>
      <c r="D31" s="107" t="str">
        <f t="shared" si="0"/>
        <v>19</v>
      </c>
      <c r="E31" s="107" t="str">
        <f t="shared" si="1"/>
        <v>--</v>
      </c>
      <c r="F31" s="108">
        <v>1</v>
      </c>
      <c r="G31" s="108">
        <v>9</v>
      </c>
      <c r="H31" s="108">
        <v>0.75</v>
      </c>
      <c r="I31" s="108" t="s">
        <v>248</v>
      </c>
      <c r="J31" s="108" t="s">
        <v>254</v>
      </c>
      <c r="K31" s="108" t="s">
        <v>254</v>
      </c>
      <c r="L31" s="109" t="s">
        <v>254</v>
      </c>
      <c r="M31" s="109" t="s">
        <v>254</v>
      </c>
      <c r="N31" s="110">
        <v>2000</v>
      </c>
    </row>
    <row r="32" spans="2:15" x14ac:dyDescent="0.2">
      <c r="B32" s="123" t="s">
        <v>246</v>
      </c>
      <c r="C32" s="146">
        <v>2020</v>
      </c>
      <c r="D32" s="105" t="str">
        <f t="shared" si="0"/>
        <v>--</v>
      </c>
      <c r="E32" s="105" t="str">
        <f t="shared" si="1"/>
        <v>22</v>
      </c>
      <c r="F32" s="54" t="s">
        <v>254</v>
      </c>
      <c r="G32" s="54" t="s">
        <v>254</v>
      </c>
      <c r="H32" s="54" t="s">
        <v>254</v>
      </c>
      <c r="I32" s="54" t="s">
        <v>254</v>
      </c>
      <c r="J32" s="54">
        <v>2</v>
      </c>
      <c r="K32" s="54">
        <v>2</v>
      </c>
      <c r="L32" s="117">
        <f>16/3.412</f>
        <v>4.6893317702227435</v>
      </c>
      <c r="M32" s="53" t="s">
        <v>294</v>
      </c>
      <c r="N32" s="56">
        <v>300</v>
      </c>
    </row>
    <row r="33" spans="2:15" x14ac:dyDescent="0.2">
      <c r="B33" s="122" t="s">
        <v>246</v>
      </c>
      <c r="C33" s="127">
        <v>2022</v>
      </c>
      <c r="D33" s="128" t="str">
        <f t="shared" si="0"/>
        <v>--</v>
      </c>
      <c r="E33" s="128" t="str">
        <f t="shared" si="1"/>
        <v>22</v>
      </c>
      <c r="F33" s="55" t="s">
        <v>254</v>
      </c>
      <c r="G33" s="55" t="s">
        <v>254</v>
      </c>
      <c r="H33" s="55" t="s">
        <v>254</v>
      </c>
      <c r="I33" s="55" t="s">
        <v>254</v>
      </c>
      <c r="J33" s="55">
        <v>2</v>
      </c>
      <c r="K33" s="55">
        <v>2</v>
      </c>
      <c r="L33" s="131">
        <f t="shared" ref="L33" si="12">16/3.412</f>
        <v>4.6893317702227435</v>
      </c>
      <c r="M33" s="39" t="s">
        <v>294</v>
      </c>
      <c r="N33" s="45">
        <v>2000</v>
      </c>
    </row>
    <row r="34" spans="2:15" ht="15" thickBot="1" x14ac:dyDescent="0.25">
      <c r="B34" s="124" t="s">
        <v>246</v>
      </c>
      <c r="C34" s="106">
        <v>2023</v>
      </c>
      <c r="D34" s="107" t="str">
        <f t="shared" ref="D34" si="13">F34&amp;G34</f>
        <v>--</v>
      </c>
      <c r="E34" s="107" t="str">
        <f t="shared" ref="E34" si="14">J34&amp;K34</f>
        <v>22</v>
      </c>
      <c r="F34" s="108" t="s">
        <v>254</v>
      </c>
      <c r="G34" s="108" t="s">
        <v>254</v>
      </c>
      <c r="H34" s="108" t="s">
        <v>254</v>
      </c>
      <c r="I34" s="108" t="s">
        <v>254</v>
      </c>
      <c r="J34" s="108">
        <v>2</v>
      </c>
      <c r="K34" s="108">
        <v>2</v>
      </c>
      <c r="L34" s="166">
        <f>16/3.412</f>
        <v>4.6893317702227435</v>
      </c>
      <c r="M34" s="109" t="s">
        <v>294</v>
      </c>
      <c r="N34" s="110">
        <v>2000</v>
      </c>
    </row>
    <row r="35" spans="2:15" x14ac:dyDescent="0.2">
      <c r="B35" s="123" t="s">
        <v>257</v>
      </c>
      <c r="C35" s="147">
        <v>2020</v>
      </c>
      <c r="D35" s="76" t="str">
        <f t="shared" si="0"/>
        <v>12</v>
      </c>
      <c r="E35" s="76" t="str">
        <f t="shared" si="1"/>
        <v>23</v>
      </c>
      <c r="F35" s="53">
        <v>1</v>
      </c>
      <c r="G35" s="53">
        <v>2</v>
      </c>
      <c r="H35" s="117">
        <f>8.5/3.412</f>
        <v>2.4912075029308323</v>
      </c>
      <c r="I35" s="53" t="s">
        <v>294</v>
      </c>
      <c r="J35" s="53">
        <v>2</v>
      </c>
      <c r="K35" s="53">
        <v>3</v>
      </c>
      <c r="L35" s="117">
        <f>15/3.412</f>
        <v>4.3962485345838216</v>
      </c>
      <c r="M35" s="53" t="s">
        <v>294</v>
      </c>
      <c r="N35" s="118">
        <f>300/2</f>
        <v>150</v>
      </c>
      <c r="O35" s="44" t="s">
        <v>295</v>
      </c>
    </row>
    <row r="36" spans="2:15" x14ac:dyDescent="0.2">
      <c r="B36" s="122" t="s">
        <v>257</v>
      </c>
      <c r="C36" s="103">
        <v>2022</v>
      </c>
      <c r="D36" s="64" t="str">
        <f t="shared" si="0"/>
        <v>12</v>
      </c>
      <c r="E36" s="64" t="str">
        <f t="shared" si="1"/>
        <v>23</v>
      </c>
      <c r="F36" s="39">
        <v>1</v>
      </c>
      <c r="G36" s="39">
        <v>2</v>
      </c>
      <c r="H36" s="131">
        <f>8.5/3.412</f>
        <v>2.4912075029308323</v>
      </c>
      <c r="I36" s="39" t="s">
        <v>294</v>
      </c>
      <c r="J36" s="39">
        <v>2</v>
      </c>
      <c r="K36" s="39">
        <v>3</v>
      </c>
      <c r="L36" s="131">
        <f>15/3.412</f>
        <v>4.3962485345838216</v>
      </c>
      <c r="M36" s="39" t="s">
        <v>294</v>
      </c>
      <c r="N36" s="132">
        <f>2000/2</f>
        <v>1000</v>
      </c>
    </row>
    <row r="37" spans="2:15" ht="15" thickBot="1" x14ac:dyDescent="0.25">
      <c r="B37" s="124" t="s">
        <v>257</v>
      </c>
      <c r="C37" s="119">
        <v>2023</v>
      </c>
      <c r="D37" s="120" t="str">
        <f t="shared" ref="D37" si="15">F37&amp;G37</f>
        <v>12</v>
      </c>
      <c r="E37" s="120" t="str">
        <f t="shared" ref="E37" si="16">J37&amp;K37</f>
        <v>23</v>
      </c>
      <c r="F37" s="109">
        <v>1</v>
      </c>
      <c r="G37" s="109">
        <v>2</v>
      </c>
      <c r="H37" s="166">
        <f>9.2/3.412</f>
        <v>2.6963657678780772</v>
      </c>
      <c r="I37" s="109" t="s">
        <v>294</v>
      </c>
      <c r="J37" s="109">
        <v>2</v>
      </c>
      <c r="K37" s="109">
        <v>3</v>
      </c>
      <c r="L37" s="166">
        <f>16/3.412</f>
        <v>4.6893317702227435</v>
      </c>
      <c r="M37" s="109" t="s">
        <v>294</v>
      </c>
      <c r="N37" s="121">
        <f>2000/2</f>
        <v>1000</v>
      </c>
    </row>
    <row r="38" spans="2:15" ht="28.5" x14ac:dyDescent="0.2">
      <c r="B38" s="123" t="s">
        <v>258</v>
      </c>
      <c r="C38" s="147">
        <v>2020</v>
      </c>
      <c r="D38" s="76" t="str">
        <f t="shared" si="0"/>
        <v>51</v>
      </c>
      <c r="E38" s="76" t="str">
        <f t="shared" si="1"/>
        <v>--</v>
      </c>
      <c r="F38" s="53">
        <v>5</v>
      </c>
      <c r="G38" s="53">
        <v>1</v>
      </c>
      <c r="H38" s="53">
        <v>0.81</v>
      </c>
      <c r="I38" s="53" t="s">
        <v>253</v>
      </c>
      <c r="J38" s="53" t="s">
        <v>254</v>
      </c>
      <c r="K38" s="53" t="s">
        <v>254</v>
      </c>
      <c r="L38" s="53" t="s">
        <v>254</v>
      </c>
      <c r="M38" s="53" t="s">
        <v>254</v>
      </c>
      <c r="N38" s="56">
        <v>300</v>
      </c>
    </row>
    <row r="39" spans="2:15" ht="28.5" x14ac:dyDescent="0.2">
      <c r="B39" s="122" t="s">
        <v>258</v>
      </c>
      <c r="C39" s="103">
        <v>2022</v>
      </c>
      <c r="D39" s="64" t="str">
        <f t="shared" si="0"/>
        <v>51</v>
      </c>
      <c r="E39" s="64" t="str">
        <f t="shared" si="1"/>
        <v>--</v>
      </c>
      <c r="F39" s="39">
        <v>5</v>
      </c>
      <c r="G39" s="39">
        <v>1</v>
      </c>
      <c r="H39" s="39">
        <v>0.81</v>
      </c>
      <c r="I39" s="39" t="s">
        <v>253</v>
      </c>
      <c r="J39" s="39" t="s">
        <v>254</v>
      </c>
      <c r="K39" s="39" t="s">
        <v>254</v>
      </c>
      <c r="L39" s="39" t="s">
        <v>254</v>
      </c>
      <c r="M39" s="39" t="s">
        <v>254</v>
      </c>
      <c r="N39" s="45">
        <v>600</v>
      </c>
    </row>
    <row r="40" spans="2:15" ht="29.25" thickBot="1" x14ac:dyDescent="0.25">
      <c r="B40" s="124" t="s">
        <v>258</v>
      </c>
      <c r="C40" s="119">
        <v>2023</v>
      </c>
      <c r="D40" s="120" t="str">
        <f t="shared" ref="D40" si="17">F40&amp;G40</f>
        <v>51</v>
      </c>
      <c r="E40" s="120" t="str">
        <f t="shared" ref="E40" si="18">J40&amp;K40</f>
        <v>--</v>
      </c>
      <c r="F40" s="109">
        <v>5</v>
      </c>
      <c r="G40" s="109">
        <v>1</v>
      </c>
      <c r="H40" s="109">
        <v>0.81</v>
      </c>
      <c r="I40" s="109" t="s">
        <v>253</v>
      </c>
      <c r="J40" s="109" t="s">
        <v>254</v>
      </c>
      <c r="K40" s="109" t="s">
        <v>254</v>
      </c>
      <c r="L40" s="109" t="s">
        <v>254</v>
      </c>
      <c r="M40" s="109" t="s">
        <v>254</v>
      </c>
      <c r="N40" s="110">
        <v>600</v>
      </c>
    </row>
    <row r="41" spans="2:15" ht="28.5" x14ac:dyDescent="0.2">
      <c r="B41" s="123" t="s">
        <v>291</v>
      </c>
      <c r="C41" s="147">
        <v>2020</v>
      </c>
      <c r="D41" s="76" t="str">
        <f t="shared" si="0"/>
        <v>54</v>
      </c>
      <c r="E41" s="76" t="str">
        <f t="shared" si="1"/>
        <v>--</v>
      </c>
      <c r="F41" s="53">
        <v>5</v>
      </c>
      <c r="G41" s="53">
        <v>4</v>
      </c>
      <c r="H41" s="53">
        <v>0.81</v>
      </c>
      <c r="I41" s="53" t="s">
        <v>253</v>
      </c>
      <c r="J41" s="53" t="s">
        <v>254</v>
      </c>
      <c r="K41" s="53" t="s">
        <v>254</v>
      </c>
      <c r="L41" s="53" t="s">
        <v>254</v>
      </c>
      <c r="M41" s="53" t="s">
        <v>254</v>
      </c>
      <c r="N41" s="56">
        <v>300</v>
      </c>
    </row>
    <row r="42" spans="2:15" ht="28.5" x14ac:dyDescent="0.2">
      <c r="B42" s="122" t="s">
        <v>291</v>
      </c>
      <c r="C42" s="103">
        <v>2022</v>
      </c>
      <c r="D42" s="64" t="str">
        <f t="shared" si="0"/>
        <v>54</v>
      </c>
      <c r="E42" s="64" t="str">
        <f t="shared" si="1"/>
        <v>--</v>
      </c>
      <c r="F42" s="39">
        <v>5</v>
      </c>
      <c r="G42" s="39">
        <v>4</v>
      </c>
      <c r="H42" s="39">
        <v>0.81</v>
      </c>
      <c r="I42" s="39" t="s">
        <v>253</v>
      </c>
      <c r="J42" s="39" t="s">
        <v>254</v>
      </c>
      <c r="K42" s="39" t="s">
        <v>254</v>
      </c>
      <c r="L42" s="39" t="s">
        <v>254</v>
      </c>
      <c r="M42" s="39" t="s">
        <v>254</v>
      </c>
      <c r="N42" s="45">
        <v>600</v>
      </c>
    </row>
    <row r="43" spans="2:15" ht="29.25" thickBot="1" x14ac:dyDescent="0.25">
      <c r="B43" s="124" t="s">
        <v>291</v>
      </c>
      <c r="C43" s="119">
        <v>2023</v>
      </c>
      <c r="D43" s="120" t="str">
        <f t="shared" ref="D43" si="19">F43&amp;G43</f>
        <v>54</v>
      </c>
      <c r="E43" s="120" t="str">
        <f t="shared" ref="E43" si="20">J43&amp;K43</f>
        <v>--</v>
      </c>
      <c r="F43" s="109">
        <v>5</v>
      </c>
      <c r="G43" s="109">
        <v>4</v>
      </c>
      <c r="H43" s="109">
        <v>0.81</v>
      </c>
      <c r="I43" s="109" t="s">
        <v>253</v>
      </c>
      <c r="J43" s="109" t="s">
        <v>254</v>
      </c>
      <c r="K43" s="109" t="s">
        <v>254</v>
      </c>
      <c r="L43" s="109" t="s">
        <v>254</v>
      </c>
      <c r="M43" s="109" t="s">
        <v>254</v>
      </c>
      <c r="N43" s="110">
        <v>600</v>
      </c>
    </row>
    <row r="44" spans="2:15" ht="28.5" x14ac:dyDescent="0.2">
      <c r="B44" s="123" t="s">
        <v>292</v>
      </c>
      <c r="C44" s="147">
        <v>2020</v>
      </c>
      <c r="D44" s="76" t="str">
        <f t="shared" si="0"/>
        <v>53</v>
      </c>
      <c r="E44" s="76" t="str">
        <f t="shared" si="1"/>
        <v>--</v>
      </c>
      <c r="F44" s="53">
        <v>5</v>
      </c>
      <c r="G44" s="53">
        <v>3</v>
      </c>
      <c r="H44" s="53">
        <v>0.81</v>
      </c>
      <c r="I44" s="53" t="s">
        <v>253</v>
      </c>
      <c r="J44" s="53" t="s">
        <v>254</v>
      </c>
      <c r="K44" s="53" t="s">
        <v>254</v>
      </c>
      <c r="L44" s="53" t="s">
        <v>254</v>
      </c>
      <c r="M44" s="53" t="s">
        <v>254</v>
      </c>
      <c r="N44" s="56">
        <v>300</v>
      </c>
    </row>
    <row r="45" spans="2:15" ht="29.25" thickBot="1" x14ac:dyDescent="0.25">
      <c r="B45" s="124" t="s">
        <v>292</v>
      </c>
      <c r="C45" s="119">
        <v>2022</v>
      </c>
      <c r="D45" s="120" t="str">
        <f t="shared" ref="D45" si="21">F45&amp;G45</f>
        <v>53</v>
      </c>
      <c r="E45" s="120" t="str">
        <f t="shared" ref="E45" si="22">J45&amp;K45</f>
        <v>--</v>
      </c>
      <c r="F45" s="109">
        <v>5</v>
      </c>
      <c r="G45" s="109">
        <v>3</v>
      </c>
      <c r="H45" s="109">
        <v>0.81</v>
      </c>
      <c r="I45" s="109" t="s">
        <v>253</v>
      </c>
      <c r="J45" s="109" t="s">
        <v>254</v>
      </c>
      <c r="K45" s="109" t="s">
        <v>254</v>
      </c>
      <c r="L45" s="109" t="s">
        <v>254</v>
      </c>
      <c r="M45" s="109" t="s">
        <v>254</v>
      </c>
      <c r="N45" s="110">
        <v>600</v>
      </c>
    </row>
    <row r="46" spans="2:15" ht="28.5" x14ac:dyDescent="0.2">
      <c r="B46" s="122" t="s">
        <v>290</v>
      </c>
      <c r="C46" s="148">
        <v>2020</v>
      </c>
      <c r="D46" s="65" t="str">
        <f t="shared" si="0"/>
        <v>52</v>
      </c>
      <c r="E46" s="65" t="str">
        <f t="shared" si="1"/>
        <v>--</v>
      </c>
      <c r="F46" s="50">
        <v>5</v>
      </c>
      <c r="G46" s="50">
        <v>2</v>
      </c>
      <c r="H46" s="192">
        <v>2</v>
      </c>
      <c r="I46" s="39" t="s">
        <v>253</v>
      </c>
      <c r="J46" s="50" t="s">
        <v>254</v>
      </c>
      <c r="K46" s="50" t="s">
        <v>254</v>
      </c>
      <c r="L46" s="39" t="s">
        <v>254</v>
      </c>
      <c r="M46" s="39" t="s">
        <v>254</v>
      </c>
      <c r="N46" s="45">
        <v>300</v>
      </c>
    </row>
    <row r="47" spans="2:15" ht="28.5" x14ac:dyDescent="0.2">
      <c r="B47" s="122" t="s">
        <v>290</v>
      </c>
      <c r="C47" s="104">
        <v>2022</v>
      </c>
      <c r="D47" s="65" t="str">
        <f t="shared" ref="D47" si="23">F47&amp;G47</f>
        <v>52</v>
      </c>
      <c r="E47" s="65" t="str">
        <f t="shared" ref="E47" si="24">J47&amp;K47</f>
        <v>--</v>
      </c>
      <c r="F47" s="50">
        <v>5</v>
      </c>
      <c r="G47" s="50">
        <v>2</v>
      </c>
      <c r="H47" s="193">
        <v>2.2000000000000002</v>
      </c>
      <c r="I47" s="39" t="s">
        <v>253</v>
      </c>
      <c r="J47" s="50" t="s">
        <v>254</v>
      </c>
      <c r="K47" s="50" t="s">
        <v>254</v>
      </c>
      <c r="L47" s="39" t="s">
        <v>254</v>
      </c>
      <c r="M47" s="39" t="s">
        <v>254</v>
      </c>
      <c r="N47" s="137">
        <v>600</v>
      </c>
    </row>
    <row r="49" spans="2:8" x14ac:dyDescent="0.2">
      <c r="B49" s="51" t="s">
        <v>281</v>
      </c>
      <c r="C49" s="27">
        <v>2032</v>
      </c>
    </row>
    <row r="51" spans="2:8" x14ac:dyDescent="0.2">
      <c r="B51" s="48" t="s">
        <v>462</v>
      </c>
    </row>
    <row r="52" spans="2:8" x14ac:dyDescent="0.2">
      <c r="B52" s="36" t="s">
        <v>444</v>
      </c>
    </row>
    <row r="53" spans="2:8" x14ac:dyDescent="0.2">
      <c r="B53" s="36" t="s">
        <v>234</v>
      </c>
    </row>
    <row r="54" spans="2:8" x14ac:dyDescent="0.2">
      <c r="B54" s="49" t="s">
        <v>288</v>
      </c>
    </row>
    <row r="55" spans="2:8" x14ac:dyDescent="0.2">
      <c r="B55" s="48" t="s">
        <v>247</v>
      </c>
    </row>
    <row r="56" spans="2:8" x14ac:dyDescent="0.2">
      <c r="B56" s="36" t="s">
        <v>445</v>
      </c>
      <c r="G56" s="36" t="s">
        <v>449</v>
      </c>
    </row>
    <row r="57" spans="2:8" x14ac:dyDescent="0.2">
      <c r="B57" s="8" t="s">
        <v>277</v>
      </c>
    </row>
    <row r="58" spans="2:8" x14ac:dyDescent="0.2">
      <c r="B58" s="8" t="s">
        <v>446</v>
      </c>
    </row>
    <row r="59" spans="2:8" x14ac:dyDescent="0.2">
      <c r="B59" s="8" t="s">
        <v>276</v>
      </c>
    </row>
    <row r="60" spans="2:8" x14ac:dyDescent="0.2">
      <c r="B60" s="8" t="s">
        <v>287</v>
      </c>
    </row>
    <row r="61" spans="2:8" x14ac:dyDescent="0.2">
      <c r="B61" s="36" t="s">
        <v>453</v>
      </c>
    </row>
    <row r="63" spans="2:8" ht="15" x14ac:dyDescent="0.25">
      <c r="B63" s="6" t="s">
        <v>267</v>
      </c>
    </row>
    <row r="64" spans="2:8" x14ac:dyDescent="0.2">
      <c r="C64" s="9"/>
      <c r="D64" s="9" t="s">
        <v>149</v>
      </c>
      <c r="E64" s="9" t="s">
        <v>101</v>
      </c>
      <c r="F64" s="9" t="s">
        <v>149</v>
      </c>
      <c r="G64" s="9" t="s">
        <v>268</v>
      </c>
      <c r="H64" s="9" t="s">
        <v>268</v>
      </c>
    </row>
    <row r="65" spans="2:10" ht="45.75" thickBot="1" x14ac:dyDescent="0.3">
      <c r="B65" s="47" t="s">
        <v>52</v>
      </c>
      <c r="C65" s="57" t="s">
        <v>238</v>
      </c>
      <c r="D65" s="37" t="s">
        <v>296</v>
      </c>
      <c r="E65" s="37" t="s">
        <v>297</v>
      </c>
      <c r="F65" s="37" t="s">
        <v>255</v>
      </c>
      <c r="G65" s="37" t="s">
        <v>57</v>
      </c>
      <c r="H65" s="37" t="s">
        <v>256</v>
      </c>
      <c r="I65" s="37" t="s">
        <v>59</v>
      </c>
      <c r="J65" s="37" t="s">
        <v>244</v>
      </c>
    </row>
    <row r="66" spans="2:10" ht="15" thickTop="1" x14ac:dyDescent="0.2">
      <c r="B66" s="46" t="s">
        <v>266</v>
      </c>
      <c r="C66" s="58">
        <v>2020</v>
      </c>
      <c r="D66" s="64" t="str">
        <f t="shared" ref="D66" si="25">F66&amp;G66</f>
        <v>110</v>
      </c>
      <c r="E66" s="64" t="str">
        <f t="shared" ref="E66" si="26">H66&amp;I66</f>
        <v>24</v>
      </c>
      <c r="F66" s="39">
        <v>1</v>
      </c>
      <c r="G66" s="39">
        <v>10</v>
      </c>
      <c r="H66" s="39">
        <v>2</v>
      </c>
      <c r="I66" s="39">
        <v>4</v>
      </c>
      <c r="J66" s="40">
        <v>0.26</v>
      </c>
    </row>
    <row r="67" spans="2:10" x14ac:dyDescent="0.2">
      <c r="B67" s="46" t="s">
        <v>266</v>
      </c>
      <c r="C67" s="58">
        <v>2021</v>
      </c>
      <c r="D67" s="64" t="str">
        <f t="shared" ref="D67:D78" si="27">F67&amp;G67</f>
        <v>110</v>
      </c>
      <c r="E67" s="64" t="str">
        <f t="shared" ref="E67:E78" si="28">H67&amp;I67</f>
        <v>24</v>
      </c>
      <c r="F67" s="39">
        <v>1</v>
      </c>
      <c r="G67" s="39">
        <v>10</v>
      </c>
      <c r="H67" s="39">
        <v>2</v>
      </c>
      <c r="I67" s="39">
        <v>4</v>
      </c>
      <c r="J67" s="40">
        <v>0.26</v>
      </c>
    </row>
    <row r="68" spans="2:10" x14ac:dyDescent="0.2">
      <c r="B68" s="46" t="s">
        <v>266</v>
      </c>
      <c r="C68" s="58">
        <v>2022</v>
      </c>
      <c r="D68" s="64" t="str">
        <f t="shared" ref="D68:D77" si="29">F68&amp;G68</f>
        <v>110</v>
      </c>
      <c r="E68" s="64" t="str">
        <f t="shared" ref="E68:E77" si="30">H68&amp;I68</f>
        <v>24</v>
      </c>
      <c r="F68" s="39">
        <v>1</v>
      </c>
      <c r="G68" s="39">
        <v>10</v>
      </c>
      <c r="H68" s="39">
        <v>2</v>
      </c>
      <c r="I68" s="39">
        <v>4</v>
      </c>
      <c r="J68" s="40">
        <v>0.3</v>
      </c>
    </row>
    <row r="69" spans="2:10" x14ac:dyDescent="0.2">
      <c r="B69" s="46" t="s">
        <v>266</v>
      </c>
      <c r="C69" s="58">
        <v>2023</v>
      </c>
      <c r="D69" s="64" t="str">
        <f t="shared" si="29"/>
        <v>110</v>
      </c>
      <c r="E69" s="64" t="str">
        <f t="shared" si="30"/>
        <v>24</v>
      </c>
      <c r="F69" s="39">
        <v>1</v>
      </c>
      <c r="G69" s="39">
        <v>10</v>
      </c>
      <c r="H69" s="39">
        <v>2</v>
      </c>
      <c r="I69" s="39">
        <v>4</v>
      </c>
      <c r="J69" s="40">
        <v>0.3</v>
      </c>
    </row>
    <row r="70" spans="2:10" x14ac:dyDescent="0.2">
      <c r="B70" s="46" t="s">
        <v>266</v>
      </c>
      <c r="C70" s="58">
        <v>2024</v>
      </c>
      <c r="D70" s="64" t="str">
        <f t="shared" si="29"/>
        <v>110</v>
      </c>
      <c r="E70" s="64" t="str">
        <f t="shared" si="30"/>
        <v>24</v>
      </c>
      <c r="F70" s="39">
        <v>1</v>
      </c>
      <c r="G70" s="39">
        <v>10</v>
      </c>
      <c r="H70" s="39">
        <v>2</v>
      </c>
      <c r="I70" s="39">
        <v>4</v>
      </c>
      <c r="J70" s="40">
        <v>0.3</v>
      </c>
    </row>
    <row r="71" spans="2:10" x14ac:dyDescent="0.2">
      <c r="B71" s="46" t="s">
        <v>266</v>
      </c>
      <c r="C71" s="58">
        <v>2025</v>
      </c>
      <c r="D71" s="64" t="str">
        <f t="shared" si="29"/>
        <v>110</v>
      </c>
      <c r="E71" s="64" t="str">
        <f t="shared" si="30"/>
        <v>24</v>
      </c>
      <c r="F71" s="39">
        <v>1</v>
      </c>
      <c r="G71" s="39">
        <v>10</v>
      </c>
      <c r="H71" s="39">
        <v>2</v>
      </c>
      <c r="I71" s="39">
        <v>4</v>
      </c>
      <c r="J71" s="40">
        <v>0.3</v>
      </c>
    </row>
    <row r="72" spans="2:10" x14ac:dyDescent="0.2">
      <c r="B72" s="46" t="s">
        <v>266</v>
      </c>
      <c r="C72" s="58">
        <v>2026</v>
      </c>
      <c r="D72" s="64" t="str">
        <f t="shared" si="29"/>
        <v>110</v>
      </c>
      <c r="E72" s="64" t="str">
        <f t="shared" si="30"/>
        <v>24</v>
      </c>
      <c r="F72" s="39">
        <v>1</v>
      </c>
      <c r="G72" s="39">
        <v>10</v>
      </c>
      <c r="H72" s="39">
        <v>2</v>
      </c>
      <c r="I72" s="39">
        <v>4</v>
      </c>
      <c r="J72" s="40">
        <v>0.3</v>
      </c>
    </row>
    <row r="73" spans="2:10" x14ac:dyDescent="0.2">
      <c r="B73" s="46" t="s">
        <v>266</v>
      </c>
      <c r="C73" s="58">
        <v>2027</v>
      </c>
      <c r="D73" s="64" t="str">
        <f t="shared" si="29"/>
        <v>110</v>
      </c>
      <c r="E73" s="64" t="str">
        <f t="shared" si="30"/>
        <v>24</v>
      </c>
      <c r="F73" s="39">
        <v>1</v>
      </c>
      <c r="G73" s="39">
        <v>10</v>
      </c>
      <c r="H73" s="39">
        <v>2</v>
      </c>
      <c r="I73" s="39">
        <v>4</v>
      </c>
      <c r="J73" s="40">
        <v>0.3</v>
      </c>
    </row>
    <row r="74" spans="2:10" x14ac:dyDescent="0.2">
      <c r="B74" s="46" t="s">
        <v>266</v>
      </c>
      <c r="C74" s="58">
        <v>2028</v>
      </c>
      <c r="D74" s="64" t="str">
        <f t="shared" si="29"/>
        <v>110</v>
      </c>
      <c r="E74" s="64" t="str">
        <f t="shared" si="30"/>
        <v>24</v>
      </c>
      <c r="F74" s="39">
        <v>1</v>
      </c>
      <c r="G74" s="39">
        <v>10</v>
      </c>
      <c r="H74" s="39">
        <v>2</v>
      </c>
      <c r="I74" s="39">
        <v>4</v>
      </c>
      <c r="J74" s="40">
        <v>0.3</v>
      </c>
    </row>
    <row r="75" spans="2:10" x14ac:dyDescent="0.2">
      <c r="B75" s="46" t="s">
        <v>266</v>
      </c>
      <c r="C75" s="58">
        <v>2029</v>
      </c>
      <c r="D75" s="64" t="str">
        <f t="shared" si="29"/>
        <v>110</v>
      </c>
      <c r="E75" s="64" t="str">
        <f t="shared" si="30"/>
        <v>24</v>
      </c>
      <c r="F75" s="39">
        <v>1</v>
      </c>
      <c r="G75" s="39">
        <v>10</v>
      </c>
      <c r="H75" s="39">
        <v>2</v>
      </c>
      <c r="I75" s="39">
        <v>4</v>
      </c>
      <c r="J75" s="40">
        <v>0.3</v>
      </c>
    </row>
    <row r="76" spans="2:10" x14ac:dyDescent="0.2">
      <c r="B76" s="46" t="s">
        <v>266</v>
      </c>
      <c r="C76" s="58">
        <v>2030</v>
      </c>
      <c r="D76" s="64" t="str">
        <f t="shared" si="29"/>
        <v>110</v>
      </c>
      <c r="E76" s="64" t="str">
        <f t="shared" si="30"/>
        <v>24</v>
      </c>
      <c r="F76" s="39">
        <v>1</v>
      </c>
      <c r="G76" s="39">
        <v>10</v>
      </c>
      <c r="H76" s="39">
        <v>2</v>
      </c>
      <c r="I76" s="39">
        <v>4</v>
      </c>
      <c r="J76" s="40">
        <v>0.3</v>
      </c>
    </row>
    <row r="77" spans="2:10" x14ac:dyDescent="0.2">
      <c r="B77" s="46" t="s">
        <v>266</v>
      </c>
      <c r="C77" s="58">
        <v>2031</v>
      </c>
      <c r="D77" s="64" t="str">
        <f t="shared" si="29"/>
        <v>110</v>
      </c>
      <c r="E77" s="64" t="str">
        <f t="shared" si="30"/>
        <v>24</v>
      </c>
      <c r="F77" s="39">
        <v>1</v>
      </c>
      <c r="G77" s="39">
        <v>10</v>
      </c>
      <c r="H77" s="39">
        <v>2</v>
      </c>
      <c r="I77" s="39">
        <v>4</v>
      </c>
      <c r="J77" s="40">
        <v>0.3</v>
      </c>
    </row>
    <row r="78" spans="2:10" x14ac:dyDescent="0.2">
      <c r="B78" s="46" t="s">
        <v>266</v>
      </c>
      <c r="C78" s="58">
        <v>2032</v>
      </c>
      <c r="D78" s="64" t="str">
        <f t="shared" si="27"/>
        <v>110</v>
      </c>
      <c r="E78" s="64" t="str">
        <f t="shared" si="28"/>
        <v>24</v>
      </c>
      <c r="F78" s="39">
        <v>1</v>
      </c>
      <c r="G78" s="39">
        <v>10</v>
      </c>
      <c r="H78" s="39">
        <v>2</v>
      </c>
      <c r="I78" s="39">
        <v>4</v>
      </c>
      <c r="J78" s="40">
        <v>0.3</v>
      </c>
    </row>
    <row r="79" spans="2:10" x14ac:dyDescent="0.2">
      <c r="B79" s="46" t="s">
        <v>266</v>
      </c>
      <c r="C79" s="58">
        <v>2033</v>
      </c>
      <c r="D79" s="64" t="str">
        <f t="shared" ref="D79:D99" si="31">F79&amp;G79</f>
        <v>110</v>
      </c>
      <c r="E79" s="64" t="str">
        <f t="shared" ref="E79:E99" si="32">H79&amp;I79</f>
        <v>24</v>
      </c>
      <c r="F79" s="39">
        <v>1</v>
      </c>
      <c r="G79" s="39">
        <v>10</v>
      </c>
      <c r="H79" s="39">
        <v>2</v>
      </c>
      <c r="I79" s="39">
        <v>4</v>
      </c>
      <c r="J79" s="40">
        <v>0.26</v>
      </c>
    </row>
    <row r="80" spans="2:10" x14ac:dyDescent="0.2">
      <c r="B80" s="46" t="s">
        <v>266</v>
      </c>
      <c r="C80" s="58">
        <v>2034</v>
      </c>
      <c r="D80" s="64" t="str">
        <f t="shared" si="31"/>
        <v>110</v>
      </c>
      <c r="E80" s="64" t="str">
        <f t="shared" si="32"/>
        <v>24</v>
      </c>
      <c r="F80" s="39">
        <v>1</v>
      </c>
      <c r="G80" s="39">
        <v>10</v>
      </c>
      <c r="H80" s="39">
        <v>2</v>
      </c>
      <c r="I80" s="39">
        <v>4</v>
      </c>
      <c r="J80" s="40">
        <v>0.22</v>
      </c>
    </row>
    <row r="81" spans="2:10" ht="15" thickBot="1" x14ac:dyDescent="0.25">
      <c r="B81" s="46" t="s">
        <v>266</v>
      </c>
      <c r="C81" s="58">
        <v>2035</v>
      </c>
      <c r="D81" s="64" t="str">
        <f t="shared" si="31"/>
        <v>110</v>
      </c>
      <c r="E81" s="64" t="str">
        <f t="shared" si="32"/>
        <v>24</v>
      </c>
      <c r="F81" s="39">
        <v>1</v>
      </c>
      <c r="G81" s="39">
        <v>10</v>
      </c>
      <c r="H81" s="39">
        <v>2</v>
      </c>
      <c r="I81" s="39">
        <v>4</v>
      </c>
      <c r="J81" s="99">
        <v>0</v>
      </c>
    </row>
    <row r="82" spans="2:10" x14ac:dyDescent="0.2">
      <c r="B82" s="52" t="s">
        <v>455</v>
      </c>
      <c r="C82" s="63">
        <v>2021</v>
      </c>
      <c r="D82" s="76" t="str">
        <f t="shared" si="31"/>
        <v>19</v>
      </c>
      <c r="E82" s="76" t="str">
        <f t="shared" si="32"/>
        <v>--</v>
      </c>
      <c r="F82" s="53">
        <v>1</v>
      </c>
      <c r="G82" s="53">
        <v>9</v>
      </c>
      <c r="H82" s="54" t="s">
        <v>254</v>
      </c>
      <c r="I82" s="54" t="s">
        <v>254</v>
      </c>
      <c r="J82" s="100">
        <v>0.26</v>
      </c>
    </row>
    <row r="83" spans="2:10" ht="15" thickBot="1" x14ac:dyDescent="0.25">
      <c r="B83" s="167" t="s">
        <v>455</v>
      </c>
      <c r="C83" s="168">
        <v>2022</v>
      </c>
      <c r="D83" s="120" t="str">
        <f t="shared" ref="D83" si="33">F83&amp;G83</f>
        <v>19</v>
      </c>
      <c r="E83" s="120" t="str">
        <f t="shared" ref="E83" si="34">H83&amp;I83</f>
        <v>--</v>
      </c>
      <c r="F83" s="109">
        <v>1</v>
      </c>
      <c r="G83" s="109">
        <v>9</v>
      </c>
      <c r="H83" s="108" t="s">
        <v>254</v>
      </c>
      <c r="I83" s="108" t="s">
        <v>254</v>
      </c>
      <c r="J83" s="169">
        <v>0.26</v>
      </c>
    </row>
    <row r="84" spans="2:10" x14ac:dyDescent="0.2">
      <c r="B84" s="46" t="s">
        <v>261</v>
      </c>
      <c r="C84" s="58">
        <v>2020</v>
      </c>
      <c r="D84" s="64" t="str">
        <f t="shared" si="31"/>
        <v>55</v>
      </c>
      <c r="E84" s="64" t="str">
        <f t="shared" si="32"/>
        <v>--</v>
      </c>
      <c r="F84" s="39">
        <v>5</v>
      </c>
      <c r="G84" s="39">
        <v>5</v>
      </c>
      <c r="H84" s="55" t="s">
        <v>254</v>
      </c>
      <c r="I84" s="55" t="s">
        <v>254</v>
      </c>
      <c r="J84" s="40">
        <v>0.26</v>
      </c>
    </row>
    <row r="85" spans="2:10" x14ac:dyDescent="0.2">
      <c r="B85" s="46" t="s">
        <v>261</v>
      </c>
      <c r="C85" s="58">
        <v>2021</v>
      </c>
      <c r="D85" s="64" t="str">
        <f t="shared" ref="D85:D96" si="35">F85&amp;G85</f>
        <v>55</v>
      </c>
      <c r="E85" s="64" t="str">
        <f t="shared" ref="E85:E96" si="36">H85&amp;I85</f>
        <v>--</v>
      </c>
      <c r="F85" s="39">
        <v>5</v>
      </c>
      <c r="G85" s="39">
        <v>5</v>
      </c>
      <c r="H85" s="55" t="s">
        <v>254</v>
      </c>
      <c r="I85" s="55" t="s">
        <v>254</v>
      </c>
      <c r="J85" s="40">
        <v>0.26</v>
      </c>
    </row>
    <row r="86" spans="2:10" x14ac:dyDescent="0.2">
      <c r="B86" s="46" t="s">
        <v>261</v>
      </c>
      <c r="C86" s="58">
        <v>2022</v>
      </c>
      <c r="D86" s="64" t="str">
        <f t="shared" ref="D86:D95" si="37">F86&amp;G86</f>
        <v>55</v>
      </c>
      <c r="E86" s="64" t="str">
        <f t="shared" ref="E86:E95" si="38">H86&amp;I86</f>
        <v>--</v>
      </c>
      <c r="F86" s="39">
        <v>5</v>
      </c>
      <c r="G86" s="39">
        <v>5</v>
      </c>
      <c r="H86" s="55" t="s">
        <v>254</v>
      </c>
      <c r="I86" s="55" t="s">
        <v>254</v>
      </c>
      <c r="J86" s="40">
        <v>0.3</v>
      </c>
    </row>
    <row r="87" spans="2:10" x14ac:dyDescent="0.2">
      <c r="B87" s="46" t="s">
        <v>261</v>
      </c>
      <c r="C87" s="58">
        <v>2023</v>
      </c>
      <c r="D87" s="64" t="str">
        <f t="shared" si="37"/>
        <v>55</v>
      </c>
      <c r="E87" s="64" t="str">
        <f t="shared" si="38"/>
        <v>--</v>
      </c>
      <c r="F87" s="39">
        <v>5</v>
      </c>
      <c r="G87" s="39">
        <v>5</v>
      </c>
      <c r="H87" s="55" t="s">
        <v>254</v>
      </c>
      <c r="I87" s="55" t="s">
        <v>254</v>
      </c>
      <c r="J87" s="40">
        <v>0.3</v>
      </c>
    </row>
    <row r="88" spans="2:10" x14ac:dyDescent="0.2">
      <c r="B88" s="46" t="s">
        <v>261</v>
      </c>
      <c r="C88" s="58">
        <v>2024</v>
      </c>
      <c r="D88" s="64" t="str">
        <f t="shared" si="37"/>
        <v>55</v>
      </c>
      <c r="E88" s="64" t="str">
        <f t="shared" si="38"/>
        <v>--</v>
      </c>
      <c r="F88" s="39">
        <v>5</v>
      </c>
      <c r="G88" s="39">
        <v>5</v>
      </c>
      <c r="H88" s="55" t="s">
        <v>254</v>
      </c>
      <c r="I88" s="55" t="s">
        <v>254</v>
      </c>
      <c r="J88" s="40">
        <v>0.3</v>
      </c>
    </row>
    <row r="89" spans="2:10" x14ac:dyDescent="0.2">
      <c r="B89" s="46" t="s">
        <v>261</v>
      </c>
      <c r="C89" s="58">
        <v>2025</v>
      </c>
      <c r="D89" s="64" t="str">
        <f t="shared" si="37"/>
        <v>55</v>
      </c>
      <c r="E89" s="64" t="str">
        <f t="shared" si="38"/>
        <v>--</v>
      </c>
      <c r="F89" s="39">
        <v>5</v>
      </c>
      <c r="G89" s="39">
        <v>5</v>
      </c>
      <c r="H89" s="55" t="s">
        <v>254</v>
      </c>
      <c r="I89" s="55" t="s">
        <v>254</v>
      </c>
      <c r="J89" s="40">
        <v>0.3</v>
      </c>
    </row>
    <row r="90" spans="2:10" x14ac:dyDescent="0.2">
      <c r="B90" s="46" t="s">
        <v>261</v>
      </c>
      <c r="C90" s="58">
        <v>2026</v>
      </c>
      <c r="D90" s="64" t="str">
        <f t="shared" si="37"/>
        <v>55</v>
      </c>
      <c r="E90" s="64" t="str">
        <f t="shared" si="38"/>
        <v>--</v>
      </c>
      <c r="F90" s="39">
        <v>5</v>
      </c>
      <c r="G90" s="39">
        <v>5</v>
      </c>
      <c r="H90" s="55" t="s">
        <v>254</v>
      </c>
      <c r="I90" s="55" t="s">
        <v>254</v>
      </c>
      <c r="J90" s="40">
        <v>0.3</v>
      </c>
    </row>
    <row r="91" spans="2:10" x14ac:dyDescent="0.2">
      <c r="B91" s="46" t="s">
        <v>261</v>
      </c>
      <c r="C91" s="58">
        <v>2027</v>
      </c>
      <c r="D91" s="64" t="str">
        <f t="shared" si="37"/>
        <v>55</v>
      </c>
      <c r="E91" s="64" t="str">
        <f t="shared" si="38"/>
        <v>--</v>
      </c>
      <c r="F91" s="39">
        <v>5</v>
      </c>
      <c r="G91" s="39">
        <v>5</v>
      </c>
      <c r="H91" s="55" t="s">
        <v>254</v>
      </c>
      <c r="I91" s="55" t="s">
        <v>254</v>
      </c>
      <c r="J91" s="40">
        <v>0.3</v>
      </c>
    </row>
    <row r="92" spans="2:10" x14ac:dyDescent="0.2">
      <c r="B92" s="46" t="s">
        <v>261</v>
      </c>
      <c r="C92" s="58">
        <v>2028</v>
      </c>
      <c r="D92" s="64" t="str">
        <f t="shared" si="37"/>
        <v>55</v>
      </c>
      <c r="E92" s="64" t="str">
        <f t="shared" si="38"/>
        <v>--</v>
      </c>
      <c r="F92" s="39">
        <v>5</v>
      </c>
      <c r="G92" s="39">
        <v>5</v>
      </c>
      <c r="H92" s="55" t="s">
        <v>254</v>
      </c>
      <c r="I92" s="55" t="s">
        <v>254</v>
      </c>
      <c r="J92" s="40">
        <v>0.3</v>
      </c>
    </row>
    <row r="93" spans="2:10" x14ac:dyDescent="0.2">
      <c r="B93" s="46" t="s">
        <v>261</v>
      </c>
      <c r="C93" s="58">
        <v>2029</v>
      </c>
      <c r="D93" s="64" t="str">
        <f t="shared" si="37"/>
        <v>55</v>
      </c>
      <c r="E93" s="64" t="str">
        <f t="shared" si="38"/>
        <v>--</v>
      </c>
      <c r="F93" s="39">
        <v>5</v>
      </c>
      <c r="G93" s="39">
        <v>5</v>
      </c>
      <c r="H93" s="55" t="s">
        <v>254</v>
      </c>
      <c r="I93" s="55" t="s">
        <v>254</v>
      </c>
      <c r="J93" s="40">
        <v>0.3</v>
      </c>
    </row>
    <row r="94" spans="2:10" x14ac:dyDescent="0.2">
      <c r="B94" s="46" t="s">
        <v>261</v>
      </c>
      <c r="C94" s="58">
        <v>2030</v>
      </c>
      <c r="D94" s="64" t="str">
        <f t="shared" si="37"/>
        <v>55</v>
      </c>
      <c r="E94" s="64" t="str">
        <f t="shared" si="38"/>
        <v>--</v>
      </c>
      <c r="F94" s="39">
        <v>5</v>
      </c>
      <c r="G94" s="39">
        <v>5</v>
      </c>
      <c r="H94" s="55" t="s">
        <v>254</v>
      </c>
      <c r="I94" s="55" t="s">
        <v>254</v>
      </c>
      <c r="J94" s="40">
        <v>0.3</v>
      </c>
    </row>
    <row r="95" spans="2:10" x14ac:dyDescent="0.2">
      <c r="B95" s="46" t="s">
        <v>261</v>
      </c>
      <c r="C95" s="58">
        <v>2031</v>
      </c>
      <c r="D95" s="64" t="str">
        <f t="shared" si="37"/>
        <v>55</v>
      </c>
      <c r="E95" s="64" t="str">
        <f t="shared" si="38"/>
        <v>--</v>
      </c>
      <c r="F95" s="39">
        <v>5</v>
      </c>
      <c r="G95" s="39">
        <v>5</v>
      </c>
      <c r="H95" s="55" t="s">
        <v>254</v>
      </c>
      <c r="I95" s="55" t="s">
        <v>254</v>
      </c>
      <c r="J95" s="40">
        <v>0.3</v>
      </c>
    </row>
    <row r="96" spans="2:10" x14ac:dyDescent="0.2">
      <c r="B96" s="46" t="s">
        <v>261</v>
      </c>
      <c r="C96" s="58">
        <v>2032</v>
      </c>
      <c r="D96" s="64" t="str">
        <f t="shared" si="35"/>
        <v>55</v>
      </c>
      <c r="E96" s="64" t="str">
        <f t="shared" si="36"/>
        <v>--</v>
      </c>
      <c r="F96" s="39">
        <v>5</v>
      </c>
      <c r="G96" s="39">
        <v>5</v>
      </c>
      <c r="H96" s="55" t="s">
        <v>254</v>
      </c>
      <c r="I96" s="55" t="s">
        <v>254</v>
      </c>
      <c r="J96" s="40">
        <v>0.3</v>
      </c>
    </row>
    <row r="97" spans="2:11" x14ac:dyDescent="0.2">
      <c r="B97" s="46" t="s">
        <v>261</v>
      </c>
      <c r="C97" s="58">
        <v>2033</v>
      </c>
      <c r="D97" s="64" t="str">
        <f t="shared" si="31"/>
        <v>55</v>
      </c>
      <c r="E97" s="64" t="str">
        <f t="shared" si="32"/>
        <v>--</v>
      </c>
      <c r="F97" s="39">
        <v>5</v>
      </c>
      <c r="G97" s="39">
        <v>5</v>
      </c>
      <c r="H97" s="55" t="s">
        <v>254</v>
      </c>
      <c r="I97" s="55" t="s">
        <v>254</v>
      </c>
      <c r="J97" s="40">
        <v>0.26</v>
      </c>
    </row>
    <row r="98" spans="2:11" x14ac:dyDescent="0.2">
      <c r="B98" s="46" t="s">
        <v>261</v>
      </c>
      <c r="C98" s="58">
        <v>2034</v>
      </c>
      <c r="D98" s="64" t="str">
        <f t="shared" si="31"/>
        <v>55</v>
      </c>
      <c r="E98" s="64" t="str">
        <f t="shared" si="32"/>
        <v>--</v>
      </c>
      <c r="F98" s="39">
        <v>5</v>
      </c>
      <c r="G98" s="39">
        <v>5</v>
      </c>
      <c r="H98" s="55" t="s">
        <v>254</v>
      </c>
      <c r="I98" s="55" t="s">
        <v>254</v>
      </c>
      <c r="J98" s="40">
        <v>0.22</v>
      </c>
    </row>
    <row r="99" spans="2:11" x14ac:dyDescent="0.2">
      <c r="B99" s="46" t="s">
        <v>261</v>
      </c>
      <c r="C99" s="58">
        <v>2035</v>
      </c>
      <c r="D99" s="64" t="str">
        <f t="shared" si="31"/>
        <v>55</v>
      </c>
      <c r="E99" s="64" t="str">
        <f t="shared" si="32"/>
        <v>--</v>
      </c>
      <c r="F99" s="39">
        <v>5</v>
      </c>
      <c r="G99" s="39">
        <v>5</v>
      </c>
      <c r="H99" s="55" t="s">
        <v>254</v>
      </c>
      <c r="I99" s="55" t="s">
        <v>254</v>
      </c>
      <c r="J99" s="40">
        <v>0</v>
      </c>
    </row>
    <row r="101" spans="2:11" x14ac:dyDescent="0.2">
      <c r="B101" s="36" t="s">
        <v>237</v>
      </c>
    </row>
    <row r="102" spans="2:11" x14ac:dyDescent="0.2">
      <c r="B102" s="49" t="s">
        <v>289</v>
      </c>
    </row>
    <row r="103" spans="2:11" x14ac:dyDescent="0.2">
      <c r="B103" s="48" t="s">
        <v>247</v>
      </c>
    </row>
    <row r="105" spans="2:11" x14ac:dyDescent="0.2">
      <c r="B105" s="8" t="s">
        <v>264</v>
      </c>
    </row>
    <row r="106" spans="2:11" x14ac:dyDescent="0.2">
      <c r="B106" s="8" t="s">
        <v>265</v>
      </c>
    </row>
    <row r="107" spans="2:11" x14ac:dyDescent="0.2">
      <c r="B107" s="8" t="s">
        <v>275</v>
      </c>
    </row>
    <row r="108" spans="2:11" x14ac:dyDescent="0.2">
      <c r="B108" s="8" t="s">
        <v>351</v>
      </c>
    </row>
    <row r="109" spans="2:11" x14ac:dyDescent="0.2">
      <c r="B109" s="202" t="s">
        <v>491</v>
      </c>
      <c r="C109" s="42"/>
      <c r="D109" s="42"/>
      <c r="E109" s="42"/>
      <c r="F109" s="42"/>
      <c r="G109" s="42"/>
      <c r="H109" s="42"/>
      <c r="I109" s="42"/>
      <c r="J109" s="42"/>
      <c r="K109" s="42"/>
    </row>
    <row r="111" spans="2:11" ht="15" x14ac:dyDescent="0.25">
      <c r="B111" s="6" t="s">
        <v>278</v>
      </c>
    </row>
    <row r="112" spans="2:11" x14ac:dyDescent="0.2">
      <c r="C112" s="9"/>
      <c r="D112" s="9" t="s">
        <v>105</v>
      </c>
      <c r="E112" s="9" t="s">
        <v>119</v>
      </c>
    </row>
    <row r="113" spans="2:6" ht="30.75" thickBot="1" x14ac:dyDescent="0.3">
      <c r="B113" s="47" t="s">
        <v>52</v>
      </c>
      <c r="C113" s="37" t="s">
        <v>238</v>
      </c>
      <c r="D113" s="37" t="s">
        <v>56</v>
      </c>
      <c r="E113" s="37" t="s">
        <v>244</v>
      </c>
    </row>
    <row r="114" spans="2:6" ht="15" thickTop="1" x14ac:dyDescent="0.2">
      <c r="B114" s="46" t="s">
        <v>282</v>
      </c>
      <c r="C114" s="149">
        <v>2020</v>
      </c>
      <c r="D114" s="39">
        <v>1</v>
      </c>
      <c r="E114" s="56">
        <v>2000</v>
      </c>
    </row>
    <row r="115" spans="2:6" x14ac:dyDescent="0.2">
      <c r="B115" s="46" t="s">
        <v>282</v>
      </c>
      <c r="C115" s="39">
        <v>2023</v>
      </c>
      <c r="D115" s="39">
        <v>1</v>
      </c>
      <c r="E115" s="45">
        <v>2500</v>
      </c>
    </row>
    <row r="116" spans="2:6" ht="15" thickBot="1" x14ac:dyDescent="0.25">
      <c r="B116" s="234" t="s">
        <v>282</v>
      </c>
      <c r="C116" s="235">
        <v>2029</v>
      </c>
      <c r="D116" s="235">
        <v>1</v>
      </c>
      <c r="E116" s="236">
        <v>2500</v>
      </c>
      <c r="F116" s="8" t="s">
        <v>507</v>
      </c>
    </row>
    <row r="117" spans="2:6" x14ac:dyDescent="0.2">
      <c r="B117" s="52" t="s">
        <v>456</v>
      </c>
      <c r="C117" s="53">
        <v>2023</v>
      </c>
      <c r="D117" s="53">
        <v>2</v>
      </c>
      <c r="E117" s="56">
        <v>500</v>
      </c>
    </row>
    <row r="118" spans="2:6" ht="15" thickBot="1" x14ac:dyDescent="0.25">
      <c r="B118" s="237" t="s">
        <v>456</v>
      </c>
      <c r="C118" s="238">
        <v>2029</v>
      </c>
      <c r="D118" s="238">
        <v>2</v>
      </c>
      <c r="E118" s="236">
        <v>500</v>
      </c>
      <c r="F118" s="8" t="s">
        <v>507</v>
      </c>
    </row>
    <row r="119" spans="2:6" x14ac:dyDescent="0.2">
      <c r="B119" s="52" t="s">
        <v>283</v>
      </c>
      <c r="C119" s="150">
        <v>2020</v>
      </c>
      <c r="D119" s="53">
        <v>3</v>
      </c>
      <c r="E119" s="56">
        <v>1000</v>
      </c>
    </row>
    <row r="120" spans="2:6" x14ac:dyDescent="0.2">
      <c r="B120" s="46" t="s">
        <v>283</v>
      </c>
      <c r="C120" s="39">
        <v>2023</v>
      </c>
      <c r="D120" s="39">
        <v>3</v>
      </c>
      <c r="E120" s="45">
        <v>2500</v>
      </c>
    </row>
    <row r="121" spans="2:6" x14ac:dyDescent="0.2">
      <c r="B121" s="234" t="s">
        <v>283</v>
      </c>
      <c r="C121" s="235">
        <v>2029</v>
      </c>
      <c r="D121" s="235">
        <v>3</v>
      </c>
      <c r="E121" s="239">
        <v>2500</v>
      </c>
      <c r="F121" s="8" t="s">
        <v>507</v>
      </c>
    </row>
    <row r="123" spans="2:6" x14ac:dyDescent="0.2">
      <c r="B123" s="51" t="s">
        <v>281</v>
      </c>
      <c r="C123" s="27">
        <v>2032</v>
      </c>
    </row>
    <row r="125" spans="2:6" x14ac:dyDescent="0.2">
      <c r="B125" s="36" t="s">
        <v>444</v>
      </c>
    </row>
    <row r="126" spans="2:6" x14ac:dyDescent="0.2">
      <c r="B126" s="36" t="s">
        <v>279</v>
      </c>
    </row>
    <row r="127" spans="2:6" x14ac:dyDescent="0.2">
      <c r="B127" s="36" t="s">
        <v>280</v>
      </c>
    </row>
    <row r="128" spans="2:6" x14ac:dyDescent="0.2">
      <c r="B128" s="36" t="s">
        <v>447</v>
      </c>
    </row>
    <row r="129" spans="2:19" x14ac:dyDescent="0.2">
      <c r="B129" s="8" t="s">
        <v>285</v>
      </c>
    </row>
    <row r="130" spans="2:19" x14ac:dyDescent="0.2">
      <c r="B130" s="8" t="s">
        <v>284</v>
      </c>
    </row>
    <row r="131" spans="2:19" x14ac:dyDescent="0.2">
      <c r="B131" s="8" t="s">
        <v>286</v>
      </c>
    </row>
    <row r="134" spans="2:19" ht="15" x14ac:dyDescent="0.25">
      <c r="B134" s="6" t="s">
        <v>259</v>
      </c>
    </row>
    <row r="136" spans="2:19" ht="15" customHeight="1" x14ac:dyDescent="0.2">
      <c r="F136" s="9" t="s">
        <v>102</v>
      </c>
      <c r="G136" s="9" t="s">
        <v>123</v>
      </c>
      <c r="H136" s="9" t="s">
        <v>102</v>
      </c>
      <c r="I136" s="9" t="s">
        <v>123</v>
      </c>
      <c r="J136" s="9" t="s">
        <v>148</v>
      </c>
      <c r="K136" s="247" t="s">
        <v>233</v>
      </c>
      <c r="L136" s="248"/>
      <c r="M136" s="248"/>
      <c r="N136" s="248"/>
      <c r="O136" s="248"/>
      <c r="P136" s="248"/>
      <c r="Q136" s="248"/>
      <c r="R136" s="248"/>
      <c r="S136" s="249"/>
    </row>
    <row r="137" spans="2:19" ht="45.75" thickBot="1" x14ac:dyDescent="0.3">
      <c r="B137" s="68" t="s">
        <v>232</v>
      </c>
      <c r="C137" s="71" t="s">
        <v>296</v>
      </c>
      <c r="D137" s="72" t="s">
        <v>297</v>
      </c>
      <c r="E137" s="72" t="s">
        <v>298</v>
      </c>
      <c r="F137" s="66" t="s">
        <v>255</v>
      </c>
      <c r="G137" s="66" t="s">
        <v>57</v>
      </c>
      <c r="H137" s="66" t="s">
        <v>256</v>
      </c>
      <c r="I137" s="66" t="s">
        <v>59</v>
      </c>
      <c r="J137" s="67" t="s">
        <v>14</v>
      </c>
      <c r="K137" s="217">
        <v>1</v>
      </c>
      <c r="L137" s="218">
        <v>2</v>
      </c>
      <c r="M137" s="218">
        <v>3</v>
      </c>
      <c r="N137" s="218">
        <v>4</v>
      </c>
      <c r="O137" s="218">
        <v>5</v>
      </c>
      <c r="P137" s="218">
        <v>6</v>
      </c>
      <c r="Q137" s="218">
        <v>7</v>
      </c>
      <c r="R137" s="218">
        <v>8</v>
      </c>
      <c r="S137" s="219">
        <v>9</v>
      </c>
    </row>
    <row r="138" spans="2:19" x14ac:dyDescent="0.2">
      <c r="B138" s="205" t="s">
        <v>492</v>
      </c>
      <c r="C138" s="206" t="str">
        <f>F138&amp;G138</f>
        <v>31</v>
      </c>
      <c r="D138" s="207" t="str">
        <f>H138&amp;I138</f>
        <v>--</v>
      </c>
      <c r="E138" s="207" t="str">
        <f>F138&amp;G138&amp;J138</f>
        <v>31CL_WASH_F</v>
      </c>
      <c r="F138" s="208">
        <v>3</v>
      </c>
      <c r="G138" s="208">
        <v>1</v>
      </c>
      <c r="H138" s="209" t="s">
        <v>254</v>
      </c>
      <c r="I138" s="209" t="s">
        <v>254</v>
      </c>
      <c r="J138" s="209" t="s">
        <v>494</v>
      </c>
      <c r="K138" s="220">
        <v>7.8903531721745288E-2</v>
      </c>
      <c r="L138" s="221">
        <v>3.0009568259813848E-2</v>
      </c>
      <c r="M138" s="221">
        <v>2.9914571284708848E-2</v>
      </c>
      <c r="N138" s="221">
        <v>1.5109360063410824E-2</v>
      </c>
      <c r="O138" s="221">
        <v>2.6622939072233551E-2</v>
      </c>
      <c r="P138" s="221">
        <v>3.3951647927180868E-2</v>
      </c>
      <c r="Q138" s="221">
        <v>4.4433072443568852E-2</v>
      </c>
      <c r="R138" s="221">
        <v>3.5868895995433872E-2</v>
      </c>
      <c r="S138" s="222">
        <v>7.0795117311045541E-2</v>
      </c>
    </row>
    <row r="139" spans="2:19" x14ac:dyDescent="0.2">
      <c r="B139" s="33" t="s">
        <v>493</v>
      </c>
      <c r="C139" s="203" t="str">
        <f>F139&amp;G139</f>
        <v>31</v>
      </c>
      <c r="D139" s="204" t="str">
        <f>H139&amp;I139</f>
        <v>--</v>
      </c>
      <c r="E139" s="204" t="str">
        <f>F139&amp;G139&amp;J139</f>
        <v>31CL_WASH_T</v>
      </c>
      <c r="F139" s="26">
        <v>3</v>
      </c>
      <c r="G139" s="26">
        <v>1</v>
      </c>
      <c r="H139" s="61" t="s">
        <v>254</v>
      </c>
      <c r="I139" s="61" t="s">
        <v>254</v>
      </c>
      <c r="J139" s="216" t="s">
        <v>495</v>
      </c>
      <c r="K139" s="210">
        <v>9.8629414652181613E-2</v>
      </c>
      <c r="L139" s="211">
        <v>3.7511960324767307E-2</v>
      </c>
      <c r="M139" s="211">
        <v>3.7393214105886058E-2</v>
      </c>
      <c r="N139" s="211">
        <v>1.8886700079263529E-2</v>
      </c>
      <c r="O139" s="211">
        <v>3.3278673840291935E-2</v>
      </c>
      <c r="P139" s="211">
        <v>4.2439559908976084E-2</v>
      </c>
      <c r="Q139" s="211">
        <v>5.5541340554461062E-2</v>
      </c>
      <c r="R139" s="211">
        <v>4.4836119994292344E-2</v>
      </c>
      <c r="S139" s="212">
        <v>8.8493896638806926E-2</v>
      </c>
    </row>
    <row r="140" spans="2:19" x14ac:dyDescent="0.2">
      <c r="B140" s="33" t="s">
        <v>330</v>
      </c>
      <c r="C140" s="69" t="str">
        <f t="shared" ref="C140:C151" si="39">F140&amp;G140</f>
        <v>81</v>
      </c>
      <c r="D140" s="73" t="str">
        <f t="shared" ref="D140:D151" si="40">H140&amp;I140</f>
        <v>--</v>
      </c>
      <c r="E140" s="73" t="str">
        <f t="shared" ref="E140:E151" si="41">F140&amp;G140&amp;J140</f>
        <v>81REFR_TF</v>
      </c>
      <c r="F140" s="26">
        <v>8</v>
      </c>
      <c r="G140" s="26">
        <v>1</v>
      </c>
      <c r="H140" s="61" t="s">
        <v>254</v>
      </c>
      <c r="I140" s="61" t="s">
        <v>254</v>
      </c>
      <c r="J140" s="216" t="s">
        <v>466</v>
      </c>
      <c r="K140" s="210">
        <v>1.08366121144318E-2</v>
      </c>
      <c r="L140" s="211">
        <v>5.0679274221226943E-2</v>
      </c>
      <c r="M140" s="211">
        <v>4.4531804435116576E-2</v>
      </c>
      <c r="N140" s="211">
        <v>2.7616973902845513E-2</v>
      </c>
      <c r="O140" s="211">
        <v>5.7318947250629471E-2</v>
      </c>
      <c r="P140" s="211">
        <v>8.3418365369643227E-2</v>
      </c>
      <c r="Q140" s="211">
        <v>9.3343456905883391E-3</v>
      </c>
      <c r="R140" s="211">
        <v>3.8207569722136465E-2</v>
      </c>
      <c r="S140" s="212">
        <v>0.10906734656523648</v>
      </c>
    </row>
    <row r="141" spans="2:19" x14ac:dyDescent="0.2">
      <c r="B141" s="33" t="s">
        <v>331</v>
      </c>
      <c r="C141" s="69" t="str">
        <f t="shared" si="39"/>
        <v>81</v>
      </c>
      <c r="D141" s="73" t="str">
        <f t="shared" si="40"/>
        <v>--</v>
      </c>
      <c r="E141" s="73" t="str">
        <f t="shared" si="41"/>
        <v>81REFR_SF</v>
      </c>
      <c r="F141" s="26">
        <v>8</v>
      </c>
      <c r="G141" s="26">
        <v>1</v>
      </c>
      <c r="H141" s="61" t="s">
        <v>254</v>
      </c>
      <c r="I141" s="61" t="s">
        <v>254</v>
      </c>
      <c r="J141" s="216" t="s">
        <v>467</v>
      </c>
      <c r="K141" s="210">
        <v>5.6026021816109979E-3</v>
      </c>
      <c r="L141" s="211">
        <v>2.6201529529341822E-2</v>
      </c>
      <c r="M141" s="211">
        <v>2.3023245830400406E-2</v>
      </c>
      <c r="N141" s="211">
        <v>1.4278163378341898E-2</v>
      </c>
      <c r="O141" s="211">
        <v>2.9634285653386664E-2</v>
      </c>
      <c r="P141" s="211">
        <v>4.312786236797881E-2</v>
      </c>
      <c r="Q141" s="211">
        <v>4.8259202209844469E-3</v>
      </c>
      <c r="R141" s="211">
        <v>1.9753573461784839E-2</v>
      </c>
      <c r="S141" s="212">
        <v>5.6388560128965801E-2</v>
      </c>
    </row>
    <row r="142" spans="2:19" x14ac:dyDescent="0.2">
      <c r="B142" s="33" t="s">
        <v>332</v>
      </c>
      <c r="C142" s="69" t="str">
        <f t="shared" si="39"/>
        <v>81</v>
      </c>
      <c r="D142" s="73" t="str">
        <f t="shared" si="40"/>
        <v>--</v>
      </c>
      <c r="E142" s="73" t="str">
        <f t="shared" si="41"/>
        <v>81REFR_BF</v>
      </c>
      <c r="F142" s="26">
        <v>8</v>
      </c>
      <c r="G142" s="26">
        <v>1</v>
      </c>
      <c r="H142" s="61" t="s">
        <v>254</v>
      </c>
      <c r="I142" s="61" t="s">
        <v>254</v>
      </c>
      <c r="J142" s="216" t="s">
        <v>468</v>
      </c>
      <c r="K142" s="210">
        <v>8.8557260289980292E-3</v>
      </c>
      <c r="L142" s="211">
        <v>4.1415320868959653E-2</v>
      </c>
      <c r="M142" s="211">
        <v>3.6391582119020001E-2</v>
      </c>
      <c r="N142" s="211">
        <v>2.2568709856088807E-2</v>
      </c>
      <c r="O142" s="211">
        <v>4.6841290226320859E-2</v>
      </c>
      <c r="P142" s="211">
        <v>6.8169846968740705E-2</v>
      </c>
      <c r="Q142" s="211">
        <v>7.628067446072191E-3</v>
      </c>
      <c r="R142" s="211">
        <v>3.1223390310563131E-2</v>
      </c>
      <c r="S142" s="212">
        <v>8.9130304719978196E-2</v>
      </c>
    </row>
    <row r="143" spans="2:19" x14ac:dyDescent="0.2">
      <c r="B143" s="33" t="s">
        <v>257</v>
      </c>
      <c r="C143" s="69" t="str">
        <f t="shared" si="39"/>
        <v>12</v>
      </c>
      <c r="D143" s="73" t="str">
        <f t="shared" si="40"/>
        <v>23</v>
      </c>
      <c r="E143" s="73" t="str">
        <f t="shared" si="41"/>
        <v>12-</v>
      </c>
      <c r="F143" s="26">
        <v>1</v>
      </c>
      <c r="G143" s="26">
        <v>2</v>
      </c>
      <c r="H143" s="26">
        <v>2</v>
      </c>
      <c r="I143" s="26">
        <v>3</v>
      </c>
      <c r="J143" s="61" t="s">
        <v>254</v>
      </c>
      <c r="K143" s="210">
        <v>0.14438004505696533</v>
      </c>
      <c r="L143" s="211">
        <v>5.2308320104651057E-2</v>
      </c>
      <c r="M143" s="211">
        <v>7.909809503929438E-2</v>
      </c>
      <c r="N143" s="211">
        <v>4.8243331937849444E-2</v>
      </c>
      <c r="O143" s="211">
        <v>2.1823416408226066E-2</v>
      </c>
      <c r="P143" s="211">
        <v>0</v>
      </c>
      <c r="Q143" s="211">
        <v>0.19363393305116941</v>
      </c>
      <c r="R143" s="211">
        <v>4.6149189637123021E-2</v>
      </c>
      <c r="S143" s="212">
        <v>0.11103573231860162</v>
      </c>
    </row>
    <row r="144" spans="2:19" x14ac:dyDescent="0.2">
      <c r="B144" s="33" t="s">
        <v>246</v>
      </c>
      <c r="C144" s="69" t="str">
        <f t="shared" si="39"/>
        <v>--</v>
      </c>
      <c r="D144" s="73" t="str">
        <f t="shared" si="40"/>
        <v>22</v>
      </c>
      <c r="E144" s="73" t="str">
        <f t="shared" si="41"/>
        <v>---</v>
      </c>
      <c r="F144" s="61" t="s">
        <v>254</v>
      </c>
      <c r="G144" s="61" t="s">
        <v>254</v>
      </c>
      <c r="H144" s="26">
        <v>2</v>
      </c>
      <c r="I144" s="26">
        <v>2</v>
      </c>
      <c r="J144" s="61" t="s">
        <v>254</v>
      </c>
      <c r="K144" s="210">
        <v>3.5792309907591191E-2</v>
      </c>
      <c r="L144" s="211">
        <v>4.1907428619678083E-2</v>
      </c>
      <c r="M144" s="211">
        <v>3.42173123741846E-2</v>
      </c>
      <c r="N144" s="211">
        <v>2.9004265288572702E-2</v>
      </c>
      <c r="O144" s="211">
        <v>2.3702738570742295E-2</v>
      </c>
      <c r="P144" s="211">
        <v>8.1782652176976105E-3</v>
      </c>
      <c r="Q144" s="211">
        <v>0.11062255586700603</v>
      </c>
      <c r="R144" s="211">
        <v>3.1100273968020144E-2</v>
      </c>
      <c r="S144" s="212">
        <v>6.2743789254878751E-2</v>
      </c>
    </row>
    <row r="145" spans="2:19" x14ac:dyDescent="0.2">
      <c r="B145" s="33" t="s">
        <v>266</v>
      </c>
      <c r="C145" s="69" t="str">
        <f t="shared" si="39"/>
        <v>110</v>
      </c>
      <c r="D145" s="73" t="str">
        <f t="shared" si="40"/>
        <v>24</v>
      </c>
      <c r="E145" s="73" t="str">
        <f t="shared" si="41"/>
        <v>110-</v>
      </c>
      <c r="F145" s="26">
        <v>1</v>
      </c>
      <c r="G145" s="26">
        <v>10</v>
      </c>
      <c r="H145" s="26">
        <v>2</v>
      </c>
      <c r="I145" s="26">
        <v>4</v>
      </c>
      <c r="J145" s="61" t="s">
        <v>254</v>
      </c>
      <c r="K145" s="210">
        <v>0.24791528444300298</v>
      </c>
      <c r="L145" s="211">
        <v>0.10229633132286171</v>
      </c>
      <c r="M145" s="211">
        <v>8.0527474114479511E-2</v>
      </c>
      <c r="N145" s="211">
        <v>6.4450182130189118E-2</v>
      </c>
      <c r="O145" s="211">
        <v>6.9750564484911667E-2</v>
      </c>
      <c r="P145" s="211">
        <v>8.8151116139519856E-2</v>
      </c>
      <c r="Q145" s="211">
        <v>3.6942943869022242E-2</v>
      </c>
      <c r="R145" s="211">
        <v>5.0275240989824936E-2</v>
      </c>
      <c r="S145" s="212">
        <v>2.4540689278085802E-2</v>
      </c>
    </row>
    <row r="146" spans="2:19" x14ac:dyDescent="0.2">
      <c r="B146" s="33" t="s">
        <v>290</v>
      </c>
      <c r="C146" s="69" t="str">
        <f t="shared" si="39"/>
        <v>52</v>
      </c>
      <c r="D146" s="73" t="str">
        <f t="shared" si="40"/>
        <v>--</v>
      </c>
      <c r="E146" s="73" t="str">
        <f t="shared" si="41"/>
        <v>52-</v>
      </c>
      <c r="F146" s="26">
        <v>5</v>
      </c>
      <c r="G146" s="26">
        <v>2</v>
      </c>
      <c r="H146" s="61" t="s">
        <v>254</v>
      </c>
      <c r="I146" s="61" t="s">
        <v>254</v>
      </c>
      <c r="J146" s="61" t="s">
        <v>254</v>
      </c>
      <c r="K146" s="210">
        <v>0.26049196031942734</v>
      </c>
      <c r="L146" s="211">
        <v>0.25584218731639519</v>
      </c>
      <c r="M146" s="211">
        <v>0.14929468134445506</v>
      </c>
      <c r="N146" s="211">
        <v>0.1173185184123027</v>
      </c>
      <c r="O146" s="211">
        <v>0.13206424429009381</v>
      </c>
      <c r="P146" s="211">
        <v>6.7089956471277162E-2</v>
      </c>
      <c r="Q146" s="211">
        <v>0.20535498066077329</v>
      </c>
      <c r="R146" s="211">
        <v>8.6472172531382827E-2</v>
      </c>
      <c r="S146" s="212">
        <v>0.22560851939781165</v>
      </c>
    </row>
    <row r="147" spans="2:19" x14ac:dyDescent="0.2">
      <c r="B147" s="33" t="s">
        <v>245</v>
      </c>
      <c r="C147" s="69" t="str">
        <f t="shared" si="39"/>
        <v>13</v>
      </c>
      <c r="D147" s="73" t="str">
        <f t="shared" si="40"/>
        <v>--</v>
      </c>
      <c r="E147" s="73" t="str">
        <f t="shared" si="41"/>
        <v>13-</v>
      </c>
      <c r="F147" s="26">
        <v>1</v>
      </c>
      <c r="G147" s="26">
        <v>3</v>
      </c>
      <c r="H147" s="61" t="s">
        <v>254</v>
      </c>
      <c r="I147" s="61" t="s">
        <v>254</v>
      </c>
      <c r="J147" s="61" t="s">
        <v>254</v>
      </c>
      <c r="K147" s="210">
        <v>9.6598791496151554E-2</v>
      </c>
      <c r="L147" s="211">
        <v>0.11993531581953042</v>
      </c>
      <c r="M147" s="211">
        <v>5.2156503094459516E-2</v>
      </c>
      <c r="N147" s="211">
        <v>5.0401343548531798E-2</v>
      </c>
      <c r="O147" s="211">
        <v>8.0929104338052393E-2</v>
      </c>
      <c r="P147" s="211">
        <v>7.0478608077321245E-2</v>
      </c>
      <c r="Q147" s="211">
        <v>2.9250006496944728E-3</v>
      </c>
      <c r="R147" s="211">
        <v>4.1226850287609189E-2</v>
      </c>
      <c r="S147" s="212">
        <v>0.1511863151112087</v>
      </c>
    </row>
    <row r="148" spans="2:19" x14ac:dyDescent="0.2">
      <c r="B148" s="33" t="s">
        <v>270</v>
      </c>
      <c r="C148" s="69" t="str">
        <f t="shared" si="39"/>
        <v>14</v>
      </c>
      <c r="D148" s="73" t="str">
        <f t="shared" si="40"/>
        <v>--</v>
      </c>
      <c r="E148" s="73" t="str">
        <f t="shared" si="41"/>
        <v>14-</v>
      </c>
      <c r="F148" s="26">
        <v>1</v>
      </c>
      <c r="G148" s="26">
        <v>4</v>
      </c>
      <c r="H148" s="61" t="s">
        <v>254</v>
      </c>
      <c r="I148" s="61" t="s">
        <v>254</v>
      </c>
      <c r="J148" s="61" t="s">
        <v>254</v>
      </c>
      <c r="K148" s="210">
        <v>0.13359339634386247</v>
      </c>
      <c r="L148" s="211">
        <v>9.8556731161826228E-2</v>
      </c>
      <c r="M148" s="211">
        <v>4.4756982062269794E-2</v>
      </c>
      <c r="N148" s="211">
        <v>3.5131506911370868E-2</v>
      </c>
      <c r="O148" s="211">
        <v>8.6303475606391029E-3</v>
      </c>
      <c r="P148" s="211">
        <v>0</v>
      </c>
      <c r="Q148" s="211">
        <v>0</v>
      </c>
      <c r="R148" s="211">
        <v>3.8991203457849406E-2</v>
      </c>
      <c r="S148" s="212">
        <v>1.1167909818690562E-2</v>
      </c>
    </row>
    <row r="149" spans="2:19" x14ac:dyDescent="0.2">
      <c r="B149" s="89" t="s">
        <v>273</v>
      </c>
      <c r="C149" s="90" t="str">
        <f t="shared" si="39"/>
        <v>17</v>
      </c>
      <c r="D149" s="91" t="str">
        <f t="shared" si="40"/>
        <v>--</v>
      </c>
      <c r="E149" s="91" t="str">
        <f t="shared" si="41"/>
        <v>17-</v>
      </c>
      <c r="F149" s="92">
        <v>1</v>
      </c>
      <c r="G149" s="92">
        <v>7</v>
      </c>
      <c r="H149" s="93" t="s">
        <v>254</v>
      </c>
      <c r="I149" s="93" t="s">
        <v>254</v>
      </c>
      <c r="J149" s="93" t="s">
        <v>254</v>
      </c>
      <c r="K149" s="129">
        <v>0</v>
      </c>
      <c r="L149" s="223">
        <v>0</v>
      </c>
      <c r="M149" s="223">
        <v>0</v>
      </c>
      <c r="N149" s="223">
        <v>0</v>
      </c>
      <c r="O149" s="223">
        <v>0</v>
      </c>
      <c r="P149" s="223">
        <v>0</v>
      </c>
      <c r="Q149" s="223">
        <v>0</v>
      </c>
      <c r="R149" s="223">
        <v>0</v>
      </c>
      <c r="S149" s="130">
        <v>0</v>
      </c>
    </row>
    <row r="150" spans="2:19" x14ac:dyDescent="0.2">
      <c r="B150" s="89" t="s">
        <v>271</v>
      </c>
      <c r="C150" s="90" t="str">
        <f t="shared" si="39"/>
        <v>18</v>
      </c>
      <c r="D150" s="91" t="str">
        <f t="shared" si="40"/>
        <v>--</v>
      </c>
      <c r="E150" s="91" t="str">
        <f t="shared" si="41"/>
        <v>18-</v>
      </c>
      <c r="F150" s="92">
        <v>1</v>
      </c>
      <c r="G150" s="92">
        <v>8</v>
      </c>
      <c r="H150" s="93" t="s">
        <v>254</v>
      </c>
      <c r="I150" s="93" t="s">
        <v>254</v>
      </c>
      <c r="J150" s="93" t="s">
        <v>254</v>
      </c>
      <c r="K150" s="129">
        <v>0</v>
      </c>
      <c r="L150" s="223">
        <v>0</v>
      </c>
      <c r="M150" s="223">
        <v>0</v>
      </c>
      <c r="N150" s="223">
        <v>0</v>
      </c>
      <c r="O150" s="223">
        <v>0</v>
      </c>
      <c r="P150" s="223">
        <v>0</v>
      </c>
      <c r="Q150" s="223">
        <v>0</v>
      </c>
      <c r="R150" s="223">
        <v>0</v>
      </c>
      <c r="S150" s="130">
        <v>0</v>
      </c>
    </row>
    <row r="151" spans="2:19" ht="15" thickBot="1" x14ac:dyDescent="0.25">
      <c r="B151" s="34" t="s">
        <v>258</v>
      </c>
      <c r="C151" s="70" t="str">
        <f t="shared" si="39"/>
        <v>51</v>
      </c>
      <c r="D151" s="74" t="str">
        <f t="shared" si="40"/>
        <v>--</v>
      </c>
      <c r="E151" s="74" t="str">
        <f t="shared" si="41"/>
        <v>51-</v>
      </c>
      <c r="F151" s="25">
        <v>5</v>
      </c>
      <c r="G151" s="25">
        <v>1</v>
      </c>
      <c r="H151" s="62" t="s">
        <v>254</v>
      </c>
      <c r="I151" s="62" t="s">
        <v>254</v>
      </c>
      <c r="J151" s="62" t="s">
        <v>254</v>
      </c>
      <c r="K151" s="213">
        <v>0.11840181129624715</v>
      </c>
      <c r="L151" s="214">
        <v>8.9523217444950023E-2</v>
      </c>
      <c r="M151" s="214">
        <v>8.105819186942035E-3</v>
      </c>
      <c r="N151" s="214">
        <v>3.2699384506188839E-2</v>
      </c>
      <c r="O151" s="214">
        <v>3.2763254284786112E-3</v>
      </c>
      <c r="P151" s="214">
        <v>5.0399834096078056E-3</v>
      </c>
      <c r="Q151" s="214">
        <v>0</v>
      </c>
      <c r="R151" s="214">
        <v>1.5857022082365443E-2</v>
      </c>
      <c r="S151" s="215">
        <v>4.4748356157018214E-2</v>
      </c>
    </row>
    <row r="152" spans="2:19" ht="15" x14ac:dyDescent="0.2">
      <c r="B152" s="38"/>
      <c r="C152" s="39"/>
      <c r="D152" s="39"/>
      <c r="E152" s="39"/>
      <c r="F152" s="39"/>
      <c r="G152" s="39"/>
      <c r="H152" s="39"/>
      <c r="I152" s="39"/>
      <c r="J152" s="39"/>
      <c r="K152" s="39"/>
    </row>
    <row r="153" spans="2:19" x14ac:dyDescent="0.2">
      <c r="B153" s="8" t="s">
        <v>293</v>
      </c>
    </row>
    <row r="154" spans="2:19" x14ac:dyDescent="0.2">
      <c r="B154" s="42" t="s">
        <v>496</v>
      </c>
      <c r="C154" s="42"/>
      <c r="D154" s="42"/>
      <c r="E154" s="42"/>
      <c r="F154" s="42"/>
      <c r="G154" s="42"/>
      <c r="H154" s="42"/>
      <c r="I154" s="42"/>
      <c r="J154" s="42"/>
      <c r="K154" s="42"/>
      <c r="L154" s="42"/>
      <c r="M154" s="42"/>
      <c r="N154" s="42"/>
      <c r="O154" s="42"/>
      <c r="P154" s="42"/>
    </row>
  </sheetData>
  <mergeCells count="1">
    <mergeCell ref="K136:S136"/>
  </mergeCells>
  <hyperlinks>
    <hyperlink ref="B53" r:id="rId1" xr:uid="{00000000-0004-0000-0400-000000000000}"/>
    <hyperlink ref="B6" r:id="rId2" location="census" xr:uid="{00000000-0004-0000-0400-000001000000}"/>
    <hyperlink ref="B101" r:id="rId3" xr:uid="{00000000-0004-0000-0400-000002000000}"/>
    <hyperlink ref="B55" r:id="rId4" xr:uid="{00000000-0004-0000-0400-000003000000}"/>
    <hyperlink ref="B126" r:id="rId5" xr:uid="{00000000-0004-0000-0400-000004000000}"/>
    <hyperlink ref="B127" r:id="rId6" xr:uid="{00000000-0004-0000-0400-000005000000}"/>
    <hyperlink ref="B52" r:id="rId7" xr:uid="{00000000-0004-0000-0400-000006000000}"/>
    <hyperlink ref="B125" r:id="rId8" xr:uid="{00000000-0004-0000-0400-000007000000}"/>
    <hyperlink ref="B56" r:id="rId9" xr:uid="{00000000-0004-0000-0400-000008000000}"/>
    <hyperlink ref="B128" r:id="rId10" xr:uid="{00000000-0004-0000-0400-000009000000}"/>
    <hyperlink ref="G56" r:id="rId11" xr:uid="{00000000-0004-0000-0400-00000A000000}"/>
    <hyperlink ref="B61" r:id="rId12" xr:uid="{00000000-0004-0000-0400-00000B000000}"/>
    <hyperlink ref="B103" r:id="rId13" xr:uid="{00000000-0004-0000-0400-00000C000000}"/>
    <hyperlink ref="B51" r:id="rId14" xr:uid="{00000000-0004-0000-0400-00000D000000}"/>
    <hyperlink ref="P16" r:id="rId15" xr:uid="{00000000-0004-0000-0400-00000E000000}"/>
  </hyperlinks>
  <pageMargins left="0.7" right="0.7" top="0.75" bottom="0.75" header="0.3" footer="0.3"/>
  <pageSetup orientation="portrait" r:id="rId16"/>
  <drawing r:id="rId17"/>
  <legacy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88</vt:i4>
      </vt:variant>
    </vt:vector>
  </HeadingPairs>
  <TitlesOfParts>
    <vt:vector size="93" baseType="lpstr">
      <vt:lpstr>READ_ME</vt:lpstr>
      <vt:lpstr>RSCLASS</vt:lpstr>
      <vt:lpstr>RSMEQP</vt:lpstr>
      <vt:lpstr>RSMSHL</vt:lpstr>
      <vt:lpstr>TaxCred&amp;Subs</vt:lpstr>
      <vt:lpstr>ClsRecords</vt:lpstr>
      <vt:lpstr>EqpRecords</vt:lpstr>
      <vt:lpstr>MNUMRTTY</vt:lpstr>
      <vt:lpstr>nClDryClasses</vt:lpstr>
      <vt:lpstr>nClDryTypes</vt:lpstr>
      <vt:lpstr>nClWashClasses</vt:lpstr>
      <vt:lpstr>nClWashTypes</vt:lpstr>
      <vt:lpstr>nCookClasses</vt:lpstr>
      <vt:lpstr>nCookTypes</vt:lpstr>
      <vt:lpstr>nCoolClasses</vt:lpstr>
      <vt:lpstr>nCoolTypes</vt:lpstr>
      <vt:lpstr>nDishClasses</vt:lpstr>
      <vt:lpstr>nDishTypes</vt:lpstr>
      <vt:lpstr>nFrezClasses</vt:lpstr>
      <vt:lpstr>nFrezTypes</vt:lpstr>
      <vt:lpstr>nHeatClasses</vt:lpstr>
      <vt:lpstr>nHeatTypes</vt:lpstr>
      <vt:lpstr>nRefrClasses</vt:lpstr>
      <vt:lpstr>nRefrTypes</vt:lpstr>
      <vt:lpstr>nShellTypes</vt:lpstr>
      <vt:lpstr>nWatHtClasses</vt:lpstr>
      <vt:lpstr>nWatHtTypes</vt:lpstr>
      <vt:lpstr>RSHLDOLLARYR</vt:lpstr>
      <vt:lpstr>RTEKDOLLARYR</vt:lpstr>
      <vt:lpstr>ShlRecords</vt:lpstr>
      <vt:lpstr>xlCLSHBASE</vt:lpstr>
      <vt:lpstr>xlCLSHEFF</vt:lpstr>
      <vt:lpstr>xlCWMEF</vt:lpstr>
      <vt:lpstr>xlHTSHBASE</vt:lpstr>
      <vt:lpstr>xlHTSHEFF</vt:lpstr>
      <vt:lpstr>xlHVACPNTR</vt:lpstr>
      <vt:lpstr>xlHVCLEQCL</vt:lpstr>
      <vt:lpstr>xlHVCLEQTY</vt:lpstr>
      <vt:lpstr>xlHVCOOLFACTOR</vt:lpstr>
      <vt:lpstr>xlHVFYEAR</vt:lpstr>
      <vt:lpstr>xlHVHEATFACTOR</vt:lpstr>
      <vt:lpstr>xlHVHTEQCL</vt:lpstr>
      <vt:lpstr>xlHVHTEQTY</vt:lpstr>
      <vt:lpstr>xlHVLYEAR</vt:lpstr>
      <vt:lpstr>xlHVPACKG</vt:lpstr>
      <vt:lpstr>xlHVPGNAME</vt:lpstr>
      <vt:lpstr>xlLOADADJ</vt:lpstr>
      <vt:lpstr>xlRSBTYPE</vt:lpstr>
      <vt:lpstr>xlRSCENDIV</vt:lpstr>
      <vt:lpstr>xlRTALPHA</vt:lpstr>
      <vt:lpstr>xlRTBASEFF</vt:lpstr>
      <vt:lpstr>xlRTCENDIV</vt:lpstr>
      <vt:lpstr>xlRTCLENDU</vt:lpstr>
      <vt:lpstr>xlRTCLEQCL</vt:lpstr>
      <vt:lpstr>xlRTCLNAME</vt:lpstr>
      <vt:lpstr>xlRTCLPNTR</vt:lpstr>
      <vt:lpstr>xlRTCLREPL</vt:lpstr>
      <vt:lpstr>xlRTCLTYPT</vt:lpstr>
      <vt:lpstr>xlRTCOSTP1</vt:lpstr>
      <vt:lpstr>xlRTCOSTP2</vt:lpstr>
      <vt:lpstr>xlRTCOSTP3</vt:lpstr>
      <vt:lpstr>xlRTECBIAS</vt:lpstr>
      <vt:lpstr>xlRTECBTA1</vt:lpstr>
      <vt:lpstr>xlRTECBTA2</vt:lpstr>
      <vt:lpstr>xlRTECBTA3</vt:lpstr>
      <vt:lpstr>xlRTEQCOST</vt:lpstr>
      <vt:lpstr>xlRTEQEFF</vt:lpstr>
      <vt:lpstr>xlRTEQSUB</vt:lpstr>
      <vt:lpstr>xlRTEQSUB111D</vt:lpstr>
      <vt:lpstr>xlRTEQSUBN</vt:lpstr>
      <vt:lpstr>xlRTEQTYPE</vt:lpstr>
      <vt:lpstr>xlRTFCBETA</vt:lpstr>
      <vt:lpstr>xlRTFFAN</vt:lpstr>
      <vt:lpstr>xlRTFUEL</vt:lpstr>
      <vt:lpstr>xlRTINITYR</vt:lpstr>
      <vt:lpstr>xlRTK</vt:lpstr>
      <vt:lpstr>xlRTLAMBDA</vt:lpstr>
      <vt:lpstr>xlRTLASTYR</vt:lpstr>
      <vt:lpstr>xlRTMATURE</vt:lpstr>
      <vt:lpstr>xlRTRECOST</vt:lpstr>
      <vt:lpstr>xlRTRESUB</vt:lpstr>
      <vt:lpstr>xlRTRESUB111D</vt:lpstr>
      <vt:lpstr>xlRTRESUBN</vt:lpstr>
      <vt:lpstr>xlRTSWBETA</vt:lpstr>
      <vt:lpstr>xlRTSWBIAS</vt:lpstr>
      <vt:lpstr>xlRTSWFACT</vt:lpstr>
      <vt:lpstr>xlRTTYENDU</vt:lpstr>
      <vt:lpstr>xlRTTYEQCL</vt:lpstr>
      <vt:lpstr>xlRTTYNAME</vt:lpstr>
      <vt:lpstr>xlRTTYPNTR</vt:lpstr>
      <vt:lpstr>xlSHELCOST</vt:lpstr>
      <vt:lpstr>xlSHELSUB</vt:lpstr>
      <vt:lpstr>xlSHELSUB111D</vt:lpstr>
    </vt:vector>
  </TitlesOfParts>
  <Company>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David Elder</cp:lastModifiedBy>
  <dcterms:created xsi:type="dcterms:W3CDTF">2016-01-15T13:46:54Z</dcterms:created>
  <dcterms:modified xsi:type="dcterms:W3CDTF">2025-05-05T14:40:23Z</dcterms:modified>
</cp:coreProperties>
</file>